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ml.chartshapes+xml"/>
  <Override PartName="/xl/drawings/drawing4.xml" ContentType="application/vnd.openxmlformats-officedocument.drawing+xml"/>
  <Override PartName="/xl/slicers/slicer3.xml" ContentType="application/vnd.ms-excel.slicer+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drawings/drawing5.xml" ContentType="application/vnd.openxmlformats-officedocument.drawing+xml"/>
  <Override PartName="/xl/slicers/slicer4.xml" ContentType="application/vnd.ms-excel.slicer+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6.xml" ContentType="application/vnd.openxmlformats-officedocument.drawing+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hidePivotFieldList="1" defaultThemeVersion="166925"/>
  <mc:AlternateContent xmlns:mc="http://schemas.openxmlformats.org/markup-compatibility/2006">
    <mc:Choice Requires="x15">
      <x15ac:absPath xmlns:x15ac="http://schemas.microsoft.com/office/spreadsheetml/2010/11/ac" url="C:\Users\ujjwa\Downloads\"/>
    </mc:Choice>
  </mc:AlternateContent>
  <xr:revisionPtr revIDLastSave="0" documentId="13_ncr:1_{E3DD45ED-3F64-4AEC-87CC-F338461F9600}" xr6:coauthVersionLast="47" xr6:coauthVersionMax="47" xr10:uidLastSave="{00000000-0000-0000-0000-000000000000}"/>
  <bookViews>
    <workbookView xWindow="-120" yWindow="-120" windowWidth="20730" windowHeight="11040" tabRatio="871" activeTab="1" xr2:uid="{677921A1-3D2A-4DE8-BD99-95C878E70839}"/>
  </bookViews>
  <sheets>
    <sheet name="Datasets" sheetId="1" r:id="rId1"/>
    <sheet name="Pivot Tables" sheetId="6" r:id="rId2"/>
    <sheet name="Income Sources" sheetId="2" r:id="rId3"/>
    <sheet name="Geographically" sheetId="3" r:id="rId4"/>
    <sheet name="Sales Process" sheetId="4" r:id="rId5"/>
    <sheet name="Projects Status" sheetId="5" state="hidden" r:id="rId6"/>
  </sheets>
  <definedNames>
    <definedName name="Slicer_Year">#N/A</definedName>
    <definedName name="Slicer_Year1">#N/A</definedName>
    <definedName name="Slicer_Year2">#N/A</definedName>
  </definedNames>
  <calcPr calcId="191029"/>
  <pivotCaches>
    <pivotCache cacheId="0" r:id="rId7"/>
    <pivotCache cacheId="1" r:id="rId8"/>
    <pivotCache cacheId="2" r:id="rId9"/>
  </pivotCaches>
  <extLst>
    <ext xmlns:x14="http://schemas.microsoft.com/office/spreadsheetml/2009/9/main" uri="{BBE1A952-AA13-448e-AADC-164F8A28A991}">
      <x14:slicerCaches>
        <x14:slicerCache r:id="rId10"/>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A6" i="6" l="1"/>
  <c r="FA7" i="6"/>
  <c r="FA5" i="6"/>
  <c r="EI19" i="6"/>
  <c r="EI18" i="6"/>
  <c r="EH19" i="6"/>
  <c r="EH18" i="6"/>
  <c r="EJ19" i="6"/>
  <c r="EJ18" i="6"/>
  <c r="EK19" i="6"/>
  <c r="EK18" i="6"/>
  <c r="EK11" i="6"/>
  <c r="EK10" i="6"/>
  <c r="EJ11" i="6"/>
  <c r="EJ10" i="6"/>
  <c r="EJ5" i="6"/>
  <c r="EI11" i="6"/>
  <c r="EI10" i="6"/>
  <c r="EI4" i="6"/>
  <c r="EH11" i="6"/>
  <c r="EH10" i="6"/>
  <c r="EH4" i="6"/>
  <c r="EK5" i="6"/>
  <c r="EK4" i="6"/>
  <c r="EH5" i="6"/>
  <c r="EJ4" i="6"/>
  <c r="EI5" i="6"/>
  <c r="CI5" i="6"/>
  <c r="CH5" i="6"/>
  <c r="BI6" i="6"/>
  <c r="BJ6" i="6"/>
  <c r="BI7" i="6"/>
  <c r="BJ7" i="6"/>
  <c r="BI8" i="6"/>
  <c r="BJ8" i="6"/>
  <c r="BI9" i="6"/>
  <c r="BJ9" i="6"/>
  <c r="BI10" i="6"/>
  <c r="BJ10" i="6"/>
  <c r="BJ5" i="6"/>
  <c r="BI5" i="6"/>
  <c r="BG6" i="6"/>
  <c r="BH6" i="6"/>
  <c r="BG7" i="6"/>
  <c r="BH7" i="6"/>
  <c r="BG8" i="6"/>
  <c r="BH8" i="6"/>
  <c r="BG9" i="6"/>
  <c r="BH9" i="6"/>
  <c r="BG10" i="6"/>
  <c r="BH10" i="6"/>
  <c r="BH5" i="6"/>
  <c r="BG5" i="6"/>
  <c r="BS6" i="6"/>
  <c r="BS7" i="6"/>
  <c r="BS8" i="6"/>
  <c r="BS9" i="6"/>
  <c r="BS10" i="6"/>
  <c r="BS5" i="6"/>
  <c r="BR6" i="6"/>
  <c r="BR7" i="6"/>
  <c r="BR8" i="6"/>
  <c r="BR9" i="6"/>
  <c r="BR10" i="6"/>
  <c r="BR5" i="6"/>
  <c r="AZ8" i="6"/>
  <c r="AZ9" i="6"/>
  <c r="AZ10" i="6"/>
  <c r="AZ11" i="6"/>
  <c r="AZ12" i="6"/>
  <c r="AZ13" i="6"/>
  <c r="AZ14" i="6"/>
  <c r="AZ15" i="6"/>
  <c r="AZ16" i="6"/>
  <c r="AZ17" i="6"/>
  <c r="AZ18" i="6"/>
  <c r="AZ19" i="6"/>
  <c r="AZ20" i="6"/>
  <c r="AZ21" i="6"/>
  <c r="AZ22" i="6"/>
  <c r="AZ23" i="6"/>
  <c r="AZ24" i="6"/>
  <c r="AZ25" i="6"/>
  <c r="AZ26" i="6"/>
  <c r="AZ27" i="6"/>
  <c r="AZ7" i="6"/>
  <c r="AY8" i="6"/>
  <c r="AY9" i="6"/>
  <c r="AY10" i="6"/>
  <c r="AY11" i="6"/>
  <c r="AY12" i="6"/>
  <c r="AY13" i="6"/>
  <c r="AY14" i="6"/>
  <c r="AY15" i="6"/>
  <c r="AY16" i="6"/>
  <c r="AY17" i="6"/>
  <c r="AY18" i="6"/>
  <c r="AY19" i="6"/>
  <c r="AY20" i="6"/>
  <c r="AY21" i="6"/>
  <c r="AY22" i="6"/>
  <c r="AY23" i="6"/>
  <c r="AY24" i="6"/>
  <c r="AY25" i="6"/>
  <c r="AY26" i="6"/>
  <c r="AY27" i="6"/>
  <c r="AY7" i="6"/>
  <c r="AQ7" i="6"/>
  <c r="AQ8" i="6"/>
  <c r="AP8" i="6"/>
  <c r="AP7" i="6"/>
  <c r="AB7" i="6"/>
  <c r="O8" i="6"/>
  <c r="O9" i="6"/>
  <c r="O10" i="6"/>
  <c r="O11" i="6"/>
  <c r="O12" i="6"/>
  <c r="O7" i="6"/>
  <c r="N8" i="6"/>
  <c r="N9" i="6"/>
  <c r="N10" i="6"/>
  <c r="N11" i="6"/>
  <c r="N12" i="6"/>
  <c r="N7" i="6"/>
  <c r="K8" i="6"/>
  <c r="K9" i="6"/>
  <c r="K10" i="6"/>
  <c r="K11" i="6"/>
  <c r="K12" i="6"/>
  <c r="K7" i="6"/>
  <c r="DC4" i="6"/>
  <c r="BO6" i="6"/>
  <c r="BY5" i="6"/>
  <c r="FJ6" i="6"/>
  <c r="T7" i="6"/>
  <c r="AH7" i="6"/>
  <c r="FA8" i="6" l="1"/>
  <c r="DD4" i="6"/>
  <c r="DC10" i="6"/>
  <c r="DF5" i="6"/>
  <c r="EM4" i="6"/>
  <c r="CG6" i="6"/>
  <c r="CH6" i="6"/>
  <c r="CE6" i="6"/>
  <c r="CF6" i="6"/>
  <c r="CC6" i="6"/>
  <c r="BX5" i="6"/>
  <c r="CB6" i="6" s="1"/>
  <c r="U7" i="6"/>
  <c r="M11" i="6"/>
  <c r="M8" i="6"/>
  <c r="M12" i="6"/>
  <c r="M9" i="6"/>
  <c r="M7" i="6"/>
  <c r="M10" i="6"/>
  <c r="L9" i="6"/>
  <c r="L12" i="6"/>
  <c r="L11" i="6"/>
  <c r="L8" i="6"/>
  <c r="L7" i="6"/>
  <c r="L10" i="6"/>
  <c r="DD10" i="6" l="1"/>
  <c r="DF4" i="6"/>
</calcChain>
</file>

<file path=xl/sharedStrings.xml><?xml version="1.0" encoding="utf-8"?>
<sst xmlns="http://schemas.openxmlformats.org/spreadsheetml/2006/main" count="28643" uniqueCount="120">
  <si>
    <t>Order Number</t>
  </si>
  <si>
    <t>Year</t>
  </si>
  <si>
    <t>Month</t>
  </si>
  <si>
    <t>POS</t>
  </si>
  <si>
    <t>Payment Method</t>
  </si>
  <si>
    <t>Assembly Stage</t>
  </si>
  <si>
    <t>Registration Status</t>
  </si>
  <si>
    <t>Sale Status</t>
  </si>
  <si>
    <t>Delivery Type</t>
  </si>
  <si>
    <t>Amount</t>
  </si>
  <si>
    <t>Target</t>
  </si>
  <si>
    <t>Income sources</t>
  </si>
  <si>
    <t>Income Breakdowns</t>
  </si>
  <si>
    <t>Counts</t>
  </si>
  <si>
    <t>Income</t>
  </si>
  <si>
    <t>Target Income</t>
  </si>
  <si>
    <t>operating profit</t>
  </si>
  <si>
    <t>Marketing Strategies</t>
  </si>
  <si>
    <t>Country</t>
  </si>
  <si>
    <t>AD01-9361</t>
  </si>
  <si>
    <t>Apr</t>
  </si>
  <si>
    <t>Website</t>
  </si>
  <si>
    <t>Credit Card</t>
  </si>
  <si>
    <t>Order assembled</t>
  </si>
  <si>
    <t>Register Customer info</t>
  </si>
  <si>
    <t>Paid</t>
  </si>
  <si>
    <t>Shipment</t>
  </si>
  <si>
    <t>Jan</t>
  </si>
  <si>
    <t>Licensing</t>
  </si>
  <si>
    <t>Software Metered License</t>
  </si>
  <si>
    <t>B2B</t>
  </si>
  <si>
    <t>Egypt</t>
  </si>
  <si>
    <t>Floating License</t>
  </si>
  <si>
    <t>USA</t>
  </si>
  <si>
    <t>AD01-9362</t>
  </si>
  <si>
    <t>Download</t>
  </si>
  <si>
    <t>Renting</t>
  </si>
  <si>
    <t>Equipments</t>
  </si>
  <si>
    <t>Russia</t>
  </si>
  <si>
    <t>Subscription</t>
  </si>
  <si>
    <t>Prime</t>
  </si>
  <si>
    <t>United Kingdom</t>
  </si>
  <si>
    <t>AD01-9364</t>
  </si>
  <si>
    <t>Usage fees</t>
  </si>
  <si>
    <t>Renewal</t>
  </si>
  <si>
    <t>Brazil</t>
  </si>
  <si>
    <t>Premium</t>
  </si>
  <si>
    <t>Canada</t>
  </si>
  <si>
    <t xml:space="preserve">New </t>
  </si>
  <si>
    <t>Offices</t>
  </si>
  <si>
    <t>Advertising</t>
  </si>
  <si>
    <t>Facebook Page</t>
  </si>
  <si>
    <t>Google Ad</t>
  </si>
  <si>
    <t>AD01-9363</t>
  </si>
  <si>
    <t>Company Website</t>
  </si>
  <si>
    <t>Youtube Channel</t>
  </si>
  <si>
    <t>Lands</t>
  </si>
  <si>
    <t>Asset sale</t>
  </si>
  <si>
    <t>Television Ad</t>
  </si>
  <si>
    <t>Feb</t>
  </si>
  <si>
    <t>Aug</t>
  </si>
  <si>
    <t>AD01-9365</t>
  </si>
  <si>
    <t>Mar</t>
  </si>
  <si>
    <t>B2C</t>
  </si>
  <si>
    <t>Non-Registered Customer info</t>
  </si>
  <si>
    <t>Dec</t>
  </si>
  <si>
    <t>May</t>
  </si>
  <si>
    <t>Jun</t>
  </si>
  <si>
    <t>Jul</t>
  </si>
  <si>
    <t>Sep</t>
  </si>
  <si>
    <t>Oct</t>
  </si>
  <si>
    <t>Nov</t>
  </si>
  <si>
    <t>Branches</t>
  </si>
  <si>
    <t>Refunded</t>
  </si>
  <si>
    <t>Cash on Delivery</t>
  </si>
  <si>
    <t>Cancelld</t>
  </si>
  <si>
    <t xml:space="preserve">Branch </t>
  </si>
  <si>
    <t xml:space="preserve"> </t>
  </si>
  <si>
    <t>Row Labels</t>
  </si>
  <si>
    <t>Grand Total</t>
  </si>
  <si>
    <t>Sum of Income</t>
  </si>
  <si>
    <t>Sum of Income2</t>
  </si>
  <si>
    <t>X</t>
  </si>
  <si>
    <t>Y</t>
  </si>
  <si>
    <t>Max</t>
  </si>
  <si>
    <t>Without MAX</t>
  </si>
  <si>
    <t>Sum of Target Income</t>
  </si>
  <si>
    <t xml:space="preserve">Income </t>
  </si>
  <si>
    <t>Sum of Counts</t>
  </si>
  <si>
    <t>Sum of Counts2</t>
  </si>
  <si>
    <t>Count</t>
  </si>
  <si>
    <t>Count%</t>
  </si>
  <si>
    <t>Ave. Income by Month</t>
  </si>
  <si>
    <t>Sum of operating profit</t>
  </si>
  <si>
    <t xml:space="preserve">Operating Profits </t>
  </si>
  <si>
    <t>Sum of Amount</t>
  </si>
  <si>
    <t>Sum of Amount2</t>
  </si>
  <si>
    <t>Geographically</t>
  </si>
  <si>
    <t>Total Sales</t>
  </si>
  <si>
    <t>Sum of Target</t>
  </si>
  <si>
    <t>Remaining %</t>
  </si>
  <si>
    <t>Actual</t>
  </si>
  <si>
    <t>Highest Country</t>
  </si>
  <si>
    <t>Non - Highest</t>
  </si>
  <si>
    <t>Payroll Taxes</t>
  </si>
  <si>
    <t>Property Taxes</t>
  </si>
  <si>
    <t>Excise Taxes</t>
  </si>
  <si>
    <t>Total Taxes</t>
  </si>
  <si>
    <t>in</t>
  </si>
  <si>
    <t>Lables</t>
  </si>
  <si>
    <t>Sales Process</t>
  </si>
  <si>
    <t>Count of POS</t>
  </si>
  <si>
    <t>Count of Payment Method</t>
  </si>
  <si>
    <t>Count of Registration Status</t>
  </si>
  <si>
    <t xml:space="preserve">Line </t>
  </si>
  <si>
    <t>Empty Circle</t>
  </si>
  <si>
    <t>Circle</t>
  </si>
  <si>
    <t>total cust</t>
  </si>
  <si>
    <t>Count of Delivery Type</t>
  </si>
  <si>
    <t>Count of Sale Status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</si>
</sst>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44" formatCode="_ &quot;₹&quot;\ * #,##0.00_ ;_ &quot;₹&quot;\ * \-#,##0.00_ ;_ &quot;₹&quot;\ * &quot;-&quot;??_ ;_ @_ "/>
    <numFmt numFmtId="43" formatCode="_ * #,##0.00_ ;_ * \-#,##0.00_ ;_ * &quot;-&quot;??_ ;_ @_ "/>
    <numFmt numFmtId="164" formatCode="_(* #,##0_);_(* \(#,##0\);_(* &quot;-&quot;??_);_(@_)"/>
    <numFmt numFmtId="165" formatCode="_ * #,##0_ ;_ * \-#,##0_ ;_ * &quot;-&quot;??_ ;_ @_ "/>
    <numFmt numFmtId="166" formatCode="[$$-409]#,##0"/>
    <numFmt numFmtId="167" formatCode="0.0%"/>
    <numFmt numFmtId="168" formatCode="[$$-409]#,##0_ ;\-[$$-409]#,##0\ "/>
  </numFmts>
  <fonts count="17" x14ac:knownFonts="1">
    <font>
      <sz val="11"/>
      <color theme="1"/>
      <name val="Calibri"/>
      <family val="2"/>
      <scheme val="minor"/>
    </font>
    <font>
      <sz val="11"/>
      <color theme="1"/>
      <name val="Calibri"/>
      <family val="2"/>
      <scheme val="minor"/>
    </font>
    <font>
      <sz val="11"/>
      <color theme="0"/>
      <name val="Arial"/>
      <family val="2"/>
    </font>
    <font>
      <b/>
      <sz val="11"/>
      <color theme="0"/>
      <name val="Arial"/>
      <family val="2"/>
    </font>
    <font>
      <sz val="11"/>
      <color theme="1"/>
      <name val="Arial"/>
      <family val="2"/>
    </font>
    <font>
      <sz val="11"/>
      <color theme="6" tint="-0.249977111117893"/>
      <name val="Arial"/>
      <family val="2"/>
    </font>
    <font>
      <sz val="11"/>
      <color rgb="FFB1F5F1"/>
      <name val="Calibri"/>
      <family val="2"/>
      <scheme val="minor"/>
    </font>
    <font>
      <sz val="11"/>
      <color theme="1" tint="0.249977111117893"/>
      <name val="Arial"/>
      <family val="2"/>
    </font>
    <font>
      <b/>
      <sz val="11"/>
      <color theme="0"/>
      <name val="Avenir Medium"/>
      <family val="2"/>
    </font>
    <font>
      <sz val="12"/>
      <color theme="1"/>
      <name val="Avenir Light"/>
      <family val="2"/>
    </font>
    <font>
      <sz val="16"/>
      <color rgb="FFC240DB"/>
      <name val="Calibri"/>
      <family val="2"/>
      <scheme val="minor"/>
    </font>
    <font>
      <sz val="16"/>
      <color rgb="FF5A097C"/>
      <name val="Calibri"/>
      <family val="2"/>
      <scheme val="minor"/>
    </font>
    <font>
      <sz val="16"/>
      <color rgb="FF0F11A7"/>
      <name val="Calibri"/>
      <family val="2"/>
      <scheme val="minor"/>
    </font>
    <font>
      <sz val="16"/>
      <color rgb="FF296EFC"/>
      <name val="Calibri"/>
      <family val="2"/>
      <scheme val="minor"/>
    </font>
    <font>
      <sz val="11"/>
      <color theme="0"/>
      <name val="Calibri"/>
      <family val="2"/>
      <scheme val="minor"/>
    </font>
    <font>
      <shadow/>
      <sz val="11"/>
      <color theme="1"/>
      <name val="Calibri Light"/>
      <family val="2"/>
      <scheme val="major"/>
    </font>
    <font>
      <sz val="12"/>
      <color theme="1"/>
      <name val="Avenir Light"/>
      <family val="2"/>
    </font>
  </fonts>
  <fills count="14">
    <fill>
      <patternFill patternType="none"/>
    </fill>
    <fill>
      <patternFill patternType="gray125"/>
    </fill>
    <fill>
      <patternFill patternType="solid">
        <fgColor theme="4"/>
        <bgColor theme="4"/>
      </patternFill>
    </fill>
    <fill>
      <patternFill patternType="solid">
        <fgColor theme="0"/>
        <bgColor indexed="64"/>
      </patternFill>
    </fill>
    <fill>
      <patternFill patternType="solid">
        <fgColor rgb="FF5A2BCB"/>
        <bgColor indexed="64"/>
      </patternFill>
    </fill>
    <fill>
      <patternFill patternType="solid">
        <fgColor rgb="FFCC0E62"/>
        <bgColor indexed="64"/>
      </patternFill>
    </fill>
    <fill>
      <patternFill patternType="solid">
        <fgColor theme="1"/>
        <bgColor indexed="64"/>
      </patternFill>
    </fill>
    <fill>
      <patternFill patternType="solid">
        <fgColor rgb="FF1D1D3C"/>
        <bgColor indexed="64"/>
      </patternFill>
    </fill>
    <fill>
      <patternFill patternType="solid">
        <fgColor rgb="FF194AFE"/>
        <bgColor indexed="64"/>
      </patternFill>
    </fill>
    <fill>
      <patternFill patternType="solid">
        <fgColor theme="8" tint="-0.249977111117893"/>
        <bgColor indexed="64"/>
      </patternFill>
    </fill>
    <fill>
      <patternFill patternType="solid">
        <fgColor rgb="FF252253"/>
        <bgColor indexed="64"/>
      </patternFill>
    </fill>
    <fill>
      <patternFill patternType="solid">
        <fgColor theme="2" tint="-0.499984740745262"/>
        <bgColor indexed="64"/>
      </patternFill>
    </fill>
    <fill>
      <patternFill patternType="solid">
        <fgColor rgb="FF00B0F0"/>
        <bgColor indexed="64"/>
      </patternFill>
    </fill>
    <fill>
      <patternFill patternType="solid">
        <fgColor theme="2" tint="-0.89999084444715716"/>
        <bgColor indexed="64"/>
      </patternFill>
    </fill>
  </fills>
  <borders count="12">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style="thin">
        <color indexed="64"/>
      </top>
      <bottom style="thin">
        <color theme="0" tint="-0.14999847407452621"/>
      </bottom>
      <diagonal/>
    </border>
    <border>
      <left style="thin">
        <color indexed="64"/>
      </left>
      <right/>
      <top style="thin">
        <color theme="0" tint="-0.14999847407452621"/>
      </top>
      <bottom style="thin">
        <color indexed="64"/>
      </bottom>
      <diagonal/>
    </border>
  </borders>
  <cellStyleXfs count="4">
    <xf numFmtId="0" fontId="0" fillId="0" borderId="0"/>
    <xf numFmtId="43" fontId="1" fillId="0" borderId="0" applyFont="0" applyFill="0" applyBorder="0" applyAlignment="0" applyProtection="0"/>
    <xf numFmtId="9" fontId="1" fillId="0" borderId="0" applyFont="0" applyFill="0" applyBorder="0" applyAlignment="0" applyProtection="0"/>
    <xf numFmtId="44" fontId="1" fillId="0" borderId="0" applyFont="0" applyFill="0" applyBorder="0" applyAlignment="0" applyProtection="0"/>
  </cellStyleXfs>
  <cellXfs count="110">
    <xf numFmtId="0" fontId="0" fillId="0" borderId="0" xfId="0"/>
    <xf numFmtId="0" fontId="2" fillId="2" borderId="0" xfId="0" applyFont="1" applyFill="1" applyAlignment="1">
      <alignment horizontal="center" vertical="center"/>
    </xf>
    <xf numFmtId="0" fontId="0" fillId="3" borderId="0" xfId="0" applyFill="1" applyAlignment="1">
      <alignment horizontal="center" vertical="center"/>
    </xf>
    <xf numFmtId="0" fontId="3" fillId="4" borderId="0" xfId="0" applyFont="1" applyFill="1" applyAlignment="1">
      <alignment horizontal="center" vertical="center"/>
    </xf>
    <xf numFmtId="0" fontId="0" fillId="0" borderId="0" xfId="0" applyAlignment="1">
      <alignment horizontal="center" vertical="center"/>
    </xf>
    <xf numFmtId="0" fontId="2" fillId="5" borderId="0" xfId="0" applyFont="1" applyFill="1" applyAlignment="1">
      <alignment horizontal="center" vertical="center"/>
    </xf>
    <xf numFmtId="0" fontId="3" fillId="5" borderId="0" xfId="0" applyFont="1" applyFill="1" applyAlignment="1">
      <alignment horizontal="center" vertical="center"/>
    </xf>
    <xf numFmtId="0" fontId="4" fillId="0" borderId="0" xfId="0" applyFont="1" applyAlignment="1">
      <alignment horizontal="center" vertical="center"/>
    </xf>
    <xf numFmtId="0" fontId="0" fillId="0" borderId="0" xfId="0" applyAlignment="1">
      <alignment horizontal="left"/>
    </xf>
    <xf numFmtId="164" fontId="0" fillId="0" borderId="0" xfId="0" applyNumberFormat="1"/>
    <xf numFmtId="164" fontId="0" fillId="0" borderId="0" xfId="0" applyNumberFormat="1" applyAlignment="1">
      <alignment horizontal="center" vertical="center"/>
    </xf>
    <xf numFmtId="1" fontId="5" fillId="0" borderId="0" xfId="0" applyNumberFormat="1" applyFont="1" applyAlignment="1">
      <alignment horizontal="center" vertical="center"/>
    </xf>
    <xf numFmtId="1" fontId="4" fillId="0" borderId="0" xfId="0" applyNumberFormat="1" applyFont="1" applyAlignment="1">
      <alignment horizontal="center" vertical="center"/>
    </xf>
    <xf numFmtId="0" fontId="0" fillId="0" borderId="0" xfId="0" applyAlignment="1">
      <alignment horizontal="left" vertical="center"/>
    </xf>
    <xf numFmtId="164" fontId="0" fillId="0" borderId="0" xfId="1" applyNumberFormat="1" applyFont="1" applyFill="1" applyBorder="1" applyAlignment="1">
      <alignment horizontal="center" vertical="center"/>
    </xf>
    <xf numFmtId="164" fontId="0" fillId="0" borderId="0" xfId="1" applyNumberFormat="1" applyFont="1" applyFill="1" applyBorder="1"/>
    <xf numFmtId="0" fontId="6" fillId="6" borderId="0" xfId="0" applyFont="1" applyFill="1"/>
    <xf numFmtId="0" fontId="0" fillId="6" borderId="0" xfId="0" applyFill="1"/>
    <xf numFmtId="0" fontId="4" fillId="0" borderId="0" xfId="0" applyFont="1" applyAlignment="1">
      <alignment vertical="center"/>
    </xf>
    <xf numFmtId="164" fontId="7" fillId="0" borderId="0" xfId="0" applyNumberFormat="1" applyFont="1" applyAlignment="1">
      <alignment vertical="center"/>
    </xf>
    <xf numFmtId="0" fontId="7" fillId="0" borderId="0" xfId="0" applyFont="1" applyAlignment="1">
      <alignment vertical="center"/>
    </xf>
    <xf numFmtId="0" fontId="3" fillId="7" borderId="0" xfId="0" applyFont="1" applyFill="1" applyAlignment="1">
      <alignment horizontal="center" vertical="center"/>
    </xf>
    <xf numFmtId="0" fontId="7" fillId="0" borderId="0" xfId="0" applyFont="1" applyAlignment="1">
      <alignment horizontal="center" vertical="center"/>
    </xf>
    <xf numFmtId="165" fontId="7" fillId="0" borderId="0" xfId="1" applyNumberFormat="1" applyFont="1" applyAlignment="1">
      <alignment vertical="center"/>
    </xf>
    <xf numFmtId="9" fontId="3" fillId="7" borderId="0" xfId="2" applyFont="1" applyFill="1" applyAlignment="1">
      <alignment horizontal="center" vertical="center"/>
    </xf>
    <xf numFmtId="9" fontId="7" fillId="0" borderId="0" xfId="2" applyFont="1" applyAlignment="1">
      <alignment vertical="center"/>
    </xf>
    <xf numFmtId="9" fontId="4" fillId="0" borderId="0" xfId="2" applyFont="1" applyAlignment="1">
      <alignment vertical="center"/>
    </xf>
    <xf numFmtId="0" fontId="3" fillId="7" borderId="1" xfId="0" applyFont="1" applyFill="1" applyBorder="1" applyAlignment="1">
      <alignment horizontal="center" vertical="center"/>
    </xf>
    <xf numFmtId="164" fontId="7" fillId="0" borderId="2" xfId="0" applyNumberFormat="1" applyFont="1" applyBorder="1" applyAlignment="1">
      <alignment vertical="center"/>
    </xf>
    <xf numFmtId="10" fontId="7" fillId="0" borderId="3" xfId="2" applyNumberFormat="1" applyFont="1" applyBorder="1" applyAlignment="1">
      <alignment vertical="center"/>
    </xf>
    <xf numFmtId="0" fontId="3" fillId="7" borderId="4" xfId="0" applyFont="1" applyFill="1" applyBorder="1" applyAlignment="1">
      <alignment horizontal="center" vertical="center"/>
    </xf>
    <xf numFmtId="164" fontId="7" fillId="0" borderId="5" xfId="0" applyNumberFormat="1" applyFont="1" applyBorder="1" applyAlignment="1">
      <alignment vertical="center"/>
    </xf>
    <xf numFmtId="10" fontId="7" fillId="0" borderId="6" xfId="2" applyNumberFormat="1" applyFont="1" applyBorder="1" applyAlignment="1">
      <alignment vertical="center"/>
    </xf>
    <xf numFmtId="165" fontId="7" fillId="0" borderId="0" xfId="1" applyNumberFormat="1" applyFont="1" applyBorder="1" applyAlignment="1">
      <alignment vertical="center"/>
    </xf>
    <xf numFmtId="9" fontId="7" fillId="0" borderId="0" xfId="2" applyFont="1" applyBorder="1" applyAlignment="1">
      <alignment vertical="center"/>
    </xf>
    <xf numFmtId="0" fontId="7" fillId="0" borderId="5" xfId="0" applyFont="1" applyBorder="1" applyAlignment="1">
      <alignment vertical="center"/>
    </xf>
    <xf numFmtId="165" fontId="7" fillId="0" borderId="5" xfId="1" applyNumberFormat="1" applyFont="1" applyBorder="1" applyAlignment="1">
      <alignment vertical="center"/>
    </xf>
    <xf numFmtId="9" fontId="7" fillId="0" borderId="5" xfId="2" applyFont="1" applyBorder="1" applyAlignment="1">
      <alignment vertical="center"/>
    </xf>
    <xf numFmtId="0" fontId="0" fillId="0" borderId="0" xfId="0" pivotButton="1"/>
    <xf numFmtId="1" fontId="0" fillId="0" borderId="0" xfId="0" applyNumberFormat="1"/>
    <xf numFmtId="10" fontId="0" fillId="0" borderId="0" xfId="0" applyNumberFormat="1"/>
    <xf numFmtId="0" fontId="8" fillId="8" borderId="7" xfId="0" applyFont="1" applyFill="1" applyBorder="1" applyAlignment="1">
      <alignment vertical="center"/>
    </xf>
    <xf numFmtId="166" fontId="4" fillId="0" borderId="0" xfId="1" applyNumberFormat="1" applyFont="1" applyAlignment="1">
      <alignment vertical="center"/>
    </xf>
    <xf numFmtId="0" fontId="4" fillId="0" borderId="1" xfId="0" applyFont="1" applyBorder="1" applyAlignment="1">
      <alignment vertical="center"/>
    </xf>
    <xf numFmtId="0" fontId="4" fillId="0" borderId="8" xfId="0" applyFont="1" applyBorder="1" applyAlignment="1">
      <alignment vertical="center"/>
    </xf>
    <xf numFmtId="9" fontId="4" fillId="0" borderId="6" xfId="2" applyFont="1" applyBorder="1" applyAlignment="1">
      <alignment vertical="center"/>
    </xf>
    <xf numFmtId="0" fontId="4" fillId="0" borderId="4" xfId="0" applyFont="1" applyBorder="1" applyAlignment="1">
      <alignment vertical="center"/>
    </xf>
    <xf numFmtId="0" fontId="3" fillId="9" borderId="0" xfId="0" applyFont="1" applyFill="1" applyAlignment="1">
      <alignment horizontal="center" vertical="center"/>
    </xf>
    <xf numFmtId="9" fontId="4" fillId="0" borderId="5" xfId="2" applyFont="1" applyBorder="1" applyAlignment="1">
      <alignment vertical="center"/>
    </xf>
    <xf numFmtId="0" fontId="3" fillId="9" borderId="1" xfId="0" applyFont="1" applyFill="1" applyBorder="1" applyAlignment="1">
      <alignment horizontal="center" vertical="center"/>
    </xf>
    <xf numFmtId="0" fontId="3" fillId="9" borderId="3" xfId="0" applyFont="1" applyFill="1" applyBorder="1" applyAlignment="1">
      <alignment horizontal="center" vertical="center"/>
    </xf>
    <xf numFmtId="9" fontId="4" fillId="0" borderId="4" xfId="2" applyFont="1" applyBorder="1" applyAlignment="1">
      <alignment vertical="center"/>
    </xf>
    <xf numFmtId="0" fontId="4" fillId="0" borderId="1" xfId="0" applyFont="1" applyBorder="1" applyAlignment="1">
      <alignment horizontal="center" vertical="center"/>
    </xf>
    <xf numFmtId="0" fontId="4" fillId="0" borderId="3" xfId="0" applyFont="1" applyBorder="1" applyAlignment="1">
      <alignment horizontal="center" vertical="center"/>
    </xf>
    <xf numFmtId="0" fontId="4" fillId="0" borderId="4" xfId="0" applyFont="1" applyBorder="1" applyAlignment="1">
      <alignment horizontal="center" vertical="center"/>
    </xf>
    <xf numFmtId="0" fontId="4" fillId="0" borderId="6" xfId="0" applyFont="1" applyBorder="1" applyAlignment="1">
      <alignment horizontal="center" vertical="center"/>
    </xf>
    <xf numFmtId="0" fontId="0" fillId="10" borderId="0" xfId="0" applyFill="1"/>
    <xf numFmtId="9" fontId="4" fillId="0" borderId="0" xfId="2" applyFont="1" applyBorder="1" applyAlignment="1">
      <alignment vertical="center"/>
    </xf>
    <xf numFmtId="9" fontId="4" fillId="0" borderId="2" xfId="2" applyFont="1" applyBorder="1" applyAlignment="1">
      <alignment vertical="center"/>
    </xf>
    <xf numFmtId="166" fontId="4" fillId="0" borderId="3" xfId="1" applyNumberFormat="1" applyFont="1" applyBorder="1" applyAlignment="1">
      <alignment vertical="center"/>
    </xf>
    <xf numFmtId="166" fontId="4" fillId="0" borderId="9" xfId="1" applyNumberFormat="1" applyFont="1" applyBorder="1" applyAlignment="1">
      <alignment vertical="center"/>
    </xf>
    <xf numFmtId="166" fontId="4" fillId="0" borderId="6" xfId="1" applyNumberFormat="1" applyFont="1" applyBorder="1" applyAlignment="1">
      <alignment vertical="center"/>
    </xf>
    <xf numFmtId="10" fontId="9" fillId="0" borderId="0" xfId="0" applyNumberFormat="1" applyFont="1"/>
    <xf numFmtId="10" fontId="9" fillId="0" borderId="1" xfId="0" applyNumberFormat="1" applyFont="1" applyBorder="1"/>
    <xf numFmtId="10" fontId="9" fillId="0" borderId="8" xfId="0" applyNumberFormat="1" applyFont="1" applyBorder="1"/>
    <xf numFmtId="10" fontId="9" fillId="0" borderId="4" xfId="0" applyNumberFormat="1" applyFont="1" applyBorder="1"/>
    <xf numFmtId="0" fontId="3" fillId="9" borderId="0" xfId="0" applyFont="1" applyFill="1" applyAlignment="1">
      <alignment horizontal="left" vertical="center"/>
    </xf>
    <xf numFmtId="10" fontId="10" fillId="0" borderId="1" xfId="0" applyNumberFormat="1" applyFont="1" applyBorder="1" applyAlignment="1">
      <alignment horizontal="center" vertical="center"/>
    </xf>
    <xf numFmtId="10" fontId="10" fillId="0" borderId="8" xfId="0" applyNumberFormat="1" applyFont="1" applyBorder="1" applyAlignment="1">
      <alignment horizontal="center" vertical="center"/>
    </xf>
    <xf numFmtId="10" fontId="10" fillId="0" borderId="4" xfId="0" applyNumberFormat="1" applyFont="1" applyBorder="1" applyAlignment="1">
      <alignment horizontal="center" vertical="center"/>
    </xf>
    <xf numFmtId="10" fontId="11" fillId="0" borderId="3" xfId="0" applyNumberFormat="1" applyFont="1" applyBorder="1" applyAlignment="1">
      <alignment horizontal="center" vertical="center"/>
    </xf>
    <xf numFmtId="10" fontId="11" fillId="0" borderId="9" xfId="0" applyNumberFormat="1" applyFont="1" applyBorder="1" applyAlignment="1">
      <alignment horizontal="center" vertical="center"/>
    </xf>
    <xf numFmtId="10" fontId="11" fillId="0" borderId="6" xfId="0" applyNumberFormat="1" applyFont="1" applyBorder="1" applyAlignment="1">
      <alignment horizontal="center" vertical="center"/>
    </xf>
    <xf numFmtId="10" fontId="12" fillId="0" borderId="2" xfId="0" applyNumberFormat="1" applyFont="1" applyBorder="1" applyAlignment="1">
      <alignment horizontal="center" vertical="center"/>
    </xf>
    <xf numFmtId="10" fontId="12" fillId="0" borderId="0" xfId="0" applyNumberFormat="1" applyFont="1" applyAlignment="1">
      <alignment horizontal="center" vertical="center"/>
    </xf>
    <xf numFmtId="10" fontId="12" fillId="0" borderId="5" xfId="0" applyNumberFormat="1" applyFont="1" applyBorder="1" applyAlignment="1">
      <alignment horizontal="center" vertical="center"/>
    </xf>
    <xf numFmtId="10" fontId="13" fillId="0" borderId="3" xfId="0" applyNumberFormat="1" applyFont="1" applyBorder="1" applyAlignment="1">
      <alignment horizontal="center" vertical="center"/>
    </xf>
    <xf numFmtId="10" fontId="13" fillId="0" borderId="9" xfId="0" applyNumberFormat="1" applyFont="1" applyBorder="1" applyAlignment="1">
      <alignment horizontal="center" vertical="center"/>
    </xf>
    <xf numFmtId="10" fontId="13" fillId="0" borderId="6" xfId="0" applyNumberFormat="1" applyFont="1" applyBorder="1" applyAlignment="1">
      <alignment horizontal="center" vertical="center"/>
    </xf>
    <xf numFmtId="167" fontId="4" fillId="0" borderId="0" xfId="2" applyNumberFormat="1" applyFont="1" applyBorder="1" applyAlignment="1">
      <alignment vertical="center"/>
    </xf>
    <xf numFmtId="166" fontId="4" fillId="0" borderId="0" xfId="0" applyNumberFormat="1" applyFont="1" applyAlignment="1">
      <alignment vertical="center"/>
    </xf>
    <xf numFmtId="9" fontId="3" fillId="9" borderId="0" xfId="0" applyNumberFormat="1" applyFont="1" applyFill="1" applyAlignment="1">
      <alignment horizontal="center" vertical="center"/>
    </xf>
    <xf numFmtId="0" fontId="14" fillId="11" borderId="0" xfId="0" applyFont="1" applyFill="1"/>
    <xf numFmtId="165" fontId="0" fillId="0" borderId="0" xfId="0" applyNumberFormat="1"/>
    <xf numFmtId="0" fontId="3" fillId="12" borderId="0" xfId="0" applyFont="1" applyFill="1" applyAlignment="1">
      <alignment horizontal="center" vertical="center"/>
    </xf>
    <xf numFmtId="9" fontId="4" fillId="0" borderId="0" xfId="0" applyNumberFormat="1" applyFont="1" applyAlignment="1">
      <alignment vertical="center"/>
    </xf>
    <xf numFmtId="9" fontId="4" fillId="0" borderId="0" xfId="2" applyFont="1" applyAlignment="1">
      <alignment horizontal="center" vertical="center"/>
    </xf>
    <xf numFmtId="9" fontId="4" fillId="0" borderId="0" xfId="0" applyNumberFormat="1" applyFont="1" applyAlignment="1">
      <alignment horizontal="center" vertical="center"/>
    </xf>
    <xf numFmtId="0" fontId="3" fillId="13" borderId="0" xfId="0" applyFont="1" applyFill="1" applyAlignment="1">
      <alignment vertical="center"/>
    </xf>
    <xf numFmtId="0" fontId="0" fillId="0" borderId="10" xfId="0" applyBorder="1" applyAlignment="1">
      <alignment horizontal="left"/>
    </xf>
    <xf numFmtId="0" fontId="0" fillId="0" borderId="11" xfId="0" applyBorder="1" applyAlignment="1">
      <alignment horizontal="left"/>
    </xf>
    <xf numFmtId="0" fontId="3" fillId="13" borderId="0" xfId="0" applyFont="1" applyFill="1" applyAlignment="1">
      <alignment horizontal="center" vertical="center"/>
    </xf>
    <xf numFmtId="0" fontId="4" fillId="0" borderId="7" xfId="0" applyFont="1" applyBorder="1" applyAlignment="1">
      <alignment horizontal="center" vertical="center"/>
    </xf>
    <xf numFmtId="0" fontId="15" fillId="0" borderId="7" xfId="0" applyFont="1" applyBorder="1" applyAlignment="1">
      <alignment horizontal="center" vertical="center"/>
    </xf>
    <xf numFmtId="0" fontId="4" fillId="0" borderId="7" xfId="0" applyFont="1" applyBorder="1" applyAlignment="1">
      <alignment vertical="center"/>
    </xf>
    <xf numFmtId="165" fontId="4" fillId="0" borderId="3" xfId="1" applyNumberFormat="1" applyFont="1" applyBorder="1" applyAlignment="1">
      <alignment vertical="center"/>
    </xf>
    <xf numFmtId="165" fontId="4" fillId="0" borderId="9" xfId="1" applyNumberFormat="1" applyFont="1" applyBorder="1" applyAlignment="1">
      <alignment vertical="center"/>
    </xf>
    <xf numFmtId="165" fontId="4" fillId="0" borderId="6" xfId="1" applyNumberFormat="1" applyFont="1" applyBorder="1" applyAlignment="1">
      <alignment vertical="center"/>
    </xf>
    <xf numFmtId="9" fontId="0" fillId="0" borderId="0" xfId="0" applyNumberFormat="1"/>
    <xf numFmtId="9" fontId="4" fillId="0" borderId="7" xfId="2" applyFont="1" applyBorder="1" applyAlignment="1">
      <alignment horizontal="center" vertical="center"/>
    </xf>
    <xf numFmtId="0" fontId="4" fillId="11" borderId="7" xfId="0" applyFont="1" applyFill="1" applyBorder="1" applyAlignment="1">
      <alignment vertical="center"/>
    </xf>
    <xf numFmtId="1" fontId="16" fillId="0" borderId="0" xfId="0" applyNumberFormat="1" applyFont="1"/>
    <xf numFmtId="10" fontId="16" fillId="0" borderId="0" xfId="0" applyNumberFormat="1" applyFont="1"/>
    <xf numFmtId="0" fontId="16" fillId="0" borderId="0" xfId="0" applyFont="1" applyAlignment="1">
      <alignment horizontal="left"/>
    </xf>
    <xf numFmtId="168" fontId="7" fillId="0" borderId="0" xfId="3" applyNumberFormat="1" applyFont="1" applyAlignment="1">
      <alignment vertical="center"/>
    </xf>
    <xf numFmtId="0" fontId="4" fillId="0" borderId="0" xfId="0" pivotButton="1" applyFont="1" applyAlignment="1">
      <alignment vertical="center"/>
    </xf>
    <xf numFmtId="0" fontId="4" fillId="0" borderId="0" xfId="0" applyFont="1" applyAlignment="1">
      <alignment horizontal="left" vertical="center"/>
    </xf>
    <xf numFmtId="10" fontId="7" fillId="0" borderId="0" xfId="0" applyNumberFormat="1" applyFont="1" applyAlignment="1">
      <alignment vertical="center"/>
    </xf>
    <xf numFmtId="0" fontId="7" fillId="0" borderId="0" xfId="0" applyFont="1" applyAlignment="1">
      <alignment horizontal="left" vertical="center"/>
    </xf>
    <xf numFmtId="0" fontId="4" fillId="0" borderId="0" xfId="0" applyFont="1" applyAlignment="1">
      <alignment horizontal="left" vertical="center" indent="1"/>
    </xf>
  </cellXfs>
  <cellStyles count="4">
    <cellStyle name="Comma" xfId="1" builtinId="3"/>
    <cellStyle name="Currency" xfId="3" builtinId="4"/>
    <cellStyle name="Normal" xfId="0" builtinId="0"/>
    <cellStyle name="Percent" xfId="2" builtinId="5"/>
  </cellStyles>
  <dxfs count="107">
    <dxf>
      <font>
        <color theme="1" tint="0.249977111117893"/>
      </font>
    </dxf>
    <dxf>
      <font>
        <color theme="1" tint="0.249977111117893"/>
      </font>
    </dxf>
    <dxf>
      <alignment vertical="center"/>
    </dxf>
    <dxf>
      <alignment vertical="center"/>
    </dxf>
    <dxf>
      <alignment vertical="center"/>
    </dxf>
    <dxf>
      <alignment vertical="center"/>
    </dxf>
    <dxf>
      <alignment vertical="center"/>
    </dxf>
    <dxf>
      <font>
        <name val="Arial"/>
        <scheme val="none"/>
      </font>
    </dxf>
    <dxf>
      <font>
        <name val="Arial"/>
        <scheme val="none"/>
      </font>
    </dxf>
    <dxf>
      <font>
        <name val="Arial"/>
        <scheme val="none"/>
      </font>
    </dxf>
    <dxf>
      <font>
        <name val="Arial"/>
        <scheme val="none"/>
      </font>
    </dxf>
    <dxf>
      <font>
        <name val="Arial"/>
        <scheme val="none"/>
      </font>
    </dxf>
    <dxf>
      <numFmt numFmtId="14" formatCode="0.00%"/>
    </dxf>
    <dxf>
      <font>
        <color theme="1" tint="0.249977111117893"/>
      </font>
    </dxf>
    <dxf>
      <font>
        <color theme="1" tint="0.249977111117893"/>
      </font>
    </dxf>
    <dxf>
      <font>
        <color theme="1" tint="0.249977111117893"/>
      </font>
    </dxf>
    <dxf>
      <alignment vertical="center"/>
    </dxf>
    <dxf>
      <alignment vertical="center"/>
    </dxf>
    <dxf>
      <alignment vertical="center"/>
    </dxf>
    <dxf>
      <alignment vertical="center"/>
    </dxf>
    <dxf>
      <alignment vertical="center"/>
    </dxf>
    <dxf>
      <alignment vertical="center"/>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numFmt numFmtId="14" formatCode="0.00%"/>
    </dxf>
    <dxf>
      <font>
        <color theme="1" tint="0.249977111117893"/>
      </font>
    </dxf>
    <dxf>
      <font>
        <color theme="1" tint="0.249977111117893"/>
      </font>
    </dxf>
    <dxf>
      <alignment vertical="center"/>
    </dxf>
    <dxf>
      <alignment vertical="center"/>
    </dxf>
    <dxf>
      <alignment vertical="center"/>
    </dxf>
    <dxf>
      <alignment vertical="center"/>
    </dxf>
    <dxf>
      <font>
        <name val="Arial"/>
        <scheme val="none"/>
      </font>
    </dxf>
    <dxf>
      <font>
        <name val="Arial"/>
        <scheme val="none"/>
      </font>
    </dxf>
    <dxf>
      <font>
        <name val="Arial"/>
        <scheme val="none"/>
      </font>
    </dxf>
    <dxf>
      <font>
        <name val="Arial"/>
        <scheme val="none"/>
      </font>
    </dxf>
    <dxf>
      <numFmt numFmtId="165" formatCode="_ * #,##0_ ;_ * \-#,##0_ ;_ * &quot;-&quot;??_ ;_ @_ "/>
    </dxf>
    <dxf>
      <font>
        <color theme="0"/>
      </font>
    </dxf>
    <dxf>
      <fill>
        <patternFill patternType="solid">
          <bgColor theme="2" tint="-0.499984740745262"/>
        </patternFill>
      </fill>
    </dxf>
    <dxf>
      <numFmt numFmtId="165" formatCode="_ * #,##0_ ;_ * \-#,##0_ ;_ * &quot;-&quot;??_ ;_ @_ "/>
    </dxf>
    <dxf>
      <numFmt numFmtId="13" formatCode="0%"/>
    </dxf>
    <dxf>
      <numFmt numFmtId="14" formatCode="0.00%"/>
    </dxf>
    <dxf>
      <numFmt numFmtId="165" formatCode="_ * #,##0_ ;_ * \-#,##0_ ;_ * &quot;-&quot;??_ ;_ @_ "/>
    </dxf>
    <dxf>
      <numFmt numFmtId="14" formatCode="0.00%"/>
    </dxf>
    <dxf>
      <font>
        <color theme="1" tint="0.249977111117893"/>
      </font>
    </dxf>
    <dxf>
      <font>
        <color theme="1" tint="0.249977111117893"/>
      </font>
    </dxf>
    <dxf>
      <alignment vertical="center"/>
    </dxf>
    <dxf>
      <alignment vertical="center"/>
    </dxf>
    <dxf>
      <alignment vertical="center"/>
    </dxf>
    <dxf>
      <alignment vertical="center"/>
    </dxf>
    <dxf>
      <font>
        <name val="Arial"/>
        <scheme val="none"/>
      </font>
    </dxf>
    <dxf>
      <font>
        <name val="Arial"/>
        <scheme val="none"/>
      </font>
    </dxf>
    <dxf>
      <font>
        <name val="Arial"/>
        <scheme val="none"/>
      </font>
    </dxf>
    <dxf>
      <font>
        <name val="Arial"/>
        <scheme val="none"/>
      </font>
    </dxf>
    <dxf>
      <font>
        <color theme="1" tint="0.249977111117893"/>
      </font>
    </dxf>
    <dxf>
      <font>
        <color theme="1" tint="0.249977111117893"/>
      </font>
    </dxf>
    <dxf>
      <alignment vertical="center"/>
    </dxf>
    <dxf>
      <alignment vertical="center"/>
    </dxf>
    <dxf>
      <alignment vertical="center"/>
    </dxf>
    <dxf>
      <alignment vertical="center"/>
    </dxf>
    <dxf>
      <alignment vertical="center"/>
    </dxf>
    <dxf>
      <font>
        <name val="Arial"/>
        <scheme val="none"/>
      </font>
    </dxf>
    <dxf>
      <font>
        <name val="Arial"/>
        <scheme val="none"/>
      </font>
    </dxf>
    <dxf>
      <font>
        <name val="Arial"/>
        <scheme val="none"/>
      </font>
    </dxf>
    <dxf>
      <font>
        <name val="Arial"/>
        <scheme val="none"/>
      </font>
    </dxf>
    <dxf>
      <font>
        <name val="Arial"/>
        <scheme val="none"/>
      </font>
    </dxf>
    <dxf>
      <numFmt numFmtId="165" formatCode="_ * #,##0_ ;_ * \-#,##0_ ;_ * &quot;-&quot;??_ ;_ @_ "/>
    </dxf>
    <dxf>
      <font>
        <sz val="12"/>
      </font>
    </dxf>
    <dxf>
      <font>
        <sz val="12"/>
      </font>
    </dxf>
    <dxf>
      <font>
        <sz val="12"/>
      </font>
    </dxf>
    <dxf>
      <font>
        <name val="Avenir Light"/>
        <scheme val="none"/>
      </font>
    </dxf>
    <dxf>
      <font>
        <name val="Avenir Light"/>
        <scheme val="none"/>
      </font>
    </dxf>
    <dxf>
      <font>
        <name val="Avenir Light"/>
        <scheme val="none"/>
      </font>
    </dxf>
    <dxf>
      <font>
        <color theme="1" tint="0.249977111117893"/>
      </font>
    </dxf>
    <dxf>
      <font>
        <color theme="1" tint="0.249977111117893"/>
      </font>
    </dxf>
    <dxf>
      <alignment vertical="center"/>
    </dxf>
    <dxf>
      <alignment vertical="center"/>
    </dxf>
    <dxf>
      <alignment vertical="center"/>
    </dxf>
    <dxf>
      <alignment vertical="center"/>
    </dxf>
    <dxf>
      <font>
        <name val="Arial"/>
        <scheme val="none"/>
      </font>
    </dxf>
    <dxf>
      <font>
        <name val="Arial"/>
        <scheme val="none"/>
      </font>
    </dxf>
    <dxf>
      <font>
        <name val="Arial"/>
        <scheme val="none"/>
      </font>
    </dxf>
    <dxf>
      <font>
        <name val="Arial"/>
        <scheme val="none"/>
      </font>
    </dxf>
    <dxf>
      <font>
        <b val="0"/>
        <i val="0"/>
        <strike val="0"/>
        <condense val="0"/>
        <extend val="0"/>
        <outline val="0"/>
        <shadow val="0"/>
        <u val="none"/>
        <vertAlign val="baseline"/>
        <sz val="11"/>
        <color theme="1"/>
        <name val="Calibri"/>
        <family val="2"/>
        <scheme val="minor"/>
      </font>
      <numFmt numFmtId="164" formatCode="_(* #,##0_);_(* \(#,##0\);_(* &quot;-&quot;??_);_(@_)"/>
    </dxf>
    <dxf>
      <font>
        <b val="0"/>
        <i val="0"/>
        <strike val="0"/>
        <condense val="0"/>
        <extend val="0"/>
        <outline val="0"/>
        <shadow val="0"/>
        <u val="none"/>
        <vertAlign val="baseline"/>
        <sz val="11"/>
        <color theme="1"/>
        <name val="Calibri"/>
        <family val="2"/>
        <scheme val="minor"/>
      </font>
      <numFmt numFmtId="164" formatCode="_(* #,##0_);_(* \(#,##0\);_(* &quot;-&quot;??_);_(@_)"/>
    </dxf>
    <dxf>
      <font>
        <b val="0"/>
        <i val="0"/>
        <strike val="0"/>
        <condense val="0"/>
        <extend val="0"/>
        <outline val="0"/>
        <shadow val="0"/>
        <u val="none"/>
        <vertAlign val="baseline"/>
        <sz val="11"/>
        <color theme="1"/>
        <name val="Calibri"/>
        <family val="2"/>
        <scheme val="minor"/>
      </font>
      <numFmt numFmtId="164" formatCode="_(* #,##0_);_(* \(#,##0\);_(* &quot;-&quot;??_);_(@_)"/>
    </dxf>
    <dxf>
      <font>
        <b val="0"/>
        <i val="0"/>
        <strike val="0"/>
        <condense val="0"/>
        <extend val="0"/>
        <outline val="0"/>
        <shadow val="0"/>
        <u val="none"/>
        <vertAlign val="baseline"/>
        <sz val="11"/>
        <color theme="1"/>
        <name val="Calibri"/>
        <family val="2"/>
        <scheme val="minor"/>
      </font>
      <numFmt numFmtId="164" formatCode="_(* #,##0_);_(* \(#,##0\);_(* &quot;-&quot;??_);_(@_)"/>
    </dxf>
    <dxf>
      <font>
        <b val="0"/>
        <i val="0"/>
        <strike val="0"/>
        <condense val="0"/>
        <extend val="0"/>
        <outline val="0"/>
        <shadow val="0"/>
        <u val="none"/>
        <vertAlign val="baseline"/>
        <sz val="11"/>
        <color theme="1"/>
        <name val="Calibri"/>
        <family val="2"/>
        <scheme val="minor"/>
      </font>
      <numFmt numFmtId="164" formatCode="_(* #,##0_);_(* \(#,##0\);_(* &quot;-&quot;??_);_(@_)"/>
    </dxf>
    <dxf>
      <font>
        <b val="0"/>
        <i val="0"/>
        <strike val="0"/>
        <condense val="0"/>
        <extend val="0"/>
        <outline val="0"/>
        <shadow val="0"/>
        <u val="none"/>
        <vertAlign val="baseline"/>
        <sz val="11"/>
        <color theme="1"/>
        <name val="Calibri"/>
        <family val="2"/>
        <scheme val="minor"/>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border outline="0">
        <top style="thin">
          <color theme="6"/>
        </top>
      </border>
    </dxf>
    <dxf>
      <font>
        <strike val="0"/>
        <outline val="0"/>
        <shadow val="0"/>
        <u val="none"/>
        <vertAlign val="baseline"/>
        <sz val="11"/>
        <color theme="1"/>
        <name val="Calibri"/>
        <family val="2"/>
        <scheme val="minor"/>
      </font>
    </dxf>
    <dxf>
      <border outline="0">
        <bottom style="thin">
          <color theme="6"/>
        </bottom>
      </border>
    </dxf>
    <dxf>
      <font>
        <b/>
        <i val="0"/>
        <strike val="0"/>
        <condense val="0"/>
        <extend val="0"/>
        <outline val="0"/>
        <shadow val="0"/>
        <u val="none"/>
        <vertAlign val="baseline"/>
        <sz val="11"/>
        <color theme="0"/>
        <name val="Arial"/>
        <family val="2"/>
        <scheme val="none"/>
      </font>
      <fill>
        <patternFill patternType="solid">
          <fgColor indexed="64"/>
          <bgColor rgb="FF5A2BCB"/>
        </patternFill>
      </fill>
      <alignment horizontal="center" vertical="center" textRotation="0" wrapText="0" indent="0" justifyLastLine="0" shrinkToFit="0" readingOrder="0"/>
    </dxf>
    <dxf>
      <font>
        <b/>
        <color theme="1"/>
      </font>
      <border>
        <bottom style="thin">
          <color theme="4"/>
        </bottom>
        <vertical/>
        <horizontal/>
      </border>
    </dxf>
    <dxf>
      <font>
        <color theme="1"/>
      </font>
      <fill>
        <patternFill>
          <bgColor theme="1"/>
        </patternFill>
      </fill>
      <border diagonalUp="0" diagonalDown="0">
        <left/>
        <right/>
        <top/>
        <bottom/>
        <vertical/>
        <horizontal/>
      </border>
    </dxf>
    <dxf>
      <fill>
        <patternFill patternType="none">
          <bgColor auto="1"/>
        </patternFill>
      </fill>
    </dxf>
    <dxf>
      <fill>
        <patternFill patternType="none">
          <bgColor auto="1"/>
        </patternFill>
      </fill>
    </dxf>
    <dxf>
      <font>
        <strike val="0"/>
      </font>
      <fill>
        <patternFill patternType="none">
          <bgColor auto="1"/>
        </patternFill>
      </fill>
    </dxf>
    <dxf>
      <fill>
        <patternFill patternType="solid">
          <fgColor rgb="FFD9E2F3"/>
          <bgColor rgb="FFD9E2F3"/>
        </patternFill>
      </fill>
    </dxf>
    <dxf>
      <fill>
        <patternFill patternType="solid">
          <fgColor rgb="FFECECEC"/>
          <bgColor rgb="FFECECEC"/>
        </patternFill>
      </fill>
    </dxf>
    <dxf>
      <fill>
        <patternFill patternType="solid">
          <fgColor theme="0"/>
          <bgColor theme="0"/>
        </patternFill>
      </fill>
    </dxf>
  </dxfs>
  <tableStyles count="4" defaultTableStyle="TableStyleMedium2" defaultPivotStyle="PivotStyleLight16">
    <tableStyle name="Data Tables-style" pivot="0" count="3" xr9:uid="{D831B280-1E3C-452B-96B8-BA8BC11B6571}">
      <tableStyleElement type="headerRow" dxfId="106"/>
      <tableStyleElement type="firstRowStripe" dxfId="105"/>
      <tableStyleElement type="secondRowStripe" dxfId="104"/>
    </tableStyle>
    <tableStyle name="Slicer Style 1" pivot="0" table="0" count="8" xr9:uid="{019967A8-059E-47D5-A6BD-CCC54AD5779F}">
      <tableStyleElement type="wholeTable" dxfId="103"/>
      <tableStyleElement type="headerRow" dxfId="102"/>
    </tableStyle>
    <tableStyle name="Slicer Style 2" pivot="0" table="0" count="1" xr9:uid="{E2850F15-BA3D-4C67-AEAA-6D4B039CC0FA}">
      <tableStyleElement type="wholeTable" dxfId="101"/>
    </tableStyle>
    <tableStyle name="SlicerStyleDark1 2" pivot="0" table="0" count="10" xr9:uid="{4F3947C8-A10A-40C0-9A40-C8DC4DCAEF71}">
      <tableStyleElement type="wholeTable" dxfId="100"/>
      <tableStyleElement type="headerRow" dxfId="99"/>
    </tableStyle>
  </tableStyles>
  <colors>
    <mruColors>
      <color rgb="FFFF6C8F"/>
      <color rgb="FF194AFE"/>
      <color rgb="FF5063F3"/>
      <color rgb="FF00F1DF"/>
      <color rgb="FF9947F7"/>
      <color rgb="FF296EFC"/>
      <color rgb="FFC23FD8"/>
      <color rgb="FFC240DB"/>
      <color rgb="FF0F11A7"/>
      <color rgb="FF5A097C"/>
    </mruColors>
  </colors>
  <extLst>
    <ext xmlns:x14="http://schemas.microsoft.com/office/spreadsheetml/2009/9/main" uri="{46F421CA-312F-682f-3DD2-61675219B42D}">
      <x14:dxfs count="14">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b/>
            <i val="0"/>
            <color theme="1"/>
          </font>
          <fill>
            <patternFill patternType="solid">
              <fgColor rgb="FF1D1D3C"/>
              <bgColor theme="0"/>
            </patternFill>
          </fill>
          <border diagonalUp="0" diagonalDown="0">
            <left/>
            <right/>
            <top/>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theme="0"/>
          </font>
          <fill>
            <patternFill patternType="solid">
              <fgColor rgb="FFC0C0C0"/>
              <bgColor rgb="FF070E25"/>
            </patternFill>
          </fill>
          <border diagonalUp="0" diagonalDown="0">
            <left/>
            <right/>
            <top/>
            <bottom/>
            <vertical/>
            <horizontal/>
          </border>
        </dxf>
        <dxf>
          <font>
            <b/>
            <i val="0"/>
            <sz val="10"/>
            <color theme="1"/>
            <name val="Calibri"/>
            <family val="2"/>
            <scheme val="minor"/>
          </font>
          <fill>
            <patternFill>
              <bgColor theme="0"/>
            </patternFill>
          </fill>
        </dxf>
        <dxf>
          <font>
            <b/>
            <i val="0"/>
            <sz val="10"/>
            <color theme="1"/>
            <name val="Calibri"/>
            <family val="2"/>
            <scheme val="minor"/>
          </font>
          <fill>
            <patternFill>
              <bgColor theme="0"/>
            </patternFill>
          </fill>
        </dxf>
        <dxf>
          <font>
            <b/>
            <i val="0"/>
            <sz val="10"/>
            <color theme="1"/>
            <name val="Calibri"/>
            <family val="2"/>
            <scheme val="minor"/>
          </font>
          <fill>
            <patternFill>
              <bgColor theme="0"/>
            </patternFill>
          </fill>
        </dxf>
        <dxf>
          <font>
            <b/>
            <i val="0"/>
            <sz val="10"/>
            <color theme="1"/>
            <name val="Calibri"/>
            <family val="2"/>
            <scheme val="minor"/>
          </font>
          <fill>
            <patternFill>
              <bgColor theme="0"/>
            </patternFill>
          </fill>
        </dxf>
        <dxf>
          <font>
            <b/>
            <i val="0"/>
            <sz val="10"/>
            <color theme="0"/>
            <name val="Calibri"/>
            <family val="2"/>
            <scheme val="minor"/>
          </font>
          <fill>
            <patternFill>
              <bgColor rgb="FF002060"/>
            </patternFill>
          </fill>
        </dxf>
        <dxf>
          <font>
            <b/>
            <i val="0"/>
            <sz val="10"/>
            <color theme="0"/>
            <name val="Calibri"/>
            <family val="2"/>
            <scheme val="minor"/>
          </font>
          <fill>
            <patternFill>
              <bgColor rgb="FF002060"/>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13"/>
            <x14:slicerStyleElement type="unselectedItemWithNoData" dxfId="12"/>
            <x14:slicerStyleElement type="selectedItemWithData" dxfId="11"/>
            <x14:slicerStyleElement type="selectedItemWithNoData" dxfId="10"/>
            <x14:slicerStyleElement type="hoveredSelectedItemWithData" dxfId="9"/>
            <x14:slicerStyleElement type="hoveredSelectedItemWithNoData" dxfId="8"/>
          </x14:slicerStyleElements>
        </x14:slicerStyle>
        <x14:slicerStyle name="Slicer Style 2"/>
        <x14:slicerStyle name="SlicerStyleDark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microsoft.com/office/2007/relationships/slicerCache" Target="slicerCaches/slicerCache3.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gradFill>
              <a:gsLst>
                <a:gs pos="0">
                  <a:srgbClr val="DC25FA"/>
                </a:gs>
                <a:gs pos="61000">
                  <a:srgbClr val="9947F7"/>
                </a:gs>
              </a:gsLst>
              <a:lin ang="5400000" scaled="0"/>
            </a:gradFill>
            <a:ln w="146050">
              <a:solidFill>
                <a:schemeClr val="tx1"/>
              </a:solidFill>
            </a:ln>
          </c:spPr>
          <c:dPt>
            <c:idx val="0"/>
            <c:bubble3D val="0"/>
            <c:spPr>
              <a:gradFill>
                <a:gsLst>
                  <a:gs pos="0">
                    <a:srgbClr val="DC25FA"/>
                  </a:gs>
                  <a:gs pos="61000">
                    <a:srgbClr val="9947F7"/>
                  </a:gs>
                </a:gsLst>
                <a:lin ang="5400000" scaled="0"/>
              </a:gradFill>
              <a:ln w="146050">
                <a:solidFill>
                  <a:schemeClr val="tx1"/>
                </a:solidFill>
              </a:ln>
              <a:effectLst/>
            </c:spPr>
            <c:extLst>
              <c:ext xmlns:c16="http://schemas.microsoft.com/office/drawing/2014/chart" uri="{C3380CC4-5D6E-409C-BE32-E72D297353CC}">
                <c16:uniqueId val="{00000001-0650-4BEC-9FA0-25D6916F8201}"/>
              </c:ext>
            </c:extLst>
          </c:dPt>
          <c:dPt>
            <c:idx val="1"/>
            <c:bubble3D val="0"/>
            <c:spPr>
              <a:gradFill>
                <a:gsLst>
                  <a:gs pos="0">
                    <a:srgbClr val="DC25FA"/>
                  </a:gs>
                  <a:gs pos="61000">
                    <a:srgbClr val="9947F7"/>
                  </a:gs>
                </a:gsLst>
                <a:lin ang="5400000" scaled="0"/>
              </a:gradFill>
              <a:ln w="146050">
                <a:solidFill>
                  <a:schemeClr val="tx1"/>
                </a:solidFill>
              </a:ln>
              <a:effectLst/>
            </c:spPr>
            <c:extLst>
              <c:ext xmlns:c16="http://schemas.microsoft.com/office/drawing/2014/chart" uri="{C3380CC4-5D6E-409C-BE32-E72D297353CC}">
                <c16:uniqueId val="{00000003-0650-4BEC-9FA0-25D6916F8201}"/>
              </c:ext>
            </c:extLst>
          </c:dPt>
          <c:dPt>
            <c:idx val="2"/>
            <c:bubble3D val="0"/>
            <c:spPr>
              <a:gradFill>
                <a:gsLst>
                  <a:gs pos="0">
                    <a:srgbClr val="DC25FA"/>
                  </a:gs>
                  <a:gs pos="61000">
                    <a:srgbClr val="9947F7"/>
                  </a:gs>
                </a:gsLst>
                <a:lin ang="5400000" scaled="0"/>
              </a:gradFill>
              <a:ln w="146050">
                <a:solidFill>
                  <a:schemeClr val="tx1"/>
                </a:solidFill>
              </a:ln>
              <a:effectLst/>
            </c:spPr>
            <c:extLst>
              <c:ext xmlns:c16="http://schemas.microsoft.com/office/drawing/2014/chart" uri="{C3380CC4-5D6E-409C-BE32-E72D297353CC}">
                <c16:uniqueId val="{00000005-0650-4BEC-9FA0-25D6916F8201}"/>
              </c:ext>
            </c:extLst>
          </c:dPt>
          <c:dPt>
            <c:idx val="3"/>
            <c:bubble3D val="0"/>
            <c:spPr>
              <a:gradFill>
                <a:gsLst>
                  <a:gs pos="0">
                    <a:srgbClr val="DC25FA"/>
                  </a:gs>
                  <a:gs pos="61000">
                    <a:srgbClr val="9947F7"/>
                  </a:gs>
                </a:gsLst>
                <a:lin ang="5400000" scaled="0"/>
              </a:gradFill>
              <a:ln w="146050">
                <a:solidFill>
                  <a:schemeClr val="tx1"/>
                </a:solidFill>
              </a:ln>
              <a:effectLst/>
            </c:spPr>
            <c:extLst>
              <c:ext xmlns:c16="http://schemas.microsoft.com/office/drawing/2014/chart" uri="{C3380CC4-5D6E-409C-BE32-E72D297353CC}">
                <c16:uniqueId val="{00000007-0650-4BEC-9FA0-25D6916F8201}"/>
              </c:ext>
            </c:extLst>
          </c:dPt>
          <c:dPt>
            <c:idx val="4"/>
            <c:bubble3D val="0"/>
            <c:spPr>
              <a:gradFill>
                <a:gsLst>
                  <a:gs pos="0">
                    <a:srgbClr val="DC25FA"/>
                  </a:gs>
                  <a:gs pos="61000">
                    <a:srgbClr val="9947F7"/>
                  </a:gs>
                </a:gsLst>
                <a:lin ang="5400000" scaled="0"/>
              </a:gradFill>
              <a:ln w="146050">
                <a:solidFill>
                  <a:schemeClr val="tx1"/>
                </a:solidFill>
              </a:ln>
              <a:effectLst/>
            </c:spPr>
            <c:extLst>
              <c:ext xmlns:c16="http://schemas.microsoft.com/office/drawing/2014/chart" uri="{C3380CC4-5D6E-409C-BE32-E72D297353CC}">
                <c16:uniqueId val="{00000009-0650-4BEC-9FA0-25D6916F8201}"/>
              </c:ext>
            </c:extLst>
          </c:dPt>
          <c:dPt>
            <c:idx val="5"/>
            <c:bubble3D val="0"/>
            <c:spPr>
              <a:gradFill>
                <a:gsLst>
                  <a:gs pos="0">
                    <a:srgbClr val="DC25FA"/>
                  </a:gs>
                  <a:gs pos="61000">
                    <a:srgbClr val="9947F7"/>
                  </a:gs>
                </a:gsLst>
                <a:lin ang="5400000" scaled="0"/>
              </a:gradFill>
              <a:ln w="146050">
                <a:solidFill>
                  <a:schemeClr val="tx1"/>
                </a:solidFill>
              </a:ln>
              <a:effectLst/>
            </c:spPr>
            <c:extLst>
              <c:ext xmlns:c16="http://schemas.microsoft.com/office/drawing/2014/chart" uri="{C3380CC4-5D6E-409C-BE32-E72D297353CC}">
                <c16:uniqueId val="{0000000B-0650-4BEC-9FA0-25D6916F8201}"/>
              </c:ext>
            </c:extLst>
          </c:dPt>
          <c:dPt>
            <c:idx val="6"/>
            <c:bubble3D val="0"/>
            <c:spPr>
              <a:gradFill>
                <a:gsLst>
                  <a:gs pos="0">
                    <a:srgbClr val="DC25FA"/>
                  </a:gs>
                  <a:gs pos="61000">
                    <a:srgbClr val="9947F7"/>
                  </a:gs>
                </a:gsLst>
                <a:lin ang="5400000" scaled="0"/>
              </a:gradFill>
              <a:ln w="146050">
                <a:solidFill>
                  <a:schemeClr val="tx1"/>
                </a:solidFill>
              </a:ln>
              <a:effectLst/>
            </c:spPr>
            <c:extLst>
              <c:ext xmlns:c16="http://schemas.microsoft.com/office/drawing/2014/chart" uri="{C3380CC4-5D6E-409C-BE32-E72D297353CC}">
                <c16:uniqueId val="{0000000D-0650-4BEC-9FA0-25D6916F8201}"/>
              </c:ext>
            </c:extLst>
          </c:dPt>
          <c:dPt>
            <c:idx val="7"/>
            <c:bubble3D val="0"/>
            <c:spPr>
              <a:gradFill>
                <a:gsLst>
                  <a:gs pos="0">
                    <a:srgbClr val="DC25FA"/>
                  </a:gs>
                  <a:gs pos="61000">
                    <a:srgbClr val="9947F7"/>
                  </a:gs>
                </a:gsLst>
                <a:lin ang="5400000" scaled="0"/>
              </a:gradFill>
              <a:ln w="146050">
                <a:solidFill>
                  <a:schemeClr val="tx1"/>
                </a:solidFill>
              </a:ln>
              <a:effectLst/>
            </c:spPr>
            <c:extLst>
              <c:ext xmlns:c16="http://schemas.microsoft.com/office/drawing/2014/chart" uri="{C3380CC4-5D6E-409C-BE32-E72D297353CC}">
                <c16:uniqueId val="{0000000F-0650-4BEC-9FA0-25D6916F8201}"/>
              </c:ext>
            </c:extLst>
          </c:dPt>
          <c:dPt>
            <c:idx val="8"/>
            <c:bubble3D val="0"/>
            <c:spPr>
              <a:gradFill>
                <a:gsLst>
                  <a:gs pos="0">
                    <a:srgbClr val="DC25FA"/>
                  </a:gs>
                  <a:gs pos="61000">
                    <a:srgbClr val="9947F7"/>
                  </a:gs>
                </a:gsLst>
                <a:lin ang="5400000" scaled="0"/>
              </a:gradFill>
              <a:ln w="146050">
                <a:solidFill>
                  <a:schemeClr val="tx1"/>
                </a:solidFill>
              </a:ln>
              <a:effectLst/>
            </c:spPr>
            <c:extLst>
              <c:ext xmlns:c16="http://schemas.microsoft.com/office/drawing/2014/chart" uri="{C3380CC4-5D6E-409C-BE32-E72D297353CC}">
                <c16:uniqueId val="{00000011-0650-4BEC-9FA0-25D6916F8201}"/>
              </c:ext>
            </c:extLst>
          </c:dPt>
          <c:dPt>
            <c:idx val="9"/>
            <c:bubble3D val="0"/>
            <c:spPr>
              <a:gradFill>
                <a:gsLst>
                  <a:gs pos="0">
                    <a:srgbClr val="DC25FA"/>
                  </a:gs>
                  <a:gs pos="61000">
                    <a:srgbClr val="9947F7"/>
                  </a:gs>
                </a:gsLst>
                <a:lin ang="5400000" scaled="0"/>
              </a:gradFill>
              <a:ln w="146050">
                <a:solidFill>
                  <a:schemeClr val="tx1"/>
                </a:solidFill>
              </a:ln>
              <a:effectLst/>
            </c:spPr>
            <c:extLst>
              <c:ext xmlns:c16="http://schemas.microsoft.com/office/drawing/2014/chart" uri="{C3380CC4-5D6E-409C-BE32-E72D297353CC}">
                <c16:uniqueId val="{00000013-0650-4BEC-9FA0-25D6916F8201}"/>
              </c:ext>
            </c:extLst>
          </c:dPt>
          <c:dPt>
            <c:idx val="10"/>
            <c:bubble3D val="0"/>
            <c:spPr>
              <a:gradFill>
                <a:gsLst>
                  <a:gs pos="0">
                    <a:srgbClr val="DC25FA"/>
                  </a:gs>
                  <a:gs pos="61000">
                    <a:srgbClr val="9947F7"/>
                  </a:gs>
                </a:gsLst>
                <a:lin ang="5400000" scaled="0"/>
              </a:gradFill>
              <a:ln w="146050">
                <a:solidFill>
                  <a:schemeClr val="tx1"/>
                </a:solidFill>
              </a:ln>
              <a:effectLst/>
            </c:spPr>
            <c:extLst>
              <c:ext xmlns:c16="http://schemas.microsoft.com/office/drawing/2014/chart" uri="{C3380CC4-5D6E-409C-BE32-E72D297353CC}">
                <c16:uniqueId val="{00000015-0650-4BEC-9FA0-25D6916F8201}"/>
              </c:ext>
            </c:extLst>
          </c:dPt>
          <c:dPt>
            <c:idx val="11"/>
            <c:bubble3D val="0"/>
            <c:spPr>
              <a:gradFill>
                <a:gsLst>
                  <a:gs pos="0">
                    <a:srgbClr val="DC25FA"/>
                  </a:gs>
                  <a:gs pos="61000">
                    <a:srgbClr val="9947F7"/>
                  </a:gs>
                </a:gsLst>
                <a:lin ang="5400000" scaled="0"/>
              </a:gradFill>
              <a:ln w="146050">
                <a:solidFill>
                  <a:schemeClr val="tx1"/>
                </a:solidFill>
              </a:ln>
              <a:effectLst/>
            </c:spPr>
            <c:extLst>
              <c:ext xmlns:c16="http://schemas.microsoft.com/office/drawing/2014/chart" uri="{C3380CC4-5D6E-409C-BE32-E72D297353CC}">
                <c16:uniqueId val="{00000017-0650-4BEC-9FA0-25D6916F8201}"/>
              </c:ext>
            </c:extLst>
          </c:dPt>
          <c:dPt>
            <c:idx val="12"/>
            <c:bubble3D val="0"/>
            <c:spPr>
              <a:gradFill>
                <a:gsLst>
                  <a:gs pos="0">
                    <a:srgbClr val="DC25FA"/>
                  </a:gs>
                  <a:gs pos="61000">
                    <a:srgbClr val="9947F7"/>
                  </a:gs>
                </a:gsLst>
                <a:lin ang="5400000" scaled="0"/>
              </a:gradFill>
              <a:ln w="146050">
                <a:solidFill>
                  <a:schemeClr val="tx1"/>
                </a:solidFill>
              </a:ln>
              <a:effectLst/>
            </c:spPr>
            <c:extLst>
              <c:ext xmlns:c16="http://schemas.microsoft.com/office/drawing/2014/chart" uri="{C3380CC4-5D6E-409C-BE32-E72D297353CC}">
                <c16:uniqueId val="{00000019-0650-4BEC-9FA0-25D6916F8201}"/>
              </c:ext>
            </c:extLst>
          </c:dPt>
          <c:dPt>
            <c:idx val="13"/>
            <c:bubble3D val="0"/>
            <c:spPr>
              <a:gradFill>
                <a:gsLst>
                  <a:gs pos="0">
                    <a:srgbClr val="DC25FA"/>
                  </a:gs>
                  <a:gs pos="61000">
                    <a:srgbClr val="9947F7"/>
                  </a:gs>
                </a:gsLst>
                <a:lin ang="5400000" scaled="0"/>
              </a:gradFill>
              <a:ln w="146050">
                <a:solidFill>
                  <a:schemeClr val="tx1"/>
                </a:solidFill>
              </a:ln>
              <a:effectLst/>
            </c:spPr>
            <c:extLst>
              <c:ext xmlns:c16="http://schemas.microsoft.com/office/drawing/2014/chart" uri="{C3380CC4-5D6E-409C-BE32-E72D297353CC}">
                <c16:uniqueId val="{0000001B-0650-4BEC-9FA0-25D6916F8201}"/>
              </c:ext>
            </c:extLst>
          </c:dPt>
          <c:dPt>
            <c:idx val="14"/>
            <c:bubble3D val="0"/>
            <c:spPr>
              <a:gradFill>
                <a:gsLst>
                  <a:gs pos="0">
                    <a:srgbClr val="DC25FA"/>
                  </a:gs>
                  <a:gs pos="61000">
                    <a:srgbClr val="9947F7"/>
                  </a:gs>
                </a:gsLst>
                <a:lin ang="5400000" scaled="0"/>
              </a:gradFill>
              <a:ln w="146050">
                <a:solidFill>
                  <a:schemeClr val="tx1"/>
                </a:solidFill>
              </a:ln>
              <a:effectLst/>
            </c:spPr>
            <c:extLst>
              <c:ext xmlns:c16="http://schemas.microsoft.com/office/drawing/2014/chart" uri="{C3380CC4-5D6E-409C-BE32-E72D297353CC}">
                <c16:uniqueId val="{0000001D-0650-4BEC-9FA0-25D6916F8201}"/>
              </c:ext>
            </c:extLst>
          </c:dPt>
          <c:dPt>
            <c:idx val="15"/>
            <c:bubble3D val="0"/>
            <c:spPr>
              <a:gradFill>
                <a:gsLst>
                  <a:gs pos="0">
                    <a:srgbClr val="DC25FA"/>
                  </a:gs>
                  <a:gs pos="61000">
                    <a:srgbClr val="9947F7"/>
                  </a:gs>
                </a:gsLst>
                <a:lin ang="5400000" scaled="0"/>
              </a:gradFill>
              <a:ln w="146050">
                <a:solidFill>
                  <a:schemeClr val="tx1"/>
                </a:solidFill>
              </a:ln>
              <a:effectLst/>
            </c:spPr>
            <c:extLst>
              <c:ext xmlns:c16="http://schemas.microsoft.com/office/drawing/2014/chart" uri="{C3380CC4-5D6E-409C-BE32-E72D297353CC}">
                <c16:uniqueId val="{0000001F-0650-4BEC-9FA0-25D6916F8201}"/>
              </c:ext>
            </c:extLst>
          </c:dPt>
          <c:dPt>
            <c:idx val="16"/>
            <c:bubble3D val="0"/>
            <c:spPr>
              <a:gradFill>
                <a:gsLst>
                  <a:gs pos="0">
                    <a:srgbClr val="DC25FA"/>
                  </a:gs>
                  <a:gs pos="61000">
                    <a:srgbClr val="9947F7"/>
                  </a:gs>
                </a:gsLst>
                <a:lin ang="5400000" scaled="0"/>
              </a:gradFill>
              <a:ln w="146050">
                <a:solidFill>
                  <a:schemeClr val="tx1"/>
                </a:solidFill>
              </a:ln>
              <a:effectLst/>
            </c:spPr>
            <c:extLst>
              <c:ext xmlns:c16="http://schemas.microsoft.com/office/drawing/2014/chart" uri="{C3380CC4-5D6E-409C-BE32-E72D297353CC}">
                <c16:uniqueId val="{00000021-0650-4BEC-9FA0-25D6916F8201}"/>
              </c:ext>
            </c:extLst>
          </c:dPt>
          <c:dPt>
            <c:idx val="17"/>
            <c:bubble3D val="0"/>
            <c:spPr>
              <a:gradFill>
                <a:gsLst>
                  <a:gs pos="0">
                    <a:srgbClr val="DC25FA"/>
                  </a:gs>
                  <a:gs pos="61000">
                    <a:srgbClr val="9947F7"/>
                  </a:gs>
                </a:gsLst>
                <a:lin ang="5400000" scaled="0"/>
              </a:gradFill>
              <a:ln w="146050">
                <a:solidFill>
                  <a:schemeClr val="tx1"/>
                </a:solidFill>
              </a:ln>
              <a:effectLst/>
            </c:spPr>
            <c:extLst>
              <c:ext xmlns:c16="http://schemas.microsoft.com/office/drawing/2014/chart" uri="{C3380CC4-5D6E-409C-BE32-E72D297353CC}">
                <c16:uniqueId val="{00000023-0650-4BEC-9FA0-25D6916F8201}"/>
              </c:ext>
            </c:extLst>
          </c:dPt>
          <c:dPt>
            <c:idx val="18"/>
            <c:bubble3D val="0"/>
            <c:spPr>
              <a:gradFill>
                <a:gsLst>
                  <a:gs pos="0">
                    <a:srgbClr val="DC25FA"/>
                  </a:gs>
                  <a:gs pos="61000">
                    <a:srgbClr val="9947F7"/>
                  </a:gs>
                </a:gsLst>
                <a:lin ang="5400000" scaled="0"/>
              </a:gradFill>
              <a:ln w="146050">
                <a:solidFill>
                  <a:schemeClr val="tx1"/>
                </a:solidFill>
              </a:ln>
              <a:effectLst/>
            </c:spPr>
            <c:extLst>
              <c:ext xmlns:c16="http://schemas.microsoft.com/office/drawing/2014/chart" uri="{C3380CC4-5D6E-409C-BE32-E72D297353CC}">
                <c16:uniqueId val="{00000025-0650-4BEC-9FA0-25D6916F8201}"/>
              </c:ext>
            </c:extLst>
          </c:dPt>
          <c:dPt>
            <c:idx val="19"/>
            <c:bubble3D val="0"/>
            <c:spPr>
              <a:gradFill>
                <a:gsLst>
                  <a:gs pos="0">
                    <a:srgbClr val="DC25FA"/>
                  </a:gs>
                  <a:gs pos="61000">
                    <a:srgbClr val="9947F7"/>
                  </a:gs>
                </a:gsLst>
                <a:lin ang="5400000" scaled="0"/>
              </a:gradFill>
              <a:ln w="146050">
                <a:solidFill>
                  <a:schemeClr val="tx1"/>
                </a:solidFill>
              </a:ln>
              <a:effectLst/>
            </c:spPr>
            <c:extLst>
              <c:ext xmlns:c16="http://schemas.microsoft.com/office/drawing/2014/chart" uri="{C3380CC4-5D6E-409C-BE32-E72D297353CC}">
                <c16:uniqueId val="{00000027-0650-4BEC-9FA0-25D6916F8201}"/>
              </c:ext>
            </c:extLst>
          </c:dPt>
          <c:dPt>
            <c:idx val="20"/>
            <c:bubble3D val="0"/>
            <c:spPr>
              <a:gradFill>
                <a:gsLst>
                  <a:gs pos="0">
                    <a:srgbClr val="DC25FA"/>
                  </a:gs>
                  <a:gs pos="61000">
                    <a:srgbClr val="9947F7"/>
                  </a:gs>
                </a:gsLst>
                <a:lin ang="5400000" scaled="0"/>
              </a:gradFill>
              <a:ln w="146050">
                <a:solidFill>
                  <a:schemeClr val="tx1"/>
                </a:solidFill>
              </a:ln>
              <a:effectLst/>
            </c:spPr>
            <c:extLst>
              <c:ext xmlns:c16="http://schemas.microsoft.com/office/drawing/2014/chart" uri="{C3380CC4-5D6E-409C-BE32-E72D297353CC}">
                <c16:uniqueId val="{00000029-0650-4BEC-9FA0-25D6916F8201}"/>
              </c:ext>
            </c:extLst>
          </c:dPt>
          <c:dPt>
            <c:idx val="21"/>
            <c:bubble3D val="0"/>
            <c:spPr>
              <a:gradFill>
                <a:gsLst>
                  <a:gs pos="0">
                    <a:srgbClr val="DC25FA"/>
                  </a:gs>
                  <a:gs pos="61000">
                    <a:srgbClr val="9947F7"/>
                  </a:gs>
                </a:gsLst>
                <a:lin ang="5400000" scaled="0"/>
              </a:gradFill>
              <a:ln w="146050">
                <a:solidFill>
                  <a:schemeClr val="tx1"/>
                </a:solidFill>
              </a:ln>
              <a:effectLst/>
            </c:spPr>
            <c:extLst>
              <c:ext xmlns:c16="http://schemas.microsoft.com/office/drawing/2014/chart" uri="{C3380CC4-5D6E-409C-BE32-E72D297353CC}">
                <c16:uniqueId val="{0000002B-0650-4BEC-9FA0-25D6916F8201}"/>
              </c:ext>
            </c:extLst>
          </c:dPt>
          <c:dPt>
            <c:idx val="22"/>
            <c:bubble3D val="0"/>
            <c:spPr>
              <a:gradFill>
                <a:gsLst>
                  <a:gs pos="0">
                    <a:srgbClr val="DC25FA"/>
                  </a:gs>
                  <a:gs pos="61000">
                    <a:srgbClr val="9947F7"/>
                  </a:gs>
                </a:gsLst>
                <a:lin ang="5400000" scaled="0"/>
              </a:gradFill>
              <a:ln w="146050">
                <a:solidFill>
                  <a:schemeClr val="tx1"/>
                </a:solidFill>
              </a:ln>
              <a:effectLst/>
            </c:spPr>
            <c:extLst>
              <c:ext xmlns:c16="http://schemas.microsoft.com/office/drawing/2014/chart" uri="{C3380CC4-5D6E-409C-BE32-E72D297353CC}">
                <c16:uniqueId val="{0000002D-0650-4BEC-9FA0-25D6916F8201}"/>
              </c:ext>
            </c:extLst>
          </c:dPt>
          <c:dPt>
            <c:idx val="23"/>
            <c:bubble3D val="0"/>
            <c:spPr>
              <a:gradFill>
                <a:gsLst>
                  <a:gs pos="0">
                    <a:srgbClr val="DC25FA"/>
                  </a:gs>
                  <a:gs pos="61000">
                    <a:srgbClr val="9947F7"/>
                  </a:gs>
                </a:gsLst>
                <a:lin ang="5400000" scaled="0"/>
              </a:gradFill>
              <a:ln w="146050">
                <a:solidFill>
                  <a:schemeClr val="tx1"/>
                </a:solidFill>
              </a:ln>
              <a:effectLst/>
            </c:spPr>
            <c:extLst>
              <c:ext xmlns:c16="http://schemas.microsoft.com/office/drawing/2014/chart" uri="{C3380CC4-5D6E-409C-BE32-E72D297353CC}">
                <c16:uniqueId val="{0000002F-0650-4BEC-9FA0-25D6916F8201}"/>
              </c:ext>
            </c:extLst>
          </c:dPt>
          <c:dPt>
            <c:idx val="24"/>
            <c:bubble3D val="0"/>
            <c:spPr>
              <a:gradFill>
                <a:gsLst>
                  <a:gs pos="0">
                    <a:srgbClr val="DC25FA"/>
                  </a:gs>
                  <a:gs pos="61000">
                    <a:srgbClr val="9947F7"/>
                  </a:gs>
                </a:gsLst>
                <a:lin ang="5400000" scaled="0"/>
              </a:gradFill>
              <a:ln w="146050">
                <a:solidFill>
                  <a:schemeClr val="tx1"/>
                </a:solidFill>
              </a:ln>
              <a:effectLst/>
            </c:spPr>
            <c:extLst>
              <c:ext xmlns:c16="http://schemas.microsoft.com/office/drawing/2014/chart" uri="{C3380CC4-5D6E-409C-BE32-E72D297353CC}">
                <c16:uniqueId val="{00000031-0650-4BEC-9FA0-25D6916F8201}"/>
              </c:ext>
            </c:extLst>
          </c:dPt>
          <c:dPt>
            <c:idx val="25"/>
            <c:bubble3D val="0"/>
            <c:spPr>
              <a:gradFill>
                <a:gsLst>
                  <a:gs pos="0">
                    <a:srgbClr val="DC25FA"/>
                  </a:gs>
                  <a:gs pos="61000">
                    <a:srgbClr val="9947F7"/>
                  </a:gs>
                </a:gsLst>
                <a:lin ang="5400000" scaled="0"/>
              </a:gradFill>
              <a:ln w="146050">
                <a:solidFill>
                  <a:schemeClr val="tx1"/>
                </a:solidFill>
              </a:ln>
              <a:effectLst/>
            </c:spPr>
            <c:extLst>
              <c:ext xmlns:c16="http://schemas.microsoft.com/office/drawing/2014/chart" uri="{C3380CC4-5D6E-409C-BE32-E72D297353CC}">
                <c16:uniqueId val="{00000033-0650-4BEC-9FA0-25D6916F8201}"/>
              </c:ext>
            </c:extLst>
          </c:dPt>
          <c:dPt>
            <c:idx val="26"/>
            <c:bubble3D val="0"/>
            <c:spPr>
              <a:gradFill>
                <a:gsLst>
                  <a:gs pos="0">
                    <a:srgbClr val="DC25FA"/>
                  </a:gs>
                  <a:gs pos="61000">
                    <a:srgbClr val="9947F7"/>
                  </a:gs>
                </a:gsLst>
                <a:lin ang="5400000" scaled="0"/>
              </a:gradFill>
              <a:ln w="146050">
                <a:solidFill>
                  <a:schemeClr val="tx1"/>
                </a:solidFill>
              </a:ln>
              <a:effectLst/>
            </c:spPr>
            <c:extLst>
              <c:ext xmlns:c16="http://schemas.microsoft.com/office/drawing/2014/chart" uri="{C3380CC4-5D6E-409C-BE32-E72D297353CC}">
                <c16:uniqueId val="{00000035-0650-4BEC-9FA0-25D6916F8201}"/>
              </c:ext>
            </c:extLst>
          </c:dPt>
          <c:dPt>
            <c:idx val="27"/>
            <c:bubble3D val="0"/>
            <c:spPr>
              <a:gradFill>
                <a:gsLst>
                  <a:gs pos="0">
                    <a:srgbClr val="DC25FA"/>
                  </a:gs>
                  <a:gs pos="61000">
                    <a:srgbClr val="9947F7"/>
                  </a:gs>
                </a:gsLst>
                <a:lin ang="5400000" scaled="0"/>
              </a:gradFill>
              <a:ln w="146050">
                <a:solidFill>
                  <a:schemeClr val="tx1"/>
                </a:solidFill>
              </a:ln>
              <a:effectLst/>
            </c:spPr>
            <c:extLst>
              <c:ext xmlns:c16="http://schemas.microsoft.com/office/drawing/2014/chart" uri="{C3380CC4-5D6E-409C-BE32-E72D297353CC}">
                <c16:uniqueId val="{00000037-0650-4BEC-9FA0-25D6916F8201}"/>
              </c:ext>
            </c:extLst>
          </c:dPt>
          <c:dPt>
            <c:idx val="28"/>
            <c:bubble3D val="0"/>
            <c:spPr>
              <a:gradFill>
                <a:gsLst>
                  <a:gs pos="0">
                    <a:srgbClr val="DC25FA"/>
                  </a:gs>
                  <a:gs pos="61000">
                    <a:srgbClr val="9947F7"/>
                  </a:gs>
                </a:gsLst>
                <a:lin ang="5400000" scaled="0"/>
              </a:gradFill>
              <a:ln w="146050">
                <a:solidFill>
                  <a:schemeClr val="tx1"/>
                </a:solidFill>
              </a:ln>
              <a:effectLst/>
            </c:spPr>
            <c:extLst>
              <c:ext xmlns:c16="http://schemas.microsoft.com/office/drawing/2014/chart" uri="{C3380CC4-5D6E-409C-BE32-E72D297353CC}">
                <c16:uniqueId val="{00000039-0650-4BEC-9FA0-25D6916F8201}"/>
              </c:ext>
            </c:extLst>
          </c:dPt>
          <c:dPt>
            <c:idx val="29"/>
            <c:bubble3D val="0"/>
            <c:spPr>
              <a:gradFill>
                <a:gsLst>
                  <a:gs pos="0">
                    <a:srgbClr val="DC25FA"/>
                  </a:gs>
                  <a:gs pos="61000">
                    <a:srgbClr val="9947F7"/>
                  </a:gs>
                </a:gsLst>
                <a:lin ang="5400000" scaled="0"/>
              </a:gradFill>
              <a:ln w="146050">
                <a:solidFill>
                  <a:schemeClr val="tx1"/>
                </a:solidFill>
              </a:ln>
              <a:effectLst/>
            </c:spPr>
            <c:extLst>
              <c:ext xmlns:c16="http://schemas.microsoft.com/office/drawing/2014/chart" uri="{C3380CC4-5D6E-409C-BE32-E72D297353CC}">
                <c16:uniqueId val="{0000003B-0650-4BEC-9FA0-25D6916F8201}"/>
              </c:ext>
            </c:extLst>
          </c:dPt>
          <c:dPt>
            <c:idx val="30"/>
            <c:bubble3D val="0"/>
            <c:spPr>
              <a:gradFill>
                <a:gsLst>
                  <a:gs pos="0">
                    <a:srgbClr val="DC25FA"/>
                  </a:gs>
                  <a:gs pos="61000">
                    <a:srgbClr val="9947F7"/>
                  </a:gs>
                </a:gsLst>
                <a:lin ang="5400000" scaled="0"/>
              </a:gradFill>
              <a:ln w="146050">
                <a:solidFill>
                  <a:schemeClr val="tx1"/>
                </a:solidFill>
              </a:ln>
              <a:effectLst/>
            </c:spPr>
            <c:extLst>
              <c:ext xmlns:c16="http://schemas.microsoft.com/office/drawing/2014/chart" uri="{C3380CC4-5D6E-409C-BE32-E72D297353CC}">
                <c16:uniqueId val="{0000003D-0650-4BEC-9FA0-25D6916F8201}"/>
              </c:ext>
            </c:extLst>
          </c:dPt>
          <c:dPt>
            <c:idx val="31"/>
            <c:bubble3D val="0"/>
            <c:spPr>
              <a:gradFill>
                <a:gsLst>
                  <a:gs pos="0">
                    <a:srgbClr val="DC25FA"/>
                  </a:gs>
                  <a:gs pos="61000">
                    <a:srgbClr val="9947F7"/>
                  </a:gs>
                </a:gsLst>
                <a:lin ang="5400000" scaled="0"/>
              </a:gradFill>
              <a:ln w="146050">
                <a:solidFill>
                  <a:schemeClr val="tx1"/>
                </a:solidFill>
              </a:ln>
              <a:effectLst/>
            </c:spPr>
            <c:extLst>
              <c:ext xmlns:c16="http://schemas.microsoft.com/office/drawing/2014/chart" uri="{C3380CC4-5D6E-409C-BE32-E72D297353CC}">
                <c16:uniqueId val="{0000003F-0650-4BEC-9FA0-25D6916F8201}"/>
              </c:ext>
            </c:extLst>
          </c:dPt>
          <c:dPt>
            <c:idx val="32"/>
            <c:bubble3D val="0"/>
            <c:spPr>
              <a:gradFill>
                <a:gsLst>
                  <a:gs pos="0">
                    <a:srgbClr val="DC25FA"/>
                  </a:gs>
                  <a:gs pos="61000">
                    <a:srgbClr val="9947F7"/>
                  </a:gs>
                </a:gsLst>
                <a:lin ang="5400000" scaled="0"/>
              </a:gradFill>
              <a:ln w="146050">
                <a:solidFill>
                  <a:schemeClr val="tx1"/>
                </a:solidFill>
              </a:ln>
              <a:effectLst/>
            </c:spPr>
            <c:extLst>
              <c:ext xmlns:c16="http://schemas.microsoft.com/office/drawing/2014/chart" uri="{C3380CC4-5D6E-409C-BE32-E72D297353CC}">
                <c16:uniqueId val="{00000041-0650-4BEC-9FA0-25D6916F8201}"/>
              </c:ext>
            </c:extLst>
          </c:dPt>
          <c:dPt>
            <c:idx val="33"/>
            <c:bubble3D val="0"/>
            <c:spPr>
              <a:gradFill>
                <a:gsLst>
                  <a:gs pos="0">
                    <a:srgbClr val="DC25FA"/>
                  </a:gs>
                  <a:gs pos="61000">
                    <a:srgbClr val="9947F7"/>
                  </a:gs>
                </a:gsLst>
                <a:lin ang="5400000" scaled="0"/>
              </a:gradFill>
              <a:ln w="146050">
                <a:solidFill>
                  <a:schemeClr val="tx1"/>
                </a:solidFill>
              </a:ln>
              <a:effectLst/>
            </c:spPr>
            <c:extLst>
              <c:ext xmlns:c16="http://schemas.microsoft.com/office/drawing/2014/chart" uri="{C3380CC4-5D6E-409C-BE32-E72D297353CC}">
                <c16:uniqueId val="{00000043-0650-4BEC-9FA0-25D6916F8201}"/>
              </c:ext>
            </c:extLst>
          </c:dPt>
          <c:dPt>
            <c:idx val="34"/>
            <c:bubble3D val="0"/>
            <c:spPr>
              <a:gradFill>
                <a:gsLst>
                  <a:gs pos="0">
                    <a:srgbClr val="DC25FA"/>
                  </a:gs>
                  <a:gs pos="61000">
                    <a:srgbClr val="9947F7"/>
                  </a:gs>
                </a:gsLst>
                <a:lin ang="5400000" scaled="0"/>
              </a:gradFill>
              <a:ln w="146050">
                <a:solidFill>
                  <a:schemeClr val="tx1"/>
                </a:solidFill>
              </a:ln>
              <a:effectLst/>
            </c:spPr>
            <c:extLst>
              <c:ext xmlns:c16="http://schemas.microsoft.com/office/drawing/2014/chart" uri="{C3380CC4-5D6E-409C-BE32-E72D297353CC}">
                <c16:uniqueId val="{00000045-0650-4BEC-9FA0-25D6916F8201}"/>
              </c:ext>
            </c:extLst>
          </c:dPt>
          <c:dPt>
            <c:idx val="35"/>
            <c:bubble3D val="0"/>
            <c:spPr>
              <a:gradFill>
                <a:gsLst>
                  <a:gs pos="0">
                    <a:srgbClr val="DC25FA"/>
                  </a:gs>
                  <a:gs pos="61000">
                    <a:srgbClr val="9947F7"/>
                  </a:gs>
                </a:gsLst>
                <a:lin ang="5400000" scaled="0"/>
              </a:gradFill>
              <a:ln w="146050">
                <a:solidFill>
                  <a:schemeClr val="tx1"/>
                </a:solidFill>
              </a:ln>
              <a:effectLst/>
            </c:spPr>
            <c:extLst>
              <c:ext xmlns:c16="http://schemas.microsoft.com/office/drawing/2014/chart" uri="{C3380CC4-5D6E-409C-BE32-E72D297353CC}">
                <c16:uniqueId val="{00000047-0650-4BEC-9FA0-25D6916F8201}"/>
              </c:ext>
            </c:extLst>
          </c:dPt>
          <c:dPt>
            <c:idx val="36"/>
            <c:bubble3D val="0"/>
            <c:spPr>
              <a:gradFill>
                <a:gsLst>
                  <a:gs pos="0">
                    <a:srgbClr val="DC25FA"/>
                  </a:gs>
                  <a:gs pos="61000">
                    <a:srgbClr val="9947F7"/>
                  </a:gs>
                </a:gsLst>
                <a:lin ang="5400000" scaled="0"/>
              </a:gradFill>
              <a:ln w="146050">
                <a:solidFill>
                  <a:schemeClr val="tx1"/>
                </a:solidFill>
              </a:ln>
              <a:effectLst/>
            </c:spPr>
            <c:extLst>
              <c:ext xmlns:c16="http://schemas.microsoft.com/office/drawing/2014/chart" uri="{C3380CC4-5D6E-409C-BE32-E72D297353CC}">
                <c16:uniqueId val="{00000049-0650-4BEC-9FA0-25D6916F8201}"/>
              </c:ext>
            </c:extLst>
          </c:dPt>
          <c:dPt>
            <c:idx val="37"/>
            <c:bubble3D val="0"/>
            <c:spPr>
              <a:gradFill>
                <a:gsLst>
                  <a:gs pos="0">
                    <a:srgbClr val="DC25FA"/>
                  </a:gs>
                  <a:gs pos="61000">
                    <a:srgbClr val="9947F7"/>
                  </a:gs>
                </a:gsLst>
                <a:lin ang="5400000" scaled="0"/>
              </a:gradFill>
              <a:ln w="146050">
                <a:solidFill>
                  <a:schemeClr val="tx1"/>
                </a:solidFill>
              </a:ln>
              <a:effectLst/>
            </c:spPr>
            <c:extLst>
              <c:ext xmlns:c16="http://schemas.microsoft.com/office/drawing/2014/chart" uri="{C3380CC4-5D6E-409C-BE32-E72D297353CC}">
                <c16:uniqueId val="{0000004B-0650-4BEC-9FA0-25D6916F8201}"/>
              </c:ext>
            </c:extLst>
          </c:dPt>
          <c:dPt>
            <c:idx val="38"/>
            <c:bubble3D val="0"/>
            <c:spPr>
              <a:gradFill>
                <a:gsLst>
                  <a:gs pos="0">
                    <a:srgbClr val="DC25FA"/>
                  </a:gs>
                  <a:gs pos="61000">
                    <a:srgbClr val="9947F7"/>
                  </a:gs>
                </a:gsLst>
                <a:lin ang="5400000" scaled="0"/>
              </a:gradFill>
              <a:ln w="146050">
                <a:solidFill>
                  <a:schemeClr val="tx1"/>
                </a:solidFill>
              </a:ln>
              <a:effectLst/>
            </c:spPr>
            <c:extLst>
              <c:ext xmlns:c16="http://schemas.microsoft.com/office/drawing/2014/chart" uri="{C3380CC4-5D6E-409C-BE32-E72D297353CC}">
                <c16:uniqueId val="{0000004D-0650-4BEC-9FA0-25D6916F8201}"/>
              </c:ext>
            </c:extLst>
          </c:dPt>
          <c:dPt>
            <c:idx val="39"/>
            <c:bubble3D val="0"/>
            <c:spPr>
              <a:gradFill>
                <a:gsLst>
                  <a:gs pos="0">
                    <a:srgbClr val="DC25FA"/>
                  </a:gs>
                  <a:gs pos="61000">
                    <a:srgbClr val="9947F7"/>
                  </a:gs>
                </a:gsLst>
                <a:lin ang="5400000" scaled="0"/>
              </a:gradFill>
              <a:ln w="146050">
                <a:solidFill>
                  <a:schemeClr val="tx1"/>
                </a:solidFill>
              </a:ln>
              <a:effectLst/>
            </c:spPr>
            <c:extLst>
              <c:ext xmlns:c16="http://schemas.microsoft.com/office/drawing/2014/chart" uri="{C3380CC4-5D6E-409C-BE32-E72D297353CC}">
                <c16:uniqueId val="{0000004F-0650-4BEC-9FA0-25D6916F8201}"/>
              </c:ext>
            </c:extLst>
          </c:dPt>
          <c:dPt>
            <c:idx val="40"/>
            <c:bubble3D val="0"/>
            <c:spPr>
              <a:gradFill>
                <a:gsLst>
                  <a:gs pos="0">
                    <a:srgbClr val="DC25FA"/>
                  </a:gs>
                  <a:gs pos="61000">
                    <a:srgbClr val="9947F7"/>
                  </a:gs>
                </a:gsLst>
                <a:lin ang="5400000" scaled="0"/>
              </a:gradFill>
              <a:ln w="146050">
                <a:solidFill>
                  <a:schemeClr val="tx1"/>
                </a:solidFill>
              </a:ln>
              <a:effectLst/>
            </c:spPr>
            <c:extLst>
              <c:ext xmlns:c16="http://schemas.microsoft.com/office/drawing/2014/chart" uri="{C3380CC4-5D6E-409C-BE32-E72D297353CC}">
                <c16:uniqueId val="{00000051-0650-4BEC-9FA0-25D6916F8201}"/>
              </c:ext>
            </c:extLst>
          </c:dPt>
          <c:dPt>
            <c:idx val="41"/>
            <c:bubble3D val="0"/>
            <c:spPr>
              <a:gradFill>
                <a:gsLst>
                  <a:gs pos="0">
                    <a:srgbClr val="DC25FA"/>
                  </a:gs>
                  <a:gs pos="61000">
                    <a:srgbClr val="9947F7"/>
                  </a:gs>
                </a:gsLst>
                <a:lin ang="5400000" scaled="0"/>
              </a:gradFill>
              <a:ln w="146050">
                <a:solidFill>
                  <a:schemeClr val="tx1"/>
                </a:solidFill>
              </a:ln>
              <a:effectLst/>
            </c:spPr>
            <c:extLst>
              <c:ext xmlns:c16="http://schemas.microsoft.com/office/drawing/2014/chart" uri="{C3380CC4-5D6E-409C-BE32-E72D297353CC}">
                <c16:uniqueId val="{00000053-0650-4BEC-9FA0-25D6916F8201}"/>
              </c:ext>
            </c:extLst>
          </c:dPt>
          <c:dPt>
            <c:idx val="42"/>
            <c:bubble3D val="0"/>
            <c:spPr>
              <a:gradFill>
                <a:gsLst>
                  <a:gs pos="0">
                    <a:srgbClr val="DC25FA"/>
                  </a:gs>
                  <a:gs pos="61000">
                    <a:srgbClr val="9947F7"/>
                  </a:gs>
                </a:gsLst>
                <a:lin ang="5400000" scaled="0"/>
              </a:gradFill>
              <a:ln w="146050">
                <a:solidFill>
                  <a:schemeClr val="tx1"/>
                </a:solidFill>
              </a:ln>
              <a:effectLst/>
            </c:spPr>
            <c:extLst>
              <c:ext xmlns:c16="http://schemas.microsoft.com/office/drawing/2014/chart" uri="{C3380CC4-5D6E-409C-BE32-E72D297353CC}">
                <c16:uniqueId val="{00000055-0650-4BEC-9FA0-25D6916F8201}"/>
              </c:ext>
            </c:extLst>
          </c:dPt>
          <c:dPt>
            <c:idx val="43"/>
            <c:bubble3D val="0"/>
            <c:spPr>
              <a:gradFill>
                <a:gsLst>
                  <a:gs pos="0">
                    <a:srgbClr val="DC25FA"/>
                  </a:gs>
                  <a:gs pos="61000">
                    <a:srgbClr val="9947F7"/>
                  </a:gs>
                </a:gsLst>
                <a:lin ang="5400000" scaled="0"/>
              </a:gradFill>
              <a:ln w="146050">
                <a:solidFill>
                  <a:schemeClr val="tx1"/>
                </a:solidFill>
              </a:ln>
              <a:effectLst/>
            </c:spPr>
            <c:extLst>
              <c:ext xmlns:c16="http://schemas.microsoft.com/office/drawing/2014/chart" uri="{C3380CC4-5D6E-409C-BE32-E72D297353CC}">
                <c16:uniqueId val="{00000057-0650-4BEC-9FA0-25D6916F8201}"/>
              </c:ext>
            </c:extLst>
          </c:dPt>
          <c:dPt>
            <c:idx val="44"/>
            <c:bubble3D val="0"/>
            <c:spPr>
              <a:gradFill>
                <a:gsLst>
                  <a:gs pos="0">
                    <a:srgbClr val="DC25FA"/>
                  </a:gs>
                  <a:gs pos="61000">
                    <a:srgbClr val="9947F7"/>
                  </a:gs>
                </a:gsLst>
                <a:lin ang="5400000" scaled="0"/>
              </a:gradFill>
              <a:ln w="146050">
                <a:solidFill>
                  <a:schemeClr val="tx1"/>
                </a:solidFill>
              </a:ln>
              <a:effectLst/>
            </c:spPr>
            <c:extLst>
              <c:ext xmlns:c16="http://schemas.microsoft.com/office/drawing/2014/chart" uri="{C3380CC4-5D6E-409C-BE32-E72D297353CC}">
                <c16:uniqueId val="{00000059-0650-4BEC-9FA0-25D6916F8201}"/>
              </c:ext>
            </c:extLst>
          </c:dPt>
          <c:dPt>
            <c:idx val="45"/>
            <c:bubble3D val="0"/>
            <c:spPr>
              <a:gradFill>
                <a:gsLst>
                  <a:gs pos="0">
                    <a:srgbClr val="DC25FA"/>
                  </a:gs>
                  <a:gs pos="61000">
                    <a:srgbClr val="9947F7"/>
                  </a:gs>
                </a:gsLst>
                <a:lin ang="5400000" scaled="0"/>
              </a:gradFill>
              <a:ln w="146050">
                <a:solidFill>
                  <a:schemeClr val="tx1"/>
                </a:solidFill>
              </a:ln>
              <a:effectLst/>
            </c:spPr>
            <c:extLst>
              <c:ext xmlns:c16="http://schemas.microsoft.com/office/drawing/2014/chart" uri="{C3380CC4-5D6E-409C-BE32-E72D297353CC}">
                <c16:uniqueId val="{0000005B-0650-4BEC-9FA0-25D6916F8201}"/>
              </c:ext>
            </c:extLst>
          </c:dPt>
          <c:dPt>
            <c:idx val="46"/>
            <c:bubble3D val="0"/>
            <c:spPr>
              <a:gradFill>
                <a:gsLst>
                  <a:gs pos="0">
                    <a:srgbClr val="DC25FA"/>
                  </a:gs>
                  <a:gs pos="61000">
                    <a:srgbClr val="9947F7"/>
                  </a:gs>
                </a:gsLst>
                <a:lin ang="5400000" scaled="0"/>
              </a:gradFill>
              <a:ln w="146050">
                <a:solidFill>
                  <a:schemeClr val="tx1"/>
                </a:solidFill>
              </a:ln>
              <a:effectLst/>
            </c:spPr>
            <c:extLst>
              <c:ext xmlns:c16="http://schemas.microsoft.com/office/drawing/2014/chart" uri="{C3380CC4-5D6E-409C-BE32-E72D297353CC}">
                <c16:uniqueId val="{0000005D-0650-4BEC-9FA0-25D6916F8201}"/>
              </c:ext>
            </c:extLst>
          </c:dPt>
          <c:dPt>
            <c:idx val="47"/>
            <c:bubble3D val="0"/>
            <c:spPr>
              <a:gradFill>
                <a:gsLst>
                  <a:gs pos="0">
                    <a:srgbClr val="DC25FA"/>
                  </a:gs>
                  <a:gs pos="61000">
                    <a:srgbClr val="9947F7"/>
                  </a:gs>
                </a:gsLst>
                <a:lin ang="5400000" scaled="0"/>
              </a:gradFill>
              <a:ln w="146050">
                <a:solidFill>
                  <a:schemeClr val="tx1"/>
                </a:solidFill>
              </a:ln>
              <a:effectLst/>
            </c:spPr>
            <c:extLst>
              <c:ext xmlns:c16="http://schemas.microsoft.com/office/drawing/2014/chart" uri="{C3380CC4-5D6E-409C-BE32-E72D297353CC}">
                <c16:uniqueId val="{0000005F-0650-4BEC-9FA0-25D6916F8201}"/>
              </c:ext>
            </c:extLst>
          </c:dPt>
          <c:dPt>
            <c:idx val="48"/>
            <c:bubble3D val="0"/>
            <c:spPr>
              <a:gradFill>
                <a:gsLst>
                  <a:gs pos="0">
                    <a:srgbClr val="DC25FA"/>
                  </a:gs>
                  <a:gs pos="61000">
                    <a:srgbClr val="9947F7"/>
                  </a:gs>
                </a:gsLst>
                <a:lin ang="5400000" scaled="0"/>
              </a:gradFill>
              <a:ln w="146050">
                <a:solidFill>
                  <a:schemeClr val="tx1"/>
                </a:solidFill>
              </a:ln>
              <a:effectLst/>
            </c:spPr>
            <c:extLst>
              <c:ext xmlns:c16="http://schemas.microsoft.com/office/drawing/2014/chart" uri="{C3380CC4-5D6E-409C-BE32-E72D297353CC}">
                <c16:uniqueId val="{00000061-0650-4BEC-9FA0-25D6916F8201}"/>
              </c:ext>
            </c:extLst>
          </c:dPt>
          <c:dPt>
            <c:idx val="49"/>
            <c:bubble3D val="0"/>
            <c:spPr>
              <a:gradFill>
                <a:gsLst>
                  <a:gs pos="0">
                    <a:srgbClr val="DC25FA"/>
                  </a:gs>
                  <a:gs pos="61000">
                    <a:srgbClr val="9947F7"/>
                  </a:gs>
                </a:gsLst>
                <a:lin ang="5400000" scaled="0"/>
              </a:gradFill>
              <a:ln w="146050">
                <a:solidFill>
                  <a:schemeClr val="tx1"/>
                </a:solidFill>
              </a:ln>
              <a:effectLst/>
            </c:spPr>
            <c:extLst>
              <c:ext xmlns:c16="http://schemas.microsoft.com/office/drawing/2014/chart" uri="{C3380CC4-5D6E-409C-BE32-E72D297353CC}">
                <c16:uniqueId val="{00000063-0650-4BEC-9FA0-25D6916F8201}"/>
              </c:ext>
            </c:extLst>
          </c:dPt>
          <c:dPt>
            <c:idx val="50"/>
            <c:bubble3D val="0"/>
            <c:spPr>
              <a:gradFill>
                <a:gsLst>
                  <a:gs pos="0">
                    <a:srgbClr val="DC25FA"/>
                  </a:gs>
                  <a:gs pos="61000">
                    <a:srgbClr val="9947F7"/>
                  </a:gs>
                </a:gsLst>
                <a:lin ang="5400000" scaled="0"/>
              </a:gradFill>
              <a:ln w="146050">
                <a:solidFill>
                  <a:schemeClr val="tx1"/>
                </a:solidFill>
              </a:ln>
              <a:effectLst/>
            </c:spPr>
            <c:extLst>
              <c:ext xmlns:c16="http://schemas.microsoft.com/office/drawing/2014/chart" uri="{C3380CC4-5D6E-409C-BE32-E72D297353CC}">
                <c16:uniqueId val="{00000065-0650-4BEC-9FA0-25D6916F8201}"/>
              </c:ext>
            </c:extLst>
          </c:dPt>
          <c:dPt>
            <c:idx val="51"/>
            <c:bubble3D val="0"/>
            <c:spPr>
              <a:gradFill>
                <a:gsLst>
                  <a:gs pos="0">
                    <a:srgbClr val="DC25FA"/>
                  </a:gs>
                  <a:gs pos="61000">
                    <a:srgbClr val="9947F7"/>
                  </a:gs>
                </a:gsLst>
                <a:lin ang="5400000" scaled="0"/>
              </a:gradFill>
              <a:ln w="146050">
                <a:solidFill>
                  <a:schemeClr val="tx1"/>
                </a:solidFill>
              </a:ln>
              <a:effectLst/>
            </c:spPr>
            <c:extLst>
              <c:ext xmlns:c16="http://schemas.microsoft.com/office/drawing/2014/chart" uri="{C3380CC4-5D6E-409C-BE32-E72D297353CC}">
                <c16:uniqueId val="{00000067-0650-4BEC-9FA0-25D6916F8201}"/>
              </c:ext>
            </c:extLst>
          </c:dPt>
          <c:dPt>
            <c:idx val="52"/>
            <c:bubble3D val="0"/>
            <c:spPr>
              <a:gradFill>
                <a:gsLst>
                  <a:gs pos="0">
                    <a:srgbClr val="DC25FA"/>
                  </a:gs>
                  <a:gs pos="61000">
                    <a:srgbClr val="9947F7"/>
                  </a:gs>
                </a:gsLst>
                <a:lin ang="5400000" scaled="0"/>
              </a:gradFill>
              <a:ln w="146050">
                <a:solidFill>
                  <a:schemeClr val="tx1"/>
                </a:solidFill>
              </a:ln>
              <a:effectLst/>
            </c:spPr>
            <c:extLst>
              <c:ext xmlns:c16="http://schemas.microsoft.com/office/drawing/2014/chart" uri="{C3380CC4-5D6E-409C-BE32-E72D297353CC}">
                <c16:uniqueId val="{00000069-0650-4BEC-9FA0-25D6916F8201}"/>
              </c:ext>
            </c:extLst>
          </c:dPt>
          <c:dPt>
            <c:idx val="53"/>
            <c:bubble3D val="0"/>
            <c:spPr>
              <a:gradFill>
                <a:gsLst>
                  <a:gs pos="0">
                    <a:srgbClr val="DC25FA"/>
                  </a:gs>
                  <a:gs pos="61000">
                    <a:srgbClr val="9947F7"/>
                  </a:gs>
                </a:gsLst>
                <a:lin ang="5400000" scaled="0"/>
              </a:gradFill>
              <a:ln w="146050">
                <a:solidFill>
                  <a:schemeClr val="tx1"/>
                </a:solidFill>
              </a:ln>
              <a:effectLst/>
            </c:spPr>
            <c:extLst>
              <c:ext xmlns:c16="http://schemas.microsoft.com/office/drawing/2014/chart" uri="{C3380CC4-5D6E-409C-BE32-E72D297353CC}">
                <c16:uniqueId val="{0000006B-0650-4BEC-9FA0-25D6916F8201}"/>
              </c:ext>
            </c:extLst>
          </c:dPt>
          <c:dPt>
            <c:idx val="54"/>
            <c:bubble3D val="0"/>
            <c:spPr>
              <a:gradFill>
                <a:gsLst>
                  <a:gs pos="0">
                    <a:srgbClr val="DC25FA"/>
                  </a:gs>
                  <a:gs pos="61000">
                    <a:srgbClr val="9947F7"/>
                  </a:gs>
                </a:gsLst>
                <a:lin ang="5400000" scaled="0"/>
              </a:gradFill>
              <a:ln w="146050">
                <a:solidFill>
                  <a:schemeClr val="tx1"/>
                </a:solidFill>
              </a:ln>
              <a:effectLst/>
            </c:spPr>
            <c:extLst>
              <c:ext xmlns:c16="http://schemas.microsoft.com/office/drawing/2014/chart" uri="{C3380CC4-5D6E-409C-BE32-E72D297353CC}">
                <c16:uniqueId val="{0000006D-0650-4BEC-9FA0-25D6916F8201}"/>
              </c:ext>
            </c:extLst>
          </c:dPt>
          <c:dPt>
            <c:idx val="55"/>
            <c:bubble3D val="0"/>
            <c:spPr>
              <a:gradFill>
                <a:gsLst>
                  <a:gs pos="0">
                    <a:srgbClr val="DC25FA"/>
                  </a:gs>
                  <a:gs pos="61000">
                    <a:srgbClr val="9947F7"/>
                  </a:gs>
                </a:gsLst>
                <a:lin ang="5400000" scaled="0"/>
              </a:gradFill>
              <a:ln w="146050">
                <a:solidFill>
                  <a:schemeClr val="tx1"/>
                </a:solidFill>
              </a:ln>
              <a:effectLst/>
            </c:spPr>
            <c:extLst>
              <c:ext xmlns:c16="http://schemas.microsoft.com/office/drawing/2014/chart" uri="{C3380CC4-5D6E-409C-BE32-E72D297353CC}">
                <c16:uniqueId val="{0000006F-0650-4BEC-9FA0-25D6916F8201}"/>
              </c:ext>
            </c:extLst>
          </c:dPt>
          <c:dPt>
            <c:idx val="56"/>
            <c:bubble3D val="0"/>
            <c:spPr>
              <a:gradFill>
                <a:gsLst>
                  <a:gs pos="0">
                    <a:srgbClr val="DC25FA"/>
                  </a:gs>
                  <a:gs pos="61000">
                    <a:srgbClr val="9947F7"/>
                  </a:gs>
                </a:gsLst>
                <a:lin ang="5400000" scaled="0"/>
              </a:gradFill>
              <a:ln w="146050">
                <a:solidFill>
                  <a:schemeClr val="tx1"/>
                </a:solidFill>
              </a:ln>
              <a:effectLst/>
            </c:spPr>
            <c:extLst>
              <c:ext xmlns:c16="http://schemas.microsoft.com/office/drawing/2014/chart" uri="{C3380CC4-5D6E-409C-BE32-E72D297353CC}">
                <c16:uniqueId val="{00000071-0650-4BEC-9FA0-25D6916F8201}"/>
              </c:ext>
            </c:extLst>
          </c:dPt>
          <c:dPt>
            <c:idx val="57"/>
            <c:bubble3D val="0"/>
            <c:spPr>
              <a:gradFill>
                <a:gsLst>
                  <a:gs pos="0">
                    <a:srgbClr val="DC25FA"/>
                  </a:gs>
                  <a:gs pos="61000">
                    <a:srgbClr val="9947F7"/>
                  </a:gs>
                </a:gsLst>
                <a:lin ang="5400000" scaled="0"/>
              </a:gradFill>
              <a:ln w="146050">
                <a:solidFill>
                  <a:schemeClr val="tx1"/>
                </a:solidFill>
              </a:ln>
              <a:effectLst/>
            </c:spPr>
            <c:extLst>
              <c:ext xmlns:c16="http://schemas.microsoft.com/office/drawing/2014/chart" uri="{C3380CC4-5D6E-409C-BE32-E72D297353CC}">
                <c16:uniqueId val="{00000073-0650-4BEC-9FA0-25D6916F8201}"/>
              </c:ext>
            </c:extLst>
          </c:dPt>
          <c:val>
            <c:numLit>
              <c:formatCode>General</c:formatCode>
              <c:ptCount val="58"/>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1</c:v>
              </c:pt>
              <c:pt idx="52">
                <c:v>1</c:v>
              </c:pt>
              <c:pt idx="53">
                <c:v>1</c:v>
              </c:pt>
              <c:pt idx="54">
                <c:v>1</c:v>
              </c:pt>
              <c:pt idx="55">
                <c:v>1</c:v>
              </c:pt>
              <c:pt idx="56">
                <c:v>1</c:v>
              </c:pt>
              <c:pt idx="57">
                <c:v>1</c:v>
              </c:pt>
            </c:numLit>
          </c:val>
          <c:extLst>
            <c:ext xmlns:c16="http://schemas.microsoft.com/office/drawing/2014/chart" uri="{C3380CC4-5D6E-409C-BE32-E72D297353CC}">
              <c16:uniqueId val="{00000074-0650-4BEC-9FA0-25D6916F8201}"/>
            </c:ext>
          </c:extLst>
        </c:ser>
        <c:dLbls>
          <c:showLegendKey val="0"/>
          <c:showVal val="0"/>
          <c:showCatName val="0"/>
          <c:showSerName val="0"/>
          <c:showPercent val="0"/>
          <c:showBubbleSize val="0"/>
          <c:showLeaderLines val="1"/>
        </c:dLbls>
        <c:firstSliceAng val="0"/>
        <c:holeSize val="75"/>
      </c:doughnutChart>
      <c:doughnutChart>
        <c:varyColors val="1"/>
        <c:ser>
          <c:idx val="1"/>
          <c:order val="1"/>
          <c:tx>
            <c:v>Percentage+'Pivot Tables'!$T$7</c:v>
          </c:tx>
          <c:dPt>
            <c:idx val="0"/>
            <c:bubble3D val="0"/>
            <c:spPr>
              <a:noFill/>
              <a:ln w="19050">
                <a:noFill/>
              </a:ln>
              <a:effectLst/>
            </c:spPr>
            <c:extLst>
              <c:ext xmlns:c16="http://schemas.microsoft.com/office/drawing/2014/chart" uri="{C3380CC4-5D6E-409C-BE32-E72D297353CC}">
                <c16:uniqueId val="{00000076-0650-4BEC-9FA0-25D6916F8201}"/>
              </c:ext>
            </c:extLst>
          </c:dPt>
          <c:dPt>
            <c:idx val="1"/>
            <c:bubble3D val="0"/>
            <c:spPr>
              <a:solidFill>
                <a:schemeClr val="tx1">
                  <a:alpha val="72000"/>
                </a:schemeClr>
              </a:solidFill>
              <a:ln w="19050">
                <a:noFill/>
              </a:ln>
              <a:effectLst/>
            </c:spPr>
            <c:extLst>
              <c:ext xmlns:c16="http://schemas.microsoft.com/office/drawing/2014/chart" uri="{C3380CC4-5D6E-409C-BE32-E72D297353CC}">
                <c16:uniqueId val="{00000078-0650-4BEC-9FA0-25D6916F8201}"/>
              </c:ext>
            </c:extLst>
          </c:dPt>
          <c:val>
            <c:numRef>
              <c:f>'Pivot Tables'!$T$7:$U$7</c:f>
              <c:numCache>
                <c:formatCode>0%</c:formatCode>
                <c:ptCount val="2"/>
                <c:pt idx="0">
                  <c:v>0.91398761333274681</c:v>
                </c:pt>
                <c:pt idx="1">
                  <c:v>8.6012386667253193E-2</c:v>
                </c:pt>
              </c:numCache>
            </c:numRef>
          </c:val>
          <c:extLst>
            <c:ext xmlns:c16="http://schemas.microsoft.com/office/drawing/2014/chart" uri="{C3380CC4-5D6E-409C-BE32-E72D297353CC}">
              <c16:uniqueId val="{00000079-0650-4BEC-9FA0-25D6916F8201}"/>
            </c:ext>
          </c:extLst>
        </c:ser>
        <c:dLbls>
          <c:showLegendKey val="0"/>
          <c:showVal val="0"/>
          <c:showCatName val="0"/>
          <c:showSerName val="0"/>
          <c:showPercent val="0"/>
          <c:showBubbleSize val="0"/>
          <c:showLeaderLines val="1"/>
        </c:dLbls>
        <c:firstSliceAng val="0"/>
        <c:holeSize val="71"/>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crazy.xlsx]Pivot Tables!PivotTable3</c:name>
    <c:fmtId val="9"/>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a:gsLst>
              <a:gs pos="31000">
                <a:srgbClr val="194AFE"/>
              </a:gs>
              <a:gs pos="100000">
                <a:schemeClr val="tx1"/>
              </a:gs>
            </a:gsLst>
            <a:lin ang="5400000" scaled="1"/>
          </a:gradFill>
          <a:ln w="12700">
            <a:solidFill>
              <a:srgbClr val="194AFE"/>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a:gsLst>
              <a:gs pos="31000">
                <a:srgbClr val="194AFE"/>
              </a:gs>
              <a:gs pos="100000">
                <a:schemeClr val="tx1"/>
              </a:gs>
            </a:gsLst>
            <a:lin ang="5400000" scaled="1"/>
          </a:gradFill>
          <a:ln w="12700">
            <a:solidFill>
              <a:srgbClr val="194AFE"/>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a:gsLst>
              <a:gs pos="31000">
                <a:srgbClr val="194AFE"/>
              </a:gs>
              <a:gs pos="100000">
                <a:schemeClr val="tx1"/>
              </a:gs>
            </a:gsLst>
            <a:lin ang="5400000" scaled="1"/>
          </a:gradFill>
          <a:ln w="12700">
            <a:solidFill>
              <a:srgbClr val="194AFE">
                <a:alpha val="83000"/>
              </a:srgb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Tables'!$Y$6</c:f>
              <c:strCache>
                <c:ptCount val="1"/>
                <c:pt idx="0">
                  <c:v>Sum of Income</c:v>
                </c:pt>
              </c:strCache>
            </c:strRef>
          </c:tx>
          <c:spPr>
            <a:solidFill>
              <a:schemeClr val="accent1"/>
            </a:solidFill>
            <a:ln>
              <a:noFill/>
            </a:ln>
            <a:effectLst/>
          </c:spPr>
          <c:cat>
            <c:strRef>
              <c:f>'Pivot Tables'!$X$7:$X$19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Tables'!$Y$7:$Y$19</c:f>
              <c:numCache>
                <c:formatCode>_(* #,##0_);_(* \(#,##0\);_(* "-"??_);_(@_)</c:formatCode>
                <c:ptCount val="12"/>
                <c:pt idx="0">
                  <c:v>84834.150000000009</c:v>
                </c:pt>
                <c:pt idx="1">
                  <c:v>69174.600000000006</c:v>
                </c:pt>
                <c:pt idx="2">
                  <c:v>65640.5</c:v>
                </c:pt>
                <c:pt idx="3">
                  <c:v>66884.800000000003</c:v>
                </c:pt>
                <c:pt idx="4">
                  <c:v>66884.800000000003</c:v>
                </c:pt>
                <c:pt idx="5">
                  <c:v>66884.800000000003</c:v>
                </c:pt>
                <c:pt idx="6">
                  <c:v>66884.800000000003</c:v>
                </c:pt>
                <c:pt idx="7">
                  <c:v>66884.800000000003</c:v>
                </c:pt>
                <c:pt idx="8">
                  <c:v>66884.800000000003</c:v>
                </c:pt>
                <c:pt idx="9">
                  <c:v>66884.800000000003</c:v>
                </c:pt>
                <c:pt idx="10">
                  <c:v>66884.800000000003</c:v>
                </c:pt>
                <c:pt idx="11">
                  <c:v>66884.800000000003</c:v>
                </c:pt>
              </c:numCache>
            </c:numRef>
          </c:val>
          <c:extLst>
            <c:ext xmlns:c16="http://schemas.microsoft.com/office/drawing/2014/chart" uri="{C3380CC4-5D6E-409C-BE32-E72D297353CC}">
              <c16:uniqueId val="{00000000-A46E-4479-B70D-9E0091CB4EC7}"/>
            </c:ext>
          </c:extLst>
        </c:ser>
        <c:ser>
          <c:idx val="1"/>
          <c:order val="1"/>
          <c:tx>
            <c:strRef>
              <c:f>'Pivot Tables'!$Z$6</c:f>
              <c:strCache>
                <c:ptCount val="1"/>
                <c:pt idx="0">
                  <c:v>Sum of Income2</c:v>
                </c:pt>
              </c:strCache>
            </c:strRef>
          </c:tx>
          <c:spPr>
            <a:gradFill>
              <a:gsLst>
                <a:gs pos="31000">
                  <a:srgbClr val="194AFE"/>
                </a:gs>
                <a:gs pos="100000">
                  <a:schemeClr val="tx1"/>
                </a:gs>
              </a:gsLst>
              <a:lin ang="5400000" scaled="1"/>
            </a:gradFill>
            <a:ln w="12700">
              <a:solidFill>
                <a:srgbClr val="194AFE">
                  <a:alpha val="83000"/>
                </a:srgbClr>
              </a:solidFill>
            </a:ln>
            <a:effectLst/>
          </c:spPr>
          <c:cat>
            <c:strRef>
              <c:f>'Pivot Tables'!$X$7:$X$19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Tables'!$Z$7:$Z$19</c:f>
              <c:numCache>
                <c:formatCode>_(* #,##0_);_(* \(#,##0\);_(* "-"??_);_(@_)</c:formatCode>
                <c:ptCount val="12"/>
                <c:pt idx="0">
                  <c:v>84834.150000000009</c:v>
                </c:pt>
                <c:pt idx="1">
                  <c:v>69174.600000000006</c:v>
                </c:pt>
                <c:pt idx="2">
                  <c:v>65640.5</c:v>
                </c:pt>
                <c:pt idx="3">
                  <c:v>66884.800000000003</c:v>
                </c:pt>
                <c:pt idx="4">
                  <c:v>66884.800000000003</c:v>
                </c:pt>
                <c:pt idx="5">
                  <c:v>66884.800000000003</c:v>
                </c:pt>
                <c:pt idx="6">
                  <c:v>66884.800000000003</c:v>
                </c:pt>
                <c:pt idx="7">
                  <c:v>66884.800000000003</c:v>
                </c:pt>
                <c:pt idx="8">
                  <c:v>66884.800000000003</c:v>
                </c:pt>
                <c:pt idx="9">
                  <c:v>66884.800000000003</c:v>
                </c:pt>
                <c:pt idx="10">
                  <c:v>66884.800000000003</c:v>
                </c:pt>
                <c:pt idx="11">
                  <c:v>66884.800000000003</c:v>
                </c:pt>
              </c:numCache>
            </c:numRef>
          </c:val>
          <c:extLst>
            <c:ext xmlns:c16="http://schemas.microsoft.com/office/drawing/2014/chart" uri="{C3380CC4-5D6E-409C-BE32-E72D297353CC}">
              <c16:uniqueId val="{00000001-A46E-4479-B70D-9E0091CB4EC7}"/>
            </c:ext>
          </c:extLst>
        </c:ser>
        <c:dLbls>
          <c:showLegendKey val="0"/>
          <c:showVal val="0"/>
          <c:showCatName val="0"/>
          <c:showSerName val="0"/>
          <c:showPercent val="0"/>
          <c:showBubbleSize val="0"/>
        </c:dLbls>
        <c:axId val="513679616"/>
        <c:axId val="455650160"/>
      </c:areaChart>
      <c:catAx>
        <c:axId val="513679616"/>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800" b="0" i="0" u="none" strike="noStrike" kern="1200" baseline="0">
                <a:solidFill>
                  <a:schemeClr val="bg1"/>
                </a:solidFill>
                <a:latin typeface="+mn-lt"/>
                <a:ea typeface="+mn-ea"/>
                <a:cs typeface="+mn-cs"/>
              </a:defRPr>
            </a:pPr>
            <a:endParaRPr lang="en-US"/>
          </a:p>
        </c:txPr>
        <c:crossAx val="455650160"/>
        <c:crosses val="autoZero"/>
        <c:auto val="1"/>
        <c:lblAlgn val="ctr"/>
        <c:lblOffset val="100"/>
        <c:noMultiLvlLbl val="0"/>
      </c:catAx>
      <c:valAx>
        <c:axId val="455650160"/>
        <c:scaling>
          <c:orientation val="minMax"/>
        </c:scaling>
        <c:delete val="1"/>
        <c:axPos val="l"/>
        <c:numFmt formatCode="_(* #,##0_);_(* \(#,##0\);_(* &quot;-&quot;??_);_(@_)" sourceLinked="1"/>
        <c:majorTickMark val="none"/>
        <c:minorTickMark val="none"/>
        <c:tickLblPos val="nextTo"/>
        <c:crossAx val="513679616"/>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crazy.xlsx]Pivot Tables!PivotTable4</c:name>
    <c:fmtId val="1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81000">
                <a:srgbClr val="C240DB"/>
              </a:gs>
              <a:gs pos="27000">
                <a:srgbClr val="9BF8F2"/>
              </a:gs>
            </a:gsLst>
            <a:lin ang="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flip="none" rotWithShape="1">
            <a:gsLst>
              <a:gs pos="81000">
                <a:srgbClr val="C240D8"/>
              </a:gs>
              <a:gs pos="27000">
                <a:srgbClr val="9BF8F2"/>
              </a:gs>
            </a:gsLst>
            <a:lin ang="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Tables'!$AF$6</c:f>
              <c:strCache>
                <c:ptCount val="1"/>
                <c:pt idx="0">
                  <c:v>Total</c:v>
                </c:pt>
              </c:strCache>
            </c:strRef>
          </c:tx>
          <c:spPr>
            <a:gradFill flip="none" rotWithShape="1">
              <a:gsLst>
                <a:gs pos="81000">
                  <a:srgbClr val="C240D8"/>
                </a:gs>
                <a:gs pos="27000">
                  <a:srgbClr val="9BF8F2"/>
                </a:gs>
              </a:gsLst>
              <a:lin ang="0" scaled="1"/>
              <a:tileRect/>
            </a:gradFill>
            <a:ln>
              <a:noFill/>
            </a:ln>
            <a:effectLst/>
          </c:spPr>
          <c:invertIfNegative val="0"/>
          <c:cat>
            <c:strRef>
              <c:f>'Pivot Tables'!$AE$7:$AE$19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Tables'!$AF$7:$AF$19</c:f>
              <c:numCache>
                <c:formatCode>_(* #,##0_);_(* \(#,##0\);_(* "-"??_);_(@_)</c:formatCode>
                <c:ptCount val="12"/>
                <c:pt idx="0">
                  <c:v>16966.830000000002</c:v>
                </c:pt>
                <c:pt idx="1">
                  <c:v>13834.920000000002</c:v>
                </c:pt>
                <c:pt idx="2">
                  <c:v>13128.1</c:v>
                </c:pt>
                <c:pt idx="3">
                  <c:v>13376.96</c:v>
                </c:pt>
                <c:pt idx="4">
                  <c:v>13376.96</c:v>
                </c:pt>
                <c:pt idx="5">
                  <c:v>13376.96</c:v>
                </c:pt>
                <c:pt idx="6">
                  <c:v>13376.96</c:v>
                </c:pt>
                <c:pt idx="7">
                  <c:v>13376.96</c:v>
                </c:pt>
                <c:pt idx="8">
                  <c:v>13376.96</c:v>
                </c:pt>
                <c:pt idx="9">
                  <c:v>13376.96</c:v>
                </c:pt>
                <c:pt idx="10">
                  <c:v>13376.96</c:v>
                </c:pt>
                <c:pt idx="11">
                  <c:v>13376.96</c:v>
                </c:pt>
              </c:numCache>
            </c:numRef>
          </c:val>
          <c:extLst>
            <c:ext xmlns:c16="http://schemas.microsoft.com/office/drawing/2014/chart" uri="{C3380CC4-5D6E-409C-BE32-E72D297353CC}">
              <c16:uniqueId val="{00000000-DEA0-4B5E-A959-E2F32047A89D}"/>
            </c:ext>
          </c:extLst>
        </c:ser>
        <c:dLbls>
          <c:showLegendKey val="0"/>
          <c:showVal val="0"/>
          <c:showCatName val="0"/>
          <c:showSerName val="0"/>
          <c:showPercent val="0"/>
          <c:showBubbleSize val="0"/>
        </c:dLbls>
        <c:gapWidth val="230"/>
        <c:axId val="1653151215"/>
        <c:axId val="1382954735"/>
      </c:barChart>
      <c:catAx>
        <c:axId val="1653151215"/>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382954735"/>
        <c:crosses val="autoZero"/>
        <c:auto val="1"/>
        <c:lblAlgn val="ctr"/>
        <c:lblOffset val="100"/>
        <c:noMultiLvlLbl val="0"/>
      </c:catAx>
      <c:valAx>
        <c:axId val="1382954735"/>
        <c:scaling>
          <c:orientation val="minMax"/>
        </c:scaling>
        <c:delete val="1"/>
        <c:axPos val="b"/>
        <c:numFmt formatCode="_(* #,##0_);_(* \(#,##0\);_(* &quot;-&quot;??_);_(@_)" sourceLinked="1"/>
        <c:majorTickMark val="none"/>
        <c:minorTickMark val="none"/>
        <c:tickLblPos val="nextTo"/>
        <c:crossAx val="16531512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crazy.xlsx]Pivot Tables!PivotTable5</c:name>
    <c:fmtId val="35"/>
  </c:pivotSource>
  <c:chart>
    <c:autoTitleDeleted val="0"/>
    <c:pivotFmts>
      <c:pivotFmt>
        <c:idx val="0"/>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2"/>
        <c:spPr>
          <a:solidFill>
            <a:srgbClr val="194AFE"/>
          </a:solidFill>
          <a:ln w="19050">
            <a:solidFill>
              <a:schemeClr val="lt1"/>
            </a:solidFill>
          </a:ln>
          <a:effectLst/>
        </c:spPr>
      </c:pivotFmt>
      <c:pivotFmt>
        <c:idx val="3"/>
        <c:spPr>
          <a:solidFill>
            <a:srgbClr val="194AFE"/>
          </a:solidFill>
          <a:ln w="19050">
            <a:solidFill>
              <a:schemeClr val="lt1"/>
            </a:solidFill>
          </a:ln>
          <a:effectLst/>
        </c:spPr>
      </c:pivotFmt>
      <c:pivotFmt>
        <c:idx val="4"/>
        <c:spPr>
          <a:solidFill>
            <a:srgbClr val="9BF8F2"/>
          </a:solidFill>
          <a:ln w="19050">
            <a:solidFill>
              <a:schemeClr val="lt1"/>
            </a:solidFill>
          </a:ln>
          <a:effectLst/>
        </c:spPr>
      </c:pivotFmt>
      <c:pivotFmt>
        <c:idx val="5"/>
        <c:spPr>
          <a:solidFill>
            <a:srgbClr val="9BF8F2"/>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7"/>
        <c:spPr>
          <a:solidFill>
            <a:srgbClr val="194AFE"/>
          </a:solidFill>
          <a:ln w="19050">
            <a:solidFill>
              <a:schemeClr val="lt1"/>
            </a:solidFill>
          </a:ln>
          <a:effectLst/>
        </c:spPr>
      </c:pivotFmt>
      <c:pivotFmt>
        <c:idx val="8"/>
        <c:spPr>
          <a:solidFill>
            <a:srgbClr val="9BF8F2"/>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0"/>
        <c:spPr>
          <a:solidFill>
            <a:srgbClr val="194AFE"/>
          </a:solidFill>
          <a:ln w="19050">
            <a:solidFill>
              <a:schemeClr val="lt1"/>
            </a:solidFill>
          </a:ln>
          <a:effectLst/>
        </c:spPr>
      </c:pivotFmt>
      <c:pivotFmt>
        <c:idx val="11"/>
        <c:spPr>
          <a:solidFill>
            <a:srgbClr val="9BF8F2"/>
          </a:solidFill>
          <a:ln w="19050">
            <a:solidFill>
              <a:schemeClr val="lt1"/>
            </a:solidFill>
          </a:ln>
          <a:effectLst/>
        </c:spPr>
      </c:pivotFmt>
      <c:pivotFmt>
        <c:idx val="12"/>
        <c:spPr>
          <a:solidFill>
            <a:schemeClr val="accent1"/>
          </a:solidFill>
          <a:ln w="19050">
            <a:solidFill>
              <a:schemeClr val="tx1"/>
            </a:solidFill>
          </a:ln>
          <a:effectLst/>
        </c:spPr>
        <c:marker>
          <c:symbol val="none"/>
        </c:marker>
        <c:dLbl>
          <c:idx val="0"/>
          <c:delete val="1"/>
          <c:extLst>
            <c:ext xmlns:c15="http://schemas.microsoft.com/office/drawing/2012/chart" uri="{CE6537A1-D6FC-4f65-9D91-7224C49458BB}"/>
          </c:extLst>
        </c:dLbl>
      </c:pivotFmt>
      <c:pivotFmt>
        <c:idx val="13"/>
        <c:spPr>
          <a:solidFill>
            <a:srgbClr val="194AFE"/>
          </a:solidFill>
          <a:ln w="19050">
            <a:solidFill>
              <a:schemeClr val="tx1"/>
            </a:solidFill>
          </a:ln>
          <a:effectLst/>
        </c:spPr>
      </c:pivotFmt>
      <c:pivotFmt>
        <c:idx val="14"/>
        <c:spPr>
          <a:solidFill>
            <a:srgbClr val="9BF8F2"/>
          </a:solidFill>
          <a:ln w="19050">
            <a:solidFill>
              <a:schemeClr val="tx1"/>
            </a:solidFill>
          </a:ln>
          <a:effectLst/>
        </c:spPr>
      </c:pivotFmt>
      <c:pivotFmt>
        <c:idx val="15"/>
        <c:spPr>
          <a:solidFill>
            <a:schemeClr val="accent1"/>
          </a:solidFill>
          <a:ln w="19050">
            <a:solidFill>
              <a:schemeClr val="tx1"/>
            </a:solidFill>
          </a:ln>
          <a:effectLst/>
        </c:spPr>
        <c:marker>
          <c:symbol val="none"/>
        </c:marker>
        <c:dLbl>
          <c:idx val="0"/>
          <c:delete val="1"/>
          <c:extLst>
            <c:ext xmlns:c15="http://schemas.microsoft.com/office/drawing/2012/chart" uri="{CE6537A1-D6FC-4f65-9D91-7224C49458BB}"/>
          </c:extLst>
        </c:dLbl>
      </c:pivotFmt>
      <c:pivotFmt>
        <c:idx val="16"/>
        <c:spPr>
          <a:solidFill>
            <a:srgbClr val="194AFE"/>
          </a:solidFill>
          <a:ln w="19050">
            <a:solidFill>
              <a:schemeClr val="tx1"/>
            </a:solidFill>
          </a:ln>
          <a:effectLst/>
        </c:spPr>
      </c:pivotFmt>
      <c:pivotFmt>
        <c:idx val="17"/>
        <c:spPr>
          <a:solidFill>
            <a:srgbClr val="9BF8F2"/>
          </a:solidFill>
          <a:ln w="19050">
            <a:solidFill>
              <a:schemeClr val="tx1"/>
            </a:solidFill>
          </a:ln>
          <a:effectLst/>
        </c:spPr>
      </c:pivotFmt>
      <c:pivotFmt>
        <c:idx val="18"/>
        <c:spPr>
          <a:solidFill>
            <a:schemeClr val="accent1"/>
          </a:solidFill>
          <a:ln w="19050">
            <a:solidFill>
              <a:schemeClr val="tx1"/>
            </a:solidFill>
          </a:ln>
          <a:effectLst/>
        </c:spPr>
        <c:marker>
          <c:symbol val="none"/>
        </c:marker>
        <c:dLbl>
          <c:idx val="0"/>
          <c:delete val="1"/>
          <c:extLst>
            <c:ext xmlns:c15="http://schemas.microsoft.com/office/drawing/2012/chart" uri="{CE6537A1-D6FC-4f65-9D91-7224C49458BB}"/>
          </c:extLst>
        </c:dLbl>
      </c:pivotFmt>
      <c:pivotFmt>
        <c:idx val="19"/>
        <c:spPr>
          <a:solidFill>
            <a:srgbClr val="194AFE"/>
          </a:solidFill>
          <a:ln w="19050">
            <a:solidFill>
              <a:schemeClr val="tx1"/>
            </a:solidFill>
          </a:ln>
          <a:effectLst/>
        </c:spPr>
      </c:pivotFmt>
      <c:pivotFmt>
        <c:idx val="20"/>
        <c:spPr>
          <a:solidFill>
            <a:srgbClr val="9BF8F2"/>
          </a:solidFill>
          <a:ln w="19050">
            <a:solidFill>
              <a:schemeClr val="tx1"/>
            </a:solidFill>
          </a:ln>
          <a:effectLst/>
        </c:spPr>
      </c:pivotFmt>
      <c:pivotFmt>
        <c:idx val="21"/>
        <c:spPr>
          <a:solidFill>
            <a:schemeClr val="accent1"/>
          </a:solidFill>
          <a:ln w="19050">
            <a:solidFill>
              <a:schemeClr val="tx1"/>
            </a:solidFill>
          </a:ln>
          <a:effectLst/>
        </c:spPr>
        <c:marker>
          <c:symbol val="none"/>
        </c:marker>
        <c:dLbl>
          <c:idx val="0"/>
          <c:delete val="1"/>
          <c:extLst>
            <c:ext xmlns:c15="http://schemas.microsoft.com/office/drawing/2012/chart" uri="{CE6537A1-D6FC-4f65-9D91-7224C49458BB}"/>
          </c:extLst>
        </c:dLbl>
      </c:pivotFmt>
      <c:pivotFmt>
        <c:idx val="22"/>
        <c:spPr>
          <a:solidFill>
            <a:srgbClr val="194AFE"/>
          </a:solidFill>
          <a:ln w="19050">
            <a:solidFill>
              <a:schemeClr val="tx1"/>
            </a:solidFill>
          </a:ln>
          <a:effectLst/>
        </c:spPr>
      </c:pivotFmt>
      <c:pivotFmt>
        <c:idx val="23"/>
        <c:spPr>
          <a:solidFill>
            <a:srgbClr val="9BF8F2"/>
          </a:solidFill>
          <a:ln w="19050">
            <a:solidFill>
              <a:schemeClr val="tx1"/>
            </a:solidFill>
          </a:ln>
          <a:effectLst/>
        </c:spPr>
      </c:pivotFmt>
      <c:pivotFmt>
        <c:idx val="24"/>
        <c:spPr>
          <a:solidFill>
            <a:schemeClr val="accent1"/>
          </a:solidFill>
          <a:ln w="19050">
            <a:solidFill>
              <a:schemeClr val="tx1"/>
            </a:solidFill>
          </a:ln>
          <a:effectLst/>
        </c:spPr>
        <c:marker>
          <c:symbol val="none"/>
        </c:marker>
        <c:dLbl>
          <c:idx val="0"/>
          <c:delete val="1"/>
          <c:extLst>
            <c:ext xmlns:c15="http://schemas.microsoft.com/office/drawing/2012/chart" uri="{CE6537A1-D6FC-4f65-9D91-7224C49458BB}"/>
          </c:extLst>
        </c:dLbl>
      </c:pivotFmt>
      <c:pivotFmt>
        <c:idx val="25"/>
        <c:spPr>
          <a:solidFill>
            <a:srgbClr val="194AFE"/>
          </a:solidFill>
          <a:ln w="19050">
            <a:solidFill>
              <a:schemeClr val="tx1"/>
            </a:solidFill>
          </a:ln>
          <a:effectLst/>
        </c:spPr>
      </c:pivotFmt>
      <c:pivotFmt>
        <c:idx val="26"/>
        <c:spPr>
          <a:solidFill>
            <a:srgbClr val="9BF8F2"/>
          </a:solidFill>
          <a:ln w="19050">
            <a:solidFill>
              <a:schemeClr val="tx1"/>
            </a:solidFill>
          </a:ln>
          <a:effectLst/>
        </c:spPr>
      </c:pivotFmt>
      <c:pivotFmt>
        <c:idx val="27"/>
        <c:spPr>
          <a:solidFill>
            <a:schemeClr val="accent1"/>
          </a:solidFill>
          <a:ln w="19050">
            <a:solidFill>
              <a:schemeClr val="tx1"/>
            </a:solidFill>
          </a:ln>
          <a:effectLst/>
        </c:spPr>
        <c:marker>
          <c:symbol val="none"/>
        </c:marker>
        <c:dLbl>
          <c:idx val="0"/>
          <c:delete val="1"/>
          <c:extLst>
            <c:ext xmlns:c15="http://schemas.microsoft.com/office/drawing/2012/chart" uri="{CE6537A1-D6FC-4f65-9D91-7224C49458BB}"/>
          </c:extLst>
        </c:dLbl>
      </c:pivotFmt>
      <c:pivotFmt>
        <c:idx val="28"/>
        <c:spPr>
          <a:solidFill>
            <a:srgbClr val="194AFE"/>
          </a:solidFill>
          <a:ln w="19050">
            <a:solidFill>
              <a:schemeClr val="tx1"/>
            </a:solidFill>
          </a:ln>
          <a:effectLst/>
        </c:spPr>
      </c:pivotFmt>
      <c:pivotFmt>
        <c:idx val="29"/>
        <c:spPr>
          <a:solidFill>
            <a:srgbClr val="9BF8F2"/>
          </a:solidFill>
          <a:ln w="19050">
            <a:solidFill>
              <a:schemeClr val="tx1"/>
            </a:solidFill>
          </a:ln>
          <a:effectLst/>
        </c:spPr>
      </c:pivotFmt>
      <c:pivotFmt>
        <c:idx val="30"/>
        <c:spPr>
          <a:ln>
            <a:solidFill>
              <a:schemeClr val="tx1"/>
            </a:solidFill>
          </a:ln>
        </c:spPr>
        <c:marker>
          <c:symbol val="none"/>
        </c:marker>
        <c:dLbl>
          <c:idx val="0"/>
          <c:delete val="1"/>
          <c:extLst>
            <c:ext xmlns:c15="http://schemas.microsoft.com/office/drawing/2012/chart" uri="{CE6537A1-D6FC-4f65-9D91-7224C49458BB}"/>
          </c:extLst>
        </c:dLbl>
      </c:pivotFmt>
      <c:pivotFmt>
        <c:idx val="31"/>
        <c:spPr>
          <a:solidFill>
            <a:srgbClr val="194AFE"/>
          </a:solidFill>
          <a:ln w="19050">
            <a:solidFill>
              <a:schemeClr val="tx1"/>
            </a:solidFill>
          </a:ln>
          <a:effectLst/>
        </c:spPr>
      </c:pivotFmt>
      <c:pivotFmt>
        <c:idx val="32"/>
        <c:spPr>
          <a:solidFill>
            <a:srgbClr val="9BF8F2"/>
          </a:solidFill>
          <a:ln w="19050">
            <a:solidFill>
              <a:schemeClr val="tx1"/>
            </a:solidFill>
          </a:ln>
          <a:effectLst/>
        </c:spPr>
      </c:pivotFmt>
      <c:pivotFmt>
        <c:idx val="33"/>
        <c:spPr>
          <a:ln>
            <a:solidFill>
              <a:schemeClr val="tx1"/>
            </a:solidFill>
          </a:ln>
        </c:spPr>
        <c:marker>
          <c:symbol val="none"/>
        </c:marker>
        <c:dLbl>
          <c:idx val="0"/>
          <c:delete val="1"/>
          <c:extLst>
            <c:ext xmlns:c15="http://schemas.microsoft.com/office/drawing/2012/chart" uri="{CE6537A1-D6FC-4f65-9D91-7224C49458BB}"/>
          </c:extLst>
        </c:dLbl>
      </c:pivotFmt>
      <c:pivotFmt>
        <c:idx val="34"/>
        <c:spPr>
          <a:solidFill>
            <a:srgbClr val="194AFE"/>
          </a:solidFill>
          <a:ln w="19050">
            <a:solidFill>
              <a:schemeClr val="tx1"/>
            </a:solidFill>
          </a:ln>
          <a:effectLst/>
        </c:spPr>
      </c:pivotFmt>
      <c:pivotFmt>
        <c:idx val="35"/>
        <c:spPr>
          <a:solidFill>
            <a:srgbClr val="9BF8F2"/>
          </a:solidFill>
          <a:ln w="19050">
            <a:solidFill>
              <a:schemeClr val="tx1"/>
            </a:solidFill>
          </a:ln>
          <a:effectLst/>
        </c:spPr>
      </c:pivotFmt>
      <c:pivotFmt>
        <c:idx val="36"/>
        <c:spPr>
          <a:ln>
            <a:solidFill>
              <a:schemeClr val="tx1"/>
            </a:solidFill>
          </a:ln>
        </c:spPr>
        <c:marker>
          <c:symbol val="none"/>
        </c:marker>
        <c:dLbl>
          <c:idx val="0"/>
          <c:delete val="1"/>
          <c:extLst>
            <c:ext xmlns:c15="http://schemas.microsoft.com/office/drawing/2012/chart" uri="{CE6537A1-D6FC-4f65-9D91-7224C49458BB}"/>
          </c:extLst>
        </c:dLbl>
      </c:pivotFmt>
      <c:pivotFmt>
        <c:idx val="37"/>
        <c:spPr>
          <a:solidFill>
            <a:srgbClr val="194AFE"/>
          </a:solidFill>
          <a:ln w="19050">
            <a:solidFill>
              <a:schemeClr val="tx1"/>
            </a:solidFill>
          </a:ln>
          <a:effectLst/>
        </c:spPr>
      </c:pivotFmt>
      <c:pivotFmt>
        <c:idx val="38"/>
        <c:spPr>
          <a:solidFill>
            <a:srgbClr val="9BF8F2"/>
          </a:solidFill>
          <a:ln w="19050">
            <a:solidFill>
              <a:schemeClr val="tx1"/>
            </a:solidFill>
          </a:ln>
          <a:effectLst/>
        </c:spPr>
      </c:pivotFmt>
      <c:pivotFmt>
        <c:idx val="39"/>
        <c:spPr>
          <a:ln>
            <a:solidFill>
              <a:schemeClr val="tx1"/>
            </a:solidFill>
          </a:ln>
        </c:spPr>
        <c:marker>
          <c:symbol val="none"/>
        </c:marker>
        <c:dLbl>
          <c:idx val="0"/>
          <c:delete val="1"/>
          <c:extLst>
            <c:ext xmlns:c15="http://schemas.microsoft.com/office/drawing/2012/chart" uri="{CE6537A1-D6FC-4f65-9D91-7224C49458BB}"/>
          </c:extLst>
        </c:dLbl>
      </c:pivotFmt>
      <c:pivotFmt>
        <c:idx val="40"/>
        <c:spPr>
          <a:solidFill>
            <a:srgbClr val="194AFE"/>
          </a:solidFill>
          <a:ln w="19050">
            <a:solidFill>
              <a:schemeClr val="tx1"/>
            </a:solidFill>
          </a:ln>
          <a:effectLst/>
        </c:spPr>
      </c:pivotFmt>
      <c:pivotFmt>
        <c:idx val="41"/>
        <c:spPr>
          <a:solidFill>
            <a:srgbClr val="9BF8F2"/>
          </a:solidFill>
          <a:ln w="19050">
            <a:solidFill>
              <a:schemeClr val="tx1"/>
            </a:solidFill>
          </a:ln>
          <a:effectLst/>
        </c:spPr>
      </c:pivotFmt>
      <c:pivotFmt>
        <c:idx val="42"/>
        <c:spPr>
          <a:ln>
            <a:solidFill>
              <a:schemeClr val="tx1"/>
            </a:solidFill>
          </a:ln>
        </c:spPr>
        <c:marker>
          <c:symbol val="none"/>
        </c:marker>
        <c:dLbl>
          <c:idx val="0"/>
          <c:delete val="1"/>
          <c:extLst>
            <c:ext xmlns:c15="http://schemas.microsoft.com/office/drawing/2012/chart" uri="{CE6537A1-D6FC-4f65-9D91-7224C49458BB}"/>
          </c:extLst>
        </c:dLbl>
      </c:pivotFmt>
      <c:pivotFmt>
        <c:idx val="43"/>
        <c:spPr>
          <a:solidFill>
            <a:srgbClr val="194AFE"/>
          </a:solidFill>
          <a:ln w="19050">
            <a:solidFill>
              <a:schemeClr val="tx1"/>
            </a:solidFill>
          </a:ln>
          <a:effectLst/>
        </c:spPr>
      </c:pivotFmt>
      <c:pivotFmt>
        <c:idx val="44"/>
        <c:spPr>
          <a:solidFill>
            <a:srgbClr val="9BF8F2"/>
          </a:solidFill>
          <a:ln w="19050">
            <a:solidFill>
              <a:schemeClr val="tx1"/>
            </a:solidFill>
          </a:ln>
          <a:effectLst/>
        </c:spPr>
      </c:pivotFmt>
      <c:pivotFmt>
        <c:idx val="45"/>
        <c:spPr>
          <a:ln>
            <a:solidFill>
              <a:schemeClr val="tx1"/>
            </a:solidFill>
          </a:ln>
        </c:spPr>
        <c:marker>
          <c:symbol val="none"/>
        </c:marker>
        <c:dLbl>
          <c:idx val="0"/>
          <c:delete val="1"/>
          <c:extLst>
            <c:ext xmlns:c15="http://schemas.microsoft.com/office/drawing/2012/chart" uri="{CE6537A1-D6FC-4f65-9D91-7224C49458BB}"/>
          </c:extLst>
        </c:dLbl>
      </c:pivotFmt>
      <c:pivotFmt>
        <c:idx val="46"/>
        <c:spPr>
          <a:solidFill>
            <a:srgbClr val="194AFE"/>
          </a:solidFill>
          <a:ln w="19050">
            <a:solidFill>
              <a:schemeClr val="tx1"/>
            </a:solidFill>
          </a:ln>
          <a:effectLst/>
        </c:spPr>
      </c:pivotFmt>
      <c:pivotFmt>
        <c:idx val="47"/>
        <c:spPr>
          <a:solidFill>
            <a:srgbClr val="9BF8F2"/>
          </a:solidFill>
          <a:ln w="19050">
            <a:solidFill>
              <a:schemeClr val="tx1"/>
            </a:solidFill>
          </a:ln>
          <a:effectLst/>
        </c:spPr>
      </c:pivotFmt>
    </c:pivotFmts>
    <c:plotArea>
      <c:layout/>
      <c:doughnutChart>
        <c:varyColors val="1"/>
        <c:ser>
          <c:idx val="0"/>
          <c:order val="0"/>
          <c:tx>
            <c:strRef>
              <c:f>'Pivot Tables'!$AL$6</c:f>
              <c:strCache>
                <c:ptCount val="1"/>
                <c:pt idx="0">
                  <c:v>Sum of Income</c:v>
                </c:pt>
              </c:strCache>
            </c:strRef>
          </c:tx>
          <c:spPr>
            <a:ln>
              <a:solidFill>
                <a:schemeClr val="tx1"/>
              </a:solidFill>
            </a:ln>
          </c:spPr>
          <c:dPt>
            <c:idx val="0"/>
            <c:bubble3D val="0"/>
            <c:spPr>
              <a:solidFill>
                <a:srgbClr val="194AFE"/>
              </a:solidFill>
              <a:ln w="19050">
                <a:solidFill>
                  <a:schemeClr val="tx1"/>
                </a:solidFill>
              </a:ln>
              <a:effectLst/>
            </c:spPr>
            <c:extLst>
              <c:ext xmlns:c16="http://schemas.microsoft.com/office/drawing/2014/chart" uri="{C3380CC4-5D6E-409C-BE32-E72D297353CC}">
                <c16:uniqueId val="{00000001-D8EA-4AA5-92A7-0A8C6B547DA5}"/>
              </c:ext>
            </c:extLst>
          </c:dPt>
          <c:dPt>
            <c:idx val="1"/>
            <c:bubble3D val="0"/>
            <c:spPr>
              <a:solidFill>
                <a:srgbClr val="9BF8F2"/>
              </a:solidFill>
              <a:ln w="19050">
                <a:solidFill>
                  <a:schemeClr val="tx1"/>
                </a:solidFill>
              </a:ln>
              <a:effectLst/>
            </c:spPr>
            <c:extLst>
              <c:ext xmlns:c16="http://schemas.microsoft.com/office/drawing/2014/chart" uri="{C3380CC4-5D6E-409C-BE32-E72D297353CC}">
                <c16:uniqueId val="{00000003-D8EA-4AA5-92A7-0A8C6B547DA5}"/>
              </c:ext>
            </c:extLst>
          </c:dPt>
          <c:cat>
            <c:strRef>
              <c:f>'Pivot Tables'!$AK$7:$AK$9</c:f>
              <c:strCache>
                <c:ptCount val="2"/>
                <c:pt idx="0">
                  <c:v>B2B</c:v>
                </c:pt>
                <c:pt idx="1">
                  <c:v>B2C</c:v>
                </c:pt>
              </c:strCache>
            </c:strRef>
          </c:cat>
          <c:val>
            <c:numRef>
              <c:f>'Pivot Tables'!$AL$7:$AL$9</c:f>
              <c:numCache>
                <c:formatCode>_(* #,##0_);_(* \(#,##0\);_(* "-"??_);_(@_)</c:formatCode>
                <c:ptCount val="2"/>
                <c:pt idx="0">
                  <c:v>493010.04999999993</c:v>
                </c:pt>
                <c:pt idx="1">
                  <c:v>328602.39999999997</c:v>
                </c:pt>
              </c:numCache>
            </c:numRef>
          </c:val>
          <c:extLst>
            <c:ext xmlns:c16="http://schemas.microsoft.com/office/drawing/2014/chart" uri="{C3380CC4-5D6E-409C-BE32-E72D297353CC}">
              <c16:uniqueId val="{00000004-D8EA-4AA5-92A7-0A8C6B547DA5}"/>
            </c:ext>
          </c:extLst>
        </c:ser>
        <c:ser>
          <c:idx val="1"/>
          <c:order val="1"/>
          <c:tx>
            <c:strRef>
              <c:f>'Pivot Tables'!$AM$6</c:f>
              <c:strCache>
                <c:ptCount val="1"/>
                <c:pt idx="0">
                  <c:v>Sum of Income2</c:v>
                </c:pt>
              </c:strCache>
            </c:strRef>
          </c:tx>
          <c:spPr>
            <a:ln>
              <a:solidFill>
                <a:schemeClr val="tx1"/>
              </a:solidFill>
            </a:ln>
          </c:spPr>
          <c:dPt>
            <c:idx val="0"/>
            <c:bubble3D val="0"/>
            <c:spPr>
              <a:solidFill>
                <a:srgbClr val="194AFE"/>
              </a:solidFill>
              <a:ln w="19050">
                <a:solidFill>
                  <a:schemeClr val="tx1"/>
                </a:solidFill>
              </a:ln>
              <a:effectLst/>
            </c:spPr>
            <c:extLst>
              <c:ext xmlns:c16="http://schemas.microsoft.com/office/drawing/2014/chart" uri="{C3380CC4-5D6E-409C-BE32-E72D297353CC}">
                <c16:uniqueId val="{00000006-D8EA-4AA5-92A7-0A8C6B547DA5}"/>
              </c:ext>
            </c:extLst>
          </c:dPt>
          <c:dPt>
            <c:idx val="1"/>
            <c:bubble3D val="0"/>
            <c:spPr>
              <a:solidFill>
                <a:srgbClr val="9BF8F2"/>
              </a:solidFill>
              <a:ln w="19050">
                <a:solidFill>
                  <a:schemeClr val="tx1"/>
                </a:solidFill>
              </a:ln>
              <a:effectLst/>
            </c:spPr>
            <c:extLst>
              <c:ext xmlns:c16="http://schemas.microsoft.com/office/drawing/2014/chart" uri="{C3380CC4-5D6E-409C-BE32-E72D297353CC}">
                <c16:uniqueId val="{00000008-D8EA-4AA5-92A7-0A8C6B547DA5}"/>
              </c:ext>
            </c:extLst>
          </c:dPt>
          <c:cat>
            <c:strRef>
              <c:f>'Pivot Tables'!$AK$7:$AK$9</c:f>
              <c:strCache>
                <c:ptCount val="2"/>
                <c:pt idx="0">
                  <c:v>B2B</c:v>
                </c:pt>
                <c:pt idx="1">
                  <c:v>B2C</c:v>
                </c:pt>
              </c:strCache>
            </c:strRef>
          </c:cat>
          <c:val>
            <c:numRef>
              <c:f>'Pivot Tables'!$AM$7:$AM$9</c:f>
              <c:numCache>
                <c:formatCode>0.00%</c:formatCode>
                <c:ptCount val="2"/>
                <c:pt idx="0">
                  <c:v>0.60005182492061793</c:v>
                </c:pt>
                <c:pt idx="1">
                  <c:v>0.39994817507938202</c:v>
                </c:pt>
              </c:numCache>
            </c:numRef>
          </c:val>
          <c:extLst>
            <c:ext xmlns:c16="http://schemas.microsoft.com/office/drawing/2014/chart" uri="{C3380CC4-5D6E-409C-BE32-E72D297353CC}">
              <c16:uniqueId val="{00000009-D8EA-4AA5-92A7-0A8C6B547DA5}"/>
            </c:ext>
          </c:extLst>
        </c:ser>
        <c:dLbls>
          <c:showLegendKey val="0"/>
          <c:showVal val="0"/>
          <c:showCatName val="0"/>
          <c:showSerName val="0"/>
          <c:showPercent val="0"/>
          <c:showBubbleSize val="0"/>
          <c:showLeaderLines val="1"/>
        </c:dLbls>
        <c:firstSliceAng val="0"/>
        <c:holeSize val="75"/>
      </c:doughnutChart>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7201518818271165E-2"/>
          <c:y val="1.9669660508224697E-2"/>
          <c:w val="0.97296514060981321"/>
          <c:h val="0.96066056459552185"/>
        </c:manualLayout>
      </c:layout>
      <c:bubbleChart>
        <c:varyColors val="0"/>
        <c:ser>
          <c:idx val="0"/>
          <c:order val="0"/>
          <c:tx>
            <c:v>Income Sources</c:v>
          </c:tx>
          <c:spPr>
            <a:gradFill flip="none" rotWithShape="1">
              <a:gsLst>
                <a:gs pos="24000">
                  <a:srgbClr val="100D83"/>
                </a:gs>
                <a:gs pos="79000">
                  <a:srgbClr val="7417BD"/>
                </a:gs>
              </a:gsLst>
              <a:path path="circle">
                <a:fillToRect l="100000" t="100000"/>
              </a:path>
              <a:tileRect r="-100000" b="-100000"/>
            </a:gradFill>
            <a:ln w="25400">
              <a:noFill/>
            </a:ln>
            <a:effectLst>
              <a:outerShdw blurRad="127000" sx="108000" sy="108000" algn="ctr" rotWithShape="0">
                <a:srgbClr val="7417BD">
                  <a:alpha val="80000"/>
                </a:srgbClr>
              </a:outerShdw>
            </a:effectLst>
          </c:spPr>
          <c:invertIfNegative val="0"/>
          <c:dLbls>
            <c:dLbl>
              <c:idx val="0"/>
              <c:tx>
                <c:rich>
                  <a:bodyPr/>
                  <a:lstStyle/>
                  <a:p>
                    <a:fld id="{2072EA33-4D96-4261-8452-4A07E5D95FE6}" type="CELLRANGE">
                      <a:rPr lang="en-IN"/>
                      <a:pPr/>
                      <a:t>[CELLRANGE]</a:t>
                    </a:fld>
                    <a:endParaRPr lang="en-IN"/>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8F17-4D43-B0C5-A51D9788AAB8}"/>
                </c:ext>
              </c:extLst>
            </c:dLbl>
            <c:dLbl>
              <c:idx val="1"/>
              <c:tx>
                <c:rich>
                  <a:bodyPr/>
                  <a:lstStyle/>
                  <a:p>
                    <a:fld id="{5E77B78C-D488-438A-AB45-D6273FD0CB58}" type="CELLRANGE">
                      <a:rPr lang="en-IN"/>
                      <a:pPr/>
                      <a:t>[CELLRANGE]</a:t>
                    </a:fld>
                    <a:endParaRPr lang="en-IN"/>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8F17-4D43-B0C5-A51D9788AAB8}"/>
                </c:ext>
              </c:extLst>
            </c:dLbl>
            <c:dLbl>
              <c:idx val="2"/>
              <c:tx>
                <c:rich>
                  <a:bodyPr/>
                  <a:lstStyle/>
                  <a:p>
                    <a:fld id="{87210D54-525C-4424-BBE6-C0B6D915882E}" type="CELLRANGE">
                      <a:rPr lang="en-IN"/>
                      <a:pPr/>
                      <a:t>[CELLRANGE]</a:t>
                    </a:fld>
                    <a:endParaRPr lang="en-IN"/>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8F17-4D43-B0C5-A51D9788AAB8}"/>
                </c:ext>
              </c:extLst>
            </c:dLbl>
            <c:dLbl>
              <c:idx val="3"/>
              <c:tx>
                <c:rich>
                  <a:bodyPr/>
                  <a:lstStyle/>
                  <a:p>
                    <a:fld id="{395E11E5-4880-48EA-A409-9F46DE5AFD00}" type="CELLRANGE">
                      <a:rPr lang="en-IN"/>
                      <a:pPr/>
                      <a:t>[CELLRANGE]</a:t>
                    </a:fld>
                    <a:endParaRPr lang="en-IN"/>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8F17-4D43-B0C5-A51D9788AAB8}"/>
                </c:ext>
              </c:extLst>
            </c:dLbl>
            <c:dLbl>
              <c:idx val="4"/>
              <c:tx>
                <c:rich>
                  <a:bodyPr/>
                  <a:lstStyle/>
                  <a:p>
                    <a:fld id="{C6633675-6DE7-4A4D-9533-6927ABE615EC}" type="CELLRANGE">
                      <a:rPr lang="en-IN"/>
                      <a:pPr/>
                      <a:t>[CELLRANGE]</a:t>
                    </a:fld>
                    <a:endParaRPr lang="en-IN"/>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8F17-4D43-B0C5-A51D9788AAB8}"/>
                </c:ext>
              </c:extLst>
            </c:dLbl>
            <c:dLbl>
              <c:idx val="5"/>
              <c:tx>
                <c:rich>
                  <a:bodyPr/>
                  <a:lstStyle/>
                  <a:p>
                    <a:fld id="{A5CBDA15-CED9-4E6C-8181-65B64845D5C9}" type="CELLRANGE">
                      <a:rPr lang="en-IN"/>
                      <a:pPr/>
                      <a:t>[CELLRANGE]</a:t>
                    </a:fld>
                    <a:endParaRPr lang="en-IN"/>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8F17-4D43-B0C5-A51D9788AAB8}"/>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ct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xVal>
            <c:numRef>
              <c:f>'Pivot Tables'!$I$7:$I$12</c:f>
              <c:numCache>
                <c:formatCode>General</c:formatCode>
                <c:ptCount val="6"/>
                <c:pt idx="0">
                  <c:v>1</c:v>
                </c:pt>
                <c:pt idx="1">
                  <c:v>7</c:v>
                </c:pt>
                <c:pt idx="2">
                  <c:v>4</c:v>
                </c:pt>
                <c:pt idx="3">
                  <c:v>2</c:v>
                </c:pt>
                <c:pt idx="4">
                  <c:v>6</c:v>
                </c:pt>
                <c:pt idx="5">
                  <c:v>5</c:v>
                </c:pt>
              </c:numCache>
            </c:numRef>
          </c:xVal>
          <c:yVal>
            <c:numRef>
              <c:f>'Pivot Tables'!$J$7:$J$12</c:f>
              <c:numCache>
                <c:formatCode>General</c:formatCode>
                <c:ptCount val="6"/>
                <c:pt idx="0">
                  <c:v>3</c:v>
                </c:pt>
                <c:pt idx="1">
                  <c:v>2</c:v>
                </c:pt>
                <c:pt idx="2">
                  <c:v>1</c:v>
                </c:pt>
                <c:pt idx="3">
                  <c:v>8</c:v>
                </c:pt>
                <c:pt idx="4">
                  <c:v>6</c:v>
                </c:pt>
                <c:pt idx="5">
                  <c:v>9</c:v>
                </c:pt>
              </c:numCache>
            </c:numRef>
          </c:yVal>
          <c:bubbleSize>
            <c:numRef>
              <c:f>'Pivot Tables'!$K$7:$K$12</c:f>
              <c:numCache>
                <c:formatCode>_ * #,##0_ ;_ * \-#,##0_ ;_ * "-"??_ ;_ @_ </c:formatCode>
                <c:ptCount val="6"/>
                <c:pt idx="0">
                  <c:v>170716</c:v>
                </c:pt>
                <c:pt idx="1">
                  <c:v>126275.04000000004</c:v>
                </c:pt>
                <c:pt idx="2">
                  <c:v>65962.609999999986</c:v>
                </c:pt>
                <c:pt idx="3">
                  <c:v>154700.79</c:v>
                </c:pt>
                <c:pt idx="4">
                  <c:v>79860</c:v>
                </c:pt>
                <c:pt idx="5">
                  <c:v>224098.00999999989</c:v>
                </c:pt>
              </c:numCache>
            </c:numRef>
          </c:bubbleSize>
          <c:bubble3D val="0"/>
          <c:extLst>
            <c:ext xmlns:c15="http://schemas.microsoft.com/office/drawing/2012/chart" uri="{02D57815-91ED-43cb-92C2-25804820EDAC}">
              <c15:datalabelsRange>
                <c15:f>'Pivot Tables'!$M$7:$M$12</c15:f>
                <c15:dlblRangeCache>
                  <c:ptCount val="6"/>
                  <c:pt idx="0">
                    <c:v> 1,70,716 </c:v>
                  </c:pt>
                  <c:pt idx="1">
                    <c:v> 1,26,275 </c:v>
                  </c:pt>
                  <c:pt idx="2">
                    <c:v> 65,963 </c:v>
                  </c:pt>
                  <c:pt idx="3">
                    <c:v> 1,54,701 </c:v>
                  </c:pt>
                  <c:pt idx="4">
                    <c:v> 79,860 </c:v>
                  </c:pt>
                  <c:pt idx="5">
                    <c:v>   </c:v>
                  </c:pt>
                </c15:dlblRangeCache>
              </c15:datalabelsRange>
            </c:ext>
            <c:ext xmlns:c16="http://schemas.microsoft.com/office/drawing/2014/chart" uri="{C3380CC4-5D6E-409C-BE32-E72D297353CC}">
              <c16:uniqueId val="{00000006-8F17-4D43-B0C5-A51D9788AAB8}"/>
            </c:ext>
          </c:extLst>
        </c:ser>
        <c:ser>
          <c:idx val="1"/>
          <c:order val="1"/>
          <c:tx>
            <c:v>MAX</c:v>
          </c:tx>
          <c:spPr>
            <a:gradFill>
              <a:gsLst>
                <a:gs pos="24000">
                  <a:srgbClr val="100D83"/>
                </a:gs>
                <a:gs pos="79000">
                  <a:srgbClr val="DD115E"/>
                </a:gs>
              </a:gsLst>
              <a:path path="circle">
                <a:fillToRect l="100000" t="100000"/>
              </a:path>
            </a:gradFill>
            <a:ln w="25400">
              <a:noFill/>
            </a:ln>
            <a:effectLst>
              <a:outerShdw blurRad="152400" sx="105000" sy="105000" algn="ctr" rotWithShape="0">
                <a:srgbClr val="DD115E">
                  <a:alpha val="88000"/>
                </a:srgbClr>
              </a:outerShdw>
            </a:effectLst>
          </c:spPr>
          <c:invertIfNegative val="0"/>
          <c:dLbls>
            <c:dLbl>
              <c:idx val="0"/>
              <c:tx>
                <c:rich>
                  <a:bodyPr/>
                  <a:lstStyle/>
                  <a:p>
                    <a:fld id="{1C7A86B1-5309-4624-84A5-F0CBF600ECE3}" type="CELLRANGE">
                      <a:rPr lang="en-US"/>
                      <a:pPr/>
                      <a:t>[CELLRANGE]</a:t>
                    </a:fld>
                    <a:endParaRPr lang="en-IN"/>
                  </a:p>
                </c:rich>
              </c:tx>
              <c:dLblPos val="ct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7-8F17-4D43-B0C5-A51D9788AAB8}"/>
                </c:ext>
              </c:extLst>
            </c:dLbl>
            <c:dLbl>
              <c:idx val="1"/>
              <c:tx>
                <c:rich>
                  <a:bodyPr/>
                  <a:lstStyle/>
                  <a:p>
                    <a:fld id="{9D3452CA-BC4D-40E9-A7EC-AD30309F335D}" type="CELLRANGE">
                      <a:rPr lang="en-IN"/>
                      <a:pPr/>
                      <a:t>[CELLRANGE]</a:t>
                    </a:fld>
                    <a:endParaRPr lang="en-IN"/>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8F17-4D43-B0C5-A51D9788AAB8}"/>
                </c:ext>
              </c:extLst>
            </c:dLbl>
            <c:dLbl>
              <c:idx val="2"/>
              <c:tx>
                <c:rich>
                  <a:bodyPr/>
                  <a:lstStyle/>
                  <a:p>
                    <a:fld id="{F1749A67-8988-45CC-890C-E3511963E32C}" type="CELLRANGE">
                      <a:rPr lang="en-US"/>
                      <a:pPr/>
                      <a:t>[CELLRANGE]</a:t>
                    </a:fld>
                    <a:endParaRPr lang="en-IN"/>
                  </a:p>
                </c:rich>
              </c:tx>
              <c:dLblPos val="ct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9-8F17-4D43-B0C5-A51D9788AAB8}"/>
                </c:ext>
              </c:extLst>
            </c:dLbl>
            <c:dLbl>
              <c:idx val="3"/>
              <c:tx>
                <c:rich>
                  <a:bodyPr/>
                  <a:lstStyle/>
                  <a:p>
                    <a:fld id="{FF8412BB-CF6A-447C-AEE0-A4412CDD946E}" type="CELLRANGE">
                      <a:rPr lang="en-US"/>
                      <a:pPr/>
                      <a:t>[CELLRANGE]</a:t>
                    </a:fld>
                    <a:endParaRPr lang="en-IN"/>
                  </a:p>
                </c:rich>
              </c:tx>
              <c:dLblPos val="ct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A-8F17-4D43-B0C5-A51D9788AAB8}"/>
                </c:ext>
              </c:extLst>
            </c:dLbl>
            <c:dLbl>
              <c:idx val="4"/>
              <c:tx>
                <c:rich>
                  <a:bodyPr/>
                  <a:lstStyle/>
                  <a:p>
                    <a:fld id="{961D392F-F2F0-4CE7-B470-B001F3F956FA}" type="CELLRANGE">
                      <a:rPr lang="en-US"/>
                      <a:pPr/>
                      <a:t>[CELLRANGE]</a:t>
                    </a:fld>
                    <a:endParaRPr lang="en-IN"/>
                  </a:p>
                </c:rich>
              </c:tx>
              <c:dLblPos val="ct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B-8F17-4D43-B0C5-A51D9788AAB8}"/>
                </c:ext>
              </c:extLst>
            </c:dLbl>
            <c:dLbl>
              <c:idx val="5"/>
              <c:tx>
                <c:rich>
                  <a:bodyPr/>
                  <a:lstStyle/>
                  <a:p>
                    <a:fld id="{04E80DAD-F339-416A-BCDE-BCEEA5FBE7E6}" type="CELLRANGE">
                      <a:rPr lang="en-IN"/>
                      <a:pPr/>
                      <a:t>[CELLRANGE]</a:t>
                    </a:fld>
                    <a:endParaRPr lang="en-IN"/>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8F17-4D43-B0C5-A51D9788AAB8}"/>
                </c:ext>
              </c:extLst>
            </c:dLbl>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ct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xVal>
            <c:numRef>
              <c:f>'Pivot Tables'!$I$7:$I$12</c:f>
              <c:numCache>
                <c:formatCode>General</c:formatCode>
                <c:ptCount val="6"/>
                <c:pt idx="0">
                  <c:v>1</c:v>
                </c:pt>
                <c:pt idx="1">
                  <c:v>7</c:v>
                </c:pt>
                <c:pt idx="2">
                  <c:v>4</c:v>
                </c:pt>
                <c:pt idx="3">
                  <c:v>2</c:v>
                </c:pt>
                <c:pt idx="4">
                  <c:v>6</c:v>
                </c:pt>
                <c:pt idx="5">
                  <c:v>5</c:v>
                </c:pt>
              </c:numCache>
            </c:numRef>
          </c:xVal>
          <c:yVal>
            <c:numRef>
              <c:f>'Pivot Tables'!$J$7:$J$12</c:f>
              <c:numCache>
                <c:formatCode>General</c:formatCode>
                <c:ptCount val="6"/>
                <c:pt idx="0">
                  <c:v>3</c:v>
                </c:pt>
                <c:pt idx="1">
                  <c:v>2</c:v>
                </c:pt>
                <c:pt idx="2">
                  <c:v>1</c:v>
                </c:pt>
                <c:pt idx="3">
                  <c:v>8</c:v>
                </c:pt>
                <c:pt idx="4">
                  <c:v>6</c:v>
                </c:pt>
                <c:pt idx="5">
                  <c:v>9</c:v>
                </c:pt>
              </c:numCache>
            </c:numRef>
          </c:yVal>
          <c:bubbleSize>
            <c:numRef>
              <c:f>'Pivot Tables'!$L$7:$L$12</c:f>
              <c:numCache>
                <c:formatCode>_ * #,##0_ ;_ * \-#,##0_ ;_ * "-"??_ ;_ @_ </c:formatCode>
                <c:ptCount val="6"/>
                <c:pt idx="0">
                  <c:v>0</c:v>
                </c:pt>
                <c:pt idx="1">
                  <c:v>0</c:v>
                </c:pt>
                <c:pt idx="2" formatCode="General">
                  <c:v>0</c:v>
                </c:pt>
                <c:pt idx="3" formatCode="General">
                  <c:v>0</c:v>
                </c:pt>
                <c:pt idx="4" formatCode="General">
                  <c:v>0</c:v>
                </c:pt>
                <c:pt idx="5">
                  <c:v>224098.00999999989</c:v>
                </c:pt>
              </c:numCache>
            </c:numRef>
          </c:bubbleSize>
          <c:bubble3D val="0"/>
          <c:extLst>
            <c:ext xmlns:c15="http://schemas.microsoft.com/office/drawing/2012/chart" uri="{02D57815-91ED-43cb-92C2-25804820EDAC}">
              <c15:datalabelsRange>
                <c15:f>'Pivot Tables'!$L$7:$L$12</c15:f>
                <c15:dlblRangeCache>
                  <c:ptCount val="6"/>
                  <c:pt idx="0">
                    <c:v>   </c:v>
                  </c:pt>
                  <c:pt idx="1">
                    <c:v>   </c:v>
                  </c:pt>
                  <c:pt idx="2">
                    <c:v> </c:v>
                  </c:pt>
                  <c:pt idx="3">
                    <c:v> </c:v>
                  </c:pt>
                  <c:pt idx="4">
                    <c:v> </c:v>
                  </c:pt>
                  <c:pt idx="5">
                    <c:v> 2,24,098 </c:v>
                  </c:pt>
                </c15:dlblRangeCache>
              </c15:datalabelsRange>
            </c:ext>
            <c:ext xmlns:c16="http://schemas.microsoft.com/office/drawing/2014/chart" uri="{C3380CC4-5D6E-409C-BE32-E72D297353CC}">
              <c16:uniqueId val="{0000000D-8F17-4D43-B0C5-A51D9788AAB8}"/>
            </c:ext>
          </c:extLst>
        </c:ser>
        <c:dLbls>
          <c:showLegendKey val="0"/>
          <c:showVal val="0"/>
          <c:showCatName val="0"/>
          <c:showSerName val="0"/>
          <c:showPercent val="0"/>
          <c:showBubbleSize val="0"/>
        </c:dLbls>
        <c:bubbleScale val="70"/>
        <c:showNegBubbles val="0"/>
        <c:axId val="1000300879"/>
        <c:axId val="1469474320"/>
      </c:bubbleChart>
      <c:valAx>
        <c:axId val="1000300879"/>
        <c:scaling>
          <c:orientation val="minMax"/>
          <c:max val="10"/>
          <c:min val="0"/>
        </c:scaling>
        <c:delete val="1"/>
        <c:axPos val="b"/>
        <c:numFmt formatCode="General" sourceLinked="1"/>
        <c:majorTickMark val="none"/>
        <c:minorTickMark val="none"/>
        <c:tickLblPos val="nextTo"/>
        <c:crossAx val="1469474320"/>
        <c:crosses val="autoZero"/>
        <c:crossBetween val="midCat"/>
      </c:valAx>
      <c:valAx>
        <c:axId val="1469474320"/>
        <c:scaling>
          <c:orientation val="minMax"/>
          <c:max val="10"/>
          <c:min val="0"/>
        </c:scaling>
        <c:delete val="1"/>
        <c:axPos val="l"/>
        <c:numFmt formatCode="General" sourceLinked="1"/>
        <c:majorTickMark val="none"/>
        <c:minorTickMark val="none"/>
        <c:tickLblPos val="nextTo"/>
        <c:crossAx val="1000300879"/>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tx1">
                  <a:lumMod val="85000"/>
                  <a:lumOff val="15000"/>
                </a:schemeClr>
              </a:solidFill>
              <a:ln w="19050">
                <a:noFill/>
              </a:ln>
              <a:effectLst/>
            </c:spPr>
            <c:extLst>
              <c:ext xmlns:c16="http://schemas.microsoft.com/office/drawing/2014/chart" uri="{C3380CC4-5D6E-409C-BE32-E72D297353CC}">
                <c16:uniqueId val="{00000001-73AE-47E9-98EB-1D8FDDA2ACF3}"/>
              </c:ext>
            </c:extLst>
          </c:dPt>
          <c:dPt>
            <c:idx val="1"/>
            <c:bubble3D val="0"/>
            <c:spPr>
              <a:gradFill flip="none" rotWithShape="1">
                <a:gsLst>
                  <a:gs pos="29000">
                    <a:srgbClr val="194AFE"/>
                  </a:gs>
                  <a:gs pos="72000">
                    <a:srgbClr val="00B0F0"/>
                  </a:gs>
                </a:gsLst>
                <a:lin ang="2700000" scaled="1"/>
                <a:tileRect/>
              </a:gradFill>
              <a:ln w="19050">
                <a:noFill/>
              </a:ln>
              <a:effectLst/>
            </c:spPr>
            <c:extLst>
              <c:ext xmlns:c16="http://schemas.microsoft.com/office/drawing/2014/chart" uri="{C3380CC4-5D6E-409C-BE32-E72D297353CC}">
                <c16:uniqueId val="{00000003-73AE-47E9-98EB-1D8FDDA2ACF3}"/>
              </c:ext>
            </c:extLst>
          </c:dPt>
          <c:cat>
            <c:strRef>
              <c:f>'Pivot Tables'!$BX$4:$BY$4</c:f>
              <c:strCache>
                <c:ptCount val="2"/>
                <c:pt idx="0">
                  <c:v>Remaining %</c:v>
                </c:pt>
                <c:pt idx="1">
                  <c:v>Actual</c:v>
                </c:pt>
              </c:strCache>
            </c:strRef>
          </c:cat>
          <c:val>
            <c:numRef>
              <c:f>'Pivot Tables'!$BX$5:$BY$5</c:f>
              <c:numCache>
                <c:formatCode>0%</c:formatCode>
                <c:ptCount val="2"/>
                <c:pt idx="0">
                  <c:v>0.26795265721834105</c:v>
                </c:pt>
                <c:pt idx="1">
                  <c:v>0.73204734278165895</c:v>
                </c:pt>
              </c:numCache>
            </c:numRef>
          </c:val>
          <c:extLst>
            <c:ext xmlns:c16="http://schemas.microsoft.com/office/drawing/2014/chart" uri="{C3380CC4-5D6E-409C-BE32-E72D297353CC}">
              <c16:uniqueId val="{00000004-73AE-47E9-98EB-1D8FDDA2ACF3}"/>
            </c:ext>
          </c:extLst>
        </c:ser>
        <c:dLbls>
          <c:showLegendKey val="0"/>
          <c:showVal val="0"/>
          <c:showCatName val="0"/>
          <c:showSerName val="0"/>
          <c:showPercent val="0"/>
          <c:showBubbleSize val="0"/>
          <c:showLeaderLines val="1"/>
        </c:dLbls>
        <c:firstSliceAng val="0"/>
        <c:holeSize val="74"/>
      </c:doughnutChart>
      <c:scatterChart>
        <c:scatterStyle val="lineMarker"/>
        <c:varyColors val="0"/>
        <c:ser>
          <c:idx val="1"/>
          <c:order val="1"/>
          <c:tx>
            <c:v>Y&amp;X</c:v>
          </c:tx>
          <c:spPr>
            <a:ln w="25400" cap="rnd">
              <a:noFill/>
              <a:round/>
            </a:ln>
            <a:effectLst/>
          </c:spPr>
          <c:marker>
            <c:symbol val="circle"/>
            <c:size val="25"/>
            <c:spPr>
              <a:solidFill>
                <a:schemeClr val="accent2"/>
              </a:solidFill>
              <a:ln w="9525">
                <a:solidFill>
                  <a:schemeClr val="accent2"/>
                </a:solidFill>
              </a:ln>
              <a:effectLst/>
            </c:spPr>
          </c:marker>
          <c:dPt>
            <c:idx val="0"/>
            <c:marker>
              <c:symbol val="circle"/>
              <c:size val="25"/>
              <c:spPr>
                <a:solidFill>
                  <a:srgbClr val="194AFE"/>
                </a:solidFill>
                <a:ln w="9525">
                  <a:noFill/>
                </a:ln>
                <a:effectLst/>
              </c:spPr>
            </c:marker>
            <c:bubble3D val="0"/>
            <c:extLst>
              <c:ext xmlns:c16="http://schemas.microsoft.com/office/drawing/2014/chart" uri="{C3380CC4-5D6E-409C-BE32-E72D297353CC}">
                <c16:uniqueId val="{00000005-73AE-47E9-98EB-1D8FDDA2ACF3}"/>
              </c:ext>
            </c:extLst>
          </c:dPt>
          <c:dPt>
            <c:idx val="1"/>
            <c:marker>
              <c:symbol val="circle"/>
              <c:size val="25"/>
              <c:spPr>
                <a:solidFill>
                  <a:srgbClr val="00B0F0"/>
                </a:solidFill>
                <a:ln w="9525">
                  <a:solidFill>
                    <a:srgbClr val="00B0F0"/>
                  </a:solidFill>
                </a:ln>
                <a:effectLst/>
              </c:spPr>
            </c:marker>
            <c:bubble3D val="0"/>
            <c:extLst>
              <c:ext xmlns:c16="http://schemas.microsoft.com/office/drawing/2014/chart" uri="{C3380CC4-5D6E-409C-BE32-E72D297353CC}">
                <c16:uniqueId val="{00000006-73AE-47E9-98EB-1D8FDDA2ACF3}"/>
              </c:ext>
            </c:extLst>
          </c:dPt>
          <c:xVal>
            <c:numRef>
              <c:f>'Pivot Tables'!$CB$5:$CB$6</c:f>
              <c:numCache>
                <c:formatCode>General</c:formatCode>
                <c:ptCount val="2"/>
                <c:pt idx="0">
                  <c:v>0</c:v>
                </c:pt>
                <c:pt idx="1">
                  <c:v>0.99364483721177543</c:v>
                </c:pt>
              </c:numCache>
            </c:numRef>
          </c:xVal>
          <c:yVal>
            <c:numRef>
              <c:f>'Pivot Tables'!$CC$5:$CC$6</c:f>
              <c:numCache>
                <c:formatCode>General</c:formatCode>
                <c:ptCount val="2"/>
                <c:pt idx="0">
                  <c:v>1</c:v>
                </c:pt>
                <c:pt idx="1">
                  <c:v>-0.11256081681644099</c:v>
                </c:pt>
              </c:numCache>
            </c:numRef>
          </c:yVal>
          <c:smooth val="0"/>
          <c:extLst>
            <c:ext xmlns:c16="http://schemas.microsoft.com/office/drawing/2014/chart" uri="{C3380CC4-5D6E-409C-BE32-E72D297353CC}">
              <c16:uniqueId val="{00000007-73AE-47E9-98EB-1D8FDDA2ACF3}"/>
            </c:ext>
          </c:extLst>
        </c:ser>
        <c:dLbls>
          <c:showLegendKey val="0"/>
          <c:showVal val="0"/>
          <c:showCatName val="0"/>
          <c:showSerName val="0"/>
          <c:showPercent val="0"/>
          <c:showBubbleSize val="0"/>
        </c:dLbls>
        <c:axId val="168578735"/>
        <c:axId val="168553295"/>
      </c:scatterChart>
      <c:valAx>
        <c:axId val="168553295"/>
        <c:scaling>
          <c:orientation val="minMax"/>
          <c:max val="1.1500000000000001"/>
          <c:min val="-1.1500000000000001"/>
        </c:scaling>
        <c:delete val="1"/>
        <c:axPos val="l"/>
        <c:numFmt formatCode="General" sourceLinked="1"/>
        <c:majorTickMark val="out"/>
        <c:minorTickMark val="none"/>
        <c:tickLblPos val="nextTo"/>
        <c:crossAx val="168578735"/>
        <c:crosses val="autoZero"/>
        <c:crossBetween val="midCat"/>
      </c:valAx>
      <c:valAx>
        <c:axId val="168578735"/>
        <c:scaling>
          <c:orientation val="minMax"/>
          <c:max val="1.1500000000000001"/>
          <c:min val="-1.1500000000000001"/>
        </c:scaling>
        <c:delete val="1"/>
        <c:axPos val="b"/>
        <c:numFmt formatCode="General" sourceLinked="1"/>
        <c:majorTickMark val="out"/>
        <c:minorTickMark val="none"/>
        <c:tickLblPos val="nextTo"/>
        <c:crossAx val="168553295"/>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percentStacked"/>
        <c:varyColors val="0"/>
        <c:ser>
          <c:idx val="0"/>
          <c:order val="0"/>
          <c:tx>
            <c:strRef>
              <c:f>'Pivot Tables'!$BQ$5</c:f>
              <c:strCache>
                <c:ptCount val="1"/>
                <c:pt idx="0">
                  <c:v>Egypt</c:v>
                </c:pt>
              </c:strCache>
            </c:strRef>
          </c:tx>
          <c:spPr>
            <a:gradFill flip="none" rotWithShape="1">
              <a:gsLst>
                <a:gs pos="43000">
                  <a:srgbClr val="CC0E62"/>
                </a:gs>
                <a:gs pos="100000">
                  <a:srgbClr val="C00000"/>
                </a:gs>
              </a:gsLst>
              <a:lin ang="2700000" scaled="1"/>
              <a:tileRect/>
            </a:gradFill>
            <a:ln>
              <a:noFill/>
            </a:ln>
            <a:effectLst/>
          </c:spPr>
          <c:invertIfNegative val="0"/>
          <c:val>
            <c:numRef>
              <c:f>'Pivot Tables'!$BR$5</c:f>
              <c:numCache>
                <c:formatCode>0%</c:formatCode>
                <c:ptCount val="1"/>
                <c:pt idx="0">
                  <c:v>0.29544495207826388</c:v>
                </c:pt>
              </c:numCache>
            </c:numRef>
          </c:val>
          <c:extLst>
            <c:ext xmlns:c16="http://schemas.microsoft.com/office/drawing/2014/chart" uri="{C3380CC4-5D6E-409C-BE32-E72D297353CC}">
              <c16:uniqueId val="{00000000-CB11-4A8C-AC3A-43F9CA66EAB2}"/>
            </c:ext>
          </c:extLst>
        </c:ser>
        <c:ser>
          <c:idx val="1"/>
          <c:order val="1"/>
          <c:tx>
            <c:strRef>
              <c:f>'Pivot Tables'!$BQ$6</c:f>
              <c:strCache>
                <c:ptCount val="1"/>
                <c:pt idx="0">
                  <c:v>USA</c:v>
                </c:pt>
              </c:strCache>
            </c:strRef>
          </c:tx>
          <c:spPr>
            <a:solidFill>
              <a:srgbClr val="7030A0"/>
            </a:solidFill>
            <a:ln>
              <a:noFill/>
            </a:ln>
            <a:effectLst/>
          </c:spPr>
          <c:invertIfNegative val="0"/>
          <c:dPt>
            <c:idx val="0"/>
            <c:invertIfNegative val="0"/>
            <c:bubble3D val="0"/>
            <c:spPr>
              <a:gradFill>
                <a:gsLst>
                  <a:gs pos="43000">
                    <a:srgbClr val="111A4A"/>
                  </a:gs>
                  <a:gs pos="100000">
                    <a:srgbClr val="7030A0"/>
                  </a:gs>
                </a:gsLst>
                <a:lin ang="2700000" scaled="1"/>
              </a:gradFill>
              <a:ln>
                <a:noFill/>
              </a:ln>
              <a:effectLst/>
            </c:spPr>
            <c:extLst>
              <c:ext xmlns:c16="http://schemas.microsoft.com/office/drawing/2014/chart" uri="{C3380CC4-5D6E-409C-BE32-E72D297353CC}">
                <c16:uniqueId val="{00000002-CB11-4A8C-AC3A-43F9CA66EAB2}"/>
              </c:ext>
            </c:extLst>
          </c:dPt>
          <c:val>
            <c:numRef>
              <c:f>'Pivot Tables'!$BR$6</c:f>
              <c:numCache>
                <c:formatCode>0%</c:formatCode>
                <c:ptCount val="1"/>
                <c:pt idx="0">
                  <c:v>0.17061255400506531</c:v>
                </c:pt>
              </c:numCache>
            </c:numRef>
          </c:val>
          <c:extLst>
            <c:ext xmlns:c16="http://schemas.microsoft.com/office/drawing/2014/chart" uri="{C3380CC4-5D6E-409C-BE32-E72D297353CC}">
              <c16:uniqueId val="{00000003-CB11-4A8C-AC3A-43F9CA66EAB2}"/>
            </c:ext>
          </c:extLst>
        </c:ser>
        <c:ser>
          <c:idx val="2"/>
          <c:order val="2"/>
          <c:tx>
            <c:strRef>
              <c:f>'Pivot Tables'!$BQ$7</c:f>
              <c:strCache>
                <c:ptCount val="1"/>
                <c:pt idx="0">
                  <c:v>Russia</c:v>
                </c:pt>
              </c:strCache>
            </c:strRef>
          </c:tx>
          <c:spPr>
            <a:gradFill>
              <a:gsLst>
                <a:gs pos="50000">
                  <a:srgbClr val="D39F0B"/>
                </a:gs>
                <a:gs pos="100000">
                  <a:srgbClr val="FFFF00"/>
                </a:gs>
              </a:gsLst>
              <a:lin ang="2700000" scaled="1"/>
            </a:gradFill>
            <a:ln>
              <a:noFill/>
            </a:ln>
            <a:effectLst/>
          </c:spPr>
          <c:invertIfNegative val="0"/>
          <c:val>
            <c:numRef>
              <c:f>'Pivot Tables'!$BR$7</c:f>
              <c:numCache>
                <c:formatCode>0%</c:formatCode>
                <c:ptCount val="1"/>
                <c:pt idx="0">
                  <c:v>0.17477156478124845</c:v>
                </c:pt>
              </c:numCache>
            </c:numRef>
          </c:val>
          <c:extLst>
            <c:ext xmlns:c16="http://schemas.microsoft.com/office/drawing/2014/chart" uri="{C3380CC4-5D6E-409C-BE32-E72D297353CC}">
              <c16:uniqueId val="{00000004-CB11-4A8C-AC3A-43F9CA66EAB2}"/>
            </c:ext>
          </c:extLst>
        </c:ser>
        <c:ser>
          <c:idx val="3"/>
          <c:order val="3"/>
          <c:tx>
            <c:strRef>
              <c:f>'Pivot Tables'!$BQ$8</c:f>
              <c:strCache>
                <c:ptCount val="1"/>
                <c:pt idx="0">
                  <c:v>United Kingdom</c:v>
                </c:pt>
              </c:strCache>
            </c:strRef>
          </c:tx>
          <c:spPr>
            <a:gradFill>
              <a:gsLst>
                <a:gs pos="50000">
                  <a:srgbClr val="00B0F0"/>
                </a:gs>
                <a:gs pos="87000">
                  <a:srgbClr val="9BF8F2"/>
                </a:gs>
              </a:gsLst>
              <a:lin ang="2700000" scaled="1"/>
            </a:gradFill>
            <a:ln>
              <a:noFill/>
            </a:ln>
            <a:effectLst/>
          </c:spPr>
          <c:invertIfNegative val="0"/>
          <c:val>
            <c:numRef>
              <c:f>'Pivot Tables'!$BR$8</c:f>
              <c:numCache>
                <c:formatCode>0%</c:formatCode>
                <c:ptCount val="1"/>
                <c:pt idx="0">
                  <c:v>0.1659693598847892</c:v>
                </c:pt>
              </c:numCache>
            </c:numRef>
          </c:val>
          <c:extLst>
            <c:ext xmlns:c16="http://schemas.microsoft.com/office/drawing/2014/chart" uri="{C3380CC4-5D6E-409C-BE32-E72D297353CC}">
              <c16:uniqueId val="{00000005-CB11-4A8C-AC3A-43F9CA66EAB2}"/>
            </c:ext>
          </c:extLst>
        </c:ser>
        <c:ser>
          <c:idx val="4"/>
          <c:order val="4"/>
          <c:tx>
            <c:strRef>
              <c:f>'Pivot Tables'!$BQ$9</c:f>
              <c:strCache>
                <c:ptCount val="1"/>
                <c:pt idx="0">
                  <c:v>Canada</c:v>
                </c:pt>
              </c:strCache>
            </c:strRef>
          </c:tx>
          <c:spPr>
            <a:gradFill>
              <a:gsLst>
                <a:gs pos="50000">
                  <a:srgbClr val="0070C0"/>
                </a:gs>
                <a:gs pos="87000">
                  <a:srgbClr val="9BF8F2"/>
                </a:gs>
              </a:gsLst>
              <a:lin ang="2700000" scaled="1"/>
            </a:gradFill>
            <a:ln>
              <a:noFill/>
            </a:ln>
            <a:effectLst/>
          </c:spPr>
          <c:invertIfNegative val="0"/>
          <c:val>
            <c:numRef>
              <c:f>'Pivot Tables'!$BR$9</c:f>
              <c:numCache>
                <c:formatCode>0%</c:formatCode>
                <c:ptCount val="1"/>
                <c:pt idx="0">
                  <c:v>9.6613199582857426E-2</c:v>
                </c:pt>
              </c:numCache>
            </c:numRef>
          </c:val>
          <c:extLst>
            <c:ext xmlns:c16="http://schemas.microsoft.com/office/drawing/2014/chart" uri="{C3380CC4-5D6E-409C-BE32-E72D297353CC}">
              <c16:uniqueId val="{00000006-CB11-4A8C-AC3A-43F9CA66EAB2}"/>
            </c:ext>
          </c:extLst>
        </c:ser>
        <c:ser>
          <c:idx val="5"/>
          <c:order val="5"/>
          <c:tx>
            <c:strRef>
              <c:f>'Pivot Tables'!$BQ$10</c:f>
              <c:strCache>
                <c:ptCount val="1"/>
                <c:pt idx="0">
                  <c:v>Brazil</c:v>
                </c:pt>
              </c:strCache>
            </c:strRef>
          </c:tx>
          <c:spPr>
            <a:gradFill>
              <a:gsLst>
                <a:gs pos="50000">
                  <a:srgbClr val="7030A0"/>
                </a:gs>
                <a:gs pos="87000">
                  <a:schemeClr val="accent5">
                    <a:lumMod val="75000"/>
                  </a:schemeClr>
                </a:gs>
              </a:gsLst>
              <a:lin ang="2700000" scaled="1"/>
            </a:gradFill>
            <a:ln>
              <a:noFill/>
            </a:ln>
            <a:effectLst/>
          </c:spPr>
          <c:invertIfNegative val="0"/>
          <c:val>
            <c:numRef>
              <c:f>'Pivot Tables'!$BR$10</c:f>
              <c:numCache>
                <c:formatCode>0%</c:formatCode>
                <c:ptCount val="1"/>
                <c:pt idx="0">
                  <c:v>9.6588369667775731E-2</c:v>
                </c:pt>
              </c:numCache>
            </c:numRef>
          </c:val>
          <c:extLst>
            <c:ext xmlns:c16="http://schemas.microsoft.com/office/drawing/2014/chart" uri="{C3380CC4-5D6E-409C-BE32-E72D297353CC}">
              <c16:uniqueId val="{00000007-CB11-4A8C-AC3A-43F9CA66EAB2}"/>
            </c:ext>
          </c:extLst>
        </c:ser>
        <c:dLbls>
          <c:showLegendKey val="0"/>
          <c:showVal val="0"/>
          <c:showCatName val="0"/>
          <c:showSerName val="0"/>
          <c:showPercent val="0"/>
          <c:showBubbleSize val="0"/>
        </c:dLbls>
        <c:gapWidth val="150"/>
        <c:overlap val="100"/>
        <c:axId val="2122316720"/>
        <c:axId val="1662395376"/>
      </c:barChart>
      <c:catAx>
        <c:axId val="2122316720"/>
        <c:scaling>
          <c:orientation val="minMax"/>
        </c:scaling>
        <c:delete val="1"/>
        <c:axPos val="l"/>
        <c:numFmt formatCode="General" sourceLinked="1"/>
        <c:majorTickMark val="none"/>
        <c:minorTickMark val="none"/>
        <c:tickLblPos val="nextTo"/>
        <c:crossAx val="1662395376"/>
        <c:crosses val="autoZero"/>
        <c:auto val="1"/>
        <c:lblAlgn val="ctr"/>
        <c:lblOffset val="100"/>
        <c:noMultiLvlLbl val="0"/>
      </c:catAx>
      <c:valAx>
        <c:axId val="1662395376"/>
        <c:scaling>
          <c:orientation val="minMax"/>
        </c:scaling>
        <c:delete val="1"/>
        <c:axPos val="b"/>
        <c:numFmt formatCode="0%" sourceLinked="1"/>
        <c:majorTickMark val="none"/>
        <c:minorTickMark val="none"/>
        <c:tickLblPos val="nextTo"/>
        <c:crossAx val="21223167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spPr>
            <a:gradFill>
              <a:gsLst>
                <a:gs pos="42000">
                  <a:srgbClr val="00F1DF"/>
                </a:gs>
                <a:gs pos="7000">
                  <a:srgbClr val="9947F7"/>
                </a:gs>
              </a:gsLst>
              <a:lin ang="5400000" scaled="0"/>
            </a:gradFill>
            <a:ln>
              <a:noFill/>
            </a:ln>
            <a:effectLst/>
          </c:spPr>
          <c:invertIfNegative val="0"/>
          <c:val>
            <c:numRef>
              <c:f>'Pivot Tables'!$CH$5</c:f>
              <c:numCache>
                <c:formatCode>0.0%</c:formatCode>
                <c:ptCount val="1"/>
                <c:pt idx="0">
                  <c:v>0.22799999999999998</c:v>
                </c:pt>
              </c:numCache>
            </c:numRef>
          </c:val>
          <c:extLst>
            <c:ext xmlns:c16="http://schemas.microsoft.com/office/drawing/2014/chart" uri="{C3380CC4-5D6E-409C-BE32-E72D297353CC}">
              <c16:uniqueId val="{00000000-534F-404F-AE4A-B012F1DFFC83}"/>
            </c:ext>
          </c:extLst>
        </c:ser>
        <c:ser>
          <c:idx val="1"/>
          <c:order val="1"/>
          <c:spPr>
            <a:solidFill>
              <a:schemeClr val="tx1"/>
            </a:solidFill>
            <a:ln>
              <a:noFill/>
            </a:ln>
            <a:effectLst/>
          </c:spPr>
          <c:invertIfNegative val="0"/>
          <c:dPt>
            <c:idx val="0"/>
            <c:invertIfNegative val="0"/>
            <c:bubble3D val="0"/>
            <c:spPr>
              <a:solidFill>
                <a:schemeClr val="bg2">
                  <a:lumMod val="25000"/>
                </a:schemeClr>
              </a:solidFill>
              <a:ln>
                <a:noFill/>
              </a:ln>
              <a:effectLst/>
            </c:spPr>
            <c:extLst>
              <c:ext xmlns:c16="http://schemas.microsoft.com/office/drawing/2014/chart" uri="{C3380CC4-5D6E-409C-BE32-E72D297353CC}">
                <c16:uniqueId val="{00000002-534F-404F-AE4A-B012F1DFFC83}"/>
              </c:ext>
            </c:extLst>
          </c:dPt>
          <c:val>
            <c:numRef>
              <c:f>'Pivot Tables'!$CI$5</c:f>
              <c:numCache>
                <c:formatCode>0.0%</c:formatCode>
                <c:ptCount val="1"/>
                <c:pt idx="0">
                  <c:v>0.77200000000000002</c:v>
                </c:pt>
              </c:numCache>
            </c:numRef>
          </c:val>
          <c:extLst>
            <c:ext xmlns:c16="http://schemas.microsoft.com/office/drawing/2014/chart" uri="{C3380CC4-5D6E-409C-BE32-E72D297353CC}">
              <c16:uniqueId val="{00000003-534F-404F-AE4A-B012F1DFFC83}"/>
            </c:ext>
          </c:extLst>
        </c:ser>
        <c:dLbls>
          <c:showLegendKey val="0"/>
          <c:showVal val="0"/>
          <c:showCatName val="0"/>
          <c:showSerName val="0"/>
          <c:showPercent val="0"/>
          <c:showBubbleSize val="0"/>
        </c:dLbls>
        <c:gapWidth val="150"/>
        <c:overlap val="100"/>
        <c:axId val="1095991776"/>
        <c:axId val="183750768"/>
      </c:barChart>
      <c:catAx>
        <c:axId val="1095991776"/>
        <c:scaling>
          <c:orientation val="minMax"/>
        </c:scaling>
        <c:delete val="1"/>
        <c:axPos val="b"/>
        <c:majorTickMark val="none"/>
        <c:minorTickMark val="none"/>
        <c:tickLblPos val="nextTo"/>
        <c:crossAx val="183750768"/>
        <c:crosses val="autoZero"/>
        <c:auto val="1"/>
        <c:lblAlgn val="ctr"/>
        <c:lblOffset val="100"/>
        <c:noMultiLvlLbl val="0"/>
      </c:catAx>
      <c:valAx>
        <c:axId val="183750768"/>
        <c:scaling>
          <c:orientation val="minMax"/>
        </c:scaling>
        <c:delete val="1"/>
        <c:axPos val="l"/>
        <c:numFmt formatCode="0.0%" sourceLinked="1"/>
        <c:majorTickMark val="none"/>
        <c:minorTickMark val="none"/>
        <c:tickLblPos val="nextTo"/>
        <c:crossAx val="10959917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v>1st</c:v>
          </c:tx>
          <c:spPr>
            <a:gradFill flip="none" rotWithShape="1">
              <a:gsLst>
                <a:gs pos="20000">
                  <a:srgbClr val="C23FD8"/>
                </a:gs>
                <a:gs pos="70000">
                  <a:srgbClr val="9947F7"/>
                </a:gs>
              </a:gsLst>
              <a:lin ang="10800000" scaled="1"/>
              <a:tileRect/>
            </a:gradFill>
            <a:ln w="120650">
              <a:solidFill>
                <a:schemeClr val="tx1"/>
              </a:solidFill>
            </a:ln>
          </c:spPr>
          <c:dPt>
            <c:idx val="0"/>
            <c:bubble3D val="0"/>
            <c:spPr>
              <a:gradFill flip="none" rotWithShape="1">
                <a:gsLst>
                  <a:gs pos="20000">
                    <a:srgbClr val="C23FD8"/>
                  </a:gs>
                  <a:gs pos="70000">
                    <a:srgbClr val="9947F7"/>
                  </a:gs>
                </a:gsLst>
                <a:lin ang="10800000" scaled="1"/>
                <a:tileRect/>
              </a:gradFill>
              <a:ln w="120650">
                <a:solidFill>
                  <a:schemeClr val="tx1"/>
                </a:solidFill>
              </a:ln>
              <a:effectLst/>
            </c:spPr>
            <c:extLst>
              <c:ext xmlns:c16="http://schemas.microsoft.com/office/drawing/2014/chart" uri="{C3380CC4-5D6E-409C-BE32-E72D297353CC}">
                <c16:uniqueId val="{00000001-1CFA-4B7E-B687-2C3CF397257E}"/>
              </c:ext>
            </c:extLst>
          </c:dPt>
          <c:dPt>
            <c:idx val="1"/>
            <c:bubble3D val="0"/>
            <c:spPr>
              <a:gradFill flip="none" rotWithShape="1">
                <a:gsLst>
                  <a:gs pos="20000">
                    <a:srgbClr val="C23FD8"/>
                  </a:gs>
                  <a:gs pos="70000">
                    <a:srgbClr val="9947F7"/>
                  </a:gs>
                </a:gsLst>
                <a:lin ang="10800000" scaled="1"/>
                <a:tileRect/>
              </a:gradFill>
              <a:ln w="120650">
                <a:solidFill>
                  <a:schemeClr val="tx1"/>
                </a:solidFill>
              </a:ln>
              <a:effectLst/>
            </c:spPr>
            <c:extLst>
              <c:ext xmlns:c16="http://schemas.microsoft.com/office/drawing/2014/chart" uri="{C3380CC4-5D6E-409C-BE32-E72D297353CC}">
                <c16:uniqueId val="{00000003-1CFA-4B7E-B687-2C3CF397257E}"/>
              </c:ext>
            </c:extLst>
          </c:dPt>
          <c:dPt>
            <c:idx val="2"/>
            <c:bubble3D val="0"/>
            <c:spPr>
              <a:gradFill flip="none" rotWithShape="1">
                <a:gsLst>
                  <a:gs pos="20000">
                    <a:srgbClr val="C23FD8"/>
                  </a:gs>
                  <a:gs pos="70000">
                    <a:srgbClr val="9947F7"/>
                  </a:gs>
                </a:gsLst>
                <a:lin ang="10800000" scaled="1"/>
                <a:tileRect/>
              </a:gradFill>
              <a:ln w="120650">
                <a:solidFill>
                  <a:schemeClr val="tx1"/>
                </a:solidFill>
              </a:ln>
              <a:effectLst/>
            </c:spPr>
            <c:extLst>
              <c:ext xmlns:c16="http://schemas.microsoft.com/office/drawing/2014/chart" uri="{C3380CC4-5D6E-409C-BE32-E72D297353CC}">
                <c16:uniqueId val="{00000005-1CFA-4B7E-B687-2C3CF397257E}"/>
              </c:ext>
            </c:extLst>
          </c:dPt>
          <c:dPt>
            <c:idx val="3"/>
            <c:bubble3D val="0"/>
            <c:spPr>
              <a:gradFill flip="none" rotWithShape="1">
                <a:gsLst>
                  <a:gs pos="20000">
                    <a:srgbClr val="C23FD8"/>
                  </a:gs>
                  <a:gs pos="70000">
                    <a:srgbClr val="9947F7"/>
                  </a:gs>
                </a:gsLst>
                <a:lin ang="10800000" scaled="1"/>
                <a:tileRect/>
              </a:gradFill>
              <a:ln w="120650">
                <a:solidFill>
                  <a:schemeClr val="tx1"/>
                </a:solidFill>
              </a:ln>
              <a:effectLst/>
            </c:spPr>
            <c:extLst>
              <c:ext xmlns:c16="http://schemas.microsoft.com/office/drawing/2014/chart" uri="{C3380CC4-5D6E-409C-BE32-E72D297353CC}">
                <c16:uniqueId val="{00000007-1CFA-4B7E-B687-2C3CF397257E}"/>
              </c:ext>
            </c:extLst>
          </c:dPt>
          <c:dPt>
            <c:idx val="4"/>
            <c:bubble3D val="0"/>
            <c:spPr>
              <a:gradFill flip="none" rotWithShape="1">
                <a:gsLst>
                  <a:gs pos="20000">
                    <a:srgbClr val="C23FD8"/>
                  </a:gs>
                  <a:gs pos="70000">
                    <a:srgbClr val="9947F7"/>
                  </a:gs>
                </a:gsLst>
                <a:lin ang="10800000" scaled="1"/>
                <a:tileRect/>
              </a:gradFill>
              <a:ln w="120650">
                <a:solidFill>
                  <a:schemeClr val="tx1"/>
                </a:solidFill>
              </a:ln>
              <a:effectLst/>
            </c:spPr>
            <c:extLst>
              <c:ext xmlns:c16="http://schemas.microsoft.com/office/drawing/2014/chart" uri="{C3380CC4-5D6E-409C-BE32-E72D297353CC}">
                <c16:uniqueId val="{00000009-1CFA-4B7E-B687-2C3CF397257E}"/>
              </c:ext>
            </c:extLst>
          </c:dPt>
          <c:dPt>
            <c:idx val="5"/>
            <c:bubble3D val="0"/>
            <c:spPr>
              <a:gradFill flip="none" rotWithShape="1">
                <a:gsLst>
                  <a:gs pos="20000">
                    <a:srgbClr val="C23FD8"/>
                  </a:gs>
                  <a:gs pos="70000">
                    <a:srgbClr val="9947F7"/>
                  </a:gs>
                </a:gsLst>
                <a:lin ang="10800000" scaled="1"/>
                <a:tileRect/>
              </a:gradFill>
              <a:ln w="120650">
                <a:solidFill>
                  <a:schemeClr val="tx1"/>
                </a:solidFill>
              </a:ln>
              <a:effectLst/>
            </c:spPr>
            <c:extLst>
              <c:ext xmlns:c16="http://schemas.microsoft.com/office/drawing/2014/chart" uri="{C3380CC4-5D6E-409C-BE32-E72D297353CC}">
                <c16:uniqueId val="{0000000B-1CFA-4B7E-B687-2C3CF397257E}"/>
              </c:ext>
            </c:extLst>
          </c:dPt>
          <c:dPt>
            <c:idx val="6"/>
            <c:bubble3D val="0"/>
            <c:spPr>
              <a:gradFill flip="none" rotWithShape="1">
                <a:gsLst>
                  <a:gs pos="20000">
                    <a:srgbClr val="C23FD8"/>
                  </a:gs>
                  <a:gs pos="70000">
                    <a:srgbClr val="9947F7"/>
                  </a:gs>
                </a:gsLst>
                <a:lin ang="10800000" scaled="1"/>
                <a:tileRect/>
              </a:gradFill>
              <a:ln w="120650">
                <a:solidFill>
                  <a:schemeClr val="tx1"/>
                </a:solidFill>
              </a:ln>
              <a:effectLst/>
            </c:spPr>
            <c:extLst>
              <c:ext xmlns:c16="http://schemas.microsoft.com/office/drawing/2014/chart" uri="{C3380CC4-5D6E-409C-BE32-E72D297353CC}">
                <c16:uniqueId val="{0000000D-1CFA-4B7E-B687-2C3CF397257E}"/>
              </c:ext>
            </c:extLst>
          </c:dPt>
          <c:dPt>
            <c:idx val="7"/>
            <c:bubble3D val="0"/>
            <c:spPr>
              <a:gradFill flip="none" rotWithShape="1">
                <a:gsLst>
                  <a:gs pos="20000">
                    <a:srgbClr val="C23FD8"/>
                  </a:gs>
                  <a:gs pos="70000">
                    <a:srgbClr val="9947F7"/>
                  </a:gs>
                </a:gsLst>
                <a:lin ang="10800000" scaled="1"/>
                <a:tileRect/>
              </a:gradFill>
              <a:ln w="120650">
                <a:solidFill>
                  <a:schemeClr val="tx1"/>
                </a:solidFill>
              </a:ln>
              <a:effectLst/>
            </c:spPr>
            <c:extLst>
              <c:ext xmlns:c16="http://schemas.microsoft.com/office/drawing/2014/chart" uri="{C3380CC4-5D6E-409C-BE32-E72D297353CC}">
                <c16:uniqueId val="{0000000F-1CFA-4B7E-B687-2C3CF397257E}"/>
              </c:ext>
            </c:extLst>
          </c:dPt>
          <c:dPt>
            <c:idx val="8"/>
            <c:bubble3D val="0"/>
            <c:spPr>
              <a:gradFill flip="none" rotWithShape="1">
                <a:gsLst>
                  <a:gs pos="20000">
                    <a:srgbClr val="C23FD8"/>
                  </a:gs>
                  <a:gs pos="70000">
                    <a:srgbClr val="9947F7"/>
                  </a:gs>
                </a:gsLst>
                <a:lin ang="10800000" scaled="1"/>
                <a:tileRect/>
              </a:gradFill>
              <a:ln w="120650">
                <a:solidFill>
                  <a:schemeClr val="tx1"/>
                </a:solidFill>
              </a:ln>
              <a:effectLst/>
            </c:spPr>
            <c:extLst>
              <c:ext xmlns:c16="http://schemas.microsoft.com/office/drawing/2014/chart" uri="{C3380CC4-5D6E-409C-BE32-E72D297353CC}">
                <c16:uniqueId val="{00000011-1CFA-4B7E-B687-2C3CF397257E}"/>
              </c:ext>
            </c:extLst>
          </c:dPt>
          <c:dPt>
            <c:idx val="9"/>
            <c:bubble3D val="0"/>
            <c:spPr>
              <a:gradFill flip="none" rotWithShape="1">
                <a:gsLst>
                  <a:gs pos="20000">
                    <a:srgbClr val="C23FD8"/>
                  </a:gs>
                  <a:gs pos="70000">
                    <a:srgbClr val="9947F7"/>
                  </a:gs>
                </a:gsLst>
                <a:lin ang="10800000" scaled="1"/>
                <a:tileRect/>
              </a:gradFill>
              <a:ln w="120650">
                <a:solidFill>
                  <a:schemeClr val="tx1"/>
                </a:solidFill>
              </a:ln>
              <a:effectLst/>
            </c:spPr>
            <c:extLst>
              <c:ext xmlns:c16="http://schemas.microsoft.com/office/drawing/2014/chart" uri="{C3380CC4-5D6E-409C-BE32-E72D297353CC}">
                <c16:uniqueId val="{00000013-1CFA-4B7E-B687-2C3CF397257E}"/>
              </c:ext>
            </c:extLst>
          </c:dPt>
          <c:dPt>
            <c:idx val="10"/>
            <c:bubble3D val="0"/>
            <c:spPr>
              <a:gradFill flip="none" rotWithShape="1">
                <a:gsLst>
                  <a:gs pos="20000">
                    <a:srgbClr val="C23FD8"/>
                  </a:gs>
                  <a:gs pos="70000">
                    <a:srgbClr val="9947F7"/>
                  </a:gs>
                </a:gsLst>
                <a:lin ang="10800000" scaled="1"/>
                <a:tileRect/>
              </a:gradFill>
              <a:ln w="120650">
                <a:solidFill>
                  <a:schemeClr val="tx1"/>
                </a:solidFill>
              </a:ln>
              <a:effectLst/>
            </c:spPr>
            <c:extLst>
              <c:ext xmlns:c16="http://schemas.microsoft.com/office/drawing/2014/chart" uri="{C3380CC4-5D6E-409C-BE32-E72D297353CC}">
                <c16:uniqueId val="{00000015-1CFA-4B7E-B687-2C3CF397257E}"/>
              </c:ext>
            </c:extLst>
          </c:dPt>
          <c:dPt>
            <c:idx val="11"/>
            <c:bubble3D val="0"/>
            <c:spPr>
              <a:gradFill flip="none" rotWithShape="1">
                <a:gsLst>
                  <a:gs pos="20000">
                    <a:srgbClr val="C23FD8"/>
                  </a:gs>
                  <a:gs pos="70000">
                    <a:srgbClr val="9947F7"/>
                  </a:gs>
                </a:gsLst>
                <a:lin ang="10800000" scaled="1"/>
                <a:tileRect/>
              </a:gradFill>
              <a:ln w="120650">
                <a:solidFill>
                  <a:schemeClr val="tx1"/>
                </a:solidFill>
              </a:ln>
              <a:effectLst/>
            </c:spPr>
            <c:extLst>
              <c:ext xmlns:c16="http://schemas.microsoft.com/office/drawing/2014/chart" uri="{C3380CC4-5D6E-409C-BE32-E72D297353CC}">
                <c16:uniqueId val="{00000017-1CFA-4B7E-B687-2C3CF397257E}"/>
              </c:ext>
            </c:extLst>
          </c:dPt>
          <c:dPt>
            <c:idx val="12"/>
            <c:bubble3D val="0"/>
            <c:spPr>
              <a:gradFill flip="none" rotWithShape="1">
                <a:gsLst>
                  <a:gs pos="20000">
                    <a:srgbClr val="C23FD8"/>
                  </a:gs>
                  <a:gs pos="70000">
                    <a:srgbClr val="9947F7"/>
                  </a:gs>
                </a:gsLst>
                <a:lin ang="10800000" scaled="1"/>
                <a:tileRect/>
              </a:gradFill>
              <a:ln w="120650">
                <a:solidFill>
                  <a:schemeClr val="tx1"/>
                </a:solidFill>
              </a:ln>
              <a:effectLst/>
            </c:spPr>
            <c:extLst>
              <c:ext xmlns:c16="http://schemas.microsoft.com/office/drawing/2014/chart" uri="{C3380CC4-5D6E-409C-BE32-E72D297353CC}">
                <c16:uniqueId val="{00000019-1CFA-4B7E-B687-2C3CF397257E}"/>
              </c:ext>
            </c:extLst>
          </c:dPt>
          <c:dPt>
            <c:idx val="13"/>
            <c:bubble3D val="0"/>
            <c:spPr>
              <a:gradFill flip="none" rotWithShape="1">
                <a:gsLst>
                  <a:gs pos="20000">
                    <a:srgbClr val="C23FD8"/>
                  </a:gs>
                  <a:gs pos="70000">
                    <a:srgbClr val="9947F7"/>
                  </a:gs>
                </a:gsLst>
                <a:lin ang="10800000" scaled="1"/>
                <a:tileRect/>
              </a:gradFill>
              <a:ln w="120650">
                <a:solidFill>
                  <a:schemeClr val="tx1"/>
                </a:solidFill>
              </a:ln>
              <a:effectLst/>
            </c:spPr>
            <c:extLst>
              <c:ext xmlns:c16="http://schemas.microsoft.com/office/drawing/2014/chart" uri="{C3380CC4-5D6E-409C-BE32-E72D297353CC}">
                <c16:uniqueId val="{0000001B-1CFA-4B7E-B687-2C3CF397257E}"/>
              </c:ext>
            </c:extLst>
          </c:dPt>
          <c:dPt>
            <c:idx val="14"/>
            <c:bubble3D val="0"/>
            <c:spPr>
              <a:gradFill flip="none" rotWithShape="1">
                <a:gsLst>
                  <a:gs pos="20000">
                    <a:srgbClr val="C23FD8"/>
                  </a:gs>
                  <a:gs pos="70000">
                    <a:srgbClr val="9947F7"/>
                  </a:gs>
                </a:gsLst>
                <a:lin ang="10800000" scaled="1"/>
                <a:tileRect/>
              </a:gradFill>
              <a:ln w="120650">
                <a:solidFill>
                  <a:schemeClr val="tx1"/>
                </a:solidFill>
              </a:ln>
              <a:effectLst/>
            </c:spPr>
            <c:extLst>
              <c:ext xmlns:c16="http://schemas.microsoft.com/office/drawing/2014/chart" uri="{C3380CC4-5D6E-409C-BE32-E72D297353CC}">
                <c16:uniqueId val="{0000001D-1CFA-4B7E-B687-2C3CF397257E}"/>
              </c:ext>
            </c:extLst>
          </c:dPt>
          <c:dPt>
            <c:idx val="15"/>
            <c:bubble3D val="0"/>
            <c:spPr>
              <a:gradFill flip="none" rotWithShape="1">
                <a:gsLst>
                  <a:gs pos="20000">
                    <a:srgbClr val="C23FD8"/>
                  </a:gs>
                  <a:gs pos="70000">
                    <a:srgbClr val="9947F7"/>
                  </a:gs>
                </a:gsLst>
                <a:lin ang="10800000" scaled="1"/>
                <a:tileRect/>
              </a:gradFill>
              <a:ln w="120650">
                <a:solidFill>
                  <a:schemeClr val="tx1"/>
                </a:solidFill>
              </a:ln>
              <a:effectLst/>
            </c:spPr>
            <c:extLst>
              <c:ext xmlns:c16="http://schemas.microsoft.com/office/drawing/2014/chart" uri="{C3380CC4-5D6E-409C-BE32-E72D297353CC}">
                <c16:uniqueId val="{0000001F-1CFA-4B7E-B687-2C3CF397257E}"/>
              </c:ext>
            </c:extLst>
          </c:dPt>
          <c:dPt>
            <c:idx val="16"/>
            <c:bubble3D val="0"/>
            <c:spPr>
              <a:gradFill flip="none" rotWithShape="1">
                <a:gsLst>
                  <a:gs pos="20000">
                    <a:srgbClr val="C23FD8"/>
                  </a:gs>
                  <a:gs pos="70000">
                    <a:srgbClr val="9947F7"/>
                  </a:gs>
                </a:gsLst>
                <a:lin ang="10800000" scaled="1"/>
                <a:tileRect/>
              </a:gradFill>
              <a:ln w="120650">
                <a:solidFill>
                  <a:schemeClr val="tx1"/>
                </a:solidFill>
              </a:ln>
              <a:effectLst/>
            </c:spPr>
            <c:extLst>
              <c:ext xmlns:c16="http://schemas.microsoft.com/office/drawing/2014/chart" uri="{C3380CC4-5D6E-409C-BE32-E72D297353CC}">
                <c16:uniqueId val="{00000021-1CFA-4B7E-B687-2C3CF397257E}"/>
              </c:ext>
            </c:extLst>
          </c:dPt>
          <c:dPt>
            <c:idx val="17"/>
            <c:bubble3D val="0"/>
            <c:spPr>
              <a:gradFill flip="none" rotWithShape="1">
                <a:gsLst>
                  <a:gs pos="20000">
                    <a:srgbClr val="C23FD8"/>
                  </a:gs>
                  <a:gs pos="70000">
                    <a:srgbClr val="9947F7"/>
                  </a:gs>
                </a:gsLst>
                <a:lin ang="10800000" scaled="1"/>
                <a:tileRect/>
              </a:gradFill>
              <a:ln w="120650">
                <a:solidFill>
                  <a:schemeClr val="tx1"/>
                </a:solidFill>
              </a:ln>
              <a:effectLst/>
            </c:spPr>
            <c:extLst>
              <c:ext xmlns:c16="http://schemas.microsoft.com/office/drawing/2014/chart" uri="{C3380CC4-5D6E-409C-BE32-E72D297353CC}">
                <c16:uniqueId val="{00000023-1CFA-4B7E-B687-2C3CF397257E}"/>
              </c:ext>
            </c:extLst>
          </c:dPt>
          <c:dPt>
            <c:idx val="18"/>
            <c:bubble3D val="0"/>
            <c:spPr>
              <a:gradFill flip="none" rotWithShape="1">
                <a:gsLst>
                  <a:gs pos="20000">
                    <a:srgbClr val="C23FD8"/>
                  </a:gs>
                  <a:gs pos="70000">
                    <a:srgbClr val="9947F7"/>
                  </a:gs>
                </a:gsLst>
                <a:lin ang="10800000" scaled="1"/>
                <a:tileRect/>
              </a:gradFill>
              <a:ln w="120650">
                <a:solidFill>
                  <a:schemeClr val="tx1"/>
                </a:solidFill>
              </a:ln>
              <a:effectLst/>
            </c:spPr>
            <c:extLst>
              <c:ext xmlns:c16="http://schemas.microsoft.com/office/drawing/2014/chart" uri="{C3380CC4-5D6E-409C-BE32-E72D297353CC}">
                <c16:uniqueId val="{00000025-1CFA-4B7E-B687-2C3CF397257E}"/>
              </c:ext>
            </c:extLst>
          </c:dPt>
          <c:dPt>
            <c:idx val="19"/>
            <c:bubble3D val="0"/>
            <c:spPr>
              <a:gradFill flip="none" rotWithShape="1">
                <a:gsLst>
                  <a:gs pos="20000">
                    <a:srgbClr val="C23FD8"/>
                  </a:gs>
                  <a:gs pos="70000">
                    <a:srgbClr val="9947F7"/>
                  </a:gs>
                </a:gsLst>
                <a:lin ang="10800000" scaled="1"/>
                <a:tileRect/>
              </a:gradFill>
              <a:ln w="120650">
                <a:solidFill>
                  <a:schemeClr val="tx1"/>
                </a:solidFill>
              </a:ln>
              <a:effectLst/>
            </c:spPr>
            <c:extLst>
              <c:ext xmlns:c16="http://schemas.microsoft.com/office/drawing/2014/chart" uri="{C3380CC4-5D6E-409C-BE32-E72D297353CC}">
                <c16:uniqueId val="{00000027-1CFA-4B7E-B687-2C3CF397257E}"/>
              </c:ext>
            </c:extLst>
          </c:dPt>
          <c:dPt>
            <c:idx val="20"/>
            <c:bubble3D val="0"/>
            <c:spPr>
              <a:gradFill flip="none" rotWithShape="1">
                <a:gsLst>
                  <a:gs pos="20000">
                    <a:srgbClr val="C23FD8"/>
                  </a:gs>
                  <a:gs pos="70000">
                    <a:srgbClr val="9947F7"/>
                  </a:gs>
                </a:gsLst>
                <a:lin ang="10800000" scaled="1"/>
                <a:tileRect/>
              </a:gradFill>
              <a:ln w="120650">
                <a:solidFill>
                  <a:schemeClr val="tx1"/>
                </a:solidFill>
              </a:ln>
              <a:effectLst/>
            </c:spPr>
            <c:extLst>
              <c:ext xmlns:c16="http://schemas.microsoft.com/office/drawing/2014/chart" uri="{C3380CC4-5D6E-409C-BE32-E72D297353CC}">
                <c16:uniqueId val="{00000029-1CFA-4B7E-B687-2C3CF397257E}"/>
              </c:ext>
            </c:extLst>
          </c:dPt>
          <c:dPt>
            <c:idx val="21"/>
            <c:bubble3D val="0"/>
            <c:spPr>
              <a:gradFill flip="none" rotWithShape="1">
                <a:gsLst>
                  <a:gs pos="20000">
                    <a:srgbClr val="C23FD8"/>
                  </a:gs>
                  <a:gs pos="70000">
                    <a:srgbClr val="9947F7"/>
                  </a:gs>
                </a:gsLst>
                <a:lin ang="10800000" scaled="1"/>
                <a:tileRect/>
              </a:gradFill>
              <a:ln w="120650">
                <a:solidFill>
                  <a:schemeClr val="tx1"/>
                </a:solidFill>
              </a:ln>
              <a:effectLst/>
            </c:spPr>
            <c:extLst>
              <c:ext xmlns:c16="http://schemas.microsoft.com/office/drawing/2014/chart" uri="{C3380CC4-5D6E-409C-BE32-E72D297353CC}">
                <c16:uniqueId val="{0000002B-1CFA-4B7E-B687-2C3CF397257E}"/>
              </c:ext>
            </c:extLst>
          </c:dPt>
          <c:dPt>
            <c:idx val="22"/>
            <c:bubble3D val="0"/>
            <c:spPr>
              <a:gradFill flip="none" rotWithShape="1">
                <a:gsLst>
                  <a:gs pos="20000">
                    <a:srgbClr val="C23FD8"/>
                  </a:gs>
                  <a:gs pos="70000">
                    <a:srgbClr val="9947F7"/>
                  </a:gs>
                </a:gsLst>
                <a:lin ang="10800000" scaled="1"/>
                <a:tileRect/>
              </a:gradFill>
              <a:ln w="120650">
                <a:solidFill>
                  <a:schemeClr val="tx1"/>
                </a:solidFill>
              </a:ln>
              <a:effectLst/>
            </c:spPr>
            <c:extLst>
              <c:ext xmlns:c16="http://schemas.microsoft.com/office/drawing/2014/chart" uri="{C3380CC4-5D6E-409C-BE32-E72D297353CC}">
                <c16:uniqueId val="{0000002D-1CFA-4B7E-B687-2C3CF397257E}"/>
              </c:ext>
            </c:extLst>
          </c:dPt>
          <c:dPt>
            <c:idx val="23"/>
            <c:bubble3D val="0"/>
            <c:spPr>
              <a:gradFill flip="none" rotWithShape="1">
                <a:gsLst>
                  <a:gs pos="20000">
                    <a:srgbClr val="C23FD8"/>
                  </a:gs>
                  <a:gs pos="70000">
                    <a:srgbClr val="9947F7"/>
                  </a:gs>
                </a:gsLst>
                <a:lin ang="10800000" scaled="1"/>
                <a:tileRect/>
              </a:gradFill>
              <a:ln w="120650">
                <a:solidFill>
                  <a:schemeClr val="tx1"/>
                </a:solidFill>
              </a:ln>
              <a:effectLst/>
            </c:spPr>
            <c:extLst>
              <c:ext xmlns:c16="http://schemas.microsoft.com/office/drawing/2014/chart" uri="{C3380CC4-5D6E-409C-BE32-E72D297353CC}">
                <c16:uniqueId val="{0000002F-1CFA-4B7E-B687-2C3CF397257E}"/>
              </c:ext>
            </c:extLst>
          </c:dPt>
          <c:dPt>
            <c:idx val="24"/>
            <c:bubble3D val="0"/>
            <c:spPr>
              <a:gradFill flip="none" rotWithShape="1">
                <a:gsLst>
                  <a:gs pos="20000">
                    <a:srgbClr val="C23FD8"/>
                  </a:gs>
                  <a:gs pos="70000">
                    <a:srgbClr val="9947F7"/>
                  </a:gs>
                </a:gsLst>
                <a:lin ang="10800000" scaled="1"/>
                <a:tileRect/>
              </a:gradFill>
              <a:ln w="120650">
                <a:solidFill>
                  <a:schemeClr val="tx1"/>
                </a:solidFill>
              </a:ln>
              <a:effectLst/>
            </c:spPr>
            <c:extLst>
              <c:ext xmlns:c16="http://schemas.microsoft.com/office/drawing/2014/chart" uri="{C3380CC4-5D6E-409C-BE32-E72D297353CC}">
                <c16:uniqueId val="{00000031-1CFA-4B7E-B687-2C3CF397257E}"/>
              </c:ext>
            </c:extLst>
          </c:dPt>
          <c:dPt>
            <c:idx val="25"/>
            <c:bubble3D val="0"/>
            <c:spPr>
              <a:gradFill flip="none" rotWithShape="1">
                <a:gsLst>
                  <a:gs pos="20000">
                    <a:srgbClr val="C23FD8"/>
                  </a:gs>
                  <a:gs pos="70000">
                    <a:srgbClr val="9947F7"/>
                  </a:gs>
                </a:gsLst>
                <a:lin ang="10800000" scaled="1"/>
                <a:tileRect/>
              </a:gradFill>
              <a:ln w="120650">
                <a:solidFill>
                  <a:schemeClr val="tx1"/>
                </a:solidFill>
              </a:ln>
              <a:effectLst/>
            </c:spPr>
            <c:extLst>
              <c:ext xmlns:c16="http://schemas.microsoft.com/office/drawing/2014/chart" uri="{C3380CC4-5D6E-409C-BE32-E72D297353CC}">
                <c16:uniqueId val="{00000033-1CFA-4B7E-B687-2C3CF397257E}"/>
              </c:ext>
            </c:extLst>
          </c:dPt>
          <c:dPt>
            <c:idx val="26"/>
            <c:bubble3D val="0"/>
            <c:spPr>
              <a:gradFill flip="none" rotWithShape="1">
                <a:gsLst>
                  <a:gs pos="20000">
                    <a:srgbClr val="C23FD8"/>
                  </a:gs>
                  <a:gs pos="70000">
                    <a:srgbClr val="9947F7"/>
                  </a:gs>
                </a:gsLst>
                <a:lin ang="10800000" scaled="1"/>
                <a:tileRect/>
              </a:gradFill>
              <a:ln w="120650">
                <a:solidFill>
                  <a:schemeClr val="tx1"/>
                </a:solidFill>
              </a:ln>
              <a:effectLst/>
            </c:spPr>
            <c:extLst>
              <c:ext xmlns:c16="http://schemas.microsoft.com/office/drawing/2014/chart" uri="{C3380CC4-5D6E-409C-BE32-E72D297353CC}">
                <c16:uniqueId val="{00000035-1CFA-4B7E-B687-2C3CF397257E}"/>
              </c:ext>
            </c:extLst>
          </c:dPt>
          <c:dPt>
            <c:idx val="27"/>
            <c:bubble3D val="0"/>
            <c:spPr>
              <a:gradFill flip="none" rotWithShape="1">
                <a:gsLst>
                  <a:gs pos="20000">
                    <a:srgbClr val="C23FD8"/>
                  </a:gs>
                  <a:gs pos="70000">
                    <a:srgbClr val="9947F7"/>
                  </a:gs>
                </a:gsLst>
                <a:lin ang="10800000" scaled="1"/>
                <a:tileRect/>
              </a:gradFill>
              <a:ln w="120650">
                <a:solidFill>
                  <a:schemeClr val="tx1"/>
                </a:solidFill>
              </a:ln>
              <a:effectLst/>
            </c:spPr>
            <c:extLst>
              <c:ext xmlns:c16="http://schemas.microsoft.com/office/drawing/2014/chart" uri="{C3380CC4-5D6E-409C-BE32-E72D297353CC}">
                <c16:uniqueId val="{00000037-1CFA-4B7E-B687-2C3CF397257E}"/>
              </c:ext>
            </c:extLst>
          </c:dPt>
          <c:dPt>
            <c:idx val="28"/>
            <c:bubble3D val="0"/>
            <c:spPr>
              <a:gradFill flip="none" rotWithShape="1">
                <a:gsLst>
                  <a:gs pos="20000">
                    <a:srgbClr val="C23FD8"/>
                  </a:gs>
                  <a:gs pos="70000">
                    <a:srgbClr val="9947F7"/>
                  </a:gs>
                </a:gsLst>
                <a:lin ang="10800000" scaled="1"/>
                <a:tileRect/>
              </a:gradFill>
              <a:ln w="120650">
                <a:solidFill>
                  <a:schemeClr val="tx1"/>
                </a:solidFill>
              </a:ln>
              <a:effectLst/>
            </c:spPr>
            <c:extLst>
              <c:ext xmlns:c16="http://schemas.microsoft.com/office/drawing/2014/chart" uri="{C3380CC4-5D6E-409C-BE32-E72D297353CC}">
                <c16:uniqueId val="{00000039-1CFA-4B7E-B687-2C3CF397257E}"/>
              </c:ext>
            </c:extLst>
          </c:dPt>
          <c:dPt>
            <c:idx val="29"/>
            <c:bubble3D val="0"/>
            <c:spPr>
              <a:gradFill flip="none" rotWithShape="1">
                <a:gsLst>
                  <a:gs pos="20000">
                    <a:srgbClr val="C23FD8"/>
                  </a:gs>
                  <a:gs pos="70000">
                    <a:srgbClr val="9947F7"/>
                  </a:gs>
                </a:gsLst>
                <a:lin ang="10800000" scaled="1"/>
                <a:tileRect/>
              </a:gradFill>
              <a:ln w="120650">
                <a:solidFill>
                  <a:schemeClr val="tx1"/>
                </a:solidFill>
              </a:ln>
              <a:effectLst/>
            </c:spPr>
            <c:extLst>
              <c:ext xmlns:c16="http://schemas.microsoft.com/office/drawing/2014/chart" uri="{C3380CC4-5D6E-409C-BE32-E72D297353CC}">
                <c16:uniqueId val="{0000003B-1CFA-4B7E-B687-2C3CF397257E}"/>
              </c:ext>
            </c:extLst>
          </c:dPt>
          <c:dPt>
            <c:idx val="30"/>
            <c:bubble3D val="0"/>
            <c:spPr>
              <a:gradFill flip="none" rotWithShape="1">
                <a:gsLst>
                  <a:gs pos="20000">
                    <a:srgbClr val="C23FD8"/>
                  </a:gs>
                  <a:gs pos="70000">
                    <a:srgbClr val="9947F7"/>
                  </a:gs>
                </a:gsLst>
                <a:lin ang="10800000" scaled="1"/>
                <a:tileRect/>
              </a:gradFill>
              <a:ln w="120650">
                <a:solidFill>
                  <a:schemeClr val="tx1"/>
                </a:solidFill>
              </a:ln>
              <a:effectLst/>
            </c:spPr>
            <c:extLst>
              <c:ext xmlns:c16="http://schemas.microsoft.com/office/drawing/2014/chart" uri="{C3380CC4-5D6E-409C-BE32-E72D297353CC}">
                <c16:uniqueId val="{0000003D-1CFA-4B7E-B687-2C3CF397257E}"/>
              </c:ext>
            </c:extLst>
          </c:dPt>
          <c:dPt>
            <c:idx val="31"/>
            <c:bubble3D val="0"/>
            <c:spPr>
              <a:gradFill flip="none" rotWithShape="1">
                <a:gsLst>
                  <a:gs pos="20000">
                    <a:srgbClr val="C23FD8"/>
                  </a:gs>
                  <a:gs pos="70000">
                    <a:srgbClr val="9947F7"/>
                  </a:gs>
                </a:gsLst>
                <a:lin ang="10800000" scaled="1"/>
                <a:tileRect/>
              </a:gradFill>
              <a:ln w="120650">
                <a:solidFill>
                  <a:schemeClr val="tx1"/>
                </a:solidFill>
              </a:ln>
              <a:effectLst/>
            </c:spPr>
            <c:extLst>
              <c:ext xmlns:c16="http://schemas.microsoft.com/office/drawing/2014/chart" uri="{C3380CC4-5D6E-409C-BE32-E72D297353CC}">
                <c16:uniqueId val="{0000003F-1CFA-4B7E-B687-2C3CF397257E}"/>
              </c:ext>
            </c:extLst>
          </c:dPt>
          <c:dPt>
            <c:idx val="32"/>
            <c:bubble3D val="0"/>
            <c:spPr>
              <a:gradFill flip="none" rotWithShape="1">
                <a:gsLst>
                  <a:gs pos="20000">
                    <a:srgbClr val="C23FD8"/>
                  </a:gs>
                  <a:gs pos="70000">
                    <a:srgbClr val="9947F7"/>
                  </a:gs>
                </a:gsLst>
                <a:lin ang="10800000" scaled="1"/>
                <a:tileRect/>
              </a:gradFill>
              <a:ln w="120650">
                <a:solidFill>
                  <a:schemeClr val="tx1"/>
                </a:solidFill>
              </a:ln>
              <a:effectLst/>
            </c:spPr>
            <c:extLst>
              <c:ext xmlns:c16="http://schemas.microsoft.com/office/drawing/2014/chart" uri="{C3380CC4-5D6E-409C-BE32-E72D297353CC}">
                <c16:uniqueId val="{00000041-1CFA-4B7E-B687-2C3CF397257E}"/>
              </c:ext>
            </c:extLst>
          </c:dPt>
          <c:dPt>
            <c:idx val="33"/>
            <c:bubble3D val="0"/>
            <c:spPr>
              <a:gradFill flip="none" rotWithShape="1">
                <a:gsLst>
                  <a:gs pos="20000">
                    <a:srgbClr val="C23FD8"/>
                  </a:gs>
                  <a:gs pos="70000">
                    <a:srgbClr val="9947F7"/>
                  </a:gs>
                </a:gsLst>
                <a:lin ang="10800000" scaled="1"/>
                <a:tileRect/>
              </a:gradFill>
              <a:ln w="120650">
                <a:solidFill>
                  <a:schemeClr val="tx1"/>
                </a:solidFill>
              </a:ln>
              <a:effectLst/>
            </c:spPr>
            <c:extLst>
              <c:ext xmlns:c16="http://schemas.microsoft.com/office/drawing/2014/chart" uri="{C3380CC4-5D6E-409C-BE32-E72D297353CC}">
                <c16:uniqueId val="{00000043-1CFA-4B7E-B687-2C3CF397257E}"/>
              </c:ext>
            </c:extLst>
          </c:dPt>
          <c:dPt>
            <c:idx val="34"/>
            <c:bubble3D val="0"/>
            <c:spPr>
              <a:gradFill flip="none" rotWithShape="1">
                <a:gsLst>
                  <a:gs pos="20000">
                    <a:srgbClr val="C23FD8"/>
                  </a:gs>
                  <a:gs pos="70000">
                    <a:srgbClr val="9947F7"/>
                  </a:gs>
                </a:gsLst>
                <a:lin ang="10800000" scaled="1"/>
                <a:tileRect/>
              </a:gradFill>
              <a:ln w="120650">
                <a:solidFill>
                  <a:schemeClr val="tx1"/>
                </a:solidFill>
              </a:ln>
              <a:effectLst/>
            </c:spPr>
            <c:extLst>
              <c:ext xmlns:c16="http://schemas.microsoft.com/office/drawing/2014/chart" uri="{C3380CC4-5D6E-409C-BE32-E72D297353CC}">
                <c16:uniqueId val="{00000045-1CFA-4B7E-B687-2C3CF397257E}"/>
              </c:ext>
            </c:extLst>
          </c:dPt>
          <c:dPt>
            <c:idx val="35"/>
            <c:bubble3D val="0"/>
            <c:spPr>
              <a:gradFill flip="none" rotWithShape="1">
                <a:gsLst>
                  <a:gs pos="20000">
                    <a:srgbClr val="C23FD8"/>
                  </a:gs>
                  <a:gs pos="70000">
                    <a:srgbClr val="9947F7"/>
                  </a:gs>
                </a:gsLst>
                <a:lin ang="10800000" scaled="1"/>
                <a:tileRect/>
              </a:gradFill>
              <a:ln w="120650">
                <a:solidFill>
                  <a:schemeClr val="tx1"/>
                </a:solidFill>
              </a:ln>
              <a:effectLst/>
            </c:spPr>
            <c:extLst>
              <c:ext xmlns:c16="http://schemas.microsoft.com/office/drawing/2014/chart" uri="{C3380CC4-5D6E-409C-BE32-E72D297353CC}">
                <c16:uniqueId val="{00000047-1CFA-4B7E-B687-2C3CF397257E}"/>
              </c:ext>
            </c:extLst>
          </c:dPt>
          <c:dPt>
            <c:idx val="36"/>
            <c:bubble3D val="0"/>
            <c:spPr>
              <a:gradFill flip="none" rotWithShape="1">
                <a:gsLst>
                  <a:gs pos="20000">
                    <a:srgbClr val="C23FD8"/>
                  </a:gs>
                  <a:gs pos="70000">
                    <a:srgbClr val="9947F7"/>
                  </a:gs>
                </a:gsLst>
                <a:lin ang="10800000" scaled="1"/>
                <a:tileRect/>
              </a:gradFill>
              <a:ln w="120650">
                <a:solidFill>
                  <a:schemeClr val="tx1"/>
                </a:solidFill>
              </a:ln>
              <a:effectLst/>
            </c:spPr>
            <c:extLst>
              <c:ext xmlns:c16="http://schemas.microsoft.com/office/drawing/2014/chart" uri="{C3380CC4-5D6E-409C-BE32-E72D297353CC}">
                <c16:uniqueId val="{00000049-1CFA-4B7E-B687-2C3CF397257E}"/>
              </c:ext>
            </c:extLst>
          </c:dPt>
          <c:dPt>
            <c:idx val="37"/>
            <c:bubble3D val="0"/>
            <c:spPr>
              <a:gradFill flip="none" rotWithShape="1">
                <a:gsLst>
                  <a:gs pos="20000">
                    <a:srgbClr val="C23FD8"/>
                  </a:gs>
                  <a:gs pos="70000">
                    <a:srgbClr val="9947F7"/>
                  </a:gs>
                </a:gsLst>
                <a:lin ang="10800000" scaled="1"/>
                <a:tileRect/>
              </a:gradFill>
              <a:ln w="120650">
                <a:solidFill>
                  <a:schemeClr val="tx1"/>
                </a:solidFill>
              </a:ln>
              <a:effectLst/>
            </c:spPr>
            <c:extLst>
              <c:ext xmlns:c16="http://schemas.microsoft.com/office/drawing/2014/chart" uri="{C3380CC4-5D6E-409C-BE32-E72D297353CC}">
                <c16:uniqueId val="{0000004B-1CFA-4B7E-B687-2C3CF397257E}"/>
              </c:ext>
            </c:extLst>
          </c:dPt>
          <c:dPt>
            <c:idx val="38"/>
            <c:bubble3D val="0"/>
            <c:spPr>
              <a:gradFill flip="none" rotWithShape="1">
                <a:gsLst>
                  <a:gs pos="20000">
                    <a:srgbClr val="C23FD8"/>
                  </a:gs>
                  <a:gs pos="70000">
                    <a:srgbClr val="9947F7"/>
                  </a:gs>
                </a:gsLst>
                <a:lin ang="10800000" scaled="1"/>
                <a:tileRect/>
              </a:gradFill>
              <a:ln w="120650">
                <a:solidFill>
                  <a:schemeClr val="tx1"/>
                </a:solidFill>
              </a:ln>
              <a:effectLst/>
            </c:spPr>
            <c:extLst>
              <c:ext xmlns:c16="http://schemas.microsoft.com/office/drawing/2014/chart" uri="{C3380CC4-5D6E-409C-BE32-E72D297353CC}">
                <c16:uniqueId val="{0000004D-1CFA-4B7E-B687-2C3CF397257E}"/>
              </c:ext>
            </c:extLst>
          </c:dPt>
          <c:dPt>
            <c:idx val="39"/>
            <c:bubble3D val="0"/>
            <c:spPr>
              <a:gradFill flip="none" rotWithShape="1">
                <a:gsLst>
                  <a:gs pos="20000">
                    <a:srgbClr val="C23FD8"/>
                  </a:gs>
                  <a:gs pos="70000">
                    <a:srgbClr val="9947F7"/>
                  </a:gs>
                </a:gsLst>
                <a:lin ang="10800000" scaled="1"/>
                <a:tileRect/>
              </a:gradFill>
              <a:ln w="120650">
                <a:solidFill>
                  <a:schemeClr val="tx1"/>
                </a:solidFill>
              </a:ln>
              <a:effectLst/>
            </c:spPr>
            <c:extLst>
              <c:ext xmlns:c16="http://schemas.microsoft.com/office/drawing/2014/chart" uri="{C3380CC4-5D6E-409C-BE32-E72D297353CC}">
                <c16:uniqueId val="{0000004F-1CFA-4B7E-B687-2C3CF397257E}"/>
              </c:ext>
            </c:extLst>
          </c:dPt>
          <c:dPt>
            <c:idx val="40"/>
            <c:bubble3D val="0"/>
            <c:spPr>
              <a:gradFill flip="none" rotWithShape="1">
                <a:gsLst>
                  <a:gs pos="20000">
                    <a:srgbClr val="C23FD8"/>
                  </a:gs>
                  <a:gs pos="70000">
                    <a:srgbClr val="9947F7"/>
                  </a:gs>
                </a:gsLst>
                <a:lin ang="10800000" scaled="1"/>
                <a:tileRect/>
              </a:gradFill>
              <a:ln w="120650">
                <a:solidFill>
                  <a:schemeClr val="tx1"/>
                </a:solidFill>
              </a:ln>
              <a:effectLst/>
            </c:spPr>
            <c:extLst>
              <c:ext xmlns:c16="http://schemas.microsoft.com/office/drawing/2014/chart" uri="{C3380CC4-5D6E-409C-BE32-E72D297353CC}">
                <c16:uniqueId val="{00000051-1CFA-4B7E-B687-2C3CF397257E}"/>
              </c:ext>
            </c:extLst>
          </c:dPt>
          <c:dPt>
            <c:idx val="41"/>
            <c:bubble3D val="0"/>
            <c:spPr>
              <a:gradFill flip="none" rotWithShape="1">
                <a:gsLst>
                  <a:gs pos="20000">
                    <a:srgbClr val="C23FD8"/>
                  </a:gs>
                  <a:gs pos="70000">
                    <a:srgbClr val="9947F7"/>
                  </a:gs>
                </a:gsLst>
                <a:lin ang="10800000" scaled="1"/>
                <a:tileRect/>
              </a:gradFill>
              <a:ln w="120650">
                <a:solidFill>
                  <a:schemeClr val="tx1"/>
                </a:solidFill>
              </a:ln>
              <a:effectLst/>
            </c:spPr>
            <c:extLst>
              <c:ext xmlns:c16="http://schemas.microsoft.com/office/drawing/2014/chart" uri="{C3380CC4-5D6E-409C-BE32-E72D297353CC}">
                <c16:uniqueId val="{00000053-1CFA-4B7E-B687-2C3CF397257E}"/>
              </c:ext>
            </c:extLst>
          </c:dPt>
          <c:dPt>
            <c:idx val="42"/>
            <c:bubble3D val="0"/>
            <c:spPr>
              <a:gradFill flip="none" rotWithShape="1">
                <a:gsLst>
                  <a:gs pos="20000">
                    <a:srgbClr val="C23FD8"/>
                  </a:gs>
                  <a:gs pos="70000">
                    <a:srgbClr val="9947F7"/>
                  </a:gs>
                </a:gsLst>
                <a:lin ang="10800000" scaled="1"/>
                <a:tileRect/>
              </a:gradFill>
              <a:ln w="120650">
                <a:solidFill>
                  <a:schemeClr val="tx1"/>
                </a:solidFill>
              </a:ln>
              <a:effectLst/>
            </c:spPr>
            <c:extLst>
              <c:ext xmlns:c16="http://schemas.microsoft.com/office/drawing/2014/chart" uri="{C3380CC4-5D6E-409C-BE32-E72D297353CC}">
                <c16:uniqueId val="{00000055-1CFA-4B7E-B687-2C3CF397257E}"/>
              </c:ext>
            </c:extLst>
          </c:dPt>
          <c:dPt>
            <c:idx val="43"/>
            <c:bubble3D val="0"/>
            <c:spPr>
              <a:gradFill flip="none" rotWithShape="1">
                <a:gsLst>
                  <a:gs pos="20000">
                    <a:srgbClr val="C23FD8"/>
                  </a:gs>
                  <a:gs pos="70000">
                    <a:srgbClr val="9947F7"/>
                  </a:gs>
                </a:gsLst>
                <a:lin ang="10800000" scaled="1"/>
                <a:tileRect/>
              </a:gradFill>
              <a:ln w="120650">
                <a:solidFill>
                  <a:schemeClr val="tx1"/>
                </a:solidFill>
              </a:ln>
              <a:effectLst/>
            </c:spPr>
            <c:extLst>
              <c:ext xmlns:c16="http://schemas.microsoft.com/office/drawing/2014/chart" uri="{C3380CC4-5D6E-409C-BE32-E72D297353CC}">
                <c16:uniqueId val="{00000057-1CFA-4B7E-B687-2C3CF397257E}"/>
              </c:ext>
            </c:extLst>
          </c:dPt>
          <c:dPt>
            <c:idx val="44"/>
            <c:bubble3D val="0"/>
            <c:spPr>
              <a:gradFill flip="none" rotWithShape="1">
                <a:gsLst>
                  <a:gs pos="20000">
                    <a:srgbClr val="C23FD8"/>
                  </a:gs>
                  <a:gs pos="70000">
                    <a:srgbClr val="9947F7"/>
                  </a:gs>
                </a:gsLst>
                <a:lin ang="10800000" scaled="1"/>
                <a:tileRect/>
              </a:gradFill>
              <a:ln w="120650">
                <a:solidFill>
                  <a:schemeClr val="tx1"/>
                </a:solidFill>
              </a:ln>
              <a:effectLst/>
            </c:spPr>
            <c:extLst>
              <c:ext xmlns:c16="http://schemas.microsoft.com/office/drawing/2014/chart" uri="{C3380CC4-5D6E-409C-BE32-E72D297353CC}">
                <c16:uniqueId val="{00000059-1CFA-4B7E-B687-2C3CF397257E}"/>
              </c:ext>
            </c:extLst>
          </c:dPt>
          <c:dPt>
            <c:idx val="45"/>
            <c:bubble3D val="0"/>
            <c:spPr>
              <a:gradFill flip="none" rotWithShape="1">
                <a:gsLst>
                  <a:gs pos="20000">
                    <a:srgbClr val="C23FD8"/>
                  </a:gs>
                  <a:gs pos="70000">
                    <a:srgbClr val="9947F7"/>
                  </a:gs>
                </a:gsLst>
                <a:lin ang="10800000" scaled="1"/>
                <a:tileRect/>
              </a:gradFill>
              <a:ln w="120650">
                <a:solidFill>
                  <a:schemeClr val="tx1"/>
                </a:solidFill>
              </a:ln>
              <a:effectLst/>
            </c:spPr>
            <c:extLst>
              <c:ext xmlns:c16="http://schemas.microsoft.com/office/drawing/2014/chart" uri="{C3380CC4-5D6E-409C-BE32-E72D297353CC}">
                <c16:uniqueId val="{0000005B-1CFA-4B7E-B687-2C3CF397257E}"/>
              </c:ext>
            </c:extLst>
          </c:dPt>
          <c:dPt>
            <c:idx val="46"/>
            <c:bubble3D val="0"/>
            <c:spPr>
              <a:gradFill flip="none" rotWithShape="1">
                <a:gsLst>
                  <a:gs pos="20000">
                    <a:srgbClr val="C23FD8"/>
                  </a:gs>
                  <a:gs pos="70000">
                    <a:srgbClr val="9947F7"/>
                  </a:gs>
                </a:gsLst>
                <a:lin ang="10800000" scaled="1"/>
                <a:tileRect/>
              </a:gradFill>
              <a:ln w="120650">
                <a:solidFill>
                  <a:schemeClr val="tx1"/>
                </a:solidFill>
              </a:ln>
              <a:effectLst/>
            </c:spPr>
            <c:extLst>
              <c:ext xmlns:c16="http://schemas.microsoft.com/office/drawing/2014/chart" uri="{C3380CC4-5D6E-409C-BE32-E72D297353CC}">
                <c16:uniqueId val="{0000005D-1CFA-4B7E-B687-2C3CF397257E}"/>
              </c:ext>
            </c:extLst>
          </c:dPt>
          <c:dPt>
            <c:idx val="47"/>
            <c:bubble3D val="0"/>
            <c:spPr>
              <a:gradFill flip="none" rotWithShape="1">
                <a:gsLst>
                  <a:gs pos="20000">
                    <a:srgbClr val="C23FD8"/>
                  </a:gs>
                  <a:gs pos="70000">
                    <a:srgbClr val="9947F7"/>
                  </a:gs>
                </a:gsLst>
                <a:lin ang="10800000" scaled="1"/>
                <a:tileRect/>
              </a:gradFill>
              <a:ln w="120650">
                <a:solidFill>
                  <a:schemeClr val="tx1"/>
                </a:solidFill>
              </a:ln>
              <a:effectLst/>
            </c:spPr>
            <c:extLst>
              <c:ext xmlns:c16="http://schemas.microsoft.com/office/drawing/2014/chart" uri="{C3380CC4-5D6E-409C-BE32-E72D297353CC}">
                <c16:uniqueId val="{0000005F-1CFA-4B7E-B687-2C3CF397257E}"/>
              </c:ext>
            </c:extLst>
          </c:dPt>
          <c:dPt>
            <c:idx val="48"/>
            <c:bubble3D val="0"/>
            <c:spPr>
              <a:gradFill flip="none" rotWithShape="1">
                <a:gsLst>
                  <a:gs pos="20000">
                    <a:srgbClr val="C23FD8"/>
                  </a:gs>
                  <a:gs pos="70000">
                    <a:srgbClr val="9947F7"/>
                  </a:gs>
                </a:gsLst>
                <a:lin ang="10800000" scaled="1"/>
                <a:tileRect/>
              </a:gradFill>
              <a:ln w="120650">
                <a:solidFill>
                  <a:schemeClr val="tx1"/>
                </a:solidFill>
              </a:ln>
              <a:effectLst/>
            </c:spPr>
            <c:extLst>
              <c:ext xmlns:c16="http://schemas.microsoft.com/office/drawing/2014/chart" uri="{C3380CC4-5D6E-409C-BE32-E72D297353CC}">
                <c16:uniqueId val="{00000061-1CFA-4B7E-B687-2C3CF397257E}"/>
              </c:ext>
            </c:extLst>
          </c:dPt>
          <c:dPt>
            <c:idx val="49"/>
            <c:bubble3D val="0"/>
            <c:spPr>
              <a:gradFill flip="none" rotWithShape="1">
                <a:gsLst>
                  <a:gs pos="20000">
                    <a:srgbClr val="C23FD8"/>
                  </a:gs>
                  <a:gs pos="70000">
                    <a:srgbClr val="9947F7"/>
                  </a:gs>
                </a:gsLst>
                <a:lin ang="10800000" scaled="1"/>
                <a:tileRect/>
              </a:gradFill>
              <a:ln w="120650">
                <a:solidFill>
                  <a:schemeClr val="tx1"/>
                </a:solidFill>
              </a:ln>
              <a:effectLst/>
            </c:spPr>
            <c:extLst>
              <c:ext xmlns:c16="http://schemas.microsoft.com/office/drawing/2014/chart" uri="{C3380CC4-5D6E-409C-BE32-E72D297353CC}">
                <c16:uniqueId val="{00000063-1CFA-4B7E-B687-2C3CF397257E}"/>
              </c:ext>
            </c:extLst>
          </c:dPt>
          <c:dPt>
            <c:idx val="50"/>
            <c:bubble3D val="0"/>
            <c:spPr>
              <a:gradFill flip="none" rotWithShape="1">
                <a:gsLst>
                  <a:gs pos="20000">
                    <a:srgbClr val="C23FD8"/>
                  </a:gs>
                  <a:gs pos="70000">
                    <a:srgbClr val="9947F7"/>
                  </a:gs>
                </a:gsLst>
                <a:lin ang="10800000" scaled="1"/>
                <a:tileRect/>
              </a:gradFill>
              <a:ln w="120650">
                <a:solidFill>
                  <a:schemeClr val="tx1"/>
                </a:solidFill>
              </a:ln>
              <a:effectLst/>
            </c:spPr>
            <c:extLst>
              <c:ext xmlns:c16="http://schemas.microsoft.com/office/drawing/2014/chart" uri="{C3380CC4-5D6E-409C-BE32-E72D297353CC}">
                <c16:uniqueId val="{00000065-1CFA-4B7E-B687-2C3CF397257E}"/>
              </c:ext>
            </c:extLst>
          </c:dPt>
          <c:dPt>
            <c:idx val="51"/>
            <c:bubble3D val="0"/>
            <c:spPr>
              <a:gradFill flip="none" rotWithShape="1">
                <a:gsLst>
                  <a:gs pos="20000">
                    <a:srgbClr val="C23FD8"/>
                  </a:gs>
                  <a:gs pos="70000">
                    <a:srgbClr val="9947F7"/>
                  </a:gs>
                </a:gsLst>
                <a:lin ang="10800000" scaled="1"/>
                <a:tileRect/>
              </a:gradFill>
              <a:ln w="120650">
                <a:solidFill>
                  <a:schemeClr val="tx1"/>
                </a:solidFill>
              </a:ln>
              <a:effectLst/>
            </c:spPr>
            <c:extLst>
              <c:ext xmlns:c16="http://schemas.microsoft.com/office/drawing/2014/chart" uri="{C3380CC4-5D6E-409C-BE32-E72D297353CC}">
                <c16:uniqueId val="{00000067-1CFA-4B7E-B687-2C3CF397257E}"/>
              </c:ext>
            </c:extLst>
          </c:dPt>
          <c:dPt>
            <c:idx val="52"/>
            <c:bubble3D val="0"/>
            <c:spPr>
              <a:gradFill flip="none" rotWithShape="1">
                <a:gsLst>
                  <a:gs pos="20000">
                    <a:srgbClr val="C23FD8"/>
                  </a:gs>
                  <a:gs pos="70000">
                    <a:srgbClr val="9947F7"/>
                  </a:gs>
                </a:gsLst>
                <a:lin ang="10800000" scaled="1"/>
                <a:tileRect/>
              </a:gradFill>
              <a:ln w="120650">
                <a:solidFill>
                  <a:schemeClr val="tx1"/>
                </a:solidFill>
              </a:ln>
              <a:effectLst/>
            </c:spPr>
            <c:extLst>
              <c:ext xmlns:c16="http://schemas.microsoft.com/office/drawing/2014/chart" uri="{C3380CC4-5D6E-409C-BE32-E72D297353CC}">
                <c16:uniqueId val="{00000069-1CFA-4B7E-B687-2C3CF397257E}"/>
              </c:ext>
            </c:extLst>
          </c:dPt>
          <c:dPt>
            <c:idx val="53"/>
            <c:bubble3D val="0"/>
            <c:spPr>
              <a:gradFill flip="none" rotWithShape="1">
                <a:gsLst>
                  <a:gs pos="20000">
                    <a:srgbClr val="C23FD8"/>
                  </a:gs>
                  <a:gs pos="70000">
                    <a:srgbClr val="9947F7"/>
                  </a:gs>
                </a:gsLst>
                <a:lin ang="10800000" scaled="1"/>
                <a:tileRect/>
              </a:gradFill>
              <a:ln w="120650">
                <a:solidFill>
                  <a:schemeClr val="tx1"/>
                </a:solidFill>
              </a:ln>
              <a:effectLst/>
            </c:spPr>
            <c:extLst>
              <c:ext xmlns:c16="http://schemas.microsoft.com/office/drawing/2014/chart" uri="{C3380CC4-5D6E-409C-BE32-E72D297353CC}">
                <c16:uniqueId val="{0000006B-1CFA-4B7E-B687-2C3CF397257E}"/>
              </c:ext>
            </c:extLst>
          </c:dPt>
          <c:dPt>
            <c:idx val="54"/>
            <c:bubble3D val="0"/>
            <c:spPr>
              <a:gradFill flip="none" rotWithShape="1">
                <a:gsLst>
                  <a:gs pos="20000">
                    <a:srgbClr val="C23FD8"/>
                  </a:gs>
                  <a:gs pos="70000">
                    <a:srgbClr val="9947F7"/>
                  </a:gs>
                </a:gsLst>
                <a:lin ang="10800000" scaled="1"/>
                <a:tileRect/>
              </a:gradFill>
              <a:ln w="120650">
                <a:solidFill>
                  <a:schemeClr val="tx1"/>
                </a:solidFill>
              </a:ln>
              <a:effectLst/>
            </c:spPr>
            <c:extLst>
              <c:ext xmlns:c16="http://schemas.microsoft.com/office/drawing/2014/chart" uri="{C3380CC4-5D6E-409C-BE32-E72D297353CC}">
                <c16:uniqueId val="{0000006D-1CFA-4B7E-B687-2C3CF397257E}"/>
              </c:ext>
            </c:extLst>
          </c:dPt>
          <c:dPt>
            <c:idx val="55"/>
            <c:bubble3D val="0"/>
            <c:spPr>
              <a:gradFill flip="none" rotWithShape="1">
                <a:gsLst>
                  <a:gs pos="20000">
                    <a:srgbClr val="C23FD8"/>
                  </a:gs>
                  <a:gs pos="70000">
                    <a:srgbClr val="9947F7"/>
                  </a:gs>
                </a:gsLst>
                <a:lin ang="10800000" scaled="1"/>
                <a:tileRect/>
              </a:gradFill>
              <a:ln w="120650">
                <a:solidFill>
                  <a:schemeClr val="tx1"/>
                </a:solidFill>
              </a:ln>
              <a:effectLst/>
            </c:spPr>
            <c:extLst>
              <c:ext xmlns:c16="http://schemas.microsoft.com/office/drawing/2014/chart" uri="{C3380CC4-5D6E-409C-BE32-E72D297353CC}">
                <c16:uniqueId val="{0000006F-1CFA-4B7E-B687-2C3CF397257E}"/>
              </c:ext>
            </c:extLst>
          </c:dPt>
          <c:dPt>
            <c:idx val="56"/>
            <c:bubble3D val="0"/>
            <c:spPr>
              <a:gradFill flip="none" rotWithShape="1">
                <a:gsLst>
                  <a:gs pos="20000">
                    <a:srgbClr val="C23FD8"/>
                  </a:gs>
                  <a:gs pos="70000">
                    <a:srgbClr val="9947F7"/>
                  </a:gs>
                </a:gsLst>
                <a:lin ang="10800000" scaled="1"/>
                <a:tileRect/>
              </a:gradFill>
              <a:ln w="120650">
                <a:solidFill>
                  <a:schemeClr val="tx1"/>
                </a:solidFill>
              </a:ln>
              <a:effectLst/>
            </c:spPr>
            <c:extLst>
              <c:ext xmlns:c16="http://schemas.microsoft.com/office/drawing/2014/chart" uri="{C3380CC4-5D6E-409C-BE32-E72D297353CC}">
                <c16:uniqueId val="{00000071-1CFA-4B7E-B687-2C3CF397257E}"/>
              </c:ext>
            </c:extLst>
          </c:dPt>
          <c:dPt>
            <c:idx val="57"/>
            <c:bubble3D val="0"/>
            <c:spPr>
              <a:gradFill flip="none" rotWithShape="1">
                <a:gsLst>
                  <a:gs pos="20000">
                    <a:srgbClr val="C23FD8"/>
                  </a:gs>
                  <a:gs pos="70000">
                    <a:srgbClr val="9947F7"/>
                  </a:gs>
                </a:gsLst>
                <a:lin ang="10800000" scaled="1"/>
                <a:tileRect/>
              </a:gradFill>
              <a:ln w="120650">
                <a:solidFill>
                  <a:schemeClr val="tx1"/>
                </a:solidFill>
              </a:ln>
              <a:effectLst/>
            </c:spPr>
            <c:extLst>
              <c:ext xmlns:c16="http://schemas.microsoft.com/office/drawing/2014/chart" uri="{C3380CC4-5D6E-409C-BE32-E72D297353CC}">
                <c16:uniqueId val="{00000073-1CFA-4B7E-B687-2C3CF397257E}"/>
              </c:ext>
            </c:extLst>
          </c:dPt>
          <c:val>
            <c:numLit>
              <c:formatCode>General</c:formatCode>
              <c:ptCount val="58"/>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1</c:v>
              </c:pt>
              <c:pt idx="52">
                <c:v>1</c:v>
              </c:pt>
              <c:pt idx="53">
                <c:v>1</c:v>
              </c:pt>
              <c:pt idx="54">
                <c:v>1</c:v>
              </c:pt>
              <c:pt idx="55">
                <c:v>1</c:v>
              </c:pt>
              <c:pt idx="56">
                <c:v>1</c:v>
              </c:pt>
              <c:pt idx="57">
                <c:v>1</c:v>
              </c:pt>
            </c:numLit>
          </c:val>
          <c:extLst>
            <c:ext xmlns:c16="http://schemas.microsoft.com/office/drawing/2014/chart" uri="{C3380CC4-5D6E-409C-BE32-E72D297353CC}">
              <c16:uniqueId val="{00000074-1CFA-4B7E-B687-2C3CF397257E}"/>
            </c:ext>
          </c:extLst>
        </c:ser>
        <c:dLbls>
          <c:showLegendKey val="0"/>
          <c:showVal val="0"/>
          <c:showCatName val="0"/>
          <c:showSerName val="0"/>
          <c:showPercent val="0"/>
          <c:showBubbleSize val="0"/>
          <c:showLeaderLines val="1"/>
        </c:dLbls>
        <c:firstSliceAng val="0"/>
        <c:holeSize val="74"/>
      </c:doughnutChart>
      <c:pieChart>
        <c:varyColors val="1"/>
        <c:ser>
          <c:idx val="1"/>
          <c:order val="1"/>
          <c:tx>
            <c:v>2nd</c:v>
          </c:tx>
          <c:dPt>
            <c:idx val="0"/>
            <c:bubble3D val="0"/>
            <c:spPr>
              <a:noFill/>
              <a:ln w="19050">
                <a:noFill/>
              </a:ln>
              <a:effectLst/>
            </c:spPr>
            <c:extLst>
              <c:ext xmlns:c16="http://schemas.microsoft.com/office/drawing/2014/chart" uri="{C3380CC4-5D6E-409C-BE32-E72D297353CC}">
                <c16:uniqueId val="{00000076-1CFA-4B7E-B687-2C3CF397257E}"/>
              </c:ext>
            </c:extLst>
          </c:dPt>
          <c:dPt>
            <c:idx val="1"/>
            <c:bubble3D val="0"/>
            <c:spPr>
              <a:solidFill>
                <a:schemeClr val="tx1">
                  <a:alpha val="71000"/>
                </a:schemeClr>
              </a:solidFill>
              <a:ln w="19050">
                <a:noFill/>
              </a:ln>
              <a:effectLst/>
            </c:spPr>
            <c:extLst>
              <c:ext xmlns:c16="http://schemas.microsoft.com/office/drawing/2014/chart" uri="{C3380CC4-5D6E-409C-BE32-E72D297353CC}">
                <c16:uniqueId val="{00000078-1CFA-4B7E-B687-2C3CF397257E}"/>
              </c:ext>
            </c:extLst>
          </c:dPt>
          <c:val>
            <c:numRef>
              <c:f>'Pivot Tables'!$DC$4:$DD$4</c:f>
              <c:numCache>
                <c:formatCode>0%</c:formatCode>
                <c:ptCount val="2"/>
                <c:pt idx="0">
                  <c:v>0.71910457155473795</c:v>
                </c:pt>
                <c:pt idx="1">
                  <c:v>0.28089542844526205</c:v>
                </c:pt>
              </c:numCache>
            </c:numRef>
          </c:val>
          <c:extLst>
            <c:ext xmlns:c16="http://schemas.microsoft.com/office/drawing/2014/chart" uri="{C3380CC4-5D6E-409C-BE32-E72D297353CC}">
              <c16:uniqueId val="{00000079-1CFA-4B7E-B687-2C3CF397257E}"/>
            </c:ext>
          </c:extLst>
        </c:ser>
        <c:dLbls>
          <c:showLegendKey val="0"/>
          <c:showVal val="0"/>
          <c:showCatName val="0"/>
          <c:showSerName val="0"/>
          <c:showPercent val="0"/>
          <c:showBubbleSize val="0"/>
          <c:showLeaderLines val="1"/>
        </c:dLbls>
        <c:firstSliceAng val="0"/>
      </c:pieChart>
      <c:scatterChart>
        <c:scatterStyle val="lineMarker"/>
        <c:varyColors val="0"/>
        <c:ser>
          <c:idx val="2"/>
          <c:order val="2"/>
          <c:tx>
            <c:v>3rd</c:v>
          </c:tx>
          <c:spPr>
            <a:ln w="25400" cap="rnd">
              <a:noFill/>
              <a:round/>
            </a:ln>
            <a:effectLst/>
          </c:spPr>
          <c:marker>
            <c:symbol val="circle"/>
            <c:size val="51"/>
            <c:spPr>
              <a:solidFill>
                <a:schemeClr val="tx1"/>
              </a:solidFill>
              <a:ln w="9525">
                <a:gradFill>
                  <a:gsLst>
                    <a:gs pos="28000">
                      <a:srgbClr val="5063F3"/>
                    </a:gs>
                    <a:gs pos="87000">
                      <a:schemeClr val="accent6"/>
                    </a:gs>
                  </a:gsLst>
                  <a:lin ang="5400000" scaled="1"/>
                </a:gradFill>
              </a:ln>
              <a:effectLst/>
            </c:spPr>
          </c:marker>
          <c:dPt>
            <c:idx val="0"/>
            <c:marker>
              <c:symbol val="circle"/>
              <c:size val="51"/>
              <c:spPr>
                <a:solidFill>
                  <a:schemeClr val="tx1"/>
                </a:solidFill>
                <a:ln w="9525">
                  <a:gradFill>
                    <a:gsLst>
                      <a:gs pos="21000">
                        <a:srgbClr val="5063F3"/>
                      </a:gs>
                      <a:gs pos="74000">
                        <a:schemeClr val="accent6"/>
                      </a:gs>
                    </a:gsLst>
                    <a:lin ang="5400000" scaled="1"/>
                  </a:gradFill>
                </a:ln>
                <a:effectLst/>
              </c:spPr>
            </c:marker>
            <c:bubble3D val="0"/>
            <c:extLst>
              <c:ext xmlns:c16="http://schemas.microsoft.com/office/drawing/2014/chart" uri="{C3380CC4-5D6E-409C-BE32-E72D297353CC}">
                <c16:uniqueId val="{0000007A-1CFA-4B7E-B687-2C3CF397257E}"/>
              </c:ext>
            </c:extLst>
          </c:dPt>
          <c:dPt>
            <c:idx val="1"/>
            <c:marker>
              <c:symbol val="circle"/>
              <c:size val="51"/>
              <c:spPr>
                <a:solidFill>
                  <a:schemeClr val="tx1"/>
                </a:solidFill>
                <a:ln w="9525">
                  <a:gradFill>
                    <a:gsLst>
                      <a:gs pos="0">
                        <a:srgbClr val="FFFF00"/>
                      </a:gs>
                      <a:gs pos="54000">
                        <a:schemeClr val="accent4"/>
                      </a:gs>
                    </a:gsLst>
                    <a:lin ang="5400000" scaled="1"/>
                  </a:gradFill>
                </a:ln>
                <a:effectLst/>
              </c:spPr>
            </c:marker>
            <c:bubble3D val="0"/>
            <c:extLst>
              <c:ext xmlns:c16="http://schemas.microsoft.com/office/drawing/2014/chart" uri="{C3380CC4-5D6E-409C-BE32-E72D297353CC}">
                <c16:uniqueId val="{0000007B-1CFA-4B7E-B687-2C3CF397257E}"/>
              </c:ext>
            </c:extLst>
          </c:dPt>
          <c:dLbls>
            <c:dLbl>
              <c:idx val="0"/>
              <c:tx>
                <c:rich>
                  <a:bodyPr/>
                  <a:lstStyle/>
                  <a:p>
                    <a:fld id="{C1ED3BD8-0AC3-48E6-8A73-C87D225FDF0E}" type="CELLRANGE">
                      <a:rPr lang="en-US"/>
                      <a:pPr/>
                      <a:t>[CELLRANGE]</a:t>
                    </a:fld>
                    <a:endParaRPr lang="en-IN"/>
                  </a:p>
                </c:rich>
              </c:tx>
              <c:dLblPos val="ct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7A-1CFA-4B7E-B687-2C3CF397257E}"/>
                </c:ext>
              </c:extLst>
            </c:dLbl>
            <c:dLbl>
              <c:idx val="1"/>
              <c:tx>
                <c:rich>
                  <a:bodyPr/>
                  <a:lstStyle/>
                  <a:p>
                    <a:fld id="{7FE16D68-A0A8-4C43-895B-AC27D06E0ABE}" type="CELLRANGE">
                      <a:rPr lang="en-IN"/>
                      <a:pPr/>
                      <a:t>[CELLRANGE]</a:t>
                    </a:fld>
                    <a:endParaRPr lang="en-IN"/>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B-1CFA-4B7E-B687-2C3CF397257E}"/>
                </c:ext>
              </c:extLst>
            </c:dLbl>
            <c:spPr>
              <a:noFill/>
              <a:ln>
                <a:noFill/>
              </a:ln>
              <a:effectLst/>
            </c:spPr>
            <c:txPr>
              <a:bodyPr rot="0" spcFirstLastPara="1" vertOverflow="ellipsis" vert="horz" wrap="square" lIns="38100" tIns="19050" rIns="38100" bIns="19050" anchor="ctr" anchorCtr="0">
                <a:spAutoFit/>
              </a:bodyPr>
              <a:lstStyle/>
              <a:p>
                <a:pPr algn="ctr">
                  <a:defRPr sz="1800" b="0" i="0" u="none" strike="noStrike" kern="1200" baseline="0">
                    <a:solidFill>
                      <a:schemeClr val="bg1"/>
                    </a:solidFill>
                    <a:latin typeface="Avenir Book" panose="020B0503020203020204" pitchFamily="34" charset="-78"/>
                    <a:ea typeface="Calibri" panose="020F0502020204030204" pitchFamily="34" charset="0"/>
                    <a:cs typeface="Avenir Book" panose="020B0503020203020204" pitchFamily="34" charset="-78"/>
                  </a:defRPr>
                </a:pPr>
                <a:endParaRPr lang="en-US"/>
              </a:p>
            </c:txPr>
            <c:dLblPos val="ct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xVal>
            <c:numRef>
              <c:f>'Pivot Tables'!$DC$9:$DC$10</c:f>
              <c:numCache>
                <c:formatCode>General</c:formatCode>
                <c:ptCount val="2"/>
                <c:pt idx="0">
                  <c:v>0</c:v>
                </c:pt>
                <c:pt idx="1">
                  <c:v>-0.98121747588135366</c:v>
                </c:pt>
              </c:numCache>
            </c:numRef>
          </c:xVal>
          <c:yVal>
            <c:numRef>
              <c:f>'Pivot Tables'!$DD$9:$DD$10</c:f>
              <c:numCache>
                <c:formatCode>General</c:formatCode>
                <c:ptCount val="2"/>
                <c:pt idx="0">
                  <c:v>1</c:v>
                </c:pt>
                <c:pt idx="1">
                  <c:v>-0.19290480819571401</c:v>
                </c:pt>
              </c:numCache>
            </c:numRef>
          </c:yVal>
          <c:smooth val="0"/>
          <c:extLst>
            <c:ext xmlns:c15="http://schemas.microsoft.com/office/drawing/2012/chart" uri="{02D57815-91ED-43cb-92C2-25804820EDAC}">
              <c15:datalabelsRange>
                <c15:f>'Pivot Tables'!$DF$4:$DF$5</c15:f>
                <c15:dlblRangeCache>
                  <c:ptCount val="2"/>
                  <c:pt idx="0">
                    <c:v>28%</c:v>
                  </c:pt>
                  <c:pt idx="1">
                    <c:v>72%</c:v>
                  </c:pt>
                </c15:dlblRangeCache>
              </c15:datalabelsRange>
            </c:ext>
            <c:ext xmlns:c16="http://schemas.microsoft.com/office/drawing/2014/chart" uri="{C3380CC4-5D6E-409C-BE32-E72D297353CC}">
              <c16:uniqueId val="{0000007C-1CFA-4B7E-B687-2C3CF397257E}"/>
            </c:ext>
          </c:extLst>
        </c:ser>
        <c:dLbls>
          <c:showLegendKey val="0"/>
          <c:showVal val="0"/>
          <c:showCatName val="0"/>
          <c:showSerName val="0"/>
          <c:showPercent val="0"/>
          <c:showBubbleSize val="0"/>
        </c:dLbls>
        <c:axId val="1457851920"/>
        <c:axId val="1457843280"/>
      </c:scatterChart>
      <c:valAx>
        <c:axId val="1457843280"/>
        <c:scaling>
          <c:orientation val="minMax"/>
          <c:max val="1.1500000000000001"/>
          <c:min val="-1.1500000000000001"/>
        </c:scaling>
        <c:delete val="1"/>
        <c:axPos val="l"/>
        <c:numFmt formatCode="General" sourceLinked="1"/>
        <c:majorTickMark val="out"/>
        <c:minorTickMark val="none"/>
        <c:tickLblPos val="nextTo"/>
        <c:crossAx val="1457851920"/>
        <c:crosses val="autoZero"/>
        <c:crossBetween val="midCat"/>
      </c:valAx>
      <c:valAx>
        <c:axId val="1457851920"/>
        <c:scaling>
          <c:orientation val="minMax"/>
          <c:max val="1.1500000000000001"/>
          <c:min val="-1.1500000000000001"/>
        </c:scaling>
        <c:delete val="1"/>
        <c:axPos val="b"/>
        <c:numFmt formatCode="General" sourceLinked="1"/>
        <c:majorTickMark val="out"/>
        <c:minorTickMark val="none"/>
        <c:tickLblPos val="nextTo"/>
        <c:crossAx val="1457843280"/>
        <c:crosses val="autoZero"/>
        <c:crossBetween val="midCat"/>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crazy.xlsx]Pivot Tables!PivotTable14</c:name>
    <c:fmtId val="1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rgbClr val="9947F7">
                  <a:alpha val="60000"/>
                </a:srgbClr>
              </a:gs>
              <a:gs pos="100000">
                <a:srgbClr val="00F1DF"/>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Avenir Book" panose="020B0503020203020204" pitchFamily="34" charset="-78"/>
                  <a:ea typeface="+mn-ea"/>
                  <a:cs typeface="Avenir Book" panose="020B0503020203020204" pitchFamily="34" charset="-78"/>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Tables'!$FD$4</c:f>
              <c:strCache>
                <c:ptCount val="1"/>
                <c:pt idx="0">
                  <c:v>Total</c:v>
                </c:pt>
              </c:strCache>
            </c:strRef>
          </c:tx>
          <c:spPr>
            <a:gradFill flip="none" rotWithShape="1">
              <a:gsLst>
                <a:gs pos="0">
                  <a:srgbClr val="9947F7">
                    <a:alpha val="60000"/>
                  </a:srgbClr>
                </a:gs>
                <a:gs pos="100000">
                  <a:srgbClr val="00F1DF"/>
                </a:gs>
              </a:gsLst>
              <a:lin ang="10800000" scaled="1"/>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Avenir Book" panose="020B0503020203020204" pitchFamily="34" charset="-78"/>
                    <a:ea typeface="+mn-ea"/>
                    <a:cs typeface="Avenir Book" panose="020B0503020203020204" pitchFamily="34" charset="-78"/>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Tables'!$FC$5:$FC$8</c:f>
              <c:strCache>
                <c:ptCount val="3"/>
                <c:pt idx="0">
                  <c:v>Branch </c:v>
                </c:pt>
                <c:pt idx="1">
                  <c:v>Download</c:v>
                </c:pt>
                <c:pt idx="2">
                  <c:v>Shipment</c:v>
                </c:pt>
              </c:strCache>
            </c:strRef>
          </c:cat>
          <c:val>
            <c:numRef>
              <c:f>'Pivot Tables'!$FD$5:$FD$8</c:f>
              <c:numCache>
                <c:formatCode>_ * #,##0_ ;_ * \-#,##0_ ;_ * "-"??_ ;_ @_ </c:formatCode>
                <c:ptCount val="3"/>
                <c:pt idx="0">
                  <c:v>128</c:v>
                </c:pt>
                <c:pt idx="1">
                  <c:v>128</c:v>
                </c:pt>
                <c:pt idx="2">
                  <c:v>128</c:v>
                </c:pt>
              </c:numCache>
            </c:numRef>
          </c:val>
          <c:extLst>
            <c:ext xmlns:c16="http://schemas.microsoft.com/office/drawing/2014/chart" uri="{C3380CC4-5D6E-409C-BE32-E72D297353CC}">
              <c16:uniqueId val="{00000000-6D51-450E-B68B-1D76C47C3336}"/>
            </c:ext>
          </c:extLst>
        </c:ser>
        <c:dLbls>
          <c:dLblPos val="outEnd"/>
          <c:showLegendKey val="0"/>
          <c:showVal val="1"/>
          <c:showCatName val="0"/>
          <c:showSerName val="0"/>
          <c:showPercent val="0"/>
          <c:showBubbleSize val="0"/>
        </c:dLbls>
        <c:gapWidth val="400"/>
        <c:overlap val="-30"/>
        <c:axId val="447469615"/>
        <c:axId val="188084847"/>
      </c:barChart>
      <c:catAx>
        <c:axId val="447469615"/>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000" b="0" i="0" u="none" strike="noStrike" kern="1200" baseline="0">
                <a:solidFill>
                  <a:schemeClr val="bg1"/>
                </a:solidFill>
                <a:latin typeface="Avenir Book" panose="020B0503020203020204" pitchFamily="34" charset="-78"/>
                <a:ea typeface="+mn-ea"/>
                <a:cs typeface="Avenir Book" panose="020B0503020203020204" pitchFamily="34" charset="-78"/>
              </a:defRPr>
            </a:pPr>
            <a:endParaRPr lang="en-US"/>
          </a:p>
        </c:txPr>
        <c:crossAx val="188084847"/>
        <c:crosses val="autoZero"/>
        <c:auto val="1"/>
        <c:lblAlgn val="ctr"/>
        <c:lblOffset val="100"/>
        <c:noMultiLvlLbl val="0"/>
      </c:catAx>
      <c:valAx>
        <c:axId val="188084847"/>
        <c:scaling>
          <c:orientation val="minMax"/>
        </c:scaling>
        <c:delete val="1"/>
        <c:axPos val="b"/>
        <c:numFmt formatCode="_ * #,##0_ ;_ * \-#,##0_ ;_ * &quot;-&quot;??_ ;_ @_ " sourceLinked="1"/>
        <c:majorTickMark val="none"/>
        <c:minorTickMark val="none"/>
        <c:tickLblPos val="nextTo"/>
        <c:crossAx val="4474696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crazy.xlsx]Pivot Tables!PivotTable16</c:name>
    <c:fmtId val="19"/>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bg1"/>
          </a:solidFill>
          <a:ln w="19050">
            <a:noFill/>
          </a:ln>
          <a:effectLst/>
        </c:spPr>
      </c:pivotFmt>
      <c:pivotFmt>
        <c:idx val="6"/>
        <c:spPr>
          <a:noFill/>
          <a:ln w="19050">
            <a:noFill/>
          </a:ln>
          <a:effectLst/>
        </c:spPr>
      </c:pivotFmt>
    </c:pivotFmts>
    <c:plotArea>
      <c:layout/>
      <c:pieChart>
        <c:varyColors val="1"/>
        <c:ser>
          <c:idx val="0"/>
          <c:order val="0"/>
          <c:tx>
            <c:strRef>
              <c:f>'Pivot Tables'!$FH$4</c:f>
              <c:strCache>
                <c:ptCount val="1"/>
                <c:pt idx="0">
                  <c:v>Total</c:v>
                </c:pt>
              </c:strCache>
            </c:strRef>
          </c:tx>
          <c:dPt>
            <c:idx val="0"/>
            <c:bubble3D val="0"/>
            <c:spPr>
              <a:solidFill>
                <a:schemeClr val="bg1"/>
              </a:solidFill>
              <a:ln w="19050">
                <a:noFill/>
              </a:ln>
              <a:effectLst/>
            </c:spPr>
            <c:extLst>
              <c:ext xmlns:c16="http://schemas.microsoft.com/office/drawing/2014/chart" uri="{C3380CC4-5D6E-409C-BE32-E72D297353CC}">
                <c16:uniqueId val="{00000001-AF91-417E-812D-095ED0933999}"/>
              </c:ext>
            </c:extLst>
          </c:dPt>
          <c:dPt>
            <c:idx val="1"/>
            <c:bubble3D val="0"/>
            <c:spPr>
              <a:noFill/>
              <a:ln w="19050">
                <a:noFill/>
              </a:ln>
              <a:effectLst/>
            </c:spPr>
            <c:extLst>
              <c:ext xmlns:c16="http://schemas.microsoft.com/office/drawing/2014/chart" uri="{C3380CC4-5D6E-409C-BE32-E72D297353CC}">
                <c16:uniqueId val="{00000003-AF91-417E-812D-095ED0933999}"/>
              </c:ext>
            </c:extLst>
          </c:dPt>
          <c:cat>
            <c:strRef>
              <c:f>'Pivot Tables'!$FG$5:$FG$7</c:f>
              <c:strCache>
                <c:ptCount val="2"/>
                <c:pt idx="0">
                  <c:v>Paid</c:v>
                </c:pt>
                <c:pt idx="1">
                  <c:v>Refunded</c:v>
                </c:pt>
              </c:strCache>
            </c:strRef>
          </c:cat>
          <c:val>
            <c:numRef>
              <c:f>'Pivot Tables'!$FH$5:$FH$7</c:f>
              <c:numCache>
                <c:formatCode>0%</c:formatCode>
                <c:ptCount val="2"/>
                <c:pt idx="0">
                  <c:v>0.66666666666666663</c:v>
                </c:pt>
                <c:pt idx="1">
                  <c:v>0.33333333333333331</c:v>
                </c:pt>
              </c:numCache>
            </c:numRef>
          </c:val>
          <c:extLst>
            <c:ext xmlns:c16="http://schemas.microsoft.com/office/drawing/2014/chart" uri="{C3380CC4-5D6E-409C-BE32-E72D297353CC}">
              <c16:uniqueId val="{00000004-AF91-417E-812D-095ED0933999}"/>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8" Type="http://schemas.openxmlformats.org/officeDocument/2006/relationships/image" Target="../media/image3.svg"/><Relationship Id="rId3" Type="http://schemas.openxmlformats.org/officeDocument/2006/relationships/hyperlink" Target="https://www.linkedin.com/in/shivamrastogi-in/" TargetMode="External"/><Relationship Id="rId7" Type="http://schemas.openxmlformats.org/officeDocument/2006/relationships/image" Target="../media/image2.png"/><Relationship Id="rId12" Type="http://schemas.openxmlformats.org/officeDocument/2006/relationships/chart" Target="../charts/chart5.xml"/><Relationship Id="rId2" Type="http://schemas.openxmlformats.org/officeDocument/2006/relationships/image" Target="../media/image1.png"/><Relationship Id="rId1" Type="http://schemas.openxmlformats.org/officeDocument/2006/relationships/chart" Target="../charts/chart1.xml"/><Relationship Id="rId6" Type="http://schemas.openxmlformats.org/officeDocument/2006/relationships/hyperlink" Target="#Geographically!A1"/><Relationship Id="rId11" Type="http://schemas.openxmlformats.org/officeDocument/2006/relationships/chart" Target="../charts/chart4.xml"/><Relationship Id="rId5" Type="http://schemas.openxmlformats.org/officeDocument/2006/relationships/hyperlink" Target="#'Income Sources'!A1"/><Relationship Id="rId10" Type="http://schemas.openxmlformats.org/officeDocument/2006/relationships/chart" Target="../charts/chart3.xml"/><Relationship Id="rId4" Type="http://schemas.openxmlformats.org/officeDocument/2006/relationships/hyperlink" Target="#'Sales Process'!A1"/><Relationship Id="rId9" Type="http://schemas.openxmlformats.org/officeDocument/2006/relationships/chart" Target="../charts/chart2.xml"/></Relationships>
</file>

<file path=xl/drawings/_rels/drawing3.xml.rels><?xml version="1.0" encoding="UTF-8" standalone="yes"?>
<Relationships xmlns="http://schemas.openxmlformats.org/package/2006/relationships"><Relationship Id="rId2" Type="http://schemas.openxmlformats.org/officeDocument/2006/relationships/image" Target="../media/image5.svg"/><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hyperlink" Target="#Geographically!A1"/><Relationship Id="rId3" Type="http://schemas.openxmlformats.org/officeDocument/2006/relationships/image" Target="../media/image7.svg"/><Relationship Id="rId7" Type="http://schemas.openxmlformats.org/officeDocument/2006/relationships/chart" Target="../charts/chart7.xml"/><Relationship Id="rId12" Type="http://schemas.openxmlformats.org/officeDocument/2006/relationships/hyperlink" Target="#'Income Sources'!A1"/><Relationship Id="rId2" Type="http://schemas.openxmlformats.org/officeDocument/2006/relationships/image" Target="../media/image6.png"/><Relationship Id="rId1" Type="http://schemas.openxmlformats.org/officeDocument/2006/relationships/chart" Target="../charts/chart6.xml"/><Relationship Id="rId6" Type="http://schemas.openxmlformats.org/officeDocument/2006/relationships/image" Target="../media/image10.svg"/><Relationship Id="rId11" Type="http://schemas.openxmlformats.org/officeDocument/2006/relationships/hyperlink" Target="#'Sales Process'!A1"/><Relationship Id="rId5" Type="http://schemas.openxmlformats.org/officeDocument/2006/relationships/image" Target="../media/image9.svg"/><Relationship Id="rId15" Type="http://schemas.openxmlformats.org/officeDocument/2006/relationships/image" Target="../media/image3.svg"/><Relationship Id="rId10" Type="http://schemas.openxmlformats.org/officeDocument/2006/relationships/hyperlink" Target="https://www.linkedin.com/in/shivamrastogi-in/" TargetMode="External"/><Relationship Id="rId4" Type="http://schemas.openxmlformats.org/officeDocument/2006/relationships/image" Target="../media/image8.svg"/><Relationship Id="rId9" Type="http://schemas.openxmlformats.org/officeDocument/2006/relationships/image" Target="../media/image1.png"/><Relationship Id="rId14" Type="http://schemas.openxmlformats.org/officeDocument/2006/relationships/image" Target="../media/image2.png"/></Relationships>
</file>

<file path=xl/drawings/_rels/drawing5.xml.rels><?xml version="1.0" encoding="UTF-8" standalone="yes"?>
<Relationships xmlns="http://schemas.openxmlformats.org/package/2006/relationships"><Relationship Id="rId13" Type="http://schemas.openxmlformats.org/officeDocument/2006/relationships/image" Target="../media/image15.png"/><Relationship Id="rId18" Type="http://schemas.openxmlformats.org/officeDocument/2006/relationships/image" Target="../media/image20.svg"/><Relationship Id="rId26" Type="http://schemas.openxmlformats.org/officeDocument/2006/relationships/image" Target="../media/image28.svg"/><Relationship Id="rId3" Type="http://schemas.openxmlformats.org/officeDocument/2006/relationships/hyperlink" Target="#'Sales Process'!A1"/><Relationship Id="rId21" Type="http://schemas.openxmlformats.org/officeDocument/2006/relationships/image" Target="../media/image23.png"/><Relationship Id="rId34" Type="http://schemas.openxmlformats.org/officeDocument/2006/relationships/image" Target="../media/image36.svg"/><Relationship Id="rId7" Type="http://schemas.openxmlformats.org/officeDocument/2006/relationships/image" Target="../media/image3.svg"/><Relationship Id="rId12" Type="http://schemas.openxmlformats.org/officeDocument/2006/relationships/image" Target="../media/image14.svg"/><Relationship Id="rId17" Type="http://schemas.openxmlformats.org/officeDocument/2006/relationships/image" Target="../media/image19.png"/><Relationship Id="rId25" Type="http://schemas.openxmlformats.org/officeDocument/2006/relationships/image" Target="../media/image27.png"/><Relationship Id="rId33" Type="http://schemas.openxmlformats.org/officeDocument/2006/relationships/image" Target="../media/image35.png"/><Relationship Id="rId2" Type="http://schemas.openxmlformats.org/officeDocument/2006/relationships/hyperlink" Target="https://www.linkedin.com/in/shivamrastogi-in/" TargetMode="External"/><Relationship Id="rId16" Type="http://schemas.openxmlformats.org/officeDocument/2006/relationships/image" Target="../media/image18.svg"/><Relationship Id="rId20" Type="http://schemas.openxmlformats.org/officeDocument/2006/relationships/image" Target="../media/image22.svg"/><Relationship Id="rId29" Type="http://schemas.openxmlformats.org/officeDocument/2006/relationships/image" Target="../media/image31.png"/><Relationship Id="rId1" Type="http://schemas.openxmlformats.org/officeDocument/2006/relationships/image" Target="../media/image1.png"/><Relationship Id="rId6" Type="http://schemas.openxmlformats.org/officeDocument/2006/relationships/image" Target="../media/image2.png"/><Relationship Id="rId11" Type="http://schemas.openxmlformats.org/officeDocument/2006/relationships/image" Target="../media/image13.png"/><Relationship Id="rId24" Type="http://schemas.openxmlformats.org/officeDocument/2006/relationships/image" Target="../media/image26.svg"/><Relationship Id="rId32" Type="http://schemas.openxmlformats.org/officeDocument/2006/relationships/image" Target="../media/image34.svg"/><Relationship Id="rId5" Type="http://schemas.openxmlformats.org/officeDocument/2006/relationships/hyperlink" Target="#Geographically!A1"/><Relationship Id="rId15" Type="http://schemas.openxmlformats.org/officeDocument/2006/relationships/image" Target="../media/image17.png"/><Relationship Id="rId23" Type="http://schemas.openxmlformats.org/officeDocument/2006/relationships/image" Target="../media/image25.png"/><Relationship Id="rId28" Type="http://schemas.openxmlformats.org/officeDocument/2006/relationships/image" Target="../media/image30.svg"/><Relationship Id="rId36" Type="http://schemas.openxmlformats.org/officeDocument/2006/relationships/chart" Target="../charts/chart11.xml"/><Relationship Id="rId10" Type="http://schemas.openxmlformats.org/officeDocument/2006/relationships/image" Target="../media/image12.svg"/><Relationship Id="rId19" Type="http://schemas.openxmlformats.org/officeDocument/2006/relationships/image" Target="../media/image21.png"/><Relationship Id="rId31" Type="http://schemas.openxmlformats.org/officeDocument/2006/relationships/image" Target="../media/image33.png"/><Relationship Id="rId4" Type="http://schemas.openxmlformats.org/officeDocument/2006/relationships/hyperlink" Target="#'Income Sources'!A1"/><Relationship Id="rId9" Type="http://schemas.openxmlformats.org/officeDocument/2006/relationships/image" Target="../media/image11.png"/><Relationship Id="rId14" Type="http://schemas.openxmlformats.org/officeDocument/2006/relationships/image" Target="../media/image16.svg"/><Relationship Id="rId22" Type="http://schemas.openxmlformats.org/officeDocument/2006/relationships/image" Target="../media/image24.svg"/><Relationship Id="rId27" Type="http://schemas.openxmlformats.org/officeDocument/2006/relationships/image" Target="../media/image29.png"/><Relationship Id="rId30" Type="http://schemas.openxmlformats.org/officeDocument/2006/relationships/image" Target="../media/image32.svg"/><Relationship Id="rId35" Type="http://schemas.openxmlformats.org/officeDocument/2006/relationships/chart" Target="../charts/chart10.xml"/><Relationship Id="rId8" Type="http://schemas.openxmlformats.org/officeDocument/2006/relationships/chart" Target="../charts/chart9.xml"/></Relationships>
</file>

<file path=xl/drawings/_rels/drawing6.xml.rels><?xml version="1.0" encoding="UTF-8" standalone="yes"?>
<Relationships xmlns="http://schemas.openxmlformats.org/package/2006/relationships"><Relationship Id="rId8" Type="http://schemas.openxmlformats.org/officeDocument/2006/relationships/image" Target="../media/image3.svg"/><Relationship Id="rId3" Type="http://schemas.openxmlformats.org/officeDocument/2006/relationships/hyperlink" Target="#'Sales Process'!A1"/><Relationship Id="rId7" Type="http://schemas.openxmlformats.org/officeDocument/2006/relationships/image" Target="../media/image2.png"/><Relationship Id="rId2" Type="http://schemas.openxmlformats.org/officeDocument/2006/relationships/hyperlink" Target="https://www.linkedin.com/in/shivamrastogi-in/" TargetMode="External"/><Relationship Id="rId1" Type="http://schemas.openxmlformats.org/officeDocument/2006/relationships/image" Target="../media/image1.png"/><Relationship Id="rId6" Type="http://schemas.openxmlformats.org/officeDocument/2006/relationships/hyperlink" Target="#Geographically!A1"/><Relationship Id="rId5" Type="http://schemas.openxmlformats.org/officeDocument/2006/relationships/hyperlink" Target="#'Income Sources'!A1"/><Relationship Id="rId4" Type="http://schemas.openxmlformats.org/officeDocument/2006/relationships/hyperlink" Target="#'Projects Status'!A1"/></Relationships>
</file>

<file path=xl/drawings/drawing1.xml><?xml version="1.0" encoding="utf-8"?>
<xdr:wsDr xmlns:xdr="http://schemas.openxmlformats.org/drawingml/2006/spreadsheetDrawing" xmlns:a="http://schemas.openxmlformats.org/drawingml/2006/main">
  <xdr:twoCellAnchor editAs="oneCell">
    <xdr:from>
      <xdr:col>143</xdr:col>
      <xdr:colOff>155510</xdr:colOff>
      <xdr:row>4</xdr:row>
      <xdr:rowOff>116633</xdr:rowOff>
    </xdr:from>
    <xdr:to>
      <xdr:col>149</xdr:col>
      <xdr:colOff>457428</xdr:colOff>
      <xdr:row>6</xdr:row>
      <xdr:rowOff>136630</xdr:rowOff>
    </xdr:to>
    <mc:AlternateContent xmlns:mc="http://schemas.openxmlformats.org/markup-compatibility/2006" xmlns:a14="http://schemas.microsoft.com/office/drawing/2010/main">
      <mc:Choice Requires="a14">
        <xdr:graphicFrame macro="">
          <xdr:nvGraphicFramePr>
            <xdr:cNvPr id="2" name="Year 2">
              <a:extLst>
                <a:ext uri="{FF2B5EF4-FFF2-40B4-BE49-F238E27FC236}">
                  <a16:creationId xmlns:a16="http://schemas.microsoft.com/office/drawing/2014/main" id="{70804A6C-78BA-423A-BA21-4BA35A272A37}"/>
                </a:ext>
              </a:extLst>
            </xdr:cNvPr>
            <xdr:cNvGraphicFramePr/>
          </xdr:nvGraphicFramePr>
          <xdr:xfrm>
            <a:off x="0" y="0"/>
            <a:ext cx="0" cy="0"/>
          </xdr:xfrm>
          <a:graphic>
            <a:graphicData uri="http://schemas.microsoft.com/office/drawing/2010/slicer">
              <sle:slicer xmlns:sle="http://schemas.microsoft.com/office/drawing/2010/slicer" name="Year 2"/>
            </a:graphicData>
          </a:graphic>
        </xdr:graphicFrame>
      </mc:Choice>
      <mc:Fallback xmlns="">
        <xdr:sp macro="" textlink="">
          <xdr:nvSpPr>
            <xdr:cNvPr id="0" name=""/>
            <xdr:cNvSpPr>
              <a:spLocks noTextEdit="1"/>
            </xdr:cNvSpPr>
          </xdr:nvSpPr>
          <xdr:spPr>
            <a:xfrm>
              <a:off x="117055275" y="979486"/>
              <a:ext cx="3932625" cy="5578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absolute">
    <xdr:from>
      <xdr:col>16</xdr:col>
      <xdr:colOff>396063</xdr:colOff>
      <xdr:row>10</xdr:row>
      <xdr:rowOff>27209</xdr:rowOff>
    </xdr:from>
    <xdr:to>
      <xdr:col>20</xdr:col>
      <xdr:colOff>156892</xdr:colOff>
      <xdr:row>15</xdr:row>
      <xdr:rowOff>143821</xdr:rowOff>
    </xdr:to>
    <xdr:grpSp>
      <xdr:nvGrpSpPr>
        <xdr:cNvPr id="1071" name="Group 1070">
          <a:extLst>
            <a:ext uri="{FF2B5EF4-FFF2-40B4-BE49-F238E27FC236}">
              <a16:creationId xmlns:a16="http://schemas.microsoft.com/office/drawing/2014/main" id="{98F7E29A-FF3A-EF45-5ECC-6D4CDADEC1FB}"/>
            </a:ext>
          </a:extLst>
        </xdr:cNvPr>
        <xdr:cNvGrpSpPr/>
      </xdr:nvGrpSpPr>
      <xdr:grpSpPr>
        <a:xfrm>
          <a:off x="10149663" y="1932209"/>
          <a:ext cx="2199229" cy="1069112"/>
          <a:chOff x="9865179" y="1455964"/>
          <a:chExt cx="2185578" cy="1069112"/>
        </a:xfrm>
      </xdr:grpSpPr>
      <xdr:cxnSp macro="">
        <xdr:nvCxnSpPr>
          <xdr:cNvPr id="54" name="Straight Connector 53">
            <a:extLst>
              <a:ext uri="{FF2B5EF4-FFF2-40B4-BE49-F238E27FC236}">
                <a16:creationId xmlns:a16="http://schemas.microsoft.com/office/drawing/2014/main" id="{02112E83-DEAB-D180-2005-372BB2B7EEDC}"/>
              </a:ext>
            </a:extLst>
          </xdr:cNvPr>
          <xdr:cNvCxnSpPr>
            <a:endCxn id="1052" idx="2"/>
          </xdr:cNvCxnSpPr>
        </xdr:nvCxnSpPr>
        <xdr:spPr>
          <a:xfrm>
            <a:off x="9865179" y="1455964"/>
            <a:ext cx="1342796" cy="826796"/>
          </a:xfrm>
          <a:prstGeom prst="line">
            <a:avLst/>
          </a:prstGeom>
          <a:ln w="15875">
            <a:gradFill flip="none" rotWithShape="1">
              <a:gsLst>
                <a:gs pos="65000">
                  <a:srgbClr val="0A0D80"/>
                </a:gs>
                <a:gs pos="21000">
                  <a:srgbClr val="9BF8F2"/>
                </a:gs>
              </a:gsLst>
              <a:lin ang="10800000" scaled="1"/>
              <a:tileRect/>
            </a:gradFill>
          </a:ln>
        </xdr:spPr>
        <xdr:style>
          <a:lnRef idx="1">
            <a:schemeClr val="accent1"/>
          </a:lnRef>
          <a:fillRef idx="0">
            <a:schemeClr val="accent1"/>
          </a:fillRef>
          <a:effectRef idx="0">
            <a:schemeClr val="accent1"/>
          </a:effectRef>
          <a:fontRef idx="minor">
            <a:schemeClr val="tx1"/>
          </a:fontRef>
        </xdr:style>
      </xdr:cxnSp>
      <xdr:sp macro="" textlink="">
        <xdr:nvSpPr>
          <xdr:cNvPr id="1052" name="Circle: Hollow 1051">
            <a:extLst>
              <a:ext uri="{FF2B5EF4-FFF2-40B4-BE49-F238E27FC236}">
                <a16:creationId xmlns:a16="http://schemas.microsoft.com/office/drawing/2014/main" id="{6B9F0809-C897-F800-6D9E-18D2B04D80BB}"/>
              </a:ext>
            </a:extLst>
          </xdr:cNvPr>
          <xdr:cNvSpPr/>
        </xdr:nvSpPr>
        <xdr:spPr>
          <a:xfrm>
            <a:off x="11207975" y="2040444"/>
            <a:ext cx="487353" cy="484632"/>
          </a:xfrm>
          <a:prstGeom prst="donut">
            <a:avLst>
              <a:gd name="adj" fmla="val 12103"/>
            </a:avLst>
          </a:prstGeom>
          <a:solidFill>
            <a:srgbClr val="9BF8F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sp macro="" textlink="'Pivot Tables'!AZ22">
        <xdr:nvSpPr>
          <xdr:cNvPr id="1070" name="TextBox 1069">
            <a:extLst>
              <a:ext uri="{FF2B5EF4-FFF2-40B4-BE49-F238E27FC236}">
                <a16:creationId xmlns:a16="http://schemas.microsoft.com/office/drawing/2014/main" id="{0B941A7D-7733-4D75-ACE8-5BD1FC07DA72}"/>
              </a:ext>
            </a:extLst>
          </xdr:cNvPr>
          <xdr:cNvSpPr txBox="1"/>
        </xdr:nvSpPr>
        <xdr:spPr>
          <a:xfrm>
            <a:off x="10885648" y="2185343"/>
            <a:ext cx="1165109" cy="2279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0152C2C-1D6A-4A79-A129-35712ADDA9EB}" type="TxLink">
              <a:rPr lang="en-US" sz="1100" b="0" i="0" u="none" strike="noStrike">
                <a:solidFill>
                  <a:schemeClr val="bg1"/>
                </a:solidFill>
                <a:latin typeface="Avenir Medium" panose="020B0603020203020204" pitchFamily="34" charset="-78"/>
                <a:cs typeface="Avenir Medium" panose="020B0603020203020204" pitchFamily="34" charset="-78"/>
              </a:rPr>
              <a:pPr algn="ctr"/>
              <a:t>27%</a:t>
            </a:fld>
            <a:endParaRPr lang="en-IN" sz="600">
              <a:solidFill>
                <a:schemeClr val="bg1"/>
              </a:solidFill>
              <a:latin typeface="Avenir Medium" panose="020B0603020203020204" pitchFamily="34" charset="-78"/>
              <a:cs typeface="Avenir Medium" panose="020B0603020203020204" pitchFamily="34" charset="-78"/>
            </a:endParaRPr>
          </a:p>
        </xdr:txBody>
      </xdr:sp>
    </xdr:grpSp>
    <xdr:clientData/>
  </xdr:twoCellAnchor>
  <xdr:twoCellAnchor editAs="absolute">
    <xdr:from>
      <xdr:col>19</xdr:col>
      <xdr:colOff>10095</xdr:colOff>
      <xdr:row>33</xdr:row>
      <xdr:rowOff>138051</xdr:rowOff>
    </xdr:from>
    <xdr:to>
      <xdr:col>22</xdr:col>
      <xdr:colOff>304119</xdr:colOff>
      <xdr:row>36</xdr:row>
      <xdr:rowOff>175520</xdr:rowOff>
    </xdr:to>
    <xdr:grpSp>
      <xdr:nvGrpSpPr>
        <xdr:cNvPr id="1073" name="Group 1072">
          <a:extLst>
            <a:ext uri="{FF2B5EF4-FFF2-40B4-BE49-F238E27FC236}">
              <a16:creationId xmlns:a16="http://schemas.microsoft.com/office/drawing/2014/main" id="{66200938-25BC-4E41-AA04-9016C3E27076}"/>
            </a:ext>
          </a:extLst>
        </xdr:cNvPr>
        <xdr:cNvGrpSpPr/>
      </xdr:nvGrpSpPr>
      <xdr:grpSpPr>
        <a:xfrm>
          <a:off x="11592495" y="6424551"/>
          <a:ext cx="2122824" cy="608969"/>
          <a:chOff x="10139415" y="1916955"/>
          <a:chExt cx="2132427" cy="608121"/>
        </a:xfrm>
      </xdr:grpSpPr>
      <xdr:cxnSp macro="">
        <xdr:nvCxnSpPr>
          <xdr:cNvPr id="1074" name="Straight Connector 1073">
            <a:extLst>
              <a:ext uri="{FF2B5EF4-FFF2-40B4-BE49-F238E27FC236}">
                <a16:creationId xmlns:a16="http://schemas.microsoft.com/office/drawing/2014/main" id="{B7EAFCF9-CB26-DCE0-5F89-FDA2E15449FF}"/>
              </a:ext>
            </a:extLst>
          </xdr:cNvPr>
          <xdr:cNvCxnSpPr/>
        </xdr:nvCxnSpPr>
        <xdr:spPr>
          <a:xfrm>
            <a:off x="10139415" y="1916955"/>
            <a:ext cx="1106503" cy="353903"/>
          </a:xfrm>
          <a:prstGeom prst="line">
            <a:avLst/>
          </a:prstGeom>
          <a:ln w="15875">
            <a:gradFill flip="none" rotWithShape="1">
              <a:gsLst>
                <a:gs pos="65000">
                  <a:srgbClr val="0A0D80"/>
                </a:gs>
                <a:gs pos="21000">
                  <a:srgbClr val="9BF8F2"/>
                </a:gs>
              </a:gsLst>
              <a:lin ang="10800000" scaled="1"/>
              <a:tileRect/>
            </a:gradFill>
          </a:ln>
        </xdr:spPr>
        <xdr:style>
          <a:lnRef idx="1">
            <a:schemeClr val="accent1"/>
          </a:lnRef>
          <a:fillRef idx="0">
            <a:schemeClr val="accent1"/>
          </a:fillRef>
          <a:effectRef idx="0">
            <a:schemeClr val="accent1"/>
          </a:effectRef>
          <a:fontRef idx="minor">
            <a:schemeClr val="tx1"/>
          </a:fontRef>
        </xdr:style>
      </xdr:cxnSp>
      <xdr:sp macro="" textlink="">
        <xdr:nvSpPr>
          <xdr:cNvPr id="1081" name="Circle: Hollow 1080">
            <a:extLst>
              <a:ext uri="{FF2B5EF4-FFF2-40B4-BE49-F238E27FC236}">
                <a16:creationId xmlns:a16="http://schemas.microsoft.com/office/drawing/2014/main" id="{FC67BF4A-A887-9E6C-0BAD-6AD626854256}"/>
              </a:ext>
            </a:extLst>
          </xdr:cNvPr>
          <xdr:cNvSpPr/>
        </xdr:nvSpPr>
        <xdr:spPr>
          <a:xfrm>
            <a:off x="11207975" y="2040444"/>
            <a:ext cx="487353" cy="484632"/>
          </a:xfrm>
          <a:prstGeom prst="donut">
            <a:avLst>
              <a:gd name="adj" fmla="val 12103"/>
            </a:avLst>
          </a:prstGeom>
          <a:solidFill>
            <a:srgbClr val="9BF8F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sp macro="" textlink="'Pivot Tables'!AZ10">
        <xdr:nvSpPr>
          <xdr:cNvPr id="1082" name="TextBox 1081">
            <a:extLst>
              <a:ext uri="{FF2B5EF4-FFF2-40B4-BE49-F238E27FC236}">
                <a16:creationId xmlns:a16="http://schemas.microsoft.com/office/drawing/2014/main" id="{90C064D3-626B-3028-9C9D-375ED373C8CD}"/>
              </a:ext>
            </a:extLst>
          </xdr:cNvPr>
          <xdr:cNvSpPr txBox="1"/>
        </xdr:nvSpPr>
        <xdr:spPr>
          <a:xfrm>
            <a:off x="10631464" y="2168777"/>
            <a:ext cx="1640378" cy="2279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839B188-F222-4AB4-A6DD-FAB0115A272B}" type="TxLink">
              <a:rPr lang="en-US" sz="1100" b="0" i="0" u="none" strike="noStrike">
                <a:solidFill>
                  <a:schemeClr val="bg1"/>
                </a:solidFill>
                <a:latin typeface="Avenir Medium" panose="020B0603020203020204" pitchFamily="34" charset="-78"/>
                <a:cs typeface="Avenir Medium" panose="020B0603020203020204" pitchFamily="34" charset="-78"/>
              </a:rPr>
              <a:pPr algn="ctr"/>
              <a:t>15%</a:t>
            </a:fld>
            <a:endParaRPr lang="en-IN" sz="600">
              <a:solidFill>
                <a:schemeClr val="bg1"/>
              </a:solidFill>
              <a:latin typeface="Avenir Medium" panose="020B0603020203020204" pitchFamily="34" charset="-78"/>
              <a:cs typeface="Avenir Medium" panose="020B0603020203020204" pitchFamily="34" charset="-78"/>
            </a:endParaRPr>
          </a:p>
        </xdr:txBody>
      </xdr:sp>
    </xdr:grpSp>
    <xdr:clientData/>
  </xdr:twoCellAnchor>
  <xdr:twoCellAnchor editAs="absolute">
    <xdr:from>
      <xdr:col>13</xdr:col>
      <xdr:colOff>356381</xdr:colOff>
      <xdr:row>39</xdr:row>
      <xdr:rowOff>73819</xdr:rowOff>
    </xdr:from>
    <xdr:to>
      <xdr:col>15</xdr:col>
      <xdr:colOff>304536</xdr:colOff>
      <xdr:row>44</xdr:row>
      <xdr:rowOff>1014</xdr:rowOff>
    </xdr:to>
    <xdr:grpSp>
      <xdr:nvGrpSpPr>
        <xdr:cNvPr id="1083" name="Group 1082">
          <a:extLst>
            <a:ext uri="{FF2B5EF4-FFF2-40B4-BE49-F238E27FC236}">
              <a16:creationId xmlns:a16="http://schemas.microsoft.com/office/drawing/2014/main" id="{A5012270-E5D2-4468-A63F-C1FC982A535D}"/>
            </a:ext>
          </a:extLst>
        </xdr:cNvPr>
        <xdr:cNvGrpSpPr/>
      </xdr:nvGrpSpPr>
      <xdr:grpSpPr>
        <a:xfrm>
          <a:off x="8281181" y="7503319"/>
          <a:ext cx="1167355" cy="879695"/>
          <a:chOff x="10829021" y="1645847"/>
          <a:chExt cx="1165109" cy="879229"/>
        </a:xfrm>
      </xdr:grpSpPr>
      <xdr:cxnSp macro="">
        <xdr:nvCxnSpPr>
          <xdr:cNvPr id="1085" name="Straight Connector 1084">
            <a:extLst>
              <a:ext uri="{FF2B5EF4-FFF2-40B4-BE49-F238E27FC236}">
                <a16:creationId xmlns:a16="http://schemas.microsoft.com/office/drawing/2014/main" id="{FCCD388C-8FBC-2DE1-11ED-73BA9BE622E6}"/>
              </a:ext>
            </a:extLst>
          </xdr:cNvPr>
          <xdr:cNvCxnSpPr>
            <a:stCxn id="1078" idx="2"/>
            <a:endCxn id="1086" idx="0"/>
          </xdr:cNvCxnSpPr>
        </xdr:nvCxnSpPr>
        <xdr:spPr>
          <a:xfrm>
            <a:off x="11353010" y="1645847"/>
            <a:ext cx="58566" cy="394597"/>
          </a:xfrm>
          <a:prstGeom prst="line">
            <a:avLst/>
          </a:prstGeom>
          <a:ln w="15875">
            <a:gradFill flip="none" rotWithShape="1">
              <a:gsLst>
                <a:gs pos="65000">
                  <a:srgbClr val="0A0D80"/>
                </a:gs>
                <a:gs pos="21000">
                  <a:srgbClr val="9BF8F2"/>
                </a:gs>
              </a:gsLst>
              <a:lin ang="10800000" scaled="1"/>
              <a:tileRect/>
            </a:gradFill>
          </a:ln>
        </xdr:spPr>
        <xdr:style>
          <a:lnRef idx="1">
            <a:schemeClr val="accent1"/>
          </a:lnRef>
          <a:fillRef idx="0">
            <a:schemeClr val="accent1"/>
          </a:fillRef>
          <a:effectRef idx="0">
            <a:schemeClr val="accent1"/>
          </a:effectRef>
          <a:fontRef idx="minor">
            <a:schemeClr val="tx1"/>
          </a:fontRef>
        </xdr:style>
      </xdr:cxnSp>
      <xdr:sp macro="" textlink="">
        <xdr:nvSpPr>
          <xdr:cNvPr id="1086" name="Circle: Hollow 1085">
            <a:extLst>
              <a:ext uri="{FF2B5EF4-FFF2-40B4-BE49-F238E27FC236}">
                <a16:creationId xmlns:a16="http://schemas.microsoft.com/office/drawing/2014/main" id="{D2D28E51-D1D4-63D6-273D-8F284DDBB7FF}"/>
              </a:ext>
            </a:extLst>
          </xdr:cNvPr>
          <xdr:cNvSpPr/>
        </xdr:nvSpPr>
        <xdr:spPr>
          <a:xfrm>
            <a:off x="11167899" y="2040444"/>
            <a:ext cx="487353" cy="484632"/>
          </a:xfrm>
          <a:prstGeom prst="donut">
            <a:avLst>
              <a:gd name="adj" fmla="val 12103"/>
            </a:avLst>
          </a:prstGeom>
          <a:solidFill>
            <a:srgbClr val="9BF8F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sp macro="" textlink="'Pivot Tables'!AZ13">
        <xdr:nvSpPr>
          <xdr:cNvPr id="1088" name="TextBox 1087">
            <a:extLst>
              <a:ext uri="{FF2B5EF4-FFF2-40B4-BE49-F238E27FC236}">
                <a16:creationId xmlns:a16="http://schemas.microsoft.com/office/drawing/2014/main" id="{4A4DC5BB-8270-F92F-17EC-5C4618262733}"/>
              </a:ext>
            </a:extLst>
          </xdr:cNvPr>
          <xdr:cNvSpPr txBox="1"/>
        </xdr:nvSpPr>
        <xdr:spPr>
          <a:xfrm>
            <a:off x="10829021" y="2168777"/>
            <a:ext cx="1165109" cy="2279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E87A443-0BC9-4FF1-A8E4-08ABCD85B911}" type="TxLink">
              <a:rPr lang="en-US" sz="1100" b="0" i="0" u="none" strike="noStrike">
                <a:solidFill>
                  <a:schemeClr val="bg1"/>
                </a:solidFill>
                <a:latin typeface="Avenir Medium" panose="020B0603020203020204" pitchFamily="34" charset="-78"/>
                <a:cs typeface="Avenir Medium" panose="020B0603020203020204" pitchFamily="34" charset="-78"/>
              </a:rPr>
              <a:pPr algn="ctr"/>
              <a:t>8%</a:t>
            </a:fld>
            <a:endParaRPr lang="en-IN" sz="600">
              <a:solidFill>
                <a:schemeClr val="bg1"/>
              </a:solidFill>
              <a:latin typeface="Avenir Medium" panose="020B0603020203020204" pitchFamily="34" charset="-78"/>
              <a:cs typeface="Avenir Medium" panose="020B0603020203020204" pitchFamily="34" charset="-78"/>
            </a:endParaRPr>
          </a:p>
        </xdr:txBody>
      </xdr:sp>
    </xdr:grpSp>
    <xdr:clientData/>
  </xdr:twoCellAnchor>
  <xdr:twoCellAnchor editAs="absolute">
    <xdr:from>
      <xdr:col>7</xdr:col>
      <xdr:colOff>503450</xdr:colOff>
      <xdr:row>32</xdr:row>
      <xdr:rowOff>102024</xdr:rowOff>
    </xdr:from>
    <xdr:to>
      <xdr:col>9</xdr:col>
      <xdr:colOff>443061</xdr:colOff>
      <xdr:row>37</xdr:row>
      <xdr:rowOff>120821</xdr:rowOff>
    </xdr:to>
    <xdr:grpSp>
      <xdr:nvGrpSpPr>
        <xdr:cNvPr id="1089" name="Group 1088">
          <a:extLst>
            <a:ext uri="{FF2B5EF4-FFF2-40B4-BE49-F238E27FC236}">
              <a16:creationId xmlns:a16="http://schemas.microsoft.com/office/drawing/2014/main" id="{631CEF9C-28B5-4521-BF03-C30FB834EF32}"/>
            </a:ext>
          </a:extLst>
        </xdr:cNvPr>
        <xdr:cNvGrpSpPr/>
      </xdr:nvGrpSpPr>
      <xdr:grpSpPr>
        <a:xfrm>
          <a:off x="4770650" y="6198024"/>
          <a:ext cx="1158811" cy="971297"/>
          <a:chOff x="10882569" y="1545288"/>
          <a:chExt cx="1165109" cy="979788"/>
        </a:xfrm>
      </xdr:grpSpPr>
      <xdr:cxnSp macro="">
        <xdr:nvCxnSpPr>
          <xdr:cNvPr id="1090" name="Straight Connector 1089">
            <a:extLst>
              <a:ext uri="{FF2B5EF4-FFF2-40B4-BE49-F238E27FC236}">
                <a16:creationId xmlns:a16="http://schemas.microsoft.com/office/drawing/2014/main" id="{18A0E7A4-162E-3074-6FA5-BBF2AAE7AC34}"/>
              </a:ext>
            </a:extLst>
          </xdr:cNvPr>
          <xdr:cNvCxnSpPr>
            <a:endCxn id="1091" idx="0"/>
          </xdr:cNvCxnSpPr>
        </xdr:nvCxnSpPr>
        <xdr:spPr>
          <a:xfrm flipH="1">
            <a:off x="11451651" y="1545288"/>
            <a:ext cx="234022" cy="495155"/>
          </a:xfrm>
          <a:prstGeom prst="line">
            <a:avLst/>
          </a:prstGeom>
          <a:ln w="15875">
            <a:gradFill flip="none" rotWithShape="1">
              <a:gsLst>
                <a:gs pos="65000">
                  <a:srgbClr val="0A0D80"/>
                </a:gs>
                <a:gs pos="21000">
                  <a:srgbClr val="9BF8F2"/>
                </a:gs>
              </a:gsLst>
              <a:lin ang="10800000" scaled="1"/>
              <a:tileRect/>
            </a:gradFill>
          </a:ln>
        </xdr:spPr>
        <xdr:style>
          <a:lnRef idx="1">
            <a:schemeClr val="accent1"/>
          </a:lnRef>
          <a:fillRef idx="0">
            <a:schemeClr val="accent1"/>
          </a:fillRef>
          <a:effectRef idx="0">
            <a:schemeClr val="accent1"/>
          </a:effectRef>
          <a:fontRef idx="minor">
            <a:schemeClr val="tx1"/>
          </a:fontRef>
        </xdr:style>
      </xdr:cxnSp>
      <xdr:sp macro="" textlink="">
        <xdr:nvSpPr>
          <xdr:cNvPr id="1091" name="Circle: Hollow 1090">
            <a:extLst>
              <a:ext uri="{FF2B5EF4-FFF2-40B4-BE49-F238E27FC236}">
                <a16:creationId xmlns:a16="http://schemas.microsoft.com/office/drawing/2014/main" id="{32E65DE8-958A-7219-C77E-BEA347344E03}"/>
              </a:ext>
            </a:extLst>
          </xdr:cNvPr>
          <xdr:cNvSpPr/>
        </xdr:nvSpPr>
        <xdr:spPr>
          <a:xfrm>
            <a:off x="11207975" y="2040444"/>
            <a:ext cx="487353" cy="484632"/>
          </a:xfrm>
          <a:prstGeom prst="donut">
            <a:avLst>
              <a:gd name="adj" fmla="val 12103"/>
            </a:avLst>
          </a:prstGeom>
          <a:solidFill>
            <a:srgbClr val="9BF8F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sp macro="" textlink="'Pivot Tables'!AZ7">
        <xdr:nvSpPr>
          <xdr:cNvPr id="1093" name="TextBox 1092">
            <a:extLst>
              <a:ext uri="{FF2B5EF4-FFF2-40B4-BE49-F238E27FC236}">
                <a16:creationId xmlns:a16="http://schemas.microsoft.com/office/drawing/2014/main" id="{CA8D4CBA-C3AC-088B-4044-177CF540777E}"/>
              </a:ext>
            </a:extLst>
          </xdr:cNvPr>
          <xdr:cNvSpPr txBox="1"/>
        </xdr:nvSpPr>
        <xdr:spPr>
          <a:xfrm>
            <a:off x="10882569" y="2168777"/>
            <a:ext cx="1165109" cy="2279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4428DC8-2181-46F8-80EC-E7102500B6CE}" type="TxLink">
              <a:rPr lang="en-US" sz="1100" b="0" i="0" u="none" strike="noStrike">
                <a:solidFill>
                  <a:schemeClr val="bg1"/>
                </a:solidFill>
                <a:latin typeface="Avenir Medium" panose="020B0603020203020204" pitchFamily="34" charset="-78"/>
                <a:cs typeface="Avenir Medium" panose="020B0603020203020204" pitchFamily="34" charset="-78"/>
              </a:rPr>
              <a:pPr algn="ctr"/>
              <a:t>21%</a:t>
            </a:fld>
            <a:endParaRPr lang="en-IN" sz="600">
              <a:solidFill>
                <a:schemeClr val="bg1"/>
              </a:solidFill>
              <a:latin typeface="Avenir Medium" panose="020B0603020203020204" pitchFamily="34" charset="-78"/>
              <a:cs typeface="Avenir Medium" panose="020B0603020203020204" pitchFamily="34" charset="-78"/>
            </a:endParaRPr>
          </a:p>
        </xdr:txBody>
      </xdr:sp>
    </xdr:grpSp>
    <xdr:clientData/>
  </xdr:twoCellAnchor>
  <xdr:twoCellAnchor editAs="absolute">
    <xdr:from>
      <xdr:col>8</xdr:col>
      <xdr:colOff>281229</xdr:colOff>
      <xdr:row>9</xdr:row>
      <xdr:rowOff>137022</xdr:rowOff>
    </xdr:from>
    <xdr:to>
      <xdr:col>10</xdr:col>
      <xdr:colOff>552024</xdr:colOff>
      <xdr:row>12</xdr:row>
      <xdr:rowOff>104219</xdr:rowOff>
    </xdr:to>
    <xdr:grpSp>
      <xdr:nvGrpSpPr>
        <xdr:cNvPr id="1104" name="Group 1103">
          <a:extLst>
            <a:ext uri="{FF2B5EF4-FFF2-40B4-BE49-F238E27FC236}">
              <a16:creationId xmlns:a16="http://schemas.microsoft.com/office/drawing/2014/main" id="{90771FB8-4085-4AC5-A31C-9A692D57E04D}"/>
            </a:ext>
          </a:extLst>
        </xdr:cNvPr>
        <xdr:cNvGrpSpPr/>
      </xdr:nvGrpSpPr>
      <xdr:grpSpPr>
        <a:xfrm>
          <a:off x="5158029" y="1851522"/>
          <a:ext cx="1489995" cy="538697"/>
          <a:chOff x="10880043" y="2188379"/>
          <a:chExt cx="1500182" cy="529836"/>
        </a:xfrm>
      </xdr:grpSpPr>
      <xdr:cxnSp macro="">
        <xdr:nvCxnSpPr>
          <xdr:cNvPr id="1105" name="Straight Connector 1104">
            <a:extLst>
              <a:ext uri="{FF2B5EF4-FFF2-40B4-BE49-F238E27FC236}">
                <a16:creationId xmlns:a16="http://schemas.microsoft.com/office/drawing/2014/main" id="{F67F82E7-EB5F-0D55-D1F4-6E6D8B84614F}"/>
              </a:ext>
            </a:extLst>
          </xdr:cNvPr>
          <xdr:cNvCxnSpPr>
            <a:endCxn id="1106" idx="6"/>
          </xdr:cNvCxnSpPr>
        </xdr:nvCxnSpPr>
        <xdr:spPr>
          <a:xfrm flipH="1" flipV="1">
            <a:off x="11695328" y="2430695"/>
            <a:ext cx="684897" cy="287520"/>
          </a:xfrm>
          <a:prstGeom prst="line">
            <a:avLst/>
          </a:prstGeom>
          <a:ln w="15875">
            <a:gradFill flip="none" rotWithShape="1">
              <a:gsLst>
                <a:gs pos="65000">
                  <a:srgbClr val="0A0D80"/>
                </a:gs>
                <a:gs pos="21000">
                  <a:srgbClr val="9BF8F2"/>
                </a:gs>
              </a:gsLst>
              <a:lin ang="10800000" scaled="1"/>
              <a:tileRect/>
            </a:gradFill>
          </a:ln>
        </xdr:spPr>
        <xdr:style>
          <a:lnRef idx="1">
            <a:schemeClr val="accent1"/>
          </a:lnRef>
          <a:fillRef idx="0">
            <a:schemeClr val="accent1"/>
          </a:fillRef>
          <a:effectRef idx="0">
            <a:schemeClr val="accent1"/>
          </a:effectRef>
          <a:fontRef idx="minor">
            <a:schemeClr val="tx1"/>
          </a:fontRef>
        </xdr:style>
      </xdr:cxnSp>
      <xdr:sp macro="" textlink="">
        <xdr:nvSpPr>
          <xdr:cNvPr id="1106" name="Circle: Hollow 1105">
            <a:extLst>
              <a:ext uri="{FF2B5EF4-FFF2-40B4-BE49-F238E27FC236}">
                <a16:creationId xmlns:a16="http://schemas.microsoft.com/office/drawing/2014/main" id="{A55C4FF4-77B1-55B4-759B-3A29A4247B60}"/>
              </a:ext>
            </a:extLst>
          </xdr:cNvPr>
          <xdr:cNvSpPr/>
        </xdr:nvSpPr>
        <xdr:spPr>
          <a:xfrm>
            <a:off x="11207975" y="2188379"/>
            <a:ext cx="487353" cy="484631"/>
          </a:xfrm>
          <a:prstGeom prst="donut">
            <a:avLst>
              <a:gd name="adj" fmla="val 12103"/>
            </a:avLst>
          </a:prstGeom>
          <a:solidFill>
            <a:srgbClr val="9BF8F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sp macro="" textlink="'Pivot Tables'!AZ17">
        <xdr:nvSpPr>
          <xdr:cNvPr id="1107" name="TextBox 1106">
            <a:extLst>
              <a:ext uri="{FF2B5EF4-FFF2-40B4-BE49-F238E27FC236}">
                <a16:creationId xmlns:a16="http://schemas.microsoft.com/office/drawing/2014/main" id="{DB029934-783B-BBB3-F413-C5663BFFD9C5}"/>
              </a:ext>
            </a:extLst>
          </xdr:cNvPr>
          <xdr:cNvSpPr txBox="1"/>
        </xdr:nvSpPr>
        <xdr:spPr>
          <a:xfrm>
            <a:off x="10880043" y="2316720"/>
            <a:ext cx="1165108" cy="2279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93F92C3-24B3-42E2-B443-8A79DC88011C}" type="TxLink">
              <a:rPr lang="en-US" sz="1100" b="0" i="0" u="none" strike="noStrike">
                <a:solidFill>
                  <a:schemeClr val="bg1"/>
                </a:solidFill>
                <a:latin typeface="Avenir Medium" panose="020B0603020203020204" pitchFamily="34" charset="-78"/>
                <a:cs typeface="Avenir Medium" panose="020B0603020203020204" pitchFamily="34" charset="-78"/>
              </a:rPr>
              <a:pPr algn="ctr"/>
              <a:t>19%</a:t>
            </a:fld>
            <a:endParaRPr lang="en-IN" sz="600">
              <a:solidFill>
                <a:schemeClr val="bg1"/>
              </a:solidFill>
              <a:latin typeface="Avenir Medium" panose="020B0603020203020204" pitchFamily="34" charset="-78"/>
              <a:cs typeface="Avenir Medium" panose="020B0603020203020204" pitchFamily="34" charset="-78"/>
            </a:endParaRPr>
          </a:p>
        </xdr:txBody>
      </xdr:sp>
    </xdr:grpSp>
    <xdr:clientData/>
  </xdr:twoCellAnchor>
  <xdr:twoCellAnchor editAs="absolute">
    <xdr:from>
      <xdr:col>8</xdr:col>
      <xdr:colOff>267772</xdr:colOff>
      <xdr:row>7</xdr:row>
      <xdr:rowOff>43533</xdr:rowOff>
    </xdr:from>
    <xdr:to>
      <xdr:col>19</xdr:col>
      <xdr:colOff>346368</xdr:colOff>
      <xdr:row>43</xdr:row>
      <xdr:rowOff>21856</xdr:rowOff>
    </xdr:to>
    <xdr:sp macro="" textlink="">
      <xdr:nvSpPr>
        <xdr:cNvPr id="1176" name="Oval 1175">
          <a:extLst>
            <a:ext uri="{FF2B5EF4-FFF2-40B4-BE49-F238E27FC236}">
              <a16:creationId xmlns:a16="http://schemas.microsoft.com/office/drawing/2014/main" id="{1063DE29-28F5-6F22-CA0B-A5831AF2D49C}"/>
            </a:ext>
          </a:extLst>
        </xdr:cNvPr>
        <xdr:cNvSpPr/>
      </xdr:nvSpPr>
      <xdr:spPr>
        <a:xfrm>
          <a:off x="5166343" y="1377033"/>
          <a:ext cx="6814132" cy="6836323"/>
        </a:xfrm>
        <a:prstGeom prst="ellipse">
          <a:avLst/>
        </a:prstGeom>
        <a:noFill/>
        <a:ln>
          <a:solidFill>
            <a:schemeClr val="bg2">
              <a:lumMod val="1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6</xdr:col>
      <xdr:colOff>269505</xdr:colOff>
      <xdr:row>0</xdr:row>
      <xdr:rowOff>1972</xdr:rowOff>
    </xdr:from>
    <xdr:to>
      <xdr:col>21</xdr:col>
      <xdr:colOff>321459</xdr:colOff>
      <xdr:row>48</xdr:row>
      <xdr:rowOff>143404</xdr:rowOff>
    </xdr:to>
    <xdr:sp macro="" textlink="">
      <xdr:nvSpPr>
        <xdr:cNvPr id="1177" name="Oval 1176">
          <a:extLst>
            <a:ext uri="{FF2B5EF4-FFF2-40B4-BE49-F238E27FC236}">
              <a16:creationId xmlns:a16="http://schemas.microsoft.com/office/drawing/2014/main" id="{43508E33-6F7A-47BC-96A5-F7973DBAE980}"/>
            </a:ext>
          </a:extLst>
        </xdr:cNvPr>
        <xdr:cNvSpPr/>
      </xdr:nvSpPr>
      <xdr:spPr>
        <a:xfrm>
          <a:off x="3943434" y="1972"/>
          <a:ext cx="9236775" cy="9285432"/>
        </a:xfrm>
        <a:prstGeom prst="ellipse">
          <a:avLst/>
        </a:prstGeom>
        <a:noFill/>
        <a:ln>
          <a:solidFill>
            <a:schemeClr val="bg2">
              <a:lumMod val="1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10</xdr:col>
      <xdr:colOff>170814</xdr:colOff>
      <xdr:row>13</xdr:row>
      <xdr:rowOff>173534</xdr:rowOff>
    </xdr:from>
    <xdr:to>
      <xdr:col>17</xdr:col>
      <xdr:colOff>434433</xdr:colOff>
      <xdr:row>36</xdr:row>
      <xdr:rowOff>71885</xdr:rowOff>
    </xdr:to>
    <xdr:graphicFrame macro="">
      <xdr:nvGraphicFramePr>
        <xdr:cNvPr id="1059" name="Chart 1058">
          <a:extLst>
            <a:ext uri="{FF2B5EF4-FFF2-40B4-BE49-F238E27FC236}">
              <a16:creationId xmlns:a16="http://schemas.microsoft.com/office/drawing/2014/main" id="{855A6D9E-A996-4B8D-B481-8802523B73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0</xdr:col>
      <xdr:colOff>0</xdr:colOff>
      <xdr:row>0</xdr:row>
      <xdr:rowOff>0</xdr:rowOff>
    </xdr:from>
    <xdr:to>
      <xdr:col>28</xdr:col>
      <xdr:colOff>195072</xdr:colOff>
      <xdr:row>2</xdr:row>
      <xdr:rowOff>16060</xdr:rowOff>
    </xdr:to>
    <xdr:grpSp>
      <xdr:nvGrpSpPr>
        <xdr:cNvPr id="30" name="Group 29">
          <a:extLst>
            <a:ext uri="{FF2B5EF4-FFF2-40B4-BE49-F238E27FC236}">
              <a16:creationId xmlns:a16="http://schemas.microsoft.com/office/drawing/2014/main" id="{FB7DB90A-8DCE-474B-DA01-09ED42C36490}"/>
            </a:ext>
          </a:extLst>
        </xdr:cNvPr>
        <xdr:cNvGrpSpPr/>
      </xdr:nvGrpSpPr>
      <xdr:grpSpPr>
        <a:xfrm>
          <a:off x="0" y="0"/>
          <a:ext cx="17263872" cy="397060"/>
          <a:chOff x="0" y="0"/>
          <a:chExt cx="17263872" cy="397060"/>
        </a:xfrm>
      </xdr:grpSpPr>
      <xdr:sp macro="" textlink="">
        <xdr:nvSpPr>
          <xdr:cNvPr id="2" name="Rectangle 1">
            <a:extLst>
              <a:ext uri="{FF2B5EF4-FFF2-40B4-BE49-F238E27FC236}">
                <a16:creationId xmlns:a16="http://schemas.microsoft.com/office/drawing/2014/main" id="{B9CB125E-F46B-A918-461C-2642E6C698D1}"/>
              </a:ext>
            </a:extLst>
          </xdr:cNvPr>
          <xdr:cNvSpPr/>
        </xdr:nvSpPr>
        <xdr:spPr>
          <a:xfrm>
            <a:off x="0" y="0"/>
            <a:ext cx="17263872" cy="393192"/>
          </a:xfrm>
          <a:prstGeom prst="rect">
            <a:avLst/>
          </a:prstGeom>
          <a:solidFill>
            <a:srgbClr val="1D1D3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p>
        </xdr:txBody>
      </xdr:sp>
      <xdr:pic>
        <xdr:nvPicPr>
          <xdr:cNvPr id="4" name="Picture 3">
            <a:extLst>
              <a:ext uri="{FF2B5EF4-FFF2-40B4-BE49-F238E27FC236}">
                <a16:creationId xmlns:a16="http://schemas.microsoft.com/office/drawing/2014/main" id="{13AADEEF-E6A2-3405-0B93-171AA623186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527336" cy="397060"/>
          </a:xfrm>
          <a:prstGeom prst="rect">
            <a:avLst/>
          </a:prstGeom>
        </xdr:spPr>
      </xdr:pic>
      <xdr:sp macro="" textlink="">
        <xdr:nvSpPr>
          <xdr:cNvPr id="5" name="TextBox 4">
            <a:extLst>
              <a:ext uri="{FF2B5EF4-FFF2-40B4-BE49-F238E27FC236}">
                <a16:creationId xmlns:a16="http://schemas.microsoft.com/office/drawing/2014/main" id="{934E1B44-6B8B-DAD6-0ED4-5DFF64361216}"/>
              </a:ext>
            </a:extLst>
          </xdr:cNvPr>
          <xdr:cNvSpPr txBox="1"/>
        </xdr:nvSpPr>
        <xdr:spPr>
          <a:xfrm>
            <a:off x="492126" y="0"/>
            <a:ext cx="1395290" cy="3956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100">
                <a:solidFill>
                  <a:schemeClr val="bg1"/>
                </a:solidFill>
                <a:latin typeface="Avenir Book" panose="020B0503020203020204" pitchFamily="34" charset="-78"/>
                <a:cs typeface="Avenir Book" panose="020B0503020203020204" pitchFamily="34" charset="-78"/>
              </a:rPr>
              <a:t>Shivam Rastogi</a:t>
            </a:r>
          </a:p>
        </xdr:txBody>
      </xdr:sp>
      <xdr:sp macro="" textlink="">
        <xdr:nvSpPr>
          <xdr:cNvPr id="7" name="TextBox 6">
            <a:hlinkClick xmlns:r="http://schemas.openxmlformats.org/officeDocument/2006/relationships" r:id="rId3" tooltip="www.linkedin.com"/>
            <a:extLst>
              <a:ext uri="{FF2B5EF4-FFF2-40B4-BE49-F238E27FC236}">
                <a16:creationId xmlns:a16="http://schemas.microsoft.com/office/drawing/2014/main" id="{5FCBC184-A96C-4BBB-BD79-FE61E23E5CE1}"/>
              </a:ext>
            </a:extLst>
          </xdr:cNvPr>
          <xdr:cNvSpPr txBox="1"/>
        </xdr:nvSpPr>
        <xdr:spPr>
          <a:xfrm>
            <a:off x="3745955" y="0"/>
            <a:ext cx="736593" cy="3905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100">
                <a:solidFill>
                  <a:schemeClr val="bg1"/>
                </a:solidFill>
                <a:latin typeface="Avenir Book" panose="020B0503020203020204" pitchFamily="34" charset="-78"/>
                <a:cs typeface="Avenir Book" panose="020B0503020203020204" pitchFamily="34" charset="-78"/>
              </a:rPr>
              <a:t>Browse</a:t>
            </a:r>
            <a:endParaRPr lang="en-IN" sz="1400">
              <a:solidFill>
                <a:schemeClr val="bg1"/>
              </a:solidFill>
              <a:latin typeface="Avenir Book" panose="020B0503020203020204" pitchFamily="34" charset="-78"/>
              <a:cs typeface="Avenir Book" panose="020B0503020203020204" pitchFamily="34" charset="-78"/>
            </a:endParaRPr>
          </a:p>
        </xdr:txBody>
      </xdr:sp>
      <xdr:sp macro="" textlink="">
        <xdr:nvSpPr>
          <xdr:cNvPr id="13" name="TextBox 12">
            <a:hlinkClick xmlns:r="http://schemas.openxmlformats.org/officeDocument/2006/relationships" r:id="rId4" tooltip="Sales Process"/>
            <a:extLst>
              <a:ext uri="{FF2B5EF4-FFF2-40B4-BE49-F238E27FC236}">
                <a16:creationId xmlns:a16="http://schemas.microsoft.com/office/drawing/2014/main" id="{7AE8684D-6C1F-44ED-B626-84C32BA712F8}"/>
              </a:ext>
            </a:extLst>
          </xdr:cNvPr>
          <xdr:cNvSpPr txBox="1"/>
        </xdr:nvSpPr>
        <xdr:spPr>
          <a:xfrm>
            <a:off x="12953541" y="0"/>
            <a:ext cx="1396221" cy="3840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solidFill>
                  <a:schemeClr val="bg1"/>
                </a:solidFill>
                <a:latin typeface="Avenir Book" panose="020B0503020203020204" pitchFamily="34" charset="-78"/>
                <a:cs typeface="Avenir Book" panose="020B0503020203020204" pitchFamily="34" charset="-78"/>
              </a:rPr>
              <a:t>Sales</a:t>
            </a:r>
            <a:r>
              <a:rPr lang="en-IN" sz="1200" baseline="0">
                <a:solidFill>
                  <a:schemeClr val="bg1"/>
                </a:solidFill>
                <a:latin typeface="Avenir Book" panose="020B0503020203020204" pitchFamily="34" charset="-78"/>
                <a:cs typeface="Avenir Book" panose="020B0503020203020204" pitchFamily="34" charset="-78"/>
              </a:rPr>
              <a:t> Process</a:t>
            </a:r>
          </a:p>
        </xdr:txBody>
      </xdr:sp>
      <xdr:sp macro="" textlink="">
        <xdr:nvSpPr>
          <xdr:cNvPr id="17" name="TextBox 16">
            <a:hlinkClick xmlns:r="http://schemas.openxmlformats.org/officeDocument/2006/relationships" r:id="rId5" tooltip="Income Sources"/>
            <a:extLst>
              <a:ext uri="{FF2B5EF4-FFF2-40B4-BE49-F238E27FC236}">
                <a16:creationId xmlns:a16="http://schemas.microsoft.com/office/drawing/2014/main" id="{BAD878DC-4587-4A29-B040-662731AA46CC}"/>
              </a:ext>
            </a:extLst>
          </xdr:cNvPr>
          <xdr:cNvSpPr txBox="1"/>
        </xdr:nvSpPr>
        <xdr:spPr>
          <a:xfrm>
            <a:off x="10150054" y="0"/>
            <a:ext cx="1392907" cy="3840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solidFill>
                  <a:schemeClr val="bg1"/>
                </a:solidFill>
                <a:latin typeface="Avenir Book" panose="020B0503020203020204" pitchFamily="34" charset="-78"/>
                <a:cs typeface="Avenir Book" panose="020B0503020203020204" pitchFamily="34" charset="-78"/>
              </a:rPr>
              <a:t>Income Sources</a:t>
            </a:r>
          </a:p>
        </xdr:txBody>
      </xdr:sp>
      <xdr:sp macro="" textlink="">
        <xdr:nvSpPr>
          <xdr:cNvPr id="18" name="TextBox 17">
            <a:hlinkClick xmlns:r="http://schemas.openxmlformats.org/officeDocument/2006/relationships" r:id="rId6" tooltip="Geographically"/>
            <a:extLst>
              <a:ext uri="{FF2B5EF4-FFF2-40B4-BE49-F238E27FC236}">
                <a16:creationId xmlns:a16="http://schemas.microsoft.com/office/drawing/2014/main" id="{8322C512-809A-4715-B5B2-20D3133D0024}"/>
              </a:ext>
            </a:extLst>
          </xdr:cNvPr>
          <xdr:cNvSpPr txBox="1"/>
        </xdr:nvSpPr>
        <xdr:spPr>
          <a:xfrm>
            <a:off x="11542960" y="0"/>
            <a:ext cx="1392573" cy="3840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solidFill>
                  <a:schemeClr val="bg1"/>
                </a:solidFill>
                <a:latin typeface="Avenir Book" panose="020B0503020203020204" pitchFamily="34" charset="-78"/>
                <a:cs typeface="Avenir Book" panose="020B0503020203020204" pitchFamily="34" charset="-78"/>
              </a:rPr>
              <a:t>Geographically</a:t>
            </a:r>
          </a:p>
        </xdr:txBody>
      </xdr:sp>
      <xdr:pic>
        <xdr:nvPicPr>
          <xdr:cNvPr id="25" name="Graphic 24" descr="Compass">
            <a:extLst>
              <a:ext uri="{FF2B5EF4-FFF2-40B4-BE49-F238E27FC236}">
                <a16:creationId xmlns:a16="http://schemas.microsoft.com/office/drawing/2014/main" id="{A810DF65-67BC-C89D-B2D1-89562BDE81E2}"/>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3580808" y="86591"/>
            <a:ext cx="217893" cy="218051"/>
          </a:xfrm>
          <a:prstGeom prst="rect">
            <a:avLst/>
          </a:prstGeom>
        </xdr:spPr>
      </xdr:pic>
      <xdr:sp macro="" textlink="">
        <xdr:nvSpPr>
          <xdr:cNvPr id="29" name="Rectangle: Rounded Corners 28">
            <a:extLst>
              <a:ext uri="{FF2B5EF4-FFF2-40B4-BE49-F238E27FC236}">
                <a16:creationId xmlns:a16="http://schemas.microsoft.com/office/drawing/2014/main" id="{0475EC1A-6FBE-1CD0-60F7-89FA2DBEE9D2}"/>
              </a:ext>
            </a:extLst>
          </xdr:cNvPr>
          <xdr:cNvSpPr/>
        </xdr:nvSpPr>
        <xdr:spPr>
          <a:xfrm>
            <a:off x="10299087" y="276950"/>
            <a:ext cx="271007" cy="45720"/>
          </a:xfrm>
          <a:prstGeom prst="roundRect">
            <a:avLst>
              <a:gd name="adj" fmla="val 50000"/>
            </a:avLst>
          </a:prstGeom>
          <a:solidFill>
            <a:srgbClr val="194AF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editAs="absolute">
    <xdr:from>
      <xdr:col>0</xdr:col>
      <xdr:colOff>465772</xdr:colOff>
      <xdr:row>2</xdr:row>
      <xdr:rowOff>166253</xdr:rowOff>
    </xdr:from>
    <xdr:to>
      <xdr:col>3</xdr:col>
      <xdr:colOff>191452</xdr:colOff>
      <xdr:row>5</xdr:row>
      <xdr:rowOff>30666</xdr:rowOff>
    </xdr:to>
    <xdr:sp macro="" textlink="">
      <xdr:nvSpPr>
        <xdr:cNvPr id="31" name="Rectangle: Rounded Corners 30">
          <a:extLst>
            <a:ext uri="{FF2B5EF4-FFF2-40B4-BE49-F238E27FC236}">
              <a16:creationId xmlns:a16="http://schemas.microsoft.com/office/drawing/2014/main" id="{9296CCFE-009D-48BC-B916-7634031E62FD}"/>
            </a:ext>
          </a:extLst>
        </xdr:cNvPr>
        <xdr:cNvSpPr/>
      </xdr:nvSpPr>
      <xdr:spPr>
        <a:xfrm>
          <a:off x="465772" y="547253"/>
          <a:ext cx="1554480" cy="435913"/>
        </a:xfrm>
        <a:prstGeom prst="roundRect">
          <a:avLst>
            <a:gd name="adj" fmla="val 50000"/>
          </a:avLst>
        </a:prstGeom>
        <a:solidFill>
          <a:srgbClr val="194AF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0</xdr:col>
      <xdr:colOff>500538</xdr:colOff>
      <xdr:row>3</xdr:row>
      <xdr:rowOff>3602</xdr:rowOff>
    </xdr:from>
    <xdr:to>
      <xdr:col>3</xdr:col>
      <xdr:colOff>156686</xdr:colOff>
      <xdr:row>5</xdr:row>
      <xdr:rowOff>13609</xdr:rowOff>
    </xdr:to>
    <xdr:sp macro="" textlink="">
      <xdr:nvSpPr>
        <xdr:cNvPr id="33" name="TextBox 32">
          <a:extLst>
            <a:ext uri="{FF2B5EF4-FFF2-40B4-BE49-F238E27FC236}">
              <a16:creationId xmlns:a16="http://schemas.microsoft.com/office/drawing/2014/main" id="{28F296FA-F4AD-407C-B2B9-81250E36944B}"/>
            </a:ext>
          </a:extLst>
        </xdr:cNvPr>
        <xdr:cNvSpPr txBox="1"/>
      </xdr:nvSpPr>
      <xdr:spPr>
        <a:xfrm>
          <a:off x="500538" y="575102"/>
          <a:ext cx="1484948" cy="3910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a:solidFill>
                <a:schemeClr val="bg1"/>
              </a:solidFill>
              <a:latin typeface="Avenir Book" panose="020B0503020203020204" pitchFamily="34" charset="-78"/>
              <a:cs typeface="Avenir Book" panose="020B0503020203020204" pitchFamily="34" charset="-78"/>
            </a:rPr>
            <a:t>Income Sources</a:t>
          </a:r>
        </a:p>
      </xdr:txBody>
    </xdr:sp>
    <xdr:clientData/>
  </xdr:twoCellAnchor>
  <xdr:twoCellAnchor editAs="absolute">
    <xdr:from>
      <xdr:col>0</xdr:col>
      <xdr:colOff>376712</xdr:colOff>
      <xdr:row>5</xdr:row>
      <xdr:rowOff>75155</xdr:rowOff>
    </xdr:from>
    <xdr:to>
      <xdr:col>6</xdr:col>
      <xdr:colOff>111536</xdr:colOff>
      <xdr:row>11</xdr:row>
      <xdr:rowOff>160450</xdr:rowOff>
    </xdr:to>
    <xdr:sp macro="" textlink="">
      <xdr:nvSpPr>
        <xdr:cNvPr id="34" name="TextBox 33">
          <a:extLst>
            <a:ext uri="{FF2B5EF4-FFF2-40B4-BE49-F238E27FC236}">
              <a16:creationId xmlns:a16="http://schemas.microsoft.com/office/drawing/2014/main" id="{E41E9B4D-3FF6-492F-97C9-B70FDFECC14C}"/>
            </a:ext>
          </a:extLst>
        </xdr:cNvPr>
        <xdr:cNvSpPr txBox="1"/>
      </xdr:nvSpPr>
      <xdr:spPr>
        <a:xfrm>
          <a:off x="376712" y="1027655"/>
          <a:ext cx="3392424" cy="1228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1200">
              <a:solidFill>
                <a:schemeClr val="bg1"/>
              </a:solidFill>
              <a:latin typeface="Avenir Light" panose="020B0403020203020204" pitchFamily="34" charset="-78"/>
              <a:cs typeface="Avenir Light" panose="020B0403020203020204" pitchFamily="34" charset="-78"/>
            </a:rPr>
            <a:t>Grand total of income, and their breakdowns showing the achievements percentage and highlight for most valuable source, Marketing strategies, and operating profit.</a:t>
          </a:r>
        </a:p>
      </xdr:txBody>
    </xdr:sp>
    <xdr:clientData/>
  </xdr:twoCellAnchor>
  <xdr:twoCellAnchor editAs="absolute">
    <xdr:from>
      <xdr:col>0</xdr:col>
      <xdr:colOff>395009</xdr:colOff>
      <xdr:row>12</xdr:row>
      <xdr:rowOff>27325</xdr:rowOff>
    </xdr:from>
    <xdr:to>
      <xdr:col>5</xdr:col>
      <xdr:colOff>595891</xdr:colOff>
      <xdr:row>14</xdr:row>
      <xdr:rowOff>76093</xdr:rowOff>
    </xdr:to>
    <mc:AlternateContent xmlns:mc="http://schemas.openxmlformats.org/markup-compatibility/2006" xmlns:a14="http://schemas.microsoft.com/office/drawing/2010/main">
      <mc:Choice Requires="a14">
        <xdr:graphicFrame macro="">
          <xdr:nvGraphicFramePr>
            <xdr:cNvPr id="6" name="Year1">
              <a:extLst>
                <a:ext uri="{FF2B5EF4-FFF2-40B4-BE49-F238E27FC236}">
                  <a16:creationId xmlns:a16="http://schemas.microsoft.com/office/drawing/2014/main" id="{17D6DCE7-97F5-4427-8ECA-5939DEAF1602}"/>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Year1"/>
            </a:graphicData>
          </a:graphic>
        </xdr:graphicFrame>
      </mc:Choice>
      <mc:Fallback xmlns="">
        <xdr:sp macro="" textlink="">
          <xdr:nvSpPr>
            <xdr:cNvPr id="0" name=""/>
            <xdr:cNvSpPr>
              <a:spLocks noTextEdit="1"/>
            </xdr:cNvSpPr>
          </xdr:nvSpPr>
          <xdr:spPr>
            <a:xfrm>
              <a:off x="395009" y="2313325"/>
              <a:ext cx="3248882" cy="42976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159507</xdr:colOff>
      <xdr:row>14</xdr:row>
      <xdr:rowOff>138303</xdr:rowOff>
    </xdr:from>
    <xdr:to>
      <xdr:col>5</xdr:col>
      <xdr:colOff>486057</xdr:colOff>
      <xdr:row>23</xdr:row>
      <xdr:rowOff>3714</xdr:rowOff>
    </xdr:to>
    <xdr:grpSp>
      <xdr:nvGrpSpPr>
        <xdr:cNvPr id="38" name="Group 37">
          <a:extLst>
            <a:ext uri="{FF2B5EF4-FFF2-40B4-BE49-F238E27FC236}">
              <a16:creationId xmlns:a16="http://schemas.microsoft.com/office/drawing/2014/main" id="{152F9F05-9799-A6A3-DDA0-343DEE17373D}"/>
            </a:ext>
          </a:extLst>
        </xdr:cNvPr>
        <xdr:cNvGrpSpPr/>
      </xdr:nvGrpSpPr>
      <xdr:grpSpPr>
        <a:xfrm>
          <a:off x="159507" y="2805303"/>
          <a:ext cx="3374550" cy="1579911"/>
          <a:chOff x="187520" y="3290482"/>
          <a:chExt cx="3384822" cy="1582170"/>
        </a:xfrm>
      </xdr:grpSpPr>
      <xdr:sp macro="" textlink="">
        <xdr:nvSpPr>
          <xdr:cNvPr id="11" name="TextBox 10">
            <a:extLst>
              <a:ext uri="{FF2B5EF4-FFF2-40B4-BE49-F238E27FC236}">
                <a16:creationId xmlns:a16="http://schemas.microsoft.com/office/drawing/2014/main" id="{F6EA1939-EA3B-4B74-5050-A2300B13203A}"/>
              </a:ext>
            </a:extLst>
          </xdr:cNvPr>
          <xdr:cNvSpPr txBox="1"/>
        </xdr:nvSpPr>
        <xdr:spPr>
          <a:xfrm>
            <a:off x="390720" y="3290482"/>
            <a:ext cx="3181622" cy="3975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r>
              <a:rPr lang="en-IN" sz="2800">
                <a:solidFill>
                  <a:schemeClr val="bg1"/>
                </a:solidFill>
                <a:latin typeface="Avenir Book" panose="020B0503020203020204" pitchFamily="34" charset="-78"/>
                <a:ea typeface="+mn-ea"/>
                <a:cs typeface="Avenir Book" panose="020B0503020203020204" pitchFamily="34" charset="-78"/>
              </a:rPr>
              <a:t>Financial Statistics</a:t>
            </a:r>
          </a:p>
        </xdr:txBody>
      </xdr:sp>
      <xdr:sp macro="" textlink="'Pivot Tables'!R7">
        <xdr:nvSpPr>
          <xdr:cNvPr id="12" name="TextBox 11">
            <a:extLst>
              <a:ext uri="{FF2B5EF4-FFF2-40B4-BE49-F238E27FC236}">
                <a16:creationId xmlns:a16="http://schemas.microsoft.com/office/drawing/2014/main" id="{C1BE8A7F-005F-4C9E-7679-25A29ABDEF49}"/>
              </a:ext>
            </a:extLst>
          </xdr:cNvPr>
          <xdr:cNvSpPr txBox="1"/>
        </xdr:nvSpPr>
        <xdr:spPr>
          <a:xfrm>
            <a:off x="187520" y="3774949"/>
            <a:ext cx="3181622" cy="6270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E9482AC8-63E8-4E7C-B2FA-A721915EC6C2}" type="TxLink">
              <a:rPr lang="en-US" sz="4800" b="0" i="0" u="none" strike="noStrike">
                <a:solidFill>
                  <a:schemeClr val="bg1"/>
                </a:solidFill>
                <a:latin typeface="Avenir Book" panose="020B0503020203020204" pitchFamily="34" charset="-78"/>
                <a:cs typeface="Avenir Book" panose="020B0503020203020204" pitchFamily="34" charset="-78"/>
              </a:rPr>
              <a:pPr algn="l"/>
              <a:t> 8,98,932 </a:t>
            </a:fld>
            <a:endParaRPr lang="en-IN" sz="213200">
              <a:solidFill>
                <a:schemeClr val="bg1"/>
              </a:solidFill>
              <a:latin typeface="Avenir Book" panose="020B0503020203020204" pitchFamily="34" charset="-78"/>
              <a:cs typeface="Avenir Book" panose="020B0503020203020204" pitchFamily="34" charset="-78"/>
            </a:endParaRPr>
          </a:p>
        </xdr:txBody>
      </xdr:sp>
      <xdr:sp macro="" textlink="">
        <xdr:nvSpPr>
          <xdr:cNvPr id="32" name="TextBox 31">
            <a:extLst>
              <a:ext uri="{FF2B5EF4-FFF2-40B4-BE49-F238E27FC236}">
                <a16:creationId xmlns:a16="http://schemas.microsoft.com/office/drawing/2014/main" id="{8D972D24-61F8-5274-E0F2-EB661C687923}"/>
              </a:ext>
            </a:extLst>
          </xdr:cNvPr>
          <xdr:cNvSpPr txBox="1"/>
        </xdr:nvSpPr>
        <xdr:spPr>
          <a:xfrm>
            <a:off x="390720" y="4475130"/>
            <a:ext cx="1367297" cy="3975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400">
                <a:solidFill>
                  <a:schemeClr val="bg1"/>
                </a:solidFill>
                <a:latin typeface="Avenir Book" panose="020B0503020203020204" pitchFamily="34" charset="-78"/>
                <a:cs typeface="Avenir Book" panose="020B0503020203020204" pitchFamily="34" charset="-78"/>
              </a:rPr>
              <a:t>Income</a:t>
            </a:r>
            <a:r>
              <a:rPr lang="en-IN" sz="1400" baseline="0">
                <a:solidFill>
                  <a:schemeClr val="bg1"/>
                </a:solidFill>
                <a:latin typeface="Avenir Book" panose="020B0503020203020204" pitchFamily="34" charset="-78"/>
                <a:cs typeface="Avenir Book" panose="020B0503020203020204" pitchFamily="34" charset="-78"/>
              </a:rPr>
              <a:t> Target</a:t>
            </a:r>
            <a:endParaRPr lang="en-IN" sz="1400">
              <a:solidFill>
                <a:schemeClr val="bg1"/>
              </a:solidFill>
              <a:latin typeface="Avenir Book" panose="020B0503020203020204" pitchFamily="34" charset="-78"/>
              <a:cs typeface="Avenir Book" panose="020B0503020203020204" pitchFamily="34" charset="-78"/>
            </a:endParaRPr>
          </a:p>
        </xdr:txBody>
      </xdr:sp>
      <xdr:sp macro="" textlink="'Pivot Tables'!Q7">
        <xdr:nvSpPr>
          <xdr:cNvPr id="36" name="TextBox 35">
            <a:extLst>
              <a:ext uri="{FF2B5EF4-FFF2-40B4-BE49-F238E27FC236}">
                <a16:creationId xmlns:a16="http://schemas.microsoft.com/office/drawing/2014/main" id="{B0CE2D5C-0D8B-2E5F-DF1B-B229FAC77AB1}"/>
              </a:ext>
            </a:extLst>
          </xdr:cNvPr>
          <xdr:cNvSpPr txBox="1"/>
        </xdr:nvSpPr>
        <xdr:spPr>
          <a:xfrm>
            <a:off x="1652129" y="4475130"/>
            <a:ext cx="1367297" cy="3975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5533026A-BE30-4C21-A055-41B705C3CC2F}" type="TxLink">
              <a:rPr lang="en-US" sz="1400" b="0" i="0" u="none" strike="noStrike">
                <a:solidFill>
                  <a:schemeClr val="bg1"/>
                </a:solidFill>
                <a:latin typeface="Avenir Book" panose="020B0503020203020204" pitchFamily="34" charset="-78"/>
                <a:cs typeface="Avenir Book" panose="020B0503020203020204" pitchFamily="34" charset="-78"/>
              </a:rPr>
              <a:pPr algn="l"/>
              <a:t> 8,21,612 </a:t>
            </a:fld>
            <a:endParaRPr lang="en-IN" sz="1800">
              <a:solidFill>
                <a:schemeClr val="bg1"/>
              </a:solidFill>
              <a:latin typeface="Avenir Book" panose="020B0503020203020204" pitchFamily="34" charset="-78"/>
              <a:cs typeface="Avenir Book" panose="020B0503020203020204" pitchFamily="34" charset="-78"/>
            </a:endParaRPr>
          </a:p>
        </xdr:txBody>
      </xdr:sp>
    </xdr:grpSp>
    <xdr:clientData/>
  </xdr:twoCellAnchor>
  <xdr:twoCellAnchor editAs="absolute">
    <xdr:from>
      <xdr:col>0</xdr:col>
      <xdr:colOff>250031</xdr:colOff>
      <xdr:row>24</xdr:row>
      <xdr:rowOff>36666</xdr:rowOff>
    </xdr:from>
    <xdr:to>
      <xdr:col>4</xdr:col>
      <xdr:colOff>526698</xdr:colOff>
      <xdr:row>30</xdr:row>
      <xdr:rowOff>82386</xdr:rowOff>
    </xdr:to>
    <xdr:graphicFrame macro="">
      <xdr:nvGraphicFramePr>
        <xdr:cNvPr id="8" name="Chart 7">
          <a:extLst>
            <a:ext uri="{FF2B5EF4-FFF2-40B4-BE49-F238E27FC236}">
              <a16:creationId xmlns:a16="http://schemas.microsoft.com/office/drawing/2014/main" id="{860B77FE-DEAE-44C8-940B-9AFB97BA62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absolute">
    <xdr:from>
      <xdr:col>0</xdr:col>
      <xdr:colOff>377690</xdr:colOff>
      <xdr:row>32</xdr:row>
      <xdr:rowOff>34638</xdr:rowOff>
    </xdr:from>
    <xdr:to>
      <xdr:col>3</xdr:col>
      <xdr:colOff>609048</xdr:colOff>
      <xdr:row>34</xdr:row>
      <xdr:rowOff>49047</xdr:rowOff>
    </xdr:to>
    <xdr:sp macro="" textlink="">
      <xdr:nvSpPr>
        <xdr:cNvPr id="9" name="TextBox 8">
          <a:extLst>
            <a:ext uri="{FF2B5EF4-FFF2-40B4-BE49-F238E27FC236}">
              <a16:creationId xmlns:a16="http://schemas.microsoft.com/office/drawing/2014/main" id="{02BCFEEE-7BA8-4642-AB64-AA4F285518B3}"/>
            </a:ext>
          </a:extLst>
        </xdr:cNvPr>
        <xdr:cNvSpPr txBox="1"/>
      </xdr:nvSpPr>
      <xdr:spPr>
        <a:xfrm>
          <a:off x="377690" y="6130638"/>
          <a:ext cx="2060158" cy="3954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800">
              <a:solidFill>
                <a:schemeClr val="bg1"/>
              </a:solidFill>
              <a:latin typeface="Avenir Book" panose="020B0503020203020204" pitchFamily="34" charset="-78"/>
              <a:cs typeface="Avenir Book" panose="020B0503020203020204" pitchFamily="34" charset="-78"/>
            </a:rPr>
            <a:t>Quantity of item's</a:t>
          </a:r>
        </a:p>
      </xdr:txBody>
    </xdr:sp>
    <xdr:clientData/>
  </xdr:twoCellAnchor>
  <xdr:twoCellAnchor editAs="absolute">
    <xdr:from>
      <xdr:col>0</xdr:col>
      <xdr:colOff>328853</xdr:colOff>
      <xdr:row>34</xdr:row>
      <xdr:rowOff>80669</xdr:rowOff>
    </xdr:from>
    <xdr:to>
      <xdr:col>5</xdr:col>
      <xdr:colOff>459162</xdr:colOff>
      <xdr:row>44</xdr:row>
      <xdr:rowOff>162916</xdr:rowOff>
    </xdr:to>
    <xdr:grpSp>
      <xdr:nvGrpSpPr>
        <xdr:cNvPr id="1037" name="Group 1036">
          <a:extLst>
            <a:ext uri="{FF2B5EF4-FFF2-40B4-BE49-F238E27FC236}">
              <a16:creationId xmlns:a16="http://schemas.microsoft.com/office/drawing/2014/main" id="{0A1A1460-F7B9-9DBD-9FB1-B76DD687BEEB}"/>
            </a:ext>
          </a:extLst>
        </xdr:cNvPr>
        <xdr:cNvGrpSpPr/>
      </xdr:nvGrpSpPr>
      <xdr:grpSpPr>
        <a:xfrm>
          <a:off x="328853" y="6557669"/>
          <a:ext cx="3178309" cy="1987247"/>
          <a:chOff x="481253" y="7299890"/>
          <a:chExt cx="3179302" cy="1993392"/>
        </a:xfrm>
      </xdr:grpSpPr>
      <xdr:grpSp>
        <xdr:nvGrpSpPr>
          <xdr:cNvPr id="45" name="Group 44">
            <a:extLst>
              <a:ext uri="{FF2B5EF4-FFF2-40B4-BE49-F238E27FC236}">
                <a16:creationId xmlns:a16="http://schemas.microsoft.com/office/drawing/2014/main" id="{259871F5-2553-C4F4-BA87-076C757AD086}"/>
              </a:ext>
            </a:extLst>
          </xdr:cNvPr>
          <xdr:cNvGrpSpPr/>
        </xdr:nvGrpSpPr>
        <xdr:grpSpPr>
          <a:xfrm>
            <a:off x="609316" y="7299890"/>
            <a:ext cx="1348109" cy="1993392"/>
            <a:chOff x="770401" y="7246662"/>
            <a:chExt cx="951695" cy="1110058"/>
          </a:xfrm>
        </xdr:grpSpPr>
        <xdr:sp macro="" textlink="'Pivot Tables'!H7">
          <xdr:nvSpPr>
            <xdr:cNvPr id="10" name="TextBox 9">
              <a:extLst>
                <a:ext uri="{FF2B5EF4-FFF2-40B4-BE49-F238E27FC236}">
                  <a16:creationId xmlns:a16="http://schemas.microsoft.com/office/drawing/2014/main" id="{6520FB58-B8DA-4CC8-BDE4-A9E672EB4A57}"/>
                </a:ext>
              </a:extLst>
            </xdr:cNvPr>
            <xdr:cNvSpPr txBox="1"/>
          </xdr:nvSpPr>
          <xdr:spPr>
            <a:xfrm>
              <a:off x="770403" y="7246662"/>
              <a:ext cx="951693" cy="1773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E9E006A5-FF43-4921-9E82-3496A5E580B7}" type="TxLink">
                <a:rPr lang="en-US" sz="1100" b="0" i="0" u="none" strike="noStrike">
                  <a:solidFill>
                    <a:schemeClr val="bg1"/>
                  </a:solidFill>
                  <a:latin typeface="Avenir Medium" panose="020B0603020203020204" pitchFamily="34" charset="-78"/>
                  <a:cs typeface="Avenir Medium" panose="020B0603020203020204" pitchFamily="34" charset="-78"/>
                </a:rPr>
                <a:pPr algn="l"/>
                <a:t>Usage fees</a:t>
              </a:fld>
              <a:endParaRPr lang="en-IN" sz="1800">
                <a:solidFill>
                  <a:schemeClr val="bg1"/>
                </a:solidFill>
                <a:latin typeface="Avenir Medium" panose="020B0603020203020204" pitchFamily="34" charset="-78"/>
                <a:cs typeface="Avenir Medium" panose="020B0603020203020204" pitchFamily="34" charset="-78"/>
              </a:endParaRPr>
            </a:p>
          </xdr:txBody>
        </xdr:sp>
        <xdr:sp macro="" textlink="'Pivot Tables'!H8">
          <xdr:nvSpPr>
            <xdr:cNvPr id="35" name="TextBox 34">
              <a:extLst>
                <a:ext uri="{FF2B5EF4-FFF2-40B4-BE49-F238E27FC236}">
                  <a16:creationId xmlns:a16="http://schemas.microsoft.com/office/drawing/2014/main" id="{6D82E066-0ECD-A8ED-996D-3DDA8FABE786}"/>
                </a:ext>
              </a:extLst>
            </xdr:cNvPr>
            <xdr:cNvSpPr txBox="1"/>
          </xdr:nvSpPr>
          <xdr:spPr>
            <a:xfrm>
              <a:off x="770403" y="7437812"/>
              <a:ext cx="951693" cy="1773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54F93FB3-134A-4A43-AEE3-2F73A8625009}" type="TxLink">
                <a:rPr lang="en-US" sz="1100" b="0" i="0" u="none" strike="noStrike">
                  <a:solidFill>
                    <a:schemeClr val="bg1"/>
                  </a:solidFill>
                  <a:latin typeface="Avenir Medium" panose="020B0603020203020204" pitchFamily="34" charset="-78"/>
                  <a:cs typeface="Avenir Medium" panose="020B0603020203020204" pitchFamily="34" charset="-78"/>
                </a:rPr>
                <a:pPr algn="l"/>
                <a:t>Subscription</a:t>
              </a:fld>
              <a:endParaRPr lang="en-IN" sz="1800">
                <a:solidFill>
                  <a:schemeClr val="bg1"/>
                </a:solidFill>
                <a:latin typeface="Avenir Medium" panose="020B0603020203020204" pitchFamily="34" charset="-78"/>
                <a:cs typeface="Avenir Medium" panose="020B0603020203020204" pitchFamily="34" charset="-78"/>
              </a:endParaRPr>
            </a:p>
          </xdr:txBody>
        </xdr:sp>
        <xdr:sp macro="" textlink="'Pivot Tables'!H9">
          <xdr:nvSpPr>
            <xdr:cNvPr id="42" name="TextBox 41">
              <a:extLst>
                <a:ext uri="{FF2B5EF4-FFF2-40B4-BE49-F238E27FC236}">
                  <a16:creationId xmlns:a16="http://schemas.microsoft.com/office/drawing/2014/main" id="{9C597F50-6DB3-12B8-87A2-A6AABFB8289A}"/>
                </a:ext>
              </a:extLst>
            </xdr:cNvPr>
            <xdr:cNvSpPr txBox="1"/>
          </xdr:nvSpPr>
          <xdr:spPr>
            <a:xfrm>
              <a:off x="770403" y="7628963"/>
              <a:ext cx="951693" cy="1773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C3212B8C-1995-44B6-8ADF-C9373E399229}" type="TxLink">
                <a:rPr lang="en-US" sz="1100" b="0" i="0" u="none" strike="noStrike">
                  <a:solidFill>
                    <a:schemeClr val="bg1"/>
                  </a:solidFill>
                  <a:latin typeface="Avenir Medium" panose="020B0603020203020204" pitchFamily="34" charset="-78"/>
                  <a:cs typeface="Avenir Medium" panose="020B0603020203020204" pitchFamily="34" charset="-78"/>
                </a:rPr>
                <a:pPr algn="l"/>
                <a:t>Renting</a:t>
              </a:fld>
              <a:endParaRPr lang="en-IN" sz="1800">
                <a:solidFill>
                  <a:schemeClr val="bg1"/>
                </a:solidFill>
                <a:latin typeface="Avenir Medium" panose="020B0603020203020204" pitchFamily="34" charset="-78"/>
                <a:cs typeface="Avenir Medium" panose="020B0603020203020204" pitchFamily="34" charset="-78"/>
              </a:endParaRPr>
            </a:p>
          </xdr:txBody>
        </xdr:sp>
        <xdr:sp macro="" textlink="'Pivot Tables'!H10">
          <xdr:nvSpPr>
            <xdr:cNvPr id="43" name="TextBox 42">
              <a:extLst>
                <a:ext uri="{FF2B5EF4-FFF2-40B4-BE49-F238E27FC236}">
                  <a16:creationId xmlns:a16="http://schemas.microsoft.com/office/drawing/2014/main" id="{2739FA43-857A-68E9-8EAC-DCB1F5F1DAFC}"/>
                </a:ext>
              </a:extLst>
            </xdr:cNvPr>
            <xdr:cNvSpPr txBox="1"/>
          </xdr:nvSpPr>
          <xdr:spPr>
            <a:xfrm>
              <a:off x="770403" y="7820113"/>
              <a:ext cx="951693" cy="1773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1197ADC4-03FD-4B91-B0C0-AC5B60005B2F}" type="TxLink">
                <a:rPr lang="en-US" sz="1100" b="0" i="0" u="none" strike="noStrike">
                  <a:solidFill>
                    <a:schemeClr val="bg1"/>
                  </a:solidFill>
                  <a:latin typeface="Avenir Medium" panose="020B0603020203020204" pitchFamily="34" charset="-78"/>
                  <a:cs typeface="Avenir Medium" panose="020B0603020203020204" pitchFamily="34" charset="-78"/>
                </a:rPr>
                <a:pPr algn="l"/>
                <a:t>Licensing</a:t>
              </a:fld>
              <a:endParaRPr lang="en-IN" sz="1800">
                <a:solidFill>
                  <a:schemeClr val="bg1"/>
                </a:solidFill>
                <a:latin typeface="Avenir Medium" panose="020B0603020203020204" pitchFamily="34" charset="-78"/>
                <a:cs typeface="Avenir Medium" panose="020B0603020203020204" pitchFamily="34" charset="-78"/>
              </a:endParaRPr>
            </a:p>
          </xdr:txBody>
        </xdr:sp>
        <xdr:sp macro="" textlink="'Pivot Tables'!H12">
          <xdr:nvSpPr>
            <xdr:cNvPr id="44" name="TextBox 43">
              <a:extLst>
                <a:ext uri="{FF2B5EF4-FFF2-40B4-BE49-F238E27FC236}">
                  <a16:creationId xmlns:a16="http://schemas.microsoft.com/office/drawing/2014/main" id="{0B1D9D0D-35D4-8561-BB27-ECD3DF8ABC73}"/>
                </a:ext>
              </a:extLst>
            </xdr:cNvPr>
            <xdr:cNvSpPr txBox="1"/>
          </xdr:nvSpPr>
          <xdr:spPr>
            <a:xfrm>
              <a:off x="770403" y="8011264"/>
              <a:ext cx="951693" cy="1773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BB948F92-4D75-472B-B6D7-8D011066C01B}" type="TxLink">
                <a:rPr lang="en-US" sz="1100" b="0" i="0" u="none" strike="noStrike">
                  <a:solidFill>
                    <a:schemeClr val="bg1"/>
                  </a:solidFill>
                  <a:latin typeface="Avenir Medium" panose="020B0603020203020204" pitchFamily="34" charset="-78"/>
                  <a:cs typeface="Avenir Medium" panose="020B0603020203020204" pitchFamily="34" charset="-78"/>
                </a:rPr>
                <a:pPr algn="l"/>
                <a:t>Advertising</a:t>
              </a:fld>
              <a:endParaRPr lang="en-IN" sz="1800">
                <a:solidFill>
                  <a:schemeClr val="bg1"/>
                </a:solidFill>
                <a:latin typeface="Avenir Medium" panose="020B0603020203020204" pitchFamily="34" charset="-78"/>
                <a:cs typeface="Avenir Medium" panose="020B0603020203020204" pitchFamily="34" charset="-78"/>
              </a:endParaRPr>
            </a:p>
          </xdr:txBody>
        </xdr:sp>
        <xdr:sp macro="" textlink="'Pivot Tables'!H11">
          <xdr:nvSpPr>
            <xdr:cNvPr id="52" name="TextBox 51">
              <a:extLst>
                <a:ext uri="{FF2B5EF4-FFF2-40B4-BE49-F238E27FC236}">
                  <a16:creationId xmlns:a16="http://schemas.microsoft.com/office/drawing/2014/main" id="{F82A7923-2635-7C5E-6FF3-4F8AF8CD2D4F}"/>
                </a:ext>
              </a:extLst>
            </xdr:cNvPr>
            <xdr:cNvSpPr txBox="1"/>
          </xdr:nvSpPr>
          <xdr:spPr>
            <a:xfrm>
              <a:off x="770401" y="8179349"/>
              <a:ext cx="951693" cy="1773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D7CB9742-95FF-4331-8404-931787DD13CD}" type="TxLink">
                <a:rPr lang="en-US" sz="1100" b="0" i="0" u="none" strike="noStrike">
                  <a:solidFill>
                    <a:schemeClr val="bg1"/>
                  </a:solidFill>
                  <a:latin typeface="Avenir Medium" panose="020B0603020203020204" pitchFamily="34" charset="-78"/>
                  <a:cs typeface="Avenir Medium" panose="020B0603020203020204" pitchFamily="34" charset="-78"/>
                </a:rPr>
                <a:pPr algn="l"/>
                <a:t>Asset sale</a:t>
              </a:fld>
              <a:endParaRPr lang="en-IN" sz="1800">
                <a:solidFill>
                  <a:schemeClr val="bg1"/>
                </a:solidFill>
                <a:latin typeface="Avenir Medium" panose="020B0603020203020204" pitchFamily="34" charset="-78"/>
                <a:cs typeface="Avenir Medium" panose="020B0603020203020204" pitchFamily="34" charset="-78"/>
              </a:endParaRPr>
            </a:p>
          </xdr:txBody>
        </xdr:sp>
      </xdr:grpSp>
      <xdr:grpSp>
        <xdr:nvGrpSpPr>
          <xdr:cNvPr id="55" name="Group 54">
            <a:extLst>
              <a:ext uri="{FF2B5EF4-FFF2-40B4-BE49-F238E27FC236}">
                <a16:creationId xmlns:a16="http://schemas.microsoft.com/office/drawing/2014/main" id="{32BA7553-1983-680F-809B-376D1D8717D8}"/>
              </a:ext>
            </a:extLst>
          </xdr:cNvPr>
          <xdr:cNvGrpSpPr/>
        </xdr:nvGrpSpPr>
        <xdr:grpSpPr>
          <a:xfrm>
            <a:off x="1727843" y="7299890"/>
            <a:ext cx="1348109" cy="1993392"/>
            <a:chOff x="770401" y="7246662"/>
            <a:chExt cx="951695" cy="1110058"/>
          </a:xfrm>
        </xdr:grpSpPr>
        <xdr:sp macro="" textlink="'Pivot Tables'!O7">
          <xdr:nvSpPr>
            <xdr:cNvPr id="56" name="TextBox 55">
              <a:extLst>
                <a:ext uri="{FF2B5EF4-FFF2-40B4-BE49-F238E27FC236}">
                  <a16:creationId xmlns:a16="http://schemas.microsoft.com/office/drawing/2014/main" id="{FF5554DD-C485-436F-27C9-700BC4015FEA}"/>
                </a:ext>
              </a:extLst>
            </xdr:cNvPr>
            <xdr:cNvSpPr txBox="1"/>
          </xdr:nvSpPr>
          <xdr:spPr>
            <a:xfrm>
              <a:off x="770403" y="7246662"/>
              <a:ext cx="951693" cy="1773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71D2BA0-BF7E-4AA6-A5C2-9702D4501D38}" type="TxLink">
                <a:rPr lang="en-US" sz="1100" b="0" i="0" u="none" strike="noStrike">
                  <a:solidFill>
                    <a:schemeClr val="bg1"/>
                  </a:solidFill>
                  <a:latin typeface="Avenir Medium" panose="020B0603020203020204" pitchFamily="34" charset="-78"/>
                  <a:cs typeface="Avenir Medium" panose="020B0603020203020204" pitchFamily="34" charset="-78"/>
                </a:rPr>
                <a:pPr algn="ctr"/>
                <a:t>10%</a:t>
              </a:fld>
              <a:endParaRPr lang="en-IN" sz="1800">
                <a:solidFill>
                  <a:schemeClr val="bg1"/>
                </a:solidFill>
                <a:latin typeface="Avenir Medium" panose="020B0603020203020204" pitchFamily="34" charset="-78"/>
                <a:cs typeface="Avenir Medium" panose="020B0603020203020204" pitchFamily="34" charset="-78"/>
              </a:endParaRPr>
            </a:p>
          </xdr:txBody>
        </xdr:sp>
        <xdr:sp macro="" textlink="'Pivot Tables'!O8">
          <xdr:nvSpPr>
            <xdr:cNvPr id="57" name="TextBox 56">
              <a:extLst>
                <a:ext uri="{FF2B5EF4-FFF2-40B4-BE49-F238E27FC236}">
                  <a16:creationId xmlns:a16="http://schemas.microsoft.com/office/drawing/2014/main" id="{C587E8C0-73CC-F39C-7470-983A8172EE4C}"/>
                </a:ext>
              </a:extLst>
            </xdr:cNvPr>
            <xdr:cNvSpPr txBox="1"/>
          </xdr:nvSpPr>
          <xdr:spPr>
            <a:xfrm>
              <a:off x="770403" y="7433199"/>
              <a:ext cx="951693" cy="1773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CE52676-25AF-4ACA-802D-E95298BBD353}" type="TxLink">
                <a:rPr lang="en-US" sz="1100" b="0" i="0" u="none" strike="noStrike">
                  <a:solidFill>
                    <a:schemeClr val="bg1"/>
                  </a:solidFill>
                  <a:latin typeface="Avenir Medium" panose="020B0603020203020204" pitchFamily="34" charset="-78"/>
                  <a:cs typeface="Avenir Medium" panose="020B0603020203020204" pitchFamily="34" charset="-78"/>
                </a:rPr>
                <a:pPr algn="ctr"/>
                <a:t>11%</a:t>
              </a:fld>
              <a:endParaRPr lang="en-IN" sz="1800">
                <a:solidFill>
                  <a:schemeClr val="bg1"/>
                </a:solidFill>
                <a:latin typeface="Avenir Medium" panose="020B0603020203020204" pitchFamily="34" charset="-78"/>
                <a:cs typeface="Avenir Medium" panose="020B0603020203020204" pitchFamily="34" charset="-78"/>
              </a:endParaRPr>
            </a:p>
          </xdr:txBody>
        </xdr:sp>
        <xdr:sp macro="" textlink="'Pivot Tables'!O9">
          <xdr:nvSpPr>
            <xdr:cNvPr id="58" name="TextBox 57">
              <a:extLst>
                <a:ext uri="{FF2B5EF4-FFF2-40B4-BE49-F238E27FC236}">
                  <a16:creationId xmlns:a16="http://schemas.microsoft.com/office/drawing/2014/main" id="{2B2A458F-BE53-57D2-6217-40F09F43C22D}"/>
                </a:ext>
              </a:extLst>
            </xdr:cNvPr>
            <xdr:cNvSpPr txBox="1"/>
          </xdr:nvSpPr>
          <xdr:spPr>
            <a:xfrm>
              <a:off x="770403" y="7619736"/>
              <a:ext cx="951693" cy="1773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078DA04-6A54-46B8-B131-6519C6D4D2AC}" type="TxLink">
                <a:rPr lang="en-US" sz="1100" b="0" i="0" u="none" strike="noStrike">
                  <a:solidFill>
                    <a:schemeClr val="bg1"/>
                  </a:solidFill>
                  <a:latin typeface="Avenir Medium" panose="020B0603020203020204" pitchFamily="34" charset="-78"/>
                  <a:cs typeface="Avenir Medium" panose="020B0603020203020204" pitchFamily="34" charset="-78"/>
                </a:rPr>
                <a:pPr algn="ctr"/>
                <a:t>14%</a:t>
              </a:fld>
              <a:endParaRPr lang="en-IN" sz="1800">
                <a:solidFill>
                  <a:schemeClr val="bg1"/>
                </a:solidFill>
                <a:latin typeface="Avenir Medium" panose="020B0603020203020204" pitchFamily="34" charset="-78"/>
                <a:cs typeface="Avenir Medium" panose="020B0603020203020204" pitchFamily="34" charset="-78"/>
              </a:endParaRPr>
            </a:p>
          </xdr:txBody>
        </xdr:sp>
        <xdr:sp macro="" textlink="'Pivot Tables'!O10">
          <xdr:nvSpPr>
            <xdr:cNvPr id="59" name="TextBox 58">
              <a:extLst>
                <a:ext uri="{FF2B5EF4-FFF2-40B4-BE49-F238E27FC236}">
                  <a16:creationId xmlns:a16="http://schemas.microsoft.com/office/drawing/2014/main" id="{8AEC8BD8-957A-4E35-25B8-2AEB74889344}"/>
                </a:ext>
              </a:extLst>
            </xdr:cNvPr>
            <xdr:cNvSpPr txBox="1"/>
          </xdr:nvSpPr>
          <xdr:spPr>
            <a:xfrm>
              <a:off x="770403" y="7806273"/>
              <a:ext cx="951693" cy="1773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548A11D-E702-4D67-B3EE-954A5E153368}" type="TxLink">
                <a:rPr lang="en-US" sz="1100" b="0" i="0" u="none" strike="noStrike">
                  <a:solidFill>
                    <a:schemeClr val="bg1"/>
                  </a:solidFill>
                  <a:latin typeface="Avenir Medium" panose="020B0603020203020204" pitchFamily="34" charset="-78"/>
                  <a:cs typeface="Avenir Medium" panose="020B0603020203020204" pitchFamily="34" charset="-78"/>
                </a:rPr>
                <a:pPr algn="ctr"/>
                <a:t>62%</a:t>
              </a:fld>
              <a:endParaRPr lang="en-IN" sz="1800">
                <a:solidFill>
                  <a:schemeClr val="bg1"/>
                </a:solidFill>
                <a:latin typeface="Avenir Medium" panose="020B0603020203020204" pitchFamily="34" charset="-78"/>
                <a:cs typeface="Avenir Medium" panose="020B0603020203020204" pitchFamily="34" charset="-78"/>
              </a:endParaRPr>
            </a:p>
          </xdr:txBody>
        </xdr:sp>
        <xdr:sp macro="" textlink="'Pivot Tables'!O12">
          <xdr:nvSpPr>
            <xdr:cNvPr id="60" name="TextBox 59">
              <a:extLst>
                <a:ext uri="{FF2B5EF4-FFF2-40B4-BE49-F238E27FC236}">
                  <a16:creationId xmlns:a16="http://schemas.microsoft.com/office/drawing/2014/main" id="{B1693039-B4C3-55FA-A3CE-95ADE99C335E}"/>
                </a:ext>
              </a:extLst>
            </xdr:cNvPr>
            <xdr:cNvSpPr txBox="1"/>
          </xdr:nvSpPr>
          <xdr:spPr>
            <a:xfrm>
              <a:off x="770403" y="7992811"/>
              <a:ext cx="951693" cy="1773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9026F2E-1067-4A3D-AE5E-9207D5BDA68E}" type="TxLink">
                <a:rPr lang="en-US" sz="1100" b="0" i="0" u="none" strike="noStrike">
                  <a:solidFill>
                    <a:schemeClr val="bg1"/>
                  </a:solidFill>
                  <a:latin typeface="Avenir Medium" panose="020B0603020203020204" pitchFamily="34" charset="-78"/>
                  <a:cs typeface="Avenir Medium" panose="020B0603020203020204" pitchFamily="34" charset="-78"/>
                </a:rPr>
                <a:pPr algn="ctr"/>
                <a:t>2%</a:t>
              </a:fld>
              <a:endParaRPr lang="en-IN" sz="1800">
                <a:solidFill>
                  <a:schemeClr val="bg1"/>
                </a:solidFill>
                <a:latin typeface="Avenir Medium" panose="020B0603020203020204" pitchFamily="34" charset="-78"/>
                <a:cs typeface="Avenir Medium" panose="020B0603020203020204" pitchFamily="34" charset="-78"/>
              </a:endParaRPr>
            </a:p>
          </xdr:txBody>
        </xdr:sp>
        <xdr:sp macro="" textlink="'Pivot Tables'!O11">
          <xdr:nvSpPr>
            <xdr:cNvPr id="61" name="TextBox 60">
              <a:extLst>
                <a:ext uri="{FF2B5EF4-FFF2-40B4-BE49-F238E27FC236}">
                  <a16:creationId xmlns:a16="http://schemas.microsoft.com/office/drawing/2014/main" id="{A5E184C0-0BA4-0B5A-DFB6-539006B0173E}"/>
                </a:ext>
              </a:extLst>
            </xdr:cNvPr>
            <xdr:cNvSpPr txBox="1"/>
          </xdr:nvSpPr>
          <xdr:spPr>
            <a:xfrm>
              <a:off x="770401" y="8179349"/>
              <a:ext cx="951693" cy="1773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5F09A19-E825-48B1-AEAF-37979047FC95}" type="TxLink">
                <a:rPr lang="en-US" sz="1100" b="0" i="0" u="none" strike="noStrike">
                  <a:solidFill>
                    <a:schemeClr val="bg1"/>
                  </a:solidFill>
                  <a:latin typeface="Avenir Medium" panose="020B0603020203020204" pitchFamily="34" charset="-78"/>
                  <a:cs typeface="Avenir Medium" panose="020B0603020203020204" pitchFamily="34" charset="-78"/>
                </a:rPr>
                <a:pPr algn="ctr"/>
                <a:t>0%</a:t>
              </a:fld>
              <a:endParaRPr lang="en-IN" sz="1800">
                <a:solidFill>
                  <a:schemeClr val="bg1"/>
                </a:solidFill>
                <a:latin typeface="Avenir Medium" panose="020B0603020203020204" pitchFamily="34" charset="-78"/>
                <a:cs typeface="Avenir Medium" panose="020B0603020203020204" pitchFamily="34" charset="-78"/>
              </a:endParaRPr>
            </a:p>
          </xdr:txBody>
        </xdr:sp>
      </xdr:grpSp>
      <xdr:grpSp>
        <xdr:nvGrpSpPr>
          <xdr:cNvPr id="62" name="Group 61">
            <a:extLst>
              <a:ext uri="{FF2B5EF4-FFF2-40B4-BE49-F238E27FC236}">
                <a16:creationId xmlns:a16="http://schemas.microsoft.com/office/drawing/2014/main" id="{25B8FDCD-08B9-470D-8C24-0785DF7E3821}"/>
              </a:ext>
            </a:extLst>
          </xdr:cNvPr>
          <xdr:cNvGrpSpPr/>
        </xdr:nvGrpSpPr>
        <xdr:grpSpPr>
          <a:xfrm>
            <a:off x="2315545" y="7299890"/>
            <a:ext cx="1345010" cy="1991058"/>
            <a:chOff x="770401" y="7246662"/>
            <a:chExt cx="951695" cy="1110058"/>
          </a:xfrm>
        </xdr:grpSpPr>
        <xdr:sp macro="" textlink="'Pivot Tables'!N7">
          <xdr:nvSpPr>
            <xdr:cNvPr id="63" name="TextBox 62">
              <a:extLst>
                <a:ext uri="{FF2B5EF4-FFF2-40B4-BE49-F238E27FC236}">
                  <a16:creationId xmlns:a16="http://schemas.microsoft.com/office/drawing/2014/main" id="{21B26218-7683-E95E-71F7-9283E4F4B85E}"/>
                </a:ext>
              </a:extLst>
            </xdr:cNvPr>
            <xdr:cNvSpPr txBox="1"/>
          </xdr:nvSpPr>
          <xdr:spPr>
            <a:xfrm>
              <a:off x="770403" y="7246662"/>
              <a:ext cx="951693" cy="1773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34C3E02-C1CC-43A5-9DB6-C462D7E4287C}" type="TxLink">
                <a:rPr lang="en-US" sz="1100" b="0" i="0" u="none" strike="noStrike">
                  <a:solidFill>
                    <a:schemeClr val="bg1"/>
                  </a:solidFill>
                  <a:latin typeface="Avenir Medium" panose="020B0603020203020204" pitchFamily="34" charset="-78"/>
                  <a:cs typeface="Avenir Medium" panose="020B0603020203020204" pitchFamily="34" charset="-78"/>
                </a:rPr>
                <a:pPr algn="ctr"/>
                <a:t> 11,856 </a:t>
              </a:fld>
              <a:endParaRPr lang="en-IN" sz="1800">
                <a:solidFill>
                  <a:schemeClr val="bg1"/>
                </a:solidFill>
                <a:latin typeface="Avenir Medium" panose="020B0603020203020204" pitchFamily="34" charset="-78"/>
                <a:cs typeface="Avenir Medium" panose="020B0603020203020204" pitchFamily="34" charset="-78"/>
              </a:endParaRPr>
            </a:p>
          </xdr:txBody>
        </xdr:sp>
        <xdr:sp macro="" textlink="'Pivot Tables'!N8">
          <xdr:nvSpPr>
            <xdr:cNvPr id="1024" name="TextBox 1023">
              <a:extLst>
                <a:ext uri="{FF2B5EF4-FFF2-40B4-BE49-F238E27FC236}">
                  <a16:creationId xmlns:a16="http://schemas.microsoft.com/office/drawing/2014/main" id="{06925702-4AA2-B2EA-746B-BBC4071CC3D6}"/>
                </a:ext>
              </a:extLst>
            </xdr:cNvPr>
            <xdr:cNvSpPr txBox="1"/>
          </xdr:nvSpPr>
          <xdr:spPr>
            <a:xfrm>
              <a:off x="770403" y="7433199"/>
              <a:ext cx="951693" cy="1773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9270DF2-4374-4019-A559-5EF65DF58038}" type="TxLink">
                <a:rPr lang="en-US" sz="1100" b="0" i="0" u="none" strike="noStrike">
                  <a:solidFill>
                    <a:schemeClr val="bg1"/>
                  </a:solidFill>
                  <a:latin typeface="Avenir Medium" panose="020B0603020203020204" pitchFamily="34" charset="-78"/>
                  <a:cs typeface="Avenir Medium" panose="020B0603020203020204" pitchFamily="34" charset="-78"/>
                </a:rPr>
                <a:pPr algn="ctr"/>
                <a:t> 13,188 </a:t>
              </a:fld>
              <a:endParaRPr lang="en-IN" sz="1800">
                <a:solidFill>
                  <a:schemeClr val="bg1"/>
                </a:solidFill>
                <a:latin typeface="Avenir Medium" panose="020B0603020203020204" pitchFamily="34" charset="-78"/>
                <a:cs typeface="Avenir Medium" panose="020B0603020203020204" pitchFamily="34" charset="-78"/>
              </a:endParaRPr>
            </a:p>
          </xdr:txBody>
        </xdr:sp>
        <xdr:sp macro="" textlink="'Pivot Tables'!N9">
          <xdr:nvSpPr>
            <xdr:cNvPr id="1026" name="TextBox 1025">
              <a:extLst>
                <a:ext uri="{FF2B5EF4-FFF2-40B4-BE49-F238E27FC236}">
                  <a16:creationId xmlns:a16="http://schemas.microsoft.com/office/drawing/2014/main" id="{96743B7B-9122-8A01-51E8-A44DE474038C}"/>
                </a:ext>
              </a:extLst>
            </xdr:cNvPr>
            <xdr:cNvSpPr txBox="1"/>
          </xdr:nvSpPr>
          <xdr:spPr>
            <a:xfrm>
              <a:off x="770403" y="7619737"/>
              <a:ext cx="951693" cy="1773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BB2B0CA-E14F-4037-9380-FF4ECF6C4699}" type="TxLink">
                <a:rPr lang="en-US" sz="1100" b="0" i="0" u="none" strike="noStrike">
                  <a:solidFill>
                    <a:schemeClr val="bg1"/>
                  </a:solidFill>
                  <a:latin typeface="Avenir Medium" panose="020B0603020203020204" pitchFamily="34" charset="-78"/>
                  <a:cs typeface="Avenir Medium" panose="020B0603020203020204" pitchFamily="34" charset="-78"/>
                </a:rPr>
                <a:pPr algn="ctr"/>
                <a:t> 16,488 </a:t>
              </a:fld>
              <a:endParaRPr lang="en-IN" sz="1800">
                <a:solidFill>
                  <a:schemeClr val="bg1"/>
                </a:solidFill>
                <a:latin typeface="Avenir Medium" panose="020B0603020203020204" pitchFamily="34" charset="-78"/>
                <a:cs typeface="Avenir Medium" panose="020B0603020203020204" pitchFamily="34" charset="-78"/>
              </a:endParaRPr>
            </a:p>
          </xdr:txBody>
        </xdr:sp>
        <xdr:sp macro="" textlink="'Pivot Tables'!N10">
          <xdr:nvSpPr>
            <xdr:cNvPr id="1027" name="TextBox 1026">
              <a:extLst>
                <a:ext uri="{FF2B5EF4-FFF2-40B4-BE49-F238E27FC236}">
                  <a16:creationId xmlns:a16="http://schemas.microsoft.com/office/drawing/2014/main" id="{4E5E30D6-E89C-FA8C-6CAD-4AC99840B408}"/>
                </a:ext>
              </a:extLst>
            </xdr:cNvPr>
            <xdr:cNvSpPr txBox="1"/>
          </xdr:nvSpPr>
          <xdr:spPr>
            <a:xfrm>
              <a:off x="770403" y="7806273"/>
              <a:ext cx="951693" cy="1773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4FE730F-0485-4613-B1B3-EEA8FD7F37CF}" type="TxLink">
                <a:rPr lang="en-US" sz="1100" b="0" i="0" u="none" strike="noStrike">
                  <a:solidFill>
                    <a:schemeClr val="bg1"/>
                  </a:solidFill>
                  <a:latin typeface="Avenir Medium" panose="020B0603020203020204" pitchFamily="34" charset="-78"/>
                  <a:cs typeface="Avenir Medium" panose="020B0603020203020204" pitchFamily="34" charset="-78"/>
                </a:rPr>
                <a:pPr algn="ctr"/>
                <a:t> 72,768 </a:t>
              </a:fld>
              <a:endParaRPr lang="en-IN" sz="1800">
                <a:solidFill>
                  <a:schemeClr val="bg1"/>
                </a:solidFill>
                <a:latin typeface="Avenir Medium" panose="020B0603020203020204" pitchFamily="34" charset="-78"/>
                <a:cs typeface="Avenir Medium" panose="020B0603020203020204" pitchFamily="34" charset="-78"/>
              </a:endParaRPr>
            </a:p>
          </xdr:txBody>
        </xdr:sp>
        <xdr:sp macro="" textlink="'Pivot Tables'!N12">
          <xdr:nvSpPr>
            <xdr:cNvPr id="1028" name="TextBox 1027">
              <a:extLst>
                <a:ext uri="{FF2B5EF4-FFF2-40B4-BE49-F238E27FC236}">
                  <a16:creationId xmlns:a16="http://schemas.microsoft.com/office/drawing/2014/main" id="{B9E1EBE5-223B-5B1A-D072-F4F78D454EFA}"/>
                </a:ext>
              </a:extLst>
            </xdr:cNvPr>
            <xdr:cNvSpPr txBox="1"/>
          </xdr:nvSpPr>
          <xdr:spPr>
            <a:xfrm>
              <a:off x="770403" y="7992811"/>
              <a:ext cx="951693" cy="1773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A19D777-CBD5-4540-8A9B-1ADC8FC44FFA}" type="TxLink">
                <a:rPr lang="en-US" sz="1100" b="0" i="0" u="none" strike="noStrike">
                  <a:solidFill>
                    <a:schemeClr val="bg1"/>
                  </a:solidFill>
                  <a:latin typeface="Avenir Medium" panose="020B0603020203020204" pitchFamily="34" charset="-78"/>
                  <a:cs typeface="Avenir Medium" panose="020B0603020203020204" pitchFamily="34" charset="-78"/>
                </a:rPr>
                <a:pPr algn="ctr"/>
                <a:t> 2,844 </a:t>
              </a:fld>
              <a:endParaRPr lang="en-IN" sz="1800">
                <a:solidFill>
                  <a:schemeClr val="bg1"/>
                </a:solidFill>
                <a:latin typeface="Avenir Medium" panose="020B0603020203020204" pitchFamily="34" charset="-78"/>
                <a:cs typeface="Avenir Medium" panose="020B0603020203020204" pitchFamily="34" charset="-78"/>
              </a:endParaRPr>
            </a:p>
          </xdr:txBody>
        </xdr:sp>
        <xdr:sp macro="" textlink="'Pivot Tables'!N11">
          <xdr:nvSpPr>
            <xdr:cNvPr id="1029" name="TextBox 1028">
              <a:extLst>
                <a:ext uri="{FF2B5EF4-FFF2-40B4-BE49-F238E27FC236}">
                  <a16:creationId xmlns:a16="http://schemas.microsoft.com/office/drawing/2014/main" id="{F589751F-2A3D-08DC-3D6C-188269735155}"/>
                </a:ext>
              </a:extLst>
            </xdr:cNvPr>
            <xdr:cNvSpPr txBox="1"/>
          </xdr:nvSpPr>
          <xdr:spPr>
            <a:xfrm>
              <a:off x="770401" y="8179349"/>
              <a:ext cx="951693" cy="1773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EEA4D35-45F1-424D-AF1B-B39A059B5DFB}" type="TxLink">
                <a:rPr lang="en-US" sz="1100" b="0" i="0" u="none" strike="noStrike">
                  <a:solidFill>
                    <a:schemeClr val="bg1"/>
                  </a:solidFill>
                  <a:latin typeface="Avenir Medium" panose="020B0603020203020204" pitchFamily="34" charset="-78"/>
                  <a:cs typeface="Avenir Medium" panose="020B0603020203020204" pitchFamily="34" charset="-78"/>
                </a:rPr>
                <a:pPr algn="ctr"/>
                <a:t> 26 </a:t>
              </a:fld>
              <a:endParaRPr lang="en-IN" sz="1800">
                <a:solidFill>
                  <a:schemeClr val="bg1"/>
                </a:solidFill>
                <a:latin typeface="Avenir Medium" panose="020B0603020203020204" pitchFamily="34" charset="-78"/>
                <a:cs typeface="Avenir Medium" panose="020B0603020203020204" pitchFamily="34" charset="-78"/>
              </a:endParaRPr>
            </a:p>
          </xdr:txBody>
        </xdr:sp>
      </xdr:grpSp>
      <xdr:grpSp>
        <xdr:nvGrpSpPr>
          <xdr:cNvPr id="1036" name="Group 1035">
            <a:extLst>
              <a:ext uri="{FF2B5EF4-FFF2-40B4-BE49-F238E27FC236}">
                <a16:creationId xmlns:a16="http://schemas.microsoft.com/office/drawing/2014/main" id="{0B22EC55-B26C-E91B-262E-7A5FB9BC6754}"/>
              </a:ext>
            </a:extLst>
          </xdr:cNvPr>
          <xdr:cNvGrpSpPr/>
        </xdr:nvGrpSpPr>
        <xdr:grpSpPr>
          <a:xfrm>
            <a:off x="481253" y="7377547"/>
            <a:ext cx="284349" cy="1852277"/>
            <a:chOff x="481253" y="7443960"/>
            <a:chExt cx="285132" cy="1869754"/>
          </a:xfrm>
        </xdr:grpSpPr>
        <xdr:sp macro="" textlink="">
          <xdr:nvSpPr>
            <xdr:cNvPr id="1030" name="TextBox 1029">
              <a:extLst>
                <a:ext uri="{FF2B5EF4-FFF2-40B4-BE49-F238E27FC236}">
                  <a16:creationId xmlns:a16="http://schemas.microsoft.com/office/drawing/2014/main" id="{CE00940A-7BE1-59C9-CFD7-CAF612366BA4}"/>
                </a:ext>
              </a:extLst>
            </xdr:cNvPr>
            <xdr:cNvSpPr txBox="1"/>
          </xdr:nvSpPr>
          <xdr:spPr>
            <a:xfrm>
              <a:off x="481253" y="7443960"/>
              <a:ext cx="285132" cy="1758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a:solidFill>
                    <a:srgbClr val="EA375D"/>
                  </a:solidFill>
                  <a:latin typeface="Avenir Book" panose="020B0503020203020204" pitchFamily="34" charset="-78"/>
                  <a:cs typeface="Avenir Book" panose="020B0503020203020204" pitchFamily="34" charset="-78"/>
                </a:rPr>
                <a:t>•</a:t>
              </a:r>
            </a:p>
          </xdr:txBody>
        </xdr:sp>
        <xdr:sp macro="" textlink="">
          <xdr:nvSpPr>
            <xdr:cNvPr id="1031" name="TextBox 1030">
              <a:extLst>
                <a:ext uri="{FF2B5EF4-FFF2-40B4-BE49-F238E27FC236}">
                  <a16:creationId xmlns:a16="http://schemas.microsoft.com/office/drawing/2014/main" id="{8F3A437E-3C44-BB62-E712-2FE262587038}"/>
                </a:ext>
              </a:extLst>
            </xdr:cNvPr>
            <xdr:cNvSpPr txBox="1"/>
          </xdr:nvSpPr>
          <xdr:spPr>
            <a:xfrm>
              <a:off x="481253" y="7792172"/>
              <a:ext cx="285132" cy="1758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a:solidFill>
                    <a:srgbClr val="EA375D"/>
                  </a:solidFill>
                  <a:latin typeface="Avenir Book" panose="020B0503020203020204" pitchFamily="34" charset="-78"/>
                  <a:cs typeface="Avenir Book" panose="020B0503020203020204" pitchFamily="34" charset="-78"/>
                </a:rPr>
                <a:t>•</a:t>
              </a:r>
            </a:p>
          </xdr:txBody>
        </xdr:sp>
        <xdr:sp macro="" textlink="">
          <xdr:nvSpPr>
            <xdr:cNvPr id="1032" name="TextBox 1031">
              <a:extLst>
                <a:ext uri="{FF2B5EF4-FFF2-40B4-BE49-F238E27FC236}">
                  <a16:creationId xmlns:a16="http://schemas.microsoft.com/office/drawing/2014/main" id="{22CD7F14-ECB8-CFAD-0DDD-28054832FE2E}"/>
                </a:ext>
              </a:extLst>
            </xdr:cNvPr>
            <xdr:cNvSpPr txBox="1"/>
          </xdr:nvSpPr>
          <xdr:spPr>
            <a:xfrm>
              <a:off x="481253" y="8137350"/>
              <a:ext cx="285132" cy="1758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a:solidFill>
                    <a:srgbClr val="EA375D"/>
                  </a:solidFill>
                  <a:latin typeface="Avenir Book" panose="020B0503020203020204" pitchFamily="34" charset="-78"/>
                  <a:cs typeface="Avenir Book" panose="020B0503020203020204" pitchFamily="34" charset="-78"/>
                </a:rPr>
                <a:t>•</a:t>
              </a:r>
            </a:p>
          </xdr:txBody>
        </xdr:sp>
        <xdr:sp macro="" textlink="">
          <xdr:nvSpPr>
            <xdr:cNvPr id="1033" name="TextBox 1032">
              <a:extLst>
                <a:ext uri="{FF2B5EF4-FFF2-40B4-BE49-F238E27FC236}">
                  <a16:creationId xmlns:a16="http://schemas.microsoft.com/office/drawing/2014/main" id="{48F5203D-D4B0-6F03-B9AE-F8306F8B3766}"/>
                </a:ext>
              </a:extLst>
            </xdr:cNvPr>
            <xdr:cNvSpPr txBox="1"/>
          </xdr:nvSpPr>
          <xdr:spPr>
            <a:xfrm>
              <a:off x="481253" y="8485562"/>
              <a:ext cx="285132" cy="1758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a:solidFill>
                    <a:srgbClr val="EA375D"/>
                  </a:solidFill>
                  <a:latin typeface="Avenir Book" panose="020B0503020203020204" pitchFamily="34" charset="-78"/>
                  <a:cs typeface="Avenir Book" panose="020B0503020203020204" pitchFamily="34" charset="-78"/>
                </a:rPr>
                <a:t>•</a:t>
              </a:r>
            </a:p>
          </xdr:txBody>
        </xdr:sp>
        <xdr:sp macro="" textlink="">
          <xdr:nvSpPr>
            <xdr:cNvPr id="1034" name="TextBox 1033">
              <a:extLst>
                <a:ext uri="{FF2B5EF4-FFF2-40B4-BE49-F238E27FC236}">
                  <a16:creationId xmlns:a16="http://schemas.microsoft.com/office/drawing/2014/main" id="{C34D8306-3183-0A7D-F1F4-E5E46CC23811}"/>
                </a:ext>
              </a:extLst>
            </xdr:cNvPr>
            <xdr:cNvSpPr txBox="1"/>
          </xdr:nvSpPr>
          <xdr:spPr>
            <a:xfrm>
              <a:off x="481253" y="8819926"/>
              <a:ext cx="285132" cy="1758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a:solidFill>
                    <a:srgbClr val="EA375D"/>
                  </a:solidFill>
                  <a:latin typeface="Avenir Book" panose="020B0503020203020204" pitchFamily="34" charset="-78"/>
                  <a:cs typeface="Avenir Book" panose="020B0503020203020204" pitchFamily="34" charset="-78"/>
                </a:rPr>
                <a:t>•</a:t>
              </a:r>
            </a:p>
          </xdr:txBody>
        </xdr:sp>
        <xdr:sp macro="" textlink="">
          <xdr:nvSpPr>
            <xdr:cNvPr id="1035" name="TextBox 1034">
              <a:extLst>
                <a:ext uri="{FF2B5EF4-FFF2-40B4-BE49-F238E27FC236}">
                  <a16:creationId xmlns:a16="http://schemas.microsoft.com/office/drawing/2014/main" id="{FE3677F7-BCB5-D14B-7400-B74916235491}"/>
                </a:ext>
              </a:extLst>
            </xdr:cNvPr>
            <xdr:cNvSpPr txBox="1"/>
          </xdr:nvSpPr>
          <xdr:spPr>
            <a:xfrm>
              <a:off x="481253" y="9137898"/>
              <a:ext cx="285132" cy="1758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a:solidFill>
                    <a:srgbClr val="EA375D"/>
                  </a:solidFill>
                  <a:latin typeface="Avenir Book" panose="020B0503020203020204" pitchFamily="34" charset="-78"/>
                  <a:cs typeface="Avenir Book" panose="020B0503020203020204" pitchFamily="34" charset="-78"/>
                </a:rPr>
                <a:t>•</a:t>
              </a:r>
            </a:p>
          </xdr:txBody>
        </xdr:sp>
      </xdr:grpSp>
    </xdr:grpSp>
    <xdr:clientData/>
  </xdr:twoCellAnchor>
  <xdr:twoCellAnchor editAs="absolute">
    <xdr:from>
      <xdr:col>24</xdr:col>
      <xdr:colOff>239182</xdr:colOff>
      <xdr:row>8</xdr:row>
      <xdr:rowOff>131695</xdr:rowOff>
    </xdr:from>
    <xdr:to>
      <xdr:col>26</xdr:col>
      <xdr:colOff>547707</xdr:colOff>
      <xdr:row>44</xdr:row>
      <xdr:rowOff>5764</xdr:rowOff>
    </xdr:to>
    <xdr:grpSp>
      <xdr:nvGrpSpPr>
        <xdr:cNvPr id="1054" name="Group 1053">
          <a:extLst>
            <a:ext uri="{FF2B5EF4-FFF2-40B4-BE49-F238E27FC236}">
              <a16:creationId xmlns:a16="http://schemas.microsoft.com/office/drawing/2014/main" id="{E7B82287-846D-063D-C758-AD663FAA3AAC}"/>
            </a:ext>
          </a:extLst>
        </xdr:cNvPr>
        <xdr:cNvGrpSpPr/>
      </xdr:nvGrpSpPr>
      <xdr:grpSpPr>
        <a:xfrm>
          <a:off x="14869582" y="1655695"/>
          <a:ext cx="1527725" cy="6732069"/>
          <a:chOff x="14918428" y="1076873"/>
          <a:chExt cx="1529679" cy="6903031"/>
        </a:xfrm>
      </xdr:grpSpPr>
      <xdr:grpSp>
        <xdr:nvGrpSpPr>
          <xdr:cNvPr id="1044" name="Group 1043">
            <a:extLst>
              <a:ext uri="{FF2B5EF4-FFF2-40B4-BE49-F238E27FC236}">
                <a16:creationId xmlns:a16="http://schemas.microsoft.com/office/drawing/2014/main" id="{37AE2BBA-B4B3-50BA-4105-33F8D17B5F95}"/>
              </a:ext>
            </a:extLst>
          </xdr:cNvPr>
          <xdr:cNvGrpSpPr/>
        </xdr:nvGrpSpPr>
        <xdr:grpSpPr>
          <a:xfrm>
            <a:off x="14922216" y="1076873"/>
            <a:ext cx="1506703" cy="1339920"/>
            <a:chOff x="14946896" y="1052450"/>
            <a:chExt cx="1508760" cy="1305728"/>
          </a:xfrm>
        </xdr:grpSpPr>
        <xdr:sp macro="" textlink="">
          <xdr:nvSpPr>
            <xdr:cNvPr id="1038" name="Rectangle: Rounded Corners 1037">
              <a:extLst>
                <a:ext uri="{FF2B5EF4-FFF2-40B4-BE49-F238E27FC236}">
                  <a16:creationId xmlns:a16="http://schemas.microsoft.com/office/drawing/2014/main" id="{B6827B59-02EB-016F-B09B-21A8B007D84D}"/>
                </a:ext>
              </a:extLst>
            </xdr:cNvPr>
            <xdr:cNvSpPr/>
          </xdr:nvSpPr>
          <xdr:spPr>
            <a:xfrm>
              <a:off x="15256895" y="1052450"/>
              <a:ext cx="888762" cy="1172688"/>
            </a:xfrm>
            <a:prstGeom prst="roundRect">
              <a:avLst/>
            </a:prstGeom>
            <a:solidFill>
              <a:srgbClr val="070E25"/>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aseline="0">
                  <a:solidFill>
                    <a:srgbClr val="FFFF00"/>
                  </a:solidFill>
                </a:rPr>
                <a:t> </a:t>
              </a:r>
              <a:r>
                <a:rPr lang="en-IN" sz="2000" b="1">
                  <a:solidFill>
                    <a:srgbClr val="FFFF00"/>
                  </a:solidFill>
                  <a:latin typeface="Avenir Medium" panose="020B0603020203020204" pitchFamily="34" charset="-78"/>
                  <a:cs typeface="Avenir Medium" panose="020B0603020203020204" pitchFamily="34" charset="-78"/>
                </a:rPr>
                <a:t>x</a:t>
              </a:r>
              <a:r>
                <a:rPr lang="en-IN" sz="1800"/>
                <a:t>̄</a:t>
              </a:r>
              <a:endParaRPr lang="en-IN" sz="1100"/>
            </a:p>
          </xdr:txBody>
        </xdr:sp>
        <xdr:sp macro="" textlink="">
          <xdr:nvSpPr>
            <xdr:cNvPr id="1041" name="TextBox 1040">
              <a:extLst>
                <a:ext uri="{FF2B5EF4-FFF2-40B4-BE49-F238E27FC236}">
                  <a16:creationId xmlns:a16="http://schemas.microsoft.com/office/drawing/2014/main" id="{D1F763B9-E2B0-58E4-2D96-F1714E69AFA8}"/>
                </a:ext>
              </a:extLst>
            </xdr:cNvPr>
            <xdr:cNvSpPr txBox="1"/>
          </xdr:nvSpPr>
          <xdr:spPr>
            <a:xfrm>
              <a:off x="14946896" y="1699810"/>
              <a:ext cx="1508760" cy="6583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050">
                  <a:solidFill>
                    <a:schemeClr val="bg1"/>
                  </a:solidFill>
                  <a:latin typeface="Avenir Book" panose="020B0503020203020204" pitchFamily="34" charset="-78"/>
                  <a:cs typeface="Avenir Book" panose="020B0503020203020204" pitchFamily="34" charset="-78"/>
                </a:rPr>
                <a:t>Average</a:t>
              </a:r>
            </a:p>
            <a:p>
              <a:pPr algn="ctr"/>
              <a:r>
                <a:rPr lang="en-IN" sz="700">
                  <a:solidFill>
                    <a:schemeClr val="bg1"/>
                  </a:solidFill>
                  <a:latin typeface="Avenir Book" panose="020B0503020203020204" pitchFamily="34" charset="-78"/>
                  <a:cs typeface="Avenir Book" panose="020B0503020203020204" pitchFamily="34" charset="-78"/>
                </a:rPr>
                <a:t>Monthly Income</a:t>
              </a:r>
            </a:p>
          </xdr:txBody>
        </xdr:sp>
        <xdr:sp macro="" textlink="'Pivot Tables'!AB7">
          <xdr:nvSpPr>
            <xdr:cNvPr id="1043" name="TextBox 1042">
              <a:extLst>
                <a:ext uri="{FF2B5EF4-FFF2-40B4-BE49-F238E27FC236}">
                  <a16:creationId xmlns:a16="http://schemas.microsoft.com/office/drawing/2014/main" id="{1A7267DF-5576-9F4F-A717-3D4DA0FE09C3}"/>
                </a:ext>
              </a:extLst>
            </xdr:cNvPr>
            <xdr:cNvSpPr txBox="1"/>
          </xdr:nvSpPr>
          <xdr:spPr>
            <a:xfrm>
              <a:off x="14946898" y="1520779"/>
              <a:ext cx="1400053" cy="2654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B2DEFEB-EF5C-4D2F-8A6A-7C77A9946EA0}" type="TxLink">
                <a:rPr lang="en-US" sz="1600" b="0" i="0" u="none" strike="noStrike">
                  <a:solidFill>
                    <a:schemeClr val="bg1"/>
                  </a:solidFill>
                  <a:latin typeface="Avenir Medium" panose="020B0603020203020204" pitchFamily="34" charset="-78"/>
                  <a:ea typeface="Calibri"/>
                  <a:cs typeface="Avenir Medium" panose="020B0603020203020204" pitchFamily="34" charset="-78"/>
                </a:rPr>
                <a:pPr algn="ctr"/>
                <a:t> 68,468 </a:t>
              </a:fld>
              <a:endParaRPr lang="en-IN" sz="1000">
                <a:solidFill>
                  <a:schemeClr val="bg1"/>
                </a:solidFill>
                <a:latin typeface="Avenir Medium" panose="020B0603020203020204" pitchFamily="34" charset="-78"/>
                <a:cs typeface="Avenir Medium" panose="020B0603020203020204" pitchFamily="34" charset="-78"/>
              </a:endParaRPr>
            </a:p>
          </xdr:txBody>
        </xdr:sp>
      </xdr:grpSp>
      <xdr:grpSp>
        <xdr:nvGrpSpPr>
          <xdr:cNvPr id="1049" name="Group 1048">
            <a:extLst>
              <a:ext uri="{FF2B5EF4-FFF2-40B4-BE49-F238E27FC236}">
                <a16:creationId xmlns:a16="http://schemas.microsoft.com/office/drawing/2014/main" id="{766E6A38-52DB-6724-B02B-DC45AF5DB993}"/>
              </a:ext>
            </a:extLst>
          </xdr:cNvPr>
          <xdr:cNvGrpSpPr/>
        </xdr:nvGrpSpPr>
        <xdr:grpSpPr>
          <a:xfrm>
            <a:off x="14922216" y="2494269"/>
            <a:ext cx="1506703" cy="2361149"/>
            <a:chOff x="14946895" y="1020206"/>
            <a:chExt cx="1508760" cy="1240730"/>
          </a:xfrm>
        </xdr:grpSpPr>
        <xdr:sp macro="" textlink="">
          <xdr:nvSpPr>
            <xdr:cNvPr id="1050" name="Rectangle: Rounded Corners 1049">
              <a:extLst>
                <a:ext uri="{FF2B5EF4-FFF2-40B4-BE49-F238E27FC236}">
                  <a16:creationId xmlns:a16="http://schemas.microsoft.com/office/drawing/2014/main" id="{144A7DEB-4BB9-8B6E-83E5-D98735A6D18D}"/>
                </a:ext>
              </a:extLst>
            </xdr:cNvPr>
            <xdr:cNvSpPr/>
          </xdr:nvSpPr>
          <xdr:spPr>
            <a:xfrm>
              <a:off x="15256894" y="1052501"/>
              <a:ext cx="888762" cy="1172688"/>
            </a:xfrm>
            <a:prstGeom prst="roundRect">
              <a:avLst/>
            </a:prstGeom>
            <a:solidFill>
              <a:srgbClr val="070E25"/>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051" name="TextBox 1050">
              <a:extLst>
                <a:ext uri="{FF2B5EF4-FFF2-40B4-BE49-F238E27FC236}">
                  <a16:creationId xmlns:a16="http://schemas.microsoft.com/office/drawing/2014/main" id="{7AC71D17-6B21-FD8F-F394-8D3AA9B601E0}"/>
                </a:ext>
              </a:extLst>
            </xdr:cNvPr>
            <xdr:cNvSpPr txBox="1"/>
          </xdr:nvSpPr>
          <xdr:spPr>
            <a:xfrm>
              <a:off x="14946895" y="1020206"/>
              <a:ext cx="1508760" cy="3708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solidFill>
                    <a:schemeClr val="bg1"/>
                  </a:solidFill>
                  <a:latin typeface="Avenir Book" panose="020B0503020203020204" pitchFamily="34" charset="-78"/>
                  <a:cs typeface="Avenir Book" panose="020B0503020203020204" pitchFamily="34" charset="-78"/>
                </a:rPr>
                <a:t>Operating</a:t>
              </a:r>
            </a:p>
            <a:p>
              <a:pPr algn="ctr"/>
              <a:r>
                <a:rPr lang="en-IN" sz="1400">
                  <a:solidFill>
                    <a:schemeClr val="bg1"/>
                  </a:solidFill>
                  <a:latin typeface="Avenir Book" panose="020B0503020203020204" pitchFamily="34" charset="-78"/>
                  <a:cs typeface="Avenir Book" panose="020B0503020203020204" pitchFamily="34" charset="-78"/>
                </a:rPr>
                <a:t>Profits</a:t>
              </a:r>
            </a:p>
          </xdr:txBody>
        </xdr:sp>
        <xdr:sp macro="" textlink="'Pivot Tables'!AH7">
          <xdr:nvSpPr>
            <xdr:cNvPr id="1039" name="TextBox 1038">
              <a:extLst>
                <a:ext uri="{FF2B5EF4-FFF2-40B4-BE49-F238E27FC236}">
                  <a16:creationId xmlns:a16="http://schemas.microsoft.com/office/drawing/2014/main" id="{3D99B784-11A4-0274-0379-E0CB5BB04CEA}"/>
                </a:ext>
              </a:extLst>
            </xdr:cNvPr>
            <xdr:cNvSpPr txBox="1"/>
          </xdr:nvSpPr>
          <xdr:spPr>
            <a:xfrm>
              <a:off x="15132968" y="1890046"/>
              <a:ext cx="1070818" cy="3708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C1BAE3C-2000-47D5-B88C-F9C876899DD9}" type="TxLink">
                <a:rPr lang="en-US" sz="1600" b="0" i="0" u="none" strike="noStrike">
                  <a:solidFill>
                    <a:schemeClr val="bg1"/>
                  </a:solidFill>
                  <a:latin typeface="Avenir Medium" panose="020B0603020203020204" pitchFamily="34" charset="-78"/>
                  <a:ea typeface="Calibri"/>
                  <a:cs typeface="Avenir Medium" panose="020B0603020203020204" pitchFamily="34" charset="-78"/>
                </a:rPr>
                <a:pPr algn="ctr"/>
                <a:t> 1,64,322 </a:t>
              </a:fld>
              <a:endParaRPr lang="en-IN" sz="1800">
                <a:solidFill>
                  <a:schemeClr val="bg1"/>
                </a:solidFill>
                <a:latin typeface="Avenir Medium" panose="020B0603020203020204" pitchFamily="34" charset="-78"/>
                <a:cs typeface="Avenir Medium" panose="020B0603020203020204" pitchFamily="34" charset="-78"/>
              </a:endParaRPr>
            </a:p>
          </xdr:txBody>
        </xdr:sp>
      </xdr:grpSp>
      <xdr:graphicFrame macro="">
        <xdr:nvGraphicFramePr>
          <xdr:cNvPr id="41" name="Chart 40">
            <a:extLst>
              <a:ext uri="{FF2B5EF4-FFF2-40B4-BE49-F238E27FC236}">
                <a16:creationId xmlns:a16="http://schemas.microsoft.com/office/drawing/2014/main" id="{AC49D393-9987-423B-BA58-0288C1216F0F}"/>
              </a:ext>
            </a:extLst>
          </xdr:cNvPr>
          <xdr:cNvGraphicFramePr>
            <a:graphicFrameLocks/>
          </xdr:cNvGraphicFramePr>
        </xdr:nvGraphicFramePr>
        <xdr:xfrm>
          <a:off x="15361212" y="2942465"/>
          <a:ext cx="831157" cy="1488008"/>
        </xdr:xfrm>
        <a:graphic>
          <a:graphicData uri="http://schemas.openxmlformats.org/drawingml/2006/chart">
            <c:chart xmlns:c="http://schemas.openxmlformats.org/drawingml/2006/chart" xmlns:r="http://schemas.openxmlformats.org/officeDocument/2006/relationships" r:id="rId10"/>
          </a:graphicData>
        </a:graphic>
      </xdr:graphicFrame>
      <xdr:sp macro="" textlink="">
        <xdr:nvSpPr>
          <xdr:cNvPr id="51" name="Rectangle: Rounded Corners 50">
            <a:extLst>
              <a:ext uri="{FF2B5EF4-FFF2-40B4-BE49-F238E27FC236}">
                <a16:creationId xmlns:a16="http://schemas.microsoft.com/office/drawing/2014/main" id="{9C177A00-52B9-6E63-B95A-CF52719EE91C}"/>
              </a:ext>
            </a:extLst>
          </xdr:cNvPr>
          <xdr:cNvSpPr/>
        </xdr:nvSpPr>
        <xdr:spPr>
          <a:xfrm>
            <a:off x="15247612" y="5062850"/>
            <a:ext cx="871311" cy="2917054"/>
          </a:xfrm>
          <a:prstGeom prst="roundRect">
            <a:avLst/>
          </a:prstGeom>
          <a:solidFill>
            <a:srgbClr val="070E25"/>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1040" name="Chart 1039">
            <a:extLst>
              <a:ext uri="{FF2B5EF4-FFF2-40B4-BE49-F238E27FC236}">
                <a16:creationId xmlns:a16="http://schemas.microsoft.com/office/drawing/2014/main" id="{8A56F9A6-291A-4EFD-9509-F1D610B2102A}"/>
              </a:ext>
            </a:extLst>
          </xdr:cNvPr>
          <xdr:cNvGraphicFramePr>
            <a:graphicFrameLocks/>
          </xdr:cNvGraphicFramePr>
        </xdr:nvGraphicFramePr>
        <xdr:xfrm>
          <a:off x="14918428" y="5983386"/>
          <a:ext cx="1529679" cy="1075983"/>
        </xdr:xfrm>
        <a:graphic>
          <a:graphicData uri="http://schemas.openxmlformats.org/drawingml/2006/chart">
            <c:chart xmlns:c="http://schemas.openxmlformats.org/drawingml/2006/chart" xmlns:r="http://schemas.openxmlformats.org/officeDocument/2006/relationships" r:id="rId11"/>
          </a:graphicData>
        </a:graphic>
      </xdr:graphicFrame>
      <xdr:sp macro="" textlink="'Pivot Tables'!AP7">
        <xdr:nvSpPr>
          <xdr:cNvPr id="1046" name="TextBox 1045">
            <a:extLst>
              <a:ext uri="{FF2B5EF4-FFF2-40B4-BE49-F238E27FC236}">
                <a16:creationId xmlns:a16="http://schemas.microsoft.com/office/drawing/2014/main" id="{D71B639E-9A02-49E9-9EC2-36F147739D01}"/>
              </a:ext>
            </a:extLst>
          </xdr:cNvPr>
          <xdr:cNvSpPr txBox="1"/>
        </xdr:nvSpPr>
        <xdr:spPr>
          <a:xfrm>
            <a:off x="15149534" y="5844398"/>
            <a:ext cx="1067468" cy="2033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28D3B24-EF5B-4169-9687-E9DD491A7FBF}" type="TxLink">
              <a:rPr lang="en-US" sz="1100" b="0" i="0" u="none" strike="noStrike">
                <a:solidFill>
                  <a:schemeClr val="bg1"/>
                </a:solidFill>
                <a:latin typeface="Avenir Medium" panose="020B0603020203020204" pitchFamily="34" charset="-78"/>
                <a:ea typeface="Calibri"/>
                <a:cs typeface="Avenir Medium" panose="020B0603020203020204" pitchFamily="34" charset="-78"/>
              </a:rPr>
              <a:pPr algn="ctr"/>
              <a:t> 4,93,010 </a:t>
            </a:fld>
            <a:endParaRPr lang="en-IN" sz="1800">
              <a:solidFill>
                <a:schemeClr val="bg1"/>
              </a:solidFill>
              <a:latin typeface="Avenir Medium" panose="020B0603020203020204" pitchFamily="34" charset="-78"/>
              <a:cs typeface="Avenir Medium" panose="020B0603020203020204" pitchFamily="34" charset="-78"/>
            </a:endParaRPr>
          </a:p>
        </xdr:txBody>
      </xdr:sp>
      <xdr:sp macro="" textlink="'Pivot Tables'!AQ7">
        <xdr:nvSpPr>
          <xdr:cNvPr id="1047" name="TextBox 1046">
            <a:extLst>
              <a:ext uri="{FF2B5EF4-FFF2-40B4-BE49-F238E27FC236}">
                <a16:creationId xmlns:a16="http://schemas.microsoft.com/office/drawing/2014/main" id="{C609D531-6140-B2AB-58E4-9C5B937DAD3F}"/>
              </a:ext>
            </a:extLst>
          </xdr:cNvPr>
          <xdr:cNvSpPr txBox="1"/>
        </xdr:nvSpPr>
        <xdr:spPr>
          <a:xfrm>
            <a:off x="15149534" y="5620440"/>
            <a:ext cx="1067468" cy="2256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03FA4E0-6997-4C43-8496-377EE6039250}" type="TxLink">
              <a:rPr lang="en-US" sz="1100" b="0" i="0" u="none" strike="noStrike">
                <a:solidFill>
                  <a:schemeClr val="bg1"/>
                </a:solidFill>
                <a:latin typeface="Avenir Medium" panose="020B0603020203020204" pitchFamily="34" charset="-78"/>
                <a:ea typeface="Calibri"/>
                <a:cs typeface="Avenir Medium" panose="020B0603020203020204" pitchFamily="34" charset="-78"/>
              </a:rPr>
              <a:pPr algn="ctr"/>
              <a:t>60.01%</a:t>
            </a:fld>
            <a:endParaRPr lang="en-IN" sz="1800">
              <a:solidFill>
                <a:schemeClr val="bg1"/>
              </a:solidFill>
              <a:latin typeface="Avenir Medium" panose="020B0603020203020204" pitchFamily="34" charset="-78"/>
              <a:cs typeface="Avenir Medium" panose="020B0603020203020204" pitchFamily="34" charset="-78"/>
            </a:endParaRPr>
          </a:p>
        </xdr:txBody>
      </xdr:sp>
      <xdr:sp macro="" textlink="">
        <xdr:nvSpPr>
          <xdr:cNvPr id="1048" name="TextBox 1047">
            <a:extLst>
              <a:ext uri="{FF2B5EF4-FFF2-40B4-BE49-F238E27FC236}">
                <a16:creationId xmlns:a16="http://schemas.microsoft.com/office/drawing/2014/main" id="{EA1D2B8B-ECE6-4F0A-87BF-14051F9721A5}"/>
              </a:ext>
            </a:extLst>
          </xdr:cNvPr>
          <xdr:cNvSpPr txBox="1"/>
        </xdr:nvSpPr>
        <xdr:spPr>
          <a:xfrm>
            <a:off x="14918432" y="5200635"/>
            <a:ext cx="1506703" cy="3798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a:solidFill>
                  <a:schemeClr val="bg1"/>
                </a:solidFill>
                <a:latin typeface="Avenir Book" panose="020B0503020203020204" pitchFamily="34" charset="-78"/>
                <a:cs typeface="Avenir Book" panose="020B0503020203020204" pitchFamily="34" charset="-78"/>
              </a:rPr>
              <a:t>B2B</a:t>
            </a:r>
            <a:endParaRPr lang="en-IN" sz="2000">
              <a:solidFill>
                <a:schemeClr val="bg1"/>
              </a:solidFill>
              <a:latin typeface="Avenir Book" panose="020B0503020203020204" pitchFamily="34" charset="-78"/>
              <a:cs typeface="Avenir Book" panose="020B0503020203020204" pitchFamily="34" charset="-78"/>
            </a:endParaRPr>
          </a:p>
        </xdr:txBody>
      </xdr:sp>
      <xdr:sp macro="" textlink="">
        <xdr:nvSpPr>
          <xdr:cNvPr id="1055" name="TextBox 1054">
            <a:extLst>
              <a:ext uri="{FF2B5EF4-FFF2-40B4-BE49-F238E27FC236}">
                <a16:creationId xmlns:a16="http://schemas.microsoft.com/office/drawing/2014/main" id="{4079C63B-7344-58E9-A20A-DBC674B6EAEC}"/>
              </a:ext>
            </a:extLst>
          </xdr:cNvPr>
          <xdr:cNvSpPr txBox="1"/>
        </xdr:nvSpPr>
        <xdr:spPr>
          <a:xfrm>
            <a:off x="14918432" y="7484193"/>
            <a:ext cx="1506703" cy="3798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a:solidFill>
                  <a:schemeClr val="bg1"/>
                </a:solidFill>
                <a:latin typeface="Avenir Book" panose="020B0503020203020204" pitchFamily="34" charset="-78"/>
                <a:cs typeface="Avenir Book" panose="020B0503020203020204" pitchFamily="34" charset="-78"/>
              </a:rPr>
              <a:t>B2C</a:t>
            </a:r>
            <a:endParaRPr lang="en-IN" sz="2000">
              <a:solidFill>
                <a:schemeClr val="bg1"/>
              </a:solidFill>
              <a:latin typeface="Avenir Book" panose="020B0503020203020204" pitchFamily="34" charset="-78"/>
              <a:cs typeface="Avenir Book" panose="020B0503020203020204" pitchFamily="34" charset="-78"/>
            </a:endParaRPr>
          </a:p>
        </xdr:txBody>
      </xdr:sp>
      <xdr:sp macro="" textlink="'Pivot Tables'!AP8">
        <xdr:nvSpPr>
          <xdr:cNvPr id="1057" name="TextBox 1056">
            <a:extLst>
              <a:ext uri="{FF2B5EF4-FFF2-40B4-BE49-F238E27FC236}">
                <a16:creationId xmlns:a16="http://schemas.microsoft.com/office/drawing/2014/main" id="{B36E8445-B977-6608-1E75-2914E62DF442}"/>
              </a:ext>
            </a:extLst>
          </xdr:cNvPr>
          <xdr:cNvSpPr txBox="1"/>
        </xdr:nvSpPr>
        <xdr:spPr>
          <a:xfrm>
            <a:off x="15259513" y="7030179"/>
            <a:ext cx="847506" cy="1943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74B35A9-21B7-4B5D-9285-54DA745A572F}" type="TxLink">
              <a:rPr lang="en-US" sz="1100" b="0" i="0" u="none" strike="noStrike">
                <a:solidFill>
                  <a:schemeClr val="bg1"/>
                </a:solidFill>
                <a:latin typeface="Avenir Medium" panose="020B0603020203020204" pitchFamily="34" charset="-78"/>
                <a:ea typeface="Calibri"/>
                <a:cs typeface="Avenir Medium" panose="020B0603020203020204" pitchFamily="34" charset="-78"/>
              </a:rPr>
              <a:pPr algn="ctr"/>
              <a:t> 3,28,602 </a:t>
            </a:fld>
            <a:endParaRPr lang="en-IN" sz="1800">
              <a:solidFill>
                <a:schemeClr val="bg1"/>
              </a:solidFill>
              <a:latin typeface="Avenir Medium" panose="020B0603020203020204" pitchFamily="34" charset="-78"/>
              <a:cs typeface="Avenir Medium" panose="020B0603020203020204" pitchFamily="34" charset="-78"/>
            </a:endParaRPr>
          </a:p>
        </xdr:txBody>
      </xdr:sp>
      <xdr:sp macro="" textlink="'Pivot Tables'!AQ8">
        <xdr:nvSpPr>
          <xdr:cNvPr id="1058" name="TextBox 1057">
            <a:extLst>
              <a:ext uri="{FF2B5EF4-FFF2-40B4-BE49-F238E27FC236}">
                <a16:creationId xmlns:a16="http://schemas.microsoft.com/office/drawing/2014/main" id="{AE5B0506-2344-A7BB-5451-F61798C0E47C}"/>
              </a:ext>
            </a:extLst>
          </xdr:cNvPr>
          <xdr:cNvSpPr txBox="1"/>
        </xdr:nvSpPr>
        <xdr:spPr>
          <a:xfrm>
            <a:off x="15149532" y="7245161"/>
            <a:ext cx="1067468" cy="2256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D6A8605-F067-4E5C-89A7-6ADA524F5B53}" type="TxLink">
              <a:rPr lang="en-US" sz="1100" b="0" i="0" u="none" strike="noStrike">
                <a:solidFill>
                  <a:schemeClr val="bg1"/>
                </a:solidFill>
                <a:latin typeface="Avenir Medium" panose="020B0603020203020204" pitchFamily="34" charset="-78"/>
                <a:ea typeface="Calibri"/>
                <a:cs typeface="Avenir Medium" panose="020B0603020203020204" pitchFamily="34" charset="-78"/>
              </a:rPr>
              <a:pPr algn="ctr"/>
              <a:t>39.99%</a:t>
            </a:fld>
            <a:endParaRPr lang="en-IN" sz="1800">
              <a:solidFill>
                <a:schemeClr val="bg1"/>
              </a:solidFill>
              <a:latin typeface="Avenir Medium" panose="020B0603020203020204" pitchFamily="34" charset="-78"/>
              <a:cs typeface="Avenir Medium" panose="020B0603020203020204" pitchFamily="34" charset="-78"/>
            </a:endParaRPr>
          </a:p>
        </xdr:txBody>
      </xdr:sp>
    </xdr:grpSp>
    <xdr:clientData/>
  </xdr:twoCellAnchor>
  <xdr:twoCellAnchor editAs="absolute">
    <xdr:from>
      <xdr:col>11</xdr:col>
      <xdr:colOff>462316</xdr:colOff>
      <xdr:row>17</xdr:row>
      <xdr:rowOff>162314</xdr:rowOff>
    </xdr:from>
    <xdr:to>
      <xdr:col>16</xdr:col>
      <xdr:colOff>142931</xdr:colOff>
      <xdr:row>32</xdr:row>
      <xdr:rowOff>83106</xdr:rowOff>
    </xdr:to>
    <xdr:sp macro="" textlink="">
      <xdr:nvSpPr>
        <xdr:cNvPr id="1067" name="Oval 1066">
          <a:extLst>
            <a:ext uri="{FF2B5EF4-FFF2-40B4-BE49-F238E27FC236}">
              <a16:creationId xmlns:a16="http://schemas.microsoft.com/office/drawing/2014/main" id="{C9EC20EC-646F-4B89-8960-95DE06BC2F3A}"/>
            </a:ext>
          </a:extLst>
        </xdr:cNvPr>
        <xdr:cNvSpPr/>
      </xdr:nvSpPr>
      <xdr:spPr>
        <a:xfrm>
          <a:off x="7197852" y="3400814"/>
          <a:ext cx="2742222" cy="2778292"/>
        </a:xfrm>
        <a:prstGeom prst="ellipse">
          <a:avLst/>
        </a:prstGeom>
        <a:gradFill>
          <a:gsLst>
            <a:gs pos="24000">
              <a:srgbClr val="DC25FA">
                <a:alpha val="20000"/>
              </a:srgbClr>
            </a:gs>
            <a:gs pos="68000">
              <a:srgbClr val="9947F7">
                <a:alpha val="20000"/>
              </a:srgbClr>
            </a:gs>
          </a:gsLst>
          <a:lin ang="54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9</xdr:col>
      <xdr:colOff>498768</xdr:colOff>
      <xdr:row>11</xdr:row>
      <xdr:rowOff>74078</xdr:rowOff>
    </xdr:from>
    <xdr:to>
      <xdr:col>18</xdr:col>
      <xdr:colOff>549569</xdr:colOff>
      <xdr:row>36</xdr:row>
      <xdr:rowOff>133345</xdr:rowOff>
    </xdr:to>
    <xdr:grpSp>
      <xdr:nvGrpSpPr>
        <xdr:cNvPr id="1109" name="Group 1108">
          <a:extLst>
            <a:ext uri="{FF2B5EF4-FFF2-40B4-BE49-F238E27FC236}">
              <a16:creationId xmlns:a16="http://schemas.microsoft.com/office/drawing/2014/main" id="{AB97635B-5A1A-1E9C-969F-D7D5D990D57B}"/>
            </a:ext>
          </a:extLst>
        </xdr:cNvPr>
        <xdr:cNvGrpSpPr/>
      </xdr:nvGrpSpPr>
      <xdr:grpSpPr>
        <a:xfrm>
          <a:off x="5985168" y="2169578"/>
          <a:ext cx="5537201" cy="4821767"/>
          <a:chOff x="5600117" y="1693333"/>
          <a:chExt cx="5493704" cy="4821767"/>
        </a:xfrm>
      </xdr:grpSpPr>
      <xdr:cxnSp macro="">
        <xdr:nvCxnSpPr>
          <xdr:cNvPr id="1072" name="Straight Connector 1071">
            <a:extLst>
              <a:ext uri="{FF2B5EF4-FFF2-40B4-BE49-F238E27FC236}">
                <a16:creationId xmlns:a16="http://schemas.microsoft.com/office/drawing/2014/main" id="{FB7FF291-FA8D-890E-FD9B-AFF222299C06}"/>
              </a:ext>
            </a:extLst>
          </xdr:cNvPr>
          <xdr:cNvCxnSpPr/>
        </xdr:nvCxnSpPr>
        <xdr:spPr>
          <a:xfrm flipH="1">
            <a:off x="8472971" y="1693333"/>
            <a:ext cx="897597" cy="1837267"/>
          </a:xfrm>
          <a:prstGeom prst="line">
            <a:avLst/>
          </a:prstGeom>
          <a:ln w="15875">
            <a:gradFill>
              <a:gsLst>
                <a:gs pos="75000">
                  <a:srgbClr val="DC25FA"/>
                </a:gs>
                <a:gs pos="2000">
                  <a:srgbClr val="111A4A"/>
                </a:gs>
              </a:gsLst>
              <a:lin ang="5400000" scaled="1"/>
            </a:gradFill>
          </a:ln>
        </xdr:spPr>
        <xdr:style>
          <a:lnRef idx="1">
            <a:schemeClr val="accent1"/>
          </a:lnRef>
          <a:fillRef idx="0">
            <a:schemeClr val="accent1"/>
          </a:fillRef>
          <a:effectRef idx="0">
            <a:schemeClr val="accent1"/>
          </a:effectRef>
          <a:fontRef idx="minor">
            <a:schemeClr val="tx1"/>
          </a:fontRef>
        </xdr:style>
      </xdr:cxnSp>
      <xdr:cxnSp macro="">
        <xdr:nvCxnSpPr>
          <xdr:cNvPr id="1084" name="Straight Connector 1083">
            <a:extLst>
              <a:ext uri="{FF2B5EF4-FFF2-40B4-BE49-F238E27FC236}">
                <a16:creationId xmlns:a16="http://schemas.microsoft.com/office/drawing/2014/main" id="{1894B7AC-B7C6-490F-AF8B-D0F9CB5B6DEC}"/>
              </a:ext>
            </a:extLst>
          </xdr:cNvPr>
          <xdr:cNvCxnSpPr/>
        </xdr:nvCxnSpPr>
        <xdr:spPr>
          <a:xfrm flipH="1">
            <a:off x="8922831" y="3450167"/>
            <a:ext cx="1260722" cy="485162"/>
          </a:xfrm>
          <a:prstGeom prst="line">
            <a:avLst/>
          </a:prstGeom>
          <a:ln w="15875">
            <a:gradFill>
              <a:gsLst>
                <a:gs pos="75000">
                  <a:srgbClr val="DC25FA"/>
                </a:gs>
                <a:gs pos="2000">
                  <a:srgbClr val="111A4A"/>
                </a:gs>
              </a:gsLst>
              <a:lin ang="5400000" scaled="1"/>
            </a:gradFill>
          </a:ln>
        </xdr:spPr>
        <xdr:style>
          <a:lnRef idx="1">
            <a:schemeClr val="accent1"/>
          </a:lnRef>
          <a:fillRef idx="0">
            <a:schemeClr val="accent1"/>
          </a:fillRef>
          <a:effectRef idx="0">
            <a:schemeClr val="accent1"/>
          </a:effectRef>
          <a:fontRef idx="minor">
            <a:schemeClr val="tx1"/>
          </a:fontRef>
        </xdr:style>
      </xdr:cxnSp>
      <xdr:cxnSp macro="">
        <xdr:nvCxnSpPr>
          <xdr:cNvPr id="1087" name="Straight Connector 1086">
            <a:extLst>
              <a:ext uri="{FF2B5EF4-FFF2-40B4-BE49-F238E27FC236}">
                <a16:creationId xmlns:a16="http://schemas.microsoft.com/office/drawing/2014/main" id="{D59408E7-3ECE-4864-9B2D-523F26522C30}"/>
              </a:ext>
            </a:extLst>
          </xdr:cNvPr>
          <xdr:cNvCxnSpPr/>
        </xdr:nvCxnSpPr>
        <xdr:spPr>
          <a:xfrm flipH="1" flipV="1">
            <a:off x="8847634" y="4684796"/>
            <a:ext cx="2246187" cy="1195304"/>
          </a:xfrm>
          <a:prstGeom prst="line">
            <a:avLst/>
          </a:prstGeom>
          <a:ln w="15875">
            <a:gradFill>
              <a:gsLst>
                <a:gs pos="75000">
                  <a:srgbClr val="DC25FA"/>
                </a:gs>
                <a:gs pos="2000">
                  <a:srgbClr val="111A4A"/>
                </a:gs>
              </a:gsLst>
              <a:lin ang="5400000" scaled="1"/>
            </a:gradFill>
          </a:ln>
        </xdr:spPr>
        <xdr:style>
          <a:lnRef idx="1">
            <a:schemeClr val="accent1"/>
          </a:lnRef>
          <a:fillRef idx="0">
            <a:schemeClr val="accent1"/>
          </a:fillRef>
          <a:effectRef idx="0">
            <a:schemeClr val="accent1"/>
          </a:effectRef>
          <a:fontRef idx="minor">
            <a:schemeClr val="tx1"/>
          </a:fontRef>
        </xdr:style>
      </xdr:cxnSp>
      <xdr:cxnSp macro="">
        <xdr:nvCxnSpPr>
          <xdr:cNvPr id="1092" name="Straight Connector 1091">
            <a:extLst>
              <a:ext uri="{FF2B5EF4-FFF2-40B4-BE49-F238E27FC236}">
                <a16:creationId xmlns:a16="http://schemas.microsoft.com/office/drawing/2014/main" id="{CA0221CD-2041-4F0D-80AC-F6DB1C5D8F14}"/>
              </a:ext>
            </a:extLst>
          </xdr:cNvPr>
          <xdr:cNvCxnSpPr/>
        </xdr:nvCxnSpPr>
        <xdr:spPr>
          <a:xfrm flipH="1" flipV="1">
            <a:off x="8242516" y="5206165"/>
            <a:ext cx="79252" cy="1308935"/>
          </a:xfrm>
          <a:prstGeom prst="line">
            <a:avLst/>
          </a:prstGeom>
          <a:ln w="15875">
            <a:gradFill>
              <a:gsLst>
                <a:gs pos="75000">
                  <a:srgbClr val="DC25FA"/>
                </a:gs>
                <a:gs pos="2000">
                  <a:srgbClr val="111A4A"/>
                </a:gs>
              </a:gsLst>
              <a:lin ang="5400000" scaled="1"/>
            </a:gradFill>
          </a:ln>
        </xdr:spPr>
        <xdr:style>
          <a:lnRef idx="1">
            <a:schemeClr val="accent1"/>
          </a:lnRef>
          <a:fillRef idx="0">
            <a:schemeClr val="accent1"/>
          </a:fillRef>
          <a:effectRef idx="0">
            <a:schemeClr val="accent1"/>
          </a:effectRef>
          <a:fontRef idx="minor">
            <a:schemeClr val="tx1"/>
          </a:fontRef>
        </xdr:style>
      </xdr:cxnSp>
      <xdr:cxnSp macro="">
        <xdr:nvCxnSpPr>
          <xdr:cNvPr id="1100" name="Straight Connector 1099">
            <a:extLst>
              <a:ext uri="{FF2B5EF4-FFF2-40B4-BE49-F238E27FC236}">
                <a16:creationId xmlns:a16="http://schemas.microsoft.com/office/drawing/2014/main" id="{B6012FD5-A0D9-4753-A4EF-9FD9CD95A778}"/>
              </a:ext>
            </a:extLst>
          </xdr:cNvPr>
          <xdr:cNvCxnSpPr/>
        </xdr:nvCxnSpPr>
        <xdr:spPr>
          <a:xfrm flipV="1">
            <a:off x="5600117" y="4634665"/>
            <a:ext cx="1774091" cy="635835"/>
          </a:xfrm>
          <a:prstGeom prst="line">
            <a:avLst/>
          </a:prstGeom>
          <a:ln w="15875">
            <a:gradFill>
              <a:gsLst>
                <a:gs pos="75000">
                  <a:srgbClr val="DC25FA"/>
                </a:gs>
                <a:gs pos="2000">
                  <a:srgbClr val="111A4A"/>
                </a:gs>
              </a:gsLst>
              <a:lin ang="5400000" scaled="1"/>
            </a:gradFill>
          </a:ln>
        </xdr:spPr>
        <xdr:style>
          <a:lnRef idx="1">
            <a:schemeClr val="accent1"/>
          </a:lnRef>
          <a:fillRef idx="0">
            <a:schemeClr val="accent1"/>
          </a:fillRef>
          <a:effectRef idx="0">
            <a:schemeClr val="accent1"/>
          </a:effectRef>
          <a:fontRef idx="minor">
            <a:schemeClr val="tx1"/>
          </a:fontRef>
        </xdr:style>
      </xdr:cxnSp>
      <xdr:cxnSp macro="">
        <xdr:nvCxnSpPr>
          <xdr:cNvPr id="1103" name="Straight Connector 1102">
            <a:extLst>
              <a:ext uri="{FF2B5EF4-FFF2-40B4-BE49-F238E27FC236}">
                <a16:creationId xmlns:a16="http://schemas.microsoft.com/office/drawing/2014/main" id="{86819206-0A68-4191-9FCC-5F0A94CADA9E}"/>
              </a:ext>
            </a:extLst>
          </xdr:cNvPr>
          <xdr:cNvCxnSpPr/>
        </xdr:nvCxnSpPr>
        <xdr:spPr>
          <a:xfrm flipH="1" flipV="1">
            <a:off x="6482134" y="2159000"/>
            <a:ext cx="1146621" cy="1485900"/>
          </a:xfrm>
          <a:prstGeom prst="line">
            <a:avLst/>
          </a:prstGeom>
          <a:ln w="15875">
            <a:gradFill>
              <a:gsLst>
                <a:gs pos="75000">
                  <a:srgbClr val="DC25FA"/>
                </a:gs>
                <a:gs pos="2000">
                  <a:srgbClr val="111A4A"/>
                </a:gs>
              </a:gsLst>
              <a:lin ang="5400000" scaled="1"/>
            </a:gra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editAs="absolute">
    <xdr:from>
      <xdr:col>12</xdr:col>
      <xdr:colOff>313380</xdr:colOff>
      <xdr:row>20</xdr:row>
      <xdr:rowOff>53027</xdr:rowOff>
    </xdr:from>
    <xdr:to>
      <xdr:col>15</xdr:col>
      <xdr:colOff>299844</xdr:colOff>
      <xdr:row>30</xdr:row>
      <xdr:rowOff>1893</xdr:rowOff>
    </xdr:to>
    <xdr:grpSp>
      <xdr:nvGrpSpPr>
        <xdr:cNvPr id="1111" name="Group 1110">
          <a:extLst>
            <a:ext uri="{FF2B5EF4-FFF2-40B4-BE49-F238E27FC236}">
              <a16:creationId xmlns:a16="http://schemas.microsoft.com/office/drawing/2014/main" id="{1F232181-D48E-34BC-2CD3-50024A75F450}"/>
            </a:ext>
          </a:extLst>
        </xdr:cNvPr>
        <xdr:cNvGrpSpPr/>
      </xdr:nvGrpSpPr>
      <xdr:grpSpPr>
        <a:xfrm>
          <a:off x="7628580" y="3863027"/>
          <a:ext cx="1815264" cy="1853866"/>
          <a:chOff x="7229442" y="3386782"/>
          <a:chExt cx="1801817" cy="1853866"/>
        </a:xfrm>
      </xdr:grpSpPr>
      <xdr:sp macro="" textlink="">
        <xdr:nvSpPr>
          <xdr:cNvPr id="1065" name="Oval 1064">
            <a:extLst>
              <a:ext uri="{FF2B5EF4-FFF2-40B4-BE49-F238E27FC236}">
                <a16:creationId xmlns:a16="http://schemas.microsoft.com/office/drawing/2014/main" id="{80F689A9-09CA-4BD6-A1A2-32422061950D}"/>
              </a:ext>
            </a:extLst>
          </xdr:cNvPr>
          <xdr:cNvSpPr/>
        </xdr:nvSpPr>
        <xdr:spPr>
          <a:xfrm>
            <a:off x="7229442" y="3386782"/>
            <a:ext cx="1801817" cy="1853866"/>
          </a:xfrm>
          <a:prstGeom prst="ellipse">
            <a:avLst/>
          </a:prstGeom>
          <a:gradFill>
            <a:gsLst>
              <a:gs pos="0">
                <a:srgbClr val="DC25FA"/>
              </a:gs>
              <a:gs pos="61000">
                <a:srgbClr val="9947F7"/>
              </a:gs>
            </a:gsLst>
            <a:lin ang="54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064" name="Oval 1063">
            <a:extLst>
              <a:ext uri="{FF2B5EF4-FFF2-40B4-BE49-F238E27FC236}">
                <a16:creationId xmlns:a16="http://schemas.microsoft.com/office/drawing/2014/main" id="{F91DF645-930F-22BB-F547-71D289352332}"/>
              </a:ext>
            </a:extLst>
          </xdr:cNvPr>
          <xdr:cNvSpPr/>
        </xdr:nvSpPr>
        <xdr:spPr>
          <a:xfrm>
            <a:off x="7467336" y="3638683"/>
            <a:ext cx="1317035" cy="1352570"/>
          </a:xfrm>
          <a:prstGeom prst="ellipse">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nvGrpSpPr>
          <xdr:cNvPr id="1061" name="Group 1060">
            <a:extLst>
              <a:ext uri="{FF2B5EF4-FFF2-40B4-BE49-F238E27FC236}">
                <a16:creationId xmlns:a16="http://schemas.microsoft.com/office/drawing/2014/main" id="{58DC683C-1EB6-4C8D-DD35-E3B141B07E75}"/>
              </a:ext>
            </a:extLst>
          </xdr:cNvPr>
          <xdr:cNvGrpSpPr/>
        </xdr:nvGrpSpPr>
        <xdr:grpSpPr>
          <a:xfrm>
            <a:off x="7522798" y="4034889"/>
            <a:ext cx="1262616" cy="750636"/>
            <a:chOff x="7689359" y="4111135"/>
            <a:chExt cx="1279650" cy="775148"/>
          </a:xfrm>
        </xdr:grpSpPr>
        <xdr:sp macro="" textlink="'Pivot Tables'!T7">
          <xdr:nvSpPr>
            <xdr:cNvPr id="39" name="TextBox 38">
              <a:extLst>
                <a:ext uri="{FF2B5EF4-FFF2-40B4-BE49-F238E27FC236}">
                  <a16:creationId xmlns:a16="http://schemas.microsoft.com/office/drawing/2014/main" id="{D3B74E2F-B7AF-4FE3-B7AC-315048E47AD3}"/>
                </a:ext>
              </a:extLst>
            </xdr:cNvPr>
            <xdr:cNvSpPr txBox="1"/>
          </xdr:nvSpPr>
          <xdr:spPr>
            <a:xfrm>
              <a:off x="7790570" y="4111135"/>
              <a:ext cx="1019964" cy="6415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8A0C1A4-0823-4FAA-AF8B-6D428420CE6B}" type="TxLink">
                <a:rPr lang="en-US" sz="3200" b="0" i="0" u="none" strike="noStrike">
                  <a:solidFill>
                    <a:schemeClr val="bg1"/>
                  </a:solidFill>
                  <a:latin typeface="Avenir Book" panose="020B0503020203020204" pitchFamily="34" charset="-78"/>
                  <a:ea typeface="Calibri"/>
                  <a:cs typeface="Avenir Book" panose="020B0503020203020204" pitchFamily="34" charset="-78"/>
                </a:rPr>
                <a:pPr algn="ctr"/>
                <a:t>91%</a:t>
              </a:fld>
              <a:endParaRPr lang="en-US" sz="3200">
                <a:solidFill>
                  <a:schemeClr val="bg1"/>
                </a:solidFill>
                <a:latin typeface="Avenir Book" panose="020B0503020203020204" pitchFamily="34" charset="-78"/>
                <a:cs typeface="Avenir Book" panose="020B0503020203020204" pitchFamily="34" charset="-78"/>
              </a:endParaRPr>
            </a:p>
          </xdr:txBody>
        </xdr:sp>
        <xdr:sp macro="" textlink="">
          <xdr:nvSpPr>
            <xdr:cNvPr id="40" name="TextBox 39">
              <a:extLst>
                <a:ext uri="{FF2B5EF4-FFF2-40B4-BE49-F238E27FC236}">
                  <a16:creationId xmlns:a16="http://schemas.microsoft.com/office/drawing/2014/main" id="{B7084177-6E59-4999-B441-517309834267}"/>
                </a:ext>
              </a:extLst>
            </xdr:cNvPr>
            <xdr:cNvSpPr txBox="1"/>
          </xdr:nvSpPr>
          <xdr:spPr>
            <a:xfrm>
              <a:off x="7689359" y="4478872"/>
              <a:ext cx="1279650" cy="4074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050">
                  <a:solidFill>
                    <a:schemeClr val="bg1"/>
                  </a:solidFill>
                  <a:latin typeface="Avenir Book" panose="020B0503020203020204" pitchFamily="34" charset="-78"/>
                  <a:cs typeface="Avenir Book" panose="020B0503020203020204" pitchFamily="34" charset="-78"/>
                </a:rPr>
                <a:t>Income</a:t>
              </a:r>
              <a:r>
                <a:rPr lang="en-IN" sz="1050" baseline="0">
                  <a:solidFill>
                    <a:schemeClr val="bg1"/>
                  </a:solidFill>
                  <a:latin typeface="Avenir Book" panose="020B0503020203020204" pitchFamily="34" charset="-78"/>
                  <a:cs typeface="Avenir Book" panose="020B0503020203020204" pitchFamily="34" charset="-78"/>
                </a:rPr>
                <a:t> Achieved</a:t>
              </a:r>
              <a:endParaRPr lang="en-IN" sz="1050">
                <a:solidFill>
                  <a:schemeClr val="bg1"/>
                </a:solidFill>
                <a:latin typeface="Avenir Book" panose="020B0503020203020204" pitchFamily="34" charset="-78"/>
                <a:cs typeface="Avenir Book" panose="020B0503020203020204" pitchFamily="34" charset="-78"/>
              </a:endParaRPr>
            </a:p>
          </xdr:txBody>
        </xdr:sp>
      </xdr:grpSp>
    </xdr:grpSp>
    <xdr:clientData/>
  </xdr:twoCellAnchor>
  <xdr:twoCellAnchor editAs="absolute">
    <xdr:from>
      <xdr:col>7</xdr:col>
      <xdr:colOff>342489</xdr:colOff>
      <xdr:row>4</xdr:row>
      <xdr:rowOff>184088</xdr:rowOff>
    </xdr:from>
    <xdr:to>
      <xdr:col>24</xdr:col>
      <xdr:colOff>280005</xdr:colOff>
      <xdr:row>42</xdr:row>
      <xdr:rowOff>52595</xdr:rowOff>
    </xdr:to>
    <xdr:graphicFrame macro="">
      <xdr:nvGraphicFramePr>
        <xdr:cNvPr id="3" name="Chart 2">
          <a:extLst>
            <a:ext uri="{FF2B5EF4-FFF2-40B4-BE49-F238E27FC236}">
              <a16:creationId xmlns:a16="http://schemas.microsoft.com/office/drawing/2014/main" id="{66BCB0E6-86F8-47DF-A498-0C60C9FF21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absolute">
    <xdr:from>
      <xdr:col>15</xdr:col>
      <xdr:colOff>68745</xdr:colOff>
      <xdr:row>10</xdr:row>
      <xdr:rowOff>48817</xdr:rowOff>
    </xdr:from>
    <xdr:to>
      <xdr:col>17</xdr:col>
      <xdr:colOff>9211</xdr:colOff>
      <xdr:row>11</xdr:row>
      <xdr:rowOff>86284</xdr:rowOff>
    </xdr:to>
    <xdr:sp macro="" textlink="'Pivot Tables'!H12">
      <xdr:nvSpPr>
        <xdr:cNvPr id="1075" name="TextBox 1074">
          <a:extLst>
            <a:ext uri="{FF2B5EF4-FFF2-40B4-BE49-F238E27FC236}">
              <a16:creationId xmlns:a16="http://schemas.microsoft.com/office/drawing/2014/main" id="{E36BA574-9905-43B0-A471-FD02D8BF481E}"/>
            </a:ext>
          </a:extLst>
        </xdr:cNvPr>
        <xdr:cNvSpPr txBox="1"/>
      </xdr:nvSpPr>
      <xdr:spPr>
        <a:xfrm>
          <a:off x="9253566" y="1953817"/>
          <a:ext cx="1165109" cy="2279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79AF714-8CCE-49B1-8A6A-9005D563C902}" type="TxLink">
            <a:rPr lang="en-US" sz="900" b="0" i="0" u="none" strike="noStrike">
              <a:solidFill>
                <a:schemeClr val="bg1"/>
              </a:solidFill>
              <a:latin typeface="Avenir Medium" panose="020B0603020203020204" pitchFamily="34" charset="-78"/>
              <a:cs typeface="Avenir Medium" panose="020B0603020203020204" pitchFamily="34" charset="-78"/>
            </a:rPr>
            <a:pPr algn="ctr"/>
            <a:t>Advertising</a:t>
          </a:fld>
          <a:endParaRPr lang="en-IN" sz="600">
            <a:solidFill>
              <a:schemeClr val="bg1"/>
            </a:solidFill>
            <a:latin typeface="Avenir Medium" panose="020B0603020203020204" pitchFamily="34" charset="-78"/>
            <a:cs typeface="Avenir Medium" panose="020B0603020203020204" pitchFamily="34" charset="-78"/>
          </a:endParaRPr>
        </a:p>
      </xdr:txBody>
    </xdr:sp>
    <xdr:clientData/>
  </xdr:twoCellAnchor>
  <xdr:twoCellAnchor editAs="absolute">
    <xdr:from>
      <xdr:col>10</xdr:col>
      <xdr:colOff>95963</xdr:colOff>
      <xdr:row>13</xdr:row>
      <xdr:rowOff>118854</xdr:rowOff>
    </xdr:from>
    <xdr:to>
      <xdr:col>12</xdr:col>
      <xdr:colOff>36430</xdr:colOff>
      <xdr:row>14</xdr:row>
      <xdr:rowOff>156321</xdr:rowOff>
    </xdr:to>
    <xdr:sp macro="" textlink="'Pivot Tables'!H10">
      <xdr:nvSpPr>
        <xdr:cNvPr id="1076" name="TextBox 1075">
          <a:extLst>
            <a:ext uri="{FF2B5EF4-FFF2-40B4-BE49-F238E27FC236}">
              <a16:creationId xmlns:a16="http://schemas.microsoft.com/office/drawing/2014/main" id="{1949742F-FAB8-4EA6-A243-CD760DC23E53}"/>
            </a:ext>
          </a:extLst>
        </xdr:cNvPr>
        <xdr:cNvSpPr txBox="1"/>
      </xdr:nvSpPr>
      <xdr:spPr>
        <a:xfrm>
          <a:off x="6219177" y="2595354"/>
          <a:ext cx="1165110" cy="2279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8BA9199-9D7E-4CBB-AC51-DEDD9F9A474C}" type="TxLink">
            <a:rPr lang="en-US" sz="900" b="0" i="0" u="none" strike="noStrike">
              <a:solidFill>
                <a:schemeClr val="bg1"/>
              </a:solidFill>
              <a:latin typeface="Avenir Medium" panose="020B0603020203020204" pitchFamily="34" charset="-78"/>
              <a:cs typeface="Avenir Medium" panose="020B0603020203020204" pitchFamily="34" charset="-78"/>
            </a:rPr>
            <a:pPr algn="ctr"/>
            <a:t>Licensing</a:t>
          </a:fld>
          <a:endParaRPr lang="en-IN" sz="600">
            <a:solidFill>
              <a:schemeClr val="bg1"/>
            </a:solidFill>
            <a:latin typeface="Avenir Medium" panose="020B0603020203020204" pitchFamily="34" charset="-78"/>
            <a:cs typeface="Avenir Medium" panose="020B0603020203020204" pitchFamily="34" charset="-78"/>
          </a:endParaRPr>
        </a:p>
      </xdr:txBody>
    </xdr:sp>
    <xdr:clientData/>
  </xdr:twoCellAnchor>
  <xdr:twoCellAnchor editAs="absolute">
    <xdr:from>
      <xdr:col>8</xdr:col>
      <xdr:colOff>527606</xdr:colOff>
      <xdr:row>31</xdr:row>
      <xdr:rowOff>77390</xdr:rowOff>
    </xdr:from>
    <xdr:to>
      <xdr:col>10</xdr:col>
      <xdr:colOff>93009</xdr:colOff>
      <xdr:row>32</xdr:row>
      <xdr:rowOff>117745</xdr:rowOff>
    </xdr:to>
    <xdr:sp macro="" textlink="'Pivot Tables'!H7">
      <xdr:nvSpPr>
        <xdr:cNvPr id="1077" name="TextBox 1076">
          <a:extLst>
            <a:ext uri="{FF2B5EF4-FFF2-40B4-BE49-F238E27FC236}">
              <a16:creationId xmlns:a16="http://schemas.microsoft.com/office/drawing/2014/main" id="{B3231877-D37C-4824-94A0-B10811340B65}"/>
            </a:ext>
          </a:extLst>
        </xdr:cNvPr>
        <xdr:cNvSpPr txBox="1"/>
      </xdr:nvSpPr>
      <xdr:spPr>
        <a:xfrm>
          <a:off x="5426177" y="5982890"/>
          <a:ext cx="790046" cy="2308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FF363DC-3652-49E0-B132-86B94CF8B954}" type="TxLink">
            <a:rPr lang="en-US" sz="900" b="0" i="0" u="none" strike="noStrike">
              <a:solidFill>
                <a:schemeClr val="bg1"/>
              </a:solidFill>
              <a:latin typeface="Avenir Medium" panose="020B0603020203020204" pitchFamily="34" charset="-78"/>
              <a:cs typeface="Avenir Medium" panose="020B0603020203020204" pitchFamily="34" charset="-78"/>
            </a:rPr>
            <a:pPr algn="ctr"/>
            <a:t>Usage fees</a:t>
          </a:fld>
          <a:endParaRPr lang="en-IN" sz="600">
            <a:solidFill>
              <a:schemeClr val="bg1"/>
            </a:solidFill>
            <a:latin typeface="Avenir Medium" panose="020B0603020203020204" pitchFamily="34" charset="-78"/>
            <a:cs typeface="Avenir Medium" panose="020B0603020203020204" pitchFamily="34" charset="-78"/>
          </a:endParaRPr>
        </a:p>
      </xdr:txBody>
    </xdr:sp>
    <xdr:clientData/>
  </xdr:twoCellAnchor>
  <xdr:twoCellAnchor editAs="absolute">
    <xdr:from>
      <xdr:col>13</xdr:col>
      <xdr:colOff>302477</xdr:colOff>
      <xdr:row>38</xdr:row>
      <xdr:rowOff>36351</xdr:rowOff>
    </xdr:from>
    <xdr:to>
      <xdr:col>15</xdr:col>
      <xdr:colOff>240537</xdr:colOff>
      <xdr:row>39</xdr:row>
      <xdr:rowOff>73819</xdr:rowOff>
    </xdr:to>
    <xdr:sp macro="" textlink="'Pivot Tables'!H9">
      <xdr:nvSpPr>
        <xdr:cNvPr id="1078" name="TextBox 1077">
          <a:extLst>
            <a:ext uri="{FF2B5EF4-FFF2-40B4-BE49-F238E27FC236}">
              <a16:creationId xmlns:a16="http://schemas.microsoft.com/office/drawing/2014/main" id="{79CC577C-D231-4762-B8BB-53F25F060DFD}"/>
            </a:ext>
          </a:extLst>
        </xdr:cNvPr>
        <xdr:cNvSpPr txBox="1"/>
      </xdr:nvSpPr>
      <xdr:spPr>
        <a:xfrm>
          <a:off x="8262656" y="7275351"/>
          <a:ext cx="1162702" cy="2279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1A11797-4B58-4E25-AC1F-1E903979DA9C}" type="TxLink">
            <a:rPr lang="en-US" sz="900" b="0" i="0" u="none" strike="noStrike">
              <a:solidFill>
                <a:schemeClr val="bg1"/>
              </a:solidFill>
              <a:latin typeface="Avenir Medium" panose="020B0603020203020204" pitchFamily="34" charset="-78"/>
              <a:cs typeface="Avenir Medium" panose="020B0603020203020204" pitchFamily="34" charset="-78"/>
            </a:rPr>
            <a:pPr algn="ctr"/>
            <a:t>Renting</a:t>
          </a:fld>
          <a:endParaRPr lang="en-IN" sz="600">
            <a:solidFill>
              <a:schemeClr val="bg1"/>
            </a:solidFill>
            <a:latin typeface="Avenir Medium" panose="020B0603020203020204" pitchFamily="34" charset="-78"/>
            <a:cs typeface="Avenir Medium" panose="020B0603020203020204" pitchFamily="34" charset="-78"/>
          </a:endParaRPr>
        </a:p>
      </xdr:txBody>
    </xdr:sp>
    <xdr:clientData/>
  </xdr:twoCellAnchor>
  <xdr:twoCellAnchor editAs="absolute">
    <xdr:from>
      <xdr:col>18</xdr:col>
      <xdr:colOff>248021</xdr:colOff>
      <xdr:row>35</xdr:row>
      <xdr:rowOff>5947</xdr:rowOff>
    </xdr:from>
    <xdr:to>
      <xdr:col>20</xdr:col>
      <xdr:colOff>188486</xdr:colOff>
      <xdr:row>36</xdr:row>
      <xdr:rowOff>49828</xdr:rowOff>
    </xdr:to>
    <xdr:sp macro="" textlink="'Pivot Tables'!H8">
      <xdr:nvSpPr>
        <xdr:cNvPr id="1079" name="TextBox 1078">
          <a:extLst>
            <a:ext uri="{FF2B5EF4-FFF2-40B4-BE49-F238E27FC236}">
              <a16:creationId xmlns:a16="http://schemas.microsoft.com/office/drawing/2014/main" id="{B27ED8CD-2213-402D-88FE-CF61B76FEA95}"/>
            </a:ext>
          </a:extLst>
        </xdr:cNvPr>
        <xdr:cNvSpPr txBox="1"/>
      </xdr:nvSpPr>
      <xdr:spPr>
        <a:xfrm>
          <a:off x="11269807" y="6673447"/>
          <a:ext cx="1165108" cy="2343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B68AE6E-2678-4B05-94BA-ED88231DB89A}" type="TxLink">
            <a:rPr lang="en-US" sz="900" b="0" i="0" u="none" strike="noStrike">
              <a:solidFill>
                <a:schemeClr val="bg1"/>
              </a:solidFill>
              <a:latin typeface="Avenir Medium" panose="020B0603020203020204" pitchFamily="34" charset="-78"/>
              <a:cs typeface="Avenir Medium" panose="020B0603020203020204" pitchFamily="34" charset="-78"/>
            </a:rPr>
            <a:pPr algn="ctr"/>
            <a:t>Subscription</a:t>
          </a:fld>
          <a:endParaRPr lang="en-IN" sz="600">
            <a:solidFill>
              <a:schemeClr val="bg1"/>
            </a:solidFill>
            <a:latin typeface="Avenir Medium" panose="020B0603020203020204" pitchFamily="34" charset="-78"/>
            <a:cs typeface="Avenir Medium" panose="020B0603020203020204" pitchFamily="34" charset="-78"/>
          </a:endParaRPr>
        </a:p>
      </xdr:txBody>
    </xdr:sp>
    <xdr:clientData/>
  </xdr:twoCellAnchor>
  <xdr:twoCellAnchor editAs="absolute">
    <xdr:from>
      <xdr:col>16</xdr:col>
      <xdr:colOff>470175</xdr:colOff>
      <xdr:row>20</xdr:row>
      <xdr:rowOff>81377</xdr:rowOff>
    </xdr:from>
    <xdr:to>
      <xdr:col>18</xdr:col>
      <xdr:colOff>410639</xdr:colOff>
      <xdr:row>21</xdr:row>
      <xdr:rowOff>121732</xdr:rowOff>
    </xdr:to>
    <xdr:sp macro="" textlink="'Pivot Tables'!H11">
      <xdr:nvSpPr>
        <xdr:cNvPr id="1080" name="TextBox 1079">
          <a:extLst>
            <a:ext uri="{FF2B5EF4-FFF2-40B4-BE49-F238E27FC236}">
              <a16:creationId xmlns:a16="http://schemas.microsoft.com/office/drawing/2014/main" id="{DDE65EAC-2639-4CB5-AE62-4B779E07DAD8}"/>
            </a:ext>
          </a:extLst>
        </xdr:cNvPr>
        <xdr:cNvSpPr txBox="1"/>
      </xdr:nvSpPr>
      <xdr:spPr>
        <a:xfrm>
          <a:off x="10267318" y="3891377"/>
          <a:ext cx="1165107" cy="2308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2AF53A4-3EC9-4FCE-9532-6BFF391C14C0}" type="TxLink">
            <a:rPr lang="en-US" sz="900" b="0" i="0" u="none" strike="noStrike">
              <a:solidFill>
                <a:schemeClr val="bg1"/>
              </a:solidFill>
              <a:latin typeface="Avenir Medium" panose="020B0603020203020204" pitchFamily="34" charset="-78"/>
              <a:cs typeface="Avenir Medium" panose="020B0603020203020204" pitchFamily="34" charset="-78"/>
            </a:rPr>
            <a:pPr algn="ctr"/>
            <a:t>Asset sale</a:t>
          </a:fld>
          <a:endParaRPr lang="en-IN" sz="600">
            <a:solidFill>
              <a:schemeClr val="bg1"/>
            </a:solidFill>
            <a:latin typeface="Avenir Medium" panose="020B0603020203020204" pitchFamily="34" charset="-78"/>
            <a:cs typeface="Avenir Medium" panose="020B0603020203020204" pitchFamily="34" charset="-78"/>
          </a:endParaRPr>
        </a:p>
      </xdr:txBody>
    </xdr:sp>
    <xdr:clientData/>
  </xdr:twoCellAnchor>
  <xdr:twoCellAnchor editAs="absolute">
    <xdr:from>
      <xdr:col>18</xdr:col>
      <xdr:colOff>502035</xdr:colOff>
      <xdr:row>7</xdr:row>
      <xdr:rowOff>105948</xdr:rowOff>
    </xdr:from>
    <xdr:to>
      <xdr:col>19</xdr:col>
      <xdr:colOff>325949</xdr:colOff>
      <xdr:row>13</xdr:row>
      <xdr:rowOff>40189</xdr:rowOff>
    </xdr:to>
    <xdr:grpSp>
      <xdr:nvGrpSpPr>
        <xdr:cNvPr id="1119" name="Group 1118">
          <a:extLst>
            <a:ext uri="{FF2B5EF4-FFF2-40B4-BE49-F238E27FC236}">
              <a16:creationId xmlns:a16="http://schemas.microsoft.com/office/drawing/2014/main" id="{7CD272B8-BC88-8551-3C94-0DB211C0A6EE}"/>
            </a:ext>
          </a:extLst>
        </xdr:cNvPr>
        <xdr:cNvGrpSpPr/>
      </xdr:nvGrpSpPr>
      <xdr:grpSpPr>
        <a:xfrm>
          <a:off x="11474835" y="1439448"/>
          <a:ext cx="433514" cy="1077241"/>
          <a:chOff x="11188102" y="963203"/>
          <a:chExt cx="430050" cy="1077045"/>
        </a:xfrm>
      </xdr:grpSpPr>
      <xdr:cxnSp macro="">
        <xdr:nvCxnSpPr>
          <xdr:cNvPr id="1060" name="Straight Connector 1059">
            <a:extLst>
              <a:ext uri="{FF2B5EF4-FFF2-40B4-BE49-F238E27FC236}">
                <a16:creationId xmlns:a16="http://schemas.microsoft.com/office/drawing/2014/main" id="{523613FF-8937-4062-AFB0-D969B1BFE8CC}"/>
              </a:ext>
            </a:extLst>
          </xdr:cNvPr>
          <xdr:cNvCxnSpPr>
            <a:stCxn id="1052" idx="0"/>
            <a:endCxn id="1117" idx="4"/>
          </xdr:cNvCxnSpPr>
        </xdr:nvCxnSpPr>
        <xdr:spPr>
          <a:xfrm flipH="1" flipV="1">
            <a:off x="11403127" y="1393501"/>
            <a:ext cx="54762" cy="646747"/>
          </a:xfrm>
          <a:prstGeom prst="line">
            <a:avLst/>
          </a:prstGeom>
          <a:ln w="9525">
            <a:solidFill>
              <a:schemeClr val="tx2">
                <a:lumMod val="75000"/>
              </a:schemeClr>
            </a:solidFill>
          </a:ln>
        </xdr:spPr>
        <xdr:style>
          <a:lnRef idx="1">
            <a:schemeClr val="accent1"/>
          </a:lnRef>
          <a:fillRef idx="0">
            <a:schemeClr val="accent1"/>
          </a:fillRef>
          <a:effectRef idx="0">
            <a:schemeClr val="accent1"/>
          </a:effectRef>
          <a:fontRef idx="minor">
            <a:schemeClr val="tx1"/>
          </a:fontRef>
        </xdr:style>
      </xdr:cxnSp>
      <xdr:sp macro="" textlink="">
        <xdr:nvSpPr>
          <xdr:cNvPr id="1117" name="Oval 1116">
            <a:extLst>
              <a:ext uri="{FF2B5EF4-FFF2-40B4-BE49-F238E27FC236}">
                <a16:creationId xmlns:a16="http://schemas.microsoft.com/office/drawing/2014/main" id="{9CBDFAE4-4A80-61E1-C4BF-D830FAD046E1}"/>
              </a:ext>
            </a:extLst>
          </xdr:cNvPr>
          <xdr:cNvSpPr/>
        </xdr:nvSpPr>
        <xdr:spPr>
          <a:xfrm>
            <a:off x="11188102" y="963203"/>
            <a:ext cx="430050" cy="430298"/>
          </a:xfrm>
          <a:prstGeom prst="ellipse">
            <a:avLst/>
          </a:prstGeom>
          <a:solidFill>
            <a:schemeClr val="tx2">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r>
              <a:rPr lang="en-IN" kern="1200"/>
              <a:t> </a:t>
            </a:r>
          </a:p>
        </xdr:txBody>
      </xdr:sp>
    </xdr:grpSp>
    <xdr:clientData/>
  </xdr:twoCellAnchor>
  <xdr:twoCellAnchor editAs="absolute">
    <xdr:from>
      <xdr:col>19</xdr:col>
      <xdr:colOff>337622</xdr:colOff>
      <xdr:row>8</xdr:row>
      <xdr:rowOff>22670</xdr:rowOff>
    </xdr:from>
    <xdr:to>
      <xdr:col>21</xdr:col>
      <xdr:colOff>366141</xdr:colOff>
      <xdr:row>13</xdr:row>
      <xdr:rowOff>111162</xdr:rowOff>
    </xdr:to>
    <xdr:grpSp>
      <xdr:nvGrpSpPr>
        <xdr:cNvPr id="1120" name="Group 1119">
          <a:extLst>
            <a:ext uri="{FF2B5EF4-FFF2-40B4-BE49-F238E27FC236}">
              <a16:creationId xmlns:a16="http://schemas.microsoft.com/office/drawing/2014/main" id="{E3F9712B-C975-48D1-AE99-CC98F12041FF}"/>
            </a:ext>
          </a:extLst>
        </xdr:cNvPr>
        <xdr:cNvGrpSpPr/>
      </xdr:nvGrpSpPr>
      <xdr:grpSpPr>
        <a:xfrm>
          <a:off x="11920022" y="1546670"/>
          <a:ext cx="1247719" cy="1040992"/>
          <a:chOff x="10856290" y="868330"/>
          <a:chExt cx="1260233" cy="1040780"/>
        </a:xfrm>
      </xdr:grpSpPr>
      <xdr:cxnSp macro="">
        <xdr:nvCxnSpPr>
          <xdr:cNvPr id="1121" name="Straight Connector 1120">
            <a:extLst>
              <a:ext uri="{FF2B5EF4-FFF2-40B4-BE49-F238E27FC236}">
                <a16:creationId xmlns:a16="http://schemas.microsoft.com/office/drawing/2014/main" id="{CD2972FA-2F3C-E86D-286F-75B1859ED5B9}"/>
              </a:ext>
            </a:extLst>
          </xdr:cNvPr>
          <xdr:cNvCxnSpPr>
            <a:stCxn id="1052" idx="7"/>
            <a:endCxn id="1122" idx="3"/>
          </xdr:cNvCxnSpPr>
        </xdr:nvCxnSpPr>
        <xdr:spPr>
          <a:xfrm flipV="1">
            <a:off x="10856290" y="1235612"/>
            <a:ext cx="893162" cy="673498"/>
          </a:xfrm>
          <a:prstGeom prst="line">
            <a:avLst/>
          </a:prstGeom>
          <a:ln w="9525">
            <a:solidFill>
              <a:schemeClr val="tx2">
                <a:lumMod val="75000"/>
              </a:schemeClr>
            </a:solidFill>
          </a:ln>
        </xdr:spPr>
        <xdr:style>
          <a:lnRef idx="1">
            <a:schemeClr val="accent1"/>
          </a:lnRef>
          <a:fillRef idx="0">
            <a:schemeClr val="accent1"/>
          </a:fillRef>
          <a:effectRef idx="0">
            <a:schemeClr val="accent1"/>
          </a:effectRef>
          <a:fontRef idx="minor">
            <a:schemeClr val="tx1"/>
          </a:fontRef>
        </xdr:style>
      </xdr:cxnSp>
      <xdr:sp macro="" textlink="">
        <xdr:nvSpPr>
          <xdr:cNvPr id="1122" name="Oval 1121">
            <a:extLst>
              <a:ext uri="{FF2B5EF4-FFF2-40B4-BE49-F238E27FC236}">
                <a16:creationId xmlns:a16="http://schemas.microsoft.com/office/drawing/2014/main" id="{3D41F22F-194F-0F04-9A76-E320A13BBDBB}"/>
              </a:ext>
            </a:extLst>
          </xdr:cNvPr>
          <xdr:cNvSpPr/>
        </xdr:nvSpPr>
        <xdr:spPr>
          <a:xfrm>
            <a:off x="11686473" y="868330"/>
            <a:ext cx="430050" cy="430298"/>
          </a:xfrm>
          <a:prstGeom prst="ellipse">
            <a:avLst/>
          </a:prstGeom>
          <a:solidFill>
            <a:schemeClr val="tx2">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r>
              <a:rPr lang="en-IN" kern="1200"/>
              <a:t> </a:t>
            </a:r>
          </a:p>
        </xdr:txBody>
      </xdr:sp>
    </xdr:grpSp>
    <xdr:clientData/>
  </xdr:twoCellAnchor>
  <xdr:twoCellAnchor editAs="absolute">
    <xdr:from>
      <xdr:col>19</xdr:col>
      <xdr:colOff>409794</xdr:colOff>
      <xdr:row>12</xdr:row>
      <xdr:rowOff>145703</xdr:rowOff>
    </xdr:from>
    <xdr:to>
      <xdr:col>21</xdr:col>
      <xdr:colOff>479377</xdr:colOff>
      <xdr:row>15</xdr:row>
      <xdr:rowOff>4501</xdr:rowOff>
    </xdr:to>
    <xdr:grpSp>
      <xdr:nvGrpSpPr>
        <xdr:cNvPr id="1123" name="Group 1122">
          <a:extLst>
            <a:ext uri="{FF2B5EF4-FFF2-40B4-BE49-F238E27FC236}">
              <a16:creationId xmlns:a16="http://schemas.microsoft.com/office/drawing/2014/main" id="{6E154A9F-6897-4C30-BBD8-D82689EF4060}"/>
            </a:ext>
          </a:extLst>
        </xdr:cNvPr>
        <xdr:cNvGrpSpPr/>
      </xdr:nvGrpSpPr>
      <xdr:grpSpPr>
        <a:xfrm>
          <a:off x="11992194" y="2431703"/>
          <a:ext cx="1288783" cy="430298"/>
          <a:chOff x="9830455" y="1203398"/>
          <a:chExt cx="1295235" cy="430298"/>
        </a:xfrm>
      </xdr:grpSpPr>
      <xdr:cxnSp macro="">
        <xdr:nvCxnSpPr>
          <xdr:cNvPr id="1124" name="Straight Connector 1123">
            <a:extLst>
              <a:ext uri="{FF2B5EF4-FFF2-40B4-BE49-F238E27FC236}">
                <a16:creationId xmlns:a16="http://schemas.microsoft.com/office/drawing/2014/main" id="{60EEC903-253E-F745-5156-559B2D6E820B}"/>
              </a:ext>
            </a:extLst>
          </xdr:cNvPr>
          <xdr:cNvCxnSpPr>
            <a:stCxn id="1052" idx="6"/>
            <a:endCxn id="1125" idx="2"/>
          </xdr:cNvCxnSpPr>
        </xdr:nvCxnSpPr>
        <xdr:spPr>
          <a:xfrm flipV="1">
            <a:off x="9830455" y="1418547"/>
            <a:ext cx="865185" cy="112153"/>
          </a:xfrm>
          <a:prstGeom prst="line">
            <a:avLst/>
          </a:prstGeom>
          <a:ln w="9525">
            <a:solidFill>
              <a:schemeClr val="tx2">
                <a:lumMod val="75000"/>
              </a:schemeClr>
            </a:solidFill>
          </a:ln>
        </xdr:spPr>
        <xdr:style>
          <a:lnRef idx="1">
            <a:schemeClr val="accent1"/>
          </a:lnRef>
          <a:fillRef idx="0">
            <a:schemeClr val="accent1"/>
          </a:fillRef>
          <a:effectRef idx="0">
            <a:schemeClr val="accent1"/>
          </a:effectRef>
          <a:fontRef idx="minor">
            <a:schemeClr val="tx1"/>
          </a:fontRef>
        </xdr:style>
      </xdr:cxnSp>
      <xdr:sp macro="" textlink="">
        <xdr:nvSpPr>
          <xdr:cNvPr id="1125" name="Oval 1124">
            <a:extLst>
              <a:ext uri="{FF2B5EF4-FFF2-40B4-BE49-F238E27FC236}">
                <a16:creationId xmlns:a16="http://schemas.microsoft.com/office/drawing/2014/main" id="{0DE5BC56-C172-0275-1C3A-BA589B94DD77}"/>
              </a:ext>
            </a:extLst>
          </xdr:cNvPr>
          <xdr:cNvSpPr/>
        </xdr:nvSpPr>
        <xdr:spPr>
          <a:xfrm>
            <a:off x="10695640" y="1203398"/>
            <a:ext cx="430050" cy="430298"/>
          </a:xfrm>
          <a:prstGeom prst="ellipse">
            <a:avLst/>
          </a:prstGeom>
          <a:solidFill>
            <a:schemeClr val="tx2">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r>
              <a:rPr lang="en-IN" kern="1200"/>
              <a:t> </a:t>
            </a:r>
          </a:p>
        </xdr:txBody>
      </xdr:sp>
    </xdr:grpSp>
    <xdr:clientData/>
  </xdr:twoCellAnchor>
  <xdr:twoCellAnchor editAs="absolute">
    <xdr:from>
      <xdr:col>19</xdr:col>
      <xdr:colOff>79443</xdr:colOff>
      <xdr:row>15</xdr:row>
      <xdr:rowOff>153460</xdr:rowOff>
    </xdr:from>
    <xdr:to>
      <xdr:col>19</xdr:col>
      <xdr:colOff>502716</xdr:colOff>
      <xdr:row>22</xdr:row>
      <xdr:rowOff>40617</xdr:rowOff>
    </xdr:to>
    <xdr:grpSp>
      <xdr:nvGrpSpPr>
        <xdr:cNvPr id="1126" name="Group 1125">
          <a:extLst>
            <a:ext uri="{FF2B5EF4-FFF2-40B4-BE49-F238E27FC236}">
              <a16:creationId xmlns:a16="http://schemas.microsoft.com/office/drawing/2014/main" id="{6CDCA1D7-BF4A-45DA-8E2E-0B05B16A9C73}"/>
            </a:ext>
          </a:extLst>
        </xdr:cNvPr>
        <xdr:cNvGrpSpPr/>
      </xdr:nvGrpSpPr>
      <xdr:grpSpPr>
        <a:xfrm rot="9326843">
          <a:off x="11661843" y="3010960"/>
          <a:ext cx="423273" cy="1220657"/>
          <a:chOff x="11210583" y="1809881"/>
          <a:chExt cx="430050" cy="1220802"/>
        </a:xfrm>
      </xdr:grpSpPr>
      <xdr:cxnSp macro="">
        <xdr:nvCxnSpPr>
          <xdr:cNvPr id="1127" name="Straight Connector 1126">
            <a:extLst>
              <a:ext uri="{FF2B5EF4-FFF2-40B4-BE49-F238E27FC236}">
                <a16:creationId xmlns:a16="http://schemas.microsoft.com/office/drawing/2014/main" id="{5234766C-6EA8-9556-138B-1B40671239A0}"/>
              </a:ext>
            </a:extLst>
          </xdr:cNvPr>
          <xdr:cNvCxnSpPr>
            <a:stCxn id="1052" idx="4"/>
            <a:endCxn id="1128" idx="4"/>
          </xdr:cNvCxnSpPr>
        </xdr:nvCxnSpPr>
        <xdr:spPr>
          <a:xfrm rot="12273157">
            <a:off x="11250860" y="2246823"/>
            <a:ext cx="205769" cy="783860"/>
          </a:xfrm>
          <a:prstGeom prst="line">
            <a:avLst/>
          </a:prstGeom>
          <a:ln w="9525">
            <a:solidFill>
              <a:schemeClr val="tx2">
                <a:lumMod val="75000"/>
              </a:schemeClr>
            </a:solidFill>
          </a:ln>
        </xdr:spPr>
        <xdr:style>
          <a:lnRef idx="1">
            <a:schemeClr val="accent1"/>
          </a:lnRef>
          <a:fillRef idx="0">
            <a:schemeClr val="accent1"/>
          </a:fillRef>
          <a:effectRef idx="0">
            <a:schemeClr val="accent1"/>
          </a:effectRef>
          <a:fontRef idx="minor">
            <a:schemeClr val="tx1"/>
          </a:fontRef>
        </xdr:style>
      </xdr:cxnSp>
      <xdr:sp macro="" textlink="">
        <xdr:nvSpPr>
          <xdr:cNvPr id="1128" name="Oval 1127">
            <a:extLst>
              <a:ext uri="{FF2B5EF4-FFF2-40B4-BE49-F238E27FC236}">
                <a16:creationId xmlns:a16="http://schemas.microsoft.com/office/drawing/2014/main" id="{68725B91-90D4-322A-0A57-0C46EF88D710}"/>
              </a:ext>
            </a:extLst>
          </xdr:cNvPr>
          <xdr:cNvSpPr/>
        </xdr:nvSpPr>
        <xdr:spPr>
          <a:xfrm>
            <a:off x="11210583" y="1809881"/>
            <a:ext cx="430050" cy="430298"/>
          </a:xfrm>
          <a:prstGeom prst="ellipse">
            <a:avLst/>
          </a:prstGeom>
          <a:solidFill>
            <a:schemeClr val="tx2">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r>
              <a:rPr lang="en-IN" kern="1200"/>
              <a:t> </a:t>
            </a:r>
          </a:p>
        </xdr:txBody>
      </xdr:sp>
    </xdr:grpSp>
    <xdr:clientData/>
  </xdr:twoCellAnchor>
  <xdr:twoCellAnchor editAs="absolute">
    <xdr:from>
      <xdr:col>19</xdr:col>
      <xdr:colOff>309972</xdr:colOff>
      <xdr:row>15</xdr:row>
      <xdr:rowOff>159427</xdr:rowOff>
    </xdr:from>
    <xdr:to>
      <xdr:col>21</xdr:col>
      <xdr:colOff>222775</xdr:colOff>
      <xdr:row>18</xdr:row>
      <xdr:rowOff>28943</xdr:rowOff>
    </xdr:to>
    <xdr:grpSp>
      <xdr:nvGrpSpPr>
        <xdr:cNvPr id="1129" name="Group 1128">
          <a:extLst>
            <a:ext uri="{FF2B5EF4-FFF2-40B4-BE49-F238E27FC236}">
              <a16:creationId xmlns:a16="http://schemas.microsoft.com/office/drawing/2014/main" id="{D04CA211-DBEF-4A14-8446-C2FF41F4CE44}"/>
            </a:ext>
          </a:extLst>
        </xdr:cNvPr>
        <xdr:cNvGrpSpPr/>
      </xdr:nvGrpSpPr>
      <xdr:grpSpPr>
        <a:xfrm rot="7525416">
          <a:off x="12237866" y="2671433"/>
          <a:ext cx="441016" cy="1132003"/>
          <a:chOff x="11191535" y="1005646"/>
          <a:chExt cx="440984" cy="1138550"/>
        </a:xfrm>
      </xdr:grpSpPr>
      <xdr:cxnSp macro="">
        <xdr:nvCxnSpPr>
          <xdr:cNvPr id="1130" name="Straight Connector 1129">
            <a:extLst>
              <a:ext uri="{FF2B5EF4-FFF2-40B4-BE49-F238E27FC236}">
                <a16:creationId xmlns:a16="http://schemas.microsoft.com/office/drawing/2014/main" id="{1F8EA29C-B999-A0DA-320E-CE20315DE3D2}"/>
              </a:ext>
            </a:extLst>
          </xdr:cNvPr>
          <xdr:cNvCxnSpPr>
            <a:stCxn id="1052" idx="5"/>
            <a:endCxn id="1131" idx="4"/>
          </xdr:cNvCxnSpPr>
        </xdr:nvCxnSpPr>
        <xdr:spPr>
          <a:xfrm rot="14074584">
            <a:off x="11111968" y="1623646"/>
            <a:ext cx="658021" cy="383080"/>
          </a:xfrm>
          <a:prstGeom prst="line">
            <a:avLst/>
          </a:prstGeom>
          <a:ln w="9525">
            <a:solidFill>
              <a:schemeClr val="tx2">
                <a:lumMod val="75000"/>
              </a:schemeClr>
            </a:solidFill>
          </a:ln>
        </xdr:spPr>
        <xdr:style>
          <a:lnRef idx="1">
            <a:schemeClr val="accent1"/>
          </a:lnRef>
          <a:fillRef idx="0">
            <a:schemeClr val="accent1"/>
          </a:fillRef>
          <a:effectRef idx="0">
            <a:schemeClr val="accent1"/>
          </a:effectRef>
          <a:fontRef idx="minor">
            <a:schemeClr val="tx1"/>
          </a:fontRef>
        </xdr:style>
      </xdr:cxnSp>
      <xdr:sp macro="" textlink="">
        <xdr:nvSpPr>
          <xdr:cNvPr id="1131" name="Oval 1130">
            <a:extLst>
              <a:ext uri="{FF2B5EF4-FFF2-40B4-BE49-F238E27FC236}">
                <a16:creationId xmlns:a16="http://schemas.microsoft.com/office/drawing/2014/main" id="{2D396175-F22F-F0CE-7A96-2143313006CC}"/>
              </a:ext>
            </a:extLst>
          </xdr:cNvPr>
          <xdr:cNvSpPr/>
        </xdr:nvSpPr>
        <xdr:spPr>
          <a:xfrm>
            <a:off x="11191535" y="1005646"/>
            <a:ext cx="430050" cy="430298"/>
          </a:xfrm>
          <a:prstGeom prst="ellipse">
            <a:avLst/>
          </a:prstGeom>
          <a:solidFill>
            <a:schemeClr val="tx2">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r>
              <a:rPr lang="en-IN" kern="1200"/>
              <a:t> </a:t>
            </a:r>
          </a:p>
        </xdr:txBody>
      </xdr:sp>
    </xdr:grpSp>
    <xdr:clientData/>
  </xdr:twoCellAnchor>
  <xdr:twoCellAnchor editAs="absolute">
    <xdr:from>
      <xdr:col>14</xdr:col>
      <xdr:colOff>473117</xdr:colOff>
      <xdr:row>43</xdr:row>
      <xdr:rowOff>186736</xdr:rowOff>
    </xdr:from>
    <xdr:to>
      <xdr:col>16</xdr:col>
      <xdr:colOff>258195</xdr:colOff>
      <xdr:row>46</xdr:row>
      <xdr:rowOff>45286</xdr:rowOff>
    </xdr:to>
    <xdr:grpSp>
      <xdr:nvGrpSpPr>
        <xdr:cNvPr id="1155" name="Group 1154">
          <a:extLst>
            <a:ext uri="{FF2B5EF4-FFF2-40B4-BE49-F238E27FC236}">
              <a16:creationId xmlns:a16="http://schemas.microsoft.com/office/drawing/2014/main" id="{D0FA848D-ED09-4582-AEB8-0A6C32F991A6}"/>
            </a:ext>
          </a:extLst>
        </xdr:cNvPr>
        <xdr:cNvGrpSpPr/>
      </xdr:nvGrpSpPr>
      <xdr:grpSpPr>
        <a:xfrm rot="7525416">
          <a:off x="9294631" y="8091122"/>
          <a:ext cx="430050" cy="1004278"/>
          <a:chOff x="11326761" y="1218423"/>
          <a:chExt cx="430050" cy="1008396"/>
        </a:xfrm>
      </xdr:grpSpPr>
      <xdr:cxnSp macro="">
        <xdr:nvCxnSpPr>
          <xdr:cNvPr id="1156" name="Straight Connector 1155">
            <a:extLst>
              <a:ext uri="{FF2B5EF4-FFF2-40B4-BE49-F238E27FC236}">
                <a16:creationId xmlns:a16="http://schemas.microsoft.com/office/drawing/2014/main" id="{B22F1E67-972C-BF0E-C483-8A2FF50631B2}"/>
              </a:ext>
            </a:extLst>
          </xdr:cNvPr>
          <xdr:cNvCxnSpPr>
            <a:stCxn id="1086" idx="5"/>
            <a:endCxn id="1157" idx="4"/>
          </xdr:cNvCxnSpPr>
        </xdr:nvCxnSpPr>
        <xdr:spPr>
          <a:xfrm rot="14074584">
            <a:off x="11297744" y="1797908"/>
            <a:ext cx="533675" cy="324147"/>
          </a:xfrm>
          <a:prstGeom prst="line">
            <a:avLst/>
          </a:prstGeom>
          <a:ln w="9525">
            <a:solidFill>
              <a:schemeClr val="tx2">
                <a:lumMod val="75000"/>
              </a:schemeClr>
            </a:solidFill>
          </a:ln>
        </xdr:spPr>
        <xdr:style>
          <a:lnRef idx="1">
            <a:schemeClr val="accent1"/>
          </a:lnRef>
          <a:fillRef idx="0">
            <a:schemeClr val="accent1"/>
          </a:fillRef>
          <a:effectRef idx="0">
            <a:schemeClr val="accent1"/>
          </a:effectRef>
          <a:fontRef idx="minor">
            <a:schemeClr val="tx1"/>
          </a:fontRef>
        </xdr:style>
      </xdr:cxnSp>
      <xdr:sp macro="" textlink="">
        <xdr:nvSpPr>
          <xdr:cNvPr id="1157" name="Oval 1156">
            <a:extLst>
              <a:ext uri="{FF2B5EF4-FFF2-40B4-BE49-F238E27FC236}">
                <a16:creationId xmlns:a16="http://schemas.microsoft.com/office/drawing/2014/main" id="{88808BC5-0C89-436C-424B-32AED6752015}"/>
              </a:ext>
            </a:extLst>
          </xdr:cNvPr>
          <xdr:cNvSpPr/>
        </xdr:nvSpPr>
        <xdr:spPr>
          <a:xfrm>
            <a:off x="11326761" y="1218423"/>
            <a:ext cx="430050" cy="430298"/>
          </a:xfrm>
          <a:prstGeom prst="ellipse">
            <a:avLst/>
          </a:prstGeom>
          <a:solidFill>
            <a:schemeClr val="tx2">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r>
              <a:rPr lang="en-IN" kern="1200"/>
              <a:t> </a:t>
            </a:r>
          </a:p>
        </xdr:txBody>
      </xdr:sp>
    </xdr:grpSp>
    <xdr:clientData/>
  </xdr:twoCellAnchor>
  <xdr:twoCellAnchor editAs="absolute">
    <xdr:from>
      <xdr:col>14</xdr:col>
      <xdr:colOff>113085</xdr:colOff>
      <xdr:row>44</xdr:row>
      <xdr:rowOff>1014</xdr:rowOff>
    </xdr:from>
    <xdr:to>
      <xdr:col>14</xdr:col>
      <xdr:colOff>536358</xdr:colOff>
      <xdr:row>48</xdr:row>
      <xdr:rowOff>157845</xdr:rowOff>
    </xdr:to>
    <xdr:grpSp>
      <xdr:nvGrpSpPr>
        <xdr:cNvPr id="1159" name="Group 1158">
          <a:extLst>
            <a:ext uri="{FF2B5EF4-FFF2-40B4-BE49-F238E27FC236}">
              <a16:creationId xmlns:a16="http://schemas.microsoft.com/office/drawing/2014/main" id="{B51097F4-B833-41EC-B6F7-33929B5F2644}"/>
            </a:ext>
          </a:extLst>
        </xdr:cNvPr>
        <xdr:cNvGrpSpPr/>
      </xdr:nvGrpSpPr>
      <xdr:grpSpPr>
        <a:xfrm rot="10800000">
          <a:off x="8647485" y="8383014"/>
          <a:ext cx="423273" cy="918831"/>
          <a:chOff x="11261451" y="2147296"/>
          <a:chExt cx="430050" cy="917995"/>
        </a:xfrm>
      </xdr:grpSpPr>
      <xdr:cxnSp macro="">
        <xdr:nvCxnSpPr>
          <xdr:cNvPr id="1160" name="Straight Connector 1159">
            <a:extLst>
              <a:ext uri="{FF2B5EF4-FFF2-40B4-BE49-F238E27FC236}">
                <a16:creationId xmlns:a16="http://schemas.microsoft.com/office/drawing/2014/main" id="{6412EECB-F006-9FF8-EE90-C92F03722F83}"/>
              </a:ext>
            </a:extLst>
          </xdr:cNvPr>
          <xdr:cNvCxnSpPr>
            <a:stCxn id="1086" idx="4"/>
            <a:endCxn id="1161" idx="4"/>
          </xdr:cNvCxnSpPr>
        </xdr:nvCxnSpPr>
        <xdr:spPr>
          <a:xfrm rot="10800000" flipH="1">
            <a:off x="11470647" y="2577594"/>
            <a:ext cx="5830" cy="487697"/>
          </a:xfrm>
          <a:prstGeom prst="line">
            <a:avLst/>
          </a:prstGeom>
          <a:ln w="9525">
            <a:solidFill>
              <a:schemeClr val="tx2">
                <a:lumMod val="75000"/>
              </a:schemeClr>
            </a:solidFill>
          </a:ln>
        </xdr:spPr>
        <xdr:style>
          <a:lnRef idx="1">
            <a:schemeClr val="accent1"/>
          </a:lnRef>
          <a:fillRef idx="0">
            <a:schemeClr val="accent1"/>
          </a:fillRef>
          <a:effectRef idx="0">
            <a:schemeClr val="accent1"/>
          </a:effectRef>
          <a:fontRef idx="minor">
            <a:schemeClr val="tx1"/>
          </a:fontRef>
        </xdr:style>
      </xdr:cxnSp>
      <xdr:sp macro="" textlink="">
        <xdr:nvSpPr>
          <xdr:cNvPr id="1161" name="Oval 1160">
            <a:extLst>
              <a:ext uri="{FF2B5EF4-FFF2-40B4-BE49-F238E27FC236}">
                <a16:creationId xmlns:a16="http://schemas.microsoft.com/office/drawing/2014/main" id="{33039799-8E86-5781-D506-872B547C75B7}"/>
              </a:ext>
            </a:extLst>
          </xdr:cNvPr>
          <xdr:cNvSpPr/>
        </xdr:nvSpPr>
        <xdr:spPr>
          <a:xfrm>
            <a:off x="11261451" y="2147296"/>
            <a:ext cx="430050" cy="430298"/>
          </a:xfrm>
          <a:prstGeom prst="ellipse">
            <a:avLst/>
          </a:prstGeom>
          <a:solidFill>
            <a:schemeClr val="tx2">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r>
              <a:rPr lang="en-IN" kern="1200"/>
              <a:t> </a:t>
            </a:r>
          </a:p>
        </xdr:txBody>
      </xdr:sp>
    </xdr:grpSp>
    <xdr:clientData/>
  </xdr:twoCellAnchor>
  <xdr:twoCellAnchor editAs="absolute">
    <xdr:from>
      <xdr:col>12</xdr:col>
      <xdr:colOff>527208</xdr:colOff>
      <xdr:row>43</xdr:row>
      <xdr:rowOff>120504</xdr:rowOff>
    </xdr:from>
    <xdr:to>
      <xdr:col>14</xdr:col>
      <xdr:colOff>157016</xdr:colOff>
      <xdr:row>47</xdr:row>
      <xdr:rowOff>44395</xdr:rowOff>
    </xdr:to>
    <xdr:grpSp>
      <xdr:nvGrpSpPr>
        <xdr:cNvPr id="1167" name="Group 1166">
          <a:extLst>
            <a:ext uri="{FF2B5EF4-FFF2-40B4-BE49-F238E27FC236}">
              <a16:creationId xmlns:a16="http://schemas.microsoft.com/office/drawing/2014/main" id="{A426E8B3-D3B1-47B2-8446-F999604A9EF5}"/>
            </a:ext>
          </a:extLst>
        </xdr:cNvPr>
        <xdr:cNvGrpSpPr/>
      </xdr:nvGrpSpPr>
      <xdr:grpSpPr>
        <a:xfrm rot="10800000">
          <a:off x="7842408" y="8312004"/>
          <a:ext cx="849008" cy="685891"/>
          <a:chOff x="10908429" y="2207122"/>
          <a:chExt cx="853820" cy="686850"/>
        </a:xfrm>
      </xdr:grpSpPr>
      <xdr:cxnSp macro="">
        <xdr:nvCxnSpPr>
          <xdr:cNvPr id="1168" name="Straight Connector 1167">
            <a:extLst>
              <a:ext uri="{FF2B5EF4-FFF2-40B4-BE49-F238E27FC236}">
                <a16:creationId xmlns:a16="http://schemas.microsoft.com/office/drawing/2014/main" id="{308973D4-8311-C0E3-DEEE-A8AA2DD59B9A}"/>
              </a:ext>
            </a:extLst>
          </xdr:cNvPr>
          <xdr:cNvCxnSpPr>
            <a:stCxn id="1086" idx="3"/>
            <a:endCxn id="1169" idx="3"/>
          </xdr:cNvCxnSpPr>
        </xdr:nvCxnSpPr>
        <xdr:spPr>
          <a:xfrm rot="10800000" flipH="1">
            <a:off x="10908429" y="2574404"/>
            <a:ext cx="486749" cy="319568"/>
          </a:xfrm>
          <a:prstGeom prst="line">
            <a:avLst/>
          </a:prstGeom>
          <a:ln w="9525">
            <a:solidFill>
              <a:schemeClr val="tx2">
                <a:lumMod val="75000"/>
              </a:schemeClr>
            </a:solidFill>
          </a:ln>
        </xdr:spPr>
        <xdr:style>
          <a:lnRef idx="1">
            <a:schemeClr val="accent1"/>
          </a:lnRef>
          <a:fillRef idx="0">
            <a:schemeClr val="accent1"/>
          </a:fillRef>
          <a:effectRef idx="0">
            <a:schemeClr val="accent1"/>
          </a:effectRef>
          <a:fontRef idx="minor">
            <a:schemeClr val="tx1"/>
          </a:fontRef>
        </xdr:style>
      </xdr:cxnSp>
      <xdr:sp macro="" textlink="">
        <xdr:nvSpPr>
          <xdr:cNvPr id="1169" name="Oval 1168">
            <a:extLst>
              <a:ext uri="{FF2B5EF4-FFF2-40B4-BE49-F238E27FC236}">
                <a16:creationId xmlns:a16="http://schemas.microsoft.com/office/drawing/2014/main" id="{7C6FA42D-21A9-31F5-0EAB-A118228DE129}"/>
              </a:ext>
            </a:extLst>
          </xdr:cNvPr>
          <xdr:cNvSpPr/>
        </xdr:nvSpPr>
        <xdr:spPr>
          <a:xfrm>
            <a:off x="11332199" y="2207122"/>
            <a:ext cx="430050" cy="430298"/>
          </a:xfrm>
          <a:prstGeom prst="ellipse">
            <a:avLst/>
          </a:prstGeom>
          <a:solidFill>
            <a:schemeClr val="tx2">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r>
              <a:rPr lang="en-IN" kern="1200"/>
              <a:t> </a:t>
            </a:r>
          </a:p>
        </xdr:txBody>
      </xdr:sp>
    </xdr:grpSp>
    <xdr:clientData/>
  </xdr:twoCellAnchor>
  <xdr:twoCellAnchor editAs="absolute">
    <xdr:from>
      <xdr:col>21</xdr:col>
      <xdr:colOff>263580</xdr:colOff>
      <xdr:row>36</xdr:row>
      <xdr:rowOff>38895</xdr:rowOff>
    </xdr:from>
    <xdr:to>
      <xdr:col>22</xdr:col>
      <xdr:colOff>565247</xdr:colOff>
      <xdr:row>38</xdr:row>
      <xdr:rowOff>88023</xdr:rowOff>
    </xdr:to>
    <xdr:grpSp>
      <xdr:nvGrpSpPr>
        <xdr:cNvPr id="1172" name="Group 1171">
          <a:extLst>
            <a:ext uri="{FF2B5EF4-FFF2-40B4-BE49-F238E27FC236}">
              <a16:creationId xmlns:a16="http://schemas.microsoft.com/office/drawing/2014/main" id="{FC97AB97-4419-4B60-BEC7-3DA60A59DA45}"/>
            </a:ext>
          </a:extLst>
        </xdr:cNvPr>
        <xdr:cNvGrpSpPr/>
      </xdr:nvGrpSpPr>
      <xdr:grpSpPr>
        <a:xfrm rot="7186138">
          <a:off x="13305750" y="6656325"/>
          <a:ext cx="430128" cy="911267"/>
          <a:chOff x="11231123" y="1588647"/>
          <a:chExt cx="430050" cy="918717"/>
        </a:xfrm>
      </xdr:grpSpPr>
      <xdr:cxnSp macro="">
        <xdr:nvCxnSpPr>
          <xdr:cNvPr id="1173" name="Straight Connector 1172">
            <a:extLst>
              <a:ext uri="{FF2B5EF4-FFF2-40B4-BE49-F238E27FC236}">
                <a16:creationId xmlns:a16="http://schemas.microsoft.com/office/drawing/2014/main" id="{B550F563-1FDC-8A16-C860-57048C255ADC}"/>
              </a:ext>
            </a:extLst>
          </xdr:cNvPr>
          <xdr:cNvCxnSpPr>
            <a:stCxn id="1081" idx="5"/>
            <a:endCxn id="1174" idx="4"/>
          </xdr:cNvCxnSpPr>
        </xdr:nvCxnSpPr>
        <xdr:spPr>
          <a:xfrm rot="14413862">
            <a:off x="11253783" y="2185874"/>
            <a:ext cx="479144" cy="163835"/>
          </a:xfrm>
          <a:prstGeom prst="line">
            <a:avLst/>
          </a:prstGeom>
          <a:ln w="9525">
            <a:solidFill>
              <a:schemeClr val="tx2">
                <a:lumMod val="75000"/>
              </a:schemeClr>
            </a:solidFill>
          </a:ln>
        </xdr:spPr>
        <xdr:style>
          <a:lnRef idx="1">
            <a:schemeClr val="accent1"/>
          </a:lnRef>
          <a:fillRef idx="0">
            <a:schemeClr val="accent1"/>
          </a:fillRef>
          <a:effectRef idx="0">
            <a:schemeClr val="accent1"/>
          </a:effectRef>
          <a:fontRef idx="minor">
            <a:schemeClr val="tx1"/>
          </a:fontRef>
        </xdr:style>
      </xdr:cxnSp>
      <xdr:sp macro="" textlink="">
        <xdr:nvSpPr>
          <xdr:cNvPr id="1174" name="Oval 1173">
            <a:extLst>
              <a:ext uri="{FF2B5EF4-FFF2-40B4-BE49-F238E27FC236}">
                <a16:creationId xmlns:a16="http://schemas.microsoft.com/office/drawing/2014/main" id="{E6ECD4FB-6089-641D-6AA9-0D0C8035790D}"/>
              </a:ext>
            </a:extLst>
          </xdr:cNvPr>
          <xdr:cNvSpPr/>
        </xdr:nvSpPr>
        <xdr:spPr>
          <a:xfrm>
            <a:off x="11231123" y="1588647"/>
            <a:ext cx="430050" cy="430298"/>
          </a:xfrm>
          <a:prstGeom prst="ellipse">
            <a:avLst/>
          </a:prstGeom>
          <a:solidFill>
            <a:schemeClr val="tx2">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r>
              <a:rPr lang="en-IN" kern="1200"/>
              <a:t> </a:t>
            </a:r>
          </a:p>
        </xdr:txBody>
      </xdr:sp>
    </xdr:grpSp>
    <xdr:clientData/>
  </xdr:twoCellAnchor>
  <xdr:twoCellAnchor editAs="absolute">
    <xdr:from>
      <xdr:col>21</xdr:col>
      <xdr:colOff>26071</xdr:colOff>
      <xdr:row>37</xdr:row>
      <xdr:rowOff>38969</xdr:rowOff>
    </xdr:from>
    <xdr:to>
      <xdr:col>21</xdr:col>
      <xdr:colOff>519099</xdr:colOff>
      <xdr:row>41</xdr:row>
      <xdr:rowOff>175094</xdr:rowOff>
    </xdr:to>
    <xdr:grpSp>
      <xdr:nvGrpSpPr>
        <xdr:cNvPr id="1183" name="Group 1182">
          <a:extLst>
            <a:ext uri="{FF2B5EF4-FFF2-40B4-BE49-F238E27FC236}">
              <a16:creationId xmlns:a16="http://schemas.microsoft.com/office/drawing/2014/main" id="{19CD03F6-2B28-463E-A316-0A42B4E85C55}"/>
            </a:ext>
          </a:extLst>
        </xdr:cNvPr>
        <xdr:cNvGrpSpPr/>
      </xdr:nvGrpSpPr>
      <xdr:grpSpPr>
        <a:xfrm rot="11936491">
          <a:off x="12827671" y="7087469"/>
          <a:ext cx="493028" cy="898125"/>
          <a:chOff x="11147132" y="1673171"/>
          <a:chExt cx="496423" cy="901701"/>
        </a:xfrm>
      </xdr:grpSpPr>
      <xdr:cxnSp macro="">
        <xdr:nvCxnSpPr>
          <xdr:cNvPr id="1184" name="Straight Connector 1183">
            <a:extLst>
              <a:ext uri="{FF2B5EF4-FFF2-40B4-BE49-F238E27FC236}">
                <a16:creationId xmlns:a16="http://schemas.microsoft.com/office/drawing/2014/main" id="{AAE4A77B-4772-953E-2BDE-6F3103CF9649}"/>
              </a:ext>
            </a:extLst>
          </xdr:cNvPr>
          <xdr:cNvCxnSpPr>
            <a:stCxn id="1081" idx="4"/>
            <a:endCxn id="1185" idx="4"/>
          </xdr:cNvCxnSpPr>
        </xdr:nvCxnSpPr>
        <xdr:spPr>
          <a:xfrm rot="9663509">
            <a:off x="11543983" y="2044702"/>
            <a:ext cx="99572" cy="530170"/>
          </a:xfrm>
          <a:prstGeom prst="line">
            <a:avLst/>
          </a:prstGeom>
          <a:ln w="9525">
            <a:solidFill>
              <a:schemeClr val="tx2">
                <a:lumMod val="75000"/>
              </a:schemeClr>
            </a:solidFill>
          </a:ln>
        </xdr:spPr>
        <xdr:style>
          <a:lnRef idx="1">
            <a:schemeClr val="accent1"/>
          </a:lnRef>
          <a:fillRef idx="0">
            <a:schemeClr val="accent1"/>
          </a:fillRef>
          <a:effectRef idx="0">
            <a:schemeClr val="accent1"/>
          </a:effectRef>
          <a:fontRef idx="minor">
            <a:schemeClr val="tx1"/>
          </a:fontRef>
        </xdr:style>
      </xdr:cxnSp>
      <xdr:sp macro="" textlink="">
        <xdr:nvSpPr>
          <xdr:cNvPr id="1185" name="Oval 1184">
            <a:extLst>
              <a:ext uri="{FF2B5EF4-FFF2-40B4-BE49-F238E27FC236}">
                <a16:creationId xmlns:a16="http://schemas.microsoft.com/office/drawing/2014/main" id="{2182AA9F-779C-A7B1-4823-DCC4CE0A95EB}"/>
              </a:ext>
            </a:extLst>
          </xdr:cNvPr>
          <xdr:cNvSpPr/>
        </xdr:nvSpPr>
        <xdr:spPr>
          <a:xfrm rot="20004713">
            <a:off x="11147132" y="1673171"/>
            <a:ext cx="435982" cy="424442"/>
          </a:xfrm>
          <a:prstGeom prst="ellipse">
            <a:avLst/>
          </a:prstGeom>
          <a:solidFill>
            <a:schemeClr val="tx2">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r>
              <a:rPr lang="en-IN" kern="1200"/>
              <a:t> </a:t>
            </a:r>
          </a:p>
        </xdr:txBody>
      </xdr:sp>
    </xdr:grpSp>
    <xdr:clientData/>
  </xdr:twoCellAnchor>
  <xdr:twoCellAnchor editAs="absolute">
    <xdr:from>
      <xdr:col>8</xdr:col>
      <xdr:colOff>243623</xdr:colOff>
      <xdr:row>37</xdr:row>
      <xdr:rowOff>120821</xdr:rowOff>
    </xdr:from>
    <xdr:to>
      <xdr:col>9</xdr:col>
      <xdr:colOff>60761</xdr:colOff>
      <xdr:row>42</xdr:row>
      <xdr:rowOff>116213</xdr:rowOff>
    </xdr:to>
    <xdr:grpSp>
      <xdr:nvGrpSpPr>
        <xdr:cNvPr id="1199" name="Group 1198">
          <a:extLst>
            <a:ext uri="{FF2B5EF4-FFF2-40B4-BE49-F238E27FC236}">
              <a16:creationId xmlns:a16="http://schemas.microsoft.com/office/drawing/2014/main" id="{1234C3AB-1CE6-4451-9AA0-010583B38C1F}"/>
            </a:ext>
          </a:extLst>
        </xdr:cNvPr>
        <xdr:cNvGrpSpPr/>
      </xdr:nvGrpSpPr>
      <xdr:grpSpPr>
        <a:xfrm rot="10800000">
          <a:off x="5120423" y="7169321"/>
          <a:ext cx="426738" cy="947892"/>
          <a:chOff x="11247957" y="2147296"/>
          <a:chExt cx="430050" cy="947444"/>
        </a:xfrm>
      </xdr:grpSpPr>
      <xdr:cxnSp macro="">
        <xdr:nvCxnSpPr>
          <xdr:cNvPr id="1200" name="Straight Connector 1199">
            <a:extLst>
              <a:ext uri="{FF2B5EF4-FFF2-40B4-BE49-F238E27FC236}">
                <a16:creationId xmlns:a16="http://schemas.microsoft.com/office/drawing/2014/main" id="{7B528968-FFD9-CB3C-41C6-BC85198B8F09}"/>
              </a:ext>
            </a:extLst>
          </xdr:cNvPr>
          <xdr:cNvCxnSpPr>
            <a:stCxn id="1091" idx="4"/>
            <a:endCxn id="1201" idx="4"/>
          </xdr:cNvCxnSpPr>
        </xdr:nvCxnSpPr>
        <xdr:spPr>
          <a:xfrm rot="10800000" flipH="1">
            <a:off x="11461539" y="2577594"/>
            <a:ext cx="1443" cy="517146"/>
          </a:xfrm>
          <a:prstGeom prst="line">
            <a:avLst/>
          </a:prstGeom>
          <a:ln w="9525">
            <a:solidFill>
              <a:schemeClr val="tx2">
                <a:lumMod val="75000"/>
              </a:schemeClr>
            </a:solidFill>
          </a:ln>
        </xdr:spPr>
        <xdr:style>
          <a:lnRef idx="1">
            <a:schemeClr val="accent1"/>
          </a:lnRef>
          <a:fillRef idx="0">
            <a:schemeClr val="accent1"/>
          </a:fillRef>
          <a:effectRef idx="0">
            <a:schemeClr val="accent1"/>
          </a:effectRef>
          <a:fontRef idx="minor">
            <a:schemeClr val="tx1"/>
          </a:fontRef>
        </xdr:style>
      </xdr:cxnSp>
      <xdr:sp macro="" textlink="">
        <xdr:nvSpPr>
          <xdr:cNvPr id="1201" name="Oval 1200">
            <a:extLst>
              <a:ext uri="{FF2B5EF4-FFF2-40B4-BE49-F238E27FC236}">
                <a16:creationId xmlns:a16="http://schemas.microsoft.com/office/drawing/2014/main" id="{3B9E9CEC-133A-DBD0-0E44-A71B9AF9D329}"/>
              </a:ext>
            </a:extLst>
          </xdr:cNvPr>
          <xdr:cNvSpPr/>
        </xdr:nvSpPr>
        <xdr:spPr>
          <a:xfrm>
            <a:off x="11247957" y="2147296"/>
            <a:ext cx="430050" cy="430298"/>
          </a:xfrm>
          <a:prstGeom prst="ellipse">
            <a:avLst/>
          </a:prstGeom>
          <a:solidFill>
            <a:schemeClr val="tx2">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r>
              <a:rPr lang="en-IN" kern="1200"/>
              <a:t> </a:t>
            </a:r>
          </a:p>
        </xdr:txBody>
      </xdr:sp>
    </xdr:grpSp>
    <xdr:clientData/>
  </xdr:twoCellAnchor>
  <xdr:twoCellAnchor editAs="absolute">
    <xdr:from>
      <xdr:col>9</xdr:col>
      <xdr:colOff>19650</xdr:colOff>
      <xdr:row>37</xdr:row>
      <xdr:rowOff>50463</xdr:rowOff>
    </xdr:from>
    <xdr:to>
      <xdr:col>10</xdr:col>
      <xdr:colOff>366467</xdr:colOff>
      <xdr:row>40</xdr:row>
      <xdr:rowOff>27403</xdr:rowOff>
    </xdr:to>
    <xdr:grpSp>
      <xdr:nvGrpSpPr>
        <xdr:cNvPr id="1204" name="Group 1203">
          <a:extLst>
            <a:ext uri="{FF2B5EF4-FFF2-40B4-BE49-F238E27FC236}">
              <a16:creationId xmlns:a16="http://schemas.microsoft.com/office/drawing/2014/main" id="{D9A485E4-08BA-4236-87E4-7D7FDC66DC0E}"/>
            </a:ext>
          </a:extLst>
        </xdr:cNvPr>
        <xdr:cNvGrpSpPr/>
      </xdr:nvGrpSpPr>
      <xdr:grpSpPr>
        <a:xfrm rot="10800000">
          <a:off x="5506050" y="7098963"/>
          <a:ext cx="956417" cy="548440"/>
          <a:chOff x="10475448" y="2769843"/>
          <a:chExt cx="967060" cy="548046"/>
        </a:xfrm>
      </xdr:grpSpPr>
      <xdr:cxnSp macro="">
        <xdr:nvCxnSpPr>
          <xdr:cNvPr id="1205" name="Straight Connector 1204">
            <a:extLst>
              <a:ext uri="{FF2B5EF4-FFF2-40B4-BE49-F238E27FC236}">
                <a16:creationId xmlns:a16="http://schemas.microsoft.com/office/drawing/2014/main" id="{ACE61BAC-E8F9-9F04-9B26-600B694F83B7}"/>
              </a:ext>
            </a:extLst>
          </xdr:cNvPr>
          <xdr:cNvCxnSpPr>
            <a:stCxn id="1091" idx="5"/>
            <a:endCxn id="1206" idx="5"/>
          </xdr:cNvCxnSpPr>
        </xdr:nvCxnSpPr>
        <xdr:spPr>
          <a:xfrm rot="10800000">
            <a:off x="10842519" y="3137125"/>
            <a:ext cx="599989" cy="180764"/>
          </a:xfrm>
          <a:prstGeom prst="line">
            <a:avLst/>
          </a:prstGeom>
          <a:ln w="9525">
            <a:solidFill>
              <a:schemeClr val="tx2">
                <a:lumMod val="75000"/>
              </a:schemeClr>
            </a:solidFill>
          </a:ln>
        </xdr:spPr>
        <xdr:style>
          <a:lnRef idx="1">
            <a:schemeClr val="accent1"/>
          </a:lnRef>
          <a:fillRef idx="0">
            <a:schemeClr val="accent1"/>
          </a:fillRef>
          <a:effectRef idx="0">
            <a:schemeClr val="accent1"/>
          </a:effectRef>
          <a:fontRef idx="minor">
            <a:schemeClr val="tx1"/>
          </a:fontRef>
        </xdr:style>
      </xdr:cxnSp>
      <xdr:sp macro="" textlink="">
        <xdr:nvSpPr>
          <xdr:cNvPr id="1206" name="Oval 1205">
            <a:extLst>
              <a:ext uri="{FF2B5EF4-FFF2-40B4-BE49-F238E27FC236}">
                <a16:creationId xmlns:a16="http://schemas.microsoft.com/office/drawing/2014/main" id="{AF6ACB29-E48F-3B59-369A-75EEA10149B2}"/>
              </a:ext>
            </a:extLst>
          </xdr:cNvPr>
          <xdr:cNvSpPr/>
        </xdr:nvSpPr>
        <xdr:spPr>
          <a:xfrm>
            <a:off x="10475448" y="2769843"/>
            <a:ext cx="430050" cy="430298"/>
          </a:xfrm>
          <a:prstGeom prst="ellipse">
            <a:avLst/>
          </a:prstGeom>
          <a:solidFill>
            <a:schemeClr val="tx2">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r>
              <a:rPr lang="en-IN" kern="1200"/>
              <a:t> </a:t>
            </a:r>
          </a:p>
        </xdr:txBody>
      </xdr:sp>
    </xdr:grpSp>
    <xdr:clientData/>
  </xdr:twoCellAnchor>
  <xdr:twoCellAnchor editAs="absolute">
    <xdr:from>
      <xdr:col>8</xdr:col>
      <xdr:colOff>203375</xdr:colOff>
      <xdr:row>12</xdr:row>
      <xdr:rowOff>58258</xdr:rowOff>
    </xdr:from>
    <xdr:to>
      <xdr:col>9</xdr:col>
      <xdr:colOff>238708</xdr:colOff>
      <xdr:row>16</xdr:row>
      <xdr:rowOff>1953</xdr:rowOff>
    </xdr:to>
    <xdr:grpSp>
      <xdr:nvGrpSpPr>
        <xdr:cNvPr id="1217" name="Group 1216">
          <a:extLst>
            <a:ext uri="{FF2B5EF4-FFF2-40B4-BE49-F238E27FC236}">
              <a16:creationId xmlns:a16="http://schemas.microsoft.com/office/drawing/2014/main" id="{1F939CE3-CE15-4955-87B5-1A9D2A2F397D}"/>
            </a:ext>
          </a:extLst>
        </xdr:cNvPr>
        <xdr:cNvGrpSpPr/>
      </xdr:nvGrpSpPr>
      <xdr:grpSpPr>
        <a:xfrm rot="10800000">
          <a:off x="5080175" y="2344258"/>
          <a:ext cx="644933" cy="705695"/>
          <a:chOff x="11013115" y="2143312"/>
          <a:chExt cx="650384" cy="707529"/>
        </a:xfrm>
      </xdr:grpSpPr>
      <xdr:cxnSp macro="">
        <xdr:nvCxnSpPr>
          <xdr:cNvPr id="1218" name="Straight Connector 1217">
            <a:extLst>
              <a:ext uri="{FF2B5EF4-FFF2-40B4-BE49-F238E27FC236}">
                <a16:creationId xmlns:a16="http://schemas.microsoft.com/office/drawing/2014/main" id="{0F5A0430-8D39-339B-894E-210BDA335417}"/>
              </a:ext>
            </a:extLst>
          </xdr:cNvPr>
          <xdr:cNvCxnSpPr>
            <a:stCxn id="1106" idx="4"/>
            <a:endCxn id="1219" idx="3"/>
          </xdr:cNvCxnSpPr>
        </xdr:nvCxnSpPr>
        <xdr:spPr>
          <a:xfrm rot="10800000" flipH="1">
            <a:off x="11013115" y="2510595"/>
            <a:ext cx="283314" cy="340246"/>
          </a:xfrm>
          <a:prstGeom prst="line">
            <a:avLst/>
          </a:prstGeom>
          <a:ln w="9525">
            <a:solidFill>
              <a:schemeClr val="tx2">
                <a:lumMod val="75000"/>
              </a:schemeClr>
            </a:solidFill>
          </a:ln>
        </xdr:spPr>
        <xdr:style>
          <a:lnRef idx="1">
            <a:schemeClr val="accent1"/>
          </a:lnRef>
          <a:fillRef idx="0">
            <a:schemeClr val="accent1"/>
          </a:fillRef>
          <a:effectRef idx="0">
            <a:schemeClr val="accent1"/>
          </a:effectRef>
          <a:fontRef idx="minor">
            <a:schemeClr val="tx1"/>
          </a:fontRef>
        </xdr:style>
      </xdr:cxnSp>
      <xdr:sp macro="" textlink="">
        <xdr:nvSpPr>
          <xdr:cNvPr id="1219" name="Oval 1218">
            <a:extLst>
              <a:ext uri="{FF2B5EF4-FFF2-40B4-BE49-F238E27FC236}">
                <a16:creationId xmlns:a16="http://schemas.microsoft.com/office/drawing/2014/main" id="{B5C36B4A-8DFD-CFE0-FABB-DE02CCB06D21}"/>
              </a:ext>
            </a:extLst>
          </xdr:cNvPr>
          <xdr:cNvSpPr/>
        </xdr:nvSpPr>
        <xdr:spPr>
          <a:xfrm>
            <a:off x="11233450" y="2143312"/>
            <a:ext cx="430049" cy="430298"/>
          </a:xfrm>
          <a:prstGeom prst="ellipse">
            <a:avLst/>
          </a:prstGeom>
          <a:solidFill>
            <a:schemeClr val="tx2">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r>
              <a:rPr lang="en-IN" kern="1200"/>
              <a:t> </a:t>
            </a:r>
          </a:p>
        </xdr:txBody>
      </xdr:sp>
    </xdr:grpSp>
    <xdr:clientData/>
  </xdr:twoCellAnchor>
  <xdr:twoCellAnchor editAs="absolute">
    <xdr:from>
      <xdr:col>8</xdr:col>
      <xdr:colOff>85154</xdr:colOff>
      <xdr:row>7</xdr:row>
      <xdr:rowOff>30292</xdr:rowOff>
    </xdr:from>
    <xdr:to>
      <xdr:col>9</xdr:col>
      <xdr:colOff>66948</xdr:colOff>
      <xdr:row>10</xdr:row>
      <xdr:rowOff>18682</xdr:rowOff>
    </xdr:to>
    <xdr:grpSp>
      <xdr:nvGrpSpPr>
        <xdr:cNvPr id="1221" name="Group 1220">
          <a:extLst>
            <a:ext uri="{FF2B5EF4-FFF2-40B4-BE49-F238E27FC236}">
              <a16:creationId xmlns:a16="http://schemas.microsoft.com/office/drawing/2014/main" id="{B7D7C559-C9DF-44FF-987E-7B133D57CF25}"/>
            </a:ext>
          </a:extLst>
        </xdr:cNvPr>
        <xdr:cNvGrpSpPr/>
      </xdr:nvGrpSpPr>
      <xdr:grpSpPr>
        <a:xfrm rot="10800000">
          <a:off x="4961954" y="1363792"/>
          <a:ext cx="591394" cy="559890"/>
          <a:chOff x="10858869" y="1979075"/>
          <a:chExt cx="596164" cy="562631"/>
        </a:xfrm>
      </xdr:grpSpPr>
      <xdr:cxnSp macro="">
        <xdr:nvCxnSpPr>
          <xdr:cNvPr id="1222" name="Straight Connector 1221">
            <a:extLst>
              <a:ext uri="{FF2B5EF4-FFF2-40B4-BE49-F238E27FC236}">
                <a16:creationId xmlns:a16="http://schemas.microsoft.com/office/drawing/2014/main" id="{8921A77E-1D3A-E57E-BD8F-72756B124D42}"/>
              </a:ext>
            </a:extLst>
          </xdr:cNvPr>
          <xdr:cNvCxnSpPr>
            <a:stCxn id="1106" idx="1"/>
            <a:endCxn id="1223" idx="1"/>
          </xdr:cNvCxnSpPr>
        </xdr:nvCxnSpPr>
        <xdr:spPr>
          <a:xfrm rot="10800000" flipH="1" flipV="1">
            <a:off x="10858869" y="1979075"/>
            <a:ext cx="229094" cy="195349"/>
          </a:xfrm>
          <a:prstGeom prst="line">
            <a:avLst/>
          </a:prstGeom>
          <a:ln w="9525">
            <a:solidFill>
              <a:schemeClr val="tx2">
                <a:lumMod val="75000"/>
              </a:schemeClr>
            </a:solidFill>
          </a:ln>
        </xdr:spPr>
        <xdr:style>
          <a:lnRef idx="1">
            <a:schemeClr val="accent1"/>
          </a:lnRef>
          <a:fillRef idx="0">
            <a:schemeClr val="accent1"/>
          </a:fillRef>
          <a:effectRef idx="0">
            <a:schemeClr val="accent1"/>
          </a:effectRef>
          <a:fontRef idx="minor">
            <a:schemeClr val="tx1"/>
          </a:fontRef>
        </xdr:style>
      </xdr:cxnSp>
      <xdr:sp macro="" textlink="">
        <xdr:nvSpPr>
          <xdr:cNvPr id="1223" name="Oval 1222">
            <a:extLst>
              <a:ext uri="{FF2B5EF4-FFF2-40B4-BE49-F238E27FC236}">
                <a16:creationId xmlns:a16="http://schemas.microsoft.com/office/drawing/2014/main" id="{67ADA175-E86C-4BDF-269D-728C66A21BB5}"/>
              </a:ext>
            </a:extLst>
          </xdr:cNvPr>
          <xdr:cNvSpPr/>
        </xdr:nvSpPr>
        <xdr:spPr>
          <a:xfrm>
            <a:off x="11024984" y="2111408"/>
            <a:ext cx="430049" cy="430298"/>
          </a:xfrm>
          <a:prstGeom prst="ellipse">
            <a:avLst/>
          </a:prstGeom>
          <a:solidFill>
            <a:schemeClr val="tx2">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r>
              <a:rPr lang="en-IN" kern="1200"/>
              <a:t> </a:t>
            </a:r>
          </a:p>
        </xdr:txBody>
      </xdr:sp>
    </xdr:grpSp>
    <xdr:clientData/>
  </xdr:twoCellAnchor>
  <xdr:twoCellAnchor editAs="absolute">
    <xdr:from>
      <xdr:col>20</xdr:col>
      <xdr:colOff>517294</xdr:colOff>
      <xdr:row>7</xdr:row>
      <xdr:rowOff>129416</xdr:rowOff>
    </xdr:from>
    <xdr:to>
      <xdr:col>24</xdr:col>
      <xdr:colOff>20511</xdr:colOff>
      <xdr:row>9</xdr:row>
      <xdr:rowOff>185455</xdr:rowOff>
    </xdr:to>
    <xdr:grpSp>
      <xdr:nvGrpSpPr>
        <xdr:cNvPr id="47" name="Group 46">
          <a:extLst>
            <a:ext uri="{FF2B5EF4-FFF2-40B4-BE49-F238E27FC236}">
              <a16:creationId xmlns:a16="http://schemas.microsoft.com/office/drawing/2014/main" id="{CDCD93EC-6DF5-B0D9-2CFD-1C0B53B85620}"/>
            </a:ext>
          </a:extLst>
        </xdr:cNvPr>
        <xdr:cNvGrpSpPr/>
      </xdr:nvGrpSpPr>
      <xdr:grpSpPr>
        <a:xfrm>
          <a:off x="12709294" y="1462916"/>
          <a:ext cx="1941617" cy="437039"/>
          <a:chOff x="12362916" y="986671"/>
          <a:chExt cx="1938239" cy="437039"/>
        </a:xfrm>
      </xdr:grpSpPr>
      <xdr:sp macro="" textlink="'Pivot Tables'!AX23">
        <xdr:nvSpPr>
          <xdr:cNvPr id="1228" name="TextBox 1227">
            <a:extLst>
              <a:ext uri="{FF2B5EF4-FFF2-40B4-BE49-F238E27FC236}">
                <a16:creationId xmlns:a16="http://schemas.microsoft.com/office/drawing/2014/main" id="{8F09AC9D-080F-42AA-9C1F-52C9D062D101}"/>
              </a:ext>
            </a:extLst>
          </xdr:cNvPr>
          <xdr:cNvSpPr txBox="1"/>
        </xdr:nvSpPr>
        <xdr:spPr>
          <a:xfrm>
            <a:off x="12810683" y="986671"/>
            <a:ext cx="1490472"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B9EB7776-6018-4278-B1CF-4A73B1D6BA27}" type="TxLink">
              <a:rPr lang="en-US" sz="900" b="0" i="0" u="none" strike="noStrike">
                <a:solidFill>
                  <a:schemeClr val="bg1"/>
                </a:solidFill>
                <a:latin typeface="Avenir Medium" panose="020B0603020203020204" pitchFamily="34" charset="-78"/>
                <a:cs typeface="Avenir Medium" panose="020B0603020203020204" pitchFamily="34" charset="-78"/>
              </a:rPr>
              <a:pPr algn="l"/>
              <a:t>Company Website</a:t>
            </a:fld>
            <a:endParaRPr lang="en-IN" sz="300">
              <a:solidFill>
                <a:schemeClr val="bg1"/>
              </a:solidFill>
              <a:latin typeface="Avenir Medium" panose="020B0603020203020204" pitchFamily="34" charset="-78"/>
              <a:cs typeface="Avenir Medium" panose="020B0603020203020204" pitchFamily="34" charset="-78"/>
            </a:endParaRPr>
          </a:p>
        </xdr:txBody>
      </xdr:sp>
      <xdr:sp macro="" textlink="'Pivot Tables'!AY23">
        <xdr:nvSpPr>
          <xdr:cNvPr id="37" name="TextBox 36">
            <a:extLst>
              <a:ext uri="{FF2B5EF4-FFF2-40B4-BE49-F238E27FC236}">
                <a16:creationId xmlns:a16="http://schemas.microsoft.com/office/drawing/2014/main" id="{63E69043-FDD9-4159-881C-047DCE2223CA}"/>
              </a:ext>
            </a:extLst>
          </xdr:cNvPr>
          <xdr:cNvSpPr txBox="1"/>
        </xdr:nvSpPr>
        <xdr:spPr>
          <a:xfrm>
            <a:off x="12779728" y="1149390"/>
            <a:ext cx="1490472"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02259CCE-3CA2-4C60-86A6-9C09D2B6AFF9}" type="TxLink">
              <a:rPr lang="en-US" sz="1000" b="0" i="0" u="none" strike="noStrike">
                <a:solidFill>
                  <a:schemeClr val="bg1"/>
                </a:solidFill>
                <a:latin typeface="Avenir Medium" panose="020B0603020203020204" pitchFamily="34" charset="-78"/>
                <a:cs typeface="Avenir Medium" panose="020B0603020203020204" pitchFamily="34" charset="-78"/>
              </a:rPr>
              <a:pPr algn="l"/>
              <a:t> 2,440 </a:t>
            </a:fld>
            <a:endParaRPr lang="en-IN" sz="100">
              <a:solidFill>
                <a:schemeClr val="bg1"/>
              </a:solidFill>
              <a:latin typeface="Avenir Medium" panose="020B0603020203020204" pitchFamily="34" charset="-78"/>
              <a:cs typeface="Avenir Medium" panose="020B0603020203020204" pitchFamily="34" charset="-78"/>
            </a:endParaRPr>
          </a:p>
        </xdr:txBody>
      </xdr:sp>
      <xdr:sp macro="" textlink="'Pivot Tables'!AZ23">
        <xdr:nvSpPr>
          <xdr:cNvPr id="46" name="TextBox 45">
            <a:extLst>
              <a:ext uri="{FF2B5EF4-FFF2-40B4-BE49-F238E27FC236}">
                <a16:creationId xmlns:a16="http://schemas.microsoft.com/office/drawing/2014/main" id="{BB0202B4-D770-4D38-AA70-1F4E6AA016F6}"/>
              </a:ext>
            </a:extLst>
          </xdr:cNvPr>
          <xdr:cNvSpPr txBox="1"/>
        </xdr:nvSpPr>
        <xdr:spPr>
          <a:xfrm>
            <a:off x="12362916" y="1195152"/>
            <a:ext cx="514884" cy="1891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40BDCF6-F0A0-4B55-9C38-72F47D144FFE}" type="TxLink">
              <a:rPr lang="en-US" sz="1000" b="0" i="0" u="none" strike="noStrike">
                <a:solidFill>
                  <a:schemeClr val="bg1"/>
                </a:solidFill>
                <a:latin typeface="Avenir Medium" panose="020B0603020203020204" pitchFamily="34" charset="-78"/>
                <a:cs typeface="Avenir Medium" panose="020B0603020203020204" pitchFamily="34" charset="-78"/>
              </a:rPr>
              <a:pPr algn="ctr"/>
              <a:t>0%</a:t>
            </a:fld>
            <a:endParaRPr lang="en-IN" sz="100">
              <a:solidFill>
                <a:schemeClr val="bg1"/>
              </a:solidFill>
              <a:latin typeface="Avenir Medium" panose="020B0603020203020204" pitchFamily="34" charset="-78"/>
              <a:cs typeface="Avenir Medium" panose="020B0603020203020204" pitchFamily="34" charset="-78"/>
            </a:endParaRPr>
          </a:p>
        </xdr:txBody>
      </xdr:sp>
    </xdr:grpSp>
    <xdr:clientData/>
  </xdr:twoCellAnchor>
  <xdr:twoCellAnchor editAs="absolute">
    <xdr:from>
      <xdr:col>21</xdr:col>
      <xdr:colOff>40325</xdr:colOff>
      <xdr:row>12</xdr:row>
      <xdr:rowOff>56468</xdr:rowOff>
    </xdr:from>
    <xdr:to>
      <xdr:col>24</xdr:col>
      <xdr:colOff>149679</xdr:colOff>
      <xdr:row>14</xdr:row>
      <xdr:rowOff>117154</xdr:rowOff>
    </xdr:to>
    <xdr:grpSp>
      <xdr:nvGrpSpPr>
        <xdr:cNvPr id="48" name="Group 47">
          <a:extLst>
            <a:ext uri="{FF2B5EF4-FFF2-40B4-BE49-F238E27FC236}">
              <a16:creationId xmlns:a16="http://schemas.microsoft.com/office/drawing/2014/main" id="{F1172A83-CF5F-427F-843D-B1A772DA38F3}"/>
            </a:ext>
          </a:extLst>
        </xdr:cNvPr>
        <xdr:cNvGrpSpPr/>
      </xdr:nvGrpSpPr>
      <xdr:grpSpPr>
        <a:xfrm>
          <a:off x="12841925" y="2342468"/>
          <a:ext cx="1938154" cy="441686"/>
          <a:chOff x="12362916" y="986671"/>
          <a:chExt cx="1938239" cy="437039"/>
        </a:xfrm>
      </xdr:grpSpPr>
      <xdr:sp macro="" textlink="'Pivot Tables'!AX24">
        <xdr:nvSpPr>
          <xdr:cNvPr id="49" name="TextBox 48">
            <a:extLst>
              <a:ext uri="{FF2B5EF4-FFF2-40B4-BE49-F238E27FC236}">
                <a16:creationId xmlns:a16="http://schemas.microsoft.com/office/drawing/2014/main" id="{D377017D-7FB7-E2EE-119E-8878F434F45B}"/>
              </a:ext>
            </a:extLst>
          </xdr:cNvPr>
          <xdr:cNvSpPr txBox="1"/>
        </xdr:nvSpPr>
        <xdr:spPr>
          <a:xfrm>
            <a:off x="12810683" y="986671"/>
            <a:ext cx="1490472"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000D88AE-88CC-4A14-BDDB-F6741708E732}" type="TxLink">
              <a:rPr lang="en-US" sz="900" b="0" i="0" u="none" strike="noStrike">
                <a:solidFill>
                  <a:schemeClr val="bg1"/>
                </a:solidFill>
                <a:latin typeface="Avenir Medium" panose="020B0603020203020204" pitchFamily="34" charset="-78"/>
                <a:cs typeface="Avenir Medium" panose="020B0603020203020204" pitchFamily="34" charset="-78"/>
              </a:rPr>
              <a:pPr algn="l"/>
              <a:t>Facebook Page</a:t>
            </a:fld>
            <a:endParaRPr lang="en-IN" sz="100">
              <a:solidFill>
                <a:schemeClr val="bg1"/>
              </a:solidFill>
              <a:latin typeface="Avenir Medium" panose="020B0603020203020204" pitchFamily="34" charset="-78"/>
              <a:cs typeface="Avenir Medium" panose="020B0603020203020204" pitchFamily="34" charset="-78"/>
            </a:endParaRPr>
          </a:p>
        </xdr:txBody>
      </xdr:sp>
      <xdr:sp macro="" textlink="'Pivot Tables'!AY24">
        <xdr:nvSpPr>
          <xdr:cNvPr id="50" name="TextBox 49">
            <a:extLst>
              <a:ext uri="{FF2B5EF4-FFF2-40B4-BE49-F238E27FC236}">
                <a16:creationId xmlns:a16="http://schemas.microsoft.com/office/drawing/2014/main" id="{4DA62B84-B0D4-8D86-82E9-310099856764}"/>
              </a:ext>
            </a:extLst>
          </xdr:cNvPr>
          <xdr:cNvSpPr txBox="1"/>
        </xdr:nvSpPr>
        <xdr:spPr>
          <a:xfrm>
            <a:off x="12779728" y="1149390"/>
            <a:ext cx="1490472"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2FEB8CDF-0EA3-4357-A5A1-5CEFB9EE2FDC}" type="TxLink">
              <a:rPr lang="en-US" sz="1000" b="0" i="0" u="none" strike="noStrike">
                <a:solidFill>
                  <a:schemeClr val="bg1"/>
                </a:solidFill>
                <a:latin typeface="Avenir Medium" panose="020B0603020203020204" pitchFamily="34" charset="-78"/>
                <a:cs typeface="Avenir Medium" panose="020B0603020203020204" pitchFamily="34" charset="-78"/>
              </a:rPr>
              <a:pPr algn="l"/>
              <a:t> 55,842 </a:t>
            </a:fld>
            <a:endParaRPr lang="en-IN" sz="100">
              <a:solidFill>
                <a:schemeClr val="bg1"/>
              </a:solidFill>
              <a:latin typeface="Avenir Medium" panose="020B0603020203020204" pitchFamily="34" charset="-78"/>
              <a:cs typeface="Avenir Medium" panose="020B0603020203020204" pitchFamily="34" charset="-78"/>
            </a:endParaRPr>
          </a:p>
        </xdr:txBody>
      </xdr:sp>
      <xdr:sp macro="" textlink="'Pivot Tables'!AZ24">
        <xdr:nvSpPr>
          <xdr:cNvPr id="53" name="TextBox 52">
            <a:extLst>
              <a:ext uri="{FF2B5EF4-FFF2-40B4-BE49-F238E27FC236}">
                <a16:creationId xmlns:a16="http://schemas.microsoft.com/office/drawing/2014/main" id="{301C35F5-5666-04D3-FC02-E4DE1B5C0570}"/>
              </a:ext>
            </a:extLst>
          </xdr:cNvPr>
          <xdr:cNvSpPr txBox="1"/>
        </xdr:nvSpPr>
        <xdr:spPr>
          <a:xfrm>
            <a:off x="12362916" y="1195152"/>
            <a:ext cx="514884" cy="1891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6CD14DB-FD9C-4F82-8E7D-CF3D8F5B35B2}" type="TxLink">
              <a:rPr lang="en-US" sz="1000" b="0" i="0" u="none" strike="noStrike">
                <a:solidFill>
                  <a:schemeClr val="bg1"/>
                </a:solidFill>
                <a:latin typeface="Avenir Medium" panose="020B0603020203020204" pitchFamily="34" charset="-78"/>
                <a:cs typeface="Avenir Medium" panose="020B0603020203020204" pitchFamily="34" charset="-78"/>
              </a:rPr>
              <a:pPr algn="ctr"/>
              <a:t>7%</a:t>
            </a:fld>
            <a:endParaRPr lang="en-IN" sz="100">
              <a:solidFill>
                <a:schemeClr val="bg1"/>
              </a:solidFill>
              <a:latin typeface="Avenir Medium" panose="020B0603020203020204" pitchFamily="34" charset="-78"/>
              <a:cs typeface="Avenir Medium" panose="020B0603020203020204" pitchFamily="34" charset="-78"/>
            </a:endParaRPr>
          </a:p>
        </xdr:txBody>
      </xdr:sp>
    </xdr:grpSp>
    <xdr:clientData/>
  </xdr:twoCellAnchor>
  <xdr:twoCellAnchor editAs="absolute">
    <xdr:from>
      <xdr:col>20</xdr:col>
      <xdr:colOff>308877</xdr:colOff>
      <xdr:row>17</xdr:row>
      <xdr:rowOff>127166</xdr:rowOff>
    </xdr:from>
    <xdr:to>
      <xdr:col>23</xdr:col>
      <xdr:colOff>501652</xdr:colOff>
      <xdr:row>20</xdr:row>
      <xdr:rowOff>9361</xdr:rowOff>
    </xdr:to>
    <xdr:grpSp>
      <xdr:nvGrpSpPr>
        <xdr:cNvPr id="1056" name="Group 1055">
          <a:extLst>
            <a:ext uri="{FF2B5EF4-FFF2-40B4-BE49-F238E27FC236}">
              <a16:creationId xmlns:a16="http://schemas.microsoft.com/office/drawing/2014/main" id="{5866149C-50A4-449C-B87F-0348459EED2E}"/>
            </a:ext>
          </a:extLst>
        </xdr:cNvPr>
        <xdr:cNvGrpSpPr/>
      </xdr:nvGrpSpPr>
      <xdr:grpSpPr>
        <a:xfrm>
          <a:off x="12500877" y="3365666"/>
          <a:ext cx="2021575" cy="453695"/>
          <a:chOff x="12362916" y="1195152"/>
          <a:chExt cx="2020262" cy="454056"/>
        </a:xfrm>
      </xdr:grpSpPr>
      <xdr:sp macro="" textlink="'Pivot Tables'!AX25">
        <xdr:nvSpPr>
          <xdr:cNvPr id="1062" name="TextBox 1061">
            <a:extLst>
              <a:ext uri="{FF2B5EF4-FFF2-40B4-BE49-F238E27FC236}">
                <a16:creationId xmlns:a16="http://schemas.microsoft.com/office/drawing/2014/main" id="{70FC87C8-87CF-FF3E-6BCD-764084576CB9}"/>
              </a:ext>
            </a:extLst>
          </xdr:cNvPr>
          <xdr:cNvSpPr txBox="1"/>
        </xdr:nvSpPr>
        <xdr:spPr>
          <a:xfrm>
            <a:off x="12892706" y="1212169"/>
            <a:ext cx="1490472" cy="2743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F650ECC6-CA30-48F2-9F75-1F6179483396}" type="TxLink">
              <a:rPr lang="en-US" sz="900" b="0" i="0" u="none" strike="noStrike">
                <a:solidFill>
                  <a:schemeClr val="bg1"/>
                </a:solidFill>
                <a:latin typeface="Avenir Medium" panose="020B0603020203020204" pitchFamily="34" charset="-78"/>
                <a:cs typeface="Avenir Medium" panose="020B0603020203020204" pitchFamily="34" charset="-78"/>
              </a:rPr>
              <a:pPr algn="l"/>
              <a:t>Google Ad</a:t>
            </a:fld>
            <a:endParaRPr lang="en-IN" sz="100">
              <a:solidFill>
                <a:schemeClr val="bg1"/>
              </a:solidFill>
              <a:latin typeface="Avenir Medium" panose="020B0603020203020204" pitchFamily="34" charset="-78"/>
              <a:cs typeface="Avenir Medium" panose="020B0603020203020204" pitchFamily="34" charset="-78"/>
            </a:endParaRPr>
          </a:p>
        </xdr:txBody>
      </xdr:sp>
      <xdr:sp macro="" textlink="'Pivot Tables'!AY25">
        <xdr:nvSpPr>
          <xdr:cNvPr id="1063" name="TextBox 1062">
            <a:extLst>
              <a:ext uri="{FF2B5EF4-FFF2-40B4-BE49-F238E27FC236}">
                <a16:creationId xmlns:a16="http://schemas.microsoft.com/office/drawing/2014/main" id="{364F2FCB-1655-44D2-9A3F-682B08873F44}"/>
              </a:ext>
            </a:extLst>
          </xdr:cNvPr>
          <xdr:cNvSpPr txBox="1"/>
        </xdr:nvSpPr>
        <xdr:spPr>
          <a:xfrm>
            <a:off x="12861752" y="1374889"/>
            <a:ext cx="1490472" cy="2743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EEA6EEBE-E9FF-4E2A-85DB-FB3FE9E72642}" type="TxLink">
              <a:rPr lang="en-US" sz="1000" b="0" i="0" u="none" strike="noStrike">
                <a:solidFill>
                  <a:schemeClr val="bg1"/>
                </a:solidFill>
                <a:latin typeface="Avenir Medium" panose="020B0603020203020204" pitchFamily="34" charset="-78"/>
                <a:cs typeface="Avenir Medium" panose="020B0603020203020204" pitchFamily="34" charset="-78"/>
              </a:rPr>
              <a:pPr algn="l"/>
              <a:t> 55,838 </a:t>
            </a:fld>
            <a:endParaRPr lang="en-IN" sz="100">
              <a:solidFill>
                <a:schemeClr val="bg1"/>
              </a:solidFill>
              <a:latin typeface="Avenir Medium" panose="020B0603020203020204" pitchFamily="34" charset="-78"/>
              <a:cs typeface="Avenir Medium" panose="020B0603020203020204" pitchFamily="34" charset="-78"/>
            </a:endParaRPr>
          </a:p>
        </xdr:txBody>
      </xdr:sp>
      <xdr:sp macro="" textlink="'Pivot Tables'!AZ25">
        <xdr:nvSpPr>
          <xdr:cNvPr id="1066" name="TextBox 1065">
            <a:extLst>
              <a:ext uri="{FF2B5EF4-FFF2-40B4-BE49-F238E27FC236}">
                <a16:creationId xmlns:a16="http://schemas.microsoft.com/office/drawing/2014/main" id="{A9DA7A28-A93F-FFBD-4C9B-09D131886FF6}"/>
              </a:ext>
            </a:extLst>
          </xdr:cNvPr>
          <xdr:cNvSpPr txBox="1"/>
        </xdr:nvSpPr>
        <xdr:spPr>
          <a:xfrm>
            <a:off x="12362916" y="1195152"/>
            <a:ext cx="514884" cy="1891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6972B23-59E1-47BD-A695-6EFC1859ABF2}" type="TxLink">
              <a:rPr lang="en-US" sz="1000" b="0" i="0" u="none" strike="noStrike">
                <a:solidFill>
                  <a:schemeClr val="bg1"/>
                </a:solidFill>
                <a:latin typeface="Avenir Medium" panose="020B0603020203020204" pitchFamily="34" charset="-78"/>
                <a:cs typeface="Avenir Medium" panose="020B0603020203020204" pitchFamily="34" charset="-78"/>
              </a:rPr>
              <a:pPr algn="ctr"/>
              <a:t>7%</a:t>
            </a:fld>
            <a:endParaRPr lang="en-IN" sz="100">
              <a:solidFill>
                <a:schemeClr val="bg1"/>
              </a:solidFill>
              <a:latin typeface="Avenir Medium" panose="020B0603020203020204" pitchFamily="34" charset="-78"/>
              <a:cs typeface="Avenir Medium" panose="020B0603020203020204" pitchFamily="34" charset="-78"/>
            </a:endParaRPr>
          </a:p>
        </xdr:txBody>
      </xdr:sp>
    </xdr:grpSp>
    <xdr:clientData/>
  </xdr:twoCellAnchor>
  <xdr:twoCellAnchor editAs="absolute">
    <xdr:from>
      <xdr:col>19</xdr:col>
      <xdr:colOff>228970</xdr:colOff>
      <xdr:row>20</xdr:row>
      <xdr:rowOff>105333</xdr:rowOff>
    </xdr:from>
    <xdr:to>
      <xdr:col>22</xdr:col>
      <xdr:colOff>291860</xdr:colOff>
      <xdr:row>23</xdr:row>
      <xdr:rowOff>154794</xdr:rowOff>
    </xdr:to>
    <xdr:grpSp>
      <xdr:nvGrpSpPr>
        <xdr:cNvPr id="1068" name="Group 1067">
          <a:extLst>
            <a:ext uri="{FF2B5EF4-FFF2-40B4-BE49-F238E27FC236}">
              <a16:creationId xmlns:a16="http://schemas.microsoft.com/office/drawing/2014/main" id="{C7A2CB2E-0E68-48CE-9C48-06B22DD22B88}"/>
            </a:ext>
          </a:extLst>
        </xdr:cNvPr>
        <xdr:cNvGrpSpPr/>
      </xdr:nvGrpSpPr>
      <xdr:grpSpPr>
        <a:xfrm>
          <a:off x="11811370" y="3915333"/>
          <a:ext cx="1891690" cy="620961"/>
          <a:chOff x="12362916" y="1195152"/>
          <a:chExt cx="1891368" cy="620207"/>
        </a:xfrm>
      </xdr:grpSpPr>
      <xdr:sp macro="" textlink="'Pivot Tables'!AX26">
        <xdr:nvSpPr>
          <xdr:cNvPr id="1069" name="TextBox 1068">
            <a:extLst>
              <a:ext uri="{FF2B5EF4-FFF2-40B4-BE49-F238E27FC236}">
                <a16:creationId xmlns:a16="http://schemas.microsoft.com/office/drawing/2014/main" id="{2F19ED84-0C2E-096E-FA1F-A770B3FB7BE9}"/>
              </a:ext>
            </a:extLst>
          </xdr:cNvPr>
          <xdr:cNvSpPr txBox="1"/>
        </xdr:nvSpPr>
        <xdr:spPr>
          <a:xfrm>
            <a:off x="12763812" y="1378323"/>
            <a:ext cx="1490472"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7C162038-177B-4CAF-BDE5-C46ABF35D0A9}" type="TxLink">
              <a:rPr lang="en-US" sz="900" b="0" i="0" u="none" strike="noStrike">
                <a:solidFill>
                  <a:schemeClr val="bg1"/>
                </a:solidFill>
                <a:latin typeface="Avenir Medium" panose="020B0603020203020204" pitchFamily="34" charset="-78"/>
                <a:cs typeface="Avenir Medium" panose="020B0603020203020204" pitchFamily="34" charset="-78"/>
              </a:rPr>
              <a:pPr algn="l"/>
              <a:t>Television Ad</a:t>
            </a:fld>
            <a:endParaRPr lang="en-IN" sz="100">
              <a:solidFill>
                <a:schemeClr val="bg1"/>
              </a:solidFill>
              <a:latin typeface="Avenir Medium" panose="020B0603020203020204" pitchFamily="34" charset="-78"/>
              <a:cs typeface="Avenir Medium" panose="020B0603020203020204" pitchFamily="34" charset="-78"/>
            </a:endParaRPr>
          </a:p>
        </xdr:txBody>
      </xdr:sp>
      <xdr:sp macro="" textlink="'Pivot Tables'!AY26">
        <xdr:nvSpPr>
          <xdr:cNvPr id="1094" name="TextBox 1093">
            <a:extLst>
              <a:ext uri="{FF2B5EF4-FFF2-40B4-BE49-F238E27FC236}">
                <a16:creationId xmlns:a16="http://schemas.microsoft.com/office/drawing/2014/main" id="{69882866-72B6-BE15-9BC1-17747C414F8D}"/>
              </a:ext>
            </a:extLst>
          </xdr:cNvPr>
          <xdr:cNvSpPr txBox="1"/>
        </xdr:nvSpPr>
        <xdr:spPr>
          <a:xfrm>
            <a:off x="12732858" y="1541039"/>
            <a:ext cx="1490472"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FA3889EB-4F6D-4E76-9B15-D4F720070D28}" type="TxLink">
              <a:rPr lang="en-US" sz="1000" b="0" i="0" u="none" strike="noStrike">
                <a:solidFill>
                  <a:schemeClr val="bg1"/>
                </a:solidFill>
                <a:latin typeface="Avenir Medium" panose="020B0603020203020204" pitchFamily="34" charset="-78"/>
                <a:cs typeface="Avenir Medium" panose="020B0603020203020204" pitchFamily="34" charset="-78"/>
              </a:rPr>
              <a:pPr algn="l"/>
              <a:t> 54,141 </a:t>
            </a:fld>
            <a:endParaRPr lang="en-IN" sz="100">
              <a:solidFill>
                <a:schemeClr val="bg1"/>
              </a:solidFill>
              <a:latin typeface="Avenir Medium" panose="020B0603020203020204" pitchFamily="34" charset="-78"/>
              <a:cs typeface="Avenir Medium" panose="020B0603020203020204" pitchFamily="34" charset="-78"/>
            </a:endParaRPr>
          </a:p>
        </xdr:txBody>
      </xdr:sp>
      <xdr:sp macro="" textlink="'Pivot Tables'!AZ26">
        <xdr:nvSpPr>
          <xdr:cNvPr id="1095" name="TextBox 1094">
            <a:extLst>
              <a:ext uri="{FF2B5EF4-FFF2-40B4-BE49-F238E27FC236}">
                <a16:creationId xmlns:a16="http://schemas.microsoft.com/office/drawing/2014/main" id="{038FC4FB-5EDE-F2C7-6F6C-E4516D577A85}"/>
              </a:ext>
            </a:extLst>
          </xdr:cNvPr>
          <xdr:cNvSpPr txBox="1"/>
        </xdr:nvSpPr>
        <xdr:spPr>
          <a:xfrm>
            <a:off x="12362916" y="1195152"/>
            <a:ext cx="514884" cy="1891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D987938-A641-49D9-A219-DE7DC5927E03}" type="TxLink">
              <a:rPr lang="en-US" sz="1000" b="0" i="0" u="none" strike="noStrike">
                <a:solidFill>
                  <a:schemeClr val="bg1"/>
                </a:solidFill>
                <a:latin typeface="Avenir Medium" panose="020B0603020203020204" pitchFamily="34" charset="-78"/>
                <a:cs typeface="Avenir Medium" panose="020B0603020203020204" pitchFamily="34" charset="-78"/>
              </a:rPr>
              <a:pPr algn="ctr"/>
              <a:t>7%</a:t>
            </a:fld>
            <a:endParaRPr lang="en-IN" sz="100">
              <a:solidFill>
                <a:schemeClr val="bg1"/>
              </a:solidFill>
              <a:latin typeface="Avenir Medium" panose="020B0603020203020204" pitchFamily="34" charset="-78"/>
              <a:cs typeface="Avenir Medium" panose="020B0603020203020204" pitchFamily="34" charset="-78"/>
            </a:endParaRPr>
          </a:p>
        </xdr:txBody>
      </xdr:sp>
    </xdr:grpSp>
    <xdr:clientData/>
  </xdr:twoCellAnchor>
  <xdr:twoCellAnchor editAs="absolute">
    <xdr:from>
      <xdr:col>17</xdr:col>
      <xdr:colOff>541137</xdr:colOff>
      <xdr:row>6</xdr:row>
      <xdr:rowOff>14174</xdr:rowOff>
    </xdr:from>
    <xdr:to>
      <xdr:col>20</xdr:col>
      <xdr:colOff>235174</xdr:colOff>
      <xdr:row>9</xdr:row>
      <xdr:rowOff>31644</xdr:rowOff>
    </xdr:to>
    <xdr:grpSp>
      <xdr:nvGrpSpPr>
        <xdr:cNvPr id="1096" name="Group 1095">
          <a:extLst>
            <a:ext uri="{FF2B5EF4-FFF2-40B4-BE49-F238E27FC236}">
              <a16:creationId xmlns:a16="http://schemas.microsoft.com/office/drawing/2014/main" id="{5EBDD9B0-DDBB-4CCA-97D6-DD68B73F679C}"/>
            </a:ext>
          </a:extLst>
        </xdr:cNvPr>
        <xdr:cNvGrpSpPr/>
      </xdr:nvGrpSpPr>
      <xdr:grpSpPr>
        <a:xfrm>
          <a:off x="10904337" y="1157174"/>
          <a:ext cx="1522837" cy="588970"/>
          <a:chOff x="11830623" y="796774"/>
          <a:chExt cx="1521417" cy="587526"/>
        </a:xfrm>
      </xdr:grpSpPr>
      <xdr:sp macro="" textlink="'Pivot Tables'!AX27">
        <xdr:nvSpPr>
          <xdr:cNvPr id="1097" name="TextBox 1096">
            <a:extLst>
              <a:ext uri="{FF2B5EF4-FFF2-40B4-BE49-F238E27FC236}">
                <a16:creationId xmlns:a16="http://schemas.microsoft.com/office/drawing/2014/main" id="{FB0D8AF4-3465-2D40-24A4-13FFF14DC290}"/>
              </a:ext>
            </a:extLst>
          </xdr:cNvPr>
          <xdr:cNvSpPr txBox="1"/>
        </xdr:nvSpPr>
        <xdr:spPr>
          <a:xfrm>
            <a:off x="11861569" y="796774"/>
            <a:ext cx="1490471"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EBE4C28A-1F05-4231-8333-ED48C8B1FF93}" type="TxLink">
              <a:rPr lang="en-US" sz="900" b="0" i="0" u="none" strike="noStrike">
                <a:solidFill>
                  <a:schemeClr val="bg1"/>
                </a:solidFill>
                <a:latin typeface="Avenir Medium" panose="020B0603020203020204" pitchFamily="34" charset="-78"/>
                <a:cs typeface="Avenir Medium" panose="020B0603020203020204" pitchFamily="34" charset="-78"/>
              </a:rPr>
              <a:pPr algn="l"/>
              <a:t>Youtube Channel</a:t>
            </a:fld>
            <a:endParaRPr lang="en-IN" sz="100">
              <a:solidFill>
                <a:schemeClr val="bg1"/>
              </a:solidFill>
              <a:latin typeface="Avenir Medium" panose="020B0603020203020204" pitchFamily="34" charset="-78"/>
              <a:cs typeface="Avenir Medium" panose="020B0603020203020204" pitchFamily="34" charset="-78"/>
            </a:endParaRPr>
          </a:p>
        </xdr:txBody>
      </xdr:sp>
      <xdr:sp macro="" textlink="'Pivot Tables'!AY27">
        <xdr:nvSpPr>
          <xdr:cNvPr id="1098" name="TextBox 1097">
            <a:extLst>
              <a:ext uri="{FF2B5EF4-FFF2-40B4-BE49-F238E27FC236}">
                <a16:creationId xmlns:a16="http://schemas.microsoft.com/office/drawing/2014/main" id="{4B6B04AD-C0C5-41A8-8C4F-9EDCE3AD9953}"/>
              </a:ext>
            </a:extLst>
          </xdr:cNvPr>
          <xdr:cNvSpPr txBox="1"/>
        </xdr:nvSpPr>
        <xdr:spPr>
          <a:xfrm>
            <a:off x="11830623" y="947630"/>
            <a:ext cx="1490471"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E61C8940-136B-4B59-96E2-8C1A545FA3CB}" type="TxLink">
              <a:rPr lang="en-US" sz="1000" b="0" i="0" u="none" strike="noStrike">
                <a:solidFill>
                  <a:schemeClr val="bg1"/>
                </a:solidFill>
                <a:latin typeface="Avenir Medium" panose="020B0603020203020204" pitchFamily="34" charset="-78"/>
                <a:cs typeface="Avenir Medium" panose="020B0603020203020204" pitchFamily="34" charset="-78"/>
              </a:rPr>
              <a:pPr algn="l"/>
              <a:t> 55,837 </a:t>
            </a:fld>
            <a:endParaRPr lang="en-IN" sz="100">
              <a:solidFill>
                <a:schemeClr val="bg1"/>
              </a:solidFill>
              <a:latin typeface="Avenir Medium" panose="020B0603020203020204" pitchFamily="34" charset="-78"/>
              <a:cs typeface="Avenir Medium" panose="020B0603020203020204" pitchFamily="34" charset="-78"/>
            </a:endParaRPr>
          </a:p>
        </xdr:txBody>
      </xdr:sp>
      <xdr:sp macro="" textlink="'Pivot Tables'!AZ27">
        <xdr:nvSpPr>
          <xdr:cNvPr id="1099" name="TextBox 1098">
            <a:extLst>
              <a:ext uri="{FF2B5EF4-FFF2-40B4-BE49-F238E27FC236}">
                <a16:creationId xmlns:a16="http://schemas.microsoft.com/office/drawing/2014/main" id="{590B2DC1-67FD-018D-B362-A05B68D26A8D}"/>
              </a:ext>
            </a:extLst>
          </xdr:cNvPr>
          <xdr:cNvSpPr txBox="1"/>
        </xdr:nvSpPr>
        <xdr:spPr>
          <a:xfrm>
            <a:off x="12362916" y="1195152"/>
            <a:ext cx="514884" cy="1891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0287B18-4FE3-4FAE-B0A4-E4FD8C9346FD}" type="TxLink">
              <a:rPr lang="en-US" sz="1000" b="0" i="0" u="none" strike="noStrike">
                <a:solidFill>
                  <a:schemeClr val="bg1"/>
                </a:solidFill>
                <a:latin typeface="Avenir Medium" panose="020B0603020203020204" pitchFamily="34" charset="-78"/>
                <a:cs typeface="Avenir Medium" panose="020B0603020203020204" pitchFamily="34" charset="-78"/>
              </a:rPr>
              <a:pPr algn="ctr"/>
              <a:t>7%</a:t>
            </a:fld>
            <a:endParaRPr lang="en-IN" sz="100">
              <a:solidFill>
                <a:schemeClr val="bg1"/>
              </a:solidFill>
              <a:latin typeface="Avenir Medium" panose="020B0603020203020204" pitchFamily="34" charset="-78"/>
              <a:cs typeface="Avenir Medium" panose="020B0603020203020204" pitchFamily="34" charset="-78"/>
            </a:endParaRPr>
          </a:p>
        </xdr:txBody>
      </xdr:sp>
    </xdr:grpSp>
    <xdr:clientData/>
  </xdr:twoCellAnchor>
  <xdr:twoCellAnchor editAs="absolute">
    <xdr:from>
      <xdr:col>22</xdr:col>
      <xdr:colOff>86792</xdr:colOff>
      <xdr:row>34</xdr:row>
      <xdr:rowOff>79722</xdr:rowOff>
    </xdr:from>
    <xdr:to>
      <xdr:col>24</xdr:col>
      <xdr:colOff>407336</xdr:colOff>
      <xdr:row>38</xdr:row>
      <xdr:rowOff>85577</xdr:rowOff>
    </xdr:to>
    <xdr:grpSp>
      <xdr:nvGrpSpPr>
        <xdr:cNvPr id="1101" name="Group 1100">
          <a:extLst>
            <a:ext uri="{FF2B5EF4-FFF2-40B4-BE49-F238E27FC236}">
              <a16:creationId xmlns:a16="http://schemas.microsoft.com/office/drawing/2014/main" id="{6D643113-A65B-4F74-AADF-4F09A7A9E397}"/>
            </a:ext>
          </a:extLst>
        </xdr:cNvPr>
        <xdr:cNvGrpSpPr/>
      </xdr:nvGrpSpPr>
      <xdr:grpSpPr>
        <a:xfrm>
          <a:off x="13497992" y="6556722"/>
          <a:ext cx="1539744" cy="767855"/>
          <a:chOff x="12374634" y="606893"/>
          <a:chExt cx="1539837" cy="765539"/>
        </a:xfrm>
      </xdr:grpSpPr>
      <xdr:sp macro="" textlink="'Pivot Tables'!AX11">
        <xdr:nvSpPr>
          <xdr:cNvPr id="1102" name="TextBox 1101">
            <a:extLst>
              <a:ext uri="{FF2B5EF4-FFF2-40B4-BE49-F238E27FC236}">
                <a16:creationId xmlns:a16="http://schemas.microsoft.com/office/drawing/2014/main" id="{05A9626A-2C61-F46F-A375-5B99F10CE19D}"/>
              </a:ext>
            </a:extLst>
          </xdr:cNvPr>
          <xdr:cNvSpPr txBox="1"/>
        </xdr:nvSpPr>
        <xdr:spPr>
          <a:xfrm>
            <a:off x="12423999" y="606893"/>
            <a:ext cx="1490472"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77649C77-28F8-47D5-B787-4FDEBEF3CC4A}" type="TxLink">
              <a:rPr lang="en-US" sz="900" b="0" i="0" u="none" strike="noStrike">
                <a:solidFill>
                  <a:schemeClr val="bg1"/>
                </a:solidFill>
                <a:latin typeface="Avenir Medium" panose="020B0603020203020204" pitchFamily="34" charset="-78"/>
                <a:cs typeface="Avenir Medium" panose="020B0603020203020204" pitchFamily="34" charset="-78"/>
              </a:rPr>
              <a:pPr algn="l"/>
              <a:t>Premium</a:t>
            </a:fld>
            <a:endParaRPr lang="en-IN" sz="100">
              <a:solidFill>
                <a:schemeClr val="bg1"/>
              </a:solidFill>
              <a:latin typeface="Avenir Medium" panose="020B0603020203020204" pitchFamily="34" charset="-78"/>
              <a:cs typeface="Avenir Medium" panose="020B0603020203020204" pitchFamily="34" charset="-78"/>
            </a:endParaRPr>
          </a:p>
        </xdr:txBody>
      </xdr:sp>
      <xdr:sp macro="" textlink="'Pivot Tables'!AY11">
        <xdr:nvSpPr>
          <xdr:cNvPr id="1108" name="TextBox 1107">
            <a:extLst>
              <a:ext uri="{FF2B5EF4-FFF2-40B4-BE49-F238E27FC236}">
                <a16:creationId xmlns:a16="http://schemas.microsoft.com/office/drawing/2014/main" id="{A11A176C-6DB5-97C3-967A-D23BFEB11A51}"/>
              </a:ext>
            </a:extLst>
          </xdr:cNvPr>
          <xdr:cNvSpPr txBox="1"/>
        </xdr:nvSpPr>
        <xdr:spPr>
          <a:xfrm>
            <a:off x="12393055" y="769605"/>
            <a:ext cx="1490472"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42020245-3FB3-489A-8093-DF58E851F32C}" type="TxLink">
              <a:rPr lang="en-US" sz="1000" b="0" i="0" u="none" strike="noStrike">
                <a:solidFill>
                  <a:schemeClr val="bg1"/>
                </a:solidFill>
                <a:latin typeface="Avenir Medium" panose="020B0603020203020204" pitchFamily="34" charset="-78"/>
                <a:cs typeface="Avenir Medium" panose="020B0603020203020204" pitchFamily="34" charset="-78"/>
              </a:rPr>
              <a:pPr algn="l"/>
              <a:t> 55,630 </a:t>
            </a:fld>
            <a:endParaRPr lang="en-IN" sz="100">
              <a:solidFill>
                <a:schemeClr val="bg1"/>
              </a:solidFill>
              <a:latin typeface="Avenir Medium" panose="020B0603020203020204" pitchFamily="34" charset="-78"/>
              <a:cs typeface="Avenir Medium" panose="020B0603020203020204" pitchFamily="34" charset="-78"/>
            </a:endParaRPr>
          </a:p>
        </xdr:txBody>
      </xdr:sp>
      <xdr:sp macro="" textlink="'Pivot Tables'!AZ11">
        <xdr:nvSpPr>
          <xdr:cNvPr id="1110" name="TextBox 1109">
            <a:extLst>
              <a:ext uri="{FF2B5EF4-FFF2-40B4-BE49-F238E27FC236}">
                <a16:creationId xmlns:a16="http://schemas.microsoft.com/office/drawing/2014/main" id="{8FA702E6-89A9-01D3-D10A-6AC9C2291FF5}"/>
              </a:ext>
            </a:extLst>
          </xdr:cNvPr>
          <xdr:cNvSpPr txBox="1"/>
        </xdr:nvSpPr>
        <xdr:spPr>
          <a:xfrm>
            <a:off x="12374634" y="1183284"/>
            <a:ext cx="514884" cy="1891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EFCF8CF-2A67-41C7-B100-2B561FBECC50}" type="TxLink">
              <a:rPr lang="en-US" sz="1000" b="0" i="0" u="none" strike="noStrike">
                <a:solidFill>
                  <a:schemeClr val="bg1"/>
                </a:solidFill>
                <a:latin typeface="Avenir Medium" panose="020B0603020203020204" pitchFamily="34" charset="-78"/>
                <a:cs typeface="Avenir Medium" panose="020B0603020203020204" pitchFamily="34" charset="-78"/>
              </a:rPr>
              <a:pPr algn="ctr"/>
              <a:t>7%</a:t>
            </a:fld>
            <a:endParaRPr lang="en-IN" sz="100">
              <a:solidFill>
                <a:schemeClr val="bg1"/>
              </a:solidFill>
              <a:latin typeface="Avenir Medium" panose="020B0603020203020204" pitchFamily="34" charset="-78"/>
              <a:cs typeface="Avenir Medium" panose="020B0603020203020204" pitchFamily="34" charset="-78"/>
            </a:endParaRPr>
          </a:p>
        </xdr:txBody>
      </xdr:sp>
    </xdr:grpSp>
    <xdr:clientData/>
  </xdr:twoCellAnchor>
  <xdr:twoCellAnchor editAs="absolute">
    <xdr:from>
      <xdr:col>19</xdr:col>
      <xdr:colOff>584806</xdr:colOff>
      <xdr:row>40</xdr:row>
      <xdr:rowOff>64461</xdr:rowOff>
    </xdr:from>
    <xdr:to>
      <xdr:col>22</xdr:col>
      <xdr:colOff>278839</xdr:colOff>
      <xdr:row>42</xdr:row>
      <xdr:rowOff>188261</xdr:rowOff>
    </xdr:to>
    <xdr:grpSp>
      <xdr:nvGrpSpPr>
        <xdr:cNvPr id="1112" name="Group 1111">
          <a:extLst>
            <a:ext uri="{FF2B5EF4-FFF2-40B4-BE49-F238E27FC236}">
              <a16:creationId xmlns:a16="http://schemas.microsoft.com/office/drawing/2014/main" id="{FF6D0C83-BE14-4410-A94A-A6383195AA43}"/>
            </a:ext>
          </a:extLst>
        </xdr:cNvPr>
        <xdr:cNvGrpSpPr/>
      </xdr:nvGrpSpPr>
      <xdr:grpSpPr>
        <a:xfrm>
          <a:off x="12167206" y="7684461"/>
          <a:ext cx="1522833" cy="504800"/>
          <a:chOff x="11748584" y="1195152"/>
          <a:chExt cx="1521414" cy="501522"/>
        </a:xfrm>
      </xdr:grpSpPr>
      <xdr:sp macro="" textlink="'Pivot Tables'!AX12">
        <xdr:nvSpPr>
          <xdr:cNvPr id="1113" name="TextBox 1112">
            <a:extLst>
              <a:ext uri="{FF2B5EF4-FFF2-40B4-BE49-F238E27FC236}">
                <a16:creationId xmlns:a16="http://schemas.microsoft.com/office/drawing/2014/main" id="{37EEE4D8-BF23-8CC4-B3AA-E0CCFF1C1D27}"/>
              </a:ext>
            </a:extLst>
          </xdr:cNvPr>
          <xdr:cNvSpPr txBox="1"/>
        </xdr:nvSpPr>
        <xdr:spPr>
          <a:xfrm>
            <a:off x="11779526" y="1259640"/>
            <a:ext cx="1490472"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74B0CF56-E2FD-4737-8DCA-BEFE8E9441BB}" type="TxLink">
              <a:rPr lang="en-US" sz="1000" b="0" i="0" u="none" strike="noStrike">
                <a:solidFill>
                  <a:schemeClr val="bg1"/>
                </a:solidFill>
                <a:latin typeface="Avenir Medium" panose="020B0603020203020204" pitchFamily="34" charset="-78"/>
                <a:cs typeface="Avenir Medium" panose="020B0603020203020204" pitchFamily="34" charset="-78"/>
              </a:rPr>
              <a:pPr algn="l"/>
              <a:t>Prime</a:t>
            </a:fld>
            <a:endParaRPr lang="en-IN" sz="100">
              <a:solidFill>
                <a:schemeClr val="bg1"/>
              </a:solidFill>
              <a:latin typeface="Avenir Medium" panose="020B0603020203020204" pitchFamily="34" charset="-78"/>
              <a:cs typeface="Avenir Medium" panose="020B0603020203020204" pitchFamily="34" charset="-78"/>
            </a:endParaRPr>
          </a:p>
        </xdr:txBody>
      </xdr:sp>
      <xdr:sp macro="" textlink="'Pivot Tables'!AY12">
        <xdr:nvSpPr>
          <xdr:cNvPr id="1114" name="TextBox 1113">
            <a:extLst>
              <a:ext uri="{FF2B5EF4-FFF2-40B4-BE49-F238E27FC236}">
                <a16:creationId xmlns:a16="http://schemas.microsoft.com/office/drawing/2014/main" id="{ED758F75-E7B2-0909-698C-C830800CE7E3}"/>
              </a:ext>
            </a:extLst>
          </xdr:cNvPr>
          <xdr:cNvSpPr txBox="1"/>
        </xdr:nvSpPr>
        <xdr:spPr>
          <a:xfrm>
            <a:off x="11748584" y="1422354"/>
            <a:ext cx="1490472"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C2786CE4-70AC-4FF1-80AF-F745A2BA2EF7}" type="TxLink">
              <a:rPr lang="en-US" sz="1000" b="0" i="0" u="none" strike="noStrike">
                <a:solidFill>
                  <a:schemeClr val="bg1"/>
                </a:solidFill>
                <a:latin typeface="Avenir Medium" panose="020B0603020203020204" pitchFamily="34" charset="-78"/>
                <a:cs typeface="Avenir Medium" panose="020B0603020203020204" pitchFamily="34" charset="-78"/>
              </a:rPr>
              <a:pPr algn="l"/>
              <a:t> 70,645 </a:t>
            </a:fld>
            <a:endParaRPr lang="en-IN" sz="100">
              <a:solidFill>
                <a:schemeClr val="bg1"/>
              </a:solidFill>
              <a:latin typeface="Avenir Medium" panose="020B0603020203020204" pitchFamily="34" charset="-78"/>
              <a:cs typeface="Avenir Medium" panose="020B0603020203020204" pitchFamily="34" charset="-78"/>
            </a:endParaRPr>
          </a:p>
        </xdr:txBody>
      </xdr:sp>
      <xdr:sp macro="" textlink="'Pivot Tables'!AZ12">
        <xdr:nvSpPr>
          <xdr:cNvPr id="1115" name="TextBox 1114">
            <a:extLst>
              <a:ext uri="{FF2B5EF4-FFF2-40B4-BE49-F238E27FC236}">
                <a16:creationId xmlns:a16="http://schemas.microsoft.com/office/drawing/2014/main" id="{88708615-6BC7-0B96-3747-7C80AECBA57D}"/>
              </a:ext>
            </a:extLst>
          </xdr:cNvPr>
          <xdr:cNvSpPr txBox="1"/>
        </xdr:nvSpPr>
        <xdr:spPr>
          <a:xfrm>
            <a:off x="12351198" y="1195152"/>
            <a:ext cx="514884" cy="1891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F4BC6B9-07BF-45AF-9C70-C91E04DBCCB2}" type="TxLink">
              <a:rPr lang="en-US" sz="1000" b="0" i="0" u="none" strike="noStrike">
                <a:solidFill>
                  <a:schemeClr val="bg1"/>
                </a:solidFill>
                <a:latin typeface="Avenir Medium" panose="020B0603020203020204" pitchFamily="34" charset="-78"/>
                <a:cs typeface="Avenir Medium" panose="020B0603020203020204" pitchFamily="34" charset="-78"/>
              </a:rPr>
              <a:pPr algn="ctr"/>
              <a:t>9%</a:t>
            </a:fld>
            <a:endParaRPr lang="en-IN" sz="100">
              <a:solidFill>
                <a:schemeClr val="bg1"/>
              </a:solidFill>
              <a:latin typeface="Avenir Medium" panose="020B0603020203020204" pitchFamily="34" charset="-78"/>
              <a:cs typeface="Avenir Medium" panose="020B0603020203020204" pitchFamily="34" charset="-78"/>
            </a:endParaRPr>
          </a:p>
        </xdr:txBody>
      </xdr:sp>
    </xdr:grpSp>
    <xdr:clientData/>
  </xdr:twoCellAnchor>
  <xdr:twoCellAnchor editAs="absolute">
    <xdr:from>
      <xdr:col>15</xdr:col>
      <xdr:colOff>367671</xdr:colOff>
      <xdr:row>44</xdr:row>
      <xdr:rowOff>154059</xdr:rowOff>
    </xdr:from>
    <xdr:to>
      <xdr:col>18</xdr:col>
      <xdr:colOff>488641</xdr:colOff>
      <xdr:row>47</xdr:row>
      <xdr:rowOff>19592</xdr:rowOff>
    </xdr:to>
    <xdr:grpSp>
      <xdr:nvGrpSpPr>
        <xdr:cNvPr id="1116" name="Group 1115">
          <a:extLst>
            <a:ext uri="{FF2B5EF4-FFF2-40B4-BE49-F238E27FC236}">
              <a16:creationId xmlns:a16="http://schemas.microsoft.com/office/drawing/2014/main" id="{CB40FBE1-A3CF-498A-B58A-40F4E00A6D70}"/>
            </a:ext>
          </a:extLst>
        </xdr:cNvPr>
        <xdr:cNvGrpSpPr/>
      </xdr:nvGrpSpPr>
      <xdr:grpSpPr>
        <a:xfrm>
          <a:off x="9511671" y="8536059"/>
          <a:ext cx="1949770" cy="437033"/>
          <a:chOff x="12362916" y="1057879"/>
          <a:chExt cx="1949957" cy="437032"/>
        </a:xfrm>
      </xdr:grpSpPr>
      <xdr:sp macro="" textlink="'Pivot Tables'!AX14">
        <xdr:nvSpPr>
          <xdr:cNvPr id="1118" name="TextBox 1117">
            <a:extLst>
              <a:ext uri="{FF2B5EF4-FFF2-40B4-BE49-F238E27FC236}">
                <a16:creationId xmlns:a16="http://schemas.microsoft.com/office/drawing/2014/main" id="{0C6383F3-595C-3FB0-6E28-2CBFD8932F00}"/>
              </a:ext>
            </a:extLst>
          </xdr:cNvPr>
          <xdr:cNvSpPr txBox="1"/>
        </xdr:nvSpPr>
        <xdr:spPr>
          <a:xfrm>
            <a:off x="12822401" y="1057879"/>
            <a:ext cx="1490472"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CE5A9B00-DD97-4876-BACE-E03DFB65FD02}" type="TxLink">
              <a:rPr lang="en-US" sz="900" b="0" i="0" u="none" strike="noStrike">
                <a:solidFill>
                  <a:schemeClr val="bg1"/>
                </a:solidFill>
                <a:latin typeface="Avenir Medium" panose="020B0603020203020204" pitchFamily="34" charset="-78"/>
                <a:cs typeface="Avenir Medium" panose="020B0603020203020204" pitchFamily="34" charset="-78"/>
              </a:rPr>
              <a:pPr algn="l"/>
              <a:t>Equipments</a:t>
            </a:fld>
            <a:endParaRPr lang="en-IN" sz="100">
              <a:solidFill>
                <a:schemeClr val="bg1"/>
              </a:solidFill>
              <a:latin typeface="Avenir Medium" panose="020B0603020203020204" pitchFamily="34" charset="-78"/>
              <a:cs typeface="Avenir Medium" panose="020B0603020203020204" pitchFamily="34" charset="-78"/>
            </a:endParaRPr>
          </a:p>
        </xdr:txBody>
      </xdr:sp>
      <xdr:sp macro="" textlink="'Pivot Tables'!AY14">
        <xdr:nvSpPr>
          <xdr:cNvPr id="1132" name="TextBox 1131">
            <a:extLst>
              <a:ext uri="{FF2B5EF4-FFF2-40B4-BE49-F238E27FC236}">
                <a16:creationId xmlns:a16="http://schemas.microsoft.com/office/drawing/2014/main" id="{C67721D3-C808-A5B3-48B2-E0FDF9FB1D56}"/>
              </a:ext>
            </a:extLst>
          </xdr:cNvPr>
          <xdr:cNvSpPr txBox="1"/>
        </xdr:nvSpPr>
        <xdr:spPr>
          <a:xfrm>
            <a:off x="12791446" y="1220591"/>
            <a:ext cx="1490472"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1BB4E3EF-3725-4A82-A3C6-E770172352BB}" type="TxLink">
              <a:rPr lang="en-US" sz="1000" b="0" i="0" u="none" strike="noStrike">
                <a:solidFill>
                  <a:schemeClr val="bg1"/>
                </a:solidFill>
                <a:latin typeface="Avenir Medium" panose="020B0603020203020204" pitchFamily="34" charset="-78"/>
                <a:cs typeface="Avenir Medium" panose="020B0603020203020204" pitchFamily="34" charset="-78"/>
              </a:rPr>
              <a:pPr algn="l"/>
              <a:t> 56,300 </a:t>
            </a:fld>
            <a:endParaRPr lang="en-IN" sz="100">
              <a:solidFill>
                <a:schemeClr val="bg1"/>
              </a:solidFill>
              <a:latin typeface="Avenir Medium" panose="020B0603020203020204" pitchFamily="34" charset="-78"/>
              <a:cs typeface="Avenir Medium" panose="020B0603020203020204" pitchFamily="34" charset="-78"/>
            </a:endParaRPr>
          </a:p>
        </xdr:txBody>
      </xdr:sp>
      <xdr:sp macro="" textlink="'Pivot Tables'!AZ14">
        <xdr:nvSpPr>
          <xdr:cNvPr id="1133" name="TextBox 1132">
            <a:extLst>
              <a:ext uri="{FF2B5EF4-FFF2-40B4-BE49-F238E27FC236}">
                <a16:creationId xmlns:a16="http://schemas.microsoft.com/office/drawing/2014/main" id="{C3FF4315-7BAD-D664-CF92-B79ECB8E21E4}"/>
              </a:ext>
            </a:extLst>
          </xdr:cNvPr>
          <xdr:cNvSpPr txBox="1"/>
        </xdr:nvSpPr>
        <xdr:spPr>
          <a:xfrm>
            <a:off x="12362916" y="1195152"/>
            <a:ext cx="514884" cy="1891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EC49355-28B2-4F79-BC4B-9BF65405B302}" type="TxLink">
              <a:rPr lang="en-US" sz="1000" b="0" i="0" u="none" strike="noStrike">
                <a:solidFill>
                  <a:schemeClr val="bg1"/>
                </a:solidFill>
                <a:latin typeface="Avenir Medium" panose="020B0603020203020204" pitchFamily="34" charset="-78"/>
                <a:cs typeface="Avenir Medium" panose="020B0603020203020204" pitchFamily="34" charset="-78"/>
              </a:rPr>
              <a:pPr algn="ctr"/>
              <a:t>7%</a:t>
            </a:fld>
            <a:endParaRPr lang="en-IN" sz="100">
              <a:solidFill>
                <a:schemeClr val="bg1"/>
              </a:solidFill>
              <a:latin typeface="Avenir Medium" panose="020B0603020203020204" pitchFamily="34" charset="-78"/>
              <a:cs typeface="Avenir Medium" panose="020B0603020203020204" pitchFamily="34" charset="-78"/>
            </a:endParaRPr>
          </a:p>
        </xdr:txBody>
      </xdr:sp>
    </xdr:grpSp>
    <xdr:clientData/>
  </xdr:twoCellAnchor>
  <xdr:twoCellAnchor editAs="absolute">
    <xdr:from>
      <xdr:col>14</xdr:col>
      <xdr:colOff>48360</xdr:colOff>
      <xdr:row>47</xdr:row>
      <xdr:rowOff>41222</xdr:rowOff>
    </xdr:from>
    <xdr:to>
      <xdr:col>16</xdr:col>
      <xdr:colOff>350646</xdr:colOff>
      <xdr:row>51</xdr:row>
      <xdr:rowOff>79051</xdr:rowOff>
    </xdr:to>
    <xdr:grpSp>
      <xdr:nvGrpSpPr>
        <xdr:cNvPr id="1134" name="Group 1133">
          <a:extLst>
            <a:ext uri="{FF2B5EF4-FFF2-40B4-BE49-F238E27FC236}">
              <a16:creationId xmlns:a16="http://schemas.microsoft.com/office/drawing/2014/main" id="{AC69864D-96E9-4345-8312-8B054085CC2A}"/>
            </a:ext>
          </a:extLst>
        </xdr:cNvPr>
        <xdr:cNvGrpSpPr/>
      </xdr:nvGrpSpPr>
      <xdr:grpSpPr>
        <a:xfrm>
          <a:off x="8582760" y="8994722"/>
          <a:ext cx="1521486" cy="799829"/>
          <a:chOff x="12346184" y="1195152"/>
          <a:chExt cx="1521419" cy="798220"/>
        </a:xfrm>
      </xdr:grpSpPr>
      <xdr:sp macro="" textlink="'Pivot Tables'!AX15">
        <xdr:nvSpPr>
          <xdr:cNvPr id="1135" name="TextBox 1134">
            <a:extLst>
              <a:ext uri="{FF2B5EF4-FFF2-40B4-BE49-F238E27FC236}">
                <a16:creationId xmlns:a16="http://schemas.microsoft.com/office/drawing/2014/main" id="{9E3EB8F3-1C9D-78C0-8DE8-297A7ECA463F}"/>
              </a:ext>
            </a:extLst>
          </xdr:cNvPr>
          <xdr:cNvSpPr txBox="1"/>
        </xdr:nvSpPr>
        <xdr:spPr>
          <a:xfrm>
            <a:off x="12377131" y="1556338"/>
            <a:ext cx="1490472"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05111360-F1C3-4B85-9241-0CCAB3BC0414}" type="TxLink">
              <a:rPr lang="en-US" sz="900" b="0" i="0" u="none" strike="noStrike">
                <a:solidFill>
                  <a:schemeClr val="bg1"/>
                </a:solidFill>
                <a:latin typeface="Avenir Medium" panose="020B0603020203020204" pitchFamily="34" charset="-78"/>
                <a:cs typeface="Avenir Medium" panose="020B0603020203020204" pitchFamily="34" charset="-78"/>
              </a:rPr>
              <a:pPr algn="l"/>
              <a:t>Lands</a:t>
            </a:fld>
            <a:endParaRPr lang="en-IN" sz="100">
              <a:solidFill>
                <a:schemeClr val="bg1"/>
              </a:solidFill>
              <a:latin typeface="Avenir Medium" panose="020B0603020203020204" pitchFamily="34" charset="-78"/>
              <a:cs typeface="Avenir Medium" panose="020B0603020203020204" pitchFamily="34" charset="-78"/>
            </a:endParaRPr>
          </a:p>
        </xdr:txBody>
      </xdr:sp>
      <xdr:sp macro="" textlink="'Pivot Tables'!AY15">
        <xdr:nvSpPr>
          <xdr:cNvPr id="1136" name="TextBox 1135">
            <a:extLst>
              <a:ext uri="{FF2B5EF4-FFF2-40B4-BE49-F238E27FC236}">
                <a16:creationId xmlns:a16="http://schemas.microsoft.com/office/drawing/2014/main" id="{71B6CCFA-5B7C-CA9D-6324-B651415E34B8}"/>
              </a:ext>
            </a:extLst>
          </xdr:cNvPr>
          <xdr:cNvSpPr txBox="1"/>
        </xdr:nvSpPr>
        <xdr:spPr>
          <a:xfrm>
            <a:off x="12346184" y="1719051"/>
            <a:ext cx="1490472" cy="2743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200B0C57-BE3E-48BB-9DF6-A8C3877A2BA4}" type="TxLink">
              <a:rPr lang="en-US" sz="1000" b="0" i="0" u="none" strike="noStrike">
                <a:solidFill>
                  <a:schemeClr val="bg1"/>
                </a:solidFill>
                <a:latin typeface="Avenir Medium" panose="020B0603020203020204" pitchFamily="34" charset="-78"/>
                <a:cs typeface="Avenir Medium" panose="020B0603020203020204" pitchFamily="34" charset="-78"/>
              </a:rPr>
              <a:pPr algn="l"/>
              <a:t> 5,866 </a:t>
            </a:fld>
            <a:endParaRPr lang="en-IN" sz="100">
              <a:solidFill>
                <a:schemeClr val="bg1"/>
              </a:solidFill>
              <a:latin typeface="Avenir Medium" panose="020B0603020203020204" pitchFamily="34" charset="-78"/>
              <a:cs typeface="Avenir Medium" panose="020B0603020203020204" pitchFamily="34" charset="-78"/>
            </a:endParaRPr>
          </a:p>
        </xdr:txBody>
      </xdr:sp>
      <xdr:sp macro="" textlink="'Pivot Tables'!AZ15">
        <xdr:nvSpPr>
          <xdr:cNvPr id="1137" name="TextBox 1136">
            <a:extLst>
              <a:ext uri="{FF2B5EF4-FFF2-40B4-BE49-F238E27FC236}">
                <a16:creationId xmlns:a16="http://schemas.microsoft.com/office/drawing/2014/main" id="{8A846D96-270C-D707-6F9F-5ED388B165F1}"/>
              </a:ext>
            </a:extLst>
          </xdr:cNvPr>
          <xdr:cNvSpPr txBox="1"/>
        </xdr:nvSpPr>
        <xdr:spPr>
          <a:xfrm>
            <a:off x="12362916" y="1195152"/>
            <a:ext cx="514884" cy="1891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504E1C3-7FB9-40BE-8574-BF082A4B9435}" type="TxLink">
              <a:rPr lang="en-US" sz="1000" b="0" i="0" u="none" strike="noStrike">
                <a:solidFill>
                  <a:schemeClr val="bg1"/>
                </a:solidFill>
                <a:latin typeface="Avenir Medium" panose="020B0603020203020204" pitchFamily="34" charset="-78"/>
                <a:cs typeface="Avenir Medium" panose="020B0603020203020204" pitchFamily="34" charset="-78"/>
              </a:rPr>
              <a:pPr algn="ctr"/>
              <a:t>1%</a:t>
            </a:fld>
            <a:endParaRPr lang="en-IN" sz="100">
              <a:solidFill>
                <a:schemeClr val="bg1"/>
              </a:solidFill>
              <a:latin typeface="Avenir Medium" panose="020B0603020203020204" pitchFamily="34" charset="-78"/>
              <a:cs typeface="Avenir Medium" panose="020B0603020203020204" pitchFamily="34" charset="-78"/>
            </a:endParaRPr>
          </a:p>
        </xdr:txBody>
      </xdr:sp>
    </xdr:grpSp>
    <xdr:clientData/>
  </xdr:twoCellAnchor>
  <xdr:twoCellAnchor editAs="absolute">
    <xdr:from>
      <xdr:col>11</xdr:col>
      <xdr:colOff>481657</xdr:colOff>
      <xdr:row>45</xdr:row>
      <xdr:rowOff>82501</xdr:rowOff>
    </xdr:from>
    <xdr:to>
      <xdr:col>14</xdr:col>
      <xdr:colOff>175690</xdr:colOff>
      <xdr:row>47</xdr:row>
      <xdr:rowOff>143179</xdr:rowOff>
    </xdr:to>
    <xdr:grpSp>
      <xdr:nvGrpSpPr>
        <xdr:cNvPr id="1138" name="Group 1137">
          <a:extLst>
            <a:ext uri="{FF2B5EF4-FFF2-40B4-BE49-F238E27FC236}">
              <a16:creationId xmlns:a16="http://schemas.microsoft.com/office/drawing/2014/main" id="{FFE281C5-CE18-4E06-BE6A-E8656901DFAF}"/>
            </a:ext>
          </a:extLst>
        </xdr:cNvPr>
        <xdr:cNvGrpSpPr/>
      </xdr:nvGrpSpPr>
      <xdr:grpSpPr>
        <a:xfrm>
          <a:off x="7187257" y="8655001"/>
          <a:ext cx="1522833" cy="441678"/>
          <a:chOff x="11736866" y="1152826"/>
          <a:chExt cx="1521414" cy="437031"/>
        </a:xfrm>
      </xdr:grpSpPr>
      <xdr:sp macro="" textlink="'Pivot Tables'!AX16">
        <xdr:nvSpPr>
          <xdr:cNvPr id="1139" name="TextBox 1138">
            <a:extLst>
              <a:ext uri="{FF2B5EF4-FFF2-40B4-BE49-F238E27FC236}">
                <a16:creationId xmlns:a16="http://schemas.microsoft.com/office/drawing/2014/main" id="{E3FF8B23-FAD3-7EA8-76FF-121A899B6608}"/>
              </a:ext>
            </a:extLst>
          </xdr:cNvPr>
          <xdr:cNvSpPr txBox="1"/>
        </xdr:nvSpPr>
        <xdr:spPr>
          <a:xfrm>
            <a:off x="11767808" y="1152826"/>
            <a:ext cx="1490472"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C62B305C-1EEB-45DF-BCE6-9EB6B178CB88}" type="TxLink">
              <a:rPr lang="en-US" sz="900" b="0" i="0" u="none" strike="noStrike">
                <a:solidFill>
                  <a:schemeClr val="bg1"/>
                </a:solidFill>
                <a:latin typeface="Avenir Medium" panose="020B0603020203020204" pitchFamily="34" charset="-78"/>
                <a:cs typeface="Avenir Medium" panose="020B0603020203020204" pitchFamily="34" charset="-78"/>
              </a:rPr>
              <a:pPr algn="l"/>
              <a:t>Offices</a:t>
            </a:fld>
            <a:endParaRPr lang="en-IN" sz="100">
              <a:solidFill>
                <a:schemeClr val="bg1"/>
              </a:solidFill>
              <a:latin typeface="Avenir Medium" panose="020B0603020203020204" pitchFamily="34" charset="-78"/>
              <a:cs typeface="Avenir Medium" panose="020B0603020203020204" pitchFamily="34" charset="-78"/>
            </a:endParaRPr>
          </a:p>
        </xdr:txBody>
      </xdr:sp>
      <xdr:sp macro="" textlink="'Pivot Tables'!AY16">
        <xdr:nvSpPr>
          <xdr:cNvPr id="1140" name="TextBox 1139">
            <a:extLst>
              <a:ext uri="{FF2B5EF4-FFF2-40B4-BE49-F238E27FC236}">
                <a16:creationId xmlns:a16="http://schemas.microsoft.com/office/drawing/2014/main" id="{312D1003-FF99-649E-1D8D-7B4BDD26F72B}"/>
              </a:ext>
            </a:extLst>
          </xdr:cNvPr>
          <xdr:cNvSpPr txBox="1"/>
        </xdr:nvSpPr>
        <xdr:spPr>
          <a:xfrm>
            <a:off x="11736866" y="1315536"/>
            <a:ext cx="1490472" cy="2743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A9F1A007-74EC-47B2-8D64-9E303864CA25}" type="TxLink">
              <a:rPr lang="en-US" sz="1000" b="0" i="0" u="none" strike="noStrike">
                <a:solidFill>
                  <a:schemeClr val="bg1"/>
                </a:solidFill>
                <a:latin typeface="Avenir Medium" panose="020B0603020203020204" pitchFamily="34" charset="-78"/>
                <a:cs typeface="Avenir Medium" panose="020B0603020203020204" pitchFamily="34" charset="-78"/>
              </a:rPr>
              <a:pPr algn="l"/>
              <a:t> 3,797 </a:t>
            </a:fld>
            <a:endParaRPr lang="en-IN" sz="100">
              <a:solidFill>
                <a:schemeClr val="bg1"/>
              </a:solidFill>
              <a:latin typeface="Avenir Medium" panose="020B0603020203020204" pitchFamily="34" charset="-78"/>
              <a:cs typeface="Avenir Medium" panose="020B0603020203020204" pitchFamily="34" charset="-78"/>
            </a:endParaRPr>
          </a:p>
        </xdr:txBody>
      </xdr:sp>
      <xdr:sp macro="" textlink="'Pivot Tables'!AZ16">
        <xdr:nvSpPr>
          <xdr:cNvPr id="1141" name="TextBox 1140">
            <a:extLst>
              <a:ext uri="{FF2B5EF4-FFF2-40B4-BE49-F238E27FC236}">
                <a16:creationId xmlns:a16="http://schemas.microsoft.com/office/drawing/2014/main" id="{774E2BDE-CAF6-8533-3CD0-B21D901F058B}"/>
              </a:ext>
            </a:extLst>
          </xdr:cNvPr>
          <xdr:cNvSpPr txBox="1"/>
        </xdr:nvSpPr>
        <xdr:spPr>
          <a:xfrm>
            <a:off x="12351198" y="1195152"/>
            <a:ext cx="514884" cy="1891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18A70DA-56FE-4820-A0C4-40D1C8D247E5}" type="TxLink">
              <a:rPr lang="en-US" sz="1000" b="0" i="0" u="none" strike="noStrike">
                <a:solidFill>
                  <a:schemeClr val="bg1"/>
                </a:solidFill>
                <a:latin typeface="Avenir Medium" panose="020B0603020203020204" pitchFamily="34" charset="-78"/>
                <a:cs typeface="Avenir Medium" panose="020B0603020203020204" pitchFamily="34" charset="-78"/>
              </a:rPr>
              <a:pPr algn="ctr"/>
              <a:t>0%</a:t>
            </a:fld>
            <a:endParaRPr lang="en-IN" sz="100">
              <a:solidFill>
                <a:schemeClr val="bg1"/>
              </a:solidFill>
              <a:latin typeface="Avenir Medium" panose="020B0603020203020204" pitchFamily="34" charset="-78"/>
              <a:cs typeface="Avenir Medium" panose="020B0603020203020204" pitchFamily="34" charset="-78"/>
            </a:endParaRPr>
          </a:p>
        </xdr:txBody>
      </xdr:sp>
    </xdr:grpSp>
    <xdr:clientData/>
  </xdr:twoCellAnchor>
  <xdr:twoCellAnchor editAs="absolute">
    <xdr:from>
      <xdr:col>7</xdr:col>
      <xdr:colOff>329933</xdr:colOff>
      <xdr:row>41</xdr:row>
      <xdr:rowOff>20780</xdr:rowOff>
    </xdr:from>
    <xdr:to>
      <xdr:col>10</xdr:col>
      <xdr:colOff>26067</xdr:colOff>
      <xdr:row>44</xdr:row>
      <xdr:rowOff>23768</xdr:rowOff>
    </xdr:to>
    <xdr:grpSp>
      <xdr:nvGrpSpPr>
        <xdr:cNvPr id="1142" name="Group 1141">
          <a:extLst>
            <a:ext uri="{FF2B5EF4-FFF2-40B4-BE49-F238E27FC236}">
              <a16:creationId xmlns:a16="http://schemas.microsoft.com/office/drawing/2014/main" id="{9BB187EB-F5DE-4627-8088-2112FDFB6BFE}"/>
            </a:ext>
          </a:extLst>
        </xdr:cNvPr>
        <xdr:cNvGrpSpPr/>
      </xdr:nvGrpSpPr>
      <xdr:grpSpPr>
        <a:xfrm>
          <a:off x="4597133" y="7831280"/>
          <a:ext cx="1524934" cy="574488"/>
          <a:chOff x="11865763" y="1195152"/>
          <a:chExt cx="1521404" cy="572726"/>
        </a:xfrm>
      </xdr:grpSpPr>
      <xdr:sp macro="" textlink="'Pivot Tables'!AX8">
        <xdr:nvSpPr>
          <xdr:cNvPr id="1143" name="TextBox 1142">
            <a:extLst>
              <a:ext uri="{FF2B5EF4-FFF2-40B4-BE49-F238E27FC236}">
                <a16:creationId xmlns:a16="http://schemas.microsoft.com/office/drawing/2014/main" id="{7AE16D93-04C6-CC15-0558-D16A74EA58C2}"/>
              </a:ext>
            </a:extLst>
          </xdr:cNvPr>
          <xdr:cNvSpPr txBox="1"/>
        </xdr:nvSpPr>
        <xdr:spPr>
          <a:xfrm>
            <a:off x="11896695" y="1330850"/>
            <a:ext cx="1490472"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8DBED45B-988D-434D-A335-C42EB6C4B52B}" type="TxLink">
              <a:rPr lang="en-US" sz="900" b="0" i="0" u="none" strike="noStrike">
                <a:solidFill>
                  <a:schemeClr val="bg1"/>
                </a:solidFill>
                <a:latin typeface="Avenir Medium" panose="020B0603020203020204" pitchFamily="34" charset="-78"/>
                <a:cs typeface="Avenir Medium" panose="020B0603020203020204" pitchFamily="34" charset="-78"/>
              </a:rPr>
              <a:pPr algn="l"/>
              <a:t>New </a:t>
            </a:fld>
            <a:endParaRPr lang="en-IN" sz="100">
              <a:solidFill>
                <a:schemeClr val="bg1"/>
              </a:solidFill>
              <a:latin typeface="Avenir Medium" panose="020B0603020203020204" pitchFamily="34" charset="-78"/>
              <a:cs typeface="Avenir Medium" panose="020B0603020203020204" pitchFamily="34" charset="-78"/>
            </a:endParaRPr>
          </a:p>
        </xdr:txBody>
      </xdr:sp>
      <xdr:sp macro="" textlink="'Pivot Tables'!AY8">
        <xdr:nvSpPr>
          <xdr:cNvPr id="1144" name="TextBox 1143">
            <a:extLst>
              <a:ext uri="{FF2B5EF4-FFF2-40B4-BE49-F238E27FC236}">
                <a16:creationId xmlns:a16="http://schemas.microsoft.com/office/drawing/2014/main" id="{8360CCBB-D059-4F5E-3F54-E8B4C07CB297}"/>
              </a:ext>
            </a:extLst>
          </xdr:cNvPr>
          <xdr:cNvSpPr txBox="1"/>
        </xdr:nvSpPr>
        <xdr:spPr>
          <a:xfrm>
            <a:off x="11865763" y="1493558"/>
            <a:ext cx="1490472"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4D06C2EE-AFBB-4CD2-B7FF-01E8A871B48D}" type="TxLink">
              <a:rPr lang="en-US" sz="1000" b="0" i="0" u="none" strike="noStrike">
                <a:solidFill>
                  <a:schemeClr val="bg1"/>
                </a:solidFill>
                <a:latin typeface="Avenir Medium" panose="020B0603020203020204" pitchFamily="34" charset="-78"/>
                <a:cs typeface="Avenir Medium" panose="020B0603020203020204" pitchFamily="34" charset="-78"/>
              </a:rPr>
              <a:pPr algn="l"/>
              <a:t> 86,016 </a:t>
            </a:fld>
            <a:endParaRPr lang="en-IN" sz="200">
              <a:solidFill>
                <a:schemeClr val="bg1"/>
              </a:solidFill>
              <a:latin typeface="Avenir Medium" panose="020B0603020203020204" pitchFamily="34" charset="-78"/>
              <a:cs typeface="Avenir Medium" panose="020B0603020203020204" pitchFamily="34" charset="-78"/>
            </a:endParaRPr>
          </a:p>
        </xdr:txBody>
      </xdr:sp>
      <xdr:sp macro="" textlink="'Pivot Tables'!AZ8">
        <xdr:nvSpPr>
          <xdr:cNvPr id="1145" name="TextBox 1144">
            <a:extLst>
              <a:ext uri="{FF2B5EF4-FFF2-40B4-BE49-F238E27FC236}">
                <a16:creationId xmlns:a16="http://schemas.microsoft.com/office/drawing/2014/main" id="{D1AFFFC7-B941-1AF6-97AC-41C1A12A061B}"/>
              </a:ext>
            </a:extLst>
          </xdr:cNvPr>
          <xdr:cNvSpPr txBox="1"/>
        </xdr:nvSpPr>
        <xdr:spPr>
          <a:xfrm>
            <a:off x="12351198" y="1195152"/>
            <a:ext cx="514884" cy="1891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BFB16AB-E1B6-4D17-84F9-30D419833701}" type="TxLink">
              <a:rPr lang="en-US" sz="1000" b="0" i="0" u="none" strike="noStrike">
                <a:solidFill>
                  <a:schemeClr val="bg1"/>
                </a:solidFill>
                <a:latin typeface="Avenir Medium" panose="020B0603020203020204" pitchFamily="34" charset="-78"/>
                <a:cs typeface="Avenir Medium" panose="020B0603020203020204" pitchFamily="34" charset="-78"/>
              </a:rPr>
              <a:pPr algn="ctr"/>
              <a:t>10%</a:t>
            </a:fld>
            <a:endParaRPr lang="en-IN" sz="200">
              <a:solidFill>
                <a:schemeClr val="bg1"/>
              </a:solidFill>
              <a:latin typeface="Avenir Medium" panose="020B0603020203020204" pitchFamily="34" charset="-78"/>
              <a:cs typeface="Avenir Medium" panose="020B0603020203020204" pitchFamily="34" charset="-78"/>
            </a:endParaRPr>
          </a:p>
        </xdr:txBody>
      </xdr:sp>
    </xdr:grpSp>
    <xdr:clientData/>
  </xdr:twoCellAnchor>
  <xdr:twoCellAnchor editAs="absolute">
    <xdr:from>
      <xdr:col>9</xdr:col>
      <xdr:colOff>512646</xdr:colOff>
      <xdr:row>38</xdr:row>
      <xdr:rowOff>119731</xdr:rowOff>
    </xdr:from>
    <xdr:to>
      <xdr:col>12</xdr:col>
      <xdr:colOff>236537</xdr:colOff>
      <xdr:row>42</xdr:row>
      <xdr:rowOff>134324</xdr:rowOff>
    </xdr:to>
    <xdr:grpSp>
      <xdr:nvGrpSpPr>
        <xdr:cNvPr id="1146" name="Group 1145">
          <a:extLst>
            <a:ext uri="{FF2B5EF4-FFF2-40B4-BE49-F238E27FC236}">
              <a16:creationId xmlns:a16="http://schemas.microsoft.com/office/drawing/2014/main" id="{332D1BCC-5272-4BE7-8BE1-D2F93E68AC0B}"/>
            </a:ext>
          </a:extLst>
        </xdr:cNvPr>
        <xdr:cNvGrpSpPr/>
      </xdr:nvGrpSpPr>
      <xdr:grpSpPr>
        <a:xfrm>
          <a:off x="5999046" y="7358731"/>
          <a:ext cx="1552691" cy="776593"/>
          <a:chOff x="12327763" y="1195152"/>
          <a:chExt cx="1551534" cy="774481"/>
        </a:xfrm>
      </xdr:grpSpPr>
      <xdr:sp macro="" textlink="'Pivot Tables'!AX9">
        <xdr:nvSpPr>
          <xdr:cNvPr id="1147" name="TextBox 1146">
            <a:extLst>
              <a:ext uri="{FF2B5EF4-FFF2-40B4-BE49-F238E27FC236}">
                <a16:creationId xmlns:a16="http://schemas.microsoft.com/office/drawing/2014/main" id="{8EABF302-D4C0-FA3C-AD7A-0270224127F9}"/>
              </a:ext>
            </a:extLst>
          </xdr:cNvPr>
          <xdr:cNvSpPr txBox="1"/>
        </xdr:nvSpPr>
        <xdr:spPr>
          <a:xfrm>
            <a:off x="12388826" y="1532605"/>
            <a:ext cx="1490471" cy="2743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838ADAC6-A32B-4F15-B8F2-F11603BC8C08}" type="TxLink">
              <a:rPr lang="en-US" sz="1000" b="0" i="0" u="none" strike="noStrike">
                <a:solidFill>
                  <a:schemeClr val="bg1"/>
                </a:solidFill>
                <a:latin typeface="Avenir Medium" panose="020B0603020203020204" pitchFamily="34" charset="-78"/>
                <a:cs typeface="Avenir Medium" panose="020B0603020203020204" pitchFamily="34" charset="-78"/>
              </a:rPr>
              <a:pPr algn="l"/>
              <a:t>Renewal</a:t>
            </a:fld>
            <a:endParaRPr lang="en-IN" sz="100">
              <a:solidFill>
                <a:schemeClr val="bg1"/>
              </a:solidFill>
              <a:latin typeface="Avenir Medium" panose="020B0603020203020204" pitchFamily="34" charset="-78"/>
              <a:cs typeface="Avenir Medium" panose="020B0603020203020204" pitchFamily="34" charset="-78"/>
            </a:endParaRPr>
          </a:p>
        </xdr:txBody>
      </xdr:sp>
      <xdr:sp macro="" textlink="'Pivot Tables'!AY9">
        <xdr:nvSpPr>
          <xdr:cNvPr id="1148" name="TextBox 1147">
            <a:extLst>
              <a:ext uri="{FF2B5EF4-FFF2-40B4-BE49-F238E27FC236}">
                <a16:creationId xmlns:a16="http://schemas.microsoft.com/office/drawing/2014/main" id="{83AD1978-8393-809E-E3E9-DBE242E30723}"/>
              </a:ext>
            </a:extLst>
          </xdr:cNvPr>
          <xdr:cNvSpPr txBox="1"/>
        </xdr:nvSpPr>
        <xdr:spPr>
          <a:xfrm>
            <a:off x="12357899" y="1695311"/>
            <a:ext cx="1490471" cy="2743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6E0879C7-11E9-4569-8BBA-260C01CFCA04}" type="TxLink">
              <a:rPr lang="en-US" sz="1000" b="0" i="0" u="none" strike="noStrike">
                <a:solidFill>
                  <a:schemeClr val="bg1"/>
                </a:solidFill>
                <a:latin typeface="Avenir Medium" panose="020B0603020203020204" pitchFamily="34" charset="-78"/>
                <a:cs typeface="Avenir Medium" panose="020B0603020203020204" pitchFamily="34" charset="-78"/>
              </a:rPr>
              <a:pPr algn="l"/>
              <a:t> 84,700 </a:t>
            </a:fld>
            <a:endParaRPr lang="en-IN" sz="100">
              <a:solidFill>
                <a:schemeClr val="bg1"/>
              </a:solidFill>
              <a:latin typeface="Avenir Medium" panose="020B0603020203020204" pitchFamily="34" charset="-78"/>
              <a:cs typeface="Avenir Medium" panose="020B0603020203020204" pitchFamily="34" charset="-78"/>
            </a:endParaRPr>
          </a:p>
        </xdr:txBody>
      </xdr:sp>
      <xdr:sp macro="" textlink="'Pivot Tables'!AZ9">
        <xdr:nvSpPr>
          <xdr:cNvPr id="1149" name="TextBox 1148">
            <a:extLst>
              <a:ext uri="{FF2B5EF4-FFF2-40B4-BE49-F238E27FC236}">
                <a16:creationId xmlns:a16="http://schemas.microsoft.com/office/drawing/2014/main" id="{CDE8C765-A66B-EEC2-C135-45E0D78C1232}"/>
              </a:ext>
            </a:extLst>
          </xdr:cNvPr>
          <xdr:cNvSpPr txBox="1"/>
        </xdr:nvSpPr>
        <xdr:spPr>
          <a:xfrm>
            <a:off x="12327763" y="1195152"/>
            <a:ext cx="514884" cy="1891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0998622-AAB5-499B-B82E-1AA59FE08EA2}" type="TxLink">
              <a:rPr lang="en-US" sz="1000" b="0" i="0" u="none" strike="noStrike">
                <a:solidFill>
                  <a:schemeClr val="bg1"/>
                </a:solidFill>
                <a:latin typeface="Avenir Medium" panose="020B0603020203020204" pitchFamily="34" charset="-78"/>
                <a:cs typeface="Avenir Medium" panose="020B0603020203020204" pitchFamily="34" charset="-78"/>
              </a:rPr>
              <a:pPr algn="ctr"/>
              <a:t>10%</a:t>
            </a:fld>
            <a:endParaRPr lang="en-IN" sz="100">
              <a:solidFill>
                <a:schemeClr val="bg1"/>
              </a:solidFill>
              <a:latin typeface="Avenir Medium" panose="020B0603020203020204" pitchFamily="34" charset="-78"/>
              <a:cs typeface="Avenir Medium" panose="020B0603020203020204" pitchFamily="34" charset="-78"/>
            </a:endParaRPr>
          </a:p>
        </xdr:txBody>
      </xdr:sp>
    </xdr:grpSp>
    <xdr:clientData/>
  </xdr:twoCellAnchor>
  <xdr:twoCellAnchor editAs="absolute">
    <xdr:from>
      <xdr:col>7</xdr:col>
      <xdr:colOff>64168</xdr:colOff>
      <xdr:row>5</xdr:row>
      <xdr:rowOff>136373</xdr:rowOff>
    </xdr:from>
    <xdr:to>
      <xdr:col>9</xdr:col>
      <xdr:colOff>366452</xdr:colOff>
      <xdr:row>8</xdr:row>
      <xdr:rowOff>153843</xdr:rowOff>
    </xdr:to>
    <xdr:grpSp>
      <xdr:nvGrpSpPr>
        <xdr:cNvPr id="1152" name="Group 1151">
          <a:extLst>
            <a:ext uri="{FF2B5EF4-FFF2-40B4-BE49-F238E27FC236}">
              <a16:creationId xmlns:a16="http://schemas.microsoft.com/office/drawing/2014/main" id="{C7508A6E-0724-4662-923E-2F314256AD4C}"/>
            </a:ext>
          </a:extLst>
        </xdr:cNvPr>
        <xdr:cNvGrpSpPr/>
      </xdr:nvGrpSpPr>
      <xdr:grpSpPr>
        <a:xfrm>
          <a:off x="4331368" y="1088873"/>
          <a:ext cx="1521484" cy="588970"/>
          <a:chOff x="11760315" y="796774"/>
          <a:chExt cx="1521417" cy="587526"/>
        </a:xfrm>
      </xdr:grpSpPr>
      <xdr:sp macro="" textlink="'Pivot Tables'!AX18">
        <xdr:nvSpPr>
          <xdr:cNvPr id="1153" name="TextBox 1152">
            <a:extLst>
              <a:ext uri="{FF2B5EF4-FFF2-40B4-BE49-F238E27FC236}">
                <a16:creationId xmlns:a16="http://schemas.microsoft.com/office/drawing/2014/main" id="{4120B274-D7A9-9A1A-3838-4E152657C1E8}"/>
              </a:ext>
            </a:extLst>
          </xdr:cNvPr>
          <xdr:cNvSpPr txBox="1"/>
        </xdr:nvSpPr>
        <xdr:spPr>
          <a:xfrm>
            <a:off x="11791261" y="796774"/>
            <a:ext cx="1490471"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80252A6B-2C66-4726-9F53-2A3EC2B23EFD}" type="TxLink">
              <a:rPr lang="en-US" sz="900" b="0" i="0" u="none" strike="noStrike">
                <a:solidFill>
                  <a:schemeClr val="bg1"/>
                </a:solidFill>
                <a:latin typeface="Avenir Medium" panose="020B0603020203020204" pitchFamily="34" charset="-78"/>
                <a:cs typeface="Avenir Medium" panose="020B0603020203020204" pitchFamily="34" charset="-78"/>
              </a:rPr>
              <a:pPr algn="l"/>
              <a:t>Floating License</a:t>
            </a:fld>
            <a:endParaRPr lang="en-IN" sz="100">
              <a:solidFill>
                <a:schemeClr val="bg1"/>
              </a:solidFill>
              <a:latin typeface="Avenir Medium" panose="020B0603020203020204" pitchFamily="34" charset="-78"/>
              <a:cs typeface="Avenir Medium" panose="020B0603020203020204" pitchFamily="34" charset="-78"/>
            </a:endParaRPr>
          </a:p>
        </xdr:txBody>
      </xdr:sp>
      <xdr:sp macro="" textlink="'Pivot Tables'!AY18">
        <xdr:nvSpPr>
          <xdr:cNvPr id="1154" name="TextBox 1153">
            <a:extLst>
              <a:ext uri="{FF2B5EF4-FFF2-40B4-BE49-F238E27FC236}">
                <a16:creationId xmlns:a16="http://schemas.microsoft.com/office/drawing/2014/main" id="{340E0AD8-AF68-995F-D1F4-2D32DD6EB247}"/>
              </a:ext>
            </a:extLst>
          </xdr:cNvPr>
          <xdr:cNvSpPr txBox="1"/>
        </xdr:nvSpPr>
        <xdr:spPr>
          <a:xfrm>
            <a:off x="11760315" y="947630"/>
            <a:ext cx="1490471"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6244342C-8714-4F9A-9639-86F2091FE336}" type="TxLink">
              <a:rPr lang="en-US" sz="1000" b="0" i="0" u="none" strike="noStrike">
                <a:solidFill>
                  <a:schemeClr val="bg1"/>
                </a:solidFill>
                <a:latin typeface="Avenir Medium" panose="020B0603020203020204" pitchFamily="34" charset="-78"/>
                <a:cs typeface="Avenir Medium" panose="020B0603020203020204" pitchFamily="34" charset="-78"/>
              </a:rPr>
              <a:pPr algn="l"/>
              <a:t> 98,400 </a:t>
            </a:fld>
            <a:endParaRPr lang="en-IN" sz="100">
              <a:solidFill>
                <a:schemeClr val="bg1"/>
              </a:solidFill>
              <a:latin typeface="Avenir Medium" panose="020B0603020203020204" pitchFamily="34" charset="-78"/>
              <a:cs typeface="Avenir Medium" panose="020B0603020203020204" pitchFamily="34" charset="-78"/>
            </a:endParaRPr>
          </a:p>
        </xdr:txBody>
      </xdr:sp>
      <xdr:sp macro="" textlink="'Pivot Tables'!AZ18">
        <xdr:nvSpPr>
          <xdr:cNvPr id="1158" name="TextBox 1157">
            <a:extLst>
              <a:ext uri="{FF2B5EF4-FFF2-40B4-BE49-F238E27FC236}">
                <a16:creationId xmlns:a16="http://schemas.microsoft.com/office/drawing/2014/main" id="{FF43E912-E326-B641-F1B0-B5616864D91F}"/>
              </a:ext>
            </a:extLst>
          </xdr:cNvPr>
          <xdr:cNvSpPr txBox="1"/>
        </xdr:nvSpPr>
        <xdr:spPr>
          <a:xfrm>
            <a:off x="12362916" y="1195152"/>
            <a:ext cx="514884" cy="1891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35F292E-8285-41C4-B926-05A138853C2C}" type="TxLink">
              <a:rPr lang="en-US" sz="1000" b="0" i="0" u="none" strike="noStrike">
                <a:solidFill>
                  <a:schemeClr val="bg1"/>
                </a:solidFill>
                <a:latin typeface="Avenir Medium" panose="020B0603020203020204" pitchFamily="34" charset="-78"/>
                <a:cs typeface="Avenir Medium" panose="020B0603020203020204" pitchFamily="34" charset="-78"/>
              </a:rPr>
              <a:pPr algn="ctr"/>
              <a:t>12%</a:t>
            </a:fld>
            <a:endParaRPr lang="en-IN" sz="100">
              <a:solidFill>
                <a:schemeClr val="bg1"/>
              </a:solidFill>
              <a:latin typeface="Avenir Medium" panose="020B0603020203020204" pitchFamily="34" charset="-78"/>
              <a:cs typeface="Avenir Medium" panose="020B0603020203020204" pitchFamily="34" charset="-78"/>
            </a:endParaRPr>
          </a:p>
        </xdr:txBody>
      </xdr:sp>
    </xdr:grpSp>
    <xdr:clientData/>
  </xdr:twoCellAnchor>
  <xdr:twoCellAnchor editAs="absolute">
    <xdr:from>
      <xdr:col>7</xdr:col>
      <xdr:colOff>286264</xdr:colOff>
      <xdr:row>14</xdr:row>
      <xdr:rowOff>97872</xdr:rowOff>
    </xdr:from>
    <xdr:to>
      <xdr:col>9</xdr:col>
      <xdr:colOff>588553</xdr:colOff>
      <xdr:row>18</xdr:row>
      <xdr:rowOff>84604</xdr:rowOff>
    </xdr:to>
    <xdr:grpSp>
      <xdr:nvGrpSpPr>
        <xdr:cNvPr id="1162" name="Group 1161">
          <a:extLst>
            <a:ext uri="{FF2B5EF4-FFF2-40B4-BE49-F238E27FC236}">
              <a16:creationId xmlns:a16="http://schemas.microsoft.com/office/drawing/2014/main" id="{8CC0DADB-541C-41FB-B01B-DA21B99A2D79}"/>
            </a:ext>
          </a:extLst>
        </xdr:cNvPr>
        <xdr:cNvGrpSpPr/>
      </xdr:nvGrpSpPr>
      <xdr:grpSpPr>
        <a:xfrm>
          <a:off x="4553464" y="2764872"/>
          <a:ext cx="1521489" cy="748732"/>
          <a:chOff x="11889208" y="1207021"/>
          <a:chExt cx="1521422" cy="750765"/>
        </a:xfrm>
      </xdr:grpSpPr>
      <xdr:sp macro="" textlink="'Pivot Tables'!AX19">
        <xdr:nvSpPr>
          <xdr:cNvPr id="1163" name="TextBox 1162">
            <a:extLst>
              <a:ext uri="{FF2B5EF4-FFF2-40B4-BE49-F238E27FC236}">
                <a16:creationId xmlns:a16="http://schemas.microsoft.com/office/drawing/2014/main" id="{E7F91283-412C-2F38-EB56-3C051C9B758B}"/>
              </a:ext>
            </a:extLst>
          </xdr:cNvPr>
          <xdr:cNvSpPr txBox="1"/>
        </xdr:nvSpPr>
        <xdr:spPr>
          <a:xfrm>
            <a:off x="11920159" y="1532604"/>
            <a:ext cx="1490471" cy="2743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1B52BE65-B5E5-4583-B734-98BA674672F8}" type="TxLink">
              <a:rPr lang="en-US" sz="900" b="0" i="0" u="none" strike="noStrike">
                <a:solidFill>
                  <a:schemeClr val="bg1"/>
                </a:solidFill>
                <a:latin typeface="Avenir Medium" panose="020B0603020203020204" pitchFamily="34" charset="-78"/>
                <a:cs typeface="Avenir Medium" panose="020B0603020203020204" pitchFamily="34" charset="-78"/>
              </a:rPr>
              <a:pPr algn="l"/>
              <a:t>Software Metered License</a:t>
            </a:fld>
            <a:endParaRPr lang="en-IN" sz="100">
              <a:solidFill>
                <a:schemeClr val="bg1"/>
              </a:solidFill>
              <a:latin typeface="Avenir Medium" panose="020B0603020203020204" pitchFamily="34" charset="-78"/>
              <a:cs typeface="Avenir Medium" panose="020B0603020203020204" pitchFamily="34" charset="-78"/>
            </a:endParaRPr>
          </a:p>
        </xdr:txBody>
      </xdr:sp>
      <xdr:sp macro="" textlink="'Pivot Tables'!AY19">
        <xdr:nvSpPr>
          <xdr:cNvPr id="1164" name="TextBox 1163">
            <a:extLst>
              <a:ext uri="{FF2B5EF4-FFF2-40B4-BE49-F238E27FC236}">
                <a16:creationId xmlns:a16="http://schemas.microsoft.com/office/drawing/2014/main" id="{A54122A5-446F-325E-F674-F188B316D019}"/>
              </a:ext>
            </a:extLst>
          </xdr:cNvPr>
          <xdr:cNvSpPr txBox="1"/>
        </xdr:nvSpPr>
        <xdr:spPr>
          <a:xfrm>
            <a:off x="11889208" y="1683467"/>
            <a:ext cx="1490471" cy="2743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CF32E88D-66E2-4AC2-AA74-5FB5D1C6ACCB}" type="TxLink">
              <a:rPr lang="en-US" sz="1000" b="0" i="0" u="none" strike="noStrike">
                <a:solidFill>
                  <a:schemeClr val="bg1"/>
                </a:solidFill>
                <a:latin typeface="Avenir Medium" panose="020B0603020203020204" pitchFamily="34" charset="-78"/>
                <a:cs typeface="Avenir Medium" panose="020B0603020203020204" pitchFamily="34" charset="-78"/>
              </a:rPr>
              <a:pPr algn="l"/>
              <a:t> 56,301 </a:t>
            </a:fld>
            <a:endParaRPr lang="en-IN" sz="100">
              <a:solidFill>
                <a:schemeClr val="bg1"/>
              </a:solidFill>
              <a:latin typeface="Avenir Medium" panose="020B0603020203020204" pitchFamily="34" charset="-78"/>
              <a:cs typeface="Avenir Medium" panose="020B0603020203020204" pitchFamily="34" charset="-78"/>
            </a:endParaRPr>
          </a:p>
        </xdr:txBody>
      </xdr:sp>
      <xdr:sp macro="" textlink="'Pivot Tables'!AZ19">
        <xdr:nvSpPr>
          <xdr:cNvPr id="1165" name="TextBox 1164">
            <a:extLst>
              <a:ext uri="{FF2B5EF4-FFF2-40B4-BE49-F238E27FC236}">
                <a16:creationId xmlns:a16="http://schemas.microsoft.com/office/drawing/2014/main" id="{074C508B-1DA5-8241-32A6-7D1B01ACC555}"/>
              </a:ext>
            </a:extLst>
          </xdr:cNvPr>
          <xdr:cNvSpPr txBox="1"/>
        </xdr:nvSpPr>
        <xdr:spPr>
          <a:xfrm>
            <a:off x="12374632" y="1207021"/>
            <a:ext cx="514884" cy="1891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19AF5DA-6AC5-45A4-90D4-52463C7D2779}" type="TxLink">
              <a:rPr lang="en-US" sz="1000" b="0" i="0" u="none" strike="noStrike">
                <a:solidFill>
                  <a:schemeClr val="bg1"/>
                </a:solidFill>
                <a:latin typeface="Avenir Medium" panose="020B0603020203020204" pitchFamily="34" charset="-78"/>
                <a:cs typeface="Avenir Medium" panose="020B0603020203020204" pitchFamily="34" charset="-78"/>
              </a:rPr>
              <a:pPr algn="ctr"/>
              <a:t>7%</a:t>
            </a:fld>
            <a:endParaRPr lang="en-IN" sz="100">
              <a:solidFill>
                <a:schemeClr val="bg1"/>
              </a:solidFill>
              <a:latin typeface="Avenir Medium" panose="020B0603020203020204" pitchFamily="34" charset="-78"/>
              <a:cs typeface="Avenir Medium" panose="020B0603020203020204" pitchFamily="34" charset="-78"/>
            </a:endParaRPr>
          </a:p>
        </xdr:txBody>
      </xdr:sp>
    </xdr:grpSp>
    <xdr:clientData/>
  </xdr:twoCellAnchor>
</xdr:wsDr>
</file>

<file path=xl/drawings/drawing3.xml><?xml version="1.0" encoding="utf-8"?>
<c:userShapes xmlns:c="http://schemas.openxmlformats.org/drawingml/2006/chart">
  <cdr:relSizeAnchor xmlns:cdr="http://schemas.openxmlformats.org/drawingml/2006/chartDrawing">
    <cdr:from>
      <cdr:x>0.36648</cdr:x>
      <cdr:y>0.46392</cdr:y>
    </cdr:from>
    <cdr:to>
      <cdr:x>0.39605</cdr:x>
      <cdr:y>0.50743</cdr:y>
    </cdr:to>
    <cdr:pic>
      <cdr:nvPicPr>
        <cdr:cNvPr id="3" name="Graphic 2" descr="Money">
          <a:extLst xmlns:a="http://schemas.openxmlformats.org/drawingml/2006/main">
            <a:ext uri="{FF2B5EF4-FFF2-40B4-BE49-F238E27FC236}">
              <a16:creationId xmlns:a16="http://schemas.microsoft.com/office/drawing/2014/main" id="{76883933-22A8-F54A-00FF-B48C6F594D1B}"/>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extLst>
            <a:ext uri="{96DAC541-7B7A-43D3-8B79-37D633B846F1}">
              <asvg:svgBlip xmlns:asvg="http://schemas.microsoft.com/office/drawing/2016/SVG/main" r:embed="rId2"/>
            </a:ext>
          </a:extLst>
        </a:blip>
        <a:stretch xmlns:a="http://schemas.openxmlformats.org/drawingml/2006/main">
          <a:fillRect/>
        </a:stretch>
      </cdr:blipFill>
      <cdr:spPr>
        <a:xfrm xmlns:a="http://schemas.openxmlformats.org/drawingml/2006/main">
          <a:off x="3740305" y="3217590"/>
          <a:ext cx="301752" cy="301752"/>
        </a:xfrm>
        <a:prstGeom xmlns:a="http://schemas.openxmlformats.org/drawingml/2006/main" prst="rect">
          <a:avLst/>
        </a:prstGeom>
      </cdr:spPr>
    </cdr:pic>
  </cdr:relSizeAnchor>
</c:userShapes>
</file>

<file path=xl/drawings/drawing4.xml><?xml version="1.0" encoding="utf-8"?>
<xdr:wsDr xmlns:xdr="http://schemas.openxmlformats.org/drawingml/2006/spreadsheetDrawing" xmlns:a="http://schemas.openxmlformats.org/drawingml/2006/main">
  <xdr:twoCellAnchor>
    <xdr:from>
      <xdr:col>0</xdr:col>
      <xdr:colOff>205488</xdr:colOff>
      <xdr:row>17</xdr:row>
      <xdr:rowOff>29653</xdr:rowOff>
    </xdr:from>
    <xdr:to>
      <xdr:col>0</xdr:col>
      <xdr:colOff>494338</xdr:colOff>
      <xdr:row>23</xdr:row>
      <xdr:rowOff>182112</xdr:rowOff>
    </xdr:to>
    <xdr:grpSp>
      <xdr:nvGrpSpPr>
        <xdr:cNvPr id="72" name="Group 71">
          <a:extLst>
            <a:ext uri="{FF2B5EF4-FFF2-40B4-BE49-F238E27FC236}">
              <a16:creationId xmlns:a16="http://schemas.microsoft.com/office/drawing/2014/main" id="{1C1EAA7D-4D08-403E-90AE-85AE8B7F5243}"/>
            </a:ext>
          </a:extLst>
        </xdr:cNvPr>
        <xdr:cNvGrpSpPr/>
      </xdr:nvGrpSpPr>
      <xdr:grpSpPr>
        <a:xfrm>
          <a:off x="205488" y="3268153"/>
          <a:ext cx="288850" cy="1295459"/>
          <a:chOff x="413419" y="4102758"/>
          <a:chExt cx="285386" cy="1937241"/>
        </a:xfrm>
      </xdr:grpSpPr>
      <xdr:sp macro="" textlink="">
        <xdr:nvSpPr>
          <xdr:cNvPr id="66" name="TextBox 65">
            <a:extLst>
              <a:ext uri="{FF2B5EF4-FFF2-40B4-BE49-F238E27FC236}">
                <a16:creationId xmlns:a16="http://schemas.microsoft.com/office/drawing/2014/main" id="{E0A29F7B-6EDA-4625-9BF0-2AC8CBAA3454}"/>
              </a:ext>
            </a:extLst>
          </xdr:cNvPr>
          <xdr:cNvSpPr txBox="1"/>
        </xdr:nvSpPr>
        <xdr:spPr>
          <a:xfrm>
            <a:off x="413419" y="4102758"/>
            <a:ext cx="285386" cy="1825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a:solidFill>
                  <a:schemeClr val="tx1">
                    <a:lumMod val="75000"/>
                    <a:lumOff val="25000"/>
                  </a:schemeClr>
                </a:solidFill>
                <a:latin typeface="Avenir Book" panose="020B0503020203020204" pitchFamily="34" charset="-78"/>
                <a:cs typeface="Avenir Book" panose="020B0503020203020204" pitchFamily="34" charset="-78"/>
              </a:rPr>
              <a:t>•</a:t>
            </a:r>
          </a:p>
        </xdr:txBody>
      </xdr:sp>
      <xdr:sp macro="" textlink="">
        <xdr:nvSpPr>
          <xdr:cNvPr id="67" name="TextBox 66">
            <a:extLst>
              <a:ext uri="{FF2B5EF4-FFF2-40B4-BE49-F238E27FC236}">
                <a16:creationId xmlns:a16="http://schemas.microsoft.com/office/drawing/2014/main" id="{77ADDF12-9550-4125-BA31-AD4F08394138}"/>
              </a:ext>
            </a:extLst>
          </xdr:cNvPr>
          <xdr:cNvSpPr txBox="1"/>
        </xdr:nvSpPr>
        <xdr:spPr>
          <a:xfrm>
            <a:off x="413419" y="4464485"/>
            <a:ext cx="285386" cy="1825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a:solidFill>
                  <a:schemeClr val="tx1">
                    <a:lumMod val="75000"/>
                    <a:lumOff val="25000"/>
                  </a:schemeClr>
                </a:solidFill>
                <a:latin typeface="Avenir Book" panose="020B0503020203020204" pitchFamily="34" charset="-78"/>
                <a:cs typeface="Avenir Book" panose="020B0503020203020204" pitchFamily="34" charset="-78"/>
              </a:rPr>
              <a:t>•</a:t>
            </a:r>
          </a:p>
        </xdr:txBody>
      </xdr:sp>
      <xdr:sp macro="" textlink="">
        <xdr:nvSpPr>
          <xdr:cNvPr id="68" name="TextBox 67">
            <a:extLst>
              <a:ext uri="{FF2B5EF4-FFF2-40B4-BE49-F238E27FC236}">
                <a16:creationId xmlns:a16="http://schemas.microsoft.com/office/drawing/2014/main" id="{7686CD9A-260C-4CA3-A8A6-C4F39B649687}"/>
              </a:ext>
            </a:extLst>
          </xdr:cNvPr>
          <xdr:cNvSpPr txBox="1"/>
        </xdr:nvSpPr>
        <xdr:spPr>
          <a:xfrm>
            <a:off x="413419" y="4823178"/>
            <a:ext cx="285386" cy="1825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a:solidFill>
                  <a:schemeClr val="tx1">
                    <a:lumMod val="75000"/>
                    <a:lumOff val="25000"/>
                  </a:schemeClr>
                </a:solidFill>
                <a:latin typeface="Avenir Book" panose="020B0503020203020204" pitchFamily="34" charset="-78"/>
                <a:cs typeface="Avenir Book" panose="020B0503020203020204" pitchFamily="34" charset="-78"/>
              </a:rPr>
              <a:t>•</a:t>
            </a:r>
          </a:p>
        </xdr:txBody>
      </xdr:sp>
      <xdr:sp macro="" textlink="">
        <xdr:nvSpPr>
          <xdr:cNvPr id="69" name="TextBox 68">
            <a:extLst>
              <a:ext uri="{FF2B5EF4-FFF2-40B4-BE49-F238E27FC236}">
                <a16:creationId xmlns:a16="http://schemas.microsoft.com/office/drawing/2014/main" id="{EE172D8C-5B5C-4FBA-9E16-A9B23590E41F}"/>
              </a:ext>
            </a:extLst>
          </xdr:cNvPr>
          <xdr:cNvSpPr txBox="1"/>
        </xdr:nvSpPr>
        <xdr:spPr>
          <a:xfrm>
            <a:off x="413419" y="5178032"/>
            <a:ext cx="285386" cy="1825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a:solidFill>
                  <a:schemeClr val="tx1">
                    <a:lumMod val="75000"/>
                    <a:lumOff val="25000"/>
                  </a:schemeClr>
                </a:solidFill>
                <a:latin typeface="Avenir Book" panose="020B0503020203020204" pitchFamily="34" charset="-78"/>
                <a:cs typeface="Avenir Book" panose="020B0503020203020204" pitchFamily="34" charset="-78"/>
              </a:rPr>
              <a:t>•</a:t>
            </a:r>
          </a:p>
        </xdr:txBody>
      </xdr:sp>
      <xdr:sp macro="" textlink="">
        <xdr:nvSpPr>
          <xdr:cNvPr id="70" name="TextBox 69">
            <a:extLst>
              <a:ext uri="{FF2B5EF4-FFF2-40B4-BE49-F238E27FC236}">
                <a16:creationId xmlns:a16="http://schemas.microsoft.com/office/drawing/2014/main" id="{9AABF136-FCC0-4F4B-878B-93690949F517}"/>
              </a:ext>
            </a:extLst>
          </xdr:cNvPr>
          <xdr:cNvSpPr txBox="1"/>
        </xdr:nvSpPr>
        <xdr:spPr>
          <a:xfrm>
            <a:off x="413419" y="5525920"/>
            <a:ext cx="285386" cy="1825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a:solidFill>
                  <a:schemeClr val="tx1">
                    <a:lumMod val="75000"/>
                    <a:lumOff val="25000"/>
                  </a:schemeClr>
                </a:solidFill>
                <a:latin typeface="Avenir Book" panose="020B0503020203020204" pitchFamily="34" charset="-78"/>
                <a:cs typeface="Avenir Book" panose="020B0503020203020204" pitchFamily="34" charset="-78"/>
              </a:rPr>
              <a:t>•</a:t>
            </a:r>
          </a:p>
        </xdr:txBody>
      </xdr:sp>
      <xdr:sp macro="" textlink="">
        <xdr:nvSpPr>
          <xdr:cNvPr id="71" name="TextBox 70">
            <a:extLst>
              <a:ext uri="{FF2B5EF4-FFF2-40B4-BE49-F238E27FC236}">
                <a16:creationId xmlns:a16="http://schemas.microsoft.com/office/drawing/2014/main" id="{CBA35997-8F31-4AB6-B38D-38E18B3EB58C}"/>
              </a:ext>
            </a:extLst>
          </xdr:cNvPr>
          <xdr:cNvSpPr txBox="1"/>
        </xdr:nvSpPr>
        <xdr:spPr>
          <a:xfrm>
            <a:off x="413419" y="5857426"/>
            <a:ext cx="285386" cy="1825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a:solidFill>
                  <a:schemeClr val="tx1">
                    <a:lumMod val="75000"/>
                    <a:lumOff val="25000"/>
                  </a:schemeClr>
                </a:solidFill>
                <a:latin typeface="Avenir Book" panose="020B0503020203020204" pitchFamily="34" charset="-78"/>
                <a:cs typeface="Avenir Book" panose="020B0503020203020204" pitchFamily="34" charset="-78"/>
              </a:rPr>
              <a:t>•</a:t>
            </a:r>
          </a:p>
        </xdr:txBody>
      </xdr:sp>
    </xdr:grpSp>
    <xdr:clientData/>
  </xdr:twoCellAnchor>
  <xdr:twoCellAnchor>
    <xdr:from>
      <xdr:col>0</xdr:col>
      <xdr:colOff>380806</xdr:colOff>
      <xdr:row>25</xdr:row>
      <xdr:rowOff>139348</xdr:rowOff>
    </xdr:from>
    <xdr:to>
      <xdr:col>6</xdr:col>
      <xdr:colOff>246887</xdr:colOff>
      <xdr:row>42</xdr:row>
      <xdr:rowOff>176972</xdr:rowOff>
    </xdr:to>
    <xdr:grpSp>
      <xdr:nvGrpSpPr>
        <xdr:cNvPr id="632" name="Group 631">
          <a:extLst>
            <a:ext uri="{FF2B5EF4-FFF2-40B4-BE49-F238E27FC236}">
              <a16:creationId xmlns:a16="http://schemas.microsoft.com/office/drawing/2014/main" id="{4D7AAA19-CAB7-9E4F-9054-F645FF7939A7}"/>
            </a:ext>
          </a:extLst>
        </xdr:cNvPr>
        <xdr:cNvGrpSpPr/>
      </xdr:nvGrpSpPr>
      <xdr:grpSpPr>
        <a:xfrm>
          <a:off x="380806" y="4901848"/>
          <a:ext cx="3523681" cy="3276124"/>
          <a:chOff x="232823" y="5457923"/>
          <a:chExt cx="3540010" cy="3276124"/>
        </a:xfrm>
      </xdr:grpSpPr>
      <xdr:graphicFrame macro="">
        <xdr:nvGraphicFramePr>
          <xdr:cNvPr id="25" name="Chart 24">
            <a:extLst>
              <a:ext uri="{FF2B5EF4-FFF2-40B4-BE49-F238E27FC236}">
                <a16:creationId xmlns:a16="http://schemas.microsoft.com/office/drawing/2014/main" id="{6E509052-3E7F-46B9-B481-39F1280A28F4}"/>
              </a:ext>
            </a:extLst>
          </xdr:cNvPr>
          <xdr:cNvGraphicFramePr>
            <a:graphicFrameLocks/>
          </xdr:cNvGraphicFramePr>
        </xdr:nvGraphicFramePr>
        <xdr:xfrm>
          <a:off x="232823" y="5457923"/>
          <a:ext cx="3540010" cy="3276124"/>
        </xdr:xfrm>
        <a:graphic>
          <a:graphicData uri="http://schemas.openxmlformats.org/drawingml/2006/chart">
            <c:chart xmlns:c="http://schemas.openxmlformats.org/drawingml/2006/chart" xmlns:r="http://schemas.openxmlformats.org/officeDocument/2006/relationships" r:id="rId1"/>
          </a:graphicData>
        </a:graphic>
      </xdr:graphicFrame>
      <xdr:sp macro="" textlink="'Pivot Tables'!BY5">
        <xdr:nvSpPr>
          <xdr:cNvPr id="26" name="TextBox 25">
            <a:extLst>
              <a:ext uri="{FF2B5EF4-FFF2-40B4-BE49-F238E27FC236}">
                <a16:creationId xmlns:a16="http://schemas.microsoft.com/office/drawing/2014/main" id="{3ADF9834-A883-4E19-BE01-920A87FDFACD}"/>
              </a:ext>
            </a:extLst>
          </xdr:cNvPr>
          <xdr:cNvSpPr txBox="1"/>
        </xdr:nvSpPr>
        <xdr:spPr>
          <a:xfrm>
            <a:off x="1339700" y="6413372"/>
            <a:ext cx="1332531" cy="6732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26B249B9-7FFD-456E-83DB-DA7D545B5525}" type="TxLink">
              <a:rPr lang="en-US" sz="4800" b="0" i="0" u="none" strike="noStrike">
                <a:solidFill>
                  <a:schemeClr val="bg1"/>
                </a:solidFill>
                <a:latin typeface="Avenir Light" panose="020B0403020203020204" pitchFamily="34" charset="-78"/>
                <a:ea typeface="+mn-ea"/>
                <a:cs typeface="Avenir Light" panose="020B0403020203020204" pitchFamily="34" charset="-78"/>
              </a:rPr>
              <a:pPr marL="0" indent="0" algn="ctr"/>
              <a:t>73%</a:t>
            </a:fld>
            <a:endParaRPr lang="en-US" sz="4800" b="0" i="0" u="none" strike="noStrike">
              <a:solidFill>
                <a:schemeClr val="bg1"/>
              </a:solidFill>
              <a:latin typeface="Avenir Light" panose="020B0403020203020204" pitchFamily="34" charset="-78"/>
              <a:ea typeface="+mn-ea"/>
              <a:cs typeface="Avenir Light" panose="020B0403020203020204" pitchFamily="34" charset="-78"/>
            </a:endParaRPr>
          </a:p>
        </xdr:txBody>
      </xdr:sp>
      <xdr:sp macro="" textlink="">
        <xdr:nvSpPr>
          <xdr:cNvPr id="27" name="TextBox 26">
            <a:extLst>
              <a:ext uri="{FF2B5EF4-FFF2-40B4-BE49-F238E27FC236}">
                <a16:creationId xmlns:a16="http://schemas.microsoft.com/office/drawing/2014/main" id="{735AAE46-7BC4-4206-9E7B-5D8A21D93B3D}"/>
              </a:ext>
            </a:extLst>
          </xdr:cNvPr>
          <xdr:cNvSpPr txBox="1"/>
        </xdr:nvSpPr>
        <xdr:spPr>
          <a:xfrm>
            <a:off x="1280170" y="7103931"/>
            <a:ext cx="1445315" cy="6732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200" b="0" i="0" u="none" strike="noStrike">
                <a:solidFill>
                  <a:schemeClr val="bg1"/>
                </a:solidFill>
                <a:latin typeface="Avenir Light" panose="020B0403020203020204" pitchFamily="34" charset="-78"/>
                <a:ea typeface="+mn-ea"/>
                <a:cs typeface="Avenir Light" panose="020B0403020203020204" pitchFamily="34" charset="-78"/>
              </a:rPr>
              <a:t>Sales</a:t>
            </a:r>
            <a:r>
              <a:rPr lang="en-US" sz="1200" b="0" i="0" u="none" strike="noStrike" baseline="0">
                <a:solidFill>
                  <a:schemeClr val="bg1"/>
                </a:solidFill>
                <a:latin typeface="Avenir Light" panose="020B0403020203020204" pitchFamily="34" charset="-78"/>
                <a:ea typeface="+mn-ea"/>
                <a:cs typeface="Avenir Light" panose="020B0403020203020204" pitchFamily="34" charset="-78"/>
              </a:rPr>
              <a:t> Percentage </a:t>
            </a:r>
          </a:p>
          <a:p>
            <a:pPr marL="0" indent="0" algn="ctr"/>
            <a:r>
              <a:rPr lang="en-US" sz="1600" b="0" i="0" u="none" strike="noStrike" baseline="0">
                <a:solidFill>
                  <a:schemeClr val="bg1"/>
                </a:solidFill>
                <a:latin typeface="Avenir Light" panose="020B0403020203020204" pitchFamily="34" charset="-78"/>
                <a:ea typeface="+mn-ea"/>
                <a:cs typeface="Avenir Light" panose="020B0403020203020204" pitchFamily="34" charset="-78"/>
              </a:rPr>
              <a:t>Achieved</a:t>
            </a:r>
            <a:endParaRPr lang="en-US" sz="1600" b="0" i="0" u="none" strike="noStrike">
              <a:solidFill>
                <a:schemeClr val="bg1"/>
              </a:solidFill>
              <a:latin typeface="Avenir Light" panose="020B0403020203020204" pitchFamily="34" charset="-78"/>
              <a:ea typeface="+mn-ea"/>
              <a:cs typeface="Avenir Light" panose="020B0403020203020204" pitchFamily="34" charset="-78"/>
            </a:endParaRPr>
          </a:p>
        </xdr:txBody>
      </xdr:sp>
    </xdr:grpSp>
    <xdr:clientData/>
  </xdr:twoCellAnchor>
  <xdr:twoCellAnchor>
    <xdr:from>
      <xdr:col>18</xdr:col>
      <xdr:colOff>150460</xdr:colOff>
      <xdr:row>21</xdr:row>
      <xdr:rowOff>148609</xdr:rowOff>
    </xdr:from>
    <xdr:to>
      <xdr:col>19</xdr:col>
      <xdr:colOff>122508</xdr:colOff>
      <xdr:row>24</xdr:row>
      <xdr:rowOff>162326</xdr:rowOff>
    </xdr:to>
    <xdr:grpSp>
      <xdr:nvGrpSpPr>
        <xdr:cNvPr id="134" name="Group 133">
          <a:extLst>
            <a:ext uri="{FF2B5EF4-FFF2-40B4-BE49-F238E27FC236}">
              <a16:creationId xmlns:a16="http://schemas.microsoft.com/office/drawing/2014/main" id="{56A506A4-B4DD-F0B2-FF67-C7CFF8036AF1}"/>
            </a:ext>
          </a:extLst>
        </xdr:cNvPr>
        <xdr:cNvGrpSpPr/>
      </xdr:nvGrpSpPr>
      <xdr:grpSpPr>
        <a:xfrm>
          <a:off x="11123260" y="4149109"/>
          <a:ext cx="581648" cy="585217"/>
          <a:chOff x="10843297" y="4839743"/>
          <a:chExt cx="582333" cy="583167"/>
        </a:xfrm>
      </xdr:grpSpPr>
      <xdr:sp macro="" textlink="'Pivot Tables'!BG5">
        <xdr:nvSpPr>
          <xdr:cNvPr id="130" name="TextBox 129">
            <a:extLst>
              <a:ext uri="{FF2B5EF4-FFF2-40B4-BE49-F238E27FC236}">
                <a16:creationId xmlns:a16="http://schemas.microsoft.com/office/drawing/2014/main" id="{CA08F6CF-BCCC-E277-CEE7-FCFD227A8349}"/>
              </a:ext>
            </a:extLst>
          </xdr:cNvPr>
          <xdr:cNvSpPr txBox="1"/>
        </xdr:nvSpPr>
        <xdr:spPr>
          <a:xfrm>
            <a:off x="10843297" y="4839743"/>
            <a:ext cx="582333" cy="5831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D4FB584-E81E-4D68-9837-BA0A77D11F11}" type="TxLink">
              <a:rPr lang="en-US" sz="1600" b="0" i="0" u="none" strike="noStrike">
                <a:solidFill>
                  <a:srgbClr val="C240DB"/>
                </a:solidFill>
                <a:latin typeface="Calibri"/>
                <a:ea typeface="Calibri"/>
                <a:cs typeface="Calibri"/>
              </a:rPr>
              <a:pPr algn="ctr"/>
              <a:t>•</a:t>
            </a:fld>
            <a:endParaRPr lang="en-IN" sz="1100"/>
          </a:p>
        </xdr:txBody>
      </xdr:sp>
      <xdr:sp macro="" textlink="'Pivot Tables'!BI5">
        <xdr:nvSpPr>
          <xdr:cNvPr id="131" name="TextBox 130">
            <a:extLst>
              <a:ext uri="{FF2B5EF4-FFF2-40B4-BE49-F238E27FC236}">
                <a16:creationId xmlns:a16="http://schemas.microsoft.com/office/drawing/2014/main" id="{5EE67A59-74FC-41BE-9589-98EFE3A34CE1}"/>
              </a:ext>
            </a:extLst>
          </xdr:cNvPr>
          <xdr:cNvSpPr txBox="1"/>
        </xdr:nvSpPr>
        <xdr:spPr>
          <a:xfrm>
            <a:off x="10843297" y="4839743"/>
            <a:ext cx="582332" cy="5831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DF99237-F408-4176-AA72-24DC2FFEB5CC}" type="TxLink">
              <a:rPr lang="en-US" sz="1600" b="0" i="0" u="none" strike="noStrike">
                <a:solidFill>
                  <a:srgbClr val="0F11A7"/>
                </a:solidFill>
                <a:latin typeface="Calibri"/>
                <a:ea typeface="Calibri"/>
                <a:cs typeface="Calibri"/>
              </a:rPr>
              <a:pPr algn="ctr"/>
              <a:t> </a:t>
            </a:fld>
            <a:endParaRPr lang="en-IN" sz="1100"/>
          </a:p>
        </xdr:txBody>
      </xdr:sp>
    </xdr:grpSp>
    <xdr:clientData/>
  </xdr:twoCellAnchor>
  <xdr:twoCellAnchor>
    <xdr:from>
      <xdr:col>18</xdr:col>
      <xdr:colOff>433638</xdr:colOff>
      <xdr:row>22</xdr:row>
      <xdr:rowOff>47666</xdr:rowOff>
    </xdr:from>
    <xdr:to>
      <xdr:col>19</xdr:col>
      <xdr:colOff>405686</xdr:colOff>
      <xdr:row>25</xdr:row>
      <xdr:rowOff>66177</xdr:rowOff>
    </xdr:to>
    <xdr:grpSp>
      <xdr:nvGrpSpPr>
        <xdr:cNvPr id="135" name="Group 134">
          <a:extLst>
            <a:ext uri="{FF2B5EF4-FFF2-40B4-BE49-F238E27FC236}">
              <a16:creationId xmlns:a16="http://schemas.microsoft.com/office/drawing/2014/main" id="{21A3F47A-9913-09E7-AC30-645A8F2188E9}"/>
            </a:ext>
          </a:extLst>
        </xdr:cNvPr>
        <xdr:cNvGrpSpPr/>
      </xdr:nvGrpSpPr>
      <xdr:grpSpPr>
        <a:xfrm>
          <a:off x="11406438" y="4238666"/>
          <a:ext cx="581648" cy="590011"/>
          <a:chOff x="12511115" y="4846247"/>
          <a:chExt cx="582332" cy="583167"/>
        </a:xfrm>
      </xdr:grpSpPr>
      <xdr:sp macro="" textlink="'Pivot Tables'!BH5">
        <xdr:nvSpPr>
          <xdr:cNvPr id="132" name="TextBox 131">
            <a:extLst>
              <a:ext uri="{FF2B5EF4-FFF2-40B4-BE49-F238E27FC236}">
                <a16:creationId xmlns:a16="http://schemas.microsoft.com/office/drawing/2014/main" id="{D89101E2-3423-DB87-CADE-60579FF6C1D2}"/>
              </a:ext>
            </a:extLst>
          </xdr:cNvPr>
          <xdr:cNvSpPr txBox="1"/>
        </xdr:nvSpPr>
        <xdr:spPr>
          <a:xfrm>
            <a:off x="12511115" y="4846247"/>
            <a:ext cx="582332" cy="5831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64D5B34-B81D-46F6-A7AC-48DF71ADA724}" type="TxLink">
              <a:rPr lang="en-US" sz="1600" b="0" i="0" u="none" strike="noStrike">
                <a:solidFill>
                  <a:srgbClr val="5A097C"/>
                </a:solidFill>
                <a:latin typeface="Calibri"/>
                <a:ea typeface="Calibri"/>
                <a:cs typeface="Calibri"/>
              </a:rPr>
              <a:pPr algn="ctr"/>
              <a:t>•</a:t>
            </a:fld>
            <a:endParaRPr lang="en-IN" sz="1100"/>
          </a:p>
        </xdr:txBody>
      </xdr:sp>
      <xdr:sp macro="" textlink="'Pivot Tables'!BJ5">
        <xdr:nvSpPr>
          <xdr:cNvPr id="133" name="TextBox 132">
            <a:extLst>
              <a:ext uri="{FF2B5EF4-FFF2-40B4-BE49-F238E27FC236}">
                <a16:creationId xmlns:a16="http://schemas.microsoft.com/office/drawing/2014/main" id="{4FD17501-9A2A-250A-679F-9831F397874D}"/>
              </a:ext>
            </a:extLst>
          </xdr:cNvPr>
          <xdr:cNvSpPr txBox="1"/>
        </xdr:nvSpPr>
        <xdr:spPr>
          <a:xfrm>
            <a:off x="12511115" y="4846247"/>
            <a:ext cx="582332" cy="5831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AC9F9D1-FA7D-49F9-92A5-0A099FD88CB2}" type="TxLink">
              <a:rPr lang="en-US" sz="1600" b="0" i="0" u="none" strike="noStrike">
                <a:solidFill>
                  <a:srgbClr val="296EFC"/>
                </a:solidFill>
                <a:latin typeface="Calibri"/>
                <a:ea typeface="Calibri"/>
                <a:cs typeface="Calibri"/>
              </a:rPr>
              <a:pPr algn="ctr"/>
              <a:t> </a:t>
            </a:fld>
            <a:endParaRPr lang="en-IN" sz="1100"/>
          </a:p>
        </xdr:txBody>
      </xdr:sp>
    </xdr:grpSp>
    <xdr:clientData/>
  </xdr:twoCellAnchor>
  <xdr:twoCellAnchor>
    <xdr:from>
      <xdr:col>18</xdr:col>
      <xdr:colOff>435648</xdr:colOff>
      <xdr:row>22</xdr:row>
      <xdr:rowOff>141705</xdr:rowOff>
    </xdr:from>
    <xdr:to>
      <xdr:col>19</xdr:col>
      <xdr:colOff>407696</xdr:colOff>
      <xdr:row>25</xdr:row>
      <xdr:rowOff>160215</xdr:rowOff>
    </xdr:to>
    <xdr:grpSp>
      <xdr:nvGrpSpPr>
        <xdr:cNvPr id="136" name="Group 135">
          <a:extLst>
            <a:ext uri="{FF2B5EF4-FFF2-40B4-BE49-F238E27FC236}">
              <a16:creationId xmlns:a16="http://schemas.microsoft.com/office/drawing/2014/main" id="{91A605D4-F151-4084-B071-6B389E099E38}"/>
            </a:ext>
          </a:extLst>
        </xdr:cNvPr>
        <xdr:cNvGrpSpPr/>
      </xdr:nvGrpSpPr>
      <xdr:grpSpPr>
        <a:xfrm>
          <a:off x="11408448" y="4332705"/>
          <a:ext cx="581648" cy="590010"/>
          <a:chOff x="12511115" y="4846247"/>
          <a:chExt cx="582332" cy="583167"/>
        </a:xfrm>
      </xdr:grpSpPr>
      <xdr:sp macro="" textlink="'Pivot Tables'!BH5">
        <xdr:nvSpPr>
          <xdr:cNvPr id="137" name="TextBox 136">
            <a:extLst>
              <a:ext uri="{FF2B5EF4-FFF2-40B4-BE49-F238E27FC236}">
                <a16:creationId xmlns:a16="http://schemas.microsoft.com/office/drawing/2014/main" id="{2930CB23-8BB2-D4B7-4B28-2312E8EF3EE5}"/>
              </a:ext>
            </a:extLst>
          </xdr:cNvPr>
          <xdr:cNvSpPr txBox="1"/>
        </xdr:nvSpPr>
        <xdr:spPr>
          <a:xfrm>
            <a:off x="12511115" y="4846247"/>
            <a:ext cx="582332" cy="5831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64D5B34-B81D-46F6-A7AC-48DF71ADA724}" type="TxLink">
              <a:rPr lang="en-US" sz="1600" b="0" i="0" u="none" strike="noStrike">
                <a:solidFill>
                  <a:srgbClr val="5A097C"/>
                </a:solidFill>
                <a:latin typeface="Calibri"/>
                <a:ea typeface="Calibri"/>
                <a:cs typeface="Calibri"/>
              </a:rPr>
              <a:pPr algn="ctr"/>
              <a:t>•</a:t>
            </a:fld>
            <a:endParaRPr lang="en-IN" sz="1100"/>
          </a:p>
        </xdr:txBody>
      </xdr:sp>
      <xdr:sp macro="" textlink="'Pivot Tables'!BJ5">
        <xdr:nvSpPr>
          <xdr:cNvPr id="138" name="TextBox 137">
            <a:extLst>
              <a:ext uri="{FF2B5EF4-FFF2-40B4-BE49-F238E27FC236}">
                <a16:creationId xmlns:a16="http://schemas.microsoft.com/office/drawing/2014/main" id="{ED7361C0-2948-DBD0-F915-5C0EFB0B5C8E}"/>
              </a:ext>
            </a:extLst>
          </xdr:cNvPr>
          <xdr:cNvSpPr txBox="1"/>
        </xdr:nvSpPr>
        <xdr:spPr>
          <a:xfrm>
            <a:off x="12511115" y="4846247"/>
            <a:ext cx="582332" cy="5831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AC9F9D1-FA7D-49F9-92A5-0A099FD88CB2}" type="TxLink">
              <a:rPr lang="en-US" sz="1600" b="0" i="0" u="none" strike="noStrike">
                <a:solidFill>
                  <a:srgbClr val="296EFC"/>
                </a:solidFill>
                <a:latin typeface="Calibri"/>
                <a:ea typeface="Calibri"/>
                <a:cs typeface="Calibri"/>
              </a:rPr>
              <a:pPr algn="ctr"/>
              <a:t> </a:t>
            </a:fld>
            <a:endParaRPr lang="en-IN" sz="1100"/>
          </a:p>
        </xdr:txBody>
      </xdr:sp>
    </xdr:grpSp>
    <xdr:clientData/>
  </xdr:twoCellAnchor>
  <xdr:twoCellAnchor>
    <xdr:from>
      <xdr:col>18</xdr:col>
      <xdr:colOff>242144</xdr:colOff>
      <xdr:row>23</xdr:row>
      <xdr:rowOff>45427</xdr:rowOff>
    </xdr:from>
    <xdr:to>
      <xdr:col>19</xdr:col>
      <xdr:colOff>217315</xdr:colOff>
      <xdr:row>26</xdr:row>
      <xdr:rowOff>73307</xdr:rowOff>
    </xdr:to>
    <xdr:grpSp>
      <xdr:nvGrpSpPr>
        <xdr:cNvPr id="139" name="Group 138">
          <a:extLst>
            <a:ext uri="{FF2B5EF4-FFF2-40B4-BE49-F238E27FC236}">
              <a16:creationId xmlns:a16="http://schemas.microsoft.com/office/drawing/2014/main" id="{6851E8A6-A99A-4A0E-BE92-B65726E50062}"/>
            </a:ext>
          </a:extLst>
        </xdr:cNvPr>
        <xdr:cNvGrpSpPr/>
      </xdr:nvGrpSpPr>
      <xdr:grpSpPr>
        <a:xfrm>
          <a:off x="11214944" y="4426927"/>
          <a:ext cx="584771" cy="599380"/>
          <a:chOff x="12511115" y="4836986"/>
          <a:chExt cx="585462" cy="592428"/>
        </a:xfrm>
      </xdr:grpSpPr>
      <xdr:sp macro="" textlink="'Pivot Tables'!BH5">
        <xdr:nvSpPr>
          <xdr:cNvPr id="140" name="TextBox 139">
            <a:extLst>
              <a:ext uri="{FF2B5EF4-FFF2-40B4-BE49-F238E27FC236}">
                <a16:creationId xmlns:a16="http://schemas.microsoft.com/office/drawing/2014/main" id="{97779636-2A22-54BB-4094-DFF711D35B18}"/>
              </a:ext>
            </a:extLst>
          </xdr:cNvPr>
          <xdr:cNvSpPr txBox="1"/>
        </xdr:nvSpPr>
        <xdr:spPr>
          <a:xfrm>
            <a:off x="12511115" y="4846247"/>
            <a:ext cx="582332" cy="5831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64D5B34-B81D-46F6-A7AC-48DF71ADA724}" type="TxLink">
              <a:rPr lang="en-US" sz="1600" b="0" i="0" u="none" strike="noStrike">
                <a:solidFill>
                  <a:srgbClr val="5A097C"/>
                </a:solidFill>
                <a:latin typeface="Calibri"/>
                <a:ea typeface="Calibri"/>
                <a:cs typeface="Calibri"/>
              </a:rPr>
              <a:pPr algn="ctr"/>
              <a:t>•</a:t>
            </a:fld>
            <a:endParaRPr lang="en-IN" sz="1100"/>
          </a:p>
        </xdr:txBody>
      </xdr:sp>
      <xdr:sp macro="" textlink="'Pivot Tables'!BJ5">
        <xdr:nvSpPr>
          <xdr:cNvPr id="141" name="TextBox 140">
            <a:extLst>
              <a:ext uri="{FF2B5EF4-FFF2-40B4-BE49-F238E27FC236}">
                <a16:creationId xmlns:a16="http://schemas.microsoft.com/office/drawing/2014/main" id="{7346A5DA-0CAD-A9C4-4145-6AB803C58835}"/>
              </a:ext>
            </a:extLst>
          </xdr:cNvPr>
          <xdr:cNvSpPr txBox="1"/>
        </xdr:nvSpPr>
        <xdr:spPr>
          <a:xfrm>
            <a:off x="12514245" y="4836986"/>
            <a:ext cx="582332" cy="5831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AC9F9D1-FA7D-49F9-92A5-0A099FD88CB2}" type="TxLink">
              <a:rPr lang="en-US" sz="1600" b="0" i="0" u="none" strike="noStrike">
                <a:solidFill>
                  <a:srgbClr val="296EFC"/>
                </a:solidFill>
                <a:latin typeface="Calibri"/>
                <a:ea typeface="Calibri"/>
                <a:cs typeface="Calibri"/>
              </a:rPr>
              <a:pPr algn="ctr"/>
              <a:t> </a:t>
            </a:fld>
            <a:endParaRPr lang="en-IN" sz="1100"/>
          </a:p>
        </xdr:txBody>
      </xdr:sp>
    </xdr:grpSp>
    <xdr:clientData/>
  </xdr:twoCellAnchor>
  <xdr:twoCellAnchor>
    <xdr:from>
      <xdr:col>18</xdr:col>
      <xdr:colOff>338169</xdr:colOff>
      <xdr:row>24</xdr:row>
      <xdr:rowOff>40530</xdr:rowOff>
    </xdr:from>
    <xdr:to>
      <xdr:col>19</xdr:col>
      <xdr:colOff>316463</xdr:colOff>
      <xdr:row>27</xdr:row>
      <xdr:rowOff>65287</xdr:rowOff>
    </xdr:to>
    <xdr:grpSp>
      <xdr:nvGrpSpPr>
        <xdr:cNvPr id="142" name="Group 141">
          <a:extLst>
            <a:ext uri="{FF2B5EF4-FFF2-40B4-BE49-F238E27FC236}">
              <a16:creationId xmlns:a16="http://schemas.microsoft.com/office/drawing/2014/main" id="{8E500801-41EB-4A64-B7E5-490213690123}"/>
            </a:ext>
          </a:extLst>
        </xdr:cNvPr>
        <xdr:cNvGrpSpPr/>
      </xdr:nvGrpSpPr>
      <xdr:grpSpPr>
        <a:xfrm>
          <a:off x="11310969" y="4612530"/>
          <a:ext cx="587894" cy="596257"/>
          <a:chOff x="12504855" y="4840073"/>
          <a:chExt cx="588592" cy="589341"/>
        </a:xfrm>
      </xdr:grpSpPr>
      <xdr:sp macro="" textlink="'Pivot Tables'!BH5">
        <xdr:nvSpPr>
          <xdr:cNvPr id="143" name="TextBox 142">
            <a:extLst>
              <a:ext uri="{FF2B5EF4-FFF2-40B4-BE49-F238E27FC236}">
                <a16:creationId xmlns:a16="http://schemas.microsoft.com/office/drawing/2014/main" id="{3D3CF679-8513-A25C-1224-44E255F6B4B7}"/>
              </a:ext>
            </a:extLst>
          </xdr:cNvPr>
          <xdr:cNvSpPr txBox="1"/>
        </xdr:nvSpPr>
        <xdr:spPr>
          <a:xfrm>
            <a:off x="12511115" y="4846247"/>
            <a:ext cx="582332" cy="5831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64D5B34-B81D-46F6-A7AC-48DF71ADA724}" type="TxLink">
              <a:rPr lang="en-US" sz="1600" b="0" i="0" u="none" strike="noStrike">
                <a:solidFill>
                  <a:srgbClr val="5A097C"/>
                </a:solidFill>
                <a:latin typeface="Calibri"/>
                <a:ea typeface="Calibri"/>
                <a:cs typeface="Calibri"/>
              </a:rPr>
              <a:pPr algn="ctr"/>
              <a:t>•</a:t>
            </a:fld>
            <a:endParaRPr lang="en-IN" sz="1100"/>
          </a:p>
        </xdr:txBody>
      </xdr:sp>
      <xdr:sp macro="" textlink="'Pivot Tables'!BJ5">
        <xdr:nvSpPr>
          <xdr:cNvPr id="144" name="TextBox 143">
            <a:extLst>
              <a:ext uri="{FF2B5EF4-FFF2-40B4-BE49-F238E27FC236}">
                <a16:creationId xmlns:a16="http://schemas.microsoft.com/office/drawing/2014/main" id="{76D58C0F-F4C4-1153-5D6A-40C2EC8F750A}"/>
              </a:ext>
            </a:extLst>
          </xdr:cNvPr>
          <xdr:cNvSpPr txBox="1"/>
        </xdr:nvSpPr>
        <xdr:spPr>
          <a:xfrm>
            <a:off x="12504855" y="4840073"/>
            <a:ext cx="582332" cy="5831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AC9F9D1-FA7D-49F9-92A5-0A099FD88CB2}" type="TxLink">
              <a:rPr lang="en-US" sz="1600" b="0" i="0" u="none" strike="noStrike">
                <a:solidFill>
                  <a:srgbClr val="296EFC"/>
                </a:solidFill>
                <a:latin typeface="Calibri"/>
                <a:ea typeface="Calibri"/>
                <a:cs typeface="Calibri"/>
              </a:rPr>
              <a:pPr algn="ctr"/>
              <a:t> </a:t>
            </a:fld>
            <a:endParaRPr lang="en-IN" sz="1100"/>
          </a:p>
        </xdr:txBody>
      </xdr:sp>
    </xdr:grpSp>
    <xdr:clientData/>
  </xdr:twoCellAnchor>
  <xdr:twoCellAnchor>
    <xdr:from>
      <xdr:col>17</xdr:col>
      <xdr:colOff>568894</xdr:colOff>
      <xdr:row>23</xdr:row>
      <xdr:rowOff>138348</xdr:rowOff>
    </xdr:from>
    <xdr:to>
      <xdr:col>18</xdr:col>
      <xdr:colOff>544066</xdr:colOff>
      <xdr:row>26</xdr:row>
      <xdr:rowOff>166229</xdr:rowOff>
    </xdr:to>
    <xdr:grpSp>
      <xdr:nvGrpSpPr>
        <xdr:cNvPr id="145" name="Group 144">
          <a:extLst>
            <a:ext uri="{FF2B5EF4-FFF2-40B4-BE49-F238E27FC236}">
              <a16:creationId xmlns:a16="http://schemas.microsoft.com/office/drawing/2014/main" id="{5C39095A-F1FA-4AAB-BEB1-DB41C150DE73}"/>
            </a:ext>
          </a:extLst>
        </xdr:cNvPr>
        <xdr:cNvGrpSpPr/>
      </xdr:nvGrpSpPr>
      <xdr:grpSpPr>
        <a:xfrm>
          <a:off x="10932094" y="4519848"/>
          <a:ext cx="584772" cy="599381"/>
          <a:chOff x="12507985" y="4836986"/>
          <a:chExt cx="585462" cy="592428"/>
        </a:xfrm>
      </xdr:grpSpPr>
      <xdr:sp macro="" textlink="'Pivot Tables'!BH5">
        <xdr:nvSpPr>
          <xdr:cNvPr id="146" name="TextBox 145">
            <a:extLst>
              <a:ext uri="{FF2B5EF4-FFF2-40B4-BE49-F238E27FC236}">
                <a16:creationId xmlns:a16="http://schemas.microsoft.com/office/drawing/2014/main" id="{3234E7E7-B436-D02B-1572-CBBE8C35D958}"/>
              </a:ext>
            </a:extLst>
          </xdr:cNvPr>
          <xdr:cNvSpPr txBox="1"/>
        </xdr:nvSpPr>
        <xdr:spPr>
          <a:xfrm>
            <a:off x="12511115" y="4846247"/>
            <a:ext cx="582332" cy="5831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64D5B34-B81D-46F6-A7AC-48DF71ADA724}" type="TxLink">
              <a:rPr lang="en-US" sz="1600" b="0" i="0" u="none" strike="noStrike">
                <a:solidFill>
                  <a:srgbClr val="5A097C"/>
                </a:solidFill>
                <a:latin typeface="Calibri"/>
                <a:ea typeface="Calibri"/>
                <a:cs typeface="Calibri"/>
              </a:rPr>
              <a:pPr algn="ctr"/>
              <a:t>•</a:t>
            </a:fld>
            <a:endParaRPr lang="en-IN" sz="1100"/>
          </a:p>
        </xdr:txBody>
      </xdr:sp>
      <xdr:sp macro="" textlink="'Pivot Tables'!BJ5">
        <xdr:nvSpPr>
          <xdr:cNvPr id="147" name="TextBox 146">
            <a:extLst>
              <a:ext uri="{FF2B5EF4-FFF2-40B4-BE49-F238E27FC236}">
                <a16:creationId xmlns:a16="http://schemas.microsoft.com/office/drawing/2014/main" id="{420E60D0-0BD6-0207-F4D1-B3FB0ECD4603}"/>
              </a:ext>
            </a:extLst>
          </xdr:cNvPr>
          <xdr:cNvSpPr txBox="1"/>
        </xdr:nvSpPr>
        <xdr:spPr>
          <a:xfrm>
            <a:off x="12507985" y="4836986"/>
            <a:ext cx="582332" cy="5831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AC9F9D1-FA7D-49F9-92A5-0A099FD88CB2}" type="TxLink">
              <a:rPr lang="en-US" sz="1600" b="0" i="0" u="none" strike="noStrike">
                <a:solidFill>
                  <a:srgbClr val="296EFC"/>
                </a:solidFill>
                <a:latin typeface="Calibri"/>
                <a:ea typeface="Calibri"/>
                <a:cs typeface="Calibri"/>
              </a:rPr>
              <a:pPr algn="ctr"/>
              <a:t> </a:t>
            </a:fld>
            <a:endParaRPr lang="en-IN" sz="1100"/>
          </a:p>
        </xdr:txBody>
      </xdr:sp>
    </xdr:grpSp>
    <xdr:clientData/>
  </xdr:twoCellAnchor>
  <xdr:twoCellAnchor>
    <xdr:from>
      <xdr:col>17</xdr:col>
      <xdr:colOff>472529</xdr:colOff>
      <xdr:row>22</xdr:row>
      <xdr:rowOff>141592</xdr:rowOff>
    </xdr:from>
    <xdr:to>
      <xdr:col>18</xdr:col>
      <xdr:colOff>450824</xdr:colOff>
      <xdr:row>25</xdr:row>
      <xdr:rowOff>163225</xdr:rowOff>
    </xdr:to>
    <xdr:grpSp>
      <xdr:nvGrpSpPr>
        <xdr:cNvPr id="148" name="Group 147">
          <a:extLst>
            <a:ext uri="{FF2B5EF4-FFF2-40B4-BE49-F238E27FC236}">
              <a16:creationId xmlns:a16="http://schemas.microsoft.com/office/drawing/2014/main" id="{FD45CA40-3CCB-41F0-A64E-EB9A43BB9F33}"/>
            </a:ext>
          </a:extLst>
        </xdr:cNvPr>
        <xdr:cNvGrpSpPr/>
      </xdr:nvGrpSpPr>
      <xdr:grpSpPr>
        <a:xfrm>
          <a:off x="10835729" y="4332592"/>
          <a:ext cx="587895" cy="593133"/>
          <a:chOff x="12504855" y="4843160"/>
          <a:chExt cx="588592" cy="586254"/>
        </a:xfrm>
      </xdr:grpSpPr>
      <xdr:sp macro="" textlink="'Pivot Tables'!BH5">
        <xdr:nvSpPr>
          <xdr:cNvPr id="149" name="TextBox 148">
            <a:extLst>
              <a:ext uri="{FF2B5EF4-FFF2-40B4-BE49-F238E27FC236}">
                <a16:creationId xmlns:a16="http://schemas.microsoft.com/office/drawing/2014/main" id="{3660AA80-9CA4-1E29-B86F-278671C3EC26}"/>
              </a:ext>
            </a:extLst>
          </xdr:cNvPr>
          <xdr:cNvSpPr txBox="1"/>
        </xdr:nvSpPr>
        <xdr:spPr>
          <a:xfrm>
            <a:off x="12511115" y="4846247"/>
            <a:ext cx="582332" cy="5831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64D5B34-B81D-46F6-A7AC-48DF71ADA724}" type="TxLink">
              <a:rPr lang="en-US" sz="1600" b="0" i="0" u="none" strike="noStrike">
                <a:solidFill>
                  <a:srgbClr val="5A097C"/>
                </a:solidFill>
                <a:latin typeface="Calibri"/>
                <a:ea typeface="Calibri"/>
                <a:cs typeface="Calibri"/>
              </a:rPr>
              <a:pPr algn="ctr"/>
              <a:t>•</a:t>
            </a:fld>
            <a:endParaRPr lang="en-IN" sz="1100"/>
          </a:p>
        </xdr:txBody>
      </xdr:sp>
      <xdr:sp macro="" textlink="'Pivot Tables'!BJ5">
        <xdr:nvSpPr>
          <xdr:cNvPr id="150" name="TextBox 149">
            <a:extLst>
              <a:ext uri="{FF2B5EF4-FFF2-40B4-BE49-F238E27FC236}">
                <a16:creationId xmlns:a16="http://schemas.microsoft.com/office/drawing/2014/main" id="{E228612E-68F6-F8B2-F314-236AAFCBC540}"/>
              </a:ext>
            </a:extLst>
          </xdr:cNvPr>
          <xdr:cNvSpPr txBox="1"/>
        </xdr:nvSpPr>
        <xdr:spPr>
          <a:xfrm>
            <a:off x="12504855" y="4843160"/>
            <a:ext cx="582332" cy="5831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AC9F9D1-FA7D-49F9-92A5-0A099FD88CB2}" type="TxLink">
              <a:rPr lang="en-US" sz="1600" b="0" i="0" u="none" strike="noStrike">
                <a:solidFill>
                  <a:srgbClr val="296EFC"/>
                </a:solidFill>
                <a:latin typeface="Calibri"/>
                <a:ea typeface="Calibri"/>
                <a:cs typeface="Calibri"/>
              </a:rPr>
              <a:pPr algn="ctr"/>
              <a:t> </a:t>
            </a:fld>
            <a:endParaRPr lang="en-IN" sz="1100"/>
          </a:p>
        </xdr:txBody>
      </xdr:sp>
    </xdr:grpSp>
    <xdr:clientData/>
  </xdr:twoCellAnchor>
  <xdr:twoCellAnchor>
    <xdr:from>
      <xdr:col>18</xdr:col>
      <xdr:colOff>54660</xdr:colOff>
      <xdr:row>21</xdr:row>
      <xdr:rowOff>143597</xdr:rowOff>
    </xdr:from>
    <xdr:to>
      <xdr:col>19</xdr:col>
      <xdr:colOff>26708</xdr:colOff>
      <xdr:row>24</xdr:row>
      <xdr:rowOff>165232</xdr:rowOff>
    </xdr:to>
    <xdr:grpSp>
      <xdr:nvGrpSpPr>
        <xdr:cNvPr id="151" name="Group 150">
          <a:extLst>
            <a:ext uri="{FF2B5EF4-FFF2-40B4-BE49-F238E27FC236}">
              <a16:creationId xmlns:a16="http://schemas.microsoft.com/office/drawing/2014/main" id="{EA558FFC-AE40-4815-9DCE-564E0C38B2A4}"/>
            </a:ext>
          </a:extLst>
        </xdr:cNvPr>
        <xdr:cNvGrpSpPr/>
      </xdr:nvGrpSpPr>
      <xdr:grpSpPr>
        <a:xfrm>
          <a:off x="11027460" y="4144097"/>
          <a:ext cx="581648" cy="593135"/>
          <a:chOff x="12511115" y="4843160"/>
          <a:chExt cx="582332" cy="586254"/>
        </a:xfrm>
      </xdr:grpSpPr>
      <xdr:sp macro="" textlink="'Pivot Tables'!BH5">
        <xdr:nvSpPr>
          <xdr:cNvPr id="152" name="TextBox 151">
            <a:extLst>
              <a:ext uri="{FF2B5EF4-FFF2-40B4-BE49-F238E27FC236}">
                <a16:creationId xmlns:a16="http://schemas.microsoft.com/office/drawing/2014/main" id="{FBBCEC83-D084-BC79-8F24-108D77C980B6}"/>
              </a:ext>
            </a:extLst>
          </xdr:cNvPr>
          <xdr:cNvSpPr txBox="1"/>
        </xdr:nvSpPr>
        <xdr:spPr>
          <a:xfrm>
            <a:off x="12511115" y="4846247"/>
            <a:ext cx="582332" cy="5831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64D5B34-B81D-46F6-A7AC-48DF71ADA724}" type="TxLink">
              <a:rPr lang="en-US" sz="1600" b="0" i="0" u="none" strike="noStrike">
                <a:solidFill>
                  <a:srgbClr val="5A097C"/>
                </a:solidFill>
                <a:latin typeface="Calibri"/>
                <a:ea typeface="Calibri"/>
                <a:cs typeface="Calibri"/>
              </a:rPr>
              <a:pPr algn="ctr"/>
              <a:t>•</a:t>
            </a:fld>
            <a:endParaRPr lang="en-IN" sz="1100"/>
          </a:p>
        </xdr:txBody>
      </xdr:sp>
      <xdr:sp macro="" textlink="'Pivot Tables'!BJ5">
        <xdr:nvSpPr>
          <xdr:cNvPr id="153" name="TextBox 152">
            <a:extLst>
              <a:ext uri="{FF2B5EF4-FFF2-40B4-BE49-F238E27FC236}">
                <a16:creationId xmlns:a16="http://schemas.microsoft.com/office/drawing/2014/main" id="{8FC45941-C172-AD4A-4D8C-2D04373615BF}"/>
              </a:ext>
            </a:extLst>
          </xdr:cNvPr>
          <xdr:cNvSpPr txBox="1"/>
        </xdr:nvSpPr>
        <xdr:spPr>
          <a:xfrm>
            <a:off x="12511115" y="4843160"/>
            <a:ext cx="582332" cy="5831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AC9F9D1-FA7D-49F9-92A5-0A099FD88CB2}" type="TxLink">
              <a:rPr lang="en-US" sz="1600" b="0" i="0" u="none" strike="noStrike">
                <a:solidFill>
                  <a:srgbClr val="296EFC"/>
                </a:solidFill>
                <a:latin typeface="Calibri"/>
                <a:ea typeface="Calibri"/>
                <a:cs typeface="Calibri"/>
              </a:rPr>
              <a:pPr algn="ctr"/>
              <a:t> </a:t>
            </a:fld>
            <a:endParaRPr lang="en-IN" sz="1100"/>
          </a:p>
        </xdr:txBody>
      </xdr:sp>
    </xdr:grpSp>
    <xdr:clientData/>
  </xdr:twoCellAnchor>
  <xdr:twoCellAnchor>
    <xdr:from>
      <xdr:col>17</xdr:col>
      <xdr:colOff>379402</xdr:colOff>
      <xdr:row>20</xdr:row>
      <xdr:rowOff>144369</xdr:rowOff>
    </xdr:from>
    <xdr:to>
      <xdr:col>18</xdr:col>
      <xdr:colOff>354574</xdr:colOff>
      <xdr:row>23</xdr:row>
      <xdr:rowOff>172248</xdr:rowOff>
    </xdr:to>
    <xdr:grpSp>
      <xdr:nvGrpSpPr>
        <xdr:cNvPr id="154" name="Group 153">
          <a:extLst>
            <a:ext uri="{FF2B5EF4-FFF2-40B4-BE49-F238E27FC236}">
              <a16:creationId xmlns:a16="http://schemas.microsoft.com/office/drawing/2014/main" id="{78EBD46E-D209-4FA8-9E8C-DCCCB385081F}"/>
            </a:ext>
          </a:extLst>
        </xdr:cNvPr>
        <xdr:cNvGrpSpPr/>
      </xdr:nvGrpSpPr>
      <xdr:grpSpPr>
        <a:xfrm>
          <a:off x="10742602" y="3954369"/>
          <a:ext cx="584772" cy="599379"/>
          <a:chOff x="12507985" y="4836986"/>
          <a:chExt cx="585462" cy="592428"/>
        </a:xfrm>
      </xdr:grpSpPr>
      <xdr:sp macro="" textlink="'Pivot Tables'!BH5">
        <xdr:nvSpPr>
          <xdr:cNvPr id="155" name="TextBox 154">
            <a:extLst>
              <a:ext uri="{FF2B5EF4-FFF2-40B4-BE49-F238E27FC236}">
                <a16:creationId xmlns:a16="http://schemas.microsoft.com/office/drawing/2014/main" id="{0A165EF1-945F-02BB-DFB3-4B29F30DB148}"/>
              </a:ext>
            </a:extLst>
          </xdr:cNvPr>
          <xdr:cNvSpPr txBox="1"/>
        </xdr:nvSpPr>
        <xdr:spPr>
          <a:xfrm>
            <a:off x="12511115" y="4846247"/>
            <a:ext cx="582332" cy="5831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64D5B34-B81D-46F6-A7AC-48DF71ADA724}" type="TxLink">
              <a:rPr lang="en-US" sz="1600" b="0" i="0" u="none" strike="noStrike">
                <a:solidFill>
                  <a:srgbClr val="5A097C"/>
                </a:solidFill>
                <a:latin typeface="Calibri"/>
                <a:ea typeface="Calibri"/>
                <a:cs typeface="Calibri"/>
              </a:rPr>
              <a:pPr algn="ctr"/>
              <a:t>•</a:t>
            </a:fld>
            <a:endParaRPr lang="en-IN" sz="1100"/>
          </a:p>
        </xdr:txBody>
      </xdr:sp>
      <xdr:sp macro="" textlink="'Pivot Tables'!BJ5">
        <xdr:nvSpPr>
          <xdr:cNvPr id="156" name="TextBox 155">
            <a:extLst>
              <a:ext uri="{FF2B5EF4-FFF2-40B4-BE49-F238E27FC236}">
                <a16:creationId xmlns:a16="http://schemas.microsoft.com/office/drawing/2014/main" id="{5990DC21-DD03-AAB7-9648-CE1358FC15D3}"/>
              </a:ext>
            </a:extLst>
          </xdr:cNvPr>
          <xdr:cNvSpPr txBox="1"/>
        </xdr:nvSpPr>
        <xdr:spPr>
          <a:xfrm>
            <a:off x="12507985" y="4836986"/>
            <a:ext cx="582332" cy="5831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AC9F9D1-FA7D-49F9-92A5-0A099FD88CB2}" type="TxLink">
              <a:rPr lang="en-US" sz="1600" b="0" i="0" u="none" strike="noStrike">
                <a:solidFill>
                  <a:srgbClr val="296EFC"/>
                </a:solidFill>
                <a:latin typeface="Calibri"/>
                <a:ea typeface="Calibri"/>
                <a:cs typeface="Calibri"/>
              </a:rPr>
              <a:pPr algn="ctr"/>
              <a:t> </a:t>
            </a:fld>
            <a:endParaRPr lang="en-IN" sz="1100"/>
          </a:p>
        </xdr:txBody>
      </xdr:sp>
    </xdr:grpSp>
    <xdr:clientData/>
  </xdr:twoCellAnchor>
  <xdr:twoCellAnchor>
    <xdr:from>
      <xdr:col>18</xdr:col>
      <xdr:colOff>433832</xdr:colOff>
      <xdr:row>21</xdr:row>
      <xdr:rowOff>49180</xdr:rowOff>
    </xdr:from>
    <xdr:to>
      <xdr:col>19</xdr:col>
      <xdr:colOff>405880</xdr:colOff>
      <xdr:row>24</xdr:row>
      <xdr:rowOff>70814</xdr:rowOff>
    </xdr:to>
    <xdr:grpSp>
      <xdr:nvGrpSpPr>
        <xdr:cNvPr id="163" name="Group 162">
          <a:extLst>
            <a:ext uri="{FF2B5EF4-FFF2-40B4-BE49-F238E27FC236}">
              <a16:creationId xmlns:a16="http://schemas.microsoft.com/office/drawing/2014/main" id="{F6A2F0CC-BC35-41F7-BBDC-3199AE8BE34F}"/>
            </a:ext>
          </a:extLst>
        </xdr:cNvPr>
        <xdr:cNvGrpSpPr/>
      </xdr:nvGrpSpPr>
      <xdr:grpSpPr>
        <a:xfrm>
          <a:off x="11406632" y="4049680"/>
          <a:ext cx="581648" cy="593134"/>
          <a:chOff x="10843297" y="4836656"/>
          <a:chExt cx="582333" cy="586254"/>
        </a:xfrm>
      </xdr:grpSpPr>
      <xdr:sp macro="" textlink="'Pivot Tables'!BG5">
        <xdr:nvSpPr>
          <xdr:cNvPr id="164" name="TextBox 163">
            <a:extLst>
              <a:ext uri="{FF2B5EF4-FFF2-40B4-BE49-F238E27FC236}">
                <a16:creationId xmlns:a16="http://schemas.microsoft.com/office/drawing/2014/main" id="{320CA1B8-A00D-6D0E-17C0-8FAB3344C0CE}"/>
              </a:ext>
            </a:extLst>
          </xdr:cNvPr>
          <xdr:cNvSpPr txBox="1"/>
        </xdr:nvSpPr>
        <xdr:spPr>
          <a:xfrm>
            <a:off x="10843297" y="4839743"/>
            <a:ext cx="582333" cy="5831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D4FB584-E81E-4D68-9837-BA0A77D11F11}" type="TxLink">
              <a:rPr lang="en-US" sz="1600" b="0" i="0" u="none" strike="noStrike">
                <a:solidFill>
                  <a:srgbClr val="C240DB"/>
                </a:solidFill>
                <a:latin typeface="Calibri"/>
                <a:ea typeface="Calibri"/>
                <a:cs typeface="Calibri"/>
              </a:rPr>
              <a:pPr algn="ctr"/>
              <a:t>•</a:t>
            </a:fld>
            <a:endParaRPr lang="en-IN" sz="1100"/>
          </a:p>
        </xdr:txBody>
      </xdr:sp>
      <xdr:sp macro="" textlink="'Pivot Tables'!BI5">
        <xdr:nvSpPr>
          <xdr:cNvPr id="165" name="TextBox 164">
            <a:extLst>
              <a:ext uri="{FF2B5EF4-FFF2-40B4-BE49-F238E27FC236}">
                <a16:creationId xmlns:a16="http://schemas.microsoft.com/office/drawing/2014/main" id="{8FF62A46-C65B-E399-0267-1B3CBC05C1EA}"/>
              </a:ext>
            </a:extLst>
          </xdr:cNvPr>
          <xdr:cNvSpPr txBox="1"/>
        </xdr:nvSpPr>
        <xdr:spPr>
          <a:xfrm>
            <a:off x="10843297" y="4836656"/>
            <a:ext cx="582332" cy="5831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DF99237-F408-4176-AA72-24DC2FFEB5CC}" type="TxLink">
              <a:rPr lang="en-US" sz="1600" b="0" i="0" u="none" strike="noStrike">
                <a:solidFill>
                  <a:srgbClr val="0F11A7"/>
                </a:solidFill>
                <a:latin typeface="Calibri"/>
                <a:ea typeface="Calibri"/>
                <a:cs typeface="Calibri"/>
              </a:rPr>
              <a:pPr algn="ctr"/>
              <a:t> </a:t>
            </a:fld>
            <a:endParaRPr lang="en-IN" sz="1100"/>
          </a:p>
        </xdr:txBody>
      </xdr:sp>
    </xdr:grpSp>
    <xdr:clientData/>
  </xdr:twoCellAnchor>
  <xdr:twoCellAnchor>
    <xdr:from>
      <xdr:col>18</xdr:col>
      <xdr:colOff>150460</xdr:colOff>
      <xdr:row>22</xdr:row>
      <xdr:rowOff>49185</xdr:rowOff>
    </xdr:from>
    <xdr:to>
      <xdr:col>19</xdr:col>
      <xdr:colOff>122508</xdr:colOff>
      <xdr:row>25</xdr:row>
      <xdr:rowOff>67696</xdr:rowOff>
    </xdr:to>
    <xdr:grpSp>
      <xdr:nvGrpSpPr>
        <xdr:cNvPr id="166" name="Group 165">
          <a:extLst>
            <a:ext uri="{FF2B5EF4-FFF2-40B4-BE49-F238E27FC236}">
              <a16:creationId xmlns:a16="http://schemas.microsoft.com/office/drawing/2014/main" id="{B669DE58-9707-4C9B-A3B9-AECFAC44B563}"/>
            </a:ext>
          </a:extLst>
        </xdr:cNvPr>
        <xdr:cNvGrpSpPr/>
      </xdr:nvGrpSpPr>
      <xdr:grpSpPr>
        <a:xfrm>
          <a:off x="11123260" y="4240185"/>
          <a:ext cx="581648" cy="590011"/>
          <a:chOff x="10843297" y="4839743"/>
          <a:chExt cx="582333" cy="583167"/>
        </a:xfrm>
      </xdr:grpSpPr>
      <xdr:sp macro="" textlink="'Pivot Tables'!BG5">
        <xdr:nvSpPr>
          <xdr:cNvPr id="167" name="TextBox 166">
            <a:extLst>
              <a:ext uri="{FF2B5EF4-FFF2-40B4-BE49-F238E27FC236}">
                <a16:creationId xmlns:a16="http://schemas.microsoft.com/office/drawing/2014/main" id="{47AFDBED-A44E-E926-722F-223ADB707666}"/>
              </a:ext>
            </a:extLst>
          </xdr:cNvPr>
          <xdr:cNvSpPr txBox="1"/>
        </xdr:nvSpPr>
        <xdr:spPr>
          <a:xfrm>
            <a:off x="10843297" y="4839743"/>
            <a:ext cx="582333" cy="5831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D4FB584-E81E-4D68-9837-BA0A77D11F11}" type="TxLink">
              <a:rPr lang="en-US" sz="1600" b="0" i="0" u="none" strike="noStrike">
                <a:solidFill>
                  <a:srgbClr val="C240DB"/>
                </a:solidFill>
                <a:latin typeface="Calibri"/>
                <a:ea typeface="Calibri"/>
                <a:cs typeface="Calibri"/>
              </a:rPr>
              <a:pPr algn="ctr"/>
              <a:t>•</a:t>
            </a:fld>
            <a:endParaRPr lang="en-IN" sz="1100"/>
          </a:p>
        </xdr:txBody>
      </xdr:sp>
      <xdr:sp macro="" textlink="'Pivot Tables'!BI5">
        <xdr:nvSpPr>
          <xdr:cNvPr id="168" name="TextBox 167">
            <a:extLst>
              <a:ext uri="{FF2B5EF4-FFF2-40B4-BE49-F238E27FC236}">
                <a16:creationId xmlns:a16="http://schemas.microsoft.com/office/drawing/2014/main" id="{FC2A0145-F29E-67D5-33F9-9CFC65F9BFC1}"/>
              </a:ext>
            </a:extLst>
          </xdr:cNvPr>
          <xdr:cNvSpPr txBox="1"/>
        </xdr:nvSpPr>
        <xdr:spPr>
          <a:xfrm>
            <a:off x="10843297" y="4839743"/>
            <a:ext cx="582332" cy="5831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DF99237-F408-4176-AA72-24DC2FFEB5CC}" type="TxLink">
              <a:rPr lang="en-US" sz="1600" b="0" i="0" u="none" strike="noStrike">
                <a:solidFill>
                  <a:srgbClr val="0F11A7"/>
                </a:solidFill>
                <a:latin typeface="Calibri"/>
                <a:ea typeface="Calibri"/>
                <a:cs typeface="Calibri"/>
              </a:rPr>
              <a:pPr algn="ctr"/>
              <a:t> </a:t>
            </a:fld>
            <a:endParaRPr lang="en-IN" sz="1100"/>
          </a:p>
        </xdr:txBody>
      </xdr:sp>
    </xdr:grpSp>
    <xdr:clientData/>
  </xdr:twoCellAnchor>
  <xdr:twoCellAnchor>
    <xdr:from>
      <xdr:col>18</xdr:col>
      <xdr:colOff>55208</xdr:colOff>
      <xdr:row>22</xdr:row>
      <xdr:rowOff>52310</xdr:rowOff>
    </xdr:from>
    <xdr:to>
      <xdr:col>19</xdr:col>
      <xdr:colOff>27256</xdr:colOff>
      <xdr:row>25</xdr:row>
      <xdr:rowOff>70821</xdr:rowOff>
    </xdr:to>
    <xdr:grpSp>
      <xdr:nvGrpSpPr>
        <xdr:cNvPr id="169" name="Group 168">
          <a:extLst>
            <a:ext uri="{FF2B5EF4-FFF2-40B4-BE49-F238E27FC236}">
              <a16:creationId xmlns:a16="http://schemas.microsoft.com/office/drawing/2014/main" id="{10A7B7F8-019A-4EBE-9A2E-4E252909841B}"/>
            </a:ext>
          </a:extLst>
        </xdr:cNvPr>
        <xdr:cNvGrpSpPr/>
      </xdr:nvGrpSpPr>
      <xdr:grpSpPr>
        <a:xfrm>
          <a:off x="11028008" y="4243310"/>
          <a:ext cx="581648" cy="590011"/>
          <a:chOff x="10843297" y="4839743"/>
          <a:chExt cx="582333" cy="583167"/>
        </a:xfrm>
      </xdr:grpSpPr>
      <xdr:sp macro="" textlink="'Pivot Tables'!BG5">
        <xdr:nvSpPr>
          <xdr:cNvPr id="170" name="TextBox 169">
            <a:extLst>
              <a:ext uri="{FF2B5EF4-FFF2-40B4-BE49-F238E27FC236}">
                <a16:creationId xmlns:a16="http://schemas.microsoft.com/office/drawing/2014/main" id="{F738E064-E201-B357-DDFF-DD114D7E0B42}"/>
              </a:ext>
            </a:extLst>
          </xdr:cNvPr>
          <xdr:cNvSpPr txBox="1"/>
        </xdr:nvSpPr>
        <xdr:spPr>
          <a:xfrm>
            <a:off x="10843297" y="4839743"/>
            <a:ext cx="582333" cy="5831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D4FB584-E81E-4D68-9837-BA0A77D11F11}" type="TxLink">
              <a:rPr lang="en-US" sz="1600" b="0" i="0" u="none" strike="noStrike">
                <a:solidFill>
                  <a:srgbClr val="C240DB"/>
                </a:solidFill>
                <a:latin typeface="Calibri"/>
                <a:ea typeface="Calibri"/>
                <a:cs typeface="Calibri"/>
              </a:rPr>
              <a:pPr algn="ctr"/>
              <a:t>•</a:t>
            </a:fld>
            <a:endParaRPr lang="en-IN" sz="1100"/>
          </a:p>
        </xdr:txBody>
      </xdr:sp>
      <xdr:sp macro="" textlink="'Pivot Tables'!BI5">
        <xdr:nvSpPr>
          <xdr:cNvPr id="171" name="TextBox 170">
            <a:extLst>
              <a:ext uri="{FF2B5EF4-FFF2-40B4-BE49-F238E27FC236}">
                <a16:creationId xmlns:a16="http://schemas.microsoft.com/office/drawing/2014/main" id="{37BA0893-9365-FE16-6F53-14E2F8BDCB99}"/>
              </a:ext>
            </a:extLst>
          </xdr:cNvPr>
          <xdr:cNvSpPr txBox="1"/>
        </xdr:nvSpPr>
        <xdr:spPr>
          <a:xfrm>
            <a:off x="10843297" y="4839743"/>
            <a:ext cx="582332" cy="5831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DF99237-F408-4176-AA72-24DC2FFEB5CC}" type="TxLink">
              <a:rPr lang="en-US" sz="1600" b="0" i="0" u="none" strike="noStrike">
                <a:solidFill>
                  <a:srgbClr val="0F11A7"/>
                </a:solidFill>
                <a:latin typeface="Calibri"/>
                <a:ea typeface="Calibri"/>
                <a:cs typeface="Calibri"/>
              </a:rPr>
              <a:pPr algn="ctr"/>
              <a:t> </a:t>
            </a:fld>
            <a:endParaRPr lang="en-IN" sz="1100"/>
          </a:p>
        </xdr:txBody>
      </xdr:sp>
    </xdr:grpSp>
    <xdr:clientData/>
  </xdr:twoCellAnchor>
  <xdr:twoCellAnchor>
    <xdr:from>
      <xdr:col>17</xdr:col>
      <xdr:colOff>474303</xdr:colOff>
      <xdr:row>21</xdr:row>
      <xdr:rowOff>143106</xdr:rowOff>
    </xdr:from>
    <xdr:to>
      <xdr:col>18</xdr:col>
      <xdr:colOff>446351</xdr:colOff>
      <xdr:row>24</xdr:row>
      <xdr:rowOff>161618</xdr:rowOff>
    </xdr:to>
    <xdr:grpSp>
      <xdr:nvGrpSpPr>
        <xdr:cNvPr id="172" name="Group 171">
          <a:extLst>
            <a:ext uri="{FF2B5EF4-FFF2-40B4-BE49-F238E27FC236}">
              <a16:creationId xmlns:a16="http://schemas.microsoft.com/office/drawing/2014/main" id="{72CA0B0D-76A7-4BBC-9A2B-C296A67C92FD}"/>
            </a:ext>
          </a:extLst>
        </xdr:cNvPr>
        <xdr:cNvGrpSpPr/>
      </xdr:nvGrpSpPr>
      <xdr:grpSpPr>
        <a:xfrm>
          <a:off x="10837503" y="4143606"/>
          <a:ext cx="581648" cy="590012"/>
          <a:chOff x="10843297" y="4839743"/>
          <a:chExt cx="582333" cy="583167"/>
        </a:xfrm>
      </xdr:grpSpPr>
      <xdr:sp macro="" textlink="'Pivot Tables'!BG5">
        <xdr:nvSpPr>
          <xdr:cNvPr id="173" name="TextBox 172">
            <a:extLst>
              <a:ext uri="{FF2B5EF4-FFF2-40B4-BE49-F238E27FC236}">
                <a16:creationId xmlns:a16="http://schemas.microsoft.com/office/drawing/2014/main" id="{F1823950-2049-1617-9920-637248924527}"/>
              </a:ext>
            </a:extLst>
          </xdr:cNvPr>
          <xdr:cNvSpPr txBox="1"/>
        </xdr:nvSpPr>
        <xdr:spPr>
          <a:xfrm>
            <a:off x="10843297" y="4839743"/>
            <a:ext cx="582333" cy="5831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D4FB584-E81E-4D68-9837-BA0A77D11F11}" type="TxLink">
              <a:rPr lang="en-US" sz="1600" b="0" i="0" u="none" strike="noStrike">
                <a:solidFill>
                  <a:srgbClr val="C240DB"/>
                </a:solidFill>
                <a:latin typeface="Calibri"/>
                <a:ea typeface="Calibri"/>
                <a:cs typeface="Calibri"/>
              </a:rPr>
              <a:pPr algn="ctr"/>
              <a:t>•</a:t>
            </a:fld>
            <a:endParaRPr lang="en-IN" sz="1100"/>
          </a:p>
        </xdr:txBody>
      </xdr:sp>
      <xdr:sp macro="" textlink="'Pivot Tables'!BI5">
        <xdr:nvSpPr>
          <xdr:cNvPr id="174" name="TextBox 173">
            <a:extLst>
              <a:ext uri="{FF2B5EF4-FFF2-40B4-BE49-F238E27FC236}">
                <a16:creationId xmlns:a16="http://schemas.microsoft.com/office/drawing/2014/main" id="{D3D73716-2E3E-2597-677A-C7433E55765B}"/>
              </a:ext>
            </a:extLst>
          </xdr:cNvPr>
          <xdr:cNvSpPr txBox="1"/>
        </xdr:nvSpPr>
        <xdr:spPr>
          <a:xfrm>
            <a:off x="10843297" y="4839743"/>
            <a:ext cx="582332" cy="5831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DF99237-F408-4176-AA72-24DC2FFEB5CC}" type="TxLink">
              <a:rPr lang="en-US" sz="1600" b="0" i="0" u="none" strike="noStrike">
                <a:solidFill>
                  <a:srgbClr val="0F11A7"/>
                </a:solidFill>
                <a:latin typeface="Calibri"/>
                <a:ea typeface="Calibri"/>
                <a:cs typeface="Calibri"/>
              </a:rPr>
              <a:pPr algn="ctr"/>
              <a:t> </a:t>
            </a:fld>
            <a:endParaRPr lang="en-IN" sz="1100"/>
          </a:p>
        </xdr:txBody>
      </xdr:sp>
    </xdr:grpSp>
    <xdr:clientData/>
  </xdr:twoCellAnchor>
  <xdr:twoCellAnchor>
    <xdr:from>
      <xdr:col>17</xdr:col>
      <xdr:colOff>286182</xdr:colOff>
      <xdr:row>21</xdr:row>
      <xdr:rowOff>52303</xdr:rowOff>
    </xdr:from>
    <xdr:to>
      <xdr:col>18</xdr:col>
      <xdr:colOff>258230</xdr:colOff>
      <xdr:row>24</xdr:row>
      <xdr:rowOff>70814</xdr:rowOff>
    </xdr:to>
    <xdr:grpSp>
      <xdr:nvGrpSpPr>
        <xdr:cNvPr id="175" name="Group 174">
          <a:extLst>
            <a:ext uri="{FF2B5EF4-FFF2-40B4-BE49-F238E27FC236}">
              <a16:creationId xmlns:a16="http://schemas.microsoft.com/office/drawing/2014/main" id="{3D8BF454-1AA4-4922-BA4E-B8A36E00B03A}"/>
            </a:ext>
          </a:extLst>
        </xdr:cNvPr>
        <xdr:cNvGrpSpPr/>
      </xdr:nvGrpSpPr>
      <xdr:grpSpPr>
        <a:xfrm>
          <a:off x="10649382" y="4052803"/>
          <a:ext cx="581648" cy="590011"/>
          <a:chOff x="10843297" y="4839743"/>
          <a:chExt cx="582333" cy="583167"/>
        </a:xfrm>
      </xdr:grpSpPr>
      <xdr:sp macro="" textlink="'Pivot Tables'!BG5">
        <xdr:nvSpPr>
          <xdr:cNvPr id="176" name="TextBox 175">
            <a:extLst>
              <a:ext uri="{FF2B5EF4-FFF2-40B4-BE49-F238E27FC236}">
                <a16:creationId xmlns:a16="http://schemas.microsoft.com/office/drawing/2014/main" id="{2721EBD0-5234-03E5-BA16-F89E885CDFF2}"/>
              </a:ext>
            </a:extLst>
          </xdr:cNvPr>
          <xdr:cNvSpPr txBox="1"/>
        </xdr:nvSpPr>
        <xdr:spPr>
          <a:xfrm>
            <a:off x="10843297" y="4839743"/>
            <a:ext cx="582333" cy="5831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D4FB584-E81E-4D68-9837-BA0A77D11F11}" type="TxLink">
              <a:rPr lang="en-US" sz="1600" b="0" i="0" u="none" strike="noStrike">
                <a:solidFill>
                  <a:srgbClr val="C240DB"/>
                </a:solidFill>
                <a:latin typeface="Calibri"/>
                <a:ea typeface="Calibri"/>
                <a:cs typeface="Calibri"/>
              </a:rPr>
              <a:pPr algn="ctr"/>
              <a:t>•</a:t>
            </a:fld>
            <a:endParaRPr lang="en-IN" sz="1100"/>
          </a:p>
        </xdr:txBody>
      </xdr:sp>
      <xdr:sp macro="" textlink="'Pivot Tables'!BI5">
        <xdr:nvSpPr>
          <xdr:cNvPr id="177" name="TextBox 176">
            <a:extLst>
              <a:ext uri="{FF2B5EF4-FFF2-40B4-BE49-F238E27FC236}">
                <a16:creationId xmlns:a16="http://schemas.microsoft.com/office/drawing/2014/main" id="{4465F245-FB18-0431-BBF7-6D55171C88FC}"/>
              </a:ext>
            </a:extLst>
          </xdr:cNvPr>
          <xdr:cNvSpPr txBox="1"/>
        </xdr:nvSpPr>
        <xdr:spPr>
          <a:xfrm>
            <a:off x="10843297" y="4839743"/>
            <a:ext cx="582332" cy="5831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DF99237-F408-4176-AA72-24DC2FFEB5CC}" type="TxLink">
              <a:rPr lang="en-US" sz="1600" b="0" i="0" u="none" strike="noStrike">
                <a:solidFill>
                  <a:srgbClr val="0F11A7"/>
                </a:solidFill>
                <a:latin typeface="Calibri"/>
                <a:ea typeface="Calibri"/>
                <a:cs typeface="Calibri"/>
              </a:rPr>
              <a:pPr algn="ctr"/>
              <a:t> </a:t>
            </a:fld>
            <a:endParaRPr lang="en-IN" sz="1100"/>
          </a:p>
        </xdr:txBody>
      </xdr:sp>
    </xdr:grpSp>
    <xdr:clientData/>
  </xdr:twoCellAnchor>
  <xdr:twoCellAnchor>
    <xdr:from>
      <xdr:col>17</xdr:col>
      <xdr:colOff>286180</xdr:colOff>
      <xdr:row>22</xdr:row>
      <xdr:rowOff>52302</xdr:rowOff>
    </xdr:from>
    <xdr:to>
      <xdr:col>18</xdr:col>
      <xdr:colOff>258228</xdr:colOff>
      <xdr:row>25</xdr:row>
      <xdr:rowOff>70813</xdr:rowOff>
    </xdr:to>
    <xdr:grpSp>
      <xdr:nvGrpSpPr>
        <xdr:cNvPr id="178" name="Group 177">
          <a:extLst>
            <a:ext uri="{FF2B5EF4-FFF2-40B4-BE49-F238E27FC236}">
              <a16:creationId xmlns:a16="http://schemas.microsoft.com/office/drawing/2014/main" id="{20466C07-6433-445E-BB94-A981DE2A1535}"/>
            </a:ext>
          </a:extLst>
        </xdr:cNvPr>
        <xdr:cNvGrpSpPr/>
      </xdr:nvGrpSpPr>
      <xdr:grpSpPr>
        <a:xfrm>
          <a:off x="10649380" y="4243302"/>
          <a:ext cx="581648" cy="590011"/>
          <a:chOff x="10843297" y="4839743"/>
          <a:chExt cx="582333" cy="583167"/>
        </a:xfrm>
      </xdr:grpSpPr>
      <xdr:sp macro="" textlink="'Pivot Tables'!BG5">
        <xdr:nvSpPr>
          <xdr:cNvPr id="179" name="TextBox 178">
            <a:extLst>
              <a:ext uri="{FF2B5EF4-FFF2-40B4-BE49-F238E27FC236}">
                <a16:creationId xmlns:a16="http://schemas.microsoft.com/office/drawing/2014/main" id="{51EE1471-646E-C847-6C71-B2B9FC2BC1EC}"/>
              </a:ext>
            </a:extLst>
          </xdr:cNvPr>
          <xdr:cNvSpPr txBox="1"/>
        </xdr:nvSpPr>
        <xdr:spPr>
          <a:xfrm>
            <a:off x="10843297" y="4839743"/>
            <a:ext cx="582333" cy="5831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D4FB584-E81E-4D68-9837-BA0A77D11F11}" type="TxLink">
              <a:rPr lang="en-US" sz="1600" b="0" i="0" u="none" strike="noStrike">
                <a:solidFill>
                  <a:srgbClr val="C240DB"/>
                </a:solidFill>
                <a:latin typeface="Calibri"/>
                <a:ea typeface="Calibri"/>
                <a:cs typeface="Calibri"/>
              </a:rPr>
              <a:pPr algn="ctr"/>
              <a:t>•</a:t>
            </a:fld>
            <a:endParaRPr lang="en-IN" sz="1100"/>
          </a:p>
        </xdr:txBody>
      </xdr:sp>
      <xdr:sp macro="" textlink="'Pivot Tables'!BI5">
        <xdr:nvSpPr>
          <xdr:cNvPr id="180" name="TextBox 179">
            <a:extLst>
              <a:ext uri="{FF2B5EF4-FFF2-40B4-BE49-F238E27FC236}">
                <a16:creationId xmlns:a16="http://schemas.microsoft.com/office/drawing/2014/main" id="{EB14E0D7-3D9B-49CD-F021-7D9E0F5055BC}"/>
              </a:ext>
            </a:extLst>
          </xdr:cNvPr>
          <xdr:cNvSpPr txBox="1"/>
        </xdr:nvSpPr>
        <xdr:spPr>
          <a:xfrm>
            <a:off x="10843297" y="4839743"/>
            <a:ext cx="582332" cy="5831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DF99237-F408-4176-AA72-24DC2FFEB5CC}" type="TxLink">
              <a:rPr lang="en-US" sz="1600" b="0" i="0" u="none" strike="noStrike">
                <a:solidFill>
                  <a:srgbClr val="0F11A7"/>
                </a:solidFill>
                <a:latin typeface="Calibri"/>
                <a:ea typeface="Calibri"/>
                <a:cs typeface="Calibri"/>
              </a:rPr>
              <a:pPr algn="ctr"/>
              <a:t> </a:t>
            </a:fld>
            <a:endParaRPr lang="en-IN" sz="1100"/>
          </a:p>
        </xdr:txBody>
      </xdr:sp>
    </xdr:grpSp>
    <xdr:clientData/>
  </xdr:twoCellAnchor>
  <xdr:twoCellAnchor>
    <xdr:from>
      <xdr:col>17</xdr:col>
      <xdr:colOff>381429</xdr:colOff>
      <xdr:row>23</xdr:row>
      <xdr:rowOff>49923</xdr:rowOff>
    </xdr:from>
    <xdr:to>
      <xdr:col>18</xdr:col>
      <xdr:colOff>353477</xdr:colOff>
      <xdr:row>26</xdr:row>
      <xdr:rowOff>68434</xdr:rowOff>
    </xdr:to>
    <xdr:grpSp>
      <xdr:nvGrpSpPr>
        <xdr:cNvPr id="181" name="Group 180">
          <a:extLst>
            <a:ext uri="{FF2B5EF4-FFF2-40B4-BE49-F238E27FC236}">
              <a16:creationId xmlns:a16="http://schemas.microsoft.com/office/drawing/2014/main" id="{1F6F4178-9F32-45E0-958A-F821AA6A358B}"/>
            </a:ext>
          </a:extLst>
        </xdr:cNvPr>
        <xdr:cNvGrpSpPr/>
      </xdr:nvGrpSpPr>
      <xdr:grpSpPr>
        <a:xfrm>
          <a:off x="10744629" y="4431423"/>
          <a:ext cx="581648" cy="590011"/>
          <a:chOff x="10843297" y="4839743"/>
          <a:chExt cx="582333" cy="583167"/>
        </a:xfrm>
      </xdr:grpSpPr>
      <xdr:sp macro="" textlink="'Pivot Tables'!BG5">
        <xdr:nvSpPr>
          <xdr:cNvPr id="182" name="TextBox 181">
            <a:extLst>
              <a:ext uri="{FF2B5EF4-FFF2-40B4-BE49-F238E27FC236}">
                <a16:creationId xmlns:a16="http://schemas.microsoft.com/office/drawing/2014/main" id="{239600D1-BC3F-6CF7-9058-422B7416234B}"/>
              </a:ext>
            </a:extLst>
          </xdr:cNvPr>
          <xdr:cNvSpPr txBox="1"/>
        </xdr:nvSpPr>
        <xdr:spPr>
          <a:xfrm>
            <a:off x="10843297" y="4839743"/>
            <a:ext cx="582333" cy="5831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D4FB584-E81E-4D68-9837-BA0A77D11F11}" type="TxLink">
              <a:rPr lang="en-US" sz="1600" b="0" i="0" u="none" strike="noStrike">
                <a:solidFill>
                  <a:srgbClr val="C240DB"/>
                </a:solidFill>
                <a:latin typeface="Calibri"/>
                <a:ea typeface="Calibri"/>
                <a:cs typeface="Calibri"/>
              </a:rPr>
              <a:pPr algn="ctr"/>
              <a:t>•</a:t>
            </a:fld>
            <a:endParaRPr lang="en-IN" sz="1100"/>
          </a:p>
        </xdr:txBody>
      </xdr:sp>
      <xdr:sp macro="" textlink="'Pivot Tables'!BI5">
        <xdr:nvSpPr>
          <xdr:cNvPr id="183" name="TextBox 182">
            <a:extLst>
              <a:ext uri="{FF2B5EF4-FFF2-40B4-BE49-F238E27FC236}">
                <a16:creationId xmlns:a16="http://schemas.microsoft.com/office/drawing/2014/main" id="{20372998-2DB6-2A8D-9731-31D965CE3690}"/>
              </a:ext>
            </a:extLst>
          </xdr:cNvPr>
          <xdr:cNvSpPr txBox="1"/>
        </xdr:nvSpPr>
        <xdr:spPr>
          <a:xfrm>
            <a:off x="10843297" y="4839743"/>
            <a:ext cx="582332" cy="5831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DF99237-F408-4176-AA72-24DC2FFEB5CC}" type="TxLink">
              <a:rPr lang="en-US" sz="1600" b="0" i="0" u="none" strike="noStrike">
                <a:solidFill>
                  <a:srgbClr val="0F11A7"/>
                </a:solidFill>
                <a:latin typeface="Calibri"/>
                <a:ea typeface="Calibri"/>
                <a:cs typeface="Calibri"/>
              </a:rPr>
              <a:pPr algn="ctr"/>
              <a:t> </a:t>
            </a:fld>
            <a:endParaRPr lang="en-IN" sz="1100"/>
          </a:p>
        </xdr:txBody>
      </xdr:sp>
    </xdr:grpSp>
    <xdr:clientData/>
  </xdr:twoCellAnchor>
  <xdr:twoCellAnchor>
    <xdr:from>
      <xdr:col>17</xdr:col>
      <xdr:colOff>474298</xdr:colOff>
      <xdr:row>24</xdr:row>
      <xdr:rowOff>44421</xdr:rowOff>
    </xdr:from>
    <xdr:to>
      <xdr:col>18</xdr:col>
      <xdr:colOff>446346</xdr:colOff>
      <xdr:row>27</xdr:row>
      <xdr:rowOff>62932</xdr:rowOff>
    </xdr:to>
    <xdr:grpSp>
      <xdr:nvGrpSpPr>
        <xdr:cNvPr id="184" name="Group 183">
          <a:extLst>
            <a:ext uri="{FF2B5EF4-FFF2-40B4-BE49-F238E27FC236}">
              <a16:creationId xmlns:a16="http://schemas.microsoft.com/office/drawing/2014/main" id="{1C645A5B-48DE-4FEF-A63F-28DEFAB3B462}"/>
            </a:ext>
          </a:extLst>
        </xdr:cNvPr>
        <xdr:cNvGrpSpPr/>
      </xdr:nvGrpSpPr>
      <xdr:grpSpPr>
        <a:xfrm>
          <a:off x="10837498" y="4616421"/>
          <a:ext cx="581648" cy="590011"/>
          <a:chOff x="10843297" y="4839743"/>
          <a:chExt cx="582333" cy="583167"/>
        </a:xfrm>
      </xdr:grpSpPr>
      <xdr:sp macro="" textlink="'Pivot Tables'!BG5">
        <xdr:nvSpPr>
          <xdr:cNvPr id="185" name="TextBox 184">
            <a:extLst>
              <a:ext uri="{FF2B5EF4-FFF2-40B4-BE49-F238E27FC236}">
                <a16:creationId xmlns:a16="http://schemas.microsoft.com/office/drawing/2014/main" id="{975BA9FD-F343-DFC8-ADF9-6D960D670038}"/>
              </a:ext>
            </a:extLst>
          </xdr:cNvPr>
          <xdr:cNvSpPr txBox="1"/>
        </xdr:nvSpPr>
        <xdr:spPr>
          <a:xfrm>
            <a:off x="10843297" y="4839743"/>
            <a:ext cx="582333" cy="5831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D4FB584-E81E-4D68-9837-BA0A77D11F11}" type="TxLink">
              <a:rPr lang="en-US" sz="1600" b="0" i="0" u="none" strike="noStrike">
                <a:solidFill>
                  <a:srgbClr val="C240DB"/>
                </a:solidFill>
                <a:latin typeface="Calibri"/>
                <a:ea typeface="Calibri"/>
                <a:cs typeface="Calibri"/>
              </a:rPr>
              <a:pPr algn="ctr"/>
              <a:t>•</a:t>
            </a:fld>
            <a:endParaRPr lang="en-IN" sz="1100"/>
          </a:p>
        </xdr:txBody>
      </xdr:sp>
      <xdr:sp macro="" textlink="'Pivot Tables'!BI5">
        <xdr:nvSpPr>
          <xdr:cNvPr id="186" name="TextBox 185">
            <a:extLst>
              <a:ext uri="{FF2B5EF4-FFF2-40B4-BE49-F238E27FC236}">
                <a16:creationId xmlns:a16="http://schemas.microsoft.com/office/drawing/2014/main" id="{ED34804F-F11C-64BA-50BA-691FF5E18115}"/>
              </a:ext>
            </a:extLst>
          </xdr:cNvPr>
          <xdr:cNvSpPr txBox="1"/>
        </xdr:nvSpPr>
        <xdr:spPr>
          <a:xfrm>
            <a:off x="10843297" y="4839743"/>
            <a:ext cx="582332" cy="5831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DF99237-F408-4176-AA72-24DC2FFEB5CC}" type="TxLink">
              <a:rPr lang="en-US" sz="1600" b="0" i="0" u="none" strike="noStrike">
                <a:solidFill>
                  <a:srgbClr val="0F11A7"/>
                </a:solidFill>
                <a:latin typeface="Calibri"/>
                <a:ea typeface="Calibri"/>
                <a:cs typeface="Calibri"/>
              </a:rPr>
              <a:pPr algn="ctr"/>
              <a:t> </a:t>
            </a:fld>
            <a:endParaRPr lang="en-IN" sz="1100"/>
          </a:p>
        </xdr:txBody>
      </xdr:sp>
    </xdr:grpSp>
    <xdr:clientData/>
  </xdr:twoCellAnchor>
  <xdr:twoCellAnchor>
    <xdr:from>
      <xdr:col>17</xdr:col>
      <xdr:colOff>379045</xdr:colOff>
      <xdr:row>24</xdr:row>
      <xdr:rowOff>138343</xdr:rowOff>
    </xdr:from>
    <xdr:to>
      <xdr:col>18</xdr:col>
      <xdr:colOff>351093</xdr:colOff>
      <xdr:row>27</xdr:row>
      <xdr:rowOff>156853</xdr:rowOff>
    </xdr:to>
    <xdr:grpSp>
      <xdr:nvGrpSpPr>
        <xdr:cNvPr id="187" name="Group 186">
          <a:extLst>
            <a:ext uri="{FF2B5EF4-FFF2-40B4-BE49-F238E27FC236}">
              <a16:creationId xmlns:a16="http://schemas.microsoft.com/office/drawing/2014/main" id="{4388FEBD-D5A7-4BCE-AF62-2650AB7B604B}"/>
            </a:ext>
          </a:extLst>
        </xdr:cNvPr>
        <xdr:cNvGrpSpPr/>
      </xdr:nvGrpSpPr>
      <xdr:grpSpPr>
        <a:xfrm>
          <a:off x="10742245" y="4710343"/>
          <a:ext cx="581648" cy="590010"/>
          <a:chOff x="10843297" y="4839743"/>
          <a:chExt cx="582333" cy="583167"/>
        </a:xfrm>
      </xdr:grpSpPr>
      <xdr:sp macro="" textlink="'Pivot Tables'!BG5">
        <xdr:nvSpPr>
          <xdr:cNvPr id="188" name="TextBox 187">
            <a:extLst>
              <a:ext uri="{FF2B5EF4-FFF2-40B4-BE49-F238E27FC236}">
                <a16:creationId xmlns:a16="http://schemas.microsoft.com/office/drawing/2014/main" id="{CDC6A113-238D-83DF-DB2C-8DB6B17399EC}"/>
              </a:ext>
            </a:extLst>
          </xdr:cNvPr>
          <xdr:cNvSpPr txBox="1"/>
        </xdr:nvSpPr>
        <xdr:spPr>
          <a:xfrm>
            <a:off x="10843297" y="4839743"/>
            <a:ext cx="582333" cy="5831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D4FB584-E81E-4D68-9837-BA0A77D11F11}" type="TxLink">
              <a:rPr lang="en-US" sz="1600" b="0" i="0" u="none" strike="noStrike">
                <a:solidFill>
                  <a:srgbClr val="C240DB"/>
                </a:solidFill>
                <a:latin typeface="Calibri"/>
                <a:ea typeface="Calibri"/>
                <a:cs typeface="Calibri"/>
              </a:rPr>
              <a:pPr algn="ctr"/>
              <a:t>•</a:t>
            </a:fld>
            <a:endParaRPr lang="en-IN" sz="1100"/>
          </a:p>
        </xdr:txBody>
      </xdr:sp>
      <xdr:sp macro="" textlink="'Pivot Tables'!BI5">
        <xdr:nvSpPr>
          <xdr:cNvPr id="189" name="TextBox 188">
            <a:extLst>
              <a:ext uri="{FF2B5EF4-FFF2-40B4-BE49-F238E27FC236}">
                <a16:creationId xmlns:a16="http://schemas.microsoft.com/office/drawing/2014/main" id="{4DB6AF67-2AA6-C4C1-DB66-4CB5CAA32E6D}"/>
              </a:ext>
            </a:extLst>
          </xdr:cNvPr>
          <xdr:cNvSpPr txBox="1"/>
        </xdr:nvSpPr>
        <xdr:spPr>
          <a:xfrm>
            <a:off x="10843297" y="4839743"/>
            <a:ext cx="582332" cy="5831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DF99237-F408-4176-AA72-24DC2FFEB5CC}" type="TxLink">
              <a:rPr lang="en-US" sz="1600" b="0" i="0" u="none" strike="noStrike">
                <a:solidFill>
                  <a:srgbClr val="0F11A7"/>
                </a:solidFill>
                <a:latin typeface="Calibri"/>
                <a:ea typeface="Calibri"/>
                <a:cs typeface="Calibri"/>
              </a:rPr>
              <a:pPr algn="ctr"/>
              <a:t> </a:t>
            </a:fld>
            <a:endParaRPr lang="en-IN" sz="1100"/>
          </a:p>
        </xdr:txBody>
      </xdr:sp>
    </xdr:grpSp>
    <xdr:clientData/>
  </xdr:twoCellAnchor>
  <xdr:twoCellAnchor>
    <xdr:from>
      <xdr:col>18</xdr:col>
      <xdr:colOff>148064</xdr:colOff>
      <xdr:row>23</xdr:row>
      <xdr:rowOff>49177</xdr:rowOff>
    </xdr:from>
    <xdr:to>
      <xdr:col>19</xdr:col>
      <xdr:colOff>120112</xdr:colOff>
      <xdr:row>26</xdr:row>
      <xdr:rowOff>67688</xdr:rowOff>
    </xdr:to>
    <xdr:grpSp>
      <xdr:nvGrpSpPr>
        <xdr:cNvPr id="190" name="Group 189">
          <a:extLst>
            <a:ext uri="{FF2B5EF4-FFF2-40B4-BE49-F238E27FC236}">
              <a16:creationId xmlns:a16="http://schemas.microsoft.com/office/drawing/2014/main" id="{01327CEE-4682-4572-836F-DFD798CA7E13}"/>
            </a:ext>
          </a:extLst>
        </xdr:cNvPr>
        <xdr:cNvGrpSpPr/>
      </xdr:nvGrpSpPr>
      <xdr:grpSpPr>
        <a:xfrm>
          <a:off x="11120864" y="4430677"/>
          <a:ext cx="581648" cy="590011"/>
          <a:chOff x="10843297" y="4839743"/>
          <a:chExt cx="582333" cy="583167"/>
        </a:xfrm>
      </xdr:grpSpPr>
      <xdr:sp macro="" textlink="'Pivot Tables'!BG5">
        <xdr:nvSpPr>
          <xdr:cNvPr id="191" name="TextBox 190">
            <a:extLst>
              <a:ext uri="{FF2B5EF4-FFF2-40B4-BE49-F238E27FC236}">
                <a16:creationId xmlns:a16="http://schemas.microsoft.com/office/drawing/2014/main" id="{0C0E1F46-C65C-8E9B-403B-BA8B1AEC9632}"/>
              </a:ext>
            </a:extLst>
          </xdr:cNvPr>
          <xdr:cNvSpPr txBox="1"/>
        </xdr:nvSpPr>
        <xdr:spPr>
          <a:xfrm>
            <a:off x="10843297" y="4839743"/>
            <a:ext cx="582333" cy="5831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D4FB584-E81E-4D68-9837-BA0A77D11F11}" type="TxLink">
              <a:rPr lang="en-US" sz="1600" b="0" i="0" u="none" strike="noStrike">
                <a:solidFill>
                  <a:srgbClr val="C240DB"/>
                </a:solidFill>
                <a:latin typeface="Calibri"/>
                <a:ea typeface="Calibri"/>
                <a:cs typeface="Calibri"/>
              </a:rPr>
              <a:pPr algn="ctr"/>
              <a:t>•</a:t>
            </a:fld>
            <a:endParaRPr lang="en-IN" sz="1100"/>
          </a:p>
        </xdr:txBody>
      </xdr:sp>
      <xdr:sp macro="" textlink="'Pivot Tables'!BI5">
        <xdr:nvSpPr>
          <xdr:cNvPr id="192" name="TextBox 191">
            <a:extLst>
              <a:ext uri="{FF2B5EF4-FFF2-40B4-BE49-F238E27FC236}">
                <a16:creationId xmlns:a16="http://schemas.microsoft.com/office/drawing/2014/main" id="{83B56A36-26AA-CD47-2EE2-BBDEB28DF53E}"/>
              </a:ext>
            </a:extLst>
          </xdr:cNvPr>
          <xdr:cNvSpPr txBox="1"/>
        </xdr:nvSpPr>
        <xdr:spPr>
          <a:xfrm>
            <a:off x="10843297" y="4839743"/>
            <a:ext cx="582332" cy="5831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DF99237-F408-4176-AA72-24DC2FFEB5CC}" type="TxLink">
              <a:rPr lang="en-US" sz="1600" b="0" i="0" u="none" strike="noStrike">
                <a:solidFill>
                  <a:srgbClr val="0F11A7"/>
                </a:solidFill>
                <a:latin typeface="Calibri"/>
                <a:ea typeface="Calibri"/>
                <a:cs typeface="Calibri"/>
              </a:rPr>
              <a:pPr algn="ctr"/>
              <a:t> </a:t>
            </a:fld>
            <a:endParaRPr lang="en-IN" sz="1100"/>
          </a:p>
        </xdr:txBody>
      </xdr:sp>
    </xdr:grpSp>
    <xdr:clientData/>
  </xdr:twoCellAnchor>
  <xdr:twoCellAnchor>
    <xdr:from>
      <xdr:col>18</xdr:col>
      <xdr:colOff>150444</xdr:colOff>
      <xdr:row>24</xdr:row>
      <xdr:rowOff>44416</xdr:rowOff>
    </xdr:from>
    <xdr:to>
      <xdr:col>19</xdr:col>
      <xdr:colOff>122492</xdr:colOff>
      <xdr:row>27</xdr:row>
      <xdr:rowOff>62927</xdr:rowOff>
    </xdr:to>
    <xdr:grpSp>
      <xdr:nvGrpSpPr>
        <xdr:cNvPr id="193" name="Group 192">
          <a:extLst>
            <a:ext uri="{FF2B5EF4-FFF2-40B4-BE49-F238E27FC236}">
              <a16:creationId xmlns:a16="http://schemas.microsoft.com/office/drawing/2014/main" id="{E4A2E6AC-B3E5-4D41-9D32-A66FD36805B6}"/>
            </a:ext>
          </a:extLst>
        </xdr:cNvPr>
        <xdr:cNvGrpSpPr/>
      </xdr:nvGrpSpPr>
      <xdr:grpSpPr>
        <a:xfrm>
          <a:off x="11123244" y="4616416"/>
          <a:ext cx="581648" cy="590011"/>
          <a:chOff x="10843297" y="4839743"/>
          <a:chExt cx="582333" cy="583167"/>
        </a:xfrm>
      </xdr:grpSpPr>
      <xdr:sp macro="" textlink="'Pivot Tables'!BG5">
        <xdr:nvSpPr>
          <xdr:cNvPr id="194" name="TextBox 193">
            <a:extLst>
              <a:ext uri="{FF2B5EF4-FFF2-40B4-BE49-F238E27FC236}">
                <a16:creationId xmlns:a16="http://schemas.microsoft.com/office/drawing/2014/main" id="{8DDFC098-9D84-8791-5062-94224C0E78CF}"/>
              </a:ext>
            </a:extLst>
          </xdr:cNvPr>
          <xdr:cNvSpPr txBox="1"/>
        </xdr:nvSpPr>
        <xdr:spPr>
          <a:xfrm>
            <a:off x="10843297" y="4839743"/>
            <a:ext cx="582333" cy="5831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D4FB584-E81E-4D68-9837-BA0A77D11F11}" type="TxLink">
              <a:rPr lang="en-US" sz="1600" b="0" i="0" u="none" strike="noStrike">
                <a:solidFill>
                  <a:srgbClr val="C240DB"/>
                </a:solidFill>
                <a:latin typeface="Calibri"/>
                <a:ea typeface="Calibri"/>
                <a:cs typeface="Calibri"/>
              </a:rPr>
              <a:pPr algn="ctr"/>
              <a:t>•</a:t>
            </a:fld>
            <a:endParaRPr lang="en-IN" sz="1100"/>
          </a:p>
        </xdr:txBody>
      </xdr:sp>
      <xdr:sp macro="" textlink="'Pivot Tables'!BI5">
        <xdr:nvSpPr>
          <xdr:cNvPr id="195" name="TextBox 194">
            <a:extLst>
              <a:ext uri="{FF2B5EF4-FFF2-40B4-BE49-F238E27FC236}">
                <a16:creationId xmlns:a16="http://schemas.microsoft.com/office/drawing/2014/main" id="{F6D81657-8377-5B0C-3FDE-20C241F165A4}"/>
              </a:ext>
            </a:extLst>
          </xdr:cNvPr>
          <xdr:cNvSpPr txBox="1"/>
        </xdr:nvSpPr>
        <xdr:spPr>
          <a:xfrm>
            <a:off x="10843297" y="4839743"/>
            <a:ext cx="582332" cy="5831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DF99237-F408-4176-AA72-24DC2FFEB5CC}" type="TxLink">
              <a:rPr lang="en-US" sz="1600" b="0" i="0" u="none" strike="noStrike">
                <a:solidFill>
                  <a:srgbClr val="0F11A7"/>
                </a:solidFill>
                <a:latin typeface="Calibri"/>
                <a:ea typeface="Calibri"/>
                <a:cs typeface="Calibri"/>
              </a:rPr>
              <a:pPr algn="ctr"/>
              <a:t> </a:t>
            </a:fld>
            <a:endParaRPr lang="en-IN" sz="1100"/>
          </a:p>
        </xdr:txBody>
      </xdr:sp>
    </xdr:grpSp>
    <xdr:clientData/>
  </xdr:twoCellAnchor>
  <xdr:twoCellAnchor>
    <xdr:from>
      <xdr:col>18</xdr:col>
      <xdr:colOff>433815</xdr:colOff>
      <xdr:row>24</xdr:row>
      <xdr:rowOff>138338</xdr:rowOff>
    </xdr:from>
    <xdr:to>
      <xdr:col>19</xdr:col>
      <xdr:colOff>405863</xdr:colOff>
      <xdr:row>27</xdr:row>
      <xdr:rowOff>156848</xdr:rowOff>
    </xdr:to>
    <xdr:grpSp>
      <xdr:nvGrpSpPr>
        <xdr:cNvPr id="196" name="Group 195">
          <a:extLst>
            <a:ext uri="{FF2B5EF4-FFF2-40B4-BE49-F238E27FC236}">
              <a16:creationId xmlns:a16="http://schemas.microsoft.com/office/drawing/2014/main" id="{5DF8DB61-917C-4504-A7D1-DBCABDBDBAC0}"/>
            </a:ext>
          </a:extLst>
        </xdr:cNvPr>
        <xdr:cNvGrpSpPr/>
      </xdr:nvGrpSpPr>
      <xdr:grpSpPr>
        <a:xfrm>
          <a:off x="11406615" y="4710338"/>
          <a:ext cx="581648" cy="590010"/>
          <a:chOff x="10843297" y="4839743"/>
          <a:chExt cx="582333" cy="583167"/>
        </a:xfrm>
      </xdr:grpSpPr>
      <xdr:sp macro="" textlink="'Pivot Tables'!BM25">
        <xdr:nvSpPr>
          <xdr:cNvPr id="197" name="TextBox 196">
            <a:extLst>
              <a:ext uri="{FF2B5EF4-FFF2-40B4-BE49-F238E27FC236}">
                <a16:creationId xmlns:a16="http://schemas.microsoft.com/office/drawing/2014/main" id="{09B7EF28-F13E-E5AB-673A-D53CD2DF5417}"/>
              </a:ext>
            </a:extLst>
          </xdr:cNvPr>
          <xdr:cNvSpPr txBox="1"/>
        </xdr:nvSpPr>
        <xdr:spPr>
          <a:xfrm>
            <a:off x="10843297" y="4839743"/>
            <a:ext cx="582333" cy="5831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D4FB584-E81E-4D68-9837-BA0A77D11F11}" type="TxLink">
              <a:rPr lang="en-US" sz="1600" b="0" i="0" u="none" strike="noStrike">
                <a:solidFill>
                  <a:srgbClr val="C240DB"/>
                </a:solidFill>
                <a:latin typeface="Calibri"/>
                <a:ea typeface="Calibri"/>
                <a:cs typeface="Calibri"/>
              </a:rPr>
              <a:pPr algn="ctr"/>
              <a:t> </a:t>
            </a:fld>
            <a:endParaRPr lang="en-IN" sz="1100"/>
          </a:p>
        </xdr:txBody>
      </xdr:sp>
      <xdr:sp macro="" textlink="'Pivot Tables'!BO25">
        <xdr:nvSpPr>
          <xdr:cNvPr id="198" name="TextBox 197">
            <a:extLst>
              <a:ext uri="{FF2B5EF4-FFF2-40B4-BE49-F238E27FC236}">
                <a16:creationId xmlns:a16="http://schemas.microsoft.com/office/drawing/2014/main" id="{2F00B393-2480-24AE-1041-1013979C8328}"/>
              </a:ext>
            </a:extLst>
          </xdr:cNvPr>
          <xdr:cNvSpPr txBox="1"/>
        </xdr:nvSpPr>
        <xdr:spPr>
          <a:xfrm>
            <a:off x="10843297" y="4839743"/>
            <a:ext cx="582332" cy="5831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DF99237-F408-4176-AA72-24DC2FFEB5CC}" type="TxLink">
              <a:rPr lang="en-US" sz="1600" b="0" i="0" u="none" strike="noStrike">
                <a:solidFill>
                  <a:srgbClr val="0F11A7"/>
                </a:solidFill>
                <a:latin typeface="Calibri"/>
                <a:ea typeface="Calibri"/>
                <a:cs typeface="Calibri"/>
              </a:rPr>
              <a:pPr algn="ctr"/>
              <a:t> </a:t>
            </a:fld>
            <a:endParaRPr lang="en-IN" sz="1100"/>
          </a:p>
        </xdr:txBody>
      </xdr:sp>
    </xdr:grpSp>
    <xdr:clientData/>
  </xdr:twoCellAnchor>
  <xdr:twoCellAnchor>
    <xdr:from>
      <xdr:col>18</xdr:col>
      <xdr:colOff>338560</xdr:colOff>
      <xdr:row>22</xdr:row>
      <xdr:rowOff>49168</xdr:rowOff>
    </xdr:from>
    <xdr:to>
      <xdr:col>19</xdr:col>
      <xdr:colOff>310608</xdr:colOff>
      <xdr:row>25</xdr:row>
      <xdr:rowOff>67679</xdr:rowOff>
    </xdr:to>
    <xdr:grpSp>
      <xdr:nvGrpSpPr>
        <xdr:cNvPr id="199" name="Group 198">
          <a:extLst>
            <a:ext uri="{FF2B5EF4-FFF2-40B4-BE49-F238E27FC236}">
              <a16:creationId xmlns:a16="http://schemas.microsoft.com/office/drawing/2014/main" id="{A61C8297-DE23-4049-B500-54684C24BAD5}"/>
            </a:ext>
          </a:extLst>
        </xdr:cNvPr>
        <xdr:cNvGrpSpPr/>
      </xdr:nvGrpSpPr>
      <xdr:grpSpPr>
        <a:xfrm>
          <a:off x="11311360" y="4240168"/>
          <a:ext cx="581648" cy="590011"/>
          <a:chOff x="10843297" y="4839743"/>
          <a:chExt cx="582333" cy="583167"/>
        </a:xfrm>
      </xdr:grpSpPr>
      <xdr:sp macro="" textlink="'Pivot Tables'!BG5">
        <xdr:nvSpPr>
          <xdr:cNvPr id="200" name="TextBox 199">
            <a:extLst>
              <a:ext uri="{FF2B5EF4-FFF2-40B4-BE49-F238E27FC236}">
                <a16:creationId xmlns:a16="http://schemas.microsoft.com/office/drawing/2014/main" id="{AE136F10-9CB3-8DB7-1548-861239B3035D}"/>
              </a:ext>
            </a:extLst>
          </xdr:cNvPr>
          <xdr:cNvSpPr txBox="1"/>
        </xdr:nvSpPr>
        <xdr:spPr>
          <a:xfrm>
            <a:off x="10843297" y="4839743"/>
            <a:ext cx="582333" cy="5831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D4FB584-E81E-4D68-9837-BA0A77D11F11}" type="TxLink">
              <a:rPr lang="en-US" sz="1600" b="0" i="0" u="none" strike="noStrike">
                <a:solidFill>
                  <a:srgbClr val="C240DB"/>
                </a:solidFill>
                <a:latin typeface="Calibri"/>
                <a:ea typeface="Calibri"/>
                <a:cs typeface="Calibri"/>
              </a:rPr>
              <a:pPr algn="ctr"/>
              <a:t>•</a:t>
            </a:fld>
            <a:endParaRPr lang="en-IN" sz="1100"/>
          </a:p>
        </xdr:txBody>
      </xdr:sp>
      <xdr:sp macro="" textlink="'Pivot Tables'!BI5">
        <xdr:nvSpPr>
          <xdr:cNvPr id="201" name="TextBox 200">
            <a:extLst>
              <a:ext uri="{FF2B5EF4-FFF2-40B4-BE49-F238E27FC236}">
                <a16:creationId xmlns:a16="http://schemas.microsoft.com/office/drawing/2014/main" id="{22F46BA8-3F2B-DD1A-FB38-80A5B49E3BDA}"/>
              </a:ext>
            </a:extLst>
          </xdr:cNvPr>
          <xdr:cNvSpPr txBox="1"/>
        </xdr:nvSpPr>
        <xdr:spPr>
          <a:xfrm>
            <a:off x="10843297" y="4839743"/>
            <a:ext cx="582332" cy="5831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DF99237-F408-4176-AA72-24DC2FFEB5CC}" type="TxLink">
              <a:rPr lang="en-US" sz="1600" b="0" i="0" u="none" strike="noStrike">
                <a:solidFill>
                  <a:srgbClr val="0F11A7"/>
                </a:solidFill>
                <a:latin typeface="Calibri"/>
                <a:ea typeface="Calibri"/>
                <a:cs typeface="Calibri"/>
              </a:rPr>
              <a:pPr algn="ctr"/>
              <a:t> </a:t>
            </a:fld>
            <a:endParaRPr lang="en-IN" sz="1100"/>
          </a:p>
        </xdr:txBody>
      </xdr:sp>
    </xdr:grpSp>
    <xdr:clientData/>
  </xdr:twoCellAnchor>
  <xdr:twoCellAnchor>
    <xdr:from>
      <xdr:col>17</xdr:col>
      <xdr:colOff>569537</xdr:colOff>
      <xdr:row>22</xdr:row>
      <xdr:rowOff>143091</xdr:rowOff>
    </xdr:from>
    <xdr:to>
      <xdr:col>18</xdr:col>
      <xdr:colOff>541585</xdr:colOff>
      <xdr:row>25</xdr:row>
      <xdr:rowOff>164724</xdr:rowOff>
    </xdr:to>
    <xdr:grpSp>
      <xdr:nvGrpSpPr>
        <xdr:cNvPr id="202" name="Group 201">
          <a:extLst>
            <a:ext uri="{FF2B5EF4-FFF2-40B4-BE49-F238E27FC236}">
              <a16:creationId xmlns:a16="http://schemas.microsoft.com/office/drawing/2014/main" id="{9DD3A522-0D9C-4560-8744-46A621C21A76}"/>
            </a:ext>
          </a:extLst>
        </xdr:cNvPr>
        <xdr:cNvGrpSpPr/>
      </xdr:nvGrpSpPr>
      <xdr:grpSpPr>
        <a:xfrm>
          <a:off x="10932737" y="4334091"/>
          <a:ext cx="581648" cy="593133"/>
          <a:chOff x="10843297" y="4836656"/>
          <a:chExt cx="582333" cy="586254"/>
        </a:xfrm>
      </xdr:grpSpPr>
      <xdr:sp macro="" textlink="'Pivot Tables'!BG5">
        <xdr:nvSpPr>
          <xdr:cNvPr id="203" name="TextBox 202">
            <a:extLst>
              <a:ext uri="{FF2B5EF4-FFF2-40B4-BE49-F238E27FC236}">
                <a16:creationId xmlns:a16="http://schemas.microsoft.com/office/drawing/2014/main" id="{5C7FA382-0410-641C-6812-1AF5F40F7520}"/>
              </a:ext>
            </a:extLst>
          </xdr:cNvPr>
          <xdr:cNvSpPr txBox="1"/>
        </xdr:nvSpPr>
        <xdr:spPr>
          <a:xfrm>
            <a:off x="10843297" y="4839743"/>
            <a:ext cx="582333" cy="5831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D4FB584-E81E-4D68-9837-BA0A77D11F11}" type="TxLink">
              <a:rPr lang="en-US" sz="1600" b="0" i="0" u="none" strike="noStrike">
                <a:solidFill>
                  <a:srgbClr val="C240DB"/>
                </a:solidFill>
                <a:latin typeface="Calibri"/>
                <a:ea typeface="Calibri"/>
                <a:cs typeface="Calibri"/>
              </a:rPr>
              <a:pPr algn="ctr"/>
              <a:t>•</a:t>
            </a:fld>
            <a:endParaRPr lang="en-IN" sz="1100"/>
          </a:p>
        </xdr:txBody>
      </xdr:sp>
      <xdr:sp macro="" textlink="'Pivot Tables'!BI5">
        <xdr:nvSpPr>
          <xdr:cNvPr id="204" name="TextBox 203">
            <a:extLst>
              <a:ext uri="{FF2B5EF4-FFF2-40B4-BE49-F238E27FC236}">
                <a16:creationId xmlns:a16="http://schemas.microsoft.com/office/drawing/2014/main" id="{52FA40B2-38AE-469E-F684-FE47BBAA3471}"/>
              </a:ext>
            </a:extLst>
          </xdr:cNvPr>
          <xdr:cNvSpPr txBox="1"/>
        </xdr:nvSpPr>
        <xdr:spPr>
          <a:xfrm>
            <a:off x="10843297" y="4836656"/>
            <a:ext cx="582332" cy="5831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DF99237-F408-4176-AA72-24DC2FFEB5CC}" type="TxLink">
              <a:rPr lang="en-US" sz="1600" b="0" i="0" u="none" strike="noStrike">
                <a:solidFill>
                  <a:srgbClr val="0F11A7"/>
                </a:solidFill>
                <a:latin typeface="Calibri"/>
                <a:ea typeface="Calibri"/>
                <a:cs typeface="Calibri"/>
              </a:rPr>
              <a:pPr algn="ctr"/>
              <a:t> </a:t>
            </a:fld>
            <a:endParaRPr lang="en-IN" sz="1100"/>
          </a:p>
        </xdr:txBody>
      </xdr:sp>
    </xdr:grpSp>
    <xdr:clientData/>
  </xdr:twoCellAnchor>
  <xdr:twoCellAnchor>
    <xdr:from>
      <xdr:col>6</xdr:col>
      <xdr:colOff>257870</xdr:colOff>
      <xdr:row>3</xdr:row>
      <xdr:rowOff>42464</xdr:rowOff>
    </xdr:from>
    <xdr:to>
      <xdr:col>29</xdr:col>
      <xdr:colOff>41971</xdr:colOff>
      <xdr:row>43</xdr:row>
      <xdr:rowOff>44399</xdr:rowOff>
    </xdr:to>
    <xdr:grpSp>
      <xdr:nvGrpSpPr>
        <xdr:cNvPr id="320" name="Group 319">
          <a:extLst>
            <a:ext uri="{FF2B5EF4-FFF2-40B4-BE49-F238E27FC236}">
              <a16:creationId xmlns:a16="http://schemas.microsoft.com/office/drawing/2014/main" id="{0FA8EAA8-E3C0-3E88-A1BB-D0EF49FF965C}"/>
            </a:ext>
          </a:extLst>
        </xdr:cNvPr>
        <xdr:cNvGrpSpPr>
          <a:grpSpLocks noChangeAspect="1"/>
        </xdr:cNvGrpSpPr>
      </xdr:nvGrpSpPr>
      <xdr:grpSpPr>
        <a:xfrm>
          <a:off x="3915470" y="613964"/>
          <a:ext cx="13804901" cy="7621935"/>
          <a:chOff x="3955811" y="982154"/>
          <a:chExt cx="13959542" cy="7846052"/>
        </a:xfrm>
      </xdr:grpSpPr>
      <xdr:sp macro="" textlink="">
        <xdr:nvSpPr>
          <xdr:cNvPr id="82" name="Freeform: Shape 81">
            <a:extLst>
              <a:ext uri="{FF2B5EF4-FFF2-40B4-BE49-F238E27FC236}">
                <a16:creationId xmlns:a16="http://schemas.microsoft.com/office/drawing/2014/main" id="{6160E094-F975-8A36-7EBA-9AF3C57EF65C}"/>
              </a:ext>
            </a:extLst>
          </xdr:cNvPr>
          <xdr:cNvSpPr>
            <a:spLocks/>
          </xdr:cNvSpPr>
        </xdr:nvSpPr>
        <xdr:spPr>
          <a:xfrm>
            <a:off x="3955811" y="982154"/>
            <a:ext cx="13959542" cy="7846052"/>
          </a:xfrm>
          <a:custGeom>
            <a:avLst/>
            <a:gdLst>
              <a:gd name="csX0" fmla="*/ 0 w 12192000"/>
              <a:gd name="csY0" fmla="*/ 0 h 6858000"/>
              <a:gd name="csX1" fmla="*/ 12192000 w 12192000"/>
              <a:gd name="csY1" fmla="*/ 0 h 6858000"/>
              <a:gd name="csX2" fmla="*/ 12192000 w 12192000"/>
              <a:gd name="csY2" fmla="*/ 6858000 h 6858000"/>
              <a:gd name="csX3" fmla="*/ 0 w 12192000"/>
              <a:gd name="csY3" fmla="*/ 6858000 h 6858000"/>
              <a:gd name="csX4" fmla="*/ 0 w 12192000"/>
              <a:gd name="csY4" fmla="*/ 0 h 6858000"/>
              <a:gd name="csX5" fmla="*/ 4276215 w 12192000"/>
              <a:gd name="csY5" fmla="*/ 356871 h 6858000"/>
              <a:gd name="csX6" fmla="*/ 4241868 w 12192000"/>
              <a:gd name="csY6" fmla="*/ 391692 h 6858000"/>
              <a:gd name="csX7" fmla="*/ 4276215 w 12192000"/>
              <a:gd name="csY7" fmla="*/ 426512 h 6858000"/>
              <a:gd name="csX8" fmla="*/ 4310561 w 12192000"/>
              <a:gd name="csY8" fmla="*/ 391692 h 6858000"/>
              <a:gd name="csX9" fmla="*/ 4276215 w 12192000"/>
              <a:gd name="csY9" fmla="*/ 356871 h 6858000"/>
              <a:gd name="csX10" fmla="*/ 4359957 w 12192000"/>
              <a:gd name="csY10" fmla="*/ 356871 h 6858000"/>
              <a:gd name="csX11" fmla="*/ 4325610 w 12192000"/>
              <a:gd name="csY11" fmla="*/ 391692 h 6858000"/>
              <a:gd name="csX12" fmla="*/ 4359957 w 12192000"/>
              <a:gd name="csY12" fmla="*/ 426512 h 6858000"/>
              <a:gd name="csX13" fmla="*/ 4394304 w 12192000"/>
              <a:gd name="csY13" fmla="*/ 391692 h 6858000"/>
              <a:gd name="csX14" fmla="*/ 4359957 w 12192000"/>
              <a:gd name="csY14" fmla="*/ 356871 h 6858000"/>
              <a:gd name="csX15" fmla="*/ 4443698 w 12192000"/>
              <a:gd name="csY15" fmla="*/ 356871 h 6858000"/>
              <a:gd name="csX16" fmla="*/ 4409352 w 12192000"/>
              <a:gd name="csY16" fmla="*/ 391692 h 6858000"/>
              <a:gd name="csX17" fmla="*/ 4443698 w 12192000"/>
              <a:gd name="csY17" fmla="*/ 426512 h 6858000"/>
              <a:gd name="csX18" fmla="*/ 4478045 w 12192000"/>
              <a:gd name="csY18" fmla="*/ 391692 h 6858000"/>
              <a:gd name="csX19" fmla="*/ 4443698 w 12192000"/>
              <a:gd name="csY19" fmla="*/ 356871 h 6858000"/>
              <a:gd name="csX20" fmla="*/ 4527439 w 12192000"/>
              <a:gd name="csY20" fmla="*/ 356871 h 6858000"/>
              <a:gd name="csX21" fmla="*/ 4493093 w 12192000"/>
              <a:gd name="csY21" fmla="*/ 391692 h 6858000"/>
              <a:gd name="csX22" fmla="*/ 4527439 w 12192000"/>
              <a:gd name="csY22" fmla="*/ 426512 h 6858000"/>
              <a:gd name="csX23" fmla="*/ 4561786 w 12192000"/>
              <a:gd name="csY23" fmla="*/ 391692 h 6858000"/>
              <a:gd name="csX24" fmla="*/ 4527439 w 12192000"/>
              <a:gd name="csY24" fmla="*/ 356871 h 6858000"/>
              <a:gd name="csX25" fmla="*/ 4611182 w 12192000"/>
              <a:gd name="csY25" fmla="*/ 356871 h 6858000"/>
              <a:gd name="csX26" fmla="*/ 4576835 w 12192000"/>
              <a:gd name="csY26" fmla="*/ 391692 h 6858000"/>
              <a:gd name="csX27" fmla="*/ 4611182 w 12192000"/>
              <a:gd name="csY27" fmla="*/ 426512 h 6858000"/>
              <a:gd name="csX28" fmla="*/ 4645528 w 12192000"/>
              <a:gd name="csY28" fmla="*/ 391692 h 6858000"/>
              <a:gd name="csX29" fmla="*/ 4611182 w 12192000"/>
              <a:gd name="csY29" fmla="*/ 356871 h 6858000"/>
              <a:gd name="csX30" fmla="*/ 4108732 w 12192000"/>
              <a:gd name="csY30" fmla="*/ 441735 h 6858000"/>
              <a:gd name="csX31" fmla="*/ 4074386 w 12192000"/>
              <a:gd name="csY31" fmla="*/ 476555 h 6858000"/>
              <a:gd name="csX32" fmla="*/ 4108732 w 12192000"/>
              <a:gd name="csY32" fmla="*/ 511376 h 6858000"/>
              <a:gd name="csX33" fmla="*/ 4143079 w 12192000"/>
              <a:gd name="csY33" fmla="*/ 476555 h 6858000"/>
              <a:gd name="csX34" fmla="*/ 4108732 w 12192000"/>
              <a:gd name="csY34" fmla="*/ 441735 h 6858000"/>
              <a:gd name="csX35" fmla="*/ 4192473 w 12192000"/>
              <a:gd name="csY35" fmla="*/ 441735 h 6858000"/>
              <a:gd name="csX36" fmla="*/ 4158127 w 12192000"/>
              <a:gd name="csY36" fmla="*/ 476555 h 6858000"/>
              <a:gd name="csX37" fmla="*/ 4192473 w 12192000"/>
              <a:gd name="csY37" fmla="*/ 511376 h 6858000"/>
              <a:gd name="csX38" fmla="*/ 4226820 w 12192000"/>
              <a:gd name="csY38" fmla="*/ 476555 h 6858000"/>
              <a:gd name="csX39" fmla="*/ 4192473 w 12192000"/>
              <a:gd name="csY39" fmla="*/ 441735 h 6858000"/>
              <a:gd name="csX40" fmla="*/ 4276215 w 12192000"/>
              <a:gd name="csY40" fmla="*/ 441735 h 6858000"/>
              <a:gd name="csX41" fmla="*/ 4241868 w 12192000"/>
              <a:gd name="csY41" fmla="*/ 476555 h 6858000"/>
              <a:gd name="csX42" fmla="*/ 4276215 w 12192000"/>
              <a:gd name="csY42" fmla="*/ 511376 h 6858000"/>
              <a:gd name="csX43" fmla="*/ 4310561 w 12192000"/>
              <a:gd name="csY43" fmla="*/ 476555 h 6858000"/>
              <a:gd name="csX44" fmla="*/ 4276215 w 12192000"/>
              <a:gd name="csY44" fmla="*/ 441735 h 6858000"/>
              <a:gd name="csX45" fmla="*/ 4359957 w 12192000"/>
              <a:gd name="csY45" fmla="*/ 441735 h 6858000"/>
              <a:gd name="csX46" fmla="*/ 4325610 w 12192000"/>
              <a:gd name="csY46" fmla="*/ 476555 h 6858000"/>
              <a:gd name="csX47" fmla="*/ 4359957 w 12192000"/>
              <a:gd name="csY47" fmla="*/ 511376 h 6858000"/>
              <a:gd name="csX48" fmla="*/ 4394304 w 12192000"/>
              <a:gd name="csY48" fmla="*/ 476555 h 6858000"/>
              <a:gd name="csX49" fmla="*/ 4359957 w 12192000"/>
              <a:gd name="csY49" fmla="*/ 441735 h 6858000"/>
              <a:gd name="csX50" fmla="*/ 4443698 w 12192000"/>
              <a:gd name="csY50" fmla="*/ 441735 h 6858000"/>
              <a:gd name="csX51" fmla="*/ 4409352 w 12192000"/>
              <a:gd name="csY51" fmla="*/ 476555 h 6858000"/>
              <a:gd name="csX52" fmla="*/ 4443698 w 12192000"/>
              <a:gd name="csY52" fmla="*/ 511376 h 6858000"/>
              <a:gd name="csX53" fmla="*/ 4478045 w 12192000"/>
              <a:gd name="csY53" fmla="*/ 476555 h 6858000"/>
              <a:gd name="csX54" fmla="*/ 4443698 w 12192000"/>
              <a:gd name="csY54" fmla="*/ 441735 h 6858000"/>
              <a:gd name="csX55" fmla="*/ 4527439 w 12192000"/>
              <a:gd name="csY55" fmla="*/ 441735 h 6858000"/>
              <a:gd name="csX56" fmla="*/ 4493093 w 12192000"/>
              <a:gd name="csY56" fmla="*/ 476555 h 6858000"/>
              <a:gd name="csX57" fmla="*/ 4527439 w 12192000"/>
              <a:gd name="csY57" fmla="*/ 511376 h 6858000"/>
              <a:gd name="csX58" fmla="*/ 4561786 w 12192000"/>
              <a:gd name="csY58" fmla="*/ 476555 h 6858000"/>
              <a:gd name="csX59" fmla="*/ 4527439 w 12192000"/>
              <a:gd name="csY59" fmla="*/ 441735 h 6858000"/>
              <a:gd name="csX60" fmla="*/ 4611182 w 12192000"/>
              <a:gd name="csY60" fmla="*/ 441735 h 6858000"/>
              <a:gd name="csX61" fmla="*/ 4576835 w 12192000"/>
              <a:gd name="csY61" fmla="*/ 476555 h 6858000"/>
              <a:gd name="csX62" fmla="*/ 4611182 w 12192000"/>
              <a:gd name="csY62" fmla="*/ 511376 h 6858000"/>
              <a:gd name="csX63" fmla="*/ 4645528 w 12192000"/>
              <a:gd name="csY63" fmla="*/ 476555 h 6858000"/>
              <a:gd name="csX64" fmla="*/ 4611182 w 12192000"/>
              <a:gd name="csY64" fmla="*/ 441735 h 6858000"/>
              <a:gd name="csX65" fmla="*/ 4694923 w 12192000"/>
              <a:gd name="csY65" fmla="*/ 441735 h 6858000"/>
              <a:gd name="csX66" fmla="*/ 4660576 w 12192000"/>
              <a:gd name="csY66" fmla="*/ 476555 h 6858000"/>
              <a:gd name="csX67" fmla="*/ 4694923 w 12192000"/>
              <a:gd name="csY67" fmla="*/ 511376 h 6858000"/>
              <a:gd name="csX68" fmla="*/ 4729270 w 12192000"/>
              <a:gd name="csY68" fmla="*/ 476555 h 6858000"/>
              <a:gd name="csX69" fmla="*/ 4694923 w 12192000"/>
              <a:gd name="csY69" fmla="*/ 441735 h 6858000"/>
              <a:gd name="csX70" fmla="*/ 5113631 w 12192000"/>
              <a:gd name="csY70" fmla="*/ 441735 h 6858000"/>
              <a:gd name="csX71" fmla="*/ 5079285 w 12192000"/>
              <a:gd name="csY71" fmla="*/ 476555 h 6858000"/>
              <a:gd name="csX72" fmla="*/ 5113631 w 12192000"/>
              <a:gd name="csY72" fmla="*/ 511376 h 6858000"/>
              <a:gd name="csX73" fmla="*/ 5147978 w 12192000"/>
              <a:gd name="csY73" fmla="*/ 476555 h 6858000"/>
              <a:gd name="csX74" fmla="*/ 5113631 w 12192000"/>
              <a:gd name="csY74" fmla="*/ 441735 h 6858000"/>
              <a:gd name="csX75" fmla="*/ 5197372 w 12192000"/>
              <a:gd name="csY75" fmla="*/ 441735 h 6858000"/>
              <a:gd name="csX76" fmla="*/ 5163026 w 12192000"/>
              <a:gd name="csY76" fmla="*/ 476555 h 6858000"/>
              <a:gd name="csX77" fmla="*/ 5197372 w 12192000"/>
              <a:gd name="csY77" fmla="*/ 511376 h 6858000"/>
              <a:gd name="csX78" fmla="*/ 5231719 w 12192000"/>
              <a:gd name="csY78" fmla="*/ 476555 h 6858000"/>
              <a:gd name="csX79" fmla="*/ 5197372 w 12192000"/>
              <a:gd name="csY79" fmla="*/ 441735 h 6858000"/>
              <a:gd name="csX80" fmla="*/ 5364856 w 12192000"/>
              <a:gd name="csY80" fmla="*/ 441735 h 6858000"/>
              <a:gd name="csX81" fmla="*/ 5330509 w 12192000"/>
              <a:gd name="csY81" fmla="*/ 476555 h 6858000"/>
              <a:gd name="csX82" fmla="*/ 5364856 w 12192000"/>
              <a:gd name="csY82" fmla="*/ 511376 h 6858000"/>
              <a:gd name="csX83" fmla="*/ 5399203 w 12192000"/>
              <a:gd name="csY83" fmla="*/ 476555 h 6858000"/>
              <a:gd name="csX84" fmla="*/ 5364856 w 12192000"/>
              <a:gd name="csY84" fmla="*/ 441735 h 6858000"/>
              <a:gd name="csX85" fmla="*/ 7625906 w 12192000"/>
              <a:gd name="csY85" fmla="*/ 441735 h 6858000"/>
              <a:gd name="csX86" fmla="*/ 7591553 w 12192000"/>
              <a:gd name="csY86" fmla="*/ 476555 h 6858000"/>
              <a:gd name="csX87" fmla="*/ 7625906 w 12192000"/>
              <a:gd name="csY87" fmla="*/ 511376 h 6858000"/>
              <a:gd name="csX88" fmla="*/ 7660246 w 12192000"/>
              <a:gd name="csY88" fmla="*/ 476555 h 6858000"/>
              <a:gd name="csX89" fmla="*/ 7625906 w 12192000"/>
              <a:gd name="csY89" fmla="*/ 441735 h 6858000"/>
              <a:gd name="csX90" fmla="*/ 3606276 w 12192000"/>
              <a:gd name="csY90" fmla="*/ 526599 h 6858000"/>
              <a:gd name="csX91" fmla="*/ 3571929 w 12192000"/>
              <a:gd name="csY91" fmla="*/ 561419 h 6858000"/>
              <a:gd name="csX92" fmla="*/ 3606276 w 12192000"/>
              <a:gd name="csY92" fmla="*/ 596239 h 6858000"/>
              <a:gd name="csX93" fmla="*/ 3640622 w 12192000"/>
              <a:gd name="csY93" fmla="*/ 561419 h 6858000"/>
              <a:gd name="csX94" fmla="*/ 3606276 w 12192000"/>
              <a:gd name="csY94" fmla="*/ 526599 h 6858000"/>
              <a:gd name="csX95" fmla="*/ 3773759 w 12192000"/>
              <a:gd name="csY95" fmla="*/ 526599 h 6858000"/>
              <a:gd name="csX96" fmla="*/ 3739412 w 12192000"/>
              <a:gd name="csY96" fmla="*/ 561419 h 6858000"/>
              <a:gd name="csX97" fmla="*/ 3773759 w 12192000"/>
              <a:gd name="csY97" fmla="*/ 596239 h 6858000"/>
              <a:gd name="csX98" fmla="*/ 3808106 w 12192000"/>
              <a:gd name="csY98" fmla="*/ 561419 h 6858000"/>
              <a:gd name="csX99" fmla="*/ 3773759 w 12192000"/>
              <a:gd name="csY99" fmla="*/ 526599 h 6858000"/>
              <a:gd name="csX100" fmla="*/ 4024990 w 12192000"/>
              <a:gd name="csY100" fmla="*/ 526599 h 6858000"/>
              <a:gd name="csX101" fmla="*/ 3990643 w 12192000"/>
              <a:gd name="csY101" fmla="*/ 561419 h 6858000"/>
              <a:gd name="csX102" fmla="*/ 4024990 w 12192000"/>
              <a:gd name="csY102" fmla="*/ 596239 h 6858000"/>
              <a:gd name="csX103" fmla="*/ 4059337 w 12192000"/>
              <a:gd name="csY103" fmla="*/ 561419 h 6858000"/>
              <a:gd name="csX104" fmla="*/ 4024990 w 12192000"/>
              <a:gd name="csY104" fmla="*/ 526599 h 6858000"/>
              <a:gd name="csX105" fmla="*/ 4108732 w 12192000"/>
              <a:gd name="csY105" fmla="*/ 526599 h 6858000"/>
              <a:gd name="csX106" fmla="*/ 4074386 w 12192000"/>
              <a:gd name="csY106" fmla="*/ 561419 h 6858000"/>
              <a:gd name="csX107" fmla="*/ 4108732 w 12192000"/>
              <a:gd name="csY107" fmla="*/ 596239 h 6858000"/>
              <a:gd name="csX108" fmla="*/ 4143079 w 12192000"/>
              <a:gd name="csY108" fmla="*/ 561419 h 6858000"/>
              <a:gd name="csX109" fmla="*/ 4108732 w 12192000"/>
              <a:gd name="csY109" fmla="*/ 526599 h 6858000"/>
              <a:gd name="csX110" fmla="*/ 4443698 w 12192000"/>
              <a:gd name="csY110" fmla="*/ 526599 h 6858000"/>
              <a:gd name="csX111" fmla="*/ 4409352 w 12192000"/>
              <a:gd name="csY111" fmla="*/ 561419 h 6858000"/>
              <a:gd name="csX112" fmla="*/ 4443698 w 12192000"/>
              <a:gd name="csY112" fmla="*/ 596239 h 6858000"/>
              <a:gd name="csX113" fmla="*/ 4478045 w 12192000"/>
              <a:gd name="csY113" fmla="*/ 561419 h 6858000"/>
              <a:gd name="csX114" fmla="*/ 4443698 w 12192000"/>
              <a:gd name="csY114" fmla="*/ 526599 h 6858000"/>
              <a:gd name="csX115" fmla="*/ 4527439 w 12192000"/>
              <a:gd name="csY115" fmla="*/ 526599 h 6858000"/>
              <a:gd name="csX116" fmla="*/ 4493093 w 12192000"/>
              <a:gd name="csY116" fmla="*/ 561419 h 6858000"/>
              <a:gd name="csX117" fmla="*/ 4527439 w 12192000"/>
              <a:gd name="csY117" fmla="*/ 596239 h 6858000"/>
              <a:gd name="csX118" fmla="*/ 4561786 w 12192000"/>
              <a:gd name="csY118" fmla="*/ 561419 h 6858000"/>
              <a:gd name="csX119" fmla="*/ 4527439 w 12192000"/>
              <a:gd name="csY119" fmla="*/ 526599 h 6858000"/>
              <a:gd name="csX120" fmla="*/ 4778665 w 12192000"/>
              <a:gd name="csY120" fmla="*/ 526599 h 6858000"/>
              <a:gd name="csX121" fmla="*/ 4744319 w 12192000"/>
              <a:gd name="csY121" fmla="*/ 561419 h 6858000"/>
              <a:gd name="csX122" fmla="*/ 4778665 w 12192000"/>
              <a:gd name="csY122" fmla="*/ 596239 h 6858000"/>
              <a:gd name="csX123" fmla="*/ 4813012 w 12192000"/>
              <a:gd name="csY123" fmla="*/ 561419 h 6858000"/>
              <a:gd name="csX124" fmla="*/ 4778665 w 12192000"/>
              <a:gd name="csY124" fmla="*/ 526599 h 6858000"/>
              <a:gd name="csX125" fmla="*/ 4946148 w 12192000"/>
              <a:gd name="csY125" fmla="*/ 526599 h 6858000"/>
              <a:gd name="csX126" fmla="*/ 4911801 w 12192000"/>
              <a:gd name="csY126" fmla="*/ 561419 h 6858000"/>
              <a:gd name="csX127" fmla="*/ 4946148 w 12192000"/>
              <a:gd name="csY127" fmla="*/ 596239 h 6858000"/>
              <a:gd name="csX128" fmla="*/ 4980494 w 12192000"/>
              <a:gd name="csY128" fmla="*/ 561419 h 6858000"/>
              <a:gd name="csX129" fmla="*/ 4946148 w 12192000"/>
              <a:gd name="csY129" fmla="*/ 526599 h 6858000"/>
              <a:gd name="csX130" fmla="*/ 5113631 w 12192000"/>
              <a:gd name="csY130" fmla="*/ 526599 h 6858000"/>
              <a:gd name="csX131" fmla="*/ 5079285 w 12192000"/>
              <a:gd name="csY131" fmla="*/ 561419 h 6858000"/>
              <a:gd name="csX132" fmla="*/ 5113631 w 12192000"/>
              <a:gd name="csY132" fmla="*/ 596239 h 6858000"/>
              <a:gd name="csX133" fmla="*/ 5147978 w 12192000"/>
              <a:gd name="csY133" fmla="*/ 561419 h 6858000"/>
              <a:gd name="csX134" fmla="*/ 5113631 w 12192000"/>
              <a:gd name="csY134" fmla="*/ 526599 h 6858000"/>
              <a:gd name="csX135" fmla="*/ 5197372 w 12192000"/>
              <a:gd name="csY135" fmla="*/ 526599 h 6858000"/>
              <a:gd name="csX136" fmla="*/ 5163026 w 12192000"/>
              <a:gd name="csY136" fmla="*/ 561419 h 6858000"/>
              <a:gd name="csX137" fmla="*/ 5197372 w 12192000"/>
              <a:gd name="csY137" fmla="*/ 596239 h 6858000"/>
              <a:gd name="csX138" fmla="*/ 5231719 w 12192000"/>
              <a:gd name="csY138" fmla="*/ 561419 h 6858000"/>
              <a:gd name="csX139" fmla="*/ 5197372 w 12192000"/>
              <a:gd name="csY139" fmla="*/ 526599 h 6858000"/>
              <a:gd name="csX140" fmla="*/ 5281115 w 12192000"/>
              <a:gd name="csY140" fmla="*/ 526599 h 6858000"/>
              <a:gd name="csX141" fmla="*/ 5246768 w 12192000"/>
              <a:gd name="csY141" fmla="*/ 561419 h 6858000"/>
              <a:gd name="csX142" fmla="*/ 5281115 w 12192000"/>
              <a:gd name="csY142" fmla="*/ 596239 h 6858000"/>
              <a:gd name="csX143" fmla="*/ 5315461 w 12192000"/>
              <a:gd name="csY143" fmla="*/ 561419 h 6858000"/>
              <a:gd name="csX144" fmla="*/ 5281115 w 12192000"/>
              <a:gd name="csY144" fmla="*/ 526599 h 6858000"/>
              <a:gd name="csX145" fmla="*/ 5364856 w 12192000"/>
              <a:gd name="csY145" fmla="*/ 526599 h 6858000"/>
              <a:gd name="csX146" fmla="*/ 5330509 w 12192000"/>
              <a:gd name="csY146" fmla="*/ 561419 h 6858000"/>
              <a:gd name="csX147" fmla="*/ 5364856 w 12192000"/>
              <a:gd name="csY147" fmla="*/ 596239 h 6858000"/>
              <a:gd name="csX148" fmla="*/ 5399203 w 12192000"/>
              <a:gd name="csY148" fmla="*/ 561419 h 6858000"/>
              <a:gd name="csX149" fmla="*/ 5364856 w 12192000"/>
              <a:gd name="csY149" fmla="*/ 526599 h 6858000"/>
              <a:gd name="csX150" fmla="*/ 5448598 w 12192000"/>
              <a:gd name="csY150" fmla="*/ 526599 h 6858000"/>
              <a:gd name="csX151" fmla="*/ 5414252 w 12192000"/>
              <a:gd name="csY151" fmla="*/ 561419 h 6858000"/>
              <a:gd name="csX152" fmla="*/ 5448598 w 12192000"/>
              <a:gd name="csY152" fmla="*/ 596239 h 6858000"/>
              <a:gd name="csX153" fmla="*/ 5482945 w 12192000"/>
              <a:gd name="csY153" fmla="*/ 561419 h 6858000"/>
              <a:gd name="csX154" fmla="*/ 5448598 w 12192000"/>
              <a:gd name="csY154" fmla="*/ 526599 h 6858000"/>
              <a:gd name="csX155" fmla="*/ 7039688 w 12192000"/>
              <a:gd name="csY155" fmla="*/ 526599 h 6858000"/>
              <a:gd name="csX156" fmla="*/ 7005335 w 12192000"/>
              <a:gd name="csY156" fmla="*/ 561419 h 6858000"/>
              <a:gd name="csX157" fmla="*/ 7039688 w 12192000"/>
              <a:gd name="csY157" fmla="*/ 596239 h 6858000"/>
              <a:gd name="csX158" fmla="*/ 7074029 w 12192000"/>
              <a:gd name="csY158" fmla="*/ 561419 h 6858000"/>
              <a:gd name="csX159" fmla="*/ 7039688 w 12192000"/>
              <a:gd name="csY159" fmla="*/ 526599 h 6858000"/>
              <a:gd name="csX160" fmla="*/ 7709647 w 12192000"/>
              <a:gd name="csY160" fmla="*/ 526599 h 6858000"/>
              <a:gd name="csX161" fmla="*/ 7675294 w 12192000"/>
              <a:gd name="csY161" fmla="*/ 561419 h 6858000"/>
              <a:gd name="csX162" fmla="*/ 7709647 w 12192000"/>
              <a:gd name="csY162" fmla="*/ 596239 h 6858000"/>
              <a:gd name="csX163" fmla="*/ 7743988 w 12192000"/>
              <a:gd name="csY163" fmla="*/ 561419 h 6858000"/>
              <a:gd name="csX164" fmla="*/ 7709647 w 12192000"/>
              <a:gd name="csY164" fmla="*/ 526599 h 6858000"/>
              <a:gd name="csX165" fmla="*/ 7793389 w 12192000"/>
              <a:gd name="csY165" fmla="*/ 526599 h 6858000"/>
              <a:gd name="csX166" fmla="*/ 7759036 w 12192000"/>
              <a:gd name="csY166" fmla="*/ 561419 h 6858000"/>
              <a:gd name="csX167" fmla="*/ 7793389 w 12192000"/>
              <a:gd name="csY167" fmla="*/ 596239 h 6858000"/>
              <a:gd name="csX168" fmla="*/ 7827729 w 12192000"/>
              <a:gd name="csY168" fmla="*/ 561419 h 6858000"/>
              <a:gd name="csX169" fmla="*/ 7793389 w 12192000"/>
              <a:gd name="csY169" fmla="*/ 526599 h 6858000"/>
              <a:gd name="csX170" fmla="*/ 8965772 w 12192000"/>
              <a:gd name="csY170" fmla="*/ 526599 h 6858000"/>
              <a:gd name="csX171" fmla="*/ 8931419 w 12192000"/>
              <a:gd name="csY171" fmla="*/ 561419 h 6858000"/>
              <a:gd name="csX172" fmla="*/ 8965772 w 12192000"/>
              <a:gd name="csY172" fmla="*/ 596239 h 6858000"/>
              <a:gd name="csX173" fmla="*/ 9000112 w 12192000"/>
              <a:gd name="csY173" fmla="*/ 561419 h 6858000"/>
              <a:gd name="csX174" fmla="*/ 8965772 w 12192000"/>
              <a:gd name="csY174" fmla="*/ 526599 h 6858000"/>
              <a:gd name="csX175" fmla="*/ 9133256 w 12192000"/>
              <a:gd name="csY175" fmla="*/ 526599 h 6858000"/>
              <a:gd name="csX176" fmla="*/ 9098903 w 12192000"/>
              <a:gd name="csY176" fmla="*/ 561419 h 6858000"/>
              <a:gd name="csX177" fmla="*/ 9133256 w 12192000"/>
              <a:gd name="csY177" fmla="*/ 596239 h 6858000"/>
              <a:gd name="csX178" fmla="*/ 9167596 w 12192000"/>
              <a:gd name="csY178" fmla="*/ 561419 h 6858000"/>
              <a:gd name="csX179" fmla="*/ 9133256 w 12192000"/>
              <a:gd name="csY179" fmla="*/ 526599 h 6858000"/>
              <a:gd name="csX180" fmla="*/ 3271309 w 12192000"/>
              <a:gd name="csY180" fmla="*/ 611463 h 6858000"/>
              <a:gd name="csX181" fmla="*/ 3236962 w 12192000"/>
              <a:gd name="csY181" fmla="*/ 646284 h 6858000"/>
              <a:gd name="csX182" fmla="*/ 3271309 w 12192000"/>
              <a:gd name="csY182" fmla="*/ 681104 h 6858000"/>
              <a:gd name="csX183" fmla="*/ 3305655 w 12192000"/>
              <a:gd name="csY183" fmla="*/ 646284 h 6858000"/>
              <a:gd name="csX184" fmla="*/ 3271309 w 12192000"/>
              <a:gd name="csY184" fmla="*/ 611463 h 6858000"/>
              <a:gd name="csX185" fmla="*/ 3355051 w 12192000"/>
              <a:gd name="csY185" fmla="*/ 611463 h 6858000"/>
              <a:gd name="csX186" fmla="*/ 3320704 w 12192000"/>
              <a:gd name="csY186" fmla="*/ 646284 h 6858000"/>
              <a:gd name="csX187" fmla="*/ 3355051 w 12192000"/>
              <a:gd name="csY187" fmla="*/ 681104 h 6858000"/>
              <a:gd name="csX188" fmla="*/ 3389398 w 12192000"/>
              <a:gd name="csY188" fmla="*/ 646284 h 6858000"/>
              <a:gd name="csX189" fmla="*/ 3355051 w 12192000"/>
              <a:gd name="csY189" fmla="*/ 611463 h 6858000"/>
              <a:gd name="csX190" fmla="*/ 3522533 w 12192000"/>
              <a:gd name="csY190" fmla="*/ 611463 h 6858000"/>
              <a:gd name="csX191" fmla="*/ 3488187 w 12192000"/>
              <a:gd name="csY191" fmla="*/ 646284 h 6858000"/>
              <a:gd name="csX192" fmla="*/ 3522533 w 12192000"/>
              <a:gd name="csY192" fmla="*/ 681104 h 6858000"/>
              <a:gd name="csX193" fmla="*/ 3556880 w 12192000"/>
              <a:gd name="csY193" fmla="*/ 646284 h 6858000"/>
              <a:gd name="csX194" fmla="*/ 3522533 w 12192000"/>
              <a:gd name="csY194" fmla="*/ 611463 h 6858000"/>
              <a:gd name="csX195" fmla="*/ 3773759 w 12192000"/>
              <a:gd name="csY195" fmla="*/ 611463 h 6858000"/>
              <a:gd name="csX196" fmla="*/ 3739412 w 12192000"/>
              <a:gd name="csY196" fmla="*/ 646284 h 6858000"/>
              <a:gd name="csX197" fmla="*/ 3773759 w 12192000"/>
              <a:gd name="csY197" fmla="*/ 681104 h 6858000"/>
              <a:gd name="csX198" fmla="*/ 3808106 w 12192000"/>
              <a:gd name="csY198" fmla="*/ 646284 h 6858000"/>
              <a:gd name="csX199" fmla="*/ 3773759 w 12192000"/>
              <a:gd name="csY199" fmla="*/ 611463 h 6858000"/>
              <a:gd name="csX200" fmla="*/ 4024990 w 12192000"/>
              <a:gd name="csY200" fmla="*/ 611463 h 6858000"/>
              <a:gd name="csX201" fmla="*/ 3990643 w 12192000"/>
              <a:gd name="csY201" fmla="*/ 646284 h 6858000"/>
              <a:gd name="csX202" fmla="*/ 4024990 w 12192000"/>
              <a:gd name="csY202" fmla="*/ 681104 h 6858000"/>
              <a:gd name="csX203" fmla="*/ 4059337 w 12192000"/>
              <a:gd name="csY203" fmla="*/ 646284 h 6858000"/>
              <a:gd name="csX204" fmla="*/ 4024990 w 12192000"/>
              <a:gd name="csY204" fmla="*/ 611463 h 6858000"/>
              <a:gd name="csX205" fmla="*/ 4192473 w 12192000"/>
              <a:gd name="csY205" fmla="*/ 611463 h 6858000"/>
              <a:gd name="csX206" fmla="*/ 4158127 w 12192000"/>
              <a:gd name="csY206" fmla="*/ 646284 h 6858000"/>
              <a:gd name="csX207" fmla="*/ 4192473 w 12192000"/>
              <a:gd name="csY207" fmla="*/ 681104 h 6858000"/>
              <a:gd name="csX208" fmla="*/ 4226820 w 12192000"/>
              <a:gd name="csY208" fmla="*/ 646284 h 6858000"/>
              <a:gd name="csX209" fmla="*/ 4192473 w 12192000"/>
              <a:gd name="csY209" fmla="*/ 611463 h 6858000"/>
              <a:gd name="csX210" fmla="*/ 4276215 w 12192000"/>
              <a:gd name="csY210" fmla="*/ 611463 h 6858000"/>
              <a:gd name="csX211" fmla="*/ 4241868 w 12192000"/>
              <a:gd name="csY211" fmla="*/ 646284 h 6858000"/>
              <a:gd name="csX212" fmla="*/ 4276215 w 12192000"/>
              <a:gd name="csY212" fmla="*/ 681104 h 6858000"/>
              <a:gd name="csX213" fmla="*/ 4310561 w 12192000"/>
              <a:gd name="csY213" fmla="*/ 646284 h 6858000"/>
              <a:gd name="csX214" fmla="*/ 4276215 w 12192000"/>
              <a:gd name="csY214" fmla="*/ 611463 h 6858000"/>
              <a:gd name="csX215" fmla="*/ 4359957 w 12192000"/>
              <a:gd name="csY215" fmla="*/ 611463 h 6858000"/>
              <a:gd name="csX216" fmla="*/ 4325610 w 12192000"/>
              <a:gd name="csY216" fmla="*/ 646284 h 6858000"/>
              <a:gd name="csX217" fmla="*/ 4359957 w 12192000"/>
              <a:gd name="csY217" fmla="*/ 681104 h 6858000"/>
              <a:gd name="csX218" fmla="*/ 4394304 w 12192000"/>
              <a:gd name="csY218" fmla="*/ 646284 h 6858000"/>
              <a:gd name="csX219" fmla="*/ 4359957 w 12192000"/>
              <a:gd name="csY219" fmla="*/ 611463 h 6858000"/>
              <a:gd name="csX220" fmla="*/ 4443698 w 12192000"/>
              <a:gd name="csY220" fmla="*/ 611463 h 6858000"/>
              <a:gd name="csX221" fmla="*/ 4409352 w 12192000"/>
              <a:gd name="csY221" fmla="*/ 646284 h 6858000"/>
              <a:gd name="csX222" fmla="*/ 4443698 w 12192000"/>
              <a:gd name="csY222" fmla="*/ 681104 h 6858000"/>
              <a:gd name="csX223" fmla="*/ 4478045 w 12192000"/>
              <a:gd name="csY223" fmla="*/ 646284 h 6858000"/>
              <a:gd name="csX224" fmla="*/ 4443698 w 12192000"/>
              <a:gd name="csY224" fmla="*/ 611463 h 6858000"/>
              <a:gd name="csX225" fmla="*/ 4611182 w 12192000"/>
              <a:gd name="csY225" fmla="*/ 611463 h 6858000"/>
              <a:gd name="csX226" fmla="*/ 4576835 w 12192000"/>
              <a:gd name="csY226" fmla="*/ 646284 h 6858000"/>
              <a:gd name="csX227" fmla="*/ 4611182 w 12192000"/>
              <a:gd name="csY227" fmla="*/ 681104 h 6858000"/>
              <a:gd name="csX228" fmla="*/ 4645528 w 12192000"/>
              <a:gd name="csY228" fmla="*/ 646284 h 6858000"/>
              <a:gd name="csX229" fmla="*/ 4611182 w 12192000"/>
              <a:gd name="csY229" fmla="*/ 611463 h 6858000"/>
              <a:gd name="csX230" fmla="*/ 4694923 w 12192000"/>
              <a:gd name="csY230" fmla="*/ 611463 h 6858000"/>
              <a:gd name="csX231" fmla="*/ 4660576 w 12192000"/>
              <a:gd name="csY231" fmla="*/ 646284 h 6858000"/>
              <a:gd name="csX232" fmla="*/ 4694923 w 12192000"/>
              <a:gd name="csY232" fmla="*/ 681104 h 6858000"/>
              <a:gd name="csX233" fmla="*/ 4729270 w 12192000"/>
              <a:gd name="csY233" fmla="*/ 646284 h 6858000"/>
              <a:gd name="csX234" fmla="*/ 4694923 w 12192000"/>
              <a:gd name="csY234" fmla="*/ 611463 h 6858000"/>
              <a:gd name="csX235" fmla="*/ 4778665 w 12192000"/>
              <a:gd name="csY235" fmla="*/ 611463 h 6858000"/>
              <a:gd name="csX236" fmla="*/ 4744319 w 12192000"/>
              <a:gd name="csY236" fmla="*/ 646284 h 6858000"/>
              <a:gd name="csX237" fmla="*/ 4778665 w 12192000"/>
              <a:gd name="csY237" fmla="*/ 681104 h 6858000"/>
              <a:gd name="csX238" fmla="*/ 4813012 w 12192000"/>
              <a:gd name="csY238" fmla="*/ 646284 h 6858000"/>
              <a:gd name="csX239" fmla="*/ 4778665 w 12192000"/>
              <a:gd name="csY239" fmla="*/ 611463 h 6858000"/>
              <a:gd name="csX240" fmla="*/ 4862406 w 12192000"/>
              <a:gd name="csY240" fmla="*/ 611463 h 6858000"/>
              <a:gd name="csX241" fmla="*/ 4828060 w 12192000"/>
              <a:gd name="csY241" fmla="*/ 646284 h 6858000"/>
              <a:gd name="csX242" fmla="*/ 4862406 w 12192000"/>
              <a:gd name="csY242" fmla="*/ 681104 h 6858000"/>
              <a:gd name="csX243" fmla="*/ 4896753 w 12192000"/>
              <a:gd name="csY243" fmla="*/ 646284 h 6858000"/>
              <a:gd name="csX244" fmla="*/ 4862406 w 12192000"/>
              <a:gd name="csY244" fmla="*/ 611463 h 6858000"/>
              <a:gd name="csX245" fmla="*/ 4946148 w 12192000"/>
              <a:gd name="csY245" fmla="*/ 611463 h 6858000"/>
              <a:gd name="csX246" fmla="*/ 4911801 w 12192000"/>
              <a:gd name="csY246" fmla="*/ 646284 h 6858000"/>
              <a:gd name="csX247" fmla="*/ 4946148 w 12192000"/>
              <a:gd name="csY247" fmla="*/ 681104 h 6858000"/>
              <a:gd name="csX248" fmla="*/ 4980494 w 12192000"/>
              <a:gd name="csY248" fmla="*/ 646284 h 6858000"/>
              <a:gd name="csX249" fmla="*/ 4946148 w 12192000"/>
              <a:gd name="csY249" fmla="*/ 611463 h 6858000"/>
              <a:gd name="csX250" fmla="*/ 5029890 w 12192000"/>
              <a:gd name="csY250" fmla="*/ 611463 h 6858000"/>
              <a:gd name="csX251" fmla="*/ 4995543 w 12192000"/>
              <a:gd name="csY251" fmla="*/ 646284 h 6858000"/>
              <a:gd name="csX252" fmla="*/ 5029890 w 12192000"/>
              <a:gd name="csY252" fmla="*/ 681104 h 6858000"/>
              <a:gd name="csX253" fmla="*/ 5064237 w 12192000"/>
              <a:gd name="csY253" fmla="*/ 646284 h 6858000"/>
              <a:gd name="csX254" fmla="*/ 5029890 w 12192000"/>
              <a:gd name="csY254" fmla="*/ 611463 h 6858000"/>
              <a:gd name="csX255" fmla="*/ 5113631 w 12192000"/>
              <a:gd name="csY255" fmla="*/ 611463 h 6858000"/>
              <a:gd name="csX256" fmla="*/ 5079285 w 12192000"/>
              <a:gd name="csY256" fmla="*/ 646284 h 6858000"/>
              <a:gd name="csX257" fmla="*/ 5113631 w 12192000"/>
              <a:gd name="csY257" fmla="*/ 681104 h 6858000"/>
              <a:gd name="csX258" fmla="*/ 5147978 w 12192000"/>
              <a:gd name="csY258" fmla="*/ 646284 h 6858000"/>
              <a:gd name="csX259" fmla="*/ 5113631 w 12192000"/>
              <a:gd name="csY259" fmla="*/ 611463 h 6858000"/>
              <a:gd name="csX260" fmla="*/ 5197372 w 12192000"/>
              <a:gd name="csY260" fmla="*/ 611463 h 6858000"/>
              <a:gd name="csX261" fmla="*/ 5163026 w 12192000"/>
              <a:gd name="csY261" fmla="*/ 646284 h 6858000"/>
              <a:gd name="csX262" fmla="*/ 5197372 w 12192000"/>
              <a:gd name="csY262" fmla="*/ 681104 h 6858000"/>
              <a:gd name="csX263" fmla="*/ 5231719 w 12192000"/>
              <a:gd name="csY263" fmla="*/ 646284 h 6858000"/>
              <a:gd name="csX264" fmla="*/ 5197372 w 12192000"/>
              <a:gd name="csY264" fmla="*/ 611463 h 6858000"/>
              <a:gd name="csX265" fmla="*/ 5281115 w 12192000"/>
              <a:gd name="csY265" fmla="*/ 611463 h 6858000"/>
              <a:gd name="csX266" fmla="*/ 5246768 w 12192000"/>
              <a:gd name="csY266" fmla="*/ 646284 h 6858000"/>
              <a:gd name="csX267" fmla="*/ 5281115 w 12192000"/>
              <a:gd name="csY267" fmla="*/ 681104 h 6858000"/>
              <a:gd name="csX268" fmla="*/ 5315461 w 12192000"/>
              <a:gd name="csY268" fmla="*/ 646284 h 6858000"/>
              <a:gd name="csX269" fmla="*/ 5281115 w 12192000"/>
              <a:gd name="csY269" fmla="*/ 611463 h 6858000"/>
              <a:gd name="csX270" fmla="*/ 5364856 w 12192000"/>
              <a:gd name="csY270" fmla="*/ 611463 h 6858000"/>
              <a:gd name="csX271" fmla="*/ 5330509 w 12192000"/>
              <a:gd name="csY271" fmla="*/ 646284 h 6858000"/>
              <a:gd name="csX272" fmla="*/ 5364856 w 12192000"/>
              <a:gd name="csY272" fmla="*/ 681104 h 6858000"/>
              <a:gd name="csX273" fmla="*/ 5399203 w 12192000"/>
              <a:gd name="csY273" fmla="*/ 646284 h 6858000"/>
              <a:gd name="csX274" fmla="*/ 5364856 w 12192000"/>
              <a:gd name="csY274" fmla="*/ 611463 h 6858000"/>
              <a:gd name="csX275" fmla="*/ 6955947 w 12192000"/>
              <a:gd name="csY275" fmla="*/ 611463 h 6858000"/>
              <a:gd name="csX276" fmla="*/ 6921594 w 12192000"/>
              <a:gd name="csY276" fmla="*/ 646284 h 6858000"/>
              <a:gd name="csX277" fmla="*/ 6955947 w 12192000"/>
              <a:gd name="csY277" fmla="*/ 681104 h 6858000"/>
              <a:gd name="csX278" fmla="*/ 6990287 w 12192000"/>
              <a:gd name="csY278" fmla="*/ 646284 h 6858000"/>
              <a:gd name="csX279" fmla="*/ 6955947 w 12192000"/>
              <a:gd name="csY279" fmla="*/ 611463 h 6858000"/>
              <a:gd name="csX280" fmla="*/ 7960872 w 12192000"/>
              <a:gd name="csY280" fmla="*/ 611463 h 6858000"/>
              <a:gd name="csX281" fmla="*/ 7926519 w 12192000"/>
              <a:gd name="csY281" fmla="*/ 646284 h 6858000"/>
              <a:gd name="csX282" fmla="*/ 7960872 w 12192000"/>
              <a:gd name="csY282" fmla="*/ 681104 h 6858000"/>
              <a:gd name="csX283" fmla="*/ 7995212 w 12192000"/>
              <a:gd name="csY283" fmla="*/ 646284 h 6858000"/>
              <a:gd name="csX284" fmla="*/ 7960872 w 12192000"/>
              <a:gd name="csY284" fmla="*/ 611463 h 6858000"/>
              <a:gd name="csX285" fmla="*/ 8882030 w 12192000"/>
              <a:gd name="csY285" fmla="*/ 611463 h 6858000"/>
              <a:gd name="csX286" fmla="*/ 8847677 w 12192000"/>
              <a:gd name="csY286" fmla="*/ 646284 h 6858000"/>
              <a:gd name="csX287" fmla="*/ 8882030 w 12192000"/>
              <a:gd name="csY287" fmla="*/ 681104 h 6858000"/>
              <a:gd name="csX288" fmla="*/ 8916370 w 12192000"/>
              <a:gd name="csY288" fmla="*/ 646284 h 6858000"/>
              <a:gd name="csX289" fmla="*/ 8882030 w 12192000"/>
              <a:gd name="csY289" fmla="*/ 611463 h 6858000"/>
              <a:gd name="csX290" fmla="*/ 8965772 w 12192000"/>
              <a:gd name="csY290" fmla="*/ 611463 h 6858000"/>
              <a:gd name="csX291" fmla="*/ 8931419 w 12192000"/>
              <a:gd name="csY291" fmla="*/ 646284 h 6858000"/>
              <a:gd name="csX292" fmla="*/ 8965772 w 12192000"/>
              <a:gd name="csY292" fmla="*/ 681104 h 6858000"/>
              <a:gd name="csX293" fmla="*/ 9000112 w 12192000"/>
              <a:gd name="csY293" fmla="*/ 646284 h 6858000"/>
              <a:gd name="csX294" fmla="*/ 8965772 w 12192000"/>
              <a:gd name="csY294" fmla="*/ 611463 h 6858000"/>
              <a:gd name="csX295" fmla="*/ 3187567 w 12192000"/>
              <a:gd name="csY295" fmla="*/ 696327 h 6858000"/>
              <a:gd name="csX296" fmla="*/ 3153221 w 12192000"/>
              <a:gd name="csY296" fmla="*/ 731148 h 6858000"/>
              <a:gd name="csX297" fmla="*/ 3187567 w 12192000"/>
              <a:gd name="csY297" fmla="*/ 765968 h 6858000"/>
              <a:gd name="csX298" fmla="*/ 3221914 w 12192000"/>
              <a:gd name="csY298" fmla="*/ 731148 h 6858000"/>
              <a:gd name="csX299" fmla="*/ 3187567 w 12192000"/>
              <a:gd name="csY299" fmla="*/ 696327 h 6858000"/>
              <a:gd name="csX300" fmla="*/ 3857500 w 12192000"/>
              <a:gd name="csY300" fmla="*/ 696327 h 6858000"/>
              <a:gd name="csX301" fmla="*/ 3823154 w 12192000"/>
              <a:gd name="csY301" fmla="*/ 731148 h 6858000"/>
              <a:gd name="csX302" fmla="*/ 3857500 w 12192000"/>
              <a:gd name="csY302" fmla="*/ 765968 h 6858000"/>
              <a:gd name="csX303" fmla="*/ 3891847 w 12192000"/>
              <a:gd name="csY303" fmla="*/ 731148 h 6858000"/>
              <a:gd name="csX304" fmla="*/ 3857500 w 12192000"/>
              <a:gd name="csY304" fmla="*/ 696327 h 6858000"/>
              <a:gd name="csX305" fmla="*/ 4108732 w 12192000"/>
              <a:gd name="csY305" fmla="*/ 696327 h 6858000"/>
              <a:gd name="csX306" fmla="*/ 4074386 w 12192000"/>
              <a:gd name="csY306" fmla="*/ 731148 h 6858000"/>
              <a:gd name="csX307" fmla="*/ 4108732 w 12192000"/>
              <a:gd name="csY307" fmla="*/ 765968 h 6858000"/>
              <a:gd name="csX308" fmla="*/ 4143079 w 12192000"/>
              <a:gd name="csY308" fmla="*/ 731148 h 6858000"/>
              <a:gd name="csX309" fmla="*/ 4108732 w 12192000"/>
              <a:gd name="csY309" fmla="*/ 696327 h 6858000"/>
              <a:gd name="csX310" fmla="*/ 4192473 w 12192000"/>
              <a:gd name="csY310" fmla="*/ 696327 h 6858000"/>
              <a:gd name="csX311" fmla="*/ 4158127 w 12192000"/>
              <a:gd name="csY311" fmla="*/ 731148 h 6858000"/>
              <a:gd name="csX312" fmla="*/ 4192473 w 12192000"/>
              <a:gd name="csY312" fmla="*/ 765968 h 6858000"/>
              <a:gd name="csX313" fmla="*/ 4226820 w 12192000"/>
              <a:gd name="csY313" fmla="*/ 731148 h 6858000"/>
              <a:gd name="csX314" fmla="*/ 4192473 w 12192000"/>
              <a:gd name="csY314" fmla="*/ 696327 h 6858000"/>
              <a:gd name="csX315" fmla="*/ 4276215 w 12192000"/>
              <a:gd name="csY315" fmla="*/ 696327 h 6858000"/>
              <a:gd name="csX316" fmla="*/ 4241868 w 12192000"/>
              <a:gd name="csY316" fmla="*/ 731148 h 6858000"/>
              <a:gd name="csX317" fmla="*/ 4276215 w 12192000"/>
              <a:gd name="csY317" fmla="*/ 765968 h 6858000"/>
              <a:gd name="csX318" fmla="*/ 4310561 w 12192000"/>
              <a:gd name="csY318" fmla="*/ 731148 h 6858000"/>
              <a:gd name="csX319" fmla="*/ 4276215 w 12192000"/>
              <a:gd name="csY319" fmla="*/ 696327 h 6858000"/>
              <a:gd name="csX320" fmla="*/ 4611182 w 12192000"/>
              <a:gd name="csY320" fmla="*/ 696327 h 6858000"/>
              <a:gd name="csX321" fmla="*/ 4576835 w 12192000"/>
              <a:gd name="csY321" fmla="*/ 731148 h 6858000"/>
              <a:gd name="csX322" fmla="*/ 4611182 w 12192000"/>
              <a:gd name="csY322" fmla="*/ 765968 h 6858000"/>
              <a:gd name="csX323" fmla="*/ 4645528 w 12192000"/>
              <a:gd name="csY323" fmla="*/ 731148 h 6858000"/>
              <a:gd name="csX324" fmla="*/ 4611182 w 12192000"/>
              <a:gd name="csY324" fmla="*/ 696327 h 6858000"/>
              <a:gd name="csX325" fmla="*/ 4694923 w 12192000"/>
              <a:gd name="csY325" fmla="*/ 696327 h 6858000"/>
              <a:gd name="csX326" fmla="*/ 4660576 w 12192000"/>
              <a:gd name="csY326" fmla="*/ 731148 h 6858000"/>
              <a:gd name="csX327" fmla="*/ 4694923 w 12192000"/>
              <a:gd name="csY327" fmla="*/ 765968 h 6858000"/>
              <a:gd name="csX328" fmla="*/ 4729270 w 12192000"/>
              <a:gd name="csY328" fmla="*/ 731148 h 6858000"/>
              <a:gd name="csX329" fmla="*/ 4694923 w 12192000"/>
              <a:gd name="csY329" fmla="*/ 696327 h 6858000"/>
              <a:gd name="csX330" fmla="*/ 4778665 w 12192000"/>
              <a:gd name="csY330" fmla="*/ 696327 h 6858000"/>
              <a:gd name="csX331" fmla="*/ 4744319 w 12192000"/>
              <a:gd name="csY331" fmla="*/ 731148 h 6858000"/>
              <a:gd name="csX332" fmla="*/ 4778665 w 12192000"/>
              <a:gd name="csY332" fmla="*/ 765968 h 6858000"/>
              <a:gd name="csX333" fmla="*/ 4813012 w 12192000"/>
              <a:gd name="csY333" fmla="*/ 731148 h 6858000"/>
              <a:gd name="csX334" fmla="*/ 4778665 w 12192000"/>
              <a:gd name="csY334" fmla="*/ 696327 h 6858000"/>
              <a:gd name="csX335" fmla="*/ 4862406 w 12192000"/>
              <a:gd name="csY335" fmla="*/ 696327 h 6858000"/>
              <a:gd name="csX336" fmla="*/ 4828060 w 12192000"/>
              <a:gd name="csY336" fmla="*/ 731148 h 6858000"/>
              <a:gd name="csX337" fmla="*/ 4862406 w 12192000"/>
              <a:gd name="csY337" fmla="*/ 765968 h 6858000"/>
              <a:gd name="csX338" fmla="*/ 4896753 w 12192000"/>
              <a:gd name="csY338" fmla="*/ 731148 h 6858000"/>
              <a:gd name="csX339" fmla="*/ 4862406 w 12192000"/>
              <a:gd name="csY339" fmla="*/ 696327 h 6858000"/>
              <a:gd name="csX340" fmla="*/ 4946148 w 12192000"/>
              <a:gd name="csY340" fmla="*/ 696327 h 6858000"/>
              <a:gd name="csX341" fmla="*/ 4911801 w 12192000"/>
              <a:gd name="csY341" fmla="*/ 731148 h 6858000"/>
              <a:gd name="csX342" fmla="*/ 4946148 w 12192000"/>
              <a:gd name="csY342" fmla="*/ 765968 h 6858000"/>
              <a:gd name="csX343" fmla="*/ 4980494 w 12192000"/>
              <a:gd name="csY343" fmla="*/ 731148 h 6858000"/>
              <a:gd name="csX344" fmla="*/ 4946148 w 12192000"/>
              <a:gd name="csY344" fmla="*/ 696327 h 6858000"/>
              <a:gd name="csX345" fmla="*/ 5029890 w 12192000"/>
              <a:gd name="csY345" fmla="*/ 696327 h 6858000"/>
              <a:gd name="csX346" fmla="*/ 4995543 w 12192000"/>
              <a:gd name="csY346" fmla="*/ 731148 h 6858000"/>
              <a:gd name="csX347" fmla="*/ 5029890 w 12192000"/>
              <a:gd name="csY347" fmla="*/ 765968 h 6858000"/>
              <a:gd name="csX348" fmla="*/ 5064237 w 12192000"/>
              <a:gd name="csY348" fmla="*/ 731148 h 6858000"/>
              <a:gd name="csX349" fmla="*/ 5029890 w 12192000"/>
              <a:gd name="csY349" fmla="*/ 696327 h 6858000"/>
              <a:gd name="csX350" fmla="*/ 5113631 w 12192000"/>
              <a:gd name="csY350" fmla="*/ 696327 h 6858000"/>
              <a:gd name="csX351" fmla="*/ 5079285 w 12192000"/>
              <a:gd name="csY351" fmla="*/ 731148 h 6858000"/>
              <a:gd name="csX352" fmla="*/ 5113631 w 12192000"/>
              <a:gd name="csY352" fmla="*/ 765968 h 6858000"/>
              <a:gd name="csX353" fmla="*/ 5147978 w 12192000"/>
              <a:gd name="csY353" fmla="*/ 731148 h 6858000"/>
              <a:gd name="csX354" fmla="*/ 5113631 w 12192000"/>
              <a:gd name="csY354" fmla="*/ 696327 h 6858000"/>
              <a:gd name="csX355" fmla="*/ 5197372 w 12192000"/>
              <a:gd name="csY355" fmla="*/ 696327 h 6858000"/>
              <a:gd name="csX356" fmla="*/ 5163026 w 12192000"/>
              <a:gd name="csY356" fmla="*/ 731148 h 6858000"/>
              <a:gd name="csX357" fmla="*/ 5197372 w 12192000"/>
              <a:gd name="csY357" fmla="*/ 765968 h 6858000"/>
              <a:gd name="csX358" fmla="*/ 5231719 w 12192000"/>
              <a:gd name="csY358" fmla="*/ 731148 h 6858000"/>
              <a:gd name="csX359" fmla="*/ 5197372 w 12192000"/>
              <a:gd name="csY359" fmla="*/ 696327 h 6858000"/>
              <a:gd name="csX360" fmla="*/ 5281115 w 12192000"/>
              <a:gd name="csY360" fmla="*/ 696327 h 6858000"/>
              <a:gd name="csX361" fmla="*/ 5246768 w 12192000"/>
              <a:gd name="csY361" fmla="*/ 731148 h 6858000"/>
              <a:gd name="csX362" fmla="*/ 5281115 w 12192000"/>
              <a:gd name="csY362" fmla="*/ 765968 h 6858000"/>
              <a:gd name="csX363" fmla="*/ 5315461 w 12192000"/>
              <a:gd name="csY363" fmla="*/ 731148 h 6858000"/>
              <a:gd name="csX364" fmla="*/ 5281115 w 12192000"/>
              <a:gd name="csY364" fmla="*/ 696327 h 6858000"/>
              <a:gd name="csX365" fmla="*/ 5364856 w 12192000"/>
              <a:gd name="csY365" fmla="*/ 696327 h 6858000"/>
              <a:gd name="csX366" fmla="*/ 5330509 w 12192000"/>
              <a:gd name="csY366" fmla="*/ 731148 h 6858000"/>
              <a:gd name="csX367" fmla="*/ 5364856 w 12192000"/>
              <a:gd name="csY367" fmla="*/ 765968 h 6858000"/>
              <a:gd name="csX368" fmla="*/ 5399203 w 12192000"/>
              <a:gd name="csY368" fmla="*/ 731148 h 6858000"/>
              <a:gd name="csX369" fmla="*/ 5364856 w 12192000"/>
              <a:gd name="csY369" fmla="*/ 696327 h 6858000"/>
              <a:gd name="csX370" fmla="*/ 5448598 w 12192000"/>
              <a:gd name="csY370" fmla="*/ 696327 h 6858000"/>
              <a:gd name="csX371" fmla="*/ 5414252 w 12192000"/>
              <a:gd name="csY371" fmla="*/ 731148 h 6858000"/>
              <a:gd name="csX372" fmla="*/ 5448598 w 12192000"/>
              <a:gd name="csY372" fmla="*/ 765968 h 6858000"/>
              <a:gd name="csX373" fmla="*/ 5482945 w 12192000"/>
              <a:gd name="csY373" fmla="*/ 731148 h 6858000"/>
              <a:gd name="csX374" fmla="*/ 5448598 w 12192000"/>
              <a:gd name="csY374" fmla="*/ 696327 h 6858000"/>
              <a:gd name="csX375" fmla="*/ 5532339 w 12192000"/>
              <a:gd name="csY375" fmla="*/ 696327 h 6858000"/>
              <a:gd name="csX376" fmla="*/ 5497993 w 12192000"/>
              <a:gd name="csY376" fmla="*/ 731148 h 6858000"/>
              <a:gd name="csX377" fmla="*/ 5532339 w 12192000"/>
              <a:gd name="csY377" fmla="*/ 765968 h 6858000"/>
              <a:gd name="csX378" fmla="*/ 5566686 w 12192000"/>
              <a:gd name="csY378" fmla="*/ 731148 h 6858000"/>
              <a:gd name="csX379" fmla="*/ 5532339 w 12192000"/>
              <a:gd name="csY379" fmla="*/ 696327 h 6858000"/>
              <a:gd name="csX380" fmla="*/ 6788464 w 12192000"/>
              <a:gd name="csY380" fmla="*/ 696327 h 6858000"/>
              <a:gd name="csX381" fmla="*/ 6754110 w 12192000"/>
              <a:gd name="csY381" fmla="*/ 731148 h 6858000"/>
              <a:gd name="csX382" fmla="*/ 6788464 w 12192000"/>
              <a:gd name="csY382" fmla="*/ 765968 h 6858000"/>
              <a:gd name="csX383" fmla="*/ 6822804 w 12192000"/>
              <a:gd name="csY383" fmla="*/ 731148 h 6858000"/>
              <a:gd name="csX384" fmla="*/ 6788464 w 12192000"/>
              <a:gd name="csY384" fmla="*/ 696327 h 6858000"/>
              <a:gd name="csX385" fmla="*/ 6955947 w 12192000"/>
              <a:gd name="csY385" fmla="*/ 696327 h 6858000"/>
              <a:gd name="csX386" fmla="*/ 6921594 w 12192000"/>
              <a:gd name="csY386" fmla="*/ 731148 h 6858000"/>
              <a:gd name="csX387" fmla="*/ 6955947 w 12192000"/>
              <a:gd name="csY387" fmla="*/ 765968 h 6858000"/>
              <a:gd name="csX388" fmla="*/ 6990287 w 12192000"/>
              <a:gd name="csY388" fmla="*/ 731148 h 6858000"/>
              <a:gd name="csX389" fmla="*/ 6955947 w 12192000"/>
              <a:gd name="csY389" fmla="*/ 696327 h 6858000"/>
              <a:gd name="csX390" fmla="*/ 8044614 w 12192000"/>
              <a:gd name="csY390" fmla="*/ 696327 h 6858000"/>
              <a:gd name="csX391" fmla="*/ 8010261 w 12192000"/>
              <a:gd name="csY391" fmla="*/ 731148 h 6858000"/>
              <a:gd name="csX392" fmla="*/ 8044614 w 12192000"/>
              <a:gd name="csY392" fmla="*/ 765968 h 6858000"/>
              <a:gd name="csX393" fmla="*/ 8078955 w 12192000"/>
              <a:gd name="csY393" fmla="*/ 731148 h 6858000"/>
              <a:gd name="csX394" fmla="*/ 8044614 w 12192000"/>
              <a:gd name="csY394" fmla="*/ 696327 h 6858000"/>
              <a:gd name="csX395" fmla="*/ 8212097 w 12192000"/>
              <a:gd name="csY395" fmla="*/ 696327 h 6858000"/>
              <a:gd name="csX396" fmla="*/ 8177744 w 12192000"/>
              <a:gd name="csY396" fmla="*/ 731148 h 6858000"/>
              <a:gd name="csX397" fmla="*/ 8212097 w 12192000"/>
              <a:gd name="csY397" fmla="*/ 765968 h 6858000"/>
              <a:gd name="csX398" fmla="*/ 8246437 w 12192000"/>
              <a:gd name="csY398" fmla="*/ 731148 h 6858000"/>
              <a:gd name="csX399" fmla="*/ 8212097 w 12192000"/>
              <a:gd name="csY399" fmla="*/ 696327 h 6858000"/>
              <a:gd name="csX400" fmla="*/ 9049513 w 12192000"/>
              <a:gd name="csY400" fmla="*/ 696327 h 6858000"/>
              <a:gd name="csX401" fmla="*/ 9015160 w 12192000"/>
              <a:gd name="csY401" fmla="*/ 731148 h 6858000"/>
              <a:gd name="csX402" fmla="*/ 9049513 w 12192000"/>
              <a:gd name="csY402" fmla="*/ 765968 h 6858000"/>
              <a:gd name="csX403" fmla="*/ 9083854 w 12192000"/>
              <a:gd name="csY403" fmla="*/ 731148 h 6858000"/>
              <a:gd name="csX404" fmla="*/ 9049513 w 12192000"/>
              <a:gd name="csY404" fmla="*/ 696327 h 6858000"/>
              <a:gd name="csX405" fmla="*/ 3355051 w 12192000"/>
              <a:gd name="csY405" fmla="*/ 781191 h 6858000"/>
              <a:gd name="csX406" fmla="*/ 3320704 w 12192000"/>
              <a:gd name="csY406" fmla="*/ 816011 h 6858000"/>
              <a:gd name="csX407" fmla="*/ 3355051 w 12192000"/>
              <a:gd name="csY407" fmla="*/ 850832 h 6858000"/>
              <a:gd name="csX408" fmla="*/ 3389398 w 12192000"/>
              <a:gd name="csY408" fmla="*/ 816011 h 6858000"/>
              <a:gd name="csX409" fmla="*/ 3355051 w 12192000"/>
              <a:gd name="csY409" fmla="*/ 781191 h 6858000"/>
              <a:gd name="csX410" fmla="*/ 3522533 w 12192000"/>
              <a:gd name="csY410" fmla="*/ 781191 h 6858000"/>
              <a:gd name="csX411" fmla="*/ 3488187 w 12192000"/>
              <a:gd name="csY411" fmla="*/ 816011 h 6858000"/>
              <a:gd name="csX412" fmla="*/ 3522533 w 12192000"/>
              <a:gd name="csY412" fmla="*/ 850832 h 6858000"/>
              <a:gd name="csX413" fmla="*/ 3556880 w 12192000"/>
              <a:gd name="csY413" fmla="*/ 816011 h 6858000"/>
              <a:gd name="csX414" fmla="*/ 3522533 w 12192000"/>
              <a:gd name="csY414" fmla="*/ 781191 h 6858000"/>
              <a:gd name="csX415" fmla="*/ 3690017 w 12192000"/>
              <a:gd name="csY415" fmla="*/ 781191 h 6858000"/>
              <a:gd name="csX416" fmla="*/ 3655670 w 12192000"/>
              <a:gd name="csY416" fmla="*/ 816011 h 6858000"/>
              <a:gd name="csX417" fmla="*/ 3690017 w 12192000"/>
              <a:gd name="csY417" fmla="*/ 850832 h 6858000"/>
              <a:gd name="csX418" fmla="*/ 3724364 w 12192000"/>
              <a:gd name="csY418" fmla="*/ 816011 h 6858000"/>
              <a:gd name="csX419" fmla="*/ 3690017 w 12192000"/>
              <a:gd name="csY419" fmla="*/ 781191 h 6858000"/>
              <a:gd name="csX420" fmla="*/ 4192473 w 12192000"/>
              <a:gd name="csY420" fmla="*/ 781191 h 6858000"/>
              <a:gd name="csX421" fmla="*/ 4158127 w 12192000"/>
              <a:gd name="csY421" fmla="*/ 816011 h 6858000"/>
              <a:gd name="csX422" fmla="*/ 4192473 w 12192000"/>
              <a:gd name="csY422" fmla="*/ 850832 h 6858000"/>
              <a:gd name="csX423" fmla="*/ 4226820 w 12192000"/>
              <a:gd name="csY423" fmla="*/ 816011 h 6858000"/>
              <a:gd name="csX424" fmla="*/ 4192473 w 12192000"/>
              <a:gd name="csY424" fmla="*/ 781191 h 6858000"/>
              <a:gd name="csX425" fmla="*/ 4443698 w 12192000"/>
              <a:gd name="csY425" fmla="*/ 781191 h 6858000"/>
              <a:gd name="csX426" fmla="*/ 4409352 w 12192000"/>
              <a:gd name="csY426" fmla="*/ 816011 h 6858000"/>
              <a:gd name="csX427" fmla="*/ 4443698 w 12192000"/>
              <a:gd name="csY427" fmla="*/ 850832 h 6858000"/>
              <a:gd name="csX428" fmla="*/ 4478045 w 12192000"/>
              <a:gd name="csY428" fmla="*/ 816011 h 6858000"/>
              <a:gd name="csX429" fmla="*/ 4443698 w 12192000"/>
              <a:gd name="csY429" fmla="*/ 781191 h 6858000"/>
              <a:gd name="csX430" fmla="*/ 4527439 w 12192000"/>
              <a:gd name="csY430" fmla="*/ 781191 h 6858000"/>
              <a:gd name="csX431" fmla="*/ 4493093 w 12192000"/>
              <a:gd name="csY431" fmla="*/ 816011 h 6858000"/>
              <a:gd name="csX432" fmla="*/ 4527439 w 12192000"/>
              <a:gd name="csY432" fmla="*/ 850832 h 6858000"/>
              <a:gd name="csX433" fmla="*/ 4561786 w 12192000"/>
              <a:gd name="csY433" fmla="*/ 816011 h 6858000"/>
              <a:gd name="csX434" fmla="*/ 4527439 w 12192000"/>
              <a:gd name="csY434" fmla="*/ 781191 h 6858000"/>
              <a:gd name="csX435" fmla="*/ 4611182 w 12192000"/>
              <a:gd name="csY435" fmla="*/ 781191 h 6858000"/>
              <a:gd name="csX436" fmla="*/ 4576835 w 12192000"/>
              <a:gd name="csY436" fmla="*/ 816011 h 6858000"/>
              <a:gd name="csX437" fmla="*/ 4611182 w 12192000"/>
              <a:gd name="csY437" fmla="*/ 850832 h 6858000"/>
              <a:gd name="csX438" fmla="*/ 4645528 w 12192000"/>
              <a:gd name="csY438" fmla="*/ 816011 h 6858000"/>
              <a:gd name="csX439" fmla="*/ 4611182 w 12192000"/>
              <a:gd name="csY439" fmla="*/ 781191 h 6858000"/>
              <a:gd name="csX440" fmla="*/ 4694923 w 12192000"/>
              <a:gd name="csY440" fmla="*/ 781191 h 6858000"/>
              <a:gd name="csX441" fmla="*/ 4660576 w 12192000"/>
              <a:gd name="csY441" fmla="*/ 816011 h 6858000"/>
              <a:gd name="csX442" fmla="*/ 4694923 w 12192000"/>
              <a:gd name="csY442" fmla="*/ 850832 h 6858000"/>
              <a:gd name="csX443" fmla="*/ 4729270 w 12192000"/>
              <a:gd name="csY443" fmla="*/ 816011 h 6858000"/>
              <a:gd name="csX444" fmla="*/ 4694923 w 12192000"/>
              <a:gd name="csY444" fmla="*/ 781191 h 6858000"/>
              <a:gd name="csX445" fmla="*/ 4778665 w 12192000"/>
              <a:gd name="csY445" fmla="*/ 781191 h 6858000"/>
              <a:gd name="csX446" fmla="*/ 4744319 w 12192000"/>
              <a:gd name="csY446" fmla="*/ 816011 h 6858000"/>
              <a:gd name="csX447" fmla="*/ 4778665 w 12192000"/>
              <a:gd name="csY447" fmla="*/ 850832 h 6858000"/>
              <a:gd name="csX448" fmla="*/ 4813012 w 12192000"/>
              <a:gd name="csY448" fmla="*/ 816011 h 6858000"/>
              <a:gd name="csX449" fmla="*/ 4778665 w 12192000"/>
              <a:gd name="csY449" fmla="*/ 781191 h 6858000"/>
              <a:gd name="csX450" fmla="*/ 4862406 w 12192000"/>
              <a:gd name="csY450" fmla="*/ 781191 h 6858000"/>
              <a:gd name="csX451" fmla="*/ 4828060 w 12192000"/>
              <a:gd name="csY451" fmla="*/ 816011 h 6858000"/>
              <a:gd name="csX452" fmla="*/ 4862406 w 12192000"/>
              <a:gd name="csY452" fmla="*/ 850832 h 6858000"/>
              <a:gd name="csX453" fmla="*/ 4896753 w 12192000"/>
              <a:gd name="csY453" fmla="*/ 816011 h 6858000"/>
              <a:gd name="csX454" fmla="*/ 4862406 w 12192000"/>
              <a:gd name="csY454" fmla="*/ 781191 h 6858000"/>
              <a:gd name="csX455" fmla="*/ 4946148 w 12192000"/>
              <a:gd name="csY455" fmla="*/ 781191 h 6858000"/>
              <a:gd name="csX456" fmla="*/ 4911801 w 12192000"/>
              <a:gd name="csY456" fmla="*/ 816011 h 6858000"/>
              <a:gd name="csX457" fmla="*/ 4946148 w 12192000"/>
              <a:gd name="csY457" fmla="*/ 850832 h 6858000"/>
              <a:gd name="csX458" fmla="*/ 4980494 w 12192000"/>
              <a:gd name="csY458" fmla="*/ 816011 h 6858000"/>
              <a:gd name="csX459" fmla="*/ 4946148 w 12192000"/>
              <a:gd name="csY459" fmla="*/ 781191 h 6858000"/>
              <a:gd name="csX460" fmla="*/ 5029890 w 12192000"/>
              <a:gd name="csY460" fmla="*/ 781191 h 6858000"/>
              <a:gd name="csX461" fmla="*/ 4995543 w 12192000"/>
              <a:gd name="csY461" fmla="*/ 816011 h 6858000"/>
              <a:gd name="csX462" fmla="*/ 5029890 w 12192000"/>
              <a:gd name="csY462" fmla="*/ 850832 h 6858000"/>
              <a:gd name="csX463" fmla="*/ 5064237 w 12192000"/>
              <a:gd name="csY463" fmla="*/ 816011 h 6858000"/>
              <a:gd name="csX464" fmla="*/ 5029890 w 12192000"/>
              <a:gd name="csY464" fmla="*/ 781191 h 6858000"/>
              <a:gd name="csX465" fmla="*/ 5113631 w 12192000"/>
              <a:gd name="csY465" fmla="*/ 781191 h 6858000"/>
              <a:gd name="csX466" fmla="*/ 5079285 w 12192000"/>
              <a:gd name="csY466" fmla="*/ 816011 h 6858000"/>
              <a:gd name="csX467" fmla="*/ 5113631 w 12192000"/>
              <a:gd name="csY467" fmla="*/ 850832 h 6858000"/>
              <a:gd name="csX468" fmla="*/ 5147978 w 12192000"/>
              <a:gd name="csY468" fmla="*/ 816011 h 6858000"/>
              <a:gd name="csX469" fmla="*/ 5113631 w 12192000"/>
              <a:gd name="csY469" fmla="*/ 781191 h 6858000"/>
              <a:gd name="csX470" fmla="*/ 5197372 w 12192000"/>
              <a:gd name="csY470" fmla="*/ 781191 h 6858000"/>
              <a:gd name="csX471" fmla="*/ 5163026 w 12192000"/>
              <a:gd name="csY471" fmla="*/ 816011 h 6858000"/>
              <a:gd name="csX472" fmla="*/ 5197372 w 12192000"/>
              <a:gd name="csY472" fmla="*/ 850832 h 6858000"/>
              <a:gd name="csX473" fmla="*/ 5231719 w 12192000"/>
              <a:gd name="csY473" fmla="*/ 816011 h 6858000"/>
              <a:gd name="csX474" fmla="*/ 5197372 w 12192000"/>
              <a:gd name="csY474" fmla="*/ 781191 h 6858000"/>
              <a:gd name="csX475" fmla="*/ 5281115 w 12192000"/>
              <a:gd name="csY475" fmla="*/ 781191 h 6858000"/>
              <a:gd name="csX476" fmla="*/ 5246768 w 12192000"/>
              <a:gd name="csY476" fmla="*/ 816011 h 6858000"/>
              <a:gd name="csX477" fmla="*/ 5281115 w 12192000"/>
              <a:gd name="csY477" fmla="*/ 850832 h 6858000"/>
              <a:gd name="csX478" fmla="*/ 5315461 w 12192000"/>
              <a:gd name="csY478" fmla="*/ 816011 h 6858000"/>
              <a:gd name="csX479" fmla="*/ 5281115 w 12192000"/>
              <a:gd name="csY479" fmla="*/ 781191 h 6858000"/>
              <a:gd name="csX480" fmla="*/ 5364856 w 12192000"/>
              <a:gd name="csY480" fmla="*/ 781191 h 6858000"/>
              <a:gd name="csX481" fmla="*/ 5330509 w 12192000"/>
              <a:gd name="csY481" fmla="*/ 816011 h 6858000"/>
              <a:gd name="csX482" fmla="*/ 5364856 w 12192000"/>
              <a:gd name="csY482" fmla="*/ 850832 h 6858000"/>
              <a:gd name="csX483" fmla="*/ 5399203 w 12192000"/>
              <a:gd name="csY483" fmla="*/ 816011 h 6858000"/>
              <a:gd name="csX484" fmla="*/ 5364856 w 12192000"/>
              <a:gd name="csY484" fmla="*/ 781191 h 6858000"/>
              <a:gd name="csX485" fmla="*/ 5448598 w 12192000"/>
              <a:gd name="csY485" fmla="*/ 781191 h 6858000"/>
              <a:gd name="csX486" fmla="*/ 5414252 w 12192000"/>
              <a:gd name="csY486" fmla="*/ 816011 h 6858000"/>
              <a:gd name="csX487" fmla="*/ 5448598 w 12192000"/>
              <a:gd name="csY487" fmla="*/ 850832 h 6858000"/>
              <a:gd name="csX488" fmla="*/ 5482945 w 12192000"/>
              <a:gd name="csY488" fmla="*/ 816011 h 6858000"/>
              <a:gd name="csX489" fmla="*/ 5448598 w 12192000"/>
              <a:gd name="csY489" fmla="*/ 781191 h 6858000"/>
              <a:gd name="csX490" fmla="*/ 6286014 w 12192000"/>
              <a:gd name="csY490" fmla="*/ 781191 h 6858000"/>
              <a:gd name="csX491" fmla="*/ 6251661 w 12192000"/>
              <a:gd name="csY491" fmla="*/ 816011 h 6858000"/>
              <a:gd name="csX492" fmla="*/ 6286014 w 12192000"/>
              <a:gd name="csY492" fmla="*/ 850832 h 6858000"/>
              <a:gd name="csX493" fmla="*/ 6320354 w 12192000"/>
              <a:gd name="csY493" fmla="*/ 816011 h 6858000"/>
              <a:gd name="csX494" fmla="*/ 6286014 w 12192000"/>
              <a:gd name="csY494" fmla="*/ 781191 h 6858000"/>
              <a:gd name="csX495" fmla="*/ 6369755 w 12192000"/>
              <a:gd name="csY495" fmla="*/ 781191 h 6858000"/>
              <a:gd name="csX496" fmla="*/ 6335402 w 12192000"/>
              <a:gd name="csY496" fmla="*/ 816011 h 6858000"/>
              <a:gd name="csX497" fmla="*/ 6369755 w 12192000"/>
              <a:gd name="csY497" fmla="*/ 850832 h 6858000"/>
              <a:gd name="csX498" fmla="*/ 6404096 w 12192000"/>
              <a:gd name="csY498" fmla="*/ 816011 h 6858000"/>
              <a:gd name="csX499" fmla="*/ 6369755 w 12192000"/>
              <a:gd name="csY499" fmla="*/ 781191 h 6858000"/>
              <a:gd name="csX500" fmla="*/ 8044614 w 12192000"/>
              <a:gd name="csY500" fmla="*/ 781191 h 6858000"/>
              <a:gd name="csX501" fmla="*/ 8010261 w 12192000"/>
              <a:gd name="csY501" fmla="*/ 816011 h 6858000"/>
              <a:gd name="csX502" fmla="*/ 8044614 w 12192000"/>
              <a:gd name="csY502" fmla="*/ 850832 h 6858000"/>
              <a:gd name="csX503" fmla="*/ 8078955 w 12192000"/>
              <a:gd name="csY503" fmla="*/ 816011 h 6858000"/>
              <a:gd name="csX504" fmla="*/ 8044614 w 12192000"/>
              <a:gd name="csY504" fmla="*/ 781191 h 6858000"/>
              <a:gd name="csX505" fmla="*/ 8128356 w 12192000"/>
              <a:gd name="csY505" fmla="*/ 781191 h 6858000"/>
              <a:gd name="csX506" fmla="*/ 8094003 w 12192000"/>
              <a:gd name="csY506" fmla="*/ 816011 h 6858000"/>
              <a:gd name="csX507" fmla="*/ 8128356 w 12192000"/>
              <a:gd name="csY507" fmla="*/ 850832 h 6858000"/>
              <a:gd name="csX508" fmla="*/ 8162696 w 12192000"/>
              <a:gd name="csY508" fmla="*/ 816011 h 6858000"/>
              <a:gd name="csX509" fmla="*/ 8128356 w 12192000"/>
              <a:gd name="csY509" fmla="*/ 781191 h 6858000"/>
              <a:gd name="csX510" fmla="*/ 8212097 w 12192000"/>
              <a:gd name="csY510" fmla="*/ 781191 h 6858000"/>
              <a:gd name="csX511" fmla="*/ 8177744 w 12192000"/>
              <a:gd name="csY511" fmla="*/ 816011 h 6858000"/>
              <a:gd name="csX512" fmla="*/ 8212097 w 12192000"/>
              <a:gd name="csY512" fmla="*/ 850832 h 6858000"/>
              <a:gd name="csX513" fmla="*/ 8246437 w 12192000"/>
              <a:gd name="csY513" fmla="*/ 816011 h 6858000"/>
              <a:gd name="csX514" fmla="*/ 8212097 w 12192000"/>
              <a:gd name="csY514" fmla="*/ 781191 h 6858000"/>
              <a:gd name="csX515" fmla="*/ 8295839 w 12192000"/>
              <a:gd name="csY515" fmla="*/ 781191 h 6858000"/>
              <a:gd name="csX516" fmla="*/ 8261486 w 12192000"/>
              <a:gd name="csY516" fmla="*/ 816011 h 6858000"/>
              <a:gd name="csX517" fmla="*/ 8295839 w 12192000"/>
              <a:gd name="csY517" fmla="*/ 850832 h 6858000"/>
              <a:gd name="csX518" fmla="*/ 8330179 w 12192000"/>
              <a:gd name="csY518" fmla="*/ 816011 h 6858000"/>
              <a:gd name="csX519" fmla="*/ 8295839 w 12192000"/>
              <a:gd name="csY519" fmla="*/ 781191 h 6858000"/>
              <a:gd name="csX520" fmla="*/ 9300738 w 12192000"/>
              <a:gd name="csY520" fmla="*/ 781191 h 6858000"/>
              <a:gd name="csX521" fmla="*/ 9266385 w 12192000"/>
              <a:gd name="csY521" fmla="*/ 816011 h 6858000"/>
              <a:gd name="csX522" fmla="*/ 9300738 w 12192000"/>
              <a:gd name="csY522" fmla="*/ 850832 h 6858000"/>
              <a:gd name="csX523" fmla="*/ 9335078 w 12192000"/>
              <a:gd name="csY523" fmla="*/ 816011 h 6858000"/>
              <a:gd name="csX524" fmla="*/ 9300738 w 12192000"/>
              <a:gd name="csY524" fmla="*/ 781191 h 6858000"/>
              <a:gd name="csX525" fmla="*/ 10054413 w 12192000"/>
              <a:gd name="csY525" fmla="*/ 781191 h 6858000"/>
              <a:gd name="csX526" fmla="*/ 10020060 w 12192000"/>
              <a:gd name="csY526" fmla="*/ 816011 h 6858000"/>
              <a:gd name="csX527" fmla="*/ 10054413 w 12192000"/>
              <a:gd name="csY527" fmla="*/ 850832 h 6858000"/>
              <a:gd name="csX528" fmla="*/ 10088754 w 12192000"/>
              <a:gd name="csY528" fmla="*/ 816011 h 6858000"/>
              <a:gd name="csX529" fmla="*/ 10054413 w 12192000"/>
              <a:gd name="csY529" fmla="*/ 781191 h 6858000"/>
              <a:gd name="csX530" fmla="*/ 10138155 w 12192000"/>
              <a:gd name="csY530" fmla="*/ 781191 h 6858000"/>
              <a:gd name="csX531" fmla="*/ 10103802 w 12192000"/>
              <a:gd name="csY531" fmla="*/ 816011 h 6858000"/>
              <a:gd name="csX532" fmla="*/ 10138155 w 12192000"/>
              <a:gd name="csY532" fmla="*/ 850832 h 6858000"/>
              <a:gd name="csX533" fmla="*/ 10172495 w 12192000"/>
              <a:gd name="csY533" fmla="*/ 816011 h 6858000"/>
              <a:gd name="csX534" fmla="*/ 10138155 w 12192000"/>
              <a:gd name="csY534" fmla="*/ 781191 h 6858000"/>
              <a:gd name="csX535" fmla="*/ 10221896 w 12192000"/>
              <a:gd name="csY535" fmla="*/ 781191 h 6858000"/>
              <a:gd name="csX536" fmla="*/ 10187543 w 12192000"/>
              <a:gd name="csY536" fmla="*/ 816011 h 6858000"/>
              <a:gd name="csX537" fmla="*/ 10221896 w 12192000"/>
              <a:gd name="csY537" fmla="*/ 850832 h 6858000"/>
              <a:gd name="csX538" fmla="*/ 10256236 w 12192000"/>
              <a:gd name="csY538" fmla="*/ 816011 h 6858000"/>
              <a:gd name="csX539" fmla="*/ 10221896 w 12192000"/>
              <a:gd name="csY539" fmla="*/ 781191 h 6858000"/>
              <a:gd name="csX540" fmla="*/ 10305638 w 12192000"/>
              <a:gd name="csY540" fmla="*/ 781191 h 6858000"/>
              <a:gd name="csX541" fmla="*/ 10271285 w 12192000"/>
              <a:gd name="csY541" fmla="*/ 816011 h 6858000"/>
              <a:gd name="csX542" fmla="*/ 10305638 w 12192000"/>
              <a:gd name="csY542" fmla="*/ 850832 h 6858000"/>
              <a:gd name="csX543" fmla="*/ 10339978 w 12192000"/>
              <a:gd name="csY543" fmla="*/ 816011 h 6858000"/>
              <a:gd name="csX544" fmla="*/ 10305638 w 12192000"/>
              <a:gd name="csY544" fmla="*/ 781191 h 6858000"/>
              <a:gd name="csX545" fmla="*/ 10389379 w 12192000"/>
              <a:gd name="csY545" fmla="*/ 781191 h 6858000"/>
              <a:gd name="csX546" fmla="*/ 10355026 w 12192000"/>
              <a:gd name="csY546" fmla="*/ 816011 h 6858000"/>
              <a:gd name="csX547" fmla="*/ 10389379 w 12192000"/>
              <a:gd name="csY547" fmla="*/ 850832 h 6858000"/>
              <a:gd name="csX548" fmla="*/ 10423720 w 12192000"/>
              <a:gd name="csY548" fmla="*/ 816011 h 6858000"/>
              <a:gd name="csX549" fmla="*/ 10389379 w 12192000"/>
              <a:gd name="csY549" fmla="*/ 781191 h 6858000"/>
              <a:gd name="csX550" fmla="*/ 10556863 w 12192000"/>
              <a:gd name="csY550" fmla="*/ 781191 h 6858000"/>
              <a:gd name="csX551" fmla="*/ 10522510 w 12192000"/>
              <a:gd name="csY551" fmla="*/ 816011 h 6858000"/>
              <a:gd name="csX552" fmla="*/ 10556863 w 12192000"/>
              <a:gd name="csY552" fmla="*/ 850832 h 6858000"/>
              <a:gd name="csX553" fmla="*/ 10591203 w 12192000"/>
              <a:gd name="csY553" fmla="*/ 816011 h 6858000"/>
              <a:gd name="csX554" fmla="*/ 10556863 w 12192000"/>
              <a:gd name="csY554" fmla="*/ 781191 h 6858000"/>
              <a:gd name="csX555" fmla="*/ 2015191 w 12192000"/>
              <a:gd name="csY555" fmla="*/ 866055 h 6858000"/>
              <a:gd name="csX556" fmla="*/ 1980844 w 12192000"/>
              <a:gd name="csY556" fmla="*/ 900875 h 6858000"/>
              <a:gd name="csX557" fmla="*/ 2015191 w 12192000"/>
              <a:gd name="csY557" fmla="*/ 935695 h 6858000"/>
              <a:gd name="csX558" fmla="*/ 2049538 w 12192000"/>
              <a:gd name="csY558" fmla="*/ 900875 h 6858000"/>
              <a:gd name="csX559" fmla="*/ 2015191 w 12192000"/>
              <a:gd name="csY559" fmla="*/ 866055 h 6858000"/>
              <a:gd name="csX560" fmla="*/ 2098932 w 12192000"/>
              <a:gd name="csY560" fmla="*/ 866055 h 6858000"/>
              <a:gd name="csX561" fmla="*/ 2064586 w 12192000"/>
              <a:gd name="csY561" fmla="*/ 900875 h 6858000"/>
              <a:gd name="csX562" fmla="*/ 2098932 w 12192000"/>
              <a:gd name="csY562" fmla="*/ 935695 h 6858000"/>
              <a:gd name="csX563" fmla="*/ 2133279 w 12192000"/>
              <a:gd name="csY563" fmla="*/ 900875 h 6858000"/>
              <a:gd name="csX564" fmla="*/ 2098932 w 12192000"/>
              <a:gd name="csY564" fmla="*/ 866055 h 6858000"/>
              <a:gd name="csX565" fmla="*/ 3103826 w 12192000"/>
              <a:gd name="csY565" fmla="*/ 866055 h 6858000"/>
              <a:gd name="csX566" fmla="*/ 3069479 w 12192000"/>
              <a:gd name="csY566" fmla="*/ 900875 h 6858000"/>
              <a:gd name="csX567" fmla="*/ 3103826 w 12192000"/>
              <a:gd name="csY567" fmla="*/ 935695 h 6858000"/>
              <a:gd name="csX568" fmla="*/ 3138173 w 12192000"/>
              <a:gd name="csY568" fmla="*/ 900875 h 6858000"/>
              <a:gd name="csX569" fmla="*/ 3103826 w 12192000"/>
              <a:gd name="csY569" fmla="*/ 866055 h 6858000"/>
              <a:gd name="csX570" fmla="*/ 3355051 w 12192000"/>
              <a:gd name="csY570" fmla="*/ 866055 h 6858000"/>
              <a:gd name="csX571" fmla="*/ 3320704 w 12192000"/>
              <a:gd name="csY571" fmla="*/ 900875 h 6858000"/>
              <a:gd name="csX572" fmla="*/ 3355051 w 12192000"/>
              <a:gd name="csY572" fmla="*/ 935695 h 6858000"/>
              <a:gd name="csX573" fmla="*/ 3389398 w 12192000"/>
              <a:gd name="csY573" fmla="*/ 900875 h 6858000"/>
              <a:gd name="csX574" fmla="*/ 3355051 w 12192000"/>
              <a:gd name="csY574" fmla="*/ 866055 h 6858000"/>
              <a:gd name="csX575" fmla="*/ 3438792 w 12192000"/>
              <a:gd name="csY575" fmla="*/ 866055 h 6858000"/>
              <a:gd name="csX576" fmla="*/ 3404445 w 12192000"/>
              <a:gd name="csY576" fmla="*/ 900875 h 6858000"/>
              <a:gd name="csX577" fmla="*/ 3438792 w 12192000"/>
              <a:gd name="csY577" fmla="*/ 935695 h 6858000"/>
              <a:gd name="csX578" fmla="*/ 3473139 w 12192000"/>
              <a:gd name="csY578" fmla="*/ 900875 h 6858000"/>
              <a:gd name="csX579" fmla="*/ 3438792 w 12192000"/>
              <a:gd name="csY579" fmla="*/ 866055 h 6858000"/>
              <a:gd name="csX580" fmla="*/ 3522533 w 12192000"/>
              <a:gd name="csY580" fmla="*/ 866055 h 6858000"/>
              <a:gd name="csX581" fmla="*/ 3488187 w 12192000"/>
              <a:gd name="csY581" fmla="*/ 900875 h 6858000"/>
              <a:gd name="csX582" fmla="*/ 3522533 w 12192000"/>
              <a:gd name="csY582" fmla="*/ 935695 h 6858000"/>
              <a:gd name="csX583" fmla="*/ 3556880 w 12192000"/>
              <a:gd name="csY583" fmla="*/ 900875 h 6858000"/>
              <a:gd name="csX584" fmla="*/ 3522533 w 12192000"/>
              <a:gd name="csY584" fmla="*/ 866055 h 6858000"/>
              <a:gd name="csX585" fmla="*/ 3690017 w 12192000"/>
              <a:gd name="csY585" fmla="*/ 866055 h 6858000"/>
              <a:gd name="csX586" fmla="*/ 3655670 w 12192000"/>
              <a:gd name="csY586" fmla="*/ 900875 h 6858000"/>
              <a:gd name="csX587" fmla="*/ 3690017 w 12192000"/>
              <a:gd name="csY587" fmla="*/ 935695 h 6858000"/>
              <a:gd name="csX588" fmla="*/ 3724364 w 12192000"/>
              <a:gd name="csY588" fmla="*/ 900875 h 6858000"/>
              <a:gd name="csX589" fmla="*/ 3690017 w 12192000"/>
              <a:gd name="csY589" fmla="*/ 866055 h 6858000"/>
              <a:gd name="csX590" fmla="*/ 3857500 w 12192000"/>
              <a:gd name="csY590" fmla="*/ 866055 h 6858000"/>
              <a:gd name="csX591" fmla="*/ 3823154 w 12192000"/>
              <a:gd name="csY591" fmla="*/ 900875 h 6858000"/>
              <a:gd name="csX592" fmla="*/ 3857500 w 12192000"/>
              <a:gd name="csY592" fmla="*/ 935695 h 6858000"/>
              <a:gd name="csX593" fmla="*/ 3891847 w 12192000"/>
              <a:gd name="csY593" fmla="*/ 900875 h 6858000"/>
              <a:gd name="csX594" fmla="*/ 3857500 w 12192000"/>
              <a:gd name="csY594" fmla="*/ 866055 h 6858000"/>
              <a:gd name="csX595" fmla="*/ 4024990 w 12192000"/>
              <a:gd name="csY595" fmla="*/ 866055 h 6858000"/>
              <a:gd name="csX596" fmla="*/ 3990643 w 12192000"/>
              <a:gd name="csY596" fmla="*/ 900875 h 6858000"/>
              <a:gd name="csX597" fmla="*/ 4024990 w 12192000"/>
              <a:gd name="csY597" fmla="*/ 935695 h 6858000"/>
              <a:gd name="csX598" fmla="*/ 4059337 w 12192000"/>
              <a:gd name="csY598" fmla="*/ 900875 h 6858000"/>
              <a:gd name="csX599" fmla="*/ 4024990 w 12192000"/>
              <a:gd name="csY599" fmla="*/ 866055 h 6858000"/>
              <a:gd name="csX600" fmla="*/ 4108732 w 12192000"/>
              <a:gd name="csY600" fmla="*/ 866055 h 6858000"/>
              <a:gd name="csX601" fmla="*/ 4074386 w 12192000"/>
              <a:gd name="csY601" fmla="*/ 900875 h 6858000"/>
              <a:gd name="csX602" fmla="*/ 4108732 w 12192000"/>
              <a:gd name="csY602" fmla="*/ 935695 h 6858000"/>
              <a:gd name="csX603" fmla="*/ 4143079 w 12192000"/>
              <a:gd name="csY603" fmla="*/ 900875 h 6858000"/>
              <a:gd name="csX604" fmla="*/ 4108732 w 12192000"/>
              <a:gd name="csY604" fmla="*/ 866055 h 6858000"/>
              <a:gd name="csX605" fmla="*/ 4443698 w 12192000"/>
              <a:gd name="csY605" fmla="*/ 866055 h 6858000"/>
              <a:gd name="csX606" fmla="*/ 4409352 w 12192000"/>
              <a:gd name="csY606" fmla="*/ 900875 h 6858000"/>
              <a:gd name="csX607" fmla="*/ 4443698 w 12192000"/>
              <a:gd name="csY607" fmla="*/ 935695 h 6858000"/>
              <a:gd name="csX608" fmla="*/ 4478045 w 12192000"/>
              <a:gd name="csY608" fmla="*/ 900875 h 6858000"/>
              <a:gd name="csX609" fmla="*/ 4443698 w 12192000"/>
              <a:gd name="csY609" fmla="*/ 866055 h 6858000"/>
              <a:gd name="csX610" fmla="*/ 4527439 w 12192000"/>
              <a:gd name="csY610" fmla="*/ 866055 h 6858000"/>
              <a:gd name="csX611" fmla="*/ 4493093 w 12192000"/>
              <a:gd name="csY611" fmla="*/ 900875 h 6858000"/>
              <a:gd name="csX612" fmla="*/ 4527439 w 12192000"/>
              <a:gd name="csY612" fmla="*/ 935695 h 6858000"/>
              <a:gd name="csX613" fmla="*/ 4561786 w 12192000"/>
              <a:gd name="csY613" fmla="*/ 900875 h 6858000"/>
              <a:gd name="csX614" fmla="*/ 4527439 w 12192000"/>
              <a:gd name="csY614" fmla="*/ 866055 h 6858000"/>
              <a:gd name="csX615" fmla="*/ 4611182 w 12192000"/>
              <a:gd name="csY615" fmla="*/ 866055 h 6858000"/>
              <a:gd name="csX616" fmla="*/ 4576835 w 12192000"/>
              <a:gd name="csY616" fmla="*/ 900875 h 6858000"/>
              <a:gd name="csX617" fmla="*/ 4611182 w 12192000"/>
              <a:gd name="csY617" fmla="*/ 935695 h 6858000"/>
              <a:gd name="csX618" fmla="*/ 4645528 w 12192000"/>
              <a:gd name="csY618" fmla="*/ 900875 h 6858000"/>
              <a:gd name="csX619" fmla="*/ 4611182 w 12192000"/>
              <a:gd name="csY619" fmla="*/ 866055 h 6858000"/>
              <a:gd name="csX620" fmla="*/ 4694923 w 12192000"/>
              <a:gd name="csY620" fmla="*/ 866055 h 6858000"/>
              <a:gd name="csX621" fmla="*/ 4660576 w 12192000"/>
              <a:gd name="csY621" fmla="*/ 900875 h 6858000"/>
              <a:gd name="csX622" fmla="*/ 4694923 w 12192000"/>
              <a:gd name="csY622" fmla="*/ 935695 h 6858000"/>
              <a:gd name="csX623" fmla="*/ 4729270 w 12192000"/>
              <a:gd name="csY623" fmla="*/ 900875 h 6858000"/>
              <a:gd name="csX624" fmla="*/ 4694923 w 12192000"/>
              <a:gd name="csY624" fmla="*/ 866055 h 6858000"/>
              <a:gd name="csX625" fmla="*/ 4778665 w 12192000"/>
              <a:gd name="csY625" fmla="*/ 866055 h 6858000"/>
              <a:gd name="csX626" fmla="*/ 4744319 w 12192000"/>
              <a:gd name="csY626" fmla="*/ 900875 h 6858000"/>
              <a:gd name="csX627" fmla="*/ 4778665 w 12192000"/>
              <a:gd name="csY627" fmla="*/ 935695 h 6858000"/>
              <a:gd name="csX628" fmla="*/ 4813012 w 12192000"/>
              <a:gd name="csY628" fmla="*/ 900875 h 6858000"/>
              <a:gd name="csX629" fmla="*/ 4778665 w 12192000"/>
              <a:gd name="csY629" fmla="*/ 866055 h 6858000"/>
              <a:gd name="csX630" fmla="*/ 4862406 w 12192000"/>
              <a:gd name="csY630" fmla="*/ 866055 h 6858000"/>
              <a:gd name="csX631" fmla="*/ 4828060 w 12192000"/>
              <a:gd name="csY631" fmla="*/ 900875 h 6858000"/>
              <a:gd name="csX632" fmla="*/ 4862406 w 12192000"/>
              <a:gd name="csY632" fmla="*/ 935695 h 6858000"/>
              <a:gd name="csX633" fmla="*/ 4896753 w 12192000"/>
              <a:gd name="csY633" fmla="*/ 900875 h 6858000"/>
              <a:gd name="csX634" fmla="*/ 4862406 w 12192000"/>
              <a:gd name="csY634" fmla="*/ 866055 h 6858000"/>
              <a:gd name="csX635" fmla="*/ 4946148 w 12192000"/>
              <a:gd name="csY635" fmla="*/ 866055 h 6858000"/>
              <a:gd name="csX636" fmla="*/ 4911801 w 12192000"/>
              <a:gd name="csY636" fmla="*/ 900875 h 6858000"/>
              <a:gd name="csX637" fmla="*/ 4946148 w 12192000"/>
              <a:gd name="csY637" fmla="*/ 935695 h 6858000"/>
              <a:gd name="csX638" fmla="*/ 4980494 w 12192000"/>
              <a:gd name="csY638" fmla="*/ 900875 h 6858000"/>
              <a:gd name="csX639" fmla="*/ 4946148 w 12192000"/>
              <a:gd name="csY639" fmla="*/ 866055 h 6858000"/>
              <a:gd name="csX640" fmla="*/ 5029890 w 12192000"/>
              <a:gd name="csY640" fmla="*/ 866055 h 6858000"/>
              <a:gd name="csX641" fmla="*/ 4995543 w 12192000"/>
              <a:gd name="csY641" fmla="*/ 900875 h 6858000"/>
              <a:gd name="csX642" fmla="*/ 5029890 w 12192000"/>
              <a:gd name="csY642" fmla="*/ 935695 h 6858000"/>
              <a:gd name="csX643" fmla="*/ 5064237 w 12192000"/>
              <a:gd name="csY643" fmla="*/ 900875 h 6858000"/>
              <a:gd name="csX644" fmla="*/ 5029890 w 12192000"/>
              <a:gd name="csY644" fmla="*/ 866055 h 6858000"/>
              <a:gd name="csX645" fmla="*/ 5113631 w 12192000"/>
              <a:gd name="csY645" fmla="*/ 866055 h 6858000"/>
              <a:gd name="csX646" fmla="*/ 5079285 w 12192000"/>
              <a:gd name="csY646" fmla="*/ 900875 h 6858000"/>
              <a:gd name="csX647" fmla="*/ 5113631 w 12192000"/>
              <a:gd name="csY647" fmla="*/ 935695 h 6858000"/>
              <a:gd name="csX648" fmla="*/ 5147978 w 12192000"/>
              <a:gd name="csY648" fmla="*/ 900875 h 6858000"/>
              <a:gd name="csX649" fmla="*/ 5113631 w 12192000"/>
              <a:gd name="csY649" fmla="*/ 866055 h 6858000"/>
              <a:gd name="csX650" fmla="*/ 5197372 w 12192000"/>
              <a:gd name="csY650" fmla="*/ 866055 h 6858000"/>
              <a:gd name="csX651" fmla="*/ 5163026 w 12192000"/>
              <a:gd name="csY651" fmla="*/ 900875 h 6858000"/>
              <a:gd name="csX652" fmla="*/ 5197372 w 12192000"/>
              <a:gd name="csY652" fmla="*/ 935695 h 6858000"/>
              <a:gd name="csX653" fmla="*/ 5231719 w 12192000"/>
              <a:gd name="csY653" fmla="*/ 900875 h 6858000"/>
              <a:gd name="csX654" fmla="*/ 5197372 w 12192000"/>
              <a:gd name="csY654" fmla="*/ 866055 h 6858000"/>
              <a:gd name="csX655" fmla="*/ 5281115 w 12192000"/>
              <a:gd name="csY655" fmla="*/ 866055 h 6858000"/>
              <a:gd name="csX656" fmla="*/ 5246768 w 12192000"/>
              <a:gd name="csY656" fmla="*/ 900875 h 6858000"/>
              <a:gd name="csX657" fmla="*/ 5281115 w 12192000"/>
              <a:gd name="csY657" fmla="*/ 935695 h 6858000"/>
              <a:gd name="csX658" fmla="*/ 5315461 w 12192000"/>
              <a:gd name="csY658" fmla="*/ 900875 h 6858000"/>
              <a:gd name="csX659" fmla="*/ 5281115 w 12192000"/>
              <a:gd name="csY659" fmla="*/ 866055 h 6858000"/>
              <a:gd name="csX660" fmla="*/ 5364856 w 12192000"/>
              <a:gd name="csY660" fmla="*/ 866055 h 6858000"/>
              <a:gd name="csX661" fmla="*/ 5330509 w 12192000"/>
              <a:gd name="csY661" fmla="*/ 900875 h 6858000"/>
              <a:gd name="csX662" fmla="*/ 5364856 w 12192000"/>
              <a:gd name="csY662" fmla="*/ 935695 h 6858000"/>
              <a:gd name="csX663" fmla="*/ 5399203 w 12192000"/>
              <a:gd name="csY663" fmla="*/ 900875 h 6858000"/>
              <a:gd name="csX664" fmla="*/ 5364856 w 12192000"/>
              <a:gd name="csY664" fmla="*/ 866055 h 6858000"/>
              <a:gd name="csX665" fmla="*/ 5448598 w 12192000"/>
              <a:gd name="csY665" fmla="*/ 866055 h 6858000"/>
              <a:gd name="csX666" fmla="*/ 5414252 w 12192000"/>
              <a:gd name="csY666" fmla="*/ 900875 h 6858000"/>
              <a:gd name="csX667" fmla="*/ 5448598 w 12192000"/>
              <a:gd name="csY667" fmla="*/ 935695 h 6858000"/>
              <a:gd name="csX668" fmla="*/ 5482945 w 12192000"/>
              <a:gd name="csY668" fmla="*/ 900875 h 6858000"/>
              <a:gd name="csX669" fmla="*/ 5448598 w 12192000"/>
              <a:gd name="csY669" fmla="*/ 866055 h 6858000"/>
              <a:gd name="csX670" fmla="*/ 6118531 w 12192000"/>
              <a:gd name="csY670" fmla="*/ 866055 h 6858000"/>
              <a:gd name="csX671" fmla="*/ 6084177 w 12192000"/>
              <a:gd name="csY671" fmla="*/ 900875 h 6858000"/>
              <a:gd name="csX672" fmla="*/ 6118531 w 12192000"/>
              <a:gd name="csY672" fmla="*/ 935695 h 6858000"/>
              <a:gd name="csX673" fmla="*/ 6152871 w 12192000"/>
              <a:gd name="csY673" fmla="*/ 900875 h 6858000"/>
              <a:gd name="csX674" fmla="*/ 6118531 w 12192000"/>
              <a:gd name="csY674" fmla="*/ 866055 h 6858000"/>
              <a:gd name="csX675" fmla="*/ 6202273 w 12192000"/>
              <a:gd name="csY675" fmla="*/ 866055 h 6858000"/>
              <a:gd name="csX676" fmla="*/ 6167920 w 12192000"/>
              <a:gd name="csY676" fmla="*/ 900875 h 6858000"/>
              <a:gd name="csX677" fmla="*/ 6202273 w 12192000"/>
              <a:gd name="csY677" fmla="*/ 935695 h 6858000"/>
              <a:gd name="csX678" fmla="*/ 6236613 w 12192000"/>
              <a:gd name="csY678" fmla="*/ 900875 h 6858000"/>
              <a:gd name="csX679" fmla="*/ 6202273 w 12192000"/>
              <a:gd name="csY679" fmla="*/ 866055 h 6858000"/>
              <a:gd name="csX680" fmla="*/ 7960872 w 12192000"/>
              <a:gd name="csY680" fmla="*/ 866055 h 6858000"/>
              <a:gd name="csX681" fmla="*/ 7926519 w 12192000"/>
              <a:gd name="csY681" fmla="*/ 900875 h 6858000"/>
              <a:gd name="csX682" fmla="*/ 7960872 w 12192000"/>
              <a:gd name="csY682" fmla="*/ 935695 h 6858000"/>
              <a:gd name="csX683" fmla="*/ 7995212 w 12192000"/>
              <a:gd name="csY683" fmla="*/ 900875 h 6858000"/>
              <a:gd name="csX684" fmla="*/ 7960872 w 12192000"/>
              <a:gd name="csY684" fmla="*/ 866055 h 6858000"/>
              <a:gd name="csX685" fmla="*/ 8044614 w 12192000"/>
              <a:gd name="csY685" fmla="*/ 866055 h 6858000"/>
              <a:gd name="csX686" fmla="*/ 8010261 w 12192000"/>
              <a:gd name="csY686" fmla="*/ 900875 h 6858000"/>
              <a:gd name="csX687" fmla="*/ 8044614 w 12192000"/>
              <a:gd name="csY687" fmla="*/ 935695 h 6858000"/>
              <a:gd name="csX688" fmla="*/ 8078955 w 12192000"/>
              <a:gd name="csY688" fmla="*/ 900875 h 6858000"/>
              <a:gd name="csX689" fmla="*/ 8044614 w 12192000"/>
              <a:gd name="csY689" fmla="*/ 866055 h 6858000"/>
              <a:gd name="csX690" fmla="*/ 8128356 w 12192000"/>
              <a:gd name="csY690" fmla="*/ 866055 h 6858000"/>
              <a:gd name="csX691" fmla="*/ 8094003 w 12192000"/>
              <a:gd name="csY691" fmla="*/ 900875 h 6858000"/>
              <a:gd name="csX692" fmla="*/ 8128356 w 12192000"/>
              <a:gd name="csY692" fmla="*/ 935695 h 6858000"/>
              <a:gd name="csX693" fmla="*/ 8162696 w 12192000"/>
              <a:gd name="csY693" fmla="*/ 900875 h 6858000"/>
              <a:gd name="csX694" fmla="*/ 8128356 w 12192000"/>
              <a:gd name="csY694" fmla="*/ 866055 h 6858000"/>
              <a:gd name="csX695" fmla="*/ 8212097 w 12192000"/>
              <a:gd name="csY695" fmla="*/ 866055 h 6858000"/>
              <a:gd name="csX696" fmla="*/ 8177744 w 12192000"/>
              <a:gd name="csY696" fmla="*/ 900875 h 6858000"/>
              <a:gd name="csX697" fmla="*/ 8212097 w 12192000"/>
              <a:gd name="csY697" fmla="*/ 935695 h 6858000"/>
              <a:gd name="csX698" fmla="*/ 8246437 w 12192000"/>
              <a:gd name="csY698" fmla="*/ 900875 h 6858000"/>
              <a:gd name="csX699" fmla="*/ 8212097 w 12192000"/>
              <a:gd name="csY699" fmla="*/ 866055 h 6858000"/>
              <a:gd name="csX700" fmla="*/ 8295839 w 12192000"/>
              <a:gd name="csY700" fmla="*/ 866055 h 6858000"/>
              <a:gd name="csX701" fmla="*/ 8261486 w 12192000"/>
              <a:gd name="csY701" fmla="*/ 900875 h 6858000"/>
              <a:gd name="csX702" fmla="*/ 8295839 w 12192000"/>
              <a:gd name="csY702" fmla="*/ 935695 h 6858000"/>
              <a:gd name="csX703" fmla="*/ 8330179 w 12192000"/>
              <a:gd name="csY703" fmla="*/ 900875 h 6858000"/>
              <a:gd name="csX704" fmla="*/ 8295839 w 12192000"/>
              <a:gd name="csY704" fmla="*/ 866055 h 6858000"/>
              <a:gd name="csX705" fmla="*/ 9216997 w 12192000"/>
              <a:gd name="csY705" fmla="*/ 866055 h 6858000"/>
              <a:gd name="csX706" fmla="*/ 9182644 w 12192000"/>
              <a:gd name="csY706" fmla="*/ 900875 h 6858000"/>
              <a:gd name="csX707" fmla="*/ 9216997 w 12192000"/>
              <a:gd name="csY707" fmla="*/ 935695 h 6858000"/>
              <a:gd name="csX708" fmla="*/ 9251337 w 12192000"/>
              <a:gd name="csY708" fmla="*/ 900875 h 6858000"/>
              <a:gd name="csX709" fmla="*/ 9216997 w 12192000"/>
              <a:gd name="csY709" fmla="*/ 866055 h 6858000"/>
              <a:gd name="csX710" fmla="*/ 9300738 w 12192000"/>
              <a:gd name="csY710" fmla="*/ 866055 h 6858000"/>
              <a:gd name="csX711" fmla="*/ 9266385 w 12192000"/>
              <a:gd name="csY711" fmla="*/ 900875 h 6858000"/>
              <a:gd name="csX712" fmla="*/ 9300738 w 12192000"/>
              <a:gd name="csY712" fmla="*/ 935695 h 6858000"/>
              <a:gd name="csX713" fmla="*/ 9335078 w 12192000"/>
              <a:gd name="csY713" fmla="*/ 900875 h 6858000"/>
              <a:gd name="csX714" fmla="*/ 9300738 w 12192000"/>
              <a:gd name="csY714" fmla="*/ 866055 h 6858000"/>
              <a:gd name="csX715" fmla="*/ 9384480 w 12192000"/>
              <a:gd name="csY715" fmla="*/ 866055 h 6858000"/>
              <a:gd name="csX716" fmla="*/ 9350127 w 12192000"/>
              <a:gd name="csY716" fmla="*/ 900875 h 6858000"/>
              <a:gd name="csX717" fmla="*/ 9384480 w 12192000"/>
              <a:gd name="csY717" fmla="*/ 935695 h 6858000"/>
              <a:gd name="csX718" fmla="*/ 9418821 w 12192000"/>
              <a:gd name="csY718" fmla="*/ 900875 h 6858000"/>
              <a:gd name="csX719" fmla="*/ 9384480 w 12192000"/>
              <a:gd name="csY719" fmla="*/ 866055 h 6858000"/>
              <a:gd name="csX720" fmla="*/ 9551963 w 12192000"/>
              <a:gd name="csY720" fmla="*/ 866055 h 6858000"/>
              <a:gd name="csX721" fmla="*/ 9517610 w 12192000"/>
              <a:gd name="csY721" fmla="*/ 900875 h 6858000"/>
              <a:gd name="csX722" fmla="*/ 9551963 w 12192000"/>
              <a:gd name="csY722" fmla="*/ 935695 h 6858000"/>
              <a:gd name="csX723" fmla="*/ 9586303 w 12192000"/>
              <a:gd name="csY723" fmla="*/ 900875 h 6858000"/>
              <a:gd name="csX724" fmla="*/ 9551963 w 12192000"/>
              <a:gd name="csY724" fmla="*/ 866055 h 6858000"/>
              <a:gd name="csX725" fmla="*/ 9635705 w 12192000"/>
              <a:gd name="csY725" fmla="*/ 866055 h 6858000"/>
              <a:gd name="csX726" fmla="*/ 9601352 w 12192000"/>
              <a:gd name="csY726" fmla="*/ 900875 h 6858000"/>
              <a:gd name="csX727" fmla="*/ 9635705 w 12192000"/>
              <a:gd name="csY727" fmla="*/ 935695 h 6858000"/>
              <a:gd name="csX728" fmla="*/ 9670045 w 12192000"/>
              <a:gd name="csY728" fmla="*/ 900875 h 6858000"/>
              <a:gd name="csX729" fmla="*/ 9635705 w 12192000"/>
              <a:gd name="csY729" fmla="*/ 866055 h 6858000"/>
              <a:gd name="csX730" fmla="*/ 9886930 w 12192000"/>
              <a:gd name="csY730" fmla="*/ 866055 h 6858000"/>
              <a:gd name="csX731" fmla="*/ 9852577 w 12192000"/>
              <a:gd name="csY731" fmla="*/ 900875 h 6858000"/>
              <a:gd name="csX732" fmla="*/ 9886930 w 12192000"/>
              <a:gd name="csY732" fmla="*/ 935695 h 6858000"/>
              <a:gd name="csX733" fmla="*/ 9921270 w 12192000"/>
              <a:gd name="csY733" fmla="*/ 900875 h 6858000"/>
              <a:gd name="csX734" fmla="*/ 9886930 w 12192000"/>
              <a:gd name="csY734" fmla="*/ 866055 h 6858000"/>
              <a:gd name="csX735" fmla="*/ 9970671 w 12192000"/>
              <a:gd name="csY735" fmla="*/ 866055 h 6858000"/>
              <a:gd name="csX736" fmla="*/ 9936318 w 12192000"/>
              <a:gd name="csY736" fmla="*/ 900875 h 6858000"/>
              <a:gd name="csX737" fmla="*/ 9970671 w 12192000"/>
              <a:gd name="csY737" fmla="*/ 935695 h 6858000"/>
              <a:gd name="csX738" fmla="*/ 10005011 w 12192000"/>
              <a:gd name="csY738" fmla="*/ 900875 h 6858000"/>
              <a:gd name="csX739" fmla="*/ 9970671 w 12192000"/>
              <a:gd name="csY739" fmla="*/ 866055 h 6858000"/>
              <a:gd name="csX740" fmla="*/ 10054413 w 12192000"/>
              <a:gd name="csY740" fmla="*/ 866055 h 6858000"/>
              <a:gd name="csX741" fmla="*/ 10020060 w 12192000"/>
              <a:gd name="csY741" fmla="*/ 900875 h 6858000"/>
              <a:gd name="csX742" fmla="*/ 10054413 w 12192000"/>
              <a:gd name="csY742" fmla="*/ 935695 h 6858000"/>
              <a:gd name="csX743" fmla="*/ 10088754 w 12192000"/>
              <a:gd name="csY743" fmla="*/ 900875 h 6858000"/>
              <a:gd name="csX744" fmla="*/ 10054413 w 12192000"/>
              <a:gd name="csY744" fmla="*/ 866055 h 6858000"/>
              <a:gd name="csX745" fmla="*/ 10138155 w 12192000"/>
              <a:gd name="csY745" fmla="*/ 866055 h 6858000"/>
              <a:gd name="csX746" fmla="*/ 10103802 w 12192000"/>
              <a:gd name="csY746" fmla="*/ 900875 h 6858000"/>
              <a:gd name="csX747" fmla="*/ 10138155 w 12192000"/>
              <a:gd name="csY747" fmla="*/ 935695 h 6858000"/>
              <a:gd name="csX748" fmla="*/ 10172495 w 12192000"/>
              <a:gd name="csY748" fmla="*/ 900875 h 6858000"/>
              <a:gd name="csX749" fmla="*/ 10138155 w 12192000"/>
              <a:gd name="csY749" fmla="*/ 866055 h 6858000"/>
              <a:gd name="csX750" fmla="*/ 10221896 w 12192000"/>
              <a:gd name="csY750" fmla="*/ 866055 h 6858000"/>
              <a:gd name="csX751" fmla="*/ 10187543 w 12192000"/>
              <a:gd name="csY751" fmla="*/ 900875 h 6858000"/>
              <a:gd name="csX752" fmla="*/ 10221896 w 12192000"/>
              <a:gd name="csY752" fmla="*/ 935695 h 6858000"/>
              <a:gd name="csX753" fmla="*/ 10256236 w 12192000"/>
              <a:gd name="csY753" fmla="*/ 900875 h 6858000"/>
              <a:gd name="csX754" fmla="*/ 10221896 w 12192000"/>
              <a:gd name="csY754" fmla="*/ 866055 h 6858000"/>
              <a:gd name="csX755" fmla="*/ 10305638 w 12192000"/>
              <a:gd name="csY755" fmla="*/ 866055 h 6858000"/>
              <a:gd name="csX756" fmla="*/ 10271285 w 12192000"/>
              <a:gd name="csY756" fmla="*/ 900875 h 6858000"/>
              <a:gd name="csX757" fmla="*/ 10305638 w 12192000"/>
              <a:gd name="csY757" fmla="*/ 935695 h 6858000"/>
              <a:gd name="csX758" fmla="*/ 10339978 w 12192000"/>
              <a:gd name="csY758" fmla="*/ 900875 h 6858000"/>
              <a:gd name="csX759" fmla="*/ 10305638 w 12192000"/>
              <a:gd name="csY759" fmla="*/ 866055 h 6858000"/>
              <a:gd name="csX760" fmla="*/ 10389379 w 12192000"/>
              <a:gd name="csY760" fmla="*/ 866055 h 6858000"/>
              <a:gd name="csX761" fmla="*/ 10355026 w 12192000"/>
              <a:gd name="csY761" fmla="*/ 900875 h 6858000"/>
              <a:gd name="csX762" fmla="*/ 10389379 w 12192000"/>
              <a:gd name="csY762" fmla="*/ 935695 h 6858000"/>
              <a:gd name="csX763" fmla="*/ 10423720 w 12192000"/>
              <a:gd name="csY763" fmla="*/ 900875 h 6858000"/>
              <a:gd name="csX764" fmla="*/ 10389379 w 12192000"/>
              <a:gd name="csY764" fmla="*/ 866055 h 6858000"/>
              <a:gd name="csX765" fmla="*/ 10473122 w 12192000"/>
              <a:gd name="csY765" fmla="*/ 866055 h 6858000"/>
              <a:gd name="csX766" fmla="*/ 10438769 w 12192000"/>
              <a:gd name="csY766" fmla="*/ 900875 h 6858000"/>
              <a:gd name="csX767" fmla="*/ 10473122 w 12192000"/>
              <a:gd name="csY767" fmla="*/ 935695 h 6858000"/>
              <a:gd name="csX768" fmla="*/ 10507462 w 12192000"/>
              <a:gd name="csY768" fmla="*/ 900875 h 6858000"/>
              <a:gd name="csX769" fmla="*/ 10473122 w 12192000"/>
              <a:gd name="csY769" fmla="*/ 866055 h 6858000"/>
              <a:gd name="csX770" fmla="*/ 10556863 w 12192000"/>
              <a:gd name="csY770" fmla="*/ 866055 h 6858000"/>
              <a:gd name="csX771" fmla="*/ 10522510 w 12192000"/>
              <a:gd name="csY771" fmla="*/ 900875 h 6858000"/>
              <a:gd name="csX772" fmla="*/ 10556863 w 12192000"/>
              <a:gd name="csY772" fmla="*/ 935695 h 6858000"/>
              <a:gd name="csX773" fmla="*/ 10591203 w 12192000"/>
              <a:gd name="csY773" fmla="*/ 900875 h 6858000"/>
              <a:gd name="csX774" fmla="*/ 10556863 w 12192000"/>
              <a:gd name="csY774" fmla="*/ 866055 h 6858000"/>
              <a:gd name="csX775" fmla="*/ 1763966 w 12192000"/>
              <a:gd name="csY775" fmla="*/ 950918 h 6858000"/>
              <a:gd name="csX776" fmla="*/ 1729620 w 12192000"/>
              <a:gd name="csY776" fmla="*/ 985739 h 6858000"/>
              <a:gd name="csX777" fmla="*/ 1763966 w 12192000"/>
              <a:gd name="csY777" fmla="*/ 1020559 h 6858000"/>
              <a:gd name="csX778" fmla="*/ 1798313 w 12192000"/>
              <a:gd name="csY778" fmla="*/ 985739 h 6858000"/>
              <a:gd name="csX779" fmla="*/ 1763966 w 12192000"/>
              <a:gd name="csY779" fmla="*/ 950918 h 6858000"/>
              <a:gd name="csX780" fmla="*/ 1847707 w 12192000"/>
              <a:gd name="csY780" fmla="*/ 950918 h 6858000"/>
              <a:gd name="csX781" fmla="*/ 1813361 w 12192000"/>
              <a:gd name="csY781" fmla="*/ 985739 h 6858000"/>
              <a:gd name="csX782" fmla="*/ 1847707 w 12192000"/>
              <a:gd name="csY782" fmla="*/ 1020559 h 6858000"/>
              <a:gd name="csX783" fmla="*/ 1882054 w 12192000"/>
              <a:gd name="csY783" fmla="*/ 985739 h 6858000"/>
              <a:gd name="csX784" fmla="*/ 1847707 w 12192000"/>
              <a:gd name="csY784" fmla="*/ 950918 h 6858000"/>
              <a:gd name="csX785" fmla="*/ 1931450 w 12192000"/>
              <a:gd name="csY785" fmla="*/ 950918 h 6858000"/>
              <a:gd name="csX786" fmla="*/ 1897103 w 12192000"/>
              <a:gd name="csY786" fmla="*/ 985739 h 6858000"/>
              <a:gd name="csX787" fmla="*/ 1931450 w 12192000"/>
              <a:gd name="csY787" fmla="*/ 1020559 h 6858000"/>
              <a:gd name="csX788" fmla="*/ 1965796 w 12192000"/>
              <a:gd name="csY788" fmla="*/ 985739 h 6858000"/>
              <a:gd name="csX789" fmla="*/ 1931450 w 12192000"/>
              <a:gd name="csY789" fmla="*/ 950918 h 6858000"/>
              <a:gd name="csX790" fmla="*/ 2015191 w 12192000"/>
              <a:gd name="csY790" fmla="*/ 950918 h 6858000"/>
              <a:gd name="csX791" fmla="*/ 1980844 w 12192000"/>
              <a:gd name="csY791" fmla="*/ 985739 h 6858000"/>
              <a:gd name="csX792" fmla="*/ 2015191 w 12192000"/>
              <a:gd name="csY792" fmla="*/ 1020559 h 6858000"/>
              <a:gd name="csX793" fmla="*/ 2049538 w 12192000"/>
              <a:gd name="csY793" fmla="*/ 985739 h 6858000"/>
              <a:gd name="csX794" fmla="*/ 2015191 w 12192000"/>
              <a:gd name="csY794" fmla="*/ 950918 h 6858000"/>
              <a:gd name="csX795" fmla="*/ 2098932 w 12192000"/>
              <a:gd name="csY795" fmla="*/ 950918 h 6858000"/>
              <a:gd name="csX796" fmla="*/ 2064586 w 12192000"/>
              <a:gd name="csY796" fmla="*/ 985739 h 6858000"/>
              <a:gd name="csX797" fmla="*/ 2098932 w 12192000"/>
              <a:gd name="csY797" fmla="*/ 1020559 h 6858000"/>
              <a:gd name="csX798" fmla="*/ 2133279 w 12192000"/>
              <a:gd name="csY798" fmla="*/ 985739 h 6858000"/>
              <a:gd name="csX799" fmla="*/ 2098932 w 12192000"/>
              <a:gd name="csY799" fmla="*/ 950918 h 6858000"/>
              <a:gd name="csX800" fmla="*/ 2182674 w 12192000"/>
              <a:gd name="csY800" fmla="*/ 950918 h 6858000"/>
              <a:gd name="csX801" fmla="*/ 2148328 w 12192000"/>
              <a:gd name="csY801" fmla="*/ 985739 h 6858000"/>
              <a:gd name="csX802" fmla="*/ 2182674 w 12192000"/>
              <a:gd name="csY802" fmla="*/ 1020559 h 6858000"/>
              <a:gd name="csX803" fmla="*/ 2217021 w 12192000"/>
              <a:gd name="csY803" fmla="*/ 985739 h 6858000"/>
              <a:gd name="csX804" fmla="*/ 2182674 w 12192000"/>
              <a:gd name="csY804" fmla="*/ 950918 h 6858000"/>
              <a:gd name="csX805" fmla="*/ 3020084 w 12192000"/>
              <a:gd name="csY805" fmla="*/ 950918 h 6858000"/>
              <a:gd name="csX806" fmla="*/ 2985737 w 12192000"/>
              <a:gd name="csY806" fmla="*/ 985739 h 6858000"/>
              <a:gd name="csX807" fmla="*/ 3020084 w 12192000"/>
              <a:gd name="csY807" fmla="*/ 1020559 h 6858000"/>
              <a:gd name="csX808" fmla="*/ 3054431 w 12192000"/>
              <a:gd name="csY808" fmla="*/ 985739 h 6858000"/>
              <a:gd name="csX809" fmla="*/ 3020084 w 12192000"/>
              <a:gd name="csY809" fmla="*/ 950918 h 6858000"/>
              <a:gd name="csX810" fmla="*/ 3103826 w 12192000"/>
              <a:gd name="csY810" fmla="*/ 950918 h 6858000"/>
              <a:gd name="csX811" fmla="*/ 3069479 w 12192000"/>
              <a:gd name="csY811" fmla="*/ 985739 h 6858000"/>
              <a:gd name="csX812" fmla="*/ 3103826 w 12192000"/>
              <a:gd name="csY812" fmla="*/ 1020559 h 6858000"/>
              <a:gd name="csX813" fmla="*/ 3138173 w 12192000"/>
              <a:gd name="csY813" fmla="*/ 985739 h 6858000"/>
              <a:gd name="csX814" fmla="*/ 3103826 w 12192000"/>
              <a:gd name="csY814" fmla="*/ 950918 h 6858000"/>
              <a:gd name="csX815" fmla="*/ 3187567 w 12192000"/>
              <a:gd name="csY815" fmla="*/ 950918 h 6858000"/>
              <a:gd name="csX816" fmla="*/ 3153221 w 12192000"/>
              <a:gd name="csY816" fmla="*/ 985739 h 6858000"/>
              <a:gd name="csX817" fmla="*/ 3187567 w 12192000"/>
              <a:gd name="csY817" fmla="*/ 1020559 h 6858000"/>
              <a:gd name="csX818" fmla="*/ 3221914 w 12192000"/>
              <a:gd name="csY818" fmla="*/ 985739 h 6858000"/>
              <a:gd name="csX819" fmla="*/ 3187567 w 12192000"/>
              <a:gd name="csY819" fmla="*/ 950918 h 6858000"/>
              <a:gd name="csX820" fmla="*/ 3857500 w 12192000"/>
              <a:gd name="csY820" fmla="*/ 950918 h 6858000"/>
              <a:gd name="csX821" fmla="*/ 3823154 w 12192000"/>
              <a:gd name="csY821" fmla="*/ 985739 h 6858000"/>
              <a:gd name="csX822" fmla="*/ 3857500 w 12192000"/>
              <a:gd name="csY822" fmla="*/ 1020559 h 6858000"/>
              <a:gd name="csX823" fmla="*/ 3891847 w 12192000"/>
              <a:gd name="csY823" fmla="*/ 985739 h 6858000"/>
              <a:gd name="csX824" fmla="*/ 3857500 w 12192000"/>
              <a:gd name="csY824" fmla="*/ 950918 h 6858000"/>
              <a:gd name="csX825" fmla="*/ 3941242 w 12192000"/>
              <a:gd name="csY825" fmla="*/ 950918 h 6858000"/>
              <a:gd name="csX826" fmla="*/ 3906895 w 12192000"/>
              <a:gd name="csY826" fmla="*/ 985739 h 6858000"/>
              <a:gd name="csX827" fmla="*/ 3941242 w 12192000"/>
              <a:gd name="csY827" fmla="*/ 1020559 h 6858000"/>
              <a:gd name="csX828" fmla="*/ 3975588 w 12192000"/>
              <a:gd name="csY828" fmla="*/ 985739 h 6858000"/>
              <a:gd name="csX829" fmla="*/ 3941242 w 12192000"/>
              <a:gd name="csY829" fmla="*/ 950918 h 6858000"/>
              <a:gd name="csX830" fmla="*/ 4024990 w 12192000"/>
              <a:gd name="csY830" fmla="*/ 950918 h 6858000"/>
              <a:gd name="csX831" fmla="*/ 3990643 w 12192000"/>
              <a:gd name="csY831" fmla="*/ 985739 h 6858000"/>
              <a:gd name="csX832" fmla="*/ 4024990 w 12192000"/>
              <a:gd name="csY832" fmla="*/ 1020559 h 6858000"/>
              <a:gd name="csX833" fmla="*/ 4059337 w 12192000"/>
              <a:gd name="csY833" fmla="*/ 985739 h 6858000"/>
              <a:gd name="csX834" fmla="*/ 4024990 w 12192000"/>
              <a:gd name="csY834" fmla="*/ 950918 h 6858000"/>
              <a:gd name="csX835" fmla="*/ 4359957 w 12192000"/>
              <a:gd name="csY835" fmla="*/ 950918 h 6858000"/>
              <a:gd name="csX836" fmla="*/ 4325610 w 12192000"/>
              <a:gd name="csY836" fmla="*/ 985739 h 6858000"/>
              <a:gd name="csX837" fmla="*/ 4359957 w 12192000"/>
              <a:gd name="csY837" fmla="*/ 1020559 h 6858000"/>
              <a:gd name="csX838" fmla="*/ 4394304 w 12192000"/>
              <a:gd name="csY838" fmla="*/ 985739 h 6858000"/>
              <a:gd name="csX839" fmla="*/ 4359957 w 12192000"/>
              <a:gd name="csY839" fmla="*/ 950918 h 6858000"/>
              <a:gd name="csX840" fmla="*/ 4443698 w 12192000"/>
              <a:gd name="csY840" fmla="*/ 950918 h 6858000"/>
              <a:gd name="csX841" fmla="*/ 4409352 w 12192000"/>
              <a:gd name="csY841" fmla="*/ 985739 h 6858000"/>
              <a:gd name="csX842" fmla="*/ 4443698 w 12192000"/>
              <a:gd name="csY842" fmla="*/ 1020559 h 6858000"/>
              <a:gd name="csX843" fmla="*/ 4478045 w 12192000"/>
              <a:gd name="csY843" fmla="*/ 985739 h 6858000"/>
              <a:gd name="csX844" fmla="*/ 4443698 w 12192000"/>
              <a:gd name="csY844" fmla="*/ 950918 h 6858000"/>
              <a:gd name="csX845" fmla="*/ 4527439 w 12192000"/>
              <a:gd name="csY845" fmla="*/ 950918 h 6858000"/>
              <a:gd name="csX846" fmla="*/ 4493093 w 12192000"/>
              <a:gd name="csY846" fmla="*/ 985739 h 6858000"/>
              <a:gd name="csX847" fmla="*/ 4527439 w 12192000"/>
              <a:gd name="csY847" fmla="*/ 1020559 h 6858000"/>
              <a:gd name="csX848" fmla="*/ 4561786 w 12192000"/>
              <a:gd name="csY848" fmla="*/ 985739 h 6858000"/>
              <a:gd name="csX849" fmla="*/ 4527439 w 12192000"/>
              <a:gd name="csY849" fmla="*/ 950918 h 6858000"/>
              <a:gd name="csX850" fmla="*/ 4611182 w 12192000"/>
              <a:gd name="csY850" fmla="*/ 950918 h 6858000"/>
              <a:gd name="csX851" fmla="*/ 4576835 w 12192000"/>
              <a:gd name="csY851" fmla="*/ 985739 h 6858000"/>
              <a:gd name="csX852" fmla="*/ 4611182 w 12192000"/>
              <a:gd name="csY852" fmla="*/ 1020559 h 6858000"/>
              <a:gd name="csX853" fmla="*/ 4645528 w 12192000"/>
              <a:gd name="csY853" fmla="*/ 985739 h 6858000"/>
              <a:gd name="csX854" fmla="*/ 4611182 w 12192000"/>
              <a:gd name="csY854" fmla="*/ 950918 h 6858000"/>
              <a:gd name="csX855" fmla="*/ 4694923 w 12192000"/>
              <a:gd name="csY855" fmla="*/ 950918 h 6858000"/>
              <a:gd name="csX856" fmla="*/ 4660576 w 12192000"/>
              <a:gd name="csY856" fmla="*/ 985739 h 6858000"/>
              <a:gd name="csX857" fmla="*/ 4694923 w 12192000"/>
              <a:gd name="csY857" fmla="*/ 1020559 h 6858000"/>
              <a:gd name="csX858" fmla="*/ 4729270 w 12192000"/>
              <a:gd name="csY858" fmla="*/ 985739 h 6858000"/>
              <a:gd name="csX859" fmla="*/ 4694923 w 12192000"/>
              <a:gd name="csY859" fmla="*/ 950918 h 6858000"/>
              <a:gd name="csX860" fmla="*/ 4778665 w 12192000"/>
              <a:gd name="csY860" fmla="*/ 950918 h 6858000"/>
              <a:gd name="csX861" fmla="*/ 4744319 w 12192000"/>
              <a:gd name="csY861" fmla="*/ 985739 h 6858000"/>
              <a:gd name="csX862" fmla="*/ 4778665 w 12192000"/>
              <a:gd name="csY862" fmla="*/ 1020559 h 6858000"/>
              <a:gd name="csX863" fmla="*/ 4813012 w 12192000"/>
              <a:gd name="csY863" fmla="*/ 985739 h 6858000"/>
              <a:gd name="csX864" fmla="*/ 4778665 w 12192000"/>
              <a:gd name="csY864" fmla="*/ 950918 h 6858000"/>
              <a:gd name="csX865" fmla="*/ 4862406 w 12192000"/>
              <a:gd name="csY865" fmla="*/ 950918 h 6858000"/>
              <a:gd name="csX866" fmla="*/ 4828060 w 12192000"/>
              <a:gd name="csY866" fmla="*/ 985739 h 6858000"/>
              <a:gd name="csX867" fmla="*/ 4862406 w 12192000"/>
              <a:gd name="csY867" fmla="*/ 1020559 h 6858000"/>
              <a:gd name="csX868" fmla="*/ 4896753 w 12192000"/>
              <a:gd name="csY868" fmla="*/ 985739 h 6858000"/>
              <a:gd name="csX869" fmla="*/ 4862406 w 12192000"/>
              <a:gd name="csY869" fmla="*/ 950918 h 6858000"/>
              <a:gd name="csX870" fmla="*/ 4946148 w 12192000"/>
              <a:gd name="csY870" fmla="*/ 950918 h 6858000"/>
              <a:gd name="csX871" fmla="*/ 4911801 w 12192000"/>
              <a:gd name="csY871" fmla="*/ 985739 h 6858000"/>
              <a:gd name="csX872" fmla="*/ 4946148 w 12192000"/>
              <a:gd name="csY872" fmla="*/ 1020559 h 6858000"/>
              <a:gd name="csX873" fmla="*/ 4980494 w 12192000"/>
              <a:gd name="csY873" fmla="*/ 985739 h 6858000"/>
              <a:gd name="csX874" fmla="*/ 4946148 w 12192000"/>
              <a:gd name="csY874" fmla="*/ 950918 h 6858000"/>
              <a:gd name="csX875" fmla="*/ 5029890 w 12192000"/>
              <a:gd name="csY875" fmla="*/ 950918 h 6858000"/>
              <a:gd name="csX876" fmla="*/ 4995543 w 12192000"/>
              <a:gd name="csY876" fmla="*/ 985739 h 6858000"/>
              <a:gd name="csX877" fmla="*/ 5029890 w 12192000"/>
              <a:gd name="csY877" fmla="*/ 1020559 h 6858000"/>
              <a:gd name="csX878" fmla="*/ 5064237 w 12192000"/>
              <a:gd name="csY878" fmla="*/ 985739 h 6858000"/>
              <a:gd name="csX879" fmla="*/ 5029890 w 12192000"/>
              <a:gd name="csY879" fmla="*/ 950918 h 6858000"/>
              <a:gd name="csX880" fmla="*/ 5113631 w 12192000"/>
              <a:gd name="csY880" fmla="*/ 950918 h 6858000"/>
              <a:gd name="csX881" fmla="*/ 5079285 w 12192000"/>
              <a:gd name="csY881" fmla="*/ 985739 h 6858000"/>
              <a:gd name="csX882" fmla="*/ 5113631 w 12192000"/>
              <a:gd name="csY882" fmla="*/ 1020559 h 6858000"/>
              <a:gd name="csX883" fmla="*/ 5147978 w 12192000"/>
              <a:gd name="csY883" fmla="*/ 985739 h 6858000"/>
              <a:gd name="csX884" fmla="*/ 5113631 w 12192000"/>
              <a:gd name="csY884" fmla="*/ 950918 h 6858000"/>
              <a:gd name="csX885" fmla="*/ 5197372 w 12192000"/>
              <a:gd name="csY885" fmla="*/ 950918 h 6858000"/>
              <a:gd name="csX886" fmla="*/ 5163026 w 12192000"/>
              <a:gd name="csY886" fmla="*/ 985739 h 6858000"/>
              <a:gd name="csX887" fmla="*/ 5197372 w 12192000"/>
              <a:gd name="csY887" fmla="*/ 1020559 h 6858000"/>
              <a:gd name="csX888" fmla="*/ 5231719 w 12192000"/>
              <a:gd name="csY888" fmla="*/ 985739 h 6858000"/>
              <a:gd name="csX889" fmla="*/ 5197372 w 12192000"/>
              <a:gd name="csY889" fmla="*/ 950918 h 6858000"/>
              <a:gd name="csX890" fmla="*/ 5281115 w 12192000"/>
              <a:gd name="csY890" fmla="*/ 950918 h 6858000"/>
              <a:gd name="csX891" fmla="*/ 5246768 w 12192000"/>
              <a:gd name="csY891" fmla="*/ 985739 h 6858000"/>
              <a:gd name="csX892" fmla="*/ 5281115 w 12192000"/>
              <a:gd name="csY892" fmla="*/ 1020559 h 6858000"/>
              <a:gd name="csX893" fmla="*/ 5315461 w 12192000"/>
              <a:gd name="csY893" fmla="*/ 985739 h 6858000"/>
              <a:gd name="csX894" fmla="*/ 5281115 w 12192000"/>
              <a:gd name="csY894" fmla="*/ 950918 h 6858000"/>
              <a:gd name="csX895" fmla="*/ 5364856 w 12192000"/>
              <a:gd name="csY895" fmla="*/ 950918 h 6858000"/>
              <a:gd name="csX896" fmla="*/ 5330509 w 12192000"/>
              <a:gd name="csY896" fmla="*/ 985739 h 6858000"/>
              <a:gd name="csX897" fmla="*/ 5364856 w 12192000"/>
              <a:gd name="csY897" fmla="*/ 1020559 h 6858000"/>
              <a:gd name="csX898" fmla="*/ 5399203 w 12192000"/>
              <a:gd name="csY898" fmla="*/ 985739 h 6858000"/>
              <a:gd name="csX899" fmla="*/ 5364856 w 12192000"/>
              <a:gd name="csY899" fmla="*/ 950918 h 6858000"/>
              <a:gd name="csX900" fmla="*/ 6202273 w 12192000"/>
              <a:gd name="csY900" fmla="*/ 950918 h 6858000"/>
              <a:gd name="csX901" fmla="*/ 6167920 w 12192000"/>
              <a:gd name="csY901" fmla="*/ 985739 h 6858000"/>
              <a:gd name="csX902" fmla="*/ 6202273 w 12192000"/>
              <a:gd name="csY902" fmla="*/ 1020559 h 6858000"/>
              <a:gd name="csX903" fmla="*/ 6236613 w 12192000"/>
              <a:gd name="csY903" fmla="*/ 985739 h 6858000"/>
              <a:gd name="csX904" fmla="*/ 6202273 w 12192000"/>
              <a:gd name="csY904" fmla="*/ 950918 h 6858000"/>
              <a:gd name="csX905" fmla="*/ 6286014 w 12192000"/>
              <a:gd name="csY905" fmla="*/ 950918 h 6858000"/>
              <a:gd name="csX906" fmla="*/ 6251661 w 12192000"/>
              <a:gd name="csY906" fmla="*/ 985739 h 6858000"/>
              <a:gd name="csX907" fmla="*/ 6286014 w 12192000"/>
              <a:gd name="csY907" fmla="*/ 1020559 h 6858000"/>
              <a:gd name="csX908" fmla="*/ 6320354 w 12192000"/>
              <a:gd name="csY908" fmla="*/ 985739 h 6858000"/>
              <a:gd name="csX909" fmla="*/ 6286014 w 12192000"/>
              <a:gd name="csY909" fmla="*/ 950918 h 6858000"/>
              <a:gd name="csX910" fmla="*/ 7290939 w 12192000"/>
              <a:gd name="csY910" fmla="*/ 950918 h 6858000"/>
              <a:gd name="csX911" fmla="*/ 7256586 w 12192000"/>
              <a:gd name="csY911" fmla="*/ 985739 h 6858000"/>
              <a:gd name="csX912" fmla="*/ 7290939 w 12192000"/>
              <a:gd name="csY912" fmla="*/ 1020559 h 6858000"/>
              <a:gd name="csX913" fmla="*/ 7325279 w 12192000"/>
              <a:gd name="csY913" fmla="*/ 985739 h 6858000"/>
              <a:gd name="csX914" fmla="*/ 7290939 w 12192000"/>
              <a:gd name="csY914" fmla="*/ 950918 h 6858000"/>
              <a:gd name="csX915" fmla="*/ 7877131 w 12192000"/>
              <a:gd name="csY915" fmla="*/ 950918 h 6858000"/>
              <a:gd name="csX916" fmla="*/ 7842778 w 12192000"/>
              <a:gd name="csY916" fmla="*/ 985739 h 6858000"/>
              <a:gd name="csX917" fmla="*/ 7877131 w 12192000"/>
              <a:gd name="csY917" fmla="*/ 1020559 h 6858000"/>
              <a:gd name="csX918" fmla="*/ 7911471 w 12192000"/>
              <a:gd name="csY918" fmla="*/ 985739 h 6858000"/>
              <a:gd name="csX919" fmla="*/ 7877131 w 12192000"/>
              <a:gd name="csY919" fmla="*/ 950918 h 6858000"/>
              <a:gd name="csX920" fmla="*/ 7960872 w 12192000"/>
              <a:gd name="csY920" fmla="*/ 950918 h 6858000"/>
              <a:gd name="csX921" fmla="*/ 7926519 w 12192000"/>
              <a:gd name="csY921" fmla="*/ 985739 h 6858000"/>
              <a:gd name="csX922" fmla="*/ 7960872 w 12192000"/>
              <a:gd name="csY922" fmla="*/ 1020559 h 6858000"/>
              <a:gd name="csX923" fmla="*/ 7995212 w 12192000"/>
              <a:gd name="csY923" fmla="*/ 985739 h 6858000"/>
              <a:gd name="csX924" fmla="*/ 7960872 w 12192000"/>
              <a:gd name="csY924" fmla="*/ 950918 h 6858000"/>
              <a:gd name="csX925" fmla="*/ 8044614 w 12192000"/>
              <a:gd name="csY925" fmla="*/ 950918 h 6858000"/>
              <a:gd name="csX926" fmla="*/ 8010261 w 12192000"/>
              <a:gd name="csY926" fmla="*/ 985739 h 6858000"/>
              <a:gd name="csX927" fmla="*/ 8044614 w 12192000"/>
              <a:gd name="csY927" fmla="*/ 1020559 h 6858000"/>
              <a:gd name="csX928" fmla="*/ 8078955 w 12192000"/>
              <a:gd name="csY928" fmla="*/ 985739 h 6858000"/>
              <a:gd name="csX929" fmla="*/ 8044614 w 12192000"/>
              <a:gd name="csY929" fmla="*/ 950918 h 6858000"/>
              <a:gd name="csX930" fmla="*/ 8212097 w 12192000"/>
              <a:gd name="csY930" fmla="*/ 950918 h 6858000"/>
              <a:gd name="csX931" fmla="*/ 8177744 w 12192000"/>
              <a:gd name="csY931" fmla="*/ 985739 h 6858000"/>
              <a:gd name="csX932" fmla="*/ 8212097 w 12192000"/>
              <a:gd name="csY932" fmla="*/ 1020559 h 6858000"/>
              <a:gd name="csX933" fmla="*/ 8246437 w 12192000"/>
              <a:gd name="csY933" fmla="*/ 985739 h 6858000"/>
              <a:gd name="csX934" fmla="*/ 8212097 w 12192000"/>
              <a:gd name="csY934" fmla="*/ 950918 h 6858000"/>
              <a:gd name="csX935" fmla="*/ 8547064 w 12192000"/>
              <a:gd name="csY935" fmla="*/ 950918 h 6858000"/>
              <a:gd name="csX936" fmla="*/ 8512711 w 12192000"/>
              <a:gd name="csY936" fmla="*/ 985739 h 6858000"/>
              <a:gd name="csX937" fmla="*/ 8547064 w 12192000"/>
              <a:gd name="csY937" fmla="*/ 1020559 h 6858000"/>
              <a:gd name="csX938" fmla="*/ 8581404 w 12192000"/>
              <a:gd name="csY938" fmla="*/ 985739 h 6858000"/>
              <a:gd name="csX939" fmla="*/ 8547064 w 12192000"/>
              <a:gd name="csY939" fmla="*/ 950918 h 6858000"/>
              <a:gd name="csX940" fmla="*/ 8714547 w 12192000"/>
              <a:gd name="csY940" fmla="*/ 950918 h 6858000"/>
              <a:gd name="csX941" fmla="*/ 8680194 w 12192000"/>
              <a:gd name="csY941" fmla="*/ 985739 h 6858000"/>
              <a:gd name="csX942" fmla="*/ 8714547 w 12192000"/>
              <a:gd name="csY942" fmla="*/ 1020559 h 6858000"/>
              <a:gd name="csX943" fmla="*/ 8748888 w 12192000"/>
              <a:gd name="csY943" fmla="*/ 985739 h 6858000"/>
              <a:gd name="csX944" fmla="*/ 8714547 w 12192000"/>
              <a:gd name="csY944" fmla="*/ 950918 h 6858000"/>
              <a:gd name="csX945" fmla="*/ 8798289 w 12192000"/>
              <a:gd name="csY945" fmla="*/ 950918 h 6858000"/>
              <a:gd name="csX946" fmla="*/ 8763936 w 12192000"/>
              <a:gd name="csY946" fmla="*/ 985739 h 6858000"/>
              <a:gd name="csX947" fmla="*/ 8798289 w 12192000"/>
              <a:gd name="csY947" fmla="*/ 1020559 h 6858000"/>
              <a:gd name="csX948" fmla="*/ 8832629 w 12192000"/>
              <a:gd name="csY948" fmla="*/ 985739 h 6858000"/>
              <a:gd name="csX949" fmla="*/ 8798289 w 12192000"/>
              <a:gd name="csY949" fmla="*/ 950918 h 6858000"/>
              <a:gd name="csX950" fmla="*/ 9133256 w 12192000"/>
              <a:gd name="csY950" fmla="*/ 950918 h 6858000"/>
              <a:gd name="csX951" fmla="*/ 9098903 w 12192000"/>
              <a:gd name="csY951" fmla="*/ 985739 h 6858000"/>
              <a:gd name="csX952" fmla="*/ 9133256 w 12192000"/>
              <a:gd name="csY952" fmla="*/ 1020559 h 6858000"/>
              <a:gd name="csX953" fmla="*/ 9167596 w 12192000"/>
              <a:gd name="csY953" fmla="*/ 985739 h 6858000"/>
              <a:gd name="csX954" fmla="*/ 9133256 w 12192000"/>
              <a:gd name="csY954" fmla="*/ 950918 h 6858000"/>
              <a:gd name="csX955" fmla="*/ 9216997 w 12192000"/>
              <a:gd name="csY955" fmla="*/ 950918 h 6858000"/>
              <a:gd name="csX956" fmla="*/ 9182644 w 12192000"/>
              <a:gd name="csY956" fmla="*/ 985739 h 6858000"/>
              <a:gd name="csX957" fmla="*/ 9216997 w 12192000"/>
              <a:gd name="csY957" fmla="*/ 1020559 h 6858000"/>
              <a:gd name="csX958" fmla="*/ 9251337 w 12192000"/>
              <a:gd name="csY958" fmla="*/ 985739 h 6858000"/>
              <a:gd name="csX959" fmla="*/ 9216997 w 12192000"/>
              <a:gd name="csY959" fmla="*/ 950918 h 6858000"/>
              <a:gd name="csX960" fmla="*/ 9300738 w 12192000"/>
              <a:gd name="csY960" fmla="*/ 950918 h 6858000"/>
              <a:gd name="csX961" fmla="*/ 9266385 w 12192000"/>
              <a:gd name="csY961" fmla="*/ 985739 h 6858000"/>
              <a:gd name="csX962" fmla="*/ 9300738 w 12192000"/>
              <a:gd name="csY962" fmla="*/ 1020559 h 6858000"/>
              <a:gd name="csX963" fmla="*/ 9335078 w 12192000"/>
              <a:gd name="csY963" fmla="*/ 985739 h 6858000"/>
              <a:gd name="csX964" fmla="*/ 9300738 w 12192000"/>
              <a:gd name="csY964" fmla="*/ 950918 h 6858000"/>
              <a:gd name="csX965" fmla="*/ 9384480 w 12192000"/>
              <a:gd name="csY965" fmla="*/ 950918 h 6858000"/>
              <a:gd name="csX966" fmla="*/ 9350127 w 12192000"/>
              <a:gd name="csY966" fmla="*/ 985739 h 6858000"/>
              <a:gd name="csX967" fmla="*/ 9384480 w 12192000"/>
              <a:gd name="csY967" fmla="*/ 1020559 h 6858000"/>
              <a:gd name="csX968" fmla="*/ 9418821 w 12192000"/>
              <a:gd name="csY968" fmla="*/ 985739 h 6858000"/>
              <a:gd name="csX969" fmla="*/ 9384480 w 12192000"/>
              <a:gd name="csY969" fmla="*/ 950918 h 6858000"/>
              <a:gd name="csX970" fmla="*/ 9468222 w 12192000"/>
              <a:gd name="csY970" fmla="*/ 950918 h 6858000"/>
              <a:gd name="csX971" fmla="*/ 9433869 w 12192000"/>
              <a:gd name="csY971" fmla="*/ 985739 h 6858000"/>
              <a:gd name="csX972" fmla="*/ 9468222 w 12192000"/>
              <a:gd name="csY972" fmla="*/ 1020559 h 6858000"/>
              <a:gd name="csX973" fmla="*/ 9502562 w 12192000"/>
              <a:gd name="csY973" fmla="*/ 985739 h 6858000"/>
              <a:gd name="csX974" fmla="*/ 9468222 w 12192000"/>
              <a:gd name="csY974" fmla="*/ 950918 h 6858000"/>
              <a:gd name="csX975" fmla="*/ 9551963 w 12192000"/>
              <a:gd name="csY975" fmla="*/ 950918 h 6858000"/>
              <a:gd name="csX976" fmla="*/ 9517610 w 12192000"/>
              <a:gd name="csY976" fmla="*/ 985739 h 6858000"/>
              <a:gd name="csX977" fmla="*/ 9551963 w 12192000"/>
              <a:gd name="csY977" fmla="*/ 1020559 h 6858000"/>
              <a:gd name="csX978" fmla="*/ 9586303 w 12192000"/>
              <a:gd name="csY978" fmla="*/ 985739 h 6858000"/>
              <a:gd name="csX979" fmla="*/ 9551963 w 12192000"/>
              <a:gd name="csY979" fmla="*/ 950918 h 6858000"/>
              <a:gd name="csX980" fmla="*/ 9635705 w 12192000"/>
              <a:gd name="csY980" fmla="*/ 950918 h 6858000"/>
              <a:gd name="csX981" fmla="*/ 9601352 w 12192000"/>
              <a:gd name="csY981" fmla="*/ 985739 h 6858000"/>
              <a:gd name="csX982" fmla="*/ 9635705 w 12192000"/>
              <a:gd name="csY982" fmla="*/ 1020559 h 6858000"/>
              <a:gd name="csX983" fmla="*/ 9670045 w 12192000"/>
              <a:gd name="csY983" fmla="*/ 985739 h 6858000"/>
              <a:gd name="csX984" fmla="*/ 9635705 w 12192000"/>
              <a:gd name="csY984" fmla="*/ 950918 h 6858000"/>
              <a:gd name="csX985" fmla="*/ 9719446 w 12192000"/>
              <a:gd name="csY985" fmla="*/ 950918 h 6858000"/>
              <a:gd name="csX986" fmla="*/ 9685093 w 12192000"/>
              <a:gd name="csY986" fmla="*/ 985739 h 6858000"/>
              <a:gd name="csX987" fmla="*/ 9719446 w 12192000"/>
              <a:gd name="csY987" fmla="*/ 1020559 h 6858000"/>
              <a:gd name="csX988" fmla="*/ 9753787 w 12192000"/>
              <a:gd name="csY988" fmla="*/ 985739 h 6858000"/>
              <a:gd name="csX989" fmla="*/ 9719446 w 12192000"/>
              <a:gd name="csY989" fmla="*/ 950918 h 6858000"/>
              <a:gd name="csX990" fmla="*/ 9803189 w 12192000"/>
              <a:gd name="csY990" fmla="*/ 950918 h 6858000"/>
              <a:gd name="csX991" fmla="*/ 9768836 w 12192000"/>
              <a:gd name="csY991" fmla="*/ 985739 h 6858000"/>
              <a:gd name="csX992" fmla="*/ 9803189 w 12192000"/>
              <a:gd name="csY992" fmla="*/ 1020559 h 6858000"/>
              <a:gd name="csX993" fmla="*/ 9837529 w 12192000"/>
              <a:gd name="csY993" fmla="*/ 985739 h 6858000"/>
              <a:gd name="csX994" fmla="*/ 9803189 w 12192000"/>
              <a:gd name="csY994" fmla="*/ 950918 h 6858000"/>
              <a:gd name="csX995" fmla="*/ 9886930 w 12192000"/>
              <a:gd name="csY995" fmla="*/ 950918 h 6858000"/>
              <a:gd name="csX996" fmla="*/ 9852577 w 12192000"/>
              <a:gd name="csY996" fmla="*/ 985739 h 6858000"/>
              <a:gd name="csX997" fmla="*/ 9886930 w 12192000"/>
              <a:gd name="csY997" fmla="*/ 1020559 h 6858000"/>
              <a:gd name="csX998" fmla="*/ 9921270 w 12192000"/>
              <a:gd name="csY998" fmla="*/ 985739 h 6858000"/>
              <a:gd name="csX999" fmla="*/ 9886930 w 12192000"/>
              <a:gd name="csY999" fmla="*/ 950918 h 6858000"/>
              <a:gd name="csX1000" fmla="*/ 9970671 w 12192000"/>
              <a:gd name="csY1000" fmla="*/ 950918 h 6858000"/>
              <a:gd name="csX1001" fmla="*/ 9936318 w 12192000"/>
              <a:gd name="csY1001" fmla="*/ 985739 h 6858000"/>
              <a:gd name="csX1002" fmla="*/ 9970671 w 12192000"/>
              <a:gd name="csY1002" fmla="*/ 1020559 h 6858000"/>
              <a:gd name="csX1003" fmla="*/ 10005011 w 12192000"/>
              <a:gd name="csY1003" fmla="*/ 985739 h 6858000"/>
              <a:gd name="csX1004" fmla="*/ 9970671 w 12192000"/>
              <a:gd name="csY1004" fmla="*/ 950918 h 6858000"/>
              <a:gd name="csX1005" fmla="*/ 10054413 w 12192000"/>
              <a:gd name="csY1005" fmla="*/ 950918 h 6858000"/>
              <a:gd name="csX1006" fmla="*/ 10020060 w 12192000"/>
              <a:gd name="csY1006" fmla="*/ 985739 h 6858000"/>
              <a:gd name="csX1007" fmla="*/ 10054413 w 12192000"/>
              <a:gd name="csY1007" fmla="*/ 1020559 h 6858000"/>
              <a:gd name="csX1008" fmla="*/ 10088754 w 12192000"/>
              <a:gd name="csY1008" fmla="*/ 985739 h 6858000"/>
              <a:gd name="csX1009" fmla="*/ 10054413 w 12192000"/>
              <a:gd name="csY1009" fmla="*/ 950918 h 6858000"/>
              <a:gd name="csX1010" fmla="*/ 10138155 w 12192000"/>
              <a:gd name="csY1010" fmla="*/ 950918 h 6858000"/>
              <a:gd name="csX1011" fmla="*/ 10103802 w 12192000"/>
              <a:gd name="csY1011" fmla="*/ 985739 h 6858000"/>
              <a:gd name="csX1012" fmla="*/ 10138155 w 12192000"/>
              <a:gd name="csY1012" fmla="*/ 1020559 h 6858000"/>
              <a:gd name="csX1013" fmla="*/ 10172495 w 12192000"/>
              <a:gd name="csY1013" fmla="*/ 985739 h 6858000"/>
              <a:gd name="csX1014" fmla="*/ 10138155 w 12192000"/>
              <a:gd name="csY1014" fmla="*/ 950918 h 6858000"/>
              <a:gd name="csX1015" fmla="*/ 10221896 w 12192000"/>
              <a:gd name="csY1015" fmla="*/ 950918 h 6858000"/>
              <a:gd name="csX1016" fmla="*/ 10187543 w 12192000"/>
              <a:gd name="csY1016" fmla="*/ 985739 h 6858000"/>
              <a:gd name="csX1017" fmla="*/ 10221896 w 12192000"/>
              <a:gd name="csY1017" fmla="*/ 1020559 h 6858000"/>
              <a:gd name="csX1018" fmla="*/ 10256236 w 12192000"/>
              <a:gd name="csY1018" fmla="*/ 985739 h 6858000"/>
              <a:gd name="csX1019" fmla="*/ 10221896 w 12192000"/>
              <a:gd name="csY1019" fmla="*/ 950918 h 6858000"/>
              <a:gd name="csX1020" fmla="*/ 10305638 w 12192000"/>
              <a:gd name="csY1020" fmla="*/ 950918 h 6858000"/>
              <a:gd name="csX1021" fmla="*/ 10271285 w 12192000"/>
              <a:gd name="csY1021" fmla="*/ 985739 h 6858000"/>
              <a:gd name="csX1022" fmla="*/ 10305638 w 12192000"/>
              <a:gd name="csY1022" fmla="*/ 1020559 h 6858000"/>
              <a:gd name="csX1023" fmla="*/ 10339978 w 12192000"/>
              <a:gd name="csY1023" fmla="*/ 985739 h 6858000"/>
              <a:gd name="csX1024" fmla="*/ 10305638 w 12192000"/>
              <a:gd name="csY1024" fmla="*/ 950918 h 6858000"/>
              <a:gd name="csX1025" fmla="*/ 10389379 w 12192000"/>
              <a:gd name="csY1025" fmla="*/ 950918 h 6858000"/>
              <a:gd name="csX1026" fmla="*/ 10355026 w 12192000"/>
              <a:gd name="csY1026" fmla="*/ 985739 h 6858000"/>
              <a:gd name="csX1027" fmla="*/ 10389379 w 12192000"/>
              <a:gd name="csY1027" fmla="*/ 1020559 h 6858000"/>
              <a:gd name="csX1028" fmla="*/ 10423720 w 12192000"/>
              <a:gd name="csY1028" fmla="*/ 985739 h 6858000"/>
              <a:gd name="csX1029" fmla="*/ 10389379 w 12192000"/>
              <a:gd name="csY1029" fmla="*/ 950918 h 6858000"/>
              <a:gd name="csX1030" fmla="*/ 10556863 w 12192000"/>
              <a:gd name="csY1030" fmla="*/ 950918 h 6858000"/>
              <a:gd name="csX1031" fmla="*/ 10522510 w 12192000"/>
              <a:gd name="csY1031" fmla="*/ 985739 h 6858000"/>
              <a:gd name="csX1032" fmla="*/ 10556863 w 12192000"/>
              <a:gd name="csY1032" fmla="*/ 1020559 h 6858000"/>
              <a:gd name="csX1033" fmla="*/ 10591203 w 12192000"/>
              <a:gd name="csY1033" fmla="*/ 985739 h 6858000"/>
              <a:gd name="csX1034" fmla="*/ 10556863 w 12192000"/>
              <a:gd name="csY1034" fmla="*/ 950918 h 6858000"/>
              <a:gd name="csX1035" fmla="*/ 1763966 w 12192000"/>
              <a:gd name="csY1035" fmla="*/ 1035783 h 6858000"/>
              <a:gd name="csX1036" fmla="*/ 1729620 w 12192000"/>
              <a:gd name="csY1036" fmla="*/ 1070604 h 6858000"/>
              <a:gd name="csX1037" fmla="*/ 1763966 w 12192000"/>
              <a:gd name="csY1037" fmla="*/ 1105424 h 6858000"/>
              <a:gd name="csX1038" fmla="*/ 1798313 w 12192000"/>
              <a:gd name="csY1038" fmla="*/ 1070604 h 6858000"/>
              <a:gd name="csX1039" fmla="*/ 1763966 w 12192000"/>
              <a:gd name="csY1039" fmla="*/ 1035783 h 6858000"/>
              <a:gd name="csX1040" fmla="*/ 1847707 w 12192000"/>
              <a:gd name="csY1040" fmla="*/ 1035783 h 6858000"/>
              <a:gd name="csX1041" fmla="*/ 1813361 w 12192000"/>
              <a:gd name="csY1041" fmla="*/ 1070604 h 6858000"/>
              <a:gd name="csX1042" fmla="*/ 1847707 w 12192000"/>
              <a:gd name="csY1042" fmla="*/ 1105424 h 6858000"/>
              <a:gd name="csX1043" fmla="*/ 1882054 w 12192000"/>
              <a:gd name="csY1043" fmla="*/ 1070604 h 6858000"/>
              <a:gd name="csX1044" fmla="*/ 1847707 w 12192000"/>
              <a:gd name="csY1044" fmla="*/ 1035783 h 6858000"/>
              <a:gd name="csX1045" fmla="*/ 1931450 w 12192000"/>
              <a:gd name="csY1045" fmla="*/ 1035783 h 6858000"/>
              <a:gd name="csX1046" fmla="*/ 1897103 w 12192000"/>
              <a:gd name="csY1046" fmla="*/ 1070604 h 6858000"/>
              <a:gd name="csX1047" fmla="*/ 1931450 w 12192000"/>
              <a:gd name="csY1047" fmla="*/ 1105424 h 6858000"/>
              <a:gd name="csX1048" fmla="*/ 1965796 w 12192000"/>
              <a:gd name="csY1048" fmla="*/ 1070604 h 6858000"/>
              <a:gd name="csX1049" fmla="*/ 1931450 w 12192000"/>
              <a:gd name="csY1049" fmla="*/ 1035783 h 6858000"/>
              <a:gd name="csX1050" fmla="*/ 2015191 w 12192000"/>
              <a:gd name="csY1050" fmla="*/ 1035783 h 6858000"/>
              <a:gd name="csX1051" fmla="*/ 1980844 w 12192000"/>
              <a:gd name="csY1051" fmla="*/ 1070604 h 6858000"/>
              <a:gd name="csX1052" fmla="*/ 2015191 w 12192000"/>
              <a:gd name="csY1052" fmla="*/ 1105424 h 6858000"/>
              <a:gd name="csX1053" fmla="*/ 2049538 w 12192000"/>
              <a:gd name="csY1053" fmla="*/ 1070604 h 6858000"/>
              <a:gd name="csX1054" fmla="*/ 2015191 w 12192000"/>
              <a:gd name="csY1054" fmla="*/ 1035783 h 6858000"/>
              <a:gd name="csX1055" fmla="*/ 2098932 w 12192000"/>
              <a:gd name="csY1055" fmla="*/ 1035783 h 6858000"/>
              <a:gd name="csX1056" fmla="*/ 2064586 w 12192000"/>
              <a:gd name="csY1056" fmla="*/ 1070604 h 6858000"/>
              <a:gd name="csX1057" fmla="*/ 2098932 w 12192000"/>
              <a:gd name="csY1057" fmla="*/ 1105424 h 6858000"/>
              <a:gd name="csX1058" fmla="*/ 2133279 w 12192000"/>
              <a:gd name="csY1058" fmla="*/ 1070604 h 6858000"/>
              <a:gd name="csX1059" fmla="*/ 2098932 w 12192000"/>
              <a:gd name="csY1059" fmla="*/ 1035783 h 6858000"/>
              <a:gd name="csX1060" fmla="*/ 2182674 w 12192000"/>
              <a:gd name="csY1060" fmla="*/ 1035783 h 6858000"/>
              <a:gd name="csX1061" fmla="*/ 2148328 w 12192000"/>
              <a:gd name="csY1061" fmla="*/ 1070604 h 6858000"/>
              <a:gd name="csX1062" fmla="*/ 2182674 w 12192000"/>
              <a:gd name="csY1062" fmla="*/ 1105424 h 6858000"/>
              <a:gd name="csX1063" fmla="*/ 2217021 w 12192000"/>
              <a:gd name="csY1063" fmla="*/ 1070604 h 6858000"/>
              <a:gd name="csX1064" fmla="*/ 2182674 w 12192000"/>
              <a:gd name="csY1064" fmla="*/ 1035783 h 6858000"/>
              <a:gd name="csX1065" fmla="*/ 2266416 w 12192000"/>
              <a:gd name="csY1065" fmla="*/ 1035783 h 6858000"/>
              <a:gd name="csX1066" fmla="*/ 2232069 w 12192000"/>
              <a:gd name="csY1066" fmla="*/ 1070604 h 6858000"/>
              <a:gd name="csX1067" fmla="*/ 2266416 w 12192000"/>
              <a:gd name="csY1067" fmla="*/ 1105424 h 6858000"/>
              <a:gd name="csX1068" fmla="*/ 2300762 w 12192000"/>
              <a:gd name="csY1068" fmla="*/ 1070604 h 6858000"/>
              <a:gd name="csX1069" fmla="*/ 2266416 w 12192000"/>
              <a:gd name="csY1069" fmla="*/ 1035783 h 6858000"/>
              <a:gd name="csX1070" fmla="*/ 2350151 w 12192000"/>
              <a:gd name="csY1070" fmla="*/ 1035783 h 6858000"/>
              <a:gd name="csX1071" fmla="*/ 2315804 w 12192000"/>
              <a:gd name="csY1071" fmla="*/ 1070604 h 6858000"/>
              <a:gd name="csX1072" fmla="*/ 2350151 w 12192000"/>
              <a:gd name="csY1072" fmla="*/ 1105424 h 6858000"/>
              <a:gd name="csX1073" fmla="*/ 2384498 w 12192000"/>
              <a:gd name="csY1073" fmla="*/ 1070604 h 6858000"/>
              <a:gd name="csX1074" fmla="*/ 2350151 w 12192000"/>
              <a:gd name="csY1074" fmla="*/ 1035783 h 6858000"/>
              <a:gd name="csX1075" fmla="*/ 2936343 w 12192000"/>
              <a:gd name="csY1075" fmla="*/ 1035783 h 6858000"/>
              <a:gd name="csX1076" fmla="*/ 2901996 w 12192000"/>
              <a:gd name="csY1076" fmla="*/ 1070604 h 6858000"/>
              <a:gd name="csX1077" fmla="*/ 2936343 w 12192000"/>
              <a:gd name="csY1077" fmla="*/ 1105424 h 6858000"/>
              <a:gd name="csX1078" fmla="*/ 2970689 w 12192000"/>
              <a:gd name="csY1078" fmla="*/ 1070604 h 6858000"/>
              <a:gd name="csX1079" fmla="*/ 2936343 w 12192000"/>
              <a:gd name="csY1079" fmla="*/ 1035783 h 6858000"/>
              <a:gd name="csX1080" fmla="*/ 3103826 w 12192000"/>
              <a:gd name="csY1080" fmla="*/ 1035783 h 6858000"/>
              <a:gd name="csX1081" fmla="*/ 3069479 w 12192000"/>
              <a:gd name="csY1081" fmla="*/ 1070604 h 6858000"/>
              <a:gd name="csX1082" fmla="*/ 3103826 w 12192000"/>
              <a:gd name="csY1082" fmla="*/ 1105424 h 6858000"/>
              <a:gd name="csX1083" fmla="*/ 3138173 w 12192000"/>
              <a:gd name="csY1083" fmla="*/ 1070604 h 6858000"/>
              <a:gd name="csX1084" fmla="*/ 3103826 w 12192000"/>
              <a:gd name="csY1084" fmla="*/ 1035783 h 6858000"/>
              <a:gd name="csX1085" fmla="*/ 3187567 w 12192000"/>
              <a:gd name="csY1085" fmla="*/ 1035783 h 6858000"/>
              <a:gd name="csX1086" fmla="*/ 3153221 w 12192000"/>
              <a:gd name="csY1086" fmla="*/ 1070604 h 6858000"/>
              <a:gd name="csX1087" fmla="*/ 3187567 w 12192000"/>
              <a:gd name="csY1087" fmla="*/ 1105424 h 6858000"/>
              <a:gd name="csX1088" fmla="*/ 3221914 w 12192000"/>
              <a:gd name="csY1088" fmla="*/ 1070604 h 6858000"/>
              <a:gd name="csX1089" fmla="*/ 3187567 w 12192000"/>
              <a:gd name="csY1089" fmla="*/ 1035783 h 6858000"/>
              <a:gd name="csX1090" fmla="*/ 3438792 w 12192000"/>
              <a:gd name="csY1090" fmla="*/ 1035783 h 6858000"/>
              <a:gd name="csX1091" fmla="*/ 3404445 w 12192000"/>
              <a:gd name="csY1091" fmla="*/ 1070604 h 6858000"/>
              <a:gd name="csX1092" fmla="*/ 3438792 w 12192000"/>
              <a:gd name="csY1092" fmla="*/ 1105424 h 6858000"/>
              <a:gd name="csX1093" fmla="*/ 3473139 w 12192000"/>
              <a:gd name="csY1093" fmla="*/ 1070604 h 6858000"/>
              <a:gd name="csX1094" fmla="*/ 3438792 w 12192000"/>
              <a:gd name="csY1094" fmla="*/ 1035783 h 6858000"/>
              <a:gd name="csX1095" fmla="*/ 3606276 w 12192000"/>
              <a:gd name="csY1095" fmla="*/ 1035783 h 6858000"/>
              <a:gd name="csX1096" fmla="*/ 3571929 w 12192000"/>
              <a:gd name="csY1096" fmla="*/ 1070604 h 6858000"/>
              <a:gd name="csX1097" fmla="*/ 3606276 w 12192000"/>
              <a:gd name="csY1097" fmla="*/ 1105424 h 6858000"/>
              <a:gd name="csX1098" fmla="*/ 3640622 w 12192000"/>
              <a:gd name="csY1098" fmla="*/ 1070604 h 6858000"/>
              <a:gd name="csX1099" fmla="*/ 3606276 w 12192000"/>
              <a:gd name="csY1099" fmla="*/ 1035783 h 6858000"/>
              <a:gd name="csX1100" fmla="*/ 3773759 w 12192000"/>
              <a:gd name="csY1100" fmla="*/ 1035783 h 6858000"/>
              <a:gd name="csX1101" fmla="*/ 3739412 w 12192000"/>
              <a:gd name="csY1101" fmla="*/ 1070604 h 6858000"/>
              <a:gd name="csX1102" fmla="*/ 3773759 w 12192000"/>
              <a:gd name="csY1102" fmla="*/ 1105424 h 6858000"/>
              <a:gd name="csX1103" fmla="*/ 3808106 w 12192000"/>
              <a:gd name="csY1103" fmla="*/ 1070604 h 6858000"/>
              <a:gd name="csX1104" fmla="*/ 3773759 w 12192000"/>
              <a:gd name="csY1104" fmla="*/ 1035783 h 6858000"/>
              <a:gd name="csX1105" fmla="*/ 4024990 w 12192000"/>
              <a:gd name="csY1105" fmla="*/ 1035783 h 6858000"/>
              <a:gd name="csX1106" fmla="*/ 3990643 w 12192000"/>
              <a:gd name="csY1106" fmla="*/ 1070604 h 6858000"/>
              <a:gd name="csX1107" fmla="*/ 4024990 w 12192000"/>
              <a:gd name="csY1107" fmla="*/ 1105424 h 6858000"/>
              <a:gd name="csX1108" fmla="*/ 4059337 w 12192000"/>
              <a:gd name="csY1108" fmla="*/ 1070604 h 6858000"/>
              <a:gd name="csX1109" fmla="*/ 4024990 w 12192000"/>
              <a:gd name="csY1109" fmla="*/ 1035783 h 6858000"/>
              <a:gd name="csX1110" fmla="*/ 4611182 w 12192000"/>
              <a:gd name="csY1110" fmla="*/ 1035783 h 6858000"/>
              <a:gd name="csX1111" fmla="*/ 4576835 w 12192000"/>
              <a:gd name="csY1111" fmla="*/ 1070604 h 6858000"/>
              <a:gd name="csX1112" fmla="*/ 4611182 w 12192000"/>
              <a:gd name="csY1112" fmla="*/ 1105424 h 6858000"/>
              <a:gd name="csX1113" fmla="*/ 4645528 w 12192000"/>
              <a:gd name="csY1113" fmla="*/ 1070604 h 6858000"/>
              <a:gd name="csX1114" fmla="*/ 4611182 w 12192000"/>
              <a:gd name="csY1114" fmla="*/ 1035783 h 6858000"/>
              <a:gd name="csX1115" fmla="*/ 4694923 w 12192000"/>
              <a:gd name="csY1115" fmla="*/ 1035783 h 6858000"/>
              <a:gd name="csX1116" fmla="*/ 4660576 w 12192000"/>
              <a:gd name="csY1116" fmla="*/ 1070604 h 6858000"/>
              <a:gd name="csX1117" fmla="*/ 4694923 w 12192000"/>
              <a:gd name="csY1117" fmla="*/ 1105424 h 6858000"/>
              <a:gd name="csX1118" fmla="*/ 4729270 w 12192000"/>
              <a:gd name="csY1118" fmla="*/ 1070604 h 6858000"/>
              <a:gd name="csX1119" fmla="*/ 4694923 w 12192000"/>
              <a:gd name="csY1119" fmla="*/ 1035783 h 6858000"/>
              <a:gd name="csX1120" fmla="*/ 4778665 w 12192000"/>
              <a:gd name="csY1120" fmla="*/ 1035783 h 6858000"/>
              <a:gd name="csX1121" fmla="*/ 4744319 w 12192000"/>
              <a:gd name="csY1121" fmla="*/ 1070604 h 6858000"/>
              <a:gd name="csX1122" fmla="*/ 4778665 w 12192000"/>
              <a:gd name="csY1122" fmla="*/ 1105424 h 6858000"/>
              <a:gd name="csX1123" fmla="*/ 4813012 w 12192000"/>
              <a:gd name="csY1123" fmla="*/ 1070604 h 6858000"/>
              <a:gd name="csX1124" fmla="*/ 4778665 w 12192000"/>
              <a:gd name="csY1124" fmla="*/ 1035783 h 6858000"/>
              <a:gd name="csX1125" fmla="*/ 4862406 w 12192000"/>
              <a:gd name="csY1125" fmla="*/ 1035783 h 6858000"/>
              <a:gd name="csX1126" fmla="*/ 4828060 w 12192000"/>
              <a:gd name="csY1126" fmla="*/ 1070604 h 6858000"/>
              <a:gd name="csX1127" fmla="*/ 4862406 w 12192000"/>
              <a:gd name="csY1127" fmla="*/ 1105424 h 6858000"/>
              <a:gd name="csX1128" fmla="*/ 4896753 w 12192000"/>
              <a:gd name="csY1128" fmla="*/ 1070604 h 6858000"/>
              <a:gd name="csX1129" fmla="*/ 4862406 w 12192000"/>
              <a:gd name="csY1129" fmla="*/ 1035783 h 6858000"/>
              <a:gd name="csX1130" fmla="*/ 4946148 w 12192000"/>
              <a:gd name="csY1130" fmla="*/ 1035783 h 6858000"/>
              <a:gd name="csX1131" fmla="*/ 4911801 w 12192000"/>
              <a:gd name="csY1131" fmla="*/ 1070604 h 6858000"/>
              <a:gd name="csX1132" fmla="*/ 4946148 w 12192000"/>
              <a:gd name="csY1132" fmla="*/ 1105424 h 6858000"/>
              <a:gd name="csX1133" fmla="*/ 4980494 w 12192000"/>
              <a:gd name="csY1133" fmla="*/ 1070604 h 6858000"/>
              <a:gd name="csX1134" fmla="*/ 4946148 w 12192000"/>
              <a:gd name="csY1134" fmla="*/ 1035783 h 6858000"/>
              <a:gd name="csX1135" fmla="*/ 5029890 w 12192000"/>
              <a:gd name="csY1135" fmla="*/ 1035783 h 6858000"/>
              <a:gd name="csX1136" fmla="*/ 4995543 w 12192000"/>
              <a:gd name="csY1136" fmla="*/ 1070604 h 6858000"/>
              <a:gd name="csX1137" fmla="*/ 5029890 w 12192000"/>
              <a:gd name="csY1137" fmla="*/ 1105424 h 6858000"/>
              <a:gd name="csX1138" fmla="*/ 5064237 w 12192000"/>
              <a:gd name="csY1138" fmla="*/ 1070604 h 6858000"/>
              <a:gd name="csX1139" fmla="*/ 5029890 w 12192000"/>
              <a:gd name="csY1139" fmla="*/ 1035783 h 6858000"/>
              <a:gd name="csX1140" fmla="*/ 5113631 w 12192000"/>
              <a:gd name="csY1140" fmla="*/ 1035783 h 6858000"/>
              <a:gd name="csX1141" fmla="*/ 5079285 w 12192000"/>
              <a:gd name="csY1141" fmla="*/ 1070604 h 6858000"/>
              <a:gd name="csX1142" fmla="*/ 5113631 w 12192000"/>
              <a:gd name="csY1142" fmla="*/ 1105424 h 6858000"/>
              <a:gd name="csX1143" fmla="*/ 5147978 w 12192000"/>
              <a:gd name="csY1143" fmla="*/ 1070604 h 6858000"/>
              <a:gd name="csX1144" fmla="*/ 5113631 w 12192000"/>
              <a:gd name="csY1144" fmla="*/ 1035783 h 6858000"/>
              <a:gd name="csX1145" fmla="*/ 5197372 w 12192000"/>
              <a:gd name="csY1145" fmla="*/ 1035783 h 6858000"/>
              <a:gd name="csX1146" fmla="*/ 5163026 w 12192000"/>
              <a:gd name="csY1146" fmla="*/ 1070604 h 6858000"/>
              <a:gd name="csX1147" fmla="*/ 5197372 w 12192000"/>
              <a:gd name="csY1147" fmla="*/ 1105424 h 6858000"/>
              <a:gd name="csX1148" fmla="*/ 5231719 w 12192000"/>
              <a:gd name="csY1148" fmla="*/ 1070604 h 6858000"/>
              <a:gd name="csX1149" fmla="*/ 5197372 w 12192000"/>
              <a:gd name="csY1149" fmla="*/ 1035783 h 6858000"/>
              <a:gd name="csX1150" fmla="*/ 5281115 w 12192000"/>
              <a:gd name="csY1150" fmla="*/ 1035783 h 6858000"/>
              <a:gd name="csX1151" fmla="*/ 5246768 w 12192000"/>
              <a:gd name="csY1151" fmla="*/ 1070604 h 6858000"/>
              <a:gd name="csX1152" fmla="*/ 5281115 w 12192000"/>
              <a:gd name="csY1152" fmla="*/ 1105424 h 6858000"/>
              <a:gd name="csX1153" fmla="*/ 5315461 w 12192000"/>
              <a:gd name="csY1153" fmla="*/ 1070604 h 6858000"/>
              <a:gd name="csX1154" fmla="*/ 5281115 w 12192000"/>
              <a:gd name="csY1154" fmla="*/ 1035783 h 6858000"/>
              <a:gd name="csX1155" fmla="*/ 5364856 w 12192000"/>
              <a:gd name="csY1155" fmla="*/ 1035783 h 6858000"/>
              <a:gd name="csX1156" fmla="*/ 5330509 w 12192000"/>
              <a:gd name="csY1156" fmla="*/ 1070604 h 6858000"/>
              <a:gd name="csX1157" fmla="*/ 5364856 w 12192000"/>
              <a:gd name="csY1157" fmla="*/ 1105424 h 6858000"/>
              <a:gd name="csX1158" fmla="*/ 5399203 w 12192000"/>
              <a:gd name="csY1158" fmla="*/ 1070604 h 6858000"/>
              <a:gd name="csX1159" fmla="*/ 5364856 w 12192000"/>
              <a:gd name="csY1159" fmla="*/ 1035783 h 6858000"/>
              <a:gd name="csX1160" fmla="*/ 6202273 w 12192000"/>
              <a:gd name="csY1160" fmla="*/ 1035783 h 6858000"/>
              <a:gd name="csX1161" fmla="*/ 6167920 w 12192000"/>
              <a:gd name="csY1161" fmla="*/ 1070604 h 6858000"/>
              <a:gd name="csX1162" fmla="*/ 6202273 w 12192000"/>
              <a:gd name="csY1162" fmla="*/ 1105424 h 6858000"/>
              <a:gd name="csX1163" fmla="*/ 6236613 w 12192000"/>
              <a:gd name="csY1163" fmla="*/ 1070604 h 6858000"/>
              <a:gd name="csX1164" fmla="*/ 6202273 w 12192000"/>
              <a:gd name="csY1164" fmla="*/ 1035783 h 6858000"/>
              <a:gd name="csX1165" fmla="*/ 7207198 w 12192000"/>
              <a:gd name="csY1165" fmla="*/ 1035783 h 6858000"/>
              <a:gd name="csX1166" fmla="*/ 7172845 w 12192000"/>
              <a:gd name="csY1166" fmla="*/ 1070604 h 6858000"/>
              <a:gd name="csX1167" fmla="*/ 7207198 w 12192000"/>
              <a:gd name="csY1167" fmla="*/ 1105424 h 6858000"/>
              <a:gd name="csX1168" fmla="*/ 7241538 w 12192000"/>
              <a:gd name="csY1168" fmla="*/ 1070604 h 6858000"/>
              <a:gd name="csX1169" fmla="*/ 7207198 w 12192000"/>
              <a:gd name="csY1169" fmla="*/ 1035783 h 6858000"/>
              <a:gd name="csX1170" fmla="*/ 7877131 w 12192000"/>
              <a:gd name="csY1170" fmla="*/ 1035783 h 6858000"/>
              <a:gd name="csX1171" fmla="*/ 7842778 w 12192000"/>
              <a:gd name="csY1171" fmla="*/ 1070604 h 6858000"/>
              <a:gd name="csX1172" fmla="*/ 7877131 w 12192000"/>
              <a:gd name="csY1172" fmla="*/ 1105424 h 6858000"/>
              <a:gd name="csX1173" fmla="*/ 7911471 w 12192000"/>
              <a:gd name="csY1173" fmla="*/ 1070604 h 6858000"/>
              <a:gd name="csX1174" fmla="*/ 7877131 w 12192000"/>
              <a:gd name="csY1174" fmla="*/ 1035783 h 6858000"/>
              <a:gd name="csX1175" fmla="*/ 7960872 w 12192000"/>
              <a:gd name="csY1175" fmla="*/ 1035783 h 6858000"/>
              <a:gd name="csX1176" fmla="*/ 7926519 w 12192000"/>
              <a:gd name="csY1176" fmla="*/ 1070604 h 6858000"/>
              <a:gd name="csX1177" fmla="*/ 7960872 w 12192000"/>
              <a:gd name="csY1177" fmla="*/ 1105424 h 6858000"/>
              <a:gd name="csX1178" fmla="*/ 7995212 w 12192000"/>
              <a:gd name="csY1178" fmla="*/ 1070604 h 6858000"/>
              <a:gd name="csX1179" fmla="*/ 7960872 w 12192000"/>
              <a:gd name="csY1179" fmla="*/ 1035783 h 6858000"/>
              <a:gd name="csX1180" fmla="*/ 8044614 w 12192000"/>
              <a:gd name="csY1180" fmla="*/ 1035783 h 6858000"/>
              <a:gd name="csX1181" fmla="*/ 8010261 w 12192000"/>
              <a:gd name="csY1181" fmla="*/ 1070604 h 6858000"/>
              <a:gd name="csX1182" fmla="*/ 8044614 w 12192000"/>
              <a:gd name="csY1182" fmla="*/ 1105424 h 6858000"/>
              <a:gd name="csX1183" fmla="*/ 8078955 w 12192000"/>
              <a:gd name="csY1183" fmla="*/ 1070604 h 6858000"/>
              <a:gd name="csX1184" fmla="*/ 8044614 w 12192000"/>
              <a:gd name="csY1184" fmla="*/ 1035783 h 6858000"/>
              <a:gd name="csX1185" fmla="*/ 8128356 w 12192000"/>
              <a:gd name="csY1185" fmla="*/ 1035783 h 6858000"/>
              <a:gd name="csX1186" fmla="*/ 8094003 w 12192000"/>
              <a:gd name="csY1186" fmla="*/ 1070604 h 6858000"/>
              <a:gd name="csX1187" fmla="*/ 8128356 w 12192000"/>
              <a:gd name="csY1187" fmla="*/ 1105424 h 6858000"/>
              <a:gd name="csX1188" fmla="*/ 8162696 w 12192000"/>
              <a:gd name="csY1188" fmla="*/ 1070604 h 6858000"/>
              <a:gd name="csX1189" fmla="*/ 8128356 w 12192000"/>
              <a:gd name="csY1189" fmla="*/ 1035783 h 6858000"/>
              <a:gd name="csX1190" fmla="*/ 8212097 w 12192000"/>
              <a:gd name="csY1190" fmla="*/ 1035783 h 6858000"/>
              <a:gd name="csX1191" fmla="*/ 8177744 w 12192000"/>
              <a:gd name="csY1191" fmla="*/ 1070604 h 6858000"/>
              <a:gd name="csX1192" fmla="*/ 8212097 w 12192000"/>
              <a:gd name="csY1192" fmla="*/ 1105424 h 6858000"/>
              <a:gd name="csX1193" fmla="*/ 8246437 w 12192000"/>
              <a:gd name="csY1193" fmla="*/ 1070604 h 6858000"/>
              <a:gd name="csX1194" fmla="*/ 8212097 w 12192000"/>
              <a:gd name="csY1194" fmla="*/ 1035783 h 6858000"/>
              <a:gd name="csX1195" fmla="*/ 8379580 w 12192000"/>
              <a:gd name="csY1195" fmla="*/ 1035783 h 6858000"/>
              <a:gd name="csX1196" fmla="*/ 8345227 w 12192000"/>
              <a:gd name="csY1196" fmla="*/ 1070604 h 6858000"/>
              <a:gd name="csX1197" fmla="*/ 8379580 w 12192000"/>
              <a:gd name="csY1197" fmla="*/ 1105424 h 6858000"/>
              <a:gd name="csX1198" fmla="*/ 8413921 w 12192000"/>
              <a:gd name="csY1198" fmla="*/ 1070604 h 6858000"/>
              <a:gd name="csX1199" fmla="*/ 8379580 w 12192000"/>
              <a:gd name="csY1199" fmla="*/ 1035783 h 6858000"/>
              <a:gd name="csX1200" fmla="*/ 8463323 w 12192000"/>
              <a:gd name="csY1200" fmla="*/ 1035783 h 6858000"/>
              <a:gd name="csX1201" fmla="*/ 8428970 w 12192000"/>
              <a:gd name="csY1201" fmla="*/ 1070604 h 6858000"/>
              <a:gd name="csX1202" fmla="*/ 8463323 w 12192000"/>
              <a:gd name="csY1202" fmla="*/ 1105424 h 6858000"/>
              <a:gd name="csX1203" fmla="*/ 8497663 w 12192000"/>
              <a:gd name="csY1203" fmla="*/ 1070604 h 6858000"/>
              <a:gd name="csX1204" fmla="*/ 8463323 w 12192000"/>
              <a:gd name="csY1204" fmla="*/ 1035783 h 6858000"/>
              <a:gd name="csX1205" fmla="*/ 8547064 w 12192000"/>
              <a:gd name="csY1205" fmla="*/ 1035783 h 6858000"/>
              <a:gd name="csX1206" fmla="*/ 8512711 w 12192000"/>
              <a:gd name="csY1206" fmla="*/ 1070604 h 6858000"/>
              <a:gd name="csX1207" fmla="*/ 8547064 w 12192000"/>
              <a:gd name="csY1207" fmla="*/ 1105424 h 6858000"/>
              <a:gd name="csX1208" fmla="*/ 8581404 w 12192000"/>
              <a:gd name="csY1208" fmla="*/ 1070604 h 6858000"/>
              <a:gd name="csX1209" fmla="*/ 8547064 w 12192000"/>
              <a:gd name="csY1209" fmla="*/ 1035783 h 6858000"/>
              <a:gd name="csX1210" fmla="*/ 8630805 w 12192000"/>
              <a:gd name="csY1210" fmla="*/ 1035783 h 6858000"/>
              <a:gd name="csX1211" fmla="*/ 8596452 w 12192000"/>
              <a:gd name="csY1211" fmla="*/ 1070604 h 6858000"/>
              <a:gd name="csX1212" fmla="*/ 8630805 w 12192000"/>
              <a:gd name="csY1212" fmla="*/ 1105424 h 6858000"/>
              <a:gd name="csX1213" fmla="*/ 8665145 w 12192000"/>
              <a:gd name="csY1213" fmla="*/ 1070604 h 6858000"/>
              <a:gd name="csX1214" fmla="*/ 8630805 w 12192000"/>
              <a:gd name="csY1214" fmla="*/ 1035783 h 6858000"/>
              <a:gd name="csX1215" fmla="*/ 8714547 w 12192000"/>
              <a:gd name="csY1215" fmla="*/ 1035783 h 6858000"/>
              <a:gd name="csX1216" fmla="*/ 8680194 w 12192000"/>
              <a:gd name="csY1216" fmla="*/ 1070604 h 6858000"/>
              <a:gd name="csX1217" fmla="*/ 8714547 w 12192000"/>
              <a:gd name="csY1217" fmla="*/ 1105424 h 6858000"/>
              <a:gd name="csX1218" fmla="*/ 8748888 w 12192000"/>
              <a:gd name="csY1218" fmla="*/ 1070604 h 6858000"/>
              <a:gd name="csX1219" fmla="*/ 8714547 w 12192000"/>
              <a:gd name="csY1219" fmla="*/ 1035783 h 6858000"/>
              <a:gd name="csX1220" fmla="*/ 8798289 w 12192000"/>
              <a:gd name="csY1220" fmla="*/ 1035783 h 6858000"/>
              <a:gd name="csX1221" fmla="*/ 8763936 w 12192000"/>
              <a:gd name="csY1221" fmla="*/ 1070604 h 6858000"/>
              <a:gd name="csX1222" fmla="*/ 8798289 w 12192000"/>
              <a:gd name="csY1222" fmla="*/ 1105424 h 6858000"/>
              <a:gd name="csX1223" fmla="*/ 8832629 w 12192000"/>
              <a:gd name="csY1223" fmla="*/ 1070604 h 6858000"/>
              <a:gd name="csX1224" fmla="*/ 8798289 w 12192000"/>
              <a:gd name="csY1224" fmla="*/ 1035783 h 6858000"/>
              <a:gd name="csX1225" fmla="*/ 8882030 w 12192000"/>
              <a:gd name="csY1225" fmla="*/ 1035783 h 6858000"/>
              <a:gd name="csX1226" fmla="*/ 8847677 w 12192000"/>
              <a:gd name="csY1226" fmla="*/ 1070604 h 6858000"/>
              <a:gd name="csX1227" fmla="*/ 8882030 w 12192000"/>
              <a:gd name="csY1227" fmla="*/ 1105424 h 6858000"/>
              <a:gd name="csX1228" fmla="*/ 8916370 w 12192000"/>
              <a:gd name="csY1228" fmla="*/ 1070604 h 6858000"/>
              <a:gd name="csX1229" fmla="*/ 8882030 w 12192000"/>
              <a:gd name="csY1229" fmla="*/ 1035783 h 6858000"/>
              <a:gd name="csX1230" fmla="*/ 9049513 w 12192000"/>
              <a:gd name="csY1230" fmla="*/ 1035783 h 6858000"/>
              <a:gd name="csX1231" fmla="*/ 9015160 w 12192000"/>
              <a:gd name="csY1231" fmla="*/ 1070604 h 6858000"/>
              <a:gd name="csX1232" fmla="*/ 9049513 w 12192000"/>
              <a:gd name="csY1232" fmla="*/ 1105424 h 6858000"/>
              <a:gd name="csX1233" fmla="*/ 9083854 w 12192000"/>
              <a:gd name="csY1233" fmla="*/ 1070604 h 6858000"/>
              <a:gd name="csX1234" fmla="*/ 9049513 w 12192000"/>
              <a:gd name="csY1234" fmla="*/ 1035783 h 6858000"/>
              <a:gd name="csX1235" fmla="*/ 9133256 w 12192000"/>
              <a:gd name="csY1235" fmla="*/ 1035783 h 6858000"/>
              <a:gd name="csX1236" fmla="*/ 9098903 w 12192000"/>
              <a:gd name="csY1236" fmla="*/ 1070604 h 6858000"/>
              <a:gd name="csX1237" fmla="*/ 9133256 w 12192000"/>
              <a:gd name="csY1237" fmla="*/ 1105424 h 6858000"/>
              <a:gd name="csX1238" fmla="*/ 9167596 w 12192000"/>
              <a:gd name="csY1238" fmla="*/ 1070604 h 6858000"/>
              <a:gd name="csX1239" fmla="*/ 9133256 w 12192000"/>
              <a:gd name="csY1239" fmla="*/ 1035783 h 6858000"/>
              <a:gd name="csX1240" fmla="*/ 9216997 w 12192000"/>
              <a:gd name="csY1240" fmla="*/ 1035783 h 6858000"/>
              <a:gd name="csX1241" fmla="*/ 9182644 w 12192000"/>
              <a:gd name="csY1241" fmla="*/ 1070604 h 6858000"/>
              <a:gd name="csX1242" fmla="*/ 9216997 w 12192000"/>
              <a:gd name="csY1242" fmla="*/ 1105424 h 6858000"/>
              <a:gd name="csX1243" fmla="*/ 9251337 w 12192000"/>
              <a:gd name="csY1243" fmla="*/ 1070604 h 6858000"/>
              <a:gd name="csX1244" fmla="*/ 9216997 w 12192000"/>
              <a:gd name="csY1244" fmla="*/ 1035783 h 6858000"/>
              <a:gd name="csX1245" fmla="*/ 9300738 w 12192000"/>
              <a:gd name="csY1245" fmla="*/ 1035783 h 6858000"/>
              <a:gd name="csX1246" fmla="*/ 9266385 w 12192000"/>
              <a:gd name="csY1246" fmla="*/ 1070604 h 6858000"/>
              <a:gd name="csX1247" fmla="*/ 9300738 w 12192000"/>
              <a:gd name="csY1247" fmla="*/ 1105424 h 6858000"/>
              <a:gd name="csX1248" fmla="*/ 9335078 w 12192000"/>
              <a:gd name="csY1248" fmla="*/ 1070604 h 6858000"/>
              <a:gd name="csX1249" fmla="*/ 9300738 w 12192000"/>
              <a:gd name="csY1249" fmla="*/ 1035783 h 6858000"/>
              <a:gd name="csX1250" fmla="*/ 9384480 w 12192000"/>
              <a:gd name="csY1250" fmla="*/ 1035783 h 6858000"/>
              <a:gd name="csX1251" fmla="*/ 9350127 w 12192000"/>
              <a:gd name="csY1251" fmla="*/ 1070604 h 6858000"/>
              <a:gd name="csX1252" fmla="*/ 9384480 w 12192000"/>
              <a:gd name="csY1252" fmla="*/ 1105424 h 6858000"/>
              <a:gd name="csX1253" fmla="*/ 9418821 w 12192000"/>
              <a:gd name="csY1253" fmla="*/ 1070604 h 6858000"/>
              <a:gd name="csX1254" fmla="*/ 9384480 w 12192000"/>
              <a:gd name="csY1254" fmla="*/ 1035783 h 6858000"/>
              <a:gd name="csX1255" fmla="*/ 9468222 w 12192000"/>
              <a:gd name="csY1255" fmla="*/ 1035783 h 6858000"/>
              <a:gd name="csX1256" fmla="*/ 9433869 w 12192000"/>
              <a:gd name="csY1256" fmla="*/ 1070604 h 6858000"/>
              <a:gd name="csX1257" fmla="*/ 9468222 w 12192000"/>
              <a:gd name="csY1257" fmla="*/ 1105424 h 6858000"/>
              <a:gd name="csX1258" fmla="*/ 9502562 w 12192000"/>
              <a:gd name="csY1258" fmla="*/ 1070604 h 6858000"/>
              <a:gd name="csX1259" fmla="*/ 9468222 w 12192000"/>
              <a:gd name="csY1259" fmla="*/ 1035783 h 6858000"/>
              <a:gd name="csX1260" fmla="*/ 9551963 w 12192000"/>
              <a:gd name="csY1260" fmla="*/ 1035783 h 6858000"/>
              <a:gd name="csX1261" fmla="*/ 9517610 w 12192000"/>
              <a:gd name="csY1261" fmla="*/ 1070604 h 6858000"/>
              <a:gd name="csX1262" fmla="*/ 9551963 w 12192000"/>
              <a:gd name="csY1262" fmla="*/ 1105424 h 6858000"/>
              <a:gd name="csX1263" fmla="*/ 9586303 w 12192000"/>
              <a:gd name="csY1263" fmla="*/ 1070604 h 6858000"/>
              <a:gd name="csX1264" fmla="*/ 9551963 w 12192000"/>
              <a:gd name="csY1264" fmla="*/ 1035783 h 6858000"/>
              <a:gd name="csX1265" fmla="*/ 9635705 w 12192000"/>
              <a:gd name="csY1265" fmla="*/ 1035783 h 6858000"/>
              <a:gd name="csX1266" fmla="*/ 9601352 w 12192000"/>
              <a:gd name="csY1266" fmla="*/ 1070604 h 6858000"/>
              <a:gd name="csX1267" fmla="*/ 9635705 w 12192000"/>
              <a:gd name="csY1267" fmla="*/ 1105424 h 6858000"/>
              <a:gd name="csX1268" fmla="*/ 9670045 w 12192000"/>
              <a:gd name="csY1268" fmla="*/ 1070604 h 6858000"/>
              <a:gd name="csX1269" fmla="*/ 9635705 w 12192000"/>
              <a:gd name="csY1269" fmla="*/ 1035783 h 6858000"/>
              <a:gd name="csX1270" fmla="*/ 9719446 w 12192000"/>
              <a:gd name="csY1270" fmla="*/ 1035783 h 6858000"/>
              <a:gd name="csX1271" fmla="*/ 9685093 w 12192000"/>
              <a:gd name="csY1271" fmla="*/ 1070604 h 6858000"/>
              <a:gd name="csX1272" fmla="*/ 9719446 w 12192000"/>
              <a:gd name="csY1272" fmla="*/ 1105424 h 6858000"/>
              <a:gd name="csX1273" fmla="*/ 9753787 w 12192000"/>
              <a:gd name="csY1273" fmla="*/ 1070604 h 6858000"/>
              <a:gd name="csX1274" fmla="*/ 9719446 w 12192000"/>
              <a:gd name="csY1274" fmla="*/ 1035783 h 6858000"/>
              <a:gd name="csX1275" fmla="*/ 9803189 w 12192000"/>
              <a:gd name="csY1275" fmla="*/ 1035783 h 6858000"/>
              <a:gd name="csX1276" fmla="*/ 9768836 w 12192000"/>
              <a:gd name="csY1276" fmla="*/ 1070604 h 6858000"/>
              <a:gd name="csX1277" fmla="*/ 9803189 w 12192000"/>
              <a:gd name="csY1277" fmla="*/ 1105424 h 6858000"/>
              <a:gd name="csX1278" fmla="*/ 9837529 w 12192000"/>
              <a:gd name="csY1278" fmla="*/ 1070604 h 6858000"/>
              <a:gd name="csX1279" fmla="*/ 9803189 w 12192000"/>
              <a:gd name="csY1279" fmla="*/ 1035783 h 6858000"/>
              <a:gd name="csX1280" fmla="*/ 9886930 w 12192000"/>
              <a:gd name="csY1280" fmla="*/ 1035783 h 6858000"/>
              <a:gd name="csX1281" fmla="*/ 9852577 w 12192000"/>
              <a:gd name="csY1281" fmla="*/ 1070604 h 6858000"/>
              <a:gd name="csX1282" fmla="*/ 9886930 w 12192000"/>
              <a:gd name="csY1282" fmla="*/ 1105424 h 6858000"/>
              <a:gd name="csX1283" fmla="*/ 9921270 w 12192000"/>
              <a:gd name="csY1283" fmla="*/ 1070604 h 6858000"/>
              <a:gd name="csX1284" fmla="*/ 9886930 w 12192000"/>
              <a:gd name="csY1284" fmla="*/ 1035783 h 6858000"/>
              <a:gd name="csX1285" fmla="*/ 9970671 w 12192000"/>
              <a:gd name="csY1285" fmla="*/ 1035783 h 6858000"/>
              <a:gd name="csX1286" fmla="*/ 9936318 w 12192000"/>
              <a:gd name="csY1286" fmla="*/ 1070604 h 6858000"/>
              <a:gd name="csX1287" fmla="*/ 9970671 w 12192000"/>
              <a:gd name="csY1287" fmla="*/ 1105424 h 6858000"/>
              <a:gd name="csX1288" fmla="*/ 10005011 w 12192000"/>
              <a:gd name="csY1288" fmla="*/ 1070604 h 6858000"/>
              <a:gd name="csX1289" fmla="*/ 9970671 w 12192000"/>
              <a:gd name="csY1289" fmla="*/ 1035783 h 6858000"/>
              <a:gd name="csX1290" fmla="*/ 10054413 w 12192000"/>
              <a:gd name="csY1290" fmla="*/ 1035783 h 6858000"/>
              <a:gd name="csX1291" fmla="*/ 10020060 w 12192000"/>
              <a:gd name="csY1291" fmla="*/ 1070604 h 6858000"/>
              <a:gd name="csX1292" fmla="*/ 10054413 w 12192000"/>
              <a:gd name="csY1292" fmla="*/ 1105424 h 6858000"/>
              <a:gd name="csX1293" fmla="*/ 10088754 w 12192000"/>
              <a:gd name="csY1293" fmla="*/ 1070604 h 6858000"/>
              <a:gd name="csX1294" fmla="*/ 10054413 w 12192000"/>
              <a:gd name="csY1294" fmla="*/ 1035783 h 6858000"/>
              <a:gd name="csX1295" fmla="*/ 10138155 w 12192000"/>
              <a:gd name="csY1295" fmla="*/ 1035783 h 6858000"/>
              <a:gd name="csX1296" fmla="*/ 10103802 w 12192000"/>
              <a:gd name="csY1296" fmla="*/ 1070604 h 6858000"/>
              <a:gd name="csX1297" fmla="*/ 10138155 w 12192000"/>
              <a:gd name="csY1297" fmla="*/ 1105424 h 6858000"/>
              <a:gd name="csX1298" fmla="*/ 10172495 w 12192000"/>
              <a:gd name="csY1298" fmla="*/ 1070604 h 6858000"/>
              <a:gd name="csX1299" fmla="*/ 10138155 w 12192000"/>
              <a:gd name="csY1299" fmla="*/ 1035783 h 6858000"/>
              <a:gd name="csX1300" fmla="*/ 10221896 w 12192000"/>
              <a:gd name="csY1300" fmla="*/ 1035783 h 6858000"/>
              <a:gd name="csX1301" fmla="*/ 10187543 w 12192000"/>
              <a:gd name="csY1301" fmla="*/ 1070604 h 6858000"/>
              <a:gd name="csX1302" fmla="*/ 10221896 w 12192000"/>
              <a:gd name="csY1302" fmla="*/ 1105424 h 6858000"/>
              <a:gd name="csX1303" fmla="*/ 10256236 w 12192000"/>
              <a:gd name="csY1303" fmla="*/ 1070604 h 6858000"/>
              <a:gd name="csX1304" fmla="*/ 10221896 w 12192000"/>
              <a:gd name="csY1304" fmla="*/ 1035783 h 6858000"/>
              <a:gd name="csX1305" fmla="*/ 10305638 w 12192000"/>
              <a:gd name="csY1305" fmla="*/ 1035783 h 6858000"/>
              <a:gd name="csX1306" fmla="*/ 10271285 w 12192000"/>
              <a:gd name="csY1306" fmla="*/ 1070604 h 6858000"/>
              <a:gd name="csX1307" fmla="*/ 10305638 w 12192000"/>
              <a:gd name="csY1307" fmla="*/ 1105424 h 6858000"/>
              <a:gd name="csX1308" fmla="*/ 10339978 w 12192000"/>
              <a:gd name="csY1308" fmla="*/ 1070604 h 6858000"/>
              <a:gd name="csX1309" fmla="*/ 10305638 w 12192000"/>
              <a:gd name="csY1309" fmla="*/ 1035783 h 6858000"/>
              <a:gd name="csX1310" fmla="*/ 10389379 w 12192000"/>
              <a:gd name="csY1310" fmla="*/ 1035783 h 6858000"/>
              <a:gd name="csX1311" fmla="*/ 10355026 w 12192000"/>
              <a:gd name="csY1311" fmla="*/ 1070604 h 6858000"/>
              <a:gd name="csX1312" fmla="*/ 10389379 w 12192000"/>
              <a:gd name="csY1312" fmla="*/ 1105424 h 6858000"/>
              <a:gd name="csX1313" fmla="*/ 10423720 w 12192000"/>
              <a:gd name="csY1313" fmla="*/ 1070604 h 6858000"/>
              <a:gd name="csX1314" fmla="*/ 10389379 w 12192000"/>
              <a:gd name="csY1314" fmla="*/ 1035783 h 6858000"/>
              <a:gd name="csX1315" fmla="*/ 10473122 w 12192000"/>
              <a:gd name="csY1315" fmla="*/ 1035783 h 6858000"/>
              <a:gd name="csX1316" fmla="*/ 10438769 w 12192000"/>
              <a:gd name="csY1316" fmla="*/ 1070604 h 6858000"/>
              <a:gd name="csX1317" fmla="*/ 10473122 w 12192000"/>
              <a:gd name="csY1317" fmla="*/ 1105424 h 6858000"/>
              <a:gd name="csX1318" fmla="*/ 10507462 w 12192000"/>
              <a:gd name="csY1318" fmla="*/ 1070604 h 6858000"/>
              <a:gd name="csX1319" fmla="*/ 10473122 w 12192000"/>
              <a:gd name="csY1319" fmla="*/ 1035783 h 6858000"/>
              <a:gd name="csX1320" fmla="*/ 1596483 w 12192000"/>
              <a:gd name="csY1320" fmla="*/ 1120647 h 6858000"/>
              <a:gd name="csX1321" fmla="*/ 1562136 w 12192000"/>
              <a:gd name="csY1321" fmla="*/ 1155467 h 6858000"/>
              <a:gd name="csX1322" fmla="*/ 1596483 w 12192000"/>
              <a:gd name="csY1322" fmla="*/ 1190288 h 6858000"/>
              <a:gd name="csX1323" fmla="*/ 1630829 w 12192000"/>
              <a:gd name="csY1323" fmla="*/ 1155467 h 6858000"/>
              <a:gd name="csX1324" fmla="*/ 1596483 w 12192000"/>
              <a:gd name="csY1324" fmla="*/ 1120647 h 6858000"/>
              <a:gd name="csX1325" fmla="*/ 1847707 w 12192000"/>
              <a:gd name="csY1325" fmla="*/ 1120647 h 6858000"/>
              <a:gd name="csX1326" fmla="*/ 1813361 w 12192000"/>
              <a:gd name="csY1326" fmla="*/ 1155467 h 6858000"/>
              <a:gd name="csX1327" fmla="*/ 1847707 w 12192000"/>
              <a:gd name="csY1327" fmla="*/ 1190288 h 6858000"/>
              <a:gd name="csX1328" fmla="*/ 1882054 w 12192000"/>
              <a:gd name="csY1328" fmla="*/ 1155467 h 6858000"/>
              <a:gd name="csX1329" fmla="*/ 1847707 w 12192000"/>
              <a:gd name="csY1329" fmla="*/ 1120647 h 6858000"/>
              <a:gd name="csX1330" fmla="*/ 1931450 w 12192000"/>
              <a:gd name="csY1330" fmla="*/ 1120647 h 6858000"/>
              <a:gd name="csX1331" fmla="*/ 1897103 w 12192000"/>
              <a:gd name="csY1331" fmla="*/ 1155467 h 6858000"/>
              <a:gd name="csX1332" fmla="*/ 1931450 w 12192000"/>
              <a:gd name="csY1332" fmla="*/ 1190288 h 6858000"/>
              <a:gd name="csX1333" fmla="*/ 1965796 w 12192000"/>
              <a:gd name="csY1333" fmla="*/ 1155467 h 6858000"/>
              <a:gd name="csX1334" fmla="*/ 1931450 w 12192000"/>
              <a:gd name="csY1334" fmla="*/ 1120647 h 6858000"/>
              <a:gd name="csX1335" fmla="*/ 2015191 w 12192000"/>
              <a:gd name="csY1335" fmla="*/ 1120647 h 6858000"/>
              <a:gd name="csX1336" fmla="*/ 1980844 w 12192000"/>
              <a:gd name="csY1336" fmla="*/ 1155467 h 6858000"/>
              <a:gd name="csX1337" fmla="*/ 2015191 w 12192000"/>
              <a:gd name="csY1337" fmla="*/ 1190288 h 6858000"/>
              <a:gd name="csX1338" fmla="*/ 2049538 w 12192000"/>
              <a:gd name="csY1338" fmla="*/ 1155467 h 6858000"/>
              <a:gd name="csX1339" fmla="*/ 2015191 w 12192000"/>
              <a:gd name="csY1339" fmla="*/ 1120647 h 6858000"/>
              <a:gd name="csX1340" fmla="*/ 2098932 w 12192000"/>
              <a:gd name="csY1340" fmla="*/ 1120647 h 6858000"/>
              <a:gd name="csX1341" fmla="*/ 2064586 w 12192000"/>
              <a:gd name="csY1341" fmla="*/ 1155467 h 6858000"/>
              <a:gd name="csX1342" fmla="*/ 2098932 w 12192000"/>
              <a:gd name="csY1342" fmla="*/ 1190288 h 6858000"/>
              <a:gd name="csX1343" fmla="*/ 2133279 w 12192000"/>
              <a:gd name="csY1343" fmla="*/ 1155467 h 6858000"/>
              <a:gd name="csX1344" fmla="*/ 2098932 w 12192000"/>
              <a:gd name="csY1344" fmla="*/ 1120647 h 6858000"/>
              <a:gd name="csX1345" fmla="*/ 2182674 w 12192000"/>
              <a:gd name="csY1345" fmla="*/ 1120647 h 6858000"/>
              <a:gd name="csX1346" fmla="*/ 2148328 w 12192000"/>
              <a:gd name="csY1346" fmla="*/ 1155467 h 6858000"/>
              <a:gd name="csX1347" fmla="*/ 2182674 w 12192000"/>
              <a:gd name="csY1347" fmla="*/ 1190288 h 6858000"/>
              <a:gd name="csX1348" fmla="*/ 2217021 w 12192000"/>
              <a:gd name="csY1348" fmla="*/ 1155467 h 6858000"/>
              <a:gd name="csX1349" fmla="*/ 2182674 w 12192000"/>
              <a:gd name="csY1349" fmla="*/ 1120647 h 6858000"/>
              <a:gd name="csX1350" fmla="*/ 2266416 w 12192000"/>
              <a:gd name="csY1350" fmla="*/ 1120647 h 6858000"/>
              <a:gd name="csX1351" fmla="*/ 2232069 w 12192000"/>
              <a:gd name="csY1351" fmla="*/ 1155467 h 6858000"/>
              <a:gd name="csX1352" fmla="*/ 2266416 w 12192000"/>
              <a:gd name="csY1352" fmla="*/ 1190288 h 6858000"/>
              <a:gd name="csX1353" fmla="*/ 2300762 w 12192000"/>
              <a:gd name="csY1353" fmla="*/ 1155467 h 6858000"/>
              <a:gd name="csX1354" fmla="*/ 2266416 w 12192000"/>
              <a:gd name="csY1354" fmla="*/ 1120647 h 6858000"/>
              <a:gd name="csX1355" fmla="*/ 2350151 w 12192000"/>
              <a:gd name="csY1355" fmla="*/ 1120647 h 6858000"/>
              <a:gd name="csX1356" fmla="*/ 2315804 w 12192000"/>
              <a:gd name="csY1356" fmla="*/ 1155467 h 6858000"/>
              <a:gd name="csX1357" fmla="*/ 2350151 w 12192000"/>
              <a:gd name="csY1357" fmla="*/ 1190288 h 6858000"/>
              <a:gd name="csX1358" fmla="*/ 2384498 w 12192000"/>
              <a:gd name="csY1358" fmla="*/ 1155467 h 6858000"/>
              <a:gd name="csX1359" fmla="*/ 2350151 w 12192000"/>
              <a:gd name="csY1359" fmla="*/ 1120647 h 6858000"/>
              <a:gd name="csX1360" fmla="*/ 2433893 w 12192000"/>
              <a:gd name="csY1360" fmla="*/ 1120647 h 6858000"/>
              <a:gd name="csX1361" fmla="*/ 2399546 w 12192000"/>
              <a:gd name="csY1361" fmla="*/ 1155467 h 6858000"/>
              <a:gd name="csX1362" fmla="*/ 2433893 w 12192000"/>
              <a:gd name="csY1362" fmla="*/ 1190288 h 6858000"/>
              <a:gd name="csX1363" fmla="*/ 2468240 w 12192000"/>
              <a:gd name="csY1363" fmla="*/ 1155467 h 6858000"/>
              <a:gd name="csX1364" fmla="*/ 2433893 w 12192000"/>
              <a:gd name="csY1364" fmla="*/ 1120647 h 6858000"/>
              <a:gd name="csX1365" fmla="*/ 2685118 w 12192000"/>
              <a:gd name="csY1365" fmla="*/ 1120647 h 6858000"/>
              <a:gd name="csX1366" fmla="*/ 2650771 w 12192000"/>
              <a:gd name="csY1366" fmla="*/ 1155467 h 6858000"/>
              <a:gd name="csX1367" fmla="*/ 2685118 w 12192000"/>
              <a:gd name="csY1367" fmla="*/ 1190288 h 6858000"/>
              <a:gd name="csX1368" fmla="*/ 2719465 w 12192000"/>
              <a:gd name="csY1368" fmla="*/ 1155467 h 6858000"/>
              <a:gd name="csX1369" fmla="*/ 2685118 w 12192000"/>
              <a:gd name="csY1369" fmla="*/ 1120647 h 6858000"/>
              <a:gd name="csX1370" fmla="*/ 2768859 w 12192000"/>
              <a:gd name="csY1370" fmla="*/ 1120647 h 6858000"/>
              <a:gd name="csX1371" fmla="*/ 2734512 w 12192000"/>
              <a:gd name="csY1371" fmla="*/ 1155467 h 6858000"/>
              <a:gd name="csX1372" fmla="*/ 2768859 w 12192000"/>
              <a:gd name="csY1372" fmla="*/ 1190288 h 6858000"/>
              <a:gd name="csX1373" fmla="*/ 2803206 w 12192000"/>
              <a:gd name="csY1373" fmla="*/ 1155467 h 6858000"/>
              <a:gd name="csX1374" fmla="*/ 2768859 w 12192000"/>
              <a:gd name="csY1374" fmla="*/ 1120647 h 6858000"/>
              <a:gd name="csX1375" fmla="*/ 3103826 w 12192000"/>
              <a:gd name="csY1375" fmla="*/ 1120647 h 6858000"/>
              <a:gd name="csX1376" fmla="*/ 3069479 w 12192000"/>
              <a:gd name="csY1376" fmla="*/ 1155467 h 6858000"/>
              <a:gd name="csX1377" fmla="*/ 3103826 w 12192000"/>
              <a:gd name="csY1377" fmla="*/ 1190288 h 6858000"/>
              <a:gd name="csX1378" fmla="*/ 3138173 w 12192000"/>
              <a:gd name="csY1378" fmla="*/ 1155467 h 6858000"/>
              <a:gd name="csX1379" fmla="*/ 3103826 w 12192000"/>
              <a:gd name="csY1379" fmla="*/ 1120647 h 6858000"/>
              <a:gd name="csX1380" fmla="*/ 3187567 w 12192000"/>
              <a:gd name="csY1380" fmla="*/ 1120647 h 6858000"/>
              <a:gd name="csX1381" fmla="*/ 3153221 w 12192000"/>
              <a:gd name="csY1381" fmla="*/ 1155467 h 6858000"/>
              <a:gd name="csX1382" fmla="*/ 3187567 w 12192000"/>
              <a:gd name="csY1382" fmla="*/ 1190288 h 6858000"/>
              <a:gd name="csX1383" fmla="*/ 3221914 w 12192000"/>
              <a:gd name="csY1383" fmla="*/ 1155467 h 6858000"/>
              <a:gd name="csX1384" fmla="*/ 3187567 w 12192000"/>
              <a:gd name="csY1384" fmla="*/ 1120647 h 6858000"/>
              <a:gd name="csX1385" fmla="*/ 3271309 w 12192000"/>
              <a:gd name="csY1385" fmla="*/ 1120647 h 6858000"/>
              <a:gd name="csX1386" fmla="*/ 3236962 w 12192000"/>
              <a:gd name="csY1386" fmla="*/ 1155467 h 6858000"/>
              <a:gd name="csX1387" fmla="*/ 3271309 w 12192000"/>
              <a:gd name="csY1387" fmla="*/ 1190288 h 6858000"/>
              <a:gd name="csX1388" fmla="*/ 3305655 w 12192000"/>
              <a:gd name="csY1388" fmla="*/ 1155467 h 6858000"/>
              <a:gd name="csX1389" fmla="*/ 3271309 w 12192000"/>
              <a:gd name="csY1389" fmla="*/ 1120647 h 6858000"/>
              <a:gd name="csX1390" fmla="*/ 3355051 w 12192000"/>
              <a:gd name="csY1390" fmla="*/ 1120647 h 6858000"/>
              <a:gd name="csX1391" fmla="*/ 3320704 w 12192000"/>
              <a:gd name="csY1391" fmla="*/ 1155467 h 6858000"/>
              <a:gd name="csX1392" fmla="*/ 3355051 w 12192000"/>
              <a:gd name="csY1392" fmla="*/ 1190288 h 6858000"/>
              <a:gd name="csX1393" fmla="*/ 3389398 w 12192000"/>
              <a:gd name="csY1393" fmla="*/ 1155467 h 6858000"/>
              <a:gd name="csX1394" fmla="*/ 3355051 w 12192000"/>
              <a:gd name="csY1394" fmla="*/ 1120647 h 6858000"/>
              <a:gd name="csX1395" fmla="*/ 3522533 w 12192000"/>
              <a:gd name="csY1395" fmla="*/ 1120647 h 6858000"/>
              <a:gd name="csX1396" fmla="*/ 3488187 w 12192000"/>
              <a:gd name="csY1396" fmla="*/ 1155467 h 6858000"/>
              <a:gd name="csX1397" fmla="*/ 3522533 w 12192000"/>
              <a:gd name="csY1397" fmla="*/ 1190288 h 6858000"/>
              <a:gd name="csX1398" fmla="*/ 3556880 w 12192000"/>
              <a:gd name="csY1398" fmla="*/ 1155467 h 6858000"/>
              <a:gd name="csX1399" fmla="*/ 3522533 w 12192000"/>
              <a:gd name="csY1399" fmla="*/ 1120647 h 6858000"/>
              <a:gd name="csX1400" fmla="*/ 3690017 w 12192000"/>
              <a:gd name="csY1400" fmla="*/ 1120647 h 6858000"/>
              <a:gd name="csX1401" fmla="*/ 3655670 w 12192000"/>
              <a:gd name="csY1401" fmla="*/ 1155467 h 6858000"/>
              <a:gd name="csX1402" fmla="*/ 3690017 w 12192000"/>
              <a:gd name="csY1402" fmla="*/ 1190288 h 6858000"/>
              <a:gd name="csX1403" fmla="*/ 3724364 w 12192000"/>
              <a:gd name="csY1403" fmla="*/ 1155467 h 6858000"/>
              <a:gd name="csX1404" fmla="*/ 3690017 w 12192000"/>
              <a:gd name="csY1404" fmla="*/ 1120647 h 6858000"/>
              <a:gd name="csX1405" fmla="*/ 3857500 w 12192000"/>
              <a:gd name="csY1405" fmla="*/ 1120647 h 6858000"/>
              <a:gd name="csX1406" fmla="*/ 3823154 w 12192000"/>
              <a:gd name="csY1406" fmla="*/ 1155467 h 6858000"/>
              <a:gd name="csX1407" fmla="*/ 3857500 w 12192000"/>
              <a:gd name="csY1407" fmla="*/ 1190288 h 6858000"/>
              <a:gd name="csX1408" fmla="*/ 3891847 w 12192000"/>
              <a:gd name="csY1408" fmla="*/ 1155467 h 6858000"/>
              <a:gd name="csX1409" fmla="*/ 3857500 w 12192000"/>
              <a:gd name="csY1409" fmla="*/ 1120647 h 6858000"/>
              <a:gd name="csX1410" fmla="*/ 4611182 w 12192000"/>
              <a:gd name="csY1410" fmla="*/ 1120647 h 6858000"/>
              <a:gd name="csX1411" fmla="*/ 4576835 w 12192000"/>
              <a:gd name="csY1411" fmla="*/ 1155467 h 6858000"/>
              <a:gd name="csX1412" fmla="*/ 4611182 w 12192000"/>
              <a:gd name="csY1412" fmla="*/ 1190288 h 6858000"/>
              <a:gd name="csX1413" fmla="*/ 4645528 w 12192000"/>
              <a:gd name="csY1413" fmla="*/ 1155467 h 6858000"/>
              <a:gd name="csX1414" fmla="*/ 4611182 w 12192000"/>
              <a:gd name="csY1414" fmla="*/ 1120647 h 6858000"/>
              <a:gd name="csX1415" fmla="*/ 4694923 w 12192000"/>
              <a:gd name="csY1415" fmla="*/ 1120647 h 6858000"/>
              <a:gd name="csX1416" fmla="*/ 4660576 w 12192000"/>
              <a:gd name="csY1416" fmla="*/ 1155467 h 6858000"/>
              <a:gd name="csX1417" fmla="*/ 4694923 w 12192000"/>
              <a:gd name="csY1417" fmla="*/ 1190288 h 6858000"/>
              <a:gd name="csX1418" fmla="*/ 4729270 w 12192000"/>
              <a:gd name="csY1418" fmla="*/ 1155467 h 6858000"/>
              <a:gd name="csX1419" fmla="*/ 4694923 w 12192000"/>
              <a:gd name="csY1419" fmla="*/ 1120647 h 6858000"/>
              <a:gd name="csX1420" fmla="*/ 4778665 w 12192000"/>
              <a:gd name="csY1420" fmla="*/ 1120647 h 6858000"/>
              <a:gd name="csX1421" fmla="*/ 4744319 w 12192000"/>
              <a:gd name="csY1421" fmla="*/ 1155467 h 6858000"/>
              <a:gd name="csX1422" fmla="*/ 4778665 w 12192000"/>
              <a:gd name="csY1422" fmla="*/ 1190288 h 6858000"/>
              <a:gd name="csX1423" fmla="*/ 4813012 w 12192000"/>
              <a:gd name="csY1423" fmla="*/ 1155467 h 6858000"/>
              <a:gd name="csX1424" fmla="*/ 4778665 w 12192000"/>
              <a:gd name="csY1424" fmla="*/ 1120647 h 6858000"/>
              <a:gd name="csX1425" fmla="*/ 4862406 w 12192000"/>
              <a:gd name="csY1425" fmla="*/ 1120647 h 6858000"/>
              <a:gd name="csX1426" fmla="*/ 4828060 w 12192000"/>
              <a:gd name="csY1426" fmla="*/ 1155467 h 6858000"/>
              <a:gd name="csX1427" fmla="*/ 4862406 w 12192000"/>
              <a:gd name="csY1427" fmla="*/ 1190288 h 6858000"/>
              <a:gd name="csX1428" fmla="*/ 4896753 w 12192000"/>
              <a:gd name="csY1428" fmla="*/ 1155467 h 6858000"/>
              <a:gd name="csX1429" fmla="*/ 4862406 w 12192000"/>
              <a:gd name="csY1429" fmla="*/ 1120647 h 6858000"/>
              <a:gd name="csX1430" fmla="*/ 4946148 w 12192000"/>
              <a:gd name="csY1430" fmla="*/ 1120647 h 6858000"/>
              <a:gd name="csX1431" fmla="*/ 4911801 w 12192000"/>
              <a:gd name="csY1431" fmla="*/ 1155467 h 6858000"/>
              <a:gd name="csX1432" fmla="*/ 4946148 w 12192000"/>
              <a:gd name="csY1432" fmla="*/ 1190288 h 6858000"/>
              <a:gd name="csX1433" fmla="*/ 4980494 w 12192000"/>
              <a:gd name="csY1433" fmla="*/ 1155467 h 6858000"/>
              <a:gd name="csX1434" fmla="*/ 4946148 w 12192000"/>
              <a:gd name="csY1434" fmla="*/ 1120647 h 6858000"/>
              <a:gd name="csX1435" fmla="*/ 5029890 w 12192000"/>
              <a:gd name="csY1435" fmla="*/ 1120647 h 6858000"/>
              <a:gd name="csX1436" fmla="*/ 4995543 w 12192000"/>
              <a:gd name="csY1436" fmla="*/ 1155467 h 6858000"/>
              <a:gd name="csX1437" fmla="*/ 5029890 w 12192000"/>
              <a:gd name="csY1437" fmla="*/ 1190288 h 6858000"/>
              <a:gd name="csX1438" fmla="*/ 5064237 w 12192000"/>
              <a:gd name="csY1438" fmla="*/ 1155467 h 6858000"/>
              <a:gd name="csX1439" fmla="*/ 5029890 w 12192000"/>
              <a:gd name="csY1439" fmla="*/ 1120647 h 6858000"/>
              <a:gd name="csX1440" fmla="*/ 5113631 w 12192000"/>
              <a:gd name="csY1440" fmla="*/ 1120647 h 6858000"/>
              <a:gd name="csX1441" fmla="*/ 5079285 w 12192000"/>
              <a:gd name="csY1441" fmla="*/ 1155467 h 6858000"/>
              <a:gd name="csX1442" fmla="*/ 5113631 w 12192000"/>
              <a:gd name="csY1442" fmla="*/ 1190288 h 6858000"/>
              <a:gd name="csX1443" fmla="*/ 5147978 w 12192000"/>
              <a:gd name="csY1443" fmla="*/ 1155467 h 6858000"/>
              <a:gd name="csX1444" fmla="*/ 5113631 w 12192000"/>
              <a:gd name="csY1444" fmla="*/ 1120647 h 6858000"/>
              <a:gd name="csX1445" fmla="*/ 5197372 w 12192000"/>
              <a:gd name="csY1445" fmla="*/ 1120647 h 6858000"/>
              <a:gd name="csX1446" fmla="*/ 5163026 w 12192000"/>
              <a:gd name="csY1446" fmla="*/ 1155467 h 6858000"/>
              <a:gd name="csX1447" fmla="*/ 5197372 w 12192000"/>
              <a:gd name="csY1447" fmla="*/ 1190288 h 6858000"/>
              <a:gd name="csX1448" fmla="*/ 5231719 w 12192000"/>
              <a:gd name="csY1448" fmla="*/ 1155467 h 6858000"/>
              <a:gd name="csX1449" fmla="*/ 5197372 w 12192000"/>
              <a:gd name="csY1449" fmla="*/ 1120647 h 6858000"/>
              <a:gd name="csX1450" fmla="*/ 5281115 w 12192000"/>
              <a:gd name="csY1450" fmla="*/ 1120647 h 6858000"/>
              <a:gd name="csX1451" fmla="*/ 5246768 w 12192000"/>
              <a:gd name="csY1451" fmla="*/ 1155467 h 6858000"/>
              <a:gd name="csX1452" fmla="*/ 5281115 w 12192000"/>
              <a:gd name="csY1452" fmla="*/ 1190288 h 6858000"/>
              <a:gd name="csX1453" fmla="*/ 5315461 w 12192000"/>
              <a:gd name="csY1453" fmla="*/ 1155467 h 6858000"/>
              <a:gd name="csX1454" fmla="*/ 5281115 w 12192000"/>
              <a:gd name="csY1454" fmla="*/ 1120647 h 6858000"/>
              <a:gd name="csX1455" fmla="*/ 7123456 w 12192000"/>
              <a:gd name="csY1455" fmla="*/ 1120647 h 6858000"/>
              <a:gd name="csX1456" fmla="*/ 7089103 w 12192000"/>
              <a:gd name="csY1456" fmla="*/ 1155467 h 6858000"/>
              <a:gd name="csX1457" fmla="*/ 7123456 w 12192000"/>
              <a:gd name="csY1457" fmla="*/ 1190288 h 6858000"/>
              <a:gd name="csX1458" fmla="*/ 7157796 w 12192000"/>
              <a:gd name="csY1458" fmla="*/ 1155467 h 6858000"/>
              <a:gd name="csX1459" fmla="*/ 7123456 w 12192000"/>
              <a:gd name="csY1459" fmla="*/ 1120647 h 6858000"/>
              <a:gd name="csX1460" fmla="*/ 7709647 w 12192000"/>
              <a:gd name="csY1460" fmla="*/ 1120647 h 6858000"/>
              <a:gd name="csX1461" fmla="*/ 7675294 w 12192000"/>
              <a:gd name="csY1461" fmla="*/ 1155467 h 6858000"/>
              <a:gd name="csX1462" fmla="*/ 7709647 w 12192000"/>
              <a:gd name="csY1462" fmla="*/ 1190288 h 6858000"/>
              <a:gd name="csX1463" fmla="*/ 7743988 w 12192000"/>
              <a:gd name="csY1463" fmla="*/ 1155467 h 6858000"/>
              <a:gd name="csX1464" fmla="*/ 7709647 w 12192000"/>
              <a:gd name="csY1464" fmla="*/ 1120647 h 6858000"/>
              <a:gd name="csX1465" fmla="*/ 7877131 w 12192000"/>
              <a:gd name="csY1465" fmla="*/ 1120647 h 6858000"/>
              <a:gd name="csX1466" fmla="*/ 7842778 w 12192000"/>
              <a:gd name="csY1466" fmla="*/ 1155467 h 6858000"/>
              <a:gd name="csX1467" fmla="*/ 7877131 w 12192000"/>
              <a:gd name="csY1467" fmla="*/ 1190288 h 6858000"/>
              <a:gd name="csX1468" fmla="*/ 7911471 w 12192000"/>
              <a:gd name="csY1468" fmla="*/ 1155467 h 6858000"/>
              <a:gd name="csX1469" fmla="*/ 7877131 w 12192000"/>
              <a:gd name="csY1469" fmla="*/ 1120647 h 6858000"/>
              <a:gd name="csX1470" fmla="*/ 7960872 w 12192000"/>
              <a:gd name="csY1470" fmla="*/ 1120647 h 6858000"/>
              <a:gd name="csX1471" fmla="*/ 7926519 w 12192000"/>
              <a:gd name="csY1471" fmla="*/ 1155467 h 6858000"/>
              <a:gd name="csX1472" fmla="*/ 7960872 w 12192000"/>
              <a:gd name="csY1472" fmla="*/ 1190288 h 6858000"/>
              <a:gd name="csX1473" fmla="*/ 7995212 w 12192000"/>
              <a:gd name="csY1473" fmla="*/ 1155467 h 6858000"/>
              <a:gd name="csX1474" fmla="*/ 7960872 w 12192000"/>
              <a:gd name="csY1474" fmla="*/ 1120647 h 6858000"/>
              <a:gd name="csX1475" fmla="*/ 8044614 w 12192000"/>
              <a:gd name="csY1475" fmla="*/ 1120647 h 6858000"/>
              <a:gd name="csX1476" fmla="*/ 8010261 w 12192000"/>
              <a:gd name="csY1476" fmla="*/ 1155467 h 6858000"/>
              <a:gd name="csX1477" fmla="*/ 8044614 w 12192000"/>
              <a:gd name="csY1477" fmla="*/ 1190288 h 6858000"/>
              <a:gd name="csX1478" fmla="*/ 8078955 w 12192000"/>
              <a:gd name="csY1478" fmla="*/ 1155467 h 6858000"/>
              <a:gd name="csX1479" fmla="*/ 8044614 w 12192000"/>
              <a:gd name="csY1479" fmla="*/ 1120647 h 6858000"/>
              <a:gd name="csX1480" fmla="*/ 8128356 w 12192000"/>
              <a:gd name="csY1480" fmla="*/ 1120647 h 6858000"/>
              <a:gd name="csX1481" fmla="*/ 8094003 w 12192000"/>
              <a:gd name="csY1481" fmla="*/ 1155467 h 6858000"/>
              <a:gd name="csX1482" fmla="*/ 8128356 w 12192000"/>
              <a:gd name="csY1482" fmla="*/ 1190288 h 6858000"/>
              <a:gd name="csX1483" fmla="*/ 8162696 w 12192000"/>
              <a:gd name="csY1483" fmla="*/ 1155467 h 6858000"/>
              <a:gd name="csX1484" fmla="*/ 8128356 w 12192000"/>
              <a:gd name="csY1484" fmla="*/ 1120647 h 6858000"/>
              <a:gd name="csX1485" fmla="*/ 8212097 w 12192000"/>
              <a:gd name="csY1485" fmla="*/ 1120647 h 6858000"/>
              <a:gd name="csX1486" fmla="*/ 8177744 w 12192000"/>
              <a:gd name="csY1486" fmla="*/ 1155467 h 6858000"/>
              <a:gd name="csX1487" fmla="*/ 8212097 w 12192000"/>
              <a:gd name="csY1487" fmla="*/ 1190288 h 6858000"/>
              <a:gd name="csX1488" fmla="*/ 8246437 w 12192000"/>
              <a:gd name="csY1488" fmla="*/ 1155467 h 6858000"/>
              <a:gd name="csX1489" fmla="*/ 8212097 w 12192000"/>
              <a:gd name="csY1489" fmla="*/ 1120647 h 6858000"/>
              <a:gd name="csX1490" fmla="*/ 8295839 w 12192000"/>
              <a:gd name="csY1490" fmla="*/ 1120647 h 6858000"/>
              <a:gd name="csX1491" fmla="*/ 8261486 w 12192000"/>
              <a:gd name="csY1491" fmla="*/ 1155467 h 6858000"/>
              <a:gd name="csX1492" fmla="*/ 8295839 w 12192000"/>
              <a:gd name="csY1492" fmla="*/ 1190288 h 6858000"/>
              <a:gd name="csX1493" fmla="*/ 8330179 w 12192000"/>
              <a:gd name="csY1493" fmla="*/ 1155467 h 6858000"/>
              <a:gd name="csX1494" fmla="*/ 8295839 w 12192000"/>
              <a:gd name="csY1494" fmla="*/ 1120647 h 6858000"/>
              <a:gd name="csX1495" fmla="*/ 8379580 w 12192000"/>
              <a:gd name="csY1495" fmla="*/ 1120647 h 6858000"/>
              <a:gd name="csX1496" fmla="*/ 8345227 w 12192000"/>
              <a:gd name="csY1496" fmla="*/ 1155467 h 6858000"/>
              <a:gd name="csX1497" fmla="*/ 8379580 w 12192000"/>
              <a:gd name="csY1497" fmla="*/ 1190288 h 6858000"/>
              <a:gd name="csX1498" fmla="*/ 8413921 w 12192000"/>
              <a:gd name="csY1498" fmla="*/ 1155467 h 6858000"/>
              <a:gd name="csX1499" fmla="*/ 8379580 w 12192000"/>
              <a:gd name="csY1499" fmla="*/ 1120647 h 6858000"/>
              <a:gd name="csX1500" fmla="*/ 8463323 w 12192000"/>
              <a:gd name="csY1500" fmla="*/ 1120647 h 6858000"/>
              <a:gd name="csX1501" fmla="*/ 8428970 w 12192000"/>
              <a:gd name="csY1501" fmla="*/ 1155467 h 6858000"/>
              <a:gd name="csX1502" fmla="*/ 8463323 w 12192000"/>
              <a:gd name="csY1502" fmla="*/ 1190288 h 6858000"/>
              <a:gd name="csX1503" fmla="*/ 8497663 w 12192000"/>
              <a:gd name="csY1503" fmla="*/ 1155467 h 6858000"/>
              <a:gd name="csX1504" fmla="*/ 8463323 w 12192000"/>
              <a:gd name="csY1504" fmla="*/ 1120647 h 6858000"/>
              <a:gd name="csX1505" fmla="*/ 8547064 w 12192000"/>
              <a:gd name="csY1505" fmla="*/ 1120647 h 6858000"/>
              <a:gd name="csX1506" fmla="*/ 8512711 w 12192000"/>
              <a:gd name="csY1506" fmla="*/ 1155467 h 6858000"/>
              <a:gd name="csX1507" fmla="*/ 8547064 w 12192000"/>
              <a:gd name="csY1507" fmla="*/ 1190288 h 6858000"/>
              <a:gd name="csX1508" fmla="*/ 8581404 w 12192000"/>
              <a:gd name="csY1508" fmla="*/ 1155467 h 6858000"/>
              <a:gd name="csX1509" fmla="*/ 8547064 w 12192000"/>
              <a:gd name="csY1509" fmla="*/ 1120647 h 6858000"/>
              <a:gd name="csX1510" fmla="*/ 8630805 w 12192000"/>
              <a:gd name="csY1510" fmla="*/ 1120647 h 6858000"/>
              <a:gd name="csX1511" fmla="*/ 8596452 w 12192000"/>
              <a:gd name="csY1511" fmla="*/ 1155467 h 6858000"/>
              <a:gd name="csX1512" fmla="*/ 8630805 w 12192000"/>
              <a:gd name="csY1512" fmla="*/ 1190288 h 6858000"/>
              <a:gd name="csX1513" fmla="*/ 8665145 w 12192000"/>
              <a:gd name="csY1513" fmla="*/ 1155467 h 6858000"/>
              <a:gd name="csX1514" fmla="*/ 8630805 w 12192000"/>
              <a:gd name="csY1514" fmla="*/ 1120647 h 6858000"/>
              <a:gd name="csX1515" fmla="*/ 8714547 w 12192000"/>
              <a:gd name="csY1515" fmla="*/ 1120647 h 6858000"/>
              <a:gd name="csX1516" fmla="*/ 8680194 w 12192000"/>
              <a:gd name="csY1516" fmla="*/ 1155467 h 6858000"/>
              <a:gd name="csX1517" fmla="*/ 8714547 w 12192000"/>
              <a:gd name="csY1517" fmla="*/ 1190288 h 6858000"/>
              <a:gd name="csX1518" fmla="*/ 8748888 w 12192000"/>
              <a:gd name="csY1518" fmla="*/ 1155467 h 6858000"/>
              <a:gd name="csX1519" fmla="*/ 8714547 w 12192000"/>
              <a:gd name="csY1519" fmla="*/ 1120647 h 6858000"/>
              <a:gd name="csX1520" fmla="*/ 8798289 w 12192000"/>
              <a:gd name="csY1520" fmla="*/ 1120647 h 6858000"/>
              <a:gd name="csX1521" fmla="*/ 8763936 w 12192000"/>
              <a:gd name="csY1521" fmla="*/ 1155467 h 6858000"/>
              <a:gd name="csX1522" fmla="*/ 8798289 w 12192000"/>
              <a:gd name="csY1522" fmla="*/ 1190288 h 6858000"/>
              <a:gd name="csX1523" fmla="*/ 8832629 w 12192000"/>
              <a:gd name="csY1523" fmla="*/ 1155467 h 6858000"/>
              <a:gd name="csX1524" fmla="*/ 8798289 w 12192000"/>
              <a:gd name="csY1524" fmla="*/ 1120647 h 6858000"/>
              <a:gd name="csX1525" fmla="*/ 8882030 w 12192000"/>
              <a:gd name="csY1525" fmla="*/ 1120647 h 6858000"/>
              <a:gd name="csX1526" fmla="*/ 8847677 w 12192000"/>
              <a:gd name="csY1526" fmla="*/ 1155467 h 6858000"/>
              <a:gd name="csX1527" fmla="*/ 8882030 w 12192000"/>
              <a:gd name="csY1527" fmla="*/ 1190288 h 6858000"/>
              <a:gd name="csX1528" fmla="*/ 8916370 w 12192000"/>
              <a:gd name="csY1528" fmla="*/ 1155467 h 6858000"/>
              <a:gd name="csX1529" fmla="*/ 8882030 w 12192000"/>
              <a:gd name="csY1529" fmla="*/ 1120647 h 6858000"/>
              <a:gd name="csX1530" fmla="*/ 8965772 w 12192000"/>
              <a:gd name="csY1530" fmla="*/ 1120647 h 6858000"/>
              <a:gd name="csX1531" fmla="*/ 8931419 w 12192000"/>
              <a:gd name="csY1531" fmla="*/ 1155467 h 6858000"/>
              <a:gd name="csX1532" fmla="*/ 8965772 w 12192000"/>
              <a:gd name="csY1532" fmla="*/ 1190288 h 6858000"/>
              <a:gd name="csX1533" fmla="*/ 9000112 w 12192000"/>
              <a:gd name="csY1533" fmla="*/ 1155467 h 6858000"/>
              <a:gd name="csX1534" fmla="*/ 8965772 w 12192000"/>
              <a:gd name="csY1534" fmla="*/ 1120647 h 6858000"/>
              <a:gd name="csX1535" fmla="*/ 9049513 w 12192000"/>
              <a:gd name="csY1535" fmla="*/ 1120647 h 6858000"/>
              <a:gd name="csX1536" fmla="*/ 9015160 w 12192000"/>
              <a:gd name="csY1536" fmla="*/ 1155467 h 6858000"/>
              <a:gd name="csX1537" fmla="*/ 9049513 w 12192000"/>
              <a:gd name="csY1537" fmla="*/ 1190288 h 6858000"/>
              <a:gd name="csX1538" fmla="*/ 9083854 w 12192000"/>
              <a:gd name="csY1538" fmla="*/ 1155467 h 6858000"/>
              <a:gd name="csX1539" fmla="*/ 9049513 w 12192000"/>
              <a:gd name="csY1539" fmla="*/ 1120647 h 6858000"/>
              <a:gd name="csX1540" fmla="*/ 9133256 w 12192000"/>
              <a:gd name="csY1540" fmla="*/ 1120647 h 6858000"/>
              <a:gd name="csX1541" fmla="*/ 9098903 w 12192000"/>
              <a:gd name="csY1541" fmla="*/ 1155467 h 6858000"/>
              <a:gd name="csX1542" fmla="*/ 9133256 w 12192000"/>
              <a:gd name="csY1542" fmla="*/ 1190288 h 6858000"/>
              <a:gd name="csX1543" fmla="*/ 9167596 w 12192000"/>
              <a:gd name="csY1543" fmla="*/ 1155467 h 6858000"/>
              <a:gd name="csX1544" fmla="*/ 9133256 w 12192000"/>
              <a:gd name="csY1544" fmla="*/ 1120647 h 6858000"/>
              <a:gd name="csX1545" fmla="*/ 9216997 w 12192000"/>
              <a:gd name="csY1545" fmla="*/ 1120647 h 6858000"/>
              <a:gd name="csX1546" fmla="*/ 9182644 w 12192000"/>
              <a:gd name="csY1546" fmla="*/ 1155467 h 6858000"/>
              <a:gd name="csX1547" fmla="*/ 9216997 w 12192000"/>
              <a:gd name="csY1547" fmla="*/ 1190288 h 6858000"/>
              <a:gd name="csX1548" fmla="*/ 9251337 w 12192000"/>
              <a:gd name="csY1548" fmla="*/ 1155467 h 6858000"/>
              <a:gd name="csX1549" fmla="*/ 9216997 w 12192000"/>
              <a:gd name="csY1549" fmla="*/ 1120647 h 6858000"/>
              <a:gd name="csX1550" fmla="*/ 9300738 w 12192000"/>
              <a:gd name="csY1550" fmla="*/ 1120647 h 6858000"/>
              <a:gd name="csX1551" fmla="*/ 9266385 w 12192000"/>
              <a:gd name="csY1551" fmla="*/ 1155467 h 6858000"/>
              <a:gd name="csX1552" fmla="*/ 9300738 w 12192000"/>
              <a:gd name="csY1552" fmla="*/ 1190288 h 6858000"/>
              <a:gd name="csX1553" fmla="*/ 9335078 w 12192000"/>
              <a:gd name="csY1553" fmla="*/ 1155467 h 6858000"/>
              <a:gd name="csX1554" fmla="*/ 9300738 w 12192000"/>
              <a:gd name="csY1554" fmla="*/ 1120647 h 6858000"/>
              <a:gd name="csX1555" fmla="*/ 9384480 w 12192000"/>
              <a:gd name="csY1555" fmla="*/ 1120647 h 6858000"/>
              <a:gd name="csX1556" fmla="*/ 9350127 w 12192000"/>
              <a:gd name="csY1556" fmla="*/ 1155467 h 6858000"/>
              <a:gd name="csX1557" fmla="*/ 9384480 w 12192000"/>
              <a:gd name="csY1557" fmla="*/ 1190288 h 6858000"/>
              <a:gd name="csX1558" fmla="*/ 9418821 w 12192000"/>
              <a:gd name="csY1558" fmla="*/ 1155467 h 6858000"/>
              <a:gd name="csX1559" fmla="*/ 9384480 w 12192000"/>
              <a:gd name="csY1559" fmla="*/ 1120647 h 6858000"/>
              <a:gd name="csX1560" fmla="*/ 9468222 w 12192000"/>
              <a:gd name="csY1560" fmla="*/ 1120647 h 6858000"/>
              <a:gd name="csX1561" fmla="*/ 9433869 w 12192000"/>
              <a:gd name="csY1561" fmla="*/ 1155467 h 6858000"/>
              <a:gd name="csX1562" fmla="*/ 9468222 w 12192000"/>
              <a:gd name="csY1562" fmla="*/ 1190288 h 6858000"/>
              <a:gd name="csX1563" fmla="*/ 9502562 w 12192000"/>
              <a:gd name="csY1563" fmla="*/ 1155467 h 6858000"/>
              <a:gd name="csX1564" fmla="*/ 9468222 w 12192000"/>
              <a:gd name="csY1564" fmla="*/ 1120647 h 6858000"/>
              <a:gd name="csX1565" fmla="*/ 9551963 w 12192000"/>
              <a:gd name="csY1565" fmla="*/ 1120647 h 6858000"/>
              <a:gd name="csX1566" fmla="*/ 9517610 w 12192000"/>
              <a:gd name="csY1566" fmla="*/ 1155467 h 6858000"/>
              <a:gd name="csX1567" fmla="*/ 9551963 w 12192000"/>
              <a:gd name="csY1567" fmla="*/ 1190288 h 6858000"/>
              <a:gd name="csX1568" fmla="*/ 9586303 w 12192000"/>
              <a:gd name="csY1568" fmla="*/ 1155467 h 6858000"/>
              <a:gd name="csX1569" fmla="*/ 9551963 w 12192000"/>
              <a:gd name="csY1569" fmla="*/ 1120647 h 6858000"/>
              <a:gd name="csX1570" fmla="*/ 9635705 w 12192000"/>
              <a:gd name="csY1570" fmla="*/ 1120647 h 6858000"/>
              <a:gd name="csX1571" fmla="*/ 9601352 w 12192000"/>
              <a:gd name="csY1571" fmla="*/ 1155467 h 6858000"/>
              <a:gd name="csX1572" fmla="*/ 9635705 w 12192000"/>
              <a:gd name="csY1572" fmla="*/ 1190288 h 6858000"/>
              <a:gd name="csX1573" fmla="*/ 9670045 w 12192000"/>
              <a:gd name="csY1573" fmla="*/ 1155467 h 6858000"/>
              <a:gd name="csX1574" fmla="*/ 9635705 w 12192000"/>
              <a:gd name="csY1574" fmla="*/ 1120647 h 6858000"/>
              <a:gd name="csX1575" fmla="*/ 9719446 w 12192000"/>
              <a:gd name="csY1575" fmla="*/ 1120647 h 6858000"/>
              <a:gd name="csX1576" fmla="*/ 9685093 w 12192000"/>
              <a:gd name="csY1576" fmla="*/ 1155467 h 6858000"/>
              <a:gd name="csX1577" fmla="*/ 9719446 w 12192000"/>
              <a:gd name="csY1577" fmla="*/ 1190288 h 6858000"/>
              <a:gd name="csX1578" fmla="*/ 9753787 w 12192000"/>
              <a:gd name="csY1578" fmla="*/ 1155467 h 6858000"/>
              <a:gd name="csX1579" fmla="*/ 9719446 w 12192000"/>
              <a:gd name="csY1579" fmla="*/ 1120647 h 6858000"/>
              <a:gd name="csX1580" fmla="*/ 9803189 w 12192000"/>
              <a:gd name="csY1580" fmla="*/ 1120647 h 6858000"/>
              <a:gd name="csX1581" fmla="*/ 9768836 w 12192000"/>
              <a:gd name="csY1581" fmla="*/ 1155467 h 6858000"/>
              <a:gd name="csX1582" fmla="*/ 9803189 w 12192000"/>
              <a:gd name="csY1582" fmla="*/ 1190288 h 6858000"/>
              <a:gd name="csX1583" fmla="*/ 9837529 w 12192000"/>
              <a:gd name="csY1583" fmla="*/ 1155467 h 6858000"/>
              <a:gd name="csX1584" fmla="*/ 9803189 w 12192000"/>
              <a:gd name="csY1584" fmla="*/ 1120647 h 6858000"/>
              <a:gd name="csX1585" fmla="*/ 9886930 w 12192000"/>
              <a:gd name="csY1585" fmla="*/ 1120647 h 6858000"/>
              <a:gd name="csX1586" fmla="*/ 9852577 w 12192000"/>
              <a:gd name="csY1586" fmla="*/ 1155467 h 6858000"/>
              <a:gd name="csX1587" fmla="*/ 9886930 w 12192000"/>
              <a:gd name="csY1587" fmla="*/ 1190288 h 6858000"/>
              <a:gd name="csX1588" fmla="*/ 9921270 w 12192000"/>
              <a:gd name="csY1588" fmla="*/ 1155467 h 6858000"/>
              <a:gd name="csX1589" fmla="*/ 9886930 w 12192000"/>
              <a:gd name="csY1589" fmla="*/ 1120647 h 6858000"/>
              <a:gd name="csX1590" fmla="*/ 9970671 w 12192000"/>
              <a:gd name="csY1590" fmla="*/ 1120647 h 6858000"/>
              <a:gd name="csX1591" fmla="*/ 9936318 w 12192000"/>
              <a:gd name="csY1591" fmla="*/ 1155467 h 6858000"/>
              <a:gd name="csX1592" fmla="*/ 9970671 w 12192000"/>
              <a:gd name="csY1592" fmla="*/ 1190288 h 6858000"/>
              <a:gd name="csX1593" fmla="*/ 10005011 w 12192000"/>
              <a:gd name="csY1593" fmla="*/ 1155467 h 6858000"/>
              <a:gd name="csX1594" fmla="*/ 9970671 w 12192000"/>
              <a:gd name="csY1594" fmla="*/ 1120647 h 6858000"/>
              <a:gd name="csX1595" fmla="*/ 10054413 w 12192000"/>
              <a:gd name="csY1595" fmla="*/ 1120647 h 6858000"/>
              <a:gd name="csX1596" fmla="*/ 10020060 w 12192000"/>
              <a:gd name="csY1596" fmla="*/ 1155467 h 6858000"/>
              <a:gd name="csX1597" fmla="*/ 10054413 w 12192000"/>
              <a:gd name="csY1597" fmla="*/ 1190288 h 6858000"/>
              <a:gd name="csX1598" fmla="*/ 10088754 w 12192000"/>
              <a:gd name="csY1598" fmla="*/ 1155467 h 6858000"/>
              <a:gd name="csX1599" fmla="*/ 10054413 w 12192000"/>
              <a:gd name="csY1599" fmla="*/ 1120647 h 6858000"/>
              <a:gd name="csX1600" fmla="*/ 10138155 w 12192000"/>
              <a:gd name="csY1600" fmla="*/ 1120647 h 6858000"/>
              <a:gd name="csX1601" fmla="*/ 10103802 w 12192000"/>
              <a:gd name="csY1601" fmla="*/ 1155467 h 6858000"/>
              <a:gd name="csX1602" fmla="*/ 10138155 w 12192000"/>
              <a:gd name="csY1602" fmla="*/ 1190288 h 6858000"/>
              <a:gd name="csX1603" fmla="*/ 10172495 w 12192000"/>
              <a:gd name="csY1603" fmla="*/ 1155467 h 6858000"/>
              <a:gd name="csX1604" fmla="*/ 10138155 w 12192000"/>
              <a:gd name="csY1604" fmla="*/ 1120647 h 6858000"/>
              <a:gd name="csX1605" fmla="*/ 10221896 w 12192000"/>
              <a:gd name="csY1605" fmla="*/ 1120647 h 6858000"/>
              <a:gd name="csX1606" fmla="*/ 10187543 w 12192000"/>
              <a:gd name="csY1606" fmla="*/ 1155467 h 6858000"/>
              <a:gd name="csX1607" fmla="*/ 10221896 w 12192000"/>
              <a:gd name="csY1607" fmla="*/ 1190288 h 6858000"/>
              <a:gd name="csX1608" fmla="*/ 10256236 w 12192000"/>
              <a:gd name="csY1608" fmla="*/ 1155467 h 6858000"/>
              <a:gd name="csX1609" fmla="*/ 10221896 w 12192000"/>
              <a:gd name="csY1609" fmla="*/ 1120647 h 6858000"/>
              <a:gd name="csX1610" fmla="*/ 10305638 w 12192000"/>
              <a:gd name="csY1610" fmla="*/ 1120647 h 6858000"/>
              <a:gd name="csX1611" fmla="*/ 10271285 w 12192000"/>
              <a:gd name="csY1611" fmla="*/ 1155467 h 6858000"/>
              <a:gd name="csX1612" fmla="*/ 10305638 w 12192000"/>
              <a:gd name="csY1612" fmla="*/ 1190288 h 6858000"/>
              <a:gd name="csX1613" fmla="*/ 10339978 w 12192000"/>
              <a:gd name="csY1613" fmla="*/ 1155467 h 6858000"/>
              <a:gd name="csX1614" fmla="*/ 10305638 w 12192000"/>
              <a:gd name="csY1614" fmla="*/ 1120647 h 6858000"/>
              <a:gd name="csX1615" fmla="*/ 10389379 w 12192000"/>
              <a:gd name="csY1615" fmla="*/ 1120647 h 6858000"/>
              <a:gd name="csX1616" fmla="*/ 10355026 w 12192000"/>
              <a:gd name="csY1616" fmla="*/ 1155467 h 6858000"/>
              <a:gd name="csX1617" fmla="*/ 10389379 w 12192000"/>
              <a:gd name="csY1617" fmla="*/ 1190288 h 6858000"/>
              <a:gd name="csX1618" fmla="*/ 10423720 w 12192000"/>
              <a:gd name="csY1618" fmla="*/ 1155467 h 6858000"/>
              <a:gd name="csX1619" fmla="*/ 10389379 w 12192000"/>
              <a:gd name="csY1619" fmla="*/ 1120647 h 6858000"/>
              <a:gd name="csX1620" fmla="*/ 1596483 w 12192000"/>
              <a:gd name="csY1620" fmla="*/ 1205511 h 6858000"/>
              <a:gd name="csX1621" fmla="*/ 1562136 w 12192000"/>
              <a:gd name="csY1621" fmla="*/ 1240331 h 6858000"/>
              <a:gd name="csX1622" fmla="*/ 1596483 w 12192000"/>
              <a:gd name="csY1622" fmla="*/ 1275151 h 6858000"/>
              <a:gd name="csX1623" fmla="*/ 1630829 w 12192000"/>
              <a:gd name="csY1623" fmla="*/ 1240331 h 6858000"/>
              <a:gd name="csX1624" fmla="*/ 1596483 w 12192000"/>
              <a:gd name="csY1624" fmla="*/ 1205511 h 6858000"/>
              <a:gd name="csX1625" fmla="*/ 1680225 w 12192000"/>
              <a:gd name="csY1625" fmla="*/ 1205511 h 6858000"/>
              <a:gd name="csX1626" fmla="*/ 1645878 w 12192000"/>
              <a:gd name="csY1626" fmla="*/ 1240331 h 6858000"/>
              <a:gd name="csX1627" fmla="*/ 1680225 w 12192000"/>
              <a:gd name="csY1627" fmla="*/ 1275151 h 6858000"/>
              <a:gd name="csX1628" fmla="*/ 1714572 w 12192000"/>
              <a:gd name="csY1628" fmla="*/ 1240331 h 6858000"/>
              <a:gd name="csX1629" fmla="*/ 1680225 w 12192000"/>
              <a:gd name="csY1629" fmla="*/ 1205511 h 6858000"/>
              <a:gd name="csX1630" fmla="*/ 1763966 w 12192000"/>
              <a:gd name="csY1630" fmla="*/ 1205511 h 6858000"/>
              <a:gd name="csX1631" fmla="*/ 1729620 w 12192000"/>
              <a:gd name="csY1631" fmla="*/ 1240331 h 6858000"/>
              <a:gd name="csX1632" fmla="*/ 1763966 w 12192000"/>
              <a:gd name="csY1632" fmla="*/ 1275151 h 6858000"/>
              <a:gd name="csX1633" fmla="*/ 1798313 w 12192000"/>
              <a:gd name="csY1633" fmla="*/ 1240331 h 6858000"/>
              <a:gd name="csX1634" fmla="*/ 1763966 w 12192000"/>
              <a:gd name="csY1634" fmla="*/ 1205511 h 6858000"/>
              <a:gd name="csX1635" fmla="*/ 1847707 w 12192000"/>
              <a:gd name="csY1635" fmla="*/ 1205511 h 6858000"/>
              <a:gd name="csX1636" fmla="*/ 1813361 w 12192000"/>
              <a:gd name="csY1636" fmla="*/ 1240331 h 6858000"/>
              <a:gd name="csX1637" fmla="*/ 1847707 w 12192000"/>
              <a:gd name="csY1637" fmla="*/ 1275151 h 6858000"/>
              <a:gd name="csX1638" fmla="*/ 1882054 w 12192000"/>
              <a:gd name="csY1638" fmla="*/ 1240331 h 6858000"/>
              <a:gd name="csX1639" fmla="*/ 1847707 w 12192000"/>
              <a:gd name="csY1639" fmla="*/ 1205511 h 6858000"/>
              <a:gd name="csX1640" fmla="*/ 1931450 w 12192000"/>
              <a:gd name="csY1640" fmla="*/ 1205511 h 6858000"/>
              <a:gd name="csX1641" fmla="*/ 1897103 w 12192000"/>
              <a:gd name="csY1641" fmla="*/ 1240331 h 6858000"/>
              <a:gd name="csX1642" fmla="*/ 1931450 w 12192000"/>
              <a:gd name="csY1642" fmla="*/ 1275151 h 6858000"/>
              <a:gd name="csX1643" fmla="*/ 1965796 w 12192000"/>
              <a:gd name="csY1643" fmla="*/ 1240331 h 6858000"/>
              <a:gd name="csX1644" fmla="*/ 1931450 w 12192000"/>
              <a:gd name="csY1644" fmla="*/ 1205511 h 6858000"/>
              <a:gd name="csX1645" fmla="*/ 2015191 w 12192000"/>
              <a:gd name="csY1645" fmla="*/ 1205511 h 6858000"/>
              <a:gd name="csX1646" fmla="*/ 1980844 w 12192000"/>
              <a:gd name="csY1646" fmla="*/ 1240331 h 6858000"/>
              <a:gd name="csX1647" fmla="*/ 2015191 w 12192000"/>
              <a:gd name="csY1647" fmla="*/ 1275151 h 6858000"/>
              <a:gd name="csX1648" fmla="*/ 2049538 w 12192000"/>
              <a:gd name="csY1648" fmla="*/ 1240331 h 6858000"/>
              <a:gd name="csX1649" fmla="*/ 2015191 w 12192000"/>
              <a:gd name="csY1649" fmla="*/ 1205511 h 6858000"/>
              <a:gd name="csX1650" fmla="*/ 2098932 w 12192000"/>
              <a:gd name="csY1650" fmla="*/ 1205511 h 6858000"/>
              <a:gd name="csX1651" fmla="*/ 2064586 w 12192000"/>
              <a:gd name="csY1651" fmla="*/ 1240331 h 6858000"/>
              <a:gd name="csX1652" fmla="*/ 2098932 w 12192000"/>
              <a:gd name="csY1652" fmla="*/ 1275151 h 6858000"/>
              <a:gd name="csX1653" fmla="*/ 2133279 w 12192000"/>
              <a:gd name="csY1653" fmla="*/ 1240331 h 6858000"/>
              <a:gd name="csX1654" fmla="*/ 2098932 w 12192000"/>
              <a:gd name="csY1654" fmla="*/ 1205511 h 6858000"/>
              <a:gd name="csX1655" fmla="*/ 2182674 w 12192000"/>
              <a:gd name="csY1655" fmla="*/ 1205511 h 6858000"/>
              <a:gd name="csX1656" fmla="*/ 2148328 w 12192000"/>
              <a:gd name="csY1656" fmla="*/ 1240331 h 6858000"/>
              <a:gd name="csX1657" fmla="*/ 2182674 w 12192000"/>
              <a:gd name="csY1657" fmla="*/ 1275151 h 6858000"/>
              <a:gd name="csX1658" fmla="*/ 2217021 w 12192000"/>
              <a:gd name="csY1658" fmla="*/ 1240331 h 6858000"/>
              <a:gd name="csX1659" fmla="*/ 2182674 w 12192000"/>
              <a:gd name="csY1659" fmla="*/ 1205511 h 6858000"/>
              <a:gd name="csX1660" fmla="*/ 2266416 w 12192000"/>
              <a:gd name="csY1660" fmla="*/ 1205511 h 6858000"/>
              <a:gd name="csX1661" fmla="*/ 2232069 w 12192000"/>
              <a:gd name="csY1661" fmla="*/ 1240331 h 6858000"/>
              <a:gd name="csX1662" fmla="*/ 2266416 w 12192000"/>
              <a:gd name="csY1662" fmla="*/ 1275151 h 6858000"/>
              <a:gd name="csX1663" fmla="*/ 2300762 w 12192000"/>
              <a:gd name="csY1663" fmla="*/ 1240331 h 6858000"/>
              <a:gd name="csX1664" fmla="*/ 2266416 w 12192000"/>
              <a:gd name="csY1664" fmla="*/ 1205511 h 6858000"/>
              <a:gd name="csX1665" fmla="*/ 2350151 w 12192000"/>
              <a:gd name="csY1665" fmla="*/ 1205511 h 6858000"/>
              <a:gd name="csX1666" fmla="*/ 2315804 w 12192000"/>
              <a:gd name="csY1666" fmla="*/ 1240331 h 6858000"/>
              <a:gd name="csX1667" fmla="*/ 2350151 w 12192000"/>
              <a:gd name="csY1667" fmla="*/ 1275151 h 6858000"/>
              <a:gd name="csX1668" fmla="*/ 2384498 w 12192000"/>
              <a:gd name="csY1668" fmla="*/ 1240331 h 6858000"/>
              <a:gd name="csX1669" fmla="*/ 2350151 w 12192000"/>
              <a:gd name="csY1669" fmla="*/ 1205511 h 6858000"/>
              <a:gd name="csX1670" fmla="*/ 2433893 w 12192000"/>
              <a:gd name="csY1670" fmla="*/ 1205511 h 6858000"/>
              <a:gd name="csX1671" fmla="*/ 2399546 w 12192000"/>
              <a:gd name="csY1671" fmla="*/ 1240331 h 6858000"/>
              <a:gd name="csX1672" fmla="*/ 2433893 w 12192000"/>
              <a:gd name="csY1672" fmla="*/ 1275151 h 6858000"/>
              <a:gd name="csX1673" fmla="*/ 2468240 w 12192000"/>
              <a:gd name="csY1673" fmla="*/ 1240331 h 6858000"/>
              <a:gd name="csX1674" fmla="*/ 2433893 w 12192000"/>
              <a:gd name="csY1674" fmla="*/ 1205511 h 6858000"/>
              <a:gd name="csX1675" fmla="*/ 2517634 w 12192000"/>
              <a:gd name="csY1675" fmla="*/ 1205511 h 6858000"/>
              <a:gd name="csX1676" fmla="*/ 2483288 w 12192000"/>
              <a:gd name="csY1676" fmla="*/ 1240331 h 6858000"/>
              <a:gd name="csX1677" fmla="*/ 2517634 w 12192000"/>
              <a:gd name="csY1677" fmla="*/ 1275151 h 6858000"/>
              <a:gd name="csX1678" fmla="*/ 2551981 w 12192000"/>
              <a:gd name="csY1678" fmla="*/ 1240331 h 6858000"/>
              <a:gd name="csX1679" fmla="*/ 2517634 w 12192000"/>
              <a:gd name="csY1679" fmla="*/ 1205511 h 6858000"/>
              <a:gd name="csX1680" fmla="*/ 2601376 w 12192000"/>
              <a:gd name="csY1680" fmla="*/ 1205511 h 6858000"/>
              <a:gd name="csX1681" fmla="*/ 2567029 w 12192000"/>
              <a:gd name="csY1681" fmla="*/ 1240331 h 6858000"/>
              <a:gd name="csX1682" fmla="*/ 2601376 w 12192000"/>
              <a:gd name="csY1682" fmla="*/ 1275151 h 6858000"/>
              <a:gd name="csX1683" fmla="*/ 2635722 w 12192000"/>
              <a:gd name="csY1683" fmla="*/ 1240331 h 6858000"/>
              <a:gd name="csX1684" fmla="*/ 2601376 w 12192000"/>
              <a:gd name="csY1684" fmla="*/ 1205511 h 6858000"/>
              <a:gd name="csX1685" fmla="*/ 2685118 w 12192000"/>
              <a:gd name="csY1685" fmla="*/ 1205511 h 6858000"/>
              <a:gd name="csX1686" fmla="*/ 2650771 w 12192000"/>
              <a:gd name="csY1686" fmla="*/ 1240331 h 6858000"/>
              <a:gd name="csX1687" fmla="*/ 2685118 w 12192000"/>
              <a:gd name="csY1687" fmla="*/ 1275151 h 6858000"/>
              <a:gd name="csX1688" fmla="*/ 2719465 w 12192000"/>
              <a:gd name="csY1688" fmla="*/ 1240331 h 6858000"/>
              <a:gd name="csX1689" fmla="*/ 2685118 w 12192000"/>
              <a:gd name="csY1689" fmla="*/ 1205511 h 6858000"/>
              <a:gd name="csX1690" fmla="*/ 2768859 w 12192000"/>
              <a:gd name="csY1690" fmla="*/ 1205511 h 6858000"/>
              <a:gd name="csX1691" fmla="*/ 2734512 w 12192000"/>
              <a:gd name="csY1691" fmla="*/ 1240331 h 6858000"/>
              <a:gd name="csX1692" fmla="*/ 2768859 w 12192000"/>
              <a:gd name="csY1692" fmla="*/ 1275151 h 6858000"/>
              <a:gd name="csX1693" fmla="*/ 2803206 w 12192000"/>
              <a:gd name="csY1693" fmla="*/ 1240331 h 6858000"/>
              <a:gd name="csX1694" fmla="*/ 2768859 w 12192000"/>
              <a:gd name="csY1694" fmla="*/ 1205511 h 6858000"/>
              <a:gd name="csX1695" fmla="*/ 2852600 w 12192000"/>
              <a:gd name="csY1695" fmla="*/ 1205511 h 6858000"/>
              <a:gd name="csX1696" fmla="*/ 2818254 w 12192000"/>
              <a:gd name="csY1696" fmla="*/ 1240331 h 6858000"/>
              <a:gd name="csX1697" fmla="*/ 2852600 w 12192000"/>
              <a:gd name="csY1697" fmla="*/ 1275151 h 6858000"/>
              <a:gd name="csX1698" fmla="*/ 2886947 w 12192000"/>
              <a:gd name="csY1698" fmla="*/ 1240331 h 6858000"/>
              <a:gd name="csX1699" fmla="*/ 2852600 w 12192000"/>
              <a:gd name="csY1699" fmla="*/ 1205511 h 6858000"/>
              <a:gd name="csX1700" fmla="*/ 3020084 w 12192000"/>
              <a:gd name="csY1700" fmla="*/ 1205511 h 6858000"/>
              <a:gd name="csX1701" fmla="*/ 2985737 w 12192000"/>
              <a:gd name="csY1701" fmla="*/ 1240331 h 6858000"/>
              <a:gd name="csX1702" fmla="*/ 3020084 w 12192000"/>
              <a:gd name="csY1702" fmla="*/ 1275151 h 6858000"/>
              <a:gd name="csX1703" fmla="*/ 3054431 w 12192000"/>
              <a:gd name="csY1703" fmla="*/ 1240331 h 6858000"/>
              <a:gd name="csX1704" fmla="*/ 3020084 w 12192000"/>
              <a:gd name="csY1704" fmla="*/ 1205511 h 6858000"/>
              <a:gd name="csX1705" fmla="*/ 3103826 w 12192000"/>
              <a:gd name="csY1705" fmla="*/ 1205511 h 6858000"/>
              <a:gd name="csX1706" fmla="*/ 3069479 w 12192000"/>
              <a:gd name="csY1706" fmla="*/ 1240331 h 6858000"/>
              <a:gd name="csX1707" fmla="*/ 3103826 w 12192000"/>
              <a:gd name="csY1707" fmla="*/ 1275151 h 6858000"/>
              <a:gd name="csX1708" fmla="*/ 3138173 w 12192000"/>
              <a:gd name="csY1708" fmla="*/ 1240331 h 6858000"/>
              <a:gd name="csX1709" fmla="*/ 3103826 w 12192000"/>
              <a:gd name="csY1709" fmla="*/ 1205511 h 6858000"/>
              <a:gd name="csX1710" fmla="*/ 3187567 w 12192000"/>
              <a:gd name="csY1710" fmla="*/ 1205511 h 6858000"/>
              <a:gd name="csX1711" fmla="*/ 3153221 w 12192000"/>
              <a:gd name="csY1711" fmla="*/ 1240331 h 6858000"/>
              <a:gd name="csX1712" fmla="*/ 3187567 w 12192000"/>
              <a:gd name="csY1712" fmla="*/ 1275151 h 6858000"/>
              <a:gd name="csX1713" fmla="*/ 3221914 w 12192000"/>
              <a:gd name="csY1713" fmla="*/ 1240331 h 6858000"/>
              <a:gd name="csX1714" fmla="*/ 3187567 w 12192000"/>
              <a:gd name="csY1714" fmla="*/ 1205511 h 6858000"/>
              <a:gd name="csX1715" fmla="*/ 3271309 w 12192000"/>
              <a:gd name="csY1715" fmla="*/ 1205511 h 6858000"/>
              <a:gd name="csX1716" fmla="*/ 3236962 w 12192000"/>
              <a:gd name="csY1716" fmla="*/ 1240331 h 6858000"/>
              <a:gd name="csX1717" fmla="*/ 3271309 w 12192000"/>
              <a:gd name="csY1717" fmla="*/ 1275151 h 6858000"/>
              <a:gd name="csX1718" fmla="*/ 3305655 w 12192000"/>
              <a:gd name="csY1718" fmla="*/ 1240331 h 6858000"/>
              <a:gd name="csX1719" fmla="*/ 3271309 w 12192000"/>
              <a:gd name="csY1719" fmla="*/ 1205511 h 6858000"/>
              <a:gd name="csX1720" fmla="*/ 3606276 w 12192000"/>
              <a:gd name="csY1720" fmla="*/ 1205511 h 6858000"/>
              <a:gd name="csX1721" fmla="*/ 3571929 w 12192000"/>
              <a:gd name="csY1721" fmla="*/ 1240331 h 6858000"/>
              <a:gd name="csX1722" fmla="*/ 3606276 w 12192000"/>
              <a:gd name="csY1722" fmla="*/ 1275151 h 6858000"/>
              <a:gd name="csX1723" fmla="*/ 3640622 w 12192000"/>
              <a:gd name="csY1723" fmla="*/ 1240331 h 6858000"/>
              <a:gd name="csX1724" fmla="*/ 3606276 w 12192000"/>
              <a:gd name="csY1724" fmla="*/ 1205511 h 6858000"/>
              <a:gd name="csX1725" fmla="*/ 3773759 w 12192000"/>
              <a:gd name="csY1725" fmla="*/ 1205511 h 6858000"/>
              <a:gd name="csX1726" fmla="*/ 3739412 w 12192000"/>
              <a:gd name="csY1726" fmla="*/ 1240331 h 6858000"/>
              <a:gd name="csX1727" fmla="*/ 3773759 w 12192000"/>
              <a:gd name="csY1727" fmla="*/ 1275151 h 6858000"/>
              <a:gd name="csX1728" fmla="*/ 3808106 w 12192000"/>
              <a:gd name="csY1728" fmla="*/ 1240331 h 6858000"/>
              <a:gd name="csX1729" fmla="*/ 3773759 w 12192000"/>
              <a:gd name="csY1729" fmla="*/ 1205511 h 6858000"/>
              <a:gd name="csX1730" fmla="*/ 3941242 w 12192000"/>
              <a:gd name="csY1730" fmla="*/ 1205511 h 6858000"/>
              <a:gd name="csX1731" fmla="*/ 3906895 w 12192000"/>
              <a:gd name="csY1731" fmla="*/ 1240331 h 6858000"/>
              <a:gd name="csX1732" fmla="*/ 3941242 w 12192000"/>
              <a:gd name="csY1732" fmla="*/ 1275151 h 6858000"/>
              <a:gd name="csX1733" fmla="*/ 3975588 w 12192000"/>
              <a:gd name="csY1733" fmla="*/ 1240331 h 6858000"/>
              <a:gd name="csX1734" fmla="*/ 3941242 w 12192000"/>
              <a:gd name="csY1734" fmla="*/ 1205511 h 6858000"/>
              <a:gd name="csX1735" fmla="*/ 4024990 w 12192000"/>
              <a:gd name="csY1735" fmla="*/ 1205511 h 6858000"/>
              <a:gd name="csX1736" fmla="*/ 3990643 w 12192000"/>
              <a:gd name="csY1736" fmla="*/ 1240331 h 6858000"/>
              <a:gd name="csX1737" fmla="*/ 4024990 w 12192000"/>
              <a:gd name="csY1737" fmla="*/ 1275151 h 6858000"/>
              <a:gd name="csX1738" fmla="*/ 4059337 w 12192000"/>
              <a:gd name="csY1738" fmla="*/ 1240331 h 6858000"/>
              <a:gd name="csX1739" fmla="*/ 4024990 w 12192000"/>
              <a:gd name="csY1739" fmla="*/ 1205511 h 6858000"/>
              <a:gd name="csX1740" fmla="*/ 4611182 w 12192000"/>
              <a:gd name="csY1740" fmla="*/ 1205511 h 6858000"/>
              <a:gd name="csX1741" fmla="*/ 4576835 w 12192000"/>
              <a:gd name="csY1741" fmla="*/ 1240331 h 6858000"/>
              <a:gd name="csX1742" fmla="*/ 4611182 w 12192000"/>
              <a:gd name="csY1742" fmla="*/ 1275151 h 6858000"/>
              <a:gd name="csX1743" fmla="*/ 4645528 w 12192000"/>
              <a:gd name="csY1743" fmla="*/ 1240331 h 6858000"/>
              <a:gd name="csX1744" fmla="*/ 4611182 w 12192000"/>
              <a:gd name="csY1744" fmla="*/ 1205511 h 6858000"/>
              <a:gd name="csX1745" fmla="*/ 4694923 w 12192000"/>
              <a:gd name="csY1745" fmla="*/ 1205511 h 6858000"/>
              <a:gd name="csX1746" fmla="*/ 4660576 w 12192000"/>
              <a:gd name="csY1746" fmla="*/ 1240331 h 6858000"/>
              <a:gd name="csX1747" fmla="*/ 4694923 w 12192000"/>
              <a:gd name="csY1747" fmla="*/ 1275151 h 6858000"/>
              <a:gd name="csX1748" fmla="*/ 4729270 w 12192000"/>
              <a:gd name="csY1748" fmla="*/ 1240331 h 6858000"/>
              <a:gd name="csX1749" fmla="*/ 4694923 w 12192000"/>
              <a:gd name="csY1749" fmla="*/ 1205511 h 6858000"/>
              <a:gd name="csX1750" fmla="*/ 4778665 w 12192000"/>
              <a:gd name="csY1750" fmla="*/ 1205511 h 6858000"/>
              <a:gd name="csX1751" fmla="*/ 4744319 w 12192000"/>
              <a:gd name="csY1751" fmla="*/ 1240331 h 6858000"/>
              <a:gd name="csX1752" fmla="*/ 4778665 w 12192000"/>
              <a:gd name="csY1752" fmla="*/ 1275151 h 6858000"/>
              <a:gd name="csX1753" fmla="*/ 4813012 w 12192000"/>
              <a:gd name="csY1753" fmla="*/ 1240331 h 6858000"/>
              <a:gd name="csX1754" fmla="*/ 4778665 w 12192000"/>
              <a:gd name="csY1754" fmla="*/ 1205511 h 6858000"/>
              <a:gd name="csX1755" fmla="*/ 4862406 w 12192000"/>
              <a:gd name="csY1755" fmla="*/ 1205511 h 6858000"/>
              <a:gd name="csX1756" fmla="*/ 4828060 w 12192000"/>
              <a:gd name="csY1756" fmla="*/ 1240331 h 6858000"/>
              <a:gd name="csX1757" fmla="*/ 4862406 w 12192000"/>
              <a:gd name="csY1757" fmla="*/ 1275151 h 6858000"/>
              <a:gd name="csX1758" fmla="*/ 4896753 w 12192000"/>
              <a:gd name="csY1758" fmla="*/ 1240331 h 6858000"/>
              <a:gd name="csX1759" fmla="*/ 4862406 w 12192000"/>
              <a:gd name="csY1759" fmla="*/ 1205511 h 6858000"/>
              <a:gd name="csX1760" fmla="*/ 4946148 w 12192000"/>
              <a:gd name="csY1760" fmla="*/ 1205511 h 6858000"/>
              <a:gd name="csX1761" fmla="*/ 4911801 w 12192000"/>
              <a:gd name="csY1761" fmla="*/ 1240331 h 6858000"/>
              <a:gd name="csX1762" fmla="*/ 4946148 w 12192000"/>
              <a:gd name="csY1762" fmla="*/ 1275151 h 6858000"/>
              <a:gd name="csX1763" fmla="*/ 4980494 w 12192000"/>
              <a:gd name="csY1763" fmla="*/ 1240331 h 6858000"/>
              <a:gd name="csX1764" fmla="*/ 4946148 w 12192000"/>
              <a:gd name="csY1764" fmla="*/ 1205511 h 6858000"/>
              <a:gd name="csX1765" fmla="*/ 5029890 w 12192000"/>
              <a:gd name="csY1765" fmla="*/ 1205511 h 6858000"/>
              <a:gd name="csX1766" fmla="*/ 4995543 w 12192000"/>
              <a:gd name="csY1766" fmla="*/ 1240331 h 6858000"/>
              <a:gd name="csX1767" fmla="*/ 5029890 w 12192000"/>
              <a:gd name="csY1767" fmla="*/ 1275151 h 6858000"/>
              <a:gd name="csX1768" fmla="*/ 5064237 w 12192000"/>
              <a:gd name="csY1768" fmla="*/ 1240331 h 6858000"/>
              <a:gd name="csX1769" fmla="*/ 5029890 w 12192000"/>
              <a:gd name="csY1769" fmla="*/ 1205511 h 6858000"/>
              <a:gd name="csX1770" fmla="*/ 5113631 w 12192000"/>
              <a:gd name="csY1770" fmla="*/ 1205511 h 6858000"/>
              <a:gd name="csX1771" fmla="*/ 5079285 w 12192000"/>
              <a:gd name="csY1771" fmla="*/ 1240331 h 6858000"/>
              <a:gd name="csX1772" fmla="*/ 5113631 w 12192000"/>
              <a:gd name="csY1772" fmla="*/ 1275151 h 6858000"/>
              <a:gd name="csX1773" fmla="*/ 5147978 w 12192000"/>
              <a:gd name="csY1773" fmla="*/ 1240331 h 6858000"/>
              <a:gd name="csX1774" fmla="*/ 5113631 w 12192000"/>
              <a:gd name="csY1774" fmla="*/ 1205511 h 6858000"/>
              <a:gd name="csX1775" fmla="*/ 5197372 w 12192000"/>
              <a:gd name="csY1775" fmla="*/ 1205511 h 6858000"/>
              <a:gd name="csX1776" fmla="*/ 5163026 w 12192000"/>
              <a:gd name="csY1776" fmla="*/ 1240331 h 6858000"/>
              <a:gd name="csX1777" fmla="*/ 5197372 w 12192000"/>
              <a:gd name="csY1777" fmla="*/ 1275151 h 6858000"/>
              <a:gd name="csX1778" fmla="*/ 5231719 w 12192000"/>
              <a:gd name="csY1778" fmla="*/ 1240331 h 6858000"/>
              <a:gd name="csX1779" fmla="*/ 5197372 w 12192000"/>
              <a:gd name="csY1779" fmla="*/ 1205511 h 6858000"/>
              <a:gd name="csX1780" fmla="*/ 5281115 w 12192000"/>
              <a:gd name="csY1780" fmla="*/ 1205511 h 6858000"/>
              <a:gd name="csX1781" fmla="*/ 5246768 w 12192000"/>
              <a:gd name="csY1781" fmla="*/ 1240331 h 6858000"/>
              <a:gd name="csX1782" fmla="*/ 5281115 w 12192000"/>
              <a:gd name="csY1782" fmla="*/ 1275151 h 6858000"/>
              <a:gd name="csX1783" fmla="*/ 5315461 w 12192000"/>
              <a:gd name="csY1783" fmla="*/ 1240331 h 6858000"/>
              <a:gd name="csX1784" fmla="*/ 5281115 w 12192000"/>
              <a:gd name="csY1784" fmla="*/ 1205511 h 6858000"/>
              <a:gd name="csX1785" fmla="*/ 5364856 w 12192000"/>
              <a:gd name="csY1785" fmla="*/ 1205511 h 6858000"/>
              <a:gd name="csX1786" fmla="*/ 5330509 w 12192000"/>
              <a:gd name="csY1786" fmla="*/ 1240331 h 6858000"/>
              <a:gd name="csX1787" fmla="*/ 5364856 w 12192000"/>
              <a:gd name="csY1787" fmla="*/ 1275151 h 6858000"/>
              <a:gd name="csX1788" fmla="*/ 5399203 w 12192000"/>
              <a:gd name="csY1788" fmla="*/ 1240331 h 6858000"/>
              <a:gd name="csX1789" fmla="*/ 5364856 w 12192000"/>
              <a:gd name="csY1789" fmla="*/ 1205511 h 6858000"/>
              <a:gd name="csX1790" fmla="*/ 7123456 w 12192000"/>
              <a:gd name="csY1790" fmla="*/ 1205511 h 6858000"/>
              <a:gd name="csX1791" fmla="*/ 7089103 w 12192000"/>
              <a:gd name="csY1791" fmla="*/ 1240331 h 6858000"/>
              <a:gd name="csX1792" fmla="*/ 7123456 w 12192000"/>
              <a:gd name="csY1792" fmla="*/ 1275151 h 6858000"/>
              <a:gd name="csX1793" fmla="*/ 7157796 w 12192000"/>
              <a:gd name="csY1793" fmla="*/ 1240331 h 6858000"/>
              <a:gd name="csX1794" fmla="*/ 7123456 w 12192000"/>
              <a:gd name="csY1794" fmla="*/ 1205511 h 6858000"/>
              <a:gd name="csX1795" fmla="*/ 7458423 w 12192000"/>
              <a:gd name="csY1795" fmla="*/ 1205511 h 6858000"/>
              <a:gd name="csX1796" fmla="*/ 7424070 w 12192000"/>
              <a:gd name="csY1796" fmla="*/ 1240331 h 6858000"/>
              <a:gd name="csX1797" fmla="*/ 7458423 w 12192000"/>
              <a:gd name="csY1797" fmla="*/ 1275151 h 6858000"/>
              <a:gd name="csX1798" fmla="*/ 7492763 w 12192000"/>
              <a:gd name="csY1798" fmla="*/ 1240331 h 6858000"/>
              <a:gd name="csX1799" fmla="*/ 7458423 w 12192000"/>
              <a:gd name="csY1799" fmla="*/ 1205511 h 6858000"/>
              <a:gd name="csX1800" fmla="*/ 7793389 w 12192000"/>
              <a:gd name="csY1800" fmla="*/ 1205511 h 6858000"/>
              <a:gd name="csX1801" fmla="*/ 7759036 w 12192000"/>
              <a:gd name="csY1801" fmla="*/ 1240331 h 6858000"/>
              <a:gd name="csX1802" fmla="*/ 7793389 w 12192000"/>
              <a:gd name="csY1802" fmla="*/ 1275151 h 6858000"/>
              <a:gd name="csX1803" fmla="*/ 7827729 w 12192000"/>
              <a:gd name="csY1803" fmla="*/ 1240331 h 6858000"/>
              <a:gd name="csX1804" fmla="*/ 7793389 w 12192000"/>
              <a:gd name="csY1804" fmla="*/ 1205511 h 6858000"/>
              <a:gd name="csX1805" fmla="*/ 7877131 w 12192000"/>
              <a:gd name="csY1805" fmla="*/ 1205511 h 6858000"/>
              <a:gd name="csX1806" fmla="*/ 7842778 w 12192000"/>
              <a:gd name="csY1806" fmla="*/ 1240331 h 6858000"/>
              <a:gd name="csX1807" fmla="*/ 7877131 w 12192000"/>
              <a:gd name="csY1807" fmla="*/ 1275151 h 6858000"/>
              <a:gd name="csX1808" fmla="*/ 7911471 w 12192000"/>
              <a:gd name="csY1808" fmla="*/ 1240331 h 6858000"/>
              <a:gd name="csX1809" fmla="*/ 7877131 w 12192000"/>
              <a:gd name="csY1809" fmla="*/ 1205511 h 6858000"/>
              <a:gd name="csX1810" fmla="*/ 7960872 w 12192000"/>
              <a:gd name="csY1810" fmla="*/ 1205511 h 6858000"/>
              <a:gd name="csX1811" fmla="*/ 7926519 w 12192000"/>
              <a:gd name="csY1811" fmla="*/ 1240331 h 6858000"/>
              <a:gd name="csX1812" fmla="*/ 7960872 w 12192000"/>
              <a:gd name="csY1812" fmla="*/ 1275151 h 6858000"/>
              <a:gd name="csX1813" fmla="*/ 7995212 w 12192000"/>
              <a:gd name="csY1813" fmla="*/ 1240331 h 6858000"/>
              <a:gd name="csX1814" fmla="*/ 7960872 w 12192000"/>
              <a:gd name="csY1814" fmla="*/ 1205511 h 6858000"/>
              <a:gd name="csX1815" fmla="*/ 8044614 w 12192000"/>
              <a:gd name="csY1815" fmla="*/ 1205511 h 6858000"/>
              <a:gd name="csX1816" fmla="*/ 8010261 w 12192000"/>
              <a:gd name="csY1816" fmla="*/ 1240331 h 6858000"/>
              <a:gd name="csX1817" fmla="*/ 8044614 w 12192000"/>
              <a:gd name="csY1817" fmla="*/ 1275151 h 6858000"/>
              <a:gd name="csX1818" fmla="*/ 8078955 w 12192000"/>
              <a:gd name="csY1818" fmla="*/ 1240331 h 6858000"/>
              <a:gd name="csX1819" fmla="*/ 8044614 w 12192000"/>
              <a:gd name="csY1819" fmla="*/ 1205511 h 6858000"/>
              <a:gd name="csX1820" fmla="*/ 8128356 w 12192000"/>
              <a:gd name="csY1820" fmla="*/ 1205511 h 6858000"/>
              <a:gd name="csX1821" fmla="*/ 8094003 w 12192000"/>
              <a:gd name="csY1821" fmla="*/ 1240331 h 6858000"/>
              <a:gd name="csX1822" fmla="*/ 8128356 w 12192000"/>
              <a:gd name="csY1822" fmla="*/ 1275151 h 6858000"/>
              <a:gd name="csX1823" fmla="*/ 8162696 w 12192000"/>
              <a:gd name="csY1823" fmla="*/ 1240331 h 6858000"/>
              <a:gd name="csX1824" fmla="*/ 8128356 w 12192000"/>
              <a:gd name="csY1824" fmla="*/ 1205511 h 6858000"/>
              <a:gd name="csX1825" fmla="*/ 8212097 w 12192000"/>
              <a:gd name="csY1825" fmla="*/ 1205511 h 6858000"/>
              <a:gd name="csX1826" fmla="*/ 8177744 w 12192000"/>
              <a:gd name="csY1826" fmla="*/ 1240331 h 6858000"/>
              <a:gd name="csX1827" fmla="*/ 8212097 w 12192000"/>
              <a:gd name="csY1827" fmla="*/ 1275151 h 6858000"/>
              <a:gd name="csX1828" fmla="*/ 8246437 w 12192000"/>
              <a:gd name="csY1828" fmla="*/ 1240331 h 6858000"/>
              <a:gd name="csX1829" fmla="*/ 8212097 w 12192000"/>
              <a:gd name="csY1829" fmla="*/ 1205511 h 6858000"/>
              <a:gd name="csX1830" fmla="*/ 8295839 w 12192000"/>
              <a:gd name="csY1830" fmla="*/ 1205511 h 6858000"/>
              <a:gd name="csX1831" fmla="*/ 8261486 w 12192000"/>
              <a:gd name="csY1831" fmla="*/ 1240331 h 6858000"/>
              <a:gd name="csX1832" fmla="*/ 8295839 w 12192000"/>
              <a:gd name="csY1832" fmla="*/ 1275151 h 6858000"/>
              <a:gd name="csX1833" fmla="*/ 8330179 w 12192000"/>
              <a:gd name="csY1833" fmla="*/ 1240331 h 6858000"/>
              <a:gd name="csX1834" fmla="*/ 8295839 w 12192000"/>
              <a:gd name="csY1834" fmla="*/ 1205511 h 6858000"/>
              <a:gd name="csX1835" fmla="*/ 8379580 w 12192000"/>
              <a:gd name="csY1835" fmla="*/ 1205511 h 6858000"/>
              <a:gd name="csX1836" fmla="*/ 8345227 w 12192000"/>
              <a:gd name="csY1836" fmla="*/ 1240331 h 6858000"/>
              <a:gd name="csX1837" fmla="*/ 8379580 w 12192000"/>
              <a:gd name="csY1837" fmla="*/ 1275151 h 6858000"/>
              <a:gd name="csX1838" fmla="*/ 8413921 w 12192000"/>
              <a:gd name="csY1838" fmla="*/ 1240331 h 6858000"/>
              <a:gd name="csX1839" fmla="*/ 8379580 w 12192000"/>
              <a:gd name="csY1839" fmla="*/ 1205511 h 6858000"/>
              <a:gd name="csX1840" fmla="*/ 8463323 w 12192000"/>
              <a:gd name="csY1840" fmla="*/ 1205511 h 6858000"/>
              <a:gd name="csX1841" fmla="*/ 8428970 w 12192000"/>
              <a:gd name="csY1841" fmla="*/ 1240331 h 6858000"/>
              <a:gd name="csX1842" fmla="*/ 8463323 w 12192000"/>
              <a:gd name="csY1842" fmla="*/ 1275151 h 6858000"/>
              <a:gd name="csX1843" fmla="*/ 8497663 w 12192000"/>
              <a:gd name="csY1843" fmla="*/ 1240331 h 6858000"/>
              <a:gd name="csX1844" fmla="*/ 8463323 w 12192000"/>
              <a:gd name="csY1844" fmla="*/ 1205511 h 6858000"/>
              <a:gd name="csX1845" fmla="*/ 8547064 w 12192000"/>
              <a:gd name="csY1845" fmla="*/ 1205511 h 6858000"/>
              <a:gd name="csX1846" fmla="*/ 8512711 w 12192000"/>
              <a:gd name="csY1846" fmla="*/ 1240331 h 6858000"/>
              <a:gd name="csX1847" fmla="*/ 8547064 w 12192000"/>
              <a:gd name="csY1847" fmla="*/ 1275151 h 6858000"/>
              <a:gd name="csX1848" fmla="*/ 8581404 w 12192000"/>
              <a:gd name="csY1848" fmla="*/ 1240331 h 6858000"/>
              <a:gd name="csX1849" fmla="*/ 8547064 w 12192000"/>
              <a:gd name="csY1849" fmla="*/ 1205511 h 6858000"/>
              <a:gd name="csX1850" fmla="*/ 8630805 w 12192000"/>
              <a:gd name="csY1850" fmla="*/ 1205511 h 6858000"/>
              <a:gd name="csX1851" fmla="*/ 8596452 w 12192000"/>
              <a:gd name="csY1851" fmla="*/ 1240331 h 6858000"/>
              <a:gd name="csX1852" fmla="*/ 8630805 w 12192000"/>
              <a:gd name="csY1852" fmla="*/ 1275151 h 6858000"/>
              <a:gd name="csX1853" fmla="*/ 8665145 w 12192000"/>
              <a:gd name="csY1853" fmla="*/ 1240331 h 6858000"/>
              <a:gd name="csX1854" fmla="*/ 8630805 w 12192000"/>
              <a:gd name="csY1854" fmla="*/ 1205511 h 6858000"/>
              <a:gd name="csX1855" fmla="*/ 8714547 w 12192000"/>
              <a:gd name="csY1855" fmla="*/ 1205511 h 6858000"/>
              <a:gd name="csX1856" fmla="*/ 8680194 w 12192000"/>
              <a:gd name="csY1856" fmla="*/ 1240331 h 6858000"/>
              <a:gd name="csX1857" fmla="*/ 8714547 w 12192000"/>
              <a:gd name="csY1857" fmla="*/ 1275151 h 6858000"/>
              <a:gd name="csX1858" fmla="*/ 8748888 w 12192000"/>
              <a:gd name="csY1858" fmla="*/ 1240331 h 6858000"/>
              <a:gd name="csX1859" fmla="*/ 8714547 w 12192000"/>
              <a:gd name="csY1859" fmla="*/ 1205511 h 6858000"/>
              <a:gd name="csX1860" fmla="*/ 8798289 w 12192000"/>
              <a:gd name="csY1860" fmla="*/ 1205511 h 6858000"/>
              <a:gd name="csX1861" fmla="*/ 8763936 w 12192000"/>
              <a:gd name="csY1861" fmla="*/ 1240331 h 6858000"/>
              <a:gd name="csX1862" fmla="*/ 8798289 w 12192000"/>
              <a:gd name="csY1862" fmla="*/ 1275151 h 6858000"/>
              <a:gd name="csX1863" fmla="*/ 8832629 w 12192000"/>
              <a:gd name="csY1863" fmla="*/ 1240331 h 6858000"/>
              <a:gd name="csX1864" fmla="*/ 8798289 w 12192000"/>
              <a:gd name="csY1864" fmla="*/ 1205511 h 6858000"/>
              <a:gd name="csX1865" fmla="*/ 8882030 w 12192000"/>
              <a:gd name="csY1865" fmla="*/ 1205511 h 6858000"/>
              <a:gd name="csX1866" fmla="*/ 8847677 w 12192000"/>
              <a:gd name="csY1866" fmla="*/ 1240331 h 6858000"/>
              <a:gd name="csX1867" fmla="*/ 8882030 w 12192000"/>
              <a:gd name="csY1867" fmla="*/ 1275151 h 6858000"/>
              <a:gd name="csX1868" fmla="*/ 8916370 w 12192000"/>
              <a:gd name="csY1868" fmla="*/ 1240331 h 6858000"/>
              <a:gd name="csX1869" fmla="*/ 8882030 w 12192000"/>
              <a:gd name="csY1869" fmla="*/ 1205511 h 6858000"/>
              <a:gd name="csX1870" fmla="*/ 8965772 w 12192000"/>
              <a:gd name="csY1870" fmla="*/ 1205511 h 6858000"/>
              <a:gd name="csX1871" fmla="*/ 8931419 w 12192000"/>
              <a:gd name="csY1871" fmla="*/ 1240331 h 6858000"/>
              <a:gd name="csX1872" fmla="*/ 8965772 w 12192000"/>
              <a:gd name="csY1872" fmla="*/ 1275151 h 6858000"/>
              <a:gd name="csX1873" fmla="*/ 9000112 w 12192000"/>
              <a:gd name="csY1873" fmla="*/ 1240331 h 6858000"/>
              <a:gd name="csX1874" fmla="*/ 8965772 w 12192000"/>
              <a:gd name="csY1874" fmla="*/ 1205511 h 6858000"/>
              <a:gd name="csX1875" fmla="*/ 9049513 w 12192000"/>
              <a:gd name="csY1875" fmla="*/ 1205511 h 6858000"/>
              <a:gd name="csX1876" fmla="*/ 9015160 w 12192000"/>
              <a:gd name="csY1876" fmla="*/ 1240331 h 6858000"/>
              <a:gd name="csX1877" fmla="*/ 9049513 w 12192000"/>
              <a:gd name="csY1877" fmla="*/ 1275151 h 6858000"/>
              <a:gd name="csX1878" fmla="*/ 9083854 w 12192000"/>
              <a:gd name="csY1878" fmla="*/ 1240331 h 6858000"/>
              <a:gd name="csX1879" fmla="*/ 9049513 w 12192000"/>
              <a:gd name="csY1879" fmla="*/ 1205511 h 6858000"/>
              <a:gd name="csX1880" fmla="*/ 9133256 w 12192000"/>
              <a:gd name="csY1880" fmla="*/ 1205511 h 6858000"/>
              <a:gd name="csX1881" fmla="*/ 9098903 w 12192000"/>
              <a:gd name="csY1881" fmla="*/ 1240331 h 6858000"/>
              <a:gd name="csX1882" fmla="*/ 9133256 w 12192000"/>
              <a:gd name="csY1882" fmla="*/ 1275151 h 6858000"/>
              <a:gd name="csX1883" fmla="*/ 9167596 w 12192000"/>
              <a:gd name="csY1883" fmla="*/ 1240331 h 6858000"/>
              <a:gd name="csX1884" fmla="*/ 9133256 w 12192000"/>
              <a:gd name="csY1884" fmla="*/ 1205511 h 6858000"/>
              <a:gd name="csX1885" fmla="*/ 9216997 w 12192000"/>
              <a:gd name="csY1885" fmla="*/ 1205511 h 6858000"/>
              <a:gd name="csX1886" fmla="*/ 9182644 w 12192000"/>
              <a:gd name="csY1886" fmla="*/ 1240331 h 6858000"/>
              <a:gd name="csX1887" fmla="*/ 9216997 w 12192000"/>
              <a:gd name="csY1887" fmla="*/ 1275151 h 6858000"/>
              <a:gd name="csX1888" fmla="*/ 9251337 w 12192000"/>
              <a:gd name="csY1888" fmla="*/ 1240331 h 6858000"/>
              <a:gd name="csX1889" fmla="*/ 9216997 w 12192000"/>
              <a:gd name="csY1889" fmla="*/ 1205511 h 6858000"/>
              <a:gd name="csX1890" fmla="*/ 9300738 w 12192000"/>
              <a:gd name="csY1890" fmla="*/ 1205511 h 6858000"/>
              <a:gd name="csX1891" fmla="*/ 9266385 w 12192000"/>
              <a:gd name="csY1891" fmla="*/ 1240331 h 6858000"/>
              <a:gd name="csX1892" fmla="*/ 9300738 w 12192000"/>
              <a:gd name="csY1892" fmla="*/ 1275151 h 6858000"/>
              <a:gd name="csX1893" fmla="*/ 9335078 w 12192000"/>
              <a:gd name="csY1893" fmla="*/ 1240331 h 6858000"/>
              <a:gd name="csX1894" fmla="*/ 9300738 w 12192000"/>
              <a:gd name="csY1894" fmla="*/ 1205511 h 6858000"/>
              <a:gd name="csX1895" fmla="*/ 9384480 w 12192000"/>
              <a:gd name="csY1895" fmla="*/ 1205511 h 6858000"/>
              <a:gd name="csX1896" fmla="*/ 9350127 w 12192000"/>
              <a:gd name="csY1896" fmla="*/ 1240331 h 6858000"/>
              <a:gd name="csX1897" fmla="*/ 9384480 w 12192000"/>
              <a:gd name="csY1897" fmla="*/ 1275151 h 6858000"/>
              <a:gd name="csX1898" fmla="*/ 9418821 w 12192000"/>
              <a:gd name="csY1898" fmla="*/ 1240331 h 6858000"/>
              <a:gd name="csX1899" fmla="*/ 9384480 w 12192000"/>
              <a:gd name="csY1899" fmla="*/ 1205511 h 6858000"/>
              <a:gd name="csX1900" fmla="*/ 9468222 w 12192000"/>
              <a:gd name="csY1900" fmla="*/ 1205511 h 6858000"/>
              <a:gd name="csX1901" fmla="*/ 9433869 w 12192000"/>
              <a:gd name="csY1901" fmla="*/ 1240331 h 6858000"/>
              <a:gd name="csX1902" fmla="*/ 9468222 w 12192000"/>
              <a:gd name="csY1902" fmla="*/ 1275151 h 6858000"/>
              <a:gd name="csX1903" fmla="*/ 9502562 w 12192000"/>
              <a:gd name="csY1903" fmla="*/ 1240331 h 6858000"/>
              <a:gd name="csX1904" fmla="*/ 9468222 w 12192000"/>
              <a:gd name="csY1904" fmla="*/ 1205511 h 6858000"/>
              <a:gd name="csX1905" fmla="*/ 9551963 w 12192000"/>
              <a:gd name="csY1905" fmla="*/ 1205511 h 6858000"/>
              <a:gd name="csX1906" fmla="*/ 9517610 w 12192000"/>
              <a:gd name="csY1906" fmla="*/ 1240331 h 6858000"/>
              <a:gd name="csX1907" fmla="*/ 9551963 w 12192000"/>
              <a:gd name="csY1907" fmla="*/ 1275151 h 6858000"/>
              <a:gd name="csX1908" fmla="*/ 9586303 w 12192000"/>
              <a:gd name="csY1908" fmla="*/ 1240331 h 6858000"/>
              <a:gd name="csX1909" fmla="*/ 9551963 w 12192000"/>
              <a:gd name="csY1909" fmla="*/ 1205511 h 6858000"/>
              <a:gd name="csX1910" fmla="*/ 9635705 w 12192000"/>
              <a:gd name="csY1910" fmla="*/ 1205511 h 6858000"/>
              <a:gd name="csX1911" fmla="*/ 9601352 w 12192000"/>
              <a:gd name="csY1911" fmla="*/ 1240331 h 6858000"/>
              <a:gd name="csX1912" fmla="*/ 9635705 w 12192000"/>
              <a:gd name="csY1912" fmla="*/ 1275151 h 6858000"/>
              <a:gd name="csX1913" fmla="*/ 9670045 w 12192000"/>
              <a:gd name="csY1913" fmla="*/ 1240331 h 6858000"/>
              <a:gd name="csX1914" fmla="*/ 9635705 w 12192000"/>
              <a:gd name="csY1914" fmla="*/ 1205511 h 6858000"/>
              <a:gd name="csX1915" fmla="*/ 9719446 w 12192000"/>
              <a:gd name="csY1915" fmla="*/ 1205511 h 6858000"/>
              <a:gd name="csX1916" fmla="*/ 9685093 w 12192000"/>
              <a:gd name="csY1916" fmla="*/ 1240331 h 6858000"/>
              <a:gd name="csX1917" fmla="*/ 9719446 w 12192000"/>
              <a:gd name="csY1917" fmla="*/ 1275151 h 6858000"/>
              <a:gd name="csX1918" fmla="*/ 9753787 w 12192000"/>
              <a:gd name="csY1918" fmla="*/ 1240331 h 6858000"/>
              <a:gd name="csX1919" fmla="*/ 9719446 w 12192000"/>
              <a:gd name="csY1919" fmla="*/ 1205511 h 6858000"/>
              <a:gd name="csX1920" fmla="*/ 9803189 w 12192000"/>
              <a:gd name="csY1920" fmla="*/ 1205511 h 6858000"/>
              <a:gd name="csX1921" fmla="*/ 9768836 w 12192000"/>
              <a:gd name="csY1921" fmla="*/ 1240331 h 6858000"/>
              <a:gd name="csX1922" fmla="*/ 9803189 w 12192000"/>
              <a:gd name="csY1922" fmla="*/ 1275151 h 6858000"/>
              <a:gd name="csX1923" fmla="*/ 9837529 w 12192000"/>
              <a:gd name="csY1923" fmla="*/ 1240331 h 6858000"/>
              <a:gd name="csX1924" fmla="*/ 9803189 w 12192000"/>
              <a:gd name="csY1924" fmla="*/ 1205511 h 6858000"/>
              <a:gd name="csX1925" fmla="*/ 9886930 w 12192000"/>
              <a:gd name="csY1925" fmla="*/ 1205511 h 6858000"/>
              <a:gd name="csX1926" fmla="*/ 9852577 w 12192000"/>
              <a:gd name="csY1926" fmla="*/ 1240331 h 6858000"/>
              <a:gd name="csX1927" fmla="*/ 9886930 w 12192000"/>
              <a:gd name="csY1927" fmla="*/ 1275151 h 6858000"/>
              <a:gd name="csX1928" fmla="*/ 9921270 w 12192000"/>
              <a:gd name="csY1928" fmla="*/ 1240331 h 6858000"/>
              <a:gd name="csX1929" fmla="*/ 9886930 w 12192000"/>
              <a:gd name="csY1929" fmla="*/ 1205511 h 6858000"/>
              <a:gd name="csX1930" fmla="*/ 9970671 w 12192000"/>
              <a:gd name="csY1930" fmla="*/ 1205511 h 6858000"/>
              <a:gd name="csX1931" fmla="*/ 9936318 w 12192000"/>
              <a:gd name="csY1931" fmla="*/ 1240331 h 6858000"/>
              <a:gd name="csX1932" fmla="*/ 9970671 w 12192000"/>
              <a:gd name="csY1932" fmla="*/ 1275151 h 6858000"/>
              <a:gd name="csX1933" fmla="*/ 10005011 w 12192000"/>
              <a:gd name="csY1933" fmla="*/ 1240331 h 6858000"/>
              <a:gd name="csX1934" fmla="*/ 9970671 w 12192000"/>
              <a:gd name="csY1934" fmla="*/ 1205511 h 6858000"/>
              <a:gd name="csX1935" fmla="*/ 10054413 w 12192000"/>
              <a:gd name="csY1935" fmla="*/ 1205511 h 6858000"/>
              <a:gd name="csX1936" fmla="*/ 10020060 w 12192000"/>
              <a:gd name="csY1936" fmla="*/ 1240331 h 6858000"/>
              <a:gd name="csX1937" fmla="*/ 10054413 w 12192000"/>
              <a:gd name="csY1937" fmla="*/ 1275151 h 6858000"/>
              <a:gd name="csX1938" fmla="*/ 10088754 w 12192000"/>
              <a:gd name="csY1938" fmla="*/ 1240331 h 6858000"/>
              <a:gd name="csX1939" fmla="*/ 10054413 w 12192000"/>
              <a:gd name="csY1939" fmla="*/ 1205511 h 6858000"/>
              <a:gd name="csX1940" fmla="*/ 10138155 w 12192000"/>
              <a:gd name="csY1940" fmla="*/ 1205511 h 6858000"/>
              <a:gd name="csX1941" fmla="*/ 10103802 w 12192000"/>
              <a:gd name="csY1941" fmla="*/ 1240331 h 6858000"/>
              <a:gd name="csX1942" fmla="*/ 10138155 w 12192000"/>
              <a:gd name="csY1942" fmla="*/ 1275151 h 6858000"/>
              <a:gd name="csX1943" fmla="*/ 10172495 w 12192000"/>
              <a:gd name="csY1943" fmla="*/ 1240331 h 6858000"/>
              <a:gd name="csX1944" fmla="*/ 10138155 w 12192000"/>
              <a:gd name="csY1944" fmla="*/ 1205511 h 6858000"/>
              <a:gd name="csX1945" fmla="*/ 10221896 w 12192000"/>
              <a:gd name="csY1945" fmla="*/ 1205511 h 6858000"/>
              <a:gd name="csX1946" fmla="*/ 10187543 w 12192000"/>
              <a:gd name="csY1946" fmla="*/ 1240331 h 6858000"/>
              <a:gd name="csX1947" fmla="*/ 10221896 w 12192000"/>
              <a:gd name="csY1947" fmla="*/ 1275151 h 6858000"/>
              <a:gd name="csX1948" fmla="*/ 10256236 w 12192000"/>
              <a:gd name="csY1948" fmla="*/ 1240331 h 6858000"/>
              <a:gd name="csX1949" fmla="*/ 10221896 w 12192000"/>
              <a:gd name="csY1949" fmla="*/ 1205511 h 6858000"/>
              <a:gd name="csX1950" fmla="*/ 10305638 w 12192000"/>
              <a:gd name="csY1950" fmla="*/ 1205511 h 6858000"/>
              <a:gd name="csX1951" fmla="*/ 10271285 w 12192000"/>
              <a:gd name="csY1951" fmla="*/ 1240331 h 6858000"/>
              <a:gd name="csX1952" fmla="*/ 10305638 w 12192000"/>
              <a:gd name="csY1952" fmla="*/ 1275151 h 6858000"/>
              <a:gd name="csX1953" fmla="*/ 10339978 w 12192000"/>
              <a:gd name="csY1953" fmla="*/ 1240331 h 6858000"/>
              <a:gd name="csX1954" fmla="*/ 10305638 w 12192000"/>
              <a:gd name="csY1954" fmla="*/ 1205511 h 6858000"/>
              <a:gd name="csX1955" fmla="*/ 10389379 w 12192000"/>
              <a:gd name="csY1955" fmla="*/ 1205511 h 6858000"/>
              <a:gd name="csX1956" fmla="*/ 10355026 w 12192000"/>
              <a:gd name="csY1956" fmla="*/ 1240331 h 6858000"/>
              <a:gd name="csX1957" fmla="*/ 10389379 w 12192000"/>
              <a:gd name="csY1957" fmla="*/ 1275151 h 6858000"/>
              <a:gd name="csX1958" fmla="*/ 10423720 w 12192000"/>
              <a:gd name="csY1958" fmla="*/ 1240331 h 6858000"/>
              <a:gd name="csX1959" fmla="*/ 10389379 w 12192000"/>
              <a:gd name="csY1959" fmla="*/ 1205511 h 6858000"/>
              <a:gd name="csX1960" fmla="*/ 10473122 w 12192000"/>
              <a:gd name="csY1960" fmla="*/ 1205511 h 6858000"/>
              <a:gd name="csX1961" fmla="*/ 10438769 w 12192000"/>
              <a:gd name="csY1961" fmla="*/ 1240331 h 6858000"/>
              <a:gd name="csX1962" fmla="*/ 10473122 w 12192000"/>
              <a:gd name="csY1962" fmla="*/ 1275151 h 6858000"/>
              <a:gd name="csX1963" fmla="*/ 10507462 w 12192000"/>
              <a:gd name="csY1963" fmla="*/ 1240331 h 6858000"/>
              <a:gd name="csX1964" fmla="*/ 10473122 w 12192000"/>
              <a:gd name="csY1964" fmla="*/ 1205511 h 6858000"/>
              <a:gd name="csX1965" fmla="*/ 1428993 w 12192000"/>
              <a:gd name="csY1965" fmla="*/ 1290374 h 6858000"/>
              <a:gd name="csX1966" fmla="*/ 1394646 w 12192000"/>
              <a:gd name="csY1966" fmla="*/ 1325195 h 6858000"/>
              <a:gd name="csX1967" fmla="*/ 1428993 w 12192000"/>
              <a:gd name="csY1967" fmla="*/ 1360015 h 6858000"/>
              <a:gd name="csX1968" fmla="*/ 1463340 w 12192000"/>
              <a:gd name="csY1968" fmla="*/ 1325195 h 6858000"/>
              <a:gd name="csX1969" fmla="*/ 1428993 w 12192000"/>
              <a:gd name="csY1969" fmla="*/ 1290374 h 6858000"/>
              <a:gd name="csX1970" fmla="*/ 1763966 w 12192000"/>
              <a:gd name="csY1970" fmla="*/ 1290374 h 6858000"/>
              <a:gd name="csX1971" fmla="*/ 1729620 w 12192000"/>
              <a:gd name="csY1971" fmla="*/ 1325195 h 6858000"/>
              <a:gd name="csX1972" fmla="*/ 1763966 w 12192000"/>
              <a:gd name="csY1972" fmla="*/ 1360015 h 6858000"/>
              <a:gd name="csX1973" fmla="*/ 1798313 w 12192000"/>
              <a:gd name="csY1973" fmla="*/ 1325195 h 6858000"/>
              <a:gd name="csX1974" fmla="*/ 1763966 w 12192000"/>
              <a:gd name="csY1974" fmla="*/ 1290374 h 6858000"/>
              <a:gd name="csX1975" fmla="*/ 1847707 w 12192000"/>
              <a:gd name="csY1975" fmla="*/ 1290374 h 6858000"/>
              <a:gd name="csX1976" fmla="*/ 1813361 w 12192000"/>
              <a:gd name="csY1976" fmla="*/ 1325195 h 6858000"/>
              <a:gd name="csX1977" fmla="*/ 1847707 w 12192000"/>
              <a:gd name="csY1977" fmla="*/ 1360015 h 6858000"/>
              <a:gd name="csX1978" fmla="*/ 1882054 w 12192000"/>
              <a:gd name="csY1978" fmla="*/ 1325195 h 6858000"/>
              <a:gd name="csX1979" fmla="*/ 1847707 w 12192000"/>
              <a:gd name="csY1979" fmla="*/ 1290374 h 6858000"/>
              <a:gd name="csX1980" fmla="*/ 1931450 w 12192000"/>
              <a:gd name="csY1980" fmla="*/ 1290374 h 6858000"/>
              <a:gd name="csX1981" fmla="*/ 1897103 w 12192000"/>
              <a:gd name="csY1981" fmla="*/ 1325195 h 6858000"/>
              <a:gd name="csX1982" fmla="*/ 1931450 w 12192000"/>
              <a:gd name="csY1982" fmla="*/ 1360015 h 6858000"/>
              <a:gd name="csX1983" fmla="*/ 1965796 w 12192000"/>
              <a:gd name="csY1983" fmla="*/ 1325195 h 6858000"/>
              <a:gd name="csX1984" fmla="*/ 1931450 w 12192000"/>
              <a:gd name="csY1984" fmla="*/ 1290374 h 6858000"/>
              <a:gd name="csX1985" fmla="*/ 2015191 w 12192000"/>
              <a:gd name="csY1985" fmla="*/ 1290374 h 6858000"/>
              <a:gd name="csX1986" fmla="*/ 1980844 w 12192000"/>
              <a:gd name="csY1986" fmla="*/ 1325195 h 6858000"/>
              <a:gd name="csX1987" fmla="*/ 2015191 w 12192000"/>
              <a:gd name="csY1987" fmla="*/ 1360015 h 6858000"/>
              <a:gd name="csX1988" fmla="*/ 2049538 w 12192000"/>
              <a:gd name="csY1988" fmla="*/ 1325195 h 6858000"/>
              <a:gd name="csX1989" fmla="*/ 2015191 w 12192000"/>
              <a:gd name="csY1989" fmla="*/ 1290374 h 6858000"/>
              <a:gd name="csX1990" fmla="*/ 2098932 w 12192000"/>
              <a:gd name="csY1990" fmla="*/ 1290374 h 6858000"/>
              <a:gd name="csX1991" fmla="*/ 2064586 w 12192000"/>
              <a:gd name="csY1991" fmla="*/ 1325195 h 6858000"/>
              <a:gd name="csX1992" fmla="*/ 2098932 w 12192000"/>
              <a:gd name="csY1992" fmla="*/ 1360015 h 6858000"/>
              <a:gd name="csX1993" fmla="*/ 2133279 w 12192000"/>
              <a:gd name="csY1993" fmla="*/ 1325195 h 6858000"/>
              <a:gd name="csX1994" fmla="*/ 2098932 w 12192000"/>
              <a:gd name="csY1994" fmla="*/ 1290374 h 6858000"/>
              <a:gd name="csX1995" fmla="*/ 2182674 w 12192000"/>
              <a:gd name="csY1995" fmla="*/ 1290374 h 6858000"/>
              <a:gd name="csX1996" fmla="*/ 2148328 w 12192000"/>
              <a:gd name="csY1996" fmla="*/ 1325195 h 6858000"/>
              <a:gd name="csX1997" fmla="*/ 2182674 w 12192000"/>
              <a:gd name="csY1997" fmla="*/ 1360015 h 6858000"/>
              <a:gd name="csX1998" fmla="*/ 2217021 w 12192000"/>
              <a:gd name="csY1998" fmla="*/ 1325195 h 6858000"/>
              <a:gd name="csX1999" fmla="*/ 2182674 w 12192000"/>
              <a:gd name="csY1999" fmla="*/ 1290374 h 6858000"/>
              <a:gd name="csX2000" fmla="*/ 2266416 w 12192000"/>
              <a:gd name="csY2000" fmla="*/ 1290374 h 6858000"/>
              <a:gd name="csX2001" fmla="*/ 2232069 w 12192000"/>
              <a:gd name="csY2001" fmla="*/ 1325195 h 6858000"/>
              <a:gd name="csX2002" fmla="*/ 2266416 w 12192000"/>
              <a:gd name="csY2002" fmla="*/ 1360015 h 6858000"/>
              <a:gd name="csX2003" fmla="*/ 2300762 w 12192000"/>
              <a:gd name="csY2003" fmla="*/ 1325195 h 6858000"/>
              <a:gd name="csX2004" fmla="*/ 2266416 w 12192000"/>
              <a:gd name="csY2004" fmla="*/ 1290374 h 6858000"/>
              <a:gd name="csX2005" fmla="*/ 2350151 w 12192000"/>
              <a:gd name="csY2005" fmla="*/ 1290374 h 6858000"/>
              <a:gd name="csX2006" fmla="*/ 2315804 w 12192000"/>
              <a:gd name="csY2006" fmla="*/ 1325195 h 6858000"/>
              <a:gd name="csX2007" fmla="*/ 2350151 w 12192000"/>
              <a:gd name="csY2007" fmla="*/ 1360015 h 6858000"/>
              <a:gd name="csX2008" fmla="*/ 2384498 w 12192000"/>
              <a:gd name="csY2008" fmla="*/ 1325195 h 6858000"/>
              <a:gd name="csX2009" fmla="*/ 2350151 w 12192000"/>
              <a:gd name="csY2009" fmla="*/ 1290374 h 6858000"/>
              <a:gd name="csX2010" fmla="*/ 2433893 w 12192000"/>
              <a:gd name="csY2010" fmla="*/ 1290374 h 6858000"/>
              <a:gd name="csX2011" fmla="*/ 2399546 w 12192000"/>
              <a:gd name="csY2011" fmla="*/ 1325195 h 6858000"/>
              <a:gd name="csX2012" fmla="*/ 2433893 w 12192000"/>
              <a:gd name="csY2012" fmla="*/ 1360015 h 6858000"/>
              <a:gd name="csX2013" fmla="*/ 2468240 w 12192000"/>
              <a:gd name="csY2013" fmla="*/ 1325195 h 6858000"/>
              <a:gd name="csX2014" fmla="*/ 2433893 w 12192000"/>
              <a:gd name="csY2014" fmla="*/ 1290374 h 6858000"/>
              <a:gd name="csX2015" fmla="*/ 2517634 w 12192000"/>
              <a:gd name="csY2015" fmla="*/ 1290374 h 6858000"/>
              <a:gd name="csX2016" fmla="*/ 2483288 w 12192000"/>
              <a:gd name="csY2016" fmla="*/ 1325195 h 6858000"/>
              <a:gd name="csX2017" fmla="*/ 2517634 w 12192000"/>
              <a:gd name="csY2017" fmla="*/ 1360015 h 6858000"/>
              <a:gd name="csX2018" fmla="*/ 2551981 w 12192000"/>
              <a:gd name="csY2018" fmla="*/ 1325195 h 6858000"/>
              <a:gd name="csX2019" fmla="*/ 2517634 w 12192000"/>
              <a:gd name="csY2019" fmla="*/ 1290374 h 6858000"/>
              <a:gd name="csX2020" fmla="*/ 2601376 w 12192000"/>
              <a:gd name="csY2020" fmla="*/ 1290374 h 6858000"/>
              <a:gd name="csX2021" fmla="*/ 2567029 w 12192000"/>
              <a:gd name="csY2021" fmla="*/ 1325195 h 6858000"/>
              <a:gd name="csX2022" fmla="*/ 2601376 w 12192000"/>
              <a:gd name="csY2022" fmla="*/ 1360015 h 6858000"/>
              <a:gd name="csX2023" fmla="*/ 2635722 w 12192000"/>
              <a:gd name="csY2023" fmla="*/ 1325195 h 6858000"/>
              <a:gd name="csX2024" fmla="*/ 2601376 w 12192000"/>
              <a:gd name="csY2024" fmla="*/ 1290374 h 6858000"/>
              <a:gd name="csX2025" fmla="*/ 2685118 w 12192000"/>
              <a:gd name="csY2025" fmla="*/ 1290374 h 6858000"/>
              <a:gd name="csX2026" fmla="*/ 2650771 w 12192000"/>
              <a:gd name="csY2026" fmla="*/ 1325195 h 6858000"/>
              <a:gd name="csX2027" fmla="*/ 2685118 w 12192000"/>
              <a:gd name="csY2027" fmla="*/ 1360015 h 6858000"/>
              <a:gd name="csX2028" fmla="*/ 2719465 w 12192000"/>
              <a:gd name="csY2028" fmla="*/ 1325195 h 6858000"/>
              <a:gd name="csX2029" fmla="*/ 2685118 w 12192000"/>
              <a:gd name="csY2029" fmla="*/ 1290374 h 6858000"/>
              <a:gd name="csX2030" fmla="*/ 2768859 w 12192000"/>
              <a:gd name="csY2030" fmla="*/ 1290374 h 6858000"/>
              <a:gd name="csX2031" fmla="*/ 2734512 w 12192000"/>
              <a:gd name="csY2031" fmla="*/ 1325195 h 6858000"/>
              <a:gd name="csX2032" fmla="*/ 2768859 w 12192000"/>
              <a:gd name="csY2032" fmla="*/ 1360015 h 6858000"/>
              <a:gd name="csX2033" fmla="*/ 2803206 w 12192000"/>
              <a:gd name="csY2033" fmla="*/ 1325195 h 6858000"/>
              <a:gd name="csX2034" fmla="*/ 2768859 w 12192000"/>
              <a:gd name="csY2034" fmla="*/ 1290374 h 6858000"/>
              <a:gd name="csX2035" fmla="*/ 2852600 w 12192000"/>
              <a:gd name="csY2035" fmla="*/ 1290374 h 6858000"/>
              <a:gd name="csX2036" fmla="*/ 2818254 w 12192000"/>
              <a:gd name="csY2036" fmla="*/ 1325195 h 6858000"/>
              <a:gd name="csX2037" fmla="*/ 2852600 w 12192000"/>
              <a:gd name="csY2037" fmla="*/ 1360015 h 6858000"/>
              <a:gd name="csX2038" fmla="*/ 2886947 w 12192000"/>
              <a:gd name="csY2038" fmla="*/ 1325195 h 6858000"/>
              <a:gd name="csX2039" fmla="*/ 2852600 w 12192000"/>
              <a:gd name="csY2039" fmla="*/ 1290374 h 6858000"/>
              <a:gd name="csX2040" fmla="*/ 2936343 w 12192000"/>
              <a:gd name="csY2040" fmla="*/ 1290374 h 6858000"/>
              <a:gd name="csX2041" fmla="*/ 2901996 w 12192000"/>
              <a:gd name="csY2041" fmla="*/ 1325195 h 6858000"/>
              <a:gd name="csX2042" fmla="*/ 2936343 w 12192000"/>
              <a:gd name="csY2042" fmla="*/ 1360015 h 6858000"/>
              <a:gd name="csX2043" fmla="*/ 2970689 w 12192000"/>
              <a:gd name="csY2043" fmla="*/ 1325195 h 6858000"/>
              <a:gd name="csX2044" fmla="*/ 2936343 w 12192000"/>
              <a:gd name="csY2044" fmla="*/ 1290374 h 6858000"/>
              <a:gd name="csX2045" fmla="*/ 3103826 w 12192000"/>
              <a:gd name="csY2045" fmla="*/ 1290374 h 6858000"/>
              <a:gd name="csX2046" fmla="*/ 3069479 w 12192000"/>
              <a:gd name="csY2046" fmla="*/ 1325195 h 6858000"/>
              <a:gd name="csX2047" fmla="*/ 3103826 w 12192000"/>
              <a:gd name="csY2047" fmla="*/ 1360015 h 6858000"/>
              <a:gd name="csX2048" fmla="*/ 3138173 w 12192000"/>
              <a:gd name="csY2048" fmla="*/ 1325195 h 6858000"/>
              <a:gd name="csX2049" fmla="*/ 3103826 w 12192000"/>
              <a:gd name="csY2049" fmla="*/ 1290374 h 6858000"/>
              <a:gd name="csX2050" fmla="*/ 3187567 w 12192000"/>
              <a:gd name="csY2050" fmla="*/ 1290374 h 6858000"/>
              <a:gd name="csX2051" fmla="*/ 3153221 w 12192000"/>
              <a:gd name="csY2051" fmla="*/ 1325195 h 6858000"/>
              <a:gd name="csX2052" fmla="*/ 3187567 w 12192000"/>
              <a:gd name="csY2052" fmla="*/ 1360015 h 6858000"/>
              <a:gd name="csX2053" fmla="*/ 3221914 w 12192000"/>
              <a:gd name="csY2053" fmla="*/ 1325195 h 6858000"/>
              <a:gd name="csX2054" fmla="*/ 3187567 w 12192000"/>
              <a:gd name="csY2054" fmla="*/ 1290374 h 6858000"/>
              <a:gd name="csX2055" fmla="*/ 3355051 w 12192000"/>
              <a:gd name="csY2055" fmla="*/ 1290374 h 6858000"/>
              <a:gd name="csX2056" fmla="*/ 3320704 w 12192000"/>
              <a:gd name="csY2056" fmla="*/ 1325195 h 6858000"/>
              <a:gd name="csX2057" fmla="*/ 3355051 w 12192000"/>
              <a:gd name="csY2057" fmla="*/ 1360015 h 6858000"/>
              <a:gd name="csX2058" fmla="*/ 3389398 w 12192000"/>
              <a:gd name="csY2058" fmla="*/ 1325195 h 6858000"/>
              <a:gd name="csX2059" fmla="*/ 3355051 w 12192000"/>
              <a:gd name="csY2059" fmla="*/ 1290374 h 6858000"/>
              <a:gd name="csX2060" fmla="*/ 3606276 w 12192000"/>
              <a:gd name="csY2060" fmla="*/ 1290374 h 6858000"/>
              <a:gd name="csX2061" fmla="*/ 3571929 w 12192000"/>
              <a:gd name="csY2061" fmla="*/ 1325195 h 6858000"/>
              <a:gd name="csX2062" fmla="*/ 3606276 w 12192000"/>
              <a:gd name="csY2062" fmla="*/ 1360015 h 6858000"/>
              <a:gd name="csX2063" fmla="*/ 3640622 w 12192000"/>
              <a:gd name="csY2063" fmla="*/ 1325195 h 6858000"/>
              <a:gd name="csX2064" fmla="*/ 3606276 w 12192000"/>
              <a:gd name="csY2064" fmla="*/ 1290374 h 6858000"/>
              <a:gd name="csX2065" fmla="*/ 3773759 w 12192000"/>
              <a:gd name="csY2065" fmla="*/ 1290374 h 6858000"/>
              <a:gd name="csX2066" fmla="*/ 3739412 w 12192000"/>
              <a:gd name="csY2066" fmla="*/ 1325195 h 6858000"/>
              <a:gd name="csX2067" fmla="*/ 3773759 w 12192000"/>
              <a:gd name="csY2067" fmla="*/ 1360015 h 6858000"/>
              <a:gd name="csX2068" fmla="*/ 3808106 w 12192000"/>
              <a:gd name="csY2068" fmla="*/ 1325195 h 6858000"/>
              <a:gd name="csX2069" fmla="*/ 3773759 w 12192000"/>
              <a:gd name="csY2069" fmla="*/ 1290374 h 6858000"/>
              <a:gd name="csX2070" fmla="*/ 3857500 w 12192000"/>
              <a:gd name="csY2070" fmla="*/ 1290374 h 6858000"/>
              <a:gd name="csX2071" fmla="*/ 3823154 w 12192000"/>
              <a:gd name="csY2071" fmla="*/ 1325195 h 6858000"/>
              <a:gd name="csX2072" fmla="*/ 3857500 w 12192000"/>
              <a:gd name="csY2072" fmla="*/ 1360015 h 6858000"/>
              <a:gd name="csX2073" fmla="*/ 3891847 w 12192000"/>
              <a:gd name="csY2073" fmla="*/ 1325195 h 6858000"/>
              <a:gd name="csX2074" fmla="*/ 3857500 w 12192000"/>
              <a:gd name="csY2074" fmla="*/ 1290374 h 6858000"/>
              <a:gd name="csX2075" fmla="*/ 3941242 w 12192000"/>
              <a:gd name="csY2075" fmla="*/ 1290374 h 6858000"/>
              <a:gd name="csX2076" fmla="*/ 3906895 w 12192000"/>
              <a:gd name="csY2076" fmla="*/ 1325195 h 6858000"/>
              <a:gd name="csX2077" fmla="*/ 3941242 w 12192000"/>
              <a:gd name="csY2077" fmla="*/ 1360015 h 6858000"/>
              <a:gd name="csX2078" fmla="*/ 3975588 w 12192000"/>
              <a:gd name="csY2078" fmla="*/ 1325195 h 6858000"/>
              <a:gd name="csX2079" fmla="*/ 3941242 w 12192000"/>
              <a:gd name="csY2079" fmla="*/ 1290374 h 6858000"/>
              <a:gd name="csX2080" fmla="*/ 4024990 w 12192000"/>
              <a:gd name="csY2080" fmla="*/ 1290374 h 6858000"/>
              <a:gd name="csX2081" fmla="*/ 3990643 w 12192000"/>
              <a:gd name="csY2081" fmla="*/ 1325195 h 6858000"/>
              <a:gd name="csX2082" fmla="*/ 4024990 w 12192000"/>
              <a:gd name="csY2082" fmla="*/ 1360015 h 6858000"/>
              <a:gd name="csX2083" fmla="*/ 4059337 w 12192000"/>
              <a:gd name="csY2083" fmla="*/ 1325195 h 6858000"/>
              <a:gd name="csX2084" fmla="*/ 4024990 w 12192000"/>
              <a:gd name="csY2084" fmla="*/ 1290374 h 6858000"/>
              <a:gd name="csX2085" fmla="*/ 4611182 w 12192000"/>
              <a:gd name="csY2085" fmla="*/ 1290374 h 6858000"/>
              <a:gd name="csX2086" fmla="*/ 4576835 w 12192000"/>
              <a:gd name="csY2086" fmla="*/ 1325195 h 6858000"/>
              <a:gd name="csX2087" fmla="*/ 4611182 w 12192000"/>
              <a:gd name="csY2087" fmla="*/ 1360015 h 6858000"/>
              <a:gd name="csX2088" fmla="*/ 4645528 w 12192000"/>
              <a:gd name="csY2088" fmla="*/ 1325195 h 6858000"/>
              <a:gd name="csX2089" fmla="*/ 4611182 w 12192000"/>
              <a:gd name="csY2089" fmla="*/ 1290374 h 6858000"/>
              <a:gd name="csX2090" fmla="*/ 4694923 w 12192000"/>
              <a:gd name="csY2090" fmla="*/ 1290374 h 6858000"/>
              <a:gd name="csX2091" fmla="*/ 4660576 w 12192000"/>
              <a:gd name="csY2091" fmla="*/ 1325195 h 6858000"/>
              <a:gd name="csX2092" fmla="*/ 4694923 w 12192000"/>
              <a:gd name="csY2092" fmla="*/ 1360015 h 6858000"/>
              <a:gd name="csX2093" fmla="*/ 4729270 w 12192000"/>
              <a:gd name="csY2093" fmla="*/ 1325195 h 6858000"/>
              <a:gd name="csX2094" fmla="*/ 4694923 w 12192000"/>
              <a:gd name="csY2094" fmla="*/ 1290374 h 6858000"/>
              <a:gd name="csX2095" fmla="*/ 4778665 w 12192000"/>
              <a:gd name="csY2095" fmla="*/ 1290374 h 6858000"/>
              <a:gd name="csX2096" fmla="*/ 4744319 w 12192000"/>
              <a:gd name="csY2096" fmla="*/ 1325195 h 6858000"/>
              <a:gd name="csX2097" fmla="*/ 4778665 w 12192000"/>
              <a:gd name="csY2097" fmla="*/ 1360015 h 6858000"/>
              <a:gd name="csX2098" fmla="*/ 4813012 w 12192000"/>
              <a:gd name="csY2098" fmla="*/ 1325195 h 6858000"/>
              <a:gd name="csX2099" fmla="*/ 4778665 w 12192000"/>
              <a:gd name="csY2099" fmla="*/ 1290374 h 6858000"/>
              <a:gd name="csX2100" fmla="*/ 4862406 w 12192000"/>
              <a:gd name="csY2100" fmla="*/ 1290374 h 6858000"/>
              <a:gd name="csX2101" fmla="*/ 4828060 w 12192000"/>
              <a:gd name="csY2101" fmla="*/ 1325195 h 6858000"/>
              <a:gd name="csX2102" fmla="*/ 4862406 w 12192000"/>
              <a:gd name="csY2102" fmla="*/ 1360015 h 6858000"/>
              <a:gd name="csX2103" fmla="*/ 4896753 w 12192000"/>
              <a:gd name="csY2103" fmla="*/ 1325195 h 6858000"/>
              <a:gd name="csX2104" fmla="*/ 4862406 w 12192000"/>
              <a:gd name="csY2104" fmla="*/ 1290374 h 6858000"/>
              <a:gd name="csX2105" fmla="*/ 4946148 w 12192000"/>
              <a:gd name="csY2105" fmla="*/ 1290374 h 6858000"/>
              <a:gd name="csX2106" fmla="*/ 4911801 w 12192000"/>
              <a:gd name="csY2106" fmla="*/ 1325195 h 6858000"/>
              <a:gd name="csX2107" fmla="*/ 4946148 w 12192000"/>
              <a:gd name="csY2107" fmla="*/ 1360015 h 6858000"/>
              <a:gd name="csX2108" fmla="*/ 4980494 w 12192000"/>
              <a:gd name="csY2108" fmla="*/ 1325195 h 6858000"/>
              <a:gd name="csX2109" fmla="*/ 4946148 w 12192000"/>
              <a:gd name="csY2109" fmla="*/ 1290374 h 6858000"/>
              <a:gd name="csX2110" fmla="*/ 5029890 w 12192000"/>
              <a:gd name="csY2110" fmla="*/ 1290374 h 6858000"/>
              <a:gd name="csX2111" fmla="*/ 4995543 w 12192000"/>
              <a:gd name="csY2111" fmla="*/ 1325195 h 6858000"/>
              <a:gd name="csX2112" fmla="*/ 5029890 w 12192000"/>
              <a:gd name="csY2112" fmla="*/ 1360015 h 6858000"/>
              <a:gd name="csX2113" fmla="*/ 5064237 w 12192000"/>
              <a:gd name="csY2113" fmla="*/ 1325195 h 6858000"/>
              <a:gd name="csX2114" fmla="*/ 5029890 w 12192000"/>
              <a:gd name="csY2114" fmla="*/ 1290374 h 6858000"/>
              <a:gd name="csX2115" fmla="*/ 5113631 w 12192000"/>
              <a:gd name="csY2115" fmla="*/ 1290374 h 6858000"/>
              <a:gd name="csX2116" fmla="*/ 5079285 w 12192000"/>
              <a:gd name="csY2116" fmla="*/ 1325195 h 6858000"/>
              <a:gd name="csX2117" fmla="*/ 5113631 w 12192000"/>
              <a:gd name="csY2117" fmla="*/ 1360015 h 6858000"/>
              <a:gd name="csX2118" fmla="*/ 5147978 w 12192000"/>
              <a:gd name="csY2118" fmla="*/ 1325195 h 6858000"/>
              <a:gd name="csX2119" fmla="*/ 5113631 w 12192000"/>
              <a:gd name="csY2119" fmla="*/ 1290374 h 6858000"/>
              <a:gd name="csX2120" fmla="*/ 5197372 w 12192000"/>
              <a:gd name="csY2120" fmla="*/ 1290374 h 6858000"/>
              <a:gd name="csX2121" fmla="*/ 5163026 w 12192000"/>
              <a:gd name="csY2121" fmla="*/ 1325195 h 6858000"/>
              <a:gd name="csX2122" fmla="*/ 5197372 w 12192000"/>
              <a:gd name="csY2122" fmla="*/ 1360015 h 6858000"/>
              <a:gd name="csX2123" fmla="*/ 5231719 w 12192000"/>
              <a:gd name="csY2123" fmla="*/ 1325195 h 6858000"/>
              <a:gd name="csX2124" fmla="*/ 5197372 w 12192000"/>
              <a:gd name="csY2124" fmla="*/ 1290374 h 6858000"/>
              <a:gd name="csX2125" fmla="*/ 7123456 w 12192000"/>
              <a:gd name="csY2125" fmla="*/ 1290374 h 6858000"/>
              <a:gd name="csX2126" fmla="*/ 7089103 w 12192000"/>
              <a:gd name="csY2126" fmla="*/ 1325195 h 6858000"/>
              <a:gd name="csX2127" fmla="*/ 7123456 w 12192000"/>
              <a:gd name="csY2127" fmla="*/ 1360015 h 6858000"/>
              <a:gd name="csX2128" fmla="*/ 7157796 w 12192000"/>
              <a:gd name="csY2128" fmla="*/ 1325195 h 6858000"/>
              <a:gd name="csX2129" fmla="*/ 7123456 w 12192000"/>
              <a:gd name="csY2129" fmla="*/ 1290374 h 6858000"/>
              <a:gd name="csX2130" fmla="*/ 7542164 w 12192000"/>
              <a:gd name="csY2130" fmla="*/ 1290374 h 6858000"/>
              <a:gd name="csX2131" fmla="*/ 7507811 w 12192000"/>
              <a:gd name="csY2131" fmla="*/ 1325195 h 6858000"/>
              <a:gd name="csX2132" fmla="*/ 7542164 w 12192000"/>
              <a:gd name="csY2132" fmla="*/ 1360015 h 6858000"/>
              <a:gd name="csX2133" fmla="*/ 7576504 w 12192000"/>
              <a:gd name="csY2133" fmla="*/ 1325195 h 6858000"/>
              <a:gd name="csX2134" fmla="*/ 7542164 w 12192000"/>
              <a:gd name="csY2134" fmla="*/ 1290374 h 6858000"/>
              <a:gd name="csX2135" fmla="*/ 7625906 w 12192000"/>
              <a:gd name="csY2135" fmla="*/ 1290374 h 6858000"/>
              <a:gd name="csX2136" fmla="*/ 7591553 w 12192000"/>
              <a:gd name="csY2136" fmla="*/ 1325195 h 6858000"/>
              <a:gd name="csX2137" fmla="*/ 7625906 w 12192000"/>
              <a:gd name="csY2137" fmla="*/ 1360015 h 6858000"/>
              <a:gd name="csX2138" fmla="*/ 7660246 w 12192000"/>
              <a:gd name="csY2138" fmla="*/ 1325195 h 6858000"/>
              <a:gd name="csX2139" fmla="*/ 7625906 w 12192000"/>
              <a:gd name="csY2139" fmla="*/ 1290374 h 6858000"/>
              <a:gd name="csX2140" fmla="*/ 7709647 w 12192000"/>
              <a:gd name="csY2140" fmla="*/ 1290374 h 6858000"/>
              <a:gd name="csX2141" fmla="*/ 7675294 w 12192000"/>
              <a:gd name="csY2141" fmla="*/ 1325195 h 6858000"/>
              <a:gd name="csX2142" fmla="*/ 7709647 w 12192000"/>
              <a:gd name="csY2142" fmla="*/ 1360015 h 6858000"/>
              <a:gd name="csX2143" fmla="*/ 7743988 w 12192000"/>
              <a:gd name="csY2143" fmla="*/ 1325195 h 6858000"/>
              <a:gd name="csX2144" fmla="*/ 7709647 w 12192000"/>
              <a:gd name="csY2144" fmla="*/ 1290374 h 6858000"/>
              <a:gd name="csX2145" fmla="*/ 7877131 w 12192000"/>
              <a:gd name="csY2145" fmla="*/ 1290374 h 6858000"/>
              <a:gd name="csX2146" fmla="*/ 7842778 w 12192000"/>
              <a:gd name="csY2146" fmla="*/ 1325195 h 6858000"/>
              <a:gd name="csX2147" fmla="*/ 7877131 w 12192000"/>
              <a:gd name="csY2147" fmla="*/ 1360015 h 6858000"/>
              <a:gd name="csX2148" fmla="*/ 7911471 w 12192000"/>
              <a:gd name="csY2148" fmla="*/ 1325195 h 6858000"/>
              <a:gd name="csX2149" fmla="*/ 7877131 w 12192000"/>
              <a:gd name="csY2149" fmla="*/ 1290374 h 6858000"/>
              <a:gd name="csX2150" fmla="*/ 7960872 w 12192000"/>
              <a:gd name="csY2150" fmla="*/ 1290374 h 6858000"/>
              <a:gd name="csX2151" fmla="*/ 7926519 w 12192000"/>
              <a:gd name="csY2151" fmla="*/ 1325195 h 6858000"/>
              <a:gd name="csX2152" fmla="*/ 7960872 w 12192000"/>
              <a:gd name="csY2152" fmla="*/ 1360015 h 6858000"/>
              <a:gd name="csX2153" fmla="*/ 7995212 w 12192000"/>
              <a:gd name="csY2153" fmla="*/ 1325195 h 6858000"/>
              <a:gd name="csX2154" fmla="*/ 7960872 w 12192000"/>
              <a:gd name="csY2154" fmla="*/ 1290374 h 6858000"/>
              <a:gd name="csX2155" fmla="*/ 8044614 w 12192000"/>
              <a:gd name="csY2155" fmla="*/ 1290374 h 6858000"/>
              <a:gd name="csX2156" fmla="*/ 8010261 w 12192000"/>
              <a:gd name="csY2156" fmla="*/ 1325195 h 6858000"/>
              <a:gd name="csX2157" fmla="*/ 8044614 w 12192000"/>
              <a:gd name="csY2157" fmla="*/ 1360015 h 6858000"/>
              <a:gd name="csX2158" fmla="*/ 8078955 w 12192000"/>
              <a:gd name="csY2158" fmla="*/ 1325195 h 6858000"/>
              <a:gd name="csX2159" fmla="*/ 8044614 w 12192000"/>
              <a:gd name="csY2159" fmla="*/ 1290374 h 6858000"/>
              <a:gd name="csX2160" fmla="*/ 8128356 w 12192000"/>
              <a:gd name="csY2160" fmla="*/ 1290374 h 6858000"/>
              <a:gd name="csX2161" fmla="*/ 8094003 w 12192000"/>
              <a:gd name="csY2161" fmla="*/ 1325195 h 6858000"/>
              <a:gd name="csX2162" fmla="*/ 8128356 w 12192000"/>
              <a:gd name="csY2162" fmla="*/ 1360015 h 6858000"/>
              <a:gd name="csX2163" fmla="*/ 8162696 w 12192000"/>
              <a:gd name="csY2163" fmla="*/ 1325195 h 6858000"/>
              <a:gd name="csX2164" fmla="*/ 8128356 w 12192000"/>
              <a:gd name="csY2164" fmla="*/ 1290374 h 6858000"/>
              <a:gd name="csX2165" fmla="*/ 8212097 w 12192000"/>
              <a:gd name="csY2165" fmla="*/ 1290374 h 6858000"/>
              <a:gd name="csX2166" fmla="*/ 8177744 w 12192000"/>
              <a:gd name="csY2166" fmla="*/ 1325195 h 6858000"/>
              <a:gd name="csX2167" fmla="*/ 8212097 w 12192000"/>
              <a:gd name="csY2167" fmla="*/ 1360015 h 6858000"/>
              <a:gd name="csX2168" fmla="*/ 8246437 w 12192000"/>
              <a:gd name="csY2168" fmla="*/ 1325195 h 6858000"/>
              <a:gd name="csX2169" fmla="*/ 8212097 w 12192000"/>
              <a:gd name="csY2169" fmla="*/ 1290374 h 6858000"/>
              <a:gd name="csX2170" fmla="*/ 8295839 w 12192000"/>
              <a:gd name="csY2170" fmla="*/ 1290374 h 6858000"/>
              <a:gd name="csX2171" fmla="*/ 8261486 w 12192000"/>
              <a:gd name="csY2171" fmla="*/ 1325195 h 6858000"/>
              <a:gd name="csX2172" fmla="*/ 8295839 w 12192000"/>
              <a:gd name="csY2172" fmla="*/ 1360015 h 6858000"/>
              <a:gd name="csX2173" fmla="*/ 8330179 w 12192000"/>
              <a:gd name="csY2173" fmla="*/ 1325195 h 6858000"/>
              <a:gd name="csX2174" fmla="*/ 8295839 w 12192000"/>
              <a:gd name="csY2174" fmla="*/ 1290374 h 6858000"/>
              <a:gd name="csX2175" fmla="*/ 8379580 w 12192000"/>
              <a:gd name="csY2175" fmla="*/ 1290374 h 6858000"/>
              <a:gd name="csX2176" fmla="*/ 8345227 w 12192000"/>
              <a:gd name="csY2176" fmla="*/ 1325195 h 6858000"/>
              <a:gd name="csX2177" fmla="*/ 8379580 w 12192000"/>
              <a:gd name="csY2177" fmla="*/ 1360015 h 6858000"/>
              <a:gd name="csX2178" fmla="*/ 8413921 w 12192000"/>
              <a:gd name="csY2178" fmla="*/ 1325195 h 6858000"/>
              <a:gd name="csX2179" fmla="*/ 8379580 w 12192000"/>
              <a:gd name="csY2179" fmla="*/ 1290374 h 6858000"/>
              <a:gd name="csX2180" fmla="*/ 8463323 w 12192000"/>
              <a:gd name="csY2180" fmla="*/ 1290374 h 6858000"/>
              <a:gd name="csX2181" fmla="*/ 8428970 w 12192000"/>
              <a:gd name="csY2181" fmla="*/ 1325195 h 6858000"/>
              <a:gd name="csX2182" fmla="*/ 8463323 w 12192000"/>
              <a:gd name="csY2182" fmla="*/ 1360015 h 6858000"/>
              <a:gd name="csX2183" fmla="*/ 8497663 w 12192000"/>
              <a:gd name="csY2183" fmla="*/ 1325195 h 6858000"/>
              <a:gd name="csX2184" fmla="*/ 8463323 w 12192000"/>
              <a:gd name="csY2184" fmla="*/ 1290374 h 6858000"/>
              <a:gd name="csX2185" fmla="*/ 8547064 w 12192000"/>
              <a:gd name="csY2185" fmla="*/ 1290374 h 6858000"/>
              <a:gd name="csX2186" fmla="*/ 8512711 w 12192000"/>
              <a:gd name="csY2186" fmla="*/ 1325195 h 6858000"/>
              <a:gd name="csX2187" fmla="*/ 8547064 w 12192000"/>
              <a:gd name="csY2187" fmla="*/ 1360015 h 6858000"/>
              <a:gd name="csX2188" fmla="*/ 8581404 w 12192000"/>
              <a:gd name="csY2188" fmla="*/ 1325195 h 6858000"/>
              <a:gd name="csX2189" fmla="*/ 8547064 w 12192000"/>
              <a:gd name="csY2189" fmla="*/ 1290374 h 6858000"/>
              <a:gd name="csX2190" fmla="*/ 8630805 w 12192000"/>
              <a:gd name="csY2190" fmla="*/ 1290374 h 6858000"/>
              <a:gd name="csX2191" fmla="*/ 8596452 w 12192000"/>
              <a:gd name="csY2191" fmla="*/ 1325195 h 6858000"/>
              <a:gd name="csX2192" fmla="*/ 8630805 w 12192000"/>
              <a:gd name="csY2192" fmla="*/ 1360015 h 6858000"/>
              <a:gd name="csX2193" fmla="*/ 8665145 w 12192000"/>
              <a:gd name="csY2193" fmla="*/ 1325195 h 6858000"/>
              <a:gd name="csX2194" fmla="*/ 8630805 w 12192000"/>
              <a:gd name="csY2194" fmla="*/ 1290374 h 6858000"/>
              <a:gd name="csX2195" fmla="*/ 8714547 w 12192000"/>
              <a:gd name="csY2195" fmla="*/ 1290374 h 6858000"/>
              <a:gd name="csX2196" fmla="*/ 8680194 w 12192000"/>
              <a:gd name="csY2196" fmla="*/ 1325195 h 6858000"/>
              <a:gd name="csX2197" fmla="*/ 8714547 w 12192000"/>
              <a:gd name="csY2197" fmla="*/ 1360015 h 6858000"/>
              <a:gd name="csX2198" fmla="*/ 8748888 w 12192000"/>
              <a:gd name="csY2198" fmla="*/ 1325195 h 6858000"/>
              <a:gd name="csX2199" fmla="*/ 8714547 w 12192000"/>
              <a:gd name="csY2199" fmla="*/ 1290374 h 6858000"/>
              <a:gd name="csX2200" fmla="*/ 8798289 w 12192000"/>
              <a:gd name="csY2200" fmla="*/ 1290374 h 6858000"/>
              <a:gd name="csX2201" fmla="*/ 8763936 w 12192000"/>
              <a:gd name="csY2201" fmla="*/ 1325195 h 6858000"/>
              <a:gd name="csX2202" fmla="*/ 8798289 w 12192000"/>
              <a:gd name="csY2202" fmla="*/ 1360015 h 6858000"/>
              <a:gd name="csX2203" fmla="*/ 8832629 w 12192000"/>
              <a:gd name="csY2203" fmla="*/ 1325195 h 6858000"/>
              <a:gd name="csX2204" fmla="*/ 8798289 w 12192000"/>
              <a:gd name="csY2204" fmla="*/ 1290374 h 6858000"/>
              <a:gd name="csX2205" fmla="*/ 8882030 w 12192000"/>
              <a:gd name="csY2205" fmla="*/ 1290374 h 6858000"/>
              <a:gd name="csX2206" fmla="*/ 8847677 w 12192000"/>
              <a:gd name="csY2206" fmla="*/ 1325195 h 6858000"/>
              <a:gd name="csX2207" fmla="*/ 8882030 w 12192000"/>
              <a:gd name="csY2207" fmla="*/ 1360015 h 6858000"/>
              <a:gd name="csX2208" fmla="*/ 8916370 w 12192000"/>
              <a:gd name="csY2208" fmla="*/ 1325195 h 6858000"/>
              <a:gd name="csX2209" fmla="*/ 8882030 w 12192000"/>
              <a:gd name="csY2209" fmla="*/ 1290374 h 6858000"/>
              <a:gd name="csX2210" fmla="*/ 8965772 w 12192000"/>
              <a:gd name="csY2210" fmla="*/ 1290374 h 6858000"/>
              <a:gd name="csX2211" fmla="*/ 8931419 w 12192000"/>
              <a:gd name="csY2211" fmla="*/ 1325195 h 6858000"/>
              <a:gd name="csX2212" fmla="*/ 8965772 w 12192000"/>
              <a:gd name="csY2212" fmla="*/ 1360015 h 6858000"/>
              <a:gd name="csX2213" fmla="*/ 9000112 w 12192000"/>
              <a:gd name="csY2213" fmla="*/ 1325195 h 6858000"/>
              <a:gd name="csX2214" fmla="*/ 8965772 w 12192000"/>
              <a:gd name="csY2214" fmla="*/ 1290374 h 6858000"/>
              <a:gd name="csX2215" fmla="*/ 9049513 w 12192000"/>
              <a:gd name="csY2215" fmla="*/ 1290374 h 6858000"/>
              <a:gd name="csX2216" fmla="*/ 9015160 w 12192000"/>
              <a:gd name="csY2216" fmla="*/ 1325195 h 6858000"/>
              <a:gd name="csX2217" fmla="*/ 9049513 w 12192000"/>
              <a:gd name="csY2217" fmla="*/ 1360015 h 6858000"/>
              <a:gd name="csX2218" fmla="*/ 9083854 w 12192000"/>
              <a:gd name="csY2218" fmla="*/ 1325195 h 6858000"/>
              <a:gd name="csX2219" fmla="*/ 9049513 w 12192000"/>
              <a:gd name="csY2219" fmla="*/ 1290374 h 6858000"/>
              <a:gd name="csX2220" fmla="*/ 9133256 w 12192000"/>
              <a:gd name="csY2220" fmla="*/ 1290374 h 6858000"/>
              <a:gd name="csX2221" fmla="*/ 9098903 w 12192000"/>
              <a:gd name="csY2221" fmla="*/ 1325195 h 6858000"/>
              <a:gd name="csX2222" fmla="*/ 9133256 w 12192000"/>
              <a:gd name="csY2222" fmla="*/ 1360015 h 6858000"/>
              <a:gd name="csX2223" fmla="*/ 9167596 w 12192000"/>
              <a:gd name="csY2223" fmla="*/ 1325195 h 6858000"/>
              <a:gd name="csX2224" fmla="*/ 9133256 w 12192000"/>
              <a:gd name="csY2224" fmla="*/ 1290374 h 6858000"/>
              <a:gd name="csX2225" fmla="*/ 9216997 w 12192000"/>
              <a:gd name="csY2225" fmla="*/ 1290374 h 6858000"/>
              <a:gd name="csX2226" fmla="*/ 9182644 w 12192000"/>
              <a:gd name="csY2226" fmla="*/ 1325195 h 6858000"/>
              <a:gd name="csX2227" fmla="*/ 9216997 w 12192000"/>
              <a:gd name="csY2227" fmla="*/ 1360015 h 6858000"/>
              <a:gd name="csX2228" fmla="*/ 9251337 w 12192000"/>
              <a:gd name="csY2228" fmla="*/ 1325195 h 6858000"/>
              <a:gd name="csX2229" fmla="*/ 9216997 w 12192000"/>
              <a:gd name="csY2229" fmla="*/ 1290374 h 6858000"/>
              <a:gd name="csX2230" fmla="*/ 9300738 w 12192000"/>
              <a:gd name="csY2230" fmla="*/ 1290374 h 6858000"/>
              <a:gd name="csX2231" fmla="*/ 9266385 w 12192000"/>
              <a:gd name="csY2231" fmla="*/ 1325195 h 6858000"/>
              <a:gd name="csX2232" fmla="*/ 9300738 w 12192000"/>
              <a:gd name="csY2232" fmla="*/ 1360015 h 6858000"/>
              <a:gd name="csX2233" fmla="*/ 9335078 w 12192000"/>
              <a:gd name="csY2233" fmla="*/ 1325195 h 6858000"/>
              <a:gd name="csX2234" fmla="*/ 9300738 w 12192000"/>
              <a:gd name="csY2234" fmla="*/ 1290374 h 6858000"/>
              <a:gd name="csX2235" fmla="*/ 9384480 w 12192000"/>
              <a:gd name="csY2235" fmla="*/ 1290374 h 6858000"/>
              <a:gd name="csX2236" fmla="*/ 9350127 w 12192000"/>
              <a:gd name="csY2236" fmla="*/ 1325195 h 6858000"/>
              <a:gd name="csX2237" fmla="*/ 9384480 w 12192000"/>
              <a:gd name="csY2237" fmla="*/ 1360015 h 6858000"/>
              <a:gd name="csX2238" fmla="*/ 9418821 w 12192000"/>
              <a:gd name="csY2238" fmla="*/ 1325195 h 6858000"/>
              <a:gd name="csX2239" fmla="*/ 9384480 w 12192000"/>
              <a:gd name="csY2239" fmla="*/ 1290374 h 6858000"/>
              <a:gd name="csX2240" fmla="*/ 9468222 w 12192000"/>
              <a:gd name="csY2240" fmla="*/ 1290374 h 6858000"/>
              <a:gd name="csX2241" fmla="*/ 9433869 w 12192000"/>
              <a:gd name="csY2241" fmla="*/ 1325195 h 6858000"/>
              <a:gd name="csX2242" fmla="*/ 9468222 w 12192000"/>
              <a:gd name="csY2242" fmla="*/ 1360015 h 6858000"/>
              <a:gd name="csX2243" fmla="*/ 9502562 w 12192000"/>
              <a:gd name="csY2243" fmla="*/ 1325195 h 6858000"/>
              <a:gd name="csX2244" fmla="*/ 9468222 w 12192000"/>
              <a:gd name="csY2244" fmla="*/ 1290374 h 6858000"/>
              <a:gd name="csX2245" fmla="*/ 9551963 w 12192000"/>
              <a:gd name="csY2245" fmla="*/ 1290374 h 6858000"/>
              <a:gd name="csX2246" fmla="*/ 9517610 w 12192000"/>
              <a:gd name="csY2246" fmla="*/ 1325195 h 6858000"/>
              <a:gd name="csX2247" fmla="*/ 9551963 w 12192000"/>
              <a:gd name="csY2247" fmla="*/ 1360015 h 6858000"/>
              <a:gd name="csX2248" fmla="*/ 9586303 w 12192000"/>
              <a:gd name="csY2248" fmla="*/ 1325195 h 6858000"/>
              <a:gd name="csX2249" fmla="*/ 9551963 w 12192000"/>
              <a:gd name="csY2249" fmla="*/ 1290374 h 6858000"/>
              <a:gd name="csX2250" fmla="*/ 9635705 w 12192000"/>
              <a:gd name="csY2250" fmla="*/ 1290374 h 6858000"/>
              <a:gd name="csX2251" fmla="*/ 9601352 w 12192000"/>
              <a:gd name="csY2251" fmla="*/ 1325195 h 6858000"/>
              <a:gd name="csX2252" fmla="*/ 9635705 w 12192000"/>
              <a:gd name="csY2252" fmla="*/ 1360015 h 6858000"/>
              <a:gd name="csX2253" fmla="*/ 9670045 w 12192000"/>
              <a:gd name="csY2253" fmla="*/ 1325195 h 6858000"/>
              <a:gd name="csX2254" fmla="*/ 9635705 w 12192000"/>
              <a:gd name="csY2254" fmla="*/ 1290374 h 6858000"/>
              <a:gd name="csX2255" fmla="*/ 9719446 w 12192000"/>
              <a:gd name="csY2255" fmla="*/ 1290374 h 6858000"/>
              <a:gd name="csX2256" fmla="*/ 9685093 w 12192000"/>
              <a:gd name="csY2256" fmla="*/ 1325195 h 6858000"/>
              <a:gd name="csX2257" fmla="*/ 9719446 w 12192000"/>
              <a:gd name="csY2257" fmla="*/ 1360015 h 6858000"/>
              <a:gd name="csX2258" fmla="*/ 9753787 w 12192000"/>
              <a:gd name="csY2258" fmla="*/ 1325195 h 6858000"/>
              <a:gd name="csX2259" fmla="*/ 9719446 w 12192000"/>
              <a:gd name="csY2259" fmla="*/ 1290374 h 6858000"/>
              <a:gd name="csX2260" fmla="*/ 9803189 w 12192000"/>
              <a:gd name="csY2260" fmla="*/ 1290374 h 6858000"/>
              <a:gd name="csX2261" fmla="*/ 9768836 w 12192000"/>
              <a:gd name="csY2261" fmla="*/ 1325195 h 6858000"/>
              <a:gd name="csX2262" fmla="*/ 9803189 w 12192000"/>
              <a:gd name="csY2262" fmla="*/ 1360015 h 6858000"/>
              <a:gd name="csX2263" fmla="*/ 9837529 w 12192000"/>
              <a:gd name="csY2263" fmla="*/ 1325195 h 6858000"/>
              <a:gd name="csX2264" fmla="*/ 9803189 w 12192000"/>
              <a:gd name="csY2264" fmla="*/ 1290374 h 6858000"/>
              <a:gd name="csX2265" fmla="*/ 9886930 w 12192000"/>
              <a:gd name="csY2265" fmla="*/ 1290374 h 6858000"/>
              <a:gd name="csX2266" fmla="*/ 9852577 w 12192000"/>
              <a:gd name="csY2266" fmla="*/ 1325195 h 6858000"/>
              <a:gd name="csX2267" fmla="*/ 9886930 w 12192000"/>
              <a:gd name="csY2267" fmla="*/ 1360015 h 6858000"/>
              <a:gd name="csX2268" fmla="*/ 9921270 w 12192000"/>
              <a:gd name="csY2268" fmla="*/ 1325195 h 6858000"/>
              <a:gd name="csX2269" fmla="*/ 9886930 w 12192000"/>
              <a:gd name="csY2269" fmla="*/ 1290374 h 6858000"/>
              <a:gd name="csX2270" fmla="*/ 9970671 w 12192000"/>
              <a:gd name="csY2270" fmla="*/ 1290374 h 6858000"/>
              <a:gd name="csX2271" fmla="*/ 9936318 w 12192000"/>
              <a:gd name="csY2271" fmla="*/ 1325195 h 6858000"/>
              <a:gd name="csX2272" fmla="*/ 9970671 w 12192000"/>
              <a:gd name="csY2272" fmla="*/ 1360015 h 6858000"/>
              <a:gd name="csX2273" fmla="*/ 10005011 w 12192000"/>
              <a:gd name="csY2273" fmla="*/ 1325195 h 6858000"/>
              <a:gd name="csX2274" fmla="*/ 9970671 w 12192000"/>
              <a:gd name="csY2274" fmla="*/ 1290374 h 6858000"/>
              <a:gd name="csX2275" fmla="*/ 10054413 w 12192000"/>
              <a:gd name="csY2275" fmla="*/ 1290374 h 6858000"/>
              <a:gd name="csX2276" fmla="*/ 10020060 w 12192000"/>
              <a:gd name="csY2276" fmla="*/ 1325195 h 6858000"/>
              <a:gd name="csX2277" fmla="*/ 10054413 w 12192000"/>
              <a:gd name="csY2277" fmla="*/ 1360015 h 6858000"/>
              <a:gd name="csX2278" fmla="*/ 10088754 w 12192000"/>
              <a:gd name="csY2278" fmla="*/ 1325195 h 6858000"/>
              <a:gd name="csX2279" fmla="*/ 10054413 w 12192000"/>
              <a:gd name="csY2279" fmla="*/ 1290374 h 6858000"/>
              <a:gd name="csX2280" fmla="*/ 10138155 w 12192000"/>
              <a:gd name="csY2280" fmla="*/ 1290374 h 6858000"/>
              <a:gd name="csX2281" fmla="*/ 10103802 w 12192000"/>
              <a:gd name="csY2281" fmla="*/ 1325195 h 6858000"/>
              <a:gd name="csX2282" fmla="*/ 10138155 w 12192000"/>
              <a:gd name="csY2282" fmla="*/ 1360015 h 6858000"/>
              <a:gd name="csX2283" fmla="*/ 10172495 w 12192000"/>
              <a:gd name="csY2283" fmla="*/ 1325195 h 6858000"/>
              <a:gd name="csX2284" fmla="*/ 10138155 w 12192000"/>
              <a:gd name="csY2284" fmla="*/ 1290374 h 6858000"/>
              <a:gd name="csX2285" fmla="*/ 10221896 w 12192000"/>
              <a:gd name="csY2285" fmla="*/ 1290374 h 6858000"/>
              <a:gd name="csX2286" fmla="*/ 10187543 w 12192000"/>
              <a:gd name="csY2286" fmla="*/ 1325195 h 6858000"/>
              <a:gd name="csX2287" fmla="*/ 10221896 w 12192000"/>
              <a:gd name="csY2287" fmla="*/ 1360015 h 6858000"/>
              <a:gd name="csX2288" fmla="*/ 10256236 w 12192000"/>
              <a:gd name="csY2288" fmla="*/ 1325195 h 6858000"/>
              <a:gd name="csX2289" fmla="*/ 10221896 w 12192000"/>
              <a:gd name="csY2289" fmla="*/ 1290374 h 6858000"/>
              <a:gd name="csX2290" fmla="*/ 10305638 w 12192000"/>
              <a:gd name="csY2290" fmla="*/ 1290374 h 6858000"/>
              <a:gd name="csX2291" fmla="*/ 10271285 w 12192000"/>
              <a:gd name="csY2291" fmla="*/ 1325195 h 6858000"/>
              <a:gd name="csX2292" fmla="*/ 10305638 w 12192000"/>
              <a:gd name="csY2292" fmla="*/ 1360015 h 6858000"/>
              <a:gd name="csX2293" fmla="*/ 10339978 w 12192000"/>
              <a:gd name="csY2293" fmla="*/ 1325195 h 6858000"/>
              <a:gd name="csX2294" fmla="*/ 10305638 w 12192000"/>
              <a:gd name="csY2294" fmla="*/ 1290374 h 6858000"/>
              <a:gd name="csX2295" fmla="*/ 10389379 w 12192000"/>
              <a:gd name="csY2295" fmla="*/ 1290374 h 6858000"/>
              <a:gd name="csX2296" fmla="*/ 10355026 w 12192000"/>
              <a:gd name="csY2296" fmla="*/ 1325195 h 6858000"/>
              <a:gd name="csX2297" fmla="*/ 10389379 w 12192000"/>
              <a:gd name="csY2297" fmla="*/ 1360015 h 6858000"/>
              <a:gd name="csX2298" fmla="*/ 10423720 w 12192000"/>
              <a:gd name="csY2298" fmla="*/ 1325195 h 6858000"/>
              <a:gd name="csX2299" fmla="*/ 10389379 w 12192000"/>
              <a:gd name="csY2299" fmla="*/ 1290374 h 6858000"/>
              <a:gd name="csX2300" fmla="*/ 10473122 w 12192000"/>
              <a:gd name="csY2300" fmla="*/ 1290374 h 6858000"/>
              <a:gd name="csX2301" fmla="*/ 10438769 w 12192000"/>
              <a:gd name="csY2301" fmla="*/ 1325195 h 6858000"/>
              <a:gd name="csX2302" fmla="*/ 10473122 w 12192000"/>
              <a:gd name="csY2302" fmla="*/ 1360015 h 6858000"/>
              <a:gd name="csX2303" fmla="*/ 10507462 w 12192000"/>
              <a:gd name="csY2303" fmla="*/ 1325195 h 6858000"/>
              <a:gd name="csX2304" fmla="*/ 10473122 w 12192000"/>
              <a:gd name="csY2304" fmla="*/ 1290374 h 6858000"/>
              <a:gd name="csX2305" fmla="*/ 10556863 w 12192000"/>
              <a:gd name="csY2305" fmla="*/ 1290374 h 6858000"/>
              <a:gd name="csX2306" fmla="*/ 10522510 w 12192000"/>
              <a:gd name="csY2306" fmla="*/ 1325195 h 6858000"/>
              <a:gd name="csX2307" fmla="*/ 10556863 w 12192000"/>
              <a:gd name="csY2307" fmla="*/ 1360015 h 6858000"/>
              <a:gd name="csX2308" fmla="*/ 10591203 w 12192000"/>
              <a:gd name="csY2308" fmla="*/ 1325195 h 6858000"/>
              <a:gd name="csX2309" fmla="*/ 10556863 w 12192000"/>
              <a:gd name="csY2309" fmla="*/ 1290374 h 6858000"/>
              <a:gd name="csX2310" fmla="*/ 1596483 w 12192000"/>
              <a:gd name="csY2310" fmla="*/ 1375238 h 6858000"/>
              <a:gd name="csX2311" fmla="*/ 1562136 w 12192000"/>
              <a:gd name="csY2311" fmla="*/ 1410059 h 6858000"/>
              <a:gd name="csX2312" fmla="*/ 1596483 w 12192000"/>
              <a:gd name="csY2312" fmla="*/ 1444879 h 6858000"/>
              <a:gd name="csX2313" fmla="*/ 1630829 w 12192000"/>
              <a:gd name="csY2313" fmla="*/ 1410059 h 6858000"/>
              <a:gd name="csX2314" fmla="*/ 1596483 w 12192000"/>
              <a:gd name="csY2314" fmla="*/ 1375238 h 6858000"/>
              <a:gd name="csX2315" fmla="*/ 1680225 w 12192000"/>
              <a:gd name="csY2315" fmla="*/ 1375238 h 6858000"/>
              <a:gd name="csX2316" fmla="*/ 1645878 w 12192000"/>
              <a:gd name="csY2316" fmla="*/ 1410059 h 6858000"/>
              <a:gd name="csX2317" fmla="*/ 1680225 w 12192000"/>
              <a:gd name="csY2317" fmla="*/ 1444879 h 6858000"/>
              <a:gd name="csX2318" fmla="*/ 1714572 w 12192000"/>
              <a:gd name="csY2318" fmla="*/ 1410059 h 6858000"/>
              <a:gd name="csX2319" fmla="*/ 1680225 w 12192000"/>
              <a:gd name="csY2319" fmla="*/ 1375238 h 6858000"/>
              <a:gd name="csX2320" fmla="*/ 1763966 w 12192000"/>
              <a:gd name="csY2320" fmla="*/ 1375238 h 6858000"/>
              <a:gd name="csX2321" fmla="*/ 1729620 w 12192000"/>
              <a:gd name="csY2321" fmla="*/ 1410059 h 6858000"/>
              <a:gd name="csX2322" fmla="*/ 1763966 w 12192000"/>
              <a:gd name="csY2322" fmla="*/ 1444879 h 6858000"/>
              <a:gd name="csX2323" fmla="*/ 1798313 w 12192000"/>
              <a:gd name="csY2323" fmla="*/ 1410059 h 6858000"/>
              <a:gd name="csX2324" fmla="*/ 1763966 w 12192000"/>
              <a:gd name="csY2324" fmla="*/ 1375238 h 6858000"/>
              <a:gd name="csX2325" fmla="*/ 1847707 w 12192000"/>
              <a:gd name="csY2325" fmla="*/ 1375238 h 6858000"/>
              <a:gd name="csX2326" fmla="*/ 1813361 w 12192000"/>
              <a:gd name="csY2326" fmla="*/ 1410059 h 6858000"/>
              <a:gd name="csX2327" fmla="*/ 1847707 w 12192000"/>
              <a:gd name="csY2327" fmla="*/ 1444879 h 6858000"/>
              <a:gd name="csX2328" fmla="*/ 1882054 w 12192000"/>
              <a:gd name="csY2328" fmla="*/ 1410059 h 6858000"/>
              <a:gd name="csX2329" fmla="*/ 1847707 w 12192000"/>
              <a:gd name="csY2329" fmla="*/ 1375238 h 6858000"/>
              <a:gd name="csX2330" fmla="*/ 1931450 w 12192000"/>
              <a:gd name="csY2330" fmla="*/ 1375238 h 6858000"/>
              <a:gd name="csX2331" fmla="*/ 1897103 w 12192000"/>
              <a:gd name="csY2331" fmla="*/ 1410059 h 6858000"/>
              <a:gd name="csX2332" fmla="*/ 1931450 w 12192000"/>
              <a:gd name="csY2332" fmla="*/ 1444879 h 6858000"/>
              <a:gd name="csX2333" fmla="*/ 1965796 w 12192000"/>
              <a:gd name="csY2333" fmla="*/ 1410059 h 6858000"/>
              <a:gd name="csX2334" fmla="*/ 1931450 w 12192000"/>
              <a:gd name="csY2334" fmla="*/ 1375238 h 6858000"/>
              <a:gd name="csX2335" fmla="*/ 2015191 w 12192000"/>
              <a:gd name="csY2335" fmla="*/ 1375238 h 6858000"/>
              <a:gd name="csX2336" fmla="*/ 1980844 w 12192000"/>
              <a:gd name="csY2336" fmla="*/ 1410059 h 6858000"/>
              <a:gd name="csX2337" fmla="*/ 2015191 w 12192000"/>
              <a:gd name="csY2337" fmla="*/ 1444879 h 6858000"/>
              <a:gd name="csX2338" fmla="*/ 2049538 w 12192000"/>
              <a:gd name="csY2338" fmla="*/ 1410059 h 6858000"/>
              <a:gd name="csX2339" fmla="*/ 2015191 w 12192000"/>
              <a:gd name="csY2339" fmla="*/ 1375238 h 6858000"/>
              <a:gd name="csX2340" fmla="*/ 2098932 w 12192000"/>
              <a:gd name="csY2340" fmla="*/ 1375238 h 6858000"/>
              <a:gd name="csX2341" fmla="*/ 2064586 w 12192000"/>
              <a:gd name="csY2341" fmla="*/ 1410059 h 6858000"/>
              <a:gd name="csX2342" fmla="*/ 2098932 w 12192000"/>
              <a:gd name="csY2342" fmla="*/ 1444879 h 6858000"/>
              <a:gd name="csX2343" fmla="*/ 2133279 w 12192000"/>
              <a:gd name="csY2343" fmla="*/ 1410059 h 6858000"/>
              <a:gd name="csX2344" fmla="*/ 2098932 w 12192000"/>
              <a:gd name="csY2344" fmla="*/ 1375238 h 6858000"/>
              <a:gd name="csX2345" fmla="*/ 2182674 w 12192000"/>
              <a:gd name="csY2345" fmla="*/ 1375238 h 6858000"/>
              <a:gd name="csX2346" fmla="*/ 2148328 w 12192000"/>
              <a:gd name="csY2346" fmla="*/ 1410059 h 6858000"/>
              <a:gd name="csX2347" fmla="*/ 2182674 w 12192000"/>
              <a:gd name="csY2347" fmla="*/ 1444879 h 6858000"/>
              <a:gd name="csX2348" fmla="*/ 2217021 w 12192000"/>
              <a:gd name="csY2348" fmla="*/ 1410059 h 6858000"/>
              <a:gd name="csX2349" fmla="*/ 2182674 w 12192000"/>
              <a:gd name="csY2349" fmla="*/ 1375238 h 6858000"/>
              <a:gd name="csX2350" fmla="*/ 2266416 w 12192000"/>
              <a:gd name="csY2350" fmla="*/ 1375238 h 6858000"/>
              <a:gd name="csX2351" fmla="*/ 2232069 w 12192000"/>
              <a:gd name="csY2351" fmla="*/ 1410059 h 6858000"/>
              <a:gd name="csX2352" fmla="*/ 2266416 w 12192000"/>
              <a:gd name="csY2352" fmla="*/ 1444879 h 6858000"/>
              <a:gd name="csX2353" fmla="*/ 2300762 w 12192000"/>
              <a:gd name="csY2353" fmla="*/ 1410059 h 6858000"/>
              <a:gd name="csX2354" fmla="*/ 2266416 w 12192000"/>
              <a:gd name="csY2354" fmla="*/ 1375238 h 6858000"/>
              <a:gd name="csX2355" fmla="*/ 2350151 w 12192000"/>
              <a:gd name="csY2355" fmla="*/ 1375238 h 6858000"/>
              <a:gd name="csX2356" fmla="*/ 2315804 w 12192000"/>
              <a:gd name="csY2356" fmla="*/ 1410059 h 6858000"/>
              <a:gd name="csX2357" fmla="*/ 2350151 w 12192000"/>
              <a:gd name="csY2357" fmla="*/ 1444879 h 6858000"/>
              <a:gd name="csX2358" fmla="*/ 2384498 w 12192000"/>
              <a:gd name="csY2358" fmla="*/ 1410059 h 6858000"/>
              <a:gd name="csX2359" fmla="*/ 2350151 w 12192000"/>
              <a:gd name="csY2359" fmla="*/ 1375238 h 6858000"/>
              <a:gd name="csX2360" fmla="*/ 2433893 w 12192000"/>
              <a:gd name="csY2360" fmla="*/ 1375238 h 6858000"/>
              <a:gd name="csX2361" fmla="*/ 2399546 w 12192000"/>
              <a:gd name="csY2361" fmla="*/ 1410059 h 6858000"/>
              <a:gd name="csX2362" fmla="*/ 2433893 w 12192000"/>
              <a:gd name="csY2362" fmla="*/ 1444879 h 6858000"/>
              <a:gd name="csX2363" fmla="*/ 2468240 w 12192000"/>
              <a:gd name="csY2363" fmla="*/ 1410059 h 6858000"/>
              <a:gd name="csX2364" fmla="*/ 2433893 w 12192000"/>
              <a:gd name="csY2364" fmla="*/ 1375238 h 6858000"/>
              <a:gd name="csX2365" fmla="*/ 2517634 w 12192000"/>
              <a:gd name="csY2365" fmla="*/ 1375238 h 6858000"/>
              <a:gd name="csX2366" fmla="*/ 2483288 w 12192000"/>
              <a:gd name="csY2366" fmla="*/ 1410059 h 6858000"/>
              <a:gd name="csX2367" fmla="*/ 2517634 w 12192000"/>
              <a:gd name="csY2367" fmla="*/ 1444879 h 6858000"/>
              <a:gd name="csX2368" fmla="*/ 2551981 w 12192000"/>
              <a:gd name="csY2368" fmla="*/ 1410059 h 6858000"/>
              <a:gd name="csX2369" fmla="*/ 2517634 w 12192000"/>
              <a:gd name="csY2369" fmla="*/ 1375238 h 6858000"/>
              <a:gd name="csX2370" fmla="*/ 2601376 w 12192000"/>
              <a:gd name="csY2370" fmla="*/ 1375238 h 6858000"/>
              <a:gd name="csX2371" fmla="*/ 2567029 w 12192000"/>
              <a:gd name="csY2371" fmla="*/ 1410059 h 6858000"/>
              <a:gd name="csX2372" fmla="*/ 2601376 w 12192000"/>
              <a:gd name="csY2372" fmla="*/ 1444879 h 6858000"/>
              <a:gd name="csX2373" fmla="*/ 2635722 w 12192000"/>
              <a:gd name="csY2373" fmla="*/ 1410059 h 6858000"/>
              <a:gd name="csX2374" fmla="*/ 2601376 w 12192000"/>
              <a:gd name="csY2374" fmla="*/ 1375238 h 6858000"/>
              <a:gd name="csX2375" fmla="*/ 2768859 w 12192000"/>
              <a:gd name="csY2375" fmla="*/ 1375238 h 6858000"/>
              <a:gd name="csX2376" fmla="*/ 2734512 w 12192000"/>
              <a:gd name="csY2376" fmla="*/ 1410059 h 6858000"/>
              <a:gd name="csX2377" fmla="*/ 2768859 w 12192000"/>
              <a:gd name="csY2377" fmla="*/ 1444879 h 6858000"/>
              <a:gd name="csX2378" fmla="*/ 2803206 w 12192000"/>
              <a:gd name="csY2378" fmla="*/ 1410059 h 6858000"/>
              <a:gd name="csX2379" fmla="*/ 2768859 w 12192000"/>
              <a:gd name="csY2379" fmla="*/ 1375238 h 6858000"/>
              <a:gd name="csX2380" fmla="*/ 2852600 w 12192000"/>
              <a:gd name="csY2380" fmla="*/ 1375238 h 6858000"/>
              <a:gd name="csX2381" fmla="*/ 2818254 w 12192000"/>
              <a:gd name="csY2381" fmla="*/ 1410059 h 6858000"/>
              <a:gd name="csX2382" fmla="*/ 2852600 w 12192000"/>
              <a:gd name="csY2382" fmla="*/ 1444879 h 6858000"/>
              <a:gd name="csX2383" fmla="*/ 2886947 w 12192000"/>
              <a:gd name="csY2383" fmla="*/ 1410059 h 6858000"/>
              <a:gd name="csX2384" fmla="*/ 2852600 w 12192000"/>
              <a:gd name="csY2384" fmla="*/ 1375238 h 6858000"/>
              <a:gd name="csX2385" fmla="*/ 2936343 w 12192000"/>
              <a:gd name="csY2385" fmla="*/ 1375238 h 6858000"/>
              <a:gd name="csX2386" fmla="*/ 2901996 w 12192000"/>
              <a:gd name="csY2386" fmla="*/ 1410059 h 6858000"/>
              <a:gd name="csX2387" fmla="*/ 2936343 w 12192000"/>
              <a:gd name="csY2387" fmla="*/ 1444879 h 6858000"/>
              <a:gd name="csX2388" fmla="*/ 2970689 w 12192000"/>
              <a:gd name="csY2388" fmla="*/ 1410059 h 6858000"/>
              <a:gd name="csX2389" fmla="*/ 2936343 w 12192000"/>
              <a:gd name="csY2389" fmla="*/ 1375238 h 6858000"/>
              <a:gd name="csX2390" fmla="*/ 3103826 w 12192000"/>
              <a:gd name="csY2390" fmla="*/ 1375238 h 6858000"/>
              <a:gd name="csX2391" fmla="*/ 3069479 w 12192000"/>
              <a:gd name="csY2391" fmla="*/ 1410059 h 6858000"/>
              <a:gd name="csX2392" fmla="*/ 3103826 w 12192000"/>
              <a:gd name="csY2392" fmla="*/ 1444879 h 6858000"/>
              <a:gd name="csX2393" fmla="*/ 3138173 w 12192000"/>
              <a:gd name="csY2393" fmla="*/ 1410059 h 6858000"/>
              <a:gd name="csX2394" fmla="*/ 3103826 w 12192000"/>
              <a:gd name="csY2394" fmla="*/ 1375238 h 6858000"/>
              <a:gd name="csX2395" fmla="*/ 3187567 w 12192000"/>
              <a:gd name="csY2395" fmla="*/ 1375238 h 6858000"/>
              <a:gd name="csX2396" fmla="*/ 3153221 w 12192000"/>
              <a:gd name="csY2396" fmla="*/ 1410059 h 6858000"/>
              <a:gd name="csX2397" fmla="*/ 3187567 w 12192000"/>
              <a:gd name="csY2397" fmla="*/ 1444879 h 6858000"/>
              <a:gd name="csX2398" fmla="*/ 3221914 w 12192000"/>
              <a:gd name="csY2398" fmla="*/ 1410059 h 6858000"/>
              <a:gd name="csX2399" fmla="*/ 3187567 w 12192000"/>
              <a:gd name="csY2399" fmla="*/ 1375238 h 6858000"/>
              <a:gd name="csX2400" fmla="*/ 3438792 w 12192000"/>
              <a:gd name="csY2400" fmla="*/ 1375238 h 6858000"/>
              <a:gd name="csX2401" fmla="*/ 3404445 w 12192000"/>
              <a:gd name="csY2401" fmla="*/ 1410059 h 6858000"/>
              <a:gd name="csX2402" fmla="*/ 3438792 w 12192000"/>
              <a:gd name="csY2402" fmla="*/ 1444879 h 6858000"/>
              <a:gd name="csX2403" fmla="*/ 3473139 w 12192000"/>
              <a:gd name="csY2403" fmla="*/ 1410059 h 6858000"/>
              <a:gd name="csX2404" fmla="*/ 3438792 w 12192000"/>
              <a:gd name="csY2404" fmla="*/ 1375238 h 6858000"/>
              <a:gd name="csX2405" fmla="*/ 3857500 w 12192000"/>
              <a:gd name="csY2405" fmla="*/ 1375238 h 6858000"/>
              <a:gd name="csX2406" fmla="*/ 3823154 w 12192000"/>
              <a:gd name="csY2406" fmla="*/ 1410059 h 6858000"/>
              <a:gd name="csX2407" fmla="*/ 3857500 w 12192000"/>
              <a:gd name="csY2407" fmla="*/ 1444879 h 6858000"/>
              <a:gd name="csX2408" fmla="*/ 3891847 w 12192000"/>
              <a:gd name="csY2408" fmla="*/ 1410059 h 6858000"/>
              <a:gd name="csX2409" fmla="*/ 3857500 w 12192000"/>
              <a:gd name="csY2409" fmla="*/ 1375238 h 6858000"/>
              <a:gd name="csX2410" fmla="*/ 4024990 w 12192000"/>
              <a:gd name="csY2410" fmla="*/ 1375238 h 6858000"/>
              <a:gd name="csX2411" fmla="*/ 3990643 w 12192000"/>
              <a:gd name="csY2411" fmla="*/ 1410059 h 6858000"/>
              <a:gd name="csX2412" fmla="*/ 4024990 w 12192000"/>
              <a:gd name="csY2412" fmla="*/ 1444879 h 6858000"/>
              <a:gd name="csX2413" fmla="*/ 4059337 w 12192000"/>
              <a:gd name="csY2413" fmla="*/ 1410059 h 6858000"/>
              <a:gd name="csX2414" fmla="*/ 4024990 w 12192000"/>
              <a:gd name="csY2414" fmla="*/ 1375238 h 6858000"/>
              <a:gd name="csX2415" fmla="*/ 4108732 w 12192000"/>
              <a:gd name="csY2415" fmla="*/ 1375238 h 6858000"/>
              <a:gd name="csX2416" fmla="*/ 4074386 w 12192000"/>
              <a:gd name="csY2416" fmla="*/ 1410059 h 6858000"/>
              <a:gd name="csX2417" fmla="*/ 4108732 w 12192000"/>
              <a:gd name="csY2417" fmla="*/ 1444879 h 6858000"/>
              <a:gd name="csX2418" fmla="*/ 4143079 w 12192000"/>
              <a:gd name="csY2418" fmla="*/ 1410059 h 6858000"/>
              <a:gd name="csX2419" fmla="*/ 4108732 w 12192000"/>
              <a:gd name="csY2419" fmla="*/ 1375238 h 6858000"/>
              <a:gd name="csX2420" fmla="*/ 4611182 w 12192000"/>
              <a:gd name="csY2420" fmla="*/ 1375238 h 6858000"/>
              <a:gd name="csX2421" fmla="*/ 4576835 w 12192000"/>
              <a:gd name="csY2421" fmla="*/ 1410059 h 6858000"/>
              <a:gd name="csX2422" fmla="*/ 4611182 w 12192000"/>
              <a:gd name="csY2422" fmla="*/ 1444879 h 6858000"/>
              <a:gd name="csX2423" fmla="*/ 4645528 w 12192000"/>
              <a:gd name="csY2423" fmla="*/ 1410059 h 6858000"/>
              <a:gd name="csX2424" fmla="*/ 4611182 w 12192000"/>
              <a:gd name="csY2424" fmla="*/ 1375238 h 6858000"/>
              <a:gd name="csX2425" fmla="*/ 4694923 w 12192000"/>
              <a:gd name="csY2425" fmla="*/ 1375238 h 6858000"/>
              <a:gd name="csX2426" fmla="*/ 4660576 w 12192000"/>
              <a:gd name="csY2426" fmla="*/ 1410059 h 6858000"/>
              <a:gd name="csX2427" fmla="*/ 4694923 w 12192000"/>
              <a:gd name="csY2427" fmla="*/ 1444879 h 6858000"/>
              <a:gd name="csX2428" fmla="*/ 4729270 w 12192000"/>
              <a:gd name="csY2428" fmla="*/ 1410059 h 6858000"/>
              <a:gd name="csX2429" fmla="*/ 4694923 w 12192000"/>
              <a:gd name="csY2429" fmla="*/ 1375238 h 6858000"/>
              <a:gd name="csX2430" fmla="*/ 4778665 w 12192000"/>
              <a:gd name="csY2430" fmla="*/ 1375238 h 6858000"/>
              <a:gd name="csX2431" fmla="*/ 4744319 w 12192000"/>
              <a:gd name="csY2431" fmla="*/ 1410059 h 6858000"/>
              <a:gd name="csX2432" fmla="*/ 4778665 w 12192000"/>
              <a:gd name="csY2432" fmla="*/ 1444879 h 6858000"/>
              <a:gd name="csX2433" fmla="*/ 4813012 w 12192000"/>
              <a:gd name="csY2433" fmla="*/ 1410059 h 6858000"/>
              <a:gd name="csX2434" fmla="*/ 4778665 w 12192000"/>
              <a:gd name="csY2434" fmla="*/ 1375238 h 6858000"/>
              <a:gd name="csX2435" fmla="*/ 4862406 w 12192000"/>
              <a:gd name="csY2435" fmla="*/ 1375238 h 6858000"/>
              <a:gd name="csX2436" fmla="*/ 4828060 w 12192000"/>
              <a:gd name="csY2436" fmla="*/ 1410059 h 6858000"/>
              <a:gd name="csX2437" fmla="*/ 4862406 w 12192000"/>
              <a:gd name="csY2437" fmla="*/ 1444879 h 6858000"/>
              <a:gd name="csX2438" fmla="*/ 4896753 w 12192000"/>
              <a:gd name="csY2438" fmla="*/ 1410059 h 6858000"/>
              <a:gd name="csX2439" fmla="*/ 4862406 w 12192000"/>
              <a:gd name="csY2439" fmla="*/ 1375238 h 6858000"/>
              <a:gd name="csX2440" fmla="*/ 4946148 w 12192000"/>
              <a:gd name="csY2440" fmla="*/ 1375238 h 6858000"/>
              <a:gd name="csX2441" fmla="*/ 4911801 w 12192000"/>
              <a:gd name="csY2441" fmla="*/ 1410059 h 6858000"/>
              <a:gd name="csX2442" fmla="*/ 4946148 w 12192000"/>
              <a:gd name="csY2442" fmla="*/ 1444879 h 6858000"/>
              <a:gd name="csX2443" fmla="*/ 4980494 w 12192000"/>
              <a:gd name="csY2443" fmla="*/ 1410059 h 6858000"/>
              <a:gd name="csX2444" fmla="*/ 4946148 w 12192000"/>
              <a:gd name="csY2444" fmla="*/ 1375238 h 6858000"/>
              <a:gd name="csX2445" fmla="*/ 5029890 w 12192000"/>
              <a:gd name="csY2445" fmla="*/ 1375238 h 6858000"/>
              <a:gd name="csX2446" fmla="*/ 4995543 w 12192000"/>
              <a:gd name="csY2446" fmla="*/ 1410059 h 6858000"/>
              <a:gd name="csX2447" fmla="*/ 5029890 w 12192000"/>
              <a:gd name="csY2447" fmla="*/ 1444879 h 6858000"/>
              <a:gd name="csX2448" fmla="*/ 5064237 w 12192000"/>
              <a:gd name="csY2448" fmla="*/ 1410059 h 6858000"/>
              <a:gd name="csX2449" fmla="*/ 5029890 w 12192000"/>
              <a:gd name="csY2449" fmla="*/ 1375238 h 6858000"/>
              <a:gd name="csX2450" fmla="*/ 5113631 w 12192000"/>
              <a:gd name="csY2450" fmla="*/ 1375238 h 6858000"/>
              <a:gd name="csX2451" fmla="*/ 5079285 w 12192000"/>
              <a:gd name="csY2451" fmla="*/ 1410059 h 6858000"/>
              <a:gd name="csX2452" fmla="*/ 5113631 w 12192000"/>
              <a:gd name="csY2452" fmla="*/ 1444879 h 6858000"/>
              <a:gd name="csX2453" fmla="*/ 5147978 w 12192000"/>
              <a:gd name="csY2453" fmla="*/ 1410059 h 6858000"/>
              <a:gd name="csX2454" fmla="*/ 5113631 w 12192000"/>
              <a:gd name="csY2454" fmla="*/ 1375238 h 6858000"/>
              <a:gd name="csX2455" fmla="*/ 5197372 w 12192000"/>
              <a:gd name="csY2455" fmla="*/ 1375238 h 6858000"/>
              <a:gd name="csX2456" fmla="*/ 5163026 w 12192000"/>
              <a:gd name="csY2456" fmla="*/ 1410059 h 6858000"/>
              <a:gd name="csX2457" fmla="*/ 5197372 w 12192000"/>
              <a:gd name="csY2457" fmla="*/ 1444879 h 6858000"/>
              <a:gd name="csX2458" fmla="*/ 5231719 w 12192000"/>
              <a:gd name="csY2458" fmla="*/ 1410059 h 6858000"/>
              <a:gd name="csX2459" fmla="*/ 5197372 w 12192000"/>
              <a:gd name="csY2459" fmla="*/ 1375238 h 6858000"/>
              <a:gd name="csX2460" fmla="*/ 7123456 w 12192000"/>
              <a:gd name="csY2460" fmla="*/ 1375238 h 6858000"/>
              <a:gd name="csX2461" fmla="*/ 7089103 w 12192000"/>
              <a:gd name="csY2461" fmla="*/ 1410059 h 6858000"/>
              <a:gd name="csX2462" fmla="*/ 7123456 w 12192000"/>
              <a:gd name="csY2462" fmla="*/ 1444879 h 6858000"/>
              <a:gd name="csX2463" fmla="*/ 7157796 w 12192000"/>
              <a:gd name="csY2463" fmla="*/ 1410059 h 6858000"/>
              <a:gd name="csX2464" fmla="*/ 7123456 w 12192000"/>
              <a:gd name="csY2464" fmla="*/ 1375238 h 6858000"/>
              <a:gd name="csX2465" fmla="*/ 7458423 w 12192000"/>
              <a:gd name="csY2465" fmla="*/ 1375238 h 6858000"/>
              <a:gd name="csX2466" fmla="*/ 7424070 w 12192000"/>
              <a:gd name="csY2466" fmla="*/ 1410059 h 6858000"/>
              <a:gd name="csX2467" fmla="*/ 7458423 w 12192000"/>
              <a:gd name="csY2467" fmla="*/ 1444879 h 6858000"/>
              <a:gd name="csX2468" fmla="*/ 7492763 w 12192000"/>
              <a:gd name="csY2468" fmla="*/ 1410059 h 6858000"/>
              <a:gd name="csX2469" fmla="*/ 7458423 w 12192000"/>
              <a:gd name="csY2469" fmla="*/ 1375238 h 6858000"/>
              <a:gd name="csX2470" fmla="*/ 7542164 w 12192000"/>
              <a:gd name="csY2470" fmla="*/ 1375238 h 6858000"/>
              <a:gd name="csX2471" fmla="*/ 7507811 w 12192000"/>
              <a:gd name="csY2471" fmla="*/ 1410059 h 6858000"/>
              <a:gd name="csX2472" fmla="*/ 7542164 w 12192000"/>
              <a:gd name="csY2472" fmla="*/ 1444879 h 6858000"/>
              <a:gd name="csX2473" fmla="*/ 7576504 w 12192000"/>
              <a:gd name="csY2473" fmla="*/ 1410059 h 6858000"/>
              <a:gd name="csX2474" fmla="*/ 7542164 w 12192000"/>
              <a:gd name="csY2474" fmla="*/ 1375238 h 6858000"/>
              <a:gd name="csX2475" fmla="*/ 7709647 w 12192000"/>
              <a:gd name="csY2475" fmla="*/ 1375238 h 6858000"/>
              <a:gd name="csX2476" fmla="*/ 7675294 w 12192000"/>
              <a:gd name="csY2476" fmla="*/ 1410059 h 6858000"/>
              <a:gd name="csX2477" fmla="*/ 7709647 w 12192000"/>
              <a:gd name="csY2477" fmla="*/ 1444879 h 6858000"/>
              <a:gd name="csX2478" fmla="*/ 7743988 w 12192000"/>
              <a:gd name="csY2478" fmla="*/ 1410059 h 6858000"/>
              <a:gd name="csX2479" fmla="*/ 7709647 w 12192000"/>
              <a:gd name="csY2479" fmla="*/ 1375238 h 6858000"/>
              <a:gd name="csX2480" fmla="*/ 7793389 w 12192000"/>
              <a:gd name="csY2480" fmla="*/ 1375238 h 6858000"/>
              <a:gd name="csX2481" fmla="*/ 7759036 w 12192000"/>
              <a:gd name="csY2481" fmla="*/ 1410059 h 6858000"/>
              <a:gd name="csX2482" fmla="*/ 7793389 w 12192000"/>
              <a:gd name="csY2482" fmla="*/ 1444879 h 6858000"/>
              <a:gd name="csX2483" fmla="*/ 7827729 w 12192000"/>
              <a:gd name="csY2483" fmla="*/ 1410059 h 6858000"/>
              <a:gd name="csX2484" fmla="*/ 7793389 w 12192000"/>
              <a:gd name="csY2484" fmla="*/ 1375238 h 6858000"/>
              <a:gd name="csX2485" fmla="*/ 7960872 w 12192000"/>
              <a:gd name="csY2485" fmla="*/ 1375238 h 6858000"/>
              <a:gd name="csX2486" fmla="*/ 7926519 w 12192000"/>
              <a:gd name="csY2486" fmla="*/ 1410059 h 6858000"/>
              <a:gd name="csX2487" fmla="*/ 7960872 w 12192000"/>
              <a:gd name="csY2487" fmla="*/ 1444879 h 6858000"/>
              <a:gd name="csX2488" fmla="*/ 7995212 w 12192000"/>
              <a:gd name="csY2488" fmla="*/ 1410059 h 6858000"/>
              <a:gd name="csX2489" fmla="*/ 7960872 w 12192000"/>
              <a:gd name="csY2489" fmla="*/ 1375238 h 6858000"/>
              <a:gd name="csX2490" fmla="*/ 8044614 w 12192000"/>
              <a:gd name="csY2490" fmla="*/ 1375238 h 6858000"/>
              <a:gd name="csX2491" fmla="*/ 8010261 w 12192000"/>
              <a:gd name="csY2491" fmla="*/ 1410059 h 6858000"/>
              <a:gd name="csX2492" fmla="*/ 8044614 w 12192000"/>
              <a:gd name="csY2492" fmla="*/ 1444879 h 6858000"/>
              <a:gd name="csX2493" fmla="*/ 8078955 w 12192000"/>
              <a:gd name="csY2493" fmla="*/ 1410059 h 6858000"/>
              <a:gd name="csX2494" fmla="*/ 8044614 w 12192000"/>
              <a:gd name="csY2494" fmla="*/ 1375238 h 6858000"/>
              <a:gd name="csX2495" fmla="*/ 8128356 w 12192000"/>
              <a:gd name="csY2495" fmla="*/ 1375238 h 6858000"/>
              <a:gd name="csX2496" fmla="*/ 8094003 w 12192000"/>
              <a:gd name="csY2496" fmla="*/ 1410059 h 6858000"/>
              <a:gd name="csX2497" fmla="*/ 8128356 w 12192000"/>
              <a:gd name="csY2497" fmla="*/ 1444879 h 6858000"/>
              <a:gd name="csX2498" fmla="*/ 8162696 w 12192000"/>
              <a:gd name="csY2498" fmla="*/ 1410059 h 6858000"/>
              <a:gd name="csX2499" fmla="*/ 8128356 w 12192000"/>
              <a:gd name="csY2499" fmla="*/ 1375238 h 6858000"/>
              <a:gd name="csX2500" fmla="*/ 8212097 w 12192000"/>
              <a:gd name="csY2500" fmla="*/ 1375238 h 6858000"/>
              <a:gd name="csX2501" fmla="*/ 8177744 w 12192000"/>
              <a:gd name="csY2501" fmla="*/ 1410059 h 6858000"/>
              <a:gd name="csX2502" fmla="*/ 8212097 w 12192000"/>
              <a:gd name="csY2502" fmla="*/ 1444879 h 6858000"/>
              <a:gd name="csX2503" fmla="*/ 8246437 w 12192000"/>
              <a:gd name="csY2503" fmla="*/ 1410059 h 6858000"/>
              <a:gd name="csX2504" fmla="*/ 8212097 w 12192000"/>
              <a:gd name="csY2504" fmla="*/ 1375238 h 6858000"/>
              <a:gd name="csX2505" fmla="*/ 8295839 w 12192000"/>
              <a:gd name="csY2505" fmla="*/ 1375238 h 6858000"/>
              <a:gd name="csX2506" fmla="*/ 8261486 w 12192000"/>
              <a:gd name="csY2506" fmla="*/ 1410059 h 6858000"/>
              <a:gd name="csX2507" fmla="*/ 8295839 w 12192000"/>
              <a:gd name="csY2507" fmla="*/ 1444879 h 6858000"/>
              <a:gd name="csX2508" fmla="*/ 8330179 w 12192000"/>
              <a:gd name="csY2508" fmla="*/ 1410059 h 6858000"/>
              <a:gd name="csX2509" fmla="*/ 8295839 w 12192000"/>
              <a:gd name="csY2509" fmla="*/ 1375238 h 6858000"/>
              <a:gd name="csX2510" fmla="*/ 8379580 w 12192000"/>
              <a:gd name="csY2510" fmla="*/ 1375238 h 6858000"/>
              <a:gd name="csX2511" fmla="*/ 8345227 w 12192000"/>
              <a:gd name="csY2511" fmla="*/ 1410059 h 6858000"/>
              <a:gd name="csX2512" fmla="*/ 8379580 w 12192000"/>
              <a:gd name="csY2512" fmla="*/ 1444879 h 6858000"/>
              <a:gd name="csX2513" fmla="*/ 8413921 w 12192000"/>
              <a:gd name="csY2513" fmla="*/ 1410059 h 6858000"/>
              <a:gd name="csX2514" fmla="*/ 8379580 w 12192000"/>
              <a:gd name="csY2514" fmla="*/ 1375238 h 6858000"/>
              <a:gd name="csX2515" fmla="*/ 8463323 w 12192000"/>
              <a:gd name="csY2515" fmla="*/ 1375238 h 6858000"/>
              <a:gd name="csX2516" fmla="*/ 8428970 w 12192000"/>
              <a:gd name="csY2516" fmla="*/ 1410059 h 6858000"/>
              <a:gd name="csX2517" fmla="*/ 8463323 w 12192000"/>
              <a:gd name="csY2517" fmla="*/ 1444879 h 6858000"/>
              <a:gd name="csX2518" fmla="*/ 8497663 w 12192000"/>
              <a:gd name="csY2518" fmla="*/ 1410059 h 6858000"/>
              <a:gd name="csX2519" fmla="*/ 8463323 w 12192000"/>
              <a:gd name="csY2519" fmla="*/ 1375238 h 6858000"/>
              <a:gd name="csX2520" fmla="*/ 8547064 w 12192000"/>
              <a:gd name="csY2520" fmla="*/ 1375238 h 6858000"/>
              <a:gd name="csX2521" fmla="*/ 8512711 w 12192000"/>
              <a:gd name="csY2521" fmla="*/ 1410059 h 6858000"/>
              <a:gd name="csX2522" fmla="*/ 8547064 w 12192000"/>
              <a:gd name="csY2522" fmla="*/ 1444879 h 6858000"/>
              <a:gd name="csX2523" fmla="*/ 8581404 w 12192000"/>
              <a:gd name="csY2523" fmla="*/ 1410059 h 6858000"/>
              <a:gd name="csX2524" fmla="*/ 8547064 w 12192000"/>
              <a:gd name="csY2524" fmla="*/ 1375238 h 6858000"/>
              <a:gd name="csX2525" fmla="*/ 8630805 w 12192000"/>
              <a:gd name="csY2525" fmla="*/ 1375238 h 6858000"/>
              <a:gd name="csX2526" fmla="*/ 8596452 w 12192000"/>
              <a:gd name="csY2526" fmla="*/ 1410059 h 6858000"/>
              <a:gd name="csX2527" fmla="*/ 8630805 w 12192000"/>
              <a:gd name="csY2527" fmla="*/ 1444879 h 6858000"/>
              <a:gd name="csX2528" fmla="*/ 8665145 w 12192000"/>
              <a:gd name="csY2528" fmla="*/ 1410059 h 6858000"/>
              <a:gd name="csX2529" fmla="*/ 8630805 w 12192000"/>
              <a:gd name="csY2529" fmla="*/ 1375238 h 6858000"/>
              <a:gd name="csX2530" fmla="*/ 8714547 w 12192000"/>
              <a:gd name="csY2530" fmla="*/ 1375238 h 6858000"/>
              <a:gd name="csX2531" fmla="*/ 8680194 w 12192000"/>
              <a:gd name="csY2531" fmla="*/ 1410059 h 6858000"/>
              <a:gd name="csX2532" fmla="*/ 8714547 w 12192000"/>
              <a:gd name="csY2532" fmla="*/ 1444879 h 6858000"/>
              <a:gd name="csX2533" fmla="*/ 8748888 w 12192000"/>
              <a:gd name="csY2533" fmla="*/ 1410059 h 6858000"/>
              <a:gd name="csX2534" fmla="*/ 8714547 w 12192000"/>
              <a:gd name="csY2534" fmla="*/ 1375238 h 6858000"/>
              <a:gd name="csX2535" fmla="*/ 8798289 w 12192000"/>
              <a:gd name="csY2535" fmla="*/ 1375238 h 6858000"/>
              <a:gd name="csX2536" fmla="*/ 8763936 w 12192000"/>
              <a:gd name="csY2536" fmla="*/ 1410059 h 6858000"/>
              <a:gd name="csX2537" fmla="*/ 8798289 w 12192000"/>
              <a:gd name="csY2537" fmla="*/ 1444879 h 6858000"/>
              <a:gd name="csX2538" fmla="*/ 8832629 w 12192000"/>
              <a:gd name="csY2538" fmla="*/ 1410059 h 6858000"/>
              <a:gd name="csX2539" fmla="*/ 8798289 w 12192000"/>
              <a:gd name="csY2539" fmla="*/ 1375238 h 6858000"/>
              <a:gd name="csX2540" fmla="*/ 8882030 w 12192000"/>
              <a:gd name="csY2540" fmla="*/ 1375238 h 6858000"/>
              <a:gd name="csX2541" fmla="*/ 8847677 w 12192000"/>
              <a:gd name="csY2541" fmla="*/ 1410059 h 6858000"/>
              <a:gd name="csX2542" fmla="*/ 8882030 w 12192000"/>
              <a:gd name="csY2542" fmla="*/ 1444879 h 6858000"/>
              <a:gd name="csX2543" fmla="*/ 8916370 w 12192000"/>
              <a:gd name="csY2543" fmla="*/ 1410059 h 6858000"/>
              <a:gd name="csX2544" fmla="*/ 8882030 w 12192000"/>
              <a:gd name="csY2544" fmla="*/ 1375238 h 6858000"/>
              <a:gd name="csX2545" fmla="*/ 8965772 w 12192000"/>
              <a:gd name="csY2545" fmla="*/ 1375238 h 6858000"/>
              <a:gd name="csX2546" fmla="*/ 8931419 w 12192000"/>
              <a:gd name="csY2546" fmla="*/ 1410059 h 6858000"/>
              <a:gd name="csX2547" fmla="*/ 8965772 w 12192000"/>
              <a:gd name="csY2547" fmla="*/ 1444879 h 6858000"/>
              <a:gd name="csX2548" fmla="*/ 9000112 w 12192000"/>
              <a:gd name="csY2548" fmla="*/ 1410059 h 6858000"/>
              <a:gd name="csX2549" fmla="*/ 8965772 w 12192000"/>
              <a:gd name="csY2549" fmla="*/ 1375238 h 6858000"/>
              <a:gd name="csX2550" fmla="*/ 9049513 w 12192000"/>
              <a:gd name="csY2550" fmla="*/ 1375238 h 6858000"/>
              <a:gd name="csX2551" fmla="*/ 9015160 w 12192000"/>
              <a:gd name="csY2551" fmla="*/ 1410059 h 6858000"/>
              <a:gd name="csX2552" fmla="*/ 9049513 w 12192000"/>
              <a:gd name="csY2552" fmla="*/ 1444879 h 6858000"/>
              <a:gd name="csX2553" fmla="*/ 9083854 w 12192000"/>
              <a:gd name="csY2553" fmla="*/ 1410059 h 6858000"/>
              <a:gd name="csX2554" fmla="*/ 9049513 w 12192000"/>
              <a:gd name="csY2554" fmla="*/ 1375238 h 6858000"/>
              <a:gd name="csX2555" fmla="*/ 9133256 w 12192000"/>
              <a:gd name="csY2555" fmla="*/ 1375238 h 6858000"/>
              <a:gd name="csX2556" fmla="*/ 9098903 w 12192000"/>
              <a:gd name="csY2556" fmla="*/ 1410059 h 6858000"/>
              <a:gd name="csX2557" fmla="*/ 9133256 w 12192000"/>
              <a:gd name="csY2557" fmla="*/ 1444879 h 6858000"/>
              <a:gd name="csX2558" fmla="*/ 9167596 w 12192000"/>
              <a:gd name="csY2558" fmla="*/ 1410059 h 6858000"/>
              <a:gd name="csX2559" fmla="*/ 9133256 w 12192000"/>
              <a:gd name="csY2559" fmla="*/ 1375238 h 6858000"/>
              <a:gd name="csX2560" fmla="*/ 9216997 w 12192000"/>
              <a:gd name="csY2560" fmla="*/ 1375238 h 6858000"/>
              <a:gd name="csX2561" fmla="*/ 9182644 w 12192000"/>
              <a:gd name="csY2561" fmla="*/ 1410059 h 6858000"/>
              <a:gd name="csX2562" fmla="*/ 9216997 w 12192000"/>
              <a:gd name="csY2562" fmla="*/ 1444879 h 6858000"/>
              <a:gd name="csX2563" fmla="*/ 9251337 w 12192000"/>
              <a:gd name="csY2563" fmla="*/ 1410059 h 6858000"/>
              <a:gd name="csX2564" fmla="*/ 9216997 w 12192000"/>
              <a:gd name="csY2564" fmla="*/ 1375238 h 6858000"/>
              <a:gd name="csX2565" fmla="*/ 9300738 w 12192000"/>
              <a:gd name="csY2565" fmla="*/ 1375238 h 6858000"/>
              <a:gd name="csX2566" fmla="*/ 9266385 w 12192000"/>
              <a:gd name="csY2566" fmla="*/ 1410059 h 6858000"/>
              <a:gd name="csX2567" fmla="*/ 9300738 w 12192000"/>
              <a:gd name="csY2567" fmla="*/ 1444879 h 6858000"/>
              <a:gd name="csX2568" fmla="*/ 9335078 w 12192000"/>
              <a:gd name="csY2568" fmla="*/ 1410059 h 6858000"/>
              <a:gd name="csX2569" fmla="*/ 9300738 w 12192000"/>
              <a:gd name="csY2569" fmla="*/ 1375238 h 6858000"/>
              <a:gd name="csX2570" fmla="*/ 9384480 w 12192000"/>
              <a:gd name="csY2570" fmla="*/ 1375238 h 6858000"/>
              <a:gd name="csX2571" fmla="*/ 9350127 w 12192000"/>
              <a:gd name="csY2571" fmla="*/ 1410059 h 6858000"/>
              <a:gd name="csX2572" fmla="*/ 9384480 w 12192000"/>
              <a:gd name="csY2572" fmla="*/ 1444879 h 6858000"/>
              <a:gd name="csX2573" fmla="*/ 9418821 w 12192000"/>
              <a:gd name="csY2573" fmla="*/ 1410059 h 6858000"/>
              <a:gd name="csX2574" fmla="*/ 9384480 w 12192000"/>
              <a:gd name="csY2574" fmla="*/ 1375238 h 6858000"/>
              <a:gd name="csX2575" fmla="*/ 9468222 w 12192000"/>
              <a:gd name="csY2575" fmla="*/ 1375238 h 6858000"/>
              <a:gd name="csX2576" fmla="*/ 9433869 w 12192000"/>
              <a:gd name="csY2576" fmla="*/ 1410059 h 6858000"/>
              <a:gd name="csX2577" fmla="*/ 9468222 w 12192000"/>
              <a:gd name="csY2577" fmla="*/ 1444879 h 6858000"/>
              <a:gd name="csX2578" fmla="*/ 9502562 w 12192000"/>
              <a:gd name="csY2578" fmla="*/ 1410059 h 6858000"/>
              <a:gd name="csX2579" fmla="*/ 9468222 w 12192000"/>
              <a:gd name="csY2579" fmla="*/ 1375238 h 6858000"/>
              <a:gd name="csX2580" fmla="*/ 9551963 w 12192000"/>
              <a:gd name="csY2580" fmla="*/ 1375238 h 6858000"/>
              <a:gd name="csX2581" fmla="*/ 9517610 w 12192000"/>
              <a:gd name="csY2581" fmla="*/ 1410059 h 6858000"/>
              <a:gd name="csX2582" fmla="*/ 9551963 w 12192000"/>
              <a:gd name="csY2582" fmla="*/ 1444879 h 6858000"/>
              <a:gd name="csX2583" fmla="*/ 9586303 w 12192000"/>
              <a:gd name="csY2583" fmla="*/ 1410059 h 6858000"/>
              <a:gd name="csX2584" fmla="*/ 9551963 w 12192000"/>
              <a:gd name="csY2584" fmla="*/ 1375238 h 6858000"/>
              <a:gd name="csX2585" fmla="*/ 9635705 w 12192000"/>
              <a:gd name="csY2585" fmla="*/ 1375238 h 6858000"/>
              <a:gd name="csX2586" fmla="*/ 9601352 w 12192000"/>
              <a:gd name="csY2586" fmla="*/ 1410059 h 6858000"/>
              <a:gd name="csX2587" fmla="*/ 9635705 w 12192000"/>
              <a:gd name="csY2587" fmla="*/ 1444879 h 6858000"/>
              <a:gd name="csX2588" fmla="*/ 9670045 w 12192000"/>
              <a:gd name="csY2588" fmla="*/ 1410059 h 6858000"/>
              <a:gd name="csX2589" fmla="*/ 9635705 w 12192000"/>
              <a:gd name="csY2589" fmla="*/ 1375238 h 6858000"/>
              <a:gd name="csX2590" fmla="*/ 9719446 w 12192000"/>
              <a:gd name="csY2590" fmla="*/ 1375238 h 6858000"/>
              <a:gd name="csX2591" fmla="*/ 9685093 w 12192000"/>
              <a:gd name="csY2591" fmla="*/ 1410059 h 6858000"/>
              <a:gd name="csX2592" fmla="*/ 9719446 w 12192000"/>
              <a:gd name="csY2592" fmla="*/ 1444879 h 6858000"/>
              <a:gd name="csX2593" fmla="*/ 9753787 w 12192000"/>
              <a:gd name="csY2593" fmla="*/ 1410059 h 6858000"/>
              <a:gd name="csX2594" fmla="*/ 9719446 w 12192000"/>
              <a:gd name="csY2594" fmla="*/ 1375238 h 6858000"/>
              <a:gd name="csX2595" fmla="*/ 9803189 w 12192000"/>
              <a:gd name="csY2595" fmla="*/ 1375238 h 6858000"/>
              <a:gd name="csX2596" fmla="*/ 9768836 w 12192000"/>
              <a:gd name="csY2596" fmla="*/ 1410059 h 6858000"/>
              <a:gd name="csX2597" fmla="*/ 9803189 w 12192000"/>
              <a:gd name="csY2597" fmla="*/ 1444879 h 6858000"/>
              <a:gd name="csX2598" fmla="*/ 9837529 w 12192000"/>
              <a:gd name="csY2598" fmla="*/ 1410059 h 6858000"/>
              <a:gd name="csX2599" fmla="*/ 9803189 w 12192000"/>
              <a:gd name="csY2599" fmla="*/ 1375238 h 6858000"/>
              <a:gd name="csX2600" fmla="*/ 9886930 w 12192000"/>
              <a:gd name="csY2600" fmla="*/ 1375238 h 6858000"/>
              <a:gd name="csX2601" fmla="*/ 9852577 w 12192000"/>
              <a:gd name="csY2601" fmla="*/ 1410059 h 6858000"/>
              <a:gd name="csX2602" fmla="*/ 9886930 w 12192000"/>
              <a:gd name="csY2602" fmla="*/ 1444879 h 6858000"/>
              <a:gd name="csX2603" fmla="*/ 9921270 w 12192000"/>
              <a:gd name="csY2603" fmla="*/ 1410059 h 6858000"/>
              <a:gd name="csX2604" fmla="*/ 9886930 w 12192000"/>
              <a:gd name="csY2604" fmla="*/ 1375238 h 6858000"/>
              <a:gd name="csX2605" fmla="*/ 9970671 w 12192000"/>
              <a:gd name="csY2605" fmla="*/ 1375238 h 6858000"/>
              <a:gd name="csX2606" fmla="*/ 9936318 w 12192000"/>
              <a:gd name="csY2606" fmla="*/ 1410059 h 6858000"/>
              <a:gd name="csX2607" fmla="*/ 9970671 w 12192000"/>
              <a:gd name="csY2607" fmla="*/ 1444879 h 6858000"/>
              <a:gd name="csX2608" fmla="*/ 10005011 w 12192000"/>
              <a:gd name="csY2608" fmla="*/ 1410059 h 6858000"/>
              <a:gd name="csX2609" fmla="*/ 9970671 w 12192000"/>
              <a:gd name="csY2609" fmla="*/ 1375238 h 6858000"/>
              <a:gd name="csX2610" fmla="*/ 10054413 w 12192000"/>
              <a:gd name="csY2610" fmla="*/ 1375238 h 6858000"/>
              <a:gd name="csX2611" fmla="*/ 10020060 w 12192000"/>
              <a:gd name="csY2611" fmla="*/ 1410059 h 6858000"/>
              <a:gd name="csX2612" fmla="*/ 10054413 w 12192000"/>
              <a:gd name="csY2612" fmla="*/ 1444879 h 6858000"/>
              <a:gd name="csX2613" fmla="*/ 10088754 w 12192000"/>
              <a:gd name="csY2613" fmla="*/ 1410059 h 6858000"/>
              <a:gd name="csX2614" fmla="*/ 10054413 w 12192000"/>
              <a:gd name="csY2614" fmla="*/ 1375238 h 6858000"/>
              <a:gd name="csX2615" fmla="*/ 10138155 w 12192000"/>
              <a:gd name="csY2615" fmla="*/ 1375238 h 6858000"/>
              <a:gd name="csX2616" fmla="*/ 10103802 w 12192000"/>
              <a:gd name="csY2616" fmla="*/ 1410059 h 6858000"/>
              <a:gd name="csX2617" fmla="*/ 10138155 w 12192000"/>
              <a:gd name="csY2617" fmla="*/ 1444879 h 6858000"/>
              <a:gd name="csX2618" fmla="*/ 10172495 w 12192000"/>
              <a:gd name="csY2618" fmla="*/ 1410059 h 6858000"/>
              <a:gd name="csX2619" fmla="*/ 10138155 w 12192000"/>
              <a:gd name="csY2619" fmla="*/ 1375238 h 6858000"/>
              <a:gd name="csX2620" fmla="*/ 10221896 w 12192000"/>
              <a:gd name="csY2620" fmla="*/ 1375238 h 6858000"/>
              <a:gd name="csX2621" fmla="*/ 10187543 w 12192000"/>
              <a:gd name="csY2621" fmla="*/ 1410059 h 6858000"/>
              <a:gd name="csX2622" fmla="*/ 10221896 w 12192000"/>
              <a:gd name="csY2622" fmla="*/ 1444879 h 6858000"/>
              <a:gd name="csX2623" fmla="*/ 10256236 w 12192000"/>
              <a:gd name="csY2623" fmla="*/ 1410059 h 6858000"/>
              <a:gd name="csX2624" fmla="*/ 10221896 w 12192000"/>
              <a:gd name="csY2624" fmla="*/ 1375238 h 6858000"/>
              <a:gd name="csX2625" fmla="*/ 10305638 w 12192000"/>
              <a:gd name="csY2625" fmla="*/ 1375238 h 6858000"/>
              <a:gd name="csX2626" fmla="*/ 10271285 w 12192000"/>
              <a:gd name="csY2626" fmla="*/ 1410059 h 6858000"/>
              <a:gd name="csX2627" fmla="*/ 10305638 w 12192000"/>
              <a:gd name="csY2627" fmla="*/ 1444879 h 6858000"/>
              <a:gd name="csX2628" fmla="*/ 10339978 w 12192000"/>
              <a:gd name="csY2628" fmla="*/ 1410059 h 6858000"/>
              <a:gd name="csX2629" fmla="*/ 10305638 w 12192000"/>
              <a:gd name="csY2629" fmla="*/ 1375238 h 6858000"/>
              <a:gd name="csX2630" fmla="*/ 10389379 w 12192000"/>
              <a:gd name="csY2630" fmla="*/ 1375238 h 6858000"/>
              <a:gd name="csX2631" fmla="*/ 10355026 w 12192000"/>
              <a:gd name="csY2631" fmla="*/ 1410059 h 6858000"/>
              <a:gd name="csX2632" fmla="*/ 10389379 w 12192000"/>
              <a:gd name="csY2632" fmla="*/ 1444879 h 6858000"/>
              <a:gd name="csX2633" fmla="*/ 10423720 w 12192000"/>
              <a:gd name="csY2633" fmla="*/ 1410059 h 6858000"/>
              <a:gd name="csX2634" fmla="*/ 10389379 w 12192000"/>
              <a:gd name="csY2634" fmla="*/ 1375238 h 6858000"/>
              <a:gd name="csX2635" fmla="*/ 1512741 w 12192000"/>
              <a:gd name="csY2635" fmla="*/ 1460103 h 6858000"/>
              <a:gd name="csX2636" fmla="*/ 1478395 w 12192000"/>
              <a:gd name="csY2636" fmla="*/ 1494923 h 6858000"/>
              <a:gd name="csX2637" fmla="*/ 1512741 w 12192000"/>
              <a:gd name="csY2637" fmla="*/ 1529744 h 6858000"/>
              <a:gd name="csX2638" fmla="*/ 1547088 w 12192000"/>
              <a:gd name="csY2638" fmla="*/ 1494923 h 6858000"/>
              <a:gd name="csX2639" fmla="*/ 1512741 w 12192000"/>
              <a:gd name="csY2639" fmla="*/ 1460103 h 6858000"/>
              <a:gd name="csX2640" fmla="*/ 1596483 w 12192000"/>
              <a:gd name="csY2640" fmla="*/ 1460103 h 6858000"/>
              <a:gd name="csX2641" fmla="*/ 1562136 w 12192000"/>
              <a:gd name="csY2641" fmla="*/ 1494923 h 6858000"/>
              <a:gd name="csX2642" fmla="*/ 1596483 w 12192000"/>
              <a:gd name="csY2642" fmla="*/ 1529744 h 6858000"/>
              <a:gd name="csX2643" fmla="*/ 1630829 w 12192000"/>
              <a:gd name="csY2643" fmla="*/ 1494923 h 6858000"/>
              <a:gd name="csX2644" fmla="*/ 1596483 w 12192000"/>
              <a:gd name="csY2644" fmla="*/ 1460103 h 6858000"/>
              <a:gd name="csX2645" fmla="*/ 1680225 w 12192000"/>
              <a:gd name="csY2645" fmla="*/ 1460103 h 6858000"/>
              <a:gd name="csX2646" fmla="*/ 1645878 w 12192000"/>
              <a:gd name="csY2646" fmla="*/ 1494923 h 6858000"/>
              <a:gd name="csX2647" fmla="*/ 1680225 w 12192000"/>
              <a:gd name="csY2647" fmla="*/ 1529744 h 6858000"/>
              <a:gd name="csX2648" fmla="*/ 1714572 w 12192000"/>
              <a:gd name="csY2648" fmla="*/ 1494923 h 6858000"/>
              <a:gd name="csX2649" fmla="*/ 1680225 w 12192000"/>
              <a:gd name="csY2649" fmla="*/ 1460103 h 6858000"/>
              <a:gd name="csX2650" fmla="*/ 1763966 w 12192000"/>
              <a:gd name="csY2650" fmla="*/ 1460103 h 6858000"/>
              <a:gd name="csX2651" fmla="*/ 1729620 w 12192000"/>
              <a:gd name="csY2651" fmla="*/ 1494923 h 6858000"/>
              <a:gd name="csX2652" fmla="*/ 1763966 w 12192000"/>
              <a:gd name="csY2652" fmla="*/ 1529744 h 6858000"/>
              <a:gd name="csX2653" fmla="*/ 1798313 w 12192000"/>
              <a:gd name="csY2653" fmla="*/ 1494923 h 6858000"/>
              <a:gd name="csX2654" fmla="*/ 1763966 w 12192000"/>
              <a:gd name="csY2654" fmla="*/ 1460103 h 6858000"/>
              <a:gd name="csX2655" fmla="*/ 1847707 w 12192000"/>
              <a:gd name="csY2655" fmla="*/ 1460103 h 6858000"/>
              <a:gd name="csX2656" fmla="*/ 1813361 w 12192000"/>
              <a:gd name="csY2656" fmla="*/ 1494923 h 6858000"/>
              <a:gd name="csX2657" fmla="*/ 1847707 w 12192000"/>
              <a:gd name="csY2657" fmla="*/ 1529744 h 6858000"/>
              <a:gd name="csX2658" fmla="*/ 1882054 w 12192000"/>
              <a:gd name="csY2658" fmla="*/ 1494923 h 6858000"/>
              <a:gd name="csX2659" fmla="*/ 1847707 w 12192000"/>
              <a:gd name="csY2659" fmla="*/ 1460103 h 6858000"/>
              <a:gd name="csX2660" fmla="*/ 1931450 w 12192000"/>
              <a:gd name="csY2660" fmla="*/ 1460103 h 6858000"/>
              <a:gd name="csX2661" fmla="*/ 1897103 w 12192000"/>
              <a:gd name="csY2661" fmla="*/ 1494923 h 6858000"/>
              <a:gd name="csX2662" fmla="*/ 1931450 w 12192000"/>
              <a:gd name="csY2662" fmla="*/ 1529744 h 6858000"/>
              <a:gd name="csX2663" fmla="*/ 1965796 w 12192000"/>
              <a:gd name="csY2663" fmla="*/ 1494923 h 6858000"/>
              <a:gd name="csX2664" fmla="*/ 1931450 w 12192000"/>
              <a:gd name="csY2664" fmla="*/ 1460103 h 6858000"/>
              <a:gd name="csX2665" fmla="*/ 2015191 w 12192000"/>
              <a:gd name="csY2665" fmla="*/ 1460103 h 6858000"/>
              <a:gd name="csX2666" fmla="*/ 1980844 w 12192000"/>
              <a:gd name="csY2666" fmla="*/ 1494923 h 6858000"/>
              <a:gd name="csX2667" fmla="*/ 2015191 w 12192000"/>
              <a:gd name="csY2667" fmla="*/ 1529744 h 6858000"/>
              <a:gd name="csX2668" fmla="*/ 2049538 w 12192000"/>
              <a:gd name="csY2668" fmla="*/ 1494923 h 6858000"/>
              <a:gd name="csX2669" fmla="*/ 2015191 w 12192000"/>
              <a:gd name="csY2669" fmla="*/ 1460103 h 6858000"/>
              <a:gd name="csX2670" fmla="*/ 2098932 w 12192000"/>
              <a:gd name="csY2670" fmla="*/ 1460103 h 6858000"/>
              <a:gd name="csX2671" fmla="*/ 2064586 w 12192000"/>
              <a:gd name="csY2671" fmla="*/ 1494923 h 6858000"/>
              <a:gd name="csX2672" fmla="*/ 2098932 w 12192000"/>
              <a:gd name="csY2672" fmla="*/ 1529744 h 6858000"/>
              <a:gd name="csX2673" fmla="*/ 2133279 w 12192000"/>
              <a:gd name="csY2673" fmla="*/ 1494923 h 6858000"/>
              <a:gd name="csX2674" fmla="*/ 2098932 w 12192000"/>
              <a:gd name="csY2674" fmla="*/ 1460103 h 6858000"/>
              <a:gd name="csX2675" fmla="*/ 2182674 w 12192000"/>
              <a:gd name="csY2675" fmla="*/ 1460103 h 6858000"/>
              <a:gd name="csX2676" fmla="*/ 2148328 w 12192000"/>
              <a:gd name="csY2676" fmla="*/ 1494923 h 6858000"/>
              <a:gd name="csX2677" fmla="*/ 2182674 w 12192000"/>
              <a:gd name="csY2677" fmla="*/ 1529744 h 6858000"/>
              <a:gd name="csX2678" fmla="*/ 2217021 w 12192000"/>
              <a:gd name="csY2678" fmla="*/ 1494923 h 6858000"/>
              <a:gd name="csX2679" fmla="*/ 2182674 w 12192000"/>
              <a:gd name="csY2679" fmla="*/ 1460103 h 6858000"/>
              <a:gd name="csX2680" fmla="*/ 2266416 w 12192000"/>
              <a:gd name="csY2680" fmla="*/ 1460103 h 6858000"/>
              <a:gd name="csX2681" fmla="*/ 2232069 w 12192000"/>
              <a:gd name="csY2681" fmla="*/ 1494923 h 6858000"/>
              <a:gd name="csX2682" fmla="*/ 2266416 w 12192000"/>
              <a:gd name="csY2682" fmla="*/ 1529744 h 6858000"/>
              <a:gd name="csX2683" fmla="*/ 2300762 w 12192000"/>
              <a:gd name="csY2683" fmla="*/ 1494923 h 6858000"/>
              <a:gd name="csX2684" fmla="*/ 2266416 w 12192000"/>
              <a:gd name="csY2684" fmla="*/ 1460103 h 6858000"/>
              <a:gd name="csX2685" fmla="*/ 2350151 w 12192000"/>
              <a:gd name="csY2685" fmla="*/ 1460103 h 6858000"/>
              <a:gd name="csX2686" fmla="*/ 2315804 w 12192000"/>
              <a:gd name="csY2686" fmla="*/ 1494923 h 6858000"/>
              <a:gd name="csX2687" fmla="*/ 2350151 w 12192000"/>
              <a:gd name="csY2687" fmla="*/ 1529744 h 6858000"/>
              <a:gd name="csX2688" fmla="*/ 2384498 w 12192000"/>
              <a:gd name="csY2688" fmla="*/ 1494923 h 6858000"/>
              <a:gd name="csX2689" fmla="*/ 2350151 w 12192000"/>
              <a:gd name="csY2689" fmla="*/ 1460103 h 6858000"/>
              <a:gd name="csX2690" fmla="*/ 2433893 w 12192000"/>
              <a:gd name="csY2690" fmla="*/ 1460103 h 6858000"/>
              <a:gd name="csX2691" fmla="*/ 2399546 w 12192000"/>
              <a:gd name="csY2691" fmla="*/ 1494923 h 6858000"/>
              <a:gd name="csX2692" fmla="*/ 2433893 w 12192000"/>
              <a:gd name="csY2692" fmla="*/ 1529744 h 6858000"/>
              <a:gd name="csX2693" fmla="*/ 2468240 w 12192000"/>
              <a:gd name="csY2693" fmla="*/ 1494923 h 6858000"/>
              <a:gd name="csX2694" fmla="*/ 2433893 w 12192000"/>
              <a:gd name="csY2694" fmla="*/ 1460103 h 6858000"/>
              <a:gd name="csX2695" fmla="*/ 2517634 w 12192000"/>
              <a:gd name="csY2695" fmla="*/ 1460103 h 6858000"/>
              <a:gd name="csX2696" fmla="*/ 2483288 w 12192000"/>
              <a:gd name="csY2696" fmla="*/ 1494923 h 6858000"/>
              <a:gd name="csX2697" fmla="*/ 2517634 w 12192000"/>
              <a:gd name="csY2697" fmla="*/ 1529744 h 6858000"/>
              <a:gd name="csX2698" fmla="*/ 2551981 w 12192000"/>
              <a:gd name="csY2698" fmla="*/ 1494923 h 6858000"/>
              <a:gd name="csX2699" fmla="*/ 2517634 w 12192000"/>
              <a:gd name="csY2699" fmla="*/ 1460103 h 6858000"/>
              <a:gd name="csX2700" fmla="*/ 2601376 w 12192000"/>
              <a:gd name="csY2700" fmla="*/ 1460103 h 6858000"/>
              <a:gd name="csX2701" fmla="*/ 2567029 w 12192000"/>
              <a:gd name="csY2701" fmla="*/ 1494923 h 6858000"/>
              <a:gd name="csX2702" fmla="*/ 2601376 w 12192000"/>
              <a:gd name="csY2702" fmla="*/ 1529744 h 6858000"/>
              <a:gd name="csX2703" fmla="*/ 2635722 w 12192000"/>
              <a:gd name="csY2703" fmla="*/ 1494923 h 6858000"/>
              <a:gd name="csX2704" fmla="*/ 2601376 w 12192000"/>
              <a:gd name="csY2704" fmla="*/ 1460103 h 6858000"/>
              <a:gd name="csX2705" fmla="*/ 2685118 w 12192000"/>
              <a:gd name="csY2705" fmla="*/ 1460103 h 6858000"/>
              <a:gd name="csX2706" fmla="*/ 2650771 w 12192000"/>
              <a:gd name="csY2706" fmla="*/ 1494923 h 6858000"/>
              <a:gd name="csX2707" fmla="*/ 2685118 w 12192000"/>
              <a:gd name="csY2707" fmla="*/ 1529744 h 6858000"/>
              <a:gd name="csX2708" fmla="*/ 2719465 w 12192000"/>
              <a:gd name="csY2708" fmla="*/ 1494923 h 6858000"/>
              <a:gd name="csX2709" fmla="*/ 2685118 w 12192000"/>
              <a:gd name="csY2709" fmla="*/ 1460103 h 6858000"/>
              <a:gd name="csX2710" fmla="*/ 2936343 w 12192000"/>
              <a:gd name="csY2710" fmla="*/ 1460103 h 6858000"/>
              <a:gd name="csX2711" fmla="*/ 2901996 w 12192000"/>
              <a:gd name="csY2711" fmla="*/ 1494923 h 6858000"/>
              <a:gd name="csX2712" fmla="*/ 2936343 w 12192000"/>
              <a:gd name="csY2712" fmla="*/ 1529744 h 6858000"/>
              <a:gd name="csX2713" fmla="*/ 2970689 w 12192000"/>
              <a:gd name="csY2713" fmla="*/ 1494923 h 6858000"/>
              <a:gd name="csX2714" fmla="*/ 2936343 w 12192000"/>
              <a:gd name="csY2714" fmla="*/ 1460103 h 6858000"/>
              <a:gd name="csX2715" fmla="*/ 3020084 w 12192000"/>
              <a:gd name="csY2715" fmla="*/ 1460103 h 6858000"/>
              <a:gd name="csX2716" fmla="*/ 2985737 w 12192000"/>
              <a:gd name="csY2716" fmla="*/ 1494923 h 6858000"/>
              <a:gd name="csX2717" fmla="*/ 3020084 w 12192000"/>
              <a:gd name="csY2717" fmla="*/ 1529744 h 6858000"/>
              <a:gd name="csX2718" fmla="*/ 3054431 w 12192000"/>
              <a:gd name="csY2718" fmla="*/ 1494923 h 6858000"/>
              <a:gd name="csX2719" fmla="*/ 3020084 w 12192000"/>
              <a:gd name="csY2719" fmla="*/ 1460103 h 6858000"/>
              <a:gd name="csX2720" fmla="*/ 3103826 w 12192000"/>
              <a:gd name="csY2720" fmla="*/ 1460103 h 6858000"/>
              <a:gd name="csX2721" fmla="*/ 3069479 w 12192000"/>
              <a:gd name="csY2721" fmla="*/ 1494923 h 6858000"/>
              <a:gd name="csX2722" fmla="*/ 3103826 w 12192000"/>
              <a:gd name="csY2722" fmla="*/ 1529744 h 6858000"/>
              <a:gd name="csX2723" fmla="*/ 3138173 w 12192000"/>
              <a:gd name="csY2723" fmla="*/ 1494923 h 6858000"/>
              <a:gd name="csX2724" fmla="*/ 3103826 w 12192000"/>
              <a:gd name="csY2724" fmla="*/ 1460103 h 6858000"/>
              <a:gd name="csX2725" fmla="*/ 3187567 w 12192000"/>
              <a:gd name="csY2725" fmla="*/ 1460103 h 6858000"/>
              <a:gd name="csX2726" fmla="*/ 3153221 w 12192000"/>
              <a:gd name="csY2726" fmla="*/ 1494923 h 6858000"/>
              <a:gd name="csX2727" fmla="*/ 3187567 w 12192000"/>
              <a:gd name="csY2727" fmla="*/ 1529744 h 6858000"/>
              <a:gd name="csX2728" fmla="*/ 3221914 w 12192000"/>
              <a:gd name="csY2728" fmla="*/ 1494923 h 6858000"/>
              <a:gd name="csX2729" fmla="*/ 3187567 w 12192000"/>
              <a:gd name="csY2729" fmla="*/ 1460103 h 6858000"/>
              <a:gd name="csX2730" fmla="*/ 3271309 w 12192000"/>
              <a:gd name="csY2730" fmla="*/ 1460103 h 6858000"/>
              <a:gd name="csX2731" fmla="*/ 3236962 w 12192000"/>
              <a:gd name="csY2731" fmla="*/ 1494923 h 6858000"/>
              <a:gd name="csX2732" fmla="*/ 3271309 w 12192000"/>
              <a:gd name="csY2732" fmla="*/ 1529744 h 6858000"/>
              <a:gd name="csX2733" fmla="*/ 3305655 w 12192000"/>
              <a:gd name="csY2733" fmla="*/ 1494923 h 6858000"/>
              <a:gd name="csX2734" fmla="*/ 3271309 w 12192000"/>
              <a:gd name="csY2734" fmla="*/ 1460103 h 6858000"/>
              <a:gd name="csX2735" fmla="*/ 3355051 w 12192000"/>
              <a:gd name="csY2735" fmla="*/ 1460103 h 6858000"/>
              <a:gd name="csX2736" fmla="*/ 3320704 w 12192000"/>
              <a:gd name="csY2736" fmla="*/ 1494923 h 6858000"/>
              <a:gd name="csX2737" fmla="*/ 3355051 w 12192000"/>
              <a:gd name="csY2737" fmla="*/ 1529744 h 6858000"/>
              <a:gd name="csX2738" fmla="*/ 3389398 w 12192000"/>
              <a:gd name="csY2738" fmla="*/ 1494923 h 6858000"/>
              <a:gd name="csX2739" fmla="*/ 3355051 w 12192000"/>
              <a:gd name="csY2739" fmla="*/ 1460103 h 6858000"/>
              <a:gd name="csX2740" fmla="*/ 3438792 w 12192000"/>
              <a:gd name="csY2740" fmla="*/ 1460103 h 6858000"/>
              <a:gd name="csX2741" fmla="*/ 3404445 w 12192000"/>
              <a:gd name="csY2741" fmla="*/ 1494923 h 6858000"/>
              <a:gd name="csX2742" fmla="*/ 3438792 w 12192000"/>
              <a:gd name="csY2742" fmla="*/ 1529744 h 6858000"/>
              <a:gd name="csX2743" fmla="*/ 3473139 w 12192000"/>
              <a:gd name="csY2743" fmla="*/ 1494923 h 6858000"/>
              <a:gd name="csX2744" fmla="*/ 3438792 w 12192000"/>
              <a:gd name="csY2744" fmla="*/ 1460103 h 6858000"/>
              <a:gd name="csX2745" fmla="*/ 3522533 w 12192000"/>
              <a:gd name="csY2745" fmla="*/ 1460103 h 6858000"/>
              <a:gd name="csX2746" fmla="*/ 3488187 w 12192000"/>
              <a:gd name="csY2746" fmla="*/ 1494923 h 6858000"/>
              <a:gd name="csX2747" fmla="*/ 3522533 w 12192000"/>
              <a:gd name="csY2747" fmla="*/ 1529744 h 6858000"/>
              <a:gd name="csX2748" fmla="*/ 3556880 w 12192000"/>
              <a:gd name="csY2748" fmla="*/ 1494923 h 6858000"/>
              <a:gd name="csX2749" fmla="*/ 3522533 w 12192000"/>
              <a:gd name="csY2749" fmla="*/ 1460103 h 6858000"/>
              <a:gd name="csX2750" fmla="*/ 3606276 w 12192000"/>
              <a:gd name="csY2750" fmla="*/ 1460103 h 6858000"/>
              <a:gd name="csX2751" fmla="*/ 3571929 w 12192000"/>
              <a:gd name="csY2751" fmla="*/ 1494923 h 6858000"/>
              <a:gd name="csX2752" fmla="*/ 3606276 w 12192000"/>
              <a:gd name="csY2752" fmla="*/ 1529744 h 6858000"/>
              <a:gd name="csX2753" fmla="*/ 3640622 w 12192000"/>
              <a:gd name="csY2753" fmla="*/ 1494923 h 6858000"/>
              <a:gd name="csX2754" fmla="*/ 3606276 w 12192000"/>
              <a:gd name="csY2754" fmla="*/ 1460103 h 6858000"/>
              <a:gd name="csX2755" fmla="*/ 3773759 w 12192000"/>
              <a:gd name="csY2755" fmla="*/ 1460103 h 6858000"/>
              <a:gd name="csX2756" fmla="*/ 3739412 w 12192000"/>
              <a:gd name="csY2756" fmla="*/ 1494923 h 6858000"/>
              <a:gd name="csX2757" fmla="*/ 3773759 w 12192000"/>
              <a:gd name="csY2757" fmla="*/ 1529744 h 6858000"/>
              <a:gd name="csX2758" fmla="*/ 3808106 w 12192000"/>
              <a:gd name="csY2758" fmla="*/ 1494923 h 6858000"/>
              <a:gd name="csX2759" fmla="*/ 3773759 w 12192000"/>
              <a:gd name="csY2759" fmla="*/ 1460103 h 6858000"/>
              <a:gd name="csX2760" fmla="*/ 4108732 w 12192000"/>
              <a:gd name="csY2760" fmla="*/ 1460103 h 6858000"/>
              <a:gd name="csX2761" fmla="*/ 4074386 w 12192000"/>
              <a:gd name="csY2761" fmla="*/ 1494923 h 6858000"/>
              <a:gd name="csX2762" fmla="*/ 4108732 w 12192000"/>
              <a:gd name="csY2762" fmla="*/ 1529744 h 6858000"/>
              <a:gd name="csX2763" fmla="*/ 4143079 w 12192000"/>
              <a:gd name="csY2763" fmla="*/ 1494923 h 6858000"/>
              <a:gd name="csX2764" fmla="*/ 4108732 w 12192000"/>
              <a:gd name="csY2764" fmla="*/ 1460103 h 6858000"/>
              <a:gd name="csX2765" fmla="*/ 4192473 w 12192000"/>
              <a:gd name="csY2765" fmla="*/ 1460103 h 6858000"/>
              <a:gd name="csX2766" fmla="*/ 4158127 w 12192000"/>
              <a:gd name="csY2766" fmla="*/ 1494923 h 6858000"/>
              <a:gd name="csX2767" fmla="*/ 4192473 w 12192000"/>
              <a:gd name="csY2767" fmla="*/ 1529744 h 6858000"/>
              <a:gd name="csX2768" fmla="*/ 4226820 w 12192000"/>
              <a:gd name="csY2768" fmla="*/ 1494923 h 6858000"/>
              <a:gd name="csX2769" fmla="*/ 4192473 w 12192000"/>
              <a:gd name="csY2769" fmla="*/ 1460103 h 6858000"/>
              <a:gd name="csX2770" fmla="*/ 4527439 w 12192000"/>
              <a:gd name="csY2770" fmla="*/ 1460103 h 6858000"/>
              <a:gd name="csX2771" fmla="*/ 4493093 w 12192000"/>
              <a:gd name="csY2771" fmla="*/ 1494923 h 6858000"/>
              <a:gd name="csX2772" fmla="*/ 4527439 w 12192000"/>
              <a:gd name="csY2772" fmla="*/ 1529744 h 6858000"/>
              <a:gd name="csX2773" fmla="*/ 4561786 w 12192000"/>
              <a:gd name="csY2773" fmla="*/ 1494923 h 6858000"/>
              <a:gd name="csX2774" fmla="*/ 4527439 w 12192000"/>
              <a:gd name="csY2774" fmla="*/ 1460103 h 6858000"/>
              <a:gd name="csX2775" fmla="*/ 4611182 w 12192000"/>
              <a:gd name="csY2775" fmla="*/ 1460103 h 6858000"/>
              <a:gd name="csX2776" fmla="*/ 4576835 w 12192000"/>
              <a:gd name="csY2776" fmla="*/ 1494923 h 6858000"/>
              <a:gd name="csX2777" fmla="*/ 4611182 w 12192000"/>
              <a:gd name="csY2777" fmla="*/ 1529744 h 6858000"/>
              <a:gd name="csX2778" fmla="*/ 4645528 w 12192000"/>
              <a:gd name="csY2778" fmla="*/ 1494923 h 6858000"/>
              <a:gd name="csX2779" fmla="*/ 4611182 w 12192000"/>
              <a:gd name="csY2779" fmla="*/ 1460103 h 6858000"/>
              <a:gd name="csX2780" fmla="*/ 4694923 w 12192000"/>
              <a:gd name="csY2780" fmla="*/ 1460103 h 6858000"/>
              <a:gd name="csX2781" fmla="*/ 4660576 w 12192000"/>
              <a:gd name="csY2781" fmla="*/ 1494923 h 6858000"/>
              <a:gd name="csX2782" fmla="*/ 4694923 w 12192000"/>
              <a:gd name="csY2782" fmla="*/ 1529744 h 6858000"/>
              <a:gd name="csX2783" fmla="*/ 4729270 w 12192000"/>
              <a:gd name="csY2783" fmla="*/ 1494923 h 6858000"/>
              <a:gd name="csX2784" fmla="*/ 4694923 w 12192000"/>
              <a:gd name="csY2784" fmla="*/ 1460103 h 6858000"/>
              <a:gd name="csX2785" fmla="*/ 4778665 w 12192000"/>
              <a:gd name="csY2785" fmla="*/ 1460103 h 6858000"/>
              <a:gd name="csX2786" fmla="*/ 4744319 w 12192000"/>
              <a:gd name="csY2786" fmla="*/ 1494923 h 6858000"/>
              <a:gd name="csX2787" fmla="*/ 4778665 w 12192000"/>
              <a:gd name="csY2787" fmla="*/ 1529744 h 6858000"/>
              <a:gd name="csX2788" fmla="*/ 4813012 w 12192000"/>
              <a:gd name="csY2788" fmla="*/ 1494923 h 6858000"/>
              <a:gd name="csX2789" fmla="*/ 4778665 w 12192000"/>
              <a:gd name="csY2789" fmla="*/ 1460103 h 6858000"/>
              <a:gd name="csX2790" fmla="*/ 4862406 w 12192000"/>
              <a:gd name="csY2790" fmla="*/ 1460103 h 6858000"/>
              <a:gd name="csX2791" fmla="*/ 4828060 w 12192000"/>
              <a:gd name="csY2791" fmla="*/ 1494923 h 6858000"/>
              <a:gd name="csX2792" fmla="*/ 4862406 w 12192000"/>
              <a:gd name="csY2792" fmla="*/ 1529744 h 6858000"/>
              <a:gd name="csX2793" fmla="*/ 4896753 w 12192000"/>
              <a:gd name="csY2793" fmla="*/ 1494923 h 6858000"/>
              <a:gd name="csX2794" fmla="*/ 4862406 w 12192000"/>
              <a:gd name="csY2794" fmla="*/ 1460103 h 6858000"/>
              <a:gd name="csX2795" fmla="*/ 4946148 w 12192000"/>
              <a:gd name="csY2795" fmla="*/ 1460103 h 6858000"/>
              <a:gd name="csX2796" fmla="*/ 4911801 w 12192000"/>
              <a:gd name="csY2796" fmla="*/ 1494923 h 6858000"/>
              <a:gd name="csX2797" fmla="*/ 4946148 w 12192000"/>
              <a:gd name="csY2797" fmla="*/ 1529744 h 6858000"/>
              <a:gd name="csX2798" fmla="*/ 4980494 w 12192000"/>
              <a:gd name="csY2798" fmla="*/ 1494923 h 6858000"/>
              <a:gd name="csX2799" fmla="*/ 4946148 w 12192000"/>
              <a:gd name="csY2799" fmla="*/ 1460103 h 6858000"/>
              <a:gd name="csX2800" fmla="*/ 5029890 w 12192000"/>
              <a:gd name="csY2800" fmla="*/ 1460103 h 6858000"/>
              <a:gd name="csX2801" fmla="*/ 4995543 w 12192000"/>
              <a:gd name="csY2801" fmla="*/ 1494923 h 6858000"/>
              <a:gd name="csX2802" fmla="*/ 5029890 w 12192000"/>
              <a:gd name="csY2802" fmla="*/ 1529744 h 6858000"/>
              <a:gd name="csX2803" fmla="*/ 5064237 w 12192000"/>
              <a:gd name="csY2803" fmla="*/ 1494923 h 6858000"/>
              <a:gd name="csX2804" fmla="*/ 5029890 w 12192000"/>
              <a:gd name="csY2804" fmla="*/ 1460103 h 6858000"/>
              <a:gd name="csX2805" fmla="*/ 5113631 w 12192000"/>
              <a:gd name="csY2805" fmla="*/ 1460103 h 6858000"/>
              <a:gd name="csX2806" fmla="*/ 5079285 w 12192000"/>
              <a:gd name="csY2806" fmla="*/ 1494923 h 6858000"/>
              <a:gd name="csX2807" fmla="*/ 5113631 w 12192000"/>
              <a:gd name="csY2807" fmla="*/ 1529744 h 6858000"/>
              <a:gd name="csX2808" fmla="*/ 5147978 w 12192000"/>
              <a:gd name="csY2808" fmla="*/ 1494923 h 6858000"/>
              <a:gd name="csX2809" fmla="*/ 5113631 w 12192000"/>
              <a:gd name="csY2809" fmla="*/ 1460103 h 6858000"/>
              <a:gd name="csX2810" fmla="*/ 5281115 w 12192000"/>
              <a:gd name="csY2810" fmla="*/ 1460103 h 6858000"/>
              <a:gd name="csX2811" fmla="*/ 5246768 w 12192000"/>
              <a:gd name="csY2811" fmla="*/ 1494923 h 6858000"/>
              <a:gd name="csX2812" fmla="*/ 5281115 w 12192000"/>
              <a:gd name="csY2812" fmla="*/ 1529744 h 6858000"/>
              <a:gd name="csX2813" fmla="*/ 5315461 w 12192000"/>
              <a:gd name="csY2813" fmla="*/ 1494923 h 6858000"/>
              <a:gd name="csX2814" fmla="*/ 5281115 w 12192000"/>
              <a:gd name="csY2814" fmla="*/ 1460103 h 6858000"/>
              <a:gd name="csX2815" fmla="*/ 7207198 w 12192000"/>
              <a:gd name="csY2815" fmla="*/ 1460103 h 6858000"/>
              <a:gd name="csX2816" fmla="*/ 7172845 w 12192000"/>
              <a:gd name="csY2816" fmla="*/ 1494923 h 6858000"/>
              <a:gd name="csX2817" fmla="*/ 7207198 w 12192000"/>
              <a:gd name="csY2817" fmla="*/ 1529744 h 6858000"/>
              <a:gd name="csX2818" fmla="*/ 7241538 w 12192000"/>
              <a:gd name="csY2818" fmla="*/ 1494923 h 6858000"/>
              <a:gd name="csX2819" fmla="*/ 7207198 w 12192000"/>
              <a:gd name="csY2819" fmla="*/ 1460103 h 6858000"/>
              <a:gd name="csX2820" fmla="*/ 7542164 w 12192000"/>
              <a:gd name="csY2820" fmla="*/ 1460103 h 6858000"/>
              <a:gd name="csX2821" fmla="*/ 7507811 w 12192000"/>
              <a:gd name="csY2821" fmla="*/ 1494923 h 6858000"/>
              <a:gd name="csX2822" fmla="*/ 7542164 w 12192000"/>
              <a:gd name="csY2822" fmla="*/ 1529744 h 6858000"/>
              <a:gd name="csX2823" fmla="*/ 7576504 w 12192000"/>
              <a:gd name="csY2823" fmla="*/ 1494923 h 6858000"/>
              <a:gd name="csX2824" fmla="*/ 7542164 w 12192000"/>
              <a:gd name="csY2824" fmla="*/ 1460103 h 6858000"/>
              <a:gd name="csX2825" fmla="*/ 7793389 w 12192000"/>
              <a:gd name="csY2825" fmla="*/ 1460103 h 6858000"/>
              <a:gd name="csX2826" fmla="*/ 7759036 w 12192000"/>
              <a:gd name="csY2826" fmla="*/ 1494923 h 6858000"/>
              <a:gd name="csX2827" fmla="*/ 7793389 w 12192000"/>
              <a:gd name="csY2827" fmla="*/ 1529744 h 6858000"/>
              <a:gd name="csX2828" fmla="*/ 7827729 w 12192000"/>
              <a:gd name="csY2828" fmla="*/ 1494923 h 6858000"/>
              <a:gd name="csX2829" fmla="*/ 7793389 w 12192000"/>
              <a:gd name="csY2829" fmla="*/ 1460103 h 6858000"/>
              <a:gd name="csX2830" fmla="*/ 7877131 w 12192000"/>
              <a:gd name="csY2830" fmla="*/ 1460103 h 6858000"/>
              <a:gd name="csX2831" fmla="*/ 7842778 w 12192000"/>
              <a:gd name="csY2831" fmla="*/ 1494923 h 6858000"/>
              <a:gd name="csX2832" fmla="*/ 7877131 w 12192000"/>
              <a:gd name="csY2832" fmla="*/ 1529744 h 6858000"/>
              <a:gd name="csX2833" fmla="*/ 7911471 w 12192000"/>
              <a:gd name="csY2833" fmla="*/ 1494923 h 6858000"/>
              <a:gd name="csX2834" fmla="*/ 7877131 w 12192000"/>
              <a:gd name="csY2834" fmla="*/ 1460103 h 6858000"/>
              <a:gd name="csX2835" fmla="*/ 7960872 w 12192000"/>
              <a:gd name="csY2835" fmla="*/ 1460103 h 6858000"/>
              <a:gd name="csX2836" fmla="*/ 7926519 w 12192000"/>
              <a:gd name="csY2836" fmla="*/ 1494923 h 6858000"/>
              <a:gd name="csX2837" fmla="*/ 7960872 w 12192000"/>
              <a:gd name="csY2837" fmla="*/ 1529744 h 6858000"/>
              <a:gd name="csX2838" fmla="*/ 7995212 w 12192000"/>
              <a:gd name="csY2838" fmla="*/ 1494923 h 6858000"/>
              <a:gd name="csX2839" fmla="*/ 7960872 w 12192000"/>
              <a:gd name="csY2839" fmla="*/ 1460103 h 6858000"/>
              <a:gd name="csX2840" fmla="*/ 8044614 w 12192000"/>
              <a:gd name="csY2840" fmla="*/ 1460103 h 6858000"/>
              <a:gd name="csX2841" fmla="*/ 8010261 w 12192000"/>
              <a:gd name="csY2841" fmla="*/ 1494923 h 6858000"/>
              <a:gd name="csX2842" fmla="*/ 8044614 w 12192000"/>
              <a:gd name="csY2842" fmla="*/ 1529744 h 6858000"/>
              <a:gd name="csX2843" fmla="*/ 8078955 w 12192000"/>
              <a:gd name="csY2843" fmla="*/ 1494923 h 6858000"/>
              <a:gd name="csX2844" fmla="*/ 8044614 w 12192000"/>
              <a:gd name="csY2844" fmla="*/ 1460103 h 6858000"/>
              <a:gd name="csX2845" fmla="*/ 8128356 w 12192000"/>
              <a:gd name="csY2845" fmla="*/ 1460103 h 6858000"/>
              <a:gd name="csX2846" fmla="*/ 8094003 w 12192000"/>
              <a:gd name="csY2846" fmla="*/ 1494923 h 6858000"/>
              <a:gd name="csX2847" fmla="*/ 8128356 w 12192000"/>
              <a:gd name="csY2847" fmla="*/ 1529744 h 6858000"/>
              <a:gd name="csX2848" fmla="*/ 8162696 w 12192000"/>
              <a:gd name="csY2848" fmla="*/ 1494923 h 6858000"/>
              <a:gd name="csX2849" fmla="*/ 8128356 w 12192000"/>
              <a:gd name="csY2849" fmla="*/ 1460103 h 6858000"/>
              <a:gd name="csX2850" fmla="*/ 8212097 w 12192000"/>
              <a:gd name="csY2850" fmla="*/ 1460103 h 6858000"/>
              <a:gd name="csX2851" fmla="*/ 8177744 w 12192000"/>
              <a:gd name="csY2851" fmla="*/ 1494923 h 6858000"/>
              <a:gd name="csX2852" fmla="*/ 8212097 w 12192000"/>
              <a:gd name="csY2852" fmla="*/ 1529744 h 6858000"/>
              <a:gd name="csX2853" fmla="*/ 8246437 w 12192000"/>
              <a:gd name="csY2853" fmla="*/ 1494923 h 6858000"/>
              <a:gd name="csX2854" fmla="*/ 8212097 w 12192000"/>
              <a:gd name="csY2854" fmla="*/ 1460103 h 6858000"/>
              <a:gd name="csX2855" fmla="*/ 8295839 w 12192000"/>
              <a:gd name="csY2855" fmla="*/ 1460103 h 6858000"/>
              <a:gd name="csX2856" fmla="*/ 8261486 w 12192000"/>
              <a:gd name="csY2856" fmla="*/ 1494923 h 6858000"/>
              <a:gd name="csX2857" fmla="*/ 8295839 w 12192000"/>
              <a:gd name="csY2857" fmla="*/ 1529744 h 6858000"/>
              <a:gd name="csX2858" fmla="*/ 8330179 w 12192000"/>
              <a:gd name="csY2858" fmla="*/ 1494923 h 6858000"/>
              <a:gd name="csX2859" fmla="*/ 8295839 w 12192000"/>
              <a:gd name="csY2859" fmla="*/ 1460103 h 6858000"/>
              <a:gd name="csX2860" fmla="*/ 8379580 w 12192000"/>
              <a:gd name="csY2860" fmla="*/ 1460103 h 6858000"/>
              <a:gd name="csX2861" fmla="*/ 8345227 w 12192000"/>
              <a:gd name="csY2861" fmla="*/ 1494923 h 6858000"/>
              <a:gd name="csX2862" fmla="*/ 8379580 w 12192000"/>
              <a:gd name="csY2862" fmla="*/ 1529744 h 6858000"/>
              <a:gd name="csX2863" fmla="*/ 8413921 w 12192000"/>
              <a:gd name="csY2863" fmla="*/ 1494923 h 6858000"/>
              <a:gd name="csX2864" fmla="*/ 8379580 w 12192000"/>
              <a:gd name="csY2864" fmla="*/ 1460103 h 6858000"/>
              <a:gd name="csX2865" fmla="*/ 8463323 w 12192000"/>
              <a:gd name="csY2865" fmla="*/ 1460103 h 6858000"/>
              <a:gd name="csX2866" fmla="*/ 8428970 w 12192000"/>
              <a:gd name="csY2866" fmla="*/ 1494923 h 6858000"/>
              <a:gd name="csX2867" fmla="*/ 8463323 w 12192000"/>
              <a:gd name="csY2867" fmla="*/ 1529744 h 6858000"/>
              <a:gd name="csX2868" fmla="*/ 8497663 w 12192000"/>
              <a:gd name="csY2868" fmla="*/ 1494923 h 6858000"/>
              <a:gd name="csX2869" fmla="*/ 8463323 w 12192000"/>
              <a:gd name="csY2869" fmla="*/ 1460103 h 6858000"/>
              <a:gd name="csX2870" fmla="*/ 8547064 w 12192000"/>
              <a:gd name="csY2870" fmla="*/ 1460103 h 6858000"/>
              <a:gd name="csX2871" fmla="*/ 8512711 w 12192000"/>
              <a:gd name="csY2871" fmla="*/ 1494923 h 6858000"/>
              <a:gd name="csX2872" fmla="*/ 8547064 w 12192000"/>
              <a:gd name="csY2872" fmla="*/ 1529744 h 6858000"/>
              <a:gd name="csX2873" fmla="*/ 8581404 w 12192000"/>
              <a:gd name="csY2873" fmla="*/ 1494923 h 6858000"/>
              <a:gd name="csX2874" fmla="*/ 8547064 w 12192000"/>
              <a:gd name="csY2874" fmla="*/ 1460103 h 6858000"/>
              <a:gd name="csX2875" fmla="*/ 8630805 w 12192000"/>
              <a:gd name="csY2875" fmla="*/ 1460103 h 6858000"/>
              <a:gd name="csX2876" fmla="*/ 8596452 w 12192000"/>
              <a:gd name="csY2876" fmla="*/ 1494923 h 6858000"/>
              <a:gd name="csX2877" fmla="*/ 8630805 w 12192000"/>
              <a:gd name="csY2877" fmla="*/ 1529744 h 6858000"/>
              <a:gd name="csX2878" fmla="*/ 8665145 w 12192000"/>
              <a:gd name="csY2878" fmla="*/ 1494923 h 6858000"/>
              <a:gd name="csX2879" fmla="*/ 8630805 w 12192000"/>
              <a:gd name="csY2879" fmla="*/ 1460103 h 6858000"/>
              <a:gd name="csX2880" fmla="*/ 8714547 w 12192000"/>
              <a:gd name="csY2880" fmla="*/ 1460103 h 6858000"/>
              <a:gd name="csX2881" fmla="*/ 8680194 w 12192000"/>
              <a:gd name="csY2881" fmla="*/ 1494923 h 6858000"/>
              <a:gd name="csX2882" fmla="*/ 8714547 w 12192000"/>
              <a:gd name="csY2882" fmla="*/ 1529744 h 6858000"/>
              <a:gd name="csX2883" fmla="*/ 8748888 w 12192000"/>
              <a:gd name="csY2883" fmla="*/ 1494923 h 6858000"/>
              <a:gd name="csX2884" fmla="*/ 8714547 w 12192000"/>
              <a:gd name="csY2884" fmla="*/ 1460103 h 6858000"/>
              <a:gd name="csX2885" fmla="*/ 8798289 w 12192000"/>
              <a:gd name="csY2885" fmla="*/ 1460103 h 6858000"/>
              <a:gd name="csX2886" fmla="*/ 8763936 w 12192000"/>
              <a:gd name="csY2886" fmla="*/ 1494923 h 6858000"/>
              <a:gd name="csX2887" fmla="*/ 8798289 w 12192000"/>
              <a:gd name="csY2887" fmla="*/ 1529744 h 6858000"/>
              <a:gd name="csX2888" fmla="*/ 8832629 w 12192000"/>
              <a:gd name="csY2888" fmla="*/ 1494923 h 6858000"/>
              <a:gd name="csX2889" fmla="*/ 8798289 w 12192000"/>
              <a:gd name="csY2889" fmla="*/ 1460103 h 6858000"/>
              <a:gd name="csX2890" fmla="*/ 8882030 w 12192000"/>
              <a:gd name="csY2890" fmla="*/ 1460103 h 6858000"/>
              <a:gd name="csX2891" fmla="*/ 8847677 w 12192000"/>
              <a:gd name="csY2891" fmla="*/ 1494923 h 6858000"/>
              <a:gd name="csX2892" fmla="*/ 8882030 w 12192000"/>
              <a:gd name="csY2892" fmla="*/ 1529744 h 6858000"/>
              <a:gd name="csX2893" fmla="*/ 8916370 w 12192000"/>
              <a:gd name="csY2893" fmla="*/ 1494923 h 6858000"/>
              <a:gd name="csX2894" fmla="*/ 8882030 w 12192000"/>
              <a:gd name="csY2894" fmla="*/ 1460103 h 6858000"/>
              <a:gd name="csX2895" fmla="*/ 8965772 w 12192000"/>
              <a:gd name="csY2895" fmla="*/ 1460103 h 6858000"/>
              <a:gd name="csX2896" fmla="*/ 8931419 w 12192000"/>
              <a:gd name="csY2896" fmla="*/ 1494923 h 6858000"/>
              <a:gd name="csX2897" fmla="*/ 8965772 w 12192000"/>
              <a:gd name="csY2897" fmla="*/ 1529744 h 6858000"/>
              <a:gd name="csX2898" fmla="*/ 9000112 w 12192000"/>
              <a:gd name="csY2898" fmla="*/ 1494923 h 6858000"/>
              <a:gd name="csX2899" fmla="*/ 8965772 w 12192000"/>
              <a:gd name="csY2899" fmla="*/ 1460103 h 6858000"/>
              <a:gd name="csX2900" fmla="*/ 9049513 w 12192000"/>
              <a:gd name="csY2900" fmla="*/ 1460103 h 6858000"/>
              <a:gd name="csX2901" fmla="*/ 9015160 w 12192000"/>
              <a:gd name="csY2901" fmla="*/ 1494923 h 6858000"/>
              <a:gd name="csX2902" fmla="*/ 9049513 w 12192000"/>
              <a:gd name="csY2902" fmla="*/ 1529744 h 6858000"/>
              <a:gd name="csX2903" fmla="*/ 9083854 w 12192000"/>
              <a:gd name="csY2903" fmla="*/ 1494923 h 6858000"/>
              <a:gd name="csX2904" fmla="*/ 9049513 w 12192000"/>
              <a:gd name="csY2904" fmla="*/ 1460103 h 6858000"/>
              <a:gd name="csX2905" fmla="*/ 9133256 w 12192000"/>
              <a:gd name="csY2905" fmla="*/ 1460103 h 6858000"/>
              <a:gd name="csX2906" fmla="*/ 9098903 w 12192000"/>
              <a:gd name="csY2906" fmla="*/ 1494923 h 6858000"/>
              <a:gd name="csX2907" fmla="*/ 9133256 w 12192000"/>
              <a:gd name="csY2907" fmla="*/ 1529744 h 6858000"/>
              <a:gd name="csX2908" fmla="*/ 9167596 w 12192000"/>
              <a:gd name="csY2908" fmla="*/ 1494923 h 6858000"/>
              <a:gd name="csX2909" fmla="*/ 9133256 w 12192000"/>
              <a:gd name="csY2909" fmla="*/ 1460103 h 6858000"/>
              <a:gd name="csX2910" fmla="*/ 9216997 w 12192000"/>
              <a:gd name="csY2910" fmla="*/ 1460103 h 6858000"/>
              <a:gd name="csX2911" fmla="*/ 9182644 w 12192000"/>
              <a:gd name="csY2911" fmla="*/ 1494923 h 6858000"/>
              <a:gd name="csX2912" fmla="*/ 9216997 w 12192000"/>
              <a:gd name="csY2912" fmla="*/ 1529744 h 6858000"/>
              <a:gd name="csX2913" fmla="*/ 9251337 w 12192000"/>
              <a:gd name="csY2913" fmla="*/ 1494923 h 6858000"/>
              <a:gd name="csX2914" fmla="*/ 9216997 w 12192000"/>
              <a:gd name="csY2914" fmla="*/ 1460103 h 6858000"/>
              <a:gd name="csX2915" fmla="*/ 9300738 w 12192000"/>
              <a:gd name="csY2915" fmla="*/ 1460103 h 6858000"/>
              <a:gd name="csX2916" fmla="*/ 9266385 w 12192000"/>
              <a:gd name="csY2916" fmla="*/ 1494923 h 6858000"/>
              <a:gd name="csX2917" fmla="*/ 9300738 w 12192000"/>
              <a:gd name="csY2917" fmla="*/ 1529744 h 6858000"/>
              <a:gd name="csX2918" fmla="*/ 9335078 w 12192000"/>
              <a:gd name="csY2918" fmla="*/ 1494923 h 6858000"/>
              <a:gd name="csX2919" fmla="*/ 9300738 w 12192000"/>
              <a:gd name="csY2919" fmla="*/ 1460103 h 6858000"/>
              <a:gd name="csX2920" fmla="*/ 9384480 w 12192000"/>
              <a:gd name="csY2920" fmla="*/ 1460103 h 6858000"/>
              <a:gd name="csX2921" fmla="*/ 9350127 w 12192000"/>
              <a:gd name="csY2921" fmla="*/ 1494923 h 6858000"/>
              <a:gd name="csX2922" fmla="*/ 9384480 w 12192000"/>
              <a:gd name="csY2922" fmla="*/ 1529744 h 6858000"/>
              <a:gd name="csX2923" fmla="*/ 9418821 w 12192000"/>
              <a:gd name="csY2923" fmla="*/ 1494923 h 6858000"/>
              <a:gd name="csX2924" fmla="*/ 9384480 w 12192000"/>
              <a:gd name="csY2924" fmla="*/ 1460103 h 6858000"/>
              <a:gd name="csX2925" fmla="*/ 9468222 w 12192000"/>
              <a:gd name="csY2925" fmla="*/ 1460103 h 6858000"/>
              <a:gd name="csX2926" fmla="*/ 9433869 w 12192000"/>
              <a:gd name="csY2926" fmla="*/ 1494923 h 6858000"/>
              <a:gd name="csX2927" fmla="*/ 9468222 w 12192000"/>
              <a:gd name="csY2927" fmla="*/ 1529744 h 6858000"/>
              <a:gd name="csX2928" fmla="*/ 9502562 w 12192000"/>
              <a:gd name="csY2928" fmla="*/ 1494923 h 6858000"/>
              <a:gd name="csX2929" fmla="*/ 9468222 w 12192000"/>
              <a:gd name="csY2929" fmla="*/ 1460103 h 6858000"/>
              <a:gd name="csX2930" fmla="*/ 9551963 w 12192000"/>
              <a:gd name="csY2930" fmla="*/ 1460103 h 6858000"/>
              <a:gd name="csX2931" fmla="*/ 9517610 w 12192000"/>
              <a:gd name="csY2931" fmla="*/ 1494923 h 6858000"/>
              <a:gd name="csX2932" fmla="*/ 9551963 w 12192000"/>
              <a:gd name="csY2932" fmla="*/ 1529744 h 6858000"/>
              <a:gd name="csX2933" fmla="*/ 9586303 w 12192000"/>
              <a:gd name="csY2933" fmla="*/ 1494923 h 6858000"/>
              <a:gd name="csX2934" fmla="*/ 9551963 w 12192000"/>
              <a:gd name="csY2934" fmla="*/ 1460103 h 6858000"/>
              <a:gd name="csX2935" fmla="*/ 9635705 w 12192000"/>
              <a:gd name="csY2935" fmla="*/ 1460103 h 6858000"/>
              <a:gd name="csX2936" fmla="*/ 9601352 w 12192000"/>
              <a:gd name="csY2936" fmla="*/ 1494923 h 6858000"/>
              <a:gd name="csX2937" fmla="*/ 9635705 w 12192000"/>
              <a:gd name="csY2937" fmla="*/ 1529744 h 6858000"/>
              <a:gd name="csX2938" fmla="*/ 9670045 w 12192000"/>
              <a:gd name="csY2938" fmla="*/ 1494923 h 6858000"/>
              <a:gd name="csX2939" fmla="*/ 9635705 w 12192000"/>
              <a:gd name="csY2939" fmla="*/ 1460103 h 6858000"/>
              <a:gd name="csX2940" fmla="*/ 9719446 w 12192000"/>
              <a:gd name="csY2940" fmla="*/ 1460103 h 6858000"/>
              <a:gd name="csX2941" fmla="*/ 9685093 w 12192000"/>
              <a:gd name="csY2941" fmla="*/ 1494923 h 6858000"/>
              <a:gd name="csX2942" fmla="*/ 9719446 w 12192000"/>
              <a:gd name="csY2942" fmla="*/ 1529744 h 6858000"/>
              <a:gd name="csX2943" fmla="*/ 9753787 w 12192000"/>
              <a:gd name="csY2943" fmla="*/ 1494923 h 6858000"/>
              <a:gd name="csX2944" fmla="*/ 9719446 w 12192000"/>
              <a:gd name="csY2944" fmla="*/ 1460103 h 6858000"/>
              <a:gd name="csX2945" fmla="*/ 9803189 w 12192000"/>
              <a:gd name="csY2945" fmla="*/ 1460103 h 6858000"/>
              <a:gd name="csX2946" fmla="*/ 9768836 w 12192000"/>
              <a:gd name="csY2946" fmla="*/ 1494923 h 6858000"/>
              <a:gd name="csX2947" fmla="*/ 9803189 w 12192000"/>
              <a:gd name="csY2947" fmla="*/ 1529744 h 6858000"/>
              <a:gd name="csX2948" fmla="*/ 9837529 w 12192000"/>
              <a:gd name="csY2948" fmla="*/ 1494923 h 6858000"/>
              <a:gd name="csX2949" fmla="*/ 9803189 w 12192000"/>
              <a:gd name="csY2949" fmla="*/ 1460103 h 6858000"/>
              <a:gd name="csX2950" fmla="*/ 9886930 w 12192000"/>
              <a:gd name="csY2950" fmla="*/ 1460103 h 6858000"/>
              <a:gd name="csX2951" fmla="*/ 9852577 w 12192000"/>
              <a:gd name="csY2951" fmla="*/ 1494923 h 6858000"/>
              <a:gd name="csX2952" fmla="*/ 9886930 w 12192000"/>
              <a:gd name="csY2952" fmla="*/ 1529744 h 6858000"/>
              <a:gd name="csX2953" fmla="*/ 9921270 w 12192000"/>
              <a:gd name="csY2953" fmla="*/ 1494923 h 6858000"/>
              <a:gd name="csX2954" fmla="*/ 9886930 w 12192000"/>
              <a:gd name="csY2954" fmla="*/ 1460103 h 6858000"/>
              <a:gd name="csX2955" fmla="*/ 9970671 w 12192000"/>
              <a:gd name="csY2955" fmla="*/ 1460103 h 6858000"/>
              <a:gd name="csX2956" fmla="*/ 9936318 w 12192000"/>
              <a:gd name="csY2956" fmla="*/ 1494923 h 6858000"/>
              <a:gd name="csX2957" fmla="*/ 9970671 w 12192000"/>
              <a:gd name="csY2957" fmla="*/ 1529744 h 6858000"/>
              <a:gd name="csX2958" fmla="*/ 10005011 w 12192000"/>
              <a:gd name="csY2958" fmla="*/ 1494923 h 6858000"/>
              <a:gd name="csX2959" fmla="*/ 9970671 w 12192000"/>
              <a:gd name="csY2959" fmla="*/ 1460103 h 6858000"/>
              <a:gd name="csX2960" fmla="*/ 10054413 w 12192000"/>
              <a:gd name="csY2960" fmla="*/ 1460103 h 6858000"/>
              <a:gd name="csX2961" fmla="*/ 10020060 w 12192000"/>
              <a:gd name="csY2961" fmla="*/ 1494923 h 6858000"/>
              <a:gd name="csX2962" fmla="*/ 10054413 w 12192000"/>
              <a:gd name="csY2962" fmla="*/ 1529744 h 6858000"/>
              <a:gd name="csX2963" fmla="*/ 10088754 w 12192000"/>
              <a:gd name="csY2963" fmla="*/ 1494923 h 6858000"/>
              <a:gd name="csX2964" fmla="*/ 10054413 w 12192000"/>
              <a:gd name="csY2964" fmla="*/ 1460103 h 6858000"/>
              <a:gd name="csX2965" fmla="*/ 10138155 w 12192000"/>
              <a:gd name="csY2965" fmla="*/ 1460103 h 6858000"/>
              <a:gd name="csX2966" fmla="*/ 10103802 w 12192000"/>
              <a:gd name="csY2966" fmla="*/ 1494923 h 6858000"/>
              <a:gd name="csX2967" fmla="*/ 10138155 w 12192000"/>
              <a:gd name="csY2967" fmla="*/ 1529744 h 6858000"/>
              <a:gd name="csX2968" fmla="*/ 10172495 w 12192000"/>
              <a:gd name="csY2968" fmla="*/ 1494923 h 6858000"/>
              <a:gd name="csX2969" fmla="*/ 10138155 w 12192000"/>
              <a:gd name="csY2969" fmla="*/ 1460103 h 6858000"/>
              <a:gd name="csX2970" fmla="*/ 10305638 w 12192000"/>
              <a:gd name="csY2970" fmla="*/ 1460103 h 6858000"/>
              <a:gd name="csX2971" fmla="*/ 10271285 w 12192000"/>
              <a:gd name="csY2971" fmla="*/ 1494923 h 6858000"/>
              <a:gd name="csX2972" fmla="*/ 10305638 w 12192000"/>
              <a:gd name="csY2972" fmla="*/ 1529744 h 6858000"/>
              <a:gd name="csX2973" fmla="*/ 10339978 w 12192000"/>
              <a:gd name="csY2973" fmla="*/ 1494923 h 6858000"/>
              <a:gd name="csX2974" fmla="*/ 10305638 w 12192000"/>
              <a:gd name="csY2974" fmla="*/ 1460103 h 6858000"/>
              <a:gd name="csX2975" fmla="*/ 10389379 w 12192000"/>
              <a:gd name="csY2975" fmla="*/ 1460103 h 6858000"/>
              <a:gd name="csX2976" fmla="*/ 10355026 w 12192000"/>
              <a:gd name="csY2976" fmla="*/ 1494923 h 6858000"/>
              <a:gd name="csX2977" fmla="*/ 10389379 w 12192000"/>
              <a:gd name="csY2977" fmla="*/ 1529744 h 6858000"/>
              <a:gd name="csX2978" fmla="*/ 10423720 w 12192000"/>
              <a:gd name="csY2978" fmla="*/ 1494923 h 6858000"/>
              <a:gd name="csX2979" fmla="*/ 10389379 w 12192000"/>
              <a:gd name="csY2979" fmla="*/ 1460103 h 6858000"/>
              <a:gd name="csX2980" fmla="*/ 1428993 w 12192000"/>
              <a:gd name="csY2980" fmla="*/ 1544967 h 6858000"/>
              <a:gd name="csX2981" fmla="*/ 1394646 w 12192000"/>
              <a:gd name="csY2981" fmla="*/ 1579787 h 6858000"/>
              <a:gd name="csX2982" fmla="*/ 1428993 w 12192000"/>
              <a:gd name="csY2982" fmla="*/ 1614607 h 6858000"/>
              <a:gd name="csX2983" fmla="*/ 1463340 w 12192000"/>
              <a:gd name="csY2983" fmla="*/ 1579787 h 6858000"/>
              <a:gd name="csX2984" fmla="*/ 1428993 w 12192000"/>
              <a:gd name="csY2984" fmla="*/ 1544967 h 6858000"/>
              <a:gd name="csX2985" fmla="*/ 1512741 w 12192000"/>
              <a:gd name="csY2985" fmla="*/ 1544967 h 6858000"/>
              <a:gd name="csX2986" fmla="*/ 1478395 w 12192000"/>
              <a:gd name="csY2986" fmla="*/ 1579787 h 6858000"/>
              <a:gd name="csX2987" fmla="*/ 1512741 w 12192000"/>
              <a:gd name="csY2987" fmla="*/ 1614607 h 6858000"/>
              <a:gd name="csX2988" fmla="*/ 1547088 w 12192000"/>
              <a:gd name="csY2988" fmla="*/ 1579787 h 6858000"/>
              <a:gd name="csX2989" fmla="*/ 1512741 w 12192000"/>
              <a:gd name="csY2989" fmla="*/ 1544967 h 6858000"/>
              <a:gd name="csX2990" fmla="*/ 1596483 w 12192000"/>
              <a:gd name="csY2990" fmla="*/ 1544967 h 6858000"/>
              <a:gd name="csX2991" fmla="*/ 1562136 w 12192000"/>
              <a:gd name="csY2991" fmla="*/ 1579787 h 6858000"/>
              <a:gd name="csX2992" fmla="*/ 1596483 w 12192000"/>
              <a:gd name="csY2992" fmla="*/ 1614607 h 6858000"/>
              <a:gd name="csX2993" fmla="*/ 1630829 w 12192000"/>
              <a:gd name="csY2993" fmla="*/ 1579787 h 6858000"/>
              <a:gd name="csX2994" fmla="*/ 1596483 w 12192000"/>
              <a:gd name="csY2994" fmla="*/ 1544967 h 6858000"/>
              <a:gd name="csX2995" fmla="*/ 1680225 w 12192000"/>
              <a:gd name="csY2995" fmla="*/ 1544967 h 6858000"/>
              <a:gd name="csX2996" fmla="*/ 1645878 w 12192000"/>
              <a:gd name="csY2996" fmla="*/ 1579787 h 6858000"/>
              <a:gd name="csX2997" fmla="*/ 1680225 w 12192000"/>
              <a:gd name="csY2997" fmla="*/ 1614607 h 6858000"/>
              <a:gd name="csX2998" fmla="*/ 1714572 w 12192000"/>
              <a:gd name="csY2998" fmla="*/ 1579787 h 6858000"/>
              <a:gd name="csX2999" fmla="*/ 1680225 w 12192000"/>
              <a:gd name="csY2999" fmla="*/ 1544967 h 6858000"/>
              <a:gd name="csX3000" fmla="*/ 1763966 w 12192000"/>
              <a:gd name="csY3000" fmla="*/ 1544967 h 6858000"/>
              <a:gd name="csX3001" fmla="*/ 1729620 w 12192000"/>
              <a:gd name="csY3001" fmla="*/ 1579787 h 6858000"/>
              <a:gd name="csX3002" fmla="*/ 1763966 w 12192000"/>
              <a:gd name="csY3002" fmla="*/ 1614607 h 6858000"/>
              <a:gd name="csX3003" fmla="*/ 1798313 w 12192000"/>
              <a:gd name="csY3003" fmla="*/ 1579787 h 6858000"/>
              <a:gd name="csX3004" fmla="*/ 1763966 w 12192000"/>
              <a:gd name="csY3004" fmla="*/ 1544967 h 6858000"/>
              <a:gd name="csX3005" fmla="*/ 1847707 w 12192000"/>
              <a:gd name="csY3005" fmla="*/ 1544967 h 6858000"/>
              <a:gd name="csX3006" fmla="*/ 1813361 w 12192000"/>
              <a:gd name="csY3006" fmla="*/ 1579787 h 6858000"/>
              <a:gd name="csX3007" fmla="*/ 1847707 w 12192000"/>
              <a:gd name="csY3007" fmla="*/ 1614607 h 6858000"/>
              <a:gd name="csX3008" fmla="*/ 1882054 w 12192000"/>
              <a:gd name="csY3008" fmla="*/ 1579787 h 6858000"/>
              <a:gd name="csX3009" fmla="*/ 1847707 w 12192000"/>
              <a:gd name="csY3009" fmla="*/ 1544967 h 6858000"/>
              <a:gd name="csX3010" fmla="*/ 1931450 w 12192000"/>
              <a:gd name="csY3010" fmla="*/ 1544967 h 6858000"/>
              <a:gd name="csX3011" fmla="*/ 1897103 w 12192000"/>
              <a:gd name="csY3011" fmla="*/ 1579787 h 6858000"/>
              <a:gd name="csX3012" fmla="*/ 1931450 w 12192000"/>
              <a:gd name="csY3012" fmla="*/ 1614607 h 6858000"/>
              <a:gd name="csX3013" fmla="*/ 1965796 w 12192000"/>
              <a:gd name="csY3013" fmla="*/ 1579787 h 6858000"/>
              <a:gd name="csX3014" fmla="*/ 1931450 w 12192000"/>
              <a:gd name="csY3014" fmla="*/ 1544967 h 6858000"/>
              <a:gd name="csX3015" fmla="*/ 2015191 w 12192000"/>
              <a:gd name="csY3015" fmla="*/ 1544967 h 6858000"/>
              <a:gd name="csX3016" fmla="*/ 1980844 w 12192000"/>
              <a:gd name="csY3016" fmla="*/ 1579787 h 6858000"/>
              <a:gd name="csX3017" fmla="*/ 2015191 w 12192000"/>
              <a:gd name="csY3017" fmla="*/ 1614607 h 6858000"/>
              <a:gd name="csX3018" fmla="*/ 2049538 w 12192000"/>
              <a:gd name="csY3018" fmla="*/ 1579787 h 6858000"/>
              <a:gd name="csX3019" fmla="*/ 2015191 w 12192000"/>
              <a:gd name="csY3019" fmla="*/ 1544967 h 6858000"/>
              <a:gd name="csX3020" fmla="*/ 2098932 w 12192000"/>
              <a:gd name="csY3020" fmla="*/ 1544967 h 6858000"/>
              <a:gd name="csX3021" fmla="*/ 2064586 w 12192000"/>
              <a:gd name="csY3021" fmla="*/ 1579787 h 6858000"/>
              <a:gd name="csX3022" fmla="*/ 2098932 w 12192000"/>
              <a:gd name="csY3022" fmla="*/ 1614607 h 6858000"/>
              <a:gd name="csX3023" fmla="*/ 2133279 w 12192000"/>
              <a:gd name="csY3023" fmla="*/ 1579787 h 6858000"/>
              <a:gd name="csX3024" fmla="*/ 2098932 w 12192000"/>
              <a:gd name="csY3024" fmla="*/ 1544967 h 6858000"/>
              <a:gd name="csX3025" fmla="*/ 2182674 w 12192000"/>
              <a:gd name="csY3025" fmla="*/ 1544967 h 6858000"/>
              <a:gd name="csX3026" fmla="*/ 2148328 w 12192000"/>
              <a:gd name="csY3026" fmla="*/ 1579787 h 6858000"/>
              <a:gd name="csX3027" fmla="*/ 2182674 w 12192000"/>
              <a:gd name="csY3027" fmla="*/ 1614607 h 6858000"/>
              <a:gd name="csX3028" fmla="*/ 2217021 w 12192000"/>
              <a:gd name="csY3028" fmla="*/ 1579787 h 6858000"/>
              <a:gd name="csX3029" fmla="*/ 2182674 w 12192000"/>
              <a:gd name="csY3029" fmla="*/ 1544967 h 6858000"/>
              <a:gd name="csX3030" fmla="*/ 2266416 w 12192000"/>
              <a:gd name="csY3030" fmla="*/ 1544967 h 6858000"/>
              <a:gd name="csX3031" fmla="*/ 2232069 w 12192000"/>
              <a:gd name="csY3031" fmla="*/ 1579787 h 6858000"/>
              <a:gd name="csX3032" fmla="*/ 2266416 w 12192000"/>
              <a:gd name="csY3032" fmla="*/ 1614607 h 6858000"/>
              <a:gd name="csX3033" fmla="*/ 2300762 w 12192000"/>
              <a:gd name="csY3033" fmla="*/ 1579787 h 6858000"/>
              <a:gd name="csX3034" fmla="*/ 2266416 w 12192000"/>
              <a:gd name="csY3034" fmla="*/ 1544967 h 6858000"/>
              <a:gd name="csX3035" fmla="*/ 2350151 w 12192000"/>
              <a:gd name="csY3035" fmla="*/ 1544967 h 6858000"/>
              <a:gd name="csX3036" fmla="*/ 2315804 w 12192000"/>
              <a:gd name="csY3036" fmla="*/ 1579787 h 6858000"/>
              <a:gd name="csX3037" fmla="*/ 2350151 w 12192000"/>
              <a:gd name="csY3037" fmla="*/ 1614607 h 6858000"/>
              <a:gd name="csX3038" fmla="*/ 2384498 w 12192000"/>
              <a:gd name="csY3038" fmla="*/ 1579787 h 6858000"/>
              <a:gd name="csX3039" fmla="*/ 2350151 w 12192000"/>
              <a:gd name="csY3039" fmla="*/ 1544967 h 6858000"/>
              <a:gd name="csX3040" fmla="*/ 2433893 w 12192000"/>
              <a:gd name="csY3040" fmla="*/ 1544967 h 6858000"/>
              <a:gd name="csX3041" fmla="*/ 2399546 w 12192000"/>
              <a:gd name="csY3041" fmla="*/ 1579787 h 6858000"/>
              <a:gd name="csX3042" fmla="*/ 2433893 w 12192000"/>
              <a:gd name="csY3042" fmla="*/ 1614607 h 6858000"/>
              <a:gd name="csX3043" fmla="*/ 2468240 w 12192000"/>
              <a:gd name="csY3043" fmla="*/ 1579787 h 6858000"/>
              <a:gd name="csX3044" fmla="*/ 2433893 w 12192000"/>
              <a:gd name="csY3044" fmla="*/ 1544967 h 6858000"/>
              <a:gd name="csX3045" fmla="*/ 2517634 w 12192000"/>
              <a:gd name="csY3045" fmla="*/ 1544967 h 6858000"/>
              <a:gd name="csX3046" fmla="*/ 2483288 w 12192000"/>
              <a:gd name="csY3046" fmla="*/ 1579787 h 6858000"/>
              <a:gd name="csX3047" fmla="*/ 2517634 w 12192000"/>
              <a:gd name="csY3047" fmla="*/ 1614607 h 6858000"/>
              <a:gd name="csX3048" fmla="*/ 2551981 w 12192000"/>
              <a:gd name="csY3048" fmla="*/ 1579787 h 6858000"/>
              <a:gd name="csX3049" fmla="*/ 2517634 w 12192000"/>
              <a:gd name="csY3049" fmla="*/ 1544967 h 6858000"/>
              <a:gd name="csX3050" fmla="*/ 2601376 w 12192000"/>
              <a:gd name="csY3050" fmla="*/ 1544967 h 6858000"/>
              <a:gd name="csX3051" fmla="*/ 2567029 w 12192000"/>
              <a:gd name="csY3051" fmla="*/ 1579787 h 6858000"/>
              <a:gd name="csX3052" fmla="*/ 2601376 w 12192000"/>
              <a:gd name="csY3052" fmla="*/ 1614607 h 6858000"/>
              <a:gd name="csX3053" fmla="*/ 2635722 w 12192000"/>
              <a:gd name="csY3053" fmla="*/ 1579787 h 6858000"/>
              <a:gd name="csX3054" fmla="*/ 2601376 w 12192000"/>
              <a:gd name="csY3054" fmla="*/ 1544967 h 6858000"/>
              <a:gd name="csX3055" fmla="*/ 2685118 w 12192000"/>
              <a:gd name="csY3055" fmla="*/ 1544967 h 6858000"/>
              <a:gd name="csX3056" fmla="*/ 2650771 w 12192000"/>
              <a:gd name="csY3056" fmla="*/ 1579787 h 6858000"/>
              <a:gd name="csX3057" fmla="*/ 2685118 w 12192000"/>
              <a:gd name="csY3057" fmla="*/ 1614607 h 6858000"/>
              <a:gd name="csX3058" fmla="*/ 2719465 w 12192000"/>
              <a:gd name="csY3058" fmla="*/ 1579787 h 6858000"/>
              <a:gd name="csX3059" fmla="*/ 2685118 w 12192000"/>
              <a:gd name="csY3059" fmla="*/ 1544967 h 6858000"/>
              <a:gd name="csX3060" fmla="*/ 2768859 w 12192000"/>
              <a:gd name="csY3060" fmla="*/ 1544967 h 6858000"/>
              <a:gd name="csX3061" fmla="*/ 2734512 w 12192000"/>
              <a:gd name="csY3061" fmla="*/ 1579787 h 6858000"/>
              <a:gd name="csX3062" fmla="*/ 2768859 w 12192000"/>
              <a:gd name="csY3062" fmla="*/ 1614607 h 6858000"/>
              <a:gd name="csX3063" fmla="*/ 2803206 w 12192000"/>
              <a:gd name="csY3063" fmla="*/ 1579787 h 6858000"/>
              <a:gd name="csX3064" fmla="*/ 2768859 w 12192000"/>
              <a:gd name="csY3064" fmla="*/ 1544967 h 6858000"/>
              <a:gd name="csX3065" fmla="*/ 2852600 w 12192000"/>
              <a:gd name="csY3065" fmla="*/ 1544967 h 6858000"/>
              <a:gd name="csX3066" fmla="*/ 2818254 w 12192000"/>
              <a:gd name="csY3066" fmla="*/ 1579787 h 6858000"/>
              <a:gd name="csX3067" fmla="*/ 2852600 w 12192000"/>
              <a:gd name="csY3067" fmla="*/ 1614607 h 6858000"/>
              <a:gd name="csX3068" fmla="*/ 2886947 w 12192000"/>
              <a:gd name="csY3068" fmla="*/ 1579787 h 6858000"/>
              <a:gd name="csX3069" fmla="*/ 2852600 w 12192000"/>
              <a:gd name="csY3069" fmla="*/ 1544967 h 6858000"/>
              <a:gd name="csX3070" fmla="*/ 2936343 w 12192000"/>
              <a:gd name="csY3070" fmla="*/ 1544967 h 6858000"/>
              <a:gd name="csX3071" fmla="*/ 2901996 w 12192000"/>
              <a:gd name="csY3071" fmla="*/ 1579787 h 6858000"/>
              <a:gd name="csX3072" fmla="*/ 2936343 w 12192000"/>
              <a:gd name="csY3072" fmla="*/ 1614607 h 6858000"/>
              <a:gd name="csX3073" fmla="*/ 2970689 w 12192000"/>
              <a:gd name="csY3073" fmla="*/ 1579787 h 6858000"/>
              <a:gd name="csX3074" fmla="*/ 2936343 w 12192000"/>
              <a:gd name="csY3074" fmla="*/ 1544967 h 6858000"/>
              <a:gd name="csX3075" fmla="*/ 3020084 w 12192000"/>
              <a:gd name="csY3075" fmla="*/ 1544967 h 6858000"/>
              <a:gd name="csX3076" fmla="*/ 2985737 w 12192000"/>
              <a:gd name="csY3076" fmla="*/ 1579787 h 6858000"/>
              <a:gd name="csX3077" fmla="*/ 3020084 w 12192000"/>
              <a:gd name="csY3077" fmla="*/ 1614607 h 6858000"/>
              <a:gd name="csX3078" fmla="*/ 3054431 w 12192000"/>
              <a:gd name="csY3078" fmla="*/ 1579787 h 6858000"/>
              <a:gd name="csX3079" fmla="*/ 3020084 w 12192000"/>
              <a:gd name="csY3079" fmla="*/ 1544967 h 6858000"/>
              <a:gd name="csX3080" fmla="*/ 3103826 w 12192000"/>
              <a:gd name="csY3080" fmla="*/ 1544967 h 6858000"/>
              <a:gd name="csX3081" fmla="*/ 3069479 w 12192000"/>
              <a:gd name="csY3081" fmla="*/ 1579787 h 6858000"/>
              <a:gd name="csX3082" fmla="*/ 3103826 w 12192000"/>
              <a:gd name="csY3082" fmla="*/ 1614607 h 6858000"/>
              <a:gd name="csX3083" fmla="*/ 3138173 w 12192000"/>
              <a:gd name="csY3083" fmla="*/ 1579787 h 6858000"/>
              <a:gd name="csX3084" fmla="*/ 3103826 w 12192000"/>
              <a:gd name="csY3084" fmla="*/ 1544967 h 6858000"/>
              <a:gd name="csX3085" fmla="*/ 3187567 w 12192000"/>
              <a:gd name="csY3085" fmla="*/ 1544967 h 6858000"/>
              <a:gd name="csX3086" fmla="*/ 3153221 w 12192000"/>
              <a:gd name="csY3086" fmla="*/ 1579787 h 6858000"/>
              <a:gd name="csX3087" fmla="*/ 3187567 w 12192000"/>
              <a:gd name="csY3087" fmla="*/ 1614607 h 6858000"/>
              <a:gd name="csX3088" fmla="*/ 3221914 w 12192000"/>
              <a:gd name="csY3088" fmla="*/ 1579787 h 6858000"/>
              <a:gd name="csX3089" fmla="*/ 3187567 w 12192000"/>
              <a:gd name="csY3089" fmla="*/ 1544967 h 6858000"/>
              <a:gd name="csX3090" fmla="*/ 3271309 w 12192000"/>
              <a:gd name="csY3090" fmla="*/ 1544967 h 6858000"/>
              <a:gd name="csX3091" fmla="*/ 3236962 w 12192000"/>
              <a:gd name="csY3091" fmla="*/ 1579787 h 6858000"/>
              <a:gd name="csX3092" fmla="*/ 3271309 w 12192000"/>
              <a:gd name="csY3092" fmla="*/ 1614607 h 6858000"/>
              <a:gd name="csX3093" fmla="*/ 3305655 w 12192000"/>
              <a:gd name="csY3093" fmla="*/ 1579787 h 6858000"/>
              <a:gd name="csX3094" fmla="*/ 3271309 w 12192000"/>
              <a:gd name="csY3094" fmla="*/ 1544967 h 6858000"/>
              <a:gd name="csX3095" fmla="*/ 3355051 w 12192000"/>
              <a:gd name="csY3095" fmla="*/ 1544967 h 6858000"/>
              <a:gd name="csX3096" fmla="*/ 3320704 w 12192000"/>
              <a:gd name="csY3096" fmla="*/ 1579787 h 6858000"/>
              <a:gd name="csX3097" fmla="*/ 3355051 w 12192000"/>
              <a:gd name="csY3097" fmla="*/ 1614607 h 6858000"/>
              <a:gd name="csX3098" fmla="*/ 3389398 w 12192000"/>
              <a:gd name="csY3098" fmla="*/ 1579787 h 6858000"/>
              <a:gd name="csX3099" fmla="*/ 3355051 w 12192000"/>
              <a:gd name="csY3099" fmla="*/ 1544967 h 6858000"/>
              <a:gd name="csX3100" fmla="*/ 3438792 w 12192000"/>
              <a:gd name="csY3100" fmla="*/ 1544967 h 6858000"/>
              <a:gd name="csX3101" fmla="*/ 3404445 w 12192000"/>
              <a:gd name="csY3101" fmla="*/ 1579787 h 6858000"/>
              <a:gd name="csX3102" fmla="*/ 3438792 w 12192000"/>
              <a:gd name="csY3102" fmla="*/ 1614607 h 6858000"/>
              <a:gd name="csX3103" fmla="*/ 3473139 w 12192000"/>
              <a:gd name="csY3103" fmla="*/ 1579787 h 6858000"/>
              <a:gd name="csX3104" fmla="*/ 3438792 w 12192000"/>
              <a:gd name="csY3104" fmla="*/ 1544967 h 6858000"/>
              <a:gd name="csX3105" fmla="*/ 3522533 w 12192000"/>
              <a:gd name="csY3105" fmla="*/ 1544967 h 6858000"/>
              <a:gd name="csX3106" fmla="*/ 3488187 w 12192000"/>
              <a:gd name="csY3106" fmla="*/ 1579787 h 6858000"/>
              <a:gd name="csX3107" fmla="*/ 3522533 w 12192000"/>
              <a:gd name="csY3107" fmla="*/ 1614607 h 6858000"/>
              <a:gd name="csX3108" fmla="*/ 3556880 w 12192000"/>
              <a:gd name="csY3108" fmla="*/ 1579787 h 6858000"/>
              <a:gd name="csX3109" fmla="*/ 3522533 w 12192000"/>
              <a:gd name="csY3109" fmla="*/ 1544967 h 6858000"/>
              <a:gd name="csX3110" fmla="*/ 3606276 w 12192000"/>
              <a:gd name="csY3110" fmla="*/ 1544967 h 6858000"/>
              <a:gd name="csX3111" fmla="*/ 3571929 w 12192000"/>
              <a:gd name="csY3111" fmla="*/ 1579787 h 6858000"/>
              <a:gd name="csX3112" fmla="*/ 3606276 w 12192000"/>
              <a:gd name="csY3112" fmla="*/ 1614607 h 6858000"/>
              <a:gd name="csX3113" fmla="*/ 3640622 w 12192000"/>
              <a:gd name="csY3113" fmla="*/ 1579787 h 6858000"/>
              <a:gd name="csX3114" fmla="*/ 3606276 w 12192000"/>
              <a:gd name="csY3114" fmla="*/ 1544967 h 6858000"/>
              <a:gd name="csX3115" fmla="*/ 3690017 w 12192000"/>
              <a:gd name="csY3115" fmla="*/ 1544967 h 6858000"/>
              <a:gd name="csX3116" fmla="*/ 3655670 w 12192000"/>
              <a:gd name="csY3116" fmla="*/ 1579787 h 6858000"/>
              <a:gd name="csX3117" fmla="*/ 3690017 w 12192000"/>
              <a:gd name="csY3117" fmla="*/ 1614607 h 6858000"/>
              <a:gd name="csX3118" fmla="*/ 3724364 w 12192000"/>
              <a:gd name="csY3118" fmla="*/ 1579787 h 6858000"/>
              <a:gd name="csX3119" fmla="*/ 3690017 w 12192000"/>
              <a:gd name="csY3119" fmla="*/ 1544967 h 6858000"/>
              <a:gd name="csX3120" fmla="*/ 3773759 w 12192000"/>
              <a:gd name="csY3120" fmla="*/ 1544967 h 6858000"/>
              <a:gd name="csX3121" fmla="*/ 3739412 w 12192000"/>
              <a:gd name="csY3121" fmla="*/ 1579787 h 6858000"/>
              <a:gd name="csX3122" fmla="*/ 3773759 w 12192000"/>
              <a:gd name="csY3122" fmla="*/ 1614607 h 6858000"/>
              <a:gd name="csX3123" fmla="*/ 3808106 w 12192000"/>
              <a:gd name="csY3123" fmla="*/ 1579787 h 6858000"/>
              <a:gd name="csX3124" fmla="*/ 3773759 w 12192000"/>
              <a:gd name="csY3124" fmla="*/ 1544967 h 6858000"/>
              <a:gd name="csX3125" fmla="*/ 3941242 w 12192000"/>
              <a:gd name="csY3125" fmla="*/ 1544967 h 6858000"/>
              <a:gd name="csX3126" fmla="*/ 3906895 w 12192000"/>
              <a:gd name="csY3126" fmla="*/ 1579787 h 6858000"/>
              <a:gd name="csX3127" fmla="*/ 3941242 w 12192000"/>
              <a:gd name="csY3127" fmla="*/ 1614607 h 6858000"/>
              <a:gd name="csX3128" fmla="*/ 3975588 w 12192000"/>
              <a:gd name="csY3128" fmla="*/ 1579787 h 6858000"/>
              <a:gd name="csX3129" fmla="*/ 3941242 w 12192000"/>
              <a:gd name="csY3129" fmla="*/ 1544967 h 6858000"/>
              <a:gd name="csX3130" fmla="*/ 4108732 w 12192000"/>
              <a:gd name="csY3130" fmla="*/ 1544967 h 6858000"/>
              <a:gd name="csX3131" fmla="*/ 4074386 w 12192000"/>
              <a:gd name="csY3131" fmla="*/ 1579787 h 6858000"/>
              <a:gd name="csX3132" fmla="*/ 4108732 w 12192000"/>
              <a:gd name="csY3132" fmla="*/ 1614607 h 6858000"/>
              <a:gd name="csX3133" fmla="*/ 4143079 w 12192000"/>
              <a:gd name="csY3133" fmla="*/ 1579787 h 6858000"/>
              <a:gd name="csX3134" fmla="*/ 4108732 w 12192000"/>
              <a:gd name="csY3134" fmla="*/ 1544967 h 6858000"/>
              <a:gd name="csX3135" fmla="*/ 4694923 w 12192000"/>
              <a:gd name="csY3135" fmla="*/ 1544967 h 6858000"/>
              <a:gd name="csX3136" fmla="*/ 4660576 w 12192000"/>
              <a:gd name="csY3136" fmla="*/ 1579787 h 6858000"/>
              <a:gd name="csX3137" fmla="*/ 4694923 w 12192000"/>
              <a:gd name="csY3137" fmla="*/ 1614607 h 6858000"/>
              <a:gd name="csX3138" fmla="*/ 4729270 w 12192000"/>
              <a:gd name="csY3138" fmla="*/ 1579787 h 6858000"/>
              <a:gd name="csX3139" fmla="*/ 4694923 w 12192000"/>
              <a:gd name="csY3139" fmla="*/ 1544967 h 6858000"/>
              <a:gd name="csX3140" fmla="*/ 4778665 w 12192000"/>
              <a:gd name="csY3140" fmla="*/ 1544967 h 6858000"/>
              <a:gd name="csX3141" fmla="*/ 4744319 w 12192000"/>
              <a:gd name="csY3141" fmla="*/ 1579787 h 6858000"/>
              <a:gd name="csX3142" fmla="*/ 4778665 w 12192000"/>
              <a:gd name="csY3142" fmla="*/ 1614607 h 6858000"/>
              <a:gd name="csX3143" fmla="*/ 4813012 w 12192000"/>
              <a:gd name="csY3143" fmla="*/ 1579787 h 6858000"/>
              <a:gd name="csX3144" fmla="*/ 4778665 w 12192000"/>
              <a:gd name="csY3144" fmla="*/ 1544967 h 6858000"/>
              <a:gd name="csX3145" fmla="*/ 4862406 w 12192000"/>
              <a:gd name="csY3145" fmla="*/ 1544967 h 6858000"/>
              <a:gd name="csX3146" fmla="*/ 4828060 w 12192000"/>
              <a:gd name="csY3146" fmla="*/ 1579787 h 6858000"/>
              <a:gd name="csX3147" fmla="*/ 4862406 w 12192000"/>
              <a:gd name="csY3147" fmla="*/ 1614607 h 6858000"/>
              <a:gd name="csX3148" fmla="*/ 4896753 w 12192000"/>
              <a:gd name="csY3148" fmla="*/ 1579787 h 6858000"/>
              <a:gd name="csX3149" fmla="*/ 4862406 w 12192000"/>
              <a:gd name="csY3149" fmla="*/ 1544967 h 6858000"/>
              <a:gd name="csX3150" fmla="*/ 4946148 w 12192000"/>
              <a:gd name="csY3150" fmla="*/ 1544967 h 6858000"/>
              <a:gd name="csX3151" fmla="*/ 4911801 w 12192000"/>
              <a:gd name="csY3151" fmla="*/ 1579787 h 6858000"/>
              <a:gd name="csX3152" fmla="*/ 4946148 w 12192000"/>
              <a:gd name="csY3152" fmla="*/ 1614607 h 6858000"/>
              <a:gd name="csX3153" fmla="*/ 4980494 w 12192000"/>
              <a:gd name="csY3153" fmla="*/ 1579787 h 6858000"/>
              <a:gd name="csX3154" fmla="*/ 4946148 w 12192000"/>
              <a:gd name="csY3154" fmla="*/ 1544967 h 6858000"/>
              <a:gd name="csX3155" fmla="*/ 5029890 w 12192000"/>
              <a:gd name="csY3155" fmla="*/ 1544967 h 6858000"/>
              <a:gd name="csX3156" fmla="*/ 4995543 w 12192000"/>
              <a:gd name="csY3156" fmla="*/ 1579787 h 6858000"/>
              <a:gd name="csX3157" fmla="*/ 5029890 w 12192000"/>
              <a:gd name="csY3157" fmla="*/ 1614607 h 6858000"/>
              <a:gd name="csX3158" fmla="*/ 5064237 w 12192000"/>
              <a:gd name="csY3158" fmla="*/ 1579787 h 6858000"/>
              <a:gd name="csX3159" fmla="*/ 5029890 w 12192000"/>
              <a:gd name="csY3159" fmla="*/ 1544967 h 6858000"/>
              <a:gd name="csX3160" fmla="*/ 5113631 w 12192000"/>
              <a:gd name="csY3160" fmla="*/ 1544967 h 6858000"/>
              <a:gd name="csX3161" fmla="*/ 5079285 w 12192000"/>
              <a:gd name="csY3161" fmla="*/ 1579787 h 6858000"/>
              <a:gd name="csX3162" fmla="*/ 5113631 w 12192000"/>
              <a:gd name="csY3162" fmla="*/ 1614607 h 6858000"/>
              <a:gd name="csX3163" fmla="*/ 5147978 w 12192000"/>
              <a:gd name="csY3163" fmla="*/ 1579787 h 6858000"/>
              <a:gd name="csX3164" fmla="*/ 5113631 w 12192000"/>
              <a:gd name="csY3164" fmla="*/ 1544967 h 6858000"/>
              <a:gd name="csX3165" fmla="*/ 5197372 w 12192000"/>
              <a:gd name="csY3165" fmla="*/ 1544967 h 6858000"/>
              <a:gd name="csX3166" fmla="*/ 5163026 w 12192000"/>
              <a:gd name="csY3166" fmla="*/ 1579787 h 6858000"/>
              <a:gd name="csX3167" fmla="*/ 5197372 w 12192000"/>
              <a:gd name="csY3167" fmla="*/ 1614607 h 6858000"/>
              <a:gd name="csX3168" fmla="*/ 5231719 w 12192000"/>
              <a:gd name="csY3168" fmla="*/ 1579787 h 6858000"/>
              <a:gd name="csX3169" fmla="*/ 5197372 w 12192000"/>
              <a:gd name="csY3169" fmla="*/ 1544967 h 6858000"/>
              <a:gd name="csX3170" fmla="*/ 6453498 w 12192000"/>
              <a:gd name="csY3170" fmla="*/ 1544967 h 6858000"/>
              <a:gd name="csX3171" fmla="*/ 6419144 w 12192000"/>
              <a:gd name="csY3171" fmla="*/ 1579787 h 6858000"/>
              <a:gd name="csX3172" fmla="*/ 6453498 w 12192000"/>
              <a:gd name="csY3172" fmla="*/ 1614607 h 6858000"/>
              <a:gd name="csX3173" fmla="*/ 6487838 w 12192000"/>
              <a:gd name="csY3173" fmla="*/ 1579787 h 6858000"/>
              <a:gd name="csX3174" fmla="*/ 6453498 w 12192000"/>
              <a:gd name="csY3174" fmla="*/ 1544967 h 6858000"/>
              <a:gd name="csX3175" fmla="*/ 6537239 w 12192000"/>
              <a:gd name="csY3175" fmla="*/ 1544967 h 6858000"/>
              <a:gd name="csX3176" fmla="*/ 6502886 w 12192000"/>
              <a:gd name="csY3176" fmla="*/ 1579787 h 6858000"/>
              <a:gd name="csX3177" fmla="*/ 6537239 w 12192000"/>
              <a:gd name="csY3177" fmla="*/ 1614607 h 6858000"/>
              <a:gd name="csX3178" fmla="*/ 6571579 w 12192000"/>
              <a:gd name="csY3178" fmla="*/ 1579787 h 6858000"/>
              <a:gd name="csX3179" fmla="*/ 6537239 w 12192000"/>
              <a:gd name="csY3179" fmla="*/ 1544967 h 6858000"/>
              <a:gd name="csX3180" fmla="*/ 7039688 w 12192000"/>
              <a:gd name="csY3180" fmla="*/ 1544967 h 6858000"/>
              <a:gd name="csX3181" fmla="*/ 7005335 w 12192000"/>
              <a:gd name="csY3181" fmla="*/ 1579787 h 6858000"/>
              <a:gd name="csX3182" fmla="*/ 7039688 w 12192000"/>
              <a:gd name="csY3182" fmla="*/ 1614607 h 6858000"/>
              <a:gd name="csX3183" fmla="*/ 7074029 w 12192000"/>
              <a:gd name="csY3183" fmla="*/ 1579787 h 6858000"/>
              <a:gd name="csX3184" fmla="*/ 7039688 w 12192000"/>
              <a:gd name="csY3184" fmla="*/ 1544967 h 6858000"/>
              <a:gd name="csX3185" fmla="*/ 7374681 w 12192000"/>
              <a:gd name="csY3185" fmla="*/ 1544967 h 6858000"/>
              <a:gd name="csX3186" fmla="*/ 7340328 w 12192000"/>
              <a:gd name="csY3186" fmla="*/ 1579787 h 6858000"/>
              <a:gd name="csX3187" fmla="*/ 7374681 w 12192000"/>
              <a:gd name="csY3187" fmla="*/ 1614607 h 6858000"/>
              <a:gd name="csX3188" fmla="*/ 7409022 w 12192000"/>
              <a:gd name="csY3188" fmla="*/ 1579787 h 6858000"/>
              <a:gd name="csX3189" fmla="*/ 7374681 w 12192000"/>
              <a:gd name="csY3189" fmla="*/ 1544967 h 6858000"/>
              <a:gd name="csX3190" fmla="*/ 7458423 w 12192000"/>
              <a:gd name="csY3190" fmla="*/ 1544967 h 6858000"/>
              <a:gd name="csX3191" fmla="*/ 7424070 w 12192000"/>
              <a:gd name="csY3191" fmla="*/ 1579787 h 6858000"/>
              <a:gd name="csX3192" fmla="*/ 7458423 w 12192000"/>
              <a:gd name="csY3192" fmla="*/ 1614607 h 6858000"/>
              <a:gd name="csX3193" fmla="*/ 7492763 w 12192000"/>
              <a:gd name="csY3193" fmla="*/ 1579787 h 6858000"/>
              <a:gd name="csX3194" fmla="*/ 7458423 w 12192000"/>
              <a:gd name="csY3194" fmla="*/ 1544967 h 6858000"/>
              <a:gd name="csX3195" fmla="*/ 7625906 w 12192000"/>
              <a:gd name="csY3195" fmla="*/ 1544967 h 6858000"/>
              <a:gd name="csX3196" fmla="*/ 7591553 w 12192000"/>
              <a:gd name="csY3196" fmla="*/ 1579787 h 6858000"/>
              <a:gd name="csX3197" fmla="*/ 7625906 w 12192000"/>
              <a:gd name="csY3197" fmla="*/ 1614607 h 6858000"/>
              <a:gd name="csX3198" fmla="*/ 7660246 w 12192000"/>
              <a:gd name="csY3198" fmla="*/ 1579787 h 6858000"/>
              <a:gd name="csX3199" fmla="*/ 7625906 w 12192000"/>
              <a:gd name="csY3199" fmla="*/ 1544967 h 6858000"/>
              <a:gd name="csX3200" fmla="*/ 7709647 w 12192000"/>
              <a:gd name="csY3200" fmla="*/ 1544967 h 6858000"/>
              <a:gd name="csX3201" fmla="*/ 7675294 w 12192000"/>
              <a:gd name="csY3201" fmla="*/ 1579787 h 6858000"/>
              <a:gd name="csX3202" fmla="*/ 7709647 w 12192000"/>
              <a:gd name="csY3202" fmla="*/ 1614607 h 6858000"/>
              <a:gd name="csX3203" fmla="*/ 7743988 w 12192000"/>
              <a:gd name="csY3203" fmla="*/ 1579787 h 6858000"/>
              <a:gd name="csX3204" fmla="*/ 7709647 w 12192000"/>
              <a:gd name="csY3204" fmla="*/ 1544967 h 6858000"/>
              <a:gd name="csX3205" fmla="*/ 7877131 w 12192000"/>
              <a:gd name="csY3205" fmla="*/ 1544967 h 6858000"/>
              <a:gd name="csX3206" fmla="*/ 7842778 w 12192000"/>
              <a:gd name="csY3206" fmla="*/ 1579787 h 6858000"/>
              <a:gd name="csX3207" fmla="*/ 7877131 w 12192000"/>
              <a:gd name="csY3207" fmla="*/ 1614607 h 6858000"/>
              <a:gd name="csX3208" fmla="*/ 7911471 w 12192000"/>
              <a:gd name="csY3208" fmla="*/ 1579787 h 6858000"/>
              <a:gd name="csX3209" fmla="*/ 7877131 w 12192000"/>
              <a:gd name="csY3209" fmla="*/ 1544967 h 6858000"/>
              <a:gd name="csX3210" fmla="*/ 7960872 w 12192000"/>
              <a:gd name="csY3210" fmla="*/ 1544967 h 6858000"/>
              <a:gd name="csX3211" fmla="*/ 7926519 w 12192000"/>
              <a:gd name="csY3211" fmla="*/ 1579787 h 6858000"/>
              <a:gd name="csX3212" fmla="*/ 7960872 w 12192000"/>
              <a:gd name="csY3212" fmla="*/ 1614607 h 6858000"/>
              <a:gd name="csX3213" fmla="*/ 7995212 w 12192000"/>
              <a:gd name="csY3213" fmla="*/ 1579787 h 6858000"/>
              <a:gd name="csX3214" fmla="*/ 7960872 w 12192000"/>
              <a:gd name="csY3214" fmla="*/ 1544967 h 6858000"/>
              <a:gd name="csX3215" fmla="*/ 8044614 w 12192000"/>
              <a:gd name="csY3215" fmla="*/ 1544967 h 6858000"/>
              <a:gd name="csX3216" fmla="*/ 8010261 w 12192000"/>
              <a:gd name="csY3216" fmla="*/ 1579787 h 6858000"/>
              <a:gd name="csX3217" fmla="*/ 8044614 w 12192000"/>
              <a:gd name="csY3217" fmla="*/ 1614607 h 6858000"/>
              <a:gd name="csX3218" fmla="*/ 8078955 w 12192000"/>
              <a:gd name="csY3218" fmla="*/ 1579787 h 6858000"/>
              <a:gd name="csX3219" fmla="*/ 8044614 w 12192000"/>
              <a:gd name="csY3219" fmla="*/ 1544967 h 6858000"/>
              <a:gd name="csX3220" fmla="*/ 8128356 w 12192000"/>
              <a:gd name="csY3220" fmla="*/ 1544967 h 6858000"/>
              <a:gd name="csX3221" fmla="*/ 8094003 w 12192000"/>
              <a:gd name="csY3221" fmla="*/ 1579787 h 6858000"/>
              <a:gd name="csX3222" fmla="*/ 8128356 w 12192000"/>
              <a:gd name="csY3222" fmla="*/ 1614607 h 6858000"/>
              <a:gd name="csX3223" fmla="*/ 8162696 w 12192000"/>
              <a:gd name="csY3223" fmla="*/ 1579787 h 6858000"/>
              <a:gd name="csX3224" fmla="*/ 8128356 w 12192000"/>
              <a:gd name="csY3224" fmla="*/ 1544967 h 6858000"/>
              <a:gd name="csX3225" fmla="*/ 8212097 w 12192000"/>
              <a:gd name="csY3225" fmla="*/ 1544967 h 6858000"/>
              <a:gd name="csX3226" fmla="*/ 8177744 w 12192000"/>
              <a:gd name="csY3226" fmla="*/ 1579787 h 6858000"/>
              <a:gd name="csX3227" fmla="*/ 8212097 w 12192000"/>
              <a:gd name="csY3227" fmla="*/ 1614607 h 6858000"/>
              <a:gd name="csX3228" fmla="*/ 8246437 w 12192000"/>
              <a:gd name="csY3228" fmla="*/ 1579787 h 6858000"/>
              <a:gd name="csX3229" fmla="*/ 8212097 w 12192000"/>
              <a:gd name="csY3229" fmla="*/ 1544967 h 6858000"/>
              <a:gd name="csX3230" fmla="*/ 8295839 w 12192000"/>
              <a:gd name="csY3230" fmla="*/ 1544967 h 6858000"/>
              <a:gd name="csX3231" fmla="*/ 8261486 w 12192000"/>
              <a:gd name="csY3231" fmla="*/ 1579787 h 6858000"/>
              <a:gd name="csX3232" fmla="*/ 8295839 w 12192000"/>
              <a:gd name="csY3232" fmla="*/ 1614607 h 6858000"/>
              <a:gd name="csX3233" fmla="*/ 8330179 w 12192000"/>
              <a:gd name="csY3233" fmla="*/ 1579787 h 6858000"/>
              <a:gd name="csX3234" fmla="*/ 8295839 w 12192000"/>
              <a:gd name="csY3234" fmla="*/ 1544967 h 6858000"/>
              <a:gd name="csX3235" fmla="*/ 8379580 w 12192000"/>
              <a:gd name="csY3235" fmla="*/ 1544967 h 6858000"/>
              <a:gd name="csX3236" fmla="*/ 8345227 w 12192000"/>
              <a:gd name="csY3236" fmla="*/ 1579787 h 6858000"/>
              <a:gd name="csX3237" fmla="*/ 8379580 w 12192000"/>
              <a:gd name="csY3237" fmla="*/ 1614607 h 6858000"/>
              <a:gd name="csX3238" fmla="*/ 8413921 w 12192000"/>
              <a:gd name="csY3238" fmla="*/ 1579787 h 6858000"/>
              <a:gd name="csX3239" fmla="*/ 8379580 w 12192000"/>
              <a:gd name="csY3239" fmla="*/ 1544967 h 6858000"/>
              <a:gd name="csX3240" fmla="*/ 8463323 w 12192000"/>
              <a:gd name="csY3240" fmla="*/ 1544967 h 6858000"/>
              <a:gd name="csX3241" fmla="*/ 8428970 w 12192000"/>
              <a:gd name="csY3241" fmla="*/ 1579787 h 6858000"/>
              <a:gd name="csX3242" fmla="*/ 8463323 w 12192000"/>
              <a:gd name="csY3242" fmla="*/ 1614607 h 6858000"/>
              <a:gd name="csX3243" fmla="*/ 8497663 w 12192000"/>
              <a:gd name="csY3243" fmla="*/ 1579787 h 6858000"/>
              <a:gd name="csX3244" fmla="*/ 8463323 w 12192000"/>
              <a:gd name="csY3244" fmla="*/ 1544967 h 6858000"/>
              <a:gd name="csX3245" fmla="*/ 8547064 w 12192000"/>
              <a:gd name="csY3245" fmla="*/ 1544967 h 6858000"/>
              <a:gd name="csX3246" fmla="*/ 8512711 w 12192000"/>
              <a:gd name="csY3246" fmla="*/ 1579787 h 6858000"/>
              <a:gd name="csX3247" fmla="*/ 8547064 w 12192000"/>
              <a:gd name="csY3247" fmla="*/ 1614607 h 6858000"/>
              <a:gd name="csX3248" fmla="*/ 8581404 w 12192000"/>
              <a:gd name="csY3248" fmla="*/ 1579787 h 6858000"/>
              <a:gd name="csX3249" fmla="*/ 8547064 w 12192000"/>
              <a:gd name="csY3249" fmla="*/ 1544967 h 6858000"/>
              <a:gd name="csX3250" fmla="*/ 8630805 w 12192000"/>
              <a:gd name="csY3250" fmla="*/ 1544967 h 6858000"/>
              <a:gd name="csX3251" fmla="*/ 8596452 w 12192000"/>
              <a:gd name="csY3251" fmla="*/ 1579787 h 6858000"/>
              <a:gd name="csX3252" fmla="*/ 8630805 w 12192000"/>
              <a:gd name="csY3252" fmla="*/ 1614607 h 6858000"/>
              <a:gd name="csX3253" fmla="*/ 8665145 w 12192000"/>
              <a:gd name="csY3253" fmla="*/ 1579787 h 6858000"/>
              <a:gd name="csX3254" fmla="*/ 8630805 w 12192000"/>
              <a:gd name="csY3254" fmla="*/ 1544967 h 6858000"/>
              <a:gd name="csX3255" fmla="*/ 8714547 w 12192000"/>
              <a:gd name="csY3255" fmla="*/ 1544967 h 6858000"/>
              <a:gd name="csX3256" fmla="*/ 8680194 w 12192000"/>
              <a:gd name="csY3256" fmla="*/ 1579787 h 6858000"/>
              <a:gd name="csX3257" fmla="*/ 8714547 w 12192000"/>
              <a:gd name="csY3257" fmla="*/ 1614607 h 6858000"/>
              <a:gd name="csX3258" fmla="*/ 8748888 w 12192000"/>
              <a:gd name="csY3258" fmla="*/ 1579787 h 6858000"/>
              <a:gd name="csX3259" fmla="*/ 8714547 w 12192000"/>
              <a:gd name="csY3259" fmla="*/ 1544967 h 6858000"/>
              <a:gd name="csX3260" fmla="*/ 8798289 w 12192000"/>
              <a:gd name="csY3260" fmla="*/ 1544967 h 6858000"/>
              <a:gd name="csX3261" fmla="*/ 8763936 w 12192000"/>
              <a:gd name="csY3261" fmla="*/ 1579787 h 6858000"/>
              <a:gd name="csX3262" fmla="*/ 8798289 w 12192000"/>
              <a:gd name="csY3262" fmla="*/ 1614607 h 6858000"/>
              <a:gd name="csX3263" fmla="*/ 8832629 w 12192000"/>
              <a:gd name="csY3263" fmla="*/ 1579787 h 6858000"/>
              <a:gd name="csX3264" fmla="*/ 8798289 w 12192000"/>
              <a:gd name="csY3264" fmla="*/ 1544967 h 6858000"/>
              <a:gd name="csX3265" fmla="*/ 8882030 w 12192000"/>
              <a:gd name="csY3265" fmla="*/ 1544967 h 6858000"/>
              <a:gd name="csX3266" fmla="*/ 8847677 w 12192000"/>
              <a:gd name="csY3266" fmla="*/ 1579787 h 6858000"/>
              <a:gd name="csX3267" fmla="*/ 8882030 w 12192000"/>
              <a:gd name="csY3267" fmla="*/ 1614607 h 6858000"/>
              <a:gd name="csX3268" fmla="*/ 8916370 w 12192000"/>
              <a:gd name="csY3268" fmla="*/ 1579787 h 6858000"/>
              <a:gd name="csX3269" fmla="*/ 8882030 w 12192000"/>
              <a:gd name="csY3269" fmla="*/ 1544967 h 6858000"/>
              <a:gd name="csX3270" fmla="*/ 8965772 w 12192000"/>
              <a:gd name="csY3270" fmla="*/ 1544967 h 6858000"/>
              <a:gd name="csX3271" fmla="*/ 8931419 w 12192000"/>
              <a:gd name="csY3271" fmla="*/ 1579787 h 6858000"/>
              <a:gd name="csX3272" fmla="*/ 8965772 w 12192000"/>
              <a:gd name="csY3272" fmla="*/ 1614607 h 6858000"/>
              <a:gd name="csX3273" fmla="*/ 9000112 w 12192000"/>
              <a:gd name="csY3273" fmla="*/ 1579787 h 6858000"/>
              <a:gd name="csX3274" fmla="*/ 8965772 w 12192000"/>
              <a:gd name="csY3274" fmla="*/ 1544967 h 6858000"/>
              <a:gd name="csX3275" fmla="*/ 9049513 w 12192000"/>
              <a:gd name="csY3275" fmla="*/ 1544967 h 6858000"/>
              <a:gd name="csX3276" fmla="*/ 9015160 w 12192000"/>
              <a:gd name="csY3276" fmla="*/ 1579787 h 6858000"/>
              <a:gd name="csX3277" fmla="*/ 9049513 w 12192000"/>
              <a:gd name="csY3277" fmla="*/ 1614607 h 6858000"/>
              <a:gd name="csX3278" fmla="*/ 9083854 w 12192000"/>
              <a:gd name="csY3278" fmla="*/ 1579787 h 6858000"/>
              <a:gd name="csX3279" fmla="*/ 9049513 w 12192000"/>
              <a:gd name="csY3279" fmla="*/ 1544967 h 6858000"/>
              <a:gd name="csX3280" fmla="*/ 9133256 w 12192000"/>
              <a:gd name="csY3280" fmla="*/ 1544967 h 6858000"/>
              <a:gd name="csX3281" fmla="*/ 9098903 w 12192000"/>
              <a:gd name="csY3281" fmla="*/ 1579787 h 6858000"/>
              <a:gd name="csX3282" fmla="*/ 9133256 w 12192000"/>
              <a:gd name="csY3282" fmla="*/ 1614607 h 6858000"/>
              <a:gd name="csX3283" fmla="*/ 9167596 w 12192000"/>
              <a:gd name="csY3283" fmla="*/ 1579787 h 6858000"/>
              <a:gd name="csX3284" fmla="*/ 9133256 w 12192000"/>
              <a:gd name="csY3284" fmla="*/ 1544967 h 6858000"/>
              <a:gd name="csX3285" fmla="*/ 9216997 w 12192000"/>
              <a:gd name="csY3285" fmla="*/ 1544967 h 6858000"/>
              <a:gd name="csX3286" fmla="*/ 9182644 w 12192000"/>
              <a:gd name="csY3286" fmla="*/ 1579787 h 6858000"/>
              <a:gd name="csX3287" fmla="*/ 9216997 w 12192000"/>
              <a:gd name="csY3287" fmla="*/ 1614607 h 6858000"/>
              <a:gd name="csX3288" fmla="*/ 9251337 w 12192000"/>
              <a:gd name="csY3288" fmla="*/ 1579787 h 6858000"/>
              <a:gd name="csX3289" fmla="*/ 9216997 w 12192000"/>
              <a:gd name="csY3289" fmla="*/ 1544967 h 6858000"/>
              <a:gd name="csX3290" fmla="*/ 9300738 w 12192000"/>
              <a:gd name="csY3290" fmla="*/ 1544967 h 6858000"/>
              <a:gd name="csX3291" fmla="*/ 9266385 w 12192000"/>
              <a:gd name="csY3291" fmla="*/ 1579787 h 6858000"/>
              <a:gd name="csX3292" fmla="*/ 9300738 w 12192000"/>
              <a:gd name="csY3292" fmla="*/ 1614607 h 6858000"/>
              <a:gd name="csX3293" fmla="*/ 9335078 w 12192000"/>
              <a:gd name="csY3293" fmla="*/ 1579787 h 6858000"/>
              <a:gd name="csX3294" fmla="*/ 9300738 w 12192000"/>
              <a:gd name="csY3294" fmla="*/ 1544967 h 6858000"/>
              <a:gd name="csX3295" fmla="*/ 9384480 w 12192000"/>
              <a:gd name="csY3295" fmla="*/ 1544967 h 6858000"/>
              <a:gd name="csX3296" fmla="*/ 9350127 w 12192000"/>
              <a:gd name="csY3296" fmla="*/ 1579787 h 6858000"/>
              <a:gd name="csX3297" fmla="*/ 9384480 w 12192000"/>
              <a:gd name="csY3297" fmla="*/ 1614607 h 6858000"/>
              <a:gd name="csX3298" fmla="*/ 9418821 w 12192000"/>
              <a:gd name="csY3298" fmla="*/ 1579787 h 6858000"/>
              <a:gd name="csX3299" fmla="*/ 9384480 w 12192000"/>
              <a:gd name="csY3299" fmla="*/ 1544967 h 6858000"/>
              <a:gd name="csX3300" fmla="*/ 9468222 w 12192000"/>
              <a:gd name="csY3300" fmla="*/ 1544967 h 6858000"/>
              <a:gd name="csX3301" fmla="*/ 9433869 w 12192000"/>
              <a:gd name="csY3301" fmla="*/ 1579787 h 6858000"/>
              <a:gd name="csX3302" fmla="*/ 9468222 w 12192000"/>
              <a:gd name="csY3302" fmla="*/ 1614607 h 6858000"/>
              <a:gd name="csX3303" fmla="*/ 9502562 w 12192000"/>
              <a:gd name="csY3303" fmla="*/ 1579787 h 6858000"/>
              <a:gd name="csX3304" fmla="*/ 9468222 w 12192000"/>
              <a:gd name="csY3304" fmla="*/ 1544967 h 6858000"/>
              <a:gd name="csX3305" fmla="*/ 9551963 w 12192000"/>
              <a:gd name="csY3305" fmla="*/ 1544967 h 6858000"/>
              <a:gd name="csX3306" fmla="*/ 9517610 w 12192000"/>
              <a:gd name="csY3306" fmla="*/ 1579787 h 6858000"/>
              <a:gd name="csX3307" fmla="*/ 9551963 w 12192000"/>
              <a:gd name="csY3307" fmla="*/ 1614607 h 6858000"/>
              <a:gd name="csX3308" fmla="*/ 9586303 w 12192000"/>
              <a:gd name="csY3308" fmla="*/ 1579787 h 6858000"/>
              <a:gd name="csX3309" fmla="*/ 9551963 w 12192000"/>
              <a:gd name="csY3309" fmla="*/ 1544967 h 6858000"/>
              <a:gd name="csX3310" fmla="*/ 9635705 w 12192000"/>
              <a:gd name="csY3310" fmla="*/ 1544967 h 6858000"/>
              <a:gd name="csX3311" fmla="*/ 9601352 w 12192000"/>
              <a:gd name="csY3311" fmla="*/ 1579787 h 6858000"/>
              <a:gd name="csX3312" fmla="*/ 9635705 w 12192000"/>
              <a:gd name="csY3312" fmla="*/ 1614607 h 6858000"/>
              <a:gd name="csX3313" fmla="*/ 9670045 w 12192000"/>
              <a:gd name="csY3313" fmla="*/ 1579787 h 6858000"/>
              <a:gd name="csX3314" fmla="*/ 9635705 w 12192000"/>
              <a:gd name="csY3314" fmla="*/ 1544967 h 6858000"/>
              <a:gd name="csX3315" fmla="*/ 9719446 w 12192000"/>
              <a:gd name="csY3315" fmla="*/ 1544967 h 6858000"/>
              <a:gd name="csX3316" fmla="*/ 9685093 w 12192000"/>
              <a:gd name="csY3316" fmla="*/ 1579787 h 6858000"/>
              <a:gd name="csX3317" fmla="*/ 9719446 w 12192000"/>
              <a:gd name="csY3317" fmla="*/ 1614607 h 6858000"/>
              <a:gd name="csX3318" fmla="*/ 9753787 w 12192000"/>
              <a:gd name="csY3318" fmla="*/ 1579787 h 6858000"/>
              <a:gd name="csX3319" fmla="*/ 9719446 w 12192000"/>
              <a:gd name="csY3319" fmla="*/ 1544967 h 6858000"/>
              <a:gd name="csX3320" fmla="*/ 9803189 w 12192000"/>
              <a:gd name="csY3320" fmla="*/ 1544967 h 6858000"/>
              <a:gd name="csX3321" fmla="*/ 9768836 w 12192000"/>
              <a:gd name="csY3321" fmla="*/ 1579787 h 6858000"/>
              <a:gd name="csX3322" fmla="*/ 9803189 w 12192000"/>
              <a:gd name="csY3322" fmla="*/ 1614607 h 6858000"/>
              <a:gd name="csX3323" fmla="*/ 9837529 w 12192000"/>
              <a:gd name="csY3323" fmla="*/ 1579787 h 6858000"/>
              <a:gd name="csX3324" fmla="*/ 9803189 w 12192000"/>
              <a:gd name="csY3324" fmla="*/ 1544967 h 6858000"/>
              <a:gd name="csX3325" fmla="*/ 9886930 w 12192000"/>
              <a:gd name="csY3325" fmla="*/ 1544967 h 6858000"/>
              <a:gd name="csX3326" fmla="*/ 9852577 w 12192000"/>
              <a:gd name="csY3326" fmla="*/ 1579787 h 6858000"/>
              <a:gd name="csX3327" fmla="*/ 9886930 w 12192000"/>
              <a:gd name="csY3327" fmla="*/ 1614607 h 6858000"/>
              <a:gd name="csX3328" fmla="*/ 9921270 w 12192000"/>
              <a:gd name="csY3328" fmla="*/ 1579787 h 6858000"/>
              <a:gd name="csX3329" fmla="*/ 9886930 w 12192000"/>
              <a:gd name="csY3329" fmla="*/ 1544967 h 6858000"/>
              <a:gd name="csX3330" fmla="*/ 9970671 w 12192000"/>
              <a:gd name="csY3330" fmla="*/ 1544967 h 6858000"/>
              <a:gd name="csX3331" fmla="*/ 9936318 w 12192000"/>
              <a:gd name="csY3331" fmla="*/ 1579787 h 6858000"/>
              <a:gd name="csX3332" fmla="*/ 9970671 w 12192000"/>
              <a:gd name="csY3332" fmla="*/ 1614607 h 6858000"/>
              <a:gd name="csX3333" fmla="*/ 10005011 w 12192000"/>
              <a:gd name="csY3333" fmla="*/ 1579787 h 6858000"/>
              <a:gd name="csX3334" fmla="*/ 9970671 w 12192000"/>
              <a:gd name="csY3334" fmla="*/ 1544967 h 6858000"/>
              <a:gd name="csX3335" fmla="*/ 10221896 w 12192000"/>
              <a:gd name="csY3335" fmla="*/ 1544967 h 6858000"/>
              <a:gd name="csX3336" fmla="*/ 10187543 w 12192000"/>
              <a:gd name="csY3336" fmla="*/ 1579787 h 6858000"/>
              <a:gd name="csX3337" fmla="*/ 10221896 w 12192000"/>
              <a:gd name="csY3337" fmla="*/ 1614607 h 6858000"/>
              <a:gd name="csX3338" fmla="*/ 10256236 w 12192000"/>
              <a:gd name="csY3338" fmla="*/ 1579787 h 6858000"/>
              <a:gd name="csX3339" fmla="*/ 10221896 w 12192000"/>
              <a:gd name="csY3339" fmla="*/ 1544967 h 6858000"/>
              <a:gd name="csX3340" fmla="*/ 1512741 w 12192000"/>
              <a:gd name="csY3340" fmla="*/ 1629830 h 6858000"/>
              <a:gd name="csX3341" fmla="*/ 1478395 w 12192000"/>
              <a:gd name="csY3341" fmla="*/ 1664651 h 6858000"/>
              <a:gd name="csX3342" fmla="*/ 1512741 w 12192000"/>
              <a:gd name="csY3342" fmla="*/ 1699471 h 6858000"/>
              <a:gd name="csX3343" fmla="*/ 1547088 w 12192000"/>
              <a:gd name="csY3343" fmla="*/ 1664651 h 6858000"/>
              <a:gd name="csX3344" fmla="*/ 1512741 w 12192000"/>
              <a:gd name="csY3344" fmla="*/ 1629830 h 6858000"/>
              <a:gd name="csX3345" fmla="*/ 1596483 w 12192000"/>
              <a:gd name="csY3345" fmla="*/ 1629830 h 6858000"/>
              <a:gd name="csX3346" fmla="*/ 1562136 w 12192000"/>
              <a:gd name="csY3346" fmla="*/ 1664651 h 6858000"/>
              <a:gd name="csX3347" fmla="*/ 1596483 w 12192000"/>
              <a:gd name="csY3347" fmla="*/ 1699471 h 6858000"/>
              <a:gd name="csX3348" fmla="*/ 1630829 w 12192000"/>
              <a:gd name="csY3348" fmla="*/ 1664651 h 6858000"/>
              <a:gd name="csX3349" fmla="*/ 1596483 w 12192000"/>
              <a:gd name="csY3349" fmla="*/ 1629830 h 6858000"/>
              <a:gd name="csX3350" fmla="*/ 1680225 w 12192000"/>
              <a:gd name="csY3350" fmla="*/ 1629830 h 6858000"/>
              <a:gd name="csX3351" fmla="*/ 1645878 w 12192000"/>
              <a:gd name="csY3351" fmla="*/ 1664651 h 6858000"/>
              <a:gd name="csX3352" fmla="*/ 1680225 w 12192000"/>
              <a:gd name="csY3352" fmla="*/ 1699471 h 6858000"/>
              <a:gd name="csX3353" fmla="*/ 1714572 w 12192000"/>
              <a:gd name="csY3353" fmla="*/ 1664651 h 6858000"/>
              <a:gd name="csX3354" fmla="*/ 1680225 w 12192000"/>
              <a:gd name="csY3354" fmla="*/ 1629830 h 6858000"/>
              <a:gd name="csX3355" fmla="*/ 1763966 w 12192000"/>
              <a:gd name="csY3355" fmla="*/ 1629830 h 6858000"/>
              <a:gd name="csX3356" fmla="*/ 1729620 w 12192000"/>
              <a:gd name="csY3356" fmla="*/ 1664651 h 6858000"/>
              <a:gd name="csX3357" fmla="*/ 1763966 w 12192000"/>
              <a:gd name="csY3357" fmla="*/ 1699471 h 6858000"/>
              <a:gd name="csX3358" fmla="*/ 1798313 w 12192000"/>
              <a:gd name="csY3358" fmla="*/ 1664651 h 6858000"/>
              <a:gd name="csX3359" fmla="*/ 1763966 w 12192000"/>
              <a:gd name="csY3359" fmla="*/ 1629830 h 6858000"/>
              <a:gd name="csX3360" fmla="*/ 1847707 w 12192000"/>
              <a:gd name="csY3360" fmla="*/ 1629830 h 6858000"/>
              <a:gd name="csX3361" fmla="*/ 1813361 w 12192000"/>
              <a:gd name="csY3361" fmla="*/ 1664651 h 6858000"/>
              <a:gd name="csX3362" fmla="*/ 1847707 w 12192000"/>
              <a:gd name="csY3362" fmla="*/ 1699471 h 6858000"/>
              <a:gd name="csX3363" fmla="*/ 1882054 w 12192000"/>
              <a:gd name="csY3363" fmla="*/ 1664651 h 6858000"/>
              <a:gd name="csX3364" fmla="*/ 1847707 w 12192000"/>
              <a:gd name="csY3364" fmla="*/ 1629830 h 6858000"/>
              <a:gd name="csX3365" fmla="*/ 2015191 w 12192000"/>
              <a:gd name="csY3365" fmla="*/ 1629830 h 6858000"/>
              <a:gd name="csX3366" fmla="*/ 1980844 w 12192000"/>
              <a:gd name="csY3366" fmla="*/ 1664651 h 6858000"/>
              <a:gd name="csX3367" fmla="*/ 2015191 w 12192000"/>
              <a:gd name="csY3367" fmla="*/ 1699471 h 6858000"/>
              <a:gd name="csX3368" fmla="*/ 2049538 w 12192000"/>
              <a:gd name="csY3368" fmla="*/ 1664651 h 6858000"/>
              <a:gd name="csX3369" fmla="*/ 2015191 w 12192000"/>
              <a:gd name="csY3369" fmla="*/ 1629830 h 6858000"/>
              <a:gd name="csX3370" fmla="*/ 2098932 w 12192000"/>
              <a:gd name="csY3370" fmla="*/ 1629830 h 6858000"/>
              <a:gd name="csX3371" fmla="*/ 2064586 w 12192000"/>
              <a:gd name="csY3371" fmla="*/ 1664651 h 6858000"/>
              <a:gd name="csX3372" fmla="*/ 2098932 w 12192000"/>
              <a:gd name="csY3372" fmla="*/ 1699471 h 6858000"/>
              <a:gd name="csX3373" fmla="*/ 2133279 w 12192000"/>
              <a:gd name="csY3373" fmla="*/ 1664651 h 6858000"/>
              <a:gd name="csX3374" fmla="*/ 2098932 w 12192000"/>
              <a:gd name="csY3374" fmla="*/ 1629830 h 6858000"/>
              <a:gd name="csX3375" fmla="*/ 2182674 w 12192000"/>
              <a:gd name="csY3375" fmla="*/ 1629830 h 6858000"/>
              <a:gd name="csX3376" fmla="*/ 2148328 w 12192000"/>
              <a:gd name="csY3376" fmla="*/ 1664651 h 6858000"/>
              <a:gd name="csX3377" fmla="*/ 2182674 w 12192000"/>
              <a:gd name="csY3377" fmla="*/ 1699471 h 6858000"/>
              <a:gd name="csX3378" fmla="*/ 2217021 w 12192000"/>
              <a:gd name="csY3378" fmla="*/ 1664651 h 6858000"/>
              <a:gd name="csX3379" fmla="*/ 2182674 w 12192000"/>
              <a:gd name="csY3379" fmla="*/ 1629830 h 6858000"/>
              <a:gd name="csX3380" fmla="*/ 2266416 w 12192000"/>
              <a:gd name="csY3380" fmla="*/ 1629830 h 6858000"/>
              <a:gd name="csX3381" fmla="*/ 2232069 w 12192000"/>
              <a:gd name="csY3381" fmla="*/ 1664651 h 6858000"/>
              <a:gd name="csX3382" fmla="*/ 2266416 w 12192000"/>
              <a:gd name="csY3382" fmla="*/ 1699471 h 6858000"/>
              <a:gd name="csX3383" fmla="*/ 2300762 w 12192000"/>
              <a:gd name="csY3383" fmla="*/ 1664651 h 6858000"/>
              <a:gd name="csX3384" fmla="*/ 2266416 w 12192000"/>
              <a:gd name="csY3384" fmla="*/ 1629830 h 6858000"/>
              <a:gd name="csX3385" fmla="*/ 2350151 w 12192000"/>
              <a:gd name="csY3385" fmla="*/ 1629830 h 6858000"/>
              <a:gd name="csX3386" fmla="*/ 2315804 w 12192000"/>
              <a:gd name="csY3386" fmla="*/ 1664651 h 6858000"/>
              <a:gd name="csX3387" fmla="*/ 2350151 w 12192000"/>
              <a:gd name="csY3387" fmla="*/ 1699471 h 6858000"/>
              <a:gd name="csX3388" fmla="*/ 2384498 w 12192000"/>
              <a:gd name="csY3388" fmla="*/ 1664651 h 6858000"/>
              <a:gd name="csX3389" fmla="*/ 2350151 w 12192000"/>
              <a:gd name="csY3389" fmla="*/ 1629830 h 6858000"/>
              <a:gd name="csX3390" fmla="*/ 2433893 w 12192000"/>
              <a:gd name="csY3390" fmla="*/ 1629830 h 6858000"/>
              <a:gd name="csX3391" fmla="*/ 2399546 w 12192000"/>
              <a:gd name="csY3391" fmla="*/ 1664651 h 6858000"/>
              <a:gd name="csX3392" fmla="*/ 2433893 w 12192000"/>
              <a:gd name="csY3392" fmla="*/ 1699471 h 6858000"/>
              <a:gd name="csX3393" fmla="*/ 2468240 w 12192000"/>
              <a:gd name="csY3393" fmla="*/ 1664651 h 6858000"/>
              <a:gd name="csX3394" fmla="*/ 2433893 w 12192000"/>
              <a:gd name="csY3394" fmla="*/ 1629830 h 6858000"/>
              <a:gd name="csX3395" fmla="*/ 2517634 w 12192000"/>
              <a:gd name="csY3395" fmla="*/ 1629830 h 6858000"/>
              <a:gd name="csX3396" fmla="*/ 2483288 w 12192000"/>
              <a:gd name="csY3396" fmla="*/ 1664651 h 6858000"/>
              <a:gd name="csX3397" fmla="*/ 2517634 w 12192000"/>
              <a:gd name="csY3397" fmla="*/ 1699471 h 6858000"/>
              <a:gd name="csX3398" fmla="*/ 2551981 w 12192000"/>
              <a:gd name="csY3398" fmla="*/ 1664651 h 6858000"/>
              <a:gd name="csX3399" fmla="*/ 2517634 w 12192000"/>
              <a:gd name="csY3399" fmla="*/ 1629830 h 6858000"/>
              <a:gd name="csX3400" fmla="*/ 2601376 w 12192000"/>
              <a:gd name="csY3400" fmla="*/ 1629830 h 6858000"/>
              <a:gd name="csX3401" fmla="*/ 2567029 w 12192000"/>
              <a:gd name="csY3401" fmla="*/ 1664651 h 6858000"/>
              <a:gd name="csX3402" fmla="*/ 2601376 w 12192000"/>
              <a:gd name="csY3402" fmla="*/ 1699471 h 6858000"/>
              <a:gd name="csX3403" fmla="*/ 2635722 w 12192000"/>
              <a:gd name="csY3403" fmla="*/ 1664651 h 6858000"/>
              <a:gd name="csX3404" fmla="*/ 2601376 w 12192000"/>
              <a:gd name="csY3404" fmla="*/ 1629830 h 6858000"/>
              <a:gd name="csX3405" fmla="*/ 2685118 w 12192000"/>
              <a:gd name="csY3405" fmla="*/ 1629830 h 6858000"/>
              <a:gd name="csX3406" fmla="*/ 2650771 w 12192000"/>
              <a:gd name="csY3406" fmla="*/ 1664651 h 6858000"/>
              <a:gd name="csX3407" fmla="*/ 2685118 w 12192000"/>
              <a:gd name="csY3407" fmla="*/ 1699471 h 6858000"/>
              <a:gd name="csX3408" fmla="*/ 2719465 w 12192000"/>
              <a:gd name="csY3408" fmla="*/ 1664651 h 6858000"/>
              <a:gd name="csX3409" fmla="*/ 2685118 w 12192000"/>
              <a:gd name="csY3409" fmla="*/ 1629830 h 6858000"/>
              <a:gd name="csX3410" fmla="*/ 2852600 w 12192000"/>
              <a:gd name="csY3410" fmla="*/ 1629830 h 6858000"/>
              <a:gd name="csX3411" fmla="*/ 2818254 w 12192000"/>
              <a:gd name="csY3411" fmla="*/ 1664651 h 6858000"/>
              <a:gd name="csX3412" fmla="*/ 2852600 w 12192000"/>
              <a:gd name="csY3412" fmla="*/ 1699471 h 6858000"/>
              <a:gd name="csX3413" fmla="*/ 2886947 w 12192000"/>
              <a:gd name="csY3413" fmla="*/ 1664651 h 6858000"/>
              <a:gd name="csX3414" fmla="*/ 2852600 w 12192000"/>
              <a:gd name="csY3414" fmla="*/ 1629830 h 6858000"/>
              <a:gd name="csX3415" fmla="*/ 2936343 w 12192000"/>
              <a:gd name="csY3415" fmla="*/ 1629830 h 6858000"/>
              <a:gd name="csX3416" fmla="*/ 2901996 w 12192000"/>
              <a:gd name="csY3416" fmla="*/ 1664651 h 6858000"/>
              <a:gd name="csX3417" fmla="*/ 2936343 w 12192000"/>
              <a:gd name="csY3417" fmla="*/ 1699471 h 6858000"/>
              <a:gd name="csX3418" fmla="*/ 2970689 w 12192000"/>
              <a:gd name="csY3418" fmla="*/ 1664651 h 6858000"/>
              <a:gd name="csX3419" fmla="*/ 2936343 w 12192000"/>
              <a:gd name="csY3419" fmla="*/ 1629830 h 6858000"/>
              <a:gd name="csX3420" fmla="*/ 3103826 w 12192000"/>
              <a:gd name="csY3420" fmla="*/ 1629830 h 6858000"/>
              <a:gd name="csX3421" fmla="*/ 3069479 w 12192000"/>
              <a:gd name="csY3421" fmla="*/ 1664651 h 6858000"/>
              <a:gd name="csX3422" fmla="*/ 3103826 w 12192000"/>
              <a:gd name="csY3422" fmla="*/ 1699471 h 6858000"/>
              <a:gd name="csX3423" fmla="*/ 3138173 w 12192000"/>
              <a:gd name="csY3423" fmla="*/ 1664651 h 6858000"/>
              <a:gd name="csX3424" fmla="*/ 3103826 w 12192000"/>
              <a:gd name="csY3424" fmla="*/ 1629830 h 6858000"/>
              <a:gd name="csX3425" fmla="*/ 3187567 w 12192000"/>
              <a:gd name="csY3425" fmla="*/ 1629830 h 6858000"/>
              <a:gd name="csX3426" fmla="*/ 3153221 w 12192000"/>
              <a:gd name="csY3426" fmla="*/ 1664651 h 6858000"/>
              <a:gd name="csX3427" fmla="*/ 3187567 w 12192000"/>
              <a:gd name="csY3427" fmla="*/ 1699471 h 6858000"/>
              <a:gd name="csX3428" fmla="*/ 3221914 w 12192000"/>
              <a:gd name="csY3428" fmla="*/ 1664651 h 6858000"/>
              <a:gd name="csX3429" fmla="*/ 3187567 w 12192000"/>
              <a:gd name="csY3429" fmla="*/ 1629830 h 6858000"/>
              <a:gd name="csX3430" fmla="*/ 3271309 w 12192000"/>
              <a:gd name="csY3430" fmla="*/ 1629830 h 6858000"/>
              <a:gd name="csX3431" fmla="*/ 3236962 w 12192000"/>
              <a:gd name="csY3431" fmla="*/ 1664651 h 6858000"/>
              <a:gd name="csX3432" fmla="*/ 3271309 w 12192000"/>
              <a:gd name="csY3432" fmla="*/ 1699471 h 6858000"/>
              <a:gd name="csX3433" fmla="*/ 3305655 w 12192000"/>
              <a:gd name="csY3433" fmla="*/ 1664651 h 6858000"/>
              <a:gd name="csX3434" fmla="*/ 3271309 w 12192000"/>
              <a:gd name="csY3434" fmla="*/ 1629830 h 6858000"/>
              <a:gd name="csX3435" fmla="*/ 3438792 w 12192000"/>
              <a:gd name="csY3435" fmla="*/ 1629830 h 6858000"/>
              <a:gd name="csX3436" fmla="*/ 3404445 w 12192000"/>
              <a:gd name="csY3436" fmla="*/ 1664651 h 6858000"/>
              <a:gd name="csX3437" fmla="*/ 3438792 w 12192000"/>
              <a:gd name="csY3437" fmla="*/ 1699471 h 6858000"/>
              <a:gd name="csX3438" fmla="*/ 3473139 w 12192000"/>
              <a:gd name="csY3438" fmla="*/ 1664651 h 6858000"/>
              <a:gd name="csX3439" fmla="*/ 3438792 w 12192000"/>
              <a:gd name="csY3439" fmla="*/ 1629830 h 6858000"/>
              <a:gd name="csX3440" fmla="*/ 3522533 w 12192000"/>
              <a:gd name="csY3440" fmla="*/ 1629830 h 6858000"/>
              <a:gd name="csX3441" fmla="*/ 3488187 w 12192000"/>
              <a:gd name="csY3441" fmla="*/ 1664651 h 6858000"/>
              <a:gd name="csX3442" fmla="*/ 3522533 w 12192000"/>
              <a:gd name="csY3442" fmla="*/ 1699471 h 6858000"/>
              <a:gd name="csX3443" fmla="*/ 3556880 w 12192000"/>
              <a:gd name="csY3443" fmla="*/ 1664651 h 6858000"/>
              <a:gd name="csX3444" fmla="*/ 3522533 w 12192000"/>
              <a:gd name="csY3444" fmla="*/ 1629830 h 6858000"/>
              <a:gd name="csX3445" fmla="*/ 4024990 w 12192000"/>
              <a:gd name="csY3445" fmla="*/ 1629830 h 6858000"/>
              <a:gd name="csX3446" fmla="*/ 3990643 w 12192000"/>
              <a:gd name="csY3446" fmla="*/ 1664651 h 6858000"/>
              <a:gd name="csX3447" fmla="*/ 4024990 w 12192000"/>
              <a:gd name="csY3447" fmla="*/ 1699471 h 6858000"/>
              <a:gd name="csX3448" fmla="*/ 4059337 w 12192000"/>
              <a:gd name="csY3448" fmla="*/ 1664651 h 6858000"/>
              <a:gd name="csX3449" fmla="*/ 4024990 w 12192000"/>
              <a:gd name="csY3449" fmla="*/ 1629830 h 6858000"/>
              <a:gd name="csX3450" fmla="*/ 4108732 w 12192000"/>
              <a:gd name="csY3450" fmla="*/ 1629830 h 6858000"/>
              <a:gd name="csX3451" fmla="*/ 4074386 w 12192000"/>
              <a:gd name="csY3451" fmla="*/ 1664651 h 6858000"/>
              <a:gd name="csX3452" fmla="*/ 4108732 w 12192000"/>
              <a:gd name="csY3452" fmla="*/ 1699471 h 6858000"/>
              <a:gd name="csX3453" fmla="*/ 4143079 w 12192000"/>
              <a:gd name="csY3453" fmla="*/ 1664651 h 6858000"/>
              <a:gd name="csX3454" fmla="*/ 4108732 w 12192000"/>
              <a:gd name="csY3454" fmla="*/ 1629830 h 6858000"/>
              <a:gd name="csX3455" fmla="*/ 4192473 w 12192000"/>
              <a:gd name="csY3455" fmla="*/ 1629830 h 6858000"/>
              <a:gd name="csX3456" fmla="*/ 4158127 w 12192000"/>
              <a:gd name="csY3456" fmla="*/ 1664651 h 6858000"/>
              <a:gd name="csX3457" fmla="*/ 4192473 w 12192000"/>
              <a:gd name="csY3457" fmla="*/ 1699471 h 6858000"/>
              <a:gd name="csX3458" fmla="*/ 4226820 w 12192000"/>
              <a:gd name="csY3458" fmla="*/ 1664651 h 6858000"/>
              <a:gd name="csX3459" fmla="*/ 4192473 w 12192000"/>
              <a:gd name="csY3459" fmla="*/ 1629830 h 6858000"/>
              <a:gd name="csX3460" fmla="*/ 4611182 w 12192000"/>
              <a:gd name="csY3460" fmla="*/ 1629830 h 6858000"/>
              <a:gd name="csX3461" fmla="*/ 4576835 w 12192000"/>
              <a:gd name="csY3461" fmla="*/ 1664651 h 6858000"/>
              <a:gd name="csX3462" fmla="*/ 4611182 w 12192000"/>
              <a:gd name="csY3462" fmla="*/ 1699471 h 6858000"/>
              <a:gd name="csX3463" fmla="*/ 4645528 w 12192000"/>
              <a:gd name="csY3463" fmla="*/ 1664651 h 6858000"/>
              <a:gd name="csX3464" fmla="*/ 4611182 w 12192000"/>
              <a:gd name="csY3464" fmla="*/ 1629830 h 6858000"/>
              <a:gd name="csX3465" fmla="*/ 4694923 w 12192000"/>
              <a:gd name="csY3465" fmla="*/ 1629830 h 6858000"/>
              <a:gd name="csX3466" fmla="*/ 4660576 w 12192000"/>
              <a:gd name="csY3466" fmla="*/ 1664651 h 6858000"/>
              <a:gd name="csX3467" fmla="*/ 4694923 w 12192000"/>
              <a:gd name="csY3467" fmla="*/ 1699471 h 6858000"/>
              <a:gd name="csX3468" fmla="*/ 4729270 w 12192000"/>
              <a:gd name="csY3468" fmla="*/ 1664651 h 6858000"/>
              <a:gd name="csX3469" fmla="*/ 4694923 w 12192000"/>
              <a:gd name="csY3469" fmla="*/ 1629830 h 6858000"/>
              <a:gd name="csX3470" fmla="*/ 4778665 w 12192000"/>
              <a:gd name="csY3470" fmla="*/ 1629830 h 6858000"/>
              <a:gd name="csX3471" fmla="*/ 4744319 w 12192000"/>
              <a:gd name="csY3471" fmla="*/ 1664651 h 6858000"/>
              <a:gd name="csX3472" fmla="*/ 4778665 w 12192000"/>
              <a:gd name="csY3472" fmla="*/ 1699471 h 6858000"/>
              <a:gd name="csX3473" fmla="*/ 4813012 w 12192000"/>
              <a:gd name="csY3473" fmla="*/ 1664651 h 6858000"/>
              <a:gd name="csX3474" fmla="*/ 4778665 w 12192000"/>
              <a:gd name="csY3474" fmla="*/ 1629830 h 6858000"/>
              <a:gd name="csX3475" fmla="*/ 4862406 w 12192000"/>
              <a:gd name="csY3475" fmla="*/ 1629830 h 6858000"/>
              <a:gd name="csX3476" fmla="*/ 4828060 w 12192000"/>
              <a:gd name="csY3476" fmla="*/ 1664651 h 6858000"/>
              <a:gd name="csX3477" fmla="*/ 4862406 w 12192000"/>
              <a:gd name="csY3477" fmla="*/ 1699471 h 6858000"/>
              <a:gd name="csX3478" fmla="*/ 4896753 w 12192000"/>
              <a:gd name="csY3478" fmla="*/ 1664651 h 6858000"/>
              <a:gd name="csX3479" fmla="*/ 4862406 w 12192000"/>
              <a:gd name="csY3479" fmla="*/ 1629830 h 6858000"/>
              <a:gd name="csX3480" fmla="*/ 4946148 w 12192000"/>
              <a:gd name="csY3480" fmla="*/ 1629830 h 6858000"/>
              <a:gd name="csX3481" fmla="*/ 4911801 w 12192000"/>
              <a:gd name="csY3481" fmla="*/ 1664651 h 6858000"/>
              <a:gd name="csX3482" fmla="*/ 4946148 w 12192000"/>
              <a:gd name="csY3482" fmla="*/ 1699471 h 6858000"/>
              <a:gd name="csX3483" fmla="*/ 4980494 w 12192000"/>
              <a:gd name="csY3483" fmla="*/ 1664651 h 6858000"/>
              <a:gd name="csX3484" fmla="*/ 4946148 w 12192000"/>
              <a:gd name="csY3484" fmla="*/ 1629830 h 6858000"/>
              <a:gd name="csX3485" fmla="*/ 5029890 w 12192000"/>
              <a:gd name="csY3485" fmla="*/ 1629830 h 6858000"/>
              <a:gd name="csX3486" fmla="*/ 4995543 w 12192000"/>
              <a:gd name="csY3486" fmla="*/ 1664651 h 6858000"/>
              <a:gd name="csX3487" fmla="*/ 5029890 w 12192000"/>
              <a:gd name="csY3487" fmla="*/ 1699471 h 6858000"/>
              <a:gd name="csX3488" fmla="*/ 5064237 w 12192000"/>
              <a:gd name="csY3488" fmla="*/ 1664651 h 6858000"/>
              <a:gd name="csX3489" fmla="*/ 5029890 w 12192000"/>
              <a:gd name="csY3489" fmla="*/ 1629830 h 6858000"/>
              <a:gd name="csX3490" fmla="*/ 6369755 w 12192000"/>
              <a:gd name="csY3490" fmla="*/ 1629830 h 6858000"/>
              <a:gd name="csX3491" fmla="*/ 6335402 w 12192000"/>
              <a:gd name="csY3491" fmla="*/ 1664651 h 6858000"/>
              <a:gd name="csX3492" fmla="*/ 6369755 w 12192000"/>
              <a:gd name="csY3492" fmla="*/ 1699471 h 6858000"/>
              <a:gd name="csX3493" fmla="*/ 6404096 w 12192000"/>
              <a:gd name="csY3493" fmla="*/ 1664651 h 6858000"/>
              <a:gd name="csX3494" fmla="*/ 6369755 w 12192000"/>
              <a:gd name="csY3494" fmla="*/ 1629830 h 6858000"/>
              <a:gd name="csX3495" fmla="*/ 6453498 w 12192000"/>
              <a:gd name="csY3495" fmla="*/ 1629830 h 6858000"/>
              <a:gd name="csX3496" fmla="*/ 6419144 w 12192000"/>
              <a:gd name="csY3496" fmla="*/ 1664651 h 6858000"/>
              <a:gd name="csX3497" fmla="*/ 6453498 w 12192000"/>
              <a:gd name="csY3497" fmla="*/ 1699471 h 6858000"/>
              <a:gd name="csX3498" fmla="*/ 6487838 w 12192000"/>
              <a:gd name="csY3498" fmla="*/ 1664651 h 6858000"/>
              <a:gd name="csX3499" fmla="*/ 6453498 w 12192000"/>
              <a:gd name="csY3499" fmla="*/ 1629830 h 6858000"/>
              <a:gd name="csX3500" fmla="*/ 6537239 w 12192000"/>
              <a:gd name="csY3500" fmla="*/ 1629830 h 6858000"/>
              <a:gd name="csX3501" fmla="*/ 6502886 w 12192000"/>
              <a:gd name="csY3501" fmla="*/ 1664651 h 6858000"/>
              <a:gd name="csX3502" fmla="*/ 6537239 w 12192000"/>
              <a:gd name="csY3502" fmla="*/ 1699471 h 6858000"/>
              <a:gd name="csX3503" fmla="*/ 6571579 w 12192000"/>
              <a:gd name="csY3503" fmla="*/ 1664651 h 6858000"/>
              <a:gd name="csX3504" fmla="*/ 6537239 w 12192000"/>
              <a:gd name="csY3504" fmla="*/ 1629830 h 6858000"/>
              <a:gd name="csX3505" fmla="*/ 6620980 w 12192000"/>
              <a:gd name="csY3505" fmla="*/ 1629830 h 6858000"/>
              <a:gd name="csX3506" fmla="*/ 6586627 w 12192000"/>
              <a:gd name="csY3506" fmla="*/ 1664651 h 6858000"/>
              <a:gd name="csX3507" fmla="*/ 6620980 w 12192000"/>
              <a:gd name="csY3507" fmla="*/ 1699471 h 6858000"/>
              <a:gd name="csX3508" fmla="*/ 6655320 w 12192000"/>
              <a:gd name="csY3508" fmla="*/ 1664651 h 6858000"/>
              <a:gd name="csX3509" fmla="*/ 6620980 w 12192000"/>
              <a:gd name="csY3509" fmla="*/ 1629830 h 6858000"/>
              <a:gd name="csX3510" fmla="*/ 6704722 w 12192000"/>
              <a:gd name="csY3510" fmla="*/ 1629830 h 6858000"/>
              <a:gd name="csX3511" fmla="*/ 6670369 w 12192000"/>
              <a:gd name="csY3511" fmla="*/ 1664651 h 6858000"/>
              <a:gd name="csX3512" fmla="*/ 6704722 w 12192000"/>
              <a:gd name="csY3512" fmla="*/ 1699471 h 6858000"/>
              <a:gd name="csX3513" fmla="*/ 6739063 w 12192000"/>
              <a:gd name="csY3513" fmla="*/ 1664651 h 6858000"/>
              <a:gd name="csX3514" fmla="*/ 6704722 w 12192000"/>
              <a:gd name="csY3514" fmla="*/ 1629830 h 6858000"/>
              <a:gd name="csX3515" fmla="*/ 6955947 w 12192000"/>
              <a:gd name="csY3515" fmla="*/ 1629830 h 6858000"/>
              <a:gd name="csX3516" fmla="*/ 6921594 w 12192000"/>
              <a:gd name="csY3516" fmla="*/ 1664651 h 6858000"/>
              <a:gd name="csX3517" fmla="*/ 6955947 w 12192000"/>
              <a:gd name="csY3517" fmla="*/ 1699471 h 6858000"/>
              <a:gd name="csX3518" fmla="*/ 6990287 w 12192000"/>
              <a:gd name="csY3518" fmla="*/ 1664651 h 6858000"/>
              <a:gd name="csX3519" fmla="*/ 6955947 w 12192000"/>
              <a:gd name="csY3519" fmla="*/ 1629830 h 6858000"/>
              <a:gd name="csX3520" fmla="*/ 7123456 w 12192000"/>
              <a:gd name="csY3520" fmla="*/ 1629830 h 6858000"/>
              <a:gd name="csX3521" fmla="*/ 7089103 w 12192000"/>
              <a:gd name="csY3521" fmla="*/ 1664651 h 6858000"/>
              <a:gd name="csX3522" fmla="*/ 7123456 w 12192000"/>
              <a:gd name="csY3522" fmla="*/ 1699471 h 6858000"/>
              <a:gd name="csX3523" fmla="*/ 7157796 w 12192000"/>
              <a:gd name="csY3523" fmla="*/ 1664651 h 6858000"/>
              <a:gd name="csX3524" fmla="*/ 7123456 w 12192000"/>
              <a:gd name="csY3524" fmla="*/ 1629830 h 6858000"/>
              <a:gd name="csX3525" fmla="*/ 7207198 w 12192000"/>
              <a:gd name="csY3525" fmla="*/ 1629830 h 6858000"/>
              <a:gd name="csX3526" fmla="*/ 7172845 w 12192000"/>
              <a:gd name="csY3526" fmla="*/ 1664651 h 6858000"/>
              <a:gd name="csX3527" fmla="*/ 7207198 w 12192000"/>
              <a:gd name="csY3527" fmla="*/ 1699471 h 6858000"/>
              <a:gd name="csX3528" fmla="*/ 7241538 w 12192000"/>
              <a:gd name="csY3528" fmla="*/ 1664651 h 6858000"/>
              <a:gd name="csX3529" fmla="*/ 7207198 w 12192000"/>
              <a:gd name="csY3529" fmla="*/ 1629830 h 6858000"/>
              <a:gd name="csX3530" fmla="*/ 7290939 w 12192000"/>
              <a:gd name="csY3530" fmla="*/ 1629830 h 6858000"/>
              <a:gd name="csX3531" fmla="*/ 7256586 w 12192000"/>
              <a:gd name="csY3531" fmla="*/ 1664651 h 6858000"/>
              <a:gd name="csX3532" fmla="*/ 7290939 w 12192000"/>
              <a:gd name="csY3532" fmla="*/ 1699471 h 6858000"/>
              <a:gd name="csX3533" fmla="*/ 7325279 w 12192000"/>
              <a:gd name="csY3533" fmla="*/ 1664651 h 6858000"/>
              <a:gd name="csX3534" fmla="*/ 7290939 w 12192000"/>
              <a:gd name="csY3534" fmla="*/ 1629830 h 6858000"/>
              <a:gd name="csX3535" fmla="*/ 7374681 w 12192000"/>
              <a:gd name="csY3535" fmla="*/ 1629830 h 6858000"/>
              <a:gd name="csX3536" fmla="*/ 7340328 w 12192000"/>
              <a:gd name="csY3536" fmla="*/ 1664651 h 6858000"/>
              <a:gd name="csX3537" fmla="*/ 7374681 w 12192000"/>
              <a:gd name="csY3537" fmla="*/ 1699471 h 6858000"/>
              <a:gd name="csX3538" fmla="*/ 7409022 w 12192000"/>
              <a:gd name="csY3538" fmla="*/ 1664651 h 6858000"/>
              <a:gd name="csX3539" fmla="*/ 7374681 w 12192000"/>
              <a:gd name="csY3539" fmla="*/ 1629830 h 6858000"/>
              <a:gd name="csX3540" fmla="*/ 7458423 w 12192000"/>
              <a:gd name="csY3540" fmla="*/ 1629830 h 6858000"/>
              <a:gd name="csX3541" fmla="*/ 7424070 w 12192000"/>
              <a:gd name="csY3541" fmla="*/ 1664651 h 6858000"/>
              <a:gd name="csX3542" fmla="*/ 7458423 w 12192000"/>
              <a:gd name="csY3542" fmla="*/ 1699471 h 6858000"/>
              <a:gd name="csX3543" fmla="*/ 7492763 w 12192000"/>
              <a:gd name="csY3543" fmla="*/ 1664651 h 6858000"/>
              <a:gd name="csX3544" fmla="*/ 7458423 w 12192000"/>
              <a:gd name="csY3544" fmla="*/ 1629830 h 6858000"/>
              <a:gd name="csX3545" fmla="*/ 7542164 w 12192000"/>
              <a:gd name="csY3545" fmla="*/ 1629830 h 6858000"/>
              <a:gd name="csX3546" fmla="*/ 7507811 w 12192000"/>
              <a:gd name="csY3546" fmla="*/ 1664651 h 6858000"/>
              <a:gd name="csX3547" fmla="*/ 7542164 w 12192000"/>
              <a:gd name="csY3547" fmla="*/ 1699471 h 6858000"/>
              <a:gd name="csX3548" fmla="*/ 7576504 w 12192000"/>
              <a:gd name="csY3548" fmla="*/ 1664651 h 6858000"/>
              <a:gd name="csX3549" fmla="*/ 7542164 w 12192000"/>
              <a:gd name="csY3549" fmla="*/ 1629830 h 6858000"/>
              <a:gd name="csX3550" fmla="*/ 7709647 w 12192000"/>
              <a:gd name="csY3550" fmla="*/ 1629830 h 6858000"/>
              <a:gd name="csX3551" fmla="*/ 7675294 w 12192000"/>
              <a:gd name="csY3551" fmla="*/ 1664651 h 6858000"/>
              <a:gd name="csX3552" fmla="*/ 7709647 w 12192000"/>
              <a:gd name="csY3552" fmla="*/ 1699471 h 6858000"/>
              <a:gd name="csX3553" fmla="*/ 7743988 w 12192000"/>
              <a:gd name="csY3553" fmla="*/ 1664651 h 6858000"/>
              <a:gd name="csX3554" fmla="*/ 7709647 w 12192000"/>
              <a:gd name="csY3554" fmla="*/ 1629830 h 6858000"/>
              <a:gd name="csX3555" fmla="*/ 7793389 w 12192000"/>
              <a:gd name="csY3555" fmla="*/ 1629830 h 6858000"/>
              <a:gd name="csX3556" fmla="*/ 7759036 w 12192000"/>
              <a:gd name="csY3556" fmla="*/ 1664651 h 6858000"/>
              <a:gd name="csX3557" fmla="*/ 7793389 w 12192000"/>
              <a:gd name="csY3557" fmla="*/ 1699471 h 6858000"/>
              <a:gd name="csX3558" fmla="*/ 7827729 w 12192000"/>
              <a:gd name="csY3558" fmla="*/ 1664651 h 6858000"/>
              <a:gd name="csX3559" fmla="*/ 7793389 w 12192000"/>
              <a:gd name="csY3559" fmla="*/ 1629830 h 6858000"/>
              <a:gd name="csX3560" fmla="*/ 7877131 w 12192000"/>
              <a:gd name="csY3560" fmla="*/ 1629830 h 6858000"/>
              <a:gd name="csX3561" fmla="*/ 7842778 w 12192000"/>
              <a:gd name="csY3561" fmla="*/ 1664651 h 6858000"/>
              <a:gd name="csX3562" fmla="*/ 7877131 w 12192000"/>
              <a:gd name="csY3562" fmla="*/ 1699471 h 6858000"/>
              <a:gd name="csX3563" fmla="*/ 7911471 w 12192000"/>
              <a:gd name="csY3563" fmla="*/ 1664651 h 6858000"/>
              <a:gd name="csX3564" fmla="*/ 7877131 w 12192000"/>
              <a:gd name="csY3564" fmla="*/ 1629830 h 6858000"/>
              <a:gd name="csX3565" fmla="*/ 7960872 w 12192000"/>
              <a:gd name="csY3565" fmla="*/ 1629830 h 6858000"/>
              <a:gd name="csX3566" fmla="*/ 7926519 w 12192000"/>
              <a:gd name="csY3566" fmla="*/ 1664651 h 6858000"/>
              <a:gd name="csX3567" fmla="*/ 7960872 w 12192000"/>
              <a:gd name="csY3567" fmla="*/ 1699471 h 6858000"/>
              <a:gd name="csX3568" fmla="*/ 7995212 w 12192000"/>
              <a:gd name="csY3568" fmla="*/ 1664651 h 6858000"/>
              <a:gd name="csX3569" fmla="*/ 7960872 w 12192000"/>
              <a:gd name="csY3569" fmla="*/ 1629830 h 6858000"/>
              <a:gd name="csX3570" fmla="*/ 8044614 w 12192000"/>
              <a:gd name="csY3570" fmla="*/ 1629830 h 6858000"/>
              <a:gd name="csX3571" fmla="*/ 8010261 w 12192000"/>
              <a:gd name="csY3571" fmla="*/ 1664651 h 6858000"/>
              <a:gd name="csX3572" fmla="*/ 8044614 w 12192000"/>
              <a:gd name="csY3572" fmla="*/ 1699471 h 6858000"/>
              <a:gd name="csX3573" fmla="*/ 8078955 w 12192000"/>
              <a:gd name="csY3573" fmla="*/ 1664651 h 6858000"/>
              <a:gd name="csX3574" fmla="*/ 8044614 w 12192000"/>
              <a:gd name="csY3574" fmla="*/ 1629830 h 6858000"/>
              <a:gd name="csX3575" fmla="*/ 8128356 w 12192000"/>
              <a:gd name="csY3575" fmla="*/ 1629830 h 6858000"/>
              <a:gd name="csX3576" fmla="*/ 8094003 w 12192000"/>
              <a:gd name="csY3576" fmla="*/ 1664651 h 6858000"/>
              <a:gd name="csX3577" fmla="*/ 8128356 w 12192000"/>
              <a:gd name="csY3577" fmla="*/ 1699471 h 6858000"/>
              <a:gd name="csX3578" fmla="*/ 8162696 w 12192000"/>
              <a:gd name="csY3578" fmla="*/ 1664651 h 6858000"/>
              <a:gd name="csX3579" fmla="*/ 8128356 w 12192000"/>
              <a:gd name="csY3579" fmla="*/ 1629830 h 6858000"/>
              <a:gd name="csX3580" fmla="*/ 8212097 w 12192000"/>
              <a:gd name="csY3580" fmla="*/ 1629830 h 6858000"/>
              <a:gd name="csX3581" fmla="*/ 8177744 w 12192000"/>
              <a:gd name="csY3581" fmla="*/ 1664651 h 6858000"/>
              <a:gd name="csX3582" fmla="*/ 8212097 w 12192000"/>
              <a:gd name="csY3582" fmla="*/ 1699471 h 6858000"/>
              <a:gd name="csX3583" fmla="*/ 8246437 w 12192000"/>
              <a:gd name="csY3583" fmla="*/ 1664651 h 6858000"/>
              <a:gd name="csX3584" fmla="*/ 8212097 w 12192000"/>
              <a:gd name="csY3584" fmla="*/ 1629830 h 6858000"/>
              <a:gd name="csX3585" fmla="*/ 8295839 w 12192000"/>
              <a:gd name="csY3585" fmla="*/ 1629830 h 6858000"/>
              <a:gd name="csX3586" fmla="*/ 8261486 w 12192000"/>
              <a:gd name="csY3586" fmla="*/ 1664651 h 6858000"/>
              <a:gd name="csX3587" fmla="*/ 8295839 w 12192000"/>
              <a:gd name="csY3587" fmla="*/ 1699471 h 6858000"/>
              <a:gd name="csX3588" fmla="*/ 8330179 w 12192000"/>
              <a:gd name="csY3588" fmla="*/ 1664651 h 6858000"/>
              <a:gd name="csX3589" fmla="*/ 8295839 w 12192000"/>
              <a:gd name="csY3589" fmla="*/ 1629830 h 6858000"/>
              <a:gd name="csX3590" fmla="*/ 8379580 w 12192000"/>
              <a:gd name="csY3590" fmla="*/ 1629830 h 6858000"/>
              <a:gd name="csX3591" fmla="*/ 8345227 w 12192000"/>
              <a:gd name="csY3591" fmla="*/ 1664651 h 6858000"/>
              <a:gd name="csX3592" fmla="*/ 8379580 w 12192000"/>
              <a:gd name="csY3592" fmla="*/ 1699471 h 6858000"/>
              <a:gd name="csX3593" fmla="*/ 8413921 w 12192000"/>
              <a:gd name="csY3593" fmla="*/ 1664651 h 6858000"/>
              <a:gd name="csX3594" fmla="*/ 8379580 w 12192000"/>
              <a:gd name="csY3594" fmla="*/ 1629830 h 6858000"/>
              <a:gd name="csX3595" fmla="*/ 8463323 w 12192000"/>
              <a:gd name="csY3595" fmla="*/ 1629830 h 6858000"/>
              <a:gd name="csX3596" fmla="*/ 8428970 w 12192000"/>
              <a:gd name="csY3596" fmla="*/ 1664651 h 6858000"/>
              <a:gd name="csX3597" fmla="*/ 8463323 w 12192000"/>
              <a:gd name="csY3597" fmla="*/ 1699471 h 6858000"/>
              <a:gd name="csX3598" fmla="*/ 8497663 w 12192000"/>
              <a:gd name="csY3598" fmla="*/ 1664651 h 6858000"/>
              <a:gd name="csX3599" fmla="*/ 8463323 w 12192000"/>
              <a:gd name="csY3599" fmla="*/ 1629830 h 6858000"/>
              <a:gd name="csX3600" fmla="*/ 8547064 w 12192000"/>
              <a:gd name="csY3600" fmla="*/ 1629830 h 6858000"/>
              <a:gd name="csX3601" fmla="*/ 8512711 w 12192000"/>
              <a:gd name="csY3601" fmla="*/ 1664651 h 6858000"/>
              <a:gd name="csX3602" fmla="*/ 8547064 w 12192000"/>
              <a:gd name="csY3602" fmla="*/ 1699471 h 6858000"/>
              <a:gd name="csX3603" fmla="*/ 8581404 w 12192000"/>
              <a:gd name="csY3603" fmla="*/ 1664651 h 6858000"/>
              <a:gd name="csX3604" fmla="*/ 8547064 w 12192000"/>
              <a:gd name="csY3604" fmla="*/ 1629830 h 6858000"/>
              <a:gd name="csX3605" fmla="*/ 8630805 w 12192000"/>
              <a:gd name="csY3605" fmla="*/ 1629830 h 6858000"/>
              <a:gd name="csX3606" fmla="*/ 8596452 w 12192000"/>
              <a:gd name="csY3606" fmla="*/ 1664651 h 6858000"/>
              <a:gd name="csX3607" fmla="*/ 8630805 w 12192000"/>
              <a:gd name="csY3607" fmla="*/ 1699471 h 6858000"/>
              <a:gd name="csX3608" fmla="*/ 8665145 w 12192000"/>
              <a:gd name="csY3608" fmla="*/ 1664651 h 6858000"/>
              <a:gd name="csX3609" fmla="*/ 8630805 w 12192000"/>
              <a:gd name="csY3609" fmla="*/ 1629830 h 6858000"/>
              <a:gd name="csX3610" fmla="*/ 8714547 w 12192000"/>
              <a:gd name="csY3610" fmla="*/ 1629830 h 6858000"/>
              <a:gd name="csX3611" fmla="*/ 8680194 w 12192000"/>
              <a:gd name="csY3611" fmla="*/ 1664651 h 6858000"/>
              <a:gd name="csX3612" fmla="*/ 8714547 w 12192000"/>
              <a:gd name="csY3612" fmla="*/ 1699471 h 6858000"/>
              <a:gd name="csX3613" fmla="*/ 8748888 w 12192000"/>
              <a:gd name="csY3613" fmla="*/ 1664651 h 6858000"/>
              <a:gd name="csX3614" fmla="*/ 8714547 w 12192000"/>
              <a:gd name="csY3614" fmla="*/ 1629830 h 6858000"/>
              <a:gd name="csX3615" fmla="*/ 8798289 w 12192000"/>
              <a:gd name="csY3615" fmla="*/ 1629830 h 6858000"/>
              <a:gd name="csX3616" fmla="*/ 8763936 w 12192000"/>
              <a:gd name="csY3616" fmla="*/ 1664651 h 6858000"/>
              <a:gd name="csX3617" fmla="*/ 8798289 w 12192000"/>
              <a:gd name="csY3617" fmla="*/ 1699471 h 6858000"/>
              <a:gd name="csX3618" fmla="*/ 8832629 w 12192000"/>
              <a:gd name="csY3618" fmla="*/ 1664651 h 6858000"/>
              <a:gd name="csX3619" fmla="*/ 8798289 w 12192000"/>
              <a:gd name="csY3619" fmla="*/ 1629830 h 6858000"/>
              <a:gd name="csX3620" fmla="*/ 8882030 w 12192000"/>
              <a:gd name="csY3620" fmla="*/ 1629830 h 6858000"/>
              <a:gd name="csX3621" fmla="*/ 8847677 w 12192000"/>
              <a:gd name="csY3621" fmla="*/ 1664651 h 6858000"/>
              <a:gd name="csX3622" fmla="*/ 8882030 w 12192000"/>
              <a:gd name="csY3622" fmla="*/ 1699471 h 6858000"/>
              <a:gd name="csX3623" fmla="*/ 8916370 w 12192000"/>
              <a:gd name="csY3623" fmla="*/ 1664651 h 6858000"/>
              <a:gd name="csX3624" fmla="*/ 8882030 w 12192000"/>
              <a:gd name="csY3624" fmla="*/ 1629830 h 6858000"/>
              <a:gd name="csX3625" fmla="*/ 8965772 w 12192000"/>
              <a:gd name="csY3625" fmla="*/ 1629830 h 6858000"/>
              <a:gd name="csX3626" fmla="*/ 8931419 w 12192000"/>
              <a:gd name="csY3626" fmla="*/ 1664651 h 6858000"/>
              <a:gd name="csX3627" fmla="*/ 8965772 w 12192000"/>
              <a:gd name="csY3627" fmla="*/ 1699471 h 6858000"/>
              <a:gd name="csX3628" fmla="*/ 9000112 w 12192000"/>
              <a:gd name="csY3628" fmla="*/ 1664651 h 6858000"/>
              <a:gd name="csX3629" fmla="*/ 8965772 w 12192000"/>
              <a:gd name="csY3629" fmla="*/ 1629830 h 6858000"/>
              <a:gd name="csX3630" fmla="*/ 9049513 w 12192000"/>
              <a:gd name="csY3630" fmla="*/ 1629830 h 6858000"/>
              <a:gd name="csX3631" fmla="*/ 9015160 w 12192000"/>
              <a:gd name="csY3631" fmla="*/ 1664651 h 6858000"/>
              <a:gd name="csX3632" fmla="*/ 9049513 w 12192000"/>
              <a:gd name="csY3632" fmla="*/ 1699471 h 6858000"/>
              <a:gd name="csX3633" fmla="*/ 9083854 w 12192000"/>
              <a:gd name="csY3633" fmla="*/ 1664651 h 6858000"/>
              <a:gd name="csX3634" fmla="*/ 9049513 w 12192000"/>
              <a:gd name="csY3634" fmla="*/ 1629830 h 6858000"/>
              <a:gd name="csX3635" fmla="*/ 9133256 w 12192000"/>
              <a:gd name="csY3635" fmla="*/ 1629830 h 6858000"/>
              <a:gd name="csX3636" fmla="*/ 9098903 w 12192000"/>
              <a:gd name="csY3636" fmla="*/ 1664651 h 6858000"/>
              <a:gd name="csX3637" fmla="*/ 9133256 w 12192000"/>
              <a:gd name="csY3637" fmla="*/ 1699471 h 6858000"/>
              <a:gd name="csX3638" fmla="*/ 9167596 w 12192000"/>
              <a:gd name="csY3638" fmla="*/ 1664651 h 6858000"/>
              <a:gd name="csX3639" fmla="*/ 9133256 w 12192000"/>
              <a:gd name="csY3639" fmla="*/ 1629830 h 6858000"/>
              <a:gd name="csX3640" fmla="*/ 9216997 w 12192000"/>
              <a:gd name="csY3640" fmla="*/ 1629830 h 6858000"/>
              <a:gd name="csX3641" fmla="*/ 9182644 w 12192000"/>
              <a:gd name="csY3641" fmla="*/ 1664651 h 6858000"/>
              <a:gd name="csX3642" fmla="*/ 9216997 w 12192000"/>
              <a:gd name="csY3642" fmla="*/ 1699471 h 6858000"/>
              <a:gd name="csX3643" fmla="*/ 9251337 w 12192000"/>
              <a:gd name="csY3643" fmla="*/ 1664651 h 6858000"/>
              <a:gd name="csX3644" fmla="*/ 9216997 w 12192000"/>
              <a:gd name="csY3644" fmla="*/ 1629830 h 6858000"/>
              <a:gd name="csX3645" fmla="*/ 9300738 w 12192000"/>
              <a:gd name="csY3645" fmla="*/ 1629830 h 6858000"/>
              <a:gd name="csX3646" fmla="*/ 9266385 w 12192000"/>
              <a:gd name="csY3646" fmla="*/ 1664651 h 6858000"/>
              <a:gd name="csX3647" fmla="*/ 9300738 w 12192000"/>
              <a:gd name="csY3647" fmla="*/ 1699471 h 6858000"/>
              <a:gd name="csX3648" fmla="*/ 9335078 w 12192000"/>
              <a:gd name="csY3648" fmla="*/ 1664651 h 6858000"/>
              <a:gd name="csX3649" fmla="*/ 9300738 w 12192000"/>
              <a:gd name="csY3649" fmla="*/ 1629830 h 6858000"/>
              <a:gd name="csX3650" fmla="*/ 9384480 w 12192000"/>
              <a:gd name="csY3650" fmla="*/ 1629830 h 6858000"/>
              <a:gd name="csX3651" fmla="*/ 9350127 w 12192000"/>
              <a:gd name="csY3651" fmla="*/ 1664651 h 6858000"/>
              <a:gd name="csX3652" fmla="*/ 9384480 w 12192000"/>
              <a:gd name="csY3652" fmla="*/ 1699471 h 6858000"/>
              <a:gd name="csX3653" fmla="*/ 9418821 w 12192000"/>
              <a:gd name="csY3653" fmla="*/ 1664651 h 6858000"/>
              <a:gd name="csX3654" fmla="*/ 9384480 w 12192000"/>
              <a:gd name="csY3654" fmla="*/ 1629830 h 6858000"/>
              <a:gd name="csX3655" fmla="*/ 9468222 w 12192000"/>
              <a:gd name="csY3655" fmla="*/ 1629830 h 6858000"/>
              <a:gd name="csX3656" fmla="*/ 9433869 w 12192000"/>
              <a:gd name="csY3656" fmla="*/ 1664651 h 6858000"/>
              <a:gd name="csX3657" fmla="*/ 9468222 w 12192000"/>
              <a:gd name="csY3657" fmla="*/ 1699471 h 6858000"/>
              <a:gd name="csX3658" fmla="*/ 9502562 w 12192000"/>
              <a:gd name="csY3658" fmla="*/ 1664651 h 6858000"/>
              <a:gd name="csX3659" fmla="*/ 9468222 w 12192000"/>
              <a:gd name="csY3659" fmla="*/ 1629830 h 6858000"/>
              <a:gd name="csX3660" fmla="*/ 9551963 w 12192000"/>
              <a:gd name="csY3660" fmla="*/ 1629830 h 6858000"/>
              <a:gd name="csX3661" fmla="*/ 9517610 w 12192000"/>
              <a:gd name="csY3661" fmla="*/ 1664651 h 6858000"/>
              <a:gd name="csX3662" fmla="*/ 9551963 w 12192000"/>
              <a:gd name="csY3662" fmla="*/ 1699471 h 6858000"/>
              <a:gd name="csX3663" fmla="*/ 9586303 w 12192000"/>
              <a:gd name="csY3663" fmla="*/ 1664651 h 6858000"/>
              <a:gd name="csX3664" fmla="*/ 9551963 w 12192000"/>
              <a:gd name="csY3664" fmla="*/ 1629830 h 6858000"/>
              <a:gd name="csX3665" fmla="*/ 9635705 w 12192000"/>
              <a:gd name="csY3665" fmla="*/ 1629830 h 6858000"/>
              <a:gd name="csX3666" fmla="*/ 9601352 w 12192000"/>
              <a:gd name="csY3666" fmla="*/ 1664651 h 6858000"/>
              <a:gd name="csX3667" fmla="*/ 9635705 w 12192000"/>
              <a:gd name="csY3667" fmla="*/ 1699471 h 6858000"/>
              <a:gd name="csX3668" fmla="*/ 9670045 w 12192000"/>
              <a:gd name="csY3668" fmla="*/ 1664651 h 6858000"/>
              <a:gd name="csX3669" fmla="*/ 9635705 w 12192000"/>
              <a:gd name="csY3669" fmla="*/ 1629830 h 6858000"/>
              <a:gd name="csX3670" fmla="*/ 9719446 w 12192000"/>
              <a:gd name="csY3670" fmla="*/ 1629830 h 6858000"/>
              <a:gd name="csX3671" fmla="*/ 9685093 w 12192000"/>
              <a:gd name="csY3671" fmla="*/ 1664651 h 6858000"/>
              <a:gd name="csX3672" fmla="*/ 9719446 w 12192000"/>
              <a:gd name="csY3672" fmla="*/ 1699471 h 6858000"/>
              <a:gd name="csX3673" fmla="*/ 9753787 w 12192000"/>
              <a:gd name="csY3673" fmla="*/ 1664651 h 6858000"/>
              <a:gd name="csX3674" fmla="*/ 9719446 w 12192000"/>
              <a:gd name="csY3674" fmla="*/ 1629830 h 6858000"/>
              <a:gd name="csX3675" fmla="*/ 9803189 w 12192000"/>
              <a:gd name="csY3675" fmla="*/ 1629830 h 6858000"/>
              <a:gd name="csX3676" fmla="*/ 9768836 w 12192000"/>
              <a:gd name="csY3676" fmla="*/ 1664651 h 6858000"/>
              <a:gd name="csX3677" fmla="*/ 9803189 w 12192000"/>
              <a:gd name="csY3677" fmla="*/ 1699471 h 6858000"/>
              <a:gd name="csX3678" fmla="*/ 9837529 w 12192000"/>
              <a:gd name="csY3678" fmla="*/ 1664651 h 6858000"/>
              <a:gd name="csX3679" fmla="*/ 9803189 w 12192000"/>
              <a:gd name="csY3679" fmla="*/ 1629830 h 6858000"/>
              <a:gd name="csX3680" fmla="*/ 9886930 w 12192000"/>
              <a:gd name="csY3680" fmla="*/ 1629830 h 6858000"/>
              <a:gd name="csX3681" fmla="*/ 9852577 w 12192000"/>
              <a:gd name="csY3681" fmla="*/ 1664651 h 6858000"/>
              <a:gd name="csX3682" fmla="*/ 9886930 w 12192000"/>
              <a:gd name="csY3682" fmla="*/ 1699471 h 6858000"/>
              <a:gd name="csX3683" fmla="*/ 9921270 w 12192000"/>
              <a:gd name="csY3683" fmla="*/ 1664651 h 6858000"/>
              <a:gd name="csX3684" fmla="*/ 9886930 w 12192000"/>
              <a:gd name="csY3684" fmla="*/ 1629830 h 6858000"/>
              <a:gd name="csX3685" fmla="*/ 9970671 w 12192000"/>
              <a:gd name="csY3685" fmla="*/ 1629830 h 6858000"/>
              <a:gd name="csX3686" fmla="*/ 9936318 w 12192000"/>
              <a:gd name="csY3686" fmla="*/ 1664651 h 6858000"/>
              <a:gd name="csX3687" fmla="*/ 9970671 w 12192000"/>
              <a:gd name="csY3687" fmla="*/ 1699471 h 6858000"/>
              <a:gd name="csX3688" fmla="*/ 10005011 w 12192000"/>
              <a:gd name="csY3688" fmla="*/ 1664651 h 6858000"/>
              <a:gd name="csX3689" fmla="*/ 9970671 w 12192000"/>
              <a:gd name="csY3689" fmla="*/ 1629830 h 6858000"/>
              <a:gd name="csX3690" fmla="*/ 10221896 w 12192000"/>
              <a:gd name="csY3690" fmla="*/ 1629830 h 6858000"/>
              <a:gd name="csX3691" fmla="*/ 10187543 w 12192000"/>
              <a:gd name="csY3691" fmla="*/ 1664651 h 6858000"/>
              <a:gd name="csX3692" fmla="*/ 10221896 w 12192000"/>
              <a:gd name="csY3692" fmla="*/ 1699471 h 6858000"/>
              <a:gd name="csX3693" fmla="*/ 10256236 w 12192000"/>
              <a:gd name="csY3693" fmla="*/ 1664651 h 6858000"/>
              <a:gd name="csX3694" fmla="*/ 10221896 w 12192000"/>
              <a:gd name="csY3694" fmla="*/ 1629830 h 6858000"/>
              <a:gd name="csX3695" fmla="*/ 1596483 w 12192000"/>
              <a:gd name="csY3695" fmla="*/ 1714694 h 6858000"/>
              <a:gd name="csX3696" fmla="*/ 1562136 w 12192000"/>
              <a:gd name="csY3696" fmla="*/ 1749515 h 6858000"/>
              <a:gd name="csX3697" fmla="*/ 1596483 w 12192000"/>
              <a:gd name="csY3697" fmla="*/ 1784335 h 6858000"/>
              <a:gd name="csX3698" fmla="*/ 1630829 w 12192000"/>
              <a:gd name="csY3698" fmla="*/ 1749515 h 6858000"/>
              <a:gd name="csX3699" fmla="*/ 1596483 w 12192000"/>
              <a:gd name="csY3699" fmla="*/ 1714694 h 6858000"/>
              <a:gd name="csX3700" fmla="*/ 2098932 w 12192000"/>
              <a:gd name="csY3700" fmla="*/ 1714694 h 6858000"/>
              <a:gd name="csX3701" fmla="*/ 2064586 w 12192000"/>
              <a:gd name="csY3701" fmla="*/ 1749515 h 6858000"/>
              <a:gd name="csX3702" fmla="*/ 2098932 w 12192000"/>
              <a:gd name="csY3702" fmla="*/ 1784335 h 6858000"/>
              <a:gd name="csX3703" fmla="*/ 2133279 w 12192000"/>
              <a:gd name="csY3703" fmla="*/ 1749515 h 6858000"/>
              <a:gd name="csX3704" fmla="*/ 2098932 w 12192000"/>
              <a:gd name="csY3704" fmla="*/ 1714694 h 6858000"/>
              <a:gd name="csX3705" fmla="*/ 2182674 w 12192000"/>
              <a:gd name="csY3705" fmla="*/ 1714694 h 6858000"/>
              <a:gd name="csX3706" fmla="*/ 2148328 w 12192000"/>
              <a:gd name="csY3706" fmla="*/ 1749515 h 6858000"/>
              <a:gd name="csX3707" fmla="*/ 2182674 w 12192000"/>
              <a:gd name="csY3707" fmla="*/ 1784335 h 6858000"/>
              <a:gd name="csX3708" fmla="*/ 2217021 w 12192000"/>
              <a:gd name="csY3708" fmla="*/ 1749515 h 6858000"/>
              <a:gd name="csX3709" fmla="*/ 2182674 w 12192000"/>
              <a:gd name="csY3709" fmla="*/ 1714694 h 6858000"/>
              <a:gd name="csX3710" fmla="*/ 2266416 w 12192000"/>
              <a:gd name="csY3710" fmla="*/ 1714694 h 6858000"/>
              <a:gd name="csX3711" fmla="*/ 2232069 w 12192000"/>
              <a:gd name="csY3711" fmla="*/ 1749515 h 6858000"/>
              <a:gd name="csX3712" fmla="*/ 2266416 w 12192000"/>
              <a:gd name="csY3712" fmla="*/ 1784335 h 6858000"/>
              <a:gd name="csX3713" fmla="*/ 2300762 w 12192000"/>
              <a:gd name="csY3713" fmla="*/ 1749515 h 6858000"/>
              <a:gd name="csX3714" fmla="*/ 2266416 w 12192000"/>
              <a:gd name="csY3714" fmla="*/ 1714694 h 6858000"/>
              <a:gd name="csX3715" fmla="*/ 2350151 w 12192000"/>
              <a:gd name="csY3715" fmla="*/ 1714694 h 6858000"/>
              <a:gd name="csX3716" fmla="*/ 2315804 w 12192000"/>
              <a:gd name="csY3716" fmla="*/ 1749515 h 6858000"/>
              <a:gd name="csX3717" fmla="*/ 2350151 w 12192000"/>
              <a:gd name="csY3717" fmla="*/ 1784335 h 6858000"/>
              <a:gd name="csX3718" fmla="*/ 2384498 w 12192000"/>
              <a:gd name="csY3718" fmla="*/ 1749515 h 6858000"/>
              <a:gd name="csX3719" fmla="*/ 2350151 w 12192000"/>
              <a:gd name="csY3719" fmla="*/ 1714694 h 6858000"/>
              <a:gd name="csX3720" fmla="*/ 2433893 w 12192000"/>
              <a:gd name="csY3720" fmla="*/ 1714694 h 6858000"/>
              <a:gd name="csX3721" fmla="*/ 2399546 w 12192000"/>
              <a:gd name="csY3721" fmla="*/ 1749515 h 6858000"/>
              <a:gd name="csX3722" fmla="*/ 2433893 w 12192000"/>
              <a:gd name="csY3722" fmla="*/ 1784335 h 6858000"/>
              <a:gd name="csX3723" fmla="*/ 2468240 w 12192000"/>
              <a:gd name="csY3723" fmla="*/ 1749515 h 6858000"/>
              <a:gd name="csX3724" fmla="*/ 2433893 w 12192000"/>
              <a:gd name="csY3724" fmla="*/ 1714694 h 6858000"/>
              <a:gd name="csX3725" fmla="*/ 2517634 w 12192000"/>
              <a:gd name="csY3725" fmla="*/ 1714694 h 6858000"/>
              <a:gd name="csX3726" fmla="*/ 2483288 w 12192000"/>
              <a:gd name="csY3726" fmla="*/ 1749515 h 6858000"/>
              <a:gd name="csX3727" fmla="*/ 2517634 w 12192000"/>
              <a:gd name="csY3727" fmla="*/ 1784335 h 6858000"/>
              <a:gd name="csX3728" fmla="*/ 2551981 w 12192000"/>
              <a:gd name="csY3728" fmla="*/ 1749515 h 6858000"/>
              <a:gd name="csX3729" fmla="*/ 2517634 w 12192000"/>
              <a:gd name="csY3729" fmla="*/ 1714694 h 6858000"/>
              <a:gd name="csX3730" fmla="*/ 2601376 w 12192000"/>
              <a:gd name="csY3730" fmla="*/ 1714694 h 6858000"/>
              <a:gd name="csX3731" fmla="*/ 2567029 w 12192000"/>
              <a:gd name="csY3731" fmla="*/ 1749515 h 6858000"/>
              <a:gd name="csX3732" fmla="*/ 2601376 w 12192000"/>
              <a:gd name="csY3732" fmla="*/ 1784335 h 6858000"/>
              <a:gd name="csX3733" fmla="*/ 2635722 w 12192000"/>
              <a:gd name="csY3733" fmla="*/ 1749515 h 6858000"/>
              <a:gd name="csX3734" fmla="*/ 2601376 w 12192000"/>
              <a:gd name="csY3734" fmla="*/ 1714694 h 6858000"/>
              <a:gd name="csX3735" fmla="*/ 2685118 w 12192000"/>
              <a:gd name="csY3735" fmla="*/ 1714694 h 6858000"/>
              <a:gd name="csX3736" fmla="*/ 2650771 w 12192000"/>
              <a:gd name="csY3736" fmla="*/ 1749515 h 6858000"/>
              <a:gd name="csX3737" fmla="*/ 2685118 w 12192000"/>
              <a:gd name="csY3737" fmla="*/ 1784335 h 6858000"/>
              <a:gd name="csX3738" fmla="*/ 2719465 w 12192000"/>
              <a:gd name="csY3738" fmla="*/ 1749515 h 6858000"/>
              <a:gd name="csX3739" fmla="*/ 2685118 w 12192000"/>
              <a:gd name="csY3739" fmla="*/ 1714694 h 6858000"/>
              <a:gd name="csX3740" fmla="*/ 2768859 w 12192000"/>
              <a:gd name="csY3740" fmla="*/ 1714694 h 6858000"/>
              <a:gd name="csX3741" fmla="*/ 2734512 w 12192000"/>
              <a:gd name="csY3741" fmla="*/ 1749515 h 6858000"/>
              <a:gd name="csX3742" fmla="*/ 2768859 w 12192000"/>
              <a:gd name="csY3742" fmla="*/ 1784335 h 6858000"/>
              <a:gd name="csX3743" fmla="*/ 2803206 w 12192000"/>
              <a:gd name="csY3743" fmla="*/ 1749515 h 6858000"/>
              <a:gd name="csX3744" fmla="*/ 2768859 w 12192000"/>
              <a:gd name="csY3744" fmla="*/ 1714694 h 6858000"/>
              <a:gd name="csX3745" fmla="*/ 3020084 w 12192000"/>
              <a:gd name="csY3745" fmla="*/ 1714694 h 6858000"/>
              <a:gd name="csX3746" fmla="*/ 2985737 w 12192000"/>
              <a:gd name="csY3746" fmla="*/ 1749515 h 6858000"/>
              <a:gd name="csX3747" fmla="*/ 3020084 w 12192000"/>
              <a:gd name="csY3747" fmla="*/ 1784335 h 6858000"/>
              <a:gd name="csX3748" fmla="*/ 3054431 w 12192000"/>
              <a:gd name="csY3748" fmla="*/ 1749515 h 6858000"/>
              <a:gd name="csX3749" fmla="*/ 3020084 w 12192000"/>
              <a:gd name="csY3749" fmla="*/ 1714694 h 6858000"/>
              <a:gd name="csX3750" fmla="*/ 3103826 w 12192000"/>
              <a:gd name="csY3750" fmla="*/ 1714694 h 6858000"/>
              <a:gd name="csX3751" fmla="*/ 3069479 w 12192000"/>
              <a:gd name="csY3751" fmla="*/ 1749515 h 6858000"/>
              <a:gd name="csX3752" fmla="*/ 3103826 w 12192000"/>
              <a:gd name="csY3752" fmla="*/ 1784335 h 6858000"/>
              <a:gd name="csX3753" fmla="*/ 3138173 w 12192000"/>
              <a:gd name="csY3753" fmla="*/ 1749515 h 6858000"/>
              <a:gd name="csX3754" fmla="*/ 3103826 w 12192000"/>
              <a:gd name="csY3754" fmla="*/ 1714694 h 6858000"/>
              <a:gd name="csX3755" fmla="*/ 3187567 w 12192000"/>
              <a:gd name="csY3755" fmla="*/ 1714694 h 6858000"/>
              <a:gd name="csX3756" fmla="*/ 3153221 w 12192000"/>
              <a:gd name="csY3756" fmla="*/ 1749515 h 6858000"/>
              <a:gd name="csX3757" fmla="*/ 3187567 w 12192000"/>
              <a:gd name="csY3757" fmla="*/ 1784335 h 6858000"/>
              <a:gd name="csX3758" fmla="*/ 3221914 w 12192000"/>
              <a:gd name="csY3758" fmla="*/ 1749515 h 6858000"/>
              <a:gd name="csX3759" fmla="*/ 3187567 w 12192000"/>
              <a:gd name="csY3759" fmla="*/ 1714694 h 6858000"/>
              <a:gd name="csX3760" fmla="*/ 3355051 w 12192000"/>
              <a:gd name="csY3760" fmla="*/ 1714694 h 6858000"/>
              <a:gd name="csX3761" fmla="*/ 3320704 w 12192000"/>
              <a:gd name="csY3761" fmla="*/ 1749515 h 6858000"/>
              <a:gd name="csX3762" fmla="*/ 3355051 w 12192000"/>
              <a:gd name="csY3762" fmla="*/ 1784335 h 6858000"/>
              <a:gd name="csX3763" fmla="*/ 3389398 w 12192000"/>
              <a:gd name="csY3763" fmla="*/ 1749515 h 6858000"/>
              <a:gd name="csX3764" fmla="*/ 3355051 w 12192000"/>
              <a:gd name="csY3764" fmla="*/ 1714694 h 6858000"/>
              <a:gd name="csX3765" fmla="*/ 3438792 w 12192000"/>
              <a:gd name="csY3765" fmla="*/ 1714694 h 6858000"/>
              <a:gd name="csX3766" fmla="*/ 3404445 w 12192000"/>
              <a:gd name="csY3766" fmla="*/ 1749515 h 6858000"/>
              <a:gd name="csX3767" fmla="*/ 3438792 w 12192000"/>
              <a:gd name="csY3767" fmla="*/ 1784335 h 6858000"/>
              <a:gd name="csX3768" fmla="*/ 3473139 w 12192000"/>
              <a:gd name="csY3768" fmla="*/ 1749515 h 6858000"/>
              <a:gd name="csX3769" fmla="*/ 3438792 w 12192000"/>
              <a:gd name="csY3769" fmla="*/ 1714694 h 6858000"/>
              <a:gd name="csX3770" fmla="*/ 3606276 w 12192000"/>
              <a:gd name="csY3770" fmla="*/ 1714694 h 6858000"/>
              <a:gd name="csX3771" fmla="*/ 3571929 w 12192000"/>
              <a:gd name="csY3771" fmla="*/ 1749515 h 6858000"/>
              <a:gd name="csX3772" fmla="*/ 3606276 w 12192000"/>
              <a:gd name="csY3772" fmla="*/ 1784335 h 6858000"/>
              <a:gd name="csX3773" fmla="*/ 3640622 w 12192000"/>
              <a:gd name="csY3773" fmla="*/ 1749515 h 6858000"/>
              <a:gd name="csX3774" fmla="*/ 3606276 w 12192000"/>
              <a:gd name="csY3774" fmla="*/ 1714694 h 6858000"/>
              <a:gd name="csX3775" fmla="*/ 3690017 w 12192000"/>
              <a:gd name="csY3775" fmla="*/ 1714694 h 6858000"/>
              <a:gd name="csX3776" fmla="*/ 3655670 w 12192000"/>
              <a:gd name="csY3776" fmla="*/ 1749515 h 6858000"/>
              <a:gd name="csX3777" fmla="*/ 3690017 w 12192000"/>
              <a:gd name="csY3777" fmla="*/ 1784335 h 6858000"/>
              <a:gd name="csX3778" fmla="*/ 3724364 w 12192000"/>
              <a:gd name="csY3778" fmla="*/ 1749515 h 6858000"/>
              <a:gd name="csX3779" fmla="*/ 3690017 w 12192000"/>
              <a:gd name="csY3779" fmla="*/ 1714694 h 6858000"/>
              <a:gd name="csX3780" fmla="*/ 3857500 w 12192000"/>
              <a:gd name="csY3780" fmla="*/ 1714694 h 6858000"/>
              <a:gd name="csX3781" fmla="*/ 3823154 w 12192000"/>
              <a:gd name="csY3781" fmla="*/ 1749515 h 6858000"/>
              <a:gd name="csX3782" fmla="*/ 3857500 w 12192000"/>
              <a:gd name="csY3782" fmla="*/ 1784335 h 6858000"/>
              <a:gd name="csX3783" fmla="*/ 3891847 w 12192000"/>
              <a:gd name="csY3783" fmla="*/ 1749515 h 6858000"/>
              <a:gd name="csX3784" fmla="*/ 3857500 w 12192000"/>
              <a:gd name="csY3784" fmla="*/ 1714694 h 6858000"/>
              <a:gd name="csX3785" fmla="*/ 3941242 w 12192000"/>
              <a:gd name="csY3785" fmla="*/ 1714694 h 6858000"/>
              <a:gd name="csX3786" fmla="*/ 3906895 w 12192000"/>
              <a:gd name="csY3786" fmla="*/ 1749515 h 6858000"/>
              <a:gd name="csX3787" fmla="*/ 3941242 w 12192000"/>
              <a:gd name="csY3787" fmla="*/ 1784335 h 6858000"/>
              <a:gd name="csX3788" fmla="*/ 3975588 w 12192000"/>
              <a:gd name="csY3788" fmla="*/ 1749515 h 6858000"/>
              <a:gd name="csX3789" fmla="*/ 3941242 w 12192000"/>
              <a:gd name="csY3789" fmla="*/ 1714694 h 6858000"/>
              <a:gd name="csX3790" fmla="*/ 4024990 w 12192000"/>
              <a:gd name="csY3790" fmla="*/ 1714694 h 6858000"/>
              <a:gd name="csX3791" fmla="*/ 3990643 w 12192000"/>
              <a:gd name="csY3791" fmla="*/ 1749515 h 6858000"/>
              <a:gd name="csX3792" fmla="*/ 4024990 w 12192000"/>
              <a:gd name="csY3792" fmla="*/ 1784335 h 6858000"/>
              <a:gd name="csX3793" fmla="*/ 4059337 w 12192000"/>
              <a:gd name="csY3793" fmla="*/ 1749515 h 6858000"/>
              <a:gd name="csX3794" fmla="*/ 4024990 w 12192000"/>
              <a:gd name="csY3794" fmla="*/ 1714694 h 6858000"/>
              <a:gd name="csX3795" fmla="*/ 4108732 w 12192000"/>
              <a:gd name="csY3795" fmla="*/ 1714694 h 6858000"/>
              <a:gd name="csX3796" fmla="*/ 4074386 w 12192000"/>
              <a:gd name="csY3796" fmla="*/ 1749515 h 6858000"/>
              <a:gd name="csX3797" fmla="*/ 4108732 w 12192000"/>
              <a:gd name="csY3797" fmla="*/ 1784335 h 6858000"/>
              <a:gd name="csX3798" fmla="*/ 4143079 w 12192000"/>
              <a:gd name="csY3798" fmla="*/ 1749515 h 6858000"/>
              <a:gd name="csX3799" fmla="*/ 4108732 w 12192000"/>
              <a:gd name="csY3799" fmla="*/ 1714694 h 6858000"/>
              <a:gd name="csX3800" fmla="*/ 4276215 w 12192000"/>
              <a:gd name="csY3800" fmla="*/ 1714694 h 6858000"/>
              <a:gd name="csX3801" fmla="*/ 4241868 w 12192000"/>
              <a:gd name="csY3801" fmla="*/ 1749515 h 6858000"/>
              <a:gd name="csX3802" fmla="*/ 4276215 w 12192000"/>
              <a:gd name="csY3802" fmla="*/ 1784335 h 6858000"/>
              <a:gd name="csX3803" fmla="*/ 4310561 w 12192000"/>
              <a:gd name="csY3803" fmla="*/ 1749515 h 6858000"/>
              <a:gd name="csX3804" fmla="*/ 4276215 w 12192000"/>
              <a:gd name="csY3804" fmla="*/ 1714694 h 6858000"/>
              <a:gd name="csX3805" fmla="*/ 4527439 w 12192000"/>
              <a:gd name="csY3805" fmla="*/ 1714694 h 6858000"/>
              <a:gd name="csX3806" fmla="*/ 4493093 w 12192000"/>
              <a:gd name="csY3806" fmla="*/ 1749515 h 6858000"/>
              <a:gd name="csX3807" fmla="*/ 4527439 w 12192000"/>
              <a:gd name="csY3807" fmla="*/ 1784335 h 6858000"/>
              <a:gd name="csX3808" fmla="*/ 4561786 w 12192000"/>
              <a:gd name="csY3808" fmla="*/ 1749515 h 6858000"/>
              <a:gd name="csX3809" fmla="*/ 4527439 w 12192000"/>
              <a:gd name="csY3809" fmla="*/ 1714694 h 6858000"/>
              <a:gd name="csX3810" fmla="*/ 4611182 w 12192000"/>
              <a:gd name="csY3810" fmla="*/ 1714694 h 6858000"/>
              <a:gd name="csX3811" fmla="*/ 4576835 w 12192000"/>
              <a:gd name="csY3811" fmla="*/ 1749515 h 6858000"/>
              <a:gd name="csX3812" fmla="*/ 4611182 w 12192000"/>
              <a:gd name="csY3812" fmla="*/ 1784335 h 6858000"/>
              <a:gd name="csX3813" fmla="*/ 4645528 w 12192000"/>
              <a:gd name="csY3813" fmla="*/ 1749515 h 6858000"/>
              <a:gd name="csX3814" fmla="*/ 4611182 w 12192000"/>
              <a:gd name="csY3814" fmla="*/ 1714694 h 6858000"/>
              <a:gd name="csX3815" fmla="*/ 4694923 w 12192000"/>
              <a:gd name="csY3815" fmla="*/ 1714694 h 6858000"/>
              <a:gd name="csX3816" fmla="*/ 4660576 w 12192000"/>
              <a:gd name="csY3816" fmla="*/ 1749515 h 6858000"/>
              <a:gd name="csX3817" fmla="*/ 4694923 w 12192000"/>
              <a:gd name="csY3817" fmla="*/ 1784335 h 6858000"/>
              <a:gd name="csX3818" fmla="*/ 4729270 w 12192000"/>
              <a:gd name="csY3818" fmla="*/ 1749515 h 6858000"/>
              <a:gd name="csX3819" fmla="*/ 4694923 w 12192000"/>
              <a:gd name="csY3819" fmla="*/ 1714694 h 6858000"/>
              <a:gd name="csX3820" fmla="*/ 4778665 w 12192000"/>
              <a:gd name="csY3820" fmla="*/ 1714694 h 6858000"/>
              <a:gd name="csX3821" fmla="*/ 4744319 w 12192000"/>
              <a:gd name="csY3821" fmla="*/ 1749515 h 6858000"/>
              <a:gd name="csX3822" fmla="*/ 4778665 w 12192000"/>
              <a:gd name="csY3822" fmla="*/ 1784335 h 6858000"/>
              <a:gd name="csX3823" fmla="*/ 4813012 w 12192000"/>
              <a:gd name="csY3823" fmla="*/ 1749515 h 6858000"/>
              <a:gd name="csX3824" fmla="*/ 4778665 w 12192000"/>
              <a:gd name="csY3824" fmla="*/ 1714694 h 6858000"/>
              <a:gd name="csX3825" fmla="*/ 4862406 w 12192000"/>
              <a:gd name="csY3825" fmla="*/ 1714694 h 6858000"/>
              <a:gd name="csX3826" fmla="*/ 4828060 w 12192000"/>
              <a:gd name="csY3826" fmla="*/ 1749515 h 6858000"/>
              <a:gd name="csX3827" fmla="*/ 4862406 w 12192000"/>
              <a:gd name="csY3827" fmla="*/ 1784335 h 6858000"/>
              <a:gd name="csX3828" fmla="*/ 4896753 w 12192000"/>
              <a:gd name="csY3828" fmla="*/ 1749515 h 6858000"/>
              <a:gd name="csX3829" fmla="*/ 4862406 w 12192000"/>
              <a:gd name="csY3829" fmla="*/ 1714694 h 6858000"/>
              <a:gd name="csX3830" fmla="*/ 4946148 w 12192000"/>
              <a:gd name="csY3830" fmla="*/ 1714694 h 6858000"/>
              <a:gd name="csX3831" fmla="*/ 4911801 w 12192000"/>
              <a:gd name="csY3831" fmla="*/ 1749515 h 6858000"/>
              <a:gd name="csX3832" fmla="*/ 4946148 w 12192000"/>
              <a:gd name="csY3832" fmla="*/ 1784335 h 6858000"/>
              <a:gd name="csX3833" fmla="*/ 4980494 w 12192000"/>
              <a:gd name="csY3833" fmla="*/ 1749515 h 6858000"/>
              <a:gd name="csX3834" fmla="*/ 4946148 w 12192000"/>
              <a:gd name="csY3834" fmla="*/ 1714694 h 6858000"/>
              <a:gd name="csX3835" fmla="*/ 6286014 w 12192000"/>
              <a:gd name="csY3835" fmla="*/ 1714694 h 6858000"/>
              <a:gd name="csX3836" fmla="*/ 6251661 w 12192000"/>
              <a:gd name="csY3836" fmla="*/ 1749515 h 6858000"/>
              <a:gd name="csX3837" fmla="*/ 6286014 w 12192000"/>
              <a:gd name="csY3837" fmla="*/ 1784335 h 6858000"/>
              <a:gd name="csX3838" fmla="*/ 6320354 w 12192000"/>
              <a:gd name="csY3838" fmla="*/ 1749515 h 6858000"/>
              <a:gd name="csX3839" fmla="*/ 6286014 w 12192000"/>
              <a:gd name="csY3839" fmla="*/ 1714694 h 6858000"/>
              <a:gd name="csX3840" fmla="*/ 6369755 w 12192000"/>
              <a:gd name="csY3840" fmla="*/ 1714694 h 6858000"/>
              <a:gd name="csX3841" fmla="*/ 6335402 w 12192000"/>
              <a:gd name="csY3841" fmla="*/ 1749515 h 6858000"/>
              <a:gd name="csX3842" fmla="*/ 6369755 w 12192000"/>
              <a:gd name="csY3842" fmla="*/ 1784335 h 6858000"/>
              <a:gd name="csX3843" fmla="*/ 6404096 w 12192000"/>
              <a:gd name="csY3843" fmla="*/ 1749515 h 6858000"/>
              <a:gd name="csX3844" fmla="*/ 6369755 w 12192000"/>
              <a:gd name="csY3844" fmla="*/ 1714694 h 6858000"/>
              <a:gd name="csX3845" fmla="*/ 6453498 w 12192000"/>
              <a:gd name="csY3845" fmla="*/ 1714694 h 6858000"/>
              <a:gd name="csX3846" fmla="*/ 6419144 w 12192000"/>
              <a:gd name="csY3846" fmla="*/ 1749515 h 6858000"/>
              <a:gd name="csX3847" fmla="*/ 6453498 w 12192000"/>
              <a:gd name="csY3847" fmla="*/ 1784335 h 6858000"/>
              <a:gd name="csX3848" fmla="*/ 6487838 w 12192000"/>
              <a:gd name="csY3848" fmla="*/ 1749515 h 6858000"/>
              <a:gd name="csX3849" fmla="*/ 6453498 w 12192000"/>
              <a:gd name="csY3849" fmla="*/ 1714694 h 6858000"/>
              <a:gd name="csX3850" fmla="*/ 6537239 w 12192000"/>
              <a:gd name="csY3850" fmla="*/ 1714694 h 6858000"/>
              <a:gd name="csX3851" fmla="*/ 6502886 w 12192000"/>
              <a:gd name="csY3851" fmla="*/ 1749515 h 6858000"/>
              <a:gd name="csX3852" fmla="*/ 6537239 w 12192000"/>
              <a:gd name="csY3852" fmla="*/ 1784335 h 6858000"/>
              <a:gd name="csX3853" fmla="*/ 6571579 w 12192000"/>
              <a:gd name="csY3853" fmla="*/ 1749515 h 6858000"/>
              <a:gd name="csX3854" fmla="*/ 6537239 w 12192000"/>
              <a:gd name="csY3854" fmla="*/ 1714694 h 6858000"/>
              <a:gd name="csX3855" fmla="*/ 6620980 w 12192000"/>
              <a:gd name="csY3855" fmla="*/ 1714694 h 6858000"/>
              <a:gd name="csX3856" fmla="*/ 6586627 w 12192000"/>
              <a:gd name="csY3856" fmla="*/ 1749515 h 6858000"/>
              <a:gd name="csX3857" fmla="*/ 6620980 w 12192000"/>
              <a:gd name="csY3857" fmla="*/ 1784335 h 6858000"/>
              <a:gd name="csX3858" fmla="*/ 6655320 w 12192000"/>
              <a:gd name="csY3858" fmla="*/ 1749515 h 6858000"/>
              <a:gd name="csX3859" fmla="*/ 6620980 w 12192000"/>
              <a:gd name="csY3859" fmla="*/ 1714694 h 6858000"/>
              <a:gd name="csX3860" fmla="*/ 6704722 w 12192000"/>
              <a:gd name="csY3860" fmla="*/ 1714694 h 6858000"/>
              <a:gd name="csX3861" fmla="*/ 6670369 w 12192000"/>
              <a:gd name="csY3861" fmla="*/ 1749515 h 6858000"/>
              <a:gd name="csX3862" fmla="*/ 6704722 w 12192000"/>
              <a:gd name="csY3862" fmla="*/ 1784335 h 6858000"/>
              <a:gd name="csX3863" fmla="*/ 6739063 w 12192000"/>
              <a:gd name="csY3863" fmla="*/ 1749515 h 6858000"/>
              <a:gd name="csX3864" fmla="*/ 6704722 w 12192000"/>
              <a:gd name="csY3864" fmla="*/ 1714694 h 6858000"/>
              <a:gd name="csX3865" fmla="*/ 6788464 w 12192000"/>
              <a:gd name="csY3865" fmla="*/ 1714694 h 6858000"/>
              <a:gd name="csX3866" fmla="*/ 6754110 w 12192000"/>
              <a:gd name="csY3866" fmla="*/ 1749515 h 6858000"/>
              <a:gd name="csX3867" fmla="*/ 6788464 w 12192000"/>
              <a:gd name="csY3867" fmla="*/ 1784335 h 6858000"/>
              <a:gd name="csX3868" fmla="*/ 6822804 w 12192000"/>
              <a:gd name="csY3868" fmla="*/ 1749515 h 6858000"/>
              <a:gd name="csX3869" fmla="*/ 6788464 w 12192000"/>
              <a:gd name="csY3869" fmla="*/ 1714694 h 6858000"/>
              <a:gd name="csX3870" fmla="*/ 7039688 w 12192000"/>
              <a:gd name="csY3870" fmla="*/ 1714694 h 6858000"/>
              <a:gd name="csX3871" fmla="*/ 7005335 w 12192000"/>
              <a:gd name="csY3871" fmla="*/ 1749515 h 6858000"/>
              <a:gd name="csX3872" fmla="*/ 7039688 w 12192000"/>
              <a:gd name="csY3872" fmla="*/ 1784335 h 6858000"/>
              <a:gd name="csX3873" fmla="*/ 7074029 w 12192000"/>
              <a:gd name="csY3873" fmla="*/ 1749515 h 6858000"/>
              <a:gd name="csX3874" fmla="*/ 7039688 w 12192000"/>
              <a:gd name="csY3874" fmla="*/ 1714694 h 6858000"/>
              <a:gd name="csX3875" fmla="*/ 7123456 w 12192000"/>
              <a:gd name="csY3875" fmla="*/ 1714694 h 6858000"/>
              <a:gd name="csX3876" fmla="*/ 7089103 w 12192000"/>
              <a:gd name="csY3876" fmla="*/ 1749515 h 6858000"/>
              <a:gd name="csX3877" fmla="*/ 7123456 w 12192000"/>
              <a:gd name="csY3877" fmla="*/ 1784335 h 6858000"/>
              <a:gd name="csX3878" fmla="*/ 7157796 w 12192000"/>
              <a:gd name="csY3878" fmla="*/ 1749515 h 6858000"/>
              <a:gd name="csX3879" fmla="*/ 7123456 w 12192000"/>
              <a:gd name="csY3879" fmla="*/ 1714694 h 6858000"/>
              <a:gd name="csX3880" fmla="*/ 7207198 w 12192000"/>
              <a:gd name="csY3880" fmla="*/ 1714694 h 6858000"/>
              <a:gd name="csX3881" fmla="*/ 7172845 w 12192000"/>
              <a:gd name="csY3881" fmla="*/ 1749515 h 6858000"/>
              <a:gd name="csX3882" fmla="*/ 7207198 w 12192000"/>
              <a:gd name="csY3882" fmla="*/ 1784335 h 6858000"/>
              <a:gd name="csX3883" fmla="*/ 7241538 w 12192000"/>
              <a:gd name="csY3883" fmla="*/ 1749515 h 6858000"/>
              <a:gd name="csX3884" fmla="*/ 7207198 w 12192000"/>
              <a:gd name="csY3884" fmla="*/ 1714694 h 6858000"/>
              <a:gd name="csX3885" fmla="*/ 7290939 w 12192000"/>
              <a:gd name="csY3885" fmla="*/ 1714694 h 6858000"/>
              <a:gd name="csX3886" fmla="*/ 7256586 w 12192000"/>
              <a:gd name="csY3886" fmla="*/ 1749515 h 6858000"/>
              <a:gd name="csX3887" fmla="*/ 7290939 w 12192000"/>
              <a:gd name="csY3887" fmla="*/ 1784335 h 6858000"/>
              <a:gd name="csX3888" fmla="*/ 7325279 w 12192000"/>
              <a:gd name="csY3888" fmla="*/ 1749515 h 6858000"/>
              <a:gd name="csX3889" fmla="*/ 7290939 w 12192000"/>
              <a:gd name="csY3889" fmla="*/ 1714694 h 6858000"/>
              <a:gd name="csX3890" fmla="*/ 7374681 w 12192000"/>
              <a:gd name="csY3890" fmla="*/ 1714694 h 6858000"/>
              <a:gd name="csX3891" fmla="*/ 7340328 w 12192000"/>
              <a:gd name="csY3891" fmla="*/ 1749515 h 6858000"/>
              <a:gd name="csX3892" fmla="*/ 7374681 w 12192000"/>
              <a:gd name="csY3892" fmla="*/ 1784335 h 6858000"/>
              <a:gd name="csX3893" fmla="*/ 7409022 w 12192000"/>
              <a:gd name="csY3893" fmla="*/ 1749515 h 6858000"/>
              <a:gd name="csX3894" fmla="*/ 7374681 w 12192000"/>
              <a:gd name="csY3894" fmla="*/ 1714694 h 6858000"/>
              <a:gd name="csX3895" fmla="*/ 7458423 w 12192000"/>
              <a:gd name="csY3895" fmla="*/ 1714694 h 6858000"/>
              <a:gd name="csX3896" fmla="*/ 7424070 w 12192000"/>
              <a:gd name="csY3896" fmla="*/ 1749515 h 6858000"/>
              <a:gd name="csX3897" fmla="*/ 7458423 w 12192000"/>
              <a:gd name="csY3897" fmla="*/ 1784335 h 6858000"/>
              <a:gd name="csX3898" fmla="*/ 7492763 w 12192000"/>
              <a:gd name="csY3898" fmla="*/ 1749515 h 6858000"/>
              <a:gd name="csX3899" fmla="*/ 7458423 w 12192000"/>
              <a:gd name="csY3899" fmla="*/ 1714694 h 6858000"/>
              <a:gd name="csX3900" fmla="*/ 7542164 w 12192000"/>
              <a:gd name="csY3900" fmla="*/ 1714694 h 6858000"/>
              <a:gd name="csX3901" fmla="*/ 7507811 w 12192000"/>
              <a:gd name="csY3901" fmla="*/ 1749515 h 6858000"/>
              <a:gd name="csX3902" fmla="*/ 7542164 w 12192000"/>
              <a:gd name="csY3902" fmla="*/ 1784335 h 6858000"/>
              <a:gd name="csX3903" fmla="*/ 7576504 w 12192000"/>
              <a:gd name="csY3903" fmla="*/ 1749515 h 6858000"/>
              <a:gd name="csX3904" fmla="*/ 7542164 w 12192000"/>
              <a:gd name="csY3904" fmla="*/ 1714694 h 6858000"/>
              <a:gd name="csX3905" fmla="*/ 7625906 w 12192000"/>
              <a:gd name="csY3905" fmla="*/ 1714694 h 6858000"/>
              <a:gd name="csX3906" fmla="*/ 7591553 w 12192000"/>
              <a:gd name="csY3906" fmla="*/ 1749515 h 6858000"/>
              <a:gd name="csX3907" fmla="*/ 7625906 w 12192000"/>
              <a:gd name="csY3907" fmla="*/ 1784335 h 6858000"/>
              <a:gd name="csX3908" fmla="*/ 7660246 w 12192000"/>
              <a:gd name="csY3908" fmla="*/ 1749515 h 6858000"/>
              <a:gd name="csX3909" fmla="*/ 7625906 w 12192000"/>
              <a:gd name="csY3909" fmla="*/ 1714694 h 6858000"/>
              <a:gd name="csX3910" fmla="*/ 7709647 w 12192000"/>
              <a:gd name="csY3910" fmla="*/ 1714694 h 6858000"/>
              <a:gd name="csX3911" fmla="*/ 7675294 w 12192000"/>
              <a:gd name="csY3911" fmla="*/ 1749515 h 6858000"/>
              <a:gd name="csX3912" fmla="*/ 7709647 w 12192000"/>
              <a:gd name="csY3912" fmla="*/ 1784335 h 6858000"/>
              <a:gd name="csX3913" fmla="*/ 7743988 w 12192000"/>
              <a:gd name="csY3913" fmla="*/ 1749515 h 6858000"/>
              <a:gd name="csX3914" fmla="*/ 7709647 w 12192000"/>
              <a:gd name="csY3914" fmla="*/ 1714694 h 6858000"/>
              <a:gd name="csX3915" fmla="*/ 7793389 w 12192000"/>
              <a:gd name="csY3915" fmla="*/ 1714694 h 6858000"/>
              <a:gd name="csX3916" fmla="*/ 7759036 w 12192000"/>
              <a:gd name="csY3916" fmla="*/ 1749515 h 6858000"/>
              <a:gd name="csX3917" fmla="*/ 7793389 w 12192000"/>
              <a:gd name="csY3917" fmla="*/ 1784335 h 6858000"/>
              <a:gd name="csX3918" fmla="*/ 7827729 w 12192000"/>
              <a:gd name="csY3918" fmla="*/ 1749515 h 6858000"/>
              <a:gd name="csX3919" fmla="*/ 7793389 w 12192000"/>
              <a:gd name="csY3919" fmla="*/ 1714694 h 6858000"/>
              <a:gd name="csX3920" fmla="*/ 7877131 w 12192000"/>
              <a:gd name="csY3920" fmla="*/ 1714694 h 6858000"/>
              <a:gd name="csX3921" fmla="*/ 7842778 w 12192000"/>
              <a:gd name="csY3921" fmla="*/ 1749515 h 6858000"/>
              <a:gd name="csX3922" fmla="*/ 7877131 w 12192000"/>
              <a:gd name="csY3922" fmla="*/ 1784335 h 6858000"/>
              <a:gd name="csX3923" fmla="*/ 7911471 w 12192000"/>
              <a:gd name="csY3923" fmla="*/ 1749515 h 6858000"/>
              <a:gd name="csX3924" fmla="*/ 7877131 w 12192000"/>
              <a:gd name="csY3924" fmla="*/ 1714694 h 6858000"/>
              <a:gd name="csX3925" fmla="*/ 7960872 w 12192000"/>
              <a:gd name="csY3925" fmla="*/ 1714694 h 6858000"/>
              <a:gd name="csX3926" fmla="*/ 7926519 w 12192000"/>
              <a:gd name="csY3926" fmla="*/ 1749515 h 6858000"/>
              <a:gd name="csX3927" fmla="*/ 7960872 w 12192000"/>
              <a:gd name="csY3927" fmla="*/ 1784335 h 6858000"/>
              <a:gd name="csX3928" fmla="*/ 7995212 w 12192000"/>
              <a:gd name="csY3928" fmla="*/ 1749515 h 6858000"/>
              <a:gd name="csX3929" fmla="*/ 7960872 w 12192000"/>
              <a:gd name="csY3929" fmla="*/ 1714694 h 6858000"/>
              <a:gd name="csX3930" fmla="*/ 8044614 w 12192000"/>
              <a:gd name="csY3930" fmla="*/ 1714694 h 6858000"/>
              <a:gd name="csX3931" fmla="*/ 8010261 w 12192000"/>
              <a:gd name="csY3931" fmla="*/ 1749515 h 6858000"/>
              <a:gd name="csX3932" fmla="*/ 8044614 w 12192000"/>
              <a:gd name="csY3932" fmla="*/ 1784335 h 6858000"/>
              <a:gd name="csX3933" fmla="*/ 8078955 w 12192000"/>
              <a:gd name="csY3933" fmla="*/ 1749515 h 6858000"/>
              <a:gd name="csX3934" fmla="*/ 8044614 w 12192000"/>
              <a:gd name="csY3934" fmla="*/ 1714694 h 6858000"/>
              <a:gd name="csX3935" fmla="*/ 8128356 w 12192000"/>
              <a:gd name="csY3935" fmla="*/ 1714694 h 6858000"/>
              <a:gd name="csX3936" fmla="*/ 8094003 w 12192000"/>
              <a:gd name="csY3936" fmla="*/ 1749515 h 6858000"/>
              <a:gd name="csX3937" fmla="*/ 8128356 w 12192000"/>
              <a:gd name="csY3937" fmla="*/ 1784335 h 6858000"/>
              <a:gd name="csX3938" fmla="*/ 8162696 w 12192000"/>
              <a:gd name="csY3938" fmla="*/ 1749515 h 6858000"/>
              <a:gd name="csX3939" fmla="*/ 8128356 w 12192000"/>
              <a:gd name="csY3939" fmla="*/ 1714694 h 6858000"/>
              <a:gd name="csX3940" fmla="*/ 8212097 w 12192000"/>
              <a:gd name="csY3940" fmla="*/ 1714694 h 6858000"/>
              <a:gd name="csX3941" fmla="*/ 8177744 w 12192000"/>
              <a:gd name="csY3941" fmla="*/ 1749515 h 6858000"/>
              <a:gd name="csX3942" fmla="*/ 8212097 w 12192000"/>
              <a:gd name="csY3942" fmla="*/ 1784335 h 6858000"/>
              <a:gd name="csX3943" fmla="*/ 8246437 w 12192000"/>
              <a:gd name="csY3943" fmla="*/ 1749515 h 6858000"/>
              <a:gd name="csX3944" fmla="*/ 8212097 w 12192000"/>
              <a:gd name="csY3944" fmla="*/ 1714694 h 6858000"/>
              <a:gd name="csX3945" fmla="*/ 8295839 w 12192000"/>
              <a:gd name="csY3945" fmla="*/ 1714694 h 6858000"/>
              <a:gd name="csX3946" fmla="*/ 8261486 w 12192000"/>
              <a:gd name="csY3946" fmla="*/ 1749515 h 6858000"/>
              <a:gd name="csX3947" fmla="*/ 8295839 w 12192000"/>
              <a:gd name="csY3947" fmla="*/ 1784335 h 6858000"/>
              <a:gd name="csX3948" fmla="*/ 8330179 w 12192000"/>
              <a:gd name="csY3948" fmla="*/ 1749515 h 6858000"/>
              <a:gd name="csX3949" fmla="*/ 8295839 w 12192000"/>
              <a:gd name="csY3949" fmla="*/ 1714694 h 6858000"/>
              <a:gd name="csX3950" fmla="*/ 8379580 w 12192000"/>
              <a:gd name="csY3950" fmla="*/ 1714694 h 6858000"/>
              <a:gd name="csX3951" fmla="*/ 8345227 w 12192000"/>
              <a:gd name="csY3951" fmla="*/ 1749515 h 6858000"/>
              <a:gd name="csX3952" fmla="*/ 8379580 w 12192000"/>
              <a:gd name="csY3952" fmla="*/ 1784335 h 6858000"/>
              <a:gd name="csX3953" fmla="*/ 8413921 w 12192000"/>
              <a:gd name="csY3953" fmla="*/ 1749515 h 6858000"/>
              <a:gd name="csX3954" fmla="*/ 8379580 w 12192000"/>
              <a:gd name="csY3954" fmla="*/ 1714694 h 6858000"/>
              <a:gd name="csX3955" fmla="*/ 8463323 w 12192000"/>
              <a:gd name="csY3955" fmla="*/ 1714694 h 6858000"/>
              <a:gd name="csX3956" fmla="*/ 8428970 w 12192000"/>
              <a:gd name="csY3956" fmla="*/ 1749515 h 6858000"/>
              <a:gd name="csX3957" fmla="*/ 8463323 w 12192000"/>
              <a:gd name="csY3957" fmla="*/ 1784335 h 6858000"/>
              <a:gd name="csX3958" fmla="*/ 8497663 w 12192000"/>
              <a:gd name="csY3958" fmla="*/ 1749515 h 6858000"/>
              <a:gd name="csX3959" fmla="*/ 8463323 w 12192000"/>
              <a:gd name="csY3959" fmla="*/ 1714694 h 6858000"/>
              <a:gd name="csX3960" fmla="*/ 8547064 w 12192000"/>
              <a:gd name="csY3960" fmla="*/ 1714694 h 6858000"/>
              <a:gd name="csX3961" fmla="*/ 8512711 w 12192000"/>
              <a:gd name="csY3961" fmla="*/ 1749515 h 6858000"/>
              <a:gd name="csX3962" fmla="*/ 8547064 w 12192000"/>
              <a:gd name="csY3962" fmla="*/ 1784335 h 6858000"/>
              <a:gd name="csX3963" fmla="*/ 8581404 w 12192000"/>
              <a:gd name="csY3963" fmla="*/ 1749515 h 6858000"/>
              <a:gd name="csX3964" fmla="*/ 8547064 w 12192000"/>
              <a:gd name="csY3964" fmla="*/ 1714694 h 6858000"/>
              <a:gd name="csX3965" fmla="*/ 8630805 w 12192000"/>
              <a:gd name="csY3965" fmla="*/ 1714694 h 6858000"/>
              <a:gd name="csX3966" fmla="*/ 8596452 w 12192000"/>
              <a:gd name="csY3966" fmla="*/ 1749515 h 6858000"/>
              <a:gd name="csX3967" fmla="*/ 8630805 w 12192000"/>
              <a:gd name="csY3967" fmla="*/ 1784335 h 6858000"/>
              <a:gd name="csX3968" fmla="*/ 8665145 w 12192000"/>
              <a:gd name="csY3968" fmla="*/ 1749515 h 6858000"/>
              <a:gd name="csX3969" fmla="*/ 8630805 w 12192000"/>
              <a:gd name="csY3969" fmla="*/ 1714694 h 6858000"/>
              <a:gd name="csX3970" fmla="*/ 8714547 w 12192000"/>
              <a:gd name="csY3970" fmla="*/ 1714694 h 6858000"/>
              <a:gd name="csX3971" fmla="*/ 8680194 w 12192000"/>
              <a:gd name="csY3971" fmla="*/ 1749515 h 6858000"/>
              <a:gd name="csX3972" fmla="*/ 8714547 w 12192000"/>
              <a:gd name="csY3972" fmla="*/ 1784335 h 6858000"/>
              <a:gd name="csX3973" fmla="*/ 8748888 w 12192000"/>
              <a:gd name="csY3973" fmla="*/ 1749515 h 6858000"/>
              <a:gd name="csX3974" fmla="*/ 8714547 w 12192000"/>
              <a:gd name="csY3974" fmla="*/ 1714694 h 6858000"/>
              <a:gd name="csX3975" fmla="*/ 8798289 w 12192000"/>
              <a:gd name="csY3975" fmla="*/ 1714694 h 6858000"/>
              <a:gd name="csX3976" fmla="*/ 8763936 w 12192000"/>
              <a:gd name="csY3976" fmla="*/ 1749515 h 6858000"/>
              <a:gd name="csX3977" fmla="*/ 8798289 w 12192000"/>
              <a:gd name="csY3977" fmla="*/ 1784335 h 6858000"/>
              <a:gd name="csX3978" fmla="*/ 8832629 w 12192000"/>
              <a:gd name="csY3978" fmla="*/ 1749515 h 6858000"/>
              <a:gd name="csX3979" fmla="*/ 8798289 w 12192000"/>
              <a:gd name="csY3979" fmla="*/ 1714694 h 6858000"/>
              <a:gd name="csX3980" fmla="*/ 8882030 w 12192000"/>
              <a:gd name="csY3980" fmla="*/ 1714694 h 6858000"/>
              <a:gd name="csX3981" fmla="*/ 8847677 w 12192000"/>
              <a:gd name="csY3981" fmla="*/ 1749515 h 6858000"/>
              <a:gd name="csX3982" fmla="*/ 8882030 w 12192000"/>
              <a:gd name="csY3982" fmla="*/ 1784335 h 6858000"/>
              <a:gd name="csX3983" fmla="*/ 8916370 w 12192000"/>
              <a:gd name="csY3983" fmla="*/ 1749515 h 6858000"/>
              <a:gd name="csX3984" fmla="*/ 8882030 w 12192000"/>
              <a:gd name="csY3984" fmla="*/ 1714694 h 6858000"/>
              <a:gd name="csX3985" fmla="*/ 8965772 w 12192000"/>
              <a:gd name="csY3985" fmla="*/ 1714694 h 6858000"/>
              <a:gd name="csX3986" fmla="*/ 8931419 w 12192000"/>
              <a:gd name="csY3986" fmla="*/ 1749515 h 6858000"/>
              <a:gd name="csX3987" fmla="*/ 8965772 w 12192000"/>
              <a:gd name="csY3987" fmla="*/ 1784335 h 6858000"/>
              <a:gd name="csX3988" fmla="*/ 9000112 w 12192000"/>
              <a:gd name="csY3988" fmla="*/ 1749515 h 6858000"/>
              <a:gd name="csX3989" fmla="*/ 8965772 w 12192000"/>
              <a:gd name="csY3989" fmla="*/ 1714694 h 6858000"/>
              <a:gd name="csX3990" fmla="*/ 9049513 w 12192000"/>
              <a:gd name="csY3990" fmla="*/ 1714694 h 6858000"/>
              <a:gd name="csX3991" fmla="*/ 9015160 w 12192000"/>
              <a:gd name="csY3991" fmla="*/ 1749515 h 6858000"/>
              <a:gd name="csX3992" fmla="*/ 9049513 w 12192000"/>
              <a:gd name="csY3992" fmla="*/ 1784335 h 6858000"/>
              <a:gd name="csX3993" fmla="*/ 9083854 w 12192000"/>
              <a:gd name="csY3993" fmla="*/ 1749515 h 6858000"/>
              <a:gd name="csX3994" fmla="*/ 9049513 w 12192000"/>
              <a:gd name="csY3994" fmla="*/ 1714694 h 6858000"/>
              <a:gd name="csX3995" fmla="*/ 9133256 w 12192000"/>
              <a:gd name="csY3995" fmla="*/ 1714694 h 6858000"/>
              <a:gd name="csX3996" fmla="*/ 9098903 w 12192000"/>
              <a:gd name="csY3996" fmla="*/ 1749515 h 6858000"/>
              <a:gd name="csX3997" fmla="*/ 9133256 w 12192000"/>
              <a:gd name="csY3997" fmla="*/ 1784335 h 6858000"/>
              <a:gd name="csX3998" fmla="*/ 9167596 w 12192000"/>
              <a:gd name="csY3998" fmla="*/ 1749515 h 6858000"/>
              <a:gd name="csX3999" fmla="*/ 9133256 w 12192000"/>
              <a:gd name="csY3999" fmla="*/ 1714694 h 6858000"/>
              <a:gd name="csX4000" fmla="*/ 9216997 w 12192000"/>
              <a:gd name="csY4000" fmla="*/ 1714694 h 6858000"/>
              <a:gd name="csX4001" fmla="*/ 9182644 w 12192000"/>
              <a:gd name="csY4001" fmla="*/ 1749515 h 6858000"/>
              <a:gd name="csX4002" fmla="*/ 9216997 w 12192000"/>
              <a:gd name="csY4002" fmla="*/ 1784335 h 6858000"/>
              <a:gd name="csX4003" fmla="*/ 9251337 w 12192000"/>
              <a:gd name="csY4003" fmla="*/ 1749515 h 6858000"/>
              <a:gd name="csX4004" fmla="*/ 9216997 w 12192000"/>
              <a:gd name="csY4004" fmla="*/ 1714694 h 6858000"/>
              <a:gd name="csX4005" fmla="*/ 9300738 w 12192000"/>
              <a:gd name="csY4005" fmla="*/ 1714694 h 6858000"/>
              <a:gd name="csX4006" fmla="*/ 9266385 w 12192000"/>
              <a:gd name="csY4006" fmla="*/ 1749515 h 6858000"/>
              <a:gd name="csX4007" fmla="*/ 9300738 w 12192000"/>
              <a:gd name="csY4007" fmla="*/ 1784335 h 6858000"/>
              <a:gd name="csX4008" fmla="*/ 9335078 w 12192000"/>
              <a:gd name="csY4008" fmla="*/ 1749515 h 6858000"/>
              <a:gd name="csX4009" fmla="*/ 9300738 w 12192000"/>
              <a:gd name="csY4009" fmla="*/ 1714694 h 6858000"/>
              <a:gd name="csX4010" fmla="*/ 9384480 w 12192000"/>
              <a:gd name="csY4010" fmla="*/ 1714694 h 6858000"/>
              <a:gd name="csX4011" fmla="*/ 9350127 w 12192000"/>
              <a:gd name="csY4011" fmla="*/ 1749515 h 6858000"/>
              <a:gd name="csX4012" fmla="*/ 9384480 w 12192000"/>
              <a:gd name="csY4012" fmla="*/ 1784335 h 6858000"/>
              <a:gd name="csX4013" fmla="*/ 9418821 w 12192000"/>
              <a:gd name="csY4013" fmla="*/ 1749515 h 6858000"/>
              <a:gd name="csX4014" fmla="*/ 9384480 w 12192000"/>
              <a:gd name="csY4014" fmla="*/ 1714694 h 6858000"/>
              <a:gd name="csX4015" fmla="*/ 9468222 w 12192000"/>
              <a:gd name="csY4015" fmla="*/ 1714694 h 6858000"/>
              <a:gd name="csX4016" fmla="*/ 9433869 w 12192000"/>
              <a:gd name="csY4016" fmla="*/ 1749515 h 6858000"/>
              <a:gd name="csX4017" fmla="*/ 9468222 w 12192000"/>
              <a:gd name="csY4017" fmla="*/ 1784335 h 6858000"/>
              <a:gd name="csX4018" fmla="*/ 9502562 w 12192000"/>
              <a:gd name="csY4018" fmla="*/ 1749515 h 6858000"/>
              <a:gd name="csX4019" fmla="*/ 9468222 w 12192000"/>
              <a:gd name="csY4019" fmla="*/ 1714694 h 6858000"/>
              <a:gd name="csX4020" fmla="*/ 9551963 w 12192000"/>
              <a:gd name="csY4020" fmla="*/ 1714694 h 6858000"/>
              <a:gd name="csX4021" fmla="*/ 9517610 w 12192000"/>
              <a:gd name="csY4021" fmla="*/ 1749515 h 6858000"/>
              <a:gd name="csX4022" fmla="*/ 9551963 w 12192000"/>
              <a:gd name="csY4022" fmla="*/ 1784335 h 6858000"/>
              <a:gd name="csX4023" fmla="*/ 9586303 w 12192000"/>
              <a:gd name="csY4023" fmla="*/ 1749515 h 6858000"/>
              <a:gd name="csX4024" fmla="*/ 9551963 w 12192000"/>
              <a:gd name="csY4024" fmla="*/ 1714694 h 6858000"/>
              <a:gd name="csX4025" fmla="*/ 9635705 w 12192000"/>
              <a:gd name="csY4025" fmla="*/ 1714694 h 6858000"/>
              <a:gd name="csX4026" fmla="*/ 9601352 w 12192000"/>
              <a:gd name="csY4026" fmla="*/ 1749515 h 6858000"/>
              <a:gd name="csX4027" fmla="*/ 9635705 w 12192000"/>
              <a:gd name="csY4027" fmla="*/ 1784335 h 6858000"/>
              <a:gd name="csX4028" fmla="*/ 9670045 w 12192000"/>
              <a:gd name="csY4028" fmla="*/ 1749515 h 6858000"/>
              <a:gd name="csX4029" fmla="*/ 9635705 w 12192000"/>
              <a:gd name="csY4029" fmla="*/ 1714694 h 6858000"/>
              <a:gd name="csX4030" fmla="*/ 9719446 w 12192000"/>
              <a:gd name="csY4030" fmla="*/ 1714694 h 6858000"/>
              <a:gd name="csX4031" fmla="*/ 9685093 w 12192000"/>
              <a:gd name="csY4031" fmla="*/ 1749515 h 6858000"/>
              <a:gd name="csX4032" fmla="*/ 9719446 w 12192000"/>
              <a:gd name="csY4032" fmla="*/ 1784335 h 6858000"/>
              <a:gd name="csX4033" fmla="*/ 9753787 w 12192000"/>
              <a:gd name="csY4033" fmla="*/ 1749515 h 6858000"/>
              <a:gd name="csX4034" fmla="*/ 9719446 w 12192000"/>
              <a:gd name="csY4034" fmla="*/ 1714694 h 6858000"/>
              <a:gd name="csX4035" fmla="*/ 10221896 w 12192000"/>
              <a:gd name="csY4035" fmla="*/ 1714694 h 6858000"/>
              <a:gd name="csX4036" fmla="*/ 10187543 w 12192000"/>
              <a:gd name="csY4036" fmla="*/ 1749515 h 6858000"/>
              <a:gd name="csX4037" fmla="*/ 10221896 w 12192000"/>
              <a:gd name="csY4037" fmla="*/ 1784335 h 6858000"/>
              <a:gd name="csX4038" fmla="*/ 10256236 w 12192000"/>
              <a:gd name="csY4038" fmla="*/ 1749515 h 6858000"/>
              <a:gd name="csX4039" fmla="*/ 10221896 w 12192000"/>
              <a:gd name="csY4039" fmla="*/ 1714694 h 6858000"/>
              <a:gd name="csX4040" fmla="*/ 10305638 w 12192000"/>
              <a:gd name="csY4040" fmla="*/ 1714694 h 6858000"/>
              <a:gd name="csX4041" fmla="*/ 10271285 w 12192000"/>
              <a:gd name="csY4041" fmla="*/ 1749515 h 6858000"/>
              <a:gd name="csX4042" fmla="*/ 10305638 w 12192000"/>
              <a:gd name="csY4042" fmla="*/ 1784335 h 6858000"/>
              <a:gd name="csX4043" fmla="*/ 10339978 w 12192000"/>
              <a:gd name="csY4043" fmla="*/ 1749515 h 6858000"/>
              <a:gd name="csX4044" fmla="*/ 10305638 w 12192000"/>
              <a:gd name="csY4044" fmla="*/ 1714694 h 6858000"/>
              <a:gd name="csX4045" fmla="*/ 1428993 w 12192000"/>
              <a:gd name="csY4045" fmla="*/ 1799558 h 6858000"/>
              <a:gd name="csX4046" fmla="*/ 1394646 w 12192000"/>
              <a:gd name="csY4046" fmla="*/ 1834378 h 6858000"/>
              <a:gd name="csX4047" fmla="*/ 1428993 w 12192000"/>
              <a:gd name="csY4047" fmla="*/ 1869199 h 6858000"/>
              <a:gd name="csX4048" fmla="*/ 1463340 w 12192000"/>
              <a:gd name="csY4048" fmla="*/ 1834378 h 6858000"/>
              <a:gd name="csX4049" fmla="*/ 1428993 w 12192000"/>
              <a:gd name="csY4049" fmla="*/ 1799558 h 6858000"/>
              <a:gd name="csX4050" fmla="*/ 1512741 w 12192000"/>
              <a:gd name="csY4050" fmla="*/ 1799558 h 6858000"/>
              <a:gd name="csX4051" fmla="*/ 1478395 w 12192000"/>
              <a:gd name="csY4051" fmla="*/ 1834378 h 6858000"/>
              <a:gd name="csX4052" fmla="*/ 1512741 w 12192000"/>
              <a:gd name="csY4052" fmla="*/ 1869199 h 6858000"/>
              <a:gd name="csX4053" fmla="*/ 1547088 w 12192000"/>
              <a:gd name="csY4053" fmla="*/ 1834378 h 6858000"/>
              <a:gd name="csX4054" fmla="*/ 1512741 w 12192000"/>
              <a:gd name="csY4054" fmla="*/ 1799558 h 6858000"/>
              <a:gd name="csX4055" fmla="*/ 2182674 w 12192000"/>
              <a:gd name="csY4055" fmla="*/ 1799558 h 6858000"/>
              <a:gd name="csX4056" fmla="*/ 2148328 w 12192000"/>
              <a:gd name="csY4056" fmla="*/ 1834378 h 6858000"/>
              <a:gd name="csX4057" fmla="*/ 2182674 w 12192000"/>
              <a:gd name="csY4057" fmla="*/ 1869199 h 6858000"/>
              <a:gd name="csX4058" fmla="*/ 2217021 w 12192000"/>
              <a:gd name="csY4058" fmla="*/ 1834378 h 6858000"/>
              <a:gd name="csX4059" fmla="*/ 2182674 w 12192000"/>
              <a:gd name="csY4059" fmla="*/ 1799558 h 6858000"/>
              <a:gd name="csX4060" fmla="*/ 2266416 w 12192000"/>
              <a:gd name="csY4060" fmla="*/ 1799558 h 6858000"/>
              <a:gd name="csX4061" fmla="*/ 2232069 w 12192000"/>
              <a:gd name="csY4061" fmla="*/ 1834378 h 6858000"/>
              <a:gd name="csX4062" fmla="*/ 2266416 w 12192000"/>
              <a:gd name="csY4062" fmla="*/ 1869199 h 6858000"/>
              <a:gd name="csX4063" fmla="*/ 2300762 w 12192000"/>
              <a:gd name="csY4063" fmla="*/ 1834378 h 6858000"/>
              <a:gd name="csX4064" fmla="*/ 2266416 w 12192000"/>
              <a:gd name="csY4064" fmla="*/ 1799558 h 6858000"/>
              <a:gd name="csX4065" fmla="*/ 2350151 w 12192000"/>
              <a:gd name="csY4065" fmla="*/ 1799558 h 6858000"/>
              <a:gd name="csX4066" fmla="*/ 2315804 w 12192000"/>
              <a:gd name="csY4066" fmla="*/ 1834378 h 6858000"/>
              <a:gd name="csX4067" fmla="*/ 2350151 w 12192000"/>
              <a:gd name="csY4067" fmla="*/ 1869199 h 6858000"/>
              <a:gd name="csX4068" fmla="*/ 2384498 w 12192000"/>
              <a:gd name="csY4068" fmla="*/ 1834378 h 6858000"/>
              <a:gd name="csX4069" fmla="*/ 2350151 w 12192000"/>
              <a:gd name="csY4069" fmla="*/ 1799558 h 6858000"/>
              <a:gd name="csX4070" fmla="*/ 2433893 w 12192000"/>
              <a:gd name="csY4070" fmla="*/ 1799558 h 6858000"/>
              <a:gd name="csX4071" fmla="*/ 2399546 w 12192000"/>
              <a:gd name="csY4071" fmla="*/ 1834378 h 6858000"/>
              <a:gd name="csX4072" fmla="*/ 2433893 w 12192000"/>
              <a:gd name="csY4072" fmla="*/ 1869199 h 6858000"/>
              <a:gd name="csX4073" fmla="*/ 2468240 w 12192000"/>
              <a:gd name="csY4073" fmla="*/ 1834378 h 6858000"/>
              <a:gd name="csX4074" fmla="*/ 2433893 w 12192000"/>
              <a:gd name="csY4074" fmla="*/ 1799558 h 6858000"/>
              <a:gd name="csX4075" fmla="*/ 2517634 w 12192000"/>
              <a:gd name="csY4075" fmla="*/ 1799558 h 6858000"/>
              <a:gd name="csX4076" fmla="*/ 2483288 w 12192000"/>
              <a:gd name="csY4076" fmla="*/ 1834378 h 6858000"/>
              <a:gd name="csX4077" fmla="*/ 2517634 w 12192000"/>
              <a:gd name="csY4077" fmla="*/ 1869199 h 6858000"/>
              <a:gd name="csX4078" fmla="*/ 2551981 w 12192000"/>
              <a:gd name="csY4078" fmla="*/ 1834378 h 6858000"/>
              <a:gd name="csX4079" fmla="*/ 2517634 w 12192000"/>
              <a:gd name="csY4079" fmla="*/ 1799558 h 6858000"/>
              <a:gd name="csX4080" fmla="*/ 2601376 w 12192000"/>
              <a:gd name="csY4080" fmla="*/ 1799558 h 6858000"/>
              <a:gd name="csX4081" fmla="*/ 2567029 w 12192000"/>
              <a:gd name="csY4081" fmla="*/ 1834378 h 6858000"/>
              <a:gd name="csX4082" fmla="*/ 2601376 w 12192000"/>
              <a:gd name="csY4082" fmla="*/ 1869199 h 6858000"/>
              <a:gd name="csX4083" fmla="*/ 2635722 w 12192000"/>
              <a:gd name="csY4083" fmla="*/ 1834378 h 6858000"/>
              <a:gd name="csX4084" fmla="*/ 2601376 w 12192000"/>
              <a:gd name="csY4084" fmla="*/ 1799558 h 6858000"/>
              <a:gd name="csX4085" fmla="*/ 2685118 w 12192000"/>
              <a:gd name="csY4085" fmla="*/ 1799558 h 6858000"/>
              <a:gd name="csX4086" fmla="*/ 2650771 w 12192000"/>
              <a:gd name="csY4086" fmla="*/ 1834378 h 6858000"/>
              <a:gd name="csX4087" fmla="*/ 2685118 w 12192000"/>
              <a:gd name="csY4087" fmla="*/ 1869199 h 6858000"/>
              <a:gd name="csX4088" fmla="*/ 2719465 w 12192000"/>
              <a:gd name="csY4088" fmla="*/ 1834378 h 6858000"/>
              <a:gd name="csX4089" fmla="*/ 2685118 w 12192000"/>
              <a:gd name="csY4089" fmla="*/ 1799558 h 6858000"/>
              <a:gd name="csX4090" fmla="*/ 2852600 w 12192000"/>
              <a:gd name="csY4090" fmla="*/ 1799558 h 6858000"/>
              <a:gd name="csX4091" fmla="*/ 2818254 w 12192000"/>
              <a:gd name="csY4091" fmla="*/ 1834378 h 6858000"/>
              <a:gd name="csX4092" fmla="*/ 2852600 w 12192000"/>
              <a:gd name="csY4092" fmla="*/ 1869199 h 6858000"/>
              <a:gd name="csX4093" fmla="*/ 2886947 w 12192000"/>
              <a:gd name="csY4093" fmla="*/ 1834378 h 6858000"/>
              <a:gd name="csX4094" fmla="*/ 2852600 w 12192000"/>
              <a:gd name="csY4094" fmla="*/ 1799558 h 6858000"/>
              <a:gd name="csX4095" fmla="*/ 2936343 w 12192000"/>
              <a:gd name="csY4095" fmla="*/ 1799558 h 6858000"/>
              <a:gd name="csX4096" fmla="*/ 2901996 w 12192000"/>
              <a:gd name="csY4096" fmla="*/ 1834378 h 6858000"/>
              <a:gd name="csX4097" fmla="*/ 2936343 w 12192000"/>
              <a:gd name="csY4097" fmla="*/ 1869199 h 6858000"/>
              <a:gd name="csX4098" fmla="*/ 2970689 w 12192000"/>
              <a:gd name="csY4098" fmla="*/ 1834378 h 6858000"/>
              <a:gd name="csX4099" fmla="*/ 2936343 w 12192000"/>
              <a:gd name="csY4099" fmla="*/ 1799558 h 6858000"/>
              <a:gd name="csX4100" fmla="*/ 3020084 w 12192000"/>
              <a:gd name="csY4100" fmla="*/ 1799558 h 6858000"/>
              <a:gd name="csX4101" fmla="*/ 2985737 w 12192000"/>
              <a:gd name="csY4101" fmla="*/ 1834378 h 6858000"/>
              <a:gd name="csX4102" fmla="*/ 3020084 w 12192000"/>
              <a:gd name="csY4102" fmla="*/ 1869199 h 6858000"/>
              <a:gd name="csX4103" fmla="*/ 3054431 w 12192000"/>
              <a:gd name="csY4103" fmla="*/ 1834378 h 6858000"/>
              <a:gd name="csX4104" fmla="*/ 3020084 w 12192000"/>
              <a:gd name="csY4104" fmla="*/ 1799558 h 6858000"/>
              <a:gd name="csX4105" fmla="*/ 3103826 w 12192000"/>
              <a:gd name="csY4105" fmla="*/ 1799558 h 6858000"/>
              <a:gd name="csX4106" fmla="*/ 3069479 w 12192000"/>
              <a:gd name="csY4106" fmla="*/ 1834378 h 6858000"/>
              <a:gd name="csX4107" fmla="*/ 3103826 w 12192000"/>
              <a:gd name="csY4107" fmla="*/ 1869199 h 6858000"/>
              <a:gd name="csX4108" fmla="*/ 3138173 w 12192000"/>
              <a:gd name="csY4108" fmla="*/ 1834378 h 6858000"/>
              <a:gd name="csX4109" fmla="*/ 3103826 w 12192000"/>
              <a:gd name="csY4109" fmla="*/ 1799558 h 6858000"/>
              <a:gd name="csX4110" fmla="*/ 3187567 w 12192000"/>
              <a:gd name="csY4110" fmla="*/ 1799558 h 6858000"/>
              <a:gd name="csX4111" fmla="*/ 3153221 w 12192000"/>
              <a:gd name="csY4111" fmla="*/ 1834378 h 6858000"/>
              <a:gd name="csX4112" fmla="*/ 3187567 w 12192000"/>
              <a:gd name="csY4112" fmla="*/ 1869199 h 6858000"/>
              <a:gd name="csX4113" fmla="*/ 3221914 w 12192000"/>
              <a:gd name="csY4113" fmla="*/ 1834378 h 6858000"/>
              <a:gd name="csX4114" fmla="*/ 3187567 w 12192000"/>
              <a:gd name="csY4114" fmla="*/ 1799558 h 6858000"/>
              <a:gd name="csX4115" fmla="*/ 3271309 w 12192000"/>
              <a:gd name="csY4115" fmla="*/ 1799558 h 6858000"/>
              <a:gd name="csX4116" fmla="*/ 3236962 w 12192000"/>
              <a:gd name="csY4116" fmla="*/ 1834378 h 6858000"/>
              <a:gd name="csX4117" fmla="*/ 3271309 w 12192000"/>
              <a:gd name="csY4117" fmla="*/ 1869199 h 6858000"/>
              <a:gd name="csX4118" fmla="*/ 3305655 w 12192000"/>
              <a:gd name="csY4118" fmla="*/ 1834378 h 6858000"/>
              <a:gd name="csX4119" fmla="*/ 3271309 w 12192000"/>
              <a:gd name="csY4119" fmla="*/ 1799558 h 6858000"/>
              <a:gd name="csX4120" fmla="*/ 3355051 w 12192000"/>
              <a:gd name="csY4120" fmla="*/ 1799558 h 6858000"/>
              <a:gd name="csX4121" fmla="*/ 3320704 w 12192000"/>
              <a:gd name="csY4121" fmla="*/ 1834378 h 6858000"/>
              <a:gd name="csX4122" fmla="*/ 3355051 w 12192000"/>
              <a:gd name="csY4122" fmla="*/ 1869199 h 6858000"/>
              <a:gd name="csX4123" fmla="*/ 3389398 w 12192000"/>
              <a:gd name="csY4123" fmla="*/ 1834378 h 6858000"/>
              <a:gd name="csX4124" fmla="*/ 3355051 w 12192000"/>
              <a:gd name="csY4124" fmla="*/ 1799558 h 6858000"/>
              <a:gd name="csX4125" fmla="*/ 3690017 w 12192000"/>
              <a:gd name="csY4125" fmla="*/ 1799558 h 6858000"/>
              <a:gd name="csX4126" fmla="*/ 3655670 w 12192000"/>
              <a:gd name="csY4126" fmla="*/ 1834378 h 6858000"/>
              <a:gd name="csX4127" fmla="*/ 3690017 w 12192000"/>
              <a:gd name="csY4127" fmla="*/ 1869199 h 6858000"/>
              <a:gd name="csX4128" fmla="*/ 3724364 w 12192000"/>
              <a:gd name="csY4128" fmla="*/ 1834378 h 6858000"/>
              <a:gd name="csX4129" fmla="*/ 3690017 w 12192000"/>
              <a:gd name="csY4129" fmla="*/ 1799558 h 6858000"/>
              <a:gd name="csX4130" fmla="*/ 4024990 w 12192000"/>
              <a:gd name="csY4130" fmla="*/ 1799558 h 6858000"/>
              <a:gd name="csX4131" fmla="*/ 3990643 w 12192000"/>
              <a:gd name="csY4131" fmla="*/ 1834378 h 6858000"/>
              <a:gd name="csX4132" fmla="*/ 4024990 w 12192000"/>
              <a:gd name="csY4132" fmla="*/ 1869199 h 6858000"/>
              <a:gd name="csX4133" fmla="*/ 4059337 w 12192000"/>
              <a:gd name="csY4133" fmla="*/ 1834378 h 6858000"/>
              <a:gd name="csX4134" fmla="*/ 4024990 w 12192000"/>
              <a:gd name="csY4134" fmla="*/ 1799558 h 6858000"/>
              <a:gd name="csX4135" fmla="*/ 4108732 w 12192000"/>
              <a:gd name="csY4135" fmla="*/ 1799558 h 6858000"/>
              <a:gd name="csX4136" fmla="*/ 4074386 w 12192000"/>
              <a:gd name="csY4136" fmla="*/ 1834378 h 6858000"/>
              <a:gd name="csX4137" fmla="*/ 4108732 w 12192000"/>
              <a:gd name="csY4137" fmla="*/ 1869199 h 6858000"/>
              <a:gd name="csX4138" fmla="*/ 4143079 w 12192000"/>
              <a:gd name="csY4138" fmla="*/ 1834378 h 6858000"/>
              <a:gd name="csX4139" fmla="*/ 4108732 w 12192000"/>
              <a:gd name="csY4139" fmla="*/ 1799558 h 6858000"/>
              <a:gd name="csX4140" fmla="*/ 4611182 w 12192000"/>
              <a:gd name="csY4140" fmla="*/ 1799558 h 6858000"/>
              <a:gd name="csX4141" fmla="*/ 4576835 w 12192000"/>
              <a:gd name="csY4141" fmla="*/ 1834378 h 6858000"/>
              <a:gd name="csX4142" fmla="*/ 4611182 w 12192000"/>
              <a:gd name="csY4142" fmla="*/ 1869199 h 6858000"/>
              <a:gd name="csX4143" fmla="*/ 4645528 w 12192000"/>
              <a:gd name="csY4143" fmla="*/ 1834378 h 6858000"/>
              <a:gd name="csX4144" fmla="*/ 4611182 w 12192000"/>
              <a:gd name="csY4144" fmla="*/ 1799558 h 6858000"/>
              <a:gd name="csX4145" fmla="*/ 4694923 w 12192000"/>
              <a:gd name="csY4145" fmla="*/ 1799558 h 6858000"/>
              <a:gd name="csX4146" fmla="*/ 4660576 w 12192000"/>
              <a:gd name="csY4146" fmla="*/ 1834378 h 6858000"/>
              <a:gd name="csX4147" fmla="*/ 4694923 w 12192000"/>
              <a:gd name="csY4147" fmla="*/ 1869199 h 6858000"/>
              <a:gd name="csX4148" fmla="*/ 4729270 w 12192000"/>
              <a:gd name="csY4148" fmla="*/ 1834378 h 6858000"/>
              <a:gd name="csX4149" fmla="*/ 4694923 w 12192000"/>
              <a:gd name="csY4149" fmla="*/ 1799558 h 6858000"/>
              <a:gd name="csX4150" fmla="*/ 4778665 w 12192000"/>
              <a:gd name="csY4150" fmla="*/ 1799558 h 6858000"/>
              <a:gd name="csX4151" fmla="*/ 4744319 w 12192000"/>
              <a:gd name="csY4151" fmla="*/ 1834378 h 6858000"/>
              <a:gd name="csX4152" fmla="*/ 4778665 w 12192000"/>
              <a:gd name="csY4152" fmla="*/ 1869199 h 6858000"/>
              <a:gd name="csX4153" fmla="*/ 4813012 w 12192000"/>
              <a:gd name="csY4153" fmla="*/ 1834378 h 6858000"/>
              <a:gd name="csX4154" fmla="*/ 4778665 w 12192000"/>
              <a:gd name="csY4154" fmla="*/ 1799558 h 6858000"/>
              <a:gd name="csX4155" fmla="*/ 5281115 w 12192000"/>
              <a:gd name="csY4155" fmla="*/ 1799558 h 6858000"/>
              <a:gd name="csX4156" fmla="*/ 5246768 w 12192000"/>
              <a:gd name="csY4156" fmla="*/ 1834378 h 6858000"/>
              <a:gd name="csX4157" fmla="*/ 5281115 w 12192000"/>
              <a:gd name="csY4157" fmla="*/ 1869199 h 6858000"/>
              <a:gd name="csX4158" fmla="*/ 5315461 w 12192000"/>
              <a:gd name="csY4158" fmla="*/ 1834378 h 6858000"/>
              <a:gd name="csX4159" fmla="*/ 5281115 w 12192000"/>
              <a:gd name="csY4159" fmla="*/ 1799558 h 6858000"/>
              <a:gd name="csX4160" fmla="*/ 5448598 w 12192000"/>
              <a:gd name="csY4160" fmla="*/ 1799558 h 6858000"/>
              <a:gd name="csX4161" fmla="*/ 5414252 w 12192000"/>
              <a:gd name="csY4161" fmla="*/ 1834378 h 6858000"/>
              <a:gd name="csX4162" fmla="*/ 5448598 w 12192000"/>
              <a:gd name="csY4162" fmla="*/ 1869199 h 6858000"/>
              <a:gd name="csX4163" fmla="*/ 5482945 w 12192000"/>
              <a:gd name="csY4163" fmla="*/ 1834378 h 6858000"/>
              <a:gd name="csX4164" fmla="*/ 5448598 w 12192000"/>
              <a:gd name="csY4164" fmla="*/ 1799558 h 6858000"/>
              <a:gd name="csX4165" fmla="*/ 6202273 w 12192000"/>
              <a:gd name="csY4165" fmla="*/ 1799558 h 6858000"/>
              <a:gd name="csX4166" fmla="*/ 6167920 w 12192000"/>
              <a:gd name="csY4166" fmla="*/ 1834378 h 6858000"/>
              <a:gd name="csX4167" fmla="*/ 6202273 w 12192000"/>
              <a:gd name="csY4167" fmla="*/ 1869199 h 6858000"/>
              <a:gd name="csX4168" fmla="*/ 6236613 w 12192000"/>
              <a:gd name="csY4168" fmla="*/ 1834378 h 6858000"/>
              <a:gd name="csX4169" fmla="*/ 6202273 w 12192000"/>
              <a:gd name="csY4169" fmla="*/ 1799558 h 6858000"/>
              <a:gd name="csX4170" fmla="*/ 6286014 w 12192000"/>
              <a:gd name="csY4170" fmla="*/ 1799558 h 6858000"/>
              <a:gd name="csX4171" fmla="*/ 6251661 w 12192000"/>
              <a:gd name="csY4171" fmla="*/ 1834378 h 6858000"/>
              <a:gd name="csX4172" fmla="*/ 6286014 w 12192000"/>
              <a:gd name="csY4172" fmla="*/ 1869199 h 6858000"/>
              <a:gd name="csX4173" fmla="*/ 6320354 w 12192000"/>
              <a:gd name="csY4173" fmla="*/ 1834378 h 6858000"/>
              <a:gd name="csX4174" fmla="*/ 6286014 w 12192000"/>
              <a:gd name="csY4174" fmla="*/ 1799558 h 6858000"/>
              <a:gd name="csX4175" fmla="*/ 6369755 w 12192000"/>
              <a:gd name="csY4175" fmla="*/ 1799558 h 6858000"/>
              <a:gd name="csX4176" fmla="*/ 6335402 w 12192000"/>
              <a:gd name="csY4176" fmla="*/ 1834378 h 6858000"/>
              <a:gd name="csX4177" fmla="*/ 6369755 w 12192000"/>
              <a:gd name="csY4177" fmla="*/ 1869199 h 6858000"/>
              <a:gd name="csX4178" fmla="*/ 6404096 w 12192000"/>
              <a:gd name="csY4178" fmla="*/ 1834378 h 6858000"/>
              <a:gd name="csX4179" fmla="*/ 6369755 w 12192000"/>
              <a:gd name="csY4179" fmla="*/ 1799558 h 6858000"/>
              <a:gd name="csX4180" fmla="*/ 6537239 w 12192000"/>
              <a:gd name="csY4180" fmla="*/ 1799558 h 6858000"/>
              <a:gd name="csX4181" fmla="*/ 6502886 w 12192000"/>
              <a:gd name="csY4181" fmla="*/ 1834378 h 6858000"/>
              <a:gd name="csX4182" fmla="*/ 6537239 w 12192000"/>
              <a:gd name="csY4182" fmla="*/ 1869199 h 6858000"/>
              <a:gd name="csX4183" fmla="*/ 6571579 w 12192000"/>
              <a:gd name="csY4183" fmla="*/ 1834378 h 6858000"/>
              <a:gd name="csX4184" fmla="*/ 6537239 w 12192000"/>
              <a:gd name="csY4184" fmla="*/ 1799558 h 6858000"/>
              <a:gd name="csX4185" fmla="*/ 6620980 w 12192000"/>
              <a:gd name="csY4185" fmla="*/ 1799558 h 6858000"/>
              <a:gd name="csX4186" fmla="*/ 6586627 w 12192000"/>
              <a:gd name="csY4186" fmla="*/ 1834378 h 6858000"/>
              <a:gd name="csX4187" fmla="*/ 6620980 w 12192000"/>
              <a:gd name="csY4187" fmla="*/ 1869199 h 6858000"/>
              <a:gd name="csX4188" fmla="*/ 6655320 w 12192000"/>
              <a:gd name="csY4188" fmla="*/ 1834378 h 6858000"/>
              <a:gd name="csX4189" fmla="*/ 6620980 w 12192000"/>
              <a:gd name="csY4189" fmla="*/ 1799558 h 6858000"/>
              <a:gd name="csX4190" fmla="*/ 6955947 w 12192000"/>
              <a:gd name="csY4190" fmla="*/ 1799558 h 6858000"/>
              <a:gd name="csX4191" fmla="*/ 6921594 w 12192000"/>
              <a:gd name="csY4191" fmla="*/ 1834378 h 6858000"/>
              <a:gd name="csX4192" fmla="*/ 6955947 w 12192000"/>
              <a:gd name="csY4192" fmla="*/ 1869199 h 6858000"/>
              <a:gd name="csX4193" fmla="*/ 6990287 w 12192000"/>
              <a:gd name="csY4193" fmla="*/ 1834378 h 6858000"/>
              <a:gd name="csX4194" fmla="*/ 6955947 w 12192000"/>
              <a:gd name="csY4194" fmla="*/ 1799558 h 6858000"/>
              <a:gd name="csX4195" fmla="*/ 7039688 w 12192000"/>
              <a:gd name="csY4195" fmla="*/ 1799558 h 6858000"/>
              <a:gd name="csX4196" fmla="*/ 7005335 w 12192000"/>
              <a:gd name="csY4196" fmla="*/ 1834378 h 6858000"/>
              <a:gd name="csX4197" fmla="*/ 7039688 w 12192000"/>
              <a:gd name="csY4197" fmla="*/ 1869199 h 6858000"/>
              <a:gd name="csX4198" fmla="*/ 7074029 w 12192000"/>
              <a:gd name="csY4198" fmla="*/ 1834378 h 6858000"/>
              <a:gd name="csX4199" fmla="*/ 7039688 w 12192000"/>
              <a:gd name="csY4199" fmla="*/ 1799558 h 6858000"/>
              <a:gd name="csX4200" fmla="*/ 7123456 w 12192000"/>
              <a:gd name="csY4200" fmla="*/ 1799558 h 6858000"/>
              <a:gd name="csX4201" fmla="*/ 7089103 w 12192000"/>
              <a:gd name="csY4201" fmla="*/ 1834378 h 6858000"/>
              <a:gd name="csX4202" fmla="*/ 7123456 w 12192000"/>
              <a:gd name="csY4202" fmla="*/ 1869199 h 6858000"/>
              <a:gd name="csX4203" fmla="*/ 7157796 w 12192000"/>
              <a:gd name="csY4203" fmla="*/ 1834378 h 6858000"/>
              <a:gd name="csX4204" fmla="*/ 7123456 w 12192000"/>
              <a:gd name="csY4204" fmla="*/ 1799558 h 6858000"/>
              <a:gd name="csX4205" fmla="*/ 7207198 w 12192000"/>
              <a:gd name="csY4205" fmla="*/ 1799558 h 6858000"/>
              <a:gd name="csX4206" fmla="*/ 7172845 w 12192000"/>
              <a:gd name="csY4206" fmla="*/ 1834378 h 6858000"/>
              <a:gd name="csX4207" fmla="*/ 7207198 w 12192000"/>
              <a:gd name="csY4207" fmla="*/ 1869199 h 6858000"/>
              <a:gd name="csX4208" fmla="*/ 7241538 w 12192000"/>
              <a:gd name="csY4208" fmla="*/ 1834378 h 6858000"/>
              <a:gd name="csX4209" fmla="*/ 7207198 w 12192000"/>
              <a:gd name="csY4209" fmla="*/ 1799558 h 6858000"/>
              <a:gd name="csX4210" fmla="*/ 7290939 w 12192000"/>
              <a:gd name="csY4210" fmla="*/ 1799558 h 6858000"/>
              <a:gd name="csX4211" fmla="*/ 7256586 w 12192000"/>
              <a:gd name="csY4211" fmla="*/ 1834378 h 6858000"/>
              <a:gd name="csX4212" fmla="*/ 7290939 w 12192000"/>
              <a:gd name="csY4212" fmla="*/ 1869199 h 6858000"/>
              <a:gd name="csX4213" fmla="*/ 7325279 w 12192000"/>
              <a:gd name="csY4213" fmla="*/ 1834378 h 6858000"/>
              <a:gd name="csX4214" fmla="*/ 7290939 w 12192000"/>
              <a:gd name="csY4214" fmla="*/ 1799558 h 6858000"/>
              <a:gd name="csX4215" fmla="*/ 7374681 w 12192000"/>
              <a:gd name="csY4215" fmla="*/ 1799558 h 6858000"/>
              <a:gd name="csX4216" fmla="*/ 7340328 w 12192000"/>
              <a:gd name="csY4216" fmla="*/ 1834378 h 6858000"/>
              <a:gd name="csX4217" fmla="*/ 7374681 w 12192000"/>
              <a:gd name="csY4217" fmla="*/ 1869199 h 6858000"/>
              <a:gd name="csX4218" fmla="*/ 7409022 w 12192000"/>
              <a:gd name="csY4218" fmla="*/ 1834378 h 6858000"/>
              <a:gd name="csX4219" fmla="*/ 7374681 w 12192000"/>
              <a:gd name="csY4219" fmla="*/ 1799558 h 6858000"/>
              <a:gd name="csX4220" fmla="*/ 7458423 w 12192000"/>
              <a:gd name="csY4220" fmla="*/ 1799558 h 6858000"/>
              <a:gd name="csX4221" fmla="*/ 7424070 w 12192000"/>
              <a:gd name="csY4221" fmla="*/ 1834378 h 6858000"/>
              <a:gd name="csX4222" fmla="*/ 7458423 w 12192000"/>
              <a:gd name="csY4222" fmla="*/ 1869199 h 6858000"/>
              <a:gd name="csX4223" fmla="*/ 7492763 w 12192000"/>
              <a:gd name="csY4223" fmla="*/ 1834378 h 6858000"/>
              <a:gd name="csX4224" fmla="*/ 7458423 w 12192000"/>
              <a:gd name="csY4224" fmla="*/ 1799558 h 6858000"/>
              <a:gd name="csX4225" fmla="*/ 7542164 w 12192000"/>
              <a:gd name="csY4225" fmla="*/ 1799558 h 6858000"/>
              <a:gd name="csX4226" fmla="*/ 7507811 w 12192000"/>
              <a:gd name="csY4226" fmla="*/ 1834378 h 6858000"/>
              <a:gd name="csX4227" fmla="*/ 7542164 w 12192000"/>
              <a:gd name="csY4227" fmla="*/ 1869199 h 6858000"/>
              <a:gd name="csX4228" fmla="*/ 7576504 w 12192000"/>
              <a:gd name="csY4228" fmla="*/ 1834378 h 6858000"/>
              <a:gd name="csX4229" fmla="*/ 7542164 w 12192000"/>
              <a:gd name="csY4229" fmla="*/ 1799558 h 6858000"/>
              <a:gd name="csX4230" fmla="*/ 7625906 w 12192000"/>
              <a:gd name="csY4230" fmla="*/ 1799558 h 6858000"/>
              <a:gd name="csX4231" fmla="*/ 7591553 w 12192000"/>
              <a:gd name="csY4231" fmla="*/ 1834378 h 6858000"/>
              <a:gd name="csX4232" fmla="*/ 7625906 w 12192000"/>
              <a:gd name="csY4232" fmla="*/ 1869199 h 6858000"/>
              <a:gd name="csX4233" fmla="*/ 7660246 w 12192000"/>
              <a:gd name="csY4233" fmla="*/ 1834378 h 6858000"/>
              <a:gd name="csX4234" fmla="*/ 7625906 w 12192000"/>
              <a:gd name="csY4234" fmla="*/ 1799558 h 6858000"/>
              <a:gd name="csX4235" fmla="*/ 7709647 w 12192000"/>
              <a:gd name="csY4235" fmla="*/ 1799558 h 6858000"/>
              <a:gd name="csX4236" fmla="*/ 7675294 w 12192000"/>
              <a:gd name="csY4236" fmla="*/ 1834378 h 6858000"/>
              <a:gd name="csX4237" fmla="*/ 7709647 w 12192000"/>
              <a:gd name="csY4237" fmla="*/ 1869199 h 6858000"/>
              <a:gd name="csX4238" fmla="*/ 7743988 w 12192000"/>
              <a:gd name="csY4238" fmla="*/ 1834378 h 6858000"/>
              <a:gd name="csX4239" fmla="*/ 7709647 w 12192000"/>
              <a:gd name="csY4239" fmla="*/ 1799558 h 6858000"/>
              <a:gd name="csX4240" fmla="*/ 7793389 w 12192000"/>
              <a:gd name="csY4240" fmla="*/ 1799558 h 6858000"/>
              <a:gd name="csX4241" fmla="*/ 7759036 w 12192000"/>
              <a:gd name="csY4241" fmla="*/ 1834378 h 6858000"/>
              <a:gd name="csX4242" fmla="*/ 7793389 w 12192000"/>
              <a:gd name="csY4242" fmla="*/ 1869199 h 6858000"/>
              <a:gd name="csX4243" fmla="*/ 7827729 w 12192000"/>
              <a:gd name="csY4243" fmla="*/ 1834378 h 6858000"/>
              <a:gd name="csX4244" fmla="*/ 7793389 w 12192000"/>
              <a:gd name="csY4244" fmla="*/ 1799558 h 6858000"/>
              <a:gd name="csX4245" fmla="*/ 7877131 w 12192000"/>
              <a:gd name="csY4245" fmla="*/ 1799558 h 6858000"/>
              <a:gd name="csX4246" fmla="*/ 7842778 w 12192000"/>
              <a:gd name="csY4246" fmla="*/ 1834378 h 6858000"/>
              <a:gd name="csX4247" fmla="*/ 7877131 w 12192000"/>
              <a:gd name="csY4247" fmla="*/ 1869199 h 6858000"/>
              <a:gd name="csX4248" fmla="*/ 7911471 w 12192000"/>
              <a:gd name="csY4248" fmla="*/ 1834378 h 6858000"/>
              <a:gd name="csX4249" fmla="*/ 7877131 w 12192000"/>
              <a:gd name="csY4249" fmla="*/ 1799558 h 6858000"/>
              <a:gd name="csX4250" fmla="*/ 7960872 w 12192000"/>
              <a:gd name="csY4250" fmla="*/ 1799558 h 6858000"/>
              <a:gd name="csX4251" fmla="*/ 7926519 w 12192000"/>
              <a:gd name="csY4251" fmla="*/ 1834378 h 6858000"/>
              <a:gd name="csX4252" fmla="*/ 7960872 w 12192000"/>
              <a:gd name="csY4252" fmla="*/ 1869199 h 6858000"/>
              <a:gd name="csX4253" fmla="*/ 7995212 w 12192000"/>
              <a:gd name="csY4253" fmla="*/ 1834378 h 6858000"/>
              <a:gd name="csX4254" fmla="*/ 7960872 w 12192000"/>
              <a:gd name="csY4254" fmla="*/ 1799558 h 6858000"/>
              <a:gd name="csX4255" fmla="*/ 8044614 w 12192000"/>
              <a:gd name="csY4255" fmla="*/ 1799558 h 6858000"/>
              <a:gd name="csX4256" fmla="*/ 8010261 w 12192000"/>
              <a:gd name="csY4256" fmla="*/ 1834378 h 6858000"/>
              <a:gd name="csX4257" fmla="*/ 8044614 w 12192000"/>
              <a:gd name="csY4257" fmla="*/ 1869199 h 6858000"/>
              <a:gd name="csX4258" fmla="*/ 8078955 w 12192000"/>
              <a:gd name="csY4258" fmla="*/ 1834378 h 6858000"/>
              <a:gd name="csX4259" fmla="*/ 8044614 w 12192000"/>
              <a:gd name="csY4259" fmla="*/ 1799558 h 6858000"/>
              <a:gd name="csX4260" fmla="*/ 8128356 w 12192000"/>
              <a:gd name="csY4260" fmla="*/ 1799558 h 6858000"/>
              <a:gd name="csX4261" fmla="*/ 8094003 w 12192000"/>
              <a:gd name="csY4261" fmla="*/ 1834378 h 6858000"/>
              <a:gd name="csX4262" fmla="*/ 8128356 w 12192000"/>
              <a:gd name="csY4262" fmla="*/ 1869199 h 6858000"/>
              <a:gd name="csX4263" fmla="*/ 8162696 w 12192000"/>
              <a:gd name="csY4263" fmla="*/ 1834378 h 6858000"/>
              <a:gd name="csX4264" fmla="*/ 8128356 w 12192000"/>
              <a:gd name="csY4264" fmla="*/ 1799558 h 6858000"/>
              <a:gd name="csX4265" fmla="*/ 8212097 w 12192000"/>
              <a:gd name="csY4265" fmla="*/ 1799558 h 6858000"/>
              <a:gd name="csX4266" fmla="*/ 8177744 w 12192000"/>
              <a:gd name="csY4266" fmla="*/ 1834378 h 6858000"/>
              <a:gd name="csX4267" fmla="*/ 8212097 w 12192000"/>
              <a:gd name="csY4267" fmla="*/ 1869199 h 6858000"/>
              <a:gd name="csX4268" fmla="*/ 8246437 w 12192000"/>
              <a:gd name="csY4268" fmla="*/ 1834378 h 6858000"/>
              <a:gd name="csX4269" fmla="*/ 8212097 w 12192000"/>
              <a:gd name="csY4269" fmla="*/ 1799558 h 6858000"/>
              <a:gd name="csX4270" fmla="*/ 8295839 w 12192000"/>
              <a:gd name="csY4270" fmla="*/ 1799558 h 6858000"/>
              <a:gd name="csX4271" fmla="*/ 8261486 w 12192000"/>
              <a:gd name="csY4271" fmla="*/ 1834378 h 6858000"/>
              <a:gd name="csX4272" fmla="*/ 8295839 w 12192000"/>
              <a:gd name="csY4272" fmla="*/ 1869199 h 6858000"/>
              <a:gd name="csX4273" fmla="*/ 8330179 w 12192000"/>
              <a:gd name="csY4273" fmla="*/ 1834378 h 6858000"/>
              <a:gd name="csX4274" fmla="*/ 8295839 w 12192000"/>
              <a:gd name="csY4274" fmla="*/ 1799558 h 6858000"/>
              <a:gd name="csX4275" fmla="*/ 8379580 w 12192000"/>
              <a:gd name="csY4275" fmla="*/ 1799558 h 6858000"/>
              <a:gd name="csX4276" fmla="*/ 8345227 w 12192000"/>
              <a:gd name="csY4276" fmla="*/ 1834378 h 6858000"/>
              <a:gd name="csX4277" fmla="*/ 8379580 w 12192000"/>
              <a:gd name="csY4277" fmla="*/ 1869199 h 6858000"/>
              <a:gd name="csX4278" fmla="*/ 8413921 w 12192000"/>
              <a:gd name="csY4278" fmla="*/ 1834378 h 6858000"/>
              <a:gd name="csX4279" fmla="*/ 8379580 w 12192000"/>
              <a:gd name="csY4279" fmla="*/ 1799558 h 6858000"/>
              <a:gd name="csX4280" fmla="*/ 8463323 w 12192000"/>
              <a:gd name="csY4280" fmla="*/ 1799558 h 6858000"/>
              <a:gd name="csX4281" fmla="*/ 8428970 w 12192000"/>
              <a:gd name="csY4281" fmla="*/ 1834378 h 6858000"/>
              <a:gd name="csX4282" fmla="*/ 8463323 w 12192000"/>
              <a:gd name="csY4282" fmla="*/ 1869199 h 6858000"/>
              <a:gd name="csX4283" fmla="*/ 8497663 w 12192000"/>
              <a:gd name="csY4283" fmla="*/ 1834378 h 6858000"/>
              <a:gd name="csX4284" fmla="*/ 8463323 w 12192000"/>
              <a:gd name="csY4284" fmla="*/ 1799558 h 6858000"/>
              <a:gd name="csX4285" fmla="*/ 8547064 w 12192000"/>
              <a:gd name="csY4285" fmla="*/ 1799558 h 6858000"/>
              <a:gd name="csX4286" fmla="*/ 8512711 w 12192000"/>
              <a:gd name="csY4286" fmla="*/ 1834378 h 6858000"/>
              <a:gd name="csX4287" fmla="*/ 8547064 w 12192000"/>
              <a:gd name="csY4287" fmla="*/ 1869199 h 6858000"/>
              <a:gd name="csX4288" fmla="*/ 8581404 w 12192000"/>
              <a:gd name="csY4288" fmla="*/ 1834378 h 6858000"/>
              <a:gd name="csX4289" fmla="*/ 8547064 w 12192000"/>
              <a:gd name="csY4289" fmla="*/ 1799558 h 6858000"/>
              <a:gd name="csX4290" fmla="*/ 8630805 w 12192000"/>
              <a:gd name="csY4290" fmla="*/ 1799558 h 6858000"/>
              <a:gd name="csX4291" fmla="*/ 8596452 w 12192000"/>
              <a:gd name="csY4291" fmla="*/ 1834378 h 6858000"/>
              <a:gd name="csX4292" fmla="*/ 8630805 w 12192000"/>
              <a:gd name="csY4292" fmla="*/ 1869199 h 6858000"/>
              <a:gd name="csX4293" fmla="*/ 8665145 w 12192000"/>
              <a:gd name="csY4293" fmla="*/ 1834378 h 6858000"/>
              <a:gd name="csX4294" fmla="*/ 8630805 w 12192000"/>
              <a:gd name="csY4294" fmla="*/ 1799558 h 6858000"/>
              <a:gd name="csX4295" fmla="*/ 8714547 w 12192000"/>
              <a:gd name="csY4295" fmla="*/ 1799558 h 6858000"/>
              <a:gd name="csX4296" fmla="*/ 8680194 w 12192000"/>
              <a:gd name="csY4296" fmla="*/ 1834378 h 6858000"/>
              <a:gd name="csX4297" fmla="*/ 8714547 w 12192000"/>
              <a:gd name="csY4297" fmla="*/ 1869199 h 6858000"/>
              <a:gd name="csX4298" fmla="*/ 8748888 w 12192000"/>
              <a:gd name="csY4298" fmla="*/ 1834378 h 6858000"/>
              <a:gd name="csX4299" fmla="*/ 8714547 w 12192000"/>
              <a:gd name="csY4299" fmla="*/ 1799558 h 6858000"/>
              <a:gd name="csX4300" fmla="*/ 8798289 w 12192000"/>
              <a:gd name="csY4300" fmla="*/ 1799558 h 6858000"/>
              <a:gd name="csX4301" fmla="*/ 8763936 w 12192000"/>
              <a:gd name="csY4301" fmla="*/ 1834378 h 6858000"/>
              <a:gd name="csX4302" fmla="*/ 8798289 w 12192000"/>
              <a:gd name="csY4302" fmla="*/ 1869199 h 6858000"/>
              <a:gd name="csX4303" fmla="*/ 8832629 w 12192000"/>
              <a:gd name="csY4303" fmla="*/ 1834378 h 6858000"/>
              <a:gd name="csX4304" fmla="*/ 8798289 w 12192000"/>
              <a:gd name="csY4304" fmla="*/ 1799558 h 6858000"/>
              <a:gd name="csX4305" fmla="*/ 8882030 w 12192000"/>
              <a:gd name="csY4305" fmla="*/ 1799558 h 6858000"/>
              <a:gd name="csX4306" fmla="*/ 8847677 w 12192000"/>
              <a:gd name="csY4306" fmla="*/ 1834378 h 6858000"/>
              <a:gd name="csX4307" fmla="*/ 8882030 w 12192000"/>
              <a:gd name="csY4307" fmla="*/ 1869199 h 6858000"/>
              <a:gd name="csX4308" fmla="*/ 8916370 w 12192000"/>
              <a:gd name="csY4308" fmla="*/ 1834378 h 6858000"/>
              <a:gd name="csX4309" fmla="*/ 8882030 w 12192000"/>
              <a:gd name="csY4309" fmla="*/ 1799558 h 6858000"/>
              <a:gd name="csX4310" fmla="*/ 8965772 w 12192000"/>
              <a:gd name="csY4310" fmla="*/ 1799558 h 6858000"/>
              <a:gd name="csX4311" fmla="*/ 8931419 w 12192000"/>
              <a:gd name="csY4311" fmla="*/ 1834378 h 6858000"/>
              <a:gd name="csX4312" fmla="*/ 8965772 w 12192000"/>
              <a:gd name="csY4312" fmla="*/ 1869199 h 6858000"/>
              <a:gd name="csX4313" fmla="*/ 9000112 w 12192000"/>
              <a:gd name="csY4313" fmla="*/ 1834378 h 6858000"/>
              <a:gd name="csX4314" fmla="*/ 8965772 w 12192000"/>
              <a:gd name="csY4314" fmla="*/ 1799558 h 6858000"/>
              <a:gd name="csX4315" fmla="*/ 9049513 w 12192000"/>
              <a:gd name="csY4315" fmla="*/ 1799558 h 6858000"/>
              <a:gd name="csX4316" fmla="*/ 9015160 w 12192000"/>
              <a:gd name="csY4316" fmla="*/ 1834378 h 6858000"/>
              <a:gd name="csX4317" fmla="*/ 9049513 w 12192000"/>
              <a:gd name="csY4317" fmla="*/ 1869199 h 6858000"/>
              <a:gd name="csX4318" fmla="*/ 9083854 w 12192000"/>
              <a:gd name="csY4318" fmla="*/ 1834378 h 6858000"/>
              <a:gd name="csX4319" fmla="*/ 9049513 w 12192000"/>
              <a:gd name="csY4319" fmla="*/ 1799558 h 6858000"/>
              <a:gd name="csX4320" fmla="*/ 9133256 w 12192000"/>
              <a:gd name="csY4320" fmla="*/ 1799558 h 6858000"/>
              <a:gd name="csX4321" fmla="*/ 9098903 w 12192000"/>
              <a:gd name="csY4321" fmla="*/ 1834378 h 6858000"/>
              <a:gd name="csX4322" fmla="*/ 9133256 w 12192000"/>
              <a:gd name="csY4322" fmla="*/ 1869199 h 6858000"/>
              <a:gd name="csX4323" fmla="*/ 9167596 w 12192000"/>
              <a:gd name="csY4323" fmla="*/ 1834378 h 6858000"/>
              <a:gd name="csX4324" fmla="*/ 9133256 w 12192000"/>
              <a:gd name="csY4324" fmla="*/ 1799558 h 6858000"/>
              <a:gd name="csX4325" fmla="*/ 9216997 w 12192000"/>
              <a:gd name="csY4325" fmla="*/ 1799558 h 6858000"/>
              <a:gd name="csX4326" fmla="*/ 9182644 w 12192000"/>
              <a:gd name="csY4326" fmla="*/ 1834378 h 6858000"/>
              <a:gd name="csX4327" fmla="*/ 9216997 w 12192000"/>
              <a:gd name="csY4327" fmla="*/ 1869199 h 6858000"/>
              <a:gd name="csX4328" fmla="*/ 9251337 w 12192000"/>
              <a:gd name="csY4328" fmla="*/ 1834378 h 6858000"/>
              <a:gd name="csX4329" fmla="*/ 9216997 w 12192000"/>
              <a:gd name="csY4329" fmla="*/ 1799558 h 6858000"/>
              <a:gd name="csX4330" fmla="*/ 9300738 w 12192000"/>
              <a:gd name="csY4330" fmla="*/ 1799558 h 6858000"/>
              <a:gd name="csX4331" fmla="*/ 9266385 w 12192000"/>
              <a:gd name="csY4331" fmla="*/ 1834378 h 6858000"/>
              <a:gd name="csX4332" fmla="*/ 9300738 w 12192000"/>
              <a:gd name="csY4332" fmla="*/ 1869199 h 6858000"/>
              <a:gd name="csX4333" fmla="*/ 9335078 w 12192000"/>
              <a:gd name="csY4333" fmla="*/ 1834378 h 6858000"/>
              <a:gd name="csX4334" fmla="*/ 9300738 w 12192000"/>
              <a:gd name="csY4334" fmla="*/ 1799558 h 6858000"/>
              <a:gd name="csX4335" fmla="*/ 9384480 w 12192000"/>
              <a:gd name="csY4335" fmla="*/ 1799558 h 6858000"/>
              <a:gd name="csX4336" fmla="*/ 9350127 w 12192000"/>
              <a:gd name="csY4336" fmla="*/ 1834378 h 6858000"/>
              <a:gd name="csX4337" fmla="*/ 9384480 w 12192000"/>
              <a:gd name="csY4337" fmla="*/ 1869199 h 6858000"/>
              <a:gd name="csX4338" fmla="*/ 9418821 w 12192000"/>
              <a:gd name="csY4338" fmla="*/ 1834378 h 6858000"/>
              <a:gd name="csX4339" fmla="*/ 9384480 w 12192000"/>
              <a:gd name="csY4339" fmla="*/ 1799558 h 6858000"/>
              <a:gd name="csX4340" fmla="*/ 9468222 w 12192000"/>
              <a:gd name="csY4340" fmla="*/ 1799558 h 6858000"/>
              <a:gd name="csX4341" fmla="*/ 9433869 w 12192000"/>
              <a:gd name="csY4341" fmla="*/ 1834378 h 6858000"/>
              <a:gd name="csX4342" fmla="*/ 9468222 w 12192000"/>
              <a:gd name="csY4342" fmla="*/ 1869199 h 6858000"/>
              <a:gd name="csX4343" fmla="*/ 9502562 w 12192000"/>
              <a:gd name="csY4343" fmla="*/ 1834378 h 6858000"/>
              <a:gd name="csX4344" fmla="*/ 9468222 w 12192000"/>
              <a:gd name="csY4344" fmla="*/ 1799558 h 6858000"/>
              <a:gd name="csX4345" fmla="*/ 9551963 w 12192000"/>
              <a:gd name="csY4345" fmla="*/ 1799558 h 6858000"/>
              <a:gd name="csX4346" fmla="*/ 9517610 w 12192000"/>
              <a:gd name="csY4346" fmla="*/ 1834378 h 6858000"/>
              <a:gd name="csX4347" fmla="*/ 9551963 w 12192000"/>
              <a:gd name="csY4347" fmla="*/ 1869199 h 6858000"/>
              <a:gd name="csX4348" fmla="*/ 9586303 w 12192000"/>
              <a:gd name="csY4348" fmla="*/ 1834378 h 6858000"/>
              <a:gd name="csX4349" fmla="*/ 9551963 w 12192000"/>
              <a:gd name="csY4349" fmla="*/ 1799558 h 6858000"/>
              <a:gd name="csX4350" fmla="*/ 9635705 w 12192000"/>
              <a:gd name="csY4350" fmla="*/ 1799558 h 6858000"/>
              <a:gd name="csX4351" fmla="*/ 9601352 w 12192000"/>
              <a:gd name="csY4351" fmla="*/ 1834378 h 6858000"/>
              <a:gd name="csX4352" fmla="*/ 9635705 w 12192000"/>
              <a:gd name="csY4352" fmla="*/ 1869199 h 6858000"/>
              <a:gd name="csX4353" fmla="*/ 9670045 w 12192000"/>
              <a:gd name="csY4353" fmla="*/ 1834378 h 6858000"/>
              <a:gd name="csX4354" fmla="*/ 9635705 w 12192000"/>
              <a:gd name="csY4354" fmla="*/ 1799558 h 6858000"/>
              <a:gd name="csX4355" fmla="*/ 10221896 w 12192000"/>
              <a:gd name="csY4355" fmla="*/ 1799558 h 6858000"/>
              <a:gd name="csX4356" fmla="*/ 10187543 w 12192000"/>
              <a:gd name="csY4356" fmla="*/ 1834378 h 6858000"/>
              <a:gd name="csX4357" fmla="*/ 10221896 w 12192000"/>
              <a:gd name="csY4357" fmla="*/ 1869199 h 6858000"/>
              <a:gd name="csX4358" fmla="*/ 10256236 w 12192000"/>
              <a:gd name="csY4358" fmla="*/ 1834378 h 6858000"/>
              <a:gd name="csX4359" fmla="*/ 10221896 w 12192000"/>
              <a:gd name="csY4359" fmla="*/ 1799558 h 6858000"/>
              <a:gd name="csX4360" fmla="*/ 10305638 w 12192000"/>
              <a:gd name="csY4360" fmla="*/ 1799558 h 6858000"/>
              <a:gd name="csX4361" fmla="*/ 10271285 w 12192000"/>
              <a:gd name="csY4361" fmla="*/ 1834378 h 6858000"/>
              <a:gd name="csX4362" fmla="*/ 10305638 w 12192000"/>
              <a:gd name="csY4362" fmla="*/ 1869199 h 6858000"/>
              <a:gd name="csX4363" fmla="*/ 10339978 w 12192000"/>
              <a:gd name="csY4363" fmla="*/ 1834378 h 6858000"/>
              <a:gd name="csX4364" fmla="*/ 10305638 w 12192000"/>
              <a:gd name="csY4364" fmla="*/ 1799558 h 6858000"/>
              <a:gd name="csX4365" fmla="*/ 1261513 w 12192000"/>
              <a:gd name="csY4365" fmla="*/ 1884423 h 6858000"/>
              <a:gd name="csX4366" fmla="*/ 1227166 w 12192000"/>
              <a:gd name="csY4366" fmla="*/ 1919243 h 6858000"/>
              <a:gd name="csX4367" fmla="*/ 1261513 w 12192000"/>
              <a:gd name="csY4367" fmla="*/ 1954063 h 6858000"/>
              <a:gd name="csX4368" fmla="*/ 1295859 w 12192000"/>
              <a:gd name="csY4368" fmla="*/ 1919243 h 6858000"/>
              <a:gd name="csX4369" fmla="*/ 1261513 w 12192000"/>
              <a:gd name="csY4369" fmla="*/ 1884423 h 6858000"/>
              <a:gd name="csX4370" fmla="*/ 1345252 w 12192000"/>
              <a:gd name="csY4370" fmla="*/ 1884423 h 6858000"/>
              <a:gd name="csX4371" fmla="*/ 1310905 w 12192000"/>
              <a:gd name="csY4371" fmla="*/ 1919243 h 6858000"/>
              <a:gd name="csX4372" fmla="*/ 1345252 w 12192000"/>
              <a:gd name="csY4372" fmla="*/ 1954063 h 6858000"/>
              <a:gd name="csX4373" fmla="*/ 1379599 w 12192000"/>
              <a:gd name="csY4373" fmla="*/ 1919243 h 6858000"/>
              <a:gd name="csX4374" fmla="*/ 1345252 w 12192000"/>
              <a:gd name="csY4374" fmla="*/ 1884423 h 6858000"/>
              <a:gd name="csX4375" fmla="*/ 2182674 w 12192000"/>
              <a:gd name="csY4375" fmla="*/ 1884423 h 6858000"/>
              <a:gd name="csX4376" fmla="*/ 2148328 w 12192000"/>
              <a:gd name="csY4376" fmla="*/ 1919243 h 6858000"/>
              <a:gd name="csX4377" fmla="*/ 2182674 w 12192000"/>
              <a:gd name="csY4377" fmla="*/ 1954063 h 6858000"/>
              <a:gd name="csX4378" fmla="*/ 2217021 w 12192000"/>
              <a:gd name="csY4378" fmla="*/ 1919243 h 6858000"/>
              <a:gd name="csX4379" fmla="*/ 2182674 w 12192000"/>
              <a:gd name="csY4379" fmla="*/ 1884423 h 6858000"/>
              <a:gd name="csX4380" fmla="*/ 2266416 w 12192000"/>
              <a:gd name="csY4380" fmla="*/ 1884423 h 6858000"/>
              <a:gd name="csX4381" fmla="*/ 2232069 w 12192000"/>
              <a:gd name="csY4381" fmla="*/ 1919243 h 6858000"/>
              <a:gd name="csX4382" fmla="*/ 2266416 w 12192000"/>
              <a:gd name="csY4382" fmla="*/ 1954063 h 6858000"/>
              <a:gd name="csX4383" fmla="*/ 2300762 w 12192000"/>
              <a:gd name="csY4383" fmla="*/ 1919243 h 6858000"/>
              <a:gd name="csX4384" fmla="*/ 2266416 w 12192000"/>
              <a:gd name="csY4384" fmla="*/ 1884423 h 6858000"/>
              <a:gd name="csX4385" fmla="*/ 2350151 w 12192000"/>
              <a:gd name="csY4385" fmla="*/ 1884423 h 6858000"/>
              <a:gd name="csX4386" fmla="*/ 2315804 w 12192000"/>
              <a:gd name="csY4386" fmla="*/ 1919243 h 6858000"/>
              <a:gd name="csX4387" fmla="*/ 2350151 w 12192000"/>
              <a:gd name="csY4387" fmla="*/ 1954063 h 6858000"/>
              <a:gd name="csX4388" fmla="*/ 2384498 w 12192000"/>
              <a:gd name="csY4388" fmla="*/ 1919243 h 6858000"/>
              <a:gd name="csX4389" fmla="*/ 2350151 w 12192000"/>
              <a:gd name="csY4389" fmla="*/ 1884423 h 6858000"/>
              <a:gd name="csX4390" fmla="*/ 2433893 w 12192000"/>
              <a:gd name="csY4390" fmla="*/ 1884423 h 6858000"/>
              <a:gd name="csX4391" fmla="*/ 2399546 w 12192000"/>
              <a:gd name="csY4391" fmla="*/ 1919243 h 6858000"/>
              <a:gd name="csX4392" fmla="*/ 2433893 w 12192000"/>
              <a:gd name="csY4392" fmla="*/ 1954063 h 6858000"/>
              <a:gd name="csX4393" fmla="*/ 2468240 w 12192000"/>
              <a:gd name="csY4393" fmla="*/ 1919243 h 6858000"/>
              <a:gd name="csX4394" fmla="*/ 2433893 w 12192000"/>
              <a:gd name="csY4394" fmla="*/ 1884423 h 6858000"/>
              <a:gd name="csX4395" fmla="*/ 2517634 w 12192000"/>
              <a:gd name="csY4395" fmla="*/ 1884423 h 6858000"/>
              <a:gd name="csX4396" fmla="*/ 2483288 w 12192000"/>
              <a:gd name="csY4396" fmla="*/ 1919243 h 6858000"/>
              <a:gd name="csX4397" fmla="*/ 2517634 w 12192000"/>
              <a:gd name="csY4397" fmla="*/ 1954063 h 6858000"/>
              <a:gd name="csX4398" fmla="*/ 2551981 w 12192000"/>
              <a:gd name="csY4398" fmla="*/ 1919243 h 6858000"/>
              <a:gd name="csX4399" fmla="*/ 2517634 w 12192000"/>
              <a:gd name="csY4399" fmla="*/ 1884423 h 6858000"/>
              <a:gd name="csX4400" fmla="*/ 2601376 w 12192000"/>
              <a:gd name="csY4400" fmla="*/ 1884423 h 6858000"/>
              <a:gd name="csX4401" fmla="*/ 2567029 w 12192000"/>
              <a:gd name="csY4401" fmla="*/ 1919243 h 6858000"/>
              <a:gd name="csX4402" fmla="*/ 2601376 w 12192000"/>
              <a:gd name="csY4402" fmla="*/ 1954063 h 6858000"/>
              <a:gd name="csX4403" fmla="*/ 2635722 w 12192000"/>
              <a:gd name="csY4403" fmla="*/ 1919243 h 6858000"/>
              <a:gd name="csX4404" fmla="*/ 2601376 w 12192000"/>
              <a:gd name="csY4404" fmla="*/ 1884423 h 6858000"/>
              <a:gd name="csX4405" fmla="*/ 2685118 w 12192000"/>
              <a:gd name="csY4405" fmla="*/ 1884423 h 6858000"/>
              <a:gd name="csX4406" fmla="*/ 2650771 w 12192000"/>
              <a:gd name="csY4406" fmla="*/ 1919243 h 6858000"/>
              <a:gd name="csX4407" fmla="*/ 2685118 w 12192000"/>
              <a:gd name="csY4407" fmla="*/ 1954063 h 6858000"/>
              <a:gd name="csX4408" fmla="*/ 2719465 w 12192000"/>
              <a:gd name="csY4408" fmla="*/ 1919243 h 6858000"/>
              <a:gd name="csX4409" fmla="*/ 2685118 w 12192000"/>
              <a:gd name="csY4409" fmla="*/ 1884423 h 6858000"/>
              <a:gd name="csX4410" fmla="*/ 2768859 w 12192000"/>
              <a:gd name="csY4410" fmla="*/ 1884423 h 6858000"/>
              <a:gd name="csX4411" fmla="*/ 2734512 w 12192000"/>
              <a:gd name="csY4411" fmla="*/ 1919243 h 6858000"/>
              <a:gd name="csX4412" fmla="*/ 2768859 w 12192000"/>
              <a:gd name="csY4412" fmla="*/ 1954063 h 6858000"/>
              <a:gd name="csX4413" fmla="*/ 2803206 w 12192000"/>
              <a:gd name="csY4413" fmla="*/ 1919243 h 6858000"/>
              <a:gd name="csX4414" fmla="*/ 2768859 w 12192000"/>
              <a:gd name="csY4414" fmla="*/ 1884423 h 6858000"/>
              <a:gd name="csX4415" fmla="*/ 2852600 w 12192000"/>
              <a:gd name="csY4415" fmla="*/ 1884423 h 6858000"/>
              <a:gd name="csX4416" fmla="*/ 2818254 w 12192000"/>
              <a:gd name="csY4416" fmla="*/ 1919243 h 6858000"/>
              <a:gd name="csX4417" fmla="*/ 2852600 w 12192000"/>
              <a:gd name="csY4417" fmla="*/ 1954063 h 6858000"/>
              <a:gd name="csX4418" fmla="*/ 2886947 w 12192000"/>
              <a:gd name="csY4418" fmla="*/ 1919243 h 6858000"/>
              <a:gd name="csX4419" fmla="*/ 2852600 w 12192000"/>
              <a:gd name="csY4419" fmla="*/ 1884423 h 6858000"/>
              <a:gd name="csX4420" fmla="*/ 2936343 w 12192000"/>
              <a:gd name="csY4420" fmla="*/ 1884423 h 6858000"/>
              <a:gd name="csX4421" fmla="*/ 2901996 w 12192000"/>
              <a:gd name="csY4421" fmla="*/ 1919243 h 6858000"/>
              <a:gd name="csX4422" fmla="*/ 2936343 w 12192000"/>
              <a:gd name="csY4422" fmla="*/ 1954063 h 6858000"/>
              <a:gd name="csX4423" fmla="*/ 2970689 w 12192000"/>
              <a:gd name="csY4423" fmla="*/ 1919243 h 6858000"/>
              <a:gd name="csX4424" fmla="*/ 2936343 w 12192000"/>
              <a:gd name="csY4424" fmla="*/ 1884423 h 6858000"/>
              <a:gd name="csX4425" fmla="*/ 3020084 w 12192000"/>
              <a:gd name="csY4425" fmla="*/ 1884423 h 6858000"/>
              <a:gd name="csX4426" fmla="*/ 2985737 w 12192000"/>
              <a:gd name="csY4426" fmla="*/ 1919243 h 6858000"/>
              <a:gd name="csX4427" fmla="*/ 3020084 w 12192000"/>
              <a:gd name="csY4427" fmla="*/ 1954063 h 6858000"/>
              <a:gd name="csX4428" fmla="*/ 3054431 w 12192000"/>
              <a:gd name="csY4428" fmla="*/ 1919243 h 6858000"/>
              <a:gd name="csX4429" fmla="*/ 3020084 w 12192000"/>
              <a:gd name="csY4429" fmla="*/ 1884423 h 6858000"/>
              <a:gd name="csX4430" fmla="*/ 3103826 w 12192000"/>
              <a:gd name="csY4430" fmla="*/ 1884423 h 6858000"/>
              <a:gd name="csX4431" fmla="*/ 3069479 w 12192000"/>
              <a:gd name="csY4431" fmla="*/ 1919243 h 6858000"/>
              <a:gd name="csX4432" fmla="*/ 3103826 w 12192000"/>
              <a:gd name="csY4432" fmla="*/ 1954063 h 6858000"/>
              <a:gd name="csX4433" fmla="*/ 3138173 w 12192000"/>
              <a:gd name="csY4433" fmla="*/ 1919243 h 6858000"/>
              <a:gd name="csX4434" fmla="*/ 3103826 w 12192000"/>
              <a:gd name="csY4434" fmla="*/ 1884423 h 6858000"/>
              <a:gd name="csX4435" fmla="*/ 3271309 w 12192000"/>
              <a:gd name="csY4435" fmla="*/ 1884423 h 6858000"/>
              <a:gd name="csX4436" fmla="*/ 3236962 w 12192000"/>
              <a:gd name="csY4436" fmla="*/ 1919243 h 6858000"/>
              <a:gd name="csX4437" fmla="*/ 3271309 w 12192000"/>
              <a:gd name="csY4437" fmla="*/ 1954063 h 6858000"/>
              <a:gd name="csX4438" fmla="*/ 3305655 w 12192000"/>
              <a:gd name="csY4438" fmla="*/ 1919243 h 6858000"/>
              <a:gd name="csX4439" fmla="*/ 3271309 w 12192000"/>
              <a:gd name="csY4439" fmla="*/ 1884423 h 6858000"/>
              <a:gd name="csX4440" fmla="*/ 3857500 w 12192000"/>
              <a:gd name="csY4440" fmla="*/ 1884423 h 6858000"/>
              <a:gd name="csX4441" fmla="*/ 3823154 w 12192000"/>
              <a:gd name="csY4441" fmla="*/ 1919243 h 6858000"/>
              <a:gd name="csX4442" fmla="*/ 3857500 w 12192000"/>
              <a:gd name="csY4442" fmla="*/ 1954063 h 6858000"/>
              <a:gd name="csX4443" fmla="*/ 3891847 w 12192000"/>
              <a:gd name="csY4443" fmla="*/ 1919243 h 6858000"/>
              <a:gd name="csX4444" fmla="*/ 3857500 w 12192000"/>
              <a:gd name="csY4444" fmla="*/ 1884423 h 6858000"/>
              <a:gd name="csX4445" fmla="*/ 4108732 w 12192000"/>
              <a:gd name="csY4445" fmla="*/ 1884423 h 6858000"/>
              <a:gd name="csX4446" fmla="*/ 4074386 w 12192000"/>
              <a:gd name="csY4446" fmla="*/ 1919243 h 6858000"/>
              <a:gd name="csX4447" fmla="*/ 4108732 w 12192000"/>
              <a:gd name="csY4447" fmla="*/ 1954063 h 6858000"/>
              <a:gd name="csX4448" fmla="*/ 4143079 w 12192000"/>
              <a:gd name="csY4448" fmla="*/ 1919243 h 6858000"/>
              <a:gd name="csX4449" fmla="*/ 4108732 w 12192000"/>
              <a:gd name="csY4449" fmla="*/ 1884423 h 6858000"/>
              <a:gd name="csX4450" fmla="*/ 4611182 w 12192000"/>
              <a:gd name="csY4450" fmla="*/ 1884423 h 6858000"/>
              <a:gd name="csX4451" fmla="*/ 4576835 w 12192000"/>
              <a:gd name="csY4451" fmla="*/ 1919243 h 6858000"/>
              <a:gd name="csX4452" fmla="*/ 4611182 w 12192000"/>
              <a:gd name="csY4452" fmla="*/ 1954063 h 6858000"/>
              <a:gd name="csX4453" fmla="*/ 4645528 w 12192000"/>
              <a:gd name="csY4453" fmla="*/ 1919243 h 6858000"/>
              <a:gd name="csX4454" fmla="*/ 4611182 w 12192000"/>
              <a:gd name="csY4454" fmla="*/ 1884423 h 6858000"/>
              <a:gd name="csX4455" fmla="*/ 4694923 w 12192000"/>
              <a:gd name="csY4455" fmla="*/ 1884423 h 6858000"/>
              <a:gd name="csX4456" fmla="*/ 4660576 w 12192000"/>
              <a:gd name="csY4456" fmla="*/ 1919243 h 6858000"/>
              <a:gd name="csX4457" fmla="*/ 4694923 w 12192000"/>
              <a:gd name="csY4457" fmla="*/ 1954063 h 6858000"/>
              <a:gd name="csX4458" fmla="*/ 4729270 w 12192000"/>
              <a:gd name="csY4458" fmla="*/ 1919243 h 6858000"/>
              <a:gd name="csX4459" fmla="*/ 4694923 w 12192000"/>
              <a:gd name="csY4459" fmla="*/ 1884423 h 6858000"/>
              <a:gd name="csX4460" fmla="*/ 5364856 w 12192000"/>
              <a:gd name="csY4460" fmla="*/ 1884423 h 6858000"/>
              <a:gd name="csX4461" fmla="*/ 5330509 w 12192000"/>
              <a:gd name="csY4461" fmla="*/ 1919243 h 6858000"/>
              <a:gd name="csX4462" fmla="*/ 5364856 w 12192000"/>
              <a:gd name="csY4462" fmla="*/ 1954063 h 6858000"/>
              <a:gd name="csX4463" fmla="*/ 5399203 w 12192000"/>
              <a:gd name="csY4463" fmla="*/ 1919243 h 6858000"/>
              <a:gd name="csX4464" fmla="*/ 5364856 w 12192000"/>
              <a:gd name="csY4464" fmla="*/ 1884423 h 6858000"/>
              <a:gd name="csX4465" fmla="*/ 6202273 w 12192000"/>
              <a:gd name="csY4465" fmla="*/ 1884423 h 6858000"/>
              <a:gd name="csX4466" fmla="*/ 6167920 w 12192000"/>
              <a:gd name="csY4466" fmla="*/ 1919243 h 6858000"/>
              <a:gd name="csX4467" fmla="*/ 6202273 w 12192000"/>
              <a:gd name="csY4467" fmla="*/ 1954063 h 6858000"/>
              <a:gd name="csX4468" fmla="*/ 6236613 w 12192000"/>
              <a:gd name="csY4468" fmla="*/ 1919243 h 6858000"/>
              <a:gd name="csX4469" fmla="*/ 6202273 w 12192000"/>
              <a:gd name="csY4469" fmla="*/ 1884423 h 6858000"/>
              <a:gd name="csX4470" fmla="*/ 6286014 w 12192000"/>
              <a:gd name="csY4470" fmla="*/ 1884423 h 6858000"/>
              <a:gd name="csX4471" fmla="*/ 6251661 w 12192000"/>
              <a:gd name="csY4471" fmla="*/ 1919243 h 6858000"/>
              <a:gd name="csX4472" fmla="*/ 6286014 w 12192000"/>
              <a:gd name="csY4472" fmla="*/ 1954063 h 6858000"/>
              <a:gd name="csX4473" fmla="*/ 6320354 w 12192000"/>
              <a:gd name="csY4473" fmla="*/ 1919243 h 6858000"/>
              <a:gd name="csX4474" fmla="*/ 6286014 w 12192000"/>
              <a:gd name="csY4474" fmla="*/ 1884423 h 6858000"/>
              <a:gd name="csX4475" fmla="*/ 6537239 w 12192000"/>
              <a:gd name="csY4475" fmla="*/ 1884423 h 6858000"/>
              <a:gd name="csX4476" fmla="*/ 6502886 w 12192000"/>
              <a:gd name="csY4476" fmla="*/ 1919243 h 6858000"/>
              <a:gd name="csX4477" fmla="*/ 6537239 w 12192000"/>
              <a:gd name="csY4477" fmla="*/ 1954063 h 6858000"/>
              <a:gd name="csX4478" fmla="*/ 6571579 w 12192000"/>
              <a:gd name="csY4478" fmla="*/ 1919243 h 6858000"/>
              <a:gd name="csX4479" fmla="*/ 6537239 w 12192000"/>
              <a:gd name="csY4479" fmla="*/ 1884423 h 6858000"/>
              <a:gd name="csX4480" fmla="*/ 6620980 w 12192000"/>
              <a:gd name="csY4480" fmla="*/ 1884423 h 6858000"/>
              <a:gd name="csX4481" fmla="*/ 6586627 w 12192000"/>
              <a:gd name="csY4481" fmla="*/ 1919243 h 6858000"/>
              <a:gd name="csX4482" fmla="*/ 6620980 w 12192000"/>
              <a:gd name="csY4482" fmla="*/ 1954063 h 6858000"/>
              <a:gd name="csX4483" fmla="*/ 6655320 w 12192000"/>
              <a:gd name="csY4483" fmla="*/ 1919243 h 6858000"/>
              <a:gd name="csX4484" fmla="*/ 6620980 w 12192000"/>
              <a:gd name="csY4484" fmla="*/ 1884423 h 6858000"/>
              <a:gd name="csX4485" fmla="*/ 6704722 w 12192000"/>
              <a:gd name="csY4485" fmla="*/ 1884423 h 6858000"/>
              <a:gd name="csX4486" fmla="*/ 6670369 w 12192000"/>
              <a:gd name="csY4486" fmla="*/ 1919243 h 6858000"/>
              <a:gd name="csX4487" fmla="*/ 6704722 w 12192000"/>
              <a:gd name="csY4487" fmla="*/ 1954063 h 6858000"/>
              <a:gd name="csX4488" fmla="*/ 6739063 w 12192000"/>
              <a:gd name="csY4488" fmla="*/ 1919243 h 6858000"/>
              <a:gd name="csX4489" fmla="*/ 6704722 w 12192000"/>
              <a:gd name="csY4489" fmla="*/ 1884423 h 6858000"/>
              <a:gd name="csX4490" fmla="*/ 6872206 w 12192000"/>
              <a:gd name="csY4490" fmla="*/ 1884423 h 6858000"/>
              <a:gd name="csX4491" fmla="*/ 6837853 w 12192000"/>
              <a:gd name="csY4491" fmla="*/ 1919243 h 6858000"/>
              <a:gd name="csX4492" fmla="*/ 6872206 w 12192000"/>
              <a:gd name="csY4492" fmla="*/ 1954063 h 6858000"/>
              <a:gd name="csX4493" fmla="*/ 6906546 w 12192000"/>
              <a:gd name="csY4493" fmla="*/ 1919243 h 6858000"/>
              <a:gd name="csX4494" fmla="*/ 6872206 w 12192000"/>
              <a:gd name="csY4494" fmla="*/ 1884423 h 6858000"/>
              <a:gd name="csX4495" fmla="*/ 6955947 w 12192000"/>
              <a:gd name="csY4495" fmla="*/ 1884423 h 6858000"/>
              <a:gd name="csX4496" fmla="*/ 6921594 w 12192000"/>
              <a:gd name="csY4496" fmla="*/ 1919243 h 6858000"/>
              <a:gd name="csX4497" fmla="*/ 6955947 w 12192000"/>
              <a:gd name="csY4497" fmla="*/ 1954063 h 6858000"/>
              <a:gd name="csX4498" fmla="*/ 6990287 w 12192000"/>
              <a:gd name="csY4498" fmla="*/ 1919243 h 6858000"/>
              <a:gd name="csX4499" fmla="*/ 6955947 w 12192000"/>
              <a:gd name="csY4499" fmla="*/ 1884423 h 6858000"/>
              <a:gd name="csX4500" fmla="*/ 7039688 w 12192000"/>
              <a:gd name="csY4500" fmla="*/ 1884423 h 6858000"/>
              <a:gd name="csX4501" fmla="*/ 7005335 w 12192000"/>
              <a:gd name="csY4501" fmla="*/ 1919243 h 6858000"/>
              <a:gd name="csX4502" fmla="*/ 7039688 w 12192000"/>
              <a:gd name="csY4502" fmla="*/ 1954063 h 6858000"/>
              <a:gd name="csX4503" fmla="*/ 7074029 w 12192000"/>
              <a:gd name="csY4503" fmla="*/ 1919243 h 6858000"/>
              <a:gd name="csX4504" fmla="*/ 7039688 w 12192000"/>
              <a:gd name="csY4504" fmla="*/ 1884423 h 6858000"/>
              <a:gd name="csX4505" fmla="*/ 7123456 w 12192000"/>
              <a:gd name="csY4505" fmla="*/ 1884423 h 6858000"/>
              <a:gd name="csX4506" fmla="*/ 7089103 w 12192000"/>
              <a:gd name="csY4506" fmla="*/ 1919243 h 6858000"/>
              <a:gd name="csX4507" fmla="*/ 7123456 w 12192000"/>
              <a:gd name="csY4507" fmla="*/ 1954063 h 6858000"/>
              <a:gd name="csX4508" fmla="*/ 7157796 w 12192000"/>
              <a:gd name="csY4508" fmla="*/ 1919243 h 6858000"/>
              <a:gd name="csX4509" fmla="*/ 7123456 w 12192000"/>
              <a:gd name="csY4509" fmla="*/ 1884423 h 6858000"/>
              <a:gd name="csX4510" fmla="*/ 7207198 w 12192000"/>
              <a:gd name="csY4510" fmla="*/ 1884423 h 6858000"/>
              <a:gd name="csX4511" fmla="*/ 7172845 w 12192000"/>
              <a:gd name="csY4511" fmla="*/ 1919243 h 6858000"/>
              <a:gd name="csX4512" fmla="*/ 7207198 w 12192000"/>
              <a:gd name="csY4512" fmla="*/ 1954063 h 6858000"/>
              <a:gd name="csX4513" fmla="*/ 7241538 w 12192000"/>
              <a:gd name="csY4513" fmla="*/ 1919243 h 6858000"/>
              <a:gd name="csX4514" fmla="*/ 7207198 w 12192000"/>
              <a:gd name="csY4514" fmla="*/ 1884423 h 6858000"/>
              <a:gd name="csX4515" fmla="*/ 7290939 w 12192000"/>
              <a:gd name="csY4515" fmla="*/ 1884423 h 6858000"/>
              <a:gd name="csX4516" fmla="*/ 7256586 w 12192000"/>
              <a:gd name="csY4516" fmla="*/ 1919243 h 6858000"/>
              <a:gd name="csX4517" fmla="*/ 7290939 w 12192000"/>
              <a:gd name="csY4517" fmla="*/ 1954063 h 6858000"/>
              <a:gd name="csX4518" fmla="*/ 7325279 w 12192000"/>
              <a:gd name="csY4518" fmla="*/ 1919243 h 6858000"/>
              <a:gd name="csX4519" fmla="*/ 7290939 w 12192000"/>
              <a:gd name="csY4519" fmla="*/ 1884423 h 6858000"/>
              <a:gd name="csX4520" fmla="*/ 7374681 w 12192000"/>
              <a:gd name="csY4520" fmla="*/ 1884423 h 6858000"/>
              <a:gd name="csX4521" fmla="*/ 7340328 w 12192000"/>
              <a:gd name="csY4521" fmla="*/ 1919243 h 6858000"/>
              <a:gd name="csX4522" fmla="*/ 7374681 w 12192000"/>
              <a:gd name="csY4522" fmla="*/ 1954063 h 6858000"/>
              <a:gd name="csX4523" fmla="*/ 7409022 w 12192000"/>
              <a:gd name="csY4523" fmla="*/ 1919243 h 6858000"/>
              <a:gd name="csX4524" fmla="*/ 7374681 w 12192000"/>
              <a:gd name="csY4524" fmla="*/ 1884423 h 6858000"/>
              <a:gd name="csX4525" fmla="*/ 7458423 w 12192000"/>
              <a:gd name="csY4525" fmla="*/ 1884423 h 6858000"/>
              <a:gd name="csX4526" fmla="*/ 7424070 w 12192000"/>
              <a:gd name="csY4526" fmla="*/ 1919243 h 6858000"/>
              <a:gd name="csX4527" fmla="*/ 7458423 w 12192000"/>
              <a:gd name="csY4527" fmla="*/ 1954063 h 6858000"/>
              <a:gd name="csX4528" fmla="*/ 7492763 w 12192000"/>
              <a:gd name="csY4528" fmla="*/ 1919243 h 6858000"/>
              <a:gd name="csX4529" fmla="*/ 7458423 w 12192000"/>
              <a:gd name="csY4529" fmla="*/ 1884423 h 6858000"/>
              <a:gd name="csX4530" fmla="*/ 7542164 w 12192000"/>
              <a:gd name="csY4530" fmla="*/ 1884423 h 6858000"/>
              <a:gd name="csX4531" fmla="*/ 7507811 w 12192000"/>
              <a:gd name="csY4531" fmla="*/ 1919243 h 6858000"/>
              <a:gd name="csX4532" fmla="*/ 7542164 w 12192000"/>
              <a:gd name="csY4532" fmla="*/ 1954063 h 6858000"/>
              <a:gd name="csX4533" fmla="*/ 7576504 w 12192000"/>
              <a:gd name="csY4533" fmla="*/ 1919243 h 6858000"/>
              <a:gd name="csX4534" fmla="*/ 7542164 w 12192000"/>
              <a:gd name="csY4534" fmla="*/ 1884423 h 6858000"/>
              <a:gd name="csX4535" fmla="*/ 7625906 w 12192000"/>
              <a:gd name="csY4535" fmla="*/ 1884423 h 6858000"/>
              <a:gd name="csX4536" fmla="*/ 7591553 w 12192000"/>
              <a:gd name="csY4536" fmla="*/ 1919243 h 6858000"/>
              <a:gd name="csX4537" fmla="*/ 7625906 w 12192000"/>
              <a:gd name="csY4537" fmla="*/ 1954063 h 6858000"/>
              <a:gd name="csX4538" fmla="*/ 7660246 w 12192000"/>
              <a:gd name="csY4538" fmla="*/ 1919243 h 6858000"/>
              <a:gd name="csX4539" fmla="*/ 7625906 w 12192000"/>
              <a:gd name="csY4539" fmla="*/ 1884423 h 6858000"/>
              <a:gd name="csX4540" fmla="*/ 7709647 w 12192000"/>
              <a:gd name="csY4540" fmla="*/ 1884423 h 6858000"/>
              <a:gd name="csX4541" fmla="*/ 7675294 w 12192000"/>
              <a:gd name="csY4541" fmla="*/ 1919243 h 6858000"/>
              <a:gd name="csX4542" fmla="*/ 7709647 w 12192000"/>
              <a:gd name="csY4542" fmla="*/ 1954063 h 6858000"/>
              <a:gd name="csX4543" fmla="*/ 7743988 w 12192000"/>
              <a:gd name="csY4543" fmla="*/ 1919243 h 6858000"/>
              <a:gd name="csX4544" fmla="*/ 7709647 w 12192000"/>
              <a:gd name="csY4544" fmla="*/ 1884423 h 6858000"/>
              <a:gd name="csX4545" fmla="*/ 7793389 w 12192000"/>
              <a:gd name="csY4545" fmla="*/ 1884423 h 6858000"/>
              <a:gd name="csX4546" fmla="*/ 7759036 w 12192000"/>
              <a:gd name="csY4546" fmla="*/ 1919243 h 6858000"/>
              <a:gd name="csX4547" fmla="*/ 7793389 w 12192000"/>
              <a:gd name="csY4547" fmla="*/ 1954063 h 6858000"/>
              <a:gd name="csX4548" fmla="*/ 7827729 w 12192000"/>
              <a:gd name="csY4548" fmla="*/ 1919243 h 6858000"/>
              <a:gd name="csX4549" fmla="*/ 7793389 w 12192000"/>
              <a:gd name="csY4549" fmla="*/ 1884423 h 6858000"/>
              <a:gd name="csX4550" fmla="*/ 7877131 w 12192000"/>
              <a:gd name="csY4550" fmla="*/ 1884423 h 6858000"/>
              <a:gd name="csX4551" fmla="*/ 7842778 w 12192000"/>
              <a:gd name="csY4551" fmla="*/ 1919243 h 6858000"/>
              <a:gd name="csX4552" fmla="*/ 7877131 w 12192000"/>
              <a:gd name="csY4552" fmla="*/ 1954063 h 6858000"/>
              <a:gd name="csX4553" fmla="*/ 7911471 w 12192000"/>
              <a:gd name="csY4553" fmla="*/ 1919243 h 6858000"/>
              <a:gd name="csX4554" fmla="*/ 7877131 w 12192000"/>
              <a:gd name="csY4554" fmla="*/ 1884423 h 6858000"/>
              <a:gd name="csX4555" fmla="*/ 7960872 w 12192000"/>
              <a:gd name="csY4555" fmla="*/ 1884423 h 6858000"/>
              <a:gd name="csX4556" fmla="*/ 7926519 w 12192000"/>
              <a:gd name="csY4556" fmla="*/ 1919243 h 6858000"/>
              <a:gd name="csX4557" fmla="*/ 7960872 w 12192000"/>
              <a:gd name="csY4557" fmla="*/ 1954063 h 6858000"/>
              <a:gd name="csX4558" fmla="*/ 7995212 w 12192000"/>
              <a:gd name="csY4558" fmla="*/ 1919243 h 6858000"/>
              <a:gd name="csX4559" fmla="*/ 7960872 w 12192000"/>
              <a:gd name="csY4559" fmla="*/ 1884423 h 6858000"/>
              <a:gd name="csX4560" fmla="*/ 8044614 w 12192000"/>
              <a:gd name="csY4560" fmla="*/ 1884423 h 6858000"/>
              <a:gd name="csX4561" fmla="*/ 8010261 w 12192000"/>
              <a:gd name="csY4561" fmla="*/ 1919243 h 6858000"/>
              <a:gd name="csX4562" fmla="*/ 8044614 w 12192000"/>
              <a:gd name="csY4562" fmla="*/ 1954063 h 6858000"/>
              <a:gd name="csX4563" fmla="*/ 8078955 w 12192000"/>
              <a:gd name="csY4563" fmla="*/ 1919243 h 6858000"/>
              <a:gd name="csX4564" fmla="*/ 8044614 w 12192000"/>
              <a:gd name="csY4564" fmla="*/ 1884423 h 6858000"/>
              <a:gd name="csX4565" fmla="*/ 8128356 w 12192000"/>
              <a:gd name="csY4565" fmla="*/ 1884423 h 6858000"/>
              <a:gd name="csX4566" fmla="*/ 8094003 w 12192000"/>
              <a:gd name="csY4566" fmla="*/ 1919243 h 6858000"/>
              <a:gd name="csX4567" fmla="*/ 8128356 w 12192000"/>
              <a:gd name="csY4567" fmla="*/ 1954063 h 6858000"/>
              <a:gd name="csX4568" fmla="*/ 8162696 w 12192000"/>
              <a:gd name="csY4568" fmla="*/ 1919243 h 6858000"/>
              <a:gd name="csX4569" fmla="*/ 8128356 w 12192000"/>
              <a:gd name="csY4569" fmla="*/ 1884423 h 6858000"/>
              <a:gd name="csX4570" fmla="*/ 8212097 w 12192000"/>
              <a:gd name="csY4570" fmla="*/ 1884423 h 6858000"/>
              <a:gd name="csX4571" fmla="*/ 8177744 w 12192000"/>
              <a:gd name="csY4571" fmla="*/ 1919243 h 6858000"/>
              <a:gd name="csX4572" fmla="*/ 8212097 w 12192000"/>
              <a:gd name="csY4572" fmla="*/ 1954063 h 6858000"/>
              <a:gd name="csX4573" fmla="*/ 8246437 w 12192000"/>
              <a:gd name="csY4573" fmla="*/ 1919243 h 6858000"/>
              <a:gd name="csX4574" fmla="*/ 8212097 w 12192000"/>
              <a:gd name="csY4574" fmla="*/ 1884423 h 6858000"/>
              <a:gd name="csX4575" fmla="*/ 8295839 w 12192000"/>
              <a:gd name="csY4575" fmla="*/ 1884423 h 6858000"/>
              <a:gd name="csX4576" fmla="*/ 8261486 w 12192000"/>
              <a:gd name="csY4576" fmla="*/ 1919243 h 6858000"/>
              <a:gd name="csX4577" fmla="*/ 8295839 w 12192000"/>
              <a:gd name="csY4577" fmla="*/ 1954063 h 6858000"/>
              <a:gd name="csX4578" fmla="*/ 8330179 w 12192000"/>
              <a:gd name="csY4578" fmla="*/ 1919243 h 6858000"/>
              <a:gd name="csX4579" fmla="*/ 8295839 w 12192000"/>
              <a:gd name="csY4579" fmla="*/ 1884423 h 6858000"/>
              <a:gd name="csX4580" fmla="*/ 8379580 w 12192000"/>
              <a:gd name="csY4580" fmla="*/ 1884423 h 6858000"/>
              <a:gd name="csX4581" fmla="*/ 8345227 w 12192000"/>
              <a:gd name="csY4581" fmla="*/ 1919243 h 6858000"/>
              <a:gd name="csX4582" fmla="*/ 8379580 w 12192000"/>
              <a:gd name="csY4582" fmla="*/ 1954063 h 6858000"/>
              <a:gd name="csX4583" fmla="*/ 8413921 w 12192000"/>
              <a:gd name="csY4583" fmla="*/ 1919243 h 6858000"/>
              <a:gd name="csX4584" fmla="*/ 8379580 w 12192000"/>
              <a:gd name="csY4584" fmla="*/ 1884423 h 6858000"/>
              <a:gd name="csX4585" fmla="*/ 8463323 w 12192000"/>
              <a:gd name="csY4585" fmla="*/ 1884423 h 6858000"/>
              <a:gd name="csX4586" fmla="*/ 8428970 w 12192000"/>
              <a:gd name="csY4586" fmla="*/ 1919243 h 6858000"/>
              <a:gd name="csX4587" fmla="*/ 8463323 w 12192000"/>
              <a:gd name="csY4587" fmla="*/ 1954063 h 6858000"/>
              <a:gd name="csX4588" fmla="*/ 8497663 w 12192000"/>
              <a:gd name="csY4588" fmla="*/ 1919243 h 6858000"/>
              <a:gd name="csX4589" fmla="*/ 8463323 w 12192000"/>
              <a:gd name="csY4589" fmla="*/ 1884423 h 6858000"/>
              <a:gd name="csX4590" fmla="*/ 8547064 w 12192000"/>
              <a:gd name="csY4590" fmla="*/ 1884423 h 6858000"/>
              <a:gd name="csX4591" fmla="*/ 8512711 w 12192000"/>
              <a:gd name="csY4591" fmla="*/ 1919243 h 6858000"/>
              <a:gd name="csX4592" fmla="*/ 8547064 w 12192000"/>
              <a:gd name="csY4592" fmla="*/ 1954063 h 6858000"/>
              <a:gd name="csX4593" fmla="*/ 8581404 w 12192000"/>
              <a:gd name="csY4593" fmla="*/ 1919243 h 6858000"/>
              <a:gd name="csX4594" fmla="*/ 8547064 w 12192000"/>
              <a:gd name="csY4594" fmla="*/ 1884423 h 6858000"/>
              <a:gd name="csX4595" fmla="*/ 8630805 w 12192000"/>
              <a:gd name="csY4595" fmla="*/ 1884423 h 6858000"/>
              <a:gd name="csX4596" fmla="*/ 8596452 w 12192000"/>
              <a:gd name="csY4596" fmla="*/ 1919243 h 6858000"/>
              <a:gd name="csX4597" fmla="*/ 8630805 w 12192000"/>
              <a:gd name="csY4597" fmla="*/ 1954063 h 6858000"/>
              <a:gd name="csX4598" fmla="*/ 8665145 w 12192000"/>
              <a:gd name="csY4598" fmla="*/ 1919243 h 6858000"/>
              <a:gd name="csX4599" fmla="*/ 8630805 w 12192000"/>
              <a:gd name="csY4599" fmla="*/ 1884423 h 6858000"/>
              <a:gd name="csX4600" fmla="*/ 8714547 w 12192000"/>
              <a:gd name="csY4600" fmla="*/ 1884423 h 6858000"/>
              <a:gd name="csX4601" fmla="*/ 8680194 w 12192000"/>
              <a:gd name="csY4601" fmla="*/ 1919243 h 6858000"/>
              <a:gd name="csX4602" fmla="*/ 8714547 w 12192000"/>
              <a:gd name="csY4602" fmla="*/ 1954063 h 6858000"/>
              <a:gd name="csX4603" fmla="*/ 8748888 w 12192000"/>
              <a:gd name="csY4603" fmla="*/ 1919243 h 6858000"/>
              <a:gd name="csX4604" fmla="*/ 8714547 w 12192000"/>
              <a:gd name="csY4604" fmla="*/ 1884423 h 6858000"/>
              <a:gd name="csX4605" fmla="*/ 8798289 w 12192000"/>
              <a:gd name="csY4605" fmla="*/ 1884423 h 6858000"/>
              <a:gd name="csX4606" fmla="*/ 8763936 w 12192000"/>
              <a:gd name="csY4606" fmla="*/ 1919243 h 6858000"/>
              <a:gd name="csX4607" fmla="*/ 8798289 w 12192000"/>
              <a:gd name="csY4607" fmla="*/ 1954063 h 6858000"/>
              <a:gd name="csX4608" fmla="*/ 8832629 w 12192000"/>
              <a:gd name="csY4608" fmla="*/ 1919243 h 6858000"/>
              <a:gd name="csX4609" fmla="*/ 8798289 w 12192000"/>
              <a:gd name="csY4609" fmla="*/ 1884423 h 6858000"/>
              <a:gd name="csX4610" fmla="*/ 8882030 w 12192000"/>
              <a:gd name="csY4610" fmla="*/ 1884423 h 6858000"/>
              <a:gd name="csX4611" fmla="*/ 8847677 w 12192000"/>
              <a:gd name="csY4611" fmla="*/ 1919243 h 6858000"/>
              <a:gd name="csX4612" fmla="*/ 8882030 w 12192000"/>
              <a:gd name="csY4612" fmla="*/ 1954063 h 6858000"/>
              <a:gd name="csX4613" fmla="*/ 8916370 w 12192000"/>
              <a:gd name="csY4613" fmla="*/ 1919243 h 6858000"/>
              <a:gd name="csX4614" fmla="*/ 8882030 w 12192000"/>
              <a:gd name="csY4614" fmla="*/ 1884423 h 6858000"/>
              <a:gd name="csX4615" fmla="*/ 8965772 w 12192000"/>
              <a:gd name="csY4615" fmla="*/ 1884423 h 6858000"/>
              <a:gd name="csX4616" fmla="*/ 8931419 w 12192000"/>
              <a:gd name="csY4616" fmla="*/ 1919243 h 6858000"/>
              <a:gd name="csX4617" fmla="*/ 8965772 w 12192000"/>
              <a:gd name="csY4617" fmla="*/ 1954063 h 6858000"/>
              <a:gd name="csX4618" fmla="*/ 9000112 w 12192000"/>
              <a:gd name="csY4618" fmla="*/ 1919243 h 6858000"/>
              <a:gd name="csX4619" fmla="*/ 8965772 w 12192000"/>
              <a:gd name="csY4619" fmla="*/ 1884423 h 6858000"/>
              <a:gd name="csX4620" fmla="*/ 9049513 w 12192000"/>
              <a:gd name="csY4620" fmla="*/ 1884423 h 6858000"/>
              <a:gd name="csX4621" fmla="*/ 9015160 w 12192000"/>
              <a:gd name="csY4621" fmla="*/ 1919243 h 6858000"/>
              <a:gd name="csX4622" fmla="*/ 9049513 w 12192000"/>
              <a:gd name="csY4622" fmla="*/ 1954063 h 6858000"/>
              <a:gd name="csX4623" fmla="*/ 9083854 w 12192000"/>
              <a:gd name="csY4623" fmla="*/ 1919243 h 6858000"/>
              <a:gd name="csX4624" fmla="*/ 9049513 w 12192000"/>
              <a:gd name="csY4624" fmla="*/ 1884423 h 6858000"/>
              <a:gd name="csX4625" fmla="*/ 9133256 w 12192000"/>
              <a:gd name="csY4625" fmla="*/ 1884423 h 6858000"/>
              <a:gd name="csX4626" fmla="*/ 9098903 w 12192000"/>
              <a:gd name="csY4626" fmla="*/ 1919243 h 6858000"/>
              <a:gd name="csX4627" fmla="*/ 9133256 w 12192000"/>
              <a:gd name="csY4627" fmla="*/ 1954063 h 6858000"/>
              <a:gd name="csX4628" fmla="*/ 9167596 w 12192000"/>
              <a:gd name="csY4628" fmla="*/ 1919243 h 6858000"/>
              <a:gd name="csX4629" fmla="*/ 9133256 w 12192000"/>
              <a:gd name="csY4629" fmla="*/ 1884423 h 6858000"/>
              <a:gd name="csX4630" fmla="*/ 9216997 w 12192000"/>
              <a:gd name="csY4630" fmla="*/ 1884423 h 6858000"/>
              <a:gd name="csX4631" fmla="*/ 9182644 w 12192000"/>
              <a:gd name="csY4631" fmla="*/ 1919243 h 6858000"/>
              <a:gd name="csX4632" fmla="*/ 9216997 w 12192000"/>
              <a:gd name="csY4632" fmla="*/ 1954063 h 6858000"/>
              <a:gd name="csX4633" fmla="*/ 9251337 w 12192000"/>
              <a:gd name="csY4633" fmla="*/ 1919243 h 6858000"/>
              <a:gd name="csX4634" fmla="*/ 9216997 w 12192000"/>
              <a:gd name="csY4634" fmla="*/ 1884423 h 6858000"/>
              <a:gd name="csX4635" fmla="*/ 9300738 w 12192000"/>
              <a:gd name="csY4635" fmla="*/ 1884423 h 6858000"/>
              <a:gd name="csX4636" fmla="*/ 9266385 w 12192000"/>
              <a:gd name="csY4636" fmla="*/ 1919243 h 6858000"/>
              <a:gd name="csX4637" fmla="*/ 9300738 w 12192000"/>
              <a:gd name="csY4637" fmla="*/ 1954063 h 6858000"/>
              <a:gd name="csX4638" fmla="*/ 9335078 w 12192000"/>
              <a:gd name="csY4638" fmla="*/ 1919243 h 6858000"/>
              <a:gd name="csX4639" fmla="*/ 9300738 w 12192000"/>
              <a:gd name="csY4639" fmla="*/ 1884423 h 6858000"/>
              <a:gd name="csX4640" fmla="*/ 9384480 w 12192000"/>
              <a:gd name="csY4640" fmla="*/ 1884423 h 6858000"/>
              <a:gd name="csX4641" fmla="*/ 9350127 w 12192000"/>
              <a:gd name="csY4641" fmla="*/ 1919243 h 6858000"/>
              <a:gd name="csX4642" fmla="*/ 9384480 w 12192000"/>
              <a:gd name="csY4642" fmla="*/ 1954063 h 6858000"/>
              <a:gd name="csX4643" fmla="*/ 9418821 w 12192000"/>
              <a:gd name="csY4643" fmla="*/ 1919243 h 6858000"/>
              <a:gd name="csX4644" fmla="*/ 9384480 w 12192000"/>
              <a:gd name="csY4644" fmla="*/ 1884423 h 6858000"/>
              <a:gd name="csX4645" fmla="*/ 9468222 w 12192000"/>
              <a:gd name="csY4645" fmla="*/ 1884423 h 6858000"/>
              <a:gd name="csX4646" fmla="*/ 9433869 w 12192000"/>
              <a:gd name="csY4646" fmla="*/ 1919243 h 6858000"/>
              <a:gd name="csX4647" fmla="*/ 9468222 w 12192000"/>
              <a:gd name="csY4647" fmla="*/ 1954063 h 6858000"/>
              <a:gd name="csX4648" fmla="*/ 9502562 w 12192000"/>
              <a:gd name="csY4648" fmla="*/ 1919243 h 6858000"/>
              <a:gd name="csX4649" fmla="*/ 9468222 w 12192000"/>
              <a:gd name="csY4649" fmla="*/ 1884423 h 6858000"/>
              <a:gd name="csX4650" fmla="*/ 9551963 w 12192000"/>
              <a:gd name="csY4650" fmla="*/ 1884423 h 6858000"/>
              <a:gd name="csX4651" fmla="*/ 9517610 w 12192000"/>
              <a:gd name="csY4651" fmla="*/ 1919243 h 6858000"/>
              <a:gd name="csX4652" fmla="*/ 9551963 w 12192000"/>
              <a:gd name="csY4652" fmla="*/ 1954063 h 6858000"/>
              <a:gd name="csX4653" fmla="*/ 9586303 w 12192000"/>
              <a:gd name="csY4653" fmla="*/ 1919243 h 6858000"/>
              <a:gd name="csX4654" fmla="*/ 9551963 w 12192000"/>
              <a:gd name="csY4654" fmla="*/ 1884423 h 6858000"/>
              <a:gd name="csX4655" fmla="*/ 9635705 w 12192000"/>
              <a:gd name="csY4655" fmla="*/ 1884423 h 6858000"/>
              <a:gd name="csX4656" fmla="*/ 9601352 w 12192000"/>
              <a:gd name="csY4656" fmla="*/ 1919243 h 6858000"/>
              <a:gd name="csX4657" fmla="*/ 9635705 w 12192000"/>
              <a:gd name="csY4657" fmla="*/ 1954063 h 6858000"/>
              <a:gd name="csX4658" fmla="*/ 9670045 w 12192000"/>
              <a:gd name="csY4658" fmla="*/ 1919243 h 6858000"/>
              <a:gd name="csX4659" fmla="*/ 9635705 w 12192000"/>
              <a:gd name="csY4659" fmla="*/ 1884423 h 6858000"/>
              <a:gd name="csX4660" fmla="*/ 10221896 w 12192000"/>
              <a:gd name="csY4660" fmla="*/ 1884423 h 6858000"/>
              <a:gd name="csX4661" fmla="*/ 10187543 w 12192000"/>
              <a:gd name="csY4661" fmla="*/ 1919243 h 6858000"/>
              <a:gd name="csX4662" fmla="*/ 10221896 w 12192000"/>
              <a:gd name="csY4662" fmla="*/ 1954063 h 6858000"/>
              <a:gd name="csX4663" fmla="*/ 10256236 w 12192000"/>
              <a:gd name="csY4663" fmla="*/ 1919243 h 6858000"/>
              <a:gd name="csX4664" fmla="*/ 10221896 w 12192000"/>
              <a:gd name="csY4664" fmla="*/ 1884423 h 6858000"/>
              <a:gd name="csX4665" fmla="*/ 10305638 w 12192000"/>
              <a:gd name="csY4665" fmla="*/ 1884423 h 6858000"/>
              <a:gd name="csX4666" fmla="*/ 10271285 w 12192000"/>
              <a:gd name="csY4666" fmla="*/ 1919243 h 6858000"/>
              <a:gd name="csX4667" fmla="*/ 10305638 w 12192000"/>
              <a:gd name="csY4667" fmla="*/ 1954063 h 6858000"/>
              <a:gd name="csX4668" fmla="*/ 10339978 w 12192000"/>
              <a:gd name="csY4668" fmla="*/ 1919243 h 6858000"/>
              <a:gd name="csX4669" fmla="*/ 10305638 w 12192000"/>
              <a:gd name="csY4669" fmla="*/ 1884423 h 6858000"/>
              <a:gd name="csX4670" fmla="*/ 10389379 w 12192000"/>
              <a:gd name="csY4670" fmla="*/ 1884423 h 6858000"/>
              <a:gd name="csX4671" fmla="*/ 10355026 w 12192000"/>
              <a:gd name="csY4671" fmla="*/ 1919243 h 6858000"/>
              <a:gd name="csX4672" fmla="*/ 10389379 w 12192000"/>
              <a:gd name="csY4672" fmla="*/ 1954063 h 6858000"/>
              <a:gd name="csX4673" fmla="*/ 10423720 w 12192000"/>
              <a:gd name="csY4673" fmla="*/ 1919243 h 6858000"/>
              <a:gd name="csX4674" fmla="*/ 10389379 w 12192000"/>
              <a:gd name="csY4674" fmla="*/ 1884423 h 6858000"/>
              <a:gd name="csX4675" fmla="*/ 10556863 w 12192000"/>
              <a:gd name="csY4675" fmla="*/ 1884423 h 6858000"/>
              <a:gd name="csX4676" fmla="*/ 10522510 w 12192000"/>
              <a:gd name="csY4676" fmla="*/ 1919243 h 6858000"/>
              <a:gd name="csX4677" fmla="*/ 10556863 w 12192000"/>
              <a:gd name="csY4677" fmla="*/ 1954063 h 6858000"/>
              <a:gd name="csX4678" fmla="*/ 10591203 w 12192000"/>
              <a:gd name="csY4678" fmla="*/ 1919243 h 6858000"/>
              <a:gd name="csX4679" fmla="*/ 10556863 w 12192000"/>
              <a:gd name="csY4679" fmla="*/ 1884423 h 6858000"/>
              <a:gd name="csX4680" fmla="*/ 926547 w 12192000"/>
              <a:gd name="csY4680" fmla="*/ 1969286 h 6858000"/>
              <a:gd name="csX4681" fmla="*/ 892200 w 12192000"/>
              <a:gd name="csY4681" fmla="*/ 2004107 h 6858000"/>
              <a:gd name="csX4682" fmla="*/ 926547 w 12192000"/>
              <a:gd name="csY4682" fmla="*/ 2038927 h 6858000"/>
              <a:gd name="csX4683" fmla="*/ 960893 w 12192000"/>
              <a:gd name="csY4683" fmla="*/ 2004107 h 6858000"/>
              <a:gd name="csX4684" fmla="*/ 926547 w 12192000"/>
              <a:gd name="csY4684" fmla="*/ 1969286 h 6858000"/>
              <a:gd name="csX4685" fmla="*/ 1010288 w 12192000"/>
              <a:gd name="csY4685" fmla="*/ 1969286 h 6858000"/>
              <a:gd name="csX4686" fmla="*/ 975941 w 12192000"/>
              <a:gd name="csY4686" fmla="*/ 2004107 h 6858000"/>
              <a:gd name="csX4687" fmla="*/ 1010288 w 12192000"/>
              <a:gd name="csY4687" fmla="*/ 2038927 h 6858000"/>
              <a:gd name="csX4688" fmla="*/ 1044635 w 12192000"/>
              <a:gd name="csY4688" fmla="*/ 2004107 h 6858000"/>
              <a:gd name="csX4689" fmla="*/ 1010288 w 12192000"/>
              <a:gd name="csY4689" fmla="*/ 1969286 h 6858000"/>
              <a:gd name="csX4690" fmla="*/ 1094030 w 12192000"/>
              <a:gd name="csY4690" fmla="*/ 1969286 h 6858000"/>
              <a:gd name="csX4691" fmla="*/ 1059683 w 12192000"/>
              <a:gd name="csY4691" fmla="*/ 2004107 h 6858000"/>
              <a:gd name="csX4692" fmla="*/ 1094030 w 12192000"/>
              <a:gd name="csY4692" fmla="*/ 2038927 h 6858000"/>
              <a:gd name="csX4693" fmla="*/ 1128377 w 12192000"/>
              <a:gd name="csY4693" fmla="*/ 2004107 h 6858000"/>
              <a:gd name="csX4694" fmla="*/ 1094030 w 12192000"/>
              <a:gd name="csY4694" fmla="*/ 1969286 h 6858000"/>
              <a:gd name="csX4695" fmla="*/ 1177771 w 12192000"/>
              <a:gd name="csY4695" fmla="*/ 1969286 h 6858000"/>
              <a:gd name="csX4696" fmla="*/ 1143425 w 12192000"/>
              <a:gd name="csY4696" fmla="*/ 2004107 h 6858000"/>
              <a:gd name="csX4697" fmla="*/ 1177771 w 12192000"/>
              <a:gd name="csY4697" fmla="*/ 2038927 h 6858000"/>
              <a:gd name="csX4698" fmla="*/ 1212118 w 12192000"/>
              <a:gd name="csY4698" fmla="*/ 2004107 h 6858000"/>
              <a:gd name="csX4699" fmla="*/ 1177771 w 12192000"/>
              <a:gd name="csY4699" fmla="*/ 1969286 h 6858000"/>
              <a:gd name="csX4700" fmla="*/ 2182674 w 12192000"/>
              <a:gd name="csY4700" fmla="*/ 1969286 h 6858000"/>
              <a:gd name="csX4701" fmla="*/ 2148328 w 12192000"/>
              <a:gd name="csY4701" fmla="*/ 2004107 h 6858000"/>
              <a:gd name="csX4702" fmla="*/ 2182674 w 12192000"/>
              <a:gd name="csY4702" fmla="*/ 2038927 h 6858000"/>
              <a:gd name="csX4703" fmla="*/ 2217021 w 12192000"/>
              <a:gd name="csY4703" fmla="*/ 2004107 h 6858000"/>
              <a:gd name="csX4704" fmla="*/ 2182674 w 12192000"/>
              <a:gd name="csY4704" fmla="*/ 1969286 h 6858000"/>
              <a:gd name="csX4705" fmla="*/ 2266416 w 12192000"/>
              <a:gd name="csY4705" fmla="*/ 1969286 h 6858000"/>
              <a:gd name="csX4706" fmla="*/ 2232069 w 12192000"/>
              <a:gd name="csY4706" fmla="*/ 2004107 h 6858000"/>
              <a:gd name="csX4707" fmla="*/ 2266416 w 12192000"/>
              <a:gd name="csY4707" fmla="*/ 2038927 h 6858000"/>
              <a:gd name="csX4708" fmla="*/ 2300762 w 12192000"/>
              <a:gd name="csY4708" fmla="*/ 2004107 h 6858000"/>
              <a:gd name="csX4709" fmla="*/ 2266416 w 12192000"/>
              <a:gd name="csY4709" fmla="*/ 1969286 h 6858000"/>
              <a:gd name="csX4710" fmla="*/ 2350151 w 12192000"/>
              <a:gd name="csY4710" fmla="*/ 1969286 h 6858000"/>
              <a:gd name="csX4711" fmla="*/ 2315804 w 12192000"/>
              <a:gd name="csY4711" fmla="*/ 2004107 h 6858000"/>
              <a:gd name="csX4712" fmla="*/ 2350151 w 12192000"/>
              <a:gd name="csY4712" fmla="*/ 2038927 h 6858000"/>
              <a:gd name="csX4713" fmla="*/ 2384498 w 12192000"/>
              <a:gd name="csY4713" fmla="*/ 2004107 h 6858000"/>
              <a:gd name="csX4714" fmla="*/ 2350151 w 12192000"/>
              <a:gd name="csY4714" fmla="*/ 1969286 h 6858000"/>
              <a:gd name="csX4715" fmla="*/ 2433893 w 12192000"/>
              <a:gd name="csY4715" fmla="*/ 1969286 h 6858000"/>
              <a:gd name="csX4716" fmla="*/ 2399546 w 12192000"/>
              <a:gd name="csY4716" fmla="*/ 2004107 h 6858000"/>
              <a:gd name="csX4717" fmla="*/ 2433893 w 12192000"/>
              <a:gd name="csY4717" fmla="*/ 2038927 h 6858000"/>
              <a:gd name="csX4718" fmla="*/ 2468240 w 12192000"/>
              <a:gd name="csY4718" fmla="*/ 2004107 h 6858000"/>
              <a:gd name="csX4719" fmla="*/ 2433893 w 12192000"/>
              <a:gd name="csY4719" fmla="*/ 1969286 h 6858000"/>
              <a:gd name="csX4720" fmla="*/ 2517634 w 12192000"/>
              <a:gd name="csY4720" fmla="*/ 1969286 h 6858000"/>
              <a:gd name="csX4721" fmla="*/ 2483288 w 12192000"/>
              <a:gd name="csY4721" fmla="*/ 2004107 h 6858000"/>
              <a:gd name="csX4722" fmla="*/ 2517634 w 12192000"/>
              <a:gd name="csY4722" fmla="*/ 2038927 h 6858000"/>
              <a:gd name="csX4723" fmla="*/ 2551981 w 12192000"/>
              <a:gd name="csY4723" fmla="*/ 2004107 h 6858000"/>
              <a:gd name="csX4724" fmla="*/ 2517634 w 12192000"/>
              <a:gd name="csY4724" fmla="*/ 1969286 h 6858000"/>
              <a:gd name="csX4725" fmla="*/ 2601376 w 12192000"/>
              <a:gd name="csY4725" fmla="*/ 1969286 h 6858000"/>
              <a:gd name="csX4726" fmla="*/ 2567029 w 12192000"/>
              <a:gd name="csY4726" fmla="*/ 2004107 h 6858000"/>
              <a:gd name="csX4727" fmla="*/ 2601376 w 12192000"/>
              <a:gd name="csY4727" fmla="*/ 2038927 h 6858000"/>
              <a:gd name="csX4728" fmla="*/ 2635722 w 12192000"/>
              <a:gd name="csY4728" fmla="*/ 2004107 h 6858000"/>
              <a:gd name="csX4729" fmla="*/ 2601376 w 12192000"/>
              <a:gd name="csY4729" fmla="*/ 1969286 h 6858000"/>
              <a:gd name="csX4730" fmla="*/ 2685118 w 12192000"/>
              <a:gd name="csY4730" fmla="*/ 1969286 h 6858000"/>
              <a:gd name="csX4731" fmla="*/ 2650771 w 12192000"/>
              <a:gd name="csY4731" fmla="*/ 2004107 h 6858000"/>
              <a:gd name="csX4732" fmla="*/ 2685118 w 12192000"/>
              <a:gd name="csY4732" fmla="*/ 2038927 h 6858000"/>
              <a:gd name="csX4733" fmla="*/ 2719465 w 12192000"/>
              <a:gd name="csY4733" fmla="*/ 2004107 h 6858000"/>
              <a:gd name="csX4734" fmla="*/ 2685118 w 12192000"/>
              <a:gd name="csY4734" fmla="*/ 1969286 h 6858000"/>
              <a:gd name="csX4735" fmla="*/ 2768859 w 12192000"/>
              <a:gd name="csY4735" fmla="*/ 1969286 h 6858000"/>
              <a:gd name="csX4736" fmla="*/ 2734512 w 12192000"/>
              <a:gd name="csY4736" fmla="*/ 2004107 h 6858000"/>
              <a:gd name="csX4737" fmla="*/ 2768859 w 12192000"/>
              <a:gd name="csY4737" fmla="*/ 2038927 h 6858000"/>
              <a:gd name="csX4738" fmla="*/ 2803206 w 12192000"/>
              <a:gd name="csY4738" fmla="*/ 2004107 h 6858000"/>
              <a:gd name="csX4739" fmla="*/ 2768859 w 12192000"/>
              <a:gd name="csY4739" fmla="*/ 1969286 h 6858000"/>
              <a:gd name="csX4740" fmla="*/ 2852600 w 12192000"/>
              <a:gd name="csY4740" fmla="*/ 1969286 h 6858000"/>
              <a:gd name="csX4741" fmla="*/ 2818254 w 12192000"/>
              <a:gd name="csY4741" fmla="*/ 2004107 h 6858000"/>
              <a:gd name="csX4742" fmla="*/ 2852600 w 12192000"/>
              <a:gd name="csY4742" fmla="*/ 2038927 h 6858000"/>
              <a:gd name="csX4743" fmla="*/ 2886947 w 12192000"/>
              <a:gd name="csY4743" fmla="*/ 2004107 h 6858000"/>
              <a:gd name="csX4744" fmla="*/ 2852600 w 12192000"/>
              <a:gd name="csY4744" fmla="*/ 1969286 h 6858000"/>
              <a:gd name="csX4745" fmla="*/ 2936343 w 12192000"/>
              <a:gd name="csY4745" fmla="*/ 1969286 h 6858000"/>
              <a:gd name="csX4746" fmla="*/ 2901996 w 12192000"/>
              <a:gd name="csY4746" fmla="*/ 2004107 h 6858000"/>
              <a:gd name="csX4747" fmla="*/ 2936343 w 12192000"/>
              <a:gd name="csY4747" fmla="*/ 2038927 h 6858000"/>
              <a:gd name="csX4748" fmla="*/ 2970689 w 12192000"/>
              <a:gd name="csY4748" fmla="*/ 2004107 h 6858000"/>
              <a:gd name="csX4749" fmla="*/ 2936343 w 12192000"/>
              <a:gd name="csY4749" fmla="*/ 1969286 h 6858000"/>
              <a:gd name="csX4750" fmla="*/ 3103826 w 12192000"/>
              <a:gd name="csY4750" fmla="*/ 1969286 h 6858000"/>
              <a:gd name="csX4751" fmla="*/ 3069479 w 12192000"/>
              <a:gd name="csY4751" fmla="*/ 2004107 h 6858000"/>
              <a:gd name="csX4752" fmla="*/ 3103826 w 12192000"/>
              <a:gd name="csY4752" fmla="*/ 2038927 h 6858000"/>
              <a:gd name="csX4753" fmla="*/ 3138173 w 12192000"/>
              <a:gd name="csY4753" fmla="*/ 2004107 h 6858000"/>
              <a:gd name="csX4754" fmla="*/ 3103826 w 12192000"/>
              <a:gd name="csY4754" fmla="*/ 1969286 h 6858000"/>
              <a:gd name="csX4755" fmla="*/ 3187567 w 12192000"/>
              <a:gd name="csY4755" fmla="*/ 1969286 h 6858000"/>
              <a:gd name="csX4756" fmla="*/ 3153221 w 12192000"/>
              <a:gd name="csY4756" fmla="*/ 2004107 h 6858000"/>
              <a:gd name="csX4757" fmla="*/ 3187567 w 12192000"/>
              <a:gd name="csY4757" fmla="*/ 2038927 h 6858000"/>
              <a:gd name="csX4758" fmla="*/ 3221914 w 12192000"/>
              <a:gd name="csY4758" fmla="*/ 2004107 h 6858000"/>
              <a:gd name="csX4759" fmla="*/ 3187567 w 12192000"/>
              <a:gd name="csY4759" fmla="*/ 1969286 h 6858000"/>
              <a:gd name="csX4760" fmla="*/ 3271309 w 12192000"/>
              <a:gd name="csY4760" fmla="*/ 1969286 h 6858000"/>
              <a:gd name="csX4761" fmla="*/ 3236962 w 12192000"/>
              <a:gd name="csY4761" fmla="*/ 2004107 h 6858000"/>
              <a:gd name="csX4762" fmla="*/ 3271309 w 12192000"/>
              <a:gd name="csY4762" fmla="*/ 2038927 h 6858000"/>
              <a:gd name="csX4763" fmla="*/ 3305655 w 12192000"/>
              <a:gd name="csY4763" fmla="*/ 2004107 h 6858000"/>
              <a:gd name="csX4764" fmla="*/ 3271309 w 12192000"/>
              <a:gd name="csY4764" fmla="*/ 1969286 h 6858000"/>
              <a:gd name="csX4765" fmla="*/ 3857500 w 12192000"/>
              <a:gd name="csY4765" fmla="*/ 1969286 h 6858000"/>
              <a:gd name="csX4766" fmla="*/ 3823154 w 12192000"/>
              <a:gd name="csY4766" fmla="*/ 2004107 h 6858000"/>
              <a:gd name="csX4767" fmla="*/ 3857500 w 12192000"/>
              <a:gd name="csY4767" fmla="*/ 2038927 h 6858000"/>
              <a:gd name="csX4768" fmla="*/ 3891847 w 12192000"/>
              <a:gd name="csY4768" fmla="*/ 2004107 h 6858000"/>
              <a:gd name="csX4769" fmla="*/ 3857500 w 12192000"/>
              <a:gd name="csY4769" fmla="*/ 1969286 h 6858000"/>
              <a:gd name="csX4770" fmla="*/ 3941242 w 12192000"/>
              <a:gd name="csY4770" fmla="*/ 1969286 h 6858000"/>
              <a:gd name="csX4771" fmla="*/ 3906895 w 12192000"/>
              <a:gd name="csY4771" fmla="*/ 2004107 h 6858000"/>
              <a:gd name="csX4772" fmla="*/ 3941242 w 12192000"/>
              <a:gd name="csY4772" fmla="*/ 2038927 h 6858000"/>
              <a:gd name="csX4773" fmla="*/ 3975588 w 12192000"/>
              <a:gd name="csY4773" fmla="*/ 2004107 h 6858000"/>
              <a:gd name="csX4774" fmla="*/ 3941242 w 12192000"/>
              <a:gd name="csY4774" fmla="*/ 1969286 h 6858000"/>
              <a:gd name="csX4775" fmla="*/ 4611182 w 12192000"/>
              <a:gd name="csY4775" fmla="*/ 1969286 h 6858000"/>
              <a:gd name="csX4776" fmla="*/ 4576835 w 12192000"/>
              <a:gd name="csY4776" fmla="*/ 2004107 h 6858000"/>
              <a:gd name="csX4777" fmla="*/ 4611182 w 12192000"/>
              <a:gd name="csY4777" fmla="*/ 2038927 h 6858000"/>
              <a:gd name="csX4778" fmla="*/ 4645528 w 12192000"/>
              <a:gd name="csY4778" fmla="*/ 2004107 h 6858000"/>
              <a:gd name="csX4779" fmla="*/ 4611182 w 12192000"/>
              <a:gd name="csY4779" fmla="*/ 1969286 h 6858000"/>
              <a:gd name="csX4780" fmla="*/ 4694923 w 12192000"/>
              <a:gd name="csY4780" fmla="*/ 1969286 h 6858000"/>
              <a:gd name="csX4781" fmla="*/ 4660576 w 12192000"/>
              <a:gd name="csY4781" fmla="*/ 2004107 h 6858000"/>
              <a:gd name="csX4782" fmla="*/ 4694923 w 12192000"/>
              <a:gd name="csY4782" fmla="*/ 2038927 h 6858000"/>
              <a:gd name="csX4783" fmla="*/ 4729270 w 12192000"/>
              <a:gd name="csY4783" fmla="*/ 2004107 h 6858000"/>
              <a:gd name="csX4784" fmla="*/ 4694923 w 12192000"/>
              <a:gd name="csY4784" fmla="*/ 1969286 h 6858000"/>
              <a:gd name="csX4785" fmla="*/ 6118531 w 12192000"/>
              <a:gd name="csY4785" fmla="*/ 1969286 h 6858000"/>
              <a:gd name="csX4786" fmla="*/ 6084177 w 12192000"/>
              <a:gd name="csY4786" fmla="*/ 2004107 h 6858000"/>
              <a:gd name="csX4787" fmla="*/ 6118531 w 12192000"/>
              <a:gd name="csY4787" fmla="*/ 2038927 h 6858000"/>
              <a:gd name="csX4788" fmla="*/ 6152871 w 12192000"/>
              <a:gd name="csY4788" fmla="*/ 2004107 h 6858000"/>
              <a:gd name="csX4789" fmla="*/ 6118531 w 12192000"/>
              <a:gd name="csY4789" fmla="*/ 1969286 h 6858000"/>
              <a:gd name="csX4790" fmla="*/ 6202273 w 12192000"/>
              <a:gd name="csY4790" fmla="*/ 1969286 h 6858000"/>
              <a:gd name="csX4791" fmla="*/ 6167920 w 12192000"/>
              <a:gd name="csY4791" fmla="*/ 2004107 h 6858000"/>
              <a:gd name="csX4792" fmla="*/ 6202273 w 12192000"/>
              <a:gd name="csY4792" fmla="*/ 2038927 h 6858000"/>
              <a:gd name="csX4793" fmla="*/ 6236613 w 12192000"/>
              <a:gd name="csY4793" fmla="*/ 2004107 h 6858000"/>
              <a:gd name="csX4794" fmla="*/ 6202273 w 12192000"/>
              <a:gd name="csY4794" fmla="*/ 1969286 h 6858000"/>
              <a:gd name="csX4795" fmla="*/ 6286014 w 12192000"/>
              <a:gd name="csY4795" fmla="*/ 1969286 h 6858000"/>
              <a:gd name="csX4796" fmla="*/ 6251661 w 12192000"/>
              <a:gd name="csY4796" fmla="*/ 2004107 h 6858000"/>
              <a:gd name="csX4797" fmla="*/ 6286014 w 12192000"/>
              <a:gd name="csY4797" fmla="*/ 2038927 h 6858000"/>
              <a:gd name="csX4798" fmla="*/ 6320354 w 12192000"/>
              <a:gd name="csY4798" fmla="*/ 2004107 h 6858000"/>
              <a:gd name="csX4799" fmla="*/ 6286014 w 12192000"/>
              <a:gd name="csY4799" fmla="*/ 1969286 h 6858000"/>
              <a:gd name="csX4800" fmla="*/ 6453498 w 12192000"/>
              <a:gd name="csY4800" fmla="*/ 1969286 h 6858000"/>
              <a:gd name="csX4801" fmla="*/ 6419144 w 12192000"/>
              <a:gd name="csY4801" fmla="*/ 2004107 h 6858000"/>
              <a:gd name="csX4802" fmla="*/ 6453498 w 12192000"/>
              <a:gd name="csY4802" fmla="*/ 2038927 h 6858000"/>
              <a:gd name="csX4803" fmla="*/ 6487838 w 12192000"/>
              <a:gd name="csY4803" fmla="*/ 2004107 h 6858000"/>
              <a:gd name="csX4804" fmla="*/ 6453498 w 12192000"/>
              <a:gd name="csY4804" fmla="*/ 1969286 h 6858000"/>
              <a:gd name="csX4805" fmla="*/ 6704722 w 12192000"/>
              <a:gd name="csY4805" fmla="*/ 1969286 h 6858000"/>
              <a:gd name="csX4806" fmla="*/ 6670369 w 12192000"/>
              <a:gd name="csY4806" fmla="*/ 2004107 h 6858000"/>
              <a:gd name="csX4807" fmla="*/ 6704722 w 12192000"/>
              <a:gd name="csY4807" fmla="*/ 2038927 h 6858000"/>
              <a:gd name="csX4808" fmla="*/ 6739063 w 12192000"/>
              <a:gd name="csY4808" fmla="*/ 2004107 h 6858000"/>
              <a:gd name="csX4809" fmla="*/ 6704722 w 12192000"/>
              <a:gd name="csY4809" fmla="*/ 1969286 h 6858000"/>
              <a:gd name="csX4810" fmla="*/ 6872206 w 12192000"/>
              <a:gd name="csY4810" fmla="*/ 1969286 h 6858000"/>
              <a:gd name="csX4811" fmla="*/ 6837853 w 12192000"/>
              <a:gd name="csY4811" fmla="*/ 2004107 h 6858000"/>
              <a:gd name="csX4812" fmla="*/ 6872206 w 12192000"/>
              <a:gd name="csY4812" fmla="*/ 2038927 h 6858000"/>
              <a:gd name="csX4813" fmla="*/ 6906546 w 12192000"/>
              <a:gd name="csY4813" fmla="*/ 2004107 h 6858000"/>
              <a:gd name="csX4814" fmla="*/ 6872206 w 12192000"/>
              <a:gd name="csY4814" fmla="*/ 1969286 h 6858000"/>
              <a:gd name="csX4815" fmla="*/ 6955947 w 12192000"/>
              <a:gd name="csY4815" fmla="*/ 1969286 h 6858000"/>
              <a:gd name="csX4816" fmla="*/ 6921594 w 12192000"/>
              <a:gd name="csY4816" fmla="*/ 2004107 h 6858000"/>
              <a:gd name="csX4817" fmla="*/ 6955947 w 12192000"/>
              <a:gd name="csY4817" fmla="*/ 2038927 h 6858000"/>
              <a:gd name="csX4818" fmla="*/ 6990287 w 12192000"/>
              <a:gd name="csY4818" fmla="*/ 2004107 h 6858000"/>
              <a:gd name="csX4819" fmla="*/ 6955947 w 12192000"/>
              <a:gd name="csY4819" fmla="*/ 1969286 h 6858000"/>
              <a:gd name="csX4820" fmla="*/ 7039688 w 12192000"/>
              <a:gd name="csY4820" fmla="*/ 1969286 h 6858000"/>
              <a:gd name="csX4821" fmla="*/ 7005335 w 12192000"/>
              <a:gd name="csY4821" fmla="*/ 2004107 h 6858000"/>
              <a:gd name="csX4822" fmla="*/ 7039688 w 12192000"/>
              <a:gd name="csY4822" fmla="*/ 2038927 h 6858000"/>
              <a:gd name="csX4823" fmla="*/ 7074029 w 12192000"/>
              <a:gd name="csY4823" fmla="*/ 2004107 h 6858000"/>
              <a:gd name="csX4824" fmla="*/ 7039688 w 12192000"/>
              <a:gd name="csY4824" fmla="*/ 1969286 h 6858000"/>
              <a:gd name="csX4825" fmla="*/ 7123456 w 12192000"/>
              <a:gd name="csY4825" fmla="*/ 1969286 h 6858000"/>
              <a:gd name="csX4826" fmla="*/ 7089103 w 12192000"/>
              <a:gd name="csY4826" fmla="*/ 2004107 h 6858000"/>
              <a:gd name="csX4827" fmla="*/ 7123456 w 12192000"/>
              <a:gd name="csY4827" fmla="*/ 2038927 h 6858000"/>
              <a:gd name="csX4828" fmla="*/ 7157796 w 12192000"/>
              <a:gd name="csY4828" fmla="*/ 2004107 h 6858000"/>
              <a:gd name="csX4829" fmla="*/ 7123456 w 12192000"/>
              <a:gd name="csY4829" fmla="*/ 1969286 h 6858000"/>
              <a:gd name="csX4830" fmla="*/ 7207198 w 12192000"/>
              <a:gd name="csY4830" fmla="*/ 1969286 h 6858000"/>
              <a:gd name="csX4831" fmla="*/ 7172845 w 12192000"/>
              <a:gd name="csY4831" fmla="*/ 2004107 h 6858000"/>
              <a:gd name="csX4832" fmla="*/ 7207198 w 12192000"/>
              <a:gd name="csY4832" fmla="*/ 2038927 h 6858000"/>
              <a:gd name="csX4833" fmla="*/ 7241538 w 12192000"/>
              <a:gd name="csY4833" fmla="*/ 2004107 h 6858000"/>
              <a:gd name="csX4834" fmla="*/ 7207198 w 12192000"/>
              <a:gd name="csY4834" fmla="*/ 1969286 h 6858000"/>
              <a:gd name="csX4835" fmla="*/ 7290939 w 12192000"/>
              <a:gd name="csY4835" fmla="*/ 1969286 h 6858000"/>
              <a:gd name="csX4836" fmla="*/ 7256586 w 12192000"/>
              <a:gd name="csY4836" fmla="*/ 2004107 h 6858000"/>
              <a:gd name="csX4837" fmla="*/ 7290939 w 12192000"/>
              <a:gd name="csY4837" fmla="*/ 2038927 h 6858000"/>
              <a:gd name="csX4838" fmla="*/ 7325279 w 12192000"/>
              <a:gd name="csY4838" fmla="*/ 2004107 h 6858000"/>
              <a:gd name="csX4839" fmla="*/ 7290939 w 12192000"/>
              <a:gd name="csY4839" fmla="*/ 1969286 h 6858000"/>
              <a:gd name="csX4840" fmla="*/ 7374681 w 12192000"/>
              <a:gd name="csY4840" fmla="*/ 1969286 h 6858000"/>
              <a:gd name="csX4841" fmla="*/ 7340328 w 12192000"/>
              <a:gd name="csY4841" fmla="*/ 2004107 h 6858000"/>
              <a:gd name="csX4842" fmla="*/ 7374681 w 12192000"/>
              <a:gd name="csY4842" fmla="*/ 2038927 h 6858000"/>
              <a:gd name="csX4843" fmla="*/ 7409022 w 12192000"/>
              <a:gd name="csY4843" fmla="*/ 2004107 h 6858000"/>
              <a:gd name="csX4844" fmla="*/ 7374681 w 12192000"/>
              <a:gd name="csY4844" fmla="*/ 1969286 h 6858000"/>
              <a:gd name="csX4845" fmla="*/ 7458423 w 12192000"/>
              <a:gd name="csY4845" fmla="*/ 1969286 h 6858000"/>
              <a:gd name="csX4846" fmla="*/ 7424070 w 12192000"/>
              <a:gd name="csY4846" fmla="*/ 2004107 h 6858000"/>
              <a:gd name="csX4847" fmla="*/ 7458423 w 12192000"/>
              <a:gd name="csY4847" fmla="*/ 2038927 h 6858000"/>
              <a:gd name="csX4848" fmla="*/ 7492763 w 12192000"/>
              <a:gd name="csY4848" fmla="*/ 2004107 h 6858000"/>
              <a:gd name="csX4849" fmla="*/ 7458423 w 12192000"/>
              <a:gd name="csY4849" fmla="*/ 1969286 h 6858000"/>
              <a:gd name="csX4850" fmla="*/ 7542164 w 12192000"/>
              <a:gd name="csY4850" fmla="*/ 1969286 h 6858000"/>
              <a:gd name="csX4851" fmla="*/ 7507811 w 12192000"/>
              <a:gd name="csY4851" fmla="*/ 2004107 h 6858000"/>
              <a:gd name="csX4852" fmla="*/ 7542164 w 12192000"/>
              <a:gd name="csY4852" fmla="*/ 2038927 h 6858000"/>
              <a:gd name="csX4853" fmla="*/ 7576504 w 12192000"/>
              <a:gd name="csY4853" fmla="*/ 2004107 h 6858000"/>
              <a:gd name="csX4854" fmla="*/ 7542164 w 12192000"/>
              <a:gd name="csY4854" fmla="*/ 1969286 h 6858000"/>
              <a:gd name="csX4855" fmla="*/ 7625906 w 12192000"/>
              <a:gd name="csY4855" fmla="*/ 1969286 h 6858000"/>
              <a:gd name="csX4856" fmla="*/ 7591553 w 12192000"/>
              <a:gd name="csY4856" fmla="*/ 2004107 h 6858000"/>
              <a:gd name="csX4857" fmla="*/ 7625906 w 12192000"/>
              <a:gd name="csY4857" fmla="*/ 2038927 h 6858000"/>
              <a:gd name="csX4858" fmla="*/ 7660246 w 12192000"/>
              <a:gd name="csY4858" fmla="*/ 2004107 h 6858000"/>
              <a:gd name="csX4859" fmla="*/ 7625906 w 12192000"/>
              <a:gd name="csY4859" fmla="*/ 1969286 h 6858000"/>
              <a:gd name="csX4860" fmla="*/ 7709647 w 12192000"/>
              <a:gd name="csY4860" fmla="*/ 1969286 h 6858000"/>
              <a:gd name="csX4861" fmla="*/ 7675294 w 12192000"/>
              <a:gd name="csY4861" fmla="*/ 2004107 h 6858000"/>
              <a:gd name="csX4862" fmla="*/ 7709647 w 12192000"/>
              <a:gd name="csY4862" fmla="*/ 2038927 h 6858000"/>
              <a:gd name="csX4863" fmla="*/ 7743988 w 12192000"/>
              <a:gd name="csY4863" fmla="*/ 2004107 h 6858000"/>
              <a:gd name="csX4864" fmla="*/ 7709647 w 12192000"/>
              <a:gd name="csY4864" fmla="*/ 1969286 h 6858000"/>
              <a:gd name="csX4865" fmla="*/ 7793389 w 12192000"/>
              <a:gd name="csY4865" fmla="*/ 1969286 h 6858000"/>
              <a:gd name="csX4866" fmla="*/ 7759036 w 12192000"/>
              <a:gd name="csY4866" fmla="*/ 2004107 h 6858000"/>
              <a:gd name="csX4867" fmla="*/ 7793389 w 12192000"/>
              <a:gd name="csY4867" fmla="*/ 2038927 h 6858000"/>
              <a:gd name="csX4868" fmla="*/ 7827729 w 12192000"/>
              <a:gd name="csY4868" fmla="*/ 2004107 h 6858000"/>
              <a:gd name="csX4869" fmla="*/ 7793389 w 12192000"/>
              <a:gd name="csY4869" fmla="*/ 1969286 h 6858000"/>
              <a:gd name="csX4870" fmla="*/ 7877131 w 12192000"/>
              <a:gd name="csY4870" fmla="*/ 1969286 h 6858000"/>
              <a:gd name="csX4871" fmla="*/ 7842778 w 12192000"/>
              <a:gd name="csY4871" fmla="*/ 2004107 h 6858000"/>
              <a:gd name="csX4872" fmla="*/ 7877131 w 12192000"/>
              <a:gd name="csY4872" fmla="*/ 2038927 h 6858000"/>
              <a:gd name="csX4873" fmla="*/ 7911471 w 12192000"/>
              <a:gd name="csY4873" fmla="*/ 2004107 h 6858000"/>
              <a:gd name="csX4874" fmla="*/ 7877131 w 12192000"/>
              <a:gd name="csY4874" fmla="*/ 1969286 h 6858000"/>
              <a:gd name="csX4875" fmla="*/ 7960872 w 12192000"/>
              <a:gd name="csY4875" fmla="*/ 1969286 h 6858000"/>
              <a:gd name="csX4876" fmla="*/ 7926519 w 12192000"/>
              <a:gd name="csY4876" fmla="*/ 2004107 h 6858000"/>
              <a:gd name="csX4877" fmla="*/ 7960872 w 12192000"/>
              <a:gd name="csY4877" fmla="*/ 2038927 h 6858000"/>
              <a:gd name="csX4878" fmla="*/ 7995212 w 12192000"/>
              <a:gd name="csY4878" fmla="*/ 2004107 h 6858000"/>
              <a:gd name="csX4879" fmla="*/ 7960872 w 12192000"/>
              <a:gd name="csY4879" fmla="*/ 1969286 h 6858000"/>
              <a:gd name="csX4880" fmla="*/ 8044614 w 12192000"/>
              <a:gd name="csY4880" fmla="*/ 1969286 h 6858000"/>
              <a:gd name="csX4881" fmla="*/ 8010261 w 12192000"/>
              <a:gd name="csY4881" fmla="*/ 2004107 h 6858000"/>
              <a:gd name="csX4882" fmla="*/ 8044614 w 12192000"/>
              <a:gd name="csY4882" fmla="*/ 2038927 h 6858000"/>
              <a:gd name="csX4883" fmla="*/ 8078955 w 12192000"/>
              <a:gd name="csY4883" fmla="*/ 2004107 h 6858000"/>
              <a:gd name="csX4884" fmla="*/ 8044614 w 12192000"/>
              <a:gd name="csY4884" fmla="*/ 1969286 h 6858000"/>
              <a:gd name="csX4885" fmla="*/ 8128356 w 12192000"/>
              <a:gd name="csY4885" fmla="*/ 1969286 h 6858000"/>
              <a:gd name="csX4886" fmla="*/ 8094003 w 12192000"/>
              <a:gd name="csY4886" fmla="*/ 2004107 h 6858000"/>
              <a:gd name="csX4887" fmla="*/ 8128356 w 12192000"/>
              <a:gd name="csY4887" fmla="*/ 2038927 h 6858000"/>
              <a:gd name="csX4888" fmla="*/ 8162696 w 12192000"/>
              <a:gd name="csY4888" fmla="*/ 2004107 h 6858000"/>
              <a:gd name="csX4889" fmla="*/ 8128356 w 12192000"/>
              <a:gd name="csY4889" fmla="*/ 1969286 h 6858000"/>
              <a:gd name="csX4890" fmla="*/ 8212097 w 12192000"/>
              <a:gd name="csY4890" fmla="*/ 1969286 h 6858000"/>
              <a:gd name="csX4891" fmla="*/ 8177744 w 12192000"/>
              <a:gd name="csY4891" fmla="*/ 2004107 h 6858000"/>
              <a:gd name="csX4892" fmla="*/ 8212097 w 12192000"/>
              <a:gd name="csY4892" fmla="*/ 2038927 h 6858000"/>
              <a:gd name="csX4893" fmla="*/ 8246437 w 12192000"/>
              <a:gd name="csY4893" fmla="*/ 2004107 h 6858000"/>
              <a:gd name="csX4894" fmla="*/ 8212097 w 12192000"/>
              <a:gd name="csY4894" fmla="*/ 1969286 h 6858000"/>
              <a:gd name="csX4895" fmla="*/ 8295839 w 12192000"/>
              <a:gd name="csY4895" fmla="*/ 1969286 h 6858000"/>
              <a:gd name="csX4896" fmla="*/ 8261486 w 12192000"/>
              <a:gd name="csY4896" fmla="*/ 2004107 h 6858000"/>
              <a:gd name="csX4897" fmla="*/ 8295839 w 12192000"/>
              <a:gd name="csY4897" fmla="*/ 2038927 h 6858000"/>
              <a:gd name="csX4898" fmla="*/ 8330179 w 12192000"/>
              <a:gd name="csY4898" fmla="*/ 2004107 h 6858000"/>
              <a:gd name="csX4899" fmla="*/ 8295839 w 12192000"/>
              <a:gd name="csY4899" fmla="*/ 1969286 h 6858000"/>
              <a:gd name="csX4900" fmla="*/ 8379580 w 12192000"/>
              <a:gd name="csY4900" fmla="*/ 1969286 h 6858000"/>
              <a:gd name="csX4901" fmla="*/ 8345227 w 12192000"/>
              <a:gd name="csY4901" fmla="*/ 2004107 h 6858000"/>
              <a:gd name="csX4902" fmla="*/ 8379580 w 12192000"/>
              <a:gd name="csY4902" fmla="*/ 2038927 h 6858000"/>
              <a:gd name="csX4903" fmla="*/ 8413921 w 12192000"/>
              <a:gd name="csY4903" fmla="*/ 2004107 h 6858000"/>
              <a:gd name="csX4904" fmla="*/ 8379580 w 12192000"/>
              <a:gd name="csY4904" fmla="*/ 1969286 h 6858000"/>
              <a:gd name="csX4905" fmla="*/ 8463323 w 12192000"/>
              <a:gd name="csY4905" fmla="*/ 1969286 h 6858000"/>
              <a:gd name="csX4906" fmla="*/ 8428970 w 12192000"/>
              <a:gd name="csY4906" fmla="*/ 2004107 h 6858000"/>
              <a:gd name="csX4907" fmla="*/ 8463323 w 12192000"/>
              <a:gd name="csY4907" fmla="*/ 2038927 h 6858000"/>
              <a:gd name="csX4908" fmla="*/ 8497663 w 12192000"/>
              <a:gd name="csY4908" fmla="*/ 2004107 h 6858000"/>
              <a:gd name="csX4909" fmla="*/ 8463323 w 12192000"/>
              <a:gd name="csY4909" fmla="*/ 1969286 h 6858000"/>
              <a:gd name="csX4910" fmla="*/ 8547064 w 12192000"/>
              <a:gd name="csY4910" fmla="*/ 1969286 h 6858000"/>
              <a:gd name="csX4911" fmla="*/ 8512711 w 12192000"/>
              <a:gd name="csY4911" fmla="*/ 2004107 h 6858000"/>
              <a:gd name="csX4912" fmla="*/ 8547064 w 12192000"/>
              <a:gd name="csY4912" fmla="*/ 2038927 h 6858000"/>
              <a:gd name="csX4913" fmla="*/ 8581404 w 12192000"/>
              <a:gd name="csY4913" fmla="*/ 2004107 h 6858000"/>
              <a:gd name="csX4914" fmla="*/ 8547064 w 12192000"/>
              <a:gd name="csY4914" fmla="*/ 1969286 h 6858000"/>
              <a:gd name="csX4915" fmla="*/ 8630805 w 12192000"/>
              <a:gd name="csY4915" fmla="*/ 1969286 h 6858000"/>
              <a:gd name="csX4916" fmla="*/ 8596452 w 12192000"/>
              <a:gd name="csY4916" fmla="*/ 2004107 h 6858000"/>
              <a:gd name="csX4917" fmla="*/ 8630805 w 12192000"/>
              <a:gd name="csY4917" fmla="*/ 2038927 h 6858000"/>
              <a:gd name="csX4918" fmla="*/ 8665145 w 12192000"/>
              <a:gd name="csY4918" fmla="*/ 2004107 h 6858000"/>
              <a:gd name="csX4919" fmla="*/ 8630805 w 12192000"/>
              <a:gd name="csY4919" fmla="*/ 1969286 h 6858000"/>
              <a:gd name="csX4920" fmla="*/ 8714547 w 12192000"/>
              <a:gd name="csY4920" fmla="*/ 1969286 h 6858000"/>
              <a:gd name="csX4921" fmla="*/ 8680194 w 12192000"/>
              <a:gd name="csY4921" fmla="*/ 2004107 h 6858000"/>
              <a:gd name="csX4922" fmla="*/ 8714547 w 12192000"/>
              <a:gd name="csY4922" fmla="*/ 2038927 h 6858000"/>
              <a:gd name="csX4923" fmla="*/ 8748888 w 12192000"/>
              <a:gd name="csY4923" fmla="*/ 2004107 h 6858000"/>
              <a:gd name="csX4924" fmla="*/ 8714547 w 12192000"/>
              <a:gd name="csY4924" fmla="*/ 1969286 h 6858000"/>
              <a:gd name="csX4925" fmla="*/ 8798289 w 12192000"/>
              <a:gd name="csY4925" fmla="*/ 1969286 h 6858000"/>
              <a:gd name="csX4926" fmla="*/ 8763936 w 12192000"/>
              <a:gd name="csY4926" fmla="*/ 2004107 h 6858000"/>
              <a:gd name="csX4927" fmla="*/ 8798289 w 12192000"/>
              <a:gd name="csY4927" fmla="*/ 2038927 h 6858000"/>
              <a:gd name="csX4928" fmla="*/ 8832629 w 12192000"/>
              <a:gd name="csY4928" fmla="*/ 2004107 h 6858000"/>
              <a:gd name="csX4929" fmla="*/ 8798289 w 12192000"/>
              <a:gd name="csY4929" fmla="*/ 1969286 h 6858000"/>
              <a:gd name="csX4930" fmla="*/ 8882030 w 12192000"/>
              <a:gd name="csY4930" fmla="*/ 1969286 h 6858000"/>
              <a:gd name="csX4931" fmla="*/ 8847677 w 12192000"/>
              <a:gd name="csY4931" fmla="*/ 2004107 h 6858000"/>
              <a:gd name="csX4932" fmla="*/ 8882030 w 12192000"/>
              <a:gd name="csY4932" fmla="*/ 2038927 h 6858000"/>
              <a:gd name="csX4933" fmla="*/ 8916370 w 12192000"/>
              <a:gd name="csY4933" fmla="*/ 2004107 h 6858000"/>
              <a:gd name="csX4934" fmla="*/ 8882030 w 12192000"/>
              <a:gd name="csY4934" fmla="*/ 1969286 h 6858000"/>
              <a:gd name="csX4935" fmla="*/ 8965772 w 12192000"/>
              <a:gd name="csY4935" fmla="*/ 1969286 h 6858000"/>
              <a:gd name="csX4936" fmla="*/ 8931419 w 12192000"/>
              <a:gd name="csY4936" fmla="*/ 2004107 h 6858000"/>
              <a:gd name="csX4937" fmla="*/ 8965772 w 12192000"/>
              <a:gd name="csY4937" fmla="*/ 2038927 h 6858000"/>
              <a:gd name="csX4938" fmla="*/ 9000112 w 12192000"/>
              <a:gd name="csY4938" fmla="*/ 2004107 h 6858000"/>
              <a:gd name="csX4939" fmla="*/ 8965772 w 12192000"/>
              <a:gd name="csY4939" fmla="*/ 1969286 h 6858000"/>
              <a:gd name="csX4940" fmla="*/ 9049513 w 12192000"/>
              <a:gd name="csY4940" fmla="*/ 1969286 h 6858000"/>
              <a:gd name="csX4941" fmla="*/ 9015160 w 12192000"/>
              <a:gd name="csY4941" fmla="*/ 2004107 h 6858000"/>
              <a:gd name="csX4942" fmla="*/ 9049513 w 12192000"/>
              <a:gd name="csY4942" fmla="*/ 2038927 h 6858000"/>
              <a:gd name="csX4943" fmla="*/ 9083854 w 12192000"/>
              <a:gd name="csY4943" fmla="*/ 2004107 h 6858000"/>
              <a:gd name="csX4944" fmla="*/ 9049513 w 12192000"/>
              <a:gd name="csY4944" fmla="*/ 1969286 h 6858000"/>
              <a:gd name="csX4945" fmla="*/ 9133256 w 12192000"/>
              <a:gd name="csY4945" fmla="*/ 1969286 h 6858000"/>
              <a:gd name="csX4946" fmla="*/ 9098903 w 12192000"/>
              <a:gd name="csY4946" fmla="*/ 2004107 h 6858000"/>
              <a:gd name="csX4947" fmla="*/ 9133256 w 12192000"/>
              <a:gd name="csY4947" fmla="*/ 2038927 h 6858000"/>
              <a:gd name="csX4948" fmla="*/ 9167596 w 12192000"/>
              <a:gd name="csY4948" fmla="*/ 2004107 h 6858000"/>
              <a:gd name="csX4949" fmla="*/ 9133256 w 12192000"/>
              <a:gd name="csY4949" fmla="*/ 1969286 h 6858000"/>
              <a:gd name="csX4950" fmla="*/ 9216997 w 12192000"/>
              <a:gd name="csY4950" fmla="*/ 1969286 h 6858000"/>
              <a:gd name="csX4951" fmla="*/ 9182644 w 12192000"/>
              <a:gd name="csY4951" fmla="*/ 2004107 h 6858000"/>
              <a:gd name="csX4952" fmla="*/ 9216997 w 12192000"/>
              <a:gd name="csY4952" fmla="*/ 2038927 h 6858000"/>
              <a:gd name="csX4953" fmla="*/ 9251337 w 12192000"/>
              <a:gd name="csY4953" fmla="*/ 2004107 h 6858000"/>
              <a:gd name="csX4954" fmla="*/ 9216997 w 12192000"/>
              <a:gd name="csY4954" fmla="*/ 1969286 h 6858000"/>
              <a:gd name="csX4955" fmla="*/ 9300738 w 12192000"/>
              <a:gd name="csY4955" fmla="*/ 1969286 h 6858000"/>
              <a:gd name="csX4956" fmla="*/ 9266385 w 12192000"/>
              <a:gd name="csY4956" fmla="*/ 2004107 h 6858000"/>
              <a:gd name="csX4957" fmla="*/ 9300738 w 12192000"/>
              <a:gd name="csY4957" fmla="*/ 2038927 h 6858000"/>
              <a:gd name="csX4958" fmla="*/ 9335078 w 12192000"/>
              <a:gd name="csY4958" fmla="*/ 2004107 h 6858000"/>
              <a:gd name="csX4959" fmla="*/ 9300738 w 12192000"/>
              <a:gd name="csY4959" fmla="*/ 1969286 h 6858000"/>
              <a:gd name="csX4960" fmla="*/ 9384480 w 12192000"/>
              <a:gd name="csY4960" fmla="*/ 1969286 h 6858000"/>
              <a:gd name="csX4961" fmla="*/ 9350127 w 12192000"/>
              <a:gd name="csY4961" fmla="*/ 2004107 h 6858000"/>
              <a:gd name="csX4962" fmla="*/ 9384480 w 12192000"/>
              <a:gd name="csY4962" fmla="*/ 2038927 h 6858000"/>
              <a:gd name="csX4963" fmla="*/ 9418821 w 12192000"/>
              <a:gd name="csY4963" fmla="*/ 2004107 h 6858000"/>
              <a:gd name="csX4964" fmla="*/ 9384480 w 12192000"/>
              <a:gd name="csY4964" fmla="*/ 1969286 h 6858000"/>
              <a:gd name="csX4965" fmla="*/ 9468222 w 12192000"/>
              <a:gd name="csY4965" fmla="*/ 1969286 h 6858000"/>
              <a:gd name="csX4966" fmla="*/ 9433869 w 12192000"/>
              <a:gd name="csY4966" fmla="*/ 2004107 h 6858000"/>
              <a:gd name="csX4967" fmla="*/ 9468222 w 12192000"/>
              <a:gd name="csY4967" fmla="*/ 2038927 h 6858000"/>
              <a:gd name="csX4968" fmla="*/ 9502562 w 12192000"/>
              <a:gd name="csY4968" fmla="*/ 2004107 h 6858000"/>
              <a:gd name="csX4969" fmla="*/ 9468222 w 12192000"/>
              <a:gd name="csY4969" fmla="*/ 1969286 h 6858000"/>
              <a:gd name="csX4970" fmla="*/ 9551963 w 12192000"/>
              <a:gd name="csY4970" fmla="*/ 1969286 h 6858000"/>
              <a:gd name="csX4971" fmla="*/ 9517610 w 12192000"/>
              <a:gd name="csY4971" fmla="*/ 2004107 h 6858000"/>
              <a:gd name="csX4972" fmla="*/ 9551963 w 12192000"/>
              <a:gd name="csY4972" fmla="*/ 2038927 h 6858000"/>
              <a:gd name="csX4973" fmla="*/ 9586303 w 12192000"/>
              <a:gd name="csY4973" fmla="*/ 2004107 h 6858000"/>
              <a:gd name="csX4974" fmla="*/ 9551963 w 12192000"/>
              <a:gd name="csY4974" fmla="*/ 1969286 h 6858000"/>
              <a:gd name="csX4975" fmla="*/ 9635705 w 12192000"/>
              <a:gd name="csY4975" fmla="*/ 1969286 h 6858000"/>
              <a:gd name="csX4976" fmla="*/ 9601352 w 12192000"/>
              <a:gd name="csY4976" fmla="*/ 2004107 h 6858000"/>
              <a:gd name="csX4977" fmla="*/ 9635705 w 12192000"/>
              <a:gd name="csY4977" fmla="*/ 2038927 h 6858000"/>
              <a:gd name="csX4978" fmla="*/ 9670045 w 12192000"/>
              <a:gd name="csY4978" fmla="*/ 2004107 h 6858000"/>
              <a:gd name="csX4979" fmla="*/ 9635705 w 12192000"/>
              <a:gd name="csY4979" fmla="*/ 1969286 h 6858000"/>
              <a:gd name="csX4980" fmla="*/ 10305638 w 12192000"/>
              <a:gd name="csY4980" fmla="*/ 1969286 h 6858000"/>
              <a:gd name="csX4981" fmla="*/ 10271285 w 12192000"/>
              <a:gd name="csY4981" fmla="*/ 2004107 h 6858000"/>
              <a:gd name="csX4982" fmla="*/ 10305638 w 12192000"/>
              <a:gd name="csY4982" fmla="*/ 2038927 h 6858000"/>
              <a:gd name="csX4983" fmla="*/ 10339978 w 12192000"/>
              <a:gd name="csY4983" fmla="*/ 2004107 h 6858000"/>
              <a:gd name="csX4984" fmla="*/ 10305638 w 12192000"/>
              <a:gd name="csY4984" fmla="*/ 1969286 h 6858000"/>
              <a:gd name="csX4985" fmla="*/ 2266416 w 12192000"/>
              <a:gd name="csY4985" fmla="*/ 2054150 h 6858000"/>
              <a:gd name="csX4986" fmla="*/ 2232069 w 12192000"/>
              <a:gd name="csY4986" fmla="*/ 2088971 h 6858000"/>
              <a:gd name="csX4987" fmla="*/ 2266416 w 12192000"/>
              <a:gd name="csY4987" fmla="*/ 2123791 h 6858000"/>
              <a:gd name="csX4988" fmla="*/ 2300762 w 12192000"/>
              <a:gd name="csY4988" fmla="*/ 2088971 h 6858000"/>
              <a:gd name="csX4989" fmla="*/ 2266416 w 12192000"/>
              <a:gd name="csY4989" fmla="*/ 2054150 h 6858000"/>
              <a:gd name="csX4990" fmla="*/ 2350151 w 12192000"/>
              <a:gd name="csY4990" fmla="*/ 2054150 h 6858000"/>
              <a:gd name="csX4991" fmla="*/ 2315804 w 12192000"/>
              <a:gd name="csY4991" fmla="*/ 2088971 h 6858000"/>
              <a:gd name="csX4992" fmla="*/ 2350151 w 12192000"/>
              <a:gd name="csY4992" fmla="*/ 2123791 h 6858000"/>
              <a:gd name="csX4993" fmla="*/ 2384498 w 12192000"/>
              <a:gd name="csY4993" fmla="*/ 2088971 h 6858000"/>
              <a:gd name="csX4994" fmla="*/ 2350151 w 12192000"/>
              <a:gd name="csY4994" fmla="*/ 2054150 h 6858000"/>
              <a:gd name="csX4995" fmla="*/ 2433893 w 12192000"/>
              <a:gd name="csY4995" fmla="*/ 2054150 h 6858000"/>
              <a:gd name="csX4996" fmla="*/ 2399546 w 12192000"/>
              <a:gd name="csY4996" fmla="*/ 2088971 h 6858000"/>
              <a:gd name="csX4997" fmla="*/ 2433893 w 12192000"/>
              <a:gd name="csY4997" fmla="*/ 2123791 h 6858000"/>
              <a:gd name="csX4998" fmla="*/ 2468240 w 12192000"/>
              <a:gd name="csY4998" fmla="*/ 2088971 h 6858000"/>
              <a:gd name="csX4999" fmla="*/ 2433893 w 12192000"/>
              <a:gd name="csY4999" fmla="*/ 2054150 h 6858000"/>
              <a:gd name="csX5000" fmla="*/ 2517634 w 12192000"/>
              <a:gd name="csY5000" fmla="*/ 2054150 h 6858000"/>
              <a:gd name="csX5001" fmla="*/ 2483288 w 12192000"/>
              <a:gd name="csY5001" fmla="*/ 2088971 h 6858000"/>
              <a:gd name="csX5002" fmla="*/ 2517634 w 12192000"/>
              <a:gd name="csY5002" fmla="*/ 2123791 h 6858000"/>
              <a:gd name="csX5003" fmla="*/ 2551981 w 12192000"/>
              <a:gd name="csY5003" fmla="*/ 2088971 h 6858000"/>
              <a:gd name="csX5004" fmla="*/ 2517634 w 12192000"/>
              <a:gd name="csY5004" fmla="*/ 2054150 h 6858000"/>
              <a:gd name="csX5005" fmla="*/ 2601376 w 12192000"/>
              <a:gd name="csY5005" fmla="*/ 2054150 h 6858000"/>
              <a:gd name="csX5006" fmla="*/ 2567029 w 12192000"/>
              <a:gd name="csY5006" fmla="*/ 2088971 h 6858000"/>
              <a:gd name="csX5007" fmla="*/ 2601376 w 12192000"/>
              <a:gd name="csY5007" fmla="*/ 2123791 h 6858000"/>
              <a:gd name="csX5008" fmla="*/ 2635722 w 12192000"/>
              <a:gd name="csY5008" fmla="*/ 2088971 h 6858000"/>
              <a:gd name="csX5009" fmla="*/ 2601376 w 12192000"/>
              <a:gd name="csY5009" fmla="*/ 2054150 h 6858000"/>
              <a:gd name="csX5010" fmla="*/ 2685118 w 12192000"/>
              <a:gd name="csY5010" fmla="*/ 2054150 h 6858000"/>
              <a:gd name="csX5011" fmla="*/ 2650771 w 12192000"/>
              <a:gd name="csY5011" fmla="*/ 2088971 h 6858000"/>
              <a:gd name="csX5012" fmla="*/ 2685118 w 12192000"/>
              <a:gd name="csY5012" fmla="*/ 2123791 h 6858000"/>
              <a:gd name="csX5013" fmla="*/ 2719465 w 12192000"/>
              <a:gd name="csY5013" fmla="*/ 2088971 h 6858000"/>
              <a:gd name="csX5014" fmla="*/ 2685118 w 12192000"/>
              <a:gd name="csY5014" fmla="*/ 2054150 h 6858000"/>
              <a:gd name="csX5015" fmla="*/ 2768859 w 12192000"/>
              <a:gd name="csY5015" fmla="*/ 2054150 h 6858000"/>
              <a:gd name="csX5016" fmla="*/ 2734512 w 12192000"/>
              <a:gd name="csY5016" fmla="*/ 2088971 h 6858000"/>
              <a:gd name="csX5017" fmla="*/ 2768859 w 12192000"/>
              <a:gd name="csY5017" fmla="*/ 2123791 h 6858000"/>
              <a:gd name="csX5018" fmla="*/ 2803206 w 12192000"/>
              <a:gd name="csY5018" fmla="*/ 2088971 h 6858000"/>
              <a:gd name="csX5019" fmla="*/ 2768859 w 12192000"/>
              <a:gd name="csY5019" fmla="*/ 2054150 h 6858000"/>
              <a:gd name="csX5020" fmla="*/ 2852600 w 12192000"/>
              <a:gd name="csY5020" fmla="*/ 2054150 h 6858000"/>
              <a:gd name="csX5021" fmla="*/ 2818254 w 12192000"/>
              <a:gd name="csY5021" fmla="*/ 2088971 h 6858000"/>
              <a:gd name="csX5022" fmla="*/ 2852600 w 12192000"/>
              <a:gd name="csY5022" fmla="*/ 2123791 h 6858000"/>
              <a:gd name="csX5023" fmla="*/ 2886947 w 12192000"/>
              <a:gd name="csY5023" fmla="*/ 2088971 h 6858000"/>
              <a:gd name="csX5024" fmla="*/ 2852600 w 12192000"/>
              <a:gd name="csY5024" fmla="*/ 2054150 h 6858000"/>
              <a:gd name="csX5025" fmla="*/ 2936343 w 12192000"/>
              <a:gd name="csY5025" fmla="*/ 2054150 h 6858000"/>
              <a:gd name="csX5026" fmla="*/ 2901996 w 12192000"/>
              <a:gd name="csY5026" fmla="*/ 2088971 h 6858000"/>
              <a:gd name="csX5027" fmla="*/ 2936343 w 12192000"/>
              <a:gd name="csY5027" fmla="*/ 2123791 h 6858000"/>
              <a:gd name="csX5028" fmla="*/ 2970689 w 12192000"/>
              <a:gd name="csY5028" fmla="*/ 2088971 h 6858000"/>
              <a:gd name="csX5029" fmla="*/ 2936343 w 12192000"/>
              <a:gd name="csY5029" fmla="*/ 2054150 h 6858000"/>
              <a:gd name="csX5030" fmla="*/ 3020084 w 12192000"/>
              <a:gd name="csY5030" fmla="*/ 2054150 h 6858000"/>
              <a:gd name="csX5031" fmla="*/ 2985737 w 12192000"/>
              <a:gd name="csY5031" fmla="*/ 2088971 h 6858000"/>
              <a:gd name="csX5032" fmla="*/ 3020084 w 12192000"/>
              <a:gd name="csY5032" fmla="*/ 2123791 h 6858000"/>
              <a:gd name="csX5033" fmla="*/ 3054431 w 12192000"/>
              <a:gd name="csY5033" fmla="*/ 2088971 h 6858000"/>
              <a:gd name="csX5034" fmla="*/ 3020084 w 12192000"/>
              <a:gd name="csY5034" fmla="*/ 2054150 h 6858000"/>
              <a:gd name="csX5035" fmla="*/ 3103826 w 12192000"/>
              <a:gd name="csY5035" fmla="*/ 2054150 h 6858000"/>
              <a:gd name="csX5036" fmla="*/ 3069479 w 12192000"/>
              <a:gd name="csY5036" fmla="*/ 2088971 h 6858000"/>
              <a:gd name="csX5037" fmla="*/ 3103826 w 12192000"/>
              <a:gd name="csY5037" fmla="*/ 2123791 h 6858000"/>
              <a:gd name="csX5038" fmla="*/ 3138173 w 12192000"/>
              <a:gd name="csY5038" fmla="*/ 2088971 h 6858000"/>
              <a:gd name="csX5039" fmla="*/ 3103826 w 12192000"/>
              <a:gd name="csY5039" fmla="*/ 2054150 h 6858000"/>
              <a:gd name="csX5040" fmla="*/ 3271309 w 12192000"/>
              <a:gd name="csY5040" fmla="*/ 2054150 h 6858000"/>
              <a:gd name="csX5041" fmla="*/ 3236962 w 12192000"/>
              <a:gd name="csY5041" fmla="*/ 2088971 h 6858000"/>
              <a:gd name="csX5042" fmla="*/ 3271309 w 12192000"/>
              <a:gd name="csY5042" fmla="*/ 2123791 h 6858000"/>
              <a:gd name="csX5043" fmla="*/ 3305655 w 12192000"/>
              <a:gd name="csY5043" fmla="*/ 2088971 h 6858000"/>
              <a:gd name="csX5044" fmla="*/ 3271309 w 12192000"/>
              <a:gd name="csY5044" fmla="*/ 2054150 h 6858000"/>
              <a:gd name="csX5045" fmla="*/ 3773759 w 12192000"/>
              <a:gd name="csY5045" fmla="*/ 2054150 h 6858000"/>
              <a:gd name="csX5046" fmla="*/ 3739412 w 12192000"/>
              <a:gd name="csY5046" fmla="*/ 2088971 h 6858000"/>
              <a:gd name="csX5047" fmla="*/ 3773759 w 12192000"/>
              <a:gd name="csY5047" fmla="*/ 2123791 h 6858000"/>
              <a:gd name="csX5048" fmla="*/ 3808106 w 12192000"/>
              <a:gd name="csY5048" fmla="*/ 2088971 h 6858000"/>
              <a:gd name="csX5049" fmla="*/ 3773759 w 12192000"/>
              <a:gd name="csY5049" fmla="*/ 2054150 h 6858000"/>
              <a:gd name="csX5050" fmla="*/ 3857500 w 12192000"/>
              <a:gd name="csY5050" fmla="*/ 2054150 h 6858000"/>
              <a:gd name="csX5051" fmla="*/ 3823154 w 12192000"/>
              <a:gd name="csY5051" fmla="*/ 2088971 h 6858000"/>
              <a:gd name="csX5052" fmla="*/ 3857500 w 12192000"/>
              <a:gd name="csY5052" fmla="*/ 2123791 h 6858000"/>
              <a:gd name="csX5053" fmla="*/ 3891847 w 12192000"/>
              <a:gd name="csY5053" fmla="*/ 2088971 h 6858000"/>
              <a:gd name="csX5054" fmla="*/ 3857500 w 12192000"/>
              <a:gd name="csY5054" fmla="*/ 2054150 h 6858000"/>
              <a:gd name="csX5055" fmla="*/ 3941242 w 12192000"/>
              <a:gd name="csY5055" fmla="*/ 2054150 h 6858000"/>
              <a:gd name="csX5056" fmla="*/ 3906895 w 12192000"/>
              <a:gd name="csY5056" fmla="*/ 2088971 h 6858000"/>
              <a:gd name="csX5057" fmla="*/ 3941242 w 12192000"/>
              <a:gd name="csY5057" fmla="*/ 2123791 h 6858000"/>
              <a:gd name="csX5058" fmla="*/ 3975588 w 12192000"/>
              <a:gd name="csY5058" fmla="*/ 2088971 h 6858000"/>
              <a:gd name="csX5059" fmla="*/ 3941242 w 12192000"/>
              <a:gd name="csY5059" fmla="*/ 2054150 h 6858000"/>
              <a:gd name="csX5060" fmla="*/ 4108732 w 12192000"/>
              <a:gd name="csY5060" fmla="*/ 2054150 h 6858000"/>
              <a:gd name="csX5061" fmla="*/ 4074386 w 12192000"/>
              <a:gd name="csY5061" fmla="*/ 2088971 h 6858000"/>
              <a:gd name="csX5062" fmla="*/ 4108732 w 12192000"/>
              <a:gd name="csY5062" fmla="*/ 2123791 h 6858000"/>
              <a:gd name="csX5063" fmla="*/ 4143079 w 12192000"/>
              <a:gd name="csY5063" fmla="*/ 2088971 h 6858000"/>
              <a:gd name="csX5064" fmla="*/ 4108732 w 12192000"/>
              <a:gd name="csY5064" fmla="*/ 2054150 h 6858000"/>
              <a:gd name="csX5065" fmla="*/ 6034789 w 12192000"/>
              <a:gd name="csY5065" fmla="*/ 2054150 h 6858000"/>
              <a:gd name="csX5066" fmla="*/ 6000436 w 12192000"/>
              <a:gd name="csY5066" fmla="*/ 2088971 h 6858000"/>
              <a:gd name="csX5067" fmla="*/ 6034789 w 12192000"/>
              <a:gd name="csY5067" fmla="*/ 2123791 h 6858000"/>
              <a:gd name="csX5068" fmla="*/ 6069130 w 12192000"/>
              <a:gd name="csY5068" fmla="*/ 2088971 h 6858000"/>
              <a:gd name="csX5069" fmla="*/ 6034789 w 12192000"/>
              <a:gd name="csY5069" fmla="*/ 2054150 h 6858000"/>
              <a:gd name="csX5070" fmla="*/ 6118531 w 12192000"/>
              <a:gd name="csY5070" fmla="*/ 2054150 h 6858000"/>
              <a:gd name="csX5071" fmla="*/ 6084177 w 12192000"/>
              <a:gd name="csY5071" fmla="*/ 2088971 h 6858000"/>
              <a:gd name="csX5072" fmla="*/ 6118531 w 12192000"/>
              <a:gd name="csY5072" fmla="*/ 2123791 h 6858000"/>
              <a:gd name="csX5073" fmla="*/ 6152871 w 12192000"/>
              <a:gd name="csY5073" fmla="*/ 2088971 h 6858000"/>
              <a:gd name="csX5074" fmla="*/ 6118531 w 12192000"/>
              <a:gd name="csY5074" fmla="*/ 2054150 h 6858000"/>
              <a:gd name="csX5075" fmla="*/ 6202273 w 12192000"/>
              <a:gd name="csY5075" fmla="*/ 2054150 h 6858000"/>
              <a:gd name="csX5076" fmla="*/ 6167920 w 12192000"/>
              <a:gd name="csY5076" fmla="*/ 2088971 h 6858000"/>
              <a:gd name="csX5077" fmla="*/ 6202273 w 12192000"/>
              <a:gd name="csY5077" fmla="*/ 2123791 h 6858000"/>
              <a:gd name="csX5078" fmla="*/ 6236613 w 12192000"/>
              <a:gd name="csY5078" fmla="*/ 2088971 h 6858000"/>
              <a:gd name="csX5079" fmla="*/ 6202273 w 12192000"/>
              <a:gd name="csY5079" fmla="*/ 2054150 h 6858000"/>
              <a:gd name="csX5080" fmla="*/ 6453498 w 12192000"/>
              <a:gd name="csY5080" fmla="*/ 2054150 h 6858000"/>
              <a:gd name="csX5081" fmla="*/ 6419144 w 12192000"/>
              <a:gd name="csY5081" fmla="*/ 2088971 h 6858000"/>
              <a:gd name="csX5082" fmla="*/ 6453498 w 12192000"/>
              <a:gd name="csY5082" fmla="*/ 2123791 h 6858000"/>
              <a:gd name="csX5083" fmla="*/ 6487838 w 12192000"/>
              <a:gd name="csY5083" fmla="*/ 2088971 h 6858000"/>
              <a:gd name="csX5084" fmla="*/ 6453498 w 12192000"/>
              <a:gd name="csY5084" fmla="*/ 2054150 h 6858000"/>
              <a:gd name="csX5085" fmla="*/ 6537239 w 12192000"/>
              <a:gd name="csY5085" fmla="*/ 2054150 h 6858000"/>
              <a:gd name="csX5086" fmla="*/ 6502886 w 12192000"/>
              <a:gd name="csY5086" fmla="*/ 2088971 h 6858000"/>
              <a:gd name="csX5087" fmla="*/ 6537239 w 12192000"/>
              <a:gd name="csY5087" fmla="*/ 2123791 h 6858000"/>
              <a:gd name="csX5088" fmla="*/ 6571579 w 12192000"/>
              <a:gd name="csY5088" fmla="*/ 2088971 h 6858000"/>
              <a:gd name="csX5089" fmla="*/ 6537239 w 12192000"/>
              <a:gd name="csY5089" fmla="*/ 2054150 h 6858000"/>
              <a:gd name="csX5090" fmla="*/ 6620980 w 12192000"/>
              <a:gd name="csY5090" fmla="*/ 2054150 h 6858000"/>
              <a:gd name="csX5091" fmla="*/ 6586627 w 12192000"/>
              <a:gd name="csY5091" fmla="*/ 2088971 h 6858000"/>
              <a:gd name="csX5092" fmla="*/ 6620980 w 12192000"/>
              <a:gd name="csY5092" fmla="*/ 2123791 h 6858000"/>
              <a:gd name="csX5093" fmla="*/ 6655320 w 12192000"/>
              <a:gd name="csY5093" fmla="*/ 2088971 h 6858000"/>
              <a:gd name="csX5094" fmla="*/ 6620980 w 12192000"/>
              <a:gd name="csY5094" fmla="*/ 2054150 h 6858000"/>
              <a:gd name="csX5095" fmla="*/ 6788464 w 12192000"/>
              <a:gd name="csY5095" fmla="*/ 2054150 h 6858000"/>
              <a:gd name="csX5096" fmla="*/ 6754110 w 12192000"/>
              <a:gd name="csY5096" fmla="*/ 2088971 h 6858000"/>
              <a:gd name="csX5097" fmla="*/ 6788464 w 12192000"/>
              <a:gd name="csY5097" fmla="*/ 2123791 h 6858000"/>
              <a:gd name="csX5098" fmla="*/ 6822804 w 12192000"/>
              <a:gd name="csY5098" fmla="*/ 2088971 h 6858000"/>
              <a:gd name="csX5099" fmla="*/ 6788464 w 12192000"/>
              <a:gd name="csY5099" fmla="*/ 2054150 h 6858000"/>
              <a:gd name="csX5100" fmla="*/ 6872206 w 12192000"/>
              <a:gd name="csY5100" fmla="*/ 2054150 h 6858000"/>
              <a:gd name="csX5101" fmla="*/ 6837853 w 12192000"/>
              <a:gd name="csY5101" fmla="*/ 2088971 h 6858000"/>
              <a:gd name="csX5102" fmla="*/ 6872206 w 12192000"/>
              <a:gd name="csY5102" fmla="*/ 2123791 h 6858000"/>
              <a:gd name="csX5103" fmla="*/ 6906546 w 12192000"/>
              <a:gd name="csY5103" fmla="*/ 2088971 h 6858000"/>
              <a:gd name="csX5104" fmla="*/ 6872206 w 12192000"/>
              <a:gd name="csY5104" fmla="*/ 2054150 h 6858000"/>
              <a:gd name="csX5105" fmla="*/ 6955947 w 12192000"/>
              <a:gd name="csY5105" fmla="*/ 2054150 h 6858000"/>
              <a:gd name="csX5106" fmla="*/ 6921594 w 12192000"/>
              <a:gd name="csY5106" fmla="*/ 2088971 h 6858000"/>
              <a:gd name="csX5107" fmla="*/ 6955947 w 12192000"/>
              <a:gd name="csY5107" fmla="*/ 2123791 h 6858000"/>
              <a:gd name="csX5108" fmla="*/ 6990287 w 12192000"/>
              <a:gd name="csY5108" fmla="*/ 2088971 h 6858000"/>
              <a:gd name="csX5109" fmla="*/ 6955947 w 12192000"/>
              <a:gd name="csY5109" fmla="*/ 2054150 h 6858000"/>
              <a:gd name="csX5110" fmla="*/ 7039688 w 12192000"/>
              <a:gd name="csY5110" fmla="*/ 2054150 h 6858000"/>
              <a:gd name="csX5111" fmla="*/ 7005335 w 12192000"/>
              <a:gd name="csY5111" fmla="*/ 2088971 h 6858000"/>
              <a:gd name="csX5112" fmla="*/ 7039688 w 12192000"/>
              <a:gd name="csY5112" fmla="*/ 2123791 h 6858000"/>
              <a:gd name="csX5113" fmla="*/ 7074029 w 12192000"/>
              <a:gd name="csY5113" fmla="*/ 2088971 h 6858000"/>
              <a:gd name="csX5114" fmla="*/ 7039688 w 12192000"/>
              <a:gd name="csY5114" fmla="*/ 2054150 h 6858000"/>
              <a:gd name="csX5115" fmla="*/ 7123456 w 12192000"/>
              <a:gd name="csY5115" fmla="*/ 2054150 h 6858000"/>
              <a:gd name="csX5116" fmla="*/ 7089103 w 12192000"/>
              <a:gd name="csY5116" fmla="*/ 2088971 h 6858000"/>
              <a:gd name="csX5117" fmla="*/ 7123456 w 12192000"/>
              <a:gd name="csY5117" fmla="*/ 2123791 h 6858000"/>
              <a:gd name="csX5118" fmla="*/ 7157796 w 12192000"/>
              <a:gd name="csY5118" fmla="*/ 2088971 h 6858000"/>
              <a:gd name="csX5119" fmla="*/ 7123456 w 12192000"/>
              <a:gd name="csY5119" fmla="*/ 2054150 h 6858000"/>
              <a:gd name="csX5120" fmla="*/ 7207198 w 12192000"/>
              <a:gd name="csY5120" fmla="*/ 2054150 h 6858000"/>
              <a:gd name="csX5121" fmla="*/ 7172845 w 12192000"/>
              <a:gd name="csY5121" fmla="*/ 2088971 h 6858000"/>
              <a:gd name="csX5122" fmla="*/ 7207198 w 12192000"/>
              <a:gd name="csY5122" fmla="*/ 2123791 h 6858000"/>
              <a:gd name="csX5123" fmla="*/ 7241538 w 12192000"/>
              <a:gd name="csY5123" fmla="*/ 2088971 h 6858000"/>
              <a:gd name="csX5124" fmla="*/ 7207198 w 12192000"/>
              <a:gd name="csY5124" fmla="*/ 2054150 h 6858000"/>
              <a:gd name="csX5125" fmla="*/ 7290939 w 12192000"/>
              <a:gd name="csY5125" fmla="*/ 2054150 h 6858000"/>
              <a:gd name="csX5126" fmla="*/ 7256586 w 12192000"/>
              <a:gd name="csY5126" fmla="*/ 2088971 h 6858000"/>
              <a:gd name="csX5127" fmla="*/ 7290939 w 12192000"/>
              <a:gd name="csY5127" fmla="*/ 2123791 h 6858000"/>
              <a:gd name="csX5128" fmla="*/ 7325279 w 12192000"/>
              <a:gd name="csY5128" fmla="*/ 2088971 h 6858000"/>
              <a:gd name="csX5129" fmla="*/ 7290939 w 12192000"/>
              <a:gd name="csY5129" fmla="*/ 2054150 h 6858000"/>
              <a:gd name="csX5130" fmla="*/ 7374681 w 12192000"/>
              <a:gd name="csY5130" fmla="*/ 2054150 h 6858000"/>
              <a:gd name="csX5131" fmla="*/ 7340328 w 12192000"/>
              <a:gd name="csY5131" fmla="*/ 2088971 h 6858000"/>
              <a:gd name="csX5132" fmla="*/ 7374681 w 12192000"/>
              <a:gd name="csY5132" fmla="*/ 2123791 h 6858000"/>
              <a:gd name="csX5133" fmla="*/ 7409022 w 12192000"/>
              <a:gd name="csY5133" fmla="*/ 2088971 h 6858000"/>
              <a:gd name="csX5134" fmla="*/ 7374681 w 12192000"/>
              <a:gd name="csY5134" fmla="*/ 2054150 h 6858000"/>
              <a:gd name="csX5135" fmla="*/ 7458423 w 12192000"/>
              <a:gd name="csY5135" fmla="*/ 2054150 h 6858000"/>
              <a:gd name="csX5136" fmla="*/ 7424070 w 12192000"/>
              <a:gd name="csY5136" fmla="*/ 2088971 h 6858000"/>
              <a:gd name="csX5137" fmla="*/ 7458423 w 12192000"/>
              <a:gd name="csY5137" fmla="*/ 2123791 h 6858000"/>
              <a:gd name="csX5138" fmla="*/ 7492763 w 12192000"/>
              <a:gd name="csY5138" fmla="*/ 2088971 h 6858000"/>
              <a:gd name="csX5139" fmla="*/ 7458423 w 12192000"/>
              <a:gd name="csY5139" fmla="*/ 2054150 h 6858000"/>
              <a:gd name="csX5140" fmla="*/ 7542164 w 12192000"/>
              <a:gd name="csY5140" fmla="*/ 2054150 h 6858000"/>
              <a:gd name="csX5141" fmla="*/ 7507811 w 12192000"/>
              <a:gd name="csY5141" fmla="*/ 2088971 h 6858000"/>
              <a:gd name="csX5142" fmla="*/ 7542164 w 12192000"/>
              <a:gd name="csY5142" fmla="*/ 2123791 h 6858000"/>
              <a:gd name="csX5143" fmla="*/ 7576504 w 12192000"/>
              <a:gd name="csY5143" fmla="*/ 2088971 h 6858000"/>
              <a:gd name="csX5144" fmla="*/ 7542164 w 12192000"/>
              <a:gd name="csY5144" fmla="*/ 2054150 h 6858000"/>
              <a:gd name="csX5145" fmla="*/ 7625906 w 12192000"/>
              <a:gd name="csY5145" fmla="*/ 2054150 h 6858000"/>
              <a:gd name="csX5146" fmla="*/ 7591553 w 12192000"/>
              <a:gd name="csY5146" fmla="*/ 2088971 h 6858000"/>
              <a:gd name="csX5147" fmla="*/ 7625906 w 12192000"/>
              <a:gd name="csY5147" fmla="*/ 2123791 h 6858000"/>
              <a:gd name="csX5148" fmla="*/ 7660246 w 12192000"/>
              <a:gd name="csY5148" fmla="*/ 2088971 h 6858000"/>
              <a:gd name="csX5149" fmla="*/ 7625906 w 12192000"/>
              <a:gd name="csY5149" fmla="*/ 2054150 h 6858000"/>
              <a:gd name="csX5150" fmla="*/ 7709647 w 12192000"/>
              <a:gd name="csY5150" fmla="*/ 2054150 h 6858000"/>
              <a:gd name="csX5151" fmla="*/ 7675294 w 12192000"/>
              <a:gd name="csY5151" fmla="*/ 2088971 h 6858000"/>
              <a:gd name="csX5152" fmla="*/ 7709647 w 12192000"/>
              <a:gd name="csY5152" fmla="*/ 2123791 h 6858000"/>
              <a:gd name="csX5153" fmla="*/ 7743988 w 12192000"/>
              <a:gd name="csY5153" fmla="*/ 2088971 h 6858000"/>
              <a:gd name="csX5154" fmla="*/ 7709647 w 12192000"/>
              <a:gd name="csY5154" fmla="*/ 2054150 h 6858000"/>
              <a:gd name="csX5155" fmla="*/ 7793389 w 12192000"/>
              <a:gd name="csY5155" fmla="*/ 2054150 h 6858000"/>
              <a:gd name="csX5156" fmla="*/ 7759036 w 12192000"/>
              <a:gd name="csY5156" fmla="*/ 2088971 h 6858000"/>
              <a:gd name="csX5157" fmla="*/ 7793389 w 12192000"/>
              <a:gd name="csY5157" fmla="*/ 2123791 h 6858000"/>
              <a:gd name="csX5158" fmla="*/ 7827729 w 12192000"/>
              <a:gd name="csY5158" fmla="*/ 2088971 h 6858000"/>
              <a:gd name="csX5159" fmla="*/ 7793389 w 12192000"/>
              <a:gd name="csY5159" fmla="*/ 2054150 h 6858000"/>
              <a:gd name="csX5160" fmla="*/ 7877131 w 12192000"/>
              <a:gd name="csY5160" fmla="*/ 2054150 h 6858000"/>
              <a:gd name="csX5161" fmla="*/ 7842778 w 12192000"/>
              <a:gd name="csY5161" fmla="*/ 2088971 h 6858000"/>
              <a:gd name="csX5162" fmla="*/ 7877131 w 12192000"/>
              <a:gd name="csY5162" fmla="*/ 2123791 h 6858000"/>
              <a:gd name="csX5163" fmla="*/ 7911471 w 12192000"/>
              <a:gd name="csY5163" fmla="*/ 2088971 h 6858000"/>
              <a:gd name="csX5164" fmla="*/ 7877131 w 12192000"/>
              <a:gd name="csY5164" fmla="*/ 2054150 h 6858000"/>
              <a:gd name="csX5165" fmla="*/ 7960872 w 12192000"/>
              <a:gd name="csY5165" fmla="*/ 2054150 h 6858000"/>
              <a:gd name="csX5166" fmla="*/ 7926519 w 12192000"/>
              <a:gd name="csY5166" fmla="*/ 2088971 h 6858000"/>
              <a:gd name="csX5167" fmla="*/ 7960872 w 12192000"/>
              <a:gd name="csY5167" fmla="*/ 2123791 h 6858000"/>
              <a:gd name="csX5168" fmla="*/ 7995212 w 12192000"/>
              <a:gd name="csY5168" fmla="*/ 2088971 h 6858000"/>
              <a:gd name="csX5169" fmla="*/ 7960872 w 12192000"/>
              <a:gd name="csY5169" fmla="*/ 2054150 h 6858000"/>
              <a:gd name="csX5170" fmla="*/ 8044614 w 12192000"/>
              <a:gd name="csY5170" fmla="*/ 2054150 h 6858000"/>
              <a:gd name="csX5171" fmla="*/ 8010261 w 12192000"/>
              <a:gd name="csY5171" fmla="*/ 2088971 h 6858000"/>
              <a:gd name="csX5172" fmla="*/ 8044614 w 12192000"/>
              <a:gd name="csY5172" fmla="*/ 2123791 h 6858000"/>
              <a:gd name="csX5173" fmla="*/ 8078955 w 12192000"/>
              <a:gd name="csY5173" fmla="*/ 2088971 h 6858000"/>
              <a:gd name="csX5174" fmla="*/ 8044614 w 12192000"/>
              <a:gd name="csY5174" fmla="*/ 2054150 h 6858000"/>
              <a:gd name="csX5175" fmla="*/ 8128356 w 12192000"/>
              <a:gd name="csY5175" fmla="*/ 2054150 h 6858000"/>
              <a:gd name="csX5176" fmla="*/ 8094003 w 12192000"/>
              <a:gd name="csY5176" fmla="*/ 2088971 h 6858000"/>
              <a:gd name="csX5177" fmla="*/ 8128356 w 12192000"/>
              <a:gd name="csY5177" fmla="*/ 2123791 h 6858000"/>
              <a:gd name="csX5178" fmla="*/ 8162696 w 12192000"/>
              <a:gd name="csY5178" fmla="*/ 2088971 h 6858000"/>
              <a:gd name="csX5179" fmla="*/ 8128356 w 12192000"/>
              <a:gd name="csY5179" fmla="*/ 2054150 h 6858000"/>
              <a:gd name="csX5180" fmla="*/ 8212097 w 12192000"/>
              <a:gd name="csY5180" fmla="*/ 2054150 h 6858000"/>
              <a:gd name="csX5181" fmla="*/ 8177744 w 12192000"/>
              <a:gd name="csY5181" fmla="*/ 2088971 h 6858000"/>
              <a:gd name="csX5182" fmla="*/ 8212097 w 12192000"/>
              <a:gd name="csY5182" fmla="*/ 2123791 h 6858000"/>
              <a:gd name="csX5183" fmla="*/ 8246437 w 12192000"/>
              <a:gd name="csY5183" fmla="*/ 2088971 h 6858000"/>
              <a:gd name="csX5184" fmla="*/ 8212097 w 12192000"/>
              <a:gd name="csY5184" fmla="*/ 2054150 h 6858000"/>
              <a:gd name="csX5185" fmla="*/ 8295839 w 12192000"/>
              <a:gd name="csY5185" fmla="*/ 2054150 h 6858000"/>
              <a:gd name="csX5186" fmla="*/ 8261486 w 12192000"/>
              <a:gd name="csY5186" fmla="*/ 2088971 h 6858000"/>
              <a:gd name="csX5187" fmla="*/ 8295839 w 12192000"/>
              <a:gd name="csY5187" fmla="*/ 2123791 h 6858000"/>
              <a:gd name="csX5188" fmla="*/ 8330179 w 12192000"/>
              <a:gd name="csY5188" fmla="*/ 2088971 h 6858000"/>
              <a:gd name="csX5189" fmla="*/ 8295839 w 12192000"/>
              <a:gd name="csY5189" fmla="*/ 2054150 h 6858000"/>
              <a:gd name="csX5190" fmla="*/ 8379580 w 12192000"/>
              <a:gd name="csY5190" fmla="*/ 2054150 h 6858000"/>
              <a:gd name="csX5191" fmla="*/ 8345227 w 12192000"/>
              <a:gd name="csY5191" fmla="*/ 2088971 h 6858000"/>
              <a:gd name="csX5192" fmla="*/ 8379580 w 12192000"/>
              <a:gd name="csY5192" fmla="*/ 2123791 h 6858000"/>
              <a:gd name="csX5193" fmla="*/ 8413921 w 12192000"/>
              <a:gd name="csY5193" fmla="*/ 2088971 h 6858000"/>
              <a:gd name="csX5194" fmla="*/ 8379580 w 12192000"/>
              <a:gd name="csY5194" fmla="*/ 2054150 h 6858000"/>
              <a:gd name="csX5195" fmla="*/ 8463323 w 12192000"/>
              <a:gd name="csY5195" fmla="*/ 2054150 h 6858000"/>
              <a:gd name="csX5196" fmla="*/ 8428970 w 12192000"/>
              <a:gd name="csY5196" fmla="*/ 2088971 h 6858000"/>
              <a:gd name="csX5197" fmla="*/ 8463323 w 12192000"/>
              <a:gd name="csY5197" fmla="*/ 2123791 h 6858000"/>
              <a:gd name="csX5198" fmla="*/ 8497663 w 12192000"/>
              <a:gd name="csY5198" fmla="*/ 2088971 h 6858000"/>
              <a:gd name="csX5199" fmla="*/ 8463323 w 12192000"/>
              <a:gd name="csY5199" fmla="*/ 2054150 h 6858000"/>
              <a:gd name="csX5200" fmla="*/ 8547064 w 12192000"/>
              <a:gd name="csY5200" fmla="*/ 2054150 h 6858000"/>
              <a:gd name="csX5201" fmla="*/ 8512711 w 12192000"/>
              <a:gd name="csY5201" fmla="*/ 2088971 h 6858000"/>
              <a:gd name="csX5202" fmla="*/ 8547064 w 12192000"/>
              <a:gd name="csY5202" fmla="*/ 2123791 h 6858000"/>
              <a:gd name="csX5203" fmla="*/ 8581404 w 12192000"/>
              <a:gd name="csY5203" fmla="*/ 2088971 h 6858000"/>
              <a:gd name="csX5204" fmla="*/ 8547064 w 12192000"/>
              <a:gd name="csY5204" fmla="*/ 2054150 h 6858000"/>
              <a:gd name="csX5205" fmla="*/ 8630805 w 12192000"/>
              <a:gd name="csY5205" fmla="*/ 2054150 h 6858000"/>
              <a:gd name="csX5206" fmla="*/ 8596452 w 12192000"/>
              <a:gd name="csY5206" fmla="*/ 2088971 h 6858000"/>
              <a:gd name="csX5207" fmla="*/ 8630805 w 12192000"/>
              <a:gd name="csY5207" fmla="*/ 2123791 h 6858000"/>
              <a:gd name="csX5208" fmla="*/ 8665145 w 12192000"/>
              <a:gd name="csY5208" fmla="*/ 2088971 h 6858000"/>
              <a:gd name="csX5209" fmla="*/ 8630805 w 12192000"/>
              <a:gd name="csY5209" fmla="*/ 2054150 h 6858000"/>
              <a:gd name="csX5210" fmla="*/ 8714547 w 12192000"/>
              <a:gd name="csY5210" fmla="*/ 2054150 h 6858000"/>
              <a:gd name="csX5211" fmla="*/ 8680194 w 12192000"/>
              <a:gd name="csY5211" fmla="*/ 2088971 h 6858000"/>
              <a:gd name="csX5212" fmla="*/ 8714547 w 12192000"/>
              <a:gd name="csY5212" fmla="*/ 2123791 h 6858000"/>
              <a:gd name="csX5213" fmla="*/ 8748888 w 12192000"/>
              <a:gd name="csY5213" fmla="*/ 2088971 h 6858000"/>
              <a:gd name="csX5214" fmla="*/ 8714547 w 12192000"/>
              <a:gd name="csY5214" fmla="*/ 2054150 h 6858000"/>
              <a:gd name="csX5215" fmla="*/ 8798289 w 12192000"/>
              <a:gd name="csY5215" fmla="*/ 2054150 h 6858000"/>
              <a:gd name="csX5216" fmla="*/ 8763936 w 12192000"/>
              <a:gd name="csY5216" fmla="*/ 2088971 h 6858000"/>
              <a:gd name="csX5217" fmla="*/ 8798289 w 12192000"/>
              <a:gd name="csY5217" fmla="*/ 2123791 h 6858000"/>
              <a:gd name="csX5218" fmla="*/ 8832629 w 12192000"/>
              <a:gd name="csY5218" fmla="*/ 2088971 h 6858000"/>
              <a:gd name="csX5219" fmla="*/ 8798289 w 12192000"/>
              <a:gd name="csY5219" fmla="*/ 2054150 h 6858000"/>
              <a:gd name="csX5220" fmla="*/ 8882030 w 12192000"/>
              <a:gd name="csY5220" fmla="*/ 2054150 h 6858000"/>
              <a:gd name="csX5221" fmla="*/ 8847677 w 12192000"/>
              <a:gd name="csY5221" fmla="*/ 2088971 h 6858000"/>
              <a:gd name="csX5222" fmla="*/ 8882030 w 12192000"/>
              <a:gd name="csY5222" fmla="*/ 2123791 h 6858000"/>
              <a:gd name="csX5223" fmla="*/ 8916370 w 12192000"/>
              <a:gd name="csY5223" fmla="*/ 2088971 h 6858000"/>
              <a:gd name="csX5224" fmla="*/ 8882030 w 12192000"/>
              <a:gd name="csY5224" fmla="*/ 2054150 h 6858000"/>
              <a:gd name="csX5225" fmla="*/ 8965772 w 12192000"/>
              <a:gd name="csY5225" fmla="*/ 2054150 h 6858000"/>
              <a:gd name="csX5226" fmla="*/ 8931419 w 12192000"/>
              <a:gd name="csY5226" fmla="*/ 2088971 h 6858000"/>
              <a:gd name="csX5227" fmla="*/ 8965772 w 12192000"/>
              <a:gd name="csY5227" fmla="*/ 2123791 h 6858000"/>
              <a:gd name="csX5228" fmla="*/ 9000112 w 12192000"/>
              <a:gd name="csY5228" fmla="*/ 2088971 h 6858000"/>
              <a:gd name="csX5229" fmla="*/ 8965772 w 12192000"/>
              <a:gd name="csY5229" fmla="*/ 2054150 h 6858000"/>
              <a:gd name="csX5230" fmla="*/ 9049513 w 12192000"/>
              <a:gd name="csY5230" fmla="*/ 2054150 h 6858000"/>
              <a:gd name="csX5231" fmla="*/ 9015160 w 12192000"/>
              <a:gd name="csY5231" fmla="*/ 2088971 h 6858000"/>
              <a:gd name="csX5232" fmla="*/ 9049513 w 12192000"/>
              <a:gd name="csY5232" fmla="*/ 2123791 h 6858000"/>
              <a:gd name="csX5233" fmla="*/ 9083854 w 12192000"/>
              <a:gd name="csY5233" fmla="*/ 2088971 h 6858000"/>
              <a:gd name="csX5234" fmla="*/ 9049513 w 12192000"/>
              <a:gd name="csY5234" fmla="*/ 2054150 h 6858000"/>
              <a:gd name="csX5235" fmla="*/ 9133256 w 12192000"/>
              <a:gd name="csY5235" fmla="*/ 2054150 h 6858000"/>
              <a:gd name="csX5236" fmla="*/ 9098903 w 12192000"/>
              <a:gd name="csY5236" fmla="*/ 2088971 h 6858000"/>
              <a:gd name="csX5237" fmla="*/ 9133256 w 12192000"/>
              <a:gd name="csY5237" fmla="*/ 2123791 h 6858000"/>
              <a:gd name="csX5238" fmla="*/ 9167596 w 12192000"/>
              <a:gd name="csY5238" fmla="*/ 2088971 h 6858000"/>
              <a:gd name="csX5239" fmla="*/ 9133256 w 12192000"/>
              <a:gd name="csY5239" fmla="*/ 2054150 h 6858000"/>
              <a:gd name="csX5240" fmla="*/ 9216997 w 12192000"/>
              <a:gd name="csY5240" fmla="*/ 2054150 h 6858000"/>
              <a:gd name="csX5241" fmla="*/ 9182644 w 12192000"/>
              <a:gd name="csY5241" fmla="*/ 2088971 h 6858000"/>
              <a:gd name="csX5242" fmla="*/ 9216997 w 12192000"/>
              <a:gd name="csY5242" fmla="*/ 2123791 h 6858000"/>
              <a:gd name="csX5243" fmla="*/ 9251337 w 12192000"/>
              <a:gd name="csY5243" fmla="*/ 2088971 h 6858000"/>
              <a:gd name="csX5244" fmla="*/ 9216997 w 12192000"/>
              <a:gd name="csY5244" fmla="*/ 2054150 h 6858000"/>
              <a:gd name="csX5245" fmla="*/ 9300738 w 12192000"/>
              <a:gd name="csY5245" fmla="*/ 2054150 h 6858000"/>
              <a:gd name="csX5246" fmla="*/ 9266385 w 12192000"/>
              <a:gd name="csY5246" fmla="*/ 2088971 h 6858000"/>
              <a:gd name="csX5247" fmla="*/ 9300738 w 12192000"/>
              <a:gd name="csY5247" fmla="*/ 2123791 h 6858000"/>
              <a:gd name="csX5248" fmla="*/ 9335078 w 12192000"/>
              <a:gd name="csY5248" fmla="*/ 2088971 h 6858000"/>
              <a:gd name="csX5249" fmla="*/ 9300738 w 12192000"/>
              <a:gd name="csY5249" fmla="*/ 2054150 h 6858000"/>
              <a:gd name="csX5250" fmla="*/ 9384480 w 12192000"/>
              <a:gd name="csY5250" fmla="*/ 2054150 h 6858000"/>
              <a:gd name="csX5251" fmla="*/ 9350127 w 12192000"/>
              <a:gd name="csY5251" fmla="*/ 2088971 h 6858000"/>
              <a:gd name="csX5252" fmla="*/ 9384480 w 12192000"/>
              <a:gd name="csY5252" fmla="*/ 2123791 h 6858000"/>
              <a:gd name="csX5253" fmla="*/ 9418821 w 12192000"/>
              <a:gd name="csY5253" fmla="*/ 2088971 h 6858000"/>
              <a:gd name="csX5254" fmla="*/ 9384480 w 12192000"/>
              <a:gd name="csY5254" fmla="*/ 2054150 h 6858000"/>
              <a:gd name="csX5255" fmla="*/ 9468222 w 12192000"/>
              <a:gd name="csY5255" fmla="*/ 2054150 h 6858000"/>
              <a:gd name="csX5256" fmla="*/ 9433869 w 12192000"/>
              <a:gd name="csY5256" fmla="*/ 2088971 h 6858000"/>
              <a:gd name="csX5257" fmla="*/ 9468222 w 12192000"/>
              <a:gd name="csY5257" fmla="*/ 2123791 h 6858000"/>
              <a:gd name="csX5258" fmla="*/ 9502562 w 12192000"/>
              <a:gd name="csY5258" fmla="*/ 2088971 h 6858000"/>
              <a:gd name="csX5259" fmla="*/ 9468222 w 12192000"/>
              <a:gd name="csY5259" fmla="*/ 2054150 h 6858000"/>
              <a:gd name="csX5260" fmla="*/ 9551963 w 12192000"/>
              <a:gd name="csY5260" fmla="*/ 2054150 h 6858000"/>
              <a:gd name="csX5261" fmla="*/ 9517610 w 12192000"/>
              <a:gd name="csY5261" fmla="*/ 2088971 h 6858000"/>
              <a:gd name="csX5262" fmla="*/ 9551963 w 12192000"/>
              <a:gd name="csY5262" fmla="*/ 2123791 h 6858000"/>
              <a:gd name="csX5263" fmla="*/ 9586303 w 12192000"/>
              <a:gd name="csY5263" fmla="*/ 2088971 h 6858000"/>
              <a:gd name="csX5264" fmla="*/ 9551963 w 12192000"/>
              <a:gd name="csY5264" fmla="*/ 2054150 h 6858000"/>
              <a:gd name="csX5265" fmla="*/ 9635705 w 12192000"/>
              <a:gd name="csY5265" fmla="*/ 2054150 h 6858000"/>
              <a:gd name="csX5266" fmla="*/ 9601352 w 12192000"/>
              <a:gd name="csY5266" fmla="*/ 2088971 h 6858000"/>
              <a:gd name="csX5267" fmla="*/ 9635705 w 12192000"/>
              <a:gd name="csY5267" fmla="*/ 2123791 h 6858000"/>
              <a:gd name="csX5268" fmla="*/ 9670045 w 12192000"/>
              <a:gd name="csY5268" fmla="*/ 2088971 h 6858000"/>
              <a:gd name="csX5269" fmla="*/ 9635705 w 12192000"/>
              <a:gd name="csY5269" fmla="*/ 2054150 h 6858000"/>
              <a:gd name="csX5270" fmla="*/ 10305638 w 12192000"/>
              <a:gd name="csY5270" fmla="*/ 2054150 h 6858000"/>
              <a:gd name="csX5271" fmla="*/ 10271285 w 12192000"/>
              <a:gd name="csY5271" fmla="*/ 2088971 h 6858000"/>
              <a:gd name="csX5272" fmla="*/ 10305638 w 12192000"/>
              <a:gd name="csY5272" fmla="*/ 2123791 h 6858000"/>
              <a:gd name="csX5273" fmla="*/ 10339978 w 12192000"/>
              <a:gd name="csY5273" fmla="*/ 2088971 h 6858000"/>
              <a:gd name="csX5274" fmla="*/ 10305638 w 12192000"/>
              <a:gd name="csY5274" fmla="*/ 2054150 h 6858000"/>
              <a:gd name="csX5275" fmla="*/ 2266416 w 12192000"/>
              <a:gd name="csY5275" fmla="*/ 2139014 h 6858000"/>
              <a:gd name="csX5276" fmla="*/ 2232069 w 12192000"/>
              <a:gd name="csY5276" fmla="*/ 2173834 h 6858000"/>
              <a:gd name="csX5277" fmla="*/ 2266416 w 12192000"/>
              <a:gd name="csY5277" fmla="*/ 2208655 h 6858000"/>
              <a:gd name="csX5278" fmla="*/ 2300762 w 12192000"/>
              <a:gd name="csY5278" fmla="*/ 2173834 h 6858000"/>
              <a:gd name="csX5279" fmla="*/ 2266416 w 12192000"/>
              <a:gd name="csY5279" fmla="*/ 2139014 h 6858000"/>
              <a:gd name="csX5280" fmla="*/ 2350151 w 12192000"/>
              <a:gd name="csY5280" fmla="*/ 2139014 h 6858000"/>
              <a:gd name="csX5281" fmla="*/ 2315804 w 12192000"/>
              <a:gd name="csY5281" fmla="*/ 2173834 h 6858000"/>
              <a:gd name="csX5282" fmla="*/ 2350151 w 12192000"/>
              <a:gd name="csY5282" fmla="*/ 2208655 h 6858000"/>
              <a:gd name="csX5283" fmla="*/ 2384498 w 12192000"/>
              <a:gd name="csY5283" fmla="*/ 2173834 h 6858000"/>
              <a:gd name="csX5284" fmla="*/ 2350151 w 12192000"/>
              <a:gd name="csY5284" fmla="*/ 2139014 h 6858000"/>
              <a:gd name="csX5285" fmla="*/ 2433893 w 12192000"/>
              <a:gd name="csY5285" fmla="*/ 2139014 h 6858000"/>
              <a:gd name="csX5286" fmla="*/ 2399546 w 12192000"/>
              <a:gd name="csY5286" fmla="*/ 2173834 h 6858000"/>
              <a:gd name="csX5287" fmla="*/ 2433893 w 12192000"/>
              <a:gd name="csY5287" fmla="*/ 2208655 h 6858000"/>
              <a:gd name="csX5288" fmla="*/ 2468240 w 12192000"/>
              <a:gd name="csY5288" fmla="*/ 2173834 h 6858000"/>
              <a:gd name="csX5289" fmla="*/ 2433893 w 12192000"/>
              <a:gd name="csY5289" fmla="*/ 2139014 h 6858000"/>
              <a:gd name="csX5290" fmla="*/ 2517634 w 12192000"/>
              <a:gd name="csY5290" fmla="*/ 2139014 h 6858000"/>
              <a:gd name="csX5291" fmla="*/ 2483288 w 12192000"/>
              <a:gd name="csY5291" fmla="*/ 2173834 h 6858000"/>
              <a:gd name="csX5292" fmla="*/ 2517634 w 12192000"/>
              <a:gd name="csY5292" fmla="*/ 2208655 h 6858000"/>
              <a:gd name="csX5293" fmla="*/ 2551981 w 12192000"/>
              <a:gd name="csY5293" fmla="*/ 2173834 h 6858000"/>
              <a:gd name="csX5294" fmla="*/ 2517634 w 12192000"/>
              <a:gd name="csY5294" fmla="*/ 2139014 h 6858000"/>
              <a:gd name="csX5295" fmla="*/ 2601376 w 12192000"/>
              <a:gd name="csY5295" fmla="*/ 2139014 h 6858000"/>
              <a:gd name="csX5296" fmla="*/ 2567029 w 12192000"/>
              <a:gd name="csY5296" fmla="*/ 2173834 h 6858000"/>
              <a:gd name="csX5297" fmla="*/ 2601376 w 12192000"/>
              <a:gd name="csY5297" fmla="*/ 2208655 h 6858000"/>
              <a:gd name="csX5298" fmla="*/ 2635722 w 12192000"/>
              <a:gd name="csY5298" fmla="*/ 2173834 h 6858000"/>
              <a:gd name="csX5299" fmla="*/ 2601376 w 12192000"/>
              <a:gd name="csY5299" fmla="*/ 2139014 h 6858000"/>
              <a:gd name="csX5300" fmla="*/ 2685118 w 12192000"/>
              <a:gd name="csY5300" fmla="*/ 2139014 h 6858000"/>
              <a:gd name="csX5301" fmla="*/ 2650771 w 12192000"/>
              <a:gd name="csY5301" fmla="*/ 2173834 h 6858000"/>
              <a:gd name="csX5302" fmla="*/ 2685118 w 12192000"/>
              <a:gd name="csY5302" fmla="*/ 2208655 h 6858000"/>
              <a:gd name="csX5303" fmla="*/ 2719465 w 12192000"/>
              <a:gd name="csY5303" fmla="*/ 2173834 h 6858000"/>
              <a:gd name="csX5304" fmla="*/ 2685118 w 12192000"/>
              <a:gd name="csY5304" fmla="*/ 2139014 h 6858000"/>
              <a:gd name="csX5305" fmla="*/ 2768859 w 12192000"/>
              <a:gd name="csY5305" fmla="*/ 2139014 h 6858000"/>
              <a:gd name="csX5306" fmla="*/ 2734512 w 12192000"/>
              <a:gd name="csY5306" fmla="*/ 2173834 h 6858000"/>
              <a:gd name="csX5307" fmla="*/ 2768859 w 12192000"/>
              <a:gd name="csY5307" fmla="*/ 2208655 h 6858000"/>
              <a:gd name="csX5308" fmla="*/ 2803206 w 12192000"/>
              <a:gd name="csY5308" fmla="*/ 2173834 h 6858000"/>
              <a:gd name="csX5309" fmla="*/ 2768859 w 12192000"/>
              <a:gd name="csY5309" fmla="*/ 2139014 h 6858000"/>
              <a:gd name="csX5310" fmla="*/ 2852600 w 12192000"/>
              <a:gd name="csY5310" fmla="*/ 2139014 h 6858000"/>
              <a:gd name="csX5311" fmla="*/ 2818254 w 12192000"/>
              <a:gd name="csY5311" fmla="*/ 2173834 h 6858000"/>
              <a:gd name="csX5312" fmla="*/ 2852600 w 12192000"/>
              <a:gd name="csY5312" fmla="*/ 2208655 h 6858000"/>
              <a:gd name="csX5313" fmla="*/ 2886947 w 12192000"/>
              <a:gd name="csY5313" fmla="*/ 2173834 h 6858000"/>
              <a:gd name="csX5314" fmla="*/ 2852600 w 12192000"/>
              <a:gd name="csY5314" fmla="*/ 2139014 h 6858000"/>
              <a:gd name="csX5315" fmla="*/ 2936343 w 12192000"/>
              <a:gd name="csY5315" fmla="*/ 2139014 h 6858000"/>
              <a:gd name="csX5316" fmla="*/ 2901996 w 12192000"/>
              <a:gd name="csY5316" fmla="*/ 2173834 h 6858000"/>
              <a:gd name="csX5317" fmla="*/ 2936343 w 12192000"/>
              <a:gd name="csY5317" fmla="*/ 2208655 h 6858000"/>
              <a:gd name="csX5318" fmla="*/ 2970689 w 12192000"/>
              <a:gd name="csY5318" fmla="*/ 2173834 h 6858000"/>
              <a:gd name="csX5319" fmla="*/ 2936343 w 12192000"/>
              <a:gd name="csY5319" fmla="*/ 2139014 h 6858000"/>
              <a:gd name="csX5320" fmla="*/ 3020084 w 12192000"/>
              <a:gd name="csY5320" fmla="*/ 2139014 h 6858000"/>
              <a:gd name="csX5321" fmla="*/ 2985737 w 12192000"/>
              <a:gd name="csY5321" fmla="*/ 2173834 h 6858000"/>
              <a:gd name="csX5322" fmla="*/ 3020084 w 12192000"/>
              <a:gd name="csY5322" fmla="*/ 2208655 h 6858000"/>
              <a:gd name="csX5323" fmla="*/ 3054431 w 12192000"/>
              <a:gd name="csY5323" fmla="*/ 2173834 h 6858000"/>
              <a:gd name="csX5324" fmla="*/ 3020084 w 12192000"/>
              <a:gd name="csY5324" fmla="*/ 2139014 h 6858000"/>
              <a:gd name="csX5325" fmla="*/ 3103826 w 12192000"/>
              <a:gd name="csY5325" fmla="*/ 2139014 h 6858000"/>
              <a:gd name="csX5326" fmla="*/ 3069479 w 12192000"/>
              <a:gd name="csY5326" fmla="*/ 2173834 h 6858000"/>
              <a:gd name="csX5327" fmla="*/ 3103826 w 12192000"/>
              <a:gd name="csY5327" fmla="*/ 2208655 h 6858000"/>
              <a:gd name="csX5328" fmla="*/ 3138173 w 12192000"/>
              <a:gd name="csY5328" fmla="*/ 2173834 h 6858000"/>
              <a:gd name="csX5329" fmla="*/ 3103826 w 12192000"/>
              <a:gd name="csY5329" fmla="*/ 2139014 h 6858000"/>
              <a:gd name="csX5330" fmla="*/ 3187567 w 12192000"/>
              <a:gd name="csY5330" fmla="*/ 2139014 h 6858000"/>
              <a:gd name="csX5331" fmla="*/ 3153221 w 12192000"/>
              <a:gd name="csY5331" fmla="*/ 2173834 h 6858000"/>
              <a:gd name="csX5332" fmla="*/ 3187567 w 12192000"/>
              <a:gd name="csY5332" fmla="*/ 2208655 h 6858000"/>
              <a:gd name="csX5333" fmla="*/ 3221914 w 12192000"/>
              <a:gd name="csY5333" fmla="*/ 2173834 h 6858000"/>
              <a:gd name="csX5334" fmla="*/ 3187567 w 12192000"/>
              <a:gd name="csY5334" fmla="*/ 2139014 h 6858000"/>
              <a:gd name="csX5335" fmla="*/ 3271309 w 12192000"/>
              <a:gd name="csY5335" fmla="*/ 2139014 h 6858000"/>
              <a:gd name="csX5336" fmla="*/ 3236962 w 12192000"/>
              <a:gd name="csY5336" fmla="*/ 2173834 h 6858000"/>
              <a:gd name="csX5337" fmla="*/ 3271309 w 12192000"/>
              <a:gd name="csY5337" fmla="*/ 2208655 h 6858000"/>
              <a:gd name="csX5338" fmla="*/ 3305655 w 12192000"/>
              <a:gd name="csY5338" fmla="*/ 2173834 h 6858000"/>
              <a:gd name="csX5339" fmla="*/ 3271309 w 12192000"/>
              <a:gd name="csY5339" fmla="*/ 2139014 h 6858000"/>
              <a:gd name="csX5340" fmla="*/ 3355051 w 12192000"/>
              <a:gd name="csY5340" fmla="*/ 2139014 h 6858000"/>
              <a:gd name="csX5341" fmla="*/ 3320704 w 12192000"/>
              <a:gd name="csY5341" fmla="*/ 2173834 h 6858000"/>
              <a:gd name="csX5342" fmla="*/ 3355051 w 12192000"/>
              <a:gd name="csY5342" fmla="*/ 2208655 h 6858000"/>
              <a:gd name="csX5343" fmla="*/ 3389398 w 12192000"/>
              <a:gd name="csY5343" fmla="*/ 2173834 h 6858000"/>
              <a:gd name="csX5344" fmla="*/ 3355051 w 12192000"/>
              <a:gd name="csY5344" fmla="*/ 2139014 h 6858000"/>
              <a:gd name="csX5345" fmla="*/ 3773759 w 12192000"/>
              <a:gd name="csY5345" fmla="*/ 2139014 h 6858000"/>
              <a:gd name="csX5346" fmla="*/ 3739412 w 12192000"/>
              <a:gd name="csY5346" fmla="*/ 2173834 h 6858000"/>
              <a:gd name="csX5347" fmla="*/ 3773759 w 12192000"/>
              <a:gd name="csY5347" fmla="*/ 2208655 h 6858000"/>
              <a:gd name="csX5348" fmla="*/ 3808106 w 12192000"/>
              <a:gd name="csY5348" fmla="*/ 2173834 h 6858000"/>
              <a:gd name="csX5349" fmla="*/ 3773759 w 12192000"/>
              <a:gd name="csY5349" fmla="*/ 2139014 h 6858000"/>
              <a:gd name="csX5350" fmla="*/ 3857500 w 12192000"/>
              <a:gd name="csY5350" fmla="*/ 2139014 h 6858000"/>
              <a:gd name="csX5351" fmla="*/ 3823154 w 12192000"/>
              <a:gd name="csY5351" fmla="*/ 2173834 h 6858000"/>
              <a:gd name="csX5352" fmla="*/ 3857500 w 12192000"/>
              <a:gd name="csY5352" fmla="*/ 2208655 h 6858000"/>
              <a:gd name="csX5353" fmla="*/ 3891847 w 12192000"/>
              <a:gd name="csY5353" fmla="*/ 2173834 h 6858000"/>
              <a:gd name="csX5354" fmla="*/ 3857500 w 12192000"/>
              <a:gd name="csY5354" fmla="*/ 2139014 h 6858000"/>
              <a:gd name="csX5355" fmla="*/ 3941242 w 12192000"/>
              <a:gd name="csY5355" fmla="*/ 2139014 h 6858000"/>
              <a:gd name="csX5356" fmla="*/ 3906895 w 12192000"/>
              <a:gd name="csY5356" fmla="*/ 2173834 h 6858000"/>
              <a:gd name="csX5357" fmla="*/ 3941242 w 12192000"/>
              <a:gd name="csY5357" fmla="*/ 2208655 h 6858000"/>
              <a:gd name="csX5358" fmla="*/ 3975588 w 12192000"/>
              <a:gd name="csY5358" fmla="*/ 2173834 h 6858000"/>
              <a:gd name="csX5359" fmla="*/ 3941242 w 12192000"/>
              <a:gd name="csY5359" fmla="*/ 2139014 h 6858000"/>
              <a:gd name="csX5360" fmla="*/ 4024990 w 12192000"/>
              <a:gd name="csY5360" fmla="*/ 2139014 h 6858000"/>
              <a:gd name="csX5361" fmla="*/ 3990643 w 12192000"/>
              <a:gd name="csY5361" fmla="*/ 2173834 h 6858000"/>
              <a:gd name="csX5362" fmla="*/ 4024990 w 12192000"/>
              <a:gd name="csY5362" fmla="*/ 2208655 h 6858000"/>
              <a:gd name="csX5363" fmla="*/ 4059337 w 12192000"/>
              <a:gd name="csY5363" fmla="*/ 2173834 h 6858000"/>
              <a:gd name="csX5364" fmla="*/ 4024990 w 12192000"/>
              <a:gd name="csY5364" fmla="*/ 2139014 h 6858000"/>
              <a:gd name="csX5365" fmla="*/ 4108732 w 12192000"/>
              <a:gd name="csY5365" fmla="*/ 2139014 h 6858000"/>
              <a:gd name="csX5366" fmla="*/ 4074386 w 12192000"/>
              <a:gd name="csY5366" fmla="*/ 2173834 h 6858000"/>
              <a:gd name="csX5367" fmla="*/ 4108732 w 12192000"/>
              <a:gd name="csY5367" fmla="*/ 2208655 h 6858000"/>
              <a:gd name="csX5368" fmla="*/ 4143079 w 12192000"/>
              <a:gd name="csY5368" fmla="*/ 2173834 h 6858000"/>
              <a:gd name="csX5369" fmla="*/ 4108732 w 12192000"/>
              <a:gd name="csY5369" fmla="*/ 2139014 h 6858000"/>
              <a:gd name="csX5370" fmla="*/ 6034789 w 12192000"/>
              <a:gd name="csY5370" fmla="*/ 2139014 h 6858000"/>
              <a:gd name="csX5371" fmla="*/ 6000436 w 12192000"/>
              <a:gd name="csY5371" fmla="*/ 2173834 h 6858000"/>
              <a:gd name="csX5372" fmla="*/ 6034789 w 12192000"/>
              <a:gd name="csY5372" fmla="*/ 2208655 h 6858000"/>
              <a:gd name="csX5373" fmla="*/ 6069130 w 12192000"/>
              <a:gd name="csY5373" fmla="*/ 2173834 h 6858000"/>
              <a:gd name="csX5374" fmla="*/ 6034789 w 12192000"/>
              <a:gd name="csY5374" fmla="*/ 2139014 h 6858000"/>
              <a:gd name="csX5375" fmla="*/ 6202273 w 12192000"/>
              <a:gd name="csY5375" fmla="*/ 2139014 h 6858000"/>
              <a:gd name="csX5376" fmla="*/ 6167920 w 12192000"/>
              <a:gd name="csY5376" fmla="*/ 2173834 h 6858000"/>
              <a:gd name="csX5377" fmla="*/ 6202273 w 12192000"/>
              <a:gd name="csY5377" fmla="*/ 2208655 h 6858000"/>
              <a:gd name="csX5378" fmla="*/ 6236613 w 12192000"/>
              <a:gd name="csY5378" fmla="*/ 2173834 h 6858000"/>
              <a:gd name="csX5379" fmla="*/ 6202273 w 12192000"/>
              <a:gd name="csY5379" fmla="*/ 2139014 h 6858000"/>
              <a:gd name="csX5380" fmla="*/ 6286014 w 12192000"/>
              <a:gd name="csY5380" fmla="*/ 2139014 h 6858000"/>
              <a:gd name="csX5381" fmla="*/ 6251661 w 12192000"/>
              <a:gd name="csY5381" fmla="*/ 2173834 h 6858000"/>
              <a:gd name="csX5382" fmla="*/ 6286014 w 12192000"/>
              <a:gd name="csY5382" fmla="*/ 2208655 h 6858000"/>
              <a:gd name="csX5383" fmla="*/ 6320354 w 12192000"/>
              <a:gd name="csY5383" fmla="*/ 2173834 h 6858000"/>
              <a:gd name="csX5384" fmla="*/ 6286014 w 12192000"/>
              <a:gd name="csY5384" fmla="*/ 2139014 h 6858000"/>
              <a:gd name="csX5385" fmla="*/ 6537239 w 12192000"/>
              <a:gd name="csY5385" fmla="*/ 2139014 h 6858000"/>
              <a:gd name="csX5386" fmla="*/ 6502886 w 12192000"/>
              <a:gd name="csY5386" fmla="*/ 2173834 h 6858000"/>
              <a:gd name="csX5387" fmla="*/ 6537239 w 12192000"/>
              <a:gd name="csY5387" fmla="*/ 2208655 h 6858000"/>
              <a:gd name="csX5388" fmla="*/ 6571579 w 12192000"/>
              <a:gd name="csY5388" fmla="*/ 2173834 h 6858000"/>
              <a:gd name="csX5389" fmla="*/ 6537239 w 12192000"/>
              <a:gd name="csY5389" fmla="*/ 2139014 h 6858000"/>
              <a:gd name="csX5390" fmla="*/ 6620980 w 12192000"/>
              <a:gd name="csY5390" fmla="*/ 2139014 h 6858000"/>
              <a:gd name="csX5391" fmla="*/ 6586627 w 12192000"/>
              <a:gd name="csY5391" fmla="*/ 2173834 h 6858000"/>
              <a:gd name="csX5392" fmla="*/ 6620980 w 12192000"/>
              <a:gd name="csY5392" fmla="*/ 2208655 h 6858000"/>
              <a:gd name="csX5393" fmla="*/ 6655320 w 12192000"/>
              <a:gd name="csY5393" fmla="*/ 2173834 h 6858000"/>
              <a:gd name="csX5394" fmla="*/ 6620980 w 12192000"/>
              <a:gd name="csY5394" fmla="*/ 2139014 h 6858000"/>
              <a:gd name="csX5395" fmla="*/ 6704722 w 12192000"/>
              <a:gd name="csY5395" fmla="*/ 2139014 h 6858000"/>
              <a:gd name="csX5396" fmla="*/ 6670369 w 12192000"/>
              <a:gd name="csY5396" fmla="*/ 2173834 h 6858000"/>
              <a:gd name="csX5397" fmla="*/ 6704722 w 12192000"/>
              <a:gd name="csY5397" fmla="*/ 2208655 h 6858000"/>
              <a:gd name="csX5398" fmla="*/ 6739063 w 12192000"/>
              <a:gd name="csY5398" fmla="*/ 2173834 h 6858000"/>
              <a:gd name="csX5399" fmla="*/ 6704722 w 12192000"/>
              <a:gd name="csY5399" fmla="*/ 2139014 h 6858000"/>
              <a:gd name="csX5400" fmla="*/ 6788464 w 12192000"/>
              <a:gd name="csY5400" fmla="*/ 2139014 h 6858000"/>
              <a:gd name="csX5401" fmla="*/ 6754110 w 12192000"/>
              <a:gd name="csY5401" fmla="*/ 2173834 h 6858000"/>
              <a:gd name="csX5402" fmla="*/ 6788464 w 12192000"/>
              <a:gd name="csY5402" fmla="*/ 2208655 h 6858000"/>
              <a:gd name="csX5403" fmla="*/ 6822804 w 12192000"/>
              <a:gd name="csY5403" fmla="*/ 2173834 h 6858000"/>
              <a:gd name="csX5404" fmla="*/ 6788464 w 12192000"/>
              <a:gd name="csY5404" fmla="*/ 2139014 h 6858000"/>
              <a:gd name="csX5405" fmla="*/ 6955947 w 12192000"/>
              <a:gd name="csY5405" fmla="*/ 2139014 h 6858000"/>
              <a:gd name="csX5406" fmla="*/ 6921594 w 12192000"/>
              <a:gd name="csY5406" fmla="*/ 2173834 h 6858000"/>
              <a:gd name="csX5407" fmla="*/ 6955947 w 12192000"/>
              <a:gd name="csY5407" fmla="*/ 2208655 h 6858000"/>
              <a:gd name="csX5408" fmla="*/ 6990287 w 12192000"/>
              <a:gd name="csY5408" fmla="*/ 2173834 h 6858000"/>
              <a:gd name="csX5409" fmla="*/ 6955947 w 12192000"/>
              <a:gd name="csY5409" fmla="*/ 2139014 h 6858000"/>
              <a:gd name="csX5410" fmla="*/ 7039688 w 12192000"/>
              <a:gd name="csY5410" fmla="*/ 2139014 h 6858000"/>
              <a:gd name="csX5411" fmla="*/ 7005335 w 12192000"/>
              <a:gd name="csY5411" fmla="*/ 2173834 h 6858000"/>
              <a:gd name="csX5412" fmla="*/ 7039688 w 12192000"/>
              <a:gd name="csY5412" fmla="*/ 2208655 h 6858000"/>
              <a:gd name="csX5413" fmla="*/ 7074029 w 12192000"/>
              <a:gd name="csY5413" fmla="*/ 2173834 h 6858000"/>
              <a:gd name="csX5414" fmla="*/ 7039688 w 12192000"/>
              <a:gd name="csY5414" fmla="*/ 2139014 h 6858000"/>
              <a:gd name="csX5415" fmla="*/ 7123456 w 12192000"/>
              <a:gd name="csY5415" fmla="*/ 2139014 h 6858000"/>
              <a:gd name="csX5416" fmla="*/ 7089103 w 12192000"/>
              <a:gd name="csY5416" fmla="*/ 2173834 h 6858000"/>
              <a:gd name="csX5417" fmla="*/ 7123456 w 12192000"/>
              <a:gd name="csY5417" fmla="*/ 2208655 h 6858000"/>
              <a:gd name="csX5418" fmla="*/ 7157796 w 12192000"/>
              <a:gd name="csY5418" fmla="*/ 2173834 h 6858000"/>
              <a:gd name="csX5419" fmla="*/ 7123456 w 12192000"/>
              <a:gd name="csY5419" fmla="*/ 2139014 h 6858000"/>
              <a:gd name="csX5420" fmla="*/ 7207198 w 12192000"/>
              <a:gd name="csY5420" fmla="*/ 2139014 h 6858000"/>
              <a:gd name="csX5421" fmla="*/ 7172845 w 12192000"/>
              <a:gd name="csY5421" fmla="*/ 2173834 h 6858000"/>
              <a:gd name="csX5422" fmla="*/ 7207198 w 12192000"/>
              <a:gd name="csY5422" fmla="*/ 2208655 h 6858000"/>
              <a:gd name="csX5423" fmla="*/ 7241538 w 12192000"/>
              <a:gd name="csY5423" fmla="*/ 2173834 h 6858000"/>
              <a:gd name="csX5424" fmla="*/ 7207198 w 12192000"/>
              <a:gd name="csY5424" fmla="*/ 2139014 h 6858000"/>
              <a:gd name="csX5425" fmla="*/ 7290939 w 12192000"/>
              <a:gd name="csY5425" fmla="*/ 2139014 h 6858000"/>
              <a:gd name="csX5426" fmla="*/ 7256586 w 12192000"/>
              <a:gd name="csY5426" fmla="*/ 2173834 h 6858000"/>
              <a:gd name="csX5427" fmla="*/ 7290939 w 12192000"/>
              <a:gd name="csY5427" fmla="*/ 2208655 h 6858000"/>
              <a:gd name="csX5428" fmla="*/ 7325279 w 12192000"/>
              <a:gd name="csY5428" fmla="*/ 2173834 h 6858000"/>
              <a:gd name="csX5429" fmla="*/ 7290939 w 12192000"/>
              <a:gd name="csY5429" fmla="*/ 2139014 h 6858000"/>
              <a:gd name="csX5430" fmla="*/ 7374681 w 12192000"/>
              <a:gd name="csY5430" fmla="*/ 2139014 h 6858000"/>
              <a:gd name="csX5431" fmla="*/ 7340328 w 12192000"/>
              <a:gd name="csY5431" fmla="*/ 2173834 h 6858000"/>
              <a:gd name="csX5432" fmla="*/ 7374681 w 12192000"/>
              <a:gd name="csY5432" fmla="*/ 2208655 h 6858000"/>
              <a:gd name="csX5433" fmla="*/ 7409022 w 12192000"/>
              <a:gd name="csY5433" fmla="*/ 2173834 h 6858000"/>
              <a:gd name="csX5434" fmla="*/ 7374681 w 12192000"/>
              <a:gd name="csY5434" fmla="*/ 2139014 h 6858000"/>
              <a:gd name="csX5435" fmla="*/ 7458423 w 12192000"/>
              <a:gd name="csY5435" fmla="*/ 2139014 h 6858000"/>
              <a:gd name="csX5436" fmla="*/ 7424070 w 12192000"/>
              <a:gd name="csY5436" fmla="*/ 2173834 h 6858000"/>
              <a:gd name="csX5437" fmla="*/ 7458423 w 12192000"/>
              <a:gd name="csY5437" fmla="*/ 2208655 h 6858000"/>
              <a:gd name="csX5438" fmla="*/ 7492763 w 12192000"/>
              <a:gd name="csY5438" fmla="*/ 2173834 h 6858000"/>
              <a:gd name="csX5439" fmla="*/ 7458423 w 12192000"/>
              <a:gd name="csY5439" fmla="*/ 2139014 h 6858000"/>
              <a:gd name="csX5440" fmla="*/ 7542164 w 12192000"/>
              <a:gd name="csY5440" fmla="*/ 2139014 h 6858000"/>
              <a:gd name="csX5441" fmla="*/ 7507811 w 12192000"/>
              <a:gd name="csY5441" fmla="*/ 2173834 h 6858000"/>
              <a:gd name="csX5442" fmla="*/ 7542164 w 12192000"/>
              <a:gd name="csY5442" fmla="*/ 2208655 h 6858000"/>
              <a:gd name="csX5443" fmla="*/ 7576504 w 12192000"/>
              <a:gd name="csY5443" fmla="*/ 2173834 h 6858000"/>
              <a:gd name="csX5444" fmla="*/ 7542164 w 12192000"/>
              <a:gd name="csY5444" fmla="*/ 2139014 h 6858000"/>
              <a:gd name="csX5445" fmla="*/ 7625906 w 12192000"/>
              <a:gd name="csY5445" fmla="*/ 2139014 h 6858000"/>
              <a:gd name="csX5446" fmla="*/ 7591553 w 12192000"/>
              <a:gd name="csY5446" fmla="*/ 2173834 h 6858000"/>
              <a:gd name="csX5447" fmla="*/ 7625906 w 12192000"/>
              <a:gd name="csY5447" fmla="*/ 2208655 h 6858000"/>
              <a:gd name="csX5448" fmla="*/ 7660246 w 12192000"/>
              <a:gd name="csY5448" fmla="*/ 2173834 h 6858000"/>
              <a:gd name="csX5449" fmla="*/ 7625906 w 12192000"/>
              <a:gd name="csY5449" fmla="*/ 2139014 h 6858000"/>
              <a:gd name="csX5450" fmla="*/ 7709647 w 12192000"/>
              <a:gd name="csY5450" fmla="*/ 2139014 h 6858000"/>
              <a:gd name="csX5451" fmla="*/ 7675294 w 12192000"/>
              <a:gd name="csY5451" fmla="*/ 2173834 h 6858000"/>
              <a:gd name="csX5452" fmla="*/ 7709647 w 12192000"/>
              <a:gd name="csY5452" fmla="*/ 2208655 h 6858000"/>
              <a:gd name="csX5453" fmla="*/ 7743988 w 12192000"/>
              <a:gd name="csY5453" fmla="*/ 2173834 h 6858000"/>
              <a:gd name="csX5454" fmla="*/ 7709647 w 12192000"/>
              <a:gd name="csY5454" fmla="*/ 2139014 h 6858000"/>
              <a:gd name="csX5455" fmla="*/ 7793389 w 12192000"/>
              <a:gd name="csY5455" fmla="*/ 2139014 h 6858000"/>
              <a:gd name="csX5456" fmla="*/ 7759036 w 12192000"/>
              <a:gd name="csY5456" fmla="*/ 2173834 h 6858000"/>
              <a:gd name="csX5457" fmla="*/ 7793389 w 12192000"/>
              <a:gd name="csY5457" fmla="*/ 2208655 h 6858000"/>
              <a:gd name="csX5458" fmla="*/ 7827729 w 12192000"/>
              <a:gd name="csY5458" fmla="*/ 2173834 h 6858000"/>
              <a:gd name="csX5459" fmla="*/ 7793389 w 12192000"/>
              <a:gd name="csY5459" fmla="*/ 2139014 h 6858000"/>
              <a:gd name="csX5460" fmla="*/ 7877131 w 12192000"/>
              <a:gd name="csY5460" fmla="*/ 2139014 h 6858000"/>
              <a:gd name="csX5461" fmla="*/ 7842778 w 12192000"/>
              <a:gd name="csY5461" fmla="*/ 2173834 h 6858000"/>
              <a:gd name="csX5462" fmla="*/ 7877131 w 12192000"/>
              <a:gd name="csY5462" fmla="*/ 2208655 h 6858000"/>
              <a:gd name="csX5463" fmla="*/ 7911471 w 12192000"/>
              <a:gd name="csY5463" fmla="*/ 2173834 h 6858000"/>
              <a:gd name="csX5464" fmla="*/ 7877131 w 12192000"/>
              <a:gd name="csY5464" fmla="*/ 2139014 h 6858000"/>
              <a:gd name="csX5465" fmla="*/ 7960872 w 12192000"/>
              <a:gd name="csY5465" fmla="*/ 2139014 h 6858000"/>
              <a:gd name="csX5466" fmla="*/ 7926519 w 12192000"/>
              <a:gd name="csY5466" fmla="*/ 2173834 h 6858000"/>
              <a:gd name="csX5467" fmla="*/ 7960872 w 12192000"/>
              <a:gd name="csY5467" fmla="*/ 2208655 h 6858000"/>
              <a:gd name="csX5468" fmla="*/ 7995212 w 12192000"/>
              <a:gd name="csY5468" fmla="*/ 2173834 h 6858000"/>
              <a:gd name="csX5469" fmla="*/ 7960872 w 12192000"/>
              <a:gd name="csY5469" fmla="*/ 2139014 h 6858000"/>
              <a:gd name="csX5470" fmla="*/ 8044614 w 12192000"/>
              <a:gd name="csY5470" fmla="*/ 2139014 h 6858000"/>
              <a:gd name="csX5471" fmla="*/ 8010261 w 12192000"/>
              <a:gd name="csY5471" fmla="*/ 2173834 h 6858000"/>
              <a:gd name="csX5472" fmla="*/ 8044614 w 12192000"/>
              <a:gd name="csY5472" fmla="*/ 2208655 h 6858000"/>
              <a:gd name="csX5473" fmla="*/ 8078955 w 12192000"/>
              <a:gd name="csY5473" fmla="*/ 2173834 h 6858000"/>
              <a:gd name="csX5474" fmla="*/ 8044614 w 12192000"/>
              <a:gd name="csY5474" fmla="*/ 2139014 h 6858000"/>
              <a:gd name="csX5475" fmla="*/ 8128356 w 12192000"/>
              <a:gd name="csY5475" fmla="*/ 2139014 h 6858000"/>
              <a:gd name="csX5476" fmla="*/ 8094003 w 12192000"/>
              <a:gd name="csY5476" fmla="*/ 2173834 h 6858000"/>
              <a:gd name="csX5477" fmla="*/ 8128356 w 12192000"/>
              <a:gd name="csY5477" fmla="*/ 2208655 h 6858000"/>
              <a:gd name="csX5478" fmla="*/ 8162696 w 12192000"/>
              <a:gd name="csY5478" fmla="*/ 2173834 h 6858000"/>
              <a:gd name="csX5479" fmla="*/ 8128356 w 12192000"/>
              <a:gd name="csY5479" fmla="*/ 2139014 h 6858000"/>
              <a:gd name="csX5480" fmla="*/ 8212097 w 12192000"/>
              <a:gd name="csY5480" fmla="*/ 2139014 h 6858000"/>
              <a:gd name="csX5481" fmla="*/ 8177744 w 12192000"/>
              <a:gd name="csY5481" fmla="*/ 2173834 h 6858000"/>
              <a:gd name="csX5482" fmla="*/ 8212097 w 12192000"/>
              <a:gd name="csY5482" fmla="*/ 2208655 h 6858000"/>
              <a:gd name="csX5483" fmla="*/ 8246437 w 12192000"/>
              <a:gd name="csY5483" fmla="*/ 2173834 h 6858000"/>
              <a:gd name="csX5484" fmla="*/ 8212097 w 12192000"/>
              <a:gd name="csY5484" fmla="*/ 2139014 h 6858000"/>
              <a:gd name="csX5485" fmla="*/ 8295839 w 12192000"/>
              <a:gd name="csY5485" fmla="*/ 2139014 h 6858000"/>
              <a:gd name="csX5486" fmla="*/ 8261486 w 12192000"/>
              <a:gd name="csY5486" fmla="*/ 2173834 h 6858000"/>
              <a:gd name="csX5487" fmla="*/ 8295839 w 12192000"/>
              <a:gd name="csY5487" fmla="*/ 2208655 h 6858000"/>
              <a:gd name="csX5488" fmla="*/ 8330179 w 12192000"/>
              <a:gd name="csY5488" fmla="*/ 2173834 h 6858000"/>
              <a:gd name="csX5489" fmla="*/ 8295839 w 12192000"/>
              <a:gd name="csY5489" fmla="*/ 2139014 h 6858000"/>
              <a:gd name="csX5490" fmla="*/ 8379580 w 12192000"/>
              <a:gd name="csY5490" fmla="*/ 2139014 h 6858000"/>
              <a:gd name="csX5491" fmla="*/ 8345227 w 12192000"/>
              <a:gd name="csY5491" fmla="*/ 2173834 h 6858000"/>
              <a:gd name="csX5492" fmla="*/ 8379580 w 12192000"/>
              <a:gd name="csY5492" fmla="*/ 2208655 h 6858000"/>
              <a:gd name="csX5493" fmla="*/ 8413921 w 12192000"/>
              <a:gd name="csY5493" fmla="*/ 2173834 h 6858000"/>
              <a:gd name="csX5494" fmla="*/ 8379580 w 12192000"/>
              <a:gd name="csY5494" fmla="*/ 2139014 h 6858000"/>
              <a:gd name="csX5495" fmla="*/ 8463323 w 12192000"/>
              <a:gd name="csY5495" fmla="*/ 2139014 h 6858000"/>
              <a:gd name="csX5496" fmla="*/ 8428970 w 12192000"/>
              <a:gd name="csY5496" fmla="*/ 2173834 h 6858000"/>
              <a:gd name="csX5497" fmla="*/ 8463323 w 12192000"/>
              <a:gd name="csY5497" fmla="*/ 2208655 h 6858000"/>
              <a:gd name="csX5498" fmla="*/ 8497663 w 12192000"/>
              <a:gd name="csY5498" fmla="*/ 2173834 h 6858000"/>
              <a:gd name="csX5499" fmla="*/ 8463323 w 12192000"/>
              <a:gd name="csY5499" fmla="*/ 2139014 h 6858000"/>
              <a:gd name="csX5500" fmla="*/ 8547064 w 12192000"/>
              <a:gd name="csY5500" fmla="*/ 2139014 h 6858000"/>
              <a:gd name="csX5501" fmla="*/ 8512711 w 12192000"/>
              <a:gd name="csY5501" fmla="*/ 2173834 h 6858000"/>
              <a:gd name="csX5502" fmla="*/ 8547064 w 12192000"/>
              <a:gd name="csY5502" fmla="*/ 2208655 h 6858000"/>
              <a:gd name="csX5503" fmla="*/ 8581404 w 12192000"/>
              <a:gd name="csY5503" fmla="*/ 2173834 h 6858000"/>
              <a:gd name="csX5504" fmla="*/ 8547064 w 12192000"/>
              <a:gd name="csY5504" fmla="*/ 2139014 h 6858000"/>
              <a:gd name="csX5505" fmla="*/ 8630805 w 12192000"/>
              <a:gd name="csY5505" fmla="*/ 2139014 h 6858000"/>
              <a:gd name="csX5506" fmla="*/ 8596452 w 12192000"/>
              <a:gd name="csY5506" fmla="*/ 2173834 h 6858000"/>
              <a:gd name="csX5507" fmla="*/ 8630805 w 12192000"/>
              <a:gd name="csY5507" fmla="*/ 2208655 h 6858000"/>
              <a:gd name="csX5508" fmla="*/ 8665145 w 12192000"/>
              <a:gd name="csY5508" fmla="*/ 2173834 h 6858000"/>
              <a:gd name="csX5509" fmla="*/ 8630805 w 12192000"/>
              <a:gd name="csY5509" fmla="*/ 2139014 h 6858000"/>
              <a:gd name="csX5510" fmla="*/ 8798289 w 12192000"/>
              <a:gd name="csY5510" fmla="*/ 2139014 h 6858000"/>
              <a:gd name="csX5511" fmla="*/ 8763936 w 12192000"/>
              <a:gd name="csY5511" fmla="*/ 2173834 h 6858000"/>
              <a:gd name="csX5512" fmla="*/ 8798289 w 12192000"/>
              <a:gd name="csY5512" fmla="*/ 2208655 h 6858000"/>
              <a:gd name="csX5513" fmla="*/ 8832629 w 12192000"/>
              <a:gd name="csY5513" fmla="*/ 2173834 h 6858000"/>
              <a:gd name="csX5514" fmla="*/ 8798289 w 12192000"/>
              <a:gd name="csY5514" fmla="*/ 2139014 h 6858000"/>
              <a:gd name="csX5515" fmla="*/ 8882030 w 12192000"/>
              <a:gd name="csY5515" fmla="*/ 2139014 h 6858000"/>
              <a:gd name="csX5516" fmla="*/ 8847677 w 12192000"/>
              <a:gd name="csY5516" fmla="*/ 2173834 h 6858000"/>
              <a:gd name="csX5517" fmla="*/ 8882030 w 12192000"/>
              <a:gd name="csY5517" fmla="*/ 2208655 h 6858000"/>
              <a:gd name="csX5518" fmla="*/ 8916370 w 12192000"/>
              <a:gd name="csY5518" fmla="*/ 2173834 h 6858000"/>
              <a:gd name="csX5519" fmla="*/ 8882030 w 12192000"/>
              <a:gd name="csY5519" fmla="*/ 2139014 h 6858000"/>
              <a:gd name="csX5520" fmla="*/ 8965772 w 12192000"/>
              <a:gd name="csY5520" fmla="*/ 2139014 h 6858000"/>
              <a:gd name="csX5521" fmla="*/ 8931419 w 12192000"/>
              <a:gd name="csY5521" fmla="*/ 2173834 h 6858000"/>
              <a:gd name="csX5522" fmla="*/ 8965772 w 12192000"/>
              <a:gd name="csY5522" fmla="*/ 2208655 h 6858000"/>
              <a:gd name="csX5523" fmla="*/ 9000112 w 12192000"/>
              <a:gd name="csY5523" fmla="*/ 2173834 h 6858000"/>
              <a:gd name="csX5524" fmla="*/ 8965772 w 12192000"/>
              <a:gd name="csY5524" fmla="*/ 2139014 h 6858000"/>
              <a:gd name="csX5525" fmla="*/ 9049513 w 12192000"/>
              <a:gd name="csY5525" fmla="*/ 2139014 h 6858000"/>
              <a:gd name="csX5526" fmla="*/ 9015160 w 12192000"/>
              <a:gd name="csY5526" fmla="*/ 2173834 h 6858000"/>
              <a:gd name="csX5527" fmla="*/ 9049513 w 12192000"/>
              <a:gd name="csY5527" fmla="*/ 2208655 h 6858000"/>
              <a:gd name="csX5528" fmla="*/ 9083854 w 12192000"/>
              <a:gd name="csY5528" fmla="*/ 2173834 h 6858000"/>
              <a:gd name="csX5529" fmla="*/ 9049513 w 12192000"/>
              <a:gd name="csY5529" fmla="*/ 2139014 h 6858000"/>
              <a:gd name="csX5530" fmla="*/ 9133256 w 12192000"/>
              <a:gd name="csY5530" fmla="*/ 2139014 h 6858000"/>
              <a:gd name="csX5531" fmla="*/ 9098903 w 12192000"/>
              <a:gd name="csY5531" fmla="*/ 2173834 h 6858000"/>
              <a:gd name="csX5532" fmla="*/ 9133256 w 12192000"/>
              <a:gd name="csY5532" fmla="*/ 2208655 h 6858000"/>
              <a:gd name="csX5533" fmla="*/ 9167596 w 12192000"/>
              <a:gd name="csY5533" fmla="*/ 2173834 h 6858000"/>
              <a:gd name="csX5534" fmla="*/ 9133256 w 12192000"/>
              <a:gd name="csY5534" fmla="*/ 2139014 h 6858000"/>
              <a:gd name="csX5535" fmla="*/ 9216997 w 12192000"/>
              <a:gd name="csY5535" fmla="*/ 2139014 h 6858000"/>
              <a:gd name="csX5536" fmla="*/ 9182644 w 12192000"/>
              <a:gd name="csY5536" fmla="*/ 2173834 h 6858000"/>
              <a:gd name="csX5537" fmla="*/ 9216997 w 12192000"/>
              <a:gd name="csY5537" fmla="*/ 2208655 h 6858000"/>
              <a:gd name="csX5538" fmla="*/ 9251337 w 12192000"/>
              <a:gd name="csY5538" fmla="*/ 2173834 h 6858000"/>
              <a:gd name="csX5539" fmla="*/ 9216997 w 12192000"/>
              <a:gd name="csY5539" fmla="*/ 2139014 h 6858000"/>
              <a:gd name="csX5540" fmla="*/ 9300738 w 12192000"/>
              <a:gd name="csY5540" fmla="*/ 2139014 h 6858000"/>
              <a:gd name="csX5541" fmla="*/ 9266385 w 12192000"/>
              <a:gd name="csY5541" fmla="*/ 2173834 h 6858000"/>
              <a:gd name="csX5542" fmla="*/ 9300738 w 12192000"/>
              <a:gd name="csY5542" fmla="*/ 2208655 h 6858000"/>
              <a:gd name="csX5543" fmla="*/ 9335078 w 12192000"/>
              <a:gd name="csY5543" fmla="*/ 2173834 h 6858000"/>
              <a:gd name="csX5544" fmla="*/ 9300738 w 12192000"/>
              <a:gd name="csY5544" fmla="*/ 2139014 h 6858000"/>
              <a:gd name="csX5545" fmla="*/ 9384480 w 12192000"/>
              <a:gd name="csY5545" fmla="*/ 2139014 h 6858000"/>
              <a:gd name="csX5546" fmla="*/ 9350127 w 12192000"/>
              <a:gd name="csY5546" fmla="*/ 2173834 h 6858000"/>
              <a:gd name="csX5547" fmla="*/ 9384480 w 12192000"/>
              <a:gd name="csY5547" fmla="*/ 2208655 h 6858000"/>
              <a:gd name="csX5548" fmla="*/ 9418821 w 12192000"/>
              <a:gd name="csY5548" fmla="*/ 2173834 h 6858000"/>
              <a:gd name="csX5549" fmla="*/ 9384480 w 12192000"/>
              <a:gd name="csY5549" fmla="*/ 2139014 h 6858000"/>
              <a:gd name="csX5550" fmla="*/ 9468222 w 12192000"/>
              <a:gd name="csY5550" fmla="*/ 2139014 h 6858000"/>
              <a:gd name="csX5551" fmla="*/ 9433869 w 12192000"/>
              <a:gd name="csY5551" fmla="*/ 2173834 h 6858000"/>
              <a:gd name="csX5552" fmla="*/ 9468222 w 12192000"/>
              <a:gd name="csY5552" fmla="*/ 2208655 h 6858000"/>
              <a:gd name="csX5553" fmla="*/ 9502562 w 12192000"/>
              <a:gd name="csY5553" fmla="*/ 2173834 h 6858000"/>
              <a:gd name="csX5554" fmla="*/ 9468222 w 12192000"/>
              <a:gd name="csY5554" fmla="*/ 2139014 h 6858000"/>
              <a:gd name="csX5555" fmla="*/ 9551963 w 12192000"/>
              <a:gd name="csY5555" fmla="*/ 2139014 h 6858000"/>
              <a:gd name="csX5556" fmla="*/ 9517610 w 12192000"/>
              <a:gd name="csY5556" fmla="*/ 2173834 h 6858000"/>
              <a:gd name="csX5557" fmla="*/ 9551963 w 12192000"/>
              <a:gd name="csY5557" fmla="*/ 2208655 h 6858000"/>
              <a:gd name="csX5558" fmla="*/ 9586303 w 12192000"/>
              <a:gd name="csY5558" fmla="*/ 2173834 h 6858000"/>
              <a:gd name="csX5559" fmla="*/ 9551963 w 12192000"/>
              <a:gd name="csY5559" fmla="*/ 2139014 h 6858000"/>
              <a:gd name="csX5560" fmla="*/ 9635705 w 12192000"/>
              <a:gd name="csY5560" fmla="*/ 2139014 h 6858000"/>
              <a:gd name="csX5561" fmla="*/ 9601352 w 12192000"/>
              <a:gd name="csY5561" fmla="*/ 2173834 h 6858000"/>
              <a:gd name="csX5562" fmla="*/ 9635705 w 12192000"/>
              <a:gd name="csY5562" fmla="*/ 2208655 h 6858000"/>
              <a:gd name="csX5563" fmla="*/ 9670045 w 12192000"/>
              <a:gd name="csY5563" fmla="*/ 2173834 h 6858000"/>
              <a:gd name="csX5564" fmla="*/ 9635705 w 12192000"/>
              <a:gd name="csY5564" fmla="*/ 2139014 h 6858000"/>
              <a:gd name="csX5565" fmla="*/ 9719446 w 12192000"/>
              <a:gd name="csY5565" fmla="*/ 2139014 h 6858000"/>
              <a:gd name="csX5566" fmla="*/ 9685093 w 12192000"/>
              <a:gd name="csY5566" fmla="*/ 2173834 h 6858000"/>
              <a:gd name="csX5567" fmla="*/ 9719446 w 12192000"/>
              <a:gd name="csY5567" fmla="*/ 2208655 h 6858000"/>
              <a:gd name="csX5568" fmla="*/ 9753787 w 12192000"/>
              <a:gd name="csY5568" fmla="*/ 2173834 h 6858000"/>
              <a:gd name="csX5569" fmla="*/ 9719446 w 12192000"/>
              <a:gd name="csY5569" fmla="*/ 2139014 h 6858000"/>
              <a:gd name="csX5570" fmla="*/ 9803189 w 12192000"/>
              <a:gd name="csY5570" fmla="*/ 2139014 h 6858000"/>
              <a:gd name="csX5571" fmla="*/ 9768836 w 12192000"/>
              <a:gd name="csY5571" fmla="*/ 2173834 h 6858000"/>
              <a:gd name="csX5572" fmla="*/ 9803189 w 12192000"/>
              <a:gd name="csY5572" fmla="*/ 2208655 h 6858000"/>
              <a:gd name="csX5573" fmla="*/ 9837529 w 12192000"/>
              <a:gd name="csY5573" fmla="*/ 2173834 h 6858000"/>
              <a:gd name="csX5574" fmla="*/ 9803189 w 12192000"/>
              <a:gd name="csY5574" fmla="*/ 2139014 h 6858000"/>
              <a:gd name="csX5575" fmla="*/ 9886930 w 12192000"/>
              <a:gd name="csY5575" fmla="*/ 2139014 h 6858000"/>
              <a:gd name="csX5576" fmla="*/ 9852577 w 12192000"/>
              <a:gd name="csY5576" fmla="*/ 2173834 h 6858000"/>
              <a:gd name="csX5577" fmla="*/ 9886930 w 12192000"/>
              <a:gd name="csY5577" fmla="*/ 2208655 h 6858000"/>
              <a:gd name="csX5578" fmla="*/ 9921270 w 12192000"/>
              <a:gd name="csY5578" fmla="*/ 2173834 h 6858000"/>
              <a:gd name="csX5579" fmla="*/ 9886930 w 12192000"/>
              <a:gd name="csY5579" fmla="*/ 2139014 h 6858000"/>
              <a:gd name="csX5580" fmla="*/ 10305638 w 12192000"/>
              <a:gd name="csY5580" fmla="*/ 2139014 h 6858000"/>
              <a:gd name="csX5581" fmla="*/ 10271285 w 12192000"/>
              <a:gd name="csY5581" fmla="*/ 2173834 h 6858000"/>
              <a:gd name="csX5582" fmla="*/ 10305638 w 12192000"/>
              <a:gd name="csY5582" fmla="*/ 2208655 h 6858000"/>
              <a:gd name="csX5583" fmla="*/ 10339978 w 12192000"/>
              <a:gd name="csY5583" fmla="*/ 2173834 h 6858000"/>
              <a:gd name="csX5584" fmla="*/ 10305638 w 12192000"/>
              <a:gd name="csY5584" fmla="*/ 2139014 h 6858000"/>
              <a:gd name="csX5585" fmla="*/ 2266416 w 12192000"/>
              <a:gd name="csY5585" fmla="*/ 2223879 h 6858000"/>
              <a:gd name="csX5586" fmla="*/ 2232069 w 12192000"/>
              <a:gd name="csY5586" fmla="*/ 2258699 h 6858000"/>
              <a:gd name="csX5587" fmla="*/ 2266416 w 12192000"/>
              <a:gd name="csY5587" fmla="*/ 2293519 h 6858000"/>
              <a:gd name="csX5588" fmla="*/ 2300762 w 12192000"/>
              <a:gd name="csY5588" fmla="*/ 2258699 h 6858000"/>
              <a:gd name="csX5589" fmla="*/ 2266416 w 12192000"/>
              <a:gd name="csY5589" fmla="*/ 2223879 h 6858000"/>
              <a:gd name="csX5590" fmla="*/ 2350151 w 12192000"/>
              <a:gd name="csY5590" fmla="*/ 2223879 h 6858000"/>
              <a:gd name="csX5591" fmla="*/ 2315804 w 12192000"/>
              <a:gd name="csY5591" fmla="*/ 2258699 h 6858000"/>
              <a:gd name="csX5592" fmla="*/ 2350151 w 12192000"/>
              <a:gd name="csY5592" fmla="*/ 2293519 h 6858000"/>
              <a:gd name="csX5593" fmla="*/ 2384498 w 12192000"/>
              <a:gd name="csY5593" fmla="*/ 2258699 h 6858000"/>
              <a:gd name="csX5594" fmla="*/ 2350151 w 12192000"/>
              <a:gd name="csY5594" fmla="*/ 2223879 h 6858000"/>
              <a:gd name="csX5595" fmla="*/ 2433893 w 12192000"/>
              <a:gd name="csY5595" fmla="*/ 2223879 h 6858000"/>
              <a:gd name="csX5596" fmla="*/ 2399546 w 12192000"/>
              <a:gd name="csY5596" fmla="*/ 2258699 h 6858000"/>
              <a:gd name="csX5597" fmla="*/ 2433893 w 12192000"/>
              <a:gd name="csY5597" fmla="*/ 2293519 h 6858000"/>
              <a:gd name="csX5598" fmla="*/ 2468240 w 12192000"/>
              <a:gd name="csY5598" fmla="*/ 2258699 h 6858000"/>
              <a:gd name="csX5599" fmla="*/ 2433893 w 12192000"/>
              <a:gd name="csY5599" fmla="*/ 2223879 h 6858000"/>
              <a:gd name="csX5600" fmla="*/ 2517634 w 12192000"/>
              <a:gd name="csY5600" fmla="*/ 2223879 h 6858000"/>
              <a:gd name="csX5601" fmla="*/ 2483288 w 12192000"/>
              <a:gd name="csY5601" fmla="*/ 2258699 h 6858000"/>
              <a:gd name="csX5602" fmla="*/ 2517634 w 12192000"/>
              <a:gd name="csY5602" fmla="*/ 2293519 h 6858000"/>
              <a:gd name="csX5603" fmla="*/ 2551981 w 12192000"/>
              <a:gd name="csY5603" fmla="*/ 2258699 h 6858000"/>
              <a:gd name="csX5604" fmla="*/ 2517634 w 12192000"/>
              <a:gd name="csY5604" fmla="*/ 2223879 h 6858000"/>
              <a:gd name="csX5605" fmla="*/ 2601376 w 12192000"/>
              <a:gd name="csY5605" fmla="*/ 2223879 h 6858000"/>
              <a:gd name="csX5606" fmla="*/ 2567029 w 12192000"/>
              <a:gd name="csY5606" fmla="*/ 2258699 h 6858000"/>
              <a:gd name="csX5607" fmla="*/ 2601376 w 12192000"/>
              <a:gd name="csY5607" fmla="*/ 2293519 h 6858000"/>
              <a:gd name="csX5608" fmla="*/ 2635722 w 12192000"/>
              <a:gd name="csY5608" fmla="*/ 2258699 h 6858000"/>
              <a:gd name="csX5609" fmla="*/ 2601376 w 12192000"/>
              <a:gd name="csY5609" fmla="*/ 2223879 h 6858000"/>
              <a:gd name="csX5610" fmla="*/ 2685118 w 12192000"/>
              <a:gd name="csY5610" fmla="*/ 2223879 h 6858000"/>
              <a:gd name="csX5611" fmla="*/ 2650771 w 12192000"/>
              <a:gd name="csY5611" fmla="*/ 2258699 h 6858000"/>
              <a:gd name="csX5612" fmla="*/ 2685118 w 12192000"/>
              <a:gd name="csY5612" fmla="*/ 2293519 h 6858000"/>
              <a:gd name="csX5613" fmla="*/ 2719465 w 12192000"/>
              <a:gd name="csY5613" fmla="*/ 2258699 h 6858000"/>
              <a:gd name="csX5614" fmla="*/ 2685118 w 12192000"/>
              <a:gd name="csY5614" fmla="*/ 2223879 h 6858000"/>
              <a:gd name="csX5615" fmla="*/ 2768859 w 12192000"/>
              <a:gd name="csY5615" fmla="*/ 2223879 h 6858000"/>
              <a:gd name="csX5616" fmla="*/ 2734512 w 12192000"/>
              <a:gd name="csY5616" fmla="*/ 2258699 h 6858000"/>
              <a:gd name="csX5617" fmla="*/ 2768859 w 12192000"/>
              <a:gd name="csY5617" fmla="*/ 2293519 h 6858000"/>
              <a:gd name="csX5618" fmla="*/ 2803206 w 12192000"/>
              <a:gd name="csY5618" fmla="*/ 2258699 h 6858000"/>
              <a:gd name="csX5619" fmla="*/ 2768859 w 12192000"/>
              <a:gd name="csY5619" fmla="*/ 2223879 h 6858000"/>
              <a:gd name="csX5620" fmla="*/ 2852600 w 12192000"/>
              <a:gd name="csY5620" fmla="*/ 2223879 h 6858000"/>
              <a:gd name="csX5621" fmla="*/ 2818254 w 12192000"/>
              <a:gd name="csY5621" fmla="*/ 2258699 h 6858000"/>
              <a:gd name="csX5622" fmla="*/ 2852600 w 12192000"/>
              <a:gd name="csY5622" fmla="*/ 2293519 h 6858000"/>
              <a:gd name="csX5623" fmla="*/ 2886947 w 12192000"/>
              <a:gd name="csY5623" fmla="*/ 2258699 h 6858000"/>
              <a:gd name="csX5624" fmla="*/ 2852600 w 12192000"/>
              <a:gd name="csY5624" fmla="*/ 2223879 h 6858000"/>
              <a:gd name="csX5625" fmla="*/ 2936343 w 12192000"/>
              <a:gd name="csY5625" fmla="*/ 2223879 h 6858000"/>
              <a:gd name="csX5626" fmla="*/ 2901996 w 12192000"/>
              <a:gd name="csY5626" fmla="*/ 2258699 h 6858000"/>
              <a:gd name="csX5627" fmla="*/ 2936343 w 12192000"/>
              <a:gd name="csY5627" fmla="*/ 2293519 h 6858000"/>
              <a:gd name="csX5628" fmla="*/ 2970689 w 12192000"/>
              <a:gd name="csY5628" fmla="*/ 2258699 h 6858000"/>
              <a:gd name="csX5629" fmla="*/ 2936343 w 12192000"/>
              <a:gd name="csY5629" fmla="*/ 2223879 h 6858000"/>
              <a:gd name="csX5630" fmla="*/ 3020084 w 12192000"/>
              <a:gd name="csY5630" fmla="*/ 2223879 h 6858000"/>
              <a:gd name="csX5631" fmla="*/ 2985737 w 12192000"/>
              <a:gd name="csY5631" fmla="*/ 2258699 h 6858000"/>
              <a:gd name="csX5632" fmla="*/ 3020084 w 12192000"/>
              <a:gd name="csY5632" fmla="*/ 2293519 h 6858000"/>
              <a:gd name="csX5633" fmla="*/ 3054431 w 12192000"/>
              <a:gd name="csY5633" fmla="*/ 2258699 h 6858000"/>
              <a:gd name="csX5634" fmla="*/ 3020084 w 12192000"/>
              <a:gd name="csY5634" fmla="*/ 2223879 h 6858000"/>
              <a:gd name="csX5635" fmla="*/ 3187567 w 12192000"/>
              <a:gd name="csY5635" fmla="*/ 2223879 h 6858000"/>
              <a:gd name="csX5636" fmla="*/ 3153221 w 12192000"/>
              <a:gd name="csY5636" fmla="*/ 2258699 h 6858000"/>
              <a:gd name="csX5637" fmla="*/ 3187567 w 12192000"/>
              <a:gd name="csY5637" fmla="*/ 2293519 h 6858000"/>
              <a:gd name="csX5638" fmla="*/ 3221914 w 12192000"/>
              <a:gd name="csY5638" fmla="*/ 2258699 h 6858000"/>
              <a:gd name="csX5639" fmla="*/ 3187567 w 12192000"/>
              <a:gd name="csY5639" fmla="*/ 2223879 h 6858000"/>
              <a:gd name="csX5640" fmla="*/ 3355051 w 12192000"/>
              <a:gd name="csY5640" fmla="*/ 2223879 h 6858000"/>
              <a:gd name="csX5641" fmla="*/ 3320704 w 12192000"/>
              <a:gd name="csY5641" fmla="*/ 2258699 h 6858000"/>
              <a:gd name="csX5642" fmla="*/ 3355051 w 12192000"/>
              <a:gd name="csY5642" fmla="*/ 2293519 h 6858000"/>
              <a:gd name="csX5643" fmla="*/ 3389398 w 12192000"/>
              <a:gd name="csY5643" fmla="*/ 2258699 h 6858000"/>
              <a:gd name="csX5644" fmla="*/ 3355051 w 12192000"/>
              <a:gd name="csY5644" fmla="*/ 2223879 h 6858000"/>
              <a:gd name="csX5645" fmla="*/ 3438792 w 12192000"/>
              <a:gd name="csY5645" fmla="*/ 2223879 h 6858000"/>
              <a:gd name="csX5646" fmla="*/ 3404445 w 12192000"/>
              <a:gd name="csY5646" fmla="*/ 2258699 h 6858000"/>
              <a:gd name="csX5647" fmla="*/ 3438792 w 12192000"/>
              <a:gd name="csY5647" fmla="*/ 2293519 h 6858000"/>
              <a:gd name="csX5648" fmla="*/ 3473139 w 12192000"/>
              <a:gd name="csY5648" fmla="*/ 2258699 h 6858000"/>
              <a:gd name="csX5649" fmla="*/ 3438792 w 12192000"/>
              <a:gd name="csY5649" fmla="*/ 2223879 h 6858000"/>
              <a:gd name="csX5650" fmla="*/ 3522533 w 12192000"/>
              <a:gd name="csY5650" fmla="*/ 2223879 h 6858000"/>
              <a:gd name="csX5651" fmla="*/ 3488187 w 12192000"/>
              <a:gd name="csY5651" fmla="*/ 2258699 h 6858000"/>
              <a:gd name="csX5652" fmla="*/ 3522533 w 12192000"/>
              <a:gd name="csY5652" fmla="*/ 2293519 h 6858000"/>
              <a:gd name="csX5653" fmla="*/ 3556880 w 12192000"/>
              <a:gd name="csY5653" fmla="*/ 2258699 h 6858000"/>
              <a:gd name="csX5654" fmla="*/ 3522533 w 12192000"/>
              <a:gd name="csY5654" fmla="*/ 2223879 h 6858000"/>
              <a:gd name="csX5655" fmla="*/ 3773759 w 12192000"/>
              <a:gd name="csY5655" fmla="*/ 2223879 h 6858000"/>
              <a:gd name="csX5656" fmla="*/ 3739412 w 12192000"/>
              <a:gd name="csY5656" fmla="*/ 2258699 h 6858000"/>
              <a:gd name="csX5657" fmla="*/ 3773759 w 12192000"/>
              <a:gd name="csY5657" fmla="*/ 2293519 h 6858000"/>
              <a:gd name="csX5658" fmla="*/ 3808106 w 12192000"/>
              <a:gd name="csY5658" fmla="*/ 2258699 h 6858000"/>
              <a:gd name="csX5659" fmla="*/ 3773759 w 12192000"/>
              <a:gd name="csY5659" fmla="*/ 2223879 h 6858000"/>
              <a:gd name="csX5660" fmla="*/ 3857500 w 12192000"/>
              <a:gd name="csY5660" fmla="*/ 2223879 h 6858000"/>
              <a:gd name="csX5661" fmla="*/ 3823154 w 12192000"/>
              <a:gd name="csY5661" fmla="*/ 2258699 h 6858000"/>
              <a:gd name="csX5662" fmla="*/ 3857500 w 12192000"/>
              <a:gd name="csY5662" fmla="*/ 2293519 h 6858000"/>
              <a:gd name="csX5663" fmla="*/ 3891847 w 12192000"/>
              <a:gd name="csY5663" fmla="*/ 2258699 h 6858000"/>
              <a:gd name="csX5664" fmla="*/ 3857500 w 12192000"/>
              <a:gd name="csY5664" fmla="*/ 2223879 h 6858000"/>
              <a:gd name="csX5665" fmla="*/ 3941242 w 12192000"/>
              <a:gd name="csY5665" fmla="*/ 2223879 h 6858000"/>
              <a:gd name="csX5666" fmla="*/ 3906895 w 12192000"/>
              <a:gd name="csY5666" fmla="*/ 2258699 h 6858000"/>
              <a:gd name="csX5667" fmla="*/ 3941242 w 12192000"/>
              <a:gd name="csY5667" fmla="*/ 2293519 h 6858000"/>
              <a:gd name="csX5668" fmla="*/ 3975588 w 12192000"/>
              <a:gd name="csY5668" fmla="*/ 2258699 h 6858000"/>
              <a:gd name="csX5669" fmla="*/ 3941242 w 12192000"/>
              <a:gd name="csY5669" fmla="*/ 2223879 h 6858000"/>
              <a:gd name="csX5670" fmla="*/ 4024990 w 12192000"/>
              <a:gd name="csY5670" fmla="*/ 2223879 h 6858000"/>
              <a:gd name="csX5671" fmla="*/ 3990643 w 12192000"/>
              <a:gd name="csY5671" fmla="*/ 2258699 h 6858000"/>
              <a:gd name="csX5672" fmla="*/ 4024990 w 12192000"/>
              <a:gd name="csY5672" fmla="*/ 2293519 h 6858000"/>
              <a:gd name="csX5673" fmla="*/ 4059337 w 12192000"/>
              <a:gd name="csY5673" fmla="*/ 2258699 h 6858000"/>
              <a:gd name="csX5674" fmla="*/ 4024990 w 12192000"/>
              <a:gd name="csY5674" fmla="*/ 2223879 h 6858000"/>
              <a:gd name="csX5675" fmla="*/ 4108732 w 12192000"/>
              <a:gd name="csY5675" fmla="*/ 2223879 h 6858000"/>
              <a:gd name="csX5676" fmla="*/ 4074386 w 12192000"/>
              <a:gd name="csY5676" fmla="*/ 2258699 h 6858000"/>
              <a:gd name="csX5677" fmla="*/ 4108732 w 12192000"/>
              <a:gd name="csY5677" fmla="*/ 2293519 h 6858000"/>
              <a:gd name="csX5678" fmla="*/ 4143079 w 12192000"/>
              <a:gd name="csY5678" fmla="*/ 2258699 h 6858000"/>
              <a:gd name="csX5679" fmla="*/ 4108732 w 12192000"/>
              <a:gd name="csY5679" fmla="*/ 2223879 h 6858000"/>
              <a:gd name="csX5680" fmla="*/ 5699823 w 12192000"/>
              <a:gd name="csY5680" fmla="*/ 2223879 h 6858000"/>
              <a:gd name="csX5681" fmla="*/ 5665476 w 12192000"/>
              <a:gd name="csY5681" fmla="*/ 2258699 h 6858000"/>
              <a:gd name="csX5682" fmla="*/ 5699823 w 12192000"/>
              <a:gd name="csY5682" fmla="*/ 2293519 h 6858000"/>
              <a:gd name="csX5683" fmla="*/ 5734170 w 12192000"/>
              <a:gd name="csY5683" fmla="*/ 2258699 h 6858000"/>
              <a:gd name="csX5684" fmla="*/ 5699823 w 12192000"/>
              <a:gd name="csY5684" fmla="*/ 2223879 h 6858000"/>
              <a:gd name="csX5685" fmla="*/ 6202273 w 12192000"/>
              <a:gd name="csY5685" fmla="*/ 2223879 h 6858000"/>
              <a:gd name="csX5686" fmla="*/ 6167920 w 12192000"/>
              <a:gd name="csY5686" fmla="*/ 2258699 h 6858000"/>
              <a:gd name="csX5687" fmla="*/ 6202273 w 12192000"/>
              <a:gd name="csY5687" fmla="*/ 2293519 h 6858000"/>
              <a:gd name="csX5688" fmla="*/ 6236613 w 12192000"/>
              <a:gd name="csY5688" fmla="*/ 2258699 h 6858000"/>
              <a:gd name="csX5689" fmla="*/ 6202273 w 12192000"/>
              <a:gd name="csY5689" fmla="*/ 2223879 h 6858000"/>
              <a:gd name="csX5690" fmla="*/ 6453498 w 12192000"/>
              <a:gd name="csY5690" fmla="*/ 2223879 h 6858000"/>
              <a:gd name="csX5691" fmla="*/ 6419144 w 12192000"/>
              <a:gd name="csY5691" fmla="*/ 2258699 h 6858000"/>
              <a:gd name="csX5692" fmla="*/ 6453498 w 12192000"/>
              <a:gd name="csY5692" fmla="*/ 2293519 h 6858000"/>
              <a:gd name="csX5693" fmla="*/ 6487838 w 12192000"/>
              <a:gd name="csY5693" fmla="*/ 2258699 h 6858000"/>
              <a:gd name="csX5694" fmla="*/ 6453498 w 12192000"/>
              <a:gd name="csY5694" fmla="*/ 2223879 h 6858000"/>
              <a:gd name="csX5695" fmla="*/ 6537239 w 12192000"/>
              <a:gd name="csY5695" fmla="*/ 2223879 h 6858000"/>
              <a:gd name="csX5696" fmla="*/ 6502886 w 12192000"/>
              <a:gd name="csY5696" fmla="*/ 2258699 h 6858000"/>
              <a:gd name="csX5697" fmla="*/ 6537239 w 12192000"/>
              <a:gd name="csY5697" fmla="*/ 2293519 h 6858000"/>
              <a:gd name="csX5698" fmla="*/ 6571579 w 12192000"/>
              <a:gd name="csY5698" fmla="*/ 2258699 h 6858000"/>
              <a:gd name="csX5699" fmla="*/ 6537239 w 12192000"/>
              <a:gd name="csY5699" fmla="*/ 2223879 h 6858000"/>
              <a:gd name="csX5700" fmla="*/ 6620980 w 12192000"/>
              <a:gd name="csY5700" fmla="*/ 2223879 h 6858000"/>
              <a:gd name="csX5701" fmla="*/ 6586627 w 12192000"/>
              <a:gd name="csY5701" fmla="*/ 2258699 h 6858000"/>
              <a:gd name="csX5702" fmla="*/ 6620980 w 12192000"/>
              <a:gd name="csY5702" fmla="*/ 2293519 h 6858000"/>
              <a:gd name="csX5703" fmla="*/ 6655320 w 12192000"/>
              <a:gd name="csY5703" fmla="*/ 2258699 h 6858000"/>
              <a:gd name="csX5704" fmla="*/ 6620980 w 12192000"/>
              <a:gd name="csY5704" fmla="*/ 2223879 h 6858000"/>
              <a:gd name="csX5705" fmla="*/ 6704722 w 12192000"/>
              <a:gd name="csY5705" fmla="*/ 2223879 h 6858000"/>
              <a:gd name="csX5706" fmla="*/ 6670369 w 12192000"/>
              <a:gd name="csY5706" fmla="*/ 2258699 h 6858000"/>
              <a:gd name="csX5707" fmla="*/ 6704722 w 12192000"/>
              <a:gd name="csY5707" fmla="*/ 2293519 h 6858000"/>
              <a:gd name="csX5708" fmla="*/ 6739063 w 12192000"/>
              <a:gd name="csY5708" fmla="*/ 2258699 h 6858000"/>
              <a:gd name="csX5709" fmla="*/ 6704722 w 12192000"/>
              <a:gd name="csY5709" fmla="*/ 2223879 h 6858000"/>
              <a:gd name="csX5710" fmla="*/ 6788464 w 12192000"/>
              <a:gd name="csY5710" fmla="*/ 2223879 h 6858000"/>
              <a:gd name="csX5711" fmla="*/ 6754110 w 12192000"/>
              <a:gd name="csY5711" fmla="*/ 2258699 h 6858000"/>
              <a:gd name="csX5712" fmla="*/ 6788464 w 12192000"/>
              <a:gd name="csY5712" fmla="*/ 2293519 h 6858000"/>
              <a:gd name="csX5713" fmla="*/ 6822804 w 12192000"/>
              <a:gd name="csY5713" fmla="*/ 2258699 h 6858000"/>
              <a:gd name="csX5714" fmla="*/ 6788464 w 12192000"/>
              <a:gd name="csY5714" fmla="*/ 2223879 h 6858000"/>
              <a:gd name="csX5715" fmla="*/ 6872206 w 12192000"/>
              <a:gd name="csY5715" fmla="*/ 2223879 h 6858000"/>
              <a:gd name="csX5716" fmla="*/ 6837853 w 12192000"/>
              <a:gd name="csY5716" fmla="*/ 2258699 h 6858000"/>
              <a:gd name="csX5717" fmla="*/ 6872206 w 12192000"/>
              <a:gd name="csY5717" fmla="*/ 2293519 h 6858000"/>
              <a:gd name="csX5718" fmla="*/ 6906546 w 12192000"/>
              <a:gd name="csY5718" fmla="*/ 2258699 h 6858000"/>
              <a:gd name="csX5719" fmla="*/ 6872206 w 12192000"/>
              <a:gd name="csY5719" fmla="*/ 2223879 h 6858000"/>
              <a:gd name="csX5720" fmla="*/ 6955947 w 12192000"/>
              <a:gd name="csY5720" fmla="*/ 2223879 h 6858000"/>
              <a:gd name="csX5721" fmla="*/ 6921594 w 12192000"/>
              <a:gd name="csY5721" fmla="*/ 2258699 h 6858000"/>
              <a:gd name="csX5722" fmla="*/ 6955947 w 12192000"/>
              <a:gd name="csY5722" fmla="*/ 2293519 h 6858000"/>
              <a:gd name="csX5723" fmla="*/ 6990287 w 12192000"/>
              <a:gd name="csY5723" fmla="*/ 2258699 h 6858000"/>
              <a:gd name="csX5724" fmla="*/ 6955947 w 12192000"/>
              <a:gd name="csY5724" fmla="*/ 2223879 h 6858000"/>
              <a:gd name="csX5725" fmla="*/ 7039688 w 12192000"/>
              <a:gd name="csY5725" fmla="*/ 2223879 h 6858000"/>
              <a:gd name="csX5726" fmla="*/ 7005335 w 12192000"/>
              <a:gd name="csY5726" fmla="*/ 2258699 h 6858000"/>
              <a:gd name="csX5727" fmla="*/ 7039688 w 12192000"/>
              <a:gd name="csY5727" fmla="*/ 2293519 h 6858000"/>
              <a:gd name="csX5728" fmla="*/ 7074029 w 12192000"/>
              <a:gd name="csY5728" fmla="*/ 2258699 h 6858000"/>
              <a:gd name="csX5729" fmla="*/ 7039688 w 12192000"/>
              <a:gd name="csY5729" fmla="*/ 2223879 h 6858000"/>
              <a:gd name="csX5730" fmla="*/ 7123456 w 12192000"/>
              <a:gd name="csY5730" fmla="*/ 2223879 h 6858000"/>
              <a:gd name="csX5731" fmla="*/ 7089103 w 12192000"/>
              <a:gd name="csY5731" fmla="*/ 2258699 h 6858000"/>
              <a:gd name="csX5732" fmla="*/ 7123456 w 12192000"/>
              <a:gd name="csY5732" fmla="*/ 2293519 h 6858000"/>
              <a:gd name="csX5733" fmla="*/ 7157796 w 12192000"/>
              <a:gd name="csY5733" fmla="*/ 2258699 h 6858000"/>
              <a:gd name="csX5734" fmla="*/ 7123456 w 12192000"/>
              <a:gd name="csY5734" fmla="*/ 2223879 h 6858000"/>
              <a:gd name="csX5735" fmla="*/ 7207198 w 12192000"/>
              <a:gd name="csY5735" fmla="*/ 2223879 h 6858000"/>
              <a:gd name="csX5736" fmla="*/ 7172845 w 12192000"/>
              <a:gd name="csY5736" fmla="*/ 2258699 h 6858000"/>
              <a:gd name="csX5737" fmla="*/ 7207198 w 12192000"/>
              <a:gd name="csY5737" fmla="*/ 2293519 h 6858000"/>
              <a:gd name="csX5738" fmla="*/ 7241538 w 12192000"/>
              <a:gd name="csY5738" fmla="*/ 2258699 h 6858000"/>
              <a:gd name="csX5739" fmla="*/ 7207198 w 12192000"/>
              <a:gd name="csY5739" fmla="*/ 2223879 h 6858000"/>
              <a:gd name="csX5740" fmla="*/ 7290939 w 12192000"/>
              <a:gd name="csY5740" fmla="*/ 2223879 h 6858000"/>
              <a:gd name="csX5741" fmla="*/ 7256586 w 12192000"/>
              <a:gd name="csY5741" fmla="*/ 2258699 h 6858000"/>
              <a:gd name="csX5742" fmla="*/ 7290939 w 12192000"/>
              <a:gd name="csY5742" fmla="*/ 2293519 h 6858000"/>
              <a:gd name="csX5743" fmla="*/ 7325279 w 12192000"/>
              <a:gd name="csY5743" fmla="*/ 2258699 h 6858000"/>
              <a:gd name="csX5744" fmla="*/ 7290939 w 12192000"/>
              <a:gd name="csY5744" fmla="*/ 2223879 h 6858000"/>
              <a:gd name="csX5745" fmla="*/ 7374681 w 12192000"/>
              <a:gd name="csY5745" fmla="*/ 2223879 h 6858000"/>
              <a:gd name="csX5746" fmla="*/ 7340328 w 12192000"/>
              <a:gd name="csY5746" fmla="*/ 2258699 h 6858000"/>
              <a:gd name="csX5747" fmla="*/ 7374681 w 12192000"/>
              <a:gd name="csY5747" fmla="*/ 2293519 h 6858000"/>
              <a:gd name="csX5748" fmla="*/ 7409022 w 12192000"/>
              <a:gd name="csY5748" fmla="*/ 2258699 h 6858000"/>
              <a:gd name="csX5749" fmla="*/ 7374681 w 12192000"/>
              <a:gd name="csY5749" fmla="*/ 2223879 h 6858000"/>
              <a:gd name="csX5750" fmla="*/ 7458423 w 12192000"/>
              <a:gd name="csY5750" fmla="*/ 2223879 h 6858000"/>
              <a:gd name="csX5751" fmla="*/ 7424070 w 12192000"/>
              <a:gd name="csY5751" fmla="*/ 2258699 h 6858000"/>
              <a:gd name="csX5752" fmla="*/ 7458423 w 12192000"/>
              <a:gd name="csY5752" fmla="*/ 2293519 h 6858000"/>
              <a:gd name="csX5753" fmla="*/ 7492763 w 12192000"/>
              <a:gd name="csY5753" fmla="*/ 2258699 h 6858000"/>
              <a:gd name="csX5754" fmla="*/ 7458423 w 12192000"/>
              <a:gd name="csY5754" fmla="*/ 2223879 h 6858000"/>
              <a:gd name="csX5755" fmla="*/ 7542164 w 12192000"/>
              <a:gd name="csY5755" fmla="*/ 2223879 h 6858000"/>
              <a:gd name="csX5756" fmla="*/ 7507811 w 12192000"/>
              <a:gd name="csY5756" fmla="*/ 2258699 h 6858000"/>
              <a:gd name="csX5757" fmla="*/ 7542164 w 12192000"/>
              <a:gd name="csY5757" fmla="*/ 2293519 h 6858000"/>
              <a:gd name="csX5758" fmla="*/ 7576504 w 12192000"/>
              <a:gd name="csY5758" fmla="*/ 2258699 h 6858000"/>
              <a:gd name="csX5759" fmla="*/ 7542164 w 12192000"/>
              <a:gd name="csY5759" fmla="*/ 2223879 h 6858000"/>
              <a:gd name="csX5760" fmla="*/ 7625906 w 12192000"/>
              <a:gd name="csY5760" fmla="*/ 2223879 h 6858000"/>
              <a:gd name="csX5761" fmla="*/ 7591553 w 12192000"/>
              <a:gd name="csY5761" fmla="*/ 2258699 h 6858000"/>
              <a:gd name="csX5762" fmla="*/ 7625906 w 12192000"/>
              <a:gd name="csY5762" fmla="*/ 2293519 h 6858000"/>
              <a:gd name="csX5763" fmla="*/ 7660246 w 12192000"/>
              <a:gd name="csY5763" fmla="*/ 2258699 h 6858000"/>
              <a:gd name="csX5764" fmla="*/ 7625906 w 12192000"/>
              <a:gd name="csY5764" fmla="*/ 2223879 h 6858000"/>
              <a:gd name="csX5765" fmla="*/ 7709647 w 12192000"/>
              <a:gd name="csY5765" fmla="*/ 2223879 h 6858000"/>
              <a:gd name="csX5766" fmla="*/ 7675294 w 12192000"/>
              <a:gd name="csY5766" fmla="*/ 2258699 h 6858000"/>
              <a:gd name="csX5767" fmla="*/ 7709647 w 12192000"/>
              <a:gd name="csY5767" fmla="*/ 2293519 h 6858000"/>
              <a:gd name="csX5768" fmla="*/ 7743988 w 12192000"/>
              <a:gd name="csY5768" fmla="*/ 2258699 h 6858000"/>
              <a:gd name="csX5769" fmla="*/ 7709647 w 12192000"/>
              <a:gd name="csY5769" fmla="*/ 2223879 h 6858000"/>
              <a:gd name="csX5770" fmla="*/ 7793389 w 12192000"/>
              <a:gd name="csY5770" fmla="*/ 2223879 h 6858000"/>
              <a:gd name="csX5771" fmla="*/ 7759036 w 12192000"/>
              <a:gd name="csY5771" fmla="*/ 2258699 h 6858000"/>
              <a:gd name="csX5772" fmla="*/ 7793389 w 12192000"/>
              <a:gd name="csY5772" fmla="*/ 2293519 h 6858000"/>
              <a:gd name="csX5773" fmla="*/ 7827729 w 12192000"/>
              <a:gd name="csY5773" fmla="*/ 2258699 h 6858000"/>
              <a:gd name="csX5774" fmla="*/ 7793389 w 12192000"/>
              <a:gd name="csY5774" fmla="*/ 2223879 h 6858000"/>
              <a:gd name="csX5775" fmla="*/ 7877131 w 12192000"/>
              <a:gd name="csY5775" fmla="*/ 2223879 h 6858000"/>
              <a:gd name="csX5776" fmla="*/ 7842778 w 12192000"/>
              <a:gd name="csY5776" fmla="*/ 2258699 h 6858000"/>
              <a:gd name="csX5777" fmla="*/ 7877131 w 12192000"/>
              <a:gd name="csY5777" fmla="*/ 2293519 h 6858000"/>
              <a:gd name="csX5778" fmla="*/ 7911471 w 12192000"/>
              <a:gd name="csY5778" fmla="*/ 2258699 h 6858000"/>
              <a:gd name="csX5779" fmla="*/ 7877131 w 12192000"/>
              <a:gd name="csY5779" fmla="*/ 2223879 h 6858000"/>
              <a:gd name="csX5780" fmla="*/ 7960872 w 12192000"/>
              <a:gd name="csY5780" fmla="*/ 2223879 h 6858000"/>
              <a:gd name="csX5781" fmla="*/ 7926519 w 12192000"/>
              <a:gd name="csY5781" fmla="*/ 2258699 h 6858000"/>
              <a:gd name="csX5782" fmla="*/ 7960872 w 12192000"/>
              <a:gd name="csY5782" fmla="*/ 2293519 h 6858000"/>
              <a:gd name="csX5783" fmla="*/ 7995212 w 12192000"/>
              <a:gd name="csY5783" fmla="*/ 2258699 h 6858000"/>
              <a:gd name="csX5784" fmla="*/ 7960872 w 12192000"/>
              <a:gd name="csY5784" fmla="*/ 2223879 h 6858000"/>
              <a:gd name="csX5785" fmla="*/ 8044614 w 12192000"/>
              <a:gd name="csY5785" fmla="*/ 2223879 h 6858000"/>
              <a:gd name="csX5786" fmla="*/ 8010261 w 12192000"/>
              <a:gd name="csY5786" fmla="*/ 2258699 h 6858000"/>
              <a:gd name="csX5787" fmla="*/ 8044614 w 12192000"/>
              <a:gd name="csY5787" fmla="*/ 2293519 h 6858000"/>
              <a:gd name="csX5788" fmla="*/ 8078955 w 12192000"/>
              <a:gd name="csY5788" fmla="*/ 2258699 h 6858000"/>
              <a:gd name="csX5789" fmla="*/ 8044614 w 12192000"/>
              <a:gd name="csY5789" fmla="*/ 2223879 h 6858000"/>
              <a:gd name="csX5790" fmla="*/ 8128356 w 12192000"/>
              <a:gd name="csY5790" fmla="*/ 2223879 h 6858000"/>
              <a:gd name="csX5791" fmla="*/ 8094003 w 12192000"/>
              <a:gd name="csY5791" fmla="*/ 2258699 h 6858000"/>
              <a:gd name="csX5792" fmla="*/ 8128356 w 12192000"/>
              <a:gd name="csY5792" fmla="*/ 2293519 h 6858000"/>
              <a:gd name="csX5793" fmla="*/ 8162696 w 12192000"/>
              <a:gd name="csY5793" fmla="*/ 2258699 h 6858000"/>
              <a:gd name="csX5794" fmla="*/ 8128356 w 12192000"/>
              <a:gd name="csY5794" fmla="*/ 2223879 h 6858000"/>
              <a:gd name="csX5795" fmla="*/ 8212097 w 12192000"/>
              <a:gd name="csY5795" fmla="*/ 2223879 h 6858000"/>
              <a:gd name="csX5796" fmla="*/ 8177744 w 12192000"/>
              <a:gd name="csY5796" fmla="*/ 2258699 h 6858000"/>
              <a:gd name="csX5797" fmla="*/ 8212097 w 12192000"/>
              <a:gd name="csY5797" fmla="*/ 2293519 h 6858000"/>
              <a:gd name="csX5798" fmla="*/ 8246437 w 12192000"/>
              <a:gd name="csY5798" fmla="*/ 2258699 h 6858000"/>
              <a:gd name="csX5799" fmla="*/ 8212097 w 12192000"/>
              <a:gd name="csY5799" fmla="*/ 2223879 h 6858000"/>
              <a:gd name="csX5800" fmla="*/ 8295839 w 12192000"/>
              <a:gd name="csY5800" fmla="*/ 2223879 h 6858000"/>
              <a:gd name="csX5801" fmla="*/ 8261486 w 12192000"/>
              <a:gd name="csY5801" fmla="*/ 2258699 h 6858000"/>
              <a:gd name="csX5802" fmla="*/ 8295839 w 12192000"/>
              <a:gd name="csY5802" fmla="*/ 2293519 h 6858000"/>
              <a:gd name="csX5803" fmla="*/ 8330179 w 12192000"/>
              <a:gd name="csY5803" fmla="*/ 2258699 h 6858000"/>
              <a:gd name="csX5804" fmla="*/ 8295839 w 12192000"/>
              <a:gd name="csY5804" fmla="*/ 2223879 h 6858000"/>
              <a:gd name="csX5805" fmla="*/ 8379580 w 12192000"/>
              <a:gd name="csY5805" fmla="*/ 2223879 h 6858000"/>
              <a:gd name="csX5806" fmla="*/ 8345227 w 12192000"/>
              <a:gd name="csY5806" fmla="*/ 2258699 h 6858000"/>
              <a:gd name="csX5807" fmla="*/ 8379580 w 12192000"/>
              <a:gd name="csY5807" fmla="*/ 2293519 h 6858000"/>
              <a:gd name="csX5808" fmla="*/ 8413921 w 12192000"/>
              <a:gd name="csY5808" fmla="*/ 2258699 h 6858000"/>
              <a:gd name="csX5809" fmla="*/ 8379580 w 12192000"/>
              <a:gd name="csY5809" fmla="*/ 2223879 h 6858000"/>
              <a:gd name="csX5810" fmla="*/ 8463323 w 12192000"/>
              <a:gd name="csY5810" fmla="*/ 2223879 h 6858000"/>
              <a:gd name="csX5811" fmla="*/ 8428970 w 12192000"/>
              <a:gd name="csY5811" fmla="*/ 2258699 h 6858000"/>
              <a:gd name="csX5812" fmla="*/ 8463323 w 12192000"/>
              <a:gd name="csY5812" fmla="*/ 2293519 h 6858000"/>
              <a:gd name="csX5813" fmla="*/ 8497663 w 12192000"/>
              <a:gd name="csY5813" fmla="*/ 2258699 h 6858000"/>
              <a:gd name="csX5814" fmla="*/ 8463323 w 12192000"/>
              <a:gd name="csY5814" fmla="*/ 2223879 h 6858000"/>
              <a:gd name="csX5815" fmla="*/ 8547064 w 12192000"/>
              <a:gd name="csY5815" fmla="*/ 2223879 h 6858000"/>
              <a:gd name="csX5816" fmla="*/ 8512711 w 12192000"/>
              <a:gd name="csY5816" fmla="*/ 2258699 h 6858000"/>
              <a:gd name="csX5817" fmla="*/ 8547064 w 12192000"/>
              <a:gd name="csY5817" fmla="*/ 2293519 h 6858000"/>
              <a:gd name="csX5818" fmla="*/ 8581404 w 12192000"/>
              <a:gd name="csY5818" fmla="*/ 2258699 h 6858000"/>
              <a:gd name="csX5819" fmla="*/ 8547064 w 12192000"/>
              <a:gd name="csY5819" fmla="*/ 2223879 h 6858000"/>
              <a:gd name="csX5820" fmla="*/ 8630805 w 12192000"/>
              <a:gd name="csY5820" fmla="*/ 2223879 h 6858000"/>
              <a:gd name="csX5821" fmla="*/ 8596452 w 12192000"/>
              <a:gd name="csY5821" fmla="*/ 2258699 h 6858000"/>
              <a:gd name="csX5822" fmla="*/ 8630805 w 12192000"/>
              <a:gd name="csY5822" fmla="*/ 2293519 h 6858000"/>
              <a:gd name="csX5823" fmla="*/ 8665145 w 12192000"/>
              <a:gd name="csY5823" fmla="*/ 2258699 h 6858000"/>
              <a:gd name="csX5824" fmla="*/ 8630805 w 12192000"/>
              <a:gd name="csY5824" fmla="*/ 2223879 h 6858000"/>
              <a:gd name="csX5825" fmla="*/ 8714547 w 12192000"/>
              <a:gd name="csY5825" fmla="*/ 2223879 h 6858000"/>
              <a:gd name="csX5826" fmla="*/ 8680194 w 12192000"/>
              <a:gd name="csY5826" fmla="*/ 2258699 h 6858000"/>
              <a:gd name="csX5827" fmla="*/ 8714547 w 12192000"/>
              <a:gd name="csY5827" fmla="*/ 2293519 h 6858000"/>
              <a:gd name="csX5828" fmla="*/ 8748888 w 12192000"/>
              <a:gd name="csY5828" fmla="*/ 2258699 h 6858000"/>
              <a:gd name="csX5829" fmla="*/ 8714547 w 12192000"/>
              <a:gd name="csY5829" fmla="*/ 2223879 h 6858000"/>
              <a:gd name="csX5830" fmla="*/ 8798289 w 12192000"/>
              <a:gd name="csY5830" fmla="*/ 2223879 h 6858000"/>
              <a:gd name="csX5831" fmla="*/ 8763936 w 12192000"/>
              <a:gd name="csY5831" fmla="*/ 2258699 h 6858000"/>
              <a:gd name="csX5832" fmla="*/ 8798289 w 12192000"/>
              <a:gd name="csY5832" fmla="*/ 2293519 h 6858000"/>
              <a:gd name="csX5833" fmla="*/ 8832629 w 12192000"/>
              <a:gd name="csY5833" fmla="*/ 2258699 h 6858000"/>
              <a:gd name="csX5834" fmla="*/ 8798289 w 12192000"/>
              <a:gd name="csY5834" fmla="*/ 2223879 h 6858000"/>
              <a:gd name="csX5835" fmla="*/ 8965772 w 12192000"/>
              <a:gd name="csY5835" fmla="*/ 2223879 h 6858000"/>
              <a:gd name="csX5836" fmla="*/ 8931419 w 12192000"/>
              <a:gd name="csY5836" fmla="*/ 2258699 h 6858000"/>
              <a:gd name="csX5837" fmla="*/ 8965772 w 12192000"/>
              <a:gd name="csY5837" fmla="*/ 2293519 h 6858000"/>
              <a:gd name="csX5838" fmla="*/ 9000112 w 12192000"/>
              <a:gd name="csY5838" fmla="*/ 2258699 h 6858000"/>
              <a:gd name="csX5839" fmla="*/ 8965772 w 12192000"/>
              <a:gd name="csY5839" fmla="*/ 2223879 h 6858000"/>
              <a:gd name="csX5840" fmla="*/ 9049513 w 12192000"/>
              <a:gd name="csY5840" fmla="*/ 2223879 h 6858000"/>
              <a:gd name="csX5841" fmla="*/ 9015160 w 12192000"/>
              <a:gd name="csY5841" fmla="*/ 2258699 h 6858000"/>
              <a:gd name="csX5842" fmla="*/ 9049513 w 12192000"/>
              <a:gd name="csY5842" fmla="*/ 2293519 h 6858000"/>
              <a:gd name="csX5843" fmla="*/ 9083854 w 12192000"/>
              <a:gd name="csY5843" fmla="*/ 2258699 h 6858000"/>
              <a:gd name="csX5844" fmla="*/ 9049513 w 12192000"/>
              <a:gd name="csY5844" fmla="*/ 2223879 h 6858000"/>
              <a:gd name="csX5845" fmla="*/ 9133256 w 12192000"/>
              <a:gd name="csY5845" fmla="*/ 2223879 h 6858000"/>
              <a:gd name="csX5846" fmla="*/ 9098903 w 12192000"/>
              <a:gd name="csY5846" fmla="*/ 2258699 h 6858000"/>
              <a:gd name="csX5847" fmla="*/ 9133256 w 12192000"/>
              <a:gd name="csY5847" fmla="*/ 2293519 h 6858000"/>
              <a:gd name="csX5848" fmla="*/ 9167596 w 12192000"/>
              <a:gd name="csY5848" fmla="*/ 2258699 h 6858000"/>
              <a:gd name="csX5849" fmla="*/ 9133256 w 12192000"/>
              <a:gd name="csY5849" fmla="*/ 2223879 h 6858000"/>
              <a:gd name="csX5850" fmla="*/ 9216997 w 12192000"/>
              <a:gd name="csY5850" fmla="*/ 2223879 h 6858000"/>
              <a:gd name="csX5851" fmla="*/ 9182644 w 12192000"/>
              <a:gd name="csY5851" fmla="*/ 2258699 h 6858000"/>
              <a:gd name="csX5852" fmla="*/ 9216997 w 12192000"/>
              <a:gd name="csY5852" fmla="*/ 2293519 h 6858000"/>
              <a:gd name="csX5853" fmla="*/ 9251337 w 12192000"/>
              <a:gd name="csY5853" fmla="*/ 2258699 h 6858000"/>
              <a:gd name="csX5854" fmla="*/ 9216997 w 12192000"/>
              <a:gd name="csY5854" fmla="*/ 2223879 h 6858000"/>
              <a:gd name="csX5855" fmla="*/ 9300738 w 12192000"/>
              <a:gd name="csY5855" fmla="*/ 2223879 h 6858000"/>
              <a:gd name="csX5856" fmla="*/ 9266385 w 12192000"/>
              <a:gd name="csY5856" fmla="*/ 2258699 h 6858000"/>
              <a:gd name="csX5857" fmla="*/ 9300738 w 12192000"/>
              <a:gd name="csY5857" fmla="*/ 2293519 h 6858000"/>
              <a:gd name="csX5858" fmla="*/ 9335078 w 12192000"/>
              <a:gd name="csY5858" fmla="*/ 2258699 h 6858000"/>
              <a:gd name="csX5859" fmla="*/ 9300738 w 12192000"/>
              <a:gd name="csY5859" fmla="*/ 2223879 h 6858000"/>
              <a:gd name="csX5860" fmla="*/ 9384480 w 12192000"/>
              <a:gd name="csY5860" fmla="*/ 2223879 h 6858000"/>
              <a:gd name="csX5861" fmla="*/ 9350127 w 12192000"/>
              <a:gd name="csY5861" fmla="*/ 2258699 h 6858000"/>
              <a:gd name="csX5862" fmla="*/ 9384480 w 12192000"/>
              <a:gd name="csY5862" fmla="*/ 2293519 h 6858000"/>
              <a:gd name="csX5863" fmla="*/ 9418821 w 12192000"/>
              <a:gd name="csY5863" fmla="*/ 2258699 h 6858000"/>
              <a:gd name="csX5864" fmla="*/ 9384480 w 12192000"/>
              <a:gd name="csY5864" fmla="*/ 2223879 h 6858000"/>
              <a:gd name="csX5865" fmla="*/ 9468222 w 12192000"/>
              <a:gd name="csY5865" fmla="*/ 2223879 h 6858000"/>
              <a:gd name="csX5866" fmla="*/ 9433869 w 12192000"/>
              <a:gd name="csY5866" fmla="*/ 2258699 h 6858000"/>
              <a:gd name="csX5867" fmla="*/ 9468222 w 12192000"/>
              <a:gd name="csY5867" fmla="*/ 2293519 h 6858000"/>
              <a:gd name="csX5868" fmla="*/ 9502562 w 12192000"/>
              <a:gd name="csY5868" fmla="*/ 2258699 h 6858000"/>
              <a:gd name="csX5869" fmla="*/ 9468222 w 12192000"/>
              <a:gd name="csY5869" fmla="*/ 2223879 h 6858000"/>
              <a:gd name="csX5870" fmla="*/ 9551963 w 12192000"/>
              <a:gd name="csY5870" fmla="*/ 2223879 h 6858000"/>
              <a:gd name="csX5871" fmla="*/ 9517610 w 12192000"/>
              <a:gd name="csY5871" fmla="*/ 2258699 h 6858000"/>
              <a:gd name="csX5872" fmla="*/ 9551963 w 12192000"/>
              <a:gd name="csY5872" fmla="*/ 2293519 h 6858000"/>
              <a:gd name="csX5873" fmla="*/ 9586303 w 12192000"/>
              <a:gd name="csY5873" fmla="*/ 2258699 h 6858000"/>
              <a:gd name="csX5874" fmla="*/ 9551963 w 12192000"/>
              <a:gd name="csY5874" fmla="*/ 2223879 h 6858000"/>
              <a:gd name="csX5875" fmla="*/ 9635705 w 12192000"/>
              <a:gd name="csY5875" fmla="*/ 2223879 h 6858000"/>
              <a:gd name="csX5876" fmla="*/ 9601352 w 12192000"/>
              <a:gd name="csY5876" fmla="*/ 2258699 h 6858000"/>
              <a:gd name="csX5877" fmla="*/ 9635705 w 12192000"/>
              <a:gd name="csY5877" fmla="*/ 2293519 h 6858000"/>
              <a:gd name="csX5878" fmla="*/ 9670045 w 12192000"/>
              <a:gd name="csY5878" fmla="*/ 2258699 h 6858000"/>
              <a:gd name="csX5879" fmla="*/ 9635705 w 12192000"/>
              <a:gd name="csY5879" fmla="*/ 2223879 h 6858000"/>
              <a:gd name="csX5880" fmla="*/ 9719446 w 12192000"/>
              <a:gd name="csY5880" fmla="*/ 2223879 h 6858000"/>
              <a:gd name="csX5881" fmla="*/ 9685093 w 12192000"/>
              <a:gd name="csY5881" fmla="*/ 2258699 h 6858000"/>
              <a:gd name="csX5882" fmla="*/ 9719446 w 12192000"/>
              <a:gd name="csY5882" fmla="*/ 2293519 h 6858000"/>
              <a:gd name="csX5883" fmla="*/ 9753787 w 12192000"/>
              <a:gd name="csY5883" fmla="*/ 2258699 h 6858000"/>
              <a:gd name="csX5884" fmla="*/ 9719446 w 12192000"/>
              <a:gd name="csY5884" fmla="*/ 2223879 h 6858000"/>
              <a:gd name="csX5885" fmla="*/ 9803189 w 12192000"/>
              <a:gd name="csY5885" fmla="*/ 2223879 h 6858000"/>
              <a:gd name="csX5886" fmla="*/ 9768836 w 12192000"/>
              <a:gd name="csY5886" fmla="*/ 2258699 h 6858000"/>
              <a:gd name="csX5887" fmla="*/ 9803189 w 12192000"/>
              <a:gd name="csY5887" fmla="*/ 2293519 h 6858000"/>
              <a:gd name="csX5888" fmla="*/ 9837529 w 12192000"/>
              <a:gd name="csY5888" fmla="*/ 2258699 h 6858000"/>
              <a:gd name="csX5889" fmla="*/ 9803189 w 12192000"/>
              <a:gd name="csY5889" fmla="*/ 2223879 h 6858000"/>
              <a:gd name="csX5890" fmla="*/ 9970671 w 12192000"/>
              <a:gd name="csY5890" fmla="*/ 2223879 h 6858000"/>
              <a:gd name="csX5891" fmla="*/ 9936318 w 12192000"/>
              <a:gd name="csY5891" fmla="*/ 2258699 h 6858000"/>
              <a:gd name="csX5892" fmla="*/ 9970671 w 12192000"/>
              <a:gd name="csY5892" fmla="*/ 2293519 h 6858000"/>
              <a:gd name="csX5893" fmla="*/ 10005011 w 12192000"/>
              <a:gd name="csY5893" fmla="*/ 2258699 h 6858000"/>
              <a:gd name="csX5894" fmla="*/ 9970671 w 12192000"/>
              <a:gd name="csY5894" fmla="*/ 2223879 h 6858000"/>
              <a:gd name="csX5895" fmla="*/ 2350151 w 12192000"/>
              <a:gd name="csY5895" fmla="*/ 2308742 h 6858000"/>
              <a:gd name="csX5896" fmla="*/ 2315804 w 12192000"/>
              <a:gd name="csY5896" fmla="*/ 2343563 h 6858000"/>
              <a:gd name="csX5897" fmla="*/ 2350151 w 12192000"/>
              <a:gd name="csY5897" fmla="*/ 2378383 h 6858000"/>
              <a:gd name="csX5898" fmla="*/ 2384498 w 12192000"/>
              <a:gd name="csY5898" fmla="*/ 2343563 h 6858000"/>
              <a:gd name="csX5899" fmla="*/ 2350151 w 12192000"/>
              <a:gd name="csY5899" fmla="*/ 2308742 h 6858000"/>
              <a:gd name="csX5900" fmla="*/ 2433893 w 12192000"/>
              <a:gd name="csY5900" fmla="*/ 2308742 h 6858000"/>
              <a:gd name="csX5901" fmla="*/ 2399546 w 12192000"/>
              <a:gd name="csY5901" fmla="*/ 2343563 h 6858000"/>
              <a:gd name="csX5902" fmla="*/ 2433893 w 12192000"/>
              <a:gd name="csY5902" fmla="*/ 2378383 h 6858000"/>
              <a:gd name="csX5903" fmla="*/ 2468240 w 12192000"/>
              <a:gd name="csY5903" fmla="*/ 2343563 h 6858000"/>
              <a:gd name="csX5904" fmla="*/ 2433893 w 12192000"/>
              <a:gd name="csY5904" fmla="*/ 2308742 h 6858000"/>
              <a:gd name="csX5905" fmla="*/ 2517634 w 12192000"/>
              <a:gd name="csY5905" fmla="*/ 2308742 h 6858000"/>
              <a:gd name="csX5906" fmla="*/ 2483288 w 12192000"/>
              <a:gd name="csY5906" fmla="*/ 2343563 h 6858000"/>
              <a:gd name="csX5907" fmla="*/ 2517634 w 12192000"/>
              <a:gd name="csY5907" fmla="*/ 2378383 h 6858000"/>
              <a:gd name="csX5908" fmla="*/ 2551981 w 12192000"/>
              <a:gd name="csY5908" fmla="*/ 2343563 h 6858000"/>
              <a:gd name="csX5909" fmla="*/ 2517634 w 12192000"/>
              <a:gd name="csY5909" fmla="*/ 2308742 h 6858000"/>
              <a:gd name="csX5910" fmla="*/ 2601376 w 12192000"/>
              <a:gd name="csY5910" fmla="*/ 2308742 h 6858000"/>
              <a:gd name="csX5911" fmla="*/ 2567029 w 12192000"/>
              <a:gd name="csY5911" fmla="*/ 2343563 h 6858000"/>
              <a:gd name="csX5912" fmla="*/ 2601376 w 12192000"/>
              <a:gd name="csY5912" fmla="*/ 2378383 h 6858000"/>
              <a:gd name="csX5913" fmla="*/ 2635722 w 12192000"/>
              <a:gd name="csY5913" fmla="*/ 2343563 h 6858000"/>
              <a:gd name="csX5914" fmla="*/ 2601376 w 12192000"/>
              <a:gd name="csY5914" fmla="*/ 2308742 h 6858000"/>
              <a:gd name="csX5915" fmla="*/ 2685118 w 12192000"/>
              <a:gd name="csY5915" fmla="*/ 2308742 h 6858000"/>
              <a:gd name="csX5916" fmla="*/ 2650771 w 12192000"/>
              <a:gd name="csY5916" fmla="*/ 2343563 h 6858000"/>
              <a:gd name="csX5917" fmla="*/ 2685118 w 12192000"/>
              <a:gd name="csY5917" fmla="*/ 2378383 h 6858000"/>
              <a:gd name="csX5918" fmla="*/ 2719465 w 12192000"/>
              <a:gd name="csY5918" fmla="*/ 2343563 h 6858000"/>
              <a:gd name="csX5919" fmla="*/ 2685118 w 12192000"/>
              <a:gd name="csY5919" fmla="*/ 2308742 h 6858000"/>
              <a:gd name="csX5920" fmla="*/ 2768859 w 12192000"/>
              <a:gd name="csY5920" fmla="*/ 2308742 h 6858000"/>
              <a:gd name="csX5921" fmla="*/ 2734512 w 12192000"/>
              <a:gd name="csY5921" fmla="*/ 2343563 h 6858000"/>
              <a:gd name="csX5922" fmla="*/ 2768859 w 12192000"/>
              <a:gd name="csY5922" fmla="*/ 2378383 h 6858000"/>
              <a:gd name="csX5923" fmla="*/ 2803206 w 12192000"/>
              <a:gd name="csY5923" fmla="*/ 2343563 h 6858000"/>
              <a:gd name="csX5924" fmla="*/ 2768859 w 12192000"/>
              <a:gd name="csY5924" fmla="*/ 2308742 h 6858000"/>
              <a:gd name="csX5925" fmla="*/ 2852600 w 12192000"/>
              <a:gd name="csY5925" fmla="*/ 2308742 h 6858000"/>
              <a:gd name="csX5926" fmla="*/ 2818254 w 12192000"/>
              <a:gd name="csY5926" fmla="*/ 2343563 h 6858000"/>
              <a:gd name="csX5927" fmla="*/ 2852600 w 12192000"/>
              <a:gd name="csY5927" fmla="*/ 2378383 h 6858000"/>
              <a:gd name="csX5928" fmla="*/ 2886947 w 12192000"/>
              <a:gd name="csY5928" fmla="*/ 2343563 h 6858000"/>
              <a:gd name="csX5929" fmla="*/ 2852600 w 12192000"/>
              <a:gd name="csY5929" fmla="*/ 2308742 h 6858000"/>
              <a:gd name="csX5930" fmla="*/ 2936343 w 12192000"/>
              <a:gd name="csY5930" fmla="*/ 2308742 h 6858000"/>
              <a:gd name="csX5931" fmla="*/ 2901996 w 12192000"/>
              <a:gd name="csY5931" fmla="*/ 2343563 h 6858000"/>
              <a:gd name="csX5932" fmla="*/ 2936343 w 12192000"/>
              <a:gd name="csY5932" fmla="*/ 2378383 h 6858000"/>
              <a:gd name="csX5933" fmla="*/ 2970689 w 12192000"/>
              <a:gd name="csY5933" fmla="*/ 2343563 h 6858000"/>
              <a:gd name="csX5934" fmla="*/ 2936343 w 12192000"/>
              <a:gd name="csY5934" fmla="*/ 2308742 h 6858000"/>
              <a:gd name="csX5935" fmla="*/ 3020084 w 12192000"/>
              <a:gd name="csY5935" fmla="*/ 2308742 h 6858000"/>
              <a:gd name="csX5936" fmla="*/ 2985737 w 12192000"/>
              <a:gd name="csY5936" fmla="*/ 2343563 h 6858000"/>
              <a:gd name="csX5937" fmla="*/ 3020084 w 12192000"/>
              <a:gd name="csY5937" fmla="*/ 2378383 h 6858000"/>
              <a:gd name="csX5938" fmla="*/ 3054431 w 12192000"/>
              <a:gd name="csY5938" fmla="*/ 2343563 h 6858000"/>
              <a:gd name="csX5939" fmla="*/ 3020084 w 12192000"/>
              <a:gd name="csY5939" fmla="*/ 2308742 h 6858000"/>
              <a:gd name="csX5940" fmla="*/ 3187567 w 12192000"/>
              <a:gd name="csY5940" fmla="*/ 2308742 h 6858000"/>
              <a:gd name="csX5941" fmla="*/ 3153221 w 12192000"/>
              <a:gd name="csY5941" fmla="*/ 2343563 h 6858000"/>
              <a:gd name="csX5942" fmla="*/ 3187567 w 12192000"/>
              <a:gd name="csY5942" fmla="*/ 2378383 h 6858000"/>
              <a:gd name="csX5943" fmla="*/ 3221914 w 12192000"/>
              <a:gd name="csY5943" fmla="*/ 2343563 h 6858000"/>
              <a:gd name="csX5944" fmla="*/ 3187567 w 12192000"/>
              <a:gd name="csY5944" fmla="*/ 2308742 h 6858000"/>
              <a:gd name="csX5945" fmla="*/ 3271309 w 12192000"/>
              <a:gd name="csY5945" fmla="*/ 2308742 h 6858000"/>
              <a:gd name="csX5946" fmla="*/ 3236962 w 12192000"/>
              <a:gd name="csY5946" fmla="*/ 2343563 h 6858000"/>
              <a:gd name="csX5947" fmla="*/ 3271309 w 12192000"/>
              <a:gd name="csY5947" fmla="*/ 2378383 h 6858000"/>
              <a:gd name="csX5948" fmla="*/ 3305655 w 12192000"/>
              <a:gd name="csY5948" fmla="*/ 2343563 h 6858000"/>
              <a:gd name="csX5949" fmla="*/ 3271309 w 12192000"/>
              <a:gd name="csY5949" fmla="*/ 2308742 h 6858000"/>
              <a:gd name="csX5950" fmla="*/ 3355051 w 12192000"/>
              <a:gd name="csY5950" fmla="*/ 2308742 h 6858000"/>
              <a:gd name="csX5951" fmla="*/ 3320704 w 12192000"/>
              <a:gd name="csY5951" fmla="*/ 2343563 h 6858000"/>
              <a:gd name="csX5952" fmla="*/ 3355051 w 12192000"/>
              <a:gd name="csY5952" fmla="*/ 2378383 h 6858000"/>
              <a:gd name="csX5953" fmla="*/ 3389398 w 12192000"/>
              <a:gd name="csY5953" fmla="*/ 2343563 h 6858000"/>
              <a:gd name="csX5954" fmla="*/ 3355051 w 12192000"/>
              <a:gd name="csY5954" fmla="*/ 2308742 h 6858000"/>
              <a:gd name="csX5955" fmla="*/ 3438792 w 12192000"/>
              <a:gd name="csY5955" fmla="*/ 2308742 h 6858000"/>
              <a:gd name="csX5956" fmla="*/ 3404445 w 12192000"/>
              <a:gd name="csY5956" fmla="*/ 2343563 h 6858000"/>
              <a:gd name="csX5957" fmla="*/ 3438792 w 12192000"/>
              <a:gd name="csY5957" fmla="*/ 2378383 h 6858000"/>
              <a:gd name="csX5958" fmla="*/ 3473139 w 12192000"/>
              <a:gd name="csY5958" fmla="*/ 2343563 h 6858000"/>
              <a:gd name="csX5959" fmla="*/ 3438792 w 12192000"/>
              <a:gd name="csY5959" fmla="*/ 2308742 h 6858000"/>
              <a:gd name="csX5960" fmla="*/ 3522533 w 12192000"/>
              <a:gd name="csY5960" fmla="*/ 2308742 h 6858000"/>
              <a:gd name="csX5961" fmla="*/ 3488187 w 12192000"/>
              <a:gd name="csY5961" fmla="*/ 2343563 h 6858000"/>
              <a:gd name="csX5962" fmla="*/ 3522533 w 12192000"/>
              <a:gd name="csY5962" fmla="*/ 2378383 h 6858000"/>
              <a:gd name="csX5963" fmla="*/ 3556880 w 12192000"/>
              <a:gd name="csY5963" fmla="*/ 2343563 h 6858000"/>
              <a:gd name="csX5964" fmla="*/ 3522533 w 12192000"/>
              <a:gd name="csY5964" fmla="*/ 2308742 h 6858000"/>
              <a:gd name="csX5965" fmla="*/ 3690017 w 12192000"/>
              <a:gd name="csY5965" fmla="*/ 2308742 h 6858000"/>
              <a:gd name="csX5966" fmla="*/ 3655670 w 12192000"/>
              <a:gd name="csY5966" fmla="*/ 2343563 h 6858000"/>
              <a:gd name="csX5967" fmla="*/ 3690017 w 12192000"/>
              <a:gd name="csY5967" fmla="*/ 2378383 h 6858000"/>
              <a:gd name="csX5968" fmla="*/ 3724364 w 12192000"/>
              <a:gd name="csY5968" fmla="*/ 2343563 h 6858000"/>
              <a:gd name="csX5969" fmla="*/ 3690017 w 12192000"/>
              <a:gd name="csY5969" fmla="*/ 2308742 h 6858000"/>
              <a:gd name="csX5970" fmla="*/ 3773759 w 12192000"/>
              <a:gd name="csY5970" fmla="*/ 2308742 h 6858000"/>
              <a:gd name="csX5971" fmla="*/ 3739412 w 12192000"/>
              <a:gd name="csY5971" fmla="*/ 2343563 h 6858000"/>
              <a:gd name="csX5972" fmla="*/ 3773759 w 12192000"/>
              <a:gd name="csY5972" fmla="*/ 2378383 h 6858000"/>
              <a:gd name="csX5973" fmla="*/ 3808106 w 12192000"/>
              <a:gd name="csY5973" fmla="*/ 2343563 h 6858000"/>
              <a:gd name="csX5974" fmla="*/ 3773759 w 12192000"/>
              <a:gd name="csY5974" fmla="*/ 2308742 h 6858000"/>
              <a:gd name="csX5975" fmla="*/ 3857500 w 12192000"/>
              <a:gd name="csY5975" fmla="*/ 2308742 h 6858000"/>
              <a:gd name="csX5976" fmla="*/ 3823154 w 12192000"/>
              <a:gd name="csY5976" fmla="*/ 2343563 h 6858000"/>
              <a:gd name="csX5977" fmla="*/ 3857500 w 12192000"/>
              <a:gd name="csY5977" fmla="*/ 2378383 h 6858000"/>
              <a:gd name="csX5978" fmla="*/ 3891847 w 12192000"/>
              <a:gd name="csY5978" fmla="*/ 2343563 h 6858000"/>
              <a:gd name="csX5979" fmla="*/ 3857500 w 12192000"/>
              <a:gd name="csY5979" fmla="*/ 2308742 h 6858000"/>
              <a:gd name="csX5980" fmla="*/ 3941242 w 12192000"/>
              <a:gd name="csY5980" fmla="*/ 2308742 h 6858000"/>
              <a:gd name="csX5981" fmla="*/ 3906895 w 12192000"/>
              <a:gd name="csY5981" fmla="*/ 2343563 h 6858000"/>
              <a:gd name="csX5982" fmla="*/ 3941242 w 12192000"/>
              <a:gd name="csY5982" fmla="*/ 2378383 h 6858000"/>
              <a:gd name="csX5983" fmla="*/ 3975588 w 12192000"/>
              <a:gd name="csY5983" fmla="*/ 2343563 h 6858000"/>
              <a:gd name="csX5984" fmla="*/ 3941242 w 12192000"/>
              <a:gd name="csY5984" fmla="*/ 2308742 h 6858000"/>
              <a:gd name="csX5985" fmla="*/ 4024990 w 12192000"/>
              <a:gd name="csY5985" fmla="*/ 2308742 h 6858000"/>
              <a:gd name="csX5986" fmla="*/ 3990643 w 12192000"/>
              <a:gd name="csY5986" fmla="*/ 2343563 h 6858000"/>
              <a:gd name="csX5987" fmla="*/ 4024990 w 12192000"/>
              <a:gd name="csY5987" fmla="*/ 2378383 h 6858000"/>
              <a:gd name="csX5988" fmla="*/ 4059337 w 12192000"/>
              <a:gd name="csY5988" fmla="*/ 2343563 h 6858000"/>
              <a:gd name="csX5989" fmla="*/ 4024990 w 12192000"/>
              <a:gd name="csY5989" fmla="*/ 2308742 h 6858000"/>
              <a:gd name="csX5990" fmla="*/ 4108732 w 12192000"/>
              <a:gd name="csY5990" fmla="*/ 2308742 h 6858000"/>
              <a:gd name="csX5991" fmla="*/ 4074386 w 12192000"/>
              <a:gd name="csY5991" fmla="*/ 2343563 h 6858000"/>
              <a:gd name="csX5992" fmla="*/ 4108732 w 12192000"/>
              <a:gd name="csY5992" fmla="*/ 2378383 h 6858000"/>
              <a:gd name="csX5993" fmla="*/ 4143079 w 12192000"/>
              <a:gd name="csY5993" fmla="*/ 2343563 h 6858000"/>
              <a:gd name="csX5994" fmla="*/ 4108732 w 12192000"/>
              <a:gd name="csY5994" fmla="*/ 2308742 h 6858000"/>
              <a:gd name="csX5995" fmla="*/ 4192473 w 12192000"/>
              <a:gd name="csY5995" fmla="*/ 2308742 h 6858000"/>
              <a:gd name="csX5996" fmla="*/ 4158127 w 12192000"/>
              <a:gd name="csY5996" fmla="*/ 2343563 h 6858000"/>
              <a:gd name="csX5997" fmla="*/ 4192473 w 12192000"/>
              <a:gd name="csY5997" fmla="*/ 2378383 h 6858000"/>
              <a:gd name="csX5998" fmla="*/ 4226820 w 12192000"/>
              <a:gd name="csY5998" fmla="*/ 2343563 h 6858000"/>
              <a:gd name="csX5999" fmla="*/ 4192473 w 12192000"/>
              <a:gd name="csY5999" fmla="*/ 2308742 h 6858000"/>
              <a:gd name="csX6000" fmla="*/ 5783564 w 12192000"/>
              <a:gd name="csY6000" fmla="*/ 2308742 h 6858000"/>
              <a:gd name="csX6001" fmla="*/ 5749218 w 12192000"/>
              <a:gd name="csY6001" fmla="*/ 2343563 h 6858000"/>
              <a:gd name="csX6002" fmla="*/ 5783564 w 12192000"/>
              <a:gd name="csY6002" fmla="*/ 2378383 h 6858000"/>
              <a:gd name="csX6003" fmla="*/ 5817911 w 12192000"/>
              <a:gd name="csY6003" fmla="*/ 2343563 h 6858000"/>
              <a:gd name="csX6004" fmla="*/ 5783564 w 12192000"/>
              <a:gd name="csY6004" fmla="*/ 2308742 h 6858000"/>
              <a:gd name="csX6005" fmla="*/ 6118531 w 12192000"/>
              <a:gd name="csY6005" fmla="*/ 2308742 h 6858000"/>
              <a:gd name="csX6006" fmla="*/ 6084177 w 12192000"/>
              <a:gd name="csY6006" fmla="*/ 2343563 h 6858000"/>
              <a:gd name="csX6007" fmla="*/ 6118531 w 12192000"/>
              <a:gd name="csY6007" fmla="*/ 2378383 h 6858000"/>
              <a:gd name="csX6008" fmla="*/ 6152871 w 12192000"/>
              <a:gd name="csY6008" fmla="*/ 2343563 h 6858000"/>
              <a:gd name="csX6009" fmla="*/ 6118531 w 12192000"/>
              <a:gd name="csY6009" fmla="*/ 2308742 h 6858000"/>
              <a:gd name="csX6010" fmla="*/ 6453498 w 12192000"/>
              <a:gd name="csY6010" fmla="*/ 2308742 h 6858000"/>
              <a:gd name="csX6011" fmla="*/ 6419144 w 12192000"/>
              <a:gd name="csY6011" fmla="*/ 2343563 h 6858000"/>
              <a:gd name="csX6012" fmla="*/ 6453498 w 12192000"/>
              <a:gd name="csY6012" fmla="*/ 2378383 h 6858000"/>
              <a:gd name="csX6013" fmla="*/ 6487838 w 12192000"/>
              <a:gd name="csY6013" fmla="*/ 2343563 h 6858000"/>
              <a:gd name="csX6014" fmla="*/ 6453498 w 12192000"/>
              <a:gd name="csY6014" fmla="*/ 2308742 h 6858000"/>
              <a:gd name="csX6015" fmla="*/ 6537239 w 12192000"/>
              <a:gd name="csY6015" fmla="*/ 2308742 h 6858000"/>
              <a:gd name="csX6016" fmla="*/ 6502886 w 12192000"/>
              <a:gd name="csY6016" fmla="*/ 2343563 h 6858000"/>
              <a:gd name="csX6017" fmla="*/ 6537239 w 12192000"/>
              <a:gd name="csY6017" fmla="*/ 2378383 h 6858000"/>
              <a:gd name="csX6018" fmla="*/ 6571579 w 12192000"/>
              <a:gd name="csY6018" fmla="*/ 2343563 h 6858000"/>
              <a:gd name="csX6019" fmla="*/ 6537239 w 12192000"/>
              <a:gd name="csY6019" fmla="*/ 2308742 h 6858000"/>
              <a:gd name="csX6020" fmla="*/ 6620980 w 12192000"/>
              <a:gd name="csY6020" fmla="*/ 2308742 h 6858000"/>
              <a:gd name="csX6021" fmla="*/ 6586627 w 12192000"/>
              <a:gd name="csY6021" fmla="*/ 2343563 h 6858000"/>
              <a:gd name="csX6022" fmla="*/ 6620980 w 12192000"/>
              <a:gd name="csY6022" fmla="*/ 2378383 h 6858000"/>
              <a:gd name="csX6023" fmla="*/ 6655320 w 12192000"/>
              <a:gd name="csY6023" fmla="*/ 2343563 h 6858000"/>
              <a:gd name="csX6024" fmla="*/ 6620980 w 12192000"/>
              <a:gd name="csY6024" fmla="*/ 2308742 h 6858000"/>
              <a:gd name="csX6025" fmla="*/ 6704722 w 12192000"/>
              <a:gd name="csY6025" fmla="*/ 2308742 h 6858000"/>
              <a:gd name="csX6026" fmla="*/ 6670369 w 12192000"/>
              <a:gd name="csY6026" fmla="*/ 2343563 h 6858000"/>
              <a:gd name="csX6027" fmla="*/ 6704722 w 12192000"/>
              <a:gd name="csY6027" fmla="*/ 2378383 h 6858000"/>
              <a:gd name="csX6028" fmla="*/ 6739063 w 12192000"/>
              <a:gd name="csY6028" fmla="*/ 2343563 h 6858000"/>
              <a:gd name="csX6029" fmla="*/ 6704722 w 12192000"/>
              <a:gd name="csY6029" fmla="*/ 2308742 h 6858000"/>
              <a:gd name="csX6030" fmla="*/ 6788464 w 12192000"/>
              <a:gd name="csY6030" fmla="*/ 2308742 h 6858000"/>
              <a:gd name="csX6031" fmla="*/ 6754110 w 12192000"/>
              <a:gd name="csY6031" fmla="*/ 2343563 h 6858000"/>
              <a:gd name="csX6032" fmla="*/ 6788464 w 12192000"/>
              <a:gd name="csY6032" fmla="*/ 2378383 h 6858000"/>
              <a:gd name="csX6033" fmla="*/ 6822804 w 12192000"/>
              <a:gd name="csY6033" fmla="*/ 2343563 h 6858000"/>
              <a:gd name="csX6034" fmla="*/ 6788464 w 12192000"/>
              <a:gd name="csY6034" fmla="*/ 2308742 h 6858000"/>
              <a:gd name="csX6035" fmla="*/ 6872206 w 12192000"/>
              <a:gd name="csY6035" fmla="*/ 2308742 h 6858000"/>
              <a:gd name="csX6036" fmla="*/ 6837853 w 12192000"/>
              <a:gd name="csY6036" fmla="*/ 2343563 h 6858000"/>
              <a:gd name="csX6037" fmla="*/ 6872206 w 12192000"/>
              <a:gd name="csY6037" fmla="*/ 2378383 h 6858000"/>
              <a:gd name="csX6038" fmla="*/ 6906546 w 12192000"/>
              <a:gd name="csY6038" fmla="*/ 2343563 h 6858000"/>
              <a:gd name="csX6039" fmla="*/ 6872206 w 12192000"/>
              <a:gd name="csY6039" fmla="*/ 2308742 h 6858000"/>
              <a:gd name="csX6040" fmla="*/ 6955947 w 12192000"/>
              <a:gd name="csY6040" fmla="*/ 2308742 h 6858000"/>
              <a:gd name="csX6041" fmla="*/ 6921594 w 12192000"/>
              <a:gd name="csY6041" fmla="*/ 2343563 h 6858000"/>
              <a:gd name="csX6042" fmla="*/ 6955947 w 12192000"/>
              <a:gd name="csY6042" fmla="*/ 2378383 h 6858000"/>
              <a:gd name="csX6043" fmla="*/ 6990287 w 12192000"/>
              <a:gd name="csY6043" fmla="*/ 2343563 h 6858000"/>
              <a:gd name="csX6044" fmla="*/ 6955947 w 12192000"/>
              <a:gd name="csY6044" fmla="*/ 2308742 h 6858000"/>
              <a:gd name="csX6045" fmla="*/ 7039688 w 12192000"/>
              <a:gd name="csY6045" fmla="*/ 2308742 h 6858000"/>
              <a:gd name="csX6046" fmla="*/ 7005335 w 12192000"/>
              <a:gd name="csY6046" fmla="*/ 2343563 h 6858000"/>
              <a:gd name="csX6047" fmla="*/ 7039688 w 12192000"/>
              <a:gd name="csY6047" fmla="*/ 2378383 h 6858000"/>
              <a:gd name="csX6048" fmla="*/ 7074029 w 12192000"/>
              <a:gd name="csY6048" fmla="*/ 2343563 h 6858000"/>
              <a:gd name="csX6049" fmla="*/ 7039688 w 12192000"/>
              <a:gd name="csY6049" fmla="*/ 2308742 h 6858000"/>
              <a:gd name="csX6050" fmla="*/ 7123456 w 12192000"/>
              <a:gd name="csY6050" fmla="*/ 2308742 h 6858000"/>
              <a:gd name="csX6051" fmla="*/ 7089103 w 12192000"/>
              <a:gd name="csY6051" fmla="*/ 2343563 h 6858000"/>
              <a:gd name="csX6052" fmla="*/ 7123456 w 12192000"/>
              <a:gd name="csY6052" fmla="*/ 2378383 h 6858000"/>
              <a:gd name="csX6053" fmla="*/ 7157796 w 12192000"/>
              <a:gd name="csY6053" fmla="*/ 2343563 h 6858000"/>
              <a:gd name="csX6054" fmla="*/ 7123456 w 12192000"/>
              <a:gd name="csY6054" fmla="*/ 2308742 h 6858000"/>
              <a:gd name="csX6055" fmla="*/ 7207198 w 12192000"/>
              <a:gd name="csY6055" fmla="*/ 2308742 h 6858000"/>
              <a:gd name="csX6056" fmla="*/ 7172845 w 12192000"/>
              <a:gd name="csY6056" fmla="*/ 2343563 h 6858000"/>
              <a:gd name="csX6057" fmla="*/ 7207198 w 12192000"/>
              <a:gd name="csY6057" fmla="*/ 2378383 h 6858000"/>
              <a:gd name="csX6058" fmla="*/ 7241538 w 12192000"/>
              <a:gd name="csY6058" fmla="*/ 2343563 h 6858000"/>
              <a:gd name="csX6059" fmla="*/ 7207198 w 12192000"/>
              <a:gd name="csY6059" fmla="*/ 2308742 h 6858000"/>
              <a:gd name="csX6060" fmla="*/ 7290939 w 12192000"/>
              <a:gd name="csY6060" fmla="*/ 2308742 h 6858000"/>
              <a:gd name="csX6061" fmla="*/ 7256586 w 12192000"/>
              <a:gd name="csY6061" fmla="*/ 2343563 h 6858000"/>
              <a:gd name="csX6062" fmla="*/ 7290939 w 12192000"/>
              <a:gd name="csY6062" fmla="*/ 2378383 h 6858000"/>
              <a:gd name="csX6063" fmla="*/ 7325279 w 12192000"/>
              <a:gd name="csY6063" fmla="*/ 2343563 h 6858000"/>
              <a:gd name="csX6064" fmla="*/ 7290939 w 12192000"/>
              <a:gd name="csY6064" fmla="*/ 2308742 h 6858000"/>
              <a:gd name="csX6065" fmla="*/ 7374681 w 12192000"/>
              <a:gd name="csY6065" fmla="*/ 2308742 h 6858000"/>
              <a:gd name="csX6066" fmla="*/ 7340328 w 12192000"/>
              <a:gd name="csY6066" fmla="*/ 2343563 h 6858000"/>
              <a:gd name="csX6067" fmla="*/ 7374681 w 12192000"/>
              <a:gd name="csY6067" fmla="*/ 2378383 h 6858000"/>
              <a:gd name="csX6068" fmla="*/ 7409022 w 12192000"/>
              <a:gd name="csY6068" fmla="*/ 2343563 h 6858000"/>
              <a:gd name="csX6069" fmla="*/ 7374681 w 12192000"/>
              <a:gd name="csY6069" fmla="*/ 2308742 h 6858000"/>
              <a:gd name="csX6070" fmla="*/ 7458423 w 12192000"/>
              <a:gd name="csY6070" fmla="*/ 2308742 h 6858000"/>
              <a:gd name="csX6071" fmla="*/ 7424070 w 12192000"/>
              <a:gd name="csY6071" fmla="*/ 2343563 h 6858000"/>
              <a:gd name="csX6072" fmla="*/ 7458423 w 12192000"/>
              <a:gd name="csY6072" fmla="*/ 2378383 h 6858000"/>
              <a:gd name="csX6073" fmla="*/ 7492763 w 12192000"/>
              <a:gd name="csY6073" fmla="*/ 2343563 h 6858000"/>
              <a:gd name="csX6074" fmla="*/ 7458423 w 12192000"/>
              <a:gd name="csY6074" fmla="*/ 2308742 h 6858000"/>
              <a:gd name="csX6075" fmla="*/ 7542164 w 12192000"/>
              <a:gd name="csY6075" fmla="*/ 2308742 h 6858000"/>
              <a:gd name="csX6076" fmla="*/ 7507811 w 12192000"/>
              <a:gd name="csY6076" fmla="*/ 2343563 h 6858000"/>
              <a:gd name="csX6077" fmla="*/ 7542164 w 12192000"/>
              <a:gd name="csY6077" fmla="*/ 2378383 h 6858000"/>
              <a:gd name="csX6078" fmla="*/ 7576504 w 12192000"/>
              <a:gd name="csY6078" fmla="*/ 2343563 h 6858000"/>
              <a:gd name="csX6079" fmla="*/ 7542164 w 12192000"/>
              <a:gd name="csY6079" fmla="*/ 2308742 h 6858000"/>
              <a:gd name="csX6080" fmla="*/ 7625906 w 12192000"/>
              <a:gd name="csY6080" fmla="*/ 2308742 h 6858000"/>
              <a:gd name="csX6081" fmla="*/ 7591553 w 12192000"/>
              <a:gd name="csY6081" fmla="*/ 2343563 h 6858000"/>
              <a:gd name="csX6082" fmla="*/ 7625906 w 12192000"/>
              <a:gd name="csY6082" fmla="*/ 2378383 h 6858000"/>
              <a:gd name="csX6083" fmla="*/ 7660246 w 12192000"/>
              <a:gd name="csY6083" fmla="*/ 2343563 h 6858000"/>
              <a:gd name="csX6084" fmla="*/ 7625906 w 12192000"/>
              <a:gd name="csY6084" fmla="*/ 2308742 h 6858000"/>
              <a:gd name="csX6085" fmla="*/ 7709647 w 12192000"/>
              <a:gd name="csY6085" fmla="*/ 2308742 h 6858000"/>
              <a:gd name="csX6086" fmla="*/ 7675294 w 12192000"/>
              <a:gd name="csY6086" fmla="*/ 2343563 h 6858000"/>
              <a:gd name="csX6087" fmla="*/ 7709647 w 12192000"/>
              <a:gd name="csY6087" fmla="*/ 2378383 h 6858000"/>
              <a:gd name="csX6088" fmla="*/ 7743988 w 12192000"/>
              <a:gd name="csY6088" fmla="*/ 2343563 h 6858000"/>
              <a:gd name="csX6089" fmla="*/ 7709647 w 12192000"/>
              <a:gd name="csY6089" fmla="*/ 2308742 h 6858000"/>
              <a:gd name="csX6090" fmla="*/ 7793389 w 12192000"/>
              <a:gd name="csY6090" fmla="*/ 2308742 h 6858000"/>
              <a:gd name="csX6091" fmla="*/ 7759036 w 12192000"/>
              <a:gd name="csY6091" fmla="*/ 2343563 h 6858000"/>
              <a:gd name="csX6092" fmla="*/ 7793389 w 12192000"/>
              <a:gd name="csY6092" fmla="*/ 2378383 h 6858000"/>
              <a:gd name="csX6093" fmla="*/ 7827729 w 12192000"/>
              <a:gd name="csY6093" fmla="*/ 2343563 h 6858000"/>
              <a:gd name="csX6094" fmla="*/ 7793389 w 12192000"/>
              <a:gd name="csY6094" fmla="*/ 2308742 h 6858000"/>
              <a:gd name="csX6095" fmla="*/ 7877131 w 12192000"/>
              <a:gd name="csY6095" fmla="*/ 2308742 h 6858000"/>
              <a:gd name="csX6096" fmla="*/ 7842778 w 12192000"/>
              <a:gd name="csY6096" fmla="*/ 2343563 h 6858000"/>
              <a:gd name="csX6097" fmla="*/ 7877131 w 12192000"/>
              <a:gd name="csY6097" fmla="*/ 2378383 h 6858000"/>
              <a:gd name="csX6098" fmla="*/ 7911471 w 12192000"/>
              <a:gd name="csY6098" fmla="*/ 2343563 h 6858000"/>
              <a:gd name="csX6099" fmla="*/ 7877131 w 12192000"/>
              <a:gd name="csY6099" fmla="*/ 2308742 h 6858000"/>
              <a:gd name="csX6100" fmla="*/ 7960872 w 12192000"/>
              <a:gd name="csY6100" fmla="*/ 2308742 h 6858000"/>
              <a:gd name="csX6101" fmla="*/ 7926519 w 12192000"/>
              <a:gd name="csY6101" fmla="*/ 2343563 h 6858000"/>
              <a:gd name="csX6102" fmla="*/ 7960872 w 12192000"/>
              <a:gd name="csY6102" fmla="*/ 2378383 h 6858000"/>
              <a:gd name="csX6103" fmla="*/ 7995212 w 12192000"/>
              <a:gd name="csY6103" fmla="*/ 2343563 h 6858000"/>
              <a:gd name="csX6104" fmla="*/ 7960872 w 12192000"/>
              <a:gd name="csY6104" fmla="*/ 2308742 h 6858000"/>
              <a:gd name="csX6105" fmla="*/ 8044614 w 12192000"/>
              <a:gd name="csY6105" fmla="*/ 2308742 h 6858000"/>
              <a:gd name="csX6106" fmla="*/ 8010261 w 12192000"/>
              <a:gd name="csY6106" fmla="*/ 2343563 h 6858000"/>
              <a:gd name="csX6107" fmla="*/ 8044614 w 12192000"/>
              <a:gd name="csY6107" fmla="*/ 2378383 h 6858000"/>
              <a:gd name="csX6108" fmla="*/ 8078955 w 12192000"/>
              <a:gd name="csY6108" fmla="*/ 2343563 h 6858000"/>
              <a:gd name="csX6109" fmla="*/ 8044614 w 12192000"/>
              <a:gd name="csY6109" fmla="*/ 2308742 h 6858000"/>
              <a:gd name="csX6110" fmla="*/ 8128356 w 12192000"/>
              <a:gd name="csY6110" fmla="*/ 2308742 h 6858000"/>
              <a:gd name="csX6111" fmla="*/ 8094003 w 12192000"/>
              <a:gd name="csY6111" fmla="*/ 2343563 h 6858000"/>
              <a:gd name="csX6112" fmla="*/ 8128356 w 12192000"/>
              <a:gd name="csY6112" fmla="*/ 2378383 h 6858000"/>
              <a:gd name="csX6113" fmla="*/ 8162696 w 12192000"/>
              <a:gd name="csY6113" fmla="*/ 2343563 h 6858000"/>
              <a:gd name="csX6114" fmla="*/ 8128356 w 12192000"/>
              <a:gd name="csY6114" fmla="*/ 2308742 h 6858000"/>
              <a:gd name="csX6115" fmla="*/ 8212097 w 12192000"/>
              <a:gd name="csY6115" fmla="*/ 2308742 h 6858000"/>
              <a:gd name="csX6116" fmla="*/ 8177744 w 12192000"/>
              <a:gd name="csY6116" fmla="*/ 2343563 h 6858000"/>
              <a:gd name="csX6117" fmla="*/ 8212097 w 12192000"/>
              <a:gd name="csY6117" fmla="*/ 2378383 h 6858000"/>
              <a:gd name="csX6118" fmla="*/ 8246437 w 12192000"/>
              <a:gd name="csY6118" fmla="*/ 2343563 h 6858000"/>
              <a:gd name="csX6119" fmla="*/ 8212097 w 12192000"/>
              <a:gd name="csY6119" fmla="*/ 2308742 h 6858000"/>
              <a:gd name="csX6120" fmla="*/ 8295839 w 12192000"/>
              <a:gd name="csY6120" fmla="*/ 2308742 h 6858000"/>
              <a:gd name="csX6121" fmla="*/ 8261486 w 12192000"/>
              <a:gd name="csY6121" fmla="*/ 2343563 h 6858000"/>
              <a:gd name="csX6122" fmla="*/ 8295839 w 12192000"/>
              <a:gd name="csY6122" fmla="*/ 2378383 h 6858000"/>
              <a:gd name="csX6123" fmla="*/ 8330179 w 12192000"/>
              <a:gd name="csY6123" fmla="*/ 2343563 h 6858000"/>
              <a:gd name="csX6124" fmla="*/ 8295839 w 12192000"/>
              <a:gd name="csY6124" fmla="*/ 2308742 h 6858000"/>
              <a:gd name="csX6125" fmla="*/ 8379580 w 12192000"/>
              <a:gd name="csY6125" fmla="*/ 2308742 h 6858000"/>
              <a:gd name="csX6126" fmla="*/ 8345227 w 12192000"/>
              <a:gd name="csY6126" fmla="*/ 2343563 h 6858000"/>
              <a:gd name="csX6127" fmla="*/ 8379580 w 12192000"/>
              <a:gd name="csY6127" fmla="*/ 2378383 h 6858000"/>
              <a:gd name="csX6128" fmla="*/ 8413921 w 12192000"/>
              <a:gd name="csY6128" fmla="*/ 2343563 h 6858000"/>
              <a:gd name="csX6129" fmla="*/ 8379580 w 12192000"/>
              <a:gd name="csY6129" fmla="*/ 2308742 h 6858000"/>
              <a:gd name="csX6130" fmla="*/ 8463323 w 12192000"/>
              <a:gd name="csY6130" fmla="*/ 2308742 h 6858000"/>
              <a:gd name="csX6131" fmla="*/ 8428970 w 12192000"/>
              <a:gd name="csY6131" fmla="*/ 2343563 h 6858000"/>
              <a:gd name="csX6132" fmla="*/ 8463323 w 12192000"/>
              <a:gd name="csY6132" fmla="*/ 2378383 h 6858000"/>
              <a:gd name="csX6133" fmla="*/ 8497663 w 12192000"/>
              <a:gd name="csY6133" fmla="*/ 2343563 h 6858000"/>
              <a:gd name="csX6134" fmla="*/ 8463323 w 12192000"/>
              <a:gd name="csY6134" fmla="*/ 2308742 h 6858000"/>
              <a:gd name="csX6135" fmla="*/ 8547064 w 12192000"/>
              <a:gd name="csY6135" fmla="*/ 2308742 h 6858000"/>
              <a:gd name="csX6136" fmla="*/ 8512711 w 12192000"/>
              <a:gd name="csY6136" fmla="*/ 2343563 h 6858000"/>
              <a:gd name="csX6137" fmla="*/ 8547064 w 12192000"/>
              <a:gd name="csY6137" fmla="*/ 2378383 h 6858000"/>
              <a:gd name="csX6138" fmla="*/ 8581404 w 12192000"/>
              <a:gd name="csY6138" fmla="*/ 2343563 h 6858000"/>
              <a:gd name="csX6139" fmla="*/ 8547064 w 12192000"/>
              <a:gd name="csY6139" fmla="*/ 2308742 h 6858000"/>
              <a:gd name="csX6140" fmla="*/ 8630805 w 12192000"/>
              <a:gd name="csY6140" fmla="*/ 2308742 h 6858000"/>
              <a:gd name="csX6141" fmla="*/ 8596452 w 12192000"/>
              <a:gd name="csY6141" fmla="*/ 2343563 h 6858000"/>
              <a:gd name="csX6142" fmla="*/ 8630805 w 12192000"/>
              <a:gd name="csY6142" fmla="*/ 2378383 h 6858000"/>
              <a:gd name="csX6143" fmla="*/ 8665145 w 12192000"/>
              <a:gd name="csY6143" fmla="*/ 2343563 h 6858000"/>
              <a:gd name="csX6144" fmla="*/ 8630805 w 12192000"/>
              <a:gd name="csY6144" fmla="*/ 2308742 h 6858000"/>
              <a:gd name="csX6145" fmla="*/ 8714547 w 12192000"/>
              <a:gd name="csY6145" fmla="*/ 2308742 h 6858000"/>
              <a:gd name="csX6146" fmla="*/ 8680194 w 12192000"/>
              <a:gd name="csY6146" fmla="*/ 2343563 h 6858000"/>
              <a:gd name="csX6147" fmla="*/ 8714547 w 12192000"/>
              <a:gd name="csY6147" fmla="*/ 2378383 h 6858000"/>
              <a:gd name="csX6148" fmla="*/ 8748888 w 12192000"/>
              <a:gd name="csY6148" fmla="*/ 2343563 h 6858000"/>
              <a:gd name="csX6149" fmla="*/ 8714547 w 12192000"/>
              <a:gd name="csY6149" fmla="*/ 2308742 h 6858000"/>
              <a:gd name="csX6150" fmla="*/ 8965772 w 12192000"/>
              <a:gd name="csY6150" fmla="*/ 2308742 h 6858000"/>
              <a:gd name="csX6151" fmla="*/ 8931419 w 12192000"/>
              <a:gd name="csY6151" fmla="*/ 2343563 h 6858000"/>
              <a:gd name="csX6152" fmla="*/ 8965772 w 12192000"/>
              <a:gd name="csY6152" fmla="*/ 2378383 h 6858000"/>
              <a:gd name="csX6153" fmla="*/ 9000112 w 12192000"/>
              <a:gd name="csY6153" fmla="*/ 2343563 h 6858000"/>
              <a:gd name="csX6154" fmla="*/ 8965772 w 12192000"/>
              <a:gd name="csY6154" fmla="*/ 2308742 h 6858000"/>
              <a:gd name="csX6155" fmla="*/ 9049513 w 12192000"/>
              <a:gd name="csY6155" fmla="*/ 2308742 h 6858000"/>
              <a:gd name="csX6156" fmla="*/ 9015160 w 12192000"/>
              <a:gd name="csY6156" fmla="*/ 2343563 h 6858000"/>
              <a:gd name="csX6157" fmla="*/ 9049513 w 12192000"/>
              <a:gd name="csY6157" fmla="*/ 2378383 h 6858000"/>
              <a:gd name="csX6158" fmla="*/ 9083854 w 12192000"/>
              <a:gd name="csY6158" fmla="*/ 2343563 h 6858000"/>
              <a:gd name="csX6159" fmla="*/ 9049513 w 12192000"/>
              <a:gd name="csY6159" fmla="*/ 2308742 h 6858000"/>
              <a:gd name="csX6160" fmla="*/ 9133256 w 12192000"/>
              <a:gd name="csY6160" fmla="*/ 2308742 h 6858000"/>
              <a:gd name="csX6161" fmla="*/ 9098903 w 12192000"/>
              <a:gd name="csY6161" fmla="*/ 2343563 h 6858000"/>
              <a:gd name="csX6162" fmla="*/ 9133256 w 12192000"/>
              <a:gd name="csY6162" fmla="*/ 2378383 h 6858000"/>
              <a:gd name="csX6163" fmla="*/ 9167596 w 12192000"/>
              <a:gd name="csY6163" fmla="*/ 2343563 h 6858000"/>
              <a:gd name="csX6164" fmla="*/ 9133256 w 12192000"/>
              <a:gd name="csY6164" fmla="*/ 2308742 h 6858000"/>
              <a:gd name="csX6165" fmla="*/ 9216997 w 12192000"/>
              <a:gd name="csY6165" fmla="*/ 2308742 h 6858000"/>
              <a:gd name="csX6166" fmla="*/ 9182644 w 12192000"/>
              <a:gd name="csY6166" fmla="*/ 2343563 h 6858000"/>
              <a:gd name="csX6167" fmla="*/ 9216997 w 12192000"/>
              <a:gd name="csY6167" fmla="*/ 2378383 h 6858000"/>
              <a:gd name="csX6168" fmla="*/ 9251337 w 12192000"/>
              <a:gd name="csY6168" fmla="*/ 2343563 h 6858000"/>
              <a:gd name="csX6169" fmla="*/ 9216997 w 12192000"/>
              <a:gd name="csY6169" fmla="*/ 2308742 h 6858000"/>
              <a:gd name="csX6170" fmla="*/ 9300738 w 12192000"/>
              <a:gd name="csY6170" fmla="*/ 2308742 h 6858000"/>
              <a:gd name="csX6171" fmla="*/ 9266385 w 12192000"/>
              <a:gd name="csY6171" fmla="*/ 2343563 h 6858000"/>
              <a:gd name="csX6172" fmla="*/ 9300738 w 12192000"/>
              <a:gd name="csY6172" fmla="*/ 2378383 h 6858000"/>
              <a:gd name="csX6173" fmla="*/ 9335078 w 12192000"/>
              <a:gd name="csY6173" fmla="*/ 2343563 h 6858000"/>
              <a:gd name="csX6174" fmla="*/ 9300738 w 12192000"/>
              <a:gd name="csY6174" fmla="*/ 2308742 h 6858000"/>
              <a:gd name="csX6175" fmla="*/ 9384480 w 12192000"/>
              <a:gd name="csY6175" fmla="*/ 2308742 h 6858000"/>
              <a:gd name="csX6176" fmla="*/ 9350127 w 12192000"/>
              <a:gd name="csY6176" fmla="*/ 2343563 h 6858000"/>
              <a:gd name="csX6177" fmla="*/ 9384480 w 12192000"/>
              <a:gd name="csY6177" fmla="*/ 2378383 h 6858000"/>
              <a:gd name="csX6178" fmla="*/ 9418821 w 12192000"/>
              <a:gd name="csY6178" fmla="*/ 2343563 h 6858000"/>
              <a:gd name="csX6179" fmla="*/ 9384480 w 12192000"/>
              <a:gd name="csY6179" fmla="*/ 2308742 h 6858000"/>
              <a:gd name="csX6180" fmla="*/ 9468222 w 12192000"/>
              <a:gd name="csY6180" fmla="*/ 2308742 h 6858000"/>
              <a:gd name="csX6181" fmla="*/ 9433869 w 12192000"/>
              <a:gd name="csY6181" fmla="*/ 2343563 h 6858000"/>
              <a:gd name="csX6182" fmla="*/ 9468222 w 12192000"/>
              <a:gd name="csY6182" fmla="*/ 2378383 h 6858000"/>
              <a:gd name="csX6183" fmla="*/ 9502562 w 12192000"/>
              <a:gd name="csY6183" fmla="*/ 2343563 h 6858000"/>
              <a:gd name="csX6184" fmla="*/ 9468222 w 12192000"/>
              <a:gd name="csY6184" fmla="*/ 2308742 h 6858000"/>
              <a:gd name="csX6185" fmla="*/ 9551963 w 12192000"/>
              <a:gd name="csY6185" fmla="*/ 2308742 h 6858000"/>
              <a:gd name="csX6186" fmla="*/ 9517610 w 12192000"/>
              <a:gd name="csY6186" fmla="*/ 2343563 h 6858000"/>
              <a:gd name="csX6187" fmla="*/ 9551963 w 12192000"/>
              <a:gd name="csY6187" fmla="*/ 2378383 h 6858000"/>
              <a:gd name="csX6188" fmla="*/ 9586303 w 12192000"/>
              <a:gd name="csY6188" fmla="*/ 2343563 h 6858000"/>
              <a:gd name="csX6189" fmla="*/ 9551963 w 12192000"/>
              <a:gd name="csY6189" fmla="*/ 2308742 h 6858000"/>
              <a:gd name="csX6190" fmla="*/ 9635705 w 12192000"/>
              <a:gd name="csY6190" fmla="*/ 2308742 h 6858000"/>
              <a:gd name="csX6191" fmla="*/ 9601352 w 12192000"/>
              <a:gd name="csY6191" fmla="*/ 2343563 h 6858000"/>
              <a:gd name="csX6192" fmla="*/ 9635705 w 12192000"/>
              <a:gd name="csY6192" fmla="*/ 2378383 h 6858000"/>
              <a:gd name="csX6193" fmla="*/ 9670045 w 12192000"/>
              <a:gd name="csY6193" fmla="*/ 2343563 h 6858000"/>
              <a:gd name="csX6194" fmla="*/ 9635705 w 12192000"/>
              <a:gd name="csY6194" fmla="*/ 2308742 h 6858000"/>
              <a:gd name="csX6195" fmla="*/ 9719446 w 12192000"/>
              <a:gd name="csY6195" fmla="*/ 2308742 h 6858000"/>
              <a:gd name="csX6196" fmla="*/ 9685093 w 12192000"/>
              <a:gd name="csY6196" fmla="*/ 2343563 h 6858000"/>
              <a:gd name="csX6197" fmla="*/ 9719446 w 12192000"/>
              <a:gd name="csY6197" fmla="*/ 2378383 h 6858000"/>
              <a:gd name="csX6198" fmla="*/ 9753787 w 12192000"/>
              <a:gd name="csY6198" fmla="*/ 2343563 h 6858000"/>
              <a:gd name="csX6199" fmla="*/ 9719446 w 12192000"/>
              <a:gd name="csY6199" fmla="*/ 2308742 h 6858000"/>
              <a:gd name="csX6200" fmla="*/ 9803189 w 12192000"/>
              <a:gd name="csY6200" fmla="*/ 2308742 h 6858000"/>
              <a:gd name="csX6201" fmla="*/ 9768836 w 12192000"/>
              <a:gd name="csY6201" fmla="*/ 2343563 h 6858000"/>
              <a:gd name="csX6202" fmla="*/ 9803189 w 12192000"/>
              <a:gd name="csY6202" fmla="*/ 2378383 h 6858000"/>
              <a:gd name="csX6203" fmla="*/ 9837529 w 12192000"/>
              <a:gd name="csY6203" fmla="*/ 2343563 h 6858000"/>
              <a:gd name="csX6204" fmla="*/ 9803189 w 12192000"/>
              <a:gd name="csY6204" fmla="*/ 2308742 h 6858000"/>
              <a:gd name="csX6205" fmla="*/ 9886930 w 12192000"/>
              <a:gd name="csY6205" fmla="*/ 2308742 h 6858000"/>
              <a:gd name="csX6206" fmla="*/ 9852577 w 12192000"/>
              <a:gd name="csY6206" fmla="*/ 2343563 h 6858000"/>
              <a:gd name="csX6207" fmla="*/ 9886930 w 12192000"/>
              <a:gd name="csY6207" fmla="*/ 2378383 h 6858000"/>
              <a:gd name="csX6208" fmla="*/ 9921270 w 12192000"/>
              <a:gd name="csY6208" fmla="*/ 2343563 h 6858000"/>
              <a:gd name="csX6209" fmla="*/ 9886930 w 12192000"/>
              <a:gd name="csY6209" fmla="*/ 2308742 h 6858000"/>
              <a:gd name="csX6210" fmla="*/ 9970671 w 12192000"/>
              <a:gd name="csY6210" fmla="*/ 2308742 h 6858000"/>
              <a:gd name="csX6211" fmla="*/ 9936318 w 12192000"/>
              <a:gd name="csY6211" fmla="*/ 2343563 h 6858000"/>
              <a:gd name="csX6212" fmla="*/ 9970671 w 12192000"/>
              <a:gd name="csY6212" fmla="*/ 2378383 h 6858000"/>
              <a:gd name="csX6213" fmla="*/ 10005011 w 12192000"/>
              <a:gd name="csY6213" fmla="*/ 2343563 h 6858000"/>
              <a:gd name="csX6214" fmla="*/ 9970671 w 12192000"/>
              <a:gd name="csY6214" fmla="*/ 2308742 h 6858000"/>
              <a:gd name="csX6215" fmla="*/ 10305638 w 12192000"/>
              <a:gd name="csY6215" fmla="*/ 2308742 h 6858000"/>
              <a:gd name="csX6216" fmla="*/ 10271285 w 12192000"/>
              <a:gd name="csY6216" fmla="*/ 2343563 h 6858000"/>
              <a:gd name="csX6217" fmla="*/ 10305638 w 12192000"/>
              <a:gd name="csY6217" fmla="*/ 2378383 h 6858000"/>
              <a:gd name="csX6218" fmla="*/ 10339978 w 12192000"/>
              <a:gd name="csY6218" fmla="*/ 2343563 h 6858000"/>
              <a:gd name="csX6219" fmla="*/ 10305638 w 12192000"/>
              <a:gd name="csY6219" fmla="*/ 2308742 h 6858000"/>
              <a:gd name="csX6220" fmla="*/ 2350151 w 12192000"/>
              <a:gd name="csY6220" fmla="*/ 2393606 h 6858000"/>
              <a:gd name="csX6221" fmla="*/ 2315804 w 12192000"/>
              <a:gd name="csY6221" fmla="*/ 2428427 h 6858000"/>
              <a:gd name="csX6222" fmla="*/ 2350151 w 12192000"/>
              <a:gd name="csY6222" fmla="*/ 2463247 h 6858000"/>
              <a:gd name="csX6223" fmla="*/ 2384498 w 12192000"/>
              <a:gd name="csY6223" fmla="*/ 2428427 h 6858000"/>
              <a:gd name="csX6224" fmla="*/ 2350151 w 12192000"/>
              <a:gd name="csY6224" fmla="*/ 2393606 h 6858000"/>
              <a:gd name="csX6225" fmla="*/ 2433893 w 12192000"/>
              <a:gd name="csY6225" fmla="*/ 2393606 h 6858000"/>
              <a:gd name="csX6226" fmla="*/ 2399546 w 12192000"/>
              <a:gd name="csY6226" fmla="*/ 2428427 h 6858000"/>
              <a:gd name="csX6227" fmla="*/ 2433893 w 12192000"/>
              <a:gd name="csY6227" fmla="*/ 2463247 h 6858000"/>
              <a:gd name="csX6228" fmla="*/ 2468240 w 12192000"/>
              <a:gd name="csY6228" fmla="*/ 2428427 h 6858000"/>
              <a:gd name="csX6229" fmla="*/ 2433893 w 12192000"/>
              <a:gd name="csY6229" fmla="*/ 2393606 h 6858000"/>
              <a:gd name="csX6230" fmla="*/ 2517634 w 12192000"/>
              <a:gd name="csY6230" fmla="*/ 2393606 h 6858000"/>
              <a:gd name="csX6231" fmla="*/ 2483288 w 12192000"/>
              <a:gd name="csY6231" fmla="*/ 2428427 h 6858000"/>
              <a:gd name="csX6232" fmla="*/ 2517634 w 12192000"/>
              <a:gd name="csY6232" fmla="*/ 2463247 h 6858000"/>
              <a:gd name="csX6233" fmla="*/ 2551981 w 12192000"/>
              <a:gd name="csY6233" fmla="*/ 2428427 h 6858000"/>
              <a:gd name="csX6234" fmla="*/ 2517634 w 12192000"/>
              <a:gd name="csY6234" fmla="*/ 2393606 h 6858000"/>
              <a:gd name="csX6235" fmla="*/ 2601376 w 12192000"/>
              <a:gd name="csY6235" fmla="*/ 2393606 h 6858000"/>
              <a:gd name="csX6236" fmla="*/ 2567029 w 12192000"/>
              <a:gd name="csY6236" fmla="*/ 2428427 h 6858000"/>
              <a:gd name="csX6237" fmla="*/ 2601376 w 12192000"/>
              <a:gd name="csY6237" fmla="*/ 2463247 h 6858000"/>
              <a:gd name="csX6238" fmla="*/ 2635722 w 12192000"/>
              <a:gd name="csY6238" fmla="*/ 2428427 h 6858000"/>
              <a:gd name="csX6239" fmla="*/ 2601376 w 12192000"/>
              <a:gd name="csY6239" fmla="*/ 2393606 h 6858000"/>
              <a:gd name="csX6240" fmla="*/ 2685118 w 12192000"/>
              <a:gd name="csY6240" fmla="*/ 2393606 h 6858000"/>
              <a:gd name="csX6241" fmla="*/ 2650771 w 12192000"/>
              <a:gd name="csY6241" fmla="*/ 2428427 h 6858000"/>
              <a:gd name="csX6242" fmla="*/ 2685118 w 12192000"/>
              <a:gd name="csY6242" fmla="*/ 2463247 h 6858000"/>
              <a:gd name="csX6243" fmla="*/ 2719465 w 12192000"/>
              <a:gd name="csY6243" fmla="*/ 2428427 h 6858000"/>
              <a:gd name="csX6244" fmla="*/ 2685118 w 12192000"/>
              <a:gd name="csY6244" fmla="*/ 2393606 h 6858000"/>
              <a:gd name="csX6245" fmla="*/ 2768859 w 12192000"/>
              <a:gd name="csY6245" fmla="*/ 2393606 h 6858000"/>
              <a:gd name="csX6246" fmla="*/ 2734512 w 12192000"/>
              <a:gd name="csY6246" fmla="*/ 2428427 h 6858000"/>
              <a:gd name="csX6247" fmla="*/ 2768859 w 12192000"/>
              <a:gd name="csY6247" fmla="*/ 2463247 h 6858000"/>
              <a:gd name="csX6248" fmla="*/ 2803206 w 12192000"/>
              <a:gd name="csY6248" fmla="*/ 2428427 h 6858000"/>
              <a:gd name="csX6249" fmla="*/ 2768859 w 12192000"/>
              <a:gd name="csY6249" fmla="*/ 2393606 h 6858000"/>
              <a:gd name="csX6250" fmla="*/ 2852600 w 12192000"/>
              <a:gd name="csY6250" fmla="*/ 2393606 h 6858000"/>
              <a:gd name="csX6251" fmla="*/ 2818254 w 12192000"/>
              <a:gd name="csY6251" fmla="*/ 2428427 h 6858000"/>
              <a:gd name="csX6252" fmla="*/ 2852600 w 12192000"/>
              <a:gd name="csY6252" fmla="*/ 2463247 h 6858000"/>
              <a:gd name="csX6253" fmla="*/ 2886947 w 12192000"/>
              <a:gd name="csY6253" fmla="*/ 2428427 h 6858000"/>
              <a:gd name="csX6254" fmla="*/ 2852600 w 12192000"/>
              <a:gd name="csY6254" fmla="*/ 2393606 h 6858000"/>
              <a:gd name="csX6255" fmla="*/ 2936343 w 12192000"/>
              <a:gd name="csY6255" fmla="*/ 2393606 h 6858000"/>
              <a:gd name="csX6256" fmla="*/ 2901996 w 12192000"/>
              <a:gd name="csY6256" fmla="*/ 2428427 h 6858000"/>
              <a:gd name="csX6257" fmla="*/ 2936343 w 12192000"/>
              <a:gd name="csY6257" fmla="*/ 2463247 h 6858000"/>
              <a:gd name="csX6258" fmla="*/ 2970689 w 12192000"/>
              <a:gd name="csY6258" fmla="*/ 2428427 h 6858000"/>
              <a:gd name="csX6259" fmla="*/ 2936343 w 12192000"/>
              <a:gd name="csY6259" fmla="*/ 2393606 h 6858000"/>
              <a:gd name="csX6260" fmla="*/ 3020084 w 12192000"/>
              <a:gd name="csY6260" fmla="*/ 2393606 h 6858000"/>
              <a:gd name="csX6261" fmla="*/ 2985737 w 12192000"/>
              <a:gd name="csY6261" fmla="*/ 2428427 h 6858000"/>
              <a:gd name="csX6262" fmla="*/ 3020084 w 12192000"/>
              <a:gd name="csY6262" fmla="*/ 2463247 h 6858000"/>
              <a:gd name="csX6263" fmla="*/ 3054431 w 12192000"/>
              <a:gd name="csY6263" fmla="*/ 2428427 h 6858000"/>
              <a:gd name="csX6264" fmla="*/ 3020084 w 12192000"/>
              <a:gd name="csY6264" fmla="*/ 2393606 h 6858000"/>
              <a:gd name="csX6265" fmla="*/ 3187567 w 12192000"/>
              <a:gd name="csY6265" fmla="*/ 2393606 h 6858000"/>
              <a:gd name="csX6266" fmla="*/ 3153221 w 12192000"/>
              <a:gd name="csY6266" fmla="*/ 2428427 h 6858000"/>
              <a:gd name="csX6267" fmla="*/ 3187567 w 12192000"/>
              <a:gd name="csY6267" fmla="*/ 2463247 h 6858000"/>
              <a:gd name="csX6268" fmla="*/ 3221914 w 12192000"/>
              <a:gd name="csY6268" fmla="*/ 2428427 h 6858000"/>
              <a:gd name="csX6269" fmla="*/ 3187567 w 12192000"/>
              <a:gd name="csY6269" fmla="*/ 2393606 h 6858000"/>
              <a:gd name="csX6270" fmla="*/ 3438792 w 12192000"/>
              <a:gd name="csY6270" fmla="*/ 2393606 h 6858000"/>
              <a:gd name="csX6271" fmla="*/ 3404445 w 12192000"/>
              <a:gd name="csY6271" fmla="*/ 2428427 h 6858000"/>
              <a:gd name="csX6272" fmla="*/ 3438792 w 12192000"/>
              <a:gd name="csY6272" fmla="*/ 2463247 h 6858000"/>
              <a:gd name="csX6273" fmla="*/ 3473139 w 12192000"/>
              <a:gd name="csY6273" fmla="*/ 2428427 h 6858000"/>
              <a:gd name="csX6274" fmla="*/ 3438792 w 12192000"/>
              <a:gd name="csY6274" fmla="*/ 2393606 h 6858000"/>
              <a:gd name="csX6275" fmla="*/ 3522533 w 12192000"/>
              <a:gd name="csY6275" fmla="*/ 2393606 h 6858000"/>
              <a:gd name="csX6276" fmla="*/ 3488187 w 12192000"/>
              <a:gd name="csY6276" fmla="*/ 2428427 h 6858000"/>
              <a:gd name="csX6277" fmla="*/ 3522533 w 12192000"/>
              <a:gd name="csY6277" fmla="*/ 2463247 h 6858000"/>
              <a:gd name="csX6278" fmla="*/ 3556880 w 12192000"/>
              <a:gd name="csY6278" fmla="*/ 2428427 h 6858000"/>
              <a:gd name="csX6279" fmla="*/ 3522533 w 12192000"/>
              <a:gd name="csY6279" fmla="*/ 2393606 h 6858000"/>
              <a:gd name="csX6280" fmla="*/ 3690017 w 12192000"/>
              <a:gd name="csY6280" fmla="*/ 2393606 h 6858000"/>
              <a:gd name="csX6281" fmla="*/ 3655670 w 12192000"/>
              <a:gd name="csY6281" fmla="*/ 2428427 h 6858000"/>
              <a:gd name="csX6282" fmla="*/ 3690017 w 12192000"/>
              <a:gd name="csY6282" fmla="*/ 2463247 h 6858000"/>
              <a:gd name="csX6283" fmla="*/ 3724364 w 12192000"/>
              <a:gd name="csY6283" fmla="*/ 2428427 h 6858000"/>
              <a:gd name="csX6284" fmla="*/ 3690017 w 12192000"/>
              <a:gd name="csY6284" fmla="*/ 2393606 h 6858000"/>
              <a:gd name="csX6285" fmla="*/ 3773759 w 12192000"/>
              <a:gd name="csY6285" fmla="*/ 2393606 h 6858000"/>
              <a:gd name="csX6286" fmla="*/ 3739412 w 12192000"/>
              <a:gd name="csY6286" fmla="*/ 2428427 h 6858000"/>
              <a:gd name="csX6287" fmla="*/ 3773759 w 12192000"/>
              <a:gd name="csY6287" fmla="*/ 2463247 h 6858000"/>
              <a:gd name="csX6288" fmla="*/ 3808106 w 12192000"/>
              <a:gd name="csY6288" fmla="*/ 2428427 h 6858000"/>
              <a:gd name="csX6289" fmla="*/ 3773759 w 12192000"/>
              <a:gd name="csY6289" fmla="*/ 2393606 h 6858000"/>
              <a:gd name="csX6290" fmla="*/ 3857500 w 12192000"/>
              <a:gd name="csY6290" fmla="*/ 2393606 h 6858000"/>
              <a:gd name="csX6291" fmla="*/ 3823154 w 12192000"/>
              <a:gd name="csY6291" fmla="*/ 2428427 h 6858000"/>
              <a:gd name="csX6292" fmla="*/ 3857500 w 12192000"/>
              <a:gd name="csY6292" fmla="*/ 2463247 h 6858000"/>
              <a:gd name="csX6293" fmla="*/ 3891847 w 12192000"/>
              <a:gd name="csY6293" fmla="*/ 2428427 h 6858000"/>
              <a:gd name="csX6294" fmla="*/ 3857500 w 12192000"/>
              <a:gd name="csY6294" fmla="*/ 2393606 h 6858000"/>
              <a:gd name="csX6295" fmla="*/ 3941242 w 12192000"/>
              <a:gd name="csY6295" fmla="*/ 2393606 h 6858000"/>
              <a:gd name="csX6296" fmla="*/ 3906895 w 12192000"/>
              <a:gd name="csY6296" fmla="*/ 2428427 h 6858000"/>
              <a:gd name="csX6297" fmla="*/ 3941242 w 12192000"/>
              <a:gd name="csY6297" fmla="*/ 2463247 h 6858000"/>
              <a:gd name="csX6298" fmla="*/ 3975588 w 12192000"/>
              <a:gd name="csY6298" fmla="*/ 2428427 h 6858000"/>
              <a:gd name="csX6299" fmla="*/ 3941242 w 12192000"/>
              <a:gd name="csY6299" fmla="*/ 2393606 h 6858000"/>
              <a:gd name="csX6300" fmla="*/ 4024990 w 12192000"/>
              <a:gd name="csY6300" fmla="*/ 2393606 h 6858000"/>
              <a:gd name="csX6301" fmla="*/ 3990643 w 12192000"/>
              <a:gd name="csY6301" fmla="*/ 2428427 h 6858000"/>
              <a:gd name="csX6302" fmla="*/ 4024990 w 12192000"/>
              <a:gd name="csY6302" fmla="*/ 2463247 h 6858000"/>
              <a:gd name="csX6303" fmla="*/ 4059337 w 12192000"/>
              <a:gd name="csY6303" fmla="*/ 2428427 h 6858000"/>
              <a:gd name="csX6304" fmla="*/ 4024990 w 12192000"/>
              <a:gd name="csY6304" fmla="*/ 2393606 h 6858000"/>
              <a:gd name="csX6305" fmla="*/ 4108732 w 12192000"/>
              <a:gd name="csY6305" fmla="*/ 2393606 h 6858000"/>
              <a:gd name="csX6306" fmla="*/ 4074386 w 12192000"/>
              <a:gd name="csY6306" fmla="*/ 2428427 h 6858000"/>
              <a:gd name="csX6307" fmla="*/ 4108732 w 12192000"/>
              <a:gd name="csY6307" fmla="*/ 2463247 h 6858000"/>
              <a:gd name="csX6308" fmla="*/ 4143079 w 12192000"/>
              <a:gd name="csY6308" fmla="*/ 2428427 h 6858000"/>
              <a:gd name="csX6309" fmla="*/ 4108732 w 12192000"/>
              <a:gd name="csY6309" fmla="*/ 2393606 h 6858000"/>
              <a:gd name="csX6310" fmla="*/ 4192473 w 12192000"/>
              <a:gd name="csY6310" fmla="*/ 2393606 h 6858000"/>
              <a:gd name="csX6311" fmla="*/ 4158127 w 12192000"/>
              <a:gd name="csY6311" fmla="*/ 2428427 h 6858000"/>
              <a:gd name="csX6312" fmla="*/ 4192473 w 12192000"/>
              <a:gd name="csY6312" fmla="*/ 2463247 h 6858000"/>
              <a:gd name="csX6313" fmla="*/ 4226820 w 12192000"/>
              <a:gd name="csY6313" fmla="*/ 2428427 h 6858000"/>
              <a:gd name="csX6314" fmla="*/ 4192473 w 12192000"/>
              <a:gd name="csY6314" fmla="*/ 2393606 h 6858000"/>
              <a:gd name="csX6315" fmla="*/ 4276215 w 12192000"/>
              <a:gd name="csY6315" fmla="*/ 2393606 h 6858000"/>
              <a:gd name="csX6316" fmla="*/ 4241868 w 12192000"/>
              <a:gd name="csY6316" fmla="*/ 2428427 h 6858000"/>
              <a:gd name="csX6317" fmla="*/ 4276215 w 12192000"/>
              <a:gd name="csY6317" fmla="*/ 2463247 h 6858000"/>
              <a:gd name="csX6318" fmla="*/ 4310561 w 12192000"/>
              <a:gd name="csY6318" fmla="*/ 2428427 h 6858000"/>
              <a:gd name="csX6319" fmla="*/ 4276215 w 12192000"/>
              <a:gd name="csY6319" fmla="*/ 2393606 h 6858000"/>
              <a:gd name="csX6320" fmla="*/ 5616081 w 12192000"/>
              <a:gd name="csY6320" fmla="*/ 2393606 h 6858000"/>
              <a:gd name="csX6321" fmla="*/ 5581734 w 12192000"/>
              <a:gd name="csY6321" fmla="*/ 2428427 h 6858000"/>
              <a:gd name="csX6322" fmla="*/ 5616081 w 12192000"/>
              <a:gd name="csY6322" fmla="*/ 2463247 h 6858000"/>
              <a:gd name="csX6323" fmla="*/ 5650427 w 12192000"/>
              <a:gd name="csY6323" fmla="*/ 2428427 h 6858000"/>
              <a:gd name="csX6324" fmla="*/ 5616081 w 12192000"/>
              <a:gd name="csY6324" fmla="*/ 2393606 h 6858000"/>
              <a:gd name="csX6325" fmla="*/ 5783564 w 12192000"/>
              <a:gd name="csY6325" fmla="*/ 2393606 h 6858000"/>
              <a:gd name="csX6326" fmla="*/ 5749218 w 12192000"/>
              <a:gd name="csY6326" fmla="*/ 2428427 h 6858000"/>
              <a:gd name="csX6327" fmla="*/ 5783564 w 12192000"/>
              <a:gd name="csY6327" fmla="*/ 2463247 h 6858000"/>
              <a:gd name="csX6328" fmla="*/ 5817911 w 12192000"/>
              <a:gd name="csY6328" fmla="*/ 2428427 h 6858000"/>
              <a:gd name="csX6329" fmla="*/ 5783564 w 12192000"/>
              <a:gd name="csY6329" fmla="*/ 2393606 h 6858000"/>
              <a:gd name="csX6330" fmla="*/ 6118531 w 12192000"/>
              <a:gd name="csY6330" fmla="*/ 2393606 h 6858000"/>
              <a:gd name="csX6331" fmla="*/ 6084177 w 12192000"/>
              <a:gd name="csY6331" fmla="*/ 2428427 h 6858000"/>
              <a:gd name="csX6332" fmla="*/ 6118531 w 12192000"/>
              <a:gd name="csY6332" fmla="*/ 2463247 h 6858000"/>
              <a:gd name="csX6333" fmla="*/ 6152871 w 12192000"/>
              <a:gd name="csY6333" fmla="*/ 2428427 h 6858000"/>
              <a:gd name="csX6334" fmla="*/ 6118531 w 12192000"/>
              <a:gd name="csY6334" fmla="*/ 2393606 h 6858000"/>
              <a:gd name="csX6335" fmla="*/ 6202273 w 12192000"/>
              <a:gd name="csY6335" fmla="*/ 2393606 h 6858000"/>
              <a:gd name="csX6336" fmla="*/ 6167920 w 12192000"/>
              <a:gd name="csY6336" fmla="*/ 2428427 h 6858000"/>
              <a:gd name="csX6337" fmla="*/ 6202273 w 12192000"/>
              <a:gd name="csY6337" fmla="*/ 2463247 h 6858000"/>
              <a:gd name="csX6338" fmla="*/ 6236613 w 12192000"/>
              <a:gd name="csY6338" fmla="*/ 2428427 h 6858000"/>
              <a:gd name="csX6339" fmla="*/ 6202273 w 12192000"/>
              <a:gd name="csY6339" fmla="*/ 2393606 h 6858000"/>
              <a:gd name="csX6340" fmla="*/ 6286014 w 12192000"/>
              <a:gd name="csY6340" fmla="*/ 2393606 h 6858000"/>
              <a:gd name="csX6341" fmla="*/ 6251661 w 12192000"/>
              <a:gd name="csY6341" fmla="*/ 2428427 h 6858000"/>
              <a:gd name="csX6342" fmla="*/ 6286014 w 12192000"/>
              <a:gd name="csY6342" fmla="*/ 2463247 h 6858000"/>
              <a:gd name="csX6343" fmla="*/ 6320354 w 12192000"/>
              <a:gd name="csY6343" fmla="*/ 2428427 h 6858000"/>
              <a:gd name="csX6344" fmla="*/ 6286014 w 12192000"/>
              <a:gd name="csY6344" fmla="*/ 2393606 h 6858000"/>
              <a:gd name="csX6345" fmla="*/ 6369755 w 12192000"/>
              <a:gd name="csY6345" fmla="*/ 2393606 h 6858000"/>
              <a:gd name="csX6346" fmla="*/ 6335402 w 12192000"/>
              <a:gd name="csY6346" fmla="*/ 2428427 h 6858000"/>
              <a:gd name="csX6347" fmla="*/ 6369755 w 12192000"/>
              <a:gd name="csY6347" fmla="*/ 2463247 h 6858000"/>
              <a:gd name="csX6348" fmla="*/ 6404096 w 12192000"/>
              <a:gd name="csY6348" fmla="*/ 2428427 h 6858000"/>
              <a:gd name="csX6349" fmla="*/ 6369755 w 12192000"/>
              <a:gd name="csY6349" fmla="*/ 2393606 h 6858000"/>
              <a:gd name="csX6350" fmla="*/ 6453498 w 12192000"/>
              <a:gd name="csY6350" fmla="*/ 2393606 h 6858000"/>
              <a:gd name="csX6351" fmla="*/ 6419144 w 12192000"/>
              <a:gd name="csY6351" fmla="*/ 2428427 h 6858000"/>
              <a:gd name="csX6352" fmla="*/ 6453498 w 12192000"/>
              <a:gd name="csY6352" fmla="*/ 2463247 h 6858000"/>
              <a:gd name="csX6353" fmla="*/ 6487838 w 12192000"/>
              <a:gd name="csY6353" fmla="*/ 2428427 h 6858000"/>
              <a:gd name="csX6354" fmla="*/ 6453498 w 12192000"/>
              <a:gd name="csY6354" fmla="*/ 2393606 h 6858000"/>
              <a:gd name="csX6355" fmla="*/ 6537239 w 12192000"/>
              <a:gd name="csY6355" fmla="*/ 2393606 h 6858000"/>
              <a:gd name="csX6356" fmla="*/ 6502886 w 12192000"/>
              <a:gd name="csY6356" fmla="*/ 2428427 h 6858000"/>
              <a:gd name="csX6357" fmla="*/ 6537239 w 12192000"/>
              <a:gd name="csY6357" fmla="*/ 2463247 h 6858000"/>
              <a:gd name="csX6358" fmla="*/ 6571579 w 12192000"/>
              <a:gd name="csY6358" fmla="*/ 2428427 h 6858000"/>
              <a:gd name="csX6359" fmla="*/ 6537239 w 12192000"/>
              <a:gd name="csY6359" fmla="*/ 2393606 h 6858000"/>
              <a:gd name="csX6360" fmla="*/ 6620980 w 12192000"/>
              <a:gd name="csY6360" fmla="*/ 2393606 h 6858000"/>
              <a:gd name="csX6361" fmla="*/ 6586627 w 12192000"/>
              <a:gd name="csY6361" fmla="*/ 2428427 h 6858000"/>
              <a:gd name="csX6362" fmla="*/ 6620980 w 12192000"/>
              <a:gd name="csY6362" fmla="*/ 2463247 h 6858000"/>
              <a:gd name="csX6363" fmla="*/ 6655320 w 12192000"/>
              <a:gd name="csY6363" fmla="*/ 2428427 h 6858000"/>
              <a:gd name="csX6364" fmla="*/ 6620980 w 12192000"/>
              <a:gd name="csY6364" fmla="*/ 2393606 h 6858000"/>
              <a:gd name="csX6365" fmla="*/ 6704722 w 12192000"/>
              <a:gd name="csY6365" fmla="*/ 2393606 h 6858000"/>
              <a:gd name="csX6366" fmla="*/ 6670369 w 12192000"/>
              <a:gd name="csY6366" fmla="*/ 2428427 h 6858000"/>
              <a:gd name="csX6367" fmla="*/ 6704722 w 12192000"/>
              <a:gd name="csY6367" fmla="*/ 2463247 h 6858000"/>
              <a:gd name="csX6368" fmla="*/ 6739063 w 12192000"/>
              <a:gd name="csY6368" fmla="*/ 2428427 h 6858000"/>
              <a:gd name="csX6369" fmla="*/ 6704722 w 12192000"/>
              <a:gd name="csY6369" fmla="*/ 2393606 h 6858000"/>
              <a:gd name="csX6370" fmla="*/ 6788464 w 12192000"/>
              <a:gd name="csY6370" fmla="*/ 2393606 h 6858000"/>
              <a:gd name="csX6371" fmla="*/ 6754110 w 12192000"/>
              <a:gd name="csY6371" fmla="*/ 2428427 h 6858000"/>
              <a:gd name="csX6372" fmla="*/ 6788464 w 12192000"/>
              <a:gd name="csY6372" fmla="*/ 2463247 h 6858000"/>
              <a:gd name="csX6373" fmla="*/ 6822804 w 12192000"/>
              <a:gd name="csY6373" fmla="*/ 2428427 h 6858000"/>
              <a:gd name="csX6374" fmla="*/ 6788464 w 12192000"/>
              <a:gd name="csY6374" fmla="*/ 2393606 h 6858000"/>
              <a:gd name="csX6375" fmla="*/ 6872206 w 12192000"/>
              <a:gd name="csY6375" fmla="*/ 2393606 h 6858000"/>
              <a:gd name="csX6376" fmla="*/ 6837853 w 12192000"/>
              <a:gd name="csY6376" fmla="*/ 2428427 h 6858000"/>
              <a:gd name="csX6377" fmla="*/ 6872206 w 12192000"/>
              <a:gd name="csY6377" fmla="*/ 2463247 h 6858000"/>
              <a:gd name="csX6378" fmla="*/ 6906546 w 12192000"/>
              <a:gd name="csY6378" fmla="*/ 2428427 h 6858000"/>
              <a:gd name="csX6379" fmla="*/ 6872206 w 12192000"/>
              <a:gd name="csY6379" fmla="*/ 2393606 h 6858000"/>
              <a:gd name="csX6380" fmla="*/ 6955947 w 12192000"/>
              <a:gd name="csY6380" fmla="*/ 2393606 h 6858000"/>
              <a:gd name="csX6381" fmla="*/ 6921594 w 12192000"/>
              <a:gd name="csY6381" fmla="*/ 2428427 h 6858000"/>
              <a:gd name="csX6382" fmla="*/ 6955947 w 12192000"/>
              <a:gd name="csY6382" fmla="*/ 2463247 h 6858000"/>
              <a:gd name="csX6383" fmla="*/ 6990287 w 12192000"/>
              <a:gd name="csY6383" fmla="*/ 2428427 h 6858000"/>
              <a:gd name="csX6384" fmla="*/ 6955947 w 12192000"/>
              <a:gd name="csY6384" fmla="*/ 2393606 h 6858000"/>
              <a:gd name="csX6385" fmla="*/ 7039688 w 12192000"/>
              <a:gd name="csY6385" fmla="*/ 2393606 h 6858000"/>
              <a:gd name="csX6386" fmla="*/ 7005335 w 12192000"/>
              <a:gd name="csY6386" fmla="*/ 2428427 h 6858000"/>
              <a:gd name="csX6387" fmla="*/ 7039688 w 12192000"/>
              <a:gd name="csY6387" fmla="*/ 2463247 h 6858000"/>
              <a:gd name="csX6388" fmla="*/ 7074029 w 12192000"/>
              <a:gd name="csY6388" fmla="*/ 2428427 h 6858000"/>
              <a:gd name="csX6389" fmla="*/ 7039688 w 12192000"/>
              <a:gd name="csY6389" fmla="*/ 2393606 h 6858000"/>
              <a:gd name="csX6390" fmla="*/ 7123456 w 12192000"/>
              <a:gd name="csY6390" fmla="*/ 2393606 h 6858000"/>
              <a:gd name="csX6391" fmla="*/ 7089103 w 12192000"/>
              <a:gd name="csY6391" fmla="*/ 2428427 h 6858000"/>
              <a:gd name="csX6392" fmla="*/ 7123456 w 12192000"/>
              <a:gd name="csY6392" fmla="*/ 2463247 h 6858000"/>
              <a:gd name="csX6393" fmla="*/ 7157796 w 12192000"/>
              <a:gd name="csY6393" fmla="*/ 2428427 h 6858000"/>
              <a:gd name="csX6394" fmla="*/ 7123456 w 12192000"/>
              <a:gd name="csY6394" fmla="*/ 2393606 h 6858000"/>
              <a:gd name="csX6395" fmla="*/ 7207198 w 12192000"/>
              <a:gd name="csY6395" fmla="*/ 2393606 h 6858000"/>
              <a:gd name="csX6396" fmla="*/ 7172845 w 12192000"/>
              <a:gd name="csY6396" fmla="*/ 2428427 h 6858000"/>
              <a:gd name="csX6397" fmla="*/ 7207198 w 12192000"/>
              <a:gd name="csY6397" fmla="*/ 2463247 h 6858000"/>
              <a:gd name="csX6398" fmla="*/ 7241538 w 12192000"/>
              <a:gd name="csY6398" fmla="*/ 2428427 h 6858000"/>
              <a:gd name="csX6399" fmla="*/ 7207198 w 12192000"/>
              <a:gd name="csY6399" fmla="*/ 2393606 h 6858000"/>
              <a:gd name="csX6400" fmla="*/ 7290939 w 12192000"/>
              <a:gd name="csY6400" fmla="*/ 2393606 h 6858000"/>
              <a:gd name="csX6401" fmla="*/ 7256586 w 12192000"/>
              <a:gd name="csY6401" fmla="*/ 2428427 h 6858000"/>
              <a:gd name="csX6402" fmla="*/ 7290939 w 12192000"/>
              <a:gd name="csY6402" fmla="*/ 2463247 h 6858000"/>
              <a:gd name="csX6403" fmla="*/ 7325279 w 12192000"/>
              <a:gd name="csY6403" fmla="*/ 2428427 h 6858000"/>
              <a:gd name="csX6404" fmla="*/ 7290939 w 12192000"/>
              <a:gd name="csY6404" fmla="*/ 2393606 h 6858000"/>
              <a:gd name="csX6405" fmla="*/ 7374681 w 12192000"/>
              <a:gd name="csY6405" fmla="*/ 2393606 h 6858000"/>
              <a:gd name="csX6406" fmla="*/ 7340328 w 12192000"/>
              <a:gd name="csY6406" fmla="*/ 2428427 h 6858000"/>
              <a:gd name="csX6407" fmla="*/ 7374681 w 12192000"/>
              <a:gd name="csY6407" fmla="*/ 2463247 h 6858000"/>
              <a:gd name="csX6408" fmla="*/ 7409022 w 12192000"/>
              <a:gd name="csY6408" fmla="*/ 2428427 h 6858000"/>
              <a:gd name="csX6409" fmla="*/ 7374681 w 12192000"/>
              <a:gd name="csY6409" fmla="*/ 2393606 h 6858000"/>
              <a:gd name="csX6410" fmla="*/ 7458423 w 12192000"/>
              <a:gd name="csY6410" fmla="*/ 2393606 h 6858000"/>
              <a:gd name="csX6411" fmla="*/ 7424070 w 12192000"/>
              <a:gd name="csY6411" fmla="*/ 2428427 h 6858000"/>
              <a:gd name="csX6412" fmla="*/ 7458423 w 12192000"/>
              <a:gd name="csY6412" fmla="*/ 2463247 h 6858000"/>
              <a:gd name="csX6413" fmla="*/ 7492763 w 12192000"/>
              <a:gd name="csY6413" fmla="*/ 2428427 h 6858000"/>
              <a:gd name="csX6414" fmla="*/ 7458423 w 12192000"/>
              <a:gd name="csY6414" fmla="*/ 2393606 h 6858000"/>
              <a:gd name="csX6415" fmla="*/ 7542164 w 12192000"/>
              <a:gd name="csY6415" fmla="*/ 2393606 h 6858000"/>
              <a:gd name="csX6416" fmla="*/ 7507811 w 12192000"/>
              <a:gd name="csY6416" fmla="*/ 2428427 h 6858000"/>
              <a:gd name="csX6417" fmla="*/ 7542164 w 12192000"/>
              <a:gd name="csY6417" fmla="*/ 2463247 h 6858000"/>
              <a:gd name="csX6418" fmla="*/ 7576504 w 12192000"/>
              <a:gd name="csY6418" fmla="*/ 2428427 h 6858000"/>
              <a:gd name="csX6419" fmla="*/ 7542164 w 12192000"/>
              <a:gd name="csY6419" fmla="*/ 2393606 h 6858000"/>
              <a:gd name="csX6420" fmla="*/ 7625906 w 12192000"/>
              <a:gd name="csY6420" fmla="*/ 2393606 h 6858000"/>
              <a:gd name="csX6421" fmla="*/ 7591553 w 12192000"/>
              <a:gd name="csY6421" fmla="*/ 2428427 h 6858000"/>
              <a:gd name="csX6422" fmla="*/ 7625906 w 12192000"/>
              <a:gd name="csY6422" fmla="*/ 2463247 h 6858000"/>
              <a:gd name="csX6423" fmla="*/ 7660246 w 12192000"/>
              <a:gd name="csY6423" fmla="*/ 2428427 h 6858000"/>
              <a:gd name="csX6424" fmla="*/ 7625906 w 12192000"/>
              <a:gd name="csY6424" fmla="*/ 2393606 h 6858000"/>
              <a:gd name="csX6425" fmla="*/ 7709647 w 12192000"/>
              <a:gd name="csY6425" fmla="*/ 2393606 h 6858000"/>
              <a:gd name="csX6426" fmla="*/ 7675294 w 12192000"/>
              <a:gd name="csY6426" fmla="*/ 2428427 h 6858000"/>
              <a:gd name="csX6427" fmla="*/ 7709647 w 12192000"/>
              <a:gd name="csY6427" fmla="*/ 2463247 h 6858000"/>
              <a:gd name="csX6428" fmla="*/ 7743988 w 12192000"/>
              <a:gd name="csY6428" fmla="*/ 2428427 h 6858000"/>
              <a:gd name="csX6429" fmla="*/ 7709647 w 12192000"/>
              <a:gd name="csY6429" fmla="*/ 2393606 h 6858000"/>
              <a:gd name="csX6430" fmla="*/ 7793389 w 12192000"/>
              <a:gd name="csY6430" fmla="*/ 2393606 h 6858000"/>
              <a:gd name="csX6431" fmla="*/ 7759036 w 12192000"/>
              <a:gd name="csY6431" fmla="*/ 2428427 h 6858000"/>
              <a:gd name="csX6432" fmla="*/ 7793389 w 12192000"/>
              <a:gd name="csY6432" fmla="*/ 2463247 h 6858000"/>
              <a:gd name="csX6433" fmla="*/ 7827729 w 12192000"/>
              <a:gd name="csY6433" fmla="*/ 2428427 h 6858000"/>
              <a:gd name="csX6434" fmla="*/ 7793389 w 12192000"/>
              <a:gd name="csY6434" fmla="*/ 2393606 h 6858000"/>
              <a:gd name="csX6435" fmla="*/ 7877131 w 12192000"/>
              <a:gd name="csY6435" fmla="*/ 2393606 h 6858000"/>
              <a:gd name="csX6436" fmla="*/ 7842778 w 12192000"/>
              <a:gd name="csY6436" fmla="*/ 2428427 h 6858000"/>
              <a:gd name="csX6437" fmla="*/ 7877131 w 12192000"/>
              <a:gd name="csY6437" fmla="*/ 2463247 h 6858000"/>
              <a:gd name="csX6438" fmla="*/ 7911471 w 12192000"/>
              <a:gd name="csY6438" fmla="*/ 2428427 h 6858000"/>
              <a:gd name="csX6439" fmla="*/ 7877131 w 12192000"/>
              <a:gd name="csY6439" fmla="*/ 2393606 h 6858000"/>
              <a:gd name="csX6440" fmla="*/ 7960872 w 12192000"/>
              <a:gd name="csY6440" fmla="*/ 2393606 h 6858000"/>
              <a:gd name="csX6441" fmla="*/ 7926519 w 12192000"/>
              <a:gd name="csY6441" fmla="*/ 2428427 h 6858000"/>
              <a:gd name="csX6442" fmla="*/ 7960872 w 12192000"/>
              <a:gd name="csY6442" fmla="*/ 2463247 h 6858000"/>
              <a:gd name="csX6443" fmla="*/ 7995212 w 12192000"/>
              <a:gd name="csY6443" fmla="*/ 2428427 h 6858000"/>
              <a:gd name="csX6444" fmla="*/ 7960872 w 12192000"/>
              <a:gd name="csY6444" fmla="*/ 2393606 h 6858000"/>
              <a:gd name="csX6445" fmla="*/ 8044614 w 12192000"/>
              <a:gd name="csY6445" fmla="*/ 2393606 h 6858000"/>
              <a:gd name="csX6446" fmla="*/ 8010261 w 12192000"/>
              <a:gd name="csY6446" fmla="*/ 2428427 h 6858000"/>
              <a:gd name="csX6447" fmla="*/ 8044614 w 12192000"/>
              <a:gd name="csY6447" fmla="*/ 2463247 h 6858000"/>
              <a:gd name="csX6448" fmla="*/ 8078955 w 12192000"/>
              <a:gd name="csY6448" fmla="*/ 2428427 h 6858000"/>
              <a:gd name="csX6449" fmla="*/ 8044614 w 12192000"/>
              <a:gd name="csY6449" fmla="*/ 2393606 h 6858000"/>
              <a:gd name="csX6450" fmla="*/ 8128356 w 12192000"/>
              <a:gd name="csY6450" fmla="*/ 2393606 h 6858000"/>
              <a:gd name="csX6451" fmla="*/ 8094003 w 12192000"/>
              <a:gd name="csY6451" fmla="*/ 2428427 h 6858000"/>
              <a:gd name="csX6452" fmla="*/ 8128356 w 12192000"/>
              <a:gd name="csY6452" fmla="*/ 2463247 h 6858000"/>
              <a:gd name="csX6453" fmla="*/ 8162696 w 12192000"/>
              <a:gd name="csY6453" fmla="*/ 2428427 h 6858000"/>
              <a:gd name="csX6454" fmla="*/ 8128356 w 12192000"/>
              <a:gd name="csY6454" fmla="*/ 2393606 h 6858000"/>
              <a:gd name="csX6455" fmla="*/ 8212097 w 12192000"/>
              <a:gd name="csY6455" fmla="*/ 2393606 h 6858000"/>
              <a:gd name="csX6456" fmla="*/ 8177744 w 12192000"/>
              <a:gd name="csY6456" fmla="*/ 2428427 h 6858000"/>
              <a:gd name="csX6457" fmla="*/ 8212097 w 12192000"/>
              <a:gd name="csY6457" fmla="*/ 2463247 h 6858000"/>
              <a:gd name="csX6458" fmla="*/ 8246437 w 12192000"/>
              <a:gd name="csY6458" fmla="*/ 2428427 h 6858000"/>
              <a:gd name="csX6459" fmla="*/ 8212097 w 12192000"/>
              <a:gd name="csY6459" fmla="*/ 2393606 h 6858000"/>
              <a:gd name="csX6460" fmla="*/ 8295839 w 12192000"/>
              <a:gd name="csY6460" fmla="*/ 2393606 h 6858000"/>
              <a:gd name="csX6461" fmla="*/ 8261486 w 12192000"/>
              <a:gd name="csY6461" fmla="*/ 2428427 h 6858000"/>
              <a:gd name="csX6462" fmla="*/ 8295839 w 12192000"/>
              <a:gd name="csY6462" fmla="*/ 2463247 h 6858000"/>
              <a:gd name="csX6463" fmla="*/ 8330179 w 12192000"/>
              <a:gd name="csY6463" fmla="*/ 2428427 h 6858000"/>
              <a:gd name="csX6464" fmla="*/ 8295839 w 12192000"/>
              <a:gd name="csY6464" fmla="*/ 2393606 h 6858000"/>
              <a:gd name="csX6465" fmla="*/ 8379580 w 12192000"/>
              <a:gd name="csY6465" fmla="*/ 2393606 h 6858000"/>
              <a:gd name="csX6466" fmla="*/ 8345227 w 12192000"/>
              <a:gd name="csY6466" fmla="*/ 2428427 h 6858000"/>
              <a:gd name="csX6467" fmla="*/ 8379580 w 12192000"/>
              <a:gd name="csY6467" fmla="*/ 2463247 h 6858000"/>
              <a:gd name="csX6468" fmla="*/ 8413921 w 12192000"/>
              <a:gd name="csY6468" fmla="*/ 2428427 h 6858000"/>
              <a:gd name="csX6469" fmla="*/ 8379580 w 12192000"/>
              <a:gd name="csY6469" fmla="*/ 2393606 h 6858000"/>
              <a:gd name="csX6470" fmla="*/ 8463323 w 12192000"/>
              <a:gd name="csY6470" fmla="*/ 2393606 h 6858000"/>
              <a:gd name="csX6471" fmla="*/ 8428970 w 12192000"/>
              <a:gd name="csY6471" fmla="*/ 2428427 h 6858000"/>
              <a:gd name="csX6472" fmla="*/ 8463323 w 12192000"/>
              <a:gd name="csY6472" fmla="*/ 2463247 h 6858000"/>
              <a:gd name="csX6473" fmla="*/ 8497663 w 12192000"/>
              <a:gd name="csY6473" fmla="*/ 2428427 h 6858000"/>
              <a:gd name="csX6474" fmla="*/ 8463323 w 12192000"/>
              <a:gd name="csY6474" fmla="*/ 2393606 h 6858000"/>
              <a:gd name="csX6475" fmla="*/ 8547064 w 12192000"/>
              <a:gd name="csY6475" fmla="*/ 2393606 h 6858000"/>
              <a:gd name="csX6476" fmla="*/ 8512711 w 12192000"/>
              <a:gd name="csY6476" fmla="*/ 2428427 h 6858000"/>
              <a:gd name="csX6477" fmla="*/ 8547064 w 12192000"/>
              <a:gd name="csY6477" fmla="*/ 2463247 h 6858000"/>
              <a:gd name="csX6478" fmla="*/ 8581404 w 12192000"/>
              <a:gd name="csY6478" fmla="*/ 2428427 h 6858000"/>
              <a:gd name="csX6479" fmla="*/ 8547064 w 12192000"/>
              <a:gd name="csY6479" fmla="*/ 2393606 h 6858000"/>
              <a:gd name="csX6480" fmla="*/ 8630805 w 12192000"/>
              <a:gd name="csY6480" fmla="*/ 2393606 h 6858000"/>
              <a:gd name="csX6481" fmla="*/ 8596452 w 12192000"/>
              <a:gd name="csY6481" fmla="*/ 2428427 h 6858000"/>
              <a:gd name="csX6482" fmla="*/ 8630805 w 12192000"/>
              <a:gd name="csY6482" fmla="*/ 2463247 h 6858000"/>
              <a:gd name="csX6483" fmla="*/ 8665145 w 12192000"/>
              <a:gd name="csY6483" fmla="*/ 2428427 h 6858000"/>
              <a:gd name="csX6484" fmla="*/ 8630805 w 12192000"/>
              <a:gd name="csY6484" fmla="*/ 2393606 h 6858000"/>
              <a:gd name="csX6485" fmla="*/ 8798289 w 12192000"/>
              <a:gd name="csY6485" fmla="*/ 2393606 h 6858000"/>
              <a:gd name="csX6486" fmla="*/ 8763936 w 12192000"/>
              <a:gd name="csY6486" fmla="*/ 2428427 h 6858000"/>
              <a:gd name="csX6487" fmla="*/ 8798289 w 12192000"/>
              <a:gd name="csY6487" fmla="*/ 2463247 h 6858000"/>
              <a:gd name="csX6488" fmla="*/ 8832629 w 12192000"/>
              <a:gd name="csY6488" fmla="*/ 2428427 h 6858000"/>
              <a:gd name="csX6489" fmla="*/ 8798289 w 12192000"/>
              <a:gd name="csY6489" fmla="*/ 2393606 h 6858000"/>
              <a:gd name="csX6490" fmla="*/ 8882030 w 12192000"/>
              <a:gd name="csY6490" fmla="*/ 2393606 h 6858000"/>
              <a:gd name="csX6491" fmla="*/ 8847677 w 12192000"/>
              <a:gd name="csY6491" fmla="*/ 2428427 h 6858000"/>
              <a:gd name="csX6492" fmla="*/ 8882030 w 12192000"/>
              <a:gd name="csY6492" fmla="*/ 2463247 h 6858000"/>
              <a:gd name="csX6493" fmla="*/ 8916370 w 12192000"/>
              <a:gd name="csY6493" fmla="*/ 2428427 h 6858000"/>
              <a:gd name="csX6494" fmla="*/ 8882030 w 12192000"/>
              <a:gd name="csY6494" fmla="*/ 2393606 h 6858000"/>
              <a:gd name="csX6495" fmla="*/ 8965772 w 12192000"/>
              <a:gd name="csY6495" fmla="*/ 2393606 h 6858000"/>
              <a:gd name="csX6496" fmla="*/ 8931419 w 12192000"/>
              <a:gd name="csY6496" fmla="*/ 2428427 h 6858000"/>
              <a:gd name="csX6497" fmla="*/ 8965772 w 12192000"/>
              <a:gd name="csY6497" fmla="*/ 2463247 h 6858000"/>
              <a:gd name="csX6498" fmla="*/ 9000112 w 12192000"/>
              <a:gd name="csY6498" fmla="*/ 2428427 h 6858000"/>
              <a:gd name="csX6499" fmla="*/ 8965772 w 12192000"/>
              <a:gd name="csY6499" fmla="*/ 2393606 h 6858000"/>
              <a:gd name="csX6500" fmla="*/ 9049513 w 12192000"/>
              <a:gd name="csY6500" fmla="*/ 2393606 h 6858000"/>
              <a:gd name="csX6501" fmla="*/ 9015160 w 12192000"/>
              <a:gd name="csY6501" fmla="*/ 2428427 h 6858000"/>
              <a:gd name="csX6502" fmla="*/ 9049513 w 12192000"/>
              <a:gd name="csY6502" fmla="*/ 2463247 h 6858000"/>
              <a:gd name="csX6503" fmla="*/ 9083854 w 12192000"/>
              <a:gd name="csY6503" fmla="*/ 2428427 h 6858000"/>
              <a:gd name="csX6504" fmla="*/ 9049513 w 12192000"/>
              <a:gd name="csY6504" fmla="*/ 2393606 h 6858000"/>
              <a:gd name="csX6505" fmla="*/ 9133256 w 12192000"/>
              <a:gd name="csY6505" fmla="*/ 2393606 h 6858000"/>
              <a:gd name="csX6506" fmla="*/ 9098903 w 12192000"/>
              <a:gd name="csY6506" fmla="*/ 2428427 h 6858000"/>
              <a:gd name="csX6507" fmla="*/ 9133256 w 12192000"/>
              <a:gd name="csY6507" fmla="*/ 2463247 h 6858000"/>
              <a:gd name="csX6508" fmla="*/ 9167596 w 12192000"/>
              <a:gd name="csY6508" fmla="*/ 2428427 h 6858000"/>
              <a:gd name="csX6509" fmla="*/ 9133256 w 12192000"/>
              <a:gd name="csY6509" fmla="*/ 2393606 h 6858000"/>
              <a:gd name="csX6510" fmla="*/ 9216997 w 12192000"/>
              <a:gd name="csY6510" fmla="*/ 2393606 h 6858000"/>
              <a:gd name="csX6511" fmla="*/ 9182644 w 12192000"/>
              <a:gd name="csY6511" fmla="*/ 2428427 h 6858000"/>
              <a:gd name="csX6512" fmla="*/ 9216997 w 12192000"/>
              <a:gd name="csY6512" fmla="*/ 2463247 h 6858000"/>
              <a:gd name="csX6513" fmla="*/ 9251337 w 12192000"/>
              <a:gd name="csY6513" fmla="*/ 2428427 h 6858000"/>
              <a:gd name="csX6514" fmla="*/ 9216997 w 12192000"/>
              <a:gd name="csY6514" fmla="*/ 2393606 h 6858000"/>
              <a:gd name="csX6515" fmla="*/ 9300738 w 12192000"/>
              <a:gd name="csY6515" fmla="*/ 2393606 h 6858000"/>
              <a:gd name="csX6516" fmla="*/ 9266385 w 12192000"/>
              <a:gd name="csY6516" fmla="*/ 2428427 h 6858000"/>
              <a:gd name="csX6517" fmla="*/ 9300738 w 12192000"/>
              <a:gd name="csY6517" fmla="*/ 2463247 h 6858000"/>
              <a:gd name="csX6518" fmla="*/ 9335078 w 12192000"/>
              <a:gd name="csY6518" fmla="*/ 2428427 h 6858000"/>
              <a:gd name="csX6519" fmla="*/ 9300738 w 12192000"/>
              <a:gd name="csY6519" fmla="*/ 2393606 h 6858000"/>
              <a:gd name="csX6520" fmla="*/ 9384480 w 12192000"/>
              <a:gd name="csY6520" fmla="*/ 2393606 h 6858000"/>
              <a:gd name="csX6521" fmla="*/ 9350127 w 12192000"/>
              <a:gd name="csY6521" fmla="*/ 2428427 h 6858000"/>
              <a:gd name="csX6522" fmla="*/ 9384480 w 12192000"/>
              <a:gd name="csY6522" fmla="*/ 2463247 h 6858000"/>
              <a:gd name="csX6523" fmla="*/ 9418821 w 12192000"/>
              <a:gd name="csY6523" fmla="*/ 2428427 h 6858000"/>
              <a:gd name="csX6524" fmla="*/ 9384480 w 12192000"/>
              <a:gd name="csY6524" fmla="*/ 2393606 h 6858000"/>
              <a:gd name="csX6525" fmla="*/ 9468222 w 12192000"/>
              <a:gd name="csY6525" fmla="*/ 2393606 h 6858000"/>
              <a:gd name="csX6526" fmla="*/ 9433869 w 12192000"/>
              <a:gd name="csY6526" fmla="*/ 2428427 h 6858000"/>
              <a:gd name="csX6527" fmla="*/ 9468222 w 12192000"/>
              <a:gd name="csY6527" fmla="*/ 2463247 h 6858000"/>
              <a:gd name="csX6528" fmla="*/ 9502562 w 12192000"/>
              <a:gd name="csY6528" fmla="*/ 2428427 h 6858000"/>
              <a:gd name="csX6529" fmla="*/ 9468222 w 12192000"/>
              <a:gd name="csY6529" fmla="*/ 2393606 h 6858000"/>
              <a:gd name="csX6530" fmla="*/ 9551963 w 12192000"/>
              <a:gd name="csY6530" fmla="*/ 2393606 h 6858000"/>
              <a:gd name="csX6531" fmla="*/ 9517610 w 12192000"/>
              <a:gd name="csY6531" fmla="*/ 2428427 h 6858000"/>
              <a:gd name="csX6532" fmla="*/ 9551963 w 12192000"/>
              <a:gd name="csY6532" fmla="*/ 2463247 h 6858000"/>
              <a:gd name="csX6533" fmla="*/ 9586303 w 12192000"/>
              <a:gd name="csY6533" fmla="*/ 2428427 h 6858000"/>
              <a:gd name="csX6534" fmla="*/ 9551963 w 12192000"/>
              <a:gd name="csY6534" fmla="*/ 2393606 h 6858000"/>
              <a:gd name="csX6535" fmla="*/ 9635705 w 12192000"/>
              <a:gd name="csY6535" fmla="*/ 2393606 h 6858000"/>
              <a:gd name="csX6536" fmla="*/ 9601352 w 12192000"/>
              <a:gd name="csY6536" fmla="*/ 2428427 h 6858000"/>
              <a:gd name="csX6537" fmla="*/ 9635705 w 12192000"/>
              <a:gd name="csY6537" fmla="*/ 2463247 h 6858000"/>
              <a:gd name="csX6538" fmla="*/ 9670045 w 12192000"/>
              <a:gd name="csY6538" fmla="*/ 2428427 h 6858000"/>
              <a:gd name="csX6539" fmla="*/ 9635705 w 12192000"/>
              <a:gd name="csY6539" fmla="*/ 2393606 h 6858000"/>
              <a:gd name="csX6540" fmla="*/ 9719446 w 12192000"/>
              <a:gd name="csY6540" fmla="*/ 2393606 h 6858000"/>
              <a:gd name="csX6541" fmla="*/ 9685093 w 12192000"/>
              <a:gd name="csY6541" fmla="*/ 2428427 h 6858000"/>
              <a:gd name="csX6542" fmla="*/ 9719446 w 12192000"/>
              <a:gd name="csY6542" fmla="*/ 2463247 h 6858000"/>
              <a:gd name="csX6543" fmla="*/ 9753787 w 12192000"/>
              <a:gd name="csY6543" fmla="*/ 2428427 h 6858000"/>
              <a:gd name="csX6544" fmla="*/ 9719446 w 12192000"/>
              <a:gd name="csY6544" fmla="*/ 2393606 h 6858000"/>
              <a:gd name="csX6545" fmla="*/ 9803189 w 12192000"/>
              <a:gd name="csY6545" fmla="*/ 2393606 h 6858000"/>
              <a:gd name="csX6546" fmla="*/ 9768836 w 12192000"/>
              <a:gd name="csY6546" fmla="*/ 2428427 h 6858000"/>
              <a:gd name="csX6547" fmla="*/ 9803189 w 12192000"/>
              <a:gd name="csY6547" fmla="*/ 2463247 h 6858000"/>
              <a:gd name="csX6548" fmla="*/ 9837529 w 12192000"/>
              <a:gd name="csY6548" fmla="*/ 2428427 h 6858000"/>
              <a:gd name="csX6549" fmla="*/ 9803189 w 12192000"/>
              <a:gd name="csY6549" fmla="*/ 2393606 h 6858000"/>
              <a:gd name="csX6550" fmla="*/ 9970671 w 12192000"/>
              <a:gd name="csY6550" fmla="*/ 2393606 h 6858000"/>
              <a:gd name="csX6551" fmla="*/ 9936318 w 12192000"/>
              <a:gd name="csY6551" fmla="*/ 2428427 h 6858000"/>
              <a:gd name="csX6552" fmla="*/ 9970671 w 12192000"/>
              <a:gd name="csY6552" fmla="*/ 2463247 h 6858000"/>
              <a:gd name="csX6553" fmla="*/ 10005011 w 12192000"/>
              <a:gd name="csY6553" fmla="*/ 2428427 h 6858000"/>
              <a:gd name="csX6554" fmla="*/ 9970671 w 12192000"/>
              <a:gd name="csY6554" fmla="*/ 2393606 h 6858000"/>
              <a:gd name="csX6555" fmla="*/ 2350151 w 12192000"/>
              <a:gd name="csY6555" fmla="*/ 2478470 h 6858000"/>
              <a:gd name="csX6556" fmla="*/ 2315804 w 12192000"/>
              <a:gd name="csY6556" fmla="*/ 2513290 h 6858000"/>
              <a:gd name="csX6557" fmla="*/ 2350151 w 12192000"/>
              <a:gd name="csY6557" fmla="*/ 2548111 h 6858000"/>
              <a:gd name="csX6558" fmla="*/ 2384498 w 12192000"/>
              <a:gd name="csY6558" fmla="*/ 2513290 h 6858000"/>
              <a:gd name="csX6559" fmla="*/ 2350151 w 12192000"/>
              <a:gd name="csY6559" fmla="*/ 2478470 h 6858000"/>
              <a:gd name="csX6560" fmla="*/ 2433893 w 12192000"/>
              <a:gd name="csY6560" fmla="*/ 2478470 h 6858000"/>
              <a:gd name="csX6561" fmla="*/ 2399546 w 12192000"/>
              <a:gd name="csY6561" fmla="*/ 2513290 h 6858000"/>
              <a:gd name="csX6562" fmla="*/ 2433893 w 12192000"/>
              <a:gd name="csY6562" fmla="*/ 2548111 h 6858000"/>
              <a:gd name="csX6563" fmla="*/ 2468240 w 12192000"/>
              <a:gd name="csY6563" fmla="*/ 2513290 h 6858000"/>
              <a:gd name="csX6564" fmla="*/ 2433893 w 12192000"/>
              <a:gd name="csY6564" fmla="*/ 2478470 h 6858000"/>
              <a:gd name="csX6565" fmla="*/ 2517634 w 12192000"/>
              <a:gd name="csY6565" fmla="*/ 2478470 h 6858000"/>
              <a:gd name="csX6566" fmla="*/ 2483288 w 12192000"/>
              <a:gd name="csY6566" fmla="*/ 2513290 h 6858000"/>
              <a:gd name="csX6567" fmla="*/ 2517634 w 12192000"/>
              <a:gd name="csY6567" fmla="*/ 2548111 h 6858000"/>
              <a:gd name="csX6568" fmla="*/ 2551981 w 12192000"/>
              <a:gd name="csY6568" fmla="*/ 2513290 h 6858000"/>
              <a:gd name="csX6569" fmla="*/ 2517634 w 12192000"/>
              <a:gd name="csY6569" fmla="*/ 2478470 h 6858000"/>
              <a:gd name="csX6570" fmla="*/ 2601376 w 12192000"/>
              <a:gd name="csY6570" fmla="*/ 2478470 h 6858000"/>
              <a:gd name="csX6571" fmla="*/ 2567029 w 12192000"/>
              <a:gd name="csY6571" fmla="*/ 2513290 h 6858000"/>
              <a:gd name="csX6572" fmla="*/ 2601376 w 12192000"/>
              <a:gd name="csY6572" fmla="*/ 2548111 h 6858000"/>
              <a:gd name="csX6573" fmla="*/ 2635722 w 12192000"/>
              <a:gd name="csY6573" fmla="*/ 2513290 h 6858000"/>
              <a:gd name="csX6574" fmla="*/ 2601376 w 12192000"/>
              <a:gd name="csY6574" fmla="*/ 2478470 h 6858000"/>
              <a:gd name="csX6575" fmla="*/ 2685118 w 12192000"/>
              <a:gd name="csY6575" fmla="*/ 2478470 h 6858000"/>
              <a:gd name="csX6576" fmla="*/ 2650771 w 12192000"/>
              <a:gd name="csY6576" fmla="*/ 2513290 h 6858000"/>
              <a:gd name="csX6577" fmla="*/ 2685118 w 12192000"/>
              <a:gd name="csY6577" fmla="*/ 2548111 h 6858000"/>
              <a:gd name="csX6578" fmla="*/ 2719465 w 12192000"/>
              <a:gd name="csY6578" fmla="*/ 2513290 h 6858000"/>
              <a:gd name="csX6579" fmla="*/ 2685118 w 12192000"/>
              <a:gd name="csY6579" fmla="*/ 2478470 h 6858000"/>
              <a:gd name="csX6580" fmla="*/ 2768859 w 12192000"/>
              <a:gd name="csY6580" fmla="*/ 2478470 h 6858000"/>
              <a:gd name="csX6581" fmla="*/ 2734512 w 12192000"/>
              <a:gd name="csY6581" fmla="*/ 2513290 h 6858000"/>
              <a:gd name="csX6582" fmla="*/ 2768859 w 12192000"/>
              <a:gd name="csY6582" fmla="*/ 2548111 h 6858000"/>
              <a:gd name="csX6583" fmla="*/ 2803206 w 12192000"/>
              <a:gd name="csY6583" fmla="*/ 2513290 h 6858000"/>
              <a:gd name="csX6584" fmla="*/ 2768859 w 12192000"/>
              <a:gd name="csY6584" fmla="*/ 2478470 h 6858000"/>
              <a:gd name="csX6585" fmla="*/ 2852600 w 12192000"/>
              <a:gd name="csY6585" fmla="*/ 2478470 h 6858000"/>
              <a:gd name="csX6586" fmla="*/ 2818254 w 12192000"/>
              <a:gd name="csY6586" fmla="*/ 2513290 h 6858000"/>
              <a:gd name="csX6587" fmla="*/ 2852600 w 12192000"/>
              <a:gd name="csY6587" fmla="*/ 2548111 h 6858000"/>
              <a:gd name="csX6588" fmla="*/ 2886947 w 12192000"/>
              <a:gd name="csY6588" fmla="*/ 2513290 h 6858000"/>
              <a:gd name="csX6589" fmla="*/ 2852600 w 12192000"/>
              <a:gd name="csY6589" fmla="*/ 2478470 h 6858000"/>
              <a:gd name="csX6590" fmla="*/ 2936343 w 12192000"/>
              <a:gd name="csY6590" fmla="*/ 2478470 h 6858000"/>
              <a:gd name="csX6591" fmla="*/ 2901996 w 12192000"/>
              <a:gd name="csY6591" fmla="*/ 2513290 h 6858000"/>
              <a:gd name="csX6592" fmla="*/ 2936343 w 12192000"/>
              <a:gd name="csY6592" fmla="*/ 2548111 h 6858000"/>
              <a:gd name="csX6593" fmla="*/ 2970689 w 12192000"/>
              <a:gd name="csY6593" fmla="*/ 2513290 h 6858000"/>
              <a:gd name="csX6594" fmla="*/ 2936343 w 12192000"/>
              <a:gd name="csY6594" fmla="*/ 2478470 h 6858000"/>
              <a:gd name="csX6595" fmla="*/ 3020084 w 12192000"/>
              <a:gd name="csY6595" fmla="*/ 2478470 h 6858000"/>
              <a:gd name="csX6596" fmla="*/ 2985737 w 12192000"/>
              <a:gd name="csY6596" fmla="*/ 2513290 h 6858000"/>
              <a:gd name="csX6597" fmla="*/ 3020084 w 12192000"/>
              <a:gd name="csY6597" fmla="*/ 2548111 h 6858000"/>
              <a:gd name="csX6598" fmla="*/ 3054431 w 12192000"/>
              <a:gd name="csY6598" fmla="*/ 2513290 h 6858000"/>
              <a:gd name="csX6599" fmla="*/ 3020084 w 12192000"/>
              <a:gd name="csY6599" fmla="*/ 2478470 h 6858000"/>
              <a:gd name="csX6600" fmla="*/ 3103826 w 12192000"/>
              <a:gd name="csY6600" fmla="*/ 2478470 h 6858000"/>
              <a:gd name="csX6601" fmla="*/ 3069479 w 12192000"/>
              <a:gd name="csY6601" fmla="*/ 2513290 h 6858000"/>
              <a:gd name="csX6602" fmla="*/ 3103826 w 12192000"/>
              <a:gd name="csY6602" fmla="*/ 2548111 h 6858000"/>
              <a:gd name="csX6603" fmla="*/ 3138173 w 12192000"/>
              <a:gd name="csY6603" fmla="*/ 2513290 h 6858000"/>
              <a:gd name="csX6604" fmla="*/ 3103826 w 12192000"/>
              <a:gd name="csY6604" fmla="*/ 2478470 h 6858000"/>
              <a:gd name="csX6605" fmla="*/ 3187567 w 12192000"/>
              <a:gd name="csY6605" fmla="*/ 2478470 h 6858000"/>
              <a:gd name="csX6606" fmla="*/ 3153221 w 12192000"/>
              <a:gd name="csY6606" fmla="*/ 2513290 h 6858000"/>
              <a:gd name="csX6607" fmla="*/ 3187567 w 12192000"/>
              <a:gd name="csY6607" fmla="*/ 2548111 h 6858000"/>
              <a:gd name="csX6608" fmla="*/ 3221914 w 12192000"/>
              <a:gd name="csY6608" fmla="*/ 2513290 h 6858000"/>
              <a:gd name="csX6609" fmla="*/ 3187567 w 12192000"/>
              <a:gd name="csY6609" fmla="*/ 2478470 h 6858000"/>
              <a:gd name="csX6610" fmla="*/ 3271309 w 12192000"/>
              <a:gd name="csY6610" fmla="*/ 2478470 h 6858000"/>
              <a:gd name="csX6611" fmla="*/ 3236962 w 12192000"/>
              <a:gd name="csY6611" fmla="*/ 2513290 h 6858000"/>
              <a:gd name="csX6612" fmla="*/ 3271309 w 12192000"/>
              <a:gd name="csY6612" fmla="*/ 2548111 h 6858000"/>
              <a:gd name="csX6613" fmla="*/ 3305655 w 12192000"/>
              <a:gd name="csY6613" fmla="*/ 2513290 h 6858000"/>
              <a:gd name="csX6614" fmla="*/ 3271309 w 12192000"/>
              <a:gd name="csY6614" fmla="*/ 2478470 h 6858000"/>
              <a:gd name="csX6615" fmla="*/ 3355051 w 12192000"/>
              <a:gd name="csY6615" fmla="*/ 2478470 h 6858000"/>
              <a:gd name="csX6616" fmla="*/ 3320704 w 12192000"/>
              <a:gd name="csY6616" fmla="*/ 2513290 h 6858000"/>
              <a:gd name="csX6617" fmla="*/ 3355051 w 12192000"/>
              <a:gd name="csY6617" fmla="*/ 2548111 h 6858000"/>
              <a:gd name="csX6618" fmla="*/ 3389398 w 12192000"/>
              <a:gd name="csY6618" fmla="*/ 2513290 h 6858000"/>
              <a:gd name="csX6619" fmla="*/ 3355051 w 12192000"/>
              <a:gd name="csY6619" fmla="*/ 2478470 h 6858000"/>
              <a:gd name="csX6620" fmla="*/ 3438792 w 12192000"/>
              <a:gd name="csY6620" fmla="*/ 2478470 h 6858000"/>
              <a:gd name="csX6621" fmla="*/ 3404445 w 12192000"/>
              <a:gd name="csY6621" fmla="*/ 2513290 h 6858000"/>
              <a:gd name="csX6622" fmla="*/ 3438792 w 12192000"/>
              <a:gd name="csY6622" fmla="*/ 2548111 h 6858000"/>
              <a:gd name="csX6623" fmla="*/ 3473139 w 12192000"/>
              <a:gd name="csY6623" fmla="*/ 2513290 h 6858000"/>
              <a:gd name="csX6624" fmla="*/ 3438792 w 12192000"/>
              <a:gd name="csY6624" fmla="*/ 2478470 h 6858000"/>
              <a:gd name="csX6625" fmla="*/ 3522533 w 12192000"/>
              <a:gd name="csY6625" fmla="*/ 2478470 h 6858000"/>
              <a:gd name="csX6626" fmla="*/ 3488187 w 12192000"/>
              <a:gd name="csY6626" fmla="*/ 2513290 h 6858000"/>
              <a:gd name="csX6627" fmla="*/ 3522533 w 12192000"/>
              <a:gd name="csY6627" fmla="*/ 2548111 h 6858000"/>
              <a:gd name="csX6628" fmla="*/ 3556880 w 12192000"/>
              <a:gd name="csY6628" fmla="*/ 2513290 h 6858000"/>
              <a:gd name="csX6629" fmla="*/ 3522533 w 12192000"/>
              <a:gd name="csY6629" fmla="*/ 2478470 h 6858000"/>
              <a:gd name="csX6630" fmla="*/ 3606276 w 12192000"/>
              <a:gd name="csY6630" fmla="*/ 2478470 h 6858000"/>
              <a:gd name="csX6631" fmla="*/ 3571929 w 12192000"/>
              <a:gd name="csY6631" fmla="*/ 2513290 h 6858000"/>
              <a:gd name="csX6632" fmla="*/ 3606276 w 12192000"/>
              <a:gd name="csY6632" fmla="*/ 2548111 h 6858000"/>
              <a:gd name="csX6633" fmla="*/ 3640622 w 12192000"/>
              <a:gd name="csY6633" fmla="*/ 2513290 h 6858000"/>
              <a:gd name="csX6634" fmla="*/ 3606276 w 12192000"/>
              <a:gd name="csY6634" fmla="*/ 2478470 h 6858000"/>
              <a:gd name="csX6635" fmla="*/ 3690017 w 12192000"/>
              <a:gd name="csY6635" fmla="*/ 2478470 h 6858000"/>
              <a:gd name="csX6636" fmla="*/ 3655670 w 12192000"/>
              <a:gd name="csY6636" fmla="*/ 2513290 h 6858000"/>
              <a:gd name="csX6637" fmla="*/ 3690017 w 12192000"/>
              <a:gd name="csY6637" fmla="*/ 2548111 h 6858000"/>
              <a:gd name="csX6638" fmla="*/ 3724364 w 12192000"/>
              <a:gd name="csY6638" fmla="*/ 2513290 h 6858000"/>
              <a:gd name="csX6639" fmla="*/ 3690017 w 12192000"/>
              <a:gd name="csY6639" fmla="*/ 2478470 h 6858000"/>
              <a:gd name="csX6640" fmla="*/ 3773759 w 12192000"/>
              <a:gd name="csY6640" fmla="*/ 2478470 h 6858000"/>
              <a:gd name="csX6641" fmla="*/ 3739412 w 12192000"/>
              <a:gd name="csY6641" fmla="*/ 2513290 h 6858000"/>
              <a:gd name="csX6642" fmla="*/ 3773759 w 12192000"/>
              <a:gd name="csY6642" fmla="*/ 2548111 h 6858000"/>
              <a:gd name="csX6643" fmla="*/ 3808106 w 12192000"/>
              <a:gd name="csY6643" fmla="*/ 2513290 h 6858000"/>
              <a:gd name="csX6644" fmla="*/ 3773759 w 12192000"/>
              <a:gd name="csY6644" fmla="*/ 2478470 h 6858000"/>
              <a:gd name="csX6645" fmla="*/ 3857500 w 12192000"/>
              <a:gd name="csY6645" fmla="*/ 2478470 h 6858000"/>
              <a:gd name="csX6646" fmla="*/ 3823154 w 12192000"/>
              <a:gd name="csY6646" fmla="*/ 2513290 h 6858000"/>
              <a:gd name="csX6647" fmla="*/ 3857500 w 12192000"/>
              <a:gd name="csY6647" fmla="*/ 2548111 h 6858000"/>
              <a:gd name="csX6648" fmla="*/ 3891847 w 12192000"/>
              <a:gd name="csY6648" fmla="*/ 2513290 h 6858000"/>
              <a:gd name="csX6649" fmla="*/ 3857500 w 12192000"/>
              <a:gd name="csY6649" fmla="*/ 2478470 h 6858000"/>
              <a:gd name="csX6650" fmla="*/ 3941242 w 12192000"/>
              <a:gd name="csY6650" fmla="*/ 2478470 h 6858000"/>
              <a:gd name="csX6651" fmla="*/ 3906895 w 12192000"/>
              <a:gd name="csY6651" fmla="*/ 2513290 h 6858000"/>
              <a:gd name="csX6652" fmla="*/ 3941242 w 12192000"/>
              <a:gd name="csY6652" fmla="*/ 2548111 h 6858000"/>
              <a:gd name="csX6653" fmla="*/ 3975588 w 12192000"/>
              <a:gd name="csY6653" fmla="*/ 2513290 h 6858000"/>
              <a:gd name="csX6654" fmla="*/ 3941242 w 12192000"/>
              <a:gd name="csY6654" fmla="*/ 2478470 h 6858000"/>
              <a:gd name="csX6655" fmla="*/ 5783564 w 12192000"/>
              <a:gd name="csY6655" fmla="*/ 2478470 h 6858000"/>
              <a:gd name="csX6656" fmla="*/ 5749218 w 12192000"/>
              <a:gd name="csY6656" fmla="*/ 2513290 h 6858000"/>
              <a:gd name="csX6657" fmla="*/ 5783564 w 12192000"/>
              <a:gd name="csY6657" fmla="*/ 2548111 h 6858000"/>
              <a:gd name="csX6658" fmla="*/ 5817911 w 12192000"/>
              <a:gd name="csY6658" fmla="*/ 2513290 h 6858000"/>
              <a:gd name="csX6659" fmla="*/ 5783564 w 12192000"/>
              <a:gd name="csY6659" fmla="*/ 2478470 h 6858000"/>
              <a:gd name="csX6660" fmla="*/ 5867305 w 12192000"/>
              <a:gd name="csY6660" fmla="*/ 2478470 h 6858000"/>
              <a:gd name="csX6661" fmla="*/ 5832959 w 12192000"/>
              <a:gd name="csY6661" fmla="*/ 2513290 h 6858000"/>
              <a:gd name="csX6662" fmla="*/ 5867305 w 12192000"/>
              <a:gd name="csY6662" fmla="*/ 2548111 h 6858000"/>
              <a:gd name="csX6663" fmla="*/ 5901652 w 12192000"/>
              <a:gd name="csY6663" fmla="*/ 2513290 h 6858000"/>
              <a:gd name="csX6664" fmla="*/ 5867305 w 12192000"/>
              <a:gd name="csY6664" fmla="*/ 2478470 h 6858000"/>
              <a:gd name="csX6665" fmla="*/ 6034789 w 12192000"/>
              <a:gd name="csY6665" fmla="*/ 2478470 h 6858000"/>
              <a:gd name="csX6666" fmla="*/ 6000442 w 12192000"/>
              <a:gd name="csY6666" fmla="*/ 2513290 h 6858000"/>
              <a:gd name="csX6667" fmla="*/ 6034789 w 12192000"/>
              <a:gd name="csY6667" fmla="*/ 2548111 h 6858000"/>
              <a:gd name="csX6668" fmla="*/ 6069136 w 12192000"/>
              <a:gd name="csY6668" fmla="*/ 2513290 h 6858000"/>
              <a:gd name="csX6669" fmla="*/ 6034789 w 12192000"/>
              <a:gd name="csY6669" fmla="*/ 2478470 h 6858000"/>
              <a:gd name="csX6670" fmla="*/ 6118531 w 12192000"/>
              <a:gd name="csY6670" fmla="*/ 2478470 h 6858000"/>
              <a:gd name="csX6671" fmla="*/ 6084177 w 12192000"/>
              <a:gd name="csY6671" fmla="*/ 2513290 h 6858000"/>
              <a:gd name="csX6672" fmla="*/ 6118531 w 12192000"/>
              <a:gd name="csY6672" fmla="*/ 2548111 h 6858000"/>
              <a:gd name="csX6673" fmla="*/ 6152871 w 12192000"/>
              <a:gd name="csY6673" fmla="*/ 2513290 h 6858000"/>
              <a:gd name="csX6674" fmla="*/ 6118531 w 12192000"/>
              <a:gd name="csY6674" fmla="*/ 2478470 h 6858000"/>
              <a:gd name="csX6675" fmla="*/ 6202273 w 12192000"/>
              <a:gd name="csY6675" fmla="*/ 2478470 h 6858000"/>
              <a:gd name="csX6676" fmla="*/ 6167920 w 12192000"/>
              <a:gd name="csY6676" fmla="*/ 2513290 h 6858000"/>
              <a:gd name="csX6677" fmla="*/ 6202273 w 12192000"/>
              <a:gd name="csY6677" fmla="*/ 2548111 h 6858000"/>
              <a:gd name="csX6678" fmla="*/ 6236613 w 12192000"/>
              <a:gd name="csY6678" fmla="*/ 2513290 h 6858000"/>
              <a:gd name="csX6679" fmla="*/ 6202273 w 12192000"/>
              <a:gd name="csY6679" fmla="*/ 2478470 h 6858000"/>
              <a:gd name="csX6680" fmla="*/ 6286014 w 12192000"/>
              <a:gd name="csY6680" fmla="*/ 2478470 h 6858000"/>
              <a:gd name="csX6681" fmla="*/ 6251661 w 12192000"/>
              <a:gd name="csY6681" fmla="*/ 2513290 h 6858000"/>
              <a:gd name="csX6682" fmla="*/ 6286014 w 12192000"/>
              <a:gd name="csY6682" fmla="*/ 2548111 h 6858000"/>
              <a:gd name="csX6683" fmla="*/ 6320354 w 12192000"/>
              <a:gd name="csY6683" fmla="*/ 2513290 h 6858000"/>
              <a:gd name="csX6684" fmla="*/ 6286014 w 12192000"/>
              <a:gd name="csY6684" fmla="*/ 2478470 h 6858000"/>
              <a:gd name="csX6685" fmla="*/ 6369755 w 12192000"/>
              <a:gd name="csY6685" fmla="*/ 2478470 h 6858000"/>
              <a:gd name="csX6686" fmla="*/ 6335402 w 12192000"/>
              <a:gd name="csY6686" fmla="*/ 2513290 h 6858000"/>
              <a:gd name="csX6687" fmla="*/ 6369755 w 12192000"/>
              <a:gd name="csY6687" fmla="*/ 2548111 h 6858000"/>
              <a:gd name="csX6688" fmla="*/ 6404096 w 12192000"/>
              <a:gd name="csY6688" fmla="*/ 2513290 h 6858000"/>
              <a:gd name="csX6689" fmla="*/ 6369755 w 12192000"/>
              <a:gd name="csY6689" fmla="*/ 2478470 h 6858000"/>
              <a:gd name="csX6690" fmla="*/ 6453498 w 12192000"/>
              <a:gd name="csY6690" fmla="*/ 2478470 h 6858000"/>
              <a:gd name="csX6691" fmla="*/ 6419144 w 12192000"/>
              <a:gd name="csY6691" fmla="*/ 2513290 h 6858000"/>
              <a:gd name="csX6692" fmla="*/ 6453498 w 12192000"/>
              <a:gd name="csY6692" fmla="*/ 2548111 h 6858000"/>
              <a:gd name="csX6693" fmla="*/ 6487838 w 12192000"/>
              <a:gd name="csY6693" fmla="*/ 2513290 h 6858000"/>
              <a:gd name="csX6694" fmla="*/ 6453498 w 12192000"/>
              <a:gd name="csY6694" fmla="*/ 2478470 h 6858000"/>
              <a:gd name="csX6695" fmla="*/ 6537239 w 12192000"/>
              <a:gd name="csY6695" fmla="*/ 2478470 h 6858000"/>
              <a:gd name="csX6696" fmla="*/ 6502886 w 12192000"/>
              <a:gd name="csY6696" fmla="*/ 2513290 h 6858000"/>
              <a:gd name="csX6697" fmla="*/ 6537239 w 12192000"/>
              <a:gd name="csY6697" fmla="*/ 2548111 h 6858000"/>
              <a:gd name="csX6698" fmla="*/ 6571579 w 12192000"/>
              <a:gd name="csY6698" fmla="*/ 2513290 h 6858000"/>
              <a:gd name="csX6699" fmla="*/ 6537239 w 12192000"/>
              <a:gd name="csY6699" fmla="*/ 2478470 h 6858000"/>
              <a:gd name="csX6700" fmla="*/ 6620980 w 12192000"/>
              <a:gd name="csY6700" fmla="*/ 2478470 h 6858000"/>
              <a:gd name="csX6701" fmla="*/ 6586627 w 12192000"/>
              <a:gd name="csY6701" fmla="*/ 2513290 h 6858000"/>
              <a:gd name="csX6702" fmla="*/ 6620980 w 12192000"/>
              <a:gd name="csY6702" fmla="*/ 2548111 h 6858000"/>
              <a:gd name="csX6703" fmla="*/ 6655320 w 12192000"/>
              <a:gd name="csY6703" fmla="*/ 2513290 h 6858000"/>
              <a:gd name="csX6704" fmla="*/ 6620980 w 12192000"/>
              <a:gd name="csY6704" fmla="*/ 2478470 h 6858000"/>
              <a:gd name="csX6705" fmla="*/ 6704722 w 12192000"/>
              <a:gd name="csY6705" fmla="*/ 2478470 h 6858000"/>
              <a:gd name="csX6706" fmla="*/ 6670369 w 12192000"/>
              <a:gd name="csY6706" fmla="*/ 2513290 h 6858000"/>
              <a:gd name="csX6707" fmla="*/ 6704722 w 12192000"/>
              <a:gd name="csY6707" fmla="*/ 2548111 h 6858000"/>
              <a:gd name="csX6708" fmla="*/ 6739063 w 12192000"/>
              <a:gd name="csY6708" fmla="*/ 2513290 h 6858000"/>
              <a:gd name="csX6709" fmla="*/ 6704722 w 12192000"/>
              <a:gd name="csY6709" fmla="*/ 2478470 h 6858000"/>
              <a:gd name="csX6710" fmla="*/ 6788464 w 12192000"/>
              <a:gd name="csY6710" fmla="*/ 2478470 h 6858000"/>
              <a:gd name="csX6711" fmla="*/ 6754110 w 12192000"/>
              <a:gd name="csY6711" fmla="*/ 2513290 h 6858000"/>
              <a:gd name="csX6712" fmla="*/ 6788464 w 12192000"/>
              <a:gd name="csY6712" fmla="*/ 2548111 h 6858000"/>
              <a:gd name="csX6713" fmla="*/ 6822804 w 12192000"/>
              <a:gd name="csY6713" fmla="*/ 2513290 h 6858000"/>
              <a:gd name="csX6714" fmla="*/ 6788464 w 12192000"/>
              <a:gd name="csY6714" fmla="*/ 2478470 h 6858000"/>
              <a:gd name="csX6715" fmla="*/ 6872206 w 12192000"/>
              <a:gd name="csY6715" fmla="*/ 2478470 h 6858000"/>
              <a:gd name="csX6716" fmla="*/ 6837853 w 12192000"/>
              <a:gd name="csY6716" fmla="*/ 2513290 h 6858000"/>
              <a:gd name="csX6717" fmla="*/ 6872206 w 12192000"/>
              <a:gd name="csY6717" fmla="*/ 2548111 h 6858000"/>
              <a:gd name="csX6718" fmla="*/ 6906546 w 12192000"/>
              <a:gd name="csY6718" fmla="*/ 2513290 h 6858000"/>
              <a:gd name="csX6719" fmla="*/ 6872206 w 12192000"/>
              <a:gd name="csY6719" fmla="*/ 2478470 h 6858000"/>
              <a:gd name="csX6720" fmla="*/ 6955947 w 12192000"/>
              <a:gd name="csY6720" fmla="*/ 2478470 h 6858000"/>
              <a:gd name="csX6721" fmla="*/ 6921594 w 12192000"/>
              <a:gd name="csY6721" fmla="*/ 2513290 h 6858000"/>
              <a:gd name="csX6722" fmla="*/ 6955947 w 12192000"/>
              <a:gd name="csY6722" fmla="*/ 2548111 h 6858000"/>
              <a:gd name="csX6723" fmla="*/ 6990287 w 12192000"/>
              <a:gd name="csY6723" fmla="*/ 2513290 h 6858000"/>
              <a:gd name="csX6724" fmla="*/ 6955947 w 12192000"/>
              <a:gd name="csY6724" fmla="*/ 2478470 h 6858000"/>
              <a:gd name="csX6725" fmla="*/ 7039688 w 12192000"/>
              <a:gd name="csY6725" fmla="*/ 2478470 h 6858000"/>
              <a:gd name="csX6726" fmla="*/ 7005335 w 12192000"/>
              <a:gd name="csY6726" fmla="*/ 2513290 h 6858000"/>
              <a:gd name="csX6727" fmla="*/ 7039688 w 12192000"/>
              <a:gd name="csY6727" fmla="*/ 2548111 h 6858000"/>
              <a:gd name="csX6728" fmla="*/ 7074029 w 12192000"/>
              <a:gd name="csY6728" fmla="*/ 2513290 h 6858000"/>
              <a:gd name="csX6729" fmla="*/ 7039688 w 12192000"/>
              <a:gd name="csY6729" fmla="*/ 2478470 h 6858000"/>
              <a:gd name="csX6730" fmla="*/ 7123456 w 12192000"/>
              <a:gd name="csY6730" fmla="*/ 2478470 h 6858000"/>
              <a:gd name="csX6731" fmla="*/ 7089103 w 12192000"/>
              <a:gd name="csY6731" fmla="*/ 2513290 h 6858000"/>
              <a:gd name="csX6732" fmla="*/ 7123456 w 12192000"/>
              <a:gd name="csY6732" fmla="*/ 2548111 h 6858000"/>
              <a:gd name="csX6733" fmla="*/ 7157796 w 12192000"/>
              <a:gd name="csY6733" fmla="*/ 2513290 h 6858000"/>
              <a:gd name="csX6734" fmla="*/ 7123456 w 12192000"/>
              <a:gd name="csY6734" fmla="*/ 2478470 h 6858000"/>
              <a:gd name="csX6735" fmla="*/ 7207198 w 12192000"/>
              <a:gd name="csY6735" fmla="*/ 2478470 h 6858000"/>
              <a:gd name="csX6736" fmla="*/ 7172845 w 12192000"/>
              <a:gd name="csY6736" fmla="*/ 2513290 h 6858000"/>
              <a:gd name="csX6737" fmla="*/ 7207198 w 12192000"/>
              <a:gd name="csY6737" fmla="*/ 2548111 h 6858000"/>
              <a:gd name="csX6738" fmla="*/ 7241538 w 12192000"/>
              <a:gd name="csY6738" fmla="*/ 2513290 h 6858000"/>
              <a:gd name="csX6739" fmla="*/ 7207198 w 12192000"/>
              <a:gd name="csY6739" fmla="*/ 2478470 h 6858000"/>
              <a:gd name="csX6740" fmla="*/ 7290939 w 12192000"/>
              <a:gd name="csY6740" fmla="*/ 2478470 h 6858000"/>
              <a:gd name="csX6741" fmla="*/ 7256586 w 12192000"/>
              <a:gd name="csY6741" fmla="*/ 2513290 h 6858000"/>
              <a:gd name="csX6742" fmla="*/ 7290939 w 12192000"/>
              <a:gd name="csY6742" fmla="*/ 2548111 h 6858000"/>
              <a:gd name="csX6743" fmla="*/ 7325279 w 12192000"/>
              <a:gd name="csY6743" fmla="*/ 2513290 h 6858000"/>
              <a:gd name="csX6744" fmla="*/ 7290939 w 12192000"/>
              <a:gd name="csY6744" fmla="*/ 2478470 h 6858000"/>
              <a:gd name="csX6745" fmla="*/ 7374681 w 12192000"/>
              <a:gd name="csY6745" fmla="*/ 2478470 h 6858000"/>
              <a:gd name="csX6746" fmla="*/ 7340328 w 12192000"/>
              <a:gd name="csY6746" fmla="*/ 2513290 h 6858000"/>
              <a:gd name="csX6747" fmla="*/ 7374681 w 12192000"/>
              <a:gd name="csY6747" fmla="*/ 2548111 h 6858000"/>
              <a:gd name="csX6748" fmla="*/ 7409022 w 12192000"/>
              <a:gd name="csY6748" fmla="*/ 2513290 h 6858000"/>
              <a:gd name="csX6749" fmla="*/ 7374681 w 12192000"/>
              <a:gd name="csY6749" fmla="*/ 2478470 h 6858000"/>
              <a:gd name="csX6750" fmla="*/ 7458423 w 12192000"/>
              <a:gd name="csY6750" fmla="*/ 2478470 h 6858000"/>
              <a:gd name="csX6751" fmla="*/ 7424070 w 12192000"/>
              <a:gd name="csY6751" fmla="*/ 2513290 h 6858000"/>
              <a:gd name="csX6752" fmla="*/ 7458423 w 12192000"/>
              <a:gd name="csY6752" fmla="*/ 2548111 h 6858000"/>
              <a:gd name="csX6753" fmla="*/ 7492763 w 12192000"/>
              <a:gd name="csY6753" fmla="*/ 2513290 h 6858000"/>
              <a:gd name="csX6754" fmla="*/ 7458423 w 12192000"/>
              <a:gd name="csY6754" fmla="*/ 2478470 h 6858000"/>
              <a:gd name="csX6755" fmla="*/ 7542164 w 12192000"/>
              <a:gd name="csY6755" fmla="*/ 2478470 h 6858000"/>
              <a:gd name="csX6756" fmla="*/ 7507811 w 12192000"/>
              <a:gd name="csY6756" fmla="*/ 2513290 h 6858000"/>
              <a:gd name="csX6757" fmla="*/ 7542164 w 12192000"/>
              <a:gd name="csY6757" fmla="*/ 2548111 h 6858000"/>
              <a:gd name="csX6758" fmla="*/ 7576504 w 12192000"/>
              <a:gd name="csY6758" fmla="*/ 2513290 h 6858000"/>
              <a:gd name="csX6759" fmla="*/ 7542164 w 12192000"/>
              <a:gd name="csY6759" fmla="*/ 2478470 h 6858000"/>
              <a:gd name="csX6760" fmla="*/ 7625906 w 12192000"/>
              <a:gd name="csY6760" fmla="*/ 2478470 h 6858000"/>
              <a:gd name="csX6761" fmla="*/ 7591553 w 12192000"/>
              <a:gd name="csY6761" fmla="*/ 2513290 h 6858000"/>
              <a:gd name="csX6762" fmla="*/ 7625906 w 12192000"/>
              <a:gd name="csY6762" fmla="*/ 2548111 h 6858000"/>
              <a:gd name="csX6763" fmla="*/ 7660246 w 12192000"/>
              <a:gd name="csY6763" fmla="*/ 2513290 h 6858000"/>
              <a:gd name="csX6764" fmla="*/ 7625906 w 12192000"/>
              <a:gd name="csY6764" fmla="*/ 2478470 h 6858000"/>
              <a:gd name="csX6765" fmla="*/ 7709647 w 12192000"/>
              <a:gd name="csY6765" fmla="*/ 2478470 h 6858000"/>
              <a:gd name="csX6766" fmla="*/ 7675294 w 12192000"/>
              <a:gd name="csY6766" fmla="*/ 2513290 h 6858000"/>
              <a:gd name="csX6767" fmla="*/ 7709647 w 12192000"/>
              <a:gd name="csY6767" fmla="*/ 2548111 h 6858000"/>
              <a:gd name="csX6768" fmla="*/ 7743988 w 12192000"/>
              <a:gd name="csY6768" fmla="*/ 2513290 h 6858000"/>
              <a:gd name="csX6769" fmla="*/ 7709647 w 12192000"/>
              <a:gd name="csY6769" fmla="*/ 2478470 h 6858000"/>
              <a:gd name="csX6770" fmla="*/ 7793389 w 12192000"/>
              <a:gd name="csY6770" fmla="*/ 2478470 h 6858000"/>
              <a:gd name="csX6771" fmla="*/ 7759036 w 12192000"/>
              <a:gd name="csY6771" fmla="*/ 2513290 h 6858000"/>
              <a:gd name="csX6772" fmla="*/ 7793389 w 12192000"/>
              <a:gd name="csY6772" fmla="*/ 2548111 h 6858000"/>
              <a:gd name="csX6773" fmla="*/ 7827729 w 12192000"/>
              <a:gd name="csY6773" fmla="*/ 2513290 h 6858000"/>
              <a:gd name="csX6774" fmla="*/ 7793389 w 12192000"/>
              <a:gd name="csY6774" fmla="*/ 2478470 h 6858000"/>
              <a:gd name="csX6775" fmla="*/ 7877131 w 12192000"/>
              <a:gd name="csY6775" fmla="*/ 2478470 h 6858000"/>
              <a:gd name="csX6776" fmla="*/ 7842778 w 12192000"/>
              <a:gd name="csY6776" fmla="*/ 2513290 h 6858000"/>
              <a:gd name="csX6777" fmla="*/ 7877131 w 12192000"/>
              <a:gd name="csY6777" fmla="*/ 2548111 h 6858000"/>
              <a:gd name="csX6778" fmla="*/ 7911471 w 12192000"/>
              <a:gd name="csY6778" fmla="*/ 2513290 h 6858000"/>
              <a:gd name="csX6779" fmla="*/ 7877131 w 12192000"/>
              <a:gd name="csY6779" fmla="*/ 2478470 h 6858000"/>
              <a:gd name="csX6780" fmla="*/ 7960872 w 12192000"/>
              <a:gd name="csY6780" fmla="*/ 2478470 h 6858000"/>
              <a:gd name="csX6781" fmla="*/ 7926519 w 12192000"/>
              <a:gd name="csY6781" fmla="*/ 2513290 h 6858000"/>
              <a:gd name="csX6782" fmla="*/ 7960872 w 12192000"/>
              <a:gd name="csY6782" fmla="*/ 2548111 h 6858000"/>
              <a:gd name="csX6783" fmla="*/ 7995212 w 12192000"/>
              <a:gd name="csY6783" fmla="*/ 2513290 h 6858000"/>
              <a:gd name="csX6784" fmla="*/ 7960872 w 12192000"/>
              <a:gd name="csY6784" fmla="*/ 2478470 h 6858000"/>
              <a:gd name="csX6785" fmla="*/ 8044614 w 12192000"/>
              <a:gd name="csY6785" fmla="*/ 2478470 h 6858000"/>
              <a:gd name="csX6786" fmla="*/ 8010261 w 12192000"/>
              <a:gd name="csY6786" fmla="*/ 2513290 h 6858000"/>
              <a:gd name="csX6787" fmla="*/ 8044614 w 12192000"/>
              <a:gd name="csY6787" fmla="*/ 2548111 h 6858000"/>
              <a:gd name="csX6788" fmla="*/ 8078955 w 12192000"/>
              <a:gd name="csY6788" fmla="*/ 2513290 h 6858000"/>
              <a:gd name="csX6789" fmla="*/ 8044614 w 12192000"/>
              <a:gd name="csY6789" fmla="*/ 2478470 h 6858000"/>
              <a:gd name="csX6790" fmla="*/ 8128356 w 12192000"/>
              <a:gd name="csY6790" fmla="*/ 2478470 h 6858000"/>
              <a:gd name="csX6791" fmla="*/ 8094003 w 12192000"/>
              <a:gd name="csY6791" fmla="*/ 2513290 h 6858000"/>
              <a:gd name="csX6792" fmla="*/ 8128356 w 12192000"/>
              <a:gd name="csY6792" fmla="*/ 2548111 h 6858000"/>
              <a:gd name="csX6793" fmla="*/ 8162696 w 12192000"/>
              <a:gd name="csY6793" fmla="*/ 2513290 h 6858000"/>
              <a:gd name="csX6794" fmla="*/ 8128356 w 12192000"/>
              <a:gd name="csY6794" fmla="*/ 2478470 h 6858000"/>
              <a:gd name="csX6795" fmla="*/ 8212097 w 12192000"/>
              <a:gd name="csY6795" fmla="*/ 2478470 h 6858000"/>
              <a:gd name="csX6796" fmla="*/ 8177744 w 12192000"/>
              <a:gd name="csY6796" fmla="*/ 2513290 h 6858000"/>
              <a:gd name="csX6797" fmla="*/ 8212097 w 12192000"/>
              <a:gd name="csY6797" fmla="*/ 2548111 h 6858000"/>
              <a:gd name="csX6798" fmla="*/ 8246437 w 12192000"/>
              <a:gd name="csY6798" fmla="*/ 2513290 h 6858000"/>
              <a:gd name="csX6799" fmla="*/ 8212097 w 12192000"/>
              <a:gd name="csY6799" fmla="*/ 2478470 h 6858000"/>
              <a:gd name="csX6800" fmla="*/ 8295839 w 12192000"/>
              <a:gd name="csY6800" fmla="*/ 2478470 h 6858000"/>
              <a:gd name="csX6801" fmla="*/ 8261486 w 12192000"/>
              <a:gd name="csY6801" fmla="*/ 2513290 h 6858000"/>
              <a:gd name="csX6802" fmla="*/ 8295839 w 12192000"/>
              <a:gd name="csY6802" fmla="*/ 2548111 h 6858000"/>
              <a:gd name="csX6803" fmla="*/ 8330179 w 12192000"/>
              <a:gd name="csY6803" fmla="*/ 2513290 h 6858000"/>
              <a:gd name="csX6804" fmla="*/ 8295839 w 12192000"/>
              <a:gd name="csY6804" fmla="*/ 2478470 h 6858000"/>
              <a:gd name="csX6805" fmla="*/ 8379580 w 12192000"/>
              <a:gd name="csY6805" fmla="*/ 2478470 h 6858000"/>
              <a:gd name="csX6806" fmla="*/ 8345227 w 12192000"/>
              <a:gd name="csY6806" fmla="*/ 2513290 h 6858000"/>
              <a:gd name="csX6807" fmla="*/ 8379580 w 12192000"/>
              <a:gd name="csY6807" fmla="*/ 2548111 h 6858000"/>
              <a:gd name="csX6808" fmla="*/ 8413921 w 12192000"/>
              <a:gd name="csY6808" fmla="*/ 2513290 h 6858000"/>
              <a:gd name="csX6809" fmla="*/ 8379580 w 12192000"/>
              <a:gd name="csY6809" fmla="*/ 2478470 h 6858000"/>
              <a:gd name="csX6810" fmla="*/ 8463323 w 12192000"/>
              <a:gd name="csY6810" fmla="*/ 2478470 h 6858000"/>
              <a:gd name="csX6811" fmla="*/ 8428970 w 12192000"/>
              <a:gd name="csY6811" fmla="*/ 2513290 h 6858000"/>
              <a:gd name="csX6812" fmla="*/ 8463323 w 12192000"/>
              <a:gd name="csY6812" fmla="*/ 2548111 h 6858000"/>
              <a:gd name="csX6813" fmla="*/ 8497663 w 12192000"/>
              <a:gd name="csY6813" fmla="*/ 2513290 h 6858000"/>
              <a:gd name="csX6814" fmla="*/ 8463323 w 12192000"/>
              <a:gd name="csY6814" fmla="*/ 2478470 h 6858000"/>
              <a:gd name="csX6815" fmla="*/ 8547064 w 12192000"/>
              <a:gd name="csY6815" fmla="*/ 2478470 h 6858000"/>
              <a:gd name="csX6816" fmla="*/ 8512711 w 12192000"/>
              <a:gd name="csY6816" fmla="*/ 2513290 h 6858000"/>
              <a:gd name="csX6817" fmla="*/ 8547064 w 12192000"/>
              <a:gd name="csY6817" fmla="*/ 2548111 h 6858000"/>
              <a:gd name="csX6818" fmla="*/ 8581404 w 12192000"/>
              <a:gd name="csY6818" fmla="*/ 2513290 h 6858000"/>
              <a:gd name="csX6819" fmla="*/ 8547064 w 12192000"/>
              <a:gd name="csY6819" fmla="*/ 2478470 h 6858000"/>
              <a:gd name="csX6820" fmla="*/ 8630805 w 12192000"/>
              <a:gd name="csY6820" fmla="*/ 2478470 h 6858000"/>
              <a:gd name="csX6821" fmla="*/ 8596452 w 12192000"/>
              <a:gd name="csY6821" fmla="*/ 2513290 h 6858000"/>
              <a:gd name="csX6822" fmla="*/ 8630805 w 12192000"/>
              <a:gd name="csY6822" fmla="*/ 2548111 h 6858000"/>
              <a:gd name="csX6823" fmla="*/ 8665145 w 12192000"/>
              <a:gd name="csY6823" fmla="*/ 2513290 h 6858000"/>
              <a:gd name="csX6824" fmla="*/ 8630805 w 12192000"/>
              <a:gd name="csY6824" fmla="*/ 2478470 h 6858000"/>
              <a:gd name="csX6825" fmla="*/ 8714547 w 12192000"/>
              <a:gd name="csY6825" fmla="*/ 2478470 h 6858000"/>
              <a:gd name="csX6826" fmla="*/ 8680194 w 12192000"/>
              <a:gd name="csY6826" fmla="*/ 2513290 h 6858000"/>
              <a:gd name="csX6827" fmla="*/ 8714547 w 12192000"/>
              <a:gd name="csY6827" fmla="*/ 2548111 h 6858000"/>
              <a:gd name="csX6828" fmla="*/ 8748888 w 12192000"/>
              <a:gd name="csY6828" fmla="*/ 2513290 h 6858000"/>
              <a:gd name="csX6829" fmla="*/ 8714547 w 12192000"/>
              <a:gd name="csY6829" fmla="*/ 2478470 h 6858000"/>
              <a:gd name="csX6830" fmla="*/ 8798289 w 12192000"/>
              <a:gd name="csY6830" fmla="*/ 2478470 h 6858000"/>
              <a:gd name="csX6831" fmla="*/ 8763936 w 12192000"/>
              <a:gd name="csY6831" fmla="*/ 2513290 h 6858000"/>
              <a:gd name="csX6832" fmla="*/ 8798289 w 12192000"/>
              <a:gd name="csY6832" fmla="*/ 2548111 h 6858000"/>
              <a:gd name="csX6833" fmla="*/ 8832629 w 12192000"/>
              <a:gd name="csY6833" fmla="*/ 2513290 h 6858000"/>
              <a:gd name="csX6834" fmla="*/ 8798289 w 12192000"/>
              <a:gd name="csY6834" fmla="*/ 2478470 h 6858000"/>
              <a:gd name="csX6835" fmla="*/ 8882030 w 12192000"/>
              <a:gd name="csY6835" fmla="*/ 2478470 h 6858000"/>
              <a:gd name="csX6836" fmla="*/ 8847677 w 12192000"/>
              <a:gd name="csY6836" fmla="*/ 2513290 h 6858000"/>
              <a:gd name="csX6837" fmla="*/ 8882030 w 12192000"/>
              <a:gd name="csY6837" fmla="*/ 2548111 h 6858000"/>
              <a:gd name="csX6838" fmla="*/ 8916370 w 12192000"/>
              <a:gd name="csY6838" fmla="*/ 2513290 h 6858000"/>
              <a:gd name="csX6839" fmla="*/ 8882030 w 12192000"/>
              <a:gd name="csY6839" fmla="*/ 2478470 h 6858000"/>
              <a:gd name="csX6840" fmla="*/ 8965772 w 12192000"/>
              <a:gd name="csY6840" fmla="*/ 2478470 h 6858000"/>
              <a:gd name="csX6841" fmla="*/ 8931419 w 12192000"/>
              <a:gd name="csY6841" fmla="*/ 2513290 h 6858000"/>
              <a:gd name="csX6842" fmla="*/ 8965772 w 12192000"/>
              <a:gd name="csY6842" fmla="*/ 2548111 h 6858000"/>
              <a:gd name="csX6843" fmla="*/ 9000112 w 12192000"/>
              <a:gd name="csY6843" fmla="*/ 2513290 h 6858000"/>
              <a:gd name="csX6844" fmla="*/ 8965772 w 12192000"/>
              <a:gd name="csY6844" fmla="*/ 2478470 h 6858000"/>
              <a:gd name="csX6845" fmla="*/ 9049513 w 12192000"/>
              <a:gd name="csY6845" fmla="*/ 2478470 h 6858000"/>
              <a:gd name="csX6846" fmla="*/ 9015160 w 12192000"/>
              <a:gd name="csY6846" fmla="*/ 2513290 h 6858000"/>
              <a:gd name="csX6847" fmla="*/ 9049513 w 12192000"/>
              <a:gd name="csY6847" fmla="*/ 2548111 h 6858000"/>
              <a:gd name="csX6848" fmla="*/ 9083854 w 12192000"/>
              <a:gd name="csY6848" fmla="*/ 2513290 h 6858000"/>
              <a:gd name="csX6849" fmla="*/ 9049513 w 12192000"/>
              <a:gd name="csY6849" fmla="*/ 2478470 h 6858000"/>
              <a:gd name="csX6850" fmla="*/ 9133256 w 12192000"/>
              <a:gd name="csY6850" fmla="*/ 2478470 h 6858000"/>
              <a:gd name="csX6851" fmla="*/ 9098903 w 12192000"/>
              <a:gd name="csY6851" fmla="*/ 2513290 h 6858000"/>
              <a:gd name="csX6852" fmla="*/ 9133256 w 12192000"/>
              <a:gd name="csY6852" fmla="*/ 2548111 h 6858000"/>
              <a:gd name="csX6853" fmla="*/ 9167596 w 12192000"/>
              <a:gd name="csY6853" fmla="*/ 2513290 h 6858000"/>
              <a:gd name="csX6854" fmla="*/ 9133256 w 12192000"/>
              <a:gd name="csY6854" fmla="*/ 2478470 h 6858000"/>
              <a:gd name="csX6855" fmla="*/ 9216997 w 12192000"/>
              <a:gd name="csY6855" fmla="*/ 2478470 h 6858000"/>
              <a:gd name="csX6856" fmla="*/ 9182644 w 12192000"/>
              <a:gd name="csY6856" fmla="*/ 2513290 h 6858000"/>
              <a:gd name="csX6857" fmla="*/ 9216997 w 12192000"/>
              <a:gd name="csY6857" fmla="*/ 2548111 h 6858000"/>
              <a:gd name="csX6858" fmla="*/ 9251337 w 12192000"/>
              <a:gd name="csY6858" fmla="*/ 2513290 h 6858000"/>
              <a:gd name="csX6859" fmla="*/ 9216997 w 12192000"/>
              <a:gd name="csY6859" fmla="*/ 2478470 h 6858000"/>
              <a:gd name="csX6860" fmla="*/ 9300738 w 12192000"/>
              <a:gd name="csY6860" fmla="*/ 2478470 h 6858000"/>
              <a:gd name="csX6861" fmla="*/ 9266385 w 12192000"/>
              <a:gd name="csY6861" fmla="*/ 2513290 h 6858000"/>
              <a:gd name="csX6862" fmla="*/ 9300738 w 12192000"/>
              <a:gd name="csY6862" fmla="*/ 2548111 h 6858000"/>
              <a:gd name="csX6863" fmla="*/ 9335078 w 12192000"/>
              <a:gd name="csY6863" fmla="*/ 2513290 h 6858000"/>
              <a:gd name="csX6864" fmla="*/ 9300738 w 12192000"/>
              <a:gd name="csY6864" fmla="*/ 2478470 h 6858000"/>
              <a:gd name="csX6865" fmla="*/ 9384480 w 12192000"/>
              <a:gd name="csY6865" fmla="*/ 2478470 h 6858000"/>
              <a:gd name="csX6866" fmla="*/ 9350127 w 12192000"/>
              <a:gd name="csY6866" fmla="*/ 2513290 h 6858000"/>
              <a:gd name="csX6867" fmla="*/ 9384480 w 12192000"/>
              <a:gd name="csY6867" fmla="*/ 2548111 h 6858000"/>
              <a:gd name="csX6868" fmla="*/ 9418821 w 12192000"/>
              <a:gd name="csY6868" fmla="*/ 2513290 h 6858000"/>
              <a:gd name="csX6869" fmla="*/ 9384480 w 12192000"/>
              <a:gd name="csY6869" fmla="*/ 2478470 h 6858000"/>
              <a:gd name="csX6870" fmla="*/ 9468222 w 12192000"/>
              <a:gd name="csY6870" fmla="*/ 2478470 h 6858000"/>
              <a:gd name="csX6871" fmla="*/ 9433869 w 12192000"/>
              <a:gd name="csY6871" fmla="*/ 2513290 h 6858000"/>
              <a:gd name="csX6872" fmla="*/ 9468222 w 12192000"/>
              <a:gd name="csY6872" fmla="*/ 2548111 h 6858000"/>
              <a:gd name="csX6873" fmla="*/ 9502562 w 12192000"/>
              <a:gd name="csY6873" fmla="*/ 2513290 h 6858000"/>
              <a:gd name="csX6874" fmla="*/ 9468222 w 12192000"/>
              <a:gd name="csY6874" fmla="*/ 2478470 h 6858000"/>
              <a:gd name="csX6875" fmla="*/ 9551963 w 12192000"/>
              <a:gd name="csY6875" fmla="*/ 2478470 h 6858000"/>
              <a:gd name="csX6876" fmla="*/ 9517610 w 12192000"/>
              <a:gd name="csY6876" fmla="*/ 2513290 h 6858000"/>
              <a:gd name="csX6877" fmla="*/ 9551963 w 12192000"/>
              <a:gd name="csY6877" fmla="*/ 2548111 h 6858000"/>
              <a:gd name="csX6878" fmla="*/ 9586303 w 12192000"/>
              <a:gd name="csY6878" fmla="*/ 2513290 h 6858000"/>
              <a:gd name="csX6879" fmla="*/ 9551963 w 12192000"/>
              <a:gd name="csY6879" fmla="*/ 2478470 h 6858000"/>
              <a:gd name="csX6880" fmla="*/ 9635705 w 12192000"/>
              <a:gd name="csY6880" fmla="*/ 2478470 h 6858000"/>
              <a:gd name="csX6881" fmla="*/ 9601352 w 12192000"/>
              <a:gd name="csY6881" fmla="*/ 2513290 h 6858000"/>
              <a:gd name="csX6882" fmla="*/ 9635705 w 12192000"/>
              <a:gd name="csY6882" fmla="*/ 2548111 h 6858000"/>
              <a:gd name="csX6883" fmla="*/ 9670045 w 12192000"/>
              <a:gd name="csY6883" fmla="*/ 2513290 h 6858000"/>
              <a:gd name="csX6884" fmla="*/ 9635705 w 12192000"/>
              <a:gd name="csY6884" fmla="*/ 2478470 h 6858000"/>
              <a:gd name="csX6885" fmla="*/ 9719446 w 12192000"/>
              <a:gd name="csY6885" fmla="*/ 2478470 h 6858000"/>
              <a:gd name="csX6886" fmla="*/ 9685093 w 12192000"/>
              <a:gd name="csY6886" fmla="*/ 2513290 h 6858000"/>
              <a:gd name="csX6887" fmla="*/ 9719446 w 12192000"/>
              <a:gd name="csY6887" fmla="*/ 2548111 h 6858000"/>
              <a:gd name="csX6888" fmla="*/ 9753787 w 12192000"/>
              <a:gd name="csY6888" fmla="*/ 2513290 h 6858000"/>
              <a:gd name="csX6889" fmla="*/ 9719446 w 12192000"/>
              <a:gd name="csY6889" fmla="*/ 2478470 h 6858000"/>
              <a:gd name="csX6890" fmla="*/ 9803189 w 12192000"/>
              <a:gd name="csY6890" fmla="*/ 2478470 h 6858000"/>
              <a:gd name="csX6891" fmla="*/ 9768836 w 12192000"/>
              <a:gd name="csY6891" fmla="*/ 2513290 h 6858000"/>
              <a:gd name="csX6892" fmla="*/ 9803189 w 12192000"/>
              <a:gd name="csY6892" fmla="*/ 2548111 h 6858000"/>
              <a:gd name="csX6893" fmla="*/ 9837529 w 12192000"/>
              <a:gd name="csY6893" fmla="*/ 2513290 h 6858000"/>
              <a:gd name="csX6894" fmla="*/ 9803189 w 12192000"/>
              <a:gd name="csY6894" fmla="*/ 2478470 h 6858000"/>
              <a:gd name="csX6895" fmla="*/ 10221896 w 12192000"/>
              <a:gd name="csY6895" fmla="*/ 2478470 h 6858000"/>
              <a:gd name="csX6896" fmla="*/ 10187543 w 12192000"/>
              <a:gd name="csY6896" fmla="*/ 2513290 h 6858000"/>
              <a:gd name="csX6897" fmla="*/ 10221896 w 12192000"/>
              <a:gd name="csY6897" fmla="*/ 2548111 h 6858000"/>
              <a:gd name="csX6898" fmla="*/ 10256236 w 12192000"/>
              <a:gd name="csY6898" fmla="*/ 2513290 h 6858000"/>
              <a:gd name="csX6899" fmla="*/ 10221896 w 12192000"/>
              <a:gd name="csY6899" fmla="*/ 2478470 h 6858000"/>
              <a:gd name="csX6900" fmla="*/ 2266416 w 12192000"/>
              <a:gd name="csY6900" fmla="*/ 2563334 h 6858000"/>
              <a:gd name="csX6901" fmla="*/ 2232069 w 12192000"/>
              <a:gd name="csY6901" fmla="*/ 2598154 h 6858000"/>
              <a:gd name="csX6902" fmla="*/ 2266416 w 12192000"/>
              <a:gd name="csY6902" fmla="*/ 2632974 h 6858000"/>
              <a:gd name="csX6903" fmla="*/ 2300762 w 12192000"/>
              <a:gd name="csY6903" fmla="*/ 2598154 h 6858000"/>
              <a:gd name="csX6904" fmla="*/ 2266416 w 12192000"/>
              <a:gd name="csY6904" fmla="*/ 2563334 h 6858000"/>
              <a:gd name="csX6905" fmla="*/ 2350151 w 12192000"/>
              <a:gd name="csY6905" fmla="*/ 2563334 h 6858000"/>
              <a:gd name="csX6906" fmla="*/ 2315804 w 12192000"/>
              <a:gd name="csY6906" fmla="*/ 2598154 h 6858000"/>
              <a:gd name="csX6907" fmla="*/ 2350151 w 12192000"/>
              <a:gd name="csY6907" fmla="*/ 2632974 h 6858000"/>
              <a:gd name="csX6908" fmla="*/ 2384498 w 12192000"/>
              <a:gd name="csY6908" fmla="*/ 2598154 h 6858000"/>
              <a:gd name="csX6909" fmla="*/ 2350151 w 12192000"/>
              <a:gd name="csY6909" fmla="*/ 2563334 h 6858000"/>
              <a:gd name="csX6910" fmla="*/ 2433893 w 12192000"/>
              <a:gd name="csY6910" fmla="*/ 2563334 h 6858000"/>
              <a:gd name="csX6911" fmla="*/ 2399546 w 12192000"/>
              <a:gd name="csY6911" fmla="*/ 2598154 h 6858000"/>
              <a:gd name="csX6912" fmla="*/ 2433893 w 12192000"/>
              <a:gd name="csY6912" fmla="*/ 2632974 h 6858000"/>
              <a:gd name="csX6913" fmla="*/ 2468240 w 12192000"/>
              <a:gd name="csY6913" fmla="*/ 2598154 h 6858000"/>
              <a:gd name="csX6914" fmla="*/ 2433893 w 12192000"/>
              <a:gd name="csY6914" fmla="*/ 2563334 h 6858000"/>
              <a:gd name="csX6915" fmla="*/ 2517634 w 12192000"/>
              <a:gd name="csY6915" fmla="*/ 2563334 h 6858000"/>
              <a:gd name="csX6916" fmla="*/ 2483288 w 12192000"/>
              <a:gd name="csY6916" fmla="*/ 2598154 h 6858000"/>
              <a:gd name="csX6917" fmla="*/ 2517634 w 12192000"/>
              <a:gd name="csY6917" fmla="*/ 2632974 h 6858000"/>
              <a:gd name="csX6918" fmla="*/ 2551981 w 12192000"/>
              <a:gd name="csY6918" fmla="*/ 2598154 h 6858000"/>
              <a:gd name="csX6919" fmla="*/ 2517634 w 12192000"/>
              <a:gd name="csY6919" fmla="*/ 2563334 h 6858000"/>
              <a:gd name="csX6920" fmla="*/ 2601376 w 12192000"/>
              <a:gd name="csY6920" fmla="*/ 2563334 h 6858000"/>
              <a:gd name="csX6921" fmla="*/ 2567029 w 12192000"/>
              <a:gd name="csY6921" fmla="*/ 2598154 h 6858000"/>
              <a:gd name="csX6922" fmla="*/ 2601376 w 12192000"/>
              <a:gd name="csY6922" fmla="*/ 2632974 h 6858000"/>
              <a:gd name="csX6923" fmla="*/ 2635722 w 12192000"/>
              <a:gd name="csY6923" fmla="*/ 2598154 h 6858000"/>
              <a:gd name="csX6924" fmla="*/ 2601376 w 12192000"/>
              <a:gd name="csY6924" fmla="*/ 2563334 h 6858000"/>
              <a:gd name="csX6925" fmla="*/ 2685118 w 12192000"/>
              <a:gd name="csY6925" fmla="*/ 2563334 h 6858000"/>
              <a:gd name="csX6926" fmla="*/ 2650771 w 12192000"/>
              <a:gd name="csY6926" fmla="*/ 2598154 h 6858000"/>
              <a:gd name="csX6927" fmla="*/ 2685118 w 12192000"/>
              <a:gd name="csY6927" fmla="*/ 2632974 h 6858000"/>
              <a:gd name="csX6928" fmla="*/ 2719465 w 12192000"/>
              <a:gd name="csY6928" fmla="*/ 2598154 h 6858000"/>
              <a:gd name="csX6929" fmla="*/ 2685118 w 12192000"/>
              <a:gd name="csY6929" fmla="*/ 2563334 h 6858000"/>
              <a:gd name="csX6930" fmla="*/ 2768859 w 12192000"/>
              <a:gd name="csY6930" fmla="*/ 2563334 h 6858000"/>
              <a:gd name="csX6931" fmla="*/ 2734512 w 12192000"/>
              <a:gd name="csY6931" fmla="*/ 2598154 h 6858000"/>
              <a:gd name="csX6932" fmla="*/ 2768859 w 12192000"/>
              <a:gd name="csY6932" fmla="*/ 2632974 h 6858000"/>
              <a:gd name="csX6933" fmla="*/ 2803206 w 12192000"/>
              <a:gd name="csY6933" fmla="*/ 2598154 h 6858000"/>
              <a:gd name="csX6934" fmla="*/ 2768859 w 12192000"/>
              <a:gd name="csY6934" fmla="*/ 2563334 h 6858000"/>
              <a:gd name="csX6935" fmla="*/ 2852600 w 12192000"/>
              <a:gd name="csY6935" fmla="*/ 2563334 h 6858000"/>
              <a:gd name="csX6936" fmla="*/ 2818254 w 12192000"/>
              <a:gd name="csY6936" fmla="*/ 2598154 h 6858000"/>
              <a:gd name="csX6937" fmla="*/ 2852600 w 12192000"/>
              <a:gd name="csY6937" fmla="*/ 2632974 h 6858000"/>
              <a:gd name="csX6938" fmla="*/ 2886947 w 12192000"/>
              <a:gd name="csY6938" fmla="*/ 2598154 h 6858000"/>
              <a:gd name="csX6939" fmla="*/ 2852600 w 12192000"/>
              <a:gd name="csY6939" fmla="*/ 2563334 h 6858000"/>
              <a:gd name="csX6940" fmla="*/ 2936343 w 12192000"/>
              <a:gd name="csY6940" fmla="*/ 2563334 h 6858000"/>
              <a:gd name="csX6941" fmla="*/ 2901996 w 12192000"/>
              <a:gd name="csY6941" fmla="*/ 2598154 h 6858000"/>
              <a:gd name="csX6942" fmla="*/ 2936343 w 12192000"/>
              <a:gd name="csY6942" fmla="*/ 2632974 h 6858000"/>
              <a:gd name="csX6943" fmla="*/ 2970689 w 12192000"/>
              <a:gd name="csY6943" fmla="*/ 2598154 h 6858000"/>
              <a:gd name="csX6944" fmla="*/ 2936343 w 12192000"/>
              <a:gd name="csY6944" fmla="*/ 2563334 h 6858000"/>
              <a:gd name="csX6945" fmla="*/ 3020084 w 12192000"/>
              <a:gd name="csY6945" fmla="*/ 2563334 h 6858000"/>
              <a:gd name="csX6946" fmla="*/ 2985737 w 12192000"/>
              <a:gd name="csY6946" fmla="*/ 2598154 h 6858000"/>
              <a:gd name="csX6947" fmla="*/ 3020084 w 12192000"/>
              <a:gd name="csY6947" fmla="*/ 2632974 h 6858000"/>
              <a:gd name="csX6948" fmla="*/ 3054431 w 12192000"/>
              <a:gd name="csY6948" fmla="*/ 2598154 h 6858000"/>
              <a:gd name="csX6949" fmla="*/ 3020084 w 12192000"/>
              <a:gd name="csY6949" fmla="*/ 2563334 h 6858000"/>
              <a:gd name="csX6950" fmla="*/ 3103826 w 12192000"/>
              <a:gd name="csY6950" fmla="*/ 2563334 h 6858000"/>
              <a:gd name="csX6951" fmla="*/ 3069479 w 12192000"/>
              <a:gd name="csY6951" fmla="*/ 2598154 h 6858000"/>
              <a:gd name="csX6952" fmla="*/ 3103826 w 12192000"/>
              <a:gd name="csY6952" fmla="*/ 2632974 h 6858000"/>
              <a:gd name="csX6953" fmla="*/ 3138173 w 12192000"/>
              <a:gd name="csY6953" fmla="*/ 2598154 h 6858000"/>
              <a:gd name="csX6954" fmla="*/ 3103826 w 12192000"/>
              <a:gd name="csY6954" fmla="*/ 2563334 h 6858000"/>
              <a:gd name="csX6955" fmla="*/ 3187567 w 12192000"/>
              <a:gd name="csY6955" fmla="*/ 2563334 h 6858000"/>
              <a:gd name="csX6956" fmla="*/ 3153221 w 12192000"/>
              <a:gd name="csY6956" fmla="*/ 2598154 h 6858000"/>
              <a:gd name="csX6957" fmla="*/ 3187567 w 12192000"/>
              <a:gd name="csY6957" fmla="*/ 2632974 h 6858000"/>
              <a:gd name="csX6958" fmla="*/ 3221914 w 12192000"/>
              <a:gd name="csY6958" fmla="*/ 2598154 h 6858000"/>
              <a:gd name="csX6959" fmla="*/ 3187567 w 12192000"/>
              <a:gd name="csY6959" fmla="*/ 2563334 h 6858000"/>
              <a:gd name="csX6960" fmla="*/ 3438792 w 12192000"/>
              <a:gd name="csY6960" fmla="*/ 2563334 h 6858000"/>
              <a:gd name="csX6961" fmla="*/ 3404445 w 12192000"/>
              <a:gd name="csY6961" fmla="*/ 2598154 h 6858000"/>
              <a:gd name="csX6962" fmla="*/ 3438792 w 12192000"/>
              <a:gd name="csY6962" fmla="*/ 2632974 h 6858000"/>
              <a:gd name="csX6963" fmla="*/ 3473139 w 12192000"/>
              <a:gd name="csY6963" fmla="*/ 2598154 h 6858000"/>
              <a:gd name="csX6964" fmla="*/ 3438792 w 12192000"/>
              <a:gd name="csY6964" fmla="*/ 2563334 h 6858000"/>
              <a:gd name="csX6965" fmla="*/ 3522533 w 12192000"/>
              <a:gd name="csY6965" fmla="*/ 2563334 h 6858000"/>
              <a:gd name="csX6966" fmla="*/ 3488187 w 12192000"/>
              <a:gd name="csY6966" fmla="*/ 2598154 h 6858000"/>
              <a:gd name="csX6967" fmla="*/ 3522533 w 12192000"/>
              <a:gd name="csY6967" fmla="*/ 2632974 h 6858000"/>
              <a:gd name="csX6968" fmla="*/ 3556880 w 12192000"/>
              <a:gd name="csY6968" fmla="*/ 2598154 h 6858000"/>
              <a:gd name="csX6969" fmla="*/ 3522533 w 12192000"/>
              <a:gd name="csY6969" fmla="*/ 2563334 h 6858000"/>
              <a:gd name="csX6970" fmla="*/ 3606276 w 12192000"/>
              <a:gd name="csY6970" fmla="*/ 2563334 h 6858000"/>
              <a:gd name="csX6971" fmla="*/ 3571929 w 12192000"/>
              <a:gd name="csY6971" fmla="*/ 2598154 h 6858000"/>
              <a:gd name="csX6972" fmla="*/ 3606276 w 12192000"/>
              <a:gd name="csY6972" fmla="*/ 2632974 h 6858000"/>
              <a:gd name="csX6973" fmla="*/ 3640622 w 12192000"/>
              <a:gd name="csY6973" fmla="*/ 2598154 h 6858000"/>
              <a:gd name="csX6974" fmla="*/ 3606276 w 12192000"/>
              <a:gd name="csY6974" fmla="*/ 2563334 h 6858000"/>
              <a:gd name="csX6975" fmla="*/ 3690017 w 12192000"/>
              <a:gd name="csY6975" fmla="*/ 2563334 h 6858000"/>
              <a:gd name="csX6976" fmla="*/ 3655670 w 12192000"/>
              <a:gd name="csY6976" fmla="*/ 2598154 h 6858000"/>
              <a:gd name="csX6977" fmla="*/ 3690017 w 12192000"/>
              <a:gd name="csY6977" fmla="*/ 2632974 h 6858000"/>
              <a:gd name="csX6978" fmla="*/ 3724364 w 12192000"/>
              <a:gd name="csY6978" fmla="*/ 2598154 h 6858000"/>
              <a:gd name="csX6979" fmla="*/ 3690017 w 12192000"/>
              <a:gd name="csY6979" fmla="*/ 2563334 h 6858000"/>
              <a:gd name="csX6980" fmla="*/ 3773759 w 12192000"/>
              <a:gd name="csY6980" fmla="*/ 2563334 h 6858000"/>
              <a:gd name="csX6981" fmla="*/ 3739412 w 12192000"/>
              <a:gd name="csY6981" fmla="*/ 2598154 h 6858000"/>
              <a:gd name="csX6982" fmla="*/ 3773759 w 12192000"/>
              <a:gd name="csY6982" fmla="*/ 2632974 h 6858000"/>
              <a:gd name="csX6983" fmla="*/ 3808106 w 12192000"/>
              <a:gd name="csY6983" fmla="*/ 2598154 h 6858000"/>
              <a:gd name="csX6984" fmla="*/ 3773759 w 12192000"/>
              <a:gd name="csY6984" fmla="*/ 2563334 h 6858000"/>
              <a:gd name="csX6985" fmla="*/ 3941242 w 12192000"/>
              <a:gd name="csY6985" fmla="*/ 2563334 h 6858000"/>
              <a:gd name="csX6986" fmla="*/ 3906895 w 12192000"/>
              <a:gd name="csY6986" fmla="*/ 2598154 h 6858000"/>
              <a:gd name="csX6987" fmla="*/ 3941242 w 12192000"/>
              <a:gd name="csY6987" fmla="*/ 2632974 h 6858000"/>
              <a:gd name="csX6988" fmla="*/ 3975588 w 12192000"/>
              <a:gd name="csY6988" fmla="*/ 2598154 h 6858000"/>
              <a:gd name="csX6989" fmla="*/ 3941242 w 12192000"/>
              <a:gd name="csY6989" fmla="*/ 2563334 h 6858000"/>
              <a:gd name="csX6990" fmla="*/ 4192473 w 12192000"/>
              <a:gd name="csY6990" fmla="*/ 2563334 h 6858000"/>
              <a:gd name="csX6991" fmla="*/ 4158127 w 12192000"/>
              <a:gd name="csY6991" fmla="*/ 2598154 h 6858000"/>
              <a:gd name="csX6992" fmla="*/ 4192473 w 12192000"/>
              <a:gd name="csY6992" fmla="*/ 2632974 h 6858000"/>
              <a:gd name="csX6993" fmla="*/ 4226820 w 12192000"/>
              <a:gd name="csY6993" fmla="*/ 2598154 h 6858000"/>
              <a:gd name="csX6994" fmla="*/ 4192473 w 12192000"/>
              <a:gd name="csY6994" fmla="*/ 2563334 h 6858000"/>
              <a:gd name="csX6995" fmla="*/ 4276215 w 12192000"/>
              <a:gd name="csY6995" fmla="*/ 2563334 h 6858000"/>
              <a:gd name="csX6996" fmla="*/ 4241868 w 12192000"/>
              <a:gd name="csY6996" fmla="*/ 2598154 h 6858000"/>
              <a:gd name="csX6997" fmla="*/ 4276215 w 12192000"/>
              <a:gd name="csY6997" fmla="*/ 2632974 h 6858000"/>
              <a:gd name="csX6998" fmla="*/ 4310561 w 12192000"/>
              <a:gd name="csY6998" fmla="*/ 2598154 h 6858000"/>
              <a:gd name="csX6999" fmla="*/ 4276215 w 12192000"/>
              <a:gd name="csY6999" fmla="*/ 2563334 h 6858000"/>
              <a:gd name="csX7000" fmla="*/ 5951048 w 12192000"/>
              <a:gd name="csY7000" fmla="*/ 2563334 h 6858000"/>
              <a:gd name="csX7001" fmla="*/ 5916701 w 12192000"/>
              <a:gd name="csY7001" fmla="*/ 2598154 h 6858000"/>
              <a:gd name="csX7002" fmla="*/ 5951048 w 12192000"/>
              <a:gd name="csY7002" fmla="*/ 2632974 h 6858000"/>
              <a:gd name="csX7003" fmla="*/ 5985394 w 12192000"/>
              <a:gd name="csY7003" fmla="*/ 2598154 h 6858000"/>
              <a:gd name="csX7004" fmla="*/ 5951048 w 12192000"/>
              <a:gd name="csY7004" fmla="*/ 2563334 h 6858000"/>
              <a:gd name="csX7005" fmla="*/ 6034789 w 12192000"/>
              <a:gd name="csY7005" fmla="*/ 2563334 h 6858000"/>
              <a:gd name="csX7006" fmla="*/ 6000442 w 12192000"/>
              <a:gd name="csY7006" fmla="*/ 2598154 h 6858000"/>
              <a:gd name="csX7007" fmla="*/ 6034789 w 12192000"/>
              <a:gd name="csY7007" fmla="*/ 2632974 h 6858000"/>
              <a:gd name="csX7008" fmla="*/ 6069136 w 12192000"/>
              <a:gd name="csY7008" fmla="*/ 2598154 h 6858000"/>
              <a:gd name="csX7009" fmla="*/ 6034789 w 12192000"/>
              <a:gd name="csY7009" fmla="*/ 2563334 h 6858000"/>
              <a:gd name="csX7010" fmla="*/ 6118531 w 12192000"/>
              <a:gd name="csY7010" fmla="*/ 2563334 h 6858000"/>
              <a:gd name="csX7011" fmla="*/ 6084177 w 12192000"/>
              <a:gd name="csY7011" fmla="*/ 2598154 h 6858000"/>
              <a:gd name="csX7012" fmla="*/ 6118531 w 12192000"/>
              <a:gd name="csY7012" fmla="*/ 2632974 h 6858000"/>
              <a:gd name="csX7013" fmla="*/ 6152871 w 12192000"/>
              <a:gd name="csY7013" fmla="*/ 2598154 h 6858000"/>
              <a:gd name="csX7014" fmla="*/ 6118531 w 12192000"/>
              <a:gd name="csY7014" fmla="*/ 2563334 h 6858000"/>
              <a:gd name="csX7015" fmla="*/ 6202273 w 12192000"/>
              <a:gd name="csY7015" fmla="*/ 2563334 h 6858000"/>
              <a:gd name="csX7016" fmla="*/ 6167920 w 12192000"/>
              <a:gd name="csY7016" fmla="*/ 2598154 h 6858000"/>
              <a:gd name="csX7017" fmla="*/ 6202273 w 12192000"/>
              <a:gd name="csY7017" fmla="*/ 2632974 h 6858000"/>
              <a:gd name="csX7018" fmla="*/ 6236613 w 12192000"/>
              <a:gd name="csY7018" fmla="*/ 2598154 h 6858000"/>
              <a:gd name="csX7019" fmla="*/ 6202273 w 12192000"/>
              <a:gd name="csY7019" fmla="*/ 2563334 h 6858000"/>
              <a:gd name="csX7020" fmla="*/ 6286014 w 12192000"/>
              <a:gd name="csY7020" fmla="*/ 2563334 h 6858000"/>
              <a:gd name="csX7021" fmla="*/ 6251661 w 12192000"/>
              <a:gd name="csY7021" fmla="*/ 2598154 h 6858000"/>
              <a:gd name="csX7022" fmla="*/ 6286014 w 12192000"/>
              <a:gd name="csY7022" fmla="*/ 2632974 h 6858000"/>
              <a:gd name="csX7023" fmla="*/ 6320354 w 12192000"/>
              <a:gd name="csY7023" fmla="*/ 2598154 h 6858000"/>
              <a:gd name="csX7024" fmla="*/ 6286014 w 12192000"/>
              <a:gd name="csY7024" fmla="*/ 2563334 h 6858000"/>
              <a:gd name="csX7025" fmla="*/ 6369755 w 12192000"/>
              <a:gd name="csY7025" fmla="*/ 2563334 h 6858000"/>
              <a:gd name="csX7026" fmla="*/ 6335402 w 12192000"/>
              <a:gd name="csY7026" fmla="*/ 2598154 h 6858000"/>
              <a:gd name="csX7027" fmla="*/ 6369755 w 12192000"/>
              <a:gd name="csY7027" fmla="*/ 2632974 h 6858000"/>
              <a:gd name="csX7028" fmla="*/ 6404096 w 12192000"/>
              <a:gd name="csY7028" fmla="*/ 2598154 h 6858000"/>
              <a:gd name="csX7029" fmla="*/ 6369755 w 12192000"/>
              <a:gd name="csY7029" fmla="*/ 2563334 h 6858000"/>
              <a:gd name="csX7030" fmla="*/ 6453498 w 12192000"/>
              <a:gd name="csY7030" fmla="*/ 2563334 h 6858000"/>
              <a:gd name="csX7031" fmla="*/ 6419144 w 12192000"/>
              <a:gd name="csY7031" fmla="*/ 2598154 h 6858000"/>
              <a:gd name="csX7032" fmla="*/ 6453498 w 12192000"/>
              <a:gd name="csY7032" fmla="*/ 2632974 h 6858000"/>
              <a:gd name="csX7033" fmla="*/ 6487838 w 12192000"/>
              <a:gd name="csY7033" fmla="*/ 2598154 h 6858000"/>
              <a:gd name="csX7034" fmla="*/ 6453498 w 12192000"/>
              <a:gd name="csY7034" fmla="*/ 2563334 h 6858000"/>
              <a:gd name="csX7035" fmla="*/ 6537239 w 12192000"/>
              <a:gd name="csY7035" fmla="*/ 2563334 h 6858000"/>
              <a:gd name="csX7036" fmla="*/ 6502886 w 12192000"/>
              <a:gd name="csY7036" fmla="*/ 2598154 h 6858000"/>
              <a:gd name="csX7037" fmla="*/ 6537239 w 12192000"/>
              <a:gd name="csY7037" fmla="*/ 2632974 h 6858000"/>
              <a:gd name="csX7038" fmla="*/ 6571579 w 12192000"/>
              <a:gd name="csY7038" fmla="*/ 2598154 h 6858000"/>
              <a:gd name="csX7039" fmla="*/ 6537239 w 12192000"/>
              <a:gd name="csY7039" fmla="*/ 2563334 h 6858000"/>
              <a:gd name="csX7040" fmla="*/ 6620980 w 12192000"/>
              <a:gd name="csY7040" fmla="*/ 2563334 h 6858000"/>
              <a:gd name="csX7041" fmla="*/ 6586627 w 12192000"/>
              <a:gd name="csY7041" fmla="*/ 2598154 h 6858000"/>
              <a:gd name="csX7042" fmla="*/ 6620980 w 12192000"/>
              <a:gd name="csY7042" fmla="*/ 2632974 h 6858000"/>
              <a:gd name="csX7043" fmla="*/ 6655320 w 12192000"/>
              <a:gd name="csY7043" fmla="*/ 2598154 h 6858000"/>
              <a:gd name="csX7044" fmla="*/ 6620980 w 12192000"/>
              <a:gd name="csY7044" fmla="*/ 2563334 h 6858000"/>
              <a:gd name="csX7045" fmla="*/ 6704722 w 12192000"/>
              <a:gd name="csY7045" fmla="*/ 2563334 h 6858000"/>
              <a:gd name="csX7046" fmla="*/ 6670369 w 12192000"/>
              <a:gd name="csY7046" fmla="*/ 2598154 h 6858000"/>
              <a:gd name="csX7047" fmla="*/ 6704722 w 12192000"/>
              <a:gd name="csY7047" fmla="*/ 2632974 h 6858000"/>
              <a:gd name="csX7048" fmla="*/ 6739063 w 12192000"/>
              <a:gd name="csY7048" fmla="*/ 2598154 h 6858000"/>
              <a:gd name="csX7049" fmla="*/ 6704722 w 12192000"/>
              <a:gd name="csY7049" fmla="*/ 2563334 h 6858000"/>
              <a:gd name="csX7050" fmla="*/ 6788464 w 12192000"/>
              <a:gd name="csY7050" fmla="*/ 2563334 h 6858000"/>
              <a:gd name="csX7051" fmla="*/ 6754110 w 12192000"/>
              <a:gd name="csY7051" fmla="*/ 2598154 h 6858000"/>
              <a:gd name="csX7052" fmla="*/ 6788464 w 12192000"/>
              <a:gd name="csY7052" fmla="*/ 2632974 h 6858000"/>
              <a:gd name="csX7053" fmla="*/ 6822804 w 12192000"/>
              <a:gd name="csY7053" fmla="*/ 2598154 h 6858000"/>
              <a:gd name="csX7054" fmla="*/ 6788464 w 12192000"/>
              <a:gd name="csY7054" fmla="*/ 2563334 h 6858000"/>
              <a:gd name="csX7055" fmla="*/ 6872206 w 12192000"/>
              <a:gd name="csY7055" fmla="*/ 2563334 h 6858000"/>
              <a:gd name="csX7056" fmla="*/ 6837853 w 12192000"/>
              <a:gd name="csY7056" fmla="*/ 2598154 h 6858000"/>
              <a:gd name="csX7057" fmla="*/ 6872206 w 12192000"/>
              <a:gd name="csY7057" fmla="*/ 2632974 h 6858000"/>
              <a:gd name="csX7058" fmla="*/ 6906546 w 12192000"/>
              <a:gd name="csY7058" fmla="*/ 2598154 h 6858000"/>
              <a:gd name="csX7059" fmla="*/ 6872206 w 12192000"/>
              <a:gd name="csY7059" fmla="*/ 2563334 h 6858000"/>
              <a:gd name="csX7060" fmla="*/ 6955947 w 12192000"/>
              <a:gd name="csY7060" fmla="*/ 2563334 h 6858000"/>
              <a:gd name="csX7061" fmla="*/ 6921594 w 12192000"/>
              <a:gd name="csY7061" fmla="*/ 2598154 h 6858000"/>
              <a:gd name="csX7062" fmla="*/ 6955947 w 12192000"/>
              <a:gd name="csY7062" fmla="*/ 2632974 h 6858000"/>
              <a:gd name="csX7063" fmla="*/ 6990287 w 12192000"/>
              <a:gd name="csY7063" fmla="*/ 2598154 h 6858000"/>
              <a:gd name="csX7064" fmla="*/ 6955947 w 12192000"/>
              <a:gd name="csY7064" fmla="*/ 2563334 h 6858000"/>
              <a:gd name="csX7065" fmla="*/ 7039688 w 12192000"/>
              <a:gd name="csY7065" fmla="*/ 2563334 h 6858000"/>
              <a:gd name="csX7066" fmla="*/ 7005335 w 12192000"/>
              <a:gd name="csY7066" fmla="*/ 2598154 h 6858000"/>
              <a:gd name="csX7067" fmla="*/ 7039688 w 12192000"/>
              <a:gd name="csY7067" fmla="*/ 2632974 h 6858000"/>
              <a:gd name="csX7068" fmla="*/ 7074029 w 12192000"/>
              <a:gd name="csY7068" fmla="*/ 2598154 h 6858000"/>
              <a:gd name="csX7069" fmla="*/ 7039688 w 12192000"/>
              <a:gd name="csY7069" fmla="*/ 2563334 h 6858000"/>
              <a:gd name="csX7070" fmla="*/ 7123456 w 12192000"/>
              <a:gd name="csY7070" fmla="*/ 2563334 h 6858000"/>
              <a:gd name="csX7071" fmla="*/ 7089103 w 12192000"/>
              <a:gd name="csY7071" fmla="*/ 2598154 h 6858000"/>
              <a:gd name="csX7072" fmla="*/ 7123456 w 12192000"/>
              <a:gd name="csY7072" fmla="*/ 2632974 h 6858000"/>
              <a:gd name="csX7073" fmla="*/ 7157796 w 12192000"/>
              <a:gd name="csY7073" fmla="*/ 2598154 h 6858000"/>
              <a:gd name="csX7074" fmla="*/ 7123456 w 12192000"/>
              <a:gd name="csY7074" fmla="*/ 2563334 h 6858000"/>
              <a:gd name="csX7075" fmla="*/ 7207198 w 12192000"/>
              <a:gd name="csY7075" fmla="*/ 2563334 h 6858000"/>
              <a:gd name="csX7076" fmla="*/ 7172845 w 12192000"/>
              <a:gd name="csY7076" fmla="*/ 2598154 h 6858000"/>
              <a:gd name="csX7077" fmla="*/ 7207198 w 12192000"/>
              <a:gd name="csY7077" fmla="*/ 2632974 h 6858000"/>
              <a:gd name="csX7078" fmla="*/ 7241538 w 12192000"/>
              <a:gd name="csY7078" fmla="*/ 2598154 h 6858000"/>
              <a:gd name="csX7079" fmla="*/ 7207198 w 12192000"/>
              <a:gd name="csY7079" fmla="*/ 2563334 h 6858000"/>
              <a:gd name="csX7080" fmla="*/ 7290939 w 12192000"/>
              <a:gd name="csY7080" fmla="*/ 2563334 h 6858000"/>
              <a:gd name="csX7081" fmla="*/ 7256586 w 12192000"/>
              <a:gd name="csY7081" fmla="*/ 2598154 h 6858000"/>
              <a:gd name="csX7082" fmla="*/ 7290939 w 12192000"/>
              <a:gd name="csY7082" fmla="*/ 2632974 h 6858000"/>
              <a:gd name="csX7083" fmla="*/ 7325279 w 12192000"/>
              <a:gd name="csY7083" fmla="*/ 2598154 h 6858000"/>
              <a:gd name="csX7084" fmla="*/ 7290939 w 12192000"/>
              <a:gd name="csY7084" fmla="*/ 2563334 h 6858000"/>
              <a:gd name="csX7085" fmla="*/ 7374681 w 12192000"/>
              <a:gd name="csY7085" fmla="*/ 2563334 h 6858000"/>
              <a:gd name="csX7086" fmla="*/ 7340328 w 12192000"/>
              <a:gd name="csY7086" fmla="*/ 2598154 h 6858000"/>
              <a:gd name="csX7087" fmla="*/ 7374681 w 12192000"/>
              <a:gd name="csY7087" fmla="*/ 2632974 h 6858000"/>
              <a:gd name="csX7088" fmla="*/ 7409022 w 12192000"/>
              <a:gd name="csY7088" fmla="*/ 2598154 h 6858000"/>
              <a:gd name="csX7089" fmla="*/ 7374681 w 12192000"/>
              <a:gd name="csY7089" fmla="*/ 2563334 h 6858000"/>
              <a:gd name="csX7090" fmla="*/ 7458423 w 12192000"/>
              <a:gd name="csY7090" fmla="*/ 2563334 h 6858000"/>
              <a:gd name="csX7091" fmla="*/ 7424070 w 12192000"/>
              <a:gd name="csY7091" fmla="*/ 2598154 h 6858000"/>
              <a:gd name="csX7092" fmla="*/ 7458423 w 12192000"/>
              <a:gd name="csY7092" fmla="*/ 2632974 h 6858000"/>
              <a:gd name="csX7093" fmla="*/ 7492763 w 12192000"/>
              <a:gd name="csY7093" fmla="*/ 2598154 h 6858000"/>
              <a:gd name="csX7094" fmla="*/ 7458423 w 12192000"/>
              <a:gd name="csY7094" fmla="*/ 2563334 h 6858000"/>
              <a:gd name="csX7095" fmla="*/ 7542164 w 12192000"/>
              <a:gd name="csY7095" fmla="*/ 2563334 h 6858000"/>
              <a:gd name="csX7096" fmla="*/ 7507811 w 12192000"/>
              <a:gd name="csY7096" fmla="*/ 2598154 h 6858000"/>
              <a:gd name="csX7097" fmla="*/ 7542164 w 12192000"/>
              <a:gd name="csY7097" fmla="*/ 2632974 h 6858000"/>
              <a:gd name="csX7098" fmla="*/ 7576504 w 12192000"/>
              <a:gd name="csY7098" fmla="*/ 2598154 h 6858000"/>
              <a:gd name="csX7099" fmla="*/ 7542164 w 12192000"/>
              <a:gd name="csY7099" fmla="*/ 2563334 h 6858000"/>
              <a:gd name="csX7100" fmla="*/ 7625906 w 12192000"/>
              <a:gd name="csY7100" fmla="*/ 2563334 h 6858000"/>
              <a:gd name="csX7101" fmla="*/ 7591553 w 12192000"/>
              <a:gd name="csY7101" fmla="*/ 2598154 h 6858000"/>
              <a:gd name="csX7102" fmla="*/ 7625906 w 12192000"/>
              <a:gd name="csY7102" fmla="*/ 2632974 h 6858000"/>
              <a:gd name="csX7103" fmla="*/ 7660246 w 12192000"/>
              <a:gd name="csY7103" fmla="*/ 2598154 h 6858000"/>
              <a:gd name="csX7104" fmla="*/ 7625906 w 12192000"/>
              <a:gd name="csY7104" fmla="*/ 2563334 h 6858000"/>
              <a:gd name="csX7105" fmla="*/ 7709647 w 12192000"/>
              <a:gd name="csY7105" fmla="*/ 2563334 h 6858000"/>
              <a:gd name="csX7106" fmla="*/ 7675294 w 12192000"/>
              <a:gd name="csY7106" fmla="*/ 2598154 h 6858000"/>
              <a:gd name="csX7107" fmla="*/ 7709647 w 12192000"/>
              <a:gd name="csY7107" fmla="*/ 2632974 h 6858000"/>
              <a:gd name="csX7108" fmla="*/ 7743988 w 12192000"/>
              <a:gd name="csY7108" fmla="*/ 2598154 h 6858000"/>
              <a:gd name="csX7109" fmla="*/ 7709647 w 12192000"/>
              <a:gd name="csY7109" fmla="*/ 2563334 h 6858000"/>
              <a:gd name="csX7110" fmla="*/ 7793389 w 12192000"/>
              <a:gd name="csY7110" fmla="*/ 2563334 h 6858000"/>
              <a:gd name="csX7111" fmla="*/ 7759036 w 12192000"/>
              <a:gd name="csY7111" fmla="*/ 2598154 h 6858000"/>
              <a:gd name="csX7112" fmla="*/ 7793389 w 12192000"/>
              <a:gd name="csY7112" fmla="*/ 2632974 h 6858000"/>
              <a:gd name="csX7113" fmla="*/ 7827729 w 12192000"/>
              <a:gd name="csY7113" fmla="*/ 2598154 h 6858000"/>
              <a:gd name="csX7114" fmla="*/ 7793389 w 12192000"/>
              <a:gd name="csY7114" fmla="*/ 2563334 h 6858000"/>
              <a:gd name="csX7115" fmla="*/ 7877131 w 12192000"/>
              <a:gd name="csY7115" fmla="*/ 2563334 h 6858000"/>
              <a:gd name="csX7116" fmla="*/ 7842778 w 12192000"/>
              <a:gd name="csY7116" fmla="*/ 2598154 h 6858000"/>
              <a:gd name="csX7117" fmla="*/ 7877131 w 12192000"/>
              <a:gd name="csY7117" fmla="*/ 2632974 h 6858000"/>
              <a:gd name="csX7118" fmla="*/ 7911471 w 12192000"/>
              <a:gd name="csY7118" fmla="*/ 2598154 h 6858000"/>
              <a:gd name="csX7119" fmla="*/ 7877131 w 12192000"/>
              <a:gd name="csY7119" fmla="*/ 2563334 h 6858000"/>
              <a:gd name="csX7120" fmla="*/ 7960872 w 12192000"/>
              <a:gd name="csY7120" fmla="*/ 2563334 h 6858000"/>
              <a:gd name="csX7121" fmla="*/ 7926519 w 12192000"/>
              <a:gd name="csY7121" fmla="*/ 2598154 h 6858000"/>
              <a:gd name="csX7122" fmla="*/ 7960872 w 12192000"/>
              <a:gd name="csY7122" fmla="*/ 2632974 h 6858000"/>
              <a:gd name="csX7123" fmla="*/ 7995212 w 12192000"/>
              <a:gd name="csY7123" fmla="*/ 2598154 h 6858000"/>
              <a:gd name="csX7124" fmla="*/ 7960872 w 12192000"/>
              <a:gd name="csY7124" fmla="*/ 2563334 h 6858000"/>
              <a:gd name="csX7125" fmla="*/ 8044614 w 12192000"/>
              <a:gd name="csY7125" fmla="*/ 2563334 h 6858000"/>
              <a:gd name="csX7126" fmla="*/ 8010261 w 12192000"/>
              <a:gd name="csY7126" fmla="*/ 2598154 h 6858000"/>
              <a:gd name="csX7127" fmla="*/ 8044614 w 12192000"/>
              <a:gd name="csY7127" fmla="*/ 2632974 h 6858000"/>
              <a:gd name="csX7128" fmla="*/ 8078955 w 12192000"/>
              <a:gd name="csY7128" fmla="*/ 2598154 h 6858000"/>
              <a:gd name="csX7129" fmla="*/ 8044614 w 12192000"/>
              <a:gd name="csY7129" fmla="*/ 2563334 h 6858000"/>
              <a:gd name="csX7130" fmla="*/ 8128356 w 12192000"/>
              <a:gd name="csY7130" fmla="*/ 2563334 h 6858000"/>
              <a:gd name="csX7131" fmla="*/ 8094003 w 12192000"/>
              <a:gd name="csY7131" fmla="*/ 2598154 h 6858000"/>
              <a:gd name="csX7132" fmla="*/ 8128356 w 12192000"/>
              <a:gd name="csY7132" fmla="*/ 2632974 h 6858000"/>
              <a:gd name="csX7133" fmla="*/ 8162696 w 12192000"/>
              <a:gd name="csY7133" fmla="*/ 2598154 h 6858000"/>
              <a:gd name="csX7134" fmla="*/ 8128356 w 12192000"/>
              <a:gd name="csY7134" fmla="*/ 2563334 h 6858000"/>
              <a:gd name="csX7135" fmla="*/ 8212097 w 12192000"/>
              <a:gd name="csY7135" fmla="*/ 2563334 h 6858000"/>
              <a:gd name="csX7136" fmla="*/ 8177744 w 12192000"/>
              <a:gd name="csY7136" fmla="*/ 2598154 h 6858000"/>
              <a:gd name="csX7137" fmla="*/ 8212097 w 12192000"/>
              <a:gd name="csY7137" fmla="*/ 2632974 h 6858000"/>
              <a:gd name="csX7138" fmla="*/ 8246437 w 12192000"/>
              <a:gd name="csY7138" fmla="*/ 2598154 h 6858000"/>
              <a:gd name="csX7139" fmla="*/ 8212097 w 12192000"/>
              <a:gd name="csY7139" fmla="*/ 2563334 h 6858000"/>
              <a:gd name="csX7140" fmla="*/ 8295839 w 12192000"/>
              <a:gd name="csY7140" fmla="*/ 2563334 h 6858000"/>
              <a:gd name="csX7141" fmla="*/ 8261486 w 12192000"/>
              <a:gd name="csY7141" fmla="*/ 2598154 h 6858000"/>
              <a:gd name="csX7142" fmla="*/ 8295839 w 12192000"/>
              <a:gd name="csY7142" fmla="*/ 2632974 h 6858000"/>
              <a:gd name="csX7143" fmla="*/ 8330179 w 12192000"/>
              <a:gd name="csY7143" fmla="*/ 2598154 h 6858000"/>
              <a:gd name="csX7144" fmla="*/ 8295839 w 12192000"/>
              <a:gd name="csY7144" fmla="*/ 2563334 h 6858000"/>
              <a:gd name="csX7145" fmla="*/ 8379580 w 12192000"/>
              <a:gd name="csY7145" fmla="*/ 2563334 h 6858000"/>
              <a:gd name="csX7146" fmla="*/ 8345227 w 12192000"/>
              <a:gd name="csY7146" fmla="*/ 2598154 h 6858000"/>
              <a:gd name="csX7147" fmla="*/ 8379580 w 12192000"/>
              <a:gd name="csY7147" fmla="*/ 2632974 h 6858000"/>
              <a:gd name="csX7148" fmla="*/ 8413921 w 12192000"/>
              <a:gd name="csY7148" fmla="*/ 2598154 h 6858000"/>
              <a:gd name="csX7149" fmla="*/ 8379580 w 12192000"/>
              <a:gd name="csY7149" fmla="*/ 2563334 h 6858000"/>
              <a:gd name="csX7150" fmla="*/ 8463323 w 12192000"/>
              <a:gd name="csY7150" fmla="*/ 2563334 h 6858000"/>
              <a:gd name="csX7151" fmla="*/ 8428970 w 12192000"/>
              <a:gd name="csY7151" fmla="*/ 2598154 h 6858000"/>
              <a:gd name="csX7152" fmla="*/ 8463323 w 12192000"/>
              <a:gd name="csY7152" fmla="*/ 2632974 h 6858000"/>
              <a:gd name="csX7153" fmla="*/ 8497663 w 12192000"/>
              <a:gd name="csY7153" fmla="*/ 2598154 h 6858000"/>
              <a:gd name="csX7154" fmla="*/ 8463323 w 12192000"/>
              <a:gd name="csY7154" fmla="*/ 2563334 h 6858000"/>
              <a:gd name="csX7155" fmla="*/ 8547064 w 12192000"/>
              <a:gd name="csY7155" fmla="*/ 2563334 h 6858000"/>
              <a:gd name="csX7156" fmla="*/ 8512711 w 12192000"/>
              <a:gd name="csY7156" fmla="*/ 2598154 h 6858000"/>
              <a:gd name="csX7157" fmla="*/ 8547064 w 12192000"/>
              <a:gd name="csY7157" fmla="*/ 2632974 h 6858000"/>
              <a:gd name="csX7158" fmla="*/ 8581404 w 12192000"/>
              <a:gd name="csY7158" fmla="*/ 2598154 h 6858000"/>
              <a:gd name="csX7159" fmla="*/ 8547064 w 12192000"/>
              <a:gd name="csY7159" fmla="*/ 2563334 h 6858000"/>
              <a:gd name="csX7160" fmla="*/ 8630805 w 12192000"/>
              <a:gd name="csY7160" fmla="*/ 2563334 h 6858000"/>
              <a:gd name="csX7161" fmla="*/ 8596452 w 12192000"/>
              <a:gd name="csY7161" fmla="*/ 2598154 h 6858000"/>
              <a:gd name="csX7162" fmla="*/ 8630805 w 12192000"/>
              <a:gd name="csY7162" fmla="*/ 2632974 h 6858000"/>
              <a:gd name="csX7163" fmla="*/ 8665145 w 12192000"/>
              <a:gd name="csY7163" fmla="*/ 2598154 h 6858000"/>
              <a:gd name="csX7164" fmla="*/ 8630805 w 12192000"/>
              <a:gd name="csY7164" fmla="*/ 2563334 h 6858000"/>
              <a:gd name="csX7165" fmla="*/ 8714547 w 12192000"/>
              <a:gd name="csY7165" fmla="*/ 2563334 h 6858000"/>
              <a:gd name="csX7166" fmla="*/ 8680194 w 12192000"/>
              <a:gd name="csY7166" fmla="*/ 2598154 h 6858000"/>
              <a:gd name="csX7167" fmla="*/ 8714547 w 12192000"/>
              <a:gd name="csY7167" fmla="*/ 2632974 h 6858000"/>
              <a:gd name="csX7168" fmla="*/ 8748888 w 12192000"/>
              <a:gd name="csY7168" fmla="*/ 2598154 h 6858000"/>
              <a:gd name="csX7169" fmla="*/ 8714547 w 12192000"/>
              <a:gd name="csY7169" fmla="*/ 2563334 h 6858000"/>
              <a:gd name="csX7170" fmla="*/ 8798289 w 12192000"/>
              <a:gd name="csY7170" fmla="*/ 2563334 h 6858000"/>
              <a:gd name="csX7171" fmla="*/ 8763936 w 12192000"/>
              <a:gd name="csY7171" fmla="*/ 2598154 h 6858000"/>
              <a:gd name="csX7172" fmla="*/ 8798289 w 12192000"/>
              <a:gd name="csY7172" fmla="*/ 2632974 h 6858000"/>
              <a:gd name="csX7173" fmla="*/ 8832629 w 12192000"/>
              <a:gd name="csY7173" fmla="*/ 2598154 h 6858000"/>
              <a:gd name="csX7174" fmla="*/ 8798289 w 12192000"/>
              <a:gd name="csY7174" fmla="*/ 2563334 h 6858000"/>
              <a:gd name="csX7175" fmla="*/ 8882030 w 12192000"/>
              <a:gd name="csY7175" fmla="*/ 2563334 h 6858000"/>
              <a:gd name="csX7176" fmla="*/ 8847677 w 12192000"/>
              <a:gd name="csY7176" fmla="*/ 2598154 h 6858000"/>
              <a:gd name="csX7177" fmla="*/ 8882030 w 12192000"/>
              <a:gd name="csY7177" fmla="*/ 2632974 h 6858000"/>
              <a:gd name="csX7178" fmla="*/ 8916370 w 12192000"/>
              <a:gd name="csY7178" fmla="*/ 2598154 h 6858000"/>
              <a:gd name="csX7179" fmla="*/ 8882030 w 12192000"/>
              <a:gd name="csY7179" fmla="*/ 2563334 h 6858000"/>
              <a:gd name="csX7180" fmla="*/ 8965772 w 12192000"/>
              <a:gd name="csY7180" fmla="*/ 2563334 h 6858000"/>
              <a:gd name="csX7181" fmla="*/ 8931419 w 12192000"/>
              <a:gd name="csY7181" fmla="*/ 2598154 h 6858000"/>
              <a:gd name="csX7182" fmla="*/ 8965772 w 12192000"/>
              <a:gd name="csY7182" fmla="*/ 2632974 h 6858000"/>
              <a:gd name="csX7183" fmla="*/ 9000112 w 12192000"/>
              <a:gd name="csY7183" fmla="*/ 2598154 h 6858000"/>
              <a:gd name="csX7184" fmla="*/ 8965772 w 12192000"/>
              <a:gd name="csY7184" fmla="*/ 2563334 h 6858000"/>
              <a:gd name="csX7185" fmla="*/ 9049513 w 12192000"/>
              <a:gd name="csY7185" fmla="*/ 2563334 h 6858000"/>
              <a:gd name="csX7186" fmla="*/ 9015160 w 12192000"/>
              <a:gd name="csY7186" fmla="*/ 2598154 h 6858000"/>
              <a:gd name="csX7187" fmla="*/ 9049513 w 12192000"/>
              <a:gd name="csY7187" fmla="*/ 2632974 h 6858000"/>
              <a:gd name="csX7188" fmla="*/ 9083854 w 12192000"/>
              <a:gd name="csY7188" fmla="*/ 2598154 h 6858000"/>
              <a:gd name="csX7189" fmla="*/ 9049513 w 12192000"/>
              <a:gd name="csY7189" fmla="*/ 2563334 h 6858000"/>
              <a:gd name="csX7190" fmla="*/ 9133256 w 12192000"/>
              <a:gd name="csY7190" fmla="*/ 2563334 h 6858000"/>
              <a:gd name="csX7191" fmla="*/ 9098903 w 12192000"/>
              <a:gd name="csY7191" fmla="*/ 2598154 h 6858000"/>
              <a:gd name="csX7192" fmla="*/ 9133256 w 12192000"/>
              <a:gd name="csY7192" fmla="*/ 2632974 h 6858000"/>
              <a:gd name="csX7193" fmla="*/ 9167596 w 12192000"/>
              <a:gd name="csY7193" fmla="*/ 2598154 h 6858000"/>
              <a:gd name="csX7194" fmla="*/ 9133256 w 12192000"/>
              <a:gd name="csY7194" fmla="*/ 2563334 h 6858000"/>
              <a:gd name="csX7195" fmla="*/ 9216997 w 12192000"/>
              <a:gd name="csY7195" fmla="*/ 2563334 h 6858000"/>
              <a:gd name="csX7196" fmla="*/ 9182644 w 12192000"/>
              <a:gd name="csY7196" fmla="*/ 2598154 h 6858000"/>
              <a:gd name="csX7197" fmla="*/ 9216997 w 12192000"/>
              <a:gd name="csY7197" fmla="*/ 2632974 h 6858000"/>
              <a:gd name="csX7198" fmla="*/ 9251337 w 12192000"/>
              <a:gd name="csY7198" fmla="*/ 2598154 h 6858000"/>
              <a:gd name="csX7199" fmla="*/ 9216997 w 12192000"/>
              <a:gd name="csY7199" fmla="*/ 2563334 h 6858000"/>
              <a:gd name="csX7200" fmla="*/ 9300738 w 12192000"/>
              <a:gd name="csY7200" fmla="*/ 2563334 h 6858000"/>
              <a:gd name="csX7201" fmla="*/ 9266385 w 12192000"/>
              <a:gd name="csY7201" fmla="*/ 2598154 h 6858000"/>
              <a:gd name="csX7202" fmla="*/ 9300738 w 12192000"/>
              <a:gd name="csY7202" fmla="*/ 2632974 h 6858000"/>
              <a:gd name="csX7203" fmla="*/ 9335078 w 12192000"/>
              <a:gd name="csY7203" fmla="*/ 2598154 h 6858000"/>
              <a:gd name="csX7204" fmla="*/ 9300738 w 12192000"/>
              <a:gd name="csY7204" fmla="*/ 2563334 h 6858000"/>
              <a:gd name="csX7205" fmla="*/ 9384480 w 12192000"/>
              <a:gd name="csY7205" fmla="*/ 2563334 h 6858000"/>
              <a:gd name="csX7206" fmla="*/ 9350127 w 12192000"/>
              <a:gd name="csY7206" fmla="*/ 2598154 h 6858000"/>
              <a:gd name="csX7207" fmla="*/ 9384480 w 12192000"/>
              <a:gd name="csY7207" fmla="*/ 2632974 h 6858000"/>
              <a:gd name="csX7208" fmla="*/ 9418821 w 12192000"/>
              <a:gd name="csY7208" fmla="*/ 2598154 h 6858000"/>
              <a:gd name="csX7209" fmla="*/ 9384480 w 12192000"/>
              <a:gd name="csY7209" fmla="*/ 2563334 h 6858000"/>
              <a:gd name="csX7210" fmla="*/ 9468222 w 12192000"/>
              <a:gd name="csY7210" fmla="*/ 2563334 h 6858000"/>
              <a:gd name="csX7211" fmla="*/ 9433869 w 12192000"/>
              <a:gd name="csY7211" fmla="*/ 2598154 h 6858000"/>
              <a:gd name="csX7212" fmla="*/ 9468222 w 12192000"/>
              <a:gd name="csY7212" fmla="*/ 2632974 h 6858000"/>
              <a:gd name="csX7213" fmla="*/ 9502562 w 12192000"/>
              <a:gd name="csY7213" fmla="*/ 2598154 h 6858000"/>
              <a:gd name="csX7214" fmla="*/ 9468222 w 12192000"/>
              <a:gd name="csY7214" fmla="*/ 2563334 h 6858000"/>
              <a:gd name="csX7215" fmla="*/ 9551963 w 12192000"/>
              <a:gd name="csY7215" fmla="*/ 2563334 h 6858000"/>
              <a:gd name="csX7216" fmla="*/ 9517610 w 12192000"/>
              <a:gd name="csY7216" fmla="*/ 2598154 h 6858000"/>
              <a:gd name="csX7217" fmla="*/ 9551963 w 12192000"/>
              <a:gd name="csY7217" fmla="*/ 2632974 h 6858000"/>
              <a:gd name="csX7218" fmla="*/ 9586303 w 12192000"/>
              <a:gd name="csY7218" fmla="*/ 2598154 h 6858000"/>
              <a:gd name="csX7219" fmla="*/ 9551963 w 12192000"/>
              <a:gd name="csY7219" fmla="*/ 2563334 h 6858000"/>
              <a:gd name="csX7220" fmla="*/ 9635705 w 12192000"/>
              <a:gd name="csY7220" fmla="*/ 2563334 h 6858000"/>
              <a:gd name="csX7221" fmla="*/ 9601352 w 12192000"/>
              <a:gd name="csY7221" fmla="*/ 2598154 h 6858000"/>
              <a:gd name="csX7222" fmla="*/ 9635705 w 12192000"/>
              <a:gd name="csY7222" fmla="*/ 2632974 h 6858000"/>
              <a:gd name="csX7223" fmla="*/ 9670045 w 12192000"/>
              <a:gd name="csY7223" fmla="*/ 2598154 h 6858000"/>
              <a:gd name="csX7224" fmla="*/ 9635705 w 12192000"/>
              <a:gd name="csY7224" fmla="*/ 2563334 h 6858000"/>
              <a:gd name="csX7225" fmla="*/ 9719446 w 12192000"/>
              <a:gd name="csY7225" fmla="*/ 2563334 h 6858000"/>
              <a:gd name="csX7226" fmla="*/ 9685093 w 12192000"/>
              <a:gd name="csY7226" fmla="*/ 2598154 h 6858000"/>
              <a:gd name="csX7227" fmla="*/ 9719446 w 12192000"/>
              <a:gd name="csY7227" fmla="*/ 2632974 h 6858000"/>
              <a:gd name="csX7228" fmla="*/ 9753787 w 12192000"/>
              <a:gd name="csY7228" fmla="*/ 2598154 h 6858000"/>
              <a:gd name="csX7229" fmla="*/ 9719446 w 12192000"/>
              <a:gd name="csY7229" fmla="*/ 2563334 h 6858000"/>
              <a:gd name="csX7230" fmla="*/ 9803189 w 12192000"/>
              <a:gd name="csY7230" fmla="*/ 2563334 h 6858000"/>
              <a:gd name="csX7231" fmla="*/ 9768836 w 12192000"/>
              <a:gd name="csY7231" fmla="*/ 2598154 h 6858000"/>
              <a:gd name="csX7232" fmla="*/ 9803189 w 12192000"/>
              <a:gd name="csY7232" fmla="*/ 2632974 h 6858000"/>
              <a:gd name="csX7233" fmla="*/ 9837529 w 12192000"/>
              <a:gd name="csY7233" fmla="*/ 2598154 h 6858000"/>
              <a:gd name="csX7234" fmla="*/ 9803189 w 12192000"/>
              <a:gd name="csY7234" fmla="*/ 2563334 h 6858000"/>
              <a:gd name="csX7235" fmla="*/ 10054413 w 12192000"/>
              <a:gd name="csY7235" fmla="*/ 2563334 h 6858000"/>
              <a:gd name="csX7236" fmla="*/ 10020060 w 12192000"/>
              <a:gd name="csY7236" fmla="*/ 2598154 h 6858000"/>
              <a:gd name="csX7237" fmla="*/ 10054413 w 12192000"/>
              <a:gd name="csY7237" fmla="*/ 2632974 h 6858000"/>
              <a:gd name="csX7238" fmla="*/ 10088754 w 12192000"/>
              <a:gd name="csY7238" fmla="*/ 2598154 h 6858000"/>
              <a:gd name="csX7239" fmla="*/ 10054413 w 12192000"/>
              <a:gd name="csY7239" fmla="*/ 2563334 h 6858000"/>
              <a:gd name="csX7240" fmla="*/ 10138155 w 12192000"/>
              <a:gd name="csY7240" fmla="*/ 2563334 h 6858000"/>
              <a:gd name="csX7241" fmla="*/ 10103802 w 12192000"/>
              <a:gd name="csY7241" fmla="*/ 2598154 h 6858000"/>
              <a:gd name="csX7242" fmla="*/ 10138155 w 12192000"/>
              <a:gd name="csY7242" fmla="*/ 2632974 h 6858000"/>
              <a:gd name="csX7243" fmla="*/ 10172495 w 12192000"/>
              <a:gd name="csY7243" fmla="*/ 2598154 h 6858000"/>
              <a:gd name="csX7244" fmla="*/ 10138155 w 12192000"/>
              <a:gd name="csY7244" fmla="*/ 2563334 h 6858000"/>
              <a:gd name="csX7245" fmla="*/ 2266416 w 12192000"/>
              <a:gd name="csY7245" fmla="*/ 2648198 h 6858000"/>
              <a:gd name="csX7246" fmla="*/ 2232069 w 12192000"/>
              <a:gd name="csY7246" fmla="*/ 2683019 h 6858000"/>
              <a:gd name="csX7247" fmla="*/ 2266416 w 12192000"/>
              <a:gd name="csY7247" fmla="*/ 2717839 h 6858000"/>
              <a:gd name="csX7248" fmla="*/ 2300762 w 12192000"/>
              <a:gd name="csY7248" fmla="*/ 2683019 h 6858000"/>
              <a:gd name="csX7249" fmla="*/ 2266416 w 12192000"/>
              <a:gd name="csY7249" fmla="*/ 2648198 h 6858000"/>
              <a:gd name="csX7250" fmla="*/ 2350151 w 12192000"/>
              <a:gd name="csY7250" fmla="*/ 2648198 h 6858000"/>
              <a:gd name="csX7251" fmla="*/ 2315804 w 12192000"/>
              <a:gd name="csY7251" fmla="*/ 2683019 h 6858000"/>
              <a:gd name="csX7252" fmla="*/ 2350151 w 12192000"/>
              <a:gd name="csY7252" fmla="*/ 2717839 h 6858000"/>
              <a:gd name="csX7253" fmla="*/ 2384498 w 12192000"/>
              <a:gd name="csY7253" fmla="*/ 2683019 h 6858000"/>
              <a:gd name="csX7254" fmla="*/ 2350151 w 12192000"/>
              <a:gd name="csY7254" fmla="*/ 2648198 h 6858000"/>
              <a:gd name="csX7255" fmla="*/ 2433893 w 12192000"/>
              <a:gd name="csY7255" fmla="*/ 2648198 h 6858000"/>
              <a:gd name="csX7256" fmla="*/ 2399546 w 12192000"/>
              <a:gd name="csY7256" fmla="*/ 2683019 h 6858000"/>
              <a:gd name="csX7257" fmla="*/ 2433893 w 12192000"/>
              <a:gd name="csY7257" fmla="*/ 2717839 h 6858000"/>
              <a:gd name="csX7258" fmla="*/ 2468240 w 12192000"/>
              <a:gd name="csY7258" fmla="*/ 2683019 h 6858000"/>
              <a:gd name="csX7259" fmla="*/ 2433893 w 12192000"/>
              <a:gd name="csY7259" fmla="*/ 2648198 h 6858000"/>
              <a:gd name="csX7260" fmla="*/ 2517634 w 12192000"/>
              <a:gd name="csY7260" fmla="*/ 2648198 h 6858000"/>
              <a:gd name="csX7261" fmla="*/ 2483288 w 12192000"/>
              <a:gd name="csY7261" fmla="*/ 2683019 h 6858000"/>
              <a:gd name="csX7262" fmla="*/ 2517634 w 12192000"/>
              <a:gd name="csY7262" fmla="*/ 2717839 h 6858000"/>
              <a:gd name="csX7263" fmla="*/ 2551981 w 12192000"/>
              <a:gd name="csY7263" fmla="*/ 2683019 h 6858000"/>
              <a:gd name="csX7264" fmla="*/ 2517634 w 12192000"/>
              <a:gd name="csY7264" fmla="*/ 2648198 h 6858000"/>
              <a:gd name="csX7265" fmla="*/ 2601376 w 12192000"/>
              <a:gd name="csY7265" fmla="*/ 2648198 h 6858000"/>
              <a:gd name="csX7266" fmla="*/ 2567029 w 12192000"/>
              <a:gd name="csY7266" fmla="*/ 2683019 h 6858000"/>
              <a:gd name="csX7267" fmla="*/ 2601376 w 12192000"/>
              <a:gd name="csY7267" fmla="*/ 2717839 h 6858000"/>
              <a:gd name="csX7268" fmla="*/ 2635722 w 12192000"/>
              <a:gd name="csY7268" fmla="*/ 2683019 h 6858000"/>
              <a:gd name="csX7269" fmla="*/ 2601376 w 12192000"/>
              <a:gd name="csY7269" fmla="*/ 2648198 h 6858000"/>
              <a:gd name="csX7270" fmla="*/ 2685118 w 12192000"/>
              <a:gd name="csY7270" fmla="*/ 2648198 h 6858000"/>
              <a:gd name="csX7271" fmla="*/ 2650771 w 12192000"/>
              <a:gd name="csY7271" fmla="*/ 2683019 h 6858000"/>
              <a:gd name="csX7272" fmla="*/ 2685118 w 12192000"/>
              <a:gd name="csY7272" fmla="*/ 2717839 h 6858000"/>
              <a:gd name="csX7273" fmla="*/ 2719465 w 12192000"/>
              <a:gd name="csY7273" fmla="*/ 2683019 h 6858000"/>
              <a:gd name="csX7274" fmla="*/ 2685118 w 12192000"/>
              <a:gd name="csY7274" fmla="*/ 2648198 h 6858000"/>
              <a:gd name="csX7275" fmla="*/ 2768859 w 12192000"/>
              <a:gd name="csY7275" fmla="*/ 2648198 h 6858000"/>
              <a:gd name="csX7276" fmla="*/ 2734512 w 12192000"/>
              <a:gd name="csY7276" fmla="*/ 2683019 h 6858000"/>
              <a:gd name="csX7277" fmla="*/ 2768859 w 12192000"/>
              <a:gd name="csY7277" fmla="*/ 2717839 h 6858000"/>
              <a:gd name="csX7278" fmla="*/ 2803206 w 12192000"/>
              <a:gd name="csY7278" fmla="*/ 2683019 h 6858000"/>
              <a:gd name="csX7279" fmla="*/ 2768859 w 12192000"/>
              <a:gd name="csY7279" fmla="*/ 2648198 h 6858000"/>
              <a:gd name="csX7280" fmla="*/ 2852600 w 12192000"/>
              <a:gd name="csY7280" fmla="*/ 2648198 h 6858000"/>
              <a:gd name="csX7281" fmla="*/ 2818254 w 12192000"/>
              <a:gd name="csY7281" fmla="*/ 2683019 h 6858000"/>
              <a:gd name="csX7282" fmla="*/ 2852600 w 12192000"/>
              <a:gd name="csY7282" fmla="*/ 2717839 h 6858000"/>
              <a:gd name="csX7283" fmla="*/ 2886947 w 12192000"/>
              <a:gd name="csY7283" fmla="*/ 2683019 h 6858000"/>
              <a:gd name="csX7284" fmla="*/ 2852600 w 12192000"/>
              <a:gd name="csY7284" fmla="*/ 2648198 h 6858000"/>
              <a:gd name="csX7285" fmla="*/ 2936343 w 12192000"/>
              <a:gd name="csY7285" fmla="*/ 2648198 h 6858000"/>
              <a:gd name="csX7286" fmla="*/ 2901996 w 12192000"/>
              <a:gd name="csY7286" fmla="*/ 2683019 h 6858000"/>
              <a:gd name="csX7287" fmla="*/ 2936343 w 12192000"/>
              <a:gd name="csY7287" fmla="*/ 2717839 h 6858000"/>
              <a:gd name="csX7288" fmla="*/ 2970689 w 12192000"/>
              <a:gd name="csY7288" fmla="*/ 2683019 h 6858000"/>
              <a:gd name="csX7289" fmla="*/ 2936343 w 12192000"/>
              <a:gd name="csY7289" fmla="*/ 2648198 h 6858000"/>
              <a:gd name="csX7290" fmla="*/ 3020084 w 12192000"/>
              <a:gd name="csY7290" fmla="*/ 2648198 h 6858000"/>
              <a:gd name="csX7291" fmla="*/ 2985737 w 12192000"/>
              <a:gd name="csY7291" fmla="*/ 2683019 h 6858000"/>
              <a:gd name="csX7292" fmla="*/ 3020084 w 12192000"/>
              <a:gd name="csY7292" fmla="*/ 2717839 h 6858000"/>
              <a:gd name="csX7293" fmla="*/ 3054431 w 12192000"/>
              <a:gd name="csY7293" fmla="*/ 2683019 h 6858000"/>
              <a:gd name="csX7294" fmla="*/ 3020084 w 12192000"/>
              <a:gd name="csY7294" fmla="*/ 2648198 h 6858000"/>
              <a:gd name="csX7295" fmla="*/ 3103826 w 12192000"/>
              <a:gd name="csY7295" fmla="*/ 2648198 h 6858000"/>
              <a:gd name="csX7296" fmla="*/ 3069479 w 12192000"/>
              <a:gd name="csY7296" fmla="*/ 2683019 h 6858000"/>
              <a:gd name="csX7297" fmla="*/ 3103826 w 12192000"/>
              <a:gd name="csY7297" fmla="*/ 2717839 h 6858000"/>
              <a:gd name="csX7298" fmla="*/ 3138173 w 12192000"/>
              <a:gd name="csY7298" fmla="*/ 2683019 h 6858000"/>
              <a:gd name="csX7299" fmla="*/ 3103826 w 12192000"/>
              <a:gd name="csY7299" fmla="*/ 2648198 h 6858000"/>
              <a:gd name="csX7300" fmla="*/ 3187567 w 12192000"/>
              <a:gd name="csY7300" fmla="*/ 2648198 h 6858000"/>
              <a:gd name="csX7301" fmla="*/ 3153221 w 12192000"/>
              <a:gd name="csY7301" fmla="*/ 2683019 h 6858000"/>
              <a:gd name="csX7302" fmla="*/ 3187567 w 12192000"/>
              <a:gd name="csY7302" fmla="*/ 2717839 h 6858000"/>
              <a:gd name="csX7303" fmla="*/ 3221914 w 12192000"/>
              <a:gd name="csY7303" fmla="*/ 2683019 h 6858000"/>
              <a:gd name="csX7304" fmla="*/ 3187567 w 12192000"/>
              <a:gd name="csY7304" fmla="*/ 2648198 h 6858000"/>
              <a:gd name="csX7305" fmla="*/ 3271309 w 12192000"/>
              <a:gd name="csY7305" fmla="*/ 2648198 h 6858000"/>
              <a:gd name="csX7306" fmla="*/ 3236962 w 12192000"/>
              <a:gd name="csY7306" fmla="*/ 2683019 h 6858000"/>
              <a:gd name="csX7307" fmla="*/ 3271309 w 12192000"/>
              <a:gd name="csY7307" fmla="*/ 2717839 h 6858000"/>
              <a:gd name="csX7308" fmla="*/ 3305655 w 12192000"/>
              <a:gd name="csY7308" fmla="*/ 2683019 h 6858000"/>
              <a:gd name="csX7309" fmla="*/ 3271309 w 12192000"/>
              <a:gd name="csY7309" fmla="*/ 2648198 h 6858000"/>
              <a:gd name="csX7310" fmla="*/ 3438792 w 12192000"/>
              <a:gd name="csY7310" fmla="*/ 2648198 h 6858000"/>
              <a:gd name="csX7311" fmla="*/ 3404445 w 12192000"/>
              <a:gd name="csY7311" fmla="*/ 2683019 h 6858000"/>
              <a:gd name="csX7312" fmla="*/ 3438792 w 12192000"/>
              <a:gd name="csY7312" fmla="*/ 2717839 h 6858000"/>
              <a:gd name="csX7313" fmla="*/ 3473139 w 12192000"/>
              <a:gd name="csY7313" fmla="*/ 2683019 h 6858000"/>
              <a:gd name="csX7314" fmla="*/ 3438792 w 12192000"/>
              <a:gd name="csY7314" fmla="*/ 2648198 h 6858000"/>
              <a:gd name="csX7315" fmla="*/ 3606276 w 12192000"/>
              <a:gd name="csY7315" fmla="*/ 2648198 h 6858000"/>
              <a:gd name="csX7316" fmla="*/ 3571929 w 12192000"/>
              <a:gd name="csY7316" fmla="*/ 2683019 h 6858000"/>
              <a:gd name="csX7317" fmla="*/ 3606276 w 12192000"/>
              <a:gd name="csY7317" fmla="*/ 2717839 h 6858000"/>
              <a:gd name="csX7318" fmla="*/ 3640622 w 12192000"/>
              <a:gd name="csY7318" fmla="*/ 2683019 h 6858000"/>
              <a:gd name="csX7319" fmla="*/ 3606276 w 12192000"/>
              <a:gd name="csY7319" fmla="*/ 2648198 h 6858000"/>
              <a:gd name="csX7320" fmla="*/ 3690017 w 12192000"/>
              <a:gd name="csY7320" fmla="*/ 2648198 h 6858000"/>
              <a:gd name="csX7321" fmla="*/ 3655670 w 12192000"/>
              <a:gd name="csY7321" fmla="*/ 2683019 h 6858000"/>
              <a:gd name="csX7322" fmla="*/ 3690017 w 12192000"/>
              <a:gd name="csY7322" fmla="*/ 2717839 h 6858000"/>
              <a:gd name="csX7323" fmla="*/ 3724364 w 12192000"/>
              <a:gd name="csY7323" fmla="*/ 2683019 h 6858000"/>
              <a:gd name="csX7324" fmla="*/ 3690017 w 12192000"/>
              <a:gd name="csY7324" fmla="*/ 2648198 h 6858000"/>
              <a:gd name="csX7325" fmla="*/ 3773759 w 12192000"/>
              <a:gd name="csY7325" fmla="*/ 2648198 h 6858000"/>
              <a:gd name="csX7326" fmla="*/ 3739412 w 12192000"/>
              <a:gd name="csY7326" fmla="*/ 2683019 h 6858000"/>
              <a:gd name="csX7327" fmla="*/ 3773759 w 12192000"/>
              <a:gd name="csY7327" fmla="*/ 2717839 h 6858000"/>
              <a:gd name="csX7328" fmla="*/ 3808106 w 12192000"/>
              <a:gd name="csY7328" fmla="*/ 2683019 h 6858000"/>
              <a:gd name="csX7329" fmla="*/ 3773759 w 12192000"/>
              <a:gd name="csY7329" fmla="*/ 2648198 h 6858000"/>
              <a:gd name="csX7330" fmla="*/ 3857500 w 12192000"/>
              <a:gd name="csY7330" fmla="*/ 2648198 h 6858000"/>
              <a:gd name="csX7331" fmla="*/ 3823154 w 12192000"/>
              <a:gd name="csY7331" fmla="*/ 2683019 h 6858000"/>
              <a:gd name="csX7332" fmla="*/ 3857500 w 12192000"/>
              <a:gd name="csY7332" fmla="*/ 2717839 h 6858000"/>
              <a:gd name="csX7333" fmla="*/ 3891847 w 12192000"/>
              <a:gd name="csY7333" fmla="*/ 2683019 h 6858000"/>
              <a:gd name="csX7334" fmla="*/ 3857500 w 12192000"/>
              <a:gd name="csY7334" fmla="*/ 2648198 h 6858000"/>
              <a:gd name="csX7335" fmla="*/ 3941242 w 12192000"/>
              <a:gd name="csY7335" fmla="*/ 2648198 h 6858000"/>
              <a:gd name="csX7336" fmla="*/ 3906895 w 12192000"/>
              <a:gd name="csY7336" fmla="*/ 2683019 h 6858000"/>
              <a:gd name="csX7337" fmla="*/ 3941242 w 12192000"/>
              <a:gd name="csY7337" fmla="*/ 2717839 h 6858000"/>
              <a:gd name="csX7338" fmla="*/ 3975588 w 12192000"/>
              <a:gd name="csY7338" fmla="*/ 2683019 h 6858000"/>
              <a:gd name="csX7339" fmla="*/ 3941242 w 12192000"/>
              <a:gd name="csY7339" fmla="*/ 2648198 h 6858000"/>
              <a:gd name="csX7340" fmla="*/ 4108732 w 12192000"/>
              <a:gd name="csY7340" fmla="*/ 2648198 h 6858000"/>
              <a:gd name="csX7341" fmla="*/ 4074386 w 12192000"/>
              <a:gd name="csY7341" fmla="*/ 2683019 h 6858000"/>
              <a:gd name="csX7342" fmla="*/ 4108732 w 12192000"/>
              <a:gd name="csY7342" fmla="*/ 2717839 h 6858000"/>
              <a:gd name="csX7343" fmla="*/ 4143079 w 12192000"/>
              <a:gd name="csY7343" fmla="*/ 2683019 h 6858000"/>
              <a:gd name="csX7344" fmla="*/ 4108732 w 12192000"/>
              <a:gd name="csY7344" fmla="*/ 2648198 h 6858000"/>
              <a:gd name="csX7345" fmla="*/ 5783564 w 12192000"/>
              <a:gd name="csY7345" fmla="*/ 2648198 h 6858000"/>
              <a:gd name="csX7346" fmla="*/ 5749218 w 12192000"/>
              <a:gd name="csY7346" fmla="*/ 2683019 h 6858000"/>
              <a:gd name="csX7347" fmla="*/ 5783564 w 12192000"/>
              <a:gd name="csY7347" fmla="*/ 2717839 h 6858000"/>
              <a:gd name="csX7348" fmla="*/ 5817911 w 12192000"/>
              <a:gd name="csY7348" fmla="*/ 2683019 h 6858000"/>
              <a:gd name="csX7349" fmla="*/ 5783564 w 12192000"/>
              <a:gd name="csY7349" fmla="*/ 2648198 h 6858000"/>
              <a:gd name="csX7350" fmla="*/ 5867305 w 12192000"/>
              <a:gd name="csY7350" fmla="*/ 2648198 h 6858000"/>
              <a:gd name="csX7351" fmla="*/ 5832959 w 12192000"/>
              <a:gd name="csY7351" fmla="*/ 2683019 h 6858000"/>
              <a:gd name="csX7352" fmla="*/ 5867305 w 12192000"/>
              <a:gd name="csY7352" fmla="*/ 2717839 h 6858000"/>
              <a:gd name="csX7353" fmla="*/ 5901652 w 12192000"/>
              <a:gd name="csY7353" fmla="*/ 2683019 h 6858000"/>
              <a:gd name="csX7354" fmla="*/ 5867305 w 12192000"/>
              <a:gd name="csY7354" fmla="*/ 2648198 h 6858000"/>
              <a:gd name="csX7355" fmla="*/ 5951048 w 12192000"/>
              <a:gd name="csY7355" fmla="*/ 2648198 h 6858000"/>
              <a:gd name="csX7356" fmla="*/ 5916701 w 12192000"/>
              <a:gd name="csY7356" fmla="*/ 2683019 h 6858000"/>
              <a:gd name="csX7357" fmla="*/ 5951048 w 12192000"/>
              <a:gd name="csY7357" fmla="*/ 2717839 h 6858000"/>
              <a:gd name="csX7358" fmla="*/ 5985394 w 12192000"/>
              <a:gd name="csY7358" fmla="*/ 2683019 h 6858000"/>
              <a:gd name="csX7359" fmla="*/ 5951048 w 12192000"/>
              <a:gd name="csY7359" fmla="*/ 2648198 h 6858000"/>
              <a:gd name="csX7360" fmla="*/ 6034789 w 12192000"/>
              <a:gd name="csY7360" fmla="*/ 2648198 h 6858000"/>
              <a:gd name="csX7361" fmla="*/ 6000442 w 12192000"/>
              <a:gd name="csY7361" fmla="*/ 2683019 h 6858000"/>
              <a:gd name="csX7362" fmla="*/ 6034789 w 12192000"/>
              <a:gd name="csY7362" fmla="*/ 2717839 h 6858000"/>
              <a:gd name="csX7363" fmla="*/ 6069136 w 12192000"/>
              <a:gd name="csY7363" fmla="*/ 2683019 h 6858000"/>
              <a:gd name="csX7364" fmla="*/ 6034789 w 12192000"/>
              <a:gd name="csY7364" fmla="*/ 2648198 h 6858000"/>
              <a:gd name="csX7365" fmla="*/ 6118531 w 12192000"/>
              <a:gd name="csY7365" fmla="*/ 2648198 h 6858000"/>
              <a:gd name="csX7366" fmla="*/ 6084177 w 12192000"/>
              <a:gd name="csY7366" fmla="*/ 2683019 h 6858000"/>
              <a:gd name="csX7367" fmla="*/ 6118531 w 12192000"/>
              <a:gd name="csY7367" fmla="*/ 2717839 h 6858000"/>
              <a:gd name="csX7368" fmla="*/ 6152871 w 12192000"/>
              <a:gd name="csY7368" fmla="*/ 2683019 h 6858000"/>
              <a:gd name="csX7369" fmla="*/ 6118531 w 12192000"/>
              <a:gd name="csY7369" fmla="*/ 2648198 h 6858000"/>
              <a:gd name="csX7370" fmla="*/ 6202273 w 12192000"/>
              <a:gd name="csY7370" fmla="*/ 2648198 h 6858000"/>
              <a:gd name="csX7371" fmla="*/ 6167920 w 12192000"/>
              <a:gd name="csY7371" fmla="*/ 2683019 h 6858000"/>
              <a:gd name="csX7372" fmla="*/ 6202273 w 12192000"/>
              <a:gd name="csY7372" fmla="*/ 2717839 h 6858000"/>
              <a:gd name="csX7373" fmla="*/ 6236613 w 12192000"/>
              <a:gd name="csY7373" fmla="*/ 2683019 h 6858000"/>
              <a:gd name="csX7374" fmla="*/ 6202273 w 12192000"/>
              <a:gd name="csY7374" fmla="*/ 2648198 h 6858000"/>
              <a:gd name="csX7375" fmla="*/ 6286014 w 12192000"/>
              <a:gd name="csY7375" fmla="*/ 2648198 h 6858000"/>
              <a:gd name="csX7376" fmla="*/ 6251661 w 12192000"/>
              <a:gd name="csY7376" fmla="*/ 2683019 h 6858000"/>
              <a:gd name="csX7377" fmla="*/ 6286014 w 12192000"/>
              <a:gd name="csY7377" fmla="*/ 2717839 h 6858000"/>
              <a:gd name="csX7378" fmla="*/ 6320354 w 12192000"/>
              <a:gd name="csY7378" fmla="*/ 2683019 h 6858000"/>
              <a:gd name="csX7379" fmla="*/ 6286014 w 12192000"/>
              <a:gd name="csY7379" fmla="*/ 2648198 h 6858000"/>
              <a:gd name="csX7380" fmla="*/ 6369755 w 12192000"/>
              <a:gd name="csY7380" fmla="*/ 2648198 h 6858000"/>
              <a:gd name="csX7381" fmla="*/ 6335402 w 12192000"/>
              <a:gd name="csY7381" fmla="*/ 2683019 h 6858000"/>
              <a:gd name="csX7382" fmla="*/ 6369755 w 12192000"/>
              <a:gd name="csY7382" fmla="*/ 2717839 h 6858000"/>
              <a:gd name="csX7383" fmla="*/ 6404096 w 12192000"/>
              <a:gd name="csY7383" fmla="*/ 2683019 h 6858000"/>
              <a:gd name="csX7384" fmla="*/ 6369755 w 12192000"/>
              <a:gd name="csY7384" fmla="*/ 2648198 h 6858000"/>
              <a:gd name="csX7385" fmla="*/ 6453498 w 12192000"/>
              <a:gd name="csY7385" fmla="*/ 2648198 h 6858000"/>
              <a:gd name="csX7386" fmla="*/ 6419144 w 12192000"/>
              <a:gd name="csY7386" fmla="*/ 2683019 h 6858000"/>
              <a:gd name="csX7387" fmla="*/ 6453498 w 12192000"/>
              <a:gd name="csY7387" fmla="*/ 2717839 h 6858000"/>
              <a:gd name="csX7388" fmla="*/ 6487838 w 12192000"/>
              <a:gd name="csY7388" fmla="*/ 2683019 h 6858000"/>
              <a:gd name="csX7389" fmla="*/ 6453498 w 12192000"/>
              <a:gd name="csY7389" fmla="*/ 2648198 h 6858000"/>
              <a:gd name="csX7390" fmla="*/ 6537239 w 12192000"/>
              <a:gd name="csY7390" fmla="*/ 2648198 h 6858000"/>
              <a:gd name="csX7391" fmla="*/ 6502886 w 12192000"/>
              <a:gd name="csY7391" fmla="*/ 2683019 h 6858000"/>
              <a:gd name="csX7392" fmla="*/ 6537239 w 12192000"/>
              <a:gd name="csY7392" fmla="*/ 2717839 h 6858000"/>
              <a:gd name="csX7393" fmla="*/ 6571579 w 12192000"/>
              <a:gd name="csY7393" fmla="*/ 2683019 h 6858000"/>
              <a:gd name="csX7394" fmla="*/ 6537239 w 12192000"/>
              <a:gd name="csY7394" fmla="*/ 2648198 h 6858000"/>
              <a:gd name="csX7395" fmla="*/ 6620980 w 12192000"/>
              <a:gd name="csY7395" fmla="*/ 2648198 h 6858000"/>
              <a:gd name="csX7396" fmla="*/ 6586627 w 12192000"/>
              <a:gd name="csY7396" fmla="*/ 2683019 h 6858000"/>
              <a:gd name="csX7397" fmla="*/ 6620980 w 12192000"/>
              <a:gd name="csY7397" fmla="*/ 2717839 h 6858000"/>
              <a:gd name="csX7398" fmla="*/ 6655320 w 12192000"/>
              <a:gd name="csY7398" fmla="*/ 2683019 h 6858000"/>
              <a:gd name="csX7399" fmla="*/ 6620980 w 12192000"/>
              <a:gd name="csY7399" fmla="*/ 2648198 h 6858000"/>
              <a:gd name="csX7400" fmla="*/ 6704722 w 12192000"/>
              <a:gd name="csY7400" fmla="*/ 2648198 h 6858000"/>
              <a:gd name="csX7401" fmla="*/ 6670369 w 12192000"/>
              <a:gd name="csY7401" fmla="*/ 2683019 h 6858000"/>
              <a:gd name="csX7402" fmla="*/ 6704722 w 12192000"/>
              <a:gd name="csY7402" fmla="*/ 2717839 h 6858000"/>
              <a:gd name="csX7403" fmla="*/ 6739063 w 12192000"/>
              <a:gd name="csY7403" fmla="*/ 2683019 h 6858000"/>
              <a:gd name="csX7404" fmla="*/ 6704722 w 12192000"/>
              <a:gd name="csY7404" fmla="*/ 2648198 h 6858000"/>
              <a:gd name="csX7405" fmla="*/ 6872206 w 12192000"/>
              <a:gd name="csY7405" fmla="*/ 2648198 h 6858000"/>
              <a:gd name="csX7406" fmla="*/ 6837853 w 12192000"/>
              <a:gd name="csY7406" fmla="*/ 2683019 h 6858000"/>
              <a:gd name="csX7407" fmla="*/ 6872206 w 12192000"/>
              <a:gd name="csY7407" fmla="*/ 2717839 h 6858000"/>
              <a:gd name="csX7408" fmla="*/ 6906546 w 12192000"/>
              <a:gd name="csY7408" fmla="*/ 2683019 h 6858000"/>
              <a:gd name="csX7409" fmla="*/ 6872206 w 12192000"/>
              <a:gd name="csY7409" fmla="*/ 2648198 h 6858000"/>
              <a:gd name="csX7410" fmla="*/ 7039688 w 12192000"/>
              <a:gd name="csY7410" fmla="*/ 2648198 h 6858000"/>
              <a:gd name="csX7411" fmla="*/ 7005335 w 12192000"/>
              <a:gd name="csY7411" fmla="*/ 2683019 h 6858000"/>
              <a:gd name="csX7412" fmla="*/ 7039688 w 12192000"/>
              <a:gd name="csY7412" fmla="*/ 2717839 h 6858000"/>
              <a:gd name="csX7413" fmla="*/ 7074029 w 12192000"/>
              <a:gd name="csY7413" fmla="*/ 2683019 h 6858000"/>
              <a:gd name="csX7414" fmla="*/ 7039688 w 12192000"/>
              <a:gd name="csY7414" fmla="*/ 2648198 h 6858000"/>
              <a:gd name="csX7415" fmla="*/ 7123456 w 12192000"/>
              <a:gd name="csY7415" fmla="*/ 2648198 h 6858000"/>
              <a:gd name="csX7416" fmla="*/ 7089103 w 12192000"/>
              <a:gd name="csY7416" fmla="*/ 2683019 h 6858000"/>
              <a:gd name="csX7417" fmla="*/ 7123456 w 12192000"/>
              <a:gd name="csY7417" fmla="*/ 2717839 h 6858000"/>
              <a:gd name="csX7418" fmla="*/ 7157796 w 12192000"/>
              <a:gd name="csY7418" fmla="*/ 2683019 h 6858000"/>
              <a:gd name="csX7419" fmla="*/ 7123456 w 12192000"/>
              <a:gd name="csY7419" fmla="*/ 2648198 h 6858000"/>
              <a:gd name="csX7420" fmla="*/ 7207198 w 12192000"/>
              <a:gd name="csY7420" fmla="*/ 2648198 h 6858000"/>
              <a:gd name="csX7421" fmla="*/ 7172845 w 12192000"/>
              <a:gd name="csY7421" fmla="*/ 2683019 h 6858000"/>
              <a:gd name="csX7422" fmla="*/ 7207198 w 12192000"/>
              <a:gd name="csY7422" fmla="*/ 2717839 h 6858000"/>
              <a:gd name="csX7423" fmla="*/ 7241538 w 12192000"/>
              <a:gd name="csY7423" fmla="*/ 2683019 h 6858000"/>
              <a:gd name="csX7424" fmla="*/ 7207198 w 12192000"/>
              <a:gd name="csY7424" fmla="*/ 2648198 h 6858000"/>
              <a:gd name="csX7425" fmla="*/ 7458423 w 12192000"/>
              <a:gd name="csY7425" fmla="*/ 2648198 h 6858000"/>
              <a:gd name="csX7426" fmla="*/ 7424070 w 12192000"/>
              <a:gd name="csY7426" fmla="*/ 2683019 h 6858000"/>
              <a:gd name="csX7427" fmla="*/ 7458423 w 12192000"/>
              <a:gd name="csY7427" fmla="*/ 2717839 h 6858000"/>
              <a:gd name="csX7428" fmla="*/ 7492763 w 12192000"/>
              <a:gd name="csY7428" fmla="*/ 2683019 h 6858000"/>
              <a:gd name="csX7429" fmla="*/ 7458423 w 12192000"/>
              <a:gd name="csY7429" fmla="*/ 2648198 h 6858000"/>
              <a:gd name="csX7430" fmla="*/ 7542164 w 12192000"/>
              <a:gd name="csY7430" fmla="*/ 2648198 h 6858000"/>
              <a:gd name="csX7431" fmla="*/ 7507811 w 12192000"/>
              <a:gd name="csY7431" fmla="*/ 2683019 h 6858000"/>
              <a:gd name="csX7432" fmla="*/ 7542164 w 12192000"/>
              <a:gd name="csY7432" fmla="*/ 2717839 h 6858000"/>
              <a:gd name="csX7433" fmla="*/ 7576504 w 12192000"/>
              <a:gd name="csY7433" fmla="*/ 2683019 h 6858000"/>
              <a:gd name="csX7434" fmla="*/ 7542164 w 12192000"/>
              <a:gd name="csY7434" fmla="*/ 2648198 h 6858000"/>
              <a:gd name="csX7435" fmla="*/ 7625906 w 12192000"/>
              <a:gd name="csY7435" fmla="*/ 2648198 h 6858000"/>
              <a:gd name="csX7436" fmla="*/ 7591553 w 12192000"/>
              <a:gd name="csY7436" fmla="*/ 2683019 h 6858000"/>
              <a:gd name="csX7437" fmla="*/ 7625906 w 12192000"/>
              <a:gd name="csY7437" fmla="*/ 2717839 h 6858000"/>
              <a:gd name="csX7438" fmla="*/ 7660246 w 12192000"/>
              <a:gd name="csY7438" fmla="*/ 2683019 h 6858000"/>
              <a:gd name="csX7439" fmla="*/ 7625906 w 12192000"/>
              <a:gd name="csY7439" fmla="*/ 2648198 h 6858000"/>
              <a:gd name="csX7440" fmla="*/ 7709647 w 12192000"/>
              <a:gd name="csY7440" fmla="*/ 2648198 h 6858000"/>
              <a:gd name="csX7441" fmla="*/ 7675294 w 12192000"/>
              <a:gd name="csY7441" fmla="*/ 2683019 h 6858000"/>
              <a:gd name="csX7442" fmla="*/ 7709647 w 12192000"/>
              <a:gd name="csY7442" fmla="*/ 2717839 h 6858000"/>
              <a:gd name="csX7443" fmla="*/ 7743988 w 12192000"/>
              <a:gd name="csY7443" fmla="*/ 2683019 h 6858000"/>
              <a:gd name="csX7444" fmla="*/ 7709647 w 12192000"/>
              <a:gd name="csY7444" fmla="*/ 2648198 h 6858000"/>
              <a:gd name="csX7445" fmla="*/ 7793389 w 12192000"/>
              <a:gd name="csY7445" fmla="*/ 2648198 h 6858000"/>
              <a:gd name="csX7446" fmla="*/ 7759036 w 12192000"/>
              <a:gd name="csY7446" fmla="*/ 2683019 h 6858000"/>
              <a:gd name="csX7447" fmla="*/ 7793389 w 12192000"/>
              <a:gd name="csY7447" fmla="*/ 2717839 h 6858000"/>
              <a:gd name="csX7448" fmla="*/ 7827729 w 12192000"/>
              <a:gd name="csY7448" fmla="*/ 2683019 h 6858000"/>
              <a:gd name="csX7449" fmla="*/ 7793389 w 12192000"/>
              <a:gd name="csY7449" fmla="*/ 2648198 h 6858000"/>
              <a:gd name="csX7450" fmla="*/ 7877131 w 12192000"/>
              <a:gd name="csY7450" fmla="*/ 2648198 h 6858000"/>
              <a:gd name="csX7451" fmla="*/ 7842778 w 12192000"/>
              <a:gd name="csY7451" fmla="*/ 2683019 h 6858000"/>
              <a:gd name="csX7452" fmla="*/ 7877131 w 12192000"/>
              <a:gd name="csY7452" fmla="*/ 2717839 h 6858000"/>
              <a:gd name="csX7453" fmla="*/ 7911471 w 12192000"/>
              <a:gd name="csY7453" fmla="*/ 2683019 h 6858000"/>
              <a:gd name="csX7454" fmla="*/ 7877131 w 12192000"/>
              <a:gd name="csY7454" fmla="*/ 2648198 h 6858000"/>
              <a:gd name="csX7455" fmla="*/ 7960872 w 12192000"/>
              <a:gd name="csY7455" fmla="*/ 2648198 h 6858000"/>
              <a:gd name="csX7456" fmla="*/ 7926519 w 12192000"/>
              <a:gd name="csY7456" fmla="*/ 2683019 h 6858000"/>
              <a:gd name="csX7457" fmla="*/ 7960872 w 12192000"/>
              <a:gd name="csY7457" fmla="*/ 2717839 h 6858000"/>
              <a:gd name="csX7458" fmla="*/ 7995212 w 12192000"/>
              <a:gd name="csY7458" fmla="*/ 2683019 h 6858000"/>
              <a:gd name="csX7459" fmla="*/ 7960872 w 12192000"/>
              <a:gd name="csY7459" fmla="*/ 2648198 h 6858000"/>
              <a:gd name="csX7460" fmla="*/ 8128356 w 12192000"/>
              <a:gd name="csY7460" fmla="*/ 2648198 h 6858000"/>
              <a:gd name="csX7461" fmla="*/ 8094003 w 12192000"/>
              <a:gd name="csY7461" fmla="*/ 2683019 h 6858000"/>
              <a:gd name="csX7462" fmla="*/ 8128356 w 12192000"/>
              <a:gd name="csY7462" fmla="*/ 2717839 h 6858000"/>
              <a:gd name="csX7463" fmla="*/ 8162696 w 12192000"/>
              <a:gd name="csY7463" fmla="*/ 2683019 h 6858000"/>
              <a:gd name="csX7464" fmla="*/ 8128356 w 12192000"/>
              <a:gd name="csY7464" fmla="*/ 2648198 h 6858000"/>
              <a:gd name="csX7465" fmla="*/ 8212097 w 12192000"/>
              <a:gd name="csY7465" fmla="*/ 2648198 h 6858000"/>
              <a:gd name="csX7466" fmla="*/ 8177744 w 12192000"/>
              <a:gd name="csY7466" fmla="*/ 2683019 h 6858000"/>
              <a:gd name="csX7467" fmla="*/ 8212097 w 12192000"/>
              <a:gd name="csY7467" fmla="*/ 2717839 h 6858000"/>
              <a:gd name="csX7468" fmla="*/ 8246437 w 12192000"/>
              <a:gd name="csY7468" fmla="*/ 2683019 h 6858000"/>
              <a:gd name="csX7469" fmla="*/ 8212097 w 12192000"/>
              <a:gd name="csY7469" fmla="*/ 2648198 h 6858000"/>
              <a:gd name="csX7470" fmla="*/ 8295839 w 12192000"/>
              <a:gd name="csY7470" fmla="*/ 2648198 h 6858000"/>
              <a:gd name="csX7471" fmla="*/ 8261486 w 12192000"/>
              <a:gd name="csY7471" fmla="*/ 2683019 h 6858000"/>
              <a:gd name="csX7472" fmla="*/ 8295839 w 12192000"/>
              <a:gd name="csY7472" fmla="*/ 2717839 h 6858000"/>
              <a:gd name="csX7473" fmla="*/ 8330179 w 12192000"/>
              <a:gd name="csY7473" fmla="*/ 2683019 h 6858000"/>
              <a:gd name="csX7474" fmla="*/ 8295839 w 12192000"/>
              <a:gd name="csY7474" fmla="*/ 2648198 h 6858000"/>
              <a:gd name="csX7475" fmla="*/ 8379580 w 12192000"/>
              <a:gd name="csY7475" fmla="*/ 2648198 h 6858000"/>
              <a:gd name="csX7476" fmla="*/ 8345227 w 12192000"/>
              <a:gd name="csY7476" fmla="*/ 2683019 h 6858000"/>
              <a:gd name="csX7477" fmla="*/ 8379580 w 12192000"/>
              <a:gd name="csY7477" fmla="*/ 2717839 h 6858000"/>
              <a:gd name="csX7478" fmla="*/ 8413921 w 12192000"/>
              <a:gd name="csY7478" fmla="*/ 2683019 h 6858000"/>
              <a:gd name="csX7479" fmla="*/ 8379580 w 12192000"/>
              <a:gd name="csY7479" fmla="*/ 2648198 h 6858000"/>
              <a:gd name="csX7480" fmla="*/ 8463323 w 12192000"/>
              <a:gd name="csY7480" fmla="*/ 2648198 h 6858000"/>
              <a:gd name="csX7481" fmla="*/ 8428970 w 12192000"/>
              <a:gd name="csY7481" fmla="*/ 2683019 h 6858000"/>
              <a:gd name="csX7482" fmla="*/ 8463323 w 12192000"/>
              <a:gd name="csY7482" fmla="*/ 2717839 h 6858000"/>
              <a:gd name="csX7483" fmla="*/ 8497663 w 12192000"/>
              <a:gd name="csY7483" fmla="*/ 2683019 h 6858000"/>
              <a:gd name="csX7484" fmla="*/ 8463323 w 12192000"/>
              <a:gd name="csY7484" fmla="*/ 2648198 h 6858000"/>
              <a:gd name="csX7485" fmla="*/ 8547064 w 12192000"/>
              <a:gd name="csY7485" fmla="*/ 2648198 h 6858000"/>
              <a:gd name="csX7486" fmla="*/ 8512711 w 12192000"/>
              <a:gd name="csY7486" fmla="*/ 2683019 h 6858000"/>
              <a:gd name="csX7487" fmla="*/ 8547064 w 12192000"/>
              <a:gd name="csY7487" fmla="*/ 2717839 h 6858000"/>
              <a:gd name="csX7488" fmla="*/ 8581404 w 12192000"/>
              <a:gd name="csY7488" fmla="*/ 2683019 h 6858000"/>
              <a:gd name="csX7489" fmla="*/ 8547064 w 12192000"/>
              <a:gd name="csY7489" fmla="*/ 2648198 h 6858000"/>
              <a:gd name="csX7490" fmla="*/ 8630805 w 12192000"/>
              <a:gd name="csY7490" fmla="*/ 2648198 h 6858000"/>
              <a:gd name="csX7491" fmla="*/ 8596452 w 12192000"/>
              <a:gd name="csY7491" fmla="*/ 2683019 h 6858000"/>
              <a:gd name="csX7492" fmla="*/ 8630805 w 12192000"/>
              <a:gd name="csY7492" fmla="*/ 2717839 h 6858000"/>
              <a:gd name="csX7493" fmla="*/ 8665145 w 12192000"/>
              <a:gd name="csY7493" fmla="*/ 2683019 h 6858000"/>
              <a:gd name="csX7494" fmla="*/ 8630805 w 12192000"/>
              <a:gd name="csY7494" fmla="*/ 2648198 h 6858000"/>
              <a:gd name="csX7495" fmla="*/ 8714547 w 12192000"/>
              <a:gd name="csY7495" fmla="*/ 2648198 h 6858000"/>
              <a:gd name="csX7496" fmla="*/ 8680194 w 12192000"/>
              <a:gd name="csY7496" fmla="*/ 2683019 h 6858000"/>
              <a:gd name="csX7497" fmla="*/ 8714547 w 12192000"/>
              <a:gd name="csY7497" fmla="*/ 2717839 h 6858000"/>
              <a:gd name="csX7498" fmla="*/ 8748888 w 12192000"/>
              <a:gd name="csY7498" fmla="*/ 2683019 h 6858000"/>
              <a:gd name="csX7499" fmla="*/ 8714547 w 12192000"/>
              <a:gd name="csY7499" fmla="*/ 2648198 h 6858000"/>
              <a:gd name="csX7500" fmla="*/ 8798289 w 12192000"/>
              <a:gd name="csY7500" fmla="*/ 2648198 h 6858000"/>
              <a:gd name="csX7501" fmla="*/ 8763936 w 12192000"/>
              <a:gd name="csY7501" fmla="*/ 2683019 h 6858000"/>
              <a:gd name="csX7502" fmla="*/ 8798289 w 12192000"/>
              <a:gd name="csY7502" fmla="*/ 2717839 h 6858000"/>
              <a:gd name="csX7503" fmla="*/ 8832629 w 12192000"/>
              <a:gd name="csY7503" fmla="*/ 2683019 h 6858000"/>
              <a:gd name="csX7504" fmla="*/ 8798289 w 12192000"/>
              <a:gd name="csY7504" fmla="*/ 2648198 h 6858000"/>
              <a:gd name="csX7505" fmla="*/ 8882030 w 12192000"/>
              <a:gd name="csY7505" fmla="*/ 2648198 h 6858000"/>
              <a:gd name="csX7506" fmla="*/ 8847677 w 12192000"/>
              <a:gd name="csY7506" fmla="*/ 2683019 h 6858000"/>
              <a:gd name="csX7507" fmla="*/ 8882030 w 12192000"/>
              <a:gd name="csY7507" fmla="*/ 2717839 h 6858000"/>
              <a:gd name="csX7508" fmla="*/ 8916370 w 12192000"/>
              <a:gd name="csY7508" fmla="*/ 2683019 h 6858000"/>
              <a:gd name="csX7509" fmla="*/ 8882030 w 12192000"/>
              <a:gd name="csY7509" fmla="*/ 2648198 h 6858000"/>
              <a:gd name="csX7510" fmla="*/ 8965772 w 12192000"/>
              <a:gd name="csY7510" fmla="*/ 2648198 h 6858000"/>
              <a:gd name="csX7511" fmla="*/ 8931419 w 12192000"/>
              <a:gd name="csY7511" fmla="*/ 2683019 h 6858000"/>
              <a:gd name="csX7512" fmla="*/ 8965772 w 12192000"/>
              <a:gd name="csY7512" fmla="*/ 2717839 h 6858000"/>
              <a:gd name="csX7513" fmla="*/ 9000112 w 12192000"/>
              <a:gd name="csY7513" fmla="*/ 2683019 h 6858000"/>
              <a:gd name="csX7514" fmla="*/ 8965772 w 12192000"/>
              <a:gd name="csY7514" fmla="*/ 2648198 h 6858000"/>
              <a:gd name="csX7515" fmla="*/ 9049513 w 12192000"/>
              <a:gd name="csY7515" fmla="*/ 2648198 h 6858000"/>
              <a:gd name="csX7516" fmla="*/ 9015160 w 12192000"/>
              <a:gd name="csY7516" fmla="*/ 2683019 h 6858000"/>
              <a:gd name="csX7517" fmla="*/ 9049513 w 12192000"/>
              <a:gd name="csY7517" fmla="*/ 2717839 h 6858000"/>
              <a:gd name="csX7518" fmla="*/ 9083854 w 12192000"/>
              <a:gd name="csY7518" fmla="*/ 2683019 h 6858000"/>
              <a:gd name="csX7519" fmla="*/ 9049513 w 12192000"/>
              <a:gd name="csY7519" fmla="*/ 2648198 h 6858000"/>
              <a:gd name="csX7520" fmla="*/ 9133256 w 12192000"/>
              <a:gd name="csY7520" fmla="*/ 2648198 h 6858000"/>
              <a:gd name="csX7521" fmla="*/ 9098903 w 12192000"/>
              <a:gd name="csY7521" fmla="*/ 2683019 h 6858000"/>
              <a:gd name="csX7522" fmla="*/ 9133256 w 12192000"/>
              <a:gd name="csY7522" fmla="*/ 2717839 h 6858000"/>
              <a:gd name="csX7523" fmla="*/ 9167596 w 12192000"/>
              <a:gd name="csY7523" fmla="*/ 2683019 h 6858000"/>
              <a:gd name="csX7524" fmla="*/ 9133256 w 12192000"/>
              <a:gd name="csY7524" fmla="*/ 2648198 h 6858000"/>
              <a:gd name="csX7525" fmla="*/ 9216997 w 12192000"/>
              <a:gd name="csY7525" fmla="*/ 2648198 h 6858000"/>
              <a:gd name="csX7526" fmla="*/ 9182644 w 12192000"/>
              <a:gd name="csY7526" fmla="*/ 2683019 h 6858000"/>
              <a:gd name="csX7527" fmla="*/ 9216997 w 12192000"/>
              <a:gd name="csY7527" fmla="*/ 2717839 h 6858000"/>
              <a:gd name="csX7528" fmla="*/ 9251337 w 12192000"/>
              <a:gd name="csY7528" fmla="*/ 2683019 h 6858000"/>
              <a:gd name="csX7529" fmla="*/ 9216997 w 12192000"/>
              <a:gd name="csY7529" fmla="*/ 2648198 h 6858000"/>
              <a:gd name="csX7530" fmla="*/ 9300738 w 12192000"/>
              <a:gd name="csY7530" fmla="*/ 2648198 h 6858000"/>
              <a:gd name="csX7531" fmla="*/ 9266385 w 12192000"/>
              <a:gd name="csY7531" fmla="*/ 2683019 h 6858000"/>
              <a:gd name="csX7532" fmla="*/ 9300738 w 12192000"/>
              <a:gd name="csY7532" fmla="*/ 2717839 h 6858000"/>
              <a:gd name="csX7533" fmla="*/ 9335078 w 12192000"/>
              <a:gd name="csY7533" fmla="*/ 2683019 h 6858000"/>
              <a:gd name="csX7534" fmla="*/ 9300738 w 12192000"/>
              <a:gd name="csY7534" fmla="*/ 2648198 h 6858000"/>
              <a:gd name="csX7535" fmla="*/ 9384480 w 12192000"/>
              <a:gd name="csY7535" fmla="*/ 2648198 h 6858000"/>
              <a:gd name="csX7536" fmla="*/ 9350127 w 12192000"/>
              <a:gd name="csY7536" fmla="*/ 2683019 h 6858000"/>
              <a:gd name="csX7537" fmla="*/ 9384480 w 12192000"/>
              <a:gd name="csY7537" fmla="*/ 2717839 h 6858000"/>
              <a:gd name="csX7538" fmla="*/ 9418821 w 12192000"/>
              <a:gd name="csY7538" fmla="*/ 2683019 h 6858000"/>
              <a:gd name="csX7539" fmla="*/ 9384480 w 12192000"/>
              <a:gd name="csY7539" fmla="*/ 2648198 h 6858000"/>
              <a:gd name="csX7540" fmla="*/ 9468222 w 12192000"/>
              <a:gd name="csY7540" fmla="*/ 2648198 h 6858000"/>
              <a:gd name="csX7541" fmla="*/ 9433869 w 12192000"/>
              <a:gd name="csY7541" fmla="*/ 2683019 h 6858000"/>
              <a:gd name="csX7542" fmla="*/ 9468222 w 12192000"/>
              <a:gd name="csY7542" fmla="*/ 2717839 h 6858000"/>
              <a:gd name="csX7543" fmla="*/ 9502562 w 12192000"/>
              <a:gd name="csY7543" fmla="*/ 2683019 h 6858000"/>
              <a:gd name="csX7544" fmla="*/ 9468222 w 12192000"/>
              <a:gd name="csY7544" fmla="*/ 2648198 h 6858000"/>
              <a:gd name="csX7545" fmla="*/ 9551963 w 12192000"/>
              <a:gd name="csY7545" fmla="*/ 2648198 h 6858000"/>
              <a:gd name="csX7546" fmla="*/ 9517610 w 12192000"/>
              <a:gd name="csY7546" fmla="*/ 2683019 h 6858000"/>
              <a:gd name="csX7547" fmla="*/ 9551963 w 12192000"/>
              <a:gd name="csY7547" fmla="*/ 2717839 h 6858000"/>
              <a:gd name="csX7548" fmla="*/ 9586303 w 12192000"/>
              <a:gd name="csY7548" fmla="*/ 2683019 h 6858000"/>
              <a:gd name="csX7549" fmla="*/ 9551963 w 12192000"/>
              <a:gd name="csY7549" fmla="*/ 2648198 h 6858000"/>
              <a:gd name="csX7550" fmla="*/ 9635705 w 12192000"/>
              <a:gd name="csY7550" fmla="*/ 2648198 h 6858000"/>
              <a:gd name="csX7551" fmla="*/ 9601352 w 12192000"/>
              <a:gd name="csY7551" fmla="*/ 2683019 h 6858000"/>
              <a:gd name="csX7552" fmla="*/ 9635705 w 12192000"/>
              <a:gd name="csY7552" fmla="*/ 2717839 h 6858000"/>
              <a:gd name="csX7553" fmla="*/ 9670045 w 12192000"/>
              <a:gd name="csY7553" fmla="*/ 2683019 h 6858000"/>
              <a:gd name="csX7554" fmla="*/ 9635705 w 12192000"/>
              <a:gd name="csY7554" fmla="*/ 2648198 h 6858000"/>
              <a:gd name="csX7555" fmla="*/ 10054413 w 12192000"/>
              <a:gd name="csY7555" fmla="*/ 2648198 h 6858000"/>
              <a:gd name="csX7556" fmla="*/ 10020060 w 12192000"/>
              <a:gd name="csY7556" fmla="*/ 2683019 h 6858000"/>
              <a:gd name="csX7557" fmla="*/ 10054413 w 12192000"/>
              <a:gd name="csY7557" fmla="*/ 2717839 h 6858000"/>
              <a:gd name="csX7558" fmla="*/ 10088754 w 12192000"/>
              <a:gd name="csY7558" fmla="*/ 2683019 h 6858000"/>
              <a:gd name="csX7559" fmla="*/ 10054413 w 12192000"/>
              <a:gd name="csY7559" fmla="*/ 2648198 h 6858000"/>
              <a:gd name="csX7560" fmla="*/ 2266416 w 12192000"/>
              <a:gd name="csY7560" fmla="*/ 2733062 h 6858000"/>
              <a:gd name="csX7561" fmla="*/ 2232069 w 12192000"/>
              <a:gd name="csY7561" fmla="*/ 2767883 h 6858000"/>
              <a:gd name="csX7562" fmla="*/ 2266416 w 12192000"/>
              <a:gd name="csY7562" fmla="*/ 2802703 h 6858000"/>
              <a:gd name="csX7563" fmla="*/ 2300762 w 12192000"/>
              <a:gd name="csY7563" fmla="*/ 2767883 h 6858000"/>
              <a:gd name="csX7564" fmla="*/ 2266416 w 12192000"/>
              <a:gd name="csY7564" fmla="*/ 2733062 h 6858000"/>
              <a:gd name="csX7565" fmla="*/ 2350151 w 12192000"/>
              <a:gd name="csY7565" fmla="*/ 2733062 h 6858000"/>
              <a:gd name="csX7566" fmla="*/ 2315804 w 12192000"/>
              <a:gd name="csY7566" fmla="*/ 2767883 h 6858000"/>
              <a:gd name="csX7567" fmla="*/ 2350151 w 12192000"/>
              <a:gd name="csY7567" fmla="*/ 2802703 h 6858000"/>
              <a:gd name="csX7568" fmla="*/ 2384498 w 12192000"/>
              <a:gd name="csY7568" fmla="*/ 2767883 h 6858000"/>
              <a:gd name="csX7569" fmla="*/ 2350151 w 12192000"/>
              <a:gd name="csY7569" fmla="*/ 2733062 h 6858000"/>
              <a:gd name="csX7570" fmla="*/ 2433893 w 12192000"/>
              <a:gd name="csY7570" fmla="*/ 2733062 h 6858000"/>
              <a:gd name="csX7571" fmla="*/ 2399546 w 12192000"/>
              <a:gd name="csY7571" fmla="*/ 2767883 h 6858000"/>
              <a:gd name="csX7572" fmla="*/ 2433893 w 12192000"/>
              <a:gd name="csY7572" fmla="*/ 2802703 h 6858000"/>
              <a:gd name="csX7573" fmla="*/ 2468240 w 12192000"/>
              <a:gd name="csY7573" fmla="*/ 2767883 h 6858000"/>
              <a:gd name="csX7574" fmla="*/ 2433893 w 12192000"/>
              <a:gd name="csY7574" fmla="*/ 2733062 h 6858000"/>
              <a:gd name="csX7575" fmla="*/ 2517634 w 12192000"/>
              <a:gd name="csY7575" fmla="*/ 2733062 h 6858000"/>
              <a:gd name="csX7576" fmla="*/ 2483288 w 12192000"/>
              <a:gd name="csY7576" fmla="*/ 2767883 h 6858000"/>
              <a:gd name="csX7577" fmla="*/ 2517634 w 12192000"/>
              <a:gd name="csY7577" fmla="*/ 2802703 h 6858000"/>
              <a:gd name="csX7578" fmla="*/ 2551981 w 12192000"/>
              <a:gd name="csY7578" fmla="*/ 2767883 h 6858000"/>
              <a:gd name="csX7579" fmla="*/ 2517634 w 12192000"/>
              <a:gd name="csY7579" fmla="*/ 2733062 h 6858000"/>
              <a:gd name="csX7580" fmla="*/ 2601376 w 12192000"/>
              <a:gd name="csY7580" fmla="*/ 2733062 h 6858000"/>
              <a:gd name="csX7581" fmla="*/ 2567029 w 12192000"/>
              <a:gd name="csY7581" fmla="*/ 2767883 h 6858000"/>
              <a:gd name="csX7582" fmla="*/ 2601376 w 12192000"/>
              <a:gd name="csY7582" fmla="*/ 2802703 h 6858000"/>
              <a:gd name="csX7583" fmla="*/ 2635722 w 12192000"/>
              <a:gd name="csY7583" fmla="*/ 2767883 h 6858000"/>
              <a:gd name="csX7584" fmla="*/ 2601376 w 12192000"/>
              <a:gd name="csY7584" fmla="*/ 2733062 h 6858000"/>
              <a:gd name="csX7585" fmla="*/ 2685118 w 12192000"/>
              <a:gd name="csY7585" fmla="*/ 2733062 h 6858000"/>
              <a:gd name="csX7586" fmla="*/ 2650771 w 12192000"/>
              <a:gd name="csY7586" fmla="*/ 2767883 h 6858000"/>
              <a:gd name="csX7587" fmla="*/ 2685118 w 12192000"/>
              <a:gd name="csY7587" fmla="*/ 2802703 h 6858000"/>
              <a:gd name="csX7588" fmla="*/ 2719465 w 12192000"/>
              <a:gd name="csY7588" fmla="*/ 2767883 h 6858000"/>
              <a:gd name="csX7589" fmla="*/ 2685118 w 12192000"/>
              <a:gd name="csY7589" fmla="*/ 2733062 h 6858000"/>
              <a:gd name="csX7590" fmla="*/ 2768859 w 12192000"/>
              <a:gd name="csY7590" fmla="*/ 2733062 h 6858000"/>
              <a:gd name="csX7591" fmla="*/ 2734512 w 12192000"/>
              <a:gd name="csY7591" fmla="*/ 2767883 h 6858000"/>
              <a:gd name="csX7592" fmla="*/ 2768859 w 12192000"/>
              <a:gd name="csY7592" fmla="*/ 2802703 h 6858000"/>
              <a:gd name="csX7593" fmla="*/ 2803206 w 12192000"/>
              <a:gd name="csY7593" fmla="*/ 2767883 h 6858000"/>
              <a:gd name="csX7594" fmla="*/ 2768859 w 12192000"/>
              <a:gd name="csY7594" fmla="*/ 2733062 h 6858000"/>
              <a:gd name="csX7595" fmla="*/ 2852600 w 12192000"/>
              <a:gd name="csY7595" fmla="*/ 2733062 h 6858000"/>
              <a:gd name="csX7596" fmla="*/ 2818254 w 12192000"/>
              <a:gd name="csY7596" fmla="*/ 2767883 h 6858000"/>
              <a:gd name="csX7597" fmla="*/ 2852600 w 12192000"/>
              <a:gd name="csY7597" fmla="*/ 2802703 h 6858000"/>
              <a:gd name="csX7598" fmla="*/ 2886947 w 12192000"/>
              <a:gd name="csY7598" fmla="*/ 2767883 h 6858000"/>
              <a:gd name="csX7599" fmla="*/ 2852600 w 12192000"/>
              <a:gd name="csY7599" fmla="*/ 2733062 h 6858000"/>
              <a:gd name="csX7600" fmla="*/ 2936343 w 12192000"/>
              <a:gd name="csY7600" fmla="*/ 2733062 h 6858000"/>
              <a:gd name="csX7601" fmla="*/ 2901996 w 12192000"/>
              <a:gd name="csY7601" fmla="*/ 2767883 h 6858000"/>
              <a:gd name="csX7602" fmla="*/ 2936343 w 12192000"/>
              <a:gd name="csY7602" fmla="*/ 2802703 h 6858000"/>
              <a:gd name="csX7603" fmla="*/ 2970689 w 12192000"/>
              <a:gd name="csY7603" fmla="*/ 2767883 h 6858000"/>
              <a:gd name="csX7604" fmla="*/ 2936343 w 12192000"/>
              <a:gd name="csY7604" fmla="*/ 2733062 h 6858000"/>
              <a:gd name="csX7605" fmla="*/ 3020084 w 12192000"/>
              <a:gd name="csY7605" fmla="*/ 2733062 h 6858000"/>
              <a:gd name="csX7606" fmla="*/ 2985737 w 12192000"/>
              <a:gd name="csY7606" fmla="*/ 2767883 h 6858000"/>
              <a:gd name="csX7607" fmla="*/ 3020084 w 12192000"/>
              <a:gd name="csY7607" fmla="*/ 2802703 h 6858000"/>
              <a:gd name="csX7608" fmla="*/ 3054431 w 12192000"/>
              <a:gd name="csY7608" fmla="*/ 2767883 h 6858000"/>
              <a:gd name="csX7609" fmla="*/ 3020084 w 12192000"/>
              <a:gd name="csY7609" fmla="*/ 2733062 h 6858000"/>
              <a:gd name="csX7610" fmla="*/ 3103826 w 12192000"/>
              <a:gd name="csY7610" fmla="*/ 2733062 h 6858000"/>
              <a:gd name="csX7611" fmla="*/ 3069479 w 12192000"/>
              <a:gd name="csY7611" fmla="*/ 2767883 h 6858000"/>
              <a:gd name="csX7612" fmla="*/ 3103826 w 12192000"/>
              <a:gd name="csY7612" fmla="*/ 2802703 h 6858000"/>
              <a:gd name="csX7613" fmla="*/ 3138173 w 12192000"/>
              <a:gd name="csY7613" fmla="*/ 2767883 h 6858000"/>
              <a:gd name="csX7614" fmla="*/ 3103826 w 12192000"/>
              <a:gd name="csY7614" fmla="*/ 2733062 h 6858000"/>
              <a:gd name="csX7615" fmla="*/ 3187567 w 12192000"/>
              <a:gd name="csY7615" fmla="*/ 2733062 h 6858000"/>
              <a:gd name="csX7616" fmla="*/ 3153221 w 12192000"/>
              <a:gd name="csY7616" fmla="*/ 2767883 h 6858000"/>
              <a:gd name="csX7617" fmla="*/ 3187567 w 12192000"/>
              <a:gd name="csY7617" fmla="*/ 2802703 h 6858000"/>
              <a:gd name="csX7618" fmla="*/ 3221914 w 12192000"/>
              <a:gd name="csY7618" fmla="*/ 2767883 h 6858000"/>
              <a:gd name="csX7619" fmla="*/ 3187567 w 12192000"/>
              <a:gd name="csY7619" fmla="*/ 2733062 h 6858000"/>
              <a:gd name="csX7620" fmla="*/ 3271309 w 12192000"/>
              <a:gd name="csY7620" fmla="*/ 2733062 h 6858000"/>
              <a:gd name="csX7621" fmla="*/ 3236962 w 12192000"/>
              <a:gd name="csY7621" fmla="*/ 2767883 h 6858000"/>
              <a:gd name="csX7622" fmla="*/ 3271309 w 12192000"/>
              <a:gd name="csY7622" fmla="*/ 2802703 h 6858000"/>
              <a:gd name="csX7623" fmla="*/ 3305655 w 12192000"/>
              <a:gd name="csY7623" fmla="*/ 2767883 h 6858000"/>
              <a:gd name="csX7624" fmla="*/ 3271309 w 12192000"/>
              <a:gd name="csY7624" fmla="*/ 2733062 h 6858000"/>
              <a:gd name="csX7625" fmla="*/ 3438792 w 12192000"/>
              <a:gd name="csY7625" fmla="*/ 2733062 h 6858000"/>
              <a:gd name="csX7626" fmla="*/ 3404445 w 12192000"/>
              <a:gd name="csY7626" fmla="*/ 2767883 h 6858000"/>
              <a:gd name="csX7627" fmla="*/ 3438792 w 12192000"/>
              <a:gd name="csY7627" fmla="*/ 2802703 h 6858000"/>
              <a:gd name="csX7628" fmla="*/ 3473139 w 12192000"/>
              <a:gd name="csY7628" fmla="*/ 2767883 h 6858000"/>
              <a:gd name="csX7629" fmla="*/ 3438792 w 12192000"/>
              <a:gd name="csY7629" fmla="*/ 2733062 h 6858000"/>
              <a:gd name="csX7630" fmla="*/ 3690017 w 12192000"/>
              <a:gd name="csY7630" fmla="*/ 2733062 h 6858000"/>
              <a:gd name="csX7631" fmla="*/ 3655670 w 12192000"/>
              <a:gd name="csY7631" fmla="*/ 2767883 h 6858000"/>
              <a:gd name="csX7632" fmla="*/ 3690017 w 12192000"/>
              <a:gd name="csY7632" fmla="*/ 2802703 h 6858000"/>
              <a:gd name="csX7633" fmla="*/ 3724364 w 12192000"/>
              <a:gd name="csY7633" fmla="*/ 2767883 h 6858000"/>
              <a:gd name="csX7634" fmla="*/ 3690017 w 12192000"/>
              <a:gd name="csY7634" fmla="*/ 2733062 h 6858000"/>
              <a:gd name="csX7635" fmla="*/ 3773759 w 12192000"/>
              <a:gd name="csY7635" fmla="*/ 2733062 h 6858000"/>
              <a:gd name="csX7636" fmla="*/ 3739412 w 12192000"/>
              <a:gd name="csY7636" fmla="*/ 2767883 h 6858000"/>
              <a:gd name="csX7637" fmla="*/ 3773759 w 12192000"/>
              <a:gd name="csY7637" fmla="*/ 2802703 h 6858000"/>
              <a:gd name="csX7638" fmla="*/ 3808106 w 12192000"/>
              <a:gd name="csY7638" fmla="*/ 2767883 h 6858000"/>
              <a:gd name="csX7639" fmla="*/ 3773759 w 12192000"/>
              <a:gd name="csY7639" fmla="*/ 2733062 h 6858000"/>
              <a:gd name="csX7640" fmla="*/ 4024990 w 12192000"/>
              <a:gd name="csY7640" fmla="*/ 2733062 h 6858000"/>
              <a:gd name="csX7641" fmla="*/ 3990643 w 12192000"/>
              <a:gd name="csY7641" fmla="*/ 2767883 h 6858000"/>
              <a:gd name="csX7642" fmla="*/ 4024990 w 12192000"/>
              <a:gd name="csY7642" fmla="*/ 2802703 h 6858000"/>
              <a:gd name="csX7643" fmla="*/ 4059337 w 12192000"/>
              <a:gd name="csY7643" fmla="*/ 2767883 h 6858000"/>
              <a:gd name="csX7644" fmla="*/ 4024990 w 12192000"/>
              <a:gd name="csY7644" fmla="*/ 2733062 h 6858000"/>
              <a:gd name="csX7645" fmla="*/ 5867305 w 12192000"/>
              <a:gd name="csY7645" fmla="*/ 2733062 h 6858000"/>
              <a:gd name="csX7646" fmla="*/ 5832959 w 12192000"/>
              <a:gd name="csY7646" fmla="*/ 2767883 h 6858000"/>
              <a:gd name="csX7647" fmla="*/ 5867305 w 12192000"/>
              <a:gd name="csY7647" fmla="*/ 2802703 h 6858000"/>
              <a:gd name="csX7648" fmla="*/ 5901652 w 12192000"/>
              <a:gd name="csY7648" fmla="*/ 2767883 h 6858000"/>
              <a:gd name="csX7649" fmla="*/ 5867305 w 12192000"/>
              <a:gd name="csY7649" fmla="*/ 2733062 h 6858000"/>
              <a:gd name="csX7650" fmla="*/ 5951048 w 12192000"/>
              <a:gd name="csY7650" fmla="*/ 2733062 h 6858000"/>
              <a:gd name="csX7651" fmla="*/ 5916701 w 12192000"/>
              <a:gd name="csY7651" fmla="*/ 2767883 h 6858000"/>
              <a:gd name="csX7652" fmla="*/ 5951048 w 12192000"/>
              <a:gd name="csY7652" fmla="*/ 2802703 h 6858000"/>
              <a:gd name="csX7653" fmla="*/ 5985394 w 12192000"/>
              <a:gd name="csY7653" fmla="*/ 2767883 h 6858000"/>
              <a:gd name="csX7654" fmla="*/ 5951048 w 12192000"/>
              <a:gd name="csY7654" fmla="*/ 2733062 h 6858000"/>
              <a:gd name="csX7655" fmla="*/ 6034789 w 12192000"/>
              <a:gd name="csY7655" fmla="*/ 2733062 h 6858000"/>
              <a:gd name="csX7656" fmla="*/ 6000442 w 12192000"/>
              <a:gd name="csY7656" fmla="*/ 2767883 h 6858000"/>
              <a:gd name="csX7657" fmla="*/ 6034789 w 12192000"/>
              <a:gd name="csY7657" fmla="*/ 2802703 h 6858000"/>
              <a:gd name="csX7658" fmla="*/ 6069136 w 12192000"/>
              <a:gd name="csY7658" fmla="*/ 2767883 h 6858000"/>
              <a:gd name="csX7659" fmla="*/ 6034789 w 12192000"/>
              <a:gd name="csY7659" fmla="*/ 2733062 h 6858000"/>
              <a:gd name="csX7660" fmla="*/ 6118531 w 12192000"/>
              <a:gd name="csY7660" fmla="*/ 2733062 h 6858000"/>
              <a:gd name="csX7661" fmla="*/ 6084177 w 12192000"/>
              <a:gd name="csY7661" fmla="*/ 2767883 h 6858000"/>
              <a:gd name="csX7662" fmla="*/ 6118531 w 12192000"/>
              <a:gd name="csY7662" fmla="*/ 2802703 h 6858000"/>
              <a:gd name="csX7663" fmla="*/ 6152871 w 12192000"/>
              <a:gd name="csY7663" fmla="*/ 2767883 h 6858000"/>
              <a:gd name="csX7664" fmla="*/ 6118531 w 12192000"/>
              <a:gd name="csY7664" fmla="*/ 2733062 h 6858000"/>
              <a:gd name="csX7665" fmla="*/ 6202273 w 12192000"/>
              <a:gd name="csY7665" fmla="*/ 2733062 h 6858000"/>
              <a:gd name="csX7666" fmla="*/ 6167920 w 12192000"/>
              <a:gd name="csY7666" fmla="*/ 2767883 h 6858000"/>
              <a:gd name="csX7667" fmla="*/ 6202273 w 12192000"/>
              <a:gd name="csY7667" fmla="*/ 2802703 h 6858000"/>
              <a:gd name="csX7668" fmla="*/ 6236613 w 12192000"/>
              <a:gd name="csY7668" fmla="*/ 2767883 h 6858000"/>
              <a:gd name="csX7669" fmla="*/ 6202273 w 12192000"/>
              <a:gd name="csY7669" fmla="*/ 2733062 h 6858000"/>
              <a:gd name="csX7670" fmla="*/ 6369755 w 12192000"/>
              <a:gd name="csY7670" fmla="*/ 2733062 h 6858000"/>
              <a:gd name="csX7671" fmla="*/ 6335402 w 12192000"/>
              <a:gd name="csY7671" fmla="*/ 2767883 h 6858000"/>
              <a:gd name="csX7672" fmla="*/ 6369755 w 12192000"/>
              <a:gd name="csY7672" fmla="*/ 2802703 h 6858000"/>
              <a:gd name="csX7673" fmla="*/ 6404096 w 12192000"/>
              <a:gd name="csY7673" fmla="*/ 2767883 h 6858000"/>
              <a:gd name="csX7674" fmla="*/ 6369755 w 12192000"/>
              <a:gd name="csY7674" fmla="*/ 2733062 h 6858000"/>
              <a:gd name="csX7675" fmla="*/ 6453498 w 12192000"/>
              <a:gd name="csY7675" fmla="*/ 2733062 h 6858000"/>
              <a:gd name="csX7676" fmla="*/ 6419144 w 12192000"/>
              <a:gd name="csY7676" fmla="*/ 2767883 h 6858000"/>
              <a:gd name="csX7677" fmla="*/ 6453498 w 12192000"/>
              <a:gd name="csY7677" fmla="*/ 2802703 h 6858000"/>
              <a:gd name="csX7678" fmla="*/ 6487838 w 12192000"/>
              <a:gd name="csY7678" fmla="*/ 2767883 h 6858000"/>
              <a:gd name="csX7679" fmla="*/ 6453498 w 12192000"/>
              <a:gd name="csY7679" fmla="*/ 2733062 h 6858000"/>
              <a:gd name="csX7680" fmla="*/ 6537239 w 12192000"/>
              <a:gd name="csY7680" fmla="*/ 2733062 h 6858000"/>
              <a:gd name="csX7681" fmla="*/ 6502886 w 12192000"/>
              <a:gd name="csY7681" fmla="*/ 2767883 h 6858000"/>
              <a:gd name="csX7682" fmla="*/ 6537239 w 12192000"/>
              <a:gd name="csY7682" fmla="*/ 2802703 h 6858000"/>
              <a:gd name="csX7683" fmla="*/ 6571579 w 12192000"/>
              <a:gd name="csY7683" fmla="*/ 2767883 h 6858000"/>
              <a:gd name="csX7684" fmla="*/ 6537239 w 12192000"/>
              <a:gd name="csY7684" fmla="*/ 2733062 h 6858000"/>
              <a:gd name="csX7685" fmla="*/ 6620980 w 12192000"/>
              <a:gd name="csY7685" fmla="*/ 2733062 h 6858000"/>
              <a:gd name="csX7686" fmla="*/ 6586627 w 12192000"/>
              <a:gd name="csY7686" fmla="*/ 2767883 h 6858000"/>
              <a:gd name="csX7687" fmla="*/ 6620980 w 12192000"/>
              <a:gd name="csY7687" fmla="*/ 2802703 h 6858000"/>
              <a:gd name="csX7688" fmla="*/ 6655320 w 12192000"/>
              <a:gd name="csY7688" fmla="*/ 2767883 h 6858000"/>
              <a:gd name="csX7689" fmla="*/ 6620980 w 12192000"/>
              <a:gd name="csY7689" fmla="*/ 2733062 h 6858000"/>
              <a:gd name="csX7690" fmla="*/ 6872206 w 12192000"/>
              <a:gd name="csY7690" fmla="*/ 2733062 h 6858000"/>
              <a:gd name="csX7691" fmla="*/ 6837853 w 12192000"/>
              <a:gd name="csY7691" fmla="*/ 2767883 h 6858000"/>
              <a:gd name="csX7692" fmla="*/ 6872206 w 12192000"/>
              <a:gd name="csY7692" fmla="*/ 2802703 h 6858000"/>
              <a:gd name="csX7693" fmla="*/ 6906546 w 12192000"/>
              <a:gd name="csY7693" fmla="*/ 2767883 h 6858000"/>
              <a:gd name="csX7694" fmla="*/ 6872206 w 12192000"/>
              <a:gd name="csY7694" fmla="*/ 2733062 h 6858000"/>
              <a:gd name="csX7695" fmla="*/ 6955947 w 12192000"/>
              <a:gd name="csY7695" fmla="*/ 2733062 h 6858000"/>
              <a:gd name="csX7696" fmla="*/ 6921594 w 12192000"/>
              <a:gd name="csY7696" fmla="*/ 2767883 h 6858000"/>
              <a:gd name="csX7697" fmla="*/ 6955947 w 12192000"/>
              <a:gd name="csY7697" fmla="*/ 2802703 h 6858000"/>
              <a:gd name="csX7698" fmla="*/ 6990287 w 12192000"/>
              <a:gd name="csY7698" fmla="*/ 2767883 h 6858000"/>
              <a:gd name="csX7699" fmla="*/ 6955947 w 12192000"/>
              <a:gd name="csY7699" fmla="*/ 2733062 h 6858000"/>
              <a:gd name="csX7700" fmla="*/ 7039688 w 12192000"/>
              <a:gd name="csY7700" fmla="*/ 2733062 h 6858000"/>
              <a:gd name="csX7701" fmla="*/ 7005335 w 12192000"/>
              <a:gd name="csY7701" fmla="*/ 2767883 h 6858000"/>
              <a:gd name="csX7702" fmla="*/ 7039688 w 12192000"/>
              <a:gd name="csY7702" fmla="*/ 2802703 h 6858000"/>
              <a:gd name="csX7703" fmla="*/ 7074029 w 12192000"/>
              <a:gd name="csY7703" fmla="*/ 2767883 h 6858000"/>
              <a:gd name="csX7704" fmla="*/ 7039688 w 12192000"/>
              <a:gd name="csY7704" fmla="*/ 2733062 h 6858000"/>
              <a:gd name="csX7705" fmla="*/ 7123456 w 12192000"/>
              <a:gd name="csY7705" fmla="*/ 2733062 h 6858000"/>
              <a:gd name="csX7706" fmla="*/ 7089103 w 12192000"/>
              <a:gd name="csY7706" fmla="*/ 2767883 h 6858000"/>
              <a:gd name="csX7707" fmla="*/ 7123456 w 12192000"/>
              <a:gd name="csY7707" fmla="*/ 2802703 h 6858000"/>
              <a:gd name="csX7708" fmla="*/ 7157796 w 12192000"/>
              <a:gd name="csY7708" fmla="*/ 2767883 h 6858000"/>
              <a:gd name="csX7709" fmla="*/ 7123456 w 12192000"/>
              <a:gd name="csY7709" fmla="*/ 2733062 h 6858000"/>
              <a:gd name="csX7710" fmla="*/ 7374681 w 12192000"/>
              <a:gd name="csY7710" fmla="*/ 2733062 h 6858000"/>
              <a:gd name="csX7711" fmla="*/ 7340328 w 12192000"/>
              <a:gd name="csY7711" fmla="*/ 2767883 h 6858000"/>
              <a:gd name="csX7712" fmla="*/ 7374681 w 12192000"/>
              <a:gd name="csY7712" fmla="*/ 2802703 h 6858000"/>
              <a:gd name="csX7713" fmla="*/ 7409022 w 12192000"/>
              <a:gd name="csY7713" fmla="*/ 2767883 h 6858000"/>
              <a:gd name="csX7714" fmla="*/ 7374681 w 12192000"/>
              <a:gd name="csY7714" fmla="*/ 2733062 h 6858000"/>
              <a:gd name="csX7715" fmla="*/ 7458423 w 12192000"/>
              <a:gd name="csY7715" fmla="*/ 2733062 h 6858000"/>
              <a:gd name="csX7716" fmla="*/ 7424070 w 12192000"/>
              <a:gd name="csY7716" fmla="*/ 2767883 h 6858000"/>
              <a:gd name="csX7717" fmla="*/ 7458423 w 12192000"/>
              <a:gd name="csY7717" fmla="*/ 2802703 h 6858000"/>
              <a:gd name="csX7718" fmla="*/ 7492763 w 12192000"/>
              <a:gd name="csY7718" fmla="*/ 2767883 h 6858000"/>
              <a:gd name="csX7719" fmla="*/ 7458423 w 12192000"/>
              <a:gd name="csY7719" fmla="*/ 2733062 h 6858000"/>
              <a:gd name="csX7720" fmla="*/ 7542164 w 12192000"/>
              <a:gd name="csY7720" fmla="*/ 2733062 h 6858000"/>
              <a:gd name="csX7721" fmla="*/ 7507811 w 12192000"/>
              <a:gd name="csY7721" fmla="*/ 2767883 h 6858000"/>
              <a:gd name="csX7722" fmla="*/ 7542164 w 12192000"/>
              <a:gd name="csY7722" fmla="*/ 2802703 h 6858000"/>
              <a:gd name="csX7723" fmla="*/ 7576504 w 12192000"/>
              <a:gd name="csY7723" fmla="*/ 2767883 h 6858000"/>
              <a:gd name="csX7724" fmla="*/ 7542164 w 12192000"/>
              <a:gd name="csY7724" fmla="*/ 2733062 h 6858000"/>
              <a:gd name="csX7725" fmla="*/ 7709647 w 12192000"/>
              <a:gd name="csY7725" fmla="*/ 2733062 h 6858000"/>
              <a:gd name="csX7726" fmla="*/ 7675294 w 12192000"/>
              <a:gd name="csY7726" fmla="*/ 2767883 h 6858000"/>
              <a:gd name="csX7727" fmla="*/ 7709647 w 12192000"/>
              <a:gd name="csY7727" fmla="*/ 2802703 h 6858000"/>
              <a:gd name="csX7728" fmla="*/ 7743988 w 12192000"/>
              <a:gd name="csY7728" fmla="*/ 2767883 h 6858000"/>
              <a:gd name="csX7729" fmla="*/ 7709647 w 12192000"/>
              <a:gd name="csY7729" fmla="*/ 2733062 h 6858000"/>
              <a:gd name="csX7730" fmla="*/ 7793389 w 12192000"/>
              <a:gd name="csY7730" fmla="*/ 2733062 h 6858000"/>
              <a:gd name="csX7731" fmla="*/ 7759036 w 12192000"/>
              <a:gd name="csY7731" fmla="*/ 2767883 h 6858000"/>
              <a:gd name="csX7732" fmla="*/ 7793389 w 12192000"/>
              <a:gd name="csY7732" fmla="*/ 2802703 h 6858000"/>
              <a:gd name="csX7733" fmla="*/ 7827729 w 12192000"/>
              <a:gd name="csY7733" fmla="*/ 2767883 h 6858000"/>
              <a:gd name="csX7734" fmla="*/ 7793389 w 12192000"/>
              <a:gd name="csY7734" fmla="*/ 2733062 h 6858000"/>
              <a:gd name="csX7735" fmla="*/ 7877131 w 12192000"/>
              <a:gd name="csY7735" fmla="*/ 2733062 h 6858000"/>
              <a:gd name="csX7736" fmla="*/ 7842778 w 12192000"/>
              <a:gd name="csY7736" fmla="*/ 2767883 h 6858000"/>
              <a:gd name="csX7737" fmla="*/ 7877131 w 12192000"/>
              <a:gd name="csY7737" fmla="*/ 2802703 h 6858000"/>
              <a:gd name="csX7738" fmla="*/ 7911471 w 12192000"/>
              <a:gd name="csY7738" fmla="*/ 2767883 h 6858000"/>
              <a:gd name="csX7739" fmla="*/ 7877131 w 12192000"/>
              <a:gd name="csY7739" fmla="*/ 2733062 h 6858000"/>
              <a:gd name="csX7740" fmla="*/ 7960872 w 12192000"/>
              <a:gd name="csY7740" fmla="*/ 2733062 h 6858000"/>
              <a:gd name="csX7741" fmla="*/ 7926519 w 12192000"/>
              <a:gd name="csY7741" fmla="*/ 2767883 h 6858000"/>
              <a:gd name="csX7742" fmla="*/ 7960872 w 12192000"/>
              <a:gd name="csY7742" fmla="*/ 2802703 h 6858000"/>
              <a:gd name="csX7743" fmla="*/ 7995212 w 12192000"/>
              <a:gd name="csY7743" fmla="*/ 2767883 h 6858000"/>
              <a:gd name="csX7744" fmla="*/ 7960872 w 12192000"/>
              <a:gd name="csY7744" fmla="*/ 2733062 h 6858000"/>
              <a:gd name="csX7745" fmla="*/ 8044614 w 12192000"/>
              <a:gd name="csY7745" fmla="*/ 2733062 h 6858000"/>
              <a:gd name="csX7746" fmla="*/ 8010261 w 12192000"/>
              <a:gd name="csY7746" fmla="*/ 2767883 h 6858000"/>
              <a:gd name="csX7747" fmla="*/ 8044614 w 12192000"/>
              <a:gd name="csY7747" fmla="*/ 2802703 h 6858000"/>
              <a:gd name="csX7748" fmla="*/ 8078955 w 12192000"/>
              <a:gd name="csY7748" fmla="*/ 2767883 h 6858000"/>
              <a:gd name="csX7749" fmla="*/ 8044614 w 12192000"/>
              <a:gd name="csY7749" fmla="*/ 2733062 h 6858000"/>
              <a:gd name="csX7750" fmla="*/ 8128356 w 12192000"/>
              <a:gd name="csY7750" fmla="*/ 2733062 h 6858000"/>
              <a:gd name="csX7751" fmla="*/ 8094003 w 12192000"/>
              <a:gd name="csY7751" fmla="*/ 2767883 h 6858000"/>
              <a:gd name="csX7752" fmla="*/ 8128356 w 12192000"/>
              <a:gd name="csY7752" fmla="*/ 2802703 h 6858000"/>
              <a:gd name="csX7753" fmla="*/ 8162696 w 12192000"/>
              <a:gd name="csY7753" fmla="*/ 2767883 h 6858000"/>
              <a:gd name="csX7754" fmla="*/ 8128356 w 12192000"/>
              <a:gd name="csY7754" fmla="*/ 2733062 h 6858000"/>
              <a:gd name="csX7755" fmla="*/ 8212097 w 12192000"/>
              <a:gd name="csY7755" fmla="*/ 2733062 h 6858000"/>
              <a:gd name="csX7756" fmla="*/ 8177744 w 12192000"/>
              <a:gd name="csY7756" fmla="*/ 2767883 h 6858000"/>
              <a:gd name="csX7757" fmla="*/ 8212097 w 12192000"/>
              <a:gd name="csY7757" fmla="*/ 2802703 h 6858000"/>
              <a:gd name="csX7758" fmla="*/ 8246437 w 12192000"/>
              <a:gd name="csY7758" fmla="*/ 2767883 h 6858000"/>
              <a:gd name="csX7759" fmla="*/ 8212097 w 12192000"/>
              <a:gd name="csY7759" fmla="*/ 2733062 h 6858000"/>
              <a:gd name="csX7760" fmla="*/ 8295839 w 12192000"/>
              <a:gd name="csY7760" fmla="*/ 2733062 h 6858000"/>
              <a:gd name="csX7761" fmla="*/ 8261486 w 12192000"/>
              <a:gd name="csY7761" fmla="*/ 2767883 h 6858000"/>
              <a:gd name="csX7762" fmla="*/ 8295839 w 12192000"/>
              <a:gd name="csY7762" fmla="*/ 2802703 h 6858000"/>
              <a:gd name="csX7763" fmla="*/ 8330179 w 12192000"/>
              <a:gd name="csY7763" fmla="*/ 2767883 h 6858000"/>
              <a:gd name="csX7764" fmla="*/ 8295839 w 12192000"/>
              <a:gd name="csY7764" fmla="*/ 2733062 h 6858000"/>
              <a:gd name="csX7765" fmla="*/ 8379580 w 12192000"/>
              <a:gd name="csY7765" fmla="*/ 2733062 h 6858000"/>
              <a:gd name="csX7766" fmla="*/ 8345227 w 12192000"/>
              <a:gd name="csY7766" fmla="*/ 2767883 h 6858000"/>
              <a:gd name="csX7767" fmla="*/ 8379580 w 12192000"/>
              <a:gd name="csY7767" fmla="*/ 2802703 h 6858000"/>
              <a:gd name="csX7768" fmla="*/ 8413921 w 12192000"/>
              <a:gd name="csY7768" fmla="*/ 2767883 h 6858000"/>
              <a:gd name="csX7769" fmla="*/ 8379580 w 12192000"/>
              <a:gd name="csY7769" fmla="*/ 2733062 h 6858000"/>
              <a:gd name="csX7770" fmla="*/ 8463323 w 12192000"/>
              <a:gd name="csY7770" fmla="*/ 2733062 h 6858000"/>
              <a:gd name="csX7771" fmla="*/ 8428970 w 12192000"/>
              <a:gd name="csY7771" fmla="*/ 2767883 h 6858000"/>
              <a:gd name="csX7772" fmla="*/ 8463323 w 12192000"/>
              <a:gd name="csY7772" fmla="*/ 2802703 h 6858000"/>
              <a:gd name="csX7773" fmla="*/ 8497663 w 12192000"/>
              <a:gd name="csY7773" fmla="*/ 2767883 h 6858000"/>
              <a:gd name="csX7774" fmla="*/ 8463323 w 12192000"/>
              <a:gd name="csY7774" fmla="*/ 2733062 h 6858000"/>
              <a:gd name="csX7775" fmla="*/ 8547064 w 12192000"/>
              <a:gd name="csY7775" fmla="*/ 2733062 h 6858000"/>
              <a:gd name="csX7776" fmla="*/ 8512711 w 12192000"/>
              <a:gd name="csY7776" fmla="*/ 2767883 h 6858000"/>
              <a:gd name="csX7777" fmla="*/ 8547064 w 12192000"/>
              <a:gd name="csY7777" fmla="*/ 2802703 h 6858000"/>
              <a:gd name="csX7778" fmla="*/ 8581404 w 12192000"/>
              <a:gd name="csY7778" fmla="*/ 2767883 h 6858000"/>
              <a:gd name="csX7779" fmla="*/ 8547064 w 12192000"/>
              <a:gd name="csY7779" fmla="*/ 2733062 h 6858000"/>
              <a:gd name="csX7780" fmla="*/ 8630805 w 12192000"/>
              <a:gd name="csY7780" fmla="*/ 2733062 h 6858000"/>
              <a:gd name="csX7781" fmla="*/ 8596452 w 12192000"/>
              <a:gd name="csY7781" fmla="*/ 2767883 h 6858000"/>
              <a:gd name="csX7782" fmla="*/ 8630805 w 12192000"/>
              <a:gd name="csY7782" fmla="*/ 2802703 h 6858000"/>
              <a:gd name="csX7783" fmla="*/ 8665145 w 12192000"/>
              <a:gd name="csY7783" fmla="*/ 2767883 h 6858000"/>
              <a:gd name="csX7784" fmla="*/ 8630805 w 12192000"/>
              <a:gd name="csY7784" fmla="*/ 2733062 h 6858000"/>
              <a:gd name="csX7785" fmla="*/ 8714547 w 12192000"/>
              <a:gd name="csY7785" fmla="*/ 2733062 h 6858000"/>
              <a:gd name="csX7786" fmla="*/ 8680194 w 12192000"/>
              <a:gd name="csY7786" fmla="*/ 2767883 h 6858000"/>
              <a:gd name="csX7787" fmla="*/ 8714547 w 12192000"/>
              <a:gd name="csY7787" fmla="*/ 2802703 h 6858000"/>
              <a:gd name="csX7788" fmla="*/ 8748888 w 12192000"/>
              <a:gd name="csY7788" fmla="*/ 2767883 h 6858000"/>
              <a:gd name="csX7789" fmla="*/ 8714547 w 12192000"/>
              <a:gd name="csY7789" fmla="*/ 2733062 h 6858000"/>
              <a:gd name="csX7790" fmla="*/ 8798289 w 12192000"/>
              <a:gd name="csY7790" fmla="*/ 2733062 h 6858000"/>
              <a:gd name="csX7791" fmla="*/ 8763936 w 12192000"/>
              <a:gd name="csY7791" fmla="*/ 2767883 h 6858000"/>
              <a:gd name="csX7792" fmla="*/ 8798289 w 12192000"/>
              <a:gd name="csY7792" fmla="*/ 2802703 h 6858000"/>
              <a:gd name="csX7793" fmla="*/ 8832629 w 12192000"/>
              <a:gd name="csY7793" fmla="*/ 2767883 h 6858000"/>
              <a:gd name="csX7794" fmla="*/ 8798289 w 12192000"/>
              <a:gd name="csY7794" fmla="*/ 2733062 h 6858000"/>
              <a:gd name="csX7795" fmla="*/ 8882030 w 12192000"/>
              <a:gd name="csY7795" fmla="*/ 2733062 h 6858000"/>
              <a:gd name="csX7796" fmla="*/ 8847677 w 12192000"/>
              <a:gd name="csY7796" fmla="*/ 2767883 h 6858000"/>
              <a:gd name="csX7797" fmla="*/ 8882030 w 12192000"/>
              <a:gd name="csY7797" fmla="*/ 2802703 h 6858000"/>
              <a:gd name="csX7798" fmla="*/ 8916370 w 12192000"/>
              <a:gd name="csY7798" fmla="*/ 2767883 h 6858000"/>
              <a:gd name="csX7799" fmla="*/ 8882030 w 12192000"/>
              <a:gd name="csY7799" fmla="*/ 2733062 h 6858000"/>
              <a:gd name="csX7800" fmla="*/ 8965772 w 12192000"/>
              <a:gd name="csY7800" fmla="*/ 2733062 h 6858000"/>
              <a:gd name="csX7801" fmla="*/ 8931419 w 12192000"/>
              <a:gd name="csY7801" fmla="*/ 2767883 h 6858000"/>
              <a:gd name="csX7802" fmla="*/ 8965772 w 12192000"/>
              <a:gd name="csY7802" fmla="*/ 2802703 h 6858000"/>
              <a:gd name="csX7803" fmla="*/ 9000112 w 12192000"/>
              <a:gd name="csY7803" fmla="*/ 2767883 h 6858000"/>
              <a:gd name="csX7804" fmla="*/ 8965772 w 12192000"/>
              <a:gd name="csY7804" fmla="*/ 2733062 h 6858000"/>
              <a:gd name="csX7805" fmla="*/ 9049513 w 12192000"/>
              <a:gd name="csY7805" fmla="*/ 2733062 h 6858000"/>
              <a:gd name="csX7806" fmla="*/ 9015160 w 12192000"/>
              <a:gd name="csY7806" fmla="*/ 2767883 h 6858000"/>
              <a:gd name="csX7807" fmla="*/ 9049513 w 12192000"/>
              <a:gd name="csY7807" fmla="*/ 2802703 h 6858000"/>
              <a:gd name="csX7808" fmla="*/ 9083854 w 12192000"/>
              <a:gd name="csY7808" fmla="*/ 2767883 h 6858000"/>
              <a:gd name="csX7809" fmla="*/ 9049513 w 12192000"/>
              <a:gd name="csY7809" fmla="*/ 2733062 h 6858000"/>
              <a:gd name="csX7810" fmla="*/ 9133256 w 12192000"/>
              <a:gd name="csY7810" fmla="*/ 2733062 h 6858000"/>
              <a:gd name="csX7811" fmla="*/ 9098903 w 12192000"/>
              <a:gd name="csY7811" fmla="*/ 2767883 h 6858000"/>
              <a:gd name="csX7812" fmla="*/ 9133256 w 12192000"/>
              <a:gd name="csY7812" fmla="*/ 2802703 h 6858000"/>
              <a:gd name="csX7813" fmla="*/ 9167596 w 12192000"/>
              <a:gd name="csY7813" fmla="*/ 2767883 h 6858000"/>
              <a:gd name="csX7814" fmla="*/ 9133256 w 12192000"/>
              <a:gd name="csY7814" fmla="*/ 2733062 h 6858000"/>
              <a:gd name="csX7815" fmla="*/ 9216997 w 12192000"/>
              <a:gd name="csY7815" fmla="*/ 2733062 h 6858000"/>
              <a:gd name="csX7816" fmla="*/ 9182644 w 12192000"/>
              <a:gd name="csY7816" fmla="*/ 2767883 h 6858000"/>
              <a:gd name="csX7817" fmla="*/ 9216997 w 12192000"/>
              <a:gd name="csY7817" fmla="*/ 2802703 h 6858000"/>
              <a:gd name="csX7818" fmla="*/ 9251337 w 12192000"/>
              <a:gd name="csY7818" fmla="*/ 2767883 h 6858000"/>
              <a:gd name="csX7819" fmla="*/ 9216997 w 12192000"/>
              <a:gd name="csY7819" fmla="*/ 2733062 h 6858000"/>
              <a:gd name="csX7820" fmla="*/ 9300738 w 12192000"/>
              <a:gd name="csY7820" fmla="*/ 2733062 h 6858000"/>
              <a:gd name="csX7821" fmla="*/ 9266385 w 12192000"/>
              <a:gd name="csY7821" fmla="*/ 2767883 h 6858000"/>
              <a:gd name="csX7822" fmla="*/ 9300738 w 12192000"/>
              <a:gd name="csY7822" fmla="*/ 2802703 h 6858000"/>
              <a:gd name="csX7823" fmla="*/ 9335078 w 12192000"/>
              <a:gd name="csY7823" fmla="*/ 2767883 h 6858000"/>
              <a:gd name="csX7824" fmla="*/ 9300738 w 12192000"/>
              <a:gd name="csY7824" fmla="*/ 2733062 h 6858000"/>
              <a:gd name="csX7825" fmla="*/ 9384480 w 12192000"/>
              <a:gd name="csY7825" fmla="*/ 2733062 h 6858000"/>
              <a:gd name="csX7826" fmla="*/ 9350127 w 12192000"/>
              <a:gd name="csY7826" fmla="*/ 2767883 h 6858000"/>
              <a:gd name="csX7827" fmla="*/ 9384480 w 12192000"/>
              <a:gd name="csY7827" fmla="*/ 2802703 h 6858000"/>
              <a:gd name="csX7828" fmla="*/ 9418821 w 12192000"/>
              <a:gd name="csY7828" fmla="*/ 2767883 h 6858000"/>
              <a:gd name="csX7829" fmla="*/ 9384480 w 12192000"/>
              <a:gd name="csY7829" fmla="*/ 2733062 h 6858000"/>
              <a:gd name="csX7830" fmla="*/ 9468222 w 12192000"/>
              <a:gd name="csY7830" fmla="*/ 2733062 h 6858000"/>
              <a:gd name="csX7831" fmla="*/ 9433869 w 12192000"/>
              <a:gd name="csY7831" fmla="*/ 2767883 h 6858000"/>
              <a:gd name="csX7832" fmla="*/ 9468222 w 12192000"/>
              <a:gd name="csY7832" fmla="*/ 2802703 h 6858000"/>
              <a:gd name="csX7833" fmla="*/ 9502562 w 12192000"/>
              <a:gd name="csY7833" fmla="*/ 2767883 h 6858000"/>
              <a:gd name="csX7834" fmla="*/ 9468222 w 12192000"/>
              <a:gd name="csY7834" fmla="*/ 2733062 h 6858000"/>
              <a:gd name="csX7835" fmla="*/ 9551963 w 12192000"/>
              <a:gd name="csY7835" fmla="*/ 2733062 h 6858000"/>
              <a:gd name="csX7836" fmla="*/ 9517610 w 12192000"/>
              <a:gd name="csY7836" fmla="*/ 2767883 h 6858000"/>
              <a:gd name="csX7837" fmla="*/ 9551963 w 12192000"/>
              <a:gd name="csY7837" fmla="*/ 2802703 h 6858000"/>
              <a:gd name="csX7838" fmla="*/ 9586303 w 12192000"/>
              <a:gd name="csY7838" fmla="*/ 2767883 h 6858000"/>
              <a:gd name="csX7839" fmla="*/ 9551963 w 12192000"/>
              <a:gd name="csY7839" fmla="*/ 2733062 h 6858000"/>
              <a:gd name="csX7840" fmla="*/ 9635705 w 12192000"/>
              <a:gd name="csY7840" fmla="*/ 2733062 h 6858000"/>
              <a:gd name="csX7841" fmla="*/ 9601352 w 12192000"/>
              <a:gd name="csY7841" fmla="*/ 2767883 h 6858000"/>
              <a:gd name="csX7842" fmla="*/ 9635705 w 12192000"/>
              <a:gd name="csY7842" fmla="*/ 2802703 h 6858000"/>
              <a:gd name="csX7843" fmla="*/ 9670045 w 12192000"/>
              <a:gd name="csY7843" fmla="*/ 2767883 h 6858000"/>
              <a:gd name="csX7844" fmla="*/ 9635705 w 12192000"/>
              <a:gd name="csY7844" fmla="*/ 2733062 h 6858000"/>
              <a:gd name="csX7845" fmla="*/ 10054413 w 12192000"/>
              <a:gd name="csY7845" fmla="*/ 2733062 h 6858000"/>
              <a:gd name="csX7846" fmla="*/ 10020060 w 12192000"/>
              <a:gd name="csY7846" fmla="*/ 2767883 h 6858000"/>
              <a:gd name="csX7847" fmla="*/ 10054413 w 12192000"/>
              <a:gd name="csY7847" fmla="*/ 2802703 h 6858000"/>
              <a:gd name="csX7848" fmla="*/ 10088754 w 12192000"/>
              <a:gd name="csY7848" fmla="*/ 2767883 h 6858000"/>
              <a:gd name="csX7849" fmla="*/ 10054413 w 12192000"/>
              <a:gd name="csY7849" fmla="*/ 2733062 h 6858000"/>
              <a:gd name="csX7850" fmla="*/ 2182674 w 12192000"/>
              <a:gd name="csY7850" fmla="*/ 2817926 h 6858000"/>
              <a:gd name="csX7851" fmla="*/ 2148328 w 12192000"/>
              <a:gd name="csY7851" fmla="*/ 2852746 h 6858000"/>
              <a:gd name="csX7852" fmla="*/ 2182674 w 12192000"/>
              <a:gd name="csY7852" fmla="*/ 2887567 h 6858000"/>
              <a:gd name="csX7853" fmla="*/ 2217021 w 12192000"/>
              <a:gd name="csY7853" fmla="*/ 2852746 h 6858000"/>
              <a:gd name="csX7854" fmla="*/ 2182674 w 12192000"/>
              <a:gd name="csY7854" fmla="*/ 2817926 h 6858000"/>
              <a:gd name="csX7855" fmla="*/ 2266416 w 12192000"/>
              <a:gd name="csY7855" fmla="*/ 2817926 h 6858000"/>
              <a:gd name="csX7856" fmla="*/ 2232069 w 12192000"/>
              <a:gd name="csY7856" fmla="*/ 2852746 h 6858000"/>
              <a:gd name="csX7857" fmla="*/ 2266416 w 12192000"/>
              <a:gd name="csY7857" fmla="*/ 2887567 h 6858000"/>
              <a:gd name="csX7858" fmla="*/ 2300762 w 12192000"/>
              <a:gd name="csY7858" fmla="*/ 2852746 h 6858000"/>
              <a:gd name="csX7859" fmla="*/ 2266416 w 12192000"/>
              <a:gd name="csY7859" fmla="*/ 2817926 h 6858000"/>
              <a:gd name="csX7860" fmla="*/ 2350151 w 12192000"/>
              <a:gd name="csY7860" fmla="*/ 2817926 h 6858000"/>
              <a:gd name="csX7861" fmla="*/ 2315804 w 12192000"/>
              <a:gd name="csY7861" fmla="*/ 2852746 h 6858000"/>
              <a:gd name="csX7862" fmla="*/ 2350151 w 12192000"/>
              <a:gd name="csY7862" fmla="*/ 2887567 h 6858000"/>
              <a:gd name="csX7863" fmla="*/ 2384498 w 12192000"/>
              <a:gd name="csY7863" fmla="*/ 2852746 h 6858000"/>
              <a:gd name="csX7864" fmla="*/ 2350151 w 12192000"/>
              <a:gd name="csY7864" fmla="*/ 2817926 h 6858000"/>
              <a:gd name="csX7865" fmla="*/ 2433893 w 12192000"/>
              <a:gd name="csY7865" fmla="*/ 2817926 h 6858000"/>
              <a:gd name="csX7866" fmla="*/ 2399546 w 12192000"/>
              <a:gd name="csY7866" fmla="*/ 2852746 h 6858000"/>
              <a:gd name="csX7867" fmla="*/ 2433893 w 12192000"/>
              <a:gd name="csY7867" fmla="*/ 2887567 h 6858000"/>
              <a:gd name="csX7868" fmla="*/ 2468240 w 12192000"/>
              <a:gd name="csY7868" fmla="*/ 2852746 h 6858000"/>
              <a:gd name="csX7869" fmla="*/ 2433893 w 12192000"/>
              <a:gd name="csY7869" fmla="*/ 2817926 h 6858000"/>
              <a:gd name="csX7870" fmla="*/ 2517634 w 12192000"/>
              <a:gd name="csY7870" fmla="*/ 2817926 h 6858000"/>
              <a:gd name="csX7871" fmla="*/ 2483288 w 12192000"/>
              <a:gd name="csY7871" fmla="*/ 2852746 h 6858000"/>
              <a:gd name="csX7872" fmla="*/ 2517634 w 12192000"/>
              <a:gd name="csY7872" fmla="*/ 2887567 h 6858000"/>
              <a:gd name="csX7873" fmla="*/ 2551981 w 12192000"/>
              <a:gd name="csY7873" fmla="*/ 2852746 h 6858000"/>
              <a:gd name="csX7874" fmla="*/ 2517634 w 12192000"/>
              <a:gd name="csY7874" fmla="*/ 2817926 h 6858000"/>
              <a:gd name="csX7875" fmla="*/ 2601376 w 12192000"/>
              <a:gd name="csY7875" fmla="*/ 2817926 h 6858000"/>
              <a:gd name="csX7876" fmla="*/ 2567029 w 12192000"/>
              <a:gd name="csY7876" fmla="*/ 2852746 h 6858000"/>
              <a:gd name="csX7877" fmla="*/ 2601376 w 12192000"/>
              <a:gd name="csY7877" fmla="*/ 2887567 h 6858000"/>
              <a:gd name="csX7878" fmla="*/ 2635722 w 12192000"/>
              <a:gd name="csY7878" fmla="*/ 2852746 h 6858000"/>
              <a:gd name="csX7879" fmla="*/ 2601376 w 12192000"/>
              <a:gd name="csY7879" fmla="*/ 2817926 h 6858000"/>
              <a:gd name="csX7880" fmla="*/ 2685118 w 12192000"/>
              <a:gd name="csY7880" fmla="*/ 2817926 h 6858000"/>
              <a:gd name="csX7881" fmla="*/ 2650771 w 12192000"/>
              <a:gd name="csY7881" fmla="*/ 2852746 h 6858000"/>
              <a:gd name="csX7882" fmla="*/ 2685118 w 12192000"/>
              <a:gd name="csY7882" fmla="*/ 2887567 h 6858000"/>
              <a:gd name="csX7883" fmla="*/ 2719465 w 12192000"/>
              <a:gd name="csY7883" fmla="*/ 2852746 h 6858000"/>
              <a:gd name="csX7884" fmla="*/ 2685118 w 12192000"/>
              <a:gd name="csY7884" fmla="*/ 2817926 h 6858000"/>
              <a:gd name="csX7885" fmla="*/ 2768859 w 12192000"/>
              <a:gd name="csY7885" fmla="*/ 2817926 h 6858000"/>
              <a:gd name="csX7886" fmla="*/ 2734512 w 12192000"/>
              <a:gd name="csY7886" fmla="*/ 2852746 h 6858000"/>
              <a:gd name="csX7887" fmla="*/ 2768859 w 12192000"/>
              <a:gd name="csY7887" fmla="*/ 2887567 h 6858000"/>
              <a:gd name="csX7888" fmla="*/ 2803206 w 12192000"/>
              <a:gd name="csY7888" fmla="*/ 2852746 h 6858000"/>
              <a:gd name="csX7889" fmla="*/ 2768859 w 12192000"/>
              <a:gd name="csY7889" fmla="*/ 2817926 h 6858000"/>
              <a:gd name="csX7890" fmla="*/ 2852600 w 12192000"/>
              <a:gd name="csY7890" fmla="*/ 2817926 h 6858000"/>
              <a:gd name="csX7891" fmla="*/ 2818254 w 12192000"/>
              <a:gd name="csY7891" fmla="*/ 2852746 h 6858000"/>
              <a:gd name="csX7892" fmla="*/ 2852600 w 12192000"/>
              <a:gd name="csY7892" fmla="*/ 2887567 h 6858000"/>
              <a:gd name="csX7893" fmla="*/ 2886947 w 12192000"/>
              <a:gd name="csY7893" fmla="*/ 2852746 h 6858000"/>
              <a:gd name="csX7894" fmla="*/ 2852600 w 12192000"/>
              <a:gd name="csY7894" fmla="*/ 2817926 h 6858000"/>
              <a:gd name="csX7895" fmla="*/ 2936343 w 12192000"/>
              <a:gd name="csY7895" fmla="*/ 2817926 h 6858000"/>
              <a:gd name="csX7896" fmla="*/ 2901996 w 12192000"/>
              <a:gd name="csY7896" fmla="*/ 2852746 h 6858000"/>
              <a:gd name="csX7897" fmla="*/ 2936343 w 12192000"/>
              <a:gd name="csY7897" fmla="*/ 2887567 h 6858000"/>
              <a:gd name="csX7898" fmla="*/ 2970689 w 12192000"/>
              <a:gd name="csY7898" fmla="*/ 2852746 h 6858000"/>
              <a:gd name="csX7899" fmla="*/ 2936343 w 12192000"/>
              <a:gd name="csY7899" fmla="*/ 2817926 h 6858000"/>
              <a:gd name="csX7900" fmla="*/ 3020084 w 12192000"/>
              <a:gd name="csY7900" fmla="*/ 2817926 h 6858000"/>
              <a:gd name="csX7901" fmla="*/ 2985737 w 12192000"/>
              <a:gd name="csY7901" fmla="*/ 2852746 h 6858000"/>
              <a:gd name="csX7902" fmla="*/ 3020084 w 12192000"/>
              <a:gd name="csY7902" fmla="*/ 2887567 h 6858000"/>
              <a:gd name="csX7903" fmla="*/ 3054431 w 12192000"/>
              <a:gd name="csY7903" fmla="*/ 2852746 h 6858000"/>
              <a:gd name="csX7904" fmla="*/ 3020084 w 12192000"/>
              <a:gd name="csY7904" fmla="*/ 2817926 h 6858000"/>
              <a:gd name="csX7905" fmla="*/ 3103826 w 12192000"/>
              <a:gd name="csY7905" fmla="*/ 2817926 h 6858000"/>
              <a:gd name="csX7906" fmla="*/ 3069479 w 12192000"/>
              <a:gd name="csY7906" fmla="*/ 2852746 h 6858000"/>
              <a:gd name="csX7907" fmla="*/ 3103826 w 12192000"/>
              <a:gd name="csY7907" fmla="*/ 2887567 h 6858000"/>
              <a:gd name="csX7908" fmla="*/ 3138173 w 12192000"/>
              <a:gd name="csY7908" fmla="*/ 2852746 h 6858000"/>
              <a:gd name="csX7909" fmla="*/ 3103826 w 12192000"/>
              <a:gd name="csY7909" fmla="*/ 2817926 h 6858000"/>
              <a:gd name="csX7910" fmla="*/ 3187567 w 12192000"/>
              <a:gd name="csY7910" fmla="*/ 2817926 h 6858000"/>
              <a:gd name="csX7911" fmla="*/ 3153221 w 12192000"/>
              <a:gd name="csY7911" fmla="*/ 2852746 h 6858000"/>
              <a:gd name="csX7912" fmla="*/ 3187567 w 12192000"/>
              <a:gd name="csY7912" fmla="*/ 2887567 h 6858000"/>
              <a:gd name="csX7913" fmla="*/ 3221914 w 12192000"/>
              <a:gd name="csY7913" fmla="*/ 2852746 h 6858000"/>
              <a:gd name="csX7914" fmla="*/ 3187567 w 12192000"/>
              <a:gd name="csY7914" fmla="*/ 2817926 h 6858000"/>
              <a:gd name="csX7915" fmla="*/ 3271309 w 12192000"/>
              <a:gd name="csY7915" fmla="*/ 2817926 h 6858000"/>
              <a:gd name="csX7916" fmla="*/ 3236962 w 12192000"/>
              <a:gd name="csY7916" fmla="*/ 2852746 h 6858000"/>
              <a:gd name="csX7917" fmla="*/ 3271309 w 12192000"/>
              <a:gd name="csY7917" fmla="*/ 2887567 h 6858000"/>
              <a:gd name="csX7918" fmla="*/ 3305655 w 12192000"/>
              <a:gd name="csY7918" fmla="*/ 2852746 h 6858000"/>
              <a:gd name="csX7919" fmla="*/ 3271309 w 12192000"/>
              <a:gd name="csY7919" fmla="*/ 2817926 h 6858000"/>
              <a:gd name="csX7920" fmla="*/ 3355051 w 12192000"/>
              <a:gd name="csY7920" fmla="*/ 2817926 h 6858000"/>
              <a:gd name="csX7921" fmla="*/ 3320704 w 12192000"/>
              <a:gd name="csY7921" fmla="*/ 2852746 h 6858000"/>
              <a:gd name="csX7922" fmla="*/ 3355051 w 12192000"/>
              <a:gd name="csY7922" fmla="*/ 2887567 h 6858000"/>
              <a:gd name="csX7923" fmla="*/ 3389398 w 12192000"/>
              <a:gd name="csY7923" fmla="*/ 2852746 h 6858000"/>
              <a:gd name="csX7924" fmla="*/ 3355051 w 12192000"/>
              <a:gd name="csY7924" fmla="*/ 2817926 h 6858000"/>
              <a:gd name="csX7925" fmla="*/ 3522533 w 12192000"/>
              <a:gd name="csY7925" fmla="*/ 2817926 h 6858000"/>
              <a:gd name="csX7926" fmla="*/ 3488187 w 12192000"/>
              <a:gd name="csY7926" fmla="*/ 2852746 h 6858000"/>
              <a:gd name="csX7927" fmla="*/ 3522533 w 12192000"/>
              <a:gd name="csY7927" fmla="*/ 2887567 h 6858000"/>
              <a:gd name="csX7928" fmla="*/ 3556880 w 12192000"/>
              <a:gd name="csY7928" fmla="*/ 2852746 h 6858000"/>
              <a:gd name="csX7929" fmla="*/ 3522533 w 12192000"/>
              <a:gd name="csY7929" fmla="*/ 2817926 h 6858000"/>
              <a:gd name="csX7930" fmla="*/ 3606276 w 12192000"/>
              <a:gd name="csY7930" fmla="*/ 2817926 h 6858000"/>
              <a:gd name="csX7931" fmla="*/ 3571929 w 12192000"/>
              <a:gd name="csY7931" fmla="*/ 2852746 h 6858000"/>
              <a:gd name="csX7932" fmla="*/ 3606276 w 12192000"/>
              <a:gd name="csY7932" fmla="*/ 2887567 h 6858000"/>
              <a:gd name="csX7933" fmla="*/ 3640622 w 12192000"/>
              <a:gd name="csY7933" fmla="*/ 2852746 h 6858000"/>
              <a:gd name="csX7934" fmla="*/ 3606276 w 12192000"/>
              <a:gd name="csY7934" fmla="*/ 2817926 h 6858000"/>
              <a:gd name="csX7935" fmla="*/ 3690017 w 12192000"/>
              <a:gd name="csY7935" fmla="*/ 2817926 h 6858000"/>
              <a:gd name="csX7936" fmla="*/ 3655670 w 12192000"/>
              <a:gd name="csY7936" fmla="*/ 2852746 h 6858000"/>
              <a:gd name="csX7937" fmla="*/ 3690017 w 12192000"/>
              <a:gd name="csY7937" fmla="*/ 2887567 h 6858000"/>
              <a:gd name="csX7938" fmla="*/ 3724364 w 12192000"/>
              <a:gd name="csY7938" fmla="*/ 2852746 h 6858000"/>
              <a:gd name="csX7939" fmla="*/ 3690017 w 12192000"/>
              <a:gd name="csY7939" fmla="*/ 2817926 h 6858000"/>
              <a:gd name="csX7940" fmla="*/ 5699823 w 12192000"/>
              <a:gd name="csY7940" fmla="*/ 2817926 h 6858000"/>
              <a:gd name="csX7941" fmla="*/ 5665476 w 12192000"/>
              <a:gd name="csY7941" fmla="*/ 2852746 h 6858000"/>
              <a:gd name="csX7942" fmla="*/ 5699823 w 12192000"/>
              <a:gd name="csY7942" fmla="*/ 2887567 h 6858000"/>
              <a:gd name="csX7943" fmla="*/ 5734170 w 12192000"/>
              <a:gd name="csY7943" fmla="*/ 2852746 h 6858000"/>
              <a:gd name="csX7944" fmla="*/ 5699823 w 12192000"/>
              <a:gd name="csY7944" fmla="*/ 2817926 h 6858000"/>
              <a:gd name="csX7945" fmla="*/ 5783564 w 12192000"/>
              <a:gd name="csY7945" fmla="*/ 2817926 h 6858000"/>
              <a:gd name="csX7946" fmla="*/ 5749218 w 12192000"/>
              <a:gd name="csY7946" fmla="*/ 2852746 h 6858000"/>
              <a:gd name="csX7947" fmla="*/ 5783564 w 12192000"/>
              <a:gd name="csY7947" fmla="*/ 2887567 h 6858000"/>
              <a:gd name="csX7948" fmla="*/ 5817911 w 12192000"/>
              <a:gd name="csY7948" fmla="*/ 2852746 h 6858000"/>
              <a:gd name="csX7949" fmla="*/ 5783564 w 12192000"/>
              <a:gd name="csY7949" fmla="*/ 2817926 h 6858000"/>
              <a:gd name="csX7950" fmla="*/ 5867305 w 12192000"/>
              <a:gd name="csY7950" fmla="*/ 2817926 h 6858000"/>
              <a:gd name="csX7951" fmla="*/ 5832959 w 12192000"/>
              <a:gd name="csY7951" fmla="*/ 2852746 h 6858000"/>
              <a:gd name="csX7952" fmla="*/ 5867305 w 12192000"/>
              <a:gd name="csY7952" fmla="*/ 2887567 h 6858000"/>
              <a:gd name="csX7953" fmla="*/ 5901652 w 12192000"/>
              <a:gd name="csY7953" fmla="*/ 2852746 h 6858000"/>
              <a:gd name="csX7954" fmla="*/ 5867305 w 12192000"/>
              <a:gd name="csY7954" fmla="*/ 2817926 h 6858000"/>
              <a:gd name="csX7955" fmla="*/ 6034789 w 12192000"/>
              <a:gd name="csY7955" fmla="*/ 2817926 h 6858000"/>
              <a:gd name="csX7956" fmla="*/ 6000442 w 12192000"/>
              <a:gd name="csY7956" fmla="*/ 2852746 h 6858000"/>
              <a:gd name="csX7957" fmla="*/ 6034789 w 12192000"/>
              <a:gd name="csY7957" fmla="*/ 2887567 h 6858000"/>
              <a:gd name="csX7958" fmla="*/ 6069136 w 12192000"/>
              <a:gd name="csY7958" fmla="*/ 2852746 h 6858000"/>
              <a:gd name="csX7959" fmla="*/ 6034789 w 12192000"/>
              <a:gd name="csY7959" fmla="*/ 2817926 h 6858000"/>
              <a:gd name="csX7960" fmla="*/ 6202273 w 12192000"/>
              <a:gd name="csY7960" fmla="*/ 2817926 h 6858000"/>
              <a:gd name="csX7961" fmla="*/ 6167920 w 12192000"/>
              <a:gd name="csY7961" fmla="*/ 2852746 h 6858000"/>
              <a:gd name="csX7962" fmla="*/ 6202273 w 12192000"/>
              <a:gd name="csY7962" fmla="*/ 2887567 h 6858000"/>
              <a:gd name="csX7963" fmla="*/ 6236613 w 12192000"/>
              <a:gd name="csY7963" fmla="*/ 2852746 h 6858000"/>
              <a:gd name="csX7964" fmla="*/ 6202273 w 12192000"/>
              <a:gd name="csY7964" fmla="*/ 2817926 h 6858000"/>
              <a:gd name="csX7965" fmla="*/ 6453498 w 12192000"/>
              <a:gd name="csY7965" fmla="*/ 2817926 h 6858000"/>
              <a:gd name="csX7966" fmla="*/ 6419144 w 12192000"/>
              <a:gd name="csY7966" fmla="*/ 2852746 h 6858000"/>
              <a:gd name="csX7967" fmla="*/ 6453498 w 12192000"/>
              <a:gd name="csY7967" fmla="*/ 2887567 h 6858000"/>
              <a:gd name="csX7968" fmla="*/ 6487838 w 12192000"/>
              <a:gd name="csY7968" fmla="*/ 2852746 h 6858000"/>
              <a:gd name="csX7969" fmla="*/ 6453498 w 12192000"/>
              <a:gd name="csY7969" fmla="*/ 2817926 h 6858000"/>
              <a:gd name="csX7970" fmla="*/ 6537239 w 12192000"/>
              <a:gd name="csY7970" fmla="*/ 2817926 h 6858000"/>
              <a:gd name="csX7971" fmla="*/ 6502886 w 12192000"/>
              <a:gd name="csY7971" fmla="*/ 2852746 h 6858000"/>
              <a:gd name="csX7972" fmla="*/ 6537239 w 12192000"/>
              <a:gd name="csY7972" fmla="*/ 2887567 h 6858000"/>
              <a:gd name="csX7973" fmla="*/ 6571579 w 12192000"/>
              <a:gd name="csY7973" fmla="*/ 2852746 h 6858000"/>
              <a:gd name="csX7974" fmla="*/ 6537239 w 12192000"/>
              <a:gd name="csY7974" fmla="*/ 2817926 h 6858000"/>
              <a:gd name="csX7975" fmla="*/ 6620980 w 12192000"/>
              <a:gd name="csY7975" fmla="*/ 2817926 h 6858000"/>
              <a:gd name="csX7976" fmla="*/ 6586627 w 12192000"/>
              <a:gd name="csY7976" fmla="*/ 2852746 h 6858000"/>
              <a:gd name="csX7977" fmla="*/ 6620980 w 12192000"/>
              <a:gd name="csY7977" fmla="*/ 2887567 h 6858000"/>
              <a:gd name="csX7978" fmla="*/ 6655320 w 12192000"/>
              <a:gd name="csY7978" fmla="*/ 2852746 h 6858000"/>
              <a:gd name="csX7979" fmla="*/ 6620980 w 12192000"/>
              <a:gd name="csY7979" fmla="*/ 2817926 h 6858000"/>
              <a:gd name="csX7980" fmla="*/ 7123456 w 12192000"/>
              <a:gd name="csY7980" fmla="*/ 2817926 h 6858000"/>
              <a:gd name="csX7981" fmla="*/ 7089103 w 12192000"/>
              <a:gd name="csY7981" fmla="*/ 2852746 h 6858000"/>
              <a:gd name="csX7982" fmla="*/ 7123456 w 12192000"/>
              <a:gd name="csY7982" fmla="*/ 2887567 h 6858000"/>
              <a:gd name="csX7983" fmla="*/ 7157796 w 12192000"/>
              <a:gd name="csY7983" fmla="*/ 2852746 h 6858000"/>
              <a:gd name="csX7984" fmla="*/ 7123456 w 12192000"/>
              <a:gd name="csY7984" fmla="*/ 2817926 h 6858000"/>
              <a:gd name="csX7985" fmla="*/ 7207198 w 12192000"/>
              <a:gd name="csY7985" fmla="*/ 2817926 h 6858000"/>
              <a:gd name="csX7986" fmla="*/ 7172845 w 12192000"/>
              <a:gd name="csY7986" fmla="*/ 2852746 h 6858000"/>
              <a:gd name="csX7987" fmla="*/ 7207198 w 12192000"/>
              <a:gd name="csY7987" fmla="*/ 2887567 h 6858000"/>
              <a:gd name="csX7988" fmla="*/ 7241538 w 12192000"/>
              <a:gd name="csY7988" fmla="*/ 2852746 h 6858000"/>
              <a:gd name="csX7989" fmla="*/ 7207198 w 12192000"/>
              <a:gd name="csY7989" fmla="*/ 2817926 h 6858000"/>
              <a:gd name="csX7990" fmla="*/ 7458423 w 12192000"/>
              <a:gd name="csY7990" fmla="*/ 2817926 h 6858000"/>
              <a:gd name="csX7991" fmla="*/ 7424070 w 12192000"/>
              <a:gd name="csY7991" fmla="*/ 2852746 h 6858000"/>
              <a:gd name="csX7992" fmla="*/ 7458423 w 12192000"/>
              <a:gd name="csY7992" fmla="*/ 2887567 h 6858000"/>
              <a:gd name="csX7993" fmla="*/ 7492763 w 12192000"/>
              <a:gd name="csY7993" fmla="*/ 2852746 h 6858000"/>
              <a:gd name="csX7994" fmla="*/ 7458423 w 12192000"/>
              <a:gd name="csY7994" fmla="*/ 2817926 h 6858000"/>
              <a:gd name="csX7995" fmla="*/ 7542164 w 12192000"/>
              <a:gd name="csY7995" fmla="*/ 2817926 h 6858000"/>
              <a:gd name="csX7996" fmla="*/ 7507811 w 12192000"/>
              <a:gd name="csY7996" fmla="*/ 2852746 h 6858000"/>
              <a:gd name="csX7997" fmla="*/ 7542164 w 12192000"/>
              <a:gd name="csY7997" fmla="*/ 2887567 h 6858000"/>
              <a:gd name="csX7998" fmla="*/ 7576504 w 12192000"/>
              <a:gd name="csY7998" fmla="*/ 2852746 h 6858000"/>
              <a:gd name="csX7999" fmla="*/ 7542164 w 12192000"/>
              <a:gd name="csY7999" fmla="*/ 2817926 h 6858000"/>
              <a:gd name="csX8000" fmla="*/ 7625906 w 12192000"/>
              <a:gd name="csY8000" fmla="*/ 2817926 h 6858000"/>
              <a:gd name="csX8001" fmla="*/ 7591553 w 12192000"/>
              <a:gd name="csY8001" fmla="*/ 2852746 h 6858000"/>
              <a:gd name="csX8002" fmla="*/ 7625906 w 12192000"/>
              <a:gd name="csY8002" fmla="*/ 2887567 h 6858000"/>
              <a:gd name="csX8003" fmla="*/ 7660246 w 12192000"/>
              <a:gd name="csY8003" fmla="*/ 2852746 h 6858000"/>
              <a:gd name="csX8004" fmla="*/ 7625906 w 12192000"/>
              <a:gd name="csY8004" fmla="*/ 2817926 h 6858000"/>
              <a:gd name="csX8005" fmla="*/ 7709647 w 12192000"/>
              <a:gd name="csY8005" fmla="*/ 2817926 h 6858000"/>
              <a:gd name="csX8006" fmla="*/ 7675294 w 12192000"/>
              <a:gd name="csY8006" fmla="*/ 2852746 h 6858000"/>
              <a:gd name="csX8007" fmla="*/ 7709647 w 12192000"/>
              <a:gd name="csY8007" fmla="*/ 2887567 h 6858000"/>
              <a:gd name="csX8008" fmla="*/ 7743988 w 12192000"/>
              <a:gd name="csY8008" fmla="*/ 2852746 h 6858000"/>
              <a:gd name="csX8009" fmla="*/ 7709647 w 12192000"/>
              <a:gd name="csY8009" fmla="*/ 2817926 h 6858000"/>
              <a:gd name="csX8010" fmla="*/ 7793389 w 12192000"/>
              <a:gd name="csY8010" fmla="*/ 2817926 h 6858000"/>
              <a:gd name="csX8011" fmla="*/ 7759036 w 12192000"/>
              <a:gd name="csY8011" fmla="*/ 2852746 h 6858000"/>
              <a:gd name="csX8012" fmla="*/ 7793389 w 12192000"/>
              <a:gd name="csY8012" fmla="*/ 2887567 h 6858000"/>
              <a:gd name="csX8013" fmla="*/ 7827729 w 12192000"/>
              <a:gd name="csY8013" fmla="*/ 2852746 h 6858000"/>
              <a:gd name="csX8014" fmla="*/ 7793389 w 12192000"/>
              <a:gd name="csY8014" fmla="*/ 2817926 h 6858000"/>
              <a:gd name="csX8015" fmla="*/ 7877131 w 12192000"/>
              <a:gd name="csY8015" fmla="*/ 2817926 h 6858000"/>
              <a:gd name="csX8016" fmla="*/ 7842778 w 12192000"/>
              <a:gd name="csY8016" fmla="*/ 2852746 h 6858000"/>
              <a:gd name="csX8017" fmla="*/ 7877131 w 12192000"/>
              <a:gd name="csY8017" fmla="*/ 2887567 h 6858000"/>
              <a:gd name="csX8018" fmla="*/ 7911471 w 12192000"/>
              <a:gd name="csY8018" fmla="*/ 2852746 h 6858000"/>
              <a:gd name="csX8019" fmla="*/ 7877131 w 12192000"/>
              <a:gd name="csY8019" fmla="*/ 2817926 h 6858000"/>
              <a:gd name="csX8020" fmla="*/ 7960872 w 12192000"/>
              <a:gd name="csY8020" fmla="*/ 2817926 h 6858000"/>
              <a:gd name="csX8021" fmla="*/ 7926519 w 12192000"/>
              <a:gd name="csY8021" fmla="*/ 2852746 h 6858000"/>
              <a:gd name="csX8022" fmla="*/ 7960872 w 12192000"/>
              <a:gd name="csY8022" fmla="*/ 2887567 h 6858000"/>
              <a:gd name="csX8023" fmla="*/ 7995212 w 12192000"/>
              <a:gd name="csY8023" fmla="*/ 2852746 h 6858000"/>
              <a:gd name="csX8024" fmla="*/ 7960872 w 12192000"/>
              <a:gd name="csY8024" fmla="*/ 2817926 h 6858000"/>
              <a:gd name="csX8025" fmla="*/ 8044614 w 12192000"/>
              <a:gd name="csY8025" fmla="*/ 2817926 h 6858000"/>
              <a:gd name="csX8026" fmla="*/ 8010261 w 12192000"/>
              <a:gd name="csY8026" fmla="*/ 2852746 h 6858000"/>
              <a:gd name="csX8027" fmla="*/ 8044614 w 12192000"/>
              <a:gd name="csY8027" fmla="*/ 2887567 h 6858000"/>
              <a:gd name="csX8028" fmla="*/ 8078955 w 12192000"/>
              <a:gd name="csY8028" fmla="*/ 2852746 h 6858000"/>
              <a:gd name="csX8029" fmla="*/ 8044614 w 12192000"/>
              <a:gd name="csY8029" fmla="*/ 2817926 h 6858000"/>
              <a:gd name="csX8030" fmla="*/ 8128356 w 12192000"/>
              <a:gd name="csY8030" fmla="*/ 2817926 h 6858000"/>
              <a:gd name="csX8031" fmla="*/ 8094003 w 12192000"/>
              <a:gd name="csY8031" fmla="*/ 2852746 h 6858000"/>
              <a:gd name="csX8032" fmla="*/ 8128356 w 12192000"/>
              <a:gd name="csY8032" fmla="*/ 2887567 h 6858000"/>
              <a:gd name="csX8033" fmla="*/ 8162696 w 12192000"/>
              <a:gd name="csY8033" fmla="*/ 2852746 h 6858000"/>
              <a:gd name="csX8034" fmla="*/ 8128356 w 12192000"/>
              <a:gd name="csY8034" fmla="*/ 2817926 h 6858000"/>
              <a:gd name="csX8035" fmla="*/ 8212097 w 12192000"/>
              <a:gd name="csY8035" fmla="*/ 2817926 h 6858000"/>
              <a:gd name="csX8036" fmla="*/ 8177744 w 12192000"/>
              <a:gd name="csY8036" fmla="*/ 2852746 h 6858000"/>
              <a:gd name="csX8037" fmla="*/ 8212097 w 12192000"/>
              <a:gd name="csY8037" fmla="*/ 2887567 h 6858000"/>
              <a:gd name="csX8038" fmla="*/ 8246437 w 12192000"/>
              <a:gd name="csY8038" fmla="*/ 2852746 h 6858000"/>
              <a:gd name="csX8039" fmla="*/ 8212097 w 12192000"/>
              <a:gd name="csY8039" fmla="*/ 2817926 h 6858000"/>
              <a:gd name="csX8040" fmla="*/ 8295839 w 12192000"/>
              <a:gd name="csY8040" fmla="*/ 2817926 h 6858000"/>
              <a:gd name="csX8041" fmla="*/ 8261486 w 12192000"/>
              <a:gd name="csY8041" fmla="*/ 2852746 h 6858000"/>
              <a:gd name="csX8042" fmla="*/ 8295839 w 12192000"/>
              <a:gd name="csY8042" fmla="*/ 2887567 h 6858000"/>
              <a:gd name="csX8043" fmla="*/ 8330179 w 12192000"/>
              <a:gd name="csY8043" fmla="*/ 2852746 h 6858000"/>
              <a:gd name="csX8044" fmla="*/ 8295839 w 12192000"/>
              <a:gd name="csY8044" fmla="*/ 2817926 h 6858000"/>
              <a:gd name="csX8045" fmla="*/ 8379580 w 12192000"/>
              <a:gd name="csY8045" fmla="*/ 2817926 h 6858000"/>
              <a:gd name="csX8046" fmla="*/ 8345227 w 12192000"/>
              <a:gd name="csY8046" fmla="*/ 2852746 h 6858000"/>
              <a:gd name="csX8047" fmla="*/ 8379580 w 12192000"/>
              <a:gd name="csY8047" fmla="*/ 2887567 h 6858000"/>
              <a:gd name="csX8048" fmla="*/ 8413921 w 12192000"/>
              <a:gd name="csY8048" fmla="*/ 2852746 h 6858000"/>
              <a:gd name="csX8049" fmla="*/ 8379580 w 12192000"/>
              <a:gd name="csY8049" fmla="*/ 2817926 h 6858000"/>
              <a:gd name="csX8050" fmla="*/ 8463323 w 12192000"/>
              <a:gd name="csY8050" fmla="*/ 2817926 h 6858000"/>
              <a:gd name="csX8051" fmla="*/ 8428970 w 12192000"/>
              <a:gd name="csY8051" fmla="*/ 2852746 h 6858000"/>
              <a:gd name="csX8052" fmla="*/ 8463323 w 12192000"/>
              <a:gd name="csY8052" fmla="*/ 2887567 h 6858000"/>
              <a:gd name="csX8053" fmla="*/ 8497663 w 12192000"/>
              <a:gd name="csY8053" fmla="*/ 2852746 h 6858000"/>
              <a:gd name="csX8054" fmla="*/ 8463323 w 12192000"/>
              <a:gd name="csY8054" fmla="*/ 2817926 h 6858000"/>
              <a:gd name="csX8055" fmla="*/ 8547064 w 12192000"/>
              <a:gd name="csY8055" fmla="*/ 2817926 h 6858000"/>
              <a:gd name="csX8056" fmla="*/ 8512711 w 12192000"/>
              <a:gd name="csY8056" fmla="*/ 2852746 h 6858000"/>
              <a:gd name="csX8057" fmla="*/ 8547064 w 12192000"/>
              <a:gd name="csY8057" fmla="*/ 2887567 h 6858000"/>
              <a:gd name="csX8058" fmla="*/ 8581404 w 12192000"/>
              <a:gd name="csY8058" fmla="*/ 2852746 h 6858000"/>
              <a:gd name="csX8059" fmla="*/ 8547064 w 12192000"/>
              <a:gd name="csY8059" fmla="*/ 2817926 h 6858000"/>
              <a:gd name="csX8060" fmla="*/ 8630805 w 12192000"/>
              <a:gd name="csY8060" fmla="*/ 2817926 h 6858000"/>
              <a:gd name="csX8061" fmla="*/ 8596452 w 12192000"/>
              <a:gd name="csY8061" fmla="*/ 2852746 h 6858000"/>
              <a:gd name="csX8062" fmla="*/ 8630805 w 12192000"/>
              <a:gd name="csY8062" fmla="*/ 2887567 h 6858000"/>
              <a:gd name="csX8063" fmla="*/ 8665145 w 12192000"/>
              <a:gd name="csY8063" fmla="*/ 2852746 h 6858000"/>
              <a:gd name="csX8064" fmla="*/ 8630805 w 12192000"/>
              <a:gd name="csY8064" fmla="*/ 2817926 h 6858000"/>
              <a:gd name="csX8065" fmla="*/ 8714547 w 12192000"/>
              <a:gd name="csY8065" fmla="*/ 2817926 h 6858000"/>
              <a:gd name="csX8066" fmla="*/ 8680194 w 12192000"/>
              <a:gd name="csY8066" fmla="*/ 2852746 h 6858000"/>
              <a:gd name="csX8067" fmla="*/ 8714547 w 12192000"/>
              <a:gd name="csY8067" fmla="*/ 2887567 h 6858000"/>
              <a:gd name="csX8068" fmla="*/ 8748888 w 12192000"/>
              <a:gd name="csY8068" fmla="*/ 2852746 h 6858000"/>
              <a:gd name="csX8069" fmla="*/ 8714547 w 12192000"/>
              <a:gd name="csY8069" fmla="*/ 2817926 h 6858000"/>
              <a:gd name="csX8070" fmla="*/ 8798289 w 12192000"/>
              <a:gd name="csY8070" fmla="*/ 2817926 h 6858000"/>
              <a:gd name="csX8071" fmla="*/ 8763936 w 12192000"/>
              <a:gd name="csY8071" fmla="*/ 2852746 h 6858000"/>
              <a:gd name="csX8072" fmla="*/ 8798289 w 12192000"/>
              <a:gd name="csY8072" fmla="*/ 2887567 h 6858000"/>
              <a:gd name="csX8073" fmla="*/ 8832629 w 12192000"/>
              <a:gd name="csY8073" fmla="*/ 2852746 h 6858000"/>
              <a:gd name="csX8074" fmla="*/ 8798289 w 12192000"/>
              <a:gd name="csY8074" fmla="*/ 2817926 h 6858000"/>
              <a:gd name="csX8075" fmla="*/ 8882030 w 12192000"/>
              <a:gd name="csY8075" fmla="*/ 2817926 h 6858000"/>
              <a:gd name="csX8076" fmla="*/ 8847677 w 12192000"/>
              <a:gd name="csY8076" fmla="*/ 2852746 h 6858000"/>
              <a:gd name="csX8077" fmla="*/ 8882030 w 12192000"/>
              <a:gd name="csY8077" fmla="*/ 2887567 h 6858000"/>
              <a:gd name="csX8078" fmla="*/ 8916370 w 12192000"/>
              <a:gd name="csY8078" fmla="*/ 2852746 h 6858000"/>
              <a:gd name="csX8079" fmla="*/ 8882030 w 12192000"/>
              <a:gd name="csY8079" fmla="*/ 2817926 h 6858000"/>
              <a:gd name="csX8080" fmla="*/ 8965772 w 12192000"/>
              <a:gd name="csY8080" fmla="*/ 2817926 h 6858000"/>
              <a:gd name="csX8081" fmla="*/ 8931419 w 12192000"/>
              <a:gd name="csY8081" fmla="*/ 2852746 h 6858000"/>
              <a:gd name="csX8082" fmla="*/ 8965772 w 12192000"/>
              <a:gd name="csY8082" fmla="*/ 2887567 h 6858000"/>
              <a:gd name="csX8083" fmla="*/ 9000112 w 12192000"/>
              <a:gd name="csY8083" fmla="*/ 2852746 h 6858000"/>
              <a:gd name="csX8084" fmla="*/ 8965772 w 12192000"/>
              <a:gd name="csY8084" fmla="*/ 2817926 h 6858000"/>
              <a:gd name="csX8085" fmla="*/ 9049513 w 12192000"/>
              <a:gd name="csY8085" fmla="*/ 2817926 h 6858000"/>
              <a:gd name="csX8086" fmla="*/ 9015160 w 12192000"/>
              <a:gd name="csY8086" fmla="*/ 2852746 h 6858000"/>
              <a:gd name="csX8087" fmla="*/ 9049513 w 12192000"/>
              <a:gd name="csY8087" fmla="*/ 2887567 h 6858000"/>
              <a:gd name="csX8088" fmla="*/ 9083854 w 12192000"/>
              <a:gd name="csY8088" fmla="*/ 2852746 h 6858000"/>
              <a:gd name="csX8089" fmla="*/ 9049513 w 12192000"/>
              <a:gd name="csY8089" fmla="*/ 2817926 h 6858000"/>
              <a:gd name="csX8090" fmla="*/ 9133256 w 12192000"/>
              <a:gd name="csY8090" fmla="*/ 2817926 h 6858000"/>
              <a:gd name="csX8091" fmla="*/ 9098903 w 12192000"/>
              <a:gd name="csY8091" fmla="*/ 2852746 h 6858000"/>
              <a:gd name="csX8092" fmla="*/ 9133256 w 12192000"/>
              <a:gd name="csY8092" fmla="*/ 2887567 h 6858000"/>
              <a:gd name="csX8093" fmla="*/ 9167596 w 12192000"/>
              <a:gd name="csY8093" fmla="*/ 2852746 h 6858000"/>
              <a:gd name="csX8094" fmla="*/ 9133256 w 12192000"/>
              <a:gd name="csY8094" fmla="*/ 2817926 h 6858000"/>
              <a:gd name="csX8095" fmla="*/ 9216997 w 12192000"/>
              <a:gd name="csY8095" fmla="*/ 2817926 h 6858000"/>
              <a:gd name="csX8096" fmla="*/ 9182644 w 12192000"/>
              <a:gd name="csY8096" fmla="*/ 2852746 h 6858000"/>
              <a:gd name="csX8097" fmla="*/ 9216997 w 12192000"/>
              <a:gd name="csY8097" fmla="*/ 2887567 h 6858000"/>
              <a:gd name="csX8098" fmla="*/ 9251337 w 12192000"/>
              <a:gd name="csY8098" fmla="*/ 2852746 h 6858000"/>
              <a:gd name="csX8099" fmla="*/ 9216997 w 12192000"/>
              <a:gd name="csY8099" fmla="*/ 2817926 h 6858000"/>
              <a:gd name="csX8100" fmla="*/ 9300738 w 12192000"/>
              <a:gd name="csY8100" fmla="*/ 2817926 h 6858000"/>
              <a:gd name="csX8101" fmla="*/ 9266385 w 12192000"/>
              <a:gd name="csY8101" fmla="*/ 2852746 h 6858000"/>
              <a:gd name="csX8102" fmla="*/ 9300738 w 12192000"/>
              <a:gd name="csY8102" fmla="*/ 2887567 h 6858000"/>
              <a:gd name="csX8103" fmla="*/ 9335078 w 12192000"/>
              <a:gd name="csY8103" fmla="*/ 2852746 h 6858000"/>
              <a:gd name="csX8104" fmla="*/ 9300738 w 12192000"/>
              <a:gd name="csY8104" fmla="*/ 2817926 h 6858000"/>
              <a:gd name="csX8105" fmla="*/ 9384480 w 12192000"/>
              <a:gd name="csY8105" fmla="*/ 2817926 h 6858000"/>
              <a:gd name="csX8106" fmla="*/ 9350127 w 12192000"/>
              <a:gd name="csY8106" fmla="*/ 2852746 h 6858000"/>
              <a:gd name="csX8107" fmla="*/ 9384480 w 12192000"/>
              <a:gd name="csY8107" fmla="*/ 2887567 h 6858000"/>
              <a:gd name="csX8108" fmla="*/ 9418821 w 12192000"/>
              <a:gd name="csY8108" fmla="*/ 2852746 h 6858000"/>
              <a:gd name="csX8109" fmla="*/ 9384480 w 12192000"/>
              <a:gd name="csY8109" fmla="*/ 2817926 h 6858000"/>
              <a:gd name="csX8110" fmla="*/ 9635705 w 12192000"/>
              <a:gd name="csY8110" fmla="*/ 2817926 h 6858000"/>
              <a:gd name="csX8111" fmla="*/ 9601352 w 12192000"/>
              <a:gd name="csY8111" fmla="*/ 2852746 h 6858000"/>
              <a:gd name="csX8112" fmla="*/ 9635705 w 12192000"/>
              <a:gd name="csY8112" fmla="*/ 2887567 h 6858000"/>
              <a:gd name="csX8113" fmla="*/ 9670045 w 12192000"/>
              <a:gd name="csY8113" fmla="*/ 2852746 h 6858000"/>
              <a:gd name="csX8114" fmla="*/ 9635705 w 12192000"/>
              <a:gd name="csY8114" fmla="*/ 2817926 h 6858000"/>
              <a:gd name="csX8115" fmla="*/ 10054413 w 12192000"/>
              <a:gd name="csY8115" fmla="*/ 2817926 h 6858000"/>
              <a:gd name="csX8116" fmla="*/ 10020060 w 12192000"/>
              <a:gd name="csY8116" fmla="*/ 2852746 h 6858000"/>
              <a:gd name="csX8117" fmla="*/ 10054413 w 12192000"/>
              <a:gd name="csY8117" fmla="*/ 2887567 h 6858000"/>
              <a:gd name="csX8118" fmla="*/ 10088754 w 12192000"/>
              <a:gd name="csY8118" fmla="*/ 2852746 h 6858000"/>
              <a:gd name="csX8119" fmla="*/ 10054413 w 12192000"/>
              <a:gd name="csY8119" fmla="*/ 2817926 h 6858000"/>
              <a:gd name="csX8120" fmla="*/ 2266416 w 12192000"/>
              <a:gd name="csY8120" fmla="*/ 2902790 h 6858000"/>
              <a:gd name="csX8121" fmla="*/ 2232069 w 12192000"/>
              <a:gd name="csY8121" fmla="*/ 2937610 h 6858000"/>
              <a:gd name="csX8122" fmla="*/ 2266416 w 12192000"/>
              <a:gd name="csY8122" fmla="*/ 2972430 h 6858000"/>
              <a:gd name="csX8123" fmla="*/ 2300762 w 12192000"/>
              <a:gd name="csY8123" fmla="*/ 2937610 h 6858000"/>
              <a:gd name="csX8124" fmla="*/ 2266416 w 12192000"/>
              <a:gd name="csY8124" fmla="*/ 2902790 h 6858000"/>
              <a:gd name="csX8125" fmla="*/ 2350151 w 12192000"/>
              <a:gd name="csY8125" fmla="*/ 2902790 h 6858000"/>
              <a:gd name="csX8126" fmla="*/ 2315804 w 12192000"/>
              <a:gd name="csY8126" fmla="*/ 2937610 h 6858000"/>
              <a:gd name="csX8127" fmla="*/ 2350151 w 12192000"/>
              <a:gd name="csY8127" fmla="*/ 2972430 h 6858000"/>
              <a:gd name="csX8128" fmla="*/ 2384498 w 12192000"/>
              <a:gd name="csY8128" fmla="*/ 2937610 h 6858000"/>
              <a:gd name="csX8129" fmla="*/ 2350151 w 12192000"/>
              <a:gd name="csY8129" fmla="*/ 2902790 h 6858000"/>
              <a:gd name="csX8130" fmla="*/ 2433893 w 12192000"/>
              <a:gd name="csY8130" fmla="*/ 2902790 h 6858000"/>
              <a:gd name="csX8131" fmla="*/ 2399546 w 12192000"/>
              <a:gd name="csY8131" fmla="*/ 2937610 h 6858000"/>
              <a:gd name="csX8132" fmla="*/ 2433893 w 12192000"/>
              <a:gd name="csY8132" fmla="*/ 2972430 h 6858000"/>
              <a:gd name="csX8133" fmla="*/ 2468240 w 12192000"/>
              <a:gd name="csY8133" fmla="*/ 2937610 h 6858000"/>
              <a:gd name="csX8134" fmla="*/ 2433893 w 12192000"/>
              <a:gd name="csY8134" fmla="*/ 2902790 h 6858000"/>
              <a:gd name="csX8135" fmla="*/ 2517634 w 12192000"/>
              <a:gd name="csY8135" fmla="*/ 2902790 h 6858000"/>
              <a:gd name="csX8136" fmla="*/ 2483288 w 12192000"/>
              <a:gd name="csY8136" fmla="*/ 2937610 h 6858000"/>
              <a:gd name="csX8137" fmla="*/ 2517634 w 12192000"/>
              <a:gd name="csY8137" fmla="*/ 2972430 h 6858000"/>
              <a:gd name="csX8138" fmla="*/ 2551981 w 12192000"/>
              <a:gd name="csY8138" fmla="*/ 2937610 h 6858000"/>
              <a:gd name="csX8139" fmla="*/ 2517634 w 12192000"/>
              <a:gd name="csY8139" fmla="*/ 2902790 h 6858000"/>
              <a:gd name="csX8140" fmla="*/ 2601376 w 12192000"/>
              <a:gd name="csY8140" fmla="*/ 2902790 h 6858000"/>
              <a:gd name="csX8141" fmla="*/ 2567029 w 12192000"/>
              <a:gd name="csY8141" fmla="*/ 2937610 h 6858000"/>
              <a:gd name="csX8142" fmla="*/ 2601376 w 12192000"/>
              <a:gd name="csY8142" fmla="*/ 2972430 h 6858000"/>
              <a:gd name="csX8143" fmla="*/ 2635722 w 12192000"/>
              <a:gd name="csY8143" fmla="*/ 2937610 h 6858000"/>
              <a:gd name="csX8144" fmla="*/ 2601376 w 12192000"/>
              <a:gd name="csY8144" fmla="*/ 2902790 h 6858000"/>
              <a:gd name="csX8145" fmla="*/ 2685118 w 12192000"/>
              <a:gd name="csY8145" fmla="*/ 2902790 h 6858000"/>
              <a:gd name="csX8146" fmla="*/ 2650771 w 12192000"/>
              <a:gd name="csY8146" fmla="*/ 2937610 h 6858000"/>
              <a:gd name="csX8147" fmla="*/ 2685118 w 12192000"/>
              <a:gd name="csY8147" fmla="*/ 2972430 h 6858000"/>
              <a:gd name="csX8148" fmla="*/ 2719465 w 12192000"/>
              <a:gd name="csY8148" fmla="*/ 2937610 h 6858000"/>
              <a:gd name="csX8149" fmla="*/ 2685118 w 12192000"/>
              <a:gd name="csY8149" fmla="*/ 2902790 h 6858000"/>
              <a:gd name="csX8150" fmla="*/ 2768859 w 12192000"/>
              <a:gd name="csY8150" fmla="*/ 2902790 h 6858000"/>
              <a:gd name="csX8151" fmla="*/ 2734512 w 12192000"/>
              <a:gd name="csY8151" fmla="*/ 2937610 h 6858000"/>
              <a:gd name="csX8152" fmla="*/ 2768859 w 12192000"/>
              <a:gd name="csY8152" fmla="*/ 2972430 h 6858000"/>
              <a:gd name="csX8153" fmla="*/ 2803206 w 12192000"/>
              <a:gd name="csY8153" fmla="*/ 2937610 h 6858000"/>
              <a:gd name="csX8154" fmla="*/ 2768859 w 12192000"/>
              <a:gd name="csY8154" fmla="*/ 2902790 h 6858000"/>
              <a:gd name="csX8155" fmla="*/ 2852600 w 12192000"/>
              <a:gd name="csY8155" fmla="*/ 2902790 h 6858000"/>
              <a:gd name="csX8156" fmla="*/ 2818254 w 12192000"/>
              <a:gd name="csY8156" fmla="*/ 2937610 h 6858000"/>
              <a:gd name="csX8157" fmla="*/ 2852600 w 12192000"/>
              <a:gd name="csY8157" fmla="*/ 2972430 h 6858000"/>
              <a:gd name="csX8158" fmla="*/ 2886947 w 12192000"/>
              <a:gd name="csY8158" fmla="*/ 2937610 h 6858000"/>
              <a:gd name="csX8159" fmla="*/ 2852600 w 12192000"/>
              <a:gd name="csY8159" fmla="*/ 2902790 h 6858000"/>
              <a:gd name="csX8160" fmla="*/ 2936343 w 12192000"/>
              <a:gd name="csY8160" fmla="*/ 2902790 h 6858000"/>
              <a:gd name="csX8161" fmla="*/ 2901996 w 12192000"/>
              <a:gd name="csY8161" fmla="*/ 2937610 h 6858000"/>
              <a:gd name="csX8162" fmla="*/ 2936343 w 12192000"/>
              <a:gd name="csY8162" fmla="*/ 2972430 h 6858000"/>
              <a:gd name="csX8163" fmla="*/ 2970689 w 12192000"/>
              <a:gd name="csY8163" fmla="*/ 2937610 h 6858000"/>
              <a:gd name="csX8164" fmla="*/ 2936343 w 12192000"/>
              <a:gd name="csY8164" fmla="*/ 2902790 h 6858000"/>
              <a:gd name="csX8165" fmla="*/ 3020084 w 12192000"/>
              <a:gd name="csY8165" fmla="*/ 2902790 h 6858000"/>
              <a:gd name="csX8166" fmla="*/ 2985737 w 12192000"/>
              <a:gd name="csY8166" fmla="*/ 2937610 h 6858000"/>
              <a:gd name="csX8167" fmla="*/ 3020084 w 12192000"/>
              <a:gd name="csY8167" fmla="*/ 2972430 h 6858000"/>
              <a:gd name="csX8168" fmla="*/ 3054431 w 12192000"/>
              <a:gd name="csY8168" fmla="*/ 2937610 h 6858000"/>
              <a:gd name="csX8169" fmla="*/ 3020084 w 12192000"/>
              <a:gd name="csY8169" fmla="*/ 2902790 h 6858000"/>
              <a:gd name="csX8170" fmla="*/ 3103826 w 12192000"/>
              <a:gd name="csY8170" fmla="*/ 2902790 h 6858000"/>
              <a:gd name="csX8171" fmla="*/ 3069479 w 12192000"/>
              <a:gd name="csY8171" fmla="*/ 2937610 h 6858000"/>
              <a:gd name="csX8172" fmla="*/ 3103826 w 12192000"/>
              <a:gd name="csY8172" fmla="*/ 2972430 h 6858000"/>
              <a:gd name="csX8173" fmla="*/ 3138173 w 12192000"/>
              <a:gd name="csY8173" fmla="*/ 2937610 h 6858000"/>
              <a:gd name="csX8174" fmla="*/ 3103826 w 12192000"/>
              <a:gd name="csY8174" fmla="*/ 2902790 h 6858000"/>
              <a:gd name="csX8175" fmla="*/ 3187567 w 12192000"/>
              <a:gd name="csY8175" fmla="*/ 2902790 h 6858000"/>
              <a:gd name="csX8176" fmla="*/ 3153221 w 12192000"/>
              <a:gd name="csY8176" fmla="*/ 2937610 h 6858000"/>
              <a:gd name="csX8177" fmla="*/ 3187567 w 12192000"/>
              <a:gd name="csY8177" fmla="*/ 2972430 h 6858000"/>
              <a:gd name="csX8178" fmla="*/ 3221914 w 12192000"/>
              <a:gd name="csY8178" fmla="*/ 2937610 h 6858000"/>
              <a:gd name="csX8179" fmla="*/ 3187567 w 12192000"/>
              <a:gd name="csY8179" fmla="*/ 2902790 h 6858000"/>
              <a:gd name="csX8180" fmla="*/ 3271309 w 12192000"/>
              <a:gd name="csY8180" fmla="*/ 2902790 h 6858000"/>
              <a:gd name="csX8181" fmla="*/ 3236962 w 12192000"/>
              <a:gd name="csY8181" fmla="*/ 2937610 h 6858000"/>
              <a:gd name="csX8182" fmla="*/ 3271309 w 12192000"/>
              <a:gd name="csY8182" fmla="*/ 2972430 h 6858000"/>
              <a:gd name="csX8183" fmla="*/ 3305655 w 12192000"/>
              <a:gd name="csY8183" fmla="*/ 2937610 h 6858000"/>
              <a:gd name="csX8184" fmla="*/ 3271309 w 12192000"/>
              <a:gd name="csY8184" fmla="*/ 2902790 h 6858000"/>
              <a:gd name="csX8185" fmla="*/ 3355051 w 12192000"/>
              <a:gd name="csY8185" fmla="*/ 2902790 h 6858000"/>
              <a:gd name="csX8186" fmla="*/ 3320704 w 12192000"/>
              <a:gd name="csY8186" fmla="*/ 2937610 h 6858000"/>
              <a:gd name="csX8187" fmla="*/ 3355051 w 12192000"/>
              <a:gd name="csY8187" fmla="*/ 2972430 h 6858000"/>
              <a:gd name="csX8188" fmla="*/ 3389398 w 12192000"/>
              <a:gd name="csY8188" fmla="*/ 2937610 h 6858000"/>
              <a:gd name="csX8189" fmla="*/ 3355051 w 12192000"/>
              <a:gd name="csY8189" fmla="*/ 2902790 h 6858000"/>
              <a:gd name="csX8190" fmla="*/ 3438792 w 12192000"/>
              <a:gd name="csY8190" fmla="*/ 2902790 h 6858000"/>
              <a:gd name="csX8191" fmla="*/ 3404445 w 12192000"/>
              <a:gd name="csY8191" fmla="*/ 2937610 h 6858000"/>
              <a:gd name="csX8192" fmla="*/ 3438792 w 12192000"/>
              <a:gd name="csY8192" fmla="*/ 2972430 h 6858000"/>
              <a:gd name="csX8193" fmla="*/ 3473139 w 12192000"/>
              <a:gd name="csY8193" fmla="*/ 2937610 h 6858000"/>
              <a:gd name="csX8194" fmla="*/ 3438792 w 12192000"/>
              <a:gd name="csY8194" fmla="*/ 2902790 h 6858000"/>
              <a:gd name="csX8195" fmla="*/ 3522533 w 12192000"/>
              <a:gd name="csY8195" fmla="*/ 2902790 h 6858000"/>
              <a:gd name="csX8196" fmla="*/ 3488187 w 12192000"/>
              <a:gd name="csY8196" fmla="*/ 2937610 h 6858000"/>
              <a:gd name="csX8197" fmla="*/ 3522533 w 12192000"/>
              <a:gd name="csY8197" fmla="*/ 2972430 h 6858000"/>
              <a:gd name="csX8198" fmla="*/ 3556880 w 12192000"/>
              <a:gd name="csY8198" fmla="*/ 2937610 h 6858000"/>
              <a:gd name="csX8199" fmla="*/ 3522533 w 12192000"/>
              <a:gd name="csY8199" fmla="*/ 2902790 h 6858000"/>
              <a:gd name="csX8200" fmla="*/ 3606276 w 12192000"/>
              <a:gd name="csY8200" fmla="*/ 2902790 h 6858000"/>
              <a:gd name="csX8201" fmla="*/ 3571929 w 12192000"/>
              <a:gd name="csY8201" fmla="*/ 2937610 h 6858000"/>
              <a:gd name="csX8202" fmla="*/ 3606276 w 12192000"/>
              <a:gd name="csY8202" fmla="*/ 2972430 h 6858000"/>
              <a:gd name="csX8203" fmla="*/ 3640622 w 12192000"/>
              <a:gd name="csY8203" fmla="*/ 2937610 h 6858000"/>
              <a:gd name="csX8204" fmla="*/ 3606276 w 12192000"/>
              <a:gd name="csY8204" fmla="*/ 2902790 h 6858000"/>
              <a:gd name="csX8205" fmla="*/ 3690017 w 12192000"/>
              <a:gd name="csY8205" fmla="*/ 2902790 h 6858000"/>
              <a:gd name="csX8206" fmla="*/ 3655670 w 12192000"/>
              <a:gd name="csY8206" fmla="*/ 2937610 h 6858000"/>
              <a:gd name="csX8207" fmla="*/ 3690017 w 12192000"/>
              <a:gd name="csY8207" fmla="*/ 2972430 h 6858000"/>
              <a:gd name="csX8208" fmla="*/ 3724364 w 12192000"/>
              <a:gd name="csY8208" fmla="*/ 2937610 h 6858000"/>
              <a:gd name="csX8209" fmla="*/ 3690017 w 12192000"/>
              <a:gd name="csY8209" fmla="*/ 2902790 h 6858000"/>
              <a:gd name="csX8210" fmla="*/ 5616081 w 12192000"/>
              <a:gd name="csY8210" fmla="*/ 2902790 h 6858000"/>
              <a:gd name="csX8211" fmla="*/ 5581734 w 12192000"/>
              <a:gd name="csY8211" fmla="*/ 2937610 h 6858000"/>
              <a:gd name="csX8212" fmla="*/ 5616081 w 12192000"/>
              <a:gd name="csY8212" fmla="*/ 2972430 h 6858000"/>
              <a:gd name="csX8213" fmla="*/ 5650427 w 12192000"/>
              <a:gd name="csY8213" fmla="*/ 2937610 h 6858000"/>
              <a:gd name="csX8214" fmla="*/ 5616081 w 12192000"/>
              <a:gd name="csY8214" fmla="*/ 2902790 h 6858000"/>
              <a:gd name="csX8215" fmla="*/ 5699823 w 12192000"/>
              <a:gd name="csY8215" fmla="*/ 2902790 h 6858000"/>
              <a:gd name="csX8216" fmla="*/ 5665476 w 12192000"/>
              <a:gd name="csY8216" fmla="*/ 2937610 h 6858000"/>
              <a:gd name="csX8217" fmla="*/ 5699823 w 12192000"/>
              <a:gd name="csY8217" fmla="*/ 2972430 h 6858000"/>
              <a:gd name="csX8218" fmla="*/ 5734170 w 12192000"/>
              <a:gd name="csY8218" fmla="*/ 2937610 h 6858000"/>
              <a:gd name="csX8219" fmla="*/ 5699823 w 12192000"/>
              <a:gd name="csY8219" fmla="*/ 2902790 h 6858000"/>
              <a:gd name="csX8220" fmla="*/ 5783564 w 12192000"/>
              <a:gd name="csY8220" fmla="*/ 2902790 h 6858000"/>
              <a:gd name="csX8221" fmla="*/ 5749218 w 12192000"/>
              <a:gd name="csY8221" fmla="*/ 2937610 h 6858000"/>
              <a:gd name="csX8222" fmla="*/ 5783564 w 12192000"/>
              <a:gd name="csY8222" fmla="*/ 2972430 h 6858000"/>
              <a:gd name="csX8223" fmla="*/ 5817911 w 12192000"/>
              <a:gd name="csY8223" fmla="*/ 2937610 h 6858000"/>
              <a:gd name="csX8224" fmla="*/ 5783564 w 12192000"/>
              <a:gd name="csY8224" fmla="*/ 2902790 h 6858000"/>
              <a:gd name="csX8225" fmla="*/ 5867305 w 12192000"/>
              <a:gd name="csY8225" fmla="*/ 2902790 h 6858000"/>
              <a:gd name="csX8226" fmla="*/ 5832959 w 12192000"/>
              <a:gd name="csY8226" fmla="*/ 2937610 h 6858000"/>
              <a:gd name="csX8227" fmla="*/ 5867305 w 12192000"/>
              <a:gd name="csY8227" fmla="*/ 2972430 h 6858000"/>
              <a:gd name="csX8228" fmla="*/ 5901652 w 12192000"/>
              <a:gd name="csY8228" fmla="*/ 2937610 h 6858000"/>
              <a:gd name="csX8229" fmla="*/ 5867305 w 12192000"/>
              <a:gd name="csY8229" fmla="*/ 2902790 h 6858000"/>
              <a:gd name="csX8230" fmla="*/ 6118531 w 12192000"/>
              <a:gd name="csY8230" fmla="*/ 2902790 h 6858000"/>
              <a:gd name="csX8231" fmla="*/ 6084177 w 12192000"/>
              <a:gd name="csY8231" fmla="*/ 2937610 h 6858000"/>
              <a:gd name="csX8232" fmla="*/ 6118531 w 12192000"/>
              <a:gd name="csY8232" fmla="*/ 2972430 h 6858000"/>
              <a:gd name="csX8233" fmla="*/ 6152871 w 12192000"/>
              <a:gd name="csY8233" fmla="*/ 2937610 h 6858000"/>
              <a:gd name="csX8234" fmla="*/ 6118531 w 12192000"/>
              <a:gd name="csY8234" fmla="*/ 2902790 h 6858000"/>
              <a:gd name="csX8235" fmla="*/ 6286014 w 12192000"/>
              <a:gd name="csY8235" fmla="*/ 2902790 h 6858000"/>
              <a:gd name="csX8236" fmla="*/ 6251661 w 12192000"/>
              <a:gd name="csY8236" fmla="*/ 2937610 h 6858000"/>
              <a:gd name="csX8237" fmla="*/ 6286014 w 12192000"/>
              <a:gd name="csY8237" fmla="*/ 2972430 h 6858000"/>
              <a:gd name="csX8238" fmla="*/ 6320354 w 12192000"/>
              <a:gd name="csY8238" fmla="*/ 2937610 h 6858000"/>
              <a:gd name="csX8239" fmla="*/ 6286014 w 12192000"/>
              <a:gd name="csY8239" fmla="*/ 2902790 h 6858000"/>
              <a:gd name="csX8240" fmla="*/ 6453498 w 12192000"/>
              <a:gd name="csY8240" fmla="*/ 2902790 h 6858000"/>
              <a:gd name="csX8241" fmla="*/ 6419144 w 12192000"/>
              <a:gd name="csY8241" fmla="*/ 2937610 h 6858000"/>
              <a:gd name="csX8242" fmla="*/ 6453498 w 12192000"/>
              <a:gd name="csY8242" fmla="*/ 2972430 h 6858000"/>
              <a:gd name="csX8243" fmla="*/ 6487838 w 12192000"/>
              <a:gd name="csY8243" fmla="*/ 2937610 h 6858000"/>
              <a:gd name="csX8244" fmla="*/ 6453498 w 12192000"/>
              <a:gd name="csY8244" fmla="*/ 2902790 h 6858000"/>
              <a:gd name="csX8245" fmla="*/ 6620980 w 12192000"/>
              <a:gd name="csY8245" fmla="*/ 2902790 h 6858000"/>
              <a:gd name="csX8246" fmla="*/ 6586627 w 12192000"/>
              <a:gd name="csY8246" fmla="*/ 2937610 h 6858000"/>
              <a:gd name="csX8247" fmla="*/ 6620980 w 12192000"/>
              <a:gd name="csY8247" fmla="*/ 2972430 h 6858000"/>
              <a:gd name="csX8248" fmla="*/ 6655320 w 12192000"/>
              <a:gd name="csY8248" fmla="*/ 2937610 h 6858000"/>
              <a:gd name="csX8249" fmla="*/ 6620980 w 12192000"/>
              <a:gd name="csY8249" fmla="*/ 2902790 h 6858000"/>
              <a:gd name="csX8250" fmla="*/ 6788464 w 12192000"/>
              <a:gd name="csY8250" fmla="*/ 2902790 h 6858000"/>
              <a:gd name="csX8251" fmla="*/ 6754110 w 12192000"/>
              <a:gd name="csY8251" fmla="*/ 2937610 h 6858000"/>
              <a:gd name="csX8252" fmla="*/ 6788464 w 12192000"/>
              <a:gd name="csY8252" fmla="*/ 2972430 h 6858000"/>
              <a:gd name="csX8253" fmla="*/ 6822804 w 12192000"/>
              <a:gd name="csY8253" fmla="*/ 2937610 h 6858000"/>
              <a:gd name="csX8254" fmla="*/ 6788464 w 12192000"/>
              <a:gd name="csY8254" fmla="*/ 2902790 h 6858000"/>
              <a:gd name="csX8255" fmla="*/ 6872206 w 12192000"/>
              <a:gd name="csY8255" fmla="*/ 2902790 h 6858000"/>
              <a:gd name="csX8256" fmla="*/ 6837853 w 12192000"/>
              <a:gd name="csY8256" fmla="*/ 2937610 h 6858000"/>
              <a:gd name="csX8257" fmla="*/ 6872206 w 12192000"/>
              <a:gd name="csY8257" fmla="*/ 2972430 h 6858000"/>
              <a:gd name="csX8258" fmla="*/ 6906546 w 12192000"/>
              <a:gd name="csY8258" fmla="*/ 2937610 h 6858000"/>
              <a:gd name="csX8259" fmla="*/ 6872206 w 12192000"/>
              <a:gd name="csY8259" fmla="*/ 2902790 h 6858000"/>
              <a:gd name="csX8260" fmla="*/ 6955947 w 12192000"/>
              <a:gd name="csY8260" fmla="*/ 2902790 h 6858000"/>
              <a:gd name="csX8261" fmla="*/ 6921594 w 12192000"/>
              <a:gd name="csY8261" fmla="*/ 2937610 h 6858000"/>
              <a:gd name="csX8262" fmla="*/ 6955947 w 12192000"/>
              <a:gd name="csY8262" fmla="*/ 2972430 h 6858000"/>
              <a:gd name="csX8263" fmla="*/ 6990287 w 12192000"/>
              <a:gd name="csY8263" fmla="*/ 2937610 h 6858000"/>
              <a:gd name="csX8264" fmla="*/ 6955947 w 12192000"/>
              <a:gd name="csY8264" fmla="*/ 2902790 h 6858000"/>
              <a:gd name="csX8265" fmla="*/ 7123456 w 12192000"/>
              <a:gd name="csY8265" fmla="*/ 2902790 h 6858000"/>
              <a:gd name="csX8266" fmla="*/ 7089103 w 12192000"/>
              <a:gd name="csY8266" fmla="*/ 2937610 h 6858000"/>
              <a:gd name="csX8267" fmla="*/ 7123456 w 12192000"/>
              <a:gd name="csY8267" fmla="*/ 2972430 h 6858000"/>
              <a:gd name="csX8268" fmla="*/ 7157796 w 12192000"/>
              <a:gd name="csY8268" fmla="*/ 2937610 h 6858000"/>
              <a:gd name="csX8269" fmla="*/ 7123456 w 12192000"/>
              <a:gd name="csY8269" fmla="*/ 2902790 h 6858000"/>
              <a:gd name="csX8270" fmla="*/ 7207198 w 12192000"/>
              <a:gd name="csY8270" fmla="*/ 2902790 h 6858000"/>
              <a:gd name="csX8271" fmla="*/ 7172845 w 12192000"/>
              <a:gd name="csY8271" fmla="*/ 2937610 h 6858000"/>
              <a:gd name="csX8272" fmla="*/ 7207198 w 12192000"/>
              <a:gd name="csY8272" fmla="*/ 2972430 h 6858000"/>
              <a:gd name="csX8273" fmla="*/ 7241538 w 12192000"/>
              <a:gd name="csY8273" fmla="*/ 2937610 h 6858000"/>
              <a:gd name="csX8274" fmla="*/ 7207198 w 12192000"/>
              <a:gd name="csY8274" fmla="*/ 2902790 h 6858000"/>
              <a:gd name="csX8275" fmla="*/ 7290939 w 12192000"/>
              <a:gd name="csY8275" fmla="*/ 2902790 h 6858000"/>
              <a:gd name="csX8276" fmla="*/ 7256586 w 12192000"/>
              <a:gd name="csY8276" fmla="*/ 2937610 h 6858000"/>
              <a:gd name="csX8277" fmla="*/ 7290939 w 12192000"/>
              <a:gd name="csY8277" fmla="*/ 2972430 h 6858000"/>
              <a:gd name="csX8278" fmla="*/ 7325279 w 12192000"/>
              <a:gd name="csY8278" fmla="*/ 2937610 h 6858000"/>
              <a:gd name="csX8279" fmla="*/ 7290939 w 12192000"/>
              <a:gd name="csY8279" fmla="*/ 2902790 h 6858000"/>
              <a:gd name="csX8280" fmla="*/ 7458423 w 12192000"/>
              <a:gd name="csY8280" fmla="*/ 2902790 h 6858000"/>
              <a:gd name="csX8281" fmla="*/ 7424070 w 12192000"/>
              <a:gd name="csY8281" fmla="*/ 2937610 h 6858000"/>
              <a:gd name="csX8282" fmla="*/ 7458423 w 12192000"/>
              <a:gd name="csY8282" fmla="*/ 2972430 h 6858000"/>
              <a:gd name="csX8283" fmla="*/ 7492763 w 12192000"/>
              <a:gd name="csY8283" fmla="*/ 2937610 h 6858000"/>
              <a:gd name="csX8284" fmla="*/ 7458423 w 12192000"/>
              <a:gd name="csY8284" fmla="*/ 2902790 h 6858000"/>
              <a:gd name="csX8285" fmla="*/ 7542164 w 12192000"/>
              <a:gd name="csY8285" fmla="*/ 2902790 h 6858000"/>
              <a:gd name="csX8286" fmla="*/ 7507811 w 12192000"/>
              <a:gd name="csY8286" fmla="*/ 2937610 h 6858000"/>
              <a:gd name="csX8287" fmla="*/ 7542164 w 12192000"/>
              <a:gd name="csY8287" fmla="*/ 2972430 h 6858000"/>
              <a:gd name="csX8288" fmla="*/ 7576504 w 12192000"/>
              <a:gd name="csY8288" fmla="*/ 2937610 h 6858000"/>
              <a:gd name="csX8289" fmla="*/ 7542164 w 12192000"/>
              <a:gd name="csY8289" fmla="*/ 2902790 h 6858000"/>
              <a:gd name="csX8290" fmla="*/ 7625906 w 12192000"/>
              <a:gd name="csY8290" fmla="*/ 2902790 h 6858000"/>
              <a:gd name="csX8291" fmla="*/ 7591553 w 12192000"/>
              <a:gd name="csY8291" fmla="*/ 2937610 h 6858000"/>
              <a:gd name="csX8292" fmla="*/ 7625906 w 12192000"/>
              <a:gd name="csY8292" fmla="*/ 2972430 h 6858000"/>
              <a:gd name="csX8293" fmla="*/ 7660246 w 12192000"/>
              <a:gd name="csY8293" fmla="*/ 2937610 h 6858000"/>
              <a:gd name="csX8294" fmla="*/ 7625906 w 12192000"/>
              <a:gd name="csY8294" fmla="*/ 2902790 h 6858000"/>
              <a:gd name="csX8295" fmla="*/ 7709647 w 12192000"/>
              <a:gd name="csY8295" fmla="*/ 2902790 h 6858000"/>
              <a:gd name="csX8296" fmla="*/ 7675294 w 12192000"/>
              <a:gd name="csY8296" fmla="*/ 2937610 h 6858000"/>
              <a:gd name="csX8297" fmla="*/ 7709647 w 12192000"/>
              <a:gd name="csY8297" fmla="*/ 2972430 h 6858000"/>
              <a:gd name="csX8298" fmla="*/ 7743988 w 12192000"/>
              <a:gd name="csY8298" fmla="*/ 2937610 h 6858000"/>
              <a:gd name="csX8299" fmla="*/ 7709647 w 12192000"/>
              <a:gd name="csY8299" fmla="*/ 2902790 h 6858000"/>
              <a:gd name="csX8300" fmla="*/ 7793389 w 12192000"/>
              <a:gd name="csY8300" fmla="*/ 2902790 h 6858000"/>
              <a:gd name="csX8301" fmla="*/ 7759036 w 12192000"/>
              <a:gd name="csY8301" fmla="*/ 2937610 h 6858000"/>
              <a:gd name="csX8302" fmla="*/ 7793389 w 12192000"/>
              <a:gd name="csY8302" fmla="*/ 2972430 h 6858000"/>
              <a:gd name="csX8303" fmla="*/ 7827729 w 12192000"/>
              <a:gd name="csY8303" fmla="*/ 2937610 h 6858000"/>
              <a:gd name="csX8304" fmla="*/ 7793389 w 12192000"/>
              <a:gd name="csY8304" fmla="*/ 2902790 h 6858000"/>
              <a:gd name="csX8305" fmla="*/ 7877131 w 12192000"/>
              <a:gd name="csY8305" fmla="*/ 2902790 h 6858000"/>
              <a:gd name="csX8306" fmla="*/ 7842778 w 12192000"/>
              <a:gd name="csY8306" fmla="*/ 2937610 h 6858000"/>
              <a:gd name="csX8307" fmla="*/ 7877131 w 12192000"/>
              <a:gd name="csY8307" fmla="*/ 2972430 h 6858000"/>
              <a:gd name="csX8308" fmla="*/ 7911471 w 12192000"/>
              <a:gd name="csY8308" fmla="*/ 2937610 h 6858000"/>
              <a:gd name="csX8309" fmla="*/ 7877131 w 12192000"/>
              <a:gd name="csY8309" fmla="*/ 2902790 h 6858000"/>
              <a:gd name="csX8310" fmla="*/ 7960872 w 12192000"/>
              <a:gd name="csY8310" fmla="*/ 2902790 h 6858000"/>
              <a:gd name="csX8311" fmla="*/ 7926519 w 12192000"/>
              <a:gd name="csY8311" fmla="*/ 2937610 h 6858000"/>
              <a:gd name="csX8312" fmla="*/ 7960872 w 12192000"/>
              <a:gd name="csY8312" fmla="*/ 2972430 h 6858000"/>
              <a:gd name="csX8313" fmla="*/ 7995212 w 12192000"/>
              <a:gd name="csY8313" fmla="*/ 2937610 h 6858000"/>
              <a:gd name="csX8314" fmla="*/ 7960872 w 12192000"/>
              <a:gd name="csY8314" fmla="*/ 2902790 h 6858000"/>
              <a:gd name="csX8315" fmla="*/ 8044614 w 12192000"/>
              <a:gd name="csY8315" fmla="*/ 2902790 h 6858000"/>
              <a:gd name="csX8316" fmla="*/ 8010261 w 12192000"/>
              <a:gd name="csY8316" fmla="*/ 2937610 h 6858000"/>
              <a:gd name="csX8317" fmla="*/ 8044614 w 12192000"/>
              <a:gd name="csY8317" fmla="*/ 2972430 h 6858000"/>
              <a:gd name="csX8318" fmla="*/ 8078955 w 12192000"/>
              <a:gd name="csY8318" fmla="*/ 2937610 h 6858000"/>
              <a:gd name="csX8319" fmla="*/ 8044614 w 12192000"/>
              <a:gd name="csY8319" fmla="*/ 2902790 h 6858000"/>
              <a:gd name="csX8320" fmla="*/ 8128356 w 12192000"/>
              <a:gd name="csY8320" fmla="*/ 2902790 h 6858000"/>
              <a:gd name="csX8321" fmla="*/ 8094003 w 12192000"/>
              <a:gd name="csY8321" fmla="*/ 2937610 h 6858000"/>
              <a:gd name="csX8322" fmla="*/ 8128356 w 12192000"/>
              <a:gd name="csY8322" fmla="*/ 2972430 h 6858000"/>
              <a:gd name="csX8323" fmla="*/ 8162696 w 12192000"/>
              <a:gd name="csY8323" fmla="*/ 2937610 h 6858000"/>
              <a:gd name="csX8324" fmla="*/ 8128356 w 12192000"/>
              <a:gd name="csY8324" fmla="*/ 2902790 h 6858000"/>
              <a:gd name="csX8325" fmla="*/ 8212097 w 12192000"/>
              <a:gd name="csY8325" fmla="*/ 2902790 h 6858000"/>
              <a:gd name="csX8326" fmla="*/ 8177744 w 12192000"/>
              <a:gd name="csY8326" fmla="*/ 2937610 h 6858000"/>
              <a:gd name="csX8327" fmla="*/ 8212097 w 12192000"/>
              <a:gd name="csY8327" fmla="*/ 2972430 h 6858000"/>
              <a:gd name="csX8328" fmla="*/ 8246437 w 12192000"/>
              <a:gd name="csY8328" fmla="*/ 2937610 h 6858000"/>
              <a:gd name="csX8329" fmla="*/ 8212097 w 12192000"/>
              <a:gd name="csY8329" fmla="*/ 2902790 h 6858000"/>
              <a:gd name="csX8330" fmla="*/ 8295839 w 12192000"/>
              <a:gd name="csY8330" fmla="*/ 2902790 h 6858000"/>
              <a:gd name="csX8331" fmla="*/ 8261486 w 12192000"/>
              <a:gd name="csY8331" fmla="*/ 2937610 h 6858000"/>
              <a:gd name="csX8332" fmla="*/ 8295839 w 12192000"/>
              <a:gd name="csY8332" fmla="*/ 2972430 h 6858000"/>
              <a:gd name="csX8333" fmla="*/ 8330179 w 12192000"/>
              <a:gd name="csY8333" fmla="*/ 2937610 h 6858000"/>
              <a:gd name="csX8334" fmla="*/ 8295839 w 12192000"/>
              <a:gd name="csY8334" fmla="*/ 2902790 h 6858000"/>
              <a:gd name="csX8335" fmla="*/ 8379580 w 12192000"/>
              <a:gd name="csY8335" fmla="*/ 2902790 h 6858000"/>
              <a:gd name="csX8336" fmla="*/ 8345227 w 12192000"/>
              <a:gd name="csY8336" fmla="*/ 2937610 h 6858000"/>
              <a:gd name="csX8337" fmla="*/ 8379580 w 12192000"/>
              <a:gd name="csY8337" fmla="*/ 2972430 h 6858000"/>
              <a:gd name="csX8338" fmla="*/ 8413921 w 12192000"/>
              <a:gd name="csY8338" fmla="*/ 2937610 h 6858000"/>
              <a:gd name="csX8339" fmla="*/ 8379580 w 12192000"/>
              <a:gd name="csY8339" fmla="*/ 2902790 h 6858000"/>
              <a:gd name="csX8340" fmla="*/ 8463323 w 12192000"/>
              <a:gd name="csY8340" fmla="*/ 2902790 h 6858000"/>
              <a:gd name="csX8341" fmla="*/ 8428970 w 12192000"/>
              <a:gd name="csY8341" fmla="*/ 2937610 h 6858000"/>
              <a:gd name="csX8342" fmla="*/ 8463323 w 12192000"/>
              <a:gd name="csY8342" fmla="*/ 2972430 h 6858000"/>
              <a:gd name="csX8343" fmla="*/ 8497663 w 12192000"/>
              <a:gd name="csY8343" fmla="*/ 2937610 h 6858000"/>
              <a:gd name="csX8344" fmla="*/ 8463323 w 12192000"/>
              <a:gd name="csY8344" fmla="*/ 2902790 h 6858000"/>
              <a:gd name="csX8345" fmla="*/ 8547064 w 12192000"/>
              <a:gd name="csY8345" fmla="*/ 2902790 h 6858000"/>
              <a:gd name="csX8346" fmla="*/ 8512711 w 12192000"/>
              <a:gd name="csY8346" fmla="*/ 2937610 h 6858000"/>
              <a:gd name="csX8347" fmla="*/ 8547064 w 12192000"/>
              <a:gd name="csY8347" fmla="*/ 2972430 h 6858000"/>
              <a:gd name="csX8348" fmla="*/ 8581404 w 12192000"/>
              <a:gd name="csY8348" fmla="*/ 2937610 h 6858000"/>
              <a:gd name="csX8349" fmla="*/ 8547064 w 12192000"/>
              <a:gd name="csY8349" fmla="*/ 2902790 h 6858000"/>
              <a:gd name="csX8350" fmla="*/ 8630805 w 12192000"/>
              <a:gd name="csY8350" fmla="*/ 2902790 h 6858000"/>
              <a:gd name="csX8351" fmla="*/ 8596452 w 12192000"/>
              <a:gd name="csY8351" fmla="*/ 2937610 h 6858000"/>
              <a:gd name="csX8352" fmla="*/ 8630805 w 12192000"/>
              <a:gd name="csY8352" fmla="*/ 2972430 h 6858000"/>
              <a:gd name="csX8353" fmla="*/ 8665145 w 12192000"/>
              <a:gd name="csY8353" fmla="*/ 2937610 h 6858000"/>
              <a:gd name="csX8354" fmla="*/ 8630805 w 12192000"/>
              <a:gd name="csY8354" fmla="*/ 2902790 h 6858000"/>
              <a:gd name="csX8355" fmla="*/ 8714547 w 12192000"/>
              <a:gd name="csY8355" fmla="*/ 2902790 h 6858000"/>
              <a:gd name="csX8356" fmla="*/ 8680194 w 12192000"/>
              <a:gd name="csY8356" fmla="*/ 2937610 h 6858000"/>
              <a:gd name="csX8357" fmla="*/ 8714547 w 12192000"/>
              <a:gd name="csY8357" fmla="*/ 2972430 h 6858000"/>
              <a:gd name="csX8358" fmla="*/ 8748888 w 12192000"/>
              <a:gd name="csY8358" fmla="*/ 2937610 h 6858000"/>
              <a:gd name="csX8359" fmla="*/ 8714547 w 12192000"/>
              <a:gd name="csY8359" fmla="*/ 2902790 h 6858000"/>
              <a:gd name="csX8360" fmla="*/ 8798289 w 12192000"/>
              <a:gd name="csY8360" fmla="*/ 2902790 h 6858000"/>
              <a:gd name="csX8361" fmla="*/ 8763936 w 12192000"/>
              <a:gd name="csY8361" fmla="*/ 2937610 h 6858000"/>
              <a:gd name="csX8362" fmla="*/ 8798289 w 12192000"/>
              <a:gd name="csY8362" fmla="*/ 2972430 h 6858000"/>
              <a:gd name="csX8363" fmla="*/ 8832629 w 12192000"/>
              <a:gd name="csY8363" fmla="*/ 2937610 h 6858000"/>
              <a:gd name="csX8364" fmla="*/ 8798289 w 12192000"/>
              <a:gd name="csY8364" fmla="*/ 2902790 h 6858000"/>
              <a:gd name="csX8365" fmla="*/ 8882030 w 12192000"/>
              <a:gd name="csY8365" fmla="*/ 2902790 h 6858000"/>
              <a:gd name="csX8366" fmla="*/ 8847677 w 12192000"/>
              <a:gd name="csY8366" fmla="*/ 2937610 h 6858000"/>
              <a:gd name="csX8367" fmla="*/ 8882030 w 12192000"/>
              <a:gd name="csY8367" fmla="*/ 2972430 h 6858000"/>
              <a:gd name="csX8368" fmla="*/ 8916370 w 12192000"/>
              <a:gd name="csY8368" fmla="*/ 2937610 h 6858000"/>
              <a:gd name="csX8369" fmla="*/ 8882030 w 12192000"/>
              <a:gd name="csY8369" fmla="*/ 2902790 h 6858000"/>
              <a:gd name="csX8370" fmla="*/ 8965772 w 12192000"/>
              <a:gd name="csY8370" fmla="*/ 2902790 h 6858000"/>
              <a:gd name="csX8371" fmla="*/ 8931419 w 12192000"/>
              <a:gd name="csY8371" fmla="*/ 2937610 h 6858000"/>
              <a:gd name="csX8372" fmla="*/ 8965772 w 12192000"/>
              <a:gd name="csY8372" fmla="*/ 2972430 h 6858000"/>
              <a:gd name="csX8373" fmla="*/ 9000112 w 12192000"/>
              <a:gd name="csY8373" fmla="*/ 2937610 h 6858000"/>
              <a:gd name="csX8374" fmla="*/ 8965772 w 12192000"/>
              <a:gd name="csY8374" fmla="*/ 2902790 h 6858000"/>
              <a:gd name="csX8375" fmla="*/ 9049513 w 12192000"/>
              <a:gd name="csY8375" fmla="*/ 2902790 h 6858000"/>
              <a:gd name="csX8376" fmla="*/ 9015160 w 12192000"/>
              <a:gd name="csY8376" fmla="*/ 2937610 h 6858000"/>
              <a:gd name="csX8377" fmla="*/ 9049513 w 12192000"/>
              <a:gd name="csY8377" fmla="*/ 2972430 h 6858000"/>
              <a:gd name="csX8378" fmla="*/ 9083854 w 12192000"/>
              <a:gd name="csY8378" fmla="*/ 2937610 h 6858000"/>
              <a:gd name="csX8379" fmla="*/ 9049513 w 12192000"/>
              <a:gd name="csY8379" fmla="*/ 2902790 h 6858000"/>
              <a:gd name="csX8380" fmla="*/ 9133256 w 12192000"/>
              <a:gd name="csY8380" fmla="*/ 2902790 h 6858000"/>
              <a:gd name="csX8381" fmla="*/ 9098903 w 12192000"/>
              <a:gd name="csY8381" fmla="*/ 2937610 h 6858000"/>
              <a:gd name="csX8382" fmla="*/ 9133256 w 12192000"/>
              <a:gd name="csY8382" fmla="*/ 2972430 h 6858000"/>
              <a:gd name="csX8383" fmla="*/ 9167596 w 12192000"/>
              <a:gd name="csY8383" fmla="*/ 2937610 h 6858000"/>
              <a:gd name="csX8384" fmla="*/ 9133256 w 12192000"/>
              <a:gd name="csY8384" fmla="*/ 2902790 h 6858000"/>
              <a:gd name="csX8385" fmla="*/ 9216997 w 12192000"/>
              <a:gd name="csY8385" fmla="*/ 2902790 h 6858000"/>
              <a:gd name="csX8386" fmla="*/ 9182644 w 12192000"/>
              <a:gd name="csY8386" fmla="*/ 2937610 h 6858000"/>
              <a:gd name="csX8387" fmla="*/ 9216997 w 12192000"/>
              <a:gd name="csY8387" fmla="*/ 2972430 h 6858000"/>
              <a:gd name="csX8388" fmla="*/ 9251337 w 12192000"/>
              <a:gd name="csY8388" fmla="*/ 2937610 h 6858000"/>
              <a:gd name="csX8389" fmla="*/ 9216997 w 12192000"/>
              <a:gd name="csY8389" fmla="*/ 2902790 h 6858000"/>
              <a:gd name="csX8390" fmla="*/ 9300738 w 12192000"/>
              <a:gd name="csY8390" fmla="*/ 2902790 h 6858000"/>
              <a:gd name="csX8391" fmla="*/ 9266385 w 12192000"/>
              <a:gd name="csY8391" fmla="*/ 2937610 h 6858000"/>
              <a:gd name="csX8392" fmla="*/ 9300738 w 12192000"/>
              <a:gd name="csY8392" fmla="*/ 2972430 h 6858000"/>
              <a:gd name="csX8393" fmla="*/ 9335078 w 12192000"/>
              <a:gd name="csY8393" fmla="*/ 2937610 h 6858000"/>
              <a:gd name="csX8394" fmla="*/ 9300738 w 12192000"/>
              <a:gd name="csY8394" fmla="*/ 2902790 h 6858000"/>
              <a:gd name="csX8395" fmla="*/ 9719446 w 12192000"/>
              <a:gd name="csY8395" fmla="*/ 2902790 h 6858000"/>
              <a:gd name="csX8396" fmla="*/ 9685093 w 12192000"/>
              <a:gd name="csY8396" fmla="*/ 2937610 h 6858000"/>
              <a:gd name="csX8397" fmla="*/ 9719446 w 12192000"/>
              <a:gd name="csY8397" fmla="*/ 2972430 h 6858000"/>
              <a:gd name="csX8398" fmla="*/ 9753787 w 12192000"/>
              <a:gd name="csY8398" fmla="*/ 2937610 h 6858000"/>
              <a:gd name="csX8399" fmla="*/ 9719446 w 12192000"/>
              <a:gd name="csY8399" fmla="*/ 2902790 h 6858000"/>
              <a:gd name="csX8400" fmla="*/ 10054413 w 12192000"/>
              <a:gd name="csY8400" fmla="*/ 2902790 h 6858000"/>
              <a:gd name="csX8401" fmla="*/ 10020060 w 12192000"/>
              <a:gd name="csY8401" fmla="*/ 2937610 h 6858000"/>
              <a:gd name="csX8402" fmla="*/ 10054413 w 12192000"/>
              <a:gd name="csY8402" fmla="*/ 2972430 h 6858000"/>
              <a:gd name="csX8403" fmla="*/ 10088754 w 12192000"/>
              <a:gd name="csY8403" fmla="*/ 2937610 h 6858000"/>
              <a:gd name="csX8404" fmla="*/ 10054413 w 12192000"/>
              <a:gd name="csY8404" fmla="*/ 2902790 h 6858000"/>
              <a:gd name="csX8405" fmla="*/ 2266416 w 12192000"/>
              <a:gd name="csY8405" fmla="*/ 2987653 h 6858000"/>
              <a:gd name="csX8406" fmla="*/ 2232069 w 12192000"/>
              <a:gd name="csY8406" fmla="*/ 3022474 h 6858000"/>
              <a:gd name="csX8407" fmla="*/ 2266416 w 12192000"/>
              <a:gd name="csY8407" fmla="*/ 3057294 h 6858000"/>
              <a:gd name="csX8408" fmla="*/ 2300762 w 12192000"/>
              <a:gd name="csY8408" fmla="*/ 3022474 h 6858000"/>
              <a:gd name="csX8409" fmla="*/ 2266416 w 12192000"/>
              <a:gd name="csY8409" fmla="*/ 2987653 h 6858000"/>
              <a:gd name="csX8410" fmla="*/ 2350151 w 12192000"/>
              <a:gd name="csY8410" fmla="*/ 2987653 h 6858000"/>
              <a:gd name="csX8411" fmla="*/ 2315804 w 12192000"/>
              <a:gd name="csY8411" fmla="*/ 3022474 h 6858000"/>
              <a:gd name="csX8412" fmla="*/ 2350151 w 12192000"/>
              <a:gd name="csY8412" fmla="*/ 3057294 h 6858000"/>
              <a:gd name="csX8413" fmla="*/ 2384498 w 12192000"/>
              <a:gd name="csY8413" fmla="*/ 3022474 h 6858000"/>
              <a:gd name="csX8414" fmla="*/ 2350151 w 12192000"/>
              <a:gd name="csY8414" fmla="*/ 2987653 h 6858000"/>
              <a:gd name="csX8415" fmla="*/ 2433893 w 12192000"/>
              <a:gd name="csY8415" fmla="*/ 2987653 h 6858000"/>
              <a:gd name="csX8416" fmla="*/ 2399546 w 12192000"/>
              <a:gd name="csY8416" fmla="*/ 3022474 h 6858000"/>
              <a:gd name="csX8417" fmla="*/ 2433893 w 12192000"/>
              <a:gd name="csY8417" fmla="*/ 3057294 h 6858000"/>
              <a:gd name="csX8418" fmla="*/ 2468240 w 12192000"/>
              <a:gd name="csY8418" fmla="*/ 3022474 h 6858000"/>
              <a:gd name="csX8419" fmla="*/ 2433893 w 12192000"/>
              <a:gd name="csY8419" fmla="*/ 2987653 h 6858000"/>
              <a:gd name="csX8420" fmla="*/ 2517634 w 12192000"/>
              <a:gd name="csY8420" fmla="*/ 2987653 h 6858000"/>
              <a:gd name="csX8421" fmla="*/ 2483288 w 12192000"/>
              <a:gd name="csY8421" fmla="*/ 3022474 h 6858000"/>
              <a:gd name="csX8422" fmla="*/ 2517634 w 12192000"/>
              <a:gd name="csY8422" fmla="*/ 3057294 h 6858000"/>
              <a:gd name="csX8423" fmla="*/ 2551981 w 12192000"/>
              <a:gd name="csY8423" fmla="*/ 3022474 h 6858000"/>
              <a:gd name="csX8424" fmla="*/ 2517634 w 12192000"/>
              <a:gd name="csY8424" fmla="*/ 2987653 h 6858000"/>
              <a:gd name="csX8425" fmla="*/ 2601376 w 12192000"/>
              <a:gd name="csY8425" fmla="*/ 2987653 h 6858000"/>
              <a:gd name="csX8426" fmla="*/ 2567029 w 12192000"/>
              <a:gd name="csY8426" fmla="*/ 3022474 h 6858000"/>
              <a:gd name="csX8427" fmla="*/ 2601376 w 12192000"/>
              <a:gd name="csY8427" fmla="*/ 3057294 h 6858000"/>
              <a:gd name="csX8428" fmla="*/ 2635722 w 12192000"/>
              <a:gd name="csY8428" fmla="*/ 3022474 h 6858000"/>
              <a:gd name="csX8429" fmla="*/ 2601376 w 12192000"/>
              <a:gd name="csY8429" fmla="*/ 2987653 h 6858000"/>
              <a:gd name="csX8430" fmla="*/ 2685118 w 12192000"/>
              <a:gd name="csY8430" fmla="*/ 2987653 h 6858000"/>
              <a:gd name="csX8431" fmla="*/ 2650771 w 12192000"/>
              <a:gd name="csY8431" fmla="*/ 3022474 h 6858000"/>
              <a:gd name="csX8432" fmla="*/ 2685118 w 12192000"/>
              <a:gd name="csY8432" fmla="*/ 3057294 h 6858000"/>
              <a:gd name="csX8433" fmla="*/ 2719465 w 12192000"/>
              <a:gd name="csY8433" fmla="*/ 3022474 h 6858000"/>
              <a:gd name="csX8434" fmla="*/ 2685118 w 12192000"/>
              <a:gd name="csY8434" fmla="*/ 2987653 h 6858000"/>
              <a:gd name="csX8435" fmla="*/ 2768859 w 12192000"/>
              <a:gd name="csY8435" fmla="*/ 2987653 h 6858000"/>
              <a:gd name="csX8436" fmla="*/ 2734512 w 12192000"/>
              <a:gd name="csY8436" fmla="*/ 3022474 h 6858000"/>
              <a:gd name="csX8437" fmla="*/ 2768859 w 12192000"/>
              <a:gd name="csY8437" fmla="*/ 3057294 h 6858000"/>
              <a:gd name="csX8438" fmla="*/ 2803206 w 12192000"/>
              <a:gd name="csY8438" fmla="*/ 3022474 h 6858000"/>
              <a:gd name="csX8439" fmla="*/ 2768859 w 12192000"/>
              <a:gd name="csY8439" fmla="*/ 2987653 h 6858000"/>
              <a:gd name="csX8440" fmla="*/ 2852600 w 12192000"/>
              <a:gd name="csY8440" fmla="*/ 2987653 h 6858000"/>
              <a:gd name="csX8441" fmla="*/ 2818254 w 12192000"/>
              <a:gd name="csY8441" fmla="*/ 3022474 h 6858000"/>
              <a:gd name="csX8442" fmla="*/ 2852600 w 12192000"/>
              <a:gd name="csY8442" fmla="*/ 3057294 h 6858000"/>
              <a:gd name="csX8443" fmla="*/ 2886947 w 12192000"/>
              <a:gd name="csY8443" fmla="*/ 3022474 h 6858000"/>
              <a:gd name="csX8444" fmla="*/ 2852600 w 12192000"/>
              <a:gd name="csY8444" fmla="*/ 2987653 h 6858000"/>
              <a:gd name="csX8445" fmla="*/ 2936343 w 12192000"/>
              <a:gd name="csY8445" fmla="*/ 2987653 h 6858000"/>
              <a:gd name="csX8446" fmla="*/ 2901996 w 12192000"/>
              <a:gd name="csY8446" fmla="*/ 3022474 h 6858000"/>
              <a:gd name="csX8447" fmla="*/ 2936343 w 12192000"/>
              <a:gd name="csY8447" fmla="*/ 3057294 h 6858000"/>
              <a:gd name="csX8448" fmla="*/ 2970689 w 12192000"/>
              <a:gd name="csY8448" fmla="*/ 3022474 h 6858000"/>
              <a:gd name="csX8449" fmla="*/ 2936343 w 12192000"/>
              <a:gd name="csY8449" fmla="*/ 2987653 h 6858000"/>
              <a:gd name="csX8450" fmla="*/ 3020084 w 12192000"/>
              <a:gd name="csY8450" fmla="*/ 2987653 h 6858000"/>
              <a:gd name="csX8451" fmla="*/ 2985737 w 12192000"/>
              <a:gd name="csY8451" fmla="*/ 3022474 h 6858000"/>
              <a:gd name="csX8452" fmla="*/ 3020084 w 12192000"/>
              <a:gd name="csY8452" fmla="*/ 3057294 h 6858000"/>
              <a:gd name="csX8453" fmla="*/ 3054431 w 12192000"/>
              <a:gd name="csY8453" fmla="*/ 3022474 h 6858000"/>
              <a:gd name="csX8454" fmla="*/ 3020084 w 12192000"/>
              <a:gd name="csY8454" fmla="*/ 2987653 h 6858000"/>
              <a:gd name="csX8455" fmla="*/ 3103826 w 12192000"/>
              <a:gd name="csY8455" fmla="*/ 2987653 h 6858000"/>
              <a:gd name="csX8456" fmla="*/ 3069479 w 12192000"/>
              <a:gd name="csY8456" fmla="*/ 3022474 h 6858000"/>
              <a:gd name="csX8457" fmla="*/ 3103826 w 12192000"/>
              <a:gd name="csY8457" fmla="*/ 3057294 h 6858000"/>
              <a:gd name="csX8458" fmla="*/ 3138173 w 12192000"/>
              <a:gd name="csY8458" fmla="*/ 3022474 h 6858000"/>
              <a:gd name="csX8459" fmla="*/ 3103826 w 12192000"/>
              <a:gd name="csY8459" fmla="*/ 2987653 h 6858000"/>
              <a:gd name="csX8460" fmla="*/ 3187567 w 12192000"/>
              <a:gd name="csY8460" fmla="*/ 2987653 h 6858000"/>
              <a:gd name="csX8461" fmla="*/ 3153221 w 12192000"/>
              <a:gd name="csY8461" fmla="*/ 3022474 h 6858000"/>
              <a:gd name="csX8462" fmla="*/ 3187567 w 12192000"/>
              <a:gd name="csY8462" fmla="*/ 3057294 h 6858000"/>
              <a:gd name="csX8463" fmla="*/ 3221914 w 12192000"/>
              <a:gd name="csY8463" fmla="*/ 3022474 h 6858000"/>
              <a:gd name="csX8464" fmla="*/ 3187567 w 12192000"/>
              <a:gd name="csY8464" fmla="*/ 2987653 h 6858000"/>
              <a:gd name="csX8465" fmla="*/ 3271309 w 12192000"/>
              <a:gd name="csY8465" fmla="*/ 2987653 h 6858000"/>
              <a:gd name="csX8466" fmla="*/ 3236962 w 12192000"/>
              <a:gd name="csY8466" fmla="*/ 3022474 h 6858000"/>
              <a:gd name="csX8467" fmla="*/ 3271309 w 12192000"/>
              <a:gd name="csY8467" fmla="*/ 3057294 h 6858000"/>
              <a:gd name="csX8468" fmla="*/ 3305655 w 12192000"/>
              <a:gd name="csY8468" fmla="*/ 3022474 h 6858000"/>
              <a:gd name="csX8469" fmla="*/ 3271309 w 12192000"/>
              <a:gd name="csY8469" fmla="*/ 2987653 h 6858000"/>
              <a:gd name="csX8470" fmla="*/ 3355051 w 12192000"/>
              <a:gd name="csY8470" fmla="*/ 2987653 h 6858000"/>
              <a:gd name="csX8471" fmla="*/ 3320704 w 12192000"/>
              <a:gd name="csY8471" fmla="*/ 3022474 h 6858000"/>
              <a:gd name="csX8472" fmla="*/ 3355051 w 12192000"/>
              <a:gd name="csY8472" fmla="*/ 3057294 h 6858000"/>
              <a:gd name="csX8473" fmla="*/ 3389398 w 12192000"/>
              <a:gd name="csY8473" fmla="*/ 3022474 h 6858000"/>
              <a:gd name="csX8474" fmla="*/ 3355051 w 12192000"/>
              <a:gd name="csY8474" fmla="*/ 2987653 h 6858000"/>
              <a:gd name="csX8475" fmla="*/ 3438792 w 12192000"/>
              <a:gd name="csY8475" fmla="*/ 2987653 h 6858000"/>
              <a:gd name="csX8476" fmla="*/ 3404445 w 12192000"/>
              <a:gd name="csY8476" fmla="*/ 3022474 h 6858000"/>
              <a:gd name="csX8477" fmla="*/ 3438792 w 12192000"/>
              <a:gd name="csY8477" fmla="*/ 3057294 h 6858000"/>
              <a:gd name="csX8478" fmla="*/ 3473139 w 12192000"/>
              <a:gd name="csY8478" fmla="*/ 3022474 h 6858000"/>
              <a:gd name="csX8479" fmla="*/ 3438792 w 12192000"/>
              <a:gd name="csY8479" fmla="*/ 2987653 h 6858000"/>
              <a:gd name="csX8480" fmla="*/ 3522533 w 12192000"/>
              <a:gd name="csY8480" fmla="*/ 2987653 h 6858000"/>
              <a:gd name="csX8481" fmla="*/ 3488187 w 12192000"/>
              <a:gd name="csY8481" fmla="*/ 3022474 h 6858000"/>
              <a:gd name="csX8482" fmla="*/ 3522533 w 12192000"/>
              <a:gd name="csY8482" fmla="*/ 3057294 h 6858000"/>
              <a:gd name="csX8483" fmla="*/ 3556880 w 12192000"/>
              <a:gd name="csY8483" fmla="*/ 3022474 h 6858000"/>
              <a:gd name="csX8484" fmla="*/ 3522533 w 12192000"/>
              <a:gd name="csY8484" fmla="*/ 2987653 h 6858000"/>
              <a:gd name="csX8485" fmla="*/ 3606276 w 12192000"/>
              <a:gd name="csY8485" fmla="*/ 2987653 h 6858000"/>
              <a:gd name="csX8486" fmla="*/ 3571929 w 12192000"/>
              <a:gd name="csY8486" fmla="*/ 3022474 h 6858000"/>
              <a:gd name="csX8487" fmla="*/ 3606276 w 12192000"/>
              <a:gd name="csY8487" fmla="*/ 3057294 h 6858000"/>
              <a:gd name="csX8488" fmla="*/ 3640622 w 12192000"/>
              <a:gd name="csY8488" fmla="*/ 3022474 h 6858000"/>
              <a:gd name="csX8489" fmla="*/ 3606276 w 12192000"/>
              <a:gd name="csY8489" fmla="*/ 2987653 h 6858000"/>
              <a:gd name="csX8490" fmla="*/ 5616081 w 12192000"/>
              <a:gd name="csY8490" fmla="*/ 2987653 h 6858000"/>
              <a:gd name="csX8491" fmla="*/ 5581734 w 12192000"/>
              <a:gd name="csY8491" fmla="*/ 3022474 h 6858000"/>
              <a:gd name="csX8492" fmla="*/ 5616081 w 12192000"/>
              <a:gd name="csY8492" fmla="*/ 3057294 h 6858000"/>
              <a:gd name="csX8493" fmla="*/ 5650427 w 12192000"/>
              <a:gd name="csY8493" fmla="*/ 3022474 h 6858000"/>
              <a:gd name="csX8494" fmla="*/ 5616081 w 12192000"/>
              <a:gd name="csY8494" fmla="*/ 2987653 h 6858000"/>
              <a:gd name="csX8495" fmla="*/ 5699823 w 12192000"/>
              <a:gd name="csY8495" fmla="*/ 2987653 h 6858000"/>
              <a:gd name="csX8496" fmla="*/ 5665476 w 12192000"/>
              <a:gd name="csY8496" fmla="*/ 3022474 h 6858000"/>
              <a:gd name="csX8497" fmla="*/ 5699823 w 12192000"/>
              <a:gd name="csY8497" fmla="*/ 3057294 h 6858000"/>
              <a:gd name="csX8498" fmla="*/ 5734170 w 12192000"/>
              <a:gd name="csY8498" fmla="*/ 3022474 h 6858000"/>
              <a:gd name="csX8499" fmla="*/ 5699823 w 12192000"/>
              <a:gd name="csY8499" fmla="*/ 2987653 h 6858000"/>
              <a:gd name="csX8500" fmla="*/ 5783564 w 12192000"/>
              <a:gd name="csY8500" fmla="*/ 2987653 h 6858000"/>
              <a:gd name="csX8501" fmla="*/ 5749218 w 12192000"/>
              <a:gd name="csY8501" fmla="*/ 3022474 h 6858000"/>
              <a:gd name="csX8502" fmla="*/ 5783564 w 12192000"/>
              <a:gd name="csY8502" fmla="*/ 3057294 h 6858000"/>
              <a:gd name="csX8503" fmla="*/ 5817911 w 12192000"/>
              <a:gd name="csY8503" fmla="*/ 3022474 h 6858000"/>
              <a:gd name="csX8504" fmla="*/ 5783564 w 12192000"/>
              <a:gd name="csY8504" fmla="*/ 2987653 h 6858000"/>
              <a:gd name="csX8505" fmla="*/ 6369755 w 12192000"/>
              <a:gd name="csY8505" fmla="*/ 2987653 h 6858000"/>
              <a:gd name="csX8506" fmla="*/ 6335402 w 12192000"/>
              <a:gd name="csY8506" fmla="*/ 3022474 h 6858000"/>
              <a:gd name="csX8507" fmla="*/ 6369755 w 12192000"/>
              <a:gd name="csY8507" fmla="*/ 3057294 h 6858000"/>
              <a:gd name="csX8508" fmla="*/ 6404096 w 12192000"/>
              <a:gd name="csY8508" fmla="*/ 3022474 h 6858000"/>
              <a:gd name="csX8509" fmla="*/ 6369755 w 12192000"/>
              <a:gd name="csY8509" fmla="*/ 2987653 h 6858000"/>
              <a:gd name="csX8510" fmla="*/ 6537239 w 12192000"/>
              <a:gd name="csY8510" fmla="*/ 2987653 h 6858000"/>
              <a:gd name="csX8511" fmla="*/ 6502886 w 12192000"/>
              <a:gd name="csY8511" fmla="*/ 3022474 h 6858000"/>
              <a:gd name="csX8512" fmla="*/ 6537239 w 12192000"/>
              <a:gd name="csY8512" fmla="*/ 3057294 h 6858000"/>
              <a:gd name="csX8513" fmla="*/ 6571579 w 12192000"/>
              <a:gd name="csY8513" fmla="*/ 3022474 h 6858000"/>
              <a:gd name="csX8514" fmla="*/ 6537239 w 12192000"/>
              <a:gd name="csY8514" fmla="*/ 2987653 h 6858000"/>
              <a:gd name="csX8515" fmla="*/ 6704722 w 12192000"/>
              <a:gd name="csY8515" fmla="*/ 2987653 h 6858000"/>
              <a:gd name="csX8516" fmla="*/ 6670369 w 12192000"/>
              <a:gd name="csY8516" fmla="*/ 3022474 h 6858000"/>
              <a:gd name="csX8517" fmla="*/ 6704722 w 12192000"/>
              <a:gd name="csY8517" fmla="*/ 3057294 h 6858000"/>
              <a:gd name="csX8518" fmla="*/ 6739063 w 12192000"/>
              <a:gd name="csY8518" fmla="*/ 3022474 h 6858000"/>
              <a:gd name="csX8519" fmla="*/ 6704722 w 12192000"/>
              <a:gd name="csY8519" fmla="*/ 2987653 h 6858000"/>
              <a:gd name="csX8520" fmla="*/ 6788464 w 12192000"/>
              <a:gd name="csY8520" fmla="*/ 2987653 h 6858000"/>
              <a:gd name="csX8521" fmla="*/ 6754110 w 12192000"/>
              <a:gd name="csY8521" fmla="*/ 3022474 h 6858000"/>
              <a:gd name="csX8522" fmla="*/ 6788464 w 12192000"/>
              <a:gd name="csY8522" fmla="*/ 3057294 h 6858000"/>
              <a:gd name="csX8523" fmla="*/ 6822804 w 12192000"/>
              <a:gd name="csY8523" fmla="*/ 3022474 h 6858000"/>
              <a:gd name="csX8524" fmla="*/ 6788464 w 12192000"/>
              <a:gd name="csY8524" fmla="*/ 2987653 h 6858000"/>
              <a:gd name="csX8525" fmla="*/ 6872206 w 12192000"/>
              <a:gd name="csY8525" fmla="*/ 2987653 h 6858000"/>
              <a:gd name="csX8526" fmla="*/ 6837853 w 12192000"/>
              <a:gd name="csY8526" fmla="*/ 3022474 h 6858000"/>
              <a:gd name="csX8527" fmla="*/ 6872206 w 12192000"/>
              <a:gd name="csY8527" fmla="*/ 3057294 h 6858000"/>
              <a:gd name="csX8528" fmla="*/ 6906546 w 12192000"/>
              <a:gd name="csY8528" fmla="*/ 3022474 h 6858000"/>
              <a:gd name="csX8529" fmla="*/ 6872206 w 12192000"/>
              <a:gd name="csY8529" fmla="*/ 2987653 h 6858000"/>
              <a:gd name="csX8530" fmla="*/ 6955947 w 12192000"/>
              <a:gd name="csY8530" fmla="*/ 2987653 h 6858000"/>
              <a:gd name="csX8531" fmla="*/ 6921594 w 12192000"/>
              <a:gd name="csY8531" fmla="*/ 3022474 h 6858000"/>
              <a:gd name="csX8532" fmla="*/ 6955947 w 12192000"/>
              <a:gd name="csY8532" fmla="*/ 3057294 h 6858000"/>
              <a:gd name="csX8533" fmla="*/ 6990287 w 12192000"/>
              <a:gd name="csY8533" fmla="*/ 3022474 h 6858000"/>
              <a:gd name="csX8534" fmla="*/ 6955947 w 12192000"/>
              <a:gd name="csY8534" fmla="*/ 2987653 h 6858000"/>
              <a:gd name="csX8535" fmla="*/ 7039688 w 12192000"/>
              <a:gd name="csY8535" fmla="*/ 2987653 h 6858000"/>
              <a:gd name="csX8536" fmla="*/ 7005335 w 12192000"/>
              <a:gd name="csY8536" fmla="*/ 3022474 h 6858000"/>
              <a:gd name="csX8537" fmla="*/ 7039688 w 12192000"/>
              <a:gd name="csY8537" fmla="*/ 3057294 h 6858000"/>
              <a:gd name="csX8538" fmla="*/ 7074029 w 12192000"/>
              <a:gd name="csY8538" fmla="*/ 3022474 h 6858000"/>
              <a:gd name="csX8539" fmla="*/ 7039688 w 12192000"/>
              <a:gd name="csY8539" fmla="*/ 2987653 h 6858000"/>
              <a:gd name="csX8540" fmla="*/ 7123456 w 12192000"/>
              <a:gd name="csY8540" fmla="*/ 2987653 h 6858000"/>
              <a:gd name="csX8541" fmla="*/ 7089103 w 12192000"/>
              <a:gd name="csY8541" fmla="*/ 3022474 h 6858000"/>
              <a:gd name="csX8542" fmla="*/ 7123456 w 12192000"/>
              <a:gd name="csY8542" fmla="*/ 3057294 h 6858000"/>
              <a:gd name="csX8543" fmla="*/ 7157796 w 12192000"/>
              <a:gd name="csY8543" fmla="*/ 3022474 h 6858000"/>
              <a:gd name="csX8544" fmla="*/ 7123456 w 12192000"/>
              <a:gd name="csY8544" fmla="*/ 2987653 h 6858000"/>
              <a:gd name="csX8545" fmla="*/ 7207198 w 12192000"/>
              <a:gd name="csY8545" fmla="*/ 2987653 h 6858000"/>
              <a:gd name="csX8546" fmla="*/ 7172845 w 12192000"/>
              <a:gd name="csY8546" fmla="*/ 3022474 h 6858000"/>
              <a:gd name="csX8547" fmla="*/ 7207198 w 12192000"/>
              <a:gd name="csY8547" fmla="*/ 3057294 h 6858000"/>
              <a:gd name="csX8548" fmla="*/ 7241538 w 12192000"/>
              <a:gd name="csY8548" fmla="*/ 3022474 h 6858000"/>
              <a:gd name="csX8549" fmla="*/ 7207198 w 12192000"/>
              <a:gd name="csY8549" fmla="*/ 2987653 h 6858000"/>
              <a:gd name="csX8550" fmla="*/ 7542164 w 12192000"/>
              <a:gd name="csY8550" fmla="*/ 2987653 h 6858000"/>
              <a:gd name="csX8551" fmla="*/ 7507811 w 12192000"/>
              <a:gd name="csY8551" fmla="*/ 3022474 h 6858000"/>
              <a:gd name="csX8552" fmla="*/ 7542164 w 12192000"/>
              <a:gd name="csY8552" fmla="*/ 3057294 h 6858000"/>
              <a:gd name="csX8553" fmla="*/ 7576504 w 12192000"/>
              <a:gd name="csY8553" fmla="*/ 3022474 h 6858000"/>
              <a:gd name="csX8554" fmla="*/ 7542164 w 12192000"/>
              <a:gd name="csY8554" fmla="*/ 2987653 h 6858000"/>
              <a:gd name="csX8555" fmla="*/ 7625906 w 12192000"/>
              <a:gd name="csY8555" fmla="*/ 2987653 h 6858000"/>
              <a:gd name="csX8556" fmla="*/ 7591553 w 12192000"/>
              <a:gd name="csY8556" fmla="*/ 3022474 h 6858000"/>
              <a:gd name="csX8557" fmla="*/ 7625906 w 12192000"/>
              <a:gd name="csY8557" fmla="*/ 3057294 h 6858000"/>
              <a:gd name="csX8558" fmla="*/ 7660246 w 12192000"/>
              <a:gd name="csY8558" fmla="*/ 3022474 h 6858000"/>
              <a:gd name="csX8559" fmla="*/ 7625906 w 12192000"/>
              <a:gd name="csY8559" fmla="*/ 2987653 h 6858000"/>
              <a:gd name="csX8560" fmla="*/ 7709647 w 12192000"/>
              <a:gd name="csY8560" fmla="*/ 2987653 h 6858000"/>
              <a:gd name="csX8561" fmla="*/ 7675294 w 12192000"/>
              <a:gd name="csY8561" fmla="*/ 3022474 h 6858000"/>
              <a:gd name="csX8562" fmla="*/ 7709647 w 12192000"/>
              <a:gd name="csY8562" fmla="*/ 3057294 h 6858000"/>
              <a:gd name="csX8563" fmla="*/ 7743988 w 12192000"/>
              <a:gd name="csY8563" fmla="*/ 3022474 h 6858000"/>
              <a:gd name="csX8564" fmla="*/ 7709647 w 12192000"/>
              <a:gd name="csY8564" fmla="*/ 2987653 h 6858000"/>
              <a:gd name="csX8565" fmla="*/ 7794420 w 12192000"/>
              <a:gd name="csY8565" fmla="*/ 2987653 h 6858000"/>
              <a:gd name="csX8566" fmla="*/ 7760067 w 12192000"/>
              <a:gd name="csY8566" fmla="*/ 3022474 h 6858000"/>
              <a:gd name="csX8567" fmla="*/ 7794420 w 12192000"/>
              <a:gd name="csY8567" fmla="*/ 3057294 h 6858000"/>
              <a:gd name="csX8568" fmla="*/ 7828760 w 12192000"/>
              <a:gd name="csY8568" fmla="*/ 3022474 h 6858000"/>
              <a:gd name="csX8569" fmla="*/ 7794420 w 12192000"/>
              <a:gd name="csY8569" fmla="*/ 2987653 h 6858000"/>
              <a:gd name="csX8570" fmla="*/ 7878161 w 12192000"/>
              <a:gd name="csY8570" fmla="*/ 2987653 h 6858000"/>
              <a:gd name="csX8571" fmla="*/ 7843808 w 12192000"/>
              <a:gd name="csY8571" fmla="*/ 3022474 h 6858000"/>
              <a:gd name="csX8572" fmla="*/ 7878161 w 12192000"/>
              <a:gd name="csY8572" fmla="*/ 3057294 h 6858000"/>
              <a:gd name="csX8573" fmla="*/ 7912501 w 12192000"/>
              <a:gd name="csY8573" fmla="*/ 3022474 h 6858000"/>
              <a:gd name="csX8574" fmla="*/ 7878161 w 12192000"/>
              <a:gd name="csY8574" fmla="*/ 2987653 h 6858000"/>
              <a:gd name="csX8575" fmla="*/ 7960293 w 12192000"/>
              <a:gd name="csY8575" fmla="*/ 2987653 h 6858000"/>
              <a:gd name="csX8576" fmla="*/ 7925940 w 12192000"/>
              <a:gd name="csY8576" fmla="*/ 3022474 h 6858000"/>
              <a:gd name="csX8577" fmla="*/ 7960293 w 12192000"/>
              <a:gd name="csY8577" fmla="*/ 3057294 h 6858000"/>
              <a:gd name="csX8578" fmla="*/ 7994633 w 12192000"/>
              <a:gd name="csY8578" fmla="*/ 3022474 h 6858000"/>
              <a:gd name="csX8579" fmla="*/ 7960293 w 12192000"/>
              <a:gd name="csY8579" fmla="*/ 2987653 h 6858000"/>
              <a:gd name="csX8580" fmla="*/ 8044034 w 12192000"/>
              <a:gd name="csY8580" fmla="*/ 2987653 h 6858000"/>
              <a:gd name="csX8581" fmla="*/ 8009681 w 12192000"/>
              <a:gd name="csY8581" fmla="*/ 3022474 h 6858000"/>
              <a:gd name="csX8582" fmla="*/ 8044034 w 12192000"/>
              <a:gd name="csY8582" fmla="*/ 3057294 h 6858000"/>
              <a:gd name="csX8583" fmla="*/ 8078375 w 12192000"/>
              <a:gd name="csY8583" fmla="*/ 3022474 h 6858000"/>
              <a:gd name="csX8584" fmla="*/ 8044034 w 12192000"/>
              <a:gd name="csY8584" fmla="*/ 2987653 h 6858000"/>
              <a:gd name="csX8585" fmla="*/ 8127776 w 12192000"/>
              <a:gd name="csY8585" fmla="*/ 2987653 h 6858000"/>
              <a:gd name="csX8586" fmla="*/ 8093422 w 12192000"/>
              <a:gd name="csY8586" fmla="*/ 3022474 h 6858000"/>
              <a:gd name="csX8587" fmla="*/ 8127776 w 12192000"/>
              <a:gd name="csY8587" fmla="*/ 3057294 h 6858000"/>
              <a:gd name="csX8588" fmla="*/ 8162116 w 12192000"/>
              <a:gd name="csY8588" fmla="*/ 3022474 h 6858000"/>
              <a:gd name="csX8589" fmla="*/ 8127776 w 12192000"/>
              <a:gd name="csY8589" fmla="*/ 2987653 h 6858000"/>
              <a:gd name="csX8590" fmla="*/ 8212613 w 12192000"/>
              <a:gd name="csY8590" fmla="*/ 2987653 h 6858000"/>
              <a:gd name="csX8591" fmla="*/ 8178260 w 12192000"/>
              <a:gd name="csY8591" fmla="*/ 3022474 h 6858000"/>
              <a:gd name="csX8592" fmla="*/ 8212613 w 12192000"/>
              <a:gd name="csY8592" fmla="*/ 3057294 h 6858000"/>
              <a:gd name="csX8593" fmla="*/ 8246953 w 12192000"/>
              <a:gd name="csY8593" fmla="*/ 3022474 h 6858000"/>
              <a:gd name="csX8594" fmla="*/ 8212613 w 12192000"/>
              <a:gd name="csY8594" fmla="*/ 2987653 h 6858000"/>
              <a:gd name="csX8595" fmla="*/ 8296354 w 12192000"/>
              <a:gd name="csY8595" fmla="*/ 2987653 h 6858000"/>
              <a:gd name="csX8596" fmla="*/ 8262001 w 12192000"/>
              <a:gd name="csY8596" fmla="*/ 3022474 h 6858000"/>
              <a:gd name="csX8597" fmla="*/ 8296354 w 12192000"/>
              <a:gd name="csY8597" fmla="*/ 3057294 h 6858000"/>
              <a:gd name="csX8598" fmla="*/ 8330695 w 12192000"/>
              <a:gd name="csY8598" fmla="*/ 3022474 h 6858000"/>
              <a:gd name="csX8599" fmla="*/ 8296354 w 12192000"/>
              <a:gd name="csY8599" fmla="*/ 2987653 h 6858000"/>
              <a:gd name="csX8600" fmla="*/ 8379580 w 12192000"/>
              <a:gd name="csY8600" fmla="*/ 2987653 h 6858000"/>
              <a:gd name="csX8601" fmla="*/ 8345227 w 12192000"/>
              <a:gd name="csY8601" fmla="*/ 3022474 h 6858000"/>
              <a:gd name="csX8602" fmla="*/ 8379580 w 12192000"/>
              <a:gd name="csY8602" fmla="*/ 3057294 h 6858000"/>
              <a:gd name="csX8603" fmla="*/ 8413921 w 12192000"/>
              <a:gd name="csY8603" fmla="*/ 3022474 h 6858000"/>
              <a:gd name="csX8604" fmla="*/ 8379580 w 12192000"/>
              <a:gd name="csY8604" fmla="*/ 2987653 h 6858000"/>
              <a:gd name="csX8605" fmla="*/ 8463323 w 12192000"/>
              <a:gd name="csY8605" fmla="*/ 2987653 h 6858000"/>
              <a:gd name="csX8606" fmla="*/ 8428970 w 12192000"/>
              <a:gd name="csY8606" fmla="*/ 3022474 h 6858000"/>
              <a:gd name="csX8607" fmla="*/ 8463323 w 12192000"/>
              <a:gd name="csY8607" fmla="*/ 3057294 h 6858000"/>
              <a:gd name="csX8608" fmla="*/ 8497663 w 12192000"/>
              <a:gd name="csY8608" fmla="*/ 3022474 h 6858000"/>
              <a:gd name="csX8609" fmla="*/ 8463323 w 12192000"/>
              <a:gd name="csY8609" fmla="*/ 2987653 h 6858000"/>
              <a:gd name="csX8610" fmla="*/ 8547064 w 12192000"/>
              <a:gd name="csY8610" fmla="*/ 2987653 h 6858000"/>
              <a:gd name="csX8611" fmla="*/ 8512711 w 12192000"/>
              <a:gd name="csY8611" fmla="*/ 3022474 h 6858000"/>
              <a:gd name="csX8612" fmla="*/ 8547064 w 12192000"/>
              <a:gd name="csY8612" fmla="*/ 3057294 h 6858000"/>
              <a:gd name="csX8613" fmla="*/ 8581404 w 12192000"/>
              <a:gd name="csY8613" fmla="*/ 3022474 h 6858000"/>
              <a:gd name="csX8614" fmla="*/ 8547064 w 12192000"/>
              <a:gd name="csY8614" fmla="*/ 2987653 h 6858000"/>
              <a:gd name="csX8615" fmla="*/ 8630805 w 12192000"/>
              <a:gd name="csY8615" fmla="*/ 2987653 h 6858000"/>
              <a:gd name="csX8616" fmla="*/ 8596452 w 12192000"/>
              <a:gd name="csY8616" fmla="*/ 3022474 h 6858000"/>
              <a:gd name="csX8617" fmla="*/ 8630805 w 12192000"/>
              <a:gd name="csY8617" fmla="*/ 3057294 h 6858000"/>
              <a:gd name="csX8618" fmla="*/ 8665145 w 12192000"/>
              <a:gd name="csY8618" fmla="*/ 3022474 h 6858000"/>
              <a:gd name="csX8619" fmla="*/ 8630805 w 12192000"/>
              <a:gd name="csY8619" fmla="*/ 2987653 h 6858000"/>
              <a:gd name="csX8620" fmla="*/ 8714547 w 12192000"/>
              <a:gd name="csY8620" fmla="*/ 2987653 h 6858000"/>
              <a:gd name="csX8621" fmla="*/ 8680194 w 12192000"/>
              <a:gd name="csY8621" fmla="*/ 3022474 h 6858000"/>
              <a:gd name="csX8622" fmla="*/ 8714547 w 12192000"/>
              <a:gd name="csY8622" fmla="*/ 3057294 h 6858000"/>
              <a:gd name="csX8623" fmla="*/ 8748888 w 12192000"/>
              <a:gd name="csY8623" fmla="*/ 3022474 h 6858000"/>
              <a:gd name="csX8624" fmla="*/ 8714547 w 12192000"/>
              <a:gd name="csY8624" fmla="*/ 2987653 h 6858000"/>
              <a:gd name="csX8625" fmla="*/ 8798289 w 12192000"/>
              <a:gd name="csY8625" fmla="*/ 2987653 h 6858000"/>
              <a:gd name="csX8626" fmla="*/ 8763936 w 12192000"/>
              <a:gd name="csY8626" fmla="*/ 3022474 h 6858000"/>
              <a:gd name="csX8627" fmla="*/ 8798289 w 12192000"/>
              <a:gd name="csY8627" fmla="*/ 3057294 h 6858000"/>
              <a:gd name="csX8628" fmla="*/ 8832629 w 12192000"/>
              <a:gd name="csY8628" fmla="*/ 3022474 h 6858000"/>
              <a:gd name="csX8629" fmla="*/ 8798289 w 12192000"/>
              <a:gd name="csY8629" fmla="*/ 2987653 h 6858000"/>
              <a:gd name="csX8630" fmla="*/ 8882030 w 12192000"/>
              <a:gd name="csY8630" fmla="*/ 2987653 h 6858000"/>
              <a:gd name="csX8631" fmla="*/ 8847677 w 12192000"/>
              <a:gd name="csY8631" fmla="*/ 3022474 h 6858000"/>
              <a:gd name="csX8632" fmla="*/ 8882030 w 12192000"/>
              <a:gd name="csY8632" fmla="*/ 3057294 h 6858000"/>
              <a:gd name="csX8633" fmla="*/ 8916370 w 12192000"/>
              <a:gd name="csY8633" fmla="*/ 3022474 h 6858000"/>
              <a:gd name="csX8634" fmla="*/ 8882030 w 12192000"/>
              <a:gd name="csY8634" fmla="*/ 2987653 h 6858000"/>
              <a:gd name="csX8635" fmla="*/ 8965772 w 12192000"/>
              <a:gd name="csY8635" fmla="*/ 2987653 h 6858000"/>
              <a:gd name="csX8636" fmla="*/ 8931419 w 12192000"/>
              <a:gd name="csY8636" fmla="*/ 3022474 h 6858000"/>
              <a:gd name="csX8637" fmla="*/ 8965772 w 12192000"/>
              <a:gd name="csY8637" fmla="*/ 3057294 h 6858000"/>
              <a:gd name="csX8638" fmla="*/ 9000112 w 12192000"/>
              <a:gd name="csY8638" fmla="*/ 3022474 h 6858000"/>
              <a:gd name="csX8639" fmla="*/ 8965772 w 12192000"/>
              <a:gd name="csY8639" fmla="*/ 2987653 h 6858000"/>
              <a:gd name="csX8640" fmla="*/ 9049513 w 12192000"/>
              <a:gd name="csY8640" fmla="*/ 2987653 h 6858000"/>
              <a:gd name="csX8641" fmla="*/ 9015160 w 12192000"/>
              <a:gd name="csY8641" fmla="*/ 3022474 h 6858000"/>
              <a:gd name="csX8642" fmla="*/ 9049513 w 12192000"/>
              <a:gd name="csY8642" fmla="*/ 3057294 h 6858000"/>
              <a:gd name="csX8643" fmla="*/ 9083854 w 12192000"/>
              <a:gd name="csY8643" fmla="*/ 3022474 h 6858000"/>
              <a:gd name="csX8644" fmla="*/ 9049513 w 12192000"/>
              <a:gd name="csY8644" fmla="*/ 2987653 h 6858000"/>
              <a:gd name="csX8645" fmla="*/ 9133256 w 12192000"/>
              <a:gd name="csY8645" fmla="*/ 2987653 h 6858000"/>
              <a:gd name="csX8646" fmla="*/ 9098903 w 12192000"/>
              <a:gd name="csY8646" fmla="*/ 3022474 h 6858000"/>
              <a:gd name="csX8647" fmla="*/ 9133256 w 12192000"/>
              <a:gd name="csY8647" fmla="*/ 3057294 h 6858000"/>
              <a:gd name="csX8648" fmla="*/ 9167596 w 12192000"/>
              <a:gd name="csY8648" fmla="*/ 3022474 h 6858000"/>
              <a:gd name="csX8649" fmla="*/ 9133256 w 12192000"/>
              <a:gd name="csY8649" fmla="*/ 2987653 h 6858000"/>
              <a:gd name="csX8650" fmla="*/ 9216997 w 12192000"/>
              <a:gd name="csY8650" fmla="*/ 2987653 h 6858000"/>
              <a:gd name="csX8651" fmla="*/ 9182644 w 12192000"/>
              <a:gd name="csY8651" fmla="*/ 3022474 h 6858000"/>
              <a:gd name="csX8652" fmla="*/ 9216997 w 12192000"/>
              <a:gd name="csY8652" fmla="*/ 3057294 h 6858000"/>
              <a:gd name="csX8653" fmla="*/ 9251337 w 12192000"/>
              <a:gd name="csY8653" fmla="*/ 3022474 h 6858000"/>
              <a:gd name="csX8654" fmla="*/ 9216997 w 12192000"/>
              <a:gd name="csY8654" fmla="*/ 2987653 h 6858000"/>
              <a:gd name="csX8655" fmla="*/ 9300738 w 12192000"/>
              <a:gd name="csY8655" fmla="*/ 2987653 h 6858000"/>
              <a:gd name="csX8656" fmla="*/ 9266385 w 12192000"/>
              <a:gd name="csY8656" fmla="*/ 3022474 h 6858000"/>
              <a:gd name="csX8657" fmla="*/ 9300738 w 12192000"/>
              <a:gd name="csY8657" fmla="*/ 3057294 h 6858000"/>
              <a:gd name="csX8658" fmla="*/ 9335078 w 12192000"/>
              <a:gd name="csY8658" fmla="*/ 3022474 h 6858000"/>
              <a:gd name="csX8659" fmla="*/ 9300738 w 12192000"/>
              <a:gd name="csY8659" fmla="*/ 2987653 h 6858000"/>
              <a:gd name="csX8660" fmla="*/ 9384480 w 12192000"/>
              <a:gd name="csY8660" fmla="*/ 2987653 h 6858000"/>
              <a:gd name="csX8661" fmla="*/ 9350127 w 12192000"/>
              <a:gd name="csY8661" fmla="*/ 3022474 h 6858000"/>
              <a:gd name="csX8662" fmla="*/ 9384480 w 12192000"/>
              <a:gd name="csY8662" fmla="*/ 3057294 h 6858000"/>
              <a:gd name="csX8663" fmla="*/ 9418821 w 12192000"/>
              <a:gd name="csY8663" fmla="*/ 3022474 h 6858000"/>
              <a:gd name="csX8664" fmla="*/ 9384480 w 12192000"/>
              <a:gd name="csY8664" fmla="*/ 2987653 h 6858000"/>
              <a:gd name="csX8665" fmla="*/ 9468222 w 12192000"/>
              <a:gd name="csY8665" fmla="*/ 2987653 h 6858000"/>
              <a:gd name="csX8666" fmla="*/ 9433869 w 12192000"/>
              <a:gd name="csY8666" fmla="*/ 3022474 h 6858000"/>
              <a:gd name="csX8667" fmla="*/ 9468222 w 12192000"/>
              <a:gd name="csY8667" fmla="*/ 3057294 h 6858000"/>
              <a:gd name="csX8668" fmla="*/ 9502562 w 12192000"/>
              <a:gd name="csY8668" fmla="*/ 3022474 h 6858000"/>
              <a:gd name="csX8669" fmla="*/ 9468222 w 12192000"/>
              <a:gd name="csY8669" fmla="*/ 2987653 h 6858000"/>
              <a:gd name="csX8670" fmla="*/ 9719446 w 12192000"/>
              <a:gd name="csY8670" fmla="*/ 2987653 h 6858000"/>
              <a:gd name="csX8671" fmla="*/ 9685093 w 12192000"/>
              <a:gd name="csY8671" fmla="*/ 3022474 h 6858000"/>
              <a:gd name="csX8672" fmla="*/ 9719446 w 12192000"/>
              <a:gd name="csY8672" fmla="*/ 3057294 h 6858000"/>
              <a:gd name="csX8673" fmla="*/ 9753787 w 12192000"/>
              <a:gd name="csY8673" fmla="*/ 3022474 h 6858000"/>
              <a:gd name="csX8674" fmla="*/ 9719446 w 12192000"/>
              <a:gd name="csY8674" fmla="*/ 2987653 h 6858000"/>
              <a:gd name="csX8675" fmla="*/ 9970671 w 12192000"/>
              <a:gd name="csY8675" fmla="*/ 2987653 h 6858000"/>
              <a:gd name="csX8676" fmla="*/ 9936318 w 12192000"/>
              <a:gd name="csY8676" fmla="*/ 3022474 h 6858000"/>
              <a:gd name="csX8677" fmla="*/ 9970671 w 12192000"/>
              <a:gd name="csY8677" fmla="*/ 3057294 h 6858000"/>
              <a:gd name="csX8678" fmla="*/ 10005011 w 12192000"/>
              <a:gd name="csY8678" fmla="*/ 3022474 h 6858000"/>
              <a:gd name="csX8679" fmla="*/ 9970671 w 12192000"/>
              <a:gd name="csY8679" fmla="*/ 2987653 h 6858000"/>
              <a:gd name="csX8680" fmla="*/ 2350151 w 12192000"/>
              <a:gd name="csY8680" fmla="*/ 3072518 h 6858000"/>
              <a:gd name="csX8681" fmla="*/ 2315804 w 12192000"/>
              <a:gd name="csY8681" fmla="*/ 3107339 h 6858000"/>
              <a:gd name="csX8682" fmla="*/ 2350151 w 12192000"/>
              <a:gd name="csY8682" fmla="*/ 3142159 h 6858000"/>
              <a:gd name="csX8683" fmla="*/ 2384498 w 12192000"/>
              <a:gd name="csY8683" fmla="*/ 3107339 h 6858000"/>
              <a:gd name="csX8684" fmla="*/ 2350151 w 12192000"/>
              <a:gd name="csY8684" fmla="*/ 3072518 h 6858000"/>
              <a:gd name="csX8685" fmla="*/ 2433893 w 12192000"/>
              <a:gd name="csY8685" fmla="*/ 3072518 h 6858000"/>
              <a:gd name="csX8686" fmla="*/ 2399546 w 12192000"/>
              <a:gd name="csY8686" fmla="*/ 3107339 h 6858000"/>
              <a:gd name="csX8687" fmla="*/ 2433893 w 12192000"/>
              <a:gd name="csY8687" fmla="*/ 3142159 h 6858000"/>
              <a:gd name="csX8688" fmla="*/ 2468240 w 12192000"/>
              <a:gd name="csY8688" fmla="*/ 3107339 h 6858000"/>
              <a:gd name="csX8689" fmla="*/ 2433893 w 12192000"/>
              <a:gd name="csY8689" fmla="*/ 3072518 h 6858000"/>
              <a:gd name="csX8690" fmla="*/ 2517634 w 12192000"/>
              <a:gd name="csY8690" fmla="*/ 3072518 h 6858000"/>
              <a:gd name="csX8691" fmla="*/ 2483288 w 12192000"/>
              <a:gd name="csY8691" fmla="*/ 3107339 h 6858000"/>
              <a:gd name="csX8692" fmla="*/ 2517634 w 12192000"/>
              <a:gd name="csY8692" fmla="*/ 3142159 h 6858000"/>
              <a:gd name="csX8693" fmla="*/ 2551981 w 12192000"/>
              <a:gd name="csY8693" fmla="*/ 3107339 h 6858000"/>
              <a:gd name="csX8694" fmla="*/ 2517634 w 12192000"/>
              <a:gd name="csY8694" fmla="*/ 3072518 h 6858000"/>
              <a:gd name="csX8695" fmla="*/ 2601376 w 12192000"/>
              <a:gd name="csY8695" fmla="*/ 3072518 h 6858000"/>
              <a:gd name="csX8696" fmla="*/ 2567029 w 12192000"/>
              <a:gd name="csY8696" fmla="*/ 3107339 h 6858000"/>
              <a:gd name="csX8697" fmla="*/ 2601376 w 12192000"/>
              <a:gd name="csY8697" fmla="*/ 3142159 h 6858000"/>
              <a:gd name="csX8698" fmla="*/ 2635722 w 12192000"/>
              <a:gd name="csY8698" fmla="*/ 3107339 h 6858000"/>
              <a:gd name="csX8699" fmla="*/ 2601376 w 12192000"/>
              <a:gd name="csY8699" fmla="*/ 3072518 h 6858000"/>
              <a:gd name="csX8700" fmla="*/ 2685118 w 12192000"/>
              <a:gd name="csY8700" fmla="*/ 3072518 h 6858000"/>
              <a:gd name="csX8701" fmla="*/ 2650771 w 12192000"/>
              <a:gd name="csY8701" fmla="*/ 3107339 h 6858000"/>
              <a:gd name="csX8702" fmla="*/ 2685118 w 12192000"/>
              <a:gd name="csY8702" fmla="*/ 3142159 h 6858000"/>
              <a:gd name="csX8703" fmla="*/ 2719465 w 12192000"/>
              <a:gd name="csY8703" fmla="*/ 3107339 h 6858000"/>
              <a:gd name="csX8704" fmla="*/ 2685118 w 12192000"/>
              <a:gd name="csY8704" fmla="*/ 3072518 h 6858000"/>
              <a:gd name="csX8705" fmla="*/ 2768859 w 12192000"/>
              <a:gd name="csY8705" fmla="*/ 3072518 h 6858000"/>
              <a:gd name="csX8706" fmla="*/ 2734512 w 12192000"/>
              <a:gd name="csY8706" fmla="*/ 3107339 h 6858000"/>
              <a:gd name="csX8707" fmla="*/ 2768859 w 12192000"/>
              <a:gd name="csY8707" fmla="*/ 3142159 h 6858000"/>
              <a:gd name="csX8708" fmla="*/ 2803206 w 12192000"/>
              <a:gd name="csY8708" fmla="*/ 3107339 h 6858000"/>
              <a:gd name="csX8709" fmla="*/ 2768859 w 12192000"/>
              <a:gd name="csY8709" fmla="*/ 3072518 h 6858000"/>
              <a:gd name="csX8710" fmla="*/ 2852600 w 12192000"/>
              <a:gd name="csY8710" fmla="*/ 3072518 h 6858000"/>
              <a:gd name="csX8711" fmla="*/ 2818254 w 12192000"/>
              <a:gd name="csY8711" fmla="*/ 3107339 h 6858000"/>
              <a:gd name="csX8712" fmla="*/ 2852600 w 12192000"/>
              <a:gd name="csY8712" fmla="*/ 3142159 h 6858000"/>
              <a:gd name="csX8713" fmla="*/ 2886947 w 12192000"/>
              <a:gd name="csY8713" fmla="*/ 3107339 h 6858000"/>
              <a:gd name="csX8714" fmla="*/ 2852600 w 12192000"/>
              <a:gd name="csY8714" fmla="*/ 3072518 h 6858000"/>
              <a:gd name="csX8715" fmla="*/ 2936343 w 12192000"/>
              <a:gd name="csY8715" fmla="*/ 3072518 h 6858000"/>
              <a:gd name="csX8716" fmla="*/ 2901996 w 12192000"/>
              <a:gd name="csY8716" fmla="*/ 3107339 h 6858000"/>
              <a:gd name="csX8717" fmla="*/ 2936343 w 12192000"/>
              <a:gd name="csY8717" fmla="*/ 3142159 h 6858000"/>
              <a:gd name="csX8718" fmla="*/ 2970689 w 12192000"/>
              <a:gd name="csY8718" fmla="*/ 3107339 h 6858000"/>
              <a:gd name="csX8719" fmla="*/ 2936343 w 12192000"/>
              <a:gd name="csY8719" fmla="*/ 3072518 h 6858000"/>
              <a:gd name="csX8720" fmla="*/ 3020084 w 12192000"/>
              <a:gd name="csY8720" fmla="*/ 3072518 h 6858000"/>
              <a:gd name="csX8721" fmla="*/ 2985737 w 12192000"/>
              <a:gd name="csY8721" fmla="*/ 3107339 h 6858000"/>
              <a:gd name="csX8722" fmla="*/ 3020084 w 12192000"/>
              <a:gd name="csY8722" fmla="*/ 3142159 h 6858000"/>
              <a:gd name="csX8723" fmla="*/ 3054431 w 12192000"/>
              <a:gd name="csY8723" fmla="*/ 3107339 h 6858000"/>
              <a:gd name="csX8724" fmla="*/ 3020084 w 12192000"/>
              <a:gd name="csY8724" fmla="*/ 3072518 h 6858000"/>
              <a:gd name="csX8725" fmla="*/ 3103826 w 12192000"/>
              <a:gd name="csY8725" fmla="*/ 3072518 h 6858000"/>
              <a:gd name="csX8726" fmla="*/ 3069479 w 12192000"/>
              <a:gd name="csY8726" fmla="*/ 3107339 h 6858000"/>
              <a:gd name="csX8727" fmla="*/ 3103826 w 12192000"/>
              <a:gd name="csY8727" fmla="*/ 3142159 h 6858000"/>
              <a:gd name="csX8728" fmla="*/ 3138173 w 12192000"/>
              <a:gd name="csY8728" fmla="*/ 3107339 h 6858000"/>
              <a:gd name="csX8729" fmla="*/ 3103826 w 12192000"/>
              <a:gd name="csY8729" fmla="*/ 3072518 h 6858000"/>
              <a:gd name="csX8730" fmla="*/ 3187567 w 12192000"/>
              <a:gd name="csY8730" fmla="*/ 3072518 h 6858000"/>
              <a:gd name="csX8731" fmla="*/ 3153221 w 12192000"/>
              <a:gd name="csY8731" fmla="*/ 3107339 h 6858000"/>
              <a:gd name="csX8732" fmla="*/ 3187567 w 12192000"/>
              <a:gd name="csY8732" fmla="*/ 3142159 h 6858000"/>
              <a:gd name="csX8733" fmla="*/ 3221914 w 12192000"/>
              <a:gd name="csY8733" fmla="*/ 3107339 h 6858000"/>
              <a:gd name="csX8734" fmla="*/ 3187567 w 12192000"/>
              <a:gd name="csY8734" fmla="*/ 3072518 h 6858000"/>
              <a:gd name="csX8735" fmla="*/ 3271309 w 12192000"/>
              <a:gd name="csY8735" fmla="*/ 3072518 h 6858000"/>
              <a:gd name="csX8736" fmla="*/ 3236962 w 12192000"/>
              <a:gd name="csY8736" fmla="*/ 3107339 h 6858000"/>
              <a:gd name="csX8737" fmla="*/ 3271309 w 12192000"/>
              <a:gd name="csY8737" fmla="*/ 3142159 h 6858000"/>
              <a:gd name="csX8738" fmla="*/ 3305655 w 12192000"/>
              <a:gd name="csY8738" fmla="*/ 3107339 h 6858000"/>
              <a:gd name="csX8739" fmla="*/ 3271309 w 12192000"/>
              <a:gd name="csY8739" fmla="*/ 3072518 h 6858000"/>
              <a:gd name="csX8740" fmla="*/ 3355051 w 12192000"/>
              <a:gd name="csY8740" fmla="*/ 3072518 h 6858000"/>
              <a:gd name="csX8741" fmla="*/ 3320704 w 12192000"/>
              <a:gd name="csY8741" fmla="*/ 3107339 h 6858000"/>
              <a:gd name="csX8742" fmla="*/ 3355051 w 12192000"/>
              <a:gd name="csY8742" fmla="*/ 3142159 h 6858000"/>
              <a:gd name="csX8743" fmla="*/ 3389398 w 12192000"/>
              <a:gd name="csY8743" fmla="*/ 3107339 h 6858000"/>
              <a:gd name="csX8744" fmla="*/ 3355051 w 12192000"/>
              <a:gd name="csY8744" fmla="*/ 3072518 h 6858000"/>
              <a:gd name="csX8745" fmla="*/ 3438792 w 12192000"/>
              <a:gd name="csY8745" fmla="*/ 3072518 h 6858000"/>
              <a:gd name="csX8746" fmla="*/ 3404445 w 12192000"/>
              <a:gd name="csY8746" fmla="*/ 3107339 h 6858000"/>
              <a:gd name="csX8747" fmla="*/ 3438792 w 12192000"/>
              <a:gd name="csY8747" fmla="*/ 3142159 h 6858000"/>
              <a:gd name="csX8748" fmla="*/ 3473139 w 12192000"/>
              <a:gd name="csY8748" fmla="*/ 3107339 h 6858000"/>
              <a:gd name="csX8749" fmla="*/ 3438792 w 12192000"/>
              <a:gd name="csY8749" fmla="*/ 3072518 h 6858000"/>
              <a:gd name="csX8750" fmla="*/ 3522533 w 12192000"/>
              <a:gd name="csY8750" fmla="*/ 3072518 h 6858000"/>
              <a:gd name="csX8751" fmla="*/ 3488187 w 12192000"/>
              <a:gd name="csY8751" fmla="*/ 3107339 h 6858000"/>
              <a:gd name="csX8752" fmla="*/ 3522533 w 12192000"/>
              <a:gd name="csY8752" fmla="*/ 3142159 h 6858000"/>
              <a:gd name="csX8753" fmla="*/ 3556880 w 12192000"/>
              <a:gd name="csY8753" fmla="*/ 3107339 h 6858000"/>
              <a:gd name="csX8754" fmla="*/ 3522533 w 12192000"/>
              <a:gd name="csY8754" fmla="*/ 3072518 h 6858000"/>
              <a:gd name="csX8755" fmla="*/ 5699823 w 12192000"/>
              <a:gd name="csY8755" fmla="*/ 3072518 h 6858000"/>
              <a:gd name="csX8756" fmla="*/ 5665476 w 12192000"/>
              <a:gd name="csY8756" fmla="*/ 3107339 h 6858000"/>
              <a:gd name="csX8757" fmla="*/ 5699823 w 12192000"/>
              <a:gd name="csY8757" fmla="*/ 3142159 h 6858000"/>
              <a:gd name="csX8758" fmla="*/ 5734170 w 12192000"/>
              <a:gd name="csY8758" fmla="*/ 3107339 h 6858000"/>
              <a:gd name="csX8759" fmla="*/ 5699823 w 12192000"/>
              <a:gd name="csY8759" fmla="*/ 3072518 h 6858000"/>
              <a:gd name="csX8760" fmla="*/ 6034789 w 12192000"/>
              <a:gd name="csY8760" fmla="*/ 3072518 h 6858000"/>
              <a:gd name="csX8761" fmla="*/ 6000436 w 12192000"/>
              <a:gd name="csY8761" fmla="*/ 3107339 h 6858000"/>
              <a:gd name="csX8762" fmla="*/ 6034789 w 12192000"/>
              <a:gd name="csY8762" fmla="*/ 3142159 h 6858000"/>
              <a:gd name="csX8763" fmla="*/ 6069130 w 12192000"/>
              <a:gd name="csY8763" fmla="*/ 3107339 h 6858000"/>
              <a:gd name="csX8764" fmla="*/ 6034789 w 12192000"/>
              <a:gd name="csY8764" fmla="*/ 3072518 h 6858000"/>
              <a:gd name="csX8765" fmla="*/ 6118531 w 12192000"/>
              <a:gd name="csY8765" fmla="*/ 3072518 h 6858000"/>
              <a:gd name="csX8766" fmla="*/ 6084177 w 12192000"/>
              <a:gd name="csY8766" fmla="*/ 3107339 h 6858000"/>
              <a:gd name="csX8767" fmla="*/ 6118531 w 12192000"/>
              <a:gd name="csY8767" fmla="*/ 3142159 h 6858000"/>
              <a:gd name="csX8768" fmla="*/ 6152871 w 12192000"/>
              <a:gd name="csY8768" fmla="*/ 3107339 h 6858000"/>
              <a:gd name="csX8769" fmla="*/ 6118531 w 12192000"/>
              <a:gd name="csY8769" fmla="*/ 3072518 h 6858000"/>
              <a:gd name="csX8770" fmla="*/ 6286014 w 12192000"/>
              <a:gd name="csY8770" fmla="*/ 3072518 h 6858000"/>
              <a:gd name="csX8771" fmla="*/ 6251661 w 12192000"/>
              <a:gd name="csY8771" fmla="*/ 3107339 h 6858000"/>
              <a:gd name="csX8772" fmla="*/ 6286014 w 12192000"/>
              <a:gd name="csY8772" fmla="*/ 3142159 h 6858000"/>
              <a:gd name="csX8773" fmla="*/ 6320354 w 12192000"/>
              <a:gd name="csY8773" fmla="*/ 3107339 h 6858000"/>
              <a:gd name="csX8774" fmla="*/ 6286014 w 12192000"/>
              <a:gd name="csY8774" fmla="*/ 3072518 h 6858000"/>
              <a:gd name="csX8775" fmla="*/ 6955947 w 12192000"/>
              <a:gd name="csY8775" fmla="*/ 3072518 h 6858000"/>
              <a:gd name="csX8776" fmla="*/ 6921594 w 12192000"/>
              <a:gd name="csY8776" fmla="*/ 3107339 h 6858000"/>
              <a:gd name="csX8777" fmla="*/ 6955947 w 12192000"/>
              <a:gd name="csY8777" fmla="*/ 3142159 h 6858000"/>
              <a:gd name="csX8778" fmla="*/ 6990287 w 12192000"/>
              <a:gd name="csY8778" fmla="*/ 3107339 h 6858000"/>
              <a:gd name="csX8779" fmla="*/ 6955947 w 12192000"/>
              <a:gd name="csY8779" fmla="*/ 3072518 h 6858000"/>
              <a:gd name="csX8780" fmla="*/ 7039688 w 12192000"/>
              <a:gd name="csY8780" fmla="*/ 3072518 h 6858000"/>
              <a:gd name="csX8781" fmla="*/ 7005335 w 12192000"/>
              <a:gd name="csY8781" fmla="*/ 3107339 h 6858000"/>
              <a:gd name="csX8782" fmla="*/ 7039688 w 12192000"/>
              <a:gd name="csY8782" fmla="*/ 3142159 h 6858000"/>
              <a:gd name="csX8783" fmla="*/ 7074029 w 12192000"/>
              <a:gd name="csY8783" fmla="*/ 3107339 h 6858000"/>
              <a:gd name="csX8784" fmla="*/ 7039688 w 12192000"/>
              <a:gd name="csY8784" fmla="*/ 3072518 h 6858000"/>
              <a:gd name="csX8785" fmla="*/ 7123456 w 12192000"/>
              <a:gd name="csY8785" fmla="*/ 3072518 h 6858000"/>
              <a:gd name="csX8786" fmla="*/ 7089103 w 12192000"/>
              <a:gd name="csY8786" fmla="*/ 3107339 h 6858000"/>
              <a:gd name="csX8787" fmla="*/ 7123456 w 12192000"/>
              <a:gd name="csY8787" fmla="*/ 3142159 h 6858000"/>
              <a:gd name="csX8788" fmla="*/ 7157796 w 12192000"/>
              <a:gd name="csY8788" fmla="*/ 3107339 h 6858000"/>
              <a:gd name="csX8789" fmla="*/ 7123456 w 12192000"/>
              <a:gd name="csY8789" fmla="*/ 3072518 h 6858000"/>
              <a:gd name="csX8790" fmla="*/ 7207198 w 12192000"/>
              <a:gd name="csY8790" fmla="*/ 3072518 h 6858000"/>
              <a:gd name="csX8791" fmla="*/ 7172845 w 12192000"/>
              <a:gd name="csY8791" fmla="*/ 3107339 h 6858000"/>
              <a:gd name="csX8792" fmla="*/ 7207198 w 12192000"/>
              <a:gd name="csY8792" fmla="*/ 3142159 h 6858000"/>
              <a:gd name="csX8793" fmla="*/ 7241538 w 12192000"/>
              <a:gd name="csY8793" fmla="*/ 3107339 h 6858000"/>
              <a:gd name="csX8794" fmla="*/ 7207198 w 12192000"/>
              <a:gd name="csY8794" fmla="*/ 3072518 h 6858000"/>
              <a:gd name="csX8795" fmla="*/ 7290939 w 12192000"/>
              <a:gd name="csY8795" fmla="*/ 3072518 h 6858000"/>
              <a:gd name="csX8796" fmla="*/ 7256586 w 12192000"/>
              <a:gd name="csY8796" fmla="*/ 3107339 h 6858000"/>
              <a:gd name="csX8797" fmla="*/ 7290939 w 12192000"/>
              <a:gd name="csY8797" fmla="*/ 3142159 h 6858000"/>
              <a:gd name="csX8798" fmla="*/ 7325279 w 12192000"/>
              <a:gd name="csY8798" fmla="*/ 3107339 h 6858000"/>
              <a:gd name="csX8799" fmla="*/ 7290939 w 12192000"/>
              <a:gd name="csY8799" fmla="*/ 3072518 h 6858000"/>
              <a:gd name="csX8800" fmla="*/ 7374681 w 12192000"/>
              <a:gd name="csY8800" fmla="*/ 3072518 h 6858000"/>
              <a:gd name="csX8801" fmla="*/ 7340328 w 12192000"/>
              <a:gd name="csY8801" fmla="*/ 3107339 h 6858000"/>
              <a:gd name="csX8802" fmla="*/ 7374681 w 12192000"/>
              <a:gd name="csY8802" fmla="*/ 3142159 h 6858000"/>
              <a:gd name="csX8803" fmla="*/ 7409022 w 12192000"/>
              <a:gd name="csY8803" fmla="*/ 3107339 h 6858000"/>
              <a:gd name="csX8804" fmla="*/ 7374681 w 12192000"/>
              <a:gd name="csY8804" fmla="*/ 3072518 h 6858000"/>
              <a:gd name="csX8805" fmla="*/ 7458423 w 12192000"/>
              <a:gd name="csY8805" fmla="*/ 3072518 h 6858000"/>
              <a:gd name="csX8806" fmla="*/ 7424070 w 12192000"/>
              <a:gd name="csY8806" fmla="*/ 3107339 h 6858000"/>
              <a:gd name="csX8807" fmla="*/ 7458423 w 12192000"/>
              <a:gd name="csY8807" fmla="*/ 3142159 h 6858000"/>
              <a:gd name="csX8808" fmla="*/ 7492763 w 12192000"/>
              <a:gd name="csY8808" fmla="*/ 3107339 h 6858000"/>
              <a:gd name="csX8809" fmla="*/ 7458423 w 12192000"/>
              <a:gd name="csY8809" fmla="*/ 3072518 h 6858000"/>
              <a:gd name="csX8810" fmla="*/ 7542164 w 12192000"/>
              <a:gd name="csY8810" fmla="*/ 3072518 h 6858000"/>
              <a:gd name="csX8811" fmla="*/ 7507811 w 12192000"/>
              <a:gd name="csY8811" fmla="*/ 3107339 h 6858000"/>
              <a:gd name="csX8812" fmla="*/ 7542164 w 12192000"/>
              <a:gd name="csY8812" fmla="*/ 3142159 h 6858000"/>
              <a:gd name="csX8813" fmla="*/ 7576504 w 12192000"/>
              <a:gd name="csY8813" fmla="*/ 3107339 h 6858000"/>
              <a:gd name="csX8814" fmla="*/ 7542164 w 12192000"/>
              <a:gd name="csY8814" fmla="*/ 3072518 h 6858000"/>
              <a:gd name="csX8815" fmla="*/ 7625906 w 12192000"/>
              <a:gd name="csY8815" fmla="*/ 3072518 h 6858000"/>
              <a:gd name="csX8816" fmla="*/ 7591553 w 12192000"/>
              <a:gd name="csY8816" fmla="*/ 3107339 h 6858000"/>
              <a:gd name="csX8817" fmla="*/ 7625906 w 12192000"/>
              <a:gd name="csY8817" fmla="*/ 3142159 h 6858000"/>
              <a:gd name="csX8818" fmla="*/ 7660246 w 12192000"/>
              <a:gd name="csY8818" fmla="*/ 3107339 h 6858000"/>
              <a:gd name="csX8819" fmla="*/ 7625906 w 12192000"/>
              <a:gd name="csY8819" fmla="*/ 3072518 h 6858000"/>
              <a:gd name="csX8820" fmla="*/ 7709647 w 12192000"/>
              <a:gd name="csY8820" fmla="*/ 3072518 h 6858000"/>
              <a:gd name="csX8821" fmla="*/ 7675294 w 12192000"/>
              <a:gd name="csY8821" fmla="*/ 3107339 h 6858000"/>
              <a:gd name="csX8822" fmla="*/ 7709647 w 12192000"/>
              <a:gd name="csY8822" fmla="*/ 3142159 h 6858000"/>
              <a:gd name="csX8823" fmla="*/ 7743988 w 12192000"/>
              <a:gd name="csY8823" fmla="*/ 3107339 h 6858000"/>
              <a:gd name="csX8824" fmla="*/ 7709647 w 12192000"/>
              <a:gd name="csY8824" fmla="*/ 3072518 h 6858000"/>
              <a:gd name="csX8825" fmla="*/ 7794420 w 12192000"/>
              <a:gd name="csY8825" fmla="*/ 3072518 h 6858000"/>
              <a:gd name="csX8826" fmla="*/ 7760067 w 12192000"/>
              <a:gd name="csY8826" fmla="*/ 3107339 h 6858000"/>
              <a:gd name="csX8827" fmla="*/ 7794420 w 12192000"/>
              <a:gd name="csY8827" fmla="*/ 3142159 h 6858000"/>
              <a:gd name="csX8828" fmla="*/ 7828760 w 12192000"/>
              <a:gd name="csY8828" fmla="*/ 3107339 h 6858000"/>
              <a:gd name="csX8829" fmla="*/ 7794420 w 12192000"/>
              <a:gd name="csY8829" fmla="*/ 3072518 h 6858000"/>
              <a:gd name="csX8830" fmla="*/ 7878161 w 12192000"/>
              <a:gd name="csY8830" fmla="*/ 3072518 h 6858000"/>
              <a:gd name="csX8831" fmla="*/ 7843808 w 12192000"/>
              <a:gd name="csY8831" fmla="*/ 3107339 h 6858000"/>
              <a:gd name="csX8832" fmla="*/ 7878161 w 12192000"/>
              <a:gd name="csY8832" fmla="*/ 3142159 h 6858000"/>
              <a:gd name="csX8833" fmla="*/ 7912501 w 12192000"/>
              <a:gd name="csY8833" fmla="*/ 3107339 h 6858000"/>
              <a:gd name="csX8834" fmla="*/ 7878161 w 12192000"/>
              <a:gd name="csY8834" fmla="*/ 3072518 h 6858000"/>
              <a:gd name="csX8835" fmla="*/ 7960293 w 12192000"/>
              <a:gd name="csY8835" fmla="*/ 3072518 h 6858000"/>
              <a:gd name="csX8836" fmla="*/ 7925940 w 12192000"/>
              <a:gd name="csY8836" fmla="*/ 3107339 h 6858000"/>
              <a:gd name="csX8837" fmla="*/ 7960293 w 12192000"/>
              <a:gd name="csY8837" fmla="*/ 3142159 h 6858000"/>
              <a:gd name="csX8838" fmla="*/ 7994633 w 12192000"/>
              <a:gd name="csY8838" fmla="*/ 3107339 h 6858000"/>
              <a:gd name="csX8839" fmla="*/ 7960293 w 12192000"/>
              <a:gd name="csY8839" fmla="*/ 3072518 h 6858000"/>
              <a:gd name="csX8840" fmla="*/ 8044034 w 12192000"/>
              <a:gd name="csY8840" fmla="*/ 3072518 h 6858000"/>
              <a:gd name="csX8841" fmla="*/ 8009681 w 12192000"/>
              <a:gd name="csY8841" fmla="*/ 3107339 h 6858000"/>
              <a:gd name="csX8842" fmla="*/ 8044034 w 12192000"/>
              <a:gd name="csY8842" fmla="*/ 3142159 h 6858000"/>
              <a:gd name="csX8843" fmla="*/ 8078375 w 12192000"/>
              <a:gd name="csY8843" fmla="*/ 3107339 h 6858000"/>
              <a:gd name="csX8844" fmla="*/ 8044034 w 12192000"/>
              <a:gd name="csY8844" fmla="*/ 3072518 h 6858000"/>
              <a:gd name="csX8845" fmla="*/ 8127776 w 12192000"/>
              <a:gd name="csY8845" fmla="*/ 3072518 h 6858000"/>
              <a:gd name="csX8846" fmla="*/ 8093422 w 12192000"/>
              <a:gd name="csY8846" fmla="*/ 3107339 h 6858000"/>
              <a:gd name="csX8847" fmla="*/ 8127776 w 12192000"/>
              <a:gd name="csY8847" fmla="*/ 3142159 h 6858000"/>
              <a:gd name="csX8848" fmla="*/ 8162116 w 12192000"/>
              <a:gd name="csY8848" fmla="*/ 3107339 h 6858000"/>
              <a:gd name="csX8849" fmla="*/ 8127776 w 12192000"/>
              <a:gd name="csY8849" fmla="*/ 3072518 h 6858000"/>
              <a:gd name="csX8850" fmla="*/ 8212613 w 12192000"/>
              <a:gd name="csY8850" fmla="*/ 3072518 h 6858000"/>
              <a:gd name="csX8851" fmla="*/ 8178260 w 12192000"/>
              <a:gd name="csY8851" fmla="*/ 3107339 h 6858000"/>
              <a:gd name="csX8852" fmla="*/ 8212613 w 12192000"/>
              <a:gd name="csY8852" fmla="*/ 3142159 h 6858000"/>
              <a:gd name="csX8853" fmla="*/ 8246953 w 12192000"/>
              <a:gd name="csY8853" fmla="*/ 3107339 h 6858000"/>
              <a:gd name="csX8854" fmla="*/ 8212613 w 12192000"/>
              <a:gd name="csY8854" fmla="*/ 3072518 h 6858000"/>
              <a:gd name="csX8855" fmla="*/ 8296354 w 12192000"/>
              <a:gd name="csY8855" fmla="*/ 3072518 h 6858000"/>
              <a:gd name="csX8856" fmla="*/ 8262001 w 12192000"/>
              <a:gd name="csY8856" fmla="*/ 3107339 h 6858000"/>
              <a:gd name="csX8857" fmla="*/ 8296354 w 12192000"/>
              <a:gd name="csY8857" fmla="*/ 3142159 h 6858000"/>
              <a:gd name="csX8858" fmla="*/ 8330695 w 12192000"/>
              <a:gd name="csY8858" fmla="*/ 3107339 h 6858000"/>
              <a:gd name="csX8859" fmla="*/ 8296354 w 12192000"/>
              <a:gd name="csY8859" fmla="*/ 3072518 h 6858000"/>
              <a:gd name="csX8860" fmla="*/ 8379580 w 12192000"/>
              <a:gd name="csY8860" fmla="*/ 3072518 h 6858000"/>
              <a:gd name="csX8861" fmla="*/ 8345227 w 12192000"/>
              <a:gd name="csY8861" fmla="*/ 3107339 h 6858000"/>
              <a:gd name="csX8862" fmla="*/ 8379580 w 12192000"/>
              <a:gd name="csY8862" fmla="*/ 3142159 h 6858000"/>
              <a:gd name="csX8863" fmla="*/ 8413921 w 12192000"/>
              <a:gd name="csY8863" fmla="*/ 3107339 h 6858000"/>
              <a:gd name="csX8864" fmla="*/ 8379580 w 12192000"/>
              <a:gd name="csY8864" fmla="*/ 3072518 h 6858000"/>
              <a:gd name="csX8865" fmla="*/ 8463323 w 12192000"/>
              <a:gd name="csY8865" fmla="*/ 3072518 h 6858000"/>
              <a:gd name="csX8866" fmla="*/ 8428970 w 12192000"/>
              <a:gd name="csY8866" fmla="*/ 3107339 h 6858000"/>
              <a:gd name="csX8867" fmla="*/ 8463323 w 12192000"/>
              <a:gd name="csY8867" fmla="*/ 3142159 h 6858000"/>
              <a:gd name="csX8868" fmla="*/ 8497663 w 12192000"/>
              <a:gd name="csY8868" fmla="*/ 3107339 h 6858000"/>
              <a:gd name="csX8869" fmla="*/ 8463323 w 12192000"/>
              <a:gd name="csY8869" fmla="*/ 3072518 h 6858000"/>
              <a:gd name="csX8870" fmla="*/ 8547064 w 12192000"/>
              <a:gd name="csY8870" fmla="*/ 3072518 h 6858000"/>
              <a:gd name="csX8871" fmla="*/ 8512711 w 12192000"/>
              <a:gd name="csY8871" fmla="*/ 3107339 h 6858000"/>
              <a:gd name="csX8872" fmla="*/ 8547064 w 12192000"/>
              <a:gd name="csY8872" fmla="*/ 3142159 h 6858000"/>
              <a:gd name="csX8873" fmla="*/ 8581404 w 12192000"/>
              <a:gd name="csY8873" fmla="*/ 3107339 h 6858000"/>
              <a:gd name="csX8874" fmla="*/ 8547064 w 12192000"/>
              <a:gd name="csY8874" fmla="*/ 3072518 h 6858000"/>
              <a:gd name="csX8875" fmla="*/ 8630805 w 12192000"/>
              <a:gd name="csY8875" fmla="*/ 3072518 h 6858000"/>
              <a:gd name="csX8876" fmla="*/ 8596452 w 12192000"/>
              <a:gd name="csY8876" fmla="*/ 3107339 h 6858000"/>
              <a:gd name="csX8877" fmla="*/ 8630805 w 12192000"/>
              <a:gd name="csY8877" fmla="*/ 3142159 h 6858000"/>
              <a:gd name="csX8878" fmla="*/ 8665145 w 12192000"/>
              <a:gd name="csY8878" fmla="*/ 3107339 h 6858000"/>
              <a:gd name="csX8879" fmla="*/ 8630805 w 12192000"/>
              <a:gd name="csY8879" fmla="*/ 3072518 h 6858000"/>
              <a:gd name="csX8880" fmla="*/ 8714547 w 12192000"/>
              <a:gd name="csY8880" fmla="*/ 3072518 h 6858000"/>
              <a:gd name="csX8881" fmla="*/ 8680194 w 12192000"/>
              <a:gd name="csY8881" fmla="*/ 3107339 h 6858000"/>
              <a:gd name="csX8882" fmla="*/ 8714547 w 12192000"/>
              <a:gd name="csY8882" fmla="*/ 3142159 h 6858000"/>
              <a:gd name="csX8883" fmla="*/ 8748888 w 12192000"/>
              <a:gd name="csY8883" fmla="*/ 3107339 h 6858000"/>
              <a:gd name="csX8884" fmla="*/ 8714547 w 12192000"/>
              <a:gd name="csY8884" fmla="*/ 3072518 h 6858000"/>
              <a:gd name="csX8885" fmla="*/ 8798289 w 12192000"/>
              <a:gd name="csY8885" fmla="*/ 3072518 h 6858000"/>
              <a:gd name="csX8886" fmla="*/ 8763936 w 12192000"/>
              <a:gd name="csY8886" fmla="*/ 3107339 h 6858000"/>
              <a:gd name="csX8887" fmla="*/ 8798289 w 12192000"/>
              <a:gd name="csY8887" fmla="*/ 3142159 h 6858000"/>
              <a:gd name="csX8888" fmla="*/ 8832629 w 12192000"/>
              <a:gd name="csY8888" fmla="*/ 3107339 h 6858000"/>
              <a:gd name="csX8889" fmla="*/ 8798289 w 12192000"/>
              <a:gd name="csY8889" fmla="*/ 3072518 h 6858000"/>
              <a:gd name="csX8890" fmla="*/ 8882030 w 12192000"/>
              <a:gd name="csY8890" fmla="*/ 3072518 h 6858000"/>
              <a:gd name="csX8891" fmla="*/ 8847677 w 12192000"/>
              <a:gd name="csY8891" fmla="*/ 3107339 h 6858000"/>
              <a:gd name="csX8892" fmla="*/ 8882030 w 12192000"/>
              <a:gd name="csY8892" fmla="*/ 3142159 h 6858000"/>
              <a:gd name="csX8893" fmla="*/ 8916370 w 12192000"/>
              <a:gd name="csY8893" fmla="*/ 3107339 h 6858000"/>
              <a:gd name="csX8894" fmla="*/ 8882030 w 12192000"/>
              <a:gd name="csY8894" fmla="*/ 3072518 h 6858000"/>
              <a:gd name="csX8895" fmla="*/ 8965772 w 12192000"/>
              <a:gd name="csY8895" fmla="*/ 3072518 h 6858000"/>
              <a:gd name="csX8896" fmla="*/ 8931419 w 12192000"/>
              <a:gd name="csY8896" fmla="*/ 3107339 h 6858000"/>
              <a:gd name="csX8897" fmla="*/ 8965772 w 12192000"/>
              <a:gd name="csY8897" fmla="*/ 3142159 h 6858000"/>
              <a:gd name="csX8898" fmla="*/ 9000112 w 12192000"/>
              <a:gd name="csY8898" fmla="*/ 3107339 h 6858000"/>
              <a:gd name="csX8899" fmla="*/ 8965772 w 12192000"/>
              <a:gd name="csY8899" fmla="*/ 3072518 h 6858000"/>
              <a:gd name="csX8900" fmla="*/ 9049513 w 12192000"/>
              <a:gd name="csY8900" fmla="*/ 3072518 h 6858000"/>
              <a:gd name="csX8901" fmla="*/ 9015160 w 12192000"/>
              <a:gd name="csY8901" fmla="*/ 3107339 h 6858000"/>
              <a:gd name="csX8902" fmla="*/ 9049513 w 12192000"/>
              <a:gd name="csY8902" fmla="*/ 3142159 h 6858000"/>
              <a:gd name="csX8903" fmla="*/ 9083854 w 12192000"/>
              <a:gd name="csY8903" fmla="*/ 3107339 h 6858000"/>
              <a:gd name="csX8904" fmla="*/ 9049513 w 12192000"/>
              <a:gd name="csY8904" fmla="*/ 3072518 h 6858000"/>
              <a:gd name="csX8905" fmla="*/ 9133256 w 12192000"/>
              <a:gd name="csY8905" fmla="*/ 3072518 h 6858000"/>
              <a:gd name="csX8906" fmla="*/ 9098903 w 12192000"/>
              <a:gd name="csY8906" fmla="*/ 3107339 h 6858000"/>
              <a:gd name="csX8907" fmla="*/ 9133256 w 12192000"/>
              <a:gd name="csY8907" fmla="*/ 3142159 h 6858000"/>
              <a:gd name="csX8908" fmla="*/ 9167596 w 12192000"/>
              <a:gd name="csY8908" fmla="*/ 3107339 h 6858000"/>
              <a:gd name="csX8909" fmla="*/ 9133256 w 12192000"/>
              <a:gd name="csY8909" fmla="*/ 3072518 h 6858000"/>
              <a:gd name="csX8910" fmla="*/ 9216997 w 12192000"/>
              <a:gd name="csY8910" fmla="*/ 3072518 h 6858000"/>
              <a:gd name="csX8911" fmla="*/ 9182644 w 12192000"/>
              <a:gd name="csY8911" fmla="*/ 3107339 h 6858000"/>
              <a:gd name="csX8912" fmla="*/ 9216997 w 12192000"/>
              <a:gd name="csY8912" fmla="*/ 3142159 h 6858000"/>
              <a:gd name="csX8913" fmla="*/ 9251337 w 12192000"/>
              <a:gd name="csY8913" fmla="*/ 3107339 h 6858000"/>
              <a:gd name="csX8914" fmla="*/ 9216997 w 12192000"/>
              <a:gd name="csY8914" fmla="*/ 3072518 h 6858000"/>
              <a:gd name="csX8915" fmla="*/ 9300738 w 12192000"/>
              <a:gd name="csY8915" fmla="*/ 3072518 h 6858000"/>
              <a:gd name="csX8916" fmla="*/ 9266385 w 12192000"/>
              <a:gd name="csY8916" fmla="*/ 3107339 h 6858000"/>
              <a:gd name="csX8917" fmla="*/ 9300738 w 12192000"/>
              <a:gd name="csY8917" fmla="*/ 3142159 h 6858000"/>
              <a:gd name="csX8918" fmla="*/ 9335078 w 12192000"/>
              <a:gd name="csY8918" fmla="*/ 3107339 h 6858000"/>
              <a:gd name="csX8919" fmla="*/ 9300738 w 12192000"/>
              <a:gd name="csY8919" fmla="*/ 3072518 h 6858000"/>
              <a:gd name="csX8920" fmla="*/ 9384480 w 12192000"/>
              <a:gd name="csY8920" fmla="*/ 3072518 h 6858000"/>
              <a:gd name="csX8921" fmla="*/ 9350127 w 12192000"/>
              <a:gd name="csY8921" fmla="*/ 3107339 h 6858000"/>
              <a:gd name="csX8922" fmla="*/ 9384480 w 12192000"/>
              <a:gd name="csY8922" fmla="*/ 3142159 h 6858000"/>
              <a:gd name="csX8923" fmla="*/ 9418821 w 12192000"/>
              <a:gd name="csY8923" fmla="*/ 3107339 h 6858000"/>
              <a:gd name="csX8924" fmla="*/ 9384480 w 12192000"/>
              <a:gd name="csY8924" fmla="*/ 3072518 h 6858000"/>
              <a:gd name="csX8925" fmla="*/ 9886930 w 12192000"/>
              <a:gd name="csY8925" fmla="*/ 3072518 h 6858000"/>
              <a:gd name="csX8926" fmla="*/ 9852577 w 12192000"/>
              <a:gd name="csY8926" fmla="*/ 3107339 h 6858000"/>
              <a:gd name="csX8927" fmla="*/ 9886930 w 12192000"/>
              <a:gd name="csY8927" fmla="*/ 3142159 h 6858000"/>
              <a:gd name="csX8928" fmla="*/ 9921270 w 12192000"/>
              <a:gd name="csY8928" fmla="*/ 3107339 h 6858000"/>
              <a:gd name="csX8929" fmla="*/ 9886930 w 12192000"/>
              <a:gd name="csY8929" fmla="*/ 3072518 h 6858000"/>
              <a:gd name="csX8930" fmla="*/ 2350151 w 12192000"/>
              <a:gd name="csY8930" fmla="*/ 3157382 h 6858000"/>
              <a:gd name="csX8931" fmla="*/ 2315804 w 12192000"/>
              <a:gd name="csY8931" fmla="*/ 3192202 h 6858000"/>
              <a:gd name="csX8932" fmla="*/ 2350151 w 12192000"/>
              <a:gd name="csY8932" fmla="*/ 3227023 h 6858000"/>
              <a:gd name="csX8933" fmla="*/ 2384498 w 12192000"/>
              <a:gd name="csY8933" fmla="*/ 3192202 h 6858000"/>
              <a:gd name="csX8934" fmla="*/ 2350151 w 12192000"/>
              <a:gd name="csY8934" fmla="*/ 3157382 h 6858000"/>
              <a:gd name="csX8935" fmla="*/ 2433893 w 12192000"/>
              <a:gd name="csY8935" fmla="*/ 3157382 h 6858000"/>
              <a:gd name="csX8936" fmla="*/ 2399546 w 12192000"/>
              <a:gd name="csY8936" fmla="*/ 3192202 h 6858000"/>
              <a:gd name="csX8937" fmla="*/ 2433893 w 12192000"/>
              <a:gd name="csY8937" fmla="*/ 3227023 h 6858000"/>
              <a:gd name="csX8938" fmla="*/ 2468240 w 12192000"/>
              <a:gd name="csY8938" fmla="*/ 3192202 h 6858000"/>
              <a:gd name="csX8939" fmla="*/ 2433893 w 12192000"/>
              <a:gd name="csY8939" fmla="*/ 3157382 h 6858000"/>
              <a:gd name="csX8940" fmla="*/ 2517634 w 12192000"/>
              <a:gd name="csY8940" fmla="*/ 3157382 h 6858000"/>
              <a:gd name="csX8941" fmla="*/ 2483288 w 12192000"/>
              <a:gd name="csY8941" fmla="*/ 3192202 h 6858000"/>
              <a:gd name="csX8942" fmla="*/ 2517634 w 12192000"/>
              <a:gd name="csY8942" fmla="*/ 3227023 h 6858000"/>
              <a:gd name="csX8943" fmla="*/ 2551981 w 12192000"/>
              <a:gd name="csY8943" fmla="*/ 3192202 h 6858000"/>
              <a:gd name="csX8944" fmla="*/ 2517634 w 12192000"/>
              <a:gd name="csY8944" fmla="*/ 3157382 h 6858000"/>
              <a:gd name="csX8945" fmla="*/ 2601376 w 12192000"/>
              <a:gd name="csY8945" fmla="*/ 3157382 h 6858000"/>
              <a:gd name="csX8946" fmla="*/ 2567029 w 12192000"/>
              <a:gd name="csY8946" fmla="*/ 3192202 h 6858000"/>
              <a:gd name="csX8947" fmla="*/ 2601376 w 12192000"/>
              <a:gd name="csY8947" fmla="*/ 3227023 h 6858000"/>
              <a:gd name="csX8948" fmla="*/ 2635722 w 12192000"/>
              <a:gd name="csY8948" fmla="*/ 3192202 h 6858000"/>
              <a:gd name="csX8949" fmla="*/ 2601376 w 12192000"/>
              <a:gd name="csY8949" fmla="*/ 3157382 h 6858000"/>
              <a:gd name="csX8950" fmla="*/ 2685118 w 12192000"/>
              <a:gd name="csY8950" fmla="*/ 3157382 h 6858000"/>
              <a:gd name="csX8951" fmla="*/ 2650771 w 12192000"/>
              <a:gd name="csY8951" fmla="*/ 3192202 h 6858000"/>
              <a:gd name="csX8952" fmla="*/ 2685118 w 12192000"/>
              <a:gd name="csY8952" fmla="*/ 3227023 h 6858000"/>
              <a:gd name="csX8953" fmla="*/ 2719465 w 12192000"/>
              <a:gd name="csY8953" fmla="*/ 3192202 h 6858000"/>
              <a:gd name="csX8954" fmla="*/ 2685118 w 12192000"/>
              <a:gd name="csY8954" fmla="*/ 3157382 h 6858000"/>
              <a:gd name="csX8955" fmla="*/ 2768859 w 12192000"/>
              <a:gd name="csY8955" fmla="*/ 3157382 h 6858000"/>
              <a:gd name="csX8956" fmla="*/ 2734512 w 12192000"/>
              <a:gd name="csY8956" fmla="*/ 3192202 h 6858000"/>
              <a:gd name="csX8957" fmla="*/ 2768859 w 12192000"/>
              <a:gd name="csY8957" fmla="*/ 3227023 h 6858000"/>
              <a:gd name="csX8958" fmla="*/ 2803206 w 12192000"/>
              <a:gd name="csY8958" fmla="*/ 3192202 h 6858000"/>
              <a:gd name="csX8959" fmla="*/ 2768859 w 12192000"/>
              <a:gd name="csY8959" fmla="*/ 3157382 h 6858000"/>
              <a:gd name="csX8960" fmla="*/ 2852600 w 12192000"/>
              <a:gd name="csY8960" fmla="*/ 3157382 h 6858000"/>
              <a:gd name="csX8961" fmla="*/ 2818254 w 12192000"/>
              <a:gd name="csY8961" fmla="*/ 3192202 h 6858000"/>
              <a:gd name="csX8962" fmla="*/ 2852600 w 12192000"/>
              <a:gd name="csY8962" fmla="*/ 3227023 h 6858000"/>
              <a:gd name="csX8963" fmla="*/ 2886947 w 12192000"/>
              <a:gd name="csY8963" fmla="*/ 3192202 h 6858000"/>
              <a:gd name="csX8964" fmla="*/ 2852600 w 12192000"/>
              <a:gd name="csY8964" fmla="*/ 3157382 h 6858000"/>
              <a:gd name="csX8965" fmla="*/ 2936343 w 12192000"/>
              <a:gd name="csY8965" fmla="*/ 3157382 h 6858000"/>
              <a:gd name="csX8966" fmla="*/ 2901996 w 12192000"/>
              <a:gd name="csY8966" fmla="*/ 3192202 h 6858000"/>
              <a:gd name="csX8967" fmla="*/ 2936343 w 12192000"/>
              <a:gd name="csY8967" fmla="*/ 3227023 h 6858000"/>
              <a:gd name="csX8968" fmla="*/ 2970689 w 12192000"/>
              <a:gd name="csY8968" fmla="*/ 3192202 h 6858000"/>
              <a:gd name="csX8969" fmla="*/ 2936343 w 12192000"/>
              <a:gd name="csY8969" fmla="*/ 3157382 h 6858000"/>
              <a:gd name="csX8970" fmla="*/ 3020084 w 12192000"/>
              <a:gd name="csY8970" fmla="*/ 3157382 h 6858000"/>
              <a:gd name="csX8971" fmla="*/ 2985737 w 12192000"/>
              <a:gd name="csY8971" fmla="*/ 3192202 h 6858000"/>
              <a:gd name="csX8972" fmla="*/ 3020084 w 12192000"/>
              <a:gd name="csY8972" fmla="*/ 3227023 h 6858000"/>
              <a:gd name="csX8973" fmla="*/ 3054431 w 12192000"/>
              <a:gd name="csY8973" fmla="*/ 3192202 h 6858000"/>
              <a:gd name="csX8974" fmla="*/ 3020084 w 12192000"/>
              <a:gd name="csY8974" fmla="*/ 3157382 h 6858000"/>
              <a:gd name="csX8975" fmla="*/ 3103826 w 12192000"/>
              <a:gd name="csY8975" fmla="*/ 3157382 h 6858000"/>
              <a:gd name="csX8976" fmla="*/ 3069479 w 12192000"/>
              <a:gd name="csY8976" fmla="*/ 3192202 h 6858000"/>
              <a:gd name="csX8977" fmla="*/ 3103826 w 12192000"/>
              <a:gd name="csY8977" fmla="*/ 3227023 h 6858000"/>
              <a:gd name="csX8978" fmla="*/ 3138173 w 12192000"/>
              <a:gd name="csY8978" fmla="*/ 3192202 h 6858000"/>
              <a:gd name="csX8979" fmla="*/ 3103826 w 12192000"/>
              <a:gd name="csY8979" fmla="*/ 3157382 h 6858000"/>
              <a:gd name="csX8980" fmla="*/ 3187567 w 12192000"/>
              <a:gd name="csY8980" fmla="*/ 3157382 h 6858000"/>
              <a:gd name="csX8981" fmla="*/ 3153221 w 12192000"/>
              <a:gd name="csY8981" fmla="*/ 3192202 h 6858000"/>
              <a:gd name="csX8982" fmla="*/ 3187567 w 12192000"/>
              <a:gd name="csY8982" fmla="*/ 3227023 h 6858000"/>
              <a:gd name="csX8983" fmla="*/ 3221914 w 12192000"/>
              <a:gd name="csY8983" fmla="*/ 3192202 h 6858000"/>
              <a:gd name="csX8984" fmla="*/ 3187567 w 12192000"/>
              <a:gd name="csY8984" fmla="*/ 3157382 h 6858000"/>
              <a:gd name="csX8985" fmla="*/ 3271309 w 12192000"/>
              <a:gd name="csY8985" fmla="*/ 3157382 h 6858000"/>
              <a:gd name="csX8986" fmla="*/ 3236962 w 12192000"/>
              <a:gd name="csY8986" fmla="*/ 3192202 h 6858000"/>
              <a:gd name="csX8987" fmla="*/ 3271309 w 12192000"/>
              <a:gd name="csY8987" fmla="*/ 3227023 h 6858000"/>
              <a:gd name="csX8988" fmla="*/ 3305655 w 12192000"/>
              <a:gd name="csY8988" fmla="*/ 3192202 h 6858000"/>
              <a:gd name="csX8989" fmla="*/ 3271309 w 12192000"/>
              <a:gd name="csY8989" fmla="*/ 3157382 h 6858000"/>
              <a:gd name="csX8990" fmla="*/ 3355051 w 12192000"/>
              <a:gd name="csY8990" fmla="*/ 3157382 h 6858000"/>
              <a:gd name="csX8991" fmla="*/ 3320704 w 12192000"/>
              <a:gd name="csY8991" fmla="*/ 3192202 h 6858000"/>
              <a:gd name="csX8992" fmla="*/ 3355051 w 12192000"/>
              <a:gd name="csY8992" fmla="*/ 3227023 h 6858000"/>
              <a:gd name="csX8993" fmla="*/ 3389398 w 12192000"/>
              <a:gd name="csY8993" fmla="*/ 3192202 h 6858000"/>
              <a:gd name="csX8994" fmla="*/ 3355051 w 12192000"/>
              <a:gd name="csY8994" fmla="*/ 3157382 h 6858000"/>
              <a:gd name="csX8995" fmla="*/ 3438792 w 12192000"/>
              <a:gd name="csY8995" fmla="*/ 3157382 h 6858000"/>
              <a:gd name="csX8996" fmla="*/ 3404445 w 12192000"/>
              <a:gd name="csY8996" fmla="*/ 3192202 h 6858000"/>
              <a:gd name="csX8997" fmla="*/ 3438792 w 12192000"/>
              <a:gd name="csY8997" fmla="*/ 3227023 h 6858000"/>
              <a:gd name="csX8998" fmla="*/ 3473139 w 12192000"/>
              <a:gd name="csY8998" fmla="*/ 3192202 h 6858000"/>
              <a:gd name="csX8999" fmla="*/ 3438792 w 12192000"/>
              <a:gd name="csY8999" fmla="*/ 3157382 h 6858000"/>
              <a:gd name="csX9000" fmla="*/ 5699822 w 12192000"/>
              <a:gd name="csY9000" fmla="*/ 3157382 h 6858000"/>
              <a:gd name="csX9001" fmla="*/ 5665469 w 12192000"/>
              <a:gd name="csY9001" fmla="*/ 3192202 h 6858000"/>
              <a:gd name="csX9002" fmla="*/ 5699822 w 12192000"/>
              <a:gd name="csY9002" fmla="*/ 3227023 h 6858000"/>
              <a:gd name="csX9003" fmla="*/ 5734163 w 12192000"/>
              <a:gd name="csY9003" fmla="*/ 3192202 h 6858000"/>
              <a:gd name="csX9004" fmla="*/ 5699822 w 12192000"/>
              <a:gd name="csY9004" fmla="*/ 3157382 h 6858000"/>
              <a:gd name="csX9005" fmla="*/ 5783565 w 12192000"/>
              <a:gd name="csY9005" fmla="*/ 3157382 h 6858000"/>
              <a:gd name="csX9006" fmla="*/ 5749211 w 12192000"/>
              <a:gd name="csY9006" fmla="*/ 3192202 h 6858000"/>
              <a:gd name="csX9007" fmla="*/ 5783565 w 12192000"/>
              <a:gd name="csY9007" fmla="*/ 3227023 h 6858000"/>
              <a:gd name="csX9008" fmla="*/ 5817905 w 12192000"/>
              <a:gd name="csY9008" fmla="*/ 3192202 h 6858000"/>
              <a:gd name="csX9009" fmla="*/ 5783565 w 12192000"/>
              <a:gd name="csY9009" fmla="*/ 3157382 h 6858000"/>
              <a:gd name="csX9010" fmla="*/ 5867306 w 12192000"/>
              <a:gd name="csY9010" fmla="*/ 3157382 h 6858000"/>
              <a:gd name="csX9011" fmla="*/ 5832953 w 12192000"/>
              <a:gd name="csY9011" fmla="*/ 3192202 h 6858000"/>
              <a:gd name="csX9012" fmla="*/ 5867306 w 12192000"/>
              <a:gd name="csY9012" fmla="*/ 3227023 h 6858000"/>
              <a:gd name="csX9013" fmla="*/ 5901646 w 12192000"/>
              <a:gd name="csY9013" fmla="*/ 3192202 h 6858000"/>
              <a:gd name="csX9014" fmla="*/ 5867306 w 12192000"/>
              <a:gd name="csY9014" fmla="*/ 3157382 h 6858000"/>
              <a:gd name="csX9015" fmla="*/ 5951047 w 12192000"/>
              <a:gd name="csY9015" fmla="*/ 3157382 h 6858000"/>
              <a:gd name="csX9016" fmla="*/ 5916694 w 12192000"/>
              <a:gd name="csY9016" fmla="*/ 3192202 h 6858000"/>
              <a:gd name="csX9017" fmla="*/ 5951047 w 12192000"/>
              <a:gd name="csY9017" fmla="*/ 3227023 h 6858000"/>
              <a:gd name="csX9018" fmla="*/ 5985387 w 12192000"/>
              <a:gd name="csY9018" fmla="*/ 3192202 h 6858000"/>
              <a:gd name="csX9019" fmla="*/ 5951047 w 12192000"/>
              <a:gd name="csY9019" fmla="*/ 3157382 h 6858000"/>
              <a:gd name="csX9020" fmla="*/ 6034789 w 12192000"/>
              <a:gd name="csY9020" fmla="*/ 3157382 h 6858000"/>
              <a:gd name="csX9021" fmla="*/ 6000436 w 12192000"/>
              <a:gd name="csY9021" fmla="*/ 3192202 h 6858000"/>
              <a:gd name="csX9022" fmla="*/ 6034789 w 12192000"/>
              <a:gd name="csY9022" fmla="*/ 3227023 h 6858000"/>
              <a:gd name="csX9023" fmla="*/ 6069130 w 12192000"/>
              <a:gd name="csY9023" fmla="*/ 3192202 h 6858000"/>
              <a:gd name="csX9024" fmla="*/ 6034789 w 12192000"/>
              <a:gd name="csY9024" fmla="*/ 3157382 h 6858000"/>
              <a:gd name="csX9025" fmla="*/ 6118531 w 12192000"/>
              <a:gd name="csY9025" fmla="*/ 3157382 h 6858000"/>
              <a:gd name="csX9026" fmla="*/ 6084177 w 12192000"/>
              <a:gd name="csY9026" fmla="*/ 3192202 h 6858000"/>
              <a:gd name="csX9027" fmla="*/ 6118531 w 12192000"/>
              <a:gd name="csY9027" fmla="*/ 3227023 h 6858000"/>
              <a:gd name="csX9028" fmla="*/ 6152871 w 12192000"/>
              <a:gd name="csY9028" fmla="*/ 3192202 h 6858000"/>
              <a:gd name="csX9029" fmla="*/ 6118531 w 12192000"/>
              <a:gd name="csY9029" fmla="*/ 3157382 h 6858000"/>
              <a:gd name="csX9030" fmla="*/ 6872206 w 12192000"/>
              <a:gd name="csY9030" fmla="*/ 3157382 h 6858000"/>
              <a:gd name="csX9031" fmla="*/ 6837853 w 12192000"/>
              <a:gd name="csY9031" fmla="*/ 3192202 h 6858000"/>
              <a:gd name="csX9032" fmla="*/ 6872206 w 12192000"/>
              <a:gd name="csY9032" fmla="*/ 3227023 h 6858000"/>
              <a:gd name="csX9033" fmla="*/ 6906546 w 12192000"/>
              <a:gd name="csY9033" fmla="*/ 3192202 h 6858000"/>
              <a:gd name="csX9034" fmla="*/ 6872206 w 12192000"/>
              <a:gd name="csY9034" fmla="*/ 3157382 h 6858000"/>
              <a:gd name="csX9035" fmla="*/ 6955947 w 12192000"/>
              <a:gd name="csY9035" fmla="*/ 3157382 h 6858000"/>
              <a:gd name="csX9036" fmla="*/ 6921594 w 12192000"/>
              <a:gd name="csY9036" fmla="*/ 3192202 h 6858000"/>
              <a:gd name="csX9037" fmla="*/ 6955947 w 12192000"/>
              <a:gd name="csY9037" fmla="*/ 3227023 h 6858000"/>
              <a:gd name="csX9038" fmla="*/ 6990287 w 12192000"/>
              <a:gd name="csY9038" fmla="*/ 3192202 h 6858000"/>
              <a:gd name="csX9039" fmla="*/ 6955947 w 12192000"/>
              <a:gd name="csY9039" fmla="*/ 3157382 h 6858000"/>
              <a:gd name="csX9040" fmla="*/ 7039688 w 12192000"/>
              <a:gd name="csY9040" fmla="*/ 3157382 h 6858000"/>
              <a:gd name="csX9041" fmla="*/ 7005335 w 12192000"/>
              <a:gd name="csY9041" fmla="*/ 3192202 h 6858000"/>
              <a:gd name="csX9042" fmla="*/ 7039688 w 12192000"/>
              <a:gd name="csY9042" fmla="*/ 3227023 h 6858000"/>
              <a:gd name="csX9043" fmla="*/ 7074029 w 12192000"/>
              <a:gd name="csY9043" fmla="*/ 3192202 h 6858000"/>
              <a:gd name="csX9044" fmla="*/ 7039688 w 12192000"/>
              <a:gd name="csY9044" fmla="*/ 3157382 h 6858000"/>
              <a:gd name="csX9045" fmla="*/ 7123456 w 12192000"/>
              <a:gd name="csY9045" fmla="*/ 3157382 h 6858000"/>
              <a:gd name="csX9046" fmla="*/ 7089103 w 12192000"/>
              <a:gd name="csY9046" fmla="*/ 3192202 h 6858000"/>
              <a:gd name="csX9047" fmla="*/ 7123456 w 12192000"/>
              <a:gd name="csY9047" fmla="*/ 3227023 h 6858000"/>
              <a:gd name="csX9048" fmla="*/ 7157796 w 12192000"/>
              <a:gd name="csY9048" fmla="*/ 3192202 h 6858000"/>
              <a:gd name="csX9049" fmla="*/ 7123456 w 12192000"/>
              <a:gd name="csY9049" fmla="*/ 3157382 h 6858000"/>
              <a:gd name="csX9050" fmla="*/ 7207198 w 12192000"/>
              <a:gd name="csY9050" fmla="*/ 3157382 h 6858000"/>
              <a:gd name="csX9051" fmla="*/ 7172845 w 12192000"/>
              <a:gd name="csY9051" fmla="*/ 3192202 h 6858000"/>
              <a:gd name="csX9052" fmla="*/ 7207198 w 12192000"/>
              <a:gd name="csY9052" fmla="*/ 3227023 h 6858000"/>
              <a:gd name="csX9053" fmla="*/ 7241538 w 12192000"/>
              <a:gd name="csY9053" fmla="*/ 3192202 h 6858000"/>
              <a:gd name="csX9054" fmla="*/ 7207198 w 12192000"/>
              <a:gd name="csY9054" fmla="*/ 3157382 h 6858000"/>
              <a:gd name="csX9055" fmla="*/ 7290939 w 12192000"/>
              <a:gd name="csY9055" fmla="*/ 3157382 h 6858000"/>
              <a:gd name="csX9056" fmla="*/ 7256586 w 12192000"/>
              <a:gd name="csY9056" fmla="*/ 3192202 h 6858000"/>
              <a:gd name="csX9057" fmla="*/ 7290939 w 12192000"/>
              <a:gd name="csY9057" fmla="*/ 3227023 h 6858000"/>
              <a:gd name="csX9058" fmla="*/ 7325279 w 12192000"/>
              <a:gd name="csY9058" fmla="*/ 3192202 h 6858000"/>
              <a:gd name="csX9059" fmla="*/ 7290939 w 12192000"/>
              <a:gd name="csY9059" fmla="*/ 3157382 h 6858000"/>
              <a:gd name="csX9060" fmla="*/ 7374681 w 12192000"/>
              <a:gd name="csY9060" fmla="*/ 3157382 h 6858000"/>
              <a:gd name="csX9061" fmla="*/ 7340328 w 12192000"/>
              <a:gd name="csY9061" fmla="*/ 3192202 h 6858000"/>
              <a:gd name="csX9062" fmla="*/ 7374681 w 12192000"/>
              <a:gd name="csY9062" fmla="*/ 3227023 h 6858000"/>
              <a:gd name="csX9063" fmla="*/ 7409022 w 12192000"/>
              <a:gd name="csY9063" fmla="*/ 3192202 h 6858000"/>
              <a:gd name="csX9064" fmla="*/ 7374681 w 12192000"/>
              <a:gd name="csY9064" fmla="*/ 3157382 h 6858000"/>
              <a:gd name="csX9065" fmla="*/ 7458423 w 12192000"/>
              <a:gd name="csY9065" fmla="*/ 3157382 h 6858000"/>
              <a:gd name="csX9066" fmla="*/ 7424070 w 12192000"/>
              <a:gd name="csY9066" fmla="*/ 3192202 h 6858000"/>
              <a:gd name="csX9067" fmla="*/ 7458423 w 12192000"/>
              <a:gd name="csY9067" fmla="*/ 3227023 h 6858000"/>
              <a:gd name="csX9068" fmla="*/ 7492763 w 12192000"/>
              <a:gd name="csY9068" fmla="*/ 3192202 h 6858000"/>
              <a:gd name="csX9069" fmla="*/ 7458423 w 12192000"/>
              <a:gd name="csY9069" fmla="*/ 3157382 h 6858000"/>
              <a:gd name="csX9070" fmla="*/ 7542164 w 12192000"/>
              <a:gd name="csY9070" fmla="*/ 3157382 h 6858000"/>
              <a:gd name="csX9071" fmla="*/ 7507811 w 12192000"/>
              <a:gd name="csY9071" fmla="*/ 3192202 h 6858000"/>
              <a:gd name="csX9072" fmla="*/ 7542164 w 12192000"/>
              <a:gd name="csY9072" fmla="*/ 3227023 h 6858000"/>
              <a:gd name="csX9073" fmla="*/ 7576504 w 12192000"/>
              <a:gd name="csY9073" fmla="*/ 3192202 h 6858000"/>
              <a:gd name="csX9074" fmla="*/ 7542164 w 12192000"/>
              <a:gd name="csY9074" fmla="*/ 3157382 h 6858000"/>
              <a:gd name="csX9075" fmla="*/ 7625906 w 12192000"/>
              <a:gd name="csY9075" fmla="*/ 3157382 h 6858000"/>
              <a:gd name="csX9076" fmla="*/ 7591553 w 12192000"/>
              <a:gd name="csY9076" fmla="*/ 3192202 h 6858000"/>
              <a:gd name="csX9077" fmla="*/ 7625906 w 12192000"/>
              <a:gd name="csY9077" fmla="*/ 3227023 h 6858000"/>
              <a:gd name="csX9078" fmla="*/ 7660246 w 12192000"/>
              <a:gd name="csY9078" fmla="*/ 3192202 h 6858000"/>
              <a:gd name="csX9079" fmla="*/ 7625906 w 12192000"/>
              <a:gd name="csY9079" fmla="*/ 3157382 h 6858000"/>
              <a:gd name="csX9080" fmla="*/ 7709647 w 12192000"/>
              <a:gd name="csY9080" fmla="*/ 3157382 h 6858000"/>
              <a:gd name="csX9081" fmla="*/ 7675294 w 12192000"/>
              <a:gd name="csY9081" fmla="*/ 3192202 h 6858000"/>
              <a:gd name="csX9082" fmla="*/ 7709647 w 12192000"/>
              <a:gd name="csY9082" fmla="*/ 3227023 h 6858000"/>
              <a:gd name="csX9083" fmla="*/ 7743988 w 12192000"/>
              <a:gd name="csY9083" fmla="*/ 3192202 h 6858000"/>
              <a:gd name="csX9084" fmla="*/ 7709647 w 12192000"/>
              <a:gd name="csY9084" fmla="*/ 3157382 h 6858000"/>
              <a:gd name="csX9085" fmla="*/ 7793389 w 12192000"/>
              <a:gd name="csY9085" fmla="*/ 3157382 h 6858000"/>
              <a:gd name="csX9086" fmla="*/ 7759036 w 12192000"/>
              <a:gd name="csY9086" fmla="*/ 3192202 h 6858000"/>
              <a:gd name="csX9087" fmla="*/ 7793389 w 12192000"/>
              <a:gd name="csY9087" fmla="*/ 3227023 h 6858000"/>
              <a:gd name="csX9088" fmla="*/ 7827729 w 12192000"/>
              <a:gd name="csY9088" fmla="*/ 3192202 h 6858000"/>
              <a:gd name="csX9089" fmla="*/ 7793389 w 12192000"/>
              <a:gd name="csY9089" fmla="*/ 3157382 h 6858000"/>
              <a:gd name="csX9090" fmla="*/ 7877131 w 12192000"/>
              <a:gd name="csY9090" fmla="*/ 3157382 h 6858000"/>
              <a:gd name="csX9091" fmla="*/ 7842778 w 12192000"/>
              <a:gd name="csY9091" fmla="*/ 3192202 h 6858000"/>
              <a:gd name="csX9092" fmla="*/ 7877131 w 12192000"/>
              <a:gd name="csY9092" fmla="*/ 3227023 h 6858000"/>
              <a:gd name="csX9093" fmla="*/ 7911471 w 12192000"/>
              <a:gd name="csY9093" fmla="*/ 3192202 h 6858000"/>
              <a:gd name="csX9094" fmla="*/ 7877131 w 12192000"/>
              <a:gd name="csY9094" fmla="*/ 3157382 h 6858000"/>
              <a:gd name="csX9095" fmla="*/ 7960872 w 12192000"/>
              <a:gd name="csY9095" fmla="*/ 3157382 h 6858000"/>
              <a:gd name="csX9096" fmla="*/ 7926519 w 12192000"/>
              <a:gd name="csY9096" fmla="*/ 3192202 h 6858000"/>
              <a:gd name="csX9097" fmla="*/ 7960872 w 12192000"/>
              <a:gd name="csY9097" fmla="*/ 3227023 h 6858000"/>
              <a:gd name="csX9098" fmla="*/ 7995212 w 12192000"/>
              <a:gd name="csY9098" fmla="*/ 3192202 h 6858000"/>
              <a:gd name="csX9099" fmla="*/ 7960872 w 12192000"/>
              <a:gd name="csY9099" fmla="*/ 3157382 h 6858000"/>
              <a:gd name="csX9100" fmla="*/ 8044614 w 12192000"/>
              <a:gd name="csY9100" fmla="*/ 3157382 h 6858000"/>
              <a:gd name="csX9101" fmla="*/ 8010261 w 12192000"/>
              <a:gd name="csY9101" fmla="*/ 3192202 h 6858000"/>
              <a:gd name="csX9102" fmla="*/ 8044614 w 12192000"/>
              <a:gd name="csY9102" fmla="*/ 3227023 h 6858000"/>
              <a:gd name="csX9103" fmla="*/ 8078955 w 12192000"/>
              <a:gd name="csY9103" fmla="*/ 3192202 h 6858000"/>
              <a:gd name="csX9104" fmla="*/ 8044614 w 12192000"/>
              <a:gd name="csY9104" fmla="*/ 3157382 h 6858000"/>
              <a:gd name="csX9105" fmla="*/ 8128356 w 12192000"/>
              <a:gd name="csY9105" fmla="*/ 3157382 h 6858000"/>
              <a:gd name="csX9106" fmla="*/ 8094003 w 12192000"/>
              <a:gd name="csY9106" fmla="*/ 3192202 h 6858000"/>
              <a:gd name="csX9107" fmla="*/ 8128356 w 12192000"/>
              <a:gd name="csY9107" fmla="*/ 3227023 h 6858000"/>
              <a:gd name="csX9108" fmla="*/ 8162696 w 12192000"/>
              <a:gd name="csY9108" fmla="*/ 3192202 h 6858000"/>
              <a:gd name="csX9109" fmla="*/ 8128356 w 12192000"/>
              <a:gd name="csY9109" fmla="*/ 3157382 h 6858000"/>
              <a:gd name="csX9110" fmla="*/ 8212097 w 12192000"/>
              <a:gd name="csY9110" fmla="*/ 3157382 h 6858000"/>
              <a:gd name="csX9111" fmla="*/ 8177744 w 12192000"/>
              <a:gd name="csY9111" fmla="*/ 3192202 h 6858000"/>
              <a:gd name="csX9112" fmla="*/ 8212097 w 12192000"/>
              <a:gd name="csY9112" fmla="*/ 3227023 h 6858000"/>
              <a:gd name="csX9113" fmla="*/ 8246437 w 12192000"/>
              <a:gd name="csY9113" fmla="*/ 3192202 h 6858000"/>
              <a:gd name="csX9114" fmla="*/ 8212097 w 12192000"/>
              <a:gd name="csY9114" fmla="*/ 3157382 h 6858000"/>
              <a:gd name="csX9115" fmla="*/ 8295839 w 12192000"/>
              <a:gd name="csY9115" fmla="*/ 3157382 h 6858000"/>
              <a:gd name="csX9116" fmla="*/ 8261486 w 12192000"/>
              <a:gd name="csY9116" fmla="*/ 3192202 h 6858000"/>
              <a:gd name="csX9117" fmla="*/ 8295839 w 12192000"/>
              <a:gd name="csY9117" fmla="*/ 3227023 h 6858000"/>
              <a:gd name="csX9118" fmla="*/ 8330179 w 12192000"/>
              <a:gd name="csY9118" fmla="*/ 3192202 h 6858000"/>
              <a:gd name="csX9119" fmla="*/ 8295839 w 12192000"/>
              <a:gd name="csY9119" fmla="*/ 3157382 h 6858000"/>
              <a:gd name="csX9120" fmla="*/ 8379580 w 12192000"/>
              <a:gd name="csY9120" fmla="*/ 3157382 h 6858000"/>
              <a:gd name="csX9121" fmla="*/ 8345227 w 12192000"/>
              <a:gd name="csY9121" fmla="*/ 3192202 h 6858000"/>
              <a:gd name="csX9122" fmla="*/ 8379580 w 12192000"/>
              <a:gd name="csY9122" fmla="*/ 3227023 h 6858000"/>
              <a:gd name="csX9123" fmla="*/ 8413921 w 12192000"/>
              <a:gd name="csY9123" fmla="*/ 3192202 h 6858000"/>
              <a:gd name="csX9124" fmla="*/ 8379580 w 12192000"/>
              <a:gd name="csY9124" fmla="*/ 3157382 h 6858000"/>
              <a:gd name="csX9125" fmla="*/ 8463323 w 12192000"/>
              <a:gd name="csY9125" fmla="*/ 3157382 h 6858000"/>
              <a:gd name="csX9126" fmla="*/ 8428970 w 12192000"/>
              <a:gd name="csY9126" fmla="*/ 3192202 h 6858000"/>
              <a:gd name="csX9127" fmla="*/ 8463323 w 12192000"/>
              <a:gd name="csY9127" fmla="*/ 3227023 h 6858000"/>
              <a:gd name="csX9128" fmla="*/ 8497663 w 12192000"/>
              <a:gd name="csY9128" fmla="*/ 3192202 h 6858000"/>
              <a:gd name="csX9129" fmla="*/ 8463323 w 12192000"/>
              <a:gd name="csY9129" fmla="*/ 3157382 h 6858000"/>
              <a:gd name="csX9130" fmla="*/ 8547064 w 12192000"/>
              <a:gd name="csY9130" fmla="*/ 3157382 h 6858000"/>
              <a:gd name="csX9131" fmla="*/ 8512711 w 12192000"/>
              <a:gd name="csY9131" fmla="*/ 3192202 h 6858000"/>
              <a:gd name="csX9132" fmla="*/ 8547064 w 12192000"/>
              <a:gd name="csY9132" fmla="*/ 3227023 h 6858000"/>
              <a:gd name="csX9133" fmla="*/ 8581404 w 12192000"/>
              <a:gd name="csY9133" fmla="*/ 3192202 h 6858000"/>
              <a:gd name="csX9134" fmla="*/ 8547064 w 12192000"/>
              <a:gd name="csY9134" fmla="*/ 3157382 h 6858000"/>
              <a:gd name="csX9135" fmla="*/ 8630805 w 12192000"/>
              <a:gd name="csY9135" fmla="*/ 3157382 h 6858000"/>
              <a:gd name="csX9136" fmla="*/ 8596452 w 12192000"/>
              <a:gd name="csY9136" fmla="*/ 3192202 h 6858000"/>
              <a:gd name="csX9137" fmla="*/ 8630805 w 12192000"/>
              <a:gd name="csY9137" fmla="*/ 3227023 h 6858000"/>
              <a:gd name="csX9138" fmla="*/ 8665145 w 12192000"/>
              <a:gd name="csY9138" fmla="*/ 3192202 h 6858000"/>
              <a:gd name="csX9139" fmla="*/ 8630805 w 12192000"/>
              <a:gd name="csY9139" fmla="*/ 3157382 h 6858000"/>
              <a:gd name="csX9140" fmla="*/ 8714547 w 12192000"/>
              <a:gd name="csY9140" fmla="*/ 3157382 h 6858000"/>
              <a:gd name="csX9141" fmla="*/ 8680194 w 12192000"/>
              <a:gd name="csY9141" fmla="*/ 3192202 h 6858000"/>
              <a:gd name="csX9142" fmla="*/ 8714547 w 12192000"/>
              <a:gd name="csY9142" fmla="*/ 3227023 h 6858000"/>
              <a:gd name="csX9143" fmla="*/ 8748888 w 12192000"/>
              <a:gd name="csY9143" fmla="*/ 3192202 h 6858000"/>
              <a:gd name="csX9144" fmla="*/ 8714547 w 12192000"/>
              <a:gd name="csY9144" fmla="*/ 3157382 h 6858000"/>
              <a:gd name="csX9145" fmla="*/ 8798289 w 12192000"/>
              <a:gd name="csY9145" fmla="*/ 3157382 h 6858000"/>
              <a:gd name="csX9146" fmla="*/ 8763936 w 12192000"/>
              <a:gd name="csY9146" fmla="*/ 3192202 h 6858000"/>
              <a:gd name="csX9147" fmla="*/ 8798289 w 12192000"/>
              <a:gd name="csY9147" fmla="*/ 3227023 h 6858000"/>
              <a:gd name="csX9148" fmla="*/ 8832629 w 12192000"/>
              <a:gd name="csY9148" fmla="*/ 3192202 h 6858000"/>
              <a:gd name="csX9149" fmla="*/ 8798289 w 12192000"/>
              <a:gd name="csY9149" fmla="*/ 3157382 h 6858000"/>
              <a:gd name="csX9150" fmla="*/ 8882030 w 12192000"/>
              <a:gd name="csY9150" fmla="*/ 3157382 h 6858000"/>
              <a:gd name="csX9151" fmla="*/ 8847677 w 12192000"/>
              <a:gd name="csY9151" fmla="*/ 3192202 h 6858000"/>
              <a:gd name="csX9152" fmla="*/ 8882030 w 12192000"/>
              <a:gd name="csY9152" fmla="*/ 3227023 h 6858000"/>
              <a:gd name="csX9153" fmla="*/ 8916370 w 12192000"/>
              <a:gd name="csY9153" fmla="*/ 3192202 h 6858000"/>
              <a:gd name="csX9154" fmla="*/ 8882030 w 12192000"/>
              <a:gd name="csY9154" fmla="*/ 3157382 h 6858000"/>
              <a:gd name="csX9155" fmla="*/ 8965772 w 12192000"/>
              <a:gd name="csY9155" fmla="*/ 3157382 h 6858000"/>
              <a:gd name="csX9156" fmla="*/ 8931419 w 12192000"/>
              <a:gd name="csY9156" fmla="*/ 3192202 h 6858000"/>
              <a:gd name="csX9157" fmla="*/ 8965772 w 12192000"/>
              <a:gd name="csY9157" fmla="*/ 3227023 h 6858000"/>
              <a:gd name="csX9158" fmla="*/ 9000112 w 12192000"/>
              <a:gd name="csY9158" fmla="*/ 3192202 h 6858000"/>
              <a:gd name="csX9159" fmla="*/ 8965772 w 12192000"/>
              <a:gd name="csY9159" fmla="*/ 3157382 h 6858000"/>
              <a:gd name="csX9160" fmla="*/ 9049513 w 12192000"/>
              <a:gd name="csY9160" fmla="*/ 3157382 h 6858000"/>
              <a:gd name="csX9161" fmla="*/ 9015160 w 12192000"/>
              <a:gd name="csY9161" fmla="*/ 3192202 h 6858000"/>
              <a:gd name="csX9162" fmla="*/ 9049513 w 12192000"/>
              <a:gd name="csY9162" fmla="*/ 3227023 h 6858000"/>
              <a:gd name="csX9163" fmla="*/ 9083854 w 12192000"/>
              <a:gd name="csY9163" fmla="*/ 3192202 h 6858000"/>
              <a:gd name="csX9164" fmla="*/ 9049513 w 12192000"/>
              <a:gd name="csY9164" fmla="*/ 3157382 h 6858000"/>
              <a:gd name="csX9165" fmla="*/ 9133256 w 12192000"/>
              <a:gd name="csY9165" fmla="*/ 3157382 h 6858000"/>
              <a:gd name="csX9166" fmla="*/ 9098903 w 12192000"/>
              <a:gd name="csY9166" fmla="*/ 3192202 h 6858000"/>
              <a:gd name="csX9167" fmla="*/ 9133256 w 12192000"/>
              <a:gd name="csY9167" fmla="*/ 3227023 h 6858000"/>
              <a:gd name="csX9168" fmla="*/ 9167596 w 12192000"/>
              <a:gd name="csY9168" fmla="*/ 3192202 h 6858000"/>
              <a:gd name="csX9169" fmla="*/ 9133256 w 12192000"/>
              <a:gd name="csY9169" fmla="*/ 3157382 h 6858000"/>
              <a:gd name="csX9170" fmla="*/ 9216997 w 12192000"/>
              <a:gd name="csY9170" fmla="*/ 3157382 h 6858000"/>
              <a:gd name="csX9171" fmla="*/ 9182644 w 12192000"/>
              <a:gd name="csY9171" fmla="*/ 3192202 h 6858000"/>
              <a:gd name="csX9172" fmla="*/ 9216997 w 12192000"/>
              <a:gd name="csY9172" fmla="*/ 3227023 h 6858000"/>
              <a:gd name="csX9173" fmla="*/ 9251337 w 12192000"/>
              <a:gd name="csY9173" fmla="*/ 3192202 h 6858000"/>
              <a:gd name="csX9174" fmla="*/ 9216997 w 12192000"/>
              <a:gd name="csY9174" fmla="*/ 3157382 h 6858000"/>
              <a:gd name="csX9175" fmla="*/ 9300738 w 12192000"/>
              <a:gd name="csY9175" fmla="*/ 3157382 h 6858000"/>
              <a:gd name="csX9176" fmla="*/ 9266385 w 12192000"/>
              <a:gd name="csY9176" fmla="*/ 3192202 h 6858000"/>
              <a:gd name="csX9177" fmla="*/ 9300738 w 12192000"/>
              <a:gd name="csY9177" fmla="*/ 3227023 h 6858000"/>
              <a:gd name="csX9178" fmla="*/ 9335078 w 12192000"/>
              <a:gd name="csY9178" fmla="*/ 3192202 h 6858000"/>
              <a:gd name="csX9179" fmla="*/ 9300738 w 12192000"/>
              <a:gd name="csY9179" fmla="*/ 3157382 h 6858000"/>
              <a:gd name="csX9180" fmla="*/ 9384480 w 12192000"/>
              <a:gd name="csY9180" fmla="*/ 3157382 h 6858000"/>
              <a:gd name="csX9181" fmla="*/ 9350127 w 12192000"/>
              <a:gd name="csY9181" fmla="*/ 3192202 h 6858000"/>
              <a:gd name="csX9182" fmla="*/ 9384480 w 12192000"/>
              <a:gd name="csY9182" fmla="*/ 3227023 h 6858000"/>
              <a:gd name="csX9183" fmla="*/ 9418821 w 12192000"/>
              <a:gd name="csY9183" fmla="*/ 3192202 h 6858000"/>
              <a:gd name="csX9184" fmla="*/ 9384480 w 12192000"/>
              <a:gd name="csY9184" fmla="*/ 3157382 h 6858000"/>
              <a:gd name="csX9185" fmla="*/ 9468222 w 12192000"/>
              <a:gd name="csY9185" fmla="*/ 3157382 h 6858000"/>
              <a:gd name="csX9186" fmla="*/ 9433869 w 12192000"/>
              <a:gd name="csY9186" fmla="*/ 3192202 h 6858000"/>
              <a:gd name="csX9187" fmla="*/ 9468222 w 12192000"/>
              <a:gd name="csY9187" fmla="*/ 3227023 h 6858000"/>
              <a:gd name="csX9188" fmla="*/ 9502562 w 12192000"/>
              <a:gd name="csY9188" fmla="*/ 3192202 h 6858000"/>
              <a:gd name="csX9189" fmla="*/ 9468222 w 12192000"/>
              <a:gd name="csY9189" fmla="*/ 3157382 h 6858000"/>
              <a:gd name="csX9190" fmla="*/ 9803189 w 12192000"/>
              <a:gd name="csY9190" fmla="*/ 3157382 h 6858000"/>
              <a:gd name="csX9191" fmla="*/ 9768836 w 12192000"/>
              <a:gd name="csY9191" fmla="*/ 3192202 h 6858000"/>
              <a:gd name="csX9192" fmla="*/ 9803189 w 12192000"/>
              <a:gd name="csY9192" fmla="*/ 3227023 h 6858000"/>
              <a:gd name="csX9193" fmla="*/ 9837529 w 12192000"/>
              <a:gd name="csY9193" fmla="*/ 3192202 h 6858000"/>
              <a:gd name="csX9194" fmla="*/ 9803189 w 12192000"/>
              <a:gd name="csY9194" fmla="*/ 3157382 h 6858000"/>
              <a:gd name="csX9195" fmla="*/ 2350151 w 12192000"/>
              <a:gd name="csY9195" fmla="*/ 3242246 h 6858000"/>
              <a:gd name="csX9196" fmla="*/ 2315804 w 12192000"/>
              <a:gd name="csY9196" fmla="*/ 3277066 h 6858000"/>
              <a:gd name="csX9197" fmla="*/ 2350151 w 12192000"/>
              <a:gd name="csY9197" fmla="*/ 3311886 h 6858000"/>
              <a:gd name="csX9198" fmla="*/ 2384498 w 12192000"/>
              <a:gd name="csY9198" fmla="*/ 3277066 h 6858000"/>
              <a:gd name="csX9199" fmla="*/ 2350151 w 12192000"/>
              <a:gd name="csY9199" fmla="*/ 3242246 h 6858000"/>
              <a:gd name="csX9200" fmla="*/ 2517634 w 12192000"/>
              <a:gd name="csY9200" fmla="*/ 3242246 h 6858000"/>
              <a:gd name="csX9201" fmla="*/ 2483288 w 12192000"/>
              <a:gd name="csY9201" fmla="*/ 3277066 h 6858000"/>
              <a:gd name="csX9202" fmla="*/ 2517634 w 12192000"/>
              <a:gd name="csY9202" fmla="*/ 3311886 h 6858000"/>
              <a:gd name="csX9203" fmla="*/ 2551981 w 12192000"/>
              <a:gd name="csY9203" fmla="*/ 3277066 h 6858000"/>
              <a:gd name="csX9204" fmla="*/ 2517634 w 12192000"/>
              <a:gd name="csY9204" fmla="*/ 3242246 h 6858000"/>
              <a:gd name="csX9205" fmla="*/ 2601376 w 12192000"/>
              <a:gd name="csY9205" fmla="*/ 3242246 h 6858000"/>
              <a:gd name="csX9206" fmla="*/ 2567029 w 12192000"/>
              <a:gd name="csY9206" fmla="*/ 3277066 h 6858000"/>
              <a:gd name="csX9207" fmla="*/ 2601376 w 12192000"/>
              <a:gd name="csY9207" fmla="*/ 3311886 h 6858000"/>
              <a:gd name="csX9208" fmla="*/ 2635722 w 12192000"/>
              <a:gd name="csY9208" fmla="*/ 3277066 h 6858000"/>
              <a:gd name="csX9209" fmla="*/ 2601376 w 12192000"/>
              <a:gd name="csY9209" fmla="*/ 3242246 h 6858000"/>
              <a:gd name="csX9210" fmla="*/ 2685118 w 12192000"/>
              <a:gd name="csY9210" fmla="*/ 3242246 h 6858000"/>
              <a:gd name="csX9211" fmla="*/ 2650771 w 12192000"/>
              <a:gd name="csY9211" fmla="*/ 3277066 h 6858000"/>
              <a:gd name="csX9212" fmla="*/ 2685118 w 12192000"/>
              <a:gd name="csY9212" fmla="*/ 3311886 h 6858000"/>
              <a:gd name="csX9213" fmla="*/ 2719465 w 12192000"/>
              <a:gd name="csY9213" fmla="*/ 3277066 h 6858000"/>
              <a:gd name="csX9214" fmla="*/ 2685118 w 12192000"/>
              <a:gd name="csY9214" fmla="*/ 3242246 h 6858000"/>
              <a:gd name="csX9215" fmla="*/ 2768859 w 12192000"/>
              <a:gd name="csY9215" fmla="*/ 3242246 h 6858000"/>
              <a:gd name="csX9216" fmla="*/ 2734512 w 12192000"/>
              <a:gd name="csY9216" fmla="*/ 3277066 h 6858000"/>
              <a:gd name="csX9217" fmla="*/ 2768859 w 12192000"/>
              <a:gd name="csY9217" fmla="*/ 3311886 h 6858000"/>
              <a:gd name="csX9218" fmla="*/ 2803206 w 12192000"/>
              <a:gd name="csY9218" fmla="*/ 3277066 h 6858000"/>
              <a:gd name="csX9219" fmla="*/ 2768859 w 12192000"/>
              <a:gd name="csY9219" fmla="*/ 3242246 h 6858000"/>
              <a:gd name="csX9220" fmla="*/ 2852600 w 12192000"/>
              <a:gd name="csY9220" fmla="*/ 3242246 h 6858000"/>
              <a:gd name="csX9221" fmla="*/ 2818254 w 12192000"/>
              <a:gd name="csY9221" fmla="*/ 3277066 h 6858000"/>
              <a:gd name="csX9222" fmla="*/ 2852600 w 12192000"/>
              <a:gd name="csY9222" fmla="*/ 3311886 h 6858000"/>
              <a:gd name="csX9223" fmla="*/ 2886947 w 12192000"/>
              <a:gd name="csY9223" fmla="*/ 3277066 h 6858000"/>
              <a:gd name="csX9224" fmla="*/ 2852600 w 12192000"/>
              <a:gd name="csY9224" fmla="*/ 3242246 h 6858000"/>
              <a:gd name="csX9225" fmla="*/ 2936343 w 12192000"/>
              <a:gd name="csY9225" fmla="*/ 3242246 h 6858000"/>
              <a:gd name="csX9226" fmla="*/ 2901996 w 12192000"/>
              <a:gd name="csY9226" fmla="*/ 3277066 h 6858000"/>
              <a:gd name="csX9227" fmla="*/ 2936343 w 12192000"/>
              <a:gd name="csY9227" fmla="*/ 3311886 h 6858000"/>
              <a:gd name="csX9228" fmla="*/ 2970689 w 12192000"/>
              <a:gd name="csY9228" fmla="*/ 3277066 h 6858000"/>
              <a:gd name="csX9229" fmla="*/ 2936343 w 12192000"/>
              <a:gd name="csY9229" fmla="*/ 3242246 h 6858000"/>
              <a:gd name="csX9230" fmla="*/ 3020084 w 12192000"/>
              <a:gd name="csY9230" fmla="*/ 3242246 h 6858000"/>
              <a:gd name="csX9231" fmla="*/ 2985737 w 12192000"/>
              <a:gd name="csY9231" fmla="*/ 3277066 h 6858000"/>
              <a:gd name="csX9232" fmla="*/ 3020084 w 12192000"/>
              <a:gd name="csY9232" fmla="*/ 3311886 h 6858000"/>
              <a:gd name="csX9233" fmla="*/ 3054431 w 12192000"/>
              <a:gd name="csY9233" fmla="*/ 3277066 h 6858000"/>
              <a:gd name="csX9234" fmla="*/ 3020084 w 12192000"/>
              <a:gd name="csY9234" fmla="*/ 3242246 h 6858000"/>
              <a:gd name="csX9235" fmla="*/ 3103826 w 12192000"/>
              <a:gd name="csY9235" fmla="*/ 3242246 h 6858000"/>
              <a:gd name="csX9236" fmla="*/ 3069479 w 12192000"/>
              <a:gd name="csY9236" fmla="*/ 3277066 h 6858000"/>
              <a:gd name="csX9237" fmla="*/ 3103826 w 12192000"/>
              <a:gd name="csY9237" fmla="*/ 3311886 h 6858000"/>
              <a:gd name="csX9238" fmla="*/ 3138173 w 12192000"/>
              <a:gd name="csY9238" fmla="*/ 3277066 h 6858000"/>
              <a:gd name="csX9239" fmla="*/ 3103826 w 12192000"/>
              <a:gd name="csY9239" fmla="*/ 3242246 h 6858000"/>
              <a:gd name="csX9240" fmla="*/ 3187567 w 12192000"/>
              <a:gd name="csY9240" fmla="*/ 3242246 h 6858000"/>
              <a:gd name="csX9241" fmla="*/ 3153221 w 12192000"/>
              <a:gd name="csY9241" fmla="*/ 3277066 h 6858000"/>
              <a:gd name="csX9242" fmla="*/ 3187567 w 12192000"/>
              <a:gd name="csY9242" fmla="*/ 3311886 h 6858000"/>
              <a:gd name="csX9243" fmla="*/ 3221914 w 12192000"/>
              <a:gd name="csY9243" fmla="*/ 3277066 h 6858000"/>
              <a:gd name="csX9244" fmla="*/ 3187567 w 12192000"/>
              <a:gd name="csY9244" fmla="*/ 3242246 h 6858000"/>
              <a:gd name="csX9245" fmla="*/ 3271309 w 12192000"/>
              <a:gd name="csY9245" fmla="*/ 3242246 h 6858000"/>
              <a:gd name="csX9246" fmla="*/ 3236962 w 12192000"/>
              <a:gd name="csY9246" fmla="*/ 3277066 h 6858000"/>
              <a:gd name="csX9247" fmla="*/ 3271309 w 12192000"/>
              <a:gd name="csY9247" fmla="*/ 3311886 h 6858000"/>
              <a:gd name="csX9248" fmla="*/ 3305655 w 12192000"/>
              <a:gd name="csY9248" fmla="*/ 3277066 h 6858000"/>
              <a:gd name="csX9249" fmla="*/ 3271309 w 12192000"/>
              <a:gd name="csY9249" fmla="*/ 3242246 h 6858000"/>
              <a:gd name="csX9250" fmla="*/ 3355051 w 12192000"/>
              <a:gd name="csY9250" fmla="*/ 3242246 h 6858000"/>
              <a:gd name="csX9251" fmla="*/ 3320704 w 12192000"/>
              <a:gd name="csY9251" fmla="*/ 3277066 h 6858000"/>
              <a:gd name="csX9252" fmla="*/ 3355051 w 12192000"/>
              <a:gd name="csY9252" fmla="*/ 3311886 h 6858000"/>
              <a:gd name="csX9253" fmla="*/ 3389398 w 12192000"/>
              <a:gd name="csY9253" fmla="*/ 3277066 h 6858000"/>
              <a:gd name="csX9254" fmla="*/ 3355051 w 12192000"/>
              <a:gd name="csY9254" fmla="*/ 3242246 h 6858000"/>
              <a:gd name="csX9255" fmla="*/ 5616081 w 12192000"/>
              <a:gd name="csY9255" fmla="*/ 3242246 h 6858000"/>
              <a:gd name="csX9256" fmla="*/ 5581728 w 12192000"/>
              <a:gd name="csY9256" fmla="*/ 3277066 h 6858000"/>
              <a:gd name="csX9257" fmla="*/ 5616081 w 12192000"/>
              <a:gd name="csY9257" fmla="*/ 3311886 h 6858000"/>
              <a:gd name="csX9258" fmla="*/ 5650421 w 12192000"/>
              <a:gd name="csY9258" fmla="*/ 3277066 h 6858000"/>
              <a:gd name="csX9259" fmla="*/ 5616081 w 12192000"/>
              <a:gd name="csY9259" fmla="*/ 3242246 h 6858000"/>
              <a:gd name="csX9260" fmla="*/ 5699822 w 12192000"/>
              <a:gd name="csY9260" fmla="*/ 3242246 h 6858000"/>
              <a:gd name="csX9261" fmla="*/ 5665469 w 12192000"/>
              <a:gd name="csY9261" fmla="*/ 3277066 h 6858000"/>
              <a:gd name="csX9262" fmla="*/ 5699822 w 12192000"/>
              <a:gd name="csY9262" fmla="*/ 3311886 h 6858000"/>
              <a:gd name="csX9263" fmla="*/ 5734163 w 12192000"/>
              <a:gd name="csY9263" fmla="*/ 3277066 h 6858000"/>
              <a:gd name="csX9264" fmla="*/ 5699822 w 12192000"/>
              <a:gd name="csY9264" fmla="*/ 3242246 h 6858000"/>
              <a:gd name="csX9265" fmla="*/ 5783565 w 12192000"/>
              <a:gd name="csY9265" fmla="*/ 3242246 h 6858000"/>
              <a:gd name="csX9266" fmla="*/ 5749211 w 12192000"/>
              <a:gd name="csY9266" fmla="*/ 3277066 h 6858000"/>
              <a:gd name="csX9267" fmla="*/ 5783565 w 12192000"/>
              <a:gd name="csY9267" fmla="*/ 3311886 h 6858000"/>
              <a:gd name="csX9268" fmla="*/ 5817905 w 12192000"/>
              <a:gd name="csY9268" fmla="*/ 3277066 h 6858000"/>
              <a:gd name="csX9269" fmla="*/ 5783565 w 12192000"/>
              <a:gd name="csY9269" fmla="*/ 3242246 h 6858000"/>
              <a:gd name="csX9270" fmla="*/ 5867306 w 12192000"/>
              <a:gd name="csY9270" fmla="*/ 3242246 h 6858000"/>
              <a:gd name="csX9271" fmla="*/ 5832953 w 12192000"/>
              <a:gd name="csY9271" fmla="*/ 3277066 h 6858000"/>
              <a:gd name="csX9272" fmla="*/ 5867306 w 12192000"/>
              <a:gd name="csY9272" fmla="*/ 3311886 h 6858000"/>
              <a:gd name="csX9273" fmla="*/ 5901646 w 12192000"/>
              <a:gd name="csY9273" fmla="*/ 3277066 h 6858000"/>
              <a:gd name="csX9274" fmla="*/ 5867306 w 12192000"/>
              <a:gd name="csY9274" fmla="*/ 3242246 h 6858000"/>
              <a:gd name="csX9275" fmla="*/ 5951047 w 12192000"/>
              <a:gd name="csY9275" fmla="*/ 3242246 h 6858000"/>
              <a:gd name="csX9276" fmla="*/ 5916694 w 12192000"/>
              <a:gd name="csY9276" fmla="*/ 3277066 h 6858000"/>
              <a:gd name="csX9277" fmla="*/ 5951047 w 12192000"/>
              <a:gd name="csY9277" fmla="*/ 3311886 h 6858000"/>
              <a:gd name="csX9278" fmla="*/ 5985387 w 12192000"/>
              <a:gd name="csY9278" fmla="*/ 3277066 h 6858000"/>
              <a:gd name="csX9279" fmla="*/ 5951047 w 12192000"/>
              <a:gd name="csY9279" fmla="*/ 3242246 h 6858000"/>
              <a:gd name="csX9280" fmla="*/ 6034789 w 12192000"/>
              <a:gd name="csY9280" fmla="*/ 3242246 h 6858000"/>
              <a:gd name="csX9281" fmla="*/ 6000436 w 12192000"/>
              <a:gd name="csY9281" fmla="*/ 3277066 h 6858000"/>
              <a:gd name="csX9282" fmla="*/ 6034789 w 12192000"/>
              <a:gd name="csY9282" fmla="*/ 3311886 h 6858000"/>
              <a:gd name="csX9283" fmla="*/ 6069130 w 12192000"/>
              <a:gd name="csY9283" fmla="*/ 3277066 h 6858000"/>
              <a:gd name="csX9284" fmla="*/ 6034789 w 12192000"/>
              <a:gd name="csY9284" fmla="*/ 3242246 h 6858000"/>
              <a:gd name="csX9285" fmla="*/ 6118531 w 12192000"/>
              <a:gd name="csY9285" fmla="*/ 3242246 h 6858000"/>
              <a:gd name="csX9286" fmla="*/ 6084177 w 12192000"/>
              <a:gd name="csY9286" fmla="*/ 3277066 h 6858000"/>
              <a:gd name="csX9287" fmla="*/ 6118531 w 12192000"/>
              <a:gd name="csY9287" fmla="*/ 3311886 h 6858000"/>
              <a:gd name="csX9288" fmla="*/ 6152871 w 12192000"/>
              <a:gd name="csY9288" fmla="*/ 3277066 h 6858000"/>
              <a:gd name="csX9289" fmla="*/ 6118531 w 12192000"/>
              <a:gd name="csY9289" fmla="*/ 3242246 h 6858000"/>
              <a:gd name="csX9290" fmla="*/ 6202273 w 12192000"/>
              <a:gd name="csY9290" fmla="*/ 3242246 h 6858000"/>
              <a:gd name="csX9291" fmla="*/ 6167920 w 12192000"/>
              <a:gd name="csY9291" fmla="*/ 3277066 h 6858000"/>
              <a:gd name="csX9292" fmla="*/ 6202273 w 12192000"/>
              <a:gd name="csY9292" fmla="*/ 3311886 h 6858000"/>
              <a:gd name="csX9293" fmla="*/ 6236613 w 12192000"/>
              <a:gd name="csY9293" fmla="*/ 3277066 h 6858000"/>
              <a:gd name="csX9294" fmla="*/ 6202273 w 12192000"/>
              <a:gd name="csY9294" fmla="*/ 3242246 h 6858000"/>
              <a:gd name="csX9295" fmla="*/ 6286014 w 12192000"/>
              <a:gd name="csY9295" fmla="*/ 3242246 h 6858000"/>
              <a:gd name="csX9296" fmla="*/ 6251661 w 12192000"/>
              <a:gd name="csY9296" fmla="*/ 3277066 h 6858000"/>
              <a:gd name="csX9297" fmla="*/ 6286014 w 12192000"/>
              <a:gd name="csY9297" fmla="*/ 3311886 h 6858000"/>
              <a:gd name="csX9298" fmla="*/ 6320354 w 12192000"/>
              <a:gd name="csY9298" fmla="*/ 3277066 h 6858000"/>
              <a:gd name="csX9299" fmla="*/ 6286014 w 12192000"/>
              <a:gd name="csY9299" fmla="*/ 3242246 h 6858000"/>
              <a:gd name="csX9300" fmla="*/ 6537239 w 12192000"/>
              <a:gd name="csY9300" fmla="*/ 3242246 h 6858000"/>
              <a:gd name="csX9301" fmla="*/ 6502886 w 12192000"/>
              <a:gd name="csY9301" fmla="*/ 3277066 h 6858000"/>
              <a:gd name="csX9302" fmla="*/ 6537239 w 12192000"/>
              <a:gd name="csY9302" fmla="*/ 3311886 h 6858000"/>
              <a:gd name="csX9303" fmla="*/ 6571579 w 12192000"/>
              <a:gd name="csY9303" fmla="*/ 3277066 h 6858000"/>
              <a:gd name="csX9304" fmla="*/ 6537239 w 12192000"/>
              <a:gd name="csY9304" fmla="*/ 3242246 h 6858000"/>
              <a:gd name="csX9305" fmla="*/ 6955947 w 12192000"/>
              <a:gd name="csY9305" fmla="*/ 3242246 h 6858000"/>
              <a:gd name="csX9306" fmla="*/ 6921594 w 12192000"/>
              <a:gd name="csY9306" fmla="*/ 3277066 h 6858000"/>
              <a:gd name="csX9307" fmla="*/ 6955947 w 12192000"/>
              <a:gd name="csY9307" fmla="*/ 3311886 h 6858000"/>
              <a:gd name="csX9308" fmla="*/ 6990287 w 12192000"/>
              <a:gd name="csY9308" fmla="*/ 3277066 h 6858000"/>
              <a:gd name="csX9309" fmla="*/ 6955947 w 12192000"/>
              <a:gd name="csY9309" fmla="*/ 3242246 h 6858000"/>
              <a:gd name="csX9310" fmla="*/ 7039688 w 12192000"/>
              <a:gd name="csY9310" fmla="*/ 3242246 h 6858000"/>
              <a:gd name="csX9311" fmla="*/ 7005335 w 12192000"/>
              <a:gd name="csY9311" fmla="*/ 3277066 h 6858000"/>
              <a:gd name="csX9312" fmla="*/ 7039688 w 12192000"/>
              <a:gd name="csY9312" fmla="*/ 3311886 h 6858000"/>
              <a:gd name="csX9313" fmla="*/ 7074029 w 12192000"/>
              <a:gd name="csY9313" fmla="*/ 3277066 h 6858000"/>
              <a:gd name="csX9314" fmla="*/ 7039688 w 12192000"/>
              <a:gd name="csY9314" fmla="*/ 3242246 h 6858000"/>
              <a:gd name="csX9315" fmla="*/ 7123456 w 12192000"/>
              <a:gd name="csY9315" fmla="*/ 3242246 h 6858000"/>
              <a:gd name="csX9316" fmla="*/ 7089103 w 12192000"/>
              <a:gd name="csY9316" fmla="*/ 3277066 h 6858000"/>
              <a:gd name="csX9317" fmla="*/ 7123456 w 12192000"/>
              <a:gd name="csY9317" fmla="*/ 3311886 h 6858000"/>
              <a:gd name="csX9318" fmla="*/ 7157796 w 12192000"/>
              <a:gd name="csY9318" fmla="*/ 3277066 h 6858000"/>
              <a:gd name="csX9319" fmla="*/ 7123456 w 12192000"/>
              <a:gd name="csY9319" fmla="*/ 3242246 h 6858000"/>
              <a:gd name="csX9320" fmla="*/ 7207198 w 12192000"/>
              <a:gd name="csY9320" fmla="*/ 3242246 h 6858000"/>
              <a:gd name="csX9321" fmla="*/ 7172845 w 12192000"/>
              <a:gd name="csY9321" fmla="*/ 3277066 h 6858000"/>
              <a:gd name="csX9322" fmla="*/ 7207198 w 12192000"/>
              <a:gd name="csY9322" fmla="*/ 3311886 h 6858000"/>
              <a:gd name="csX9323" fmla="*/ 7241538 w 12192000"/>
              <a:gd name="csY9323" fmla="*/ 3277066 h 6858000"/>
              <a:gd name="csX9324" fmla="*/ 7207198 w 12192000"/>
              <a:gd name="csY9324" fmla="*/ 3242246 h 6858000"/>
              <a:gd name="csX9325" fmla="*/ 7290939 w 12192000"/>
              <a:gd name="csY9325" fmla="*/ 3242246 h 6858000"/>
              <a:gd name="csX9326" fmla="*/ 7256586 w 12192000"/>
              <a:gd name="csY9326" fmla="*/ 3277066 h 6858000"/>
              <a:gd name="csX9327" fmla="*/ 7290939 w 12192000"/>
              <a:gd name="csY9327" fmla="*/ 3311886 h 6858000"/>
              <a:gd name="csX9328" fmla="*/ 7325279 w 12192000"/>
              <a:gd name="csY9328" fmla="*/ 3277066 h 6858000"/>
              <a:gd name="csX9329" fmla="*/ 7290939 w 12192000"/>
              <a:gd name="csY9329" fmla="*/ 3242246 h 6858000"/>
              <a:gd name="csX9330" fmla="*/ 7374681 w 12192000"/>
              <a:gd name="csY9330" fmla="*/ 3242246 h 6858000"/>
              <a:gd name="csX9331" fmla="*/ 7340328 w 12192000"/>
              <a:gd name="csY9331" fmla="*/ 3277066 h 6858000"/>
              <a:gd name="csX9332" fmla="*/ 7374681 w 12192000"/>
              <a:gd name="csY9332" fmla="*/ 3311886 h 6858000"/>
              <a:gd name="csX9333" fmla="*/ 7409022 w 12192000"/>
              <a:gd name="csY9333" fmla="*/ 3277066 h 6858000"/>
              <a:gd name="csX9334" fmla="*/ 7374681 w 12192000"/>
              <a:gd name="csY9334" fmla="*/ 3242246 h 6858000"/>
              <a:gd name="csX9335" fmla="*/ 7458423 w 12192000"/>
              <a:gd name="csY9335" fmla="*/ 3242246 h 6858000"/>
              <a:gd name="csX9336" fmla="*/ 7424070 w 12192000"/>
              <a:gd name="csY9336" fmla="*/ 3277066 h 6858000"/>
              <a:gd name="csX9337" fmla="*/ 7458423 w 12192000"/>
              <a:gd name="csY9337" fmla="*/ 3311886 h 6858000"/>
              <a:gd name="csX9338" fmla="*/ 7492763 w 12192000"/>
              <a:gd name="csY9338" fmla="*/ 3277066 h 6858000"/>
              <a:gd name="csX9339" fmla="*/ 7458423 w 12192000"/>
              <a:gd name="csY9339" fmla="*/ 3242246 h 6858000"/>
              <a:gd name="csX9340" fmla="*/ 7542164 w 12192000"/>
              <a:gd name="csY9340" fmla="*/ 3242246 h 6858000"/>
              <a:gd name="csX9341" fmla="*/ 7507811 w 12192000"/>
              <a:gd name="csY9341" fmla="*/ 3277066 h 6858000"/>
              <a:gd name="csX9342" fmla="*/ 7542164 w 12192000"/>
              <a:gd name="csY9342" fmla="*/ 3311886 h 6858000"/>
              <a:gd name="csX9343" fmla="*/ 7576504 w 12192000"/>
              <a:gd name="csY9343" fmla="*/ 3277066 h 6858000"/>
              <a:gd name="csX9344" fmla="*/ 7542164 w 12192000"/>
              <a:gd name="csY9344" fmla="*/ 3242246 h 6858000"/>
              <a:gd name="csX9345" fmla="*/ 7709647 w 12192000"/>
              <a:gd name="csY9345" fmla="*/ 3242246 h 6858000"/>
              <a:gd name="csX9346" fmla="*/ 7675294 w 12192000"/>
              <a:gd name="csY9346" fmla="*/ 3277066 h 6858000"/>
              <a:gd name="csX9347" fmla="*/ 7709647 w 12192000"/>
              <a:gd name="csY9347" fmla="*/ 3311886 h 6858000"/>
              <a:gd name="csX9348" fmla="*/ 7743988 w 12192000"/>
              <a:gd name="csY9348" fmla="*/ 3277066 h 6858000"/>
              <a:gd name="csX9349" fmla="*/ 7709647 w 12192000"/>
              <a:gd name="csY9349" fmla="*/ 3242246 h 6858000"/>
              <a:gd name="csX9350" fmla="*/ 7793389 w 12192000"/>
              <a:gd name="csY9350" fmla="*/ 3242246 h 6858000"/>
              <a:gd name="csX9351" fmla="*/ 7759036 w 12192000"/>
              <a:gd name="csY9351" fmla="*/ 3277066 h 6858000"/>
              <a:gd name="csX9352" fmla="*/ 7793389 w 12192000"/>
              <a:gd name="csY9352" fmla="*/ 3311886 h 6858000"/>
              <a:gd name="csX9353" fmla="*/ 7827729 w 12192000"/>
              <a:gd name="csY9353" fmla="*/ 3277066 h 6858000"/>
              <a:gd name="csX9354" fmla="*/ 7793389 w 12192000"/>
              <a:gd name="csY9354" fmla="*/ 3242246 h 6858000"/>
              <a:gd name="csX9355" fmla="*/ 7877131 w 12192000"/>
              <a:gd name="csY9355" fmla="*/ 3242246 h 6858000"/>
              <a:gd name="csX9356" fmla="*/ 7842778 w 12192000"/>
              <a:gd name="csY9356" fmla="*/ 3277066 h 6858000"/>
              <a:gd name="csX9357" fmla="*/ 7877131 w 12192000"/>
              <a:gd name="csY9357" fmla="*/ 3311886 h 6858000"/>
              <a:gd name="csX9358" fmla="*/ 7911471 w 12192000"/>
              <a:gd name="csY9358" fmla="*/ 3277066 h 6858000"/>
              <a:gd name="csX9359" fmla="*/ 7877131 w 12192000"/>
              <a:gd name="csY9359" fmla="*/ 3242246 h 6858000"/>
              <a:gd name="csX9360" fmla="*/ 7960872 w 12192000"/>
              <a:gd name="csY9360" fmla="*/ 3242246 h 6858000"/>
              <a:gd name="csX9361" fmla="*/ 7926519 w 12192000"/>
              <a:gd name="csY9361" fmla="*/ 3277066 h 6858000"/>
              <a:gd name="csX9362" fmla="*/ 7960872 w 12192000"/>
              <a:gd name="csY9362" fmla="*/ 3311886 h 6858000"/>
              <a:gd name="csX9363" fmla="*/ 7995212 w 12192000"/>
              <a:gd name="csY9363" fmla="*/ 3277066 h 6858000"/>
              <a:gd name="csX9364" fmla="*/ 7960872 w 12192000"/>
              <a:gd name="csY9364" fmla="*/ 3242246 h 6858000"/>
              <a:gd name="csX9365" fmla="*/ 8044614 w 12192000"/>
              <a:gd name="csY9365" fmla="*/ 3242246 h 6858000"/>
              <a:gd name="csX9366" fmla="*/ 8010261 w 12192000"/>
              <a:gd name="csY9366" fmla="*/ 3277066 h 6858000"/>
              <a:gd name="csX9367" fmla="*/ 8044614 w 12192000"/>
              <a:gd name="csY9367" fmla="*/ 3311886 h 6858000"/>
              <a:gd name="csX9368" fmla="*/ 8078955 w 12192000"/>
              <a:gd name="csY9368" fmla="*/ 3277066 h 6858000"/>
              <a:gd name="csX9369" fmla="*/ 8044614 w 12192000"/>
              <a:gd name="csY9369" fmla="*/ 3242246 h 6858000"/>
              <a:gd name="csX9370" fmla="*/ 8128356 w 12192000"/>
              <a:gd name="csY9370" fmla="*/ 3242246 h 6858000"/>
              <a:gd name="csX9371" fmla="*/ 8094003 w 12192000"/>
              <a:gd name="csY9371" fmla="*/ 3277066 h 6858000"/>
              <a:gd name="csX9372" fmla="*/ 8128356 w 12192000"/>
              <a:gd name="csY9372" fmla="*/ 3311886 h 6858000"/>
              <a:gd name="csX9373" fmla="*/ 8162696 w 12192000"/>
              <a:gd name="csY9373" fmla="*/ 3277066 h 6858000"/>
              <a:gd name="csX9374" fmla="*/ 8128356 w 12192000"/>
              <a:gd name="csY9374" fmla="*/ 3242246 h 6858000"/>
              <a:gd name="csX9375" fmla="*/ 8212097 w 12192000"/>
              <a:gd name="csY9375" fmla="*/ 3242246 h 6858000"/>
              <a:gd name="csX9376" fmla="*/ 8177744 w 12192000"/>
              <a:gd name="csY9376" fmla="*/ 3277066 h 6858000"/>
              <a:gd name="csX9377" fmla="*/ 8212097 w 12192000"/>
              <a:gd name="csY9377" fmla="*/ 3311886 h 6858000"/>
              <a:gd name="csX9378" fmla="*/ 8246437 w 12192000"/>
              <a:gd name="csY9378" fmla="*/ 3277066 h 6858000"/>
              <a:gd name="csX9379" fmla="*/ 8212097 w 12192000"/>
              <a:gd name="csY9379" fmla="*/ 3242246 h 6858000"/>
              <a:gd name="csX9380" fmla="*/ 8295839 w 12192000"/>
              <a:gd name="csY9380" fmla="*/ 3242246 h 6858000"/>
              <a:gd name="csX9381" fmla="*/ 8261486 w 12192000"/>
              <a:gd name="csY9381" fmla="*/ 3277066 h 6858000"/>
              <a:gd name="csX9382" fmla="*/ 8295839 w 12192000"/>
              <a:gd name="csY9382" fmla="*/ 3311886 h 6858000"/>
              <a:gd name="csX9383" fmla="*/ 8330179 w 12192000"/>
              <a:gd name="csY9383" fmla="*/ 3277066 h 6858000"/>
              <a:gd name="csX9384" fmla="*/ 8295839 w 12192000"/>
              <a:gd name="csY9384" fmla="*/ 3242246 h 6858000"/>
              <a:gd name="csX9385" fmla="*/ 8379580 w 12192000"/>
              <a:gd name="csY9385" fmla="*/ 3242246 h 6858000"/>
              <a:gd name="csX9386" fmla="*/ 8345227 w 12192000"/>
              <a:gd name="csY9386" fmla="*/ 3277066 h 6858000"/>
              <a:gd name="csX9387" fmla="*/ 8379580 w 12192000"/>
              <a:gd name="csY9387" fmla="*/ 3311886 h 6858000"/>
              <a:gd name="csX9388" fmla="*/ 8413921 w 12192000"/>
              <a:gd name="csY9388" fmla="*/ 3277066 h 6858000"/>
              <a:gd name="csX9389" fmla="*/ 8379580 w 12192000"/>
              <a:gd name="csY9389" fmla="*/ 3242246 h 6858000"/>
              <a:gd name="csX9390" fmla="*/ 8463323 w 12192000"/>
              <a:gd name="csY9390" fmla="*/ 3242246 h 6858000"/>
              <a:gd name="csX9391" fmla="*/ 8428970 w 12192000"/>
              <a:gd name="csY9391" fmla="*/ 3277066 h 6858000"/>
              <a:gd name="csX9392" fmla="*/ 8463323 w 12192000"/>
              <a:gd name="csY9392" fmla="*/ 3311886 h 6858000"/>
              <a:gd name="csX9393" fmla="*/ 8497663 w 12192000"/>
              <a:gd name="csY9393" fmla="*/ 3277066 h 6858000"/>
              <a:gd name="csX9394" fmla="*/ 8463323 w 12192000"/>
              <a:gd name="csY9394" fmla="*/ 3242246 h 6858000"/>
              <a:gd name="csX9395" fmla="*/ 8547064 w 12192000"/>
              <a:gd name="csY9395" fmla="*/ 3242246 h 6858000"/>
              <a:gd name="csX9396" fmla="*/ 8512711 w 12192000"/>
              <a:gd name="csY9396" fmla="*/ 3277066 h 6858000"/>
              <a:gd name="csX9397" fmla="*/ 8547064 w 12192000"/>
              <a:gd name="csY9397" fmla="*/ 3311886 h 6858000"/>
              <a:gd name="csX9398" fmla="*/ 8581404 w 12192000"/>
              <a:gd name="csY9398" fmla="*/ 3277066 h 6858000"/>
              <a:gd name="csX9399" fmla="*/ 8547064 w 12192000"/>
              <a:gd name="csY9399" fmla="*/ 3242246 h 6858000"/>
              <a:gd name="csX9400" fmla="*/ 8630805 w 12192000"/>
              <a:gd name="csY9400" fmla="*/ 3242246 h 6858000"/>
              <a:gd name="csX9401" fmla="*/ 8596452 w 12192000"/>
              <a:gd name="csY9401" fmla="*/ 3277066 h 6858000"/>
              <a:gd name="csX9402" fmla="*/ 8630805 w 12192000"/>
              <a:gd name="csY9402" fmla="*/ 3311886 h 6858000"/>
              <a:gd name="csX9403" fmla="*/ 8665145 w 12192000"/>
              <a:gd name="csY9403" fmla="*/ 3277066 h 6858000"/>
              <a:gd name="csX9404" fmla="*/ 8630805 w 12192000"/>
              <a:gd name="csY9404" fmla="*/ 3242246 h 6858000"/>
              <a:gd name="csX9405" fmla="*/ 8714547 w 12192000"/>
              <a:gd name="csY9405" fmla="*/ 3242246 h 6858000"/>
              <a:gd name="csX9406" fmla="*/ 8680194 w 12192000"/>
              <a:gd name="csY9406" fmla="*/ 3277066 h 6858000"/>
              <a:gd name="csX9407" fmla="*/ 8714547 w 12192000"/>
              <a:gd name="csY9407" fmla="*/ 3311886 h 6858000"/>
              <a:gd name="csX9408" fmla="*/ 8748888 w 12192000"/>
              <a:gd name="csY9408" fmla="*/ 3277066 h 6858000"/>
              <a:gd name="csX9409" fmla="*/ 8714547 w 12192000"/>
              <a:gd name="csY9409" fmla="*/ 3242246 h 6858000"/>
              <a:gd name="csX9410" fmla="*/ 8798289 w 12192000"/>
              <a:gd name="csY9410" fmla="*/ 3242246 h 6858000"/>
              <a:gd name="csX9411" fmla="*/ 8763936 w 12192000"/>
              <a:gd name="csY9411" fmla="*/ 3277066 h 6858000"/>
              <a:gd name="csX9412" fmla="*/ 8798289 w 12192000"/>
              <a:gd name="csY9412" fmla="*/ 3311886 h 6858000"/>
              <a:gd name="csX9413" fmla="*/ 8832629 w 12192000"/>
              <a:gd name="csY9413" fmla="*/ 3277066 h 6858000"/>
              <a:gd name="csX9414" fmla="*/ 8798289 w 12192000"/>
              <a:gd name="csY9414" fmla="*/ 3242246 h 6858000"/>
              <a:gd name="csX9415" fmla="*/ 8882030 w 12192000"/>
              <a:gd name="csY9415" fmla="*/ 3242246 h 6858000"/>
              <a:gd name="csX9416" fmla="*/ 8847677 w 12192000"/>
              <a:gd name="csY9416" fmla="*/ 3277066 h 6858000"/>
              <a:gd name="csX9417" fmla="*/ 8882030 w 12192000"/>
              <a:gd name="csY9417" fmla="*/ 3311886 h 6858000"/>
              <a:gd name="csX9418" fmla="*/ 8916370 w 12192000"/>
              <a:gd name="csY9418" fmla="*/ 3277066 h 6858000"/>
              <a:gd name="csX9419" fmla="*/ 8882030 w 12192000"/>
              <a:gd name="csY9419" fmla="*/ 3242246 h 6858000"/>
              <a:gd name="csX9420" fmla="*/ 8965772 w 12192000"/>
              <a:gd name="csY9420" fmla="*/ 3242246 h 6858000"/>
              <a:gd name="csX9421" fmla="*/ 8931419 w 12192000"/>
              <a:gd name="csY9421" fmla="*/ 3277066 h 6858000"/>
              <a:gd name="csX9422" fmla="*/ 8965772 w 12192000"/>
              <a:gd name="csY9422" fmla="*/ 3311886 h 6858000"/>
              <a:gd name="csX9423" fmla="*/ 9000112 w 12192000"/>
              <a:gd name="csY9423" fmla="*/ 3277066 h 6858000"/>
              <a:gd name="csX9424" fmla="*/ 8965772 w 12192000"/>
              <a:gd name="csY9424" fmla="*/ 3242246 h 6858000"/>
              <a:gd name="csX9425" fmla="*/ 9049513 w 12192000"/>
              <a:gd name="csY9425" fmla="*/ 3242246 h 6858000"/>
              <a:gd name="csX9426" fmla="*/ 9015160 w 12192000"/>
              <a:gd name="csY9426" fmla="*/ 3277066 h 6858000"/>
              <a:gd name="csX9427" fmla="*/ 9049513 w 12192000"/>
              <a:gd name="csY9427" fmla="*/ 3311886 h 6858000"/>
              <a:gd name="csX9428" fmla="*/ 9083854 w 12192000"/>
              <a:gd name="csY9428" fmla="*/ 3277066 h 6858000"/>
              <a:gd name="csX9429" fmla="*/ 9049513 w 12192000"/>
              <a:gd name="csY9429" fmla="*/ 3242246 h 6858000"/>
              <a:gd name="csX9430" fmla="*/ 9133256 w 12192000"/>
              <a:gd name="csY9430" fmla="*/ 3242246 h 6858000"/>
              <a:gd name="csX9431" fmla="*/ 9098903 w 12192000"/>
              <a:gd name="csY9431" fmla="*/ 3277066 h 6858000"/>
              <a:gd name="csX9432" fmla="*/ 9133256 w 12192000"/>
              <a:gd name="csY9432" fmla="*/ 3311886 h 6858000"/>
              <a:gd name="csX9433" fmla="*/ 9167596 w 12192000"/>
              <a:gd name="csY9433" fmla="*/ 3277066 h 6858000"/>
              <a:gd name="csX9434" fmla="*/ 9133256 w 12192000"/>
              <a:gd name="csY9434" fmla="*/ 3242246 h 6858000"/>
              <a:gd name="csX9435" fmla="*/ 9216997 w 12192000"/>
              <a:gd name="csY9435" fmla="*/ 3242246 h 6858000"/>
              <a:gd name="csX9436" fmla="*/ 9182644 w 12192000"/>
              <a:gd name="csY9436" fmla="*/ 3277066 h 6858000"/>
              <a:gd name="csX9437" fmla="*/ 9216997 w 12192000"/>
              <a:gd name="csY9437" fmla="*/ 3311886 h 6858000"/>
              <a:gd name="csX9438" fmla="*/ 9251337 w 12192000"/>
              <a:gd name="csY9438" fmla="*/ 3277066 h 6858000"/>
              <a:gd name="csX9439" fmla="*/ 9216997 w 12192000"/>
              <a:gd name="csY9439" fmla="*/ 3242246 h 6858000"/>
              <a:gd name="csX9440" fmla="*/ 9300738 w 12192000"/>
              <a:gd name="csY9440" fmla="*/ 3242246 h 6858000"/>
              <a:gd name="csX9441" fmla="*/ 9266385 w 12192000"/>
              <a:gd name="csY9441" fmla="*/ 3277066 h 6858000"/>
              <a:gd name="csX9442" fmla="*/ 9300738 w 12192000"/>
              <a:gd name="csY9442" fmla="*/ 3311886 h 6858000"/>
              <a:gd name="csX9443" fmla="*/ 9335078 w 12192000"/>
              <a:gd name="csY9443" fmla="*/ 3277066 h 6858000"/>
              <a:gd name="csX9444" fmla="*/ 9300738 w 12192000"/>
              <a:gd name="csY9444" fmla="*/ 3242246 h 6858000"/>
              <a:gd name="csX9445" fmla="*/ 9384480 w 12192000"/>
              <a:gd name="csY9445" fmla="*/ 3242246 h 6858000"/>
              <a:gd name="csX9446" fmla="*/ 9350127 w 12192000"/>
              <a:gd name="csY9446" fmla="*/ 3277066 h 6858000"/>
              <a:gd name="csX9447" fmla="*/ 9384480 w 12192000"/>
              <a:gd name="csY9447" fmla="*/ 3311886 h 6858000"/>
              <a:gd name="csX9448" fmla="*/ 9418821 w 12192000"/>
              <a:gd name="csY9448" fmla="*/ 3277066 h 6858000"/>
              <a:gd name="csX9449" fmla="*/ 9384480 w 12192000"/>
              <a:gd name="csY9449" fmla="*/ 3242246 h 6858000"/>
              <a:gd name="csX9450" fmla="*/ 9468222 w 12192000"/>
              <a:gd name="csY9450" fmla="*/ 3242246 h 6858000"/>
              <a:gd name="csX9451" fmla="*/ 9433869 w 12192000"/>
              <a:gd name="csY9451" fmla="*/ 3277066 h 6858000"/>
              <a:gd name="csX9452" fmla="*/ 9468222 w 12192000"/>
              <a:gd name="csY9452" fmla="*/ 3311886 h 6858000"/>
              <a:gd name="csX9453" fmla="*/ 9502562 w 12192000"/>
              <a:gd name="csY9453" fmla="*/ 3277066 h 6858000"/>
              <a:gd name="csX9454" fmla="*/ 9468222 w 12192000"/>
              <a:gd name="csY9454" fmla="*/ 3242246 h 6858000"/>
              <a:gd name="csX9455" fmla="*/ 9551963 w 12192000"/>
              <a:gd name="csY9455" fmla="*/ 3242246 h 6858000"/>
              <a:gd name="csX9456" fmla="*/ 9517610 w 12192000"/>
              <a:gd name="csY9456" fmla="*/ 3277066 h 6858000"/>
              <a:gd name="csX9457" fmla="*/ 9551963 w 12192000"/>
              <a:gd name="csY9457" fmla="*/ 3311886 h 6858000"/>
              <a:gd name="csX9458" fmla="*/ 9586303 w 12192000"/>
              <a:gd name="csY9458" fmla="*/ 3277066 h 6858000"/>
              <a:gd name="csX9459" fmla="*/ 9551963 w 12192000"/>
              <a:gd name="csY9459" fmla="*/ 3242246 h 6858000"/>
              <a:gd name="csX9460" fmla="*/ 2350151 w 12192000"/>
              <a:gd name="csY9460" fmla="*/ 3327109 h 6858000"/>
              <a:gd name="csX9461" fmla="*/ 2315804 w 12192000"/>
              <a:gd name="csY9461" fmla="*/ 3361930 h 6858000"/>
              <a:gd name="csX9462" fmla="*/ 2350151 w 12192000"/>
              <a:gd name="csY9462" fmla="*/ 3396750 h 6858000"/>
              <a:gd name="csX9463" fmla="*/ 2384498 w 12192000"/>
              <a:gd name="csY9463" fmla="*/ 3361930 h 6858000"/>
              <a:gd name="csX9464" fmla="*/ 2350151 w 12192000"/>
              <a:gd name="csY9464" fmla="*/ 3327109 h 6858000"/>
              <a:gd name="csX9465" fmla="*/ 2433893 w 12192000"/>
              <a:gd name="csY9465" fmla="*/ 3327109 h 6858000"/>
              <a:gd name="csX9466" fmla="*/ 2399546 w 12192000"/>
              <a:gd name="csY9466" fmla="*/ 3361930 h 6858000"/>
              <a:gd name="csX9467" fmla="*/ 2433893 w 12192000"/>
              <a:gd name="csY9467" fmla="*/ 3396750 h 6858000"/>
              <a:gd name="csX9468" fmla="*/ 2468240 w 12192000"/>
              <a:gd name="csY9468" fmla="*/ 3361930 h 6858000"/>
              <a:gd name="csX9469" fmla="*/ 2433893 w 12192000"/>
              <a:gd name="csY9469" fmla="*/ 3327109 h 6858000"/>
              <a:gd name="csX9470" fmla="*/ 2517634 w 12192000"/>
              <a:gd name="csY9470" fmla="*/ 3327109 h 6858000"/>
              <a:gd name="csX9471" fmla="*/ 2483288 w 12192000"/>
              <a:gd name="csY9471" fmla="*/ 3361930 h 6858000"/>
              <a:gd name="csX9472" fmla="*/ 2517634 w 12192000"/>
              <a:gd name="csY9472" fmla="*/ 3396750 h 6858000"/>
              <a:gd name="csX9473" fmla="*/ 2551981 w 12192000"/>
              <a:gd name="csY9473" fmla="*/ 3361930 h 6858000"/>
              <a:gd name="csX9474" fmla="*/ 2517634 w 12192000"/>
              <a:gd name="csY9474" fmla="*/ 3327109 h 6858000"/>
              <a:gd name="csX9475" fmla="*/ 2601376 w 12192000"/>
              <a:gd name="csY9475" fmla="*/ 3327109 h 6858000"/>
              <a:gd name="csX9476" fmla="*/ 2567029 w 12192000"/>
              <a:gd name="csY9476" fmla="*/ 3361930 h 6858000"/>
              <a:gd name="csX9477" fmla="*/ 2601376 w 12192000"/>
              <a:gd name="csY9477" fmla="*/ 3396750 h 6858000"/>
              <a:gd name="csX9478" fmla="*/ 2635722 w 12192000"/>
              <a:gd name="csY9478" fmla="*/ 3361930 h 6858000"/>
              <a:gd name="csX9479" fmla="*/ 2601376 w 12192000"/>
              <a:gd name="csY9479" fmla="*/ 3327109 h 6858000"/>
              <a:gd name="csX9480" fmla="*/ 2685118 w 12192000"/>
              <a:gd name="csY9480" fmla="*/ 3327109 h 6858000"/>
              <a:gd name="csX9481" fmla="*/ 2650771 w 12192000"/>
              <a:gd name="csY9481" fmla="*/ 3361930 h 6858000"/>
              <a:gd name="csX9482" fmla="*/ 2685118 w 12192000"/>
              <a:gd name="csY9482" fmla="*/ 3396750 h 6858000"/>
              <a:gd name="csX9483" fmla="*/ 2719465 w 12192000"/>
              <a:gd name="csY9483" fmla="*/ 3361930 h 6858000"/>
              <a:gd name="csX9484" fmla="*/ 2685118 w 12192000"/>
              <a:gd name="csY9484" fmla="*/ 3327109 h 6858000"/>
              <a:gd name="csX9485" fmla="*/ 2768859 w 12192000"/>
              <a:gd name="csY9485" fmla="*/ 3327109 h 6858000"/>
              <a:gd name="csX9486" fmla="*/ 2734512 w 12192000"/>
              <a:gd name="csY9486" fmla="*/ 3361930 h 6858000"/>
              <a:gd name="csX9487" fmla="*/ 2768859 w 12192000"/>
              <a:gd name="csY9487" fmla="*/ 3396750 h 6858000"/>
              <a:gd name="csX9488" fmla="*/ 2803206 w 12192000"/>
              <a:gd name="csY9488" fmla="*/ 3361930 h 6858000"/>
              <a:gd name="csX9489" fmla="*/ 2768859 w 12192000"/>
              <a:gd name="csY9489" fmla="*/ 3327109 h 6858000"/>
              <a:gd name="csX9490" fmla="*/ 2852600 w 12192000"/>
              <a:gd name="csY9490" fmla="*/ 3327109 h 6858000"/>
              <a:gd name="csX9491" fmla="*/ 2818254 w 12192000"/>
              <a:gd name="csY9491" fmla="*/ 3361930 h 6858000"/>
              <a:gd name="csX9492" fmla="*/ 2852600 w 12192000"/>
              <a:gd name="csY9492" fmla="*/ 3396750 h 6858000"/>
              <a:gd name="csX9493" fmla="*/ 2886947 w 12192000"/>
              <a:gd name="csY9493" fmla="*/ 3361930 h 6858000"/>
              <a:gd name="csX9494" fmla="*/ 2852600 w 12192000"/>
              <a:gd name="csY9494" fmla="*/ 3327109 h 6858000"/>
              <a:gd name="csX9495" fmla="*/ 2936343 w 12192000"/>
              <a:gd name="csY9495" fmla="*/ 3327109 h 6858000"/>
              <a:gd name="csX9496" fmla="*/ 2901996 w 12192000"/>
              <a:gd name="csY9496" fmla="*/ 3361930 h 6858000"/>
              <a:gd name="csX9497" fmla="*/ 2936343 w 12192000"/>
              <a:gd name="csY9497" fmla="*/ 3396750 h 6858000"/>
              <a:gd name="csX9498" fmla="*/ 2970689 w 12192000"/>
              <a:gd name="csY9498" fmla="*/ 3361930 h 6858000"/>
              <a:gd name="csX9499" fmla="*/ 2936343 w 12192000"/>
              <a:gd name="csY9499" fmla="*/ 3327109 h 6858000"/>
              <a:gd name="csX9500" fmla="*/ 3355051 w 12192000"/>
              <a:gd name="csY9500" fmla="*/ 3327109 h 6858000"/>
              <a:gd name="csX9501" fmla="*/ 3320704 w 12192000"/>
              <a:gd name="csY9501" fmla="*/ 3361930 h 6858000"/>
              <a:gd name="csX9502" fmla="*/ 3355051 w 12192000"/>
              <a:gd name="csY9502" fmla="*/ 3396750 h 6858000"/>
              <a:gd name="csX9503" fmla="*/ 3389398 w 12192000"/>
              <a:gd name="csY9503" fmla="*/ 3361930 h 6858000"/>
              <a:gd name="csX9504" fmla="*/ 3355051 w 12192000"/>
              <a:gd name="csY9504" fmla="*/ 3327109 h 6858000"/>
              <a:gd name="csX9505" fmla="*/ 5616081 w 12192000"/>
              <a:gd name="csY9505" fmla="*/ 3327109 h 6858000"/>
              <a:gd name="csX9506" fmla="*/ 5581728 w 12192000"/>
              <a:gd name="csY9506" fmla="*/ 3361930 h 6858000"/>
              <a:gd name="csX9507" fmla="*/ 5616081 w 12192000"/>
              <a:gd name="csY9507" fmla="*/ 3396750 h 6858000"/>
              <a:gd name="csX9508" fmla="*/ 5650421 w 12192000"/>
              <a:gd name="csY9508" fmla="*/ 3361930 h 6858000"/>
              <a:gd name="csX9509" fmla="*/ 5616081 w 12192000"/>
              <a:gd name="csY9509" fmla="*/ 3327109 h 6858000"/>
              <a:gd name="csX9510" fmla="*/ 5699822 w 12192000"/>
              <a:gd name="csY9510" fmla="*/ 3327109 h 6858000"/>
              <a:gd name="csX9511" fmla="*/ 5665469 w 12192000"/>
              <a:gd name="csY9511" fmla="*/ 3361930 h 6858000"/>
              <a:gd name="csX9512" fmla="*/ 5699822 w 12192000"/>
              <a:gd name="csY9512" fmla="*/ 3396750 h 6858000"/>
              <a:gd name="csX9513" fmla="*/ 5734163 w 12192000"/>
              <a:gd name="csY9513" fmla="*/ 3361930 h 6858000"/>
              <a:gd name="csX9514" fmla="*/ 5699822 w 12192000"/>
              <a:gd name="csY9514" fmla="*/ 3327109 h 6858000"/>
              <a:gd name="csX9515" fmla="*/ 5783565 w 12192000"/>
              <a:gd name="csY9515" fmla="*/ 3327109 h 6858000"/>
              <a:gd name="csX9516" fmla="*/ 5749211 w 12192000"/>
              <a:gd name="csY9516" fmla="*/ 3361930 h 6858000"/>
              <a:gd name="csX9517" fmla="*/ 5783565 w 12192000"/>
              <a:gd name="csY9517" fmla="*/ 3396750 h 6858000"/>
              <a:gd name="csX9518" fmla="*/ 5817905 w 12192000"/>
              <a:gd name="csY9518" fmla="*/ 3361930 h 6858000"/>
              <a:gd name="csX9519" fmla="*/ 5783565 w 12192000"/>
              <a:gd name="csY9519" fmla="*/ 3327109 h 6858000"/>
              <a:gd name="csX9520" fmla="*/ 5867306 w 12192000"/>
              <a:gd name="csY9520" fmla="*/ 3327109 h 6858000"/>
              <a:gd name="csX9521" fmla="*/ 5832953 w 12192000"/>
              <a:gd name="csY9521" fmla="*/ 3361930 h 6858000"/>
              <a:gd name="csX9522" fmla="*/ 5867306 w 12192000"/>
              <a:gd name="csY9522" fmla="*/ 3396750 h 6858000"/>
              <a:gd name="csX9523" fmla="*/ 5901646 w 12192000"/>
              <a:gd name="csY9523" fmla="*/ 3361930 h 6858000"/>
              <a:gd name="csX9524" fmla="*/ 5867306 w 12192000"/>
              <a:gd name="csY9524" fmla="*/ 3327109 h 6858000"/>
              <a:gd name="csX9525" fmla="*/ 5951047 w 12192000"/>
              <a:gd name="csY9525" fmla="*/ 3327109 h 6858000"/>
              <a:gd name="csX9526" fmla="*/ 5916694 w 12192000"/>
              <a:gd name="csY9526" fmla="*/ 3361930 h 6858000"/>
              <a:gd name="csX9527" fmla="*/ 5951047 w 12192000"/>
              <a:gd name="csY9527" fmla="*/ 3396750 h 6858000"/>
              <a:gd name="csX9528" fmla="*/ 5985387 w 12192000"/>
              <a:gd name="csY9528" fmla="*/ 3361930 h 6858000"/>
              <a:gd name="csX9529" fmla="*/ 5951047 w 12192000"/>
              <a:gd name="csY9529" fmla="*/ 3327109 h 6858000"/>
              <a:gd name="csX9530" fmla="*/ 6034789 w 12192000"/>
              <a:gd name="csY9530" fmla="*/ 3327109 h 6858000"/>
              <a:gd name="csX9531" fmla="*/ 6000436 w 12192000"/>
              <a:gd name="csY9531" fmla="*/ 3361930 h 6858000"/>
              <a:gd name="csX9532" fmla="*/ 6034789 w 12192000"/>
              <a:gd name="csY9532" fmla="*/ 3396750 h 6858000"/>
              <a:gd name="csX9533" fmla="*/ 6069130 w 12192000"/>
              <a:gd name="csY9533" fmla="*/ 3361930 h 6858000"/>
              <a:gd name="csX9534" fmla="*/ 6034789 w 12192000"/>
              <a:gd name="csY9534" fmla="*/ 3327109 h 6858000"/>
              <a:gd name="csX9535" fmla="*/ 6118531 w 12192000"/>
              <a:gd name="csY9535" fmla="*/ 3327109 h 6858000"/>
              <a:gd name="csX9536" fmla="*/ 6084177 w 12192000"/>
              <a:gd name="csY9536" fmla="*/ 3361930 h 6858000"/>
              <a:gd name="csX9537" fmla="*/ 6118531 w 12192000"/>
              <a:gd name="csY9537" fmla="*/ 3396750 h 6858000"/>
              <a:gd name="csX9538" fmla="*/ 6152871 w 12192000"/>
              <a:gd name="csY9538" fmla="*/ 3361930 h 6858000"/>
              <a:gd name="csX9539" fmla="*/ 6118531 w 12192000"/>
              <a:gd name="csY9539" fmla="*/ 3327109 h 6858000"/>
              <a:gd name="csX9540" fmla="*/ 6202273 w 12192000"/>
              <a:gd name="csY9540" fmla="*/ 3327109 h 6858000"/>
              <a:gd name="csX9541" fmla="*/ 6167920 w 12192000"/>
              <a:gd name="csY9541" fmla="*/ 3361930 h 6858000"/>
              <a:gd name="csX9542" fmla="*/ 6202273 w 12192000"/>
              <a:gd name="csY9542" fmla="*/ 3396750 h 6858000"/>
              <a:gd name="csX9543" fmla="*/ 6236613 w 12192000"/>
              <a:gd name="csY9543" fmla="*/ 3361930 h 6858000"/>
              <a:gd name="csX9544" fmla="*/ 6202273 w 12192000"/>
              <a:gd name="csY9544" fmla="*/ 3327109 h 6858000"/>
              <a:gd name="csX9545" fmla="*/ 6286014 w 12192000"/>
              <a:gd name="csY9545" fmla="*/ 3327109 h 6858000"/>
              <a:gd name="csX9546" fmla="*/ 6251661 w 12192000"/>
              <a:gd name="csY9546" fmla="*/ 3361930 h 6858000"/>
              <a:gd name="csX9547" fmla="*/ 6286014 w 12192000"/>
              <a:gd name="csY9547" fmla="*/ 3396750 h 6858000"/>
              <a:gd name="csX9548" fmla="*/ 6320354 w 12192000"/>
              <a:gd name="csY9548" fmla="*/ 3361930 h 6858000"/>
              <a:gd name="csX9549" fmla="*/ 6286014 w 12192000"/>
              <a:gd name="csY9549" fmla="*/ 3327109 h 6858000"/>
              <a:gd name="csX9550" fmla="*/ 6369755 w 12192000"/>
              <a:gd name="csY9550" fmla="*/ 3327109 h 6858000"/>
              <a:gd name="csX9551" fmla="*/ 6335402 w 12192000"/>
              <a:gd name="csY9551" fmla="*/ 3361930 h 6858000"/>
              <a:gd name="csX9552" fmla="*/ 6369755 w 12192000"/>
              <a:gd name="csY9552" fmla="*/ 3396750 h 6858000"/>
              <a:gd name="csX9553" fmla="*/ 6404096 w 12192000"/>
              <a:gd name="csY9553" fmla="*/ 3361930 h 6858000"/>
              <a:gd name="csX9554" fmla="*/ 6369755 w 12192000"/>
              <a:gd name="csY9554" fmla="*/ 3327109 h 6858000"/>
              <a:gd name="csX9555" fmla="*/ 6453498 w 12192000"/>
              <a:gd name="csY9555" fmla="*/ 3327109 h 6858000"/>
              <a:gd name="csX9556" fmla="*/ 6419144 w 12192000"/>
              <a:gd name="csY9556" fmla="*/ 3361930 h 6858000"/>
              <a:gd name="csX9557" fmla="*/ 6453498 w 12192000"/>
              <a:gd name="csY9557" fmla="*/ 3396750 h 6858000"/>
              <a:gd name="csX9558" fmla="*/ 6487838 w 12192000"/>
              <a:gd name="csY9558" fmla="*/ 3361930 h 6858000"/>
              <a:gd name="csX9559" fmla="*/ 6453498 w 12192000"/>
              <a:gd name="csY9559" fmla="*/ 3327109 h 6858000"/>
              <a:gd name="csX9560" fmla="*/ 6537239 w 12192000"/>
              <a:gd name="csY9560" fmla="*/ 3327109 h 6858000"/>
              <a:gd name="csX9561" fmla="*/ 6502886 w 12192000"/>
              <a:gd name="csY9561" fmla="*/ 3361930 h 6858000"/>
              <a:gd name="csX9562" fmla="*/ 6537239 w 12192000"/>
              <a:gd name="csY9562" fmla="*/ 3396750 h 6858000"/>
              <a:gd name="csX9563" fmla="*/ 6571579 w 12192000"/>
              <a:gd name="csY9563" fmla="*/ 3361930 h 6858000"/>
              <a:gd name="csX9564" fmla="*/ 6537239 w 12192000"/>
              <a:gd name="csY9564" fmla="*/ 3327109 h 6858000"/>
              <a:gd name="csX9565" fmla="*/ 6620980 w 12192000"/>
              <a:gd name="csY9565" fmla="*/ 3327109 h 6858000"/>
              <a:gd name="csX9566" fmla="*/ 6586627 w 12192000"/>
              <a:gd name="csY9566" fmla="*/ 3361930 h 6858000"/>
              <a:gd name="csX9567" fmla="*/ 6620980 w 12192000"/>
              <a:gd name="csY9567" fmla="*/ 3396750 h 6858000"/>
              <a:gd name="csX9568" fmla="*/ 6655320 w 12192000"/>
              <a:gd name="csY9568" fmla="*/ 3361930 h 6858000"/>
              <a:gd name="csX9569" fmla="*/ 6620980 w 12192000"/>
              <a:gd name="csY9569" fmla="*/ 3327109 h 6858000"/>
              <a:gd name="csX9570" fmla="*/ 6704722 w 12192000"/>
              <a:gd name="csY9570" fmla="*/ 3327109 h 6858000"/>
              <a:gd name="csX9571" fmla="*/ 6670369 w 12192000"/>
              <a:gd name="csY9571" fmla="*/ 3361930 h 6858000"/>
              <a:gd name="csX9572" fmla="*/ 6704722 w 12192000"/>
              <a:gd name="csY9572" fmla="*/ 3396750 h 6858000"/>
              <a:gd name="csX9573" fmla="*/ 6739063 w 12192000"/>
              <a:gd name="csY9573" fmla="*/ 3361930 h 6858000"/>
              <a:gd name="csX9574" fmla="*/ 6704722 w 12192000"/>
              <a:gd name="csY9574" fmla="*/ 3327109 h 6858000"/>
              <a:gd name="csX9575" fmla="*/ 6788464 w 12192000"/>
              <a:gd name="csY9575" fmla="*/ 3327109 h 6858000"/>
              <a:gd name="csX9576" fmla="*/ 6754110 w 12192000"/>
              <a:gd name="csY9576" fmla="*/ 3361930 h 6858000"/>
              <a:gd name="csX9577" fmla="*/ 6788464 w 12192000"/>
              <a:gd name="csY9577" fmla="*/ 3396750 h 6858000"/>
              <a:gd name="csX9578" fmla="*/ 6822804 w 12192000"/>
              <a:gd name="csY9578" fmla="*/ 3361930 h 6858000"/>
              <a:gd name="csX9579" fmla="*/ 6788464 w 12192000"/>
              <a:gd name="csY9579" fmla="*/ 3327109 h 6858000"/>
              <a:gd name="csX9580" fmla="*/ 6872206 w 12192000"/>
              <a:gd name="csY9580" fmla="*/ 3327109 h 6858000"/>
              <a:gd name="csX9581" fmla="*/ 6837853 w 12192000"/>
              <a:gd name="csY9581" fmla="*/ 3361930 h 6858000"/>
              <a:gd name="csX9582" fmla="*/ 6872206 w 12192000"/>
              <a:gd name="csY9582" fmla="*/ 3396750 h 6858000"/>
              <a:gd name="csX9583" fmla="*/ 6906546 w 12192000"/>
              <a:gd name="csY9583" fmla="*/ 3361930 h 6858000"/>
              <a:gd name="csX9584" fmla="*/ 6872206 w 12192000"/>
              <a:gd name="csY9584" fmla="*/ 3327109 h 6858000"/>
              <a:gd name="csX9585" fmla="*/ 6955947 w 12192000"/>
              <a:gd name="csY9585" fmla="*/ 3327109 h 6858000"/>
              <a:gd name="csX9586" fmla="*/ 6921594 w 12192000"/>
              <a:gd name="csY9586" fmla="*/ 3361930 h 6858000"/>
              <a:gd name="csX9587" fmla="*/ 6955947 w 12192000"/>
              <a:gd name="csY9587" fmla="*/ 3396750 h 6858000"/>
              <a:gd name="csX9588" fmla="*/ 6990287 w 12192000"/>
              <a:gd name="csY9588" fmla="*/ 3361930 h 6858000"/>
              <a:gd name="csX9589" fmla="*/ 6955947 w 12192000"/>
              <a:gd name="csY9589" fmla="*/ 3327109 h 6858000"/>
              <a:gd name="csX9590" fmla="*/ 7039688 w 12192000"/>
              <a:gd name="csY9590" fmla="*/ 3327109 h 6858000"/>
              <a:gd name="csX9591" fmla="*/ 7005335 w 12192000"/>
              <a:gd name="csY9591" fmla="*/ 3361930 h 6858000"/>
              <a:gd name="csX9592" fmla="*/ 7039688 w 12192000"/>
              <a:gd name="csY9592" fmla="*/ 3396750 h 6858000"/>
              <a:gd name="csX9593" fmla="*/ 7074029 w 12192000"/>
              <a:gd name="csY9593" fmla="*/ 3361930 h 6858000"/>
              <a:gd name="csX9594" fmla="*/ 7039688 w 12192000"/>
              <a:gd name="csY9594" fmla="*/ 3327109 h 6858000"/>
              <a:gd name="csX9595" fmla="*/ 7123456 w 12192000"/>
              <a:gd name="csY9595" fmla="*/ 3327109 h 6858000"/>
              <a:gd name="csX9596" fmla="*/ 7089103 w 12192000"/>
              <a:gd name="csY9596" fmla="*/ 3361930 h 6858000"/>
              <a:gd name="csX9597" fmla="*/ 7123456 w 12192000"/>
              <a:gd name="csY9597" fmla="*/ 3396750 h 6858000"/>
              <a:gd name="csX9598" fmla="*/ 7157796 w 12192000"/>
              <a:gd name="csY9598" fmla="*/ 3361930 h 6858000"/>
              <a:gd name="csX9599" fmla="*/ 7123456 w 12192000"/>
              <a:gd name="csY9599" fmla="*/ 3327109 h 6858000"/>
              <a:gd name="csX9600" fmla="*/ 7207198 w 12192000"/>
              <a:gd name="csY9600" fmla="*/ 3327109 h 6858000"/>
              <a:gd name="csX9601" fmla="*/ 7172845 w 12192000"/>
              <a:gd name="csY9601" fmla="*/ 3361930 h 6858000"/>
              <a:gd name="csX9602" fmla="*/ 7207198 w 12192000"/>
              <a:gd name="csY9602" fmla="*/ 3396750 h 6858000"/>
              <a:gd name="csX9603" fmla="*/ 7241538 w 12192000"/>
              <a:gd name="csY9603" fmla="*/ 3361930 h 6858000"/>
              <a:gd name="csX9604" fmla="*/ 7207198 w 12192000"/>
              <a:gd name="csY9604" fmla="*/ 3327109 h 6858000"/>
              <a:gd name="csX9605" fmla="*/ 7290939 w 12192000"/>
              <a:gd name="csY9605" fmla="*/ 3327109 h 6858000"/>
              <a:gd name="csX9606" fmla="*/ 7256586 w 12192000"/>
              <a:gd name="csY9606" fmla="*/ 3361930 h 6858000"/>
              <a:gd name="csX9607" fmla="*/ 7290939 w 12192000"/>
              <a:gd name="csY9607" fmla="*/ 3396750 h 6858000"/>
              <a:gd name="csX9608" fmla="*/ 7325279 w 12192000"/>
              <a:gd name="csY9608" fmla="*/ 3361930 h 6858000"/>
              <a:gd name="csX9609" fmla="*/ 7290939 w 12192000"/>
              <a:gd name="csY9609" fmla="*/ 3327109 h 6858000"/>
              <a:gd name="csX9610" fmla="*/ 7458423 w 12192000"/>
              <a:gd name="csY9610" fmla="*/ 3327109 h 6858000"/>
              <a:gd name="csX9611" fmla="*/ 7424070 w 12192000"/>
              <a:gd name="csY9611" fmla="*/ 3361930 h 6858000"/>
              <a:gd name="csX9612" fmla="*/ 7458423 w 12192000"/>
              <a:gd name="csY9612" fmla="*/ 3396750 h 6858000"/>
              <a:gd name="csX9613" fmla="*/ 7492763 w 12192000"/>
              <a:gd name="csY9613" fmla="*/ 3361930 h 6858000"/>
              <a:gd name="csX9614" fmla="*/ 7458423 w 12192000"/>
              <a:gd name="csY9614" fmla="*/ 3327109 h 6858000"/>
              <a:gd name="csX9615" fmla="*/ 7542164 w 12192000"/>
              <a:gd name="csY9615" fmla="*/ 3327109 h 6858000"/>
              <a:gd name="csX9616" fmla="*/ 7507811 w 12192000"/>
              <a:gd name="csY9616" fmla="*/ 3361930 h 6858000"/>
              <a:gd name="csX9617" fmla="*/ 7542164 w 12192000"/>
              <a:gd name="csY9617" fmla="*/ 3396750 h 6858000"/>
              <a:gd name="csX9618" fmla="*/ 7576504 w 12192000"/>
              <a:gd name="csY9618" fmla="*/ 3361930 h 6858000"/>
              <a:gd name="csX9619" fmla="*/ 7542164 w 12192000"/>
              <a:gd name="csY9619" fmla="*/ 3327109 h 6858000"/>
              <a:gd name="csX9620" fmla="*/ 7625906 w 12192000"/>
              <a:gd name="csY9620" fmla="*/ 3327109 h 6858000"/>
              <a:gd name="csX9621" fmla="*/ 7591553 w 12192000"/>
              <a:gd name="csY9621" fmla="*/ 3361930 h 6858000"/>
              <a:gd name="csX9622" fmla="*/ 7625906 w 12192000"/>
              <a:gd name="csY9622" fmla="*/ 3396750 h 6858000"/>
              <a:gd name="csX9623" fmla="*/ 7660246 w 12192000"/>
              <a:gd name="csY9623" fmla="*/ 3361930 h 6858000"/>
              <a:gd name="csX9624" fmla="*/ 7625906 w 12192000"/>
              <a:gd name="csY9624" fmla="*/ 3327109 h 6858000"/>
              <a:gd name="csX9625" fmla="*/ 7709647 w 12192000"/>
              <a:gd name="csY9625" fmla="*/ 3327109 h 6858000"/>
              <a:gd name="csX9626" fmla="*/ 7675294 w 12192000"/>
              <a:gd name="csY9626" fmla="*/ 3361930 h 6858000"/>
              <a:gd name="csX9627" fmla="*/ 7709647 w 12192000"/>
              <a:gd name="csY9627" fmla="*/ 3396750 h 6858000"/>
              <a:gd name="csX9628" fmla="*/ 7743988 w 12192000"/>
              <a:gd name="csY9628" fmla="*/ 3361930 h 6858000"/>
              <a:gd name="csX9629" fmla="*/ 7709647 w 12192000"/>
              <a:gd name="csY9629" fmla="*/ 3327109 h 6858000"/>
              <a:gd name="csX9630" fmla="*/ 7793389 w 12192000"/>
              <a:gd name="csY9630" fmla="*/ 3327109 h 6858000"/>
              <a:gd name="csX9631" fmla="*/ 7759036 w 12192000"/>
              <a:gd name="csY9631" fmla="*/ 3361930 h 6858000"/>
              <a:gd name="csX9632" fmla="*/ 7793389 w 12192000"/>
              <a:gd name="csY9632" fmla="*/ 3396750 h 6858000"/>
              <a:gd name="csX9633" fmla="*/ 7827729 w 12192000"/>
              <a:gd name="csY9633" fmla="*/ 3361930 h 6858000"/>
              <a:gd name="csX9634" fmla="*/ 7793389 w 12192000"/>
              <a:gd name="csY9634" fmla="*/ 3327109 h 6858000"/>
              <a:gd name="csX9635" fmla="*/ 7877131 w 12192000"/>
              <a:gd name="csY9635" fmla="*/ 3327109 h 6858000"/>
              <a:gd name="csX9636" fmla="*/ 7842778 w 12192000"/>
              <a:gd name="csY9636" fmla="*/ 3361930 h 6858000"/>
              <a:gd name="csX9637" fmla="*/ 7877131 w 12192000"/>
              <a:gd name="csY9637" fmla="*/ 3396750 h 6858000"/>
              <a:gd name="csX9638" fmla="*/ 7911471 w 12192000"/>
              <a:gd name="csY9638" fmla="*/ 3361930 h 6858000"/>
              <a:gd name="csX9639" fmla="*/ 7877131 w 12192000"/>
              <a:gd name="csY9639" fmla="*/ 3327109 h 6858000"/>
              <a:gd name="csX9640" fmla="*/ 7960872 w 12192000"/>
              <a:gd name="csY9640" fmla="*/ 3327109 h 6858000"/>
              <a:gd name="csX9641" fmla="*/ 7926519 w 12192000"/>
              <a:gd name="csY9641" fmla="*/ 3361930 h 6858000"/>
              <a:gd name="csX9642" fmla="*/ 7960872 w 12192000"/>
              <a:gd name="csY9642" fmla="*/ 3396750 h 6858000"/>
              <a:gd name="csX9643" fmla="*/ 7995212 w 12192000"/>
              <a:gd name="csY9643" fmla="*/ 3361930 h 6858000"/>
              <a:gd name="csX9644" fmla="*/ 7960872 w 12192000"/>
              <a:gd name="csY9644" fmla="*/ 3327109 h 6858000"/>
              <a:gd name="csX9645" fmla="*/ 8044614 w 12192000"/>
              <a:gd name="csY9645" fmla="*/ 3327109 h 6858000"/>
              <a:gd name="csX9646" fmla="*/ 8010261 w 12192000"/>
              <a:gd name="csY9646" fmla="*/ 3361930 h 6858000"/>
              <a:gd name="csX9647" fmla="*/ 8044614 w 12192000"/>
              <a:gd name="csY9647" fmla="*/ 3396750 h 6858000"/>
              <a:gd name="csX9648" fmla="*/ 8078955 w 12192000"/>
              <a:gd name="csY9648" fmla="*/ 3361930 h 6858000"/>
              <a:gd name="csX9649" fmla="*/ 8044614 w 12192000"/>
              <a:gd name="csY9649" fmla="*/ 3327109 h 6858000"/>
              <a:gd name="csX9650" fmla="*/ 8128356 w 12192000"/>
              <a:gd name="csY9650" fmla="*/ 3327109 h 6858000"/>
              <a:gd name="csX9651" fmla="*/ 8094003 w 12192000"/>
              <a:gd name="csY9651" fmla="*/ 3361930 h 6858000"/>
              <a:gd name="csX9652" fmla="*/ 8128356 w 12192000"/>
              <a:gd name="csY9652" fmla="*/ 3396750 h 6858000"/>
              <a:gd name="csX9653" fmla="*/ 8162696 w 12192000"/>
              <a:gd name="csY9653" fmla="*/ 3361930 h 6858000"/>
              <a:gd name="csX9654" fmla="*/ 8128356 w 12192000"/>
              <a:gd name="csY9654" fmla="*/ 3327109 h 6858000"/>
              <a:gd name="csX9655" fmla="*/ 8212097 w 12192000"/>
              <a:gd name="csY9655" fmla="*/ 3327109 h 6858000"/>
              <a:gd name="csX9656" fmla="*/ 8177744 w 12192000"/>
              <a:gd name="csY9656" fmla="*/ 3361930 h 6858000"/>
              <a:gd name="csX9657" fmla="*/ 8212097 w 12192000"/>
              <a:gd name="csY9657" fmla="*/ 3396750 h 6858000"/>
              <a:gd name="csX9658" fmla="*/ 8246437 w 12192000"/>
              <a:gd name="csY9658" fmla="*/ 3361930 h 6858000"/>
              <a:gd name="csX9659" fmla="*/ 8212097 w 12192000"/>
              <a:gd name="csY9659" fmla="*/ 3327109 h 6858000"/>
              <a:gd name="csX9660" fmla="*/ 8295839 w 12192000"/>
              <a:gd name="csY9660" fmla="*/ 3327109 h 6858000"/>
              <a:gd name="csX9661" fmla="*/ 8261486 w 12192000"/>
              <a:gd name="csY9661" fmla="*/ 3361930 h 6858000"/>
              <a:gd name="csX9662" fmla="*/ 8295839 w 12192000"/>
              <a:gd name="csY9662" fmla="*/ 3396750 h 6858000"/>
              <a:gd name="csX9663" fmla="*/ 8330179 w 12192000"/>
              <a:gd name="csY9663" fmla="*/ 3361930 h 6858000"/>
              <a:gd name="csX9664" fmla="*/ 8295839 w 12192000"/>
              <a:gd name="csY9664" fmla="*/ 3327109 h 6858000"/>
              <a:gd name="csX9665" fmla="*/ 8379580 w 12192000"/>
              <a:gd name="csY9665" fmla="*/ 3327109 h 6858000"/>
              <a:gd name="csX9666" fmla="*/ 8345227 w 12192000"/>
              <a:gd name="csY9666" fmla="*/ 3361930 h 6858000"/>
              <a:gd name="csX9667" fmla="*/ 8379580 w 12192000"/>
              <a:gd name="csY9667" fmla="*/ 3396750 h 6858000"/>
              <a:gd name="csX9668" fmla="*/ 8413921 w 12192000"/>
              <a:gd name="csY9668" fmla="*/ 3361930 h 6858000"/>
              <a:gd name="csX9669" fmla="*/ 8379580 w 12192000"/>
              <a:gd name="csY9669" fmla="*/ 3327109 h 6858000"/>
              <a:gd name="csX9670" fmla="*/ 8463323 w 12192000"/>
              <a:gd name="csY9670" fmla="*/ 3327109 h 6858000"/>
              <a:gd name="csX9671" fmla="*/ 8428970 w 12192000"/>
              <a:gd name="csY9671" fmla="*/ 3361930 h 6858000"/>
              <a:gd name="csX9672" fmla="*/ 8463323 w 12192000"/>
              <a:gd name="csY9672" fmla="*/ 3396750 h 6858000"/>
              <a:gd name="csX9673" fmla="*/ 8497663 w 12192000"/>
              <a:gd name="csY9673" fmla="*/ 3361930 h 6858000"/>
              <a:gd name="csX9674" fmla="*/ 8463323 w 12192000"/>
              <a:gd name="csY9674" fmla="*/ 3327109 h 6858000"/>
              <a:gd name="csX9675" fmla="*/ 8547064 w 12192000"/>
              <a:gd name="csY9675" fmla="*/ 3327109 h 6858000"/>
              <a:gd name="csX9676" fmla="*/ 8512711 w 12192000"/>
              <a:gd name="csY9676" fmla="*/ 3361930 h 6858000"/>
              <a:gd name="csX9677" fmla="*/ 8547064 w 12192000"/>
              <a:gd name="csY9677" fmla="*/ 3396750 h 6858000"/>
              <a:gd name="csX9678" fmla="*/ 8581404 w 12192000"/>
              <a:gd name="csY9678" fmla="*/ 3361930 h 6858000"/>
              <a:gd name="csX9679" fmla="*/ 8547064 w 12192000"/>
              <a:gd name="csY9679" fmla="*/ 3327109 h 6858000"/>
              <a:gd name="csX9680" fmla="*/ 8630805 w 12192000"/>
              <a:gd name="csY9680" fmla="*/ 3327109 h 6858000"/>
              <a:gd name="csX9681" fmla="*/ 8596452 w 12192000"/>
              <a:gd name="csY9681" fmla="*/ 3361930 h 6858000"/>
              <a:gd name="csX9682" fmla="*/ 8630805 w 12192000"/>
              <a:gd name="csY9682" fmla="*/ 3396750 h 6858000"/>
              <a:gd name="csX9683" fmla="*/ 8665145 w 12192000"/>
              <a:gd name="csY9683" fmla="*/ 3361930 h 6858000"/>
              <a:gd name="csX9684" fmla="*/ 8630805 w 12192000"/>
              <a:gd name="csY9684" fmla="*/ 3327109 h 6858000"/>
              <a:gd name="csX9685" fmla="*/ 8714547 w 12192000"/>
              <a:gd name="csY9685" fmla="*/ 3327109 h 6858000"/>
              <a:gd name="csX9686" fmla="*/ 8680194 w 12192000"/>
              <a:gd name="csY9686" fmla="*/ 3361930 h 6858000"/>
              <a:gd name="csX9687" fmla="*/ 8714547 w 12192000"/>
              <a:gd name="csY9687" fmla="*/ 3396750 h 6858000"/>
              <a:gd name="csX9688" fmla="*/ 8748888 w 12192000"/>
              <a:gd name="csY9688" fmla="*/ 3361930 h 6858000"/>
              <a:gd name="csX9689" fmla="*/ 8714547 w 12192000"/>
              <a:gd name="csY9689" fmla="*/ 3327109 h 6858000"/>
              <a:gd name="csX9690" fmla="*/ 8798289 w 12192000"/>
              <a:gd name="csY9690" fmla="*/ 3327109 h 6858000"/>
              <a:gd name="csX9691" fmla="*/ 8763936 w 12192000"/>
              <a:gd name="csY9691" fmla="*/ 3361930 h 6858000"/>
              <a:gd name="csX9692" fmla="*/ 8798289 w 12192000"/>
              <a:gd name="csY9692" fmla="*/ 3396750 h 6858000"/>
              <a:gd name="csX9693" fmla="*/ 8832629 w 12192000"/>
              <a:gd name="csY9693" fmla="*/ 3361930 h 6858000"/>
              <a:gd name="csX9694" fmla="*/ 8798289 w 12192000"/>
              <a:gd name="csY9694" fmla="*/ 3327109 h 6858000"/>
              <a:gd name="csX9695" fmla="*/ 8882030 w 12192000"/>
              <a:gd name="csY9695" fmla="*/ 3327109 h 6858000"/>
              <a:gd name="csX9696" fmla="*/ 8847677 w 12192000"/>
              <a:gd name="csY9696" fmla="*/ 3361930 h 6858000"/>
              <a:gd name="csX9697" fmla="*/ 8882030 w 12192000"/>
              <a:gd name="csY9697" fmla="*/ 3396750 h 6858000"/>
              <a:gd name="csX9698" fmla="*/ 8916370 w 12192000"/>
              <a:gd name="csY9698" fmla="*/ 3361930 h 6858000"/>
              <a:gd name="csX9699" fmla="*/ 8882030 w 12192000"/>
              <a:gd name="csY9699" fmla="*/ 3327109 h 6858000"/>
              <a:gd name="csX9700" fmla="*/ 8965772 w 12192000"/>
              <a:gd name="csY9700" fmla="*/ 3327109 h 6858000"/>
              <a:gd name="csX9701" fmla="*/ 8931419 w 12192000"/>
              <a:gd name="csY9701" fmla="*/ 3361930 h 6858000"/>
              <a:gd name="csX9702" fmla="*/ 8965772 w 12192000"/>
              <a:gd name="csY9702" fmla="*/ 3396750 h 6858000"/>
              <a:gd name="csX9703" fmla="*/ 9000112 w 12192000"/>
              <a:gd name="csY9703" fmla="*/ 3361930 h 6858000"/>
              <a:gd name="csX9704" fmla="*/ 8965772 w 12192000"/>
              <a:gd name="csY9704" fmla="*/ 3327109 h 6858000"/>
              <a:gd name="csX9705" fmla="*/ 9049513 w 12192000"/>
              <a:gd name="csY9705" fmla="*/ 3327109 h 6858000"/>
              <a:gd name="csX9706" fmla="*/ 9015160 w 12192000"/>
              <a:gd name="csY9706" fmla="*/ 3361930 h 6858000"/>
              <a:gd name="csX9707" fmla="*/ 9049513 w 12192000"/>
              <a:gd name="csY9707" fmla="*/ 3396750 h 6858000"/>
              <a:gd name="csX9708" fmla="*/ 9083854 w 12192000"/>
              <a:gd name="csY9708" fmla="*/ 3361930 h 6858000"/>
              <a:gd name="csX9709" fmla="*/ 9049513 w 12192000"/>
              <a:gd name="csY9709" fmla="*/ 3327109 h 6858000"/>
              <a:gd name="csX9710" fmla="*/ 9133256 w 12192000"/>
              <a:gd name="csY9710" fmla="*/ 3327109 h 6858000"/>
              <a:gd name="csX9711" fmla="*/ 9098903 w 12192000"/>
              <a:gd name="csY9711" fmla="*/ 3361930 h 6858000"/>
              <a:gd name="csX9712" fmla="*/ 9133256 w 12192000"/>
              <a:gd name="csY9712" fmla="*/ 3396750 h 6858000"/>
              <a:gd name="csX9713" fmla="*/ 9167596 w 12192000"/>
              <a:gd name="csY9713" fmla="*/ 3361930 h 6858000"/>
              <a:gd name="csX9714" fmla="*/ 9133256 w 12192000"/>
              <a:gd name="csY9714" fmla="*/ 3327109 h 6858000"/>
              <a:gd name="csX9715" fmla="*/ 9216997 w 12192000"/>
              <a:gd name="csY9715" fmla="*/ 3327109 h 6858000"/>
              <a:gd name="csX9716" fmla="*/ 9182644 w 12192000"/>
              <a:gd name="csY9716" fmla="*/ 3361930 h 6858000"/>
              <a:gd name="csX9717" fmla="*/ 9216997 w 12192000"/>
              <a:gd name="csY9717" fmla="*/ 3396750 h 6858000"/>
              <a:gd name="csX9718" fmla="*/ 9251337 w 12192000"/>
              <a:gd name="csY9718" fmla="*/ 3361930 h 6858000"/>
              <a:gd name="csX9719" fmla="*/ 9216997 w 12192000"/>
              <a:gd name="csY9719" fmla="*/ 3327109 h 6858000"/>
              <a:gd name="csX9720" fmla="*/ 9300738 w 12192000"/>
              <a:gd name="csY9720" fmla="*/ 3327109 h 6858000"/>
              <a:gd name="csX9721" fmla="*/ 9266385 w 12192000"/>
              <a:gd name="csY9721" fmla="*/ 3361930 h 6858000"/>
              <a:gd name="csX9722" fmla="*/ 9300738 w 12192000"/>
              <a:gd name="csY9722" fmla="*/ 3396750 h 6858000"/>
              <a:gd name="csX9723" fmla="*/ 9335078 w 12192000"/>
              <a:gd name="csY9723" fmla="*/ 3361930 h 6858000"/>
              <a:gd name="csX9724" fmla="*/ 9300738 w 12192000"/>
              <a:gd name="csY9724" fmla="*/ 3327109 h 6858000"/>
              <a:gd name="csX9725" fmla="*/ 9384480 w 12192000"/>
              <a:gd name="csY9725" fmla="*/ 3327109 h 6858000"/>
              <a:gd name="csX9726" fmla="*/ 9350127 w 12192000"/>
              <a:gd name="csY9726" fmla="*/ 3361930 h 6858000"/>
              <a:gd name="csX9727" fmla="*/ 9384480 w 12192000"/>
              <a:gd name="csY9727" fmla="*/ 3396750 h 6858000"/>
              <a:gd name="csX9728" fmla="*/ 9418821 w 12192000"/>
              <a:gd name="csY9728" fmla="*/ 3361930 h 6858000"/>
              <a:gd name="csX9729" fmla="*/ 9384480 w 12192000"/>
              <a:gd name="csY9729" fmla="*/ 3327109 h 6858000"/>
              <a:gd name="csX9730" fmla="*/ 9468222 w 12192000"/>
              <a:gd name="csY9730" fmla="*/ 3327109 h 6858000"/>
              <a:gd name="csX9731" fmla="*/ 9433869 w 12192000"/>
              <a:gd name="csY9731" fmla="*/ 3361930 h 6858000"/>
              <a:gd name="csX9732" fmla="*/ 9468222 w 12192000"/>
              <a:gd name="csY9732" fmla="*/ 3396750 h 6858000"/>
              <a:gd name="csX9733" fmla="*/ 9502562 w 12192000"/>
              <a:gd name="csY9733" fmla="*/ 3361930 h 6858000"/>
              <a:gd name="csX9734" fmla="*/ 9468222 w 12192000"/>
              <a:gd name="csY9734" fmla="*/ 3327109 h 6858000"/>
              <a:gd name="csX9735" fmla="*/ 2433893 w 12192000"/>
              <a:gd name="csY9735" fmla="*/ 3411973 h 6858000"/>
              <a:gd name="csX9736" fmla="*/ 2399546 w 12192000"/>
              <a:gd name="csY9736" fmla="*/ 3446794 h 6858000"/>
              <a:gd name="csX9737" fmla="*/ 2433893 w 12192000"/>
              <a:gd name="csY9737" fmla="*/ 3481614 h 6858000"/>
              <a:gd name="csX9738" fmla="*/ 2468240 w 12192000"/>
              <a:gd name="csY9738" fmla="*/ 3446794 h 6858000"/>
              <a:gd name="csX9739" fmla="*/ 2433893 w 12192000"/>
              <a:gd name="csY9739" fmla="*/ 3411973 h 6858000"/>
              <a:gd name="csX9740" fmla="*/ 2601376 w 12192000"/>
              <a:gd name="csY9740" fmla="*/ 3411973 h 6858000"/>
              <a:gd name="csX9741" fmla="*/ 2567029 w 12192000"/>
              <a:gd name="csY9741" fmla="*/ 3446794 h 6858000"/>
              <a:gd name="csX9742" fmla="*/ 2601376 w 12192000"/>
              <a:gd name="csY9742" fmla="*/ 3481614 h 6858000"/>
              <a:gd name="csX9743" fmla="*/ 2635722 w 12192000"/>
              <a:gd name="csY9743" fmla="*/ 3446794 h 6858000"/>
              <a:gd name="csX9744" fmla="*/ 2601376 w 12192000"/>
              <a:gd name="csY9744" fmla="*/ 3411973 h 6858000"/>
              <a:gd name="csX9745" fmla="*/ 2685118 w 12192000"/>
              <a:gd name="csY9745" fmla="*/ 3411973 h 6858000"/>
              <a:gd name="csX9746" fmla="*/ 2650771 w 12192000"/>
              <a:gd name="csY9746" fmla="*/ 3446794 h 6858000"/>
              <a:gd name="csX9747" fmla="*/ 2685118 w 12192000"/>
              <a:gd name="csY9747" fmla="*/ 3481614 h 6858000"/>
              <a:gd name="csX9748" fmla="*/ 2719465 w 12192000"/>
              <a:gd name="csY9748" fmla="*/ 3446794 h 6858000"/>
              <a:gd name="csX9749" fmla="*/ 2685118 w 12192000"/>
              <a:gd name="csY9749" fmla="*/ 3411973 h 6858000"/>
              <a:gd name="csX9750" fmla="*/ 2768859 w 12192000"/>
              <a:gd name="csY9750" fmla="*/ 3411973 h 6858000"/>
              <a:gd name="csX9751" fmla="*/ 2734512 w 12192000"/>
              <a:gd name="csY9751" fmla="*/ 3446794 h 6858000"/>
              <a:gd name="csX9752" fmla="*/ 2768859 w 12192000"/>
              <a:gd name="csY9752" fmla="*/ 3481614 h 6858000"/>
              <a:gd name="csX9753" fmla="*/ 2803206 w 12192000"/>
              <a:gd name="csY9753" fmla="*/ 3446794 h 6858000"/>
              <a:gd name="csX9754" fmla="*/ 2768859 w 12192000"/>
              <a:gd name="csY9754" fmla="*/ 3411973 h 6858000"/>
              <a:gd name="csX9755" fmla="*/ 2852600 w 12192000"/>
              <a:gd name="csY9755" fmla="*/ 3411973 h 6858000"/>
              <a:gd name="csX9756" fmla="*/ 2818254 w 12192000"/>
              <a:gd name="csY9756" fmla="*/ 3446794 h 6858000"/>
              <a:gd name="csX9757" fmla="*/ 2852600 w 12192000"/>
              <a:gd name="csY9757" fmla="*/ 3481614 h 6858000"/>
              <a:gd name="csX9758" fmla="*/ 2886947 w 12192000"/>
              <a:gd name="csY9758" fmla="*/ 3446794 h 6858000"/>
              <a:gd name="csX9759" fmla="*/ 2852600 w 12192000"/>
              <a:gd name="csY9759" fmla="*/ 3411973 h 6858000"/>
              <a:gd name="csX9760" fmla="*/ 3438792 w 12192000"/>
              <a:gd name="csY9760" fmla="*/ 3411973 h 6858000"/>
              <a:gd name="csX9761" fmla="*/ 3404445 w 12192000"/>
              <a:gd name="csY9761" fmla="*/ 3446794 h 6858000"/>
              <a:gd name="csX9762" fmla="*/ 3438792 w 12192000"/>
              <a:gd name="csY9762" fmla="*/ 3481614 h 6858000"/>
              <a:gd name="csX9763" fmla="*/ 3473139 w 12192000"/>
              <a:gd name="csY9763" fmla="*/ 3446794 h 6858000"/>
              <a:gd name="csX9764" fmla="*/ 3438792 w 12192000"/>
              <a:gd name="csY9764" fmla="*/ 3411973 h 6858000"/>
              <a:gd name="csX9765" fmla="*/ 5532340 w 12192000"/>
              <a:gd name="csY9765" fmla="*/ 3411973 h 6858000"/>
              <a:gd name="csX9766" fmla="*/ 5497987 w 12192000"/>
              <a:gd name="csY9766" fmla="*/ 3446794 h 6858000"/>
              <a:gd name="csX9767" fmla="*/ 5532340 w 12192000"/>
              <a:gd name="csY9767" fmla="*/ 3481614 h 6858000"/>
              <a:gd name="csX9768" fmla="*/ 5566680 w 12192000"/>
              <a:gd name="csY9768" fmla="*/ 3446794 h 6858000"/>
              <a:gd name="csX9769" fmla="*/ 5532340 w 12192000"/>
              <a:gd name="csY9769" fmla="*/ 3411973 h 6858000"/>
              <a:gd name="csX9770" fmla="*/ 5616081 w 12192000"/>
              <a:gd name="csY9770" fmla="*/ 3411973 h 6858000"/>
              <a:gd name="csX9771" fmla="*/ 5581728 w 12192000"/>
              <a:gd name="csY9771" fmla="*/ 3446794 h 6858000"/>
              <a:gd name="csX9772" fmla="*/ 5616081 w 12192000"/>
              <a:gd name="csY9772" fmla="*/ 3481614 h 6858000"/>
              <a:gd name="csX9773" fmla="*/ 5650421 w 12192000"/>
              <a:gd name="csY9773" fmla="*/ 3446794 h 6858000"/>
              <a:gd name="csX9774" fmla="*/ 5616081 w 12192000"/>
              <a:gd name="csY9774" fmla="*/ 3411973 h 6858000"/>
              <a:gd name="csX9775" fmla="*/ 5699822 w 12192000"/>
              <a:gd name="csY9775" fmla="*/ 3411973 h 6858000"/>
              <a:gd name="csX9776" fmla="*/ 5665469 w 12192000"/>
              <a:gd name="csY9776" fmla="*/ 3446794 h 6858000"/>
              <a:gd name="csX9777" fmla="*/ 5699822 w 12192000"/>
              <a:gd name="csY9777" fmla="*/ 3481614 h 6858000"/>
              <a:gd name="csX9778" fmla="*/ 5734163 w 12192000"/>
              <a:gd name="csY9778" fmla="*/ 3446794 h 6858000"/>
              <a:gd name="csX9779" fmla="*/ 5699822 w 12192000"/>
              <a:gd name="csY9779" fmla="*/ 3411973 h 6858000"/>
              <a:gd name="csX9780" fmla="*/ 5783565 w 12192000"/>
              <a:gd name="csY9780" fmla="*/ 3411973 h 6858000"/>
              <a:gd name="csX9781" fmla="*/ 5749211 w 12192000"/>
              <a:gd name="csY9781" fmla="*/ 3446794 h 6858000"/>
              <a:gd name="csX9782" fmla="*/ 5783565 w 12192000"/>
              <a:gd name="csY9782" fmla="*/ 3481614 h 6858000"/>
              <a:gd name="csX9783" fmla="*/ 5817905 w 12192000"/>
              <a:gd name="csY9783" fmla="*/ 3446794 h 6858000"/>
              <a:gd name="csX9784" fmla="*/ 5783565 w 12192000"/>
              <a:gd name="csY9784" fmla="*/ 3411973 h 6858000"/>
              <a:gd name="csX9785" fmla="*/ 5867306 w 12192000"/>
              <a:gd name="csY9785" fmla="*/ 3411973 h 6858000"/>
              <a:gd name="csX9786" fmla="*/ 5832953 w 12192000"/>
              <a:gd name="csY9786" fmla="*/ 3446794 h 6858000"/>
              <a:gd name="csX9787" fmla="*/ 5867306 w 12192000"/>
              <a:gd name="csY9787" fmla="*/ 3481614 h 6858000"/>
              <a:gd name="csX9788" fmla="*/ 5901646 w 12192000"/>
              <a:gd name="csY9788" fmla="*/ 3446794 h 6858000"/>
              <a:gd name="csX9789" fmla="*/ 5867306 w 12192000"/>
              <a:gd name="csY9789" fmla="*/ 3411973 h 6858000"/>
              <a:gd name="csX9790" fmla="*/ 5951047 w 12192000"/>
              <a:gd name="csY9790" fmla="*/ 3411973 h 6858000"/>
              <a:gd name="csX9791" fmla="*/ 5916694 w 12192000"/>
              <a:gd name="csY9791" fmla="*/ 3446794 h 6858000"/>
              <a:gd name="csX9792" fmla="*/ 5951047 w 12192000"/>
              <a:gd name="csY9792" fmla="*/ 3481614 h 6858000"/>
              <a:gd name="csX9793" fmla="*/ 5985387 w 12192000"/>
              <a:gd name="csY9793" fmla="*/ 3446794 h 6858000"/>
              <a:gd name="csX9794" fmla="*/ 5951047 w 12192000"/>
              <a:gd name="csY9794" fmla="*/ 3411973 h 6858000"/>
              <a:gd name="csX9795" fmla="*/ 6034789 w 12192000"/>
              <a:gd name="csY9795" fmla="*/ 3411973 h 6858000"/>
              <a:gd name="csX9796" fmla="*/ 6000436 w 12192000"/>
              <a:gd name="csY9796" fmla="*/ 3446794 h 6858000"/>
              <a:gd name="csX9797" fmla="*/ 6034789 w 12192000"/>
              <a:gd name="csY9797" fmla="*/ 3481614 h 6858000"/>
              <a:gd name="csX9798" fmla="*/ 6069130 w 12192000"/>
              <a:gd name="csY9798" fmla="*/ 3446794 h 6858000"/>
              <a:gd name="csX9799" fmla="*/ 6034789 w 12192000"/>
              <a:gd name="csY9799" fmla="*/ 3411973 h 6858000"/>
              <a:gd name="csX9800" fmla="*/ 6118531 w 12192000"/>
              <a:gd name="csY9800" fmla="*/ 3411973 h 6858000"/>
              <a:gd name="csX9801" fmla="*/ 6084177 w 12192000"/>
              <a:gd name="csY9801" fmla="*/ 3446794 h 6858000"/>
              <a:gd name="csX9802" fmla="*/ 6118531 w 12192000"/>
              <a:gd name="csY9802" fmla="*/ 3481614 h 6858000"/>
              <a:gd name="csX9803" fmla="*/ 6152871 w 12192000"/>
              <a:gd name="csY9803" fmla="*/ 3446794 h 6858000"/>
              <a:gd name="csX9804" fmla="*/ 6118531 w 12192000"/>
              <a:gd name="csY9804" fmla="*/ 3411973 h 6858000"/>
              <a:gd name="csX9805" fmla="*/ 6202273 w 12192000"/>
              <a:gd name="csY9805" fmla="*/ 3411973 h 6858000"/>
              <a:gd name="csX9806" fmla="*/ 6167920 w 12192000"/>
              <a:gd name="csY9806" fmla="*/ 3446794 h 6858000"/>
              <a:gd name="csX9807" fmla="*/ 6202273 w 12192000"/>
              <a:gd name="csY9807" fmla="*/ 3481614 h 6858000"/>
              <a:gd name="csX9808" fmla="*/ 6236613 w 12192000"/>
              <a:gd name="csY9808" fmla="*/ 3446794 h 6858000"/>
              <a:gd name="csX9809" fmla="*/ 6202273 w 12192000"/>
              <a:gd name="csY9809" fmla="*/ 3411973 h 6858000"/>
              <a:gd name="csX9810" fmla="*/ 6286014 w 12192000"/>
              <a:gd name="csY9810" fmla="*/ 3411973 h 6858000"/>
              <a:gd name="csX9811" fmla="*/ 6251661 w 12192000"/>
              <a:gd name="csY9811" fmla="*/ 3446794 h 6858000"/>
              <a:gd name="csX9812" fmla="*/ 6286014 w 12192000"/>
              <a:gd name="csY9812" fmla="*/ 3481614 h 6858000"/>
              <a:gd name="csX9813" fmla="*/ 6320354 w 12192000"/>
              <a:gd name="csY9813" fmla="*/ 3446794 h 6858000"/>
              <a:gd name="csX9814" fmla="*/ 6286014 w 12192000"/>
              <a:gd name="csY9814" fmla="*/ 3411973 h 6858000"/>
              <a:gd name="csX9815" fmla="*/ 6369755 w 12192000"/>
              <a:gd name="csY9815" fmla="*/ 3411973 h 6858000"/>
              <a:gd name="csX9816" fmla="*/ 6335402 w 12192000"/>
              <a:gd name="csY9816" fmla="*/ 3446794 h 6858000"/>
              <a:gd name="csX9817" fmla="*/ 6369755 w 12192000"/>
              <a:gd name="csY9817" fmla="*/ 3481614 h 6858000"/>
              <a:gd name="csX9818" fmla="*/ 6404096 w 12192000"/>
              <a:gd name="csY9818" fmla="*/ 3446794 h 6858000"/>
              <a:gd name="csX9819" fmla="*/ 6369755 w 12192000"/>
              <a:gd name="csY9819" fmla="*/ 3411973 h 6858000"/>
              <a:gd name="csX9820" fmla="*/ 6453498 w 12192000"/>
              <a:gd name="csY9820" fmla="*/ 3411973 h 6858000"/>
              <a:gd name="csX9821" fmla="*/ 6419144 w 12192000"/>
              <a:gd name="csY9821" fmla="*/ 3446794 h 6858000"/>
              <a:gd name="csX9822" fmla="*/ 6453498 w 12192000"/>
              <a:gd name="csY9822" fmla="*/ 3481614 h 6858000"/>
              <a:gd name="csX9823" fmla="*/ 6487838 w 12192000"/>
              <a:gd name="csY9823" fmla="*/ 3446794 h 6858000"/>
              <a:gd name="csX9824" fmla="*/ 6453498 w 12192000"/>
              <a:gd name="csY9824" fmla="*/ 3411973 h 6858000"/>
              <a:gd name="csX9825" fmla="*/ 6537239 w 12192000"/>
              <a:gd name="csY9825" fmla="*/ 3411973 h 6858000"/>
              <a:gd name="csX9826" fmla="*/ 6502886 w 12192000"/>
              <a:gd name="csY9826" fmla="*/ 3446794 h 6858000"/>
              <a:gd name="csX9827" fmla="*/ 6537239 w 12192000"/>
              <a:gd name="csY9827" fmla="*/ 3481614 h 6858000"/>
              <a:gd name="csX9828" fmla="*/ 6571579 w 12192000"/>
              <a:gd name="csY9828" fmla="*/ 3446794 h 6858000"/>
              <a:gd name="csX9829" fmla="*/ 6537239 w 12192000"/>
              <a:gd name="csY9829" fmla="*/ 3411973 h 6858000"/>
              <a:gd name="csX9830" fmla="*/ 6620980 w 12192000"/>
              <a:gd name="csY9830" fmla="*/ 3411973 h 6858000"/>
              <a:gd name="csX9831" fmla="*/ 6586627 w 12192000"/>
              <a:gd name="csY9831" fmla="*/ 3446794 h 6858000"/>
              <a:gd name="csX9832" fmla="*/ 6620980 w 12192000"/>
              <a:gd name="csY9832" fmla="*/ 3481614 h 6858000"/>
              <a:gd name="csX9833" fmla="*/ 6655320 w 12192000"/>
              <a:gd name="csY9833" fmla="*/ 3446794 h 6858000"/>
              <a:gd name="csX9834" fmla="*/ 6620980 w 12192000"/>
              <a:gd name="csY9834" fmla="*/ 3411973 h 6858000"/>
              <a:gd name="csX9835" fmla="*/ 6704722 w 12192000"/>
              <a:gd name="csY9835" fmla="*/ 3411973 h 6858000"/>
              <a:gd name="csX9836" fmla="*/ 6670369 w 12192000"/>
              <a:gd name="csY9836" fmla="*/ 3446794 h 6858000"/>
              <a:gd name="csX9837" fmla="*/ 6704722 w 12192000"/>
              <a:gd name="csY9837" fmla="*/ 3481614 h 6858000"/>
              <a:gd name="csX9838" fmla="*/ 6739063 w 12192000"/>
              <a:gd name="csY9838" fmla="*/ 3446794 h 6858000"/>
              <a:gd name="csX9839" fmla="*/ 6704722 w 12192000"/>
              <a:gd name="csY9839" fmla="*/ 3411973 h 6858000"/>
              <a:gd name="csX9840" fmla="*/ 6788464 w 12192000"/>
              <a:gd name="csY9840" fmla="*/ 3411973 h 6858000"/>
              <a:gd name="csX9841" fmla="*/ 6754110 w 12192000"/>
              <a:gd name="csY9841" fmla="*/ 3446794 h 6858000"/>
              <a:gd name="csX9842" fmla="*/ 6788464 w 12192000"/>
              <a:gd name="csY9842" fmla="*/ 3481614 h 6858000"/>
              <a:gd name="csX9843" fmla="*/ 6822804 w 12192000"/>
              <a:gd name="csY9843" fmla="*/ 3446794 h 6858000"/>
              <a:gd name="csX9844" fmla="*/ 6788464 w 12192000"/>
              <a:gd name="csY9844" fmla="*/ 3411973 h 6858000"/>
              <a:gd name="csX9845" fmla="*/ 6872206 w 12192000"/>
              <a:gd name="csY9845" fmla="*/ 3411973 h 6858000"/>
              <a:gd name="csX9846" fmla="*/ 6837853 w 12192000"/>
              <a:gd name="csY9846" fmla="*/ 3446794 h 6858000"/>
              <a:gd name="csX9847" fmla="*/ 6872206 w 12192000"/>
              <a:gd name="csY9847" fmla="*/ 3481614 h 6858000"/>
              <a:gd name="csX9848" fmla="*/ 6906546 w 12192000"/>
              <a:gd name="csY9848" fmla="*/ 3446794 h 6858000"/>
              <a:gd name="csX9849" fmla="*/ 6872206 w 12192000"/>
              <a:gd name="csY9849" fmla="*/ 3411973 h 6858000"/>
              <a:gd name="csX9850" fmla="*/ 7039688 w 12192000"/>
              <a:gd name="csY9850" fmla="*/ 3411973 h 6858000"/>
              <a:gd name="csX9851" fmla="*/ 7005335 w 12192000"/>
              <a:gd name="csY9851" fmla="*/ 3446794 h 6858000"/>
              <a:gd name="csX9852" fmla="*/ 7039688 w 12192000"/>
              <a:gd name="csY9852" fmla="*/ 3481614 h 6858000"/>
              <a:gd name="csX9853" fmla="*/ 7074029 w 12192000"/>
              <a:gd name="csY9853" fmla="*/ 3446794 h 6858000"/>
              <a:gd name="csX9854" fmla="*/ 7039688 w 12192000"/>
              <a:gd name="csY9854" fmla="*/ 3411973 h 6858000"/>
              <a:gd name="csX9855" fmla="*/ 7123456 w 12192000"/>
              <a:gd name="csY9855" fmla="*/ 3411973 h 6858000"/>
              <a:gd name="csX9856" fmla="*/ 7089103 w 12192000"/>
              <a:gd name="csY9856" fmla="*/ 3446794 h 6858000"/>
              <a:gd name="csX9857" fmla="*/ 7123456 w 12192000"/>
              <a:gd name="csY9857" fmla="*/ 3481614 h 6858000"/>
              <a:gd name="csX9858" fmla="*/ 7157796 w 12192000"/>
              <a:gd name="csY9858" fmla="*/ 3446794 h 6858000"/>
              <a:gd name="csX9859" fmla="*/ 7123456 w 12192000"/>
              <a:gd name="csY9859" fmla="*/ 3411973 h 6858000"/>
              <a:gd name="csX9860" fmla="*/ 7207198 w 12192000"/>
              <a:gd name="csY9860" fmla="*/ 3411973 h 6858000"/>
              <a:gd name="csX9861" fmla="*/ 7172845 w 12192000"/>
              <a:gd name="csY9861" fmla="*/ 3446794 h 6858000"/>
              <a:gd name="csX9862" fmla="*/ 7207198 w 12192000"/>
              <a:gd name="csY9862" fmla="*/ 3481614 h 6858000"/>
              <a:gd name="csX9863" fmla="*/ 7241538 w 12192000"/>
              <a:gd name="csY9863" fmla="*/ 3446794 h 6858000"/>
              <a:gd name="csX9864" fmla="*/ 7207198 w 12192000"/>
              <a:gd name="csY9864" fmla="*/ 3411973 h 6858000"/>
              <a:gd name="csX9865" fmla="*/ 7290939 w 12192000"/>
              <a:gd name="csY9865" fmla="*/ 3411973 h 6858000"/>
              <a:gd name="csX9866" fmla="*/ 7256586 w 12192000"/>
              <a:gd name="csY9866" fmla="*/ 3446794 h 6858000"/>
              <a:gd name="csX9867" fmla="*/ 7290939 w 12192000"/>
              <a:gd name="csY9867" fmla="*/ 3481614 h 6858000"/>
              <a:gd name="csX9868" fmla="*/ 7325279 w 12192000"/>
              <a:gd name="csY9868" fmla="*/ 3446794 h 6858000"/>
              <a:gd name="csX9869" fmla="*/ 7290939 w 12192000"/>
              <a:gd name="csY9869" fmla="*/ 3411973 h 6858000"/>
              <a:gd name="csX9870" fmla="*/ 7709647 w 12192000"/>
              <a:gd name="csY9870" fmla="*/ 3411973 h 6858000"/>
              <a:gd name="csX9871" fmla="*/ 7675294 w 12192000"/>
              <a:gd name="csY9871" fmla="*/ 3446794 h 6858000"/>
              <a:gd name="csX9872" fmla="*/ 7709647 w 12192000"/>
              <a:gd name="csY9872" fmla="*/ 3481614 h 6858000"/>
              <a:gd name="csX9873" fmla="*/ 7743988 w 12192000"/>
              <a:gd name="csY9873" fmla="*/ 3446794 h 6858000"/>
              <a:gd name="csX9874" fmla="*/ 7709647 w 12192000"/>
              <a:gd name="csY9874" fmla="*/ 3411973 h 6858000"/>
              <a:gd name="csX9875" fmla="*/ 7793389 w 12192000"/>
              <a:gd name="csY9875" fmla="*/ 3411973 h 6858000"/>
              <a:gd name="csX9876" fmla="*/ 7759036 w 12192000"/>
              <a:gd name="csY9876" fmla="*/ 3446794 h 6858000"/>
              <a:gd name="csX9877" fmla="*/ 7793389 w 12192000"/>
              <a:gd name="csY9877" fmla="*/ 3481614 h 6858000"/>
              <a:gd name="csX9878" fmla="*/ 7827729 w 12192000"/>
              <a:gd name="csY9878" fmla="*/ 3446794 h 6858000"/>
              <a:gd name="csX9879" fmla="*/ 7793389 w 12192000"/>
              <a:gd name="csY9879" fmla="*/ 3411973 h 6858000"/>
              <a:gd name="csX9880" fmla="*/ 7877131 w 12192000"/>
              <a:gd name="csY9880" fmla="*/ 3411973 h 6858000"/>
              <a:gd name="csX9881" fmla="*/ 7842778 w 12192000"/>
              <a:gd name="csY9881" fmla="*/ 3446794 h 6858000"/>
              <a:gd name="csX9882" fmla="*/ 7877131 w 12192000"/>
              <a:gd name="csY9882" fmla="*/ 3481614 h 6858000"/>
              <a:gd name="csX9883" fmla="*/ 7911471 w 12192000"/>
              <a:gd name="csY9883" fmla="*/ 3446794 h 6858000"/>
              <a:gd name="csX9884" fmla="*/ 7877131 w 12192000"/>
              <a:gd name="csY9884" fmla="*/ 3411973 h 6858000"/>
              <a:gd name="csX9885" fmla="*/ 7960872 w 12192000"/>
              <a:gd name="csY9885" fmla="*/ 3411973 h 6858000"/>
              <a:gd name="csX9886" fmla="*/ 7926519 w 12192000"/>
              <a:gd name="csY9886" fmla="*/ 3446794 h 6858000"/>
              <a:gd name="csX9887" fmla="*/ 7960872 w 12192000"/>
              <a:gd name="csY9887" fmla="*/ 3481614 h 6858000"/>
              <a:gd name="csX9888" fmla="*/ 7995212 w 12192000"/>
              <a:gd name="csY9888" fmla="*/ 3446794 h 6858000"/>
              <a:gd name="csX9889" fmla="*/ 7960872 w 12192000"/>
              <a:gd name="csY9889" fmla="*/ 3411973 h 6858000"/>
              <a:gd name="csX9890" fmla="*/ 8044614 w 12192000"/>
              <a:gd name="csY9890" fmla="*/ 3411973 h 6858000"/>
              <a:gd name="csX9891" fmla="*/ 8010261 w 12192000"/>
              <a:gd name="csY9891" fmla="*/ 3446794 h 6858000"/>
              <a:gd name="csX9892" fmla="*/ 8044614 w 12192000"/>
              <a:gd name="csY9892" fmla="*/ 3481614 h 6858000"/>
              <a:gd name="csX9893" fmla="*/ 8078955 w 12192000"/>
              <a:gd name="csY9893" fmla="*/ 3446794 h 6858000"/>
              <a:gd name="csX9894" fmla="*/ 8044614 w 12192000"/>
              <a:gd name="csY9894" fmla="*/ 3411973 h 6858000"/>
              <a:gd name="csX9895" fmla="*/ 8128356 w 12192000"/>
              <a:gd name="csY9895" fmla="*/ 3411973 h 6858000"/>
              <a:gd name="csX9896" fmla="*/ 8094003 w 12192000"/>
              <a:gd name="csY9896" fmla="*/ 3446794 h 6858000"/>
              <a:gd name="csX9897" fmla="*/ 8128356 w 12192000"/>
              <a:gd name="csY9897" fmla="*/ 3481614 h 6858000"/>
              <a:gd name="csX9898" fmla="*/ 8162696 w 12192000"/>
              <a:gd name="csY9898" fmla="*/ 3446794 h 6858000"/>
              <a:gd name="csX9899" fmla="*/ 8128356 w 12192000"/>
              <a:gd name="csY9899" fmla="*/ 3411973 h 6858000"/>
              <a:gd name="csX9900" fmla="*/ 8212097 w 12192000"/>
              <a:gd name="csY9900" fmla="*/ 3411973 h 6858000"/>
              <a:gd name="csX9901" fmla="*/ 8177744 w 12192000"/>
              <a:gd name="csY9901" fmla="*/ 3446794 h 6858000"/>
              <a:gd name="csX9902" fmla="*/ 8212097 w 12192000"/>
              <a:gd name="csY9902" fmla="*/ 3481614 h 6858000"/>
              <a:gd name="csX9903" fmla="*/ 8246437 w 12192000"/>
              <a:gd name="csY9903" fmla="*/ 3446794 h 6858000"/>
              <a:gd name="csX9904" fmla="*/ 8212097 w 12192000"/>
              <a:gd name="csY9904" fmla="*/ 3411973 h 6858000"/>
              <a:gd name="csX9905" fmla="*/ 8295839 w 12192000"/>
              <a:gd name="csY9905" fmla="*/ 3411973 h 6858000"/>
              <a:gd name="csX9906" fmla="*/ 8261486 w 12192000"/>
              <a:gd name="csY9906" fmla="*/ 3446794 h 6858000"/>
              <a:gd name="csX9907" fmla="*/ 8295839 w 12192000"/>
              <a:gd name="csY9907" fmla="*/ 3481614 h 6858000"/>
              <a:gd name="csX9908" fmla="*/ 8330179 w 12192000"/>
              <a:gd name="csY9908" fmla="*/ 3446794 h 6858000"/>
              <a:gd name="csX9909" fmla="*/ 8295839 w 12192000"/>
              <a:gd name="csY9909" fmla="*/ 3411973 h 6858000"/>
              <a:gd name="csX9910" fmla="*/ 8379580 w 12192000"/>
              <a:gd name="csY9910" fmla="*/ 3411973 h 6858000"/>
              <a:gd name="csX9911" fmla="*/ 8345227 w 12192000"/>
              <a:gd name="csY9911" fmla="*/ 3446794 h 6858000"/>
              <a:gd name="csX9912" fmla="*/ 8379580 w 12192000"/>
              <a:gd name="csY9912" fmla="*/ 3481614 h 6858000"/>
              <a:gd name="csX9913" fmla="*/ 8413921 w 12192000"/>
              <a:gd name="csY9913" fmla="*/ 3446794 h 6858000"/>
              <a:gd name="csX9914" fmla="*/ 8379580 w 12192000"/>
              <a:gd name="csY9914" fmla="*/ 3411973 h 6858000"/>
              <a:gd name="csX9915" fmla="*/ 8463323 w 12192000"/>
              <a:gd name="csY9915" fmla="*/ 3411973 h 6858000"/>
              <a:gd name="csX9916" fmla="*/ 8428970 w 12192000"/>
              <a:gd name="csY9916" fmla="*/ 3446794 h 6858000"/>
              <a:gd name="csX9917" fmla="*/ 8463323 w 12192000"/>
              <a:gd name="csY9917" fmla="*/ 3481614 h 6858000"/>
              <a:gd name="csX9918" fmla="*/ 8497663 w 12192000"/>
              <a:gd name="csY9918" fmla="*/ 3446794 h 6858000"/>
              <a:gd name="csX9919" fmla="*/ 8463323 w 12192000"/>
              <a:gd name="csY9919" fmla="*/ 3411973 h 6858000"/>
              <a:gd name="csX9920" fmla="*/ 8547064 w 12192000"/>
              <a:gd name="csY9920" fmla="*/ 3411973 h 6858000"/>
              <a:gd name="csX9921" fmla="*/ 8512711 w 12192000"/>
              <a:gd name="csY9921" fmla="*/ 3446794 h 6858000"/>
              <a:gd name="csX9922" fmla="*/ 8547064 w 12192000"/>
              <a:gd name="csY9922" fmla="*/ 3481614 h 6858000"/>
              <a:gd name="csX9923" fmla="*/ 8581404 w 12192000"/>
              <a:gd name="csY9923" fmla="*/ 3446794 h 6858000"/>
              <a:gd name="csX9924" fmla="*/ 8547064 w 12192000"/>
              <a:gd name="csY9924" fmla="*/ 3411973 h 6858000"/>
              <a:gd name="csX9925" fmla="*/ 8630805 w 12192000"/>
              <a:gd name="csY9925" fmla="*/ 3411973 h 6858000"/>
              <a:gd name="csX9926" fmla="*/ 8596452 w 12192000"/>
              <a:gd name="csY9926" fmla="*/ 3446794 h 6858000"/>
              <a:gd name="csX9927" fmla="*/ 8630805 w 12192000"/>
              <a:gd name="csY9927" fmla="*/ 3481614 h 6858000"/>
              <a:gd name="csX9928" fmla="*/ 8665145 w 12192000"/>
              <a:gd name="csY9928" fmla="*/ 3446794 h 6858000"/>
              <a:gd name="csX9929" fmla="*/ 8630805 w 12192000"/>
              <a:gd name="csY9929" fmla="*/ 3411973 h 6858000"/>
              <a:gd name="csX9930" fmla="*/ 8714547 w 12192000"/>
              <a:gd name="csY9930" fmla="*/ 3411973 h 6858000"/>
              <a:gd name="csX9931" fmla="*/ 8680194 w 12192000"/>
              <a:gd name="csY9931" fmla="*/ 3446794 h 6858000"/>
              <a:gd name="csX9932" fmla="*/ 8714547 w 12192000"/>
              <a:gd name="csY9932" fmla="*/ 3481614 h 6858000"/>
              <a:gd name="csX9933" fmla="*/ 8748888 w 12192000"/>
              <a:gd name="csY9933" fmla="*/ 3446794 h 6858000"/>
              <a:gd name="csX9934" fmla="*/ 8714547 w 12192000"/>
              <a:gd name="csY9934" fmla="*/ 3411973 h 6858000"/>
              <a:gd name="csX9935" fmla="*/ 8798289 w 12192000"/>
              <a:gd name="csY9935" fmla="*/ 3411973 h 6858000"/>
              <a:gd name="csX9936" fmla="*/ 8763936 w 12192000"/>
              <a:gd name="csY9936" fmla="*/ 3446794 h 6858000"/>
              <a:gd name="csX9937" fmla="*/ 8798289 w 12192000"/>
              <a:gd name="csY9937" fmla="*/ 3481614 h 6858000"/>
              <a:gd name="csX9938" fmla="*/ 8832629 w 12192000"/>
              <a:gd name="csY9938" fmla="*/ 3446794 h 6858000"/>
              <a:gd name="csX9939" fmla="*/ 8798289 w 12192000"/>
              <a:gd name="csY9939" fmla="*/ 3411973 h 6858000"/>
              <a:gd name="csX9940" fmla="*/ 8882030 w 12192000"/>
              <a:gd name="csY9940" fmla="*/ 3411973 h 6858000"/>
              <a:gd name="csX9941" fmla="*/ 8847677 w 12192000"/>
              <a:gd name="csY9941" fmla="*/ 3446794 h 6858000"/>
              <a:gd name="csX9942" fmla="*/ 8882030 w 12192000"/>
              <a:gd name="csY9942" fmla="*/ 3481614 h 6858000"/>
              <a:gd name="csX9943" fmla="*/ 8916370 w 12192000"/>
              <a:gd name="csY9943" fmla="*/ 3446794 h 6858000"/>
              <a:gd name="csX9944" fmla="*/ 8882030 w 12192000"/>
              <a:gd name="csY9944" fmla="*/ 3411973 h 6858000"/>
              <a:gd name="csX9945" fmla="*/ 8965772 w 12192000"/>
              <a:gd name="csY9945" fmla="*/ 3411973 h 6858000"/>
              <a:gd name="csX9946" fmla="*/ 8931419 w 12192000"/>
              <a:gd name="csY9946" fmla="*/ 3446794 h 6858000"/>
              <a:gd name="csX9947" fmla="*/ 8965772 w 12192000"/>
              <a:gd name="csY9947" fmla="*/ 3481614 h 6858000"/>
              <a:gd name="csX9948" fmla="*/ 9000112 w 12192000"/>
              <a:gd name="csY9948" fmla="*/ 3446794 h 6858000"/>
              <a:gd name="csX9949" fmla="*/ 8965772 w 12192000"/>
              <a:gd name="csY9949" fmla="*/ 3411973 h 6858000"/>
              <a:gd name="csX9950" fmla="*/ 9049513 w 12192000"/>
              <a:gd name="csY9950" fmla="*/ 3411973 h 6858000"/>
              <a:gd name="csX9951" fmla="*/ 9015160 w 12192000"/>
              <a:gd name="csY9951" fmla="*/ 3446794 h 6858000"/>
              <a:gd name="csX9952" fmla="*/ 9049513 w 12192000"/>
              <a:gd name="csY9952" fmla="*/ 3481614 h 6858000"/>
              <a:gd name="csX9953" fmla="*/ 9083854 w 12192000"/>
              <a:gd name="csY9953" fmla="*/ 3446794 h 6858000"/>
              <a:gd name="csX9954" fmla="*/ 9049513 w 12192000"/>
              <a:gd name="csY9954" fmla="*/ 3411973 h 6858000"/>
              <a:gd name="csX9955" fmla="*/ 9133256 w 12192000"/>
              <a:gd name="csY9955" fmla="*/ 3411973 h 6858000"/>
              <a:gd name="csX9956" fmla="*/ 9098903 w 12192000"/>
              <a:gd name="csY9956" fmla="*/ 3446794 h 6858000"/>
              <a:gd name="csX9957" fmla="*/ 9133256 w 12192000"/>
              <a:gd name="csY9957" fmla="*/ 3481614 h 6858000"/>
              <a:gd name="csX9958" fmla="*/ 9167596 w 12192000"/>
              <a:gd name="csY9958" fmla="*/ 3446794 h 6858000"/>
              <a:gd name="csX9959" fmla="*/ 9133256 w 12192000"/>
              <a:gd name="csY9959" fmla="*/ 3411973 h 6858000"/>
              <a:gd name="csX9960" fmla="*/ 9216997 w 12192000"/>
              <a:gd name="csY9960" fmla="*/ 3411973 h 6858000"/>
              <a:gd name="csX9961" fmla="*/ 9182644 w 12192000"/>
              <a:gd name="csY9961" fmla="*/ 3446794 h 6858000"/>
              <a:gd name="csX9962" fmla="*/ 9216997 w 12192000"/>
              <a:gd name="csY9962" fmla="*/ 3481614 h 6858000"/>
              <a:gd name="csX9963" fmla="*/ 9251337 w 12192000"/>
              <a:gd name="csY9963" fmla="*/ 3446794 h 6858000"/>
              <a:gd name="csX9964" fmla="*/ 9216997 w 12192000"/>
              <a:gd name="csY9964" fmla="*/ 3411973 h 6858000"/>
              <a:gd name="csX9965" fmla="*/ 9300738 w 12192000"/>
              <a:gd name="csY9965" fmla="*/ 3411973 h 6858000"/>
              <a:gd name="csX9966" fmla="*/ 9266385 w 12192000"/>
              <a:gd name="csY9966" fmla="*/ 3446794 h 6858000"/>
              <a:gd name="csX9967" fmla="*/ 9300738 w 12192000"/>
              <a:gd name="csY9967" fmla="*/ 3481614 h 6858000"/>
              <a:gd name="csX9968" fmla="*/ 9335078 w 12192000"/>
              <a:gd name="csY9968" fmla="*/ 3446794 h 6858000"/>
              <a:gd name="csX9969" fmla="*/ 9300738 w 12192000"/>
              <a:gd name="csY9969" fmla="*/ 3411973 h 6858000"/>
              <a:gd name="csX9970" fmla="*/ 9384480 w 12192000"/>
              <a:gd name="csY9970" fmla="*/ 3411973 h 6858000"/>
              <a:gd name="csX9971" fmla="*/ 9350127 w 12192000"/>
              <a:gd name="csY9971" fmla="*/ 3446794 h 6858000"/>
              <a:gd name="csX9972" fmla="*/ 9384480 w 12192000"/>
              <a:gd name="csY9972" fmla="*/ 3481614 h 6858000"/>
              <a:gd name="csX9973" fmla="*/ 9418821 w 12192000"/>
              <a:gd name="csY9973" fmla="*/ 3446794 h 6858000"/>
              <a:gd name="csX9974" fmla="*/ 9384480 w 12192000"/>
              <a:gd name="csY9974" fmla="*/ 3411973 h 6858000"/>
              <a:gd name="csX9975" fmla="*/ 9468222 w 12192000"/>
              <a:gd name="csY9975" fmla="*/ 3411973 h 6858000"/>
              <a:gd name="csX9976" fmla="*/ 9433869 w 12192000"/>
              <a:gd name="csY9976" fmla="*/ 3446794 h 6858000"/>
              <a:gd name="csX9977" fmla="*/ 9468222 w 12192000"/>
              <a:gd name="csY9977" fmla="*/ 3481614 h 6858000"/>
              <a:gd name="csX9978" fmla="*/ 9502562 w 12192000"/>
              <a:gd name="csY9978" fmla="*/ 3446794 h 6858000"/>
              <a:gd name="csX9979" fmla="*/ 9468222 w 12192000"/>
              <a:gd name="csY9979" fmla="*/ 3411973 h 6858000"/>
              <a:gd name="csX9980" fmla="*/ 1010288 w 12192000"/>
              <a:gd name="csY9980" fmla="*/ 3496838 h 6858000"/>
              <a:gd name="csX9981" fmla="*/ 975941 w 12192000"/>
              <a:gd name="csY9981" fmla="*/ 3531658 h 6858000"/>
              <a:gd name="csX9982" fmla="*/ 1010288 w 12192000"/>
              <a:gd name="csY9982" fmla="*/ 3566479 h 6858000"/>
              <a:gd name="csX9983" fmla="*/ 1044635 w 12192000"/>
              <a:gd name="csY9983" fmla="*/ 3531658 h 6858000"/>
              <a:gd name="csX9984" fmla="*/ 1010288 w 12192000"/>
              <a:gd name="csY9984" fmla="*/ 3496838 h 6858000"/>
              <a:gd name="csX9985" fmla="*/ 2517634 w 12192000"/>
              <a:gd name="csY9985" fmla="*/ 3496838 h 6858000"/>
              <a:gd name="csX9986" fmla="*/ 2483288 w 12192000"/>
              <a:gd name="csY9986" fmla="*/ 3531658 h 6858000"/>
              <a:gd name="csX9987" fmla="*/ 2517634 w 12192000"/>
              <a:gd name="csY9987" fmla="*/ 3566479 h 6858000"/>
              <a:gd name="csX9988" fmla="*/ 2551981 w 12192000"/>
              <a:gd name="csY9988" fmla="*/ 3531658 h 6858000"/>
              <a:gd name="csX9989" fmla="*/ 2517634 w 12192000"/>
              <a:gd name="csY9989" fmla="*/ 3496838 h 6858000"/>
              <a:gd name="csX9990" fmla="*/ 2685118 w 12192000"/>
              <a:gd name="csY9990" fmla="*/ 3496838 h 6858000"/>
              <a:gd name="csX9991" fmla="*/ 2650771 w 12192000"/>
              <a:gd name="csY9991" fmla="*/ 3531658 h 6858000"/>
              <a:gd name="csX9992" fmla="*/ 2685118 w 12192000"/>
              <a:gd name="csY9992" fmla="*/ 3566479 h 6858000"/>
              <a:gd name="csX9993" fmla="*/ 2719465 w 12192000"/>
              <a:gd name="csY9993" fmla="*/ 3531658 h 6858000"/>
              <a:gd name="csX9994" fmla="*/ 2685118 w 12192000"/>
              <a:gd name="csY9994" fmla="*/ 3496838 h 6858000"/>
              <a:gd name="csX9995" fmla="*/ 2768859 w 12192000"/>
              <a:gd name="csY9995" fmla="*/ 3496838 h 6858000"/>
              <a:gd name="csX9996" fmla="*/ 2734512 w 12192000"/>
              <a:gd name="csY9996" fmla="*/ 3531658 h 6858000"/>
              <a:gd name="csX9997" fmla="*/ 2768859 w 12192000"/>
              <a:gd name="csY9997" fmla="*/ 3566479 h 6858000"/>
              <a:gd name="csX9998" fmla="*/ 2803206 w 12192000"/>
              <a:gd name="csY9998" fmla="*/ 3531658 h 6858000"/>
              <a:gd name="csX9999" fmla="*/ 2768859 w 12192000"/>
              <a:gd name="csY9999" fmla="*/ 3496838 h 6858000"/>
              <a:gd name="csX10000" fmla="*/ 2852600 w 12192000"/>
              <a:gd name="csY10000" fmla="*/ 3496838 h 6858000"/>
              <a:gd name="csX10001" fmla="*/ 2818254 w 12192000"/>
              <a:gd name="csY10001" fmla="*/ 3531658 h 6858000"/>
              <a:gd name="csX10002" fmla="*/ 2852600 w 12192000"/>
              <a:gd name="csY10002" fmla="*/ 3566479 h 6858000"/>
              <a:gd name="csX10003" fmla="*/ 2886947 w 12192000"/>
              <a:gd name="csY10003" fmla="*/ 3531658 h 6858000"/>
              <a:gd name="csX10004" fmla="*/ 2852600 w 12192000"/>
              <a:gd name="csY10004" fmla="*/ 3496838 h 6858000"/>
              <a:gd name="csX10005" fmla="*/ 3606276 w 12192000"/>
              <a:gd name="csY10005" fmla="*/ 3496838 h 6858000"/>
              <a:gd name="csX10006" fmla="*/ 3571929 w 12192000"/>
              <a:gd name="csY10006" fmla="*/ 3531658 h 6858000"/>
              <a:gd name="csX10007" fmla="*/ 3606276 w 12192000"/>
              <a:gd name="csY10007" fmla="*/ 3566479 h 6858000"/>
              <a:gd name="csX10008" fmla="*/ 3640622 w 12192000"/>
              <a:gd name="csY10008" fmla="*/ 3531658 h 6858000"/>
              <a:gd name="csX10009" fmla="*/ 3606276 w 12192000"/>
              <a:gd name="csY10009" fmla="*/ 3496838 h 6858000"/>
              <a:gd name="csX10010" fmla="*/ 5448598 w 12192000"/>
              <a:gd name="csY10010" fmla="*/ 3496838 h 6858000"/>
              <a:gd name="csX10011" fmla="*/ 5414244 w 12192000"/>
              <a:gd name="csY10011" fmla="*/ 3531658 h 6858000"/>
              <a:gd name="csX10012" fmla="*/ 5448598 w 12192000"/>
              <a:gd name="csY10012" fmla="*/ 3566479 h 6858000"/>
              <a:gd name="csX10013" fmla="*/ 5482938 w 12192000"/>
              <a:gd name="csY10013" fmla="*/ 3531658 h 6858000"/>
              <a:gd name="csX10014" fmla="*/ 5448598 w 12192000"/>
              <a:gd name="csY10014" fmla="*/ 3496838 h 6858000"/>
              <a:gd name="csX10015" fmla="*/ 5532340 w 12192000"/>
              <a:gd name="csY10015" fmla="*/ 3496838 h 6858000"/>
              <a:gd name="csX10016" fmla="*/ 5497987 w 12192000"/>
              <a:gd name="csY10016" fmla="*/ 3531658 h 6858000"/>
              <a:gd name="csX10017" fmla="*/ 5532340 w 12192000"/>
              <a:gd name="csY10017" fmla="*/ 3566479 h 6858000"/>
              <a:gd name="csX10018" fmla="*/ 5566680 w 12192000"/>
              <a:gd name="csY10018" fmla="*/ 3531658 h 6858000"/>
              <a:gd name="csX10019" fmla="*/ 5532340 w 12192000"/>
              <a:gd name="csY10019" fmla="*/ 3496838 h 6858000"/>
              <a:gd name="csX10020" fmla="*/ 5616081 w 12192000"/>
              <a:gd name="csY10020" fmla="*/ 3496838 h 6858000"/>
              <a:gd name="csX10021" fmla="*/ 5581728 w 12192000"/>
              <a:gd name="csY10021" fmla="*/ 3531658 h 6858000"/>
              <a:gd name="csX10022" fmla="*/ 5616081 w 12192000"/>
              <a:gd name="csY10022" fmla="*/ 3566479 h 6858000"/>
              <a:gd name="csX10023" fmla="*/ 5650421 w 12192000"/>
              <a:gd name="csY10023" fmla="*/ 3531658 h 6858000"/>
              <a:gd name="csX10024" fmla="*/ 5616081 w 12192000"/>
              <a:gd name="csY10024" fmla="*/ 3496838 h 6858000"/>
              <a:gd name="csX10025" fmla="*/ 5699822 w 12192000"/>
              <a:gd name="csY10025" fmla="*/ 3496838 h 6858000"/>
              <a:gd name="csX10026" fmla="*/ 5665469 w 12192000"/>
              <a:gd name="csY10026" fmla="*/ 3531658 h 6858000"/>
              <a:gd name="csX10027" fmla="*/ 5699822 w 12192000"/>
              <a:gd name="csY10027" fmla="*/ 3566479 h 6858000"/>
              <a:gd name="csX10028" fmla="*/ 5734163 w 12192000"/>
              <a:gd name="csY10028" fmla="*/ 3531658 h 6858000"/>
              <a:gd name="csX10029" fmla="*/ 5699822 w 12192000"/>
              <a:gd name="csY10029" fmla="*/ 3496838 h 6858000"/>
              <a:gd name="csX10030" fmla="*/ 5783565 w 12192000"/>
              <a:gd name="csY10030" fmla="*/ 3496838 h 6858000"/>
              <a:gd name="csX10031" fmla="*/ 5749211 w 12192000"/>
              <a:gd name="csY10031" fmla="*/ 3531658 h 6858000"/>
              <a:gd name="csX10032" fmla="*/ 5783565 w 12192000"/>
              <a:gd name="csY10032" fmla="*/ 3566479 h 6858000"/>
              <a:gd name="csX10033" fmla="*/ 5817905 w 12192000"/>
              <a:gd name="csY10033" fmla="*/ 3531658 h 6858000"/>
              <a:gd name="csX10034" fmla="*/ 5783565 w 12192000"/>
              <a:gd name="csY10034" fmla="*/ 3496838 h 6858000"/>
              <a:gd name="csX10035" fmla="*/ 5867306 w 12192000"/>
              <a:gd name="csY10035" fmla="*/ 3496838 h 6858000"/>
              <a:gd name="csX10036" fmla="*/ 5832953 w 12192000"/>
              <a:gd name="csY10036" fmla="*/ 3531658 h 6858000"/>
              <a:gd name="csX10037" fmla="*/ 5867306 w 12192000"/>
              <a:gd name="csY10037" fmla="*/ 3566479 h 6858000"/>
              <a:gd name="csX10038" fmla="*/ 5901646 w 12192000"/>
              <a:gd name="csY10038" fmla="*/ 3531658 h 6858000"/>
              <a:gd name="csX10039" fmla="*/ 5867306 w 12192000"/>
              <a:gd name="csY10039" fmla="*/ 3496838 h 6858000"/>
              <a:gd name="csX10040" fmla="*/ 5951047 w 12192000"/>
              <a:gd name="csY10040" fmla="*/ 3496838 h 6858000"/>
              <a:gd name="csX10041" fmla="*/ 5916694 w 12192000"/>
              <a:gd name="csY10041" fmla="*/ 3531658 h 6858000"/>
              <a:gd name="csX10042" fmla="*/ 5951047 w 12192000"/>
              <a:gd name="csY10042" fmla="*/ 3566479 h 6858000"/>
              <a:gd name="csX10043" fmla="*/ 5985387 w 12192000"/>
              <a:gd name="csY10043" fmla="*/ 3531658 h 6858000"/>
              <a:gd name="csX10044" fmla="*/ 5951047 w 12192000"/>
              <a:gd name="csY10044" fmla="*/ 3496838 h 6858000"/>
              <a:gd name="csX10045" fmla="*/ 6034789 w 12192000"/>
              <a:gd name="csY10045" fmla="*/ 3496838 h 6858000"/>
              <a:gd name="csX10046" fmla="*/ 6000436 w 12192000"/>
              <a:gd name="csY10046" fmla="*/ 3531658 h 6858000"/>
              <a:gd name="csX10047" fmla="*/ 6034789 w 12192000"/>
              <a:gd name="csY10047" fmla="*/ 3566479 h 6858000"/>
              <a:gd name="csX10048" fmla="*/ 6069130 w 12192000"/>
              <a:gd name="csY10048" fmla="*/ 3531658 h 6858000"/>
              <a:gd name="csX10049" fmla="*/ 6034789 w 12192000"/>
              <a:gd name="csY10049" fmla="*/ 3496838 h 6858000"/>
              <a:gd name="csX10050" fmla="*/ 6118531 w 12192000"/>
              <a:gd name="csY10050" fmla="*/ 3496838 h 6858000"/>
              <a:gd name="csX10051" fmla="*/ 6084177 w 12192000"/>
              <a:gd name="csY10051" fmla="*/ 3531658 h 6858000"/>
              <a:gd name="csX10052" fmla="*/ 6118531 w 12192000"/>
              <a:gd name="csY10052" fmla="*/ 3566479 h 6858000"/>
              <a:gd name="csX10053" fmla="*/ 6152871 w 12192000"/>
              <a:gd name="csY10053" fmla="*/ 3531658 h 6858000"/>
              <a:gd name="csX10054" fmla="*/ 6118531 w 12192000"/>
              <a:gd name="csY10054" fmla="*/ 3496838 h 6858000"/>
              <a:gd name="csX10055" fmla="*/ 6202273 w 12192000"/>
              <a:gd name="csY10055" fmla="*/ 3496838 h 6858000"/>
              <a:gd name="csX10056" fmla="*/ 6167920 w 12192000"/>
              <a:gd name="csY10056" fmla="*/ 3531658 h 6858000"/>
              <a:gd name="csX10057" fmla="*/ 6202273 w 12192000"/>
              <a:gd name="csY10057" fmla="*/ 3566479 h 6858000"/>
              <a:gd name="csX10058" fmla="*/ 6236613 w 12192000"/>
              <a:gd name="csY10058" fmla="*/ 3531658 h 6858000"/>
              <a:gd name="csX10059" fmla="*/ 6202273 w 12192000"/>
              <a:gd name="csY10059" fmla="*/ 3496838 h 6858000"/>
              <a:gd name="csX10060" fmla="*/ 6286014 w 12192000"/>
              <a:gd name="csY10060" fmla="*/ 3496838 h 6858000"/>
              <a:gd name="csX10061" fmla="*/ 6251661 w 12192000"/>
              <a:gd name="csY10061" fmla="*/ 3531658 h 6858000"/>
              <a:gd name="csX10062" fmla="*/ 6286014 w 12192000"/>
              <a:gd name="csY10062" fmla="*/ 3566479 h 6858000"/>
              <a:gd name="csX10063" fmla="*/ 6320354 w 12192000"/>
              <a:gd name="csY10063" fmla="*/ 3531658 h 6858000"/>
              <a:gd name="csX10064" fmla="*/ 6286014 w 12192000"/>
              <a:gd name="csY10064" fmla="*/ 3496838 h 6858000"/>
              <a:gd name="csX10065" fmla="*/ 6369755 w 12192000"/>
              <a:gd name="csY10065" fmla="*/ 3496838 h 6858000"/>
              <a:gd name="csX10066" fmla="*/ 6335402 w 12192000"/>
              <a:gd name="csY10066" fmla="*/ 3531658 h 6858000"/>
              <a:gd name="csX10067" fmla="*/ 6369755 w 12192000"/>
              <a:gd name="csY10067" fmla="*/ 3566479 h 6858000"/>
              <a:gd name="csX10068" fmla="*/ 6404096 w 12192000"/>
              <a:gd name="csY10068" fmla="*/ 3531658 h 6858000"/>
              <a:gd name="csX10069" fmla="*/ 6369755 w 12192000"/>
              <a:gd name="csY10069" fmla="*/ 3496838 h 6858000"/>
              <a:gd name="csX10070" fmla="*/ 6453498 w 12192000"/>
              <a:gd name="csY10070" fmla="*/ 3496838 h 6858000"/>
              <a:gd name="csX10071" fmla="*/ 6419144 w 12192000"/>
              <a:gd name="csY10071" fmla="*/ 3531658 h 6858000"/>
              <a:gd name="csX10072" fmla="*/ 6453498 w 12192000"/>
              <a:gd name="csY10072" fmla="*/ 3566479 h 6858000"/>
              <a:gd name="csX10073" fmla="*/ 6487838 w 12192000"/>
              <a:gd name="csY10073" fmla="*/ 3531658 h 6858000"/>
              <a:gd name="csX10074" fmla="*/ 6453498 w 12192000"/>
              <a:gd name="csY10074" fmla="*/ 3496838 h 6858000"/>
              <a:gd name="csX10075" fmla="*/ 6537239 w 12192000"/>
              <a:gd name="csY10075" fmla="*/ 3496838 h 6858000"/>
              <a:gd name="csX10076" fmla="*/ 6502886 w 12192000"/>
              <a:gd name="csY10076" fmla="*/ 3531658 h 6858000"/>
              <a:gd name="csX10077" fmla="*/ 6537239 w 12192000"/>
              <a:gd name="csY10077" fmla="*/ 3566479 h 6858000"/>
              <a:gd name="csX10078" fmla="*/ 6571579 w 12192000"/>
              <a:gd name="csY10078" fmla="*/ 3531658 h 6858000"/>
              <a:gd name="csX10079" fmla="*/ 6537239 w 12192000"/>
              <a:gd name="csY10079" fmla="*/ 3496838 h 6858000"/>
              <a:gd name="csX10080" fmla="*/ 6620980 w 12192000"/>
              <a:gd name="csY10080" fmla="*/ 3496838 h 6858000"/>
              <a:gd name="csX10081" fmla="*/ 6586627 w 12192000"/>
              <a:gd name="csY10081" fmla="*/ 3531658 h 6858000"/>
              <a:gd name="csX10082" fmla="*/ 6620980 w 12192000"/>
              <a:gd name="csY10082" fmla="*/ 3566479 h 6858000"/>
              <a:gd name="csX10083" fmla="*/ 6655320 w 12192000"/>
              <a:gd name="csY10083" fmla="*/ 3531658 h 6858000"/>
              <a:gd name="csX10084" fmla="*/ 6620980 w 12192000"/>
              <a:gd name="csY10084" fmla="*/ 3496838 h 6858000"/>
              <a:gd name="csX10085" fmla="*/ 6704722 w 12192000"/>
              <a:gd name="csY10085" fmla="*/ 3496838 h 6858000"/>
              <a:gd name="csX10086" fmla="*/ 6670369 w 12192000"/>
              <a:gd name="csY10086" fmla="*/ 3531658 h 6858000"/>
              <a:gd name="csX10087" fmla="*/ 6704722 w 12192000"/>
              <a:gd name="csY10087" fmla="*/ 3566479 h 6858000"/>
              <a:gd name="csX10088" fmla="*/ 6739063 w 12192000"/>
              <a:gd name="csY10088" fmla="*/ 3531658 h 6858000"/>
              <a:gd name="csX10089" fmla="*/ 6704722 w 12192000"/>
              <a:gd name="csY10089" fmla="*/ 3496838 h 6858000"/>
              <a:gd name="csX10090" fmla="*/ 6788464 w 12192000"/>
              <a:gd name="csY10090" fmla="*/ 3496838 h 6858000"/>
              <a:gd name="csX10091" fmla="*/ 6754110 w 12192000"/>
              <a:gd name="csY10091" fmla="*/ 3531658 h 6858000"/>
              <a:gd name="csX10092" fmla="*/ 6788464 w 12192000"/>
              <a:gd name="csY10092" fmla="*/ 3566479 h 6858000"/>
              <a:gd name="csX10093" fmla="*/ 6822804 w 12192000"/>
              <a:gd name="csY10093" fmla="*/ 3531658 h 6858000"/>
              <a:gd name="csX10094" fmla="*/ 6788464 w 12192000"/>
              <a:gd name="csY10094" fmla="*/ 3496838 h 6858000"/>
              <a:gd name="csX10095" fmla="*/ 6872206 w 12192000"/>
              <a:gd name="csY10095" fmla="*/ 3496838 h 6858000"/>
              <a:gd name="csX10096" fmla="*/ 6837853 w 12192000"/>
              <a:gd name="csY10096" fmla="*/ 3531658 h 6858000"/>
              <a:gd name="csX10097" fmla="*/ 6872206 w 12192000"/>
              <a:gd name="csY10097" fmla="*/ 3566479 h 6858000"/>
              <a:gd name="csX10098" fmla="*/ 6906546 w 12192000"/>
              <a:gd name="csY10098" fmla="*/ 3531658 h 6858000"/>
              <a:gd name="csX10099" fmla="*/ 6872206 w 12192000"/>
              <a:gd name="csY10099" fmla="*/ 3496838 h 6858000"/>
              <a:gd name="csX10100" fmla="*/ 7123456 w 12192000"/>
              <a:gd name="csY10100" fmla="*/ 3496838 h 6858000"/>
              <a:gd name="csX10101" fmla="*/ 7089103 w 12192000"/>
              <a:gd name="csY10101" fmla="*/ 3531658 h 6858000"/>
              <a:gd name="csX10102" fmla="*/ 7123456 w 12192000"/>
              <a:gd name="csY10102" fmla="*/ 3566479 h 6858000"/>
              <a:gd name="csX10103" fmla="*/ 7157796 w 12192000"/>
              <a:gd name="csY10103" fmla="*/ 3531658 h 6858000"/>
              <a:gd name="csX10104" fmla="*/ 7123456 w 12192000"/>
              <a:gd name="csY10104" fmla="*/ 3496838 h 6858000"/>
              <a:gd name="csX10105" fmla="*/ 7207198 w 12192000"/>
              <a:gd name="csY10105" fmla="*/ 3496838 h 6858000"/>
              <a:gd name="csX10106" fmla="*/ 7172845 w 12192000"/>
              <a:gd name="csY10106" fmla="*/ 3531658 h 6858000"/>
              <a:gd name="csX10107" fmla="*/ 7207198 w 12192000"/>
              <a:gd name="csY10107" fmla="*/ 3566479 h 6858000"/>
              <a:gd name="csX10108" fmla="*/ 7241538 w 12192000"/>
              <a:gd name="csY10108" fmla="*/ 3531658 h 6858000"/>
              <a:gd name="csX10109" fmla="*/ 7207198 w 12192000"/>
              <a:gd name="csY10109" fmla="*/ 3496838 h 6858000"/>
              <a:gd name="csX10110" fmla="*/ 7290939 w 12192000"/>
              <a:gd name="csY10110" fmla="*/ 3496838 h 6858000"/>
              <a:gd name="csX10111" fmla="*/ 7256586 w 12192000"/>
              <a:gd name="csY10111" fmla="*/ 3531658 h 6858000"/>
              <a:gd name="csX10112" fmla="*/ 7290939 w 12192000"/>
              <a:gd name="csY10112" fmla="*/ 3566479 h 6858000"/>
              <a:gd name="csX10113" fmla="*/ 7325279 w 12192000"/>
              <a:gd name="csY10113" fmla="*/ 3531658 h 6858000"/>
              <a:gd name="csX10114" fmla="*/ 7290939 w 12192000"/>
              <a:gd name="csY10114" fmla="*/ 3496838 h 6858000"/>
              <a:gd name="csX10115" fmla="*/ 7374681 w 12192000"/>
              <a:gd name="csY10115" fmla="*/ 3496838 h 6858000"/>
              <a:gd name="csX10116" fmla="*/ 7340328 w 12192000"/>
              <a:gd name="csY10116" fmla="*/ 3531658 h 6858000"/>
              <a:gd name="csX10117" fmla="*/ 7374681 w 12192000"/>
              <a:gd name="csY10117" fmla="*/ 3566479 h 6858000"/>
              <a:gd name="csX10118" fmla="*/ 7409022 w 12192000"/>
              <a:gd name="csY10118" fmla="*/ 3531658 h 6858000"/>
              <a:gd name="csX10119" fmla="*/ 7374681 w 12192000"/>
              <a:gd name="csY10119" fmla="*/ 3496838 h 6858000"/>
              <a:gd name="csX10120" fmla="*/ 7542164 w 12192000"/>
              <a:gd name="csY10120" fmla="*/ 3496838 h 6858000"/>
              <a:gd name="csX10121" fmla="*/ 7507811 w 12192000"/>
              <a:gd name="csY10121" fmla="*/ 3531658 h 6858000"/>
              <a:gd name="csX10122" fmla="*/ 7542164 w 12192000"/>
              <a:gd name="csY10122" fmla="*/ 3566479 h 6858000"/>
              <a:gd name="csX10123" fmla="*/ 7576504 w 12192000"/>
              <a:gd name="csY10123" fmla="*/ 3531658 h 6858000"/>
              <a:gd name="csX10124" fmla="*/ 7542164 w 12192000"/>
              <a:gd name="csY10124" fmla="*/ 3496838 h 6858000"/>
              <a:gd name="csX10125" fmla="*/ 7960872 w 12192000"/>
              <a:gd name="csY10125" fmla="*/ 3496838 h 6858000"/>
              <a:gd name="csX10126" fmla="*/ 7926519 w 12192000"/>
              <a:gd name="csY10126" fmla="*/ 3531658 h 6858000"/>
              <a:gd name="csX10127" fmla="*/ 7960872 w 12192000"/>
              <a:gd name="csY10127" fmla="*/ 3566479 h 6858000"/>
              <a:gd name="csX10128" fmla="*/ 7995212 w 12192000"/>
              <a:gd name="csY10128" fmla="*/ 3531658 h 6858000"/>
              <a:gd name="csX10129" fmla="*/ 7960872 w 12192000"/>
              <a:gd name="csY10129" fmla="*/ 3496838 h 6858000"/>
              <a:gd name="csX10130" fmla="*/ 8044614 w 12192000"/>
              <a:gd name="csY10130" fmla="*/ 3496838 h 6858000"/>
              <a:gd name="csX10131" fmla="*/ 8010261 w 12192000"/>
              <a:gd name="csY10131" fmla="*/ 3531658 h 6858000"/>
              <a:gd name="csX10132" fmla="*/ 8044614 w 12192000"/>
              <a:gd name="csY10132" fmla="*/ 3566479 h 6858000"/>
              <a:gd name="csX10133" fmla="*/ 8078955 w 12192000"/>
              <a:gd name="csY10133" fmla="*/ 3531658 h 6858000"/>
              <a:gd name="csX10134" fmla="*/ 8044614 w 12192000"/>
              <a:gd name="csY10134" fmla="*/ 3496838 h 6858000"/>
              <a:gd name="csX10135" fmla="*/ 8128356 w 12192000"/>
              <a:gd name="csY10135" fmla="*/ 3496838 h 6858000"/>
              <a:gd name="csX10136" fmla="*/ 8094003 w 12192000"/>
              <a:gd name="csY10136" fmla="*/ 3531658 h 6858000"/>
              <a:gd name="csX10137" fmla="*/ 8128356 w 12192000"/>
              <a:gd name="csY10137" fmla="*/ 3566479 h 6858000"/>
              <a:gd name="csX10138" fmla="*/ 8162696 w 12192000"/>
              <a:gd name="csY10138" fmla="*/ 3531658 h 6858000"/>
              <a:gd name="csX10139" fmla="*/ 8128356 w 12192000"/>
              <a:gd name="csY10139" fmla="*/ 3496838 h 6858000"/>
              <a:gd name="csX10140" fmla="*/ 8212097 w 12192000"/>
              <a:gd name="csY10140" fmla="*/ 3496838 h 6858000"/>
              <a:gd name="csX10141" fmla="*/ 8177744 w 12192000"/>
              <a:gd name="csY10141" fmla="*/ 3531658 h 6858000"/>
              <a:gd name="csX10142" fmla="*/ 8212097 w 12192000"/>
              <a:gd name="csY10142" fmla="*/ 3566479 h 6858000"/>
              <a:gd name="csX10143" fmla="*/ 8246437 w 12192000"/>
              <a:gd name="csY10143" fmla="*/ 3531658 h 6858000"/>
              <a:gd name="csX10144" fmla="*/ 8212097 w 12192000"/>
              <a:gd name="csY10144" fmla="*/ 3496838 h 6858000"/>
              <a:gd name="csX10145" fmla="*/ 8295839 w 12192000"/>
              <a:gd name="csY10145" fmla="*/ 3496838 h 6858000"/>
              <a:gd name="csX10146" fmla="*/ 8261486 w 12192000"/>
              <a:gd name="csY10146" fmla="*/ 3531658 h 6858000"/>
              <a:gd name="csX10147" fmla="*/ 8295839 w 12192000"/>
              <a:gd name="csY10147" fmla="*/ 3566479 h 6858000"/>
              <a:gd name="csX10148" fmla="*/ 8330179 w 12192000"/>
              <a:gd name="csY10148" fmla="*/ 3531658 h 6858000"/>
              <a:gd name="csX10149" fmla="*/ 8295839 w 12192000"/>
              <a:gd name="csY10149" fmla="*/ 3496838 h 6858000"/>
              <a:gd name="csX10150" fmla="*/ 8379580 w 12192000"/>
              <a:gd name="csY10150" fmla="*/ 3496838 h 6858000"/>
              <a:gd name="csX10151" fmla="*/ 8345227 w 12192000"/>
              <a:gd name="csY10151" fmla="*/ 3531658 h 6858000"/>
              <a:gd name="csX10152" fmla="*/ 8379580 w 12192000"/>
              <a:gd name="csY10152" fmla="*/ 3566479 h 6858000"/>
              <a:gd name="csX10153" fmla="*/ 8413921 w 12192000"/>
              <a:gd name="csY10153" fmla="*/ 3531658 h 6858000"/>
              <a:gd name="csX10154" fmla="*/ 8379580 w 12192000"/>
              <a:gd name="csY10154" fmla="*/ 3496838 h 6858000"/>
              <a:gd name="csX10155" fmla="*/ 8463323 w 12192000"/>
              <a:gd name="csY10155" fmla="*/ 3496838 h 6858000"/>
              <a:gd name="csX10156" fmla="*/ 8428970 w 12192000"/>
              <a:gd name="csY10156" fmla="*/ 3531658 h 6858000"/>
              <a:gd name="csX10157" fmla="*/ 8463323 w 12192000"/>
              <a:gd name="csY10157" fmla="*/ 3566479 h 6858000"/>
              <a:gd name="csX10158" fmla="*/ 8497663 w 12192000"/>
              <a:gd name="csY10158" fmla="*/ 3531658 h 6858000"/>
              <a:gd name="csX10159" fmla="*/ 8463323 w 12192000"/>
              <a:gd name="csY10159" fmla="*/ 3496838 h 6858000"/>
              <a:gd name="csX10160" fmla="*/ 8547064 w 12192000"/>
              <a:gd name="csY10160" fmla="*/ 3496838 h 6858000"/>
              <a:gd name="csX10161" fmla="*/ 8512711 w 12192000"/>
              <a:gd name="csY10161" fmla="*/ 3531658 h 6858000"/>
              <a:gd name="csX10162" fmla="*/ 8547064 w 12192000"/>
              <a:gd name="csY10162" fmla="*/ 3566479 h 6858000"/>
              <a:gd name="csX10163" fmla="*/ 8581404 w 12192000"/>
              <a:gd name="csY10163" fmla="*/ 3531658 h 6858000"/>
              <a:gd name="csX10164" fmla="*/ 8547064 w 12192000"/>
              <a:gd name="csY10164" fmla="*/ 3496838 h 6858000"/>
              <a:gd name="csX10165" fmla="*/ 8630805 w 12192000"/>
              <a:gd name="csY10165" fmla="*/ 3496838 h 6858000"/>
              <a:gd name="csX10166" fmla="*/ 8596452 w 12192000"/>
              <a:gd name="csY10166" fmla="*/ 3531658 h 6858000"/>
              <a:gd name="csX10167" fmla="*/ 8630805 w 12192000"/>
              <a:gd name="csY10167" fmla="*/ 3566479 h 6858000"/>
              <a:gd name="csX10168" fmla="*/ 8665145 w 12192000"/>
              <a:gd name="csY10168" fmla="*/ 3531658 h 6858000"/>
              <a:gd name="csX10169" fmla="*/ 8630805 w 12192000"/>
              <a:gd name="csY10169" fmla="*/ 3496838 h 6858000"/>
              <a:gd name="csX10170" fmla="*/ 8714547 w 12192000"/>
              <a:gd name="csY10170" fmla="*/ 3496838 h 6858000"/>
              <a:gd name="csX10171" fmla="*/ 8680194 w 12192000"/>
              <a:gd name="csY10171" fmla="*/ 3531658 h 6858000"/>
              <a:gd name="csX10172" fmla="*/ 8714547 w 12192000"/>
              <a:gd name="csY10172" fmla="*/ 3566479 h 6858000"/>
              <a:gd name="csX10173" fmla="*/ 8748888 w 12192000"/>
              <a:gd name="csY10173" fmla="*/ 3531658 h 6858000"/>
              <a:gd name="csX10174" fmla="*/ 8714547 w 12192000"/>
              <a:gd name="csY10174" fmla="*/ 3496838 h 6858000"/>
              <a:gd name="csX10175" fmla="*/ 8798289 w 12192000"/>
              <a:gd name="csY10175" fmla="*/ 3496838 h 6858000"/>
              <a:gd name="csX10176" fmla="*/ 8763936 w 12192000"/>
              <a:gd name="csY10176" fmla="*/ 3531658 h 6858000"/>
              <a:gd name="csX10177" fmla="*/ 8798289 w 12192000"/>
              <a:gd name="csY10177" fmla="*/ 3566479 h 6858000"/>
              <a:gd name="csX10178" fmla="*/ 8832629 w 12192000"/>
              <a:gd name="csY10178" fmla="*/ 3531658 h 6858000"/>
              <a:gd name="csX10179" fmla="*/ 8798289 w 12192000"/>
              <a:gd name="csY10179" fmla="*/ 3496838 h 6858000"/>
              <a:gd name="csX10180" fmla="*/ 8882030 w 12192000"/>
              <a:gd name="csY10180" fmla="*/ 3496838 h 6858000"/>
              <a:gd name="csX10181" fmla="*/ 8847677 w 12192000"/>
              <a:gd name="csY10181" fmla="*/ 3531658 h 6858000"/>
              <a:gd name="csX10182" fmla="*/ 8882030 w 12192000"/>
              <a:gd name="csY10182" fmla="*/ 3566479 h 6858000"/>
              <a:gd name="csX10183" fmla="*/ 8916370 w 12192000"/>
              <a:gd name="csY10183" fmla="*/ 3531658 h 6858000"/>
              <a:gd name="csX10184" fmla="*/ 8882030 w 12192000"/>
              <a:gd name="csY10184" fmla="*/ 3496838 h 6858000"/>
              <a:gd name="csX10185" fmla="*/ 8965772 w 12192000"/>
              <a:gd name="csY10185" fmla="*/ 3496838 h 6858000"/>
              <a:gd name="csX10186" fmla="*/ 8931419 w 12192000"/>
              <a:gd name="csY10186" fmla="*/ 3531658 h 6858000"/>
              <a:gd name="csX10187" fmla="*/ 8965772 w 12192000"/>
              <a:gd name="csY10187" fmla="*/ 3566479 h 6858000"/>
              <a:gd name="csX10188" fmla="*/ 9000112 w 12192000"/>
              <a:gd name="csY10188" fmla="*/ 3531658 h 6858000"/>
              <a:gd name="csX10189" fmla="*/ 8965772 w 12192000"/>
              <a:gd name="csY10189" fmla="*/ 3496838 h 6858000"/>
              <a:gd name="csX10190" fmla="*/ 9049513 w 12192000"/>
              <a:gd name="csY10190" fmla="*/ 3496838 h 6858000"/>
              <a:gd name="csX10191" fmla="*/ 9015160 w 12192000"/>
              <a:gd name="csY10191" fmla="*/ 3531658 h 6858000"/>
              <a:gd name="csX10192" fmla="*/ 9049513 w 12192000"/>
              <a:gd name="csY10192" fmla="*/ 3566479 h 6858000"/>
              <a:gd name="csX10193" fmla="*/ 9083854 w 12192000"/>
              <a:gd name="csY10193" fmla="*/ 3531658 h 6858000"/>
              <a:gd name="csX10194" fmla="*/ 9049513 w 12192000"/>
              <a:gd name="csY10194" fmla="*/ 3496838 h 6858000"/>
              <a:gd name="csX10195" fmla="*/ 9133256 w 12192000"/>
              <a:gd name="csY10195" fmla="*/ 3496838 h 6858000"/>
              <a:gd name="csX10196" fmla="*/ 9098903 w 12192000"/>
              <a:gd name="csY10196" fmla="*/ 3531658 h 6858000"/>
              <a:gd name="csX10197" fmla="*/ 9133256 w 12192000"/>
              <a:gd name="csY10197" fmla="*/ 3566479 h 6858000"/>
              <a:gd name="csX10198" fmla="*/ 9167596 w 12192000"/>
              <a:gd name="csY10198" fmla="*/ 3531658 h 6858000"/>
              <a:gd name="csX10199" fmla="*/ 9133256 w 12192000"/>
              <a:gd name="csY10199" fmla="*/ 3496838 h 6858000"/>
              <a:gd name="csX10200" fmla="*/ 9216997 w 12192000"/>
              <a:gd name="csY10200" fmla="*/ 3496838 h 6858000"/>
              <a:gd name="csX10201" fmla="*/ 9182644 w 12192000"/>
              <a:gd name="csY10201" fmla="*/ 3531658 h 6858000"/>
              <a:gd name="csX10202" fmla="*/ 9216997 w 12192000"/>
              <a:gd name="csY10202" fmla="*/ 3566479 h 6858000"/>
              <a:gd name="csX10203" fmla="*/ 9251337 w 12192000"/>
              <a:gd name="csY10203" fmla="*/ 3531658 h 6858000"/>
              <a:gd name="csX10204" fmla="*/ 9216997 w 12192000"/>
              <a:gd name="csY10204" fmla="*/ 3496838 h 6858000"/>
              <a:gd name="csX10205" fmla="*/ 9300738 w 12192000"/>
              <a:gd name="csY10205" fmla="*/ 3496838 h 6858000"/>
              <a:gd name="csX10206" fmla="*/ 9266385 w 12192000"/>
              <a:gd name="csY10206" fmla="*/ 3531658 h 6858000"/>
              <a:gd name="csX10207" fmla="*/ 9300738 w 12192000"/>
              <a:gd name="csY10207" fmla="*/ 3566479 h 6858000"/>
              <a:gd name="csX10208" fmla="*/ 9335078 w 12192000"/>
              <a:gd name="csY10208" fmla="*/ 3531658 h 6858000"/>
              <a:gd name="csX10209" fmla="*/ 9300738 w 12192000"/>
              <a:gd name="csY10209" fmla="*/ 3496838 h 6858000"/>
              <a:gd name="csX10210" fmla="*/ 9384480 w 12192000"/>
              <a:gd name="csY10210" fmla="*/ 3496838 h 6858000"/>
              <a:gd name="csX10211" fmla="*/ 9350127 w 12192000"/>
              <a:gd name="csY10211" fmla="*/ 3531658 h 6858000"/>
              <a:gd name="csX10212" fmla="*/ 9384480 w 12192000"/>
              <a:gd name="csY10212" fmla="*/ 3566479 h 6858000"/>
              <a:gd name="csX10213" fmla="*/ 9418821 w 12192000"/>
              <a:gd name="csY10213" fmla="*/ 3531658 h 6858000"/>
              <a:gd name="csX10214" fmla="*/ 9384480 w 12192000"/>
              <a:gd name="csY10214" fmla="*/ 3496838 h 6858000"/>
              <a:gd name="csX10215" fmla="*/ 9551963 w 12192000"/>
              <a:gd name="csY10215" fmla="*/ 3496838 h 6858000"/>
              <a:gd name="csX10216" fmla="*/ 9517610 w 12192000"/>
              <a:gd name="csY10216" fmla="*/ 3531658 h 6858000"/>
              <a:gd name="csX10217" fmla="*/ 9551963 w 12192000"/>
              <a:gd name="csY10217" fmla="*/ 3566479 h 6858000"/>
              <a:gd name="csX10218" fmla="*/ 9586303 w 12192000"/>
              <a:gd name="csY10218" fmla="*/ 3531658 h 6858000"/>
              <a:gd name="csX10219" fmla="*/ 9551963 w 12192000"/>
              <a:gd name="csY10219" fmla="*/ 3496838 h 6858000"/>
              <a:gd name="csX10220" fmla="*/ 1094030 w 12192000"/>
              <a:gd name="csY10220" fmla="*/ 3581702 h 6858000"/>
              <a:gd name="csX10221" fmla="*/ 1059683 w 12192000"/>
              <a:gd name="csY10221" fmla="*/ 3616522 h 6858000"/>
              <a:gd name="csX10222" fmla="*/ 1094030 w 12192000"/>
              <a:gd name="csY10222" fmla="*/ 3651342 h 6858000"/>
              <a:gd name="csX10223" fmla="*/ 1128377 w 12192000"/>
              <a:gd name="csY10223" fmla="*/ 3616522 h 6858000"/>
              <a:gd name="csX10224" fmla="*/ 1094030 w 12192000"/>
              <a:gd name="csY10224" fmla="*/ 3581702 h 6858000"/>
              <a:gd name="csX10225" fmla="*/ 2685118 w 12192000"/>
              <a:gd name="csY10225" fmla="*/ 3581702 h 6858000"/>
              <a:gd name="csX10226" fmla="*/ 2650771 w 12192000"/>
              <a:gd name="csY10226" fmla="*/ 3616522 h 6858000"/>
              <a:gd name="csX10227" fmla="*/ 2685118 w 12192000"/>
              <a:gd name="csY10227" fmla="*/ 3651342 h 6858000"/>
              <a:gd name="csX10228" fmla="*/ 2719465 w 12192000"/>
              <a:gd name="csY10228" fmla="*/ 3616522 h 6858000"/>
              <a:gd name="csX10229" fmla="*/ 2685118 w 12192000"/>
              <a:gd name="csY10229" fmla="*/ 3581702 h 6858000"/>
              <a:gd name="csX10230" fmla="*/ 2768859 w 12192000"/>
              <a:gd name="csY10230" fmla="*/ 3581702 h 6858000"/>
              <a:gd name="csX10231" fmla="*/ 2734512 w 12192000"/>
              <a:gd name="csY10231" fmla="*/ 3616522 h 6858000"/>
              <a:gd name="csX10232" fmla="*/ 2768859 w 12192000"/>
              <a:gd name="csY10232" fmla="*/ 3651342 h 6858000"/>
              <a:gd name="csX10233" fmla="*/ 2803206 w 12192000"/>
              <a:gd name="csY10233" fmla="*/ 3616522 h 6858000"/>
              <a:gd name="csX10234" fmla="*/ 2768859 w 12192000"/>
              <a:gd name="csY10234" fmla="*/ 3581702 h 6858000"/>
              <a:gd name="csX10235" fmla="*/ 2852600 w 12192000"/>
              <a:gd name="csY10235" fmla="*/ 3581702 h 6858000"/>
              <a:gd name="csX10236" fmla="*/ 2818254 w 12192000"/>
              <a:gd name="csY10236" fmla="*/ 3616522 h 6858000"/>
              <a:gd name="csX10237" fmla="*/ 2852600 w 12192000"/>
              <a:gd name="csY10237" fmla="*/ 3651342 h 6858000"/>
              <a:gd name="csX10238" fmla="*/ 2886947 w 12192000"/>
              <a:gd name="csY10238" fmla="*/ 3616522 h 6858000"/>
              <a:gd name="csX10239" fmla="*/ 2852600 w 12192000"/>
              <a:gd name="csY10239" fmla="*/ 3581702 h 6858000"/>
              <a:gd name="csX10240" fmla="*/ 3187567 w 12192000"/>
              <a:gd name="csY10240" fmla="*/ 3581702 h 6858000"/>
              <a:gd name="csX10241" fmla="*/ 3153221 w 12192000"/>
              <a:gd name="csY10241" fmla="*/ 3616522 h 6858000"/>
              <a:gd name="csX10242" fmla="*/ 3187567 w 12192000"/>
              <a:gd name="csY10242" fmla="*/ 3651342 h 6858000"/>
              <a:gd name="csX10243" fmla="*/ 3221914 w 12192000"/>
              <a:gd name="csY10243" fmla="*/ 3616522 h 6858000"/>
              <a:gd name="csX10244" fmla="*/ 3187567 w 12192000"/>
              <a:gd name="csY10244" fmla="*/ 3581702 h 6858000"/>
              <a:gd name="csX10245" fmla="*/ 3355051 w 12192000"/>
              <a:gd name="csY10245" fmla="*/ 3581702 h 6858000"/>
              <a:gd name="csX10246" fmla="*/ 3320704 w 12192000"/>
              <a:gd name="csY10246" fmla="*/ 3616522 h 6858000"/>
              <a:gd name="csX10247" fmla="*/ 3355051 w 12192000"/>
              <a:gd name="csY10247" fmla="*/ 3651342 h 6858000"/>
              <a:gd name="csX10248" fmla="*/ 3389398 w 12192000"/>
              <a:gd name="csY10248" fmla="*/ 3616522 h 6858000"/>
              <a:gd name="csX10249" fmla="*/ 3355051 w 12192000"/>
              <a:gd name="csY10249" fmla="*/ 3581702 h 6858000"/>
              <a:gd name="csX10250" fmla="*/ 3438792 w 12192000"/>
              <a:gd name="csY10250" fmla="*/ 3581702 h 6858000"/>
              <a:gd name="csX10251" fmla="*/ 3404445 w 12192000"/>
              <a:gd name="csY10251" fmla="*/ 3616522 h 6858000"/>
              <a:gd name="csX10252" fmla="*/ 3438792 w 12192000"/>
              <a:gd name="csY10252" fmla="*/ 3651342 h 6858000"/>
              <a:gd name="csX10253" fmla="*/ 3473139 w 12192000"/>
              <a:gd name="csY10253" fmla="*/ 3616522 h 6858000"/>
              <a:gd name="csX10254" fmla="*/ 3438792 w 12192000"/>
              <a:gd name="csY10254" fmla="*/ 3581702 h 6858000"/>
              <a:gd name="csX10255" fmla="*/ 3522533 w 12192000"/>
              <a:gd name="csY10255" fmla="*/ 3581702 h 6858000"/>
              <a:gd name="csX10256" fmla="*/ 3488187 w 12192000"/>
              <a:gd name="csY10256" fmla="*/ 3616522 h 6858000"/>
              <a:gd name="csX10257" fmla="*/ 3522533 w 12192000"/>
              <a:gd name="csY10257" fmla="*/ 3651342 h 6858000"/>
              <a:gd name="csX10258" fmla="*/ 3556880 w 12192000"/>
              <a:gd name="csY10258" fmla="*/ 3616522 h 6858000"/>
              <a:gd name="csX10259" fmla="*/ 3522533 w 12192000"/>
              <a:gd name="csY10259" fmla="*/ 3581702 h 6858000"/>
              <a:gd name="csX10260" fmla="*/ 5364856 w 12192000"/>
              <a:gd name="csY10260" fmla="*/ 3581702 h 6858000"/>
              <a:gd name="csX10261" fmla="*/ 5330503 w 12192000"/>
              <a:gd name="csY10261" fmla="*/ 3616522 h 6858000"/>
              <a:gd name="csX10262" fmla="*/ 5364856 w 12192000"/>
              <a:gd name="csY10262" fmla="*/ 3651342 h 6858000"/>
              <a:gd name="csX10263" fmla="*/ 5399197 w 12192000"/>
              <a:gd name="csY10263" fmla="*/ 3616522 h 6858000"/>
              <a:gd name="csX10264" fmla="*/ 5364856 w 12192000"/>
              <a:gd name="csY10264" fmla="*/ 3581702 h 6858000"/>
              <a:gd name="csX10265" fmla="*/ 5448598 w 12192000"/>
              <a:gd name="csY10265" fmla="*/ 3581702 h 6858000"/>
              <a:gd name="csX10266" fmla="*/ 5414244 w 12192000"/>
              <a:gd name="csY10266" fmla="*/ 3616522 h 6858000"/>
              <a:gd name="csX10267" fmla="*/ 5448598 w 12192000"/>
              <a:gd name="csY10267" fmla="*/ 3651342 h 6858000"/>
              <a:gd name="csX10268" fmla="*/ 5482938 w 12192000"/>
              <a:gd name="csY10268" fmla="*/ 3616522 h 6858000"/>
              <a:gd name="csX10269" fmla="*/ 5448598 w 12192000"/>
              <a:gd name="csY10269" fmla="*/ 3581702 h 6858000"/>
              <a:gd name="csX10270" fmla="*/ 5532340 w 12192000"/>
              <a:gd name="csY10270" fmla="*/ 3581702 h 6858000"/>
              <a:gd name="csX10271" fmla="*/ 5497987 w 12192000"/>
              <a:gd name="csY10271" fmla="*/ 3616522 h 6858000"/>
              <a:gd name="csX10272" fmla="*/ 5532340 w 12192000"/>
              <a:gd name="csY10272" fmla="*/ 3651342 h 6858000"/>
              <a:gd name="csX10273" fmla="*/ 5566680 w 12192000"/>
              <a:gd name="csY10273" fmla="*/ 3616522 h 6858000"/>
              <a:gd name="csX10274" fmla="*/ 5532340 w 12192000"/>
              <a:gd name="csY10274" fmla="*/ 3581702 h 6858000"/>
              <a:gd name="csX10275" fmla="*/ 5616081 w 12192000"/>
              <a:gd name="csY10275" fmla="*/ 3581702 h 6858000"/>
              <a:gd name="csX10276" fmla="*/ 5581728 w 12192000"/>
              <a:gd name="csY10276" fmla="*/ 3616522 h 6858000"/>
              <a:gd name="csX10277" fmla="*/ 5616081 w 12192000"/>
              <a:gd name="csY10277" fmla="*/ 3651342 h 6858000"/>
              <a:gd name="csX10278" fmla="*/ 5650421 w 12192000"/>
              <a:gd name="csY10278" fmla="*/ 3616522 h 6858000"/>
              <a:gd name="csX10279" fmla="*/ 5616081 w 12192000"/>
              <a:gd name="csY10279" fmla="*/ 3581702 h 6858000"/>
              <a:gd name="csX10280" fmla="*/ 5699822 w 12192000"/>
              <a:gd name="csY10280" fmla="*/ 3581702 h 6858000"/>
              <a:gd name="csX10281" fmla="*/ 5665469 w 12192000"/>
              <a:gd name="csY10281" fmla="*/ 3616522 h 6858000"/>
              <a:gd name="csX10282" fmla="*/ 5699822 w 12192000"/>
              <a:gd name="csY10282" fmla="*/ 3651342 h 6858000"/>
              <a:gd name="csX10283" fmla="*/ 5734163 w 12192000"/>
              <a:gd name="csY10283" fmla="*/ 3616522 h 6858000"/>
              <a:gd name="csX10284" fmla="*/ 5699822 w 12192000"/>
              <a:gd name="csY10284" fmla="*/ 3581702 h 6858000"/>
              <a:gd name="csX10285" fmla="*/ 5783565 w 12192000"/>
              <a:gd name="csY10285" fmla="*/ 3581702 h 6858000"/>
              <a:gd name="csX10286" fmla="*/ 5749211 w 12192000"/>
              <a:gd name="csY10286" fmla="*/ 3616522 h 6858000"/>
              <a:gd name="csX10287" fmla="*/ 5783565 w 12192000"/>
              <a:gd name="csY10287" fmla="*/ 3651342 h 6858000"/>
              <a:gd name="csX10288" fmla="*/ 5817905 w 12192000"/>
              <a:gd name="csY10288" fmla="*/ 3616522 h 6858000"/>
              <a:gd name="csX10289" fmla="*/ 5783565 w 12192000"/>
              <a:gd name="csY10289" fmla="*/ 3581702 h 6858000"/>
              <a:gd name="csX10290" fmla="*/ 5867306 w 12192000"/>
              <a:gd name="csY10290" fmla="*/ 3581702 h 6858000"/>
              <a:gd name="csX10291" fmla="*/ 5832953 w 12192000"/>
              <a:gd name="csY10291" fmla="*/ 3616522 h 6858000"/>
              <a:gd name="csX10292" fmla="*/ 5867306 w 12192000"/>
              <a:gd name="csY10292" fmla="*/ 3651342 h 6858000"/>
              <a:gd name="csX10293" fmla="*/ 5901646 w 12192000"/>
              <a:gd name="csY10293" fmla="*/ 3616522 h 6858000"/>
              <a:gd name="csX10294" fmla="*/ 5867306 w 12192000"/>
              <a:gd name="csY10294" fmla="*/ 3581702 h 6858000"/>
              <a:gd name="csX10295" fmla="*/ 5951047 w 12192000"/>
              <a:gd name="csY10295" fmla="*/ 3581702 h 6858000"/>
              <a:gd name="csX10296" fmla="*/ 5916694 w 12192000"/>
              <a:gd name="csY10296" fmla="*/ 3616522 h 6858000"/>
              <a:gd name="csX10297" fmla="*/ 5951047 w 12192000"/>
              <a:gd name="csY10297" fmla="*/ 3651342 h 6858000"/>
              <a:gd name="csX10298" fmla="*/ 5985387 w 12192000"/>
              <a:gd name="csY10298" fmla="*/ 3616522 h 6858000"/>
              <a:gd name="csX10299" fmla="*/ 5951047 w 12192000"/>
              <a:gd name="csY10299" fmla="*/ 3581702 h 6858000"/>
              <a:gd name="csX10300" fmla="*/ 6034789 w 12192000"/>
              <a:gd name="csY10300" fmla="*/ 3581702 h 6858000"/>
              <a:gd name="csX10301" fmla="*/ 6000436 w 12192000"/>
              <a:gd name="csY10301" fmla="*/ 3616522 h 6858000"/>
              <a:gd name="csX10302" fmla="*/ 6034789 w 12192000"/>
              <a:gd name="csY10302" fmla="*/ 3651342 h 6858000"/>
              <a:gd name="csX10303" fmla="*/ 6069130 w 12192000"/>
              <a:gd name="csY10303" fmla="*/ 3616522 h 6858000"/>
              <a:gd name="csX10304" fmla="*/ 6034789 w 12192000"/>
              <a:gd name="csY10304" fmla="*/ 3581702 h 6858000"/>
              <a:gd name="csX10305" fmla="*/ 6118531 w 12192000"/>
              <a:gd name="csY10305" fmla="*/ 3581702 h 6858000"/>
              <a:gd name="csX10306" fmla="*/ 6084177 w 12192000"/>
              <a:gd name="csY10306" fmla="*/ 3616522 h 6858000"/>
              <a:gd name="csX10307" fmla="*/ 6118531 w 12192000"/>
              <a:gd name="csY10307" fmla="*/ 3651342 h 6858000"/>
              <a:gd name="csX10308" fmla="*/ 6152871 w 12192000"/>
              <a:gd name="csY10308" fmla="*/ 3616522 h 6858000"/>
              <a:gd name="csX10309" fmla="*/ 6118531 w 12192000"/>
              <a:gd name="csY10309" fmla="*/ 3581702 h 6858000"/>
              <a:gd name="csX10310" fmla="*/ 6202273 w 12192000"/>
              <a:gd name="csY10310" fmla="*/ 3581702 h 6858000"/>
              <a:gd name="csX10311" fmla="*/ 6167920 w 12192000"/>
              <a:gd name="csY10311" fmla="*/ 3616522 h 6858000"/>
              <a:gd name="csX10312" fmla="*/ 6202273 w 12192000"/>
              <a:gd name="csY10312" fmla="*/ 3651342 h 6858000"/>
              <a:gd name="csX10313" fmla="*/ 6236613 w 12192000"/>
              <a:gd name="csY10313" fmla="*/ 3616522 h 6858000"/>
              <a:gd name="csX10314" fmla="*/ 6202273 w 12192000"/>
              <a:gd name="csY10314" fmla="*/ 3581702 h 6858000"/>
              <a:gd name="csX10315" fmla="*/ 6286014 w 12192000"/>
              <a:gd name="csY10315" fmla="*/ 3581702 h 6858000"/>
              <a:gd name="csX10316" fmla="*/ 6251661 w 12192000"/>
              <a:gd name="csY10316" fmla="*/ 3616522 h 6858000"/>
              <a:gd name="csX10317" fmla="*/ 6286014 w 12192000"/>
              <a:gd name="csY10317" fmla="*/ 3651342 h 6858000"/>
              <a:gd name="csX10318" fmla="*/ 6320354 w 12192000"/>
              <a:gd name="csY10318" fmla="*/ 3616522 h 6858000"/>
              <a:gd name="csX10319" fmla="*/ 6286014 w 12192000"/>
              <a:gd name="csY10319" fmla="*/ 3581702 h 6858000"/>
              <a:gd name="csX10320" fmla="*/ 6369755 w 12192000"/>
              <a:gd name="csY10320" fmla="*/ 3581702 h 6858000"/>
              <a:gd name="csX10321" fmla="*/ 6335402 w 12192000"/>
              <a:gd name="csY10321" fmla="*/ 3616522 h 6858000"/>
              <a:gd name="csX10322" fmla="*/ 6369755 w 12192000"/>
              <a:gd name="csY10322" fmla="*/ 3651342 h 6858000"/>
              <a:gd name="csX10323" fmla="*/ 6404096 w 12192000"/>
              <a:gd name="csY10323" fmla="*/ 3616522 h 6858000"/>
              <a:gd name="csX10324" fmla="*/ 6369755 w 12192000"/>
              <a:gd name="csY10324" fmla="*/ 3581702 h 6858000"/>
              <a:gd name="csX10325" fmla="*/ 6453498 w 12192000"/>
              <a:gd name="csY10325" fmla="*/ 3581702 h 6858000"/>
              <a:gd name="csX10326" fmla="*/ 6419144 w 12192000"/>
              <a:gd name="csY10326" fmla="*/ 3616522 h 6858000"/>
              <a:gd name="csX10327" fmla="*/ 6453498 w 12192000"/>
              <a:gd name="csY10327" fmla="*/ 3651342 h 6858000"/>
              <a:gd name="csX10328" fmla="*/ 6487838 w 12192000"/>
              <a:gd name="csY10328" fmla="*/ 3616522 h 6858000"/>
              <a:gd name="csX10329" fmla="*/ 6453498 w 12192000"/>
              <a:gd name="csY10329" fmla="*/ 3581702 h 6858000"/>
              <a:gd name="csX10330" fmla="*/ 6537239 w 12192000"/>
              <a:gd name="csY10330" fmla="*/ 3581702 h 6858000"/>
              <a:gd name="csX10331" fmla="*/ 6502886 w 12192000"/>
              <a:gd name="csY10331" fmla="*/ 3616522 h 6858000"/>
              <a:gd name="csX10332" fmla="*/ 6537239 w 12192000"/>
              <a:gd name="csY10332" fmla="*/ 3651342 h 6858000"/>
              <a:gd name="csX10333" fmla="*/ 6571579 w 12192000"/>
              <a:gd name="csY10333" fmla="*/ 3616522 h 6858000"/>
              <a:gd name="csX10334" fmla="*/ 6537239 w 12192000"/>
              <a:gd name="csY10334" fmla="*/ 3581702 h 6858000"/>
              <a:gd name="csX10335" fmla="*/ 6620980 w 12192000"/>
              <a:gd name="csY10335" fmla="*/ 3581702 h 6858000"/>
              <a:gd name="csX10336" fmla="*/ 6586627 w 12192000"/>
              <a:gd name="csY10336" fmla="*/ 3616522 h 6858000"/>
              <a:gd name="csX10337" fmla="*/ 6620980 w 12192000"/>
              <a:gd name="csY10337" fmla="*/ 3651342 h 6858000"/>
              <a:gd name="csX10338" fmla="*/ 6655320 w 12192000"/>
              <a:gd name="csY10338" fmla="*/ 3616522 h 6858000"/>
              <a:gd name="csX10339" fmla="*/ 6620980 w 12192000"/>
              <a:gd name="csY10339" fmla="*/ 3581702 h 6858000"/>
              <a:gd name="csX10340" fmla="*/ 6704722 w 12192000"/>
              <a:gd name="csY10340" fmla="*/ 3581702 h 6858000"/>
              <a:gd name="csX10341" fmla="*/ 6670369 w 12192000"/>
              <a:gd name="csY10341" fmla="*/ 3616522 h 6858000"/>
              <a:gd name="csX10342" fmla="*/ 6704722 w 12192000"/>
              <a:gd name="csY10342" fmla="*/ 3651342 h 6858000"/>
              <a:gd name="csX10343" fmla="*/ 6739063 w 12192000"/>
              <a:gd name="csY10343" fmla="*/ 3616522 h 6858000"/>
              <a:gd name="csX10344" fmla="*/ 6704722 w 12192000"/>
              <a:gd name="csY10344" fmla="*/ 3581702 h 6858000"/>
              <a:gd name="csX10345" fmla="*/ 6788464 w 12192000"/>
              <a:gd name="csY10345" fmla="*/ 3581702 h 6858000"/>
              <a:gd name="csX10346" fmla="*/ 6754110 w 12192000"/>
              <a:gd name="csY10346" fmla="*/ 3616522 h 6858000"/>
              <a:gd name="csX10347" fmla="*/ 6788464 w 12192000"/>
              <a:gd name="csY10347" fmla="*/ 3651342 h 6858000"/>
              <a:gd name="csX10348" fmla="*/ 6822804 w 12192000"/>
              <a:gd name="csY10348" fmla="*/ 3616522 h 6858000"/>
              <a:gd name="csX10349" fmla="*/ 6788464 w 12192000"/>
              <a:gd name="csY10349" fmla="*/ 3581702 h 6858000"/>
              <a:gd name="csX10350" fmla="*/ 6872206 w 12192000"/>
              <a:gd name="csY10350" fmla="*/ 3581702 h 6858000"/>
              <a:gd name="csX10351" fmla="*/ 6837853 w 12192000"/>
              <a:gd name="csY10351" fmla="*/ 3616522 h 6858000"/>
              <a:gd name="csX10352" fmla="*/ 6872206 w 12192000"/>
              <a:gd name="csY10352" fmla="*/ 3651342 h 6858000"/>
              <a:gd name="csX10353" fmla="*/ 6906546 w 12192000"/>
              <a:gd name="csY10353" fmla="*/ 3616522 h 6858000"/>
              <a:gd name="csX10354" fmla="*/ 6872206 w 12192000"/>
              <a:gd name="csY10354" fmla="*/ 3581702 h 6858000"/>
              <a:gd name="csX10355" fmla="*/ 6955947 w 12192000"/>
              <a:gd name="csY10355" fmla="*/ 3581702 h 6858000"/>
              <a:gd name="csX10356" fmla="*/ 6921594 w 12192000"/>
              <a:gd name="csY10356" fmla="*/ 3616522 h 6858000"/>
              <a:gd name="csX10357" fmla="*/ 6955947 w 12192000"/>
              <a:gd name="csY10357" fmla="*/ 3651342 h 6858000"/>
              <a:gd name="csX10358" fmla="*/ 6990287 w 12192000"/>
              <a:gd name="csY10358" fmla="*/ 3616522 h 6858000"/>
              <a:gd name="csX10359" fmla="*/ 6955947 w 12192000"/>
              <a:gd name="csY10359" fmla="*/ 3581702 h 6858000"/>
              <a:gd name="csX10360" fmla="*/ 7123456 w 12192000"/>
              <a:gd name="csY10360" fmla="*/ 3581702 h 6858000"/>
              <a:gd name="csX10361" fmla="*/ 7089103 w 12192000"/>
              <a:gd name="csY10361" fmla="*/ 3616522 h 6858000"/>
              <a:gd name="csX10362" fmla="*/ 7123456 w 12192000"/>
              <a:gd name="csY10362" fmla="*/ 3651342 h 6858000"/>
              <a:gd name="csX10363" fmla="*/ 7157796 w 12192000"/>
              <a:gd name="csY10363" fmla="*/ 3616522 h 6858000"/>
              <a:gd name="csX10364" fmla="*/ 7123456 w 12192000"/>
              <a:gd name="csY10364" fmla="*/ 3581702 h 6858000"/>
              <a:gd name="csX10365" fmla="*/ 7207198 w 12192000"/>
              <a:gd name="csY10365" fmla="*/ 3581702 h 6858000"/>
              <a:gd name="csX10366" fmla="*/ 7172845 w 12192000"/>
              <a:gd name="csY10366" fmla="*/ 3616522 h 6858000"/>
              <a:gd name="csX10367" fmla="*/ 7207198 w 12192000"/>
              <a:gd name="csY10367" fmla="*/ 3651342 h 6858000"/>
              <a:gd name="csX10368" fmla="*/ 7241538 w 12192000"/>
              <a:gd name="csY10368" fmla="*/ 3616522 h 6858000"/>
              <a:gd name="csX10369" fmla="*/ 7207198 w 12192000"/>
              <a:gd name="csY10369" fmla="*/ 3581702 h 6858000"/>
              <a:gd name="csX10370" fmla="*/ 7290939 w 12192000"/>
              <a:gd name="csY10370" fmla="*/ 3581702 h 6858000"/>
              <a:gd name="csX10371" fmla="*/ 7256586 w 12192000"/>
              <a:gd name="csY10371" fmla="*/ 3616522 h 6858000"/>
              <a:gd name="csX10372" fmla="*/ 7290939 w 12192000"/>
              <a:gd name="csY10372" fmla="*/ 3651342 h 6858000"/>
              <a:gd name="csX10373" fmla="*/ 7325279 w 12192000"/>
              <a:gd name="csY10373" fmla="*/ 3616522 h 6858000"/>
              <a:gd name="csX10374" fmla="*/ 7290939 w 12192000"/>
              <a:gd name="csY10374" fmla="*/ 3581702 h 6858000"/>
              <a:gd name="csX10375" fmla="*/ 7374681 w 12192000"/>
              <a:gd name="csY10375" fmla="*/ 3581702 h 6858000"/>
              <a:gd name="csX10376" fmla="*/ 7340328 w 12192000"/>
              <a:gd name="csY10376" fmla="*/ 3616522 h 6858000"/>
              <a:gd name="csX10377" fmla="*/ 7374681 w 12192000"/>
              <a:gd name="csY10377" fmla="*/ 3651342 h 6858000"/>
              <a:gd name="csX10378" fmla="*/ 7409022 w 12192000"/>
              <a:gd name="csY10378" fmla="*/ 3616522 h 6858000"/>
              <a:gd name="csX10379" fmla="*/ 7374681 w 12192000"/>
              <a:gd name="csY10379" fmla="*/ 3581702 h 6858000"/>
              <a:gd name="csX10380" fmla="*/ 7458423 w 12192000"/>
              <a:gd name="csY10380" fmla="*/ 3581702 h 6858000"/>
              <a:gd name="csX10381" fmla="*/ 7424070 w 12192000"/>
              <a:gd name="csY10381" fmla="*/ 3616522 h 6858000"/>
              <a:gd name="csX10382" fmla="*/ 7458423 w 12192000"/>
              <a:gd name="csY10382" fmla="*/ 3651342 h 6858000"/>
              <a:gd name="csX10383" fmla="*/ 7492763 w 12192000"/>
              <a:gd name="csY10383" fmla="*/ 3616522 h 6858000"/>
              <a:gd name="csX10384" fmla="*/ 7458423 w 12192000"/>
              <a:gd name="csY10384" fmla="*/ 3581702 h 6858000"/>
              <a:gd name="csX10385" fmla="*/ 7542164 w 12192000"/>
              <a:gd name="csY10385" fmla="*/ 3581702 h 6858000"/>
              <a:gd name="csX10386" fmla="*/ 7507811 w 12192000"/>
              <a:gd name="csY10386" fmla="*/ 3616522 h 6858000"/>
              <a:gd name="csX10387" fmla="*/ 7542164 w 12192000"/>
              <a:gd name="csY10387" fmla="*/ 3651342 h 6858000"/>
              <a:gd name="csX10388" fmla="*/ 7576504 w 12192000"/>
              <a:gd name="csY10388" fmla="*/ 3616522 h 6858000"/>
              <a:gd name="csX10389" fmla="*/ 7542164 w 12192000"/>
              <a:gd name="csY10389" fmla="*/ 3581702 h 6858000"/>
              <a:gd name="csX10390" fmla="*/ 7625906 w 12192000"/>
              <a:gd name="csY10390" fmla="*/ 3581702 h 6858000"/>
              <a:gd name="csX10391" fmla="*/ 7591553 w 12192000"/>
              <a:gd name="csY10391" fmla="*/ 3616522 h 6858000"/>
              <a:gd name="csX10392" fmla="*/ 7625906 w 12192000"/>
              <a:gd name="csY10392" fmla="*/ 3651342 h 6858000"/>
              <a:gd name="csX10393" fmla="*/ 7660246 w 12192000"/>
              <a:gd name="csY10393" fmla="*/ 3616522 h 6858000"/>
              <a:gd name="csX10394" fmla="*/ 7625906 w 12192000"/>
              <a:gd name="csY10394" fmla="*/ 3581702 h 6858000"/>
              <a:gd name="csX10395" fmla="*/ 8044614 w 12192000"/>
              <a:gd name="csY10395" fmla="*/ 3581702 h 6858000"/>
              <a:gd name="csX10396" fmla="*/ 8010261 w 12192000"/>
              <a:gd name="csY10396" fmla="*/ 3616522 h 6858000"/>
              <a:gd name="csX10397" fmla="*/ 8044614 w 12192000"/>
              <a:gd name="csY10397" fmla="*/ 3651342 h 6858000"/>
              <a:gd name="csX10398" fmla="*/ 8078955 w 12192000"/>
              <a:gd name="csY10398" fmla="*/ 3616522 h 6858000"/>
              <a:gd name="csX10399" fmla="*/ 8044614 w 12192000"/>
              <a:gd name="csY10399" fmla="*/ 3581702 h 6858000"/>
              <a:gd name="csX10400" fmla="*/ 8128356 w 12192000"/>
              <a:gd name="csY10400" fmla="*/ 3581702 h 6858000"/>
              <a:gd name="csX10401" fmla="*/ 8094003 w 12192000"/>
              <a:gd name="csY10401" fmla="*/ 3616522 h 6858000"/>
              <a:gd name="csX10402" fmla="*/ 8128356 w 12192000"/>
              <a:gd name="csY10402" fmla="*/ 3651342 h 6858000"/>
              <a:gd name="csX10403" fmla="*/ 8162696 w 12192000"/>
              <a:gd name="csY10403" fmla="*/ 3616522 h 6858000"/>
              <a:gd name="csX10404" fmla="*/ 8128356 w 12192000"/>
              <a:gd name="csY10404" fmla="*/ 3581702 h 6858000"/>
              <a:gd name="csX10405" fmla="*/ 8212097 w 12192000"/>
              <a:gd name="csY10405" fmla="*/ 3581702 h 6858000"/>
              <a:gd name="csX10406" fmla="*/ 8177744 w 12192000"/>
              <a:gd name="csY10406" fmla="*/ 3616522 h 6858000"/>
              <a:gd name="csX10407" fmla="*/ 8212097 w 12192000"/>
              <a:gd name="csY10407" fmla="*/ 3651342 h 6858000"/>
              <a:gd name="csX10408" fmla="*/ 8246437 w 12192000"/>
              <a:gd name="csY10408" fmla="*/ 3616522 h 6858000"/>
              <a:gd name="csX10409" fmla="*/ 8212097 w 12192000"/>
              <a:gd name="csY10409" fmla="*/ 3581702 h 6858000"/>
              <a:gd name="csX10410" fmla="*/ 8295839 w 12192000"/>
              <a:gd name="csY10410" fmla="*/ 3581702 h 6858000"/>
              <a:gd name="csX10411" fmla="*/ 8261486 w 12192000"/>
              <a:gd name="csY10411" fmla="*/ 3616522 h 6858000"/>
              <a:gd name="csX10412" fmla="*/ 8295839 w 12192000"/>
              <a:gd name="csY10412" fmla="*/ 3651342 h 6858000"/>
              <a:gd name="csX10413" fmla="*/ 8330179 w 12192000"/>
              <a:gd name="csY10413" fmla="*/ 3616522 h 6858000"/>
              <a:gd name="csX10414" fmla="*/ 8295839 w 12192000"/>
              <a:gd name="csY10414" fmla="*/ 3581702 h 6858000"/>
              <a:gd name="csX10415" fmla="*/ 8379580 w 12192000"/>
              <a:gd name="csY10415" fmla="*/ 3581702 h 6858000"/>
              <a:gd name="csX10416" fmla="*/ 8345227 w 12192000"/>
              <a:gd name="csY10416" fmla="*/ 3616522 h 6858000"/>
              <a:gd name="csX10417" fmla="*/ 8379580 w 12192000"/>
              <a:gd name="csY10417" fmla="*/ 3651342 h 6858000"/>
              <a:gd name="csX10418" fmla="*/ 8413921 w 12192000"/>
              <a:gd name="csY10418" fmla="*/ 3616522 h 6858000"/>
              <a:gd name="csX10419" fmla="*/ 8379580 w 12192000"/>
              <a:gd name="csY10419" fmla="*/ 3581702 h 6858000"/>
              <a:gd name="csX10420" fmla="*/ 8463323 w 12192000"/>
              <a:gd name="csY10420" fmla="*/ 3581702 h 6858000"/>
              <a:gd name="csX10421" fmla="*/ 8428970 w 12192000"/>
              <a:gd name="csY10421" fmla="*/ 3616522 h 6858000"/>
              <a:gd name="csX10422" fmla="*/ 8463323 w 12192000"/>
              <a:gd name="csY10422" fmla="*/ 3651342 h 6858000"/>
              <a:gd name="csX10423" fmla="*/ 8497663 w 12192000"/>
              <a:gd name="csY10423" fmla="*/ 3616522 h 6858000"/>
              <a:gd name="csX10424" fmla="*/ 8463323 w 12192000"/>
              <a:gd name="csY10424" fmla="*/ 3581702 h 6858000"/>
              <a:gd name="csX10425" fmla="*/ 8798289 w 12192000"/>
              <a:gd name="csY10425" fmla="*/ 3581702 h 6858000"/>
              <a:gd name="csX10426" fmla="*/ 8763936 w 12192000"/>
              <a:gd name="csY10426" fmla="*/ 3616522 h 6858000"/>
              <a:gd name="csX10427" fmla="*/ 8798289 w 12192000"/>
              <a:gd name="csY10427" fmla="*/ 3651342 h 6858000"/>
              <a:gd name="csX10428" fmla="*/ 8832629 w 12192000"/>
              <a:gd name="csY10428" fmla="*/ 3616522 h 6858000"/>
              <a:gd name="csX10429" fmla="*/ 8798289 w 12192000"/>
              <a:gd name="csY10429" fmla="*/ 3581702 h 6858000"/>
              <a:gd name="csX10430" fmla="*/ 8882030 w 12192000"/>
              <a:gd name="csY10430" fmla="*/ 3581702 h 6858000"/>
              <a:gd name="csX10431" fmla="*/ 8847677 w 12192000"/>
              <a:gd name="csY10431" fmla="*/ 3616522 h 6858000"/>
              <a:gd name="csX10432" fmla="*/ 8882030 w 12192000"/>
              <a:gd name="csY10432" fmla="*/ 3651342 h 6858000"/>
              <a:gd name="csX10433" fmla="*/ 8916370 w 12192000"/>
              <a:gd name="csY10433" fmla="*/ 3616522 h 6858000"/>
              <a:gd name="csX10434" fmla="*/ 8882030 w 12192000"/>
              <a:gd name="csY10434" fmla="*/ 3581702 h 6858000"/>
              <a:gd name="csX10435" fmla="*/ 8965772 w 12192000"/>
              <a:gd name="csY10435" fmla="*/ 3581702 h 6858000"/>
              <a:gd name="csX10436" fmla="*/ 8931419 w 12192000"/>
              <a:gd name="csY10436" fmla="*/ 3616522 h 6858000"/>
              <a:gd name="csX10437" fmla="*/ 8965772 w 12192000"/>
              <a:gd name="csY10437" fmla="*/ 3651342 h 6858000"/>
              <a:gd name="csX10438" fmla="*/ 9000112 w 12192000"/>
              <a:gd name="csY10438" fmla="*/ 3616522 h 6858000"/>
              <a:gd name="csX10439" fmla="*/ 8965772 w 12192000"/>
              <a:gd name="csY10439" fmla="*/ 3581702 h 6858000"/>
              <a:gd name="csX10440" fmla="*/ 9049513 w 12192000"/>
              <a:gd name="csY10440" fmla="*/ 3581702 h 6858000"/>
              <a:gd name="csX10441" fmla="*/ 9015160 w 12192000"/>
              <a:gd name="csY10441" fmla="*/ 3616522 h 6858000"/>
              <a:gd name="csX10442" fmla="*/ 9049513 w 12192000"/>
              <a:gd name="csY10442" fmla="*/ 3651342 h 6858000"/>
              <a:gd name="csX10443" fmla="*/ 9083854 w 12192000"/>
              <a:gd name="csY10443" fmla="*/ 3616522 h 6858000"/>
              <a:gd name="csX10444" fmla="*/ 9049513 w 12192000"/>
              <a:gd name="csY10444" fmla="*/ 3581702 h 6858000"/>
              <a:gd name="csX10445" fmla="*/ 2685118 w 12192000"/>
              <a:gd name="csY10445" fmla="*/ 3666565 h 6858000"/>
              <a:gd name="csX10446" fmla="*/ 2650771 w 12192000"/>
              <a:gd name="csY10446" fmla="*/ 3701386 h 6858000"/>
              <a:gd name="csX10447" fmla="*/ 2685118 w 12192000"/>
              <a:gd name="csY10447" fmla="*/ 3736206 h 6858000"/>
              <a:gd name="csX10448" fmla="*/ 2719465 w 12192000"/>
              <a:gd name="csY10448" fmla="*/ 3701386 h 6858000"/>
              <a:gd name="csX10449" fmla="*/ 2685118 w 12192000"/>
              <a:gd name="csY10449" fmla="*/ 3666565 h 6858000"/>
              <a:gd name="csX10450" fmla="*/ 2768859 w 12192000"/>
              <a:gd name="csY10450" fmla="*/ 3666565 h 6858000"/>
              <a:gd name="csX10451" fmla="*/ 2734512 w 12192000"/>
              <a:gd name="csY10451" fmla="*/ 3701386 h 6858000"/>
              <a:gd name="csX10452" fmla="*/ 2768859 w 12192000"/>
              <a:gd name="csY10452" fmla="*/ 3736206 h 6858000"/>
              <a:gd name="csX10453" fmla="*/ 2803206 w 12192000"/>
              <a:gd name="csY10453" fmla="*/ 3701386 h 6858000"/>
              <a:gd name="csX10454" fmla="*/ 2768859 w 12192000"/>
              <a:gd name="csY10454" fmla="*/ 3666565 h 6858000"/>
              <a:gd name="csX10455" fmla="*/ 2852600 w 12192000"/>
              <a:gd name="csY10455" fmla="*/ 3666565 h 6858000"/>
              <a:gd name="csX10456" fmla="*/ 2818254 w 12192000"/>
              <a:gd name="csY10456" fmla="*/ 3701386 h 6858000"/>
              <a:gd name="csX10457" fmla="*/ 2852600 w 12192000"/>
              <a:gd name="csY10457" fmla="*/ 3736206 h 6858000"/>
              <a:gd name="csX10458" fmla="*/ 2886947 w 12192000"/>
              <a:gd name="csY10458" fmla="*/ 3701386 h 6858000"/>
              <a:gd name="csX10459" fmla="*/ 2852600 w 12192000"/>
              <a:gd name="csY10459" fmla="*/ 3666565 h 6858000"/>
              <a:gd name="csX10460" fmla="*/ 3103826 w 12192000"/>
              <a:gd name="csY10460" fmla="*/ 3666565 h 6858000"/>
              <a:gd name="csX10461" fmla="*/ 3069479 w 12192000"/>
              <a:gd name="csY10461" fmla="*/ 3701386 h 6858000"/>
              <a:gd name="csX10462" fmla="*/ 3103826 w 12192000"/>
              <a:gd name="csY10462" fmla="*/ 3736206 h 6858000"/>
              <a:gd name="csX10463" fmla="*/ 3138173 w 12192000"/>
              <a:gd name="csY10463" fmla="*/ 3701386 h 6858000"/>
              <a:gd name="csX10464" fmla="*/ 3103826 w 12192000"/>
              <a:gd name="csY10464" fmla="*/ 3666565 h 6858000"/>
              <a:gd name="csX10465" fmla="*/ 3690017 w 12192000"/>
              <a:gd name="csY10465" fmla="*/ 3666565 h 6858000"/>
              <a:gd name="csX10466" fmla="*/ 3655670 w 12192000"/>
              <a:gd name="csY10466" fmla="*/ 3701386 h 6858000"/>
              <a:gd name="csX10467" fmla="*/ 3690017 w 12192000"/>
              <a:gd name="csY10467" fmla="*/ 3736206 h 6858000"/>
              <a:gd name="csX10468" fmla="*/ 3724364 w 12192000"/>
              <a:gd name="csY10468" fmla="*/ 3701386 h 6858000"/>
              <a:gd name="csX10469" fmla="*/ 3690017 w 12192000"/>
              <a:gd name="csY10469" fmla="*/ 3666565 h 6858000"/>
              <a:gd name="csX10470" fmla="*/ 3857500 w 12192000"/>
              <a:gd name="csY10470" fmla="*/ 3666565 h 6858000"/>
              <a:gd name="csX10471" fmla="*/ 3823154 w 12192000"/>
              <a:gd name="csY10471" fmla="*/ 3701386 h 6858000"/>
              <a:gd name="csX10472" fmla="*/ 3857500 w 12192000"/>
              <a:gd name="csY10472" fmla="*/ 3736206 h 6858000"/>
              <a:gd name="csX10473" fmla="*/ 3891847 w 12192000"/>
              <a:gd name="csY10473" fmla="*/ 3701386 h 6858000"/>
              <a:gd name="csX10474" fmla="*/ 3857500 w 12192000"/>
              <a:gd name="csY10474" fmla="*/ 3666565 h 6858000"/>
              <a:gd name="csX10475" fmla="*/ 5364856 w 12192000"/>
              <a:gd name="csY10475" fmla="*/ 3666565 h 6858000"/>
              <a:gd name="csX10476" fmla="*/ 5330503 w 12192000"/>
              <a:gd name="csY10476" fmla="*/ 3701386 h 6858000"/>
              <a:gd name="csX10477" fmla="*/ 5364856 w 12192000"/>
              <a:gd name="csY10477" fmla="*/ 3736206 h 6858000"/>
              <a:gd name="csX10478" fmla="*/ 5399197 w 12192000"/>
              <a:gd name="csY10478" fmla="*/ 3701386 h 6858000"/>
              <a:gd name="csX10479" fmla="*/ 5364856 w 12192000"/>
              <a:gd name="csY10479" fmla="*/ 3666565 h 6858000"/>
              <a:gd name="csX10480" fmla="*/ 5448598 w 12192000"/>
              <a:gd name="csY10480" fmla="*/ 3666565 h 6858000"/>
              <a:gd name="csX10481" fmla="*/ 5414244 w 12192000"/>
              <a:gd name="csY10481" fmla="*/ 3701386 h 6858000"/>
              <a:gd name="csX10482" fmla="*/ 5448598 w 12192000"/>
              <a:gd name="csY10482" fmla="*/ 3736206 h 6858000"/>
              <a:gd name="csX10483" fmla="*/ 5482938 w 12192000"/>
              <a:gd name="csY10483" fmla="*/ 3701386 h 6858000"/>
              <a:gd name="csX10484" fmla="*/ 5448598 w 12192000"/>
              <a:gd name="csY10484" fmla="*/ 3666565 h 6858000"/>
              <a:gd name="csX10485" fmla="*/ 5532340 w 12192000"/>
              <a:gd name="csY10485" fmla="*/ 3666565 h 6858000"/>
              <a:gd name="csX10486" fmla="*/ 5497987 w 12192000"/>
              <a:gd name="csY10486" fmla="*/ 3701386 h 6858000"/>
              <a:gd name="csX10487" fmla="*/ 5532340 w 12192000"/>
              <a:gd name="csY10487" fmla="*/ 3736206 h 6858000"/>
              <a:gd name="csX10488" fmla="*/ 5566680 w 12192000"/>
              <a:gd name="csY10488" fmla="*/ 3701386 h 6858000"/>
              <a:gd name="csX10489" fmla="*/ 5532340 w 12192000"/>
              <a:gd name="csY10489" fmla="*/ 3666565 h 6858000"/>
              <a:gd name="csX10490" fmla="*/ 5616081 w 12192000"/>
              <a:gd name="csY10490" fmla="*/ 3666565 h 6858000"/>
              <a:gd name="csX10491" fmla="*/ 5581728 w 12192000"/>
              <a:gd name="csY10491" fmla="*/ 3701386 h 6858000"/>
              <a:gd name="csX10492" fmla="*/ 5616081 w 12192000"/>
              <a:gd name="csY10492" fmla="*/ 3736206 h 6858000"/>
              <a:gd name="csX10493" fmla="*/ 5650421 w 12192000"/>
              <a:gd name="csY10493" fmla="*/ 3701386 h 6858000"/>
              <a:gd name="csX10494" fmla="*/ 5616081 w 12192000"/>
              <a:gd name="csY10494" fmla="*/ 3666565 h 6858000"/>
              <a:gd name="csX10495" fmla="*/ 5699822 w 12192000"/>
              <a:gd name="csY10495" fmla="*/ 3666565 h 6858000"/>
              <a:gd name="csX10496" fmla="*/ 5665469 w 12192000"/>
              <a:gd name="csY10496" fmla="*/ 3701386 h 6858000"/>
              <a:gd name="csX10497" fmla="*/ 5699822 w 12192000"/>
              <a:gd name="csY10497" fmla="*/ 3736206 h 6858000"/>
              <a:gd name="csX10498" fmla="*/ 5734163 w 12192000"/>
              <a:gd name="csY10498" fmla="*/ 3701386 h 6858000"/>
              <a:gd name="csX10499" fmla="*/ 5699822 w 12192000"/>
              <a:gd name="csY10499" fmla="*/ 3666565 h 6858000"/>
              <a:gd name="csX10500" fmla="*/ 5783565 w 12192000"/>
              <a:gd name="csY10500" fmla="*/ 3666565 h 6858000"/>
              <a:gd name="csX10501" fmla="*/ 5749211 w 12192000"/>
              <a:gd name="csY10501" fmla="*/ 3701386 h 6858000"/>
              <a:gd name="csX10502" fmla="*/ 5783565 w 12192000"/>
              <a:gd name="csY10502" fmla="*/ 3736206 h 6858000"/>
              <a:gd name="csX10503" fmla="*/ 5817905 w 12192000"/>
              <a:gd name="csY10503" fmla="*/ 3701386 h 6858000"/>
              <a:gd name="csX10504" fmla="*/ 5783565 w 12192000"/>
              <a:gd name="csY10504" fmla="*/ 3666565 h 6858000"/>
              <a:gd name="csX10505" fmla="*/ 5867306 w 12192000"/>
              <a:gd name="csY10505" fmla="*/ 3666565 h 6858000"/>
              <a:gd name="csX10506" fmla="*/ 5832953 w 12192000"/>
              <a:gd name="csY10506" fmla="*/ 3701386 h 6858000"/>
              <a:gd name="csX10507" fmla="*/ 5867306 w 12192000"/>
              <a:gd name="csY10507" fmla="*/ 3736206 h 6858000"/>
              <a:gd name="csX10508" fmla="*/ 5901646 w 12192000"/>
              <a:gd name="csY10508" fmla="*/ 3701386 h 6858000"/>
              <a:gd name="csX10509" fmla="*/ 5867306 w 12192000"/>
              <a:gd name="csY10509" fmla="*/ 3666565 h 6858000"/>
              <a:gd name="csX10510" fmla="*/ 5951047 w 12192000"/>
              <a:gd name="csY10510" fmla="*/ 3666565 h 6858000"/>
              <a:gd name="csX10511" fmla="*/ 5916694 w 12192000"/>
              <a:gd name="csY10511" fmla="*/ 3701386 h 6858000"/>
              <a:gd name="csX10512" fmla="*/ 5951047 w 12192000"/>
              <a:gd name="csY10512" fmla="*/ 3736206 h 6858000"/>
              <a:gd name="csX10513" fmla="*/ 5985387 w 12192000"/>
              <a:gd name="csY10513" fmla="*/ 3701386 h 6858000"/>
              <a:gd name="csX10514" fmla="*/ 5951047 w 12192000"/>
              <a:gd name="csY10514" fmla="*/ 3666565 h 6858000"/>
              <a:gd name="csX10515" fmla="*/ 6034789 w 12192000"/>
              <a:gd name="csY10515" fmla="*/ 3666565 h 6858000"/>
              <a:gd name="csX10516" fmla="*/ 6000436 w 12192000"/>
              <a:gd name="csY10516" fmla="*/ 3701386 h 6858000"/>
              <a:gd name="csX10517" fmla="*/ 6034789 w 12192000"/>
              <a:gd name="csY10517" fmla="*/ 3736206 h 6858000"/>
              <a:gd name="csX10518" fmla="*/ 6069130 w 12192000"/>
              <a:gd name="csY10518" fmla="*/ 3701386 h 6858000"/>
              <a:gd name="csX10519" fmla="*/ 6034789 w 12192000"/>
              <a:gd name="csY10519" fmla="*/ 3666565 h 6858000"/>
              <a:gd name="csX10520" fmla="*/ 6118531 w 12192000"/>
              <a:gd name="csY10520" fmla="*/ 3666565 h 6858000"/>
              <a:gd name="csX10521" fmla="*/ 6084177 w 12192000"/>
              <a:gd name="csY10521" fmla="*/ 3701386 h 6858000"/>
              <a:gd name="csX10522" fmla="*/ 6118531 w 12192000"/>
              <a:gd name="csY10522" fmla="*/ 3736206 h 6858000"/>
              <a:gd name="csX10523" fmla="*/ 6152871 w 12192000"/>
              <a:gd name="csY10523" fmla="*/ 3701386 h 6858000"/>
              <a:gd name="csX10524" fmla="*/ 6118531 w 12192000"/>
              <a:gd name="csY10524" fmla="*/ 3666565 h 6858000"/>
              <a:gd name="csX10525" fmla="*/ 6202273 w 12192000"/>
              <a:gd name="csY10525" fmla="*/ 3666565 h 6858000"/>
              <a:gd name="csX10526" fmla="*/ 6167920 w 12192000"/>
              <a:gd name="csY10526" fmla="*/ 3701386 h 6858000"/>
              <a:gd name="csX10527" fmla="*/ 6202273 w 12192000"/>
              <a:gd name="csY10527" fmla="*/ 3736206 h 6858000"/>
              <a:gd name="csX10528" fmla="*/ 6236613 w 12192000"/>
              <a:gd name="csY10528" fmla="*/ 3701386 h 6858000"/>
              <a:gd name="csX10529" fmla="*/ 6202273 w 12192000"/>
              <a:gd name="csY10529" fmla="*/ 3666565 h 6858000"/>
              <a:gd name="csX10530" fmla="*/ 6286014 w 12192000"/>
              <a:gd name="csY10530" fmla="*/ 3666565 h 6858000"/>
              <a:gd name="csX10531" fmla="*/ 6251661 w 12192000"/>
              <a:gd name="csY10531" fmla="*/ 3701386 h 6858000"/>
              <a:gd name="csX10532" fmla="*/ 6286014 w 12192000"/>
              <a:gd name="csY10532" fmla="*/ 3736206 h 6858000"/>
              <a:gd name="csX10533" fmla="*/ 6320354 w 12192000"/>
              <a:gd name="csY10533" fmla="*/ 3701386 h 6858000"/>
              <a:gd name="csX10534" fmla="*/ 6286014 w 12192000"/>
              <a:gd name="csY10534" fmla="*/ 3666565 h 6858000"/>
              <a:gd name="csX10535" fmla="*/ 6369755 w 12192000"/>
              <a:gd name="csY10535" fmla="*/ 3666565 h 6858000"/>
              <a:gd name="csX10536" fmla="*/ 6335402 w 12192000"/>
              <a:gd name="csY10536" fmla="*/ 3701386 h 6858000"/>
              <a:gd name="csX10537" fmla="*/ 6369755 w 12192000"/>
              <a:gd name="csY10537" fmla="*/ 3736206 h 6858000"/>
              <a:gd name="csX10538" fmla="*/ 6404096 w 12192000"/>
              <a:gd name="csY10538" fmla="*/ 3701386 h 6858000"/>
              <a:gd name="csX10539" fmla="*/ 6369755 w 12192000"/>
              <a:gd name="csY10539" fmla="*/ 3666565 h 6858000"/>
              <a:gd name="csX10540" fmla="*/ 6453498 w 12192000"/>
              <a:gd name="csY10540" fmla="*/ 3666565 h 6858000"/>
              <a:gd name="csX10541" fmla="*/ 6419144 w 12192000"/>
              <a:gd name="csY10541" fmla="*/ 3701386 h 6858000"/>
              <a:gd name="csX10542" fmla="*/ 6453498 w 12192000"/>
              <a:gd name="csY10542" fmla="*/ 3736206 h 6858000"/>
              <a:gd name="csX10543" fmla="*/ 6487838 w 12192000"/>
              <a:gd name="csY10543" fmla="*/ 3701386 h 6858000"/>
              <a:gd name="csX10544" fmla="*/ 6453498 w 12192000"/>
              <a:gd name="csY10544" fmla="*/ 3666565 h 6858000"/>
              <a:gd name="csX10545" fmla="*/ 6537239 w 12192000"/>
              <a:gd name="csY10545" fmla="*/ 3666565 h 6858000"/>
              <a:gd name="csX10546" fmla="*/ 6502886 w 12192000"/>
              <a:gd name="csY10546" fmla="*/ 3701386 h 6858000"/>
              <a:gd name="csX10547" fmla="*/ 6537239 w 12192000"/>
              <a:gd name="csY10547" fmla="*/ 3736206 h 6858000"/>
              <a:gd name="csX10548" fmla="*/ 6571579 w 12192000"/>
              <a:gd name="csY10548" fmla="*/ 3701386 h 6858000"/>
              <a:gd name="csX10549" fmla="*/ 6537239 w 12192000"/>
              <a:gd name="csY10549" fmla="*/ 3666565 h 6858000"/>
              <a:gd name="csX10550" fmla="*/ 6620980 w 12192000"/>
              <a:gd name="csY10550" fmla="*/ 3666565 h 6858000"/>
              <a:gd name="csX10551" fmla="*/ 6586627 w 12192000"/>
              <a:gd name="csY10551" fmla="*/ 3701386 h 6858000"/>
              <a:gd name="csX10552" fmla="*/ 6620980 w 12192000"/>
              <a:gd name="csY10552" fmla="*/ 3736206 h 6858000"/>
              <a:gd name="csX10553" fmla="*/ 6655320 w 12192000"/>
              <a:gd name="csY10553" fmla="*/ 3701386 h 6858000"/>
              <a:gd name="csX10554" fmla="*/ 6620980 w 12192000"/>
              <a:gd name="csY10554" fmla="*/ 3666565 h 6858000"/>
              <a:gd name="csX10555" fmla="*/ 6704722 w 12192000"/>
              <a:gd name="csY10555" fmla="*/ 3666565 h 6858000"/>
              <a:gd name="csX10556" fmla="*/ 6670369 w 12192000"/>
              <a:gd name="csY10556" fmla="*/ 3701386 h 6858000"/>
              <a:gd name="csX10557" fmla="*/ 6704722 w 12192000"/>
              <a:gd name="csY10557" fmla="*/ 3736206 h 6858000"/>
              <a:gd name="csX10558" fmla="*/ 6739063 w 12192000"/>
              <a:gd name="csY10558" fmla="*/ 3701386 h 6858000"/>
              <a:gd name="csX10559" fmla="*/ 6704722 w 12192000"/>
              <a:gd name="csY10559" fmla="*/ 3666565 h 6858000"/>
              <a:gd name="csX10560" fmla="*/ 6788464 w 12192000"/>
              <a:gd name="csY10560" fmla="*/ 3666565 h 6858000"/>
              <a:gd name="csX10561" fmla="*/ 6754110 w 12192000"/>
              <a:gd name="csY10561" fmla="*/ 3701386 h 6858000"/>
              <a:gd name="csX10562" fmla="*/ 6788464 w 12192000"/>
              <a:gd name="csY10562" fmla="*/ 3736206 h 6858000"/>
              <a:gd name="csX10563" fmla="*/ 6822804 w 12192000"/>
              <a:gd name="csY10563" fmla="*/ 3701386 h 6858000"/>
              <a:gd name="csX10564" fmla="*/ 6788464 w 12192000"/>
              <a:gd name="csY10564" fmla="*/ 3666565 h 6858000"/>
              <a:gd name="csX10565" fmla="*/ 6872206 w 12192000"/>
              <a:gd name="csY10565" fmla="*/ 3666565 h 6858000"/>
              <a:gd name="csX10566" fmla="*/ 6837853 w 12192000"/>
              <a:gd name="csY10566" fmla="*/ 3701386 h 6858000"/>
              <a:gd name="csX10567" fmla="*/ 6872206 w 12192000"/>
              <a:gd name="csY10567" fmla="*/ 3736206 h 6858000"/>
              <a:gd name="csX10568" fmla="*/ 6906546 w 12192000"/>
              <a:gd name="csY10568" fmla="*/ 3701386 h 6858000"/>
              <a:gd name="csX10569" fmla="*/ 6872206 w 12192000"/>
              <a:gd name="csY10569" fmla="*/ 3666565 h 6858000"/>
              <a:gd name="csX10570" fmla="*/ 6955947 w 12192000"/>
              <a:gd name="csY10570" fmla="*/ 3666565 h 6858000"/>
              <a:gd name="csX10571" fmla="*/ 6921594 w 12192000"/>
              <a:gd name="csY10571" fmla="*/ 3701386 h 6858000"/>
              <a:gd name="csX10572" fmla="*/ 6955947 w 12192000"/>
              <a:gd name="csY10572" fmla="*/ 3736206 h 6858000"/>
              <a:gd name="csX10573" fmla="*/ 6990287 w 12192000"/>
              <a:gd name="csY10573" fmla="*/ 3701386 h 6858000"/>
              <a:gd name="csX10574" fmla="*/ 6955947 w 12192000"/>
              <a:gd name="csY10574" fmla="*/ 3666565 h 6858000"/>
              <a:gd name="csX10575" fmla="*/ 7207198 w 12192000"/>
              <a:gd name="csY10575" fmla="*/ 3666565 h 6858000"/>
              <a:gd name="csX10576" fmla="*/ 7172845 w 12192000"/>
              <a:gd name="csY10576" fmla="*/ 3701386 h 6858000"/>
              <a:gd name="csX10577" fmla="*/ 7207198 w 12192000"/>
              <a:gd name="csY10577" fmla="*/ 3736206 h 6858000"/>
              <a:gd name="csX10578" fmla="*/ 7241538 w 12192000"/>
              <a:gd name="csY10578" fmla="*/ 3701386 h 6858000"/>
              <a:gd name="csX10579" fmla="*/ 7207198 w 12192000"/>
              <a:gd name="csY10579" fmla="*/ 3666565 h 6858000"/>
              <a:gd name="csX10580" fmla="*/ 7290939 w 12192000"/>
              <a:gd name="csY10580" fmla="*/ 3666565 h 6858000"/>
              <a:gd name="csX10581" fmla="*/ 7256586 w 12192000"/>
              <a:gd name="csY10581" fmla="*/ 3701386 h 6858000"/>
              <a:gd name="csX10582" fmla="*/ 7290939 w 12192000"/>
              <a:gd name="csY10582" fmla="*/ 3736206 h 6858000"/>
              <a:gd name="csX10583" fmla="*/ 7325279 w 12192000"/>
              <a:gd name="csY10583" fmla="*/ 3701386 h 6858000"/>
              <a:gd name="csX10584" fmla="*/ 7290939 w 12192000"/>
              <a:gd name="csY10584" fmla="*/ 3666565 h 6858000"/>
              <a:gd name="csX10585" fmla="*/ 7374681 w 12192000"/>
              <a:gd name="csY10585" fmla="*/ 3666565 h 6858000"/>
              <a:gd name="csX10586" fmla="*/ 7340328 w 12192000"/>
              <a:gd name="csY10586" fmla="*/ 3701386 h 6858000"/>
              <a:gd name="csX10587" fmla="*/ 7374681 w 12192000"/>
              <a:gd name="csY10587" fmla="*/ 3736206 h 6858000"/>
              <a:gd name="csX10588" fmla="*/ 7409022 w 12192000"/>
              <a:gd name="csY10588" fmla="*/ 3701386 h 6858000"/>
              <a:gd name="csX10589" fmla="*/ 7374681 w 12192000"/>
              <a:gd name="csY10589" fmla="*/ 3666565 h 6858000"/>
              <a:gd name="csX10590" fmla="*/ 7458423 w 12192000"/>
              <a:gd name="csY10590" fmla="*/ 3666565 h 6858000"/>
              <a:gd name="csX10591" fmla="*/ 7424070 w 12192000"/>
              <a:gd name="csY10591" fmla="*/ 3701386 h 6858000"/>
              <a:gd name="csX10592" fmla="*/ 7458423 w 12192000"/>
              <a:gd name="csY10592" fmla="*/ 3736206 h 6858000"/>
              <a:gd name="csX10593" fmla="*/ 7492763 w 12192000"/>
              <a:gd name="csY10593" fmla="*/ 3701386 h 6858000"/>
              <a:gd name="csX10594" fmla="*/ 7458423 w 12192000"/>
              <a:gd name="csY10594" fmla="*/ 3666565 h 6858000"/>
              <a:gd name="csX10595" fmla="*/ 7542164 w 12192000"/>
              <a:gd name="csY10595" fmla="*/ 3666565 h 6858000"/>
              <a:gd name="csX10596" fmla="*/ 7507811 w 12192000"/>
              <a:gd name="csY10596" fmla="*/ 3701386 h 6858000"/>
              <a:gd name="csX10597" fmla="*/ 7542164 w 12192000"/>
              <a:gd name="csY10597" fmla="*/ 3736206 h 6858000"/>
              <a:gd name="csX10598" fmla="*/ 7576504 w 12192000"/>
              <a:gd name="csY10598" fmla="*/ 3701386 h 6858000"/>
              <a:gd name="csX10599" fmla="*/ 7542164 w 12192000"/>
              <a:gd name="csY10599" fmla="*/ 3666565 h 6858000"/>
              <a:gd name="csX10600" fmla="*/ 8128356 w 12192000"/>
              <a:gd name="csY10600" fmla="*/ 3666565 h 6858000"/>
              <a:gd name="csX10601" fmla="*/ 8094003 w 12192000"/>
              <a:gd name="csY10601" fmla="*/ 3701386 h 6858000"/>
              <a:gd name="csX10602" fmla="*/ 8128356 w 12192000"/>
              <a:gd name="csY10602" fmla="*/ 3736206 h 6858000"/>
              <a:gd name="csX10603" fmla="*/ 8162696 w 12192000"/>
              <a:gd name="csY10603" fmla="*/ 3701386 h 6858000"/>
              <a:gd name="csX10604" fmla="*/ 8128356 w 12192000"/>
              <a:gd name="csY10604" fmla="*/ 3666565 h 6858000"/>
              <a:gd name="csX10605" fmla="*/ 8212097 w 12192000"/>
              <a:gd name="csY10605" fmla="*/ 3666565 h 6858000"/>
              <a:gd name="csX10606" fmla="*/ 8177744 w 12192000"/>
              <a:gd name="csY10606" fmla="*/ 3701386 h 6858000"/>
              <a:gd name="csX10607" fmla="*/ 8212097 w 12192000"/>
              <a:gd name="csY10607" fmla="*/ 3736206 h 6858000"/>
              <a:gd name="csX10608" fmla="*/ 8246437 w 12192000"/>
              <a:gd name="csY10608" fmla="*/ 3701386 h 6858000"/>
              <a:gd name="csX10609" fmla="*/ 8212097 w 12192000"/>
              <a:gd name="csY10609" fmla="*/ 3666565 h 6858000"/>
              <a:gd name="csX10610" fmla="*/ 8295839 w 12192000"/>
              <a:gd name="csY10610" fmla="*/ 3666565 h 6858000"/>
              <a:gd name="csX10611" fmla="*/ 8261486 w 12192000"/>
              <a:gd name="csY10611" fmla="*/ 3701386 h 6858000"/>
              <a:gd name="csX10612" fmla="*/ 8295839 w 12192000"/>
              <a:gd name="csY10612" fmla="*/ 3736206 h 6858000"/>
              <a:gd name="csX10613" fmla="*/ 8330179 w 12192000"/>
              <a:gd name="csY10613" fmla="*/ 3701386 h 6858000"/>
              <a:gd name="csX10614" fmla="*/ 8295839 w 12192000"/>
              <a:gd name="csY10614" fmla="*/ 3666565 h 6858000"/>
              <a:gd name="csX10615" fmla="*/ 8379580 w 12192000"/>
              <a:gd name="csY10615" fmla="*/ 3666565 h 6858000"/>
              <a:gd name="csX10616" fmla="*/ 8345227 w 12192000"/>
              <a:gd name="csY10616" fmla="*/ 3701386 h 6858000"/>
              <a:gd name="csX10617" fmla="*/ 8379580 w 12192000"/>
              <a:gd name="csY10617" fmla="*/ 3736206 h 6858000"/>
              <a:gd name="csX10618" fmla="*/ 8413921 w 12192000"/>
              <a:gd name="csY10618" fmla="*/ 3701386 h 6858000"/>
              <a:gd name="csX10619" fmla="*/ 8379580 w 12192000"/>
              <a:gd name="csY10619" fmla="*/ 3666565 h 6858000"/>
              <a:gd name="csX10620" fmla="*/ 8798289 w 12192000"/>
              <a:gd name="csY10620" fmla="*/ 3666565 h 6858000"/>
              <a:gd name="csX10621" fmla="*/ 8763936 w 12192000"/>
              <a:gd name="csY10621" fmla="*/ 3701386 h 6858000"/>
              <a:gd name="csX10622" fmla="*/ 8798289 w 12192000"/>
              <a:gd name="csY10622" fmla="*/ 3736206 h 6858000"/>
              <a:gd name="csX10623" fmla="*/ 8832629 w 12192000"/>
              <a:gd name="csY10623" fmla="*/ 3701386 h 6858000"/>
              <a:gd name="csX10624" fmla="*/ 8798289 w 12192000"/>
              <a:gd name="csY10624" fmla="*/ 3666565 h 6858000"/>
              <a:gd name="csX10625" fmla="*/ 8882030 w 12192000"/>
              <a:gd name="csY10625" fmla="*/ 3666565 h 6858000"/>
              <a:gd name="csX10626" fmla="*/ 8847677 w 12192000"/>
              <a:gd name="csY10626" fmla="*/ 3701386 h 6858000"/>
              <a:gd name="csX10627" fmla="*/ 8882030 w 12192000"/>
              <a:gd name="csY10627" fmla="*/ 3736206 h 6858000"/>
              <a:gd name="csX10628" fmla="*/ 8916370 w 12192000"/>
              <a:gd name="csY10628" fmla="*/ 3701386 h 6858000"/>
              <a:gd name="csX10629" fmla="*/ 8882030 w 12192000"/>
              <a:gd name="csY10629" fmla="*/ 3666565 h 6858000"/>
              <a:gd name="csX10630" fmla="*/ 8965772 w 12192000"/>
              <a:gd name="csY10630" fmla="*/ 3666565 h 6858000"/>
              <a:gd name="csX10631" fmla="*/ 8931419 w 12192000"/>
              <a:gd name="csY10631" fmla="*/ 3701386 h 6858000"/>
              <a:gd name="csX10632" fmla="*/ 8965772 w 12192000"/>
              <a:gd name="csY10632" fmla="*/ 3736206 h 6858000"/>
              <a:gd name="csX10633" fmla="*/ 9000112 w 12192000"/>
              <a:gd name="csY10633" fmla="*/ 3701386 h 6858000"/>
              <a:gd name="csX10634" fmla="*/ 8965772 w 12192000"/>
              <a:gd name="csY10634" fmla="*/ 3666565 h 6858000"/>
              <a:gd name="csX10635" fmla="*/ 9049513 w 12192000"/>
              <a:gd name="csY10635" fmla="*/ 3666565 h 6858000"/>
              <a:gd name="csX10636" fmla="*/ 9015160 w 12192000"/>
              <a:gd name="csY10636" fmla="*/ 3701386 h 6858000"/>
              <a:gd name="csX10637" fmla="*/ 9049513 w 12192000"/>
              <a:gd name="csY10637" fmla="*/ 3736206 h 6858000"/>
              <a:gd name="csX10638" fmla="*/ 9083854 w 12192000"/>
              <a:gd name="csY10638" fmla="*/ 3701386 h 6858000"/>
              <a:gd name="csX10639" fmla="*/ 9049513 w 12192000"/>
              <a:gd name="csY10639" fmla="*/ 3666565 h 6858000"/>
              <a:gd name="csX10640" fmla="*/ 9300738 w 12192000"/>
              <a:gd name="csY10640" fmla="*/ 3666565 h 6858000"/>
              <a:gd name="csX10641" fmla="*/ 9266385 w 12192000"/>
              <a:gd name="csY10641" fmla="*/ 3701386 h 6858000"/>
              <a:gd name="csX10642" fmla="*/ 9300738 w 12192000"/>
              <a:gd name="csY10642" fmla="*/ 3736206 h 6858000"/>
              <a:gd name="csX10643" fmla="*/ 9335078 w 12192000"/>
              <a:gd name="csY10643" fmla="*/ 3701386 h 6858000"/>
              <a:gd name="csX10644" fmla="*/ 9300738 w 12192000"/>
              <a:gd name="csY10644" fmla="*/ 3666565 h 6858000"/>
              <a:gd name="csX10645" fmla="*/ 2852600 w 12192000"/>
              <a:gd name="csY10645" fmla="*/ 3751429 h 6858000"/>
              <a:gd name="csX10646" fmla="*/ 2818254 w 12192000"/>
              <a:gd name="csY10646" fmla="*/ 3786250 h 6858000"/>
              <a:gd name="csX10647" fmla="*/ 2852600 w 12192000"/>
              <a:gd name="csY10647" fmla="*/ 3821070 h 6858000"/>
              <a:gd name="csX10648" fmla="*/ 2886947 w 12192000"/>
              <a:gd name="csY10648" fmla="*/ 3786250 h 6858000"/>
              <a:gd name="csX10649" fmla="*/ 2852600 w 12192000"/>
              <a:gd name="csY10649" fmla="*/ 3751429 h 6858000"/>
              <a:gd name="csX10650" fmla="*/ 2936343 w 12192000"/>
              <a:gd name="csY10650" fmla="*/ 3751429 h 6858000"/>
              <a:gd name="csX10651" fmla="*/ 2901996 w 12192000"/>
              <a:gd name="csY10651" fmla="*/ 3786250 h 6858000"/>
              <a:gd name="csX10652" fmla="*/ 2936343 w 12192000"/>
              <a:gd name="csY10652" fmla="*/ 3821070 h 6858000"/>
              <a:gd name="csX10653" fmla="*/ 2970689 w 12192000"/>
              <a:gd name="csY10653" fmla="*/ 3786250 h 6858000"/>
              <a:gd name="csX10654" fmla="*/ 2936343 w 12192000"/>
              <a:gd name="csY10654" fmla="*/ 3751429 h 6858000"/>
              <a:gd name="csX10655" fmla="*/ 3020084 w 12192000"/>
              <a:gd name="csY10655" fmla="*/ 3751429 h 6858000"/>
              <a:gd name="csX10656" fmla="*/ 2985737 w 12192000"/>
              <a:gd name="csY10656" fmla="*/ 3786250 h 6858000"/>
              <a:gd name="csX10657" fmla="*/ 3020084 w 12192000"/>
              <a:gd name="csY10657" fmla="*/ 3821070 h 6858000"/>
              <a:gd name="csX10658" fmla="*/ 3054431 w 12192000"/>
              <a:gd name="csY10658" fmla="*/ 3786250 h 6858000"/>
              <a:gd name="csX10659" fmla="*/ 3020084 w 12192000"/>
              <a:gd name="csY10659" fmla="*/ 3751429 h 6858000"/>
              <a:gd name="csX10660" fmla="*/ 3103826 w 12192000"/>
              <a:gd name="csY10660" fmla="*/ 3751429 h 6858000"/>
              <a:gd name="csX10661" fmla="*/ 3069479 w 12192000"/>
              <a:gd name="csY10661" fmla="*/ 3786250 h 6858000"/>
              <a:gd name="csX10662" fmla="*/ 3103826 w 12192000"/>
              <a:gd name="csY10662" fmla="*/ 3821070 h 6858000"/>
              <a:gd name="csX10663" fmla="*/ 3138173 w 12192000"/>
              <a:gd name="csY10663" fmla="*/ 3786250 h 6858000"/>
              <a:gd name="csX10664" fmla="*/ 3103826 w 12192000"/>
              <a:gd name="csY10664" fmla="*/ 3751429 h 6858000"/>
              <a:gd name="csX10665" fmla="*/ 5448598 w 12192000"/>
              <a:gd name="csY10665" fmla="*/ 3751429 h 6858000"/>
              <a:gd name="csX10666" fmla="*/ 5414244 w 12192000"/>
              <a:gd name="csY10666" fmla="*/ 3786250 h 6858000"/>
              <a:gd name="csX10667" fmla="*/ 5448598 w 12192000"/>
              <a:gd name="csY10667" fmla="*/ 3821070 h 6858000"/>
              <a:gd name="csX10668" fmla="*/ 5482938 w 12192000"/>
              <a:gd name="csY10668" fmla="*/ 3786250 h 6858000"/>
              <a:gd name="csX10669" fmla="*/ 5448598 w 12192000"/>
              <a:gd name="csY10669" fmla="*/ 3751429 h 6858000"/>
              <a:gd name="csX10670" fmla="*/ 5532340 w 12192000"/>
              <a:gd name="csY10670" fmla="*/ 3751429 h 6858000"/>
              <a:gd name="csX10671" fmla="*/ 5497987 w 12192000"/>
              <a:gd name="csY10671" fmla="*/ 3786250 h 6858000"/>
              <a:gd name="csX10672" fmla="*/ 5532340 w 12192000"/>
              <a:gd name="csY10672" fmla="*/ 3821070 h 6858000"/>
              <a:gd name="csX10673" fmla="*/ 5566680 w 12192000"/>
              <a:gd name="csY10673" fmla="*/ 3786250 h 6858000"/>
              <a:gd name="csX10674" fmla="*/ 5532340 w 12192000"/>
              <a:gd name="csY10674" fmla="*/ 3751429 h 6858000"/>
              <a:gd name="csX10675" fmla="*/ 5616081 w 12192000"/>
              <a:gd name="csY10675" fmla="*/ 3751429 h 6858000"/>
              <a:gd name="csX10676" fmla="*/ 5581728 w 12192000"/>
              <a:gd name="csY10676" fmla="*/ 3786250 h 6858000"/>
              <a:gd name="csX10677" fmla="*/ 5616081 w 12192000"/>
              <a:gd name="csY10677" fmla="*/ 3821070 h 6858000"/>
              <a:gd name="csX10678" fmla="*/ 5650421 w 12192000"/>
              <a:gd name="csY10678" fmla="*/ 3786250 h 6858000"/>
              <a:gd name="csX10679" fmla="*/ 5616081 w 12192000"/>
              <a:gd name="csY10679" fmla="*/ 3751429 h 6858000"/>
              <a:gd name="csX10680" fmla="*/ 5699822 w 12192000"/>
              <a:gd name="csY10680" fmla="*/ 3751429 h 6858000"/>
              <a:gd name="csX10681" fmla="*/ 5665469 w 12192000"/>
              <a:gd name="csY10681" fmla="*/ 3786250 h 6858000"/>
              <a:gd name="csX10682" fmla="*/ 5699822 w 12192000"/>
              <a:gd name="csY10682" fmla="*/ 3821070 h 6858000"/>
              <a:gd name="csX10683" fmla="*/ 5734163 w 12192000"/>
              <a:gd name="csY10683" fmla="*/ 3786250 h 6858000"/>
              <a:gd name="csX10684" fmla="*/ 5699822 w 12192000"/>
              <a:gd name="csY10684" fmla="*/ 3751429 h 6858000"/>
              <a:gd name="csX10685" fmla="*/ 5783565 w 12192000"/>
              <a:gd name="csY10685" fmla="*/ 3751429 h 6858000"/>
              <a:gd name="csX10686" fmla="*/ 5749211 w 12192000"/>
              <a:gd name="csY10686" fmla="*/ 3786250 h 6858000"/>
              <a:gd name="csX10687" fmla="*/ 5783565 w 12192000"/>
              <a:gd name="csY10687" fmla="*/ 3821070 h 6858000"/>
              <a:gd name="csX10688" fmla="*/ 5817905 w 12192000"/>
              <a:gd name="csY10688" fmla="*/ 3786250 h 6858000"/>
              <a:gd name="csX10689" fmla="*/ 5783565 w 12192000"/>
              <a:gd name="csY10689" fmla="*/ 3751429 h 6858000"/>
              <a:gd name="csX10690" fmla="*/ 5867306 w 12192000"/>
              <a:gd name="csY10690" fmla="*/ 3751429 h 6858000"/>
              <a:gd name="csX10691" fmla="*/ 5832953 w 12192000"/>
              <a:gd name="csY10691" fmla="*/ 3786250 h 6858000"/>
              <a:gd name="csX10692" fmla="*/ 5867306 w 12192000"/>
              <a:gd name="csY10692" fmla="*/ 3821070 h 6858000"/>
              <a:gd name="csX10693" fmla="*/ 5901646 w 12192000"/>
              <a:gd name="csY10693" fmla="*/ 3786250 h 6858000"/>
              <a:gd name="csX10694" fmla="*/ 5867306 w 12192000"/>
              <a:gd name="csY10694" fmla="*/ 3751429 h 6858000"/>
              <a:gd name="csX10695" fmla="*/ 5951047 w 12192000"/>
              <a:gd name="csY10695" fmla="*/ 3751429 h 6858000"/>
              <a:gd name="csX10696" fmla="*/ 5916694 w 12192000"/>
              <a:gd name="csY10696" fmla="*/ 3786250 h 6858000"/>
              <a:gd name="csX10697" fmla="*/ 5951047 w 12192000"/>
              <a:gd name="csY10697" fmla="*/ 3821070 h 6858000"/>
              <a:gd name="csX10698" fmla="*/ 5985387 w 12192000"/>
              <a:gd name="csY10698" fmla="*/ 3786250 h 6858000"/>
              <a:gd name="csX10699" fmla="*/ 5951047 w 12192000"/>
              <a:gd name="csY10699" fmla="*/ 3751429 h 6858000"/>
              <a:gd name="csX10700" fmla="*/ 6034789 w 12192000"/>
              <a:gd name="csY10700" fmla="*/ 3751429 h 6858000"/>
              <a:gd name="csX10701" fmla="*/ 6000436 w 12192000"/>
              <a:gd name="csY10701" fmla="*/ 3786250 h 6858000"/>
              <a:gd name="csX10702" fmla="*/ 6034789 w 12192000"/>
              <a:gd name="csY10702" fmla="*/ 3821070 h 6858000"/>
              <a:gd name="csX10703" fmla="*/ 6069130 w 12192000"/>
              <a:gd name="csY10703" fmla="*/ 3786250 h 6858000"/>
              <a:gd name="csX10704" fmla="*/ 6034789 w 12192000"/>
              <a:gd name="csY10704" fmla="*/ 3751429 h 6858000"/>
              <a:gd name="csX10705" fmla="*/ 6118531 w 12192000"/>
              <a:gd name="csY10705" fmla="*/ 3751429 h 6858000"/>
              <a:gd name="csX10706" fmla="*/ 6084177 w 12192000"/>
              <a:gd name="csY10706" fmla="*/ 3786250 h 6858000"/>
              <a:gd name="csX10707" fmla="*/ 6118531 w 12192000"/>
              <a:gd name="csY10707" fmla="*/ 3821070 h 6858000"/>
              <a:gd name="csX10708" fmla="*/ 6152871 w 12192000"/>
              <a:gd name="csY10708" fmla="*/ 3786250 h 6858000"/>
              <a:gd name="csX10709" fmla="*/ 6118531 w 12192000"/>
              <a:gd name="csY10709" fmla="*/ 3751429 h 6858000"/>
              <a:gd name="csX10710" fmla="*/ 6202273 w 12192000"/>
              <a:gd name="csY10710" fmla="*/ 3751429 h 6858000"/>
              <a:gd name="csX10711" fmla="*/ 6167920 w 12192000"/>
              <a:gd name="csY10711" fmla="*/ 3786250 h 6858000"/>
              <a:gd name="csX10712" fmla="*/ 6202273 w 12192000"/>
              <a:gd name="csY10712" fmla="*/ 3821070 h 6858000"/>
              <a:gd name="csX10713" fmla="*/ 6236613 w 12192000"/>
              <a:gd name="csY10713" fmla="*/ 3786250 h 6858000"/>
              <a:gd name="csX10714" fmla="*/ 6202273 w 12192000"/>
              <a:gd name="csY10714" fmla="*/ 3751429 h 6858000"/>
              <a:gd name="csX10715" fmla="*/ 6286014 w 12192000"/>
              <a:gd name="csY10715" fmla="*/ 3751429 h 6858000"/>
              <a:gd name="csX10716" fmla="*/ 6251661 w 12192000"/>
              <a:gd name="csY10716" fmla="*/ 3786250 h 6858000"/>
              <a:gd name="csX10717" fmla="*/ 6286014 w 12192000"/>
              <a:gd name="csY10717" fmla="*/ 3821070 h 6858000"/>
              <a:gd name="csX10718" fmla="*/ 6320354 w 12192000"/>
              <a:gd name="csY10718" fmla="*/ 3786250 h 6858000"/>
              <a:gd name="csX10719" fmla="*/ 6286014 w 12192000"/>
              <a:gd name="csY10719" fmla="*/ 3751429 h 6858000"/>
              <a:gd name="csX10720" fmla="*/ 6369755 w 12192000"/>
              <a:gd name="csY10720" fmla="*/ 3751429 h 6858000"/>
              <a:gd name="csX10721" fmla="*/ 6335402 w 12192000"/>
              <a:gd name="csY10721" fmla="*/ 3786250 h 6858000"/>
              <a:gd name="csX10722" fmla="*/ 6369755 w 12192000"/>
              <a:gd name="csY10722" fmla="*/ 3821070 h 6858000"/>
              <a:gd name="csX10723" fmla="*/ 6404096 w 12192000"/>
              <a:gd name="csY10723" fmla="*/ 3786250 h 6858000"/>
              <a:gd name="csX10724" fmla="*/ 6369755 w 12192000"/>
              <a:gd name="csY10724" fmla="*/ 3751429 h 6858000"/>
              <a:gd name="csX10725" fmla="*/ 6453498 w 12192000"/>
              <a:gd name="csY10725" fmla="*/ 3751429 h 6858000"/>
              <a:gd name="csX10726" fmla="*/ 6419144 w 12192000"/>
              <a:gd name="csY10726" fmla="*/ 3786250 h 6858000"/>
              <a:gd name="csX10727" fmla="*/ 6453498 w 12192000"/>
              <a:gd name="csY10727" fmla="*/ 3821070 h 6858000"/>
              <a:gd name="csX10728" fmla="*/ 6487838 w 12192000"/>
              <a:gd name="csY10728" fmla="*/ 3786250 h 6858000"/>
              <a:gd name="csX10729" fmla="*/ 6453498 w 12192000"/>
              <a:gd name="csY10729" fmla="*/ 3751429 h 6858000"/>
              <a:gd name="csX10730" fmla="*/ 6537239 w 12192000"/>
              <a:gd name="csY10730" fmla="*/ 3751429 h 6858000"/>
              <a:gd name="csX10731" fmla="*/ 6502886 w 12192000"/>
              <a:gd name="csY10731" fmla="*/ 3786250 h 6858000"/>
              <a:gd name="csX10732" fmla="*/ 6537239 w 12192000"/>
              <a:gd name="csY10732" fmla="*/ 3821070 h 6858000"/>
              <a:gd name="csX10733" fmla="*/ 6571579 w 12192000"/>
              <a:gd name="csY10733" fmla="*/ 3786250 h 6858000"/>
              <a:gd name="csX10734" fmla="*/ 6537239 w 12192000"/>
              <a:gd name="csY10734" fmla="*/ 3751429 h 6858000"/>
              <a:gd name="csX10735" fmla="*/ 6620980 w 12192000"/>
              <a:gd name="csY10735" fmla="*/ 3751429 h 6858000"/>
              <a:gd name="csX10736" fmla="*/ 6586627 w 12192000"/>
              <a:gd name="csY10736" fmla="*/ 3786250 h 6858000"/>
              <a:gd name="csX10737" fmla="*/ 6620980 w 12192000"/>
              <a:gd name="csY10737" fmla="*/ 3821070 h 6858000"/>
              <a:gd name="csX10738" fmla="*/ 6655320 w 12192000"/>
              <a:gd name="csY10738" fmla="*/ 3786250 h 6858000"/>
              <a:gd name="csX10739" fmla="*/ 6620980 w 12192000"/>
              <a:gd name="csY10739" fmla="*/ 3751429 h 6858000"/>
              <a:gd name="csX10740" fmla="*/ 6704722 w 12192000"/>
              <a:gd name="csY10740" fmla="*/ 3751429 h 6858000"/>
              <a:gd name="csX10741" fmla="*/ 6670369 w 12192000"/>
              <a:gd name="csY10741" fmla="*/ 3786250 h 6858000"/>
              <a:gd name="csX10742" fmla="*/ 6704722 w 12192000"/>
              <a:gd name="csY10742" fmla="*/ 3821070 h 6858000"/>
              <a:gd name="csX10743" fmla="*/ 6739063 w 12192000"/>
              <a:gd name="csY10743" fmla="*/ 3786250 h 6858000"/>
              <a:gd name="csX10744" fmla="*/ 6704722 w 12192000"/>
              <a:gd name="csY10744" fmla="*/ 3751429 h 6858000"/>
              <a:gd name="csX10745" fmla="*/ 6788464 w 12192000"/>
              <a:gd name="csY10745" fmla="*/ 3751429 h 6858000"/>
              <a:gd name="csX10746" fmla="*/ 6754110 w 12192000"/>
              <a:gd name="csY10746" fmla="*/ 3786250 h 6858000"/>
              <a:gd name="csX10747" fmla="*/ 6788464 w 12192000"/>
              <a:gd name="csY10747" fmla="*/ 3821070 h 6858000"/>
              <a:gd name="csX10748" fmla="*/ 6822804 w 12192000"/>
              <a:gd name="csY10748" fmla="*/ 3786250 h 6858000"/>
              <a:gd name="csX10749" fmla="*/ 6788464 w 12192000"/>
              <a:gd name="csY10749" fmla="*/ 3751429 h 6858000"/>
              <a:gd name="csX10750" fmla="*/ 6872206 w 12192000"/>
              <a:gd name="csY10750" fmla="*/ 3751429 h 6858000"/>
              <a:gd name="csX10751" fmla="*/ 6837853 w 12192000"/>
              <a:gd name="csY10751" fmla="*/ 3786250 h 6858000"/>
              <a:gd name="csX10752" fmla="*/ 6872206 w 12192000"/>
              <a:gd name="csY10752" fmla="*/ 3821070 h 6858000"/>
              <a:gd name="csX10753" fmla="*/ 6906546 w 12192000"/>
              <a:gd name="csY10753" fmla="*/ 3786250 h 6858000"/>
              <a:gd name="csX10754" fmla="*/ 6872206 w 12192000"/>
              <a:gd name="csY10754" fmla="*/ 3751429 h 6858000"/>
              <a:gd name="csX10755" fmla="*/ 6955947 w 12192000"/>
              <a:gd name="csY10755" fmla="*/ 3751429 h 6858000"/>
              <a:gd name="csX10756" fmla="*/ 6921594 w 12192000"/>
              <a:gd name="csY10756" fmla="*/ 3786250 h 6858000"/>
              <a:gd name="csX10757" fmla="*/ 6955947 w 12192000"/>
              <a:gd name="csY10757" fmla="*/ 3821070 h 6858000"/>
              <a:gd name="csX10758" fmla="*/ 6990287 w 12192000"/>
              <a:gd name="csY10758" fmla="*/ 3786250 h 6858000"/>
              <a:gd name="csX10759" fmla="*/ 6955947 w 12192000"/>
              <a:gd name="csY10759" fmla="*/ 3751429 h 6858000"/>
              <a:gd name="csX10760" fmla="*/ 7039688 w 12192000"/>
              <a:gd name="csY10760" fmla="*/ 3751429 h 6858000"/>
              <a:gd name="csX10761" fmla="*/ 7005335 w 12192000"/>
              <a:gd name="csY10761" fmla="*/ 3786250 h 6858000"/>
              <a:gd name="csX10762" fmla="*/ 7039688 w 12192000"/>
              <a:gd name="csY10762" fmla="*/ 3821070 h 6858000"/>
              <a:gd name="csX10763" fmla="*/ 7074029 w 12192000"/>
              <a:gd name="csY10763" fmla="*/ 3786250 h 6858000"/>
              <a:gd name="csX10764" fmla="*/ 7039688 w 12192000"/>
              <a:gd name="csY10764" fmla="*/ 3751429 h 6858000"/>
              <a:gd name="csX10765" fmla="*/ 7290939 w 12192000"/>
              <a:gd name="csY10765" fmla="*/ 3751429 h 6858000"/>
              <a:gd name="csX10766" fmla="*/ 7256586 w 12192000"/>
              <a:gd name="csY10766" fmla="*/ 3786250 h 6858000"/>
              <a:gd name="csX10767" fmla="*/ 7290939 w 12192000"/>
              <a:gd name="csY10767" fmla="*/ 3821070 h 6858000"/>
              <a:gd name="csX10768" fmla="*/ 7325279 w 12192000"/>
              <a:gd name="csY10768" fmla="*/ 3786250 h 6858000"/>
              <a:gd name="csX10769" fmla="*/ 7290939 w 12192000"/>
              <a:gd name="csY10769" fmla="*/ 3751429 h 6858000"/>
              <a:gd name="csX10770" fmla="*/ 7374681 w 12192000"/>
              <a:gd name="csY10770" fmla="*/ 3751429 h 6858000"/>
              <a:gd name="csX10771" fmla="*/ 7340328 w 12192000"/>
              <a:gd name="csY10771" fmla="*/ 3786250 h 6858000"/>
              <a:gd name="csX10772" fmla="*/ 7374681 w 12192000"/>
              <a:gd name="csY10772" fmla="*/ 3821070 h 6858000"/>
              <a:gd name="csX10773" fmla="*/ 7409022 w 12192000"/>
              <a:gd name="csY10773" fmla="*/ 3786250 h 6858000"/>
              <a:gd name="csX10774" fmla="*/ 7374681 w 12192000"/>
              <a:gd name="csY10774" fmla="*/ 3751429 h 6858000"/>
              <a:gd name="csX10775" fmla="*/ 7458423 w 12192000"/>
              <a:gd name="csY10775" fmla="*/ 3751429 h 6858000"/>
              <a:gd name="csX10776" fmla="*/ 7424070 w 12192000"/>
              <a:gd name="csY10776" fmla="*/ 3786250 h 6858000"/>
              <a:gd name="csX10777" fmla="*/ 7458423 w 12192000"/>
              <a:gd name="csY10777" fmla="*/ 3821070 h 6858000"/>
              <a:gd name="csX10778" fmla="*/ 7492763 w 12192000"/>
              <a:gd name="csY10778" fmla="*/ 3786250 h 6858000"/>
              <a:gd name="csX10779" fmla="*/ 7458423 w 12192000"/>
              <a:gd name="csY10779" fmla="*/ 3751429 h 6858000"/>
              <a:gd name="csX10780" fmla="*/ 8212097 w 12192000"/>
              <a:gd name="csY10780" fmla="*/ 3751429 h 6858000"/>
              <a:gd name="csX10781" fmla="*/ 8177744 w 12192000"/>
              <a:gd name="csY10781" fmla="*/ 3786250 h 6858000"/>
              <a:gd name="csX10782" fmla="*/ 8212097 w 12192000"/>
              <a:gd name="csY10782" fmla="*/ 3821070 h 6858000"/>
              <a:gd name="csX10783" fmla="*/ 8246437 w 12192000"/>
              <a:gd name="csY10783" fmla="*/ 3786250 h 6858000"/>
              <a:gd name="csX10784" fmla="*/ 8212097 w 12192000"/>
              <a:gd name="csY10784" fmla="*/ 3751429 h 6858000"/>
              <a:gd name="csX10785" fmla="*/ 8295839 w 12192000"/>
              <a:gd name="csY10785" fmla="*/ 3751429 h 6858000"/>
              <a:gd name="csX10786" fmla="*/ 8261486 w 12192000"/>
              <a:gd name="csY10786" fmla="*/ 3786250 h 6858000"/>
              <a:gd name="csX10787" fmla="*/ 8295839 w 12192000"/>
              <a:gd name="csY10787" fmla="*/ 3821070 h 6858000"/>
              <a:gd name="csX10788" fmla="*/ 8330179 w 12192000"/>
              <a:gd name="csY10788" fmla="*/ 3786250 h 6858000"/>
              <a:gd name="csX10789" fmla="*/ 8295839 w 12192000"/>
              <a:gd name="csY10789" fmla="*/ 3751429 h 6858000"/>
              <a:gd name="csX10790" fmla="*/ 8965772 w 12192000"/>
              <a:gd name="csY10790" fmla="*/ 3751429 h 6858000"/>
              <a:gd name="csX10791" fmla="*/ 8931419 w 12192000"/>
              <a:gd name="csY10791" fmla="*/ 3786250 h 6858000"/>
              <a:gd name="csX10792" fmla="*/ 8965772 w 12192000"/>
              <a:gd name="csY10792" fmla="*/ 3821070 h 6858000"/>
              <a:gd name="csX10793" fmla="*/ 9000112 w 12192000"/>
              <a:gd name="csY10793" fmla="*/ 3786250 h 6858000"/>
              <a:gd name="csX10794" fmla="*/ 8965772 w 12192000"/>
              <a:gd name="csY10794" fmla="*/ 3751429 h 6858000"/>
              <a:gd name="csX10795" fmla="*/ 9049513 w 12192000"/>
              <a:gd name="csY10795" fmla="*/ 3751429 h 6858000"/>
              <a:gd name="csX10796" fmla="*/ 9015160 w 12192000"/>
              <a:gd name="csY10796" fmla="*/ 3786250 h 6858000"/>
              <a:gd name="csX10797" fmla="*/ 9049513 w 12192000"/>
              <a:gd name="csY10797" fmla="*/ 3821070 h 6858000"/>
              <a:gd name="csX10798" fmla="*/ 9083854 w 12192000"/>
              <a:gd name="csY10798" fmla="*/ 3786250 h 6858000"/>
              <a:gd name="csX10799" fmla="*/ 9049513 w 12192000"/>
              <a:gd name="csY10799" fmla="*/ 3751429 h 6858000"/>
              <a:gd name="csX10800" fmla="*/ 9133256 w 12192000"/>
              <a:gd name="csY10800" fmla="*/ 3751429 h 6858000"/>
              <a:gd name="csX10801" fmla="*/ 9098903 w 12192000"/>
              <a:gd name="csY10801" fmla="*/ 3786250 h 6858000"/>
              <a:gd name="csX10802" fmla="*/ 9133256 w 12192000"/>
              <a:gd name="csY10802" fmla="*/ 3821070 h 6858000"/>
              <a:gd name="csX10803" fmla="*/ 9167596 w 12192000"/>
              <a:gd name="csY10803" fmla="*/ 3786250 h 6858000"/>
              <a:gd name="csX10804" fmla="*/ 9133256 w 12192000"/>
              <a:gd name="csY10804" fmla="*/ 3751429 h 6858000"/>
              <a:gd name="csX10805" fmla="*/ 9635705 w 12192000"/>
              <a:gd name="csY10805" fmla="*/ 3751429 h 6858000"/>
              <a:gd name="csX10806" fmla="*/ 9601352 w 12192000"/>
              <a:gd name="csY10806" fmla="*/ 3786250 h 6858000"/>
              <a:gd name="csX10807" fmla="*/ 9635705 w 12192000"/>
              <a:gd name="csY10807" fmla="*/ 3821070 h 6858000"/>
              <a:gd name="csX10808" fmla="*/ 9670045 w 12192000"/>
              <a:gd name="csY10808" fmla="*/ 3786250 h 6858000"/>
              <a:gd name="csX10809" fmla="*/ 9635705 w 12192000"/>
              <a:gd name="csY10809" fmla="*/ 3751429 h 6858000"/>
              <a:gd name="csX10810" fmla="*/ 3103826 w 12192000"/>
              <a:gd name="csY10810" fmla="*/ 3836294 h 6858000"/>
              <a:gd name="csX10811" fmla="*/ 3069479 w 12192000"/>
              <a:gd name="csY10811" fmla="*/ 3871114 h 6858000"/>
              <a:gd name="csX10812" fmla="*/ 3103826 w 12192000"/>
              <a:gd name="csY10812" fmla="*/ 3905935 h 6858000"/>
              <a:gd name="csX10813" fmla="*/ 3138173 w 12192000"/>
              <a:gd name="csY10813" fmla="*/ 3871114 h 6858000"/>
              <a:gd name="csX10814" fmla="*/ 3103826 w 12192000"/>
              <a:gd name="csY10814" fmla="*/ 3836294 h 6858000"/>
              <a:gd name="csX10815" fmla="*/ 3187567 w 12192000"/>
              <a:gd name="csY10815" fmla="*/ 3836294 h 6858000"/>
              <a:gd name="csX10816" fmla="*/ 3153221 w 12192000"/>
              <a:gd name="csY10816" fmla="*/ 3871114 h 6858000"/>
              <a:gd name="csX10817" fmla="*/ 3187567 w 12192000"/>
              <a:gd name="csY10817" fmla="*/ 3905935 h 6858000"/>
              <a:gd name="csX10818" fmla="*/ 3221914 w 12192000"/>
              <a:gd name="csY10818" fmla="*/ 3871114 h 6858000"/>
              <a:gd name="csX10819" fmla="*/ 3187567 w 12192000"/>
              <a:gd name="csY10819" fmla="*/ 3836294 h 6858000"/>
              <a:gd name="csX10820" fmla="*/ 3271309 w 12192000"/>
              <a:gd name="csY10820" fmla="*/ 3836294 h 6858000"/>
              <a:gd name="csX10821" fmla="*/ 3236962 w 12192000"/>
              <a:gd name="csY10821" fmla="*/ 3871114 h 6858000"/>
              <a:gd name="csX10822" fmla="*/ 3271309 w 12192000"/>
              <a:gd name="csY10822" fmla="*/ 3905935 h 6858000"/>
              <a:gd name="csX10823" fmla="*/ 3305655 w 12192000"/>
              <a:gd name="csY10823" fmla="*/ 3871114 h 6858000"/>
              <a:gd name="csX10824" fmla="*/ 3271309 w 12192000"/>
              <a:gd name="csY10824" fmla="*/ 3836294 h 6858000"/>
              <a:gd name="csX10825" fmla="*/ 5364856 w 12192000"/>
              <a:gd name="csY10825" fmla="*/ 3836294 h 6858000"/>
              <a:gd name="csX10826" fmla="*/ 5330503 w 12192000"/>
              <a:gd name="csY10826" fmla="*/ 3871114 h 6858000"/>
              <a:gd name="csX10827" fmla="*/ 5364856 w 12192000"/>
              <a:gd name="csY10827" fmla="*/ 3905935 h 6858000"/>
              <a:gd name="csX10828" fmla="*/ 5399197 w 12192000"/>
              <a:gd name="csY10828" fmla="*/ 3871114 h 6858000"/>
              <a:gd name="csX10829" fmla="*/ 5364856 w 12192000"/>
              <a:gd name="csY10829" fmla="*/ 3836294 h 6858000"/>
              <a:gd name="csX10830" fmla="*/ 5448598 w 12192000"/>
              <a:gd name="csY10830" fmla="*/ 3836294 h 6858000"/>
              <a:gd name="csX10831" fmla="*/ 5414244 w 12192000"/>
              <a:gd name="csY10831" fmla="*/ 3871114 h 6858000"/>
              <a:gd name="csX10832" fmla="*/ 5448598 w 12192000"/>
              <a:gd name="csY10832" fmla="*/ 3905935 h 6858000"/>
              <a:gd name="csX10833" fmla="*/ 5482938 w 12192000"/>
              <a:gd name="csY10833" fmla="*/ 3871114 h 6858000"/>
              <a:gd name="csX10834" fmla="*/ 5448598 w 12192000"/>
              <a:gd name="csY10834" fmla="*/ 3836294 h 6858000"/>
              <a:gd name="csX10835" fmla="*/ 5532340 w 12192000"/>
              <a:gd name="csY10835" fmla="*/ 3836294 h 6858000"/>
              <a:gd name="csX10836" fmla="*/ 5497987 w 12192000"/>
              <a:gd name="csY10836" fmla="*/ 3871114 h 6858000"/>
              <a:gd name="csX10837" fmla="*/ 5532340 w 12192000"/>
              <a:gd name="csY10837" fmla="*/ 3905935 h 6858000"/>
              <a:gd name="csX10838" fmla="*/ 5566680 w 12192000"/>
              <a:gd name="csY10838" fmla="*/ 3871114 h 6858000"/>
              <a:gd name="csX10839" fmla="*/ 5532340 w 12192000"/>
              <a:gd name="csY10839" fmla="*/ 3836294 h 6858000"/>
              <a:gd name="csX10840" fmla="*/ 5616081 w 12192000"/>
              <a:gd name="csY10840" fmla="*/ 3836294 h 6858000"/>
              <a:gd name="csX10841" fmla="*/ 5581728 w 12192000"/>
              <a:gd name="csY10841" fmla="*/ 3871114 h 6858000"/>
              <a:gd name="csX10842" fmla="*/ 5616081 w 12192000"/>
              <a:gd name="csY10842" fmla="*/ 3905935 h 6858000"/>
              <a:gd name="csX10843" fmla="*/ 5650421 w 12192000"/>
              <a:gd name="csY10843" fmla="*/ 3871114 h 6858000"/>
              <a:gd name="csX10844" fmla="*/ 5616081 w 12192000"/>
              <a:gd name="csY10844" fmla="*/ 3836294 h 6858000"/>
              <a:gd name="csX10845" fmla="*/ 5699822 w 12192000"/>
              <a:gd name="csY10845" fmla="*/ 3836294 h 6858000"/>
              <a:gd name="csX10846" fmla="*/ 5665469 w 12192000"/>
              <a:gd name="csY10846" fmla="*/ 3871114 h 6858000"/>
              <a:gd name="csX10847" fmla="*/ 5699822 w 12192000"/>
              <a:gd name="csY10847" fmla="*/ 3905935 h 6858000"/>
              <a:gd name="csX10848" fmla="*/ 5734163 w 12192000"/>
              <a:gd name="csY10848" fmla="*/ 3871114 h 6858000"/>
              <a:gd name="csX10849" fmla="*/ 5699822 w 12192000"/>
              <a:gd name="csY10849" fmla="*/ 3836294 h 6858000"/>
              <a:gd name="csX10850" fmla="*/ 5783565 w 12192000"/>
              <a:gd name="csY10850" fmla="*/ 3836294 h 6858000"/>
              <a:gd name="csX10851" fmla="*/ 5749211 w 12192000"/>
              <a:gd name="csY10851" fmla="*/ 3871114 h 6858000"/>
              <a:gd name="csX10852" fmla="*/ 5783565 w 12192000"/>
              <a:gd name="csY10852" fmla="*/ 3905935 h 6858000"/>
              <a:gd name="csX10853" fmla="*/ 5817905 w 12192000"/>
              <a:gd name="csY10853" fmla="*/ 3871114 h 6858000"/>
              <a:gd name="csX10854" fmla="*/ 5783565 w 12192000"/>
              <a:gd name="csY10854" fmla="*/ 3836294 h 6858000"/>
              <a:gd name="csX10855" fmla="*/ 5867306 w 12192000"/>
              <a:gd name="csY10855" fmla="*/ 3836294 h 6858000"/>
              <a:gd name="csX10856" fmla="*/ 5832953 w 12192000"/>
              <a:gd name="csY10856" fmla="*/ 3871114 h 6858000"/>
              <a:gd name="csX10857" fmla="*/ 5867306 w 12192000"/>
              <a:gd name="csY10857" fmla="*/ 3905935 h 6858000"/>
              <a:gd name="csX10858" fmla="*/ 5901646 w 12192000"/>
              <a:gd name="csY10858" fmla="*/ 3871114 h 6858000"/>
              <a:gd name="csX10859" fmla="*/ 5867306 w 12192000"/>
              <a:gd name="csY10859" fmla="*/ 3836294 h 6858000"/>
              <a:gd name="csX10860" fmla="*/ 5951047 w 12192000"/>
              <a:gd name="csY10860" fmla="*/ 3836294 h 6858000"/>
              <a:gd name="csX10861" fmla="*/ 5916694 w 12192000"/>
              <a:gd name="csY10861" fmla="*/ 3871114 h 6858000"/>
              <a:gd name="csX10862" fmla="*/ 5951047 w 12192000"/>
              <a:gd name="csY10862" fmla="*/ 3905935 h 6858000"/>
              <a:gd name="csX10863" fmla="*/ 5985387 w 12192000"/>
              <a:gd name="csY10863" fmla="*/ 3871114 h 6858000"/>
              <a:gd name="csX10864" fmla="*/ 5951047 w 12192000"/>
              <a:gd name="csY10864" fmla="*/ 3836294 h 6858000"/>
              <a:gd name="csX10865" fmla="*/ 6034789 w 12192000"/>
              <a:gd name="csY10865" fmla="*/ 3836294 h 6858000"/>
              <a:gd name="csX10866" fmla="*/ 6000436 w 12192000"/>
              <a:gd name="csY10866" fmla="*/ 3871114 h 6858000"/>
              <a:gd name="csX10867" fmla="*/ 6034789 w 12192000"/>
              <a:gd name="csY10867" fmla="*/ 3905935 h 6858000"/>
              <a:gd name="csX10868" fmla="*/ 6069130 w 12192000"/>
              <a:gd name="csY10868" fmla="*/ 3871114 h 6858000"/>
              <a:gd name="csX10869" fmla="*/ 6034789 w 12192000"/>
              <a:gd name="csY10869" fmla="*/ 3836294 h 6858000"/>
              <a:gd name="csX10870" fmla="*/ 6118531 w 12192000"/>
              <a:gd name="csY10870" fmla="*/ 3836294 h 6858000"/>
              <a:gd name="csX10871" fmla="*/ 6084177 w 12192000"/>
              <a:gd name="csY10871" fmla="*/ 3871114 h 6858000"/>
              <a:gd name="csX10872" fmla="*/ 6118531 w 12192000"/>
              <a:gd name="csY10872" fmla="*/ 3905935 h 6858000"/>
              <a:gd name="csX10873" fmla="*/ 6152871 w 12192000"/>
              <a:gd name="csY10873" fmla="*/ 3871114 h 6858000"/>
              <a:gd name="csX10874" fmla="*/ 6118531 w 12192000"/>
              <a:gd name="csY10874" fmla="*/ 3836294 h 6858000"/>
              <a:gd name="csX10875" fmla="*/ 6202273 w 12192000"/>
              <a:gd name="csY10875" fmla="*/ 3836294 h 6858000"/>
              <a:gd name="csX10876" fmla="*/ 6167920 w 12192000"/>
              <a:gd name="csY10876" fmla="*/ 3871114 h 6858000"/>
              <a:gd name="csX10877" fmla="*/ 6202273 w 12192000"/>
              <a:gd name="csY10877" fmla="*/ 3905935 h 6858000"/>
              <a:gd name="csX10878" fmla="*/ 6236613 w 12192000"/>
              <a:gd name="csY10878" fmla="*/ 3871114 h 6858000"/>
              <a:gd name="csX10879" fmla="*/ 6202273 w 12192000"/>
              <a:gd name="csY10879" fmla="*/ 3836294 h 6858000"/>
              <a:gd name="csX10880" fmla="*/ 6286014 w 12192000"/>
              <a:gd name="csY10880" fmla="*/ 3836294 h 6858000"/>
              <a:gd name="csX10881" fmla="*/ 6251661 w 12192000"/>
              <a:gd name="csY10881" fmla="*/ 3871114 h 6858000"/>
              <a:gd name="csX10882" fmla="*/ 6286014 w 12192000"/>
              <a:gd name="csY10882" fmla="*/ 3905935 h 6858000"/>
              <a:gd name="csX10883" fmla="*/ 6320354 w 12192000"/>
              <a:gd name="csY10883" fmla="*/ 3871114 h 6858000"/>
              <a:gd name="csX10884" fmla="*/ 6286014 w 12192000"/>
              <a:gd name="csY10884" fmla="*/ 3836294 h 6858000"/>
              <a:gd name="csX10885" fmla="*/ 6369755 w 12192000"/>
              <a:gd name="csY10885" fmla="*/ 3836294 h 6858000"/>
              <a:gd name="csX10886" fmla="*/ 6335402 w 12192000"/>
              <a:gd name="csY10886" fmla="*/ 3871114 h 6858000"/>
              <a:gd name="csX10887" fmla="*/ 6369755 w 12192000"/>
              <a:gd name="csY10887" fmla="*/ 3905935 h 6858000"/>
              <a:gd name="csX10888" fmla="*/ 6404096 w 12192000"/>
              <a:gd name="csY10888" fmla="*/ 3871114 h 6858000"/>
              <a:gd name="csX10889" fmla="*/ 6369755 w 12192000"/>
              <a:gd name="csY10889" fmla="*/ 3836294 h 6858000"/>
              <a:gd name="csX10890" fmla="*/ 6453498 w 12192000"/>
              <a:gd name="csY10890" fmla="*/ 3836294 h 6858000"/>
              <a:gd name="csX10891" fmla="*/ 6419144 w 12192000"/>
              <a:gd name="csY10891" fmla="*/ 3871114 h 6858000"/>
              <a:gd name="csX10892" fmla="*/ 6453498 w 12192000"/>
              <a:gd name="csY10892" fmla="*/ 3905935 h 6858000"/>
              <a:gd name="csX10893" fmla="*/ 6487838 w 12192000"/>
              <a:gd name="csY10893" fmla="*/ 3871114 h 6858000"/>
              <a:gd name="csX10894" fmla="*/ 6453498 w 12192000"/>
              <a:gd name="csY10894" fmla="*/ 3836294 h 6858000"/>
              <a:gd name="csX10895" fmla="*/ 6537239 w 12192000"/>
              <a:gd name="csY10895" fmla="*/ 3836294 h 6858000"/>
              <a:gd name="csX10896" fmla="*/ 6502886 w 12192000"/>
              <a:gd name="csY10896" fmla="*/ 3871114 h 6858000"/>
              <a:gd name="csX10897" fmla="*/ 6537239 w 12192000"/>
              <a:gd name="csY10897" fmla="*/ 3905935 h 6858000"/>
              <a:gd name="csX10898" fmla="*/ 6571579 w 12192000"/>
              <a:gd name="csY10898" fmla="*/ 3871114 h 6858000"/>
              <a:gd name="csX10899" fmla="*/ 6537239 w 12192000"/>
              <a:gd name="csY10899" fmla="*/ 3836294 h 6858000"/>
              <a:gd name="csX10900" fmla="*/ 6620980 w 12192000"/>
              <a:gd name="csY10900" fmla="*/ 3836294 h 6858000"/>
              <a:gd name="csX10901" fmla="*/ 6586627 w 12192000"/>
              <a:gd name="csY10901" fmla="*/ 3871114 h 6858000"/>
              <a:gd name="csX10902" fmla="*/ 6620980 w 12192000"/>
              <a:gd name="csY10902" fmla="*/ 3905935 h 6858000"/>
              <a:gd name="csX10903" fmla="*/ 6655320 w 12192000"/>
              <a:gd name="csY10903" fmla="*/ 3871114 h 6858000"/>
              <a:gd name="csX10904" fmla="*/ 6620980 w 12192000"/>
              <a:gd name="csY10904" fmla="*/ 3836294 h 6858000"/>
              <a:gd name="csX10905" fmla="*/ 6704722 w 12192000"/>
              <a:gd name="csY10905" fmla="*/ 3836294 h 6858000"/>
              <a:gd name="csX10906" fmla="*/ 6670369 w 12192000"/>
              <a:gd name="csY10906" fmla="*/ 3871114 h 6858000"/>
              <a:gd name="csX10907" fmla="*/ 6704722 w 12192000"/>
              <a:gd name="csY10907" fmla="*/ 3905935 h 6858000"/>
              <a:gd name="csX10908" fmla="*/ 6739063 w 12192000"/>
              <a:gd name="csY10908" fmla="*/ 3871114 h 6858000"/>
              <a:gd name="csX10909" fmla="*/ 6704722 w 12192000"/>
              <a:gd name="csY10909" fmla="*/ 3836294 h 6858000"/>
              <a:gd name="csX10910" fmla="*/ 6788464 w 12192000"/>
              <a:gd name="csY10910" fmla="*/ 3836294 h 6858000"/>
              <a:gd name="csX10911" fmla="*/ 6754110 w 12192000"/>
              <a:gd name="csY10911" fmla="*/ 3871114 h 6858000"/>
              <a:gd name="csX10912" fmla="*/ 6788464 w 12192000"/>
              <a:gd name="csY10912" fmla="*/ 3905935 h 6858000"/>
              <a:gd name="csX10913" fmla="*/ 6822804 w 12192000"/>
              <a:gd name="csY10913" fmla="*/ 3871114 h 6858000"/>
              <a:gd name="csX10914" fmla="*/ 6788464 w 12192000"/>
              <a:gd name="csY10914" fmla="*/ 3836294 h 6858000"/>
              <a:gd name="csX10915" fmla="*/ 6872206 w 12192000"/>
              <a:gd name="csY10915" fmla="*/ 3836294 h 6858000"/>
              <a:gd name="csX10916" fmla="*/ 6837853 w 12192000"/>
              <a:gd name="csY10916" fmla="*/ 3871114 h 6858000"/>
              <a:gd name="csX10917" fmla="*/ 6872206 w 12192000"/>
              <a:gd name="csY10917" fmla="*/ 3905935 h 6858000"/>
              <a:gd name="csX10918" fmla="*/ 6906546 w 12192000"/>
              <a:gd name="csY10918" fmla="*/ 3871114 h 6858000"/>
              <a:gd name="csX10919" fmla="*/ 6872206 w 12192000"/>
              <a:gd name="csY10919" fmla="*/ 3836294 h 6858000"/>
              <a:gd name="csX10920" fmla="*/ 6955947 w 12192000"/>
              <a:gd name="csY10920" fmla="*/ 3836294 h 6858000"/>
              <a:gd name="csX10921" fmla="*/ 6921594 w 12192000"/>
              <a:gd name="csY10921" fmla="*/ 3871114 h 6858000"/>
              <a:gd name="csX10922" fmla="*/ 6955947 w 12192000"/>
              <a:gd name="csY10922" fmla="*/ 3905935 h 6858000"/>
              <a:gd name="csX10923" fmla="*/ 6990287 w 12192000"/>
              <a:gd name="csY10923" fmla="*/ 3871114 h 6858000"/>
              <a:gd name="csX10924" fmla="*/ 6955947 w 12192000"/>
              <a:gd name="csY10924" fmla="*/ 3836294 h 6858000"/>
              <a:gd name="csX10925" fmla="*/ 7039688 w 12192000"/>
              <a:gd name="csY10925" fmla="*/ 3836294 h 6858000"/>
              <a:gd name="csX10926" fmla="*/ 7005335 w 12192000"/>
              <a:gd name="csY10926" fmla="*/ 3871114 h 6858000"/>
              <a:gd name="csX10927" fmla="*/ 7039688 w 12192000"/>
              <a:gd name="csY10927" fmla="*/ 3905935 h 6858000"/>
              <a:gd name="csX10928" fmla="*/ 7074029 w 12192000"/>
              <a:gd name="csY10928" fmla="*/ 3871114 h 6858000"/>
              <a:gd name="csX10929" fmla="*/ 7039688 w 12192000"/>
              <a:gd name="csY10929" fmla="*/ 3836294 h 6858000"/>
              <a:gd name="csX10930" fmla="*/ 7207198 w 12192000"/>
              <a:gd name="csY10930" fmla="*/ 3836294 h 6858000"/>
              <a:gd name="csX10931" fmla="*/ 7172845 w 12192000"/>
              <a:gd name="csY10931" fmla="*/ 3871114 h 6858000"/>
              <a:gd name="csX10932" fmla="*/ 7207198 w 12192000"/>
              <a:gd name="csY10932" fmla="*/ 3905935 h 6858000"/>
              <a:gd name="csX10933" fmla="*/ 7241538 w 12192000"/>
              <a:gd name="csY10933" fmla="*/ 3871114 h 6858000"/>
              <a:gd name="csX10934" fmla="*/ 7207198 w 12192000"/>
              <a:gd name="csY10934" fmla="*/ 3836294 h 6858000"/>
              <a:gd name="csX10935" fmla="*/ 8212097 w 12192000"/>
              <a:gd name="csY10935" fmla="*/ 3836294 h 6858000"/>
              <a:gd name="csX10936" fmla="*/ 8177744 w 12192000"/>
              <a:gd name="csY10936" fmla="*/ 3871114 h 6858000"/>
              <a:gd name="csX10937" fmla="*/ 8212097 w 12192000"/>
              <a:gd name="csY10937" fmla="*/ 3905935 h 6858000"/>
              <a:gd name="csX10938" fmla="*/ 8246437 w 12192000"/>
              <a:gd name="csY10938" fmla="*/ 3871114 h 6858000"/>
              <a:gd name="csX10939" fmla="*/ 8212097 w 12192000"/>
              <a:gd name="csY10939" fmla="*/ 3836294 h 6858000"/>
              <a:gd name="csX10940" fmla="*/ 8295839 w 12192000"/>
              <a:gd name="csY10940" fmla="*/ 3836294 h 6858000"/>
              <a:gd name="csX10941" fmla="*/ 8261486 w 12192000"/>
              <a:gd name="csY10941" fmla="*/ 3871114 h 6858000"/>
              <a:gd name="csX10942" fmla="*/ 8295839 w 12192000"/>
              <a:gd name="csY10942" fmla="*/ 3905935 h 6858000"/>
              <a:gd name="csX10943" fmla="*/ 8330179 w 12192000"/>
              <a:gd name="csY10943" fmla="*/ 3871114 h 6858000"/>
              <a:gd name="csX10944" fmla="*/ 8295839 w 12192000"/>
              <a:gd name="csY10944" fmla="*/ 3836294 h 6858000"/>
              <a:gd name="csX10945" fmla="*/ 9049513 w 12192000"/>
              <a:gd name="csY10945" fmla="*/ 3836294 h 6858000"/>
              <a:gd name="csX10946" fmla="*/ 9015160 w 12192000"/>
              <a:gd name="csY10946" fmla="*/ 3871114 h 6858000"/>
              <a:gd name="csX10947" fmla="*/ 9049513 w 12192000"/>
              <a:gd name="csY10947" fmla="*/ 3905935 h 6858000"/>
              <a:gd name="csX10948" fmla="*/ 9083854 w 12192000"/>
              <a:gd name="csY10948" fmla="*/ 3871114 h 6858000"/>
              <a:gd name="csX10949" fmla="*/ 9049513 w 12192000"/>
              <a:gd name="csY10949" fmla="*/ 3836294 h 6858000"/>
              <a:gd name="csX10950" fmla="*/ 9133256 w 12192000"/>
              <a:gd name="csY10950" fmla="*/ 3836294 h 6858000"/>
              <a:gd name="csX10951" fmla="*/ 9098903 w 12192000"/>
              <a:gd name="csY10951" fmla="*/ 3871114 h 6858000"/>
              <a:gd name="csX10952" fmla="*/ 9133256 w 12192000"/>
              <a:gd name="csY10952" fmla="*/ 3905935 h 6858000"/>
              <a:gd name="csX10953" fmla="*/ 9167596 w 12192000"/>
              <a:gd name="csY10953" fmla="*/ 3871114 h 6858000"/>
              <a:gd name="csX10954" fmla="*/ 9133256 w 12192000"/>
              <a:gd name="csY10954" fmla="*/ 3836294 h 6858000"/>
              <a:gd name="csX10955" fmla="*/ 9216997 w 12192000"/>
              <a:gd name="csY10955" fmla="*/ 3836294 h 6858000"/>
              <a:gd name="csX10956" fmla="*/ 9182644 w 12192000"/>
              <a:gd name="csY10956" fmla="*/ 3871114 h 6858000"/>
              <a:gd name="csX10957" fmla="*/ 9216997 w 12192000"/>
              <a:gd name="csY10957" fmla="*/ 3905935 h 6858000"/>
              <a:gd name="csX10958" fmla="*/ 9251337 w 12192000"/>
              <a:gd name="csY10958" fmla="*/ 3871114 h 6858000"/>
              <a:gd name="csX10959" fmla="*/ 9216997 w 12192000"/>
              <a:gd name="csY10959" fmla="*/ 3836294 h 6858000"/>
              <a:gd name="csX10960" fmla="*/ 9635705 w 12192000"/>
              <a:gd name="csY10960" fmla="*/ 3836294 h 6858000"/>
              <a:gd name="csX10961" fmla="*/ 9601352 w 12192000"/>
              <a:gd name="csY10961" fmla="*/ 3871114 h 6858000"/>
              <a:gd name="csX10962" fmla="*/ 9635705 w 12192000"/>
              <a:gd name="csY10962" fmla="*/ 3905935 h 6858000"/>
              <a:gd name="csX10963" fmla="*/ 9670045 w 12192000"/>
              <a:gd name="csY10963" fmla="*/ 3871114 h 6858000"/>
              <a:gd name="csX10964" fmla="*/ 9635705 w 12192000"/>
              <a:gd name="csY10964" fmla="*/ 3836294 h 6858000"/>
              <a:gd name="csX10965" fmla="*/ 3271309 w 12192000"/>
              <a:gd name="csY10965" fmla="*/ 3921158 h 6858000"/>
              <a:gd name="csX10966" fmla="*/ 3236962 w 12192000"/>
              <a:gd name="csY10966" fmla="*/ 3955978 h 6858000"/>
              <a:gd name="csX10967" fmla="*/ 3271309 w 12192000"/>
              <a:gd name="csY10967" fmla="*/ 3990798 h 6858000"/>
              <a:gd name="csX10968" fmla="*/ 3305655 w 12192000"/>
              <a:gd name="csY10968" fmla="*/ 3955978 h 6858000"/>
              <a:gd name="csX10969" fmla="*/ 3271309 w 12192000"/>
              <a:gd name="csY10969" fmla="*/ 3921158 h 6858000"/>
              <a:gd name="csX10970" fmla="*/ 3606276 w 12192000"/>
              <a:gd name="csY10970" fmla="*/ 3921158 h 6858000"/>
              <a:gd name="csX10971" fmla="*/ 3571929 w 12192000"/>
              <a:gd name="csY10971" fmla="*/ 3955978 h 6858000"/>
              <a:gd name="csX10972" fmla="*/ 3606276 w 12192000"/>
              <a:gd name="csY10972" fmla="*/ 3990798 h 6858000"/>
              <a:gd name="csX10973" fmla="*/ 3640622 w 12192000"/>
              <a:gd name="csY10973" fmla="*/ 3955978 h 6858000"/>
              <a:gd name="csX10974" fmla="*/ 3606276 w 12192000"/>
              <a:gd name="csY10974" fmla="*/ 3921158 h 6858000"/>
              <a:gd name="csX10975" fmla="*/ 5448598 w 12192000"/>
              <a:gd name="csY10975" fmla="*/ 3921158 h 6858000"/>
              <a:gd name="csX10976" fmla="*/ 5414244 w 12192000"/>
              <a:gd name="csY10976" fmla="*/ 3955978 h 6858000"/>
              <a:gd name="csX10977" fmla="*/ 5448598 w 12192000"/>
              <a:gd name="csY10977" fmla="*/ 3990798 h 6858000"/>
              <a:gd name="csX10978" fmla="*/ 5482938 w 12192000"/>
              <a:gd name="csY10978" fmla="*/ 3955978 h 6858000"/>
              <a:gd name="csX10979" fmla="*/ 5448598 w 12192000"/>
              <a:gd name="csY10979" fmla="*/ 3921158 h 6858000"/>
              <a:gd name="csX10980" fmla="*/ 5532340 w 12192000"/>
              <a:gd name="csY10980" fmla="*/ 3921158 h 6858000"/>
              <a:gd name="csX10981" fmla="*/ 5497987 w 12192000"/>
              <a:gd name="csY10981" fmla="*/ 3955978 h 6858000"/>
              <a:gd name="csX10982" fmla="*/ 5532340 w 12192000"/>
              <a:gd name="csY10982" fmla="*/ 3990798 h 6858000"/>
              <a:gd name="csX10983" fmla="*/ 5566680 w 12192000"/>
              <a:gd name="csY10983" fmla="*/ 3955978 h 6858000"/>
              <a:gd name="csX10984" fmla="*/ 5532340 w 12192000"/>
              <a:gd name="csY10984" fmla="*/ 3921158 h 6858000"/>
              <a:gd name="csX10985" fmla="*/ 5616081 w 12192000"/>
              <a:gd name="csY10985" fmla="*/ 3921158 h 6858000"/>
              <a:gd name="csX10986" fmla="*/ 5581728 w 12192000"/>
              <a:gd name="csY10986" fmla="*/ 3955978 h 6858000"/>
              <a:gd name="csX10987" fmla="*/ 5616081 w 12192000"/>
              <a:gd name="csY10987" fmla="*/ 3990798 h 6858000"/>
              <a:gd name="csX10988" fmla="*/ 5650421 w 12192000"/>
              <a:gd name="csY10988" fmla="*/ 3955978 h 6858000"/>
              <a:gd name="csX10989" fmla="*/ 5616081 w 12192000"/>
              <a:gd name="csY10989" fmla="*/ 3921158 h 6858000"/>
              <a:gd name="csX10990" fmla="*/ 5699822 w 12192000"/>
              <a:gd name="csY10990" fmla="*/ 3921158 h 6858000"/>
              <a:gd name="csX10991" fmla="*/ 5665469 w 12192000"/>
              <a:gd name="csY10991" fmla="*/ 3955978 h 6858000"/>
              <a:gd name="csX10992" fmla="*/ 5699822 w 12192000"/>
              <a:gd name="csY10992" fmla="*/ 3990798 h 6858000"/>
              <a:gd name="csX10993" fmla="*/ 5734163 w 12192000"/>
              <a:gd name="csY10993" fmla="*/ 3955978 h 6858000"/>
              <a:gd name="csX10994" fmla="*/ 5699822 w 12192000"/>
              <a:gd name="csY10994" fmla="*/ 3921158 h 6858000"/>
              <a:gd name="csX10995" fmla="*/ 5783565 w 12192000"/>
              <a:gd name="csY10995" fmla="*/ 3921158 h 6858000"/>
              <a:gd name="csX10996" fmla="*/ 5749211 w 12192000"/>
              <a:gd name="csY10996" fmla="*/ 3955978 h 6858000"/>
              <a:gd name="csX10997" fmla="*/ 5783565 w 12192000"/>
              <a:gd name="csY10997" fmla="*/ 3990798 h 6858000"/>
              <a:gd name="csX10998" fmla="*/ 5817905 w 12192000"/>
              <a:gd name="csY10998" fmla="*/ 3955978 h 6858000"/>
              <a:gd name="csX10999" fmla="*/ 5783565 w 12192000"/>
              <a:gd name="csY10999" fmla="*/ 3921158 h 6858000"/>
              <a:gd name="csX11000" fmla="*/ 5867306 w 12192000"/>
              <a:gd name="csY11000" fmla="*/ 3921158 h 6858000"/>
              <a:gd name="csX11001" fmla="*/ 5832953 w 12192000"/>
              <a:gd name="csY11001" fmla="*/ 3955978 h 6858000"/>
              <a:gd name="csX11002" fmla="*/ 5867306 w 12192000"/>
              <a:gd name="csY11002" fmla="*/ 3990798 h 6858000"/>
              <a:gd name="csX11003" fmla="*/ 5901646 w 12192000"/>
              <a:gd name="csY11003" fmla="*/ 3955978 h 6858000"/>
              <a:gd name="csX11004" fmla="*/ 5867306 w 12192000"/>
              <a:gd name="csY11004" fmla="*/ 3921158 h 6858000"/>
              <a:gd name="csX11005" fmla="*/ 5951047 w 12192000"/>
              <a:gd name="csY11005" fmla="*/ 3921158 h 6858000"/>
              <a:gd name="csX11006" fmla="*/ 5916694 w 12192000"/>
              <a:gd name="csY11006" fmla="*/ 3955978 h 6858000"/>
              <a:gd name="csX11007" fmla="*/ 5951047 w 12192000"/>
              <a:gd name="csY11007" fmla="*/ 3990798 h 6858000"/>
              <a:gd name="csX11008" fmla="*/ 5985387 w 12192000"/>
              <a:gd name="csY11008" fmla="*/ 3955978 h 6858000"/>
              <a:gd name="csX11009" fmla="*/ 5951047 w 12192000"/>
              <a:gd name="csY11009" fmla="*/ 3921158 h 6858000"/>
              <a:gd name="csX11010" fmla="*/ 6034789 w 12192000"/>
              <a:gd name="csY11010" fmla="*/ 3921158 h 6858000"/>
              <a:gd name="csX11011" fmla="*/ 6000436 w 12192000"/>
              <a:gd name="csY11011" fmla="*/ 3955978 h 6858000"/>
              <a:gd name="csX11012" fmla="*/ 6034789 w 12192000"/>
              <a:gd name="csY11012" fmla="*/ 3990798 h 6858000"/>
              <a:gd name="csX11013" fmla="*/ 6069130 w 12192000"/>
              <a:gd name="csY11013" fmla="*/ 3955978 h 6858000"/>
              <a:gd name="csX11014" fmla="*/ 6034789 w 12192000"/>
              <a:gd name="csY11014" fmla="*/ 3921158 h 6858000"/>
              <a:gd name="csX11015" fmla="*/ 6118531 w 12192000"/>
              <a:gd name="csY11015" fmla="*/ 3921158 h 6858000"/>
              <a:gd name="csX11016" fmla="*/ 6084177 w 12192000"/>
              <a:gd name="csY11016" fmla="*/ 3955978 h 6858000"/>
              <a:gd name="csX11017" fmla="*/ 6118531 w 12192000"/>
              <a:gd name="csY11017" fmla="*/ 3990798 h 6858000"/>
              <a:gd name="csX11018" fmla="*/ 6152871 w 12192000"/>
              <a:gd name="csY11018" fmla="*/ 3955978 h 6858000"/>
              <a:gd name="csX11019" fmla="*/ 6118531 w 12192000"/>
              <a:gd name="csY11019" fmla="*/ 3921158 h 6858000"/>
              <a:gd name="csX11020" fmla="*/ 6202273 w 12192000"/>
              <a:gd name="csY11020" fmla="*/ 3921158 h 6858000"/>
              <a:gd name="csX11021" fmla="*/ 6167920 w 12192000"/>
              <a:gd name="csY11021" fmla="*/ 3955978 h 6858000"/>
              <a:gd name="csX11022" fmla="*/ 6202273 w 12192000"/>
              <a:gd name="csY11022" fmla="*/ 3990798 h 6858000"/>
              <a:gd name="csX11023" fmla="*/ 6236613 w 12192000"/>
              <a:gd name="csY11023" fmla="*/ 3955978 h 6858000"/>
              <a:gd name="csX11024" fmla="*/ 6202273 w 12192000"/>
              <a:gd name="csY11024" fmla="*/ 3921158 h 6858000"/>
              <a:gd name="csX11025" fmla="*/ 6286014 w 12192000"/>
              <a:gd name="csY11025" fmla="*/ 3921158 h 6858000"/>
              <a:gd name="csX11026" fmla="*/ 6251661 w 12192000"/>
              <a:gd name="csY11026" fmla="*/ 3955978 h 6858000"/>
              <a:gd name="csX11027" fmla="*/ 6286014 w 12192000"/>
              <a:gd name="csY11027" fmla="*/ 3990798 h 6858000"/>
              <a:gd name="csX11028" fmla="*/ 6320354 w 12192000"/>
              <a:gd name="csY11028" fmla="*/ 3955978 h 6858000"/>
              <a:gd name="csX11029" fmla="*/ 6286014 w 12192000"/>
              <a:gd name="csY11029" fmla="*/ 3921158 h 6858000"/>
              <a:gd name="csX11030" fmla="*/ 6369755 w 12192000"/>
              <a:gd name="csY11030" fmla="*/ 3921158 h 6858000"/>
              <a:gd name="csX11031" fmla="*/ 6335402 w 12192000"/>
              <a:gd name="csY11031" fmla="*/ 3955978 h 6858000"/>
              <a:gd name="csX11032" fmla="*/ 6369755 w 12192000"/>
              <a:gd name="csY11032" fmla="*/ 3990798 h 6858000"/>
              <a:gd name="csX11033" fmla="*/ 6404096 w 12192000"/>
              <a:gd name="csY11033" fmla="*/ 3955978 h 6858000"/>
              <a:gd name="csX11034" fmla="*/ 6369755 w 12192000"/>
              <a:gd name="csY11034" fmla="*/ 3921158 h 6858000"/>
              <a:gd name="csX11035" fmla="*/ 6453498 w 12192000"/>
              <a:gd name="csY11035" fmla="*/ 3921158 h 6858000"/>
              <a:gd name="csX11036" fmla="*/ 6419144 w 12192000"/>
              <a:gd name="csY11036" fmla="*/ 3955978 h 6858000"/>
              <a:gd name="csX11037" fmla="*/ 6453498 w 12192000"/>
              <a:gd name="csY11037" fmla="*/ 3990798 h 6858000"/>
              <a:gd name="csX11038" fmla="*/ 6487838 w 12192000"/>
              <a:gd name="csY11038" fmla="*/ 3955978 h 6858000"/>
              <a:gd name="csX11039" fmla="*/ 6453498 w 12192000"/>
              <a:gd name="csY11039" fmla="*/ 3921158 h 6858000"/>
              <a:gd name="csX11040" fmla="*/ 6537239 w 12192000"/>
              <a:gd name="csY11040" fmla="*/ 3921158 h 6858000"/>
              <a:gd name="csX11041" fmla="*/ 6502886 w 12192000"/>
              <a:gd name="csY11041" fmla="*/ 3955978 h 6858000"/>
              <a:gd name="csX11042" fmla="*/ 6537239 w 12192000"/>
              <a:gd name="csY11042" fmla="*/ 3990798 h 6858000"/>
              <a:gd name="csX11043" fmla="*/ 6571579 w 12192000"/>
              <a:gd name="csY11043" fmla="*/ 3955978 h 6858000"/>
              <a:gd name="csX11044" fmla="*/ 6537239 w 12192000"/>
              <a:gd name="csY11044" fmla="*/ 3921158 h 6858000"/>
              <a:gd name="csX11045" fmla="*/ 6620980 w 12192000"/>
              <a:gd name="csY11045" fmla="*/ 3921158 h 6858000"/>
              <a:gd name="csX11046" fmla="*/ 6586627 w 12192000"/>
              <a:gd name="csY11046" fmla="*/ 3955978 h 6858000"/>
              <a:gd name="csX11047" fmla="*/ 6620980 w 12192000"/>
              <a:gd name="csY11047" fmla="*/ 3990798 h 6858000"/>
              <a:gd name="csX11048" fmla="*/ 6655320 w 12192000"/>
              <a:gd name="csY11048" fmla="*/ 3955978 h 6858000"/>
              <a:gd name="csX11049" fmla="*/ 6620980 w 12192000"/>
              <a:gd name="csY11049" fmla="*/ 3921158 h 6858000"/>
              <a:gd name="csX11050" fmla="*/ 6704722 w 12192000"/>
              <a:gd name="csY11050" fmla="*/ 3921158 h 6858000"/>
              <a:gd name="csX11051" fmla="*/ 6670369 w 12192000"/>
              <a:gd name="csY11051" fmla="*/ 3955978 h 6858000"/>
              <a:gd name="csX11052" fmla="*/ 6704722 w 12192000"/>
              <a:gd name="csY11052" fmla="*/ 3990798 h 6858000"/>
              <a:gd name="csX11053" fmla="*/ 6739063 w 12192000"/>
              <a:gd name="csY11053" fmla="*/ 3955978 h 6858000"/>
              <a:gd name="csX11054" fmla="*/ 6704722 w 12192000"/>
              <a:gd name="csY11054" fmla="*/ 3921158 h 6858000"/>
              <a:gd name="csX11055" fmla="*/ 6788464 w 12192000"/>
              <a:gd name="csY11055" fmla="*/ 3921158 h 6858000"/>
              <a:gd name="csX11056" fmla="*/ 6754110 w 12192000"/>
              <a:gd name="csY11056" fmla="*/ 3955978 h 6858000"/>
              <a:gd name="csX11057" fmla="*/ 6788464 w 12192000"/>
              <a:gd name="csY11057" fmla="*/ 3990798 h 6858000"/>
              <a:gd name="csX11058" fmla="*/ 6822804 w 12192000"/>
              <a:gd name="csY11058" fmla="*/ 3955978 h 6858000"/>
              <a:gd name="csX11059" fmla="*/ 6788464 w 12192000"/>
              <a:gd name="csY11059" fmla="*/ 3921158 h 6858000"/>
              <a:gd name="csX11060" fmla="*/ 6872206 w 12192000"/>
              <a:gd name="csY11060" fmla="*/ 3921158 h 6858000"/>
              <a:gd name="csX11061" fmla="*/ 6837853 w 12192000"/>
              <a:gd name="csY11061" fmla="*/ 3955978 h 6858000"/>
              <a:gd name="csX11062" fmla="*/ 6872206 w 12192000"/>
              <a:gd name="csY11062" fmla="*/ 3990798 h 6858000"/>
              <a:gd name="csX11063" fmla="*/ 6906546 w 12192000"/>
              <a:gd name="csY11063" fmla="*/ 3955978 h 6858000"/>
              <a:gd name="csX11064" fmla="*/ 6872206 w 12192000"/>
              <a:gd name="csY11064" fmla="*/ 3921158 h 6858000"/>
              <a:gd name="csX11065" fmla="*/ 6955947 w 12192000"/>
              <a:gd name="csY11065" fmla="*/ 3921158 h 6858000"/>
              <a:gd name="csX11066" fmla="*/ 6921594 w 12192000"/>
              <a:gd name="csY11066" fmla="*/ 3955978 h 6858000"/>
              <a:gd name="csX11067" fmla="*/ 6955947 w 12192000"/>
              <a:gd name="csY11067" fmla="*/ 3990798 h 6858000"/>
              <a:gd name="csX11068" fmla="*/ 6990287 w 12192000"/>
              <a:gd name="csY11068" fmla="*/ 3955978 h 6858000"/>
              <a:gd name="csX11069" fmla="*/ 6955947 w 12192000"/>
              <a:gd name="csY11069" fmla="*/ 3921158 h 6858000"/>
              <a:gd name="csX11070" fmla="*/ 7039688 w 12192000"/>
              <a:gd name="csY11070" fmla="*/ 3921158 h 6858000"/>
              <a:gd name="csX11071" fmla="*/ 7005335 w 12192000"/>
              <a:gd name="csY11071" fmla="*/ 3955978 h 6858000"/>
              <a:gd name="csX11072" fmla="*/ 7039688 w 12192000"/>
              <a:gd name="csY11072" fmla="*/ 3990798 h 6858000"/>
              <a:gd name="csX11073" fmla="*/ 7074029 w 12192000"/>
              <a:gd name="csY11073" fmla="*/ 3955978 h 6858000"/>
              <a:gd name="csX11074" fmla="*/ 7039688 w 12192000"/>
              <a:gd name="csY11074" fmla="*/ 3921158 h 6858000"/>
              <a:gd name="csX11075" fmla="*/ 7123456 w 12192000"/>
              <a:gd name="csY11075" fmla="*/ 3921158 h 6858000"/>
              <a:gd name="csX11076" fmla="*/ 7089103 w 12192000"/>
              <a:gd name="csY11076" fmla="*/ 3955978 h 6858000"/>
              <a:gd name="csX11077" fmla="*/ 7123456 w 12192000"/>
              <a:gd name="csY11077" fmla="*/ 3990798 h 6858000"/>
              <a:gd name="csX11078" fmla="*/ 7157796 w 12192000"/>
              <a:gd name="csY11078" fmla="*/ 3955978 h 6858000"/>
              <a:gd name="csX11079" fmla="*/ 7123456 w 12192000"/>
              <a:gd name="csY11079" fmla="*/ 3921158 h 6858000"/>
              <a:gd name="csX11080" fmla="*/ 7458423 w 12192000"/>
              <a:gd name="csY11080" fmla="*/ 3921158 h 6858000"/>
              <a:gd name="csX11081" fmla="*/ 7424070 w 12192000"/>
              <a:gd name="csY11081" fmla="*/ 3955978 h 6858000"/>
              <a:gd name="csX11082" fmla="*/ 7458423 w 12192000"/>
              <a:gd name="csY11082" fmla="*/ 3990798 h 6858000"/>
              <a:gd name="csX11083" fmla="*/ 7492763 w 12192000"/>
              <a:gd name="csY11083" fmla="*/ 3955978 h 6858000"/>
              <a:gd name="csX11084" fmla="*/ 7458423 w 12192000"/>
              <a:gd name="csY11084" fmla="*/ 3921158 h 6858000"/>
              <a:gd name="csX11085" fmla="*/ 8295839 w 12192000"/>
              <a:gd name="csY11085" fmla="*/ 3921158 h 6858000"/>
              <a:gd name="csX11086" fmla="*/ 8261486 w 12192000"/>
              <a:gd name="csY11086" fmla="*/ 3955978 h 6858000"/>
              <a:gd name="csX11087" fmla="*/ 8295839 w 12192000"/>
              <a:gd name="csY11087" fmla="*/ 3990798 h 6858000"/>
              <a:gd name="csX11088" fmla="*/ 8330179 w 12192000"/>
              <a:gd name="csY11088" fmla="*/ 3955978 h 6858000"/>
              <a:gd name="csX11089" fmla="*/ 8295839 w 12192000"/>
              <a:gd name="csY11089" fmla="*/ 3921158 h 6858000"/>
              <a:gd name="csX11090" fmla="*/ 8965772 w 12192000"/>
              <a:gd name="csY11090" fmla="*/ 3921158 h 6858000"/>
              <a:gd name="csX11091" fmla="*/ 8931419 w 12192000"/>
              <a:gd name="csY11091" fmla="*/ 3955978 h 6858000"/>
              <a:gd name="csX11092" fmla="*/ 8965772 w 12192000"/>
              <a:gd name="csY11092" fmla="*/ 3990798 h 6858000"/>
              <a:gd name="csX11093" fmla="*/ 9000112 w 12192000"/>
              <a:gd name="csY11093" fmla="*/ 3955978 h 6858000"/>
              <a:gd name="csX11094" fmla="*/ 8965772 w 12192000"/>
              <a:gd name="csY11094" fmla="*/ 3921158 h 6858000"/>
              <a:gd name="csX11095" fmla="*/ 9133256 w 12192000"/>
              <a:gd name="csY11095" fmla="*/ 3921158 h 6858000"/>
              <a:gd name="csX11096" fmla="*/ 9098903 w 12192000"/>
              <a:gd name="csY11096" fmla="*/ 3955978 h 6858000"/>
              <a:gd name="csX11097" fmla="*/ 9133256 w 12192000"/>
              <a:gd name="csY11097" fmla="*/ 3990798 h 6858000"/>
              <a:gd name="csX11098" fmla="*/ 9167596 w 12192000"/>
              <a:gd name="csY11098" fmla="*/ 3955978 h 6858000"/>
              <a:gd name="csX11099" fmla="*/ 9133256 w 12192000"/>
              <a:gd name="csY11099" fmla="*/ 3921158 h 6858000"/>
              <a:gd name="csX11100" fmla="*/ 9216997 w 12192000"/>
              <a:gd name="csY11100" fmla="*/ 3921158 h 6858000"/>
              <a:gd name="csX11101" fmla="*/ 9182644 w 12192000"/>
              <a:gd name="csY11101" fmla="*/ 3955978 h 6858000"/>
              <a:gd name="csX11102" fmla="*/ 9216997 w 12192000"/>
              <a:gd name="csY11102" fmla="*/ 3990798 h 6858000"/>
              <a:gd name="csX11103" fmla="*/ 9251337 w 12192000"/>
              <a:gd name="csY11103" fmla="*/ 3955978 h 6858000"/>
              <a:gd name="csX11104" fmla="*/ 9216997 w 12192000"/>
              <a:gd name="csY11104" fmla="*/ 3921158 h 6858000"/>
              <a:gd name="csX11105" fmla="*/ 9719446 w 12192000"/>
              <a:gd name="csY11105" fmla="*/ 3921158 h 6858000"/>
              <a:gd name="csX11106" fmla="*/ 9685093 w 12192000"/>
              <a:gd name="csY11106" fmla="*/ 3955978 h 6858000"/>
              <a:gd name="csX11107" fmla="*/ 9719446 w 12192000"/>
              <a:gd name="csY11107" fmla="*/ 3990798 h 6858000"/>
              <a:gd name="csX11108" fmla="*/ 9753787 w 12192000"/>
              <a:gd name="csY11108" fmla="*/ 3955978 h 6858000"/>
              <a:gd name="csX11109" fmla="*/ 9719446 w 12192000"/>
              <a:gd name="csY11109" fmla="*/ 3921158 h 6858000"/>
              <a:gd name="csX11110" fmla="*/ 3355051 w 12192000"/>
              <a:gd name="csY11110" fmla="*/ 4006021 h 6858000"/>
              <a:gd name="csX11111" fmla="*/ 3320704 w 12192000"/>
              <a:gd name="csY11111" fmla="*/ 4040842 h 6858000"/>
              <a:gd name="csX11112" fmla="*/ 3355051 w 12192000"/>
              <a:gd name="csY11112" fmla="*/ 4075662 h 6858000"/>
              <a:gd name="csX11113" fmla="*/ 3389398 w 12192000"/>
              <a:gd name="csY11113" fmla="*/ 4040842 h 6858000"/>
              <a:gd name="csX11114" fmla="*/ 3355051 w 12192000"/>
              <a:gd name="csY11114" fmla="*/ 4006021 h 6858000"/>
              <a:gd name="csX11115" fmla="*/ 3438792 w 12192000"/>
              <a:gd name="csY11115" fmla="*/ 4006021 h 6858000"/>
              <a:gd name="csX11116" fmla="*/ 3404445 w 12192000"/>
              <a:gd name="csY11116" fmla="*/ 4040842 h 6858000"/>
              <a:gd name="csX11117" fmla="*/ 3438792 w 12192000"/>
              <a:gd name="csY11117" fmla="*/ 4075662 h 6858000"/>
              <a:gd name="csX11118" fmla="*/ 3473139 w 12192000"/>
              <a:gd name="csY11118" fmla="*/ 4040842 h 6858000"/>
              <a:gd name="csX11119" fmla="*/ 3438792 w 12192000"/>
              <a:gd name="csY11119" fmla="*/ 4006021 h 6858000"/>
              <a:gd name="csX11120" fmla="*/ 3522533 w 12192000"/>
              <a:gd name="csY11120" fmla="*/ 4006021 h 6858000"/>
              <a:gd name="csX11121" fmla="*/ 3488187 w 12192000"/>
              <a:gd name="csY11121" fmla="*/ 4040842 h 6858000"/>
              <a:gd name="csX11122" fmla="*/ 3522533 w 12192000"/>
              <a:gd name="csY11122" fmla="*/ 4075662 h 6858000"/>
              <a:gd name="csX11123" fmla="*/ 3556880 w 12192000"/>
              <a:gd name="csY11123" fmla="*/ 4040842 h 6858000"/>
              <a:gd name="csX11124" fmla="*/ 3522533 w 12192000"/>
              <a:gd name="csY11124" fmla="*/ 4006021 h 6858000"/>
              <a:gd name="csX11125" fmla="*/ 3606276 w 12192000"/>
              <a:gd name="csY11125" fmla="*/ 4006021 h 6858000"/>
              <a:gd name="csX11126" fmla="*/ 3571929 w 12192000"/>
              <a:gd name="csY11126" fmla="*/ 4040842 h 6858000"/>
              <a:gd name="csX11127" fmla="*/ 3606276 w 12192000"/>
              <a:gd name="csY11127" fmla="*/ 4075662 h 6858000"/>
              <a:gd name="csX11128" fmla="*/ 3640622 w 12192000"/>
              <a:gd name="csY11128" fmla="*/ 4040842 h 6858000"/>
              <a:gd name="csX11129" fmla="*/ 3606276 w 12192000"/>
              <a:gd name="csY11129" fmla="*/ 4006021 h 6858000"/>
              <a:gd name="csX11130" fmla="*/ 3690017 w 12192000"/>
              <a:gd name="csY11130" fmla="*/ 4006021 h 6858000"/>
              <a:gd name="csX11131" fmla="*/ 3655670 w 12192000"/>
              <a:gd name="csY11131" fmla="*/ 4040842 h 6858000"/>
              <a:gd name="csX11132" fmla="*/ 3690017 w 12192000"/>
              <a:gd name="csY11132" fmla="*/ 4075662 h 6858000"/>
              <a:gd name="csX11133" fmla="*/ 3724364 w 12192000"/>
              <a:gd name="csY11133" fmla="*/ 4040842 h 6858000"/>
              <a:gd name="csX11134" fmla="*/ 3690017 w 12192000"/>
              <a:gd name="csY11134" fmla="*/ 4006021 h 6858000"/>
              <a:gd name="csX11135" fmla="*/ 3773759 w 12192000"/>
              <a:gd name="csY11135" fmla="*/ 4006021 h 6858000"/>
              <a:gd name="csX11136" fmla="*/ 3739412 w 12192000"/>
              <a:gd name="csY11136" fmla="*/ 4040842 h 6858000"/>
              <a:gd name="csX11137" fmla="*/ 3773759 w 12192000"/>
              <a:gd name="csY11137" fmla="*/ 4075662 h 6858000"/>
              <a:gd name="csX11138" fmla="*/ 3808106 w 12192000"/>
              <a:gd name="csY11138" fmla="*/ 4040842 h 6858000"/>
              <a:gd name="csX11139" fmla="*/ 3773759 w 12192000"/>
              <a:gd name="csY11139" fmla="*/ 4006021 h 6858000"/>
              <a:gd name="csX11140" fmla="*/ 3857500 w 12192000"/>
              <a:gd name="csY11140" fmla="*/ 4006021 h 6858000"/>
              <a:gd name="csX11141" fmla="*/ 3823154 w 12192000"/>
              <a:gd name="csY11141" fmla="*/ 4040842 h 6858000"/>
              <a:gd name="csX11142" fmla="*/ 3857500 w 12192000"/>
              <a:gd name="csY11142" fmla="*/ 4075662 h 6858000"/>
              <a:gd name="csX11143" fmla="*/ 3891847 w 12192000"/>
              <a:gd name="csY11143" fmla="*/ 4040842 h 6858000"/>
              <a:gd name="csX11144" fmla="*/ 3857500 w 12192000"/>
              <a:gd name="csY11144" fmla="*/ 4006021 h 6858000"/>
              <a:gd name="csX11145" fmla="*/ 3941242 w 12192000"/>
              <a:gd name="csY11145" fmla="*/ 4006021 h 6858000"/>
              <a:gd name="csX11146" fmla="*/ 3906895 w 12192000"/>
              <a:gd name="csY11146" fmla="*/ 4040842 h 6858000"/>
              <a:gd name="csX11147" fmla="*/ 3941242 w 12192000"/>
              <a:gd name="csY11147" fmla="*/ 4075662 h 6858000"/>
              <a:gd name="csX11148" fmla="*/ 3975588 w 12192000"/>
              <a:gd name="csY11148" fmla="*/ 4040842 h 6858000"/>
              <a:gd name="csX11149" fmla="*/ 3941242 w 12192000"/>
              <a:gd name="csY11149" fmla="*/ 4006021 h 6858000"/>
              <a:gd name="csX11150" fmla="*/ 5532340 w 12192000"/>
              <a:gd name="csY11150" fmla="*/ 4006021 h 6858000"/>
              <a:gd name="csX11151" fmla="*/ 5497987 w 12192000"/>
              <a:gd name="csY11151" fmla="*/ 4040842 h 6858000"/>
              <a:gd name="csX11152" fmla="*/ 5532340 w 12192000"/>
              <a:gd name="csY11152" fmla="*/ 4075662 h 6858000"/>
              <a:gd name="csX11153" fmla="*/ 5566680 w 12192000"/>
              <a:gd name="csY11153" fmla="*/ 4040842 h 6858000"/>
              <a:gd name="csX11154" fmla="*/ 5532340 w 12192000"/>
              <a:gd name="csY11154" fmla="*/ 4006021 h 6858000"/>
              <a:gd name="csX11155" fmla="*/ 5616081 w 12192000"/>
              <a:gd name="csY11155" fmla="*/ 4006021 h 6858000"/>
              <a:gd name="csX11156" fmla="*/ 5581728 w 12192000"/>
              <a:gd name="csY11156" fmla="*/ 4040842 h 6858000"/>
              <a:gd name="csX11157" fmla="*/ 5616081 w 12192000"/>
              <a:gd name="csY11157" fmla="*/ 4075662 h 6858000"/>
              <a:gd name="csX11158" fmla="*/ 5650421 w 12192000"/>
              <a:gd name="csY11158" fmla="*/ 4040842 h 6858000"/>
              <a:gd name="csX11159" fmla="*/ 5616081 w 12192000"/>
              <a:gd name="csY11159" fmla="*/ 4006021 h 6858000"/>
              <a:gd name="csX11160" fmla="*/ 5699822 w 12192000"/>
              <a:gd name="csY11160" fmla="*/ 4006021 h 6858000"/>
              <a:gd name="csX11161" fmla="*/ 5665469 w 12192000"/>
              <a:gd name="csY11161" fmla="*/ 4040842 h 6858000"/>
              <a:gd name="csX11162" fmla="*/ 5699822 w 12192000"/>
              <a:gd name="csY11162" fmla="*/ 4075662 h 6858000"/>
              <a:gd name="csX11163" fmla="*/ 5734163 w 12192000"/>
              <a:gd name="csY11163" fmla="*/ 4040842 h 6858000"/>
              <a:gd name="csX11164" fmla="*/ 5699822 w 12192000"/>
              <a:gd name="csY11164" fmla="*/ 4006021 h 6858000"/>
              <a:gd name="csX11165" fmla="*/ 5783565 w 12192000"/>
              <a:gd name="csY11165" fmla="*/ 4006021 h 6858000"/>
              <a:gd name="csX11166" fmla="*/ 5749211 w 12192000"/>
              <a:gd name="csY11166" fmla="*/ 4040842 h 6858000"/>
              <a:gd name="csX11167" fmla="*/ 5783565 w 12192000"/>
              <a:gd name="csY11167" fmla="*/ 4075662 h 6858000"/>
              <a:gd name="csX11168" fmla="*/ 5817905 w 12192000"/>
              <a:gd name="csY11168" fmla="*/ 4040842 h 6858000"/>
              <a:gd name="csX11169" fmla="*/ 5783565 w 12192000"/>
              <a:gd name="csY11169" fmla="*/ 4006021 h 6858000"/>
              <a:gd name="csX11170" fmla="*/ 5867306 w 12192000"/>
              <a:gd name="csY11170" fmla="*/ 4006021 h 6858000"/>
              <a:gd name="csX11171" fmla="*/ 5832953 w 12192000"/>
              <a:gd name="csY11171" fmla="*/ 4040842 h 6858000"/>
              <a:gd name="csX11172" fmla="*/ 5867306 w 12192000"/>
              <a:gd name="csY11172" fmla="*/ 4075662 h 6858000"/>
              <a:gd name="csX11173" fmla="*/ 5901646 w 12192000"/>
              <a:gd name="csY11173" fmla="*/ 4040842 h 6858000"/>
              <a:gd name="csX11174" fmla="*/ 5867306 w 12192000"/>
              <a:gd name="csY11174" fmla="*/ 4006021 h 6858000"/>
              <a:gd name="csX11175" fmla="*/ 5951047 w 12192000"/>
              <a:gd name="csY11175" fmla="*/ 4006021 h 6858000"/>
              <a:gd name="csX11176" fmla="*/ 5916694 w 12192000"/>
              <a:gd name="csY11176" fmla="*/ 4040842 h 6858000"/>
              <a:gd name="csX11177" fmla="*/ 5951047 w 12192000"/>
              <a:gd name="csY11177" fmla="*/ 4075662 h 6858000"/>
              <a:gd name="csX11178" fmla="*/ 5985387 w 12192000"/>
              <a:gd name="csY11178" fmla="*/ 4040842 h 6858000"/>
              <a:gd name="csX11179" fmla="*/ 5951047 w 12192000"/>
              <a:gd name="csY11179" fmla="*/ 4006021 h 6858000"/>
              <a:gd name="csX11180" fmla="*/ 6034789 w 12192000"/>
              <a:gd name="csY11180" fmla="*/ 4006021 h 6858000"/>
              <a:gd name="csX11181" fmla="*/ 6000436 w 12192000"/>
              <a:gd name="csY11181" fmla="*/ 4040842 h 6858000"/>
              <a:gd name="csX11182" fmla="*/ 6034789 w 12192000"/>
              <a:gd name="csY11182" fmla="*/ 4075662 h 6858000"/>
              <a:gd name="csX11183" fmla="*/ 6069130 w 12192000"/>
              <a:gd name="csY11183" fmla="*/ 4040842 h 6858000"/>
              <a:gd name="csX11184" fmla="*/ 6034789 w 12192000"/>
              <a:gd name="csY11184" fmla="*/ 4006021 h 6858000"/>
              <a:gd name="csX11185" fmla="*/ 6118531 w 12192000"/>
              <a:gd name="csY11185" fmla="*/ 4006021 h 6858000"/>
              <a:gd name="csX11186" fmla="*/ 6084177 w 12192000"/>
              <a:gd name="csY11186" fmla="*/ 4040842 h 6858000"/>
              <a:gd name="csX11187" fmla="*/ 6118531 w 12192000"/>
              <a:gd name="csY11187" fmla="*/ 4075662 h 6858000"/>
              <a:gd name="csX11188" fmla="*/ 6152871 w 12192000"/>
              <a:gd name="csY11188" fmla="*/ 4040842 h 6858000"/>
              <a:gd name="csX11189" fmla="*/ 6118531 w 12192000"/>
              <a:gd name="csY11189" fmla="*/ 4006021 h 6858000"/>
              <a:gd name="csX11190" fmla="*/ 6202273 w 12192000"/>
              <a:gd name="csY11190" fmla="*/ 4006021 h 6858000"/>
              <a:gd name="csX11191" fmla="*/ 6167920 w 12192000"/>
              <a:gd name="csY11191" fmla="*/ 4040842 h 6858000"/>
              <a:gd name="csX11192" fmla="*/ 6202273 w 12192000"/>
              <a:gd name="csY11192" fmla="*/ 4075662 h 6858000"/>
              <a:gd name="csX11193" fmla="*/ 6236613 w 12192000"/>
              <a:gd name="csY11193" fmla="*/ 4040842 h 6858000"/>
              <a:gd name="csX11194" fmla="*/ 6202273 w 12192000"/>
              <a:gd name="csY11194" fmla="*/ 4006021 h 6858000"/>
              <a:gd name="csX11195" fmla="*/ 6286014 w 12192000"/>
              <a:gd name="csY11195" fmla="*/ 4006021 h 6858000"/>
              <a:gd name="csX11196" fmla="*/ 6251661 w 12192000"/>
              <a:gd name="csY11196" fmla="*/ 4040842 h 6858000"/>
              <a:gd name="csX11197" fmla="*/ 6286014 w 12192000"/>
              <a:gd name="csY11197" fmla="*/ 4075662 h 6858000"/>
              <a:gd name="csX11198" fmla="*/ 6320354 w 12192000"/>
              <a:gd name="csY11198" fmla="*/ 4040842 h 6858000"/>
              <a:gd name="csX11199" fmla="*/ 6286014 w 12192000"/>
              <a:gd name="csY11199" fmla="*/ 4006021 h 6858000"/>
              <a:gd name="csX11200" fmla="*/ 6369755 w 12192000"/>
              <a:gd name="csY11200" fmla="*/ 4006021 h 6858000"/>
              <a:gd name="csX11201" fmla="*/ 6335402 w 12192000"/>
              <a:gd name="csY11201" fmla="*/ 4040842 h 6858000"/>
              <a:gd name="csX11202" fmla="*/ 6369755 w 12192000"/>
              <a:gd name="csY11202" fmla="*/ 4075662 h 6858000"/>
              <a:gd name="csX11203" fmla="*/ 6404096 w 12192000"/>
              <a:gd name="csY11203" fmla="*/ 4040842 h 6858000"/>
              <a:gd name="csX11204" fmla="*/ 6369755 w 12192000"/>
              <a:gd name="csY11204" fmla="*/ 4006021 h 6858000"/>
              <a:gd name="csX11205" fmla="*/ 6453498 w 12192000"/>
              <a:gd name="csY11205" fmla="*/ 4006021 h 6858000"/>
              <a:gd name="csX11206" fmla="*/ 6419144 w 12192000"/>
              <a:gd name="csY11206" fmla="*/ 4040842 h 6858000"/>
              <a:gd name="csX11207" fmla="*/ 6453498 w 12192000"/>
              <a:gd name="csY11207" fmla="*/ 4075662 h 6858000"/>
              <a:gd name="csX11208" fmla="*/ 6487838 w 12192000"/>
              <a:gd name="csY11208" fmla="*/ 4040842 h 6858000"/>
              <a:gd name="csX11209" fmla="*/ 6453498 w 12192000"/>
              <a:gd name="csY11209" fmla="*/ 4006021 h 6858000"/>
              <a:gd name="csX11210" fmla="*/ 6537239 w 12192000"/>
              <a:gd name="csY11210" fmla="*/ 4006021 h 6858000"/>
              <a:gd name="csX11211" fmla="*/ 6502886 w 12192000"/>
              <a:gd name="csY11211" fmla="*/ 4040842 h 6858000"/>
              <a:gd name="csX11212" fmla="*/ 6537239 w 12192000"/>
              <a:gd name="csY11212" fmla="*/ 4075662 h 6858000"/>
              <a:gd name="csX11213" fmla="*/ 6571579 w 12192000"/>
              <a:gd name="csY11213" fmla="*/ 4040842 h 6858000"/>
              <a:gd name="csX11214" fmla="*/ 6537239 w 12192000"/>
              <a:gd name="csY11214" fmla="*/ 4006021 h 6858000"/>
              <a:gd name="csX11215" fmla="*/ 6620980 w 12192000"/>
              <a:gd name="csY11215" fmla="*/ 4006021 h 6858000"/>
              <a:gd name="csX11216" fmla="*/ 6586627 w 12192000"/>
              <a:gd name="csY11216" fmla="*/ 4040842 h 6858000"/>
              <a:gd name="csX11217" fmla="*/ 6620980 w 12192000"/>
              <a:gd name="csY11217" fmla="*/ 4075662 h 6858000"/>
              <a:gd name="csX11218" fmla="*/ 6655320 w 12192000"/>
              <a:gd name="csY11218" fmla="*/ 4040842 h 6858000"/>
              <a:gd name="csX11219" fmla="*/ 6620980 w 12192000"/>
              <a:gd name="csY11219" fmla="*/ 4006021 h 6858000"/>
              <a:gd name="csX11220" fmla="*/ 6704722 w 12192000"/>
              <a:gd name="csY11220" fmla="*/ 4006021 h 6858000"/>
              <a:gd name="csX11221" fmla="*/ 6670369 w 12192000"/>
              <a:gd name="csY11221" fmla="*/ 4040842 h 6858000"/>
              <a:gd name="csX11222" fmla="*/ 6704722 w 12192000"/>
              <a:gd name="csY11222" fmla="*/ 4075662 h 6858000"/>
              <a:gd name="csX11223" fmla="*/ 6739063 w 12192000"/>
              <a:gd name="csY11223" fmla="*/ 4040842 h 6858000"/>
              <a:gd name="csX11224" fmla="*/ 6704722 w 12192000"/>
              <a:gd name="csY11224" fmla="*/ 4006021 h 6858000"/>
              <a:gd name="csX11225" fmla="*/ 6788464 w 12192000"/>
              <a:gd name="csY11225" fmla="*/ 4006021 h 6858000"/>
              <a:gd name="csX11226" fmla="*/ 6754110 w 12192000"/>
              <a:gd name="csY11226" fmla="*/ 4040842 h 6858000"/>
              <a:gd name="csX11227" fmla="*/ 6788464 w 12192000"/>
              <a:gd name="csY11227" fmla="*/ 4075662 h 6858000"/>
              <a:gd name="csX11228" fmla="*/ 6822804 w 12192000"/>
              <a:gd name="csY11228" fmla="*/ 4040842 h 6858000"/>
              <a:gd name="csX11229" fmla="*/ 6788464 w 12192000"/>
              <a:gd name="csY11229" fmla="*/ 4006021 h 6858000"/>
              <a:gd name="csX11230" fmla="*/ 6872206 w 12192000"/>
              <a:gd name="csY11230" fmla="*/ 4006021 h 6858000"/>
              <a:gd name="csX11231" fmla="*/ 6837853 w 12192000"/>
              <a:gd name="csY11231" fmla="*/ 4040842 h 6858000"/>
              <a:gd name="csX11232" fmla="*/ 6872206 w 12192000"/>
              <a:gd name="csY11232" fmla="*/ 4075662 h 6858000"/>
              <a:gd name="csX11233" fmla="*/ 6906546 w 12192000"/>
              <a:gd name="csY11233" fmla="*/ 4040842 h 6858000"/>
              <a:gd name="csX11234" fmla="*/ 6872206 w 12192000"/>
              <a:gd name="csY11234" fmla="*/ 4006021 h 6858000"/>
              <a:gd name="csX11235" fmla="*/ 6955947 w 12192000"/>
              <a:gd name="csY11235" fmla="*/ 4006021 h 6858000"/>
              <a:gd name="csX11236" fmla="*/ 6921594 w 12192000"/>
              <a:gd name="csY11236" fmla="*/ 4040842 h 6858000"/>
              <a:gd name="csX11237" fmla="*/ 6955947 w 12192000"/>
              <a:gd name="csY11237" fmla="*/ 4075662 h 6858000"/>
              <a:gd name="csX11238" fmla="*/ 6990287 w 12192000"/>
              <a:gd name="csY11238" fmla="*/ 4040842 h 6858000"/>
              <a:gd name="csX11239" fmla="*/ 6955947 w 12192000"/>
              <a:gd name="csY11239" fmla="*/ 4006021 h 6858000"/>
              <a:gd name="csX11240" fmla="*/ 7039688 w 12192000"/>
              <a:gd name="csY11240" fmla="*/ 4006021 h 6858000"/>
              <a:gd name="csX11241" fmla="*/ 7005335 w 12192000"/>
              <a:gd name="csY11241" fmla="*/ 4040842 h 6858000"/>
              <a:gd name="csX11242" fmla="*/ 7039688 w 12192000"/>
              <a:gd name="csY11242" fmla="*/ 4075662 h 6858000"/>
              <a:gd name="csX11243" fmla="*/ 7074029 w 12192000"/>
              <a:gd name="csY11243" fmla="*/ 4040842 h 6858000"/>
              <a:gd name="csX11244" fmla="*/ 7039688 w 12192000"/>
              <a:gd name="csY11244" fmla="*/ 4006021 h 6858000"/>
              <a:gd name="csX11245" fmla="*/ 7123456 w 12192000"/>
              <a:gd name="csY11245" fmla="*/ 4006021 h 6858000"/>
              <a:gd name="csX11246" fmla="*/ 7089103 w 12192000"/>
              <a:gd name="csY11246" fmla="*/ 4040842 h 6858000"/>
              <a:gd name="csX11247" fmla="*/ 7123456 w 12192000"/>
              <a:gd name="csY11247" fmla="*/ 4075662 h 6858000"/>
              <a:gd name="csX11248" fmla="*/ 7157796 w 12192000"/>
              <a:gd name="csY11248" fmla="*/ 4040842 h 6858000"/>
              <a:gd name="csX11249" fmla="*/ 7123456 w 12192000"/>
              <a:gd name="csY11249" fmla="*/ 4006021 h 6858000"/>
              <a:gd name="csX11250" fmla="*/ 7207198 w 12192000"/>
              <a:gd name="csY11250" fmla="*/ 4006021 h 6858000"/>
              <a:gd name="csX11251" fmla="*/ 7172845 w 12192000"/>
              <a:gd name="csY11251" fmla="*/ 4040842 h 6858000"/>
              <a:gd name="csX11252" fmla="*/ 7207198 w 12192000"/>
              <a:gd name="csY11252" fmla="*/ 4075662 h 6858000"/>
              <a:gd name="csX11253" fmla="*/ 7241538 w 12192000"/>
              <a:gd name="csY11253" fmla="*/ 4040842 h 6858000"/>
              <a:gd name="csX11254" fmla="*/ 7207198 w 12192000"/>
              <a:gd name="csY11254" fmla="*/ 4006021 h 6858000"/>
              <a:gd name="csX11255" fmla="*/ 7290939 w 12192000"/>
              <a:gd name="csY11255" fmla="*/ 4006021 h 6858000"/>
              <a:gd name="csX11256" fmla="*/ 7256586 w 12192000"/>
              <a:gd name="csY11256" fmla="*/ 4040842 h 6858000"/>
              <a:gd name="csX11257" fmla="*/ 7290939 w 12192000"/>
              <a:gd name="csY11257" fmla="*/ 4075662 h 6858000"/>
              <a:gd name="csX11258" fmla="*/ 7325279 w 12192000"/>
              <a:gd name="csY11258" fmla="*/ 4040842 h 6858000"/>
              <a:gd name="csX11259" fmla="*/ 7290939 w 12192000"/>
              <a:gd name="csY11259" fmla="*/ 4006021 h 6858000"/>
              <a:gd name="csX11260" fmla="*/ 7374681 w 12192000"/>
              <a:gd name="csY11260" fmla="*/ 4006021 h 6858000"/>
              <a:gd name="csX11261" fmla="*/ 7340328 w 12192000"/>
              <a:gd name="csY11261" fmla="*/ 4040842 h 6858000"/>
              <a:gd name="csX11262" fmla="*/ 7374681 w 12192000"/>
              <a:gd name="csY11262" fmla="*/ 4075662 h 6858000"/>
              <a:gd name="csX11263" fmla="*/ 7409022 w 12192000"/>
              <a:gd name="csY11263" fmla="*/ 4040842 h 6858000"/>
              <a:gd name="csX11264" fmla="*/ 7374681 w 12192000"/>
              <a:gd name="csY11264" fmla="*/ 4006021 h 6858000"/>
              <a:gd name="csX11265" fmla="*/ 8379580 w 12192000"/>
              <a:gd name="csY11265" fmla="*/ 4006021 h 6858000"/>
              <a:gd name="csX11266" fmla="*/ 8345227 w 12192000"/>
              <a:gd name="csY11266" fmla="*/ 4040842 h 6858000"/>
              <a:gd name="csX11267" fmla="*/ 8379580 w 12192000"/>
              <a:gd name="csY11267" fmla="*/ 4075662 h 6858000"/>
              <a:gd name="csX11268" fmla="*/ 8413921 w 12192000"/>
              <a:gd name="csY11268" fmla="*/ 4040842 h 6858000"/>
              <a:gd name="csX11269" fmla="*/ 8379580 w 12192000"/>
              <a:gd name="csY11269" fmla="*/ 4006021 h 6858000"/>
              <a:gd name="csX11270" fmla="*/ 8965772 w 12192000"/>
              <a:gd name="csY11270" fmla="*/ 4006021 h 6858000"/>
              <a:gd name="csX11271" fmla="*/ 8931419 w 12192000"/>
              <a:gd name="csY11271" fmla="*/ 4040842 h 6858000"/>
              <a:gd name="csX11272" fmla="*/ 8965772 w 12192000"/>
              <a:gd name="csY11272" fmla="*/ 4075662 h 6858000"/>
              <a:gd name="csX11273" fmla="*/ 9000112 w 12192000"/>
              <a:gd name="csY11273" fmla="*/ 4040842 h 6858000"/>
              <a:gd name="csX11274" fmla="*/ 8965772 w 12192000"/>
              <a:gd name="csY11274" fmla="*/ 4006021 h 6858000"/>
              <a:gd name="csX11275" fmla="*/ 9719446 w 12192000"/>
              <a:gd name="csY11275" fmla="*/ 4006021 h 6858000"/>
              <a:gd name="csX11276" fmla="*/ 9685093 w 12192000"/>
              <a:gd name="csY11276" fmla="*/ 4040842 h 6858000"/>
              <a:gd name="csX11277" fmla="*/ 9719446 w 12192000"/>
              <a:gd name="csY11277" fmla="*/ 4075662 h 6858000"/>
              <a:gd name="csX11278" fmla="*/ 9753787 w 12192000"/>
              <a:gd name="csY11278" fmla="*/ 4040842 h 6858000"/>
              <a:gd name="csX11279" fmla="*/ 9719446 w 12192000"/>
              <a:gd name="csY11279" fmla="*/ 4006021 h 6858000"/>
              <a:gd name="csX11280" fmla="*/ 9803189 w 12192000"/>
              <a:gd name="csY11280" fmla="*/ 4006021 h 6858000"/>
              <a:gd name="csX11281" fmla="*/ 9768836 w 12192000"/>
              <a:gd name="csY11281" fmla="*/ 4040842 h 6858000"/>
              <a:gd name="csX11282" fmla="*/ 9803189 w 12192000"/>
              <a:gd name="csY11282" fmla="*/ 4075662 h 6858000"/>
              <a:gd name="csX11283" fmla="*/ 9837529 w 12192000"/>
              <a:gd name="csY11283" fmla="*/ 4040842 h 6858000"/>
              <a:gd name="csX11284" fmla="*/ 9803189 w 12192000"/>
              <a:gd name="csY11284" fmla="*/ 4006021 h 6858000"/>
              <a:gd name="csX11285" fmla="*/ 3522533 w 12192000"/>
              <a:gd name="csY11285" fmla="*/ 4090885 h 6858000"/>
              <a:gd name="csX11286" fmla="*/ 3488187 w 12192000"/>
              <a:gd name="csY11286" fmla="*/ 4125706 h 6858000"/>
              <a:gd name="csX11287" fmla="*/ 3522533 w 12192000"/>
              <a:gd name="csY11287" fmla="*/ 4160526 h 6858000"/>
              <a:gd name="csX11288" fmla="*/ 3556880 w 12192000"/>
              <a:gd name="csY11288" fmla="*/ 4125706 h 6858000"/>
              <a:gd name="csX11289" fmla="*/ 3522533 w 12192000"/>
              <a:gd name="csY11289" fmla="*/ 4090885 h 6858000"/>
              <a:gd name="csX11290" fmla="*/ 3606276 w 12192000"/>
              <a:gd name="csY11290" fmla="*/ 4090885 h 6858000"/>
              <a:gd name="csX11291" fmla="*/ 3571929 w 12192000"/>
              <a:gd name="csY11291" fmla="*/ 4125706 h 6858000"/>
              <a:gd name="csX11292" fmla="*/ 3606276 w 12192000"/>
              <a:gd name="csY11292" fmla="*/ 4160526 h 6858000"/>
              <a:gd name="csX11293" fmla="*/ 3640622 w 12192000"/>
              <a:gd name="csY11293" fmla="*/ 4125706 h 6858000"/>
              <a:gd name="csX11294" fmla="*/ 3606276 w 12192000"/>
              <a:gd name="csY11294" fmla="*/ 4090885 h 6858000"/>
              <a:gd name="csX11295" fmla="*/ 3690017 w 12192000"/>
              <a:gd name="csY11295" fmla="*/ 4090885 h 6858000"/>
              <a:gd name="csX11296" fmla="*/ 3655670 w 12192000"/>
              <a:gd name="csY11296" fmla="*/ 4125706 h 6858000"/>
              <a:gd name="csX11297" fmla="*/ 3690017 w 12192000"/>
              <a:gd name="csY11297" fmla="*/ 4160526 h 6858000"/>
              <a:gd name="csX11298" fmla="*/ 3724364 w 12192000"/>
              <a:gd name="csY11298" fmla="*/ 4125706 h 6858000"/>
              <a:gd name="csX11299" fmla="*/ 3690017 w 12192000"/>
              <a:gd name="csY11299" fmla="*/ 4090885 h 6858000"/>
              <a:gd name="csX11300" fmla="*/ 3773759 w 12192000"/>
              <a:gd name="csY11300" fmla="*/ 4090885 h 6858000"/>
              <a:gd name="csX11301" fmla="*/ 3739412 w 12192000"/>
              <a:gd name="csY11301" fmla="*/ 4125706 h 6858000"/>
              <a:gd name="csX11302" fmla="*/ 3773759 w 12192000"/>
              <a:gd name="csY11302" fmla="*/ 4160526 h 6858000"/>
              <a:gd name="csX11303" fmla="*/ 3808106 w 12192000"/>
              <a:gd name="csY11303" fmla="*/ 4125706 h 6858000"/>
              <a:gd name="csX11304" fmla="*/ 3773759 w 12192000"/>
              <a:gd name="csY11304" fmla="*/ 4090885 h 6858000"/>
              <a:gd name="csX11305" fmla="*/ 3857500 w 12192000"/>
              <a:gd name="csY11305" fmla="*/ 4090885 h 6858000"/>
              <a:gd name="csX11306" fmla="*/ 3823154 w 12192000"/>
              <a:gd name="csY11306" fmla="*/ 4125706 h 6858000"/>
              <a:gd name="csX11307" fmla="*/ 3857500 w 12192000"/>
              <a:gd name="csY11307" fmla="*/ 4160526 h 6858000"/>
              <a:gd name="csX11308" fmla="*/ 3891847 w 12192000"/>
              <a:gd name="csY11308" fmla="*/ 4125706 h 6858000"/>
              <a:gd name="csX11309" fmla="*/ 3857500 w 12192000"/>
              <a:gd name="csY11309" fmla="*/ 4090885 h 6858000"/>
              <a:gd name="csX11310" fmla="*/ 3941242 w 12192000"/>
              <a:gd name="csY11310" fmla="*/ 4090885 h 6858000"/>
              <a:gd name="csX11311" fmla="*/ 3906895 w 12192000"/>
              <a:gd name="csY11311" fmla="*/ 4125706 h 6858000"/>
              <a:gd name="csX11312" fmla="*/ 3941242 w 12192000"/>
              <a:gd name="csY11312" fmla="*/ 4160526 h 6858000"/>
              <a:gd name="csX11313" fmla="*/ 3975588 w 12192000"/>
              <a:gd name="csY11313" fmla="*/ 4125706 h 6858000"/>
              <a:gd name="csX11314" fmla="*/ 3941242 w 12192000"/>
              <a:gd name="csY11314" fmla="*/ 4090885 h 6858000"/>
              <a:gd name="csX11315" fmla="*/ 4024990 w 12192000"/>
              <a:gd name="csY11315" fmla="*/ 4090885 h 6858000"/>
              <a:gd name="csX11316" fmla="*/ 3990643 w 12192000"/>
              <a:gd name="csY11316" fmla="*/ 4125706 h 6858000"/>
              <a:gd name="csX11317" fmla="*/ 4024990 w 12192000"/>
              <a:gd name="csY11317" fmla="*/ 4160526 h 6858000"/>
              <a:gd name="csX11318" fmla="*/ 4059337 w 12192000"/>
              <a:gd name="csY11318" fmla="*/ 4125706 h 6858000"/>
              <a:gd name="csX11319" fmla="*/ 4024990 w 12192000"/>
              <a:gd name="csY11319" fmla="*/ 4090885 h 6858000"/>
              <a:gd name="csX11320" fmla="*/ 5616081 w 12192000"/>
              <a:gd name="csY11320" fmla="*/ 4090885 h 6858000"/>
              <a:gd name="csX11321" fmla="*/ 5581728 w 12192000"/>
              <a:gd name="csY11321" fmla="*/ 4125706 h 6858000"/>
              <a:gd name="csX11322" fmla="*/ 5616081 w 12192000"/>
              <a:gd name="csY11322" fmla="*/ 4160526 h 6858000"/>
              <a:gd name="csX11323" fmla="*/ 5650421 w 12192000"/>
              <a:gd name="csY11323" fmla="*/ 4125706 h 6858000"/>
              <a:gd name="csX11324" fmla="*/ 5616081 w 12192000"/>
              <a:gd name="csY11324" fmla="*/ 4090885 h 6858000"/>
              <a:gd name="csX11325" fmla="*/ 5699822 w 12192000"/>
              <a:gd name="csY11325" fmla="*/ 4090885 h 6858000"/>
              <a:gd name="csX11326" fmla="*/ 5665469 w 12192000"/>
              <a:gd name="csY11326" fmla="*/ 4125706 h 6858000"/>
              <a:gd name="csX11327" fmla="*/ 5699822 w 12192000"/>
              <a:gd name="csY11327" fmla="*/ 4160526 h 6858000"/>
              <a:gd name="csX11328" fmla="*/ 5734163 w 12192000"/>
              <a:gd name="csY11328" fmla="*/ 4125706 h 6858000"/>
              <a:gd name="csX11329" fmla="*/ 5699822 w 12192000"/>
              <a:gd name="csY11329" fmla="*/ 4090885 h 6858000"/>
              <a:gd name="csX11330" fmla="*/ 5783565 w 12192000"/>
              <a:gd name="csY11330" fmla="*/ 4090885 h 6858000"/>
              <a:gd name="csX11331" fmla="*/ 5749211 w 12192000"/>
              <a:gd name="csY11331" fmla="*/ 4125706 h 6858000"/>
              <a:gd name="csX11332" fmla="*/ 5783565 w 12192000"/>
              <a:gd name="csY11332" fmla="*/ 4160526 h 6858000"/>
              <a:gd name="csX11333" fmla="*/ 5817905 w 12192000"/>
              <a:gd name="csY11333" fmla="*/ 4125706 h 6858000"/>
              <a:gd name="csX11334" fmla="*/ 5783565 w 12192000"/>
              <a:gd name="csY11334" fmla="*/ 4090885 h 6858000"/>
              <a:gd name="csX11335" fmla="*/ 6034789 w 12192000"/>
              <a:gd name="csY11335" fmla="*/ 4090885 h 6858000"/>
              <a:gd name="csX11336" fmla="*/ 6000436 w 12192000"/>
              <a:gd name="csY11336" fmla="*/ 4125706 h 6858000"/>
              <a:gd name="csX11337" fmla="*/ 6034789 w 12192000"/>
              <a:gd name="csY11337" fmla="*/ 4160526 h 6858000"/>
              <a:gd name="csX11338" fmla="*/ 6069130 w 12192000"/>
              <a:gd name="csY11338" fmla="*/ 4125706 h 6858000"/>
              <a:gd name="csX11339" fmla="*/ 6034789 w 12192000"/>
              <a:gd name="csY11339" fmla="*/ 4090885 h 6858000"/>
              <a:gd name="csX11340" fmla="*/ 6118531 w 12192000"/>
              <a:gd name="csY11340" fmla="*/ 4090885 h 6858000"/>
              <a:gd name="csX11341" fmla="*/ 6084177 w 12192000"/>
              <a:gd name="csY11341" fmla="*/ 4125706 h 6858000"/>
              <a:gd name="csX11342" fmla="*/ 6118531 w 12192000"/>
              <a:gd name="csY11342" fmla="*/ 4160526 h 6858000"/>
              <a:gd name="csX11343" fmla="*/ 6152871 w 12192000"/>
              <a:gd name="csY11343" fmla="*/ 4125706 h 6858000"/>
              <a:gd name="csX11344" fmla="*/ 6118531 w 12192000"/>
              <a:gd name="csY11344" fmla="*/ 4090885 h 6858000"/>
              <a:gd name="csX11345" fmla="*/ 6202273 w 12192000"/>
              <a:gd name="csY11345" fmla="*/ 4090885 h 6858000"/>
              <a:gd name="csX11346" fmla="*/ 6167920 w 12192000"/>
              <a:gd name="csY11346" fmla="*/ 4125706 h 6858000"/>
              <a:gd name="csX11347" fmla="*/ 6202273 w 12192000"/>
              <a:gd name="csY11347" fmla="*/ 4160526 h 6858000"/>
              <a:gd name="csX11348" fmla="*/ 6236613 w 12192000"/>
              <a:gd name="csY11348" fmla="*/ 4125706 h 6858000"/>
              <a:gd name="csX11349" fmla="*/ 6202273 w 12192000"/>
              <a:gd name="csY11349" fmla="*/ 4090885 h 6858000"/>
              <a:gd name="csX11350" fmla="*/ 6286014 w 12192000"/>
              <a:gd name="csY11350" fmla="*/ 4090885 h 6858000"/>
              <a:gd name="csX11351" fmla="*/ 6251661 w 12192000"/>
              <a:gd name="csY11351" fmla="*/ 4125706 h 6858000"/>
              <a:gd name="csX11352" fmla="*/ 6286014 w 12192000"/>
              <a:gd name="csY11352" fmla="*/ 4160526 h 6858000"/>
              <a:gd name="csX11353" fmla="*/ 6320354 w 12192000"/>
              <a:gd name="csY11353" fmla="*/ 4125706 h 6858000"/>
              <a:gd name="csX11354" fmla="*/ 6286014 w 12192000"/>
              <a:gd name="csY11354" fmla="*/ 4090885 h 6858000"/>
              <a:gd name="csX11355" fmla="*/ 6369755 w 12192000"/>
              <a:gd name="csY11355" fmla="*/ 4090885 h 6858000"/>
              <a:gd name="csX11356" fmla="*/ 6335402 w 12192000"/>
              <a:gd name="csY11356" fmla="*/ 4125706 h 6858000"/>
              <a:gd name="csX11357" fmla="*/ 6369755 w 12192000"/>
              <a:gd name="csY11357" fmla="*/ 4160526 h 6858000"/>
              <a:gd name="csX11358" fmla="*/ 6404096 w 12192000"/>
              <a:gd name="csY11358" fmla="*/ 4125706 h 6858000"/>
              <a:gd name="csX11359" fmla="*/ 6369755 w 12192000"/>
              <a:gd name="csY11359" fmla="*/ 4090885 h 6858000"/>
              <a:gd name="csX11360" fmla="*/ 6453498 w 12192000"/>
              <a:gd name="csY11360" fmla="*/ 4090885 h 6858000"/>
              <a:gd name="csX11361" fmla="*/ 6419144 w 12192000"/>
              <a:gd name="csY11361" fmla="*/ 4125706 h 6858000"/>
              <a:gd name="csX11362" fmla="*/ 6453498 w 12192000"/>
              <a:gd name="csY11362" fmla="*/ 4160526 h 6858000"/>
              <a:gd name="csX11363" fmla="*/ 6487838 w 12192000"/>
              <a:gd name="csY11363" fmla="*/ 4125706 h 6858000"/>
              <a:gd name="csX11364" fmla="*/ 6453498 w 12192000"/>
              <a:gd name="csY11364" fmla="*/ 4090885 h 6858000"/>
              <a:gd name="csX11365" fmla="*/ 6537239 w 12192000"/>
              <a:gd name="csY11365" fmla="*/ 4090885 h 6858000"/>
              <a:gd name="csX11366" fmla="*/ 6502886 w 12192000"/>
              <a:gd name="csY11366" fmla="*/ 4125706 h 6858000"/>
              <a:gd name="csX11367" fmla="*/ 6537239 w 12192000"/>
              <a:gd name="csY11367" fmla="*/ 4160526 h 6858000"/>
              <a:gd name="csX11368" fmla="*/ 6571579 w 12192000"/>
              <a:gd name="csY11368" fmla="*/ 4125706 h 6858000"/>
              <a:gd name="csX11369" fmla="*/ 6537239 w 12192000"/>
              <a:gd name="csY11369" fmla="*/ 4090885 h 6858000"/>
              <a:gd name="csX11370" fmla="*/ 6620980 w 12192000"/>
              <a:gd name="csY11370" fmla="*/ 4090885 h 6858000"/>
              <a:gd name="csX11371" fmla="*/ 6586627 w 12192000"/>
              <a:gd name="csY11371" fmla="*/ 4125706 h 6858000"/>
              <a:gd name="csX11372" fmla="*/ 6620980 w 12192000"/>
              <a:gd name="csY11372" fmla="*/ 4160526 h 6858000"/>
              <a:gd name="csX11373" fmla="*/ 6655320 w 12192000"/>
              <a:gd name="csY11373" fmla="*/ 4125706 h 6858000"/>
              <a:gd name="csX11374" fmla="*/ 6620980 w 12192000"/>
              <a:gd name="csY11374" fmla="*/ 4090885 h 6858000"/>
              <a:gd name="csX11375" fmla="*/ 6704722 w 12192000"/>
              <a:gd name="csY11375" fmla="*/ 4090885 h 6858000"/>
              <a:gd name="csX11376" fmla="*/ 6670369 w 12192000"/>
              <a:gd name="csY11376" fmla="*/ 4125706 h 6858000"/>
              <a:gd name="csX11377" fmla="*/ 6704722 w 12192000"/>
              <a:gd name="csY11377" fmla="*/ 4160526 h 6858000"/>
              <a:gd name="csX11378" fmla="*/ 6739063 w 12192000"/>
              <a:gd name="csY11378" fmla="*/ 4125706 h 6858000"/>
              <a:gd name="csX11379" fmla="*/ 6704722 w 12192000"/>
              <a:gd name="csY11379" fmla="*/ 4090885 h 6858000"/>
              <a:gd name="csX11380" fmla="*/ 6788464 w 12192000"/>
              <a:gd name="csY11380" fmla="*/ 4090885 h 6858000"/>
              <a:gd name="csX11381" fmla="*/ 6754110 w 12192000"/>
              <a:gd name="csY11381" fmla="*/ 4125706 h 6858000"/>
              <a:gd name="csX11382" fmla="*/ 6788464 w 12192000"/>
              <a:gd name="csY11382" fmla="*/ 4160526 h 6858000"/>
              <a:gd name="csX11383" fmla="*/ 6822804 w 12192000"/>
              <a:gd name="csY11383" fmla="*/ 4125706 h 6858000"/>
              <a:gd name="csX11384" fmla="*/ 6788464 w 12192000"/>
              <a:gd name="csY11384" fmla="*/ 4090885 h 6858000"/>
              <a:gd name="csX11385" fmla="*/ 6872206 w 12192000"/>
              <a:gd name="csY11385" fmla="*/ 4090885 h 6858000"/>
              <a:gd name="csX11386" fmla="*/ 6837853 w 12192000"/>
              <a:gd name="csY11386" fmla="*/ 4125706 h 6858000"/>
              <a:gd name="csX11387" fmla="*/ 6872206 w 12192000"/>
              <a:gd name="csY11387" fmla="*/ 4160526 h 6858000"/>
              <a:gd name="csX11388" fmla="*/ 6906546 w 12192000"/>
              <a:gd name="csY11388" fmla="*/ 4125706 h 6858000"/>
              <a:gd name="csX11389" fmla="*/ 6872206 w 12192000"/>
              <a:gd name="csY11389" fmla="*/ 4090885 h 6858000"/>
              <a:gd name="csX11390" fmla="*/ 6955947 w 12192000"/>
              <a:gd name="csY11390" fmla="*/ 4090885 h 6858000"/>
              <a:gd name="csX11391" fmla="*/ 6921594 w 12192000"/>
              <a:gd name="csY11391" fmla="*/ 4125706 h 6858000"/>
              <a:gd name="csX11392" fmla="*/ 6955947 w 12192000"/>
              <a:gd name="csY11392" fmla="*/ 4160526 h 6858000"/>
              <a:gd name="csX11393" fmla="*/ 6990287 w 12192000"/>
              <a:gd name="csY11393" fmla="*/ 4125706 h 6858000"/>
              <a:gd name="csX11394" fmla="*/ 6955947 w 12192000"/>
              <a:gd name="csY11394" fmla="*/ 4090885 h 6858000"/>
              <a:gd name="csX11395" fmla="*/ 7039688 w 12192000"/>
              <a:gd name="csY11395" fmla="*/ 4090885 h 6858000"/>
              <a:gd name="csX11396" fmla="*/ 7005335 w 12192000"/>
              <a:gd name="csY11396" fmla="*/ 4125706 h 6858000"/>
              <a:gd name="csX11397" fmla="*/ 7039688 w 12192000"/>
              <a:gd name="csY11397" fmla="*/ 4160526 h 6858000"/>
              <a:gd name="csX11398" fmla="*/ 7074029 w 12192000"/>
              <a:gd name="csY11398" fmla="*/ 4125706 h 6858000"/>
              <a:gd name="csX11399" fmla="*/ 7039688 w 12192000"/>
              <a:gd name="csY11399" fmla="*/ 4090885 h 6858000"/>
              <a:gd name="csX11400" fmla="*/ 7123456 w 12192000"/>
              <a:gd name="csY11400" fmla="*/ 4090885 h 6858000"/>
              <a:gd name="csX11401" fmla="*/ 7089103 w 12192000"/>
              <a:gd name="csY11401" fmla="*/ 4125706 h 6858000"/>
              <a:gd name="csX11402" fmla="*/ 7123456 w 12192000"/>
              <a:gd name="csY11402" fmla="*/ 4160526 h 6858000"/>
              <a:gd name="csX11403" fmla="*/ 7157796 w 12192000"/>
              <a:gd name="csY11403" fmla="*/ 4125706 h 6858000"/>
              <a:gd name="csX11404" fmla="*/ 7123456 w 12192000"/>
              <a:gd name="csY11404" fmla="*/ 4090885 h 6858000"/>
              <a:gd name="csX11405" fmla="*/ 7207198 w 12192000"/>
              <a:gd name="csY11405" fmla="*/ 4090885 h 6858000"/>
              <a:gd name="csX11406" fmla="*/ 7172845 w 12192000"/>
              <a:gd name="csY11406" fmla="*/ 4125706 h 6858000"/>
              <a:gd name="csX11407" fmla="*/ 7207198 w 12192000"/>
              <a:gd name="csY11407" fmla="*/ 4160526 h 6858000"/>
              <a:gd name="csX11408" fmla="*/ 7241538 w 12192000"/>
              <a:gd name="csY11408" fmla="*/ 4125706 h 6858000"/>
              <a:gd name="csX11409" fmla="*/ 7207198 w 12192000"/>
              <a:gd name="csY11409" fmla="*/ 4090885 h 6858000"/>
              <a:gd name="csX11410" fmla="*/ 7290939 w 12192000"/>
              <a:gd name="csY11410" fmla="*/ 4090885 h 6858000"/>
              <a:gd name="csX11411" fmla="*/ 7256586 w 12192000"/>
              <a:gd name="csY11411" fmla="*/ 4125706 h 6858000"/>
              <a:gd name="csX11412" fmla="*/ 7290939 w 12192000"/>
              <a:gd name="csY11412" fmla="*/ 4160526 h 6858000"/>
              <a:gd name="csX11413" fmla="*/ 7325279 w 12192000"/>
              <a:gd name="csY11413" fmla="*/ 4125706 h 6858000"/>
              <a:gd name="csX11414" fmla="*/ 7290939 w 12192000"/>
              <a:gd name="csY11414" fmla="*/ 4090885 h 6858000"/>
              <a:gd name="csX11415" fmla="*/ 9049513 w 12192000"/>
              <a:gd name="csY11415" fmla="*/ 4090885 h 6858000"/>
              <a:gd name="csX11416" fmla="*/ 9015160 w 12192000"/>
              <a:gd name="csY11416" fmla="*/ 4125706 h 6858000"/>
              <a:gd name="csX11417" fmla="*/ 9049513 w 12192000"/>
              <a:gd name="csY11417" fmla="*/ 4160526 h 6858000"/>
              <a:gd name="csX11418" fmla="*/ 9083854 w 12192000"/>
              <a:gd name="csY11418" fmla="*/ 4125706 h 6858000"/>
              <a:gd name="csX11419" fmla="*/ 9049513 w 12192000"/>
              <a:gd name="csY11419" fmla="*/ 4090885 h 6858000"/>
              <a:gd name="csX11420" fmla="*/ 9551963 w 12192000"/>
              <a:gd name="csY11420" fmla="*/ 4090885 h 6858000"/>
              <a:gd name="csX11421" fmla="*/ 9517610 w 12192000"/>
              <a:gd name="csY11421" fmla="*/ 4125706 h 6858000"/>
              <a:gd name="csX11422" fmla="*/ 9551963 w 12192000"/>
              <a:gd name="csY11422" fmla="*/ 4160526 h 6858000"/>
              <a:gd name="csX11423" fmla="*/ 9586303 w 12192000"/>
              <a:gd name="csY11423" fmla="*/ 4125706 h 6858000"/>
              <a:gd name="csX11424" fmla="*/ 9551963 w 12192000"/>
              <a:gd name="csY11424" fmla="*/ 4090885 h 6858000"/>
              <a:gd name="csX11425" fmla="*/ 3522533 w 12192000"/>
              <a:gd name="csY11425" fmla="*/ 4175749 h 6858000"/>
              <a:gd name="csX11426" fmla="*/ 3488187 w 12192000"/>
              <a:gd name="csY11426" fmla="*/ 4210569 h 6858000"/>
              <a:gd name="csX11427" fmla="*/ 3522533 w 12192000"/>
              <a:gd name="csY11427" fmla="*/ 4245390 h 6858000"/>
              <a:gd name="csX11428" fmla="*/ 3556880 w 12192000"/>
              <a:gd name="csY11428" fmla="*/ 4210569 h 6858000"/>
              <a:gd name="csX11429" fmla="*/ 3522533 w 12192000"/>
              <a:gd name="csY11429" fmla="*/ 4175749 h 6858000"/>
              <a:gd name="csX11430" fmla="*/ 3606276 w 12192000"/>
              <a:gd name="csY11430" fmla="*/ 4175749 h 6858000"/>
              <a:gd name="csX11431" fmla="*/ 3571929 w 12192000"/>
              <a:gd name="csY11431" fmla="*/ 4210569 h 6858000"/>
              <a:gd name="csX11432" fmla="*/ 3606276 w 12192000"/>
              <a:gd name="csY11432" fmla="*/ 4245390 h 6858000"/>
              <a:gd name="csX11433" fmla="*/ 3640622 w 12192000"/>
              <a:gd name="csY11433" fmla="*/ 4210569 h 6858000"/>
              <a:gd name="csX11434" fmla="*/ 3606276 w 12192000"/>
              <a:gd name="csY11434" fmla="*/ 4175749 h 6858000"/>
              <a:gd name="csX11435" fmla="*/ 3690017 w 12192000"/>
              <a:gd name="csY11435" fmla="*/ 4175749 h 6858000"/>
              <a:gd name="csX11436" fmla="*/ 3655670 w 12192000"/>
              <a:gd name="csY11436" fmla="*/ 4210569 h 6858000"/>
              <a:gd name="csX11437" fmla="*/ 3690017 w 12192000"/>
              <a:gd name="csY11437" fmla="*/ 4245390 h 6858000"/>
              <a:gd name="csX11438" fmla="*/ 3724364 w 12192000"/>
              <a:gd name="csY11438" fmla="*/ 4210569 h 6858000"/>
              <a:gd name="csX11439" fmla="*/ 3690017 w 12192000"/>
              <a:gd name="csY11439" fmla="*/ 4175749 h 6858000"/>
              <a:gd name="csX11440" fmla="*/ 3773759 w 12192000"/>
              <a:gd name="csY11440" fmla="*/ 4175749 h 6858000"/>
              <a:gd name="csX11441" fmla="*/ 3739412 w 12192000"/>
              <a:gd name="csY11441" fmla="*/ 4210569 h 6858000"/>
              <a:gd name="csX11442" fmla="*/ 3773759 w 12192000"/>
              <a:gd name="csY11442" fmla="*/ 4245390 h 6858000"/>
              <a:gd name="csX11443" fmla="*/ 3808106 w 12192000"/>
              <a:gd name="csY11443" fmla="*/ 4210569 h 6858000"/>
              <a:gd name="csX11444" fmla="*/ 3773759 w 12192000"/>
              <a:gd name="csY11444" fmla="*/ 4175749 h 6858000"/>
              <a:gd name="csX11445" fmla="*/ 3857500 w 12192000"/>
              <a:gd name="csY11445" fmla="*/ 4175749 h 6858000"/>
              <a:gd name="csX11446" fmla="*/ 3823154 w 12192000"/>
              <a:gd name="csY11446" fmla="*/ 4210569 h 6858000"/>
              <a:gd name="csX11447" fmla="*/ 3857500 w 12192000"/>
              <a:gd name="csY11447" fmla="*/ 4245390 h 6858000"/>
              <a:gd name="csX11448" fmla="*/ 3891847 w 12192000"/>
              <a:gd name="csY11448" fmla="*/ 4210569 h 6858000"/>
              <a:gd name="csX11449" fmla="*/ 3857500 w 12192000"/>
              <a:gd name="csY11449" fmla="*/ 4175749 h 6858000"/>
              <a:gd name="csX11450" fmla="*/ 3941242 w 12192000"/>
              <a:gd name="csY11450" fmla="*/ 4175749 h 6858000"/>
              <a:gd name="csX11451" fmla="*/ 3906895 w 12192000"/>
              <a:gd name="csY11451" fmla="*/ 4210569 h 6858000"/>
              <a:gd name="csX11452" fmla="*/ 3941242 w 12192000"/>
              <a:gd name="csY11452" fmla="*/ 4245390 h 6858000"/>
              <a:gd name="csX11453" fmla="*/ 3975588 w 12192000"/>
              <a:gd name="csY11453" fmla="*/ 4210569 h 6858000"/>
              <a:gd name="csX11454" fmla="*/ 3941242 w 12192000"/>
              <a:gd name="csY11454" fmla="*/ 4175749 h 6858000"/>
              <a:gd name="csX11455" fmla="*/ 4024990 w 12192000"/>
              <a:gd name="csY11455" fmla="*/ 4175749 h 6858000"/>
              <a:gd name="csX11456" fmla="*/ 3990643 w 12192000"/>
              <a:gd name="csY11456" fmla="*/ 4210569 h 6858000"/>
              <a:gd name="csX11457" fmla="*/ 4024990 w 12192000"/>
              <a:gd name="csY11457" fmla="*/ 4245390 h 6858000"/>
              <a:gd name="csX11458" fmla="*/ 4059337 w 12192000"/>
              <a:gd name="csY11458" fmla="*/ 4210569 h 6858000"/>
              <a:gd name="csX11459" fmla="*/ 4024990 w 12192000"/>
              <a:gd name="csY11459" fmla="*/ 4175749 h 6858000"/>
              <a:gd name="csX11460" fmla="*/ 4108732 w 12192000"/>
              <a:gd name="csY11460" fmla="*/ 4175749 h 6858000"/>
              <a:gd name="csX11461" fmla="*/ 4074386 w 12192000"/>
              <a:gd name="csY11461" fmla="*/ 4210569 h 6858000"/>
              <a:gd name="csX11462" fmla="*/ 4108732 w 12192000"/>
              <a:gd name="csY11462" fmla="*/ 4245390 h 6858000"/>
              <a:gd name="csX11463" fmla="*/ 4143079 w 12192000"/>
              <a:gd name="csY11463" fmla="*/ 4210569 h 6858000"/>
              <a:gd name="csX11464" fmla="*/ 4108732 w 12192000"/>
              <a:gd name="csY11464" fmla="*/ 4175749 h 6858000"/>
              <a:gd name="csX11465" fmla="*/ 4192473 w 12192000"/>
              <a:gd name="csY11465" fmla="*/ 4175749 h 6858000"/>
              <a:gd name="csX11466" fmla="*/ 4158127 w 12192000"/>
              <a:gd name="csY11466" fmla="*/ 4210569 h 6858000"/>
              <a:gd name="csX11467" fmla="*/ 4192473 w 12192000"/>
              <a:gd name="csY11467" fmla="*/ 4245390 h 6858000"/>
              <a:gd name="csX11468" fmla="*/ 4226820 w 12192000"/>
              <a:gd name="csY11468" fmla="*/ 4210569 h 6858000"/>
              <a:gd name="csX11469" fmla="*/ 4192473 w 12192000"/>
              <a:gd name="csY11469" fmla="*/ 4175749 h 6858000"/>
              <a:gd name="csX11470" fmla="*/ 4276215 w 12192000"/>
              <a:gd name="csY11470" fmla="*/ 4175749 h 6858000"/>
              <a:gd name="csX11471" fmla="*/ 4241868 w 12192000"/>
              <a:gd name="csY11471" fmla="*/ 4210569 h 6858000"/>
              <a:gd name="csX11472" fmla="*/ 4276215 w 12192000"/>
              <a:gd name="csY11472" fmla="*/ 4245390 h 6858000"/>
              <a:gd name="csX11473" fmla="*/ 4310561 w 12192000"/>
              <a:gd name="csY11473" fmla="*/ 4210569 h 6858000"/>
              <a:gd name="csX11474" fmla="*/ 4276215 w 12192000"/>
              <a:gd name="csY11474" fmla="*/ 4175749 h 6858000"/>
              <a:gd name="csX11475" fmla="*/ 6202273 w 12192000"/>
              <a:gd name="csY11475" fmla="*/ 4175749 h 6858000"/>
              <a:gd name="csX11476" fmla="*/ 6167920 w 12192000"/>
              <a:gd name="csY11476" fmla="*/ 4210569 h 6858000"/>
              <a:gd name="csX11477" fmla="*/ 6202273 w 12192000"/>
              <a:gd name="csY11477" fmla="*/ 4245390 h 6858000"/>
              <a:gd name="csX11478" fmla="*/ 6236613 w 12192000"/>
              <a:gd name="csY11478" fmla="*/ 4210569 h 6858000"/>
              <a:gd name="csX11479" fmla="*/ 6202273 w 12192000"/>
              <a:gd name="csY11479" fmla="*/ 4175749 h 6858000"/>
              <a:gd name="csX11480" fmla="*/ 6286014 w 12192000"/>
              <a:gd name="csY11480" fmla="*/ 4175749 h 6858000"/>
              <a:gd name="csX11481" fmla="*/ 6251661 w 12192000"/>
              <a:gd name="csY11481" fmla="*/ 4210569 h 6858000"/>
              <a:gd name="csX11482" fmla="*/ 6286014 w 12192000"/>
              <a:gd name="csY11482" fmla="*/ 4245390 h 6858000"/>
              <a:gd name="csX11483" fmla="*/ 6320354 w 12192000"/>
              <a:gd name="csY11483" fmla="*/ 4210569 h 6858000"/>
              <a:gd name="csX11484" fmla="*/ 6286014 w 12192000"/>
              <a:gd name="csY11484" fmla="*/ 4175749 h 6858000"/>
              <a:gd name="csX11485" fmla="*/ 6369755 w 12192000"/>
              <a:gd name="csY11485" fmla="*/ 4175749 h 6858000"/>
              <a:gd name="csX11486" fmla="*/ 6335402 w 12192000"/>
              <a:gd name="csY11486" fmla="*/ 4210569 h 6858000"/>
              <a:gd name="csX11487" fmla="*/ 6369755 w 12192000"/>
              <a:gd name="csY11487" fmla="*/ 4245390 h 6858000"/>
              <a:gd name="csX11488" fmla="*/ 6404096 w 12192000"/>
              <a:gd name="csY11488" fmla="*/ 4210569 h 6858000"/>
              <a:gd name="csX11489" fmla="*/ 6369755 w 12192000"/>
              <a:gd name="csY11489" fmla="*/ 4175749 h 6858000"/>
              <a:gd name="csX11490" fmla="*/ 6453498 w 12192000"/>
              <a:gd name="csY11490" fmla="*/ 4175749 h 6858000"/>
              <a:gd name="csX11491" fmla="*/ 6419144 w 12192000"/>
              <a:gd name="csY11491" fmla="*/ 4210569 h 6858000"/>
              <a:gd name="csX11492" fmla="*/ 6453498 w 12192000"/>
              <a:gd name="csY11492" fmla="*/ 4245390 h 6858000"/>
              <a:gd name="csX11493" fmla="*/ 6487838 w 12192000"/>
              <a:gd name="csY11493" fmla="*/ 4210569 h 6858000"/>
              <a:gd name="csX11494" fmla="*/ 6453498 w 12192000"/>
              <a:gd name="csY11494" fmla="*/ 4175749 h 6858000"/>
              <a:gd name="csX11495" fmla="*/ 6537239 w 12192000"/>
              <a:gd name="csY11495" fmla="*/ 4175749 h 6858000"/>
              <a:gd name="csX11496" fmla="*/ 6502886 w 12192000"/>
              <a:gd name="csY11496" fmla="*/ 4210569 h 6858000"/>
              <a:gd name="csX11497" fmla="*/ 6537239 w 12192000"/>
              <a:gd name="csY11497" fmla="*/ 4245390 h 6858000"/>
              <a:gd name="csX11498" fmla="*/ 6571579 w 12192000"/>
              <a:gd name="csY11498" fmla="*/ 4210569 h 6858000"/>
              <a:gd name="csX11499" fmla="*/ 6537239 w 12192000"/>
              <a:gd name="csY11499" fmla="*/ 4175749 h 6858000"/>
              <a:gd name="csX11500" fmla="*/ 6620980 w 12192000"/>
              <a:gd name="csY11500" fmla="*/ 4175749 h 6858000"/>
              <a:gd name="csX11501" fmla="*/ 6586627 w 12192000"/>
              <a:gd name="csY11501" fmla="*/ 4210569 h 6858000"/>
              <a:gd name="csX11502" fmla="*/ 6620980 w 12192000"/>
              <a:gd name="csY11502" fmla="*/ 4245390 h 6858000"/>
              <a:gd name="csX11503" fmla="*/ 6655320 w 12192000"/>
              <a:gd name="csY11503" fmla="*/ 4210569 h 6858000"/>
              <a:gd name="csX11504" fmla="*/ 6620980 w 12192000"/>
              <a:gd name="csY11504" fmla="*/ 4175749 h 6858000"/>
              <a:gd name="csX11505" fmla="*/ 6704722 w 12192000"/>
              <a:gd name="csY11505" fmla="*/ 4175749 h 6858000"/>
              <a:gd name="csX11506" fmla="*/ 6670369 w 12192000"/>
              <a:gd name="csY11506" fmla="*/ 4210569 h 6858000"/>
              <a:gd name="csX11507" fmla="*/ 6704722 w 12192000"/>
              <a:gd name="csY11507" fmla="*/ 4245390 h 6858000"/>
              <a:gd name="csX11508" fmla="*/ 6739063 w 12192000"/>
              <a:gd name="csY11508" fmla="*/ 4210569 h 6858000"/>
              <a:gd name="csX11509" fmla="*/ 6704722 w 12192000"/>
              <a:gd name="csY11509" fmla="*/ 4175749 h 6858000"/>
              <a:gd name="csX11510" fmla="*/ 6788464 w 12192000"/>
              <a:gd name="csY11510" fmla="*/ 4175749 h 6858000"/>
              <a:gd name="csX11511" fmla="*/ 6754110 w 12192000"/>
              <a:gd name="csY11511" fmla="*/ 4210569 h 6858000"/>
              <a:gd name="csX11512" fmla="*/ 6788464 w 12192000"/>
              <a:gd name="csY11512" fmla="*/ 4245390 h 6858000"/>
              <a:gd name="csX11513" fmla="*/ 6822804 w 12192000"/>
              <a:gd name="csY11513" fmla="*/ 4210569 h 6858000"/>
              <a:gd name="csX11514" fmla="*/ 6788464 w 12192000"/>
              <a:gd name="csY11514" fmla="*/ 4175749 h 6858000"/>
              <a:gd name="csX11515" fmla="*/ 6872206 w 12192000"/>
              <a:gd name="csY11515" fmla="*/ 4175749 h 6858000"/>
              <a:gd name="csX11516" fmla="*/ 6837853 w 12192000"/>
              <a:gd name="csY11516" fmla="*/ 4210569 h 6858000"/>
              <a:gd name="csX11517" fmla="*/ 6872206 w 12192000"/>
              <a:gd name="csY11517" fmla="*/ 4245390 h 6858000"/>
              <a:gd name="csX11518" fmla="*/ 6906546 w 12192000"/>
              <a:gd name="csY11518" fmla="*/ 4210569 h 6858000"/>
              <a:gd name="csX11519" fmla="*/ 6872206 w 12192000"/>
              <a:gd name="csY11519" fmla="*/ 4175749 h 6858000"/>
              <a:gd name="csX11520" fmla="*/ 6955947 w 12192000"/>
              <a:gd name="csY11520" fmla="*/ 4175749 h 6858000"/>
              <a:gd name="csX11521" fmla="*/ 6921594 w 12192000"/>
              <a:gd name="csY11521" fmla="*/ 4210569 h 6858000"/>
              <a:gd name="csX11522" fmla="*/ 6955947 w 12192000"/>
              <a:gd name="csY11522" fmla="*/ 4245390 h 6858000"/>
              <a:gd name="csX11523" fmla="*/ 6990287 w 12192000"/>
              <a:gd name="csY11523" fmla="*/ 4210569 h 6858000"/>
              <a:gd name="csX11524" fmla="*/ 6955947 w 12192000"/>
              <a:gd name="csY11524" fmla="*/ 4175749 h 6858000"/>
              <a:gd name="csX11525" fmla="*/ 7039688 w 12192000"/>
              <a:gd name="csY11525" fmla="*/ 4175749 h 6858000"/>
              <a:gd name="csX11526" fmla="*/ 7005335 w 12192000"/>
              <a:gd name="csY11526" fmla="*/ 4210569 h 6858000"/>
              <a:gd name="csX11527" fmla="*/ 7039688 w 12192000"/>
              <a:gd name="csY11527" fmla="*/ 4245390 h 6858000"/>
              <a:gd name="csX11528" fmla="*/ 7074029 w 12192000"/>
              <a:gd name="csY11528" fmla="*/ 4210569 h 6858000"/>
              <a:gd name="csX11529" fmla="*/ 7039688 w 12192000"/>
              <a:gd name="csY11529" fmla="*/ 4175749 h 6858000"/>
              <a:gd name="csX11530" fmla="*/ 7123456 w 12192000"/>
              <a:gd name="csY11530" fmla="*/ 4175749 h 6858000"/>
              <a:gd name="csX11531" fmla="*/ 7089103 w 12192000"/>
              <a:gd name="csY11531" fmla="*/ 4210569 h 6858000"/>
              <a:gd name="csX11532" fmla="*/ 7123456 w 12192000"/>
              <a:gd name="csY11532" fmla="*/ 4245390 h 6858000"/>
              <a:gd name="csX11533" fmla="*/ 7157796 w 12192000"/>
              <a:gd name="csY11533" fmla="*/ 4210569 h 6858000"/>
              <a:gd name="csX11534" fmla="*/ 7123456 w 12192000"/>
              <a:gd name="csY11534" fmla="*/ 4175749 h 6858000"/>
              <a:gd name="csX11535" fmla="*/ 7207198 w 12192000"/>
              <a:gd name="csY11535" fmla="*/ 4175749 h 6858000"/>
              <a:gd name="csX11536" fmla="*/ 7172845 w 12192000"/>
              <a:gd name="csY11536" fmla="*/ 4210569 h 6858000"/>
              <a:gd name="csX11537" fmla="*/ 7207198 w 12192000"/>
              <a:gd name="csY11537" fmla="*/ 4245390 h 6858000"/>
              <a:gd name="csX11538" fmla="*/ 7241538 w 12192000"/>
              <a:gd name="csY11538" fmla="*/ 4210569 h 6858000"/>
              <a:gd name="csX11539" fmla="*/ 7207198 w 12192000"/>
              <a:gd name="csY11539" fmla="*/ 4175749 h 6858000"/>
              <a:gd name="csX11540" fmla="*/ 8882030 w 12192000"/>
              <a:gd name="csY11540" fmla="*/ 4175749 h 6858000"/>
              <a:gd name="csX11541" fmla="*/ 8847677 w 12192000"/>
              <a:gd name="csY11541" fmla="*/ 4210569 h 6858000"/>
              <a:gd name="csX11542" fmla="*/ 8882030 w 12192000"/>
              <a:gd name="csY11542" fmla="*/ 4245390 h 6858000"/>
              <a:gd name="csX11543" fmla="*/ 8916370 w 12192000"/>
              <a:gd name="csY11543" fmla="*/ 4210569 h 6858000"/>
              <a:gd name="csX11544" fmla="*/ 8882030 w 12192000"/>
              <a:gd name="csY11544" fmla="*/ 4175749 h 6858000"/>
              <a:gd name="csX11545" fmla="*/ 9049513 w 12192000"/>
              <a:gd name="csY11545" fmla="*/ 4175749 h 6858000"/>
              <a:gd name="csX11546" fmla="*/ 9015160 w 12192000"/>
              <a:gd name="csY11546" fmla="*/ 4210569 h 6858000"/>
              <a:gd name="csX11547" fmla="*/ 9049513 w 12192000"/>
              <a:gd name="csY11547" fmla="*/ 4245390 h 6858000"/>
              <a:gd name="csX11548" fmla="*/ 9083854 w 12192000"/>
              <a:gd name="csY11548" fmla="*/ 4210569 h 6858000"/>
              <a:gd name="csX11549" fmla="*/ 9049513 w 12192000"/>
              <a:gd name="csY11549" fmla="*/ 4175749 h 6858000"/>
              <a:gd name="csX11550" fmla="*/ 9468222 w 12192000"/>
              <a:gd name="csY11550" fmla="*/ 4175749 h 6858000"/>
              <a:gd name="csX11551" fmla="*/ 9433869 w 12192000"/>
              <a:gd name="csY11551" fmla="*/ 4210569 h 6858000"/>
              <a:gd name="csX11552" fmla="*/ 9468222 w 12192000"/>
              <a:gd name="csY11552" fmla="*/ 4245390 h 6858000"/>
              <a:gd name="csX11553" fmla="*/ 9502562 w 12192000"/>
              <a:gd name="csY11553" fmla="*/ 4210569 h 6858000"/>
              <a:gd name="csX11554" fmla="*/ 9468222 w 12192000"/>
              <a:gd name="csY11554" fmla="*/ 4175749 h 6858000"/>
              <a:gd name="csX11555" fmla="*/ 3020084 w 12192000"/>
              <a:gd name="csY11555" fmla="*/ 4260614 h 6858000"/>
              <a:gd name="csX11556" fmla="*/ 2985737 w 12192000"/>
              <a:gd name="csY11556" fmla="*/ 4295434 h 6858000"/>
              <a:gd name="csX11557" fmla="*/ 3020084 w 12192000"/>
              <a:gd name="csY11557" fmla="*/ 4330254 h 6858000"/>
              <a:gd name="csX11558" fmla="*/ 3054431 w 12192000"/>
              <a:gd name="csY11558" fmla="*/ 4295434 h 6858000"/>
              <a:gd name="csX11559" fmla="*/ 3020084 w 12192000"/>
              <a:gd name="csY11559" fmla="*/ 4260614 h 6858000"/>
              <a:gd name="csX11560" fmla="*/ 3438792 w 12192000"/>
              <a:gd name="csY11560" fmla="*/ 4260614 h 6858000"/>
              <a:gd name="csX11561" fmla="*/ 3404445 w 12192000"/>
              <a:gd name="csY11561" fmla="*/ 4295434 h 6858000"/>
              <a:gd name="csX11562" fmla="*/ 3438792 w 12192000"/>
              <a:gd name="csY11562" fmla="*/ 4330254 h 6858000"/>
              <a:gd name="csX11563" fmla="*/ 3473139 w 12192000"/>
              <a:gd name="csY11563" fmla="*/ 4295434 h 6858000"/>
              <a:gd name="csX11564" fmla="*/ 3438792 w 12192000"/>
              <a:gd name="csY11564" fmla="*/ 4260614 h 6858000"/>
              <a:gd name="csX11565" fmla="*/ 3522533 w 12192000"/>
              <a:gd name="csY11565" fmla="*/ 4260614 h 6858000"/>
              <a:gd name="csX11566" fmla="*/ 3488187 w 12192000"/>
              <a:gd name="csY11566" fmla="*/ 4295434 h 6858000"/>
              <a:gd name="csX11567" fmla="*/ 3522533 w 12192000"/>
              <a:gd name="csY11567" fmla="*/ 4330254 h 6858000"/>
              <a:gd name="csX11568" fmla="*/ 3556880 w 12192000"/>
              <a:gd name="csY11568" fmla="*/ 4295434 h 6858000"/>
              <a:gd name="csX11569" fmla="*/ 3522533 w 12192000"/>
              <a:gd name="csY11569" fmla="*/ 4260614 h 6858000"/>
              <a:gd name="csX11570" fmla="*/ 3606276 w 12192000"/>
              <a:gd name="csY11570" fmla="*/ 4260614 h 6858000"/>
              <a:gd name="csX11571" fmla="*/ 3571929 w 12192000"/>
              <a:gd name="csY11571" fmla="*/ 4295434 h 6858000"/>
              <a:gd name="csX11572" fmla="*/ 3606276 w 12192000"/>
              <a:gd name="csY11572" fmla="*/ 4330254 h 6858000"/>
              <a:gd name="csX11573" fmla="*/ 3640622 w 12192000"/>
              <a:gd name="csY11573" fmla="*/ 4295434 h 6858000"/>
              <a:gd name="csX11574" fmla="*/ 3606276 w 12192000"/>
              <a:gd name="csY11574" fmla="*/ 4260614 h 6858000"/>
              <a:gd name="csX11575" fmla="*/ 3690017 w 12192000"/>
              <a:gd name="csY11575" fmla="*/ 4260614 h 6858000"/>
              <a:gd name="csX11576" fmla="*/ 3655670 w 12192000"/>
              <a:gd name="csY11576" fmla="*/ 4295434 h 6858000"/>
              <a:gd name="csX11577" fmla="*/ 3690017 w 12192000"/>
              <a:gd name="csY11577" fmla="*/ 4330254 h 6858000"/>
              <a:gd name="csX11578" fmla="*/ 3724364 w 12192000"/>
              <a:gd name="csY11578" fmla="*/ 4295434 h 6858000"/>
              <a:gd name="csX11579" fmla="*/ 3690017 w 12192000"/>
              <a:gd name="csY11579" fmla="*/ 4260614 h 6858000"/>
              <a:gd name="csX11580" fmla="*/ 3773759 w 12192000"/>
              <a:gd name="csY11580" fmla="*/ 4260614 h 6858000"/>
              <a:gd name="csX11581" fmla="*/ 3739412 w 12192000"/>
              <a:gd name="csY11581" fmla="*/ 4295434 h 6858000"/>
              <a:gd name="csX11582" fmla="*/ 3773759 w 12192000"/>
              <a:gd name="csY11582" fmla="*/ 4330254 h 6858000"/>
              <a:gd name="csX11583" fmla="*/ 3808106 w 12192000"/>
              <a:gd name="csY11583" fmla="*/ 4295434 h 6858000"/>
              <a:gd name="csX11584" fmla="*/ 3773759 w 12192000"/>
              <a:gd name="csY11584" fmla="*/ 4260614 h 6858000"/>
              <a:gd name="csX11585" fmla="*/ 3857500 w 12192000"/>
              <a:gd name="csY11585" fmla="*/ 4260614 h 6858000"/>
              <a:gd name="csX11586" fmla="*/ 3823154 w 12192000"/>
              <a:gd name="csY11586" fmla="*/ 4295434 h 6858000"/>
              <a:gd name="csX11587" fmla="*/ 3857500 w 12192000"/>
              <a:gd name="csY11587" fmla="*/ 4330254 h 6858000"/>
              <a:gd name="csX11588" fmla="*/ 3891847 w 12192000"/>
              <a:gd name="csY11588" fmla="*/ 4295434 h 6858000"/>
              <a:gd name="csX11589" fmla="*/ 3857500 w 12192000"/>
              <a:gd name="csY11589" fmla="*/ 4260614 h 6858000"/>
              <a:gd name="csX11590" fmla="*/ 3941242 w 12192000"/>
              <a:gd name="csY11590" fmla="*/ 4260614 h 6858000"/>
              <a:gd name="csX11591" fmla="*/ 3906895 w 12192000"/>
              <a:gd name="csY11591" fmla="*/ 4295434 h 6858000"/>
              <a:gd name="csX11592" fmla="*/ 3941242 w 12192000"/>
              <a:gd name="csY11592" fmla="*/ 4330254 h 6858000"/>
              <a:gd name="csX11593" fmla="*/ 3975588 w 12192000"/>
              <a:gd name="csY11593" fmla="*/ 4295434 h 6858000"/>
              <a:gd name="csX11594" fmla="*/ 3941242 w 12192000"/>
              <a:gd name="csY11594" fmla="*/ 4260614 h 6858000"/>
              <a:gd name="csX11595" fmla="*/ 4024990 w 12192000"/>
              <a:gd name="csY11595" fmla="*/ 4260614 h 6858000"/>
              <a:gd name="csX11596" fmla="*/ 3990643 w 12192000"/>
              <a:gd name="csY11596" fmla="*/ 4295434 h 6858000"/>
              <a:gd name="csX11597" fmla="*/ 4024990 w 12192000"/>
              <a:gd name="csY11597" fmla="*/ 4330254 h 6858000"/>
              <a:gd name="csX11598" fmla="*/ 4059337 w 12192000"/>
              <a:gd name="csY11598" fmla="*/ 4295434 h 6858000"/>
              <a:gd name="csX11599" fmla="*/ 4024990 w 12192000"/>
              <a:gd name="csY11599" fmla="*/ 4260614 h 6858000"/>
              <a:gd name="csX11600" fmla="*/ 4108732 w 12192000"/>
              <a:gd name="csY11600" fmla="*/ 4260614 h 6858000"/>
              <a:gd name="csX11601" fmla="*/ 4074386 w 12192000"/>
              <a:gd name="csY11601" fmla="*/ 4295434 h 6858000"/>
              <a:gd name="csX11602" fmla="*/ 4108732 w 12192000"/>
              <a:gd name="csY11602" fmla="*/ 4330254 h 6858000"/>
              <a:gd name="csX11603" fmla="*/ 4143079 w 12192000"/>
              <a:gd name="csY11603" fmla="*/ 4295434 h 6858000"/>
              <a:gd name="csX11604" fmla="*/ 4108732 w 12192000"/>
              <a:gd name="csY11604" fmla="*/ 4260614 h 6858000"/>
              <a:gd name="csX11605" fmla="*/ 4192473 w 12192000"/>
              <a:gd name="csY11605" fmla="*/ 4260614 h 6858000"/>
              <a:gd name="csX11606" fmla="*/ 4158127 w 12192000"/>
              <a:gd name="csY11606" fmla="*/ 4295434 h 6858000"/>
              <a:gd name="csX11607" fmla="*/ 4192473 w 12192000"/>
              <a:gd name="csY11607" fmla="*/ 4330254 h 6858000"/>
              <a:gd name="csX11608" fmla="*/ 4226820 w 12192000"/>
              <a:gd name="csY11608" fmla="*/ 4295434 h 6858000"/>
              <a:gd name="csX11609" fmla="*/ 4192473 w 12192000"/>
              <a:gd name="csY11609" fmla="*/ 4260614 h 6858000"/>
              <a:gd name="csX11610" fmla="*/ 4276215 w 12192000"/>
              <a:gd name="csY11610" fmla="*/ 4260614 h 6858000"/>
              <a:gd name="csX11611" fmla="*/ 4241868 w 12192000"/>
              <a:gd name="csY11611" fmla="*/ 4295434 h 6858000"/>
              <a:gd name="csX11612" fmla="*/ 4276215 w 12192000"/>
              <a:gd name="csY11612" fmla="*/ 4330254 h 6858000"/>
              <a:gd name="csX11613" fmla="*/ 4310561 w 12192000"/>
              <a:gd name="csY11613" fmla="*/ 4295434 h 6858000"/>
              <a:gd name="csX11614" fmla="*/ 4276215 w 12192000"/>
              <a:gd name="csY11614" fmla="*/ 4260614 h 6858000"/>
              <a:gd name="csX11615" fmla="*/ 6202273 w 12192000"/>
              <a:gd name="csY11615" fmla="*/ 4260614 h 6858000"/>
              <a:gd name="csX11616" fmla="*/ 6167920 w 12192000"/>
              <a:gd name="csY11616" fmla="*/ 4295434 h 6858000"/>
              <a:gd name="csX11617" fmla="*/ 6202273 w 12192000"/>
              <a:gd name="csY11617" fmla="*/ 4330254 h 6858000"/>
              <a:gd name="csX11618" fmla="*/ 6236613 w 12192000"/>
              <a:gd name="csY11618" fmla="*/ 4295434 h 6858000"/>
              <a:gd name="csX11619" fmla="*/ 6202273 w 12192000"/>
              <a:gd name="csY11619" fmla="*/ 4260614 h 6858000"/>
              <a:gd name="csX11620" fmla="*/ 6286014 w 12192000"/>
              <a:gd name="csY11620" fmla="*/ 4260614 h 6858000"/>
              <a:gd name="csX11621" fmla="*/ 6251661 w 12192000"/>
              <a:gd name="csY11621" fmla="*/ 4295434 h 6858000"/>
              <a:gd name="csX11622" fmla="*/ 6286014 w 12192000"/>
              <a:gd name="csY11622" fmla="*/ 4330254 h 6858000"/>
              <a:gd name="csX11623" fmla="*/ 6320354 w 12192000"/>
              <a:gd name="csY11623" fmla="*/ 4295434 h 6858000"/>
              <a:gd name="csX11624" fmla="*/ 6286014 w 12192000"/>
              <a:gd name="csY11624" fmla="*/ 4260614 h 6858000"/>
              <a:gd name="csX11625" fmla="*/ 6369755 w 12192000"/>
              <a:gd name="csY11625" fmla="*/ 4260614 h 6858000"/>
              <a:gd name="csX11626" fmla="*/ 6335402 w 12192000"/>
              <a:gd name="csY11626" fmla="*/ 4295434 h 6858000"/>
              <a:gd name="csX11627" fmla="*/ 6369755 w 12192000"/>
              <a:gd name="csY11627" fmla="*/ 4330254 h 6858000"/>
              <a:gd name="csX11628" fmla="*/ 6404096 w 12192000"/>
              <a:gd name="csY11628" fmla="*/ 4295434 h 6858000"/>
              <a:gd name="csX11629" fmla="*/ 6369755 w 12192000"/>
              <a:gd name="csY11629" fmla="*/ 4260614 h 6858000"/>
              <a:gd name="csX11630" fmla="*/ 6453498 w 12192000"/>
              <a:gd name="csY11630" fmla="*/ 4260614 h 6858000"/>
              <a:gd name="csX11631" fmla="*/ 6419144 w 12192000"/>
              <a:gd name="csY11631" fmla="*/ 4295434 h 6858000"/>
              <a:gd name="csX11632" fmla="*/ 6453498 w 12192000"/>
              <a:gd name="csY11632" fmla="*/ 4330254 h 6858000"/>
              <a:gd name="csX11633" fmla="*/ 6487838 w 12192000"/>
              <a:gd name="csY11633" fmla="*/ 4295434 h 6858000"/>
              <a:gd name="csX11634" fmla="*/ 6453498 w 12192000"/>
              <a:gd name="csY11634" fmla="*/ 4260614 h 6858000"/>
              <a:gd name="csX11635" fmla="*/ 6537239 w 12192000"/>
              <a:gd name="csY11635" fmla="*/ 4260614 h 6858000"/>
              <a:gd name="csX11636" fmla="*/ 6502886 w 12192000"/>
              <a:gd name="csY11636" fmla="*/ 4295434 h 6858000"/>
              <a:gd name="csX11637" fmla="*/ 6537239 w 12192000"/>
              <a:gd name="csY11637" fmla="*/ 4330254 h 6858000"/>
              <a:gd name="csX11638" fmla="*/ 6571579 w 12192000"/>
              <a:gd name="csY11638" fmla="*/ 4295434 h 6858000"/>
              <a:gd name="csX11639" fmla="*/ 6537239 w 12192000"/>
              <a:gd name="csY11639" fmla="*/ 4260614 h 6858000"/>
              <a:gd name="csX11640" fmla="*/ 6620980 w 12192000"/>
              <a:gd name="csY11640" fmla="*/ 4260614 h 6858000"/>
              <a:gd name="csX11641" fmla="*/ 6586627 w 12192000"/>
              <a:gd name="csY11641" fmla="*/ 4295434 h 6858000"/>
              <a:gd name="csX11642" fmla="*/ 6620980 w 12192000"/>
              <a:gd name="csY11642" fmla="*/ 4330254 h 6858000"/>
              <a:gd name="csX11643" fmla="*/ 6655320 w 12192000"/>
              <a:gd name="csY11643" fmla="*/ 4295434 h 6858000"/>
              <a:gd name="csX11644" fmla="*/ 6620980 w 12192000"/>
              <a:gd name="csY11644" fmla="*/ 4260614 h 6858000"/>
              <a:gd name="csX11645" fmla="*/ 6704722 w 12192000"/>
              <a:gd name="csY11645" fmla="*/ 4260614 h 6858000"/>
              <a:gd name="csX11646" fmla="*/ 6670369 w 12192000"/>
              <a:gd name="csY11646" fmla="*/ 4295434 h 6858000"/>
              <a:gd name="csX11647" fmla="*/ 6704722 w 12192000"/>
              <a:gd name="csY11647" fmla="*/ 4330254 h 6858000"/>
              <a:gd name="csX11648" fmla="*/ 6739063 w 12192000"/>
              <a:gd name="csY11648" fmla="*/ 4295434 h 6858000"/>
              <a:gd name="csX11649" fmla="*/ 6704722 w 12192000"/>
              <a:gd name="csY11649" fmla="*/ 4260614 h 6858000"/>
              <a:gd name="csX11650" fmla="*/ 6788464 w 12192000"/>
              <a:gd name="csY11650" fmla="*/ 4260614 h 6858000"/>
              <a:gd name="csX11651" fmla="*/ 6754110 w 12192000"/>
              <a:gd name="csY11651" fmla="*/ 4295434 h 6858000"/>
              <a:gd name="csX11652" fmla="*/ 6788464 w 12192000"/>
              <a:gd name="csY11652" fmla="*/ 4330254 h 6858000"/>
              <a:gd name="csX11653" fmla="*/ 6822804 w 12192000"/>
              <a:gd name="csY11653" fmla="*/ 4295434 h 6858000"/>
              <a:gd name="csX11654" fmla="*/ 6788464 w 12192000"/>
              <a:gd name="csY11654" fmla="*/ 4260614 h 6858000"/>
              <a:gd name="csX11655" fmla="*/ 6955947 w 12192000"/>
              <a:gd name="csY11655" fmla="*/ 4260614 h 6858000"/>
              <a:gd name="csX11656" fmla="*/ 6921594 w 12192000"/>
              <a:gd name="csY11656" fmla="*/ 4295434 h 6858000"/>
              <a:gd name="csX11657" fmla="*/ 6955947 w 12192000"/>
              <a:gd name="csY11657" fmla="*/ 4330254 h 6858000"/>
              <a:gd name="csX11658" fmla="*/ 6990287 w 12192000"/>
              <a:gd name="csY11658" fmla="*/ 4295434 h 6858000"/>
              <a:gd name="csX11659" fmla="*/ 6955947 w 12192000"/>
              <a:gd name="csY11659" fmla="*/ 4260614 h 6858000"/>
              <a:gd name="csX11660" fmla="*/ 7039688 w 12192000"/>
              <a:gd name="csY11660" fmla="*/ 4260614 h 6858000"/>
              <a:gd name="csX11661" fmla="*/ 7005335 w 12192000"/>
              <a:gd name="csY11661" fmla="*/ 4295434 h 6858000"/>
              <a:gd name="csX11662" fmla="*/ 7039688 w 12192000"/>
              <a:gd name="csY11662" fmla="*/ 4330254 h 6858000"/>
              <a:gd name="csX11663" fmla="*/ 7074029 w 12192000"/>
              <a:gd name="csY11663" fmla="*/ 4295434 h 6858000"/>
              <a:gd name="csX11664" fmla="*/ 7039688 w 12192000"/>
              <a:gd name="csY11664" fmla="*/ 4260614 h 6858000"/>
              <a:gd name="csX11665" fmla="*/ 7123456 w 12192000"/>
              <a:gd name="csY11665" fmla="*/ 4260614 h 6858000"/>
              <a:gd name="csX11666" fmla="*/ 7089103 w 12192000"/>
              <a:gd name="csY11666" fmla="*/ 4295434 h 6858000"/>
              <a:gd name="csX11667" fmla="*/ 7123456 w 12192000"/>
              <a:gd name="csY11667" fmla="*/ 4330254 h 6858000"/>
              <a:gd name="csX11668" fmla="*/ 7157796 w 12192000"/>
              <a:gd name="csY11668" fmla="*/ 4295434 h 6858000"/>
              <a:gd name="csX11669" fmla="*/ 7123456 w 12192000"/>
              <a:gd name="csY11669" fmla="*/ 4260614 h 6858000"/>
              <a:gd name="csX11670" fmla="*/ 8965772 w 12192000"/>
              <a:gd name="csY11670" fmla="*/ 4260614 h 6858000"/>
              <a:gd name="csX11671" fmla="*/ 8931419 w 12192000"/>
              <a:gd name="csY11671" fmla="*/ 4295434 h 6858000"/>
              <a:gd name="csX11672" fmla="*/ 8965772 w 12192000"/>
              <a:gd name="csY11672" fmla="*/ 4330254 h 6858000"/>
              <a:gd name="csX11673" fmla="*/ 9000112 w 12192000"/>
              <a:gd name="csY11673" fmla="*/ 4295434 h 6858000"/>
              <a:gd name="csX11674" fmla="*/ 8965772 w 12192000"/>
              <a:gd name="csY11674" fmla="*/ 4260614 h 6858000"/>
              <a:gd name="csX11675" fmla="*/ 9049513 w 12192000"/>
              <a:gd name="csY11675" fmla="*/ 4260614 h 6858000"/>
              <a:gd name="csX11676" fmla="*/ 9015160 w 12192000"/>
              <a:gd name="csY11676" fmla="*/ 4295434 h 6858000"/>
              <a:gd name="csX11677" fmla="*/ 9049513 w 12192000"/>
              <a:gd name="csY11677" fmla="*/ 4330254 h 6858000"/>
              <a:gd name="csX11678" fmla="*/ 9083854 w 12192000"/>
              <a:gd name="csY11678" fmla="*/ 4295434 h 6858000"/>
              <a:gd name="csX11679" fmla="*/ 9049513 w 12192000"/>
              <a:gd name="csY11679" fmla="*/ 4260614 h 6858000"/>
              <a:gd name="csX11680" fmla="*/ 9300738 w 12192000"/>
              <a:gd name="csY11680" fmla="*/ 4260614 h 6858000"/>
              <a:gd name="csX11681" fmla="*/ 9266385 w 12192000"/>
              <a:gd name="csY11681" fmla="*/ 4295434 h 6858000"/>
              <a:gd name="csX11682" fmla="*/ 9300738 w 12192000"/>
              <a:gd name="csY11682" fmla="*/ 4330254 h 6858000"/>
              <a:gd name="csX11683" fmla="*/ 9335078 w 12192000"/>
              <a:gd name="csY11683" fmla="*/ 4295434 h 6858000"/>
              <a:gd name="csX11684" fmla="*/ 9300738 w 12192000"/>
              <a:gd name="csY11684" fmla="*/ 4260614 h 6858000"/>
              <a:gd name="csX11685" fmla="*/ 9384480 w 12192000"/>
              <a:gd name="csY11685" fmla="*/ 4260614 h 6858000"/>
              <a:gd name="csX11686" fmla="*/ 9350127 w 12192000"/>
              <a:gd name="csY11686" fmla="*/ 4295434 h 6858000"/>
              <a:gd name="csX11687" fmla="*/ 9384480 w 12192000"/>
              <a:gd name="csY11687" fmla="*/ 4330254 h 6858000"/>
              <a:gd name="csX11688" fmla="*/ 9418821 w 12192000"/>
              <a:gd name="csY11688" fmla="*/ 4295434 h 6858000"/>
              <a:gd name="csX11689" fmla="*/ 9384480 w 12192000"/>
              <a:gd name="csY11689" fmla="*/ 4260614 h 6858000"/>
              <a:gd name="csX11690" fmla="*/ 9468222 w 12192000"/>
              <a:gd name="csY11690" fmla="*/ 4260614 h 6858000"/>
              <a:gd name="csX11691" fmla="*/ 9433869 w 12192000"/>
              <a:gd name="csY11691" fmla="*/ 4295434 h 6858000"/>
              <a:gd name="csX11692" fmla="*/ 9468222 w 12192000"/>
              <a:gd name="csY11692" fmla="*/ 4330254 h 6858000"/>
              <a:gd name="csX11693" fmla="*/ 9502562 w 12192000"/>
              <a:gd name="csY11693" fmla="*/ 4295434 h 6858000"/>
              <a:gd name="csX11694" fmla="*/ 9468222 w 12192000"/>
              <a:gd name="csY11694" fmla="*/ 4260614 h 6858000"/>
              <a:gd name="csX11695" fmla="*/ 9719446 w 12192000"/>
              <a:gd name="csY11695" fmla="*/ 4260614 h 6858000"/>
              <a:gd name="csX11696" fmla="*/ 9685093 w 12192000"/>
              <a:gd name="csY11696" fmla="*/ 4295434 h 6858000"/>
              <a:gd name="csX11697" fmla="*/ 9719446 w 12192000"/>
              <a:gd name="csY11697" fmla="*/ 4330254 h 6858000"/>
              <a:gd name="csX11698" fmla="*/ 9753787 w 12192000"/>
              <a:gd name="csY11698" fmla="*/ 4295434 h 6858000"/>
              <a:gd name="csX11699" fmla="*/ 9719446 w 12192000"/>
              <a:gd name="csY11699" fmla="*/ 4260614 h 6858000"/>
              <a:gd name="csX11700" fmla="*/ 9886930 w 12192000"/>
              <a:gd name="csY11700" fmla="*/ 4260614 h 6858000"/>
              <a:gd name="csX11701" fmla="*/ 9852577 w 12192000"/>
              <a:gd name="csY11701" fmla="*/ 4295434 h 6858000"/>
              <a:gd name="csX11702" fmla="*/ 9886930 w 12192000"/>
              <a:gd name="csY11702" fmla="*/ 4330254 h 6858000"/>
              <a:gd name="csX11703" fmla="*/ 9921270 w 12192000"/>
              <a:gd name="csY11703" fmla="*/ 4295434 h 6858000"/>
              <a:gd name="csX11704" fmla="*/ 9886930 w 12192000"/>
              <a:gd name="csY11704" fmla="*/ 4260614 h 6858000"/>
              <a:gd name="csX11705" fmla="*/ 3438792 w 12192000"/>
              <a:gd name="csY11705" fmla="*/ 4345477 h 6858000"/>
              <a:gd name="csX11706" fmla="*/ 3404445 w 12192000"/>
              <a:gd name="csY11706" fmla="*/ 4380298 h 6858000"/>
              <a:gd name="csX11707" fmla="*/ 3438792 w 12192000"/>
              <a:gd name="csY11707" fmla="*/ 4415118 h 6858000"/>
              <a:gd name="csX11708" fmla="*/ 3473139 w 12192000"/>
              <a:gd name="csY11708" fmla="*/ 4380298 h 6858000"/>
              <a:gd name="csX11709" fmla="*/ 3438792 w 12192000"/>
              <a:gd name="csY11709" fmla="*/ 4345477 h 6858000"/>
              <a:gd name="csX11710" fmla="*/ 3522533 w 12192000"/>
              <a:gd name="csY11710" fmla="*/ 4345477 h 6858000"/>
              <a:gd name="csX11711" fmla="*/ 3488187 w 12192000"/>
              <a:gd name="csY11711" fmla="*/ 4380298 h 6858000"/>
              <a:gd name="csX11712" fmla="*/ 3522533 w 12192000"/>
              <a:gd name="csY11712" fmla="*/ 4415118 h 6858000"/>
              <a:gd name="csX11713" fmla="*/ 3556880 w 12192000"/>
              <a:gd name="csY11713" fmla="*/ 4380298 h 6858000"/>
              <a:gd name="csX11714" fmla="*/ 3522533 w 12192000"/>
              <a:gd name="csY11714" fmla="*/ 4345477 h 6858000"/>
              <a:gd name="csX11715" fmla="*/ 3606276 w 12192000"/>
              <a:gd name="csY11715" fmla="*/ 4345477 h 6858000"/>
              <a:gd name="csX11716" fmla="*/ 3571929 w 12192000"/>
              <a:gd name="csY11716" fmla="*/ 4380298 h 6858000"/>
              <a:gd name="csX11717" fmla="*/ 3606276 w 12192000"/>
              <a:gd name="csY11717" fmla="*/ 4415118 h 6858000"/>
              <a:gd name="csX11718" fmla="*/ 3640622 w 12192000"/>
              <a:gd name="csY11718" fmla="*/ 4380298 h 6858000"/>
              <a:gd name="csX11719" fmla="*/ 3606276 w 12192000"/>
              <a:gd name="csY11719" fmla="*/ 4345477 h 6858000"/>
              <a:gd name="csX11720" fmla="*/ 3690017 w 12192000"/>
              <a:gd name="csY11720" fmla="*/ 4345477 h 6858000"/>
              <a:gd name="csX11721" fmla="*/ 3655670 w 12192000"/>
              <a:gd name="csY11721" fmla="*/ 4380298 h 6858000"/>
              <a:gd name="csX11722" fmla="*/ 3690017 w 12192000"/>
              <a:gd name="csY11722" fmla="*/ 4415118 h 6858000"/>
              <a:gd name="csX11723" fmla="*/ 3724364 w 12192000"/>
              <a:gd name="csY11723" fmla="*/ 4380298 h 6858000"/>
              <a:gd name="csX11724" fmla="*/ 3690017 w 12192000"/>
              <a:gd name="csY11724" fmla="*/ 4345477 h 6858000"/>
              <a:gd name="csX11725" fmla="*/ 3773759 w 12192000"/>
              <a:gd name="csY11725" fmla="*/ 4345477 h 6858000"/>
              <a:gd name="csX11726" fmla="*/ 3739412 w 12192000"/>
              <a:gd name="csY11726" fmla="*/ 4380298 h 6858000"/>
              <a:gd name="csX11727" fmla="*/ 3773759 w 12192000"/>
              <a:gd name="csY11727" fmla="*/ 4415118 h 6858000"/>
              <a:gd name="csX11728" fmla="*/ 3808106 w 12192000"/>
              <a:gd name="csY11728" fmla="*/ 4380298 h 6858000"/>
              <a:gd name="csX11729" fmla="*/ 3773759 w 12192000"/>
              <a:gd name="csY11729" fmla="*/ 4345477 h 6858000"/>
              <a:gd name="csX11730" fmla="*/ 3857500 w 12192000"/>
              <a:gd name="csY11730" fmla="*/ 4345477 h 6858000"/>
              <a:gd name="csX11731" fmla="*/ 3823154 w 12192000"/>
              <a:gd name="csY11731" fmla="*/ 4380298 h 6858000"/>
              <a:gd name="csX11732" fmla="*/ 3857500 w 12192000"/>
              <a:gd name="csY11732" fmla="*/ 4415118 h 6858000"/>
              <a:gd name="csX11733" fmla="*/ 3891847 w 12192000"/>
              <a:gd name="csY11733" fmla="*/ 4380298 h 6858000"/>
              <a:gd name="csX11734" fmla="*/ 3857500 w 12192000"/>
              <a:gd name="csY11734" fmla="*/ 4345477 h 6858000"/>
              <a:gd name="csX11735" fmla="*/ 3941242 w 12192000"/>
              <a:gd name="csY11735" fmla="*/ 4345477 h 6858000"/>
              <a:gd name="csX11736" fmla="*/ 3906895 w 12192000"/>
              <a:gd name="csY11736" fmla="*/ 4380298 h 6858000"/>
              <a:gd name="csX11737" fmla="*/ 3941242 w 12192000"/>
              <a:gd name="csY11737" fmla="*/ 4415118 h 6858000"/>
              <a:gd name="csX11738" fmla="*/ 3975588 w 12192000"/>
              <a:gd name="csY11738" fmla="*/ 4380298 h 6858000"/>
              <a:gd name="csX11739" fmla="*/ 3941242 w 12192000"/>
              <a:gd name="csY11739" fmla="*/ 4345477 h 6858000"/>
              <a:gd name="csX11740" fmla="*/ 4024990 w 12192000"/>
              <a:gd name="csY11740" fmla="*/ 4345477 h 6858000"/>
              <a:gd name="csX11741" fmla="*/ 3990643 w 12192000"/>
              <a:gd name="csY11741" fmla="*/ 4380298 h 6858000"/>
              <a:gd name="csX11742" fmla="*/ 4024990 w 12192000"/>
              <a:gd name="csY11742" fmla="*/ 4415118 h 6858000"/>
              <a:gd name="csX11743" fmla="*/ 4059337 w 12192000"/>
              <a:gd name="csY11743" fmla="*/ 4380298 h 6858000"/>
              <a:gd name="csX11744" fmla="*/ 4024990 w 12192000"/>
              <a:gd name="csY11744" fmla="*/ 4345477 h 6858000"/>
              <a:gd name="csX11745" fmla="*/ 4108732 w 12192000"/>
              <a:gd name="csY11745" fmla="*/ 4345477 h 6858000"/>
              <a:gd name="csX11746" fmla="*/ 4074386 w 12192000"/>
              <a:gd name="csY11746" fmla="*/ 4380298 h 6858000"/>
              <a:gd name="csX11747" fmla="*/ 4108732 w 12192000"/>
              <a:gd name="csY11747" fmla="*/ 4415118 h 6858000"/>
              <a:gd name="csX11748" fmla="*/ 4143079 w 12192000"/>
              <a:gd name="csY11748" fmla="*/ 4380298 h 6858000"/>
              <a:gd name="csX11749" fmla="*/ 4108732 w 12192000"/>
              <a:gd name="csY11749" fmla="*/ 4345477 h 6858000"/>
              <a:gd name="csX11750" fmla="*/ 4192473 w 12192000"/>
              <a:gd name="csY11750" fmla="*/ 4345477 h 6858000"/>
              <a:gd name="csX11751" fmla="*/ 4158127 w 12192000"/>
              <a:gd name="csY11751" fmla="*/ 4380298 h 6858000"/>
              <a:gd name="csX11752" fmla="*/ 4192473 w 12192000"/>
              <a:gd name="csY11752" fmla="*/ 4415118 h 6858000"/>
              <a:gd name="csX11753" fmla="*/ 4226820 w 12192000"/>
              <a:gd name="csY11753" fmla="*/ 4380298 h 6858000"/>
              <a:gd name="csX11754" fmla="*/ 4192473 w 12192000"/>
              <a:gd name="csY11754" fmla="*/ 4345477 h 6858000"/>
              <a:gd name="csX11755" fmla="*/ 4276215 w 12192000"/>
              <a:gd name="csY11755" fmla="*/ 4345477 h 6858000"/>
              <a:gd name="csX11756" fmla="*/ 4241868 w 12192000"/>
              <a:gd name="csY11756" fmla="*/ 4380298 h 6858000"/>
              <a:gd name="csX11757" fmla="*/ 4276215 w 12192000"/>
              <a:gd name="csY11757" fmla="*/ 4415118 h 6858000"/>
              <a:gd name="csX11758" fmla="*/ 4310561 w 12192000"/>
              <a:gd name="csY11758" fmla="*/ 4380298 h 6858000"/>
              <a:gd name="csX11759" fmla="*/ 4276215 w 12192000"/>
              <a:gd name="csY11759" fmla="*/ 4345477 h 6858000"/>
              <a:gd name="csX11760" fmla="*/ 4359957 w 12192000"/>
              <a:gd name="csY11760" fmla="*/ 4345477 h 6858000"/>
              <a:gd name="csX11761" fmla="*/ 4325610 w 12192000"/>
              <a:gd name="csY11761" fmla="*/ 4380298 h 6858000"/>
              <a:gd name="csX11762" fmla="*/ 4359957 w 12192000"/>
              <a:gd name="csY11762" fmla="*/ 4415118 h 6858000"/>
              <a:gd name="csX11763" fmla="*/ 4394304 w 12192000"/>
              <a:gd name="csY11763" fmla="*/ 4380298 h 6858000"/>
              <a:gd name="csX11764" fmla="*/ 4359957 w 12192000"/>
              <a:gd name="csY11764" fmla="*/ 4345477 h 6858000"/>
              <a:gd name="csX11765" fmla="*/ 4443698 w 12192000"/>
              <a:gd name="csY11765" fmla="*/ 4345477 h 6858000"/>
              <a:gd name="csX11766" fmla="*/ 4409352 w 12192000"/>
              <a:gd name="csY11766" fmla="*/ 4380298 h 6858000"/>
              <a:gd name="csX11767" fmla="*/ 4443698 w 12192000"/>
              <a:gd name="csY11767" fmla="*/ 4415118 h 6858000"/>
              <a:gd name="csX11768" fmla="*/ 4478045 w 12192000"/>
              <a:gd name="csY11768" fmla="*/ 4380298 h 6858000"/>
              <a:gd name="csX11769" fmla="*/ 4443698 w 12192000"/>
              <a:gd name="csY11769" fmla="*/ 4345477 h 6858000"/>
              <a:gd name="csX11770" fmla="*/ 6202273 w 12192000"/>
              <a:gd name="csY11770" fmla="*/ 4345477 h 6858000"/>
              <a:gd name="csX11771" fmla="*/ 6167920 w 12192000"/>
              <a:gd name="csY11771" fmla="*/ 4380298 h 6858000"/>
              <a:gd name="csX11772" fmla="*/ 6202273 w 12192000"/>
              <a:gd name="csY11772" fmla="*/ 4415118 h 6858000"/>
              <a:gd name="csX11773" fmla="*/ 6236613 w 12192000"/>
              <a:gd name="csY11773" fmla="*/ 4380298 h 6858000"/>
              <a:gd name="csX11774" fmla="*/ 6202273 w 12192000"/>
              <a:gd name="csY11774" fmla="*/ 4345477 h 6858000"/>
              <a:gd name="csX11775" fmla="*/ 6286014 w 12192000"/>
              <a:gd name="csY11775" fmla="*/ 4345477 h 6858000"/>
              <a:gd name="csX11776" fmla="*/ 6251661 w 12192000"/>
              <a:gd name="csY11776" fmla="*/ 4380298 h 6858000"/>
              <a:gd name="csX11777" fmla="*/ 6286014 w 12192000"/>
              <a:gd name="csY11777" fmla="*/ 4415118 h 6858000"/>
              <a:gd name="csX11778" fmla="*/ 6320354 w 12192000"/>
              <a:gd name="csY11778" fmla="*/ 4380298 h 6858000"/>
              <a:gd name="csX11779" fmla="*/ 6286014 w 12192000"/>
              <a:gd name="csY11779" fmla="*/ 4345477 h 6858000"/>
              <a:gd name="csX11780" fmla="*/ 6369755 w 12192000"/>
              <a:gd name="csY11780" fmla="*/ 4345477 h 6858000"/>
              <a:gd name="csX11781" fmla="*/ 6335402 w 12192000"/>
              <a:gd name="csY11781" fmla="*/ 4380298 h 6858000"/>
              <a:gd name="csX11782" fmla="*/ 6369755 w 12192000"/>
              <a:gd name="csY11782" fmla="*/ 4415118 h 6858000"/>
              <a:gd name="csX11783" fmla="*/ 6404096 w 12192000"/>
              <a:gd name="csY11783" fmla="*/ 4380298 h 6858000"/>
              <a:gd name="csX11784" fmla="*/ 6369755 w 12192000"/>
              <a:gd name="csY11784" fmla="*/ 4345477 h 6858000"/>
              <a:gd name="csX11785" fmla="*/ 6453498 w 12192000"/>
              <a:gd name="csY11785" fmla="*/ 4345477 h 6858000"/>
              <a:gd name="csX11786" fmla="*/ 6419144 w 12192000"/>
              <a:gd name="csY11786" fmla="*/ 4380298 h 6858000"/>
              <a:gd name="csX11787" fmla="*/ 6453498 w 12192000"/>
              <a:gd name="csY11787" fmla="*/ 4415118 h 6858000"/>
              <a:gd name="csX11788" fmla="*/ 6487838 w 12192000"/>
              <a:gd name="csY11788" fmla="*/ 4380298 h 6858000"/>
              <a:gd name="csX11789" fmla="*/ 6453498 w 12192000"/>
              <a:gd name="csY11789" fmla="*/ 4345477 h 6858000"/>
              <a:gd name="csX11790" fmla="*/ 6537239 w 12192000"/>
              <a:gd name="csY11790" fmla="*/ 4345477 h 6858000"/>
              <a:gd name="csX11791" fmla="*/ 6502886 w 12192000"/>
              <a:gd name="csY11791" fmla="*/ 4380298 h 6858000"/>
              <a:gd name="csX11792" fmla="*/ 6537239 w 12192000"/>
              <a:gd name="csY11792" fmla="*/ 4415118 h 6858000"/>
              <a:gd name="csX11793" fmla="*/ 6571579 w 12192000"/>
              <a:gd name="csY11793" fmla="*/ 4380298 h 6858000"/>
              <a:gd name="csX11794" fmla="*/ 6537239 w 12192000"/>
              <a:gd name="csY11794" fmla="*/ 4345477 h 6858000"/>
              <a:gd name="csX11795" fmla="*/ 6620980 w 12192000"/>
              <a:gd name="csY11795" fmla="*/ 4345477 h 6858000"/>
              <a:gd name="csX11796" fmla="*/ 6586627 w 12192000"/>
              <a:gd name="csY11796" fmla="*/ 4380298 h 6858000"/>
              <a:gd name="csX11797" fmla="*/ 6620980 w 12192000"/>
              <a:gd name="csY11797" fmla="*/ 4415118 h 6858000"/>
              <a:gd name="csX11798" fmla="*/ 6655320 w 12192000"/>
              <a:gd name="csY11798" fmla="*/ 4380298 h 6858000"/>
              <a:gd name="csX11799" fmla="*/ 6620980 w 12192000"/>
              <a:gd name="csY11799" fmla="*/ 4345477 h 6858000"/>
              <a:gd name="csX11800" fmla="*/ 6704722 w 12192000"/>
              <a:gd name="csY11800" fmla="*/ 4345477 h 6858000"/>
              <a:gd name="csX11801" fmla="*/ 6670369 w 12192000"/>
              <a:gd name="csY11801" fmla="*/ 4380298 h 6858000"/>
              <a:gd name="csX11802" fmla="*/ 6704722 w 12192000"/>
              <a:gd name="csY11802" fmla="*/ 4415118 h 6858000"/>
              <a:gd name="csX11803" fmla="*/ 6739063 w 12192000"/>
              <a:gd name="csY11803" fmla="*/ 4380298 h 6858000"/>
              <a:gd name="csX11804" fmla="*/ 6704722 w 12192000"/>
              <a:gd name="csY11804" fmla="*/ 4345477 h 6858000"/>
              <a:gd name="csX11805" fmla="*/ 6788464 w 12192000"/>
              <a:gd name="csY11805" fmla="*/ 4345477 h 6858000"/>
              <a:gd name="csX11806" fmla="*/ 6754110 w 12192000"/>
              <a:gd name="csY11806" fmla="*/ 4380298 h 6858000"/>
              <a:gd name="csX11807" fmla="*/ 6788464 w 12192000"/>
              <a:gd name="csY11807" fmla="*/ 4415118 h 6858000"/>
              <a:gd name="csX11808" fmla="*/ 6822804 w 12192000"/>
              <a:gd name="csY11808" fmla="*/ 4380298 h 6858000"/>
              <a:gd name="csX11809" fmla="*/ 6788464 w 12192000"/>
              <a:gd name="csY11809" fmla="*/ 4345477 h 6858000"/>
              <a:gd name="csX11810" fmla="*/ 6955947 w 12192000"/>
              <a:gd name="csY11810" fmla="*/ 4345477 h 6858000"/>
              <a:gd name="csX11811" fmla="*/ 6921594 w 12192000"/>
              <a:gd name="csY11811" fmla="*/ 4380298 h 6858000"/>
              <a:gd name="csX11812" fmla="*/ 6955947 w 12192000"/>
              <a:gd name="csY11812" fmla="*/ 4415118 h 6858000"/>
              <a:gd name="csX11813" fmla="*/ 6990287 w 12192000"/>
              <a:gd name="csY11813" fmla="*/ 4380298 h 6858000"/>
              <a:gd name="csX11814" fmla="*/ 6955947 w 12192000"/>
              <a:gd name="csY11814" fmla="*/ 4345477 h 6858000"/>
              <a:gd name="csX11815" fmla="*/ 7039688 w 12192000"/>
              <a:gd name="csY11815" fmla="*/ 4345477 h 6858000"/>
              <a:gd name="csX11816" fmla="*/ 7005335 w 12192000"/>
              <a:gd name="csY11816" fmla="*/ 4380298 h 6858000"/>
              <a:gd name="csX11817" fmla="*/ 7039688 w 12192000"/>
              <a:gd name="csY11817" fmla="*/ 4415118 h 6858000"/>
              <a:gd name="csX11818" fmla="*/ 7074029 w 12192000"/>
              <a:gd name="csY11818" fmla="*/ 4380298 h 6858000"/>
              <a:gd name="csX11819" fmla="*/ 7039688 w 12192000"/>
              <a:gd name="csY11819" fmla="*/ 4345477 h 6858000"/>
              <a:gd name="csX11820" fmla="*/ 9049513 w 12192000"/>
              <a:gd name="csY11820" fmla="*/ 4345477 h 6858000"/>
              <a:gd name="csX11821" fmla="*/ 9015160 w 12192000"/>
              <a:gd name="csY11821" fmla="*/ 4380298 h 6858000"/>
              <a:gd name="csX11822" fmla="*/ 9049513 w 12192000"/>
              <a:gd name="csY11822" fmla="*/ 4415118 h 6858000"/>
              <a:gd name="csX11823" fmla="*/ 9083854 w 12192000"/>
              <a:gd name="csY11823" fmla="*/ 4380298 h 6858000"/>
              <a:gd name="csX11824" fmla="*/ 9049513 w 12192000"/>
              <a:gd name="csY11824" fmla="*/ 4345477 h 6858000"/>
              <a:gd name="csX11825" fmla="*/ 9133256 w 12192000"/>
              <a:gd name="csY11825" fmla="*/ 4345477 h 6858000"/>
              <a:gd name="csX11826" fmla="*/ 9098903 w 12192000"/>
              <a:gd name="csY11826" fmla="*/ 4380298 h 6858000"/>
              <a:gd name="csX11827" fmla="*/ 9133256 w 12192000"/>
              <a:gd name="csY11827" fmla="*/ 4415118 h 6858000"/>
              <a:gd name="csX11828" fmla="*/ 9167596 w 12192000"/>
              <a:gd name="csY11828" fmla="*/ 4380298 h 6858000"/>
              <a:gd name="csX11829" fmla="*/ 9133256 w 12192000"/>
              <a:gd name="csY11829" fmla="*/ 4345477 h 6858000"/>
              <a:gd name="csX11830" fmla="*/ 9300738 w 12192000"/>
              <a:gd name="csY11830" fmla="*/ 4345477 h 6858000"/>
              <a:gd name="csX11831" fmla="*/ 9266385 w 12192000"/>
              <a:gd name="csY11831" fmla="*/ 4380298 h 6858000"/>
              <a:gd name="csX11832" fmla="*/ 9300738 w 12192000"/>
              <a:gd name="csY11832" fmla="*/ 4415118 h 6858000"/>
              <a:gd name="csX11833" fmla="*/ 9335078 w 12192000"/>
              <a:gd name="csY11833" fmla="*/ 4380298 h 6858000"/>
              <a:gd name="csX11834" fmla="*/ 9300738 w 12192000"/>
              <a:gd name="csY11834" fmla="*/ 4345477 h 6858000"/>
              <a:gd name="csX11835" fmla="*/ 9384480 w 12192000"/>
              <a:gd name="csY11835" fmla="*/ 4345477 h 6858000"/>
              <a:gd name="csX11836" fmla="*/ 9350127 w 12192000"/>
              <a:gd name="csY11836" fmla="*/ 4380298 h 6858000"/>
              <a:gd name="csX11837" fmla="*/ 9384480 w 12192000"/>
              <a:gd name="csY11837" fmla="*/ 4415118 h 6858000"/>
              <a:gd name="csX11838" fmla="*/ 9418821 w 12192000"/>
              <a:gd name="csY11838" fmla="*/ 4380298 h 6858000"/>
              <a:gd name="csX11839" fmla="*/ 9384480 w 12192000"/>
              <a:gd name="csY11839" fmla="*/ 4345477 h 6858000"/>
              <a:gd name="csX11840" fmla="*/ 9468222 w 12192000"/>
              <a:gd name="csY11840" fmla="*/ 4345477 h 6858000"/>
              <a:gd name="csX11841" fmla="*/ 9433869 w 12192000"/>
              <a:gd name="csY11841" fmla="*/ 4380298 h 6858000"/>
              <a:gd name="csX11842" fmla="*/ 9468222 w 12192000"/>
              <a:gd name="csY11842" fmla="*/ 4415118 h 6858000"/>
              <a:gd name="csX11843" fmla="*/ 9502562 w 12192000"/>
              <a:gd name="csY11843" fmla="*/ 4380298 h 6858000"/>
              <a:gd name="csX11844" fmla="*/ 9468222 w 12192000"/>
              <a:gd name="csY11844" fmla="*/ 4345477 h 6858000"/>
              <a:gd name="csX11845" fmla="*/ 9635705 w 12192000"/>
              <a:gd name="csY11845" fmla="*/ 4345477 h 6858000"/>
              <a:gd name="csX11846" fmla="*/ 9601352 w 12192000"/>
              <a:gd name="csY11846" fmla="*/ 4380298 h 6858000"/>
              <a:gd name="csX11847" fmla="*/ 9635705 w 12192000"/>
              <a:gd name="csY11847" fmla="*/ 4415118 h 6858000"/>
              <a:gd name="csX11848" fmla="*/ 9670045 w 12192000"/>
              <a:gd name="csY11848" fmla="*/ 4380298 h 6858000"/>
              <a:gd name="csX11849" fmla="*/ 9635705 w 12192000"/>
              <a:gd name="csY11849" fmla="*/ 4345477 h 6858000"/>
              <a:gd name="csX11850" fmla="*/ 9970671 w 12192000"/>
              <a:gd name="csY11850" fmla="*/ 4345477 h 6858000"/>
              <a:gd name="csX11851" fmla="*/ 9936318 w 12192000"/>
              <a:gd name="csY11851" fmla="*/ 4380298 h 6858000"/>
              <a:gd name="csX11852" fmla="*/ 9970671 w 12192000"/>
              <a:gd name="csY11852" fmla="*/ 4415118 h 6858000"/>
              <a:gd name="csX11853" fmla="*/ 10005011 w 12192000"/>
              <a:gd name="csY11853" fmla="*/ 4380298 h 6858000"/>
              <a:gd name="csX11854" fmla="*/ 9970671 w 12192000"/>
              <a:gd name="csY11854" fmla="*/ 4345477 h 6858000"/>
              <a:gd name="csX11855" fmla="*/ 10054413 w 12192000"/>
              <a:gd name="csY11855" fmla="*/ 4345477 h 6858000"/>
              <a:gd name="csX11856" fmla="*/ 10020060 w 12192000"/>
              <a:gd name="csY11856" fmla="*/ 4380298 h 6858000"/>
              <a:gd name="csX11857" fmla="*/ 10054413 w 12192000"/>
              <a:gd name="csY11857" fmla="*/ 4415118 h 6858000"/>
              <a:gd name="csX11858" fmla="*/ 10088754 w 12192000"/>
              <a:gd name="csY11858" fmla="*/ 4380298 h 6858000"/>
              <a:gd name="csX11859" fmla="*/ 10054413 w 12192000"/>
              <a:gd name="csY11859" fmla="*/ 4345477 h 6858000"/>
              <a:gd name="csX11860" fmla="*/ 10138155 w 12192000"/>
              <a:gd name="csY11860" fmla="*/ 4345477 h 6858000"/>
              <a:gd name="csX11861" fmla="*/ 10103802 w 12192000"/>
              <a:gd name="csY11861" fmla="*/ 4380298 h 6858000"/>
              <a:gd name="csX11862" fmla="*/ 10138155 w 12192000"/>
              <a:gd name="csY11862" fmla="*/ 4415118 h 6858000"/>
              <a:gd name="csX11863" fmla="*/ 10172495 w 12192000"/>
              <a:gd name="csY11863" fmla="*/ 4380298 h 6858000"/>
              <a:gd name="csX11864" fmla="*/ 10138155 w 12192000"/>
              <a:gd name="csY11864" fmla="*/ 4345477 h 6858000"/>
              <a:gd name="csX11865" fmla="*/ 3438792 w 12192000"/>
              <a:gd name="csY11865" fmla="*/ 4430341 h 6858000"/>
              <a:gd name="csX11866" fmla="*/ 3404445 w 12192000"/>
              <a:gd name="csY11866" fmla="*/ 4465162 h 6858000"/>
              <a:gd name="csX11867" fmla="*/ 3438792 w 12192000"/>
              <a:gd name="csY11867" fmla="*/ 4499982 h 6858000"/>
              <a:gd name="csX11868" fmla="*/ 3473139 w 12192000"/>
              <a:gd name="csY11868" fmla="*/ 4465162 h 6858000"/>
              <a:gd name="csX11869" fmla="*/ 3438792 w 12192000"/>
              <a:gd name="csY11869" fmla="*/ 4430341 h 6858000"/>
              <a:gd name="csX11870" fmla="*/ 3522533 w 12192000"/>
              <a:gd name="csY11870" fmla="*/ 4430341 h 6858000"/>
              <a:gd name="csX11871" fmla="*/ 3488187 w 12192000"/>
              <a:gd name="csY11871" fmla="*/ 4465162 h 6858000"/>
              <a:gd name="csX11872" fmla="*/ 3522533 w 12192000"/>
              <a:gd name="csY11872" fmla="*/ 4499982 h 6858000"/>
              <a:gd name="csX11873" fmla="*/ 3556880 w 12192000"/>
              <a:gd name="csY11873" fmla="*/ 4465162 h 6858000"/>
              <a:gd name="csX11874" fmla="*/ 3522533 w 12192000"/>
              <a:gd name="csY11874" fmla="*/ 4430341 h 6858000"/>
              <a:gd name="csX11875" fmla="*/ 3606276 w 12192000"/>
              <a:gd name="csY11875" fmla="*/ 4430341 h 6858000"/>
              <a:gd name="csX11876" fmla="*/ 3571929 w 12192000"/>
              <a:gd name="csY11876" fmla="*/ 4465162 h 6858000"/>
              <a:gd name="csX11877" fmla="*/ 3606276 w 12192000"/>
              <a:gd name="csY11877" fmla="*/ 4499982 h 6858000"/>
              <a:gd name="csX11878" fmla="*/ 3640622 w 12192000"/>
              <a:gd name="csY11878" fmla="*/ 4465162 h 6858000"/>
              <a:gd name="csX11879" fmla="*/ 3606276 w 12192000"/>
              <a:gd name="csY11879" fmla="*/ 4430341 h 6858000"/>
              <a:gd name="csX11880" fmla="*/ 3690017 w 12192000"/>
              <a:gd name="csY11880" fmla="*/ 4430341 h 6858000"/>
              <a:gd name="csX11881" fmla="*/ 3655670 w 12192000"/>
              <a:gd name="csY11881" fmla="*/ 4465162 h 6858000"/>
              <a:gd name="csX11882" fmla="*/ 3690017 w 12192000"/>
              <a:gd name="csY11882" fmla="*/ 4499982 h 6858000"/>
              <a:gd name="csX11883" fmla="*/ 3724364 w 12192000"/>
              <a:gd name="csY11883" fmla="*/ 4465162 h 6858000"/>
              <a:gd name="csX11884" fmla="*/ 3690017 w 12192000"/>
              <a:gd name="csY11884" fmla="*/ 4430341 h 6858000"/>
              <a:gd name="csX11885" fmla="*/ 3773759 w 12192000"/>
              <a:gd name="csY11885" fmla="*/ 4430341 h 6858000"/>
              <a:gd name="csX11886" fmla="*/ 3739412 w 12192000"/>
              <a:gd name="csY11886" fmla="*/ 4465162 h 6858000"/>
              <a:gd name="csX11887" fmla="*/ 3773759 w 12192000"/>
              <a:gd name="csY11887" fmla="*/ 4499982 h 6858000"/>
              <a:gd name="csX11888" fmla="*/ 3808106 w 12192000"/>
              <a:gd name="csY11888" fmla="*/ 4465162 h 6858000"/>
              <a:gd name="csX11889" fmla="*/ 3773759 w 12192000"/>
              <a:gd name="csY11889" fmla="*/ 4430341 h 6858000"/>
              <a:gd name="csX11890" fmla="*/ 3857500 w 12192000"/>
              <a:gd name="csY11890" fmla="*/ 4430341 h 6858000"/>
              <a:gd name="csX11891" fmla="*/ 3823154 w 12192000"/>
              <a:gd name="csY11891" fmla="*/ 4465162 h 6858000"/>
              <a:gd name="csX11892" fmla="*/ 3857500 w 12192000"/>
              <a:gd name="csY11892" fmla="*/ 4499982 h 6858000"/>
              <a:gd name="csX11893" fmla="*/ 3891847 w 12192000"/>
              <a:gd name="csY11893" fmla="*/ 4465162 h 6858000"/>
              <a:gd name="csX11894" fmla="*/ 3857500 w 12192000"/>
              <a:gd name="csY11894" fmla="*/ 4430341 h 6858000"/>
              <a:gd name="csX11895" fmla="*/ 3941242 w 12192000"/>
              <a:gd name="csY11895" fmla="*/ 4430341 h 6858000"/>
              <a:gd name="csX11896" fmla="*/ 3906895 w 12192000"/>
              <a:gd name="csY11896" fmla="*/ 4465162 h 6858000"/>
              <a:gd name="csX11897" fmla="*/ 3941242 w 12192000"/>
              <a:gd name="csY11897" fmla="*/ 4499982 h 6858000"/>
              <a:gd name="csX11898" fmla="*/ 3975588 w 12192000"/>
              <a:gd name="csY11898" fmla="*/ 4465162 h 6858000"/>
              <a:gd name="csX11899" fmla="*/ 3941242 w 12192000"/>
              <a:gd name="csY11899" fmla="*/ 4430341 h 6858000"/>
              <a:gd name="csX11900" fmla="*/ 4024990 w 12192000"/>
              <a:gd name="csY11900" fmla="*/ 4430341 h 6858000"/>
              <a:gd name="csX11901" fmla="*/ 3990643 w 12192000"/>
              <a:gd name="csY11901" fmla="*/ 4465162 h 6858000"/>
              <a:gd name="csX11902" fmla="*/ 4024990 w 12192000"/>
              <a:gd name="csY11902" fmla="*/ 4499982 h 6858000"/>
              <a:gd name="csX11903" fmla="*/ 4059337 w 12192000"/>
              <a:gd name="csY11903" fmla="*/ 4465162 h 6858000"/>
              <a:gd name="csX11904" fmla="*/ 4024990 w 12192000"/>
              <a:gd name="csY11904" fmla="*/ 4430341 h 6858000"/>
              <a:gd name="csX11905" fmla="*/ 4108732 w 12192000"/>
              <a:gd name="csY11905" fmla="*/ 4430341 h 6858000"/>
              <a:gd name="csX11906" fmla="*/ 4074386 w 12192000"/>
              <a:gd name="csY11906" fmla="*/ 4465162 h 6858000"/>
              <a:gd name="csX11907" fmla="*/ 4108732 w 12192000"/>
              <a:gd name="csY11907" fmla="*/ 4499982 h 6858000"/>
              <a:gd name="csX11908" fmla="*/ 4143079 w 12192000"/>
              <a:gd name="csY11908" fmla="*/ 4465162 h 6858000"/>
              <a:gd name="csX11909" fmla="*/ 4108732 w 12192000"/>
              <a:gd name="csY11909" fmla="*/ 4430341 h 6858000"/>
              <a:gd name="csX11910" fmla="*/ 4192473 w 12192000"/>
              <a:gd name="csY11910" fmla="*/ 4430341 h 6858000"/>
              <a:gd name="csX11911" fmla="*/ 4158127 w 12192000"/>
              <a:gd name="csY11911" fmla="*/ 4465162 h 6858000"/>
              <a:gd name="csX11912" fmla="*/ 4192473 w 12192000"/>
              <a:gd name="csY11912" fmla="*/ 4499982 h 6858000"/>
              <a:gd name="csX11913" fmla="*/ 4226820 w 12192000"/>
              <a:gd name="csY11913" fmla="*/ 4465162 h 6858000"/>
              <a:gd name="csX11914" fmla="*/ 4192473 w 12192000"/>
              <a:gd name="csY11914" fmla="*/ 4430341 h 6858000"/>
              <a:gd name="csX11915" fmla="*/ 4276215 w 12192000"/>
              <a:gd name="csY11915" fmla="*/ 4430341 h 6858000"/>
              <a:gd name="csX11916" fmla="*/ 4241868 w 12192000"/>
              <a:gd name="csY11916" fmla="*/ 4465162 h 6858000"/>
              <a:gd name="csX11917" fmla="*/ 4276215 w 12192000"/>
              <a:gd name="csY11917" fmla="*/ 4499982 h 6858000"/>
              <a:gd name="csX11918" fmla="*/ 4310561 w 12192000"/>
              <a:gd name="csY11918" fmla="*/ 4465162 h 6858000"/>
              <a:gd name="csX11919" fmla="*/ 4276215 w 12192000"/>
              <a:gd name="csY11919" fmla="*/ 4430341 h 6858000"/>
              <a:gd name="csX11920" fmla="*/ 4359957 w 12192000"/>
              <a:gd name="csY11920" fmla="*/ 4430341 h 6858000"/>
              <a:gd name="csX11921" fmla="*/ 4325610 w 12192000"/>
              <a:gd name="csY11921" fmla="*/ 4465162 h 6858000"/>
              <a:gd name="csX11922" fmla="*/ 4359957 w 12192000"/>
              <a:gd name="csY11922" fmla="*/ 4499982 h 6858000"/>
              <a:gd name="csX11923" fmla="*/ 4394304 w 12192000"/>
              <a:gd name="csY11923" fmla="*/ 4465162 h 6858000"/>
              <a:gd name="csX11924" fmla="*/ 4359957 w 12192000"/>
              <a:gd name="csY11924" fmla="*/ 4430341 h 6858000"/>
              <a:gd name="csX11925" fmla="*/ 4443698 w 12192000"/>
              <a:gd name="csY11925" fmla="*/ 4430341 h 6858000"/>
              <a:gd name="csX11926" fmla="*/ 4409352 w 12192000"/>
              <a:gd name="csY11926" fmla="*/ 4465162 h 6858000"/>
              <a:gd name="csX11927" fmla="*/ 4443698 w 12192000"/>
              <a:gd name="csY11927" fmla="*/ 4499982 h 6858000"/>
              <a:gd name="csX11928" fmla="*/ 4478045 w 12192000"/>
              <a:gd name="csY11928" fmla="*/ 4465162 h 6858000"/>
              <a:gd name="csX11929" fmla="*/ 4443698 w 12192000"/>
              <a:gd name="csY11929" fmla="*/ 4430341 h 6858000"/>
              <a:gd name="csX11930" fmla="*/ 4527439 w 12192000"/>
              <a:gd name="csY11930" fmla="*/ 4430341 h 6858000"/>
              <a:gd name="csX11931" fmla="*/ 4493093 w 12192000"/>
              <a:gd name="csY11931" fmla="*/ 4465162 h 6858000"/>
              <a:gd name="csX11932" fmla="*/ 4527439 w 12192000"/>
              <a:gd name="csY11932" fmla="*/ 4499982 h 6858000"/>
              <a:gd name="csX11933" fmla="*/ 4561786 w 12192000"/>
              <a:gd name="csY11933" fmla="*/ 4465162 h 6858000"/>
              <a:gd name="csX11934" fmla="*/ 4527439 w 12192000"/>
              <a:gd name="csY11934" fmla="*/ 4430341 h 6858000"/>
              <a:gd name="csX11935" fmla="*/ 4611182 w 12192000"/>
              <a:gd name="csY11935" fmla="*/ 4430341 h 6858000"/>
              <a:gd name="csX11936" fmla="*/ 4576835 w 12192000"/>
              <a:gd name="csY11936" fmla="*/ 4465162 h 6858000"/>
              <a:gd name="csX11937" fmla="*/ 4611182 w 12192000"/>
              <a:gd name="csY11937" fmla="*/ 4499982 h 6858000"/>
              <a:gd name="csX11938" fmla="*/ 4645528 w 12192000"/>
              <a:gd name="csY11938" fmla="*/ 4465162 h 6858000"/>
              <a:gd name="csX11939" fmla="*/ 4611182 w 12192000"/>
              <a:gd name="csY11939" fmla="*/ 4430341 h 6858000"/>
              <a:gd name="csX11940" fmla="*/ 4694923 w 12192000"/>
              <a:gd name="csY11940" fmla="*/ 4430341 h 6858000"/>
              <a:gd name="csX11941" fmla="*/ 4660576 w 12192000"/>
              <a:gd name="csY11941" fmla="*/ 4465162 h 6858000"/>
              <a:gd name="csX11942" fmla="*/ 4694923 w 12192000"/>
              <a:gd name="csY11942" fmla="*/ 4499982 h 6858000"/>
              <a:gd name="csX11943" fmla="*/ 4729270 w 12192000"/>
              <a:gd name="csY11943" fmla="*/ 4465162 h 6858000"/>
              <a:gd name="csX11944" fmla="*/ 4694923 w 12192000"/>
              <a:gd name="csY11944" fmla="*/ 4430341 h 6858000"/>
              <a:gd name="csX11945" fmla="*/ 6286014 w 12192000"/>
              <a:gd name="csY11945" fmla="*/ 4430341 h 6858000"/>
              <a:gd name="csX11946" fmla="*/ 6251661 w 12192000"/>
              <a:gd name="csY11946" fmla="*/ 4465162 h 6858000"/>
              <a:gd name="csX11947" fmla="*/ 6286014 w 12192000"/>
              <a:gd name="csY11947" fmla="*/ 4499982 h 6858000"/>
              <a:gd name="csX11948" fmla="*/ 6320354 w 12192000"/>
              <a:gd name="csY11948" fmla="*/ 4465162 h 6858000"/>
              <a:gd name="csX11949" fmla="*/ 6286014 w 12192000"/>
              <a:gd name="csY11949" fmla="*/ 4430341 h 6858000"/>
              <a:gd name="csX11950" fmla="*/ 6369755 w 12192000"/>
              <a:gd name="csY11950" fmla="*/ 4430341 h 6858000"/>
              <a:gd name="csX11951" fmla="*/ 6335402 w 12192000"/>
              <a:gd name="csY11951" fmla="*/ 4465162 h 6858000"/>
              <a:gd name="csX11952" fmla="*/ 6369755 w 12192000"/>
              <a:gd name="csY11952" fmla="*/ 4499982 h 6858000"/>
              <a:gd name="csX11953" fmla="*/ 6404096 w 12192000"/>
              <a:gd name="csY11953" fmla="*/ 4465162 h 6858000"/>
              <a:gd name="csX11954" fmla="*/ 6369755 w 12192000"/>
              <a:gd name="csY11954" fmla="*/ 4430341 h 6858000"/>
              <a:gd name="csX11955" fmla="*/ 6453498 w 12192000"/>
              <a:gd name="csY11955" fmla="*/ 4430341 h 6858000"/>
              <a:gd name="csX11956" fmla="*/ 6419144 w 12192000"/>
              <a:gd name="csY11956" fmla="*/ 4465162 h 6858000"/>
              <a:gd name="csX11957" fmla="*/ 6453498 w 12192000"/>
              <a:gd name="csY11957" fmla="*/ 4499982 h 6858000"/>
              <a:gd name="csX11958" fmla="*/ 6487838 w 12192000"/>
              <a:gd name="csY11958" fmla="*/ 4465162 h 6858000"/>
              <a:gd name="csX11959" fmla="*/ 6453498 w 12192000"/>
              <a:gd name="csY11959" fmla="*/ 4430341 h 6858000"/>
              <a:gd name="csX11960" fmla="*/ 6537239 w 12192000"/>
              <a:gd name="csY11960" fmla="*/ 4430341 h 6858000"/>
              <a:gd name="csX11961" fmla="*/ 6502886 w 12192000"/>
              <a:gd name="csY11961" fmla="*/ 4465162 h 6858000"/>
              <a:gd name="csX11962" fmla="*/ 6537239 w 12192000"/>
              <a:gd name="csY11962" fmla="*/ 4499982 h 6858000"/>
              <a:gd name="csX11963" fmla="*/ 6571579 w 12192000"/>
              <a:gd name="csY11963" fmla="*/ 4465162 h 6858000"/>
              <a:gd name="csX11964" fmla="*/ 6537239 w 12192000"/>
              <a:gd name="csY11964" fmla="*/ 4430341 h 6858000"/>
              <a:gd name="csX11965" fmla="*/ 6620980 w 12192000"/>
              <a:gd name="csY11965" fmla="*/ 4430341 h 6858000"/>
              <a:gd name="csX11966" fmla="*/ 6586627 w 12192000"/>
              <a:gd name="csY11966" fmla="*/ 4465162 h 6858000"/>
              <a:gd name="csX11967" fmla="*/ 6620980 w 12192000"/>
              <a:gd name="csY11967" fmla="*/ 4499982 h 6858000"/>
              <a:gd name="csX11968" fmla="*/ 6655320 w 12192000"/>
              <a:gd name="csY11968" fmla="*/ 4465162 h 6858000"/>
              <a:gd name="csX11969" fmla="*/ 6620980 w 12192000"/>
              <a:gd name="csY11969" fmla="*/ 4430341 h 6858000"/>
              <a:gd name="csX11970" fmla="*/ 6704722 w 12192000"/>
              <a:gd name="csY11970" fmla="*/ 4430341 h 6858000"/>
              <a:gd name="csX11971" fmla="*/ 6670369 w 12192000"/>
              <a:gd name="csY11971" fmla="*/ 4465162 h 6858000"/>
              <a:gd name="csX11972" fmla="*/ 6704722 w 12192000"/>
              <a:gd name="csY11972" fmla="*/ 4499982 h 6858000"/>
              <a:gd name="csX11973" fmla="*/ 6739063 w 12192000"/>
              <a:gd name="csY11973" fmla="*/ 4465162 h 6858000"/>
              <a:gd name="csX11974" fmla="*/ 6704722 w 12192000"/>
              <a:gd name="csY11974" fmla="*/ 4430341 h 6858000"/>
              <a:gd name="csX11975" fmla="*/ 6872206 w 12192000"/>
              <a:gd name="csY11975" fmla="*/ 4430341 h 6858000"/>
              <a:gd name="csX11976" fmla="*/ 6837853 w 12192000"/>
              <a:gd name="csY11976" fmla="*/ 4465162 h 6858000"/>
              <a:gd name="csX11977" fmla="*/ 6872206 w 12192000"/>
              <a:gd name="csY11977" fmla="*/ 4499982 h 6858000"/>
              <a:gd name="csX11978" fmla="*/ 6906546 w 12192000"/>
              <a:gd name="csY11978" fmla="*/ 4465162 h 6858000"/>
              <a:gd name="csX11979" fmla="*/ 6872206 w 12192000"/>
              <a:gd name="csY11979" fmla="*/ 4430341 h 6858000"/>
              <a:gd name="csX11980" fmla="*/ 6955947 w 12192000"/>
              <a:gd name="csY11980" fmla="*/ 4430341 h 6858000"/>
              <a:gd name="csX11981" fmla="*/ 6921594 w 12192000"/>
              <a:gd name="csY11981" fmla="*/ 4465162 h 6858000"/>
              <a:gd name="csX11982" fmla="*/ 6955947 w 12192000"/>
              <a:gd name="csY11982" fmla="*/ 4499982 h 6858000"/>
              <a:gd name="csX11983" fmla="*/ 6990287 w 12192000"/>
              <a:gd name="csY11983" fmla="*/ 4465162 h 6858000"/>
              <a:gd name="csX11984" fmla="*/ 6955947 w 12192000"/>
              <a:gd name="csY11984" fmla="*/ 4430341 h 6858000"/>
              <a:gd name="csX11985" fmla="*/ 7039688 w 12192000"/>
              <a:gd name="csY11985" fmla="*/ 4430341 h 6858000"/>
              <a:gd name="csX11986" fmla="*/ 7005335 w 12192000"/>
              <a:gd name="csY11986" fmla="*/ 4465162 h 6858000"/>
              <a:gd name="csX11987" fmla="*/ 7039688 w 12192000"/>
              <a:gd name="csY11987" fmla="*/ 4499982 h 6858000"/>
              <a:gd name="csX11988" fmla="*/ 7074029 w 12192000"/>
              <a:gd name="csY11988" fmla="*/ 4465162 h 6858000"/>
              <a:gd name="csX11989" fmla="*/ 7039688 w 12192000"/>
              <a:gd name="csY11989" fmla="*/ 4430341 h 6858000"/>
              <a:gd name="csX11990" fmla="*/ 9133256 w 12192000"/>
              <a:gd name="csY11990" fmla="*/ 4430341 h 6858000"/>
              <a:gd name="csX11991" fmla="*/ 9098903 w 12192000"/>
              <a:gd name="csY11991" fmla="*/ 4465162 h 6858000"/>
              <a:gd name="csX11992" fmla="*/ 9133256 w 12192000"/>
              <a:gd name="csY11992" fmla="*/ 4499982 h 6858000"/>
              <a:gd name="csX11993" fmla="*/ 9167596 w 12192000"/>
              <a:gd name="csY11993" fmla="*/ 4465162 h 6858000"/>
              <a:gd name="csX11994" fmla="*/ 9133256 w 12192000"/>
              <a:gd name="csY11994" fmla="*/ 4430341 h 6858000"/>
              <a:gd name="csX11995" fmla="*/ 9635705 w 12192000"/>
              <a:gd name="csY11995" fmla="*/ 4430341 h 6858000"/>
              <a:gd name="csX11996" fmla="*/ 9601352 w 12192000"/>
              <a:gd name="csY11996" fmla="*/ 4465162 h 6858000"/>
              <a:gd name="csX11997" fmla="*/ 9635705 w 12192000"/>
              <a:gd name="csY11997" fmla="*/ 4499982 h 6858000"/>
              <a:gd name="csX11998" fmla="*/ 9670045 w 12192000"/>
              <a:gd name="csY11998" fmla="*/ 4465162 h 6858000"/>
              <a:gd name="csX11999" fmla="*/ 9635705 w 12192000"/>
              <a:gd name="csY11999" fmla="*/ 4430341 h 6858000"/>
              <a:gd name="csX12000" fmla="*/ 10054413 w 12192000"/>
              <a:gd name="csY12000" fmla="*/ 4430341 h 6858000"/>
              <a:gd name="csX12001" fmla="*/ 10020060 w 12192000"/>
              <a:gd name="csY12001" fmla="*/ 4465162 h 6858000"/>
              <a:gd name="csX12002" fmla="*/ 10054413 w 12192000"/>
              <a:gd name="csY12002" fmla="*/ 4499982 h 6858000"/>
              <a:gd name="csX12003" fmla="*/ 10088754 w 12192000"/>
              <a:gd name="csY12003" fmla="*/ 4465162 h 6858000"/>
              <a:gd name="csX12004" fmla="*/ 10054413 w 12192000"/>
              <a:gd name="csY12004" fmla="*/ 4430341 h 6858000"/>
              <a:gd name="csX12005" fmla="*/ 10138155 w 12192000"/>
              <a:gd name="csY12005" fmla="*/ 4430341 h 6858000"/>
              <a:gd name="csX12006" fmla="*/ 10103802 w 12192000"/>
              <a:gd name="csY12006" fmla="*/ 4465162 h 6858000"/>
              <a:gd name="csX12007" fmla="*/ 10138155 w 12192000"/>
              <a:gd name="csY12007" fmla="*/ 4499982 h 6858000"/>
              <a:gd name="csX12008" fmla="*/ 10172495 w 12192000"/>
              <a:gd name="csY12008" fmla="*/ 4465162 h 6858000"/>
              <a:gd name="csX12009" fmla="*/ 10138155 w 12192000"/>
              <a:gd name="csY12009" fmla="*/ 4430341 h 6858000"/>
              <a:gd name="csX12010" fmla="*/ 10221896 w 12192000"/>
              <a:gd name="csY12010" fmla="*/ 4430341 h 6858000"/>
              <a:gd name="csX12011" fmla="*/ 10187543 w 12192000"/>
              <a:gd name="csY12011" fmla="*/ 4465162 h 6858000"/>
              <a:gd name="csX12012" fmla="*/ 10221896 w 12192000"/>
              <a:gd name="csY12012" fmla="*/ 4499982 h 6858000"/>
              <a:gd name="csX12013" fmla="*/ 10256236 w 12192000"/>
              <a:gd name="csY12013" fmla="*/ 4465162 h 6858000"/>
              <a:gd name="csX12014" fmla="*/ 10221896 w 12192000"/>
              <a:gd name="csY12014" fmla="*/ 4430341 h 6858000"/>
              <a:gd name="csX12015" fmla="*/ 10305638 w 12192000"/>
              <a:gd name="csY12015" fmla="*/ 4430341 h 6858000"/>
              <a:gd name="csX12016" fmla="*/ 10271285 w 12192000"/>
              <a:gd name="csY12016" fmla="*/ 4465162 h 6858000"/>
              <a:gd name="csX12017" fmla="*/ 10305638 w 12192000"/>
              <a:gd name="csY12017" fmla="*/ 4499982 h 6858000"/>
              <a:gd name="csX12018" fmla="*/ 10339978 w 12192000"/>
              <a:gd name="csY12018" fmla="*/ 4465162 h 6858000"/>
              <a:gd name="csX12019" fmla="*/ 10305638 w 12192000"/>
              <a:gd name="csY12019" fmla="*/ 4430341 h 6858000"/>
              <a:gd name="csX12020" fmla="*/ 10556863 w 12192000"/>
              <a:gd name="csY12020" fmla="*/ 4430341 h 6858000"/>
              <a:gd name="csX12021" fmla="*/ 10522510 w 12192000"/>
              <a:gd name="csY12021" fmla="*/ 4465162 h 6858000"/>
              <a:gd name="csX12022" fmla="*/ 10556863 w 12192000"/>
              <a:gd name="csY12022" fmla="*/ 4499982 h 6858000"/>
              <a:gd name="csX12023" fmla="*/ 10591203 w 12192000"/>
              <a:gd name="csY12023" fmla="*/ 4465162 h 6858000"/>
              <a:gd name="csX12024" fmla="*/ 10556863 w 12192000"/>
              <a:gd name="csY12024" fmla="*/ 4430341 h 6858000"/>
              <a:gd name="csX12025" fmla="*/ 3438792 w 12192000"/>
              <a:gd name="csY12025" fmla="*/ 4515205 h 6858000"/>
              <a:gd name="csX12026" fmla="*/ 3404445 w 12192000"/>
              <a:gd name="csY12026" fmla="*/ 4550025 h 6858000"/>
              <a:gd name="csX12027" fmla="*/ 3438792 w 12192000"/>
              <a:gd name="csY12027" fmla="*/ 4584846 h 6858000"/>
              <a:gd name="csX12028" fmla="*/ 3473139 w 12192000"/>
              <a:gd name="csY12028" fmla="*/ 4550025 h 6858000"/>
              <a:gd name="csX12029" fmla="*/ 3438792 w 12192000"/>
              <a:gd name="csY12029" fmla="*/ 4515205 h 6858000"/>
              <a:gd name="csX12030" fmla="*/ 3522533 w 12192000"/>
              <a:gd name="csY12030" fmla="*/ 4515205 h 6858000"/>
              <a:gd name="csX12031" fmla="*/ 3488187 w 12192000"/>
              <a:gd name="csY12031" fmla="*/ 4550025 h 6858000"/>
              <a:gd name="csX12032" fmla="*/ 3522533 w 12192000"/>
              <a:gd name="csY12032" fmla="*/ 4584846 h 6858000"/>
              <a:gd name="csX12033" fmla="*/ 3556880 w 12192000"/>
              <a:gd name="csY12033" fmla="*/ 4550025 h 6858000"/>
              <a:gd name="csX12034" fmla="*/ 3522533 w 12192000"/>
              <a:gd name="csY12034" fmla="*/ 4515205 h 6858000"/>
              <a:gd name="csX12035" fmla="*/ 3606276 w 12192000"/>
              <a:gd name="csY12035" fmla="*/ 4515205 h 6858000"/>
              <a:gd name="csX12036" fmla="*/ 3571929 w 12192000"/>
              <a:gd name="csY12036" fmla="*/ 4550025 h 6858000"/>
              <a:gd name="csX12037" fmla="*/ 3606276 w 12192000"/>
              <a:gd name="csY12037" fmla="*/ 4584846 h 6858000"/>
              <a:gd name="csX12038" fmla="*/ 3640622 w 12192000"/>
              <a:gd name="csY12038" fmla="*/ 4550025 h 6858000"/>
              <a:gd name="csX12039" fmla="*/ 3606276 w 12192000"/>
              <a:gd name="csY12039" fmla="*/ 4515205 h 6858000"/>
              <a:gd name="csX12040" fmla="*/ 3690017 w 12192000"/>
              <a:gd name="csY12040" fmla="*/ 4515205 h 6858000"/>
              <a:gd name="csX12041" fmla="*/ 3655670 w 12192000"/>
              <a:gd name="csY12041" fmla="*/ 4550025 h 6858000"/>
              <a:gd name="csX12042" fmla="*/ 3690017 w 12192000"/>
              <a:gd name="csY12042" fmla="*/ 4584846 h 6858000"/>
              <a:gd name="csX12043" fmla="*/ 3724364 w 12192000"/>
              <a:gd name="csY12043" fmla="*/ 4550025 h 6858000"/>
              <a:gd name="csX12044" fmla="*/ 3690017 w 12192000"/>
              <a:gd name="csY12044" fmla="*/ 4515205 h 6858000"/>
              <a:gd name="csX12045" fmla="*/ 3773759 w 12192000"/>
              <a:gd name="csY12045" fmla="*/ 4515205 h 6858000"/>
              <a:gd name="csX12046" fmla="*/ 3739412 w 12192000"/>
              <a:gd name="csY12046" fmla="*/ 4550025 h 6858000"/>
              <a:gd name="csX12047" fmla="*/ 3773759 w 12192000"/>
              <a:gd name="csY12047" fmla="*/ 4584846 h 6858000"/>
              <a:gd name="csX12048" fmla="*/ 3808106 w 12192000"/>
              <a:gd name="csY12048" fmla="*/ 4550025 h 6858000"/>
              <a:gd name="csX12049" fmla="*/ 3773759 w 12192000"/>
              <a:gd name="csY12049" fmla="*/ 4515205 h 6858000"/>
              <a:gd name="csX12050" fmla="*/ 3857500 w 12192000"/>
              <a:gd name="csY12050" fmla="*/ 4515205 h 6858000"/>
              <a:gd name="csX12051" fmla="*/ 3823154 w 12192000"/>
              <a:gd name="csY12051" fmla="*/ 4550025 h 6858000"/>
              <a:gd name="csX12052" fmla="*/ 3857500 w 12192000"/>
              <a:gd name="csY12052" fmla="*/ 4584846 h 6858000"/>
              <a:gd name="csX12053" fmla="*/ 3891847 w 12192000"/>
              <a:gd name="csY12053" fmla="*/ 4550025 h 6858000"/>
              <a:gd name="csX12054" fmla="*/ 3857500 w 12192000"/>
              <a:gd name="csY12054" fmla="*/ 4515205 h 6858000"/>
              <a:gd name="csX12055" fmla="*/ 3941242 w 12192000"/>
              <a:gd name="csY12055" fmla="*/ 4515205 h 6858000"/>
              <a:gd name="csX12056" fmla="*/ 3906895 w 12192000"/>
              <a:gd name="csY12056" fmla="*/ 4550025 h 6858000"/>
              <a:gd name="csX12057" fmla="*/ 3941242 w 12192000"/>
              <a:gd name="csY12057" fmla="*/ 4584846 h 6858000"/>
              <a:gd name="csX12058" fmla="*/ 3975588 w 12192000"/>
              <a:gd name="csY12058" fmla="*/ 4550025 h 6858000"/>
              <a:gd name="csX12059" fmla="*/ 3941242 w 12192000"/>
              <a:gd name="csY12059" fmla="*/ 4515205 h 6858000"/>
              <a:gd name="csX12060" fmla="*/ 4024990 w 12192000"/>
              <a:gd name="csY12060" fmla="*/ 4515205 h 6858000"/>
              <a:gd name="csX12061" fmla="*/ 3990643 w 12192000"/>
              <a:gd name="csY12061" fmla="*/ 4550025 h 6858000"/>
              <a:gd name="csX12062" fmla="*/ 4024990 w 12192000"/>
              <a:gd name="csY12062" fmla="*/ 4584846 h 6858000"/>
              <a:gd name="csX12063" fmla="*/ 4059337 w 12192000"/>
              <a:gd name="csY12063" fmla="*/ 4550025 h 6858000"/>
              <a:gd name="csX12064" fmla="*/ 4024990 w 12192000"/>
              <a:gd name="csY12064" fmla="*/ 4515205 h 6858000"/>
              <a:gd name="csX12065" fmla="*/ 4108732 w 12192000"/>
              <a:gd name="csY12065" fmla="*/ 4515205 h 6858000"/>
              <a:gd name="csX12066" fmla="*/ 4074386 w 12192000"/>
              <a:gd name="csY12066" fmla="*/ 4550025 h 6858000"/>
              <a:gd name="csX12067" fmla="*/ 4108732 w 12192000"/>
              <a:gd name="csY12067" fmla="*/ 4584846 h 6858000"/>
              <a:gd name="csX12068" fmla="*/ 4143079 w 12192000"/>
              <a:gd name="csY12068" fmla="*/ 4550025 h 6858000"/>
              <a:gd name="csX12069" fmla="*/ 4108732 w 12192000"/>
              <a:gd name="csY12069" fmla="*/ 4515205 h 6858000"/>
              <a:gd name="csX12070" fmla="*/ 4192473 w 12192000"/>
              <a:gd name="csY12070" fmla="*/ 4515205 h 6858000"/>
              <a:gd name="csX12071" fmla="*/ 4158127 w 12192000"/>
              <a:gd name="csY12071" fmla="*/ 4550025 h 6858000"/>
              <a:gd name="csX12072" fmla="*/ 4192473 w 12192000"/>
              <a:gd name="csY12072" fmla="*/ 4584846 h 6858000"/>
              <a:gd name="csX12073" fmla="*/ 4226820 w 12192000"/>
              <a:gd name="csY12073" fmla="*/ 4550025 h 6858000"/>
              <a:gd name="csX12074" fmla="*/ 4192473 w 12192000"/>
              <a:gd name="csY12074" fmla="*/ 4515205 h 6858000"/>
              <a:gd name="csX12075" fmla="*/ 4276215 w 12192000"/>
              <a:gd name="csY12075" fmla="*/ 4515205 h 6858000"/>
              <a:gd name="csX12076" fmla="*/ 4241868 w 12192000"/>
              <a:gd name="csY12076" fmla="*/ 4550025 h 6858000"/>
              <a:gd name="csX12077" fmla="*/ 4276215 w 12192000"/>
              <a:gd name="csY12077" fmla="*/ 4584846 h 6858000"/>
              <a:gd name="csX12078" fmla="*/ 4310561 w 12192000"/>
              <a:gd name="csY12078" fmla="*/ 4550025 h 6858000"/>
              <a:gd name="csX12079" fmla="*/ 4276215 w 12192000"/>
              <a:gd name="csY12079" fmla="*/ 4515205 h 6858000"/>
              <a:gd name="csX12080" fmla="*/ 4359957 w 12192000"/>
              <a:gd name="csY12080" fmla="*/ 4515205 h 6858000"/>
              <a:gd name="csX12081" fmla="*/ 4325610 w 12192000"/>
              <a:gd name="csY12081" fmla="*/ 4550025 h 6858000"/>
              <a:gd name="csX12082" fmla="*/ 4359957 w 12192000"/>
              <a:gd name="csY12082" fmla="*/ 4584846 h 6858000"/>
              <a:gd name="csX12083" fmla="*/ 4394304 w 12192000"/>
              <a:gd name="csY12083" fmla="*/ 4550025 h 6858000"/>
              <a:gd name="csX12084" fmla="*/ 4359957 w 12192000"/>
              <a:gd name="csY12084" fmla="*/ 4515205 h 6858000"/>
              <a:gd name="csX12085" fmla="*/ 4443698 w 12192000"/>
              <a:gd name="csY12085" fmla="*/ 4515205 h 6858000"/>
              <a:gd name="csX12086" fmla="*/ 4409352 w 12192000"/>
              <a:gd name="csY12086" fmla="*/ 4550025 h 6858000"/>
              <a:gd name="csX12087" fmla="*/ 4443698 w 12192000"/>
              <a:gd name="csY12087" fmla="*/ 4584846 h 6858000"/>
              <a:gd name="csX12088" fmla="*/ 4478045 w 12192000"/>
              <a:gd name="csY12088" fmla="*/ 4550025 h 6858000"/>
              <a:gd name="csX12089" fmla="*/ 4443698 w 12192000"/>
              <a:gd name="csY12089" fmla="*/ 4515205 h 6858000"/>
              <a:gd name="csX12090" fmla="*/ 4527439 w 12192000"/>
              <a:gd name="csY12090" fmla="*/ 4515205 h 6858000"/>
              <a:gd name="csX12091" fmla="*/ 4493093 w 12192000"/>
              <a:gd name="csY12091" fmla="*/ 4550025 h 6858000"/>
              <a:gd name="csX12092" fmla="*/ 4527439 w 12192000"/>
              <a:gd name="csY12092" fmla="*/ 4584846 h 6858000"/>
              <a:gd name="csX12093" fmla="*/ 4561786 w 12192000"/>
              <a:gd name="csY12093" fmla="*/ 4550025 h 6858000"/>
              <a:gd name="csX12094" fmla="*/ 4527439 w 12192000"/>
              <a:gd name="csY12094" fmla="*/ 4515205 h 6858000"/>
              <a:gd name="csX12095" fmla="*/ 4611182 w 12192000"/>
              <a:gd name="csY12095" fmla="*/ 4515205 h 6858000"/>
              <a:gd name="csX12096" fmla="*/ 4576835 w 12192000"/>
              <a:gd name="csY12096" fmla="*/ 4550025 h 6858000"/>
              <a:gd name="csX12097" fmla="*/ 4611182 w 12192000"/>
              <a:gd name="csY12097" fmla="*/ 4584846 h 6858000"/>
              <a:gd name="csX12098" fmla="*/ 4645528 w 12192000"/>
              <a:gd name="csY12098" fmla="*/ 4550025 h 6858000"/>
              <a:gd name="csX12099" fmla="*/ 4611182 w 12192000"/>
              <a:gd name="csY12099" fmla="*/ 4515205 h 6858000"/>
              <a:gd name="csX12100" fmla="*/ 4694923 w 12192000"/>
              <a:gd name="csY12100" fmla="*/ 4515205 h 6858000"/>
              <a:gd name="csX12101" fmla="*/ 4660576 w 12192000"/>
              <a:gd name="csY12101" fmla="*/ 4550025 h 6858000"/>
              <a:gd name="csX12102" fmla="*/ 4694923 w 12192000"/>
              <a:gd name="csY12102" fmla="*/ 4584846 h 6858000"/>
              <a:gd name="csX12103" fmla="*/ 4729270 w 12192000"/>
              <a:gd name="csY12103" fmla="*/ 4550025 h 6858000"/>
              <a:gd name="csX12104" fmla="*/ 4694923 w 12192000"/>
              <a:gd name="csY12104" fmla="*/ 4515205 h 6858000"/>
              <a:gd name="csX12105" fmla="*/ 4778665 w 12192000"/>
              <a:gd name="csY12105" fmla="*/ 4515205 h 6858000"/>
              <a:gd name="csX12106" fmla="*/ 4744319 w 12192000"/>
              <a:gd name="csY12106" fmla="*/ 4550025 h 6858000"/>
              <a:gd name="csX12107" fmla="*/ 4778665 w 12192000"/>
              <a:gd name="csY12107" fmla="*/ 4584846 h 6858000"/>
              <a:gd name="csX12108" fmla="*/ 4813012 w 12192000"/>
              <a:gd name="csY12108" fmla="*/ 4550025 h 6858000"/>
              <a:gd name="csX12109" fmla="*/ 4778665 w 12192000"/>
              <a:gd name="csY12109" fmla="*/ 4515205 h 6858000"/>
              <a:gd name="csX12110" fmla="*/ 6286014 w 12192000"/>
              <a:gd name="csY12110" fmla="*/ 4515205 h 6858000"/>
              <a:gd name="csX12111" fmla="*/ 6251661 w 12192000"/>
              <a:gd name="csY12111" fmla="*/ 4550025 h 6858000"/>
              <a:gd name="csX12112" fmla="*/ 6286014 w 12192000"/>
              <a:gd name="csY12112" fmla="*/ 4584846 h 6858000"/>
              <a:gd name="csX12113" fmla="*/ 6320354 w 12192000"/>
              <a:gd name="csY12113" fmla="*/ 4550025 h 6858000"/>
              <a:gd name="csX12114" fmla="*/ 6286014 w 12192000"/>
              <a:gd name="csY12114" fmla="*/ 4515205 h 6858000"/>
              <a:gd name="csX12115" fmla="*/ 6369755 w 12192000"/>
              <a:gd name="csY12115" fmla="*/ 4515205 h 6858000"/>
              <a:gd name="csX12116" fmla="*/ 6335402 w 12192000"/>
              <a:gd name="csY12116" fmla="*/ 4550025 h 6858000"/>
              <a:gd name="csX12117" fmla="*/ 6369755 w 12192000"/>
              <a:gd name="csY12117" fmla="*/ 4584846 h 6858000"/>
              <a:gd name="csX12118" fmla="*/ 6404096 w 12192000"/>
              <a:gd name="csY12118" fmla="*/ 4550025 h 6858000"/>
              <a:gd name="csX12119" fmla="*/ 6369755 w 12192000"/>
              <a:gd name="csY12119" fmla="*/ 4515205 h 6858000"/>
              <a:gd name="csX12120" fmla="*/ 6453498 w 12192000"/>
              <a:gd name="csY12120" fmla="*/ 4515205 h 6858000"/>
              <a:gd name="csX12121" fmla="*/ 6419144 w 12192000"/>
              <a:gd name="csY12121" fmla="*/ 4550025 h 6858000"/>
              <a:gd name="csX12122" fmla="*/ 6453498 w 12192000"/>
              <a:gd name="csY12122" fmla="*/ 4584846 h 6858000"/>
              <a:gd name="csX12123" fmla="*/ 6487838 w 12192000"/>
              <a:gd name="csY12123" fmla="*/ 4550025 h 6858000"/>
              <a:gd name="csX12124" fmla="*/ 6453498 w 12192000"/>
              <a:gd name="csY12124" fmla="*/ 4515205 h 6858000"/>
              <a:gd name="csX12125" fmla="*/ 6537239 w 12192000"/>
              <a:gd name="csY12125" fmla="*/ 4515205 h 6858000"/>
              <a:gd name="csX12126" fmla="*/ 6502886 w 12192000"/>
              <a:gd name="csY12126" fmla="*/ 4550025 h 6858000"/>
              <a:gd name="csX12127" fmla="*/ 6537239 w 12192000"/>
              <a:gd name="csY12127" fmla="*/ 4584846 h 6858000"/>
              <a:gd name="csX12128" fmla="*/ 6571579 w 12192000"/>
              <a:gd name="csY12128" fmla="*/ 4550025 h 6858000"/>
              <a:gd name="csX12129" fmla="*/ 6537239 w 12192000"/>
              <a:gd name="csY12129" fmla="*/ 4515205 h 6858000"/>
              <a:gd name="csX12130" fmla="*/ 6620980 w 12192000"/>
              <a:gd name="csY12130" fmla="*/ 4515205 h 6858000"/>
              <a:gd name="csX12131" fmla="*/ 6586627 w 12192000"/>
              <a:gd name="csY12131" fmla="*/ 4550025 h 6858000"/>
              <a:gd name="csX12132" fmla="*/ 6620980 w 12192000"/>
              <a:gd name="csY12132" fmla="*/ 4584846 h 6858000"/>
              <a:gd name="csX12133" fmla="*/ 6655320 w 12192000"/>
              <a:gd name="csY12133" fmla="*/ 4550025 h 6858000"/>
              <a:gd name="csX12134" fmla="*/ 6620980 w 12192000"/>
              <a:gd name="csY12134" fmla="*/ 4515205 h 6858000"/>
              <a:gd name="csX12135" fmla="*/ 6704722 w 12192000"/>
              <a:gd name="csY12135" fmla="*/ 4515205 h 6858000"/>
              <a:gd name="csX12136" fmla="*/ 6670369 w 12192000"/>
              <a:gd name="csY12136" fmla="*/ 4550025 h 6858000"/>
              <a:gd name="csX12137" fmla="*/ 6704722 w 12192000"/>
              <a:gd name="csY12137" fmla="*/ 4584846 h 6858000"/>
              <a:gd name="csX12138" fmla="*/ 6739063 w 12192000"/>
              <a:gd name="csY12138" fmla="*/ 4550025 h 6858000"/>
              <a:gd name="csX12139" fmla="*/ 6704722 w 12192000"/>
              <a:gd name="csY12139" fmla="*/ 4515205 h 6858000"/>
              <a:gd name="csX12140" fmla="*/ 6872206 w 12192000"/>
              <a:gd name="csY12140" fmla="*/ 4515205 h 6858000"/>
              <a:gd name="csX12141" fmla="*/ 6837853 w 12192000"/>
              <a:gd name="csY12141" fmla="*/ 4550025 h 6858000"/>
              <a:gd name="csX12142" fmla="*/ 6872206 w 12192000"/>
              <a:gd name="csY12142" fmla="*/ 4584846 h 6858000"/>
              <a:gd name="csX12143" fmla="*/ 6906546 w 12192000"/>
              <a:gd name="csY12143" fmla="*/ 4550025 h 6858000"/>
              <a:gd name="csX12144" fmla="*/ 6872206 w 12192000"/>
              <a:gd name="csY12144" fmla="*/ 4515205 h 6858000"/>
              <a:gd name="csX12145" fmla="*/ 6955947 w 12192000"/>
              <a:gd name="csY12145" fmla="*/ 4515205 h 6858000"/>
              <a:gd name="csX12146" fmla="*/ 6921594 w 12192000"/>
              <a:gd name="csY12146" fmla="*/ 4550025 h 6858000"/>
              <a:gd name="csX12147" fmla="*/ 6955947 w 12192000"/>
              <a:gd name="csY12147" fmla="*/ 4584846 h 6858000"/>
              <a:gd name="csX12148" fmla="*/ 6990287 w 12192000"/>
              <a:gd name="csY12148" fmla="*/ 4550025 h 6858000"/>
              <a:gd name="csX12149" fmla="*/ 6955947 w 12192000"/>
              <a:gd name="csY12149" fmla="*/ 4515205 h 6858000"/>
              <a:gd name="csX12150" fmla="*/ 7039688 w 12192000"/>
              <a:gd name="csY12150" fmla="*/ 4515205 h 6858000"/>
              <a:gd name="csX12151" fmla="*/ 7005335 w 12192000"/>
              <a:gd name="csY12151" fmla="*/ 4550025 h 6858000"/>
              <a:gd name="csX12152" fmla="*/ 7039688 w 12192000"/>
              <a:gd name="csY12152" fmla="*/ 4584846 h 6858000"/>
              <a:gd name="csX12153" fmla="*/ 7074029 w 12192000"/>
              <a:gd name="csY12153" fmla="*/ 4550025 h 6858000"/>
              <a:gd name="csX12154" fmla="*/ 7039688 w 12192000"/>
              <a:gd name="csY12154" fmla="*/ 4515205 h 6858000"/>
              <a:gd name="csX12155" fmla="*/ 9216997 w 12192000"/>
              <a:gd name="csY12155" fmla="*/ 4515205 h 6858000"/>
              <a:gd name="csX12156" fmla="*/ 9182644 w 12192000"/>
              <a:gd name="csY12156" fmla="*/ 4550025 h 6858000"/>
              <a:gd name="csX12157" fmla="*/ 9216997 w 12192000"/>
              <a:gd name="csY12157" fmla="*/ 4584846 h 6858000"/>
              <a:gd name="csX12158" fmla="*/ 9251337 w 12192000"/>
              <a:gd name="csY12158" fmla="*/ 4550025 h 6858000"/>
              <a:gd name="csX12159" fmla="*/ 9216997 w 12192000"/>
              <a:gd name="csY12159" fmla="*/ 4515205 h 6858000"/>
              <a:gd name="csX12160" fmla="*/ 9300738 w 12192000"/>
              <a:gd name="csY12160" fmla="*/ 4515205 h 6858000"/>
              <a:gd name="csX12161" fmla="*/ 9266385 w 12192000"/>
              <a:gd name="csY12161" fmla="*/ 4550025 h 6858000"/>
              <a:gd name="csX12162" fmla="*/ 9300738 w 12192000"/>
              <a:gd name="csY12162" fmla="*/ 4584846 h 6858000"/>
              <a:gd name="csX12163" fmla="*/ 9335078 w 12192000"/>
              <a:gd name="csY12163" fmla="*/ 4550025 h 6858000"/>
              <a:gd name="csX12164" fmla="*/ 9300738 w 12192000"/>
              <a:gd name="csY12164" fmla="*/ 4515205 h 6858000"/>
              <a:gd name="csX12165" fmla="*/ 9384480 w 12192000"/>
              <a:gd name="csY12165" fmla="*/ 4515205 h 6858000"/>
              <a:gd name="csX12166" fmla="*/ 9350127 w 12192000"/>
              <a:gd name="csY12166" fmla="*/ 4550025 h 6858000"/>
              <a:gd name="csX12167" fmla="*/ 9384480 w 12192000"/>
              <a:gd name="csY12167" fmla="*/ 4584846 h 6858000"/>
              <a:gd name="csX12168" fmla="*/ 9418821 w 12192000"/>
              <a:gd name="csY12168" fmla="*/ 4550025 h 6858000"/>
              <a:gd name="csX12169" fmla="*/ 9384480 w 12192000"/>
              <a:gd name="csY12169" fmla="*/ 4515205 h 6858000"/>
              <a:gd name="csX12170" fmla="*/ 10221896 w 12192000"/>
              <a:gd name="csY12170" fmla="*/ 4515205 h 6858000"/>
              <a:gd name="csX12171" fmla="*/ 10187543 w 12192000"/>
              <a:gd name="csY12171" fmla="*/ 4550025 h 6858000"/>
              <a:gd name="csX12172" fmla="*/ 10221896 w 12192000"/>
              <a:gd name="csY12172" fmla="*/ 4584846 h 6858000"/>
              <a:gd name="csX12173" fmla="*/ 10256236 w 12192000"/>
              <a:gd name="csY12173" fmla="*/ 4550025 h 6858000"/>
              <a:gd name="csX12174" fmla="*/ 10221896 w 12192000"/>
              <a:gd name="csY12174" fmla="*/ 4515205 h 6858000"/>
              <a:gd name="csX12175" fmla="*/ 10305638 w 12192000"/>
              <a:gd name="csY12175" fmla="*/ 4515205 h 6858000"/>
              <a:gd name="csX12176" fmla="*/ 10271285 w 12192000"/>
              <a:gd name="csY12176" fmla="*/ 4550025 h 6858000"/>
              <a:gd name="csX12177" fmla="*/ 10305638 w 12192000"/>
              <a:gd name="csY12177" fmla="*/ 4584846 h 6858000"/>
              <a:gd name="csX12178" fmla="*/ 10339978 w 12192000"/>
              <a:gd name="csY12178" fmla="*/ 4550025 h 6858000"/>
              <a:gd name="csX12179" fmla="*/ 10305638 w 12192000"/>
              <a:gd name="csY12179" fmla="*/ 4515205 h 6858000"/>
              <a:gd name="csX12180" fmla="*/ 10389379 w 12192000"/>
              <a:gd name="csY12180" fmla="*/ 4515205 h 6858000"/>
              <a:gd name="csX12181" fmla="*/ 10355026 w 12192000"/>
              <a:gd name="csY12181" fmla="*/ 4550025 h 6858000"/>
              <a:gd name="csX12182" fmla="*/ 10389379 w 12192000"/>
              <a:gd name="csY12182" fmla="*/ 4584846 h 6858000"/>
              <a:gd name="csX12183" fmla="*/ 10423720 w 12192000"/>
              <a:gd name="csY12183" fmla="*/ 4550025 h 6858000"/>
              <a:gd name="csX12184" fmla="*/ 10389379 w 12192000"/>
              <a:gd name="csY12184" fmla="*/ 4515205 h 6858000"/>
              <a:gd name="csX12185" fmla="*/ 10724346 w 12192000"/>
              <a:gd name="csY12185" fmla="*/ 4515205 h 6858000"/>
              <a:gd name="csX12186" fmla="*/ 10689993 w 12192000"/>
              <a:gd name="csY12186" fmla="*/ 4550025 h 6858000"/>
              <a:gd name="csX12187" fmla="*/ 10724346 w 12192000"/>
              <a:gd name="csY12187" fmla="*/ 4584846 h 6858000"/>
              <a:gd name="csX12188" fmla="*/ 10758687 w 12192000"/>
              <a:gd name="csY12188" fmla="*/ 4550025 h 6858000"/>
              <a:gd name="csX12189" fmla="*/ 10724346 w 12192000"/>
              <a:gd name="csY12189" fmla="*/ 4515205 h 6858000"/>
              <a:gd name="csX12190" fmla="*/ 10808088 w 12192000"/>
              <a:gd name="csY12190" fmla="*/ 4515205 h 6858000"/>
              <a:gd name="csX12191" fmla="*/ 10773735 w 12192000"/>
              <a:gd name="csY12191" fmla="*/ 4550025 h 6858000"/>
              <a:gd name="csX12192" fmla="*/ 10808088 w 12192000"/>
              <a:gd name="csY12192" fmla="*/ 4584846 h 6858000"/>
              <a:gd name="csX12193" fmla="*/ 10842428 w 12192000"/>
              <a:gd name="csY12193" fmla="*/ 4550025 h 6858000"/>
              <a:gd name="csX12194" fmla="*/ 10808088 w 12192000"/>
              <a:gd name="csY12194" fmla="*/ 4515205 h 6858000"/>
              <a:gd name="csX12195" fmla="*/ 3522533 w 12192000"/>
              <a:gd name="csY12195" fmla="*/ 4600069 h 6858000"/>
              <a:gd name="csX12196" fmla="*/ 3488187 w 12192000"/>
              <a:gd name="csY12196" fmla="*/ 4634889 h 6858000"/>
              <a:gd name="csX12197" fmla="*/ 3522533 w 12192000"/>
              <a:gd name="csY12197" fmla="*/ 4669709 h 6858000"/>
              <a:gd name="csX12198" fmla="*/ 3556880 w 12192000"/>
              <a:gd name="csY12198" fmla="*/ 4634889 h 6858000"/>
              <a:gd name="csX12199" fmla="*/ 3522533 w 12192000"/>
              <a:gd name="csY12199" fmla="*/ 4600069 h 6858000"/>
              <a:gd name="csX12200" fmla="*/ 3606276 w 12192000"/>
              <a:gd name="csY12200" fmla="*/ 4600069 h 6858000"/>
              <a:gd name="csX12201" fmla="*/ 3571929 w 12192000"/>
              <a:gd name="csY12201" fmla="*/ 4634889 h 6858000"/>
              <a:gd name="csX12202" fmla="*/ 3606276 w 12192000"/>
              <a:gd name="csY12202" fmla="*/ 4669709 h 6858000"/>
              <a:gd name="csX12203" fmla="*/ 3640622 w 12192000"/>
              <a:gd name="csY12203" fmla="*/ 4634889 h 6858000"/>
              <a:gd name="csX12204" fmla="*/ 3606276 w 12192000"/>
              <a:gd name="csY12204" fmla="*/ 4600069 h 6858000"/>
              <a:gd name="csX12205" fmla="*/ 3690017 w 12192000"/>
              <a:gd name="csY12205" fmla="*/ 4600069 h 6858000"/>
              <a:gd name="csX12206" fmla="*/ 3655670 w 12192000"/>
              <a:gd name="csY12206" fmla="*/ 4634889 h 6858000"/>
              <a:gd name="csX12207" fmla="*/ 3690017 w 12192000"/>
              <a:gd name="csY12207" fmla="*/ 4669709 h 6858000"/>
              <a:gd name="csX12208" fmla="*/ 3724364 w 12192000"/>
              <a:gd name="csY12208" fmla="*/ 4634889 h 6858000"/>
              <a:gd name="csX12209" fmla="*/ 3690017 w 12192000"/>
              <a:gd name="csY12209" fmla="*/ 4600069 h 6858000"/>
              <a:gd name="csX12210" fmla="*/ 3773759 w 12192000"/>
              <a:gd name="csY12210" fmla="*/ 4600069 h 6858000"/>
              <a:gd name="csX12211" fmla="*/ 3739412 w 12192000"/>
              <a:gd name="csY12211" fmla="*/ 4634889 h 6858000"/>
              <a:gd name="csX12212" fmla="*/ 3773759 w 12192000"/>
              <a:gd name="csY12212" fmla="*/ 4669709 h 6858000"/>
              <a:gd name="csX12213" fmla="*/ 3808106 w 12192000"/>
              <a:gd name="csY12213" fmla="*/ 4634889 h 6858000"/>
              <a:gd name="csX12214" fmla="*/ 3773759 w 12192000"/>
              <a:gd name="csY12214" fmla="*/ 4600069 h 6858000"/>
              <a:gd name="csX12215" fmla="*/ 3857500 w 12192000"/>
              <a:gd name="csY12215" fmla="*/ 4600069 h 6858000"/>
              <a:gd name="csX12216" fmla="*/ 3823154 w 12192000"/>
              <a:gd name="csY12216" fmla="*/ 4634889 h 6858000"/>
              <a:gd name="csX12217" fmla="*/ 3857500 w 12192000"/>
              <a:gd name="csY12217" fmla="*/ 4669709 h 6858000"/>
              <a:gd name="csX12218" fmla="*/ 3891847 w 12192000"/>
              <a:gd name="csY12218" fmla="*/ 4634889 h 6858000"/>
              <a:gd name="csX12219" fmla="*/ 3857500 w 12192000"/>
              <a:gd name="csY12219" fmla="*/ 4600069 h 6858000"/>
              <a:gd name="csX12220" fmla="*/ 3941242 w 12192000"/>
              <a:gd name="csY12220" fmla="*/ 4600069 h 6858000"/>
              <a:gd name="csX12221" fmla="*/ 3906895 w 12192000"/>
              <a:gd name="csY12221" fmla="*/ 4634889 h 6858000"/>
              <a:gd name="csX12222" fmla="*/ 3941242 w 12192000"/>
              <a:gd name="csY12222" fmla="*/ 4669709 h 6858000"/>
              <a:gd name="csX12223" fmla="*/ 3975588 w 12192000"/>
              <a:gd name="csY12223" fmla="*/ 4634889 h 6858000"/>
              <a:gd name="csX12224" fmla="*/ 3941242 w 12192000"/>
              <a:gd name="csY12224" fmla="*/ 4600069 h 6858000"/>
              <a:gd name="csX12225" fmla="*/ 4024990 w 12192000"/>
              <a:gd name="csY12225" fmla="*/ 4600069 h 6858000"/>
              <a:gd name="csX12226" fmla="*/ 3990643 w 12192000"/>
              <a:gd name="csY12226" fmla="*/ 4634889 h 6858000"/>
              <a:gd name="csX12227" fmla="*/ 4024990 w 12192000"/>
              <a:gd name="csY12227" fmla="*/ 4669709 h 6858000"/>
              <a:gd name="csX12228" fmla="*/ 4059337 w 12192000"/>
              <a:gd name="csY12228" fmla="*/ 4634889 h 6858000"/>
              <a:gd name="csX12229" fmla="*/ 4024990 w 12192000"/>
              <a:gd name="csY12229" fmla="*/ 4600069 h 6858000"/>
              <a:gd name="csX12230" fmla="*/ 4108732 w 12192000"/>
              <a:gd name="csY12230" fmla="*/ 4600069 h 6858000"/>
              <a:gd name="csX12231" fmla="*/ 4074386 w 12192000"/>
              <a:gd name="csY12231" fmla="*/ 4634889 h 6858000"/>
              <a:gd name="csX12232" fmla="*/ 4108732 w 12192000"/>
              <a:gd name="csY12232" fmla="*/ 4669709 h 6858000"/>
              <a:gd name="csX12233" fmla="*/ 4143079 w 12192000"/>
              <a:gd name="csY12233" fmla="*/ 4634889 h 6858000"/>
              <a:gd name="csX12234" fmla="*/ 4108732 w 12192000"/>
              <a:gd name="csY12234" fmla="*/ 4600069 h 6858000"/>
              <a:gd name="csX12235" fmla="*/ 4192473 w 12192000"/>
              <a:gd name="csY12235" fmla="*/ 4600069 h 6858000"/>
              <a:gd name="csX12236" fmla="*/ 4158127 w 12192000"/>
              <a:gd name="csY12236" fmla="*/ 4634889 h 6858000"/>
              <a:gd name="csX12237" fmla="*/ 4192473 w 12192000"/>
              <a:gd name="csY12237" fmla="*/ 4669709 h 6858000"/>
              <a:gd name="csX12238" fmla="*/ 4226820 w 12192000"/>
              <a:gd name="csY12238" fmla="*/ 4634889 h 6858000"/>
              <a:gd name="csX12239" fmla="*/ 4192473 w 12192000"/>
              <a:gd name="csY12239" fmla="*/ 4600069 h 6858000"/>
              <a:gd name="csX12240" fmla="*/ 4276215 w 12192000"/>
              <a:gd name="csY12240" fmla="*/ 4600069 h 6858000"/>
              <a:gd name="csX12241" fmla="*/ 4241868 w 12192000"/>
              <a:gd name="csY12241" fmla="*/ 4634889 h 6858000"/>
              <a:gd name="csX12242" fmla="*/ 4276215 w 12192000"/>
              <a:gd name="csY12242" fmla="*/ 4669709 h 6858000"/>
              <a:gd name="csX12243" fmla="*/ 4310561 w 12192000"/>
              <a:gd name="csY12243" fmla="*/ 4634889 h 6858000"/>
              <a:gd name="csX12244" fmla="*/ 4276215 w 12192000"/>
              <a:gd name="csY12244" fmla="*/ 4600069 h 6858000"/>
              <a:gd name="csX12245" fmla="*/ 4359957 w 12192000"/>
              <a:gd name="csY12245" fmla="*/ 4600069 h 6858000"/>
              <a:gd name="csX12246" fmla="*/ 4325610 w 12192000"/>
              <a:gd name="csY12246" fmla="*/ 4634889 h 6858000"/>
              <a:gd name="csX12247" fmla="*/ 4359957 w 12192000"/>
              <a:gd name="csY12247" fmla="*/ 4669709 h 6858000"/>
              <a:gd name="csX12248" fmla="*/ 4394304 w 12192000"/>
              <a:gd name="csY12248" fmla="*/ 4634889 h 6858000"/>
              <a:gd name="csX12249" fmla="*/ 4359957 w 12192000"/>
              <a:gd name="csY12249" fmla="*/ 4600069 h 6858000"/>
              <a:gd name="csX12250" fmla="*/ 4443698 w 12192000"/>
              <a:gd name="csY12250" fmla="*/ 4600069 h 6858000"/>
              <a:gd name="csX12251" fmla="*/ 4409352 w 12192000"/>
              <a:gd name="csY12251" fmla="*/ 4634889 h 6858000"/>
              <a:gd name="csX12252" fmla="*/ 4443698 w 12192000"/>
              <a:gd name="csY12252" fmla="*/ 4669709 h 6858000"/>
              <a:gd name="csX12253" fmla="*/ 4478045 w 12192000"/>
              <a:gd name="csY12253" fmla="*/ 4634889 h 6858000"/>
              <a:gd name="csX12254" fmla="*/ 4443698 w 12192000"/>
              <a:gd name="csY12254" fmla="*/ 4600069 h 6858000"/>
              <a:gd name="csX12255" fmla="*/ 4527439 w 12192000"/>
              <a:gd name="csY12255" fmla="*/ 4600069 h 6858000"/>
              <a:gd name="csX12256" fmla="*/ 4493093 w 12192000"/>
              <a:gd name="csY12256" fmla="*/ 4634889 h 6858000"/>
              <a:gd name="csX12257" fmla="*/ 4527439 w 12192000"/>
              <a:gd name="csY12257" fmla="*/ 4669709 h 6858000"/>
              <a:gd name="csX12258" fmla="*/ 4561786 w 12192000"/>
              <a:gd name="csY12258" fmla="*/ 4634889 h 6858000"/>
              <a:gd name="csX12259" fmla="*/ 4527439 w 12192000"/>
              <a:gd name="csY12259" fmla="*/ 4600069 h 6858000"/>
              <a:gd name="csX12260" fmla="*/ 4611182 w 12192000"/>
              <a:gd name="csY12260" fmla="*/ 4600069 h 6858000"/>
              <a:gd name="csX12261" fmla="*/ 4576835 w 12192000"/>
              <a:gd name="csY12261" fmla="*/ 4634889 h 6858000"/>
              <a:gd name="csX12262" fmla="*/ 4611182 w 12192000"/>
              <a:gd name="csY12262" fmla="*/ 4669709 h 6858000"/>
              <a:gd name="csX12263" fmla="*/ 4645528 w 12192000"/>
              <a:gd name="csY12263" fmla="*/ 4634889 h 6858000"/>
              <a:gd name="csX12264" fmla="*/ 4611182 w 12192000"/>
              <a:gd name="csY12264" fmla="*/ 4600069 h 6858000"/>
              <a:gd name="csX12265" fmla="*/ 4694923 w 12192000"/>
              <a:gd name="csY12265" fmla="*/ 4600069 h 6858000"/>
              <a:gd name="csX12266" fmla="*/ 4660576 w 12192000"/>
              <a:gd name="csY12266" fmla="*/ 4634889 h 6858000"/>
              <a:gd name="csX12267" fmla="*/ 4694923 w 12192000"/>
              <a:gd name="csY12267" fmla="*/ 4669709 h 6858000"/>
              <a:gd name="csX12268" fmla="*/ 4729270 w 12192000"/>
              <a:gd name="csY12268" fmla="*/ 4634889 h 6858000"/>
              <a:gd name="csX12269" fmla="*/ 4694923 w 12192000"/>
              <a:gd name="csY12269" fmla="*/ 4600069 h 6858000"/>
              <a:gd name="csX12270" fmla="*/ 6286014 w 12192000"/>
              <a:gd name="csY12270" fmla="*/ 4600069 h 6858000"/>
              <a:gd name="csX12271" fmla="*/ 6251661 w 12192000"/>
              <a:gd name="csY12271" fmla="*/ 4634889 h 6858000"/>
              <a:gd name="csX12272" fmla="*/ 6286014 w 12192000"/>
              <a:gd name="csY12272" fmla="*/ 4669709 h 6858000"/>
              <a:gd name="csX12273" fmla="*/ 6320354 w 12192000"/>
              <a:gd name="csY12273" fmla="*/ 4634889 h 6858000"/>
              <a:gd name="csX12274" fmla="*/ 6286014 w 12192000"/>
              <a:gd name="csY12274" fmla="*/ 4600069 h 6858000"/>
              <a:gd name="csX12275" fmla="*/ 6369755 w 12192000"/>
              <a:gd name="csY12275" fmla="*/ 4600069 h 6858000"/>
              <a:gd name="csX12276" fmla="*/ 6335402 w 12192000"/>
              <a:gd name="csY12276" fmla="*/ 4634889 h 6858000"/>
              <a:gd name="csX12277" fmla="*/ 6369755 w 12192000"/>
              <a:gd name="csY12277" fmla="*/ 4669709 h 6858000"/>
              <a:gd name="csX12278" fmla="*/ 6404096 w 12192000"/>
              <a:gd name="csY12278" fmla="*/ 4634889 h 6858000"/>
              <a:gd name="csX12279" fmla="*/ 6369755 w 12192000"/>
              <a:gd name="csY12279" fmla="*/ 4600069 h 6858000"/>
              <a:gd name="csX12280" fmla="*/ 6453498 w 12192000"/>
              <a:gd name="csY12280" fmla="*/ 4600069 h 6858000"/>
              <a:gd name="csX12281" fmla="*/ 6419144 w 12192000"/>
              <a:gd name="csY12281" fmla="*/ 4634889 h 6858000"/>
              <a:gd name="csX12282" fmla="*/ 6453498 w 12192000"/>
              <a:gd name="csY12282" fmla="*/ 4669709 h 6858000"/>
              <a:gd name="csX12283" fmla="*/ 6487838 w 12192000"/>
              <a:gd name="csY12283" fmla="*/ 4634889 h 6858000"/>
              <a:gd name="csX12284" fmla="*/ 6453498 w 12192000"/>
              <a:gd name="csY12284" fmla="*/ 4600069 h 6858000"/>
              <a:gd name="csX12285" fmla="*/ 6537239 w 12192000"/>
              <a:gd name="csY12285" fmla="*/ 4600069 h 6858000"/>
              <a:gd name="csX12286" fmla="*/ 6502886 w 12192000"/>
              <a:gd name="csY12286" fmla="*/ 4634889 h 6858000"/>
              <a:gd name="csX12287" fmla="*/ 6537239 w 12192000"/>
              <a:gd name="csY12287" fmla="*/ 4669709 h 6858000"/>
              <a:gd name="csX12288" fmla="*/ 6571579 w 12192000"/>
              <a:gd name="csY12288" fmla="*/ 4634889 h 6858000"/>
              <a:gd name="csX12289" fmla="*/ 6537239 w 12192000"/>
              <a:gd name="csY12289" fmla="*/ 4600069 h 6858000"/>
              <a:gd name="csX12290" fmla="*/ 6620980 w 12192000"/>
              <a:gd name="csY12290" fmla="*/ 4600069 h 6858000"/>
              <a:gd name="csX12291" fmla="*/ 6586627 w 12192000"/>
              <a:gd name="csY12291" fmla="*/ 4634889 h 6858000"/>
              <a:gd name="csX12292" fmla="*/ 6620980 w 12192000"/>
              <a:gd name="csY12292" fmla="*/ 4669709 h 6858000"/>
              <a:gd name="csX12293" fmla="*/ 6655320 w 12192000"/>
              <a:gd name="csY12293" fmla="*/ 4634889 h 6858000"/>
              <a:gd name="csX12294" fmla="*/ 6620980 w 12192000"/>
              <a:gd name="csY12294" fmla="*/ 4600069 h 6858000"/>
              <a:gd name="csX12295" fmla="*/ 6704722 w 12192000"/>
              <a:gd name="csY12295" fmla="*/ 4600069 h 6858000"/>
              <a:gd name="csX12296" fmla="*/ 6670369 w 12192000"/>
              <a:gd name="csY12296" fmla="*/ 4634889 h 6858000"/>
              <a:gd name="csX12297" fmla="*/ 6704722 w 12192000"/>
              <a:gd name="csY12297" fmla="*/ 4669709 h 6858000"/>
              <a:gd name="csX12298" fmla="*/ 6739063 w 12192000"/>
              <a:gd name="csY12298" fmla="*/ 4634889 h 6858000"/>
              <a:gd name="csX12299" fmla="*/ 6704722 w 12192000"/>
              <a:gd name="csY12299" fmla="*/ 4600069 h 6858000"/>
              <a:gd name="csX12300" fmla="*/ 6788464 w 12192000"/>
              <a:gd name="csY12300" fmla="*/ 4600069 h 6858000"/>
              <a:gd name="csX12301" fmla="*/ 6754110 w 12192000"/>
              <a:gd name="csY12301" fmla="*/ 4634889 h 6858000"/>
              <a:gd name="csX12302" fmla="*/ 6788464 w 12192000"/>
              <a:gd name="csY12302" fmla="*/ 4669709 h 6858000"/>
              <a:gd name="csX12303" fmla="*/ 6822804 w 12192000"/>
              <a:gd name="csY12303" fmla="*/ 4634889 h 6858000"/>
              <a:gd name="csX12304" fmla="*/ 6788464 w 12192000"/>
              <a:gd name="csY12304" fmla="*/ 4600069 h 6858000"/>
              <a:gd name="csX12305" fmla="*/ 6872206 w 12192000"/>
              <a:gd name="csY12305" fmla="*/ 4600069 h 6858000"/>
              <a:gd name="csX12306" fmla="*/ 6837853 w 12192000"/>
              <a:gd name="csY12306" fmla="*/ 4634889 h 6858000"/>
              <a:gd name="csX12307" fmla="*/ 6872206 w 12192000"/>
              <a:gd name="csY12307" fmla="*/ 4669709 h 6858000"/>
              <a:gd name="csX12308" fmla="*/ 6906546 w 12192000"/>
              <a:gd name="csY12308" fmla="*/ 4634889 h 6858000"/>
              <a:gd name="csX12309" fmla="*/ 6872206 w 12192000"/>
              <a:gd name="csY12309" fmla="*/ 4600069 h 6858000"/>
              <a:gd name="csX12310" fmla="*/ 6955947 w 12192000"/>
              <a:gd name="csY12310" fmla="*/ 4600069 h 6858000"/>
              <a:gd name="csX12311" fmla="*/ 6921594 w 12192000"/>
              <a:gd name="csY12311" fmla="*/ 4634889 h 6858000"/>
              <a:gd name="csX12312" fmla="*/ 6955947 w 12192000"/>
              <a:gd name="csY12312" fmla="*/ 4669709 h 6858000"/>
              <a:gd name="csX12313" fmla="*/ 6990287 w 12192000"/>
              <a:gd name="csY12313" fmla="*/ 4634889 h 6858000"/>
              <a:gd name="csX12314" fmla="*/ 6955947 w 12192000"/>
              <a:gd name="csY12314" fmla="*/ 4600069 h 6858000"/>
              <a:gd name="csX12315" fmla="*/ 7039688 w 12192000"/>
              <a:gd name="csY12315" fmla="*/ 4600069 h 6858000"/>
              <a:gd name="csX12316" fmla="*/ 7005335 w 12192000"/>
              <a:gd name="csY12316" fmla="*/ 4634889 h 6858000"/>
              <a:gd name="csX12317" fmla="*/ 7039688 w 12192000"/>
              <a:gd name="csY12317" fmla="*/ 4669709 h 6858000"/>
              <a:gd name="csX12318" fmla="*/ 7074029 w 12192000"/>
              <a:gd name="csY12318" fmla="*/ 4634889 h 6858000"/>
              <a:gd name="csX12319" fmla="*/ 7039688 w 12192000"/>
              <a:gd name="csY12319" fmla="*/ 4600069 h 6858000"/>
              <a:gd name="csX12320" fmla="*/ 9551963 w 12192000"/>
              <a:gd name="csY12320" fmla="*/ 4600069 h 6858000"/>
              <a:gd name="csX12321" fmla="*/ 9517610 w 12192000"/>
              <a:gd name="csY12321" fmla="*/ 4634889 h 6858000"/>
              <a:gd name="csX12322" fmla="*/ 9551963 w 12192000"/>
              <a:gd name="csY12322" fmla="*/ 4669709 h 6858000"/>
              <a:gd name="csX12323" fmla="*/ 9586303 w 12192000"/>
              <a:gd name="csY12323" fmla="*/ 4634889 h 6858000"/>
              <a:gd name="csX12324" fmla="*/ 9551963 w 12192000"/>
              <a:gd name="csY12324" fmla="*/ 4600069 h 6858000"/>
              <a:gd name="csX12325" fmla="*/ 9635705 w 12192000"/>
              <a:gd name="csY12325" fmla="*/ 4600069 h 6858000"/>
              <a:gd name="csX12326" fmla="*/ 9601352 w 12192000"/>
              <a:gd name="csY12326" fmla="*/ 4634889 h 6858000"/>
              <a:gd name="csX12327" fmla="*/ 9635705 w 12192000"/>
              <a:gd name="csY12327" fmla="*/ 4669709 h 6858000"/>
              <a:gd name="csX12328" fmla="*/ 9670045 w 12192000"/>
              <a:gd name="csY12328" fmla="*/ 4634889 h 6858000"/>
              <a:gd name="csX12329" fmla="*/ 9635705 w 12192000"/>
              <a:gd name="csY12329" fmla="*/ 4600069 h 6858000"/>
              <a:gd name="csX12330" fmla="*/ 9719446 w 12192000"/>
              <a:gd name="csY12330" fmla="*/ 4600069 h 6858000"/>
              <a:gd name="csX12331" fmla="*/ 9685093 w 12192000"/>
              <a:gd name="csY12331" fmla="*/ 4634889 h 6858000"/>
              <a:gd name="csX12332" fmla="*/ 9719446 w 12192000"/>
              <a:gd name="csY12332" fmla="*/ 4669709 h 6858000"/>
              <a:gd name="csX12333" fmla="*/ 9753787 w 12192000"/>
              <a:gd name="csY12333" fmla="*/ 4634889 h 6858000"/>
              <a:gd name="csX12334" fmla="*/ 9719446 w 12192000"/>
              <a:gd name="csY12334" fmla="*/ 4600069 h 6858000"/>
              <a:gd name="csX12335" fmla="*/ 10473122 w 12192000"/>
              <a:gd name="csY12335" fmla="*/ 4600069 h 6858000"/>
              <a:gd name="csX12336" fmla="*/ 10438769 w 12192000"/>
              <a:gd name="csY12336" fmla="*/ 4634889 h 6858000"/>
              <a:gd name="csX12337" fmla="*/ 10473122 w 12192000"/>
              <a:gd name="csY12337" fmla="*/ 4669709 h 6858000"/>
              <a:gd name="csX12338" fmla="*/ 10507462 w 12192000"/>
              <a:gd name="csY12338" fmla="*/ 4634889 h 6858000"/>
              <a:gd name="csX12339" fmla="*/ 10473122 w 12192000"/>
              <a:gd name="csY12339" fmla="*/ 4600069 h 6858000"/>
              <a:gd name="csX12340" fmla="*/ 10891829 w 12192000"/>
              <a:gd name="csY12340" fmla="*/ 4600069 h 6858000"/>
              <a:gd name="csX12341" fmla="*/ 10857476 w 12192000"/>
              <a:gd name="csY12341" fmla="*/ 4634889 h 6858000"/>
              <a:gd name="csX12342" fmla="*/ 10891829 w 12192000"/>
              <a:gd name="csY12342" fmla="*/ 4669709 h 6858000"/>
              <a:gd name="csX12343" fmla="*/ 10926169 w 12192000"/>
              <a:gd name="csY12343" fmla="*/ 4634889 h 6858000"/>
              <a:gd name="csX12344" fmla="*/ 10891829 w 12192000"/>
              <a:gd name="csY12344" fmla="*/ 4600069 h 6858000"/>
              <a:gd name="csX12345" fmla="*/ 3522533 w 12192000"/>
              <a:gd name="csY12345" fmla="*/ 4684933 h 6858000"/>
              <a:gd name="csX12346" fmla="*/ 3488187 w 12192000"/>
              <a:gd name="csY12346" fmla="*/ 4719754 h 6858000"/>
              <a:gd name="csX12347" fmla="*/ 3522533 w 12192000"/>
              <a:gd name="csY12347" fmla="*/ 4754574 h 6858000"/>
              <a:gd name="csX12348" fmla="*/ 3556880 w 12192000"/>
              <a:gd name="csY12348" fmla="*/ 4719754 h 6858000"/>
              <a:gd name="csX12349" fmla="*/ 3522533 w 12192000"/>
              <a:gd name="csY12349" fmla="*/ 4684933 h 6858000"/>
              <a:gd name="csX12350" fmla="*/ 3606276 w 12192000"/>
              <a:gd name="csY12350" fmla="*/ 4684933 h 6858000"/>
              <a:gd name="csX12351" fmla="*/ 3571929 w 12192000"/>
              <a:gd name="csY12351" fmla="*/ 4719754 h 6858000"/>
              <a:gd name="csX12352" fmla="*/ 3606276 w 12192000"/>
              <a:gd name="csY12352" fmla="*/ 4754574 h 6858000"/>
              <a:gd name="csX12353" fmla="*/ 3640622 w 12192000"/>
              <a:gd name="csY12353" fmla="*/ 4719754 h 6858000"/>
              <a:gd name="csX12354" fmla="*/ 3606276 w 12192000"/>
              <a:gd name="csY12354" fmla="*/ 4684933 h 6858000"/>
              <a:gd name="csX12355" fmla="*/ 3690017 w 12192000"/>
              <a:gd name="csY12355" fmla="*/ 4684933 h 6858000"/>
              <a:gd name="csX12356" fmla="*/ 3655670 w 12192000"/>
              <a:gd name="csY12356" fmla="*/ 4719754 h 6858000"/>
              <a:gd name="csX12357" fmla="*/ 3690017 w 12192000"/>
              <a:gd name="csY12357" fmla="*/ 4754574 h 6858000"/>
              <a:gd name="csX12358" fmla="*/ 3724364 w 12192000"/>
              <a:gd name="csY12358" fmla="*/ 4719754 h 6858000"/>
              <a:gd name="csX12359" fmla="*/ 3690017 w 12192000"/>
              <a:gd name="csY12359" fmla="*/ 4684933 h 6858000"/>
              <a:gd name="csX12360" fmla="*/ 3773759 w 12192000"/>
              <a:gd name="csY12360" fmla="*/ 4684933 h 6858000"/>
              <a:gd name="csX12361" fmla="*/ 3739412 w 12192000"/>
              <a:gd name="csY12361" fmla="*/ 4719754 h 6858000"/>
              <a:gd name="csX12362" fmla="*/ 3773759 w 12192000"/>
              <a:gd name="csY12362" fmla="*/ 4754574 h 6858000"/>
              <a:gd name="csX12363" fmla="*/ 3808106 w 12192000"/>
              <a:gd name="csY12363" fmla="*/ 4719754 h 6858000"/>
              <a:gd name="csX12364" fmla="*/ 3773759 w 12192000"/>
              <a:gd name="csY12364" fmla="*/ 4684933 h 6858000"/>
              <a:gd name="csX12365" fmla="*/ 3857500 w 12192000"/>
              <a:gd name="csY12365" fmla="*/ 4684933 h 6858000"/>
              <a:gd name="csX12366" fmla="*/ 3823154 w 12192000"/>
              <a:gd name="csY12366" fmla="*/ 4719754 h 6858000"/>
              <a:gd name="csX12367" fmla="*/ 3857500 w 12192000"/>
              <a:gd name="csY12367" fmla="*/ 4754574 h 6858000"/>
              <a:gd name="csX12368" fmla="*/ 3891847 w 12192000"/>
              <a:gd name="csY12368" fmla="*/ 4719754 h 6858000"/>
              <a:gd name="csX12369" fmla="*/ 3857500 w 12192000"/>
              <a:gd name="csY12369" fmla="*/ 4684933 h 6858000"/>
              <a:gd name="csX12370" fmla="*/ 3941242 w 12192000"/>
              <a:gd name="csY12370" fmla="*/ 4684933 h 6858000"/>
              <a:gd name="csX12371" fmla="*/ 3906895 w 12192000"/>
              <a:gd name="csY12371" fmla="*/ 4719754 h 6858000"/>
              <a:gd name="csX12372" fmla="*/ 3941242 w 12192000"/>
              <a:gd name="csY12372" fmla="*/ 4754574 h 6858000"/>
              <a:gd name="csX12373" fmla="*/ 3975588 w 12192000"/>
              <a:gd name="csY12373" fmla="*/ 4719754 h 6858000"/>
              <a:gd name="csX12374" fmla="*/ 3941242 w 12192000"/>
              <a:gd name="csY12374" fmla="*/ 4684933 h 6858000"/>
              <a:gd name="csX12375" fmla="*/ 4024990 w 12192000"/>
              <a:gd name="csY12375" fmla="*/ 4684933 h 6858000"/>
              <a:gd name="csX12376" fmla="*/ 3990643 w 12192000"/>
              <a:gd name="csY12376" fmla="*/ 4719754 h 6858000"/>
              <a:gd name="csX12377" fmla="*/ 4024990 w 12192000"/>
              <a:gd name="csY12377" fmla="*/ 4754574 h 6858000"/>
              <a:gd name="csX12378" fmla="*/ 4059337 w 12192000"/>
              <a:gd name="csY12378" fmla="*/ 4719754 h 6858000"/>
              <a:gd name="csX12379" fmla="*/ 4024990 w 12192000"/>
              <a:gd name="csY12379" fmla="*/ 4684933 h 6858000"/>
              <a:gd name="csX12380" fmla="*/ 4108732 w 12192000"/>
              <a:gd name="csY12380" fmla="*/ 4684933 h 6858000"/>
              <a:gd name="csX12381" fmla="*/ 4074386 w 12192000"/>
              <a:gd name="csY12381" fmla="*/ 4719754 h 6858000"/>
              <a:gd name="csX12382" fmla="*/ 4108732 w 12192000"/>
              <a:gd name="csY12382" fmla="*/ 4754574 h 6858000"/>
              <a:gd name="csX12383" fmla="*/ 4143079 w 12192000"/>
              <a:gd name="csY12383" fmla="*/ 4719754 h 6858000"/>
              <a:gd name="csX12384" fmla="*/ 4108732 w 12192000"/>
              <a:gd name="csY12384" fmla="*/ 4684933 h 6858000"/>
              <a:gd name="csX12385" fmla="*/ 4192473 w 12192000"/>
              <a:gd name="csY12385" fmla="*/ 4684933 h 6858000"/>
              <a:gd name="csX12386" fmla="*/ 4158127 w 12192000"/>
              <a:gd name="csY12386" fmla="*/ 4719754 h 6858000"/>
              <a:gd name="csX12387" fmla="*/ 4192473 w 12192000"/>
              <a:gd name="csY12387" fmla="*/ 4754574 h 6858000"/>
              <a:gd name="csX12388" fmla="*/ 4226820 w 12192000"/>
              <a:gd name="csY12388" fmla="*/ 4719754 h 6858000"/>
              <a:gd name="csX12389" fmla="*/ 4192473 w 12192000"/>
              <a:gd name="csY12389" fmla="*/ 4684933 h 6858000"/>
              <a:gd name="csX12390" fmla="*/ 4276215 w 12192000"/>
              <a:gd name="csY12390" fmla="*/ 4684933 h 6858000"/>
              <a:gd name="csX12391" fmla="*/ 4241868 w 12192000"/>
              <a:gd name="csY12391" fmla="*/ 4719754 h 6858000"/>
              <a:gd name="csX12392" fmla="*/ 4276215 w 12192000"/>
              <a:gd name="csY12392" fmla="*/ 4754574 h 6858000"/>
              <a:gd name="csX12393" fmla="*/ 4310561 w 12192000"/>
              <a:gd name="csY12393" fmla="*/ 4719754 h 6858000"/>
              <a:gd name="csX12394" fmla="*/ 4276215 w 12192000"/>
              <a:gd name="csY12394" fmla="*/ 4684933 h 6858000"/>
              <a:gd name="csX12395" fmla="*/ 4359957 w 12192000"/>
              <a:gd name="csY12395" fmla="*/ 4684933 h 6858000"/>
              <a:gd name="csX12396" fmla="*/ 4325610 w 12192000"/>
              <a:gd name="csY12396" fmla="*/ 4719754 h 6858000"/>
              <a:gd name="csX12397" fmla="*/ 4359957 w 12192000"/>
              <a:gd name="csY12397" fmla="*/ 4754574 h 6858000"/>
              <a:gd name="csX12398" fmla="*/ 4394304 w 12192000"/>
              <a:gd name="csY12398" fmla="*/ 4719754 h 6858000"/>
              <a:gd name="csX12399" fmla="*/ 4359957 w 12192000"/>
              <a:gd name="csY12399" fmla="*/ 4684933 h 6858000"/>
              <a:gd name="csX12400" fmla="*/ 4443698 w 12192000"/>
              <a:gd name="csY12400" fmla="*/ 4684933 h 6858000"/>
              <a:gd name="csX12401" fmla="*/ 4409352 w 12192000"/>
              <a:gd name="csY12401" fmla="*/ 4719754 h 6858000"/>
              <a:gd name="csX12402" fmla="*/ 4443698 w 12192000"/>
              <a:gd name="csY12402" fmla="*/ 4754574 h 6858000"/>
              <a:gd name="csX12403" fmla="*/ 4478045 w 12192000"/>
              <a:gd name="csY12403" fmla="*/ 4719754 h 6858000"/>
              <a:gd name="csX12404" fmla="*/ 4443698 w 12192000"/>
              <a:gd name="csY12404" fmla="*/ 4684933 h 6858000"/>
              <a:gd name="csX12405" fmla="*/ 4527439 w 12192000"/>
              <a:gd name="csY12405" fmla="*/ 4684933 h 6858000"/>
              <a:gd name="csX12406" fmla="*/ 4493093 w 12192000"/>
              <a:gd name="csY12406" fmla="*/ 4719754 h 6858000"/>
              <a:gd name="csX12407" fmla="*/ 4527439 w 12192000"/>
              <a:gd name="csY12407" fmla="*/ 4754574 h 6858000"/>
              <a:gd name="csX12408" fmla="*/ 4561786 w 12192000"/>
              <a:gd name="csY12408" fmla="*/ 4719754 h 6858000"/>
              <a:gd name="csX12409" fmla="*/ 4527439 w 12192000"/>
              <a:gd name="csY12409" fmla="*/ 4684933 h 6858000"/>
              <a:gd name="csX12410" fmla="*/ 4611182 w 12192000"/>
              <a:gd name="csY12410" fmla="*/ 4684933 h 6858000"/>
              <a:gd name="csX12411" fmla="*/ 4576835 w 12192000"/>
              <a:gd name="csY12411" fmla="*/ 4719754 h 6858000"/>
              <a:gd name="csX12412" fmla="*/ 4611182 w 12192000"/>
              <a:gd name="csY12412" fmla="*/ 4754574 h 6858000"/>
              <a:gd name="csX12413" fmla="*/ 4645528 w 12192000"/>
              <a:gd name="csY12413" fmla="*/ 4719754 h 6858000"/>
              <a:gd name="csX12414" fmla="*/ 4611182 w 12192000"/>
              <a:gd name="csY12414" fmla="*/ 4684933 h 6858000"/>
              <a:gd name="csX12415" fmla="*/ 6369755 w 12192000"/>
              <a:gd name="csY12415" fmla="*/ 4684933 h 6858000"/>
              <a:gd name="csX12416" fmla="*/ 6335402 w 12192000"/>
              <a:gd name="csY12416" fmla="*/ 4719754 h 6858000"/>
              <a:gd name="csX12417" fmla="*/ 6369755 w 12192000"/>
              <a:gd name="csY12417" fmla="*/ 4754574 h 6858000"/>
              <a:gd name="csX12418" fmla="*/ 6404096 w 12192000"/>
              <a:gd name="csY12418" fmla="*/ 4719754 h 6858000"/>
              <a:gd name="csX12419" fmla="*/ 6369755 w 12192000"/>
              <a:gd name="csY12419" fmla="*/ 4684933 h 6858000"/>
              <a:gd name="csX12420" fmla="*/ 6453498 w 12192000"/>
              <a:gd name="csY12420" fmla="*/ 4684933 h 6858000"/>
              <a:gd name="csX12421" fmla="*/ 6419144 w 12192000"/>
              <a:gd name="csY12421" fmla="*/ 4719754 h 6858000"/>
              <a:gd name="csX12422" fmla="*/ 6453498 w 12192000"/>
              <a:gd name="csY12422" fmla="*/ 4754574 h 6858000"/>
              <a:gd name="csX12423" fmla="*/ 6487838 w 12192000"/>
              <a:gd name="csY12423" fmla="*/ 4719754 h 6858000"/>
              <a:gd name="csX12424" fmla="*/ 6453498 w 12192000"/>
              <a:gd name="csY12424" fmla="*/ 4684933 h 6858000"/>
              <a:gd name="csX12425" fmla="*/ 6537239 w 12192000"/>
              <a:gd name="csY12425" fmla="*/ 4684933 h 6858000"/>
              <a:gd name="csX12426" fmla="*/ 6502886 w 12192000"/>
              <a:gd name="csY12426" fmla="*/ 4719754 h 6858000"/>
              <a:gd name="csX12427" fmla="*/ 6537239 w 12192000"/>
              <a:gd name="csY12427" fmla="*/ 4754574 h 6858000"/>
              <a:gd name="csX12428" fmla="*/ 6571579 w 12192000"/>
              <a:gd name="csY12428" fmla="*/ 4719754 h 6858000"/>
              <a:gd name="csX12429" fmla="*/ 6537239 w 12192000"/>
              <a:gd name="csY12429" fmla="*/ 4684933 h 6858000"/>
              <a:gd name="csX12430" fmla="*/ 6620980 w 12192000"/>
              <a:gd name="csY12430" fmla="*/ 4684933 h 6858000"/>
              <a:gd name="csX12431" fmla="*/ 6586627 w 12192000"/>
              <a:gd name="csY12431" fmla="*/ 4719754 h 6858000"/>
              <a:gd name="csX12432" fmla="*/ 6620980 w 12192000"/>
              <a:gd name="csY12432" fmla="*/ 4754574 h 6858000"/>
              <a:gd name="csX12433" fmla="*/ 6655320 w 12192000"/>
              <a:gd name="csY12433" fmla="*/ 4719754 h 6858000"/>
              <a:gd name="csX12434" fmla="*/ 6620980 w 12192000"/>
              <a:gd name="csY12434" fmla="*/ 4684933 h 6858000"/>
              <a:gd name="csX12435" fmla="*/ 6704722 w 12192000"/>
              <a:gd name="csY12435" fmla="*/ 4684933 h 6858000"/>
              <a:gd name="csX12436" fmla="*/ 6670369 w 12192000"/>
              <a:gd name="csY12436" fmla="*/ 4719754 h 6858000"/>
              <a:gd name="csX12437" fmla="*/ 6704722 w 12192000"/>
              <a:gd name="csY12437" fmla="*/ 4754574 h 6858000"/>
              <a:gd name="csX12438" fmla="*/ 6739063 w 12192000"/>
              <a:gd name="csY12438" fmla="*/ 4719754 h 6858000"/>
              <a:gd name="csX12439" fmla="*/ 6704722 w 12192000"/>
              <a:gd name="csY12439" fmla="*/ 4684933 h 6858000"/>
              <a:gd name="csX12440" fmla="*/ 6788464 w 12192000"/>
              <a:gd name="csY12440" fmla="*/ 4684933 h 6858000"/>
              <a:gd name="csX12441" fmla="*/ 6754110 w 12192000"/>
              <a:gd name="csY12441" fmla="*/ 4719754 h 6858000"/>
              <a:gd name="csX12442" fmla="*/ 6788464 w 12192000"/>
              <a:gd name="csY12442" fmla="*/ 4754574 h 6858000"/>
              <a:gd name="csX12443" fmla="*/ 6822804 w 12192000"/>
              <a:gd name="csY12443" fmla="*/ 4719754 h 6858000"/>
              <a:gd name="csX12444" fmla="*/ 6788464 w 12192000"/>
              <a:gd name="csY12444" fmla="*/ 4684933 h 6858000"/>
              <a:gd name="csX12445" fmla="*/ 6872206 w 12192000"/>
              <a:gd name="csY12445" fmla="*/ 4684933 h 6858000"/>
              <a:gd name="csX12446" fmla="*/ 6837853 w 12192000"/>
              <a:gd name="csY12446" fmla="*/ 4719754 h 6858000"/>
              <a:gd name="csX12447" fmla="*/ 6872206 w 12192000"/>
              <a:gd name="csY12447" fmla="*/ 4754574 h 6858000"/>
              <a:gd name="csX12448" fmla="*/ 6906546 w 12192000"/>
              <a:gd name="csY12448" fmla="*/ 4719754 h 6858000"/>
              <a:gd name="csX12449" fmla="*/ 6872206 w 12192000"/>
              <a:gd name="csY12449" fmla="*/ 4684933 h 6858000"/>
              <a:gd name="csX12450" fmla="*/ 7039688 w 12192000"/>
              <a:gd name="csY12450" fmla="*/ 4684933 h 6858000"/>
              <a:gd name="csX12451" fmla="*/ 7005335 w 12192000"/>
              <a:gd name="csY12451" fmla="*/ 4719754 h 6858000"/>
              <a:gd name="csX12452" fmla="*/ 7039688 w 12192000"/>
              <a:gd name="csY12452" fmla="*/ 4754574 h 6858000"/>
              <a:gd name="csX12453" fmla="*/ 7074029 w 12192000"/>
              <a:gd name="csY12453" fmla="*/ 4719754 h 6858000"/>
              <a:gd name="csX12454" fmla="*/ 7039688 w 12192000"/>
              <a:gd name="csY12454" fmla="*/ 4684933 h 6858000"/>
              <a:gd name="csX12455" fmla="*/ 9970671 w 12192000"/>
              <a:gd name="csY12455" fmla="*/ 4684933 h 6858000"/>
              <a:gd name="csX12456" fmla="*/ 9936318 w 12192000"/>
              <a:gd name="csY12456" fmla="*/ 4719754 h 6858000"/>
              <a:gd name="csX12457" fmla="*/ 9970671 w 12192000"/>
              <a:gd name="csY12457" fmla="*/ 4754574 h 6858000"/>
              <a:gd name="csX12458" fmla="*/ 10005011 w 12192000"/>
              <a:gd name="csY12458" fmla="*/ 4719754 h 6858000"/>
              <a:gd name="csX12459" fmla="*/ 9970671 w 12192000"/>
              <a:gd name="csY12459" fmla="*/ 4684933 h 6858000"/>
              <a:gd name="csX12460" fmla="*/ 10054413 w 12192000"/>
              <a:gd name="csY12460" fmla="*/ 4684933 h 6858000"/>
              <a:gd name="csX12461" fmla="*/ 10020060 w 12192000"/>
              <a:gd name="csY12461" fmla="*/ 4719754 h 6858000"/>
              <a:gd name="csX12462" fmla="*/ 10054413 w 12192000"/>
              <a:gd name="csY12462" fmla="*/ 4754574 h 6858000"/>
              <a:gd name="csX12463" fmla="*/ 10088754 w 12192000"/>
              <a:gd name="csY12463" fmla="*/ 4719754 h 6858000"/>
              <a:gd name="csX12464" fmla="*/ 10054413 w 12192000"/>
              <a:gd name="csY12464" fmla="*/ 4684933 h 6858000"/>
              <a:gd name="csX12465" fmla="*/ 10305638 w 12192000"/>
              <a:gd name="csY12465" fmla="*/ 4684933 h 6858000"/>
              <a:gd name="csX12466" fmla="*/ 10271285 w 12192000"/>
              <a:gd name="csY12466" fmla="*/ 4719754 h 6858000"/>
              <a:gd name="csX12467" fmla="*/ 10305638 w 12192000"/>
              <a:gd name="csY12467" fmla="*/ 4754574 h 6858000"/>
              <a:gd name="csX12468" fmla="*/ 10339978 w 12192000"/>
              <a:gd name="csY12468" fmla="*/ 4719754 h 6858000"/>
              <a:gd name="csX12469" fmla="*/ 10305638 w 12192000"/>
              <a:gd name="csY12469" fmla="*/ 4684933 h 6858000"/>
              <a:gd name="csX12470" fmla="*/ 3606276 w 12192000"/>
              <a:gd name="csY12470" fmla="*/ 4769797 h 6858000"/>
              <a:gd name="csX12471" fmla="*/ 3571929 w 12192000"/>
              <a:gd name="csY12471" fmla="*/ 4804618 h 6858000"/>
              <a:gd name="csX12472" fmla="*/ 3606276 w 12192000"/>
              <a:gd name="csY12472" fmla="*/ 4839438 h 6858000"/>
              <a:gd name="csX12473" fmla="*/ 3640622 w 12192000"/>
              <a:gd name="csY12473" fmla="*/ 4804618 h 6858000"/>
              <a:gd name="csX12474" fmla="*/ 3606276 w 12192000"/>
              <a:gd name="csY12474" fmla="*/ 4769797 h 6858000"/>
              <a:gd name="csX12475" fmla="*/ 3690017 w 12192000"/>
              <a:gd name="csY12475" fmla="*/ 4769797 h 6858000"/>
              <a:gd name="csX12476" fmla="*/ 3655670 w 12192000"/>
              <a:gd name="csY12476" fmla="*/ 4804618 h 6858000"/>
              <a:gd name="csX12477" fmla="*/ 3690017 w 12192000"/>
              <a:gd name="csY12477" fmla="*/ 4839438 h 6858000"/>
              <a:gd name="csX12478" fmla="*/ 3724364 w 12192000"/>
              <a:gd name="csY12478" fmla="*/ 4804618 h 6858000"/>
              <a:gd name="csX12479" fmla="*/ 3690017 w 12192000"/>
              <a:gd name="csY12479" fmla="*/ 4769797 h 6858000"/>
              <a:gd name="csX12480" fmla="*/ 3773759 w 12192000"/>
              <a:gd name="csY12480" fmla="*/ 4769797 h 6858000"/>
              <a:gd name="csX12481" fmla="*/ 3739412 w 12192000"/>
              <a:gd name="csY12481" fmla="*/ 4804618 h 6858000"/>
              <a:gd name="csX12482" fmla="*/ 3773759 w 12192000"/>
              <a:gd name="csY12482" fmla="*/ 4839438 h 6858000"/>
              <a:gd name="csX12483" fmla="*/ 3808106 w 12192000"/>
              <a:gd name="csY12483" fmla="*/ 4804618 h 6858000"/>
              <a:gd name="csX12484" fmla="*/ 3773759 w 12192000"/>
              <a:gd name="csY12484" fmla="*/ 4769797 h 6858000"/>
              <a:gd name="csX12485" fmla="*/ 3857500 w 12192000"/>
              <a:gd name="csY12485" fmla="*/ 4769797 h 6858000"/>
              <a:gd name="csX12486" fmla="*/ 3823154 w 12192000"/>
              <a:gd name="csY12486" fmla="*/ 4804618 h 6858000"/>
              <a:gd name="csX12487" fmla="*/ 3857500 w 12192000"/>
              <a:gd name="csY12487" fmla="*/ 4839438 h 6858000"/>
              <a:gd name="csX12488" fmla="*/ 3891847 w 12192000"/>
              <a:gd name="csY12488" fmla="*/ 4804618 h 6858000"/>
              <a:gd name="csX12489" fmla="*/ 3857500 w 12192000"/>
              <a:gd name="csY12489" fmla="*/ 4769797 h 6858000"/>
              <a:gd name="csX12490" fmla="*/ 3941242 w 12192000"/>
              <a:gd name="csY12490" fmla="*/ 4769797 h 6858000"/>
              <a:gd name="csX12491" fmla="*/ 3906895 w 12192000"/>
              <a:gd name="csY12491" fmla="*/ 4804618 h 6858000"/>
              <a:gd name="csX12492" fmla="*/ 3941242 w 12192000"/>
              <a:gd name="csY12492" fmla="*/ 4839438 h 6858000"/>
              <a:gd name="csX12493" fmla="*/ 3975588 w 12192000"/>
              <a:gd name="csY12493" fmla="*/ 4804618 h 6858000"/>
              <a:gd name="csX12494" fmla="*/ 3941242 w 12192000"/>
              <a:gd name="csY12494" fmla="*/ 4769797 h 6858000"/>
              <a:gd name="csX12495" fmla="*/ 4024990 w 12192000"/>
              <a:gd name="csY12495" fmla="*/ 4769797 h 6858000"/>
              <a:gd name="csX12496" fmla="*/ 3990643 w 12192000"/>
              <a:gd name="csY12496" fmla="*/ 4804618 h 6858000"/>
              <a:gd name="csX12497" fmla="*/ 4024990 w 12192000"/>
              <a:gd name="csY12497" fmla="*/ 4839438 h 6858000"/>
              <a:gd name="csX12498" fmla="*/ 4059337 w 12192000"/>
              <a:gd name="csY12498" fmla="*/ 4804618 h 6858000"/>
              <a:gd name="csX12499" fmla="*/ 4024990 w 12192000"/>
              <a:gd name="csY12499" fmla="*/ 4769797 h 6858000"/>
              <a:gd name="csX12500" fmla="*/ 4108732 w 12192000"/>
              <a:gd name="csY12500" fmla="*/ 4769797 h 6858000"/>
              <a:gd name="csX12501" fmla="*/ 4074386 w 12192000"/>
              <a:gd name="csY12501" fmla="*/ 4804618 h 6858000"/>
              <a:gd name="csX12502" fmla="*/ 4108732 w 12192000"/>
              <a:gd name="csY12502" fmla="*/ 4839438 h 6858000"/>
              <a:gd name="csX12503" fmla="*/ 4143079 w 12192000"/>
              <a:gd name="csY12503" fmla="*/ 4804618 h 6858000"/>
              <a:gd name="csX12504" fmla="*/ 4108732 w 12192000"/>
              <a:gd name="csY12504" fmla="*/ 4769797 h 6858000"/>
              <a:gd name="csX12505" fmla="*/ 4192473 w 12192000"/>
              <a:gd name="csY12505" fmla="*/ 4769797 h 6858000"/>
              <a:gd name="csX12506" fmla="*/ 4158127 w 12192000"/>
              <a:gd name="csY12506" fmla="*/ 4804618 h 6858000"/>
              <a:gd name="csX12507" fmla="*/ 4192473 w 12192000"/>
              <a:gd name="csY12507" fmla="*/ 4839438 h 6858000"/>
              <a:gd name="csX12508" fmla="*/ 4226820 w 12192000"/>
              <a:gd name="csY12508" fmla="*/ 4804618 h 6858000"/>
              <a:gd name="csX12509" fmla="*/ 4192473 w 12192000"/>
              <a:gd name="csY12509" fmla="*/ 4769797 h 6858000"/>
              <a:gd name="csX12510" fmla="*/ 4276215 w 12192000"/>
              <a:gd name="csY12510" fmla="*/ 4769797 h 6858000"/>
              <a:gd name="csX12511" fmla="*/ 4241868 w 12192000"/>
              <a:gd name="csY12511" fmla="*/ 4804618 h 6858000"/>
              <a:gd name="csX12512" fmla="*/ 4276215 w 12192000"/>
              <a:gd name="csY12512" fmla="*/ 4839438 h 6858000"/>
              <a:gd name="csX12513" fmla="*/ 4310561 w 12192000"/>
              <a:gd name="csY12513" fmla="*/ 4804618 h 6858000"/>
              <a:gd name="csX12514" fmla="*/ 4276215 w 12192000"/>
              <a:gd name="csY12514" fmla="*/ 4769797 h 6858000"/>
              <a:gd name="csX12515" fmla="*/ 4359957 w 12192000"/>
              <a:gd name="csY12515" fmla="*/ 4769797 h 6858000"/>
              <a:gd name="csX12516" fmla="*/ 4325610 w 12192000"/>
              <a:gd name="csY12516" fmla="*/ 4804618 h 6858000"/>
              <a:gd name="csX12517" fmla="*/ 4359957 w 12192000"/>
              <a:gd name="csY12517" fmla="*/ 4839438 h 6858000"/>
              <a:gd name="csX12518" fmla="*/ 4394304 w 12192000"/>
              <a:gd name="csY12518" fmla="*/ 4804618 h 6858000"/>
              <a:gd name="csX12519" fmla="*/ 4359957 w 12192000"/>
              <a:gd name="csY12519" fmla="*/ 4769797 h 6858000"/>
              <a:gd name="csX12520" fmla="*/ 4443698 w 12192000"/>
              <a:gd name="csY12520" fmla="*/ 4769797 h 6858000"/>
              <a:gd name="csX12521" fmla="*/ 4409352 w 12192000"/>
              <a:gd name="csY12521" fmla="*/ 4804618 h 6858000"/>
              <a:gd name="csX12522" fmla="*/ 4443698 w 12192000"/>
              <a:gd name="csY12522" fmla="*/ 4839438 h 6858000"/>
              <a:gd name="csX12523" fmla="*/ 4478045 w 12192000"/>
              <a:gd name="csY12523" fmla="*/ 4804618 h 6858000"/>
              <a:gd name="csX12524" fmla="*/ 4443698 w 12192000"/>
              <a:gd name="csY12524" fmla="*/ 4769797 h 6858000"/>
              <a:gd name="csX12525" fmla="*/ 4527439 w 12192000"/>
              <a:gd name="csY12525" fmla="*/ 4769797 h 6858000"/>
              <a:gd name="csX12526" fmla="*/ 4493093 w 12192000"/>
              <a:gd name="csY12526" fmla="*/ 4804618 h 6858000"/>
              <a:gd name="csX12527" fmla="*/ 4527439 w 12192000"/>
              <a:gd name="csY12527" fmla="*/ 4839438 h 6858000"/>
              <a:gd name="csX12528" fmla="*/ 4561786 w 12192000"/>
              <a:gd name="csY12528" fmla="*/ 4804618 h 6858000"/>
              <a:gd name="csX12529" fmla="*/ 4527439 w 12192000"/>
              <a:gd name="csY12529" fmla="*/ 4769797 h 6858000"/>
              <a:gd name="csX12530" fmla="*/ 4611182 w 12192000"/>
              <a:gd name="csY12530" fmla="*/ 4769797 h 6858000"/>
              <a:gd name="csX12531" fmla="*/ 4576835 w 12192000"/>
              <a:gd name="csY12531" fmla="*/ 4804618 h 6858000"/>
              <a:gd name="csX12532" fmla="*/ 4611182 w 12192000"/>
              <a:gd name="csY12532" fmla="*/ 4839438 h 6858000"/>
              <a:gd name="csX12533" fmla="*/ 4645528 w 12192000"/>
              <a:gd name="csY12533" fmla="*/ 4804618 h 6858000"/>
              <a:gd name="csX12534" fmla="*/ 4611182 w 12192000"/>
              <a:gd name="csY12534" fmla="*/ 4769797 h 6858000"/>
              <a:gd name="csX12535" fmla="*/ 6286014 w 12192000"/>
              <a:gd name="csY12535" fmla="*/ 4769797 h 6858000"/>
              <a:gd name="csX12536" fmla="*/ 6251661 w 12192000"/>
              <a:gd name="csY12536" fmla="*/ 4804618 h 6858000"/>
              <a:gd name="csX12537" fmla="*/ 6286014 w 12192000"/>
              <a:gd name="csY12537" fmla="*/ 4839438 h 6858000"/>
              <a:gd name="csX12538" fmla="*/ 6320354 w 12192000"/>
              <a:gd name="csY12538" fmla="*/ 4804618 h 6858000"/>
              <a:gd name="csX12539" fmla="*/ 6286014 w 12192000"/>
              <a:gd name="csY12539" fmla="*/ 4769797 h 6858000"/>
              <a:gd name="csX12540" fmla="*/ 6369755 w 12192000"/>
              <a:gd name="csY12540" fmla="*/ 4769797 h 6858000"/>
              <a:gd name="csX12541" fmla="*/ 6335402 w 12192000"/>
              <a:gd name="csY12541" fmla="*/ 4804618 h 6858000"/>
              <a:gd name="csX12542" fmla="*/ 6369755 w 12192000"/>
              <a:gd name="csY12542" fmla="*/ 4839438 h 6858000"/>
              <a:gd name="csX12543" fmla="*/ 6404096 w 12192000"/>
              <a:gd name="csY12543" fmla="*/ 4804618 h 6858000"/>
              <a:gd name="csX12544" fmla="*/ 6369755 w 12192000"/>
              <a:gd name="csY12544" fmla="*/ 4769797 h 6858000"/>
              <a:gd name="csX12545" fmla="*/ 6453498 w 12192000"/>
              <a:gd name="csY12545" fmla="*/ 4769797 h 6858000"/>
              <a:gd name="csX12546" fmla="*/ 6419144 w 12192000"/>
              <a:gd name="csY12546" fmla="*/ 4804618 h 6858000"/>
              <a:gd name="csX12547" fmla="*/ 6453498 w 12192000"/>
              <a:gd name="csY12547" fmla="*/ 4839438 h 6858000"/>
              <a:gd name="csX12548" fmla="*/ 6487838 w 12192000"/>
              <a:gd name="csY12548" fmla="*/ 4804618 h 6858000"/>
              <a:gd name="csX12549" fmla="*/ 6453498 w 12192000"/>
              <a:gd name="csY12549" fmla="*/ 4769797 h 6858000"/>
              <a:gd name="csX12550" fmla="*/ 6537239 w 12192000"/>
              <a:gd name="csY12550" fmla="*/ 4769797 h 6858000"/>
              <a:gd name="csX12551" fmla="*/ 6502886 w 12192000"/>
              <a:gd name="csY12551" fmla="*/ 4804618 h 6858000"/>
              <a:gd name="csX12552" fmla="*/ 6537239 w 12192000"/>
              <a:gd name="csY12552" fmla="*/ 4839438 h 6858000"/>
              <a:gd name="csX12553" fmla="*/ 6571579 w 12192000"/>
              <a:gd name="csY12553" fmla="*/ 4804618 h 6858000"/>
              <a:gd name="csX12554" fmla="*/ 6537239 w 12192000"/>
              <a:gd name="csY12554" fmla="*/ 4769797 h 6858000"/>
              <a:gd name="csX12555" fmla="*/ 6620980 w 12192000"/>
              <a:gd name="csY12555" fmla="*/ 4769797 h 6858000"/>
              <a:gd name="csX12556" fmla="*/ 6586627 w 12192000"/>
              <a:gd name="csY12556" fmla="*/ 4804618 h 6858000"/>
              <a:gd name="csX12557" fmla="*/ 6620980 w 12192000"/>
              <a:gd name="csY12557" fmla="*/ 4839438 h 6858000"/>
              <a:gd name="csX12558" fmla="*/ 6655320 w 12192000"/>
              <a:gd name="csY12558" fmla="*/ 4804618 h 6858000"/>
              <a:gd name="csX12559" fmla="*/ 6620980 w 12192000"/>
              <a:gd name="csY12559" fmla="*/ 4769797 h 6858000"/>
              <a:gd name="csX12560" fmla="*/ 6704722 w 12192000"/>
              <a:gd name="csY12560" fmla="*/ 4769797 h 6858000"/>
              <a:gd name="csX12561" fmla="*/ 6670369 w 12192000"/>
              <a:gd name="csY12561" fmla="*/ 4804618 h 6858000"/>
              <a:gd name="csX12562" fmla="*/ 6704722 w 12192000"/>
              <a:gd name="csY12562" fmla="*/ 4839438 h 6858000"/>
              <a:gd name="csX12563" fmla="*/ 6739063 w 12192000"/>
              <a:gd name="csY12563" fmla="*/ 4804618 h 6858000"/>
              <a:gd name="csX12564" fmla="*/ 6704722 w 12192000"/>
              <a:gd name="csY12564" fmla="*/ 4769797 h 6858000"/>
              <a:gd name="csX12565" fmla="*/ 6788464 w 12192000"/>
              <a:gd name="csY12565" fmla="*/ 4769797 h 6858000"/>
              <a:gd name="csX12566" fmla="*/ 6754110 w 12192000"/>
              <a:gd name="csY12566" fmla="*/ 4804618 h 6858000"/>
              <a:gd name="csX12567" fmla="*/ 6788464 w 12192000"/>
              <a:gd name="csY12567" fmla="*/ 4839438 h 6858000"/>
              <a:gd name="csX12568" fmla="*/ 6822804 w 12192000"/>
              <a:gd name="csY12568" fmla="*/ 4804618 h 6858000"/>
              <a:gd name="csX12569" fmla="*/ 6788464 w 12192000"/>
              <a:gd name="csY12569" fmla="*/ 4769797 h 6858000"/>
              <a:gd name="csX12570" fmla="*/ 6872206 w 12192000"/>
              <a:gd name="csY12570" fmla="*/ 4769797 h 6858000"/>
              <a:gd name="csX12571" fmla="*/ 6837853 w 12192000"/>
              <a:gd name="csY12571" fmla="*/ 4804618 h 6858000"/>
              <a:gd name="csX12572" fmla="*/ 6872206 w 12192000"/>
              <a:gd name="csY12572" fmla="*/ 4839438 h 6858000"/>
              <a:gd name="csX12573" fmla="*/ 6906546 w 12192000"/>
              <a:gd name="csY12573" fmla="*/ 4804618 h 6858000"/>
              <a:gd name="csX12574" fmla="*/ 6872206 w 12192000"/>
              <a:gd name="csY12574" fmla="*/ 4769797 h 6858000"/>
              <a:gd name="csX12575" fmla="*/ 6955947 w 12192000"/>
              <a:gd name="csY12575" fmla="*/ 4769797 h 6858000"/>
              <a:gd name="csX12576" fmla="*/ 6921594 w 12192000"/>
              <a:gd name="csY12576" fmla="*/ 4804618 h 6858000"/>
              <a:gd name="csX12577" fmla="*/ 6955947 w 12192000"/>
              <a:gd name="csY12577" fmla="*/ 4839438 h 6858000"/>
              <a:gd name="csX12578" fmla="*/ 6990287 w 12192000"/>
              <a:gd name="csY12578" fmla="*/ 4804618 h 6858000"/>
              <a:gd name="csX12579" fmla="*/ 6955947 w 12192000"/>
              <a:gd name="csY12579" fmla="*/ 4769797 h 6858000"/>
              <a:gd name="csX12580" fmla="*/ 7039688 w 12192000"/>
              <a:gd name="csY12580" fmla="*/ 4769797 h 6858000"/>
              <a:gd name="csX12581" fmla="*/ 7005335 w 12192000"/>
              <a:gd name="csY12581" fmla="*/ 4804618 h 6858000"/>
              <a:gd name="csX12582" fmla="*/ 7039688 w 12192000"/>
              <a:gd name="csY12582" fmla="*/ 4839438 h 6858000"/>
              <a:gd name="csX12583" fmla="*/ 7074029 w 12192000"/>
              <a:gd name="csY12583" fmla="*/ 4804618 h 6858000"/>
              <a:gd name="csX12584" fmla="*/ 7039688 w 12192000"/>
              <a:gd name="csY12584" fmla="*/ 4769797 h 6858000"/>
              <a:gd name="csX12585" fmla="*/ 7374681 w 12192000"/>
              <a:gd name="csY12585" fmla="*/ 4769797 h 6858000"/>
              <a:gd name="csX12586" fmla="*/ 7340328 w 12192000"/>
              <a:gd name="csY12586" fmla="*/ 4804618 h 6858000"/>
              <a:gd name="csX12587" fmla="*/ 7374681 w 12192000"/>
              <a:gd name="csY12587" fmla="*/ 4839438 h 6858000"/>
              <a:gd name="csX12588" fmla="*/ 7409022 w 12192000"/>
              <a:gd name="csY12588" fmla="*/ 4804618 h 6858000"/>
              <a:gd name="csX12589" fmla="*/ 7374681 w 12192000"/>
              <a:gd name="csY12589" fmla="*/ 4769797 h 6858000"/>
              <a:gd name="csX12590" fmla="*/ 9803189 w 12192000"/>
              <a:gd name="csY12590" fmla="*/ 4769797 h 6858000"/>
              <a:gd name="csX12591" fmla="*/ 9768836 w 12192000"/>
              <a:gd name="csY12591" fmla="*/ 4804618 h 6858000"/>
              <a:gd name="csX12592" fmla="*/ 9803189 w 12192000"/>
              <a:gd name="csY12592" fmla="*/ 4839438 h 6858000"/>
              <a:gd name="csX12593" fmla="*/ 9837529 w 12192000"/>
              <a:gd name="csY12593" fmla="*/ 4804618 h 6858000"/>
              <a:gd name="csX12594" fmla="*/ 9803189 w 12192000"/>
              <a:gd name="csY12594" fmla="*/ 4769797 h 6858000"/>
              <a:gd name="csX12595" fmla="*/ 9970671 w 12192000"/>
              <a:gd name="csY12595" fmla="*/ 4769797 h 6858000"/>
              <a:gd name="csX12596" fmla="*/ 9936318 w 12192000"/>
              <a:gd name="csY12596" fmla="*/ 4804618 h 6858000"/>
              <a:gd name="csX12597" fmla="*/ 9970671 w 12192000"/>
              <a:gd name="csY12597" fmla="*/ 4839438 h 6858000"/>
              <a:gd name="csX12598" fmla="*/ 10005011 w 12192000"/>
              <a:gd name="csY12598" fmla="*/ 4804618 h 6858000"/>
              <a:gd name="csX12599" fmla="*/ 9970671 w 12192000"/>
              <a:gd name="csY12599" fmla="*/ 4769797 h 6858000"/>
              <a:gd name="csX12600" fmla="*/ 10054413 w 12192000"/>
              <a:gd name="csY12600" fmla="*/ 4769797 h 6858000"/>
              <a:gd name="csX12601" fmla="*/ 10020060 w 12192000"/>
              <a:gd name="csY12601" fmla="*/ 4804618 h 6858000"/>
              <a:gd name="csX12602" fmla="*/ 10054413 w 12192000"/>
              <a:gd name="csY12602" fmla="*/ 4839438 h 6858000"/>
              <a:gd name="csX12603" fmla="*/ 10088754 w 12192000"/>
              <a:gd name="csY12603" fmla="*/ 4804618 h 6858000"/>
              <a:gd name="csX12604" fmla="*/ 10054413 w 12192000"/>
              <a:gd name="csY12604" fmla="*/ 4769797 h 6858000"/>
              <a:gd name="csX12605" fmla="*/ 10305638 w 12192000"/>
              <a:gd name="csY12605" fmla="*/ 4769797 h 6858000"/>
              <a:gd name="csX12606" fmla="*/ 10271285 w 12192000"/>
              <a:gd name="csY12606" fmla="*/ 4804618 h 6858000"/>
              <a:gd name="csX12607" fmla="*/ 10305638 w 12192000"/>
              <a:gd name="csY12607" fmla="*/ 4839438 h 6858000"/>
              <a:gd name="csX12608" fmla="*/ 10339978 w 12192000"/>
              <a:gd name="csY12608" fmla="*/ 4804618 h 6858000"/>
              <a:gd name="csX12609" fmla="*/ 10305638 w 12192000"/>
              <a:gd name="csY12609" fmla="*/ 4769797 h 6858000"/>
              <a:gd name="csX12610" fmla="*/ 3690017 w 12192000"/>
              <a:gd name="csY12610" fmla="*/ 4854661 h 6858000"/>
              <a:gd name="csX12611" fmla="*/ 3655670 w 12192000"/>
              <a:gd name="csY12611" fmla="*/ 4889481 h 6858000"/>
              <a:gd name="csX12612" fmla="*/ 3690017 w 12192000"/>
              <a:gd name="csY12612" fmla="*/ 4924302 h 6858000"/>
              <a:gd name="csX12613" fmla="*/ 3724364 w 12192000"/>
              <a:gd name="csY12613" fmla="*/ 4889481 h 6858000"/>
              <a:gd name="csX12614" fmla="*/ 3690017 w 12192000"/>
              <a:gd name="csY12614" fmla="*/ 4854661 h 6858000"/>
              <a:gd name="csX12615" fmla="*/ 3773759 w 12192000"/>
              <a:gd name="csY12615" fmla="*/ 4854661 h 6858000"/>
              <a:gd name="csX12616" fmla="*/ 3739412 w 12192000"/>
              <a:gd name="csY12616" fmla="*/ 4889481 h 6858000"/>
              <a:gd name="csX12617" fmla="*/ 3773759 w 12192000"/>
              <a:gd name="csY12617" fmla="*/ 4924302 h 6858000"/>
              <a:gd name="csX12618" fmla="*/ 3808106 w 12192000"/>
              <a:gd name="csY12618" fmla="*/ 4889481 h 6858000"/>
              <a:gd name="csX12619" fmla="*/ 3773759 w 12192000"/>
              <a:gd name="csY12619" fmla="*/ 4854661 h 6858000"/>
              <a:gd name="csX12620" fmla="*/ 3857500 w 12192000"/>
              <a:gd name="csY12620" fmla="*/ 4854661 h 6858000"/>
              <a:gd name="csX12621" fmla="*/ 3823154 w 12192000"/>
              <a:gd name="csY12621" fmla="*/ 4889481 h 6858000"/>
              <a:gd name="csX12622" fmla="*/ 3857500 w 12192000"/>
              <a:gd name="csY12622" fmla="*/ 4924302 h 6858000"/>
              <a:gd name="csX12623" fmla="*/ 3891847 w 12192000"/>
              <a:gd name="csY12623" fmla="*/ 4889481 h 6858000"/>
              <a:gd name="csX12624" fmla="*/ 3857500 w 12192000"/>
              <a:gd name="csY12624" fmla="*/ 4854661 h 6858000"/>
              <a:gd name="csX12625" fmla="*/ 3941242 w 12192000"/>
              <a:gd name="csY12625" fmla="*/ 4854661 h 6858000"/>
              <a:gd name="csX12626" fmla="*/ 3906895 w 12192000"/>
              <a:gd name="csY12626" fmla="*/ 4889481 h 6858000"/>
              <a:gd name="csX12627" fmla="*/ 3941242 w 12192000"/>
              <a:gd name="csY12627" fmla="*/ 4924302 h 6858000"/>
              <a:gd name="csX12628" fmla="*/ 3975588 w 12192000"/>
              <a:gd name="csY12628" fmla="*/ 4889481 h 6858000"/>
              <a:gd name="csX12629" fmla="*/ 3941242 w 12192000"/>
              <a:gd name="csY12629" fmla="*/ 4854661 h 6858000"/>
              <a:gd name="csX12630" fmla="*/ 4024990 w 12192000"/>
              <a:gd name="csY12630" fmla="*/ 4854661 h 6858000"/>
              <a:gd name="csX12631" fmla="*/ 3990643 w 12192000"/>
              <a:gd name="csY12631" fmla="*/ 4889481 h 6858000"/>
              <a:gd name="csX12632" fmla="*/ 4024990 w 12192000"/>
              <a:gd name="csY12632" fmla="*/ 4924302 h 6858000"/>
              <a:gd name="csX12633" fmla="*/ 4059337 w 12192000"/>
              <a:gd name="csY12633" fmla="*/ 4889481 h 6858000"/>
              <a:gd name="csX12634" fmla="*/ 4024990 w 12192000"/>
              <a:gd name="csY12634" fmla="*/ 4854661 h 6858000"/>
              <a:gd name="csX12635" fmla="*/ 4108732 w 12192000"/>
              <a:gd name="csY12635" fmla="*/ 4854661 h 6858000"/>
              <a:gd name="csX12636" fmla="*/ 4074386 w 12192000"/>
              <a:gd name="csY12636" fmla="*/ 4889481 h 6858000"/>
              <a:gd name="csX12637" fmla="*/ 4108732 w 12192000"/>
              <a:gd name="csY12637" fmla="*/ 4924302 h 6858000"/>
              <a:gd name="csX12638" fmla="*/ 4143079 w 12192000"/>
              <a:gd name="csY12638" fmla="*/ 4889481 h 6858000"/>
              <a:gd name="csX12639" fmla="*/ 4108732 w 12192000"/>
              <a:gd name="csY12639" fmla="*/ 4854661 h 6858000"/>
              <a:gd name="csX12640" fmla="*/ 4192473 w 12192000"/>
              <a:gd name="csY12640" fmla="*/ 4854661 h 6858000"/>
              <a:gd name="csX12641" fmla="*/ 4158127 w 12192000"/>
              <a:gd name="csY12641" fmla="*/ 4889481 h 6858000"/>
              <a:gd name="csX12642" fmla="*/ 4192473 w 12192000"/>
              <a:gd name="csY12642" fmla="*/ 4924302 h 6858000"/>
              <a:gd name="csX12643" fmla="*/ 4226820 w 12192000"/>
              <a:gd name="csY12643" fmla="*/ 4889481 h 6858000"/>
              <a:gd name="csX12644" fmla="*/ 4192473 w 12192000"/>
              <a:gd name="csY12644" fmla="*/ 4854661 h 6858000"/>
              <a:gd name="csX12645" fmla="*/ 4276215 w 12192000"/>
              <a:gd name="csY12645" fmla="*/ 4854661 h 6858000"/>
              <a:gd name="csX12646" fmla="*/ 4241868 w 12192000"/>
              <a:gd name="csY12646" fmla="*/ 4889481 h 6858000"/>
              <a:gd name="csX12647" fmla="*/ 4276215 w 12192000"/>
              <a:gd name="csY12647" fmla="*/ 4924302 h 6858000"/>
              <a:gd name="csX12648" fmla="*/ 4310561 w 12192000"/>
              <a:gd name="csY12648" fmla="*/ 4889481 h 6858000"/>
              <a:gd name="csX12649" fmla="*/ 4276215 w 12192000"/>
              <a:gd name="csY12649" fmla="*/ 4854661 h 6858000"/>
              <a:gd name="csX12650" fmla="*/ 4359957 w 12192000"/>
              <a:gd name="csY12650" fmla="*/ 4854661 h 6858000"/>
              <a:gd name="csX12651" fmla="*/ 4325610 w 12192000"/>
              <a:gd name="csY12651" fmla="*/ 4889481 h 6858000"/>
              <a:gd name="csX12652" fmla="*/ 4359957 w 12192000"/>
              <a:gd name="csY12652" fmla="*/ 4924302 h 6858000"/>
              <a:gd name="csX12653" fmla="*/ 4394304 w 12192000"/>
              <a:gd name="csY12653" fmla="*/ 4889481 h 6858000"/>
              <a:gd name="csX12654" fmla="*/ 4359957 w 12192000"/>
              <a:gd name="csY12654" fmla="*/ 4854661 h 6858000"/>
              <a:gd name="csX12655" fmla="*/ 4443698 w 12192000"/>
              <a:gd name="csY12655" fmla="*/ 4854661 h 6858000"/>
              <a:gd name="csX12656" fmla="*/ 4409352 w 12192000"/>
              <a:gd name="csY12656" fmla="*/ 4889481 h 6858000"/>
              <a:gd name="csX12657" fmla="*/ 4443698 w 12192000"/>
              <a:gd name="csY12657" fmla="*/ 4924302 h 6858000"/>
              <a:gd name="csX12658" fmla="*/ 4478045 w 12192000"/>
              <a:gd name="csY12658" fmla="*/ 4889481 h 6858000"/>
              <a:gd name="csX12659" fmla="*/ 4443698 w 12192000"/>
              <a:gd name="csY12659" fmla="*/ 4854661 h 6858000"/>
              <a:gd name="csX12660" fmla="*/ 4527439 w 12192000"/>
              <a:gd name="csY12660" fmla="*/ 4854661 h 6858000"/>
              <a:gd name="csX12661" fmla="*/ 4493093 w 12192000"/>
              <a:gd name="csY12661" fmla="*/ 4889481 h 6858000"/>
              <a:gd name="csX12662" fmla="*/ 4527439 w 12192000"/>
              <a:gd name="csY12662" fmla="*/ 4924302 h 6858000"/>
              <a:gd name="csX12663" fmla="*/ 4561786 w 12192000"/>
              <a:gd name="csY12663" fmla="*/ 4889481 h 6858000"/>
              <a:gd name="csX12664" fmla="*/ 4527439 w 12192000"/>
              <a:gd name="csY12664" fmla="*/ 4854661 h 6858000"/>
              <a:gd name="csX12665" fmla="*/ 4611182 w 12192000"/>
              <a:gd name="csY12665" fmla="*/ 4854661 h 6858000"/>
              <a:gd name="csX12666" fmla="*/ 4576835 w 12192000"/>
              <a:gd name="csY12666" fmla="*/ 4889481 h 6858000"/>
              <a:gd name="csX12667" fmla="*/ 4611182 w 12192000"/>
              <a:gd name="csY12667" fmla="*/ 4924302 h 6858000"/>
              <a:gd name="csX12668" fmla="*/ 4645528 w 12192000"/>
              <a:gd name="csY12668" fmla="*/ 4889481 h 6858000"/>
              <a:gd name="csX12669" fmla="*/ 4611182 w 12192000"/>
              <a:gd name="csY12669" fmla="*/ 4854661 h 6858000"/>
              <a:gd name="csX12670" fmla="*/ 6286014 w 12192000"/>
              <a:gd name="csY12670" fmla="*/ 4854661 h 6858000"/>
              <a:gd name="csX12671" fmla="*/ 6251661 w 12192000"/>
              <a:gd name="csY12671" fmla="*/ 4889481 h 6858000"/>
              <a:gd name="csX12672" fmla="*/ 6286014 w 12192000"/>
              <a:gd name="csY12672" fmla="*/ 4924302 h 6858000"/>
              <a:gd name="csX12673" fmla="*/ 6320354 w 12192000"/>
              <a:gd name="csY12673" fmla="*/ 4889481 h 6858000"/>
              <a:gd name="csX12674" fmla="*/ 6286014 w 12192000"/>
              <a:gd name="csY12674" fmla="*/ 4854661 h 6858000"/>
              <a:gd name="csX12675" fmla="*/ 6369755 w 12192000"/>
              <a:gd name="csY12675" fmla="*/ 4854661 h 6858000"/>
              <a:gd name="csX12676" fmla="*/ 6335402 w 12192000"/>
              <a:gd name="csY12676" fmla="*/ 4889481 h 6858000"/>
              <a:gd name="csX12677" fmla="*/ 6369755 w 12192000"/>
              <a:gd name="csY12677" fmla="*/ 4924302 h 6858000"/>
              <a:gd name="csX12678" fmla="*/ 6404096 w 12192000"/>
              <a:gd name="csY12678" fmla="*/ 4889481 h 6858000"/>
              <a:gd name="csX12679" fmla="*/ 6369755 w 12192000"/>
              <a:gd name="csY12679" fmla="*/ 4854661 h 6858000"/>
              <a:gd name="csX12680" fmla="*/ 6453498 w 12192000"/>
              <a:gd name="csY12680" fmla="*/ 4854661 h 6858000"/>
              <a:gd name="csX12681" fmla="*/ 6419144 w 12192000"/>
              <a:gd name="csY12681" fmla="*/ 4889481 h 6858000"/>
              <a:gd name="csX12682" fmla="*/ 6453498 w 12192000"/>
              <a:gd name="csY12682" fmla="*/ 4924302 h 6858000"/>
              <a:gd name="csX12683" fmla="*/ 6487838 w 12192000"/>
              <a:gd name="csY12683" fmla="*/ 4889481 h 6858000"/>
              <a:gd name="csX12684" fmla="*/ 6453498 w 12192000"/>
              <a:gd name="csY12684" fmla="*/ 4854661 h 6858000"/>
              <a:gd name="csX12685" fmla="*/ 6537239 w 12192000"/>
              <a:gd name="csY12685" fmla="*/ 4854661 h 6858000"/>
              <a:gd name="csX12686" fmla="*/ 6502886 w 12192000"/>
              <a:gd name="csY12686" fmla="*/ 4889481 h 6858000"/>
              <a:gd name="csX12687" fmla="*/ 6537239 w 12192000"/>
              <a:gd name="csY12687" fmla="*/ 4924302 h 6858000"/>
              <a:gd name="csX12688" fmla="*/ 6571579 w 12192000"/>
              <a:gd name="csY12688" fmla="*/ 4889481 h 6858000"/>
              <a:gd name="csX12689" fmla="*/ 6537239 w 12192000"/>
              <a:gd name="csY12689" fmla="*/ 4854661 h 6858000"/>
              <a:gd name="csX12690" fmla="*/ 6620980 w 12192000"/>
              <a:gd name="csY12690" fmla="*/ 4854661 h 6858000"/>
              <a:gd name="csX12691" fmla="*/ 6586627 w 12192000"/>
              <a:gd name="csY12691" fmla="*/ 4889481 h 6858000"/>
              <a:gd name="csX12692" fmla="*/ 6620980 w 12192000"/>
              <a:gd name="csY12692" fmla="*/ 4924302 h 6858000"/>
              <a:gd name="csX12693" fmla="*/ 6655320 w 12192000"/>
              <a:gd name="csY12693" fmla="*/ 4889481 h 6858000"/>
              <a:gd name="csX12694" fmla="*/ 6620980 w 12192000"/>
              <a:gd name="csY12694" fmla="*/ 4854661 h 6858000"/>
              <a:gd name="csX12695" fmla="*/ 6704722 w 12192000"/>
              <a:gd name="csY12695" fmla="*/ 4854661 h 6858000"/>
              <a:gd name="csX12696" fmla="*/ 6670369 w 12192000"/>
              <a:gd name="csY12696" fmla="*/ 4889481 h 6858000"/>
              <a:gd name="csX12697" fmla="*/ 6704722 w 12192000"/>
              <a:gd name="csY12697" fmla="*/ 4924302 h 6858000"/>
              <a:gd name="csX12698" fmla="*/ 6739063 w 12192000"/>
              <a:gd name="csY12698" fmla="*/ 4889481 h 6858000"/>
              <a:gd name="csX12699" fmla="*/ 6704722 w 12192000"/>
              <a:gd name="csY12699" fmla="*/ 4854661 h 6858000"/>
              <a:gd name="csX12700" fmla="*/ 6788464 w 12192000"/>
              <a:gd name="csY12700" fmla="*/ 4854661 h 6858000"/>
              <a:gd name="csX12701" fmla="*/ 6754110 w 12192000"/>
              <a:gd name="csY12701" fmla="*/ 4889481 h 6858000"/>
              <a:gd name="csX12702" fmla="*/ 6788464 w 12192000"/>
              <a:gd name="csY12702" fmla="*/ 4924302 h 6858000"/>
              <a:gd name="csX12703" fmla="*/ 6822804 w 12192000"/>
              <a:gd name="csY12703" fmla="*/ 4889481 h 6858000"/>
              <a:gd name="csX12704" fmla="*/ 6788464 w 12192000"/>
              <a:gd name="csY12704" fmla="*/ 4854661 h 6858000"/>
              <a:gd name="csX12705" fmla="*/ 6872206 w 12192000"/>
              <a:gd name="csY12705" fmla="*/ 4854661 h 6858000"/>
              <a:gd name="csX12706" fmla="*/ 6837853 w 12192000"/>
              <a:gd name="csY12706" fmla="*/ 4889481 h 6858000"/>
              <a:gd name="csX12707" fmla="*/ 6872206 w 12192000"/>
              <a:gd name="csY12707" fmla="*/ 4924302 h 6858000"/>
              <a:gd name="csX12708" fmla="*/ 6906546 w 12192000"/>
              <a:gd name="csY12708" fmla="*/ 4889481 h 6858000"/>
              <a:gd name="csX12709" fmla="*/ 6872206 w 12192000"/>
              <a:gd name="csY12709" fmla="*/ 4854661 h 6858000"/>
              <a:gd name="csX12710" fmla="*/ 6955947 w 12192000"/>
              <a:gd name="csY12710" fmla="*/ 4854661 h 6858000"/>
              <a:gd name="csX12711" fmla="*/ 6921594 w 12192000"/>
              <a:gd name="csY12711" fmla="*/ 4889481 h 6858000"/>
              <a:gd name="csX12712" fmla="*/ 6955947 w 12192000"/>
              <a:gd name="csY12712" fmla="*/ 4924302 h 6858000"/>
              <a:gd name="csX12713" fmla="*/ 6990287 w 12192000"/>
              <a:gd name="csY12713" fmla="*/ 4889481 h 6858000"/>
              <a:gd name="csX12714" fmla="*/ 6955947 w 12192000"/>
              <a:gd name="csY12714" fmla="*/ 4854661 h 6858000"/>
              <a:gd name="csX12715" fmla="*/ 7290939 w 12192000"/>
              <a:gd name="csY12715" fmla="*/ 4854661 h 6858000"/>
              <a:gd name="csX12716" fmla="*/ 7256586 w 12192000"/>
              <a:gd name="csY12716" fmla="*/ 4889481 h 6858000"/>
              <a:gd name="csX12717" fmla="*/ 7290939 w 12192000"/>
              <a:gd name="csY12717" fmla="*/ 4924302 h 6858000"/>
              <a:gd name="csX12718" fmla="*/ 7325279 w 12192000"/>
              <a:gd name="csY12718" fmla="*/ 4889481 h 6858000"/>
              <a:gd name="csX12719" fmla="*/ 7290939 w 12192000"/>
              <a:gd name="csY12719" fmla="*/ 4854661 h 6858000"/>
              <a:gd name="csX12720" fmla="*/ 7374681 w 12192000"/>
              <a:gd name="csY12720" fmla="*/ 4854661 h 6858000"/>
              <a:gd name="csX12721" fmla="*/ 7340328 w 12192000"/>
              <a:gd name="csY12721" fmla="*/ 4889481 h 6858000"/>
              <a:gd name="csX12722" fmla="*/ 7374681 w 12192000"/>
              <a:gd name="csY12722" fmla="*/ 4924302 h 6858000"/>
              <a:gd name="csX12723" fmla="*/ 7409022 w 12192000"/>
              <a:gd name="csY12723" fmla="*/ 4889481 h 6858000"/>
              <a:gd name="csX12724" fmla="*/ 7374681 w 12192000"/>
              <a:gd name="csY12724" fmla="*/ 4854661 h 6858000"/>
              <a:gd name="csX12725" fmla="*/ 9719446 w 12192000"/>
              <a:gd name="csY12725" fmla="*/ 4854661 h 6858000"/>
              <a:gd name="csX12726" fmla="*/ 9685093 w 12192000"/>
              <a:gd name="csY12726" fmla="*/ 4889481 h 6858000"/>
              <a:gd name="csX12727" fmla="*/ 9719446 w 12192000"/>
              <a:gd name="csY12727" fmla="*/ 4924302 h 6858000"/>
              <a:gd name="csX12728" fmla="*/ 9753787 w 12192000"/>
              <a:gd name="csY12728" fmla="*/ 4889481 h 6858000"/>
              <a:gd name="csX12729" fmla="*/ 9719446 w 12192000"/>
              <a:gd name="csY12729" fmla="*/ 4854661 h 6858000"/>
              <a:gd name="csX12730" fmla="*/ 9803189 w 12192000"/>
              <a:gd name="csY12730" fmla="*/ 4854661 h 6858000"/>
              <a:gd name="csX12731" fmla="*/ 9768836 w 12192000"/>
              <a:gd name="csY12731" fmla="*/ 4889481 h 6858000"/>
              <a:gd name="csX12732" fmla="*/ 9803189 w 12192000"/>
              <a:gd name="csY12732" fmla="*/ 4924302 h 6858000"/>
              <a:gd name="csX12733" fmla="*/ 9837529 w 12192000"/>
              <a:gd name="csY12733" fmla="*/ 4889481 h 6858000"/>
              <a:gd name="csX12734" fmla="*/ 9803189 w 12192000"/>
              <a:gd name="csY12734" fmla="*/ 4854661 h 6858000"/>
              <a:gd name="csX12735" fmla="*/ 9886930 w 12192000"/>
              <a:gd name="csY12735" fmla="*/ 4854661 h 6858000"/>
              <a:gd name="csX12736" fmla="*/ 9852577 w 12192000"/>
              <a:gd name="csY12736" fmla="*/ 4889481 h 6858000"/>
              <a:gd name="csX12737" fmla="*/ 9886930 w 12192000"/>
              <a:gd name="csY12737" fmla="*/ 4924302 h 6858000"/>
              <a:gd name="csX12738" fmla="*/ 9921270 w 12192000"/>
              <a:gd name="csY12738" fmla="*/ 4889481 h 6858000"/>
              <a:gd name="csX12739" fmla="*/ 9886930 w 12192000"/>
              <a:gd name="csY12739" fmla="*/ 4854661 h 6858000"/>
              <a:gd name="csX12740" fmla="*/ 9970671 w 12192000"/>
              <a:gd name="csY12740" fmla="*/ 4854661 h 6858000"/>
              <a:gd name="csX12741" fmla="*/ 9936318 w 12192000"/>
              <a:gd name="csY12741" fmla="*/ 4889481 h 6858000"/>
              <a:gd name="csX12742" fmla="*/ 9970671 w 12192000"/>
              <a:gd name="csY12742" fmla="*/ 4924302 h 6858000"/>
              <a:gd name="csX12743" fmla="*/ 10005011 w 12192000"/>
              <a:gd name="csY12743" fmla="*/ 4889481 h 6858000"/>
              <a:gd name="csX12744" fmla="*/ 9970671 w 12192000"/>
              <a:gd name="csY12744" fmla="*/ 4854661 h 6858000"/>
              <a:gd name="csX12745" fmla="*/ 10054413 w 12192000"/>
              <a:gd name="csY12745" fmla="*/ 4854661 h 6858000"/>
              <a:gd name="csX12746" fmla="*/ 10020060 w 12192000"/>
              <a:gd name="csY12746" fmla="*/ 4889481 h 6858000"/>
              <a:gd name="csX12747" fmla="*/ 10054413 w 12192000"/>
              <a:gd name="csY12747" fmla="*/ 4924302 h 6858000"/>
              <a:gd name="csX12748" fmla="*/ 10088754 w 12192000"/>
              <a:gd name="csY12748" fmla="*/ 4889481 h 6858000"/>
              <a:gd name="csX12749" fmla="*/ 10054413 w 12192000"/>
              <a:gd name="csY12749" fmla="*/ 4854661 h 6858000"/>
              <a:gd name="csX12750" fmla="*/ 10138155 w 12192000"/>
              <a:gd name="csY12750" fmla="*/ 4854661 h 6858000"/>
              <a:gd name="csX12751" fmla="*/ 10103802 w 12192000"/>
              <a:gd name="csY12751" fmla="*/ 4889481 h 6858000"/>
              <a:gd name="csX12752" fmla="*/ 10138155 w 12192000"/>
              <a:gd name="csY12752" fmla="*/ 4924302 h 6858000"/>
              <a:gd name="csX12753" fmla="*/ 10172495 w 12192000"/>
              <a:gd name="csY12753" fmla="*/ 4889481 h 6858000"/>
              <a:gd name="csX12754" fmla="*/ 10138155 w 12192000"/>
              <a:gd name="csY12754" fmla="*/ 4854661 h 6858000"/>
              <a:gd name="csX12755" fmla="*/ 10305638 w 12192000"/>
              <a:gd name="csY12755" fmla="*/ 4854661 h 6858000"/>
              <a:gd name="csX12756" fmla="*/ 10271285 w 12192000"/>
              <a:gd name="csY12756" fmla="*/ 4889481 h 6858000"/>
              <a:gd name="csX12757" fmla="*/ 10305638 w 12192000"/>
              <a:gd name="csY12757" fmla="*/ 4924302 h 6858000"/>
              <a:gd name="csX12758" fmla="*/ 10339978 w 12192000"/>
              <a:gd name="csY12758" fmla="*/ 4889481 h 6858000"/>
              <a:gd name="csX12759" fmla="*/ 10305638 w 12192000"/>
              <a:gd name="csY12759" fmla="*/ 4854661 h 6858000"/>
              <a:gd name="csX12760" fmla="*/ 11059312 w 12192000"/>
              <a:gd name="csY12760" fmla="*/ 4854661 h 6858000"/>
              <a:gd name="csX12761" fmla="*/ 11024959 w 12192000"/>
              <a:gd name="csY12761" fmla="*/ 4889481 h 6858000"/>
              <a:gd name="csX12762" fmla="*/ 11059312 w 12192000"/>
              <a:gd name="csY12762" fmla="*/ 4924302 h 6858000"/>
              <a:gd name="csX12763" fmla="*/ 11093653 w 12192000"/>
              <a:gd name="csY12763" fmla="*/ 4889481 h 6858000"/>
              <a:gd name="csX12764" fmla="*/ 11059312 w 12192000"/>
              <a:gd name="csY12764" fmla="*/ 4854661 h 6858000"/>
              <a:gd name="csX12765" fmla="*/ 11394279 w 12192000"/>
              <a:gd name="csY12765" fmla="*/ 4854661 h 6858000"/>
              <a:gd name="csX12766" fmla="*/ 11359926 w 12192000"/>
              <a:gd name="csY12766" fmla="*/ 4889481 h 6858000"/>
              <a:gd name="csX12767" fmla="*/ 11394279 w 12192000"/>
              <a:gd name="csY12767" fmla="*/ 4924302 h 6858000"/>
              <a:gd name="csX12768" fmla="*/ 11428620 w 12192000"/>
              <a:gd name="csY12768" fmla="*/ 4889481 h 6858000"/>
              <a:gd name="csX12769" fmla="*/ 11394279 w 12192000"/>
              <a:gd name="csY12769" fmla="*/ 4854661 h 6858000"/>
              <a:gd name="csX12770" fmla="*/ 3773759 w 12192000"/>
              <a:gd name="csY12770" fmla="*/ 4939525 h 6858000"/>
              <a:gd name="csX12771" fmla="*/ 3739412 w 12192000"/>
              <a:gd name="csY12771" fmla="*/ 4974345 h 6858000"/>
              <a:gd name="csX12772" fmla="*/ 3773759 w 12192000"/>
              <a:gd name="csY12772" fmla="*/ 5009165 h 6858000"/>
              <a:gd name="csX12773" fmla="*/ 3808106 w 12192000"/>
              <a:gd name="csY12773" fmla="*/ 4974345 h 6858000"/>
              <a:gd name="csX12774" fmla="*/ 3773759 w 12192000"/>
              <a:gd name="csY12774" fmla="*/ 4939525 h 6858000"/>
              <a:gd name="csX12775" fmla="*/ 3857500 w 12192000"/>
              <a:gd name="csY12775" fmla="*/ 4939525 h 6858000"/>
              <a:gd name="csX12776" fmla="*/ 3823154 w 12192000"/>
              <a:gd name="csY12776" fmla="*/ 4974345 h 6858000"/>
              <a:gd name="csX12777" fmla="*/ 3857500 w 12192000"/>
              <a:gd name="csY12777" fmla="*/ 5009165 h 6858000"/>
              <a:gd name="csX12778" fmla="*/ 3891847 w 12192000"/>
              <a:gd name="csY12778" fmla="*/ 4974345 h 6858000"/>
              <a:gd name="csX12779" fmla="*/ 3857500 w 12192000"/>
              <a:gd name="csY12779" fmla="*/ 4939525 h 6858000"/>
              <a:gd name="csX12780" fmla="*/ 3941242 w 12192000"/>
              <a:gd name="csY12780" fmla="*/ 4939525 h 6858000"/>
              <a:gd name="csX12781" fmla="*/ 3906895 w 12192000"/>
              <a:gd name="csY12781" fmla="*/ 4974345 h 6858000"/>
              <a:gd name="csX12782" fmla="*/ 3941242 w 12192000"/>
              <a:gd name="csY12782" fmla="*/ 5009165 h 6858000"/>
              <a:gd name="csX12783" fmla="*/ 3975588 w 12192000"/>
              <a:gd name="csY12783" fmla="*/ 4974345 h 6858000"/>
              <a:gd name="csX12784" fmla="*/ 3941242 w 12192000"/>
              <a:gd name="csY12784" fmla="*/ 4939525 h 6858000"/>
              <a:gd name="csX12785" fmla="*/ 4024990 w 12192000"/>
              <a:gd name="csY12785" fmla="*/ 4939525 h 6858000"/>
              <a:gd name="csX12786" fmla="*/ 3990643 w 12192000"/>
              <a:gd name="csY12786" fmla="*/ 4974345 h 6858000"/>
              <a:gd name="csX12787" fmla="*/ 4024990 w 12192000"/>
              <a:gd name="csY12787" fmla="*/ 5009165 h 6858000"/>
              <a:gd name="csX12788" fmla="*/ 4059337 w 12192000"/>
              <a:gd name="csY12788" fmla="*/ 4974345 h 6858000"/>
              <a:gd name="csX12789" fmla="*/ 4024990 w 12192000"/>
              <a:gd name="csY12789" fmla="*/ 4939525 h 6858000"/>
              <a:gd name="csX12790" fmla="*/ 4108732 w 12192000"/>
              <a:gd name="csY12790" fmla="*/ 4939525 h 6858000"/>
              <a:gd name="csX12791" fmla="*/ 4074386 w 12192000"/>
              <a:gd name="csY12791" fmla="*/ 4974345 h 6858000"/>
              <a:gd name="csX12792" fmla="*/ 4108732 w 12192000"/>
              <a:gd name="csY12792" fmla="*/ 5009165 h 6858000"/>
              <a:gd name="csX12793" fmla="*/ 4143079 w 12192000"/>
              <a:gd name="csY12793" fmla="*/ 4974345 h 6858000"/>
              <a:gd name="csX12794" fmla="*/ 4108732 w 12192000"/>
              <a:gd name="csY12794" fmla="*/ 4939525 h 6858000"/>
              <a:gd name="csX12795" fmla="*/ 4192473 w 12192000"/>
              <a:gd name="csY12795" fmla="*/ 4939525 h 6858000"/>
              <a:gd name="csX12796" fmla="*/ 4158127 w 12192000"/>
              <a:gd name="csY12796" fmla="*/ 4974345 h 6858000"/>
              <a:gd name="csX12797" fmla="*/ 4192473 w 12192000"/>
              <a:gd name="csY12797" fmla="*/ 5009165 h 6858000"/>
              <a:gd name="csX12798" fmla="*/ 4226820 w 12192000"/>
              <a:gd name="csY12798" fmla="*/ 4974345 h 6858000"/>
              <a:gd name="csX12799" fmla="*/ 4192473 w 12192000"/>
              <a:gd name="csY12799" fmla="*/ 4939525 h 6858000"/>
              <a:gd name="csX12800" fmla="*/ 4276215 w 12192000"/>
              <a:gd name="csY12800" fmla="*/ 4939525 h 6858000"/>
              <a:gd name="csX12801" fmla="*/ 4241868 w 12192000"/>
              <a:gd name="csY12801" fmla="*/ 4974345 h 6858000"/>
              <a:gd name="csX12802" fmla="*/ 4276215 w 12192000"/>
              <a:gd name="csY12802" fmla="*/ 5009165 h 6858000"/>
              <a:gd name="csX12803" fmla="*/ 4310561 w 12192000"/>
              <a:gd name="csY12803" fmla="*/ 4974345 h 6858000"/>
              <a:gd name="csX12804" fmla="*/ 4276215 w 12192000"/>
              <a:gd name="csY12804" fmla="*/ 4939525 h 6858000"/>
              <a:gd name="csX12805" fmla="*/ 4359957 w 12192000"/>
              <a:gd name="csY12805" fmla="*/ 4939525 h 6858000"/>
              <a:gd name="csX12806" fmla="*/ 4325610 w 12192000"/>
              <a:gd name="csY12806" fmla="*/ 4974345 h 6858000"/>
              <a:gd name="csX12807" fmla="*/ 4359957 w 12192000"/>
              <a:gd name="csY12807" fmla="*/ 5009165 h 6858000"/>
              <a:gd name="csX12808" fmla="*/ 4394304 w 12192000"/>
              <a:gd name="csY12808" fmla="*/ 4974345 h 6858000"/>
              <a:gd name="csX12809" fmla="*/ 4359957 w 12192000"/>
              <a:gd name="csY12809" fmla="*/ 4939525 h 6858000"/>
              <a:gd name="csX12810" fmla="*/ 4443698 w 12192000"/>
              <a:gd name="csY12810" fmla="*/ 4939525 h 6858000"/>
              <a:gd name="csX12811" fmla="*/ 4409352 w 12192000"/>
              <a:gd name="csY12811" fmla="*/ 4974345 h 6858000"/>
              <a:gd name="csX12812" fmla="*/ 4443698 w 12192000"/>
              <a:gd name="csY12812" fmla="*/ 5009165 h 6858000"/>
              <a:gd name="csX12813" fmla="*/ 4478045 w 12192000"/>
              <a:gd name="csY12813" fmla="*/ 4974345 h 6858000"/>
              <a:gd name="csX12814" fmla="*/ 4443698 w 12192000"/>
              <a:gd name="csY12814" fmla="*/ 4939525 h 6858000"/>
              <a:gd name="csX12815" fmla="*/ 4527439 w 12192000"/>
              <a:gd name="csY12815" fmla="*/ 4939525 h 6858000"/>
              <a:gd name="csX12816" fmla="*/ 4493093 w 12192000"/>
              <a:gd name="csY12816" fmla="*/ 4974345 h 6858000"/>
              <a:gd name="csX12817" fmla="*/ 4527439 w 12192000"/>
              <a:gd name="csY12817" fmla="*/ 5009165 h 6858000"/>
              <a:gd name="csX12818" fmla="*/ 4561786 w 12192000"/>
              <a:gd name="csY12818" fmla="*/ 4974345 h 6858000"/>
              <a:gd name="csX12819" fmla="*/ 4527439 w 12192000"/>
              <a:gd name="csY12819" fmla="*/ 4939525 h 6858000"/>
              <a:gd name="csX12820" fmla="*/ 4611182 w 12192000"/>
              <a:gd name="csY12820" fmla="*/ 4939525 h 6858000"/>
              <a:gd name="csX12821" fmla="*/ 4576835 w 12192000"/>
              <a:gd name="csY12821" fmla="*/ 4974345 h 6858000"/>
              <a:gd name="csX12822" fmla="*/ 4611182 w 12192000"/>
              <a:gd name="csY12822" fmla="*/ 5009165 h 6858000"/>
              <a:gd name="csX12823" fmla="*/ 4645528 w 12192000"/>
              <a:gd name="csY12823" fmla="*/ 4974345 h 6858000"/>
              <a:gd name="csX12824" fmla="*/ 4611182 w 12192000"/>
              <a:gd name="csY12824" fmla="*/ 4939525 h 6858000"/>
              <a:gd name="csX12825" fmla="*/ 6286014 w 12192000"/>
              <a:gd name="csY12825" fmla="*/ 4939525 h 6858000"/>
              <a:gd name="csX12826" fmla="*/ 6251661 w 12192000"/>
              <a:gd name="csY12826" fmla="*/ 4974345 h 6858000"/>
              <a:gd name="csX12827" fmla="*/ 6286014 w 12192000"/>
              <a:gd name="csY12827" fmla="*/ 5009165 h 6858000"/>
              <a:gd name="csX12828" fmla="*/ 6320354 w 12192000"/>
              <a:gd name="csY12828" fmla="*/ 4974345 h 6858000"/>
              <a:gd name="csX12829" fmla="*/ 6286014 w 12192000"/>
              <a:gd name="csY12829" fmla="*/ 4939525 h 6858000"/>
              <a:gd name="csX12830" fmla="*/ 6369755 w 12192000"/>
              <a:gd name="csY12830" fmla="*/ 4939525 h 6858000"/>
              <a:gd name="csX12831" fmla="*/ 6335402 w 12192000"/>
              <a:gd name="csY12831" fmla="*/ 4974345 h 6858000"/>
              <a:gd name="csX12832" fmla="*/ 6369755 w 12192000"/>
              <a:gd name="csY12832" fmla="*/ 5009165 h 6858000"/>
              <a:gd name="csX12833" fmla="*/ 6404096 w 12192000"/>
              <a:gd name="csY12833" fmla="*/ 4974345 h 6858000"/>
              <a:gd name="csX12834" fmla="*/ 6369755 w 12192000"/>
              <a:gd name="csY12834" fmla="*/ 4939525 h 6858000"/>
              <a:gd name="csX12835" fmla="*/ 6453498 w 12192000"/>
              <a:gd name="csY12835" fmla="*/ 4939525 h 6858000"/>
              <a:gd name="csX12836" fmla="*/ 6419144 w 12192000"/>
              <a:gd name="csY12836" fmla="*/ 4974345 h 6858000"/>
              <a:gd name="csX12837" fmla="*/ 6453498 w 12192000"/>
              <a:gd name="csY12837" fmla="*/ 5009165 h 6858000"/>
              <a:gd name="csX12838" fmla="*/ 6487838 w 12192000"/>
              <a:gd name="csY12838" fmla="*/ 4974345 h 6858000"/>
              <a:gd name="csX12839" fmla="*/ 6453498 w 12192000"/>
              <a:gd name="csY12839" fmla="*/ 4939525 h 6858000"/>
              <a:gd name="csX12840" fmla="*/ 6537239 w 12192000"/>
              <a:gd name="csY12840" fmla="*/ 4939525 h 6858000"/>
              <a:gd name="csX12841" fmla="*/ 6502886 w 12192000"/>
              <a:gd name="csY12841" fmla="*/ 4974345 h 6858000"/>
              <a:gd name="csX12842" fmla="*/ 6537239 w 12192000"/>
              <a:gd name="csY12842" fmla="*/ 5009165 h 6858000"/>
              <a:gd name="csX12843" fmla="*/ 6571579 w 12192000"/>
              <a:gd name="csY12843" fmla="*/ 4974345 h 6858000"/>
              <a:gd name="csX12844" fmla="*/ 6537239 w 12192000"/>
              <a:gd name="csY12844" fmla="*/ 4939525 h 6858000"/>
              <a:gd name="csX12845" fmla="*/ 6620980 w 12192000"/>
              <a:gd name="csY12845" fmla="*/ 4939525 h 6858000"/>
              <a:gd name="csX12846" fmla="*/ 6586627 w 12192000"/>
              <a:gd name="csY12846" fmla="*/ 4974345 h 6858000"/>
              <a:gd name="csX12847" fmla="*/ 6620980 w 12192000"/>
              <a:gd name="csY12847" fmla="*/ 5009165 h 6858000"/>
              <a:gd name="csX12848" fmla="*/ 6655320 w 12192000"/>
              <a:gd name="csY12848" fmla="*/ 4974345 h 6858000"/>
              <a:gd name="csX12849" fmla="*/ 6620980 w 12192000"/>
              <a:gd name="csY12849" fmla="*/ 4939525 h 6858000"/>
              <a:gd name="csX12850" fmla="*/ 6704722 w 12192000"/>
              <a:gd name="csY12850" fmla="*/ 4939525 h 6858000"/>
              <a:gd name="csX12851" fmla="*/ 6670369 w 12192000"/>
              <a:gd name="csY12851" fmla="*/ 4974345 h 6858000"/>
              <a:gd name="csX12852" fmla="*/ 6704722 w 12192000"/>
              <a:gd name="csY12852" fmla="*/ 5009165 h 6858000"/>
              <a:gd name="csX12853" fmla="*/ 6739063 w 12192000"/>
              <a:gd name="csY12853" fmla="*/ 4974345 h 6858000"/>
              <a:gd name="csX12854" fmla="*/ 6704722 w 12192000"/>
              <a:gd name="csY12854" fmla="*/ 4939525 h 6858000"/>
              <a:gd name="csX12855" fmla="*/ 6788464 w 12192000"/>
              <a:gd name="csY12855" fmla="*/ 4939525 h 6858000"/>
              <a:gd name="csX12856" fmla="*/ 6754110 w 12192000"/>
              <a:gd name="csY12856" fmla="*/ 4974345 h 6858000"/>
              <a:gd name="csX12857" fmla="*/ 6788464 w 12192000"/>
              <a:gd name="csY12857" fmla="*/ 5009165 h 6858000"/>
              <a:gd name="csX12858" fmla="*/ 6822804 w 12192000"/>
              <a:gd name="csY12858" fmla="*/ 4974345 h 6858000"/>
              <a:gd name="csX12859" fmla="*/ 6788464 w 12192000"/>
              <a:gd name="csY12859" fmla="*/ 4939525 h 6858000"/>
              <a:gd name="csX12860" fmla="*/ 6872206 w 12192000"/>
              <a:gd name="csY12860" fmla="*/ 4939525 h 6858000"/>
              <a:gd name="csX12861" fmla="*/ 6837853 w 12192000"/>
              <a:gd name="csY12861" fmla="*/ 4974345 h 6858000"/>
              <a:gd name="csX12862" fmla="*/ 6872206 w 12192000"/>
              <a:gd name="csY12862" fmla="*/ 5009165 h 6858000"/>
              <a:gd name="csX12863" fmla="*/ 6906546 w 12192000"/>
              <a:gd name="csY12863" fmla="*/ 4974345 h 6858000"/>
              <a:gd name="csX12864" fmla="*/ 6872206 w 12192000"/>
              <a:gd name="csY12864" fmla="*/ 4939525 h 6858000"/>
              <a:gd name="csX12865" fmla="*/ 7290939 w 12192000"/>
              <a:gd name="csY12865" fmla="*/ 4939525 h 6858000"/>
              <a:gd name="csX12866" fmla="*/ 7256586 w 12192000"/>
              <a:gd name="csY12866" fmla="*/ 4974345 h 6858000"/>
              <a:gd name="csX12867" fmla="*/ 7290939 w 12192000"/>
              <a:gd name="csY12867" fmla="*/ 5009165 h 6858000"/>
              <a:gd name="csX12868" fmla="*/ 7325279 w 12192000"/>
              <a:gd name="csY12868" fmla="*/ 4974345 h 6858000"/>
              <a:gd name="csX12869" fmla="*/ 7290939 w 12192000"/>
              <a:gd name="csY12869" fmla="*/ 4939525 h 6858000"/>
              <a:gd name="csX12870" fmla="*/ 9635705 w 12192000"/>
              <a:gd name="csY12870" fmla="*/ 4939525 h 6858000"/>
              <a:gd name="csX12871" fmla="*/ 9601352 w 12192000"/>
              <a:gd name="csY12871" fmla="*/ 4974345 h 6858000"/>
              <a:gd name="csX12872" fmla="*/ 9635705 w 12192000"/>
              <a:gd name="csY12872" fmla="*/ 5009165 h 6858000"/>
              <a:gd name="csX12873" fmla="*/ 9670045 w 12192000"/>
              <a:gd name="csY12873" fmla="*/ 4974345 h 6858000"/>
              <a:gd name="csX12874" fmla="*/ 9635705 w 12192000"/>
              <a:gd name="csY12874" fmla="*/ 4939525 h 6858000"/>
              <a:gd name="csX12875" fmla="*/ 9719446 w 12192000"/>
              <a:gd name="csY12875" fmla="*/ 4939525 h 6858000"/>
              <a:gd name="csX12876" fmla="*/ 9685093 w 12192000"/>
              <a:gd name="csY12876" fmla="*/ 4974345 h 6858000"/>
              <a:gd name="csX12877" fmla="*/ 9719446 w 12192000"/>
              <a:gd name="csY12877" fmla="*/ 5009165 h 6858000"/>
              <a:gd name="csX12878" fmla="*/ 9753787 w 12192000"/>
              <a:gd name="csY12878" fmla="*/ 4974345 h 6858000"/>
              <a:gd name="csX12879" fmla="*/ 9719446 w 12192000"/>
              <a:gd name="csY12879" fmla="*/ 4939525 h 6858000"/>
              <a:gd name="csX12880" fmla="*/ 9803189 w 12192000"/>
              <a:gd name="csY12880" fmla="*/ 4939525 h 6858000"/>
              <a:gd name="csX12881" fmla="*/ 9768836 w 12192000"/>
              <a:gd name="csY12881" fmla="*/ 4974345 h 6858000"/>
              <a:gd name="csX12882" fmla="*/ 9803189 w 12192000"/>
              <a:gd name="csY12882" fmla="*/ 5009165 h 6858000"/>
              <a:gd name="csX12883" fmla="*/ 9837529 w 12192000"/>
              <a:gd name="csY12883" fmla="*/ 4974345 h 6858000"/>
              <a:gd name="csX12884" fmla="*/ 9803189 w 12192000"/>
              <a:gd name="csY12884" fmla="*/ 4939525 h 6858000"/>
              <a:gd name="csX12885" fmla="*/ 9886930 w 12192000"/>
              <a:gd name="csY12885" fmla="*/ 4939525 h 6858000"/>
              <a:gd name="csX12886" fmla="*/ 9852577 w 12192000"/>
              <a:gd name="csY12886" fmla="*/ 4974345 h 6858000"/>
              <a:gd name="csX12887" fmla="*/ 9886930 w 12192000"/>
              <a:gd name="csY12887" fmla="*/ 5009165 h 6858000"/>
              <a:gd name="csX12888" fmla="*/ 9921270 w 12192000"/>
              <a:gd name="csY12888" fmla="*/ 4974345 h 6858000"/>
              <a:gd name="csX12889" fmla="*/ 9886930 w 12192000"/>
              <a:gd name="csY12889" fmla="*/ 4939525 h 6858000"/>
              <a:gd name="csX12890" fmla="*/ 9970671 w 12192000"/>
              <a:gd name="csY12890" fmla="*/ 4939525 h 6858000"/>
              <a:gd name="csX12891" fmla="*/ 9936318 w 12192000"/>
              <a:gd name="csY12891" fmla="*/ 4974345 h 6858000"/>
              <a:gd name="csX12892" fmla="*/ 9970671 w 12192000"/>
              <a:gd name="csY12892" fmla="*/ 5009165 h 6858000"/>
              <a:gd name="csX12893" fmla="*/ 10005011 w 12192000"/>
              <a:gd name="csY12893" fmla="*/ 4974345 h 6858000"/>
              <a:gd name="csX12894" fmla="*/ 9970671 w 12192000"/>
              <a:gd name="csY12894" fmla="*/ 4939525 h 6858000"/>
              <a:gd name="csX12895" fmla="*/ 10054413 w 12192000"/>
              <a:gd name="csY12895" fmla="*/ 4939525 h 6858000"/>
              <a:gd name="csX12896" fmla="*/ 10020060 w 12192000"/>
              <a:gd name="csY12896" fmla="*/ 4974345 h 6858000"/>
              <a:gd name="csX12897" fmla="*/ 10054413 w 12192000"/>
              <a:gd name="csY12897" fmla="*/ 5009165 h 6858000"/>
              <a:gd name="csX12898" fmla="*/ 10088754 w 12192000"/>
              <a:gd name="csY12898" fmla="*/ 4974345 h 6858000"/>
              <a:gd name="csX12899" fmla="*/ 10054413 w 12192000"/>
              <a:gd name="csY12899" fmla="*/ 4939525 h 6858000"/>
              <a:gd name="csX12900" fmla="*/ 10138155 w 12192000"/>
              <a:gd name="csY12900" fmla="*/ 4939525 h 6858000"/>
              <a:gd name="csX12901" fmla="*/ 10103802 w 12192000"/>
              <a:gd name="csY12901" fmla="*/ 4974345 h 6858000"/>
              <a:gd name="csX12902" fmla="*/ 10138155 w 12192000"/>
              <a:gd name="csY12902" fmla="*/ 5009165 h 6858000"/>
              <a:gd name="csX12903" fmla="*/ 10172495 w 12192000"/>
              <a:gd name="csY12903" fmla="*/ 4974345 h 6858000"/>
              <a:gd name="csX12904" fmla="*/ 10138155 w 12192000"/>
              <a:gd name="csY12904" fmla="*/ 4939525 h 6858000"/>
              <a:gd name="csX12905" fmla="*/ 10221896 w 12192000"/>
              <a:gd name="csY12905" fmla="*/ 4939525 h 6858000"/>
              <a:gd name="csX12906" fmla="*/ 10187543 w 12192000"/>
              <a:gd name="csY12906" fmla="*/ 4974345 h 6858000"/>
              <a:gd name="csX12907" fmla="*/ 10221896 w 12192000"/>
              <a:gd name="csY12907" fmla="*/ 5009165 h 6858000"/>
              <a:gd name="csX12908" fmla="*/ 10256236 w 12192000"/>
              <a:gd name="csY12908" fmla="*/ 4974345 h 6858000"/>
              <a:gd name="csX12909" fmla="*/ 10221896 w 12192000"/>
              <a:gd name="csY12909" fmla="*/ 4939525 h 6858000"/>
              <a:gd name="csX12910" fmla="*/ 10305638 w 12192000"/>
              <a:gd name="csY12910" fmla="*/ 4939525 h 6858000"/>
              <a:gd name="csX12911" fmla="*/ 10271285 w 12192000"/>
              <a:gd name="csY12911" fmla="*/ 4974345 h 6858000"/>
              <a:gd name="csX12912" fmla="*/ 10305638 w 12192000"/>
              <a:gd name="csY12912" fmla="*/ 5009165 h 6858000"/>
              <a:gd name="csX12913" fmla="*/ 10339978 w 12192000"/>
              <a:gd name="csY12913" fmla="*/ 4974345 h 6858000"/>
              <a:gd name="csX12914" fmla="*/ 10305638 w 12192000"/>
              <a:gd name="csY12914" fmla="*/ 4939525 h 6858000"/>
              <a:gd name="csX12915" fmla="*/ 10389379 w 12192000"/>
              <a:gd name="csY12915" fmla="*/ 4939525 h 6858000"/>
              <a:gd name="csX12916" fmla="*/ 10355026 w 12192000"/>
              <a:gd name="csY12916" fmla="*/ 4974345 h 6858000"/>
              <a:gd name="csX12917" fmla="*/ 10389379 w 12192000"/>
              <a:gd name="csY12917" fmla="*/ 5009165 h 6858000"/>
              <a:gd name="csX12918" fmla="*/ 10423720 w 12192000"/>
              <a:gd name="csY12918" fmla="*/ 4974345 h 6858000"/>
              <a:gd name="csX12919" fmla="*/ 10389379 w 12192000"/>
              <a:gd name="csY12919" fmla="*/ 4939525 h 6858000"/>
              <a:gd name="csX12920" fmla="*/ 3773759 w 12192000"/>
              <a:gd name="csY12920" fmla="*/ 5024388 h 6858000"/>
              <a:gd name="csX12921" fmla="*/ 3739412 w 12192000"/>
              <a:gd name="csY12921" fmla="*/ 5059209 h 6858000"/>
              <a:gd name="csX12922" fmla="*/ 3773759 w 12192000"/>
              <a:gd name="csY12922" fmla="*/ 5094029 h 6858000"/>
              <a:gd name="csX12923" fmla="*/ 3808106 w 12192000"/>
              <a:gd name="csY12923" fmla="*/ 5059209 h 6858000"/>
              <a:gd name="csX12924" fmla="*/ 3773759 w 12192000"/>
              <a:gd name="csY12924" fmla="*/ 5024388 h 6858000"/>
              <a:gd name="csX12925" fmla="*/ 3857500 w 12192000"/>
              <a:gd name="csY12925" fmla="*/ 5024388 h 6858000"/>
              <a:gd name="csX12926" fmla="*/ 3823154 w 12192000"/>
              <a:gd name="csY12926" fmla="*/ 5059209 h 6858000"/>
              <a:gd name="csX12927" fmla="*/ 3857500 w 12192000"/>
              <a:gd name="csY12927" fmla="*/ 5094029 h 6858000"/>
              <a:gd name="csX12928" fmla="*/ 3891847 w 12192000"/>
              <a:gd name="csY12928" fmla="*/ 5059209 h 6858000"/>
              <a:gd name="csX12929" fmla="*/ 3857500 w 12192000"/>
              <a:gd name="csY12929" fmla="*/ 5024388 h 6858000"/>
              <a:gd name="csX12930" fmla="*/ 3941242 w 12192000"/>
              <a:gd name="csY12930" fmla="*/ 5024388 h 6858000"/>
              <a:gd name="csX12931" fmla="*/ 3906895 w 12192000"/>
              <a:gd name="csY12931" fmla="*/ 5059209 h 6858000"/>
              <a:gd name="csX12932" fmla="*/ 3941242 w 12192000"/>
              <a:gd name="csY12932" fmla="*/ 5094029 h 6858000"/>
              <a:gd name="csX12933" fmla="*/ 3975588 w 12192000"/>
              <a:gd name="csY12933" fmla="*/ 5059209 h 6858000"/>
              <a:gd name="csX12934" fmla="*/ 3941242 w 12192000"/>
              <a:gd name="csY12934" fmla="*/ 5024388 h 6858000"/>
              <a:gd name="csX12935" fmla="*/ 4024990 w 12192000"/>
              <a:gd name="csY12935" fmla="*/ 5024388 h 6858000"/>
              <a:gd name="csX12936" fmla="*/ 3990643 w 12192000"/>
              <a:gd name="csY12936" fmla="*/ 5059209 h 6858000"/>
              <a:gd name="csX12937" fmla="*/ 4024990 w 12192000"/>
              <a:gd name="csY12937" fmla="*/ 5094029 h 6858000"/>
              <a:gd name="csX12938" fmla="*/ 4059337 w 12192000"/>
              <a:gd name="csY12938" fmla="*/ 5059209 h 6858000"/>
              <a:gd name="csX12939" fmla="*/ 4024990 w 12192000"/>
              <a:gd name="csY12939" fmla="*/ 5024388 h 6858000"/>
              <a:gd name="csX12940" fmla="*/ 4108732 w 12192000"/>
              <a:gd name="csY12940" fmla="*/ 5024388 h 6858000"/>
              <a:gd name="csX12941" fmla="*/ 4074386 w 12192000"/>
              <a:gd name="csY12941" fmla="*/ 5059209 h 6858000"/>
              <a:gd name="csX12942" fmla="*/ 4108732 w 12192000"/>
              <a:gd name="csY12942" fmla="*/ 5094029 h 6858000"/>
              <a:gd name="csX12943" fmla="*/ 4143079 w 12192000"/>
              <a:gd name="csY12943" fmla="*/ 5059209 h 6858000"/>
              <a:gd name="csX12944" fmla="*/ 4108732 w 12192000"/>
              <a:gd name="csY12944" fmla="*/ 5024388 h 6858000"/>
              <a:gd name="csX12945" fmla="*/ 4192473 w 12192000"/>
              <a:gd name="csY12945" fmla="*/ 5024388 h 6858000"/>
              <a:gd name="csX12946" fmla="*/ 4158127 w 12192000"/>
              <a:gd name="csY12946" fmla="*/ 5059209 h 6858000"/>
              <a:gd name="csX12947" fmla="*/ 4192473 w 12192000"/>
              <a:gd name="csY12947" fmla="*/ 5094029 h 6858000"/>
              <a:gd name="csX12948" fmla="*/ 4226820 w 12192000"/>
              <a:gd name="csY12948" fmla="*/ 5059209 h 6858000"/>
              <a:gd name="csX12949" fmla="*/ 4192473 w 12192000"/>
              <a:gd name="csY12949" fmla="*/ 5024388 h 6858000"/>
              <a:gd name="csX12950" fmla="*/ 4276215 w 12192000"/>
              <a:gd name="csY12950" fmla="*/ 5024388 h 6858000"/>
              <a:gd name="csX12951" fmla="*/ 4241868 w 12192000"/>
              <a:gd name="csY12951" fmla="*/ 5059209 h 6858000"/>
              <a:gd name="csX12952" fmla="*/ 4276215 w 12192000"/>
              <a:gd name="csY12952" fmla="*/ 5094029 h 6858000"/>
              <a:gd name="csX12953" fmla="*/ 4310561 w 12192000"/>
              <a:gd name="csY12953" fmla="*/ 5059209 h 6858000"/>
              <a:gd name="csX12954" fmla="*/ 4276215 w 12192000"/>
              <a:gd name="csY12954" fmla="*/ 5024388 h 6858000"/>
              <a:gd name="csX12955" fmla="*/ 4359957 w 12192000"/>
              <a:gd name="csY12955" fmla="*/ 5024388 h 6858000"/>
              <a:gd name="csX12956" fmla="*/ 4325610 w 12192000"/>
              <a:gd name="csY12956" fmla="*/ 5059209 h 6858000"/>
              <a:gd name="csX12957" fmla="*/ 4359957 w 12192000"/>
              <a:gd name="csY12957" fmla="*/ 5094029 h 6858000"/>
              <a:gd name="csX12958" fmla="*/ 4394304 w 12192000"/>
              <a:gd name="csY12958" fmla="*/ 5059209 h 6858000"/>
              <a:gd name="csX12959" fmla="*/ 4359957 w 12192000"/>
              <a:gd name="csY12959" fmla="*/ 5024388 h 6858000"/>
              <a:gd name="csX12960" fmla="*/ 4443698 w 12192000"/>
              <a:gd name="csY12960" fmla="*/ 5024388 h 6858000"/>
              <a:gd name="csX12961" fmla="*/ 4409352 w 12192000"/>
              <a:gd name="csY12961" fmla="*/ 5059209 h 6858000"/>
              <a:gd name="csX12962" fmla="*/ 4443698 w 12192000"/>
              <a:gd name="csY12962" fmla="*/ 5094029 h 6858000"/>
              <a:gd name="csX12963" fmla="*/ 4478045 w 12192000"/>
              <a:gd name="csY12963" fmla="*/ 5059209 h 6858000"/>
              <a:gd name="csX12964" fmla="*/ 4443698 w 12192000"/>
              <a:gd name="csY12964" fmla="*/ 5024388 h 6858000"/>
              <a:gd name="csX12965" fmla="*/ 6369755 w 12192000"/>
              <a:gd name="csY12965" fmla="*/ 5024388 h 6858000"/>
              <a:gd name="csX12966" fmla="*/ 6335402 w 12192000"/>
              <a:gd name="csY12966" fmla="*/ 5059209 h 6858000"/>
              <a:gd name="csX12967" fmla="*/ 6369755 w 12192000"/>
              <a:gd name="csY12967" fmla="*/ 5094029 h 6858000"/>
              <a:gd name="csX12968" fmla="*/ 6404096 w 12192000"/>
              <a:gd name="csY12968" fmla="*/ 5059209 h 6858000"/>
              <a:gd name="csX12969" fmla="*/ 6369755 w 12192000"/>
              <a:gd name="csY12969" fmla="*/ 5024388 h 6858000"/>
              <a:gd name="csX12970" fmla="*/ 6453498 w 12192000"/>
              <a:gd name="csY12970" fmla="*/ 5024388 h 6858000"/>
              <a:gd name="csX12971" fmla="*/ 6419144 w 12192000"/>
              <a:gd name="csY12971" fmla="*/ 5059209 h 6858000"/>
              <a:gd name="csX12972" fmla="*/ 6453498 w 12192000"/>
              <a:gd name="csY12972" fmla="*/ 5094029 h 6858000"/>
              <a:gd name="csX12973" fmla="*/ 6487838 w 12192000"/>
              <a:gd name="csY12973" fmla="*/ 5059209 h 6858000"/>
              <a:gd name="csX12974" fmla="*/ 6453498 w 12192000"/>
              <a:gd name="csY12974" fmla="*/ 5024388 h 6858000"/>
              <a:gd name="csX12975" fmla="*/ 6537239 w 12192000"/>
              <a:gd name="csY12975" fmla="*/ 5024388 h 6858000"/>
              <a:gd name="csX12976" fmla="*/ 6502886 w 12192000"/>
              <a:gd name="csY12976" fmla="*/ 5059209 h 6858000"/>
              <a:gd name="csX12977" fmla="*/ 6537239 w 12192000"/>
              <a:gd name="csY12977" fmla="*/ 5094029 h 6858000"/>
              <a:gd name="csX12978" fmla="*/ 6571579 w 12192000"/>
              <a:gd name="csY12978" fmla="*/ 5059209 h 6858000"/>
              <a:gd name="csX12979" fmla="*/ 6537239 w 12192000"/>
              <a:gd name="csY12979" fmla="*/ 5024388 h 6858000"/>
              <a:gd name="csX12980" fmla="*/ 6620980 w 12192000"/>
              <a:gd name="csY12980" fmla="*/ 5024388 h 6858000"/>
              <a:gd name="csX12981" fmla="*/ 6586627 w 12192000"/>
              <a:gd name="csY12981" fmla="*/ 5059209 h 6858000"/>
              <a:gd name="csX12982" fmla="*/ 6620980 w 12192000"/>
              <a:gd name="csY12982" fmla="*/ 5094029 h 6858000"/>
              <a:gd name="csX12983" fmla="*/ 6655320 w 12192000"/>
              <a:gd name="csY12983" fmla="*/ 5059209 h 6858000"/>
              <a:gd name="csX12984" fmla="*/ 6620980 w 12192000"/>
              <a:gd name="csY12984" fmla="*/ 5024388 h 6858000"/>
              <a:gd name="csX12985" fmla="*/ 6704722 w 12192000"/>
              <a:gd name="csY12985" fmla="*/ 5024388 h 6858000"/>
              <a:gd name="csX12986" fmla="*/ 6670369 w 12192000"/>
              <a:gd name="csY12986" fmla="*/ 5059209 h 6858000"/>
              <a:gd name="csX12987" fmla="*/ 6704722 w 12192000"/>
              <a:gd name="csY12987" fmla="*/ 5094029 h 6858000"/>
              <a:gd name="csX12988" fmla="*/ 6739063 w 12192000"/>
              <a:gd name="csY12988" fmla="*/ 5059209 h 6858000"/>
              <a:gd name="csX12989" fmla="*/ 6704722 w 12192000"/>
              <a:gd name="csY12989" fmla="*/ 5024388 h 6858000"/>
              <a:gd name="csX12990" fmla="*/ 6788464 w 12192000"/>
              <a:gd name="csY12990" fmla="*/ 5024388 h 6858000"/>
              <a:gd name="csX12991" fmla="*/ 6754110 w 12192000"/>
              <a:gd name="csY12991" fmla="*/ 5059209 h 6858000"/>
              <a:gd name="csX12992" fmla="*/ 6788464 w 12192000"/>
              <a:gd name="csY12992" fmla="*/ 5094029 h 6858000"/>
              <a:gd name="csX12993" fmla="*/ 6822804 w 12192000"/>
              <a:gd name="csY12993" fmla="*/ 5059209 h 6858000"/>
              <a:gd name="csX12994" fmla="*/ 6788464 w 12192000"/>
              <a:gd name="csY12994" fmla="*/ 5024388 h 6858000"/>
              <a:gd name="csX12995" fmla="*/ 6872206 w 12192000"/>
              <a:gd name="csY12995" fmla="*/ 5024388 h 6858000"/>
              <a:gd name="csX12996" fmla="*/ 6837853 w 12192000"/>
              <a:gd name="csY12996" fmla="*/ 5059209 h 6858000"/>
              <a:gd name="csX12997" fmla="*/ 6872206 w 12192000"/>
              <a:gd name="csY12997" fmla="*/ 5094029 h 6858000"/>
              <a:gd name="csX12998" fmla="*/ 6906546 w 12192000"/>
              <a:gd name="csY12998" fmla="*/ 5059209 h 6858000"/>
              <a:gd name="csX12999" fmla="*/ 6872206 w 12192000"/>
              <a:gd name="csY12999" fmla="*/ 5024388 h 6858000"/>
              <a:gd name="csX13000" fmla="*/ 7207198 w 12192000"/>
              <a:gd name="csY13000" fmla="*/ 5024388 h 6858000"/>
              <a:gd name="csX13001" fmla="*/ 7172845 w 12192000"/>
              <a:gd name="csY13001" fmla="*/ 5059209 h 6858000"/>
              <a:gd name="csX13002" fmla="*/ 7207198 w 12192000"/>
              <a:gd name="csY13002" fmla="*/ 5094029 h 6858000"/>
              <a:gd name="csX13003" fmla="*/ 7241538 w 12192000"/>
              <a:gd name="csY13003" fmla="*/ 5059209 h 6858000"/>
              <a:gd name="csX13004" fmla="*/ 7207198 w 12192000"/>
              <a:gd name="csY13004" fmla="*/ 5024388 h 6858000"/>
              <a:gd name="csX13005" fmla="*/ 7290939 w 12192000"/>
              <a:gd name="csY13005" fmla="*/ 5024388 h 6858000"/>
              <a:gd name="csX13006" fmla="*/ 7256586 w 12192000"/>
              <a:gd name="csY13006" fmla="*/ 5059209 h 6858000"/>
              <a:gd name="csX13007" fmla="*/ 7290939 w 12192000"/>
              <a:gd name="csY13007" fmla="*/ 5094029 h 6858000"/>
              <a:gd name="csX13008" fmla="*/ 7325279 w 12192000"/>
              <a:gd name="csY13008" fmla="*/ 5059209 h 6858000"/>
              <a:gd name="csX13009" fmla="*/ 7290939 w 12192000"/>
              <a:gd name="csY13009" fmla="*/ 5024388 h 6858000"/>
              <a:gd name="csX13010" fmla="*/ 9468222 w 12192000"/>
              <a:gd name="csY13010" fmla="*/ 5024388 h 6858000"/>
              <a:gd name="csX13011" fmla="*/ 9433869 w 12192000"/>
              <a:gd name="csY13011" fmla="*/ 5059209 h 6858000"/>
              <a:gd name="csX13012" fmla="*/ 9468222 w 12192000"/>
              <a:gd name="csY13012" fmla="*/ 5094029 h 6858000"/>
              <a:gd name="csX13013" fmla="*/ 9502562 w 12192000"/>
              <a:gd name="csY13013" fmla="*/ 5059209 h 6858000"/>
              <a:gd name="csX13014" fmla="*/ 9468222 w 12192000"/>
              <a:gd name="csY13014" fmla="*/ 5024388 h 6858000"/>
              <a:gd name="csX13015" fmla="*/ 9551963 w 12192000"/>
              <a:gd name="csY13015" fmla="*/ 5024388 h 6858000"/>
              <a:gd name="csX13016" fmla="*/ 9517610 w 12192000"/>
              <a:gd name="csY13016" fmla="*/ 5059209 h 6858000"/>
              <a:gd name="csX13017" fmla="*/ 9551963 w 12192000"/>
              <a:gd name="csY13017" fmla="*/ 5094029 h 6858000"/>
              <a:gd name="csX13018" fmla="*/ 9586303 w 12192000"/>
              <a:gd name="csY13018" fmla="*/ 5059209 h 6858000"/>
              <a:gd name="csX13019" fmla="*/ 9551963 w 12192000"/>
              <a:gd name="csY13019" fmla="*/ 5024388 h 6858000"/>
              <a:gd name="csX13020" fmla="*/ 9635705 w 12192000"/>
              <a:gd name="csY13020" fmla="*/ 5024388 h 6858000"/>
              <a:gd name="csX13021" fmla="*/ 9601352 w 12192000"/>
              <a:gd name="csY13021" fmla="*/ 5059209 h 6858000"/>
              <a:gd name="csX13022" fmla="*/ 9635705 w 12192000"/>
              <a:gd name="csY13022" fmla="*/ 5094029 h 6858000"/>
              <a:gd name="csX13023" fmla="*/ 9670045 w 12192000"/>
              <a:gd name="csY13023" fmla="*/ 5059209 h 6858000"/>
              <a:gd name="csX13024" fmla="*/ 9635705 w 12192000"/>
              <a:gd name="csY13024" fmla="*/ 5024388 h 6858000"/>
              <a:gd name="csX13025" fmla="*/ 9719446 w 12192000"/>
              <a:gd name="csY13025" fmla="*/ 5024388 h 6858000"/>
              <a:gd name="csX13026" fmla="*/ 9685093 w 12192000"/>
              <a:gd name="csY13026" fmla="*/ 5059209 h 6858000"/>
              <a:gd name="csX13027" fmla="*/ 9719446 w 12192000"/>
              <a:gd name="csY13027" fmla="*/ 5094029 h 6858000"/>
              <a:gd name="csX13028" fmla="*/ 9753787 w 12192000"/>
              <a:gd name="csY13028" fmla="*/ 5059209 h 6858000"/>
              <a:gd name="csX13029" fmla="*/ 9719446 w 12192000"/>
              <a:gd name="csY13029" fmla="*/ 5024388 h 6858000"/>
              <a:gd name="csX13030" fmla="*/ 9803189 w 12192000"/>
              <a:gd name="csY13030" fmla="*/ 5024388 h 6858000"/>
              <a:gd name="csX13031" fmla="*/ 9768836 w 12192000"/>
              <a:gd name="csY13031" fmla="*/ 5059209 h 6858000"/>
              <a:gd name="csX13032" fmla="*/ 9803189 w 12192000"/>
              <a:gd name="csY13032" fmla="*/ 5094029 h 6858000"/>
              <a:gd name="csX13033" fmla="*/ 9837529 w 12192000"/>
              <a:gd name="csY13033" fmla="*/ 5059209 h 6858000"/>
              <a:gd name="csX13034" fmla="*/ 9803189 w 12192000"/>
              <a:gd name="csY13034" fmla="*/ 5024388 h 6858000"/>
              <a:gd name="csX13035" fmla="*/ 9886930 w 12192000"/>
              <a:gd name="csY13035" fmla="*/ 5024388 h 6858000"/>
              <a:gd name="csX13036" fmla="*/ 9852577 w 12192000"/>
              <a:gd name="csY13036" fmla="*/ 5059209 h 6858000"/>
              <a:gd name="csX13037" fmla="*/ 9886930 w 12192000"/>
              <a:gd name="csY13037" fmla="*/ 5094029 h 6858000"/>
              <a:gd name="csX13038" fmla="*/ 9921270 w 12192000"/>
              <a:gd name="csY13038" fmla="*/ 5059209 h 6858000"/>
              <a:gd name="csX13039" fmla="*/ 9886930 w 12192000"/>
              <a:gd name="csY13039" fmla="*/ 5024388 h 6858000"/>
              <a:gd name="csX13040" fmla="*/ 9970671 w 12192000"/>
              <a:gd name="csY13040" fmla="*/ 5024388 h 6858000"/>
              <a:gd name="csX13041" fmla="*/ 9936318 w 12192000"/>
              <a:gd name="csY13041" fmla="*/ 5059209 h 6858000"/>
              <a:gd name="csX13042" fmla="*/ 9970671 w 12192000"/>
              <a:gd name="csY13042" fmla="*/ 5094029 h 6858000"/>
              <a:gd name="csX13043" fmla="*/ 10005011 w 12192000"/>
              <a:gd name="csY13043" fmla="*/ 5059209 h 6858000"/>
              <a:gd name="csX13044" fmla="*/ 9970671 w 12192000"/>
              <a:gd name="csY13044" fmla="*/ 5024388 h 6858000"/>
              <a:gd name="csX13045" fmla="*/ 10054413 w 12192000"/>
              <a:gd name="csY13045" fmla="*/ 5024388 h 6858000"/>
              <a:gd name="csX13046" fmla="*/ 10020060 w 12192000"/>
              <a:gd name="csY13046" fmla="*/ 5059209 h 6858000"/>
              <a:gd name="csX13047" fmla="*/ 10054413 w 12192000"/>
              <a:gd name="csY13047" fmla="*/ 5094029 h 6858000"/>
              <a:gd name="csX13048" fmla="*/ 10088754 w 12192000"/>
              <a:gd name="csY13048" fmla="*/ 5059209 h 6858000"/>
              <a:gd name="csX13049" fmla="*/ 10054413 w 12192000"/>
              <a:gd name="csY13049" fmla="*/ 5024388 h 6858000"/>
              <a:gd name="csX13050" fmla="*/ 10138155 w 12192000"/>
              <a:gd name="csY13050" fmla="*/ 5024388 h 6858000"/>
              <a:gd name="csX13051" fmla="*/ 10103802 w 12192000"/>
              <a:gd name="csY13051" fmla="*/ 5059209 h 6858000"/>
              <a:gd name="csX13052" fmla="*/ 10138155 w 12192000"/>
              <a:gd name="csY13052" fmla="*/ 5094029 h 6858000"/>
              <a:gd name="csX13053" fmla="*/ 10172495 w 12192000"/>
              <a:gd name="csY13053" fmla="*/ 5059209 h 6858000"/>
              <a:gd name="csX13054" fmla="*/ 10138155 w 12192000"/>
              <a:gd name="csY13054" fmla="*/ 5024388 h 6858000"/>
              <a:gd name="csX13055" fmla="*/ 10221896 w 12192000"/>
              <a:gd name="csY13055" fmla="*/ 5024388 h 6858000"/>
              <a:gd name="csX13056" fmla="*/ 10187543 w 12192000"/>
              <a:gd name="csY13056" fmla="*/ 5059209 h 6858000"/>
              <a:gd name="csX13057" fmla="*/ 10221896 w 12192000"/>
              <a:gd name="csY13057" fmla="*/ 5094029 h 6858000"/>
              <a:gd name="csX13058" fmla="*/ 10256236 w 12192000"/>
              <a:gd name="csY13058" fmla="*/ 5059209 h 6858000"/>
              <a:gd name="csX13059" fmla="*/ 10221896 w 12192000"/>
              <a:gd name="csY13059" fmla="*/ 5024388 h 6858000"/>
              <a:gd name="csX13060" fmla="*/ 10305638 w 12192000"/>
              <a:gd name="csY13060" fmla="*/ 5024388 h 6858000"/>
              <a:gd name="csX13061" fmla="*/ 10271285 w 12192000"/>
              <a:gd name="csY13061" fmla="*/ 5059209 h 6858000"/>
              <a:gd name="csX13062" fmla="*/ 10305638 w 12192000"/>
              <a:gd name="csY13062" fmla="*/ 5094029 h 6858000"/>
              <a:gd name="csX13063" fmla="*/ 10339978 w 12192000"/>
              <a:gd name="csY13063" fmla="*/ 5059209 h 6858000"/>
              <a:gd name="csX13064" fmla="*/ 10305638 w 12192000"/>
              <a:gd name="csY13064" fmla="*/ 5024388 h 6858000"/>
              <a:gd name="csX13065" fmla="*/ 10389379 w 12192000"/>
              <a:gd name="csY13065" fmla="*/ 5024388 h 6858000"/>
              <a:gd name="csX13066" fmla="*/ 10355026 w 12192000"/>
              <a:gd name="csY13066" fmla="*/ 5059209 h 6858000"/>
              <a:gd name="csX13067" fmla="*/ 10389379 w 12192000"/>
              <a:gd name="csY13067" fmla="*/ 5094029 h 6858000"/>
              <a:gd name="csX13068" fmla="*/ 10423720 w 12192000"/>
              <a:gd name="csY13068" fmla="*/ 5059209 h 6858000"/>
              <a:gd name="csX13069" fmla="*/ 10389379 w 12192000"/>
              <a:gd name="csY13069" fmla="*/ 5024388 h 6858000"/>
              <a:gd name="csX13070" fmla="*/ 10975571 w 12192000"/>
              <a:gd name="csY13070" fmla="*/ 5024388 h 6858000"/>
              <a:gd name="csX13071" fmla="*/ 10941218 w 12192000"/>
              <a:gd name="csY13071" fmla="*/ 5059209 h 6858000"/>
              <a:gd name="csX13072" fmla="*/ 10975571 w 12192000"/>
              <a:gd name="csY13072" fmla="*/ 5094029 h 6858000"/>
              <a:gd name="csX13073" fmla="*/ 11009911 w 12192000"/>
              <a:gd name="csY13073" fmla="*/ 5059209 h 6858000"/>
              <a:gd name="csX13074" fmla="*/ 10975571 w 12192000"/>
              <a:gd name="csY13074" fmla="*/ 5024388 h 6858000"/>
              <a:gd name="csX13075" fmla="*/ 3773759 w 12192000"/>
              <a:gd name="csY13075" fmla="*/ 5109253 h 6858000"/>
              <a:gd name="csX13076" fmla="*/ 3739412 w 12192000"/>
              <a:gd name="csY13076" fmla="*/ 5144074 h 6858000"/>
              <a:gd name="csX13077" fmla="*/ 3773759 w 12192000"/>
              <a:gd name="csY13077" fmla="*/ 5178894 h 6858000"/>
              <a:gd name="csX13078" fmla="*/ 3808106 w 12192000"/>
              <a:gd name="csY13078" fmla="*/ 5144074 h 6858000"/>
              <a:gd name="csX13079" fmla="*/ 3773759 w 12192000"/>
              <a:gd name="csY13079" fmla="*/ 5109253 h 6858000"/>
              <a:gd name="csX13080" fmla="*/ 3857500 w 12192000"/>
              <a:gd name="csY13080" fmla="*/ 5109253 h 6858000"/>
              <a:gd name="csX13081" fmla="*/ 3823154 w 12192000"/>
              <a:gd name="csY13081" fmla="*/ 5144074 h 6858000"/>
              <a:gd name="csX13082" fmla="*/ 3857500 w 12192000"/>
              <a:gd name="csY13082" fmla="*/ 5178894 h 6858000"/>
              <a:gd name="csX13083" fmla="*/ 3891847 w 12192000"/>
              <a:gd name="csY13083" fmla="*/ 5144074 h 6858000"/>
              <a:gd name="csX13084" fmla="*/ 3857500 w 12192000"/>
              <a:gd name="csY13084" fmla="*/ 5109253 h 6858000"/>
              <a:gd name="csX13085" fmla="*/ 3941242 w 12192000"/>
              <a:gd name="csY13085" fmla="*/ 5109253 h 6858000"/>
              <a:gd name="csX13086" fmla="*/ 3906895 w 12192000"/>
              <a:gd name="csY13086" fmla="*/ 5144074 h 6858000"/>
              <a:gd name="csX13087" fmla="*/ 3941242 w 12192000"/>
              <a:gd name="csY13087" fmla="*/ 5178894 h 6858000"/>
              <a:gd name="csX13088" fmla="*/ 3975588 w 12192000"/>
              <a:gd name="csY13088" fmla="*/ 5144074 h 6858000"/>
              <a:gd name="csX13089" fmla="*/ 3941242 w 12192000"/>
              <a:gd name="csY13089" fmla="*/ 5109253 h 6858000"/>
              <a:gd name="csX13090" fmla="*/ 4024990 w 12192000"/>
              <a:gd name="csY13090" fmla="*/ 5109253 h 6858000"/>
              <a:gd name="csX13091" fmla="*/ 3990643 w 12192000"/>
              <a:gd name="csY13091" fmla="*/ 5144074 h 6858000"/>
              <a:gd name="csX13092" fmla="*/ 4024990 w 12192000"/>
              <a:gd name="csY13092" fmla="*/ 5178894 h 6858000"/>
              <a:gd name="csX13093" fmla="*/ 4059337 w 12192000"/>
              <a:gd name="csY13093" fmla="*/ 5144074 h 6858000"/>
              <a:gd name="csX13094" fmla="*/ 4024990 w 12192000"/>
              <a:gd name="csY13094" fmla="*/ 5109253 h 6858000"/>
              <a:gd name="csX13095" fmla="*/ 4108732 w 12192000"/>
              <a:gd name="csY13095" fmla="*/ 5109253 h 6858000"/>
              <a:gd name="csX13096" fmla="*/ 4074386 w 12192000"/>
              <a:gd name="csY13096" fmla="*/ 5144074 h 6858000"/>
              <a:gd name="csX13097" fmla="*/ 4108732 w 12192000"/>
              <a:gd name="csY13097" fmla="*/ 5178894 h 6858000"/>
              <a:gd name="csX13098" fmla="*/ 4143079 w 12192000"/>
              <a:gd name="csY13098" fmla="*/ 5144074 h 6858000"/>
              <a:gd name="csX13099" fmla="*/ 4108732 w 12192000"/>
              <a:gd name="csY13099" fmla="*/ 5109253 h 6858000"/>
              <a:gd name="csX13100" fmla="*/ 4192473 w 12192000"/>
              <a:gd name="csY13100" fmla="*/ 5109253 h 6858000"/>
              <a:gd name="csX13101" fmla="*/ 4158127 w 12192000"/>
              <a:gd name="csY13101" fmla="*/ 5144074 h 6858000"/>
              <a:gd name="csX13102" fmla="*/ 4192473 w 12192000"/>
              <a:gd name="csY13102" fmla="*/ 5178894 h 6858000"/>
              <a:gd name="csX13103" fmla="*/ 4226820 w 12192000"/>
              <a:gd name="csY13103" fmla="*/ 5144074 h 6858000"/>
              <a:gd name="csX13104" fmla="*/ 4192473 w 12192000"/>
              <a:gd name="csY13104" fmla="*/ 5109253 h 6858000"/>
              <a:gd name="csX13105" fmla="*/ 4276215 w 12192000"/>
              <a:gd name="csY13105" fmla="*/ 5109253 h 6858000"/>
              <a:gd name="csX13106" fmla="*/ 4241868 w 12192000"/>
              <a:gd name="csY13106" fmla="*/ 5144074 h 6858000"/>
              <a:gd name="csX13107" fmla="*/ 4276215 w 12192000"/>
              <a:gd name="csY13107" fmla="*/ 5178894 h 6858000"/>
              <a:gd name="csX13108" fmla="*/ 4310561 w 12192000"/>
              <a:gd name="csY13108" fmla="*/ 5144074 h 6858000"/>
              <a:gd name="csX13109" fmla="*/ 4276215 w 12192000"/>
              <a:gd name="csY13109" fmla="*/ 5109253 h 6858000"/>
              <a:gd name="csX13110" fmla="*/ 4359957 w 12192000"/>
              <a:gd name="csY13110" fmla="*/ 5109253 h 6858000"/>
              <a:gd name="csX13111" fmla="*/ 4325610 w 12192000"/>
              <a:gd name="csY13111" fmla="*/ 5144074 h 6858000"/>
              <a:gd name="csX13112" fmla="*/ 4359957 w 12192000"/>
              <a:gd name="csY13112" fmla="*/ 5178894 h 6858000"/>
              <a:gd name="csX13113" fmla="*/ 4394304 w 12192000"/>
              <a:gd name="csY13113" fmla="*/ 5144074 h 6858000"/>
              <a:gd name="csX13114" fmla="*/ 4359957 w 12192000"/>
              <a:gd name="csY13114" fmla="*/ 5109253 h 6858000"/>
              <a:gd name="csX13115" fmla="*/ 6369755 w 12192000"/>
              <a:gd name="csY13115" fmla="*/ 5109253 h 6858000"/>
              <a:gd name="csX13116" fmla="*/ 6335402 w 12192000"/>
              <a:gd name="csY13116" fmla="*/ 5144074 h 6858000"/>
              <a:gd name="csX13117" fmla="*/ 6369755 w 12192000"/>
              <a:gd name="csY13117" fmla="*/ 5178894 h 6858000"/>
              <a:gd name="csX13118" fmla="*/ 6404096 w 12192000"/>
              <a:gd name="csY13118" fmla="*/ 5144074 h 6858000"/>
              <a:gd name="csX13119" fmla="*/ 6369755 w 12192000"/>
              <a:gd name="csY13119" fmla="*/ 5109253 h 6858000"/>
              <a:gd name="csX13120" fmla="*/ 6453498 w 12192000"/>
              <a:gd name="csY13120" fmla="*/ 5109253 h 6858000"/>
              <a:gd name="csX13121" fmla="*/ 6419144 w 12192000"/>
              <a:gd name="csY13121" fmla="*/ 5144074 h 6858000"/>
              <a:gd name="csX13122" fmla="*/ 6453498 w 12192000"/>
              <a:gd name="csY13122" fmla="*/ 5178894 h 6858000"/>
              <a:gd name="csX13123" fmla="*/ 6487838 w 12192000"/>
              <a:gd name="csY13123" fmla="*/ 5144074 h 6858000"/>
              <a:gd name="csX13124" fmla="*/ 6453498 w 12192000"/>
              <a:gd name="csY13124" fmla="*/ 5109253 h 6858000"/>
              <a:gd name="csX13125" fmla="*/ 6537239 w 12192000"/>
              <a:gd name="csY13125" fmla="*/ 5109253 h 6858000"/>
              <a:gd name="csX13126" fmla="*/ 6502886 w 12192000"/>
              <a:gd name="csY13126" fmla="*/ 5144074 h 6858000"/>
              <a:gd name="csX13127" fmla="*/ 6537239 w 12192000"/>
              <a:gd name="csY13127" fmla="*/ 5178894 h 6858000"/>
              <a:gd name="csX13128" fmla="*/ 6571579 w 12192000"/>
              <a:gd name="csY13128" fmla="*/ 5144074 h 6858000"/>
              <a:gd name="csX13129" fmla="*/ 6537239 w 12192000"/>
              <a:gd name="csY13129" fmla="*/ 5109253 h 6858000"/>
              <a:gd name="csX13130" fmla="*/ 6620980 w 12192000"/>
              <a:gd name="csY13130" fmla="*/ 5109253 h 6858000"/>
              <a:gd name="csX13131" fmla="*/ 6586627 w 12192000"/>
              <a:gd name="csY13131" fmla="*/ 5144074 h 6858000"/>
              <a:gd name="csX13132" fmla="*/ 6620980 w 12192000"/>
              <a:gd name="csY13132" fmla="*/ 5178894 h 6858000"/>
              <a:gd name="csX13133" fmla="*/ 6655320 w 12192000"/>
              <a:gd name="csY13133" fmla="*/ 5144074 h 6858000"/>
              <a:gd name="csX13134" fmla="*/ 6620980 w 12192000"/>
              <a:gd name="csY13134" fmla="*/ 5109253 h 6858000"/>
              <a:gd name="csX13135" fmla="*/ 6704722 w 12192000"/>
              <a:gd name="csY13135" fmla="*/ 5109253 h 6858000"/>
              <a:gd name="csX13136" fmla="*/ 6670369 w 12192000"/>
              <a:gd name="csY13136" fmla="*/ 5144074 h 6858000"/>
              <a:gd name="csX13137" fmla="*/ 6704722 w 12192000"/>
              <a:gd name="csY13137" fmla="*/ 5178894 h 6858000"/>
              <a:gd name="csX13138" fmla="*/ 6739063 w 12192000"/>
              <a:gd name="csY13138" fmla="*/ 5144074 h 6858000"/>
              <a:gd name="csX13139" fmla="*/ 6704722 w 12192000"/>
              <a:gd name="csY13139" fmla="*/ 5109253 h 6858000"/>
              <a:gd name="csX13140" fmla="*/ 6788464 w 12192000"/>
              <a:gd name="csY13140" fmla="*/ 5109253 h 6858000"/>
              <a:gd name="csX13141" fmla="*/ 6754110 w 12192000"/>
              <a:gd name="csY13141" fmla="*/ 5144074 h 6858000"/>
              <a:gd name="csX13142" fmla="*/ 6788464 w 12192000"/>
              <a:gd name="csY13142" fmla="*/ 5178894 h 6858000"/>
              <a:gd name="csX13143" fmla="*/ 6822804 w 12192000"/>
              <a:gd name="csY13143" fmla="*/ 5144074 h 6858000"/>
              <a:gd name="csX13144" fmla="*/ 6788464 w 12192000"/>
              <a:gd name="csY13144" fmla="*/ 5109253 h 6858000"/>
              <a:gd name="csX13145" fmla="*/ 9384480 w 12192000"/>
              <a:gd name="csY13145" fmla="*/ 5109253 h 6858000"/>
              <a:gd name="csX13146" fmla="*/ 9350127 w 12192000"/>
              <a:gd name="csY13146" fmla="*/ 5144074 h 6858000"/>
              <a:gd name="csX13147" fmla="*/ 9384480 w 12192000"/>
              <a:gd name="csY13147" fmla="*/ 5178894 h 6858000"/>
              <a:gd name="csX13148" fmla="*/ 9418821 w 12192000"/>
              <a:gd name="csY13148" fmla="*/ 5144074 h 6858000"/>
              <a:gd name="csX13149" fmla="*/ 9384480 w 12192000"/>
              <a:gd name="csY13149" fmla="*/ 5109253 h 6858000"/>
              <a:gd name="csX13150" fmla="*/ 9468222 w 12192000"/>
              <a:gd name="csY13150" fmla="*/ 5109253 h 6858000"/>
              <a:gd name="csX13151" fmla="*/ 9433869 w 12192000"/>
              <a:gd name="csY13151" fmla="*/ 5144074 h 6858000"/>
              <a:gd name="csX13152" fmla="*/ 9468222 w 12192000"/>
              <a:gd name="csY13152" fmla="*/ 5178894 h 6858000"/>
              <a:gd name="csX13153" fmla="*/ 9502562 w 12192000"/>
              <a:gd name="csY13153" fmla="*/ 5144074 h 6858000"/>
              <a:gd name="csX13154" fmla="*/ 9468222 w 12192000"/>
              <a:gd name="csY13154" fmla="*/ 5109253 h 6858000"/>
              <a:gd name="csX13155" fmla="*/ 9551963 w 12192000"/>
              <a:gd name="csY13155" fmla="*/ 5109253 h 6858000"/>
              <a:gd name="csX13156" fmla="*/ 9517610 w 12192000"/>
              <a:gd name="csY13156" fmla="*/ 5144074 h 6858000"/>
              <a:gd name="csX13157" fmla="*/ 9551963 w 12192000"/>
              <a:gd name="csY13157" fmla="*/ 5178894 h 6858000"/>
              <a:gd name="csX13158" fmla="*/ 9586303 w 12192000"/>
              <a:gd name="csY13158" fmla="*/ 5144074 h 6858000"/>
              <a:gd name="csX13159" fmla="*/ 9551963 w 12192000"/>
              <a:gd name="csY13159" fmla="*/ 5109253 h 6858000"/>
              <a:gd name="csX13160" fmla="*/ 9635705 w 12192000"/>
              <a:gd name="csY13160" fmla="*/ 5109253 h 6858000"/>
              <a:gd name="csX13161" fmla="*/ 9601352 w 12192000"/>
              <a:gd name="csY13161" fmla="*/ 5144074 h 6858000"/>
              <a:gd name="csX13162" fmla="*/ 9635705 w 12192000"/>
              <a:gd name="csY13162" fmla="*/ 5178894 h 6858000"/>
              <a:gd name="csX13163" fmla="*/ 9670045 w 12192000"/>
              <a:gd name="csY13163" fmla="*/ 5144074 h 6858000"/>
              <a:gd name="csX13164" fmla="*/ 9635705 w 12192000"/>
              <a:gd name="csY13164" fmla="*/ 5109253 h 6858000"/>
              <a:gd name="csX13165" fmla="*/ 9719446 w 12192000"/>
              <a:gd name="csY13165" fmla="*/ 5109253 h 6858000"/>
              <a:gd name="csX13166" fmla="*/ 9685093 w 12192000"/>
              <a:gd name="csY13166" fmla="*/ 5144074 h 6858000"/>
              <a:gd name="csX13167" fmla="*/ 9719446 w 12192000"/>
              <a:gd name="csY13167" fmla="*/ 5178894 h 6858000"/>
              <a:gd name="csX13168" fmla="*/ 9753787 w 12192000"/>
              <a:gd name="csY13168" fmla="*/ 5144074 h 6858000"/>
              <a:gd name="csX13169" fmla="*/ 9719446 w 12192000"/>
              <a:gd name="csY13169" fmla="*/ 5109253 h 6858000"/>
              <a:gd name="csX13170" fmla="*/ 9803189 w 12192000"/>
              <a:gd name="csY13170" fmla="*/ 5109253 h 6858000"/>
              <a:gd name="csX13171" fmla="*/ 9768836 w 12192000"/>
              <a:gd name="csY13171" fmla="*/ 5144074 h 6858000"/>
              <a:gd name="csX13172" fmla="*/ 9803189 w 12192000"/>
              <a:gd name="csY13172" fmla="*/ 5178894 h 6858000"/>
              <a:gd name="csX13173" fmla="*/ 9837529 w 12192000"/>
              <a:gd name="csY13173" fmla="*/ 5144074 h 6858000"/>
              <a:gd name="csX13174" fmla="*/ 9803189 w 12192000"/>
              <a:gd name="csY13174" fmla="*/ 5109253 h 6858000"/>
              <a:gd name="csX13175" fmla="*/ 9886930 w 12192000"/>
              <a:gd name="csY13175" fmla="*/ 5109253 h 6858000"/>
              <a:gd name="csX13176" fmla="*/ 9852577 w 12192000"/>
              <a:gd name="csY13176" fmla="*/ 5144074 h 6858000"/>
              <a:gd name="csX13177" fmla="*/ 9886930 w 12192000"/>
              <a:gd name="csY13177" fmla="*/ 5178894 h 6858000"/>
              <a:gd name="csX13178" fmla="*/ 9921270 w 12192000"/>
              <a:gd name="csY13178" fmla="*/ 5144074 h 6858000"/>
              <a:gd name="csX13179" fmla="*/ 9886930 w 12192000"/>
              <a:gd name="csY13179" fmla="*/ 5109253 h 6858000"/>
              <a:gd name="csX13180" fmla="*/ 9970671 w 12192000"/>
              <a:gd name="csY13180" fmla="*/ 5109253 h 6858000"/>
              <a:gd name="csX13181" fmla="*/ 9936318 w 12192000"/>
              <a:gd name="csY13181" fmla="*/ 5144074 h 6858000"/>
              <a:gd name="csX13182" fmla="*/ 9970671 w 12192000"/>
              <a:gd name="csY13182" fmla="*/ 5178894 h 6858000"/>
              <a:gd name="csX13183" fmla="*/ 10005011 w 12192000"/>
              <a:gd name="csY13183" fmla="*/ 5144074 h 6858000"/>
              <a:gd name="csX13184" fmla="*/ 9970671 w 12192000"/>
              <a:gd name="csY13184" fmla="*/ 5109253 h 6858000"/>
              <a:gd name="csX13185" fmla="*/ 10054413 w 12192000"/>
              <a:gd name="csY13185" fmla="*/ 5109253 h 6858000"/>
              <a:gd name="csX13186" fmla="*/ 10020060 w 12192000"/>
              <a:gd name="csY13186" fmla="*/ 5144074 h 6858000"/>
              <a:gd name="csX13187" fmla="*/ 10054413 w 12192000"/>
              <a:gd name="csY13187" fmla="*/ 5178894 h 6858000"/>
              <a:gd name="csX13188" fmla="*/ 10088754 w 12192000"/>
              <a:gd name="csY13188" fmla="*/ 5144074 h 6858000"/>
              <a:gd name="csX13189" fmla="*/ 10054413 w 12192000"/>
              <a:gd name="csY13189" fmla="*/ 5109253 h 6858000"/>
              <a:gd name="csX13190" fmla="*/ 10138155 w 12192000"/>
              <a:gd name="csY13190" fmla="*/ 5109253 h 6858000"/>
              <a:gd name="csX13191" fmla="*/ 10103802 w 12192000"/>
              <a:gd name="csY13191" fmla="*/ 5144074 h 6858000"/>
              <a:gd name="csX13192" fmla="*/ 10138155 w 12192000"/>
              <a:gd name="csY13192" fmla="*/ 5178894 h 6858000"/>
              <a:gd name="csX13193" fmla="*/ 10172495 w 12192000"/>
              <a:gd name="csY13193" fmla="*/ 5144074 h 6858000"/>
              <a:gd name="csX13194" fmla="*/ 10138155 w 12192000"/>
              <a:gd name="csY13194" fmla="*/ 5109253 h 6858000"/>
              <a:gd name="csX13195" fmla="*/ 10221896 w 12192000"/>
              <a:gd name="csY13195" fmla="*/ 5109253 h 6858000"/>
              <a:gd name="csX13196" fmla="*/ 10187543 w 12192000"/>
              <a:gd name="csY13196" fmla="*/ 5144074 h 6858000"/>
              <a:gd name="csX13197" fmla="*/ 10221896 w 12192000"/>
              <a:gd name="csY13197" fmla="*/ 5178894 h 6858000"/>
              <a:gd name="csX13198" fmla="*/ 10256236 w 12192000"/>
              <a:gd name="csY13198" fmla="*/ 5144074 h 6858000"/>
              <a:gd name="csX13199" fmla="*/ 10221896 w 12192000"/>
              <a:gd name="csY13199" fmla="*/ 5109253 h 6858000"/>
              <a:gd name="csX13200" fmla="*/ 10305638 w 12192000"/>
              <a:gd name="csY13200" fmla="*/ 5109253 h 6858000"/>
              <a:gd name="csX13201" fmla="*/ 10271285 w 12192000"/>
              <a:gd name="csY13201" fmla="*/ 5144074 h 6858000"/>
              <a:gd name="csX13202" fmla="*/ 10305638 w 12192000"/>
              <a:gd name="csY13202" fmla="*/ 5178894 h 6858000"/>
              <a:gd name="csX13203" fmla="*/ 10339978 w 12192000"/>
              <a:gd name="csY13203" fmla="*/ 5144074 h 6858000"/>
              <a:gd name="csX13204" fmla="*/ 10305638 w 12192000"/>
              <a:gd name="csY13204" fmla="*/ 5109253 h 6858000"/>
              <a:gd name="csX13205" fmla="*/ 10389379 w 12192000"/>
              <a:gd name="csY13205" fmla="*/ 5109253 h 6858000"/>
              <a:gd name="csX13206" fmla="*/ 10355026 w 12192000"/>
              <a:gd name="csY13206" fmla="*/ 5144074 h 6858000"/>
              <a:gd name="csX13207" fmla="*/ 10389379 w 12192000"/>
              <a:gd name="csY13207" fmla="*/ 5178894 h 6858000"/>
              <a:gd name="csX13208" fmla="*/ 10423720 w 12192000"/>
              <a:gd name="csY13208" fmla="*/ 5144074 h 6858000"/>
              <a:gd name="csX13209" fmla="*/ 10389379 w 12192000"/>
              <a:gd name="csY13209" fmla="*/ 5109253 h 6858000"/>
              <a:gd name="csX13210" fmla="*/ 10473122 w 12192000"/>
              <a:gd name="csY13210" fmla="*/ 5109253 h 6858000"/>
              <a:gd name="csX13211" fmla="*/ 10438769 w 12192000"/>
              <a:gd name="csY13211" fmla="*/ 5144074 h 6858000"/>
              <a:gd name="csX13212" fmla="*/ 10473122 w 12192000"/>
              <a:gd name="csY13212" fmla="*/ 5178894 h 6858000"/>
              <a:gd name="csX13213" fmla="*/ 10507462 w 12192000"/>
              <a:gd name="csY13213" fmla="*/ 5144074 h 6858000"/>
              <a:gd name="csX13214" fmla="*/ 10473122 w 12192000"/>
              <a:gd name="csY13214" fmla="*/ 5109253 h 6858000"/>
              <a:gd name="csX13215" fmla="*/ 3773759 w 12192000"/>
              <a:gd name="csY13215" fmla="*/ 5194117 h 6858000"/>
              <a:gd name="csX13216" fmla="*/ 3739412 w 12192000"/>
              <a:gd name="csY13216" fmla="*/ 5228937 h 6858000"/>
              <a:gd name="csX13217" fmla="*/ 3773759 w 12192000"/>
              <a:gd name="csY13217" fmla="*/ 5263758 h 6858000"/>
              <a:gd name="csX13218" fmla="*/ 3808106 w 12192000"/>
              <a:gd name="csY13218" fmla="*/ 5228937 h 6858000"/>
              <a:gd name="csX13219" fmla="*/ 3773759 w 12192000"/>
              <a:gd name="csY13219" fmla="*/ 5194117 h 6858000"/>
              <a:gd name="csX13220" fmla="*/ 3857500 w 12192000"/>
              <a:gd name="csY13220" fmla="*/ 5194117 h 6858000"/>
              <a:gd name="csX13221" fmla="*/ 3823154 w 12192000"/>
              <a:gd name="csY13221" fmla="*/ 5228937 h 6858000"/>
              <a:gd name="csX13222" fmla="*/ 3857500 w 12192000"/>
              <a:gd name="csY13222" fmla="*/ 5263758 h 6858000"/>
              <a:gd name="csX13223" fmla="*/ 3891847 w 12192000"/>
              <a:gd name="csY13223" fmla="*/ 5228937 h 6858000"/>
              <a:gd name="csX13224" fmla="*/ 3857500 w 12192000"/>
              <a:gd name="csY13224" fmla="*/ 5194117 h 6858000"/>
              <a:gd name="csX13225" fmla="*/ 3941242 w 12192000"/>
              <a:gd name="csY13225" fmla="*/ 5194117 h 6858000"/>
              <a:gd name="csX13226" fmla="*/ 3906895 w 12192000"/>
              <a:gd name="csY13226" fmla="*/ 5228937 h 6858000"/>
              <a:gd name="csX13227" fmla="*/ 3941242 w 12192000"/>
              <a:gd name="csY13227" fmla="*/ 5263758 h 6858000"/>
              <a:gd name="csX13228" fmla="*/ 3975588 w 12192000"/>
              <a:gd name="csY13228" fmla="*/ 5228937 h 6858000"/>
              <a:gd name="csX13229" fmla="*/ 3941242 w 12192000"/>
              <a:gd name="csY13229" fmla="*/ 5194117 h 6858000"/>
              <a:gd name="csX13230" fmla="*/ 4024990 w 12192000"/>
              <a:gd name="csY13230" fmla="*/ 5194117 h 6858000"/>
              <a:gd name="csX13231" fmla="*/ 3990643 w 12192000"/>
              <a:gd name="csY13231" fmla="*/ 5228937 h 6858000"/>
              <a:gd name="csX13232" fmla="*/ 4024990 w 12192000"/>
              <a:gd name="csY13232" fmla="*/ 5263758 h 6858000"/>
              <a:gd name="csX13233" fmla="*/ 4059337 w 12192000"/>
              <a:gd name="csY13233" fmla="*/ 5228937 h 6858000"/>
              <a:gd name="csX13234" fmla="*/ 4024990 w 12192000"/>
              <a:gd name="csY13234" fmla="*/ 5194117 h 6858000"/>
              <a:gd name="csX13235" fmla="*/ 4108732 w 12192000"/>
              <a:gd name="csY13235" fmla="*/ 5194117 h 6858000"/>
              <a:gd name="csX13236" fmla="*/ 4074386 w 12192000"/>
              <a:gd name="csY13236" fmla="*/ 5228937 h 6858000"/>
              <a:gd name="csX13237" fmla="*/ 4108732 w 12192000"/>
              <a:gd name="csY13237" fmla="*/ 5263758 h 6858000"/>
              <a:gd name="csX13238" fmla="*/ 4143079 w 12192000"/>
              <a:gd name="csY13238" fmla="*/ 5228937 h 6858000"/>
              <a:gd name="csX13239" fmla="*/ 4108732 w 12192000"/>
              <a:gd name="csY13239" fmla="*/ 5194117 h 6858000"/>
              <a:gd name="csX13240" fmla="*/ 4192473 w 12192000"/>
              <a:gd name="csY13240" fmla="*/ 5194117 h 6858000"/>
              <a:gd name="csX13241" fmla="*/ 4158127 w 12192000"/>
              <a:gd name="csY13241" fmla="*/ 5228937 h 6858000"/>
              <a:gd name="csX13242" fmla="*/ 4192473 w 12192000"/>
              <a:gd name="csY13242" fmla="*/ 5263758 h 6858000"/>
              <a:gd name="csX13243" fmla="*/ 4226820 w 12192000"/>
              <a:gd name="csY13243" fmla="*/ 5228937 h 6858000"/>
              <a:gd name="csX13244" fmla="*/ 4192473 w 12192000"/>
              <a:gd name="csY13244" fmla="*/ 5194117 h 6858000"/>
              <a:gd name="csX13245" fmla="*/ 4276215 w 12192000"/>
              <a:gd name="csY13245" fmla="*/ 5194117 h 6858000"/>
              <a:gd name="csX13246" fmla="*/ 4241868 w 12192000"/>
              <a:gd name="csY13246" fmla="*/ 5228937 h 6858000"/>
              <a:gd name="csX13247" fmla="*/ 4276215 w 12192000"/>
              <a:gd name="csY13247" fmla="*/ 5263758 h 6858000"/>
              <a:gd name="csX13248" fmla="*/ 4310561 w 12192000"/>
              <a:gd name="csY13248" fmla="*/ 5228937 h 6858000"/>
              <a:gd name="csX13249" fmla="*/ 4276215 w 12192000"/>
              <a:gd name="csY13249" fmla="*/ 5194117 h 6858000"/>
              <a:gd name="csX13250" fmla="*/ 4359957 w 12192000"/>
              <a:gd name="csY13250" fmla="*/ 5194117 h 6858000"/>
              <a:gd name="csX13251" fmla="*/ 4325610 w 12192000"/>
              <a:gd name="csY13251" fmla="*/ 5228937 h 6858000"/>
              <a:gd name="csX13252" fmla="*/ 4359957 w 12192000"/>
              <a:gd name="csY13252" fmla="*/ 5263758 h 6858000"/>
              <a:gd name="csX13253" fmla="*/ 4394304 w 12192000"/>
              <a:gd name="csY13253" fmla="*/ 5228937 h 6858000"/>
              <a:gd name="csX13254" fmla="*/ 4359957 w 12192000"/>
              <a:gd name="csY13254" fmla="*/ 5194117 h 6858000"/>
              <a:gd name="csX13255" fmla="*/ 6369755 w 12192000"/>
              <a:gd name="csY13255" fmla="*/ 5194117 h 6858000"/>
              <a:gd name="csX13256" fmla="*/ 6335402 w 12192000"/>
              <a:gd name="csY13256" fmla="*/ 5228937 h 6858000"/>
              <a:gd name="csX13257" fmla="*/ 6369755 w 12192000"/>
              <a:gd name="csY13257" fmla="*/ 5263758 h 6858000"/>
              <a:gd name="csX13258" fmla="*/ 6404096 w 12192000"/>
              <a:gd name="csY13258" fmla="*/ 5228937 h 6858000"/>
              <a:gd name="csX13259" fmla="*/ 6369755 w 12192000"/>
              <a:gd name="csY13259" fmla="*/ 5194117 h 6858000"/>
              <a:gd name="csX13260" fmla="*/ 6453498 w 12192000"/>
              <a:gd name="csY13260" fmla="*/ 5194117 h 6858000"/>
              <a:gd name="csX13261" fmla="*/ 6419144 w 12192000"/>
              <a:gd name="csY13261" fmla="*/ 5228937 h 6858000"/>
              <a:gd name="csX13262" fmla="*/ 6453498 w 12192000"/>
              <a:gd name="csY13262" fmla="*/ 5263758 h 6858000"/>
              <a:gd name="csX13263" fmla="*/ 6487838 w 12192000"/>
              <a:gd name="csY13263" fmla="*/ 5228937 h 6858000"/>
              <a:gd name="csX13264" fmla="*/ 6453498 w 12192000"/>
              <a:gd name="csY13264" fmla="*/ 5194117 h 6858000"/>
              <a:gd name="csX13265" fmla="*/ 6537239 w 12192000"/>
              <a:gd name="csY13265" fmla="*/ 5194117 h 6858000"/>
              <a:gd name="csX13266" fmla="*/ 6502886 w 12192000"/>
              <a:gd name="csY13266" fmla="*/ 5228937 h 6858000"/>
              <a:gd name="csX13267" fmla="*/ 6537239 w 12192000"/>
              <a:gd name="csY13267" fmla="*/ 5263758 h 6858000"/>
              <a:gd name="csX13268" fmla="*/ 6571579 w 12192000"/>
              <a:gd name="csY13268" fmla="*/ 5228937 h 6858000"/>
              <a:gd name="csX13269" fmla="*/ 6537239 w 12192000"/>
              <a:gd name="csY13269" fmla="*/ 5194117 h 6858000"/>
              <a:gd name="csX13270" fmla="*/ 6620980 w 12192000"/>
              <a:gd name="csY13270" fmla="*/ 5194117 h 6858000"/>
              <a:gd name="csX13271" fmla="*/ 6586627 w 12192000"/>
              <a:gd name="csY13271" fmla="*/ 5228937 h 6858000"/>
              <a:gd name="csX13272" fmla="*/ 6620980 w 12192000"/>
              <a:gd name="csY13272" fmla="*/ 5263758 h 6858000"/>
              <a:gd name="csX13273" fmla="*/ 6655320 w 12192000"/>
              <a:gd name="csY13273" fmla="*/ 5228937 h 6858000"/>
              <a:gd name="csX13274" fmla="*/ 6620980 w 12192000"/>
              <a:gd name="csY13274" fmla="*/ 5194117 h 6858000"/>
              <a:gd name="csX13275" fmla="*/ 6704722 w 12192000"/>
              <a:gd name="csY13275" fmla="*/ 5194117 h 6858000"/>
              <a:gd name="csX13276" fmla="*/ 6670369 w 12192000"/>
              <a:gd name="csY13276" fmla="*/ 5228937 h 6858000"/>
              <a:gd name="csX13277" fmla="*/ 6704722 w 12192000"/>
              <a:gd name="csY13277" fmla="*/ 5263758 h 6858000"/>
              <a:gd name="csX13278" fmla="*/ 6739063 w 12192000"/>
              <a:gd name="csY13278" fmla="*/ 5228937 h 6858000"/>
              <a:gd name="csX13279" fmla="*/ 6704722 w 12192000"/>
              <a:gd name="csY13279" fmla="*/ 5194117 h 6858000"/>
              <a:gd name="csX13280" fmla="*/ 6788464 w 12192000"/>
              <a:gd name="csY13280" fmla="*/ 5194117 h 6858000"/>
              <a:gd name="csX13281" fmla="*/ 6754110 w 12192000"/>
              <a:gd name="csY13281" fmla="*/ 5228937 h 6858000"/>
              <a:gd name="csX13282" fmla="*/ 6788464 w 12192000"/>
              <a:gd name="csY13282" fmla="*/ 5263758 h 6858000"/>
              <a:gd name="csX13283" fmla="*/ 6822804 w 12192000"/>
              <a:gd name="csY13283" fmla="*/ 5228937 h 6858000"/>
              <a:gd name="csX13284" fmla="*/ 6788464 w 12192000"/>
              <a:gd name="csY13284" fmla="*/ 5194117 h 6858000"/>
              <a:gd name="csX13285" fmla="*/ 9384480 w 12192000"/>
              <a:gd name="csY13285" fmla="*/ 5194117 h 6858000"/>
              <a:gd name="csX13286" fmla="*/ 9350127 w 12192000"/>
              <a:gd name="csY13286" fmla="*/ 5228937 h 6858000"/>
              <a:gd name="csX13287" fmla="*/ 9384480 w 12192000"/>
              <a:gd name="csY13287" fmla="*/ 5263758 h 6858000"/>
              <a:gd name="csX13288" fmla="*/ 9418821 w 12192000"/>
              <a:gd name="csY13288" fmla="*/ 5228937 h 6858000"/>
              <a:gd name="csX13289" fmla="*/ 9384480 w 12192000"/>
              <a:gd name="csY13289" fmla="*/ 5194117 h 6858000"/>
              <a:gd name="csX13290" fmla="*/ 9468222 w 12192000"/>
              <a:gd name="csY13290" fmla="*/ 5194117 h 6858000"/>
              <a:gd name="csX13291" fmla="*/ 9433869 w 12192000"/>
              <a:gd name="csY13291" fmla="*/ 5228937 h 6858000"/>
              <a:gd name="csX13292" fmla="*/ 9468222 w 12192000"/>
              <a:gd name="csY13292" fmla="*/ 5263758 h 6858000"/>
              <a:gd name="csX13293" fmla="*/ 9502562 w 12192000"/>
              <a:gd name="csY13293" fmla="*/ 5228937 h 6858000"/>
              <a:gd name="csX13294" fmla="*/ 9468222 w 12192000"/>
              <a:gd name="csY13294" fmla="*/ 5194117 h 6858000"/>
              <a:gd name="csX13295" fmla="*/ 9551963 w 12192000"/>
              <a:gd name="csY13295" fmla="*/ 5194117 h 6858000"/>
              <a:gd name="csX13296" fmla="*/ 9517610 w 12192000"/>
              <a:gd name="csY13296" fmla="*/ 5228937 h 6858000"/>
              <a:gd name="csX13297" fmla="*/ 9551963 w 12192000"/>
              <a:gd name="csY13297" fmla="*/ 5263758 h 6858000"/>
              <a:gd name="csX13298" fmla="*/ 9586303 w 12192000"/>
              <a:gd name="csY13298" fmla="*/ 5228937 h 6858000"/>
              <a:gd name="csX13299" fmla="*/ 9551963 w 12192000"/>
              <a:gd name="csY13299" fmla="*/ 5194117 h 6858000"/>
              <a:gd name="csX13300" fmla="*/ 9635705 w 12192000"/>
              <a:gd name="csY13300" fmla="*/ 5194117 h 6858000"/>
              <a:gd name="csX13301" fmla="*/ 9601352 w 12192000"/>
              <a:gd name="csY13301" fmla="*/ 5228937 h 6858000"/>
              <a:gd name="csX13302" fmla="*/ 9635705 w 12192000"/>
              <a:gd name="csY13302" fmla="*/ 5263758 h 6858000"/>
              <a:gd name="csX13303" fmla="*/ 9670045 w 12192000"/>
              <a:gd name="csY13303" fmla="*/ 5228937 h 6858000"/>
              <a:gd name="csX13304" fmla="*/ 9635705 w 12192000"/>
              <a:gd name="csY13304" fmla="*/ 5194117 h 6858000"/>
              <a:gd name="csX13305" fmla="*/ 9719446 w 12192000"/>
              <a:gd name="csY13305" fmla="*/ 5194117 h 6858000"/>
              <a:gd name="csX13306" fmla="*/ 9685093 w 12192000"/>
              <a:gd name="csY13306" fmla="*/ 5228937 h 6858000"/>
              <a:gd name="csX13307" fmla="*/ 9719446 w 12192000"/>
              <a:gd name="csY13307" fmla="*/ 5263758 h 6858000"/>
              <a:gd name="csX13308" fmla="*/ 9753787 w 12192000"/>
              <a:gd name="csY13308" fmla="*/ 5228937 h 6858000"/>
              <a:gd name="csX13309" fmla="*/ 9719446 w 12192000"/>
              <a:gd name="csY13309" fmla="*/ 5194117 h 6858000"/>
              <a:gd name="csX13310" fmla="*/ 9803189 w 12192000"/>
              <a:gd name="csY13310" fmla="*/ 5194117 h 6858000"/>
              <a:gd name="csX13311" fmla="*/ 9768836 w 12192000"/>
              <a:gd name="csY13311" fmla="*/ 5228937 h 6858000"/>
              <a:gd name="csX13312" fmla="*/ 9803189 w 12192000"/>
              <a:gd name="csY13312" fmla="*/ 5263758 h 6858000"/>
              <a:gd name="csX13313" fmla="*/ 9837529 w 12192000"/>
              <a:gd name="csY13313" fmla="*/ 5228937 h 6858000"/>
              <a:gd name="csX13314" fmla="*/ 9803189 w 12192000"/>
              <a:gd name="csY13314" fmla="*/ 5194117 h 6858000"/>
              <a:gd name="csX13315" fmla="*/ 9886930 w 12192000"/>
              <a:gd name="csY13315" fmla="*/ 5194117 h 6858000"/>
              <a:gd name="csX13316" fmla="*/ 9852577 w 12192000"/>
              <a:gd name="csY13316" fmla="*/ 5228937 h 6858000"/>
              <a:gd name="csX13317" fmla="*/ 9886930 w 12192000"/>
              <a:gd name="csY13317" fmla="*/ 5263758 h 6858000"/>
              <a:gd name="csX13318" fmla="*/ 9921270 w 12192000"/>
              <a:gd name="csY13318" fmla="*/ 5228937 h 6858000"/>
              <a:gd name="csX13319" fmla="*/ 9886930 w 12192000"/>
              <a:gd name="csY13319" fmla="*/ 5194117 h 6858000"/>
              <a:gd name="csX13320" fmla="*/ 9970671 w 12192000"/>
              <a:gd name="csY13320" fmla="*/ 5194117 h 6858000"/>
              <a:gd name="csX13321" fmla="*/ 9936318 w 12192000"/>
              <a:gd name="csY13321" fmla="*/ 5228937 h 6858000"/>
              <a:gd name="csX13322" fmla="*/ 9970671 w 12192000"/>
              <a:gd name="csY13322" fmla="*/ 5263758 h 6858000"/>
              <a:gd name="csX13323" fmla="*/ 10005011 w 12192000"/>
              <a:gd name="csY13323" fmla="*/ 5228937 h 6858000"/>
              <a:gd name="csX13324" fmla="*/ 9970671 w 12192000"/>
              <a:gd name="csY13324" fmla="*/ 5194117 h 6858000"/>
              <a:gd name="csX13325" fmla="*/ 10054413 w 12192000"/>
              <a:gd name="csY13325" fmla="*/ 5194117 h 6858000"/>
              <a:gd name="csX13326" fmla="*/ 10020060 w 12192000"/>
              <a:gd name="csY13326" fmla="*/ 5228937 h 6858000"/>
              <a:gd name="csX13327" fmla="*/ 10054413 w 12192000"/>
              <a:gd name="csY13327" fmla="*/ 5263758 h 6858000"/>
              <a:gd name="csX13328" fmla="*/ 10088754 w 12192000"/>
              <a:gd name="csY13328" fmla="*/ 5228937 h 6858000"/>
              <a:gd name="csX13329" fmla="*/ 10054413 w 12192000"/>
              <a:gd name="csY13329" fmla="*/ 5194117 h 6858000"/>
              <a:gd name="csX13330" fmla="*/ 10138155 w 12192000"/>
              <a:gd name="csY13330" fmla="*/ 5194117 h 6858000"/>
              <a:gd name="csX13331" fmla="*/ 10103802 w 12192000"/>
              <a:gd name="csY13331" fmla="*/ 5228937 h 6858000"/>
              <a:gd name="csX13332" fmla="*/ 10138155 w 12192000"/>
              <a:gd name="csY13332" fmla="*/ 5263758 h 6858000"/>
              <a:gd name="csX13333" fmla="*/ 10172495 w 12192000"/>
              <a:gd name="csY13333" fmla="*/ 5228937 h 6858000"/>
              <a:gd name="csX13334" fmla="*/ 10138155 w 12192000"/>
              <a:gd name="csY13334" fmla="*/ 5194117 h 6858000"/>
              <a:gd name="csX13335" fmla="*/ 10221896 w 12192000"/>
              <a:gd name="csY13335" fmla="*/ 5194117 h 6858000"/>
              <a:gd name="csX13336" fmla="*/ 10187543 w 12192000"/>
              <a:gd name="csY13336" fmla="*/ 5228937 h 6858000"/>
              <a:gd name="csX13337" fmla="*/ 10221896 w 12192000"/>
              <a:gd name="csY13337" fmla="*/ 5263758 h 6858000"/>
              <a:gd name="csX13338" fmla="*/ 10256236 w 12192000"/>
              <a:gd name="csY13338" fmla="*/ 5228937 h 6858000"/>
              <a:gd name="csX13339" fmla="*/ 10221896 w 12192000"/>
              <a:gd name="csY13339" fmla="*/ 5194117 h 6858000"/>
              <a:gd name="csX13340" fmla="*/ 10305638 w 12192000"/>
              <a:gd name="csY13340" fmla="*/ 5194117 h 6858000"/>
              <a:gd name="csX13341" fmla="*/ 10271285 w 12192000"/>
              <a:gd name="csY13341" fmla="*/ 5228937 h 6858000"/>
              <a:gd name="csX13342" fmla="*/ 10305638 w 12192000"/>
              <a:gd name="csY13342" fmla="*/ 5263758 h 6858000"/>
              <a:gd name="csX13343" fmla="*/ 10339978 w 12192000"/>
              <a:gd name="csY13343" fmla="*/ 5228937 h 6858000"/>
              <a:gd name="csX13344" fmla="*/ 10305638 w 12192000"/>
              <a:gd name="csY13344" fmla="*/ 5194117 h 6858000"/>
              <a:gd name="csX13345" fmla="*/ 10389379 w 12192000"/>
              <a:gd name="csY13345" fmla="*/ 5194117 h 6858000"/>
              <a:gd name="csX13346" fmla="*/ 10355026 w 12192000"/>
              <a:gd name="csY13346" fmla="*/ 5228937 h 6858000"/>
              <a:gd name="csX13347" fmla="*/ 10389379 w 12192000"/>
              <a:gd name="csY13347" fmla="*/ 5263758 h 6858000"/>
              <a:gd name="csX13348" fmla="*/ 10423720 w 12192000"/>
              <a:gd name="csY13348" fmla="*/ 5228937 h 6858000"/>
              <a:gd name="csX13349" fmla="*/ 10389379 w 12192000"/>
              <a:gd name="csY13349" fmla="*/ 5194117 h 6858000"/>
              <a:gd name="csX13350" fmla="*/ 10473122 w 12192000"/>
              <a:gd name="csY13350" fmla="*/ 5194117 h 6858000"/>
              <a:gd name="csX13351" fmla="*/ 10438769 w 12192000"/>
              <a:gd name="csY13351" fmla="*/ 5228937 h 6858000"/>
              <a:gd name="csX13352" fmla="*/ 10473122 w 12192000"/>
              <a:gd name="csY13352" fmla="*/ 5263758 h 6858000"/>
              <a:gd name="csX13353" fmla="*/ 10507462 w 12192000"/>
              <a:gd name="csY13353" fmla="*/ 5228937 h 6858000"/>
              <a:gd name="csX13354" fmla="*/ 10473122 w 12192000"/>
              <a:gd name="csY13354" fmla="*/ 5194117 h 6858000"/>
              <a:gd name="csX13355" fmla="*/ 10556863 w 12192000"/>
              <a:gd name="csY13355" fmla="*/ 5194117 h 6858000"/>
              <a:gd name="csX13356" fmla="*/ 10522510 w 12192000"/>
              <a:gd name="csY13356" fmla="*/ 5228937 h 6858000"/>
              <a:gd name="csX13357" fmla="*/ 10556863 w 12192000"/>
              <a:gd name="csY13357" fmla="*/ 5263758 h 6858000"/>
              <a:gd name="csX13358" fmla="*/ 10591203 w 12192000"/>
              <a:gd name="csY13358" fmla="*/ 5228937 h 6858000"/>
              <a:gd name="csX13359" fmla="*/ 10556863 w 12192000"/>
              <a:gd name="csY13359" fmla="*/ 5194117 h 6858000"/>
              <a:gd name="csX13360" fmla="*/ 3773759 w 12192000"/>
              <a:gd name="csY13360" fmla="*/ 5278981 h 6858000"/>
              <a:gd name="csX13361" fmla="*/ 3739412 w 12192000"/>
              <a:gd name="csY13361" fmla="*/ 5313801 h 6858000"/>
              <a:gd name="csX13362" fmla="*/ 3773759 w 12192000"/>
              <a:gd name="csY13362" fmla="*/ 5348621 h 6858000"/>
              <a:gd name="csX13363" fmla="*/ 3808106 w 12192000"/>
              <a:gd name="csY13363" fmla="*/ 5313801 h 6858000"/>
              <a:gd name="csX13364" fmla="*/ 3773759 w 12192000"/>
              <a:gd name="csY13364" fmla="*/ 5278981 h 6858000"/>
              <a:gd name="csX13365" fmla="*/ 3857500 w 12192000"/>
              <a:gd name="csY13365" fmla="*/ 5278981 h 6858000"/>
              <a:gd name="csX13366" fmla="*/ 3823154 w 12192000"/>
              <a:gd name="csY13366" fmla="*/ 5313801 h 6858000"/>
              <a:gd name="csX13367" fmla="*/ 3857500 w 12192000"/>
              <a:gd name="csY13367" fmla="*/ 5348621 h 6858000"/>
              <a:gd name="csX13368" fmla="*/ 3891847 w 12192000"/>
              <a:gd name="csY13368" fmla="*/ 5313801 h 6858000"/>
              <a:gd name="csX13369" fmla="*/ 3857500 w 12192000"/>
              <a:gd name="csY13369" fmla="*/ 5278981 h 6858000"/>
              <a:gd name="csX13370" fmla="*/ 3941242 w 12192000"/>
              <a:gd name="csY13370" fmla="*/ 5278981 h 6858000"/>
              <a:gd name="csX13371" fmla="*/ 3906895 w 12192000"/>
              <a:gd name="csY13371" fmla="*/ 5313801 h 6858000"/>
              <a:gd name="csX13372" fmla="*/ 3941242 w 12192000"/>
              <a:gd name="csY13372" fmla="*/ 5348621 h 6858000"/>
              <a:gd name="csX13373" fmla="*/ 3975588 w 12192000"/>
              <a:gd name="csY13373" fmla="*/ 5313801 h 6858000"/>
              <a:gd name="csX13374" fmla="*/ 3941242 w 12192000"/>
              <a:gd name="csY13374" fmla="*/ 5278981 h 6858000"/>
              <a:gd name="csX13375" fmla="*/ 4024990 w 12192000"/>
              <a:gd name="csY13375" fmla="*/ 5278981 h 6858000"/>
              <a:gd name="csX13376" fmla="*/ 3990643 w 12192000"/>
              <a:gd name="csY13376" fmla="*/ 5313801 h 6858000"/>
              <a:gd name="csX13377" fmla="*/ 4024990 w 12192000"/>
              <a:gd name="csY13377" fmla="*/ 5348621 h 6858000"/>
              <a:gd name="csX13378" fmla="*/ 4059337 w 12192000"/>
              <a:gd name="csY13378" fmla="*/ 5313801 h 6858000"/>
              <a:gd name="csX13379" fmla="*/ 4024990 w 12192000"/>
              <a:gd name="csY13379" fmla="*/ 5278981 h 6858000"/>
              <a:gd name="csX13380" fmla="*/ 4108732 w 12192000"/>
              <a:gd name="csY13380" fmla="*/ 5278981 h 6858000"/>
              <a:gd name="csX13381" fmla="*/ 4074386 w 12192000"/>
              <a:gd name="csY13381" fmla="*/ 5313801 h 6858000"/>
              <a:gd name="csX13382" fmla="*/ 4108732 w 12192000"/>
              <a:gd name="csY13382" fmla="*/ 5348621 h 6858000"/>
              <a:gd name="csX13383" fmla="*/ 4143079 w 12192000"/>
              <a:gd name="csY13383" fmla="*/ 5313801 h 6858000"/>
              <a:gd name="csX13384" fmla="*/ 4108732 w 12192000"/>
              <a:gd name="csY13384" fmla="*/ 5278981 h 6858000"/>
              <a:gd name="csX13385" fmla="*/ 4192473 w 12192000"/>
              <a:gd name="csY13385" fmla="*/ 5278981 h 6858000"/>
              <a:gd name="csX13386" fmla="*/ 4158127 w 12192000"/>
              <a:gd name="csY13386" fmla="*/ 5313801 h 6858000"/>
              <a:gd name="csX13387" fmla="*/ 4192473 w 12192000"/>
              <a:gd name="csY13387" fmla="*/ 5348621 h 6858000"/>
              <a:gd name="csX13388" fmla="*/ 4226820 w 12192000"/>
              <a:gd name="csY13388" fmla="*/ 5313801 h 6858000"/>
              <a:gd name="csX13389" fmla="*/ 4192473 w 12192000"/>
              <a:gd name="csY13389" fmla="*/ 5278981 h 6858000"/>
              <a:gd name="csX13390" fmla="*/ 4276215 w 12192000"/>
              <a:gd name="csY13390" fmla="*/ 5278981 h 6858000"/>
              <a:gd name="csX13391" fmla="*/ 4241868 w 12192000"/>
              <a:gd name="csY13391" fmla="*/ 5313801 h 6858000"/>
              <a:gd name="csX13392" fmla="*/ 4276215 w 12192000"/>
              <a:gd name="csY13392" fmla="*/ 5348621 h 6858000"/>
              <a:gd name="csX13393" fmla="*/ 4310561 w 12192000"/>
              <a:gd name="csY13393" fmla="*/ 5313801 h 6858000"/>
              <a:gd name="csX13394" fmla="*/ 4276215 w 12192000"/>
              <a:gd name="csY13394" fmla="*/ 5278981 h 6858000"/>
              <a:gd name="csX13395" fmla="*/ 6453498 w 12192000"/>
              <a:gd name="csY13395" fmla="*/ 5278981 h 6858000"/>
              <a:gd name="csX13396" fmla="*/ 6419144 w 12192000"/>
              <a:gd name="csY13396" fmla="*/ 5313801 h 6858000"/>
              <a:gd name="csX13397" fmla="*/ 6453498 w 12192000"/>
              <a:gd name="csY13397" fmla="*/ 5348621 h 6858000"/>
              <a:gd name="csX13398" fmla="*/ 6487838 w 12192000"/>
              <a:gd name="csY13398" fmla="*/ 5313801 h 6858000"/>
              <a:gd name="csX13399" fmla="*/ 6453498 w 12192000"/>
              <a:gd name="csY13399" fmla="*/ 5278981 h 6858000"/>
              <a:gd name="csX13400" fmla="*/ 6537239 w 12192000"/>
              <a:gd name="csY13400" fmla="*/ 5278981 h 6858000"/>
              <a:gd name="csX13401" fmla="*/ 6502886 w 12192000"/>
              <a:gd name="csY13401" fmla="*/ 5313801 h 6858000"/>
              <a:gd name="csX13402" fmla="*/ 6537239 w 12192000"/>
              <a:gd name="csY13402" fmla="*/ 5348621 h 6858000"/>
              <a:gd name="csX13403" fmla="*/ 6571579 w 12192000"/>
              <a:gd name="csY13403" fmla="*/ 5313801 h 6858000"/>
              <a:gd name="csX13404" fmla="*/ 6537239 w 12192000"/>
              <a:gd name="csY13404" fmla="*/ 5278981 h 6858000"/>
              <a:gd name="csX13405" fmla="*/ 6620980 w 12192000"/>
              <a:gd name="csY13405" fmla="*/ 5278981 h 6858000"/>
              <a:gd name="csX13406" fmla="*/ 6586627 w 12192000"/>
              <a:gd name="csY13406" fmla="*/ 5313801 h 6858000"/>
              <a:gd name="csX13407" fmla="*/ 6620980 w 12192000"/>
              <a:gd name="csY13407" fmla="*/ 5348621 h 6858000"/>
              <a:gd name="csX13408" fmla="*/ 6655320 w 12192000"/>
              <a:gd name="csY13408" fmla="*/ 5313801 h 6858000"/>
              <a:gd name="csX13409" fmla="*/ 6620980 w 12192000"/>
              <a:gd name="csY13409" fmla="*/ 5278981 h 6858000"/>
              <a:gd name="csX13410" fmla="*/ 6704722 w 12192000"/>
              <a:gd name="csY13410" fmla="*/ 5278981 h 6858000"/>
              <a:gd name="csX13411" fmla="*/ 6670369 w 12192000"/>
              <a:gd name="csY13411" fmla="*/ 5313801 h 6858000"/>
              <a:gd name="csX13412" fmla="*/ 6704722 w 12192000"/>
              <a:gd name="csY13412" fmla="*/ 5348621 h 6858000"/>
              <a:gd name="csX13413" fmla="*/ 6739063 w 12192000"/>
              <a:gd name="csY13413" fmla="*/ 5313801 h 6858000"/>
              <a:gd name="csX13414" fmla="*/ 6704722 w 12192000"/>
              <a:gd name="csY13414" fmla="*/ 5278981 h 6858000"/>
              <a:gd name="csX13415" fmla="*/ 9384480 w 12192000"/>
              <a:gd name="csY13415" fmla="*/ 5278981 h 6858000"/>
              <a:gd name="csX13416" fmla="*/ 9350127 w 12192000"/>
              <a:gd name="csY13416" fmla="*/ 5313801 h 6858000"/>
              <a:gd name="csX13417" fmla="*/ 9384480 w 12192000"/>
              <a:gd name="csY13417" fmla="*/ 5348621 h 6858000"/>
              <a:gd name="csX13418" fmla="*/ 9418821 w 12192000"/>
              <a:gd name="csY13418" fmla="*/ 5313801 h 6858000"/>
              <a:gd name="csX13419" fmla="*/ 9384480 w 12192000"/>
              <a:gd name="csY13419" fmla="*/ 5278981 h 6858000"/>
              <a:gd name="csX13420" fmla="*/ 9468222 w 12192000"/>
              <a:gd name="csY13420" fmla="*/ 5278981 h 6858000"/>
              <a:gd name="csX13421" fmla="*/ 9433869 w 12192000"/>
              <a:gd name="csY13421" fmla="*/ 5313801 h 6858000"/>
              <a:gd name="csX13422" fmla="*/ 9468222 w 12192000"/>
              <a:gd name="csY13422" fmla="*/ 5348621 h 6858000"/>
              <a:gd name="csX13423" fmla="*/ 9502562 w 12192000"/>
              <a:gd name="csY13423" fmla="*/ 5313801 h 6858000"/>
              <a:gd name="csX13424" fmla="*/ 9468222 w 12192000"/>
              <a:gd name="csY13424" fmla="*/ 5278981 h 6858000"/>
              <a:gd name="csX13425" fmla="*/ 9551963 w 12192000"/>
              <a:gd name="csY13425" fmla="*/ 5278981 h 6858000"/>
              <a:gd name="csX13426" fmla="*/ 9517610 w 12192000"/>
              <a:gd name="csY13426" fmla="*/ 5313801 h 6858000"/>
              <a:gd name="csX13427" fmla="*/ 9551963 w 12192000"/>
              <a:gd name="csY13427" fmla="*/ 5348621 h 6858000"/>
              <a:gd name="csX13428" fmla="*/ 9586303 w 12192000"/>
              <a:gd name="csY13428" fmla="*/ 5313801 h 6858000"/>
              <a:gd name="csX13429" fmla="*/ 9551963 w 12192000"/>
              <a:gd name="csY13429" fmla="*/ 5278981 h 6858000"/>
              <a:gd name="csX13430" fmla="*/ 9635705 w 12192000"/>
              <a:gd name="csY13430" fmla="*/ 5278981 h 6858000"/>
              <a:gd name="csX13431" fmla="*/ 9601352 w 12192000"/>
              <a:gd name="csY13431" fmla="*/ 5313801 h 6858000"/>
              <a:gd name="csX13432" fmla="*/ 9635705 w 12192000"/>
              <a:gd name="csY13432" fmla="*/ 5348621 h 6858000"/>
              <a:gd name="csX13433" fmla="*/ 9670045 w 12192000"/>
              <a:gd name="csY13433" fmla="*/ 5313801 h 6858000"/>
              <a:gd name="csX13434" fmla="*/ 9635705 w 12192000"/>
              <a:gd name="csY13434" fmla="*/ 5278981 h 6858000"/>
              <a:gd name="csX13435" fmla="*/ 9719446 w 12192000"/>
              <a:gd name="csY13435" fmla="*/ 5278981 h 6858000"/>
              <a:gd name="csX13436" fmla="*/ 9685093 w 12192000"/>
              <a:gd name="csY13436" fmla="*/ 5313801 h 6858000"/>
              <a:gd name="csX13437" fmla="*/ 9719446 w 12192000"/>
              <a:gd name="csY13437" fmla="*/ 5348621 h 6858000"/>
              <a:gd name="csX13438" fmla="*/ 9753787 w 12192000"/>
              <a:gd name="csY13438" fmla="*/ 5313801 h 6858000"/>
              <a:gd name="csX13439" fmla="*/ 9719446 w 12192000"/>
              <a:gd name="csY13439" fmla="*/ 5278981 h 6858000"/>
              <a:gd name="csX13440" fmla="*/ 9803189 w 12192000"/>
              <a:gd name="csY13440" fmla="*/ 5278981 h 6858000"/>
              <a:gd name="csX13441" fmla="*/ 9768836 w 12192000"/>
              <a:gd name="csY13441" fmla="*/ 5313801 h 6858000"/>
              <a:gd name="csX13442" fmla="*/ 9803189 w 12192000"/>
              <a:gd name="csY13442" fmla="*/ 5348621 h 6858000"/>
              <a:gd name="csX13443" fmla="*/ 9837529 w 12192000"/>
              <a:gd name="csY13443" fmla="*/ 5313801 h 6858000"/>
              <a:gd name="csX13444" fmla="*/ 9803189 w 12192000"/>
              <a:gd name="csY13444" fmla="*/ 5278981 h 6858000"/>
              <a:gd name="csX13445" fmla="*/ 9886930 w 12192000"/>
              <a:gd name="csY13445" fmla="*/ 5278981 h 6858000"/>
              <a:gd name="csX13446" fmla="*/ 9852577 w 12192000"/>
              <a:gd name="csY13446" fmla="*/ 5313801 h 6858000"/>
              <a:gd name="csX13447" fmla="*/ 9886930 w 12192000"/>
              <a:gd name="csY13447" fmla="*/ 5348621 h 6858000"/>
              <a:gd name="csX13448" fmla="*/ 9921270 w 12192000"/>
              <a:gd name="csY13448" fmla="*/ 5313801 h 6858000"/>
              <a:gd name="csX13449" fmla="*/ 9886930 w 12192000"/>
              <a:gd name="csY13449" fmla="*/ 5278981 h 6858000"/>
              <a:gd name="csX13450" fmla="*/ 9970671 w 12192000"/>
              <a:gd name="csY13450" fmla="*/ 5278981 h 6858000"/>
              <a:gd name="csX13451" fmla="*/ 9936318 w 12192000"/>
              <a:gd name="csY13451" fmla="*/ 5313801 h 6858000"/>
              <a:gd name="csX13452" fmla="*/ 9970671 w 12192000"/>
              <a:gd name="csY13452" fmla="*/ 5348621 h 6858000"/>
              <a:gd name="csX13453" fmla="*/ 10005011 w 12192000"/>
              <a:gd name="csY13453" fmla="*/ 5313801 h 6858000"/>
              <a:gd name="csX13454" fmla="*/ 9970671 w 12192000"/>
              <a:gd name="csY13454" fmla="*/ 5278981 h 6858000"/>
              <a:gd name="csX13455" fmla="*/ 10054413 w 12192000"/>
              <a:gd name="csY13455" fmla="*/ 5278981 h 6858000"/>
              <a:gd name="csX13456" fmla="*/ 10020060 w 12192000"/>
              <a:gd name="csY13456" fmla="*/ 5313801 h 6858000"/>
              <a:gd name="csX13457" fmla="*/ 10054413 w 12192000"/>
              <a:gd name="csY13457" fmla="*/ 5348621 h 6858000"/>
              <a:gd name="csX13458" fmla="*/ 10088754 w 12192000"/>
              <a:gd name="csY13458" fmla="*/ 5313801 h 6858000"/>
              <a:gd name="csX13459" fmla="*/ 10054413 w 12192000"/>
              <a:gd name="csY13459" fmla="*/ 5278981 h 6858000"/>
              <a:gd name="csX13460" fmla="*/ 10138155 w 12192000"/>
              <a:gd name="csY13460" fmla="*/ 5278981 h 6858000"/>
              <a:gd name="csX13461" fmla="*/ 10103802 w 12192000"/>
              <a:gd name="csY13461" fmla="*/ 5313801 h 6858000"/>
              <a:gd name="csX13462" fmla="*/ 10138155 w 12192000"/>
              <a:gd name="csY13462" fmla="*/ 5348621 h 6858000"/>
              <a:gd name="csX13463" fmla="*/ 10172495 w 12192000"/>
              <a:gd name="csY13463" fmla="*/ 5313801 h 6858000"/>
              <a:gd name="csX13464" fmla="*/ 10138155 w 12192000"/>
              <a:gd name="csY13464" fmla="*/ 5278981 h 6858000"/>
              <a:gd name="csX13465" fmla="*/ 10221896 w 12192000"/>
              <a:gd name="csY13465" fmla="*/ 5278981 h 6858000"/>
              <a:gd name="csX13466" fmla="*/ 10187543 w 12192000"/>
              <a:gd name="csY13466" fmla="*/ 5313801 h 6858000"/>
              <a:gd name="csX13467" fmla="*/ 10221896 w 12192000"/>
              <a:gd name="csY13467" fmla="*/ 5348621 h 6858000"/>
              <a:gd name="csX13468" fmla="*/ 10256236 w 12192000"/>
              <a:gd name="csY13468" fmla="*/ 5313801 h 6858000"/>
              <a:gd name="csX13469" fmla="*/ 10221896 w 12192000"/>
              <a:gd name="csY13469" fmla="*/ 5278981 h 6858000"/>
              <a:gd name="csX13470" fmla="*/ 10305638 w 12192000"/>
              <a:gd name="csY13470" fmla="*/ 5278981 h 6858000"/>
              <a:gd name="csX13471" fmla="*/ 10271285 w 12192000"/>
              <a:gd name="csY13471" fmla="*/ 5313801 h 6858000"/>
              <a:gd name="csX13472" fmla="*/ 10305638 w 12192000"/>
              <a:gd name="csY13472" fmla="*/ 5348621 h 6858000"/>
              <a:gd name="csX13473" fmla="*/ 10339978 w 12192000"/>
              <a:gd name="csY13473" fmla="*/ 5313801 h 6858000"/>
              <a:gd name="csX13474" fmla="*/ 10305638 w 12192000"/>
              <a:gd name="csY13474" fmla="*/ 5278981 h 6858000"/>
              <a:gd name="csX13475" fmla="*/ 10389379 w 12192000"/>
              <a:gd name="csY13475" fmla="*/ 5278981 h 6858000"/>
              <a:gd name="csX13476" fmla="*/ 10355026 w 12192000"/>
              <a:gd name="csY13476" fmla="*/ 5313801 h 6858000"/>
              <a:gd name="csX13477" fmla="*/ 10389379 w 12192000"/>
              <a:gd name="csY13477" fmla="*/ 5348621 h 6858000"/>
              <a:gd name="csX13478" fmla="*/ 10423720 w 12192000"/>
              <a:gd name="csY13478" fmla="*/ 5313801 h 6858000"/>
              <a:gd name="csX13479" fmla="*/ 10389379 w 12192000"/>
              <a:gd name="csY13479" fmla="*/ 5278981 h 6858000"/>
              <a:gd name="csX13480" fmla="*/ 10473122 w 12192000"/>
              <a:gd name="csY13480" fmla="*/ 5278981 h 6858000"/>
              <a:gd name="csX13481" fmla="*/ 10438769 w 12192000"/>
              <a:gd name="csY13481" fmla="*/ 5313801 h 6858000"/>
              <a:gd name="csX13482" fmla="*/ 10473122 w 12192000"/>
              <a:gd name="csY13482" fmla="*/ 5348621 h 6858000"/>
              <a:gd name="csX13483" fmla="*/ 10507462 w 12192000"/>
              <a:gd name="csY13483" fmla="*/ 5313801 h 6858000"/>
              <a:gd name="csX13484" fmla="*/ 10473122 w 12192000"/>
              <a:gd name="csY13484" fmla="*/ 5278981 h 6858000"/>
              <a:gd name="csX13485" fmla="*/ 10556863 w 12192000"/>
              <a:gd name="csY13485" fmla="*/ 5278981 h 6858000"/>
              <a:gd name="csX13486" fmla="*/ 10522510 w 12192000"/>
              <a:gd name="csY13486" fmla="*/ 5313801 h 6858000"/>
              <a:gd name="csX13487" fmla="*/ 10556863 w 12192000"/>
              <a:gd name="csY13487" fmla="*/ 5348621 h 6858000"/>
              <a:gd name="csX13488" fmla="*/ 10591203 w 12192000"/>
              <a:gd name="csY13488" fmla="*/ 5313801 h 6858000"/>
              <a:gd name="csX13489" fmla="*/ 10556863 w 12192000"/>
              <a:gd name="csY13489" fmla="*/ 5278981 h 6858000"/>
              <a:gd name="csX13490" fmla="*/ 3773759 w 12192000"/>
              <a:gd name="csY13490" fmla="*/ 5363844 h 6858000"/>
              <a:gd name="csX13491" fmla="*/ 3739412 w 12192000"/>
              <a:gd name="csY13491" fmla="*/ 5398665 h 6858000"/>
              <a:gd name="csX13492" fmla="*/ 3773759 w 12192000"/>
              <a:gd name="csY13492" fmla="*/ 5433485 h 6858000"/>
              <a:gd name="csX13493" fmla="*/ 3808106 w 12192000"/>
              <a:gd name="csY13493" fmla="*/ 5398665 h 6858000"/>
              <a:gd name="csX13494" fmla="*/ 3773759 w 12192000"/>
              <a:gd name="csY13494" fmla="*/ 5363844 h 6858000"/>
              <a:gd name="csX13495" fmla="*/ 3857500 w 12192000"/>
              <a:gd name="csY13495" fmla="*/ 5363844 h 6858000"/>
              <a:gd name="csX13496" fmla="*/ 3823154 w 12192000"/>
              <a:gd name="csY13496" fmla="*/ 5398665 h 6858000"/>
              <a:gd name="csX13497" fmla="*/ 3857500 w 12192000"/>
              <a:gd name="csY13497" fmla="*/ 5433485 h 6858000"/>
              <a:gd name="csX13498" fmla="*/ 3891847 w 12192000"/>
              <a:gd name="csY13498" fmla="*/ 5398665 h 6858000"/>
              <a:gd name="csX13499" fmla="*/ 3857500 w 12192000"/>
              <a:gd name="csY13499" fmla="*/ 5363844 h 6858000"/>
              <a:gd name="csX13500" fmla="*/ 3941242 w 12192000"/>
              <a:gd name="csY13500" fmla="*/ 5363844 h 6858000"/>
              <a:gd name="csX13501" fmla="*/ 3906895 w 12192000"/>
              <a:gd name="csY13501" fmla="*/ 5398665 h 6858000"/>
              <a:gd name="csX13502" fmla="*/ 3941242 w 12192000"/>
              <a:gd name="csY13502" fmla="*/ 5433485 h 6858000"/>
              <a:gd name="csX13503" fmla="*/ 3975588 w 12192000"/>
              <a:gd name="csY13503" fmla="*/ 5398665 h 6858000"/>
              <a:gd name="csX13504" fmla="*/ 3941242 w 12192000"/>
              <a:gd name="csY13504" fmla="*/ 5363844 h 6858000"/>
              <a:gd name="csX13505" fmla="*/ 4024990 w 12192000"/>
              <a:gd name="csY13505" fmla="*/ 5363844 h 6858000"/>
              <a:gd name="csX13506" fmla="*/ 3990643 w 12192000"/>
              <a:gd name="csY13506" fmla="*/ 5398665 h 6858000"/>
              <a:gd name="csX13507" fmla="*/ 4024990 w 12192000"/>
              <a:gd name="csY13507" fmla="*/ 5433485 h 6858000"/>
              <a:gd name="csX13508" fmla="*/ 4059337 w 12192000"/>
              <a:gd name="csY13508" fmla="*/ 5398665 h 6858000"/>
              <a:gd name="csX13509" fmla="*/ 4024990 w 12192000"/>
              <a:gd name="csY13509" fmla="*/ 5363844 h 6858000"/>
              <a:gd name="csX13510" fmla="*/ 4108732 w 12192000"/>
              <a:gd name="csY13510" fmla="*/ 5363844 h 6858000"/>
              <a:gd name="csX13511" fmla="*/ 4074386 w 12192000"/>
              <a:gd name="csY13511" fmla="*/ 5398665 h 6858000"/>
              <a:gd name="csX13512" fmla="*/ 4108732 w 12192000"/>
              <a:gd name="csY13512" fmla="*/ 5433485 h 6858000"/>
              <a:gd name="csX13513" fmla="*/ 4143079 w 12192000"/>
              <a:gd name="csY13513" fmla="*/ 5398665 h 6858000"/>
              <a:gd name="csX13514" fmla="*/ 4108732 w 12192000"/>
              <a:gd name="csY13514" fmla="*/ 5363844 h 6858000"/>
              <a:gd name="csX13515" fmla="*/ 4192473 w 12192000"/>
              <a:gd name="csY13515" fmla="*/ 5363844 h 6858000"/>
              <a:gd name="csX13516" fmla="*/ 4158127 w 12192000"/>
              <a:gd name="csY13516" fmla="*/ 5398665 h 6858000"/>
              <a:gd name="csX13517" fmla="*/ 4192473 w 12192000"/>
              <a:gd name="csY13517" fmla="*/ 5433485 h 6858000"/>
              <a:gd name="csX13518" fmla="*/ 4226820 w 12192000"/>
              <a:gd name="csY13518" fmla="*/ 5398665 h 6858000"/>
              <a:gd name="csX13519" fmla="*/ 4192473 w 12192000"/>
              <a:gd name="csY13519" fmla="*/ 5363844 h 6858000"/>
              <a:gd name="csX13520" fmla="*/ 4276215 w 12192000"/>
              <a:gd name="csY13520" fmla="*/ 5363844 h 6858000"/>
              <a:gd name="csX13521" fmla="*/ 4241868 w 12192000"/>
              <a:gd name="csY13521" fmla="*/ 5398665 h 6858000"/>
              <a:gd name="csX13522" fmla="*/ 4276215 w 12192000"/>
              <a:gd name="csY13522" fmla="*/ 5433485 h 6858000"/>
              <a:gd name="csX13523" fmla="*/ 4310561 w 12192000"/>
              <a:gd name="csY13523" fmla="*/ 5398665 h 6858000"/>
              <a:gd name="csX13524" fmla="*/ 4276215 w 12192000"/>
              <a:gd name="csY13524" fmla="*/ 5363844 h 6858000"/>
              <a:gd name="csX13525" fmla="*/ 6453498 w 12192000"/>
              <a:gd name="csY13525" fmla="*/ 5363844 h 6858000"/>
              <a:gd name="csX13526" fmla="*/ 6419144 w 12192000"/>
              <a:gd name="csY13526" fmla="*/ 5398665 h 6858000"/>
              <a:gd name="csX13527" fmla="*/ 6453498 w 12192000"/>
              <a:gd name="csY13527" fmla="*/ 5433485 h 6858000"/>
              <a:gd name="csX13528" fmla="*/ 6487838 w 12192000"/>
              <a:gd name="csY13528" fmla="*/ 5398665 h 6858000"/>
              <a:gd name="csX13529" fmla="*/ 6453498 w 12192000"/>
              <a:gd name="csY13529" fmla="*/ 5363844 h 6858000"/>
              <a:gd name="csX13530" fmla="*/ 6537239 w 12192000"/>
              <a:gd name="csY13530" fmla="*/ 5363844 h 6858000"/>
              <a:gd name="csX13531" fmla="*/ 6502886 w 12192000"/>
              <a:gd name="csY13531" fmla="*/ 5398665 h 6858000"/>
              <a:gd name="csX13532" fmla="*/ 6537239 w 12192000"/>
              <a:gd name="csY13532" fmla="*/ 5433485 h 6858000"/>
              <a:gd name="csX13533" fmla="*/ 6571579 w 12192000"/>
              <a:gd name="csY13533" fmla="*/ 5398665 h 6858000"/>
              <a:gd name="csX13534" fmla="*/ 6537239 w 12192000"/>
              <a:gd name="csY13534" fmla="*/ 5363844 h 6858000"/>
              <a:gd name="csX13535" fmla="*/ 6620980 w 12192000"/>
              <a:gd name="csY13535" fmla="*/ 5363844 h 6858000"/>
              <a:gd name="csX13536" fmla="*/ 6586627 w 12192000"/>
              <a:gd name="csY13536" fmla="*/ 5398665 h 6858000"/>
              <a:gd name="csX13537" fmla="*/ 6620980 w 12192000"/>
              <a:gd name="csY13537" fmla="*/ 5433485 h 6858000"/>
              <a:gd name="csX13538" fmla="*/ 6655320 w 12192000"/>
              <a:gd name="csY13538" fmla="*/ 5398665 h 6858000"/>
              <a:gd name="csX13539" fmla="*/ 6620980 w 12192000"/>
              <a:gd name="csY13539" fmla="*/ 5363844 h 6858000"/>
              <a:gd name="csX13540" fmla="*/ 9384480 w 12192000"/>
              <a:gd name="csY13540" fmla="*/ 5363844 h 6858000"/>
              <a:gd name="csX13541" fmla="*/ 9350127 w 12192000"/>
              <a:gd name="csY13541" fmla="*/ 5398665 h 6858000"/>
              <a:gd name="csX13542" fmla="*/ 9384480 w 12192000"/>
              <a:gd name="csY13542" fmla="*/ 5433485 h 6858000"/>
              <a:gd name="csX13543" fmla="*/ 9418821 w 12192000"/>
              <a:gd name="csY13543" fmla="*/ 5398665 h 6858000"/>
              <a:gd name="csX13544" fmla="*/ 9384480 w 12192000"/>
              <a:gd name="csY13544" fmla="*/ 5363844 h 6858000"/>
              <a:gd name="csX13545" fmla="*/ 9468222 w 12192000"/>
              <a:gd name="csY13545" fmla="*/ 5363844 h 6858000"/>
              <a:gd name="csX13546" fmla="*/ 9433869 w 12192000"/>
              <a:gd name="csY13546" fmla="*/ 5398665 h 6858000"/>
              <a:gd name="csX13547" fmla="*/ 9468222 w 12192000"/>
              <a:gd name="csY13547" fmla="*/ 5433485 h 6858000"/>
              <a:gd name="csX13548" fmla="*/ 9502562 w 12192000"/>
              <a:gd name="csY13548" fmla="*/ 5398665 h 6858000"/>
              <a:gd name="csX13549" fmla="*/ 9468222 w 12192000"/>
              <a:gd name="csY13549" fmla="*/ 5363844 h 6858000"/>
              <a:gd name="csX13550" fmla="*/ 9551963 w 12192000"/>
              <a:gd name="csY13550" fmla="*/ 5363844 h 6858000"/>
              <a:gd name="csX13551" fmla="*/ 9517610 w 12192000"/>
              <a:gd name="csY13551" fmla="*/ 5398665 h 6858000"/>
              <a:gd name="csX13552" fmla="*/ 9551963 w 12192000"/>
              <a:gd name="csY13552" fmla="*/ 5433485 h 6858000"/>
              <a:gd name="csX13553" fmla="*/ 9586303 w 12192000"/>
              <a:gd name="csY13553" fmla="*/ 5398665 h 6858000"/>
              <a:gd name="csX13554" fmla="*/ 9551963 w 12192000"/>
              <a:gd name="csY13554" fmla="*/ 5363844 h 6858000"/>
              <a:gd name="csX13555" fmla="*/ 9635705 w 12192000"/>
              <a:gd name="csY13555" fmla="*/ 5363844 h 6858000"/>
              <a:gd name="csX13556" fmla="*/ 9601352 w 12192000"/>
              <a:gd name="csY13556" fmla="*/ 5398665 h 6858000"/>
              <a:gd name="csX13557" fmla="*/ 9635705 w 12192000"/>
              <a:gd name="csY13557" fmla="*/ 5433485 h 6858000"/>
              <a:gd name="csX13558" fmla="*/ 9670045 w 12192000"/>
              <a:gd name="csY13558" fmla="*/ 5398665 h 6858000"/>
              <a:gd name="csX13559" fmla="*/ 9635705 w 12192000"/>
              <a:gd name="csY13559" fmla="*/ 5363844 h 6858000"/>
              <a:gd name="csX13560" fmla="*/ 9719446 w 12192000"/>
              <a:gd name="csY13560" fmla="*/ 5363844 h 6858000"/>
              <a:gd name="csX13561" fmla="*/ 9685093 w 12192000"/>
              <a:gd name="csY13561" fmla="*/ 5398665 h 6858000"/>
              <a:gd name="csX13562" fmla="*/ 9719446 w 12192000"/>
              <a:gd name="csY13562" fmla="*/ 5433485 h 6858000"/>
              <a:gd name="csX13563" fmla="*/ 9753787 w 12192000"/>
              <a:gd name="csY13563" fmla="*/ 5398665 h 6858000"/>
              <a:gd name="csX13564" fmla="*/ 9719446 w 12192000"/>
              <a:gd name="csY13564" fmla="*/ 5363844 h 6858000"/>
              <a:gd name="csX13565" fmla="*/ 9803189 w 12192000"/>
              <a:gd name="csY13565" fmla="*/ 5363844 h 6858000"/>
              <a:gd name="csX13566" fmla="*/ 9768836 w 12192000"/>
              <a:gd name="csY13566" fmla="*/ 5398665 h 6858000"/>
              <a:gd name="csX13567" fmla="*/ 9803189 w 12192000"/>
              <a:gd name="csY13567" fmla="*/ 5433485 h 6858000"/>
              <a:gd name="csX13568" fmla="*/ 9837529 w 12192000"/>
              <a:gd name="csY13568" fmla="*/ 5398665 h 6858000"/>
              <a:gd name="csX13569" fmla="*/ 9803189 w 12192000"/>
              <a:gd name="csY13569" fmla="*/ 5363844 h 6858000"/>
              <a:gd name="csX13570" fmla="*/ 9886930 w 12192000"/>
              <a:gd name="csY13570" fmla="*/ 5363844 h 6858000"/>
              <a:gd name="csX13571" fmla="*/ 9852577 w 12192000"/>
              <a:gd name="csY13571" fmla="*/ 5398665 h 6858000"/>
              <a:gd name="csX13572" fmla="*/ 9886930 w 12192000"/>
              <a:gd name="csY13572" fmla="*/ 5433485 h 6858000"/>
              <a:gd name="csX13573" fmla="*/ 9921270 w 12192000"/>
              <a:gd name="csY13573" fmla="*/ 5398665 h 6858000"/>
              <a:gd name="csX13574" fmla="*/ 9886930 w 12192000"/>
              <a:gd name="csY13574" fmla="*/ 5363844 h 6858000"/>
              <a:gd name="csX13575" fmla="*/ 9970671 w 12192000"/>
              <a:gd name="csY13575" fmla="*/ 5363844 h 6858000"/>
              <a:gd name="csX13576" fmla="*/ 9936318 w 12192000"/>
              <a:gd name="csY13576" fmla="*/ 5398665 h 6858000"/>
              <a:gd name="csX13577" fmla="*/ 9970671 w 12192000"/>
              <a:gd name="csY13577" fmla="*/ 5433485 h 6858000"/>
              <a:gd name="csX13578" fmla="*/ 10005011 w 12192000"/>
              <a:gd name="csY13578" fmla="*/ 5398665 h 6858000"/>
              <a:gd name="csX13579" fmla="*/ 9970671 w 12192000"/>
              <a:gd name="csY13579" fmla="*/ 5363844 h 6858000"/>
              <a:gd name="csX13580" fmla="*/ 10054413 w 12192000"/>
              <a:gd name="csY13580" fmla="*/ 5363844 h 6858000"/>
              <a:gd name="csX13581" fmla="*/ 10020060 w 12192000"/>
              <a:gd name="csY13581" fmla="*/ 5398665 h 6858000"/>
              <a:gd name="csX13582" fmla="*/ 10054413 w 12192000"/>
              <a:gd name="csY13582" fmla="*/ 5433485 h 6858000"/>
              <a:gd name="csX13583" fmla="*/ 10088754 w 12192000"/>
              <a:gd name="csY13583" fmla="*/ 5398665 h 6858000"/>
              <a:gd name="csX13584" fmla="*/ 10054413 w 12192000"/>
              <a:gd name="csY13584" fmla="*/ 5363844 h 6858000"/>
              <a:gd name="csX13585" fmla="*/ 10138155 w 12192000"/>
              <a:gd name="csY13585" fmla="*/ 5363844 h 6858000"/>
              <a:gd name="csX13586" fmla="*/ 10103802 w 12192000"/>
              <a:gd name="csY13586" fmla="*/ 5398665 h 6858000"/>
              <a:gd name="csX13587" fmla="*/ 10138155 w 12192000"/>
              <a:gd name="csY13587" fmla="*/ 5433485 h 6858000"/>
              <a:gd name="csX13588" fmla="*/ 10172495 w 12192000"/>
              <a:gd name="csY13588" fmla="*/ 5398665 h 6858000"/>
              <a:gd name="csX13589" fmla="*/ 10138155 w 12192000"/>
              <a:gd name="csY13589" fmla="*/ 5363844 h 6858000"/>
              <a:gd name="csX13590" fmla="*/ 10221896 w 12192000"/>
              <a:gd name="csY13590" fmla="*/ 5363844 h 6858000"/>
              <a:gd name="csX13591" fmla="*/ 10187543 w 12192000"/>
              <a:gd name="csY13591" fmla="*/ 5398665 h 6858000"/>
              <a:gd name="csX13592" fmla="*/ 10221896 w 12192000"/>
              <a:gd name="csY13592" fmla="*/ 5433485 h 6858000"/>
              <a:gd name="csX13593" fmla="*/ 10256236 w 12192000"/>
              <a:gd name="csY13593" fmla="*/ 5398665 h 6858000"/>
              <a:gd name="csX13594" fmla="*/ 10221896 w 12192000"/>
              <a:gd name="csY13594" fmla="*/ 5363844 h 6858000"/>
              <a:gd name="csX13595" fmla="*/ 10305638 w 12192000"/>
              <a:gd name="csY13595" fmla="*/ 5363844 h 6858000"/>
              <a:gd name="csX13596" fmla="*/ 10271285 w 12192000"/>
              <a:gd name="csY13596" fmla="*/ 5398665 h 6858000"/>
              <a:gd name="csX13597" fmla="*/ 10305638 w 12192000"/>
              <a:gd name="csY13597" fmla="*/ 5433485 h 6858000"/>
              <a:gd name="csX13598" fmla="*/ 10339978 w 12192000"/>
              <a:gd name="csY13598" fmla="*/ 5398665 h 6858000"/>
              <a:gd name="csX13599" fmla="*/ 10305638 w 12192000"/>
              <a:gd name="csY13599" fmla="*/ 5363844 h 6858000"/>
              <a:gd name="csX13600" fmla="*/ 10389379 w 12192000"/>
              <a:gd name="csY13600" fmla="*/ 5363844 h 6858000"/>
              <a:gd name="csX13601" fmla="*/ 10355026 w 12192000"/>
              <a:gd name="csY13601" fmla="*/ 5398665 h 6858000"/>
              <a:gd name="csX13602" fmla="*/ 10389379 w 12192000"/>
              <a:gd name="csY13602" fmla="*/ 5433485 h 6858000"/>
              <a:gd name="csX13603" fmla="*/ 10423720 w 12192000"/>
              <a:gd name="csY13603" fmla="*/ 5398665 h 6858000"/>
              <a:gd name="csX13604" fmla="*/ 10389379 w 12192000"/>
              <a:gd name="csY13604" fmla="*/ 5363844 h 6858000"/>
              <a:gd name="csX13605" fmla="*/ 10473122 w 12192000"/>
              <a:gd name="csY13605" fmla="*/ 5363844 h 6858000"/>
              <a:gd name="csX13606" fmla="*/ 10438769 w 12192000"/>
              <a:gd name="csY13606" fmla="*/ 5398665 h 6858000"/>
              <a:gd name="csX13607" fmla="*/ 10473122 w 12192000"/>
              <a:gd name="csY13607" fmla="*/ 5433485 h 6858000"/>
              <a:gd name="csX13608" fmla="*/ 10507462 w 12192000"/>
              <a:gd name="csY13608" fmla="*/ 5398665 h 6858000"/>
              <a:gd name="csX13609" fmla="*/ 10473122 w 12192000"/>
              <a:gd name="csY13609" fmla="*/ 5363844 h 6858000"/>
              <a:gd name="csX13610" fmla="*/ 3773759 w 12192000"/>
              <a:gd name="csY13610" fmla="*/ 5448709 h 6858000"/>
              <a:gd name="csX13611" fmla="*/ 3739412 w 12192000"/>
              <a:gd name="csY13611" fmla="*/ 5483530 h 6858000"/>
              <a:gd name="csX13612" fmla="*/ 3773759 w 12192000"/>
              <a:gd name="csY13612" fmla="*/ 5518350 h 6858000"/>
              <a:gd name="csX13613" fmla="*/ 3808106 w 12192000"/>
              <a:gd name="csY13613" fmla="*/ 5483530 h 6858000"/>
              <a:gd name="csX13614" fmla="*/ 3773759 w 12192000"/>
              <a:gd name="csY13614" fmla="*/ 5448709 h 6858000"/>
              <a:gd name="csX13615" fmla="*/ 3857500 w 12192000"/>
              <a:gd name="csY13615" fmla="*/ 5448709 h 6858000"/>
              <a:gd name="csX13616" fmla="*/ 3823154 w 12192000"/>
              <a:gd name="csY13616" fmla="*/ 5483530 h 6858000"/>
              <a:gd name="csX13617" fmla="*/ 3857500 w 12192000"/>
              <a:gd name="csY13617" fmla="*/ 5518350 h 6858000"/>
              <a:gd name="csX13618" fmla="*/ 3891847 w 12192000"/>
              <a:gd name="csY13618" fmla="*/ 5483530 h 6858000"/>
              <a:gd name="csX13619" fmla="*/ 3857500 w 12192000"/>
              <a:gd name="csY13619" fmla="*/ 5448709 h 6858000"/>
              <a:gd name="csX13620" fmla="*/ 3941242 w 12192000"/>
              <a:gd name="csY13620" fmla="*/ 5448709 h 6858000"/>
              <a:gd name="csX13621" fmla="*/ 3906895 w 12192000"/>
              <a:gd name="csY13621" fmla="*/ 5483530 h 6858000"/>
              <a:gd name="csX13622" fmla="*/ 3941242 w 12192000"/>
              <a:gd name="csY13622" fmla="*/ 5518350 h 6858000"/>
              <a:gd name="csX13623" fmla="*/ 3975588 w 12192000"/>
              <a:gd name="csY13623" fmla="*/ 5483530 h 6858000"/>
              <a:gd name="csX13624" fmla="*/ 3941242 w 12192000"/>
              <a:gd name="csY13624" fmla="*/ 5448709 h 6858000"/>
              <a:gd name="csX13625" fmla="*/ 4024990 w 12192000"/>
              <a:gd name="csY13625" fmla="*/ 5448709 h 6858000"/>
              <a:gd name="csX13626" fmla="*/ 3990643 w 12192000"/>
              <a:gd name="csY13626" fmla="*/ 5483530 h 6858000"/>
              <a:gd name="csX13627" fmla="*/ 4024990 w 12192000"/>
              <a:gd name="csY13627" fmla="*/ 5518350 h 6858000"/>
              <a:gd name="csX13628" fmla="*/ 4059337 w 12192000"/>
              <a:gd name="csY13628" fmla="*/ 5483530 h 6858000"/>
              <a:gd name="csX13629" fmla="*/ 4024990 w 12192000"/>
              <a:gd name="csY13629" fmla="*/ 5448709 h 6858000"/>
              <a:gd name="csX13630" fmla="*/ 4108732 w 12192000"/>
              <a:gd name="csY13630" fmla="*/ 5448709 h 6858000"/>
              <a:gd name="csX13631" fmla="*/ 4074386 w 12192000"/>
              <a:gd name="csY13631" fmla="*/ 5483530 h 6858000"/>
              <a:gd name="csX13632" fmla="*/ 4108732 w 12192000"/>
              <a:gd name="csY13632" fmla="*/ 5518350 h 6858000"/>
              <a:gd name="csX13633" fmla="*/ 4143079 w 12192000"/>
              <a:gd name="csY13633" fmla="*/ 5483530 h 6858000"/>
              <a:gd name="csX13634" fmla="*/ 4108732 w 12192000"/>
              <a:gd name="csY13634" fmla="*/ 5448709 h 6858000"/>
              <a:gd name="csX13635" fmla="*/ 9384480 w 12192000"/>
              <a:gd name="csY13635" fmla="*/ 5448709 h 6858000"/>
              <a:gd name="csX13636" fmla="*/ 9350127 w 12192000"/>
              <a:gd name="csY13636" fmla="*/ 5483530 h 6858000"/>
              <a:gd name="csX13637" fmla="*/ 9384480 w 12192000"/>
              <a:gd name="csY13637" fmla="*/ 5518350 h 6858000"/>
              <a:gd name="csX13638" fmla="*/ 9418821 w 12192000"/>
              <a:gd name="csY13638" fmla="*/ 5483530 h 6858000"/>
              <a:gd name="csX13639" fmla="*/ 9384480 w 12192000"/>
              <a:gd name="csY13639" fmla="*/ 5448709 h 6858000"/>
              <a:gd name="csX13640" fmla="*/ 9468222 w 12192000"/>
              <a:gd name="csY13640" fmla="*/ 5448709 h 6858000"/>
              <a:gd name="csX13641" fmla="*/ 9433869 w 12192000"/>
              <a:gd name="csY13641" fmla="*/ 5483530 h 6858000"/>
              <a:gd name="csX13642" fmla="*/ 9468222 w 12192000"/>
              <a:gd name="csY13642" fmla="*/ 5518350 h 6858000"/>
              <a:gd name="csX13643" fmla="*/ 9502562 w 12192000"/>
              <a:gd name="csY13643" fmla="*/ 5483530 h 6858000"/>
              <a:gd name="csX13644" fmla="*/ 9468222 w 12192000"/>
              <a:gd name="csY13644" fmla="*/ 5448709 h 6858000"/>
              <a:gd name="csX13645" fmla="*/ 9551963 w 12192000"/>
              <a:gd name="csY13645" fmla="*/ 5448709 h 6858000"/>
              <a:gd name="csX13646" fmla="*/ 9517610 w 12192000"/>
              <a:gd name="csY13646" fmla="*/ 5483530 h 6858000"/>
              <a:gd name="csX13647" fmla="*/ 9551963 w 12192000"/>
              <a:gd name="csY13647" fmla="*/ 5518350 h 6858000"/>
              <a:gd name="csX13648" fmla="*/ 9586303 w 12192000"/>
              <a:gd name="csY13648" fmla="*/ 5483530 h 6858000"/>
              <a:gd name="csX13649" fmla="*/ 9551963 w 12192000"/>
              <a:gd name="csY13649" fmla="*/ 5448709 h 6858000"/>
              <a:gd name="csX13650" fmla="*/ 9970671 w 12192000"/>
              <a:gd name="csY13650" fmla="*/ 5448709 h 6858000"/>
              <a:gd name="csX13651" fmla="*/ 9936318 w 12192000"/>
              <a:gd name="csY13651" fmla="*/ 5483530 h 6858000"/>
              <a:gd name="csX13652" fmla="*/ 9970671 w 12192000"/>
              <a:gd name="csY13652" fmla="*/ 5518350 h 6858000"/>
              <a:gd name="csX13653" fmla="*/ 10005011 w 12192000"/>
              <a:gd name="csY13653" fmla="*/ 5483530 h 6858000"/>
              <a:gd name="csX13654" fmla="*/ 9970671 w 12192000"/>
              <a:gd name="csY13654" fmla="*/ 5448709 h 6858000"/>
              <a:gd name="csX13655" fmla="*/ 10054413 w 12192000"/>
              <a:gd name="csY13655" fmla="*/ 5448709 h 6858000"/>
              <a:gd name="csX13656" fmla="*/ 10020060 w 12192000"/>
              <a:gd name="csY13656" fmla="*/ 5483530 h 6858000"/>
              <a:gd name="csX13657" fmla="*/ 10054413 w 12192000"/>
              <a:gd name="csY13657" fmla="*/ 5518350 h 6858000"/>
              <a:gd name="csX13658" fmla="*/ 10088754 w 12192000"/>
              <a:gd name="csY13658" fmla="*/ 5483530 h 6858000"/>
              <a:gd name="csX13659" fmla="*/ 10054413 w 12192000"/>
              <a:gd name="csY13659" fmla="*/ 5448709 h 6858000"/>
              <a:gd name="csX13660" fmla="*/ 10138155 w 12192000"/>
              <a:gd name="csY13660" fmla="*/ 5448709 h 6858000"/>
              <a:gd name="csX13661" fmla="*/ 10103802 w 12192000"/>
              <a:gd name="csY13661" fmla="*/ 5483530 h 6858000"/>
              <a:gd name="csX13662" fmla="*/ 10138155 w 12192000"/>
              <a:gd name="csY13662" fmla="*/ 5518350 h 6858000"/>
              <a:gd name="csX13663" fmla="*/ 10172495 w 12192000"/>
              <a:gd name="csY13663" fmla="*/ 5483530 h 6858000"/>
              <a:gd name="csX13664" fmla="*/ 10138155 w 12192000"/>
              <a:gd name="csY13664" fmla="*/ 5448709 h 6858000"/>
              <a:gd name="csX13665" fmla="*/ 10221896 w 12192000"/>
              <a:gd name="csY13665" fmla="*/ 5448709 h 6858000"/>
              <a:gd name="csX13666" fmla="*/ 10187543 w 12192000"/>
              <a:gd name="csY13666" fmla="*/ 5483530 h 6858000"/>
              <a:gd name="csX13667" fmla="*/ 10221896 w 12192000"/>
              <a:gd name="csY13667" fmla="*/ 5518350 h 6858000"/>
              <a:gd name="csX13668" fmla="*/ 10256236 w 12192000"/>
              <a:gd name="csY13668" fmla="*/ 5483530 h 6858000"/>
              <a:gd name="csX13669" fmla="*/ 10221896 w 12192000"/>
              <a:gd name="csY13669" fmla="*/ 5448709 h 6858000"/>
              <a:gd name="csX13670" fmla="*/ 10305638 w 12192000"/>
              <a:gd name="csY13670" fmla="*/ 5448709 h 6858000"/>
              <a:gd name="csX13671" fmla="*/ 10271285 w 12192000"/>
              <a:gd name="csY13671" fmla="*/ 5483530 h 6858000"/>
              <a:gd name="csX13672" fmla="*/ 10305638 w 12192000"/>
              <a:gd name="csY13672" fmla="*/ 5518350 h 6858000"/>
              <a:gd name="csX13673" fmla="*/ 10339978 w 12192000"/>
              <a:gd name="csY13673" fmla="*/ 5483530 h 6858000"/>
              <a:gd name="csX13674" fmla="*/ 10305638 w 12192000"/>
              <a:gd name="csY13674" fmla="*/ 5448709 h 6858000"/>
              <a:gd name="csX13675" fmla="*/ 10389379 w 12192000"/>
              <a:gd name="csY13675" fmla="*/ 5448709 h 6858000"/>
              <a:gd name="csX13676" fmla="*/ 10355026 w 12192000"/>
              <a:gd name="csY13676" fmla="*/ 5483530 h 6858000"/>
              <a:gd name="csX13677" fmla="*/ 10389379 w 12192000"/>
              <a:gd name="csY13677" fmla="*/ 5518350 h 6858000"/>
              <a:gd name="csX13678" fmla="*/ 10423720 w 12192000"/>
              <a:gd name="csY13678" fmla="*/ 5483530 h 6858000"/>
              <a:gd name="csX13679" fmla="*/ 10389379 w 12192000"/>
              <a:gd name="csY13679" fmla="*/ 5448709 h 6858000"/>
              <a:gd name="csX13680" fmla="*/ 10473122 w 12192000"/>
              <a:gd name="csY13680" fmla="*/ 5448709 h 6858000"/>
              <a:gd name="csX13681" fmla="*/ 10438769 w 12192000"/>
              <a:gd name="csY13681" fmla="*/ 5483530 h 6858000"/>
              <a:gd name="csX13682" fmla="*/ 10473122 w 12192000"/>
              <a:gd name="csY13682" fmla="*/ 5518350 h 6858000"/>
              <a:gd name="csX13683" fmla="*/ 10507462 w 12192000"/>
              <a:gd name="csY13683" fmla="*/ 5483530 h 6858000"/>
              <a:gd name="csX13684" fmla="*/ 10473122 w 12192000"/>
              <a:gd name="csY13684" fmla="*/ 5448709 h 6858000"/>
              <a:gd name="csX13685" fmla="*/ 3690017 w 12192000"/>
              <a:gd name="csY13685" fmla="*/ 5533573 h 6858000"/>
              <a:gd name="csX13686" fmla="*/ 3655670 w 12192000"/>
              <a:gd name="csY13686" fmla="*/ 5568393 h 6858000"/>
              <a:gd name="csX13687" fmla="*/ 3690017 w 12192000"/>
              <a:gd name="csY13687" fmla="*/ 5603214 h 6858000"/>
              <a:gd name="csX13688" fmla="*/ 3724364 w 12192000"/>
              <a:gd name="csY13688" fmla="*/ 5568393 h 6858000"/>
              <a:gd name="csX13689" fmla="*/ 3690017 w 12192000"/>
              <a:gd name="csY13689" fmla="*/ 5533573 h 6858000"/>
              <a:gd name="csX13690" fmla="*/ 3773759 w 12192000"/>
              <a:gd name="csY13690" fmla="*/ 5533573 h 6858000"/>
              <a:gd name="csX13691" fmla="*/ 3739412 w 12192000"/>
              <a:gd name="csY13691" fmla="*/ 5568393 h 6858000"/>
              <a:gd name="csX13692" fmla="*/ 3773759 w 12192000"/>
              <a:gd name="csY13692" fmla="*/ 5603214 h 6858000"/>
              <a:gd name="csX13693" fmla="*/ 3808106 w 12192000"/>
              <a:gd name="csY13693" fmla="*/ 5568393 h 6858000"/>
              <a:gd name="csX13694" fmla="*/ 3773759 w 12192000"/>
              <a:gd name="csY13694" fmla="*/ 5533573 h 6858000"/>
              <a:gd name="csX13695" fmla="*/ 3857500 w 12192000"/>
              <a:gd name="csY13695" fmla="*/ 5533573 h 6858000"/>
              <a:gd name="csX13696" fmla="*/ 3823154 w 12192000"/>
              <a:gd name="csY13696" fmla="*/ 5568393 h 6858000"/>
              <a:gd name="csX13697" fmla="*/ 3857500 w 12192000"/>
              <a:gd name="csY13697" fmla="*/ 5603214 h 6858000"/>
              <a:gd name="csX13698" fmla="*/ 3891847 w 12192000"/>
              <a:gd name="csY13698" fmla="*/ 5568393 h 6858000"/>
              <a:gd name="csX13699" fmla="*/ 3857500 w 12192000"/>
              <a:gd name="csY13699" fmla="*/ 5533573 h 6858000"/>
              <a:gd name="csX13700" fmla="*/ 3941242 w 12192000"/>
              <a:gd name="csY13700" fmla="*/ 5533573 h 6858000"/>
              <a:gd name="csX13701" fmla="*/ 3906895 w 12192000"/>
              <a:gd name="csY13701" fmla="*/ 5568393 h 6858000"/>
              <a:gd name="csX13702" fmla="*/ 3941242 w 12192000"/>
              <a:gd name="csY13702" fmla="*/ 5603214 h 6858000"/>
              <a:gd name="csX13703" fmla="*/ 3975588 w 12192000"/>
              <a:gd name="csY13703" fmla="*/ 5568393 h 6858000"/>
              <a:gd name="csX13704" fmla="*/ 3941242 w 12192000"/>
              <a:gd name="csY13704" fmla="*/ 5533573 h 6858000"/>
              <a:gd name="csX13705" fmla="*/ 4024990 w 12192000"/>
              <a:gd name="csY13705" fmla="*/ 5533573 h 6858000"/>
              <a:gd name="csX13706" fmla="*/ 3990643 w 12192000"/>
              <a:gd name="csY13706" fmla="*/ 5568393 h 6858000"/>
              <a:gd name="csX13707" fmla="*/ 4024990 w 12192000"/>
              <a:gd name="csY13707" fmla="*/ 5603214 h 6858000"/>
              <a:gd name="csX13708" fmla="*/ 4059337 w 12192000"/>
              <a:gd name="csY13708" fmla="*/ 5568393 h 6858000"/>
              <a:gd name="csX13709" fmla="*/ 4024990 w 12192000"/>
              <a:gd name="csY13709" fmla="*/ 5533573 h 6858000"/>
              <a:gd name="csX13710" fmla="*/ 4108732 w 12192000"/>
              <a:gd name="csY13710" fmla="*/ 5533573 h 6858000"/>
              <a:gd name="csX13711" fmla="*/ 4074386 w 12192000"/>
              <a:gd name="csY13711" fmla="*/ 5568393 h 6858000"/>
              <a:gd name="csX13712" fmla="*/ 4108732 w 12192000"/>
              <a:gd name="csY13712" fmla="*/ 5603214 h 6858000"/>
              <a:gd name="csX13713" fmla="*/ 4143079 w 12192000"/>
              <a:gd name="csY13713" fmla="*/ 5568393 h 6858000"/>
              <a:gd name="csX13714" fmla="*/ 4108732 w 12192000"/>
              <a:gd name="csY13714" fmla="*/ 5533573 h 6858000"/>
              <a:gd name="csX13715" fmla="*/ 10054413 w 12192000"/>
              <a:gd name="csY13715" fmla="*/ 5533573 h 6858000"/>
              <a:gd name="csX13716" fmla="*/ 10020060 w 12192000"/>
              <a:gd name="csY13716" fmla="*/ 5568393 h 6858000"/>
              <a:gd name="csX13717" fmla="*/ 10054413 w 12192000"/>
              <a:gd name="csY13717" fmla="*/ 5603214 h 6858000"/>
              <a:gd name="csX13718" fmla="*/ 10088754 w 12192000"/>
              <a:gd name="csY13718" fmla="*/ 5568393 h 6858000"/>
              <a:gd name="csX13719" fmla="*/ 10054413 w 12192000"/>
              <a:gd name="csY13719" fmla="*/ 5533573 h 6858000"/>
              <a:gd name="csX13720" fmla="*/ 10138155 w 12192000"/>
              <a:gd name="csY13720" fmla="*/ 5533573 h 6858000"/>
              <a:gd name="csX13721" fmla="*/ 10103802 w 12192000"/>
              <a:gd name="csY13721" fmla="*/ 5568393 h 6858000"/>
              <a:gd name="csX13722" fmla="*/ 10138155 w 12192000"/>
              <a:gd name="csY13722" fmla="*/ 5603214 h 6858000"/>
              <a:gd name="csX13723" fmla="*/ 10172495 w 12192000"/>
              <a:gd name="csY13723" fmla="*/ 5568393 h 6858000"/>
              <a:gd name="csX13724" fmla="*/ 10138155 w 12192000"/>
              <a:gd name="csY13724" fmla="*/ 5533573 h 6858000"/>
              <a:gd name="csX13725" fmla="*/ 10221896 w 12192000"/>
              <a:gd name="csY13725" fmla="*/ 5533573 h 6858000"/>
              <a:gd name="csX13726" fmla="*/ 10187543 w 12192000"/>
              <a:gd name="csY13726" fmla="*/ 5568393 h 6858000"/>
              <a:gd name="csX13727" fmla="*/ 10221896 w 12192000"/>
              <a:gd name="csY13727" fmla="*/ 5603214 h 6858000"/>
              <a:gd name="csX13728" fmla="*/ 10256236 w 12192000"/>
              <a:gd name="csY13728" fmla="*/ 5568393 h 6858000"/>
              <a:gd name="csX13729" fmla="*/ 10221896 w 12192000"/>
              <a:gd name="csY13729" fmla="*/ 5533573 h 6858000"/>
              <a:gd name="csX13730" fmla="*/ 10305638 w 12192000"/>
              <a:gd name="csY13730" fmla="*/ 5533573 h 6858000"/>
              <a:gd name="csX13731" fmla="*/ 10271285 w 12192000"/>
              <a:gd name="csY13731" fmla="*/ 5568393 h 6858000"/>
              <a:gd name="csX13732" fmla="*/ 10305638 w 12192000"/>
              <a:gd name="csY13732" fmla="*/ 5603214 h 6858000"/>
              <a:gd name="csX13733" fmla="*/ 10339978 w 12192000"/>
              <a:gd name="csY13733" fmla="*/ 5568393 h 6858000"/>
              <a:gd name="csX13734" fmla="*/ 10305638 w 12192000"/>
              <a:gd name="csY13734" fmla="*/ 5533573 h 6858000"/>
              <a:gd name="csX13735" fmla="*/ 10389379 w 12192000"/>
              <a:gd name="csY13735" fmla="*/ 5533573 h 6858000"/>
              <a:gd name="csX13736" fmla="*/ 10355026 w 12192000"/>
              <a:gd name="csY13736" fmla="*/ 5568393 h 6858000"/>
              <a:gd name="csX13737" fmla="*/ 10389379 w 12192000"/>
              <a:gd name="csY13737" fmla="*/ 5603214 h 6858000"/>
              <a:gd name="csX13738" fmla="*/ 10423720 w 12192000"/>
              <a:gd name="csY13738" fmla="*/ 5568393 h 6858000"/>
              <a:gd name="csX13739" fmla="*/ 10389379 w 12192000"/>
              <a:gd name="csY13739" fmla="*/ 5533573 h 6858000"/>
              <a:gd name="csX13740" fmla="*/ 3773759 w 12192000"/>
              <a:gd name="csY13740" fmla="*/ 5618437 h 6858000"/>
              <a:gd name="csX13741" fmla="*/ 3739412 w 12192000"/>
              <a:gd name="csY13741" fmla="*/ 5653257 h 6858000"/>
              <a:gd name="csX13742" fmla="*/ 3773759 w 12192000"/>
              <a:gd name="csY13742" fmla="*/ 5688077 h 6858000"/>
              <a:gd name="csX13743" fmla="*/ 3808106 w 12192000"/>
              <a:gd name="csY13743" fmla="*/ 5653257 h 6858000"/>
              <a:gd name="csX13744" fmla="*/ 3773759 w 12192000"/>
              <a:gd name="csY13744" fmla="*/ 5618437 h 6858000"/>
              <a:gd name="csX13745" fmla="*/ 3857500 w 12192000"/>
              <a:gd name="csY13745" fmla="*/ 5618437 h 6858000"/>
              <a:gd name="csX13746" fmla="*/ 3823154 w 12192000"/>
              <a:gd name="csY13746" fmla="*/ 5653257 h 6858000"/>
              <a:gd name="csX13747" fmla="*/ 3857500 w 12192000"/>
              <a:gd name="csY13747" fmla="*/ 5688077 h 6858000"/>
              <a:gd name="csX13748" fmla="*/ 3891847 w 12192000"/>
              <a:gd name="csY13748" fmla="*/ 5653257 h 6858000"/>
              <a:gd name="csX13749" fmla="*/ 3857500 w 12192000"/>
              <a:gd name="csY13749" fmla="*/ 5618437 h 6858000"/>
              <a:gd name="csX13750" fmla="*/ 3941242 w 12192000"/>
              <a:gd name="csY13750" fmla="*/ 5618437 h 6858000"/>
              <a:gd name="csX13751" fmla="*/ 3906895 w 12192000"/>
              <a:gd name="csY13751" fmla="*/ 5653257 h 6858000"/>
              <a:gd name="csX13752" fmla="*/ 3941242 w 12192000"/>
              <a:gd name="csY13752" fmla="*/ 5688077 h 6858000"/>
              <a:gd name="csX13753" fmla="*/ 3975588 w 12192000"/>
              <a:gd name="csY13753" fmla="*/ 5653257 h 6858000"/>
              <a:gd name="csX13754" fmla="*/ 3941242 w 12192000"/>
              <a:gd name="csY13754" fmla="*/ 5618437 h 6858000"/>
              <a:gd name="csX13755" fmla="*/ 4024990 w 12192000"/>
              <a:gd name="csY13755" fmla="*/ 5618437 h 6858000"/>
              <a:gd name="csX13756" fmla="*/ 3990643 w 12192000"/>
              <a:gd name="csY13756" fmla="*/ 5653257 h 6858000"/>
              <a:gd name="csX13757" fmla="*/ 4024990 w 12192000"/>
              <a:gd name="csY13757" fmla="*/ 5688077 h 6858000"/>
              <a:gd name="csX13758" fmla="*/ 4059337 w 12192000"/>
              <a:gd name="csY13758" fmla="*/ 5653257 h 6858000"/>
              <a:gd name="csX13759" fmla="*/ 4024990 w 12192000"/>
              <a:gd name="csY13759" fmla="*/ 5618437 h 6858000"/>
              <a:gd name="csX13760" fmla="*/ 10138155 w 12192000"/>
              <a:gd name="csY13760" fmla="*/ 5618437 h 6858000"/>
              <a:gd name="csX13761" fmla="*/ 10103802 w 12192000"/>
              <a:gd name="csY13761" fmla="*/ 5653257 h 6858000"/>
              <a:gd name="csX13762" fmla="*/ 10138155 w 12192000"/>
              <a:gd name="csY13762" fmla="*/ 5688077 h 6858000"/>
              <a:gd name="csX13763" fmla="*/ 10172495 w 12192000"/>
              <a:gd name="csY13763" fmla="*/ 5653257 h 6858000"/>
              <a:gd name="csX13764" fmla="*/ 10138155 w 12192000"/>
              <a:gd name="csY13764" fmla="*/ 5618437 h 6858000"/>
              <a:gd name="csX13765" fmla="*/ 10221896 w 12192000"/>
              <a:gd name="csY13765" fmla="*/ 5618437 h 6858000"/>
              <a:gd name="csX13766" fmla="*/ 10187543 w 12192000"/>
              <a:gd name="csY13766" fmla="*/ 5653257 h 6858000"/>
              <a:gd name="csX13767" fmla="*/ 10221896 w 12192000"/>
              <a:gd name="csY13767" fmla="*/ 5688077 h 6858000"/>
              <a:gd name="csX13768" fmla="*/ 10256236 w 12192000"/>
              <a:gd name="csY13768" fmla="*/ 5653257 h 6858000"/>
              <a:gd name="csX13769" fmla="*/ 10221896 w 12192000"/>
              <a:gd name="csY13769" fmla="*/ 5618437 h 6858000"/>
              <a:gd name="csX13770" fmla="*/ 10305638 w 12192000"/>
              <a:gd name="csY13770" fmla="*/ 5618437 h 6858000"/>
              <a:gd name="csX13771" fmla="*/ 10271285 w 12192000"/>
              <a:gd name="csY13771" fmla="*/ 5653257 h 6858000"/>
              <a:gd name="csX13772" fmla="*/ 10305638 w 12192000"/>
              <a:gd name="csY13772" fmla="*/ 5688077 h 6858000"/>
              <a:gd name="csX13773" fmla="*/ 10339978 w 12192000"/>
              <a:gd name="csY13773" fmla="*/ 5653257 h 6858000"/>
              <a:gd name="csX13774" fmla="*/ 10305638 w 12192000"/>
              <a:gd name="csY13774" fmla="*/ 5618437 h 6858000"/>
              <a:gd name="csX13775" fmla="*/ 10389379 w 12192000"/>
              <a:gd name="csY13775" fmla="*/ 5618437 h 6858000"/>
              <a:gd name="csX13776" fmla="*/ 10355026 w 12192000"/>
              <a:gd name="csY13776" fmla="*/ 5653257 h 6858000"/>
              <a:gd name="csX13777" fmla="*/ 10389379 w 12192000"/>
              <a:gd name="csY13777" fmla="*/ 5688077 h 6858000"/>
              <a:gd name="csX13778" fmla="*/ 10423720 w 12192000"/>
              <a:gd name="csY13778" fmla="*/ 5653257 h 6858000"/>
              <a:gd name="csX13779" fmla="*/ 10389379 w 12192000"/>
              <a:gd name="csY13779" fmla="*/ 5618437 h 6858000"/>
              <a:gd name="csX13780" fmla="*/ 3773759 w 12192000"/>
              <a:gd name="csY13780" fmla="*/ 5703300 h 6858000"/>
              <a:gd name="csX13781" fmla="*/ 3739412 w 12192000"/>
              <a:gd name="csY13781" fmla="*/ 5738121 h 6858000"/>
              <a:gd name="csX13782" fmla="*/ 3773759 w 12192000"/>
              <a:gd name="csY13782" fmla="*/ 5772941 h 6858000"/>
              <a:gd name="csX13783" fmla="*/ 3808106 w 12192000"/>
              <a:gd name="csY13783" fmla="*/ 5738121 h 6858000"/>
              <a:gd name="csX13784" fmla="*/ 3773759 w 12192000"/>
              <a:gd name="csY13784" fmla="*/ 5703300 h 6858000"/>
              <a:gd name="csX13785" fmla="*/ 3857500 w 12192000"/>
              <a:gd name="csY13785" fmla="*/ 5703300 h 6858000"/>
              <a:gd name="csX13786" fmla="*/ 3823154 w 12192000"/>
              <a:gd name="csY13786" fmla="*/ 5738121 h 6858000"/>
              <a:gd name="csX13787" fmla="*/ 3857500 w 12192000"/>
              <a:gd name="csY13787" fmla="*/ 5772941 h 6858000"/>
              <a:gd name="csX13788" fmla="*/ 3891847 w 12192000"/>
              <a:gd name="csY13788" fmla="*/ 5738121 h 6858000"/>
              <a:gd name="csX13789" fmla="*/ 3857500 w 12192000"/>
              <a:gd name="csY13789" fmla="*/ 5703300 h 6858000"/>
              <a:gd name="csX13790" fmla="*/ 3941242 w 12192000"/>
              <a:gd name="csY13790" fmla="*/ 5703300 h 6858000"/>
              <a:gd name="csX13791" fmla="*/ 3906895 w 12192000"/>
              <a:gd name="csY13791" fmla="*/ 5738121 h 6858000"/>
              <a:gd name="csX13792" fmla="*/ 3941242 w 12192000"/>
              <a:gd name="csY13792" fmla="*/ 5772941 h 6858000"/>
              <a:gd name="csX13793" fmla="*/ 3975588 w 12192000"/>
              <a:gd name="csY13793" fmla="*/ 5738121 h 6858000"/>
              <a:gd name="csX13794" fmla="*/ 3941242 w 12192000"/>
              <a:gd name="csY13794" fmla="*/ 5703300 h 6858000"/>
              <a:gd name="csX13795" fmla="*/ 10138155 w 12192000"/>
              <a:gd name="csY13795" fmla="*/ 5703300 h 6858000"/>
              <a:gd name="csX13796" fmla="*/ 10103802 w 12192000"/>
              <a:gd name="csY13796" fmla="*/ 5738121 h 6858000"/>
              <a:gd name="csX13797" fmla="*/ 10138155 w 12192000"/>
              <a:gd name="csY13797" fmla="*/ 5772941 h 6858000"/>
              <a:gd name="csX13798" fmla="*/ 10172495 w 12192000"/>
              <a:gd name="csY13798" fmla="*/ 5738121 h 6858000"/>
              <a:gd name="csX13799" fmla="*/ 10138155 w 12192000"/>
              <a:gd name="csY13799" fmla="*/ 5703300 h 6858000"/>
              <a:gd name="csX13800" fmla="*/ 10221896 w 12192000"/>
              <a:gd name="csY13800" fmla="*/ 5703300 h 6858000"/>
              <a:gd name="csX13801" fmla="*/ 10187543 w 12192000"/>
              <a:gd name="csY13801" fmla="*/ 5738121 h 6858000"/>
              <a:gd name="csX13802" fmla="*/ 10221896 w 12192000"/>
              <a:gd name="csY13802" fmla="*/ 5772941 h 6858000"/>
              <a:gd name="csX13803" fmla="*/ 10256236 w 12192000"/>
              <a:gd name="csY13803" fmla="*/ 5738121 h 6858000"/>
              <a:gd name="csX13804" fmla="*/ 10221896 w 12192000"/>
              <a:gd name="csY13804" fmla="*/ 5703300 h 6858000"/>
              <a:gd name="csX13805" fmla="*/ 10305638 w 12192000"/>
              <a:gd name="csY13805" fmla="*/ 5703300 h 6858000"/>
              <a:gd name="csX13806" fmla="*/ 10271285 w 12192000"/>
              <a:gd name="csY13806" fmla="*/ 5738121 h 6858000"/>
              <a:gd name="csX13807" fmla="*/ 10305638 w 12192000"/>
              <a:gd name="csY13807" fmla="*/ 5772941 h 6858000"/>
              <a:gd name="csX13808" fmla="*/ 10339978 w 12192000"/>
              <a:gd name="csY13808" fmla="*/ 5738121 h 6858000"/>
              <a:gd name="csX13809" fmla="*/ 10305638 w 12192000"/>
              <a:gd name="csY13809" fmla="*/ 5703300 h 6858000"/>
              <a:gd name="csX13810" fmla="*/ 11143055 w 12192000"/>
              <a:gd name="csY13810" fmla="*/ 5703300 h 6858000"/>
              <a:gd name="csX13811" fmla="*/ 11108702 w 12192000"/>
              <a:gd name="csY13811" fmla="*/ 5738121 h 6858000"/>
              <a:gd name="csX13812" fmla="*/ 11143055 w 12192000"/>
              <a:gd name="csY13812" fmla="*/ 5772941 h 6858000"/>
              <a:gd name="csX13813" fmla="*/ 11177395 w 12192000"/>
              <a:gd name="csY13813" fmla="*/ 5738121 h 6858000"/>
              <a:gd name="csX13814" fmla="*/ 11143055 w 12192000"/>
              <a:gd name="csY13814" fmla="*/ 5703300 h 6858000"/>
              <a:gd name="csX13815" fmla="*/ 3773759 w 12192000"/>
              <a:gd name="csY13815" fmla="*/ 5788164 h 6858000"/>
              <a:gd name="csX13816" fmla="*/ 3739412 w 12192000"/>
              <a:gd name="csY13816" fmla="*/ 5822985 h 6858000"/>
              <a:gd name="csX13817" fmla="*/ 3773759 w 12192000"/>
              <a:gd name="csY13817" fmla="*/ 5857805 h 6858000"/>
              <a:gd name="csX13818" fmla="*/ 3808106 w 12192000"/>
              <a:gd name="csY13818" fmla="*/ 5822985 h 6858000"/>
              <a:gd name="csX13819" fmla="*/ 3773759 w 12192000"/>
              <a:gd name="csY13819" fmla="*/ 5788164 h 6858000"/>
              <a:gd name="csX13820" fmla="*/ 3857500 w 12192000"/>
              <a:gd name="csY13820" fmla="*/ 5788164 h 6858000"/>
              <a:gd name="csX13821" fmla="*/ 3823154 w 12192000"/>
              <a:gd name="csY13821" fmla="*/ 5822985 h 6858000"/>
              <a:gd name="csX13822" fmla="*/ 3857500 w 12192000"/>
              <a:gd name="csY13822" fmla="*/ 5857805 h 6858000"/>
              <a:gd name="csX13823" fmla="*/ 3891847 w 12192000"/>
              <a:gd name="csY13823" fmla="*/ 5822985 h 6858000"/>
              <a:gd name="csX13824" fmla="*/ 3857500 w 12192000"/>
              <a:gd name="csY13824" fmla="*/ 5788164 h 6858000"/>
              <a:gd name="csX13825" fmla="*/ 3941242 w 12192000"/>
              <a:gd name="csY13825" fmla="*/ 5788164 h 6858000"/>
              <a:gd name="csX13826" fmla="*/ 3906895 w 12192000"/>
              <a:gd name="csY13826" fmla="*/ 5822985 h 6858000"/>
              <a:gd name="csX13827" fmla="*/ 3941242 w 12192000"/>
              <a:gd name="csY13827" fmla="*/ 5857805 h 6858000"/>
              <a:gd name="csX13828" fmla="*/ 3975588 w 12192000"/>
              <a:gd name="csY13828" fmla="*/ 5822985 h 6858000"/>
              <a:gd name="csX13829" fmla="*/ 3941242 w 12192000"/>
              <a:gd name="csY13829" fmla="*/ 5788164 h 6858000"/>
              <a:gd name="csX13830" fmla="*/ 11143055 w 12192000"/>
              <a:gd name="csY13830" fmla="*/ 5788164 h 6858000"/>
              <a:gd name="csX13831" fmla="*/ 11108702 w 12192000"/>
              <a:gd name="csY13831" fmla="*/ 5822985 h 6858000"/>
              <a:gd name="csX13832" fmla="*/ 11143055 w 12192000"/>
              <a:gd name="csY13832" fmla="*/ 5857805 h 6858000"/>
              <a:gd name="csX13833" fmla="*/ 11177395 w 12192000"/>
              <a:gd name="csY13833" fmla="*/ 5822985 h 6858000"/>
              <a:gd name="csX13834" fmla="*/ 11143055 w 12192000"/>
              <a:gd name="csY13834" fmla="*/ 5788164 h 6858000"/>
              <a:gd name="csX13835" fmla="*/ 3773759 w 12192000"/>
              <a:gd name="csY13835" fmla="*/ 5873029 h 6858000"/>
              <a:gd name="csX13836" fmla="*/ 3739412 w 12192000"/>
              <a:gd name="csY13836" fmla="*/ 5907849 h 6858000"/>
              <a:gd name="csX13837" fmla="*/ 3773759 w 12192000"/>
              <a:gd name="csY13837" fmla="*/ 5942670 h 6858000"/>
              <a:gd name="csX13838" fmla="*/ 3808106 w 12192000"/>
              <a:gd name="csY13838" fmla="*/ 5907849 h 6858000"/>
              <a:gd name="csX13839" fmla="*/ 3773759 w 12192000"/>
              <a:gd name="csY13839" fmla="*/ 5873029 h 6858000"/>
              <a:gd name="csX13840" fmla="*/ 3857500 w 12192000"/>
              <a:gd name="csY13840" fmla="*/ 5873029 h 6858000"/>
              <a:gd name="csX13841" fmla="*/ 3823154 w 12192000"/>
              <a:gd name="csY13841" fmla="*/ 5907849 h 6858000"/>
              <a:gd name="csX13842" fmla="*/ 3857500 w 12192000"/>
              <a:gd name="csY13842" fmla="*/ 5942670 h 6858000"/>
              <a:gd name="csX13843" fmla="*/ 3891847 w 12192000"/>
              <a:gd name="csY13843" fmla="*/ 5907849 h 6858000"/>
              <a:gd name="csX13844" fmla="*/ 3857500 w 12192000"/>
              <a:gd name="csY13844" fmla="*/ 5873029 h 6858000"/>
              <a:gd name="csX13845" fmla="*/ 10221896 w 12192000"/>
              <a:gd name="csY13845" fmla="*/ 5873029 h 6858000"/>
              <a:gd name="csX13846" fmla="*/ 10187543 w 12192000"/>
              <a:gd name="csY13846" fmla="*/ 5907849 h 6858000"/>
              <a:gd name="csX13847" fmla="*/ 10221896 w 12192000"/>
              <a:gd name="csY13847" fmla="*/ 5942670 h 6858000"/>
              <a:gd name="csX13848" fmla="*/ 10256236 w 12192000"/>
              <a:gd name="csY13848" fmla="*/ 5907849 h 6858000"/>
              <a:gd name="csX13849" fmla="*/ 10221896 w 12192000"/>
              <a:gd name="csY13849" fmla="*/ 5873029 h 6858000"/>
              <a:gd name="csX13850" fmla="*/ 11143055 w 12192000"/>
              <a:gd name="csY13850" fmla="*/ 5873029 h 6858000"/>
              <a:gd name="csX13851" fmla="*/ 11108702 w 12192000"/>
              <a:gd name="csY13851" fmla="*/ 5907849 h 6858000"/>
              <a:gd name="csX13852" fmla="*/ 11143055 w 12192000"/>
              <a:gd name="csY13852" fmla="*/ 5942670 h 6858000"/>
              <a:gd name="csX13853" fmla="*/ 11177395 w 12192000"/>
              <a:gd name="csY13853" fmla="*/ 5907849 h 6858000"/>
              <a:gd name="csX13854" fmla="*/ 11143055 w 12192000"/>
              <a:gd name="csY13854" fmla="*/ 5873029 h 6858000"/>
              <a:gd name="csX13855" fmla="*/ 3773759 w 12192000"/>
              <a:gd name="csY13855" fmla="*/ 5957893 h 6858000"/>
              <a:gd name="csX13856" fmla="*/ 3739412 w 12192000"/>
              <a:gd name="csY13856" fmla="*/ 5992713 h 6858000"/>
              <a:gd name="csX13857" fmla="*/ 3773759 w 12192000"/>
              <a:gd name="csY13857" fmla="*/ 6027533 h 6858000"/>
              <a:gd name="csX13858" fmla="*/ 3808106 w 12192000"/>
              <a:gd name="csY13858" fmla="*/ 5992713 h 6858000"/>
              <a:gd name="csX13859" fmla="*/ 3773759 w 12192000"/>
              <a:gd name="csY13859" fmla="*/ 5957893 h 6858000"/>
              <a:gd name="csX13860" fmla="*/ 3857500 w 12192000"/>
              <a:gd name="csY13860" fmla="*/ 5957893 h 6858000"/>
              <a:gd name="csX13861" fmla="*/ 3823154 w 12192000"/>
              <a:gd name="csY13861" fmla="*/ 5992713 h 6858000"/>
              <a:gd name="csX13862" fmla="*/ 3857500 w 12192000"/>
              <a:gd name="csY13862" fmla="*/ 6027533 h 6858000"/>
              <a:gd name="csX13863" fmla="*/ 3891847 w 12192000"/>
              <a:gd name="csY13863" fmla="*/ 5992713 h 6858000"/>
              <a:gd name="csX13864" fmla="*/ 3857500 w 12192000"/>
              <a:gd name="csY13864" fmla="*/ 5957893 h 6858000"/>
              <a:gd name="csX13865" fmla="*/ 3941242 w 12192000"/>
              <a:gd name="csY13865" fmla="*/ 5957893 h 6858000"/>
              <a:gd name="csX13866" fmla="*/ 3906895 w 12192000"/>
              <a:gd name="csY13866" fmla="*/ 5992713 h 6858000"/>
              <a:gd name="csX13867" fmla="*/ 3941242 w 12192000"/>
              <a:gd name="csY13867" fmla="*/ 6027533 h 6858000"/>
              <a:gd name="csX13868" fmla="*/ 3975588 w 12192000"/>
              <a:gd name="csY13868" fmla="*/ 5992713 h 6858000"/>
              <a:gd name="csX13869" fmla="*/ 3941242 w 12192000"/>
              <a:gd name="csY13869" fmla="*/ 5957893 h 6858000"/>
              <a:gd name="csX13870" fmla="*/ 10221896 w 12192000"/>
              <a:gd name="csY13870" fmla="*/ 5957893 h 6858000"/>
              <a:gd name="csX13871" fmla="*/ 10187543 w 12192000"/>
              <a:gd name="csY13871" fmla="*/ 5992713 h 6858000"/>
              <a:gd name="csX13872" fmla="*/ 10221896 w 12192000"/>
              <a:gd name="csY13872" fmla="*/ 6027533 h 6858000"/>
              <a:gd name="csX13873" fmla="*/ 10256236 w 12192000"/>
              <a:gd name="csY13873" fmla="*/ 5992713 h 6858000"/>
              <a:gd name="csX13874" fmla="*/ 10221896 w 12192000"/>
              <a:gd name="csY13874" fmla="*/ 5957893 h 6858000"/>
              <a:gd name="csX13875" fmla="*/ 11059312 w 12192000"/>
              <a:gd name="csY13875" fmla="*/ 5957893 h 6858000"/>
              <a:gd name="csX13876" fmla="*/ 11024959 w 12192000"/>
              <a:gd name="csY13876" fmla="*/ 5992713 h 6858000"/>
              <a:gd name="csX13877" fmla="*/ 11059312 w 12192000"/>
              <a:gd name="csY13877" fmla="*/ 6027533 h 6858000"/>
              <a:gd name="csX13878" fmla="*/ 11093653 w 12192000"/>
              <a:gd name="csY13878" fmla="*/ 5992713 h 6858000"/>
              <a:gd name="csX13879" fmla="*/ 11059312 w 12192000"/>
              <a:gd name="csY13879" fmla="*/ 5957893 h 6858000"/>
              <a:gd name="csX13880" fmla="*/ 3773759 w 12192000"/>
              <a:gd name="csY13880" fmla="*/ 6042756 h 6858000"/>
              <a:gd name="csX13881" fmla="*/ 3739412 w 12192000"/>
              <a:gd name="csY13881" fmla="*/ 6077577 h 6858000"/>
              <a:gd name="csX13882" fmla="*/ 3773759 w 12192000"/>
              <a:gd name="csY13882" fmla="*/ 6112397 h 6858000"/>
              <a:gd name="csX13883" fmla="*/ 3808106 w 12192000"/>
              <a:gd name="csY13883" fmla="*/ 6077577 h 6858000"/>
              <a:gd name="csX13884" fmla="*/ 3773759 w 12192000"/>
              <a:gd name="csY13884" fmla="*/ 6042756 h 6858000"/>
              <a:gd name="csX13885" fmla="*/ 3857500 w 12192000"/>
              <a:gd name="csY13885" fmla="*/ 6042756 h 6858000"/>
              <a:gd name="csX13886" fmla="*/ 3823154 w 12192000"/>
              <a:gd name="csY13886" fmla="*/ 6077577 h 6858000"/>
              <a:gd name="csX13887" fmla="*/ 3857500 w 12192000"/>
              <a:gd name="csY13887" fmla="*/ 6112397 h 6858000"/>
              <a:gd name="csX13888" fmla="*/ 3891847 w 12192000"/>
              <a:gd name="csY13888" fmla="*/ 6077577 h 6858000"/>
              <a:gd name="csX13889" fmla="*/ 3857500 w 12192000"/>
              <a:gd name="csY13889" fmla="*/ 6042756 h 6858000"/>
              <a:gd name="csX13890" fmla="*/ 10975571 w 12192000"/>
              <a:gd name="csY13890" fmla="*/ 6042756 h 6858000"/>
              <a:gd name="csX13891" fmla="*/ 10941218 w 12192000"/>
              <a:gd name="csY13891" fmla="*/ 6077577 h 6858000"/>
              <a:gd name="csX13892" fmla="*/ 10975571 w 12192000"/>
              <a:gd name="csY13892" fmla="*/ 6112397 h 6858000"/>
              <a:gd name="csX13893" fmla="*/ 11009911 w 12192000"/>
              <a:gd name="csY13893" fmla="*/ 6077577 h 6858000"/>
              <a:gd name="csX13894" fmla="*/ 10975571 w 12192000"/>
              <a:gd name="csY13894" fmla="*/ 6042756 h 6858000"/>
              <a:gd name="csX13895" fmla="*/ 3773759 w 12192000"/>
              <a:gd name="csY13895" fmla="*/ 6127620 h 6858000"/>
              <a:gd name="csX13896" fmla="*/ 3739412 w 12192000"/>
              <a:gd name="csY13896" fmla="*/ 6162441 h 6858000"/>
              <a:gd name="csX13897" fmla="*/ 3773759 w 12192000"/>
              <a:gd name="csY13897" fmla="*/ 6197261 h 6858000"/>
              <a:gd name="csX13898" fmla="*/ 3808106 w 12192000"/>
              <a:gd name="csY13898" fmla="*/ 6162441 h 6858000"/>
              <a:gd name="csX13899" fmla="*/ 3773759 w 12192000"/>
              <a:gd name="csY13899" fmla="*/ 6127620 h 6858000"/>
              <a:gd name="csX13900" fmla="*/ 3857500 w 12192000"/>
              <a:gd name="csY13900" fmla="*/ 6127620 h 6858000"/>
              <a:gd name="csX13901" fmla="*/ 3823154 w 12192000"/>
              <a:gd name="csY13901" fmla="*/ 6162441 h 6858000"/>
              <a:gd name="csX13902" fmla="*/ 3857500 w 12192000"/>
              <a:gd name="csY13902" fmla="*/ 6197261 h 6858000"/>
              <a:gd name="csX13903" fmla="*/ 3891847 w 12192000"/>
              <a:gd name="csY13903" fmla="*/ 6162441 h 6858000"/>
              <a:gd name="csX13904" fmla="*/ 3857500 w 12192000"/>
              <a:gd name="csY13904" fmla="*/ 6127620 h 6858000"/>
              <a:gd name="csX13905" fmla="*/ 4192473 w 12192000"/>
              <a:gd name="csY13905" fmla="*/ 6127620 h 6858000"/>
              <a:gd name="csX13906" fmla="*/ 4158127 w 12192000"/>
              <a:gd name="csY13906" fmla="*/ 6162441 h 6858000"/>
              <a:gd name="csX13907" fmla="*/ 4192473 w 12192000"/>
              <a:gd name="csY13907" fmla="*/ 6197261 h 6858000"/>
              <a:gd name="csX13908" fmla="*/ 4226820 w 12192000"/>
              <a:gd name="csY13908" fmla="*/ 6162441 h 6858000"/>
              <a:gd name="csX13909" fmla="*/ 4192473 w 12192000"/>
              <a:gd name="csY13909" fmla="*/ 6127620 h 6858000"/>
              <a:gd name="csX13910" fmla="*/ 10808088 w 12192000"/>
              <a:gd name="csY13910" fmla="*/ 6127620 h 6858000"/>
              <a:gd name="csX13911" fmla="*/ 10773735 w 12192000"/>
              <a:gd name="csY13911" fmla="*/ 6162441 h 6858000"/>
              <a:gd name="csX13912" fmla="*/ 10808088 w 12192000"/>
              <a:gd name="csY13912" fmla="*/ 6197261 h 6858000"/>
              <a:gd name="csX13913" fmla="*/ 10842428 w 12192000"/>
              <a:gd name="csY13913" fmla="*/ 6162441 h 6858000"/>
              <a:gd name="csX13914" fmla="*/ 10808088 w 12192000"/>
              <a:gd name="csY13914" fmla="*/ 6127620 h 6858000"/>
              <a:gd name="csX13915" fmla="*/ 10891829 w 12192000"/>
              <a:gd name="csY13915" fmla="*/ 6127620 h 6858000"/>
              <a:gd name="csX13916" fmla="*/ 10857476 w 12192000"/>
              <a:gd name="csY13916" fmla="*/ 6162441 h 6858000"/>
              <a:gd name="csX13917" fmla="*/ 10891829 w 12192000"/>
              <a:gd name="csY13917" fmla="*/ 6197261 h 6858000"/>
              <a:gd name="csX13918" fmla="*/ 10926169 w 12192000"/>
              <a:gd name="csY13918" fmla="*/ 6162441 h 6858000"/>
              <a:gd name="csX13919" fmla="*/ 10891829 w 12192000"/>
              <a:gd name="csY13919" fmla="*/ 6127620 h 6858000"/>
              <a:gd name="csX13920" fmla="*/ 3857500 w 12192000"/>
              <a:gd name="csY13920" fmla="*/ 6212484 h 6858000"/>
              <a:gd name="csX13921" fmla="*/ 3823154 w 12192000"/>
              <a:gd name="csY13921" fmla="*/ 6247304 h 6858000"/>
              <a:gd name="csX13922" fmla="*/ 3857500 w 12192000"/>
              <a:gd name="csY13922" fmla="*/ 6282125 h 6858000"/>
              <a:gd name="csX13923" fmla="*/ 3891847 w 12192000"/>
              <a:gd name="csY13923" fmla="*/ 6247304 h 6858000"/>
              <a:gd name="csX13924" fmla="*/ 3857500 w 12192000"/>
              <a:gd name="csY13924" fmla="*/ 6212484 h 6858000"/>
              <a:gd name="csX13925" fmla="*/ 3941242 w 12192000"/>
              <a:gd name="csY13925" fmla="*/ 6212484 h 6858000"/>
              <a:gd name="csX13926" fmla="*/ 3906895 w 12192000"/>
              <a:gd name="csY13926" fmla="*/ 6247304 h 6858000"/>
              <a:gd name="csX13927" fmla="*/ 3941242 w 12192000"/>
              <a:gd name="csY13927" fmla="*/ 6282125 h 6858000"/>
              <a:gd name="csX13928" fmla="*/ 3975588 w 12192000"/>
              <a:gd name="csY13928" fmla="*/ 6247304 h 6858000"/>
              <a:gd name="csX13929" fmla="*/ 3941242 w 12192000"/>
              <a:gd name="csY13929" fmla="*/ 6212484 h 6858000"/>
              <a:gd name="csX13930" fmla="*/ 10808088 w 12192000"/>
              <a:gd name="csY13930" fmla="*/ 6212484 h 6858000"/>
              <a:gd name="csX13931" fmla="*/ 10773735 w 12192000"/>
              <a:gd name="csY13931" fmla="*/ 6247304 h 6858000"/>
              <a:gd name="csX13932" fmla="*/ 10808088 w 12192000"/>
              <a:gd name="csY13932" fmla="*/ 6282125 h 6858000"/>
              <a:gd name="csX13933" fmla="*/ 10842428 w 12192000"/>
              <a:gd name="csY13933" fmla="*/ 6247304 h 6858000"/>
              <a:gd name="csX13934" fmla="*/ 10808088 w 12192000"/>
              <a:gd name="csY13934" fmla="*/ 6212484 h 6858000"/>
              <a:gd name="csX13935" fmla="*/ 3941242 w 12192000"/>
              <a:gd name="csY13935" fmla="*/ 6297349 h 6858000"/>
              <a:gd name="csX13936" fmla="*/ 3906895 w 12192000"/>
              <a:gd name="csY13936" fmla="*/ 6332169 h 6858000"/>
              <a:gd name="csX13937" fmla="*/ 3941242 w 12192000"/>
              <a:gd name="csY13937" fmla="*/ 6366989 h 6858000"/>
              <a:gd name="csX13938" fmla="*/ 3975588 w 12192000"/>
              <a:gd name="csY13938" fmla="*/ 6332169 h 6858000"/>
              <a:gd name="csX13939" fmla="*/ 3941242 w 12192000"/>
              <a:gd name="csY13939" fmla="*/ 6297349 h 6858000"/>
              <a:gd name="csX13940" fmla="*/ 4024990 w 12192000"/>
              <a:gd name="csY13940" fmla="*/ 6297349 h 6858000"/>
              <a:gd name="csX13941" fmla="*/ 3990643 w 12192000"/>
              <a:gd name="csY13941" fmla="*/ 6332169 h 6858000"/>
              <a:gd name="csX13942" fmla="*/ 4024990 w 12192000"/>
              <a:gd name="csY13942" fmla="*/ 6366989 h 6858000"/>
              <a:gd name="csX13943" fmla="*/ 4059337 w 12192000"/>
              <a:gd name="csY13943" fmla="*/ 6332169 h 6858000"/>
              <a:gd name="csX13944" fmla="*/ 4024990 w 12192000"/>
              <a:gd name="csY13944" fmla="*/ 6297349 h 6858000"/>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 ang="0">
                <a:pos x="csX14" y="csY14"/>
              </a:cxn>
              <a:cxn ang="0">
                <a:pos x="csX15" y="csY15"/>
              </a:cxn>
              <a:cxn ang="0">
                <a:pos x="csX16" y="csY16"/>
              </a:cxn>
              <a:cxn ang="0">
                <a:pos x="csX17" y="csY17"/>
              </a:cxn>
              <a:cxn ang="0">
                <a:pos x="csX18" y="csY18"/>
              </a:cxn>
              <a:cxn ang="0">
                <a:pos x="csX19" y="csY19"/>
              </a:cxn>
              <a:cxn ang="0">
                <a:pos x="csX20" y="csY20"/>
              </a:cxn>
              <a:cxn ang="0">
                <a:pos x="csX21" y="csY21"/>
              </a:cxn>
              <a:cxn ang="0">
                <a:pos x="csX22" y="csY22"/>
              </a:cxn>
              <a:cxn ang="0">
                <a:pos x="csX23" y="csY23"/>
              </a:cxn>
              <a:cxn ang="0">
                <a:pos x="csX24" y="csY24"/>
              </a:cxn>
              <a:cxn ang="0">
                <a:pos x="csX25" y="csY25"/>
              </a:cxn>
              <a:cxn ang="0">
                <a:pos x="csX26" y="csY26"/>
              </a:cxn>
              <a:cxn ang="0">
                <a:pos x="csX27" y="csY27"/>
              </a:cxn>
              <a:cxn ang="0">
                <a:pos x="csX28" y="csY28"/>
              </a:cxn>
              <a:cxn ang="0">
                <a:pos x="csX29" y="csY29"/>
              </a:cxn>
              <a:cxn ang="0">
                <a:pos x="csX30" y="csY30"/>
              </a:cxn>
              <a:cxn ang="0">
                <a:pos x="csX31" y="csY31"/>
              </a:cxn>
              <a:cxn ang="0">
                <a:pos x="csX32" y="csY32"/>
              </a:cxn>
              <a:cxn ang="0">
                <a:pos x="csX33" y="csY33"/>
              </a:cxn>
              <a:cxn ang="0">
                <a:pos x="csX34" y="csY34"/>
              </a:cxn>
              <a:cxn ang="0">
                <a:pos x="csX35" y="csY35"/>
              </a:cxn>
              <a:cxn ang="0">
                <a:pos x="csX36" y="csY36"/>
              </a:cxn>
              <a:cxn ang="0">
                <a:pos x="csX37" y="csY37"/>
              </a:cxn>
              <a:cxn ang="0">
                <a:pos x="csX38" y="csY38"/>
              </a:cxn>
              <a:cxn ang="0">
                <a:pos x="csX39" y="csY39"/>
              </a:cxn>
              <a:cxn ang="0">
                <a:pos x="csX40" y="csY40"/>
              </a:cxn>
              <a:cxn ang="0">
                <a:pos x="csX41" y="csY41"/>
              </a:cxn>
              <a:cxn ang="0">
                <a:pos x="csX42" y="csY42"/>
              </a:cxn>
              <a:cxn ang="0">
                <a:pos x="csX43" y="csY43"/>
              </a:cxn>
              <a:cxn ang="0">
                <a:pos x="csX44" y="csY44"/>
              </a:cxn>
              <a:cxn ang="0">
                <a:pos x="csX45" y="csY45"/>
              </a:cxn>
              <a:cxn ang="0">
                <a:pos x="csX46" y="csY46"/>
              </a:cxn>
              <a:cxn ang="0">
                <a:pos x="csX47" y="csY47"/>
              </a:cxn>
              <a:cxn ang="0">
                <a:pos x="csX48" y="csY48"/>
              </a:cxn>
              <a:cxn ang="0">
                <a:pos x="csX49" y="csY49"/>
              </a:cxn>
              <a:cxn ang="0">
                <a:pos x="csX50" y="csY50"/>
              </a:cxn>
              <a:cxn ang="0">
                <a:pos x="csX51" y="csY51"/>
              </a:cxn>
              <a:cxn ang="0">
                <a:pos x="csX52" y="csY52"/>
              </a:cxn>
              <a:cxn ang="0">
                <a:pos x="csX53" y="csY53"/>
              </a:cxn>
              <a:cxn ang="0">
                <a:pos x="csX54" y="csY54"/>
              </a:cxn>
              <a:cxn ang="0">
                <a:pos x="csX55" y="csY55"/>
              </a:cxn>
              <a:cxn ang="0">
                <a:pos x="csX56" y="csY56"/>
              </a:cxn>
              <a:cxn ang="0">
                <a:pos x="csX57" y="csY57"/>
              </a:cxn>
              <a:cxn ang="0">
                <a:pos x="csX58" y="csY58"/>
              </a:cxn>
              <a:cxn ang="0">
                <a:pos x="csX59" y="csY59"/>
              </a:cxn>
              <a:cxn ang="0">
                <a:pos x="csX60" y="csY60"/>
              </a:cxn>
              <a:cxn ang="0">
                <a:pos x="csX61" y="csY61"/>
              </a:cxn>
              <a:cxn ang="0">
                <a:pos x="csX62" y="csY62"/>
              </a:cxn>
              <a:cxn ang="0">
                <a:pos x="csX63" y="csY63"/>
              </a:cxn>
              <a:cxn ang="0">
                <a:pos x="csX64" y="csY64"/>
              </a:cxn>
              <a:cxn ang="0">
                <a:pos x="csX65" y="csY65"/>
              </a:cxn>
              <a:cxn ang="0">
                <a:pos x="csX66" y="csY66"/>
              </a:cxn>
              <a:cxn ang="0">
                <a:pos x="csX67" y="csY67"/>
              </a:cxn>
              <a:cxn ang="0">
                <a:pos x="csX68" y="csY68"/>
              </a:cxn>
              <a:cxn ang="0">
                <a:pos x="csX69" y="csY69"/>
              </a:cxn>
              <a:cxn ang="0">
                <a:pos x="csX70" y="csY70"/>
              </a:cxn>
              <a:cxn ang="0">
                <a:pos x="csX71" y="csY71"/>
              </a:cxn>
              <a:cxn ang="0">
                <a:pos x="csX72" y="csY72"/>
              </a:cxn>
              <a:cxn ang="0">
                <a:pos x="csX73" y="csY73"/>
              </a:cxn>
              <a:cxn ang="0">
                <a:pos x="csX74" y="csY74"/>
              </a:cxn>
              <a:cxn ang="0">
                <a:pos x="csX75" y="csY75"/>
              </a:cxn>
              <a:cxn ang="0">
                <a:pos x="csX76" y="csY76"/>
              </a:cxn>
              <a:cxn ang="0">
                <a:pos x="csX77" y="csY77"/>
              </a:cxn>
              <a:cxn ang="0">
                <a:pos x="csX78" y="csY78"/>
              </a:cxn>
              <a:cxn ang="0">
                <a:pos x="csX79" y="csY79"/>
              </a:cxn>
              <a:cxn ang="0">
                <a:pos x="csX80" y="csY80"/>
              </a:cxn>
              <a:cxn ang="0">
                <a:pos x="csX81" y="csY81"/>
              </a:cxn>
              <a:cxn ang="0">
                <a:pos x="csX82" y="csY82"/>
              </a:cxn>
              <a:cxn ang="0">
                <a:pos x="csX83" y="csY83"/>
              </a:cxn>
              <a:cxn ang="0">
                <a:pos x="csX84" y="csY84"/>
              </a:cxn>
              <a:cxn ang="0">
                <a:pos x="csX85" y="csY85"/>
              </a:cxn>
              <a:cxn ang="0">
                <a:pos x="csX86" y="csY86"/>
              </a:cxn>
              <a:cxn ang="0">
                <a:pos x="csX87" y="csY87"/>
              </a:cxn>
              <a:cxn ang="0">
                <a:pos x="csX88" y="csY88"/>
              </a:cxn>
              <a:cxn ang="0">
                <a:pos x="csX89" y="csY89"/>
              </a:cxn>
              <a:cxn ang="0">
                <a:pos x="csX90" y="csY90"/>
              </a:cxn>
              <a:cxn ang="0">
                <a:pos x="csX91" y="csY91"/>
              </a:cxn>
              <a:cxn ang="0">
                <a:pos x="csX92" y="csY92"/>
              </a:cxn>
              <a:cxn ang="0">
                <a:pos x="csX93" y="csY93"/>
              </a:cxn>
              <a:cxn ang="0">
                <a:pos x="csX94" y="csY94"/>
              </a:cxn>
              <a:cxn ang="0">
                <a:pos x="csX95" y="csY95"/>
              </a:cxn>
              <a:cxn ang="0">
                <a:pos x="csX96" y="csY96"/>
              </a:cxn>
              <a:cxn ang="0">
                <a:pos x="csX97" y="csY97"/>
              </a:cxn>
              <a:cxn ang="0">
                <a:pos x="csX98" y="csY98"/>
              </a:cxn>
              <a:cxn ang="0">
                <a:pos x="csX99" y="csY99"/>
              </a:cxn>
              <a:cxn ang="0">
                <a:pos x="csX100" y="csY100"/>
              </a:cxn>
              <a:cxn ang="0">
                <a:pos x="csX101" y="csY101"/>
              </a:cxn>
              <a:cxn ang="0">
                <a:pos x="csX102" y="csY102"/>
              </a:cxn>
              <a:cxn ang="0">
                <a:pos x="csX103" y="csY103"/>
              </a:cxn>
              <a:cxn ang="0">
                <a:pos x="csX104" y="csY104"/>
              </a:cxn>
              <a:cxn ang="0">
                <a:pos x="csX105" y="csY105"/>
              </a:cxn>
              <a:cxn ang="0">
                <a:pos x="csX106" y="csY106"/>
              </a:cxn>
              <a:cxn ang="0">
                <a:pos x="csX107" y="csY107"/>
              </a:cxn>
              <a:cxn ang="0">
                <a:pos x="csX108" y="csY108"/>
              </a:cxn>
              <a:cxn ang="0">
                <a:pos x="csX109" y="csY109"/>
              </a:cxn>
              <a:cxn ang="0">
                <a:pos x="csX110" y="csY110"/>
              </a:cxn>
              <a:cxn ang="0">
                <a:pos x="csX111" y="csY111"/>
              </a:cxn>
              <a:cxn ang="0">
                <a:pos x="csX112" y="csY112"/>
              </a:cxn>
              <a:cxn ang="0">
                <a:pos x="csX113" y="csY113"/>
              </a:cxn>
              <a:cxn ang="0">
                <a:pos x="csX114" y="csY114"/>
              </a:cxn>
              <a:cxn ang="0">
                <a:pos x="csX115" y="csY115"/>
              </a:cxn>
              <a:cxn ang="0">
                <a:pos x="csX116" y="csY116"/>
              </a:cxn>
              <a:cxn ang="0">
                <a:pos x="csX117" y="csY117"/>
              </a:cxn>
              <a:cxn ang="0">
                <a:pos x="csX118" y="csY118"/>
              </a:cxn>
              <a:cxn ang="0">
                <a:pos x="csX119" y="csY119"/>
              </a:cxn>
              <a:cxn ang="0">
                <a:pos x="csX120" y="csY120"/>
              </a:cxn>
              <a:cxn ang="0">
                <a:pos x="csX121" y="csY121"/>
              </a:cxn>
              <a:cxn ang="0">
                <a:pos x="csX122" y="csY122"/>
              </a:cxn>
              <a:cxn ang="0">
                <a:pos x="csX123" y="csY123"/>
              </a:cxn>
              <a:cxn ang="0">
                <a:pos x="csX124" y="csY124"/>
              </a:cxn>
              <a:cxn ang="0">
                <a:pos x="csX125" y="csY125"/>
              </a:cxn>
              <a:cxn ang="0">
                <a:pos x="csX126" y="csY126"/>
              </a:cxn>
              <a:cxn ang="0">
                <a:pos x="csX127" y="csY127"/>
              </a:cxn>
              <a:cxn ang="0">
                <a:pos x="csX128" y="csY128"/>
              </a:cxn>
              <a:cxn ang="0">
                <a:pos x="csX129" y="csY129"/>
              </a:cxn>
              <a:cxn ang="0">
                <a:pos x="csX130" y="csY130"/>
              </a:cxn>
              <a:cxn ang="0">
                <a:pos x="csX131" y="csY131"/>
              </a:cxn>
              <a:cxn ang="0">
                <a:pos x="csX132" y="csY132"/>
              </a:cxn>
              <a:cxn ang="0">
                <a:pos x="csX133" y="csY133"/>
              </a:cxn>
              <a:cxn ang="0">
                <a:pos x="csX134" y="csY134"/>
              </a:cxn>
              <a:cxn ang="0">
                <a:pos x="csX135" y="csY135"/>
              </a:cxn>
              <a:cxn ang="0">
                <a:pos x="csX136" y="csY136"/>
              </a:cxn>
              <a:cxn ang="0">
                <a:pos x="csX137" y="csY137"/>
              </a:cxn>
              <a:cxn ang="0">
                <a:pos x="csX138" y="csY138"/>
              </a:cxn>
              <a:cxn ang="0">
                <a:pos x="csX139" y="csY139"/>
              </a:cxn>
              <a:cxn ang="0">
                <a:pos x="csX140" y="csY140"/>
              </a:cxn>
              <a:cxn ang="0">
                <a:pos x="csX141" y="csY141"/>
              </a:cxn>
              <a:cxn ang="0">
                <a:pos x="csX142" y="csY142"/>
              </a:cxn>
              <a:cxn ang="0">
                <a:pos x="csX143" y="csY143"/>
              </a:cxn>
              <a:cxn ang="0">
                <a:pos x="csX144" y="csY144"/>
              </a:cxn>
              <a:cxn ang="0">
                <a:pos x="csX145" y="csY145"/>
              </a:cxn>
              <a:cxn ang="0">
                <a:pos x="csX146" y="csY146"/>
              </a:cxn>
              <a:cxn ang="0">
                <a:pos x="csX147" y="csY147"/>
              </a:cxn>
              <a:cxn ang="0">
                <a:pos x="csX148" y="csY148"/>
              </a:cxn>
              <a:cxn ang="0">
                <a:pos x="csX149" y="csY149"/>
              </a:cxn>
              <a:cxn ang="0">
                <a:pos x="csX150" y="csY150"/>
              </a:cxn>
              <a:cxn ang="0">
                <a:pos x="csX151" y="csY151"/>
              </a:cxn>
              <a:cxn ang="0">
                <a:pos x="csX152" y="csY152"/>
              </a:cxn>
              <a:cxn ang="0">
                <a:pos x="csX153" y="csY153"/>
              </a:cxn>
              <a:cxn ang="0">
                <a:pos x="csX154" y="csY154"/>
              </a:cxn>
              <a:cxn ang="0">
                <a:pos x="csX155" y="csY155"/>
              </a:cxn>
              <a:cxn ang="0">
                <a:pos x="csX156" y="csY156"/>
              </a:cxn>
              <a:cxn ang="0">
                <a:pos x="csX157" y="csY157"/>
              </a:cxn>
              <a:cxn ang="0">
                <a:pos x="csX158" y="csY158"/>
              </a:cxn>
              <a:cxn ang="0">
                <a:pos x="csX159" y="csY159"/>
              </a:cxn>
              <a:cxn ang="0">
                <a:pos x="csX160" y="csY160"/>
              </a:cxn>
              <a:cxn ang="0">
                <a:pos x="csX161" y="csY161"/>
              </a:cxn>
              <a:cxn ang="0">
                <a:pos x="csX162" y="csY162"/>
              </a:cxn>
              <a:cxn ang="0">
                <a:pos x="csX163" y="csY163"/>
              </a:cxn>
              <a:cxn ang="0">
                <a:pos x="csX164" y="csY164"/>
              </a:cxn>
              <a:cxn ang="0">
                <a:pos x="csX165" y="csY165"/>
              </a:cxn>
              <a:cxn ang="0">
                <a:pos x="csX166" y="csY166"/>
              </a:cxn>
              <a:cxn ang="0">
                <a:pos x="csX167" y="csY167"/>
              </a:cxn>
              <a:cxn ang="0">
                <a:pos x="csX168" y="csY168"/>
              </a:cxn>
              <a:cxn ang="0">
                <a:pos x="csX169" y="csY169"/>
              </a:cxn>
              <a:cxn ang="0">
                <a:pos x="csX170" y="csY170"/>
              </a:cxn>
              <a:cxn ang="0">
                <a:pos x="csX171" y="csY171"/>
              </a:cxn>
              <a:cxn ang="0">
                <a:pos x="csX172" y="csY172"/>
              </a:cxn>
              <a:cxn ang="0">
                <a:pos x="csX173" y="csY173"/>
              </a:cxn>
              <a:cxn ang="0">
                <a:pos x="csX174" y="csY174"/>
              </a:cxn>
              <a:cxn ang="0">
                <a:pos x="csX175" y="csY175"/>
              </a:cxn>
              <a:cxn ang="0">
                <a:pos x="csX176" y="csY176"/>
              </a:cxn>
              <a:cxn ang="0">
                <a:pos x="csX177" y="csY177"/>
              </a:cxn>
              <a:cxn ang="0">
                <a:pos x="csX178" y="csY178"/>
              </a:cxn>
              <a:cxn ang="0">
                <a:pos x="csX179" y="csY179"/>
              </a:cxn>
              <a:cxn ang="0">
                <a:pos x="csX180" y="csY180"/>
              </a:cxn>
              <a:cxn ang="0">
                <a:pos x="csX181" y="csY181"/>
              </a:cxn>
              <a:cxn ang="0">
                <a:pos x="csX182" y="csY182"/>
              </a:cxn>
              <a:cxn ang="0">
                <a:pos x="csX183" y="csY183"/>
              </a:cxn>
              <a:cxn ang="0">
                <a:pos x="csX184" y="csY184"/>
              </a:cxn>
              <a:cxn ang="0">
                <a:pos x="csX185" y="csY185"/>
              </a:cxn>
              <a:cxn ang="0">
                <a:pos x="csX186" y="csY186"/>
              </a:cxn>
              <a:cxn ang="0">
                <a:pos x="csX187" y="csY187"/>
              </a:cxn>
              <a:cxn ang="0">
                <a:pos x="csX188" y="csY188"/>
              </a:cxn>
              <a:cxn ang="0">
                <a:pos x="csX189" y="csY189"/>
              </a:cxn>
              <a:cxn ang="0">
                <a:pos x="csX190" y="csY190"/>
              </a:cxn>
              <a:cxn ang="0">
                <a:pos x="csX191" y="csY191"/>
              </a:cxn>
              <a:cxn ang="0">
                <a:pos x="csX192" y="csY192"/>
              </a:cxn>
              <a:cxn ang="0">
                <a:pos x="csX193" y="csY193"/>
              </a:cxn>
              <a:cxn ang="0">
                <a:pos x="csX194" y="csY194"/>
              </a:cxn>
              <a:cxn ang="0">
                <a:pos x="csX195" y="csY195"/>
              </a:cxn>
              <a:cxn ang="0">
                <a:pos x="csX196" y="csY196"/>
              </a:cxn>
              <a:cxn ang="0">
                <a:pos x="csX197" y="csY197"/>
              </a:cxn>
              <a:cxn ang="0">
                <a:pos x="csX198" y="csY198"/>
              </a:cxn>
              <a:cxn ang="0">
                <a:pos x="csX199" y="csY199"/>
              </a:cxn>
              <a:cxn ang="0">
                <a:pos x="csX200" y="csY200"/>
              </a:cxn>
              <a:cxn ang="0">
                <a:pos x="csX201" y="csY201"/>
              </a:cxn>
              <a:cxn ang="0">
                <a:pos x="csX202" y="csY202"/>
              </a:cxn>
              <a:cxn ang="0">
                <a:pos x="csX203" y="csY203"/>
              </a:cxn>
              <a:cxn ang="0">
                <a:pos x="csX204" y="csY204"/>
              </a:cxn>
              <a:cxn ang="0">
                <a:pos x="csX205" y="csY205"/>
              </a:cxn>
              <a:cxn ang="0">
                <a:pos x="csX206" y="csY206"/>
              </a:cxn>
              <a:cxn ang="0">
                <a:pos x="csX207" y="csY207"/>
              </a:cxn>
              <a:cxn ang="0">
                <a:pos x="csX208" y="csY208"/>
              </a:cxn>
              <a:cxn ang="0">
                <a:pos x="csX209" y="csY209"/>
              </a:cxn>
              <a:cxn ang="0">
                <a:pos x="csX210" y="csY210"/>
              </a:cxn>
              <a:cxn ang="0">
                <a:pos x="csX211" y="csY211"/>
              </a:cxn>
              <a:cxn ang="0">
                <a:pos x="csX212" y="csY212"/>
              </a:cxn>
              <a:cxn ang="0">
                <a:pos x="csX213" y="csY213"/>
              </a:cxn>
              <a:cxn ang="0">
                <a:pos x="csX214" y="csY214"/>
              </a:cxn>
              <a:cxn ang="0">
                <a:pos x="csX215" y="csY215"/>
              </a:cxn>
              <a:cxn ang="0">
                <a:pos x="csX216" y="csY216"/>
              </a:cxn>
              <a:cxn ang="0">
                <a:pos x="csX217" y="csY217"/>
              </a:cxn>
              <a:cxn ang="0">
                <a:pos x="csX218" y="csY218"/>
              </a:cxn>
              <a:cxn ang="0">
                <a:pos x="csX219" y="csY219"/>
              </a:cxn>
              <a:cxn ang="0">
                <a:pos x="csX220" y="csY220"/>
              </a:cxn>
              <a:cxn ang="0">
                <a:pos x="csX221" y="csY221"/>
              </a:cxn>
              <a:cxn ang="0">
                <a:pos x="csX222" y="csY222"/>
              </a:cxn>
              <a:cxn ang="0">
                <a:pos x="csX223" y="csY223"/>
              </a:cxn>
              <a:cxn ang="0">
                <a:pos x="csX224" y="csY224"/>
              </a:cxn>
              <a:cxn ang="0">
                <a:pos x="csX225" y="csY225"/>
              </a:cxn>
              <a:cxn ang="0">
                <a:pos x="csX226" y="csY226"/>
              </a:cxn>
              <a:cxn ang="0">
                <a:pos x="csX227" y="csY227"/>
              </a:cxn>
              <a:cxn ang="0">
                <a:pos x="csX228" y="csY228"/>
              </a:cxn>
              <a:cxn ang="0">
                <a:pos x="csX229" y="csY229"/>
              </a:cxn>
              <a:cxn ang="0">
                <a:pos x="csX230" y="csY230"/>
              </a:cxn>
              <a:cxn ang="0">
                <a:pos x="csX231" y="csY231"/>
              </a:cxn>
              <a:cxn ang="0">
                <a:pos x="csX232" y="csY232"/>
              </a:cxn>
              <a:cxn ang="0">
                <a:pos x="csX233" y="csY233"/>
              </a:cxn>
              <a:cxn ang="0">
                <a:pos x="csX234" y="csY234"/>
              </a:cxn>
              <a:cxn ang="0">
                <a:pos x="csX235" y="csY235"/>
              </a:cxn>
              <a:cxn ang="0">
                <a:pos x="csX236" y="csY236"/>
              </a:cxn>
              <a:cxn ang="0">
                <a:pos x="csX237" y="csY237"/>
              </a:cxn>
              <a:cxn ang="0">
                <a:pos x="csX238" y="csY238"/>
              </a:cxn>
              <a:cxn ang="0">
                <a:pos x="csX239" y="csY239"/>
              </a:cxn>
              <a:cxn ang="0">
                <a:pos x="csX240" y="csY240"/>
              </a:cxn>
              <a:cxn ang="0">
                <a:pos x="csX241" y="csY241"/>
              </a:cxn>
              <a:cxn ang="0">
                <a:pos x="csX242" y="csY242"/>
              </a:cxn>
              <a:cxn ang="0">
                <a:pos x="csX243" y="csY243"/>
              </a:cxn>
              <a:cxn ang="0">
                <a:pos x="csX244" y="csY244"/>
              </a:cxn>
              <a:cxn ang="0">
                <a:pos x="csX245" y="csY245"/>
              </a:cxn>
              <a:cxn ang="0">
                <a:pos x="csX246" y="csY246"/>
              </a:cxn>
              <a:cxn ang="0">
                <a:pos x="csX247" y="csY247"/>
              </a:cxn>
              <a:cxn ang="0">
                <a:pos x="csX248" y="csY248"/>
              </a:cxn>
              <a:cxn ang="0">
                <a:pos x="csX249" y="csY249"/>
              </a:cxn>
              <a:cxn ang="0">
                <a:pos x="csX250" y="csY250"/>
              </a:cxn>
              <a:cxn ang="0">
                <a:pos x="csX251" y="csY251"/>
              </a:cxn>
              <a:cxn ang="0">
                <a:pos x="csX252" y="csY252"/>
              </a:cxn>
              <a:cxn ang="0">
                <a:pos x="csX253" y="csY253"/>
              </a:cxn>
              <a:cxn ang="0">
                <a:pos x="csX254" y="csY254"/>
              </a:cxn>
              <a:cxn ang="0">
                <a:pos x="csX255" y="csY255"/>
              </a:cxn>
              <a:cxn ang="0">
                <a:pos x="csX256" y="csY256"/>
              </a:cxn>
              <a:cxn ang="0">
                <a:pos x="csX257" y="csY257"/>
              </a:cxn>
              <a:cxn ang="0">
                <a:pos x="csX258" y="csY258"/>
              </a:cxn>
              <a:cxn ang="0">
                <a:pos x="csX259" y="csY259"/>
              </a:cxn>
              <a:cxn ang="0">
                <a:pos x="csX260" y="csY260"/>
              </a:cxn>
              <a:cxn ang="0">
                <a:pos x="csX261" y="csY261"/>
              </a:cxn>
              <a:cxn ang="0">
                <a:pos x="csX262" y="csY262"/>
              </a:cxn>
              <a:cxn ang="0">
                <a:pos x="csX263" y="csY263"/>
              </a:cxn>
              <a:cxn ang="0">
                <a:pos x="csX264" y="csY264"/>
              </a:cxn>
              <a:cxn ang="0">
                <a:pos x="csX265" y="csY265"/>
              </a:cxn>
              <a:cxn ang="0">
                <a:pos x="csX266" y="csY266"/>
              </a:cxn>
              <a:cxn ang="0">
                <a:pos x="csX267" y="csY267"/>
              </a:cxn>
              <a:cxn ang="0">
                <a:pos x="csX268" y="csY268"/>
              </a:cxn>
              <a:cxn ang="0">
                <a:pos x="csX269" y="csY269"/>
              </a:cxn>
              <a:cxn ang="0">
                <a:pos x="csX270" y="csY270"/>
              </a:cxn>
              <a:cxn ang="0">
                <a:pos x="csX271" y="csY271"/>
              </a:cxn>
              <a:cxn ang="0">
                <a:pos x="csX272" y="csY272"/>
              </a:cxn>
              <a:cxn ang="0">
                <a:pos x="csX273" y="csY273"/>
              </a:cxn>
              <a:cxn ang="0">
                <a:pos x="csX274" y="csY274"/>
              </a:cxn>
              <a:cxn ang="0">
                <a:pos x="csX275" y="csY275"/>
              </a:cxn>
              <a:cxn ang="0">
                <a:pos x="csX276" y="csY276"/>
              </a:cxn>
              <a:cxn ang="0">
                <a:pos x="csX277" y="csY277"/>
              </a:cxn>
              <a:cxn ang="0">
                <a:pos x="csX278" y="csY278"/>
              </a:cxn>
              <a:cxn ang="0">
                <a:pos x="csX279" y="csY279"/>
              </a:cxn>
              <a:cxn ang="0">
                <a:pos x="csX280" y="csY280"/>
              </a:cxn>
              <a:cxn ang="0">
                <a:pos x="csX281" y="csY281"/>
              </a:cxn>
              <a:cxn ang="0">
                <a:pos x="csX282" y="csY282"/>
              </a:cxn>
              <a:cxn ang="0">
                <a:pos x="csX283" y="csY283"/>
              </a:cxn>
              <a:cxn ang="0">
                <a:pos x="csX284" y="csY284"/>
              </a:cxn>
              <a:cxn ang="0">
                <a:pos x="csX285" y="csY285"/>
              </a:cxn>
              <a:cxn ang="0">
                <a:pos x="csX286" y="csY286"/>
              </a:cxn>
              <a:cxn ang="0">
                <a:pos x="csX287" y="csY287"/>
              </a:cxn>
              <a:cxn ang="0">
                <a:pos x="csX288" y="csY288"/>
              </a:cxn>
              <a:cxn ang="0">
                <a:pos x="csX289" y="csY289"/>
              </a:cxn>
              <a:cxn ang="0">
                <a:pos x="csX290" y="csY290"/>
              </a:cxn>
              <a:cxn ang="0">
                <a:pos x="csX291" y="csY291"/>
              </a:cxn>
              <a:cxn ang="0">
                <a:pos x="csX292" y="csY292"/>
              </a:cxn>
              <a:cxn ang="0">
                <a:pos x="csX293" y="csY293"/>
              </a:cxn>
              <a:cxn ang="0">
                <a:pos x="csX294" y="csY294"/>
              </a:cxn>
              <a:cxn ang="0">
                <a:pos x="csX295" y="csY295"/>
              </a:cxn>
              <a:cxn ang="0">
                <a:pos x="csX296" y="csY296"/>
              </a:cxn>
              <a:cxn ang="0">
                <a:pos x="csX297" y="csY297"/>
              </a:cxn>
              <a:cxn ang="0">
                <a:pos x="csX298" y="csY298"/>
              </a:cxn>
              <a:cxn ang="0">
                <a:pos x="csX299" y="csY299"/>
              </a:cxn>
              <a:cxn ang="0">
                <a:pos x="csX300" y="csY300"/>
              </a:cxn>
              <a:cxn ang="0">
                <a:pos x="csX301" y="csY301"/>
              </a:cxn>
              <a:cxn ang="0">
                <a:pos x="csX302" y="csY302"/>
              </a:cxn>
              <a:cxn ang="0">
                <a:pos x="csX303" y="csY303"/>
              </a:cxn>
              <a:cxn ang="0">
                <a:pos x="csX304" y="csY304"/>
              </a:cxn>
              <a:cxn ang="0">
                <a:pos x="csX305" y="csY305"/>
              </a:cxn>
              <a:cxn ang="0">
                <a:pos x="csX306" y="csY306"/>
              </a:cxn>
              <a:cxn ang="0">
                <a:pos x="csX307" y="csY307"/>
              </a:cxn>
              <a:cxn ang="0">
                <a:pos x="csX308" y="csY308"/>
              </a:cxn>
              <a:cxn ang="0">
                <a:pos x="csX309" y="csY309"/>
              </a:cxn>
              <a:cxn ang="0">
                <a:pos x="csX310" y="csY310"/>
              </a:cxn>
              <a:cxn ang="0">
                <a:pos x="csX311" y="csY311"/>
              </a:cxn>
              <a:cxn ang="0">
                <a:pos x="csX312" y="csY312"/>
              </a:cxn>
              <a:cxn ang="0">
                <a:pos x="csX313" y="csY313"/>
              </a:cxn>
              <a:cxn ang="0">
                <a:pos x="csX314" y="csY314"/>
              </a:cxn>
              <a:cxn ang="0">
                <a:pos x="csX315" y="csY315"/>
              </a:cxn>
              <a:cxn ang="0">
                <a:pos x="csX316" y="csY316"/>
              </a:cxn>
              <a:cxn ang="0">
                <a:pos x="csX317" y="csY317"/>
              </a:cxn>
              <a:cxn ang="0">
                <a:pos x="csX318" y="csY318"/>
              </a:cxn>
              <a:cxn ang="0">
                <a:pos x="csX319" y="csY319"/>
              </a:cxn>
              <a:cxn ang="0">
                <a:pos x="csX320" y="csY320"/>
              </a:cxn>
              <a:cxn ang="0">
                <a:pos x="csX321" y="csY321"/>
              </a:cxn>
              <a:cxn ang="0">
                <a:pos x="csX322" y="csY322"/>
              </a:cxn>
              <a:cxn ang="0">
                <a:pos x="csX323" y="csY323"/>
              </a:cxn>
              <a:cxn ang="0">
                <a:pos x="csX324" y="csY324"/>
              </a:cxn>
              <a:cxn ang="0">
                <a:pos x="csX325" y="csY325"/>
              </a:cxn>
              <a:cxn ang="0">
                <a:pos x="csX326" y="csY326"/>
              </a:cxn>
              <a:cxn ang="0">
                <a:pos x="csX327" y="csY327"/>
              </a:cxn>
              <a:cxn ang="0">
                <a:pos x="csX328" y="csY328"/>
              </a:cxn>
              <a:cxn ang="0">
                <a:pos x="csX329" y="csY329"/>
              </a:cxn>
              <a:cxn ang="0">
                <a:pos x="csX330" y="csY330"/>
              </a:cxn>
              <a:cxn ang="0">
                <a:pos x="csX331" y="csY331"/>
              </a:cxn>
              <a:cxn ang="0">
                <a:pos x="csX332" y="csY332"/>
              </a:cxn>
              <a:cxn ang="0">
                <a:pos x="csX333" y="csY333"/>
              </a:cxn>
              <a:cxn ang="0">
                <a:pos x="csX334" y="csY334"/>
              </a:cxn>
              <a:cxn ang="0">
                <a:pos x="csX335" y="csY335"/>
              </a:cxn>
              <a:cxn ang="0">
                <a:pos x="csX336" y="csY336"/>
              </a:cxn>
              <a:cxn ang="0">
                <a:pos x="csX337" y="csY337"/>
              </a:cxn>
              <a:cxn ang="0">
                <a:pos x="csX338" y="csY338"/>
              </a:cxn>
              <a:cxn ang="0">
                <a:pos x="csX339" y="csY339"/>
              </a:cxn>
              <a:cxn ang="0">
                <a:pos x="csX340" y="csY340"/>
              </a:cxn>
              <a:cxn ang="0">
                <a:pos x="csX341" y="csY341"/>
              </a:cxn>
              <a:cxn ang="0">
                <a:pos x="csX342" y="csY342"/>
              </a:cxn>
              <a:cxn ang="0">
                <a:pos x="csX343" y="csY343"/>
              </a:cxn>
              <a:cxn ang="0">
                <a:pos x="csX344" y="csY344"/>
              </a:cxn>
              <a:cxn ang="0">
                <a:pos x="csX345" y="csY345"/>
              </a:cxn>
              <a:cxn ang="0">
                <a:pos x="csX346" y="csY346"/>
              </a:cxn>
              <a:cxn ang="0">
                <a:pos x="csX347" y="csY347"/>
              </a:cxn>
              <a:cxn ang="0">
                <a:pos x="csX348" y="csY348"/>
              </a:cxn>
              <a:cxn ang="0">
                <a:pos x="csX349" y="csY349"/>
              </a:cxn>
              <a:cxn ang="0">
                <a:pos x="csX350" y="csY350"/>
              </a:cxn>
              <a:cxn ang="0">
                <a:pos x="csX351" y="csY351"/>
              </a:cxn>
              <a:cxn ang="0">
                <a:pos x="csX352" y="csY352"/>
              </a:cxn>
              <a:cxn ang="0">
                <a:pos x="csX353" y="csY353"/>
              </a:cxn>
              <a:cxn ang="0">
                <a:pos x="csX354" y="csY354"/>
              </a:cxn>
              <a:cxn ang="0">
                <a:pos x="csX355" y="csY355"/>
              </a:cxn>
              <a:cxn ang="0">
                <a:pos x="csX356" y="csY356"/>
              </a:cxn>
              <a:cxn ang="0">
                <a:pos x="csX357" y="csY357"/>
              </a:cxn>
              <a:cxn ang="0">
                <a:pos x="csX358" y="csY358"/>
              </a:cxn>
              <a:cxn ang="0">
                <a:pos x="csX359" y="csY359"/>
              </a:cxn>
              <a:cxn ang="0">
                <a:pos x="csX360" y="csY360"/>
              </a:cxn>
              <a:cxn ang="0">
                <a:pos x="csX361" y="csY361"/>
              </a:cxn>
              <a:cxn ang="0">
                <a:pos x="csX362" y="csY362"/>
              </a:cxn>
              <a:cxn ang="0">
                <a:pos x="csX363" y="csY363"/>
              </a:cxn>
              <a:cxn ang="0">
                <a:pos x="csX364" y="csY364"/>
              </a:cxn>
              <a:cxn ang="0">
                <a:pos x="csX365" y="csY365"/>
              </a:cxn>
              <a:cxn ang="0">
                <a:pos x="csX366" y="csY366"/>
              </a:cxn>
              <a:cxn ang="0">
                <a:pos x="csX367" y="csY367"/>
              </a:cxn>
              <a:cxn ang="0">
                <a:pos x="csX368" y="csY368"/>
              </a:cxn>
              <a:cxn ang="0">
                <a:pos x="csX369" y="csY369"/>
              </a:cxn>
              <a:cxn ang="0">
                <a:pos x="csX370" y="csY370"/>
              </a:cxn>
              <a:cxn ang="0">
                <a:pos x="csX371" y="csY371"/>
              </a:cxn>
              <a:cxn ang="0">
                <a:pos x="csX372" y="csY372"/>
              </a:cxn>
              <a:cxn ang="0">
                <a:pos x="csX373" y="csY373"/>
              </a:cxn>
              <a:cxn ang="0">
                <a:pos x="csX374" y="csY374"/>
              </a:cxn>
              <a:cxn ang="0">
                <a:pos x="csX375" y="csY375"/>
              </a:cxn>
              <a:cxn ang="0">
                <a:pos x="csX376" y="csY376"/>
              </a:cxn>
              <a:cxn ang="0">
                <a:pos x="csX377" y="csY377"/>
              </a:cxn>
              <a:cxn ang="0">
                <a:pos x="csX378" y="csY378"/>
              </a:cxn>
              <a:cxn ang="0">
                <a:pos x="csX379" y="csY379"/>
              </a:cxn>
              <a:cxn ang="0">
                <a:pos x="csX380" y="csY380"/>
              </a:cxn>
              <a:cxn ang="0">
                <a:pos x="csX381" y="csY381"/>
              </a:cxn>
              <a:cxn ang="0">
                <a:pos x="csX382" y="csY382"/>
              </a:cxn>
              <a:cxn ang="0">
                <a:pos x="csX383" y="csY383"/>
              </a:cxn>
              <a:cxn ang="0">
                <a:pos x="csX384" y="csY384"/>
              </a:cxn>
              <a:cxn ang="0">
                <a:pos x="csX385" y="csY385"/>
              </a:cxn>
              <a:cxn ang="0">
                <a:pos x="csX386" y="csY386"/>
              </a:cxn>
              <a:cxn ang="0">
                <a:pos x="csX387" y="csY387"/>
              </a:cxn>
              <a:cxn ang="0">
                <a:pos x="csX388" y="csY388"/>
              </a:cxn>
              <a:cxn ang="0">
                <a:pos x="csX389" y="csY389"/>
              </a:cxn>
              <a:cxn ang="0">
                <a:pos x="csX390" y="csY390"/>
              </a:cxn>
              <a:cxn ang="0">
                <a:pos x="csX391" y="csY391"/>
              </a:cxn>
              <a:cxn ang="0">
                <a:pos x="csX392" y="csY392"/>
              </a:cxn>
              <a:cxn ang="0">
                <a:pos x="csX393" y="csY393"/>
              </a:cxn>
              <a:cxn ang="0">
                <a:pos x="csX394" y="csY394"/>
              </a:cxn>
              <a:cxn ang="0">
                <a:pos x="csX395" y="csY395"/>
              </a:cxn>
              <a:cxn ang="0">
                <a:pos x="csX396" y="csY396"/>
              </a:cxn>
              <a:cxn ang="0">
                <a:pos x="csX397" y="csY397"/>
              </a:cxn>
              <a:cxn ang="0">
                <a:pos x="csX398" y="csY398"/>
              </a:cxn>
              <a:cxn ang="0">
                <a:pos x="csX399" y="csY399"/>
              </a:cxn>
              <a:cxn ang="0">
                <a:pos x="csX400" y="csY400"/>
              </a:cxn>
              <a:cxn ang="0">
                <a:pos x="csX401" y="csY401"/>
              </a:cxn>
              <a:cxn ang="0">
                <a:pos x="csX402" y="csY402"/>
              </a:cxn>
              <a:cxn ang="0">
                <a:pos x="csX403" y="csY403"/>
              </a:cxn>
              <a:cxn ang="0">
                <a:pos x="csX404" y="csY404"/>
              </a:cxn>
              <a:cxn ang="0">
                <a:pos x="csX405" y="csY405"/>
              </a:cxn>
              <a:cxn ang="0">
                <a:pos x="csX406" y="csY406"/>
              </a:cxn>
              <a:cxn ang="0">
                <a:pos x="csX407" y="csY407"/>
              </a:cxn>
              <a:cxn ang="0">
                <a:pos x="csX408" y="csY408"/>
              </a:cxn>
              <a:cxn ang="0">
                <a:pos x="csX409" y="csY409"/>
              </a:cxn>
              <a:cxn ang="0">
                <a:pos x="csX410" y="csY410"/>
              </a:cxn>
              <a:cxn ang="0">
                <a:pos x="csX411" y="csY411"/>
              </a:cxn>
              <a:cxn ang="0">
                <a:pos x="csX412" y="csY412"/>
              </a:cxn>
              <a:cxn ang="0">
                <a:pos x="csX413" y="csY413"/>
              </a:cxn>
              <a:cxn ang="0">
                <a:pos x="csX414" y="csY414"/>
              </a:cxn>
              <a:cxn ang="0">
                <a:pos x="csX415" y="csY415"/>
              </a:cxn>
              <a:cxn ang="0">
                <a:pos x="csX416" y="csY416"/>
              </a:cxn>
              <a:cxn ang="0">
                <a:pos x="csX417" y="csY417"/>
              </a:cxn>
              <a:cxn ang="0">
                <a:pos x="csX418" y="csY418"/>
              </a:cxn>
              <a:cxn ang="0">
                <a:pos x="csX419" y="csY419"/>
              </a:cxn>
              <a:cxn ang="0">
                <a:pos x="csX420" y="csY420"/>
              </a:cxn>
              <a:cxn ang="0">
                <a:pos x="csX421" y="csY421"/>
              </a:cxn>
              <a:cxn ang="0">
                <a:pos x="csX422" y="csY422"/>
              </a:cxn>
              <a:cxn ang="0">
                <a:pos x="csX423" y="csY423"/>
              </a:cxn>
              <a:cxn ang="0">
                <a:pos x="csX424" y="csY424"/>
              </a:cxn>
              <a:cxn ang="0">
                <a:pos x="csX425" y="csY425"/>
              </a:cxn>
              <a:cxn ang="0">
                <a:pos x="csX426" y="csY426"/>
              </a:cxn>
              <a:cxn ang="0">
                <a:pos x="csX427" y="csY427"/>
              </a:cxn>
              <a:cxn ang="0">
                <a:pos x="csX428" y="csY428"/>
              </a:cxn>
              <a:cxn ang="0">
                <a:pos x="csX429" y="csY429"/>
              </a:cxn>
              <a:cxn ang="0">
                <a:pos x="csX430" y="csY430"/>
              </a:cxn>
              <a:cxn ang="0">
                <a:pos x="csX431" y="csY431"/>
              </a:cxn>
              <a:cxn ang="0">
                <a:pos x="csX432" y="csY432"/>
              </a:cxn>
              <a:cxn ang="0">
                <a:pos x="csX433" y="csY433"/>
              </a:cxn>
              <a:cxn ang="0">
                <a:pos x="csX434" y="csY434"/>
              </a:cxn>
              <a:cxn ang="0">
                <a:pos x="csX435" y="csY435"/>
              </a:cxn>
              <a:cxn ang="0">
                <a:pos x="csX436" y="csY436"/>
              </a:cxn>
              <a:cxn ang="0">
                <a:pos x="csX437" y="csY437"/>
              </a:cxn>
              <a:cxn ang="0">
                <a:pos x="csX438" y="csY438"/>
              </a:cxn>
              <a:cxn ang="0">
                <a:pos x="csX439" y="csY439"/>
              </a:cxn>
              <a:cxn ang="0">
                <a:pos x="csX440" y="csY440"/>
              </a:cxn>
              <a:cxn ang="0">
                <a:pos x="csX441" y="csY441"/>
              </a:cxn>
              <a:cxn ang="0">
                <a:pos x="csX442" y="csY442"/>
              </a:cxn>
              <a:cxn ang="0">
                <a:pos x="csX443" y="csY443"/>
              </a:cxn>
              <a:cxn ang="0">
                <a:pos x="csX444" y="csY444"/>
              </a:cxn>
              <a:cxn ang="0">
                <a:pos x="csX445" y="csY445"/>
              </a:cxn>
              <a:cxn ang="0">
                <a:pos x="csX446" y="csY446"/>
              </a:cxn>
              <a:cxn ang="0">
                <a:pos x="csX447" y="csY447"/>
              </a:cxn>
              <a:cxn ang="0">
                <a:pos x="csX448" y="csY448"/>
              </a:cxn>
              <a:cxn ang="0">
                <a:pos x="csX449" y="csY449"/>
              </a:cxn>
              <a:cxn ang="0">
                <a:pos x="csX450" y="csY450"/>
              </a:cxn>
              <a:cxn ang="0">
                <a:pos x="csX451" y="csY451"/>
              </a:cxn>
              <a:cxn ang="0">
                <a:pos x="csX452" y="csY452"/>
              </a:cxn>
              <a:cxn ang="0">
                <a:pos x="csX453" y="csY453"/>
              </a:cxn>
              <a:cxn ang="0">
                <a:pos x="csX454" y="csY454"/>
              </a:cxn>
              <a:cxn ang="0">
                <a:pos x="csX455" y="csY455"/>
              </a:cxn>
              <a:cxn ang="0">
                <a:pos x="csX456" y="csY456"/>
              </a:cxn>
              <a:cxn ang="0">
                <a:pos x="csX457" y="csY457"/>
              </a:cxn>
              <a:cxn ang="0">
                <a:pos x="csX458" y="csY458"/>
              </a:cxn>
              <a:cxn ang="0">
                <a:pos x="csX459" y="csY459"/>
              </a:cxn>
              <a:cxn ang="0">
                <a:pos x="csX460" y="csY460"/>
              </a:cxn>
              <a:cxn ang="0">
                <a:pos x="csX461" y="csY461"/>
              </a:cxn>
              <a:cxn ang="0">
                <a:pos x="csX462" y="csY462"/>
              </a:cxn>
              <a:cxn ang="0">
                <a:pos x="csX463" y="csY463"/>
              </a:cxn>
              <a:cxn ang="0">
                <a:pos x="csX464" y="csY464"/>
              </a:cxn>
              <a:cxn ang="0">
                <a:pos x="csX465" y="csY465"/>
              </a:cxn>
              <a:cxn ang="0">
                <a:pos x="csX466" y="csY466"/>
              </a:cxn>
              <a:cxn ang="0">
                <a:pos x="csX467" y="csY467"/>
              </a:cxn>
              <a:cxn ang="0">
                <a:pos x="csX468" y="csY468"/>
              </a:cxn>
              <a:cxn ang="0">
                <a:pos x="csX469" y="csY469"/>
              </a:cxn>
              <a:cxn ang="0">
                <a:pos x="csX470" y="csY470"/>
              </a:cxn>
              <a:cxn ang="0">
                <a:pos x="csX471" y="csY471"/>
              </a:cxn>
              <a:cxn ang="0">
                <a:pos x="csX472" y="csY472"/>
              </a:cxn>
              <a:cxn ang="0">
                <a:pos x="csX473" y="csY473"/>
              </a:cxn>
              <a:cxn ang="0">
                <a:pos x="csX474" y="csY474"/>
              </a:cxn>
              <a:cxn ang="0">
                <a:pos x="csX475" y="csY475"/>
              </a:cxn>
              <a:cxn ang="0">
                <a:pos x="csX476" y="csY476"/>
              </a:cxn>
              <a:cxn ang="0">
                <a:pos x="csX477" y="csY477"/>
              </a:cxn>
              <a:cxn ang="0">
                <a:pos x="csX478" y="csY478"/>
              </a:cxn>
              <a:cxn ang="0">
                <a:pos x="csX479" y="csY479"/>
              </a:cxn>
              <a:cxn ang="0">
                <a:pos x="csX480" y="csY480"/>
              </a:cxn>
              <a:cxn ang="0">
                <a:pos x="csX481" y="csY481"/>
              </a:cxn>
              <a:cxn ang="0">
                <a:pos x="csX482" y="csY482"/>
              </a:cxn>
              <a:cxn ang="0">
                <a:pos x="csX483" y="csY483"/>
              </a:cxn>
              <a:cxn ang="0">
                <a:pos x="csX484" y="csY484"/>
              </a:cxn>
              <a:cxn ang="0">
                <a:pos x="csX485" y="csY485"/>
              </a:cxn>
              <a:cxn ang="0">
                <a:pos x="csX486" y="csY486"/>
              </a:cxn>
              <a:cxn ang="0">
                <a:pos x="csX487" y="csY487"/>
              </a:cxn>
              <a:cxn ang="0">
                <a:pos x="csX488" y="csY488"/>
              </a:cxn>
              <a:cxn ang="0">
                <a:pos x="csX489" y="csY489"/>
              </a:cxn>
              <a:cxn ang="0">
                <a:pos x="csX490" y="csY490"/>
              </a:cxn>
              <a:cxn ang="0">
                <a:pos x="csX491" y="csY491"/>
              </a:cxn>
              <a:cxn ang="0">
                <a:pos x="csX492" y="csY492"/>
              </a:cxn>
              <a:cxn ang="0">
                <a:pos x="csX493" y="csY493"/>
              </a:cxn>
              <a:cxn ang="0">
                <a:pos x="csX494" y="csY494"/>
              </a:cxn>
              <a:cxn ang="0">
                <a:pos x="csX495" y="csY495"/>
              </a:cxn>
              <a:cxn ang="0">
                <a:pos x="csX496" y="csY496"/>
              </a:cxn>
              <a:cxn ang="0">
                <a:pos x="csX497" y="csY497"/>
              </a:cxn>
              <a:cxn ang="0">
                <a:pos x="csX498" y="csY498"/>
              </a:cxn>
              <a:cxn ang="0">
                <a:pos x="csX499" y="csY499"/>
              </a:cxn>
              <a:cxn ang="0">
                <a:pos x="csX500" y="csY500"/>
              </a:cxn>
              <a:cxn ang="0">
                <a:pos x="csX501" y="csY501"/>
              </a:cxn>
              <a:cxn ang="0">
                <a:pos x="csX502" y="csY502"/>
              </a:cxn>
              <a:cxn ang="0">
                <a:pos x="csX503" y="csY503"/>
              </a:cxn>
              <a:cxn ang="0">
                <a:pos x="csX504" y="csY504"/>
              </a:cxn>
              <a:cxn ang="0">
                <a:pos x="csX505" y="csY505"/>
              </a:cxn>
              <a:cxn ang="0">
                <a:pos x="csX506" y="csY506"/>
              </a:cxn>
              <a:cxn ang="0">
                <a:pos x="csX507" y="csY507"/>
              </a:cxn>
              <a:cxn ang="0">
                <a:pos x="csX508" y="csY508"/>
              </a:cxn>
              <a:cxn ang="0">
                <a:pos x="csX509" y="csY509"/>
              </a:cxn>
              <a:cxn ang="0">
                <a:pos x="csX510" y="csY510"/>
              </a:cxn>
              <a:cxn ang="0">
                <a:pos x="csX511" y="csY511"/>
              </a:cxn>
              <a:cxn ang="0">
                <a:pos x="csX512" y="csY512"/>
              </a:cxn>
              <a:cxn ang="0">
                <a:pos x="csX513" y="csY513"/>
              </a:cxn>
              <a:cxn ang="0">
                <a:pos x="csX514" y="csY514"/>
              </a:cxn>
              <a:cxn ang="0">
                <a:pos x="csX515" y="csY515"/>
              </a:cxn>
              <a:cxn ang="0">
                <a:pos x="csX516" y="csY516"/>
              </a:cxn>
              <a:cxn ang="0">
                <a:pos x="csX517" y="csY517"/>
              </a:cxn>
              <a:cxn ang="0">
                <a:pos x="csX518" y="csY518"/>
              </a:cxn>
              <a:cxn ang="0">
                <a:pos x="csX519" y="csY519"/>
              </a:cxn>
              <a:cxn ang="0">
                <a:pos x="csX520" y="csY520"/>
              </a:cxn>
              <a:cxn ang="0">
                <a:pos x="csX521" y="csY521"/>
              </a:cxn>
              <a:cxn ang="0">
                <a:pos x="csX522" y="csY522"/>
              </a:cxn>
              <a:cxn ang="0">
                <a:pos x="csX523" y="csY523"/>
              </a:cxn>
              <a:cxn ang="0">
                <a:pos x="csX524" y="csY524"/>
              </a:cxn>
              <a:cxn ang="0">
                <a:pos x="csX525" y="csY525"/>
              </a:cxn>
              <a:cxn ang="0">
                <a:pos x="csX526" y="csY526"/>
              </a:cxn>
              <a:cxn ang="0">
                <a:pos x="csX527" y="csY527"/>
              </a:cxn>
              <a:cxn ang="0">
                <a:pos x="csX528" y="csY528"/>
              </a:cxn>
              <a:cxn ang="0">
                <a:pos x="csX529" y="csY529"/>
              </a:cxn>
              <a:cxn ang="0">
                <a:pos x="csX530" y="csY530"/>
              </a:cxn>
              <a:cxn ang="0">
                <a:pos x="csX531" y="csY531"/>
              </a:cxn>
              <a:cxn ang="0">
                <a:pos x="csX532" y="csY532"/>
              </a:cxn>
              <a:cxn ang="0">
                <a:pos x="csX533" y="csY533"/>
              </a:cxn>
              <a:cxn ang="0">
                <a:pos x="csX534" y="csY534"/>
              </a:cxn>
              <a:cxn ang="0">
                <a:pos x="csX535" y="csY535"/>
              </a:cxn>
              <a:cxn ang="0">
                <a:pos x="csX536" y="csY536"/>
              </a:cxn>
              <a:cxn ang="0">
                <a:pos x="csX537" y="csY537"/>
              </a:cxn>
              <a:cxn ang="0">
                <a:pos x="csX538" y="csY538"/>
              </a:cxn>
              <a:cxn ang="0">
                <a:pos x="csX539" y="csY539"/>
              </a:cxn>
              <a:cxn ang="0">
                <a:pos x="csX540" y="csY540"/>
              </a:cxn>
              <a:cxn ang="0">
                <a:pos x="csX541" y="csY541"/>
              </a:cxn>
              <a:cxn ang="0">
                <a:pos x="csX542" y="csY542"/>
              </a:cxn>
              <a:cxn ang="0">
                <a:pos x="csX543" y="csY543"/>
              </a:cxn>
              <a:cxn ang="0">
                <a:pos x="csX544" y="csY544"/>
              </a:cxn>
              <a:cxn ang="0">
                <a:pos x="csX545" y="csY545"/>
              </a:cxn>
              <a:cxn ang="0">
                <a:pos x="csX546" y="csY546"/>
              </a:cxn>
              <a:cxn ang="0">
                <a:pos x="csX547" y="csY547"/>
              </a:cxn>
              <a:cxn ang="0">
                <a:pos x="csX548" y="csY548"/>
              </a:cxn>
              <a:cxn ang="0">
                <a:pos x="csX549" y="csY549"/>
              </a:cxn>
              <a:cxn ang="0">
                <a:pos x="csX550" y="csY550"/>
              </a:cxn>
              <a:cxn ang="0">
                <a:pos x="csX551" y="csY551"/>
              </a:cxn>
              <a:cxn ang="0">
                <a:pos x="csX552" y="csY552"/>
              </a:cxn>
              <a:cxn ang="0">
                <a:pos x="csX553" y="csY553"/>
              </a:cxn>
              <a:cxn ang="0">
                <a:pos x="csX554" y="csY554"/>
              </a:cxn>
              <a:cxn ang="0">
                <a:pos x="csX555" y="csY555"/>
              </a:cxn>
              <a:cxn ang="0">
                <a:pos x="csX556" y="csY556"/>
              </a:cxn>
              <a:cxn ang="0">
                <a:pos x="csX557" y="csY557"/>
              </a:cxn>
              <a:cxn ang="0">
                <a:pos x="csX558" y="csY558"/>
              </a:cxn>
              <a:cxn ang="0">
                <a:pos x="csX559" y="csY559"/>
              </a:cxn>
              <a:cxn ang="0">
                <a:pos x="csX560" y="csY560"/>
              </a:cxn>
              <a:cxn ang="0">
                <a:pos x="csX561" y="csY561"/>
              </a:cxn>
              <a:cxn ang="0">
                <a:pos x="csX562" y="csY562"/>
              </a:cxn>
              <a:cxn ang="0">
                <a:pos x="csX563" y="csY563"/>
              </a:cxn>
              <a:cxn ang="0">
                <a:pos x="csX564" y="csY564"/>
              </a:cxn>
              <a:cxn ang="0">
                <a:pos x="csX565" y="csY565"/>
              </a:cxn>
              <a:cxn ang="0">
                <a:pos x="csX566" y="csY566"/>
              </a:cxn>
              <a:cxn ang="0">
                <a:pos x="csX567" y="csY567"/>
              </a:cxn>
              <a:cxn ang="0">
                <a:pos x="csX568" y="csY568"/>
              </a:cxn>
              <a:cxn ang="0">
                <a:pos x="csX569" y="csY569"/>
              </a:cxn>
              <a:cxn ang="0">
                <a:pos x="csX570" y="csY570"/>
              </a:cxn>
              <a:cxn ang="0">
                <a:pos x="csX571" y="csY571"/>
              </a:cxn>
              <a:cxn ang="0">
                <a:pos x="csX572" y="csY572"/>
              </a:cxn>
              <a:cxn ang="0">
                <a:pos x="csX573" y="csY573"/>
              </a:cxn>
              <a:cxn ang="0">
                <a:pos x="csX574" y="csY574"/>
              </a:cxn>
              <a:cxn ang="0">
                <a:pos x="csX575" y="csY575"/>
              </a:cxn>
              <a:cxn ang="0">
                <a:pos x="csX576" y="csY576"/>
              </a:cxn>
              <a:cxn ang="0">
                <a:pos x="csX577" y="csY577"/>
              </a:cxn>
              <a:cxn ang="0">
                <a:pos x="csX578" y="csY578"/>
              </a:cxn>
              <a:cxn ang="0">
                <a:pos x="csX579" y="csY579"/>
              </a:cxn>
              <a:cxn ang="0">
                <a:pos x="csX580" y="csY580"/>
              </a:cxn>
              <a:cxn ang="0">
                <a:pos x="csX581" y="csY581"/>
              </a:cxn>
              <a:cxn ang="0">
                <a:pos x="csX582" y="csY582"/>
              </a:cxn>
              <a:cxn ang="0">
                <a:pos x="csX583" y="csY583"/>
              </a:cxn>
              <a:cxn ang="0">
                <a:pos x="csX584" y="csY584"/>
              </a:cxn>
              <a:cxn ang="0">
                <a:pos x="csX585" y="csY585"/>
              </a:cxn>
              <a:cxn ang="0">
                <a:pos x="csX586" y="csY586"/>
              </a:cxn>
              <a:cxn ang="0">
                <a:pos x="csX587" y="csY587"/>
              </a:cxn>
              <a:cxn ang="0">
                <a:pos x="csX588" y="csY588"/>
              </a:cxn>
              <a:cxn ang="0">
                <a:pos x="csX589" y="csY589"/>
              </a:cxn>
              <a:cxn ang="0">
                <a:pos x="csX590" y="csY590"/>
              </a:cxn>
              <a:cxn ang="0">
                <a:pos x="csX591" y="csY591"/>
              </a:cxn>
              <a:cxn ang="0">
                <a:pos x="csX592" y="csY592"/>
              </a:cxn>
              <a:cxn ang="0">
                <a:pos x="csX593" y="csY593"/>
              </a:cxn>
              <a:cxn ang="0">
                <a:pos x="csX594" y="csY594"/>
              </a:cxn>
              <a:cxn ang="0">
                <a:pos x="csX595" y="csY595"/>
              </a:cxn>
              <a:cxn ang="0">
                <a:pos x="csX596" y="csY596"/>
              </a:cxn>
              <a:cxn ang="0">
                <a:pos x="csX597" y="csY597"/>
              </a:cxn>
              <a:cxn ang="0">
                <a:pos x="csX598" y="csY598"/>
              </a:cxn>
              <a:cxn ang="0">
                <a:pos x="csX599" y="csY599"/>
              </a:cxn>
              <a:cxn ang="0">
                <a:pos x="csX600" y="csY600"/>
              </a:cxn>
              <a:cxn ang="0">
                <a:pos x="csX601" y="csY601"/>
              </a:cxn>
              <a:cxn ang="0">
                <a:pos x="csX602" y="csY602"/>
              </a:cxn>
              <a:cxn ang="0">
                <a:pos x="csX603" y="csY603"/>
              </a:cxn>
              <a:cxn ang="0">
                <a:pos x="csX604" y="csY604"/>
              </a:cxn>
              <a:cxn ang="0">
                <a:pos x="csX605" y="csY605"/>
              </a:cxn>
              <a:cxn ang="0">
                <a:pos x="csX606" y="csY606"/>
              </a:cxn>
              <a:cxn ang="0">
                <a:pos x="csX607" y="csY607"/>
              </a:cxn>
              <a:cxn ang="0">
                <a:pos x="csX608" y="csY608"/>
              </a:cxn>
              <a:cxn ang="0">
                <a:pos x="csX609" y="csY609"/>
              </a:cxn>
              <a:cxn ang="0">
                <a:pos x="csX610" y="csY610"/>
              </a:cxn>
              <a:cxn ang="0">
                <a:pos x="csX611" y="csY611"/>
              </a:cxn>
              <a:cxn ang="0">
                <a:pos x="csX612" y="csY612"/>
              </a:cxn>
              <a:cxn ang="0">
                <a:pos x="csX613" y="csY613"/>
              </a:cxn>
              <a:cxn ang="0">
                <a:pos x="csX614" y="csY614"/>
              </a:cxn>
              <a:cxn ang="0">
                <a:pos x="csX615" y="csY615"/>
              </a:cxn>
              <a:cxn ang="0">
                <a:pos x="csX616" y="csY616"/>
              </a:cxn>
              <a:cxn ang="0">
                <a:pos x="csX617" y="csY617"/>
              </a:cxn>
              <a:cxn ang="0">
                <a:pos x="csX618" y="csY618"/>
              </a:cxn>
              <a:cxn ang="0">
                <a:pos x="csX619" y="csY619"/>
              </a:cxn>
              <a:cxn ang="0">
                <a:pos x="csX620" y="csY620"/>
              </a:cxn>
              <a:cxn ang="0">
                <a:pos x="csX621" y="csY621"/>
              </a:cxn>
              <a:cxn ang="0">
                <a:pos x="csX622" y="csY622"/>
              </a:cxn>
              <a:cxn ang="0">
                <a:pos x="csX623" y="csY623"/>
              </a:cxn>
              <a:cxn ang="0">
                <a:pos x="csX624" y="csY624"/>
              </a:cxn>
              <a:cxn ang="0">
                <a:pos x="csX625" y="csY625"/>
              </a:cxn>
              <a:cxn ang="0">
                <a:pos x="csX626" y="csY626"/>
              </a:cxn>
              <a:cxn ang="0">
                <a:pos x="csX627" y="csY627"/>
              </a:cxn>
              <a:cxn ang="0">
                <a:pos x="csX628" y="csY628"/>
              </a:cxn>
              <a:cxn ang="0">
                <a:pos x="csX629" y="csY629"/>
              </a:cxn>
              <a:cxn ang="0">
                <a:pos x="csX630" y="csY630"/>
              </a:cxn>
              <a:cxn ang="0">
                <a:pos x="csX631" y="csY631"/>
              </a:cxn>
              <a:cxn ang="0">
                <a:pos x="csX632" y="csY632"/>
              </a:cxn>
              <a:cxn ang="0">
                <a:pos x="csX633" y="csY633"/>
              </a:cxn>
              <a:cxn ang="0">
                <a:pos x="csX634" y="csY634"/>
              </a:cxn>
              <a:cxn ang="0">
                <a:pos x="csX635" y="csY635"/>
              </a:cxn>
              <a:cxn ang="0">
                <a:pos x="csX636" y="csY636"/>
              </a:cxn>
              <a:cxn ang="0">
                <a:pos x="csX637" y="csY637"/>
              </a:cxn>
              <a:cxn ang="0">
                <a:pos x="csX638" y="csY638"/>
              </a:cxn>
              <a:cxn ang="0">
                <a:pos x="csX639" y="csY639"/>
              </a:cxn>
              <a:cxn ang="0">
                <a:pos x="csX640" y="csY640"/>
              </a:cxn>
              <a:cxn ang="0">
                <a:pos x="csX641" y="csY641"/>
              </a:cxn>
              <a:cxn ang="0">
                <a:pos x="csX642" y="csY642"/>
              </a:cxn>
              <a:cxn ang="0">
                <a:pos x="csX643" y="csY643"/>
              </a:cxn>
              <a:cxn ang="0">
                <a:pos x="csX644" y="csY644"/>
              </a:cxn>
              <a:cxn ang="0">
                <a:pos x="csX645" y="csY645"/>
              </a:cxn>
              <a:cxn ang="0">
                <a:pos x="csX646" y="csY646"/>
              </a:cxn>
              <a:cxn ang="0">
                <a:pos x="csX647" y="csY647"/>
              </a:cxn>
              <a:cxn ang="0">
                <a:pos x="csX648" y="csY648"/>
              </a:cxn>
              <a:cxn ang="0">
                <a:pos x="csX649" y="csY649"/>
              </a:cxn>
              <a:cxn ang="0">
                <a:pos x="csX650" y="csY650"/>
              </a:cxn>
              <a:cxn ang="0">
                <a:pos x="csX651" y="csY651"/>
              </a:cxn>
              <a:cxn ang="0">
                <a:pos x="csX652" y="csY652"/>
              </a:cxn>
              <a:cxn ang="0">
                <a:pos x="csX653" y="csY653"/>
              </a:cxn>
              <a:cxn ang="0">
                <a:pos x="csX654" y="csY654"/>
              </a:cxn>
              <a:cxn ang="0">
                <a:pos x="csX655" y="csY655"/>
              </a:cxn>
              <a:cxn ang="0">
                <a:pos x="csX656" y="csY656"/>
              </a:cxn>
              <a:cxn ang="0">
                <a:pos x="csX657" y="csY657"/>
              </a:cxn>
              <a:cxn ang="0">
                <a:pos x="csX658" y="csY658"/>
              </a:cxn>
              <a:cxn ang="0">
                <a:pos x="csX659" y="csY659"/>
              </a:cxn>
              <a:cxn ang="0">
                <a:pos x="csX660" y="csY660"/>
              </a:cxn>
              <a:cxn ang="0">
                <a:pos x="csX661" y="csY661"/>
              </a:cxn>
              <a:cxn ang="0">
                <a:pos x="csX662" y="csY662"/>
              </a:cxn>
              <a:cxn ang="0">
                <a:pos x="csX663" y="csY663"/>
              </a:cxn>
              <a:cxn ang="0">
                <a:pos x="csX664" y="csY664"/>
              </a:cxn>
              <a:cxn ang="0">
                <a:pos x="csX665" y="csY665"/>
              </a:cxn>
              <a:cxn ang="0">
                <a:pos x="csX666" y="csY666"/>
              </a:cxn>
              <a:cxn ang="0">
                <a:pos x="csX667" y="csY667"/>
              </a:cxn>
              <a:cxn ang="0">
                <a:pos x="csX668" y="csY668"/>
              </a:cxn>
              <a:cxn ang="0">
                <a:pos x="csX669" y="csY669"/>
              </a:cxn>
              <a:cxn ang="0">
                <a:pos x="csX670" y="csY670"/>
              </a:cxn>
              <a:cxn ang="0">
                <a:pos x="csX671" y="csY671"/>
              </a:cxn>
              <a:cxn ang="0">
                <a:pos x="csX672" y="csY672"/>
              </a:cxn>
              <a:cxn ang="0">
                <a:pos x="csX673" y="csY673"/>
              </a:cxn>
              <a:cxn ang="0">
                <a:pos x="csX674" y="csY674"/>
              </a:cxn>
              <a:cxn ang="0">
                <a:pos x="csX675" y="csY675"/>
              </a:cxn>
              <a:cxn ang="0">
                <a:pos x="csX676" y="csY676"/>
              </a:cxn>
              <a:cxn ang="0">
                <a:pos x="csX677" y="csY677"/>
              </a:cxn>
              <a:cxn ang="0">
                <a:pos x="csX678" y="csY678"/>
              </a:cxn>
              <a:cxn ang="0">
                <a:pos x="csX679" y="csY679"/>
              </a:cxn>
              <a:cxn ang="0">
                <a:pos x="csX680" y="csY680"/>
              </a:cxn>
              <a:cxn ang="0">
                <a:pos x="csX681" y="csY681"/>
              </a:cxn>
              <a:cxn ang="0">
                <a:pos x="csX682" y="csY682"/>
              </a:cxn>
              <a:cxn ang="0">
                <a:pos x="csX683" y="csY683"/>
              </a:cxn>
              <a:cxn ang="0">
                <a:pos x="csX684" y="csY684"/>
              </a:cxn>
              <a:cxn ang="0">
                <a:pos x="csX685" y="csY685"/>
              </a:cxn>
              <a:cxn ang="0">
                <a:pos x="csX686" y="csY686"/>
              </a:cxn>
              <a:cxn ang="0">
                <a:pos x="csX687" y="csY687"/>
              </a:cxn>
              <a:cxn ang="0">
                <a:pos x="csX688" y="csY688"/>
              </a:cxn>
              <a:cxn ang="0">
                <a:pos x="csX689" y="csY689"/>
              </a:cxn>
              <a:cxn ang="0">
                <a:pos x="csX690" y="csY690"/>
              </a:cxn>
              <a:cxn ang="0">
                <a:pos x="csX691" y="csY691"/>
              </a:cxn>
              <a:cxn ang="0">
                <a:pos x="csX692" y="csY692"/>
              </a:cxn>
              <a:cxn ang="0">
                <a:pos x="csX693" y="csY693"/>
              </a:cxn>
              <a:cxn ang="0">
                <a:pos x="csX694" y="csY694"/>
              </a:cxn>
              <a:cxn ang="0">
                <a:pos x="csX695" y="csY695"/>
              </a:cxn>
              <a:cxn ang="0">
                <a:pos x="csX696" y="csY696"/>
              </a:cxn>
              <a:cxn ang="0">
                <a:pos x="csX697" y="csY697"/>
              </a:cxn>
              <a:cxn ang="0">
                <a:pos x="csX698" y="csY698"/>
              </a:cxn>
              <a:cxn ang="0">
                <a:pos x="csX699" y="csY699"/>
              </a:cxn>
              <a:cxn ang="0">
                <a:pos x="csX700" y="csY700"/>
              </a:cxn>
              <a:cxn ang="0">
                <a:pos x="csX701" y="csY701"/>
              </a:cxn>
              <a:cxn ang="0">
                <a:pos x="csX702" y="csY702"/>
              </a:cxn>
              <a:cxn ang="0">
                <a:pos x="csX703" y="csY703"/>
              </a:cxn>
              <a:cxn ang="0">
                <a:pos x="csX704" y="csY704"/>
              </a:cxn>
              <a:cxn ang="0">
                <a:pos x="csX705" y="csY705"/>
              </a:cxn>
              <a:cxn ang="0">
                <a:pos x="csX706" y="csY706"/>
              </a:cxn>
              <a:cxn ang="0">
                <a:pos x="csX707" y="csY707"/>
              </a:cxn>
              <a:cxn ang="0">
                <a:pos x="csX708" y="csY708"/>
              </a:cxn>
              <a:cxn ang="0">
                <a:pos x="csX709" y="csY709"/>
              </a:cxn>
              <a:cxn ang="0">
                <a:pos x="csX710" y="csY710"/>
              </a:cxn>
              <a:cxn ang="0">
                <a:pos x="csX711" y="csY711"/>
              </a:cxn>
              <a:cxn ang="0">
                <a:pos x="csX712" y="csY712"/>
              </a:cxn>
              <a:cxn ang="0">
                <a:pos x="csX713" y="csY713"/>
              </a:cxn>
              <a:cxn ang="0">
                <a:pos x="csX714" y="csY714"/>
              </a:cxn>
              <a:cxn ang="0">
                <a:pos x="csX715" y="csY715"/>
              </a:cxn>
              <a:cxn ang="0">
                <a:pos x="csX716" y="csY716"/>
              </a:cxn>
              <a:cxn ang="0">
                <a:pos x="csX717" y="csY717"/>
              </a:cxn>
              <a:cxn ang="0">
                <a:pos x="csX718" y="csY718"/>
              </a:cxn>
              <a:cxn ang="0">
                <a:pos x="csX719" y="csY719"/>
              </a:cxn>
              <a:cxn ang="0">
                <a:pos x="csX720" y="csY720"/>
              </a:cxn>
              <a:cxn ang="0">
                <a:pos x="csX721" y="csY721"/>
              </a:cxn>
              <a:cxn ang="0">
                <a:pos x="csX722" y="csY722"/>
              </a:cxn>
              <a:cxn ang="0">
                <a:pos x="csX723" y="csY723"/>
              </a:cxn>
              <a:cxn ang="0">
                <a:pos x="csX724" y="csY724"/>
              </a:cxn>
              <a:cxn ang="0">
                <a:pos x="csX725" y="csY725"/>
              </a:cxn>
              <a:cxn ang="0">
                <a:pos x="csX726" y="csY726"/>
              </a:cxn>
              <a:cxn ang="0">
                <a:pos x="csX727" y="csY727"/>
              </a:cxn>
              <a:cxn ang="0">
                <a:pos x="csX728" y="csY728"/>
              </a:cxn>
              <a:cxn ang="0">
                <a:pos x="csX729" y="csY729"/>
              </a:cxn>
              <a:cxn ang="0">
                <a:pos x="csX730" y="csY730"/>
              </a:cxn>
              <a:cxn ang="0">
                <a:pos x="csX731" y="csY731"/>
              </a:cxn>
              <a:cxn ang="0">
                <a:pos x="csX732" y="csY732"/>
              </a:cxn>
              <a:cxn ang="0">
                <a:pos x="csX733" y="csY733"/>
              </a:cxn>
              <a:cxn ang="0">
                <a:pos x="csX734" y="csY734"/>
              </a:cxn>
              <a:cxn ang="0">
                <a:pos x="csX735" y="csY735"/>
              </a:cxn>
              <a:cxn ang="0">
                <a:pos x="csX736" y="csY736"/>
              </a:cxn>
              <a:cxn ang="0">
                <a:pos x="csX737" y="csY737"/>
              </a:cxn>
              <a:cxn ang="0">
                <a:pos x="csX738" y="csY738"/>
              </a:cxn>
              <a:cxn ang="0">
                <a:pos x="csX739" y="csY739"/>
              </a:cxn>
              <a:cxn ang="0">
                <a:pos x="csX740" y="csY740"/>
              </a:cxn>
              <a:cxn ang="0">
                <a:pos x="csX741" y="csY741"/>
              </a:cxn>
              <a:cxn ang="0">
                <a:pos x="csX742" y="csY742"/>
              </a:cxn>
              <a:cxn ang="0">
                <a:pos x="csX743" y="csY743"/>
              </a:cxn>
              <a:cxn ang="0">
                <a:pos x="csX744" y="csY744"/>
              </a:cxn>
              <a:cxn ang="0">
                <a:pos x="csX745" y="csY745"/>
              </a:cxn>
              <a:cxn ang="0">
                <a:pos x="csX746" y="csY746"/>
              </a:cxn>
              <a:cxn ang="0">
                <a:pos x="csX747" y="csY747"/>
              </a:cxn>
              <a:cxn ang="0">
                <a:pos x="csX748" y="csY748"/>
              </a:cxn>
              <a:cxn ang="0">
                <a:pos x="csX749" y="csY749"/>
              </a:cxn>
              <a:cxn ang="0">
                <a:pos x="csX750" y="csY750"/>
              </a:cxn>
              <a:cxn ang="0">
                <a:pos x="csX751" y="csY751"/>
              </a:cxn>
              <a:cxn ang="0">
                <a:pos x="csX752" y="csY752"/>
              </a:cxn>
              <a:cxn ang="0">
                <a:pos x="csX753" y="csY753"/>
              </a:cxn>
              <a:cxn ang="0">
                <a:pos x="csX754" y="csY754"/>
              </a:cxn>
              <a:cxn ang="0">
                <a:pos x="csX755" y="csY755"/>
              </a:cxn>
              <a:cxn ang="0">
                <a:pos x="csX756" y="csY756"/>
              </a:cxn>
              <a:cxn ang="0">
                <a:pos x="csX757" y="csY757"/>
              </a:cxn>
              <a:cxn ang="0">
                <a:pos x="csX758" y="csY758"/>
              </a:cxn>
              <a:cxn ang="0">
                <a:pos x="csX759" y="csY759"/>
              </a:cxn>
              <a:cxn ang="0">
                <a:pos x="csX760" y="csY760"/>
              </a:cxn>
              <a:cxn ang="0">
                <a:pos x="csX761" y="csY761"/>
              </a:cxn>
              <a:cxn ang="0">
                <a:pos x="csX762" y="csY762"/>
              </a:cxn>
              <a:cxn ang="0">
                <a:pos x="csX763" y="csY763"/>
              </a:cxn>
              <a:cxn ang="0">
                <a:pos x="csX764" y="csY764"/>
              </a:cxn>
              <a:cxn ang="0">
                <a:pos x="csX765" y="csY765"/>
              </a:cxn>
              <a:cxn ang="0">
                <a:pos x="csX766" y="csY766"/>
              </a:cxn>
              <a:cxn ang="0">
                <a:pos x="csX767" y="csY767"/>
              </a:cxn>
              <a:cxn ang="0">
                <a:pos x="csX768" y="csY768"/>
              </a:cxn>
              <a:cxn ang="0">
                <a:pos x="csX769" y="csY769"/>
              </a:cxn>
              <a:cxn ang="0">
                <a:pos x="csX770" y="csY770"/>
              </a:cxn>
              <a:cxn ang="0">
                <a:pos x="csX771" y="csY771"/>
              </a:cxn>
              <a:cxn ang="0">
                <a:pos x="csX772" y="csY772"/>
              </a:cxn>
              <a:cxn ang="0">
                <a:pos x="csX773" y="csY773"/>
              </a:cxn>
              <a:cxn ang="0">
                <a:pos x="csX774" y="csY774"/>
              </a:cxn>
              <a:cxn ang="0">
                <a:pos x="csX775" y="csY775"/>
              </a:cxn>
              <a:cxn ang="0">
                <a:pos x="csX776" y="csY776"/>
              </a:cxn>
              <a:cxn ang="0">
                <a:pos x="csX777" y="csY777"/>
              </a:cxn>
              <a:cxn ang="0">
                <a:pos x="csX778" y="csY778"/>
              </a:cxn>
              <a:cxn ang="0">
                <a:pos x="csX779" y="csY779"/>
              </a:cxn>
              <a:cxn ang="0">
                <a:pos x="csX780" y="csY780"/>
              </a:cxn>
              <a:cxn ang="0">
                <a:pos x="csX781" y="csY781"/>
              </a:cxn>
              <a:cxn ang="0">
                <a:pos x="csX782" y="csY782"/>
              </a:cxn>
              <a:cxn ang="0">
                <a:pos x="csX783" y="csY783"/>
              </a:cxn>
              <a:cxn ang="0">
                <a:pos x="csX784" y="csY784"/>
              </a:cxn>
              <a:cxn ang="0">
                <a:pos x="csX785" y="csY785"/>
              </a:cxn>
              <a:cxn ang="0">
                <a:pos x="csX786" y="csY786"/>
              </a:cxn>
              <a:cxn ang="0">
                <a:pos x="csX787" y="csY787"/>
              </a:cxn>
              <a:cxn ang="0">
                <a:pos x="csX788" y="csY788"/>
              </a:cxn>
              <a:cxn ang="0">
                <a:pos x="csX789" y="csY789"/>
              </a:cxn>
              <a:cxn ang="0">
                <a:pos x="csX790" y="csY790"/>
              </a:cxn>
              <a:cxn ang="0">
                <a:pos x="csX791" y="csY791"/>
              </a:cxn>
              <a:cxn ang="0">
                <a:pos x="csX792" y="csY792"/>
              </a:cxn>
              <a:cxn ang="0">
                <a:pos x="csX793" y="csY793"/>
              </a:cxn>
              <a:cxn ang="0">
                <a:pos x="csX794" y="csY794"/>
              </a:cxn>
              <a:cxn ang="0">
                <a:pos x="csX795" y="csY795"/>
              </a:cxn>
              <a:cxn ang="0">
                <a:pos x="csX796" y="csY796"/>
              </a:cxn>
              <a:cxn ang="0">
                <a:pos x="csX797" y="csY797"/>
              </a:cxn>
              <a:cxn ang="0">
                <a:pos x="csX798" y="csY798"/>
              </a:cxn>
              <a:cxn ang="0">
                <a:pos x="csX799" y="csY799"/>
              </a:cxn>
              <a:cxn ang="0">
                <a:pos x="csX800" y="csY800"/>
              </a:cxn>
              <a:cxn ang="0">
                <a:pos x="csX801" y="csY801"/>
              </a:cxn>
              <a:cxn ang="0">
                <a:pos x="csX802" y="csY802"/>
              </a:cxn>
              <a:cxn ang="0">
                <a:pos x="csX803" y="csY803"/>
              </a:cxn>
              <a:cxn ang="0">
                <a:pos x="csX804" y="csY804"/>
              </a:cxn>
              <a:cxn ang="0">
                <a:pos x="csX805" y="csY805"/>
              </a:cxn>
              <a:cxn ang="0">
                <a:pos x="csX806" y="csY806"/>
              </a:cxn>
              <a:cxn ang="0">
                <a:pos x="csX807" y="csY807"/>
              </a:cxn>
              <a:cxn ang="0">
                <a:pos x="csX808" y="csY808"/>
              </a:cxn>
              <a:cxn ang="0">
                <a:pos x="csX809" y="csY809"/>
              </a:cxn>
              <a:cxn ang="0">
                <a:pos x="csX810" y="csY810"/>
              </a:cxn>
              <a:cxn ang="0">
                <a:pos x="csX811" y="csY811"/>
              </a:cxn>
              <a:cxn ang="0">
                <a:pos x="csX812" y="csY812"/>
              </a:cxn>
              <a:cxn ang="0">
                <a:pos x="csX813" y="csY813"/>
              </a:cxn>
              <a:cxn ang="0">
                <a:pos x="csX814" y="csY814"/>
              </a:cxn>
              <a:cxn ang="0">
                <a:pos x="csX815" y="csY815"/>
              </a:cxn>
              <a:cxn ang="0">
                <a:pos x="csX816" y="csY816"/>
              </a:cxn>
              <a:cxn ang="0">
                <a:pos x="csX817" y="csY817"/>
              </a:cxn>
              <a:cxn ang="0">
                <a:pos x="csX818" y="csY818"/>
              </a:cxn>
              <a:cxn ang="0">
                <a:pos x="csX819" y="csY819"/>
              </a:cxn>
              <a:cxn ang="0">
                <a:pos x="csX820" y="csY820"/>
              </a:cxn>
              <a:cxn ang="0">
                <a:pos x="csX821" y="csY821"/>
              </a:cxn>
              <a:cxn ang="0">
                <a:pos x="csX822" y="csY822"/>
              </a:cxn>
              <a:cxn ang="0">
                <a:pos x="csX823" y="csY823"/>
              </a:cxn>
              <a:cxn ang="0">
                <a:pos x="csX824" y="csY824"/>
              </a:cxn>
              <a:cxn ang="0">
                <a:pos x="csX825" y="csY825"/>
              </a:cxn>
              <a:cxn ang="0">
                <a:pos x="csX826" y="csY826"/>
              </a:cxn>
              <a:cxn ang="0">
                <a:pos x="csX827" y="csY827"/>
              </a:cxn>
              <a:cxn ang="0">
                <a:pos x="csX828" y="csY828"/>
              </a:cxn>
              <a:cxn ang="0">
                <a:pos x="csX829" y="csY829"/>
              </a:cxn>
              <a:cxn ang="0">
                <a:pos x="csX830" y="csY830"/>
              </a:cxn>
              <a:cxn ang="0">
                <a:pos x="csX831" y="csY831"/>
              </a:cxn>
              <a:cxn ang="0">
                <a:pos x="csX832" y="csY832"/>
              </a:cxn>
              <a:cxn ang="0">
                <a:pos x="csX833" y="csY833"/>
              </a:cxn>
              <a:cxn ang="0">
                <a:pos x="csX834" y="csY834"/>
              </a:cxn>
              <a:cxn ang="0">
                <a:pos x="csX835" y="csY835"/>
              </a:cxn>
              <a:cxn ang="0">
                <a:pos x="csX836" y="csY836"/>
              </a:cxn>
              <a:cxn ang="0">
                <a:pos x="csX837" y="csY837"/>
              </a:cxn>
              <a:cxn ang="0">
                <a:pos x="csX838" y="csY838"/>
              </a:cxn>
              <a:cxn ang="0">
                <a:pos x="csX839" y="csY839"/>
              </a:cxn>
              <a:cxn ang="0">
                <a:pos x="csX840" y="csY840"/>
              </a:cxn>
              <a:cxn ang="0">
                <a:pos x="csX841" y="csY841"/>
              </a:cxn>
              <a:cxn ang="0">
                <a:pos x="csX842" y="csY842"/>
              </a:cxn>
              <a:cxn ang="0">
                <a:pos x="csX843" y="csY843"/>
              </a:cxn>
              <a:cxn ang="0">
                <a:pos x="csX844" y="csY844"/>
              </a:cxn>
              <a:cxn ang="0">
                <a:pos x="csX845" y="csY845"/>
              </a:cxn>
              <a:cxn ang="0">
                <a:pos x="csX846" y="csY846"/>
              </a:cxn>
              <a:cxn ang="0">
                <a:pos x="csX847" y="csY847"/>
              </a:cxn>
              <a:cxn ang="0">
                <a:pos x="csX848" y="csY848"/>
              </a:cxn>
              <a:cxn ang="0">
                <a:pos x="csX849" y="csY849"/>
              </a:cxn>
              <a:cxn ang="0">
                <a:pos x="csX850" y="csY850"/>
              </a:cxn>
              <a:cxn ang="0">
                <a:pos x="csX851" y="csY851"/>
              </a:cxn>
              <a:cxn ang="0">
                <a:pos x="csX852" y="csY852"/>
              </a:cxn>
              <a:cxn ang="0">
                <a:pos x="csX853" y="csY853"/>
              </a:cxn>
              <a:cxn ang="0">
                <a:pos x="csX854" y="csY854"/>
              </a:cxn>
              <a:cxn ang="0">
                <a:pos x="csX855" y="csY855"/>
              </a:cxn>
              <a:cxn ang="0">
                <a:pos x="csX856" y="csY856"/>
              </a:cxn>
              <a:cxn ang="0">
                <a:pos x="csX857" y="csY857"/>
              </a:cxn>
              <a:cxn ang="0">
                <a:pos x="csX858" y="csY858"/>
              </a:cxn>
              <a:cxn ang="0">
                <a:pos x="csX859" y="csY859"/>
              </a:cxn>
              <a:cxn ang="0">
                <a:pos x="csX860" y="csY860"/>
              </a:cxn>
              <a:cxn ang="0">
                <a:pos x="csX861" y="csY861"/>
              </a:cxn>
              <a:cxn ang="0">
                <a:pos x="csX862" y="csY862"/>
              </a:cxn>
              <a:cxn ang="0">
                <a:pos x="csX863" y="csY863"/>
              </a:cxn>
              <a:cxn ang="0">
                <a:pos x="csX864" y="csY864"/>
              </a:cxn>
              <a:cxn ang="0">
                <a:pos x="csX865" y="csY865"/>
              </a:cxn>
              <a:cxn ang="0">
                <a:pos x="csX866" y="csY866"/>
              </a:cxn>
              <a:cxn ang="0">
                <a:pos x="csX867" y="csY867"/>
              </a:cxn>
              <a:cxn ang="0">
                <a:pos x="csX868" y="csY868"/>
              </a:cxn>
              <a:cxn ang="0">
                <a:pos x="csX869" y="csY869"/>
              </a:cxn>
              <a:cxn ang="0">
                <a:pos x="csX870" y="csY870"/>
              </a:cxn>
              <a:cxn ang="0">
                <a:pos x="csX871" y="csY871"/>
              </a:cxn>
              <a:cxn ang="0">
                <a:pos x="csX872" y="csY872"/>
              </a:cxn>
              <a:cxn ang="0">
                <a:pos x="csX873" y="csY873"/>
              </a:cxn>
              <a:cxn ang="0">
                <a:pos x="csX874" y="csY874"/>
              </a:cxn>
              <a:cxn ang="0">
                <a:pos x="csX875" y="csY875"/>
              </a:cxn>
              <a:cxn ang="0">
                <a:pos x="csX876" y="csY876"/>
              </a:cxn>
              <a:cxn ang="0">
                <a:pos x="csX877" y="csY877"/>
              </a:cxn>
              <a:cxn ang="0">
                <a:pos x="csX878" y="csY878"/>
              </a:cxn>
              <a:cxn ang="0">
                <a:pos x="csX879" y="csY879"/>
              </a:cxn>
              <a:cxn ang="0">
                <a:pos x="csX880" y="csY880"/>
              </a:cxn>
              <a:cxn ang="0">
                <a:pos x="csX881" y="csY881"/>
              </a:cxn>
              <a:cxn ang="0">
                <a:pos x="csX882" y="csY882"/>
              </a:cxn>
              <a:cxn ang="0">
                <a:pos x="csX883" y="csY883"/>
              </a:cxn>
              <a:cxn ang="0">
                <a:pos x="csX884" y="csY884"/>
              </a:cxn>
              <a:cxn ang="0">
                <a:pos x="csX885" y="csY885"/>
              </a:cxn>
              <a:cxn ang="0">
                <a:pos x="csX886" y="csY886"/>
              </a:cxn>
              <a:cxn ang="0">
                <a:pos x="csX887" y="csY887"/>
              </a:cxn>
              <a:cxn ang="0">
                <a:pos x="csX888" y="csY888"/>
              </a:cxn>
              <a:cxn ang="0">
                <a:pos x="csX889" y="csY889"/>
              </a:cxn>
              <a:cxn ang="0">
                <a:pos x="csX890" y="csY890"/>
              </a:cxn>
              <a:cxn ang="0">
                <a:pos x="csX891" y="csY891"/>
              </a:cxn>
              <a:cxn ang="0">
                <a:pos x="csX892" y="csY892"/>
              </a:cxn>
              <a:cxn ang="0">
                <a:pos x="csX893" y="csY893"/>
              </a:cxn>
              <a:cxn ang="0">
                <a:pos x="csX894" y="csY894"/>
              </a:cxn>
              <a:cxn ang="0">
                <a:pos x="csX895" y="csY895"/>
              </a:cxn>
              <a:cxn ang="0">
                <a:pos x="csX896" y="csY896"/>
              </a:cxn>
              <a:cxn ang="0">
                <a:pos x="csX897" y="csY897"/>
              </a:cxn>
              <a:cxn ang="0">
                <a:pos x="csX898" y="csY898"/>
              </a:cxn>
              <a:cxn ang="0">
                <a:pos x="csX899" y="csY899"/>
              </a:cxn>
              <a:cxn ang="0">
                <a:pos x="csX900" y="csY900"/>
              </a:cxn>
              <a:cxn ang="0">
                <a:pos x="csX901" y="csY901"/>
              </a:cxn>
              <a:cxn ang="0">
                <a:pos x="csX902" y="csY902"/>
              </a:cxn>
              <a:cxn ang="0">
                <a:pos x="csX903" y="csY903"/>
              </a:cxn>
              <a:cxn ang="0">
                <a:pos x="csX904" y="csY904"/>
              </a:cxn>
              <a:cxn ang="0">
                <a:pos x="csX905" y="csY905"/>
              </a:cxn>
              <a:cxn ang="0">
                <a:pos x="csX906" y="csY906"/>
              </a:cxn>
              <a:cxn ang="0">
                <a:pos x="csX907" y="csY907"/>
              </a:cxn>
              <a:cxn ang="0">
                <a:pos x="csX908" y="csY908"/>
              </a:cxn>
              <a:cxn ang="0">
                <a:pos x="csX909" y="csY909"/>
              </a:cxn>
              <a:cxn ang="0">
                <a:pos x="csX910" y="csY910"/>
              </a:cxn>
              <a:cxn ang="0">
                <a:pos x="csX911" y="csY911"/>
              </a:cxn>
              <a:cxn ang="0">
                <a:pos x="csX912" y="csY912"/>
              </a:cxn>
              <a:cxn ang="0">
                <a:pos x="csX913" y="csY913"/>
              </a:cxn>
              <a:cxn ang="0">
                <a:pos x="csX914" y="csY914"/>
              </a:cxn>
              <a:cxn ang="0">
                <a:pos x="csX915" y="csY915"/>
              </a:cxn>
              <a:cxn ang="0">
                <a:pos x="csX916" y="csY916"/>
              </a:cxn>
              <a:cxn ang="0">
                <a:pos x="csX917" y="csY917"/>
              </a:cxn>
              <a:cxn ang="0">
                <a:pos x="csX918" y="csY918"/>
              </a:cxn>
              <a:cxn ang="0">
                <a:pos x="csX919" y="csY919"/>
              </a:cxn>
              <a:cxn ang="0">
                <a:pos x="csX920" y="csY920"/>
              </a:cxn>
              <a:cxn ang="0">
                <a:pos x="csX921" y="csY921"/>
              </a:cxn>
              <a:cxn ang="0">
                <a:pos x="csX922" y="csY922"/>
              </a:cxn>
              <a:cxn ang="0">
                <a:pos x="csX923" y="csY923"/>
              </a:cxn>
              <a:cxn ang="0">
                <a:pos x="csX924" y="csY924"/>
              </a:cxn>
              <a:cxn ang="0">
                <a:pos x="csX925" y="csY925"/>
              </a:cxn>
              <a:cxn ang="0">
                <a:pos x="csX926" y="csY926"/>
              </a:cxn>
              <a:cxn ang="0">
                <a:pos x="csX927" y="csY927"/>
              </a:cxn>
              <a:cxn ang="0">
                <a:pos x="csX928" y="csY928"/>
              </a:cxn>
              <a:cxn ang="0">
                <a:pos x="csX929" y="csY929"/>
              </a:cxn>
              <a:cxn ang="0">
                <a:pos x="csX930" y="csY930"/>
              </a:cxn>
              <a:cxn ang="0">
                <a:pos x="csX931" y="csY931"/>
              </a:cxn>
              <a:cxn ang="0">
                <a:pos x="csX932" y="csY932"/>
              </a:cxn>
              <a:cxn ang="0">
                <a:pos x="csX933" y="csY933"/>
              </a:cxn>
              <a:cxn ang="0">
                <a:pos x="csX934" y="csY934"/>
              </a:cxn>
              <a:cxn ang="0">
                <a:pos x="csX935" y="csY935"/>
              </a:cxn>
              <a:cxn ang="0">
                <a:pos x="csX936" y="csY936"/>
              </a:cxn>
              <a:cxn ang="0">
                <a:pos x="csX937" y="csY937"/>
              </a:cxn>
              <a:cxn ang="0">
                <a:pos x="csX938" y="csY938"/>
              </a:cxn>
              <a:cxn ang="0">
                <a:pos x="csX939" y="csY939"/>
              </a:cxn>
              <a:cxn ang="0">
                <a:pos x="csX940" y="csY940"/>
              </a:cxn>
              <a:cxn ang="0">
                <a:pos x="csX941" y="csY941"/>
              </a:cxn>
              <a:cxn ang="0">
                <a:pos x="csX942" y="csY942"/>
              </a:cxn>
              <a:cxn ang="0">
                <a:pos x="csX943" y="csY943"/>
              </a:cxn>
              <a:cxn ang="0">
                <a:pos x="csX944" y="csY944"/>
              </a:cxn>
              <a:cxn ang="0">
                <a:pos x="csX945" y="csY945"/>
              </a:cxn>
              <a:cxn ang="0">
                <a:pos x="csX946" y="csY946"/>
              </a:cxn>
              <a:cxn ang="0">
                <a:pos x="csX947" y="csY947"/>
              </a:cxn>
              <a:cxn ang="0">
                <a:pos x="csX948" y="csY948"/>
              </a:cxn>
              <a:cxn ang="0">
                <a:pos x="csX949" y="csY949"/>
              </a:cxn>
              <a:cxn ang="0">
                <a:pos x="csX950" y="csY950"/>
              </a:cxn>
              <a:cxn ang="0">
                <a:pos x="csX951" y="csY951"/>
              </a:cxn>
              <a:cxn ang="0">
                <a:pos x="csX952" y="csY952"/>
              </a:cxn>
              <a:cxn ang="0">
                <a:pos x="csX953" y="csY953"/>
              </a:cxn>
              <a:cxn ang="0">
                <a:pos x="csX954" y="csY954"/>
              </a:cxn>
              <a:cxn ang="0">
                <a:pos x="csX955" y="csY955"/>
              </a:cxn>
              <a:cxn ang="0">
                <a:pos x="csX956" y="csY956"/>
              </a:cxn>
              <a:cxn ang="0">
                <a:pos x="csX957" y="csY957"/>
              </a:cxn>
              <a:cxn ang="0">
                <a:pos x="csX958" y="csY958"/>
              </a:cxn>
              <a:cxn ang="0">
                <a:pos x="csX959" y="csY959"/>
              </a:cxn>
              <a:cxn ang="0">
                <a:pos x="csX960" y="csY960"/>
              </a:cxn>
              <a:cxn ang="0">
                <a:pos x="csX961" y="csY961"/>
              </a:cxn>
              <a:cxn ang="0">
                <a:pos x="csX962" y="csY962"/>
              </a:cxn>
              <a:cxn ang="0">
                <a:pos x="csX963" y="csY963"/>
              </a:cxn>
              <a:cxn ang="0">
                <a:pos x="csX964" y="csY964"/>
              </a:cxn>
              <a:cxn ang="0">
                <a:pos x="csX965" y="csY965"/>
              </a:cxn>
              <a:cxn ang="0">
                <a:pos x="csX966" y="csY966"/>
              </a:cxn>
              <a:cxn ang="0">
                <a:pos x="csX967" y="csY967"/>
              </a:cxn>
              <a:cxn ang="0">
                <a:pos x="csX968" y="csY968"/>
              </a:cxn>
              <a:cxn ang="0">
                <a:pos x="csX969" y="csY969"/>
              </a:cxn>
              <a:cxn ang="0">
                <a:pos x="csX970" y="csY970"/>
              </a:cxn>
              <a:cxn ang="0">
                <a:pos x="csX971" y="csY971"/>
              </a:cxn>
              <a:cxn ang="0">
                <a:pos x="csX972" y="csY972"/>
              </a:cxn>
              <a:cxn ang="0">
                <a:pos x="csX973" y="csY973"/>
              </a:cxn>
              <a:cxn ang="0">
                <a:pos x="csX974" y="csY974"/>
              </a:cxn>
              <a:cxn ang="0">
                <a:pos x="csX975" y="csY975"/>
              </a:cxn>
              <a:cxn ang="0">
                <a:pos x="csX976" y="csY976"/>
              </a:cxn>
              <a:cxn ang="0">
                <a:pos x="csX977" y="csY977"/>
              </a:cxn>
              <a:cxn ang="0">
                <a:pos x="csX978" y="csY978"/>
              </a:cxn>
              <a:cxn ang="0">
                <a:pos x="csX979" y="csY979"/>
              </a:cxn>
              <a:cxn ang="0">
                <a:pos x="csX980" y="csY980"/>
              </a:cxn>
              <a:cxn ang="0">
                <a:pos x="csX981" y="csY981"/>
              </a:cxn>
              <a:cxn ang="0">
                <a:pos x="csX982" y="csY982"/>
              </a:cxn>
              <a:cxn ang="0">
                <a:pos x="csX983" y="csY983"/>
              </a:cxn>
              <a:cxn ang="0">
                <a:pos x="csX984" y="csY984"/>
              </a:cxn>
              <a:cxn ang="0">
                <a:pos x="csX985" y="csY985"/>
              </a:cxn>
              <a:cxn ang="0">
                <a:pos x="csX986" y="csY986"/>
              </a:cxn>
              <a:cxn ang="0">
                <a:pos x="csX987" y="csY987"/>
              </a:cxn>
              <a:cxn ang="0">
                <a:pos x="csX988" y="csY988"/>
              </a:cxn>
              <a:cxn ang="0">
                <a:pos x="csX989" y="csY989"/>
              </a:cxn>
              <a:cxn ang="0">
                <a:pos x="csX990" y="csY990"/>
              </a:cxn>
              <a:cxn ang="0">
                <a:pos x="csX991" y="csY991"/>
              </a:cxn>
              <a:cxn ang="0">
                <a:pos x="csX992" y="csY992"/>
              </a:cxn>
              <a:cxn ang="0">
                <a:pos x="csX993" y="csY993"/>
              </a:cxn>
              <a:cxn ang="0">
                <a:pos x="csX994" y="csY994"/>
              </a:cxn>
              <a:cxn ang="0">
                <a:pos x="csX995" y="csY995"/>
              </a:cxn>
              <a:cxn ang="0">
                <a:pos x="csX996" y="csY996"/>
              </a:cxn>
              <a:cxn ang="0">
                <a:pos x="csX997" y="csY997"/>
              </a:cxn>
              <a:cxn ang="0">
                <a:pos x="csX998" y="csY998"/>
              </a:cxn>
              <a:cxn ang="0">
                <a:pos x="csX999" y="csY999"/>
              </a:cxn>
              <a:cxn ang="0">
                <a:pos x="csX1000" y="csY1000"/>
              </a:cxn>
              <a:cxn ang="0">
                <a:pos x="csX1001" y="csY1001"/>
              </a:cxn>
              <a:cxn ang="0">
                <a:pos x="csX1002" y="csY1002"/>
              </a:cxn>
              <a:cxn ang="0">
                <a:pos x="csX1003" y="csY1003"/>
              </a:cxn>
              <a:cxn ang="0">
                <a:pos x="csX1004" y="csY1004"/>
              </a:cxn>
              <a:cxn ang="0">
                <a:pos x="csX1005" y="csY1005"/>
              </a:cxn>
              <a:cxn ang="0">
                <a:pos x="csX1006" y="csY1006"/>
              </a:cxn>
              <a:cxn ang="0">
                <a:pos x="csX1007" y="csY1007"/>
              </a:cxn>
              <a:cxn ang="0">
                <a:pos x="csX1008" y="csY1008"/>
              </a:cxn>
              <a:cxn ang="0">
                <a:pos x="csX1009" y="csY1009"/>
              </a:cxn>
              <a:cxn ang="0">
                <a:pos x="csX1010" y="csY1010"/>
              </a:cxn>
              <a:cxn ang="0">
                <a:pos x="csX1011" y="csY1011"/>
              </a:cxn>
              <a:cxn ang="0">
                <a:pos x="csX1012" y="csY1012"/>
              </a:cxn>
              <a:cxn ang="0">
                <a:pos x="csX1013" y="csY1013"/>
              </a:cxn>
              <a:cxn ang="0">
                <a:pos x="csX1014" y="csY1014"/>
              </a:cxn>
              <a:cxn ang="0">
                <a:pos x="csX1015" y="csY1015"/>
              </a:cxn>
              <a:cxn ang="0">
                <a:pos x="csX1016" y="csY1016"/>
              </a:cxn>
              <a:cxn ang="0">
                <a:pos x="csX1017" y="csY1017"/>
              </a:cxn>
              <a:cxn ang="0">
                <a:pos x="csX1018" y="csY1018"/>
              </a:cxn>
              <a:cxn ang="0">
                <a:pos x="csX1019" y="csY1019"/>
              </a:cxn>
              <a:cxn ang="0">
                <a:pos x="csX1020" y="csY1020"/>
              </a:cxn>
              <a:cxn ang="0">
                <a:pos x="csX1021" y="csY1021"/>
              </a:cxn>
              <a:cxn ang="0">
                <a:pos x="csX1022" y="csY1022"/>
              </a:cxn>
              <a:cxn ang="0">
                <a:pos x="csX1023" y="csY1023"/>
              </a:cxn>
              <a:cxn ang="0">
                <a:pos x="csX1024" y="csY1024"/>
              </a:cxn>
              <a:cxn ang="0">
                <a:pos x="csX1025" y="csY1025"/>
              </a:cxn>
              <a:cxn ang="0">
                <a:pos x="csX1026" y="csY1026"/>
              </a:cxn>
              <a:cxn ang="0">
                <a:pos x="csX1027" y="csY1027"/>
              </a:cxn>
              <a:cxn ang="0">
                <a:pos x="csX1028" y="csY1028"/>
              </a:cxn>
              <a:cxn ang="0">
                <a:pos x="csX1029" y="csY1029"/>
              </a:cxn>
              <a:cxn ang="0">
                <a:pos x="csX1030" y="csY1030"/>
              </a:cxn>
              <a:cxn ang="0">
                <a:pos x="csX1031" y="csY1031"/>
              </a:cxn>
              <a:cxn ang="0">
                <a:pos x="csX1032" y="csY1032"/>
              </a:cxn>
              <a:cxn ang="0">
                <a:pos x="csX1033" y="csY1033"/>
              </a:cxn>
              <a:cxn ang="0">
                <a:pos x="csX1034" y="csY1034"/>
              </a:cxn>
              <a:cxn ang="0">
                <a:pos x="csX1035" y="csY1035"/>
              </a:cxn>
              <a:cxn ang="0">
                <a:pos x="csX1036" y="csY1036"/>
              </a:cxn>
              <a:cxn ang="0">
                <a:pos x="csX1037" y="csY1037"/>
              </a:cxn>
              <a:cxn ang="0">
                <a:pos x="csX1038" y="csY1038"/>
              </a:cxn>
              <a:cxn ang="0">
                <a:pos x="csX1039" y="csY1039"/>
              </a:cxn>
              <a:cxn ang="0">
                <a:pos x="csX1040" y="csY1040"/>
              </a:cxn>
              <a:cxn ang="0">
                <a:pos x="csX1041" y="csY1041"/>
              </a:cxn>
              <a:cxn ang="0">
                <a:pos x="csX1042" y="csY1042"/>
              </a:cxn>
              <a:cxn ang="0">
                <a:pos x="csX1043" y="csY1043"/>
              </a:cxn>
              <a:cxn ang="0">
                <a:pos x="csX1044" y="csY1044"/>
              </a:cxn>
              <a:cxn ang="0">
                <a:pos x="csX1045" y="csY1045"/>
              </a:cxn>
              <a:cxn ang="0">
                <a:pos x="csX1046" y="csY1046"/>
              </a:cxn>
              <a:cxn ang="0">
                <a:pos x="csX1047" y="csY1047"/>
              </a:cxn>
              <a:cxn ang="0">
                <a:pos x="csX1048" y="csY1048"/>
              </a:cxn>
              <a:cxn ang="0">
                <a:pos x="csX1049" y="csY1049"/>
              </a:cxn>
              <a:cxn ang="0">
                <a:pos x="csX1050" y="csY1050"/>
              </a:cxn>
              <a:cxn ang="0">
                <a:pos x="csX1051" y="csY1051"/>
              </a:cxn>
              <a:cxn ang="0">
                <a:pos x="csX1052" y="csY1052"/>
              </a:cxn>
              <a:cxn ang="0">
                <a:pos x="csX1053" y="csY1053"/>
              </a:cxn>
              <a:cxn ang="0">
                <a:pos x="csX1054" y="csY1054"/>
              </a:cxn>
              <a:cxn ang="0">
                <a:pos x="csX1055" y="csY1055"/>
              </a:cxn>
              <a:cxn ang="0">
                <a:pos x="csX1056" y="csY1056"/>
              </a:cxn>
              <a:cxn ang="0">
                <a:pos x="csX1057" y="csY1057"/>
              </a:cxn>
              <a:cxn ang="0">
                <a:pos x="csX1058" y="csY1058"/>
              </a:cxn>
              <a:cxn ang="0">
                <a:pos x="csX1059" y="csY1059"/>
              </a:cxn>
              <a:cxn ang="0">
                <a:pos x="csX1060" y="csY1060"/>
              </a:cxn>
              <a:cxn ang="0">
                <a:pos x="csX1061" y="csY1061"/>
              </a:cxn>
              <a:cxn ang="0">
                <a:pos x="csX1062" y="csY1062"/>
              </a:cxn>
              <a:cxn ang="0">
                <a:pos x="csX1063" y="csY1063"/>
              </a:cxn>
              <a:cxn ang="0">
                <a:pos x="csX1064" y="csY1064"/>
              </a:cxn>
              <a:cxn ang="0">
                <a:pos x="csX1065" y="csY1065"/>
              </a:cxn>
              <a:cxn ang="0">
                <a:pos x="csX1066" y="csY1066"/>
              </a:cxn>
              <a:cxn ang="0">
                <a:pos x="csX1067" y="csY1067"/>
              </a:cxn>
              <a:cxn ang="0">
                <a:pos x="csX1068" y="csY1068"/>
              </a:cxn>
              <a:cxn ang="0">
                <a:pos x="csX1069" y="csY1069"/>
              </a:cxn>
              <a:cxn ang="0">
                <a:pos x="csX1070" y="csY1070"/>
              </a:cxn>
              <a:cxn ang="0">
                <a:pos x="csX1071" y="csY1071"/>
              </a:cxn>
              <a:cxn ang="0">
                <a:pos x="csX1072" y="csY1072"/>
              </a:cxn>
              <a:cxn ang="0">
                <a:pos x="csX1073" y="csY1073"/>
              </a:cxn>
              <a:cxn ang="0">
                <a:pos x="csX1074" y="csY1074"/>
              </a:cxn>
              <a:cxn ang="0">
                <a:pos x="csX1075" y="csY1075"/>
              </a:cxn>
              <a:cxn ang="0">
                <a:pos x="csX1076" y="csY1076"/>
              </a:cxn>
              <a:cxn ang="0">
                <a:pos x="csX1077" y="csY1077"/>
              </a:cxn>
              <a:cxn ang="0">
                <a:pos x="csX1078" y="csY1078"/>
              </a:cxn>
              <a:cxn ang="0">
                <a:pos x="csX1079" y="csY1079"/>
              </a:cxn>
              <a:cxn ang="0">
                <a:pos x="csX1080" y="csY1080"/>
              </a:cxn>
              <a:cxn ang="0">
                <a:pos x="csX1081" y="csY1081"/>
              </a:cxn>
              <a:cxn ang="0">
                <a:pos x="csX1082" y="csY1082"/>
              </a:cxn>
              <a:cxn ang="0">
                <a:pos x="csX1083" y="csY1083"/>
              </a:cxn>
              <a:cxn ang="0">
                <a:pos x="csX1084" y="csY1084"/>
              </a:cxn>
              <a:cxn ang="0">
                <a:pos x="csX1085" y="csY1085"/>
              </a:cxn>
              <a:cxn ang="0">
                <a:pos x="csX1086" y="csY1086"/>
              </a:cxn>
              <a:cxn ang="0">
                <a:pos x="csX1087" y="csY1087"/>
              </a:cxn>
              <a:cxn ang="0">
                <a:pos x="csX1088" y="csY1088"/>
              </a:cxn>
              <a:cxn ang="0">
                <a:pos x="csX1089" y="csY1089"/>
              </a:cxn>
              <a:cxn ang="0">
                <a:pos x="csX1090" y="csY1090"/>
              </a:cxn>
              <a:cxn ang="0">
                <a:pos x="csX1091" y="csY1091"/>
              </a:cxn>
              <a:cxn ang="0">
                <a:pos x="csX1092" y="csY1092"/>
              </a:cxn>
              <a:cxn ang="0">
                <a:pos x="csX1093" y="csY1093"/>
              </a:cxn>
              <a:cxn ang="0">
                <a:pos x="csX1094" y="csY1094"/>
              </a:cxn>
              <a:cxn ang="0">
                <a:pos x="csX1095" y="csY1095"/>
              </a:cxn>
              <a:cxn ang="0">
                <a:pos x="csX1096" y="csY1096"/>
              </a:cxn>
              <a:cxn ang="0">
                <a:pos x="csX1097" y="csY1097"/>
              </a:cxn>
              <a:cxn ang="0">
                <a:pos x="csX1098" y="csY1098"/>
              </a:cxn>
              <a:cxn ang="0">
                <a:pos x="csX1099" y="csY1099"/>
              </a:cxn>
              <a:cxn ang="0">
                <a:pos x="csX1100" y="csY1100"/>
              </a:cxn>
              <a:cxn ang="0">
                <a:pos x="csX1101" y="csY1101"/>
              </a:cxn>
              <a:cxn ang="0">
                <a:pos x="csX1102" y="csY1102"/>
              </a:cxn>
              <a:cxn ang="0">
                <a:pos x="csX1103" y="csY1103"/>
              </a:cxn>
              <a:cxn ang="0">
                <a:pos x="csX1104" y="csY1104"/>
              </a:cxn>
              <a:cxn ang="0">
                <a:pos x="csX1105" y="csY1105"/>
              </a:cxn>
              <a:cxn ang="0">
                <a:pos x="csX1106" y="csY1106"/>
              </a:cxn>
              <a:cxn ang="0">
                <a:pos x="csX1107" y="csY1107"/>
              </a:cxn>
              <a:cxn ang="0">
                <a:pos x="csX1108" y="csY1108"/>
              </a:cxn>
              <a:cxn ang="0">
                <a:pos x="csX1109" y="csY1109"/>
              </a:cxn>
              <a:cxn ang="0">
                <a:pos x="csX1110" y="csY1110"/>
              </a:cxn>
              <a:cxn ang="0">
                <a:pos x="csX1111" y="csY1111"/>
              </a:cxn>
              <a:cxn ang="0">
                <a:pos x="csX1112" y="csY1112"/>
              </a:cxn>
              <a:cxn ang="0">
                <a:pos x="csX1113" y="csY1113"/>
              </a:cxn>
              <a:cxn ang="0">
                <a:pos x="csX1114" y="csY1114"/>
              </a:cxn>
              <a:cxn ang="0">
                <a:pos x="csX1115" y="csY1115"/>
              </a:cxn>
              <a:cxn ang="0">
                <a:pos x="csX1116" y="csY1116"/>
              </a:cxn>
              <a:cxn ang="0">
                <a:pos x="csX1117" y="csY1117"/>
              </a:cxn>
              <a:cxn ang="0">
                <a:pos x="csX1118" y="csY1118"/>
              </a:cxn>
              <a:cxn ang="0">
                <a:pos x="csX1119" y="csY1119"/>
              </a:cxn>
              <a:cxn ang="0">
                <a:pos x="csX1120" y="csY1120"/>
              </a:cxn>
              <a:cxn ang="0">
                <a:pos x="csX1121" y="csY1121"/>
              </a:cxn>
              <a:cxn ang="0">
                <a:pos x="csX1122" y="csY1122"/>
              </a:cxn>
              <a:cxn ang="0">
                <a:pos x="csX1123" y="csY1123"/>
              </a:cxn>
              <a:cxn ang="0">
                <a:pos x="csX1124" y="csY1124"/>
              </a:cxn>
              <a:cxn ang="0">
                <a:pos x="csX1125" y="csY1125"/>
              </a:cxn>
              <a:cxn ang="0">
                <a:pos x="csX1126" y="csY1126"/>
              </a:cxn>
              <a:cxn ang="0">
                <a:pos x="csX1127" y="csY1127"/>
              </a:cxn>
              <a:cxn ang="0">
                <a:pos x="csX1128" y="csY1128"/>
              </a:cxn>
              <a:cxn ang="0">
                <a:pos x="csX1129" y="csY1129"/>
              </a:cxn>
              <a:cxn ang="0">
                <a:pos x="csX1130" y="csY1130"/>
              </a:cxn>
              <a:cxn ang="0">
                <a:pos x="csX1131" y="csY1131"/>
              </a:cxn>
              <a:cxn ang="0">
                <a:pos x="csX1132" y="csY1132"/>
              </a:cxn>
              <a:cxn ang="0">
                <a:pos x="csX1133" y="csY1133"/>
              </a:cxn>
              <a:cxn ang="0">
                <a:pos x="csX1134" y="csY1134"/>
              </a:cxn>
              <a:cxn ang="0">
                <a:pos x="csX1135" y="csY1135"/>
              </a:cxn>
              <a:cxn ang="0">
                <a:pos x="csX1136" y="csY1136"/>
              </a:cxn>
              <a:cxn ang="0">
                <a:pos x="csX1137" y="csY1137"/>
              </a:cxn>
              <a:cxn ang="0">
                <a:pos x="csX1138" y="csY1138"/>
              </a:cxn>
              <a:cxn ang="0">
                <a:pos x="csX1139" y="csY1139"/>
              </a:cxn>
              <a:cxn ang="0">
                <a:pos x="csX1140" y="csY1140"/>
              </a:cxn>
              <a:cxn ang="0">
                <a:pos x="csX1141" y="csY1141"/>
              </a:cxn>
              <a:cxn ang="0">
                <a:pos x="csX1142" y="csY1142"/>
              </a:cxn>
              <a:cxn ang="0">
                <a:pos x="csX1143" y="csY1143"/>
              </a:cxn>
              <a:cxn ang="0">
                <a:pos x="csX1144" y="csY1144"/>
              </a:cxn>
              <a:cxn ang="0">
                <a:pos x="csX1145" y="csY1145"/>
              </a:cxn>
              <a:cxn ang="0">
                <a:pos x="csX1146" y="csY1146"/>
              </a:cxn>
              <a:cxn ang="0">
                <a:pos x="csX1147" y="csY1147"/>
              </a:cxn>
              <a:cxn ang="0">
                <a:pos x="csX1148" y="csY1148"/>
              </a:cxn>
              <a:cxn ang="0">
                <a:pos x="csX1149" y="csY1149"/>
              </a:cxn>
              <a:cxn ang="0">
                <a:pos x="csX1150" y="csY1150"/>
              </a:cxn>
              <a:cxn ang="0">
                <a:pos x="csX1151" y="csY1151"/>
              </a:cxn>
              <a:cxn ang="0">
                <a:pos x="csX1152" y="csY1152"/>
              </a:cxn>
              <a:cxn ang="0">
                <a:pos x="csX1153" y="csY1153"/>
              </a:cxn>
              <a:cxn ang="0">
                <a:pos x="csX1154" y="csY1154"/>
              </a:cxn>
              <a:cxn ang="0">
                <a:pos x="csX1155" y="csY1155"/>
              </a:cxn>
              <a:cxn ang="0">
                <a:pos x="csX1156" y="csY1156"/>
              </a:cxn>
              <a:cxn ang="0">
                <a:pos x="csX1157" y="csY1157"/>
              </a:cxn>
              <a:cxn ang="0">
                <a:pos x="csX1158" y="csY1158"/>
              </a:cxn>
              <a:cxn ang="0">
                <a:pos x="csX1159" y="csY1159"/>
              </a:cxn>
              <a:cxn ang="0">
                <a:pos x="csX1160" y="csY1160"/>
              </a:cxn>
              <a:cxn ang="0">
                <a:pos x="csX1161" y="csY1161"/>
              </a:cxn>
              <a:cxn ang="0">
                <a:pos x="csX1162" y="csY1162"/>
              </a:cxn>
              <a:cxn ang="0">
                <a:pos x="csX1163" y="csY1163"/>
              </a:cxn>
              <a:cxn ang="0">
                <a:pos x="csX1164" y="csY1164"/>
              </a:cxn>
              <a:cxn ang="0">
                <a:pos x="csX1165" y="csY1165"/>
              </a:cxn>
              <a:cxn ang="0">
                <a:pos x="csX1166" y="csY1166"/>
              </a:cxn>
              <a:cxn ang="0">
                <a:pos x="csX1167" y="csY1167"/>
              </a:cxn>
              <a:cxn ang="0">
                <a:pos x="csX1168" y="csY1168"/>
              </a:cxn>
              <a:cxn ang="0">
                <a:pos x="csX1169" y="csY1169"/>
              </a:cxn>
              <a:cxn ang="0">
                <a:pos x="csX1170" y="csY1170"/>
              </a:cxn>
              <a:cxn ang="0">
                <a:pos x="csX1171" y="csY1171"/>
              </a:cxn>
              <a:cxn ang="0">
                <a:pos x="csX1172" y="csY1172"/>
              </a:cxn>
              <a:cxn ang="0">
                <a:pos x="csX1173" y="csY1173"/>
              </a:cxn>
              <a:cxn ang="0">
                <a:pos x="csX1174" y="csY1174"/>
              </a:cxn>
              <a:cxn ang="0">
                <a:pos x="csX1175" y="csY1175"/>
              </a:cxn>
              <a:cxn ang="0">
                <a:pos x="csX1176" y="csY1176"/>
              </a:cxn>
              <a:cxn ang="0">
                <a:pos x="csX1177" y="csY1177"/>
              </a:cxn>
              <a:cxn ang="0">
                <a:pos x="csX1178" y="csY1178"/>
              </a:cxn>
              <a:cxn ang="0">
                <a:pos x="csX1179" y="csY1179"/>
              </a:cxn>
              <a:cxn ang="0">
                <a:pos x="csX1180" y="csY1180"/>
              </a:cxn>
              <a:cxn ang="0">
                <a:pos x="csX1181" y="csY1181"/>
              </a:cxn>
              <a:cxn ang="0">
                <a:pos x="csX1182" y="csY1182"/>
              </a:cxn>
              <a:cxn ang="0">
                <a:pos x="csX1183" y="csY1183"/>
              </a:cxn>
              <a:cxn ang="0">
                <a:pos x="csX1184" y="csY1184"/>
              </a:cxn>
              <a:cxn ang="0">
                <a:pos x="csX1185" y="csY1185"/>
              </a:cxn>
              <a:cxn ang="0">
                <a:pos x="csX1186" y="csY1186"/>
              </a:cxn>
              <a:cxn ang="0">
                <a:pos x="csX1187" y="csY1187"/>
              </a:cxn>
              <a:cxn ang="0">
                <a:pos x="csX1188" y="csY1188"/>
              </a:cxn>
              <a:cxn ang="0">
                <a:pos x="csX1189" y="csY1189"/>
              </a:cxn>
              <a:cxn ang="0">
                <a:pos x="csX1190" y="csY1190"/>
              </a:cxn>
              <a:cxn ang="0">
                <a:pos x="csX1191" y="csY1191"/>
              </a:cxn>
              <a:cxn ang="0">
                <a:pos x="csX1192" y="csY1192"/>
              </a:cxn>
              <a:cxn ang="0">
                <a:pos x="csX1193" y="csY1193"/>
              </a:cxn>
              <a:cxn ang="0">
                <a:pos x="csX1194" y="csY1194"/>
              </a:cxn>
              <a:cxn ang="0">
                <a:pos x="csX1195" y="csY1195"/>
              </a:cxn>
              <a:cxn ang="0">
                <a:pos x="csX1196" y="csY1196"/>
              </a:cxn>
              <a:cxn ang="0">
                <a:pos x="csX1197" y="csY1197"/>
              </a:cxn>
              <a:cxn ang="0">
                <a:pos x="csX1198" y="csY1198"/>
              </a:cxn>
              <a:cxn ang="0">
                <a:pos x="csX1199" y="csY1199"/>
              </a:cxn>
              <a:cxn ang="0">
                <a:pos x="csX1200" y="csY1200"/>
              </a:cxn>
              <a:cxn ang="0">
                <a:pos x="csX1201" y="csY1201"/>
              </a:cxn>
              <a:cxn ang="0">
                <a:pos x="csX1202" y="csY1202"/>
              </a:cxn>
              <a:cxn ang="0">
                <a:pos x="csX1203" y="csY1203"/>
              </a:cxn>
              <a:cxn ang="0">
                <a:pos x="csX1204" y="csY1204"/>
              </a:cxn>
              <a:cxn ang="0">
                <a:pos x="csX1205" y="csY1205"/>
              </a:cxn>
              <a:cxn ang="0">
                <a:pos x="csX1206" y="csY1206"/>
              </a:cxn>
              <a:cxn ang="0">
                <a:pos x="csX1207" y="csY1207"/>
              </a:cxn>
              <a:cxn ang="0">
                <a:pos x="csX1208" y="csY1208"/>
              </a:cxn>
              <a:cxn ang="0">
                <a:pos x="csX1209" y="csY1209"/>
              </a:cxn>
              <a:cxn ang="0">
                <a:pos x="csX1210" y="csY1210"/>
              </a:cxn>
              <a:cxn ang="0">
                <a:pos x="csX1211" y="csY1211"/>
              </a:cxn>
              <a:cxn ang="0">
                <a:pos x="csX1212" y="csY1212"/>
              </a:cxn>
              <a:cxn ang="0">
                <a:pos x="csX1213" y="csY1213"/>
              </a:cxn>
              <a:cxn ang="0">
                <a:pos x="csX1214" y="csY1214"/>
              </a:cxn>
              <a:cxn ang="0">
                <a:pos x="csX1215" y="csY1215"/>
              </a:cxn>
              <a:cxn ang="0">
                <a:pos x="csX1216" y="csY1216"/>
              </a:cxn>
              <a:cxn ang="0">
                <a:pos x="csX1217" y="csY1217"/>
              </a:cxn>
              <a:cxn ang="0">
                <a:pos x="csX1218" y="csY1218"/>
              </a:cxn>
              <a:cxn ang="0">
                <a:pos x="csX1219" y="csY1219"/>
              </a:cxn>
              <a:cxn ang="0">
                <a:pos x="csX1220" y="csY1220"/>
              </a:cxn>
              <a:cxn ang="0">
                <a:pos x="csX1221" y="csY1221"/>
              </a:cxn>
              <a:cxn ang="0">
                <a:pos x="csX1222" y="csY1222"/>
              </a:cxn>
              <a:cxn ang="0">
                <a:pos x="csX1223" y="csY1223"/>
              </a:cxn>
              <a:cxn ang="0">
                <a:pos x="csX1224" y="csY1224"/>
              </a:cxn>
              <a:cxn ang="0">
                <a:pos x="csX1225" y="csY1225"/>
              </a:cxn>
              <a:cxn ang="0">
                <a:pos x="csX1226" y="csY1226"/>
              </a:cxn>
              <a:cxn ang="0">
                <a:pos x="csX1227" y="csY1227"/>
              </a:cxn>
              <a:cxn ang="0">
                <a:pos x="csX1228" y="csY1228"/>
              </a:cxn>
              <a:cxn ang="0">
                <a:pos x="csX1229" y="csY1229"/>
              </a:cxn>
              <a:cxn ang="0">
                <a:pos x="csX1230" y="csY1230"/>
              </a:cxn>
              <a:cxn ang="0">
                <a:pos x="csX1231" y="csY1231"/>
              </a:cxn>
              <a:cxn ang="0">
                <a:pos x="csX1232" y="csY1232"/>
              </a:cxn>
              <a:cxn ang="0">
                <a:pos x="csX1233" y="csY1233"/>
              </a:cxn>
              <a:cxn ang="0">
                <a:pos x="csX1234" y="csY1234"/>
              </a:cxn>
              <a:cxn ang="0">
                <a:pos x="csX1235" y="csY1235"/>
              </a:cxn>
              <a:cxn ang="0">
                <a:pos x="csX1236" y="csY1236"/>
              </a:cxn>
              <a:cxn ang="0">
                <a:pos x="csX1237" y="csY1237"/>
              </a:cxn>
              <a:cxn ang="0">
                <a:pos x="csX1238" y="csY1238"/>
              </a:cxn>
              <a:cxn ang="0">
                <a:pos x="csX1239" y="csY1239"/>
              </a:cxn>
              <a:cxn ang="0">
                <a:pos x="csX1240" y="csY1240"/>
              </a:cxn>
              <a:cxn ang="0">
                <a:pos x="csX1241" y="csY1241"/>
              </a:cxn>
              <a:cxn ang="0">
                <a:pos x="csX1242" y="csY1242"/>
              </a:cxn>
              <a:cxn ang="0">
                <a:pos x="csX1243" y="csY1243"/>
              </a:cxn>
              <a:cxn ang="0">
                <a:pos x="csX1244" y="csY1244"/>
              </a:cxn>
              <a:cxn ang="0">
                <a:pos x="csX1245" y="csY1245"/>
              </a:cxn>
              <a:cxn ang="0">
                <a:pos x="csX1246" y="csY1246"/>
              </a:cxn>
              <a:cxn ang="0">
                <a:pos x="csX1247" y="csY1247"/>
              </a:cxn>
              <a:cxn ang="0">
                <a:pos x="csX1248" y="csY1248"/>
              </a:cxn>
              <a:cxn ang="0">
                <a:pos x="csX1249" y="csY1249"/>
              </a:cxn>
              <a:cxn ang="0">
                <a:pos x="csX1250" y="csY1250"/>
              </a:cxn>
              <a:cxn ang="0">
                <a:pos x="csX1251" y="csY1251"/>
              </a:cxn>
              <a:cxn ang="0">
                <a:pos x="csX1252" y="csY1252"/>
              </a:cxn>
              <a:cxn ang="0">
                <a:pos x="csX1253" y="csY1253"/>
              </a:cxn>
              <a:cxn ang="0">
                <a:pos x="csX1254" y="csY1254"/>
              </a:cxn>
              <a:cxn ang="0">
                <a:pos x="csX1255" y="csY1255"/>
              </a:cxn>
              <a:cxn ang="0">
                <a:pos x="csX1256" y="csY1256"/>
              </a:cxn>
              <a:cxn ang="0">
                <a:pos x="csX1257" y="csY1257"/>
              </a:cxn>
              <a:cxn ang="0">
                <a:pos x="csX1258" y="csY1258"/>
              </a:cxn>
              <a:cxn ang="0">
                <a:pos x="csX1259" y="csY1259"/>
              </a:cxn>
              <a:cxn ang="0">
                <a:pos x="csX1260" y="csY1260"/>
              </a:cxn>
              <a:cxn ang="0">
                <a:pos x="csX1261" y="csY1261"/>
              </a:cxn>
              <a:cxn ang="0">
                <a:pos x="csX1262" y="csY1262"/>
              </a:cxn>
              <a:cxn ang="0">
                <a:pos x="csX1263" y="csY1263"/>
              </a:cxn>
              <a:cxn ang="0">
                <a:pos x="csX1264" y="csY1264"/>
              </a:cxn>
              <a:cxn ang="0">
                <a:pos x="csX1265" y="csY1265"/>
              </a:cxn>
              <a:cxn ang="0">
                <a:pos x="csX1266" y="csY1266"/>
              </a:cxn>
              <a:cxn ang="0">
                <a:pos x="csX1267" y="csY1267"/>
              </a:cxn>
              <a:cxn ang="0">
                <a:pos x="csX1268" y="csY1268"/>
              </a:cxn>
              <a:cxn ang="0">
                <a:pos x="csX1269" y="csY1269"/>
              </a:cxn>
              <a:cxn ang="0">
                <a:pos x="csX1270" y="csY1270"/>
              </a:cxn>
              <a:cxn ang="0">
                <a:pos x="csX1271" y="csY1271"/>
              </a:cxn>
              <a:cxn ang="0">
                <a:pos x="csX1272" y="csY1272"/>
              </a:cxn>
              <a:cxn ang="0">
                <a:pos x="csX1273" y="csY1273"/>
              </a:cxn>
              <a:cxn ang="0">
                <a:pos x="csX1274" y="csY1274"/>
              </a:cxn>
              <a:cxn ang="0">
                <a:pos x="csX1275" y="csY1275"/>
              </a:cxn>
              <a:cxn ang="0">
                <a:pos x="csX1276" y="csY1276"/>
              </a:cxn>
              <a:cxn ang="0">
                <a:pos x="csX1277" y="csY1277"/>
              </a:cxn>
              <a:cxn ang="0">
                <a:pos x="csX1278" y="csY1278"/>
              </a:cxn>
              <a:cxn ang="0">
                <a:pos x="csX1279" y="csY1279"/>
              </a:cxn>
              <a:cxn ang="0">
                <a:pos x="csX1280" y="csY1280"/>
              </a:cxn>
              <a:cxn ang="0">
                <a:pos x="csX1281" y="csY1281"/>
              </a:cxn>
              <a:cxn ang="0">
                <a:pos x="csX1282" y="csY1282"/>
              </a:cxn>
              <a:cxn ang="0">
                <a:pos x="csX1283" y="csY1283"/>
              </a:cxn>
              <a:cxn ang="0">
                <a:pos x="csX1284" y="csY1284"/>
              </a:cxn>
              <a:cxn ang="0">
                <a:pos x="csX1285" y="csY1285"/>
              </a:cxn>
              <a:cxn ang="0">
                <a:pos x="csX1286" y="csY1286"/>
              </a:cxn>
              <a:cxn ang="0">
                <a:pos x="csX1287" y="csY1287"/>
              </a:cxn>
              <a:cxn ang="0">
                <a:pos x="csX1288" y="csY1288"/>
              </a:cxn>
              <a:cxn ang="0">
                <a:pos x="csX1289" y="csY1289"/>
              </a:cxn>
              <a:cxn ang="0">
                <a:pos x="csX1290" y="csY1290"/>
              </a:cxn>
              <a:cxn ang="0">
                <a:pos x="csX1291" y="csY1291"/>
              </a:cxn>
              <a:cxn ang="0">
                <a:pos x="csX1292" y="csY1292"/>
              </a:cxn>
              <a:cxn ang="0">
                <a:pos x="csX1293" y="csY1293"/>
              </a:cxn>
              <a:cxn ang="0">
                <a:pos x="csX1294" y="csY1294"/>
              </a:cxn>
              <a:cxn ang="0">
                <a:pos x="csX1295" y="csY1295"/>
              </a:cxn>
              <a:cxn ang="0">
                <a:pos x="csX1296" y="csY1296"/>
              </a:cxn>
              <a:cxn ang="0">
                <a:pos x="csX1297" y="csY1297"/>
              </a:cxn>
              <a:cxn ang="0">
                <a:pos x="csX1298" y="csY1298"/>
              </a:cxn>
              <a:cxn ang="0">
                <a:pos x="csX1299" y="csY1299"/>
              </a:cxn>
              <a:cxn ang="0">
                <a:pos x="csX1300" y="csY1300"/>
              </a:cxn>
              <a:cxn ang="0">
                <a:pos x="csX1301" y="csY1301"/>
              </a:cxn>
              <a:cxn ang="0">
                <a:pos x="csX1302" y="csY1302"/>
              </a:cxn>
              <a:cxn ang="0">
                <a:pos x="csX1303" y="csY1303"/>
              </a:cxn>
              <a:cxn ang="0">
                <a:pos x="csX1304" y="csY1304"/>
              </a:cxn>
              <a:cxn ang="0">
                <a:pos x="csX1305" y="csY1305"/>
              </a:cxn>
              <a:cxn ang="0">
                <a:pos x="csX1306" y="csY1306"/>
              </a:cxn>
              <a:cxn ang="0">
                <a:pos x="csX1307" y="csY1307"/>
              </a:cxn>
              <a:cxn ang="0">
                <a:pos x="csX1308" y="csY1308"/>
              </a:cxn>
              <a:cxn ang="0">
                <a:pos x="csX1309" y="csY1309"/>
              </a:cxn>
              <a:cxn ang="0">
                <a:pos x="csX1310" y="csY1310"/>
              </a:cxn>
              <a:cxn ang="0">
                <a:pos x="csX1311" y="csY1311"/>
              </a:cxn>
              <a:cxn ang="0">
                <a:pos x="csX1312" y="csY1312"/>
              </a:cxn>
              <a:cxn ang="0">
                <a:pos x="csX1313" y="csY1313"/>
              </a:cxn>
              <a:cxn ang="0">
                <a:pos x="csX1314" y="csY1314"/>
              </a:cxn>
              <a:cxn ang="0">
                <a:pos x="csX1315" y="csY1315"/>
              </a:cxn>
              <a:cxn ang="0">
                <a:pos x="csX1316" y="csY1316"/>
              </a:cxn>
              <a:cxn ang="0">
                <a:pos x="csX1317" y="csY1317"/>
              </a:cxn>
              <a:cxn ang="0">
                <a:pos x="csX1318" y="csY1318"/>
              </a:cxn>
              <a:cxn ang="0">
                <a:pos x="csX1319" y="csY1319"/>
              </a:cxn>
              <a:cxn ang="0">
                <a:pos x="csX1320" y="csY1320"/>
              </a:cxn>
              <a:cxn ang="0">
                <a:pos x="csX1321" y="csY1321"/>
              </a:cxn>
              <a:cxn ang="0">
                <a:pos x="csX1322" y="csY1322"/>
              </a:cxn>
              <a:cxn ang="0">
                <a:pos x="csX1323" y="csY1323"/>
              </a:cxn>
              <a:cxn ang="0">
                <a:pos x="csX1324" y="csY1324"/>
              </a:cxn>
              <a:cxn ang="0">
                <a:pos x="csX1325" y="csY1325"/>
              </a:cxn>
              <a:cxn ang="0">
                <a:pos x="csX1326" y="csY1326"/>
              </a:cxn>
              <a:cxn ang="0">
                <a:pos x="csX1327" y="csY1327"/>
              </a:cxn>
              <a:cxn ang="0">
                <a:pos x="csX1328" y="csY1328"/>
              </a:cxn>
              <a:cxn ang="0">
                <a:pos x="csX1329" y="csY1329"/>
              </a:cxn>
              <a:cxn ang="0">
                <a:pos x="csX1330" y="csY1330"/>
              </a:cxn>
              <a:cxn ang="0">
                <a:pos x="csX1331" y="csY1331"/>
              </a:cxn>
              <a:cxn ang="0">
                <a:pos x="csX1332" y="csY1332"/>
              </a:cxn>
              <a:cxn ang="0">
                <a:pos x="csX1333" y="csY1333"/>
              </a:cxn>
              <a:cxn ang="0">
                <a:pos x="csX1334" y="csY1334"/>
              </a:cxn>
              <a:cxn ang="0">
                <a:pos x="csX1335" y="csY1335"/>
              </a:cxn>
              <a:cxn ang="0">
                <a:pos x="csX1336" y="csY1336"/>
              </a:cxn>
              <a:cxn ang="0">
                <a:pos x="csX1337" y="csY1337"/>
              </a:cxn>
              <a:cxn ang="0">
                <a:pos x="csX1338" y="csY1338"/>
              </a:cxn>
              <a:cxn ang="0">
                <a:pos x="csX1339" y="csY1339"/>
              </a:cxn>
              <a:cxn ang="0">
                <a:pos x="csX1340" y="csY1340"/>
              </a:cxn>
              <a:cxn ang="0">
                <a:pos x="csX1341" y="csY1341"/>
              </a:cxn>
              <a:cxn ang="0">
                <a:pos x="csX1342" y="csY1342"/>
              </a:cxn>
              <a:cxn ang="0">
                <a:pos x="csX1343" y="csY1343"/>
              </a:cxn>
              <a:cxn ang="0">
                <a:pos x="csX1344" y="csY1344"/>
              </a:cxn>
              <a:cxn ang="0">
                <a:pos x="csX1345" y="csY1345"/>
              </a:cxn>
              <a:cxn ang="0">
                <a:pos x="csX1346" y="csY1346"/>
              </a:cxn>
              <a:cxn ang="0">
                <a:pos x="csX1347" y="csY1347"/>
              </a:cxn>
              <a:cxn ang="0">
                <a:pos x="csX1348" y="csY1348"/>
              </a:cxn>
              <a:cxn ang="0">
                <a:pos x="csX1349" y="csY1349"/>
              </a:cxn>
              <a:cxn ang="0">
                <a:pos x="csX1350" y="csY1350"/>
              </a:cxn>
              <a:cxn ang="0">
                <a:pos x="csX1351" y="csY1351"/>
              </a:cxn>
              <a:cxn ang="0">
                <a:pos x="csX1352" y="csY1352"/>
              </a:cxn>
              <a:cxn ang="0">
                <a:pos x="csX1353" y="csY1353"/>
              </a:cxn>
              <a:cxn ang="0">
                <a:pos x="csX1354" y="csY1354"/>
              </a:cxn>
              <a:cxn ang="0">
                <a:pos x="csX1355" y="csY1355"/>
              </a:cxn>
              <a:cxn ang="0">
                <a:pos x="csX1356" y="csY1356"/>
              </a:cxn>
              <a:cxn ang="0">
                <a:pos x="csX1357" y="csY1357"/>
              </a:cxn>
              <a:cxn ang="0">
                <a:pos x="csX1358" y="csY1358"/>
              </a:cxn>
              <a:cxn ang="0">
                <a:pos x="csX1359" y="csY1359"/>
              </a:cxn>
              <a:cxn ang="0">
                <a:pos x="csX1360" y="csY1360"/>
              </a:cxn>
              <a:cxn ang="0">
                <a:pos x="csX1361" y="csY1361"/>
              </a:cxn>
              <a:cxn ang="0">
                <a:pos x="csX1362" y="csY1362"/>
              </a:cxn>
              <a:cxn ang="0">
                <a:pos x="csX1363" y="csY1363"/>
              </a:cxn>
              <a:cxn ang="0">
                <a:pos x="csX1364" y="csY1364"/>
              </a:cxn>
              <a:cxn ang="0">
                <a:pos x="csX1365" y="csY1365"/>
              </a:cxn>
              <a:cxn ang="0">
                <a:pos x="csX1366" y="csY1366"/>
              </a:cxn>
              <a:cxn ang="0">
                <a:pos x="csX1367" y="csY1367"/>
              </a:cxn>
              <a:cxn ang="0">
                <a:pos x="csX1368" y="csY1368"/>
              </a:cxn>
              <a:cxn ang="0">
                <a:pos x="csX1369" y="csY1369"/>
              </a:cxn>
              <a:cxn ang="0">
                <a:pos x="csX1370" y="csY1370"/>
              </a:cxn>
              <a:cxn ang="0">
                <a:pos x="csX1371" y="csY1371"/>
              </a:cxn>
              <a:cxn ang="0">
                <a:pos x="csX1372" y="csY1372"/>
              </a:cxn>
              <a:cxn ang="0">
                <a:pos x="csX1373" y="csY1373"/>
              </a:cxn>
              <a:cxn ang="0">
                <a:pos x="csX1374" y="csY1374"/>
              </a:cxn>
              <a:cxn ang="0">
                <a:pos x="csX1375" y="csY1375"/>
              </a:cxn>
              <a:cxn ang="0">
                <a:pos x="csX1376" y="csY1376"/>
              </a:cxn>
              <a:cxn ang="0">
                <a:pos x="csX1377" y="csY1377"/>
              </a:cxn>
              <a:cxn ang="0">
                <a:pos x="csX1378" y="csY1378"/>
              </a:cxn>
              <a:cxn ang="0">
                <a:pos x="csX1379" y="csY1379"/>
              </a:cxn>
              <a:cxn ang="0">
                <a:pos x="csX1380" y="csY1380"/>
              </a:cxn>
              <a:cxn ang="0">
                <a:pos x="csX1381" y="csY1381"/>
              </a:cxn>
              <a:cxn ang="0">
                <a:pos x="csX1382" y="csY1382"/>
              </a:cxn>
              <a:cxn ang="0">
                <a:pos x="csX1383" y="csY1383"/>
              </a:cxn>
              <a:cxn ang="0">
                <a:pos x="csX1384" y="csY1384"/>
              </a:cxn>
              <a:cxn ang="0">
                <a:pos x="csX1385" y="csY1385"/>
              </a:cxn>
              <a:cxn ang="0">
                <a:pos x="csX1386" y="csY1386"/>
              </a:cxn>
              <a:cxn ang="0">
                <a:pos x="csX1387" y="csY1387"/>
              </a:cxn>
              <a:cxn ang="0">
                <a:pos x="csX1388" y="csY1388"/>
              </a:cxn>
              <a:cxn ang="0">
                <a:pos x="csX1389" y="csY1389"/>
              </a:cxn>
              <a:cxn ang="0">
                <a:pos x="csX1390" y="csY1390"/>
              </a:cxn>
              <a:cxn ang="0">
                <a:pos x="csX1391" y="csY1391"/>
              </a:cxn>
              <a:cxn ang="0">
                <a:pos x="csX1392" y="csY1392"/>
              </a:cxn>
              <a:cxn ang="0">
                <a:pos x="csX1393" y="csY1393"/>
              </a:cxn>
              <a:cxn ang="0">
                <a:pos x="csX1394" y="csY1394"/>
              </a:cxn>
              <a:cxn ang="0">
                <a:pos x="csX1395" y="csY1395"/>
              </a:cxn>
              <a:cxn ang="0">
                <a:pos x="csX1396" y="csY1396"/>
              </a:cxn>
              <a:cxn ang="0">
                <a:pos x="csX1397" y="csY1397"/>
              </a:cxn>
              <a:cxn ang="0">
                <a:pos x="csX1398" y="csY1398"/>
              </a:cxn>
              <a:cxn ang="0">
                <a:pos x="csX1399" y="csY1399"/>
              </a:cxn>
              <a:cxn ang="0">
                <a:pos x="csX1400" y="csY1400"/>
              </a:cxn>
              <a:cxn ang="0">
                <a:pos x="csX1401" y="csY1401"/>
              </a:cxn>
              <a:cxn ang="0">
                <a:pos x="csX1402" y="csY1402"/>
              </a:cxn>
              <a:cxn ang="0">
                <a:pos x="csX1403" y="csY1403"/>
              </a:cxn>
              <a:cxn ang="0">
                <a:pos x="csX1404" y="csY1404"/>
              </a:cxn>
              <a:cxn ang="0">
                <a:pos x="csX1405" y="csY1405"/>
              </a:cxn>
              <a:cxn ang="0">
                <a:pos x="csX1406" y="csY1406"/>
              </a:cxn>
              <a:cxn ang="0">
                <a:pos x="csX1407" y="csY1407"/>
              </a:cxn>
              <a:cxn ang="0">
                <a:pos x="csX1408" y="csY1408"/>
              </a:cxn>
              <a:cxn ang="0">
                <a:pos x="csX1409" y="csY1409"/>
              </a:cxn>
              <a:cxn ang="0">
                <a:pos x="csX1410" y="csY1410"/>
              </a:cxn>
              <a:cxn ang="0">
                <a:pos x="csX1411" y="csY1411"/>
              </a:cxn>
              <a:cxn ang="0">
                <a:pos x="csX1412" y="csY1412"/>
              </a:cxn>
              <a:cxn ang="0">
                <a:pos x="csX1413" y="csY1413"/>
              </a:cxn>
              <a:cxn ang="0">
                <a:pos x="csX1414" y="csY1414"/>
              </a:cxn>
              <a:cxn ang="0">
                <a:pos x="csX1415" y="csY1415"/>
              </a:cxn>
              <a:cxn ang="0">
                <a:pos x="csX1416" y="csY1416"/>
              </a:cxn>
              <a:cxn ang="0">
                <a:pos x="csX1417" y="csY1417"/>
              </a:cxn>
              <a:cxn ang="0">
                <a:pos x="csX1418" y="csY1418"/>
              </a:cxn>
              <a:cxn ang="0">
                <a:pos x="csX1419" y="csY1419"/>
              </a:cxn>
              <a:cxn ang="0">
                <a:pos x="csX1420" y="csY1420"/>
              </a:cxn>
              <a:cxn ang="0">
                <a:pos x="csX1421" y="csY1421"/>
              </a:cxn>
              <a:cxn ang="0">
                <a:pos x="csX1422" y="csY1422"/>
              </a:cxn>
              <a:cxn ang="0">
                <a:pos x="csX1423" y="csY1423"/>
              </a:cxn>
              <a:cxn ang="0">
                <a:pos x="csX1424" y="csY1424"/>
              </a:cxn>
              <a:cxn ang="0">
                <a:pos x="csX1425" y="csY1425"/>
              </a:cxn>
              <a:cxn ang="0">
                <a:pos x="csX1426" y="csY1426"/>
              </a:cxn>
              <a:cxn ang="0">
                <a:pos x="csX1427" y="csY1427"/>
              </a:cxn>
              <a:cxn ang="0">
                <a:pos x="csX1428" y="csY1428"/>
              </a:cxn>
              <a:cxn ang="0">
                <a:pos x="csX1429" y="csY1429"/>
              </a:cxn>
              <a:cxn ang="0">
                <a:pos x="csX1430" y="csY1430"/>
              </a:cxn>
              <a:cxn ang="0">
                <a:pos x="csX1431" y="csY1431"/>
              </a:cxn>
              <a:cxn ang="0">
                <a:pos x="csX1432" y="csY1432"/>
              </a:cxn>
              <a:cxn ang="0">
                <a:pos x="csX1433" y="csY1433"/>
              </a:cxn>
              <a:cxn ang="0">
                <a:pos x="csX1434" y="csY1434"/>
              </a:cxn>
              <a:cxn ang="0">
                <a:pos x="csX1435" y="csY1435"/>
              </a:cxn>
              <a:cxn ang="0">
                <a:pos x="csX1436" y="csY1436"/>
              </a:cxn>
              <a:cxn ang="0">
                <a:pos x="csX1437" y="csY1437"/>
              </a:cxn>
              <a:cxn ang="0">
                <a:pos x="csX1438" y="csY1438"/>
              </a:cxn>
              <a:cxn ang="0">
                <a:pos x="csX1439" y="csY1439"/>
              </a:cxn>
              <a:cxn ang="0">
                <a:pos x="csX1440" y="csY1440"/>
              </a:cxn>
              <a:cxn ang="0">
                <a:pos x="csX1441" y="csY1441"/>
              </a:cxn>
              <a:cxn ang="0">
                <a:pos x="csX1442" y="csY1442"/>
              </a:cxn>
              <a:cxn ang="0">
                <a:pos x="csX1443" y="csY1443"/>
              </a:cxn>
              <a:cxn ang="0">
                <a:pos x="csX1444" y="csY1444"/>
              </a:cxn>
              <a:cxn ang="0">
                <a:pos x="csX1445" y="csY1445"/>
              </a:cxn>
              <a:cxn ang="0">
                <a:pos x="csX1446" y="csY1446"/>
              </a:cxn>
              <a:cxn ang="0">
                <a:pos x="csX1447" y="csY1447"/>
              </a:cxn>
              <a:cxn ang="0">
                <a:pos x="csX1448" y="csY1448"/>
              </a:cxn>
              <a:cxn ang="0">
                <a:pos x="csX1449" y="csY1449"/>
              </a:cxn>
              <a:cxn ang="0">
                <a:pos x="csX1450" y="csY1450"/>
              </a:cxn>
              <a:cxn ang="0">
                <a:pos x="csX1451" y="csY1451"/>
              </a:cxn>
              <a:cxn ang="0">
                <a:pos x="csX1452" y="csY1452"/>
              </a:cxn>
              <a:cxn ang="0">
                <a:pos x="csX1453" y="csY1453"/>
              </a:cxn>
              <a:cxn ang="0">
                <a:pos x="csX1454" y="csY1454"/>
              </a:cxn>
              <a:cxn ang="0">
                <a:pos x="csX1455" y="csY1455"/>
              </a:cxn>
              <a:cxn ang="0">
                <a:pos x="csX1456" y="csY1456"/>
              </a:cxn>
              <a:cxn ang="0">
                <a:pos x="csX1457" y="csY1457"/>
              </a:cxn>
              <a:cxn ang="0">
                <a:pos x="csX1458" y="csY1458"/>
              </a:cxn>
              <a:cxn ang="0">
                <a:pos x="csX1459" y="csY1459"/>
              </a:cxn>
              <a:cxn ang="0">
                <a:pos x="csX1460" y="csY1460"/>
              </a:cxn>
              <a:cxn ang="0">
                <a:pos x="csX1461" y="csY1461"/>
              </a:cxn>
              <a:cxn ang="0">
                <a:pos x="csX1462" y="csY1462"/>
              </a:cxn>
              <a:cxn ang="0">
                <a:pos x="csX1463" y="csY1463"/>
              </a:cxn>
              <a:cxn ang="0">
                <a:pos x="csX1464" y="csY1464"/>
              </a:cxn>
              <a:cxn ang="0">
                <a:pos x="csX1465" y="csY1465"/>
              </a:cxn>
              <a:cxn ang="0">
                <a:pos x="csX1466" y="csY1466"/>
              </a:cxn>
              <a:cxn ang="0">
                <a:pos x="csX1467" y="csY1467"/>
              </a:cxn>
              <a:cxn ang="0">
                <a:pos x="csX1468" y="csY1468"/>
              </a:cxn>
              <a:cxn ang="0">
                <a:pos x="csX1469" y="csY1469"/>
              </a:cxn>
              <a:cxn ang="0">
                <a:pos x="csX1470" y="csY1470"/>
              </a:cxn>
              <a:cxn ang="0">
                <a:pos x="csX1471" y="csY1471"/>
              </a:cxn>
              <a:cxn ang="0">
                <a:pos x="csX1472" y="csY1472"/>
              </a:cxn>
              <a:cxn ang="0">
                <a:pos x="csX1473" y="csY1473"/>
              </a:cxn>
              <a:cxn ang="0">
                <a:pos x="csX1474" y="csY1474"/>
              </a:cxn>
              <a:cxn ang="0">
                <a:pos x="csX1475" y="csY1475"/>
              </a:cxn>
              <a:cxn ang="0">
                <a:pos x="csX1476" y="csY1476"/>
              </a:cxn>
              <a:cxn ang="0">
                <a:pos x="csX1477" y="csY1477"/>
              </a:cxn>
              <a:cxn ang="0">
                <a:pos x="csX1478" y="csY1478"/>
              </a:cxn>
              <a:cxn ang="0">
                <a:pos x="csX1479" y="csY1479"/>
              </a:cxn>
              <a:cxn ang="0">
                <a:pos x="csX1480" y="csY1480"/>
              </a:cxn>
              <a:cxn ang="0">
                <a:pos x="csX1481" y="csY1481"/>
              </a:cxn>
              <a:cxn ang="0">
                <a:pos x="csX1482" y="csY1482"/>
              </a:cxn>
              <a:cxn ang="0">
                <a:pos x="csX1483" y="csY1483"/>
              </a:cxn>
              <a:cxn ang="0">
                <a:pos x="csX1484" y="csY1484"/>
              </a:cxn>
              <a:cxn ang="0">
                <a:pos x="csX1485" y="csY1485"/>
              </a:cxn>
              <a:cxn ang="0">
                <a:pos x="csX1486" y="csY1486"/>
              </a:cxn>
              <a:cxn ang="0">
                <a:pos x="csX1487" y="csY1487"/>
              </a:cxn>
              <a:cxn ang="0">
                <a:pos x="csX1488" y="csY1488"/>
              </a:cxn>
              <a:cxn ang="0">
                <a:pos x="csX1489" y="csY1489"/>
              </a:cxn>
              <a:cxn ang="0">
                <a:pos x="csX1490" y="csY1490"/>
              </a:cxn>
              <a:cxn ang="0">
                <a:pos x="csX1491" y="csY1491"/>
              </a:cxn>
              <a:cxn ang="0">
                <a:pos x="csX1492" y="csY1492"/>
              </a:cxn>
              <a:cxn ang="0">
                <a:pos x="csX1493" y="csY1493"/>
              </a:cxn>
              <a:cxn ang="0">
                <a:pos x="csX1494" y="csY1494"/>
              </a:cxn>
              <a:cxn ang="0">
                <a:pos x="csX1495" y="csY1495"/>
              </a:cxn>
              <a:cxn ang="0">
                <a:pos x="csX1496" y="csY1496"/>
              </a:cxn>
              <a:cxn ang="0">
                <a:pos x="csX1497" y="csY1497"/>
              </a:cxn>
              <a:cxn ang="0">
                <a:pos x="csX1498" y="csY1498"/>
              </a:cxn>
              <a:cxn ang="0">
                <a:pos x="csX1499" y="csY1499"/>
              </a:cxn>
              <a:cxn ang="0">
                <a:pos x="csX1500" y="csY1500"/>
              </a:cxn>
              <a:cxn ang="0">
                <a:pos x="csX1501" y="csY1501"/>
              </a:cxn>
              <a:cxn ang="0">
                <a:pos x="csX1502" y="csY1502"/>
              </a:cxn>
              <a:cxn ang="0">
                <a:pos x="csX1503" y="csY1503"/>
              </a:cxn>
              <a:cxn ang="0">
                <a:pos x="csX1504" y="csY1504"/>
              </a:cxn>
              <a:cxn ang="0">
                <a:pos x="csX1505" y="csY1505"/>
              </a:cxn>
              <a:cxn ang="0">
                <a:pos x="csX1506" y="csY1506"/>
              </a:cxn>
              <a:cxn ang="0">
                <a:pos x="csX1507" y="csY1507"/>
              </a:cxn>
              <a:cxn ang="0">
                <a:pos x="csX1508" y="csY1508"/>
              </a:cxn>
              <a:cxn ang="0">
                <a:pos x="csX1509" y="csY1509"/>
              </a:cxn>
              <a:cxn ang="0">
                <a:pos x="csX1510" y="csY1510"/>
              </a:cxn>
              <a:cxn ang="0">
                <a:pos x="csX1511" y="csY1511"/>
              </a:cxn>
              <a:cxn ang="0">
                <a:pos x="csX1512" y="csY1512"/>
              </a:cxn>
              <a:cxn ang="0">
                <a:pos x="csX1513" y="csY1513"/>
              </a:cxn>
              <a:cxn ang="0">
                <a:pos x="csX1514" y="csY1514"/>
              </a:cxn>
              <a:cxn ang="0">
                <a:pos x="csX1515" y="csY1515"/>
              </a:cxn>
              <a:cxn ang="0">
                <a:pos x="csX1516" y="csY1516"/>
              </a:cxn>
              <a:cxn ang="0">
                <a:pos x="csX1517" y="csY1517"/>
              </a:cxn>
              <a:cxn ang="0">
                <a:pos x="csX1518" y="csY1518"/>
              </a:cxn>
              <a:cxn ang="0">
                <a:pos x="csX1519" y="csY1519"/>
              </a:cxn>
              <a:cxn ang="0">
                <a:pos x="csX1520" y="csY1520"/>
              </a:cxn>
              <a:cxn ang="0">
                <a:pos x="csX1521" y="csY1521"/>
              </a:cxn>
              <a:cxn ang="0">
                <a:pos x="csX1522" y="csY1522"/>
              </a:cxn>
              <a:cxn ang="0">
                <a:pos x="csX1523" y="csY1523"/>
              </a:cxn>
              <a:cxn ang="0">
                <a:pos x="csX1524" y="csY1524"/>
              </a:cxn>
              <a:cxn ang="0">
                <a:pos x="csX1525" y="csY1525"/>
              </a:cxn>
              <a:cxn ang="0">
                <a:pos x="csX1526" y="csY1526"/>
              </a:cxn>
              <a:cxn ang="0">
                <a:pos x="csX1527" y="csY1527"/>
              </a:cxn>
              <a:cxn ang="0">
                <a:pos x="csX1528" y="csY1528"/>
              </a:cxn>
              <a:cxn ang="0">
                <a:pos x="csX1529" y="csY1529"/>
              </a:cxn>
              <a:cxn ang="0">
                <a:pos x="csX1530" y="csY1530"/>
              </a:cxn>
              <a:cxn ang="0">
                <a:pos x="csX1531" y="csY1531"/>
              </a:cxn>
              <a:cxn ang="0">
                <a:pos x="csX1532" y="csY1532"/>
              </a:cxn>
              <a:cxn ang="0">
                <a:pos x="csX1533" y="csY1533"/>
              </a:cxn>
              <a:cxn ang="0">
                <a:pos x="csX1534" y="csY1534"/>
              </a:cxn>
              <a:cxn ang="0">
                <a:pos x="csX1535" y="csY1535"/>
              </a:cxn>
              <a:cxn ang="0">
                <a:pos x="csX1536" y="csY1536"/>
              </a:cxn>
              <a:cxn ang="0">
                <a:pos x="csX1537" y="csY1537"/>
              </a:cxn>
              <a:cxn ang="0">
                <a:pos x="csX1538" y="csY1538"/>
              </a:cxn>
              <a:cxn ang="0">
                <a:pos x="csX1539" y="csY1539"/>
              </a:cxn>
              <a:cxn ang="0">
                <a:pos x="csX1540" y="csY1540"/>
              </a:cxn>
              <a:cxn ang="0">
                <a:pos x="csX1541" y="csY1541"/>
              </a:cxn>
              <a:cxn ang="0">
                <a:pos x="csX1542" y="csY1542"/>
              </a:cxn>
              <a:cxn ang="0">
                <a:pos x="csX1543" y="csY1543"/>
              </a:cxn>
              <a:cxn ang="0">
                <a:pos x="csX1544" y="csY1544"/>
              </a:cxn>
              <a:cxn ang="0">
                <a:pos x="csX1545" y="csY1545"/>
              </a:cxn>
              <a:cxn ang="0">
                <a:pos x="csX1546" y="csY1546"/>
              </a:cxn>
              <a:cxn ang="0">
                <a:pos x="csX1547" y="csY1547"/>
              </a:cxn>
              <a:cxn ang="0">
                <a:pos x="csX1548" y="csY1548"/>
              </a:cxn>
              <a:cxn ang="0">
                <a:pos x="csX1549" y="csY1549"/>
              </a:cxn>
              <a:cxn ang="0">
                <a:pos x="csX1550" y="csY1550"/>
              </a:cxn>
              <a:cxn ang="0">
                <a:pos x="csX1551" y="csY1551"/>
              </a:cxn>
              <a:cxn ang="0">
                <a:pos x="csX1552" y="csY1552"/>
              </a:cxn>
              <a:cxn ang="0">
                <a:pos x="csX1553" y="csY1553"/>
              </a:cxn>
              <a:cxn ang="0">
                <a:pos x="csX1554" y="csY1554"/>
              </a:cxn>
              <a:cxn ang="0">
                <a:pos x="csX1555" y="csY1555"/>
              </a:cxn>
              <a:cxn ang="0">
                <a:pos x="csX1556" y="csY1556"/>
              </a:cxn>
              <a:cxn ang="0">
                <a:pos x="csX1557" y="csY1557"/>
              </a:cxn>
              <a:cxn ang="0">
                <a:pos x="csX1558" y="csY1558"/>
              </a:cxn>
              <a:cxn ang="0">
                <a:pos x="csX1559" y="csY1559"/>
              </a:cxn>
              <a:cxn ang="0">
                <a:pos x="csX1560" y="csY1560"/>
              </a:cxn>
              <a:cxn ang="0">
                <a:pos x="csX1561" y="csY1561"/>
              </a:cxn>
              <a:cxn ang="0">
                <a:pos x="csX1562" y="csY1562"/>
              </a:cxn>
              <a:cxn ang="0">
                <a:pos x="csX1563" y="csY1563"/>
              </a:cxn>
              <a:cxn ang="0">
                <a:pos x="csX1564" y="csY1564"/>
              </a:cxn>
              <a:cxn ang="0">
                <a:pos x="csX1565" y="csY1565"/>
              </a:cxn>
              <a:cxn ang="0">
                <a:pos x="csX1566" y="csY1566"/>
              </a:cxn>
              <a:cxn ang="0">
                <a:pos x="csX1567" y="csY1567"/>
              </a:cxn>
              <a:cxn ang="0">
                <a:pos x="csX1568" y="csY1568"/>
              </a:cxn>
              <a:cxn ang="0">
                <a:pos x="csX1569" y="csY1569"/>
              </a:cxn>
              <a:cxn ang="0">
                <a:pos x="csX1570" y="csY1570"/>
              </a:cxn>
              <a:cxn ang="0">
                <a:pos x="csX1571" y="csY1571"/>
              </a:cxn>
              <a:cxn ang="0">
                <a:pos x="csX1572" y="csY1572"/>
              </a:cxn>
              <a:cxn ang="0">
                <a:pos x="csX1573" y="csY1573"/>
              </a:cxn>
              <a:cxn ang="0">
                <a:pos x="csX1574" y="csY1574"/>
              </a:cxn>
              <a:cxn ang="0">
                <a:pos x="csX1575" y="csY1575"/>
              </a:cxn>
              <a:cxn ang="0">
                <a:pos x="csX1576" y="csY1576"/>
              </a:cxn>
              <a:cxn ang="0">
                <a:pos x="csX1577" y="csY1577"/>
              </a:cxn>
              <a:cxn ang="0">
                <a:pos x="csX1578" y="csY1578"/>
              </a:cxn>
              <a:cxn ang="0">
                <a:pos x="csX1579" y="csY1579"/>
              </a:cxn>
              <a:cxn ang="0">
                <a:pos x="csX1580" y="csY1580"/>
              </a:cxn>
              <a:cxn ang="0">
                <a:pos x="csX1581" y="csY1581"/>
              </a:cxn>
              <a:cxn ang="0">
                <a:pos x="csX1582" y="csY1582"/>
              </a:cxn>
              <a:cxn ang="0">
                <a:pos x="csX1583" y="csY1583"/>
              </a:cxn>
              <a:cxn ang="0">
                <a:pos x="csX1584" y="csY1584"/>
              </a:cxn>
              <a:cxn ang="0">
                <a:pos x="csX1585" y="csY1585"/>
              </a:cxn>
              <a:cxn ang="0">
                <a:pos x="csX1586" y="csY1586"/>
              </a:cxn>
              <a:cxn ang="0">
                <a:pos x="csX1587" y="csY1587"/>
              </a:cxn>
              <a:cxn ang="0">
                <a:pos x="csX1588" y="csY1588"/>
              </a:cxn>
              <a:cxn ang="0">
                <a:pos x="csX1589" y="csY1589"/>
              </a:cxn>
              <a:cxn ang="0">
                <a:pos x="csX1590" y="csY1590"/>
              </a:cxn>
              <a:cxn ang="0">
                <a:pos x="csX1591" y="csY1591"/>
              </a:cxn>
              <a:cxn ang="0">
                <a:pos x="csX1592" y="csY1592"/>
              </a:cxn>
              <a:cxn ang="0">
                <a:pos x="csX1593" y="csY1593"/>
              </a:cxn>
              <a:cxn ang="0">
                <a:pos x="csX1594" y="csY1594"/>
              </a:cxn>
              <a:cxn ang="0">
                <a:pos x="csX1595" y="csY1595"/>
              </a:cxn>
              <a:cxn ang="0">
                <a:pos x="csX1596" y="csY1596"/>
              </a:cxn>
              <a:cxn ang="0">
                <a:pos x="csX1597" y="csY1597"/>
              </a:cxn>
              <a:cxn ang="0">
                <a:pos x="csX1598" y="csY1598"/>
              </a:cxn>
              <a:cxn ang="0">
                <a:pos x="csX1599" y="csY1599"/>
              </a:cxn>
              <a:cxn ang="0">
                <a:pos x="csX1600" y="csY1600"/>
              </a:cxn>
              <a:cxn ang="0">
                <a:pos x="csX1601" y="csY1601"/>
              </a:cxn>
              <a:cxn ang="0">
                <a:pos x="csX1602" y="csY1602"/>
              </a:cxn>
              <a:cxn ang="0">
                <a:pos x="csX1603" y="csY1603"/>
              </a:cxn>
              <a:cxn ang="0">
                <a:pos x="csX1604" y="csY1604"/>
              </a:cxn>
              <a:cxn ang="0">
                <a:pos x="csX1605" y="csY1605"/>
              </a:cxn>
              <a:cxn ang="0">
                <a:pos x="csX1606" y="csY1606"/>
              </a:cxn>
              <a:cxn ang="0">
                <a:pos x="csX1607" y="csY1607"/>
              </a:cxn>
              <a:cxn ang="0">
                <a:pos x="csX1608" y="csY1608"/>
              </a:cxn>
              <a:cxn ang="0">
                <a:pos x="csX1609" y="csY1609"/>
              </a:cxn>
              <a:cxn ang="0">
                <a:pos x="csX1610" y="csY1610"/>
              </a:cxn>
              <a:cxn ang="0">
                <a:pos x="csX1611" y="csY1611"/>
              </a:cxn>
              <a:cxn ang="0">
                <a:pos x="csX1612" y="csY1612"/>
              </a:cxn>
              <a:cxn ang="0">
                <a:pos x="csX1613" y="csY1613"/>
              </a:cxn>
              <a:cxn ang="0">
                <a:pos x="csX1614" y="csY1614"/>
              </a:cxn>
              <a:cxn ang="0">
                <a:pos x="csX1615" y="csY1615"/>
              </a:cxn>
              <a:cxn ang="0">
                <a:pos x="csX1616" y="csY1616"/>
              </a:cxn>
              <a:cxn ang="0">
                <a:pos x="csX1617" y="csY1617"/>
              </a:cxn>
              <a:cxn ang="0">
                <a:pos x="csX1618" y="csY1618"/>
              </a:cxn>
              <a:cxn ang="0">
                <a:pos x="csX1619" y="csY1619"/>
              </a:cxn>
              <a:cxn ang="0">
                <a:pos x="csX1620" y="csY1620"/>
              </a:cxn>
              <a:cxn ang="0">
                <a:pos x="csX1621" y="csY1621"/>
              </a:cxn>
              <a:cxn ang="0">
                <a:pos x="csX1622" y="csY1622"/>
              </a:cxn>
              <a:cxn ang="0">
                <a:pos x="csX1623" y="csY1623"/>
              </a:cxn>
              <a:cxn ang="0">
                <a:pos x="csX1624" y="csY1624"/>
              </a:cxn>
              <a:cxn ang="0">
                <a:pos x="csX1625" y="csY1625"/>
              </a:cxn>
              <a:cxn ang="0">
                <a:pos x="csX1626" y="csY1626"/>
              </a:cxn>
              <a:cxn ang="0">
                <a:pos x="csX1627" y="csY1627"/>
              </a:cxn>
              <a:cxn ang="0">
                <a:pos x="csX1628" y="csY1628"/>
              </a:cxn>
              <a:cxn ang="0">
                <a:pos x="csX1629" y="csY1629"/>
              </a:cxn>
              <a:cxn ang="0">
                <a:pos x="csX1630" y="csY1630"/>
              </a:cxn>
              <a:cxn ang="0">
                <a:pos x="csX1631" y="csY1631"/>
              </a:cxn>
              <a:cxn ang="0">
                <a:pos x="csX1632" y="csY1632"/>
              </a:cxn>
              <a:cxn ang="0">
                <a:pos x="csX1633" y="csY1633"/>
              </a:cxn>
              <a:cxn ang="0">
                <a:pos x="csX1634" y="csY1634"/>
              </a:cxn>
              <a:cxn ang="0">
                <a:pos x="csX1635" y="csY1635"/>
              </a:cxn>
              <a:cxn ang="0">
                <a:pos x="csX1636" y="csY1636"/>
              </a:cxn>
              <a:cxn ang="0">
                <a:pos x="csX1637" y="csY1637"/>
              </a:cxn>
              <a:cxn ang="0">
                <a:pos x="csX1638" y="csY1638"/>
              </a:cxn>
              <a:cxn ang="0">
                <a:pos x="csX1639" y="csY1639"/>
              </a:cxn>
              <a:cxn ang="0">
                <a:pos x="csX1640" y="csY1640"/>
              </a:cxn>
              <a:cxn ang="0">
                <a:pos x="csX1641" y="csY1641"/>
              </a:cxn>
              <a:cxn ang="0">
                <a:pos x="csX1642" y="csY1642"/>
              </a:cxn>
              <a:cxn ang="0">
                <a:pos x="csX1643" y="csY1643"/>
              </a:cxn>
              <a:cxn ang="0">
                <a:pos x="csX1644" y="csY1644"/>
              </a:cxn>
              <a:cxn ang="0">
                <a:pos x="csX1645" y="csY1645"/>
              </a:cxn>
              <a:cxn ang="0">
                <a:pos x="csX1646" y="csY1646"/>
              </a:cxn>
              <a:cxn ang="0">
                <a:pos x="csX1647" y="csY1647"/>
              </a:cxn>
              <a:cxn ang="0">
                <a:pos x="csX1648" y="csY1648"/>
              </a:cxn>
              <a:cxn ang="0">
                <a:pos x="csX1649" y="csY1649"/>
              </a:cxn>
              <a:cxn ang="0">
                <a:pos x="csX1650" y="csY1650"/>
              </a:cxn>
              <a:cxn ang="0">
                <a:pos x="csX1651" y="csY1651"/>
              </a:cxn>
              <a:cxn ang="0">
                <a:pos x="csX1652" y="csY1652"/>
              </a:cxn>
              <a:cxn ang="0">
                <a:pos x="csX1653" y="csY1653"/>
              </a:cxn>
              <a:cxn ang="0">
                <a:pos x="csX1654" y="csY1654"/>
              </a:cxn>
              <a:cxn ang="0">
                <a:pos x="csX1655" y="csY1655"/>
              </a:cxn>
              <a:cxn ang="0">
                <a:pos x="csX1656" y="csY1656"/>
              </a:cxn>
              <a:cxn ang="0">
                <a:pos x="csX1657" y="csY1657"/>
              </a:cxn>
              <a:cxn ang="0">
                <a:pos x="csX1658" y="csY1658"/>
              </a:cxn>
              <a:cxn ang="0">
                <a:pos x="csX1659" y="csY1659"/>
              </a:cxn>
              <a:cxn ang="0">
                <a:pos x="csX1660" y="csY1660"/>
              </a:cxn>
              <a:cxn ang="0">
                <a:pos x="csX1661" y="csY1661"/>
              </a:cxn>
              <a:cxn ang="0">
                <a:pos x="csX1662" y="csY1662"/>
              </a:cxn>
              <a:cxn ang="0">
                <a:pos x="csX1663" y="csY1663"/>
              </a:cxn>
              <a:cxn ang="0">
                <a:pos x="csX1664" y="csY1664"/>
              </a:cxn>
              <a:cxn ang="0">
                <a:pos x="csX1665" y="csY1665"/>
              </a:cxn>
              <a:cxn ang="0">
                <a:pos x="csX1666" y="csY1666"/>
              </a:cxn>
              <a:cxn ang="0">
                <a:pos x="csX1667" y="csY1667"/>
              </a:cxn>
              <a:cxn ang="0">
                <a:pos x="csX1668" y="csY1668"/>
              </a:cxn>
              <a:cxn ang="0">
                <a:pos x="csX1669" y="csY1669"/>
              </a:cxn>
              <a:cxn ang="0">
                <a:pos x="csX1670" y="csY1670"/>
              </a:cxn>
              <a:cxn ang="0">
                <a:pos x="csX1671" y="csY1671"/>
              </a:cxn>
              <a:cxn ang="0">
                <a:pos x="csX1672" y="csY1672"/>
              </a:cxn>
              <a:cxn ang="0">
                <a:pos x="csX1673" y="csY1673"/>
              </a:cxn>
              <a:cxn ang="0">
                <a:pos x="csX1674" y="csY1674"/>
              </a:cxn>
              <a:cxn ang="0">
                <a:pos x="csX1675" y="csY1675"/>
              </a:cxn>
              <a:cxn ang="0">
                <a:pos x="csX1676" y="csY1676"/>
              </a:cxn>
              <a:cxn ang="0">
                <a:pos x="csX1677" y="csY1677"/>
              </a:cxn>
              <a:cxn ang="0">
                <a:pos x="csX1678" y="csY1678"/>
              </a:cxn>
              <a:cxn ang="0">
                <a:pos x="csX1679" y="csY1679"/>
              </a:cxn>
              <a:cxn ang="0">
                <a:pos x="csX1680" y="csY1680"/>
              </a:cxn>
              <a:cxn ang="0">
                <a:pos x="csX1681" y="csY1681"/>
              </a:cxn>
              <a:cxn ang="0">
                <a:pos x="csX1682" y="csY1682"/>
              </a:cxn>
              <a:cxn ang="0">
                <a:pos x="csX1683" y="csY1683"/>
              </a:cxn>
              <a:cxn ang="0">
                <a:pos x="csX1684" y="csY1684"/>
              </a:cxn>
              <a:cxn ang="0">
                <a:pos x="csX1685" y="csY1685"/>
              </a:cxn>
              <a:cxn ang="0">
                <a:pos x="csX1686" y="csY1686"/>
              </a:cxn>
              <a:cxn ang="0">
                <a:pos x="csX1687" y="csY1687"/>
              </a:cxn>
              <a:cxn ang="0">
                <a:pos x="csX1688" y="csY1688"/>
              </a:cxn>
              <a:cxn ang="0">
                <a:pos x="csX1689" y="csY1689"/>
              </a:cxn>
              <a:cxn ang="0">
                <a:pos x="csX1690" y="csY1690"/>
              </a:cxn>
              <a:cxn ang="0">
                <a:pos x="csX1691" y="csY1691"/>
              </a:cxn>
              <a:cxn ang="0">
                <a:pos x="csX1692" y="csY1692"/>
              </a:cxn>
              <a:cxn ang="0">
                <a:pos x="csX1693" y="csY1693"/>
              </a:cxn>
              <a:cxn ang="0">
                <a:pos x="csX1694" y="csY1694"/>
              </a:cxn>
              <a:cxn ang="0">
                <a:pos x="csX1695" y="csY1695"/>
              </a:cxn>
              <a:cxn ang="0">
                <a:pos x="csX1696" y="csY1696"/>
              </a:cxn>
              <a:cxn ang="0">
                <a:pos x="csX1697" y="csY1697"/>
              </a:cxn>
              <a:cxn ang="0">
                <a:pos x="csX1698" y="csY1698"/>
              </a:cxn>
              <a:cxn ang="0">
                <a:pos x="csX1699" y="csY1699"/>
              </a:cxn>
              <a:cxn ang="0">
                <a:pos x="csX1700" y="csY1700"/>
              </a:cxn>
              <a:cxn ang="0">
                <a:pos x="csX1701" y="csY1701"/>
              </a:cxn>
              <a:cxn ang="0">
                <a:pos x="csX1702" y="csY1702"/>
              </a:cxn>
              <a:cxn ang="0">
                <a:pos x="csX1703" y="csY1703"/>
              </a:cxn>
              <a:cxn ang="0">
                <a:pos x="csX1704" y="csY1704"/>
              </a:cxn>
              <a:cxn ang="0">
                <a:pos x="csX1705" y="csY1705"/>
              </a:cxn>
              <a:cxn ang="0">
                <a:pos x="csX1706" y="csY1706"/>
              </a:cxn>
              <a:cxn ang="0">
                <a:pos x="csX1707" y="csY1707"/>
              </a:cxn>
              <a:cxn ang="0">
                <a:pos x="csX1708" y="csY1708"/>
              </a:cxn>
              <a:cxn ang="0">
                <a:pos x="csX1709" y="csY1709"/>
              </a:cxn>
              <a:cxn ang="0">
                <a:pos x="csX1710" y="csY1710"/>
              </a:cxn>
              <a:cxn ang="0">
                <a:pos x="csX1711" y="csY1711"/>
              </a:cxn>
              <a:cxn ang="0">
                <a:pos x="csX1712" y="csY1712"/>
              </a:cxn>
              <a:cxn ang="0">
                <a:pos x="csX1713" y="csY1713"/>
              </a:cxn>
              <a:cxn ang="0">
                <a:pos x="csX1714" y="csY1714"/>
              </a:cxn>
              <a:cxn ang="0">
                <a:pos x="csX1715" y="csY1715"/>
              </a:cxn>
              <a:cxn ang="0">
                <a:pos x="csX1716" y="csY1716"/>
              </a:cxn>
              <a:cxn ang="0">
                <a:pos x="csX1717" y="csY1717"/>
              </a:cxn>
              <a:cxn ang="0">
                <a:pos x="csX1718" y="csY1718"/>
              </a:cxn>
              <a:cxn ang="0">
                <a:pos x="csX1719" y="csY1719"/>
              </a:cxn>
              <a:cxn ang="0">
                <a:pos x="csX1720" y="csY1720"/>
              </a:cxn>
              <a:cxn ang="0">
                <a:pos x="csX1721" y="csY1721"/>
              </a:cxn>
              <a:cxn ang="0">
                <a:pos x="csX1722" y="csY1722"/>
              </a:cxn>
              <a:cxn ang="0">
                <a:pos x="csX1723" y="csY1723"/>
              </a:cxn>
              <a:cxn ang="0">
                <a:pos x="csX1724" y="csY1724"/>
              </a:cxn>
              <a:cxn ang="0">
                <a:pos x="csX1725" y="csY1725"/>
              </a:cxn>
              <a:cxn ang="0">
                <a:pos x="csX1726" y="csY1726"/>
              </a:cxn>
              <a:cxn ang="0">
                <a:pos x="csX1727" y="csY1727"/>
              </a:cxn>
              <a:cxn ang="0">
                <a:pos x="csX1728" y="csY1728"/>
              </a:cxn>
              <a:cxn ang="0">
                <a:pos x="csX1729" y="csY1729"/>
              </a:cxn>
              <a:cxn ang="0">
                <a:pos x="csX1730" y="csY1730"/>
              </a:cxn>
              <a:cxn ang="0">
                <a:pos x="csX1731" y="csY1731"/>
              </a:cxn>
              <a:cxn ang="0">
                <a:pos x="csX1732" y="csY1732"/>
              </a:cxn>
              <a:cxn ang="0">
                <a:pos x="csX1733" y="csY1733"/>
              </a:cxn>
              <a:cxn ang="0">
                <a:pos x="csX1734" y="csY1734"/>
              </a:cxn>
              <a:cxn ang="0">
                <a:pos x="csX1735" y="csY1735"/>
              </a:cxn>
              <a:cxn ang="0">
                <a:pos x="csX1736" y="csY1736"/>
              </a:cxn>
              <a:cxn ang="0">
                <a:pos x="csX1737" y="csY1737"/>
              </a:cxn>
              <a:cxn ang="0">
                <a:pos x="csX1738" y="csY1738"/>
              </a:cxn>
              <a:cxn ang="0">
                <a:pos x="csX1739" y="csY1739"/>
              </a:cxn>
              <a:cxn ang="0">
                <a:pos x="csX1740" y="csY1740"/>
              </a:cxn>
              <a:cxn ang="0">
                <a:pos x="csX1741" y="csY1741"/>
              </a:cxn>
              <a:cxn ang="0">
                <a:pos x="csX1742" y="csY1742"/>
              </a:cxn>
              <a:cxn ang="0">
                <a:pos x="csX1743" y="csY1743"/>
              </a:cxn>
              <a:cxn ang="0">
                <a:pos x="csX1744" y="csY1744"/>
              </a:cxn>
              <a:cxn ang="0">
                <a:pos x="csX1745" y="csY1745"/>
              </a:cxn>
              <a:cxn ang="0">
                <a:pos x="csX1746" y="csY1746"/>
              </a:cxn>
              <a:cxn ang="0">
                <a:pos x="csX1747" y="csY1747"/>
              </a:cxn>
              <a:cxn ang="0">
                <a:pos x="csX1748" y="csY1748"/>
              </a:cxn>
              <a:cxn ang="0">
                <a:pos x="csX1749" y="csY1749"/>
              </a:cxn>
              <a:cxn ang="0">
                <a:pos x="csX1750" y="csY1750"/>
              </a:cxn>
              <a:cxn ang="0">
                <a:pos x="csX1751" y="csY1751"/>
              </a:cxn>
              <a:cxn ang="0">
                <a:pos x="csX1752" y="csY1752"/>
              </a:cxn>
              <a:cxn ang="0">
                <a:pos x="csX1753" y="csY1753"/>
              </a:cxn>
              <a:cxn ang="0">
                <a:pos x="csX1754" y="csY1754"/>
              </a:cxn>
              <a:cxn ang="0">
                <a:pos x="csX1755" y="csY1755"/>
              </a:cxn>
              <a:cxn ang="0">
                <a:pos x="csX1756" y="csY1756"/>
              </a:cxn>
              <a:cxn ang="0">
                <a:pos x="csX1757" y="csY1757"/>
              </a:cxn>
              <a:cxn ang="0">
                <a:pos x="csX1758" y="csY1758"/>
              </a:cxn>
              <a:cxn ang="0">
                <a:pos x="csX1759" y="csY1759"/>
              </a:cxn>
              <a:cxn ang="0">
                <a:pos x="csX1760" y="csY1760"/>
              </a:cxn>
              <a:cxn ang="0">
                <a:pos x="csX1761" y="csY1761"/>
              </a:cxn>
              <a:cxn ang="0">
                <a:pos x="csX1762" y="csY1762"/>
              </a:cxn>
              <a:cxn ang="0">
                <a:pos x="csX1763" y="csY1763"/>
              </a:cxn>
              <a:cxn ang="0">
                <a:pos x="csX1764" y="csY1764"/>
              </a:cxn>
              <a:cxn ang="0">
                <a:pos x="csX1765" y="csY1765"/>
              </a:cxn>
              <a:cxn ang="0">
                <a:pos x="csX1766" y="csY1766"/>
              </a:cxn>
              <a:cxn ang="0">
                <a:pos x="csX1767" y="csY1767"/>
              </a:cxn>
              <a:cxn ang="0">
                <a:pos x="csX1768" y="csY1768"/>
              </a:cxn>
              <a:cxn ang="0">
                <a:pos x="csX1769" y="csY1769"/>
              </a:cxn>
              <a:cxn ang="0">
                <a:pos x="csX1770" y="csY1770"/>
              </a:cxn>
              <a:cxn ang="0">
                <a:pos x="csX1771" y="csY1771"/>
              </a:cxn>
              <a:cxn ang="0">
                <a:pos x="csX1772" y="csY1772"/>
              </a:cxn>
              <a:cxn ang="0">
                <a:pos x="csX1773" y="csY1773"/>
              </a:cxn>
              <a:cxn ang="0">
                <a:pos x="csX1774" y="csY1774"/>
              </a:cxn>
              <a:cxn ang="0">
                <a:pos x="csX1775" y="csY1775"/>
              </a:cxn>
              <a:cxn ang="0">
                <a:pos x="csX1776" y="csY1776"/>
              </a:cxn>
              <a:cxn ang="0">
                <a:pos x="csX1777" y="csY1777"/>
              </a:cxn>
              <a:cxn ang="0">
                <a:pos x="csX1778" y="csY1778"/>
              </a:cxn>
              <a:cxn ang="0">
                <a:pos x="csX1779" y="csY1779"/>
              </a:cxn>
              <a:cxn ang="0">
                <a:pos x="csX1780" y="csY1780"/>
              </a:cxn>
              <a:cxn ang="0">
                <a:pos x="csX1781" y="csY1781"/>
              </a:cxn>
              <a:cxn ang="0">
                <a:pos x="csX1782" y="csY1782"/>
              </a:cxn>
              <a:cxn ang="0">
                <a:pos x="csX1783" y="csY1783"/>
              </a:cxn>
              <a:cxn ang="0">
                <a:pos x="csX1784" y="csY1784"/>
              </a:cxn>
              <a:cxn ang="0">
                <a:pos x="csX1785" y="csY1785"/>
              </a:cxn>
              <a:cxn ang="0">
                <a:pos x="csX1786" y="csY1786"/>
              </a:cxn>
              <a:cxn ang="0">
                <a:pos x="csX1787" y="csY1787"/>
              </a:cxn>
              <a:cxn ang="0">
                <a:pos x="csX1788" y="csY1788"/>
              </a:cxn>
              <a:cxn ang="0">
                <a:pos x="csX1789" y="csY1789"/>
              </a:cxn>
              <a:cxn ang="0">
                <a:pos x="csX1790" y="csY1790"/>
              </a:cxn>
              <a:cxn ang="0">
                <a:pos x="csX1791" y="csY1791"/>
              </a:cxn>
              <a:cxn ang="0">
                <a:pos x="csX1792" y="csY1792"/>
              </a:cxn>
              <a:cxn ang="0">
                <a:pos x="csX1793" y="csY1793"/>
              </a:cxn>
              <a:cxn ang="0">
                <a:pos x="csX1794" y="csY1794"/>
              </a:cxn>
              <a:cxn ang="0">
                <a:pos x="csX1795" y="csY1795"/>
              </a:cxn>
              <a:cxn ang="0">
                <a:pos x="csX1796" y="csY1796"/>
              </a:cxn>
              <a:cxn ang="0">
                <a:pos x="csX1797" y="csY1797"/>
              </a:cxn>
              <a:cxn ang="0">
                <a:pos x="csX1798" y="csY1798"/>
              </a:cxn>
              <a:cxn ang="0">
                <a:pos x="csX1799" y="csY1799"/>
              </a:cxn>
              <a:cxn ang="0">
                <a:pos x="csX1800" y="csY1800"/>
              </a:cxn>
              <a:cxn ang="0">
                <a:pos x="csX1801" y="csY1801"/>
              </a:cxn>
              <a:cxn ang="0">
                <a:pos x="csX1802" y="csY1802"/>
              </a:cxn>
              <a:cxn ang="0">
                <a:pos x="csX1803" y="csY1803"/>
              </a:cxn>
              <a:cxn ang="0">
                <a:pos x="csX1804" y="csY1804"/>
              </a:cxn>
              <a:cxn ang="0">
                <a:pos x="csX1805" y="csY1805"/>
              </a:cxn>
              <a:cxn ang="0">
                <a:pos x="csX1806" y="csY1806"/>
              </a:cxn>
              <a:cxn ang="0">
                <a:pos x="csX1807" y="csY1807"/>
              </a:cxn>
              <a:cxn ang="0">
                <a:pos x="csX1808" y="csY1808"/>
              </a:cxn>
              <a:cxn ang="0">
                <a:pos x="csX1809" y="csY1809"/>
              </a:cxn>
              <a:cxn ang="0">
                <a:pos x="csX1810" y="csY1810"/>
              </a:cxn>
              <a:cxn ang="0">
                <a:pos x="csX1811" y="csY1811"/>
              </a:cxn>
              <a:cxn ang="0">
                <a:pos x="csX1812" y="csY1812"/>
              </a:cxn>
              <a:cxn ang="0">
                <a:pos x="csX1813" y="csY1813"/>
              </a:cxn>
              <a:cxn ang="0">
                <a:pos x="csX1814" y="csY1814"/>
              </a:cxn>
              <a:cxn ang="0">
                <a:pos x="csX1815" y="csY1815"/>
              </a:cxn>
              <a:cxn ang="0">
                <a:pos x="csX1816" y="csY1816"/>
              </a:cxn>
              <a:cxn ang="0">
                <a:pos x="csX1817" y="csY1817"/>
              </a:cxn>
              <a:cxn ang="0">
                <a:pos x="csX1818" y="csY1818"/>
              </a:cxn>
              <a:cxn ang="0">
                <a:pos x="csX1819" y="csY1819"/>
              </a:cxn>
              <a:cxn ang="0">
                <a:pos x="csX1820" y="csY1820"/>
              </a:cxn>
              <a:cxn ang="0">
                <a:pos x="csX1821" y="csY1821"/>
              </a:cxn>
              <a:cxn ang="0">
                <a:pos x="csX1822" y="csY1822"/>
              </a:cxn>
              <a:cxn ang="0">
                <a:pos x="csX1823" y="csY1823"/>
              </a:cxn>
              <a:cxn ang="0">
                <a:pos x="csX1824" y="csY1824"/>
              </a:cxn>
              <a:cxn ang="0">
                <a:pos x="csX1825" y="csY1825"/>
              </a:cxn>
              <a:cxn ang="0">
                <a:pos x="csX1826" y="csY1826"/>
              </a:cxn>
              <a:cxn ang="0">
                <a:pos x="csX1827" y="csY1827"/>
              </a:cxn>
              <a:cxn ang="0">
                <a:pos x="csX1828" y="csY1828"/>
              </a:cxn>
              <a:cxn ang="0">
                <a:pos x="csX1829" y="csY1829"/>
              </a:cxn>
              <a:cxn ang="0">
                <a:pos x="csX1830" y="csY1830"/>
              </a:cxn>
              <a:cxn ang="0">
                <a:pos x="csX1831" y="csY1831"/>
              </a:cxn>
              <a:cxn ang="0">
                <a:pos x="csX1832" y="csY1832"/>
              </a:cxn>
              <a:cxn ang="0">
                <a:pos x="csX1833" y="csY1833"/>
              </a:cxn>
              <a:cxn ang="0">
                <a:pos x="csX1834" y="csY1834"/>
              </a:cxn>
              <a:cxn ang="0">
                <a:pos x="csX1835" y="csY1835"/>
              </a:cxn>
              <a:cxn ang="0">
                <a:pos x="csX1836" y="csY1836"/>
              </a:cxn>
              <a:cxn ang="0">
                <a:pos x="csX1837" y="csY1837"/>
              </a:cxn>
              <a:cxn ang="0">
                <a:pos x="csX1838" y="csY1838"/>
              </a:cxn>
              <a:cxn ang="0">
                <a:pos x="csX1839" y="csY1839"/>
              </a:cxn>
              <a:cxn ang="0">
                <a:pos x="csX1840" y="csY1840"/>
              </a:cxn>
              <a:cxn ang="0">
                <a:pos x="csX1841" y="csY1841"/>
              </a:cxn>
              <a:cxn ang="0">
                <a:pos x="csX1842" y="csY1842"/>
              </a:cxn>
              <a:cxn ang="0">
                <a:pos x="csX1843" y="csY1843"/>
              </a:cxn>
              <a:cxn ang="0">
                <a:pos x="csX1844" y="csY1844"/>
              </a:cxn>
              <a:cxn ang="0">
                <a:pos x="csX1845" y="csY1845"/>
              </a:cxn>
              <a:cxn ang="0">
                <a:pos x="csX1846" y="csY1846"/>
              </a:cxn>
              <a:cxn ang="0">
                <a:pos x="csX1847" y="csY1847"/>
              </a:cxn>
              <a:cxn ang="0">
                <a:pos x="csX1848" y="csY1848"/>
              </a:cxn>
              <a:cxn ang="0">
                <a:pos x="csX1849" y="csY1849"/>
              </a:cxn>
              <a:cxn ang="0">
                <a:pos x="csX1850" y="csY1850"/>
              </a:cxn>
              <a:cxn ang="0">
                <a:pos x="csX1851" y="csY1851"/>
              </a:cxn>
              <a:cxn ang="0">
                <a:pos x="csX1852" y="csY1852"/>
              </a:cxn>
              <a:cxn ang="0">
                <a:pos x="csX1853" y="csY1853"/>
              </a:cxn>
              <a:cxn ang="0">
                <a:pos x="csX1854" y="csY1854"/>
              </a:cxn>
              <a:cxn ang="0">
                <a:pos x="csX1855" y="csY1855"/>
              </a:cxn>
              <a:cxn ang="0">
                <a:pos x="csX1856" y="csY1856"/>
              </a:cxn>
              <a:cxn ang="0">
                <a:pos x="csX1857" y="csY1857"/>
              </a:cxn>
              <a:cxn ang="0">
                <a:pos x="csX1858" y="csY1858"/>
              </a:cxn>
              <a:cxn ang="0">
                <a:pos x="csX1859" y="csY1859"/>
              </a:cxn>
              <a:cxn ang="0">
                <a:pos x="csX1860" y="csY1860"/>
              </a:cxn>
              <a:cxn ang="0">
                <a:pos x="csX1861" y="csY1861"/>
              </a:cxn>
              <a:cxn ang="0">
                <a:pos x="csX1862" y="csY1862"/>
              </a:cxn>
              <a:cxn ang="0">
                <a:pos x="csX1863" y="csY1863"/>
              </a:cxn>
              <a:cxn ang="0">
                <a:pos x="csX1864" y="csY1864"/>
              </a:cxn>
              <a:cxn ang="0">
                <a:pos x="csX1865" y="csY1865"/>
              </a:cxn>
              <a:cxn ang="0">
                <a:pos x="csX1866" y="csY1866"/>
              </a:cxn>
              <a:cxn ang="0">
                <a:pos x="csX1867" y="csY1867"/>
              </a:cxn>
              <a:cxn ang="0">
                <a:pos x="csX1868" y="csY1868"/>
              </a:cxn>
              <a:cxn ang="0">
                <a:pos x="csX1869" y="csY1869"/>
              </a:cxn>
              <a:cxn ang="0">
                <a:pos x="csX1870" y="csY1870"/>
              </a:cxn>
              <a:cxn ang="0">
                <a:pos x="csX1871" y="csY1871"/>
              </a:cxn>
              <a:cxn ang="0">
                <a:pos x="csX1872" y="csY1872"/>
              </a:cxn>
              <a:cxn ang="0">
                <a:pos x="csX1873" y="csY1873"/>
              </a:cxn>
              <a:cxn ang="0">
                <a:pos x="csX1874" y="csY1874"/>
              </a:cxn>
              <a:cxn ang="0">
                <a:pos x="csX1875" y="csY1875"/>
              </a:cxn>
              <a:cxn ang="0">
                <a:pos x="csX1876" y="csY1876"/>
              </a:cxn>
              <a:cxn ang="0">
                <a:pos x="csX1877" y="csY1877"/>
              </a:cxn>
              <a:cxn ang="0">
                <a:pos x="csX1878" y="csY1878"/>
              </a:cxn>
              <a:cxn ang="0">
                <a:pos x="csX1879" y="csY1879"/>
              </a:cxn>
              <a:cxn ang="0">
                <a:pos x="csX1880" y="csY1880"/>
              </a:cxn>
              <a:cxn ang="0">
                <a:pos x="csX1881" y="csY1881"/>
              </a:cxn>
              <a:cxn ang="0">
                <a:pos x="csX1882" y="csY1882"/>
              </a:cxn>
              <a:cxn ang="0">
                <a:pos x="csX1883" y="csY1883"/>
              </a:cxn>
              <a:cxn ang="0">
                <a:pos x="csX1884" y="csY1884"/>
              </a:cxn>
              <a:cxn ang="0">
                <a:pos x="csX1885" y="csY1885"/>
              </a:cxn>
              <a:cxn ang="0">
                <a:pos x="csX1886" y="csY1886"/>
              </a:cxn>
              <a:cxn ang="0">
                <a:pos x="csX1887" y="csY1887"/>
              </a:cxn>
              <a:cxn ang="0">
                <a:pos x="csX1888" y="csY1888"/>
              </a:cxn>
              <a:cxn ang="0">
                <a:pos x="csX1889" y="csY1889"/>
              </a:cxn>
              <a:cxn ang="0">
                <a:pos x="csX1890" y="csY1890"/>
              </a:cxn>
              <a:cxn ang="0">
                <a:pos x="csX1891" y="csY1891"/>
              </a:cxn>
              <a:cxn ang="0">
                <a:pos x="csX1892" y="csY1892"/>
              </a:cxn>
              <a:cxn ang="0">
                <a:pos x="csX1893" y="csY1893"/>
              </a:cxn>
              <a:cxn ang="0">
                <a:pos x="csX1894" y="csY1894"/>
              </a:cxn>
              <a:cxn ang="0">
                <a:pos x="csX1895" y="csY1895"/>
              </a:cxn>
              <a:cxn ang="0">
                <a:pos x="csX1896" y="csY1896"/>
              </a:cxn>
              <a:cxn ang="0">
                <a:pos x="csX1897" y="csY1897"/>
              </a:cxn>
              <a:cxn ang="0">
                <a:pos x="csX1898" y="csY1898"/>
              </a:cxn>
              <a:cxn ang="0">
                <a:pos x="csX1899" y="csY1899"/>
              </a:cxn>
              <a:cxn ang="0">
                <a:pos x="csX1900" y="csY1900"/>
              </a:cxn>
              <a:cxn ang="0">
                <a:pos x="csX1901" y="csY1901"/>
              </a:cxn>
              <a:cxn ang="0">
                <a:pos x="csX1902" y="csY1902"/>
              </a:cxn>
              <a:cxn ang="0">
                <a:pos x="csX1903" y="csY1903"/>
              </a:cxn>
              <a:cxn ang="0">
                <a:pos x="csX1904" y="csY1904"/>
              </a:cxn>
              <a:cxn ang="0">
                <a:pos x="csX1905" y="csY1905"/>
              </a:cxn>
              <a:cxn ang="0">
                <a:pos x="csX1906" y="csY1906"/>
              </a:cxn>
              <a:cxn ang="0">
                <a:pos x="csX1907" y="csY1907"/>
              </a:cxn>
              <a:cxn ang="0">
                <a:pos x="csX1908" y="csY1908"/>
              </a:cxn>
              <a:cxn ang="0">
                <a:pos x="csX1909" y="csY1909"/>
              </a:cxn>
              <a:cxn ang="0">
                <a:pos x="csX1910" y="csY1910"/>
              </a:cxn>
              <a:cxn ang="0">
                <a:pos x="csX1911" y="csY1911"/>
              </a:cxn>
              <a:cxn ang="0">
                <a:pos x="csX1912" y="csY1912"/>
              </a:cxn>
              <a:cxn ang="0">
                <a:pos x="csX1913" y="csY1913"/>
              </a:cxn>
              <a:cxn ang="0">
                <a:pos x="csX1914" y="csY1914"/>
              </a:cxn>
              <a:cxn ang="0">
                <a:pos x="csX1915" y="csY1915"/>
              </a:cxn>
              <a:cxn ang="0">
                <a:pos x="csX1916" y="csY1916"/>
              </a:cxn>
              <a:cxn ang="0">
                <a:pos x="csX1917" y="csY1917"/>
              </a:cxn>
              <a:cxn ang="0">
                <a:pos x="csX1918" y="csY1918"/>
              </a:cxn>
              <a:cxn ang="0">
                <a:pos x="csX1919" y="csY1919"/>
              </a:cxn>
              <a:cxn ang="0">
                <a:pos x="csX1920" y="csY1920"/>
              </a:cxn>
              <a:cxn ang="0">
                <a:pos x="csX1921" y="csY1921"/>
              </a:cxn>
              <a:cxn ang="0">
                <a:pos x="csX1922" y="csY1922"/>
              </a:cxn>
              <a:cxn ang="0">
                <a:pos x="csX1923" y="csY1923"/>
              </a:cxn>
              <a:cxn ang="0">
                <a:pos x="csX1924" y="csY1924"/>
              </a:cxn>
              <a:cxn ang="0">
                <a:pos x="csX1925" y="csY1925"/>
              </a:cxn>
              <a:cxn ang="0">
                <a:pos x="csX1926" y="csY1926"/>
              </a:cxn>
              <a:cxn ang="0">
                <a:pos x="csX1927" y="csY1927"/>
              </a:cxn>
              <a:cxn ang="0">
                <a:pos x="csX1928" y="csY1928"/>
              </a:cxn>
              <a:cxn ang="0">
                <a:pos x="csX1929" y="csY1929"/>
              </a:cxn>
              <a:cxn ang="0">
                <a:pos x="csX1930" y="csY1930"/>
              </a:cxn>
              <a:cxn ang="0">
                <a:pos x="csX1931" y="csY1931"/>
              </a:cxn>
              <a:cxn ang="0">
                <a:pos x="csX1932" y="csY1932"/>
              </a:cxn>
              <a:cxn ang="0">
                <a:pos x="csX1933" y="csY1933"/>
              </a:cxn>
              <a:cxn ang="0">
                <a:pos x="csX1934" y="csY1934"/>
              </a:cxn>
              <a:cxn ang="0">
                <a:pos x="csX1935" y="csY1935"/>
              </a:cxn>
              <a:cxn ang="0">
                <a:pos x="csX1936" y="csY1936"/>
              </a:cxn>
              <a:cxn ang="0">
                <a:pos x="csX1937" y="csY1937"/>
              </a:cxn>
              <a:cxn ang="0">
                <a:pos x="csX1938" y="csY1938"/>
              </a:cxn>
              <a:cxn ang="0">
                <a:pos x="csX1939" y="csY1939"/>
              </a:cxn>
              <a:cxn ang="0">
                <a:pos x="csX1940" y="csY1940"/>
              </a:cxn>
              <a:cxn ang="0">
                <a:pos x="csX1941" y="csY1941"/>
              </a:cxn>
              <a:cxn ang="0">
                <a:pos x="csX1942" y="csY1942"/>
              </a:cxn>
              <a:cxn ang="0">
                <a:pos x="csX1943" y="csY1943"/>
              </a:cxn>
              <a:cxn ang="0">
                <a:pos x="csX1944" y="csY1944"/>
              </a:cxn>
              <a:cxn ang="0">
                <a:pos x="csX1945" y="csY1945"/>
              </a:cxn>
              <a:cxn ang="0">
                <a:pos x="csX1946" y="csY1946"/>
              </a:cxn>
              <a:cxn ang="0">
                <a:pos x="csX1947" y="csY1947"/>
              </a:cxn>
              <a:cxn ang="0">
                <a:pos x="csX1948" y="csY1948"/>
              </a:cxn>
              <a:cxn ang="0">
                <a:pos x="csX1949" y="csY1949"/>
              </a:cxn>
              <a:cxn ang="0">
                <a:pos x="csX1950" y="csY1950"/>
              </a:cxn>
              <a:cxn ang="0">
                <a:pos x="csX1951" y="csY1951"/>
              </a:cxn>
              <a:cxn ang="0">
                <a:pos x="csX1952" y="csY1952"/>
              </a:cxn>
              <a:cxn ang="0">
                <a:pos x="csX1953" y="csY1953"/>
              </a:cxn>
              <a:cxn ang="0">
                <a:pos x="csX1954" y="csY1954"/>
              </a:cxn>
              <a:cxn ang="0">
                <a:pos x="csX1955" y="csY1955"/>
              </a:cxn>
              <a:cxn ang="0">
                <a:pos x="csX1956" y="csY1956"/>
              </a:cxn>
              <a:cxn ang="0">
                <a:pos x="csX1957" y="csY1957"/>
              </a:cxn>
              <a:cxn ang="0">
                <a:pos x="csX1958" y="csY1958"/>
              </a:cxn>
              <a:cxn ang="0">
                <a:pos x="csX1959" y="csY1959"/>
              </a:cxn>
              <a:cxn ang="0">
                <a:pos x="csX1960" y="csY1960"/>
              </a:cxn>
              <a:cxn ang="0">
                <a:pos x="csX1961" y="csY1961"/>
              </a:cxn>
              <a:cxn ang="0">
                <a:pos x="csX1962" y="csY1962"/>
              </a:cxn>
              <a:cxn ang="0">
                <a:pos x="csX1963" y="csY1963"/>
              </a:cxn>
              <a:cxn ang="0">
                <a:pos x="csX1964" y="csY1964"/>
              </a:cxn>
              <a:cxn ang="0">
                <a:pos x="csX1965" y="csY1965"/>
              </a:cxn>
              <a:cxn ang="0">
                <a:pos x="csX1966" y="csY1966"/>
              </a:cxn>
              <a:cxn ang="0">
                <a:pos x="csX1967" y="csY1967"/>
              </a:cxn>
              <a:cxn ang="0">
                <a:pos x="csX1968" y="csY1968"/>
              </a:cxn>
              <a:cxn ang="0">
                <a:pos x="csX1969" y="csY1969"/>
              </a:cxn>
              <a:cxn ang="0">
                <a:pos x="csX1970" y="csY1970"/>
              </a:cxn>
              <a:cxn ang="0">
                <a:pos x="csX1971" y="csY1971"/>
              </a:cxn>
              <a:cxn ang="0">
                <a:pos x="csX1972" y="csY1972"/>
              </a:cxn>
              <a:cxn ang="0">
                <a:pos x="csX1973" y="csY1973"/>
              </a:cxn>
              <a:cxn ang="0">
                <a:pos x="csX1974" y="csY1974"/>
              </a:cxn>
              <a:cxn ang="0">
                <a:pos x="csX1975" y="csY1975"/>
              </a:cxn>
              <a:cxn ang="0">
                <a:pos x="csX1976" y="csY1976"/>
              </a:cxn>
              <a:cxn ang="0">
                <a:pos x="csX1977" y="csY1977"/>
              </a:cxn>
              <a:cxn ang="0">
                <a:pos x="csX1978" y="csY1978"/>
              </a:cxn>
              <a:cxn ang="0">
                <a:pos x="csX1979" y="csY1979"/>
              </a:cxn>
              <a:cxn ang="0">
                <a:pos x="csX1980" y="csY1980"/>
              </a:cxn>
              <a:cxn ang="0">
                <a:pos x="csX1981" y="csY1981"/>
              </a:cxn>
              <a:cxn ang="0">
                <a:pos x="csX1982" y="csY1982"/>
              </a:cxn>
              <a:cxn ang="0">
                <a:pos x="csX1983" y="csY1983"/>
              </a:cxn>
              <a:cxn ang="0">
                <a:pos x="csX1984" y="csY1984"/>
              </a:cxn>
              <a:cxn ang="0">
                <a:pos x="csX1985" y="csY1985"/>
              </a:cxn>
              <a:cxn ang="0">
                <a:pos x="csX1986" y="csY1986"/>
              </a:cxn>
              <a:cxn ang="0">
                <a:pos x="csX1987" y="csY1987"/>
              </a:cxn>
              <a:cxn ang="0">
                <a:pos x="csX1988" y="csY1988"/>
              </a:cxn>
              <a:cxn ang="0">
                <a:pos x="csX1989" y="csY1989"/>
              </a:cxn>
              <a:cxn ang="0">
                <a:pos x="csX1990" y="csY1990"/>
              </a:cxn>
              <a:cxn ang="0">
                <a:pos x="csX1991" y="csY1991"/>
              </a:cxn>
              <a:cxn ang="0">
                <a:pos x="csX1992" y="csY1992"/>
              </a:cxn>
              <a:cxn ang="0">
                <a:pos x="csX1993" y="csY1993"/>
              </a:cxn>
              <a:cxn ang="0">
                <a:pos x="csX1994" y="csY1994"/>
              </a:cxn>
              <a:cxn ang="0">
                <a:pos x="csX1995" y="csY1995"/>
              </a:cxn>
              <a:cxn ang="0">
                <a:pos x="csX1996" y="csY1996"/>
              </a:cxn>
              <a:cxn ang="0">
                <a:pos x="csX1997" y="csY1997"/>
              </a:cxn>
              <a:cxn ang="0">
                <a:pos x="csX1998" y="csY1998"/>
              </a:cxn>
              <a:cxn ang="0">
                <a:pos x="csX1999" y="csY1999"/>
              </a:cxn>
              <a:cxn ang="0">
                <a:pos x="csX2000" y="csY2000"/>
              </a:cxn>
              <a:cxn ang="0">
                <a:pos x="csX2001" y="csY2001"/>
              </a:cxn>
              <a:cxn ang="0">
                <a:pos x="csX2002" y="csY2002"/>
              </a:cxn>
              <a:cxn ang="0">
                <a:pos x="csX2003" y="csY2003"/>
              </a:cxn>
              <a:cxn ang="0">
                <a:pos x="csX2004" y="csY2004"/>
              </a:cxn>
              <a:cxn ang="0">
                <a:pos x="csX2005" y="csY2005"/>
              </a:cxn>
              <a:cxn ang="0">
                <a:pos x="csX2006" y="csY2006"/>
              </a:cxn>
              <a:cxn ang="0">
                <a:pos x="csX2007" y="csY2007"/>
              </a:cxn>
              <a:cxn ang="0">
                <a:pos x="csX2008" y="csY2008"/>
              </a:cxn>
              <a:cxn ang="0">
                <a:pos x="csX2009" y="csY2009"/>
              </a:cxn>
              <a:cxn ang="0">
                <a:pos x="csX2010" y="csY2010"/>
              </a:cxn>
              <a:cxn ang="0">
                <a:pos x="csX2011" y="csY2011"/>
              </a:cxn>
              <a:cxn ang="0">
                <a:pos x="csX2012" y="csY2012"/>
              </a:cxn>
              <a:cxn ang="0">
                <a:pos x="csX2013" y="csY2013"/>
              </a:cxn>
              <a:cxn ang="0">
                <a:pos x="csX2014" y="csY2014"/>
              </a:cxn>
              <a:cxn ang="0">
                <a:pos x="csX2015" y="csY2015"/>
              </a:cxn>
              <a:cxn ang="0">
                <a:pos x="csX2016" y="csY2016"/>
              </a:cxn>
              <a:cxn ang="0">
                <a:pos x="csX2017" y="csY2017"/>
              </a:cxn>
              <a:cxn ang="0">
                <a:pos x="csX2018" y="csY2018"/>
              </a:cxn>
              <a:cxn ang="0">
                <a:pos x="csX2019" y="csY2019"/>
              </a:cxn>
              <a:cxn ang="0">
                <a:pos x="csX2020" y="csY2020"/>
              </a:cxn>
              <a:cxn ang="0">
                <a:pos x="csX2021" y="csY2021"/>
              </a:cxn>
              <a:cxn ang="0">
                <a:pos x="csX2022" y="csY2022"/>
              </a:cxn>
              <a:cxn ang="0">
                <a:pos x="csX2023" y="csY2023"/>
              </a:cxn>
              <a:cxn ang="0">
                <a:pos x="csX2024" y="csY2024"/>
              </a:cxn>
              <a:cxn ang="0">
                <a:pos x="csX2025" y="csY2025"/>
              </a:cxn>
              <a:cxn ang="0">
                <a:pos x="csX2026" y="csY2026"/>
              </a:cxn>
              <a:cxn ang="0">
                <a:pos x="csX2027" y="csY2027"/>
              </a:cxn>
              <a:cxn ang="0">
                <a:pos x="csX2028" y="csY2028"/>
              </a:cxn>
              <a:cxn ang="0">
                <a:pos x="csX2029" y="csY2029"/>
              </a:cxn>
              <a:cxn ang="0">
                <a:pos x="csX2030" y="csY2030"/>
              </a:cxn>
              <a:cxn ang="0">
                <a:pos x="csX2031" y="csY2031"/>
              </a:cxn>
              <a:cxn ang="0">
                <a:pos x="csX2032" y="csY2032"/>
              </a:cxn>
              <a:cxn ang="0">
                <a:pos x="csX2033" y="csY2033"/>
              </a:cxn>
              <a:cxn ang="0">
                <a:pos x="csX2034" y="csY2034"/>
              </a:cxn>
              <a:cxn ang="0">
                <a:pos x="csX2035" y="csY2035"/>
              </a:cxn>
              <a:cxn ang="0">
                <a:pos x="csX2036" y="csY2036"/>
              </a:cxn>
              <a:cxn ang="0">
                <a:pos x="csX2037" y="csY2037"/>
              </a:cxn>
              <a:cxn ang="0">
                <a:pos x="csX2038" y="csY2038"/>
              </a:cxn>
              <a:cxn ang="0">
                <a:pos x="csX2039" y="csY2039"/>
              </a:cxn>
              <a:cxn ang="0">
                <a:pos x="csX2040" y="csY2040"/>
              </a:cxn>
              <a:cxn ang="0">
                <a:pos x="csX2041" y="csY2041"/>
              </a:cxn>
              <a:cxn ang="0">
                <a:pos x="csX2042" y="csY2042"/>
              </a:cxn>
              <a:cxn ang="0">
                <a:pos x="csX2043" y="csY2043"/>
              </a:cxn>
              <a:cxn ang="0">
                <a:pos x="csX2044" y="csY2044"/>
              </a:cxn>
              <a:cxn ang="0">
                <a:pos x="csX2045" y="csY2045"/>
              </a:cxn>
              <a:cxn ang="0">
                <a:pos x="csX2046" y="csY2046"/>
              </a:cxn>
              <a:cxn ang="0">
                <a:pos x="csX2047" y="csY2047"/>
              </a:cxn>
              <a:cxn ang="0">
                <a:pos x="csX2048" y="csY2048"/>
              </a:cxn>
              <a:cxn ang="0">
                <a:pos x="csX2049" y="csY2049"/>
              </a:cxn>
              <a:cxn ang="0">
                <a:pos x="csX2050" y="csY2050"/>
              </a:cxn>
              <a:cxn ang="0">
                <a:pos x="csX2051" y="csY2051"/>
              </a:cxn>
              <a:cxn ang="0">
                <a:pos x="csX2052" y="csY2052"/>
              </a:cxn>
              <a:cxn ang="0">
                <a:pos x="csX2053" y="csY2053"/>
              </a:cxn>
              <a:cxn ang="0">
                <a:pos x="csX2054" y="csY2054"/>
              </a:cxn>
              <a:cxn ang="0">
                <a:pos x="csX2055" y="csY2055"/>
              </a:cxn>
              <a:cxn ang="0">
                <a:pos x="csX2056" y="csY2056"/>
              </a:cxn>
              <a:cxn ang="0">
                <a:pos x="csX2057" y="csY2057"/>
              </a:cxn>
              <a:cxn ang="0">
                <a:pos x="csX2058" y="csY2058"/>
              </a:cxn>
              <a:cxn ang="0">
                <a:pos x="csX2059" y="csY2059"/>
              </a:cxn>
              <a:cxn ang="0">
                <a:pos x="csX2060" y="csY2060"/>
              </a:cxn>
              <a:cxn ang="0">
                <a:pos x="csX2061" y="csY2061"/>
              </a:cxn>
              <a:cxn ang="0">
                <a:pos x="csX2062" y="csY2062"/>
              </a:cxn>
              <a:cxn ang="0">
                <a:pos x="csX2063" y="csY2063"/>
              </a:cxn>
              <a:cxn ang="0">
                <a:pos x="csX2064" y="csY2064"/>
              </a:cxn>
              <a:cxn ang="0">
                <a:pos x="csX2065" y="csY2065"/>
              </a:cxn>
              <a:cxn ang="0">
                <a:pos x="csX2066" y="csY2066"/>
              </a:cxn>
              <a:cxn ang="0">
                <a:pos x="csX2067" y="csY2067"/>
              </a:cxn>
              <a:cxn ang="0">
                <a:pos x="csX2068" y="csY2068"/>
              </a:cxn>
              <a:cxn ang="0">
                <a:pos x="csX2069" y="csY2069"/>
              </a:cxn>
              <a:cxn ang="0">
                <a:pos x="csX2070" y="csY2070"/>
              </a:cxn>
              <a:cxn ang="0">
                <a:pos x="csX2071" y="csY2071"/>
              </a:cxn>
              <a:cxn ang="0">
                <a:pos x="csX2072" y="csY2072"/>
              </a:cxn>
              <a:cxn ang="0">
                <a:pos x="csX2073" y="csY2073"/>
              </a:cxn>
              <a:cxn ang="0">
                <a:pos x="csX2074" y="csY2074"/>
              </a:cxn>
              <a:cxn ang="0">
                <a:pos x="csX2075" y="csY2075"/>
              </a:cxn>
              <a:cxn ang="0">
                <a:pos x="csX2076" y="csY2076"/>
              </a:cxn>
              <a:cxn ang="0">
                <a:pos x="csX2077" y="csY2077"/>
              </a:cxn>
              <a:cxn ang="0">
                <a:pos x="csX2078" y="csY2078"/>
              </a:cxn>
              <a:cxn ang="0">
                <a:pos x="csX2079" y="csY2079"/>
              </a:cxn>
              <a:cxn ang="0">
                <a:pos x="csX2080" y="csY2080"/>
              </a:cxn>
              <a:cxn ang="0">
                <a:pos x="csX2081" y="csY2081"/>
              </a:cxn>
              <a:cxn ang="0">
                <a:pos x="csX2082" y="csY2082"/>
              </a:cxn>
              <a:cxn ang="0">
                <a:pos x="csX2083" y="csY2083"/>
              </a:cxn>
              <a:cxn ang="0">
                <a:pos x="csX2084" y="csY2084"/>
              </a:cxn>
              <a:cxn ang="0">
                <a:pos x="csX2085" y="csY2085"/>
              </a:cxn>
              <a:cxn ang="0">
                <a:pos x="csX2086" y="csY2086"/>
              </a:cxn>
              <a:cxn ang="0">
                <a:pos x="csX2087" y="csY2087"/>
              </a:cxn>
              <a:cxn ang="0">
                <a:pos x="csX2088" y="csY2088"/>
              </a:cxn>
              <a:cxn ang="0">
                <a:pos x="csX2089" y="csY2089"/>
              </a:cxn>
              <a:cxn ang="0">
                <a:pos x="csX2090" y="csY2090"/>
              </a:cxn>
              <a:cxn ang="0">
                <a:pos x="csX2091" y="csY2091"/>
              </a:cxn>
              <a:cxn ang="0">
                <a:pos x="csX2092" y="csY2092"/>
              </a:cxn>
              <a:cxn ang="0">
                <a:pos x="csX2093" y="csY2093"/>
              </a:cxn>
              <a:cxn ang="0">
                <a:pos x="csX2094" y="csY2094"/>
              </a:cxn>
              <a:cxn ang="0">
                <a:pos x="csX2095" y="csY2095"/>
              </a:cxn>
              <a:cxn ang="0">
                <a:pos x="csX2096" y="csY2096"/>
              </a:cxn>
              <a:cxn ang="0">
                <a:pos x="csX2097" y="csY2097"/>
              </a:cxn>
              <a:cxn ang="0">
                <a:pos x="csX2098" y="csY2098"/>
              </a:cxn>
              <a:cxn ang="0">
                <a:pos x="csX2099" y="csY2099"/>
              </a:cxn>
              <a:cxn ang="0">
                <a:pos x="csX2100" y="csY2100"/>
              </a:cxn>
              <a:cxn ang="0">
                <a:pos x="csX2101" y="csY2101"/>
              </a:cxn>
              <a:cxn ang="0">
                <a:pos x="csX2102" y="csY2102"/>
              </a:cxn>
              <a:cxn ang="0">
                <a:pos x="csX2103" y="csY2103"/>
              </a:cxn>
              <a:cxn ang="0">
                <a:pos x="csX2104" y="csY2104"/>
              </a:cxn>
              <a:cxn ang="0">
                <a:pos x="csX2105" y="csY2105"/>
              </a:cxn>
              <a:cxn ang="0">
                <a:pos x="csX2106" y="csY2106"/>
              </a:cxn>
              <a:cxn ang="0">
                <a:pos x="csX2107" y="csY2107"/>
              </a:cxn>
              <a:cxn ang="0">
                <a:pos x="csX2108" y="csY2108"/>
              </a:cxn>
              <a:cxn ang="0">
                <a:pos x="csX2109" y="csY2109"/>
              </a:cxn>
              <a:cxn ang="0">
                <a:pos x="csX2110" y="csY2110"/>
              </a:cxn>
              <a:cxn ang="0">
                <a:pos x="csX2111" y="csY2111"/>
              </a:cxn>
              <a:cxn ang="0">
                <a:pos x="csX2112" y="csY2112"/>
              </a:cxn>
              <a:cxn ang="0">
                <a:pos x="csX2113" y="csY2113"/>
              </a:cxn>
              <a:cxn ang="0">
                <a:pos x="csX2114" y="csY2114"/>
              </a:cxn>
              <a:cxn ang="0">
                <a:pos x="csX2115" y="csY2115"/>
              </a:cxn>
              <a:cxn ang="0">
                <a:pos x="csX2116" y="csY2116"/>
              </a:cxn>
              <a:cxn ang="0">
                <a:pos x="csX2117" y="csY2117"/>
              </a:cxn>
              <a:cxn ang="0">
                <a:pos x="csX2118" y="csY2118"/>
              </a:cxn>
              <a:cxn ang="0">
                <a:pos x="csX2119" y="csY2119"/>
              </a:cxn>
              <a:cxn ang="0">
                <a:pos x="csX2120" y="csY2120"/>
              </a:cxn>
              <a:cxn ang="0">
                <a:pos x="csX2121" y="csY2121"/>
              </a:cxn>
              <a:cxn ang="0">
                <a:pos x="csX2122" y="csY2122"/>
              </a:cxn>
              <a:cxn ang="0">
                <a:pos x="csX2123" y="csY2123"/>
              </a:cxn>
              <a:cxn ang="0">
                <a:pos x="csX2124" y="csY2124"/>
              </a:cxn>
              <a:cxn ang="0">
                <a:pos x="csX2125" y="csY2125"/>
              </a:cxn>
              <a:cxn ang="0">
                <a:pos x="csX2126" y="csY2126"/>
              </a:cxn>
              <a:cxn ang="0">
                <a:pos x="csX2127" y="csY2127"/>
              </a:cxn>
              <a:cxn ang="0">
                <a:pos x="csX2128" y="csY2128"/>
              </a:cxn>
              <a:cxn ang="0">
                <a:pos x="csX2129" y="csY2129"/>
              </a:cxn>
              <a:cxn ang="0">
                <a:pos x="csX2130" y="csY2130"/>
              </a:cxn>
              <a:cxn ang="0">
                <a:pos x="csX2131" y="csY2131"/>
              </a:cxn>
              <a:cxn ang="0">
                <a:pos x="csX2132" y="csY2132"/>
              </a:cxn>
              <a:cxn ang="0">
                <a:pos x="csX2133" y="csY2133"/>
              </a:cxn>
              <a:cxn ang="0">
                <a:pos x="csX2134" y="csY2134"/>
              </a:cxn>
              <a:cxn ang="0">
                <a:pos x="csX2135" y="csY2135"/>
              </a:cxn>
              <a:cxn ang="0">
                <a:pos x="csX2136" y="csY2136"/>
              </a:cxn>
              <a:cxn ang="0">
                <a:pos x="csX2137" y="csY2137"/>
              </a:cxn>
              <a:cxn ang="0">
                <a:pos x="csX2138" y="csY2138"/>
              </a:cxn>
              <a:cxn ang="0">
                <a:pos x="csX2139" y="csY2139"/>
              </a:cxn>
              <a:cxn ang="0">
                <a:pos x="csX2140" y="csY2140"/>
              </a:cxn>
              <a:cxn ang="0">
                <a:pos x="csX2141" y="csY2141"/>
              </a:cxn>
              <a:cxn ang="0">
                <a:pos x="csX2142" y="csY2142"/>
              </a:cxn>
              <a:cxn ang="0">
                <a:pos x="csX2143" y="csY2143"/>
              </a:cxn>
              <a:cxn ang="0">
                <a:pos x="csX2144" y="csY2144"/>
              </a:cxn>
              <a:cxn ang="0">
                <a:pos x="csX2145" y="csY2145"/>
              </a:cxn>
              <a:cxn ang="0">
                <a:pos x="csX2146" y="csY2146"/>
              </a:cxn>
              <a:cxn ang="0">
                <a:pos x="csX2147" y="csY2147"/>
              </a:cxn>
              <a:cxn ang="0">
                <a:pos x="csX2148" y="csY2148"/>
              </a:cxn>
              <a:cxn ang="0">
                <a:pos x="csX2149" y="csY2149"/>
              </a:cxn>
              <a:cxn ang="0">
                <a:pos x="csX2150" y="csY2150"/>
              </a:cxn>
              <a:cxn ang="0">
                <a:pos x="csX2151" y="csY2151"/>
              </a:cxn>
              <a:cxn ang="0">
                <a:pos x="csX2152" y="csY2152"/>
              </a:cxn>
              <a:cxn ang="0">
                <a:pos x="csX2153" y="csY2153"/>
              </a:cxn>
              <a:cxn ang="0">
                <a:pos x="csX2154" y="csY2154"/>
              </a:cxn>
              <a:cxn ang="0">
                <a:pos x="csX2155" y="csY2155"/>
              </a:cxn>
              <a:cxn ang="0">
                <a:pos x="csX2156" y="csY2156"/>
              </a:cxn>
              <a:cxn ang="0">
                <a:pos x="csX2157" y="csY2157"/>
              </a:cxn>
              <a:cxn ang="0">
                <a:pos x="csX2158" y="csY2158"/>
              </a:cxn>
              <a:cxn ang="0">
                <a:pos x="csX2159" y="csY2159"/>
              </a:cxn>
              <a:cxn ang="0">
                <a:pos x="csX2160" y="csY2160"/>
              </a:cxn>
              <a:cxn ang="0">
                <a:pos x="csX2161" y="csY2161"/>
              </a:cxn>
              <a:cxn ang="0">
                <a:pos x="csX2162" y="csY2162"/>
              </a:cxn>
              <a:cxn ang="0">
                <a:pos x="csX2163" y="csY2163"/>
              </a:cxn>
              <a:cxn ang="0">
                <a:pos x="csX2164" y="csY2164"/>
              </a:cxn>
              <a:cxn ang="0">
                <a:pos x="csX2165" y="csY2165"/>
              </a:cxn>
              <a:cxn ang="0">
                <a:pos x="csX2166" y="csY2166"/>
              </a:cxn>
              <a:cxn ang="0">
                <a:pos x="csX2167" y="csY2167"/>
              </a:cxn>
              <a:cxn ang="0">
                <a:pos x="csX2168" y="csY2168"/>
              </a:cxn>
              <a:cxn ang="0">
                <a:pos x="csX2169" y="csY2169"/>
              </a:cxn>
              <a:cxn ang="0">
                <a:pos x="csX2170" y="csY2170"/>
              </a:cxn>
              <a:cxn ang="0">
                <a:pos x="csX2171" y="csY2171"/>
              </a:cxn>
              <a:cxn ang="0">
                <a:pos x="csX2172" y="csY2172"/>
              </a:cxn>
              <a:cxn ang="0">
                <a:pos x="csX2173" y="csY2173"/>
              </a:cxn>
              <a:cxn ang="0">
                <a:pos x="csX2174" y="csY2174"/>
              </a:cxn>
              <a:cxn ang="0">
                <a:pos x="csX2175" y="csY2175"/>
              </a:cxn>
              <a:cxn ang="0">
                <a:pos x="csX2176" y="csY2176"/>
              </a:cxn>
              <a:cxn ang="0">
                <a:pos x="csX2177" y="csY2177"/>
              </a:cxn>
              <a:cxn ang="0">
                <a:pos x="csX2178" y="csY2178"/>
              </a:cxn>
              <a:cxn ang="0">
                <a:pos x="csX2179" y="csY2179"/>
              </a:cxn>
              <a:cxn ang="0">
                <a:pos x="csX2180" y="csY2180"/>
              </a:cxn>
              <a:cxn ang="0">
                <a:pos x="csX2181" y="csY2181"/>
              </a:cxn>
              <a:cxn ang="0">
                <a:pos x="csX2182" y="csY2182"/>
              </a:cxn>
              <a:cxn ang="0">
                <a:pos x="csX2183" y="csY2183"/>
              </a:cxn>
              <a:cxn ang="0">
                <a:pos x="csX2184" y="csY2184"/>
              </a:cxn>
              <a:cxn ang="0">
                <a:pos x="csX2185" y="csY2185"/>
              </a:cxn>
              <a:cxn ang="0">
                <a:pos x="csX2186" y="csY2186"/>
              </a:cxn>
              <a:cxn ang="0">
                <a:pos x="csX2187" y="csY2187"/>
              </a:cxn>
              <a:cxn ang="0">
                <a:pos x="csX2188" y="csY2188"/>
              </a:cxn>
              <a:cxn ang="0">
                <a:pos x="csX2189" y="csY2189"/>
              </a:cxn>
              <a:cxn ang="0">
                <a:pos x="csX2190" y="csY2190"/>
              </a:cxn>
              <a:cxn ang="0">
                <a:pos x="csX2191" y="csY2191"/>
              </a:cxn>
              <a:cxn ang="0">
                <a:pos x="csX2192" y="csY2192"/>
              </a:cxn>
              <a:cxn ang="0">
                <a:pos x="csX2193" y="csY2193"/>
              </a:cxn>
              <a:cxn ang="0">
                <a:pos x="csX2194" y="csY2194"/>
              </a:cxn>
              <a:cxn ang="0">
                <a:pos x="csX2195" y="csY2195"/>
              </a:cxn>
              <a:cxn ang="0">
                <a:pos x="csX2196" y="csY2196"/>
              </a:cxn>
              <a:cxn ang="0">
                <a:pos x="csX2197" y="csY2197"/>
              </a:cxn>
              <a:cxn ang="0">
                <a:pos x="csX2198" y="csY2198"/>
              </a:cxn>
              <a:cxn ang="0">
                <a:pos x="csX2199" y="csY2199"/>
              </a:cxn>
              <a:cxn ang="0">
                <a:pos x="csX2200" y="csY2200"/>
              </a:cxn>
              <a:cxn ang="0">
                <a:pos x="csX2201" y="csY2201"/>
              </a:cxn>
              <a:cxn ang="0">
                <a:pos x="csX2202" y="csY2202"/>
              </a:cxn>
              <a:cxn ang="0">
                <a:pos x="csX2203" y="csY2203"/>
              </a:cxn>
              <a:cxn ang="0">
                <a:pos x="csX2204" y="csY2204"/>
              </a:cxn>
              <a:cxn ang="0">
                <a:pos x="csX2205" y="csY2205"/>
              </a:cxn>
              <a:cxn ang="0">
                <a:pos x="csX2206" y="csY2206"/>
              </a:cxn>
              <a:cxn ang="0">
                <a:pos x="csX2207" y="csY2207"/>
              </a:cxn>
              <a:cxn ang="0">
                <a:pos x="csX2208" y="csY2208"/>
              </a:cxn>
              <a:cxn ang="0">
                <a:pos x="csX2209" y="csY2209"/>
              </a:cxn>
              <a:cxn ang="0">
                <a:pos x="csX2210" y="csY2210"/>
              </a:cxn>
              <a:cxn ang="0">
                <a:pos x="csX2211" y="csY2211"/>
              </a:cxn>
              <a:cxn ang="0">
                <a:pos x="csX2212" y="csY2212"/>
              </a:cxn>
              <a:cxn ang="0">
                <a:pos x="csX2213" y="csY2213"/>
              </a:cxn>
              <a:cxn ang="0">
                <a:pos x="csX2214" y="csY2214"/>
              </a:cxn>
              <a:cxn ang="0">
                <a:pos x="csX2215" y="csY2215"/>
              </a:cxn>
              <a:cxn ang="0">
                <a:pos x="csX2216" y="csY2216"/>
              </a:cxn>
              <a:cxn ang="0">
                <a:pos x="csX2217" y="csY2217"/>
              </a:cxn>
              <a:cxn ang="0">
                <a:pos x="csX2218" y="csY2218"/>
              </a:cxn>
              <a:cxn ang="0">
                <a:pos x="csX2219" y="csY2219"/>
              </a:cxn>
              <a:cxn ang="0">
                <a:pos x="csX2220" y="csY2220"/>
              </a:cxn>
              <a:cxn ang="0">
                <a:pos x="csX2221" y="csY2221"/>
              </a:cxn>
              <a:cxn ang="0">
                <a:pos x="csX2222" y="csY2222"/>
              </a:cxn>
              <a:cxn ang="0">
                <a:pos x="csX2223" y="csY2223"/>
              </a:cxn>
              <a:cxn ang="0">
                <a:pos x="csX2224" y="csY2224"/>
              </a:cxn>
              <a:cxn ang="0">
                <a:pos x="csX2225" y="csY2225"/>
              </a:cxn>
              <a:cxn ang="0">
                <a:pos x="csX2226" y="csY2226"/>
              </a:cxn>
              <a:cxn ang="0">
                <a:pos x="csX2227" y="csY2227"/>
              </a:cxn>
              <a:cxn ang="0">
                <a:pos x="csX2228" y="csY2228"/>
              </a:cxn>
              <a:cxn ang="0">
                <a:pos x="csX2229" y="csY2229"/>
              </a:cxn>
              <a:cxn ang="0">
                <a:pos x="csX2230" y="csY2230"/>
              </a:cxn>
              <a:cxn ang="0">
                <a:pos x="csX2231" y="csY2231"/>
              </a:cxn>
              <a:cxn ang="0">
                <a:pos x="csX2232" y="csY2232"/>
              </a:cxn>
              <a:cxn ang="0">
                <a:pos x="csX2233" y="csY2233"/>
              </a:cxn>
              <a:cxn ang="0">
                <a:pos x="csX2234" y="csY2234"/>
              </a:cxn>
              <a:cxn ang="0">
                <a:pos x="csX2235" y="csY2235"/>
              </a:cxn>
              <a:cxn ang="0">
                <a:pos x="csX2236" y="csY2236"/>
              </a:cxn>
              <a:cxn ang="0">
                <a:pos x="csX2237" y="csY2237"/>
              </a:cxn>
              <a:cxn ang="0">
                <a:pos x="csX2238" y="csY2238"/>
              </a:cxn>
              <a:cxn ang="0">
                <a:pos x="csX2239" y="csY2239"/>
              </a:cxn>
              <a:cxn ang="0">
                <a:pos x="csX2240" y="csY2240"/>
              </a:cxn>
              <a:cxn ang="0">
                <a:pos x="csX2241" y="csY2241"/>
              </a:cxn>
              <a:cxn ang="0">
                <a:pos x="csX2242" y="csY2242"/>
              </a:cxn>
              <a:cxn ang="0">
                <a:pos x="csX2243" y="csY2243"/>
              </a:cxn>
              <a:cxn ang="0">
                <a:pos x="csX2244" y="csY2244"/>
              </a:cxn>
              <a:cxn ang="0">
                <a:pos x="csX2245" y="csY2245"/>
              </a:cxn>
              <a:cxn ang="0">
                <a:pos x="csX2246" y="csY2246"/>
              </a:cxn>
              <a:cxn ang="0">
                <a:pos x="csX2247" y="csY2247"/>
              </a:cxn>
              <a:cxn ang="0">
                <a:pos x="csX2248" y="csY2248"/>
              </a:cxn>
              <a:cxn ang="0">
                <a:pos x="csX2249" y="csY2249"/>
              </a:cxn>
              <a:cxn ang="0">
                <a:pos x="csX2250" y="csY2250"/>
              </a:cxn>
              <a:cxn ang="0">
                <a:pos x="csX2251" y="csY2251"/>
              </a:cxn>
              <a:cxn ang="0">
                <a:pos x="csX2252" y="csY2252"/>
              </a:cxn>
              <a:cxn ang="0">
                <a:pos x="csX2253" y="csY2253"/>
              </a:cxn>
              <a:cxn ang="0">
                <a:pos x="csX2254" y="csY2254"/>
              </a:cxn>
              <a:cxn ang="0">
                <a:pos x="csX2255" y="csY2255"/>
              </a:cxn>
              <a:cxn ang="0">
                <a:pos x="csX2256" y="csY2256"/>
              </a:cxn>
              <a:cxn ang="0">
                <a:pos x="csX2257" y="csY2257"/>
              </a:cxn>
              <a:cxn ang="0">
                <a:pos x="csX2258" y="csY2258"/>
              </a:cxn>
              <a:cxn ang="0">
                <a:pos x="csX2259" y="csY2259"/>
              </a:cxn>
              <a:cxn ang="0">
                <a:pos x="csX2260" y="csY2260"/>
              </a:cxn>
              <a:cxn ang="0">
                <a:pos x="csX2261" y="csY2261"/>
              </a:cxn>
              <a:cxn ang="0">
                <a:pos x="csX2262" y="csY2262"/>
              </a:cxn>
              <a:cxn ang="0">
                <a:pos x="csX2263" y="csY2263"/>
              </a:cxn>
              <a:cxn ang="0">
                <a:pos x="csX2264" y="csY2264"/>
              </a:cxn>
              <a:cxn ang="0">
                <a:pos x="csX2265" y="csY2265"/>
              </a:cxn>
              <a:cxn ang="0">
                <a:pos x="csX2266" y="csY2266"/>
              </a:cxn>
              <a:cxn ang="0">
                <a:pos x="csX2267" y="csY2267"/>
              </a:cxn>
              <a:cxn ang="0">
                <a:pos x="csX2268" y="csY2268"/>
              </a:cxn>
              <a:cxn ang="0">
                <a:pos x="csX2269" y="csY2269"/>
              </a:cxn>
              <a:cxn ang="0">
                <a:pos x="csX2270" y="csY2270"/>
              </a:cxn>
              <a:cxn ang="0">
                <a:pos x="csX2271" y="csY2271"/>
              </a:cxn>
              <a:cxn ang="0">
                <a:pos x="csX2272" y="csY2272"/>
              </a:cxn>
              <a:cxn ang="0">
                <a:pos x="csX2273" y="csY2273"/>
              </a:cxn>
              <a:cxn ang="0">
                <a:pos x="csX2274" y="csY2274"/>
              </a:cxn>
              <a:cxn ang="0">
                <a:pos x="csX2275" y="csY2275"/>
              </a:cxn>
              <a:cxn ang="0">
                <a:pos x="csX2276" y="csY2276"/>
              </a:cxn>
              <a:cxn ang="0">
                <a:pos x="csX2277" y="csY2277"/>
              </a:cxn>
              <a:cxn ang="0">
                <a:pos x="csX2278" y="csY2278"/>
              </a:cxn>
              <a:cxn ang="0">
                <a:pos x="csX2279" y="csY2279"/>
              </a:cxn>
              <a:cxn ang="0">
                <a:pos x="csX2280" y="csY2280"/>
              </a:cxn>
              <a:cxn ang="0">
                <a:pos x="csX2281" y="csY2281"/>
              </a:cxn>
              <a:cxn ang="0">
                <a:pos x="csX2282" y="csY2282"/>
              </a:cxn>
              <a:cxn ang="0">
                <a:pos x="csX2283" y="csY2283"/>
              </a:cxn>
              <a:cxn ang="0">
                <a:pos x="csX2284" y="csY2284"/>
              </a:cxn>
              <a:cxn ang="0">
                <a:pos x="csX2285" y="csY2285"/>
              </a:cxn>
              <a:cxn ang="0">
                <a:pos x="csX2286" y="csY2286"/>
              </a:cxn>
              <a:cxn ang="0">
                <a:pos x="csX2287" y="csY2287"/>
              </a:cxn>
              <a:cxn ang="0">
                <a:pos x="csX2288" y="csY2288"/>
              </a:cxn>
              <a:cxn ang="0">
                <a:pos x="csX2289" y="csY2289"/>
              </a:cxn>
              <a:cxn ang="0">
                <a:pos x="csX2290" y="csY2290"/>
              </a:cxn>
              <a:cxn ang="0">
                <a:pos x="csX2291" y="csY2291"/>
              </a:cxn>
              <a:cxn ang="0">
                <a:pos x="csX2292" y="csY2292"/>
              </a:cxn>
              <a:cxn ang="0">
                <a:pos x="csX2293" y="csY2293"/>
              </a:cxn>
              <a:cxn ang="0">
                <a:pos x="csX2294" y="csY2294"/>
              </a:cxn>
              <a:cxn ang="0">
                <a:pos x="csX2295" y="csY2295"/>
              </a:cxn>
              <a:cxn ang="0">
                <a:pos x="csX2296" y="csY2296"/>
              </a:cxn>
              <a:cxn ang="0">
                <a:pos x="csX2297" y="csY2297"/>
              </a:cxn>
              <a:cxn ang="0">
                <a:pos x="csX2298" y="csY2298"/>
              </a:cxn>
              <a:cxn ang="0">
                <a:pos x="csX2299" y="csY2299"/>
              </a:cxn>
              <a:cxn ang="0">
                <a:pos x="csX2300" y="csY2300"/>
              </a:cxn>
              <a:cxn ang="0">
                <a:pos x="csX2301" y="csY2301"/>
              </a:cxn>
              <a:cxn ang="0">
                <a:pos x="csX2302" y="csY2302"/>
              </a:cxn>
              <a:cxn ang="0">
                <a:pos x="csX2303" y="csY2303"/>
              </a:cxn>
              <a:cxn ang="0">
                <a:pos x="csX2304" y="csY2304"/>
              </a:cxn>
              <a:cxn ang="0">
                <a:pos x="csX2305" y="csY2305"/>
              </a:cxn>
              <a:cxn ang="0">
                <a:pos x="csX2306" y="csY2306"/>
              </a:cxn>
              <a:cxn ang="0">
                <a:pos x="csX2307" y="csY2307"/>
              </a:cxn>
              <a:cxn ang="0">
                <a:pos x="csX2308" y="csY2308"/>
              </a:cxn>
              <a:cxn ang="0">
                <a:pos x="csX2309" y="csY2309"/>
              </a:cxn>
              <a:cxn ang="0">
                <a:pos x="csX2310" y="csY2310"/>
              </a:cxn>
              <a:cxn ang="0">
                <a:pos x="csX2311" y="csY2311"/>
              </a:cxn>
              <a:cxn ang="0">
                <a:pos x="csX2312" y="csY2312"/>
              </a:cxn>
              <a:cxn ang="0">
                <a:pos x="csX2313" y="csY2313"/>
              </a:cxn>
              <a:cxn ang="0">
                <a:pos x="csX2314" y="csY2314"/>
              </a:cxn>
              <a:cxn ang="0">
                <a:pos x="csX2315" y="csY2315"/>
              </a:cxn>
              <a:cxn ang="0">
                <a:pos x="csX2316" y="csY2316"/>
              </a:cxn>
              <a:cxn ang="0">
                <a:pos x="csX2317" y="csY2317"/>
              </a:cxn>
              <a:cxn ang="0">
                <a:pos x="csX2318" y="csY2318"/>
              </a:cxn>
              <a:cxn ang="0">
                <a:pos x="csX2319" y="csY2319"/>
              </a:cxn>
              <a:cxn ang="0">
                <a:pos x="csX2320" y="csY2320"/>
              </a:cxn>
              <a:cxn ang="0">
                <a:pos x="csX2321" y="csY2321"/>
              </a:cxn>
              <a:cxn ang="0">
                <a:pos x="csX2322" y="csY2322"/>
              </a:cxn>
              <a:cxn ang="0">
                <a:pos x="csX2323" y="csY2323"/>
              </a:cxn>
              <a:cxn ang="0">
                <a:pos x="csX2324" y="csY2324"/>
              </a:cxn>
              <a:cxn ang="0">
                <a:pos x="csX2325" y="csY2325"/>
              </a:cxn>
              <a:cxn ang="0">
                <a:pos x="csX2326" y="csY2326"/>
              </a:cxn>
              <a:cxn ang="0">
                <a:pos x="csX2327" y="csY2327"/>
              </a:cxn>
              <a:cxn ang="0">
                <a:pos x="csX2328" y="csY2328"/>
              </a:cxn>
              <a:cxn ang="0">
                <a:pos x="csX2329" y="csY2329"/>
              </a:cxn>
              <a:cxn ang="0">
                <a:pos x="csX2330" y="csY2330"/>
              </a:cxn>
              <a:cxn ang="0">
                <a:pos x="csX2331" y="csY2331"/>
              </a:cxn>
              <a:cxn ang="0">
                <a:pos x="csX2332" y="csY2332"/>
              </a:cxn>
              <a:cxn ang="0">
                <a:pos x="csX2333" y="csY2333"/>
              </a:cxn>
              <a:cxn ang="0">
                <a:pos x="csX2334" y="csY2334"/>
              </a:cxn>
              <a:cxn ang="0">
                <a:pos x="csX2335" y="csY2335"/>
              </a:cxn>
              <a:cxn ang="0">
                <a:pos x="csX2336" y="csY2336"/>
              </a:cxn>
              <a:cxn ang="0">
                <a:pos x="csX2337" y="csY2337"/>
              </a:cxn>
              <a:cxn ang="0">
                <a:pos x="csX2338" y="csY2338"/>
              </a:cxn>
              <a:cxn ang="0">
                <a:pos x="csX2339" y="csY2339"/>
              </a:cxn>
              <a:cxn ang="0">
                <a:pos x="csX2340" y="csY2340"/>
              </a:cxn>
              <a:cxn ang="0">
                <a:pos x="csX2341" y="csY2341"/>
              </a:cxn>
              <a:cxn ang="0">
                <a:pos x="csX2342" y="csY2342"/>
              </a:cxn>
              <a:cxn ang="0">
                <a:pos x="csX2343" y="csY2343"/>
              </a:cxn>
              <a:cxn ang="0">
                <a:pos x="csX2344" y="csY2344"/>
              </a:cxn>
              <a:cxn ang="0">
                <a:pos x="csX2345" y="csY2345"/>
              </a:cxn>
              <a:cxn ang="0">
                <a:pos x="csX2346" y="csY2346"/>
              </a:cxn>
              <a:cxn ang="0">
                <a:pos x="csX2347" y="csY2347"/>
              </a:cxn>
              <a:cxn ang="0">
                <a:pos x="csX2348" y="csY2348"/>
              </a:cxn>
              <a:cxn ang="0">
                <a:pos x="csX2349" y="csY2349"/>
              </a:cxn>
              <a:cxn ang="0">
                <a:pos x="csX2350" y="csY2350"/>
              </a:cxn>
              <a:cxn ang="0">
                <a:pos x="csX2351" y="csY2351"/>
              </a:cxn>
              <a:cxn ang="0">
                <a:pos x="csX2352" y="csY2352"/>
              </a:cxn>
              <a:cxn ang="0">
                <a:pos x="csX2353" y="csY2353"/>
              </a:cxn>
              <a:cxn ang="0">
                <a:pos x="csX2354" y="csY2354"/>
              </a:cxn>
              <a:cxn ang="0">
                <a:pos x="csX2355" y="csY2355"/>
              </a:cxn>
              <a:cxn ang="0">
                <a:pos x="csX2356" y="csY2356"/>
              </a:cxn>
              <a:cxn ang="0">
                <a:pos x="csX2357" y="csY2357"/>
              </a:cxn>
              <a:cxn ang="0">
                <a:pos x="csX2358" y="csY2358"/>
              </a:cxn>
              <a:cxn ang="0">
                <a:pos x="csX2359" y="csY2359"/>
              </a:cxn>
              <a:cxn ang="0">
                <a:pos x="csX2360" y="csY2360"/>
              </a:cxn>
              <a:cxn ang="0">
                <a:pos x="csX2361" y="csY2361"/>
              </a:cxn>
              <a:cxn ang="0">
                <a:pos x="csX2362" y="csY2362"/>
              </a:cxn>
              <a:cxn ang="0">
                <a:pos x="csX2363" y="csY2363"/>
              </a:cxn>
              <a:cxn ang="0">
                <a:pos x="csX2364" y="csY2364"/>
              </a:cxn>
              <a:cxn ang="0">
                <a:pos x="csX2365" y="csY2365"/>
              </a:cxn>
              <a:cxn ang="0">
                <a:pos x="csX2366" y="csY2366"/>
              </a:cxn>
              <a:cxn ang="0">
                <a:pos x="csX2367" y="csY2367"/>
              </a:cxn>
              <a:cxn ang="0">
                <a:pos x="csX2368" y="csY2368"/>
              </a:cxn>
              <a:cxn ang="0">
                <a:pos x="csX2369" y="csY2369"/>
              </a:cxn>
              <a:cxn ang="0">
                <a:pos x="csX2370" y="csY2370"/>
              </a:cxn>
              <a:cxn ang="0">
                <a:pos x="csX2371" y="csY2371"/>
              </a:cxn>
              <a:cxn ang="0">
                <a:pos x="csX2372" y="csY2372"/>
              </a:cxn>
              <a:cxn ang="0">
                <a:pos x="csX2373" y="csY2373"/>
              </a:cxn>
              <a:cxn ang="0">
                <a:pos x="csX2374" y="csY2374"/>
              </a:cxn>
              <a:cxn ang="0">
                <a:pos x="csX2375" y="csY2375"/>
              </a:cxn>
              <a:cxn ang="0">
                <a:pos x="csX2376" y="csY2376"/>
              </a:cxn>
              <a:cxn ang="0">
                <a:pos x="csX2377" y="csY2377"/>
              </a:cxn>
              <a:cxn ang="0">
                <a:pos x="csX2378" y="csY2378"/>
              </a:cxn>
              <a:cxn ang="0">
                <a:pos x="csX2379" y="csY2379"/>
              </a:cxn>
              <a:cxn ang="0">
                <a:pos x="csX2380" y="csY2380"/>
              </a:cxn>
              <a:cxn ang="0">
                <a:pos x="csX2381" y="csY2381"/>
              </a:cxn>
              <a:cxn ang="0">
                <a:pos x="csX2382" y="csY2382"/>
              </a:cxn>
              <a:cxn ang="0">
                <a:pos x="csX2383" y="csY2383"/>
              </a:cxn>
              <a:cxn ang="0">
                <a:pos x="csX2384" y="csY2384"/>
              </a:cxn>
              <a:cxn ang="0">
                <a:pos x="csX2385" y="csY2385"/>
              </a:cxn>
              <a:cxn ang="0">
                <a:pos x="csX2386" y="csY2386"/>
              </a:cxn>
              <a:cxn ang="0">
                <a:pos x="csX2387" y="csY2387"/>
              </a:cxn>
              <a:cxn ang="0">
                <a:pos x="csX2388" y="csY2388"/>
              </a:cxn>
              <a:cxn ang="0">
                <a:pos x="csX2389" y="csY2389"/>
              </a:cxn>
              <a:cxn ang="0">
                <a:pos x="csX2390" y="csY2390"/>
              </a:cxn>
              <a:cxn ang="0">
                <a:pos x="csX2391" y="csY2391"/>
              </a:cxn>
              <a:cxn ang="0">
                <a:pos x="csX2392" y="csY2392"/>
              </a:cxn>
              <a:cxn ang="0">
                <a:pos x="csX2393" y="csY2393"/>
              </a:cxn>
              <a:cxn ang="0">
                <a:pos x="csX2394" y="csY2394"/>
              </a:cxn>
              <a:cxn ang="0">
                <a:pos x="csX2395" y="csY2395"/>
              </a:cxn>
              <a:cxn ang="0">
                <a:pos x="csX2396" y="csY2396"/>
              </a:cxn>
              <a:cxn ang="0">
                <a:pos x="csX2397" y="csY2397"/>
              </a:cxn>
              <a:cxn ang="0">
                <a:pos x="csX2398" y="csY2398"/>
              </a:cxn>
              <a:cxn ang="0">
                <a:pos x="csX2399" y="csY2399"/>
              </a:cxn>
              <a:cxn ang="0">
                <a:pos x="csX2400" y="csY2400"/>
              </a:cxn>
              <a:cxn ang="0">
                <a:pos x="csX2401" y="csY2401"/>
              </a:cxn>
              <a:cxn ang="0">
                <a:pos x="csX2402" y="csY2402"/>
              </a:cxn>
              <a:cxn ang="0">
                <a:pos x="csX2403" y="csY2403"/>
              </a:cxn>
              <a:cxn ang="0">
                <a:pos x="csX2404" y="csY2404"/>
              </a:cxn>
              <a:cxn ang="0">
                <a:pos x="csX2405" y="csY2405"/>
              </a:cxn>
              <a:cxn ang="0">
                <a:pos x="csX2406" y="csY2406"/>
              </a:cxn>
              <a:cxn ang="0">
                <a:pos x="csX2407" y="csY2407"/>
              </a:cxn>
              <a:cxn ang="0">
                <a:pos x="csX2408" y="csY2408"/>
              </a:cxn>
              <a:cxn ang="0">
                <a:pos x="csX2409" y="csY2409"/>
              </a:cxn>
              <a:cxn ang="0">
                <a:pos x="csX2410" y="csY2410"/>
              </a:cxn>
              <a:cxn ang="0">
                <a:pos x="csX2411" y="csY2411"/>
              </a:cxn>
              <a:cxn ang="0">
                <a:pos x="csX2412" y="csY2412"/>
              </a:cxn>
              <a:cxn ang="0">
                <a:pos x="csX2413" y="csY2413"/>
              </a:cxn>
              <a:cxn ang="0">
                <a:pos x="csX2414" y="csY2414"/>
              </a:cxn>
              <a:cxn ang="0">
                <a:pos x="csX2415" y="csY2415"/>
              </a:cxn>
              <a:cxn ang="0">
                <a:pos x="csX2416" y="csY2416"/>
              </a:cxn>
              <a:cxn ang="0">
                <a:pos x="csX2417" y="csY2417"/>
              </a:cxn>
              <a:cxn ang="0">
                <a:pos x="csX2418" y="csY2418"/>
              </a:cxn>
              <a:cxn ang="0">
                <a:pos x="csX2419" y="csY2419"/>
              </a:cxn>
              <a:cxn ang="0">
                <a:pos x="csX2420" y="csY2420"/>
              </a:cxn>
              <a:cxn ang="0">
                <a:pos x="csX2421" y="csY2421"/>
              </a:cxn>
              <a:cxn ang="0">
                <a:pos x="csX2422" y="csY2422"/>
              </a:cxn>
              <a:cxn ang="0">
                <a:pos x="csX2423" y="csY2423"/>
              </a:cxn>
              <a:cxn ang="0">
                <a:pos x="csX2424" y="csY2424"/>
              </a:cxn>
              <a:cxn ang="0">
                <a:pos x="csX2425" y="csY2425"/>
              </a:cxn>
              <a:cxn ang="0">
                <a:pos x="csX2426" y="csY2426"/>
              </a:cxn>
              <a:cxn ang="0">
                <a:pos x="csX2427" y="csY2427"/>
              </a:cxn>
              <a:cxn ang="0">
                <a:pos x="csX2428" y="csY2428"/>
              </a:cxn>
              <a:cxn ang="0">
                <a:pos x="csX2429" y="csY2429"/>
              </a:cxn>
              <a:cxn ang="0">
                <a:pos x="csX2430" y="csY2430"/>
              </a:cxn>
              <a:cxn ang="0">
                <a:pos x="csX2431" y="csY2431"/>
              </a:cxn>
              <a:cxn ang="0">
                <a:pos x="csX2432" y="csY2432"/>
              </a:cxn>
              <a:cxn ang="0">
                <a:pos x="csX2433" y="csY2433"/>
              </a:cxn>
              <a:cxn ang="0">
                <a:pos x="csX2434" y="csY2434"/>
              </a:cxn>
              <a:cxn ang="0">
                <a:pos x="csX2435" y="csY2435"/>
              </a:cxn>
              <a:cxn ang="0">
                <a:pos x="csX2436" y="csY2436"/>
              </a:cxn>
              <a:cxn ang="0">
                <a:pos x="csX2437" y="csY2437"/>
              </a:cxn>
              <a:cxn ang="0">
                <a:pos x="csX2438" y="csY2438"/>
              </a:cxn>
              <a:cxn ang="0">
                <a:pos x="csX2439" y="csY2439"/>
              </a:cxn>
              <a:cxn ang="0">
                <a:pos x="csX2440" y="csY2440"/>
              </a:cxn>
              <a:cxn ang="0">
                <a:pos x="csX2441" y="csY2441"/>
              </a:cxn>
              <a:cxn ang="0">
                <a:pos x="csX2442" y="csY2442"/>
              </a:cxn>
              <a:cxn ang="0">
                <a:pos x="csX2443" y="csY2443"/>
              </a:cxn>
              <a:cxn ang="0">
                <a:pos x="csX2444" y="csY2444"/>
              </a:cxn>
              <a:cxn ang="0">
                <a:pos x="csX2445" y="csY2445"/>
              </a:cxn>
              <a:cxn ang="0">
                <a:pos x="csX2446" y="csY2446"/>
              </a:cxn>
              <a:cxn ang="0">
                <a:pos x="csX2447" y="csY2447"/>
              </a:cxn>
              <a:cxn ang="0">
                <a:pos x="csX2448" y="csY2448"/>
              </a:cxn>
              <a:cxn ang="0">
                <a:pos x="csX2449" y="csY2449"/>
              </a:cxn>
              <a:cxn ang="0">
                <a:pos x="csX2450" y="csY2450"/>
              </a:cxn>
              <a:cxn ang="0">
                <a:pos x="csX2451" y="csY2451"/>
              </a:cxn>
              <a:cxn ang="0">
                <a:pos x="csX2452" y="csY2452"/>
              </a:cxn>
              <a:cxn ang="0">
                <a:pos x="csX2453" y="csY2453"/>
              </a:cxn>
              <a:cxn ang="0">
                <a:pos x="csX2454" y="csY2454"/>
              </a:cxn>
              <a:cxn ang="0">
                <a:pos x="csX2455" y="csY2455"/>
              </a:cxn>
              <a:cxn ang="0">
                <a:pos x="csX2456" y="csY2456"/>
              </a:cxn>
              <a:cxn ang="0">
                <a:pos x="csX2457" y="csY2457"/>
              </a:cxn>
              <a:cxn ang="0">
                <a:pos x="csX2458" y="csY2458"/>
              </a:cxn>
              <a:cxn ang="0">
                <a:pos x="csX2459" y="csY2459"/>
              </a:cxn>
              <a:cxn ang="0">
                <a:pos x="csX2460" y="csY2460"/>
              </a:cxn>
              <a:cxn ang="0">
                <a:pos x="csX2461" y="csY2461"/>
              </a:cxn>
              <a:cxn ang="0">
                <a:pos x="csX2462" y="csY2462"/>
              </a:cxn>
              <a:cxn ang="0">
                <a:pos x="csX2463" y="csY2463"/>
              </a:cxn>
              <a:cxn ang="0">
                <a:pos x="csX2464" y="csY2464"/>
              </a:cxn>
              <a:cxn ang="0">
                <a:pos x="csX2465" y="csY2465"/>
              </a:cxn>
              <a:cxn ang="0">
                <a:pos x="csX2466" y="csY2466"/>
              </a:cxn>
              <a:cxn ang="0">
                <a:pos x="csX2467" y="csY2467"/>
              </a:cxn>
              <a:cxn ang="0">
                <a:pos x="csX2468" y="csY2468"/>
              </a:cxn>
              <a:cxn ang="0">
                <a:pos x="csX2469" y="csY2469"/>
              </a:cxn>
              <a:cxn ang="0">
                <a:pos x="csX2470" y="csY2470"/>
              </a:cxn>
              <a:cxn ang="0">
                <a:pos x="csX2471" y="csY2471"/>
              </a:cxn>
              <a:cxn ang="0">
                <a:pos x="csX2472" y="csY2472"/>
              </a:cxn>
              <a:cxn ang="0">
                <a:pos x="csX2473" y="csY2473"/>
              </a:cxn>
              <a:cxn ang="0">
                <a:pos x="csX2474" y="csY2474"/>
              </a:cxn>
              <a:cxn ang="0">
                <a:pos x="csX2475" y="csY2475"/>
              </a:cxn>
              <a:cxn ang="0">
                <a:pos x="csX2476" y="csY2476"/>
              </a:cxn>
              <a:cxn ang="0">
                <a:pos x="csX2477" y="csY2477"/>
              </a:cxn>
              <a:cxn ang="0">
                <a:pos x="csX2478" y="csY2478"/>
              </a:cxn>
              <a:cxn ang="0">
                <a:pos x="csX2479" y="csY2479"/>
              </a:cxn>
              <a:cxn ang="0">
                <a:pos x="csX2480" y="csY2480"/>
              </a:cxn>
              <a:cxn ang="0">
                <a:pos x="csX2481" y="csY2481"/>
              </a:cxn>
              <a:cxn ang="0">
                <a:pos x="csX2482" y="csY2482"/>
              </a:cxn>
              <a:cxn ang="0">
                <a:pos x="csX2483" y="csY2483"/>
              </a:cxn>
              <a:cxn ang="0">
                <a:pos x="csX2484" y="csY2484"/>
              </a:cxn>
              <a:cxn ang="0">
                <a:pos x="csX2485" y="csY2485"/>
              </a:cxn>
              <a:cxn ang="0">
                <a:pos x="csX2486" y="csY2486"/>
              </a:cxn>
              <a:cxn ang="0">
                <a:pos x="csX2487" y="csY2487"/>
              </a:cxn>
              <a:cxn ang="0">
                <a:pos x="csX2488" y="csY2488"/>
              </a:cxn>
              <a:cxn ang="0">
                <a:pos x="csX2489" y="csY2489"/>
              </a:cxn>
              <a:cxn ang="0">
                <a:pos x="csX2490" y="csY2490"/>
              </a:cxn>
              <a:cxn ang="0">
                <a:pos x="csX2491" y="csY2491"/>
              </a:cxn>
              <a:cxn ang="0">
                <a:pos x="csX2492" y="csY2492"/>
              </a:cxn>
              <a:cxn ang="0">
                <a:pos x="csX2493" y="csY2493"/>
              </a:cxn>
              <a:cxn ang="0">
                <a:pos x="csX2494" y="csY2494"/>
              </a:cxn>
              <a:cxn ang="0">
                <a:pos x="csX2495" y="csY2495"/>
              </a:cxn>
              <a:cxn ang="0">
                <a:pos x="csX2496" y="csY2496"/>
              </a:cxn>
              <a:cxn ang="0">
                <a:pos x="csX2497" y="csY2497"/>
              </a:cxn>
              <a:cxn ang="0">
                <a:pos x="csX2498" y="csY2498"/>
              </a:cxn>
              <a:cxn ang="0">
                <a:pos x="csX2499" y="csY2499"/>
              </a:cxn>
              <a:cxn ang="0">
                <a:pos x="csX2500" y="csY2500"/>
              </a:cxn>
              <a:cxn ang="0">
                <a:pos x="csX2501" y="csY2501"/>
              </a:cxn>
              <a:cxn ang="0">
                <a:pos x="csX2502" y="csY2502"/>
              </a:cxn>
              <a:cxn ang="0">
                <a:pos x="csX2503" y="csY2503"/>
              </a:cxn>
              <a:cxn ang="0">
                <a:pos x="csX2504" y="csY2504"/>
              </a:cxn>
              <a:cxn ang="0">
                <a:pos x="csX2505" y="csY2505"/>
              </a:cxn>
              <a:cxn ang="0">
                <a:pos x="csX2506" y="csY2506"/>
              </a:cxn>
              <a:cxn ang="0">
                <a:pos x="csX2507" y="csY2507"/>
              </a:cxn>
              <a:cxn ang="0">
                <a:pos x="csX2508" y="csY2508"/>
              </a:cxn>
              <a:cxn ang="0">
                <a:pos x="csX2509" y="csY2509"/>
              </a:cxn>
              <a:cxn ang="0">
                <a:pos x="csX2510" y="csY2510"/>
              </a:cxn>
              <a:cxn ang="0">
                <a:pos x="csX2511" y="csY2511"/>
              </a:cxn>
              <a:cxn ang="0">
                <a:pos x="csX2512" y="csY2512"/>
              </a:cxn>
              <a:cxn ang="0">
                <a:pos x="csX2513" y="csY2513"/>
              </a:cxn>
              <a:cxn ang="0">
                <a:pos x="csX2514" y="csY2514"/>
              </a:cxn>
              <a:cxn ang="0">
                <a:pos x="csX2515" y="csY2515"/>
              </a:cxn>
              <a:cxn ang="0">
                <a:pos x="csX2516" y="csY2516"/>
              </a:cxn>
              <a:cxn ang="0">
                <a:pos x="csX2517" y="csY2517"/>
              </a:cxn>
              <a:cxn ang="0">
                <a:pos x="csX2518" y="csY2518"/>
              </a:cxn>
              <a:cxn ang="0">
                <a:pos x="csX2519" y="csY2519"/>
              </a:cxn>
              <a:cxn ang="0">
                <a:pos x="csX2520" y="csY2520"/>
              </a:cxn>
              <a:cxn ang="0">
                <a:pos x="csX2521" y="csY2521"/>
              </a:cxn>
              <a:cxn ang="0">
                <a:pos x="csX2522" y="csY2522"/>
              </a:cxn>
              <a:cxn ang="0">
                <a:pos x="csX2523" y="csY2523"/>
              </a:cxn>
              <a:cxn ang="0">
                <a:pos x="csX2524" y="csY2524"/>
              </a:cxn>
              <a:cxn ang="0">
                <a:pos x="csX2525" y="csY2525"/>
              </a:cxn>
              <a:cxn ang="0">
                <a:pos x="csX2526" y="csY2526"/>
              </a:cxn>
              <a:cxn ang="0">
                <a:pos x="csX2527" y="csY2527"/>
              </a:cxn>
              <a:cxn ang="0">
                <a:pos x="csX2528" y="csY2528"/>
              </a:cxn>
              <a:cxn ang="0">
                <a:pos x="csX2529" y="csY2529"/>
              </a:cxn>
              <a:cxn ang="0">
                <a:pos x="csX2530" y="csY2530"/>
              </a:cxn>
              <a:cxn ang="0">
                <a:pos x="csX2531" y="csY2531"/>
              </a:cxn>
              <a:cxn ang="0">
                <a:pos x="csX2532" y="csY2532"/>
              </a:cxn>
              <a:cxn ang="0">
                <a:pos x="csX2533" y="csY2533"/>
              </a:cxn>
              <a:cxn ang="0">
                <a:pos x="csX2534" y="csY2534"/>
              </a:cxn>
              <a:cxn ang="0">
                <a:pos x="csX2535" y="csY2535"/>
              </a:cxn>
              <a:cxn ang="0">
                <a:pos x="csX2536" y="csY2536"/>
              </a:cxn>
              <a:cxn ang="0">
                <a:pos x="csX2537" y="csY2537"/>
              </a:cxn>
              <a:cxn ang="0">
                <a:pos x="csX2538" y="csY2538"/>
              </a:cxn>
              <a:cxn ang="0">
                <a:pos x="csX2539" y="csY2539"/>
              </a:cxn>
              <a:cxn ang="0">
                <a:pos x="csX2540" y="csY2540"/>
              </a:cxn>
              <a:cxn ang="0">
                <a:pos x="csX2541" y="csY2541"/>
              </a:cxn>
              <a:cxn ang="0">
                <a:pos x="csX2542" y="csY2542"/>
              </a:cxn>
              <a:cxn ang="0">
                <a:pos x="csX2543" y="csY2543"/>
              </a:cxn>
              <a:cxn ang="0">
                <a:pos x="csX2544" y="csY2544"/>
              </a:cxn>
              <a:cxn ang="0">
                <a:pos x="csX2545" y="csY2545"/>
              </a:cxn>
              <a:cxn ang="0">
                <a:pos x="csX2546" y="csY2546"/>
              </a:cxn>
              <a:cxn ang="0">
                <a:pos x="csX2547" y="csY2547"/>
              </a:cxn>
              <a:cxn ang="0">
                <a:pos x="csX2548" y="csY2548"/>
              </a:cxn>
              <a:cxn ang="0">
                <a:pos x="csX2549" y="csY2549"/>
              </a:cxn>
              <a:cxn ang="0">
                <a:pos x="csX2550" y="csY2550"/>
              </a:cxn>
              <a:cxn ang="0">
                <a:pos x="csX2551" y="csY2551"/>
              </a:cxn>
              <a:cxn ang="0">
                <a:pos x="csX2552" y="csY2552"/>
              </a:cxn>
              <a:cxn ang="0">
                <a:pos x="csX2553" y="csY2553"/>
              </a:cxn>
              <a:cxn ang="0">
                <a:pos x="csX2554" y="csY2554"/>
              </a:cxn>
              <a:cxn ang="0">
                <a:pos x="csX2555" y="csY2555"/>
              </a:cxn>
              <a:cxn ang="0">
                <a:pos x="csX2556" y="csY2556"/>
              </a:cxn>
              <a:cxn ang="0">
                <a:pos x="csX2557" y="csY2557"/>
              </a:cxn>
              <a:cxn ang="0">
                <a:pos x="csX2558" y="csY2558"/>
              </a:cxn>
              <a:cxn ang="0">
                <a:pos x="csX2559" y="csY2559"/>
              </a:cxn>
              <a:cxn ang="0">
                <a:pos x="csX2560" y="csY2560"/>
              </a:cxn>
              <a:cxn ang="0">
                <a:pos x="csX2561" y="csY2561"/>
              </a:cxn>
              <a:cxn ang="0">
                <a:pos x="csX2562" y="csY2562"/>
              </a:cxn>
              <a:cxn ang="0">
                <a:pos x="csX2563" y="csY2563"/>
              </a:cxn>
              <a:cxn ang="0">
                <a:pos x="csX2564" y="csY2564"/>
              </a:cxn>
              <a:cxn ang="0">
                <a:pos x="csX2565" y="csY2565"/>
              </a:cxn>
              <a:cxn ang="0">
                <a:pos x="csX2566" y="csY2566"/>
              </a:cxn>
              <a:cxn ang="0">
                <a:pos x="csX2567" y="csY2567"/>
              </a:cxn>
              <a:cxn ang="0">
                <a:pos x="csX2568" y="csY2568"/>
              </a:cxn>
              <a:cxn ang="0">
                <a:pos x="csX2569" y="csY2569"/>
              </a:cxn>
              <a:cxn ang="0">
                <a:pos x="csX2570" y="csY2570"/>
              </a:cxn>
              <a:cxn ang="0">
                <a:pos x="csX2571" y="csY2571"/>
              </a:cxn>
              <a:cxn ang="0">
                <a:pos x="csX2572" y="csY2572"/>
              </a:cxn>
              <a:cxn ang="0">
                <a:pos x="csX2573" y="csY2573"/>
              </a:cxn>
              <a:cxn ang="0">
                <a:pos x="csX2574" y="csY2574"/>
              </a:cxn>
              <a:cxn ang="0">
                <a:pos x="csX2575" y="csY2575"/>
              </a:cxn>
              <a:cxn ang="0">
                <a:pos x="csX2576" y="csY2576"/>
              </a:cxn>
              <a:cxn ang="0">
                <a:pos x="csX2577" y="csY2577"/>
              </a:cxn>
              <a:cxn ang="0">
                <a:pos x="csX2578" y="csY2578"/>
              </a:cxn>
              <a:cxn ang="0">
                <a:pos x="csX2579" y="csY2579"/>
              </a:cxn>
              <a:cxn ang="0">
                <a:pos x="csX2580" y="csY2580"/>
              </a:cxn>
              <a:cxn ang="0">
                <a:pos x="csX2581" y="csY2581"/>
              </a:cxn>
              <a:cxn ang="0">
                <a:pos x="csX2582" y="csY2582"/>
              </a:cxn>
              <a:cxn ang="0">
                <a:pos x="csX2583" y="csY2583"/>
              </a:cxn>
              <a:cxn ang="0">
                <a:pos x="csX2584" y="csY2584"/>
              </a:cxn>
              <a:cxn ang="0">
                <a:pos x="csX2585" y="csY2585"/>
              </a:cxn>
              <a:cxn ang="0">
                <a:pos x="csX2586" y="csY2586"/>
              </a:cxn>
              <a:cxn ang="0">
                <a:pos x="csX2587" y="csY2587"/>
              </a:cxn>
              <a:cxn ang="0">
                <a:pos x="csX2588" y="csY2588"/>
              </a:cxn>
              <a:cxn ang="0">
                <a:pos x="csX2589" y="csY2589"/>
              </a:cxn>
              <a:cxn ang="0">
                <a:pos x="csX2590" y="csY2590"/>
              </a:cxn>
              <a:cxn ang="0">
                <a:pos x="csX2591" y="csY2591"/>
              </a:cxn>
              <a:cxn ang="0">
                <a:pos x="csX2592" y="csY2592"/>
              </a:cxn>
              <a:cxn ang="0">
                <a:pos x="csX2593" y="csY2593"/>
              </a:cxn>
              <a:cxn ang="0">
                <a:pos x="csX2594" y="csY2594"/>
              </a:cxn>
              <a:cxn ang="0">
                <a:pos x="csX2595" y="csY2595"/>
              </a:cxn>
              <a:cxn ang="0">
                <a:pos x="csX2596" y="csY2596"/>
              </a:cxn>
              <a:cxn ang="0">
                <a:pos x="csX2597" y="csY2597"/>
              </a:cxn>
              <a:cxn ang="0">
                <a:pos x="csX2598" y="csY2598"/>
              </a:cxn>
              <a:cxn ang="0">
                <a:pos x="csX2599" y="csY2599"/>
              </a:cxn>
              <a:cxn ang="0">
                <a:pos x="csX2600" y="csY2600"/>
              </a:cxn>
              <a:cxn ang="0">
                <a:pos x="csX2601" y="csY2601"/>
              </a:cxn>
              <a:cxn ang="0">
                <a:pos x="csX2602" y="csY2602"/>
              </a:cxn>
              <a:cxn ang="0">
                <a:pos x="csX2603" y="csY2603"/>
              </a:cxn>
              <a:cxn ang="0">
                <a:pos x="csX2604" y="csY2604"/>
              </a:cxn>
              <a:cxn ang="0">
                <a:pos x="csX2605" y="csY2605"/>
              </a:cxn>
              <a:cxn ang="0">
                <a:pos x="csX2606" y="csY2606"/>
              </a:cxn>
              <a:cxn ang="0">
                <a:pos x="csX2607" y="csY2607"/>
              </a:cxn>
              <a:cxn ang="0">
                <a:pos x="csX2608" y="csY2608"/>
              </a:cxn>
              <a:cxn ang="0">
                <a:pos x="csX2609" y="csY2609"/>
              </a:cxn>
              <a:cxn ang="0">
                <a:pos x="csX2610" y="csY2610"/>
              </a:cxn>
              <a:cxn ang="0">
                <a:pos x="csX2611" y="csY2611"/>
              </a:cxn>
              <a:cxn ang="0">
                <a:pos x="csX2612" y="csY2612"/>
              </a:cxn>
              <a:cxn ang="0">
                <a:pos x="csX2613" y="csY2613"/>
              </a:cxn>
              <a:cxn ang="0">
                <a:pos x="csX2614" y="csY2614"/>
              </a:cxn>
              <a:cxn ang="0">
                <a:pos x="csX2615" y="csY2615"/>
              </a:cxn>
              <a:cxn ang="0">
                <a:pos x="csX2616" y="csY2616"/>
              </a:cxn>
              <a:cxn ang="0">
                <a:pos x="csX2617" y="csY2617"/>
              </a:cxn>
              <a:cxn ang="0">
                <a:pos x="csX2618" y="csY2618"/>
              </a:cxn>
              <a:cxn ang="0">
                <a:pos x="csX2619" y="csY2619"/>
              </a:cxn>
              <a:cxn ang="0">
                <a:pos x="csX2620" y="csY2620"/>
              </a:cxn>
              <a:cxn ang="0">
                <a:pos x="csX2621" y="csY2621"/>
              </a:cxn>
              <a:cxn ang="0">
                <a:pos x="csX2622" y="csY2622"/>
              </a:cxn>
              <a:cxn ang="0">
                <a:pos x="csX2623" y="csY2623"/>
              </a:cxn>
              <a:cxn ang="0">
                <a:pos x="csX2624" y="csY2624"/>
              </a:cxn>
              <a:cxn ang="0">
                <a:pos x="csX2625" y="csY2625"/>
              </a:cxn>
              <a:cxn ang="0">
                <a:pos x="csX2626" y="csY2626"/>
              </a:cxn>
              <a:cxn ang="0">
                <a:pos x="csX2627" y="csY2627"/>
              </a:cxn>
              <a:cxn ang="0">
                <a:pos x="csX2628" y="csY2628"/>
              </a:cxn>
              <a:cxn ang="0">
                <a:pos x="csX2629" y="csY2629"/>
              </a:cxn>
              <a:cxn ang="0">
                <a:pos x="csX2630" y="csY2630"/>
              </a:cxn>
              <a:cxn ang="0">
                <a:pos x="csX2631" y="csY2631"/>
              </a:cxn>
              <a:cxn ang="0">
                <a:pos x="csX2632" y="csY2632"/>
              </a:cxn>
              <a:cxn ang="0">
                <a:pos x="csX2633" y="csY2633"/>
              </a:cxn>
              <a:cxn ang="0">
                <a:pos x="csX2634" y="csY2634"/>
              </a:cxn>
              <a:cxn ang="0">
                <a:pos x="csX2635" y="csY2635"/>
              </a:cxn>
              <a:cxn ang="0">
                <a:pos x="csX2636" y="csY2636"/>
              </a:cxn>
              <a:cxn ang="0">
                <a:pos x="csX2637" y="csY2637"/>
              </a:cxn>
              <a:cxn ang="0">
                <a:pos x="csX2638" y="csY2638"/>
              </a:cxn>
              <a:cxn ang="0">
                <a:pos x="csX2639" y="csY2639"/>
              </a:cxn>
              <a:cxn ang="0">
                <a:pos x="csX2640" y="csY2640"/>
              </a:cxn>
              <a:cxn ang="0">
                <a:pos x="csX2641" y="csY2641"/>
              </a:cxn>
              <a:cxn ang="0">
                <a:pos x="csX2642" y="csY2642"/>
              </a:cxn>
              <a:cxn ang="0">
                <a:pos x="csX2643" y="csY2643"/>
              </a:cxn>
              <a:cxn ang="0">
                <a:pos x="csX2644" y="csY2644"/>
              </a:cxn>
              <a:cxn ang="0">
                <a:pos x="csX2645" y="csY2645"/>
              </a:cxn>
              <a:cxn ang="0">
                <a:pos x="csX2646" y="csY2646"/>
              </a:cxn>
              <a:cxn ang="0">
                <a:pos x="csX2647" y="csY2647"/>
              </a:cxn>
              <a:cxn ang="0">
                <a:pos x="csX2648" y="csY2648"/>
              </a:cxn>
              <a:cxn ang="0">
                <a:pos x="csX2649" y="csY2649"/>
              </a:cxn>
              <a:cxn ang="0">
                <a:pos x="csX2650" y="csY2650"/>
              </a:cxn>
              <a:cxn ang="0">
                <a:pos x="csX2651" y="csY2651"/>
              </a:cxn>
              <a:cxn ang="0">
                <a:pos x="csX2652" y="csY2652"/>
              </a:cxn>
              <a:cxn ang="0">
                <a:pos x="csX2653" y="csY2653"/>
              </a:cxn>
              <a:cxn ang="0">
                <a:pos x="csX2654" y="csY2654"/>
              </a:cxn>
              <a:cxn ang="0">
                <a:pos x="csX2655" y="csY2655"/>
              </a:cxn>
              <a:cxn ang="0">
                <a:pos x="csX2656" y="csY2656"/>
              </a:cxn>
              <a:cxn ang="0">
                <a:pos x="csX2657" y="csY2657"/>
              </a:cxn>
              <a:cxn ang="0">
                <a:pos x="csX2658" y="csY2658"/>
              </a:cxn>
              <a:cxn ang="0">
                <a:pos x="csX2659" y="csY2659"/>
              </a:cxn>
              <a:cxn ang="0">
                <a:pos x="csX2660" y="csY2660"/>
              </a:cxn>
              <a:cxn ang="0">
                <a:pos x="csX2661" y="csY2661"/>
              </a:cxn>
              <a:cxn ang="0">
                <a:pos x="csX2662" y="csY2662"/>
              </a:cxn>
              <a:cxn ang="0">
                <a:pos x="csX2663" y="csY2663"/>
              </a:cxn>
              <a:cxn ang="0">
                <a:pos x="csX2664" y="csY2664"/>
              </a:cxn>
              <a:cxn ang="0">
                <a:pos x="csX2665" y="csY2665"/>
              </a:cxn>
              <a:cxn ang="0">
                <a:pos x="csX2666" y="csY2666"/>
              </a:cxn>
              <a:cxn ang="0">
                <a:pos x="csX2667" y="csY2667"/>
              </a:cxn>
              <a:cxn ang="0">
                <a:pos x="csX2668" y="csY2668"/>
              </a:cxn>
              <a:cxn ang="0">
                <a:pos x="csX2669" y="csY2669"/>
              </a:cxn>
              <a:cxn ang="0">
                <a:pos x="csX2670" y="csY2670"/>
              </a:cxn>
              <a:cxn ang="0">
                <a:pos x="csX2671" y="csY2671"/>
              </a:cxn>
              <a:cxn ang="0">
                <a:pos x="csX2672" y="csY2672"/>
              </a:cxn>
              <a:cxn ang="0">
                <a:pos x="csX2673" y="csY2673"/>
              </a:cxn>
              <a:cxn ang="0">
                <a:pos x="csX2674" y="csY2674"/>
              </a:cxn>
              <a:cxn ang="0">
                <a:pos x="csX2675" y="csY2675"/>
              </a:cxn>
              <a:cxn ang="0">
                <a:pos x="csX2676" y="csY2676"/>
              </a:cxn>
              <a:cxn ang="0">
                <a:pos x="csX2677" y="csY2677"/>
              </a:cxn>
              <a:cxn ang="0">
                <a:pos x="csX2678" y="csY2678"/>
              </a:cxn>
              <a:cxn ang="0">
                <a:pos x="csX2679" y="csY2679"/>
              </a:cxn>
              <a:cxn ang="0">
                <a:pos x="csX2680" y="csY2680"/>
              </a:cxn>
              <a:cxn ang="0">
                <a:pos x="csX2681" y="csY2681"/>
              </a:cxn>
              <a:cxn ang="0">
                <a:pos x="csX2682" y="csY2682"/>
              </a:cxn>
              <a:cxn ang="0">
                <a:pos x="csX2683" y="csY2683"/>
              </a:cxn>
              <a:cxn ang="0">
                <a:pos x="csX2684" y="csY2684"/>
              </a:cxn>
              <a:cxn ang="0">
                <a:pos x="csX2685" y="csY2685"/>
              </a:cxn>
              <a:cxn ang="0">
                <a:pos x="csX2686" y="csY2686"/>
              </a:cxn>
              <a:cxn ang="0">
                <a:pos x="csX2687" y="csY2687"/>
              </a:cxn>
              <a:cxn ang="0">
                <a:pos x="csX2688" y="csY2688"/>
              </a:cxn>
              <a:cxn ang="0">
                <a:pos x="csX2689" y="csY2689"/>
              </a:cxn>
              <a:cxn ang="0">
                <a:pos x="csX2690" y="csY2690"/>
              </a:cxn>
              <a:cxn ang="0">
                <a:pos x="csX2691" y="csY2691"/>
              </a:cxn>
              <a:cxn ang="0">
                <a:pos x="csX2692" y="csY2692"/>
              </a:cxn>
              <a:cxn ang="0">
                <a:pos x="csX2693" y="csY2693"/>
              </a:cxn>
              <a:cxn ang="0">
                <a:pos x="csX2694" y="csY2694"/>
              </a:cxn>
              <a:cxn ang="0">
                <a:pos x="csX2695" y="csY2695"/>
              </a:cxn>
              <a:cxn ang="0">
                <a:pos x="csX2696" y="csY2696"/>
              </a:cxn>
              <a:cxn ang="0">
                <a:pos x="csX2697" y="csY2697"/>
              </a:cxn>
              <a:cxn ang="0">
                <a:pos x="csX2698" y="csY2698"/>
              </a:cxn>
              <a:cxn ang="0">
                <a:pos x="csX2699" y="csY2699"/>
              </a:cxn>
              <a:cxn ang="0">
                <a:pos x="csX2700" y="csY2700"/>
              </a:cxn>
              <a:cxn ang="0">
                <a:pos x="csX2701" y="csY2701"/>
              </a:cxn>
              <a:cxn ang="0">
                <a:pos x="csX2702" y="csY2702"/>
              </a:cxn>
              <a:cxn ang="0">
                <a:pos x="csX2703" y="csY2703"/>
              </a:cxn>
              <a:cxn ang="0">
                <a:pos x="csX2704" y="csY2704"/>
              </a:cxn>
              <a:cxn ang="0">
                <a:pos x="csX2705" y="csY2705"/>
              </a:cxn>
              <a:cxn ang="0">
                <a:pos x="csX2706" y="csY2706"/>
              </a:cxn>
              <a:cxn ang="0">
                <a:pos x="csX2707" y="csY2707"/>
              </a:cxn>
              <a:cxn ang="0">
                <a:pos x="csX2708" y="csY2708"/>
              </a:cxn>
              <a:cxn ang="0">
                <a:pos x="csX2709" y="csY2709"/>
              </a:cxn>
              <a:cxn ang="0">
                <a:pos x="csX2710" y="csY2710"/>
              </a:cxn>
              <a:cxn ang="0">
                <a:pos x="csX2711" y="csY2711"/>
              </a:cxn>
              <a:cxn ang="0">
                <a:pos x="csX2712" y="csY2712"/>
              </a:cxn>
              <a:cxn ang="0">
                <a:pos x="csX2713" y="csY2713"/>
              </a:cxn>
              <a:cxn ang="0">
                <a:pos x="csX2714" y="csY2714"/>
              </a:cxn>
              <a:cxn ang="0">
                <a:pos x="csX2715" y="csY2715"/>
              </a:cxn>
              <a:cxn ang="0">
                <a:pos x="csX2716" y="csY2716"/>
              </a:cxn>
              <a:cxn ang="0">
                <a:pos x="csX2717" y="csY2717"/>
              </a:cxn>
              <a:cxn ang="0">
                <a:pos x="csX2718" y="csY2718"/>
              </a:cxn>
              <a:cxn ang="0">
                <a:pos x="csX2719" y="csY2719"/>
              </a:cxn>
              <a:cxn ang="0">
                <a:pos x="csX2720" y="csY2720"/>
              </a:cxn>
              <a:cxn ang="0">
                <a:pos x="csX2721" y="csY2721"/>
              </a:cxn>
              <a:cxn ang="0">
                <a:pos x="csX2722" y="csY2722"/>
              </a:cxn>
              <a:cxn ang="0">
                <a:pos x="csX2723" y="csY2723"/>
              </a:cxn>
              <a:cxn ang="0">
                <a:pos x="csX2724" y="csY2724"/>
              </a:cxn>
              <a:cxn ang="0">
                <a:pos x="csX2725" y="csY2725"/>
              </a:cxn>
              <a:cxn ang="0">
                <a:pos x="csX2726" y="csY2726"/>
              </a:cxn>
              <a:cxn ang="0">
                <a:pos x="csX2727" y="csY2727"/>
              </a:cxn>
              <a:cxn ang="0">
                <a:pos x="csX2728" y="csY2728"/>
              </a:cxn>
              <a:cxn ang="0">
                <a:pos x="csX2729" y="csY2729"/>
              </a:cxn>
              <a:cxn ang="0">
                <a:pos x="csX2730" y="csY2730"/>
              </a:cxn>
              <a:cxn ang="0">
                <a:pos x="csX2731" y="csY2731"/>
              </a:cxn>
              <a:cxn ang="0">
                <a:pos x="csX2732" y="csY2732"/>
              </a:cxn>
              <a:cxn ang="0">
                <a:pos x="csX2733" y="csY2733"/>
              </a:cxn>
              <a:cxn ang="0">
                <a:pos x="csX2734" y="csY2734"/>
              </a:cxn>
              <a:cxn ang="0">
                <a:pos x="csX2735" y="csY2735"/>
              </a:cxn>
              <a:cxn ang="0">
                <a:pos x="csX2736" y="csY2736"/>
              </a:cxn>
              <a:cxn ang="0">
                <a:pos x="csX2737" y="csY2737"/>
              </a:cxn>
              <a:cxn ang="0">
                <a:pos x="csX2738" y="csY2738"/>
              </a:cxn>
              <a:cxn ang="0">
                <a:pos x="csX2739" y="csY2739"/>
              </a:cxn>
              <a:cxn ang="0">
                <a:pos x="csX2740" y="csY2740"/>
              </a:cxn>
              <a:cxn ang="0">
                <a:pos x="csX2741" y="csY2741"/>
              </a:cxn>
              <a:cxn ang="0">
                <a:pos x="csX2742" y="csY2742"/>
              </a:cxn>
              <a:cxn ang="0">
                <a:pos x="csX2743" y="csY2743"/>
              </a:cxn>
              <a:cxn ang="0">
                <a:pos x="csX2744" y="csY2744"/>
              </a:cxn>
              <a:cxn ang="0">
                <a:pos x="csX2745" y="csY2745"/>
              </a:cxn>
              <a:cxn ang="0">
                <a:pos x="csX2746" y="csY2746"/>
              </a:cxn>
              <a:cxn ang="0">
                <a:pos x="csX2747" y="csY2747"/>
              </a:cxn>
              <a:cxn ang="0">
                <a:pos x="csX2748" y="csY2748"/>
              </a:cxn>
              <a:cxn ang="0">
                <a:pos x="csX2749" y="csY2749"/>
              </a:cxn>
              <a:cxn ang="0">
                <a:pos x="csX2750" y="csY2750"/>
              </a:cxn>
              <a:cxn ang="0">
                <a:pos x="csX2751" y="csY2751"/>
              </a:cxn>
              <a:cxn ang="0">
                <a:pos x="csX2752" y="csY2752"/>
              </a:cxn>
              <a:cxn ang="0">
                <a:pos x="csX2753" y="csY2753"/>
              </a:cxn>
              <a:cxn ang="0">
                <a:pos x="csX2754" y="csY2754"/>
              </a:cxn>
              <a:cxn ang="0">
                <a:pos x="csX2755" y="csY2755"/>
              </a:cxn>
              <a:cxn ang="0">
                <a:pos x="csX2756" y="csY2756"/>
              </a:cxn>
              <a:cxn ang="0">
                <a:pos x="csX2757" y="csY2757"/>
              </a:cxn>
              <a:cxn ang="0">
                <a:pos x="csX2758" y="csY2758"/>
              </a:cxn>
              <a:cxn ang="0">
                <a:pos x="csX2759" y="csY2759"/>
              </a:cxn>
              <a:cxn ang="0">
                <a:pos x="csX2760" y="csY2760"/>
              </a:cxn>
              <a:cxn ang="0">
                <a:pos x="csX2761" y="csY2761"/>
              </a:cxn>
              <a:cxn ang="0">
                <a:pos x="csX2762" y="csY2762"/>
              </a:cxn>
              <a:cxn ang="0">
                <a:pos x="csX2763" y="csY2763"/>
              </a:cxn>
              <a:cxn ang="0">
                <a:pos x="csX2764" y="csY2764"/>
              </a:cxn>
              <a:cxn ang="0">
                <a:pos x="csX2765" y="csY2765"/>
              </a:cxn>
              <a:cxn ang="0">
                <a:pos x="csX2766" y="csY2766"/>
              </a:cxn>
              <a:cxn ang="0">
                <a:pos x="csX2767" y="csY2767"/>
              </a:cxn>
              <a:cxn ang="0">
                <a:pos x="csX2768" y="csY2768"/>
              </a:cxn>
              <a:cxn ang="0">
                <a:pos x="csX2769" y="csY2769"/>
              </a:cxn>
              <a:cxn ang="0">
                <a:pos x="csX2770" y="csY2770"/>
              </a:cxn>
              <a:cxn ang="0">
                <a:pos x="csX2771" y="csY2771"/>
              </a:cxn>
              <a:cxn ang="0">
                <a:pos x="csX2772" y="csY2772"/>
              </a:cxn>
              <a:cxn ang="0">
                <a:pos x="csX2773" y="csY2773"/>
              </a:cxn>
              <a:cxn ang="0">
                <a:pos x="csX2774" y="csY2774"/>
              </a:cxn>
              <a:cxn ang="0">
                <a:pos x="csX2775" y="csY2775"/>
              </a:cxn>
              <a:cxn ang="0">
                <a:pos x="csX2776" y="csY2776"/>
              </a:cxn>
              <a:cxn ang="0">
                <a:pos x="csX2777" y="csY2777"/>
              </a:cxn>
              <a:cxn ang="0">
                <a:pos x="csX2778" y="csY2778"/>
              </a:cxn>
              <a:cxn ang="0">
                <a:pos x="csX2779" y="csY2779"/>
              </a:cxn>
              <a:cxn ang="0">
                <a:pos x="csX2780" y="csY2780"/>
              </a:cxn>
              <a:cxn ang="0">
                <a:pos x="csX2781" y="csY2781"/>
              </a:cxn>
              <a:cxn ang="0">
                <a:pos x="csX2782" y="csY2782"/>
              </a:cxn>
              <a:cxn ang="0">
                <a:pos x="csX2783" y="csY2783"/>
              </a:cxn>
              <a:cxn ang="0">
                <a:pos x="csX2784" y="csY2784"/>
              </a:cxn>
              <a:cxn ang="0">
                <a:pos x="csX2785" y="csY2785"/>
              </a:cxn>
              <a:cxn ang="0">
                <a:pos x="csX2786" y="csY2786"/>
              </a:cxn>
              <a:cxn ang="0">
                <a:pos x="csX2787" y="csY2787"/>
              </a:cxn>
              <a:cxn ang="0">
                <a:pos x="csX2788" y="csY2788"/>
              </a:cxn>
              <a:cxn ang="0">
                <a:pos x="csX2789" y="csY2789"/>
              </a:cxn>
              <a:cxn ang="0">
                <a:pos x="csX2790" y="csY2790"/>
              </a:cxn>
              <a:cxn ang="0">
                <a:pos x="csX2791" y="csY2791"/>
              </a:cxn>
              <a:cxn ang="0">
                <a:pos x="csX2792" y="csY2792"/>
              </a:cxn>
              <a:cxn ang="0">
                <a:pos x="csX2793" y="csY2793"/>
              </a:cxn>
              <a:cxn ang="0">
                <a:pos x="csX2794" y="csY2794"/>
              </a:cxn>
              <a:cxn ang="0">
                <a:pos x="csX2795" y="csY2795"/>
              </a:cxn>
              <a:cxn ang="0">
                <a:pos x="csX2796" y="csY2796"/>
              </a:cxn>
              <a:cxn ang="0">
                <a:pos x="csX2797" y="csY2797"/>
              </a:cxn>
              <a:cxn ang="0">
                <a:pos x="csX2798" y="csY2798"/>
              </a:cxn>
              <a:cxn ang="0">
                <a:pos x="csX2799" y="csY2799"/>
              </a:cxn>
              <a:cxn ang="0">
                <a:pos x="csX2800" y="csY2800"/>
              </a:cxn>
              <a:cxn ang="0">
                <a:pos x="csX2801" y="csY2801"/>
              </a:cxn>
              <a:cxn ang="0">
                <a:pos x="csX2802" y="csY2802"/>
              </a:cxn>
              <a:cxn ang="0">
                <a:pos x="csX2803" y="csY2803"/>
              </a:cxn>
              <a:cxn ang="0">
                <a:pos x="csX2804" y="csY2804"/>
              </a:cxn>
              <a:cxn ang="0">
                <a:pos x="csX2805" y="csY2805"/>
              </a:cxn>
              <a:cxn ang="0">
                <a:pos x="csX2806" y="csY2806"/>
              </a:cxn>
              <a:cxn ang="0">
                <a:pos x="csX2807" y="csY2807"/>
              </a:cxn>
              <a:cxn ang="0">
                <a:pos x="csX2808" y="csY2808"/>
              </a:cxn>
              <a:cxn ang="0">
                <a:pos x="csX2809" y="csY2809"/>
              </a:cxn>
              <a:cxn ang="0">
                <a:pos x="csX2810" y="csY2810"/>
              </a:cxn>
              <a:cxn ang="0">
                <a:pos x="csX2811" y="csY2811"/>
              </a:cxn>
              <a:cxn ang="0">
                <a:pos x="csX2812" y="csY2812"/>
              </a:cxn>
              <a:cxn ang="0">
                <a:pos x="csX2813" y="csY2813"/>
              </a:cxn>
              <a:cxn ang="0">
                <a:pos x="csX2814" y="csY2814"/>
              </a:cxn>
              <a:cxn ang="0">
                <a:pos x="csX2815" y="csY2815"/>
              </a:cxn>
              <a:cxn ang="0">
                <a:pos x="csX2816" y="csY2816"/>
              </a:cxn>
              <a:cxn ang="0">
                <a:pos x="csX2817" y="csY2817"/>
              </a:cxn>
              <a:cxn ang="0">
                <a:pos x="csX2818" y="csY2818"/>
              </a:cxn>
              <a:cxn ang="0">
                <a:pos x="csX2819" y="csY2819"/>
              </a:cxn>
              <a:cxn ang="0">
                <a:pos x="csX2820" y="csY2820"/>
              </a:cxn>
              <a:cxn ang="0">
                <a:pos x="csX2821" y="csY2821"/>
              </a:cxn>
              <a:cxn ang="0">
                <a:pos x="csX2822" y="csY2822"/>
              </a:cxn>
              <a:cxn ang="0">
                <a:pos x="csX2823" y="csY2823"/>
              </a:cxn>
              <a:cxn ang="0">
                <a:pos x="csX2824" y="csY2824"/>
              </a:cxn>
              <a:cxn ang="0">
                <a:pos x="csX2825" y="csY2825"/>
              </a:cxn>
              <a:cxn ang="0">
                <a:pos x="csX2826" y="csY2826"/>
              </a:cxn>
              <a:cxn ang="0">
                <a:pos x="csX2827" y="csY2827"/>
              </a:cxn>
              <a:cxn ang="0">
                <a:pos x="csX2828" y="csY2828"/>
              </a:cxn>
              <a:cxn ang="0">
                <a:pos x="csX2829" y="csY2829"/>
              </a:cxn>
              <a:cxn ang="0">
                <a:pos x="csX2830" y="csY2830"/>
              </a:cxn>
              <a:cxn ang="0">
                <a:pos x="csX2831" y="csY2831"/>
              </a:cxn>
              <a:cxn ang="0">
                <a:pos x="csX2832" y="csY2832"/>
              </a:cxn>
              <a:cxn ang="0">
                <a:pos x="csX2833" y="csY2833"/>
              </a:cxn>
              <a:cxn ang="0">
                <a:pos x="csX2834" y="csY2834"/>
              </a:cxn>
              <a:cxn ang="0">
                <a:pos x="csX2835" y="csY2835"/>
              </a:cxn>
              <a:cxn ang="0">
                <a:pos x="csX2836" y="csY2836"/>
              </a:cxn>
              <a:cxn ang="0">
                <a:pos x="csX2837" y="csY2837"/>
              </a:cxn>
              <a:cxn ang="0">
                <a:pos x="csX2838" y="csY2838"/>
              </a:cxn>
              <a:cxn ang="0">
                <a:pos x="csX2839" y="csY2839"/>
              </a:cxn>
              <a:cxn ang="0">
                <a:pos x="csX2840" y="csY2840"/>
              </a:cxn>
              <a:cxn ang="0">
                <a:pos x="csX2841" y="csY2841"/>
              </a:cxn>
              <a:cxn ang="0">
                <a:pos x="csX2842" y="csY2842"/>
              </a:cxn>
              <a:cxn ang="0">
                <a:pos x="csX2843" y="csY2843"/>
              </a:cxn>
              <a:cxn ang="0">
                <a:pos x="csX2844" y="csY2844"/>
              </a:cxn>
              <a:cxn ang="0">
                <a:pos x="csX2845" y="csY2845"/>
              </a:cxn>
              <a:cxn ang="0">
                <a:pos x="csX2846" y="csY2846"/>
              </a:cxn>
              <a:cxn ang="0">
                <a:pos x="csX2847" y="csY2847"/>
              </a:cxn>
              <a:cxn ang="0">
                <a:pos x="csX2848" y="csY2848"/>
              </a:cxn>
              <a:cxn ang="0">
                <a:pos x="csX2849" y="csY2849"/>
              </a:cxn>
              <a:cxn ang="0">
                <a:pos x="csX2850" y="csY2850"/>
              </a:cxn>
              <a:cxn ang="0">
                <a:pos x="csX2851" y="csY2851"/>
              </a:cxn>
              <a:cxn ang="0">
                <a:pos x="csX2852" y="csY2852"/>
              </a:cxn>
              <a:cxn ang="0">
                <a:pos x="csX2853" y="csY2853"/>
              </a:cxn>
              <a:cxn ang="0">
                <a:pos x="csX2854" y="csY2854"/>
              </a:cxn>
              <a:cxn ang="0">
                <a:pos x="csX2855" y="csY2855"/>
              </a:cxn>
              <a:cxn ang="0">
                <a:pos x="csX2856" y="csY2856"/>
              </a:cxn>
              <a:cxn ang="0">
                <a:pos x="csX2857" y="csY2857"/>
              </a:cxn>
              <a:cxn ang="0">
                <a:pos x="csX2858" y="csY2858"/>
              </a:cxn>
              <a:cxn ang="0">
                <a:pos x="csX2859" y="csY2859"/>
              </a:cxn>
              <a:cxn ang="0">
                <a:pos x="csX2860" y="csY2860"/>
              </a:cxn>
              <a:cxn ang="0">
                <a:pos x="csX2861" y="csY2861"/>
              </a:cxn>
              <a:cxn ang="0">
                <a:pos x="csX2862" y="csY2862"/>
              </a:cxn>
              <a:cxn ang="0">
                <a:pos x="csX2863" y="csY2863"/>
              </a:cxn>
              <a:cxn ang="0">
                <a:pos x="csX2864" y="csY2864"/>
              </a:cxn>
              <a:cxn ang="0">
                <a:pos x="csX2865" y="csY2865"/>
              </a:cxn>
              <a:cxn ang="0">
                <a:pos x="csX2866" y="csY2866"/>
              </a:cxn>
              <a:cxn ang="0">
                <a:pos x="csX2867" y="csY2867"/>
              </a:cxn>
              <a:cxn ang="0">
                <a:pos x="csX2868" y="csY2868"/>
              </a:cxn>
              <a:cxn ang="0">
                <a:pos x="csX2869" y="csY2869"/>
              </a:cxn>
              <a:cxn ang="0">
                <a:pos x="csX2870" y="csY2870"/>
              </a:cxn>
              <a:cxn ang="0">
                <a:pos x="csX2871" y="csY2871"/>
              </a:cxn>
              <a:cxn ang="0">
                <a:pos x="csX2872" y="csY2872"/>
              </a:cxn>
              <a:cxn ang="0">
                <a:pos x="csX2873" y="csY2873"/>
              </a:cxn>
              <a:cxn ang="0">
                <a:pos x="csX2874" y="csY2874"/>
              </a:cxn>
              <a:cxn ang="0">
                <a:pos x="csX2875" y="csY2875"/>
              </a:cxn>
              <a:cxn ang="0">
                <a:pos x="csX2876" y="csY2876"/>
              </a:cxn>
              <a:cxn ang="0">
                <a:pos x="csX2877" y="csY2877"/>
              </a:cxn>
              <a:cxn ang="0">
                <a:pos x="csX2878" y="csY2878"/>
              </a:cxn>
              <a:cxn ang="0">
                <a:pos x="csX2879" y="csY2879"/>
              </a:cxn>
              <a:cxn ang="0">
                <a:pos x="csX2880" y="csY2880"/>
              </a:cxn>
              <a:cxn ang="0">
                <a:pos x="csX2881" y="csY2881"/>
              </a:cxn>
              <a:cxn ang="0">
                <a:pos x="csX2882" y="csY2882"/>
              </a:cxn>
              <a:cxn ang="0">
                <a:pos x="csX2883" y="csY2883"/>
              </a:cxn>
              <a:cxn ang="0">
                <a:pos x="csX2884" y="csY2884"/>
              </a:cxn>
              <a:cxn ang="0">
                <a:pos x="csX2885" y="csY2885"/>
              </a:cxn>
              <a:cxn ang="0">
                <a:pos x="csX2886" y="csY2886"/>
              </a:cxn>
              <a:cxn ang="0">
                <a:pos x="csX2887" y="csY2887"/>
              </a:cxn>
              <a:cxn ang="0">
                <a:pos x="csX2888" y="csY2888"/>
              </a:cxn>
              <a:cxn ang="0">
                <a:pos x="csX2889" y="csY2889"/>
              </a:cxn>
              <a:cxn ang="0">
                <a:pos x="csX2890" y="csY2890"/>
              </a:cxn>
              <a:cxn ang="0">
                <a:pos x="csX2891" y="csY2891"/>
              </a:cxn>
              <a:cxn ang="0">
                <a:pos x="csX2892" y="csY2892"/>
              </a:cxn>
              <a:cxn ang="0">
                <a:pos x="csX2893" y="csY2893"/>
              </a:cxn>
              <a:cxn ang="0">
                <a:pos x="csX2894" y="csY2894"/>
              </a:cxn>
              <a:cxn ang="0">
                <a:pos x="csX2895" y="csY2895"/>
              </a:cxn>
              <a:cxn ang="0">
                <a:pos x="csX2896" y="csY2896"/>
              </a:cxn>
              <a:cxn ang="0">
                <a:pos x="csX2897" y="csY2897"/>
              </a:cxn>
              <a:cxn ang="0">
                <a:pos x="csX2898" y="csY2898"/>
              </a:cxn>
              <a:cxn ang="0">
                <a:pos x="csX2899" y="csY2899"/>
              </a:cxn>
              <a:cxn ang="0">
                <a:pos x="csX2900" y="csY2900"/>
              </a:cxn>
              <a:cxn ang="0">
                <a:pos x="csX2901" y="csY2901"/>
              </a:cxn>
              <a:cxn ang="0">
                <a:pos x="csX2902" y="csY2902"/>
              </a:cxn>
              <a:cxn ang="0">
                <a:pos x="csX2903" y="csY2903"/>
              </a:cxn>
              <a:cxn ang="0">
                <a:pos x="csX2904" y="csY2904"/>
              </a:cxn>
              <a:cxn ang="0">
                <a:pos x="csX2905" y="csY2905"/>
              </a:cxn>
              <a:cxn ang="0">
                <a:pos x="csX2906" y="csY2906"/>
              </a:cxn>
              <a:cxn ang="0">
                <a:pos x="csX2907" y="csY2907"/>
              </a:cxn>
              <a:cxn ang="0">
                <a:pos x="csX2908" y="csY2908"/>
              </a:cxn>
              <a:cxn ang="0">
                <a:pos x="csX2909" y="csY2909"/>
              </a:cxn>
              <a:cxn ang="0">
                <a:pos x="csX2910" y="csY2910"/>
              </a:cxn>
              <a:cxn ang="0">
                <a:pos x="csX2911" y="csY2911"/>
              </a:cxn>
              <a:cxn ang="0">
                <a:pos x="csX2912" y="csY2912"/>
              </a:cxn>
              <a:cxn ang="0">
                <a:pos x="csX2913" y="csY2913"/>
              </a:cxn>
              <a:cxn ang="0">
                <a:pos x="csX2914" y="csY2914"/>
              </a:cxn>
              <a:cxn ang="0">
                <a:pos x="csX2915" y="csY2915"/>
              </a:cxn>
              <a:cxn ang="0">
                <a:pos x="csX2916" y="csY2916"/>
              </a:cxn>
              <a:cxn ang="0">
                <a:pos x="csX2917" y="csY2917"/>
              </a:cxn>
              <a:cxn ang="0">
                <a:pos x="csX2918" y="csY2918"/>
              </a:cxn>
              <a:cxn ang="0">
                <a:pos x="csX2919" y="csY2919"/>
              </a:cxn>
              <a:cxn ang="0">
                <a:pos x="csX2920" y="csY2920"/>
              </a:cxn>
              <a:cxn ang="0">
                <a:pos x="csX2921" y="csY2921"/>
              </a:cxn>
              <a:cxn ang="0">
                <a:pos x="csX2922" y="csY2922"/>
              </a:cxn>
              <a:cxn ang="0">
                <a:pos x="csX2923" y="csY2923"/>
              </a:cxn>
              <a:cxn ang="0">
                <a:pos x="csX2924" y="csY2924"/>
              </a:cxn>
              <a:cxn ang="0">
                <a:pos x="csX2925" y="csY2925"/>
              </a:cxn>
              <a:cxn ang="0">
                <a:pos x="csX2926" y="csY2926"/>
              </a:cxn>
              <a:cxn ang="0">
                <a:pos x="csX2927" y="csY2927"/>
              </a:cxn>
              <a:cxn ang="0">
                <a:pos x="csX2928" y="csY2928"/>
              </a:cxn>
              <a:cxn ang="0">
                <a:pos x="csX2929" y="csY2929"/>
              </a:cxn>
              <a:cxn ang="0">
                <a:pos x="csX2930" y="csY2930"/>
              </a:cxn>
              <a:cxn ang="0">
                <a:pos x="csX2931" y="csY2931"/>
              </a:cxn>
              <a:cxn ang="0">
                <a:pos x="csX2932" y="csY2932"/>
              </a:cxn>
              <a:cxn ang="0">
                <a:pos x="csX2933" y="csY2933"/>
              </a:cxn>
              <a:cxn ang="0">
                <a:pos x="csX2934" y="csY2934"/>
              </a:cxn>
              <a:cxn ang="0">
                <a:pos x="csX2935" y="csY2935"/>
              </a:cxn>
              <a:cxn ang="0">
                <a:pos x="csX2936" y="csY2936"/>
              </a:cxn>
              <a:cxn ang="0">
                <a:pos x="csX2937" y="csY2937"/>
              </a:cxn>
              <a:cxn ang="0">
                <a:pos x="csX2938" y="csY2938"/>
              </a:cxn>
              <a:cxn ang="0">
                <a:pos x="csX2939" y="csY2939"/>
              </a:cxn>
              <a:cxn ang="0">
                <a:pos x="csX2940" y="csY2940"/>
              </a:cxn>
              <a:cxn ang="0">
                <a:pos x="csX2941" y="csY2941"/>
              </a:cxn>
              <a:cxn ang="0">
                <a:pos x="csX2942" y="csY2942"/>
              </a:cxn>
              <a:cxn ang="0">
                <a:pos x="csX2943" y="csY2943"/>
              </a:cxn>
              <a:cxn ang="0">
                <a:pos x="csX2944" y="csY2944"/>
              </a:cxn>
              <a:cxn ang="0">
                <a:pos x="csX2945" y="csY2945"/>
              </a:cxn>
              <a:cxn ang="0">
                <a:pos x="csX2946" y="csY2946"/>
              </a:cxn>
              <a:cxn ang="0">
                <a:pos x="csX2947" y="csY2947"/>
              </a:cxn>
              <a:cxn ang="0">
                <a:pos x="csX2948" y="csY2948"/>
              </a:cxn>
              <a:cxn ang="0">
                <a:pos x="csX2949" y="csY2949"/>
              </a:cxn>
              <a:cxn ang="0">
                <a:pos x="csX2950" y="csY2950"/>
              </a:cxn>
              <a:cxn ang="0">
                <a:pos x="csX2951" y="csY2951"/>
              </a:cxn>
              <a:cxn ang="0">
                <a:pos x="csX2952" y="csY2952"/>
              </a:cxn>
              <a:cxn ang="0">
                <a:pos x="csX2953" y="csY2953"/>
              </a:cxn>
              <a:cxn ang="0">
                <a:pos x="csX2954" y="csY2954"/>
              </a:cxn>
              <a:cxn ang="0">
                <a:pos x="csX2955" y="csY2955"/>
              </a:cxn>
              <a:cxn ang="0">
                <a:pos x="csX2956" y="csY2956"/>
              </a:cxn>
              <a:cxn ang="0">
                <a:pos x="csX2957" y="csY2957"/>
              </a:cxn>
              <a:cxn ang="0">
                <a:pos x="csX2958" y="csY2958"/>
              </a:cxn>
              <a:cxn ang="0">
                <a:pos x="csX2959" y="csY2959"/>
              </a:cxn>
              <a:cxn ang="0">
                <a:pos x="csX2960" y="csY2960"/>
              </a:cxn>
              <a:cxn ang="0">
                <a:pos x="csX2961" y="csY2961"/>
              </a:cxn>
              <a:cxn ang="0">
                <a:pos x="csX2962" y="csY2962"/>
              </a:cxn>
              <a:cxn ang="0">
                <a:pos x="csX2963" y="csY2963"/>
              </a:cxn>
              <a:cxn ang="0">
                <a:pos x="csX2964" y="csY2964"/>
              </a:cxn>
              <a:cxn ang="0">
                <a:pos x="csX2965" y="csY2965"/>
              </a:cxn>
              <a:cxn ang="0">
                <a:pos x="csX2966" y="csY2966"/>
              </a:cxn>
              <a:cxn ang="0">
                <a:pos x="csX2967" y="csY2967"/>
              </a:cxn>
              <a:cxn ang="0">
                <a:pos x="csX2968" y="csY2968"/>
              </a:cxn>
              <a:cxn ang="0">
                <a:pos x="csX2969" y="csY2969"/>
              </a:cxn>
              <a:cxn ang="0">
                <a:pos x="csX2970" y="csY2970"/>
              </a:cxn>
              <a:cxn ang="0">
                <a:pos x="csX2971" y="csY2971"/>
              </a:cxn>
              <a:cxn ang="0">
                <a:pos x="csX2972" y="csY2972"/>
              </a:cxn>
              <a:cxn ang="0">
                <a:pos x="csX2973" y="csY2973"/>
              </a:cxn>
              <a:cxn ang="0">
                <a:pos x="csX2974" y="csY2974"/>
              </a:cxn>
              <a:cxn ang="0">
                <a:pos x="csX2975" y="csY2975"/>
              </a:cxn>
              <a:cxn ang="0">
                <a:pos x="csX2976" y="csY2976"/>
              </a:cxn>
              <a:cxn ang="0">
                <a:pos x="csX2977" y="csY2977"/>
              </a:cxn>
              <a:cxn ang="0">
                <a:pos x="csX2978" y="csY2978"/>
              </a:cxn>
              <a:cxn ang="0">
                <a:pos x="csX2979" y="csY2979"/>
              </a:cxn>
              <a:cxn ang="0">
                <a:pos x="csX2980" y="csY2980"/>
              </a:cxn>
              <a:cxn ang="0">
                <a:pos x="csX2981" y="csY2981"/>
              </a:cxn>
              <a:cxn ang="0">
                <a:pos x="csX2982" y="csY2982"/>
              </a:cxn>
              <a:cxn ang="0">
                <a:pos x="csX2983" y="csY2983"/>
              </a:cxn>
              <a:cxn ang="0">
                <a:pos x="csX2984" y="csY2984"/>
              </a:cxn>
              <a:cxn ang="0">
                <a:pos x="csX2985" y="csY2985"/>
              </a:cxn>
              <a:cxn ang="0">
                <a:pos x="csX2986" y="csY2986"/>
              </a:cxn>
              <a:cxn ang="0">
                <a:pos x="csX2987" y="csY2987"/>
              </a:cxn>
              <a:cxn ang="0">
                <a:pos x="csX2988" y="csY2988"/>
              </a:cxn>
              <a:cxn ang="0">
                <a:pos x="csX2989" y="csY2989"/>
              </a:cxn>
              <a:cxn ang="0">
                <a:pos x="csX2990" y="csY2990"/>
              </a:cxn>
              <a:cxn ang="0">
                <a:pos x="csX2991" y="csY2991"/>
              </a:cxn>
              <a:cxn ang="0">
                <a:pos x="csX2992" y="csY2992"/>
              </a:cxn>
              <a:cxn ang="0">
                <a:pos x="csX2993" y="csY2993"/>
              </a:cxn>
              <a:cxn ang="0">
                <a:pos x="csX2994" y="csY2994"/>
              </a:cxn>
              <a:cxn ang="0">
                <a:pos x="csX2995" y="csY2995"/>
              </a:cxn>
              <a:cxn ang="0">
                <a:pos x="csX2996" y="csY2996"/>
              </a:cxn>
              <a:cxn ang="0">
                <a:pos x="csX2997" y="csY2997"/>
              </a:cxn>
              <a:cxn ang="0">
                <a:pos x="csX2998" y="csY2998"/>
              </a:cxn>
              <a:cxn ang="0">
                <a:pos x="csX2999" y="csY2999"/>
              </a:cxn>
              <a:cxn ang="0">
                <a:pos x="csX3000" y="csY3000"/>
              </a:cxn>
              <a:cxn ang="0">
                <a:pos x="csX3001" y="csY3001"/>
              </a:cxn>
              <a:cxn ang="0">
                <a:pos x="csX3002" y="csY3002"/>
              </a:cxn>
              <a:cxn ang="0">
                <a:pos x="csX3003" y="csY3003"/>
              </a:cxn>
              <a:cxn ang="0">
                <a:pos x="csX3004" y="csY3004"/>
              </a:cxn>
              <a:cxn ang="0">
                <a:pos x="csX3005" y="csY3005"/>
              </a:cxn>
              <a:cxn ang="0">
                <a:pos x="csX3006" y="csY3006"/>
              </a:cxn>
              <a:cxn ang="0">
                <a:pos x="csX3007" y="csY3007"/>
              </a:cxn>
              <a:cxn ang="0">
                <a:pos x="csX3008" y="csY3008"/>
              </a:cxn>
              <a:cxn ang="0">
                <a:pos x="csX3009" y="csY3009"/>
              </a:cxn>
              <a:cxn ang="0">
                <a:pos x="csX3010" y="csY3010"/>
              </a:cxn>
              <a:cxn ang="0">
                <a:pos x="csX3011" y="csY3011"/>
              </a:cxn>
              <a:cxn ang="0">
                <a:pos x="csX3012" y="csY3012"/>
              </a:cxn>
              <a:cxn ang="0">
                <a:pos x="csX3013" y="csY3013"/>
              </a:cxn>
              <a:cxn ang="0">
                <a:pos x="csX3014" y="csY3014"/>
              </a:cxn>
              <a:cxn ang="0">
                <a:pos x="csX3015" y="csY3015"/>
              </a:cxn>
              <a:cxn ang="0">
                <a:pos x="csX3016" y="csY3016"/>
              </a:cxn>
              <a:cxn ang="0">
                <a:pos x="csX3017" y="csY3017"/>
              </a:cxn>
              <a:cxn ang="0">
                <a:pos x="csX3018" y="csY3018"/>
              </a:cxn>
              <a:cxn ang="0">
                <a:pos x="csX3019" y="csY3019"/>
              </a:cxn>
              <a:cxn ang="0">
                <a:pos x="csX3020" y="csY3020"/>
              </a:cxn>
              <a:cxn ang="0">
                <a:pos x="csX3021" y="csY3021"/>
              </a:cxn>
              <a:cxn ang="0">
                <a:pos x="csX3022" y="csY3022"/>
              </a:cxn>
              <a:cxn ang="0">
                <a:pos x="csX3023" y="csY3023"/>
              </a:cxn>
              <a:cxn ang="0">
                <a:pos x="csX3024" y="csY3024"/>
              </a:cxn>
              <a:cxn ang="0">
                <a:pos x="csX3025" y="csY3025"/>
              </a:cxn>
              <a:cxn ang="0">
                <a:pos x="csX3026" y="csY3026"/>
              </a:cxn>
              <a:cxn ang="0">
                <a:pos x="csX3027" y="csY3027"/>
              </a:cxn>
              <a:cxn ang="0">
                <a:pos x="csX3028" y="csY3028"/>
              </a:cxn>
              <a:cxn ang="0">
                <a:pos x="csX3029" y="csY3029"/>
              </a:cxn>
              <a:cxn ang="0">
                <a:pos x="csX3030" y="csY3030"/>
              </a:cxn>
              <a:cxn ang="0">
                <a:pos x="csX3031" y="csY3031"/>
              </a:cxn>
              <a:cxn ang="0">
                <a:pos x="csX3032" y="csY3032"/>
              </a:cxn>
              <a:cxn ang="0">
                <a:pos x="csX3033" y="csY3033"/>
              </a:cxn>
              <a:cxn ang="0">
                <a:pos x="csX3034" y="csY3034"/>
              </a:cxn>
              <a:cxn ang="0">
                <a:pos x="csX3035" y="csY3035"/>
              </a:cxn>
              <a:cxn ang="0">
                <a:pos x="csX3036" y="csY3036"/>
              </a:cxn>
              <a:cxn ang="0">
                <a:pos x="csX3037" y="csY3037"/>
              </a:cxn>
              <a:cxn ang="0">
                <a:pos x="csX3038" y="csY3038"/>
              </a:cxn>
              <a:cxn ang="0">
                <a:pos x="csX3039" y="csY3039"/>
              </a:cxn>
              <a:cxn ang="0">
                <a:pos x="csX3040" y="csY3040"/>
              </a:cxn>
              <a:cxn ang="0">
                <a:pos x="csX3041" y="csY3041"/>
              </a:cxn>
              <a:cxn ang="0">
                <a:pos x="csX3042" y="csY3042"/>
              </a:cxn>
              <a:cxn ang="0">
                <a:pos x="csX3043" y="csY3043"/>
              </a:cxn>
              <a:cxn ang="0">
                <a:pos x="csX3044" y="csY3044"/>
              </a:cxn>
              <a:cxn ang="0">
                <a:pos x="csX3045" y="csY3045"/>
              </a:cxn>
              <a:cxn ang="0">
                <a:pos x="csX3046" y="csY3046"/>
              </a:cxn>
              <a:cxn ang="0">
                <a:pos x="csX3047" y="csY3047"/>
              </a:cxn>
              <a:cxn ang="0">
                <a:pos x="csX3048" y="csY3048"/>
              </a:cxn>
              <a:cxn ang="0">
                <a:pos x="csX3049" y="csY3049"/>
              </a:cxn>
              <a:cxn ang="0">
                <a:pos x="csX3050" y="csY3050"/>
              </a:cxn>
              <a:cxn ang="0">
                <a:pos x="csX3051" y="csY3051"/>
              </a:cxn>
              <a:cxn ang="0">
                <a:pos x="csX3052" y="csY3052"/>
              </a:cxn>
              <a:cxn ang="0">
                <a:pos x="csX3053" y="csY3053"/>
              </a:cxn>
              <a:cxn ang="0">
                <a:pos x="csX3054" y="csY3054"/>
              </a:cxn>
              <a:cxn ang="0">
                <a:pos x="csX3055" y="csY3055"/>
              </a:cxn>
              <a:cxn ang="0">
                <a:pos x="csX3056" y="csY3056"/>
              </a:cxn>
              <a:cxn ang="0">
                <a:pos x="csX3057" y="csY3057"/>
              </a:cxn>
              <a:cxn ang="0">
                <a:pos x="csX3058" y="csY3058"/>
              </a:cxn>
              <a:cxn ang="0">
                <a:pos x="csX3059" y="csY3059"/>
              </a:cxn>
              <a:cxn ang="0">
                <a:pos x="csX3060" y="csY3060"/>
              </a:cxn>
              <a:cxn ang="0">
                <a:pos x="csX3061" y="csY3061"/>
              </a:cxn>
              <a:cxn ang="0">
                <a:pos x="csX3062" y="csY3062"/>
              </a:cxn>
              <a:cxn ang="0">
                <a:pos x="csX3063" y="csY3063"/>
              </a:cxn>
              <a:cxn ang="0">
                <a:pos x="csX3064" y="csY3064"/>
              </a:cxn>
              <a:cxn ang="0">
                <a:pos x="csX3065" y="csY3065"/>
              </a:cxn>
              <a:cxn ang="0">
                <a:pos x="csX3066" y="csY3066"/>
              </a:cxn>
              <a:cxn ang="0">
                <a:pos x="csX3067" y="csY3067"/>
              </a:cxn>
              <a:cxn ang="0">
                <a:pos x="csX3068" y="csY3068"/>
              </a:cxn>
              <a:cxn ang="0">
                <a:pos x="csX3069" y="csY3069"/>
              </a:cxn>
              <a:cxn ang="0">
                <a:pos x="csX3070" y="csY3070"/>
              </a:cxn>
              <a:cxn ang="0">
                <a:pos x="csX3071" y="csY3071"/>
              </a:cxn>
              <a:cxn ang="0">
                <a:pos x="csX3072" y="csY3072"/>
              </a:cxn>
              <a:cxn ang="0">
                <a:pos x="csX3073" y="csY3073"/>
              </a:cxn>
              <a:cxn ang="0">
                <a:pos x="csX3074" y="csY3074"/>
              </a:cxn>
              <a:cxn ang="0">
                <a:pos x="csX3075" y="csY3075"/>
              </a:cxn>
              <a:cxn ang="0">
                <a:pos x="csX3076" y="csY3076"/>
              </a:cxn>
              <a:cxn ang="0">
                <a:pos x="csX3077" y="csY3077"/>
              </a:cxn>
              <a:cxn ang="0">
                <a:pos x="csX3078" y="csY3078"/>
              </a:cxn>
              <a:cxn ang="0">
                <a:pos x="csX3079" y="csY3079"/>
              </a:cxn>
              <a:cxn ang="0">
                <a:pos x="csX3080" y="csY3080"/>
              </a:cxn>
              <a:cxn ang="0">
                <a:pos x="csX3081" y="csY3081"/>
              </a:cxn>
              <a:cxn ang="0">
                <a:pos x="csX3082" y="csY3082"/>
              </a:cxn>
              <a:cxn ang="0">
                <a:pos x="csX3083" y="csY3083"/>
              </a:cxn>
              <a:cxn ang="0">
                <a:pos x="csX3084" y="csY3084"/>
              </a:cxn>
              <a:cxn ang="0">
                <a:pos x="csX3085" y="csY3085"/>
              </a:cxn>
              <a:cxn ang="0">
                <a:pos x="csX3086" y="csY3086"/>
              </a:cxn>
              <a:cxn ang="0">
                <a:pos x="csX3087" y="csY3087"/>
              </a:cxn>
              <a:cxn ang="0">
                <a:pos x="csX3088" y="csY3088"/>
              </a:cxn>
              <a:cxn ang="0">
                <a:pos x="csX3089" y="csY3089"/>
              </a:cxn>
              <a:cxn ang="0">
                <a:pos x="csX3090" y="csY3090"/>
              </a:cxn>
              <a:cxn ang="0">
                <a:pos x="csX3091" y="csY3091"/>
              </a:cxn>
              <a:cxn ang="0">
                <a:pos x="csX3092" y="csY3092"/>
              </a:cxn>
              <a:cxn ang="0">
                <a:pos x="csX3093" y="csY3093"/>
              </a:cxn>
              <a:cxn ang="0">
                <a:pos x="csX3094" y="csY3094"/>
              </a:cxn>
              <a:cxn ang="0">
                <a:pos x="csX3095" y="csY3095"/>
              </a:cxn>
              <a:cxn ang="0">
                <a:pos x="csX3096" y="csY3096"/>
              </a:cxn>
              <a:cxn ang="0">
                <a:pos x="csX3097" y="csY3097"/>
              </a:cxn>
              <a:cxn ang="0">
                <a:pos x="csX3098" y="csY3098"/>
              </a:cxn>
              <a:cxn ang="0">
                <a:pos x="csX3099" y="csY3099"/>
              </a:cxn>
              <a:cxn ang="0">
                <a:pos x="csX3100" y="csY3100"/>
              </a:cxn>
              <a:cxn ang="0">
                <a:pos x="csX3101" y="csY3101"/>
              </a:cxn>
              <a:cxn ang="0">
                <a:pos x="csX3102" y="csY3102"/>
              </a:cxn>
              <a:cxn ang="0">
                <a:pos x="csX3103" y="csY3103"/>
              </a:cxn>
              <a:cxn ang="0">
                <a:pos x="csX3104" y="csY3104"/>
              </a:cxn>
              <a:cxn ang="0">
                <a:pos x="csX3105" y="csY3105"/>
              </a:cxn>
              <a:cxn ang="0">
                <a:pos x="csX3106" y="csY3106"/>
              </a:cxn>
              <a:cxn ang="0">
                <a:pos x="csX3107" y="csY3107"/>
              </a:cxn>
              <a:cxn ang="0">
                <a:pos x="csX3108" y="csY3108"/>
              </a:cxn>
              <a:cxn ang="0">
                <a:pos x="csX3109" y="csY3109"/>
              </a:cxn>
              <a:cxn ang="0">
                <a:pos x="csX3110" y="csY3110"/>
              </a:cxn>
              <a:cxn ang="0">
                <a:pos x="csX3111" y="csY3111"/>
              </a:cxn>
              <a:cxn ang="0">
                <a:pos x="csX3112" y="csY3112"/>
              </a:cxn>
              <a:cxn ang="0">
                <a:pos x="csX3113" y="csY3113"/>
              </a:cxn>
              <a:cxn ang="0">
                <a:pos x="csX3114" y="csY3114"/>
              </a:cxn>
              <a:cxn ang="0">
                <a:pos x="csX3115" y="csY3115"/>
              </a:cxn>
              <a:cxn ang="0">
                <a:pos x="csX3116" y="csY3116"/>
              </a:cxn>
              <a:cxn ang="0">
                <a:pos x="csX3117" y="csY3117"/>
              </a:cxn>
              <a:cxn ang="0">
                <a:pos x="csX3118" y="csY3118"/>
              </a:cxn>
              <a:cxn ang="0">
                <a:pos x="csX3119" y="csY3119"/>
              </a:cxn>
              <a:cxn ang="0">
                <a:pos x="csX3120" y="csY3120"/>
              </a:cxn>
              <a:cxn ang="0">
                <a:pos x="csX3121" y="csY3121"/>
              </a:cxn>
              <a:cxn ang="0">
                <a:pos x="csX3122" y="csY3122"/>
              </a:cxn>
              <a:cxn ang="0">
                <a:pos x="csX3123" y="csY3123"/>
              </a:cxn>
              <a:cxn ang="0">
                <a:pos x="csX3124" y="csY3124"/>
              </a:cxn>
              <a:cxn ang="0">
                <a:pos x="csX3125" y="csY3125"/>
              </a:cxn>
              <a:cxn ang="0">
                <a:pos x="csX3126" y="csY3126"/>
              </a:cxn>
              <a:cxn ang="0">
                <a:pos x="csX3127" y="csY3127"/>
              </a:cxn>
              <a:cxn ang="0">
                <a:pos x="csX3128" y="csY3128"/>
              </a:cxn>
              <a:cxn ang="0">
                <a:pos x="csX3129" y="csY3129"/>
              </a:cxn>
              <a:cxn ang="0">
                <a:pos x="csX3130" y="csY3130"/>
              </a:cxn>
              <a:cxn ang="0">
                <a:pos x="csX3131" y="csY3131"/>
              </a:cxn>
              <a:cxn ang="0">
                <a:pos x="csX3132" y="csY3132"/>
              </a:cxn>
              <a:cxn ang="0">
                <a:pos x="csX3133" y="csY3133"/>
              </a:cxn>
              <a:cxn ang="0">
                <a:pos x="csX3134" y="csY3134"/>
              </a:cxn>
              <a:cxn ang="0">
                <a:pos x="csX3135" y="csY3135"/>
              </a:cxn>
              <a:cxn ang="0">
                <a:pos x="csX3136" y="csY3136"/>
              </a:cxn>
              <a:cxn ang="0">
                <a:pos x="csX3137" y="csY3137"/>
              </a:cxn>
              <a:cxn ang="0">
                <a:pos x="csX3138" y="csY3138"/>
              </a:cxn>
              <a:cxn ang="0">
                <a:pos x="csX3139" y="csY3139"/>
              </a:cxn>
              <a:cxn ang="0">
                <a:pos x="csX3140" y="csY3140"/>
              </a:cxn>
              <a:cxn ang="0">
                <a:pos x="csX3141" y="csY3141"/>
              </a:cxn>
              <a:cxn ang="0">
                <a:pos x="csX3142" y="csY3142"/>
              </a:cxn>
              <a:cxn ang="0">
                <a:pos x="csX3143" y="csY3143"/>
              </a:cxn>
              <a:cxn ang="0">
                <a:pos x="csX3144" y="csY3144"/>
              </a:cxn>
              <a:cxn ang="0">
                <a:pos x="csX3145" y="csY3145"/>
              </a:cxn>
              <a:cxn ang="0">
                <a:pos x="csX3146" y="csY3146"/>
              </a:cxn>
              <a:cxn ang="0">
                <a:pos x="csX3147" y="csY3147"/>
              </a:cxn>
              <a:cxn ang="0">
                <a:pos x="csX3148" y="csY3148"/>
              </a:cxn>
              <a:cxn ang="0">
                <a:pos x="csX3149" y="csY3149"/>
              </a:cxn>
              <a:cxn ang="0">
                <a:pos x="csX3150" y="csY3150"/>
              </a:cxn>
              <a:cxn ang="0">
                <a:pos x="csX3151" y="csY3151"/>
              </a:cxn>
              <a:cxn ang="0">
                <a:pos x="csX3152" y="csY3152"/>
              </a:cxn>
              <a:cxn ang="0">
                <a:pos x="csX3153" y="csY3153"/>
              </a:cxn>
              <a:cxn ang="0">
                <a:pos x="csX3154" y="csY3154"/>
              </a:cxn>
              <a:cxn ang="0">
                <a:pos x="csX3155" y="csY3155"/>
              </a:cxn>
              <a:cxn ang="0">
                <a:pos x="csX3156" y="csY3156"/>
              </a:cxn>
              <a:cxn ang="0">
                <a:pos x="csX3157" y="csY3157"/>
              </a:cxn>
              <a:cxn ang="0">
                <a:pos x="csX3158" y="csY3158"/>
              </a:cxn>
              <a:cxn ang="0">
                <a:pos x="csX3159" y="csY3159"/>
              </a:cxn>
              <a:cxn ang="0">
                <a:pos x="csX3160" y="csY3160"/>
              </a:cxn>
              <a:cxn ang="0">
                <a:pos x="csX3161" y="csY3161"/>
              </a:cxn>
              <a:cxn ang="0">
                <a:pos x="csX3162" y="csY3162"/>
              </a:cxn>
              <a:cxn ang="0">
                <a:pos x="csX3163" y="csY3163"/>
              </a:cxn>
              <a:cxn ang="0">
                <a:pos x="csX3164" y="csY3164"/>
              </a:cxn>
              <a:cxn ang="0">
                <a:pos x="csX3165" y="csY3165"/>
              </a:cxn>
              <a:cxn ang="0">
                <a:pos x="csX3166" y="csY3166"/>
              </a:cxn>
              <a:cxn ang="0">
                <a:pos x="csX3167" y="csY3167"/>
              </a:cxn>
              <a:cxn ang="0">
                <a:pos x="csX3168" y="csY3168"/>
              </a:cxn>
              <a:cxn ang="0">
                <a:pos x="csX3169" y="csY3169"/>
              </a:cxn>
              <a:cxn ang="0">
                <a:pos x="csX3170" y="csY3170"/>
              </a:cxn>
              <a:cxn ang="0">
                <a:pos x="csX3171" y="csY3171"/>
              </a:cxn>
              <a:cxn ang="0">
                <a:pos x="csX3172" y="csY3172"/>
              </a:cxn>
              <a:cxn ang="0">
                <a:pos x="csX3173" y="csY3173"/>
              </a:cxn>
              <a:cxn ang="0">
                <a:pos x="csX3174" y="csY3174"/>
              </a:cxn>
              <a:cxn ang="0">
                <a:pos x="csX3175" y="csY3175"/>
              </a:cxn>
              <a:cxn ang="0">
                <a:pos x="csX3176" y="csY3176"/>
              </a:cxn>
              <a:cxn ang="0">
                <a:pos x="csX3177" y="csY3177"/>
              </a:cxn>
              <a:cxn ang="0">
                <a:pos x="csX3178" y="csY3178"/>
              </a:cxn>
              <a:cxn ang="0">
                <a:pos x="csX3179" y="csY3179"/>
              </a:cxn>
              <a:cxn ang="0">
                <a:pos x="csX3180" y="csY3180"/>
              </a:cxn>
              <a:cxn ang="0">
                <a:pos x="csX3181" y="csY3181"/>
              </a:cxn>
              <a:cxn ang="0">
                <a:pos x="csX3182" y="csY3182"/>
              </a:cxn>
              <a:cxn ang="0">
                <a:pos x="csX3183" y="csY3183"/>
              </a:cxn>
              <a:cxn ang="0">
                <a:pos x="csX3184" y="csY3184"/>
              </a:cxn>
              <a:cxn ang="0">
                <a:pos x="csX3185" y="csY3185"/>
              </a:cxn>
              <a:cxn ang="0">
                <a:pos x="csX3186" y="csY3186"/>
              </a:cxn>
              <a:cxn ang="0">
                <a:pos x="csX3187" y="csY3187"/>
              </a:cxn>
              <a:cxn ang="0">
                <a:pos x="csX3188" y="csY3188"/>
              </a:cxn>
              <a:cxn ang="0">
                <a:pos x="csX3189" y="csY3189"/>
              </a:cxn>
              <a:cxn ang="0">
                <a:pos x="csX3190" y="csY3190"/>
              </a:cxn>
              <a:cxn ang="0">
                <a:pos x="csX3191" y="csY3191"/>
              </a:cxn>
              <a:cxn ang="0">
                <a:pos x="csX3192" y="csY3192"/>
              </a:cxn>
              <a:cxn ang="0">
                <a:pos x="csX3193" y="csY3193"/>
              </a:cxn>
              <a:cxn ang="0">
                <a:pos x="csX3194" y="csY3194"/>
              </a:cxn>
              <a:cxn ang="0">
                <a:pos x="csX3195" y="csY3195"/>
              </a:cxn>
              <a:cxn ang="0">
                <a:pos x="csX3196" y="csY3196"/>
              </a:cxn>
              <a:cxn ang="0">
                <a:pos x="csX3197" y="csY3197"/>
              </a:cxn>
              <a:cxn ang="0">
                <a:pos x="csX3198" y="csY3198"/>
              </a:cxn>
              <a:cxn ang="0">
                <a:pos x="csX3199" y="csY3199"/>
              </a:cxn>
              <a:cxn ang="0">
                <a:pos x="csX3200" y="csY3200"/>
              </a:cxn>
              <a:cxn ang="0">
                <a:pos x="csX3201" y="csY3201"/>
              </a:cxn>
              <a:cxn ang="0">
                <a:pos x="csX3202" y="csY3202"/>
              </a:cxn>
              <a:cxn ang="0">
                <a:pos x="csX3203" y="csY3203"/>
              </a:cxn>
              <a:cxn ang="0">
                <a:pos x="csX3204" y="csY3204"/>
              </a:cxn>
              <a:cxn ang="0">
                <a:pos x="csX3205" y="csY3205"/>
              </a:cxn>
              <a:cxn ang="0">
                <a:pos x="csX3206" y="csY3206"/>
              </a:cxn>
              <a:cxn ang="0">
                <a:pos x="csX3207" y="csY3207"/>
              </a:cxn>
              <a:cxn ang="0">
                <a:pos x="csX3208" y="csY3208"/>
              </a:cxn>
              <a:cxn ang="0">
                <a:pos x="csX3209" y="csY3209"/>
              </a:cxn>
              <a:cxn ang="0">
                <a:pos x="csX3210" y="csY3210"/>
              </a:cxn>
              <a:cxn ang="0">
                <a:pos x="csX3211" y="csY3211"/>
              </a:cxn>
              <a:cxn ang="0">
                <a:pos x="csX3212" y="csY3212"/>
              </a:cxn>
              <a:cxn ang="0">
                <a:pos x="csX3213" y="csY3213"/>
              </a:cxn>
              <a:cxn ang="0">
                <a:pos x="csX3214" y="csY3214"/>
              </a:cxn>
              <a:cxn ang="0">
                <a:pos x="csX3215" y="csY3215"/>
              </a:cxn>
              <a:cxn ang="0">
                <a:pos x="csX3216" y="csY3216"/>
              </a:cxn>
              <a:cxn ang="0">
                <a:pos x="csX3217" y="csY3217"/>
              </a:cxn>
              <a:cxn ang="0">
                <a:pos x="csX3218" y="csY3218"/>
              </a:cxn>
              <a:cxn ang="0">
                <a:pos x="csX3219" y="csY3219"/>
              </a:cxn>
              <a:cxn ang="0">
                <a:pos x="csX3220" y="csY3220"/>
              </a:cxn>
              <a:cxn ang="0">
                <a:pos x="csX3221" y="csY3221"/>
              </a:cxn>
              <a:cxn ang="0">
                <a:pos x="csX3222" y="csY3222"/>
              </a:cxn>
              <a:cxn ang="0">
                <a:pos x="csX3223" y="csY3223"/>
              </a:cxn>
              <a:cxn ang="0">
                <a:pos x="csX3224" y="csY3224"/>
              </a:cxn>
              <a:cxn ang="0">
                <a:pos x="csX3225" y="csY3225"/>
              </a:cxn>
              <a:cxn ang="0">
                <a:pos x="csX3226" y="csY3226"/>
              </a:cxn>
              <a:cxn ang="0">
                <a:pos x="csX3227" y="csY3227"/>
              </a:cxn>
              <a:cxn ang="0">
                <a:pos x="csX3228" y="csY3228"/>
              </a:cxn>
              <a:cxn ang="0">
                <a:pos x="csX3229" y="csY3229"/>
              </a:cxn>
              <a:cxn ang="0">
                <a:pos x="csX3230" y="csY3230"/>
              </a:cxn>
              <a:cxn ang="0">
                <a:pos x="csX3231" y="csY3231"/>
              </a:cxn>
              <a:cxn ang="0">
                <a:pos x="csX3232" y="csY3232"/>
              </a:cxn>
              <a:cxn ang="0">
                <a:pos x="csX3233" y="csY3233"/>
              </a:cxn>
              <a:cxn ang="0">
                <a:pos x="csX3234" y="csY3234"/>
              </a:cxn>
              <a:cxn ang="0">
                <a:pos x="csX3235" y="csY3235"/>
              </a:cxn>
              <a:cxn ang="0">
                <a:pos x="csX3236" y="csY3236"/>
              </a:cxn>
              <a:cxn ang="0">
                <a:pos x="csX3237" y="csY3237"/>
              </a:cxn>
              <a:cxn ang="0">
                <a:pos x="csX3238" y="csY3238"/>
              </a:cxn>
              <a:cxn ang="0">
                <a:pos x="csX3239" y="csY3239"/>
              </a:cxn>
              <a:cxn ang="0">
                <a:pos x="csX3240" y="csY3240"/>
              </a:cxn>
              <a:cxn ang="0">
                <a:pos x="csX3241" y="csY3241"/>
              </a:cxn>
              <a:cxn ang="0">
                <a:pos x="csX3242" y="csY3242"/>
              </a:cxn>
              <a:cxn ang="0">
                <a:pos x="csX3243" y="csY3243"/>
              </a:cxn>
              <a:cxn ang="0">
                <a:pos x="csX3244" y="csY3244"/>
              </a:cxn>
              <a:cxn ang="0">
                <a:pos x="csX3245" y="csY3245"/>
              </a:cxn>
              <a:cxn ang="0">
                <a:pos x="csX3246" y="csY3246"/>
              </a:cxn>
              <a:cxn ang="0">
                <a:pos x="csX3247" y="csY3247"/>
              </a:cxn>
              <a:cxn ang="0">
                <a:pos x="csX3248" y="csY3248"/>
              </a:cxn>
              <a:cxn ang="0">
                <a:pos x="csX3249" y="csY3249"/>
              </a:cxn>
              <a:cxn ang="0">
                <a:pos x="csX3250" y="csY3250"/>
              </a:cxn>
              <a:cxn ang="0">
                <a:pos x="csX3251" y="csY3251"/>
              </a:cxn>
              <a:cxn ang="0">
                <a:pos x="csX3252" y="csY3252"/>
              </a:cxn>
              <a:cxn ang="0">
                <a:pos x="csX3253" y="csY3253"/>
              </a:cxn>
              <a:cxn ang="0">
                <a:pos x="csX3254" y="csY3254"/>
              </a:cxn>
              <a:cxn ang="0">
                <a:pos x="csX3255" y="csY3255"/>
              </a:cxn>
              <a:cxn ang="0">
                <a:pos x="csX3256" y="csY3256"/>
              </a:cxn>
              <a:cxn ang="0">
                <a:pos x="csX3257" y="csY3257"/>
              </a:cxn>
              <a:cxn ang="0">
                <a:pos x="csX3258" y="csY3258"/>
              </a:cxn>
              <a:cxn ang="0">
                <a:pos x="csX3259" y="csY3259"/>
              </a:cxn>
              <a:cxn ang="0">
                <a:pos x="csX3260" y="csY3260"/>
              </a:cxn>
              <a:cxn ang="0">
                <a:pos x="csX3261" y="csY3261"/>
              </a:cxn>
              <a:cxn ang="0">
                <a:pos x="csX3262" y="csY3262"/>
              </a:cxn>
              <a:cxn ang="0">
                <a:pos x="csX3263" y="csY3263"/>
              </a:cxn>
              <a:cxn ang="0">
                <a:pos x="csX3264" y="csY3264"/>
              </a:cxn>
              <a:cxn ang="0">
                <a:pos x="csX3265" y="csY3265"/>
              </a:cxn>
              <a:cxn ang="0">
                <a:pos x="csX3266" y="csY3266"/>
              </a:cxn>
              <a:cxn ang="0">
                <a:pos x="csX3267" y="csY3267"/>
              </a:cxn>
              <a:cxn ang="0">
                <a:pos x="csX3268" y="csY3268"/>
              </a:cxn>
              <a:cxn ang="0">
                <a:pos x="csX3269" y="csY3269"/>
              </a:cxn>
              <a:cxn ang="0">
                <a:pos x="csX3270" y="csY3270"/>
              </a:cxn>
              <a:cxn ang="0">
                <a:pos x="csX3271" y="csY3271"/>
              </a:cxn>
              <a:cxn ang="0">
                <a:pos x="csX3272" y="csY3272"/>
              </a:cxn>
              <a:cxn ang="0">
                <a:pos x="csX3273" y="csY3273"/>
              </a:cxn>
              <a:cxn ang="0">
                <a:pos x="csX3274" y="csY3274"/>
              </a:cxn>
              <a:cxn ang="0">
                <a:pos x="csX3275" y="csY3275"/>
              </a:cxn>
              <a:cxn ang="0">
                <a:pos x="csX3276" y="csY3276"/>
              </a:cxn>
              <a:cxn ang="0">
                <a:pos x="csX3277" y="csY3277"/>
              </a:cxn>
              <a:cxn ang="0">
                <a:pos x="csX3278" y="csY3278"/>
              </a:cxn>
              <a:cxn ang="0">
                <a:pos x="csX3279" y="csY3279"/>
              </a:cxn>
              <a:cxn ang="0">
                <a:pos x="csX3280" y="csY3280"/>
              </a:cxn>
              <a:cxn ang="0">
                <a:pos x="csX3281" y="csY3281"/>
              </a:cxn>
              <a:cxn ang="0">
                <a:pos x="csX3282" y="csY3282"/>
              </a:cxn>
              <a:cxn ang="0">
                <a:pos x="csX3283" y="csY3283"/>
              </a:cxn>
              <a:cxn ang="0">
                <a:pos x="csX3284" y="csY3284"/>
              </a:cxn>
              <a:cxn ang="0">
                <a:pos x="csX3285" y="csY3285"/>
              </a:cxn>
              <a:cxn ang="0">
                <a:pos x="csX3286" y="csY3286"/>
              </a:cxn>
              <a:cxn ang="0">
                <a:pos x="csX3287" y="csY3287"/>
              </a:cxn>
              <a:cxn ang="0">
                <a:pos x="csX3288" y="csY3288"/>
              </a:cxn>
              <a:cxn ang="0">
                <a:pos x="csX3289" y="csY3289"/>
              </a:cxn>
              <a:cxn ang="0">
                <a:pos x="csX3290" y="csY3290"/>
              </a:cxn>
              <a:cxn ang="0">
                <a:pos x="csX3291" y="csY3291"/>
              </a:cxn>
              <a:cxn ang="0">
                <a:pos x="csX3292" y="csY3292"/>
              </a:cxn>
              <a:cxn ang="0">
                <a:pos x="csX3293" y="csY3293"/>
              </a:cxn>
              <a:cxn ang="0">
                <a:pos x="csX3294" y="csY3294"/>
              </a:cxn>
              <a:cxn ang="0">
                <a:pos x="csX3295" y="csY3295"/>
              </a:cxn>
              <a:cxn ang="0">
                <a:pos x="csX3296" y="csY3296"/>
              </a:cxn>
              <a:cxn ang="0">
                <a:pos x="csX3297" y="csY3297"/>
              </a:cxn>
              <a:cxn ang="0">
                <a:pos x="csX3298" y="csY3298"/>
              </a:cxn>
              <a:cxn ang="0">
                <a:pos x="csX3299" y="csY3299"/>
              </a:cxn>
              <a:cxn ang="0">
                <a:pos x="csX3300" y="csY3300"/>
              </a:cxn>
              <a:cxn ang="0">
                <a:pos x="csX3301" y="csY3301"/>
              </a:cxn>
              <a:cxn ang="0">
                <a:pos x="csX3302" y="csY3302"/>
              </a:cxn>
              <a:cxn ang="0">
                <a:pos x="csX3303" y="csY3303"/>
              </a:cxn>
              <a:cxn ang="0">
                <a:pos x="csX3304" y="csY3304"/>
              </a:cxn>
              <a:cxn ang="0">
                <a:pos x="csX3305" y="csY3305"/>
              </a:cxn>
              <a:cxn ang="0">
                <a:pos x="csX3306" y="csY3306"/>
              </a:cxn>
              <a:cxn ang="0">
                <a:pos x="csX3307" y="csY3307"/>
              </a:cxn>
              <a:cxn ang="0">
                <a:pos x="csX3308" y="csY3308"/>
              </a:cxn>
              <a:cxn ang="0">
                <a:pos x="csX3309" y="csY3309"/>
              </a:cxn>
              <a:cxn ang="0">
                <a:pos x="csX3310" y="csY3310"/>
              </a:cxn>
              <a:cxn ang="0">
                <a:pos x="csX3311" y="csY3311"/>
              </a:cxn>
              <a:cxn ang="0">
                <a:pos x="csX3312" y="csY3312"/>
              </a:cxn>
              <a:cxn ang="0">
                <a:pos x="csX3313" y="csY3313"/>
              </a:cxn>
              <a:cxn ang="0">
                <a:pos x="csX3314" y="csY3314"/>
              </a:cxn>
              <a:cxn ang="0">
                <a:pos x="csX3315" y="csY3315"/>
              </a:cxn>
              <a:cxn ang="0">
                <a:pos x="csX3316" y="csY3316"/>
              </a:cxn>
              <a:cxn ang="0">
                <a:pos x="csX3317" y="csY3317"/>
              </a:cxn>
              <a:cxn ang="0">
                <a:pos x="csX3318" y="csY3318"/>
              </a:cxn>
              <a:cxn ang="0">
                <a:pos x="csX3319" y="csY3319"/>
              </a:cxn>
              <a:cxn ang="0">
                <a:pos x="csX3320" y="csY3320"/>
              </a:cxn>
              <a:cxn ang="0">
                <a:pos x="csX3321" y="csY3321"/>
              </a:cxn>
              <a:cxn ang="0">
                <a:pos x="csX3322" y="csY3322"/>
              </a:cxn>
              <a:cxn ang="0">
                <a:pos x="csX3323" y="csY3323"/>
              </a:cxn>
              <a:cxn ang="0">
                <a:pos x="csX3324" y="csY3324"/>
              </a:cxn>
              <a:cxn ang="0">
                <a:pos x="csX3325" y="csY3325"/>
              </a:cxn>
              <a:cxn ang="0">
                <a:pos x="csX3326" y="csY3326"/>
              </a:cxn>
              <a:cxn ang="0">
                <a:pos x="csX3327" y="csY3327"/>
              </a:cxn>
              <a:cxn ang="0">
                <a:pos x="csX3328" y="csY3328"/>
              </a:cxn>
              <a:cxn ang="0">
                <a:pos x="csX3329" y="csY3329"/>
              </a:cxn>
              <a:cxn ang="0">
                <a:pos x="csX3330" y="csY3330"/>
              </a:cxn>
              <a:cxn ang="0">
                <a:pos x="csX3331" y="csY3331"/>
              </a:cxn>
              <a:cxn ang="0">
                <a:pos x="csX3332" y="csY3332"/>
              </a:cxn>
              <a:cxn ang="0">
                <a:pos x="csX3333" y="csY3333"/>
              </a:cxn>
              <a:cxn ang="0">
                <a:pos x="csX3334" y="csY3334"/>
              </a:cxn>
              <a:cxn ang="0">
                <a:pos x="csX3335" y="csY3335"/>
              </a:cxn>
              <a:cxn ang="0">
                <a:pos x="csX3336" y="csY3336"/>
              </a:cxn>
              <a:cxn ang="0">
                <a:pos x="csX3337" y="csY3337"/>
              </a:cxn>
              <a:cxn ang="0">
                <a:pos x="csX3338" y="csY3338"/>
              </a:cxn>
              <a:cxn ang="0">
                <a:pos x="csX3339" y="csY3339"/>
              </a:cxn>
              <a:cxn ang="0">
                <a:pos x="csX3340" y="csY3340"/>
              </a:cxn>
              <a:cxn ang="0">
                <a:pos x="csX3341" y="csY3341"/>
              </a:cxn>
              <a:cxn ang="0">
                <a:pos x="csX3342" y="csY3342"/>
              </a:cxn>
              <a:cxn ang="0">
                <a:pos x="csX3343" y="csY3343"/>
              </a:cxn>
              <a:cxn ang="0">
                <a:pos x="csX3344" y="csY3344"/>
              </a:cxn>
              <a:cxn ang="0">
                <a:pos x="csX3345" y="csY3345"/>
              </a:cxn>
              <a:cxn ang="0">
                <a:pos x="csX3346" y="csY3346"/>
              </a:cxn>
              <a:cxn ang="0">
                <a:pos x="csX3347" y="csY3347"/>
              </a:cxn>
              <a:cxn ang="0">
                <a:pos x="csX3348" y="csY3348"/>
              </a:cxn>
              <a:cxn ang="0">
                <a:pos x="csX3349" y="csY3349"/>
              </a:cxn>
              <a:cxn ang="0">
                <a:pos x="csX3350" y="csY3350"/>
              </a:cxn>
              <a:cxn ang="0">
                <a:pos x="csX3351" y="csY3351"/>
              </a:cxn>
              <a:cxn ang="0">
                <a:pos x="csX3352" y="csY3352"/>
              </a:cxn>
              <a:cxn ang="0">
                <a:pos x="csX3353" y="csY3353"/>
              </a:cxn>
              <a:cxn ang="0">
                <a:pos x="csX3354" y="csY3354"/>
              </a:cxn>
              <a:cxn ang="0">
                <a:pos x="csX3355" y="csY3355"/>
              </a:cxn>
              <a:cxn ang="0">
                <a:pos x="csX3356" y="csY3356"/>
              </a:cxn>
              <a:cxn ang="0">
                <a:pos x="csX3357" y="csY3357"/>
              </a:cxn>
              <a:cxn ang="0">
                <a:pos x="csX3358" y="csY3358"/>
              </a:cxn>
              <a:cxn ang="0">
                <a:pos x="csX3359" y="csY3359"/>
              </a:cxn>
              <a:cxn ang="0">
                <a:pos x="csX3360" y="csY3360"/>
              </a:cxn>
              <a:cxn ang="0">
                <a:pos x="csX3361" y="csY3361"/>
              </a:cxn>
              <a:cxn ang="0">
                <a:pos x="csX3362" y="csY3362"/>
              </a:cxn>
              <a:cxn ang="0">
                <a:pos x="csX3363" y="csY3363"/>
              </a:cxn>
              <a:cxn ang="0">
                <a:pos x="csX3364" y="csY3364"/>
              </a:cxn>
              <a:cxn ang="0">
                <a:pos x="csX3365" y="csY3365"/>
              </a:cxn>
              <a:cxn ang="0">
                <a:pos x="csX3366" y="csY3366"/>
              </a:cxn>
              <a:cxn ang="0">
                <a:pos x="csX3367" y="csY3367"/>
              </a:cxn>
              <a:cxn ang="0">
                <a:pos x="csX3368" y="csY3368"/>
              </a:cxn>
              <a:cxn ang="0">
                <a:pos x="csX3369" y="csY3369"/>
              </a:cxn>
              <a:cxn ang="0">
                <a:pos x="csX3370" y="csY3370"/>
              </a:cxn>
              <a:cxn ang="0">
                <a:pos x="csX3371" y="csY3371"/>
              </a:cxn>
              <a:cxn ang="0">
                <a:pos x="csX3372" y="csY3372"/>
              </a:cxn>
              <a:cxn ang="0">
                <a:pos x="csX3373" y="csY3373"/>
              </a:cxn>
              <a:cxn ang="0">
                <a:pos x="csX3374" y="csY3374"/>
              </a:cxn>
              <a:cxn ang="0">
                <a:pos x="csX3375" y="csY3375"/>
              </a:cxn>
              <a:cxn ang="0">
                <a:pos x="csX3376" y="csY3376"/>
              </a:cxn>
              <a:cxn ang="0">
                <a:pos x="csX3377" y="csY3377"/>
              </a:cxn>
              <a:cxn ang="0">
                <a:pos x="csX3378" y="csY3378"/>
              </a:cxn>
              <a:cxn ang="0">
                <a:pos x="csX3379" y="csY3379"/>
              </a:cxn>
              <a:cxn ang="0">
                <a:pos x="csX3380" y="csY3380"/>
              </a:cxn>
              <a:cxn ang="0">
                <a:pos x="csX3381" y="csY3381"/>
              </a:cxn>
              <a:cxn ang="0">
                <a:pos x="csX3382" y="csY3382"/>
              </a:cxn>
              <a:cxn ang="0">
                <a:pos x="csX3383" y="csY3383"/>
              </a:cxn>
              <a:cxn ang="0">
                <a:pos x="csX3384" y="csY3384"/>
              </a:cxn>
              <a:cxn ang="0">
                <a:pos x="csX3385" y="csY3385"/>
              </a:cxn>
              <a:cxn ang="0">
                <a:pos x="csX3386" y="csY3386"/>
              </a:cxn>
              <a:cxn ang="0">
                <a:pos x="csX3387" y="csY3387"/>
              </a:cxn>
              <a:cxn ang="0">
                <a:pos x="csX3388" y="csY3388"/>
              </a:cxn>
              <a:cxn ang="0">
                <a:pos x="csX3389" y="csY3389"/>
              </a:cxn>
              <a:cxn ang="0">
                <a:pos x="csX3390" y="csY3390"/>
              </a:cxn>
              <a:cxn ang="0">
                <a:pos x="csX3391" y="csY3391"/>
              </a:cxn>
              <a:cxn ang="0">
                <a:pos x="csX3392" y="csY3392"/>
              </a:cxn>
              <a:cxn ang="0">
                <a:pos x="csX3393" y="csY3393"/>
              </a:cxn>
              <a:cxn ang="0">
                <a:pos x="csX3394" y="csY3394"/>
              </a:cxn>
              <a:cxn ang="0">
                <a:pos x="csX3395" y="csY3395"/>
              </a:cxn>
              <a:cxn ang="0">
                <a:pos x="csX3396" y="csY3396"/>
              </a:cxn>
              <a:cxn ang="0">
                <a:pos x="csX3397" y="csY3397"/>
              </a:cxn>
              <a:cxn ang="0">
                <a:pos x="csX3398" y="csY3398"/>
              </a:cxn>
              <a:cxn ang="0">
                <a:pos x="csX3399" y="csY3399"/>
              </a:cxn>
              <a:cxn ang="0">
                <a:pos x="csX3400" y="csY3400"/>
              </a:cxn>
              <a:cxn ang="0">
                <a:pos x="csX3401" y="csY3401"/>
              </a:cxn>
              <a:cxn ang="0">
                <a:pos x="csX3402" y="csY3402"/>
              </a:cxn>
              <a:cxn ang="0">
                <a:pos x="csX3403" y="csY3403"/>
              </a:cxn>
              <a:cxn ang="0">
                <a:pos x="csX3404" y="csY3404"/>
              </a:cxn>
              <a:cxn ang="0">
                <a:pos x="csX3405" y="csY3405"/>
              </a:cxn>
              <a:cxn ang="0">
                <a:pos x="csX3406" y="csY3406"/>
              </a:cxn>
              <a:cxn ang="0">
                <a:pos x="csX3407" y="csY3407"/>
              </a:cxn>
              <a:cxn ang="0">
                <a:pos x="csX3408" y="csY3408"/>
              </a:cxn>
              <a:cxn ang="0">
                <a:pos x="csX3409" y="csY3409"/>
              </a:cxn>
              <a:cxn ang="0">
                <a:pos x="csX3410" y="csY3410"/>
              </a:cxn>
              <a:cxn ang="0">
                <a:pos x="csX3411" y="csY3411"/>
              </a:cxn>
              <a:cxn ang="0">
                <a:pos x="csX3412" y="csY3412"/>
              </a:cxn>
              <a:cxn ang="0">
                <a:pos x="csX3413" y="csY3413"/>
              </a:cxn>
              <a:cxn ang="0">
                <a:pos x="csX3414" y="csY3414"/>
              </a:cxn>
              <a:cxn ang="0">
                <a:pos x="csX3415" y="csY3415"/>
              </a:cxn>
              <a:cxn ang="0">
                <a:pos x="csX3416" y="csY3416"/>
              </a:cxn>
              <a:cxn ang="0">
                <a:pos x="csX3417" y="csY3417"/>
              </a:cxn>
              <a:cxn ang="0">
                <a:pos x="csX3418" y="csY3418"/>
              </a:cxn>
              <a:cxn ang="0">
                <a:pos x="csX3419" y="csY3419"/>
              </a:cxn>
              <a:cxn ang="0">
                <a:pos x="csX3420" y="csY3420"/>
              </a:cxn>
              <a:cxn ang="0">
                <a:pos x="csX3421" y="csY3421"/>
              </a:cxn>
              <a:cxn ang="0">
                <a:pos x="csX3422" y="csY3422"/>
              </a:cxn>
              <a:cxn ang="0">
                <a:pos x="csX3423" y="csY3423"/>
              </a:cxn>
              <a:cxn ang="0">
                <a:pos x="csX3424" y="csY3424"/>
              </a:cxn>
              <a:cxn ang="0">
                <a:pos x="csX3425" y="csY3425"/>
              </a:cxn>
              <a:cxn ang="0">
                <a:pos x="csX3426" y="csY3426"/>
              </a:cxn>
              <a:cxn ang="0">
                <a:pos x="csX3427" y="csY3427"/>
              </a:cxn>
              <a:cxn ang="0">
                <a:pos x="csX3428" y="csY3428"/>
              </a:cxn>
              <a:cxn ang="0">
                <a:pos x="csX3429" y="csY3429"/>
              </a:cxn>
              <a:cxn ang="0">
                <a:pos x="csX3430" y="csY3430"/>
              </a:cxn>
              <a:cxn ang="0">
                <a:pos x="csX3431" y="csY3431"/>
              </a:cxn>
              <a:cxn ang="0">
                <a:pos x="csX3432" y="csY3432"/>
              </a:cxn>
              <a:cxn ang="0">
                <a:pos x="csX3433" y="csY3433"/>
              </a:cxn>
              <a:cxn ang="0">
                <a:pos x="csX3434" y="csY3434"/>
              </a:cxn>
              <a:cxn ang="0">
                <a:pos x="csX3435" y="csY3435"/>
              </a:cxn>
              <a:cxn ang="0">
                <a:pos x="csX3436" y="csY3436"/>
              </a:cxn>
              <a:cxn ang="0">
                <a:pos x="csX3437" y="csY3437"/>
              </a:cxn>
              <a:cxn ang="0">
                <a:pos x="csX3438" y="csY3438"/>
              </a:cxn>
              <a:cxn ang="0">
                <a:pos x="csX3439" y="csY3439"/>
              </a:cxn>
              <a:cxn ang="0">
                <a:pos x="csX3440" y="csY3440"/>
              </a:cxn>
              <a:cxn ang="0">
                <a:pos x="csX3441" y="csY3441"/>
              </a:cxn>
              <a:cxn ang="0">
                <a:pos x="csX3442" y="csY3442"/>
              </a:cxn>
              <a:cxn ang="0">
                <a:pos x="csX3443" y="csY3443"/>
              </a:cxn>
              <a:cxn ang="0">
                <a:pos x="csX3444" y="csY3444"/>
              </a:cxn>
              <a:cxn ang="0">
                <a:pos x="csX3445" y="csY3445"/>
              </a:cxn>
              <a:cxn ang="0">
                <a:pos x="csX3446" y="csY3446"/>
              </a:cxn>
              <a:cxn ang="0">
                <a:pos x="csX3447" y="csY3447"/>
              </a:cxn>
              <a:cxn ang="0">
                <a:pos x="csX3448" y="csY3448"/>
              </a:cxn>
              <a:cxn ang="0">
                <a:pos x="csX3449" y="csY3449"/>
              </a:cxn>
              <a:cxn ang="0">
                <a:pos x="csX3450" y="csY3450"/>
              </a:cxn>
              <a:cxn ang="0">
                <a:pos x="csX3451" y="csY3451"/>
              </a:cxn>
              <a:cxn ang="0">
                <a:pos x="csX3452" y="csY3452"/>
              </a:cxn>
              <a:cxn ang="0">
                <a:pos x="csX3453" y="csY3453"/>
              </a:cxn>
              <a:cxn ang="0">
                <a:pos x="csX3454" y="csY3454"/>
              </a:cxn>
              <a:cxn ang="0">
                <a:pos x="csX3455" y="csY3455"/>
              </a:cxn>
              <a:cxn ang="0">
                <a:pos x="csX3456" y="csY3456"/>
              </a:cxn>
              <a:cxn ang="0">
                <a:pos x="csX3457" y="csY3457"/>
              </a:cxn>
              <a:cxn ang="0">
                <a:pos x="csX3458" y="csY3458"/>
              </a:cxn>
              <a:cxn ang="0">
                <a:pos x="csX3459" y="csY3459"/>
              </a:cxn>
              <a:cxn ang="0">
                <a:pos x="csX3460" y="csY3460"/>
              </a:cxn>
              <a:cxn ang="0">
                <a:pos x="csX3461" y="csY3461"/>
              </a:cxn>
              <a:cxn ang="0">
                <a:pos x="csX3462" y="csY3462"/>
              </a:cxn>
              <a:cxn ang="0">
                <a:pos x="csX3463" y="csY3463"/>
              </a:cxn>
              <a:cxn ang="0">
                <a:pos x="csX3464" y="csY3464"/>
              </a:cxn>
              <a:cxn ang="0">
                <a:pos x="csX3465" y="csY3465"/>
              </a:cxn>
              <a:cxn ang="0">
                <a:pos x="csX3466" y="csY3466"/>
              </a:cxn>
              <a:cxn ang="0">
                <a:pos x="csX3467" y="csY3467"/>
              </a:cxn>
              <a:cxn ang="0">
                <a:pos x="csX3468" y="csY3468"/>
              </a:cxn>
              <a:cxn ang="0">
                <a:pos x="csX3469" y="csY3469"/>
              </a:cxn>
              <a:cxn ang="0">
                <a:pos x="csX3470" y="csY3470"/>
              </a:cxn>
              <a:cxn ang="0">
                <a:pos x="csX3471" y="csY3471"/>
              </a:cxn>
              <a:cxn ang="0">
                <a:pos x="csX3472" y="csY3472"/>
              </a:cxn>
              <a:cxn ang="0">
                <a:pos x="csX3473" y="csY3473"/>
              </a:cxn>
              <a:cxn ang="0">
                <a:pos x="csX3474" y="csY3474"/>
              </a:cxn>
              <a:cxn ang="0">
                <a:pos x="csX3475" y="csY3475"/>
              </a:cxn>
              <a:cxn ang="0">
                <a:pos x="csX3476" y="csY3476"/>
              </a:cxn>
              <a:cxn ang="0">
                <a:pos x="csX3477" y="csY3477"/>
              </a:cxn>
              <a:cxn ang="0">
                <a:pos x="csX3478" y="csY3478"/>
              </a:cxn>
              <a:cxn ang="0">
                <a:pos x="csX3479" y="csY3479"/>
              </a:cxn>
              <a:cxn ang="0">
                <a:pos x="csX3480" y="csY3480"/>
              </a:cxn>
              <a:cxn ang="0">
                <a:pos x="csX3481" y="csY3481"/>
              </a:cxn>
              <a:cxn ang="0">
                <a:pos x="csX3482" y="csY3482"/>
              </a:cxn>
              <a:cxn ang="0">
                <a:pos x="csX3483" y="csY3483"/>
              </a:cxn>
              <a:cxn ang="0">
                <a:pos x="csX3484" y="csY3484"/>
              </a:cxn>
              <a:cxn ang="0">
                <a:pos x="csX3485" y="csY3485"/>
              </a:cxn>
              <a:cxn ang="0">
                <a:pos x="csX3486" y="csY3486"/>
              </a:cxn>
              <a:cxn ang="0">
                <a:pos x="csX3487" y="csY3487"/>
              </a:cxn>
              <a:cxn ang="0">
                <a:pos x="csX3488" y="csY3488"/>
              </a:cxn>
              <a:cxn ang="0">
                <a:pos x="csX3489" y="csY3489"/>
              </a:cxn>
              <a:cxn ang="0">
                <a:pos x="csX3490" y="csY3490"/>
              </a:cxn>
              <a:cxn ang="0">
                <a:pos x="csX3491" y="csY3491"/>
              </a:cxn>
              <a:cxn ang="0">
                <a:pos x="csX3492" y="csY3492"/>
              </a:cxn>
              <a:cxn ang="0">
                <a:pos x="csX3493" y="csY3493"/>
              </a:cxn>
              <a:cxn ang="0">
                <a:pos x="csX3494" y="csY3494"/>
              </a:cxn>
              <a:cxn ang="0">
                <a:pos x="csX3495" y="csY3495"/>
              </a:cxn>
              <a:cxn ang="0">
                <a:pos x="csX3496" y="csY3496"/>
              </a:cxn>
              <a:cxn ang="0">
                <a:pos x="csX3497" y="csY3497"/>
              </a:cxn>
              <a:cxn ang="0">
                <a:pos x="csX3498" y="csY3498"/>
              </a:cxn>
              <a:cxn ang="0">
                <a:pos x="csX3499" y="csY3499"/>
              </a:cxn>
              <a:cxn ang="0">
                <a:pos x="csX3500" y="csY3500"/>
              </a:cxn>
              <a:cxn ang="0">
                <a:pos x="csX3501" y="csY3501"/>
              </a:cxn>
              <a:cxn ang="0">
                <a:pos x="csX3502" y="csY3502"/>
              </a:cxn>
              <a:cxn ang="0">
                <a:pos x="csX3503" y="csY3503"/>
              </a:cxn>
              <a:cxn ang="0">
                <a:pos x="csX3504" y="csY3504"/>
              </a:cxn>
              <a:cxn ang="0">
                <a:pos x="csX3505" y="csY3505"/>
              </a:cxn>
              <a:cxn ang="0">
                <a:pos x="csX3506" y="csY3506"/>
              </a:cxn>
              <a:cxn ang="0">
                <a:pos x="csX3507" y="csY3507"/>
              </a:cxn>
              <a:cxn ang="0">
                <a:pos x="csX3508" y="csY3508"/>
              </a:cxn>
              <a:cxn ang="0">
                <a:pos x="csX3509" y="csY3509"/>
              </a:cxn>
              <a:cxn ang="0">
                <a:pos x="csX3510" y="csY3510"/>
              </a:cxn>
              <a:cxn ang="0">
                <a:pos x="csX3511" y="csY3511"/>
              </a:cxn>
              <a:cxn ang="0">
                <a:pos x="csX3512" y="csY3512"/>
              </a:cxn>
              <a:cxn ang="0">
                <a:pos x="csX3513" y="csY3513"/>
              </a:cxn>
              <a:cxn ang="0">
                <a:pos x="csX3514" y="csY3514"/>
              </a:cxn>
              <a:cxn ang="0">
                <a:pos x="csX3515" y="csY3515"/>
              </a:cxn>
              <a:cxn ang="0">
                <a:pos x="csX3516" y="csY3516"/>
              </a:cxn>
              <a:cxn ang="0">
                <a:pos x="csX3517" y="csY3517"/>
              </a:cxn>
              <a:cxn ang="0">
                <a:pos x="csX3518" y="csY3518"/>
              </a:cxn>
              <a:cxn ang="0">
                <a:pos x="csX3519" y="csY3519"/>
              </a:cxn>
              <a:cxn ang="0">
                <a:pos x="csX3520" y="csY3520"/>
              </a:cxn>
              <a:cxn ang="0">
                <a:pos x="csX3521" y="csY3521"/>
              </a:cxn>
              <a:cxn ang="0">
                <a:pos x="csX3522" y="csY3522"/>
              </a:cxn>
              <a:cxn ang="0">
                <a:pos x="csX3523" y="csY3523"/>
              </a:cxn>
              <a:cxn ang="0">
                <a:pos x="csX3524" y="csY3524"/>
              </a:cxn>
              <a:cxn ang="0">
                <a:pos x="csX3525" y="csY3525"/>
              </a:cxn>
              <a:cxn ang="0">
                <a:pos x="csX3526" y="csY3526"/>
              </a:cxn>
              <a:cxn ang="0">
                <a:pos x="csX3527" y="csY3527"/>
              </a:cxn>
              <a:cxn ang="0">
                <a:pos x="csX3528" y="csY3528"/>
              </a:cxn>
              <a:cxn ang="0">
                <a:pos x="csX3529" y="csY3529"/>
              </a:cxn>
              <a:cxn ang="0">
                <a:pos x="csX3530" y="csY3530"/>
              </a:cxn>
              <a:cxn ang="0">
                <a:pos x="csX3531" y="csY3531"/>
              </a:cxn>
              <a:cxn ang="0">
                <a:pos x="csX3532" y="csY3532"/>
              </a:cxn>
              <a:cxn ang="0">
                <a:pos x="csX3533" y="csY3533"/>
              </a:cxn>
              <a:cxn ang="0">
                <a:pos x="csX3534" y="csY3534"/>
              </a:cxn>
              <a:cxn ang="0">
                <a:pos x="csX3535" y="csY3535"/>
              </a:cxn>
              <a:cxn ang="0">
                <a:pos x="csX3536" y="csY3536"/>
              </a:cxn>
              <a:cxn ang="0">
                <a:pos x="csX3537" y="csY3537"/>
              </a:cxn>
              <a:cxn ang="0">
                <a:pos x="csX3538" y="csY3538"/>
              </a:cxn>
              <a:cxn ang="0">
                <a:pos x="csX3539" y="csY3539"/>
              </a:cxn>
              <a:cxn ang="0">
                <a:pos x="csX3540" y="csY3540"/>
              </a:cxn>
              <a:cxn ang="0">
                <a:pos x="csX3541" y="csY3541"/>
              </a:cxn>
              <a:cxn ang="0">
                <a:pos x="csX3542" y="csY3542"/>
              </a:cxn>
              <a:cxn ang="0">
                <a:pos x="csX3543" y="csY3543"/>
              </a:cxn>
              <a:cxn ang="0">
                <a:pos x="csX3544" y="csY3544"/>
              </a:cxn>
              <a:cxn ang="0">
                <a:pos x="csX3545" y="csY3545"/>
              </a:cxn>
              <a:cxn ang="0">
                <a:pos x="csX3546" y="csY3546"/>
              </a:cxn>
              <a:cxn ang="0">
                <a:pos x="csX3547" y="csY3547"/>
              </a:cxn>
              <a:cxn ang="0">
                <a:pos x="csX3548" y="csY3548"/>
              </a:cxn>
              <a:cxn ang="0">
                <a:pos x="csX3549" y="csY3549"/>
              </a:cxn>
              <a:cxn ang="0">
                <a:pos x="csX3550" y="csY3550"/>
              </a:cxn>
              <a:cxn ang="0">
                <a:pos x="csX3551" y="csY3551"/>
              </a:cxn>
              <a:cxn ang="0">
                <a:pos x="csX3552" y="csY3552"/>
              </a:cxn>
              <a:cxn ang="0">
                <a:pos x="csX3553" y="csY3553"/>
              </a:cxn>
              <a:cxn ang="0">
                <a:pos x="csX3554" y="csY3554"/>
              </a:cxn>
              <a:cxn ang="0">
                <a:pos x="csX3555" y="csY3555"/>
              </a:cxn>
              <a:cxn ang="0">
                <a:pos x="csX3556" y="csY3556"/>
              </a:cxn>
              <a:cxn ang="0">
                <a:pos x="csX3557" y="csY3557"/>
              </a:cxn>
              <a:cxn ang="0">
                <a:pos x="csX3558" y="csY3558"/>
              </a:cxn>
              <a:cxn ang="0">
                <a:pos x="csX3559" y="csY3559"/>
              </a:cxn>
              <a:cxn ang="0">
                <a:pos x="csX3560" y="csY3560"/>
              </a:cxn>
              <a:cxn ang="0">
                <a:pos x="csX3561" y="csY3561"/>
              </a:cxn>
              <a:cxn ang="0">
                <a:pos x="csX3562" y="csY3562"/>
              </a:cxn>
              <a:cxn ang="0">
                <a:pos x="csX3563" y="csY3563"/>
              </a:cxn>
              <a:cxn ang="0">
                <a:pos x="csX3564" y="csY3564"/>
              </a:cxn>
              <a:cxn ang="0">
                <a:pos x="csX3565" y="csY3565"/>
              </a:cxn>
              <a:cxn ang="0">
                <a:pos x="csX3566" y="csY3566"/>
              </a:cxn>
              <a:cxn ang="0">
                <a:pos x="csX3567" y="csY3567"/>
              </a:cxn>
              <a:cxn ang="0">
                <a:pos x="csX3568" y="csY3568"/>
              </a:cxn>
              <a:cxn ang="0">
                <a:pos x="csX3569" y="csY3569"/>
              </a:cxn>
              <a:cxn ang="0">
                <a:pos x="csX3570" y="csY3570"/>
              </a:cxn>
              <a:cxn ang="0">
                <a:pos x="csX3571" y="csY3571"/>
              </a:cxn>
              <a:cxn ang="0">
                <a:pos x="csX3572" y="csY3572"/>
              </a:cxn>
              <a:cxn ang="0">
                <a:pos x="csX3573" y="csY3573"/>
              </a:cxn>
              <a:cxn ang="0">
                <a:pos x="csX3574" y="csY3574"/>
              </a:cxn>
              <a:cxn ang="0">
                <a:pos x="csX3575" y="csY3575"/>
              </a:cxn>
              <a:cxn ang="0">
                <a:pos x="csX3576" y="csY3576"/>
              </a:cxn>
              <a:cxn ang="0">
                <a:pos x="csX3577" y="csY3577"/>
              </a:cxn>
              <a:cxn ang="0">
                <a:pos x="csX3578" y="csY3578"/>
              </a:cxn>
              <a:cxn ang="0">
                <a:pos x="csX3579" y="csY3579"/>
              </a:cxn>
              <a:cxn ang="0">
                <a:pos x="csX3580" y="csY3580"/>
              </a:cxn>
              <a:cxn ang="0">
                <a:pos x="csX3581" y="csY3581"/>
              </a:cxn>
              <a:cxn ang="0">
                <a:pos x="csX3582" y="csY3582"/>
              </a:cxn>
              <a:cxn ang="0">
                <a:pos x="csX3583" y="csY3583"/>
              </a:cxn>
              <a:cxn ang="0">
                <a:pos x="csX3584" y="csY3584"/>
              </a:cxn>
              <a:cxn ang="0">
                <a:pos x="csX3585" y="csY3585"/>
              </a:cxn>
              <a:cxn ang="0">
                <a:pos x="csX3586" y="csY3586"/>
              </a:cxn>
              <a:cxn ang="0">
                <a:pos x="csX3587" y="csY3587"/>
              </a:cxn>
              <a:cxn ang="0">
                <a:pos x="csX3588" y="csY3588"/>
              </a:cxn>
              <a:cxn ang="0">
                <a:pos x="csX3589" y="csY3589"/>
              </a:cxn>
              <a:cxn ang="0">
                <a:pos x="csX3590" y="csY3590"/>
              </a:cxn>
              <a:cxn ang="0">
                <a:pos x="csX3591" y="csY3591"/>
              </a:cxn>
              <a:cxn ang="0">
                <a:pos x="csX3592" y="csY3592"/>
              </a:cxn>
              <a:cxn ang="0">
                <a:pos x="csX3593" y="csY3593"/>
              </a:cxn>
              <a:cxn ang="0">
                <a:pos x="csX3594" y="csY3594"/>
              </a:cxn>
              <a:cxn ang="0">
                <a:pos x="csX3595" y="csY3595"/>
              </a:cxn>
              <a:cxn ang="0">
                <a:pos x="csX3596" y="csY3596"/>
              </a:cxn>
              <a:cxn ang="0">
                <a:pos x="csX3597" y="csY3597"/>
              </a:cxn>
              <a:cxn ang="0">
                <a:pos x="csX3598" y="csY3598"/>
              </a:cxn>
              <a:cxn ang="0">
                <a:pos x="csX3599" y="csY3599"/>
              </a:cxn>
              <a:cxn ang="0">
                <a:pos x="csX3600" y="csY3600"/>
              </a:cxn>
              <a:cxn ang="0">
                <a:pos x="csX3601" y="csY3601"/>
              </a:cxn>
              <a:cxn ang="0">
                <a:pos x="csX3602" y="csY3602"/>
              </a:cxn>
              <a:cxn ang="0">
                <a:pos x="csX3603" y="csY3603"/>
              </a:cxn>
              <a:cxn ang="0">
                <a:pos x="csX3604" y="csY3604"/>
              </a:cxn>
              <a:cxn ang="0">
                <a:pos x="csX3605" y="csY3605"/>
              </a:cxn>
              <a:cxn ang="0">
                <a:pos x="csX3606" y="csY3606"/>
              </a:cxn>
              <a:cxn ang="0">
                <a:pos x="csX3607" y="csY3607"/>
              </a:cxn>
              <a:cxn ang="0">
                <a:pos x="csX3608" y="csY3608"/>
              </a:cxn>
              <a:cxn ang="0">
                <a:pos x="csX3609" y="csY3609"/>
              </a:cxn>
              <a:cxn ang="0">
                <a:pos x="csX3610" y="csY3610"/>
              </a:cxn>
              <a:cxn ang="0">
                <a:pos x="csX3611" y="csY3611"/>
              </a:cxn>
              <a:cxn ang="0">
                <a:pos x="csX3612" y="csY3612"/>
              </a:cxn>
              <a:cxn ang="0">
                <a:pos x="csX3613" y="csY3613"/>
              </a:cxn>
              <a:cxn ang="0">
                <a:pos x="csX3614" y="csY3614"/>
              </a:cxn>
              <a:cxn ang="0">
                <a:pos x="csX3615" y="csY3615"/>
              </a:cxn>
              <a:cxn ang="0">
                <a:pos x="csX3616" y="csY3616"/>
              </a:cxn>
              <a:cxn ang="0">
                <a:pos x="csX3617" y="csY3617"/>
              </a:cxn>
              <a:cxn ang="0">
                <a:pos x="csX3618" y="csY3618"/>
              </a:cxn>
              <a:cxn ang="0">
                <a:pos x="csX3619" y="csY3619"/>
              </a:cxn>
              <a:cxn ang="0">
                <a:pos x="csX3620" y="csY3620"/>
              </a:cxn>
              <a:cxn ang="0">
                <a:pos x="csX3621" y="csY3621"/>
              </a:cxn>
              <a:cxn ang="0">
                <a:pos x="csX3622" y="csY3622"/>
              </a:cxn>
              <a:cxn ang="0">
                <a:pos x="csX3623" y="csY3623"/>
              </a:cxn>
              <a:cxn ang="0">
                <a:pos x="csX3624" y="csY3624"/>
              </a:cxn>
              <a:cxn ang="0">
                <a:pos x="csX3625" y="csY3625"/>
              </a:cxn>
              <a:cxn ang="0">
                <a:pos x="csX3626" y="csY3626"/>
              </a:cxn>
              <a:cxn ang="0">
                <a:pos x="csX3627" y="csY3627"/>
              </a:cxn>
              <a:cxn ang="0">
                <a:pos x="csX3628" y="csY3628"/>
              </a:cxn>
              <a:cxn ang="0">
                <a:pos x="csX3629" y="csY3629"/>
              </a:cxn>
              <a:cxn ang="0">
                <a:pos x="csX3630" y="csY3630"/>
              </a:cxn>
              <a:cxn ang="0">
                <a:pos x="csX3631" y="csY3631"/>
              </a:cxn>
              <a:cxn ang="0">
                <a:pos x="csX3632" y="csY3632"/>
              </a:cxn>
              <a:cxn ang="0">
                <a:pos x="csX3633" y="csY3633"/>
              </a:cxn>
              <a:cxn ang="0">
                <a:pos x="csX3634" y="csY3634"/>
              </a:cxn>
              <a:cxn ang="0">
                <a:pos x="csX3635" y="csY3635"/>
              </a:cxn>
              <a:cxn ang="0">
                <a:pos x="csX3636" y="csY3636"/>
              </a:cxn>
              <a:cxn ang="0">
                <a:pos x="csX3637" y="csY3637"/>
              </a:cxn>
              <a:cxn ang="0">
                <a:pos x="csX3638" y="csY3638"/>
              </a:cxn>
              <a:cxn ang="0">
                <a:pos x="csX3639" y="csY3639"/>
              </a:cxn>
              <a:cxn ang="0">
                <a:pos x="csX3640" y="csY3640"/>
              </a:cxn>
              <a:cxn ang="0">
                <a:pos x="csX3641" y="csY3641"/>
              </a:cxn>
              <a:cxn ang="0">
                <a:pos x="csX3642" y="csY3642"/>
              </a:cxn>
              <a:cxn ang="0">
                <a:pos x="csX3643" y="csY3643"/>
              </a:cxn>
              <a:cxn ang="0">
                <a:pos x="csX3644" y="csY3644"/>
              </a:cxn>
              <a:cxn ang="0">
                <a:pos x="csX3645" y="csY3645"/>
              </a:cxn>
              <a:cxn ang="0">
                <a:pos x="csX3646" y="csY3646"/>
              </a:cxn>
              <a:cxn ang="0">
                <a:pos x="csX3647" y="csY3647"/>
              </a:cxn>
              <a:cxn ang="0">
                <a:pos x="csX3648" y="csY3648"/>
              </a:cxn>
              <a:cxn ang="0">
                <a:pos x="csX3649" y="csY3649"/>
              </a:cxn>
              <a:cxn ang="0">
                <a:pos x="csX3650" y="csY3650"/>
              </a:cxn>
              <a:cxn ang="0">
                <a:pos x="csX3651" y="csY3651"/>
              </a:cxn>
              <a:cxn ang="0">
                <a:pos x="csX3652" y="csY3652"/>
              </a:cxn>
              <a:cxn ang="0">
                <a:pos x="csX3653" y="csY3653"/>
              </a:cxn>
              <a:cxn ang="0">
                <a:pos x="csX3654" y="csY3654"/>
              </a:cxn>
              <a:cxn ang="0">
                <a:pos x="csX3655" y="csY3655"/>
              </a:cxn>
              <a:cxn ang="0">
                <a:pos x="csX3656" y="csY3656"/>
              </a:cxn>
              <a:cxn ang="0">
                <a:pos x="csX3657" y="csY3657"/>
              </a:cxn>
              <a:cxn ang="0">
                <a:pos x="csX3658" y="csY3658"/>
              </a:cxn>
              <a:cxn ang="0">
                <a:pos x="csX3659" y="csY3659"/>
              </a:cxn>
              <a:cxn ang="0">
                <a:pos x="csX3660" y="csY3660"/>
              </a:cxn>
              <a:cxn ang="0">
                <a:pos x="csX3661" y="csY3661"/>
              </a:cxn>
              <a:cxn ang="0">
                <a:pos x="csX3662" y="csY3662"/>
              </a:cxn>
              <a:cxn ang="0">
                <a:pos x="csX3663" y="csY3663"/>
              </a:cxn>
              <a:cxn ang="0">
                <a:pos x="csX3664" y="csY3664"/>
              </a:cxn>
              <a:cxn ang="0">
                <a:pos x="csX3665" y="csY3665"/>
              </a:cxn>
              <a:cxn ang="0">
                <a:pos x="csX3666" y="csY3666"/>
              </a:cxn>
              <a:cxn ang="0">
                <a:pos x="csX3667" y="csY3667"/>
              </a:cxn>
              <a:cxn ang="0">
                <a:pos x="csX3668" y="csY3668"/>
              </a:cxn>
              <a:cxn ang="0">
                <a:pos x="csX3669" y="csY3669"/>
              </a:cxn>
              <a:cxn ang="0">
                <a:pos x="csX3670" y="csY3670"/>
              </a:cxn>
              <a:cxn ang="0">
                <a:pos x="csX3671" y="csY3671"/>
              </a:cxn>
              <a:cxn ang="0">
                <a:pos x="csX3672" y="csY3672"/>
              </a:cxn>
              <a:cxn ang="0">
                <a:pos x="csX3673" y="csY3673"/>
              </a:cxn>
              <a:cxn ang="0">
                <a:pos x="csX3674" y="csY3674"/>
              </a:cxn>
              <a:cxn ang="0">
                <a:pos x="csX3675" y="csY3675"/>
              </a:cxn>
              <a:cxn ang="0">
                <a:pos x="csX3676" y="csY3676"/>
              </a:cxn>
              <a:cxn ang="0">
                <a:pos x="csX3677" y="csY3677"/>
              </a:cxn>
              <a:cxn ang="0">
                <a:pos x="csX3678" y="csY3678"/>
              </a:cxn>
              <a:cxn ang="0">
                <a:pos x="csX3679" y="csY3679"/>
              </a:cxn>
              <a:cxn ang="0">
                <a:pos x="csX3680" y="csY3680"/>
              </a:cxn>
              <a:cxn ang="0">
                <a:pos x="csX3681" y="csY3681"/>
              </a:cxn>
              <a:cxn ang="0">
                <a:pos x="csX3682" y="csY3682"/>
              </a:cxn>
              <a:cxn ang="0">
                <a:pos x="csX3683" y="csY3683"/>
              </a:cxn>
              <a:cxn ang="0">
                <a:pos x="csX3684" y="csY3684"/>
              </a:cxn>
              <a:cxn ang="0">
                <a:pos x="csX3685" y="csY3685"/>
              </a:cxn>
              <a:cxn ang="0">
                <a:pos x="csX3686" y="csY3686"/>
              </a:cxn>
              <a:cxn ang="0">
                <a:pos x="csX3687" y="csY3687"/>
              </a:cxn>
              <a:cxn ang="0">
                <a:pos x="csX3688" y="csY3688"/>
              </a:cxn>
              <a:cxn ang="0">
                <a:pos x="csX3689" y="csY3689"/>
              </a:cxn>
              <a:cxn ang="0">
                <a:pos x="csX3690" y="csY3690"/>
              </a:cxn>
              <a:cxn ang="0">
                <a:pos x="csX3691" y="csY3691"/>
              </a:cxn>
              <a:cxn ang="0">
                <a:pos x="csX3692" y="csY3692"/>
              </a:cxn>
              <a:cxn ang="0">
                <a:pos x="csX3693" y="csY3693"/>
              </a:cxn>
              <a:cxn ang="0">
                <a:pos x="csX3694" y="csY3694"/>
              </a:cxn>
              <a:cxn ang="0">
                <a:pos x="csX3695" y="csY3695"/>
              </a:cxn>
              <a:cxn ang="0">
                <a:pos x="csX3696" y="csY3696"/>
              </a:cxn>
              <a:cxn ang="0">
                <a:pos x="csX3697" y="csY3697"/>
              </a:cxn>
              <a:cxn ang="0">
                <a:pos x="csX3698" y="csY3698"/>
              </a:cxn>
              <a:cxn ang="0">
                <a:pos x="csX3699" y="csY3699"/>
              </a:cxn>
              <a:cxn ang="0">
                <a:pos x="csX3700" y="csY3700"/>
              </a:cxn>
              <a:cxn ang="0">
                <a:pos x="csX3701" y="csY3701"/>
              </a:cxn>
              <a:cxn ang="0">
                <a:pos x="csX3702" y="csY3702"/>
              </a:cxn>
              <a:cxn ang="0">
                <a:pos x="csX3703" y="csY3703"/>
              </a:cxn>
              <a:cxn ang="0">
                <a:pos x="csX3704" y="csY3704"/>
              </a:cxn>
              <a:cxn ang="0">
                <a:pos x="csX3705" y="csY3705"/>
              </a:cxn>
              <a:cxn ang="0">
                <a:pos x="csX3706" y="csY3706"/>
              </a:cxn>
              <a:cxn ang="0">
                <a:pos x="csX3707" y="csY3707"/>
              </a:cxn>
              <a:cxn ang="0">
                <a:pos x="csX3708" y="csY3708"/>
              </a:cxn>
              <a:cxn ang="0">
                <a:pos x="csX3709" y="csY3709"/>
              </a:cxn>
              <a:cxn ang="0">
                <a:pos x="csX3710" y="csY3710"/>
              </a:cxn>
              <a:cxn ang="0">
                <a:pos x="csX3711" y="csY3711"/>
              </a:cxn>
              <a:cxn ang="0">
                <a:pos x="csX3712" y="csY3712"/>
              </a:cxn>
              <a:cxn ang="0">
                <a:pos x="csX3713" y="csY3713"/>
              </a:cxn>
              <a:cxn ang="0">
                <a:pos x="csX3714" y="csY3714"/>
              </a:cxn>
              <a:cxn ang="0">
                <a:pos x="csX3715" y="csY3715"/>
              </a:cxn>
              <a:cxn ang="0">
                <a:pos x="csX3716" y="csY3716"/>
              </a:cxn>
              <a:cxn ang="0">
                <a:pos x="csX3717" y="csY3717"/>
              </a:cxn>
              <a:cxn ang="0">
                <a:pos x="csX3718" y="csY3718"/>
              </a:cxn>
              <a:cxn ang="0">
                <a:pos x="csX3719" y="csY3719"/>
              </a:cxn>
              <a:cxn ang="0">
                <a:pos x="csX3720" y="csY3720"/>
              </a:cxn>
              <a:cxn ang="0">
                <a:pos x="csX3721" y="csY3721"/>
              </a:cxn>
              <a:cxn ang="0">
                <a:pos x="csX3722" y="csY3722"/>
              </a:cxn>
              <a:cxn ang="0">
                <a:pos x="csX3723" y="csY3723"/>
              </a:cxn>
              <a:cxn ang="0">
                <a:pos x="csX3724" y="csY3724"/>
              </a:cxn>
              <a:cxn ang="0">
                <a:pos x="csX3725" y="csY3725"/>
              </a:cxn>
              <a:cxn ang="0">
                <a:pos x="csX3726" y="csY3726"/>
              </a:cxn>
              <a:cxn ang="0">
                <a:pos x="csX3727" y="csY3727"/>
              </a:cxn>
              <a:cxn ang="0">
                <a:pos x="csX3728" y="csY3728"/>
              </a:cxn>
              <a:cxn ang="0">
                <a:pos x="csX3729" y="csY3729"/>
              </a:cxn>
              <a:cxn ang="0">
                <a:pos x="csX3730" y="csY3730"/>
              </a:cxn>
              <a:cxn ang="0">
                <a:pos x="csX3731" y="csY3731"/>
              </a:cxn>
              <a:cxn ang="0">
                <a:pos x="csX3732" y="csY3732"/>
              </a:cxn>
              <a:cxn ang="0">
                <a:pos x="csX3733" y="csY3733"/>
              </a:cxn>
              <a:cxn ang="0">
                <a:pos x="csX3734" y="csY3734"/>
              </a:cxn>
              <a:cxn ang="0">
                <a:pos x="csX3735" y="csY3735"/>
              </a:cxn>
              <a:cxn ang="0">
                <a:pos x="csX3736" y="csY3736"/>
              </a:cxn>
              <a:cxn ang="0">
                <a:pos x="csX3737" y="csY3737"/>
              </a:cxn>
              <a:cxn ang="0">
                <a:pos x="csX3738" y="csY3738"/>
              </a:cxn>
              <a:cxn ang="0">
                <a:pos x="csX3739" y="csY3739"/>
              </a:cxn>
              <a:cxn ang="0">
                <a:pos x="csX3740" y="csY3740"/>
              </a:cxn>
              <a:cxn ang="0">
                <a:pos x="csX3741" y="csY3741"/>
              </a:cxn>
              <a:cxn ang="0">
                <a:pos x="csX3742" y="csY3742"/>
              </a:cxn>
              <a:cxn ang="0">
                <a:pos x="csX3743" y="csY3743"/>
              </a:cxn>
              <a:cxn ang="0">
                <a:pos x="csX3744" y="csY3744"/>
              </a:cxn>
              <a:cxn ang="0">
                <a:pos x="csX3745" y="csY3745"/>
              </a:cxn>
              <a:cxn ang="0">
                <a:pos x="csX3746" y="csY3746"/>
              </a:cxn>
              <a:cxn ang="0">
                <a:pos x="csX3747" y="csY3747"/>
              </a:cxn>
              <a:cxn ang="0">
                <a:pos x="csX3748" y="csY3748"/>
              </a:cxn>
              <a:cxn ang="0">
                <a:pos x="csX3749" y="csY3749"/>
              </a:cxn>
              <a:cxn ang="0">
                <a:pos x="csX3750" y="csY3750"/>
              </a:cxn>
              <a:cxn ang="0">
                <a:pos x="csX3751" y="csY3751"/>
              </a:cxn>
              <a:cxn ang="0">
                <a:pos x="csX3752" y="csY3752"/>
              </a:cxn>
              <a:cxn ang="0">
                <a:pos x="csX3753" y="csY3753"/>
              </a:cxn>
              <a:cxn ang="0">
                <a:pos x="csX3754" y="csY3754"/>
              </a:cxn>
              <a:cxn ang="0">
                <a:pos x="csX3755" y="csY3755"/>
              </a:cxn>
              <a:cxn ang="0">
                <a:pos x="csX3756" y="csY3756"/>
              </a:cxn>
              <a:cxn ang="0">
                <a:pos x="csX3757" y="csY3757"/>
              </a:cxn>
              <a:cxn ang="0">
                <a:pos x="csX3758" y="csY3758"/>
              </a:cxn>
              <a:cxn ang="0">
                <a:pos x="csX3759" y="csY3759"/>
              </a:cxn>
              <a:cxn ang="0">
                <a:pos x="csX3760" y="csY3760"/>
              </a:cxn>
              <a:cxn ang="0">
                <a:pos x="csX3761" y="csY3761"/>
              </a:cxn>
              <a:cxn ang="0">
                <a:pos x="csX3762" y="csY3762"/>
              </a:cxn>
              <a:cxn ang="0">
                <a:pos x="csX3763" y="csY3763"/>
              </a:cxn>
              <a:cxn ang="0">
                <a:pos x="csX3764" y="csY3764"/>
              </a:cxn>
              <a:cxn ang="0">
                <a:pos x="csX3765" y="csY3765"/>
              </a:cxn>
              <a:cxn ang="0">
                <a:pos x="csX3766" y="csY3766"/>
              </a:cxn>
              <a:cxn ang="0">
                <a:pos x="csX3767" y="csY3767"/>
              </a:cxn>
              <a:cxn ang="0">
                <a:pos x="csX3768" y="csY3768"/>
              </a:cxn>
              <a:cxn ang="0">
                <a:pos x="csX3769" y="csY3769"/>
              </a:cxn>
              <a:cxn ang="0">
                <a:pos x="csX3770" y="csY3770"/>
              </a:cxn>
              <a:cxn ang="0">
                <a:pos x="csX3771" y="csY3771"/>
              </a:cxn>
              <a:cxn ang="0">
                <a:pos x="csX3772" y="csY3772"/>
              </a:cxn>
              <a:cxn ang="0">
                <a:pos x="csX3773" y="csY3773"/>
              </a:cxn>
              <a:cxn ang="0">
                <a:pos x="csX3774" y="csY3774"/>
              </a:cxn>
              <a:cxn ang="0">
                <a:pos x="csX3775" y="csY3775"/>
              </a:cxn>
              <a:cxn ang="0">
                <a:pos x="csX3776" y="csY3776"/>
              </a:cxn>
              <a:cxn ang="0">
                <a:pos x="csX3777" y="csY3777"/>
              </a:cxn>
              <a:cxn ang="0">
                <a:pos x="csX3778" y="csY3778"/>
              </a:cxn>
              <a:cxn ang="0">
                <a:pos x="csX3779" y="csY3779"/>
              </a:cxn>
              <a:cxn ang="0">
                <a:pos x="csX3780" y="csY3780"/>
              </a:cxn>
              <a:cxn ang="0">
                <a:pos x="csX3781" y="csY3781"/>
              </a:cxn>
              <a:cxn ang="0">
                <a:pos x="csX3782" y="csY3782"/>
              </a:cxn>
              <a:cxn ang="0">
                <a:pos x="csX3783" y="csY3783"/>
              </a:cxn>
              <a:cxn ang="0">
                <a:pos x="csX3784" y="csY3784"/>
              </a:cxn>
              <a:cxn ang="0">
                <a:pos x="csX3785" y="csY3785"/>
              </a:cxn>
              <a:cxn ang="0">
                <a:pos x="csX3786" y="csY3786"/>
              </a:cxn>
              <a:cxn ang="0">
                <a:pos x="csX3787" y="csY3787"/>
              </a:cxn>
              <a:cxn ang="0">
                <a:pos x="csX3788" y="csY3788"/>
              </a:cxn>
              <a:cxn ang="0">
                <a:pos x="csX3789" y="csY3789"/>
              </a:cxn>
              <a:cxn ang="0">
                <a:pos x="csX3790" y="csY3790"/>
              </a:cxn>
              <a:cxn ang="0">
                <a:pos x="csX3791" y="csY3791"/>
              </a:cxn>
              <a:cxn ang="0">
                <a:pos x="csX3792" y="csY3792"/>
              </a:cxn>
              <a:cxn ang="0">
                <a:pos x="csX3793" y="csY3793"/>
              </a:cxn>
              <a:cxn ang="0">
                <a:pos x="csX3794" y="csY3794"/>
              </a:cxn>
              <a:cxn ang="0">
                <a:pos x="csX3795" y="csY3795"/>
              </a:cxn>
              <a:cxn ang="0">
                <a:pos x="csX3796" y="csY3796"/>
              </a:cxn>
              <a:cxn ang="0">
                <a:pos x="csX3797" y="csY3797"/>
              </a:cxn>
              <a:cxn ang="0">
                <a:pos x="csX3798" y="csY3798"/>
              </a:cxn>
              <a:cxn ang="0">
                <a:pos x="csX3799" y="csY3799"/>
              </a:cxn>
              <a:cxn ang="0">
                <a:pos x="csX3800" y="csY3800"/>
              </a:cxn>
              <a:cxn ang="0">
                <a:pos x="csX3801" y="csY3801"/>
              </a:cxn>
              <a:cxn ang="0">
                <a:pos x="csX3802" y="csY3802"/>
              </a:cxn>
              <a:cxn ang="0">
                <a:pos x="csX3803" y="csY3803"/>
              </a:cxn>
              <a:cxn ang="0">
                <a:pos x="csX3804" y="csY3804"/>
              </a:cxn>
              <a:cxn ang="0">
                <a:pos x="csX3805" y="csY3805"/>
              </a:cxn>
              <a:cxn ang="0">
                <a:pos x="csX3806" y="csY3806"/>
              </a:cxn>
              <a:cxn ang="0">
                <a:pos x="csX3807" y="csY3807"/>
              </a:cxn>
              <a:cxn ang="0">
                <a:pos x="csX3808" y="csY3808"/>
              </a:cxn>
              <a:cxn ang="0">
                <a:pos x="csX3809" y="csY3809"/>
              </a:cxn>
              <a:cxn ang="0">
                <a:pos x="csX3810" y="csY3810"/>
              </a:cxn>
              <a:cxn ang="0">
                <a:pos x="csX3811" y="csY3811"/>
              </a:cxn>
              <a:cxn ang="0">
                <a:pos x="csX3812" y="csY3812"/>
              </a:cxn>
              <a:cxn ang="0">
                <a:pos x="csX3813" y="csY3813"/>
              </a:cxn>
              <a:cxn ang="0">
                <a:pos x="csX3814" y="csY3814"/>
              </a:cxn>
              <a:cxn ang="0">
                <a:pos x="csX3815" y="csY3815"/>
              </a:cxn>
              <a:cxn ang="0">
                <a:pos x="csX3816" y="csY3816"/>
              </a:cxn>
              <a:cxn ang="0">
                <a:pos x="csX3817" y="csY3817"/>
              </a:cxn>
              <a:cxn ang="0">
                <a:pos x="csX3818" y="csY3818"/>
              </a:cxn>
              <a:cxn ang="0">
                <a:pos x="csX3819" y="csY3819"/>
              </a:cxn>
              <a:cxn ang="0">
                <a:pos x="csX3820" y="csY3820"/>
              </a:cxn>
              <a:cxn ang="0">
                <a:pos x="csX3821" y="csY3821"/>
              </a:cxn>
              <a:cxn ang="0">
                <a:pos x="csX3822" y="csY3822"/>
              </a:cxn>
              <a:cxn ang="0">
                <a:pos x="csX3823" y="csY3823"/>
              </a:cxn>
              <a:cxn ang="0">
                <a:pos x="csX3824" y="csY3824"/>
              </a:cxn>
              <a:cxn ang="0">
                <a:pos x="csX3825" y="csY3825"/>
              </a:cxn>
              <a:cxn ang="0">
                <a:pos x="csX3826" y="csY3826"/>
              </a:cxn>
              <a:cxn ang="0">
                <a:pos x="csX3827" y="csY3827"/>
              </a:cxn>
              <a:cxn ang="0">
                <a:pos x="csX3828" y="csY3828"/>
              </a:cxn>
              <a:cxn ang="0">
                <a:pos x="csX3829" y="csY3829"/>
              </a:cxn>
              <a:cxn ang="0">
                <a:pos x="csX3830" y="csY3830"/>
              </a:cxn>
              <a:cxn ang="0">
                <a:pos x="csX3831" y="csY3831"/>
              </a:cxn>
              <a:cxn ang="0">
                <a:pos x="csX3832" y="csY3832"/>
              </a:cxn>
              <a:cxn ang="0">
                <a:pos x="csX3833" y="csY3833"/>
              </a:cxn>
              <a:cxn ang="0">
                <a:pos x="csX3834" y="csY3834"/>
              </a:cxn>
              <a:cxn ang="0">
                <a:pos x="csX3835" y="csY3835"/>
              </a:cxn>
              <a:cxn ang="0">
                <a:pos x="csX3836" y="csY3836"/>
              </a:cxn>
              <a:cxn ang="0">
                <a:pos x="csX3837" y="csY3837"/>
              </a:cxn>
              <a:cxn ang="0">
                <a:pos x="csX3838" y="csY3838"/>
              </a:cxn>
              <a:cxn ang="0">
                <a:pos x="csX3839" y="csY3839"/>
              </a:cxn>
              <a:cxn ang="0">
                <a:pos x="csX3840" y="csY3840"/>
              </a:cxn>
              <a:cxn ang="0">
                <a:pos x="csX3841" y="csY3841"/>
              </a:cxn>
              <a:cxn ang="0">
                <a:pos x="csX3842" y="csY3842"/>
              </a:cxn>
              <a:cxn ang="0">
                <a:pos x="csX3843" y="csY3843"/>
              </a:cxn>
              <a:cxn ang="0">
                <a:pos x="csX3844" y="csY3844"/>
              </a:cxn>
              <a:cxn ang="0">
                <a:pos x="csX3845" y="csY3845"/>
              </a:cxn>
              <a:cxn ang="0">
                <a:pos x="csX3846" y="csY3846"/>
              </a:cxn>
              <a:cxn ang="0">
                <a:pos x="csX3847" y="csY3847"/>
              </a:cxn>
              <a:cxn ang="0">
                <a:pos x="csX3848" y="csY3848"/>
              </a:cxn>
              <a:cxn ang="0">
                <a:pos x="csX3849" y="csY3849"/>
              </a:cxn>
              <a:cxn ang="0">
                <a:pos x="csX3850" y="csY3850"/>
              </a:cxn>
              <a:cxn ang="0">
                <a:pos x="csX3851" y="csY3851"/>
              </a:cxn>
              <a:cxn ang="0">
                <a:pos x="csX3852" y="csY3852"/>
              </a:cxn>
              <a:cxn ang="0">
                <a:pos x="csX3853" y="csY3853"/>
              </a:cxn>
              <a:cxn ang="0">
                <a:pos x="csX3854" y="csY3854"/>
              </a:cxn>
              <a:cxn ang="0">
                <a:pos x="csX3855" y="csY3855"/>
              </a:cxn>
              <a:cxn ang="0">
                <a:pos x="csX3856" y="csY3856"/>
              </a:cxn>
              <a:cxn ang="0">
                <a:pos x="csX3857" y="csY3857"/>
              </a:cxn>
              <a:cxn ang="0">
                <a:pos x="csX3858" y="csY3858"/>
              </a:cxn>
              <a:cxn ang="0">
                <a:pos x="csX3859" y="csY3859"/>
              </a:cxn>
              <a:cxn ang="0">
                <a:pos x="csX3860" y="csY3860"/>
              </a:cxn>
              <a:cxn ang="0">
                <a:pos x="csX3861" y="csY3861"/>
              </a:cxn>
              <a:cxn ang="0">
                <a:pos x="csX3862" y="csY3862"/>
              </a:cxn>
              <a:cxn ang="0">
                <a:pos x="csX3863" y="csY3863"/>
              </a:cxn>
              <a:cxn ang="0">
                <a:pos x="csX3864" y="csY3864"/>
              </a:cxn>
              <a:cxn ang="0">
                <a:pos x="csX3865" y="csY3865"/>
              </a:cxn>
              <a:cxn ang="0">
                <a:pos x="csX3866" y="csY3866"/>
              </a:cxn>
              <a:cxn ang="0">
                <a:pos x="csX3867" y="csY3867"/>
              </a:cxn>
              <a:cxn ang="0">
                <a:pos x="csX3868" y="csY3868"/>
              </a:cxn>
              <a:cxn ang="0">
                <a:pos x="csX3869" y="csY3869"/>
              </a:cxn>
              <a:cxn ang="0">
                <a:pos x="csX3870" y="csY3870"/>
              </a:cxn>
              <a:cxn ang="0">
                <a:pos x="csX3871" y="csY3871"/>
              </a:cxn>
              <a:cxn ang="0">
                <a:pos x="csX3872" y="csY3872"/>
              </a:cxn>
              <a:cxn ang="0">
                <a:pos x="csX3873" y="csY3873"/>
              </a:cxn>
              <a:cxn ang="0">
                <a:pos x="csX3874" y="csY3874"/>
              </a:cxn>
              <a:cxn ang="0">
                <a:pos x="csX3875" y="csY3875"/>
              </a:cxn>
              <a:cxn ang="0">
                <a:pos x="csX3876" y="csY3876"/>
              </a:cxn>
              <a:cxn ang="0">
                <a:pos x="csX3877" y="csY3877"/>
              </a:cxn>
              <a:cxn ang="0">
                <a:pos x="csX3878" y="csY3878"/>
              </a:cxn>
              <a:cxn ang="0">
                <a:pos x="csX3879" y="csY3879"/>
              </a:cxn>
              <a:cxn ang="0">
                <a:pos x="csX3880" y="csY3880"/>
              </a:cxn>
              <a:cxn ang="0">
                <a:pos x="csX3881" y="csY3881"/>
              </a:cxn>
              <a:cxn ang="0">
                <a:pos x="csX3882" y="csY3882"/>
              </a:cxn>
              <a:cxn ang="0">
                <a:pos x="csX3883" y="csY3883"/>
              </a:cxn>
              <a:cxn ang="0">
                <a:pos x="csX3884" y="csY3884"/>
              </a:cxn>
              <a:cxn ang="0">
                <a:pos x="csX3885" y="csY3885"/>
              </a:cxn>
              <a:cxn ang="0">
                <a:pos x="csX3886" y="csY3886"/>
              </a:cxn>
              <a:cxn ang="0">
                <a:pos x="csX3887" y="csY3887"/>
              </a:cxn>
              <a:cxn ang="0">
                <a:pos x="csX3888" y="csY3888"/>
              </a:cxn>
              <a:cxn ang="0">
                <a:pos x="csX3889" y="csY3889"/>
              </a:cxn>
              <a:cxn ang="0">
                <a:pos x="csX3890" y="csY3890"/>
              </a:cxn>
              <a:cxn ang="0">
                <a:pos x="csX3891" y="csY3891"/>
              </a:cxn>
              <a:cxn ang="0">
                <a:pos x="csX3892" y="csY3892"/>
              </a:cxn>
              <a:cxn ang="0">
                <a:pos x="csX3893" y="csY3893"/>
              </a:cxn>
              <a:cxn ang="0">
                <a:pos x="csX3894" y="csY3894"/>
              </a:cxn>
              <a:cxn ang="0">
                <a:pos x="csX3895" y="csY3895"/>
              </a:cxn>
              <a:cxn ang="0">
                <a:pos x="csX3896" y="csY3896"/>
              </a:cxn>
              <a:cxn ang="0">
                <a:pos x="csX3897" y="csY3897"/>
              </a:cxn>
              <a:cxn ang="0">
                <a:pos x="csX3898" y="csY3898"/>
              </a:cxn>
              <a:cxn ang="0">
                <a:pos x="csX3899" y="csY3899"/>
              </a:cxn>
              <a:cxn ang="0">
                <a:pos x="csX3900" y="csY3900"/>
              </a:cxn>
              <a:cxn ang="0">
                <a:pos x="csX3901" y="csY3901"/>
              </a:cxn>
              <a:cxn ang="0">
                <a:pos x="csX3902" y="csY3902"/>
              </a:cxn>
              <a:cxn ang="0">
                <a:pos x="csX3903" y="csY3903"/>
              </a:cxn>
              <a:cxn ang="0">
                <a:pos x="csX3904" y="csY3904"/>
              </a:cxn>
              <a:cxn ang="0">
                <a:pos x="csX3905" y="csY3905"/>
              </a:cxn>
              <a:cxn ang="0">
                <a:pos x="csX3906" y="csY3906"/>
              </a:cxn>
              <a:cxn ang="0">
                <a:pos x="csX3907" y="csY3907"/>
              </a:cxn>
              <a:cxn ang="0">
                <a:pos x="csX3908" y="csY3908"/>
              </a:cxn>
              <a:cxn ang="0">
                <a:pos x="csX3909" y="csY3909"/>
              </a:cxn>
              <a:cxn ang="0">
                <a:pos x="csX3910" y="csY3910"/>
              </a:cxn>
              <a:cxn ang="0">
                <a:pos x="csX3911" y="csY3911"/>
              </a:cxn>
              <a:cxn ang="0">
                <a:pos x="csX3912" y="csY3912"/>
              </a:cxn>
              <a:cxn ang="0">
                <a:pos x="csX3913" y="csY3913"/>
              </a:cxn>
              <a:cxn ang="0">
                <a:pos x="csX3914" y="csY3914"/>
              </a:cxn>
              <a:cxn ang="0">
                <a:pos x="csX3915" y="csY3915"/>
              </a:cxn>
              <a:cxn ang="0">
                <a:pos x="csX3916" y="csY3916"/>
              </a:cxn>
              <a:cxn ang="0">
                <a:pos x="csX3917" y="csY3917"/>
              </a:cxn>
              <a:cxn ang="0">
                <a:pos x="csX3918" y="csY3918"/>
              </a:cxn>
              <a:cxn ang="0">
                <a:pos x="csX3919" y="csY3919"/>
              </a:cxn>
              <a:cxn ang="0">
                <a:pos x="csX3920" y="csY3920"/>
              </a:cxn>
              <a:cxn ang="0">
                <a:pos x="csX3921" y="csY3921"/>
              </a:cxn>
              <a:cxn ang="0">
                <a:pos x="csX3922" y="csY3922"/>
              </a:cxn>
              <a:cxn ang="0">
                <a:pos x="csX3923" y="csY3923"/>
              </a:cxn>
              <a:cxn ang="0">
                <a:pos x="csX3924" y="csY3924"/>
              </a:cxn>
              <a:cxn ang="0">
                <a:pos x="csX3925" y="csY3925"/>
              </a:cxn>
              <a:cxn ang="0">
                <a:pos x="csX3926" y="csY3926"/>
              </a:cxn>
              <a:cxn ang="0">
                <a:pos x="csX3927" y="csY3927"/>
              </a:cxn>
              <a:cxn ang="0">
                <a:pos x="csX3928" y="csY3928"/>
              </a:cxn>
              <a:cxn ang="0">
                <a:pos x="csX3929" y="csY3929"/>
              </a:cxn>
              <a:cxn ang="0">
                <a:pos x="csX3930" y="csY3930"/>
              </a:cxn>
              <a:cxn ang="0">
                <a:pos x="csX3931" y="csY3931"/>
              </a:cxn>
              <a:cxn ang="0">
                <a:pos x="csX3932" y="csY3932"/>
              </a:cxn>
              <a:cxn ang="0">
                <a:pos x="csX3933" y="csY3933"/>
              </a:cxn>
              <a:cxn ang="0">
                <a:pos x="csX3934" y="csY3934"/>
              </a:cxn>
              <a:cxn ang="0">
                <a:pos x="csX3935" y="csY3935"/>
              </a:cxn>
              <a:cxn ang="0">
                <a:pos x="csX3936" y="csY3936"/>
              </a:cxn>
              <a:cxn ang="0">
                <a:pos x="csX3937" y="csY3937"/>
              </a:cxn>
              <a:cxn ang="0">
                <a:pos x="csX3938" y="csY3938"/>
              </a:cxn>
              <a:cxn ang="0">
                <a:pos x="csX3939" y="csY3939"/>
              </a:cxn>
              <a:cxn ang="0">
                <a:pos x="csX3940" y="csY3940"/>
              </a:cxn>
              <a:cxn ang="0">
                <a:pos x="csX3941" y="csY3941"/>
              </a:cxn>
              <a:cxn ang="0">
                <a:pos x="csX3942" y="csY3942"/>
              </a:cxn>
              <a:cxn ang="0">
                <a:pos x="csX3943" y="csY3943"/>
              </a:cxn>
              <a:cxn ang="0">
                <a:pos x="csX3944" y="csY3944"/>
              </a:cxn>
              <a:cxn ang="0">
                <a:pos x="csX3945" y="csY3945"/>
              </a:cxn>
              <a:cxn ang="0">
                <a:pos x="csX3946" y="csY3946"/>
              </a:cxn>
              <a:cxn ang="0">
                <a:pos x="csX3947" y="csY3947"/>
              </a:cxn>
              <a:cxn ang="0">
                <a:pos x="csX3948" y="csY3948"/>
              </a:cxn>
              <a:cxn ang="0">
                <a:pos x="csX3949" y="csY3949"/>
              </a:cxn>
              <a:cxn ang="0">
                <a:pos x="csX3950" y="csY3950"/>
              </a:cxn>
              <a:cxn ang="0">
                <a:pos x="csX3951" y="csY3951"/>
              </a:cxn>
              <a:cxn ang="0">
                <a:pos x="csX3952" y="csY3952"/>
              </a:cxn>
              <a:cxn ang="0">
                <a:pos x="csX3953" y="csY3953"/>
              </a:cxn>
              <a:cxn ang="0">
                <a:pos x="csX3954" y="csY3954"/>
              </a:cxn>
              <a:cxn ang="0">
                <a:pos x="csX3955" y="csY3955"/>
              </a:cxn>
              <a:cxn ang="0">
                <a:pos x="csX3956" y="csY3956"/>
              </a:cxn>
              <a:cxn ang="0">
                <a:pos x="csX3957" y="csY3957"/>
              </a:cxn>
              <a:cxn ang="0">
                <a:pos x="csX3958" y="csY3958"/>
              </a:cxn>
              <a:cxn ang="0">
                <a:pos x="csX3959" y="csY3959"/>
              </a:cxn>
              <a:cxn ang="0">
                <a:pos x="csX3960" y="csY3960"/>
              </a:cxn>
              <a:cxn ang="0">
                <a:pos x="csX3961" y="csY3961"/>
              </a:cxn>
              <a:cxn ang="0">
                <a:pos x="csX3962" y="csY3962"/>
              </a:cxn>
              <a:cxn ang="0">
                <a:pos x="csX3963" y="csY3963"/>
              </a:cxn>
              <a:cxn ang="0">
                <a:pos x="csX3964" y="csY3964"/>
              </a:cxn>
              <a:cxn ang="0">
                <a:pos x="csX3965" y="csY3965"/>
              </a:cxn>
              <a:cxn ang="0">
                <a:pos x="csX3966" y="csY3966"/>
              </a:cxn>
              <a:cxn ang="0">
                <a:pos x="csX3967" y="csY3967"/>
              </a:cxn>
              <a:cxn ang="0">
                <a:pos x="csX3968" y="csY3968"/>
              </a:cxn>
              <a:cxn ang="0">
                <a:pos x="csX3969" y="csY3969"/>
              </a:cxn>
              <a:cxn ang="0">
                <a:pos x="csX3970" y="csY3970"/>
              </a:cxn>
              <a:cxn ang="0">
                <a:pos x="csX3971" y="csY3971"/>
              </a:cxn>
              <a:cxn ang="0">
                <a:pos x="csX3972" y="csY3972"/>
              </a:cxn>
              <a:cxn ang="0">
                <a:pos x="csX3973" y="csY3973"/>
              </a:cxn>
              <a:cxn ang="0">
                <a:pos x="csX3974" y="csY3974"/>
              </a:cxn>
              <a:cxn ang="0">
                <a:pos x="csX3975" y="csY3975"/>
              </a:cxn>
              <a:cxn ang="0">
                <a:pos x="csX3976" y="csY3976"/>
              </a:cxn>
              <a:cxn ang="0">
                <a:pos x="csX3977" y="csY3977"/>
              </a:cxn>
              <a:cxn ang="0">
                <a:pos x="csX3978" y="csY3978"/>
              </a:cxn>
              <a:cxn ang="0">
                <a:pos x="csX3979" y="csY3979"/>
              </a:cxn>
              <a:cxn ang="0">
                <a:pos x="csX3980" y="csY3980"/>
              </a:cxn>
              <a:cxn ang="0">
                <a:pos x="csX3981" y="csY3981"/>
              </a:cxn>
              <a:cxn ang="0">
                <a:pos x="csX3982" y="csY3982"/>
              </a:cxn>
              <a:cxn ang="0">
                <a:pos x="csX3983" y="csY3983"/>
              </a:cxn>
              <a:cxn ang="0">
                <a:pos x="csX3984" y="csY3984"/>
              </a:cxn>
              <a:cxn ang="0">
                <a:pos x="csX3985" y="csY3985"/>
              </a:cxn>
              <a:cxn ang="0">
                <a:pos x="csX3986" y="csY3986"/>
              </a:cxn>
              <a:cxn ang="0">
                <a:pos x="csX3987" y="csY3987"/>
              </a:cxn>
              <a:cxn ang="0">
                <a:pos x="csX3988" y="csY3988"/>
              </a:cxn>
              <a:cxn ang="0">
                <a:pos x="csX3989" y="csY3989"/>
              </a:cxn>
              <a:cxn ang="0">
                <a:pos x="csX3990" y="csY3990"/>
              </a:cxn>
              <a:cxn ang="0">
                <a:pos x="csX3991" y="csY3991"/>
              </a:cxn>
              <a:cxn ang="0">
                <a:pos x="csX3992" y="csY3992"/>
              </a:cxn>
              <a:cxn ang="0">
                <a:pos x="csX3993" y="csY3993"/>
              </a:cxn>
              <a:cxn ang="0">
                <a:pos x="csX3994" y="csY3994"/>
              </a:cxn>
              <a:cxn ang="0">
                <a:pos x="csX3995" y="csY3995"/>
              </a:cxn>
              <a:cxn ang="0">
                <a:pos x="csX3996" y="csY3996"/>
              </a:cxn>
              <a:cxn ang="0">
                <a:pos x="csX3997" y="csY3997"/>
              </a:cxn>
              <a:cxn ang="0">
                <a:pos x="csX3998" y="csY3998"/>
              </a:cxn>
              <a:cxn ang="0">
                <a:pos x="csX3999" y="csY3999"/>
              </a:cxn>
              <a:cxn ang="0">
                <a:pos x="csX4000" y="csY4000"/>
              </a:cxn>
              <a:cxn ang="0">
                <a:pos x="csX4001" y="csY4001"/>
              </a:cxn>
              <a:cxn ang="0">
                <a:pos x="csX4002" y="csY4002"/>
              </a:cxn>
              <a:cxn ang="0">
                <a:pos x="csX4003" y="csY4003"/>
              </a:cxn>
              <a:cxn ang="0">
                <a:pos x="csX4004" y="csY4004"/>
              </a:cxn>
              <a:cxn ang="0">
                <a:pos x="csX4005" y="csY4005"/>
              </a:cxn>
              <a:cxn ang="0">
                <a:pos x="csX4006" y="csY4006"/>
              </a:cxn>
              <a:cxn ang="0">
                <a:pos x="csX4007" y="csY4007"/>
              </a:cxn>
              <a:cxn ang="0">
                <a:pos x="csX4008" y="csY4008"/>
              </a:cxn>
              <a:cxn ang="0">
                <a:pos x="csX4009" y="csY4009"/>
              </a:cxn>
              <a:cxn ang="0">
                <a:pos x="csX4010" y="csY4010"/>
              </a:cxn>
              <a:cxn ang="0">
                <a:pos x="csX4011" y="csY4011"/>
              </a:cxn>
              <a:cxn ang="0">
                <a:pos x="csX4012" y="csY4012"/>
              </a:cxn>
              <a:cxn ang="0">
                <a:pos x="csX4013" y="csY4013"/>
              </a:cxn>
              <a:cxn ang="0">
                <a:pos x="csX4014" y="csY4014"/>
              </a:cxn>
              <a:cxn ang="0">
                <a:pos x="csX4015" y="csY4015"/>
              </a:cxn>
              <a:cxn ang="0">
                <a:pos x="csX4016" y="csY4016"/>
              </a:cxn>
              <a:cxn ang="0">
                <a:pos x="csX4017" y="csY4017"/>
              </a:cxn>
              <a:cxn ang="0">
                <a:pos x="csX4018" y="csY4018"/>
              </a:cxn>
              <a:cxn ang="0">
                <a:pos x="csX4019" y="csY4019"/>
              </a:cxn>
              <a:cxn ang="0">
                <a:pos x="csX4020" y="csY4020"/>
              </a:cxn>
              <a:cxn ang="0">
                <a:pos x="csX4021" y="csY4021"/>
              </a:cxn>
              <a:cxn ang="0">
                <a:pos x="csX4022" y="csY4022"/>
              </a:cxn>
              <a:cxn ang="0">
                <a:pos x="csX4023" y="csY4023"/>
              </a:cxn>
              <a:cxn ang="0">
                <a:pos x="csX4024" y="csY4024"/>
              </a:cxn>
              <a:cxn ang="0">
                <a:pos x="csX4025" y="csY4025"/>
              </a:cxn>
              <a:cxn ang="0">
                <a:pos x="csX4026" y="csY4026"/>
              </a:cxn>
              <a:cxn ang="0">
                <a:pos x="csX4027" y="csY4027"/>
              </a:cxn>
              <a:cxn ang="0">
                <a:pos x="csX4028" y="csY4028"/>
              </a:cxn>
              <a:cxn ang="0">
                <a:pos x="csX4029" y="csY4029"/>
              </a:cxn>
              <a:cxn ang="0">
                <a:pos x="csX4030" y="csY4030"/>
              </a:cxn>
              <a:cxn ang="0">
                <a:pos x="csX4031" y="csY4031"/>
              </a:cxn>
              <a:cxn ang="0">
                <a:pos x="csX4032" y="csY4032"/>
              </a:cxn>
              <a:cxn ang="0">
                <a:pos x="csX4033" y="csY4033"/>
              </a:cxn>
              <a:cxn ang="0">
                <a:pos x="csX4034" y="csY4034"/>
              </a:cxn>
              <a:cxn ang="0">
                <a:pos x="csX4035" y="csY4035"/>
              </a:cxn>
              <a:cxn ang="0">
                <a:pos x="csX4036" y="csY4036"/>
              </a:cxn>
              <a:cxn ang="0">
                <a:pos x="csX4037" y="csY4037"/>
              </a:cxn>
              <a:cxn ang="0">
                <a:pos x="csX4038" y="csY4038"/>
              </a:cxn>
              <a:cxn ang="0">
                <a:pos x="csX4039" y="csY4039"/>
              </a:cxn>
              <a:cxn ang="0">
                <a:pos x="csX4040" y="csY4040"/>
              </a:cxn>
              <a:cxn ang="0">
                <a:pos x="csX4041" y="csY4041"/>
              </a:cxn>
              <a:cxn ang="0">
                <a:pos x="csX4042" y="csY4042"/>
              </a:cxn>
              <a:cxn ang="0">
                <a:pos x="csX4043" y="csY4043"/>
              </a:cxn>
              <a:cxn ang="0">
                <a:pos x="csX4044" y="csY4044"/>
              </a:cxn>
              <a:cxn ang="0">
                <a:pos x="csX4045" y="csY4045"/>
              </a:cxn>
              <a:cxn ang="0">
                <a:pos x="csX4046" y="csY4046"/>
              </a:cxn>
              <a:cxn ang="0">
                <a:pos x="csX4047" y="csY4047"/>
              </a:cxn>
              <a:cxn ang="0">
                <a:pos x="csX4048" y="csY4048"/>
              </a:cxn>
              <a:cxn ang="0">
                <a:pos x="csX4049" y="csY4049"/>
              </a:cxn>
              <a:cxn ang="0">
                <a:pos x="csX4050" y="csY4050"/>
              </a:cxn>
              <a:cxn ang="0">
                <a:pos x="csX4051" y="csY4051"/>
              </a:cxn>
              <a:cxn ang="0">
                <a:pos x="csX4052" y="csY4052"/>
              </a:cxn>
              <a:cxn ang="0">
                <a:pos x="csX4053" y="csY4053"/>
              </a:cxn>
              <a:cxn ang="0">
                <a:pos x="csX4054" y="csY4054"/>
              </a:cxn>
              <a:cxn ang="0">
                <a:pos x="csX4055" y="csY4055"/>
              </a:cxn>
              <a:cxn ang="0">
                <a:pos x="csX4056" y="csY4056"/>
              </a:cxn>
              <a:cxn ang="0">
                <a:pos x="csX4057" y="csY4057"/>
              </a:cxn>
              <a:cxn ang="0">
                <a:pos x="csX4058" y="csY4058"/>
              </a:cxn>
              <a:cxn ang="0">
                <a:pos x="csX4059" y="csY4059"/>
              </a:cxn>
              <a:cxn ang="0">
                <a:pos x="csX4060" y="csY4060"/>
              </a:cxn>
              <a:cxn ang="0">
                <a:pos x="csX4061" y="csY4061"/>
              </a:cxn>
              <a:cxn ang="0">
                <a:pos x="csX4062" y="csY4062"/>
              </a:cxn>
              <a:cxn ang="0">
                <a:pos x="csX4063" y="csY4063"/>
              </a:cxn>
              <a:cxn ang="0">
                <a:pos x="csX4064" y="csY4064"/>
              </a:cxn>
              <a:cxn ang="0">
                <a:pos x="csX4065" y="csY4065"/>
              </a:cxn>
              <a:cxn ang="0">
                <a:pos x="csX4066" y="csY4066"/>
              </a:cxn>
              <a:cxn ang="0">
                <a:pos x="csX4067" y="csY4067"/>
              </a:cxn>
              <a:cxn ang="0">
                <a:pos x="csX4068" y="csY4068"/>
              </a:cxn>
              <a:cxn ang="0">
                <a:pos x="csX4069" y="csY4069"/>
              </a:cxn>
              <a:cxn ang="0">
                <a:pos x="csX4070" y="csY4070"/>
              </a:cxn>
              <a:cxn ang="0">
                <a:pos x="csX4071" y="csY4071"/>
              </a:cxn>
              <a:cxn ang="0">
                <a:pos x="csX4072" y="csY4072"/>
              </a:cxn>
              <a:cxn ang="0">
                <a:pos x="csX4073" y="csY4073"/>
              </a:cxn>
              <a:cxn ang="0">
                <a:pos x="csX4074" y="csY4074"/>
              </a:cxn>
              <a:cxn ang="0">
                <a:pos x="csX4075" y="csY4075"/>
              </a:cxn>
              <a:cxn ang="0">
                <a:pos x="csX4076" y="csY4076"/>
              </a:cxn>
              <a:cxn ang="0">
                <a:pos x="csX4077" y="csY4077"/>
              </a:cxn>
              <a:cxn ang="0">
                <a:pos x="csX4078" y="csY4078"/>
              </a:cxn>
              <a:cxn ang="0">
                <a:pos x="csX4079" y="csY4079"/>
              </a:cxn>
              <a:cxn ang="0">
                <a:pos x="csX4080" y="csY4080"/>
              </a:cxn>
              <a:cxn ang="0">
                <a:pos x="csX4081" y="csY4081"/>
              </a:cxn>
              <a:cxn ang="0">
                <a:pos x="csX4082" y="csY4082"/>
              </a:cxn>
              <a:cxn ang="0">
                <a:pos x="csX4083" y="csY4083"/>
              </a:cxn>
              <a:cxn ang="0">
                <a:pos x="csX4084" y="csY4084"/>
              </a:cxn>
              <a:cxn ang="0">
                <a:pos x="csX4085" y="csY4085"/>
              </a:cxn>
              <a:cxn ang="0">
                <a:pos x="csX4086" y="csY4086"/>
              </a:cxn>
              <a:cxn ang="0">
                <a:pos x="csX4087" y="csY4087"/>
              </a:cxn>
              <a:cxn ang="0">
                <a:pos x="csX4088" y="csY4088"/>
              </a:cxn>
              <a:cxn ang="0">
                <a:pos x="csX4089" y="csY4089"/>
              </a:cxn>
              <a:cxn ang="0">
                <a:pos x="csX4090" y="csY4090"/>
              </a:cxn>
              <a:cxn ang="0">
                <a:pos x="csX4091" y="csY4091"/>
              </a:cxn>
              <a:cxn ang="0">
                <a:pos x="csX4092" y="csY4092"/>
              </a:cxn>
              <a:cxn ang="0">
                <a:pos x="csX4093" y="csY4093"/>
              </a:cxn>
              <a:cxn ang="0">
                <a:pos x="csX4094" y="csY4094"/>
              </a:cxn>
              <a:cxn ang="0">
                <a:pos x="csX4095" y="csY4095"/>
              </a:cxn>
              <a:cxn ang="0">
                <a:pos x="csX4096" y="csY4096"/>
              </a:cxn>
              <a:cxn ang="0">
                <a:pos x="csX4097" y="csY4097"/>
              </a:cxn>
              <a:cxn ang="0">
                <a:pos x="csX4098" y="csY4098"/>
              </a:cxn>
              <a:cxn ang="0">
                <a:pos x="csX4099" y="csY4099"/>
              </a:cxn>
              <a:cxn ang="0">
                <a:pos x="csX4100" y="csY4100"/>
              </a:cxn>
              <a:cxn ang="0">
                <a:pos x="csX4101" y="csY4101"/>
              </a:cxn>
              <a:cxn ang="0">
                <a:pos x="csX4102" y="csY4102"/>
              </a:cxn>
              <a:cxn ang="0">
                <a:pos x="csX4103" y="csY4103"/>
              </a:cxn>
              <a:cxn ang="0">
                <a:pos x="csX4104" y="csY4104"/>
              </a:cxn>
              <a:cxn ang="0">
                <a:pos x="csX4105" y="csY4105"/>
              </a:cxn>
              <a:cxn ang="0">
                <a:pos x="csX4106" y="csY4106"/>
              </a:cxn>
              <a:cxn ang="0">
                <a:pos x="csX4107" y="csY4107"/>
              </a:cxn>
              <a:cxn ang="0">
                <a:pos x="csX4108" y="csY4108"/>
              </a:cxn>
              <a:cxn ang="0">
                <a:pos x="csX4109" y="csY4109"/>
              </a:cxn>
              <a:cxn ang="0">
                <a:pos x="csX4110" y="csY4110"/>
              </a:cxn>
              <a:cxn ang="0">
                <a:pos x="csX4111" y="csY4111"/>
              </a:cxn>
              <a:cxn ang="0">
                <a:pos x="csX4112" y="csY4112"/>
              </a:cxn>
              <a:cxn ang="0">
                <a:pos x="csX4113" y="csY4113"/>
              </a:cxn>
              <a:cxn ang="0">
                <a:pos x="csX4114" y="csY4114"/>
              </a:cxn>
              <a:cxn ang="0">
                <a:pos x="csX4115" y="csY4115"/>
              </a:cxn>
              <a:cxn ang="0">
                <a:pos x="csX4116" y="csY4116"/>
              </a:cxn>
              <a:cxn ang="0">
                <a:pos x="csX4117" y="csY4117"/>
              </a:cxn>
              <a:cxn ang="0">
                <a:pos x="csX4118" y="csY4118"/>
              </a:cxn>
              <a:cxn ang="0">
                <a:pos x="csX4119" y="csY4119"/>
              </a:cxn>
              <a:cxn ang="0">
                <a:pos x="csX4120" y="csY4120"/>
              </a:cxn>
              <a:cxn ang="0">
                <a:pos x="csX4121" y="csY4121"/>
              </a:cxn>
              <a:cxn ang="0">
                <a:pos x="csX4122" y="csY4122"/>
              </a:cxn>
              <a:cxn ang="0">
                <a:pos x="csX4123" y="csY4123"/>
              </a:cxn>
              <a:cxn ang="0">
                <a:pos x="csX4124" y="csY4124"/>
              </a:cxn>
              <a:cxn ang="0">
                <a:pos x="csX4125" y="csY4125"/>
              </a:cxn>
              <a:cxn ang="0">
                <a:pos x="csX4126" y="csY4126"/>
              </a:cxn>
              <a:cxn ang="0">
                <a:pos x="csX4127" y="csY4127"/>
              </a:cxn>
              <a:cxn ang="0">
                <a:pos x="csX4128" y="csY4128"/>
              </a:cxn>
              <a:cxn ang="0">
                <a:pos x="csX4129" y="csY4129"/>
              </a:cxn>
              <a:cxn ang="0">
                <a:pos x="csX4130" y="csY4130"/>
              </a:cxn>
              <a:cxn ang="0">
                <a:pos x="csX4131" y="csY4131"/>
              </a:cxn>
              <a:cxn ang="0">
                <a:pos x="csX4132" y="csY4132"/>
              </a:cxn>
              <a:cxn ang="0">
                <a:pos x="csX4133" y="csY4133"/>
              </a:cxn>
              <a:cxn ang="0">
                <a:pos x="csX4134" y="csY4134"/>
              </a:cxn>
              <a:cxn ang="0">
                <a:pos x="csX4135" y="csY4135"/>
              </a:cxn>
              <a:cxn ang="0">
                <a:pos x="csX4136" y="csY4136"/>
              </a:cxn>
              <a:cxn ang="0">
                <a:pos x="csX4137" y="csY4137"/>
              </a:cxn>
              <a:cxn ang="0">
                <a:pos x="csX4138" y="csY4138"/>
              </a:cxn>
              <a:cxn ang="0">
                <a:pos x="csX4139" y="csY4139"/>
              </a:cxn>
              <a:cxn ang="0">
                <a:pos x="csX4140" y="csY4140"/>
              </a:cxn>
              <a:cxn ang="0">
                <a:pos x="csX4141" y="csY4141"/>
              </a:cxn>
              <a:cxn ang="0">
                <a:pos x="csX4142" y="csY4142"/>
              </a:cxn>
              <a:cxn ang="0">
                <a:pos x="csX4143" y="csY4143"/>
              </a:cxn>
              <a:cxn ang="0">
                <a:pos x="csX4144" y="csY4144"/>
              </a:cxn>
              <a:cxn ang="0">
                <a:pos x="csX4145" y="csY4145"/>
              </a:cxn>
              <a:cxn ang="0">
                <a:pos x="csX4146" y="csY4146"/>
              </a:cxn>
              <a:cxn ang="0">
                <a:pos x="csX4147" y="csY4147"/>
              </a:cxn>
              <a:cxn ang="0">
                <a:pos x="csX4148" y="csY4148"/>
              </a:cxn>
              <a:cxn ang="0">
                <a:pos x="csX4149" y="csY4149"/>
              </a:cxn>
              <a:cxn ang="0">
                <a:pos x="csX4150" y="csY4150"/>
              </a:cxn>
              <a:cxn ang="0">
                <a:pos x="csX4151" y="csY4151"/>
              </a:cxn>
              <a:cxn ang="0">
                <a:pos x="csX4152" y="csY4152"/>
              </a:cxn>
              <a:cxn ang="0">
                <a:pos x="csX4153" y="csY4153"/>
              </a:cxn>
              <a:cxn ang="0">
                <a:pos x="csX4154" y="csY4154"/>
              </a:cxn>
              <a:cxn ang="0">
                <a:pos x="csX4155" y="csY4155"/>
              </a:cxn>
              <a:cxn ang="0">
                <a:pos x="csX4156" y="csY4156"/>
              </a:cxn>
              <a:cxn ang="0">
                <a:pos x="csX4157" y="csY4157"/>
              </a:cxn>
              <a:cxn ang="0">
                <a:pos x="csX4158" y="csY4158"/>
              </a:cxn>
              <a:cxn ang="0">
                <a:pos x="csX4159" y="csY4159"/>
              </a:cxn>
              <a:cxn ang="0">
                <a:pos x="csX4160" y="csY4160"/>
              </a:cxn>
              <a:cxn ang="0">
                <a:pos x="csX4161" y="csY4161"/>
              </a:cxn>
              <a:cxn ang="0">
                <a:pos x="csX4162" y="csY4162"/>
              </a:cxn>
              <a:cxn ang="0">
                <a:pos x="csX4163" y="csY4163"/>
              </a:cxn>
              <a:cxn ang="0">
                <a:pos x="csX4164" y="csY4164"/>
              </a:cxn>
              <a:cxn ang="0">
                <a:pos x="csX4165" y="csY4165"/>
              </a:cxn>
              <a:cxn ang="0">
                <a:pos x="csX4166" y="csY4166"/>
              </a:cxn>
              <a:cxn ang="0">
                <a:pos x="csX4167" y="csY4167"/>
              </a:cxn>
              <a:cxn ang="0">
                <a:pos x="csX4168" y="csY4168"/>
              </a:cxn>
              <a:cxn ang="0">
                <a:pos x="csX4169" y="csY4169"/>
              </a:cxn>
              <a:cxn ang="0">
                <a:pos x="csX4170" y="csY4170"/>
              </a:cxn>
              <a:cxn ang="0">
                <a:pos x="csX4171" y="csY4171"/>
              </a:cxn>
              <a:cxn ang="0">
                <a:pos x="csX4172" y="csY4172"/>
              </a:cxn>
              <a:cxn ang="0">
                <a:pos x="csX4173" y="csY4173"/>
              </a:cxn>
              <a:cxn ang="0">
                <a:pos x="csX4174" y="csY4174"/>
              </a:cxn>
              <a:cxn ang="0">
                <a:pos x="csX4175" y="csY4175"/>
              </a:cxn>
              <a:cxn ang="0">
                <a:pos x="csX4176" y="csY4176"/>
              </a:cxn>
              <a:cxn ang="0">
                <a:pos x="csX4177" y="csY4177"/>
              </a:cxn>
              <a:cxn ang="0">
                <a:pos x="csX4178" y="csY4178"/>
              </a:cxn>
              <a:cxn ang="0">
                <a:pos x="csX4179" y="csY4179"/>
              </a:cxn>
              <a:cxn ang="0">
                <a:pos x="csX4180" y="csY4180"/>
              </a:cxn>
              <a:cxn ang="0">
                <a:pos x="csX4181" y="csY4181"/>
              </a:cxn>
              <a:cxn ang="0">
                <a:pos x="csX4182" y="csY4182"/>
              </a:cxn>
              <a:cxn ang="0">
                <a:pos x="csX4183" y="csY4183"/>
              </a:cxn>
              <a:cxn ang="0">
                <a:pos x="csX4184" y="csY4184"/>
              </a:cxn>
              <a:cxn ang="0">
                <a:pos x="csX4185" y="csY4185"/>
              </a:cxn>
              <a:cxn ang="0">
                <a:pos x="csX4186" y="csY4186"/>
              </a:cxn>
              <a:cxn ang="0">
                <a:pos x="csX4187" y="csY4187"/>
              </a:cxn>
              <a:cxn ang="0">
                <a:pos x="csX4188" y="csY4188"/>
              </a:cxn>
              <a:cxn ang="0">
                <a:pos x="csX4189" y="csY4189"/>
              </a:cxn>
              <a:cxn ang="0">
                <a:pos x="csX4190" y="csY4190"/>
              </a:cxn>
              <a:cxn ang="0">
                <a:pos x="csX4191" y="csY4191"/>
              </a:cxn>
              <a:cxn ang="0">
                <a:pos x="csX4192" y="csY4192"/>
              </a:cxn>
              <a:cxn ang="0">
                <a:pos x="csX4193" y="csY4193"/>
              </a:cxn>
              <a:cxn ang="0">
                <a:pos x="csX4194" y="csY4194"/>
              </a:cxn>
              <a:cxn ang="0">
                <a:pos x="csX4195" y="csY4195"/>
              </a:cxn>
              <a:cxn ang="0">
                <a:pos x="csX4196" y="csY4196"/>
              </a:cxn>
              <a:cxn ang="0">
                <a:pos x="csX4197" y="csY4197"/>
              </a:cxn>
              <a:cxn ang="0">
                <a:pos x="csX4198" y="csY4198"/>
              </a:cxn>
              <a:cxn ang="0">
                <a:pos x="csX4199" y="csY4199"/>
              </a:cxn>
              <a:cxn ang="0">
                <a:pos x="csX4200" y="csY4200"/>
              </a:cxn>
              <a:cxn ang="0">
                <a:pos x="csX4201" y="csY4201"/>
              </a:cxn>
              <a:cxn ang="0">
                <a:pos x="csX4202" y="csY4202"/>
              </a:cxn>
              <a:cxn ang="0">
                <a:pos x="csX4203" y="csY4203"/>
              </a:cxn>
              <a:cxn ang="0">
                <a:pos x="csX4204" y="csY4204"/>
              </a:cxn>
              <a:cxn ang="0">
                <a:pos x="csX4205" y="csY4205"/>
              </a:cxn>
              <a:cxn ang="0">
                <a:pos x="csX4206" y="csY4206"/>
              </a:cxn>
              <a:cxn ang="0">
                <a:pos x="csX4207" y="csY4207"/>
              </a:cxn>
              <a:cxn ang="0">
                <a:pos x="csX4208" y="csY4208"/>
              </a:cxn>
              <a:cxn ang="0">
                <a:pos x="csX4209" y="csY4209"/>
              </a:cxn>
              <a:cxn ang="0">
                <a:pos x="csX4210" y="csY4210"/>
              </a:cxn>
              <a:cxn ang="0">
                <a:pos x="csX4211" y="csY4211"/>
              </a:cxn>
              <a:cxn ang="0">
                <a:pos x="csX4212" y="csY4212"/>
              </a:cxn>
              <a:cxn ang="0">
                <a:pos x="csX4213" y="csY4213"/>
              </a:cxn>
              <a:cxn ang="0">
                <a:pos x="csX4214" y="csY4214"/>
              </a:cxn>
              <a:cxn ang="0">
                <a:pos x="csX4215" y="csY4215"/>
              </a:cxn>
              <a:cxn ang="0">
                <a:pos x="csX4216" y="csY4216"/>
              </a:cxn>
              <a:cxn ang="0">
                <a:pos x="csX4217" y="csY4217"/>
              </a:cxn>
              <a:cxn ang="0">
                <a:pos x="csX4218" y="csY4218"/>
              </a:cxn>
              <a:cxn ang="0">
                <a:pos x="csX4219" y="csY4219"/>
              </a:cxn>
              <a:cxn ang="0">
                <a:pos x="csX4220" y="csY4220"/>
              </a:cxn>
              <a:cxn ang="0">
                <a:pos x="csX4221" y="csY4221"/>
              </a:cxn>
              <a:cxn ang="0">
                <a:pos x="csX4222" y="csY4222"/>
              </a:cxn>
              <a:cxn ang="0">
                <a:pos x="csX4223" y="csY4223"/>
              </a:cxn>
              <a:cxn ang="0">
                <a:pos x="csX4224" y="csY4224"/>
              </a:cxn>
              <a:cxn ang="0">
                <a:pos x="csX4225" y="csY4225"/>
              </a:cxn>
              <a:cxn ang="0">
                <a:pos x="csX4226" y="csY4226"/>
              </a:cxn>
              <a:cxn ang="0">
                <a:pos x="csX4227" y="csY4227"/>
              </a:cxn>
              <a:cxn ang="0">
                <a:pos x="csX4228" y="csY4228"/>
              </a:cxn>
              <a:cxn ang="0">
                <a:pos x="csX4229" y="csY4229"/>
              </a:cxn>
              <a:cxn ang="0">
                <a:pos x="csX4230" y="csY4230"/>
              </a:cxn>
              <a:cxn ang="0">
                <a:pos x="csX4231" y="csY4231"/>
              </a:cxn>
              <a:cxn ang="0">
                <a:pos x="csX4232" y="csY4232"/>
              </a:cxn>
              <a:cxn ang="0">
                <a:pos x="csX4233" y="csY4233"/>
              </a:cxn>
              <a:cxn ang="0">
                <a:pos x="csX4234" y="csY4234"/>
              </a:cxn>
              <a:cxn ang="0">
                <a:pos x="csX4235" y="csY4235"/>
              </a:cxn>
              <a:cxn ang="0">
                <a:pos x="csX4236" y="csY4236"/>
              </a:cxn>
              <a:cxn ang="0">
                <a:pos x="csX4237" y="csY4237"/>
              </a:cxn>
              <a:cxn ang="0">
                <a:pos x="csX4238" y="csY4238"/>
              </a:cxn>
              <a:cxn ang="0">
                <a:pos x="csX4239" y="csY4239"/>
              </a:cxn>
              <a:cxn ang="0">
                <a:pos x="csX4240" y="csY4240"/>
              </a:cxn>
              <a:cxn ang="0">
                <a:pos x="csX4241" y="csY4241"/>
              </a:cxn>
              <a:cxn ang="0">
                <a:pos x="csX4242" y="csY4242"/>
              </a:cxn>
              <a:cxn ang="0">
                <a:pos x="csX4243" y="csY4243"/>
              </a:cxn>
              <a:cxn ang="0">
                <a:pos x="csX4244" y="csY4244"/>
              </a:cxn>
              <a:cxn ang="0">
                <a:pos x="csX4245" y="csY4245"/>
              </a:cxn>
              <a:cxn ang="0">
                <a:pos x="csX4246" y="csY4246"/>
              </a:cxn>
              <a:cxn ang="0">
                <a:pos x="csX4247" y="csY4247"/>
              </a:cxn>
              <a:cxn ang="0">
                <a:pos x="csX4248" y="csY4248"/>
              </a:cxn>
              <a:cxn ang="0">
                <a:pos x="csX4249" y="csY4249"/>
              </a:cxn>
              <a:cxn ang="0">
                <a:pos x="csX4250" y="csY4250"/>
              </a:cxn>
              <a:cxn ang="0">
                <a:pos x="csX4251" y="csY4251"/>
              </a:cxn>
              <a:cxn ang="0">
                <a:pos x="csX4252" y="csY4252"/>
              </a:cxn>
              <a:cxn ang="0">
                <a:pos x="csX4253" y="csY4253"/>
              </a:cxn>
              <a:cxn ang="0">
                <a:pos x="csX4254" y="csY4254"/>
              </a:cxn>
              <a:cxn ang="0">
                <a:pos x="csX4255" y="csY4255"/>
              </a:cxn>
              <a:cxn ang="0">
                <a:pos x="csX4256" y="csY4256"/>
              </a:cxn>
              <a:cxn ang="0">
                <a:pos x="csX4257" y="csY4257"/>
              </a:cxn>
              <a:cxn ang="0">
                <a:pos x="csX4258" y="csY4258"/>
              </a:cxn>
              <a:cxn ang="0">
                <a:pos x="csX4259" y="csY4259"/>
              </a:cxn>
              <a:cxn ang="0">
                <a:pos x="csX4260" y="csY4260"/>
              </a:cxn>
              <a:cxn ang="0">
                <a:pos x="csX4261" y="csY4261"/>
              </a:cxn>
              <a:cxn ang="0">
                <a:pos x="csX4262" y="csY4262"/>
              </a:cxn>
              <a:cxn ang="0">
                <a:pos x="csX4263" y="csY4263"/>
              </a:cxn>
              <a:cxn ang="0">
                <a:pos x="csX4264" y="csY4264"/>
              </a:cxn>
              <a:cxn ang="0">
                <a:pos x="csX4265" y="csY4265"/>
              </a:cxn>
              <a:cxn ang="0">
                <a:pos x="csX4266" y="csY4266"/>
              </a:cxn>
              <a:cxn ang="0">
                <a:pos x="csX4267" y="csY4267"/>
              </a:cxn>
              <a:cxn ang="0">
                <a:pos x="csX4268" y="csY4268"/>
              </a:cxn>
              <a:cxn ang="0">
                <a:pos x="csX4269" y="csY4269"/>
              </a:cxn>
              <a:cxn ang="0">
                <a:pos x="csX4270" y="csY4270"/>
              </a:cxn>
              <a:cxn ang="0">
                <a:pos x="csX4271" y="csY4271"/>
              </a:cxn>
              <a:cxn ang="0">
                <a:pos x="csX4272" y="csY4272"/>
              </a:cxn>
              <a:cxn ang="0">
                <a:pos x="csX4273" y="csY4273"/>
              </a:cxn>
              <a:cxn ang="0">
                <a:pos x="csX4274" y="csY4274"/>
              </a:cxn>
              <a:cxn ang="0">
                <a:pos x="csX4275" y="csY4275"/>
              </a:cxn>
              <a:cxn ang="0">
                <a:pos x="csX4276" y="csY4276"/>
              </a:cxn>
              <a:cxn ang="0">
                <a:pos x="csX4277" y="csY4277"/>
              </a:cxn>
              <a:cxn ang="0">
                <a:pos x="csX4278" y="csY4278"/>
              </a:cxn>
              <a:cxn ang="0">
                <a:pos x="csX4279" y="csY4279"/>
              </a:cxn>
              <a:cxn ang="0">
                <a:pos x="csX4280" y="csY4280"/>
              </a:cxn>
              <a:cxn ang="0">
                <a:pos x="csX4281" y="csY4281"/>
              </a:cxn>
              <a:cxn ang="0">
                <a:pos x="csX4282" y="csY4282"/>
              </a:cxn>
              <a:cxn ang="0">
                <a:pos x="csX4283" y="csY4283"/>
              </a:cxn>
              <a:cxn ang="0">
                <a:pos x="csX4284" y="csY4284"/>
              </a:cxn>
              <a:cxn ang="0">
                <a:pos x="csX4285" y="csY4285"/>
              </a:cxn>
              <a:cxn ang="0">
                <a:pos x="csX4286" y="csY4286"/>
              </a:cxn>
              <a:cxn ang="0">
                <a:pos x="csX4287" y="csY4287"/>
              </a:cxn>
              <a:cxn ang="0">
                <a:pos x="csX4288" y="csY4288"/>
              </a:cxn>
              <a:cxn ang="0">
                <a:pos x="csX4289" y="csY4289"/>
              </a:cxn>
              <a:cxn ang="0">
                <a:pos x="csX4290" y="csY4290"/>
              </a:cxn>
              <a:cxn ang="0">
                <a:pos x="csX4291" y="csY4291"/>
              </a:cxn>
              <a:cxn ang="0">
                <a:pos x="csX4292" y="csY4292"/>
              </a:cxn>
              <a:cxn ang="0">
                <a:pos x="csX4293" y="csY4293"/>
              </a:cxn>
              <a:cxn ang="0">
                <a:pos x="csX4294" y="csY4294"/>
              </a:cxn>
              <a:cxn ang="0">
                <a:pos x="csX4295" y="csY4295"/>
              </a:cxn>
              <a:cxn ang="0">
                <a:pos x="csX4296" y="csY4296"/>
              </a:cxn>
              <a:cxn ang="0">
                <a:pos x="csX4297" y="csY4297"/>
              </a:cxn>
              <a:cxn ang="0">
                <a:pos x="csX4298" y="csY4298"/>
              </a:cxn>
              <a:cxn ang="0">
                <a:pos x="csX4299" y="csY4299"/>
              </a:cxn>
              <a:cxn ang="0">
                <a:pos x="csX4300" y="csY4300"/>
              </a:cxn>
              <a:cxn ang="0">
                <a:pos x="csX4301" y="csY4301"/>
              </a:cxn>
              <a:cxn ang="0">
                <a:pos x="csX4302" y="csY4302"/>
              </a:cxn>
              <a:cxn ang="0">
                <a:pos x="csX4303" y="csY4303"/>
              </a:cxn>
              <a:cxn ang="0">
                <a:pos x="csX4304" y="csY4304"/>
              </a:cxn>
              <a:cxn ang="0">
                <a:pos x="csX4305" y="csY4305"/>
              </a:cxn>
              <a:cxn ang="0">
                <a:pos x="csX4306" y="csY4306"/>
              </a:cxn>
              <a:cxn ang="0">
                <a:pos x="csX4307" y="csY4307"/>
              </a:cxn>
              <a:cxn ang="0">
                <a:pos x="csX4308" y="csY4308"/>
              </a:cxn>
              <a:cxn ang="0">
                <a:pos x="csX4309" y="csY4309"/>
              </a:cxn>
              <a:cxn ang="0">
                <a:pos x="csX4310" y="csY4310"/>
              </a:cxn>
              <a:cxn ang="0">
                <a:pos x="csX4311" y="csY4311"/>
              </a:cxn>
              <a:cxn ang="0">
                <a:pos x="csX4312" y="csY4312"/>
              </a:cxn>
              <a:cxn ang="0">
                <a:pos x="csX4313" y="csY4313"/>
              </a:cxn>
              <a:cxn ang="0">
                <a:pos x="csX4314" y="csY4314"/>
              </a:cxn>
              <a:cxn ang="0">
                <a:pos x="csX4315" y="csY4315"/>
              </a:cxn>
              <a:cxn ang="0">
                <a:pos x="csX4316" y="csY4316"/>
              </a:cxn>
              <a:cxn ang="0">
                <a:pos x="csX4317" y="csY4317"/>
              </a:cxn>
              <a:cxn ang="0">
                <a:pos x="csX4318" y="csY4318"/>
              </a:cxn>
              <a:cxn ang="0">
                <a:pos x="csX4319" y="csY4319"/>
              </a:cxn>
              <a:cxn ang="0">
                <a:pos x="csX4320" y="csY4320"/>
              </a:cxn>
              <a:cxn ang="0">
                <a:pos x="csX4321" y="csY4321"/>
              </a:cxn>
              <a:cxn ang="0">
                <a:pos x="csX4322" y="csY4322"/>
              </a:cxn>
              <a:cxn ang="0">
                <a:pos x="csX4323" y="csY4323"/>
              </a:cxn>
              <a:cxn ang="0">
                <a:pos x="csX4324" y="csY4324"/>
              </a:cxn>
              <a:cxn ang="0">
                <a:pos x="csX4325" y="csY4325"/>
              </a:cxn>
              <a:cxn ang="0">
                <a:pos x="csX4326" y="csY4326"/>
              </a:cxn>
              <a:cxn ang="0">
                <a:pos x="csX4327" y="csY4327"/>
              </a:cxn>
              <a:cxn ang="0">
                <a:pos x="csX4328" y="csY4328"/>
              </a:cxn>
              <a:cxn ang="0">
                <a:pos x="csX4329" y="csY4329"/>
              </a:cxn>
              <a:cxn ang="0">
                <a:pos x="csX4330" y="csY4330"/>
              </a:cxn>
              <a:cxn ang="0">
                <a:pos x="csX4331" y="csY4331"/>
              </a:cxn>
              <a:cxn ang="0">
                <a:pos x="csX4332" y="csY4332"/>
              </a:cxn>
              <a:cxn ang="0">
                <a:pos x="csX4333" y="csY4333"/>
              </a:cxn>
              <a:cxn ang="0">
                <a:pos x="csX4334" y="csY4334"/>
              </a:cxn>
              <a:cxn ang="0">
                <a:pos x="csX4335" y="csY4335"/>
              </a:cxn>
              <a:cxn ang="0">
                <a:pos x="csX4336" y="csY4336"/>
              </a:cxn>
              <a:cxn ang="0">
                <a:pos x="csX4337" y="csY4337"/>
              </a:cxn>
              <a:cxn ang="0">
                <a:pos x="csX4338" y="csY4338"/>
              </a:cxn>
              <a:cxn ang="0">
                <a:pos x="csX4339" y="csY4339"/>
              </a:cxn>
              <a:cxn ang="0">
                <a:pos x="csX4340" y="csY4340"/>
              </a:cxn>
              <a:cxn ang="0">
                <a:pos x="csX4341" y="csY4341"/>
              </a:cxn>
              <a:cxn ang="0">
                <a:pos x="csX4342" y="csY4342"/>
              </a:cxn>
              <a:cxn ang="0">
                <a:pos x="csX4343" y="csY4343"/>
              </a:cxn>
              <a:cxn ang="0">
                <a:pos x="csX4344" y="csY4344"/>
              </a:cxn>
              <a:cxn ang="0">
                <a:pos x="csX4345" y="csY4345"/>
              </a:cxn>
              <a:cxn ang="0">
                <a:pos x="csX4346" y="csY4346"/>
              </a:cxn>
              <a:cxn ang="0">
                <a:pos x="csX4347" y="csY4347"/>
              </a:cxn>
              <a:cxn ang="0">
                <a:pos x="csX4348" y="csY4348"/>
              </a:cxn>
              <a:cxn ang="0">
                <a:pos x="csX4349" y="csY4349"/>
              </a:cxn>
              <a:cxn ang="0">
                <a:pos x="csX4350" y="csY4350"/>
              </a:cxn>
              <a:cxn ang="0">
                <a:pos x="csX4351" y="csY4351"/>
              </a:cxn>
              <a:cxn ang="0">
                <a:pos x="csX4352" y="csY4352"/>
              </a:cxn>
              <a:cxn ang="0">
                <a:pos x="csX4353" y="csY4353"/>
              </a:cxn>
              <a:cxn ang="0">
                <a:pos x="csX4354" y="csY4354"/>
              </a:cxn>
              <a:cxn ang="0">
                <a:pos x="csX4355" y="csY4355"/>
              </a:cxn>
              <a:cxn ang="0">
                <a:pos x="csX4356" y="csY4356"/>
              </a:cxn>
              <a:cxn ang="0">
                <a:pos x="csX4357" y="csY4357"/>
              </a:cxn>
              <a:cxn ang="0">
                <a:pos x="csX4358" y="csY4358"/>
              </a:cxn>
              <a:cxn ang="0">
                <a:pos x="csX4359" y="csY4359"/>
              </a:cxn>
              <a:cxn ang="0">
                <a:pos x="csX4360" y="csY4360"/>
              </a:cxn>
              <a:cxn ang="0">
                <a:pos x="csX4361" y="csY4361"/>
              </a:cxn>
              <a:cxn ang="0">
                <a:pos x="csX4362" y="csY4362"/>
              </a:cxn>
              <a:cxn ang="0">
                <a:pos x="csX4363" y="csY4363"/>
              </a:cxn>
              <a:cxn ang="0">
                <a:pos x="csX4364" y="csY4364"/>
              </a:cxn>
              <a:cxn ang="0">
                <a:pos x="csX4365" y="csY4365"/>
              </a:cxn>
              <a:cxn ang="0">
                <a:pos x="csX4366" y="csY4366"/>
              </a:cxn>
              <a:cxn ang="0">
                <a:pos x="csX4367" y="csY4367"/>
              </a:cxn>
              <a:cxn ang="0">
                <a:pos x="csX4368" y="csY4368"/>
              </a:cxn>
              <a:cxn ang="0">
                <a:pos x="csX4369" y="csY4369"/>
              </a:cxn>
              <a:cxn ang="0">
                <a:pos x="csX4370" y="csY4370"/>
              </a:cxn>
              <a:cxn ang="0">
                <a:pos x="csX4371" y="csY4371"/>
              </a:cxn>
              <a:cxn ang="0">
                <a:pos x="csX4372" y="csY4372"/>
              </a:cxn>
              <a:cxn ang="0">
                <a:pos x="csX4373" y="csY4373"/>
              </a:cxn>
              <a:cxn ang="0">
                <a:pos x="csX4374" y="csY4374"/>
              </a:cxn>
              <a:cxn ang="0">
                <a:pos x="csX4375" y="csY4375"/>
              </a:cxn>
              <a:cxn ang="0">
                <a:pos x="csX4376" y="csY4376"/>
              </a:cxn>
              <a:cxn ang="0">
                <a:pos x="csX4377" y="csY4377"/>
              </a:cxn>
              <a:cxn ang="0">
                <a:pos x="csX4378" y="csY4378"/>
              </a:cxn>
              <a:cxn ang="0">
                <a:pos x="csX4379" y="csY4379"/>
              </a:cxn>
              <a:cxn ang="0">
                <a:pos x="csX4380" y="csY4380"/>
              </a:cxn>
              <a:cxn ang="0">
                <a:pos x="csX4381" y="csY4381"/>
              </a:cxn>
              <a:cxn ang="0">
                <a:pos x="csX4382" y="csY4382"/>
              </a:cxn>
              <a:cxn ang="0">
                <a:pos x="csX4383" y="csY4383"/>
              </a:cxn>
              <a:cxn ang="0">
                <a:pos x="csX4384" y="csY4384"/>
              </a:cxn>
              <a:cxn ang="0">
                <a:pos x="csX4385" y="csY4385"/>
              </a:cxn>
              <a:cxn ang="0">
                <a:pos x="csX4386" y="csY4386"/>
              </a:cxn>
              <a:cxn ang="0">
                <a:pos x="csX4387" y="csY4387"/>
              </a:cxn>
              <a:cxn ang="0">
                <a:pos x="csX4388" y="csY4388"/>
              </a:cxn>
              <a:cxn ang="0">
                <a:pos x="csX4389" y="csY4389"/>
              </a:cxn>
              <a:cxn ang="0">
                <a:pos x="csX4390" y="csY4390"/>
              </a:cxn>
              <a:cxn ang="0">
                <a:pos x="csX4391" y="csY4391"/>
              </a:cxn>
              <a:cxn ang="0">
                <a:pos x="csX4392" y="csY4392"/>
              </a:cxn>
              <a:cxn ang="0">
                <a:pos x="csX4393" y="csY4393"/>
              </a:cxn>
              <a:cxn ang="0">
                <a:pos x="csX4394" y="csY4394"/>
              </a:cxn>
              <a:cxn ang="0">
                <a:pos x="csX4395" y="csY4395"/>
              </a:cxn>
              <a:cxn ang="0">
                <a:pos x="csX4396" y="csY4396"/>
              </a:cxn>
              <a:cxn ang="0">
                <a:pos x="csX4397" y="csY4397"/>
              </a:cxn>
              <a:cxn ang="0">
                <a:pos x="csX4398" y="csY4398"/>
              </a:cxn>
              <a:cxn ang="0">
                <a:pos x="csX4399" y="csY4399"/>
              </a:cxn>
              <a:cxn ang="0">
                <a:pos x="csX4400" y="csY4400"/>
              </a:cxn>
              <a:cxn ang="0">
                <a:pos x="csX4401" y="csY4401"/>
              </a:cxn>
              <a:cxn ang="0">
                <a:pos x="csX4402" y="csY4402"/>
              </a:cxn>
              <a:cxn ang="0">
                <a:pos x="csX4403" y="csY4403"/>
              </a:cxn>
              <a:cxn ang="0">
                <a:pos x="csX4404" y="csY4404"/>
              </a:cxn>
              <a:cxn ang="0">
                <a:pos x="csX4405" y="csY4405"/>
              </a:cxn>
              <a:cxn ang="0">
                <a:pos x="csX4406" y="csY4406"/>
              </a:cxn>
              <a:cxn ang="0">
                <a:pos x="csX4407" y="csY4407"/>
              </a:cxn>
              <a:cxn ang="0">
                <a:pos x="csX4408" y="csY4408"/>
              </a:cxn>
              <a:cxn ang="0">
                <a:pos x="csX4409" y="csY4409"/>
              </a:cxn>
              <a:cxn ang="0">
                <a:pos x="csX4410" y="csY4410"/>
              </a:cxn>
              <a:cxn ang="0">
                <a:pos x="csX4411" y="csY4411"/>
              </a:cxn>
              <a:cxn ang="0">
                <a:pos x="csX4412" y="csY4412"/>
              </a:cxn>
              <a:cxn ang="0">
                <a:pos x="csX4413" y="csY4413"/>
              </a:cxn>
              <a:cxn ang="0">
                <a:pos x="csX4414" y="csY4414"/>
              </a:cxn>
              <a:cxn ang="0">
                <a:pos x="csX4415" y="csY4415"/>
              </a:cxn>
              <a:cxn ang="0">
                <a:pos x="csX4416" y="csY4416"/>
              </a:cxn>
              <a:cxn ang="0">
                <a:pos x="csX4417" y="csY4417"/>
              </a:cxn>
              <a:cxn ang="0">
                <a:pos x="csX4418" y="csY4418"/>
              </a:cxn>
              <a:cxn ang="0">
                <a:pos x="csX4419" y="csY4419"/>
              </a:cxn>
              <a:cxn ang="0">
                <a:pos x="csX4420" y="csY4420"/>
              </a:cxn>
              <a:cxn ang="0">
                <a:pos x="csX4421" y="csY4421"/>
              </a:cxn>
              <a:cxn ang="0">
                <a:pos x="csX4422" y="csY4422"/>
              </a:cxn>
              <a:cxn ang="0">
                <a:pos x="csX4423" y="csY4423"/>
              </a:cxn>
              <a:cxn ang="0">
                <a:pos x="csX4424" y="csY4424"/>
              </a:cxn>
              <a:cxn ang="0">
                <a:pos x="csX4425" y="csY4425"/>
              </a:cxn>
              <a:cxn ang="0">
                <a:pos x="csX4426" y="csY4426"/>
              </a:cxn>
              <a:cxn ang="0">
                <a:pos x="csX4427" y="csY4427"/>
              </a:cxn>
              <a:cxn ang="0">
                <a:pos x="csX4428" y="csY4428"/>
              </a:cxn>
              <a:cxn ang="0">
                <a:pos x="csX4429" y="csY4429"/>
              </a:cxn>
              <a:cxn ang="0">
                <a:pos x="csX4430" y="csY4430"/>
              </a:cxn>
              <a:cxn ang="0">
                <a:pos x="csX4431" y="csY4431"/>
              </a:cxn>
              <a:cxn ang="0">
                <a:pos x="csX4432" y="csY4432"/>
              </a:cxn>
              <a:cxn ang="0">
                <a:pos x="csX4433" y="csY4433"/>
              </a:cxn>
              <a:cxn ang="0">
                <a:pos x="csX4434" y="csY4434"/>
              </a:cxn>
              <a:cxn ang="0">
                <a:pos x="csX4435" y="csY4435"/>
              </a:cxn>
              <a:cxn ang="0">
                <a:pos x="csX4436" y="csY4436"/>
              </a:cxn>
              <a:cxn ang="0">
                <a:pos x="csX4437" y="csY4437"/>
              </a:cxn>
              <a:cxn ang="0">
                <a:pos x="csX4438" y="csY4438"/>
              </a:cxn>
              <a:cxn ang="0">
                <a:pos x="csX4439" y="csY4439"/>
              </a:cxn>
              <a:cxn ang="0">
                <a:pos x="csX4440" y="csY4440"/>
              </a:cxn>
              <a:cxn ang="0">
                <a:pos x="csX4441" y="csY4441"/>
              </a:cxn>
              <a:cxn ang="0">
                <a:pos x="csX4442" y="csY4442"/>
              </a:cxn>
              <a:cxn ang="0">
                <a:pos x="csX4443" y="csY4443"/>
              </a:cxn>
              <a:cxn ang="0">
                <a:pos x="csX4444" y="csY4444"/>
              </a:cxn>
              <a:cxn ang="0">
                <a:pos x="csX4445" y="csY4445"/>
              </a:cxn>
              <a:cxn ang="0">
                <a:pos x="csX4446" y="csY4446"/>
              </a:cxn>
              <a:cxn ang="0">
                <a:pos x="csX4447" y="csY4447"/>
              </a:cxn>
              <a:cxn ang="0">
                <a:pos x="csX4448" y="csY4448"/>
              </a:cxn>
              <a:cxn ang="0">
                <a:pos x="csX4449" y="csY4449"/>
              </a:cxn>
              <a:cxn ang="0">
                <a:pos x="csX4450" y="csY4450"/>
              </a:cxn>
              <a:cxn ang="0">
                <a:pos x="csX4451" y="csY4451"/>
              </a:cxn>
              <a:cxn ang="0">
                <a:pos x="csX4452" y="csY4452"/>
              </a:cxn>
              <a:cxn ang="0">
                <a:pos x="csX4453" y="csY4453"/>
              </a:cxn>
              <a:cxn ang="0">
                <a:pos x="csX4454" y="csY4454"/>
              </a:cxn>
              <a:cxn ang="0">
                <a:pos x="csX4455" y="csY4455"/>
              </a:cxn>
              <a:cxn ang="0">
                <a:pos x="csX4456" y="csY4456"/>
              </a:cxn>
              <a:cxn ang="0">
                <a:pos x="csX4457" y="csY4457"/>
              </a:cxn>
              <a:cxn ang="0">
                <a:pos x="csX4458" y="csY4458"/>
              </a:cxn>
              <a:cxn ang="0">
                <a:pos x="csX4459" y="csY4459"/>
              </a:cxn>
              <a:cxn ang="0">
                <a:pos x="csX4460" y="csY4460"/>
              </a:cxn>
              <a:cxn ang="0">
                <a:pos x="csX4461" y="csY4461"/>
              </a:cxn>
              <a:cxn ang="0">
                <a:pos x="csX4462" y="csY4462"/>
              </a:cxn>
              <a:cxn ang="0">
                <a:pos x="csX4463" y="csY4463"/>
              </a:cxn>
              <a:cxn ang="0">
                <a:pos x="csX4464" y="csY4464"/>
              </a:cxn>
              <a:cxn ang="0">
                <a:pos x="csX4465" y="csY4465"/>
              </a:cxn>
              <a:cxn ang="0">
                <a:pos x="csX4466" y="csY4466"/>
              </a:cxn>
              <a:cxn ang="0">
                <a:pos x="csX4467" y="csY4467"/>
              </a:cxn>
              <a:cxn ang="0">
                <a:pos x="csX4468" y="csY4468"/>
              </a:cxn>
              <a:cxn ang="0">
                <a:pos x="csX4469" y="csY4469"/>
              </a:cxn>
              <a:cxn ang="0">
                <a:pos x="csX4470" y="csY4470"/>
              </a:cxn>
              <a:cxn ang="0">
                <a:pos x="csX4471" y="csY4471"/>
              </a:cxn>
              <a:cxn ang="0">
                <a:pos x="csX4472" y="csY4472"/>
              </a:cxn>
              <a:cxn ang="0">
                <a:pos x="csX4473" y="csY4473"/>
              </a:cxn>
              <a:cxn ang="0">
                <a:pos x="csX4474" y="csY4474"/>
              </a:cxn>
              <a:cxn ang="0">
                <a:pos x="csX4475" y="csY4475"/>
              </a:cxn>
              <a:cxn ang="0">
                <a:pos x="csX4476" y="csY4476"/>
              </a:cxn>
              <a:cxn ang="0">
                <a:pos x="csX4477" y="csY4477"/>
              </a:cxn>
              <a:cxn ang="0">
                <a:pos x="csX4478" y="csY4478"/>
              </a:cxn>
              <a:cxn ang="0">
                <a:pos x="csX4479" y="csY4479"/>
              </a:cxn>
              <a:cxn ang="0">
                <a:pos x="csX4480" y="csY4480"/>
              </a:cxn>
              <a:cxn ang="0">
                <a:pos x="csX4481" y="csY4481"/>
              </a:cxn>
              <a:cxn ang="0">
                <a:pos x="csX4482" y="csY4482"/>
              </a:cxn>
              <a:cxn ang="0">
                <a:pos x="csX4483" y="csY4483"/>
              </a:cxn>
              <a:cxn ang="0">
                <a:pos x="csX4484" y="csY4484"/>
              </a:cxn>
              <a:cxn ang="0">
                <a:pos x="csX4485" y="csY4485"/>
              </a:cxn>
              <a:cxn ang="0">
                <a:pos x="csX4486" y="csY4486"/>
              </a:cxn>
              <a:cxn ang="0">
                <a:pos x="csX4487" y="csY4487"/>
              </a:cxn>
              <a:cxn ang="0">
                <a:pos x="csX4488" y="csY4488"/>
              </a:cxn>
              <a:cxn ang="0">
                <a:pos x="csX4489" y="csY4489"/>
              </a:cxn>
              <a:cxn ang="0">
                <a:pos x="csX4490" y="csY4490"/>
              </a:cxn>
              <a:cxn ang="0">
                <a:pos x="csX4491" y="csY4491"/>
              </a:cxn>
              <a:cxn ang="0">
                <a:pos x="csX4492" y="csY4492"/>
              </a:cxn>
              <a:cxn ang="0">
                <a:pos x="csX4493" y="csY4493"/>
              </a:cxn>
              <a:cxn ang="0">
                <a:pos x="csX4494" y="csY4494"/>
              </a:cxn>
              <a:cxn ang="0">
                <a:pos x="csX4495" y="csY4495"/>
              </a:cxn>
              <a:cxn ang="0">
                <a:pos x="csX4496" y="csY4496"/>
              </a:cxn>
              <a:cxn ang="0">
                <a:pos x="csX4497" y="csY4497"/>
              </a:cxn>
              <a:cxn ang="0">
                <a:pos x="csX4498" y="csY4498"/>
              </a:cxn>
              <a:cxn ang="0">
                <a:pos x="csX4499" y="csY4499"/>
              </a:cxn>
              <a:cxn ang="0">
                <a:pos x="csX4500" y="csY4500"/>
              </a:cxn>
              <a:cxn ang="0">
                <a:pos x="csX4501" y="csY4501"/>
              </a:cxn>
              <a:cxn ang="0">
                <a:pos x="csX4502" y="csY4502"/>
              </a:cxn>
              <a:cxn ang="0">
                <a:pos x="csX4503" y="csY4503"/>
              </a:cxn>
              <a:cxn ang="0">
                <a:pos x="csX4504" y="csY4504"/>
              </a:cxn>
              <a:cxn ang="0">
                <a:pos x="csX4505" y="csY4505"/>
              </a:cxn>
              <a:cxn ang="0">
                <a:pos x="csX4506" y="csY4506"/>
              </a:cxn>
              <a:cxn ang="0">
                <a:pos x="csX4507" y="csY4507"/>
              </a:cxn>
              <a:cxn ang="0">
                <a:pos x="csX4508" y="csY4508"/>
              </a:cxn>
              <a:cxn ang="0">
                <a:pos x="csX4509" y="csY4509"/>
              </a:cxn>
              <a:cxn ang="0">
                <a:pos x="csX4510" y="csY4510"/>
              </a:cxn>
              <a:cxn ang="0">
                <a:pos x="csX4511" y="csY4511"/>
              </a:cxn>
              <a:cxn ang="0">
                <a:pos x="csX4512" y="csY4512"/>
              </a:cxn>
              <a:cxn ang="0">
                <a:pos x="csX4513" y="csY4513"/>
              </a:cxn>
              <a:cxn ang="0">
                <a:pos x="csX4514" y="csY4514"/>
              </a:cxn>
              <a:cxn ang="0">
                <a:pos x="csX4515" y="csY4515"/>
              </a:cxn>
              <a:cxn ang="0">
                <a:pos x="csX4516" y="csY4516"/>
              </a:cxn>
              <a:cxn ang="0">
                <a:pos x="csX4517" y="csY4517"/>
              </a:cxn>
              <a:cxn ang="0">
                <a:pos x="csX4518" y="csY4518"/>
              </a:cxn>
              <a:cxn ang="0">
                <a:pos x="csX4519" y="csY4519"/>
              </a:cxn>
              <a:cxn ang="0">
                <a:pos x="csX4520" y="csY4520"/>
              </a:cxn>
              <a:cxn ang="0">
                <a:pos x="csX4521" y="csY4521"/>
              </a:cxn>
              <a:cxn ang="0">
                <a:pos x="csX4522" y="csY4522"/>
              </a:cxn>
              <a:cxn ang="0">
                <a:pos x="csX4523" y="csY4523"/>
              </a:cxn>
              <a:cxn ang="0">
                <a:pos x="csX4524" y="csY4524"/>
              </a:cxn>
              <a:cxn ang="0">
                <a:pos x="csX4525" y="csY4525"/>
              </a:cxn>
              <a:cxn ang="0">
                <a:pos x="csX4526" y="csY4526"/>
              </a:cxn>
              <a:cxn ang="0">
                <a:pos x="csX4527" y="csY4527"/>
              </a:cxn>
              <a:cxn ang="0">
                <a:pos x="csX4528" y="csY4528"/>
              </a:cxn>
              <a:cxn ang="0">
                <a:pos x="csX4529" y="csY4529"/>
              </a:cxn>
              <a:cxn ang="0">
                <a:pos x="csX4530" y="csY4530"/>
              </a:cxn>
              <a:cxn ang="0">
                <a:pos x="csX4531" y="csY4531"/>
              </a:cxn>
              <a:cxn ang="0">
                <a:pos x="csX4532" y="csY4532"/>
              </a:cxn>
              <a:cxn ang="0">
                <a:pos x="csX4533" y="csY4533"/>
              </a:cxn>
              <a:cxn ang="0">
                <a:pos x="csX4534" y="csY4534"/>
              </a:cxn>
              <a:cxn ang="0">
                <a:pos x="csX4535" y="csY4535"/>
              </a:cxn>
              <a:cxn ang="0">
                <a:pos x="csX4536" y="csY4536"/>
              </a:cxn>
              <a:cxn ang="0">
                <a:pos x="csX4537" y="csY4537"/>
              </a:cxn>
              <a:cxn ang="0">
                <a:pos x="csX4538" y="csY4538"/>
              </a:cxn>
              <a:cxn ang="0">
                <a:pos x="csX4539" y="csY4539"/>
              </a:cxn>
              <a:cxn ang="0">
                <a:pos x="csX4540" y="csY4540"/>
              </a:cxn>
              <a:cxn ang="0">
                <a:pos x="csX4541" y="csY4541"/>
              </a:cxn>
              <a:cxn ang="0">
                <a:pos x="csX4542" y="csY4542"/>
              </a:cxn>
              <a:cxn ang="0">
                <a:pos x="csX4543" y="csY4543"/>
              </a:cxn>
              <a:cxn ang="0">
                <a:pos x="csX4544" y="csY4544"/>
              </a:cxn>
              <a:cxn ang="0">
                <a:pos x="csX4545" y="csY4545"/>
              </a:cxn>
              <a:cxn ang="0">
                <a:pos x="csX4546" y="csY4546"/>
              </a:cxn>
              <a:cxn ang="0">
                <a:pos x="csX4547" y="csY4547"/>
              </a:cxn>
              <a:cxn ang="0">
                <a:pos x="csX4548" y="csY4548"/>
              </a:cxn>
              <a:cxn ang="0">
                <a:pos x="csX4549" y="csY4549"/>
              </a:cxn>
              <a:cxn ang="0">
                <a:pos x="csX4550" y="csY4550"/>
              </a:cxn>
              <a:cxn ang="0">
                <a:pos x="csX4551" y="csY4551"/>
              </a:cxn>
              <a:cxn ang="0">
                <a:pos x="csX4552" y="csY4552"/>
              </a:cxn>
              <a:cxn ang="0">
                <a:pos x="csX4553" y="csY4553"/>
              </a:cxn>
              <a:cxn ang="0">
                <a:pos x="csX4554" y="csY4554"/>
              </a:cxn>
              <a:cxn ang="0">
                <a:pos x="csX4555" y="csY4555"/>
              </a:cxn>
              <a:cxn ang="0">
                <a:pos x="csX4556" y="csY4556"/>
              </a:cxn>
              <a:cxn ang="0">
                <a:pos x="csX4557" y="csY4557"/>
              </a:cxn>
              <a:cxn ang="0">
                <a:pos x="csX4558" y="csY4558"/>
              </a:cxn>
              <a:cxn ang="0">
                <a:pos x="csX4559" y="csY4559"/>
              </a:cxn>
              <a:cxn ang="0">
                <a:pos x="csX4560" y="csY4560"/>
              </a:cxn>
              <a:cxn ang="0">
                <a:pos x="csX4561" y="csY4561"/>
              </a:cxn>
              <a:cxn ang="0">
                <a:pos x="csX4562" y="csY4562"/>
              </a:cxn>
              <a:cxn ang="0">
                <a:pos x="csX4563" y="csY4563"/>
              </a:cxn>
              <a:cxn ang="0">
                <a:pos x="csX4564" y="csY4564"/>
              </a:cxn>
              <a:cxn ang="0">
                <a:pos x="csX4565" y="csY4565"/>
              </a:cxn>
              <a:cxn ang="0">
                <a:pos x="csX4566" y="csY4566"/>
              </a:cxn>
              <a:cxn ang="0">
                <a:pos x="csX4567" y="csY4567"/>
              </a:cxn>
              <a:cxn ang="0">
                <a:pos x="csX4568" y="csY4568"/>
              </a:cxn>
              <a:cxn ang="0">
                <a:pos x="csX4569" y="csY4569"/>
              </a:cxn>
              <a:cxn ang="0">
                <a:pos x="csX4570" y="csY4570"/>
              </a:cxn>
              <a:cxn ang="0">
                <a:pos x="csX4571" y="csY4571"/>
              </a:cxn>
              <a:cxn ang="0">
                <a:pos x="csX4572" y="csY4572"/>
              </a:cxn>
              <a:cxn ang="0">
                <a:pos x="csX4573" y="csY4573"/>
              </a:cxn>
              <a:cxn ang="0">
                <a:pos x="csX4574" y="csY4574"/>
              </a:cxn>
              <a:cxn ang="0">
                <a:pos x="csX4575" y="csY4575"/>
              </a:cxn>
              <a:cxn ang="0">
                <a:pos x="csX4576" y="csY4576"/>
              </a:cxn>
              <a:cxn ang="0">
                <a:pos x="csX4577" y="csY4577"/>
              </a:cxn>
              <a:cxn ang="0">
                <a:pos x="csX4578" y="csY4578"/>
              </a:cxn>
              <a:cxn ang="0">
                <a:pos x="csX4579" y="csY4579"/>
              </a:cxn>
              <a:cxn ang="0">
                <a:pos x="csX4580" y="csY4580"/>
              </a:cxn>
              <a:cxn ang="0">
                <a:pos x="csX4581" y="csY4581"/>
              </a:cxn>
              <a:cxn ang="0">
                <a:pos x="csX4582" y="csY4582"/>
              </a:cxn>
              <a:cxn ang="0">
                <a:pos x="csX4583" y="csY4583"/>
              </a:cxn>
              <a:cxn ang="0">
                <a:pos x="csX4584" y="csY4584"/>
              </a:cxn>
              <a:cxn ang="0">
                <a:pos x="csX4585" y="csY4585"/>
              </a:cxn>
              <a:cxn ang="0">
                <a:pos x="csX4586" y="csY4586"/>
              </a:cxn>
              <a:cxn ang="0">
                <a:pos x="csX4587" y="csY4587"/>
              </a:cxn>
              <a:cxn ang="0">
                <a:pos x="csX4588" y="csY4588"/>
              </a:cxn>
              <a:cxn ang="0">
                <a:pos x="csX4589" y="csY4589"/>
              </a:cxn>
              <a:cxn ang="0">
                <a:pos x="csX4590" y="csY4590"/>
              </a:cxn>
              <a:cxn ang="0">
                <a:pos x="csX4591" y="csY4591"/>
              </a:cxn>
              <a:cxn ang="0">
                <a:pos x="csX4592" y="csY4592"/>
              </a:cxn>
              <a:cxn ang="0">
                <a:pos x="csX4593" y="csY4593"/>
              </a:cxn>
              <a:cxn ang="0">
                <a:pos x="csX4594" y="csY4594"/>
              </a:cxn>
              <a:cxn ang="0">
                <a:pos x="csX4595" y="csY4595"/>
              </a:cxn>
              <a:cxn ang="0">
                <a:pos x="csX4596" y="csY4596"/>
              </a:cxn>
              <a:cxn ang="0">
                <a:pos x="csX4597" y="csY4597"/>
              </a:cxn>
              <a:cxn ang="0">
                <a:pos x="csX4598" y="csY4598"/>
              </a:cxn>
              <a:cxn ang="0">
                <a:pos x="csX4599" y="csY4599"/>
              </a:cxn>
              <a:cxn ang="0">
                <a:pos x="csX4600" y="csY4600"/>
              </a:cxn>
              <a:cxn ang="0">
                <a:pos x="csX4601" y="csY4601"/>
              </a:cxn>
              <a:cxn ang="0">
                <a:pos x="csX4602" y="csY4602"/>
              </a:cxn>
              <a:cxn ang="0">
                <a:pos x="csX4603" y="csY4603"/>
              </a:cxn>
              <a:cxn ang="0">
                <a:pos x="csX4604" y="csY4604"/>
              </a:cxn>
              <a:cxn ang="0">
                <a:pos x="csX4605" y="csY4605"/>
              </a:cxn>
              <a:cxn ang="0">
                <a:pos x="csX4606" y="csY4606"/>
              </a:cxn>
              <a:cxn ang="0">
                <a:pos x="csX4607" y="csY4607"/>
              </a:cxn>
              <a:cxn ang="0">
                <a:pos x="csX4608" y="csY4608"/>
              </a:cxn>
              <a:cxn ang="0">
                <a:pos x="csX4609" y="csY4609"/>
              </a:cxn>
              <a:cxn ang="0">
                <a:pos x="csX4610" y="csY4610"/>
              </a:cxn>
              <a:cxn ang="0">
                <a:pos x="csX4611" y="csY4611"/>
              </a:cxn>
              <a:cxn ang="0">
                <a:pos x="csX4612" y="csY4612"/>
              </a:cxn>
              <a:cxn ang="0">
                <a:pos x="csX4613" y="csY4613"/>
              </a:cxn>
              <a:cxn ang="0">
                <a:pos x="csX4614" y="csY4614"/>
              </a:cxn>
              <a:cxn ang="0">
                <a:pos x="csX4615" y="csY4615"/>
              </a:cxn>
              <a:cxn ang="0">
                <a:pos x="csX4616" y="csY4616"/>
              </a:cxn>
              <a:cxn ang="0">
                <a:pos x="csX4617" y="csY4617"/>
              </a:cxn>
              <a:cxn ang="0">
                <a:pos x="csX4618" y="csY4618"/>
              </a:cxn>
              <a:cxn ang="0">
                <a:pos x="csX4619" y="csY4619"/>
              </a:cxn>
              <a:cxn ang="0">
                <a:pos x="csX4620" y="csY4620"/>
              </a:cxn>
              <a:cxn ang="0">
                <a:pos x="csX4621" y="csY4621"/>
              </a:cxn>
              <a:cxn ang="0">
                <a:pos x="csX4622" y="csY4622"/>
              </a:cxn>
              <a:cxn ang="0">
                <a:pos x="csX4623" y="csY4623"/>
              </a:cxn>
              <a:cxn ang="0">
                <a:pos x="csX4624" y="csY4624"/>
              </a:cxn>
              <a:cxn ang="0">
                <a:pos x="csX4625" y="csY4625"/>
              </a:cxn>
              <a:cxn ang="0">
                <a:pos x="csX4626" y="csY4626"/>
              </a:cxn>
              <a:cxn ang="0">
                <a:pos x="csX4627" y="csY4627"/>
              </a:cxn>
              <a:cxn ang="0">
                <a:pos x="csX4628" y="csY4628"/>
              </a:cxn>
              <a:cxn ang="0">
                <a:pos x="csX4629" y="csY4629"/>
              </a:cxn>
              <a:cxn ang="0">
                <a:pos x="csX4630" y="csY4630"/>
              </a:cxn>
              <a:cxn ang="0">
                <a:pos x="csX4631" y="csY4631"/>
              </a:cxn>
              <a:cxn ang="0">
                <a:pos x="csX4632" y="csY4632"/>
              </a:cxn>
              <a:cxn ang="0">
                <a:pos x="csX4633" y="csY4633"/>
              </a:cxn>
              <a:cxn ang="0">
                <a:pos x="csX4634" y="csY4634"/>
              </a:cxn>
              <a:cxn ang="0">
                <a:pos x="csX4635" y="csY4635"/>
              </a:cxn>
              <a:cxn ang="0">
                <a:pos x="csX4636" y="csY4636"/>
              </a:cxn>
              <a:cxn ang="0">
                <a:pos x="csX4637" y="csY4637"/>
              </a:cxn>
              <a:cxn ang="0">
                <a:pos x="csX4638" y="csY4638"/>
              </a:cxn>
              <a:cxn ang="0">
                <a:pos x="csX4639" y="csY4639"/>
              </a:cxn>
              <a:cxn ang="0">
                <a:pos x="csX4640" y="csY4640"/>
              </a:cxn>
              <a:cxn ang="0">
                <a:pos x="csX4641" y="csY4641"/>
              </a:cxn>
              <a:cxn ang="0">
                <a:pos x="csX4642" y="csY4642"/>
              </a:cxn>
              <a:cxn ang="0">
                <a:pos x="csX4643" y="csY4643"/>
              </a:cxn>
              <a:cxn ang="0">
                <a:pos x="csX4644" y="csY4644"/>
              </a:cxn>
              <a:cxn ang="0">
                <a:pos x="csX4645" y="csY4645"/>
              </a:cxn>
              <a:cxn ang="0">
                <a:pos x="csX4646" y="csY4646"/>
              </a:cxn>
              <a:cxn ang="0">
                <a:pos x="csX4647" y="csY4647"/>
              </a:cxn>
              <a:cxn ang="0">
                <a:pos x="csX4648" y="csY4648"/>
              </a:cxn>
              <a:cxn ang="0">
                <a:pos x="csX4649" y="csY4649"/>
              </a:cxn>
              <a:cxn ang="0">
                <a:pos x="csX4650" y="csY4650"/>
              </a:cxn>
              <a:cxn ang="0">
                <a:pos x="csX4651" y="csY4651"/>
              </a:cxn>
              <a:cxn ang="0">
                <a:pos x="csX4652" y="csY4652"/>
              </a:cxn>
              <a:cxn ang="0">
                <a:pos x="csX4653" y="csY4653"/>
              </a:cxn>
              <a:cxn ang="0">
                <a:pos x="csX4654" y="csY4654"/>
              </a:cxn>
              <a:cxn ang="0">
                <a:pos x="csX4655" y="csY4655"/>
              </a:cxn>
              <a:cxn ang="0">
                <a:pos x="csX4656" y="csY4656"/>
              </a:cxn>
              <a:cxn ang="0">
                <a:pos x="csX4657" y="csY4657"/>
              </a:cxn>
              <a:cxn ang="0">
                <a:pos x="csX4658" y="csY4658"/>
              </a:cxn>
              <a:cxn ang="0">
                <a:pos x="csX4659" y="csY4659"/>
              </a:cxn>
              <a:cxn ang="0">
                <a:pos x="csX4660" y="csY4660"/>
              </a:cxn>
              <a:cxn ang="0">
                <a:pos x="csX4661" y="csY4661"/>
              </a:cxn>
              <a:cxn ang="0">
                <a:pos x="csX4662" y="csY4662"/>
              </a:cxn>
              <a:cxn ang="0">
                <a:pos x="csX4663" y="csY4663"/>
              </a:cxn>
              <a:cxn ang="0">
                <a:pos x="csX4664" y="csY4664"/>
              </a:cxn>
              <a:cxn ang="0">
                <a:pos x="csX4665" y="csY4665"/>
              </a:cxn>
              <a:cxn ang="0">
                <a:pos x="csX4666" y="csY4666"/>
              </a:cxn>
              <a:cxn ang="0">
                <a:pos x="csX4667" y="csY4667"/>
              </a:cxn>
              <a:cxn ang="0">
                <a:pos x="csX4668" y="csY4668"/>
              </a:cxn>
              <a:cxn ang="0">
                <a:pos x="csX4669" y="csY4669"/>
              </a:cxn>
              <a:cxn ang="0">
                <a:pos x="csX4670" y="csY4670"/>
              </a:cxn>
              <a:cxn ang="0">
                <a:pos x="csX4671" y="csY4671"/>
              </a:cxn>
              <a:cxn ang="0">
                <a:pos x="csX4672" y="csY4672"/>
              </a:cxn>
              <a:cxn ang="0">
                <a:pos x="csX4673" y="csY4673"/>
              </a:cxn>
              <a:cxn ang="0">
                <a:pos x="csX4674" y="csY4674"/>
              </a:cxn>
              <a:cxn ang="0">
                <a:pos x="csX4675" y="csY4675"/>
              </a:cxn>
              <a:cxn ang="0">
                <a:pos x="csX4676" y="csY4676"/>
              </a:cxn>
              <a:cxn ang="0">
                <a:pos x="csX4677" y="csY4677"/>
              </a:cxn>
              <a:cxn ang="0">
                <a:pos x="csX4678" y="csY4678"/>
              </a:cxn>
              <a:cxn ang="0">
                <a:pos x="csX4679" y="csY4679"/>
              </a:cxn>
              <a:cxn ang="0">
                <a:pos x="csX4680" y="csY4680"/>
              </a:cxn>
              <a:cxn ang="0">
                <a:pos x="csX4681" y="csY4681"/>
              </a:cxn>
              <a:cxn ang="0">
                <a:pos x="csX4682" y="csY4682"/>
              </a:cxn>
              <a:cxn ang="0">
                <a:pos x="csX4683" y="csY4683"/>
              </a:cxn>
              <a:cxn ang="0">
                <a:pos x="csX4684" y="csY4684"/>
              </a:cxn>
              <a:cxn ang="0">
                <a:pos x="csX4685" y="csY4685"/>
              </a:cxn>
              <a:cxn ang="0">
                <a:pos x="csX4686" y="csY4686"/>
              </a:cxn>
              <a:cxn ang="0">
                <a:pos x="csX4687" y="csY4687"/>
              </a:cxn>
              <a:cxn ang="0">
                <a:pos x="csX4688" y="csY4688"/>
              </a:cxn>
              <a:cxn ang="0">
                <a:pos x="csX4689" y="csY4689"/>
              </a:cxn>
              <a:cxn ang="0">
                <a:pos x="csX4690" y="csY4690"/>
              </a:cxn>
              <a:cxn ang="0">
                <a:pos x="csX4691" y="csY4691"/>
              </a:cxn>
              <a:cxn ang="0">
                <a:pos x="csX4692" y="csY4692"/>
              </a:cxn>
              <a:cxn ang="0">
                <a:pos x="csX4693" y="csY4693"/>
              </a:cxn>
              <a:cxn ang="0">
                <a:pos x="csX4694" y="csY4694"/>
              </a:cxn>
              <a:cxn ang="0">
                <a:pos x="csX4695" y="csY4695"/>
              </a:cxn>
              <a:cxn ang="0">
                <a:pos x="csX4696" y="csY4696"/>
              </a:cxn>
              <a:cxn ang="0">
                <a:pos x="csX4697" y="csY4697"/>
              </a:cxn>
              <a:cxn ang="0">
                <a:pos x="csX4698" y="csY4698"/>
              </a:cxn>
              <a:cxn ang="0">
                <a:pos x="csX4699" y="csY4699"/>
              </a:cxn>
              <a:cxn ang="0">
                <a:pos x="csX4700" y="csY4700"/>
              </a:cxn>
              <a:cxn ang="0">
                <a:pos x="csX4701" y="csY4701"/>
              </a:cxn>
              <a:cxn ang="0">
                <a:pos x="csX4702" y="csY4702"/>
              </a:cxn>
              <a:cxn ang="0">
                <a:pos x="csX4703" y="csY4703"/>
              </a:cxn>
              <a:cxn ang="0">
                <a:pos x="csX4704" y="csY4704"/>
              </a:cxn>
              <a:cxn ang="0">
                <a:pos x="csX4705" y="csY4705"/>
              </a:cxn>
              <a:cxn ang="0">
                <a:pos x="csX4706" y="csY4706"/>
              </a:cxn>
              <a:cxn ang="0">
                <a:pos x="csX4707" y="csY4707"/>
              </a:cxn>
              <a:cxn ang="0">
                <a:pos x="csX4708" y="csY4708"/>
              </a:cxn>
              <a:cxn ang="0">
                <a:pos x="csX4709" y="csY4709"/>
              </a:cxn>
              <a:cxn ang="0">
                <a:pos x="csX4710" y="csY4710"/>
              </a:cxn>
              <a:cxn ang="0">
                <a:pos x="csX4711" y="csY4711"/>
              </a:cxn>
              <a:cxn ang="0">
                <a:pos x="csX4712" y="csY4712"/>
              </a:cxn>
              <a:cxn ang="0">
                <a:pos x="csX4713" y="csY4713"/>
              </a:cxn>
              <a:cxn ang="0">
                <a:pos x="csX4714" y="csY4714"/>
              </a:cxn>
              <a:cxn ang="0">
                <a:pos x="csX4715" y="csY4715"/>
              </a:cxn>
              <a:cxn ang="0">
                <a:pos x="csX4716" y="csY4716"/>
              </a:cxn>
              <a:cxn ang="0">
                <a:pos x="csX4717" y="csY4717"/>
              </a:cxn>
              <a:cxn ang="0">
                <a:pos x="csX4718" y="csY4718"/>
              </a:cxn>
              <a:cxn ang="0">
                <a:pos x="csX4719" y="csY4719"/>
              </a:cxn>
              <a:cxn ang="0">
                <a:pos x="csX4720" y="csY4720"/>
              </a:cxn>
              <a:cxn ang="0">
                <a:pos x="csX4721" y="csY4721"/>
              </a:cxn>
              <a:cxn ang="0">
                <a:pos x="csX4722" y="csY4722"/>
              </a:cxn>
              <a:cxn ang="0">
                <a:pos x="csX4723" y="csY4723"/>
              </a:cxn>
              <a:cxn ang="0">
                <a:pos x="csX4724" y="csY4724"/>
              </a:cxn>
              <a:cxn ang="0">
                <a:pos x="csX4725" y="csY4725"/>
              </a:cxn>
              <a:cxn ang="0">
                <a:pos x="csX4726" y="csY4726"/>
              </a:cxn>
              <a:cxn ang="0">
                <a:pos x="csX4727" y="csY4727"/>
              </a:cxn>
              <a:cxn ang="0">
                <a:pos x="csX4728" y="csY4728"/>
              </a:cxn>
              <a:cxn ang="0">
                <a:pos x="csX4729" y="csY4729"/>
              </a:cxn>
              <a:cxn ang="0">
                <a:pos x="csX4730" y="csY4730"/>
              </a:cxn>
              <a:cxn ang="0">
                <a:pos x="csX4731" y="csY4731"/>
              </a:cxn>
              <a:cxn ang="0">
                <a:pos x="csX4732" y="csY4732"/>
              </a:cxn>
              <a:cxn ang="0">
                <a:pos x="csX4733" y="csY4733"/>
              </a:cxn>
              <a:cxn ang="0">
                <a:pos x="csX4734" y="csY4734"/>
              </a:cxn>
              <a:cxn ang="0">
                <a:pos x="csX4735" y="csY4735"/>
              </a:cxn>
              <a:cxn ang="0">
                <a:pos x="csX4736" y="csY4736"/>
              </a:cxn>
              <a:cxn ang="0">
                <a:pos x="csX4737" y="csY4737"/>
              </a:cxn>
              <a:cxn ang="0">
                <a:pos x="csX4738" y="csY4738"/>
              </a:cxn>
              <a:cxn ang="0">
                <a:pos x="csX4739" y="csY4739"/>
              </a:cxn>
              <a:cxn ang="0">
                <a:pos x="csX4740" y="csY4740"/>
              </a:cxn>
              <a:cxn ang="0">
                <a:pos x="csX4741" y="csY4741"/>
              </a:cxn>
              <a:cxn ang="0">
                <a:pos x="csX4742" y="csY4742"/>
              </a:cxn>
              <a:cxn ang="0">
                <a:pos x="csX4743" y="csY4743"/>
              </a:cxn>
              <a:cxn ang="0">
                <a:pos x="csX4744" y="csY4744"/>
              </a:cxn>
              <a:cxn ang="0">
                <a:pos x="csX4745" y="csY4745"/>
              </a:cxn>
              <a:cxn ang="0">
                <a:pos x="csX4746" y="csY4746"/>
              </a:cxn>
              <a:cxn ang="0">
                <a:pos x="csX4747" y="csY4747"/>
              </a:cxn>
              <a:cxn ang="0">
                <a:pos x="csX4748" y="csY4748"/>
              </a:cxn>
              <a:cxn ang="0">
                <a:pos x="csX4749" y="csY4749"/>
              </a:cxn>
              <a:cxn ang="0">
                <a:pos x="csX4750" y="csY4750"/>
              </a:cxn>
              <a:cxn ang="0">
                <a:pos x="csX4751" y="csY4751"/>
              </a:cxn>
              <a:cxn ang="0">
                <a:pos x="csX4752" y="csY4752"/>
              </a:cxn>
              <a:cxn ang="0">
                <a:pos x="csX4753" y="csY4753"/>
              </a:cxn>
              <a:cxn ang="0">
                <a:pos x="csX4754" y="csY4754"/>
              </a:cxn>
              <a:cxn ang="0">
                <a:pos x="csX4755" y="csY4755"/>
              </a:cxn>
              <a:cxn ang="0">
                <a:pos x="csX4756" y="csY4756"/>
              </a:cxn>
              <a:cxn ang="0">
                <a:pos x="csX4757" y="csY4757"/>
              </a:cxn>
              <a:cxn ang="0">
                <a:pos x="csX4758" y="csY4758"/>
              </a:cxn>
              <a:cxn ang="0">
                <a:pos x="csX4759" y="csY4759"/>
              </a:cxn>
              <a:cxn ang="0">
                <a:pos x="csX4760" y="csY4760"/>
              </a:cxn>
              <a:cxn ang="0">
                <a:pos x="csX4761" y="csY4761"/>
              </a:cxn>
              <a:cxn ang="0">
                <a:pos x="csX4762" y="csY4762"/>
              </a:cxn>
              <a:cxn ang="0">
                <a:pos x="csX4763" y="csY4763"/>
              </a:cxn>
              <a:cxn ang="0">
                <a:pos x="csX4764" y="csY4764"/>
              </a:cxn>
              <a:cxn ang="0">
                <a:pos x="csX4765" y="csY4765"/>
              </a:cxn>
              <a:cxn ang="0">
                <a:pos x="csX4766" y="csY4766"/>
              </a:cxn>
              <a:cxn ang="0">
                <a:pos x="csX4767" y="csY4767"/>
              </a:cxn>
              <a:cxn ang="0">
                <a:pos x="csX4768" y="csY4768"/>
              </a:cxn>
              <a:cxn ang="0">
                <a:pos x="csX4769" y="csY4769"/>
              </a:cxn>
              <a:cxn ang="0">
                <a:pos x="csX4770" y="csY4770"/>
              </a:cxn>
              <a:cxn ang="0">
                <a:pos x="csX4771" y="csY4771"/>
              </a:cxn>
              <a:cxn ang="0">
                <a:pos x="csX4772" y="csY4772"/>
              </a:cxn>
              <a:cxn ang="0">
                <a:pos x="csX4773" y="csY4773"/>
              </a:cxn>
              <a:cxn ang="0">
                <a:pos x="csX4774" y="csY4774"/>
              </a:cxn>
              <a:cxn ang="0">
                <a:pos x="csX4775" y="csY4775"/>
              </a:cxn>
              <a:cxn ang="0">
                <a:pos x="csX4776" y="csY4776"/>
              </a:cxn>
              <a:cxn ang="0">
                <a:pos x="csX4777" y="csY4777"/>
              </a:cxn>
              <a:cxn ang="0">
                <a:pos x="csX4778" y="csY4778"/>
              </a:cxn>
              <a:cxn ang="0">
                <a:pos x="csX4779" y="csY4779"/>
              </a:cxn>
              <a:cxn ang="0">
                <a:pos x="csX4780" y="csY4780"/>
              </a:cxn>
              <a:cxn ang="0">
                <a:pos x="csX4781" y="csY4781"/>
              </a:cxn>
              <a:cxn ang="0">
                <a:pos x="csX4782" y="csY4782"/>
              </a:cxn>
              <a:cxn ang="0">
                <a:pos x="csX4783" y="csY4783"/>
              </a:cxn>
              <a:cxn ang="0">
                <a:pos x="csX4784" y="csY4784"/>
              </a:cxn>
              <a:cxn ang="0">
                <a:pos x="csX4785" y="csY4785"/>
              </a:cxn>
              <a:cxn ang="0">
                <a:pos x="csX4786" y="csY4786"/>
              </a:cxn>
              <a:cxn ang="0">
                <a:pos x="csX4787" y="csY4787"/>
              </a:cxn>
              <a:cxn ang="0">
                <a:pos x="csX4788" y="csY4788"/>
              </a:cxn>
              <a:cxn ang="0">
                <a:pos x="csX4789" y="csY4789"/>
              </a:cxn>
              <a:cxn ang="0">
                <a:pos x="csX4790" y="csY4790"/>
              </a:cxn>
              <a:cxn ang="0">
                <a:pos x="csX4791" y="csY4791"/>
              </a:cxn>
              <a:cxn ang="0">
                <a:pos x="csX4792" y="csY4792"/>
              </a:cxn>
              <a:cxn ang="0">
                <a:pos x="csX4793" y="csY4793"/>
              </a:cxn>
              <a:cxn ang="0">
                <a:pos x="csX4794" y="csY4794"/>
              </a:cxn>
              <a:cxn ang="0">
                <a:pos x="csX4795" y="csY4795"/>
              </a:cxn>
              <a:cxn ang="0">
                <a:pos x="csX4796" y="csY4796"/>
              </a:cxn>
              <a:cxn ang="0">
                <a:pos x="csX4797" y="csY4797"/>
              </a:cxn>
              <a:cxn ang="0">
                <a:pos x="csX4798" y="csY4798"/>
              </a:cxn>
              <a:cxn ang="0">
                <a:pos x="csX4799" y="csY4799"/>
              </a:cxn>
              <a:cxn ang="0">
                <a:pos x="csX4800" y="csY4800"/>
              </a:cxn>
              <a:cxn ang="0">
                <a:pos x="csX4801" y="csY4801"/>
              </a:cxn>
              <a:cxn ang="0">
                <a:pos x="csX4802" y="csY4802"/>
              </a:cxn>
              <a:cxn ang="0">
                <a:pos x="csX4803" y="csY4803"/>
              </a:cxn>
              <a:cxn ang="0">
                <a:pos x="csX4804" y="csY4804"/>
              </a:cxn>
              <a:cxn ang="0">
                <a:pos x="csX4805" y="csY4805"/>
              </a:cxn>
              <a:cxn ang="0">
                <a:pos x="csX4806" y="csY4806"/>
              </a:cxn>
              <a:cxn ang="0">
                <a:pos x="csX4807" y="csY4807"/>
              </a:cxn>
              <a:cxn ang="0">
                <a:pos x="csX4808" y="csY4808"/>
              </a:cxn>
              <a:cxn ang="0">
                <a:pos x="csX4809" y="csY4809"/>
              </a:cxn>
              <a:cxn ang="0">
                <a:pos x="csX4810" y="csY4810"/>
              </a:cxn>
              <a:cxn ang="0">
                <a:pos x="csX4811" y="csY4811"/>
              </a:cxn>
              <a:cxn ang="0">
                <a:pos x="csX4812" y="csY4812"/>
              </a:cxn>
              <a:cxn ang="0">
                <a:pos x="csX4813" y="csY4813"/>
              </a:cxn>
              <a:cxn ang="0">
                <a:pos x="csX4814" y="csY4814"/>
              </a:cxn>
              <a:cxn ang="0">
                <a:pos x="csX4815" y="csY4815"/>
              </a:cxn>
              <a:cxn ang="0">
                <a:pos x="csX4816" y="csY4816"/>
              </a:cxn>
              <a:cxn ang="0">
                <a:pos x="csX4817" y="csY4817"/>
              </a:cxn>
              <a:cxn ang="0">
                <a:pos x="csX4818" y="csY4818"/>
              </a:cxn>
              <a:cxn ang="0">
                <a:pos x="csX4819" y="csY4819"/>
              </a:cxn>
              <a:cxn ang="0">
                <a:pos x="csX4820" y="csY4820"/>
              </a:cxn>
              <a:cxn ang="0">
                <a:pos x="csX4821" y="csY4821"/>
              </a:cxn>
              <a:cxn ang="0">
                <a:pos x="csX4822" y="csY4822"/>
              </a:cxn>
              <a:cxn ang="0">
                <a:pos x="csX4823" y="csY4823"/>
              </a:cxn>
              <a:cxn ang="0">
                <a:pos x="csX4824" y="csY4824"/>
              </a:cxn>
              <a:cxn ang="0">
                <a:pos x="csX4825" y="csY4825"/>
              </a:cxn>
              <a:cxn ang="0">
                <a:pos x="csX4826" y="csY4826"/>
              </a:cxn>
              <a:cxn ang="0">
                <a:pos x="csX4827" y="csY4827"/>
              </a:cxn>
              <a:cxn ang="0">
                <a:pos x="csX4828" y="csY4828"/>
              </a:cxn>
              <a:cxn ang="0">
                <a:pos x="csX4829" y="csY4829"/>
              </a:cxn>
              <a:cxn ang="0">
                <a:pos x="csX4830" y="csY4830"/>
              </a:cxn>
              <a:cxn ang="0">
                <a:pos x="csX4831" y="csY4831"/>
              </a:cxn>
              <a:cxn ang="0">
                <a:pos x="csX4832" y="csY4832"/>
              </a:cxn>
              <a:cxn ang="0">
                <a:pos x="csX4833" y="csY4833"/>
              </a:cxn>
              <a:cxn ang="0">
                <a:pos x="csX4834" y="csY4834"/>
              </a:cxn>
              <a:cxn ang="0">
                <a:pos x="csX4835" y="csY4835"/>
              </a:cxn>
              <a:cxn ang="0">
                <a:pos x="csX4836" y="csY4836"/>
              </a:cxn>
              <a:cxn ang="0">
                <a:pos x="csX4837" y="csY4837"/>
              </a:cxn>
              <a:cxn ang="0">
                <a:pos x="csX4838" y="csY4838"/>
              </a:cxn>
              <a:cxn ang="0">
                <a:pos x="csX4839" y="csY4839"/>
              </a:cxn>
              <a:cxn ang="0">
                <a:pos x="csX4840" y="csY4840"/>
              </a:cxn>
              <a:cxn ang="0">
                <a:pos x="csX4841" y="csY4841"/>
              </a:cxn>
              <a:cxn ang="0">
                <a:pos x="csX4842" y="csY4842"/>
              </a:cxn>
              <a:cxn ang="0">
                <a:pos x="csX4843" y="csY4843"/>
              </a:cxn>
              <a:cxn ang="0">
                <a:pos x="csX4844" y="csY4844"/>
              </a:cxn>
              <a:cxn ang="0">
                <a:pos x="csX4845" y="csY4845"/>
              </a:cxn>
              <a:cxn ang="0">
                <a:pos x="csX4846" y="csY4846"/>
              </a:cxn>
              <a:cxn ang="0">
                <a:pos x="csX4847" y="csY4847"/>
              </a:cxn>
              <a:cxn ang="0">
                <a:pos x="csX4848" y="csY4848"/>
              </a:cxn>
              <a:cxn ang="0">
                <a:pos x="csX4849" y="csY4849"/>
              </a:cxn>
              <a:cxn ang="0">
                <a:pos x="csX4850" y="csY4850"/>
              </a:cxn>
              <a:cxn ang="0">
                <a:pos x="csX4851" y="csY4851"/>
              </a:cxn>
              <a:cxn ang="0">
                <a:pos x="csX4852" y="csY4852"/>
              </a:cxn>
              <a:cxn ang="0">
                <a:pos x="csX4853" y="csY4853"/>
              </a:cxn>
              <a:cxn ang="0">
                <a:pos x="csX4854" y="csY4854"/>
              </a:cxn>
              <a:cxn ang="0">
                <a:pos x="csX4855" y="csY4855"/>
              </a:cxn>
              <a:cxn ang="0">
                <a:pos x="csX4856" y="csY4856"/>
              </a:cxn>
              <a:cxn ang="0">
                <a:pos x="csX4857" y="csY4857"/>
              </a:cxn>
              <a:cxn ang="0">
                <a:pos x="csX4858" y="csY4858"/>
              </a:cxn>
              <a:cxn ang="0">
                <a:pos x="csX4859" y="csY4859"/>
              </a:cxn>
              <a:cxn ang="0">
                <a:pos x="csX4860" y="csY4860"/>
              </a:cxn>
              <a:cxn ang="0">
                <a:pos x="csX4861" y="csY4861"/>
              </a:cxn>
              <a:cxn ang="0">
                <a:pos x="csX4862" y="csY4862"/>
              </a:cxn>
              <a:cxn ang="0">
                <a:pos x="csX4863" y="csY4863"/>
              </a:cxn>
              <a:cxn ang="0">
                <a:pos x="csX4864" y="csY4864"/>
              </a:cxn>
              <a:cxn ang="0">
                <a:pos x="csX4865" y="csY4865"/>
              </a:cxn>
              <a:cxn ang="0">
                <a:pos x="csX4866" y="csY4866"/>
              </a:cxn>
              <a:cxn ang="0">
                <a:pos x="csX4867" y="csY4867"/>
              </a:cxn>
              <a:cxn ang="0">
                <a:pos x="csX4868" y="csY4868"/>
              </a:cxn>
              <a:cxn ang="0">
                <a:pos x="csX4869" y="csY4869"/>
              </a:cxn>
              <a:cxn ang="0">
                <a:pos x="csX4870" y="csY4870"/>
              </a:cxn>
              <a:cxn ang="0">
                <a:pos x="csX4871" y="csY4871"/>
              </a:cxn>
              <a:cxn ang="0">
                <a:pos x="csX4872" y="csY4872"/>
              </a:cxn>
              <a:cxn ang="0">
                <a:pos x="csX4873" y="csY4873"/>
              </a:cxn>
              <a:cxn ang="0">
                <a:pos x="csX4874" y="csY4874"/>
              </a:cxn>
              <a:cxn ang="0">
                <a:pos x="csX4875" y="csY4875"/>
              </a:cxn>
              <a:cxn ang="0">
                <a:pos x="csX4876" y="csY4876"/>
              </a:cxn>
              <a:cxn ang="0">
                <a:pos x="csX4877" y="csY4877"/>
              </a:cxn>
              <a:cxn ang="0">
                <a:pos x="csX4878" y="csY4878"/>
              </a:cxn>
              <a:cxn ang="0">
                <a:pos x="csX4879" y="csY4879"/>
              </a:cxn>
              <a:cxn ang="0">
                <a:pos x="csX4880" y="csY4880"/>
              </a:cxn>
              <a:cxn ang="0">
                <a:pos x="csX4881" y="csY4881"/>
              </a:cxn>
              <a:cxn ang="0">
                <a:pos x="csX4882" y="csY4882"/>
              </a:cxn>
              <a:cxn ang="0">
                <a:pos x="csX4883" y="csY4883"/>
              </a:cxn>
              <a:cxn ang="0">
                <a:pos x="csX4884" y="csY4884"/>
              </a:cxn>
              <a:cxn ang="0">
                <a:pos x="csX4885" y="csY4885"/>
              </a:cxn>
              <a:cxn ang="0">
                <a:pos x="csX4886" y="csY4886"/>
              </a:cxn>
              <a:cxn ang="0">
                <a:pos x="csX4887" y="csY4887"/>
              </a:cxn>
              <a:cxn ang="0">
                <a:pos x="csX4888" y="csY4888"/>
              </a:cxn>
              <a:cxn ang="0">
                <a:pos x="csX4889" y="csY4889"/>
              </a:cxn>
              <a:cxn ang="0">
                <a:pos x="csX4890" y="csY4890"/>
              </a:cxn>
              <a:cxn ang="0">
                <a:pos x="csX4891" y="csY4891"/>
              </a:cxn>
              <a:cxn ang="0">
                <a:pos x="csX4892" y="csY4892"/>
              </a:cxn>
              <a:cxn ang="0">
                <a:pos x="csX4893" y="csY4893"/>
              </a:cxn>
              <a:cxn ang="0">
                <a:pos x="csX4894" y="csY4894"/>
              </a:cxn>
              <a:cxn ang="0">
                <a:pos x="csX4895" y="csY4895"/>
              </a:cxn>
              <a:cxn ang="0">
                <a:pos x="csX4896" y="csY4896"/>
              </a:cxn>
              <a:cxn ang="0">
                <a:pos x="csX4897" y="csY4897"/>
              </a:cxn>
              <a:cxn ang="0">
                <a:pos x="csX4898" y="csY4898"/>
              </a:cxn>
              <a:cxn ang="0">
                <a:pos x="csX4899" y="csY4899"/>
              </a:cxn>
              <a:cxn ang="0">
                <a:pos x="csX4900" y="csY4900"/>
              </a:cxn>
              <a:cxn ang="0">
                <a:pos x="csX4901" y="csY4901"/>
              </a:cxn>
              <a:cxn ang="0">
                <a:pos x="csX4902" y="csY4902"/>
              </a:cxn>
              <a:cxn ang="0">
                <a:pos x="csX4903" y="csY4903"/>
              </a:cxn>
              <a:cxn ang="0">
                <a:pos x="csX4904" y="csY4904"/>
              </a:cxn>
              <a:cxn ang="0">
                <a:pos x="csX4905" y="csY4905"/>
              </a:cxn>
              <a:cxn ang="0">
                <a:pos x="csX4906" y="csY4906"/>
              </a:cxn>
              <a:cxn ang="0">
                <a:pos x="csX4907" y="csY4907"/>
              </a:cxn>
              <a:cxn ang="0">
                <a:pos x="csX4908" y="csY4908"/>
              </a:cxn>
              <a:cxn ang="0">
                <a:pos x="csX4909" y="csY4909"/>
              </a:cxn>
              <a:cxn ang="0">
                <a:pos x="csX4910" y="csY4910"/>
              </a:cxn>
              <a:cxn ang="0">
                <a:pos x="csX4911" y="csY4911"/>
              </a:cxn>
              <a:cxn ang="0">
                <a:pos x="csX4912" y="csY4912"/>
              </a:cxn>
              <a:cxn ang="0">
                <a:pos x="csX4913" y="csY4913"/>
              </a:cxn>
              <a:cxn ang="0">
                <a:pos x="csX4914" y="csY4914"/>
              </a:cxn>
              <a:cxn ang="0">
                <a:pos x="csX4915" y="csY4915"/>
              </a:cxn>
              <a:cxn ang="0">
                <a:pos x="csX4916" y="csY4916"/>
              </a:cxn>
              <a:cxn ang="0">
                <a:pos x="csX4917" y="csY4917"/>
              </a:cxn>
              <a:cxn ang="0">
                <a:pos x="csX4918" y="csY4918"/>
              </a:cxn>
              <a:cxn ang="0">
                <a:pos x="csX4919" y="csY4919"/>
              </a:cxn>
              <a:cxn ang="0">
                <a:pos x="csX4920" y="csY4920"/>
              </a:cxn>
              <a:cxn ang="0">
                <a:pos x="csX4921" y="csY4921"/>
              </a:cxn>
              <a:cxn ang="0">
                <a:pos x="csX4922" y="csY4922"/>
              </a:cxn>
              <a:cxn ang="0">
                <a:pos x="csX4923" y="csY4923"/>
              </a:cxn>
              <a:cxn ang="0">
                <a:pos x="csX4924" y="csY4924"/>
              </a:cxn>
              <a:cxn ang="0">
                <a:pos x="csX4925" y="csY4925"/>
              </a:cxn>
              <a:cxn ang="0">
                <a:pos x="csX4926" y="csY4926"/>
              </a:cxn>
              <a:cxn ang="0">
                <a:pos x="csX4927" y="csY4927"/>
              </a:cxn>
              <a:cxn ang="0">
                <a:pos x="csX4928" y="csY4928"/>
              </a:cxn>
              <a:cxn ang="0">
                <a:pos x="csX4929" y="csY4929"/>
              </a:cxn>
              <a:cxn ang="0">
                <a:pos x="csX4930" y="csY4930"/>
              </a:cxn>
              <a:cxn ang="0">
                <a:pos x="csX4931" y="csY4931"/>
              </a:cxn>
              <a:cxn ang="0">
                <a:pos x="csX4932" y="csY4932"/>
              </a:cxn>
              <a:cxn ang="0">
                <a:pos x="csX4933" y="csY4933"/>
              </a:cxn>
              <a:cxn ang="0">
                <a:pos x="csX4934" y="csY4934"/>
              </a:cxn>
              <a:cxn ang="0">
                <a:pos x="csX4935" y="csY4935"/>
              </a:cxn>
              <a:cxn ang="0">
                <a:pos x="csX4936" y="csY4936"/>
              </a:cxn>
              <a:cxn ang="0">
                <a:pos x="csX4937" y="csY4937"/>
              </a:cxn>
              <a:cxn ang="0">
                <a:pos x="csX4938" y="csY4938"/>
              </a:cxn>
              <a:cxn ang="0">
                <a:pos x="csX4939" y="csY4939"/>
              </a:cxn>
              <a:cxn ang="0">
                <a:pos x="csX4940" y="csY4940"/>
              </a:cxn>
              <a:cxn ang="0">
                <a:pos x="csX4941" y="csY4941"/>
              </a:cxn>
              <a:cxn ang="0">
                <a:pos x="csX4942" y="csY4942"/>
              </a:cxn>
              <a:cxn ang="0">
                <a:pos x="csX4943" y="csY4943"/>
              </a:cxn>
              <a:cxn ang="0">
                <a:pos x="csX4944" y="csY4944"/>
              </a:cxn>
              <a:cxn ang="0">
                <a:pos x="csX4945" y="csY4945"/>
              </a:cxn>
              <a:cxn ang="0">
                <a:pos x="csX4946" y="csY4946"/>
              </a:cxn>
              <a:cxn ang="0">
                <a:pos x="csX4947" y="csY4947"/>
              </a:cxn>
              <a:cxn ang="0">
                <a:pos x="csX4948" y="csY4948"/>
              </a:cxn>
              <a:cxn ang="0">
                <a:pos x="csX4949" y="csY4949"/>
              </a:cxn>
              <a:cxn ang="0">
                <a:pos x="csX4950" y="csY4950"/>
              </a:cxn>
              <a:cxn ang="0">
                <a:pos x="csX4951" y="csY4951"/>
              </a:cxn>
              <a:cxn ang="0">
                <a:pos x="csX4952" y="csY4952"/>
              </a:cxn>
              <a:cxn ang="0">
                <a:pos x="csX4953" y="csY4953"/>
              </a:cxn>
              <a:cxn ang="0">
                <a:pos x="csX4954" y="csY4954"/>
              </a:cxn>
              <a:cxn ang="0">
                <a:pos x="csX4955" y="csY4955"/>
              </a:cxn>
              <a:cxn ang="0">
                <a:pos x="csX4956" y="csY4956"/>
              </a:cxn>
              <a:cxn ang="0">
                <a:pos x="csX4957" y="csY4957"/>
              </a:cxn>
              <a:cxn ang="0">
                <a:pos x="csX4958" y="csY4958"/>
              </a:cxn>
              <a:cxn ang="0">
                <a:pos x="csX4959" y="csY4959"/>
              </a:cxn>
              <a:cxn ang="0">
                <a:pos x="csX4960" y="csY4960"/>
              </a:cxn>
              <a:cxn ang="0">
                <a:pos x="csX4961" y="csY4961"/>
              </a:cxn>
              <a:cxn ang="0">
                <a:pos x="csX4962" y="csY4962"/>
              </a:cxn>
              <a:cxn ang="0">
                <a:pos x="csX4963" y="csY4963"/>
              </a:cxn>
              <a:cxn ang="0">
                <a:pos x="csX4964" y="csY4964"/>
              </a:cxn>
              <a:cxn ang="0">
                <a:pos x="csX4965" y="csY4965"/>
              </a:cxn>
              <a:cxn ang="0">
                <a:pos x="csX4966" y="csY4966"/>
              </a:cxn>
              <a:cxn ang="0">
                <a:pos x="csX4967" y="csY4967"/>
              </a:cxn>
              <a:cxn ang="0">
                <a:pos x="csX4968" y="csY4968"/>
              </a:cxn>
              <a:cxn ang="0">
                <a:pos x="csX4969" y="csY4969"/>
              </a:cxn>
              <a:cxn ang="0">
                <a:pos x="csX4970" y="csY4970"/>
              </a:cxn>
              <a:cxn ang="0">
                <a:pos x="csX4971" y="csY4971"/>
              </a:cxn>
              <a:cxn ang="0">
                <a:pos x="csX4972" y="csY4972"/>
              </a:cxn>
              <a:cxn ang="0">
                <a:pos x="csX4973" y="csY4973"/>
              </a:cxn>
              <a:cxn ang="0">
                <a:pos x="csX4974" y="csY4974"/>
              </a:cxn>
              <a:cxn ang="0">
                <a:pos x="csX4975" y="csY4975"/>
              </a:cxn>
              <a:cxn ang="0">
                <a:pos x="csX4976" y="csY4976"/>
              </a:cxn>
              <a:cxn ang="0">
                <a:pos x="csX4977" y="csY4977"/>
              </a:cxn>
              <a:cxn ang="0">
                <a:pos x="csX4978" y="csY4978"/>
              </a:cxn>
              <a:cxn ang="0">
                <a:pos x="csX4979" y="csY4979"/>
              </a:cxn>
              <a:cxn ang="0">
                <a:pos x="csX4980" y="csY4980"/>
              </a:cxn>
              <a:cxn ang="0">
                <a:pos x="csX4981" y="csY4981"/>
              </a:cxn>
              <a:cxn ang="0">
                <a:pos x="csX4982" y="csY4982"/>
              </a:cxn>
              <a:cxn ang="0">
                <a:pos x="csX4983" y="csY4983"/>
              </a:cxn>
              <a:cxn ang="0">
                <a:pos x="csX4984" y="csY4984"/>
              </a:cxn>
              <a:cxn ang="0">
                <a:pos x="csX4985" y="csY4985"/>
              </a:cxn>
              <a:cxn ang="0">
                <a:pos x="csX4986" y="csY4986"/>
              </a:cxn>
              <a:cxn ang="0">
                <a:pos x="csX4987" y="csY4987"/>
              </a:cxn>
              <a:cxn ang="0">
                <a:pos x="csX4988" y="csY4988"/>
              </a:cxn>
              <a:cxn ang="0">
                <a:pos x="csX4989" y="csY4989"/>
              </a:cxn>
              <a:cxn ang="0">
                <a:pos x="csX4990" y="csY4990"/>
              </a:cxn>
              <a:cxn ang="0">
                <a:pos x="csX4991" y="csY4991"/>
              </a:cxn>
              <a:cxn ang="0">
                <a:pos x="csX4992" y="csY4992"/>
              </a:cxn>
              <a:cxn ang="0">
                <a:pos x="csX4993" y="csY4993"/>
              </a:cxn>
              <a:cxn ang="0">
                <a:pos x="csX4994" y="csY4994"/>
              </a:cxn>
              <a:cxn ang="0">
                <a:pos x="csX4995" y="csY4995"/>
              </a:cxn>
              <a:cxn ang="0">
                <a:pos x="csX4996" y="csY4996"/>
              </a:cxn>
              <a:cxn ang="0">
                <a:pos x="csX4997" y="csY4997"/>
              </a:cxn>
              <a:cxn ang="0">
                <a:pos x="csX4998" y="csY4998"/>
              </a:cxn>
              <a:cxn ang="0">
                <a:pos x="csX4999" y="csY4999"/>
              </a:cxn>
              <a:cxn ang="0">
                <a:pos x="csX5000" y="csY5000"/>
              </a:cxn>
              <a:cxn ang="0">
                <a:pos x="csX5001" y="csY5001"/>
              </a:cxn>
              <a:cxn ang="0">
                <a:pos x="csX5002" y="csY5002"/>
              </a:cxn>
              <a:cxn ang="0">
                <a:pos x="csX5003" y="csY5003"/>
              </a:cxn>
              <a:cxn ang="0">
                <a:pos x="csX5004" y="csY5004"/>
              </a:cxn>
              <a:cxn ang="0">
                <a:pos x="csX5005" y="csY5005"/>
              </a:cxn>
              <a:cxn ang="0">
                <a:pos x="csX5006" y="csY5006"/>
              </a:cxn>
              <a:cxn ang="0">
                <a:pos x="csX5007" y="csY5007"/>
              </a:cxn>
              <a:cxn ang="0">
                <a:pos x="csX5008" y="csY5008"/>
              </a:cxn>
              <a:cxn ang="0">
                <a:pos x="csX5009" y="csY5009"/>
              </a:cxn>
              <a:cxn ang="0">
                <a:pos x="csX5010" y="csY5010"/>
              </a:cxn>
              <a:cxn ang="0">
                <a:pos x="csX5011" y="csY5011"/>
              </a:cxn>
              <a:cxn ang="0">
                <a:pos x="csX5012" y="csY5012"/>
              </a:cxn>
              <a:cxn ang="0">
                <a:pos x="csX5013" y="csY5013"/>
              </a:cxn>
              <a:cxn ang="0">
                <a:pos x="csX5014" y="csY5014"/>
              </a:cxn>
              <a:cxn ang="0">
                <a:pos x="csX5015" y="csY5015"/>
              </a:cxn>
              <a:cxn ang="0">
                <a:pos x="csX5016" y="csY5016"/>
              </a:cxn>
              <a:cxn ang="0">
                <a:pos x="csX5017" y="csY5017"/>
              </a:cxn>
              <a:cxn ang="0">
                <a:pos x="csX5018" y="csY5018"/>
              </a:cxn>
              <a:cxn ang="0">
                <a:pos x="csX5019" y="csY5019"/>
              </a:cxn>
              <a:cxn ang="0">
                <a:pos x="csX5020" y="csY5020"/>
              </a:cxn>
              <a:cxn ang="0">
                <a:pos x="csX5021" y="csY5021"/>
              </a:cxn>
              <a:cxn ang="0">
                <a:pos x="csX5022" y="csY5022"/>
              </a:cxn>
              <a:cxn ang="0">
                <a:pos x="csX5023" y="csY5023"/>
              </a:cxn>
              <a:cxn ang="0">
                <a:pos x="csX5024" y="csY5024"/>
              </a:cxn>
              <a:cxn ang="0">
                <a:pos x="csX5025" y="csY5025"/>
              </a:cxn>
              <a:cxn ang="0">
                <a:pos x="csX5026" y="csY5026"/>
              </a:cxn>
              <a:cxn ang="0">
                <a:pos x="csX5027" y="csY5027"/>
              </a:cxn>
              <a:cxn ang="0">
                <a:pos x="csX5028" y="csY5028"/>
              </a:cxn>
              <a:cxn ang="0">
                <a:pos x="csX5029" y="csY5029"/>
              </a:cxn>
              <a:cxn ang="0">
                <a:pos x="csX5030" y="csY5030"/>
              </a:cxn>
              <a:cxn ang="0">
                <a:pos x="csX5031" y="csY5031"/>
              </a:cxn>
              <a:cxn ang="0">
                <a:pos x="csX5032" y="csY5032"/>
              </a:cxn>
              <a:cxn ang="0">
                <a:pos x="csX5033" y="csY5033"/>
              </a:cxn>
              <a:cxn ang="0">
                <a:pos x="csX5034" y="csY5034"/>
              </a:cxn>
              <a:cxn ang="0">
                <a:pos x="csX5035" y="csY5035"/>
              </a:cxn>
              <a:cxn ang="0">
                <a:pos x="csX5036" y="csY5036"/>
              </a:cxn>
              <a:cxn ang="0">
                <a:pos x="csX5037" y="csY5037"/>
              </a:cxn>
              <a:cxn ang="0">
                <a:pos x="csX5038" y="csY5038"/>
              </a:cxn>
              <a:cxn ang="0">
                <a:pos x="csX5039" y="csY5039"/>
              </a:cxn>
              <a:cxn ang="0">
                <a:pos x="csX5040" y="csY5040"/>
              </a:cxn>
              <a:cxn ang="0">
                <a:pos x="csX5041" y="csY5041"/>
              </a:cxn>
              <a:cxn ang="0">
                <a:pos x="csX5042" y="csY5042"/>
              </a:cxn>
              <a:cxn ang="0">
                <a:pos x="csX5043" y="csY5043"/>
              </a:cxn>
              <a:cxn ang="0">
                <a:pos x="csX5044" y="csY5044"/>
              </a:cxn>
              <a:cxn ang="0">
                <a:pos x="csX5045" y="csY5045"/>
              </a:cxn>
              <a:cxn ang="0">
                <a:pos x="csX5046" y="csY5046"/>
              </a:cxn>
              <a:cxn ang="0">
                <a:pos x="csX5047" y="csY5047"/>
              </a:cxn>
              <a:cxn ang="0">
                <a:pos x="csX5048" y="csY5048"/>
              </a:cxn>
              <a:cxn ang="0">
                <a:pos x="csX5049" y="csY5049"/>
              </a:cxn>
              <a:cxn ang="0">
                <a:pos x="csX5050" y="csY5050"/>
              </a:cxn>
              <a:cxn ang="0">
                <a:pos x="csX5051" y="csY5051"/>
              </a:cxn>
              <a:cxn ang="0">
                <a:pos x="csX5052" y="csY5052"/>
              </a:cxn>
              <a:cxn ang="0">
                <a:pos x="csX5053" y="csY5053"/>
              </a:cxn>
              <a:cxn ang="0">
                <a:pos x="csX5054" y="csY5054"/>
              </a:cxn>
              <a:cxn ang="0">
                <a:pos x="csX5055" y="csY5055"/>
              </a:cxn>
              <a:cxn ang="0">
                <a:pos x="csX5056" y="csY5056"/>
              </a:cxn>
              <a:cxn ang="0">
                <a:pos x="csX5057" y="csY5057"/>
              </a:cxn>
              <a:cxn ang="0">
                <a:pos x="csX5058" y="csY5058"/>
              </a:cxn>
              <a:cxn ang="0">
                <a:pos x="csX5059" y="csY5059"/>
              </a:cxn>
              <a:cxn ang="0">
                <a:pos x="csX5060" y="csY5060"/>
              </a:cxn>
              <a:cxn ang="0">
                <a:pos x="csX5061" y="csY5061"/>
              </a:cxn>
              <a:cxn ang="0">
                <a:pos x="csX5062" y="csY5062"/>
              </a:cxn>
              <a:cxn ang="0">
                <a:pos x="csX5063" y="csY5063"/>
              </a:cxn>
              <a:cxn ang="0">
                <a:pos x="csX5064" y="csY5064"/>
              </a:cxn>
              <a:cxn ang="0">
                <a:pos x="csX5065" y="csY5065"/>
              </a:cxn>
              <a:cxn ang="0">
                <a:pos x="csX5066" y="csY5066"/>
              </a:cxn>
              <a:cxn ang="0">
                <a:pos x="csX5067" y="csY5067"/>
              </a:cxn>
              <a:cxn ang="0">
                <a:pos x="csX5068" y="csY5068"/>
              </a:cxn>
              <a:cxn ang="0">
                <a:pos x="csX5069" y="csY5069"/>
              </a:cxn>
              <a:cxn ang="0">
                <a:pos x="csX5070" y="csY5070"/>
              </a:cxn>
              <a:cxn ang="0">
                <a:pos x="csX5071" y="csY5071"/>
              </a:cxn>
              <a:cxn ang="0">
                <a:pos x="csX5072" y="csY5072"/>
              </a:cxn>
              <a:cxn ang="0">
                <a:pos x="csX5073" y="csY5073"/>
              </a:cxn>
              <a:cxn ang="0">
                <a:pos x="csX5074" y="csY5074"/>
              </a:cxn>
              <a:cxn ang="0">
                <a:pos x="csX5075" y="csY5075"/>
              </a:cxn>
              <a:cxn ang="0">
                <a:pos x="csX5076" y="csY5076"/>
              </a:cxn>
              <a:cxn ang="0">
                <a:pos x="csX5077" y="csY5077"/>
              </a:cxn>
              <a:cxn ang="0">
                <a:pos x="csX5078" y="csY5078"/>
              </a:cxn>
              <a:cxn ang="0">
                <a:pos x="csX5079" y="csY5079"/>
              </a:cxn>
              <a:cxn ang="0">
                <a:pos x="csX5080" y="csY5080"/>
              </a:cxn>
              <a:cxn ang="0">
                <a:pos x="csX5081" y="csY5081"/>
              </a:cxn>
              <a:cxn ang="0">
                <a:pos x="csX5082" y="csY5082"/>
              </a:cxn>
              <a:cxn ang="0">
                <a:pos x="csX5083" y="csY5083"/>
              </a:cxn>
              <a:cxn ang="0">
                <a:pos x="csX5084" y="csY5084"/>
              </a:cxn>
              <a:cxn ang="0">
                <a:pos x="csX5085" y="csY5085"/>
              </a:cxn>
              <a:cxn ang="0">
                <a:pos x="csX5086" y="csY5086"/>
              </a:cxn>
              <a:cxn ang="0">
                <a:pos x="csX5087" y="csY5087"/>
              </a:cxn>
              <a:cxn ang="0">
                <a:pos x="csX5088" y="csY5088"/>
              </a:cxn>
              <a:cxn ang="0">
                <a:pos x="csX5089" y="csY5089"/>
              </a:cxn>
              <a:cxn ang="0">
                <a:pos x="csX5090" y="csY5090"/>
              </a:cxn>
              <a:cxn ang="0">
                <a:pos x="csX5091" y="csY5091"/>
              </a:cxn>
              <a:cxn ang="0">
                <a:pos x="csX5092" y="csY5092"/>
              </a:cxn>
              <a:cxn ang="0">
                <a:pos x="csX5093" y="csY5093"/>
              </a:cxn>
              <a:cxn ang="0">
                <a:pos x="csX5094" y="csY5094"/>
              </a:cxn>
              <a:cxn ang="0">
                <a:pos x="csX5095" y="csY5095"/>
              </a:cxn>
              <a:cxn ang="0">
                <a:pos x="csX5096" y="csY5096"/>
              </a:cxn>
              <a:cxn ang="0">
                <a:pos x="csX5097" y="csY5097"/>
              </a:cxn>
              <a:cxn ang="0">
                <a:pos x="csX5098" y="csY5098"/>
              </a:cxn>
              <a:cxn ang="0">
                <a:pos x="csX5099" y="csY5099"/>
              </a:cxn>
              <a:cxn ang="0">
                <a:pos x="csX5100" y="csY5100"/>
              </a:cxn>
              <a:cxn ang="0">
                <a:pos x="csX5101" y="csY5101"/>
              </a:cxn>
              <a:cxn ang="0">
                <a:pos x="csX5102" y="csY5102"/>
              </a:cxn>
              <a:cxn ang="0">
                <a:pos x="csX5103" y="csY5103"/>
              </a:cxn>
              <a:cxn ang="0">
                <a:pos x="csX5104" y="csY5104"/>
              </a:cxn>
              <a:cxn ang="0">
                <a:pos x="csX5105" y="csY5105"/>
              </a:cxn>
              <a:cxn ang="0">
                <a:pos x="csX5106" y="csY5106"/>
              </a:cxn>
              <a:cxn ang="0">
                <a:pos x="csX5107" y="csY5107"/>
              </a:cxn>
              <a:cxn ang="0">
                <a:pos x="csX5108" y="csY5108"/>
              </a:cxn>
              <a:cxn ang="0">
                <a:pos x="csX5109" y="csY5109"/>
              </a:cxn>
              <a:cxn ang="0">
                <a:pos x="csX5110" y="csY5110"/>
              </a:cxn>
              <a:cxn ang="0">
                <a:pos x="csX5111" y="csY5111"/>
              </a:cxn>
              <a:cxn ang="0">
                <a:pos x="csX5112" y="csY5112"/>
              </a:cxn>
              <a:cxn ang="0">
                <a:pos x="csX5113" y="csY5113"/>
              </a:cxn>
              <a:cxn ang="0">
                <a:pos x="csX5114" y="csY5114"/>
              </a:cxn>
              <a:cxn ang="0">
                <a:pos x="csX5115" y="csY5115"/>
              </a:cxn>
              <a:cxn ang="0">
                <a:pos x="csX5116" y="csY5116"/>
              </a:cxn>
              <a:cxn ang="0">
                <a:pos x="csX5117" y="csY5117"/>
              </a:cxn>
              <a:cxn ang="0">
                <a:pos x="csX5118" y="csY5118"/>
              </a:cxn>
              <a:cxn ang="0">
                <a:pos x="csX5119" y="csY5119"/>
              </a:cxn>
              <a:cxn ang="0">
                <a:pos x="csX5120" y="csY5120"/>
              </a:cxn>
              <a:cxn ang="0">
                <a:pos x="csX5121" y="csY5121"/>
              </a:cxn>
              <a:cxn ang="0">
                <a:pos x="csX5122" y="csY5122"/>
              </a:cxn>
              <a:cxn ang="0">
                <a:pos x="csX5123" y="csY5123"/>
              </a:cxn>
              <a:cxn ang="0">
                <a:pos x="csX5124" y="csY5124"/>
              </a:cxn>
              <a:cxn ang="0">
                <a:pos x="csX5125" y="csY5125"/>
              </a:cxn>
              <a:cxn ang="0">
                <a:pos x="csX5126" y="csY5126"/>
              </a:cxn>
              <a:cxn ang="0">
                <a:pos x="csX5127" y="csY5127"/>
              </a:cxn>
              <a:cxn ang="0">
                <a:pos x="csX5128" y="csY5128"/>
              </a:cxn>
              <a:cxn ang="0">
                <a:pos x="csX5129" y="csY5129"/>
              </a:cxn>
              <a:cxn ang="0">
                <a:pos x="csX5130" y="csY5130"/>
              </a:cxn>
              <a:cxn ang="0">
                <a:pos x="csX5131" y="csY5131"/>
              </a:cxn>
              <a:cxn ang="0">
                <a:pos x="csX5132" y="csY5132"/>
              </a:cxn>
              <a:cxn ang="0">
                <a:pos x="csX5133" y="csY5133"/>
              </a:cxn>
              <a:cxn ang="0">
                <a:pos x="csX5134" y="csY5134"/>
              </a:cxn>
              <a:cxn ang="0">
                <a:pos x="csX5135" y="csY5135"/>
              </a:cxn>
              <a:cxn ang="0">
                <a:pos x="csX5136" y="csY5136"/>
              </a:cxn>
              <a:cxn ang="0">
                <a:pos x="csX5137" y="csY5137"/>
              </a:cxn>
              <a:cxn ang="0">
                <a:pos x="csX5138" y="csY5138"/>
              </a:cxn>
              <a:cxn ang="0">
                <a:pos x="csX5139" y="csY5139"/>
              </a:cxn>
              <a:cxn ang="0">
                <a:pos x="csX5140" y="csY5140"/>
              </a:cxn>
              <a:cxn ang="0">
                <a:pos x="csX5141" y="csY5141"/>
              </a:cxn>
              <a:cxn ang="0">
                <a:pos x="csX5142" y="csY5142"/>
              </a:cxn>
              <a:cxn ang="0">
                <a:pos x="csX5143" y="csY5143"/>
              </a:cxn>
              <a:cxn ang="0">
                <a:pos x="csX5144" y="csY5144"/>
              </a:cxn>
              <a:cxn ang="0">
                <a:pos x="csX5145" y="csY5145"/>
              </a:cxn>
              <a:cxn ang="0">
                <a:pos x="csX5146" y="csY5146"/>
              </a:cxn>
              <a:cxn ang="0">
                <a:pos x="csX5147" y="csY5147"/>
              </a:cxn>
              <a:cxn ang="0">
                <a:pos x="csX5148" y="csY5148"/>
              </a:cxn>
              <a:cxn ang="0">
                <a:pos x="csX5149" y="csY5149"/>
              </a:cxn>
              <a:cxn ang="0">
                <a:pos x="csX5150" y="csY5150"/>
              </a:cxn>
              <a:cxn ang="0">
                <a:pos x="csX5151" y="csY5151"/>
              </a:cxn>
              <a:cxn ang="0">
                <a:pos x="csX5152" y="csY5152"/>
              </a:cxn>
              <a:cxn ang="0">
                <a:pos x="csX5153" y="csY5153"/>
              </a:cxn>
              <a:cxn ang="0">
                <a:pos x="csX5154" y="csY5154"/>
              </a:cxn>
              <a:cxn ang="0">
                <a:pos x="csX5155" y="csY5155"/>
              </a:cxn>
              <a:cxn ang="0">
                <a:pos x="csX5156" y="csY5156"/>
              </a:cxn>
              <a:cxn ang="0">
                <a:pos x="csX5157" y="csY5157"/>
              </a:cxn>
              <a:cxn ang="0">
                <a:pos x="csX5158" y="csY5158"/>
              </a:cxn>
              <a:cxn ang="0">
                <a:pos x="csX5159" y="csY5159"/>
              </a:cxn>
              <a:cxn ang="0">
                <a:pos x="csX5160" y="csY5160"/>
              </a:cxn>
              <a:cxn ang="0">
                <a:pos x="csX5161" y="csY5161"/>
              </a:cxn>
              <a:cxn ang="0">
                <a:pos x="csX5162" y="csY5162"/>
              </a:cxn>
              <a:cxn ang="0">
                <a:pos x="csX5163" y="csY5163"/>
              </a:cxn>
              <a:cxn ang="0">
                <a:pos x="csX5164" y="csY5164"/>
              </a:cxn>
              <a:cxn ang="0">
                <a:pos x="csX5165" y="csY5165"/>
              </a:cxn>
              <a:cxn ang="0">
                <a:pos x="csX5166" y="csY5166"/>
              </a:cxn>
              <a:cxn ang="0">
                <a:pos x="csX5167" y="csY5167"/>
              </a:cxn>
              <a:cxn ang="0">
                <a:pos x="csX5168" y="csY5168"/>
              </a:cxn>
              <a:cxn ang="0">
                <a:pos x="csX5169" y="csY5169"/>
              </a:cxn>
              <a:cxn ang="0">
                <a:pos x="csX5170" y="csY5170"/>
              </a:cxn>
              <a:cxn ang="0">
                <a:pos x="csX5171" y="csY5171"/>
              </a:cxn>
              <a:cxn ang="0">
                <a:pos x="csX5172" y="csY5172"/>
              </a:cxn>
              <a:cxn ang="0">
                <a:pos x="csX5173" y="csY5173"/>
              </a:cxn>
              <a:cxn ang="0">
                <a:pos x="csX5174" y="csY5174"/>
              </a:cxn>
              <a:cxn ang="0">
                <a:pos x="csX5175" y="csY5175"/>
              </a:cxn>
              <a:cxn ang="0">
                <a:pos x="csX5176" y="csY5176"/>
              </a:cxn>
              <a:cxn ang="0">
                <a:pos x="csX5177" y="csY5177"/>
              </a:cxn>
              <a:cxn ang="0">
                <a:pos x="csX5178" y="csY5178"/>
              </a:cxn>
              <a:cxn ang="0">
                <a:pos x="csX5179" y="csY5179"/>
              </a:cxn>
              <a:cxn ang="0">
                <a:pos x="csX5180" y="csY5180"/>
              </a:cxn>
              <a:cxn ang="0">
                <a:pos x="csX5181" y="csY5181"/>
              </a:cxn>
              <a:cxn ang="0">
                <a:pos x="csX5182" y="csY5182"/>
              </a:cxn>
              <a:cxn ang="0">
                <a:pos x="csX5183" y="csY5183"/>
              </a:cxn>
              <a:cxn ang="0">
                <a:pos x="csX5184" y="csY5184"/>
              </a:cxn>
              <a:cxn ang="0">
                <a:pos x="csX5185" y="csY5185"/>
              </a:cxn>
              <a:cxn ang="0">
                <a:pos x="csX5186" y="csY5186"/>
              </a:cxn>
              <a:cxn ang="0">
                <a:pos x="csX5187" y="csY5187"/>
              </a:cxn>
              <a:cxn ang="0">
                <a:pos x="csX5188" y="csY5188"/>
              </a:cxn>
              <a:cxn ang="0">
                <a:pos x="csX5189" y="csY5189"/>
              </a:cxn>
              <a:cxn ang="0">
                <a:pos x="csX5190" y="csY5190"/>
              </a:cxn>
              <a:cxn ang="0">
                <a:pos x="csX5191" y="csY5191"/>
              </a:cxn>
              <a:cxn ang="0">
                <a:pos x="csX5192" y="csY5192"/>
              </a:cxn>
              <a:cxn ang="0">
                <a:pos x="csX5193" y="csY5193"/>
              </a:cxn>
              <a:cxn ang="0">
                <a:pos x="csX5194" y="csY5194"/>
              </a:cxn>
              <a:cxn ang="0">
                <a:pos x="csX5195" y="csY5195"/>
              </a:cxn>
              <a:cxn ang="0">
                <a:pos x="csX5196" y="csY5196"/>
              </a:cxn>
              <a:cxn ang="0">
                <a:pos x="csX5197" y="csY5197"/>
              </a:cxn>
              <a:cxn ang="0">
                <a:pos x="csX5198" y="csY5198"/>
              </a:cxn>
              <a:cxn ang="0">
                <a:pos x="csX5199" y="csY5199"/>
              </a:cxn>
              <a:cxn ang="0">
                <a:pos x="csX5200" y="csY5200"/>
              </a:cxn>
              <a:cxn ang="0">
                <a:pos x="csX5201" y="csY5201"/>
              </a:cxn>
              <a:cxn ang="0">
                <a:pos x="csX5202" y="csY5202"/>
              </a:cxn>
              <a:cxn ang="0">
                <a:pos x="csX5203" y="csY5203"/>
              </a:cxn>
              <a:cxn ang="0">
                <a:pos x="csX5204" y="csY5204"/>
              </a:cxn>
              <a:cxn ang="0">
                <a:pos x="csX5205" y="csY5205"/>
              </a:cxn>
              <a:cxn ang="0">
                <a:pos x="csX5206" y="csY5206"/>
              </a:cxn>
              <a:cxn ang="0">
                <a:pos x="csX5207" y="csY5207"/>
              </a:cxn>
              <a:cxn ang="0">
                <a:pos x="csX5208" y="csY5208"/>
              </a:cxn>
              <a:cxn ang="0">
                <a:pos x="csX5209" y="csY5209"/>
              </a:cxn>
              <a:cxn ang="0">
                <a:pos x="csX5210" y="csY5210"/>
              </a:cxn>
              <a:cxn ang="0">
                <a:pos x="csX5211" y="csY5211"/>
              </a:cxn>
              <a:cxn ang="0">
                <a:pos x="csX5212" y="csY5212"/>
              </a:cxn>
              <a:cxn ang="0">
                <a:pos x="csX5213" y="csY5213"/>
              </a:cxn>
              <a:cxn ang="0">
                <a:pos x="csX5214" y="csY5214"/>
              </a:cxn>
              <a:cxn ang="0">
                <a:pos x="csX5215" y="csY5215"/>
              </a:cxn>
              <a:cxn ang="0">
                <a:pos x="csX5216" y="csY5216"/>
              </a:cxn>
              <a:cxn ang="0">
                <a:pos x="csX5217" y="csY5217"/>
              </a:cxn>
              <a:cxn ang="0">
                <a:pos x="csX5218" y="csY5218"/>
              </a:cxn>
              <a:cxn ang="0">
                <a:pos x="csX5219" y="csY5219"/>
              </a:cxn>
              <a:cxn ang="0">
                <a:pos x="csX5220" y="csY5220"/>
              </a:cxn>
              <a:cxn ang="0">
                <a:pos x="csX5221" y="csY5221"/>
              </a:cxn>
              <a:cxn ang="0">
                <a:pos x="csX5222" y="csY5222"/>
              </a:cxn>
              <a:cxn ang="0">
                <a:pos x="csX5223" y="csY5223"/>
              </a:cxn>
              <a:cxn ang="0">
                <a:pos x="csX5224" y="csY5224"/>
              </a:cxn>
              <a:cxn ang="0">
                <a:pos x="csX5225" y="csY5225"/>
              </a:cxn>
              <a:cxn ang="0">
                <a:pos x="csX5226" y="csY5226"/>
              </a:cxn>
              <a:cxn ang="0">
                <a:pos x="csX5227" y="csY5227"/>
              </a:cxn>
              <a:cxn ang="0">
                <a:pos x="csX5228" y="csY5228"/>
              </a:cxn>
              <a:cxn ang="0">
                <a:pos x="csX5229" y="csY5229"/>
              </a:cxn>
              <a:cxn ang="0">
                <a:pos x="csX5230" y="csY5230"/>
              </a:cxn>
              <a:cxn ang="0">
                <a:pos x="csX5231" y="csY5231"/>
              </a:cxn>
              <a:cxn ang="0">
                <a:pos x="csX5232" y="csY5232"/>
              </a:cxn>
              <a:cxn ang="0">
                <a:pos x="csX5233" y="csY5233"/>
              </a:cxn>
              <a:cxn ang="0">
                <a:pos x="csX5234" y="csY5234"/>
              </a:cxn>
              <a:cxn ang="0">
                <a:pos x="csX5235" y="csY5235"/>
              </a:cxn>
              <a:cxn ang="0">
                <a:pos x="csX5236" y="csY5236"/>
              </a:cxn>
              <a:cxn ang="0">
                <a:pos x="csX5237" y="csY5237"/>
              </a:cxn>
              <a:cxn ang="0">
                <a:pos x="csX5238" y="csY5238"/>
              </a:cxn>
              <a:cxn ang="0">
                <a:pos x="csX5239" y="csY5239"/>
              </a:cxn>
              <a:cxn ang="0">
                <a:pos x="csX5240" y="csY5240"/>
              </a:cxn>
              <a:cxn ang="0">
                <a:pos x="csX5241" y="csY5241"/>
              </a:cxn>
              <a:cxn ang="0">
                <a:pos x="csX5242" y="csY5242"/>
              </a:cxn>
              <a:cxn ang="0">
                <a:pos x="csX5243" y="csY5243"/>
              </a:cxn>
              <a:cxn ang="0">
                <a:pos x="csX5244" y="csY5244"/>
              </a:cxn>
              <a:cxn ang="0">
                <a:pos x="csX5245" y="csY5245"/>
              </a:cxn>
              <a:cxn ang="0">
                <a:pos x="csX5246" y="csY5246"/>
              </a:cxn>
              <a:cxn ang="0">
                <a:pos x="csX5247" y="csY5247"/>
              </a:cxn>
              <a:cxn ang="0">
                <a:pos x="csX5248" y="csY5248"/>
              </a:cxn>
              <a:cxn ang="0">
                <a:pos x="csX5249" y="csY5249"/>
              </a:cxn>
              <a:cxn ang="0">
                <a:pos x="csX5250" y="csY5250"/>
              </a:cxn>
              <a:cxn ang="0">
                <a:pos x="csX5251" y="csY5251"/>
              </a:cxn>
              <a:cxn ang="0">
                <a:pos x="csX5252" y="csY5252"/>
              </a:cxn>
              <a:cxn ang="0">
                <a:pos x="csX5253" y="csY5253"/>
              </a:cxn>
              <a:cxn ang="0">
                <a:pos x="csX5254" y="csY5254"/>
              </a:cxn>
              <a:cxn ang="0">
                <a:pos x="csX5255" y="csY5255"/>
              </a:cxn>
              <a:cxn ang="0">
                <a:pos x="csX5256" y="csY5256"/>
              </a:cxn>
              <a:cxn ang="0">
                <a:pos x="csX5257" y="csY5257"/>
              </a:cxn>
              <a:cxn ang="0">
                <a:pos x="csX5258" y="csY5258"/>
              </a:cxn>
              <a:cxn ang="0">
                <a:pos x="csX5259" y="csY5259"/>
              </a:cxn>
              <a:cxn ang="0">
                <a:pos x="csX5260" y="csY5260"/>
              </a:cxn>
              <a:cxn ang="0">
                <a:pos x="csX5261" y="csY5261"/>
              </a:cxn>
              <a:cxn ang="0">
                <a:pos x="csX5262" y="csY5262"/>
              </a:cxn>
              <a:cxn ang="0">
                <a:pos x="csX5263" y="csY5263"/>
              </a:cxn>
              <a:cxn ang="0">
                <a:pos x="csX5264" y="csY5264"/>
              </a:cxn>
              <a:cxn ang="0">
                <a:pos x="csX5265" y="csY5265"/>
              </a:cxn>
              <a:cxn ang="0">
                <a:pos x="csX5266" y="csY5266"/>
              </a:cxn>
              <a:cxn ang="0">
                <a:pos x="csX5267" y="csY5267"/>
              </a:cxn>
              <a:cxn ang="0">
                <a:pos x="csX5268" y="csY5268"/>
              </a:cxn>
              <a:cxn ang="0">
                <a:pos x="csX5269" y="csY5269"/>
              </a:cxn>
              <a:cxn ang="0">
                <a:pos x="csX5270" y="csY5270"/>
              </a:cxn>
              <a:cxn ang="0">
                <a:pos x="csX5271" y="csY5271"/>
              </a:cxn>
              <a:cxn ang="0">
                <a:pos x="csX5272" y="csY5272"/>
              </a:cxn>
              <a:cxn ang="0">
                <a:pos x="csX5273" y="csY5273"/>
              </a:cxn>
              <a:cxn ang="0">
                <a:pos x="csX5274" y="csY5274"/>
              </a:cxn>
              <a:cxn ang="0">
                <a:pos x="csX5275" y="csY5275"/>
              </a:cxn>
              <a:cxn ang="0">
                <a:pos x="csX5276" y="csY5276"/>
              </a:cxn>
              <a:cxn ang="0">
                <a:pos x="csX5277" y="csY5277"/>
              </a:cxn>
              <a:cxn ang="0">
                <a:pos x="csX5278" y="csY5278"/>
              </a:cxn>
              <a:cxn ang="0">
                <a:pos x="csX5279" y="csY5279"/>
              </a:cxn>
              <a:cxn ang="0">
                <a:pos x="csX5280" y="csY5280"/>
              </a:cxn>
              <a:cxn ang="0">
                <a:pos x="csX5281" y="csY5281"/>
              </a:cxn>
              <a:cxn ang="0">
                <a:pos x="csX5282" y="csY5282"/>
              </a:cxn>
              <a:cxn ang="0">
                <a:pos x="csX5283" y="csY5283"/>
              </a:cxn>
              <a:cxn ang="0">
                <a:pos x="csX5284" y="csY5284"/>
              </a:cxn>
              <a:cxn ang="0">
                <a:pos x="csX5285" y="csY5285"/>
              </a:cxn>
              <a:cxn ang="0">
                <a:pos x="csX5286" y="csY5286"/>
              </a:cxn>
              <a:cxn ang="0">
                <a:pos x="csX5287" y="csY5287"/>
              </a:cxn>
              <a:cxn ang="0">
                <a:pos x="csX5288" y="csY5288"/>
              </a:cxn>
              <a:cxn ang="0">
                <a:pos x="csX5289" y="csY5289"/>
              </a:cxn>
              <a:cxn ang="0">
                <a:pos x="csX5290" y="csY5290"/>
              </a:cxn>
              <a:cxn ang="0">
                <a:pos x="csX5291" y="csY5291"/>
              </a:cxn>
              <a:cxn ang="0">
                <a:pos x="csX5292" y="csY5292"/>
              </a:cxn>
              <a:cxn ang="0">
                <a:pos x="csX5293" y="csY5293"/>
              </a:cxn>
              <a:cxn ang="0">
                <a:pos x="csX5294" y="csY5294"/>
              </a:cxn>
              <a:cxn ang="0">
                <a:pos x="csX5295" y="csY5295"/>
              </a:cxn>
              <a:cxn ang="0">
                <a:pos x="csX5296" y="csY5296"/>
              </a:cxn>
              <a:cxn ang="0">
                <a:pos x="csX5297" y="csY5297"/>
              </a:cxn>
              <a:cxn ang="0">
                <a:pos x="csX5298" y="csY5298"/>
              </a:cxn>
              <a:cxn ang="0">
                <a:pos x="csX5299" y="csY5299"/>
              </a:cxn>
              <a:cxn ang="0">
                <a:pos x="csX5300" y="csY5300"/>
              </a:cxn>
              <a:cxn ang="0">
                <a:pos x="csX5301" y="csY5301"/>
              </a:cxn>
              <a:cxn ang="0">
                <a:pos x="csX5302" y="csY5302"/>
              </a:cxn>
              <a:cxn ang="0">
                <a:pos x="csX5303" y="csY5303"/>
              </a:cxn>
              <a:cxn ang="0">
                <a:pos x="csX5304" y="csY5304"/>
              </a:cxn>
              <a:cxn ang="0">
                <a:pos x="csX5305" y="csY5305"/>
              </a:cxn>
              <a:cxn ang="0">
                <a:pos x="csX5306" y="csY5306"/>
              </a:cxn>
              <a:cxn ang="0">
                <a:pos x="csX5307" y="csY5307"/>
              </a:cxn>
              <a:cxn ang="0">
                <a:pos x="csX5308" y="csY5308"/>
              </a:cxn>
              <a:cxn ang="0">
                <a:pos x="csX5309" y="csY5309"/>
              </a:cxn>
              <a:cxn ang="0">
                <a:pos x="csX5310" y="csY5310"/>
              </a:cxn>
              <a:cxn ang="0">
                <a:pos x="csX5311" y="csY5311"/>
              </a:cxn>
              <a:cxn ang="0">
                <a:pos x="csX5312" y="csY5312"/>
              </a:cxn>
              <a:cxn ang="0">
                <a:pos x="csX5313" y="csY5313"/>
              </a:cxn>
              <a:cxn ang="0">
                <a:pos x="csX5314" y="csY5314"/>
              </a:cxn>
              <a:cxn ang="0">
                <a:pos x="csX5315" y="csY5315"/>
              </a:cxn>
              <a:cxn ang="0">
                <a:pos x="csX5316" y="csY5316"/>
              </a:cxn>
              <a:cxn ang="0">
                <a:pos x="csX5317" y="csY5317"/>
              </a:cxn>
              <a:cxn ang="0">
                <a:pos x="csX5318" y="csY5318"/>
              </a:cxn>
              <a:cxn ang="0">
                <a:pos x="csX5319" y="csY5319"/>
              </a:cxn>
              <a:cxn ang="0">
                <a:pos x="csX5320" y="csY5320"/>
              </a:cxn>
              <a:cxn ang="0">
                <a:pos x="csX5321" y="csY5321"/>
              </a:cxn>
              <a:cxn ang="0">
                <a:pos x="csX5322" y="csY5322"/>
              </a:cxn>
              <a:cxn ang="0">
                <a:pos x="csX5323" y="csY5323"/>
              </a:cxn>
              <a:cxn ang="0">
                <a:pos x="csX5324" y="csY5324"/>
              </a:cxn>
              <a:cxn ang="0">
                <a:pos x="csX5325" y="csY5325"/>
              </a:cxn>
              <a:cxn ang="0">
                <a:pos x="csX5326" y="csY5326"/>
              </a:cxn>
              <a:cxn ang="0">
                <a:pos x="csX5327" y="csY5327"/>
              </a:cxn>
              <a:cxn ang="0">
                <a:pos x="csX5328" y="csY5328"/>
              </a:cxn>
              <a:cxn ang="0">
                <a:pos x="csX5329" y="csY5329"/>
              </a:cxn>
              <a:cxn ang="0">
                <a:pos x="csX5330" y="csY5330"/>
              </a:cxn>
              <a:cxn ang="0">
                <a:pos x="csX5331" y="csY5331"/>
              </a:cxn>
              <a:cxn ang="0">
                <a:pos x="csX5332" y="csY5332"/>
              </a:cxn>
              <a:cxn ang="0">
                <a:pos x="csX5333" y="csY5333"/>
              </a:cxn>
              <a:cxn ang="0">
                <a:pos x="csX5334" y="csY5334"/>
              </a:cxn>
              <a:cxn ang="0">
                <a:pos x="csX5335" y="csY5335"/>
              </a:cxn>
              <a:cxn ang="0">
                <a:pos x="csX5336" y="csY5336"/>
              </a:cxn>
              <a:cxn ang="0">
                <a:pos x="csX5337" y="csY5337"/>
              </a:cxn>
              <a:cxn ang="0">
                <a:pos x="csX5338" y="csY5338"/>
              </a:cxn>
              <a:cxn ang="0">
                <a:pos x="csX5339" y="csY5339"/>
              </a:cxn>
              <a:cxn ang="0">
                <a:pos x="csX5340" y="csY5340"/>
              </a:cxn>
              <a:cxn ang="0">
                <a:pos x="csX5341" y="csY5341"/>
              </a:cxn>
              <a:cxn ang="0">
                <a:pos x="csX5342" y="csY5342"/>
              </a:cxn>
              <a:cxn ang="0">
                <a:pos x="csX5343" y="csY5343"/>
              </a:cxn>
              <a:cxn ang="0">
                <a:pos x="csX5344" y="csY5344"/>
              </a:cxn>
              <a:cxn ang="0">
                <a:pos x="csX5345" y="csY5345"/>
              </a:cxn>
              <a:cxn ang="0">
                <a:pos x="csX5346" y="csY5346"/>
              </a:cxn>
              <a:cxn ang="0">
                <a:pos x="csX5347" y="csY5347"/>
              </a:cxn>
              <a:cxn ang="0">
                <a:pos x="csX5348" y="csY5348"/>
              </a:cxn>
              <a:cxn ang="0">
                <a:pos x="csX5349" y="csY5349"/>
              </a:cxn>
              <a:cxn ang="0">
                <a:pos x="csX5350" y="csY5350"/>
              </a:cxn>
              <a:cxn ang="0">
                <a:pos x="csX5351" y="csY5351"/>
              </a:cxn>
              <a:cxn ang="0">
                <a:pos x="csX5352" y="csY5352"/>
              </a:cxn>
              <a:cxn ang="0">
                <a:pos x="csX5353" y="csY5353"/>
              </a:cxn>
              <a:cxn ang="0">
                <a:pos x="csX5354" y="csY5354"/>
              </a:cxn>
              <a:cxn ang="0">
                <a:pos x="csX5355" y="csY5355"/>
              </a:cxn>
              <a:cxn ang="0">
                <a:pos x="csX5356" y="csY5356"/>
              </a:cxn>
              <a:cxn ang="0">
                <a:pos x="csX5357" y="csY5357"/>
              </a:cxn>
              <a:cxn ang="0">
                <a:pos x="csX5358" y="csY5358"/>
              </a:cxn>
              <a:cxn ang="0">
                <a:pos x="csX5359" y="csY5359"/>
              </a:cxn>
              <a:cxn ang="0">
                <a:pos x="csX5360" y="csY5360"/>
              </a:cxn>
              <a:cxn ang="0">
                <a:pos x="csX5361" y="csY5361"/>
              </a:cxn>
              <a:cxn ang="0">
                <a:pos x="csX5362" y="csY5362"/>
              </a:cxn>
              <a:cxn ang="0">
                <a:pos x="csX5363" y="csY5363"/>
              </a:cxn>
              <a:cxn ang="0">
                <a:pos x="csX5364" y="csY5364"/>
              </a:cxn>
              <a:cxn ang="0">
                <a:pos x="csX5365" y="csY5365"/>
              </a:cxn>
              <a:cxn ang="0">
                <a:pos x="csX5366" y="csY5366"/>
              </a:cxn>
              <a:cxn ang="0">
                <a:pos x="csX5367" y="csY5367"/>
              </a:cxn>
              <a:cxn ang="0">
                <a:pos x="csX5368" y="csY5368"/>
              </a:cxn>
              <a:cxn ang="0">
                <a:pos x="csX5369" y="csY5369"/>
              </a:cxn>
              <a:cxn ang="0">
                <a:pos x="csX5370" y="csY5370"/>
              </a:cxn>
              <a:cxn ang="0">
                <a:pos x="csX5371" y="csY5371"/>
              </a:cxn>
              <a:cxn ang="0">
                <a:pos x="csX5372" y="csY5372"/>
              </a:cxn>
              <a:cxn ang="0">
                <a:pos x="csX5373" y="csY5373"/>
              </a:cxn>
              <a:cxn ang="0">
                <a:pos x="csX5374" y="csY5374"/>
              </a:cxn>
              <a:cxn ang="0">
                <a:pos x="csX5375" y="csY5375"/>
              </a:cxn>
              <a:cxn ang="0">
                <a:pos x="csX5376" y="csY5376"/>
              </a:cxn>
              <a:cxn ang="0">
                <a:pos x="csX5377" y="csY5377"/>
              </a:cxn>
              <a:cxn ang="0">
                <a:pos x="csX5378" y="csY5378"/>
              </a:cxn>
              <a:cxn ang="0">
                <a:pos x="csX5379" y="csY5379"/>
              </a:cxn>
              <a:cxn ang="0">
                <a:pos x="csX5380" y="csY5380"/>
              </a:cxn>
              <a:cxn ang="0">
                <a:pos x="csX5381" y="csY5381"/>
              </a:cxn>
              <a:cxn ang="0">
                <a:pos x="csX5382" y="csY5382"/>
              </a:cxn>
              <a:cxn ang="0">
                <a:pos x="csX5383" y="csY5383"/>
              </a:cxn>
              <a:cxn ang="0">
                <a:pos x="csX5384" y="csY5384"/>
              </a:cxn>
              <a:cxn ang="0">
                <a:pos x="csX5385" y="csY5385"/>
              </a:cxn>
              <a:cxn ang="0">
                <a:pos x="csX5386" y="csY5386"/>
              </a:cxn>
              <a:cxn ang="0">
                <a:pos x="csX5387" y="csY5387"/>
              </a:cxn>
              <a:cxn ang="0">
                <a:pos x="csX5388" y="csY5388"/>
              </a:cxn>
              <a:cxn ang="0">
                <a:pos x="csX5389" y="csY5389"/>
              </a:cxn>
              <a:cxn ang="0">
                <a:pos x="csX5390" y="csY5390"/>
              </a:cxn>
              <a:cxn ang="0">
                <a:pos x="csX5391" y="csY5391"/>
              </a:cxn>
              <a:cxn ang="0">
                <a:pos x="csX5392" y="csY5392"/>
              </a:cxn>
              <a:cxn ang="0">
                <a:pos x="csX5393" y="csY5393"/>
              </a:cxn>
              <a:cxn ang="0">
                <a:pos x="csX5394" y="csY5394"/>
              </a:cxn>
              <a:cxn ang="0">
                <a:pos x="csX5395" y="csY5395"/>
              </a:cxn>
              <a:cxn ang="0">
                <a:pos x="csX5396" y="csY5396"/>
              </a:cxn>
              <a:cxn ang="0">
                <a:pos x="csX5397" y="csY5397"/>
              </a:cxn>
              <a:cxn ang="0">
                <a:pos x="csX5398" y="csY5398"/>
              </a:cxn>
              <a:cxn ang="0">
                <a:pos x="csX5399" y="csY5399"/>
              </a:cxn>
              <a:cxn ang="0">
                <a:pos x="csX5400" y="csY5400"/>
              </a:cxn>
              <a:cxn ang="0">
                <a:pos x="csX5401" y="csY5401"/>
              </a:cxn>
              <a:cxn ang="0">
                <a:pos x="csX5402" y="csY5402"/>
              </a:cxn>
              <a:cxn ang="0">
                <a:pos x="csX5403" y="csY5403"/>
              </a:cxn>
              <a:cxn ang="0">
                <a:pos x="csX5404" y="csY5404"/>
              </a:cxn>
              <a:cxn ang="0">
                <a:pos x="csX5405" y="csY5405"/>
              </a:cxn>
              <a:cxn ang="0">
                <a:pos x="csX5406" y="csY5406"/>
              </a:cxn>
              <a:cxn ang="0">
                <a:pos x="csX5407" y="csY5407"/>
              </a:cxn>
              <a:cxn ang="0">
                <a:pos x="csX5408" y="csY5408"/>
              </a:cxn>
              <a:cxn ang="0">
                <a:pos x="csX5409" y="csY5409"/>
              </a:cxn>
              <a:cxn ang="0">
                <a:pos x="csX5410" y="csY5410"/>
              </a:cxn>
              <a:cxn ang="0">
                <a:pos x="csX5411" y="csY5411"/>
              </a:cxn>
              <a:cxn ang="0">
                <a:pos x="csX5412" y="csY5412"/>
              </a:cxn>
              <a:cxn ang="0">
                <a:pos x="csX5413" y="csY5413"/>
              </a:cxn>
              <a:cxn ang="0">
                <a:pos x="csX5414" y="csY5414"/>
              </a:cxn>
              <a:cxn ang="0">
                <a:pos x="csX5415" y="csY5415"/>
              </a:cxn>
              <a:cxn ang="0">
                <a:pos x="csX5416" y="csY5416"/>
              </a:cxn>
              <a:cxn ang="0">
                <a:pos x="csX5417" y="csY5417"/>
              </a:cxn>
              <a:cxn ang="0">
                <a:pos x="csX5418" y="csY5418"/>
              </a:cxn>
              <a:cxn ang="0">
                <a:pos x="csX5419" y="csY5419"/>
              </a:cxn>
              <a:cxn ang="0">
                <a:pos x="csX5420" y="csY5420"/>
              </a:cxn>
              <a:cxn ang="0">
                <a:pos x="csX5421" y="csY5421"/>
              </a:cxn>
              <a:cxn ang="0">
                <a:pos x="csX5422" y="csY5422"/>
              </a:cxn>
              <a:cxn ang="0">
                <a:pos x="csX5423" y="csY5423"/>
              </a:cxn>
              <a:cxn ang="0">
                <a:pos x="csX5424" y="csY5424"/>
              </a:cxn>
              <a:cxn ang="0">
                <a:pos x="csX5425" y="csY5425"/>
              </a:cxn>
              <a:cxn ang="0">
                <a:pos x="csX5426" y="csY5426"/>
              </a:cxn>
              <a:cxn ang="0">
                <a:pos x="csX5427" y="csY5427"/>
              </a:cxn>
              <a:cxn ang="0">
                <a:pos x="csX5428" y="csY5428"/>
              </a:cxn>
              <a:cxn ang="0">
                <a:pos x="csX5429" y="csY5429"/>
              </a:cxn>
              <a:cxn ang="0">
                <a:pos x="csX5430" y="csY5430"/>
              </a:cxn>
              <a:cxn ang="0">
                <a:pos x="csX5431" y="csY5431"/>
              </a:cxn>
              <a:cxn ang="0">
                <a:pos x="csX5432" y="csY5432"/>
              </a:cxn>
              <a:cxn ang="0">
                <a:pos x="csX5433" y="csY5433"/>
              </a:cxn>
              <a:cxn ang="0">
                <a:pos x="csX5434" y="csY5434"/>
              </a:cxn>
              <a:cxn ang="0">
                <a:pos x="csX5435" y="csY5435"/>
              </a:cxn>
              <a:cxn ang="0">
                <a:pos x="csX5436" y="csY5436"/>
              </a:cxn>
              <a:cxn ang="0">
                <a:pos x="csX5437" y="csY5437"/>
              </a:cxn>
              <a:cxn ang="0">
                <a:pos x="csX5438" y="csY5438"/>
              </a:cxn>
              <a:cxn ang="0">
                <a:pos x="csX5439" y="csY5439"/>
              </a:cxn>
              <a:cxn ang="0">
                <a:pos x="csX5440" y="csY5440"/>
              </a:cxn>
              <a:cxn ang="0">
                <a:pos x="csX5441" y="csY5441"/>
              </a:cxn>
              <a:cxn ang="0">
                <a:pos x="csX5442" y="csY5442"/>
              </a:cxn>
              <a:cxn ang="0">
                <a:pos x="csX5443" y="csY5443"/>
              </a:cxn>
              <a:cxn ang="0">
                <a:pos x="csX5444" y="csY5444"/>
              </a:cxn>
              <a:cxn ang="0">
                <a:pos x="csX5445" y="csY5445"/>
              </a:cxn>
              <a:cxn ang="0">
                <a:pos x="csX5446" y="csY5446"/>
              </a:cxn>
              <a:cxn ang="0">
                <a:pos x="csX5447" y="csY5447"/>
              </a:cxn>
              <a:cxn ang="0">
                <a:pos x="csX5448" y="csY5448"/>
              </a:cxn>
              <a:cxn ang="0">
                <a:pos x="csX5449" y="csY5449"/>
              </a:cxn>
              <a:cxn ang="0">
                <a:pos x="csX5450" y="csY5450"/>
              </a:cxn>
              <a:cxn ang="0">
                <a:pos x="csX5451" y="csY5451"/>
              </a:cxn>
              <a:cxn ang="0">
                <a:pos x="csX5452" y="csY5452"/>
              </a:cxn>
              <a:cxn ang="0">
                <a:pos x="csX5453" y="csY5453"/>
              </a:cxn>
              <a:cxn ang="0">
                <a:pos x="csX5454" y="csY5454"/>
              </a:cxn>
              <a:cxn ang="0">
                <a:pos x="csX5455" y="csY5455"/>
              </a:cxn>
              <a:cxn ang="0">
                <a:pos x="csX5456" y="csY5456"/>
              </a:cxn>
              <a:cxn ang="0">
                <a:pos x="csX5457" y="csY5457"/>
              </a:cxn>
              <a:cxn ang="0">
                <a:pos x="csX5458" y="csY5458"/>
              </a:cxn>
              <a:cxn ang="0">
                <a:pos x="csX5459" y="csY5459"/>
              </a:cxn>
              <a:cxn ang="0">
                <a:pos x="csX5460" y="csY5460"/>
              </a:cxn>
              <a:cxn ang="0">
                <a:pos x="csX5461" y="csY5461"/>
              </a:cxn>
              <a:cxn ang="0">
                <a:pos x="csX5462" y="csY5462"/>
              </a:cxn>
              <a:cxn ang="0">
                <a:pos x="csX5463" y="csY5463"/>
              </a:cxn>
              <a:cxn ang="0">
                <a:pos x="csX5464" y="csY5464"/>
              </a:cxn>
              <a:cxn ang="0">
                <a:pos x="csX5465" y="csY5465"/>
              </a:cxn>
              <a:cxn ang="0">
                <a:pos x="csX5466" y="csY5466"/>
              </a:cxn>
              <a:cxn ang="0">
                <a:pos x="csX5467" y="csY5467"/>
              </a:cxn>
              <a:cxn ang="0">
                <a:pos x="csX5468" y="csY5468"/>
              </a:cxn>
              <a:cxn ang="0">
                <a:pos x="csX5469" y="csY5469"/>
              </a:cxn>
              <a:cxn ang="0">
                <a:pos x="csX5470" y="csY5470"/>
              </a:cxn>
              <a:cxn ang="0">
                <a:pos x="csX5471" y="csY5471"/>
              </a:cxn>
              <a:cxn ang="0">
                <a:pos x="csX5472" y="csY5472"/>
              </a:cxn>
              <a:cxn ang="0">
                <a:pos x="csX5473" y="csY5473"/>
              </a:cxn>
              <a:cxn ang="0">
                <a:pos x="csX5474" y="csY5474"/>
              </a:cxn>
              <a:cxn ang="0">
                <a:pos x="csX5475" y="csY5475"/>
              </a:cxn>
              <a:cxn ang="0">
                <a:pos x="csX5476" y="csY5476"/>
              </a:cxn>
              <a:cxn ang="0">
                <a:pos x="csX5477" y="csY5477"/>
              </a:cxn>
              <a:cxn ang="0">
                <a:pos x="csX5478" y="csY5478"/>
              </a:cxn>
              <a:cxn ang="0">
                <a:pos x="csX5479" y="csY5479"/>
              </a:cxn>
              <a:cxn ang="0">
                <a:pos x="csX5480" y="csY5480"/>
              </a:cxn>
              <a:cxn ang="0">
                <a:pos x="csX5481" y="csY5481"/>
              </a:cxn>
              <a:cxn ang="0">
                <a:pos x="csX5482" y="csY5482"/>
              </a:cxn>
              <a:cxn ang="0">
                <a:pos x="csX5483" y="csY5483"/>
              </a:cxn>
              <a:cxn ang="0">
                <a:pos x="csX5484" y="csY5484"/>
              </a:cxn>
              <a:cxn ang="0">
                <a:pos x="csX5485" y="csY5485"/>
              </a:cxn>
              <a:cxn ang="0">
                <a:pos x="csX5486" y="csY5486"/>
              </a:cxn>
              <a:cxn ang="0">
                <a:pos x="csX5487" y="csY5487"/>
              </a:cxn>
              <a:cxn ang="0">
                <a:pos x="csX5488" y="csY5488"/>
              </a:cxn>
              <a:cxn ang="0">
                <a:pos x="csX5489" y="csY5489"/>
              </a:cxn>
              <a:cxn ang="0">
                <a:pos x="csX5490" y="csY5490"/>
              </a:cxn>
              <a:cxn ang="0">
                <a:pos x="csX5491" y="csY5491"/>
              </a:cxn>
              <a:cxn ang="0">
                <a:pos x="csX5492" y="csY5492"/>
              </a:cxn>
              <a:cxn ang="0">
                <a:pos x="csX5493" y="csY5493"/>
              </a:cxn>
              <a:cxn ang="0">
                <a:pos x="csX5494" y="csY5494"/>
              </a:cxn>
              <a:cxn ang="0">
                <a:pos x="csX5495" y="csY5495"/>
              </a:cxn>
              <a:cxn ang="0">
                <a:pos x="csX5496" y="csY5496"/>
              </a:cxn>
              <a:cxn ang="0">
                <a:pos x="csX5497" y="csY5497"/>
              </a:cxn>
              <a:cxn ang="0">
                <a:pos x="csX5498" y="csY5498"/>
              </a:cxn>
              <a:cxn ang="0">
                <a:pos x="csX5499" y="csY5499"/>
              </a:cxn>
              <a:cxn ang="0">
                <a:pos x="csX5500" y="csY5500"/>
              </a:cxn>
              <a:cxn ang="0">
                <a:pos x="csX5501" y="csY5501"/>
              </a:cxn>
              <a:cxn ang="0">
                <a:pos x="csX5502" y="csY5502"/>
              </a:cxn>
              <a:cxn ang="0">
                <a:pos x="csX5503" y="csY5503"/>
              </a:cxn>
              <a:cxn ang="0">
                <a:pos x="csX5504" y="csY5504"/>
              </a:cxn>
              <a:cxn ang="0">
                <a:pos x="csX5505" y="csY5505"/>
              </a:cxn>
              <a:cxn ang="0">
                <a:pos x="csX5506" y="csY5506"/>
              </a:cxn>
              <a:cxn ang="0">
                <a:pos x="csX5507" y="csY5507"/>
              </a:cxn>
              <a:cxn ang="0">
                <a:pos x="csX5508" y="csY5508"/>
              </a:cxn>
              <a:cxn ang="0">
                <a:pos x="csX5509" y="csY5509"/>
              </a:cxn>
              <a:cxn ang="0">
                <a:pos x="csX5510" y="csY5510"/>
              </a:cxn>
              <a:cxn ang="0">
                <a:pos x="csX5511" y="csY5511"/>
              </a:cxn>
              <a:cxn ang="0">
                <a:pos x="csX5512" y="csY5512"/>
              </a:cxn>
              <a:cxn ang="0">
                <a:pos x="csX5513" y="csY5513"/>
              </a:cxn>
              <a:cxn ang="0">
                <a:pos x="csX5514" y="csY5514"/>
              </a:cxn>
              <a:cxn ang="0">
                <a:pos x="csX5515" y="csY5515"/>
              </a:cxn>
              <a:cxn ang="0">
                <a:pos x="csX5516" y="csY5516"/>
              </a:cxn>
              <a:cxn ang="0">
                <a:pos x="csX5517" y="csY5517"/>
              </a:cxn>
              <a:cxn ang="0">
                <a:pos x="csX5518" y="csY5518"/>
              </a:cxn>
              <a:cxn ang="0">
                <a:pos x="csX5519" y="csY5519"/>
              </a:cxn>
              <a:cxn ang="0">
                <a:pos x="csX5520" y="csY5520"/>
              </a:cxn>
              <a:cxn ang="0">
                <a:pos x="csX5521" y="csY5521"/>
              </a:cxn>
              <a:cxn ang="0">
                <a:pos x="csX5522" y="csY5522"/>
              </a:cxn>
              <a:cxn ang="0">
                <a:pos x="csX5523" y="csY5523"/>
              </a:cxn>
              <a:cxn ang="0">
                <a:pos x="csX5524" y="csY5524"/>
              </a:cxn>
              <a:cxn ang="0">
                <a:pos x="csX5525" y="csY5525"/>
              </a:cxn>
              <a:cxn ang="0">
                <a:pos x="csX5526" y="csY5526"/>
              </a:cxn>
              <a:cxn ang="0">
                <a:pos x="csX5527" y="csY5527"/>
              </a:cxn>
              <a:cxn ang="0">
                <a:pos x="csX5528" y="csY5528"/>
              </a:cxn>
              <a:cxn ang="0">
                <a:pos x="csX5529" y="csY5529"/>
              </a:cxn>
              <a:cxn ang="0">
                <a:pos x="csX5530" y="csY5530"/>
              </a:cxn>
              <a:cxn ang="0">
                <a:pos x="csX5531" y="csY5531"/>
              </a:cxn>
              <a:cxn ang="0">
                <a:pos x="csX5532" y="csY5532"/>
              </a:cxn>
              <a:cxn ang="0">
                <a:pos x="csX5533" y="csY5533"/>
              </a:cxn>
              <a:cxn ang="0">
                <a:pos x="csX5534" y="csY5534"/>
              </a:cxn>
              <a:cxn ang="0">
                <a:pos x="csX5535" y="csY5535"/>
              </a:cxn>
              <a:cxn ang="0">
                <a:pos x="csX5536" y="csY5536"/>
              </a:cxn>
              <a:cxn ang="0">
                <a:pos x="csX5537" y="csY5537"/>
              </a:cxn>
              <a:cxn ang="0">
                <a:pos x="csX5538" y="csY5538"/>
              </a:cxn>
              <a:cxn ang="0">
                <a:pos x="csX5539" y="csY5539"/>
              </a:cxn>
              <a:cxn ang="0">
                <a:pos x="csX5540" y="csY5540"/>
              </a:cxn>
              <a:cxn ang="0">
                <a:pos x="csX5541" y="csY5541"/>
              </a:cxn>
              <a:cxn ang="0">
                <a:pos x="csX5542" y="csY5542"/>
              </a:cxn>
              <a:cxn ang="0">
                <a:pos x="csX5543" y="csY5543"/>
              </a:cxn>
              <a:cxn ang="0">
                <a:pos x="csX5544" y="csY5544"/>
              </a:cxn>
              <a:cxn ang="0">
                <a:pos x="csX5545" y="csY5545"/>
              </a:cxn>
              <a:cxn ang="0">
                <a:pos x="csX5546" y="csY5546"/>
              </a:cxn>
              <a:cxn ang="0">
                <a:pos x="csX5547" y="csY5547"/>
              </a:cxn>
              <a:cxn ang="0">
                <a:pos x="csX5548" y="csY5548"/>
              </a:cxn>
              <a:cxn ang="0">
                <a:pos x="csX5549" y="csY5549"/>
              </a:cxn>
              <a:cxn ang="0">
                <a:pos x="csX5550" y="csY5550"/>
              </a:cxn>
              <a:cxn ang="0">
                <a:pos x="csX5551" y="csY5551"/>
              </a:cxn>
              <a:cxn ang="0">
                <a:pos x="csX5552" y="csY5552"/>
              </a:cxn>
              <a:cxn ang="0">
                <a:pos x="csX5553" y="csY5553"/>
              </a:cxn>
              <a:cxn ang="0">
                <a:pos x="csX5554" y="csY5554"/>
              </a:cxn>
              <a:cxn ang="0">
                <a:pos x="csX5555" y="csY5555"/>
              </a:cxn>
              <a:cxn ang="0">
                <a:pos x="csX5556" y="csY5556"/>
              </a:cxn>
              <a:cxn ang="0">
                <a:pos x="csX5557" y="csY5557"/>
              </a:cxn>
              <a:cxn ang="0">
                <a:pos x="csX5558" y="csY5558"/>
              </a:cxn>
              <a:cxn ang="0">
                <a:pos x="csX5559" y="csY5559"/>
              </a:cxn>
              <a:cxn ang="0">
                <a:pos x="csX5560" y="csY5560"/>
              </a:cxn>
              <a:cxn ang="0">
                <a:pos x="csX5561" y="csY5561"/>
              </a:cxn>
              <a:cxn ang="0">
                <a:pos x="csX5562" y="csY5562"/>
              </a:cxn>
              <a:cxn ang="0">
                <a:pos x="csX5563" y="csY5563"/>
              </a:cxn>
              <a:cxn ang="0">
                <a:pos x="csX5564" y="csY5564"/>
              </a:cxn>
              <a:cxn ang="0">
                <a:pos x="csX5565" y="csY5565"/>
              </a:cxn>
              <a:cxn ang="0">
                <a:pos x="csX5566" y="csY5566"/>
              </a:cxn>
              <a:cxn ang="0">
                <a:pos x="csX5567" y="csY5567"/>
              </a:cxn>
              <a:cxn ang="0">
                <a:pos x="csX5568" y="csY5568"/>
              </a:cxn>
              <a:cxn ang="0">
                <a:pos x="csX5569" y="csY5569"/>
              </a:cxn>
              <a:cxn ang="0">
                <a:pos x="csX5570" y="csY5570"/>
              </a:cxn>
              <a:cxn ang="0">
                <a:pos x="csX5571" y="csY5571"/>
              </a:cxn>
              <a:cxn ang="0">
                <a:pos x="csX5572" y="csY5572"/>
              </a:cxn>
              <a:cxn ang="0">
                <a:pos x="csX5573" y="csY5573"/>
              </a:cxn>
              <a:cxn ang="0">
                <a:pos x="csX5574" y="csY5574"/>
              </a:cxn>
              <a:cxn ang="0">
                <a:pos x="csX5575" y="csY5575"/>
              </a:cxn>
              <a:cxn ang="0">
                <a:pos x="csX5576" y="csY5576"/>
              </a:cxn>
              <a:cxn ang="0">
                <a:pos x="csX5577" y="csY5577"/>
              </a:cxn>
              <a:cxn ang="0">
                <a:pos x="csX5578" y="csY5578"/>
              </a:cxn>
              <a:cxn ang="0">
                <a:pos x="csX5579" y="csY5579"/>
              </a:cxn>
              <a:cxn ang="0">
                <a:pos x="csX5580" y="csY5580"/>
              </a:cxn>
              <a:cxn ang="0">
                <a:pos x="csX5581" y="csY5581"/>
              </a:cxn>
              <a:cxn ang="0">
                <a:pos x="csX5582" y="csY5582"/>
              </a:cxn>
              <a:cxn ang="0">
                <a:pos x="csX5583" y="csY5583"/>
              </a:cxn>
              <a:cxn ang="0">
                <a:pos x="csX5584" y="csY5584"/>
              </a:cxn>
              <a:cxn ang="0">
                <a:pos x="csX5585" y="csY5585"/>
              </a:cxn>
              <a:cxn ang="0">
                <a:pos x="csX5586" y="csY5586"/>
              </a:cxn>
              <a:cxn ang="0">
                <a:pos x="csX5587" y="csY5587"/>
              </a:cxn>
              <a:cxn ang="0">
                <a:pos x="csX5588" y="csY5588"/>
              </a:cxn>
              <a:cxn ang="0">
                <a:pos x="csX5589" y="csY5589"/>
              </a:cxn>
              <a:cxn ang="0">
                <a:pos x="csX5590" y="csY5590"/>
              </a:cxn>
              <a:cxn ang="0">
                <a:pos x="csX5591" y="csY5591"/>
              </a:cxn>
              <a:cxn ang="0">
                <a:pos x="csX5592" y="csY5592"/>
              </a:cxn>
              <a:cxn ang="0">
                <a:pos x="csX5593" y="csY5593"/>
              </a:cxn>
              <a:cxn ang="0">
                <a:pos x="csX5594" y="csY5594"/>
              </a:cxn>
              <a:cxn ang="0">
                <a:pos x="csX5595" y="csY5595"/>
              </a:cxn>
              <a:cxn ang="0">
                <a:pos x="csX5596" y="csY5596"/>
              </a:cxn>
              <a:cxn ang="0">
                <a:pos x="csX5597" y="csY5597"/>
              </a:cxn>
              <a:cxn ang="0">
                <a:pos x="csX5598" y="csY5598"/>
              </a:cxn>
              <a:cxn ang="0">
                <a:pos x="csX5599" y="csY5599"/>
              </a:cxn>
              <a:cxn ang="0">
                <a:pos x="csX5600" y="csY5600"/>
              </a:cxn>
              <a:cxn ang="0">
                <a:pos x="csX5601" y="csY5601"/>
              </a:cxn>
              <a:cxn ang="0">
                <a:pos x="csX5602" y="csY5602"/>
              </a:cxn>
              <a:cxn ang="0">
                <a:pos x="csX5603" y="csY5603"/>
              </a:cxn>
              <a:cxn ang="0">
                <a:pos x="csX5604" y="csY5604"/>
              </a:cxn>
              <a:cxn ang="0">
                <a:pos x="csX5605" y="csY5605"/>
              </a:cxn>
              <a:cxn ang="0">
                <a:pos x="csX5606" y="csY5606"/>
              </a:cxn>
              <a:cxn ang="0">
                <a:pos x="csX5607" y="csY5607"/>
              </a:cxn>
              <a:cxn ang="0">
                <a:pos x="csX5608" y="csY5608"/>
              </a:cxn>
              <a:cxn ang="0">
                <a:pos x="csX5609" y="csY5609"/>
              </a:cxn>
              <a:cxn ang="0">
                <a:pos x="csX5610" y="csY5610"/>
              </a:cxn>
              <a:cxn ang="0">
                <a:pos x="csX5611" y="csY5611"/>
              </a:cxn>
              <a:cxn ang="0">
                <a:pos x="csX5612" y="csY5612"/>
              </a:cxn>
              <a:cxn ang="0">
                <a:pos x="csX5613" y="csY5613"/>
              </a:cxn>
              <a:cxn ang="0">
                <a:pos x="csX5614" y="csY5614"/>
              </a:cxn>
              <a:cxn ang="0">
                <a:pos x="csX5615" y="csY5615"/>
              </a:cxn>
              <a:cxn ang="0">
                <a:pos x="csX5616" y="csY5616"/>
              </a:cxn>
              <a:cxn ang="0">
                <a:pos x="csX5617" y="csY5617"/>
              </a:cxn>
              <a:cxn ang="0">
                <a:pos x="csX5618" y="csY5618"/>
              </a:cxn>
              <a:cxn ang="0">
                <a:pos x="csX5619" y="csY5619"/>
              </a:cxn>
              <a:cxn ang="0">
                <a:pos x="csX5620" y="csY5620"/>
              </a:cxn>
              <a:cxn ang="0">
                <a:pos x="csX5621" y="csY5621"/>
              </a:cxn>
              <a:cxn ang="0">
                <a:pos x="csX5622" y="csY5622"/>
              </a:cxn>
              <a:cxn ang="0">
                <a:pos x="csX5623" y="csY5623"/>
              </a:cxn>
              <a:cxn ang="0">
                <a:pos x="csX5624" y="csY5624"/>
              </a:cxn>
              <a:cxn ang="0">
                <a:pos x="csX5625" y="csY5625"/>
              </a:cxn>
              <a:cxn ang="0">
                <a:pos x="csX5626" y="csY5626"/>
              </a:cxn>
              <a:cxn ang="0">
                <a:pos x="csX5627" y="csY5627"/>
              </a:cxn>
              <a:cxn ang="0">
                <a:pos x="csX5628" y="csY5628"/>
              </a:cxn>
              <a:cxn ang="0">
                <a:pos x="csX5629" y="csY5629"/>
              </a:cxn>
              <a:cxn ang="0">
                <a:pos x="csX5630" y="csY5630"/>
              </a:cxn>
              <a:cxn ang="0">
                <a:pos x="csX5631" y="csY5631"/>
              </a:cxn>
              <a:cxn ang="0">
                <a:pos x="csX5632" y="csY5632"/>
              </a:cxn>
              <a:cxn ang="0">
                <a:pos x="csX5633" y="csY5633"/>
              </a:cxn>
              <a:cxn ang="0">
                <a:pos x="csX5634" y="csY5634"/>
              </a:cxn>
              <a:cxn ang="0">
                <a:pos x="csX5635" y="csY5635"/>
              </a:cxn>
              <a:cxn ang="0">
                <a:pos x="csX5636" y="csY5636"/>
              </a:cxn>
              <a:cxn ang="0">
                <a:pos x="csX5637" y="csY5637"/>
              </a:cxn>
              <a:cxn ang="0">
                <a:pos x="csX5638" y="csY5638"/>
              </a:cxn>
              <a:cxn ang="0">
                <a:pos x="csX5639" y="csY5639"/>
              </a:cxn>
              <a:cxn ang="0">
                <a:pos x="csX5640" y="csY5640"/>
              </a:cxn>
              <a:cxn ang="0">
                <a:pos x="csX5641" y="csY5641"/>
              </a:cxn>
              <a:cxn ang="0">
                <a:pos x="csX5642" y="csY5642"/>
              </a:cxn>
              <a:cxn ang="0">
                <a:pos x="csX5643" y="csY5643"/>
              </a:cxn>
              <a:cxn ang="0">
                <a:pos x="csX5644" y="csY5644"/>
              </a:cxn>
              <a:cxn ang="0">
                <a:pos x="csX5645" y="csY5645"/>
              </a:cxn>
              <a:cxn ang="0">
                <a:pos x="csX5646" y="csY5646"/>
              </a:cxn>
              <a:cxn ang="0">
                <a:pos x="csX5647" y="csY5647"/>
              </a:cxn>
              <a:cxn ang="0">
                <a:pos x="csX5648" y="csY5648"/>
              </a:cxn>
              <a:cxn ang="0">
                <a:pos x="csX5649" y="csY5649"/>
              </a:cxn>
              <a:cxn ang="0">
                <a:pos x="csX5650" y="csY5650"/>
              </a:cxn>
              <a:cxn ang="0">
                <a:pos x="csX5651" y="csY5651"/>
              </a:cxn>
              <a:cxn ang="0">
                <a:pos x="csX5652" y="csY5652"/>
              </a:cxn>
              <a:cxn ang="0">
                <a:pos x="csX5653" y="csY5653"/>
              </a:cxn>
              <a:cxn ang="0">
                <a:pos x="csX5654" y="csY5654"/>
              </a:cxn>
              <a:cxn ang="0">
                <a:pos x="csX5655" y="csY5655"/>
              </a:cxn>
              <a:cxn ang="0">
                <a:pos x="csX5656" y="csY5656"/>
              </a:cxn>
              <a:cxn ang="0">
                <a:pos x="csX5657" y="csY5657"/>
              </a:cxn>
              <a:cxn ang="0">
                <a:pos x="csX5658" y="csY5658"/>
              </a:cxn>
              <a:cxn ang="0">
                <a:pos x="csX5659" y="csY5659"/>
              </a:cxn>
              <a:cxn ang="0">
                <a:pos x="csX5660" y="csY5660"/>
              </a:cxn>
              <a:cxn ang="0">
                <a:pos x="csX5661" y="csY5661"/>
              </a:cxn>
              <a:cxn ang="0">
                <a:pos x="csX5662" y="csY5662"/>
              </a:cxn>
              <a:cxn ang="0">
                <a:pos x="csX5663" y="csY5663"/>
              </a:cxn>
              <a:cxn ang="0">
                <a:pos x="csX5664" y="csY5664"/>
              </a:cxn>
              <a:cxn ang="0">
                <a:pos x="csX5665" y="csY5665"/>
              </a:cxn>
              <a:cxn ang="0">
                <a:pos x="csX5666" y="csY5666"/>
              </a:cxn>
              <a:cxn ang="0">
                <a:pos x="csX5667" y="csY5667"/>
              </a:cxn>
              <a:cxn ang="0">
                <a:pos x="csX5668" y="csY5668"/>
              </a:cxn>
              <a:cxn ang="0">
                <a:pos x="csX5669" y="csY5669"/>
              </a:cxn>
              <a:cxn ang="0">
                <a:pos x="csX5670" y="csY5670"/>
              </a:cxn>
              <a:cxn ang="0">
                <a:pos x="csX5671" y="csY5671"/>
              </a:cxn>
              <a:cxn ang="0">
                <a:pos x="csX5672" y="csY5672"/>
              </a:cxn>
              <a:cxn ang="0">
                <a:pos x="csX5673" y="csY5673"/>
              </a:cxn>
              <a:cxn ang="0">
                <a:pos x="csX5674" y="csY5674"/>
              </a:cxn>
              <a:cxn ang="0">
                <a:pos x="csX5675" y="csY5675"/>
              </a:cxn>
              <a:cxn ang="0">
                <a:pos x="csX5676" y="csY5676"/>
              </a:cxn>
              <a:cxn ang="0">
                <a:pos x="csX5677" y="csY5677"/>
              </a:cxn>
              <a:cxn ang="0">
                <a:pos x="csX5678" y="csY5678"/>
              </a:cxn>
              <a:cxn ang="0">
                <a:pos x="csX5679" y="csY5679"/>
              </a:cxn>
              <a:cxn ang="0">
                <a:pos x="csX5680" y="csY5680"/>
              </a:cxn>
              <a:cxn ang="0">
                <a:pos x="csX5681" y="csY5681"/>
              </a:cxn>
              <a:cxn ang="0">
                <a:pos x="csX5682" y="csY5682"/>
              </a:cxn>
              <a:cxn ang="0">
                <a:pos x="csX5683" y="csY5683"/>
              </a:cxn>
              <a:cxn ang="0">
                <a:pos x="csX5684" y="csY5684"/>
              </a:cxn>
              <a:cxn ang="0">
                <a:pos x="csX5685" y="csY5685"/>
              </a:cxn>
              <a:cxn ang="0">
                <a:pos x="csX5686" y="csY5686"/>
              </a:cxn>
              <a:cxn ang="0">
                <a:pos x="csX5687" y="csY5687"/>
              </a:cxn>
              <a:cxn ang="0">
                <a:pos x="csX5688" y="csY5688"/>
              </a:cxn>
              <a:cxn ang="0">
                <a:pos x="csX5689" y="csY5689"/>
              </a:cxn>
              <a:cxn ang="0">
                <a:pos x="csX5690" y="csY5690"/>
              </a:cxn>
              <a:cxn ang="0">
                <a:pos x="csX5691" y="csY5691"/>
              </a:cxn>
              <a:cxn ang="0">
                <a:pos x="csX5692" y="csY5692"/>
              </a:cxn>
              <a:cxn ang="0">
                <a:pos x="csX5693" y="csY5693"/>
              </a:cxn>
              <a:cxn ang="0">
                <a:pos x="csX5694" y="csY5694"/>
              </a:cxn>
              <a:cxn ang="0">
                <a:pos x="csX5695" y="csY5695"/>
              </a:cxn>
              <a:cxn ang="0">
                <a:pos x="csX5696" y="csY5696"/>
              </a:cxn>
              <a:cxn ang="0">
                <a:pos x="csX5697" y="csY5697"/>
              </a:cxn>
              <a:cxn ang="0">
                <a:pos x="csX5698" y="csY5698"/>
              </a:cxn>
              <a:cxn ang="0">
                <a:pos x="csX5699" y="csY5699"/>
              </a:cxn>
              <a:cxn ang="0">
                <a:pos x="csX5700" y="csY5700"/>
              </a:cxn>
              <a:cxn ang="0">
                <a:pos x="csX5701" y="csY5701"/>
              </a:cxn>
              <a:cxn ang="0">
                <a:pos x="csX5702" y="csY5702"/>
              </a:cxn>
              <a:cxn ang="0">
                <a:pos x="csX5703" y="csY5703"/>
              </a:cxn>
              <a:cxn ang="0">
                <a:pos x="csX5704" y="csY5704"/>
              </a:cxn>
              <a:cxn ang="0">
                <a:pos x="csX5705" y="csY5705"/>
              </a:cxn>
              <a:cxn ang="0">
                <a:pos x="csX5706" y="csY5706"/>
              </a:cxn>
              <a:cxn ang="0">
                <a:pos x="csX5707" y="csY5707"/>
              </a:cxn>
              <a:cxn ang="0">
                <a:pos x="csX5708" y="csY5708"/>
              </a:cxn>
              <a:cxn ang="0">
                <a:pos x="csX5709" y="csY5709"/>
              </a:cxn>
              <a:cxn ang="0">
                <a:pos x="csX5710" y="csY5710"/>
              </a:cxn>
              <a:cxn ang="0">
                <a:pos x="csX5711" y="csY5711"/>
              </a:cxn>
              <a:cxn ang="0">
                <a:pos x="csX5712" y="csY5712"/>
              </a:cxn>
              <a:cxn ang="0">
                <a:pos x="csX5713" y="csY5713"/>
              </a:cxn>
              <a:cxn ang="0">
                <a:pos x="csX5714" y="csY5714"/>
              </a:cxn>
              <a:cxn ang="0">
                <a:pos x="csX5715" y="csY5715"/>
              </a:cxn>
              <a:cxn ang="0">
                <a:pos x="csX5716" y="csY5716"/>
              </a:cxn>
              <a:cxn ang="0">
                <a:pos x="csX5717" y="csY5717"/>
              </a:cxn>
              <a:cxn ang="0">
                <a:pos x="csX5718" y="csY5718"/>
              </a:cxn>
              <a:cxn ang="0">
                <a:pos x="csX5719" y="csY5719"/>
              </a:cxn>
              <a:cxn ang="0">
                <a:pos x="csX5720" y="csY5720"/>
              </a:cxn>
              <a:cxn ang="0">
                <a:pos x="csX5721" y="csY5721"/>
              </a:cxn>
              <a:cxn ang="0">
                <a:pos x="csX5722" y="csY5722"/>
              </a:cxn>
              <a:cxn ang="0">
                <a:pos x="csX5723" y="csY5723"/>
              </a:cxn>
              <a:cxn ang="0">
                <a:pos x="csX5724" y="csY5724"/>
              </a:cxn>
              <a:cxn ang="0">
                <a:pos x="csX5725" y="csY5725"/>
              </a:cxn>
              <a:cxn ang="0">
                <a:pos x="csX5726" y="csY5726"/>
              </a:cxn>
              <a:cxn ang="0">
                <a:pos x="csX5727" y="csY5727"/>
              </a:cxn>
              <a:cxn ang="0">
                <a:pos x="csX5728" y="csY5728"/>
              </a:cxn>
              <a:cxn ang="0">
                <a:pos x="csX5729" y="csY5729"/>
              </a:cxn>
              <a:cxn ang="0">
                <a:pos x="csX5730" y="csY5730"/>
              </a:cxn>
              <a:cxn ang="0">
                <a:pos x="csX5731" y="csY5731"/>
              </a:cxn>
              <a:cxn ang="0">
                <a:pos x="csX5732" y="csY5732"/>
              </a:cxn>
              <a:cxn ang="0">
                <a:pos x="csX5733" y="csY5733"/>
              </a:cxn>
              <a:cxn ang="0">
                <a:pos x="csX5734" y="csY5734"/>
              </a:cxn>
              <a:cxn ang="0">
                <a:pos x="csX5735" y="csY5735"/>
              </a:cxn>
              <a:cxn ang="0">
                <a:pos x="csX5736" y="csY5736"/>
              </a:cxn>
              <a:cxn ang="0">
                <a:pos x="csX5737" y="csY5737"/>
              </a:cxn>
              <a:cxn ang="0">
                <a:pos x="csX5738" y="csY5738"/>
              </a:cxn>
              <a:cxn ang="0">
                <a:pos x="csX5739" y="csY5739"/>
              </a:cxn>
              <a:cxn ang="0">
                <a:pos x="csX5740" y="csY5740"/>
              </a:cxn>
              <a:cxn ang="0">
                <a:pos x="csX5741" y="csY5741"/>
              </a:cxn>
              <a:cxn ang="0">
                <a:pos x="csX5742" y="csY5742"/>
              </a:cxn>
              <a:cxn ang="0">
                <a:pos x="csX5743" y="csY5743"/>
              </a:cxn>
              <a:cxn ang="0">
                <a:pos x="csX5744" y="csY5744"/>
              </a:cxn>
              <a:cxn ang="0">
                <a:pos x="csX5745" y="csY5745"/>
              </a:cxn>
              <a:cxn ang="0">
                <a:pos x="csX5746" y="csY5746"/>
              </a:cxn>
              <a:cxn ang="0">
                <a:pos x="csX5747" y="csY5747"/>
              </a:cxn>
              <a:cxn ang="0">
                <a:pos x="csX5748" y="csY5748"/>
              </a:cxn>
              <a:cxn ang="0">
                <a:pos x="csX5749" y="csY5749"/>
              </a:cxn>
              <a:cxn ang="0">
                <a:pos x="csX5750" y="csY5750"/>
              </a:cxn>
              <a:cxn ang="0">
                <a:pos x="csX5751" y="csY5751"/>
              </a:cxn>
              <a:cxn ang="0">
                <a:pos x="csX5752" y="csY5752"/>
              </a:cxn>
              <a:cxn ang="0">
                <a:pos x="csX5753" y="csY5753"/>
              </a:cxn>
              <a:cxn ang="0">
                <a:pos x="csX5754" y="csY5754"/>
              </a:cxn>
              <a:cxn ang="0">
                <a:pos x="csX5755" y="csY5755"/>
              </a:cxn>
              <a:cxn ang="0">
                <a:pos x="csX5756" y="csY5756"/>
              </a:cxn>
              <a:cxn ang="0">
                <a:pos x="csX5757" y="csY5757"/>
              </a:cxn>
              <a:cxn ang="0">
                <a:pos x="csX5758" y="csY5758"/>
              </a:cxn>
              <a:cxn ang="0">
                <a:pos x="csX5759" y="csY5759"/>
              </a:cxn>
              <a:cxn ang="0">
                <a:pos x="csX5760" y="csY5760"/>
              </a:cxn>
              <a:cxn ang="0">
                <a:pos x="csX5761" y="csY5761"/>
              </a:cxn>
              <a:cxn ang="0">
                <a:pos x="csX5762" y="csY5762"/>
              </a:cxn>
              <a:cxn ang="0">
                <a:pos x="csX5763" y="csY5763"/>
              </a:cxn>
              <a:cxn ang="0">
                <a:pos x="csX5764" y="csY5764"/>
              </a:cxn>
              <a:cxn ang="0">
                <a:pos x="csX5765" y="csY5765"/>
              </a:cxn>
              <a:cxn ang="0">
                <a:pos x="csX5766" y="csY5766"/>
              </a:cxn>
              <a:cxn ang="0">
                <a:pos x="csX5767" y="csY5767"/>
              </a:cxn>
              <a:cxn ang="0">
                <a:pos x="csX5768" y="csY5768"/>
              </a:cxn>
              <a:cxn ang="0">
                <a:pos x="csX5769" y="csY5769"/>
              </a:cxn>
              <a:cxn ang="0">
                <a:pos x="csX5770" y="csY5770"/>
              </a:cxn>
              <a:cxn ang="0">
                <a:pos x="csX5771" y="csY5771"/>
              </a:cxn>
              <a:cxn ang="0">
                <a:pos x="csX5772" y="csY5772"/>
              </a:cxn>
              <a:cxn ang="0">
                <a:pos x="csX5773" y="csY5773"/>
              </a:cxn>
              <a:cxn ang="0">
                <a:pos x="csX5774" y="csY5774"/>
              </a:cxn>
              <a:cxn ang="0">
                <a:pos x="csX5775" y="csY5775"/>
              </a:cxn>
              <a:cxn ang="0">
                <a:pos x="csX5776" y="csY5776"/>
              </a:cxn>
              <a:cxn ang="0">
                <a:pos x="csX5777" y="csY5777"/>
              </a:cxn>
              <a:cxn ang="0">
                <a:pos x="csX5778" y="csY5778"/>
              </a:cxn>
              <a:cxn ang="0">
                <a:pos x="csX5779" y="csY5779"/>
              </a:cxn>
              <a:cxn ang="0">
                <a:pos x="csX5780" y="csY5780"/>
              </a:cxn>
              <a:cxn ang="0">
                <a:pos x="csX5781" y="csY5781"/>
              </a:cxn>
              <a:cxn ang="0">
                <a:pos x="csX5782" y="csY5782"/>
              </a:cxn>
              <a:cxn ang="0">
                <a:pos x="csX5783" y="csY5783"/>
              </a:cxn>
              <a:cxn ang="0">
                <a:pos x="csX5784" y="csY5784"/>
              </a:cxn>
              <a:cxn ang="0">
                <a:pos x="csX5785" y="csY5785"/>
              </a:cxn>
              <a:cxn ang="0">
                <a:pos x="csX5786" y="csY5786"/>
              </a:cxn>
              <a:cxn ang="0">
                <a:pos x="csX5787" y="csY5787"/>
              </a:cxn>
              <a:cxn ang="0">
                <a:pos x="csX5788" y="csY5788"/>
              </a:cxn>
              <a:cxn ang="0">
                <a:pos x="csX5789" y="csY5789"/>
              </a:cxn>
              <a:cxn ang="0">
                <a:pos x="csX5790" y="csY5790"/>
              </a:cxn>
              <a:cxn ang="0">
                <a:pos x="csX5791" y="csY5791"/>
              </a:cxn>
              <a:cxn ang="0">
                <a:pos x="csX5792" y="csY5792"/>
              </a:cxn>
              <a:cxn ang="0">
                <a:pos x="csX5793" y="csY5793"/>
              </a:cxn>
              <a:cxn ang="0">
                <a:pos x="csX5794" y="csY5794"/>
              </a:cxn>
              <a:cxn ang="0">
                <a:pos x="csX5795" y="csY5795"/>
              </a:cxn>
              <a:cxn ang="0">
                <a:pos x="csX5796" y="csY5796"/>
              </a:cxn>
              <a:cxn ang="0">
                <a:pos x="csX5797" y="csY5797"/>
              </a:cxn>
              <a:cxn ang="0">
                <a:pos x="csX5798" y="csY5798"/>
              </a:cxn>
              <a:cxn ang="0">
                <a:pos x="csX5799" y="csY5799"/>
              </a:cxn>
              <a:cxn ang="0">
                <a:pos x="csX5800" y="csY5800"/>
              </a:cxn>
              <a:cxn ang="0">
                <a:pos x="csX5801" y="csY5801"/>
              </a:cxn>
              <a:cxn ang="0">
                <a:pos x="csX5802" y="csY5802"/>
              </a:cxn>
              <a:cxn ang="0">
                <a:pos x="csX5803" y="csY5803"/>
              </a:cxn>
              <a:cxn ang="0">
                <a:pos x="csX5804" y="csY5804"/>
              </a:cxn>
              <a:cxn ang="0">
                <a:pos x="csX5805" y="csY5805"/>
              </a:cxn>
              <a:cxn ang="0">
                <a:pos x="csX5806" y="csY5806"/>
              </a:cxn>
              <a:cxn ang="0">
                <a:pos x="csX5807" y="csY5807"/>
              </a:cxn>
              <a:cxn ang="0">
                <a:pos x="csX5808" y="csY5808"/>
              </a:cxn>
              <a:cxn ang="0">
                <a:pos x="csX5809" y="csY5809"/>
              </a:cxn>
              <a:cxn ang="0">
                <a:pos x="csX5810" y="csY5810"/>
              </a:cxn>
              <a:cxn ang="0">
                <a:pos x="csX5811" y="csY5811"/>
              </a:cxn>
              <a:cxn ang="0">
                <a:pos x="csX5812" y="csY5812"/>
              </a:cxn>
              <a:cxn ang="0">
                <a:pos x="csX5813" y="csY5813"/>
              </a:cxn>
              <a:cxn ang="0">
                <a:pos x="csX5814" y="csY5814"/>
              </a:cxn>
              <a:cxn ang="0">
                <a:pos x="csX5815" y="csY5815"/>
              </a:cxn>
              <a:cxn ang="0">
                <a:pos x="csX5816" y="csY5816"/>
              </a:cxn>
              <a:cxn ang="0">
                <a:pos x="csX5817" y="csY5817"/>
              </a:cxn>
              <a:cxn ang="0">
                <a:pos x="csX5818" y="csY5818"/>
              </a:cxn>
              <a:cxn ang="0">
                <a:pos x="csX5819" y="csY5819"/>
              </a:cxn>
              <a:cxn ang="0">
                <a:pos x="csX5820" y="csY5820"/>
              </a:cxn>
              <a:cxn ang="0">
                <a:pos x="csX5821" y="csY5821"/>
              </a:cxn>
              <a:cxn ang="0">
                <a:pos x="csX5822" y="csY5822"/>
              </a:cxn>
              <a:cxn ang="0">
                <a:pos x="csX5823" y="csY5823"/>
              </a:cxn>
              <a:cxn ang="0">
                <a:pos x="csX5824" y="csY5824"/>
              </a:cxn>
              <a:cxn ang="0">
                <a:pos x="csX5825" y="csY5825"/>
              </a:cxn>
              <a:cxn ang="0">
                <a:pos x="csX5826" y="csY5826"/>
              </a:cxn>
              <a:cxn ang="0">
                <a:pos x="csX5827" y="csY5827"/>
              </a:cxn>
              <a:cxn ang="0">
                <a:pos x="csX5828" y="csY5828"/>
              </a:cxn>
              <a:cxn ang="0">
                <a:pos x="csX5829" y="csY5829"/>
              </a:cxn>
              <a:cxn ang="0">
                <a:pos x="csX5830" y="csY5830"/>
              </a:cxn>
              <a:cxn ang="0">
                <a:pos x="csX5831" y="csY5831"/>
              </a:cxn>
              <a:cxn ang="0">
                <a:pos x="csX5832" y="csY5832"/>
              </a:cxn>
              <a:cxn ang="0">
                <a:pos x="csX5833" y="csY5833"/>
              </a:cxn>
              <a:cxn ang="0">
                <a:pos x="csX5834" y="csY5834"/>
              </a:cxn>
              <a:cxn ang="0">
                <a:pos x="csX5835" y="csY5835"/>
              </a:cxn>
              <a:cxn ang="0">
                <a:pos x="csX5836" y="csY5836"/>
              </a:cxn>
              <a:cxn ang="0">
                <a:pos x="csX5837" y="csY5837"/>
              </a:cxn>
              <a:cxn ang="0">
                <a:pos x="csX5838" y="csY5838"/>
              </a:cxn>
              <a:cxn ang="0">
                <a:pos x="csX5839" y="csY5839"/>
              </a:cxn>
              <a:cxn ang="0">
                <a:pos x="csX5840" y="csY5840"/>
              </a:cxn>
              <a:cxn ang="0">
                <a:pos x="csX5841" y="csY5841"/>
              </a:cxn>
              <a:cxn ang="0">
                <a:pos x="csX5842" y="csY5842"/>
              </a:cxn>
              <a:cxn ang="0">
                <a:pos x="csX5843" y="csY5843"/>
              </a:cxn>
              <a:cxn ang="0">
                <a:pos x="csX5844" y="csY5844"/>
              </a:cxn>
              <a:cxn ang="0">
                <a:pos x="csX5845" y="csY5845"/>
              </a:cxn>
              <a:cxn ang="0">
                <a:pos x="csX5846" y="csY5846"/>
              </a:cxn>
              <a:cxn ang="0">
                <a:pos x="csX5847" y="csY5847"/>
              </a:cxn>
              <a:cxn ang="0">
                <a:pos x="csX5848" y="csY5848"/>
              </a:cxn>
              <a:cxn ang="0">
                <a:pos x="csX5849" y="csY5849"/>
              </a:cxn>
              <a:cxn ang="0">
                <a:pos x="csX5850" y="csY5850"/>
              </a:cxn>
              <a:cxn ang="0">
                <a:pos x="csX5851" y="csY5851"/>
              </a:cxn>
              <a:cxn ang="0">
                <a:pos x="csX5852" y="csY5852"/>
              </a:cxn>
              <a:cxn ang="0">
                <a:pos x="csX5853" y="csY5853"/>
              </a:cxn>
              <a:cxn ang="0">
                <a:pos x="csX5854" y="csY5854"/>
              </a:cxn>
              <a:cxn ang="0">
                <a:pos x="csX5855" y="csY5855"/>
              </a:cxn>
              <a:cxn ang="0">
                <a:pos x="csX5856" y="csY5856"/>
              </a:cxn>
              <a:cxn ang="0">
                <a:pos x="csX5857" y="csY5857"/>
              </a:cxn>
              <a:cxn ang="0">
                <a:pos x="csX5858" y="csY5858"/>
              </a:cxn>
              <a:cxn ang="0">
                <a:pos x="csX5859" y="csY5859"/>
              </a:cxn>
              <a:cxn ang="0">
                <a:pos x="csX5860" y="csY5860"/>
              </a:cxn>
              <a:cxn ang="0">
                <a:pos x="csX5861" y="csY5861"/>
              </a:cxn>
              <a:cxn ang="0">
                <a:pos x="csX5862" y="csY5862"/>
              </a:cxn>
              <a:cxn ang="0">
                <a:pos x="csX5863" y="csY5863"/>
              </a:cxn>
              <a:cxn ang="0">
                <a:pos x="csX5864" y="csY5864"/>
              </a:cxn>
              <a:cxn ang="0">
                <a:pos x="csX5865" y="csY5865"/>
              </a:cxn>
              <a:cxn ang="0">
                <a:pos x="csX5866" y="csY5866"/>
              </a:cxn>
              <a:cxn ang="0">
                <a:pos x="csX5867" y="csY5867"/>
              </a:cxn>
              <a:cxn ang="0">
                <a:pos x="csX5868" y="csY5868"/>
              </a:cxn>
              <a:cxn ang="0">
                <a:pos x="csX5869" y="csY5869"/>
              </a:cxn>
              <a:cxn ang="0">
                <a:pos x="csX5870" y="csY5870"/>
              </a:cxn>
              <a:cxn ang="0">
                <a:pos x="csX5871" y="csY5871"/>
              </a:cxn>
              <a:cxn ang="0">
                <a:pos x="csX5872" y="csY5872"/>
              </a:cxn>
              <a:cxn ang="0">
                <a:pos x="csX5873" y="csY5873"/>
              </a:cxn>
              <a:cxn ang="0">
                <a:pos x="csX5874" y="csY5874"/>
              </a:cxn>
              <a:cxn ang="0">
                <a:pos x="csX5875" y="csY5875"/>
              </a:cxn>
              <a:cxn ang="0">
                <a:pos x="csX5876" y="csY5876"/>
              </a:cxn>
              <a:cxn ang="0">
                <a:pos x="csX5877" y="csY5877"/>
              </a:cxn>
              <a:cxn ang="0">
                <a:pos x="csX5878" y="csY5878"/>
              </a:cxn>
              <a:cxn ang="0">
                <a:pos x="csX5879" y="csY5879"/>
              </a:cxn>
              <a:cxn ang="0">
                <a:pos x="csX5880" y="csY5880"/>
              </a:cxn>
              <a:cxn ang="0">
                <a:pos x="csX5881" y="csY5881"/>
              </a:cxn>
              <a:cxn ang="0">
                <a:pos x="csX5882" y="csY5882"/>
              </a:cxn>
              <a:cxn ang="0">
                <a:pos x="csX5883" y="csY5883"/>
              </a:cxn>
              <a:cxn ang="0">
                <a:pos x="csX5884" y="csY5884"/>
              </a:cxn>
              <a:cxn ang="0">
                <a:pos x="csX5885" y="csY5885"/>
              </a:cxn>
              <a:cxn ang="0">
                <a:pos x="csX5886" y="csY5886"/>
              </a:cxn>
              <a:cxn ang="0">
                <a:pos x="csX5887" y="csY5887"/>
              </a:cxn>
              <a:cxn ang="0">
                <a:pos x="csX5888" y="csY5888"/>
              </a:cxn>
              <a:cxn ang="0">
                <a:pos x="csX5889" y="csY5889"/>
              </a:cxn>
              <a:cxn ang="0">
                <a:pos x="csX5890" y="csY5890"/>
              </a:cxn>
              <a:cxn ang="0">
                <a:pos x="csX5891" y="csY5891"/>
              </a:cxn>
              <a:cxn ang="0">
                <a:pos x="csX5892" y="csY5892"/>
              </a:cxn>
              <a:cxn ang="0">
                <a:pos x="csX5893" y="csY5893"/>
              </a:cxn>
              <a:cxn ang="0">
                <a:pos x="csX5894" y="csY5894"/>
              </a:cxn>
              <a:cxn ang="0">
                <a:pos x="csX5895" y="csY5895"/>
              </a:cxn>
              <a:cxn ang="0">
                <a:pos x="csX5896" y="csY5896"/>
              </a:cxn>
              <a:cxn ang="0">
                <a:pos x="csX5897" y="csY5897"/>
              </a:cxn>
              <a:cxn ang="0">
                <a:pos x="csX5898" y="csY5898"/>
              </a:cxn>
              <a:cxn ang="0">
                <a:pos x="csX5899" y="csY5899"/>
              </a:cxn>
              <a:cxn ang="0">
                <a:pos x="csX5900" y="csY5900"/>
              </a:cxn>
              <a:cxn ang="0">
                <a:pos x="csX5901" y="csY5901"/>
              </a:cxn>
              <a:cxn ang="0">
                <a:pos x="csX5902" y="csY5902"/>
              </a:cxn>
              <a:cxn ang="0">
                <a:pos x="csX5903" y="csY5903"/>
              </a:cxn>
              <a:cxn ang="0">
                <a:pos x="csX5904" y="csY5904"/>
              </a:cxn>
              <a:cxn ang="0">
                <a:pos x="csX5905" y="csY5905"/>
              </a:cxn>
              <a:cxn ang="0">
                <a:pos x="csX5906" y="csY5906"/>
              </a:cxn>
              <a:cxn ang="0">
                <a:pos x="csX5907" y="csY5907"/>
              </a:cxn>
              <a:cxn ang="0">
                <a:pos x="csX5908" y="csY5908"/>
              </a:cxn>
              <a:cxn ang="0">
                <a:pos x="csX5909" y="csY5909"/>
              </a:cxn>
              <a:cxn ang="0">
                <a:pos x="csX5910" y="csY5910"/>
              </a:cxn>
              <a:cxn ang="0">
                <a:pos x="csX5911" y="csY5911"/>
              </a:cxn>
              <a:cxn ang="0">
                <a:pos x="csX5912" y="csY5912"/>
              </a:cxn>
              <a:cxn ang="0">
                <a:pos x="csX5913" y="csY5913"/>
              </a:cxn>
              <a:cxn ang="0">
                <a:pos x="csX5914" y="csY5914"/>
              </a:cxn>
              <a:cxn ang="0">
                <a:pos x="csX5915" y="csY5915"/>
              </a:cxn>
              <a:cxn ang="0">
                <a:pos x="csX5916" y="csY5916"/>
              </a:cxn>
              <a:cxn ang="0">
                <a:pos x="csX5917" y="csY5917"/>
              </a:cxn>
              <a:cxn ang="0">
                <a:pos x="csX5918" y="csY5918"/>
              </a:cxn>
              <a:cxn ang="0">
                <a:pos x="csX5919" y="csY5919"/>
              </a:cxn>
              <a:cxn ang="0">
                <a:pos x="csX5920" y="csY5920"/>
              </a:cxn>
              <a:cxn ang="0">
                <a:pos x="csX5921" y="csY5921"/>
              </a:cxn>
              <a:cxn ang="0">
                <a:pos x="csX5922" y="csY5922"/>
              </a:cxn>
              <a:cxn ang="0">
                <a:pos x="csX5923" y="csY5923"/>
              </a:cxn>
              <a:cxn ang="0">
                <a:pos x="csX5924" y="csY5924"/>
              </a:cxn>
              <a:cxn ang="0">
                <a:pos x="csX5925" y="csY5925"/>
              </a:cxn>
              <a:cxn ang="0">
                <a:pos x="csX5926" y="csY5926"/>
              </a:cxn>
              <a:cxn ang="0">
                <a:pos x="csX5927" y="csY5927"/>
              </a:cxn>
              <a:cxn ang="0">
                <a:pos x="csX5928" y="csY5928"/>
              </a:cxn>
              <a:cxn ang="0">
                <a:pos x="csX5929" y="csY5929"/>
              </a:cxn>
              <a:cxn ang="0">
                <a:pos x="csX5930" y="csY5930"/>
              </a:cxn>
              <a:cxn ang="0">
                <a:pos x="csX5931" y="csY5931"/>
              </a:cxn>
              <a:cxn ang="0">
                <a:pos x="csX5932" y="csY5932"/>
              </a:cxn>
              <a:cxn ang="0">
                <a:pos x="csX5933" y="csY5933"/>
              </a:cxn>
              <a:cxn ang="0">
                <a:pos x="csX5934" y="csY5934"/>
              </a:cxn>
              <a:cxn ang="0">
                <a:pos x="csX5935" y="csY5935"/>
              </a:cxn>
              <a:cxn ang="0">
                <a:pos x="csX5936" y="csY5936"/>
              </a:cxn>
              <a:cxn ang="0">
                <a:pos x="csX5937" y="csY5937"/>
              </a:cxn>
              <a:cxn ang="0">
                <a:pos x="csX5938" y="csY5938"/>
              </a:cxn>
              <a:cxn ang="0">
                <a:pos x="csX5939" y="csY5939"/>
              </a:cxn>
              <a:cxn ang="0">
                <a:pos x="csX5940" y="csY5940"/>
              </a:cxn>
              <a:cxn ang="0">
                <a:pos x="csX5941" y="csY5941"/>
              </a:cxn>
              <a:cxn ang="0">
                <a:pos x="csX5942" y="csY5942"/>
              </a:cxn>
              <a:cxn ang="0">
                <a:pos x="csX5943" y="csY5943"/>
              </a:cxn>
              <a:cxn ang="0">
                <a:pos x="csX5944" y="csY5944"/>
              </a:cxn>
              <a:cxn ang="0">
                <a:pos x="csX5945" y="csY5945"/>
              </a:cxn>
              <a:cxn ang="0">
                <a:pos x="csX5946" y="csY5946"/>
              </a:cxn>
              <a:cxn ang="0">
                <a:pos x="csX5947" y="csY5947"/>
              </a:cxn>
              <a:cxn ang="0">
                <a:pos x="csX5948" y="csY5948"/>
              </a:cxn>
              <a:cxn ang="0">
                <a:pos x="csX5949" y="csY5949"/>
              </a:cxn>
              <a:cxn ang="0">
                <a:pos x="csX5950" y="csY5950"/>
              </a:cxn>
              <a:cxn ang="0">
                <a:pos x="csX5951" y="csY5951"/>
              </a:cxn>
              <a:cxn ang="0">
                <a:pos x="csX5952" y="csY5952"/>
              </a:cxn>
              <a:cxn ang="0">
                <a:pos x="csX5953" y="csY5953"/>
              </a:cxn>
              <a:cxn ang="0">
                <a:pos x="csX5954" y="csY5954"/>
              </a:cxn>
              <a:cxn ang="0">
                <a:pos x="csX5955" y="csY5955"/>
              </a:cxn>
              <a:cxn ang="0">
                <a:pos x="csX5956" y="csY5956"/>
              </a:cxn>
              <a:cxn ang="0">
                <a:pos x="csX5957" y="csY5957"/>
              </a:cxn>
              <a:cxn ang="0">
                <a:pos x="csX5958" y="csY5958"/>
              </a:cxn>
              <a:cxn ang="0">
                <a:pos x="csX5959" y="csY5959"/>
              </a:cxn>
              <a:cxn ang="0">
                <a:pos x="csX5960" y="csY5960"/>
              </a:cxn>
              <a:cxn ang="0">
                <a:pos x="csX5961" y="csY5961"/>
              </a:cxn>
              <a:cxn ang="0">
                <a:pos x="csX5962" y="csY5962"/>
              </a:cxn>
              <a:cxn ang="0">
                <a:pos x="csX5963" y="csY5963"/>
              </a:cxn>
              <a:cxn ang="0">
                <a:pos x="csX5964" y="csY5964"/>
              </a:cxn>
              <a:cxn ang="0">
                <a:pos x="csX5965" y="csY5965"/>
              </a:cxn>
              <a:cxn ang="0">
                <a:pos x="csX5966" y="csY5966"/>
              </a:cxn>
              <a:cxn ang="0">
                <a:pos x="csX5967" y="csY5967"/>
              </a:cxn>
              <a:cxn ang="0">
                <a:pos x="csX5968" y="csY5968"/>
              </a:cxn>
              <a:cxn ang="0">
                <a:pos x="csX5969" y="csY5969"/>
              </a:cxn>
              <a:cxn ang="0">
                <a:pos x="csX5970" y="csY5970"/>
              </a:cxn>
              <a:cxn ang="0">
                <a:pos x="csX5971" y="csY5971"/>
              </a:cxn>
              <a:cxn ang="0">
                <a:pos x="csX5972" y="csY5972"/>
              </a:cxn>
              <a:cxn ang="0">
                <a:pos x="csX5973" y="csY5973"/>
              </a:cxn>
              <a:cxn ang="0">
                <a:pos x="csX5974" y="csY5974"/>
              </a:cxn>
              <a:cxn ang="0">
                <a:pos x="csX5975" y="csY5975"/>
              </a:cxn>
              <a:cxn ang="0">
                <a:pos x="csX5976" y="csY5976"/>
              </a:cxn>
              <a:cxn ang="0">
                <a:pos x="csX5977" y="csY5977"/>
              </a:cxn>
              <a:cxn ang="0">
                <a:pos x="csX5978" y="csY5978"/>
              </a:cxn>
              <a:cxn ang="0">
                <a:pos x="csX5979" y="csY5979"/>
              </a:cxn>
              <a:cxn ang="0">
                <a:pos x="csX5980" y="csY5980"/>
              </a:cxn>
              <a:cxn ang="0">
                <a:pos x="csX5981" y="csY5981"/>
              </a:cxn>
              <a:cxn ang="0">
                <a:pos x="csX5982" y="csY5982"/>
              </a:cxn>
              <a:cxn ang="0">
                <a:pos x="csX5983" y="csY5983"/>
              </a:cxn>
              <a:cxn ang="0">
                <a:pos x="csX5984" y="csY5984"/>
              </a:cxn>
              <a:cxn ang="0">
                <a:pos x="csX5985" y="csY5985"/>
              </a:cxn>
              <a:cxn ang="0">
                <a:pos x="csX5986" y="csY5986"/>
              </a:cxn>
              <a:cxn ang="0">
                <a:pos x="csX5987" y="csY5987"/>
              </a:cxn>
              <a:cxn ang="0">
                <a:pos x="csX5988" y="csY5988"/>
              </a:cxn>
              <a:cxn ang="0">
                <a:pos x="csX5989" y="csY5989"/>
              </a:cxn>
              <a:cxn ang="0">
                <a:pos x="csX5990" y="csY5990"/>
              </a:cxn>
              <a:cxn ang="0">
                <a:pos x="csX5991" y="csY5991"/>
              </a:cxn>
              <a:cxn ang="0">
                <a:pos x="csX5992" y="csY5992"/>
              </a:cxn>
              <a:cxn ang="0">
                <a:pos x="csX5993" y="csY5993"/>
              </a:cxn>
              <a:cxn ang="0">
                <a:pos x="csX5994" y="csY5994"/>
              </a:cxn>
              <a:cxn ang="0">
                <a:pos x="csX5995" y="csY5995"/>
              </a:cxn>
              <a:cxn ang="0">
                <a:pos x="csX5996" y="csY5996"/>
              </a:cxn>
              <a:cxn ang="0">
                <a:pos x="csX5997" y="csY5997"/>
              </a:cxn>
              <a:cxn ang="0">
                <a:pos x="csX5998" y="csY5998"/>
              </a:cxn>
              <a:cxn ang="0">
                <a:pos x="csX5999" y="csY5999"/>
              </a:cxn>
              <a:cxn ang="0">
                <a:pos x="csX6000" y="csY6000"/>
              </a:cxn>
              <a:cxn ang="0">
                <a:pos x="csX6001" y="csY6001"/>
              </a:cxn>
              <a:cxn ang="0">
                <a:pos x="csX6002" y="csY6002"/>
              </a:cxn>
              <a:cxn ang="0">
                <a:pos x="csX6003" y="csY6003"/>
              </a:cxn>
              <a:cxn ang="0">
                <a:pos x="csX6004" y="csY6004"/>
              </a:cxn>
              <a:cxn ang="0">
                <a:pos x="csX6005" y="csY6005"/>
              </a:cxn>
              <a:cxn ang="0">
                <a:pos x="csX6006" y="csY6006"/>
              </a:cxn>
              <a:cxn ang="0">
                <a:pos x="csX6007" y="csY6007"/>
              </a:cxn>
              <a:cxn ang="0">
                <a:pos x="csX6008" y="csY6008"/>
              </a:cxn>
              <a:cxn ang="0">
                <a:pos x="csX6009" y="csY6009"/>
              </a:cxn>
              <a:cxn ang="0">
                <a:pos x="csX6010" y="csY6010"/>
              </a:cxn>
              <a:cxn ang="0">
                <a:pos x="csX6011" y="csY6011"/>
              </a:cxn>
              <a:cxn ang="0">
                <a:pos x="csX6012" y="csY6012"/>
              </a:cxn>
              <a:cxn ang="0">
                <a:pos x="csX6013" y="csY6013"/>
              </a:cxn>
              <a:cxn ang="0">
                <a:pos x="csX6014" y="csY6014"/>
              </a:cxn>
              <a:cxn ang="0">
                <a:pos x="csX6015" y="csY6015"/>
              </a:cxn>
              <a:cxn ang="0">
                <a:pos x="csX6016" y="csY6016"/>
              </a:cxn>
              <a:cxn ang="0">
                <a:pos x="csX6017" y="csY6017"/>
              </a:cxn>
              <a:cxn ang="0">
                <a:pos x="csX6018" y="csY6018"/>
              </a:cxn>
              <a:cxn ang="0">
                <a:pos x="csX6019" y="csY6019"/>
              </a:cxn>
              <a:cxn ang="0">
                <a:pos x="csX6020" y="csY6020"/>
              </a:cxn>
              <a:cxn ang="0">
                <a:pos x="csX6021" y="csY6021"/>
              </a:cxn>
              <a:cxn ang="0">
                <a:pos x="csX6022" y="csY6022"/>
              </a:cxn>
              <a:cxn ang="0">
                <a:pos x="csX6023" y="csY6023"/>
              </a:cxn>
              <a:cxn ang="0">
                <a:pos x="csX6024" y="csY6024"/>
              </a:cxn>
              <a:cxn ang="0">
                <a:pos x="csX6025" y="csY6025"/>
              </a:cxn>
              <a:cxn ang="0">
                <a:pos x="csX6026" y="csY6026"/>
              </a:cxn>
              <a:cxn ang="0">
                <a:pos x="csX6027" y="csY6027"/>
              </a:cxn>
              <a:cxn ang="0">
                <a:pos x="csX6028" y="csY6028"/>
              </a:cxn>
              <a:cxn ang="0">
                <a:pos x="csX6029" y="csY6029"/>
              </a:cxn>
              <a:cxn ang="0">
                <a:pos x="csX6030" y="csY6030"/>
              </a:cxn>
              <a:cxn ang="0">
                <a:pos x="csX6031" y="csY6031"/>
              </a:cxn>
              <a:cxn ang="0">
                <a:pos x="csX6032" y="csY6032"/>
              </a:cxn>
              <a:cxn ang="0">
                <a:pos x="csX6033" y="csY6033"/>
              </a:cxn>
              <a:cxn ang="0">
                <a:pos x="csX6034" y="csY6034"/>
              </a:cxn>
              <a:cxn ang="0">
                <a:pos x="csX6035" y="csY6035"/>
              </a:cxn>
              <a:cxn ang="0">
                <a:pos x="csX6036" y="csY6036"/>
              </a:cxn>
              <a:cxn ang="0">
                <a:pos x="csX6037" y="csY6037"/>
              </a:cxn>
              <a:cxn ang="0">
                <a:pos x="csX6038" y="csY6038"/>
              </a:cxn>
              <a:cxn ang="0">
                <a:pos x="csX6039" y="csY6039"/>
              </a:cxn>
              <a:cxn ang="0">
                <a:pos x="csX6040" y="csY6040"/>
              </a:cxn>
              <a:cxn ang="0">
                <a:pos x="csX6041" y="csY6041"/>
              </a:cxn>
              <a:cxn ang="0">
                <a:pos x="csX6042" y="csY6042"/>
              </a:cxn>
              <a:cxn ang="0">
                <a:pos x="csX6043" y="csY6043"/>
              </a:cxn>
              <a:cxn ang="0">
                <a:pos x="csX6044" y="csY6044"/>
              </a:cxn>
              <a:cxn ang="0">
                <a:pos x="csX6045" y="csY6045"/>
              </a:cxn>
              <a:cxn ang="0">
                <a:pos x="csX6046" y="csY6046"/>
              </a:cxn>
              <a:cxn ang="0">
                <a:pos x="csX6047" y="csY6047"/>
              </a:cxn>
              <a:cxn ang="0">
                <a:pos x="csX6048" y="csY6048"/>
              </a:cxn>
              <a:cxn ang="0">
                <a:pos x="csX6049" y="csY6049"/>
              </a:cxn>
              <a:cxn ang="0">
                <a:pos x="csX6050" y="csY6050"/>
              </a:cxn>
              <a:cxn ang="0">
                <a:pos x="csX6051" y="csY6051"/>
              </a:cxn>
              <a:cxn ang="0">
                <a:pos x="csX6052" y="csY6052"/>
              </a:cxn>
              <a:cxn ang="0">
                <a:pos x="csX6053" y="csY6053"/>
              </a:cxn>
              <a:cxn ang="0">
                <a:pos x="csX6054" y="csY6054"/>
              </a:cxn>
              <a:cxn ang="0">
                <a:pos x="csX6055" y="csY6055"/>
              </a:cxn>
              <a:cxn ang="0">
                <a:pos x="csX6056" y="csY6056"/>
              </a:cxn>
              <a:cxn ang="0">
                <a:pos x="csX6057" y="csY6057"/>
              </a:cxn>
              <a:cxn ang="0">
                <a:pos x="csX6058" y="csY6058"/>
              </a:cxn>
              <a:cxn ang="0">
                <a:pos x="csX6059" y="csY6059"/>
              </a:cxn>
              <a:cxn ang="0">
                <a:pos x="csX6060" y="csY6060"/>
              </a:cxn>
              <a:cxn ang="0">
                <a:pos x="csX6061" y="csY6061"/>
              </a:cxn>
              <a:cxn ang="0">
                <a:pos x="csX6062" y="csY6062"/>
              </a:cxn>
              <a:cxn ang="0">
                <a:pos x="csX6063" y="csY6063"/>
              </a:cxn>
              <a:cxn ang="0">
                <a:pos x="csX6064" y="csY6064"/>
              </a:cxn>
              <a:cxn ang="0">
                <a:pos x="csX6065" y="csY6065"/>
              </a:cxn>
              <a:cxn ang="0">
                <a:pos x="csX6066" y="csY6066"/>
              </a:cxn>
              <a:cxn ang="0">
                <a:pos x="csX6067" y="csY6067"/>
              </a:cxn>
              <a:cxn ang="0">
                <a:pos x="csX6068" y="csY6068"/>
              </a:cxn>
              <a:cxn ang="0">
                <a:pos x="csX6069" y="csY6069"/>
              </a:cxn>
              <a:cxn ang="0">
                <a:pos x="csX6070" y="csY6070"/>
              </a:cxn>
              <a:cxn ang="0">
                <a:pos x="csX6071" y="csY6071"/>
              </a:cxn>
              <a:cxn ang="0">
                <a:pos x="csX6072" y="csY6072"/>
              </a:cxn>
              <a:cxn ang="0">
                <a:pos x="csX6073" y="csY6073"/>
              </a:cxn>
              <a:cxn ang="0">
                <a:pos x="csX6074" y="csY6074"/>
              </a:cxn>
              <a:cxn ang="0">
                <a:pos x="csX6075" y="csY6075"/>
              </a:cxn>
              <a:cxn ang="0">
                <a:pos x="csX6076" y="csY6076"/>
              </a:cxn>
              <a:cxn ang="0">
                <a:pos x="csX6077" y="csY6077"/>
              </a:cxn>
              <a:cxn ang="0">
                <a:pos x="csX6078" y="csY6078"/>
              </a:cxn>
              <a:cxn ang="0">
                <a:pos x="csX6079" y="csY6079"/>
              </a:cxn>
              <a:cxn ang="0">
                <a:pos x="csX6080" y="csY6080"/>
              </a:cxn>
              <a:cxn ang="0">
                <a:pos x="csX6081" y="csY6081"/>
              </a:cxn>
              <a:cxn ang="0">
                <a:pos x="csX6082" y="csY6082"/>
              </a:cxn>
              <a:cxn ang="0">
                <a:pos x="csX6083" y="csY6083"/>
              </a:cxn>
              <a:cxn ang="0">
                <a:pos x="csX6084" y="csY6084"/>
              </a:cxn>
              <a:cxn ang="0">
                <a:pos x="csX6085" y="csY6085"/>
              </a:cxn>
              <a:cxn ang="0">
                <a:pos x="csX6086" y="csY6086"/>
              </a:cxn>
              <a:cxn ang="0">
                <a:pos x="csX6087" y="csY6087"/>
              </a:cxn>
              <a:cxn ang="0">
                <a:pos x="csX6088" y="csY6088"/>
              </a:cxn>
              <a:cxn ang="0">
                <a:pos x="csX6089" y="csY6089"/>
              </a:cxn>
              <a:cxn ang="0">
                <a:pos x="csX6090" y="csY6090"/>
              </a:cxn>
              <a:cxn ang="0">
                <a:pos x="csX6091" y="csY6091"/>
              </a:cxn>
              <a:cxn ang="0">
                <a:pos x="csX6092" y="csY6092"/>
              </a:cxn>
              <a:cxn ang="0">
                <a:pos x="csX6093" y="csY6093"/>
              </a:cxn>
              <a:cxn ang="0">
                <a:pos x="csX6094" y="csY6094"/>
              </a:cxn>
              <a:cxn ang="0">
                <a:pos x="csX6095" y="csY6095"/>
              </a:cxn>
              <a:cxn ang="0">
                <a:pos x="csX6096" y="csY6096"/>
              </a:cxn>
              <a:cxn ang="0">
                <a:pos x="csX6097" y="csY6097"/>
              </a:cxn>
              <a:cxn ang="0">
                <a:pos x="csX6098" y="csY6098"/>
              </a:cxn>
              <a:cxn ang="0">
                <a:pos x="csX6099" y="csY6099"/>
              </a:cxn>
              <a:cxn ang="0">
                <a:pos x="csX6100" y="csY6100"/>
              </a:cxn>
              <a:cxn ang="0">
                <a:pos x="csX6101" y="csY6101"/>
              </a:cxn>
              <a:cxn ang="0">
                <a:pos x="csX6102" y="csY6102"/>
              </a:cxn>
              <a:cxn ang="0">
                <a:pos x="csX6103" y="csY6103"/>
              </a:cxn>
              <a:cxn ang="0">
                <a:pos x="csX6104" y="csY6104"/>
              </a:cxn>
              <a:cxn ang="0">
                <a:pos x="csX6105" y="csY6105"/>
              </a:cxn>
              <a:cxn ang="0">
                <a:pos x="csX6106" y="csY6106"/>
              </a:cxn>
              <a:cxn ang="0">
                <a:pos x="csX6107" y="csY6107"/>
              </a:cxn>
              <a:cxn ang="0">
                <a:pos x="csX6108" y="csY6108"/>
              </a:cxn>
              <a:cxn ang="0">
                <a:pos x="csX6109" y="csY6109"/>
              </a:cxn>
              <a:cxn ang="0">
                <a:pos x="csX6110" y="csY6110"/>
              </a:cxn>
              <a:cxn ang="0">
                <a:pos x="csX6111" y="csY6111"/>
              </a:cxn>
              <a:cxn ang="0">
                <a:pos x="csX6112" y="csY6112"/>
              </a:cxn>
              <a:cxn ang="0">
                <a:pos x="csX6113" y="csY6113"/>
              </a:cxn>
              <a:cxn ang="0">
                <a:pos x="csX6114" y="csY6114"/>
              </a:cxn>
              <a:cxn ang="0">
                <a:pos x="csX6115" y="csY6115"/>
              </a:cxn>
              <a:cxn ang="0">
                <a:pos x="csX6116" y="csY6116"/>
              </a:cxn>
              <a:cxn ang="0">
                <a:pos x="csX6117" y="csY6117"/>
              </a:cxn>
              <a:cxn ang="0">
                <a:pos x="csX6118" y="csY6118"/>
              </a:cxn>
              <a:cxn ang="0">
                <a:pos x="csX6119" y="csY6119"/>
              </a:cxn>
              <a:cxn ang="0">
                <a:pos x="csX6120" y="csY6120"/>
              </a:cxn>
              <a:cxn ang="0">
                <a:pos x="csX6121" y="csY6121"/>
              </a:cxn>
              <a:cxn ang="0">
                <a:pos x="csX6122" y="csY6122"/>
              </a:cxn>
              <a:cxn ang="0">
                <a:pos x="csX6123" y="csY6123"/>
              </a:cxn>
              <a:cxn ang="0">
                <a:pos x="csX6124" y="csY6124"/>
              </a:cxn>
              <a:cxn ang="0">
                <a:pos x="csX6125" y="csY6125"/>
              </a:cxn>
              <a:cxn ang="0">
                <a:pos x="csX6126" y="csY6126"/>
              </a:cxn>
              <a:cxn ang="0">
                <a:pos x="csX6127" y="csY6127"/>
              </a:cxn>
              <a:cxn ang="0">
                <a:pos x="csX6128" y="csY6128"/>
              </a:cxn>
              <a:cxn ang="0">
                <a:pos x="csX6129" y="csY6129"/>
              </a:cxn>
              <a:cxn ang="0">
                <a:pos x="csX6130" y="csY6130"/>
              </a:cxn>
              <a:cxn ang="0">
                <a:pos x="csX6131" y="csY6131"/>
              </a:cxn>
              <a:cxn ang="0">
                <a:pos x="csX6132" y="csY6132"/>
              </a:cxn>
              <a:cxn ang="0">
                <a:pos x="csX6133" y="csY6133"/>
              </a:cxn>
              <a:cxn ang="0">
                <a:pos x="csX6134" y="csY6134"/>
              </a:cxn>
              <a:cxn ang="0">
                <a:pos x="csX6135" y="csY6135"/>
              </a:cxn>
              <a:cxn ang="0">
                <a:pos x="csX6136" y="csY6136"/>
              </a:cxn>
              <a:cxn ang="0">
                <a:pos x="csX6137" y="csY6137"/>
              </a:cxn>
              <a:cxn ang="0">
                <a:pos x="csX6138" y="csY6138"/>
              </a:cxn>
              <a:cxn ang="0">
                <a:pos x="csX6139" y="csY6139"/>
              </a:cxn>
              <a:cxn ang="0">
                <a:pos x="csX6140" y="csY6140"/>
              </a:cxn>
              <a:cxn ang="0">
                <a:pos x="csX6141" y="csY6141"/>
              </a:cxn>
              <a:cxn ang="0">
                <a:pos x="csX6142" y="csY6142"/>
              </a:cxn>
              <a:cxn ang="0">
                <a:pos x="csX6143" y="csY6143"/>
              </a:cxn>
              <a:cxn ang="0">
                <a:pos x="csX6144" y="csY6144"/>
              </a:cxn>
              <a:cxn ang="0">
                <a:pos x="csX6145" y="csY6145"/>
              </a:cxn>
              <a:cxn ang="0">
                <a:pos x="csX6146" y="csY6146"/>
              </a:cxn>
              <a:cxn ang="0">
                <a:pos x="csX6147" y="csY6147"/>
              </a:cxn>
              <a:cxn ang="0">
                <a:pos x="csX6148" y="csY6148"/>
              </a:cxn>
              <a:cxn ang="0">
                <a:pos x="csX6149" y="csY6149"/>
              </a:cxn>
              <a:cxn ang="0">
                <a:pos x="csX6150" y="csY6150"/>
              </a:cxn>
              <a:cxn ang="0">
                <a:pos x="csX6151" y="csY6151"/>
              </a:cxn>
              <a:cxn ang="0">
                <a:pos x="csX6152" y="csY6152"/>
              </a:cxn>
              <a:cxn ang="0">
                <a:pos x="csX6153" y="csY6153"/>
              </a:cxn>
              <a:cxn ang="0">
                <a:pos x="csX6154" y="csY6154"/>
              </a:cxn>
              <a:cxn ang="0">
                <a:pos x="csX6155" y="csY6155"/>
              </a:cxn>
              <a:cxn ang="0">
                <a:pos x="csX6156" y="csY6156"/>
              </a:cxn>
              <a:cxn ang="0">
                <a:pos x="csX6157" y="csY6157"/>
              </a:cxn>
              <a:cxn ang="0">
                <a:pos x="csX6158" y="csY6158"/>
              </a:cxn>
              <a:cxn ang="0">
                <a:pos x="csX6159" y="csY6159"/>
              </a:cxn>
              <a:cxn ang="0">
                <a:pos x="csX6160" y="csY6160"/>
              </a:cxn>
              <a:cxn ang="0">
                <a:pos x="csX6161" y="csY6161"/>
              </a:cxn>
              <a:cxn ang="0">
                <a:pos x="csX6162" y="csY6162"/>
              </a:cxn>
              <a:cxn ang="0">
                <a:pos x="csX6163" y="csY6163"/>
              </a:cxn>
              <a:cxn ang="0">
                <a:pos x="csX6164" y="csY6164"/>
              </a:cxn>
              <a:cxn ang="0">
                <a:pos x="csX6165" y="csY6165"/>
              </a:cxn>
              <a:cxn ang="0">
                <a:pos x="csX6166" y="csY6166"/>
              </a:cxn>
              <a:cxn ang="0">
                <a:pos x="csX6167" y="csY6167"/>
              </a:cxn>
              <a:cxn ang="0">
                <a:pos x="csX6168" y="csY6168"/>
              </a:cxn>
              <a:cxn ang="0">
                <a:pos x="csX6169" y="csY6169"/>
              </a:cxn>
              <a:cxn ang="0">
                <a:pos x="csX6170" y="csY6170"/>
              </a:cxn>
              <a:cxn ang="0">
                <a:pos x="csX6171" y="csY6171"/>
              </a:cxn>
              <a:cxn ang="0">
                <a:pos x="csX6172" y="csY6172"/>
              </a:cxn>
              <a:cxn ang="0">
                <a:pos x="csX6173" y="csY6173"/>
              </a:cxn>
              <a:cxn ang="0">
                <a:pos x="csX6174" y="csY6174"/>
              </a:cxn>
              <a:cxn ang="0">
                <a:pos x="csX6175" y="csY6175"/>
              </a:cxn>
              <a:cxn ang="0">
                <a:pos x="csX6176" y="csY6176"/>
              </a:cxn>
              <a:cxn ang="0">
                <a:pos x="csX6177" y="csY6177"/>
              </a:cxn>
              <a:cxn ang="0">
                <a:pos x="csX6178" y="csY6178"/>
              </a:cxn>
              <a:cxn ang="0">
                <a:pos x="csX6179" y="csY6179"/>
              </a:cxn>
              <a:cxn ang="0">
                <a:pos x="csX6180" y="csY6180"/>
              </a:cxn>
              <a:cxn ang="0">
                <a:pos x="csX6181" y="csY6181"/>
              </a:cxn>
              <a:cxn ang="0">
                <a:pos x="csX6182" y="csY6182"/>
              </a:cxn>
              <a:cxn ang="0">
                <a:pos x="csX6183" y="csY6183"/>
              </a:cxn>
              <a:cxn ang="0">
                <a:pos x="csX6184" y="csY6184"/>
              </a:cxn>
              <a:cxn ang="0">
                <a:pos x="csX6185" y="csY6185"/>
              </a:cxn>
              <a:cxn ang="0">
                <a:pos x="csX6186" y="csY6186"/>
              </a:cxn>
              <a:cxn ang="0">
                <a:pos x="csX6187" y="csY6187"/>
              </a:cxn>
              <a:cxn ang="0">
                <a:pos x="csX6188" y="csY6188"/>
              </a:cxn>
              <a:cxn ang="0">
                <a:pos x="csX6189" y="csY6189"/>
              </a:cxn>
              <a:cxn ang="0">
                <a:pos x="csX6190" y="csY6190"/>
              </a:cxn>
              <a:cxn ang="0">
                <a:pos x="csX6191" y="csY6191"/>
              </a:cxn>
              <a:cxn ang="0">
                <a:pos x="csX6192" y="csY6192"/>
              </a:cxn>
              <a:cxn ang="0">
                <a:pos x="csX6193" y="csY6193"/>
              </a:cxn>
              <a:cxn ang="0">
                <a:pos x="csX6194" y="csY6194"/>
              </a:cxn>
              <a:cxn ang="0">
                <a:pos x="csX6195" y="csY6195"/>
              </a:cxn>
              <a:cxn ang="0">
                <a:pos x="csX6196" y="csY6196"/>
              </a:cxn>
              <a:cxn ang="0">
                <a:pos x="csX6197" y="csY6197"/>
              </a:cxn>
              <a:cxn ang="0">
                <a:pos x="csX6198" y="csY6198"/>
              </a:cxn>
              <a:cxn ang="0">
                <a:pos x="csX6199" y="csY6199"/>
              </a:cxn>
              <a:cxn ang="0">
                <a:pos x="csX6200" y="csY6200"/>
              </a:cxn>
              <a:cxn ang="0">
                <a:pos x="csX6201" y="csY6201"/>
              </a:cxn>
              <a:cxn ang="0">
                <a:pos x="csX6202" y="csY6202"/>
              </a:cxn>
              <a:cxn ang="0">
                <a:pos x="csX6203" y="csY6203"/>
              </a:cxn>
              <a:cxn ang="0">
                <a:pos x="csX6204" y="csY6204"/>
              </a:cxn>
              <a:cxn ang="0">
                <a:pos x="csX6205" y="csY6205"/>
              </a:cxn>
              <a:cxn ang="0">
                <a:pos x="csX6206" y="csY6206"/>
              </a:cxn>
              <a:cxn ang="0">
                <a:pos x="csX6207" y="csY6207"/>
              </a:cxn>
              <a:cxn ang="0">
                <a:pos x="csX6208" y="csY6208"/>
              </a:cxn>
              <a:cxn ang="0">
                <a:pos x="csX6209" y="csY6209"/>
              </a:cxn>
              <a:cxn ang="0">
                <a:pos x="csX6210" y="csY6210"/>
              </a:cxn>
              <a:cxn ang="0">
                <a:pos x="csX6211" y="csY6211"/>
              </a:cxn>
              <a:cxn ang="0">
                <a:pos x="csX6212" y="csY6212"/>
              </a:cxn>
              <a:cxn ang="0">
                <a:pos x="csX6213" y="csY6213"/>
              </a:cxn>
              <a:cxn ang="0">
                <a:pos x="csX6214" y="csY6214"/>
              </a:cxn>
              <a:cxn ang="0">
                <a:pos x="csX6215" y="csY6215"/>
              </a:cxn>
              <a:cxn ang="0">
                <a:pos x="csX6216" y="csY6216"/>
              </a:cxn>
              <a:cxn ang="0">
                <a:pos x="csX6217" y="csY6217"/>
              </a:cxn>
              <a:cxn ang="0">
                <a:pos x="csX6218" y="csY6218"/>
              </a:cxn>
              <a:cxn ang="0">
                <a:pos x="csX6219" y="csY6219"/>
              </a:cxn>
              <a:cxn ang="0">
                <a:pos x="csX6220" y="csY6220"/>
              </a:cxn>
              <a:cxn ang="0">
                <a:pos x="csX6221" y="csY6221"/>
              </a:cxn>
              <a:cxn ang="0">
                <a:pos x="csX6222" y="csY6222"/>
              </a:cxn>
              <a:cxn ang="0">
                <a:pos x="csX6223" y="csY6223"/>
              </a:cxn>
              <a:cxn ang="0">
                <a:pos x="csX6224" y="csY6224"/>
              </a:cxn>
              <a:cxn ang="0">
                <a:pos x="csX6225" y="csY6225"/>
              </a:cxn>
              <a:cxn ang="0">
                <a:pos x="csX6226" y="csY6226"/>
              </a:cxn>
              <a:cxn ang="0">
                <a:pos x="csX6227" y="csY6227"/>
              </a:cxn>
              <a:cxn ang="0">
                <a:pos x="csX6228" y="csY6228"/>
              </a:cxn>
              <a:cxn ang="0">
                <a:pos x="csX6229" y="csY6229"/>
              </a:cxn>
              <a:cxn ang="0">
                <a:pos x="csX6230" y="csY6230"/>
              </a:cxn>
              <a:cxn ang="0">
                <a:pos x="csX6231" y="csY6231"/>
              </a:cxn>
              <a:cxn ang="0">
                <a:pos x="csX6232" y="csY6232"/>
              </a:cxn>
              <a:cxn ang="0">
                <a:pos x="csX6233" y="csY6233"/>
              </a:cxn>
              <a:cxn ang="0">
                <a:pos x="csX6234" y="csY6234"/>
              </a:cxn>
              <a:cxn ang="0">
                <a:pos x="csX6235" y="csY6235"/>
              </a:cxn>
              <a:cxn ang="0">
                <a:pos x="csX6236" y="csY6236"/>
              </a:cxn>
              <a:cxn ang="0">
                <a:pos x="csX6237" y="csY6237"/>
              </a:cxn>
              <a:cxn ang="0">
                <a:pos x="csX6238" y="csY6238"/>
              </a:cxn>
              <a:cxn ang="0">
                <a:pos x="csX6239" y="csY6239"/>
              </a:cxn>
              <a:cxn ang="0">
                <a:pos x="csX6240" y="csY6240"/>
              </a:cxn>
              <a:cxn ang="0">
                <a:pos x="csX6241" y="csY6241"/>
              </a:cxn>
              <a:cxn ang="0">
                <a:pos x="csX6242" y="csY6242"/>
              </a:cxn>
              <a:cxn ang="0">
                <a:pos x="csX6243" y="csY6243"/>
              </a:cxn>
              <a:cxn ang="0">
                <a:pos x="csX6244" y="csY6244"/>
              </a:cxn>
              <a:cxn ang="0">
                <a:pos x="csX6245" y="csY6245"/>
              </a:cxn>
              <a:cxn ang="0">
                <a:pos x="csX6246" y="csY6246"/>
              </a:cxn>
              <a:cxn ang="0">
                <a:pos x="csX6247" y="csY6247"/>
              </a:cxn>
              <a:cxn ang="0">
                <a:pos x="csX6248" y="csY6248"/>
              </a:cxn>
              <a:cxn ang="0">
                <a:pos x="csX6249" y="csY6249"/>
              </a:cxn>
              <a:cxn ang="0">
                <a:pos x="csX6250" y="csY6250"/>
              </a:cxn>
              <a:cxn ang="0">
                <a:pos x="csX6251" y="csY6251"/>
              </a:cxn>
              <a:cxn ang="0">
                <a:pos x="csX6252" y="csY6252"/>
              </a:cxn>
              <a:cxn ang="0">
                <a:pos x="csX6253" y="csY6253"/>
              </a:cxn>
              <a:cxn ang="0">
                <a:pos x="csX6254" y="csY6254"/>
              </a:cxn>
              <a:cxn ang="0">
                <a:pos x="csX6255" y="csY6255"/>
              </a:cxn>
              <a:cxn ang="0">
                <a:pos x="csX6256" y="csY6256"/>
              </a:cxn>
              <a:cxn ang="0">
                <a:pos x="csX6257" y="csY6257"/>
              </a:cxn>
              <a:cxn ang="0">
                <a:pos x="csX6258" y="csY6258"/>
              </a:cxn>
              <a:cxn ang="0">
                <a:pos x="csX6259" y="csY6259"/>
              </a:cxn>
              <a:cxn ang="0">
                <a:pos x="csX6260" y="csY6260"/>
              </a:cxn>
              <a:cxn ang="0">
                <a:pos x="csX6261" y="csY6261"/>
              </a:cxn>
              <a:cxn ang="0">
                <a:pos x="csX6262" y="csY6262"/>
              </a:cxn>
              <a:cxn ang="0">
                <a:pos x="csX6263" y="csY6263"/>
              </a:cxn>
              <a:cxn ang="0">
                <a:pos x="csX6264" y="csY6264"/>
              </a:cxn>
              <a:cxn ang="0">
                <a:pos x="csX6265" y="csY6265"/>
              </a:cxn>
              <a:cxn ang="0">
                <a:pos x="csX6266" y="csY6266"/>
              </a:cxn>
              <a:cxn ang="0">
                <a:pos x="csX6267" y="csY6267"/>
              </a:cxn>
              <a:cxn ang="0">
                <a:pos x="csX6268" y="csY6268"/>
              </a:cxn>
              <a:cxn ang="0">
                <a:pos x="csX6269" y="csY6269"/>
              </a:cxn>
              <a:cxn ang="0">
                <a:pos x="csX6270" y="csY6270"/>
              </a:cxn>
              <a:cxn ang="0">
                <a:pos x="csX6271" y="csY6271"/>
              </a:cxn>
              <a:cxn ang="0">
                <a:pos x="csX6272" y="csY6272"/>
              </a:cxn>
              <a:cxn ang="0">
                <a:pos x="csX6273" y="csY6273"/>
              </a:cxn>
              <a:cxn ang="0">
                <a:pos x="csX6274" y="csY6274"/>
              </a:cxn>
              <a:cxn ang="0">
                <a:pos x="csX6275" y="csY6275"/>
              </a:cxn>
              <a:cxn ang="0">
                <a:pos x="csX6276" y="csY6276"/>
              </a:cxn>
              <a:cxn ang="0">
                <a:pos x="csX6277" y="csY6277"/>
              </a:cxn>
              <a:cxn ang="0">
                <a:pos x="csX6278" y="csY6278"/>
              </a:cxn>
              <a:cxn ang="0">
                <a:pos x="csX6279" y="csY6279"/>
              </a:cxn>
              <a:cxn ang="0">
                <a:pos x="csX6280" y="csY6280"/>
              </a:cxn>
              <a:cxn ang="0">
                <a:pos x="csX6281" y="csY6281"/>
              </a:cxn>
              <a:cxn ang="0">
                <a:pos x="csX6282" y="csY6282"/>
              </a:cxn>
              <a:cxn ang="0">
                <a:pos x="csX6283" y="csY6283"/>
              </a:cxn>
              <a:cxn ang="0">
                <a:pos x="csX6284" y="csY6284"/>
              </a:cxn>
              <a:cxn ang="0">
                <a:pos x="csX6285" y="csY6285"/>
              </a:cxn>
              <a:cxn ang="0">
                <a:pos x="csX6286" y="csY6286"/>
              </a:cxn>
              <a:cxn ang="0">
                <a:pos x="csX6287" y="csY6287"/>
              </a:cxn>
              <a:cxn ang="0">
                <a:pos x="csX6288" y="csY6288"/>
              </a:cxn>
              <a:cxn ang="0">
                <a:pos x="csX6289" y="csY6289"/>
              </a:cxn>
              <a:cxn ang="0">
                <a:pos x="csX6290" y="csY6290"/>
              </a:cxn>
              <a:cxn ang="0">
                <a:pos x="csX6291" y="csY6291"/>
              </a:cxn>
              <a:cxn ang="0">
                <a:pos x="csX6292" y="csY6292"/>
              </a:cxn>
              <a:cxn ang="0">
                <a:pos x="csX6293" y="csY6293"/>
              </a:cxn>
              <a:cxn ang="0">
                <a:pos x="csX6294" y="csY6294"/>
              </a:cxn>
              <a:cxn ang="0">
                <a:pos x="csX6295" y="csY6295"/>
              </a:cxn>
              <a:cxn ang="0">
                <a:pos x="csX6296" y="csY6296"/>
              </a:cxn>
              <a:cxn ang="0">
                <a:pos x="csX6297" y="csY6297"/>
              </a:cxn>
              <a:cxn ang="0">
                <a:pos x="csX6298" y="csY6298"/>
              </a:cxn>
              <a:cxn ang="0">
                <a:pos x="csX6299" y="csY6299"/>
              </a:cxn>
              <a:cxn ang="0">
                <a:pos x="csX6300" y="csY6300"/>
              </a:cxn>
              <a:cxn ang="0">
                <a:pos x="csX6301" y="csY6301"/>
              </a:cxn>
              <a:cxn ang="0">
                <a:pos x="csX6302" y="csY6302"/>
              </a:cxn>
              <a:cxn ang="0">
                <a:pos x="csX6303" y="csY6303"/>
              </a:cxn>
              <a:cxn ang="0">
                <a:pos x="csX6304" y="csY6304"/>
              </a:cxn>
              <a:cxn ang="0">
                <a:pos x="csX6305" y="csY6305"/>
              </a:cxn>
              <a:cxn ang="0">
                <a:pos x="csX6306" y="csY6306"/>
              </a:cxn>
              <a:cxn ang="0">
                <a:pos x="csX6307" y="csY6307"/>
              </a:cxn>
              <a:cxn ang="0">
                <a:pos x="csX6308" y="csY6308"/>
              </a:cxn>
              <a:cxn ang="0">
                <a:pos x="csX6309" y="csY6309"/>
              </a:cxn>
              <a:cxn ang="0">
                <a:pos x="csX6310" y="csY6310"/>
              </a:cxn>
              <a:cxn ang="0">
                <a:pos x="csX6311" y="csY6311"/>
              </a:cxn>
              <a:cxn ang="0">
                <a:pos x="csX6312" y="csY6312"/>
              </a:cxn>
              <a:cxn ang="0">
                <a:pos x="csX6313" y="csY6313"/>
              </a:cxn>
              <a:cxn ang="0">
                <a:pos x="csX6314" y="csY6314"/>
              </a:cxn>
              <a:cxn ang="0">
                <a:pos x="csX6315" y="csY6315"/>
              </a:cxn>
              <a:cxn ang="0">
                <a:pos x="csX6316" y="csY6316"/>
              </a:cxn>
              <a:cxn ang="0">
                <a:pos x="csX6317" y="csY6317"/>
              </a:cxn>
              <a:cxn ang="0">
                <a:pos x="csX6318" y="csY6318"/>
              </a:cxn>
              <a:cxn ang="0">
                <a:pos x="csX6319" y="csY6319"/>
              </a:cxn>
              <a:cxn ang="0">
                <a:pos x="csX6320" y="csY6320"/>
              </a:cxn>
              <a:cxn ang="0">
                <a:pos x="csX6321" y="csY6321"/>
              </a:cxn>
              <a:cxn ang="0">
                <a:pos x="csX6322" y="csY6322"/>
              </a:cxn>
              <a:cxn ang="0">
                <a:pos x="csX6323" y="csY6323"/>
              </a:cxn>
              <a:cxn ang="0">
                <a:pos x="csX6324" y="csY6324"/>
              </a:cxn>
              <a:cxn ang="0">
                <a:pos x="csX6325" y="csY6325"/>
              </a:cxn>
              <a:cxn ang="0">
                <a:pos x="csX6326" y="csY6326"/>
              </a:cxn>
              <a:cxn ang="0">
                <a:pos x="csX6327" y="csY6327"/>
              </a:cxn>
              <a:cxn ang="0">
                <a:pos x="csX6328" y="csY6328"/>
              </a:cxn>
              <a:cxn ang="0">
                <a:pos x="csX6329" y="csY6329"/>
              </a:cxn>
              <a:cxn ang="0">
                <a:pos x="csX6330" y="csY6330"/>
              </a:cxn>
              <a:cxn ang="0">
                <a:pos x="csX6331" y="csY6331"/>
              </a:cxn>
              <a:cxn ang="0">
                <a:pos x="csX6332" y="csY6332"/>
              </a:cxn>
              <a:cxn ang="0">
                <a:pos x="csX6333" y="csY6333"/>
              </a:cxn>
              <a:cxn ang="0">
                <a:pos x="csX6334" y="csY6334"/>
              </a:cxn>
              <a:cxn ang="0">
                <a:pos x="csX6335" y="csY6335"/>
              </a:cxn>
              <a:cxn ang="0">
                <a:pos x="csX6336" y="csY6336"/>
              </a:cxn>
              <a:cxn ang="0">
                <a:pos x="csX6337" y="csY6337"/>
              </a:cxn>
              <a:cxn ang="0">
                <a:pos x="csX6338" y="csY6338"/>
              </a:cxn>
              <a:cxn ang="0">
                <a:pos x="csX6339" y="csY6339"/>
              </a:cxn>
              <a:cxn ang="0">
                <a:pos x="csX6340" y="csY6340"/>
              </a:cxn>
              <a:cxn ang="0">
                <a:pos x="csX6341" y="csY6341"/>
              </a:cxn>
              <a:cxn ang="0">
                <a:pos x="csX6342" y="csY6342"/>
              </a:cxn>
              <a:cxn ang="0">
                <a:pos x="csX6343" y="csY6343"/>
              </a:cxn>
              <a:cxn ang="0">
                <a:pos x="csX6344" y="csY6344"/>
              </a:cxn>
              <a:cxn ang="0">
                <a:pos x="csX6345" y="csY6345"/>
              </a:cxn>
              <a:cxn ang="0">
                <a:pos x="csX6346" y="csY6346"/>
              </a:cxn>
              <a:cxn ang="0">
                <a:pos x="csX6347" y="csY6347"/>
              </a:cxn>
              <a:cxn ang="0">
                <a:pos x="csX6348" y="csY6348"/>
              </a:cxn>
              <a:cxn ang="0">
                <a:pos x="csX6349" y="csY6349"/>
              </a:cxn>
              <a:cxn ang="0">
                <a:pos x="csX6350" y="csY6350"/>
              </a:cxn>
              <a:cxn ang="0">
                <a:pos x="csX6351" y="csY6351"/>
              </a:cxn>
              <a:cxn ang="0">
                <a:pos x="csX6352" y="csY6352"/>
              </a:cxn>
              <a:cxn ang="0">
                <a:pos x="csX6353" y="csY6353"/>
              </a:cxn>
              <a:cxn ang="0">
                <a:pos x="csX6354" y="csY6354"/>
              </a:cxn>
              <a:cxn ang="0">
                <a:pos x="csX6355" y="csY6355"/>
              </a:cxn>
              <a:cxn ang="0">
                <a:pos x="csX6356" y="csY6356"/>
              </a:cxn>
              <a:cxn ang="0">
                <a:pos x="csX6357" y="csY6357"/>
              </a:cxn>
              <a:cxn ang="0">
                <a:pos x="csX6358" y="csY6358"/>
              </a:cxn>
              <a:cxn ang="0">
                <a:pos x="csX6359" y="csY6359"/>
              </a:cxn>
              <a:cxn ang="0">
                <a:pos x="csX6360" y="csY6360"/>
              </a:cxn>
              <a:cxn ang="0">
                <a:pos x="csX6361" y="csY6361"/>
              </a:cxn>
              <a:cxn ang="0">
                <a:pos x="csX6362" y="csY6362"/>
              </a:cxn>
              <a:cxn ang="0">
                <a:pos x="csX6363" y="csY6363"/>
              </a:cxn>
              <a:cxn ang="0">
                <a:pos x="csX6364" y="csY6364"/>
              </a:cxn>
              <a:cxn ang="0">
                <a:pos x="csX6365" y="csY6365"/>
              </a:cxn>
              <a:cxn ang="0">
                <a:pos x="csX6366" y="csY6366"/>
              </a:cxn>
              <a:cxn ang="0">
                <a:pos x="csX6367" y="csY6367"/>
              </a:cxn>
              <a:cxn ang="0">
                <a:pos x="csX6368" y="csY6368"/>
              </a:cxn>
              <a:cxn ang="0">
                <a:pos x="csX6369" y="csY6369"/>
              </a:cxn>
              <a:cxn ang="0">
                <a:pos x="csX6370" y="csY6370"/>
              </a:cxn>
              <a:cxn ang="0">
                <a:pos x="csX6371" y="csY6371"/>
              </a:cxn>
              <a:cxn ang="0">
                <a:pos x="csX6372" y="csY6372"/>
              </a:cxn>
              <a:cxn ang="0">
                <a:pos x="csX6373" y="csY6373"/>
              </a:cxn>
              <a:cxn ang="0">
                <a:pos x="csX6374" y="csY6374"/>
              </a:cxn>
              <a:cxn ang="0">
                <a:pos x="csX6375" y="csY6375"/>
              </a:cxn>
              <a:cxn ang="0">
                <a:pos x="csX6376" y="csY6376"/>
              </a:cxn>
              <a:cxn ang="0">
                <a:pos x="csX6377" y="csY6377"/>
              </a:cxn>
              <a:cxn ang="0">
                <a:pos x="csX6378" y="csY6378"/>
              </a:cxn>
              <a:cxn ang="0">
                <a:pos x="csX6379" y="csY6379"/>
              </a:cxn>
              <a:cxn ang="0">
                <a:pos x="csX6380" y="csY6380"/>
              </a:cxn>
              <a:cxn ang="0">
                <a:pos x="csX6381" y="csY6381"/>
              </a:cxn>
              <a:cxn ang="0">
                <a:pos x="csX6382" y="csY6382"/>
              </a:cxn>
              <a:cxn ang="0">
                <a:pos x="csX6383" y="csY6383"/>
              </a:cxn>
              <a:cxn ang="0">
                <a:pos x="csX6384" y="csY6384"/>
              </a:cxn>
              <a:cxn ang="0">
                <a:pos x="csX6385" y="csY6385"/>
              </a:cxn>
              <a:cxn ang="0">
                <a:pos x="csX6386" y="csY6386"/>
              </a:cxn>
              <a:cxn ang="0">
                <a:pos x="csX6387" y="csY6387"/>
              </a:cxn>
              <a:cxn ang="0">
                <a:pos x="csX6388" y="csY6388"/>
              </a:cxn>
              <a:cxn ang="0">
                <a:pos x="csX6389" y="csY6389"/>
              </a:cxn>
              <a:cxn ang="0">
                <a:pos x="csX6390" y="csY6390"/>
              </a:cxn>
              <a:cxn ang="0">
                <a:pos x="csX6391" y="csY6391"/>
              </a:cxn>
              <a:cxn ang="0">
                <a:pos x="csX6392" y="csY6392"/>
              </a:cxn>
              <a:cxn ang="0">
                <a:pos x="csX6393" y="csY6393"/>
              </a:cxn>
              <a:cxn ang="0">
                <a:pos x="csX6394" y="csY6394"/>
              </a:cxn>
              <a:cxn ang="0">
                <a:pos x="csX6395" y="csY6395"/>
              </a:cxn>
              <a:cxn ang="0">
                <a:pos x="csX6396" y="csY6396"/>
              </a:cxn>
              <a:cxn ang="0">
                <a:pos x="csX6397" y="csY6397"/>
              </a:cxn>
              <a:cxn ang="0">
                <a:pos x="csX6398" y="csY6398"/>
              </a:cxn>
              <a:cxn ang="0">
                <a:pos x="csX6399" y="csY6399"/>
              </a:cxn>
              <a:cxn ang="0">
                <a:pos x="csX6400" y="csY6400"/>
              </a:cxn>
              <a:cxn ang="0">
                <a:pos x="csX6401" y="csY6401"/>
              </a:cxn>
              <a:cxn ang="0">
                <a:pos x="csX6402" y="csY6402"/>
              </a:cxn>
              <a:cxn ang="0">
                <a:pos x="csX6403" y="csY6403"/>
              </a:cxn>
              <a:cxn ang="0">
                <a:pos x="csX6404" y="csY6404"/>
              </a:cxn>
              <a:cxn ang="0">
                <a:pos x="csX6405" y="csY6405"/>
              </a:cxn>
              <a:cxn ang="0">
                <a:pos x="csX6406" y="csY6406"/>
              </a:cxn>
              <a:cxn ang="0">
                <a:pos x="csX6407" y="csY6407"/>
              </a:cxn>
              <a:cxn ang="0">
                <a:pos x="csX6408" y="csY6408"/>
              </a:cxn>
              <a:cxn ang="0">
                <a:pos x="csX6409" y="csY6409"/>
              </a:cxn>
              <a:cxn ang="0">
                <a:pos x="csX6410" y="csY6410"/>
              </a:cxn>
              <a:cxn ang="0">
                <a:pos x="csX6411" y="csY6411"/>
              </a:cxn>
              <a:cxn ang="0">
                <a:pos x="csX6412" y="csY6412"/>
              </a:cxn>
              <a:cxn ang="0">
                <a:pos x="csX6413" y="csY6413"/>
              </a:cxn>
              <a:cxn ang="0">
                <a:pos x="csX6414" y="csY6414"/>
              </a:cxn>
              <a:cxn ang="0">
                <a:pos x="csX6415" y="csY6415"/>
              </a:cxn>
              <a:cxn ang="0">
                <a:pos x="csX6416" y="csY6416"/>
              </a:cxn>
              <a:cxn ang="0">
                <a:pos x="csX6417" y="csY6417"/>
              </a:cxn>
              <a:cxn ang="0">
                <a:pos x="csX6418" y="csY6418"/>
              </a:cxn>
              <a:cxn ang="0">
                <a:pos x="csX6419" y="csY6419"/>
              </a:cxn>
              <a:cxn ang="0">
                <a:pos x="csX6420" y="csY6420"/>
              </a:cxn>
              <a:cxn ang="0">
                <a:pos x="csX6421" y="csY6421"/>
              </a:cxn>
              <a:cxn ang="0">
                <a:pos x="csX6422" y="csY6422"/>
              </a:cxn>
              <a:cxn ang="0">
                <a:pos x="csX6423" y="csY6423"/>
              </a:cxn>
              <a:cxn ang="0">
                <a:pos x="csX6424" y="csY6424"/>
              </a:cxn>
              <a:cxn ang="0">
                <a:pos x="csX6425" y="csY6425"/>
              </a:cxn>
              <a:cxn ang="0">
                <a:pos x="csX6426" y="csY6426"/>
              </a:cxn>
              <a:cxn ang="0">
                <a:pos x="csX6427" y="csY6427"/>
              </a:cxn>
              <a:cxn ang="0">
                <a:pos x="csX6428" y="csY6428"/>
              </a:cxn>
              <a:cxn ang="0">
                <a:pos x="csX6429" y="csY6429"/>
              </a:cxn>
              <a:cxn ang="0">
                <a:pos x="csX6430" y="csY6430"/>
              </a:cxn>
              <a:cxn ang="0">
                <a:pos x="csX6431" y="csY6431"/>
              </a:cxn>
              <a:cxn ang="0">
                <a:pos x="csX6432" y="csY6432"/>
              </a:cxn>
              <a:cxn ang="0">
                <a:pos x="csX6433" y="csY6433"/>
              </a:cxn>
              <a:cxn ang="0">
                <a:pos x="csX6434" y="csY6434"/>
              </a:cxn>
              <a:cxn ang="0">
                <a:pos x="csX6435" y="csY6435"/>
              </a:cxn>
              <a:cxn ang="0">
                <a:pos x="csX6436" y="csY6436"/>
              </a:cxn>
              <a:cxn ang="0">
                <a:pos x="csX6437" y="csY6437"/>
              </a:cxn>
              <a:cxn ang="0">
                <a:pos x="csX6438" y="csY6438"/>
              </a:cxn>
              <a:cxn ang="0">
                <a:pos x="csX6439" y="csY6439"/>
              </a:cxn>
              <a:cxn ang="0">
                <a:pos x="csX6440" y="csY6440"/>
              </a:cxn>
              <a:cxn ang="0">
                <a:pos x="csX6441" y="csY6441"/>
              </a:cxn>
              <a:cxn ang="0">
                <a:pos x="csX6442" y="csY6442"/>
              </a:cxn>
              <a:cxn ang="0">
                <a:pos x="csX6443" y="csY6443"/>
              </a:cxn>
              <a:cxn ang="0">
                <a:pos x="csX6444" y="csY6444"/>
              </a:cxn>
              <a:cxn ang="0">
                <a:pos x="csX6445" y="csY6445"/>
              </a:cxn>
              <a:cxn ang="0">
                <a:pos x="csX6446" y="csY6446"/>
              </a:cxn>
              <a:cxn ang="0">
                <a:pos x="csX6447" y="csY6447"/>
              </a:cxn>
              <a:cxn ang="0">
                <a:pos x="csX6448" y="csY6448"/>
              </a:cxn>
              <a:cxn ang="0">
                <a:pos x="csX6449" y="csY6449"/>
              </a:cxn>
              <a:cxn ang="0">
                <a:pos x="csX6450" y="csY6450"/>
              </a:cxn>
              <a:cxn ang="0">
                <a:pos x="csX6451" y="csY6451"/>
              </a:cxn>
              <a:cxn ang="0">
                <a:pos x="csX6452" y="csY6452"/>
              </a:cxn>
              <a:cxn ang="0">
                <a:pos x="csX6453" y="csY6453"/>
              </a:cxn>
              <a:cxn ang="0">
                <a:pos x="csX6454" y="csY6454"/>
              </a:cxn>
              <a:cxn ang="0">
                <a:pos x="csX6455" y="csY6455"/>
              </a:cxn>
              <a:cxn ang="0">
                <a:pos x="csX6456" y="csY6456"/>
              </a:cxn>
              <a:cxn ang="0">
                <a:pos x="csX6457" y="csY6457"/>
              </a:cxn>
              <a:cxn ang="0">
                <a:pos x="csX6458" y="csY6458"/>
              </a:cxn>
              <a:cxn ang="0">
                <a:pos x="csX6459" y="csY6459"/>
              </a:cxn>
              <a:cxn ang="0">
                <a:pos x="csX6460" y="csY6460"/>
              </a:cxn>
              <a:cxn ang="0">
                <a:pos x="csX6461" y="csY6461"/>
              </a:cxn>
              <a:cxn ang="0">
                <a:pos x="csX6462" y="csY6462"/>
              </a:cxn>
              <a:cxn ang="0">
                <a:pos x="csX6463" y="csY6463"/>
              </a:cxn>
              <a:cxn ang="0">
                <a:pos x="csX6464" y="csY6464"/>
              </a:cxn>
              <a:cxn ang="0">
                <a:pos x="csX6465" y="csY6465"/>
              </a:cxn>
              <a:cxn ang="0">
                <a:pos x="csX6466" y="csY6466"/>
              </a:cxn>
              <a:cxn ang="0">
                <a:pos x="csX6467" y="csY6467"/>
              </a:cxn>
              <a:cxn ang="0">
                <a:pos x="csX6468" y="csY6468"/>
              </a:cxn>
              <a:cxn ang="0">
                <a:pos x="csX6469" y="csY6469"/>
              </a:cxn>
              <a:cxn ang="0">
                <a:pos x="csX6470" y="csY6470"/>
              </a:cxn>
              <a:cxn ang="0">
                <a:pos x="csX6471" y="csY6471"/>
              </a:cxn>
              <a:cxn ang="0">
                <a:pos x="csX6472" y="csY6472"/>
              </a:cxn>
              <a:cxn ang="0">
                <a:pos x="csX6473" y="csY6473"/>
              </a:cxn>
              <a:cxn ang="0">
                <a:pos x="csX6474" y="csY6474"/>
              </a:cxn>
              <a:cxn ang="0">
                <a:pos x="csX6475" y="csY6475"/>
              </a:cxn>
              <a:cxn ang="0">
                <a:pos x="csX6476" y="csY6476"/>
              </a:cxn>
              <a:cxn ang="0">
                <a:pos x="csX6477" y="csY6477"/>
              </a:cxn>
              <a:cxn ang="0">
                <a:pos x="csX6478" y="csY6478"/>
              </a:cxn>
              <a:cxn ang="0">
                <a:pos x="csX6479" y="csY6479"/>
              </a:cxn>
              <a:cxn ang="0">
                <a:pos x="csX6480" y="csY6480"/>
              </a:cxn>
              <a:cxn ang="0">
                <a:pos x="csX6481" y="csY6481"/>
              </a:cxn>
              <a:cxn ang="0">
                <a:pos x="csX6482" y="csY6482"/>
              </a:cxn>
              <a:cxn ang="0">
                <a:pos x="csX6483" y="csY6483"/>
              </a:cxn>
              <a:cxn ang="0">
                <a:pos x="csX6484" y="csY6484"/>
              </a:cxn>
              <a:cxn ang="0">
                <a:pos x="csX6485" y="csY6485"/>
              </a:cxn>
              <a:cxn ang="0">
                <a:pos x="csX6486" y="csY6486"/>
              </a:cxn>
              <a:cxn ang="0">
                <a:pos x="csX6487" y="csY6487"/>
              </a:cxn>
              <a:cxn ang="0">
                <a:pos x="csX6488" y="csY6488"/>
              </a:cxn>
              <a:cxn ang="0">
                <a:pos x="csX6489" y="csY6489"/>
              </a:cxn>
              <a:cxn ang="0">
                <a:pos x="csX6490" y="csY6490"/>
              </a:cxn>
              <a:cxn ang="0">
                <a:pos x="csX6491" y="csY6491"/>
              </a:cxn>
              <a:cxn ang="0">
                <a:pos x="csX6492" y="csY6492"/>
              </a:cxn>
              <a:cxn ang="0">
                <a:pos x="csX6493" y="csY6493"/>
              </a:cxn>
              <a:cxn ang="0">
                <a:pos x="csX6494" y="csY6494"/>
              </a:cxn>
              <a:cxn ang="0">
                <a:pos x="csX6495" y="csY6495"/>
              </a:cxn>
              <a:cxn ang="0">
                <a:pos x="csX6496" y="csY6496"/>
              </a:cxn>
              <a:cxn ang="0">
                <a:pos x="csX6497" y="csY6497"/>
              </a:cxn>
              <a:cxn ang="0">
                <a:pos x="csX6498" y="csY6498"/>
              </a:cxn>
              <a:cxn ang="0">
                <a:pos x="csX6499" y="csY6499"/>
              </a:cxn>
              <a:cxn ang="0">
                <a:pos x="csX6500" y="csY6500"/>
              </a:cxn>
              <a:cxn ang="0">
                <a:pos x="csX6501" y="csY6501"/>
              </a:cxn>
              <a:cxn ang="0">
                <a:pos x="csX6502" y="csY6502"/>
              </a:cxn>
              <a:cxn ang="0">
                <a:pos x="csX6503" y="csY6503"/>
              </a:cxn>
              <a:cxn ang="0">
                <a:pos x="csX6504" y="csY6504"/>
              </a:cxn>
              <a:cxn ang="0">
                <a:pos x="csX6505" y="csY6505"/>
              </a:cxn>
              <a:cxn ang="0">
                <a:pos x="csX6506" y="csY6506"/>
              </a:cxn>
              <a:cxn ang="0">
                <a:pos x="csX6507" y="csY6507"/>
              </a:cxn>
              <a:cxn ang="0">
                <a:pos x="csX6508" y="csY6508"/>
              </a:cxn>
              <a:cxn ang="0">
                <a:pos x="csX6509" y="csY6509"/>
              </a:cxn>
              <a:cxn ang="0">
                <a:pos x="csX6510" y="csY6510"/>
              </a:cxn>
              <a:cxn ang="0">
                <a:pos x="csX6511" y="csY6511"/>
              </a:cxn>
              <a:cxn ang="0">
                <a:pos x="csX6512" y="csY6512"/>
              </a:cxn>
              <a:cxn ang="0">
                <a:pos x="csX6513" y="csY6513"/>
              </a:cxn>
              <a:cxn ang="0">
                <a:pos x="csX6514" y="csY6514"/>
              </a:cxn>
              <a:cxn ang="0">
                <a:pos x="csX6515" y="csY6515"/>
              </a:cxn>
              <a:cxn ang="0">
                <a:pos x="csX6516" y="csY6516"/>
              </a:cxn>
              <a:cxn ang="0">
                <a:pos x="csX6517" y="csY6517"/>
              </a:cxn>
              <a:cxn ang="0">
                <a:pos x="csX6518" y="csY6518"/>
              </a:cxn>
              <a:cxn ang="0">
                <a:pos x="csX6519" y="csY6519"/>
              </a:cxn>
              <a:cxn ang="0">
                <a:pos x="csX6520" y="csY6520"/>
              </a:cxn>
              <a:cxn ang="0">
                <a:pos x="csX6521" y="csY6521"/>
              </a:cxn>
              <a:cxn ang="0">
                <a:pos x="csX6522" y="csY6522"/>
              </a:cxn>
              <a:cxn ang="0">
                <a:pos x="csX6523" y="csY6523"/>
              </a:cxn>
              <a:cxn ang="0">
                <a:pos x="csX6524" y="csY6524"/>
              </a:cxn>
              <a:cxn ang="0">
                <a:pos x="csX6525" y="csY6525"/>
              </a:cxn>
              <a:cxn ang="0">
                <a:pos x="csX6526" y="csY6526"/>
              </a:cxn>
              <a:cxn ang="0">
                <a:pos x="csX6527" y="csY6527"/>
              </a:cxn>
              <a:cxn ang="0">
                <a:pos x="csX6528" y="csY6528"/>
              </a:cxn>
              <a:cxn ang="0">
                <a:pos x="csX6529" y="csY6529"/>
              </a:cxn>
              <a:cxn ang="0">
                <a:pos x="csX6530" y="csY6530"/>
              </a:cxn>
              <a:cxn ang="0">
                <a:pos x="csX6531" y="csY6531"/>
              </a:cxn>
              <a:cxn ang="0">
                <a:pos x="csX6532" y="csY6532"/>
              </a:cxn>
              <a:cxn ang="0">
                <a:pos x="csX6533" y="csY6533"/>
              </a:cxn>
              <a:cxn ang="0">
                <a:pos x="csX6534" y="csY6534"/>
              </a:cxn>
              <a:cxn ang="0">
                <a:pos x="csX6535" y="csY6535"/>
              </a:cxn>
              <a:cxn ang="0">
                <a:pos x="csX6536" y="csY6536"/>
              </a:cxn>
              <a:cxn ang="0">
                <a:pos x="csX6537" y="csY6537"/>
              </a:cxn>
              <a:cxn ang="0">
                <a:pos x="csX6538" y="csY6538"/>
              </a:cxn>
              <a:cxn ang="0">
                <a:pos x="csX6539" y="csY6539"/>
              </a:cxn>
              <a:cxn ang="0">
                <a:pos x="csX6540" y="csY6540"/>
              </a:cxn>
              <a:cxn ang="0">
                <a:pos x="csX6541" y="csY6541"/>
              </a:cxn>
              <a:cxn ang="0">
                <a:pos x="csX6542" y="csY6542"/>
              </a:cxn>
              <a:cxn ang="0">
                <a:pos x="csX6543" y="csY6543"/>
              </a:cxn>
              <a:cxn ang="0">
                <a:pos x="csX6544" y="csY6544"/>
              </a:cxn>
              <a:cxn ang="0">
                <a:pos x="csX6545" y="csY6545"/>
              </a:cxn>
              <a:cxn ang="0">
                <a:pos x="csX6546" y="csY6546"/>
              </a:cxn>
              <a:cxn ang="0">
                <a:pos x="csX6547" y="csY6547"/>
              </a:cxn>
              <a:cxn ang="0">
                <a:pos x="csX6548" y="csY6548"/>
              </a:cxn>
              <a:cxn ang="0">
                <a:pos x="csX6549" y="csY6549"/>
              </a:cxn>
              <a:cxn ang="0">
                <a:pos x="csX6550" y="csY6550"/>
              </a:cxn>
              <a:cxn ang="0">
                <a:pos x="csX6551" y="csY6551"/>
              </a:cxn>
              <a:cxn ang="0">
                <a:pos x="csX6552" y="csY6552"/>
              </a:cxn>
              <a:cxn ang="0">
                <a:pos x="csX6553" y="csY6553"/>
              </a:cxn>
              <a:cxn ang="0">
                <a:pos x="csX6554" y="csY6554"/>
              </a:cxn>
              <a:cxn ang="0">
                <a:pos x="csX6555" y="csY6555"/>
              </a:cxn>
              <a:cxn ang="0">
                <a:pos x="csX6556" y="csY6556"/>
              </a:cxn>
              <a:cxn ang="0">
                <a:pos x="csX6557" y="csY6557"/>
              </a:cxn>
              <a:cxn ang="0">
                <a:pos x="csX6558" y="csY6558"/>
              </a:cxn>
              <a:cxn ang="0">
                <a:pos x="csX6559" y="csY6559"/>
              </a:cxn>
              <a:cxn ang="0">
                <a:pos x="csX6560" y="csY6560"/>
              </a:cxn>
              <a:cxn ang="0">
                <a:pos x="csX6561" y="csY6561"/>
              </a:cxn>
              <a:cxn ang="0">
                <a:pos x="csX6562" y="csY6562"/>
              </a:cxn>
              <a:cxn ang="0">
                <a:pos x="csX6563" y="csY6563"/>
              </a:cxn>
              <a:cxn ang="0">
                <a:pos x="csX6564" y="csY6564"/>
              </a:cxn>
              <a:cxn ang="0">
                <a:pos x="csX6565" y="csY6565"/>
              </a:cxn>
              <a:cxn ang="0">
                <a:pos x="csX6566" y="csY6566"/>
              </a:cxn>
              <a:cxn ang="0">
                <a:pos x="csX6567" y="csY6567"/>
              </a:cxn>
              <a:cxn ang="0">
                <a:pos x="csX6568" y="csY6568"/>
              </a:cxn>
              <a:cxn ang="0">
                <a:pos x="csX6569" y="csY6569"/>
              </a:cxn>
              <a:cxn ang="0">
                <a:pos x="csX6570" y="csY6570"/>
              </a:cxn>
              <a:cxn ang="0">
                <a:pos x="csX6571" y="csY6571"/>
              </a:cxn>
              <a:cxn ang="0">
                <a:pos x="csX6572" y="csY6572"/>
              </a:cxn>
              <a:cxn ang="0">
                <a:pos x="csX6573" y="csY6573"/>
              </a:cxn>
              <a:cxn ang="0">
                <a:pos x="csX6574" y="csY6574"/>
              </a:cxn>
              <a:cxn ang="0">
                <a:pos x="csX6575" y="csY6575"/>
              </a:cxn>
              <a:cxn ang="0">
                <a:pos x="csX6576" y="csY6576"/>
              </a:cxn>
              <a:cxn ang="0">
                <a:pos x="csX6577" y="csY6577"/>
              </a:cxn>
              <a:cxn ang="0">
                <a:pos x="csX6578" y="csY6578"/>
              </a:cxn>
              <a:cxn ang="0">
                <a:pos x="csX6579" y="csY6579"/>
              </a:cxn>
              <a:cxn ang="0">
                <a:pos x="csX6580" y="csY6580"/>
              </a:cxn>
              <a:cxn ang="0">
                <a:pos x="csX6581" y="csY6581"/>
              </a:cxn>
              <a:cxn ang="0">
                <a:pos x="csX6582" y="csY6582"/>
              </a:cxn>
              <a:cxn ang="0">
                <a:pos x="csX6583" y="csY6583"/>
              </a:cxn>
              <a:cxn ang="0">
                <a:pos x="csX6584" y="csY6584"/>
              </a:cxn>
              <a:cxn ang="0">
                <a:pos x="csX6585" y="csY6585"/>
              </a:cxn>
              <a:cxn ang="0">
                <a:pos x="csX6586" y="csY6586"/>
              </a:cxn>
              <a:cxn ang="0">
                <a:pos x="csX6587" y="csY6587"/>
              </a:cxn>
              <a:cxn ang="0">
                <a:pos x="csX6588" y="csY6588"/>
              </a:cxn>
              <a:cxn ang="0">
                <a:pos x="csX6589" y="csY6589"/>
              </a:cxn>
              <a:cxn ang="0">
                <a:pos x="csX6590" y="csY6590"/>
              </a:cxn>
              <a:cxn ang="0">
                <a:pos x="csX6591" y="csY6591"/>
              </a:cxn>
              <a:cxn ang="0">
                <a:pos x="csX6592" y="csY6592"/>
              </a:cxn>
              <a:cxn ang="0">
                <a:pos x="csX6593" y="csY6593"/>
              </a:cxn>
              <a:cxn ang="0">
                <a:pos x="csX6594" y="csY6594"/>
              </a:cxn>
              <a:cxn ang="0">
                <a:pos x="csX6595" y="csY6595"/>
              </a:cxn>
              <a:cxn ang="0">
                <a:pos x="csX6596" y="csY6596"/>
              </a:cxn>
              <a:cxn ang="0">
                <a:pos x="csX6597" y="csY6597"/>
              </a:cxn>
              <a:cxn ang="0">
                <a:pos x="csX6598" y="csY6598"/>
              </a:cxn>
              <a:cxn ang="0">
                <a:pos x="csX6599" y="csY6599"/>
              </a:cxn>
              <a:cxn ang="0">
                <a:pos x="csX6600" y="csY6600"/>
              </a:cxn>
              <a:cxn ang="0">
                <a:pos x="csX6601" y="csY6601"/>
              </a:cxn>
              <a:cxn ang="0">
                <a:pos x="csX6602" y="csY6602"/>
              </a:cxn>
              <a:cxn ang="0">
                <a:pos x="csX6603" y="csY6603"/>
              </a:cxn>
              <a:cxn ang="0">
                <a:pos x="csX6604" y="csY6604"/>
              </a:cxn>
              <a:cxn ang="0">
                <a:pos x="csX6605" y="csY6605"/>
              </a:cxn>
              <a:cxn ang="0">
                <a:pos x="csX6606" y="csY6606"/>
              </a:cxn>
              <a:cxn ang="0">
                <a:pos x="csX6607" y="csY6607"/>
              </a:cxn>
              <a:cxn ang="0">
                <a:pos x="csX6608" y="csY6608"/>
              </a:cxn>
              <a:cxn ang="0">
                <a:pos x="csX6609" y="csY6609"/>
              </a:cxn>
              <a:cxn ang="0">
                <a:pos x="csX6610" y="csY6610"/>
              </a:cxn>
              <a:cxn ang="0">
                <a:pos x="csX6611" y="csY6611"/>
              </a:cxn>
              <a:cxn ang="0">
                <a:pos x="csX6612" y="csY6612"/>
              </a:cxn>
              <a:cxn ang="0">
                <a:pos x="csX6613" y="csY6613"/>
              </a:cxn>
              <a:cxn ang="0">
                <a:pos x="csX6614" y="csY6614"/>
              </a:cxn>
              <a:cxn ang="0">
                <a:pos x="csX6615" y="csY6615"/>
              </a:cxn>
              <a:cxn ang="0">
                <a:pos x="csX6616" y="csY6616"/>
              </a:cxn>
              <a:cxn ang="0">
                <a:pos x="csX6617" y="csY6617"/>
              </a:cxn>
              <a:cxn ang="0">
                <a:pos x="csX6618" y="csY6618"/>
              </a:cxn>
              <a:cxn ang="0">
                <a:pos x="csX6619" y="csY6619"/>
              </a:cxn>
              <a:cxn ang="0">
                <a:pos x="csX6620" y="csY6620"/>
              </a:cxn>
              <a:cxn ang="0">
                <a:pos x="csX6621" y="csY6621"/>
              </a:cxn>
              <a:cxn ang="0">
                <a:pos x="csX6622" y="csY6622"/>
              </a:cxn>
              <a:cxn ang="0">
                <a:pos x="csX6623" y="csY6623"/>
              </a:cxn>
              <a:cxn ang="0">
                <a:pos x="csX6624" y="csY6624"/>
              </a:cxn>
              <a:cxn ang="0">
                <a:pos x="csX6625" y="csY6625"/>
              </a:cxn>
              <a:cxn ang="0">
                <a:pos x="csX6626" y="csY6626"/>
              </a:cxn>
              <a:cxn ang="0">
                <a:pos x="csX6627" y="csY6627"/>
              </a:cxn>
              <a:cxn ang="0">
                <a:pos x="csX6628" y="csY6628"/>
              </a:cxn>
              <a:cxn ang="0">
                <a:pos x="csX6629" y="csY6629"/>
              </a:cxn>
              <a:cxn ang="0">
                <a:pos x="csX6630" y="csY6630"/>
              </a:cxn>
              <a:cxn ang="0">
                <a:pos x="csX6631" y="csY6631"/>
              </a:cxn>
              <a:cxn ang="0">
                <a:pos x="csX6632" y="csY6632"/>
              </a:cxn>
              <a:cxn ang="0">
                <a:pos x="csX6633" y="csY6633"/>
              </a:cxn>
              <a:cxn ang="0">
                <a:pos x="csX6634" y="csY6634"/>
              </a:cxn>
              <a:cxn ang="0">
                <a:pos x="csX6635" y="csY6635"/>
              </a:cxn>
              <a:cxn ang="0">
                <a:pos x="csX6636" y="csY6636"/>
              </a:cxn>
              <a:cxn ang="0">
                <a:pos x="csX6637" y="csY6637"/>
              </a:cxn>
              <a:cxn ang="0">
                <a:pos x="csX6638" y="csY6638"/>
              </a:cxn>
              <a:cxn ang="0">
                <a:pos x="csX6639" y="csY6639"/>
              </a:cxn>
              <a:cxn ang="0">
                <a:pos x="csX6640" y="csY6640"/>
              </a:cxn>
              <a:cxn ang="0">
                <a:pos x="csX6641" y="csY6641"/>
              </a:cxn>
              <a:cxn ang="0">
                <a:pos x="csX6642" y="csY6642"/>
              </a:cxn>
              <a:cxn ang="0">
                <a:pos x="csX6643" y="csY6643"/>
              </a:cxn>
              <a:cxn ang="0">
                <a:pos x="csX6644" y="csY6644"/>
              </a:cxn>
              <a:cxn ang="0">
                <a:pos x="csX6645" y="csY6645"/>
              </a:cxn>
              <a:cxn ang="0">
                <a:pos x="csX6646" y="csY6646"/>
              </a:cxn>
              <a:cxn ang="0">
                <a:pos x="csX6647" y="csY6647"/>
              </a:cxn>
              <a:cxn ang="0">
                <a:pos x="csX6648" y="csY6648"/>
              </a:cxn>
              <a:cxn ang="0">
                <a:pos x="csX6649" y="csY6649"/>
              </a:cxn>
              <a:cxn ang="0">
                <a:pos x="csX6650" y="csY6650"/>
              </a:cxn>
              <a:cxn ang="0">
                <a:pos x="csX6651" y="csY6651"/>
              </a:cxn>
              <a:cxn ang="0">
                <a:pos x="csX6652" y="csY6652"/>
              </a:cxn>
              <a:cxn ang="0">
                <a:pos x="csX6653" y="csY6653"/>
              </a:cxn>
              <a:cxn ang="0">
                <a:pos x="csX6654" y="csY6654"/>
              </a:cxn>
              <a:cxn ang="0">
                <a:pos x="csX6655" y="csY6655"/>
              </a:cxn>
              <a:cxn ang="0">
                <a:pos x="csX6656" y="csY6656"/>
              </a:cxn>
              <a:cxn ang="0">
                <a:pos x="csX6657" y="csY6657"/>
              </a:cxn>
              <a:cxn ang="0">
                <a:pos x="csX6658" y="csY6658"/>
              </a:cxn>
              <a:cxn ang="0">
                <a:pos x="csX6659" y="csY6659"/>
              </a:cxn>
              <a:cxn ang="0">
                <a:pos x="csX6660" y="csY6660"/>
              </a:cxn>
              <a:cxn ang="0">
                <a:pos x="csX6661" y="csY6661"/>
              </a:cxn>
              <a:cxn ang="0">
                <a:pos x="csX6662" y="csY6662"/>
              </a:cxn>
              <a:cxn ang="0">
                <a:pos x="csX6663" y="csY6663"/>
              </a:cxn>
              <a:cxn ang="0">
                <a:pos x="csX6664" y="csY6664"/>
              </a:cxn>
              <a:cxn ang="0">
                <a:pos x="csX6665" y="csY6665"/>
              </a:cxn>
              <a:cxn ang="0">
                <a:pos x="csX6666" y="csY6666"/>
              </a:cxn>
              <a:cxn ang="0">
                <a:pos x="csX6667" y="csY6667"/>
              </a:cxn>
              <a:cxn ang="0">
                <a:pos x="csX6668" y="csY6668"/>
              </a:cxn>
              <a:cxn ang="0">
                <a:pos x="csX6669" y="csY6669"/>
              </a:cxn>
              <a:cxn ang="0">
                <a:pos x="csX6670" y="csY6670"/>
              </a:cxn>
              <a:cxn ang="0">
                <a:pos x="csX6671" y="csY6671"/>
              </a:cxn>
              <a:cxn ang="0">
                <a:pos x="csX6672" y="csY6672"/>
              </a:cxn>
              <a:cxn ang="0">
                <a:pos x="csX6673" y="csY6673"/>
              </a:cxn>
              <a:cxn ang="0">
                <a:pos x="csX6674" y="csY6674"/>
              </a:cxn>
              <a:cxn ang="0">
                <a:pos x="csX6675" y="csY6675"/>
              </a:cxn>
              <a:cxn ang="0">
                <a:pos x="csX6676" y="csY6676"/>
              </a:cxn>
              <a:cxn ang="0">
                <a:pos x="csX6677" y="csY6677"/>
              </a:cxn>
              <a:cxn ang="0">
                <a:pos x="csX6678" y="csY6678"/>
              </a:cxn>
              <a:cxn ang="0">
                <a:pos x="csX6679" y="csY6679"/>
              </a:cxn>
              <a:cxn ang="0">
                <a:pos x="csX6680" y="csY6680"/>
              </a:cxn>
              <a:cxn ang="0">
                <a:pos x="csX6681" y="csY6681"/>
              </a:cxn>
              <a:cxn ang="0">
                <a:pos x="csX6682" y="csY6682"/>
              </a:cxn>
              <a:cxn ang="0">
                <a:pos x="csX6683" y="csY6683"/>
              </a:cxn>
              <a:cxn ang="0">
                <a:pos x="csX6684" y="csY6684"/>
              </a:cxn>
              <a:cxn ang="0">
                <a:pos x="csX6685" y="csY6685"/>
              </a:cxn>
              <a:cxn ang="0">
                <a:pos x="csX6686" y="csY6686"/>
              </a:cxn>
              <a:cxn ang="0">
                <a:pos x="csX6687" y="csY6687"/>
              </a:cxn>
              <a:cxn ang="0">
                <a:pos x="csX6688" y="csY6688"/>
              </a:cxn>
              <a:cxn ang="0">
                <a:pos x="csX6689" y="csY6689"/>
              </a:cxn>
              <a:cxn ang="0">
                <a:pos x="csX6690" y="csY6690"/>
              </a:cxn>
              <a:cxn ang="0">
                <a:pos x="csX6691" y="csY6691"/>
              </a:cxn>
              <a:cxn ang="0">
                <a:pos x="csX6692" y="csY6692"/>
              </a:cxn>
              <a:cxn ang="0">
                <a:pos x="csX6693" y="csY6693"/>
              </a:cxn>
              <a:cxn ang="0">
                <a:pos x="csX6694" y="csY6694"/>
              </a:cxn>
              <a:cxn ang="0">
                <a:pos x="csX6695" y="csY6695"/>
              </a:cxn>
              <a:cxn ang="0">
                <a:pos x="csX6696" y="csY6696"/>
              </a:cxn>
              <a:cxn ang="0">
                <a:pos x="csX6697" y="csY6697"/>
              </a:cxn>
              <a:cxn ang="0">
                <a:pos x="csX6698" y="csY6698"/>
              </a:cxn>
              <a:cxn ang="0">
                <a:pos x="csX6699" y="csY6699"/>
              </a:cxn>
              <a:cxn ang="0">
                <a:pos x="csX6700" y="csY6700"/>
              </a:cxn>
              <a:cxn ang="0">
                <a:pos x="csX6701" y="csY6701"/>
              </a:cxn>
              <a:cxn ang="0">
                <a:pos x="csX6702" y="csY6702"/>
              </a:cxn>
              <a:cxn ang="0">
                <a:pos x="csX6703" y="csY6703"/>
              </a:cxn>
              <a:cxn ang="0">
                <a:pos x="csX6704" y="csY6704"/>
              </a:cxn>
              <a:cxn ang="0">
                <a:pos x="csX6705" y="csY6705"/>
              </a:cxn>
              <a:cxn ang="0">
                <a:pos x="csX6706" y="csY6706"/>
              </a:cxn>
              <a:cxn ang="0">
                <a:pos x="csX6707" y="csY6707"/>
              </a:cxn>
              <a:cxn ang="0">
                <a:pos x="csX6708" y="csY6708"/>
              </a:cxn>
              <a:cxn ang="0">
                <a:pos x="csX6709" y="csY6709"/>
              </a:cxn>
              <a:cxn ang="0">
                <a:pos x="csX6710" y="csY6710"/>
              </a:cxn>
              <a:cxn ang="0">
                <a:pos x="csX6711" y="csY6711"/>
              </a:cxn>
              <a:cxn ang="0">
                <a:pos x="csX6712" y="csY6712"/>
              </a:cxn>
              <a:cxn ang="0">
                <a:pos x="csX6713" y="csY6713"/>
              </a:cxn>
              <a:cxn ang="0">
                <a:pos x="csX6714" y="csY6714"/>
              </a:cxn>
              <a:cxn ang="0">
                <a:pos x="csX6715" y="csY6715"/>
              </a:cxn>
              <a:cxn ang="0">
                <a:pos x="csX6716" y="csY6716"/>
              </a:cxn>
              <a:cxn ang="0">
                <a:pos x="csX6717" y="csY6717"/>
              </a:cxn>
              <a:cxn ang="0">
                <a:pos x="csX6718" y="csY6718"/>
              </a:cxn>
              <a:cxn ang="0">
                <a:pos x="csX6719" y="csY6719"/>
              </a:cxn>
              <a:cxn ang="0">
                <a:pos x="csX6720" y="csY6720"/>
              </a:cxn>
              <a:cxn ang="0">
                <a:pos x="csX6721" y="csY6721"/>
              </a:cxn>
              <a:cxn ang="0">
                <a:pos x="csX6722" y="csY6722"/>
              </a:cxn>
              <a:cxn ang="0">
                <a:pos x="csX6723" y="csY6723"/>
              </a:cxn>
              <a:cxn ang="0">
                <a:pos x="csX6724" y="csY6724"/>
              </a:cxn>
              <a:cxn ang="0">
                <a:pos x="csX6725" y="csY6725"/>
              </a:cxn>
              <a:cxn ang="0">
                <a:pos x="csX6726" y="csY6726"/>
              </a:cxn>
              <a:cxn ang="0">
                <a:pos x="csX6727" y="csY6727"/>
              </a:cxn>
              <a:cxn ang="0">
                <a:pos x="csX6728" y="csY6728"/>
              </a:cxn>
              <a:cxn ang="0">
                <a:pos x="csX6729" y="csY6729"/>
              </a:cxn>
              <a:cxn ang="0">
                <a:pos x="csX6730" y="csY6730"/>
              </a:cxn>
              <a:cxn ang="0">
                <a:pos x="csX6731" y="csY6731"/>
              </a:cxn>
              <a:cxn ang="0">
                <a:pos x="csX6732" y="csY6732"/>
              </a:cxn>
              <a:cxn ang="0">
                <a:pos x="csX6733" y="csY6733"/>
              </a:cxn>
              <a:cxn ang="0">
                <a:pos x="csX6734" y="csY6734"/>
              </a:cxn>
              <a:cxn ang="0">
                <a:pos x="csX6735" y="csY6735"/>
              </a:cxn>
              <a:cxn ang="0">
                <a:pos x="csX6736" y="csY6736"/>
              </a:cxn>
              <a:cxn ang="0">
                <a:pos x="csX6737" y="csY6737"/>
              </a:cxn>
              <a:cxn ang="0">
                <a:pos x="csX6738" y="csY6738"/>
              </a:cxn>
              <a:cxn ang="0">
                <a:pos x="csX6739" y="csY6739"/>
              </a:cxn>
              <a:cxn ang="0">
                <a:pos x="csX6740" y="csY6740"/>
              </a:cxn>
              <a:cxn ang="0">
                <a:pos x="csX6741" y="csY6741"/>
              </a:cxn>
              <a:cxn ang="0">
                <a:pos x="csX6742" y="csY6742"/>
              </a:cxn>
              <a:cxn ang="0">
                <a:pos x="csX6743" y="csY6743"/>
              </a:cxn>
              <a:cxn ang="0">
                <a:pos x="csX6744" y="csY6744"/>
              </a:cxn>
              <a:cxn ang="0">
                <a:pos x="csX6745" y="csY6745"/>
              </a:cxn>
              <a:cxn ang="0">
                <a:pos x="csX6746" y="csY6746"/>
              </a:cxn>
              <a:cxn ang="0">
                <a:pos x="csX6747" y="csY6747"/>
              </a:cxn>
              <a:cxn ang="0">
                <a:pos x="csX6748" y="csY6748"/>
              </a:cxn>
              <a:cxn ang="0">
                <a:pos x="csX6749" y="csY6749"/>
              </a:cxn>
              <a:cxn ang="0">
                <a:pos x="csX6750" y="csY6750"/>
              </a:cxn>
              <a:cxn ang="0">
                <a:pos x="csX6751" y="csY6751"/>
              </a:cxn>
              <a:cxn ang="0">
                <a:pos x="csX6752" y="csY6752"/>
              </a:cxn>
              <a:cxn ang="0">
                <a:pos x="csX6753" y="csY6753"/>
              </a:cxn>
              <a:cxn ang="0">
                <a:pos x="csX6754" y="csY6754"/>
              </a:cxn>
              <a:cxn ang="0">
                <a:pos x="csX6755" y="csY6755"/>
              </a:cxn>
              <a:cxn ang="0">
                <a:pos x="csX6756" y="csY6756"/>
              </a:cxn>
              <a:cxn ang="0">
                <a:pos x="csX6757" y="csY6757"/>
              </a:cxn>
              <a:cxn ang="0">
                <a:pos x="csX6758" y="csY6758"/>
              </a:cxn>
              <a:cxn ang="0">
                <a:pos x="csX6759" y="csY6759"/>
              </a:cxn>
              <a:cxn ang="0">
                <a:pos x="csX6760" y="csY6760"/>
              </a:cxn>
              <a:cxn ang="0">
                <a:pos x="csX6761" y="csY6761"/>
              </a:cxn>
              <a:cxn ang="0">
                <a:pos x="csX6762" y="csY6762"/>
              </a:cxn>
              <a:cxn ang="0">
                <a:pos x="csX6763" y="csY6763"/>
              </a:cxn>
              <a:cxn ang="0">
                <a:pos x="csX6764" y="csY6764"/>
              </a:cxn>
              <a:cxn ang="0">
                <a:pos x="csX6765" y="csY6765"/>
              </a:cxn>
              <a:cxn ang="0">
                <a:pos x="csX6766" y="csY6766"/>
              </a:cxn>
              <a:cxn ang="0">
                <a:pos x="csX6767" y="csY6767"/>
              </a:cxn>
              <a:cxn ang="0">
                <a:pos x="csX6768" y="csY6768"/>
              </a:cxn>
              <a:cxn ang="0">
                <a:pos x="csX6769" y="csY6769"/>
              </a:cxn>
              <a:cxn ang="0">
                <a:pos x="csX6770" y="csY6770"/>
              </a:cxn>
              <a:cxn ang="0">
                <a:pos x="csX6771" y="csY6771"/>
              </a:cxn>
              <a:cxn ang="0">
                <a:pos x="csX6772" y="csY6772"/>
              </a:cxn>
              <a:cxn ang="0">
                <a:pos x="csX6773" y="csY6773"/>
              </a:cxn>
              <a:cxn ang="0">
                <a:pos x="csX6774" y="csY6774"/>
              </a:cxn>
              <a:cxn ang="0">
                <a:pos x="csX6775" y="csY6775"/>
              </a:cxn>
              <a:cxn ang="0">
                <a:pos x="csX6776" y="csY6776"/>
              </a:cxn>
              <a:cxn ang="0">
                <a:pos x="csX6777" y="csY6777"/>
              </a:cxn>
              <a:cxn ang="0">
                <a:pos x="csX6778" y="csY6778"/>
              </a:cxn>
              <a:cxn ang="0">
                <a:pos x="csX6779" y="csY6779"/>
              </a:cxn>
              <a:cxn ang="0">
                <a:pos x="csX6780" y="csY6780"/>
              </a:cxn>
              <a:cxn ang="0">
                <a:pos x="csX6781" y="csY6781"/>
              </a:cxn>
              <a:cxn ang="0">
                <a:pos x="csX6782" y="csY6782"/>
              </a:cxn>
              <a:cxn ang="0">
                <a:pos x="csX6783" y="csY6783"/>
              </a:cxn>
              <a:cxn ang="0">
                <a:pos x="csX6784" y="csY6784"/>
              </a:cxn>
              <a:cxn ang="0">
                <a:pos x="csX6785" y="csY6785"/>
              </a:cxn>
              <a:cxn ang="0">
                <a:pos x="csX6786" y="csY6786"/>
              </a:cxn>
              <a:cxn ang="0">
                <a:pos x="csX6787" y="csY6787"/>
              </a:cxn>
              <a:cxn ang="0">
                <a:pos x="csX6788" y="csY6788"/>
              </a:cxn>
              <a:cxn ang="0">
                <a:pos x="csX6789" y="csY6789"/>
              </a:cxn>
              <a:cxn ang="0">
                <a:pos x="csX6790" y="csY6790"/>
              </a:cxn>
              <a:cxn ang="0">
                <a:pos x="csX6791" y="csY6791"/>
              </a:cxn>
              <a:cxn ang="0">
                <a:pos x="csX6792" y="csY6792"/>
              </a:cxn>
              <a:cxn ang="0">
                <a:pos x="csX6793" y="csY6793"/>
              </a:cxn>
              <a:cxn ang="0">
                <a:pos x="csX6794" y="csY6794"/>
              </a:cxn>
              <a:cxn ang="0">
                <a:pos x="csX6795" y="csY6795"/>
              </a:cxn>
              <a:cxn ang="0">
                <a:pos x="csX6796" y="csY6796"/>
              </a:cxn>
              <a:cxn ang="0">
                <a:pos x="csX6797" y="csY6797"/>
              </a:cxn>
              <a:cxn ang="0">
                <a:pos x="csX6798" y="csY6798"/>
              </a:cxn>
              <a:cxn ang="0">
                <a:pos x="csX6799" y="csY6799"/>
              </a:cxn>
              <a:cxn ang="0">
                <a:pos x="csX6800" y="csY6800"/>
              </a:cxn>
              <a:cxn ang="0">
                <a:pos x="csX6801" y="csY6801"/>
              </a:cxn>
              <a:cxn ang="0">
                <a:pos x="csX6802" y="csY6802"/>
              </a:cxn>
              <a:cxn ang="0">
                <a:pos x="csX6803" y="csY6803"/>
              </a:cxn>
              <a:cxn ang="0">
                <a:pos x="csX6804" y="csY6804"/>
              </a:cxn>
              <a:cxn ang="0">
                <a:pos x="csX6805" y="csY6805"/>
              </a:cxn>
              <a:cxn ang="0">
                <a:pos x="csX6806" y="csY6806"/>
              </a:cxn>
              <a:cxn ang="0">
                <a:pos x="csX6807" y="csY6807"/>
              </a:cxn>
              <a:cxn ang="0">
                <a:pos x="csX6808" y="csY6808"/>
              </a:cxn>
              <a:cxn ang="0">
                <a:pos x="csX6809" y="csY6809"/>
              </a:cxn>
              <a:cxn ang="0">
                <a:pos x="csX6810" y="csY6810"/>
              </a:cxn>
              <a:cxn ang="0">
                <a:pos x="csX6811" y="csY6811"/>
              </a:cxn>
              <a:cxn ang="0">
                <a:pos x="csX6812" y="csY6812"/>
              </a:cxn>
              <a:cxn ang="0">
                <a:pos x="csX6813" y="csY6813"/>
              </a:cxn>
              <a:cxn ang="0">
                <a:pos x="csX6814" y="csY6814"/>
              </a:cxn>
              <a:cxn ang="0">
                <a:pos x="csX6815" y="csY6815"/>
              </a:cxn>
              <a:cxn ang="0">
                <a:pos x="csX6816" y="csY6816"/>
              </a:cxn>
              <a:cxn ang="0">
                <a:pos x="csX6817" y="csY6817"/>
              </a:cxn>
              <a:cxn ang="0">
                <a:pos x="csX6818" y="csY6818"/>
              </a:cxn>
              <a:cxn ang="0">
                <a:pos x="csX6819" y="csY6819"/>
              </a:cxn>
              <a:cxn ang="0">
                <a:pos x="csX6820" y="csY6820"/>
              </a:cxn>
              <a:cxn ang="0">
                <a:pos x="csX6821" y="csY6821"/>
              </a:cxn>
              <a:cxn ang="0">
                <a:pos x="csX6822" y="csY6822"/>
              </a:cxn>
              <a:cxn ang="0">
                <a:pos x="csX6823" y="csY6823"/>
              </a:cxn>
              <a:cxn ang="0">
                <a:pos x="csX6824" y="csY6824"/>
              </a:cxn>
              <a:cxn ang="0">
                <a:pos x="csX6825" y="csY6825"/>
              </a:cxn>
              <a:cxn ang="0">
                <a:pos x="csX6826" y="csY6826"/>
              </a:cxn>
              <a:cxn ang="0">
                <a:pos x="csX6827" y="csY6827"/>
              </a:cxn>
              <a:cxn ang="0">
                <a:pos x="csX6828" y="csY6828"/>
              </a:cxn>
              <a:cxn ang="0">
                <a:pos x="csX6829" y="csY6829"/>
              </a:cxn>
              <a:cxn ang="0">
                <a:pos x="csX6830" y="csY6830"/>
              </a:cxn>
              <a:cxn ang="0">
                <a:pos x="csX6831" y="csY6831"/>
              </a:cxn>
              <a:cxn ang="0">
                <a:pos x="csX6832" y="csY6832"/>
              </a:cxn>
              <a:cxn ang="0">
                <a:pos x="csX6833" y="csY6833"/>
              </a:cxn>
              <a:cxn ang="0">
                <a:pos x="csX6834" y="csY6834"/>
              </a:cxn>
              <a:cxn ang="0">
                <a:pos x="csX6835" y="csY6835"/>
              </a:cxn>
              <a:cxn ang="0">
                <a:pos x="csX6836" y="csY6836"/>
              </a:cxn>
              <a:cxn ang="0">
                <a:pos x="csX6837" y="csY6837"/>
              </a:cxn>
              <a:cxn ang="0">
                <a:pos x="csX6838" y="csY6838"/>
              </a:cxn>
              <a:cxn ang="0">
                <a:pos x="csX6839" y="csY6839"/>
              </a:cxn>
              <a:cxn ang="0">
                <a:pos x="csX6840" y="csY6840"/>
              </a:cxn>
              <a:cxn ang="0">
                <a:pos x="csX6841" y="csY6841"/>
              </a:cxn>
              <a:cxn ang="0">
                <a:pos x="csX6842" y="csY6842"/>
              </a:cxn>
              <a:cxn ang="0">
                <a:pos x="csX6843" y="csY6843"/>
              </a:cxn>
              <a:cxn ang="0">
                <a:pos x="csX6844" y="csY6844"/>
              </a:cxn>
              <a:cxn ang="0">
                <a:pos x="csX6845" y="csY6845"/>
              </a:cxn>
              <a:cxn ang="0">
                <a:pos x="csX6846" y="csY6846"/>
              </a:cxn>
              <a:cxn ang="0">
                <a:pos x="csX6847" y="csY6847"/>
              </a:cxn>
              <a:cxn ang="0">
                <a:pos x="csX6848" y="csY6848"/>
              </a:cxn>
              <a:cxn ang="0">
                <a:pos x="csX6849" y="csY6849"/>
              </a:cxn>
              <a:cxn ang="0">
                <a:pos x="csX6850" y="csY6850"/>
              </a:cxn>
              <a:cxn ang="0">
                <a:pos x="csX6851" y="csY6851"/>
              </a:cxn>
              <a:cxn ang="0">
                <a:pos x="csX6852" y="csY6852"/>
              </a:cxn>
              <a:cxn ang="0">
                <a:pos x="csX6853" y="csY6853"/>
              </a:cxn>
              <a:cxn ang="0">
                <a:pos x="csX6854" y="csY6854"/>
              </a:cxn>
              <a:cxn ang="0">
                <a:pos x="csX6855" y="csY6855"/>
              </a:cxn>
              <a:cxn ang="0">
                <a:pos x="csX6856" y="csY6856"/>
              </a:cxn>
              <a:cxn ang="0">
                <a:pos x="csX6857" y="csY6857"/>
              </a:cxn>
              <a:cxn ang="0">
                <a:pos x="csX6858" y="csY6858"/>
              </a:cxn>
              <a:cxn ang="0">
                <a:pos x="csX6859" y="csY6859"/>
              </a:cxn>
              <a:cxn ang="0">
                <a:pos x="csX6860" y="csY6860"/>
              </a:cxn>
              <a:cxn ang="0">
                <a:pos x="csX6861" y="csY6861"/>
              </a:cxn>
              <a:cxn ang="0">
                <a:pos x="csX6862" y="csY6862"/>
              </a:cxn>
              <a:cxn ang="0">
                <a:pos x="csX6863" y="csY6863"/>
              </a:cxn>
              <a:cxn ang="0">
                <a:pos x="csX6864" y="csY6864"/>
              </a:cxn>
              <a:cxn ang="0">
                <a:pos x="csX6865" y="csY6865"/>
              </a:cxn>
              <a:cxn ang="0">
                <a:pos x="csX6866" y="csY6866"/>
              </a:cxn>
              <a:cxn ang="0">
                <a:pos x="csX6867" y="csY6867"/>
              </a:cxn>
              <a:cxn ang="0">
                <a:pos x="csX6868" y="csY6868"/>
              </a:cxn>
              <a:cxn ang="0">
                <a:pos x="csX6869" y="csY6869"/>
              </a:cxn>
              <a:cxn ang="0">
                <a:pos x="csX6870" y="csY6870"/>
              </a:cxn>
              <a:cxn ang="0">
                <a:pos x="csX6871" y="csY6871"/>
              </a:cxn>
              <a:cxn ang="0">
                <a:pos x="csX6872" y="csY6872"/>
              </a:cxn>
              <a:cxn ang="0">
                <a:pos x="csX6873" y="csY6873"/>
              </a:cxn>
              <a:cxn ang="0">
                <a:pos x="csX6874" y="csY6874"/>
              </a:cxn>
              <a:cxn ang="0">
                <a:pos x="csX6875" y="csY6875"/>
              </a:cxn>
              <a:cxn ang="0">
                <a:pos x="csX6876" y="csY6876"/>
              </a:cxn>
              <a:cxn ang="0">
                <a:pos x="csX6877" y="csY6877"/>
              </a:cxn>
              <a:cxn ang="0">
                <a:pos x="csX6878" y="csY6878"/>
              </a:cxn>
              <a:cxn ang="0">
                <a:pos x="csX6879" y="csY6879"/>
              </a:cxn>
              <a:cxn ang="0">
                <a:pos x="csX6880" y="csY6880"/>
              </a:cxn>
              <a:cxn ang="0">
                <a:pos x="csX6881" y="csY6881"/>
              </a:cxn>
              <a:cxn ang="0">
                <a:pos x="csX6882" y="csY6882"/>
              </a:cxn>
              <a:cxn ang="0">
                <a:pos x="csX6883" y="csY6883"/>
              </a:cxn>
              <a:cxn ang="0">
                <a:pos x="csX6884" y="csY6884"/>
              </a:cxn>
              <a:cxn ang="0">
                <a:pos x="csX6885" y="csY6885"/>
              </a:cxn>
              <a:cxn ang="0">
                <a:pos x="csX6886" y="csY6886"/>
              </a:cxn>
              <a:cxn ang="0">
                <a:pos x="csX6887" y="csY6887"/>
              </a:cxn>
              <a:cxn ang="0">
                <a:pos x="csX6888" y="csY6888"/>
              </a:cxn>
              <a:cxn ang="0">
                <a:pos x="csX6889" y="csY6889"/>
              </a:cxn>
              <a:cxn ang="0">
                <a:pos x="csX6890" y="csY6890"/>
              </a:cxn>
              <a:cxn ang="0">
                <a:pos x="csX6891" y="csY6891"/>
              </a:cxn>
              <a:cxn ang="0">
                <a:pos x="csX6892" y="csY6892"/>
              </a:cxn>
              <a:cxn ang="0">
                <a:pos x="csX6893" y="csY6893"/>
              </a:cxn>
              <a:cxn ang="0">
                <a:pos x="csX6894" y="csY6894"/>
              </a:cxn>
              <a:cxn ang="0">
                <a:pos x="csX6895" y="csY6895"/>
              </a:cxn>
              <a:cxn ang="0">
                <a:pos x="csX6896" y="csY6896"/>
              </a:cxn>
              <a:cxn ang="0">
                <a:pos x="csX6897" y="csY6897"/>
              </a:cxn>
              <a:cxn ang="0">
                <a:pos x="csX6898" y="csY6898"/>
              </a:cxn>
              <a:cxn ang="0">
                <a:pos x="csX6899" y="csY6899"/>
              </a:cxn>
              <a:cxn ang="0">
                <a:pos x="csX6900" y="csY6900"/>
              </a:cxn>
              <a:cxn ang="0">
                <a:pos x="csX6901" y="csY6901"/>
              </a:cxn>
              <a:cxn ang="0">
                <a:pos x="csX6902" y="csY6902"/>
              </a:cxn>
              <a:cxn ang="0">
                <a:pos x="csX6903" y="csY6903"/>
              </a:cxn>
              <a:cxn ang="0">
                <a:pos x="csX6904" y="csY6904"/>
              </a:cxn>
              <a:cxn ang="0">
                <a:pos x="csX6905" y="csY6905"/>
              </a:cxn>
              <a:cxn ang="0">
                <a:pos x="csX6906" y="csY6906"/>
              </a:cxn>
              <a:cxn ang="0">
                <a:pos x="csX6907" y="csY6907"/>
              </a:cxn>
              <a:cxn ang="0">
                <a:pos x="csX6908" y="csY6908"/>
              </a:cxn>
              <a:cxn ang="0">
                <a:pos x="csX6909" y="csY6909"/>
              </a:cxn>
              <a:cxn ang="0">
                <a:pos x="csX6910" y="csY6910"/>
              </a:cxn>
              <a:cxn ang="0">
                <a:pos x="csX6911" y="csY6911"/>
              </a:cxn>
              <a:cxn ang="0">
                <a:pos x="csX6912" y="csY6912"/>
              </a:cxn>
              <a:cxn ang="0">
                <a:pos x="csX6913" y="csY6913"/>
              </a:cxn>
              <a:cxn ang="0">
                <a:pos x="csX6914" y="csY6914"/>
              </a:cxn>
              <a:cxn ang="0">
                <a:pos x="csX6915" y="csY6915"/>
              </a:cxn>
              <a:cxn ang="0">
                <a:pos x="csX6916" y="csY6916"/>
              </a:cxn>
              <a:cxn ang="0">
                <a:pos x="csX6917" y="csY6917"/>
              </a:cxn>
              <a:cxn ang="0">
                <a:pos x="csX6918" y="csY6918"/>
              </a:cxn>
              <a:cxn ang="0">
                <a:pos x="csX6919" y="csY6919"/>
              </a:cxn>
              <a:cxn ang="0">
                <a:pos x="csX6920" y="csY6920"/>
              </a:cxn>
              <a:cxn ang="0">
                <a:pos x="csX6921" y="csY6921"/>
              </a:cxn>
              <a:cxn ang="0">
                <a:pos x="csX6922" y="csY6922"/>
              </a:cxn>
              <a:cxn ang="0">
                <a:pos x="csX6923" y="csY6923"/>
              </a:cxn>
              <a:cxn ang="0">
                <a:pos x="csX6924" y="csY6924"/>
              </a:cxn>
              <a:cxn ang="0">
                <a:pos x="csX6925" y="csY6925"/>
              </a:cxn>
              <a:cxn ang="0">
                <a:pos x="csX6926" y="csY6926"/>
              </a:cxn>
              <a:cxn ang="0">
                <a:pos x="csX6927" y="csY6927"/>
              </a:cxn>
              <a:cxn ang="0">
                <a:pos x="csX6928" y="csY6928"/>
              </a:cxn>
              <a:cxn ang="0">
                <a:pos x="csX6929" y="csY6929"/>
              </a:cxn>
              <a:cxn ang="0">
                <a:pos x="csX6930" y="csY6930"/>
              </a:cxn>
              <a:cxn ang="0">
                <a:pos x="csX6931" y="csY6931"/>
              </a:cxn>
              <a:cxn ang="0">
                <a:pos x="csX6932" y="csY6932"/>
              </a:cxn>
              <a:cxn ang="0">
                <a:pos x="csX6933" y="csY6933"/>
              </a:cxn>
              <a:cxn ang="0">
                <a:pos x="csX6934" y="csY6934"/>
              </a:cxn>
              <a:cxn ang="0">
                <a:pos x="csX6935" y="csY6935"/>
              </a:cxn>
              <a:cxn ang="0">
                <a:pos x="csX6936" y="csY6936"/>
              </a:cxn>
              <a:cxn ang="0">
                <a:pos x="csX6937" y="csY6937"/>
              </a:cxn>
              <a:cxn ang="0">
                <a:pos x="csX6938" y="csY6938"/>
              </a:cxn>
              <a:cxn ang="0">
                <a:pos x="csX6939" y="csY6939"/>
              </a:cxn>
              <a:cxn ang="0">
                <a:pos x="csX6940" y="csY6940"/>
              </a:cxn>
              <a:cxn ang="0">
                <a:pos x="csX6941" y="csY6941"/>
              </a:cxn>
              <a:cxn ang="0">
                <a:pos x="csX6942" y="csY6942"/>
              </a:cxn>
              <a:cxn ang="0">
                <a:pos x="csX6943" y="csY6943"/>
              </a:cxn>
              <a:cxn ang="0">
                <a:pos x="csX6944" y="csY6944"/>
              </a:cxn>
              <a:cxn ang="0">
                <a:pos x="csX6945" y="csY6945"/>
              </a:cxn>
              <a:cxn ang="0">
                <a:pos x="csX6946" y="csY6946"/>
              </a:cxn>
              <a:cxn ang="0">
                <a:pos x="csX6947" y="csY6947"/>
              </a:cxn>
              <a:cxn ang="0">
                <a:pos x="csX6948" y="csY6948"/>
              </a:cxn>
              <a:cxn ang="0">
                <a:pos x="csX6949" y="csY6949"/>
              </a:cxn>
              <a:cxn ang="0">
                <a:pos x="csX6950" y="csY6950"/>
              </a:cxn>
              <a:cxn ang="0">
                <a:pos x="csX6951" y="csY6951"/>
              </a:cxn>
              <a:cxn ang="0">
                <a:pos x="csX6952" y="csY6952"/>
              </a:cxn>
              <a:cxn ang="0">
                <a:pos x="csX6953" y="csY6953"/>
              </a:cxn>
              <a:cxn ang="0">
                <a:pos x="csX6954" y="csY6954"/>
              </a:cxn>
              <a:cxn ang="0">
                <a:pos x="csX6955" y="csY6955"/>
              </a:cxn>
              <a:cxn ang="0">
                <a:pos x="csX6956" y="csY6956"/>
              </a:cxn>
              <a:cxn ang="0">
                <a:pos x="csX6957" y="csY6957"/>
              </a:cxn>
              <a:cxn ang="0">
                <a:pos x="csX6958" y="csY6958"/>
              </a:cxn>
              <a:cxn ang="0">
                <a:pos x="csX6959" y="csY6959"/>
              </a:cxn>
              <a:cxn ang="0">
                <a:pos x="csX6960" y="csY6960"/>
              </a:cxn>
              <a:cxn ang="0">
                <a:pos x="csX6961" y="csY6961"/>
              </a:cxn>
              <a:cxn ang="0">
                <a:pos x="csX6962" y="csY6962"/>
              </a:cxn>
              <a:cxn ang="0">
                <a:pos x="csX6963" y="csY6963"/>
              </a:cxn>
              <a:cxn ang="0">
                <a:pos x="csX6964" y="csY6964"/>
              </a:cxn>
              <a:cxn ang="0">
                <a:pos x="csX6965" y="csY6965"/>
              </a:cxn>
              <a:cxn ang="0">
                <a:pos x="csX6966" y="csY6966"/>
              </a:cxn>
              <a:cxn ang="0">
                <a:pos x="csX6967" y="csY6967"/>
              </a:cxn>
              <a:cxn ang="0">
                <a:pos x="csX6968" y="csY6968"/>
              </a:cxn>
              <a:cxn ang="0">
                <a:pos x="csX6969" y="csY6969"/>
              </a:cxn>
              <a:cxn ang="0">
                <a:pos x="csX6970" y="csY6970"/>
              </a:cxn>
              <a:cxn ang="0">
                <a:pos x="csX6971" y="csY6971"/>
              </a:cxn>
              <a:cxn ang="0">
                <a:pos x="csX6972" y="csY6972"/>
              </a:cxn>
              <a:cxn ang="0">
                <a:pos x="csX6973" y="csY6973"/>
              </a:cxn>
              <a:cxn ang="0">
                <a:pos x="csX6974" y="csY6974"/>
              </a:cxn>
              <a:cxn ang="0">
                <a:pos x="csX6975" y="csY6975"/>
              </a:cxn>
              <a:cxn ang="0">
                <a:pos x="csX6976" y="csY6976"/>
              </a:cxn>
              <a:cxn ang="0">
                <a:pos x="csX6977" y="csY6977"/>
              </a:cxn>
              <a:cxn ang="0">
                <a:pos x="csX6978" y="csY6978"/>
              </a:cxn>
              <a:cxn ang="0">
                <a:pos x="csX6979" y="csY6979"/>
              </a:cxn>
              <a:cxn ang="0">
                <a:pos x="csX6980" y="csY6980"/>
              </a:cxn>
              <a:cxn ang="0">
                <a:pos x="csX6981" y="csY6981"/>
              </a:cxn>
              <a:cxn ang="0">
                <a:pos x="csX6982" y="csY6982"/>
              </a:cxn>
              <a:cxn ang="0">
                <a:pos x="csX6983" y="csY6983"/>
              </a:cxn>
              <a:cxn ang="0">
                <a:pos x="csX6984" y="csY6984"/>
              </a:cxn>
              <a:cxn ang="0">
                <a:pos x="csX6985" y="csY6985"/>
              </a:cxn>
              <a:cxn ang="0">
                <a:pos x="csX6986" y="csY6986"/>
              </a:cxn>
              <a:cxn ang="0">
                <a:pos x="csX6987" y="csY6987"/>
              </a:cxn>
              <a:cxn ang="0">
                <a:pos x="csX6988" y="csY6988"/>
              </a:cxn>
              <a:cxn ang="0">
                <a:pos x="csX6989" y="csY6989"/>
              </a:cxn>
              <a:cxn ang="0">
                <a:pos x="csX6990" y="csY6990"/>
              </a:cxn>
              <a:cxn ang="0">
                <a:pos x="csX6991" y="csY6991"/>
              </a:cxn>
              <a:cxn ang="0">
                <a:pos x="csX6992" y="csY6992"/>
              </a:cxn>
              <a:cxn ang="0">
                <a:pos x="csX6993" y="csY6993"/>
              </a:cxn>
              <a:cxn ang="0">
                <a:pos x="csX6994" y="csY6994"/>
              </a:cxn>
              <a:cxn ang="0">
                <a:pos x="csX6995" y="csY6995"/>
              </a:cxn>
              <a:cxn ang="0">
                <a:pos x="csX6996" y="csY6996"/>
              </a:cxn>
              <a:cxn ang="0">
                <a:pos x="csX6997" y="csY6997"/>
              </a:cxn>
              <a:cxn ang="0">
                <a:pos x="csX6998" y="csY6998"/>
              </a:cxn>
              <a:cxn ang="0">
                <a:pos x="csX6999" y="csY6999"/>
              </a:cxn>
              <a:cxn ang="0">
                <a:pos x="csX7000" y="csY7000"/>
              </a:cxn>
              <a:cxn ang="0">
                <a:pos x="csX7001" y="csY7001"/>
              </a:cxn>
              <a:cxn ang="0">
                <a:pos x="csX7002" y="csY7002"/>
              </a:cxn>
              <a:cxn ang="0">
                <a:pos x="csX7003" y="csY7003"/>
              </a:cxn>
              <a:cxn ang="0">
                <a:pos x="csX7004" y="csY7004"/>
              </a:cxn>
              <a:cxn ang="0">
                <a:pos x="csX7005" y="csY7005"/>
              </a:cxn>
              <a:cxn ang="0">
                <a:pos x="csX7006" y="csY7006"/>
              </a:cxn>
              <a:cxn ang="0">
                <a:pos x="csX7007" y="csY7007"/>
              </a:cxn>
              <a:cxn ang="0">
                <a:pos x="csX7008" y="csY7008"/>
              </a:cxn>
              <a:cxn ang="0">
                <a:pos x="csX7009" y="csY7009"/>
              </a:cxn>
              <a:cxn ang="0">
                <a:pos x="csX7010" y="csY7010"/>
              </a:cxn>
              <a:cxn ang="0">
                <a:pos x="csX7011" y="csY7011"/>
              </a:cxn>
              <a:cxn ang="0">
                <a:pos x="csX7012" y="csY7012"/>
              </a:cxn>
              <a:cxn ang="0">
                <a:pos x="csX7013" y="csY7013"/>
              </a:cxn>
              <a:cxn ang="0">
                <a:pos x="csX7014" y="csY7014"/>
              </a:cxn>
              <a:cxn ang="0">
                <a:pos x="csX7015" y="csY7015"/>
              </a:cxn>
              <a:cxn ang="0">
                <a:pos x="csX7016" y="csY7016"/>
              </a:cxn>
              <a:cxn ang="0">
                <a:pos x="csX7017" y="csY7017"/>
              </a:cxn>
              <a:cxn ang="0">
                <a:pos x="csX7018" y="csY7018"/>
              </a:cxn>
              <a:cxn ang="0">
                <a:pos x="csX7019" y="csY7019"/>
              </a:cxn>
              <a:cxn ang="0">
                <a:pos x="csX7020" y="csY7020"/>
              </a:cxn>
              <a:cxn ang="0">
                <a:pos x="csX7021" y="csY7021"/>
              </a:cxn>
              <a:cxn ang="0">
                <a:pos x="csX7022" y="csY7022"/>
              </a:cxn>
              <a:cxn ang="0">
                <a:pos x="csX7023" y="csY7023"/>
              </a:cxn>
              <a:cxn ang="0">
                <a:pos x="csX7024" y="csY7024"/>
              </a:cxn>
              <a:cxn ang="0">
                <a:pos x="csX7025" y="csY7025"/>
              </a:cxn>
              <a:cxn ang="0">
                <a:pos x="csX7026" y="csY7026"/>
              </a:cxn>
              <a:cxn ang="0">
                <a:pos x="csX7027" y="csY7027"/>
              </a:cxn>
              <a:cxn ang="0">
                <a:pos x="csX7028" y="csY7028"/>
              </a:cxn>
              <a:cxn ang="0">
                <a:pos x="csX7029" y="csY7029"/>
              </a:cxn>
              <a:cxn ang="0">
                <a:pos x="csX7030" y="csY7030"/>
              </a:cxn>
              <a:cxn ang="0">
                <a:pos x="csX7031" y="csY7031"/>
              </a:cxn>
              <a:cxn ang="0">
                <a:pos x="csX7032" y="csY7032"/>
              </a:cxn>
              <a:cxn ang="0">
                <a:pos x="csX7033" y="csY7033"/>
              </a:cxn>
              <a:cxn ang="0">
                <a:pos x="csX7034" y="csY7034"/>
              </a:cxn>
              <a:cxn ang="0">
                <a:pos x="csX7035" y="csY7035"/>
              </a:cxn>
              <a:cxn ang="0">
                <a:pos x="csX7036" y="csY7036"/>
              </a:cxn>
              <a:cxn ang="0">
                <a:pos x="csX7037" y="csY7037"/>
              </a:cxn>
              <a:cxn ang="0">
                <a:pos x="csX7038" y="csY7038"/>
              </a:cxn>
              <a:cxn ang="0">
                <a:pos x="csX7039" y="csY7039"/>
              </a:cxn>
              <a:cxn ang="0">
                <a:pos x="csX7040" y="csY7040"/>
              </a:cxn>
              <a:cxn ang="0">
                <a:pos x="csX7041" y="csY7041"/>
              </a:cxn>
              <a:cxn ang="0">
                <a:pos x="csX7042" y="csY7042"/>
              </a:cxn>
              <a:cxn ang="0">
                <a:pos x="csX7043" y="csY7043"/>
              </a:cxn>
              <a:cxn ang="0">
                <a:pos x="csX7044" y="csY7044"/>
              </a:cxn>
              <a:cxn ang="0">
                <a:pos x="csX7045" y="csY7045"/>
              </a:cxn>
              <a:cxn ang="0">
                <a:pos x="csX7046" y="csY7046"/>
              </a:cxn>
              <a:cxn ang="0">
                <a:pos x="csX7047" y="csY7047"/>
              </a:cxn>
              <a:cxn ang="0">
                <a:pos x="csX7048" y="csY7048"/>
              </a:cxn>
              <a:cxn ang="0">
                <a:pos x="csX7049" y="csY7049"/>
              </a:cxn>
              <a:cxn ang="0">
                <a:pos x="csX7050" y="csY7050"/>
              </a:cxn>
              <a:cxn ang="0">
                <a:pos x="csX7051" y="csY7051"/>
              </a:cxn>
              <a:cxn ang="0">
                <a:pos x="csX7052" y="csY7052"/>
              </a:cxn>
              <a:cxn ang="0">
                <a:pos x="csX7053" y="csY7053"/>
              </a:cxn>
              <a:cxn ang="0">
                <a:pos x="csX7054" y="csY7054"/>
              </a:cxn>
              <a:cxn ang="0">
                <a:pos x="csX7055" y="csY7055"/>
              </a:cxn>
              <a:cxn ang="0">
                <a:pos x="csX7056" y="csY7056"/>
              </a:cxn>
              <a:cxn ang="0">
                <a:pos x="csX7057" y="csY7057"/>
              </a:cxn>
              <a:cxn ang="0">
                <a:pos x="csX7058" y="csY7058"/>
              </a:cxn>
              <a:cxn ang="0">
                <a:pos x="csX7059" y="csY7059"/>
              </a:cxn>
              <a:cxn ang="0">
                <a:pos x="csX7060" y="csY7060"/>
              </a:cxn>
              <a:cxn ang="0">
                <a:pos x="csX7061" y="csY7061"/>
              </a:cxn>
              <a:cxn ang="0">
                <a:pos x="csX7062" y="csY7062"/>
              </a:cxn>
              <a:cxn ang="0">
                <a:pos x="csX7063" y="csY7063"/>
              </a:cxn>
              <a:cxn ang="0">
                <a:pos x="csX7064" y="csY7064"/>
              </a:cxn>
              <a:cxn ang="0">
                <a:pos x="csX7065" y="csY7065"/>
              </a:cxn>
              <a:cxn ang="0">
                <a:pos x="csX7066" y="csY7066"/>
              </a:cxn>
              <a:cxn ang="0">
                <a:pos x="csX7067" y="csY7067"/>
              </a:cxn>
              <a:cxn ang="0">
                <a:pos x="csX7068" y="csY7068"/>
              </a:cxn>
              <a:cxn ang="0">
                <a:pos x="csX7069" y="csY7069"/>
              </a:cxn>
              <a:cxn ang="0">
                <a:pos x="csX7070" y="csY7070"/>
              </a:cxn>
              <a:cxn ang="0">
                <a:pos x="csX7071" y="csY7071"/>
              </a:cxn>
              <a:cxn ang="0">
                <a:pos x="csX7072" y="csY7072"/>
              </a:cxn>
              <a:cxn ang="0">
                <a:pos x="csX7073" y="csY7073"/>
              </a:cxn>
              <a:cxn ang="0">
                <a:pos x="csX7074" y="csY7074"/>
              </a:cxn>
              <a:cxn ang="0">
                <a:pos x="csX7075" y="csY7075"/>
              </a:cxn>
              <a:cxn ang="0">
                <a:pos x="csX7076" y="csY7076"/>
              </a:cxn>
              <a:cxn ang="0">
                <a:pos x="csX7077" y="csY7077"/>
              </a:cxn>
              <a:cxn ang="0">
                <a:pos x="csX7078" y="csY7078"/>
              </a:cxn>
              <a:cxn ang="0">
                <a:pos x="csX7079" y="csY7079"/>
              </a:cxn>
              <a:cxn ang="0">
                <a:pos x="csX7080" y="csY7080"/>
              </a:cxn>
              <a:cxn ang="0">
                <a:pos x="csX7081" y="csY7081"/>
              </a:cxn>
              <a:cxn ang="0">
                <a:pos x="csX7082" y="csY7082"/>
              </a:cxn>
              <a:cxn ang="0">
                <a:pos x="csX7083" y="csY7083"/>
              </a:cxn>
              <a:cxn ang="0">
                <a:pos x="csX7084" y="csY7084"/>
              </a:cxn>
              <a:cxn ang="0">
                <a:pos x="csX7085" y="csY7085"/>
              </a:cxn>
              <a:cxn ang="0">
                <a:pos x="csX7086" y="csY7086"/>
              </a:cxn>
              <a:cxn ang="0">
                <a:pos x="csX7087" y="csY7087"/>
              </a:cxn>
              <a:cxn ang="0">
                <a:pos x="csX7088" y="csY7088"/>
              </a:cxn>
              <a:cxn ang="0">
                <a:pos x="csX7089" y="csY7089"/>
              </a:cxn>
              <a:cxn ang="0">
                <a:pos x="csX7090" y="csY7090"/>
              </a:cxn>
              <a:cxn ang="0">
                <a:pos x="csX7091" y="csY7091"/>
              </a:cxn>
              <a:cxn ang="0">
                <a:pos x="csX7092" y="csY7092"/>
              </a:cxn>
              <a:cxn ang="0">
                <a:pos x="csX7093" y="csY7093"/>
              </a:cxn>
              <a:cxn ang="0">
                <a:pos x="csX7094" y="csY7094"/>
              </a:cxn>
              <a:cxn ang="0">
                <a:pos x="csX7095" y="csY7095"/>
              </a:cxn>
              <a:cxn ang="0">
                <a:pos x="csX7096" y="csY7096"/>
              </a:cxn>
              <a:cxn ang="0">
                <a:pos x="csX7097" y="csY7097"/>
              </a:cxn>
              <a:cxn ang="0">
                <a:pos x="csX7098" y="csY7098"/>
              </a:cxn>
              <a:cxn ang="0">
                <a:pos x="csX7099" y="csY7099"/>
              </a:cxn>
              <a:cxn ang="0">
                <a:pos x="csX7100" y="csY7100"/>
              </a:cxn>
              <a:cxn ang="0">
                <a:pos x="csX7101" y="csY7101"/>
              </a:cxn>
              <a:cxn ang="0">
                <a:pos x="csX7102" y="csY7102"/>
              </a:cxn>
              <a:cxn ang="0">
                <a:pos x="csX7103" y="csY7103"/>
              </a:cxn>
              <a:cxn ang="0">
                <a:pos x="csX7104" y="csY7104"/>
              </a:cxn>
              <a:cxn ang="0">
                <a:pos x="csX7105" y="csY7105"/>
              </a:cxn>
              <a:cxn ang="0">
                <a:pos x="csX7106" y="csY7106"/>
              </a:cxn>
              <a:cxn ang="0">
                <a:pos x="csX7107" y="csY7107"/>
              </a:cxn>
              <a:cxn ang="0">
                <a:pos x="csX7108" y="csY7108"/>
              </a:cxn>
              <a:cxn ang="0">
                <a:pos x="csX7109" y="csY7109"/>
              </a:cxn>
              <a:cxn ang="0">
                <a:pos x="csX7110" y="csY7110"/>
              </a:cxn>
              <a:cxn ang="0">
                <a:pos x="csX7111" y="csY7111"/>
              </a:cxn>
              <a:cxn ang="0">
                <a:pos x="csX7112" y="csY7112"/>
              </a:cxn>
              <a:cxn ang="0">
                <a:pos x="csX7113" y="csY7113"/>
              </a:cxn>
              <a:cxn ang="0">
                <a:pos x="csX7114" y="csY7114"/>
              </a:cxn>
              <a:cxn ang="0">
                <a:pos x="csX7115" y="csY7115"/>
              </a:cxn>
              <a:cxn ang="0">
                <a:pos x="csX7116" y="csY7116"/>
              </a:cxn>
              <a:cxn ang="0">
                <a:pos x="csX7117" y="csY7117"/>
              </a:cxn>
              <a:cxn ang="0">
                <a:pos x="csX7118" y="csY7118"/>
              </a:cxn>
              <a:cxn ang="0">
                <a:pos x="csX7119" y="csY7119"/>
              </a:cxn>
              <a:cxn ang="0">
                <a:pos x="csX7120" y="csY7120"/>
              </a:cxn>
              <a:cxn ang="0">
                <a:pos x="csX7121" y="csY7121"/>
              </a:cxn>
              <a:cxn ang="0">
                <a:pos x="csX7122" y="csY7122"/>
              </a:cxn>
              <a:cxn ang="0">
                <a:pos x="csX7123" y="csY7123"/>
              </a:cxn>
              <a:cxn ang="0">
                <a:pos x="csX7124" y="csY7124"/>
              </a:cxn>
              <a:cxn ang="0">
                <a:pos x="csX7125" y="csY7125"/>
              </a:cxn>
              <a:cxn ang="0">
                <a:pos x="csX7126" y="csY7126"/>
              </a:cxn>
              <a:cxn ang="0">
                <a:pos x="csX7127" y="csY7127"/>
              </a:cxn>
              <a:cxn ang="0">
                <a:pos x="csX7128" y="csY7128"/>
              </a:cxn>
              <a:cxn ang="0">
                <a:pos x="csX7129" y="csY7129"/>
              </a:cxn>
              <a:cxn ang="0">
                <a:pos x="csX7130" y="csY7130"/>
              </a:cxn>
              <a:cxn ang="0">
                <a:pos x="csX7131" y="csY7131"/>
              </a:cxn>
              <a:cxn ang="0">
                <a:pos x="csX7132" y="csY7132"/>
              </a:cxn>
              <a:cxn ang="0">
                <a:pos x="csX7133" y="csY7133"/>
              </a:cxn>
              <a:cxn ang="0">
                <a:pos x="csX7134" y="csY7134"/>
              </a:cxn>
              <a:cxn ang="0">
                <a:pos x="csX7135" y="csY7135"/>
              </a:cxn>
              <a:cxn ang="0">
                <a:pos x="csX7136" y="csY7136"/>
              </a:cxn>
              <a:cxn ang="0">
                <a:pos x="csX7137" y="csY7137"/>
              </a:cxn>
              <a:cxn ang="0">
                <a:pos x="csX7138" y="csY7138"/>
              </a:cxn>
              <a:cxn ang="0">
                <a:pos x="csX7139" y="csY7139"/>
              </a:cxn>
              <a:cxn ang="0">
                <a:pos x="csX7140" y="csY7140"/>
              </a:cxn>
              <a:cxn ang="0">
                <a:pos x="csX7141" y="csY7141"/>
              </a:cxn>
              <a:cxn ang="0">
                <a:pos x="csX7142" y="csY7142"/>
              </a:cxn>
              <a:cxn ang="0">
                <a:pos x="csX7143" y="csY7143"/>
              </a:cxn>
              <a:cxn ang="0">
                <a:pos x="csX7144" y="csY7144"/>
              </a:cxn>
              <a:cxn ang="0">
                <a:pos x="csX7145" y="csY7145"/>
              </a:cxn>
              <a:cxn ang="0">
                <a:pos x="csX7146" y="csY7146"/>
              </a:cxn>
              <a:cxn ang="0">
                <a:pos x="csX7147" y="csY7147"/>
              </a:cxn>
              <a:cxn ang="0">
                <a:pos x="csX7148" y="csY7148"/>
              </a:cxn>
              <a:cxn ang="0">
                <a:pos x="csX7149" y="csY7149"/>
              </a:cxn>
              <a:cxn ang="0">
                <a:pos x="csX7150" y="csY7150"/>
              </a:cxn>
              <a:cxn ang="0">
                <a:pos x="csX7151" y="csY7151"/>
              </a:cxn>
              <a:cxn ang="0">
                <a:pos x="csX7152" y="csY7152"/>
              </a:cxn>
              <a:cxn ang="0">
                <a:pos x="csX7153" y="csY7153"/>
              </a:cxn>
              <a:cxn ang="0">
                <a:pos x="csX7154" y="csY7154"/>
              </a:cxn>
              <a:cxn ang="0">
                <a:pos x="csX7155" y="csY7155"/>
              </a:cxn>
              <a:cxn ang="0">
                <a:pos x="csX7156" y="csY7156"/>
              </a:cxn>
              <a:cxn ang="0">
                <a:pos x="csX7157" y="csY7157"/>
              </a:cxn>
              <a:cxn ang="0">
                <a:pos x="csX7158" y="csY7158"/>
              </a:cxn>
              <a:cxn ang="0">
                <a:pos x="csX7159" y="csY7159"/>
              </a:cxn>
              <a:cxn ang="0">
                <a:pos x="csX7160" y="csY7160"/>
              </a:cxn>
              <a:cxn ang="0">
                <a:pos x="csX7161" y="csY7161"/>
              </a:cxn>
              <a:cxn ang="0">
                <a:pos x="csX7162" y="csY7162"/>
              </a:cxn>
              <a:cxn ang="0">
                <a:pos x="csX7163" y="csY7163"/>
              </a:cxn>
              <a:cxn ang="0">
                <a:pos x="csX7164" y="csY7164"/>
              </a:cxn>
              <a:cxn ang="0">
                <a:pos x="csX7165" y="csY7165"/>
              </a:cxn>
              <a:cxn ang="0">
                <a:pos x="csX7166" y="csY7166"/>
              </a:cxn>
              <a:cxn ang="0">
                <a:pos x="csX7167" y="csY7167"/>
              </a:cxn>
              <a:cxn ang="0">
                <a:pos x="csX7168" y="csY7168"/>
              </a:cxn>
              <a:cxn ang="0">
                <a:pos x="csX7169" y="csY7169"/>
              </a:cxn>
              <a:cxn ang="0">
                <a:pos x="csX7170" y="csY7170"/>
              </a:cxn>
              <a:cxn ang="0">
                <a:pos x="csX7171" y="csY7171"/>
              </a:cxn>
              <a:cxn ang="0">
                <a:pos x="csX7172" y="csY7172"/>
              </a:cxn>
              <a:cxn ang="0">
                <a:pos x="csX7173" y="csY7173"/>
              </a:cxn>
              <a:cxn ang="0">
                <a:pos x="csX7174" y="csY7174"/>
              </a:cxn>
              <a:cxn ang="0">
                <a:pos x="csX7175" y="csY7175"/>
              </a:cxn>
              <a:cxn ang="0">
                <a:pos x="csX7176" y="csY7176"/>
              </a:cxn>
              <a:cxn ang="0">
                <a:pos x="csX7177" y="csY7177"/>
              </a:cxn>
              <a:cxn ang="0">
                <a:pos x="csX7178" y="csY7178"/>
              </a:cxn>
              <a:cxn ang="0">
                <a:pos x="csX7179" y="csY7179"/>
              </a:cxn>
              <a:cxn ang="0">
                <a:pos x="csX7180" y="csY7180"/>
              </a:cxn>
              <a:cxn ang="0">
                <a:pos x="csX7181" y="csY7181"/>
              </a:cxn>
              <a:cxn ang="0">
                <a:pos x="csX7182" y="csY7182"/>
              </a:cxn>
              <a:cxn ang="0">
                <a:pos x="csX7183" y="csY7183"/>
              </a:cxn>
              <a:cxn ang="0">
                <a:pos x="csX7184" y="csY7184"/>
              </a:cxn>
              <a:cxn ang="0">
                <a:pos x="csX7185" y="csY7185"/>
              </a:cxn>
              <a:cxn ang="0">
                <a:pos x="csX7186" y="csY7186"/>
              </a:cxn>
              <a:cxn ang="0">
                <a:pos x="csX7187" y="csY7187"/>
              </a:cxn>
              <a:cxn ang="0">
                <a:pos x="csX7188" y="csY7188"/>
              </a:cxn>
              <a:cxn ang="0">
                <a:pos x="csX7189" y="csY7189"/>
              </a:cxn>
              <a:cxn ang="0">
                <a:pos x="csX7190" y="csY7190"/>
              </a:cxn>
              <a:cxn ang="0">
                <a:pos x="csX7191" y="csY7191"/>
              </a:cxn>
              <a:cxn ang="0">
                <a:pos x="csX7192" y="csY7192"/>
              </a:cxn>
              <a:cxn ang="0">
                <a:pos x="csX7193" y="csY7193"/>
              </a:cxn>
              <a:cxn ang="0">
                <a:pos x="csX7194" y="csY7194"/>
              </a:cxn>
              <a:cxn ang="0">
                <a:pos x="csX7195" y="csY7195"/>
              </a:cxn>
              <a:cxn ang="0">
                <a:pos x="csX7196" y="csY7196"/>
              </a:cxn>
              <a:cxn ang="0">
                <a:pos x="csX7197" y="csY7197"/>
              </a:cxn>
              <a:cxn ang="0">
                <a:pos x="csX7198" y="csY7198"/>
              </a:cxn>
              <a:cxn ang="0">
                <a:pos x="csX7199" y="csY7199"/>
              </a:cxn>
              <a:cxn ang="0">
                <a:pos x="csX7200" y="csY7200"/>
              </a:cxn>
              <a:cxn ang="0">
                <a:pos x="csX7201" y="csY7201"/>
              </a:cxn>
              <a:cxn ang="0">
                <a:pos x="csX7202" y="csY7202"/>
              </a:cxn>
              <a:cxn ang="0">
                <a:pos x="csX7203" y="csY7203"/>
              </a:cxn>
              <a:cxn ang="0">
                <a:pos x="csX7204" y="csY7204"/>
              </a:cxn>
              <a:cxn ang="0">
                <a:pos x="csX7205" y="csY7205"/>
              </a:cxn>
              <a:cxn ang="0">
                <a:pos x="csX7206" y="csY7206"/>
              </a:cxn>
              <a:cxn ang="0">
                <a:pos x="csX7207" y="csY7207"/>
              </a:cxn>
              <a:cxn ang="0">
                <a:pos x="csX7208" y="csY7208"/>
              </a:cxn>
              <a:cxn ang="0">
                <a:pos x="csX7209" y="csY7209"/>
              </a:cxn>
              <a:cxn ang="0">
                <a:pos x="csX7210" y="csY7210"/>
              </a:cxn>
              <a:cxn ang="0">
                <a:pos x="csX7211" y="csY7211"/>
              </a:cxn>
              <a:cxn ang="0">
                <a:pos x="csX7212" y="csY7212"/>
              </a:cxn>
              <a:cxn ang="0">
                <a:pos x="csX7213" y="csY7213"/>
              </a:cxn>
              <a:cxn ang="0">
                <a:pos x="csX7214" y="csY7214"/>
              </a:cxn>
              <a:cxn ang="0">
                <a:pos x="csX7215" y="csY7215"/>
              </a:cxn>
              <a:cxn ang="0">
                <a:pos x="csX7216" y="csY7216"/>
              </a:cxn>
              <a:cxn ang="0">
                <a:pos x="csX7217" y="csY7217"/>
              </a:cxn>
              <a:cxn ang="0">
                <a:pos x="csX7218" y="csY7218"/>
              </a:cxn>
              <a:cxn ang="0">
                <a:pos x="csX7219" y="csY7219"/>
              </a:cxn>
              <a:cxn ang="0">
                <a:pos x="csX7220" y="csY7220"/>
              </a:cxn>
              <a:cxn ang="0">
                <a:pos x="csX7221" y="csY7221"/>
              </a:cxn>
              <a:cxn ang="0">
                <a:pos x="csX7222" y="csY7222"/>
              </a:cxn>
              <a:cxn ang="0">
                <a:pos x="csX7223" y="csY7223"/>
              </a:cxn>
              <a:cxn ang="0">
                <a:pos x="csX7224" y="csY7224"/>
              </a:cxn>
              <a:cxn ang="0">
                <a:pos x="csX7225" y="csY7225"/>
              </a:cxn>
              <a:cxn ang="0">
                <a:pos x="csX7226" y="csY7226"/>
              </a:cxn>
              <a:cxn ang="0">
                <a:pos x="csX7227" y="csY7227"/>
              </a:cxn>
              <a:cxn ang="0">
                <a:pos x="csX7228" y="csY7228"/>
              </a:cxn>
              <a:cxn ang="0">
                <a:pos x="csX7229" y="csY7229"/>
              </a:cxn>
              <a:cxn ang="0">
                <a:pos x="csX7230" y="csY7230"/>
              </a:cxn>
              <a:cxn ang="0">
                <a:pos x="csX7231" y="csY7231"/>
              </a:cxn>
              <a:cxn ang="0">
                <a:pos x="csX7232" y="csY7232"/>
              </a:cxn>
              <a:cxn ang="0">
                <a:pos x="csX7233" y="csY7233"/>
              </a:cxn>
              <a:cxn ang="0">
                <a:pos x="csX7234" y="csY7234"/>
              </a:cxn>
              <a:cxn ang="0">
                <a:pos x="csX7235" y="csY7235"/>
              </a:cxn>
              <a:cxn ang="0">
                <a:pos x="csX7236" y="csY7236"/>
              </a:cxn>
              <a:cxn ang="0">
                <a:pos x="csX7237" y="csY7237"/>
              </a:cxn>
              <a:cxn ang="0">
                <a:pos x="csX7238" y="csY7238"/>
              </a:cxn>
              <a:cxn ang="0">
                <a:pos x="csX7239" y="csY7239"/>
              </a:cxn>
              <a:cxn ang="0">
                <a:pos x="csX7240" y="csY7240"/>
              </a:cxn>
              <a:cxn ang="0">
                <a:pos x="csX7241" y="csY7241"/>
              </a:cxn>
              <a:cxn ang="0">
                <a:pos x="csX7242" y="csY7242"/>
              </a:cxn>
              <a:cxn ang="0">
                <a:pos x="csX7243" y="csY7243"/>
              </a:cxn>
              <a:cxn ang="0">
                <a:pos x="csX7244" y="csY7244"/>
              </a:cxn>
              <a:cxn ang="0">
                <a:pos x="csX7245" y="csY7245"/>
              </a:cxn>
              <a:cxn ang="0">
                <a:pos x="csX7246" y="csY7246"/>
              </a:cxn>
              <a:cxn ang="0">
                <a:pos x="csX7247" y="csY7247"/>
              </a:cxn>
              <a:cxn ang="0">
                <a:pos x="csX7248" y="csY7248"/>
              </a:cxn>
              <a:cxn ang="0">
                <a:pos x="csX7249" y="csY7249"/>
              </a:cxn>
              <a:cxn ang="0">
                <a:pos x="csX7250" y="csY7250"/>
              </a:cxn>
              <a:cxn ang="0">
                <a:pos x="csX7251" y="csY7251"/>
              </a:cxn>
              <a:cxn ang="0">
                <a:pos x="csX7252" y="csY7252"/>
              </a:cxn>
              <a:cxn ang="0">
                <a:pos x="csX7253" y="csY7253"/>
              </a:cxn>
              <a:cxn ang="0">
                <a:pos x="csX7254" y="csY7254"/>
              </a:cxn>
              <a:cxn ang="0">
                <a:pos x="csX7255" y="csY7255"/>
              </a:cxn>
              <a:cxn ang="0">
                <a:pos x="csX7256" y="csY7256"/>
              </a:cxn>
              <a:cxn ang="0">
                <a:pos x="csX7257" y="csY7257"/>
              </a:cxn>
              <a:cxn ang="0">
                <a:pos x="csX7258" y="csY7258"/>
              </a:cxn>
              <a:cxn ang="0">
                <a:pos x="csX7259" y="csY7259"/>
              </a:cxn>
              <a:cxn ang="0">
                <a:pos x="csX7260" y="csY7260"/>
              </a:cxn>
              <a:cxn ang="0">
                <a:pos x="csX7261" y="csY7261"/>
              </a:cxn>
              <a:cxn ang="0">
                <a:pos x="csX7262" y="csY7262"/>
              </a:cxn>
              <a:cxn ang="0">
                <a:pos x="csX7263" y="csY7263"/>
              </a:cxn>
              <a:cxn ang="0">
                <a:pos x="csX7264" y="csY7264"/>
              </a:cxn>
              <a:cxn ang="0">
                <a:pos x="csX7265" y="csY7265"/>
              </a:cxn>
              <a:cxn ang="0">
                <a:pos x="csX7266" y="csY7266"/>
              </a:cxn>
              <a:cxn ang="0">
                <a:pos x="csX7267" y="csY7267"/>
              </a:cxn>
              <a:cxn ang="0">
                <a:pos x="csX7268" y="csY7268"/>
              </a:cxn>
              <a:cxn ang="0">
                <a:pos x="csX7269" y="csY7269"/>
              </a:cxn>
              <a:cxn ang="0">
                <a:pos x="csX7270" y="csY7270"/>
              </a:cxn>
              <a:cxn ang="0">
                <a:pos x="csX7271" y="csY7271"/>
              </a:cxn>
              <a:cxn ang="0">
                <a:pos x="csX7272" y="csY7272"/>
              </a:cxn>
              <a:cxn ang="0">
                <a:pos x="csX7273" y="csY7273"/>
              </a:cxn>
              <a:cxn ang="0">
                <a:pos x="csX7274" y="csY7274"/>
              </a:cxn>
              <a:cxn ang="0">
                <a:pos x="csX7275" y="csY7275"/>
              </a:cxn>
              <a:cxn ang="0">
                <a:pos x="csX7276" y="csY7276"/>
              </a:cxn>
              <a:cxn ang="0">
                <a:pos x="csX7277" y="csY7277"/>
              </a:cxn>
              <a:cxn ang="0">
                <a:pos x="csX7278" y="csY7278"/>
              </a:cxn>
              <a:cxn ang="0">
                <a:pos x="csX7279" y="csY7279"/>
              </a:cxn>
              <a:cxn ang="0">
                <a:pos x="csX7280" y="csY7280"/>
              </a:cxn>
              <a:cxn ang="0">
                <a:pos x="csX7281" y="csY7281"/>
              </a:cxn>
              <a:cxn ang="0">
                <a:pos x="csX7282" y="csY7282"/>
              </a:cxn>
              <a:cxn ang="0">
                <a:pos x="csX7283" y="csY7283"/>
              </a:cxn>
              <a:cxn ang="0">
                <a:pos x="csX7284" y="csY7284"/>
              </a:cxn>
              <a:cxn ang="0">
                <a:pos x="csX7285" y="csY7285"/>
              </a:cxn>
              <a:cxn ang="0">
                <a:pos x="csX7286" y="csY7286"/>
              </a:cxn>
              <a:cxn ang="0">
                <a:pos x="csX7287" y="csY7287"/>
              </a:cxn>
              <a:cxn ang="0">
                <a:pos x="csX7288" y="csY7288"/>
              </a:cxn>
              <a:cxn ang="0">
                <a:pos x="csX7289" y="csY7289"/>
              </a:cxn>
              <a:cxn ang="0">
                <a:pos x="csX7290" y="csY7290"/>
              </a:cxn>
              <a:cxn ang="0">
                <a:pos x="csX7291" y="csY7291"/>
              </a:cxn>
              <a:cxn ang="0">
                <a:pos x="csX7292" y="csY7292"/>
              </a:cxn>
              <a:cxn ang="0">
                <a:pos x="csX7293" y="csY7293"/>
              </a:cxn>
              <a:cxn ang="0">
                <a:pos x="csX7294" y="csY7294"/>
              </a:cxn>
              <a:cxn ang="0">
                <a:pos x="csX7295" y="csY7295"/>
              </a:cxn>
              <a:cxn ang="0">
                <a:pos x="csX7296" y="csY7296"/>
              </a:cxn>
              <a:cxn ang="0">
                <a:pos x="csX7297" y="csY7297"/>
              </a:cxn>
              <a:cxn ang="0">
                <a:pos x="csX7298" y="csY7298"/>
              </a:cxn>
              <a:cxn ang="0">
                <a:pos x="csX7299" y="csY7299"/>
              </a:cxn>
              <a:cxn ang="0">
                <a:pos x="csX7300" y="csY7300"/>
              </a:cxn>
              <a:cxn ang="0">
                <a:pos x="csX7301" y="csY7301"/>
              </a:cxn>
              <a:cxn ang="0">
                <a:pos x="csX7302" y="csY7302"/>
              </a:cxn>
              <a:cxn ang="0">
                <a:pos x="csX7303" y="csY7303"/>
              </a:cxn>
              <a:cxn ang="0">
                <a:pos x="csX7304" y="csY7304"/>
              </a:cxn>
              <a:cxn ang="0">
                <a:pos x="csX7305" y="csY7305"/>
              </a:cxn>
              <a:cxn ang="0">
                <a:pos x="csX7306" y="csY7306"/>
              </a:cxn>
              <a:cxn ang="0">
                <a:pos x="csX7307" y="csY7307"/>
              </a:cxn>
              <a:cxn ang="0">
                <a:pos x="csX7308" y="csY7308"/>
              </a:cxn>
              <a:cxn ang="0">
                <a:pos x="csX7309" y="csY7309"/>
              </a:cxn>
              <a:cxn ang="0">
                <a:pos x="csX7310" y="csY7310"/>
              </a:cxn>
              <a:cxn ang="0">
                <a:pos x="csX7311" y="csY7311"/>
              </a:cxn>
              <a:cxn ang="0">
                <a:pos x="csX7312" y="csY7312"/>
              </a:cxn>
              <a:cxn ang="0">
                <a:pos x="csX7313" y="csY7313"/>
              </a:cxn>
              <a:cxn ang="0">
                <a:pos x="csX7314" y="csY7314"/>
              </a:cxn>
              <a:cxn ang="0">
                <a:pos x="csX7315" y="csY7315"/>
              </a:cxn>
              <a:cxn ang="0">
                <a:pos x="csX7316" y="csY7316"/>
              </a:cxn>
              <a:cxn ang="0">
                <a:pos x="csX7317" y="csY7317"/>
              </a:cxn>
              <a:cxn ang="0">
                <a:pos x="csX7318" y="csY7318"/>
              </a:cxn>
              <a:cxn ang="0">
                <a:pos x="csX7319" y="csY7319"/>
              </a:cxn>
              <a:cxn ang="0">
                <a:pos x="csX7320" y="csY7320"/>
              </a:cxn>
              <a:cxn ang="0">
                <a:pos x="csX7321" y="csY7321"/>
              </a:cxn>
              <a:cxn ang="0">
                <a:pos x="csX7322" y="csY7322"/>
              </a:cxn>
              <a:cxn ang="0">
                <a:pos x="csX7323" y="csY7323"/>
              </a:cxn>
              <a:cxn ang="0">
                <a:pos x="csX7324" y="csY7324"/>
              </a:cxn>
              <a:cxn ang="0">
                <a:pos x="csX7325" y="csY7325"/>
              </a:cxn>
              <a:cxn ang="0">
                <a:pos x="csX7326" y="csY7326"/>
              </a:cxn>
              <a:cxn ang="0">
                <a:pos x="csX7327" y="csY7327"/>
              </a:cxn>
              <a:cxn ang="0">
                <a:pos x="csX7328" y="csY7328"/>
              </a:cxn>
              <a:cxn ang="0">
                <a:pos x="csX7329" y="csY7329"/>
              </a:cxn>
              <a:cxn ang="0">
                <a:pos x="csX7330" y="csY7330"/>
              </a:cxn>
              <a:cxn ang="0">
                <a:pos x="csX7331" y="csY7331"/>
              </a:cxn>
              <a:cxn ang="0">
                <a:pos x="csX7332" y="csY7332"/>
              </a:cxn>
              <a:cxn ang="0">
                <a:pos x="csX7333" y="csY7333"/>
              </a:cxn>
              <a:cxn ang="0">
                <a:pos x="csX7334" y="csY7334"/>
              </a:cxn>
              <a:cxn ang="0">
                <a:pos x="csX7335" y="csY7335"/>
              </a:cxn>
              <a:cxn ang="0">
                <a:pos x="csX7336" y="csY7336"/>
              </a:cxn>
              <a:cxn ang="0">
                <a:pos x="csX7337" y="csY7337"/>
              </a:cxn>
              <a:cxn ang="0">
                <a:pos x="csX7338" y="csY7338"/>
              </a:cxn>
              <a:cxn ang="0">
                <a:pos x="csX7339" y="csY7339"/>
              </a:cxn>
              <a:cxn ang="0">
                <a:pos x="csX7340" y="csY7340"/>
              </a:cxn>
              <a:cxn ang="0">
                <a:pos x="csX7341" y="csY7341"/>
              </a:cxn>
              <a:cxn ang="0">
                <a:pos x="csX7342" y="csY7342"/>
              </a:cxn>
              <a:cxn ang="0">
                <a:pos x="csX7343" y="csY7343"/>
              </a:cxn>
              <a:cxn ang="0">
                <a:pos x="csX7344" y="csY7344"/>
              </a:cxn>
              <a:cxn ang="0">
                <a:pos x="csX7345" y="csY7345"/>
              </a:cxn>
              <a:cxn ang="0">
                <a:pos x="csX7346" y="csY7346"/>
              </a:cxn>
              <a:cxn ang="0">
                <a:pos x="csX7347" y="csY7347"/>
              </a:cxn>
              <a:cxn ang="0">
                <a:pos x="csX7348" y="csY7348"/>
              </a:cxn>
              <a:cxn ang="0">
                <a:pos x="csX7349" y="csY7349"/>
              </a:cxn>
              <a:cxn ang="0">
                <a:pos x="csX7350" y="csY7350"/>
              </a:cxn>
              <a:cxn ang="0">
                <a:pos x="csX7351" y="csY7351"/>
              </a:cxn>
              <a:cxn ang="0">
                <a:pos x="csX7352" y="csY7352"/>
              </a:cxn>
              <a:cxn ang="0">
                <a:pos x="csX7353" y="csY7353"/>
              </a:cxn>
              <a:cxn ang="0">
                <a:pos x="csX7354" y="csY7354"/>
              </a:cxn>
              <a:cxn ang="0">
                <a:pos x="csX7355" y="csY7355"/>
              </a:cxn>
              <a:cxn ang="0">
                <a:pos x="csX7356" y="csY7356"/>
              </a:cxn>
              <a:cxn ang="0">
                <a:pos x="csX7357" y="csY7357"/>
              </a:cxn>
              <a:cxn ang="0">
                <a:pos x="csX7358" y="csY7358"/>
              </a:cxn>
              <a:cxn ang="0">
                <a:pos x="csX7359" y="csY7359"/>
              </a:cxn>
              <a:cxn ang="0">
                <a:pos x="csX7360" y="csY7360"/>
              </a:cxn>
              <a:cxn ang="0">
                <a:pos x="csX7361" y="csY7361"/>
              </a:cxn>
              <a:cxn ang="0">
                <a:pos x="csX7362" y="csY7362"/>
              </a:cxn>
              <a:cxn ang="0">
                <a:pos x="csX7363" y="csY7363"/>
              </a:cxn>
              <a:cxn ang="0">
                <a:pos x="csX7364" y="csY7364"/>
              </a:cxn>
              <a:cxn ang="0">
                <a:pos x="csX7365" y="csY7365"/>
              </a:cxn>
              <a:cxn ang="0">
                <a:pos x="csX7366" y="csY7366"/>
              </a:cxn>
              <a:cxn ang="0">
                <a:pos x="csX7367" y="csY7367"/>
              </a:cxn>
              <a:cxn ang="0">
                <a:pos x="csX7368" y="csY7368"/>
              </a:cxn>
              <a:cxn ang="0">
                <a:pos x="csX7369" y="csY7369"/>
              </a:cxn>
              <a:cxn ang="0">
                <a:pos x="csX7370" y="csY7370"/>
              </a:cxn>
              <a:cxn ang="0">
                <a:pos x="csX7371" y="csY7371"/>
              </a:cxn>
              <a:cxn ang="0">
                <a:pos x="csX7372" y="csY7372"/>
              </a:cxn>
              <a:cxn ang="0">
                <a:pos x="csX7373" y="csY7373"/>
              </a:cxn>
              <a:cxn ang="0">
                <a:pos x="csX7374" y="csY7374"/>
              </a:cxn>
              <a:cxn ang="0">
                <a:pos x="csX7375" y="csY7375"/>
              </a:cxn>
              <a:cxn ang="0">
                <a:pos x="csX7376" y="csY7376"/>
              </a:cxn>
              <a:cxn ang="0">
                <a:pos x="csX7377" y="csY7377"/>
              </a:cxn>
              <a:cxn ang="0">
                <a:pos x="csX7378" y="csY7378"/>
              </a:cxn>
              <a:cxn ang="0">
                <a:pos x="csX7379" y="csY7379"/>
              </a:cxn>
              <a:cxn ang="0">
                <a:pos x="csX7380" y="csY7380"/>
              </a:cxn>
              <a:cxn ang="0">
                <a:pos x="csX7381" y="csY7381"/>
              </a:cxn>
              <a:cxn ang="0">
                <a:pos x="csX7382" y="csY7382"/>
              </a:cxn>
              <a:cxn ang="0">
                <a:pos x="csX7383" y="csY7383"/>
              </a:cxn>
              <a:cxn ang="0">
                <a:pos x="csX7384" y="csY7384"/>
              </a:cxn>
              <a:cxn ang="0">
                <a:pos x="csX7385" y="csY7385"/>
              </a:cxn>
              <a:cxn ang="0">
                <a:pos x="csX7386" y="csY7386"/>
              </a:cxn>
              <a:cxn ang="0">
                <a:pos x="csX7387" y="csY7387"/>
              </a:cxn>
              <a:cxn ang="0">
                <a:pos x="csX7388" y="csY7388"/>
              </a:cxn>
              <a:cxn ang="0">
                <a:pos x="csX7389" y="csY7389"/>
              </a:cxn>
              <a:cxn ang="0">
                <a:pos x="csX7390" y="csY7390"/>
              </a:cxn>
              <a:cxn ang="0">
                <a:pos x="csX7391" y="csY7391"/>
              </a:cxn>
              <a:cxn ang="0">
                <a:pos x="csX7392" y="csY7392"/>
              </a:cxn>
              <a:cxn ang="0">
                <a:pos x="csX7393" y="csY7393"/>
              </a:cxn>
              <a:cxn ang="0">
                <a:pos x="csX7394" y="csY7394"/>
              </a:cxn>
              <a:cxn ang="0">
                <a:pos x="csX7395" y="csY7395"/>
              </a:cxn>
              <a:cxn ang="0">
                <a:pos x="csX7396" y="csY7396"/>
              </a:cxn>
              <a:cxn ang="0">
                <a:pos x="csX7397" y="csY7397"/>
              </a:cxn>
              <a:cxn ang="0">
                <a:pos x="csX7398" y="csY7398"/>
              </a:cxn>
              <a:cxn ang="0">
                <a:pos x="csX7399" y="csY7399"/>
              </a:cxn>
              <a:cxn ang="0">
                <a:pos x="csX7400" y="csY7400"/>
              </a:cxn>
              <a:cxn ang="0">
                <a:pos x="csX7401" y="csY7401"/>
              </a:cxn>
              <a:cxn ang="0">
                <a:pos x="csX7402" y="csY7402"/>
              </a:cxn>
              <a:cxn ang="0">
                <a:pos x="csX7403" y="csY7403"/>
              </a:cxn>
              <a:cxn ang="0">
                <a:pos x="csX7404" y="csY7404"/>
              </a:cxn>
              <a:cxn ang="0">
                <a:pos x="csX7405" y="csY7405"/>
              </a:cxn>
              <a:cxn ang="0">
                <a:pos x="csX7406" y="csY7406"/>
              </a:cxn>
              <a:cxn ang="0">
                <a:pos x="csX7407" y="csY7407"/>
              </a:cxn>
              <a:cxn ang="0">
                <a:pos x="csX7408" y="csY7408"/>
              </a:cxn>
              <a:cxn ang="0">
                <a:pos x="csX7409" y="csY7409"/>
              </a:cxn>
              <a:cxn ang="0">
                <a:pos x="csX7410" y="csY7410"/>
              </a:cxn>
              <a:cxn ang="0">
                <a:pos x="csX7411" y="csY7411"/>
              </a:cxn>
              <a:cxn ang="0">
                <a:pos x="csX7412" y="csY7412"/>
              </a:cxn>
              <a:cxn ang="0">
                <a:pos x="csX7413" y="csY7413"/>
              </a:cxn>
              <a:cxn ang="0">
                <a:pos x="csX7414" y="csY7414"/>
              </a:cxn>
              <a:cxn ang="0">
                <a:pos x="csX7415" y="csY7415"/>
              </a:cxn>
              <a:cxn ang="0">
                <a:pos x="csX7416" y="csY7416"/>
              </a:cxn>
              <a:cxn ang="0">
                <a:pos x="csX7417" y="csY7417"/>
              </a:cxn>
              <a:cxn ang="0">
                <a:pos x="csX7418" y="csY7418"/>
              </a:cxn>
              <a:cxn ang="0">
                <a:pos x="csX7419" y="csY7419"/>
              </a:cxn>
              <a:cxn ang="0">
                <a:pos x="csX7420" y="csY7420"/>
              </a:cxn>
              <a:cxn ang="0">
                <a:pos x="csX7421" y="csY7421"/>
              </a:cxn>
              <a:cxn ang="0">
                <a:pos x="csX7422" y="csY7422"/>
              </a:cxn>
              <a:cxn ang="0">
                <a:pos x="csX7423" y="csY7423"/>
              </a:cxn>
              <a:cxn ang="0">
                <a:pos x="csX7424" y="csY7424"/>
              </a:cxn>
              <a:cxn ang="0">
                <a:pos x="csX7425" y="csY7425"/>
              </a:cxn>
              <a:cxn ang="0">
                <a:pos x="csX7426" y="csY7426"/>
              </a:cxn>
              <a:cxn ang="0">
                <a:pos x="csX7427" y="csY7427"/>
              </a:cxn>
              <a:cxn ang="0">
                <a:pos x="csX7428" y="csY7428"/>
              </a:cxn>
              <a:cxn ang="0">
                <a:pos x="csX7429" y="csY7429"/>
              </a:cxn>
              <a:cxn ang="0">
                <a:pos x="csX7430" y="csY7430"/>
              </a:cxn>
              <a:cxn ang="0">
                <a:pos x="csX7431" y="csY7431"/>
              </a:cxn>
              <a:cxn ang="0">
                <a:pos x="csX7432" y="csY7432"/>
              </a:cxn>
              <a:cxn ang="0">
                <a:pos x="csX7433" y="csY7433"/>
              </a:cxn>
              <a:cxn ang="0">
                <a:pos x="csX7434" y="csY7434"/>
              </a:cxn>
              <a:cxn ang="0">
                <a:pos x="csX7435" y="csY7435"/>
              </a:cxn>
              <a:cxn ang="0">
                <a:pos x="csX7436" y="csY7436"/>
              </a:cxn>
              <a:cxn ang="0">
                <a:pos x="csX7437" y="csY7437"/>
              </a:cxn>
              <a:cxn ang="0">
                <a:pos x="csX7438" y="csY7438"/>
              </a:cxn>
              <a:cxn ang="0">
                <a:pos x="csX7439" y="csY7439"/>
              </a:cxn>
              <a:cxn ang="0">
                <a:pos x="csX7440" y="csY7440"/>
              </a:cxn>
              <a:cxn ang="0">
                <a:pos x="csX7441" y="csY7441"/>
              </a:cxn>
              <a:cxn ang="0">
                <a:pos x="csX7442" y="csY7442"/>
              </a:cxn>
              <a:cxn ang="0">
                <a:pos x="csX7443" y="csY7443"/>
              </a:cxn>
              <a:cxn ang="0">
                <a:pos x="csX7444" y="csY7444"/>
              </a:cxn>
              <a:cxn ang="0">
                <a:pos x="csX7445" y="csY7445"/>
              </a:cxn>
              <a:cxn ang="0">
                <a:pos x="csX7446" y="csY7446"/>
              </a:cxn>
              <a:cxn ang="0">
                <a:pos x="csX7447" y="csY7447"/>
              </a:cxn>
              <a:cxn ang="0">
                <a:pos x="csX7448" y="csY7448"/>
              </a:cxn>
              <a:cxn ang="0">
                <a:pos x="csX7449" y="csY7449"/>
              </a:cxn>
              <a:cxn ang="0">
                <a:pos x="csX7450" y="csY7450"/>
              </a:cxn>
              <a:cxn ang="0">
                <a:pos x="csX7451" y="csY7451"/>
              </a:cxn>
              <a:cxn ang="0">
                <a:pos x="csX7452" y="csY7452"/>
              </a:cxn>
              <a:cxn ang="0">
                <a:pos x="csX7453" y="csY7453"/>
              </a:cxn>
              <a:cxn ang="0">
                <a:pos x="csX7454" y="csY7454"/>
              </a:cxn>
              <a:cxn ang="0">
                <a:pos x="csX7455" y="csY7455"/>
              </a:cxn>
              <a:cxn ang="0">
                <a:pos x="csX7456" y="csY7456"/>
              </a:cxn>
              <a:cxn ang="0">
                <a:pos x="csX7457" y="csY7457"/>
              </a:cxn>
              <a:cxn ang="0">
                <a:pos x="csX7458" y="csY7458"/>
              </a:cxn>
              <a:cxn ang="0">
                <a:pos x="csX7459" y="csY7459"/>
              </a:cxn>
              <a:cxn ang="0">
                <a:pos x="csX7460" y="csY7460"/>
              </a:cxn>
              <a:cxn ang="0">
                <a:pos x="csX7461" y="csY7461"/>
              </a:cxn>
              <a:cxn ang="0">
                <a:pos x="csX7462" y="csY7462"/>
              </a:cxn>
              <a:cxn ang="0">
                <a:pos x="csX7463" y="csY7463"/>
              </a:cxn>
              <a:cxn ang="0">
                <a:pos x="csX7464" y="csY7464"/>
              </a:cxn>
              <a:cxn ang="0">
                <a:pos x="csX7465" y="csY7465"/>
              </a:cxn>
              <a:cxn ang="0">
                <a:pos x="csX7466" y="csY7466"/>
              </a:cxn>
              <a:cxn ang="0">
                <a:pos x="csX7467" y="csY7467"/>
              </a:cxn>
              <a:cxn ang="0">
                <a:pos x="csX7468" y="csY7468"/>
              </a:cxn>
              <a:cxn ang="0">
                <a:pos x="csX7469" y="csY7469"/>
              </a:cxn>
              <a:cxn ang="0">
                <a:pos x="csX7470" y="csY7470"/>
              </a:cxn>
              <a:cxn ang="0">
                <a:pos x="csX7471" y="csY7471"/>
              </a:cxn>
              <a:cxn ang="0">
                <a:pos x="csX7472" y="csY7472"/>
              </a:cxn>
              <a:cxn ang="0">
                <a:pos x="csX7473" y="csY7473"/>
              </a:cxn>
              <a:cxn ang="0">
                <a:pos x="csX7474" y="csY7474"/>
              </a:cxn>
              <a:cxn ang="0">
                <a:pos x="csX7475" y="csY7475"/>
              </a:cxn>
              <a:cxn ang="0">
                <a:pos x="csX7476" y="csY7476"/>
              </a:cxn>
              <a:cxn ang="0">
                <a:pos x="csX7477" y="csY7477"/>
              </a:cxn>
              <a:cxn ang="0">
                <a:pos x="csX7478" y="csY7478"/>
              </a:cxn>
              <a:cxn ang="0">
                <a:pos x="csX7479" y="csY7479"/>
              </a:cxn>
              <a:cxn ang="0">
                <a:pos x="csX7480" y="csY7480"/>
              </a:cxn>
              <a:cxn ang="0">
                <a:pos x="csX7481" y="csY7481"/>
              </a:cxn>
              <a:cxn ang="0">
                <a:pos x="csX7482" y="csY7482"/>
              </a:cxn>
              <a:cxn ang="0">
                <a:pos x="csX7483" y="csY7483"/>
              </a:cxn>
              <a:cxn ang="0">
                <a:pos x="csX7484" y="csY7484"/>
              </a:cxn>
              <a:cxn ang="0">
                <a:pos x="csX7485" y="csY7485"/>
              </a:cxn>
              <a:cxn ang="0">
                <a:pos x="csX7486" y="csY7486"/>
              </a:cxn>
              <a:cxn ang="0">
                <a:pos x="csX7487" y="csY7487"/>
              </a:cxn>
              <a:cxn ang="0">
                <a:pos x="csX7488" y="csY7488"/>
              </a:cxn>
              <a:cxn ang="0">
                <a:pos x="csX7489" y="csY7489"/>
              </a:cxn>
              <a:cxn ang="0">
                <a:pos x="csX7490" y="csY7490"/>
              </a:cxn>
              <a:cxn ang="0">
                <a:pos x="csX7491" y="csY7491"/>
              </a:cxn>
              <a:cxn ang="0">
                <a:pos x="csX7492" y="csY7492"/>
              </a:cxn>
              <a:cxn ang="0">
                <a:pos x="csX7493" y="csY7493"/>
              </a:cxn>
              <a:cxn ang="0">
                <a:pos x="csX7494" y="csY7494"/>
              </a:cxn>
              <a:cxn ang="0">
                <a:pos x="csX7495" y="csY7495"/>
              </a:cxn>
              <a:cxn ang="0">
                <a:pos x="csX7496" y="csY7496"/>
              </a:cxn>
              <a:cxn ang="0">
                <a:pos x="csX7497" y="csY7497"/>
              </a:cxn>
              <a:cxn ang="0">
                <a:pos x="csX7498" y="csY7498"/>
              </a:cxn>
              <a:cxn ang="0">
                <a:pos x="csX7499" y="csY7499"/>
              </a:cxn>
              <a:cxn ang="0">
                <a:pos x="csX7500" y="csY7500"/>
              </a:cxn>
              <a:cxn ang="0">
                <a:pos x="csX7501" y="csY7501"/>
              </a:cxn>
              <a:cxn ang="0">
                <a:pos x="csX7502" y="csY7502"/>
              </a:cxn>
              <a:cxn ang="0">
                <a:pos x="csX7503" y="csY7503"/>
              </a:cxn>
              <a:cxn ang="0">
                <a:pos x="csX7504" y="csY7504"/>
              </a:cxn>
              <a:cxn ang="0">
                <a:pos x="csX7505" y="csY7505"/>
              </a:cxn>
              <a:cxn ang="0">
                <a:pos x="csX7506" y="csY7506"/>
              </a:cxn>
              <a:cxn ang="0">
                <a:pos x="csX7507" y="csY7507"/>
              </a:cxn>
              <a:cxn ang="0">
                <a:pos x="csX7508" y="csY7508"/>
              </a:cxn>
              <a:cxn ang="0">
                <a:pos x="csX7509" y="csY7509"/>
              </a:cxn>
              <a:cxn ang="0">
                <a:pos x="csX7510" y="csY7510"/>
              </a:cxn>
              <a:cxn ang="0">
                <a:pos x="csX7511" y="csY7511"/>
              </a:cxn>
              <a:cxn ang="0">
                <a:pos x="csX7512" y="csY7512"/>
              </a:cxn>
              <a:cxn ang="0">
                <a:pos x="csX7513" y="csY7513"/>
              </a:cxn>
              <a:cxn ang="0">
                <a:pos x="csX7514" y="csY7514"/>
              </a:cxn>
              <a:cxn ang="0">
                <a:pos x="csX7515" y="csY7515"/>
              </a:cxn>
              <a:cxn ang="0">
                <a:pos x="csX7516" y="csY7516"/>
              </a:cxn>
              <a:cxn ang="0">
                <a:pos x="csX7517" y="csY7517"/>
              </a:cxn>
              <a:cxn ang="0">
                <a:pos x="csX7518" y="csY7518"/>
              </a:cxn>
              <a:cxn ang="0">
                <a:pos x="csX7519" y="csY7519"/>
              </a:cxn>
              <a:cxn ang="0">
                <a:pos x="csX7520" y="csY7520"/>
              </a:cxn>
              <a:cxn ang="0">
                <a:pos x="csX7521" y="csY7521"/>
              </a:cxn>
              <a:cxn ang="0">
                <a:pos x="csX7522" y="csY7522"/>
              </a:cxn>
              <a:cxn ang="0">
                <a:pos x="csX7523" y="csY7523"/>
              </a:cxn>
              <a:cxn ang="0">
                <a:pos x="csX7524" y="csY7524"/>
              </a:cxn>
              <a:cxn ang="0">
                <a:pos x="csX7525" y="csY7525"/>
              </a:cxn>
              <a:cxn ang="0">
                <a:pos x="csX7526" y="csY7526"/>
              </a:cxn>
              <a:cxn ang="0">
                <a:pos x="csX7527" y="csY7527"/>
              </a:cxn>
              <a:cxn ang="0">
                <a:pos x="csX7528" y="csY7528"/>
              </a:cxn>
              <a:cxn ang="0">
                <a:pos x="csX7529" y="csY7529"/>
              </a:cxn>
              <a:cxn ang="0">
                <a:pos x="csX7530" y="csY7530"/>
              </a:cxn>
              <a:cxn ang="0">
                <a:pos x="csX7531" y="csY7531"/>
              </a:cxn>
              <a:cxn ang="0">
                <a:pos x="csX7532" y="csY7532"/>
              </a:cxn>
              <a:cxn ang="0">
                <a:pos x="csX7533" y="csY7533"/>
              </a:cxn>
              <a:cxn ang="0">
                <a:pos x="csX7534" y="csY7534"/>
              </a:cxn>
              <a:cxn ang="0">
                <a:pos x="csX7535" y="csY7535"/>
              </a:cxn>
              <a:cxn ang="0">
                <a:pos x="csX7536" y="csY7536"/>
              </a:cxn>
              <a:cxn ang="0">
                <a:pos x="csX7537" y="csY7537"/>
              </a:cxn>
              <a:cxn ang="0">
                <a:pos x="csX7538" y="csY7538"/>
              </a:cxn>
              <a:cxn ang="0">
                <a:pos x="csX7539" y="csY7539"/>
              </a:cxn>
              <a:cxn ang="0">
                <a:pos x="csX7540" y="csY7540"/>
              </a:cxn>
              <a:cxn ang="0">
                <a:pos x="csX7541" y="csY7541"/>
              </a:cxn>
              <a:cxn ang="0">
                <a:pos x="csX7542" y="csY7542"/>
              </a:cxn>
              <a:cxn ang="0">
                <a:pos x="csX7543" y="csY7543"/>
              </a:cxn>
              <a:cxn ang="0">
                <a:pos x="csX7544" y="csY7544"/>
              </a:cxn>
              <a:cxn ang="0">
                <a:pos x="csX7545" y="csY7545"/>
              </a:cxn>
              <a:cxn ang="0">
                <a:pos x="csX7546" y="csY7546"/>
              </a:cxn>
              <a:cxn ang="0">
                <a:pos x="csX7547" y="csY7547"/>
              </a:cxn>
              <a:cxn ang="0">
                <a:pos x="csX7548" y="csY7548"/>
              </a:cxn>
              <a:cxn ang="0">
                <a:pos x="csX7549" y="csY7549"/>
              </a:cxn>
              <a:cxn ang="0">
                <a:pos x="csX7550" y="csY7550"/>
              </a:cxn>
              <a:cxn ang="0">
                <a:pos x="csX7551" y="csY7551"/>
              </a:cxn>
              <a:cxn ang="0">
                <a:pos x="csX7552" y="csY7552"/>
              </a:cxn>
              <a:cxn ang="0">
                <a:pos x="csX7553" y="csY7553"/>
              </a:cxn>
              <a:cxn ang="0">
                <a:pos x="csX7554" y="csY7554"/>
              </a:cxn>
              <a:cxn ang="0">
                <a:pos x="csX7555" y="csY7555"/>
              </a:cxn>
              <a:cxn ang="0">
                <a:pos x="csX7556" y="csY7556"/>
              </a:cxn>
              <a:cxn ang="0">
                <a:pos x="csX7557" y="csY7557"/>
              </a:cxn>
              <a:cxn ang="0">
                <a:pos x="csX7558" y="csY7558"/>
              </a:cxn>
              <a:cxn ang="0">
                <a:pos x="csX7559" y="csY7559"/>
              </a:cxn>
              <a:cxn ang="0">
                <a:pos x="csX7560" y="csY7560"/>
              </a:cxn>
              <a:cxn ang="0">
                <a:pos x="csX7561" y="csY7561"/>
              </a:cxn>
              <a:cxn ang="0">
                <a:pos x="csX7562" y="csY7562"/>
              </a:cxn>
              <a:cxn ang="0">
                <a:pos x="csX7563" y="csY7563"/>
              </a:cxn>
              <a:cxn ang="0">
                <a:pos x="csX7564" y="csY7564"/>
              </a:cxn>
              <a:cxn ang="0">
                <a:pos x="csX7565" y="csY7565"/>
              </a:cxn>
              <a:cxn ang="0">
                <a:pos x="csX7566" y="csY7566"/>
              </a:cxn>
              <a:cxn ang="0">
                <a:pos x="csX7567" y="csY7567"/>
              </a:cxn>
              <a:cxn ang="0">
                <a:pos x="csX7568" y="csY7568"/>
              </a:cxn>
              <a:cxn ang="0">
                <a:pos x="csX7569" y="csY7569"/>
              </a:cxn>
              <a:cxn ang="0">
                <a:pos x="csX7570" y="csY7570"/>
              </a:cxn>
              <a:cxn ang="0">
                <a:pos x="csX7571" y="csY7571"/>
              </a:cxn>
              <a:cxn ang="0">
                <a:pos x="csX7572" y="csY7572"/>
              </a:cxn>
              <a:cxn ang="0">
                <a:pos x="csX7573" y="csY7573"/>
              </a:cxn>
              <a:cxn ang="0">
                <a:pos x="csX7574" y="csY7574"/>
              </a:cxn>
              <a:cxn ang="0">
                <a:pos x="csX7575" y="csY7575"/>
              </a:cxn>
              <a:cxn ang="0">
                <a:pos x="csX7576" y="csY7576"/>
              </a:cxn>
              <a:cxn ang="0">
                <a:pos x="csX7577" y="csY7577"/>
              </a:cxn>
              <a:cxn ang="0">
                <a:pos x="csX7578" y="csY7578"/>
              </a:cxn>
              <a:cxn ang="0">
                <a:pos x="csX7579" y="csY7579"/>
              </a:cxn>
              <a:cxn ang="0">
                <a:pos x="csX7580" y="csY7580"/>
              </a:cxn>
              <a:cxn ang="0">
                <a:pos x="csX7581" y="csY7581"/>
              </a:cxn>
              <a:cxn ang="0">
                <a:pos x="csX7582" y="csY7582"/>
              </a:cxn>
              <a:cxn ang="0">
                <a:pos x="csX7583" y="csY7583"/>
              </a:cxn>
              <a:cxn ang="0">
                <a:pos x="csX7584" y="csY7584"/>
              </a:cxn>
              <a:cxn ang="0">
                <a:pos x="csX7585" y="csY7585"/>
              </a:cxn>
              <a:cxn ang="0">
                <a:pos x="csX7586" y="csY7586"/>
              </a:cxn>
              <a:cxn ang="0">
                <a:pos x="csX7587" y="csY7587"/>
              </a:cxn>
              <a:cxn ang="0">
                <a:pos x="csX7588" y="csY7588"/>
              </a:cxn>
              <a:cxn ang="0">
                <a:pos x="csX7589" y="csY7589"/>
              </a:cxn>
              <a:cxn ang="0">
                <a:pos x="csX7590" y="csY7590"/>
              </a:cxn>
              <a:cxn ang="0">
                <a:pos x="csX7591" y="csY7591"/>
              </a:cxn>
              <a:cxn ang="0">
                <a:pos x="csX7592" y="csY7592"/>
              </a:cxn>
              <a:cxn ang="0">
                <a:pos x="csX7593" y="csY7593"/>
              </a:cxn>
              <a:cxn ang="0">
                <a:pos x="csX7594" y="csY7594"/>
              </a:cxn>
              <a:cxn ang="0">
                <a:pos x="csX7595" y="csY7595"/>
              </a:cxn>
              <a:cxn ang="0">
                <a:pos x="csX7596" y="csY7596"/>
              </a:cxn>
              <a:cxn ang="0">
                <a:pos x="csX7597" y="csY7597"/>
              </a:cxn>
              <a:cxn ang="0">
                <a:pos x="csX7598" y="csY7598"/>
              </a:cxn>
              <a:cxn ang="0">
                <a:pos x="csX7599" y="csY7599"/>
              </a:cxn>
              <a:cxn ang="0">
                <a:pos x="csX7600" y="csY7600"/>
              </a:cxn>
              <a:cxn ang="0">
                <a:pos x="csX7601" y="csY7601"/>
              </a:cxn>
              <a:cxn ang="0">
                <a:pos x="csX7602" y="csY7602"/>
              </a:cxn>
              <a:cxn ang="0">
                <a:pos x="csX7603" y="csY7603"/>
              </a:cxn>
              <a:cxn ang="0">
                <a:pos x="csX7604" y="csY7604"/>
              </a:cxn>
              <a:cxn ang="0">
                <a:pos x="csX7605" y="csY7605"/>
              </a:cxn>
              <a:cxn ang="0">
                <a:pos x="csX7606" y="csY7606"/>
              </a:cxn>
              <a:cxn ang="0">
                <a:pos x="csX7607" y="csY7607"/>
              </a:cxn>
              <a:cxn ang="0">
                <a:pos x="csX7608" y="csY7608"/>
              </a:cxn>
              <a:cxn ang="0">
                <a:pos x="csX7609" y="csY7609"/>
              </a:cxn>
              <a:cxn ang="0">
                <a:pos x="csX7610" y="csY7610"/>
              </a:cxn>
              <a:cxn ang="0">
                <a:pos x="csX7611" y="csY7611"/>
              </a:cxn>
              <a:cxn ang="0">
                <a:pos x="csX7612" y="csY7612"/>
              </a:cxn>
              <a:cxn ang="0">
                <a:pos x="csX7613" y="csY7613"/>
              </a:cxn>
              <a:cxn ang="0">
                <a:pos x="csX7614" y="csY7614"/>
              </a:cxn>
              <a:cxn ang="0">
                <a:pos x="csX7615" y="csY7615"/>
              </a:cxn>
              <a:cxn ang="0">
                <a:pos x="csX7616" y="csY7616"/>
              </a:cxn>
              <a:cxn ang="0">
                <a:pos x="csX7617" y="csY7617"/>
              </a:cxn>
              <a:cxn ang="0">
                <a:pos x="csX7618" y="csY7618"/>
              </a:cxn>
              <a:cxn ang="0">
                <a:pos x="csX7619" y="csY7619"/>
              </a:cxn>
              <a:cxn ang="0">
                <a:pos x="csX7620" y="csY7620"/>
              </a:cxn>
              <a:cxn ang="0">
                <a:pos x="csX7621" y="csY7621"/>
              </a:cxn>
              <a:cxn ang="0">
                <a:pos x="csX7622" y="csY7622"/>
              </a:cxn>
              <a:cxn ang="0">
                <a:pos x="csX7623" y="csY7623"/>
              </a:cxn>
              <a:cxn ang="0">
                <a:pos x="csX7624" y="csY7624"/>
              </a:cxn>
              <a:cxn ang="0">
                <a:pos x="csX7625" y="csY7625"/>
              </a:cxn>
              <a:cxn ang="0">
                <a:pos x="csX7626" y="csY7626"/>
              </a:cxn>
              <a:cxn ang="0">
                <a:pos x="csX7627" y="csY7627"/>
              </a:cxn>
              <a:cxn ang="0">
                <a:pos x="csX7628" y="csY7628"/>
              </a:cxn>
              <a:cxn ang="0">
                <a:pos x="csX7629" y="csY7629"/>
              </a:cxn>
              <a:cxn ang="0">
                <a:pos x="csX7630" y="csY7630"/>
              </a:cxn>
              <a:cxn ang="0">
                <a:pos x="csX7631" y="csY7631"/>
              </a:cxn>
              <a:cxn ang="0">
                <a:pos x="csX7632" y="csY7632"/>
              </a:cxn>
              <a:cxn ang="0">
                <a:pos x="csX7633" y="csY7633"/>
              </a:cxn>
              <a:cxn ang="0">
                <a:pos x="csX7634" y="csY7634"/>
              </a:cxn>
              <a:cxn ang="0">
                <a:pos x="csX7635" y="csY7635"/>
              </a:cxn>
              <a:cxn ang="0">
                <a:pos x="csX7636" y="csY7636"/>
              </a:cxn>
              <a:cxn ang="0">
                <a:pos x="csX7637" y="csY7637"/>
              </a:cxn>
              <a:cxn ang="0">
                <a:pos x="csX7638" y="csY7638"/>
              </a:cxn>
              <a:cxn ang="0">
                <a:pos x="csX7639" y="csY7639"/>
              </a:cxn>
              <a:cxn ang="0">
                <a:pos x="csX7640" y="csY7640"/>
              </a:cxn>
              <a:cxn ang="0">
                <a:pos x="csX7641" y="csY7641"/>
              </a:cxn>
              <a:cxn ang="0">
                <a:pos x="csX7642" y="csY7642"/>
              </a:cxn>
              <a:cxn ang="0">
                <a:pos x="csX7643" y="csY7643"/>
              </a:cxn>
              <a:cxn ang="0">
                <a:pos x="csX7644" y="csY7644"/>
              </a:cxn>
              <a:cxn ang="0">
                <a:pos x="csX7645" y="csY7645"/>
              </a:cxn>
              <a:cxn ang="0">
                <a:pos x="csX7646" y="csY7646"/>
              </a:cxn>
              <a:cxn ang="0">
                <a:pos x="csX7647" y="csY7647"/>
              </a:cxn>
              <a:cxn ang="0">
                <a:pos x="csX7648" y="csY7648"/>
              </a:cxn>
              <a:cxn ang="0">
                <a:pos x="csX7649" y="csY7649"/>
              </a:cxn>
              <a:cxn ang="0">
                <a:pos x="csX7650" y="csY7650"/>
              </a:cxn>
              <a:cxn ang="0">
                <a:pos x="csX7651" y="csY7651"/>
              </a:cxn>
              <a:cxn ang="0">
                <a:pos x="csX7652" y="csY7652"/>
              </a:cxn>
              <a:cxn ang="0">
                <a:pos x="csX7653" y="csY7653"/>
              </a:cxn>
              <a:cxn ang="0">
                <a:pos x="csX7654" y="csY7654"/>
              </a:cxn>
              <a:cxn ang="0">
                <a:pos x="csX7655" y="csY7655"/>
              </a:cxn>
              <a:cxn ang="0">
                <a:pos x="csX7656" y="csY7656"/>
              </a:cxn>
              <a:cxn ang="0">
                <a:pos x="csX7657" y="csY7657"/>
              </a:cxn>
              <a:cxn ang="0">
                <a:pos x="csX7658" y="csY7658"/>
              </a:cxn>
              <a:cxn ang="0">
                <a:pos x="csX7659" y="csY7659"/>
              </a:cxn>
              <a:cxn ang="0">
                <a:pos x="csX7660" y="csY7660"/>
              </a:cxn>
              <a:cxn ang="0">
                <a:pos x="csX7661" y="csY7661"/>
              </a:cxn>
              <a:cxn ang="0">
                <a:pos x="csX7662" y="csY7662"/>
              </a:cxn>
              <a:cxn ang="0">
                <a:pos x="csX7663" y="csY7663"/>
              </a:cxn>
              <a:cxn ang="0">
                <a:pos x="csX7664" y="csY7664"/>
              </a:cxn>
              <a:cxn ang="0">
                <a:pos x="csX7665" y="csY7665"/>
              </a:cxn>
              <a:cxn ang="0">
                <a:pos x="csX7666" y="csY7666"/>
              </a:cxn>
              <a:cxn ang="0">
                <a:pos x="csX7667" y="csY7667"/>
              </a:cxn>
              <a:cxn ang="0">
                <a:pos x="csX7668" y="csY7668"/>
              </a:cxn>
              <a:cxn ang="0">
                <a:pos x="csX7669" y="csY7669"/>
              </a:cxn>
              <a:cxn ang="0">
                <a:pos x="csX7670" y="csY7670"/>
              </a:cxn>
              <a:cxn ang="0">
                <a:pos x="csX7671" y="csY7671"/>
              </a:cxn>
              <a:cxn ang="0">
                <a:pos x="csX7672" y="csY7672"/>
              </a:cxn>
              <a:cxn ang="0">
                <a:pos x="csX7673" y="csY7673"/>
              </a:cxn>
              <a:cxn ang="0">
                <a:pos x="csX7674" y="csY7674"/>
              </a:cxn>
              <a:cxn ang="0">
                <a:pos x="csX7675" y="csY7675"/>
              </a:cxn>
              <a:cxn ang="0">
                <a:pos x="csX7676" y="csY7676"/>
              </a:cxn>
              <a:cxn ang="0">
                <a:pos x="csX7677" y="csY7677"/>
              </a:cxn>
              <a:cxn ang="0">
                <a:pos x="csX7678" y="csY7678"/>
              </a:cxn>
              <a:cxn ang="0">
                <a:pos x="csX7679" y="csY7679"/>
              </a:cxn>
              <a:cxn ang="0">
                <a:pos x="csX7680" y="csY7680"/>
              </a:cxn>
              <a:cxn ang="0">
                <a:pos x="csX7681" y="csY7681"/>
              </a:cxn>
              <a:cxn ang="0">
                <a:pos x="csX7682" y="csY7682"/>
              </a:cxn>
              <a:cxn ang="0">
                <a:pos x="csX7683" y="csY7683"/>
              </a:cxn>
              <a:cxn ang="0">
                <a:pos x="csX7684" y="csY7684"/>
              </a:cxn>
              <a:cxn ang="0">
                <a:pos x="csX7685" y="csY7685"/>
              </a:cxn>
              <a:cxn ang="0">
                <a:pos x="csX7686" y="csY7686"/>
              </a:cxn>
              <a:cxn ang="0">
                <a:pos x="csX7687" y="csY7687"/>
              </a:cxn>
              <a:cxn ang="0">
                <a:pos x="csX7688" y="csY7688"/>
              </a:cxn>
              <a:cxn ang="0">
                <a:pos x="csX7689" y="csY7689"/>
              </a:cxn>
              <a:cxn ang="0">
                <a:pos x="csX7690" y="csY7690"/>
              </a:cxn>
              <a:cxn ang="0">
                <a:pos x="csX7691" y="csY7691"/>
              </a:cxn>
              <a:cxn ang="0">
                <a:pos x="csX7692" y="csY7692"/>
              </a:cxn>
              <a:cxn ang="0">
                <a:pos x="csX7693" y="csY7693"/>
              </a:cxn>
              <a:cxn ang="0">
                <a:pos x="csX7694" y="csY7694"/>
              </a:cxn>
              <a:cxn ang="0">
                <a:pos x="csX7695" y="csY7695"/>
              </a:cxn>
              <a:cxn ang="0">
                <a:pos x="csX7696" y="csY7696"/>
              </a:cxn>
              <a:cxn ang="0">
                <a:pos x="csX7697" y="csY7697"/>
              </a:cxn>
              <a:cxn ang="0">
                <a:pos x="csX7698" y="csY7698"/>
              </a:cxn>
              <a:cxn ang="0">
                <a:pos x="csX7699" y="csY7699"/>
              </a:cxn>
              <a:cxn ang="0">
                <a:pos x="csX7700" y="csY7700"/>
              </a:cxn>
              <a:cxn ang="0">
                <a:pos x="csX7701" y="csY7701"/>
              </a:cxn>
              <a:cxn ang="0">
                <a:pos x="csX7702" y="csY7702"/>
              </a:cxn>
              <a:cxn ang="0">
                <a:pos x="csX7703" y="csY7703"/>
              </a:cxn>
              <a:cxn ang="0">
                <a:pos x="csX7704" y="csY7704"/>
              </a:cxn>
              <a:cxn ang="0">
                <a:pos x="csX7705" y="csY7705"/>
              </a:cxn>
              <a:cxn ang="0">
                <a:pos x="csX7706" y="csY7706"/>
              </a:cxn>
              <a:cxn ang="0">
                <a:pos x="csX7707" y="csY7707"/>
              </a:cxn>
              <a:cxn ang="0">
                <a:pos x="csX7708" y="csY7708"/>
              </a:cxn>
              <a:cxn ang="0">
                <a:pos x="csX7709" y="csY7709"/>
              </a:cxn>
              <a:cxn ang="0">
                <a:pos x="csX7710" y="csY7710"/>
              </a:cxn>
              <a:cxn ang="0">
                <a:pos x="csX7711" y="csY7711"/>
              </a:cxn>
              <a:cxn ang="0">
                <a:pos x="csX7712" y="csY7712"/>
              </a:cxn>
              <a:cxn ang="0">
                <a:pos x="csX7713" y="csY7713"/>
              </a:cxn>
              <a:cxn ang="0">
                <a:pos x="csX7714" y="csY7714"/>
              </a:cxn>
              <a:cxn ang="0">
                <a:pos x="csX7715" y="csY7715"/>
              </a:cxn>
              <a:cxn ang="0">
                <a:pos x="csX7716" y="csY7716"/>
              </a:cxn>
              <a:cxn ang="0">
                <a:pos x="csX7717" y="csY7717"/>
              </a:cxn>
              <a:cxn ang="0">
                <a:pos x="csX7718" y="csY7718"/>
              </a:cxn>
              <a:cxn ang="0">
                <a:pos x="csX7719" y="csY7719"/>
              </a:cxn>
              <a:cxn ang="0">
                <a:pos x="csX7720" y="csY7720"/>
              </a:cxn>
              <a:cxn ang="0">
                <a:pos x="csX7721" y="csY7721"/>
              </a:cxn>
              <a:cxn ang="0">
                <a:pos x="csX7722" y="csY7722"/>
              </a:cxn>
              <a:cxn ang="0">
                <a:pos x="csX7723" y="csY7723"/>
              </a:cxn>
              <a:cxn ang="0">
                <a:pos x="csX7724" y="csY7724"/>
              </a:cxn>
              <a:cxn ang="0">
                <a:pos x="csX7725" y="csY7725"/>
              </a:cxn>
              <a:cxn ang="0">
                <a:pos x="csX7726" y="csY7726"/>
              </a:cxn>
              <a:cxn ang="0">
                <a:pos x="csX7727" y="csY7727"/>
              </a:cxn>
              <a:cxn ang="0">
                <a:pos x="csX7728" y="csY7728"/>
              </a:cxn>
              <a:cxn ang="0">
                <a:pos x="csX7729" y="csY7729"/>
              </a:cxn>
              <a:cxn ang="0">
                <a:pos x="csX7730" y="csY7730"/>
              </a:cxn>
              <a:cxn ang="0">
                <a:pos x="csX7731" y="csY7731"/>
              </a:cxn>
              <a:cxn ang="0">
                <a:pos x="csX7732" y="csY7732"/>
              </a:cxn>
              <a:cxn ang="0">
                <a:pos x="csX7733" y="csY7733"/>
              </a:cxn>
              <a:cxn ang="0">
                <a:pos x="csX7734" y="csY7734"/>
              </a:cxn>
              <a:cxn ang="0">
                <a:pos x="csX7735" y="csY7735"/>
              </a:cxn>
              <a:cxn ang="0">
                <a:pos x="csX7736" y="csY7736"/>
              </a:cxn>
              <a:cxn ang="0">
                <a:pos x="csX7737" y="csY7737"/>
              </a:cxn>
              <a:cxn ang="0">
                <a:pos x="csX7738" y="csY7738"/>
              </a:cxn>
              <a:cxn ang="0">
                <a:pos x="csX7739" y="csY7739"/>
              </a:cxn>
              <a:cxn ang="0">
                <a:pos x="csX7740" y="csY7740"/>
              </a:cxn>
              <a:cxn ang="0">
                <a:pos x="csX7741" y="csY7741"/>
              </a:cxn>
              <a:cxn ang="0">
                <a:pos x="csX7742" y="csY7742"/>
              </a:cxn>
              <a:cxn ang="0">
                <a:pos x="csX7743" y="csY7743"/>
              </a:cxn>
              <a:cxn ang="0">
                <a:pos x="csX7744" y="csY7744"/>
              </a:cxn>
              <a:cxn ang="0">
                <a:pos x="csX7745" y="csY7745"/>
              </a:cxn>
              <a:cxn ang="0">
                <a:pos x="csX7746" y="csY7746"/>
              </a:cxn>
              <a:cxn ang="0">
                <a:pos x="csX7747" y="csY7747"/>
              </a:cxn>
              <a:cxn ang="0">
                <a:pos x="csX7748" y="csY7748"/>
              </a:cxn>
              <a:cxn ang="0">
                <a:pos x="csX7749" y="csY7749"/>
              </a:cxn>
              <a:cxn ang="0">
                <a:pos x="csX7750" y="csY7750"/>
              </a:cxn>
              <a:cxn ang="0">
                <a:pos x="csX7751" y="csY7751"/>
              </a:cxn>
              <a:cxn ang="0">
                <a:pos x="csX7752" y="csY7752"/>
              </a:cxn>
              <a:cxn ang="0">
                <a:pos x="csX7753" y="csY7753"/>
              </a:cxn>
              <a:cxn ang="0">
                <a:pos x="csX7754" y="csY7754"/>
              </a:cxn>
              <a:cxn ang="0">
                <a:pos x="csX7755" y="csY7755"/>
              </a:cxn>
              <a:cxn ang="0">
                <a:pos x="csX7756" y="csY7756"/>
              </a:cxn>
              <a:cxn ang="0">
                <a:pos x="csX7757" y="csY7757"/>
              </a:cxn>
              <a:cxn ang="0">
                <a:pos x="csX7758" y="csY7758"/>
              </a:cxn>
              <a:cxn ang="0">
                <a:pos x="csX7759" y="csY7759"/>
              </a:cxn>
              <a:cxn ang="0">
                <a:pos x="csX7760" y="csY7760"/>
              </a:cxn>
              <a:cxn ang="0">
                <a:pos x="csX7761" y="csY7761"/>
              </a:cxn>
              <a:cxn ang="0">
                <a:pos x="csX7762" y="csY7762"/>
              </a:cxn>
              <a:cxn ang="0">
                <a:pos x="csX7763" y="csY7763"/>
              </a:cxn>
              <a:cxn ang="0">
                <a:pos x="csX7764" y="csY7764"/>
              </a:cxn>
              <a:cxn ang="0">
                <a:pos x="csX7765" y="csY7765"/>
              </a:cxn>
              <a:cxn ang="0">
                <a:pos x="csX7766" y="csY7766"/>
              </a:cxn>
              <a:cxn ang="0">
                <a:pos x="csX7767" y="csY7767"/>
              </a:cxn>
              <a:cxn ang="0">
                <a:pos x="csX7768" y="csY7768"/>
              </a:cxn>
              <a:cxn ang="0">
                <a:pos x="csX7769" y="csY7769"/>
              </a:cxn>
              <a:cxn ang="0">
                <a:pos x="csX7770" y="csY7770"/>
              </a:cxn>
              <a:cxn ang="0">
                <a:pos x="csX7771" y="csY7771"/>
              </a:cxn>
              <a:cxn ang="0">
                <a:pos x="csX7772" y="csY7772"/>
              </a:cxn>
              <a:cxn ang="0">
                <a:pos x="csX7773" y="csY7773"/>
              </a:cxn>
              <a:cxn ang="0">
                <a:pos x="csX7774" y="csY7774"/>
              </a:cxn>
              <a:cxn ang="0">
                <a:pos x="csX7775" y="csY7775"/>
              </a:cxn>
              <a:cxn ang="0">
                <a:pos x="csX7776" y="csY7776"/>
              </a:cxn>
              <a:cxn ang="0">
                <a:pos x="csX7777" y="csY7777"/>
              </a:cxn>
              <a:cxn ang="0">
                <a:pos x="csX7778" y="csY7778"/>
              </a:cxn>
              <a:cxn ang="0">
                <a:pos x="csX7779" y="csY7779"/>
              </a:cxn>
              <a:cxn ang="0">
                <a:pos x="csX7780" y="csY7780"/>
              </a:cxn>
              <a:cxn ang="0">
                <a:pos x="csX7781" y="csY7781"/>
              </a:cxn>
              <a:cxn ang="0">
                <a:pos x="csX7782" y="csY7782"/>
              </a:cxn>
              <a:cxn ang="0">
                <a:pos x="csX7783" y="csY7783"/>
              </a:cxn>
              <a:cxn ang="0">
                <a:pos x="csX7784" y="csY7784"/>
              </a:cxn>
              <a:cxn ang="0">
                <a:pos x="csX7785" y="csY7785"/>
              </a:cxn>
              <a:cxn ang="0">
                <a:pos x="csX7786" y="csY7786"/>
              </a:cxn>
              <a:cxn ang="0">
                <a:pos x="csX7787" y="csY7787"/>
              </a:cxn>
              <a:cxn ang="0">
                <a:pos x="csX7788" y="csY7788"/>
              </a:cxn>
              <a:cxn ang="0">
                <a:pos x="csX7789" y="csY7789"/>
              </a:cxn>
              <a:cxn ang="0">
                <a:pos x="csX7790" y="csY7790"/>
              </a:cxn>
              <a:cxn ang="0">
                <a:pos x="csX7791" y="csY7791"/>
              </a:cxn>
              <a:cxn ang="0">
                <a:pos x="csX7792" y="csY7792"/>
              </a:cxn>
              <a:cxn ang="0">
                <a:pos x="csX7793" y="csY7793"/>
              </a:cxn>
              <a:cxn ang="0">
                <a:pos x="csX7794" y="csY7794"/>
              </a:cxn>
              <a:cxn ang="0">
                <a:pos x="csX7795" y="csY7795"/>
              </a:cxn>
              <a:cxn ang="0">
                <a:pos x="csX7796" y="csY7796"/>
              </a:cxn>
              <a:cxn ang="0">
                <a:pos x="csX7797" y="csY7797"/>
              </a:cxn>
              <a:cxn ang="0">
                <a:pos x="csX7798" y="csY7798"/>
              </a:cxn>
              <a:cxn ang="0">
                <a:pos x="csX7799" y="csY7799"/>
              </a:cxn>
              <a:cxn ang="0">
                <a:pos x="csX7800" y="csY7800"/>
              </a:cxn>
              <a:cxn ang="0">
                <a:pos x="csX7801" y="csY7801"/>
              </a:cxn>
              <a:cxn ang="0">
                <a:pos x="csX7802" y="csY7802"/>
              </a:cxn>
              <a:cxn ang="0">
                <a:pos x="csX7803" y="csY7803"/>
              </a:cxn>
              <a:cxn ang="0">
                <a:pos x="csX7804" y="csY7804"/>
              </a:cxn>
              <a:cxn ang="0">
                <a:pos x="csX7805" y="csY7805"/>
              </a:cxn>
              <a:cxn ang="0">
                <a:pos x="csX7806" y="csY7806"/>
              </a:cxn>
              <a:cxn ang="0">
                <a:pos x="csX7807" y="csY7807"/>
              </a:cxn>
              <a:cxn ang="0">
                <a:pos x="csX7808" y="csY7808"/>
              </a:cxn>
              <a:cxn ang="0">
                <a:pos x="csX7809" y="csY7809"/>
              </a:cxn>
              <a:cxn ang="0">
                <a:pos x="csX7810" y="csY7810"/>
              </a:cxn>
              <a:cxn ang="0">
                <a:pos x="csX7811" y="csY7811"/>
              </a:cxn>
              <a:cxn ang="0">
                <a:pos x="csX7812" y="csY7812"/>
              </a:cxn>
              <a:cxn ang="0">
                <a:pos x="csX7813" y="csY7813"/>
              </a:cxn>
              <a:cxn ang="0">
                <a:pos x="csX7814" y="csY7814"/>
              </a:cxn>
              <a:cxn ang="0">
                <a:pos x="csX7815" y="csY7815"/>
              </a:cxn>
              <a:cxn ang="0">
                <a:pos x="csX7816" y="csY7816"/>
              </a:cxn>
              <a:cxn ang="0">
                <a:pos x="csX7817" y="csY7817"/>
              </a:cxn>
              <a:cxn ang="0">
                <a:pos x="csX7818" y="csY7818"/>
              </a:cxn>
              <a:cxn ang="0">
                <a:pos x="csX7819" y="csY7819"/>
              </a:cxn>
              <a:cxn ang="0">
                <a:pos x="csX7820" y="csY7820"/>
              </a:cxn>
              <a:cxn ang="0">
                <a:pos x="csX7821" y="csY7821"/>
              </a:cxn>
              <a:cxn ang="0">
                <a:pos x="csX7822" y="csY7822"/>
              </a:cxn>
              <a:cxn ang="0">
                <a:pos x="csX7823" y="csY7823"/>
              </a:cxn>
              <a:cxn ang="0">
                <a:pos x="csX7824" y="csY7824"/>
              </a:cxn>
              <a:cxn ang="0">
                <a:pos x="csX7825" y="csY7825"/>
              </a:cxn>
              <a:cxn ang="0">
                <a:pos x="csX7826" y="csY7826"/>
              </a:cxn>
              <a:cxn ang="0">
                <a:pos x="csX7827" y="csY7827"/>
              </a:cxn>
              <a:cxn ang="0">
                <a:pos x="csX7828" y="csY7828"/>
              </a:cxn>
              <a:cxn ang="0">
                <a:pos x="csX7829" y="csY7829"/>
              </a:cxn>
              <a:cxn ang="0">
                <a:pos x="csX7830" y="csY7830"/>
              </a:cxn>
              <a:cxn ang="0">
                <a:pos x="csX7831" y="csY7831"/>
              </a:cxn>
              <a:cxn ang="0">
                <a:pos x="csX7832" y="csY7832"/>
              </a:cxn>
              <a:cxn ang="0">
                <a:pos x="csX7833" y="csY7833"/>
              </a:cxn>
              <a:cxn ang="0">
                <a:pos x="csX7834" y="csY7834"/>
              </a:cxn>
              <a:cxn ang="0">
                <a:pos x="csX7835" y="csY7835"/>
              </a:cxn>
              <a:cxn ang="0">
                <a:pos x="csX7836" y="csY7836"/>
              </a:cxn>
              <a:cxn ang="0">
                <a:pos x="csX7837" y="csY7837"/>
              </a:cxn>
              <a:cxn ang="0">
                <a:pos x="csX7838" y="csY7838"/>
              </a:cxn>
              <a:cxn ang="0">
                <a:pos x="csX7839" y="csY7839"/>
              </a:cxn>
              <a:cxn ang="0">
                <a:pos x="csX7840" y="csY7840"/>
              </a:cxn>
              <a:cxn ang="0">
                <a:pos x="csX7841" y="csY7841"/>
              </a:cxn>
              <a:cxn ang="0">
                <a:pos x="csX7842" y="csY7842"/>
              </a:cxn>
              <a:cxn ang="0">
                <a:pos x="csX7843" y="csY7843"/>
              </a:cxn>
              <a:cxn ang="0">
                <a:pos x="csX7844" y="csY7844"/>
              </a:cxn>
              <a:cxn ang="0">
                <a:pos x="csX7845" y="csY7845"/>
              </a:cxn>
              <a:cxn ang="0">
                <a:pos x="csX7846" y="csY7846"/>
              </a:cxn>
              <a:cxn ang="0">
                <a:pos x="csX7847" y="csY7847"/>
              </a:cxn>
              <a:cxn ang="0">
                <a:pos x="csX7848" y="csY7848"/>
              </a:cxn>
              <a:cxn ang="0">
                <a:pos x="csX7849" y="csY7849"/>
              </a:cxn>
              <a:cxn ang="0">
                <a:pos x="csX7850" y="csY7850"/>
              </a:cxn>
              <a:cxn ang="0">
                <a:pos x="csX7851" y="csY7851"/>
              </a:cxn>
              <a:cxn ang="0">
                <a:pos x="csX7852" y="csY7852"/>
              </a:cxn>
              <a:cxn ang="0">
                <a:pos x="csX7853" y="csY7853"/>
              </a:cxn>
              <a:cxn ang="0">
                <a:pos x="csX7854" y="csY7854"/>
              </a:cxn>
              <a:cxn ang="0">
                <a:pos x="csX7855" y="csY7855"/>
              </a:cxn>
              <a:cxn ang="0">
                <a:pos x="csX7856" y="csY7856"/>
              </a:cxn>
              <a:cxn ang="0">
                <a:pos x="csX7857" y="csY7857"/>
              </a:cxn>
              <a:cxn ang="0">
                <a:pos x="csX7858" y="csY7858"/>
              </a:cxn>
              <a:cxn ang="0">
                <a:pos x="csX7859" y="csY7859"/>
              </a:cxn>
              <a:cxn ang="0">
                <a:pos x="csX7860" y="csY7860"/>
              </a:cxn>
              <a:cxn ang="0">
                <a:pos x="csX7861" y="csY7861"/>
              </a:cxn>
              <a:cxn ang="0">
                <a:pos x="csX7862" y="csY7862"/>
              </a:cxn>
              <a:cxn ang="0">
                <a:pos x="csX7863" y="csY7863"/>
              </a:cxn>
              <a:cxn ang="0">
                <a:pos x="csX7864" y="csY7864"/>
              </a:cxn>
              <a:cxn ang="0">
                <a:pos x="csX7865" y="csY7865"/>
              </a:cxn>
              <a:cxn ang="0">
                <a:pos x="csX7866" y="csY7866"/>
              </a:cxn>
              <a:cxn ang="0">
                <a:pos x="csX7867" y="csY7867"/>
              </a:cxn>
              <a:cxn ang="0">
                <a:pos x="csX7868" y="csY7868"/>
              </a:cxn>
              <a:cxn ang="0">
                <a:pos x="csX7869" y="csY7869"/>
              </a:cxn>
              <a:cxn ang="0">
                <a:pos x="csX7870" y="csY7870"/>
              </a:cxn>
              <a:cxn ang="0">
                <a:pos x="csX7871" y="csY7871"/>
              </a:cxn>
              <a:cxn ang="0">
                <a:pos x="csX7872" y="csY7872"/>
              </a:cxn>
              <a:cxn ang="0">
                <a:pos x="csX7873" y="csY7873"/>
              </a:cxn>
              <a:cxn ang="0">
                <a:pos x="csX7874" y="csY7874"/>
              </a:cxn>
              <a:cxn ang="0">
                <a:pos x="csX7875" y="csY7875"/>
              </a:cxn>
              <a:cxn ang="0">
                <a:pos x="csX7876" y="csY7876"/>
              </a:cxn>
              <a:cxn ang="0">
                <a:pos x="csX7877" y="csY7877"/>
              </a:cxn>
              <a:cxn ang="0">
                <a:pos x="csX7878" y="csY7878"/>
              </a:cxn>
              <a:cxn ang="0">
                <a:pos x="csX7879" y="csY7879"/>
              </a:cxn>
              <a:cxn ang="0">
                <a:pos x="csX7880" y="csY7880"/>
              </a:cxn>
              <a:cxn ang="0">
                <a:pos x="csX7881" y="csY7881"/>
              </a:cxn>
              <a:cxn ang="0">
                <a:pos x="csX7882" y="csY7882"/>
              </a:cxn>
              <a:cxn ang="0">
                <a:pos x="csX7883" y="csY7883"/>
              </a:cxn>
              <a:cxn ang="0">
                <a:pos x="csX7884" y="csY7884"/>
              </a:cxn>
              <a:cxn ang="0">
                <a:pos x="csX7885" y="csY7885"/>
              </a:cxn>
              <a:cxn ang="0">
                <a:pos x="csX7886" y="csY7886"/>
              </a:cxn>
              <a:cxn ang="0">
                <a:pos x="csX7887" y="csY7887"/>
              </a:cxn>
              <a:cxn ang="0">
                <a:pos x="csX7888" y="csY7888"/>
              </a:cxn>
              <a:cxn ang="0">
                <a:pos x="csX7889" y="csY7889"/>
              </a:cxn>
              <a:cxn ang="0">
                <a:pos x="csX7890" y="csY7890"/>
              </a:cxn>
              <a:cxn ang="0">
                <a:pos x="csX7891" y="csY7891"/>
              </a:cxn>
              <a:cxn ang="0">
                <a:pos x="csX7892" y="csY7892"/>
              </a:cxn>
              <a:cxn ang="0">
                <a:pos x="csX7893" y="csY7893"/>
              </a:cxn>
              <a:cxn ang="0">
                <a:pos x="csX7894" y="csY7894"/>
              </a:cxn>
              <a:cxn ang="0">
                <a:pos x="csX7895" y="csY7895"/>
              </a:cxn>
              <a:cxn ang="0">
                <a:pos x="csX7896" y="csY7896"/>
              </a:cxn>
              <a:cxn ang="0">
                <a:pos x="csX7897" y="csY7897"/>
              </a:cxn>
              <a:cxn ang="0">
                <a:pos x="csX7898" y="csY7898"/>
              </a:cxn>
              <a:cxn ang="0">
                <a:pos x="csX7899" y="csY7899"/>
              </a:cxn>
              <a:cxn ang="0">
                <a:pos x="csX7900" y="csY7900"/>
              </a:cxn>
              <a:cxn ang="0">
                <a:pos x="csX7901" y="csY7901"/>
              </a:cxn>
              <a:cxn ang="0">
                <a:pos x="csX7902" y="csY7902"/>
              </a:cxn>
              <a:cxn ang="0">
                <a:pos x="csX7903" y="csY7903"/>
              </a:cxn>
              <a:cxn ang="0">
                <a:pos x="csX7904" y="csY7904"/>
              </a:cxn>
              <a:cxn ang="0">
                <a:pos x="csX7905" y="csY7905"/>
              </a:cxn>
              <a:cxn ang="0">
                <a:pos x="csX7906" y="csY7906"/>
              </a:cxn>
              <a:cxn ang="0">
                <a:pos x="csX7907" y="csY7907"/>
              </a:cxn>
              <a:cxn ang="0">
                <a:pos x="csX7908" y="csY7908"/>
              </a:cxn>
              <a:cxn ang="0">
                <a:pos x="csX7909" y="csY7909"/>
              </a:cxn>
              <a:cxn ang="0">
                <a:pos x="csX7910" y="csY7910"/>
              </a:cxn>
              <a:cxn ang="0">
                <a:pos x="csX7911" y="csY7911"/>
              </a:cxn>
              <a:cxn ang="0">
                <a:pos x="csX7912" y="csY7912"/>
              </a:cxn>
              <a:cxn ang="0">
                <a:pos x="csX7913" y="csY7913"/>
              </a:cxn>
              <a:cxn ang="0">
                <a:pos x="csX7914" y="csY7914"/>
              </a:cxn>
              <a:cxn ang="0">
                <a:pos x="csX7915" y="csY7915"/>
              </a:cxn>
              <a:cxn ang="0">
                <a:pos x="csX7916" y="csY7916"/>
              </a:cxn>
              <a:cxn ang="0">
                <a:pos x="csX7917" y="csY7917"/>
              </a:cxn>
              <a:cxn ang="0">
                <a:pos x="csX7918" y="csY7918"/>
              </a:cxn>
              <a:cxn ang="0">
                <a:pos x="csX7919" y="csY7919"/>
              </a:cxn>
              <a:cxn ang="0">
                <a:pos x="csX7920" y="csY7920"/>
              </a:cxn>
              <a:cxn ang="0">
                <a:pos x="csX7921" y="csY7921"/>
              </a:cxn>
              <a:cxn ang="0">
                <a:pos x="csX7922" y="csY7922"/>
              </a:cxn>
              <a:cxn ang="0">
                <a:pos x="csX7923" y="csY7923"/>
              </a:cxn>
              <a:cxn ang="0">
                <a:pos x="csX7924" y="csY7924"/>
              </a:cxn>
              <a:cxn ang="0">
                <a:pos x="csX7925" y="csY7925"/>
              </a:cxn>
              <a:cxn ang="0">
                <a:pos x="csX7926" y="csY7926"/>
              </a:cxn>
              <a:cxn ang="0">
                <a:pos x="csX7927" y="csY7927"/>
              </a:cxn>
              <a:cxn ang="0">
                <a:pos x="csX7928" y="csY7928"/>
              </a:cxn>
              <a:cxn ang="0">
                <a:pos x="csX7929" y="csY7929"/>
              </a:cxn>
              <a:cxn ang="0">
                <a:pos x="csX7930" y="csY7930"/>
              </a:cxn>
              <a:cxn ang="0">
                <a:pos x="csX7931" y="csY7931"/>
              </a:cxn>
              <a:cxn ang="0">
                <a:pos x="csX7932" y="csY7932"/>
              </a:cxn>
              <a:cxn ang="0">
                <a:pos x="csX7933" y="csY7933"/>
              </a:cxn>
              <a:cxn ang="0">
                <a:pos x="csX7934" y="csY7934"/>
              </a:cxn>
              <a:cxn ang="0">
                <a:pos x="csX7935" y="csY7935"/>
              </a:cxn>
              <a:cxn ang="0">
                <a:pos x="csX7936" y="csY7936"/>
              </a:cxn>
              <a:cxn ang="0">
                <a:pos x="csX7937" y="csY7937"/>
              </a:cxn>
              <a:cxn ang="0">
                <a:pos x="csX7938" y="csY7938"/>
              </a:cxn>
              <a:cxn ang="0">
                <a:pos x="csX7939" y="csY7939"/>
              </a:cxn>
              <a:cxn ang="0">
                <a:pos x="csX7940" y="csY7940"/>
              </a:cxn>
              <a:cxn ang="0">
                <a:pos x="csX7941" y="csY7941"/>
              </a:cxn>
              <a:cxn ang="0">
                <a:pos x="csX7942" y="csY7942"/>
              </a:cxn>
              <a:cxn ang="0">
                <a:pos x="csX7943" y="csY7943"/>
              </a:cxn>
              <a:cxn ang="0">
                <a:pos x="csX7944" y="csY7944"/>
              </a:cxn>
              <a:cxn ang="0">
                <a:pos x="csX7945" y="csY7945"/>
              </a:cxn>
              <a:cxn ang="0">
                <a:pos x="csX7946" y="csY7946"/>
              </a:cxn>
              <a:cxn ang="0">
                <a:pos x="csX7947" y="csY7947"/>
              </a:cxn>
              <a:cxn ang="0">
                <a:pos x="csX7948" y="csY7948"/>
              </a:cxn>
              <a:cxn ang="0">
                <a:pos x="csX7949" y="csY7949"/>
              </a:cxn>
              <a:cxn ang="0">
                <a:pos x="csX7950" y="csY7950"/>
              </a:cxn>
              <a:cxn ang="0">
                <a:pos x="csX7951" y="csY7951"/>
              </a:cxn>
              <a:cxn ang="0">
                <a:pos x="csX7952" y="csY7952"/>
              </a:cxn>
              <a:cxn ang="0">
                <a:pos x="csX7953" y="csY7953"/>
              </a:cxn>
              <a:cxn ang="0">
                <a:pos x="csX7954" y="csY7954"/>
              </a:cxn>
              <a:cxn ang="0">
                <a:pos x="csX7955" y="csY7955"/>
              </a:cxn>
              <a:cxn ang="0">
                <a:pos x="csX7956" y="csY7956"/>
              </a:cxn>
              <a:cxn ang="0">
                <a:pos x="csX7957" y="csY7957"/>
              </a:cxn>
              <a:cxn ang="0">
                <a:pos x="csX7958" y="csY7958"/>
              </a:cxn>
              <a:cxn ang="0">
                <a:pos x="csX7959" y="csY7959"/>
              </a:cxn>
              <a:cxn ang="0">
                <a:pos x="csX7960" y="csY7960"/>
              </a:cxn>
              <a:cxn ang="0">
                <a:pos x="csX7961" y="csY7961"/>
              </a:cxn>
              <a:cxn ang="0">
                <a:pos x="csX7962" y="csY7962"/>
              </a:cxn>
              <a:cxn ang="0">
                <a:pos x="csX7963" y="csY7963"/>
              </a:cxn>
              <a:cxn ang="0">
                <a:pos x="csX7964" y="csY7964"/>
              </a:cxn>
              <a:cxn ang="0">
                <a:pos x="csX7965" y="csY7965"/>
              </a:cxn>
              <a:cxn ang="0">
                <a:pos x="csX7966" y="csY7966"/>
              </a:cxn>
              <a:cxn ang="0">
                <a:pos x="csX7967" y="csY7967"/>
              </a:cxn>
              <a:cxn ang="0">
                <a:pos x="csX7968" y="csY7968"/>
              </a:cxn>
              <a:cxn ang="0">
                <a:pos x="csX7969" y="csY7969"/>
              </a:cxn>
              <a:cxn ang="0">
                <a:pos x="csX7970" y="csY7970"/>
              </a:cxn>
              <a:cxn ang="0">
                <a:pos x="csX7971" y="csY7971"/>
              </a:cxn>
              <a:cxn ang="0">
                <a:pos x="csX7972" y="csY7972"/>
              </a:cxn>
              <a:cxn ang="0">
                <a:pos x="csX7973" y="csY7973"/>
              </a:cxn>
              <a:cxn ang="0">
                <a:pos x="csX7974" y="csY7974"/>
              </a:cxn>
              <a:cxn ang="0">
                <a:pos x="csX7975" y="csY7975"/>
              </a:cxn>
              <a:cxn ang="0">
                <a:pos x="csX7976" y="csY7976"/>
              </a:cxn>
              <a:cxn ang="0">
                <a:pos x="csX7977" y="csY7977"/>
              </a:cxn>
              <a:cxn ang="0">
                <a:pos x="csX7978" y="csY7978"/>
              </a:cxn>
              <a:cxn ang="0">
                <a:pos x="csX7979" y="csY7979"/>
              </a:cxn>
              <a:cxn ang="0">
                <a:pos x="csX7980" y="csY7980"/>
              </a:cxn>
              <a:cxn ang="0">
                <a:pos x="csX7981" y="csY7981"/>
              </a:cxn>
              <a:cxn ang="0">
                <a:pos x="csX7982" y="csY7982"/>
              </a:cxn>
              <a:cxn ang="0">
                <a:pos x="csX7983" y="csY7983"/>
              </a:cxn>
              <a:cxn ang="0">
                <a:pos x="csX7984" y="csY7984"/>
              </a:cxn>
              <a:cxn ang="0">
                <a:pos x="csX7985" y="csY7985"/>
              </a:cxn>
              <a:cxn ang="0">
                <a:pos x="csX7986" y="csY7986"/>
              </a:cxn>
              <a:cxn ang="0">
                <a:pos x="csX7987" y="csY7987"/>
              </a:cxn>
              <a:cxn ang="0">
                <a:pos x="csX7988" y="csY7988"/>
              </a:cxn>
              <a:cxn ang="0">
                <a:pos x="csX7989" y="csY7989"/>
              </a:cxn>
              <a:cxn ang="0">
                <a:pos x="csX7990" y="csY7990"/>
              </a:cxn>
              <a:cxn ang="0">
                <a:pos x="csX7991" y="csY7991"/>
              </a:cxn>
              <a:cxn ang="0">
                <a:pos x="csX7992" y="csY7992"/>
              </a:cxn>
              <a:cxn ang="0">
                <a:pos x="csX7993" y="csY7993"/>
              </a:cxn>
              <a:cxn ang="0">
                <a:pos x="csX7994" y="csY7994"/>
              </a:cxn>
              <a:cxn ang="0">
                <a:pos x="csX7995" y="csY7995"/>
              </a:cxn>
              <a:cxn ang="0">
                <a:pos x="csX7996" y="csY7996"/>
              </a:cxn>
              <a:cxn ang="0">
                <a:pos x="csX7997" y="csY7997"/>
              </a:cxn>
              <a:cxn ang="0">
                <a:pos x="csX7998" y="csY7998"/>
              </a:cxn>
              <a:cxn ang="0">
                <a:pos x="csX7999" y="csY7999"/>
              </a:cxn>
              <a:cxn ang="0">
                <a:pos x="csX8000" y="csY8000"/>
              </a:cxn>
              <a:cxn ang="0">
                <a:pos x="csX8001" y="csY8001"/>
              </a:cxn>
              <a:cxn ang="0">
                <a:pos x="csX8002" y="csY8002"/>
              </a:cxn>
              <a:cxn ang="0">
                <a:pos x="csX8003" y="csY8003"/>
              </a:cxn>
              <a:cxn ang="0">
                <a:pos x="csX8004" y="csY8004"/>
              </a:cxn>
              <a:cxn ang="0">
                <a:pos x="csX8005" y="csY8005"/>
              </a:cxn>
              <a:cxn ang="0">
                <a:pos x="csX8006" y="csY8006"/>
              </a:cxn>
              <a:cxn ang="0">
                <a:pos x="csX8007" y="csY8007"/>
              </a:cxn>
              <a:cxn ang="0">
                <a:pos x="csX8008" y="csY8008"/>
              </a:cxn>
              <a:cxn ang="0">
                <a:pos x="csX8009" y="csY8009"/>
              </a:cxn>
              <a:cxn ang="0">
                <a:pos x="csX8010" y="csY8010"/>
              </a:cxn>
              <a:cxn ang="0">
                <a:pos x="csX8011" y="csY8011"/>
              </a:cxn>
              <a:cxn ang="0">
                <a:pos x="csX8012" y="csY8012"/>
              </a:cxn>
              <a:cxn ang="0">
                <a:pos x="csX8013" y="csY8013"/>
              </a:cxn>
              <a:cxn ang="0">
                <a:pos x="csX8014" y="csY8014"/>
              </a:cxn>
              <a:cxn ang="0">
                <a:pos x="csX8015" y="csY8015"/>
              </a:cxn>
              <a:cxn ang="0">
                <a:pos x="csX8016" y="csY8016"/>
              </a:cxn>
              <a:cxn ang="0">
                <a:pos x="csX8017" y="csY8017"/>
              </a:cxn>
              <a:cxn ang="0">
                <a:pos x="csX8018" y="csY8018"/>
              </a:cxn>
              <a:cxn ang="0">
                <a:pos x="csX8019" y="csY8019"/>
              </a:cxn>
              <a:cxn ang="0">
                <a:pos x="csX8020" y="csY8020"/>
              </a:cxn>
              <a:cxn ang="0">
                <a:pos x="csX8021" y="csY8021"/>
              </a:cxn>
              <a:cxn ang="0">
                <a:pos x="csX8022" y="csY8022"/>
              </a:cxn>
              <a:cxn ang="0">
                <a:pos x="csX8023" y="csY8023"/>
              </a:cxn>
              <a:cxn ang="0">
                <a:pos x="csX8024" y="csY8024"/>
              </a:cxn>
              <a:cxn ang="0">
                <a:pos x="csX8025" y="csY8025"/>
              </a:cxn>
              <a:cxn ang="0">
                <a:pos x="csX8026" y="csY8026"/>
              </a:cxn>
              <a:cxn ang="0">
                <a:pos x="csX8027" y="csY8027"/>
              </a:cxn>
              <a:cxn ang="0">
                <a:pos x="csX8028" y="csY8028"/>
              </a:cxn>
              <a:cxn ang="0">
                <a:pos x="csX8029" y="csY8029"/>
              </a:cxn>
              <a:cxn ang="0">
                <a:pos x="csX8030" y="csY8030"/>
              </a:cxn>
              <a:cxn ang="0">
                <a:pos x="csX8031" y="csY8031"/>
              </a:cxn>
              <a:cxn ang="0">
                <a:pos x="csX8032" y="csY8032"/>
              </a:cxn>
              <a:cxn ang="0">
                <a:pos x="csX8033" y="csY8033"/>
              </a:cxn>
              <a:cxn ang="0">
                <a:pos x="csX8034" y="csY8034"/>
              </a:cxn>
              <a:cxn ang="0">
                <a:pos x="csX8035" y="csY8035"/>
              </a:cxn>
              <a:cxn ang="0">
                <a:pos x="csX8036" y="csY8036"/>
              </a:cxn>
              <a:cxn ang="0">
                <a:pos x="csX8037" y="csY8037"/>
              </a:cxn>
              <a:cxn ang="0">
                <a:pos x="csX8038" y="csY8038"/>
              </a:cxn>
              <a:cxn ang="0">
                <a:pos x="csX8039" y="csY8039"/>
              </a:cxn>
              <a:cxn ang="0">
                <a:pos x="csX8040" y="csY8040"/>
              </a:cxn>
              <a:cxn ang="0">
                <a:pos x="csX8041" y="csY8041"/>
              </a:cxn>
              <a:cxn ang="0">
                <a:pos x="csX8042" y="csY8042"/>
              </a:cxn>
              <a:cxn ang="0">
                <a:pos x="csX8043" y="csY8043"/>
              </a:cxn>
              <a:cxn ang="0">
                <a:pos x="csX8044" y="csY8044"/>
              </a:cxn>
              <a:cxn ang="0">
                <a:pos x="csX8045" y="csY8045"/>
              </a:cxn>
              <a:cxn ang="0">
                <a:pos x="csX8046" y="csY8046"/>
              </a:cxn>
              <a:cxn ang="0">
                <a:pos x="csX8047" y="csY8047"/>
              </a:cxn>
              <a:cxn ang="0">
                <a:pos x="csX8048" y="csY8048"/>
              </a:cxn>
              <a:cxn ang="0">
                <a:pos x="csX8049" y="csY8049"/>
              </a:cxn>
              <a:cxn ang="0">
                <a:pos x="csX8050" y="csY8050"/>
              </a:cxn>
              <a:cxn ang="0">
                <a:pos x="csX8051" y="csY8051"/>
              </a:cxn>
              <a:cxn ang="0">
                <a:pos x="csX8052" y="csY8052"/>
              </a:cxn>
              <a:cxn ang="0">
                <a:pos x="csX8053" y="csY8053"/>
              </a:cxn>
              <a:cxn ang="0">
                <a:pos x="csX8054" y="csY8054"/>
              </a:cxn>
              <a:cxn ang="0">
                <a:pos x="csX8055" y="csY8055"/>
              </a:cxn>
              <a:cxn ang="0">
                <a:pos x="csX8056" y="csY8056"/>
              </a:cxn>
              <a:cxn ang="0">
                <a:pos x="csX8057" y="csY8057"/>
              </a:cxn>
              <a:cxn ang="0">
                <a:pos x="csX8058" y="csY8058"/>
              </a:cxn>
              <a:cxn ang="0">
                <a:pos x="csX8059" y="csY8059"/>
              </a:cxn>
              <a:cxn ang="0">
                <a:pos x="csX8060" y="csY8060"/>
              </a:cxn>
              <a:cxn ang="0">
                <a:pos x="csX8061" y="csY8061"/>
              </a:cxn>
              <a:cxn ang="0">
                <a:pos x="csX8062" y="csY8062"/>
              </a:cxn>
              <a:cxn ang="0">
                <a:pos x="csX8063" y="csY8063"/>
              </a:cxn>
              <a:cxn ang="0">
                <a:pos x="csX8064" y="csY8064"/>
              </a:cxn>
              <a:cxn ang="0">
                <a:pos x="csX8065" y="csY8065"/>
              </a:cxn>
              <a:cxn ang="0">
                <a:pos x="csX8066" y="csY8066"/>
              </a:cxn>
              <a:cxn ang="0">
                <a:pos x="csX8067" y="csY8067"/>
              </a:cxn>
              <a:cxn ang="0">
                <a:pos x="csX8068" y="csY8068"/>
              </a:cxn>
              <a:cxn ang="0">
                <a:pos x="csX8069" y="csY8069"/>
              </a:cxn>
              <a:cxn ang="0">
                <a:pos x="csX8070" y="csY8070"/>
              </a:cxn>
              <a:cxn ang="0">
                <a:pos x="csX8071" y="csY8071"/>
              </a:cxn>
              <a:cxn ang="0">
                <a:pos x="csX8072" y="csY8072"/>
              </a:cxn>
              <a:cxn ang="0">
                <a:pos x="csX8073" y="csY8073"/>
              </a:cxn>
              <a:cxn ang="0">
                <a:pos x="csX8074" y="csY8074"/>
              </a:cxn>
              <a:cxn ang="0">
                <a:pos x="csX8075" y="csY8075"/>
              </a:cxn>
              <a:cxn ang="0">
                <a:pos x="csX8076" y="csY8076"/>
              </a:cxn>
              <a:cxn ang="0">
                <a:pos x="csX8077" y="csY8077"/>
              </a:cxn>
              <a:cxn ang="0">
                <a:pos x="csX8078" y="csY8078"/>
              </a:cxn>
              <a:cxn ang="0">
                <a:pos x="csX8079" y="csY8079"/>
              </a:cxn>
              <a:cxn ang="0">
                <a:pos x="csX8080" y="csY8080"/>
              </a:cxn>
              <a:cxn ang="0">
                <a:pos x="csX8081" y="csY8081"/>
              </a:cxn>
              <a:cxn ang="0">
                <a:pos x="csX8082" y="csY8082"/>
              </a:cxn>
              <a:cxn ang="0">
                <a:pos x="csX8083" y="csY8083"/>
              </a:cxn>
              <a:cxn ang="0">
                <a:pos x="csX8084" y="csY8084"/>
              </a:cxn>
              <a:cxn ang="0">
                <a:pos x="csX8085" y="csY8085"/>
              </a:cxn>
              <a:cxn ang="0">
                <a:pos x="csX8086" y="csY8086"/>
              </a:cxn>
              <a:cxn ang="0">
                <a:pos x="csX8087" y="csY8087"/>
              </a:cxn>
              <a:cxn ang="0">
                <a:pos x="csX8088" y="csY8088"/>
              </a:cxn>
              <a:cxn ang="0">
                <a:pos x="csX8089" y="csY8089"/>
              </a:cxn>
              <a:cxn ang="0">
                <a:pos x="csX8090" y="csY8090"/>
              </a:cxn>
              <a:cxn ang="0">
                <a:pos x="csX8091" y="csY8091"/>
              </a:cxn>
              <a:cxn ang="0">
                <a:pos x="csX8092" y="csY8092"/>
              </a:cxn>
              <a:cxn ang="0">
                <a:pos x="csX8093" y="csY8093"/>
              </a:cxn>
              <a:cxn ang="0">
                <a:pos x="csX8094" y="csY8094"/>
              </a:cxn>
              <a:cxn ang="0">
                <a:pos x="csX8095" y="csY8095"/>
              </a:cxn>
              <a:cxn ang="0">
                <a:pos x="csX8096" y="csY8096"/>
              </a:cxn>
              <a:cxn ang="0">
                <a:pos x="csX8097" y="csY8097"/>
              </a:cxn>
              <a:cxn ang="0">
                <a:pos x="csX8098" y="csY8098"/>
              </a:cxn>
              <a:cxn ang="0">
                <a:pos x="csX8099" y="csY8099"/>
              </a:cxn>
              <a:cxn ang="0">
                <a:pos x="csX8100" y="csY8100"/>
              </a:cxn>
              <a:cxn ang="0">
                <a:pos x="csX8101" y="csY8101"/>
              </a:cxn>
              <a:cxn ang="0">
                <a:pos x="csX8102" y="csY8102"/>
              </a:cxn>
              <a:cxn ang="0">
                <a:pos x="csX8103" y="csY8103"/>
              </a:cxn>
              <a:cxn ang="0">
                <a:pos x="csX8104" y="csY8104"/>
              </a:cxn>
              <a:cxn ang="0">
                <a:pos x="csX8105" y="csY8105"/>
              </a:cxn>
              <a:cxn ang="0">
                <a:pos x="csX8106" y="csY8106"/>
              </a:cxn>
              <a:cxn ang="0">
                <a:pos x="csX8107" y="csY8107"/>
              </a:cxn>
              <a:cxn ang="0">
                <a:pos x="csX8108" y="csY8108"/>
              </a:cxn>
              <a:cxn ang="0">
                <a:pos x="csX8109" y="csY8109"/>
              </a:cxn>
              <a:cxn ang="0">
                <a:pos x="csX8110" y="csY8110"/>
              </a:cxn>
              <a:cxn ang="0">
                <a:pos x="csX8111" y="csY8111"/>
              </a:cxn>
              <a:cxn ang="0">
                <a:pos x="csX8112" y="csY8112"/>
              </a:cxn>
              <a:cxn ang="0">
                <a:pos x="csX8113" y="csY8113"/>
              </a:cxn>
              <a:cxn ang="0">
                <a:pos x="csX8114" y="csY8114"/>
              </a:cxn>
              <a:cxn ang="0">
                <a:pos x="csX8115" y="csY8115"/>
              </a:cxn>
              <a:cxn ang="0">
                <a:pos x="csX8116" y="csY8116"/>
              </a:cxn>
              <a:cxn ang="0">
                <a:pos x="csX8117" y="csY8117"/>
              </a:cxn>
              <a:cxn ang="0">
                <a:pos x="csX8118" y="csY8118"/>
              </a:cxn>
              <a:cxn ang="0">
                <a:pos x="csX8119" y="csY8119"/>
              </a:cxn>
              <a:cxn ang="0">
                <a:pos x="csX8120" y="csY8120"/>
              </a:cxn>
              <a:cxn ang="0">
                <a:pos x="csX8121" y="csY8121"/>
              </a:cxn>
              <a:cxn ang="0">
                <a:pos x="csX8122" y="csY8122"/>
              </a:cxn>
              <a:cxn ang="0">
                <a:pos x="csX8123" y="csY8123"/>
              </a:cxn>
              <a:cxn ang="0">
                <a:pos x="csX8124" y="csY8124"/>
              </a:cxn>
              <a:cxn ang="0">
                <a:pos x="csX8125" y="csY8125"/>
              </a:cxn>
              <a:cxn ang="0">
                <a:pos x="csX8126" y="csY8126"/>
              </a:cxn>
              <a:cxn ang="0">
                <a:pos x="csX8127" y="csY8127"/>
              </a:cxn>
              <a:cxn ang="0">
                <a:pos x="csX8128" y="csY8128"/>
              </a:cxn>
              <a:cxn ang="0">
                <a:pos x="csX8129" y="csY8129"/>
              </a:cxn>
              <a:cxn ang="0">
                <a:pos x="csX8130" y="csY8130"/>
              </a:cxn>
              <a:cxn ang="0">
                <a:pos x="csX8131" y="csY8131"/>
              </a:cxn>
              <a:cxn ang="0">
                <a:pos x="csX8132" y="csY8132"/>
              </a:cxn>
              <a:cxn ang="0">
                <a:pos x="csX8133" y="csY8133"/>
              </a:cxn>
              <a:cxn ang="0">
                <a:pos x="csX8134" y="csY8134"/>
              </a:cxn>
              <a:cxn ang="0">
                <a:pos x="csX8135" y="csY8135"/>
              </a:cxn>
              <a:cxn ang="0">
                <a:pos x="csX8136" y="csY8136"/>
              </a:cxn>
              <a:cxn ang="0">
                <a:pos x="csX8137" y="csY8137"/>
              </a:cxn>
              <a:cxn ang="0">
                <a:pos x="csX8138" y="csY8138"/>
              </a:cxn>
              <a:cxn ang="0">
                <a:pos x="csX8139" y="csY8139"/>
              </a:cxn>
              <a:cxn ang="0">
                <a:pos x="csX8140" y="csY8140"/>
              </a:cxn>
              <a:cxn ang="0">
                <a:pos x="csX8141" y="csY8141"/>
              </a:cxn>
              <a:cxn ang="0">
                <a:pos x="csX8142" y="csY8142"/>
              </a:cxn>
              <a:cxn ang="0">
                <a:pos x="csX8143" y="csY8143"/>
              </a:cxn>
              <a:cxn ang="0">
                <a:pos x="csX8144" y="csY8144"/>
              </a:cxn>
              <a:cxn ang="0">
                <a:pos x="csX8145" y="csY8145"/>
              </a:cxn>
              <a:cxn ang="0">
                <a:pos x="csX8146" y="csY8146"/>
              </a:cxn>
              <a:cxn ang="0">
                <a:pos x="csX8147" y="csY8147"/>
              </a:cxn>
              <a:cxn ang="0">
                <a:pos x="csX8148" y="csY8148"/>
              </a:cxn>
              <a:cxn ang="0">
                <a:pos x="csX8149" y="csY8149"/>
              </a:cxn>
              <a:cxn ang="0">
                <a:pos x="csX8150" y="csY8150"/>
              </a:cxn>
              <a:cxn ang="0">
                <a:pos x="csX8151" y="csY8151"/>
              </a:cxn>
              <a:cxn ang="0">
                <a:pos x="csX8152" y="csY8152"/>
              </a:cxn>
              <a:cxn ang="0">
                <a:pos x="csX8153" y="csY8153"/>
              </a:cxn>
              <a:cxn ang="0">
                <a:pos x="csX8154" y="csY8154"/>
              </a:cxn>
              <a:cxn ang="0">
                <a:pos x="csX8155" y="csY8155"/>
              </a:cxn>
              <a:cxn ang="0">
                <a:pos x="csX8156" y="csY8156"/>
              </a:cxn>
              <a:cxn ang="0">
                <a:pos x="csX8157" y="csY8157"/>
              </a:cxn>
              <a:cxn ang="0">
                <a:pos x="csX8158" y="csY8158"/>
              </a:cxn>
              <a:cxn ang="0">
                <a:pos x="csX8159" y="csY8159"/>
              </a:cxn>
              <a:cxn ang="0">
                <a:pos x="csX8160" y="csY8160"/>
              </a:cxn>
              <a:cxn ang="0">
                <a:pos x="csX8161" y="csY8161"/>
              </a:cxn>
              <a:cxn ang="0">
                <a:pos x="csX8162" y="csY8162"/>
              </a:cxn>
              <a:cxn ang="0">
                <a:pos x="csX8163" y="csY8163"/>
              </a:cxn>
              <a:cxn ang="0">
                <a:pos x="csX8164" y="csY8164"/>
              </a:cxn>
              <a:cxn ang="0">
                <a:pos x="csX8165" y="csY8165"/>
              </a:cxn>
              <a:cxn ang="0">
                <a:pos x="csX8166" y="csY8166"/>
              </a:cxn>
              <a:cxn ang="0">
                <a:pos x="csX8167" y="csY8167"/>
              </a:cxn>
              <a:cxn ang="0">
                <a:pos x="csX8168" y="csY8168"/>
              </a:cxn>
              <a:cxn ang="0">
                <a:pos x="csX8169" y="csY8169"/>
              </a:cxn>
              <a:cxn ang="0">
                <a:pos x="csX8170" y="csY8170"/>
              </a:cxn>
              <a:cxn ang="0">
                <a:pos x="csX8171" y="csY8171"/>
              </a:cxn>
              <a:cxn ang="0">
                <a:pos x="csX8172" y="csY8172"/>
              </a:cxn>
              <a:cxn ang="0">
                <a:pos x="csX8173" y="csY8173"/>
              </a:cxn>
              <a:cxn ang="0">
                <a:pos x="csX8174" y="csY8174"/>
              </a:cxn>
              <a:cxn ang="0">
                <a:pos x="csX8175" y="csY8175"/>
              </a:cxn>
              <a:cxn ang="0">
                <a:pos x="csX8176" y="csY8176"/>
              </a:cxn>
              <a:cxn ang="0">
                <a:pos x="csX8177" y="csY8177"/>
              </a:cxn>
              <a:cxn ang="0">
                <a:pos x="csX8178" y="csY8178"/>
              </a:cxn>
              <a:cxn ang="0">
                <a:pos x="csX8179" y="csY8179"/>
              </a:cxn>
              <a:cxn ang="0">
                <a:pos x="csX8180" y="csY8180"/>
              </a:cxn>
              <a:cxn ang="0">
                <a:pos x="csX8181" y="csY8181"/>
              </a:cxn>
              <a:cxn ang="0">
                <a:pos x="csX8182" y="csY8182"/>
              </a:cxn>
              <a:cxn ang="0">
                <a:pos x="csX8183" y="csY8183"/>
              </a:cxn>
              <a:cxn ang="0">
                <a:pos x="csX8184" y="csY8184"/>
              </a:cxn>
              <a:cxn ang="0">
                <a:pos x="csX8185" y="csY8185"/>
              </a:cxn>
              <a:cxn ang="0">
                <a:pos x="csX8186" y="csY8186"/>
              </a:cxn>
              <a:cxn ang="0">
                <a:pos x="csX8187" y="csY8187"/>
              </a:cxn>
              <a:cxn ang="0">
                <a:pos x="csX8188" y="csY8188"/>
              </a:cxn>
              <a:cxn ang="0">
                <a:pos x="csX8189" y="csY8189"/>
              </a:cxn>
              <a:cxn ang="0">
                <a:pos x="csX8190" y="csY8190"/>
              </a:cxn>
              <a:cxn ang="0">
                <a:pos x="csX8191" y="csY8191"/>
              </a:cxn>
              <a:cxn ang="0">
                <a:pos x="csX8192" y="csY8192"/>
              </a:cxn>
              <a:cxn ang="0">
                <a:pos x="csX8193" y="csY8193"/>
              </a:cxn>
              <a:cxn ang="0">
                <a:pos x="csX8194" y="csY8194"/>
              </a:cxn>
              <a:cxn ang="0">
                <a:pos x="csX8195" y="csY8195"/>
              </a:cxn>
              <a:cxn ang="0">
                <a:pos x="csX8196" y="csY8196"/>
              </a:cxn>
              <a:cxn ang="0">
                <a:pos x="csX8197" y="csY8197"/>
              </a:cxn>
              <a:cxn ang="0">
                <a:pos x="csX8198" y="csY8198"/>
              </a:cxn>
              <a:cxn ang="0">
                <a:pos x="csX8199" y="csY8199"/>
              </a:cxn>
              <a:cxn ang="0">
                <a:pos x="csX8200" y="csY8200"/>
              </a:cxn>
              <a:cxn ang="0">
                <a:pos x="csX8201" y="csY8201"/>
              </a:cxn>
              <a:cxn ang="0">
                <a:pos x="csX8202" y="csY8202"/>
              </a:cxn>
              <a:cxn ang="0">
                <a:pos x="csX8203" y="csY8203"/>
              </a:cxn>
              <a:cxn ang="0">
                <a:pos x="csX8204" y="csY8204"/>
              </a:cxn>
              <a:cxn ang="0">
                <a:pos x="csX8205" y="csY8205"/>
              </a:cxn>
              <a:cxn ang="0">
                <a:pos x="csX8206" y="csY8206"/>
              </a:cxn>
              <a:cxn ang="0">
                <a:pos x="csX8207" y="csY8207"/>
              </a:cxn>
              <a:cxn ang="0">
                <a:pos x="csX8208" y="csY8208"/>
              </a:cxn>
              <a:cxn ang="0">
                <a:pos x="csX8209" y="csY8209"/>
              </a:cxn>
              <a:cxn ang="0">
                <a:pos x="csX8210" y="csY8210"/>
              </a:cxn>
              <a:cxn ang="0">
                <a:pos x="csX8211" y="csY8211"/>
              </a:cxn>
              <a:cxn ang="0">
                <a:pos x="csX8212" y="csY8212"/>
              </a:cxn>
              <a:cxn ang="0">
                <a:pos x="csX8213" y="csY8213"/>
              </a:cxn>
              <a:cxn ang="0">
                <a:pos x="csX8214" y="csY8214"/>
              </a:cxn>
              <a:cxn ang="0">
                <a:pos x="csX8215" y="csY8215"/>
              </a:cxn>
              <a:cxn ang="0">
                <a:pos x="csX8216" y="csY8216"/>
              </a:cxn>
              <a:cxn ang="0">
                <a:pos x="csX8217" y="csY8217"/>
              </a:cxn>
              <a:cxn ang="0">
                <a:pos x="csX8218" y="csY8218"/>
              </a:cxn>
              <a:cxn ang="0">
                <a:pos x="csX8219" y="csY8219"/>
              </a:cxn>
              <a:cxn ang="0">
                <a:pos x="csX8220" y="csY8220"/>
              </a:cxn>
              <a:cxn ang="0">
                <a:pos x="csX8221" y="csY8221"/>
              </a:cxn>
              <a:cxn ang="0">
                <a:pos x="csX8222" y="csY8222"/>
              </a:cxn>
              <a:cxn ang="0">
                <a:pos x="csX8223" y="csY8223"/>
              </a:cxn>
              <a:cxn ang="0">
                <a:pos x="csX8224" y="csY8224"/>
              </a:cxn>
              <a:cxn ang="0">
                <a:pos x="csX8225" y="csY8225"/>
              </a:cxn>
              <a:cxn ang="0">
                <a:pos x="csX8226" y="csY8226"/>
              </a:cxn>
              <a:cxn ang="0">
                <a:pos x="csX8227" y="csY8227"/>
              </a:cxn>
              <a:cxn ang="0">
                <a:pos x="csX8228" y="csY8228"/>
              </a:cxn>
              <a:cxn ang="0">
                <a:pos x="csX8229" y="csY8229"/>
              </a:cxn>
              <a:cxn ang="0">
                <a:pos x="csX8230" y="csY8230"/>
              </a:cxn>
              <a:cxn ang="0">
                <a:pos x="csX8231" y="csY8231"/>
              </a:cxn>
              <a:cxn ang="0">
                <a:pos x="csX8232" y="csY8232"/>
              </a:cxn>
              <a:cxn ang="0">
                <a:pos x="csX8233" y="csY8233"/>
              </a:cxn>
              <a:cxn ang="0">
                <a:pos x="csX8234" y="csY8234"/>
              </a:cxn>
              <a:cxn ang="0">
                <a:pos x="csX8235" y="csY8235"/>
              </a:cxn>
              <a:cxn ang="0">
                <a:pos x="csX8236" y="csY8236"/>
              </a:cxn>
              <a:cxn ang="0">
                <a:pos x="csX8237" y="csY8237"/>
              </a:cxn>
              <a:cxn ang="0">
                <a:pos x="csX8238" y="csY8238"/>
              </a:cxn>
              <a:cxn ang="0">
                <a:pos x="csX8239" y="csY8239"/>
              </a:cxn>
              <a:cxn ang="0">
                <a:pos x="csX8240" y="csY8240"/>
              </a:cxn>
              <a:cxn ang="0">
                <a:pos x="csX8241" y="csY8241"/>
              </a:cxn>
              <a:cxn ang="0">
                <a:pos x="csX8242" y="csY8242"/>
              </a:cxn>
              <a:cxn ang="0">
                <a:pos x="csX8243" y="csY8243"/>
              </a:cxn>
              <a:cxn ang="0">
                <a:pos x="csX8244" y="csY8244"/>
              </a:cxn>
              <a:cxn ang="0">
                <a:pos x="csX8245" y="csY8245"/>
              </a:cxn>
              <a:cxn ang="0">
                <a:pos x="csX8246" y="csY8246"/>
              </a:cxn>
              <a:cxn ang="0">
                <a:pos x="csX8247" y="csY8247"/>
              </a:cxn>
              <a:cxn ang="0">
                <a:pos x="csX8248" y="csY8248"/>
              </a:cxn>
              <a:cxn ang="0">
                <a:pos x="csX8249" y="csY8249"/>
              </a:cxn>
              <a:cxn ang="0">
                <a:pos x="csX8250" y="csY8250"/>
              </a:cxn>
              <a:cxn ang="0">
                <a:pos x="csX8251" y="csY8251"/>
              </a:cxn>
              <a:cxn ang="0">
                <a:pos x="csX8252" y="csY8252"/>
              </a:cxn>
              <a:cxn ang="0">
                <a:pos x="csX8253" y="csY8253"/>
              </a:cxn>
              <a:cxn ang="0">
                <a:pos x="csX8254" y="csY8254"/>
              </a:cxn>
              <a:cxn ang="0">
                <a:pos x="csX8255" y="csY8255"/>
              </a:cxn>
              <a:cxn ang="0">
                <a:pos x="csX8256" y="csY8256"/>
              </a:cxn>
              <a:cxn ang="0">
                <a:pos x="csX8257" y="csY8257"/>
              </a:cxn>
              <a:cxn ang="0">
                <a:pos x="csX8258" y="csY8258"/>
              </a:cxn>
              <a:cxn ang="0">
                <a:pos x="csX8259" y="csY8259"/>
              </a:cxn>
              <a:cxn ang="0">
                <a:pos x="csX8260" y="csY8260"/>
              </a:cxn>
              <a:cxn ang="0">
                <a:pos x="csX8261" y="csY8261"/>
              </a:cxn>
              <a:cxn ang="0">
                <a:pos x="csX8262" y="csY8262"/>
              </a:cxn>
              <a:cxn ang="0">
                <a:pos x="csX8263" y="csY8263"/>
              </a:cxn>
              <a:cxn ang="0">
                <a:pos x="csX8264" y="csY8264"/>
              </a:cxn>
              <a:cxn ang="0">
                <a:pos x="csX8265" y="csY8265"/>
              </a:cxn>
              <a:cxn ang="0">
                <a:pos x="csX8266" y="csY8266"/>
              </a:cxn>
              <a:cxn ang="0">
                <a:pos x="csX8267" y="csY8267"/>
              </a:cxn>
              <a:cxn ang="0">
                <a:pos x="csX8268" y="csY8268"/>
              </a:cxn>
              <a:cxn ang="0">
                <a:pos x="csX8269" y="csY8269"/>
              </a:cxn>
              <a:cxn ang="0">
                <a:pos x="csX8270" y="csY8270"/>
              </a:cxn>
              <a:cxn ang="0">
                <a:pos x="csX8271" y="csY8271"/>
              </a:cxn>
              <a:cxn ang="0">
                <a:pos x="csX8272" y="csY8272"/>
              </a:cxn>
              <a:cxn ang="0">
                <a:pos x="csX8273" y="csY8273"/>
              </a:cxn>
              <a:cxn ang="0">
                <a:pos x="csX8274" y="csY8274"/>
              </a:cxn>
              <a:cxn ang="0">
                <a:pos x="csX8275" y="csY8275"/>
              </a:cxn>
              <a:cxn ang="0">
                <a:pos x="csX8276" y="csY8276"/>
              </a:cxn>
              <a:cxn ang="0">
                <a:pos x="csX8277" y="csY8277"/>
              </a:cxn>
              <a:cxn ang="0">
                <a:pos x="csX8278" y="csY8278"/>
              </a:cxn>
              <a:cxn ang="0">
                <a:pos x="csX8279" y="csY8279"/>
              </a:cxn>
              <a:cxn ang="0">
                <a:pos x="csX8280" y="csY8280"/>
              </a:cxn>
              <a:cxn ang="0">
                <a:pos x="csX8281" y="csY8281"/>
              </a:cxn>
              <a:cxn ang="0">
                <a:pos x="csX8282" y="csY8282"/>
              </a:cxn>
              <a:cxn ang="0">
                <a:pos x="csX8283" y="csY8283"/>
              </a:cxn>
              <a:cxn ang="0">
                <a:pos x="csX8284" y="csY8284"/>
              </a:cxn>
              <a:cxn ang="0">
                <a:pos x="csX8285" y="csY8285"/>
              </a:cxn>
              <a:cxn ang="0">
                <a:pos x="csX8286" y="csY8286"/>
              </a:cxn>
              <a:cxn ang="0">
                <a:pos x="csX8287" y="csY8287"/>
              </a:cxn>
              <a:cxn ang="0">
                <a:pos x="csX8288" y="csY8288"/>
              </a:cxn>
              <a:cxn ang="0">
                <a:pos x="csX8289" y="csY8289"/>
              </a:cxn>
              <a:cxn ang="0">
                <a:pos x="csX8290" y="csY8290"/>
              </a:cxn>
              <a:cxn ang="0">
                <a:pos x="csX8291" y="csY8291"/>
              </a:cxn>
              <a:cxn ang="0">
                <a:pos x="csX8292" y="csY8292"/>
              </a:cxn>
              <a:cxn ang="0">
                <a:pos x="csX8293" y="csY8293"/>
              </a:cxn>
              <a:cxn ang="0">
                <a:pos x="csX8294" y="csY8294"/>
              </a:cxn>
              <a:cxn ang="0">
                <a:pos x="csX8295" y="csY8295"/>
              </a:cxn>
              <a:cxn ang="0">
                <a:pos x="csX8296" y="csY8296"/>
              </a:cxn>
              <a:cxn ang="0">
                <a:pos x="csX8297" y="csY8297"/>
              </a:cxn>
              <a:cxn ang="0">
                <a:pos x="csX8298" y="csY8298"/>
              </a:cxn>
              <a:cxn ang="0">
                <a:pos x="csX8299" y="csY8299"/>
              </a:cxn>
              <a:cxn ang="0">
                <a:pos x="csX8300" y="csY8300"/>
              </a:cxn>
              <a:cxn ang="0">
                <a:pos x="csX8301" y="csY8301"/>
              </a:cxn>
              <a:cxn ang="0">
                <a:pos x="csX8302" y="csY8302"/>
              </a:cxn>
              <a:cxn ang="0">
                <a:pos x="csX8303" y="csY8303"/>
              </a:cxn>
              <a:cxn ang="0">
                <a:pos x="csX8304" y="csY8304"/>
              </a:cxn>
              <a:cxn ang="0">
                <a:pos x="csX8305" y="csY8305"/>
              </a:cxn>
              <a:cxn ang="0">
                <a:pos x="csX8306" y="csY8306"/>
              </a:cxn>
              <a:cxn ang="0">
                <a:pos x="csX8307" y="csY8307"/>
              </a:cxn>
              <a:cxn ang="0">
                <a:pos x="csX8308" y="csY8308"/>
              </a:cxn>
              <a:cxn ang="0">
                <a:pos x="csX8309" y="csY8309"/>
              </a:cxn>
              <a:cxn ang="0">
                <a:pos x="csX8310" y="csY8310"/>
              </a:cxn>
              <a:cxn ang="0">
                <a:pos x="csX8311" y="csY8311"/>
              </a:cxn>
              <a:cxn ang="0">
                <a:pos x="csX8312" y="csY8312"/>
              </a:cxn>
              <a:cxn ang="0">
                <a:pos x="csX8313" y="csY8313"/>
              </a:cxn>
              <a:cxn ang="0">
                <a:pos x="csX8314" y="csY8314"/>
              </a:cxn>
              <a:cxn ang="0">
                <a:pos x="csX8315" y="csY8315"/>
              </a:cxn>
              <a:cxn ang="0">
                <a:pos x="csX8316" y="csY8316"/>
              </a:cxn>
              <a:cxn ang="0">
                <a:pos x="csX8317" y="csY8317"/>
              </a:cxn>
              <a:cxn ang="0">
                <a:pos x="csX8318" y="csY8318"/>
              </a:cxn>
              <a:cxn ang="0">
                <a:pos x="csX8319" y="csY8319"/>
              </a:cxn>
              <a:cxn ang="0">
                <a:pos x="csX8320" y="csY8320"/>
              </a:cxn>
              <a:cxn ang="0">
                <a:pos x="csX8321" y="csY8321"/>
              </a:cxn>
              <a:cxn ang="0">
                <a:pos x="csX8322" y="csY8322"/>
              </a:cxn>
              <a:cxn ang="0">
                <a:pos x="csX8323" y="csY8323"/>
              </a:cxn>
              <a:cxn ang="0">
                <a:pos x="csX8324" y="csY8324"/>
              </a:cxn>
              <a:cxn ang="0">
                <a:pos x="csX8325" y="csY8325"/>
              </a:cxn>
              <a:cxn ang="0">
                <a:pos x="csX8326" y="csY8326"/>
              </a:cxn>
              <a:cxn ang="0">
                <a:pos x="csX8327" y="csY8327"/>
              </a:cxn>
              <a:cxn ang="0">
                <a:pos x="csX8328" y="csY8328"/>
              </a:cxn>
              <a:cxn ang="0">
                <a:pos x="csX8329" y="csY8329"/>
              </a:cxn>
              <a:cxn ang="0">
                <a:pos x="csX8330" y="csY8330"/>
              </a:cxn>
              <a:cxn ang="0">
                <a:pos x="csX8331" y="csY8331"/>
              </a:cxn>
              <a:cxn ang="0">
                <a:pos x="csX8332" y="csY8332"/>
              </a:cxn>
              <a:cxn ang="0">
                <a:pos x="csX8333" y="csY8333"/>
              </a:cxn>
              <a:cxn ang="0">
                <a:pos x="csX8334" y="csY8334"/>
              </a:cxn>
              <a:cxn ang="0">
                <a:pos x="csX8335" y="csY8335"/>
              </a:cxn>
              <a:cxn ang="0">
                <a:pos x="csX8336" y="csY8336"/>
              </a:cxn>
              <a:cxn ang="0">
                <a:pos x="csX8337" y="csY8337"/>
              </a:cxn>
              <a:cxn ang="0">
                <a:pos x="csX8338" y="csY8338"/>
              </a:cxn>
              <a:cxn ang="0">
                <a:pos x="csX8339" y="csY8339"/>
              </a:cxn>
              <a:cxn ang="0">
                <a:pos x="csX8340" y="csY8340"/>
              </a:cxn>
              <a:cxn ang="0">
                <a:pos x="csX8341" y="csY8341"/>
              </a:cxn>
              <a:cxn ang="0">
                <a:pos x="csX8342" y="csY8342"/>
              </a:cxn>
              <a:cxn ang="0">
                <a:pos x="csX8343" y="csY8343"/>
              </a:cxn>
              <a:cxn ang="0">
                <a:pos x="csX8344" y="csY8344"/>
              </a:cxn>
              <a:cxn ang="0">
                <a:pos x="csX8345" y="csY8345"/>
              </a:cxn>
              <a:cxn ang="0">
                <a:pos x="csX8346" y="csY8346"/>
              </a:cxn>
              <a:cxn ang="0">
                <a:pos x="csX8347" y="csY8347"/>
              </a:cxn>
              <a:cxn ang="0">
                <a:pos x="csX8348" y="csY8348"/>
              </a:cxn>
              <a:cxn ang="0">
                <a:pos x="csX8349" y="csY8349"/>
              </a:cxn>
              <a:cxn ang="0">
                <a:pos x="csX8350" y="csY8350"/>
              </a:cxn>
              <a:cxn ang="0">
                <a:pos x="csX8351" y="csY8351"/>
              </a:cxn>
              <a:cxn ang="0">
                <a:pos x="csX8352" y="csY8352"/>
              </a:cxn>
              <a:cxn ang="0">
                <a:pos x="csX8353" y="csY8353"/>
              </a:cxn>
              <a:cxn ang="0">
                <a:pos x="csX8354" y="csY8354"/>
              </a:cxn>
              <a:cxn ang="0">
                <a:pos x="csX8355" y="csY8355"/>
              </a:cxn>
              <a:cxn ang="0">
                <a:pos x="csX8356" y="csY8356"/>
              </a:cxn>
              <a:cxn ang="0">
                <a:pos x="csX8357" y="csY8357"/>
              </a:cxn>
              <a:cxn ang="0">
                <a:pos x="csX8358" y="csY8358"/>
              </a:cxn>
              <a:cxn ang="0">
                <a:pos x="csX8359" y="csY8359"/>
              </a:cxn>
              <a:cxn ang="0">
                <a:pos x="csX8360" y="csY8360"/>
              </a:cxn>
              <a:cxn ang="0">
                <a:pos x="csX8361" y="csY8361"/>
              </a:cxn>
              <a:cxn ang="0">
                <a:pos x="csX8362" y="csY8362"/>
              </a:cxn>
              <a:cxn ang="0">
                <a:pos x="csX8363" y="csY8363"/>
              </a:cxn>
              <a:cxn ang="0">
                <a:pos x="csX8364" y="csY8364"/>
              </a:cxn>
              <a:cxn ang="0">
                <a:pos x="csX8365" y="csY8365"/>
              </a:cxn>
              <a:cxn ang="0">
                <a:pos x="csX8366" y="csY8366"/>
              </a:cxn>
              <a:cxn ang="0">
                <a:pos x="csX8367" y="csY8367"/>
              </a:cxn>
              <a:cxn ang="0">
                <a:pos x="csX8368" y="csY8368"/>
              </a:cxn>
              <a:cxn ang="0">
                <a:pos x="csX8369" y="csY8369"/>
              </a:cxn>
              <a:cxn ang="0">
                <a:pos x="csX8370" y="csY8370"/>
              </a:cxn>
              <a:cxn ang="0">
                <a:pos x="csX8371" y="csY8371"/>
              </a:cxn>
              <a:cxn ang="0">
                <a:pos x="csX8372" y="csY8372"/>
              </a:cxn>
              <a:cxn ang="0">
                <a:pos x="csX8373" y="csY8373"/>
              </a:cxn>
              <a:cxn ang="0">
                <a:pos x="csX8374" y="csY8374"/>
              </a:cxn>
              <a:cxn ang="0">
                <a:pos x="csX8375" y="csY8375"/>
              </a:cxn>
              <a:cxn ang="0">
                <a:pos x="csX8376" y="csY8376"/>
              </a:cxn>
              <a:cxn ang="0">
                <a:pos x="csX8377" y="csY8377"/>
              </a:cxn>
              <a:cxn ang="0">
                <a:pos x="csX8378" y="csY8378"/>
              </a:cxn>
              <a:cxn ang="0">
                <a:pos x="csX8379" y="csY8379"/>
              </a:cxn>
              <a:cxn ang="0">
                <a:pos x="csX8380" y="csY8380"/>
              </a:cxn>
              <a:cxn ang="0">
                <a:pos x="csX8381" y="csY8381"/>
              </a:cxn>
              <a:cxn ang="0">
                <a:pos x="csX8382" y="csY8382"/>
              </a:cxn>
              <a:cxn ang="0">
                <a:pos x="csX8383" y="csY8383"/>
              </a:cxn>
              <a:cxn ang="0">
                <a:pos x="csX8384" y="csY8384"/>
              </a:cxn>
              <a:cxn ang="0">
                <a:pos x="csX8385" y="csY8385"/>
              </a:cxn>
              <a:cxn ang="0">
                <a:pos x="csX8386" y="csY8386"/>
              </a:cxn>
              <a:cxn ang="0">
                <a:pos x="csX8387" y="csY8387"/>
              </a:cxn>
              <a:cxn ang="0">
                <a:pos x="csX8388" y="csY8388"/>
              </a:cxn>
              <a:cxn ang="0">
                <a:pos x="csX8389" y="csY8389"/>
              </a:cxn>
              <a:cxn ang="0">
                <a:pos x="csX8390" y="csY8390"/>
              </a:cxn>
              <a:cxn ang="0">
                <a:pos x="csX8391" y="csY8391"/>
              </a:cxn>
              <a:cxn ang="0">
                <a:pos x="csX8392" y="csY8392"/>
              </a:cxn>
              <a:cxn ang="0">
                <a:pos x="csX8393" y="csY8393"/>
              </a:cxn>
              <a:cxn ang="0">
                <a:pos x="csX8394" y="csY8394"/>
              </a:cxn>
              <a:cxn ang="0">
                <a:pos x="csX8395" y="csY8395"/>
              </a:cxn>
              <a:cxn ang="0">
                <a:pos x="csX8396" y="csY8396"/>
              </a:cxn>
              <a:cxn ang="0">
                <a:pos x="csX8397" y="csY8397"/>
              </a:cxn>
              <a:cxn ang="0">
                <a:pos x="csX8398" y="csY8398"/>
              </a:cxn>
              <a:cxn ang="0">
                <a:pos x="csX8399" y="csY8399"/>
              </a:cxn>
              <a:cxn ang="0">
                <a:pos x="csX8400" y="csY8400"/>
              </a:cxn>
              <a:cxn ang="0">
                <a:pos x="csX8401" y="csY8401"/>
              </a:cxn>
              <a:cxn ang="0">
                <a:pos x="csX8402" y="csY8402"/>
              </a:cxn>
              <a:cxn ang="0">
                <a:pos x="csX8403" y="csY8403"/>
              </a:cxn>
              <a:cxn ang="0">
                <a:pos x="csX8404" y="csY8404"/>
              </a:cxn>
              <a:cxn ang="0">
                <a:pos x="csX8405" y="csY8405"/>
              </a:cxn>
              <a:cxn ang="0">
                <a:pos x="csX8406" y="csY8406"/>
              </a:cxn>
              <a:cxn ang="0">
                <a:pos x="csX8407" y="csY8407"/>
              </a:cxn>
              <a:cxn ang="0">
                <a:pos x="csX8408" y="csY8408"/>
              </a:cxn>
              <a:cxn ang="0">
                <a:pos x="csX8409" y="csY8409"/>
              </a:cxn>
              <a:cxn ang="0">
                <a:pos x="csX8410" y="csY8410"/>
              </a:cxn>
              <a:cxn ang="0">
                <a:pos x="csX8411" y="csY8411"/>
              </a:cxn>
              <a:cxn ang="0">
                <a:pos x="csX8412" y="csY8412"/>
              </a:cxn>
              <a:cxn ang="0">
                <a:pos x="csX8413" y="csY8413"/>
              </a:cxn>
              <a:cxn ang="0">
                <a:pos x="csX8414" y="csY8414"/>
              </a:cxn>
              <a:cxn ang="0">
                <a:pos x="csX8415" y="csY8415"/>
              </a:cxn>
              <a:cxn ang="0">
                <a:pos x="csX8416" y="csY8416"/>
              </a:cxn>
              <a:cxn ang="0">
                <a:pos x="csX8417" y="csY8417"/>
              </a:cxn>
              <a:cxn ang="0">
                <a:pos x="csX8418" y="csY8418"/>
              </a:cxn>
              <a:cxn ang="0">
                <a:pos x="csX8419" y="csY8419"/>
              </a:cxn>
              <a:cxn ang="0">
                <a:pos x="csX8420" y="csY8420"/>
              </a:cxn>
              <a:cxn ang="0">
                <a:pos x="csX8421" y="csY8421"/>
              </a:cxn>
              <a:cxn ang="0">
                <a:pos x="csX8422" y="csY8422"/>
              </a:cxn>
              <a:cxn ang="0">
                <a:pos x="csX8423" y="csY8423"/>
              </a:cxn>
              <a:cxn ang="0">
                <a:pos x="csX8424" y="csY8424"/>
              </a:cxn>
              <a:cxn ang="0">
                <a:pos x="csX8425" y="csY8425"/>
              </a:cxn>
              <a:cxn ang="0">
                <a:pos x="csX8426" y="csY8426"/>
              </a:cxn>
              <a:cxn ang="0">
                <a:pos x="csX8427" y="csY8427"/>
              </a:cxn>
              <a:cxn ang="0">
                <a:pos x="csX8428" y="csY8428"/>
              </a:cxn>
              <a:cxn ang="0">
                <a:pos x="csX8429" y="csY8429"/>
              </a:cxn>
              <a:cxn ang="0">
                <a:pos x="csX8430" y="csY8430"/>
              </a:cxn>
              <a:cxn ang="0">
                <a:pos x="csX8431" y="csY8431"/>
              </a:cxn>
              <a:cxn ang="0">
                <a:pos x="csX8432" y="csY8432"/>
              </a:cxn>
              <a:cxn ang="0">
                <a:pos x="csX8433" y="csY8433"/>
              </a:cxn>
              <a:cxn ang="0">
                <a:pos x="csX8434" y="csY8434"/>
              </a:cxn>
              <a:cxn ang="0">
                <a:pos x="csX8435" y="csY8435"/>
              </a:cxn>
              <a:cxn ang="0">
                <a:pos x="csX8436" y="csY8436"/>
              </a:cxn>
              <a:cxn ang="0">
                <a:pos x="csX8437" y="csY8437"/>
              </a:cxn>
              <a:cxn ang="0">
                <a:pos x="csX8438" y="csY8438"/>
              </a:cxn>
              <a:cxn ang="0">
                <a:pos x="csX8439" y="csY8439"/>
              </a:cxn>
              <a:cxn ang="0">
                <a:pos x="csX8440" y="csY8440"/>
              </a:cxn>
              <a:cxn ang="0">
                <a:pos x="csX8441" y="csY8441"/>
              </a:cxn>
              <a:cxn ang="0">
                <a:pos x="csX8442" y="csY8442"/>
              </a:cxn>
              <a:cxn ang="0">
                <a:pos x="csX8443" y="csY8443"/>
              </a:cxn>
              <a:cxn ang="0">
                <a:pos x="csX8444" y="csY8444"/>
              </a:cxn>
              <a:cxn ang="0">
                <a:pos x="csX8445" y="csY8445"/>
              </a:cxn>
              <a:cxn ang="0">
                <a:pos x="csX8446" y="csY8446"/>
              </a:cxn>
              <a:cxn ang="0">
                <a:pos x="csX8447" y="csY8447"/>
              </a:cxn>
              <a:cxn ang="0">
                <a:pos x="csX8448" y="csY8448"/>
              </a:cxn>
              <a:cxn ang="0">
                <a:pos x="csX8449" y="csY8449"/>
              </a:cxn>
              <a:cxn ang="0">
                <a:pos x="csX8450" y="csY8450"/>
              </a:cxn>
              <a:cxn ang="0">
                <a:pos x="csX8451" y="csY8451"/>
              </a:cxn>
              <a:cxn ang="0">
                <a:pos x="csX8452" y="csY8452"/>
              </a:cxn>
              <a:cxn ang="0">
                <a:pos x="csX8453" y="csY8453"/>
              </a:cxn>
              <a:cxn ang="0">
                <a:pos x="csX8454" y="csY8454"/>
              </a:cxn>
              <a:cxn ang="0">
                <a:pos x="csX8455" y="csY8455"/>
              </a:cxn>
              <a:cxn ang="0">
                <a:pos x="csX8456" y="csY8456"/>
              </a:cxn>
              <a:cxn ang="0">
                <a:pos x="csX8457" y="csY8457"/>
              </a:cxn>
              <a:cxn ang="0">
                <a:pos x="csX8458" y="csY8458"/>
              </a:cxn>
              <a:cxn ang="0">
                <a:pos x="csX8459" y="csY8459"/>
              </a:cxn>
              <a:cxn ang="0">
                <a:pos x="csX8460" y="csY8460"/>
              </a:cxn>
              <a:cxn ang="0">
                <a:pos x="csX8461" y="csY8461"/>
              </a:cxn>
              <a:cxn ang="0">
                <a:pos x="csX8462" y="csY8462"/>
              </a:cxn>
              <a:cxn ang="0">
                <a:pos x="csX8463" y="csY8463"/>
              </a:cxn>
              <a:cxn ang="0">
                <a:pos x="csX8464" y="csY8464"/>
              </a:cxn>
              <a:cxn ang="0">
                <a:pos x="csX8465" y="csY8465"/>
              </a:cxn>
              <a:cxn ang="0">
                <a:pos x="csX8466" y="csY8466"/>
              </a:cxn>
              <a:cxn ang="0">
                <a:pos x="csX8467" y="csY8467"/>
              </a:cxn>
              <a:cxn ang="0">
                <a:pos x="csX8468" y="csY8468"/>
              </a:cxn>
              <a:cxn ang="0">
                <a:pos x="csX8469" y="csY8469"/>
              </a:cxn>
              <a:cxn ang="0">
                <a:pos x="csX8470" y="csY8470"/>
              </a:cxn>
              <a:cxn ang="0">
                <a:pos x="csX8471" y="csY8471"/>
              </a:cxn>
              <a:cxn ang="0">
                <a:pos x="csX8472" y="csY8472"/>
              </a:cxn>
              <a:cxn ang="0">
                <a:pos x="csX8473" y="csY8473"/>
              </a:cxn>
              <a:cxn ang="0">
                <a:pos x="csX8474" y="csY8474"/>
              </a:cxn>
              <a:cxn ang="0">
                <a:pos x="csX8475" y="csY8475"/>
              </a:cxn>
              <a:cxn ang="0">
                <a:pos x="csX8476" y="csY8476"/>
              </a:cxn>
              <a:cxn ang="0">
                <a:pos x="csX8477" y="csY8477"/>
              </a:cxn>
              <a:cxn ang="0">
                <a:pos x="csX8478" y="csY8478"/>
              </a:cxn>
              <a:cxn ang="0">
                <a:pos x="csX8479" y="csY8479"/>
              </a:cxn>
              <a:cxn ang="0">
                <a:pos x="csX8480" y="csY8480"/>
              </a:cxn>
              <a:cxn ang="0">
                <a:pos x="csX8481" y="csY8481"/>
              </a:cxn>
              <a:cxn ang="0">
                <a:pos x="csX8482" y="csY8482"/>
              </a:cxn>
              <a:cxn ang="0">
                <a:pos x="csX8483" y="csY8483"/>
              </a:cxn>
              <a:cxn ang="0">
                <a:pos x="csX8484" y="csY8484"/>
              </a:cxn>
              <a:cxn ang="0">
                <a:pos x="csX8485" y="csY8485"/>
              </a:cxn>
              <a:cxn ang="0">
                <a:pos x="csX8486" y="csY8486"/>
              </a:cxn>
              <a:cxn ang="0">
                <a:pos x="csX8487" y="csY8487"/>
              </a:cxn>
              <a:cxn ang="0">
                <a:pos x="csX8488" y="csY8488"/>
              </a:cxn>
              <a:cxn ang="0">
                <a:pos x="csX8489" y="csY8489"/>
              </a:cxn>
              <a:cxn ang="0">
                <a:pos x="csX8490" y="csY8490"/>
              </a:cxn>
              <a:cxn ang="0">
                <a:pos x="csX8491" y="csY8491"/>
              </a:cxn>
              <a:cxn ang="0">
                <a:pos x="csX8492" y="csY8492"/>
              </a:cxn>
              <a:cxn ang="0">
                <a:pos x="csX8493" y="csY8493"/>
              </a:cxn>
              <a:cxn ang="0">
                <a:pos x="csX8494" y="csY8494"/>
              </a:cxn>
              <a:cxn ang="0">
                <a:pos x="csX8495" y="csY8495"/>
              </a:cxn>
              <a:cxn ang="0">
                <a:pos x="csX8496" y="csY8496"/>
              </a:cxn>
              <a:cxn ang="0">
                <a:pos x="csX8497" y="csY8497"/>
              </a:cxn>
              <a:cxn ang="0">
                <a:pos x="csX8498" y="csY8498"/>
              </a:cxn>
              <a:cxn ang="0">
                <a:pos x="csX8499" y="csY8499"/>
              </a:cxn>
              <a:cxn ang="0">
                <a:pos x="csX8500" y="csY8500"/>
              </a:cxn>
              <a:cxn ang="0">
                <a:pos x="csX8501" y="csY8501"/>
              </a:cxn>
              <a:cxn ang="0">
                <a:pos x="csX8502" y="csY8502"/>
              </a:cxn>
              <a:cxn ang="0">
                <a:pos x="csX8503" y="csY8503"/>
              </a:cxn>
              <a:cxn ang="0">
                <a:pos x="csX8504" y="csY8504"/>
              </a:cxn>
              <a:cxn ang="0">
                <a:pos x="csX8505" y="csY8505"/>
              </a:cxn>
              <a:cxn ang="0">
                <a:pos x="csX8506" y="csY8506"/>
              </a:cxn>
              <a:cxn ang="0">
                <a:pos x="csX8507" y="csY8507"/>
              </a:cxn>
              <a:cxn ang="0">
                <a:pos x="csX8508" y="csY8508"/>
              </a:cxn>
              <a:cxn ang="0">
                <a:pos x="csX8509" y="csY8509"/>
              </a:cxn>
              <a:cxn ang="0">
                <a:pos x="csX8510" y="csY8510"/>
              </a:cxn>
              <a:cxn ang="0">
                <a:pos x="csX8511" y="csY8511"/>
              </a:cxn>
              <a:cxn ang="0">
                <a:pos x="csX8512" y="csY8512"/>
              </a:cxn>
              <a:cxn ang="0">
                <a:pos x="csX8513" y="csY8513"/>
              </a:cxn>
              <a:cxn ang="0">
                <a:pos x="csX8514" y="csY8514"/>
              </a:cxn>
              <a:cxn ang="0">
                <a:pos x="csX8515" y="csY8515"/>
              </a:cxn>
              <a:cxn ang="0">
                <a:pos x="csX8516" y="csY8516"/>
              </a:cxn>
              <a:cxn ang="0">
                <a:pos x="csX8517" y="csY8517"/>
              </a:cxn>
              <a:cxn ang="0">
                <a:pos x="csX8518" y="csY8518"/>
              </a:cxn>
              <a:cxn ang="0">
                <a:pos x="csX8519" y="csY8519"/>
              </a:cxn>
              <a:cxn ang="0">
                <a:pos x="csX8520" y="csY8520"/>
              </a:cxn>
              <a:cxn ang="0">
                <a:pos x="csX8521" y="csY8521"/>
              </a:cxn>
              <a:cxn ang="0">
                <a:pos x="csX8522" y="csY8522"/>
              </a:cxn>
              <a:cxn ang="0">
                <a:pos x="csX8523" y="csY8523"/>
              </a:cxn>
              <a:cxn ang="0">
                <a:pos x="csX8524" y="csY8524"/>
              </a:cxn>
              <a:cxn ang="0">
                <a:pos x="csX8525" y="csY8525"/>
              </a:cxn>
              <a:cxn ang="0">
                <a:pos x="csX8526" y="csY8526"/>
              </a:cxn>
              <a:cxn ang="0">
                <a:pos x="csX8527" y="csY8527"/>
              </a:cxn>
              <a:cxn ang="0">
                <a:pos x="csX8528" y="csY8528"/>
              </a:cxn>
              <a:cxn ang="0">
                <a:pos x="csX8529" y="csY8529"/>
              </a:cxn>
              <a:cxn ang="0">
                <a:pos x="csX8530" y="csY8530"/>
              </a:cxn>
              <a:cxn ang="0">
                <a:pos x="csX8531" y="csY8531"/>
              </a:cxn>
              <a:cxn ang="0">
                <a:pos x="csX8532" y="csY8532"/>
              </a:cxn>
              <a:cxn ang="0">
                <a:pos x="csX8533" y="csY8533"/>
              </a:cxn>
              <a:cxn ang="0">
                <a:pos x="csX8534" y="csY8534"/>
              </a:cxn>
              <a:cxn ang="0">
                <a:pos x="csX8535" y="csY8535"/>
              </a:cxn>
              <a:cxn ang="0">
                <a:pos x="csX8536" y="csY8536"/>
              </a:cxn>
              <a:cxn ang="0">
                <a:pos x="csX8537" y="csY8537"/>
              </a:cxn>
              <a:cxn ang="0">
                <a:pos x="csX8538" y="csY8538"/>
              </a:cxn>
              <a:cxn ang="0">
                <a:pos x="csX8539" y="csY8539"/>
              </a:cxn>
              <a:cxn ang="0">
                <a:pos x="csX8540" y="csY8540"/>
              </a:cxn>
              <a:cxn ang="0">
                <a:pos x="csX8541" y="csY8541"/>
              </a:cxn>
              <a:cxn ang="0">
                <a:pos x="csX8542" y="csY8542"/>
              </a:cxn>
              <a:cxn ang="0">
                <a:pos x="csX8543" y="csY8543"/>
              </a:cxn>
              <a:cxn ang="0">
                <a:pos x="csX8544" y="csY8544"/>
              </a:cxn>
              <a:cxn ang="0">
                <a:pos x="csX8545" y="csY8545"/>
              </a:cxn>
              <a:cxn ang="0">
                <a:pos x="csX8546" y="csY8546"/>
              </a:cxn>
              <a:cxn ang="0">
                <a:pos x="csX8547" y="csY8547"/>
              </a:cxn>
              <a:cxn ang="0">
                <a:pos x="csX8548" y="csY8548"/>
              </a:cxn>
              <a:cxn ang="0">
                <a:pos x="csX8549" y="csY8549"/>
              </a:cxn>
              <a:cxn ang="0">
                <a:pos x="csX8550" y="csY8550"/>
              </a:cxn>
              <a:cxn ang="0">
                <a:pos x="csX8551" y="csY8551"/>
              </a:cxn>
              <a:cxn ang="0">
                <a:pos x="csX8552" y="csY8552"/>
              </a:cxn>
              <a:cxn ang="0">
                <a:pos x="csX8553" y="csY8553"/>
              </a:cxn>
              <a:cxn ang="0">
                <a:pos x="csX8554" y="csY8554"/>
              </a:cxn>
              <a:cxn ang="0">
                <a:pos x="csX8555" y="csY8555"/>
              </a:cxn>
              <a:cxn ang="0">
                <a:pos x="csX8556" y="csY8556"/>
              </a:cxn>
              <a:cxn ang="0">
                <a:pos x="csX8557" y="csY8557"/>
              </a:cxn>
              <a:cxn ang="0">
                <a:pos x="csX8558" y="csY8558"/>
              </a:cxn>
              <a:cxn ang="0">
                <a:pos x="csX8559" y="csY8559"/>
              </a:cxn>
              <a:cxn ang="0">
                <a:pos x="csX8560" y="csY8560"/>
              </a:cxn>
              <a:cxn ang="0">
                <a:pos x="csX8561" y="csY8561"/>
              </a:cxn>
              <a:cxn ang="0">
                <a:pos x="csX8562" y="csY8562"/>
              </a:cxn>
              <a:cxn ang="0">
                <a:pos x="csX8563" y="csY8563"/>
              </a:cxn>
              <a:cxn ang="0">
                <a:pos x="csX8564" y="csY8564"/>
              </a:cxn>
              <a:cxn ang="0">
                <a:pos x="csX8565" y="csY8565"/>
              </a:cxn>
              <a:cxn ang="0">
                <a:pos x="csX8566" y="csY8566"/>
              </a:cxn>
              <a:cxn ang="0">
                <a:pos x="csX8567" y="csY8567"/>
              </a:cxn>
              <a:cxn ang="0">
                <a:pos x="csX8568" y="csY8568"/>
              </a:cxn>
              <a:cxn ang="0">
                <a:pos x="csX8569" y="csY8569"/>
              </a:cxn>
              <a:cxn ang="0">
                <a:pos x="csX8570" y="csY8570"/>
              </a:cxn>
              <a:cxn ang="0">
                <a:pos x="csX8571" y="csY8571"/>
              </a:cxn>
              <a:cxn ang="0">
                <a:pos x="csX8572" y="csY8572"/>
              </a:cxn>
              <a:cxn ang="0">
                <a:pos x="csX8573" y="csY8573"/>
              </a:cxn>
              <a:cxn ang="0">
                <a:pos x="csX8574" y="csY8574"/>
              </a:cxn>
              <a:cxn ang="0">
                <a:pos x="csX8575" y="csY8575"/>
              </a:cxn>
              <a:cxn ang="0">
                <a:pos x="csX8576" y="csY8576"/>
              </a:cxn>
              <a:cxn ang="0">
                <a:pos x="csX8577" y="csY8577"/>
              </a:cxn>
              <a:cxn ang="0">
                <a:pos x="csX8578" y="csY8578"/>
              </a:cxn>
              <a:cxn ang="0">
                <a:pos x="csX8579" y="csY8579"/>
              </a:cxn>
              <a:cxn ang="0">
                <a:pos x="csX8580" y="csY8580"/>
              </a:cxn>
              <a:cxn ang="0">
                <a:pos x="csX8581" y="csY8581"/>
              </a:cxn>
              <a:cxn ang="0">
                <a:pos x="csX8582" y="csY8582"/>
              </a:cxn>
              <a:cxn ang="0">
                <a:pos x="csX8583" y="csY8583"/>
              </a:cxn>
              <a:cxn ang="0">
                <a:pos x="csX8584" y="csY8584"/>
              </a:cxn>
              <a:cxn ang="0">
                <a:pos x="csX8585" y="csY8585"/>
              </a:cxn>
              <a:cxn ang="0">
                <a:pos x="csX8586" y="csY8586"/>
              </a:cxn>
              <a:cxn ang="0">
                <a:pos x="csX8587" y="csY8587"/>
              </a:cxn>
              <a:cxn ang="0">
                <a:pos x="csX8588" y="csY8588"/>
              </a:cxn>
              <a:cxn ang="0">
                <a:pos x="csX8589" y="csY8589"/>
              </a:cxn>
              <a:cxn ang="0">
                <a:pos x="csX8590" y="csY8590"/>
              </a:cxn>
              <a:cxn ang="0">
                <a:pos x="csX8591" y="csY8591"/>
              </a:cxn>
              <a:cxn ang="0">
                <a:pos x="csX8592" y="csY8592"/>
              </a:cxn>
              <a:cxn ang="0">
                <a:pos x="csX8593" y="csY8593"/>
              </a:cxn>
              <a:cxn ang="0">
                <a:pos x="csX8594" y="csY8594"/>
              </a:cxn>
              <a:cxn ang="0">
                <a:pos x="csX8595" y="csY8595"/>
              </a:cxn>
              <a:cxn ang="0">
                <a:pos x="csX8596" y="csY8596"/>
              </a:cxn>
              <a:cxn ang="0">
                <a:pos x="csX8597" y="csY8597"/>
              </a:cxn>
              <a:cxn ang="0">
                <a:pos x="csX8598" y="csY8598"/>
              </a:cxn>
              <a:cxn ang="0">
                <a:pos x="csX8599" y="csY8599"/>
              </a:cxn>
              <a:cxn ang="0">
                <a:pos x="csX8600" y="csY8600"/>
              </a:cxn>
              <a:cxn ang="0">
                <a:pos x="csX8601" y="csY8601"/>
              </a:cxn>
              <a:cxn ang="0">
                <a:pos x="csX8602" y="csY8602"/>
              </a:cxn>
              <a:cxn ang="0">
                <a:pos x="csX8603" y="csY8603"/>
              </a:cxn>
              <a:cxn ang="0">
                <a:pos x="csX8604" y="csY8604"/>
              </a:cxn>
              <a:cxn ang="0">
                <a:pos x="csX8605" y="csY8605"/>
              </a:cxn>
              <a:cxn ang="0">
                <a:pos x="csX8606" y="csY8606"/>
              </a:cxn>
              <a:cxn ang="0">
                <a:pos x="csX8607" y="csY8607"/>
              </a:cxn>
              <a:cxn ang="0">
                <a:pos x="csX8608" y="csY8608"/>
              </a:cxn>
              <a:cxn ang="0">
                <a:pos x="csX8609" y="csY8609"/>
              </a:cxn>
              <a:cxn ang="0">
                <a:pos x="csX8610" y="csY8610"/>
              </a:cxn>
              <a:cxn ang="0">
                <a:pos x="csX8611" y="csY8611"/>
              </a:cxn>
              <a:cxn ang="0">
                <a:pos x="csX8612" y="csY8612"/>
              </a:cxn>
              <a:cxn ang="0">
                <a:pos x="csX8613" y="csY8613"/>
              </a:cxn>
              <a:cxn ang="0">
                <a:pos x="csX8614" y="csY8614"/>
              </a:cxn>
              <a:cxn ang="0">
                <a:pos x="csX8615" y="csY8615"/>
              </a:cxn>
              <a:cxn ang="0">
                <a:pos x="csX8616" y="csY8616"/>
              </a:cxn>
              <a:cxn ang="0">
                <a:pos x="csX8617" y="csY8617"/>
              </a:cxn>
              <a:cxn ang="0">
                <a:pos x="csX8618" y="csY8618"/>
              </a:cxn>
              <a:cxn ang="0">
                <a:pos x="csX8619" y="csY8619"/>
              </a:cxn>
              <a:cxn ang="0">
                <a:pos x="csX8620" y="csY8620"/>
              </a:cxn>
              <a:cxn ang="0">
                <a:pos x="csX8621" y="csY8621"/>
              </a:cxn>
              <a:cxn ang="0">
                <a:pos x="csX8622" y="csY8622"/>
              </a:cxn>
              <a:cxn ang="0">
                <a:pos x="csX8623" y="csY8623"/>
              </a:cxn>
              <a:cxn ang="0">
                <a:pos x="csX8624" y="csY8624"/>
              </a:cxn>
              <a:cxn ang="0">
                <a:pos x="csX8625" y="csY8625"/>
              </a:cxn>
              <a:cxn ang="0">
                <a:pos x="csX8626" y="csY8626"/>
              </a:cxn>
              <a:cxn ang="0">
                <a:pos x="csX8627" y="csY8627"/>
              </a:cxn>
              <a:cxn ang="0">
                <a:pos x="csX8628" y="csY8628"/>
              </a:cxn>
              <a:cxn ang="0">
                <a:pos x="csX8629" y="csY8629"/>
              </a:cxn>
              <a:cxn ang="0">
                <a:pos x="csX8630" y="csY8630"/>
              </a:cxn>
              <a:cxn ang="0">
                <a:pos x="csX8631" y="csY8631"/>
              </a:cxn>
              <a:cxn ang="0">
                <a:pos x="csX8632" y="csY8632"/>
              </a:cxn>
              <a:cxn ang="0">
                <a:pos x="csX8633" y="csY8633"/>
              </a:cxn>
              <a:cxn ang="0">
                <a:pos x="csX8634" y="csY8634"/>
              </a:cxn>
              <a:cxn ang="0">
                <a:pos x="csX8635" y="csY8635"/>
              </a:cxn>
              <a:cxn ang="0">
                <a:pos x="csX8636" y="csY8636"/>
              </a:cxn>
              <a:cxn ang="0">
                <a:pos x="csX8637" y="csY8637"/>
              </a:cxn>
              <a:cxn ang="0">
                <a:pos x="csX8638" y="csY8638"/>
              </a:cxn>
              <a:cxn ang="0">
                <a:pos x="csX8639" y="csY8639"/>
              </a:cxn>
              <a:cxn ang="0">
                <a:pos x="csX8640" y="csY8640"/>
              </a:cxn>
              <a:cxn ang="0">
                <a:pos x="csX8641" y="csY8641"/>
              </a:cxn>
              <a:cxn ang="0">
                <a:pos x="csX8642" y="csY8642"/>
              </a:cxn>
              <a:cxn ang="0">
                <a:pos x="csX8643" y="csY8643"/>
              </a:cxn>
              <a:cxn ang="0">
                <a:pos x="csX8644" y="csY8644"/>
              </a:cxn>
              <a:cxn ang="0">
                <a:pos x="csX8645" y="csY8645"/>
              </a:cxn>
              <a:cxn ang="0">
                <a:pos x="csX8646" y="csY8646"/>
              </a:cxn>
              <a:cxn ang="0">
                <a:pos x="csX8647" y="csY8647"/>
              </a:cxn>
              <a:cxn ang="0">
                <a:pos x="csX8648" y="csY8648"/>
              </a:cxn>
              <a:cxn ang="0">
                <a:pos x="csX8649" y="csY8649"/>
              </a:cxn>
              <a:cxn ang="0">
                <a:pos x="csX8650" y="csY8650"/>
              </a:cxn>
              <a:cxn ang="0">
                <a:pos x="csX8651" y="csY8651"/>
              </a:cxn>
              <a:cxn ang="0">
                <a:pos x="csX8652" y="csY8652"/>
              </a:cxn>
              <a:cxn ang="0">
                <a:pos x="csX8653" y="csY8653"/>
              </a:cxn>
              <a:cxn ang="0">
                <a:pos x="csX8654" y="csY8654"/>
              </a:cxn>
              <a:cxn ang="0">
                <a:pos x="csX8655" y="csY8655"/>
              </a:cxn>
              <a:cxn ang="0">
                <a:pos x="csX8656" y="csY8656"/>
              </a:cxn>
              <a:cxn ang="0">
                <a:pos x="csX8657" y="csY8657"/>
              </a:cxn>
              <a:cxn ang="0">
                <a:pos x="csX8658" y="csY8658"/>
              </a:cxn>
              <a:cxn ang="0">
                <a:pos x="csX8659" y="csY8659"/>
              </a:cxn>
              <a:cxn ang="0">
                <a:pos x="csX8660" y="csY8660"/>
              </a:cxn>
              <a:cxn ang="0">
                <a:pos x="csX8661" y="csY8661"/>
              </a:cxn>
              <a:cxn ang="0">
                <a:pos x="csX8662" y="csY8662"/>
              </a:cxn>
              <a:cxn ang="0">
                <a:pos x="csX8663" y="csY8663"/>
              </a:cxn>
              <a:cxn ang="0">
                <a:pos x="csX8664" y="csY8664"/>
              </a:cxn>
              <a:cxn ang="0">
                <a:pos x="csX8665" y="csY8665"/>
              </a:cxn>
              <a:cxn ang="0">
                <a:pos x="csX8666" y="csY8666"/>
              </a:cxn>
              <a:cxn ang="0">
                <a:pos x="csX8667" y="csY8667"/>
              </a:cxn>
              <a:cxn ang="0">
                <a:pos x="csX8668" y="csY8668"/>
              </a:cxn>
              <a:cxn ang="0">
                <a:pos x="csX8669" y="csY8669"/>
              </a:cxn>
              <a:cxn ang="0">
                <a:pos x="csX8670" y="csY8670"/>
              </a:cxn>
              <a:cxn ang="0">
                <a:pos x="csX8671" y="csY8671"/>
              </a:cxn>
              <a:cxn ang="0">
                <a:pos x="csX8672" y="csY8672"/>
              </a:cxn>
              <a:cxn ang="0">
                <a:pos x="csX8673" y="csY8673"/>
              </a:cxn>
              <a:cxn ang="0">
                <a:pos x="csX8674" y="csY8674"/>
              </a:cxn>
              <a:cxn ang="0">
                <a:pos x="csX8675" y="csY8675"/>
              </a:cxn>
              <a:cxn ang="0">
                <a:pos x="csX8676" y="csY8676"/>
              </a:cxn>
              <a:cxn ang="0">
                <a:pos x="csX8677" y="csY8677"/>
              </a:cxn>
              <a:cxn ang="0">
                <a:pos x="csX8678" y="csY8678"/>
              </a:cxn>
              <a:cxn ang="0">
                <a:pos x="csX8679" y="csY8679"/>
              </a:cxn>
              <a:cxn ang="0">
                <a:pos x="csX8680" y="csY8680"/>
              </a:cxn>
              <a:cxn ang="0">
                <a:pos x="csX8681" y="csY8681"/>
              </a:cxn>
              <a:cxn ang="0">
                <a:pos x="csX8682" y="csY8682"/>
              </a:cxn>
              <a:cxn ang="0">
                <a:pos x="csX8683" y="csY8683"/>
              </a:cxn>
              <a:cxn ang="0">
                <a:pos x="csX8684" y="csY8684"/>
              </a:cxn>
              <a:cxn ang="0">
                <a:pos x="csX8685" y="csY8685"/>
              </a:cxn>
              <a:cxn ang="0">
                <a:pos x="csX8686" y="csY8686"/>
              </a:cxn>
              <a:cxn ang="0">
                <a:pos x="csX8687" y="csY8687"/>
              </a:cxn>
              <a:cxn ang="0">
                <a:pos x="csX8688" y="csY8688"/>
              </a:cxn>
              <a:cxn ang="0">
                <a:pos x="csX8689" y="csY8689"/>
              </a:cxn>
              <a:cxn ang="0">
                <a:pos x="csX8690" y="csY8690"/>
              </a:cxn>
              <a:cxn ang="0">
                <a:pos x="csX8691" y="csY8691"/>
              </a:cxn>
              <a:cxn ang="0">
                <a:pos x="csX8692" y="csY8692"/>
              </a:cxn>
              <a:cxn ang="0">
                <a:pos x="csX8693" y="csY8693"/>
              </a:cxn>
              <a:cxn ang="0">
                <a:pos x="csX8694" y="csY8694"/>
              </a:cxn>
              <a:cxn ang="0">
                <a:pos x="csX8695" y="csY8695"/>
              </a:cxn>
              <a:cxn ang="0">
                <a:pos x="csX8696" y="csY8696"/>
              </a:cxn>
              <a:cxn ang="0">
                <a:pos x="csX8697" y="csY8697"/>
              </a:cxn>
              <a:cxn ang="0">
                <a:pos x="csX8698" y="csY8698"/>
              </a:cxn>
              <a:cxn ang="0">
                <a:pos x="csX8699" y="csY8699"/>
              </a:cxn>
              <a:cxn ang="0">
                <a:pos x="csX8700" y="csY8700"/>
              </a:cxn>
              <a:cxn ang="0">
                <a:pos x="csX8701" y="csY8701"/>
              </a:cxn>
              <a:cxn ang="0">
                <a:pos x="csX8702" y="csY8702"/>
              </a:cxn>
              <a:cxn ang="0">
                <a:pos x="csX8703" y="csY8703"/>
              </a:cxn>
              <a:cxn ang="0">
                <a:pos x="csX8704" y="csY8704"/>
              </a:cxn>
              <a:cxn ang="0">
                <a:pos x="csX8705" y="csY8705"/>
              </a:cxn>
              <a:cxn ang="0">
                <a:pos x="csX8706" y="csY8706"/>
              </a:cxn>
              <a:cxn ang="0">
                <a:pos x="csX8707" y="csY8707"/>
              </a:cxn>
              <a:cxn ang="0">
                <a:pos x="csX8708" y="csY8708"/>
              </a:cxn>
              <a:cxn ang="0">
                <a:pos x="csX8709" y="csY8709"/>
              </a:cxn>
              <a:cxn ang="0">
                <a:pos x="csX8710" y="csY8710"/>
              </a:cxn>
              <a:cxn ang="0">
                <a:pos x="csX8711" y="csY8711"/>
              </a:cxn>
              <a:cxn ang="0">
                <a:pos x="csX8712" y="csY8712"/>
              </a:cxn>
              <a:cxn ang="0">
                <a:pos x="csX8713" y="csY8713"/>
              </a:cxn>
              <a:cxn ang="0">
                <a:pos x="csX8714" y="csY8714"/>
              </a:cxn>
              <a:cxn ang="0">
                <a:pos x="csX8715" y="csY8715"/>
              </a:cxn>
              <a:cxn ang="0">
                <a:pos x="csX8716" y="csY8716"/>
              </a:cxn>
              <a:cxn ang="0">
                <a:pos x="csX8717" y="csY8717"/>
              </a:cxn>
              <a:cxn ang="0">
                <a:pos x="csX8718" y="csY8718"/>
              </a:cxn>
              <a:cxn ang="0">
                <a:pos x="csX8719" y="csY8719"/>
              </a:cxn>
              <a:cxn ang="0">
                <a:pos x="csX8720" y="csY8720"/>
              </a:cxn>
              <a:cxn ang="0">
                <a:pos x="csX8721" y="csY8721"/>
              </a:cxn>
              <a:cxn ang="0">
                <a:pos x="csX8722" y="csY8722"/>
              </a:cxn>
              <a:cxn ang="0">
                <a:pos x="csX8723" y="csY8723"/>
              </a:cxn>
              <a:cxn ang="0">
                <a:pos x="csX8724" y="csY8724"/>
              </a:cxn>
              <a:cxn ang="0">
                <a:pos x="csX8725" y="csY8725"/>
              </a:cxn>
              <a:cxn ang="0">
                <a:pos x="csX8726" y="csY8726"/>
              </a:cxn>
              <a:cxn ang="0">
                <a:pos x="csX8727" y="csY8727"/>
              </a:cxn>
              <a:cxn ang="0">
                <a:pos x="csX8728" y="csY8728"/>
              </a:cxn>
              <a:cxn ang="0">
                <a:pos x="csX8729" y="csY8729"/>
              </a:cxn>
              <a:cxn ang="0">
                <a:pos x="csX8730" y="csY8730"/>
              </a:cxn>
              <a:cxn ang="0">
                <a:pos x="csX8731" y="csY8731"/>
              </a:cxn>
              <a:cxn ang="0">
                <a:pos x="csX8732" y="csY8732"/>
              </a:cxn>
              <a:cxn ang="0">
                <a:pos x="csX8733" y="csY8733"/>
              </a:cxn>
              <a:cxn ang="0">
                <a:pos x="csX8734" y="csY8734"/>
              </a:cxn>
              <a:cxn ang="0">
                <a:pos x="csX8735" y="csY8735"/>
              </a:cxn>
              <a:cxn ang="0">
                <a:pos x="csX8736" y="csY8736"/>
              </a:cxn>
              <a:cxn ang="0">
                <a:pos x="csX8737" y="csY8737"/>
              </a:cxn>
              <a:cxn ang="0">
                <a:pos x="csX8738" y="csY8738"/>
              </a:cxn>
              <a:cxn ang="0">
                <a:pos x="csX8739" y="csY8739"/>
              </a:cxn>
              <a:cxn ang="0">
                <a:pos x="csX8740" y="csY8740"/>
              </a:cxn>
              <a:cxn ang="0">
                <a:pos x="csX8741" y="csY8741"/>
              </a:cxn>
              <a:cxn ang="0">
                <a:pos x="csX8742" y="csY8742"/>
              </a:cxn>
              <a:cxn ang="0">
                <a:pos x="csX8743" y="csY8743"/>
              </a:cxn>
              <a:cxn ang="0">
                <a:pos x="csX8744" y="csY8744"/>
              </a:cxn>
              <a:cxn ang="0">
                <a:pos x="csX8745" y="csY8745"/>
              </a:cxn>
              <a:cxn ang="0">
                <a:pos x="csX8746" y="csY8746"/>
              </a:cxn>
              <a:cxn ang="0">
                <a:pos x="csX8747" y="csY8747"/>
              </a:cxn>
              <a:cxn ang="0">
                <a:pos x="csX8748" y="csY8748"/>
              </a:cxn>
              <a:cxn ang="0">
                <a:pos x="csX8749" y="csY8749"/>
              </a:cxn>
              <a:cxn ang="0">
                <a:pos x="csX8750" y="csY8750"/>
              </a:cxn>
              <a:cxn ang="0">
                <a:pos x="csX8751" y="csY8751"/>
              </a:cxn>
              <a:cxn ang="0">
                <a:pos x="csX8752" y="csY8752"/>
              </a:cxn>
              <a:cxn ang="0">
                <a:pos x="csX8753" y="csY8753"/>
              </a:cxn>
              <a:cxn ang="0">
                <a:pos x="csX8754" y="csY8754"/>
              </a:cxn>
              <a:cxn ang="0">
                <a:pos x="csX8755" y="csY8755"/>
              </a:cxn>
              <a:cxn ang="0">
                <a:pos x="csX8756" y="csY8756"/>
              </a:cxn>
              <a:cxn ang="0">
                <a:pos x="csX8757" y="csY8757"/>
              </a:cxn>
              <a:cxn ang="0">
                <a:pos x="csX8758" y="csY8758"/>
              </a:cxn>
              <a:cxn ang="0">
                <a:pos x="csX8759" y="csY8759"/>
              </a:cxn>
              <a:cxn ang="0">
                <a:pos x="csX8760" y="csY8760"/>
              </a:cxn>
              <a:cxn ang="0">
                <a:pos x="csX8761" y="csY8761"/>
              </a:cxn>
              <a:cxn ang="0">
                <a:pos x="csX8762" y="csY8762"/>
              </a:cxn>
              <a:cxn ang="0">
                <a:pos x="csX8763" y="csY8763"/>
              </a:cxn>
              <a:cxn ang="0">
                <a:pos x="csX8764" y="csY8764"/>
              </a:cxn>
              <a:cxn ang="0">
                <a:pos x="csX8765" y="csY8765"/>
              </a:cxn>
              <a:cxn ang="0">
                <a:pos x="csX8766" y="csY8766"/>
              </a:cxn>
              <a:cxn ang="0">
                <a:pos x="csX8767" y="csY8767"/>
              </a:cxn>
              <a:cxn ang="0">
                <a:pos x="csX8768" y="csY8768"/>
              </a:cxn>
              <a:cxn ang="0">
                <a:pos x="csX8769" y="csY8769"/>
              </a:cxn>
              <a:cxn ang="0">
                <a:pos x="csX8770" y="csY8770"/>
              </a:cxn>
              <a:cxn ang="0">
                <a:pos x="csX8771" y="csY8771"/>
              </a:cxn>
              <a:cxn ang="0">
                <a:pos x="csX8772" y="csY8772"/>
              </a:cxn>
              <a:cxn ang="0">
                <a:pos x="csX8773" y="csY8773"/>
              </a:cxn>
              <a:cxn ang="0">
                <a:pos x="csX8774" y="csY8774"/>
              </a:cxn>
              <a:cxn ang="0">
                <a:pos x="csX8775" y="csY8775"/>
              </a:cxn>
              <a:cxn ang="0">
                <a:pos x="csX8776" y="csY8776"/>
              </a:cxn>
              <a:cxn ang="0">
                <a:pos x="csX8777" y="csY8777"/>
              </a:cxn>
              <a:cxn ang="0">
                <a:pos x="csX8778" y="csY8778"/>
              </a:cxn>
              <a:cxn ang="0">
                <a:pos x="csX8779" y="csY8779"/>
              </a:cxn>
              <a:cxn ang="0">
                <a:pos x="csX8780" y="csY8780"/>
              </a:cxn>
              <a:cxn ang="0">
                <a:pos x="csX8781" y="csY8781"/>
              </a:cxn>
              <a:cxn ang="0">
                <a:pos x="csX8782" y="csY8782"/>
              </a:cxn>
              <a:cxn ang="0">
                <a:pos x="csX8783" y="csY8783"/>
              </a:cxn>
              <a:cxn ang="0">
                <a:pos x="csX8784" y="csY8784"/>
              </a:cxn>
              <a:cxn ang="0">
                <a:pos x="csX8785" y="csY8785"/>
              </a:cxn>
              <a:cxn ang="0">
                <a:pos x="csX8786" y="csY8786"/>
              </a:cxn>
              <a:cxn ang="0">
                <a:pos x="csX8787" y="csY8787"/>
              </a:cxn>
              <a:cxn ang="0">
                <a:pos x="csX8788" y="csY8788"/>
              </a:cxn>
              <a:cxn ang="0">
                <a:pos x="csX8789" y="csY8789"/>
              </a:cxn>
              <a:cxn ang="0">
                <a:pos x="csX8790" y="csY8790"/>
              </a:cxn>
              <a:cxn ang="0">
                <a:pos x="csX8791" y="csY8791"/>
              </a:cxn>
              <a:cxn ang="0">
                <a:pos x="csX8792" y="csY8792"/>
              </a:cxn>
              <a:cxn ang="0">
                <a:pos x="csX8793" y="csY8793"/>
              </a:cxn>
              <a:cxn ang="0">
                <a:pos x="csX8794" y="csY8794"/>
              </a:cxn>
              <a:cxn ang="0">
                <a:pos x="csX8795" y="csY8795"/>
              </a:cxn>
              <a:cxn ang="0">
                <a:pos x="csX8796" y="csY8796"/>
              </a:cxn>
              <a:cxn ang="0">
                <a:pos x="csX8797" y="csY8797"/>
              </a:cxn>
              <a:cxn ang="0">
                <a:pos x="csX8798" y="csY8798"/>
              </a:cxn>
              <a:cxn ang="0">
                <a:pos x="csX8799" y="csY8799"/>
              </a:cxn>
              <a:cxn ang="0">
                <a:pos x="csX8800" y="csY8800"/>
              </a:cxn>
              <a:cxn ang="0">
                <a:pos x="csX8801" y="csY8801"/>
              </a:cxn>
              <a:cxn ang="0">
                <a:pos x="csX8802" y="csY8802"/>
              </a:cxn>
              <a:cxn ang="0">
                <a:pos x="csX8803" y="csY8803"/>
              </a:cxn>
              <a:cxn ang="0">
                <a:pos x="csX8804" y="csY8804"/>
              </a:cxn>
              <a:cxn ang="0">
                <a:pos x="csX8805" y="csY8805"/>
              </a:cxn>
              <a:cxn ang="0">
                <a:pos x="csX8806" y="csY8806"/>
              </a:cxn>
              <a:cxn ang="0">
                <a:pos x="csX8807" y="csY8807"/>
              </a:cxn>
              <a:cxn ang="0">
                <a:pos x="csX8808" y="csY8808"/>
              </a:cxn>
              <a:cxn ang="0">
                <a:pos x="csX8809" y="csY8809"/>
              </a:cxn>
              <a:cxn ang="0">
                <a:pos x="csX8810" y="csY8810"/>
              </a:cxn>
              <a:cxn ang="0">
                <a:pos x="csX8811" y="csY8811"/>
              </a:cxn>
              <a:cxn ang="0">
                <a:pos x="csX8812" y="csY8812"/>
              </a:cxn>
              <a:cxn ang="0">
                <a:pos x="csX8813" y="csY8813"/>
              </a:cxn>
              <a:cxn ang="0">
                <a:pos x="csX8814" y="csY8814"/>
              </a:cxn>
              <a:cxn ang="0">
                <a:pos x="csX8815" y="csY8815"/>
              </a:cxn>
              <a:cxn ang="0">
                <a:pos x="csX8816" y="csY8816"/>
              </a:cxn>
              <a:cxn ang="0">
                <a:pos x="csX8817" y="csY8817"/>
              </a:cxn>
              <a:cxn ang="0">
                <a:pos x="csX8818" y="csY8818"/>
              </a:cxn>
              <a:cxn ang="0">
                <a:pos x="csX8819" y="csY8819"/>
              </a:cxn>
              <a:cxn ang="0">
                <a:pos x="csX8820" y="csY8820"/>
              </a:cxn>
              <a:cxn ang="0">
                <a:pos x="csX8821" y="csY8821"/>
              </a:cxn>
              <a:cxn ang="0">
                <a:pos x="csX8822" y="csY8822"/>
              </a:cxn>
              <a:cxn ang="0">
                <a:pos x="csX8823" y="csY8823"/>
              </a:cxn>
              <a:cxn ang="0">
                <a:pos x="csX8824" y="csY8824"/>
              </a:cxn>
              <a:cxn ang="0">
                <a:pos x="csX8825" y="csY8825"/>
              </a:cxn>
              <a:cxn ang="0">
                <a:pos x="csX8826" y="csY8826"/>
              </a:cxn>
              <a:cxn ang="0">
                <a:pos x="csX8827" y="csY8827"/>
              </a:cxn>
              <a:cxn ang="0">
                <a:pos x="csX8828" y="csY8828"/>
              </a:cxn>
              <a:cxn ang="0">
                <a:pos x="csX8829" y="csY8829"/>
              </a:cxn>
              <a:cxn ang="0">
                <a:pos x="csX8830" y="csY8830"/>
              </a:cxn>
              <a:cxn ang="0">
                <a:pos x="csX8831" y="csY8831"/>
              </a:cxn>
              <a:cxn ang="0">
                <a:pos x="csX8832" y="csY8832"/>
              </a:cxn>
              <a:cxn ang="0">
                <a:pos x="csX8833" y="csY8833"/>
              </a:cxn>
              <a:cxn ang="0">
                <a:pos x="csX8834" y="csY8834"/>
              </a:cxn>
              <a:cxn ang="0">
                <a:pos x="csX8835" y="csY8835"/>
              </a:cxn>
              <a:cxn ang="0">
                <a:pos x="csX8836" y="csY8836"/>
              </a:cxn>
              <a:cxn ang="0">
                <a:pos x="csX8837" y="csY8837"/>
              </a:cxn>
              <a:cxn ang="0">
                <a:pos x="csX8838" y="csY8838"/>
              </a:cxn>
              <a:cxn ang="0">
                <a:pos x="csX8839" y="csY8839"/>
              </a:cxn>
              <a:cxn ang="0">
                <a:pos x="csX8840" y="csY8840"/>
              </a:cxn>
              <a:cxn ang="0">
                <a:pos x="csX8841" y="csY8841"/>
              </a:cxn>
              <a:cxn ang="0">
                <a:pos x="csX8842" y="csY8842"/>
              </a:cxn>
              <a:cxn ang="0">
                <a:pos x="csX8843" y="csY8843"/>
              </a:cxn>
              <a:cxn ang="0">
                <a:pos x="csX8844" y="csY8844"/>
              </a:cxn>
              <a:cxn ang="0">
                <a:pos x="csX8845" y="csY8845"/>
              </a:cxn>
              <a:cxn ang="0">
                <a:pos x="csX8846" y="csY8846"/>
              </a:cxn>
              <a:cxn ang="0">
                <a:pos x="csX8847" y="csY8847"/>
              </a:cxn>
              <a:cxn ang="0">
                <a:pos x="csX8848" y="csY8848"/>
              </a:cxn>
              <a:cxn ang="0">
                <a:pos x="csX8849" y="csY8849"/>
              </a:cxn>
              <a:cxn ang="0">
                <a:pos x="csX8850" y="csY8850"/>
              </a:cxn>
              <a:cxn ang="0">
                <a:pos x="csX8851" y="csY8851"/>
              </a:cxn>
              <a:cxn ang="0">
                <a:pos x="csX8852" y="csY8852"/>
              </a:cxn>
              <a:cxn ang="0">
                <a:pos x="csX8853" y="csY8853"/>
              </a:cxn>
              <a:cxn ang="0">
                <a:pos x="csX8854" y="csY8854"/>
              </a:cxn>
              <a:cxn ang="0">
                <a:pos x="csX8855" y="csY8855"/>
              </a:cxn>
              <a:cxn ang="0">
                <a:pos x="csX8856" y="csY8856"/>
              </a:cxn>
              <a:cxn ang="0">
                <a:pos x="csX8857" y="csY8857"/>
              </a:cxn>
              <a:cxn ang="0">
                <a:pos x="csX8858" y="csY8858"/>
              </a:cxn>
              <a:cxn ang="0">
                <a:pos x="csX8859" y="csY8859"/>
              </a:cxn>
              <a:cxn ang="0">
                <a:pos x="csX8860" y="csY8860"/>
              </a:cxn>
              <a:cxn ang="0">
                <a:pos x="csX8861" y="csY8861"/>
              </a:cxn>
              <a:cxn ang="0">
                <a:pos x="csX8862" y="csY8862"/>
              </a:cxn>
              <a:cxn ang="0">
                <a:pos x="csX8863" y="csY8863"/>
              </a:cxn>
              <a:cxn ang="0">
                <a:pos x="csX8864" y="csY8864"/>
              </a:cxn>
              <a:cxn ang="0">
                <a:pos x="csX8865" y="csY8865"/>
              </a:cxn>
              <a:cxn ang="0">
                <a:pos x="csX8866" y="csY8866"/>
              </a:cxn>
              <a:cxn ang="0">
                <a:pos x="csX8867" y="csY8867"/>
              </a:cxn>
              <a:cxn ang="0">
                <a:pos x="csX8868" y="csY8868"/>
              </a:cxn>
              <a:cxn ang="0">
                <a:pos x="csX8869" y="csY8869"/>
              </a:cxn>
              <a:cxn ang="0">
                <a:pos x="csX8870" y="csY8870"/>
              </a:cxn>
              <a:cxn ang="0">
                <a:pos x="csX8871" y="csY8871"/>
              </a:cxn>
              <a:cxn ang="0">
                <a:pos x="csX8872" y="csY8872"/>
              </a:cxn>
              <a:cxn ang="0">
                <a:pos x="csX8873" y="csY8873"/>
              </a:cxn>
              <a:cxn ang="0">
                <a:pos x="csX8874" y="csY8874"/>
              </a:cxn>
              <a:cxn ang="0">
                <a:pos x="csX8875" y="csY8875"/>
              </a:cxn>
              <a:cxn ang="0">
                <a:pos x="csX8876" y="csY8876"/>
              </a:cxn>
              <a:cxn ang="0">
                <a:pos x="csX8877" y="csY8877"/>
              </a:cxn>
              <a:cxn ang="0">
                <a:pos x="csX8878" y="csY8878"/>
              </a:cxn>
              <a:cxn ang="0">
                <a:pos x="csX8879" y="csY8879"/>
              </a:cxn>
              <a:cxn ang="0">
                <a:pos x="csX8880" y="csY8880"/>
              </a:cxn>
              <a:cxn ang="0">
                <a:pos x="csX8881" y="csY8881"/>
              </a:cxn>
              <a:cxn ang="0">
                <a:pos x="csX8882" y="csY8882"/>
              </a:cxn>
              <a:cxn ang="0">
                <a:pos x="csX8883" y="csY8883"/>
              </a:cxn>
              <a:cxn ang="0">
                <a:pos x="csX8884" y="csY8884"/>
              </a:cxn>
              <a:cxn ang="0">
                <a:pos x="csX8885" y="csY8885"/>
              </a:cxn>
              <a:cxn ang="0">
                <a:pos x="csX8886" y="csY8886"/>
              </a:cxn>
              <a:cxn ang="0">
                <a:pos x="csX8887" y="csY8887"/>
              </a:cxn>
              <a:cxn ang="0">
                <a:pos x="csX8888" y="csY8888"/>
              </a:cxn>
              <a:cxn ang="0">
                <a:pos x="csX8889" y="csY8889"/>
              </a:cxn>
              <a:cxn ang="0">
                <a:pos x="csX8890" y="csY8890"/>
              </a:cxn>
              <a:cxn ang="0">
                <a:pos x="csX8891" y="csY8891"/>
              </a:cxn>
              <a:cxn ang="0">
                <a:pos x="csX8892" y="csY8892"/>
              </a:cxn>
              <a:cxn ang="0">
                <a:pos x="csX8893" y="csY8893"/>
              </a:cxn>
              <a:cxn ang="0">
                <a:pos x="csX8894" y="csY8894"/>
              </a:cxn>
              <a:cxn ang="0">
                <a:pos x="csX8895" y="csY8895"/>
              </a:cxn>
              <a:cxn ang="0">
                <a:pos x="csX8896" y="csY8896"/>
              </a:cxn>
              <a:cxn ang="0">
                <a:pos x="csX8897" y="csY8897"/>
              </a:cxn>
              <a:cxn ang="0">
                <a:pos x="csX8898" y="csY8898"/>
              </a:cxn>
              <a:cxn ang="0">
                <a:pos x="csX8899" y="csY8899"/>
              </a:cxn>
              <a:cxn ang="0">
                <a:pos x="csX8900" y="csY8900"/>
              </a:cxn>
              <a:cxn ang="0">
                <a:pos x="csX8901" y="csY8901"/>
              </a:cxn>
              <a:cxn ang="0">
                <a:pos x="csX8902" y="csY8902"/>
              </a:cxn>
              <a:cxn ang="0">
                <a:pos x="csX8903" y="csY8903"/>
              </a:cxn>
              <a:cxn ang="0">
                <a:pos x="csX8904" y="csY8904"/>
              </a:cxn>
              <a:cxn ang="0">
                <a:pos x="csX8905" y="csY8905"/>
              </a:cxn>
              <a:cxn ang="0">
                <a:pos x="csX8906" y="csY8906"/>
              </a:cxn>
              <a:cxn ang="0">
                <a:pos x="csX8907" y="csY8907"/>
              </a:cxn>
              <a:cxn ang="0">
                <a:pos x="csX8908" y="csY8908"/>
              </a:cxn>
              <a:cxn ang="0">
                <a:pos x="csX8909" y="csY8909"/>
              </a:cxn>
              <a:cxn ang="0">
                <a:pos x="csX8910" y="csY8910"/>
              </a:cxn>
              <a:cxn ang="0">
                <a:pos x="csX8911" y="csY8911"/>
              </a:cxn>
              <a:cxn ang="0">
                <a:pos x="csX8912" y="csY8912"/>
              </a:cxn>
              <a:cxn ang="0">
                <a:pos x="csX8913" y="csY8913"/>
              </a:cxn>
              <a:cxn ang="0">
                <a:pos x="csX8914" y="csY8914"/>
              </a:cxn>
              <a:cxn ang="0">
                <a:pos x="csX8915" y="csY8915"/>
              </a:cxn>
              <a:cxn ang="0">
                <a:pos x="csX8916" y="csY8916"/>
              </a:cxn>
              <a:cxn ang="0">
                <a:pos x="csX8917" y="csY8917"/>
              </a:cxn>
              <a:cxn ang="0">
                <a:pos x="csX8918" y="csY8918"/>
              </a:cxn>
              <a:cxn ang="0">
                <a:pos x="csX8919" y="csY8919"/>
              </a:cxn>
              <a:cxn ang="0">
                <a:pos x="csX8920" y="csY8920"/>
              </a:cxn>
              <a:cxn ang="0">
                <a:pos x="csX8921" y="csY8921"/>
              </a:cxn>
              <a:cxn ang="0">
                <a:pos x="csX8922" y="csY8922"/>
              </a:cxn>
              <a:cxn ang="0">
                <a:pos x="csX8923" y="csY8923"/>
              </a:cxn>
              <a:cxn ang="0">
                <a:pos x="csX8924" y="csY8924"/>
              </a:cxn>
              <a:cxn ang="0">
                <a:pos x="csX8925" y="csY8925"/>
              </a:cxn>
              <a:cxn ang="0">
                <a:pos x="csX8926" y="csY8926"/>
              </a:cxn>
              <a:cxn ang="0">
                <a:pos x="csX8927" y="csY8927"/>
              </a:cxn>
              <a:cxn ang="0">
                <a:pos x="csX8928" y="csY8928"/>
              </a:cxn>
              <a:cxn ang="0">
                <a:pos x="csX8929" y="csY8929"/>
              </a:cxn>
              <a:cxn ang="0">
                <a:pos x="csX8930" y="csY8930"/>
              </a:cxn>
              <a:cxn ang="0">
                <a:pos x="csX8931" y="csY8931"/>
              </a:cxn>
              <a:cxn ang="0">
                <a:pos x="csX8932" y="csY8932"/>
              </a:cxn>
              <a:cxn ang="0">
                <a:pos x="csX8933" y="csY8933"/>
              </a:cxn>
              <a:cxn ang="0">
                <a:pos x="csX8934" y="csY8934"/>
              </a:cxn>
              <a:cxn ang="0">
                <a:pos x="csX8935" y="csY8935"/>
              </a:cxn>
              <a:cxn ang="0">
                <a:pos x="csX8936" y="csY8936"/>
              </a:cxn>
              <a:cxn ang="0">
                <a:pos x="csX8937" y="csY8937"/>
              </a:cxn>
              <a:cxn ang="0">
                <a:pos x="csX8938" y="csY8938"/>
              </a:cxn>
              <a:cxn ang="0">
                <a:pos x="csX8939" y="csY8939"/>
              </a:cxn>
              <a:cxn ang="0">
                <a:pos x="csX8940" y="csY8940"/>
              </a:cxn>
              <a:cxn ang="0">
                <a:pos x="csX8941" y="csY8941"/>
              </a:cxn>
              <a:cxn ang="0">
                <a:pos x="csX8942" y="csY8942"/>
              </a:cxn>
              <a:cxn ang="0">
                <a:pos x="csX8943" y="csY8943"/>
              </a:cxn>
              <a:cxn ang="0">
                <a:pos x="csX8944" y="csY8944"/>
              </a:cxn>
              <a:cxn ang="0">
                <a:pos x="csX8945" y="csY8945"/>
              </a:cxn>
              <a:cxn ang="0">
                <a:pos x="csX8946" y="csY8946"/>
              </a:cxn>
              <a:cxn ang="0">
                <a:pos x="csX8947" y="csY8947"/>
              </a:cxn>
              <a:cxn ang="0">
                <a:pos x="csX8948" y="csY8948"/>
              </a:cxn>
              <a:cxn ang="0">
                <a:pos x="csX8949" y="csY8949"/>
              </a:cxn>
              <a:cxn ang="0">
                <a:pos x="csX8950" y="csY8950"/>
              </a:cxn>
              <a:cxn ang="0">
                <a:pos x="csX8951" y="csY8951"/>
              </a:cxn>
              <a:cxn ang="0">
                <a:pos x="csX8952" y="csY8952"/>
              </a:cxn>
              <a:cxn ang="0">
                <a:pos x="csX8953" y="csY8953"/>
              </a:cxn>
              <a:cxn ang="0">
                <a:pos x="csX8954" y="csY8954"/>
              </a:cxn>
              <a:cxn ang="0">
                <a:pos x="csX8955" y="csY8955"/>
              </a:cxn>
              <a:cxn ang="0">
                <a:pos x="csX8956" y="csY8956"/>
              </a:cxn>
              <a:cxn ang="0">
                <a:pos x="csX8957" y="csY8957"/>
              </a:cxn>
              <a:cxn ang="0">
                <a:pos x="csX8958" y="csY8958"/>
              </a:cxn>
              <a:cxn ang="0">
                <a:pos x="csX8959" y="csY8959"/>
              </a:cxn>
              <a:cxn ang="0">
                <a:pos x="csX8960" y="csY8960"/>
              </a:cxn>
              <a:cxn ang="0">
                <a:pos x="csX8961" y="csY8961"/>
              </a:cxn>
              <a:cxn ang="0">
                <a:pos x="csX8962" y="csY8962"/>
              </a:cxn>
              <a:cxn ang="0">
                <a:pos x="csX8963" y="csY8963"/>
              </a:cxn>
              <a:cxn ang="0">
                <a:pos x="csX8964" y="csY8964"/>
              </a:cxn>
              <a:cxn ang="0">
                <a:pos x="csX8965" y="csY8965"/>
              </a:cxn>
              <a:cxn ang="0">
                <a:pos x="csX8966" y="csY8966"/>
              </a:cxn>
              <a:cxn ang="0">
                <a:pos x="csX8967" y="csY8967"/>
              </a:cxn>
              <a:cxn ang="0">
                <a:pos x="csX8968" y="csY8968"/>
              </a:cxn>
              <a:cxn ang="0">
                <a:pos x="csX8969" y="csY8969"/>
              </a:cxn>
              <a:cxn ang="0">
                <a:pos x="csX8970" y="csY8970"/>
              </a:cxn>
              <a:cxn ang="0">
                <a:pos x="csX8971" y="csY8971"/>
              </a:cxn>
              <a:cxn ang="0">
                <a:pos x="csX8972" y="csY8972"/>
              </a:cxn>
              <a:cxn ang="0">
                <a:pos x="csX8973" y="csY8973"/>
              </a:cxn>
              <a:cxn ang="0">
                <a:pos x="csX8974" y="csY8974"/>
              </a:cxn>
              <a:cxn ang="0">
                <a:pos x="csX8975" y="csY8975"/>
              </a:cxn>
              <a:cxn ang="0">
                <a:pos x="csX8976" y="csY8976"/>
              </a:cxn>
              <a:cxn ang="0">
                <a:pos x="csX8977" y="csY8977"/>
              </a:cxn>
              <a:cxn ang="0">
                <a:pos x="csX8978" y="csY8978"/>
              </a:cxn>
              <a:cxn ang="0">
                <a:pos x="csX8979" y="csY8979"/>
              </a:cxn>
              <a:cxn ang="0">
                <a:pos x="csX8980" y="csY8980"/>
              </a:cxn>
              <a:cxn ang="0">
                <a:pos x="csX8981" y="csY8981"/>
              </a:cxn>
              <a:cxn ang="0">
                <a:pos x="csX8982" y="csY8982"/>
              </a:cxn>
              <a:cxn ang="0">
                <a:pos x="csX8983" y="csY8983"/>
              </a:cxn>
              <a:cxn ang="0">
                <a:pos x="csX8984" y="csY8984"/>
              </a:cxn>
              <a:cxn ang="0">
                <a:pos x="csX8985" y="csY8985"/>
              </a:cxn>
              <a:cxn ang="0">
                <a:pos x="csX8986" y="csY8986"/>
              </a:cxn>
              <a:cxn ang="0">
                <a:pos x="csX8987" y="csY8987"/>
              </a:cxn>
              <a:cxn ang="0">
                <a:pos x="csX8988" y="csY8988"/>
              </a:cxn>
              <a:cxn ang="0">
                <a:pos x="csX8989" y="csY8989"/>
              </a:cxn>
              <a:cxn ang="0">
                <a:pos x="csX8990" y="csY8990"/>
              </a:cxn>
              <a:cxn ang="0">
                <a:pos x="csX8991" y="csY8991"/>
              </a:cxn>
              <a:cxn ang="0">
                <a:pos x="csX8992" y="csY8992"/>
              </a:cxn>
              <a:cxn ang="0">
                <a:pos x="csX8993" y="csY8993"/>
              </a:cxn>
              <a:cxn ang="0">
                <a:pos x="csX8994" y="csY8994"/>
              </a:cxn>
              <a:cxn ang="0">
                <a:pos x="csX8995" y="csY8995"/>
              </a:cxn>
              <a:cxn ang="0">
                <a:pos x="csX8996" y="csY8996"/>
              </a:cxn>
              <a:cxn ang="0">
                <a:pos x="csX8997" y="csY8997"/>
              </a:cxn>
              <a:cxn ang="0">
                <a:pos x="csX8998" y="csY8998"/>
              </a:cxn>
              <a:cxn ang="0">
                <a:pos x="csX8999" y="csY8999"/>
              </a:cxn>
              <a:cxn ang="0">
                <a:pos x="csX9000" y="csY9000"/>
              </a:cxn>
              <a:cxn ang="0">
                <a:pos x="csX9001" y="csY9001"/>
              </a:cxn>
              <a:cxn ang="0">
                <a:pos x="csX9002" y="csY9002"/>
              </a:cxn>
              <a:cxn ang="0">
                <a:pos x="csX9003" y="csY9003"/>
              </a:cxn>
              <a:cxn ang="0">
                <a:pos x="csX9004" y="csY9004"/>
              </a:cxn>
              <a:cxn ang="0">
                <a:pos x="csX9005" y="csY9005"/>
              </a:cxn>
              <a:cxn ang="0">
                <a:pos x="csX9006" y="csY9006"/>
              </a:cxn>
              <a:cxn ang="0">
                <a:pos x="csX9007" y="csY9007"/>
              </a:cxn>
              <a:cxn ang="0">
                <a:pos x="csX9008" y="csY9008"/>
              </a:cxn>
              <a:cxn ang="0">
                <a:pos x="csX9009" y="csY9009"/>
              </a:cxn>
              <a:cxn ang="0">
                <a:pos x="csX9010" y="csY9010"/>
              </a:cxn>
              <a:cxn ang="0">
                <a:pos x="csX9011" y="csY9011"/>
              </a:cxn>
              <a:cxn ang="0">
                <a:pos x="csX9012" y="csY9012"/>
              </a:cxn>
              <a:cxn ang="0">
                <a:pos x="csX9013" y="csY9013"/>
              </a:cxn>
              <a:cxn ang="0">
                <a:pos x="csX9014" y="csY9014"/>
              </a:cxn>
              <a:cxn ang="0">
                <a:pos x="csX9015" y="csY9015"/>
              </a:cxn>
              <a:cxn ang="0">
                <a:pos x="csX9016" y="csY9016"/>
              </a:cxn>
              <a:cxn ang="0">
                <a:pos x="csX9017" y="csY9017"/>
              </a:cxn>
              <a:cxn ang="0">
                <a:pos x="csX9018" y="csY9018"/>
              </a:cxn>
              <a:cxn ang="0">
                <a:pos x="csX9019" y="csY9019"/>
              </a:cxn>
              <a:cxn ang="0">
                <a:pos x="csX9020" y="csY9020"/>
              </a:cxn>
              <a:cxn ang="0">
                <a:pos x="csX9021" y="csY9021"/>
              </a:cxn>
              <a:cxn ang="0">
                <a:pos x="csX9022" y="csY9022"/>
              </a:cxn>
              <a:cxn ang="0">
                <a:pos x="csX9023" y="csY9023"/>
              </a:cxn>
              <a:cxn ang="0">
                <a:pos x="csX9024" y="csY9024"/>
              </a:cxn>
              <a:cxn ang="0">
                <a:pos x="csX9025" y="csY9025"/>
              </a:cxn>
              <a:cxn ang="0">
                <a:pos x="csX9026" y="csY9026"/>
              </a:cxn>
              <a:cxn ang="0">
                <a:pos x="csX9027" y="csY9027"/>
              </a:cxn>
              <a:cxn ang="0">
                <a:pos x="csX9028" y="csY9028"/>
              </a:cxn>
              <a:cxn ang="0">
                <a:pos x="csX9029" y="csY9029"/>
              </a:cxn>
              <a:cxn ang="0">
                <a:pos x="csX9030" y="csY9030"/>
              </a:cxn>
              <a:cxn ang="0">
                <a:pos x="csX9031" y="csY9031"/>
              </a:cxn>
              <a:cxn ang="0">
                <a:pos x="csX9032" y="csY9032"/>
              </a:cxn>
              <a:cxn ang="0">
                <a:pos x="csX9033" y="csY9033"/>
              </a:cxn>
              <a:cxn ang="0">
                <a:pos x="csX9034" y="csY9034"/>
              </a:cxn>
              <a:cxn ang="0">
                <a:pos x="csX9035" y="csY9035"/>
              </a:cxn>
              <a:cxn ang="0">
                <a:pos x="csX9036" y="csY9036"/>
              </a:cxn>
              <a:cxn ang="0">
                <a:pos x="csX9037" y="csY9037"/>
              </a:cxn>
              <a:cxn ang="0">
                <a:pos x="csX9038" y="csY9038"/>
              </a:cxn>
              <a:cxn ang="0">
                <a:pos x="csX9039" y="csY9039"/>
              </a:cxn>
              <a:cxn ang="0">
                <a:pos x="csX9040" y="csY9040"/>
              </a:cxn>
              <a:cxn ang="0">
                <a:pos x="csX9041" y="csY9041"/>
              </a:cxn>
              <a:cxn ang="0">
                <a:pos x="csX9042" y="csY9042"/>
              </a:cxn>
              <a:cxn ang="0">
                <a:pos x="csX9043" y="csY9043"/>
              </a:cxn>
              <a:cxn ang="0">
                <a:pos x="csX9044" y="csY9044"/>
              </a:cxn>
              <a:cxn ang="0">
                <a:pos x="csX9045" y="csY9045"/>
              </a:cxn>
              <a:cxn ang="0">
                <a:pos x="csX9046" y="csY9046"/>
              </a:cxn>
              <a:cxn ang="0">
                <a:pos x="csX9047" y="csY9047"/>
              </a:cxn>
              <a:cxn ang="0">
                <a:pos x="csX9048" y="csY9048"/>
              </a:cxn>
              <a:cxn ang="0">
                <a:pos x="csX9049" y="csY9049"/>
              </a:cxn>
              <a:cxn ang="0">
                <a:pos x="csX9050" y="csY9050"/>
              </a:cxn>
              <a:cxn ang="0">
                <a:pos x="csX9051" y="csY9051"/>
              </a:cxn>
              <a:cxn ang="0">
                <a:pos x="csX9052" y="csY9052"/>
              </a:cxn>
              <a:cxn ang="0">
                <a:pos x="csX9053" y="csY9053"/>
              </a:cxn>
              <a:cxn ang="0">
                <a:pos x="csX9054" y="csY9054"/>
              </a:cxn>
              <a:cxn ang="0">
                <a:pos x="csX9055" y="csY9055"/>
              </a:cxn>
              <a:cxn ang="0">
                <a:pos x="csX9056" y="csY9056"/>
              </a:cxn>
              <a:cxn ang="0">
                <a:pos x="csX9057" y="csY9057"/>
              </a:cxn>
              <a:cxn ang="0">
                <a:pos x="csX9058" y="csY9058"/>
              </a:cxn>
              <a:cxn ang="0">
                <a:pos x="csX9059" y="csY9059"/>
              </a:cxn>
              <a:cxn ang="0">
                <a:pos x="csX9060" y="csY9060"/>
              </a:cxn>
              <a:cxn ang="0">
                <a:pos x="csX9061" y="csY9061"/>
              </a:cxn>
              <a:cxn ang="0">
                <a:pos x="csX9062" y="csY9062"/>
              </a:cxn>
              <a:cxn ang="0">
                <a:pos x="csX9063" y="csY9063"/>
              </a:cxn>
              <a:cxn ang="0">
                <a:pos x="csX9064" y="csY9064"/>
              </a:cxn>
              <a:cxn ang="0">
                <a:pos x="csX9065" y="csY9065"/>
              </a:cxn>
              <a:cxn ang="0">
                <a:pos x="csX9066" y="csY9066"/>
              </a:cxn>
              <a:cxn ang="0">
                <a:pos x="csX9067" y="csY9067"/>
              </a:cxn>
              <a:cxn ang="0">
                <a:pos x="csX9068" y="csY9068"/>
              </a:cxn>
              <a:cxn ang="0">
                <a:pos x="csX9069" y="csY9069"/>
              </a:cxn>
              <a:cxn ang="0">
                <a:pos x="csX9070" y="csY9070"/>
              </a:cxn>
              <a:cxn ang="0">
                <a:pos x="csX9071" y="csY9071"/>
              </a:cxn>
              <a:cxn ang="0">
                <a:pos x="csX9072" y="csY9072"/>
              </a:cxn>
              <a:cxn ang="0">
                <a:pos x="csX9073" y="csY9073"/>
              </a:cxn>
              <a:cxn ang="0">
                <a:pos x="csX9074" y="csY9074"/>
              </a:cxn>
              <a:cxn ang="0">
                <a:pos x="csX9075" y="csY9075"/>
              </a:cxn>
              <a:cxn ang="0">
                <a:pos x="csX9076" y="csY9076"/>
              </a:cxn>
              <a:cxn ang="0">
                <a:pos x="csX9077" y="csY9077"/>
              </a:cxn>
              <a:cxn ang="0">
                <a:pos x="csX9078" y="csY9078"/>
              </a:cxn>
              <a:cxn ang="0">
                <a:pos x="csX9079" y="csY9079"/>
              </a:cxn>
              <a:cxn ang="0">
                <a:pos x="csX9080" y="csY9080"/>
              </a:cxn>
              <a:cxn ang="0">
                <a:pos x="csX9081" y="csY9081"/>
              </a:cxn>
              <a:cxn ang="0">
                <a:pos x="csX9082" y="csY9082"/>
              </a:cxn>
              <a:cxn ang="0">
                <a:pos x="csX9083" y="csY9083"/>
              </a:cxn>
              <a:cxn ang="0">
                <a:pos x="csX9084" y="csY9084"/>
              </a:cxn>
              <a:cxn ang="0">
                <a:pos x="csX9085" y="csY9085"/>
              </a:cxn>
              <a:cxn ang="0">
                <a:pos x="csX9086" y="csY9086"/>
              </a:cxn>
              <a:cxn ang="0">
                <a:pos x="csX9087" y="csY9087"/>
              </a:cxn>
              <a:cxn ang="0">
                <a:pos x="csX9088" y="csY9088"/>
              </a:cxn>
              <a:cxn ang="0">
                <a:pos x="csX9089" y="csY9089"/>
              </a:cxn>
              <a:cxn ang="0">
                <a:pos x="csX9090" y="csY9090"/>
              </a:cxn>
              <a:cxn ang="0">
                <a:pos x="csX9091" y="csY9091"/>
              </a:cxn>
              <a:cxn ang="0">
                <a:pos x="csX9092" y="csY9092"/>
              </a:cxn>
              <a:cxn ang="0">
                <a:pos x="csX9093" y="csY9093"/>
              </a:cxn>
              <a:cxn ang="0">
                <a:pos x="csX9094" y="csY9094"/>
              </a:cxn>
              <a:cxn ang="0">
                <a:pos x="csX9095" y="csY9095"/>
              </a:cxn>
              <a:cxn ang="0">
                <a:pos x="csX9096" y="csY9096"/>
              </a:cxn>
              <a:cxn ang="0">
                <a:pos x="csX9097" y="csY9097"/>
              </a:cxn>
              <a:cxn ang="0">
                <a:pos x="csX9098" y="csY9098"/>
              </a:cxn>
              <a:cxn ang="0">
                <a:pos x="csX9099" y="csY9099"/>
              </a:cxn>
              <a:cxn ang="0">
                <a:pos x="csX9100" y="csY9100"/>
              </a:cxn>
              <a:cxn ang="0">
                <a:pos x="csX9101" y="csY9101"/>
              </a:cxn>
              <a:cxn ang="0">
                <a:pos x="csX9102" y="csY9102"/>
              </a:cxn>
              <a:cxn ang="0">
                <a:pos x="csX9103" y="csY9103"/>
              </a:cxn>
              <a:cxn ang="0">
                <a:pos x="csX9104" y="csY9104"/>
              </a:cxn>
              <a:cxn ang="0">
                <a:pos x="csX9105" y="csY9105"/>
              </a:cxn>
              <a:cxn ang="0">
                <a:pos x="csX9106" y="csY9106"/>
              </a:cxn>
              <a:cxn ang="0">
                <a:pos x="csX9107" y="csY9107"/>
              </a:cxn>
              <a:cxn ang="0">
                <a:pos x="csX9108" y="csY9108"/>
              </a:cxn>
              <a:cxn ang="0">
                <a:pos x="csX9109" y="csY9109"/>
              </a:cxn>
              <a:cxn ang="0">
                <a:pos x="csX9110" y="csY9110"/>
              </a:cxn>
              <a:cxn ang="0">
                <a:pos x="csX9111" y="csY9111"/>
              </a:cxn>
              <a:cxn ang="0">
                <a:pos x="csX9112" y="csY9112"/>
              </a:cxn>
              <a:cxn ang="0">
                <a:pos x="csX9113" y="csY9113"/>
              </a:cxn>
              <a:cxn ang="0">
                <a:pos x="csX9114" y="csY9114"/>
              </a:cxn>
              <a:cxn ang="0">
                <a:pos x="csX9115" y="csY9115"/>
              </a:cxn>
              <a:cxn ang="0">
                <a:pos x="csX9116" y="csY9116"/>
              </a:cxn>
              <a:cxn ang="0">
                <a:pos x="csX9117" y="csY9117"/>
              </a:cxn>
              <a:cxn ang="0">
                <a:pos x="csX9118" y="csY9118"/>
              </a:cxn>
              <a:cxn ang="0">
                <a:pos x="csX9119" y="csY9119"/>
              </a:cxn>
              <a:cxn ang="0">
                <a:pos x="csX9120" y="csY9120"/>
              </a:cxn>
              <a:cxn ang="0">
                <a:pos x="csX9121" y="csY9121"/>
              </a:cxn>
              <a:cxn ang="0">
                <a:pos x="csX9122" y="csY9122"/>
              </a:cxn>
              <a:cxn ang="0">
                <a:pos x="csX9123" y="csY9123"/>
              </a:cxn>
              <a:cxn ang="0">
                <a:pos x="csX9124" y="csY9124"/>
              </a:cxn>
              <a:cxn ang="0">
                <a:pos x="csX9125" y="csY9125"/>
              </a:cxn>
              <a:cxn ang="0">
                <a:pos x="csX9126" y="csY9126"/>
              </a:cxn>
              <a:cxn ang="0">
                <a:pos x="csX9127" y="csY9127"/>
              </a:cxn>
              <a:cxn ang="0">
                <a:pos x="csX9128" y="csY9128"/>
              </a:cxn>
              <a:cxn ang="0">
                <a:pos x="csX9129" y="csY9129"/>
              </a:cxn>
              <a:cxn ang="0">
                <a:pos x="csX9130" y="csY9130"/>
              </a:cxn>
              <a:cxn ang="0">
                <a:pos x="csX9131" y="csY9131"/>
              </a:cxn>
              <a:cxn ang="0">
                <a:pos x="csX9132" y="csY9132"/>
              </a:cxn>
              <a:cxn ang="0">
                <a:pos x="csX9133" y="csY9133"/>
              </a:cxn>
              <a:cxn ang="0">
                <a:pos x="csX9134" y="csY9134"/>
              </a:cxn>
              <a:cxn ang="0">
                <a:pos x="csX9135" y="csY9135"/>
              </a:cxn>
              <a:cxn ang="0">
                <a:pos x="csX9136" y="csY9136"/>
              </a:cxn>
              <a:cxn ang="0">
                <a:pos x="csX9137" y="csY9137"/>
              </a:cxn>
              <a:cxn ang="0">
                <a:pos x="csX9138" y="csY9138"/>
              </a:cxn>
              <a:cxn ang="0">
                <a:pos x="csX9139" y="csY9139"/>
              </a:cxn>
              <a:cxn ang="0">
                <a:pos x="csX9140" y="csY9140"/>
              </a:cxn>
              <a:cxn ang="0">
                <a:pos x="csX9141" y="csY9141"/>
              </a:cxn>
              <a:cxn ang="0">
                <a:pos x="csX9142" y="csY9142"/>
              </a:cxn>
              <a:cxn ang="0">
                <a:pos x="csX9143" y="csY9143"/>
              </a:cxn>
              <a:cxn ang="0">
                <a:pos x="csX9144" y="csY9144"/>
              </a:cxn>
              <a:cxn ang="0">
                <a:pos x="csX9145" y="csY9145"/>
              </a:cxn>
              <a:cxn ang="0">
                <a:pos x="csX9146" y="csY9146"/>
              </a:cxn>
              <a:cxn ang="0">
                <a:pos x="csX9147" y="csY9147"/>
              </a:cxn>
              <a:cxn ang="0">
                <a:pos x="csX9148" y="csY9148"/>
              </a:cxn>
              <a:cxn ang="0">
                <a:pos x="csX9149" y="csY9149"/>
              </a:cxn>
              <a:cxn ang="0">
                <a:pos x="csX9150" y="csY9150"/>
              </a:cxn>
              <a:cxn ang="0">
                <a:pos x="csX9151" y="csY9151"/>
              </a:cxn>
              <a:cxn ang="0">
                <a:pos x="csX9152" y="csY9152"/>
              </a:cxn>
              <a:cxn ang="0">
                <a:pos x="csX9153" y="csY9153"/>
              </a:cxn>
              <a:cxn ang="0">
                <a:pos x="csX9154" y="csY9154"/>
              </a:cxn>
              <a:cxn ang="0">
                <a:pos x="csX9155" y="csY9155"/>
              </a:cxn>
              <a:cxn ang="0">
                <a:pos x="csX9156" y="csY9156"/>
              </a:cxn>
              <a:cxn ang="0">
                <a:pos x="csX9157" y="csY9157"/>
              </a:cxn>
              <a:cxn ang="0">
                <a:pos x="csX9158" y="csY9158"/>
              </a:cxn>
              <a:cxn ang="0">
                <a:pos x="csX9159" y="csY9159"/>
              </a:cxn>
              <a:cxn ang="0">
                <a:pos x="csX9160" y="csY9160"/>
              </a:cxn>
              <a:cxn ang="0">
                <a:pos x="csX9161" y="csY9161"/>
              </a:cxn>
              <a:cxn ang="0">
                <a:pos x="csX9162" y="csY9162"/>
              </a:cxn>
              <a:cxn ang="0">
                <a:pos x="csX9163" y="csY9163"/>
              </a:cxn>
              <a:cxn ang="0">
                <a:pos x="csX9164" y="csY9164"/>
              </a:cxn>
              <a:cxn ang="0">
                <a:pos x="csX9165" y="csY9165"/>
              </a:cxn>
              <a:cxn ang="0">
                <a:pos x="csX9166" y="csY9166"/>
              </a:cxn>
              <a:cxn ang="0">
                <a:pos x="csX9167" y="csY9167"/>
              </a:cxn>
              <a:cxn ang="0">
                <a:pos x="csX9168" y="csY9168"/>
              </a:cxn>
              <a:cxn ang="0">
                <a:pos x="csX9169" y="csY9169"/>
              </a:cxn>
              <a:cxn ang="0">
                <a:pos x="csX9170" y="csY9170"/>
              </a:cxn>
              <a:cxn ang="0">
                <a:pos x="csX9171" y="csY9171"/>
              </a:cxn>
              <a:cxn ang="0">
                <a:pos x="csX9172" y="csY9172"/>
              </a:cxn>
              <a:cxn ang="0">
                <a:pos x="csX9173" y="csY9173"/>
              </a:cxn>
              <a:cxn ang="0">
                <a:pos x="csX9174" y="csY9174"/>
              </a:cxn>
              <a:cxn ang="0">
                <a:pos x="csX9175" y="csY9175"/>
              </a:cxn>
              <a:cxn ang="0">
                <a:pos x="csX9176" y="csY9176"/>
              </a:cxn>
              <a:cxn ang="0">
                <a:pos x="csX9177" y="csY9177"/>
              </a:cxn>
              <a:cxn ang="0">
                <a:pos x="csX9178" y="csY9178"/>
              </a:cxn>
              <a:cxn ang="0">
                <a:pos x="csX9179" y="csY9179"/>
              </a:cxn>
              <a:cxn ang="0">
                <a:pos x="csX9180" y="csY9180"/>
              </a:cxn>
              <a:cxn ang="0">
                <a:pos x="csX9181" y="csY9181"/>
              </a:cxn>
              <a:cxn ang="0">
                <a:pos x="csX9182" y="csY9182"/>
              </a:cxn>
              <a:cxn ang="0">
                <a:pos x="csX9183" y="csY9183"/>
              </a:cxn>
              <a:cxn ang="0">
                <a:pos x="csX9184" y="csY9184"/>
              </a:cxn>
              <a:cxn ang="0">
                <a:pos x="csX9185" y="csY9185"/>
              </a:cxn>
              <a:cxn ang="0">
                <a:pos x="csX9186" y="csY9186"/>
              </a:cxn>
              <a:cxn ang="0">
                <a:pos x="csX9187" y="csY9187"/>
              </a:cxn>
              <a:cxn ang="0">
                <a:pos x="csX9188" y="csY9188"/>
              </a:cxn>
              <a:cxn ang="0">
                <a:pos x="csX9189" y="csY9189"/>
              </a:cxn>
              <a:cxn ang="0">
                <a:pos x="csX9190" y="csY9190"/>
              </a:cxn>
              <a:cxn ang="0">
                <a:pos x="csX9191" y="csY9191"/>
              </a:cxn>
              <a:cxn ang="0">
                <a:pos x="csX9192" y="csY9192"/>
              </a:cxn>
              <a:cxn ang="0">
                <a:pos x="csX9193" y="csY9193"/>
              </a:cxn>
              <a:cxn ang="0">
                <a:pos x="csX9194" y="csY9194"/>
              </a:cxn>
              <a:cxn ang="0">
                <a:pos x="csX9195" y="csY9195"/>
              </a:cxn>
              <a:cxn ang="0">
                <a:pos x="csX9196" y="csY9196"/>
              </a:cxn>
              <a:cxn ang="0">
                <a:pos x="csX9197" y="csY9197"/>
              </a:cxn>
              <a:cxn ang="0">
                <a:pos x="csX9198" y="csY9198"/>
              </a:cxn>
              <a:cxn ang="0">
                <a:pos x="csX9199" y="csY9199"/>
              </a:cxn>
              <a:cxn ang="0">
                <a:pos x="csX9200" y="csY9200"/>
              </a:cxn>
              <a:cxn ang="0">
                <a:pos x="csX9201" y="csY9201"/>
              </a:cxn>
              <a:cxn ang="0">
                <a:pos x="csX9202" y="csY9202"/>
              </a:cxn>
              <a:cxn ang="0">
                <a:pos x="csX9203" y="csY9203"/>
              </a:cxn>
              <a:cxn ang="0">
                <a:pos x="csX9204" y="csY9204"/>
              </a:cxn>
              <a:cxn ang="0">
                <a:pos x="csX9205" y="csY9205"/>
              </a:cxn>
              <a:cxn ang="0">
                <a:pos x="csX9206" y="csY9206"/>
              </a:cxn>
              <a:cxn ang="0">
                <a:pos x="csX9207" y="csY9207"/>
              </a:cxn>
              <a:cxn ang="0">
                <a:pos x="csX9208" y="csY9208"/>
              </a:cxn>
              <a:cxn ang="0">
                <a:pos x="csX9209" y="csY9209"/>
              </a:cxn>
              <a:cxn ang="0">
                <a:pos x="csX9210" y="csY9210"/>
              </a:cxn>
              <a:cxn ang="0">
                <a:pos x="csX9211" y="csY9211"/>
              </a:cxn>
              <a:cxn ang="0">
                <a:pos x="csX9212" y="csY9212"/>
              </a:cxn>
              <a:cxn ang="0">
                <a:pos x="csX9213" y="csY9213"/>
              </a:cxn>
              <a:cxn ang="0">
                <a:pos x="csX9214" y="csY9214"/>
              </a:cxn>
              <a:cxn ang="0">
                <a:pos x="csX9215" y="csY9215"/>
              </a:cxn>
              <a:cxn ang="0">
                <a:pos x="csX9216" y="csY9216"/>
              </a:cxn>
              <a:cxn ang="0">
                <a:pos x="csX9217" y="csY9217"/>
              </a:cxn>
              <a:cxn ang="0">
                <a:pos x="csX9218" y="csY9218"/>
              </a:cxn>
              <a:cxn ang="0">
                <a:pos x="csX9219" y="csY9219"/>
              </a:cxn>
              <a:cxn ang="0">
                <a:pos x="csX9220" y="csY9220"/>
              </a:cxn>
              <a:cxn ang="0">
                <a:pos x="csX9221" y="csY9221"/>
              </a:cxn>
              <a:cxn ang="0">
                <a:pos x="csX9222" y="csY9222"/>
              </a:cxn>
              <a:cxn ang="0">
                <a:pos x="csX9223" y="csY9223"/>
              </a:cxn>
              <a:cxn ang="0">
                <a:pos x="csX9224" y="csY9224"/>
              </a:cxn>
              <a:cxn ang="0">
                <a:pos x="csX9225" y="csY9225"/>
              </a:cxn>
              <a:cxn ang="0">
                <a:pos x="csX9226" y="csY9226"/>
              </a:cxn>
              <a:cxn ang="0">
                <a:pos x="csX9227" y="csY9227"/>
              </a:cxn>
              <a:cxn ang="0">
                <a:pos x="csX9228" y="csY9228"/>
              </a:cxn>
              <a:cxn ang="0">
                <a:pos x="csX9229" y="csY9229"/>
              </a:cxn>
              <a:cxn ang="0">
                <a:pos x="csX9230" y="csY9230"/>
              </a:cxn>
              <a:cxn ang="0">
                <a:pos x="csX9231" y="csY9231"/>
              </a:cxn>
              <a:cxn ang="0">
                <a:pos x="csX9232" y="csY9232"/>
              </a:cxn>
              <a:cxn ang="0">
                <a:pos x="csX9233" y="csY9233"/>
              </a:cxn>
              <a:cxn ang="0">
                <a:pos x="csX9234" y="csY9234"/>
              </a:cxn>
              <a:cxn ang="0">
                <a:pos x="csX9235" y="csY9235"/>
              </a:cxn>
              <a:cxn ang="0">
                <a:pos x="csX9236" y="csY9236"/>
              </a:cxn>
              <a:cxn ang="0">
                <a:pos x="csX9237" y="csY9237"/>
              </a:cxn>
              <a:cxn ang="0">
                <a:pos x="csX9238" y="csY9238"/>
              </a:cxn>
              <a:cxn ang="0">
                <a:pos x="csX9239" y="csY9239"/>
              </a:cxn>
              <a:cxn ang="0">
                <a:pos x="csX9240" y="csY9240"/>
              </a:cxn>
              <a:cxn ang="0">
                <a:pos x="csX9241" y="csY9241"/>
              </a:cxn>
              <a:cxn ang="0">
                <a:pos x="csX9242" y="csY9242"/>
              </a:cxn>
              <a:cxn ang="0">
                <a:pos x="csX9243" y="csY9243"/>
              </a:cxn>
              <a:cxn ang="0">
                <a:pos x="csX9244" y="csY9244"/>
              </a:cxn>
              <a:cxn ang="0">
                <a:pos x="csX9245" y="csY9245"/>
              </a:cxn>
              <a:cxn ang="0">
                <a:pos x="csX9246" y="csY9246"/>
              </a:cxn>
              <a:cxn ang="0">
                <a:pos x="csX9247" y="csY9247"/>
              </a:cxn>
              <a:cxn ang="0">
                <a:pos x="csX9248" y="csY9248"/>
              </a:cxn>
              <a:cxn ang="0">
                <a:pos x="csX9249" y="csY9249"/>
              </a:cxn>
              <a:cxn ang="0">
                <a:pos x="csX9250" y="csY9250"/>
              </a:cxn>
              <a:cxn ang="0">
                <a:pos x="csX9251" y="csY9251"/>
              </a:cxn>
              <a:cxn ang="0">
                <a:pos x="csX9252" y="csY9252"/>
              </a:cxn>
              <a:cxn ang="0">
                <a:pos x="csX9253" y="csY9253"/>
              </a:cxn>
              <a:cxn ang="0">
                <a:pos x="csX9254" y="csY9254"/>
              </a:cxn>
              <a:cxn ang="0">
                <a:pos x="csX9255" y="csY9255"/>
              </a:cxn>
              <a:cxn ang="0">
                <a:pos x="csX9256" y="csY9256"/>
              </a:cxn>
              <a:cxn ang="0">
                <a:pos x="csX9257" y="csY9257"/>
              </a:cxn>
              <a:cxn ang="0">
                <a:pos x="csX9258" y="csY9258"/>
              </a:cxn>
              <a:cxn ang="0">
                <a:pos x="csX9259" y="csY9259"/>
              </a:cxn>
              <a:cxn ang="0">
                <a:pos x="csX9260" y="csY9260"/>
              </a:cxn>
              <a:cxn ang="0">
                <a:pos x="csX9261" y="csY9261"/>
              </a:cxn>
              <a:cxn ang="0">
                <a:pos x="csX9262" y="csY9262"/>
              </a:cxn>
              <a:cxn ang="0">
                <a:pos x="csX9263" y="csY9263"/>
              </a:cxn>
              <a:cxn ang="0">
                <a:pos x="csX9264" y="csY9264"/>
              </a:cxn>
              <a:cxn ang="0">
                <a:pos x="csX9265" y="csY9265"/>
              </a:cxn>
              <a:cxn ang="0">
                <a:pos x="csX9266" y="csY9266"/>
              </a:cxn>
              <a:cxn ang="0">
                <a:pos x="csX9267" y="csY9267"/>
              </a:cxn>
              <a:cxn ang="0">
                <a:pos x="csX9268" y="csY9268"/>
              </a:cxn>
              <a:cxn ang="0">
                <a:pos x="csX9269" y="csY9269"/>
              </a:cxn>
              <a:cxn ang="0">
                <a:pos x="csX9270" y="csY9270"/>
              </a:cxn>
              <a:cxn ang="0">
                <a:pos x="csX9271" y="csY9271"/>
              </a:cxn>
              <a:cxn ang="0">
                <a:pos x="csX9272" y="csY9272"/>
              </a:cxn>
              <a:cxn ang="0">
                <a:pos x="csX9273" y="csY9273"/>
              </a:cxn>
              <a:cxn ang="0">
                <a:pos x="csX9274" y="csY9274"/>
              </a:cxn>
              <a:cxn ang="0">
                <a:pos x="csX9275" y="csY9275"/>
              </a:cxn>
              <a:cxn ang="0">
                <a:pos x="csX9276" y="csY9276"/>
              </a:cxn>
              <a:cxn ang="0">
                <a:pos x="csX9277" y="csY9277"/>
              </a:cxn>
              <a:cxn ang="0">
                <a:pos x="csX9278" y="csY9278"/>
              </a:cxn>
              <a:cxn ang="0">
                <a:pos x="csX9279" y="csY9279"/>
              </a:cxn>
              <a:cxn ang="0">
                <a:pos x="csX9280" y="csY9280"/>
              </a:cxn>
              <a:cxn ang="0">
                <a:pos x="csX9281" y="csY9281"/>
              </a:cxn>
              <a:cxn ang="0">
                <a:pos x="csX9282" y="csY9282"/>
              </a:cxn>
              <a:cxn ang="0">
                <a:pos x="csX9283" y="csY9283"/>
              </a:cxn>
              <a:cxn ang="0">
                <a:pos x="csX9284" y="csY9284"/>
              </a:cxn>
              <a:cxn ang="0">
                <a:pos x="csX9285" y="csY9285"/>
              </a:cxn>
              <a:cxn ang="0">
                <a:pos x="csX9286" y="csY9286"/>
              </a:cxn>
              <a:cxn ang="0">
                <a:pos x="csX9287" y="csY9287"/>
              </a:cxn>
              <a:cxn ang="0">
                <a:pos x="csX9288" y="csY9288"/>
              </a:cxn>
              <a:cxn ang="0">
                <a:pos x="csX9289" y="csY9289"/>
              </a:cxn>
              <a:cxn ang="0">
                <a:pos x="csX9290" y="csY9290"/>
              </a:cxn>
              <a:cxn ang="0">
                <a:pos x="csX9291" y="csY9291"/>
              </a:cxn>
              <a:cxn ang="0">
                <a:pos x="csX9292" y="csY9292"/>
              </a:cxn>
              <a:cxn ang="0">
                <a:pos x="csX9293" y="csY9293"/>
              </a:cxn>
              <a:cxn ang="0">
                <a:pos x="csX9294" y="csY9294"/>
              </a:cxn>
              <a:cxn ang="0">
                <a:pos x="csX9295" y="csY9295"/>
              </a:cxn>
              <a:cxn ang="0">
                <a:pos x="csX9296" y="csY9296"/>
              </a:cxn>
              <a:cxn ang="0">
                <a:pos x="csX9297" y="csY9297"/>
              </a:cxn>
              <a:cxn ang="0">
                <a:pos x="csX9298" y="csY9298"/>
              </a:cxn>
              <a:cxn ang="0">
                <a:pos x="csX9299" y="csY9299"/>
              </a:cxn>
              <a:cxn ang="0">
                <a:pos x="csX9300" y="csY9300"/>
              </a:cxn>
              <a:cxn ang="0">
                <a:pos x="csX9301" y="csY9301"/>
              </a:cxn>
              <a:cxn ang="0">
                <a:pos x="csX9302" y="csY9302"/>
              </a:cxn>
              <a:cxn ang="0">
                <a:pos x="csX9303" y="csY9303"/>
              </a:cxn>
              <a:cxn ang="0">
                <a:pos x="csX9304" y="csY9304"/>
              </a:cxn>
              <a:cxn ang="0">
                <a:pos x="csX9305" y="csY9305"/>
              </a:cxn>
              <a:cxn ang="0">
                <a:pos x="csX9306" y="csY9306"/>
              </a:cxn>
              <a:cxn ang="0">
                <a:pos x="csX9307" y="csY9307"/>
              </a:cxn>
              <a:cxn ang="0">
                <a:pos x="csX9308" y="csY9308"/>
              </a:cxn>
              <a:cxn ang="0">
                <a:pos x="csX9309" y="csY9309"/>
              </a:cxn>
              <a:cxn ang="0">
                <a:pos x="csX9310" y="csY9310"/>
              </a:cxn>
              <a:cxn ang="0">
                <a:pos x="csX9311" y="csY9311"/>
              </a:cxn>
              <a:cxn ang="0">
                <a:pos x="csX9312" y="csY9312"/>
              </a:cxn>
              <a:cxn ang="0">
                <a:pos x="csX9313" y="csY9313"/>
              </a:cxn>
              <a:cxn ang="0">
                <a:pos x="csX9314" y="csY9314"/>
              </a:cxn>
              <a:cxn ang="0">
                <a:pos x="csX9315" y="csY9315"/>
              </a:cxn>
              <a:cxn ang="0">
                <a:pos x="csX9316" y="csY9316"/>
              </a:cxn>
              <a:cxn ang="0">
                <a:pos x="csX9317" y="csY9317"/>
              </a:cxn>
              <a:cxn ang="0">
                <a:pos x="csX9318" y="csY9318"/>
              </a:cxn>
              <a:cxn ang="0">
                <a:pos x="csX9319" y="csY9319"/>
              </a:cxn>
              <a:cxn ang="0">
                <a:pos x="csX9320" y="csY9320"/>
              </a:cxn>
              <a:cxn ang="0">
                <a:pos x="csX9321" y="csY9321"/>
              </a:cxn>
              <a:cxn ang="0">
                <a:pos x="csX9322" y="csY9322"/>
              </a:cxn>
              <a:cxn ang="0">
                <a:pos x="csX9323" y="csY9323"/>
              </a:cxn>
              <a:cxn ang="0">
                <a:pos x="csX9324" y="csY9324"/>
              </a:cxn>
              <a:cxn ang="0">
                <a:pos x="csX9325" y="csY9325"/>
              </a:cxn>
              <a:cxn ang="0">
                <a:pos x="csX9326" y="csY9326"/>
              </a:cxn>
              <a:cxn ang="0">
                <a:pos x="csX9327" y="csY9327"/>
              </a:cxn>
              <a:cxn ang="0">
                <a:pos x="csX9328" y="csY9328"/>
              </a:cxn>
              <a:cxn ang="0">
                <a:pos x="csX9329" y="csY9329"/>
              </a:cxn>
              <a:cxn ang="0">
                <a:pos x="csX9330" y="csY9330"/>
              </a:cxn>
              <a:cxn ang="0">
                <a:pos x="csX9331" y="csY9331"/>
              </a:cxn>
              <a:cxn ang="0">
                <a:pos x="csX9332" y="csY9332"/>
              </a:cxn>
              <a:cxn ang="0">
                <a:pos x="csX9333" y="csY9333"/>
              </a:cxn>
              <a:cxn ang="0">
                <a:pos x="csX9334" y="csY9334"/>
              </a:cxn>
              <a:cxn ang="0">
                <a:pos x="csX9335" y="csY9335"/>
              </a:cxn>
              <a:cxn ang="0">
                <a:pos x="csX9336" y="csY9336"/>
              </a:cxn>
              <a:cxn ang="0">
                <a:pos x="csX9337" y="csY9337"/>
              </a:cxn>
              <a:cxn ang="0">
                <a:pos x="csX9338" y="csY9338"/>
              </a:cxn>
              <a:cxn ang="0">
                <a:pos x="csX9339" y="csY9339"/>
              </a:cxn>
              <a:cxn ang="0">
                <a:pos x="csX9340" y="csY9340"/>
              </a:cxn>
              <a:cxn ang="0">
                <a:pos x="csX9341" y="csY9341"/>
              </a:cxn>
              <a:cxn ang="0">
                <a:pos x="csX9342" y="csY9342"/>
              </a:cxn>
              <a:cxn ang="0">
                <a:pos x="csX9343" y="csY9343"/>
              </a:cxn>
              <a:cxn ang="0">
                <a:pos x="csX9344" y="csY9344"/>
              </a:cxn>
              <a:cxn ang="0">
                <a:pos x="csX9345" y="csY9345"/>
              </a:cxn>
              <a:cxn ang="0">
                <a:pos x="csX9346" y="csY9346"/>
              </a:cxn>
              <a:cxn ang="0">
                <a:pos x="csX9347" y="csY9347"/>
              </a:cxn>
              <a:cxn ang="0">
                <a:pos x="csX9348" y="csY9348"/>
              </a:cxn>
              <a:cxn ang="0">
                <a:pos x="csX9349" y="csY9349"/>
              </a:cxn>
              <a:cxn ang="0">
                <a:pos x="csX9350" y="csY9350"/>
              </a:cxn>
              <a:cxn ang="0">
                <a:pos x="csX9351" y="csY9351"/>
              </a:cxn>
              <a:cxn ang="0">
                <a:pos x="csX9352" y="csY9352"/>
              </a:cxn>
              <a:cxn ang="0">
                <a:pos x="csX9353" y="csY9353"/>
              </a:cxn>
              <a:cxn ang="0">
                <a:pos x="csX9354" y="csY9354"/>
              </a:cxn>
              <a:cxn ang="0">
                <a:pos x="csX9355" y="csY9355"/>
              </a:cxn>
              <a:cxn ang="0">
                <a:pos x="csX9356" y="csY9356"/>
              </a:cxn>
              <a:cxn ang="0">
                <a:pos x="csX9357" y="csY9357"/>
              </a:cxn>
              <a:cxn ang="0">
                <a:pos x="csX9358" y="csY9358"/>
              </a:cxn>
              <a:cxn ang="0">
                <a:pos x="csX9359" y="csY9359"/>
              </a:cxn>
              <a:cxn ang="0">
                <a:pos x="csX9360" y="csY9360"/>
              </a:cxn>
              <a:cxn ang="0">
                <a:pos x="csX9361" y="csY9361"/>
              </a:cxn>
              <a:cxn ang="0">
                <a:pos x="csX9362" y="csY9362"/>
              </a:cxn>
              <a:cxn ang="0">
                <a:pos x="csX9363" y="csY9363"/>
              </a:cxn>
              <a:cxn ang="0">
                <a:pos x="csX9364" y="csY9364"/>
              </a:cxn>
              <a:cxn ang="0">
                <a:pos x="csX9365" y="csY9365"/>
              </a:cxn>
              <a:cxn ang="0">
                <a:pos x="csX9366" y="csY9366"/>
              </a:cxn>
              <a:cxn ang="0">
                <a:pos x="csX9367" y="csY9367"/>
              </a:cxn>
              <a:cxn ang="0">
                <a:pos x="csX9368" y="csY9368"/>
              </a:cxn>
              <a:cxn ang="0">
                <a:pos x="csX9369" y="csY9369"/>
              </a:cxn>
              <a:cxn ang="0">
                <a:pos x="csX9370" y="csY9370"/>
              </a:cxn>
              <a:cxn ang="0">
                <a:pos x="csX9371" y="csY9371"/>
              </a:cxn>
              <a:cxn ang="0">
                <a:pos x="csX9372" y="csY9372"/>
              </a:cxn>
              <a:cxn ang="0">
                <a:pos x="csX9373" y="csY9373"/>
              </a:cxn>
              <a:cxn ang="0">
                <a:pos x="csX9374" y="csY9374"/>
              </a:cxn>
              <a:cxn ang="0">
                <a:pos x="csX9375" y="csY9375"/>
              </a:cxn>
              <a:cxn ang="0">
                <a:pos x="csX9376" y="csY9376"/>
              </a:cxn>
              <a:cxn ang="0">
                <a:pos x="csX9377" y="csY9377"/>
              </a:cxn>
              <a:cxn ang="0">
                <a:pos x="csX9378" y="csY9378"/>
              </a:cxn>
              <a:cxn ang="0">
                <a:pos x="csX9379" y="csY9379"/>
              </a:cxn>
              <a:cxn ang="0">
                <a:pos x="csX9380" y="csY9380"/>
              </a:cxn>
              <a:cxn ang="0">
                <a:pos x="csX9381" y="csY9381"/>
              </a:cxn>
              <a:cxn ang="0">
                <a:pos x="csX9382" y="csY9382"/>
              </a:cxn>
              <a:cxn ang="0">
                <a:pos x="csX9383" y="csY9383"/>
              </a:cxn>
              <a:cxn ang="0">
                <a:pos x="csX9384" y="csY9384"/>
              </a:cxn>
              <a:cxn ang="0">
                <a:pos x="csX9385" y="csY9385"/>
              </a:cxn>
              <a:cxn ang="0">
                <a:pos x="csX9386" y="csY9386"/>
              </a:cxn>
              <a:cxn ang="0">
                <a:pos x="csX9387" y="csY9387"/>
              </a:cxn>
              <a:cxn ang="0">
                <a:pos x="csX9388" y="csY9388"/>
              </a:cxn>
              <a:cxn ang="0">
                <a:pos x="csX9389" y="csY9389"/>
              </a:cxn>
              <a:cxn ang="0">
                <a:pos x="csX9390" y="csY9390"/>
              </a:cxn>
              <a:cxn ang="0">
                <a:pos x="csX9391" y="csY9391"/>
              </a:cxn>
              <a:cxn ang="0">
                <a:pos x="csX9392" y="csY9392"/>
              </a:cxn>
              <a:cxn ang="0">
                <a:pos x="csX9393" y="csY9393"/>
              </a:cxn>
              <a:cxn ang="0">
                <a:pos x="csX9394" y="csY9394"/>
              </a:cxn>
              <a:cxn ang="0">
                <a:pos x="csX9395" y="csY9395"/>
              </a:cxn>
              <a:cxn ang="0">
                <a:pos x="csX9396" y="csY9396"/>
              </a:cxn>
              <a:cxn ang="0">
                <a:pos x="csX9397" y="csY9397"/>
              </a:cxn>
              <a:cxn ang="0">
                <a:pos x="csX9398" y="csY9398"/>
              </a:cxn>
              <a:cxn ang="0">
                <a:pos x="csX9399" y="csY9399"/>
              </a:cxn>
              <a:cxn ang="0">
                <a:pos x="csX9400" y="csY9400"/>
              </a:cxn>
              <a:cxn ang="0">
                <a:pos x="csX9401" y="csY9401"/>
              </a:cxn>
              <a:cxn ang="0">
                <a:pos x="csX9402" y="csY9402"/>
              </a:cxn>
              <a:cxn ang="0">
                <a:pos x="csX9403" y="csY9403"/>
              </a:cxn>
              <a:cxn ang="0">
                <a:pos x="csX9404" y="csY9404"/>
              </a:cxn>
              <a:cxn ang="0">
                <a:pos x="csX9405" y="csY9405"/>
              </a:cxn>
              <a:cxn ang="0">
                <a:pos x="csX9406" y="csY9406"/>
              </a:cxn>
              <a:cxn ang="0">
                <a:pos x="csX9407" y="csY9407"/>
              </a:cxn>
              <a:cxn ang="0">
                <a:pos x="csX9408" y="csY9408"/>
              </a:cxn>
              <a:cxn ang="0">
                <a:pos x="csX9409" y="csY9409"/>
              </a:cxn>
              <a:cxn ang="0">
                <a:pos x="csX9410" y="csY9410"/>
              </a:cxn>
              <a:cxn ang="0">
                <a:pos x="csX9411" y="csY9411"/>
              </a:cxn>
              <a:cxn ang="0">
                <a:pos x="csX9412" y="csY9412"/>
              </a:cxn>
              <a:cxn ang="0">
                <a:pos x="csX9413" y="csY9413"/>
              </a:cxn>
              <a:cxn ang="0">
                <a:pos x="csX9414" y="csY9414"/>
              </a:cxn>
              <a:cxn ang="0">
                <a:pos x="csX9415" y="csY9415"/>
              </a:cxn>
              <a:cxn ang="0">
                <a:pos x="csX9416" y="csY9416"/>
              </a:cxn>
              <a:cxn ang="0">
                <a:pos x="csX9417" y="csY9417"/>
              </a:cxn>
              <a:cxn ang="0">
                <a:pos x="csX9418" y="csY9418"/>
              </a:cxn>
              <a:cxn ang="0">
                <a:pos x="csX9419" y="csY9419"/>
              </a:cxn>
              <a:cxn ang="0">
                <a:pos x="csX9420" y="csY9420"/>
              </a:cxn>
              <a:cxn ang="0">
                <a:pos x="csX9421" y="csY9421"/>
              </a:cxn>
              <a:cxn ang="0">
                <a:pos x="csX9422" y="csY9422"/>
              </a:cxn>
              <a:cxn ang="0">
                <a:pos x="csX9423" y="csY9423"/>
              </a:cxn>
              <a:cxn ang="0">
                <a:pos x="csX9424" y="csY9424"/>
              </a:cxn>
              <a:cxn ang="0">
                <a:pos x="csX9425" y="csY9425"/>
              </a:cxn>
              <a:cxn ang="0">
                <a:pos x="csX9426" y="csY9426"/>
              </a:cxn>
              <a:cxn ang="0">
                <a:pos x="csX9427" y="csY9427"/>
              </a:cxn>
              <a:cxn ang="0">
                <a:pos x="csX9428" y="csY9428"/>
              </a:cxn>
              <a:cxn ang="0">
                <a:pos x="csX9429" y="csY9429"/>
              </a:cxn>
              <a:cxn ang="0">
                <a:pos x="csX9430" y="csY9430"/>
              </a:cxn>
              <a:cxn ang="0">
                <a:pos x="csX9431" y="csY9431"/>
              </a:cxn>
              <a:cxn ang="0">
                <a:pos x="csX9432" y="csY9432"/>
              </a:cxn>
              <a:cxn ang="0">
                <a:pos x="csX9433" y="csY9433"/>
              </a:cxn>
              <a:cxn ang="0">
                <a:pos x="csX9434" y="csY9434"/>
              </a:cxn>
              <a:cxn ang="0">
                <a:pos x="csX9435" y="csY9435"/>
              </a:cxn>
              <a:cxn ang="0">
                <a:pos x="csX9436" y="csY9436"/>
              </a:cxn>
              <a:cxn ang="0">
                <a:pos x="csX9437" y="csY9437"/>
              </a:cxn>
              <a:cxn ang="0">
                <a:pos x="csX9438" y="csY9438"/>
              </a:cxn>
              <a:cxn ang="0">
                <a:pos x="csX9439" y="csY9439"/>
              </a:cxn>
              <a:cxn ang="0">
                <a:pos x="csX9440" y="csY9440"/>
              </a:cxn>
              <a:cxn ang="0">
                <a:pos x="csX9441" y="csY9441"/>
              </a:cxn>
              <a:cxn ang="0">
                <a:pos x="csX9442" y="csY9442"/>
              </a:cxn>
              <a:cxn ang="0">
                <a:pos x="csX9443" y="csY9443"/>
              </a:cxn>
              <a:cxn ang="0">
                <a:pos x="csX9444" y="csY9444"/>
              </a:cxn>
              <a:cxn ang="0">
                <a:pos x="csX9445" y="csY9445"/>
              </a:cxn>
              <a:cxn ang="0">
                <a:pos x="csX9446" y="csY9446"/>
              </a:cxn>
              <a:cxn ang="0">
                <a:pos x="csX9447" y="csY9447"/>
              </a:cxn>
              <a:cxn ang="0">
                <a:pos x="csX9448" y="csY9448"/>
              </a:cxn>
              <a:cxn ang="0">
                <a:pos x="csX9449" y="csY9449"/>
              </a:cxn>
              <a:cxn ang="0">
                <a:pos x="csX9450" y="csY9450"/>
              </a:cxn>
              <a:cxn ang="0">
                <a:pos x="csX9451" y="csY9451"/>
              </a:cxn>
              <a:cxn ang="0">
                <a:pos x="csX9452" y="csY9452"/>
              </a:cxn>
              <a:cxn ang="0">
                <a:pos x="csX9453" y="csY9453"/>
              </a:cxn>
              <a:cxn ang="0">
                <a:pos x="csX9454" y="csY9454"/>
              </a:cxn>
              <a:cxn ang="0">
                <a:pos x="csX9455" y="csY9455"/>
              </a:cxn>
              <a:cxn ang="0">
                <a:pos x="csX9456" y="csY9456"/>
              </a:cxn>
              <a:cxn ang="0">
                <a:pos x="csX9457" y="csY9457"/>
              </a:cxn>
              <a:cxn ang="0">
                <a:pos x="csX9458" y="csY9458"/>
              </a:cxn>
              <a:cxn ang="0">
                <a:pos x="csX9459" y="csY9459"/>
              </a:cxn>
              <a:cxn ang="0">
                <a:pos x="csX9460" y="csY9460"/>
              </a:cxn>
              <a:cxn ang="0">
                <a:pos x="csX9461" y="csY9461"/>
              </a:cxn>
              <a:cxn ang="0">
                <a:pos x="csX9462" y="csY9462"/>
              </a:cxn>
              <a:cxn ang="0">
                <a:pos x="csX9463" y="csY9463"/>
              </a:cxn>
              <a:cxn ang="0">
                <a:pos x="csX9464" y="csY9464"/>
              </a:cxn>
              <a:cxn ang="0">
                <a:pos x="csX9465" y="csY9465"/>
              </a:cxn>
              <a:cxn ang="0">
                <a:pos x="csX9466" y="csY9466"/>
              </a:cxn>
              <a:cxn ang="0">
                <a:pos x="csX9467" y="csY9467"/>
              </a:cxn>
              <a:cxn ang="0">
                <a:pos x="csX9468" y="csY9468"/>
              </a:cxn>
              <a:cxn ang="0">
                <a:pos x="csX9469" y="csY9469"/>
              </a:cxn>
              <a:cxn ang="0">
                <a:pos x="csX9470" y="csY9470"/>
              </a:cxn>
              <a:cxn ang="0">
                <a:pos x="csX9471" y="csY9471"/>
              </a:cxn>
              <a:cxn ang="0">
                <a:pos x="csX9472" y="csY9472"/>
              </a:cxn>
              <a:cxn ang="0">
                <a:pos x="csX9473" y="csY9473"/>
              </a:cxn>
              <a:cxn ang="0">
                <a:pos x="csX9474" y="csY9474"/>
              </a:cxn>
              <a:cxn ang="0">
                <a:pos x="csX9475" y="csY9475"/>
              </a:cxn>
              <a:cxn ang="0">
                <a:pos x="csX9476" y="csY9476"/>
              </a:cxn>
              <a:cxn ang="0">
                <a:pos x="csX9477" y="csY9477"/>
              </a:cxn>
              <a:cxn ang="0">
                <a:pos x="csX9478" y="csY9478"/>
              </a:cxn>
              <a:cxn ang="0">
                <a:pos x="csX9479" y="csY9479"/>
              </a:cxn>
              <a:cxn ang="0">
                <a:pos x="csX9480" y="csY9480"/>
              </a:cxn>
              <a:cxn ang="0">
                <a:pos x="csX9481" y="csY9481"/>
              </a:cxn>
              <a:cxn ang="0">
                <a:pos x="csX9482" y="csY9482"/>
              </a:cxn>
              <a:cxn ang="0">
                <a:pos x="csX9483" y="csY9483"/>
              </a:cxn>
              <a:cxn ang="0">
                <a:pos x="csX9484" y="csY9484"/>
              </a:cxn>
              <a:cxn ang="0">
                <a:pos x="csX9485" y="csY9485"/>
              </a:cxn>
              <a:cxn ang="0">
                <a:pos x="csX9486" y="csY9486"/>
              </a:cxn>
              <a:cxn ang="0">
                <a:pos x="csX9487" y="csY9487"/>
              </a:cxn>
              <a:cxn ang="0">
                <a:pos x="csX9488" y="csY9488"/>
              </a:cxn>
              <a:cxn ang="0">
                <a:pos x="csX9489" y="csY9489"/>
              </a:cxn>
              <a:cxn ang="0">
                <a:pos x="csX9490" y="csY9490"/>
              </a:cxn>
              <a:cxn ang="0">
                <a:pos x="csX9491" y="csY9491"/>
              </a:cxn>
              <a:cxn ang="0">
                <a:pos x="csX9492" y="csY9492"/>
              </a:cxn>
              <a:cxn ang="0">
                <a:pos x="csX9493" y="csY9493"/>
              </a:cxn>
              <a:cxn ang="0">
                <a:pos x="csX9494" y="csY9494"/>
              </a:cxn>
              <a:cxn ang="0">
                <a:pos x="csX9495" y="csY9495"/>
              </a:cxn>
              <a:cxn ang="0">
                <a:pos x="csX9496" y="csY9496"/>
              </a:cxn>
              <a:cxn ang="0">
                <a:pos x="csX9497" y="csY9497"/>
              </a:cxn>
              <a:cxn ang="0">
                <a:pos x="csX9498" y="csY9498"/>
              </a:cxn>
              <a:cxn ang="0">
                <a:pos x="csX9499" y="csY9499"/>
              </a:cxn>
              <a:cxn ang="0">
                <a:pos x="csX9500" y="csY9500"/>
              </a:cxn>
              <a:cxn ang="0">
                <a:pos x="csX9501" y="csY9501"/>
              </a:cxn>
              <a:cxn ang="0">
                <a:pos x="csX9502" y="csY9502"/>
              </a:cxn>
              <a:cxn ang="0">
                <a:pos x="csX9503" y="csY9503"/>
              </a:cxn>
              <a:cxn ang="0">
                <a:pos x="csX9504" y="csY9504"/>
              </a:cxn>
              <a:cxn ang="0">
                <a:pos x="csX9505" y="csY9505"/>
              </a:cxn>
              <a:cxn ang="0">
                <a:pos x="csX9506" y="csY9506"/>
              </a:cxn>
              <a:cxn ang="0">
                <a:pos x="csX9507" y="csY9507"/>
              </a:cxn>
              <a:cxn ang="0">
                <a:pos x="csX9508" y="csY9508"/>
              </a:cxn>
              <a:cxn ang="0">
                <a:pos x="csX9509" y="csY9509"/>
              </a:cxn>
              <a:cxn ang="0">
                <a:pos x="csX9510" y="csY9510"/>
              </a:cxn>
              <a:cxn ang="0">
                <a:pos x="csX9511" y="csY9511"/>
              </a:cxn>
              <a:cxn ang="0">
                <a:pos x="csX9512" y="csY9512"/>
              </a:cxn>
              <a:cxn ang="0">
                <a:pos x="csX9513" y="csY9513"/>
              </a:cxn>
              <a:cxn ang="0">
                <a:pos x="csX9514" y="csY9514"/>
              </a:cxn>
              <a:cxn ang="0">
                <a:pos x="csX9515" y="csY9515"/>
              </a:cxn>
              <a:cxn ang="0">
                <a:pos x="csX9516" y="csY9516"/>
              </a:cxn>
              <a:cxn ang="0">
                <a:pos x="csX9517" y="csY9517"/>
              </a:cxn>
              <a:cxn ang="0">
                <a:pos x="csX9518" y="csY9518"/>
              </a:cxn>
              <a:cxn ang="0">
                <a:pos x="csX9519" y="csY9519"/>
              </a:cxn>
              <a:cxn ang="0">
                <a:pos x="csX9520" y="csY9520"/>
              </a:cxn>
              <a:cxn ang="0">
                <a:pos x="csX9521" y="csY9521"/>
              </a:cxn>
              <a:cxn ang="0">
                <a:pos x="csX9522" y="csY9522"/>
              </a:cxn>
              <a:cxn ang="0">
                <a:pos x="csX9523" y="csY9523"/>
              </a:cxn>
              <a:cxn ang="0">
                <a:pos x="csX9524" y="csY9524"/>
              </a:cxn>
              <a:cxn ang="0">
                <a:pos x="csX9525" y="csY9525"/>
              </a:cxn>
              <a:cxn ang="0">
                <a:pos x="csX9526" y="csY9526"/>
              </a:cxn>
              <a:cxn ang="0">
                <a:pos x="csX9527" y="csY9527"/>
              </a:cxn>
              <a:cxn ang="0">
                <a:pos x="csX9528" y="csY9528"/>
              </a:cxn>
              <a:cxn ang="0">
                <a:pos x="csX9529" y="csY9529"/>
              </a:cxn>
              <a:cxn ang="0">
                <a:pos x="csX9530" y="csY9530"/>
              </a:cxn>
              <a:cxn ang="0">
                <a:pos x="csX9531" y="csY9531"/>
              </a:cxn>
              <a:cxn ang="0">
                <a:pos x="csX9532" y="csY9532"/>
              </a:cxn>
              <a:cxn ang="0">
                <a:pos x="csX9533" y="csY9533"/>
              </a:cxn>
              <a:cxn ang="0">
                <a:pos x="csX9534" y="csY9534"/>
              </a:cxn>
              <a:cxn ang="0">
                <a:pos x="csX9535" y="csY9535"/>
              </a:cxn>
              <a:cxn ang="0">
                <a:pos x="csX9536" y="csY9536"/>
              </a:cxn>
              <a:cxn ang="0">
                <a:pos x="csX9537" y="csY9537"/>
              </a:cxn>
              <a:cxn ang="0">
                <a:pos x="csX9538" y="csY9538"/>
              </a:cxn>
              <a:cxn ang="0">
                <a:pos x="csX9539" y="csY9539"/>
              </a:cxn>
              <a:cxn ang="0">
                <a:pos x="csX9540" y="csY9540"/>
              </a:cxn>
              <a:cxn ang="0">
                <a:pos x="csX9541" y="csY9541"/>
              </a:cxn>
              <a:cxn ang="0">
                <a:pos x="csX9542" y="csY9542"/>
              </a:cxn>
              <a:cxn ang="0">
                <a:pos x="csX9543" y="csY9543"/>
              </a:cxn>
              <a:cxn ang="0">
                <a:pos x="csX9544" y="csY9544"/>
              </a:cxn>
              <a:cxn ang="0">
                <a:pos x="csX9545" y="csY9545"/>
              </a:cxn>
              <a:cxn ang="0">
                <a:pos x="csX9546" y="csY9546"/>
              </a:cxn>
              <a:cxn ang="0">
                <a:pos x="csX9547" y="csY9547"/>
              </a:cxn>
              <a:cxn ang="0">
                <a:pos x="csX9548" y="csY9548"/>
              </a:cxn>
              <a:cxn ang="0">
                <a:pos x="csX9549" y="csY9549"/>
              </a:cxn>
              <a:cxn ang="0">
                <a:pos x="csX9550" y="csY9550"/>
              </a:cxn>
              <a:cxn ang="0">
                <a:pos x="csX9551" y="csY9551"/>
              </a:cxn>
              <a:cxn ang="0">
                <a:pos x="csX9552" y="csY9552"/>
              </a:cxn>
              <a:cxn ang="0">
                <a:pos x="csX9553" y="csY9553"/>
              </a:cxn>
              <a:cxn ang="0">
                <a:pos x="csX9554" y="csY9554"/>
              </a:cxn>
              <a:cxn ang="0">
                <a:pos x="csX9555" y="csY9555"/>
              </a:cxn>
              <a:cxn ang="0">
                <a:pos x="csX9556" y="csY9556"/>
              </a:cxn>
              <a:cxn ang="0">
                <a:pos x="csX9557" y="csY9557"/>
              </a:cxn>
              <a:cxn ang="0">
                <a:pos x="csX9558" y="csY9558"/>
              </a:cxn>
              <a:cxn ang="0">
                <a:pos x="csX9559" y="csY9559"/>
              </a:cxn>
              <a:cxn ang="0">
                <a:pos x="csX9560" y="csY9560"/>
              </a:cxn>
              <a:cxn ang="0">
                <a:pos x="csX9561" y="csY9561"/>
              </a:cxn>
              <a:cxn ang="0">
                <a:pos x="csX9562" y="csY9562"/>
              </a:cxn>
              <a:cxn ang="0">
                <a:pos x="csX9563" y="csY9563"/>
              </a:cxn>
              <a:cxn ang="0">
                <a:pos x="csX9564" y="csY9564"/>
              </a:cxn>
              <a:cxn ang="0">
                <a:pos x="csX9565" y="csY9565"/>
              </a:cxn>
              <a:cxn ang="0">
                <a:pos x="csX9566" y="csY9566"/>
              </a:cxn>
              <a:cxn ang="0">
                <a:pos x="csX9567" y="csY9567"/>
              </a:cxn>
              <a:cxn ang="0">
                <a:pos x="csX9568" y="csY9568"/>
              </a:cxn>
              <a:cxn ang="0">
                <a:pos x="csX9569" y="csY9569"/>
              </a:cxn>
              <a:cxn ang="0">
                <a:pos x="csX9570" y="csY9570"/>
              </a:cxn>
              <a:cxn ang="0">
                <a:pos x="csX9571" y="csY9571"/>
              </a:cxn>
              <a:cxn ang="0">
                <a:pos x="csX9572" y="csY9572"/>
              </a:cxn>
              <a:cxn ang="0">
                <a:pos x="csX9573" y="csY9573"/>
              </a:cxn>
              <a:cxn ang="0">
                <a:pos x="csX9574" y="csY9574"/>
              </a:cxn>
              <a:cxn ang="0">
                <a:pos x="csX9575" y="csY9575"/>
              </a:cxn>
              <a:cxn ang="0">
                <a:pos x="csX9576" y="csY9576"/>
              </a:cxn>
              <a:cxn ang="0">
                <a:pos x="csX9577" y="csY9577"/>
              </a:cxn>
              <a:cxn ang="0">
                <a:pos x="csX9578" y="csY9578"/>
              </a:cxn>
              <a:cxn ang="0">
                <a:pos x="csX9579" y="csY9579"/>
              </a:cxn>
              <a:cxn ang="0">
                <a:pos x="csX9580" y="csY9580"/>
              </a:cxn>
              <a:cxn ang="0">
                <a:pos x="csX9581" y="csY9581"/>
              </a:cxn>
              <a:cxn ang="0">
                <a:pos x="csX9582" y="csY9582"/>
              </a:cxn>
              <a:cxn ang="0">
                <a:pos x="csX9583" y="csY9583"/>
              </a:cxn>
              <a:cxn ang="0">
                <a:pos x="csX9584" y="csY9584"/>
              </a:cxn>
              <a:cxn ang="0">
                <a:pos x="csX9585" y="csY9585"/>
              </a:cxn>
              <a:cxn ang="0">
                <a:pos x="csX9586" y="csY9586"/>
              </a:cxn>
              <a:cxn ang="0">
                <a:pos x="csX9587" y="csY9587"/>
              </a:cxn>
              <a:cxn ang="0">
                <a:pos x="csX9588" y="csY9588"/>
              </a:cxn>
              <a:cxn ang="0">
                <a:pos x="csX9589" y="csY9589"/>
              </a:cxn>
              <a:cxn ang="0">
                <a:pos x="csX9590" y="csY9590"/>
              </a:cxn>
              <a:cxn ang="0">
                <a:pos x="csX9591" y="csY9591"/>
              </a:cxn>
              <a:cxn ang="0">
                <a:pos x="csX9592" y="csY9592"/>
              </a:cxn>
              <a:cxn ang="0">
                <a:pos x="csX9593" y="csY9593"/>
              </a:cxn>
              <a:cxn ang="0">
                <a:pos x="csX9594" y="csY9594"/>
              </a:cxn>
              <a:cxn ang="0">
                <a:pos x="csX9595" y="csY9595"/>
              </a:cxn>
              <a:cxn ang="0">
                <a:pos x="csX9596" y="csY9596"/>
              </a:cxn>
              <a:cxn ang="0">
                <a:pos x="csX9597" y="csY9597"/>
              </a:cxn>
              <a:cxn ang="0">
                <a:pos x="csX9598" y="csY9598"/>
              </a:cxn>
              <a:cxn ang="0">
                <a:pos x="csX9599" y="csY9599"/>
              </a:cxn>
              <a:cxn ang="0">
                <a:pos x="csX9600" y="csY9600"/>
              </a:cxn>
              <a:cxn ang="0">
                <a:pos x="csX9601" y="csY9601"/>
              </a:cxn>
              <a:cxn ang="0">
                <a:pos x="csX9602" y="csY9602"/>
              </a:cxn>
              <a:cxn ang="0">
                <a:pos x="csX9603" y="csY9603"/>
              </a:cxn>
              <a:cxn ang="0">
                <a:pos x="csX9604" y="csY9604"/>
              </a:cxn>
              <a:cxn ang="0">
                <a:pos x="csX9605" y="csY9605"/>
              </a:cxn>
              <a:cxn ang="0">
                <a:pos x="csX9606" y="csY9606"/>
              </a:cxn>
              <a:cxn ang="0">
                <a:pos x="csX9607" y="csY9607"/>
              </a:cxn>
              <a:cxn ang="0">
                <a:pos x="csX9608" y="csY9608"/>
              </a:cxn>
              <a:cxn ang="0">
                <a:pos x="csX9609" y="csY9609"/>
              </a:cxn>
              <a:cxn ang="0">
                <a:pos x="csX9610" y="csY9610"/>
              </a:cxn>
              <a:cxn ang="0">
                <a:pos x="csX9611" y="csY9611"/>
              </a:cxn>
              <a:cxn ang="0">
                <a:pos x="csX9612" y="csY9612"/>
              </a:cxn>
              <a:cxn ang="0">
                <a:pos x="csX9613" y="csY9613"/>
              </a:cxn>
              <a:cxn ang="0">
                <a:pos x="csX9614" y="csY9614"/>
              </a:cxn>
              <a:cxn ang="0">
                <a:pos x="csX9615" y="csY9615"/>
              </a:cxn>
              <a:cxn ang="0">
                <a:pos x="csX9616" y="csY9616"/>
              </a:cxn>
              <a:cxn ang="0">
                <a:pos x="csX9617" y="csY9617"/>
              </a:cxn>
              <a:cxn ang="0">
                <a:pos x="csX9618" y="csY9618"/>
              </a:cxn>
              <a:cxn ang="0">
                <a:pos x="csX9619" y="csY9619"/>
              </a:cxn>
              <a:cxn ang="0">
                <a:pos x="csX9620" y="csY9620"/>
              </a:cxn>
              <a:cxn ang="0">
                <a:pos x="csX9621" y="csY9621"/>
              </a:cxn>
              <a:cxn ang="0">
                <a:pos x="csX9622" y="csY9622"/>
              </a:cxn>
              <a:cxn ang="0">
                <a:pos x="csX9623" y="csY9623"/>
              </a:cxn>
              <a:cxn ang="0">
                <a:pos x="csX9624" y="csY9624"/>
              </a:cxn>
              <a:cxn ang="0">
                <a:pos x="csX9625" y="csY9625"/>
              </a:cxn>
              <a:cxn ang="0">
                <a:pos x="csX9626" y="csY9626"/>
              </a:cxn>
              <a:cxn ang="0">
                <a:pos x="csX9627" y="csY9627"/>
              </a:cxn>
              <a:cxn ang="0">
                <a:pos x="csX9628" y="csY9628"/>
              </a:cxn>
              <a:cxn ang="0">
                <a:pos x="csX9629" y="csY9629"/>
              </a:cxn>
              <a:cxn ang="0">
                <a:pos x="csX9630" y="csY9630"/>
              </a:cxn>
              <a:cxn ang="0">
                <a:pos x="csX9631" y="csY9631"/>
              </a:cxn>
              <a:cxn ang="0">
                <a:pos x="csX9632" y="csY9632"/>
              </a:cxn>
              <a:cxn ang="0">
                <a:pos x="csX9633" y="csY9633"/>
              </a:cxn>
              <a:cxn ang="0">
                <a:pos x="csX9634" y="csY9634"/>
              </a:cxn>
              <a:cxn ang="0">
                <a:pos x="csX9635" y="csY9635"/>
              </a:cxn>
              <a:cxn ang="0">
                <a:pos x="csX9636" y="csY9636"/>
              </a:cxn>
              <a:cxn ang="0">
                <a:pos x="csX9637" y="csY9637"/>
              </a:cxn>
              <a:cxn ang="0">
                <a:pos x="csX9638" y="csY9638"/>
              </a:cxn>
              <a:cxn ang="0">
                <a:pos x="csX9639" y="csY9639"/>
              </a:cxn>
              <a:cxn ang="0">
                <a:pos x="csX9640" y="csY9640"/>
              </a:cxn>
              <a:cxn ang="0">
                <a:pos x="csX9641" y="csY9641"/>
              </a:cxn>
              <a:cxn ang="0">
                <a:pos x="csX9642" y="csY9642"/>
              </a:cxn>
              <a:cxn ang="0">
                <a:pos x="csX9643" y="csY9643"/>
              </a:cxn>
              <a:cxn ang="0">
                <a:pos x="csX9644" y="csY9644"/>
              </a:cxn>
              <a:cxn ang="0">
                <a:pos x="csX9645" y="csY9645"/>
              </a:cxn>
              <a:cxn ang="0">
                <a:pos x="csX9646" y="csY9646"/>
              </a:cxn>
              <a:cxn ang="0">
                <a:pos x="csX9647" y="csY9647"/>
              </a:cxn>
              <a:cxn ang="0">
                <a:pos x="csX9648" y="csY9648"/>
              </a:cxn>
              <a:cxn ang="0">
                <a:pos x="csX9649" y="csY9649"/>
              </a:cxn>
              <a:cxn ang="0">
                <a:pos x="csX9650" y="csY9650"/>
              </a:cxn>
              <a:cxn ang="0">
                <a:pos x="csX9651" y="csY9651"/>
              </a:cxn>
              <a:cxn ang="0">
                <a:pos x="csX9652" y="csY9652"/>
              </a:cxn>
              <a:cxn ang="0">
                <a:pos x="csX9653" y="csY9653"/>
              </a:cxn>
              <a:cxn ang="0">
                <a:pos x="csX9654" y="csY9654"/>
              </a:cxn>
              <a:cxn ang="0">
                <a:pos x="csX9655" y="csY9655"/>
              </a:cxn>
              <a:cxn ang="0">
                <a:pos x="csX9656" y="csY9656"/>
              </a:cxn>
              <a:cxn ang="0">
                <a:pos x="csX9657" y="csY9657"/>
              </a:cxn>
              <a:cxn ang="0">
                <a:pos x="csX9658" y="csY9658"/>
              </a:cxn>
              <a:cxn ang="0">
                <a:pos x="csX9659" y="csY9659"/>
              </a:cxn>
              <a:cxn ang="0">
                <a:pos x="csX9660" y="csY9660"/>
              </a:cxn>
              <a:cxn ang="0">
                <a:pos x="csX9661" y="csY9661"/>
              </a:cxn>
              <a:cxn ang="0">
                <a:pos x="csX9662" y="csY9662"/>
              </a:cxn>
              <a:cxn ang="0">
                <a:pos x="csX9663" y="csY9663"/>
              </a:cxn>
              <a:cxn ang="0">
                <a:pos x="csX9664" y="csY9664"/>
              </a:cxn>
              <a:cxn ang="0">
                <a:pos x="csX9665" y="csY9665"/>
              </a:cxn>
              <a:cxn ang="0">
                <a:pos x="csX9666" y="csY9666"/>
              </a:cxn>
              <a:cxn ang="0">
                <a:pos x="csX9667" y="csY9667"/>
              </a:cxn>
              <a:cxn ang="0">
                <a:pos x="csX9668" y="csY9668"/>
              </a:cxn>
              <a:cxn ang="0">
                <a:pos x="csX9669" y="csY9669"/>
              </a:cxn>
              <a:cxn ang="0">
                <a:pos x="csX9670" y="csY9670"/>
              </a:cxn>
              <a:cxn ang="0">
                <a:pos x="csX9671" y="csY9671"/>
              </a:cxn>
              <a:cxn ang="0">
                <a:pos x="csX9672" y="csY9672"/>
              </a:cxn>
              <a:cxn ang="0">
                <a:pos x="csX9673" y="csY9673"/>
              </a:cxn>
              <a:cxn ang="0">
                <a:pos x="csX9674" y="csY9674"/>
              </a:cxn>
              <a:cxn ang="0">
                <a:pos x="csX9675" y="csY9675"/>
              </a:cxn>
              <a:cxn ang="0">
                <a:pos x="csX9676" y="csY9676"/>
              </a:cxn>
              <a:cxn ang="0">
                <a:pos x="csX9677" y="csY9677"/>
              </a:cxn>
              <a:cxn ang="0">
                <a:pos x="csX9678" y="csY9678"/>
              </a:cxn>
              <a:cxn ang="0">
                <a:pos x="csX9679" y="csY9679"/>
              </a:cxn>
              <a:cxn ang="0">
                <a:pos x="csX9680" y="csY9680"/>
              </a:cxn>
              <a:cxn ang="0">
                <a:pos x="csX9681" y="csY9681"/>
              </a:cxn>
              <a:cxn ang="0">
                <a:pos x="csX9682" y="csY9682"/>
              </a:cxn>
              <a:cxn ang="0">
                <a:pos x="csX9683" y="csY9683"/>
              </a:cxn>
              <a:cxn ang="0">
                <a:pos x="csX9684" y="csY9684"/>
              </a:cxn>
              <a:cxn ang="0">
                <a:pos x="csX9685" y="csY9685"/>
              </a:cxn>
              <a:cxn ang="0">
                <a:pos x="csX9686" y="csY9686"/>
              </a:cxn>
              <a:cxn ang="0">
                <a:pos x="csX9687" y="csY9687"/>
              </a:cxn>
              <a:cxn ang="0">
                <a:pos x="csX9688" y="csY9688"/>
              </a:cxn>
              <a:cxn ang="0">
                <a:pos x="csX9689" y="csY9689"/>
              </a:cxn>
              <a:cxn ang="0">
                <a:pos x="csX9690" y="csY9690"/>
              </a:cxn>
              <a:cxn ang="0">
                <a:pos x="csX9691" y="csY9691"/>
              </a:cxn>
              <a:cxn ang="0">
                <a:pos x="csX9692" y="csY9692"/>
              </a:cxn>
              <a:cxn ang="0">
                <a:pos x="csX9693" y="csY9693"/>
              </a:cxn>
              <a:cxn ang="0">
                <a:pos x="csX9694" y="csY9694"/>
              </a:cxn>
              <a:cxn ang="0">
                <a:pos x="csX9695" y="csY9695"/>
              </a:cxn>
              <a:cxn ang="0">
                <a:pos x="csX9696" y="csY9696"/>
              </a:cxn>
              <a:cxn ang="0">
                <a:pos x="csX9697" y="csY9697"/>
              </a:cxn>
              <a:cxn ang="0">
                <a:pos x="csX9698" y="csY9698"/>
              </a:cxn>
              <a:cxn ang="0">
                <a:pos x="csX9699" y="csY9699"/>
              </a:cxn>
              <a:cxn ang="0">
                <a:pos x="csX9700" y="csY9700"/>
              </a:cxn>
              <a:cxn ang="0">
                <a:pos x="csX9701" y="csY9701"/>
              </a:cxn>
              <a:cxn ang="0">
                <a:pos x="csX9702" y="csY9702"/>
              </a:cxn>
              <a:cxn ang="0">
                <a:pos x="csX9703" y="csY9703"/>
              </a:cxn>
              <a:cxn ang="0">
                <a:pos x="csX9704" y="csY9704"/>
              </a:cxn>
              <a:cxn ang="0">
                <a:pos x="csX9705" y="csY9705"/>
              </a:cxn>
              <a:cxn ang="0">
                <a:pos x="csX9706" y="csY9706"/>
              </a:cxn>
              <a:cxn ang="0">
                <a:pos x="csX9707" y="csY9707"/>
              </a:cxn>
              <a:cxn ang="0">
                <a:pos x="csX9708" y="csY9708"/>
              </a:cxn>
              <a:cxn ang="0">
                <a:pos x="csX9709" y="csY9709"/>
              </a:cxn>
              <a:cxn ang="0">
                <a:pos x="csX9710" y="csY9710"/>
              </a:cxn>
              <a:cxn ang="0">
                <a:pos x="csX9711" y="csY9711"/>
              </a:cxn>
              <a:cxn ang="0">
                <a:pos x="csX9712" y="csY9712"/>
              </a:cxn>
              <a:cxn ang="0">
                <a:pos x="csX9713" y="csY9713"/>
              </a:cxn>
              <a:cxn ang="0">
                <a:pos x="csX9714" y="csY9714"/>
              </a:cxn>
              <a:cxn ang="0">
                <a:pos x="csX9715" y="csY9715"/>
              </a:cxn>
              <a:cxn ang="0">
                <a:pos x="csX9716" y="csY9716"/>
              </a:cxn>
              <a:cxn ang="0">
                <a:pos x="csX9717" y="csY9717"/>
              </a:cxn>
              <a:cxn ang="0">
                <a:pos x="csX9718" y="csY9718"/>
              </a:cxn>
              <a:cxn ang="0">
                <a:pos x="csX9719" y="csY9719"/>
              </a:cxn>
              <a:cxn ang="0">
                <a:pos x="csX9720" y="csY9720"/>
              </a:cxn>
              <a:cxn ang="0">
                <a:pos x="csX9721" y="csY9721"/>
              </a:cxn>
              <a:cxn ang="0">
                <a:pos x="csX9722" y="csY9722"/>
              </a:cxn>
              <a:cxn ang="0">
                <a:pos x="csX9723" y="csY9723"/>
              </a:cxn>
              <a:cxn ang="0">
                <a:pos x="csX9724" y="csY9724"/>
              </a:cxn>
              <a:cxn ang="0">
                <a:pos x="csX9725" y="csY9725"/>
              </a:cxn>
              <a:cxn ang="0">
                <a:pos x="csX9726" y="csY9726"/>
              </a:cxn>
              <a:cxn ang="0">
                <a:pos x="csX9727" y="csY9727"/>
              </a:cxn>
              <a:cxn ang="0">
                <a:pos x="csX9728" y="csY9728"/>
              </a:cxn>
              <a:cxn ang="0">
                <a:pos x="csX9729" y="csY9729"/>
              </a:cxn>
              <a:cxn ang="0">
                <a:pos x="csX9730" y="csY9730"/>
              </a:cxn>
              <a:cxn ang="0">
                <a:pos x="csX9731" y="csY9731"/>
              </a:cxn>
              <a:cxn ang="0">
                <a:pos x="csX9732" y="csY9732"/>
              </a:cxn>
              <a:cxn ang="0">
                <a:pos x="csX9733" y="csY9733"/>
              </a:cxn>
              <a:cxn ang="0">
                <a:pos x="csX9734" y="csY9734"/>
              </a:cxn>
              <a:cxn ang="0">
                <a:pos x="csX9735" y="csY9735"/>
              </a:cxn>
              <a:cxn ang="0">
                <a:pos x="csX9736" y="csY9736"/>
              </a:cxn>
              <a:cxn ang="0">
                <a:pos x="csX9737" y="csY9737"/>
              </a:cxn>
              <a:cxn ang="0">
                <a:pos x="csX9738" y="csY9738"/>
              </a:cxn>
              <a:cxn ang="0">
                <a:pos x="csX9739" y="csY9739"/>
              </a:cxn>
              <a:cxn ang="0">
                <a:pos x="csX9740" y="csY9740"/>
              </a:cxn>
              <a:cxn ang="0">
                <a:pos x="csX9741" y="csY9741"/>
              </a:cxn>
              <a:cxn ang="0">
                <a:pos x="csX9742" y="csY9742"/>
              </a:cxn>
              <a:cxn ang="0">
                <a:pos x="csX9743" y="csY9743"/>
              </a:cxn>
              <a:cxn ang="0">
                <a:pos x="csX9744" y="csY9744"/>
              </a:cxn>
              <a:cxn ang="0">
                <a:pos x="csX9745" y="csY9745"/>
              </a:cxn>
              <a:cxn ang="0">
                <a:pos x="csX9746" y="csY9746"/>
              </a:cxn>
              <a:cxn ang="0">
                <a:pos x="csX9747" y="csY9747"/>
              </a:cxn>
              <a:cxn ang="0">
                <a:pos x="csX9748" y="csY9748"/>
              </a:cxn>
              <a:cxn ang="0">
                <a:pos x="csX9749" y="csY9749"/>
              </a:cxn>
              <a:cxn ang="0">
                <a:pos x="csX9750" y="csY9750"/>
              </a:cxn>
              <a:cxn ang="0">
                <a:pos x="csX9751" y="csY9751"/>
              </a:cxn>
              <a:cxn ang="0">
                <a:pos x="csX9752" y="csY9752"/>
              </a:cxn>
              <a:cxn ang="0">
                <a:pos x="csX9753" y="csY9753"/>
              </a:cxn>
              <a:cxn ang="0">
                <a:pos x="csX9754" y="csY9754"/>
              </a:cxn>
              <a:cxn ang="0">
                <a:pos x="csX9755" y="csY9755"/>
              </a:cxn>
              <a:cxn ang="0">
                <a:pos x="csX9756" y="csY9756"/>
              </a:cxn>
              <a:cxn ang="0">
                <a:pos x="csX9757" y="csY9757"/>
              </a:cxn>
              <a:cxn ang="0">
                <a:pos x="csX9758" y="csY9758"/>
              </a:cxn>
              <a:cxn ang="0">
                <a:pos x="csX9759" y="csY9759"/>
              </a:cxn>
              <a:cxn ang="0">
                <a:pos x="csX9760" y="csY9760"/>
              </a:cxn>
              <a:cxn ang="0">
                <a:pos x="csX9761" y="csY9761"/>
              </a:cxn>
              <a:cxn ang="0">
                <a:pos x="csX9762" y="csY9762"/>
              </a:cxn>
              <a:cxn ang="0">
                <a:pos x="csX9763" y="csY9763"/>
              </a:cxn>
              <a:cxn ang="0">
                <a:pos x="csX9764" y="csY9764"/>
              </a:cxn>
              <a:cxn ang="0">
                <a:pos x="csX9765" y="csY9765"/>
              </a:cxn>
              <a:cxn ang="0">
                <a:pos x="csX9766" y="csY9766"/>
              </a:cxn>
              <a:cxn ang="0">
                <a:pos x="csX9767" y="csY9767"/>
              </a:cxn>
              <a:cxn ang="0">
                <a:pos x="csX9768" y="csY9768"/>
              </a:cxn>
              <a:cxn ang="0">
                <a:pos x="csX9769" y="csY9769"/>
              </a:cxn>
              <a:cxn ang="0">
                <a:pos x="csX9770" y="csY9770"/>
              </a:cxn>
              <a:cxn ang="0">
                <a:pos x="csX9771" y="csY9771"/>
              </a:cxn>
              <a:cxn ang="0">
                <a:pos x="csX9772" y="csY9772"/>
              </a:cxn>
              <a:cxn ang="0">
                <a:pos x="csX9773" y="csY9773"/>
              </a:cxn>
              <a:cxn ang="0">
                <a:pos x="csX9774" y="csY9774"/>
              </a:cxn>
              <a:cxn ang="0">
                <a:pos x="csX9775" y="csY9775"/>
              </a:cxn>
              <a:cxn ang="0">
                <a:pos x="csX9776" y="csY9776"/>
              </a:cxn>
              <a:cxn ang="0">
                <a:pos x="csX9777" y="csY9777"/>
              </a:cxn>
              <a:cxn ang="0">
                <a:pos x="csX9778" y="csY9778"/>
              </a:cxn>
              <a:cxn ang="0">
                <a:pos x="csX9779" y="csY9779"/>
              </a:cxn>
              <a:cxn ang="0">
                <a:pos x="csX9780" y="csY9780"/>
              </a:cxn>
              <a:cxn ang="0">
                <a:pos x="csX9781" y="csY9781"/>
              </a:cxn>
              <a:cxn ang="0">
                <a:pos x="csX9782" y="csY9782"/>
              </a:cxn>
              <a:cxn ang="0">
                <a:pos x="csX9783" y="csY9783"/>
              </a:cxn>
              <a:cxn ang="0">
                <a:pos x="csX9784" y="csY9784"/>
              </a:cxn>
              <a:cxn ang="0">
                <a:pos x="csX9785" y="csY9785"/>
              </a:cxn>
              <a:cxn ang="0">
                <a:pos x="csX9786" y="csY9786"/>
              </a:cxn>
              <a:cxn ang="0">
                <a:pos x="csX9787" y="csY9787"/>
              </a:cxn>
              <a:cxn ang="0">
                <a:pos x="csX9788" y="csY9788"/>
              </a:cxn>
              <a:cxn ang="0">
                <a:pos x="csX9789" y="csY9789"/>
              </a:cxn>
              <a:cxn ang="0">
                <a:pos x="csX9790" y="csY9790"/>
              </a:cxn>
              <a:cxn ang="0">
                <a:pos x="csX9791" y="csY9791"/>
              </a:cxn>
              <a:cxn ang="0">
                <a:pos x="csX9792" y="csY9792"/>
              </a:cxn>
              <a:cxn ang="0">
                <a:pos x="csX9793" y="csY9793"/>
              </a:cxn>
              <a:cxn ang="0">
                <a:pos x="csX9794" y="csY9794"/>
              </a:cxn>
              <a:cxn ang="0">
                <a:pos x="csX9795" y="csY9795"/>
              </a:cxn>
              <a:cxn ang="0">
                <a:pos x="csX9796" y="csY9796"/>
              </a:cxn>
              <a:cxn ang="0">
                <a:pos x="csX9797" y="csY9797"/>
              </a:cxn>
              <a:cxn ang="0">
                <a:pos x="csX9798" y="csY9798"/>
              </a:cxn>
              <a:cxn ang="0">
                <a:pos x="csX9799" y="csY9799"/>
              </a:cxn>
              <a:cxn ang="0">
                <a:pos x="csX9800" y="csY9800"/>
              </a:cxn>
              <a:cxn ang="0">
                <a:pos x="csX9801" y="csY9801"/>
              </a:cxn>
              <a:cxn ang="0">
                <a:pos x="csX9802" y="csY9802"/>
              </a:cxn>
              <a:cxn ang="0">
                <a:pos x="csX9803" y="csY9803"/>
              </a:cxn>
              <a:cxn ang="0">
                <a:pos x="csX9804" y="csY9804"/>
              </a:cxn>
              <a:cxn ang="0">
                <a:pos x="csX9805" y="csY9805"/>
              </a:cxn>
              <a:cxn ang="0">
                <a:pos x="csX9806" y="csY9806"/>
              </a:cxn>
              <a:cxn ang="0">
                <a:pos x="csX9807" y="csY9807"/>
              </a:cxn>
              <a:cxn ang="0">
                <a:pos x="csX9808" y="csY9808"/>
              </a:cxn>
              <a:cxn ang="0">
                <a:pos x="csX9809" y="csY9809"/>
              </a:cxn>
              <a:cxn ang="0">
                <a:pos x="csX9810" y="csY9810"/>
              </a:cxn>
              <a:cxn ang="0">
                <a:pos x="csX9811" y="csY9811"/>
              </a:cxn>
              <a:cxn ang="0">
                <a:pos x="csX9812" y="csY9812"/>
              </a:cxn>
              <a:cxn ang="0">
                <a:pos x="csX9813" y="csY9813"/>
              </a:cxn>
              <a:cxn ang="0">
                <a:pos x="csX9814" y="csY9814"/>
              </a:cxn>
              <a:cxn ang="0">
                <a:pos x="csX9815" y="csY9815"/>
              </a:cxn>
              <a:cxn ang="0">
                <a:pos x="csX9816" y="csY9816"/>
              </a:cxn>
              <a:cxn ang="0">
                <a:pos x="csX9817" y="csY9817"/>
              </a:cxn>
              <a:cxn ang="0">
                <a:pos x="csX9818" y="csY9818"/>
              </a:cxn>
              <a:cxn ang="0">
                <a:pos x="csX9819" y="csY9819"/>
              </a:cxn>
              <a:cxn ang="0">
                <a:pos x="csX9820" y="csY9820"/>
              </a:cxn>
              <a:cxn ang="0">
                <a:pos x="csX9821" y="csY9821"/>
              </a:cxn>
              <a:cxn ang="0">
                <a:pos x="csX9822" y="csY9822"/>
              </a:cxn>
              <a:cxn ang="0">
                <a:pos x="csX9823" y="csY9823"/>
              </a:cxn>
              <a:cxn ang="0">
                <a:pos x="csX9824" y="csY9824"/>
              </a:cxn>
              <a:cxn ang="0">
                <a:pos x="csX9825" y="csY9825"/>
              </a:cxn>
              <a:cxn ang="0">
                <a:pos x="csX9826" y="csY9826"/>
              </a:cxn>
              <a:cxn ang="0">
                <a:pos x="csX9827" y="csY9827"/>
              </a:cxn>
              <a:cxn ang="0">
                <a:pos x="csX9828" y="csY9828"/>
              </a:cxn>
              <a:cxn ang="0">
                <a:pos x="csX9829" y="csY9829"/>
              </a:cxn>
              <a:cxn ang="0">
                <a:pos x="csX9830" y="csY9830"/>
              </a:cxn>
              <a:cxn ang="0">
                <a:pos x="csX9831" y="csY9831"/>
              </a:cxn>
              <a:cxn ang="0">
                <a:pos x="csX9832" y="csY9832"/>
              </a:cxn>
              <a:cxn ang="0">
                <a:pos x="csX9833" y="csY9833"/>
              </a:cxn>
              <a:cxn ang="0">
                <a:pos x="csX9834" y="csY9834"/>
              </a:cxn>
              <a:cxn ang="0">
                <a:pos x="csX9835" y="csY9835"/>
              </a:cxn>
              <a:cxn ang="0">
                <a:pos x="csX9836" y="csY9836"/>
              </a:cxn>
              <a:cxn ang="0">
                <a:pos x="csX9837" y="csY9837"/>
              </a:cxn>
              <a:cxn ang="0">
                <a:pos x="csX9838" y="csY9838"/>
              </a:cxn>
              <a:cxn ang="0">
                <a:pos x="csX9839" y="csY9839"/>
              </a:cxn>
              <a:cxn ang="0">
                <a:pos x="csX9840" y="csY9840"/>
              </a:cxn>
              <a:cxn ang="0">
                <a:pos x="csX9841" y="csY9841"/>
              </a:cxn>
              <a:cxn ang="0">
                <a:pos x="csX9842" y="csY9842"/>
              </a:cxn>
              <a:cxn ang="0">
                <a:pos x="csX9843" y="csY9843"/>
              </a:cxn>
              <a:cxn ang="0">
                <a:pos x="csX9844" y="csY9844"/>
              </a:cxn>
              <a:cxn ang="0">
                <a:pos x="csX9845" y="csY9845"/>
              </a:cxn>
              <a:cxn ang="0">
                <a:pos x="csX9846" y="csY9846"/>
              </a:cxn>
              <a:cxn ang="0">
                <a:pos x="csX9847" y="csY9847"/>
              </a:cxn>
              <a:cxn ang="0">
                <a:pos x="csX9848" y="csY9848"/>
              </a:cxn>
              <a:cxn ang="0">
                <a:pos x="csX9849" y="csY9849"/>
              </a:cxn>
              <a:cxn ang="0">
                <a:pos x="csX9850" y="csY9850"/>
              </a:cxn>
              <a:cxn ang="0">
                <a:pos x="csX9851" y="csY9851"/>
              </a:cxn>
              <a:cxn ang="0">
                <a:pos x="csX9852" y="csY9852"/>
              </a:cxn>
              <a:cxn ang="0">
                <a:pos x="csX9853" y="csY9853"/>
              </a:cxn>
              <a:cxn ang="0">
                <a:pos x="csX9854" y="csY9854"/>
              </a:cxn>
              <a:cxn ang="0">
                <a:pos x="csX9855" y="csY9855"/>
              </a:cxn>
              <a:cxn ang="0">
                <a:pos x="csX9856" y="csY9856"/>
              </a:cxn>
              <a:cxn ang="0">
                <a:pos x="csX9857" y="csY9857"/>
              </a:cxn>
              <a:cxn ang="0">
                <a:pos x="csX9858" y="csY9858"/>
              </a:cxn>
              <a:cxn ang="0">
                <a:pos x="csX9859" y="csY9859"/>
              </a:cxn>
              <a:cxn ang="0">
                <a:pos x="csX9860" y="csY9860"/>
              </a:cxn>
              <a:cxn ang="0">
                <a:pos x="csX9861" y="csY9861"/>
              </a:cxn>
              <a:cxn ang="0">
                <a:pos x="csX9862" y="csY9862"/>
              </a:cxn>
              <a:cxn ang="0">
                <a:pos x="csX9863" y="csY9863"/>
              </a:cxn>
              <a:cxn ang="0">
                <a:pos x="csX9864" y="csY9864"/>
              </a:cxn>
              <a:cxn ang="0">
                <a:pos x="csX9865" y="csY9865"/>
              </a:cxn>
              <a:cxn ang="0">
                <a:pos x="csX9866" y="csY9866"/>
              </a:cxn>
              <a:cxn ang="0">
                <a:pos x="csX9867" y="csY9867"/>
              </a:cxn>
              <a:cxn ang="0">
                <a:pos x="csX9868" y="csY9868"/>
              </a:cxn>
              <a:cxn ang="0">
                <a:pos x="csX9869" y="csY9869"/>
              </a:cxn>
              <a:cxn ang="0">
                <a:pos x="csX9870" y="csY9870"/>
              </a:cxn>
              <a:cxn ang="0">
                <a:pos x="csX9871" y="csY9871"/>
              </a:cxn>
              <a:cxn ang="0">
                <a:pos x="csX9872" y="csY9872"/>
              </a:cxn>
              <a:cxn ang="0">
                <a:pos x="csX9873" y="csY9873"/>
              </a:cxn>
              <a:cxn ang="0">
                <a:pos x="csX9874" y="csY9874"/>
              </a:cxn>
              <a:cxn ang="0">
                <a:pos x="csX9875" y="csY9875"/>
              </a:cxn>
              <a:cxn ang="0">
                <a:pos x="csX9876" y="csY9876"/>
              </a:cxn>
              <a:cxn ang="0">
                <a:pos x="csX9877" y="csY9877"/>
              </a:cxn>
              <a:cxn ang="0">
                <a:pos x="csX9878" y="csY9878"/>
              </a:cxn>
              <a:cxn ang="0">
                <a:pos x="csX9879" y="csY9879"/>
              </a:cxn>
              <a:cxn ang="0">
                <a:pos x="csX9880" y="csY9880"/>
              </a:cxn>
              <a:cxn ang="0">
                <a:pos x="csX9881" y="csY9881"/>
              </a:cxn>
              <a:cxn ang="0">
                <a:pos x="csX9882" y="csY9882"/>
              </a:cxn>
              <a:cxn ang="0">
                <a:pos x="csX9883" y="csY9883"/>
              </a:cxn>
              <a:cxn ang="0">
                <a:pos x="csX9884" y="csY9884"/>
              </a:cxn>
              <a:cxn ang="0">
                <a:pos x="csX9885" y="csY9885"/>
              </a:cxn>
              <a:cxn ang="0">
                <a:pos x="csX9886" y="csY9886"/>
              </a:cxn>
              <a:cxn ang="0">
                <a:pos x="csX9887" y="csY9887"/>
              </a:cxn>
              <a:cxn ang="0">
                <a:pos x="csX9888" y="csY9888"/>
              </a:cxn>
              <a:cxn ang="0">
                <a:pos x="csX9889" y="csY9889"/>
              </a:cxn>
              <a:cxn ang="0">
                <a:pos x="csX9890" y="csY9890"/>
              </a:cxn>
              <a:cxn ang="0">
                <a:pos x="csX9891" y="csY9891"/>
              </a:cxn>
              <a:cxn ang="0">
                <a:pos x="csX9892" y="csY9892"/>
              </a:cxn>
              <a:cxn ang="0">
                <a:pos x="csX9893" y="csY9893"/>
              </a:cxn>
              <a:cxn ang="0">
                <a:pos x="csX9894" y="csY9894"/>
              </a:cxn>
              <a:cxn ang="0">
                <a:pos x="csX9895" y="csY9895"/>
              </a:cxn>
              <a:cxn ang="0">
                <a:pos x="csX9896" y="csY9896"/>
              </a:cxn>
              <a:cxn ang="0">
                <a:pos x="csX9897" y="csY9897"/>
              </a:cxn>
              <a:cxn ang="0">
                <a:pos x="csX9898" y="csY9898"/>
              </a:cxn>
              <a:cxn ang="0">
                <a:pos x="csX9899" y="csY9899"/>
              </a:cxn>
              <a:cxn ang="0">
                <a:pos x="csX9900" y="csY9900"/>
              </a:cxn>
              <a:cxn ang="0">
                <a:pos x="csX9901" y="csY9901"/>
              </a:cxn>
              <a:cxn ang="0">
                <a:pos x="csX9902" y="csY9902"/>
              </a:cxn>
              <a:cxn ang="0">
                <a:pos x="csX9903" y="csY9903"/>
              </a:cxn>
              <a:cxn ang="0">
                <a:pos x="csX9904" y="csY9904"/>
              </a:cxn>
              <a:cxn ang="0">
                <a:pos x="csX9905" y="csY9905"/>
              </a:cxn>
              <a:cxn ang="0">
                <a:pos x="csX9906" y="csY9906"/>
              </a:cxn>
              <a:cxn ang="0">
                <a:pos x="csX9907" y="csY9907"/>
              </a:cxn>
              <a:cxn ang="0">
                <a:pos x="csX9908" y="csY9908"/>
              </a:cxn>
              <a:cxn ang="0">
                <a:pos x="csX9909" y="csY9909"/>
              </a:cxn>
              <a:cxn ang="0">
                <a:pos x="csX9910" y="csY9910"/>
              </a:cxn>
              <a:cxn ang="0">
                <a:pos x="csX9911" y="csY9911"/>
              </a:cxn>
              <a:cxn ang="0">
                <a:pos x="csX9912" y="csY9912"/>
              </a:cxn>
              <a:cxn ang="0">
                <a:pos x="csX9913" y="csY9913"/>
              </a:cxn>
              <a:cxn ang="0">
                <a:pos x="csX9914" y="csY9914"/>
              </a:cxn>
              <a:cxn ang="0">
                <a:pos x="csX9915" y="csY9915"/>
              </a:cxn>
              <a:cxn ang="0">
                <a:pos x="csX9916" y="csY9916"/>
              </a:cxn>
              <a:cxn ang="0">
                <a:pos x="csX9917" y="csY9917"/>
              </a:cxn>
              <a:cxn ang="0">
                <a:pos x="csX9918" y="csY9918"/>
              </a:cxn>
              <a:cxn ang="0">
                <a:pos x="csX9919" y="csY9919"/>
              </a:cxn>
              <a:cxn ang="0">
                <a:pos x="csX9920" y="csY9920"/>
              </a:cxn>
              <a:cxn ang="0">
                <a:pos x="csX9921" y="csY9921"/>
              </a:cxn>
              <a:cxn ang="0">
                <a:pos x="csX9922" y="csY9922"/>
              </a:cxn>
              <a:cxn ang="0">
                <a:pos x="csX9923" y="csY9923"/>
              </a:cxn>
              <a:cxn ang="0">
                <a:pos x="csX9924" y="csY9924"/>
              </a:cxn>
              <a:cxn ang="0">
                <a:pos x="csX9925" y="csY9925"/>
              </a:cxn>
              <a:cxn ang="0">
                <a:pos x="csX9926" y="csY9926"/>
              </a:cxn>
              <a:cxn ang="0">
                <a:pos x="csX9927" y="csY9927"/>
              </a:cxn>
              <a:cxn ang="0">
                <a:pos x="csX9928" y="csY9928"/>
              </a:cxn>
              <a:cxn ang="0">
                <a:pos x="csX9929" y="csY9929"/>
              </a:cxn>
              <a:cxn ang="0">
                <a:pos x="csX9930" y="csY9930"/>
              </a:cxn>
              <a:cxn ang="0">
                <a:pos x="csX9931" y="csY9931"/>
              </a:cxn>
              <a:cxn ang="0">
                <a:pos x="csX9932" y="csY9932"/>
              </a:cxn>
              <a:cxn ang="0">
                <a:pos x="csX9933" y="csY9933"/>
              </a:cxn>
              <a:cxn ang="0">
                <a:pos x="csX9934" y="csY9934"/>
              </a:cxn>
              <a:cxn ang="0">
                <a:pos x="csX9935" y="csY9935"/>
              </a:cxn>
              <a:cxn ang="0">
                <a:pos x="csX9936" y="csY9936"/>
              </a:cxn>
              <a:cxn ang="0">
                <a:pos x="csX9937" y="csY9937"/>
              </a:cxn>
              <a:cxn ang="0">
                <a:pos x="csX9938" y="csY9938"/>
              </a:cxn>
              <a:cxn ang="0">
                <a:pos x="csX9939" y="csY9939"/>
              </a:cxn>
              <a:cxn ang="0">
                <a:pos x="csX9940" y="csY9940"/>
              </a:cxn>
              <a:cxn ang="0">
                <a:pos x="csX9941" y="csY9941"/>
              </a:cxn>
              <a:cxn ang="0">
                <a:pos x="csX9942" y="csY9942"/>
              </a:cxn>
              <a:cxn ang="0">
                <a:pos x="csX9943" y="csY9943"/>
              </a:cxn>
              <a:cxn ang="0">
                <a:pos x="csX9944" y="csY9944"/>
              </a:cxn>
              <a:cxn ang="0">
                <a:pos x="csX9945" y="csY9945"/>
              </a:cxn>
              <a:cxn ang="0">
                <a:pos x="csX9946" y="csY9946"/>
              </a:cxn>
              <a:cxn ang="0">
                <a:pos x="csX9947" y="csY9947"/>
              </a:cxn>
              <a:cxn ang="0">
                <a:pos x="csX9948" y="csY9948"/>
              </a:cxn>
              <a:cxn ang="0">
                <a:pos x="csX9949" y="csY9949"/>
              </a:cxn>
              <a:cxn ang="0">
                <a:pos x="csX9950" y="csY9950"/>
              </a:cxn>
              <a:cxn ang="0">
                <a:pos x="csX9951" y="csY9951"/>
              </a:cxn>
              <a:cxn ang="0">
                <a:pos x="csX9952" y="csY9952"/>
              </a:cxn>
              <a:cxn ang="0">
                <a:pos x="csX9953" y="csY9953"/>
              </a:cxn>
              <a:cxn ang="0">
                <a:pos x="csX9954" y="csY9954"/>
              </a:cxn>
              <a:cxn ang="0">
                <a:pos x="csX9955" y="csY9955"/>
              </a:cxn>
              <a:cxn ang="0">
                <a:pos x="csX9956" y="csY9956"/>
              </a:cxn>
              <a:cxn ang="0">
                <a:pos x="csX9957" y="csY9957"/>
              </a:cxn>
              <a:cxn ang="0">
                <a:pos x="csX9958" y="csY9958"/>
              </a:cxn>
              <a:cxn ang="0">
                <a:pos x="csX9959" y="csY9959"/>
              </a:cxn>
              <a:cxn ang="0">
                <a:pos x="csX9960" y="csY9960"/>
              </a:cxn>
              <a:cxn ang="0">
                <a:pos x="csX9961" y="csY9961"/>
              </a:cxn>
              <a:cxn ang="0">
                <a:pos x="csX9962" y="csY9962"/>
              </a:cxn>
              <a:cxn ang="0">
                <a:pos x="csX9963" y="csY9963"/>
              </a:cxn>
              <a:cxn ang="0">
                <a:pos x="csX9964" y="csY9964"/>
              </a:cxn>
              <a:cxn ang="0">
                <a:pos x="csX9965" y="csY9965"/>
              </a:cxn>
              <a:cxn ang="0">
                <a:pos x="csX9966" y="csY9966"/>
              </a:cxn>
              <a:cxn ang="0">
                <a:pos x="csX9967" y="csY9967"/>
              </a:cxn>
              <a:cxn ang="0">
                <a:pos x="csX9968" y="csY9968"/>
              </a:cxn>
              <a:cxn ang="0">
                <a:pos x="csX9969" y="csY9969"/>
              </a:cxn>
              <a:cxn ang="0">
                <a:pos x="csX9970" y="csY9970"/>
              </a:cxn>
              <a:cxn ang="0">
                <a:pos x="csX9971" y="csY9971"/>
              </a:cxn>
              <a:cxn ang="0">
                <a:pos x="csX9972" y="csY9972"/>
              </a:cxn>
              <a:cxn ang="0">
                <a:pos x="csX9973" y="csY9973"/>
              </a:cxn>
              <a:cxn ang="0">
                <a:pos x="csX9974" y="csY9974"/>
              </a:cxn>
              <a:cxn ang="0">
                <a:pos x="csX9975" y="csY9975"/>
              </a:cxn>
              <a:cxn ang="0">
                <a:pos x="csX9976" y="csY9976"/>
              </a:cxn>
              <a:cxn ang="0">
                <a:pos x="csX9977" y="csY9977"/>
              </a:cxn>
              <a:cxn ang="0">
                <a:pos x="csX9978" y="csY9978"/>
              </a:cxn>
              <a:cxn ang="0">
                <a:pos x="csX9979" y="csY9979"/>
              </a:cxn>
              <a:cxn ang="0">
                <a:pos x="csX9980" y="csY9980"/>
              </a:cxn>
              <a:cxn ang="0">
                <a:pos x="csX9981" y="csY9981"/>
              </a:cxn>
              <a:cxn ang="0">
                <a:pos x="csX9982" y="csY9982"/>
              </a:cxn>
              <a:cxn ang="0">
                <a:pos x="csX9983" y="csY9983"/>
              </a:cxn>
              <a:cxn ang="0">
                <a:pos x="csX9984" y="csY9984"/>
              </a:cxn>
              <a:cxn ang="0">
                <a:pos x="csX9985" y="csY9985"/>
              </a:cxn>
              <a:cxn ang="0">
                <a:pos x="csX9986" y="csY9986"/>
              </a:cxn>
              <a:cxn ang="0">
                <a:pos x="csX9987" y="csY9987"/>
              </a:cxn>
              <a:cxn ang="0">
                <a:pos x="csX9988" y="csY9988"/>
              </a:cxn>
              <a:cxn ang="0">
                <a:pos x="csX9989" y="csY9989"/>
              </a:cxn>
              <a:cxn ang="0">
                <a:pos x="csX9990" y="csY9990"/>
              </a:cxn>
              <a:cxn ang="0">
                <a:pos x="csX9991" y="csY9991"/>
              </a:cxn>
              <a:cxn ang="0">
                <a:pos x="csX9992" y="csY9992"/>
              </a:cxn>
              <a:cxn ang="0">
                <a:pos x="csX9993" y="csY9993"/>
              </a:cxn>
              <a:cxn ang="0">
                <a:pos x="csX9994" y="csY9994"/>
              </a:cxn>
              <a:cxn ang="0">
                <a:pos x="csX9995" y="csY9995"/>
              </a:cxn>
              <a:cxn ang="0">
                <a:pos x="csX9996" y="csY9996"/>
              </a:cxn>
              <a:cxn ang="0">
                <a:pos x="csX9997" y="csY9997"/>
              </a:cxn>
              <a:cxn ang="0">
                <a:pos x="csX9998" y="csY9998"/>
              </a:cxn>
              <a:cxn ang="0">
                <a:pos x="csX9999" y="csY9999"/>
              </a:cxn>
              <a:cxn ang="0">
                <a:pos x="csX10000" y="csY10000"/>
              </a:cxn>
              <a:cxn ang="0">
                <a:pos x="csX10001" y="csY10001"/>
              </a:cxn>
              <a:cxn ang="0">
                <a:pos x="csX10002" y="csY10002"/>
              </a:cxn>
              <a:cxn ang="0">
                <a:pos x="csX10003" y="csY10003"/>
              </a:cxn>
              <a:cxn ang="0">
                <a:pos x="csX10004" y="csY10004"/>
              </a:cxn>
              <a:cxn ang="0">
                <a:pos x="csX10005" y="csY10005"/>
              </a:cxn>
              <a:cxn ang="0">
                <a:pos x="csX10006" y="csY10006"/>
              </a:cxn>
              <a:cxn ang="0">
                <a:pos x="csX10007" y="csY10007"/>
              </a:cxn>
              <a:cxn ang="0">
                <a:pos x="csX10008" y="csY10008"/>
              </a:cxn>
              <a:cxn ang="0">
                <a:pos x="csX10009" y="csY10009"/>
              </a:cxn>
              <a:cxn ang="0">
                <a:pos x="csX10010" y="csY10010"/>
              </a:cxn>
              <a:cxn ang="0">
                <a:pos x="csX10011" y="csY10011"/>
              </a:cxn>
              <a:cxn ang="0">
                <a:pos x="csX10012" y="csY10012"/>
              </a:cxn>
              <a:cxn ang="0">
                <a:pos x="csX10013" y="csY10013"/>
              </a:cxn>
              <a:cxn ang="0">
                <a:pos x="csX10014" y="csY10014"/>
              </a:cxn>
              <a:cxn ang="0">
                <a:pos x="csX10015" y="csY10015"/>
              </a:cxn>
              <a:cxn ang="0">
                <a:pos x="csX10016" y="csY10016"/>
              </a:cxn>
              <a:cxn ang="0">
                <a:pos x="csX10017" y="csY10017"/>
              </a:cxn>
              <a:cxn ang="0">
                <a:pos x="csX10018" y="csY10018"/>
              </a:cxn>
              <a:cxn ang="0">
                <a:pos x="csX10019" y="csY10019"/>
              </a:cxn>
              <a:cxn ang="0">
                <a:pos x="csX10020" y="csY10020"/>
              </a:cxn>
              <a:cxn ang="0">
                <a:pos x="csX10021" y="csY10021"/>
              </a:cxn>
              <a:cxn ang="0">
                <a:pos x="csX10022" y="csY10022"/>
              </a:cxn>
              <a:cxn ang="0">
                <a:pos x="csX10023" y="csY10023"/>
              </a:cxn>
              <a:cxn ang="0">
                <a:pos x="csX10024" y="csY10024"/>
              </a:cxn>
              <a:cxn ang="0">
                <a:pos x="csX10025" y="csY10025"/>
              </a:cxn>
              <a:cxn ang="0">
                <a:pos x="csX10026" y="csY10026"/>
              </a:cxn>
              <a:cxn ang="0">
                <a:pos x="csX10027" y="csY10027"/>
              </a:cxn>
              <a:cxn ang="0">
                <a:pos x="csX10028" y="csY10028"/>
              </a:cxn>
              <a:cxn ang="0">
                <a:pos x="csX10029" y="csY10029"/>
              </a:cxn>
              <a:cxn ang="0">
                <a:pos x="csX10030" y="csY10030"/>
              </a:cxn>
              <a:cxn ang="0">
                <a:pos x="csX10031" y="csY10031"/>
              </a:cxn>
              <a:cxn ang="0">
                <a:pos x="csX10032" y="csY10032"/>
              </a:cxn>
              <a:cxn ang="0">
                <a:pos x="csX10033" y="csY10033"/>
              </a:cxn>
              <a:cxn ang="0">
                <a:pos x="csX10034" y="csY10034"/>
              </a:cxn>
              <a:cxn ang="0">
                <a:pos x="csX10035" y="csY10035"/>
              </a:cxn>
              <a:cxn ang="0">
                <a:pos x="csX10036" y="csY10036"/>
              </a:cxn>
              <a:cxn ang="0">
                <a:pos x="csX10037" y="csY10037"/>
              </a:cxn>
              <a:cxn ang="0">
                <a:pos x="csX10038" y="csY10038"/>
              </a:cxn>
              <a:cxn ang="0">
                <a:pos x="csX10039" y="csY10039"/>
              </a:cxn>
              <a:cxn ang="0">
                <a:pos x="csX10040" y="csY10040"/>
              </a:cxn>
              <a:cxn ang="0">
                <a:pos x="csX10041" y="csY10041"/>
              </a:cxn>
              <a:cxn ang="0">
                <a:pos x="csX10042" y="csY10042"/>
              </a:cxn>
              <a:cxn ang="0">
                <a:pos x="csX10043" y="csY10043"/>
              </a:cxn>
              <a:cxn ang="0">
                <a:pos x="csX10044" y="csY10044"/>
              </a:cxn>
              <a:cxn ang="0">
                <a:pos x="csX10045" y="csY10045"/>
              </a:cxn>
              <a:cxn ang="0">
                <a:pos x="csX10046" y="csY10046"/>
              </a:cxn>
              <a:cxn ang="0">
                <a:pos x="csX10047" y="csY10047"/>
              </a:cxn>
              <a:cxn ang="0">
                <a:pos x="csX10048" y="csY10048"/>
              </a:cxn>
              <a:cxn ang="0">
                <a:pos x="csX10049" y="csY10049"/>
              </a:cxn>
              <a:cxn ang="0">
                <a:pos x="csX10050" y="csY10050"/>
              </a:cxn>
              <a:cxn ang="0">
                <a:pos x="csX10051" y="csY10051"/>
              </a:cxn>
              <a:cxn ang="0">
                <a:pos x="csX10052" y="csY10052"/>
              </a:cxn>
              <a:cxn ang="0">
                <a:pos x="csX10053" y="csY10053"/>
              </a:cxn>
              <a:cxn ang="0">
                <a:pos x="csX10054" y="csY10054"/>
              </a:cxn>
              <a:cxn ang="0">
                <a:pos x="csX10055" y="csY10055"/>
              </a:cxn>
              <a:cxn ang="0">
                <a:pos x="csX10056" y="csY10056"/>
              </a:cxn>
              <a:cxn ang="0">
                <a:pos x="csX10057" y="csY10057"/>
              </a:cxn>
              <a:cxn ang="0">
                <a:pos x="csX10058" y="csY10058"/>
              </a:cxn>
              <a:cxn ang="0">
                <a:pos x="csX10059" y="csY10059"/>
              </a:cxn>
              <a:cxn ang="0">
                <a:pos x="csX10060" y="csY10060"/>
              </a:cxn>
              <a:cxn ang="0">
                <a:pos x="csX10061" y="csY10061"/>
              </a:cxn>
              <a:cxn ang="0">
                <a:pos x="csX10062" y="csY10062"/>
              </a:cxn>
              <a:cxn ang="0">
                <a:pos x="csX10063" y="csY10063"/>
              </a:cxn>
              <a:cxn ang="0">
                <a:pos x="csX10064" y="csY10064"/>
              </a:cxn>
              <a:cxn ang="0">
                <a:pos x="csX10065" y="csY10065"/>
              </a:cxn>
              <a:cxn ang="0">
                <a:pos x="csX10066" y="csY10066"/>
              </a:cxn>
              <a:cxn ang="0">
                <a:pos x="csX10067" y="csY10067"/>
              </a:cxn>
              <a:cxn ang="0">
                <a:pos x="csX10068" y="csY10068"/>
              </a:cxn>
              <a:cxn ang="0">
                <a:pos x="csX10069" y="csY10069"/>
              </a:cxn>
              <a:cxn ang="0">
                <a:pos x="csX10070" y="csY10070"/>
              </a:cxn>
              <a:cxn ang="0">
                <a:pos x="csX10071" y="csY10071"/>
              </a:cxn>
              <a:cxn ang="0">
                <a:pos x="csX10072" y="csY10072"/>
              </a:cxn>
              <a:cxn ang="0">
                <a:pos x="csX10073" y="csY10073"/>
              </a:cxn>
              <a:cxn ang="0">
                <a:pos x="csX10074" y="csY10074"/>
              </a:cxn>
              <a:cxn ang="0">
                <a:pos x="csX10075" y="csY10075"/>
              </a:cxn>
              <a:cxn ang="0">
                <a:pos x="csX10076" y="csY10076"/>
              </a:cxn>
              <a:cxn ang="0">
                <a:pos x="csX10077" y="csY10077"/>
              </a:cxn>
              <a:cxn ang="0">
                <a:pos x="csX10078" y="csY10078"/>
              </a:cxn>
              <a:cxn ang="0">
                <a:pos x="csX10079" y="csY10079"/>
              </a:cxn>
              <a:cxn ang="0">
                <a:pos x="csX10080" y="csY10080"/>
              </a:cxn>
              <a:cxn ang="0">
                <a:pos x="csX10081" y="csY10081"/>
              </a:cxn>
              <a:cxn ang="0">
                <a:pos x="csX10082" y="csY10082"/>
              </a:cxn>
              <a:cxn ang="0">
                <a:pos x="csX10083" y="csY10083"/>
              </a:cxn>
              <a:cxn ang="0">
                <a:pos x="csX10084" y="csY10084"/>
              </a:cxn>
              <a:cxn ang="0">
                <a:pos x="csX10085" y="csY10085"/>
              </a:cxn>
              <a:cxn ang="0">
                <a:pos x="csX10086" y="csY10086"/>
              </a:cxn>
              <a:cxn ang="0">
                <a:pos x="csX10087" y="csY10087"/>
              </a:cxn>
              <a:cxn ang="0">
                <a:pos x="csX10088" y="csY10088"/>
              </a:cxn>
              <a:cxn ang="0">
                <a:pos x="csX10089" y="csY10089"/>
              </a:cxn>
              <a:cxn ang="0">
                <a:pos x="csX10090" y="csY10090"/>
              </a:cxn>
              <a:cxn ang="0">
                <a:pos x="csX10091" y="csY10091"/>
              </a:cxn>
              <a:cxn ang="0">
                <a:pos x="csX10092" y="csY10092"/>
              </a:cxn>
              <a:cxn ang="0">
                <a:pos x="csX10093" y="csY10093"/>
              </a:cxn>
              <a:cxn ang="0">
                <a:pos x="csX10094" y="csY10094"/>
              </a:cxn>
              <a:cxn ang="0">
                <a:pos x="csX10095" y="csY10095"/>
              </a:cxn>
              <a:cxn ang="0">
                <a:pos x="csX10096" y="csY10096"/>
              </a:cxn>
              <a:cxn ang="0">
                <a:pos x="csX10097" y="csY10097"/>
              </a:cxn>
              <a:cxn ang="0">
                <a:pos x="csX10098" y="csY10098"/>
              </a:cxn>
              <a:cxn ang="0">
                <a:pos x="csX10099" y="csY10099"/>
              </a:cxn>
              <a:cxn ang="0">
                <a:pos x="csX10100" y="csY10100"/>
              </a:cxn>
              <a:cxn ang="0">
                <a:pos x="csX10101" y="csY10101"/>
              </a:cxn>
              <a:cxn ang="0">
                <a:pos x="csX10102" y="csY10102"/>
              </a:cxn>
              <a:cxn ang="0">
                <a:pos x="csX10103" y="csY10103"/>
              </a:cxn>
              <a:cxn ang="0">
                <a:pos x="csX10104" y="csY10104"/>
              </a:cxn>
              <a:cxn ang="0">
                <a:pos x="csX10105" y="csY10105"/>
              </a:cxn>
              <a:cxn ang="0">
                <a:pos x="csX10106" y="csY10106"/>
              </a:cxn>
              <a:cxn ang="0">
                <a:pos x="csX10107" y="csY10107"/>
              </a:cxn>
              <a:cxn ang="0">
                <a:pos x="csX10108" y="csY10108"/>
              </a:cxn>
              <a:cxn ang="0">
                <a:pos x="csX10109" y="csY10109"/>
              </a:cxn>
              <a:cxn ang="0">
                <a:pos x="csX10110" y="csY10110"/>
              </a:cxn>
              <a:cxn ang="0">
                <a:pos x="csX10111" y="csY10111"/>
              </a:cxn>
              <a:cxn ang="0">
                <a:pos x="csX10112" y="csY10112"/>
              </a:cxn>
              <a:cxn ang="0">
                <a:pos x="csX10113" y="csY10113"/>
              </a:cxn>
              <a:cxn ang="0">
                <a:pos x="csX10114" y="csY10114"/>
              </a:cxn>
              <a:cxn ang="0">
                <a:pos x="csX10115" y="csY10115"/>
              </a:cxn>
              <a:cxn ang="0">
                <a:pos x="csX10116" y="csY10116"/>
              </a:cxn>
              <a:cxn ang="0">
                <a:pos x="csX10117" y="csY10117"/>
              </a:cxn>
              <a:cxn ang="0">
                <a:pos x="csX10118" y="csY10118"/>
              </a:cxn>
              <a:cxn ang="0">
                <a:pos x="csX10119" y="csY10119"/>
              </a:cxn>
              <a:cxn ang="0">
                <a:pos x="csX10120" y="csY10120"/>
              </a:cxn>
              <a:cxn ang="0">
                <a:pos x="csX10121" y="csY10121"/>
              </a:cxn>
              <a:cxn ang="0">
                <a:pos x="csX10122" y="csY10122"/>
              </a:cxn>
              <a:cxn ang="0">
                <a:pos x="csX10123" y="csY10123"/>
              </a:cxn>
              <a:cxn ang="0">
                <a:pos x="csX10124" y="csY10124"/>
              </a:cxn>
              <a:cxn ang="0">
                <a:pos x="csX10125" y="csY10125"/>
              </a:cxn>
              <a:cxn ang="0">
                <a:pos x="csX10126" y="csY10126"/>
              </a:cxn>
              <a:cxn ang="0">
                <a:pos x="csX10127" y="csY10127"/>
              </a:cxn>
              <a:cxn ang="0">
                <a:pos x="csX10128" y="csY10128"/>
              </a:cxn>
              <a:cxn ang="0">
                <a:pos x="csX10129" y="csY10129"/>
              </a:cxn>
              <a:cxn ang="0">
                <a:pos x="csX10130" y="csY10130"/>
              </a:cxn>
              <a:cxn ang="0">
                <a:pos x="csX10131" y="csY10131"/>
              </a:cxn>
              <a:cxn ang="0">
                <a:pos x="csX10132" y="csY10132"/>
              </a:cxn>
              <a:cxn ang="0">
                <a:pos x="csX10133" y="csY10133"/>
              </a:cxn>
              <a:cxn ang="0">
                <a:pos x="csX10134" y="csY10134"/>
              </a:cxn>
              <a:cxn ang="0">
                <a:pos x="csX10135" y="csY10135"/>
              </a:cxn>
              <a:cxn ang="0">
                <a:pos x="csX10136" y="csY10136"/>
              </a:cxn>
              <a:cxn ang="0">
                <a:pos x="csX10137" y="csY10137"/>
              </a:cxn>
              <a:cxn ang="0">
                <a:pos x="csX10138" y="csY10138"/>
              </a:cxn>
              <a:cxn ang="0">
                <a:pos x="csX10139" y="csY10139"/>
              </a:cxn>
              <a:cxn ang="0">
                <a:pos x="csX10140" y="csY10140"/>
              </a:cxn>
              <a:cxn ang="0">
                <a:pos x="csX10141" y="csY10141"/>
              </a:cxn>
              <a:cxn ang="0">
                <a:pos x="csX10142" y="csY10142"/>
              </a:cxn>
              <a:cxn ang="0">
                <a:pos x="csX10143" y="csY10143"/>
              </a:cxn>
              <a:cxn ang="0">
                <a:pos x="csX10144" y="csY10144"/>
              </a:cxn>
              <a:cxn ang="0">
                <a:pos x="csX10145" y="csY10145"/>
              </a:cxn>
              <a:cxn ang="0">
                <a:pos x="csX10146" y="csY10146"/>
              </a:cxn>
              <a:cxn ang="0">
                <a:pos x="csX10147" y="csY10147"/>
              </a:cxn>
              <a:cxn ang="0">
                <a:pos x="csX10148" y="csY10148"/>
              </a:cxn>
              <a:cxn ang="0">
                <a:pos x="csX10149" y="csY10149"/>
              </a:cxn>
              <a:cxn ang="0">
                <a:pos x="csX10150" y="csY10150"/>
              </a:cxn>
              <a:cxn ang="0">
                <a:pos x="csX10151" y="csY10151"/>
              </a:cxn>
              <a:cxn ang="0">
                <a:pos x="csX10152" y="csY10152"/>
              </a:cxn>
              <a:cxn ang="0">
                <a:pos x="csX10153" y="csY10153"/>
              </a:cxn>
              <a:cxn ang="0">
                <a:pos x="csX10154" y="csY10154"/>
              </a:cxn>
              <a:cxn ang="0">
                <a:pos x="csX10155" y="csY10155"/>
              </a:cxn>
              <a:cxn ang="0">
                <a:pos x="csX10156" y="csY10156"/>
              </a:cxn>
              <a:cxn ang="0">
                <a:pos x="csX10157" y="csY10157"/>
              </a:cxn>
              <a:cxn ang="0">
                <a:pos x="csX10158" y="csY10158"/>
              </a:cxn>
              <a:cxn ang="0">
                <a:pos x="csX10159" y="csY10159"/>
              </a:cxn>
              <a:cxn ang="0">
                <a:pos x="csX10160" y="csY10160"/>
              </a:cxn>
              <a:cxn ang="0">
                <a:pos x="csX10161" y="csY10161"/>
              </a:cxn>
              <a:cxn ang="0">
                <a:pos x="csX10162" y="csY10162"/>
              </a:cxn>
              <a:cxn ang="0">
                <a:pos x="csX10163" y="csY10163"/>
              </a:cxn>
              <a:cxn ang="0">
                <a:pos x="csX10164" y="csY10164"/>
              </a:cxn>
              <a:cxn ang="0">
                <a:pos x="csX10165" y="csY10165"/>
              </a:cxn>
              <a:cxn ang="0">
                <a:pos x="csX10166" y="csY10166"/>
              </a:cxn>
              <a:cxn ang="0">
                <a:pos x="csX10167" y="csY10167"/>
              </a:cxn>
              <a:cxn ang="0">
                <a:pos x="csX10168" y="csY10168"/>
              </a:cxn>
              <a:cxn ang="0">
                <a:pos x="csX10169" y="csY10169"/>
              </a:cxn>
              <a:cxn ang="0">
                <a:pos x="csX10170" y="csY10170"/>
              </a:cxn>
              <a:cxn ang="0">
                <a:pos x="csX10171" y="csY10171"/>
              </a:cxn>
              <a:cxn ang="0">
                <a:pos x="csX10172" y="csY10172"/>
              </a:cxn>
              <a:cxn ang="0">
                <a:pos x="csX10173" y="csY10173"/>
              </a:cxn>
              <a:cxn ang="0">
                <a:pos x="csX10174" y="csY10174"/>
              </a:cxn>
              <a:cxn ang="0">
                <a:pos x="csX10175" y="csY10175"/>
              </a:cxn>
              <a:cxn ang="0">
                <a:pos x="csX10176" y="csY10176"/>
              </a:cxn>
              <a:cxn ang="0">
                <a:pos x="csX10177" y="csY10177"/>
              </a:cxn>
              <a:cxn ang="0">
                <a:pos x="csX10178" y="csY10178"/>
              </a:cxn>
              <a:cxn ang="0">
                <a:pos x="csX10179" y="csY10179"/>
              </a:cxn>
              <a:cxn ang="0">
                <a:pos x="csX10180" y="csY10180"/>
              </a:cxn>
              <a:cxn ang="0">
                <a:pos x="csX10181" y="csY10181"/>
              </a:cxn>
              <a:cxn ang="0">
                <a:pos x="csX10182" y="csY10182"/>
              </a:cxn>
              <a:cxn ang="0">
                <a:pos x="csX10183" y="csY10183"/>
              </a:cxn>
              <a:cxn ang="0">
                <a:pos x="csX10184" y="csY10184"/>
              </a:cxn>
              <a:cxn ang="0">
                <a:pos x="csX10185" y="csY10185"/>
              </a:cxn>
              <a:cxn ang="0">
                <a:pos x="csX10186" y="csY10186"/>
              </a:cxn>
              <a:cxn ang="0">
                <a:pos x="csX10187" y="csY10187"/>
              </a:cxn>
              <a:cxn ang="0">
                <a:pos x="csX10188" y="csY10188"/>
              </a:cxn>
              <a:cxn ang="0">
                <a:pos x="csX10189" y="csY10189"/>
              </a:cxn>
              <a:cxn ang="0">
                <a:pos x="csX10190" y="csY10190"/>
              </a:cxn>
              <a:cxn ang="0">
                <a:pos x="csX10191" y="csY10191"/>
              </a:cxn>
              <a:cxn ang="0">
                <a:pos x="csX10192" y="csY10192"/>
              </a:cxn>
              <a:cxn ang="0">
                <a:pos x="csX10193" y="csY10193"/>
              </a:cxn>
              <a:cxn ang="0">
                <a:pos x="csX10194" y="csY10194"/>
              </a:cxn>
              <a:cxn ang="0">
                <a:pos x="csX10195" y="csY10195"/>
              </a:cxn>
              <a:cxn ang="0">
                <a:pos x="csX10196" y="csY10196"/>
              </a:cxn>
              <a:cxn ang="0">
                <a:pos x="csX10197" y="csY10197"/>
              </a:cxn>
              <a:cxn ang="0">
                <a:pos x="csX10198" y="csY10198"/>
              </a:cxn>
              <a:cxn ang="0">
                <a:pos x="csX10199" y="csY10199"/>
              </a:cxn>
              <a:cxn ang="0">
                <a:pos x="csX10200" y="csY10200"/>
              </a:cxn>
              <a:cxn ang="0">
                <a:pos x="csX10201" y="csY10201"/>
              </a:cxn>
              <a:cxn ang="0">
                <a:pos x="csX10202" y="csY10202"/>
              </a:cxn>
              <a:cxn ang="0">
                <a:pos x="csX10203" y="csY10203"/>
              </a:cxn>
              <a:cxn ang="0">
                <a:pos x="csX10204" y="csY10204"/>
              </a:cxn>
              <a:cxn ang="0">
                <a:pos x="csX10205" y="csY10205"/>
              </a:cxn>
              <a:cxn ang="0">
                <a:pos x="csX10206" y="csY10206"/>
              </a:cxn>
              <a:cxn ang="0">
                <a:pos x="csX10207" y="csY10207"/>
              </a:cxn>
              <a:cxn ang="0">
                <a:pos x="csX10208" y="csY10208"/>
              </a:cxn>
              <a:cxn ang="0">
                <a:pos x="csX10209" y="csY10209"/>
              </a:cxn>
              <a:cxn ang="0">
                <a:pos x="csX10210" y="csY10210"/>
              </a:cxn>
              <a:cxn ang="0">
                <a:pos x="csX10211" y="csY10211"/>
              </a:cxn>
              <a:cxn ang="0">
                <a:pos x="csX10212" y="csY10212"/>
              </a:cxn>
              <a:cxn ang="0">
                <a:pos x="csX10213" y="csY10213"/>
              </a:cxn>
              <a:cxn ang="0">
                <a:pos x="csX10214" y="csY10214"/>
              </a:cxn>
              <a:cxn ang="0">
                <a:pos x="csX10215" y="csY10215"/>
              </a:cxn>
              <a:cxn ang="0">
                <a:pos x="csX10216" y="csY10216"/>
              </a:cxn>
              <a:cxn ang="0">
                <a:pos x="csX10217" y="csY10217"/>
              </a:cxn>
              <a:cxn ang="0">
                <a:pos x="csX10218" y="csY10218"/>
              </a:cxn>
              <a:cxn ang="0">
                <a:pos x="csX10219" y="csY10219"/>
              </a:cxn>
              <a:cxn ang="0">
                <a:pos x="csX10220" y="csY10220"/>
              </a:cxn>
              <a:cxn ang="0">
                <a:pos x="csX10221" y="csY10221"/>
              </a:cxn>
              <a:cxn ang="0">
                <a:pos x="csX10222" y="csY10222"/>
              </a:cxn>
              <a:cxn ang="0">
                <a:pos x="csX10223" y="csY10223"/>
              </a:cxn>
              <a:cxn ang="0">
                <a:pos x="csX10224" y="csY10224"/>
              </a:cxn>
              <a:cxn ang="0">
                <a:pos x="csX10225" y="csY10225"/>
              </a:cxn>
              <a:cxn ang="0">
                <a:pos x="csX10226" y="csY10226"/>
              </a:cxn>
              <a:cxn ang="0">
                <a:pos x="csX10227" y="csY10227"/>
              </a:cxn>
              <a:cxn ang="0">
                <a:pos x="csX10228" y="csY10228"/>
              </a:cxn>
              <a:cxn ang="0">
                <a:pos x="csX10229" y="csY10229"/>
              </a:cxn>
              <a:cxn ang="0">
                <a:pos x="csX10230" y="csY10230"/>
              </a:cxn>
              <a:cxn ang="0">
                <a:pos x="csX10231" y="csY10231"/>
              </a:cxn>
              <a:cxn ang="0">
                <a:pos x="csX10232" y="csY10232"/>
              </a:cxn>
              <a:cxn ang="0">
                <a:pos x="csX10233" y="csY10233"/>
              </a:cxn>
              <a:cxn ang="0">
                <a:pos x="csX10234" y="csY10234"/>
              </a:cxn>
              <a:cxn ang="0">
                <a:pos x="csX10235" y="csY10235"/>
              </a:cxn>
              <a:cxn ang="0">
                <a:pos x="csX10236" y="csY10236"/>
              </a:cxn>
              <a:cxn ang="0">
                <a:pos x="csX10237" y="csY10237"/>
              </a:cxn>
              <a:cxn ang="0">
                <a:pos x="csX10238" y="csY10238"/>
              </a:cxn>
              <a:cxn ang="0">
                <a:pos x="csX10239" y="csY10239"/>
              </a:cxn>
              <a:cxn ang="0">
                <a:pos x="csX10240" y="csY10240"/>
              </a:cxn>
              <a:cxn ang="0">
                <a:pos x="csX10241" y="csY10241"/>
              </a:cxn>
              <a:cxn ang="0">
                <a:pos x="csX10242" y="csY10242"/>
              </a:cxn>
              <a:cxn ang="0">
                <a:pos x="csX10243" y="csY10243"/>
              </a:cxn>
              <a:cxn ang="0">
                <a:pos x="csX10244" y="csY10244"/>
              </a:cxn>
              <a:cxn ang="0">
                <a:pos x="csX10245" y="csY10245"/>
              </a:cxn>
              <a:cxn ang="0">
                <a:pos x="csX10246" y="csY10246"/>
              </a:cxn>
              <a:cxn ang="0">
                <a:pos x="csX10247" y="csY10247"/>
              </a:cxn>
              <a:cxn ang="0">
                <a:pos x="csX10248" y="csY10248"/>
              </a:cxn>
              <a:cxn ang="0">
                <a:pos x="csX10249" y="csY10249"/>
              </a:cxn>
              <a:cxn ang="0">
                <a:pos x="csX10250" y="csY10250"/>
              </a:cxn>
              <a:cxn ang="0">
                <a:pos x="csX10251" y="csY10251"/>
              </a:cxn>
              <a:cxn ang="0">
                <a:pos x="csX10252" y="csY10252"/>
              </a:cxn>
              <a:cxn ang="0">
                <a:pos x="csX10253" y="csY10253"/>
              </a:cxn>
              <a:cxn ang="0">
                <a:pos x="csX10254" y="csY10254"/>
              </a:cxn>
              <a:cxn ang="0">
                <a:pos x="csX10255" y="csY10255"/>
              </a:cxn>
              <a:cxn ang="0">
                <a:pos x="csX10256" y="csY10256"/>
              </a:cxn>
              <a:cxn ang="0">
                <a:pos x="csX10257" y="csY10257"/>
              </a:cxn>
              <a:cxn ang="0">
                <a:pos x="csX10258" y="csY10258"/>
              </a:cxn>
              <a:cxn ang="0">
                <a:pos x="csX10259" y="csY10259"/>
              </a:cxn>
              <a:cxn ang="0">
                <a:pos x="csX10260" y="csY10260"/>
              </a:cxn>
              <a:cxn ang="0">
                <a:pos x="csX10261" y="csY10261"/>
              </a:cxn>
              <a:cxn ang="0">
                <a:pos x="csX10262" y="csY10262"/>
              </a:cxn>
              <a:cxn ang="0">
                <a:pos x="csX10263" y="csY10263"/>
              </a:cxn>
              <a:cxn ang="0">
                <a:pos x="csX10264" y="csY10264"/>
              </a:cxn>
              <a:cxn ang="0">
                <a:pos x="csX10265" y="csY10265"/>
              </a:cxn>
              <a:cxn ang="0">
                <a:pos x="csX10266" y="csY10266"/>
              </a:cxn>
              <a:cxn ang="0">
                <a:pos x="csX10267" y="csY10267"/>
              </a:cxn>
              <a:cxn ang="0">
                <a:pos x="csX10268" y="csY10268"/>
              </a:cxn>
              <a:cxn ang="0">
                <a:pos x="csX10269" y="csY10269"/>
              </a:cxn>
              <a:cxn ang="0">
                <a:pos x="csX10270" y="csY10270"/>
              </a:cxn>
              <a:cxn ang="0">
                <a:pos x="csX10271" y="csY10271"/>
              </a:cxn>
              <a:cxn ang="0">
                <a:pos x="csX10272" y="csY10272"/>
              </a:cxn>
              <a:cxn ang="0">
                <a:pos x="csX10273" y="csY10273"/>
              </a:cxn>
              <a:cxn ang="0">
                <a:pos x="csX10274" y="csY10274"/>
              </a:cxn>
              <a:cxn ang="0">
                <a:pos x="csX10275" y="csY10275"/>
              </a:cxn>
              <a:cxn ang="0">
                <a:pos x="csX10276" y="csY10276"/>
              </a:cxn>
              <a:cxn ang="0">
                <a:pos x="csX10277" y="csY10277"/>
              </a:cxn>
              <a:cxn ang="0">
                <a:pos x="csX10278" y="csY10278"/>
              </a:cxn>
              <a:cxn ang="0">
                <a:pos x="csX10279" y="csY10279"/>
              </a:cxn>
              <a:cxn ang="0">
                <a:pos x="csX10280" y="csY10280"/>
              </a:cxn>
              <a:cxn ang="0">
                <a:pos x="csX10281" y="csY10281"/>
              </a:cxn>
              <a:cxn ang="0">
                <a:pos x="csX10282" y="csY10282"/>
              </a:cxn>
              <a:cxn ang="0">
                <a:pos x="csX10283" y="csY10283"/>
              </a:cxn>
              <a:cxn ang="0">
                <a:pos x="csX10284" y="csY10284"/>
              </a:cxn>
              <a:cxn ang="0">
                <a:pos x="csX10285" y="csY10285"/>
              </a:cxn>
              <a:cxn ang="0">
                <a:pos x="csX10286" y="csY10286"/>
              </a:cxn>
              <a:cxn ang="0">
                <a:pos x="csX10287" y="csY10287"/>
              </a:cxn>
              <a:cxn ang="0">
                <a:pos x="csX10288" y="csY10288"/>
              </a:cxn>
              <a:cxn ang="0">
                <a:pos x="csX10289" y="csY10289"/>
              </a:cxn>
              <a:cxn ang="0">
                <a:pos x="csX10290" y="csY10290"/>
              </a:cxn>
              <a:cxn ang="0">
                <a:pos x="csX10291" y="csY10291"/>
              </a:cxn>
              <a:cxn ang="0">
                <a:pos x="csX10292" y="csY10292"/>
              </a:cxn>
              <a:cxn ang="0">
                <a:pos x="csX10293" y="csY10293"/>
              </a:cxn>
              <a:cxn ang="0">
                <a:pos x="csX10294" y="csY10294"/>
              </a:cxn>
              <a:cxn ang="0">
                <a:pos x="csX10295" y="csY10295"/>
              </a:cxn>
              <a:cxn ang="0">
                <a:pos x="csX10296" y="csY10296"/>
              </a:cxn>
              <a:cxn ang="0">
                <a:pos x="csX10297" y="csY10297"/>
              </a:cxn>
              <a:cxn ang="0">
                <a:pos x="csX10298" y="csY10298"/>
              </a:cxn>
              <a:cxn ang="0">
                <a:pos x="csX10299" y="csY10299"/>
              </a:cxn>
              <a:cxn ang="0">
                <a:pos x="csX10300" y="csY10300"/>
              </a:cxn>
              <a:cxn ang="0">
                <a:pos x="csX10301" y="csY10301"/>
              </a:cxn>
              <a:cxn ang="0">
                <a:pos x="csX10302" y="csY10302"/>
              </a:cxn>
              <a:cxn ang="0">
                <a:pos x="csX10303" y="csY10303"/>
              </a:cxn>
              <a:cxn ang="0">
                <a:pos x="csX10304" y="csY10304"/>
              </a:cxn>
              <a:cxn ang="0">
                <a:pos x="csX10305" y="csY10305"/>
              </a:cxn>
              <a:cxn ang="0">
                <a:pos x="csX10306" y="csY10306"/>
              </a:cxn>
              <a:cxn ang="0">
                <a:pos x="csX10307" y="csY10307"/>
              </a:cxn>
              <a:cxn ang="0">
                <a:pos x="csX10308" y="csY10308"/>
              </a:cxn>
              <a:cxn ang="0">
                <a:pos x="csX10309" y="csY10309"/>
              </a:cxn>
              <a:cxn ang="0">
                <a:pos x="csX10310" y="csY10310"/>
              </a:cxn>
              <a:cxn ang="0">
                <a:pos x="csX10311" y="csY10311"/>
              </a:cxn>
              <a:cxn ang="0">
                <a:pos x="csX10312" y="csY10312"/>
              </a:cxn>
              <a:cxn ang="0">
                <a:pos x="csX10313" y="csY10313"/>
              </a:cxn>
              <a:cxn ang="0">
                <a:pos x="csX10314" y="csY10314"/>
              </a:cxn>
              <a:cxn ang="0">
                <a:pos x="csX10315" y="csY10315"/>
              </a:cxn>
              <a:cxn ang="0">
                <a:pos x="csX10316" y="csY10316"/>
              </a:cxn>
              <a:cxn ang="0">
                <a:pos x="csX10317" y="csY10317"/>
              </a:cxn>
              <a:cxn ang="0">
                <a:pos x="csX10318" y="csY10318"/>
              </a:cxn>
              <a:cxn ang="0">
                <a:pos x="csX10319" y="csY10319"/>
              </a:cxn>
              <a:cxn ang="0">
                <a:pos x="csX10320" y="csY10320"/>
              </a:cxn>
              <a:cxn ang="0">
                <a:pos x="csX10321" y="csY10321"/>
              </a:cxn>
              <a:cxn ang="0">
                <a:pos x="csX10322" y="csY10322"/>
              </a:cxn>
              <a:cxn ang="0">
                <a:pos x="csX10323" y="csY10323"/>
              </a:cxn>
              <a:cxn ang="0">
                <a:pos x="csX10324" y="csY10324"/>
              </a:cxn>
              <a:cxn ang="0">
                <a:pos x="csX10325" y="csY10325"/>
              </a:cxn>
              <a:cxn ang="0">
                <a:pos x="csX10326" y="csY10326"/>
              </a:cxn>
              <a:cxn ang="0">
                <a:pos x="csX10327" y="csY10327"/>
              </a:cxn>
              <a:cxn ang="0">
                <a:pos x="csX10328" y="csY10328"/>
              </a:cxn>
              <a:cxn ang="0">
                <a:pos x="csX10329" y="csY10329"/>
              </a:cxn>
              <a:cxn ang="0">
                <a:pos x="csX10330" y="csY10330"/>
              </a:cxn>
              <a:cxn ang="0">
                <a:pos x="csX10331" y="csY10331"/>
              </a:cxn>
              <a:cxn ang="0">
                <a:pos x="csX10332" y="csY10332"/>
              </a:cxn>
              <a:cxn ang="0">
                <a:pos x="csX10333" y="csY10333"/>
              </a:cxn>
              <a:cxn ang="0">
                <a:pos x="csX10334" y="csY10334"/>
              </a:cxn>
              <a:cxn ang="0">
                <a:pos x="csX10335" y="csY10335"/>
              </a:cxn>
              <a:cxn ang="0">
                <a:pos x="csX10336" y="csY10336"/>
              </a:cxn>
              <a:cxn ang="0">
                <a:pos x="csX10337" y="csY10337"/>
              </a:cxn>
              <a:cxn ang="0">
                <a:pos x="csX10338" y="csY10338"/>
              </a:cxn>
              <a:cxn ang="0">
                <a:pos x="csX10339" y="csY10339"/>
              </a:cxn>
              <a:cxn ang="0">
                <a:pos x="csX10340" y="csY10340"/>
              </a:cxn>
              <a:cxn ang="0">
                <a:pos x="csX10341" y="csY10341"/>
              </a:cxn>
              <a:cxn ang="0">
                <a:pos x="csX10342" y="csY10342"/>
              </a:cxn>
              <a:cxn ang="0">
                <a:pos x="csX10343" y="csY10343"/>
              </a:cxn>
              <a:cxn ang="0">
                <a:pos x="csX10344" y="csY10344"/>
              </a:cxn>
              <a:cxn ang="0">
                <a:pos x="csX10345" y="csY10345"/>
              </a:cxn>
              <a:cxn ang="0">
                <a:pos x="csX10346" y="csY10346"/>
              </a:cxn>
              <a:cxn ang="0">
                <a:pos x="csX10347" y="csY10347"/>
              </a:cxn>
              <a:cxn ang="0">
                <a:pos x="csX10348" y="csY10348"/>
              </a:cxn>
              <a:cxn ang="0">
                <a:pos x="csX10349" y="csY10349"/>
              </a:cxn>
              <a:cxn ang="0">
                <a:pos x="csX10350" y="csY10350"/>
              </a:cxn>
              <a:cxn ang="0">
                <a:pos x="csX10351" y="csY10351"/>
              </a:cxn>
              <a:cxn ang="0">
                <a:pos x="csX10352" y="csY10352"/>
              </a:cxn>
              <a:cxn ang="0">
                <a:pos x="csX10353" y="csY10353"/>
              </a:cxn>
              <a:cxn ang="0">
                <a:pos x="csX10354" y="csY10354"/>
              </a:cxn>
              <a:cxn ang="0">
                <a:pos x="csX10355" y="csY10355"/>
              </a:cxn>
              <a:cxn ang="0">
                <a:pos x="csX10356" y="csY10356"/>
              </a:cxn>
              <a:cxn ang="0">
                <a:pos x="csX10357" y="csY10357"/>
              </a:cxn>
              <a:cxn ang="0">
                <a:pos x="csX10358" y="csY10358"/>
              </a:cxn>
              <a:cxn ang="0">
                <a:pos x="csX10359" y="csY10359"/>
              </a:cxn>
              <a:cxn ang="0">
                <a:pos x="csX10360" y="csY10360"/>
              </a:cxn>
              <a:cxn ang="0">
                <a:pos x="csX10361" y="csY10361"/>
              </a:cxn>
              <a:cxn ang="0">
                <a:pos x="csX10362" y="csY10362"/>
              </a:cxn>
              <a:cxn ang="0">
                <a:pos x="csX10363" y="csY10363"/>
              </a:cxn>
              <a:cxn ang="0">
                <a:pos x="csX10364" y="csY10364"/>
              </a:cxn>
              <a:cxn ang="0">
                <a:pos x="csX10365" y="csY10365"/>
              </a:cxn>
              <a:cxn ang="0">
                <a:pos x="csX10366" y="csY10366"/>
              </a:cxn>
              <a:cxn ang="0">
                <a:pos x="csX10367" y="csY10367"/>
              </a:cxn>
              <a:cxn ang="0">
                <a:pos x="csX10368" y="csY10368"/>
              </a:cxn>
              <a:cxn ang="0">
                <a:pos x="csX10369" y="csY10369"/>
              </a:cxn>
              <a:cxn ang="0">
                <a:pos x="csX10370" y="csY10370"/>
              </a:cxn>
              <a:cxn ang="0">
                <a:pos x="csX10371" y="csY10371"/>
              </a:cxn>
              <a:cxn ang="0">
                <a:pos x="csX10372" y="csY10372"/>
              </a:cxn>
              <a:cxn ang="0">
                <a:pos x="csX10373" y="csY10373"/>
              </a:cxn>
              <a:cxn ang="0">
                <a:pos x="csX10374" y="csY10374"/>
              </a:cxn>
              <a:cxn ang="0">
                <a:pos x="csX10375" y="csY10375"/>
              </a:cxn>
              <a:cxn ang="0">
                <a:pos x="csX10376" y="csY10376"/>
              </a:cxn>
              <a:cxn ang="0">
                <a:pos x="csX10377" y="csY10377"/>
              </a:cxn>
              <a:cxn ang="0">
                <a:pos x="csX10378" y="csY10378"/>
              </a:cxn>
              <a:cxn ang="0">
                <a:pos x="csX10379" y="csY10379"/>
              </a:cxn>
              <a:cxn ang="0">
                <a:pos x="csX10380" y="csY10380"/>
              </a:cxn>
              <a:cxn ang="0">
                <a:pos x="csX10381" y="csY10381"/>
              </a:cxn>
              <a:cxn ang="0">
                <a:pos x="csX10382" y="csY10382"/>
              </a:cxn>
              <a:cxn ang="0">
                <a:pos x="csX10383" y="csY10383"/>
              </a:cxn>
              <a:cxn ang="0">
                <a:pos x="csX10384" y="csY10384"/>
              </a:cxn>
              <a:cxn ang="0">
                <a:pos x="csX10385" y="csY10385"/>
              </a:cxn>
              <a:cxn ang="0">
                <a:pos x="csX10386" y="csY10386"/>
              </a:cxn>
              <a:cxn ang="0">
                <a:pos x="csX10387" y="csY10387"/>
              </a:cxn>
              <a:cxn ang="0">
                <a:pos x="csX10388" y="csY10388"/>
              </a:cxn>
              <a:cxn ang="0">
                <a:pos x="csX10389" y="csY10389"/>
              </a:cxn>
              <a:cxn ang="0">
                <a:pos x="csX10390" y="csY10390"/>
              </a:cxn>
              <a:cxn ang="0">
                <a:pos x="csX10391" y="csY10391"/>
              </a:cxn>
              <a:cxn ang="0">
                <a:pos x="csX10392" y="csY10392"/>
              </a:cxn>
              <a:cxn ang="0">
                <a:pos x="csX10393" y="csY10393"/>
              </a:cxn>
              <a:cxn ang="0">
                <a:pos x="csX10394" y="csY10394"/>
              </a:cxn>
              <a:cxn ang="0">
                <a:pos x="csX10395" y="csY10395"/>
              </a:cxn>
              <a:cxn ang="0">
                <a:pos x="csX10396" y="csY10396"/>
              </a:cxn>
              <a:cxn ang="0">
                <a:pos x="csX10397" y="csY10397"/>
              </a:cxn>
              <a:cxn ang="0">
                <a:pos x="csX10398" y="csY10398"/>
              </a:cxn>
              <a:cxn ang="0">
                <a:pos x="csX10399" y="csY10399"/>
              </a:cxn>
              <a:cxn ang="0">
                <a:pos x="csX10400" y="csY10400"/>
              </a:cxn>
              <a:cxn ang="0">
                <a:pos x="csX10401" y="csY10401"/>
              </a:cxn>
              <a:cxn ang="0">
                <a:pos x="csX10402" y="csY10402"/>
              </a:cxn>
              <a:cxn ang="0">
                <a:pos x="csX10403" y="csY10403"/>
              </a:cxn>
              <a:cxn ang="0">
                <a:pos x="csX10404" y="csY10404"/>
              </a:cxn>
              <a:cxn ang="0">
                <a:pos x="csX10405" y="csY10405"/>
              </a:cxn>
              <a:cxn ang="0">
                <a:pos x="csX10406" y="csY10406"/>
              </a:cxn>
              <a:cxn ang="0">
                <a:pos x="csX10407" y="csY10407"/>
              </a:cxn>
              <a:cxn ang="0">
                <a:pos x="csX10408" y="csY10408"/>
              </a:cxn>
              <a:cxn ang="0">
                <a:pos x="csX10409" y="csY10409"/>
              </a:cxn>
              <a:cxn ang="0">
                <a:pos x="csX10410" y="csY10410"/>
              </a:cxn>
              <a:cxn ang="0">
                <a:pos x="csX10411" y="csY10411"/>
              </a:cxn>
              <a:cxn ang="0">
                <a:pos x="csX10412" y="csY10412"/>
              </a:cxn>
              <a:cxn ang="0">
                <a:pos x="csX10413" y="csY10413"/>
              </a:cxn>
              <a:cxn ang="0">
                <a:pos x="csX10414" y="csY10414"/>
              </a:cxn>
              <a:cxn ang="0">
                <a:pos x="csX10415" y="csY10415"/>
              </a:cxn>
              <a:cxn ang="0">
                <a:pos x="csX10416" y="csY10416"/>
              </a:cxn>
              <a:cxn ang="0">
                <a:pos x="csX10417" y="csY10417"/>
              </a:cxn>
              <a:cxn ang="0">
                <a:pos x="csX10418" y="csY10418"/>
              </a:cxn>
              <a:cxn ang="0">
                <a:pos x="csX10419" y="csY10419"/>
              </a:cxn>
              <a:cxn ang="0">
                <a:pos x="csX10420" y="csY10420"/>
              </a:cxn>
              <a:cxn ang="0">
                <a:pos x="csX10421" y="csY10421"/>
              </a:cxn>
              <a:cxn ang="0">
                <a:pos x="csX10422" y="csY10422"/>
              </a:cxn>
              <a:cxn ang="0">
                <a:pos x="csX10423" y="csY10423"/>
              </a:cxn>
              <a:cxn ang="0">
                <a:pos x="csX10424" y="csY10424"/>
              </a:cxn>
              <a:cxn ang="0">
                <a:pos x="csX10425" y="csY10425"/>
              </a:cxn>
              <a:cxn ang="0">
                <a:pos x="csX10426" y="csY10426"/>
              </a:cxn>
              <a:cxn ang="0">
                <a:pos x="csX10427" y="csY10427"/>
              </a:cxn>
              <a:cxn ang="0">
                <a:pos x="csX10428" y="csY10428"/>
              </a:cxn>
              <a:cxn ang="0">
                <a:pos x="csX10429" y="csY10429"/>
              </a:cxn>
              <a:cxn ang="0">
                <a:pos x="csX10430" y="csY10430"/>
              </a:cxn>
              <a:cxn ang="0">
                <a:pos x="csX10431" y="csY10431"/>
              </a:cxn>
              <a:cxn ang="0">
                <a:pos x="csX10432" y="csY10432"/>
              </a:cxn>
              <a:cxn ang="0">
                <a:pos x="csX10433" y="csY10433"/>
              </a:cxn>
              <a:cxn ang="0">
                <a:pos x="csX10434" y="csY10434"/>
              </a:cxn>
              <a:cxn ang="0">
                <a:pos x="csX10435" y="csY10435"/>
              </a:cxn>
              <a:cxn ang="0">
                <a:pos x="csX10436" y="csY10436"/>
              </a:cxn>
              <a:cxn ang="0">
                <a:pos x="csX10437" y="csY10437"/>
              </a:cxn>
              <a:cxn ang="0">
                <a:pos x="csX10438" y="csY10438"/>
              </a:cxn>
              <a:cxn ang="0">
                <a:pos x="csX10439" y="csY10439"/>
              </a:cxn>
              <a:cxn ang="0">
                <a:pos x="csX10440" y="csY10440"/>
              </a:cxn>
              <a:cxn ang="0">
                <a:pos x="csX10441" y="csY10441"/>
              </a:cxn>
              <a:cxn ang="0">
                <a:pos x="csX10442" y="csY10442"/>
              </a:cxn>
              <a:cxn ang="0">
                <a:pos x="csX10443" y="csY10443"/>
              </a:cxn>
              <a:cxn ang="0">
                <a:pos x="csX10444" y="csY10444"/>
              </a:cxn>
              <a:cxn ang="0">
                <a:pos x="csX10445" y="csY10445"/>
              </a:cxn>
              <a:cxn ang="0">
                <a:pos x="csX10446" y="csY10446"/>
              </a:cxn>
              <a:cxn ang="0">
                <a:pos x="csX10447" y="csY10447"/>
              </a:cxn>
              <a:cxn ang="0">
                <a:pos x="csX10448" y="csY10448"/>
              </a:cxn>
              <a:cxn ang="0">
                <a:pos x="csX10449" y="csY10449"/>
              </a:cxn>
              <a:cxn ang="0">
                <a:pos x="csX10450" y="csY10450"/>
              </a:cxn>
              <a:cxn ang="0">
                <a:pos x="csX10451" y="csY10451"/>
              </a:cxn>
              <a:cxn ang="0">
                <a:pos x="csX10452" y="csY10452"/>
              </a:cxn>
              <a:cxn ang="0">
                <a:pos x="csX10453" y="csY10453"/>
              </a:cxn>
              <a:cxn ang="0">
                <a:pos x="csX10454" y="csY10454"/>
              </a:cxn>
              <a:cxn ang="0">
                <a:pos x="csX10455" y="csY10455"/>
              </a:cxn>
              <a:cxn ang="0">
                <a:pos x="csX10456" y="csY10456"/>
              </a:cxn>
              <a:cxn ang="0">
                <a:pos x="csX10457" y="csY10457"/>
              </a:cxn>
              <a:cxn ang="0">
                <a:pos x="csX10458" y="csY10458"/>
              </a:cxn>
              <a:cxn ang="0">
                <a:pos x="csX10459" y="csY10459"/>
              </a:cxn>
              <a:cxn ang="0">
                <a:pos x="csX10460" y="csY10460"/>
              </a:cxn>
              <a:cxn ang="0">
                <a:pos x="csX10461" y="csY10461"/>
              </a:cxn>
              <a:cxn ang="0">
                <a:pos x="csX10462" y="csY10462"/>
              </a:cxn>
              <a:cxn ang="0">
                <a:pos x="csX10463" y="csY10463"/>
              </a:cxn>
              <a:cxn ang="0">
                <a:pos x="csX10464" y="csY10464"/>
              </a:cxn>
              <a:cxn ang="0">
                <a:pos x="csX10465" y="csY10465"/>
              </a:cxn>
              <a:cxn ang="0">
                <a:pos x="csX10466" y="csY10466"/>
              </a:cxn>
              <a:cxn ang="0">
                <a:pos x="csX10467" y="csY10467"/>
              </a:cxn>
              <a:cxn ang="0">
                <a:pos x="csX10468" y="csY10468"/>
              </a:cxn>
              <a:cxn ang="0">
                <a:pos x="csX10469" y="csY10469"/>
              </a:cxn>
              <a:cxn ang="0">
                <a:pos x="csX10470" y="csY10470"/>
              </a:cxn>
              <a:cxn ang="0">
                <a:pos x="csX10471" y="csY10471"/>
              </a:cxn>
              <a:cxn ang="0">
                <a:pos x="csX10472" y="csY10472"/>
              </a:cxn>
              <a:cxn ang="0">
                <a:pos x="csX10473" y="csY10473"/>
              </a:cxn>
              <a:cxn ang="0">
                <a:pos x="csX10474" y="csY10474"/>
              </a:cxn>
              <a:cxn ang="0">
                <a:pos x="csX10475" y="csY10475"/>
              </a:cxn>
              <a:cxn ang="0">
                <a:pos x="csX10476" y="csY10476"/>
              </a:cxn>
              <a:cxn ang="0">
                <a:pos x="csX10477" y="csY10477"/>
              </a:cxn>
              <a:cxn ang="0">
                <a:pos x="csX10478" y="csY10478"/>
              </a:cxn>
              <a:cxn ang="0">
                <a:pos x="csX10479" y="csY10479"/>
              </a:cxn>
              <a:cxn ang="0">
                <a:pos x="csX10480" y="csY10480"/>
              </a:cxn>
              <a:cxn ang="0">
                <a:pos x="csX10481" y="csY10481"/>
              </a:cxn>
              <a:cxn ang="0">
                <a:pos x="csX10482" y="csY10482"/>
              </a:cxn>
              <a:cxn ang="0">
                <a:pos x="csX10483" y="csY10483"/>
              </a:cxn>
              <a:cxn ang="0">
                <a:pos x="csX10484" y="csY10484"/>
              </a:cxn>
              <a:cxn ang="0">
                <a:pos x="csX10485" y="csY10485"/>
              </a:cxn>
              <a:cxn ang="0">
                <a:pos x="csX10486" y="csY10486"/>
              </a:cxn>
              <a:cxn ang="0">
                <a:pos x="csX10487" y="csY10487"/>
              </a:cxn>
              <a:cxn ang="0">
                <a:pos x="csX10488" y="csY10488"/>
              </a:cxn>
              <a:cxn ang="0">
                <a:pos x="csX10489" y="csY10489"/>
              </a:cxn>
              <a:cxn ang="0">
                <a:pos x="csX10490" y="csY10490"/>
              </a:cxn>
              <a:cxn ang="0">
                <a:pos x="csX10491" y="csY10491"/>
              </a:cxn>
              <a:cxn ang="0">
                <a:pos x="csX10492" y="csY10492"/>
              </a:cxn>
              <a:cxn ang="0">
                <a:pos x="csX10493" y="csY10493"/>
              </a:cxn>
              <a:cxn ang="0">
                <a:pos x="csX10494" y="csY10494"/>
              </a:cxn>
              <a:cxn ang="0">
                <a:pos x="csX10495" y="csY10495"/>
              </a:cxn>
              <a:cxn ang="0">
                <a:pos x="csX10496" y="csY10496"/>
              </a:cxn>
              <a:cxn ang="0">
                <a:pos x="csX10497" y="csY10497"/>
              </a:cxn>
              <a:cxn ang="0">
                <a:pos x="csX10498" y="csY10498"/>
              </a:cxn>
              <a:cxn ang="0">
                <a:pos x="csX10499" y="csY10499"/>
              </a:cxn>
              <a:cxn ang="0">
                <a:pos x="csX10500" y="csY10500"/>
              </a:cxn>
              <a:cxn ang="0">
                <a:pos x="csX10501" y="csY10501"/>
              </a:cxn>
              <a:cxn ang="0">
                <a:pos x="csX10502" y="csY10502"/>
              </a:cxn>
              <a:cxn ang="0">
                <a:pos x="csX10503" y="csY10503"/>
              </a:cxn>
              <a:cxn ang="0">
                <a:pos x="csX10504" y="csY10504"/>
              </a:cxn>
              <a:cxn ang="0">
                <a:pos x="csX10505" y="csY10505"/>
              </a:cxn>
              <a:cxn ang="0">
                <a:pos x="csX10506" y="csY10506"/>
              </a:cxn>
              <a:cxn ang="0">
                <a:pos x="csX10507" y="csY10507"/>
              </a:cxn>
              <a:cxn ang="0">
                <a:pos x="csX10508" y="csY10508"/>
              </a:cxn>
              <a:cxn ang="0">
                <a:pos x="csX10509" y="csY10509"/>
              </a:cxn>
              <a:cxn ang="0">
                <a:pos x="csX10510" y="csY10510"/>
              </a:cxn>
              <a:cxn ang="0">
                <a:pos x="csX10511" y="csY10511"/>
              </a:cxn>
              <a:cxn ang="0">
                <a:pos x="csX10512" y="csY10512"/>
              </a:cxn>
              <a:cxn ang="0">
                <a:pos x="csX10513" y="csY10513"/>
              </a:cxn>
              <a:cxn ang="0">
                <a:pos x="csX10514" y="csY10514"/>
              </a:cxn>
              <a:cxn ang="0">
                <a:pos x="csX10515" y="csY10515"/>
              </a:cxn>
              <a:cxn ang="0">
                <a:pos x="csX10516" y="csY10516"/>
              </a:cxn>
              <a:cxn ang="0">
                <a:pos x="csX10517" y="csY10517"/>
              </a:cxn>
              <a:cxn ang="0">
                <a:pos x="csX10518" y="csY10518"/>
              </a:cxn>
              <a:cxn ang="0">
                <a:pos x="csX10519" y="csY10519"/>
              </a:cxn>
              <a:cxn ang="0">
                <a:pos x="csX10520" y="csY10520"/>
              </a:cxn>
              <a:cxn ang="0">
                <a:pos x="csX10521" y="csY10521"/>
              </a:cxn>
              <a:cxn ang="0">
                <a:pos x="csX10522" y="csY10522"/>
              </a:cxn>
              <a:cxn ang="0">
                <a:pos x="csX10523" y="csY10523"/>
              </a:cxn>
              <a:cxn ang="0">
                <a:pos x="csX10524" y="csY10524"/>
              </a:cxn>
              <a:cxn ang="0">
                <a:pos x="csX10525" y="csY10525"/>
              </a:cxn>
              <a:cxn ang="0">
                <a:pos x="csX10526" y="csY10526"/>
              </a:cxn>
              <a:cxn ang="0">
                <a:pos x="csX10527" y="csY10527"/>
              </a:cxn>
              <a:cxn ang="0">
                <a:pos x="csX10528" y="csY10528"/>
              </a:cxn>
              <a:cxn ang="0">
                <a:pos x="csX10529" y="csY10529"/>
              </a:cxn>
              <a:cxn ang="0">
                <a:pos x="csX10530" y="csY10530"/>
              </a:cxn>
              <a:cxn ang="0">
                <a:pos x="csX10531" y="csY10531"/>
              </a:cxn>
              <a:cxn ang="0">
                <a:pos x="csX10532" y="csY10532"/>
              </a:cxn>
              <a:cxn ang="0">
                <a:pos x="csX10533" y="csY10533"/>
              </a:cxn>
              <a:cxn ang="0">
                <a:pos x="csX10534" y="csY10534"/>
              </a:cxn>
              <a:cxn ang="0">
                <a:pos x="csX10535" y="csY10535"/>
              </a:cxn>
              <a:cxn ang="0">
                <a:pos x="csX10536" y="csY10536"/>
              </a:cxn>
              <a:cxn ang="0">
                <a:pos x="csX10537" y="csY10537"/>
              </a:cxn>
              <a:cxn ang="0">
                <a:pos x="csX10538" y="csY10538"/>
              </a:cxn>
              <a:cxn ang="0">
                <a:pos x="csX10539" y="csY10539"/>
              </a:cxn>
              <a:cxn ang="0">
                <a:pos x="csX10540" y="csY10540"/>
              </a:cxn>
              <a:cxn ang="0">
                <a:pos x="csX10541" y="csY10541"/>
              </a:cxn>
              <a:cxn ang="0">
                <a:pos x="csX10542" y="csY10542"/>
              </a:cxn>
              <a:cxn ang="0">
                <a:pos x="csX10543" y="csY10543"/>
              </a:cxn>
              <a:cxn ang="0">
                <a:pos x="csX10544" y="csY10544"/>
              </a:cxn>
              <a:cxn ang="0">
                <a:pos x="csX10545" y="csY10545"/>
              </a:cxn>
              <a:cxn ang="0">
                <a:pos x="csX10546" y="csY10546"/>
              </a:cxn>
              <a:cxn ang="0">
                <a:pos x="csX10547" y="csY10547"/>
              </a:cxn>
              <a:cxn ang="0">
                <a:pos x="csX10548" y="csY10548"/>
              </a:cxn>
              <a:cxn ang="0">
                <a:pos x="csX10549" y="csY10549"/>
              </a:cxn>
              <a:cxn ang="0">
                <a:pos x="csX10550" y="csY10550"/>
              </a:cxn>
              <a:cxn ang="0">
                <a:pos x="csX10551" y="csY10551"/>
              </a:cxn>
              <a:cxn ang="0">
                <a:pos x="csX10552" y="csY10552"/>
              </a:cxn>
              <a:cxn ang="0">
                <a:pos x="csX10553" y="csY10553"/>
              </a:cxn>
              <a:cxn ang="0">
                <a:pos x="csX10554" y="csY10554"/>
              </a:cxn>
              <a:cxn ang="0">
                <a:pos x="csX10555" y="csY10555"/>
              </a:cxn>
              <a:cxn ang="0">
                <a:pos x="csX10556" y="csY10556"/>
              </a:cxn>
              <a:cxn ang="0">
                <a:pos x="csX10557" y="csY10557"/>
              </a:cxn>
              <a:cxn ang="0">
                <a:pos x="csX10558" y="csY10558"/>
              </a:cxn>
              <a:cxn ang="0">
                <a:pos x="csX10559" y="csY10559"/>
              </a:cxn>
              <a:cxn ang="0">
                <a:pos x="csX10560" y="csY10560"/>
              </a:cxn>
              <a:cxn ang="0">
                <a:pos x="csX10561" y="csY10561"/>
              </a:cxn>
              <a:cxn ang="0">
                <a:pos x="csX10562" y="csY10562"/>
              </a:cxn>
              <a:cxn ang="0">
                <a:pos x="csX10563" y="csY10563"/>
              </a:cxn>
              <a:cxn ang="0">
                <a:pos x="csX10564" y="csY10564"/>
              </a:cxn>
              <a:cxn ang="0">
                <a:pos x="csX10565" y="csY10565"/>
              </a:cxn>
              <a:cxn ang="0">
                <a:pos x="csX10566" y="csY10566"/>
              </a:cxn>
              <a:cxn ang="0">
                <a:pos x="csX10567" y="csY10567"/>
              </a:cxn>
              <a:cxn ang="0">
                <a:pos x="csX10568" y="csY10568"/>
              </a:cxn>
              <a:cxn ang="0">
                <a:pos x="csX10569" y="csY10569"/>
              </a:cxn>
              <a:cxn ang="0">
                <a:pos x="csX10570" y="csY10570"/>
              </a:cxn>
              <a:cxn ang="0">
                <a:pos x="csX10571" y="csY10571"/>
              </a:cxn>
              <a:cxn ang="0">
                <a:pos x="csX10572" y="csY10572"/>
              </a:cxn>
              <a:cxn ang="0">
                <a:pos x="csX10573" y="csY10573"/>
              </a:cxn>
              <a:cxn ang="0">
                <a:pos x="csX10574" y="csY10574"/>
              </a:cxn>
              <a:cxn ang="0">
                <a:pos x="csX10575" y="csY10575"/>
              </a:cxn>
              <a:cxn ang="0">
                <a:pos x="csX10576" y="csY10576"/>
              </a:cxn>
              <a:cxn ang="0">
                <a:pos x="csX10577" y="csY10577"/>
              </a:cxn>
              <a:cxn ang="0">
                <a:pos x="csX10578" y="csY10578"/>
              </a:cxn>
              <a:cxn ang="0">
                <a:pos x="csX10579" y="csY10579"/>
              </a:cxn>
              <a:cxn ang="0">
                <a:pos x="csX10580" y="csY10580"/>
              </a:cxn>
              <a:cxn ang="0">
                <a:pos x="csX10581" y="csY10581"/>
              </a:cxn>
              <a:cxn ang="0">
                <a:pos x="csX10582" y="csY10582"/>
              </a:cxn>
              <a:cxn ang="0">
                <a:pos x="csX10583" y="csY10583"/>
              </a:cxn>
              <a:cxn ang="0">
                <a:pos x="csX10584" y="csY10584"/>
              </a:cxn>
              <a:cxn ang="0">
                <a:pos x="csX10585" y="csY10585"/>
              </a:cxn>
              <a:cxn ang="0">
                <a:pos x="csX10586" y="csY10586"/>
              </a:cxn>
              <a:cxn ang="0">
                <a:pos x="csX10587" y="csY10587"/>
              </a:cxn>
              <a:cxn ang="0">
                <a:pos x="csX10588" y="csY10588"/>
              </a:cxn>
              <a:cxn ang="0">
                <a:pos x="csX10589" y="csY10589"/>
              </a:cxn>
              <a:cxn ang="0">
                <a:pos x="csX10590" y="csY10590"/>
              </a:cxn>
              <a:cxn ang="0">
                <a:pos x="csX10591" y="csY10591"/>
              </a:cxn>
              <a:cxn ang="0">
                <a:pos x="csX10592" y="csY10592"/>
              </a:cxn>
              <a:cxn ang="0">
                <a:pos x="csX10593" y="csY10593"/>
              </a:cxn>
              <a:cxn ang="0">
                <a:pos x="csX10594" y="csY10594"/>
              </a:cxn>
              <a:cxn ang="0">
                <a:pos x="csX10595" y="csY10595"/>
              </a:cxn>
              <a:cxn ang="0">
                <a:pos x="csX10596" y="csY10596"/>
              </a:cxn>
              <a:cxn ang="0">
                <a:pos x="csX10597" y="csY10597"/>
              </a:cxn>
              <a:cxn ang="0">
                <a:pos x="csX10598" y="csY10598"/>
              </a:cxn>
              <a:cxn ang="0">
                <a:pos x="csX10599" y="csY10599"/>
              </a:cxn>
              <a:cxn ang="0">
                <a:pos x="csX10600" y="csY10600"/>
              </a:cxn>
              <a:cxn ang="0">
                <a:pos x="csX10601" y="csY10601"/>
              </a:cxn>
              <a:cxn ang="0">
                <a:pos x="csX10602" y="csY10602"/>
              </a:cxn>
              <a:cxn ang="0">
                <a:pos x="csX10603" y="csY10603"/>
              </a:cxn>
              <a:cxn ang="0">
                <a:pos x="csX10604" y="csY10604"/>
              </a:cxn>
              <a:cxn ang="0">
                <a:pos x="csX10605" y="csY10605"/>
              </a:cxn>
              <a:cxn ang="0">
                <a:pos x="csX10606" y="csY10606"/>
              </a:cxn>
              <a:cxn ang="0">
                <a:pos x="csX10607" y="csY10607"/>
              </a:cxn>
              <a:cxn ang="0">
                <a:pos x="csX10608" y="csY10608"/>
              </a:cxn>
              <a:cxn ang="0">
                <a:pos x="csX10609" y="csY10609"/>
              </a:cxn>
              <a:cxn ang="0">
                <a:pos x="csX10610" y="csY10610"/>
              </a:cxn>
              <a:cxn ang="0">
                <a:pos x="csX10611" y="csY10611"/>
              </a:cxn>
              <a:cxn ang="0">
                <a:pos x="csX10612" y="csY10612"/>
              </a:cxn>
              <a:cxn ang="0">
                <a:pos x="csX10613" y="csY10613"/>
              </a:cxn>
              <a:cxn ang="0">
                <a:pos x="csX10614" y="csY10614"/>
              </a:cxn>
              <a:cxn ang="0">
                <a:pos x="csX10615" y="csY10615"/>
              </a:cxn>
              <a:cxn ang="0">
                <a:pos x="csX10616" y="csY10616"/>
              </a:cxn>
              <a:cxn ang="0">
                <a:pos x="csX10617" y="csY10617"/>
              </a:cxn>
              <a:cxn ang="0">
                <a:pos x="csX10618" y="csY10618"/>
              </a:cxn>
              <a:cxn ang="0">
                <a:pos x="csX10619" y="csY10619"/>
              </a:cxn>
              <a:cxn ang="0">
                <a:pos x="csX10620" y="csY10620"/>
              </a:cxn>
              <a:cxn ang="0">
                <a:pos x="csX10621" y="csY10621"/>
              </a:cxn>
              <a:cxn ang="0">
                <a:pos x="csX10622" y="csY10622"/>
              </a:cxn>
              <a:cxn ang="0">
                <a:pos x="csX10623" y="csY10623"/>
              </a:cxn>
              <a:cxn ang="0">
                <a:pos x="csX10624" y="csY10624"/>
              </a:cxn>
              <a:cxn ang="0">
                <a:pos x="csX10625" y="csY10625"/>
              </a:cxn>
              <a:cxn ang="0">
                <a:pos x="csX10626" y="csY10626"/>
              </a:cxn>
              <a:cxn ang="0">
                <a:pos x="csX10627" y="csY10627"/>
              </a:cxn>
              <a:cxn ang="0">
                <a:pos x="csX10628" y="csY10628"/>
              </a:cxn>
              <a:cxn ang="0">
                <a:pos x="csX10629" y="csY10629"/>
              </a:cxn>
              <a:cxn ang="0">
                <a:pos x="csX10630" y="csY10630"/>
              </a:cxn>
              <a:cxn ang="0">
                <a:pos x="csX10631" y="csY10631"/>
              </a:cxn>
              <a:cxn ang="0">
                <a:pos x="csX10632" y="csY10632"/>
              </a:cxn>
              <a:cxn ang="0">
                <a:pos x="csX10633" y="csY10633"/>
              </a:cxn>
              <a:cxn ang="0">
                <a:pos x="csX10634" y="csY10634"/>
              </a:cxn>
              <a:cxn ang="0">
                <a:pos x="csX10635" y="csY10635"/>
              </a:cxn>
              <a:cxn ang="0">
                <a:pos x="csX10636" y="csY10636"/>
              </a:cxn>
              <a:cxn ang="0">
                <a:pos x="csX10637" y="csY10637"/>
              </a:cxn>
              <a:cxn ang="0">
                <a:pos x="csX10638" y="csY10638"/>
              </a:cxn>
              <a:cxn ang="0">
                <a:pos x="csX10639" y="csY10639"/>
              </a:cxn>
              <a:cxn ang="0">
                <a:pos x="csX10640" y="csY10640"/>
              </a:cxn>
              <a:cxn ang="0">
                <a:pos x="csX10641" y="csY10641"/>
              </a:cxn>
              <a:cxn ang="0">
                <a:pos x="csX10642" y="csY10642"/>
              </a:cxn>
              <a:cxn ang="0">
                <a:pos x="csX10643" y="csY10643"/>
              </a:cxn>
              <a:cxn ang="0">
                <a:pos x="csX10644" y="csY10644"/>
              </a:cxn>
              <a:cxn ang="0">
                <a:pos x="csX10645" y="csY10645"/>
              </a:cxn>
              <a:cxn ang="0">
                <a:pos x="csX10646" y="csY10646"/>
              </a:cxn>
              <a:cxn ang="0">
                <a:pos x="csX10647" y="csY10647"/>
              </a:cxn>
              <a:cxn ang="0">
                <a:pos x="csX10648" y="csY10648"/>
              </a:cxn>
              <a:cxn ang="0">
                <a:pos x="csX10649" y="csY10649"/>
              </a:cxn>
              <a:cxn ang="0">
                <a:pos x="csX10650" y="csY10650"/>
              </a:cxn>
              <a:cxn ang="0">
                <a:pos x="csX10651" y="csY10651"/>
              </a:cxn>
              <a:cxn ang="0">
                <a:pos x="csX10652" y="csY10652"/>
              </a:cxn>
              <a:cxn ang="0">
                <a:pos x="csX10653" y="csY10653"/>
              </a:cxn>
              <a:cxn ang="0">
                <a:pos x="csX10654" y="csY10654"/>
              </a:cxn>
              <a:cxn ang="0">
                <a:pos x="csX10655" y="csY10655"/>
              </a:cxn>
              <a:cxn ang="0">
                <a:pos x="csX10656" y="csY10656"/>
              </a:cxn>
              <a:cxn ang="0">
                <a:pos x="csX10657" y="csY10657"/>
              </a:cxn>
              <a:cxn ang="0">
                <a:pos x="csX10658" y="csY10658"/>
              </a:cxn>
              <a:cxn ang="0">
                <a:pos x="csX10659" y="csY10659"/>
              </a:cxn>
              <a:cxn ang="0">
                <a:pos x="csX10660" y="csY10660"/>
              </a:cxn>
              <a:cxn ang="0">
                <a:pos x="csX10661" y="csY10661"/>
              </a:cxn>
              <a:cxn ang="0">
                <a:pos x="csX10662" y="csY10662"/>
              </a:cxn>
              <a:cxn ang="0">
                <a:pos x="csX10663" y="csY10663"/>
              </a:cxn>
              <a:cxn ang="0">
                <a:pos x="csX10664" y="csY10664"/>
              </a:cxn>
              <a:cxn ang="0">
                <a:pos x="csX10665" y="csY10665"/>
              </a:cxn>
              <a:cxn ang="0">
                <a:pos x="csX10666" y="csY10666"/>
              </a:cxn>
              <a:cxn ang="0">
                <a:pos x="csX10667" y="csY10667"/>
              </a:cxn>
              <a:cxn ang="0">
                <a:pos x="csX10668" y="csY10668"/>
              </a:cxn>
              <a:cxn ang="0">
                <a:pos x="csX10669" y="csY10669"/>
              </a:cxn>
              <a:cxn ang="0">
                <a:pos x="csX10670" y="csY10670"/>
              </a:cxn>
              <a:cxn ang="0">
                <a:pos x="csX10671" y="csY10671"/>
              </a:cxn>
              <a:cxn ang="0">
                <a:pos x="csX10672" y="csY10672"/>
              </a:cxn>
              <a:cxn ang="0">
                <a:pos x="csX10673" y="csY10673"/>
              </a:cxn>
              <a:cxn ang="0">
                <a:pos x="csX10674" y="csY10674"/>
              </a:cxn>
              <a:cxn ang="0">
                <a:pos x="csX10675" y="csY10675"/>
              </a:cxn>
              <a:cxn ang="0">
                <a:pos x="csX10676" y="csY10676"/>
              </a:cxn>
              <a:cxn ang="0">
                <a:pos x="csX10677" y="csY10677"/>
              </a:cxn>
              <a:cxn ang="0">
                <a:pos x="csX10678" y="csY10678"/>
              </a:cxn>
              <a:cxn ang="0">
                <a:pos x="csX10679" y="csY10679"/>
              </a:cxn>
              <a:cxn ang="0">
                <a:pos x="csX10680" y="csY10680"/>
              </a:cxn>
              <a:cxn ang="0">
                <a:pos x="csX10681" y="csY10681"/>
              </a:cxn>
              <a:cxn ang="0">
                <a:pos x="csX10682" y="csY10682"/>
              </a:cxn>
              <a:cxn ang="0">
                <a:pos x="csX10683" y="csY10683"/>
              </a:cxn>
              <a:cxn ang="0">
                <a:pos x="csX10684" y="csY10684"/>
              </a:cxn>
              <a:cxn ang="0">
                <a:pos x="csX10685" y="csY10685"/>
              </a:cxn>
              <a:cxn ang="0">
                <a:pos x="csX10686" y="csY10686"/>
              </a:cxn>
              <a:cxn ang="0">
                <a:pos x="csX10687" y="csY10687"/>
              </a:cxn>
              <a:cxn ang="0">
                <a:pos x="csX10688" y="csY10688"/>
              </a:cxn>
              <a:cxn ang="0">
                <a:pos x="csX10689" y="csY10689"/>
              </a:cxn>
              <a:cxn ang="0">
                <a:pos x="csX10690" y="csY10690"/>
              </a:cxn>
              <a:cxn ang="0">
                <a:pos x="csX10691" y="csY10691"/>
              </a:cxn>
              <a:cxn ang="0">
                <a:pos x="csX10692" y="csY10692"/>
              </a:cxn>
              <a:cxn ang="0">
                <a:pos x="csX10693" y="csY10693"/>
              </a:cxn>
              <a:cxn ang="0">
                <a:pos x="csX10694" y="csY10694"/>
              </a:cxn>
              <a:cxn ang="0">
                <a:pos x="csX10695" y="csY10695"/>
              </a:cxn>
              <a:cxn ang="0">
                <a:pos x="csX10696" y="csY10696"/>
              </a:cxn>
              <a:cxn ang="0">
                <a:pos x="csX10697" y="csY10697"/>
              </a:cxn>
              <a:cxn ang="0">
                <a:pos x="csX10698" y="csY10698"/>
              </a:cxn>
              <a:cxn ang="0">
                <a:pos x="csX10699" y="csY10699"/>
              </a:cxn>
              <a:cxn ang="0">
                <a:pos x="csX10700" y="csY10700"/>
              </a:cxn>
              <a:cxn ang="0">
                <a:pos x="csX10701" y="csY10701"/>
              </a:cxn>
              <a:cxn ang="0">
                <a:pos x="csX10702" y="csY10702"/>
              </a:cxn>
              <a:cxn ang="0">
                <a:pos x="csX10703" y="csY10703"/>
              </a:cxn>
              <a:cxn ang="0">
                <a:pos x="csX10704" y="csY10704"/>
              </a:cxn>
              <a:cxn ang="0">
                <a:pos x="csX10705" y="csY10705"/>
              </a:cxn>
              <a:cxn ang="0">
                <a:pos x="csX10706" y="csY10706"/>
              </a:cxn>
              <a:cxn ang="0">
                <a:pos x="csX10707" y="csY10707"/>
              </a:cxn>
              <a:cxn ang="0">
                <a:pos x="csX10708" y="csY10708"/>
              </a:cxn>
              <a:cxn ang="0">
                <a:pos x="csX10709" y="csY10709"/>
              </a:cxn>
              <a:cxn ang="0">
                <a:pos x="csX10710" y="csY10710"/>
              </a:cxn>
              <a:cxn ang="0">
                <a:pos x="csX10711" y="csY10711"/>
              </a:cxn>
              <a:cxn ang="0">
                <a:pos x="csX10712" y="csY10712"/>
              </a:cxn>
              <a:cxn ang="0">
                <a:pos x="csX10713" y="csY10713"/>
              </a:cxn>
              <a:cxn ang="0">
                <a:pos x="csX10714" y="csY10714"/>
              </a:cxn>
              <a:cxn ang="0">
                <a:pos x="csX10715" y="csY10715"/>
              </a:cxn>
              <a:cxn ang="0">
                <a:pos x="csX10716" y="csY10716"/>
              </a:cxn>
              <a:cxn ang="0">
                <a:pos x="csX10717" y="csY10717"/>
              </a:cxn>
              <a:cxn ang="0">
                <a:pos x="csX10718" y="csY10718"/>
              </a:cxn>
              <a:cxn ang="0">
                <a:pos x="csX10719" y="csY10719"/>
              </a:cxn>
              <a:cxn ang="0">
                <a:pos x="csX10720" y="csY10720"/>
              </a:cxn>
              <a:cxn ang="0">
                <a:pos x="csX10721" y="csY10721"/>
              </a:cxn>
              <a:cxn ang="0">
                <a:pos x="csX10722" y="csY10722"/>
              </a:cxn>
              <a:cxn ang="0">
                <a:pos x="csX10723" y="csY10723"/>
              </a:cxn>
              <a:cxn ang="0">
                <a:pos x="csX10724" y="csY10724"/>
              </a:cxn>
              <a:cxn ang="0">
                <a:pos x="csX10725" y="csY10725"/>
              </a:cxn>
              <a:cxn ang="0">
                <a:pos x="csX10726" y="csY10726"/>
              </a:cxn>
              <a:cxn ang="0">
                <a:pos x="csX10727" y="csY10727"/>
              </a:cxn>
              <a:cxn ang="0">
                <a:pos x="csX10728" y="csY10728"/>
              </a:cxn>
              <a:cxn ang="0">
                <a:pos x="csX10729" y="csY10729"/>
              </a:cxn>
              <a:cxn ang="0">
                <a:pos x="csX10730" y="csY10730"/>
              </a:cxn>
              <a:cxn ang="0">
                <a:pos x="csX10731" y="csY10731"/>
              </a:cxn>
              <a:cxn ang="0">
                <a:pos x="csX10732" y="csY10732"/>
              </a:cxn>
              <a:cxn ang="0">
                <a:pos x="csX10733" y="csY10733"/>
              </a:cxn>
              <a:cxn ang="0">
                <a:pos x="csX10734" y="csY10734"/>
              </a:cxn>
              <a:cxn ang="0">
                <a:pos x="csX10735" y="csY10735"/>
              </a:cxn>
              <a:cxn ang="0">
                <a:pos x="csX10736" y="csY10736"/>
              </a:cxn>
              <a:cxn ang="0">
                <a:pos x="csX10737" y="csY10737"/>
              </a:cxn>
              <a:cxn ang="0">
                <a:pos x="csX10738" y="csY10738"/>
              </a:cxn>
              <a:cxn ang="0">
                <a:pos x="csX10739" y="csY10739"/>
              </a:cxn>
              <a:cxn ang="0">
                <a:pos x="csX10740" y="csY10740"/>
              </a:cxn>
              <a:cxn ang="0">
                <a:pos x="csX10741" y="csY10741"/>
              </a:cxn>
              <a:cxn ang="0">
                <a:pos x="csX10742" y="csY10742"/>
              </a:cxn>
              <a:cxn ang="0">
                <a:pos x="csX10743" y="csY10743"/>
              </a:cxn>
              <a:cxn ang="0">
                <a:pos x="csX10744" y="csY10744"/>
              </a:cxn>
              <a:cxn ang="0">
                <a:pos x="csX10745" y="csY10745"/>
              </a:cxn>
              <a:cxn ang="0">
                <a:pos x="csX10746" y="csY10746"/>
              </a:cxn>
              <a:cxn ang="0">
                <a:pos x="csX10747" y="csY10747"/>
              </a:cxn>
              <a:cxn ang="0">
                <a:pos x="csX10748" y="csY10748"/>
              </a:cxn>
              <a:cxn ang="0">
                <a:pos x="csX10749" y="csY10749"/>
              </a:cxn>
              <a:cxn ang="0">
                <a:pos x="csX10750" y="csY10750"/>
              </a:cxn>
              <a:cxn ang="0">
                <a:pos x="csX10751" y="csY10751"/>
              </a:cxn>
              <a:cxn ang="0">
                <a:pos x="csX10752" y="csY10752"/>
              </a:cxn>
              <a:cxn ang="0">
                <a:pos x="csX10753" y="csY10753"/>
              </a:cxn>
              <a:cxn ang="0">
                <a:pos x="csX10754" y="csY10754"/>
              </a:cxn>
              <a:cxn ang="0">
                <a:pos x="csX10755" y="csY10755"/>
              </a:cxn>
              <a:cxn ang="0">
                <a:pos x="csX10756" y="csY10756"/>
              </a:cxn>
              <a:cxn ang="0">
                <a:pos x="csX10757" y="csY10757"/>
              </a:cxn>
              <a:cxn ang="0">
                <a:pos x="csX10758" y="csY10758"/>
              </a:cxn>
              <a:cxn ang="0">
                <a:pos x="csX10759" y="csY10759"/>
              </a:cxn>
              <a:cxn ang="0">
                <a:pos x="csX10760" y="csY10760"/>
              </a:cxn>
              <a:cxn ang="0">
                <a:pos x="csX10761" y="csY10761"/>
              </a:cxn>
              <a:cxn ang="0">
                <a:pos x="csX10762" y="csY10762"/>
              </a:cxn>
              <a:cxn ang="0">
                <a:pos x="csX10763" y="csY10763"/>
              </a:cxn>
              <a:cxn ang="0">
                <a:pos x="csX10764" y="csY10764"/>
              </a:cxn>
              <a:cxn ang="0">
                <a:pos x="csX10765" y="csY10765"/>
              </a:cxn>
              <a:cxn ang="0">
                <a:pos x="csX10766" y="csY10766"/>
              </a:cxn>
              <a:cxn ang="0">
                <a:pos x="csX10767" y="csY10767"/>
              </a:cxn>
              <a:cxn ang="0">
                <a:pos x="csX10768" y="csY10768"/>
              </a:cxn>
              <a:cxn ang="0">
                <a:pos x="csX10769" y="csY10769"/>
              </a:cxn>
              <a:cxn ang="0">
                <a:pos x="csX10770" y="csY10770"/>
              </a:cxn>
              <a:cxn ang="0">
                <a:pos x="csX10771" y="csY10771"/>
              </a:cxn>
              <a:cxn ang="0">
                <a:pos x="csX10772" y="csY10772"/>
              </a:cxn>
              <a:cxn ang="0">
                <a:pos x="csX10773" y="csY10773"/>
              </a:cxn>
              <a:cxn ang="0">
                <a:pos x="csX10774" y="csY10774"/>
              </a:cxn>
              <a:cxn ang="0">
                <a:pos x="csX10775" y="csY10775"/>
              </a:cxn>
              <a:cxn ang="0">
                <a:pos x="csX10776" y="csY10776"/>
              </a:cxn>
              <a:cxn ang="0">
                <a:pos x="csX10777" y="csY10777"/>
              </a:cxn>
              <a:cxn ang="0">
                <a:pos x="csX10778" y="csY10778"/>
              </a:cxn>
              <a:cxn ang="0">
                <a:pos x="csX10779" y="csY10779"/>
              </a:cxn>
              <a:cxn ang="0">
                <a:pos x="csX10780" y="csY10780"/>
              </a:cxn>
              <a:cxn ang="0">
                <a:pos x="csX10781" y="csY10781"/>
              </a:cxn>
              <a:cxn ang="0">
                <a:pos x="csX10782" y="csY10782"/>
              </a:cxn>
              <a:cxn ang="0">
                <a:pos x="csX10783" y="csY10783"/>
              </a:cxn>
              <a:cxn ang="0">
                <a:pos x="csX10784" y="csY10784"/>
              </a:cxn>
              <a:cxn ang="0">
                <a:pos x="csX10785" y="csY10785"/>
              </a:cxn>
              <a:cxn ang="0">
                <a:pos x="csX10786" y="csY10786"/>
              </a:cxn>
              <a:cxn ang="0">
                <a:pos x="csX10787" y="csY10787"/>
              </a:cxn>
              <a:cxn ang="0">
                <a:pos x="csX10788" y="csY10788"/>
              </a:cxn>
              <a:cxn ang="0">
                <a:pos x="csX10789" y="csY10789"/>
              </a:cxn>
              <a:cxn ang="0">
                <a:pos x="csX10790" y="csY10790"/>
              </a:cxn>
              <a:cxn ang="0">
                <a:pos x="csX10791" y="csY10791"/>
              </a:cxn>
              <a:cxn ang="0">
                <a:pos x="csX10792" y="csY10792"/>
              </a:cxn>
              <a:cxn ang="0">
                <a:pos x="csX10793" y="csY10793"/>
              </a:cxn>
              <a:cxn ang="0">
                <a:pos x="csX10794" y="csY10794"/>
              </a:cxn>
              <a:cxn ang="0">
                <a:pos x="csX10795" y="csY10795"/>
              </a:cxn>
              <a:cxn ang="0">
                <a:pos x="csX10796" y="csY10796"/>
              </a:cxn>
              <a:cxn ang="0">
                <a:pos x="csX10797" y="csY10797"/>
              </a:cxn>
              <a:cxn ang="0">
                <a:pos x="csX10798" y="csY10798"/>
              </a:cxn>
              <a:cxn ang="0">
                <a:pos x="csX10799" y="csY10799"/>
              </a:cxn>
              <a:cxn ang="0">
                <a:pos x="csX10800" y="csY10800"/>
              </a:cxn>
              <a:cxn ang="0">
                <a:pos x="csX10801" y="csY10801"/>
              </a:cxn>
              <a:cxn ang="0">
                <a:pos x="csX10802" y="csY10802"/>
              </a:cxn>
              <a:cxn ang="0">
                <a:pos x="csX10803" y="csY10803"/>
              </a:cxn>
              <a:cxn ang="0">
                <a:pos x="csX10804" y="csY10804"/>
              </a:cxn>
              <a:cxn ang="0">
                <a:pos x="csX10805" y="csY10805"/>
              </a:cxn>
              <a:cxn ang="0">
                <a:pos x="csX10806" y="csY10806"/>
              </a:cxn>
              <a:cxn ang="0">
                <a:pos x="csX10807" y="csY10807"/>
              </a:cxn>
              <a:cxn ang="0">
                <a:pos x="csX10808" y="csY10808"/>
              </a:cxn>
              <a:cxn ang="0">
                <a:pos x="csX10809" y="csY10809"/>
              </a:cxn>
              <a:cxn ang="0">
                <a:pos x="csX10810" y="csY10810"/>
              </a:cxn>
              <a:cxn ang="0">
                <a:pos x="csX10811" y="csY10811"/>
              </a:cxn>
              <a:cxn ang="0">
                <a:pos x="csX10812" y="csY10812"/>
              </a:cxn>
              <a:cxn ang="0">
                <a:pos x="csX10813" y="csY10813"/>
              </a:cxn>
              <a:cxn ang="0">
                <a:pos x="csX10814" y="csY10814"/>
              </a:cxn>
              <a:cxn ang="0">
                <a:pos x="csX10815" y="csY10815"/>
              </a:cxn>
              <a:cxn ang="0">
                <a:pos x="csX10816" y="csY10816"/>
              </a:cxn>
              <a:cxn ang="0">
                <a:pos x="csX10817" y="csY10817"/>
              </a:cxn>
              <a:cxn ang="0">
                <a:pos x="csX10818" y="csY10818"/>
              </a:cxn>
              <a:cxn ang="0">
                <a:pos x="csX10819" y="csY10819"/>
              </a:cxn>
              <a:cxn ang="0">
                <a:pos x="csX10820" y="csY10820"/>
              </a:cxn>
              <a:cxn ang="0">
                <a:pos x="csX10821" y="csY10821"/>
              </a:cxn>
              <a:cxn ang="0">
                <a:pos x="csX10822" y="csY10822"/>
              </a:cxn>
              <a:cxn ang="0">
                <a:pos x="csX10823" y="csY10823"/>
              </a:cxn>
              <a:cxn ang="0">
                <a:pos x="csX10824" y="csY10824"/>
              </a:cxn>
              <a:cxn ang="0">
                <a:pos x="csX10825" y="csY10825"/>
              </a:cxn>
              <a:cxn ang="0">
                <a:pos x="csX10826" y="csY10826"/>
              </a:cxn>
              <a:cxn ang="0">
                <a:pos x="csX10827" y="csY10827"/>
              </a:cxn>
              <a:cxn ang="0">
                <a:pos x="csX10828" y="csY10828"/>
              </a:cxn>
              <a:cxn ang="0">
                <a:pos x="csX10829" y="csY10829"/>
              </a:cxn>
              <a:cxn ang="0">
                <a:pos x="csX10830" y="csY10830"/>
              </a:cxn>
              <a:cxn ang="0">
                <a:pos x="csX10831" y="csY10831"/>
              </a:cxn>
              <a:cxn ang="0">
                <a:pos x="csX10832" y="csY10832"/>
              </a:cxn>
              <a:cxn ang="0">
                <a:pos x="csX10833" y="csY10833"/>
              </a:cxn>
              <a:cxn ang="0">
                <a:pos x="csX10834" y="csY10834"/>
              </a:cxn>
              <a:cxn ang="0">
                <a:pos x="csX10835" y="csY10835"/>
              </a:cxn>
              <a:cxn ang="0">
                <a:pos x="csX10836" y="csY10836"/>
              </a:cxn>
              <a:cxn ang="0">
                <a:pos x="csX10837" y="csY10837"/>
              </a:cxn>
              <a:cxn ang="0">
                <a:pos x="csX10838" y="csY10838"/>
              </a:cxn>
              <a:cxn ang="0">
                <a:pos x="csX10839" y="csY10839"/>
              </a:cxn>
              <a:cxn ang="0">
                <a:pos x="csX10840" y="csY10840"/>
              </a:cxn>
              <a:cxn ang="0">
                <a:pos x="csX10841" y="csY10841"/>
              </a:cxn>
              <a:cxn ang="0">
                <a:pos x="csX10842" y="csY10842"/>
              </a:cxn>
              <a:cxn ang="0">
                <a:pos x="csX10843" y="csY10843"/>
              </a:cxn>
              <a:cxn ang="0">
                <a:pos x="csX10844" y="csY10844"/>
              </a:cxn>
              <a:cxn ang="0">
                <a:pos x="csX10845" y="csY10845"/>
              </a:cxn>
              <a:cxn ang="0">
                <a:pos x="csX10846" y="csY10846"/>
              </a:cxn>
              <a:cxn ang="0">
                <a:pos x="csX10847" y="csY10847"/>
              </a:cxn>
              <a:cxn ang="0">
                <a:pos x="csX10848" y="csY10848"/>
              </a:cxn>
              <a:cxn ang="0">
                <a:pos x="csX10849" y="csY10849"/>
              </a:cxn>
              <a:cxn ang="0">
                <a:pos x="csX10850" y="csY10850"/>
              </a:cxn>
              <a:cxn ang="0">
                <a:pos x="csX10851" y="csY10851"/>
              </a:cxn>
              <a:cxn ang="0">
                <a:pos x="csX10852" y="csY10852"/>
              </a:cxn>
              <a:cxn ang="0">
                <a:pos x="csX10853" y="csY10853"/>
              </a:cxn>
              <a:cxn ang="0">
                <a:pos x="csX10854" y="csY10854"/>
              </a:cxn>
              <a:cxn ang="0">
                <a:pos x="csX10855" y="csY10855"/>
              </a:cxn>
              <a:cxn ang="0">
                <a:pos x="csX10856" y="csY10856"/>
              </a:cxn>
              <a:cxn ang="0">
                <a:pos x="csX10857" y="csY10857"/>
              </a:cxn>
              <a:cxn ang="0">
                <a:pos x="csX10858" y="csY10858"/>
              </a:cxn>
              <a:cxn ang="0">
                <a:pos x="csX10859" y="csY10859"/>
              </a:cxn>
              <a:cxn ang="0">
                <a:pos x="csX10860" y="csY10860"/>
              </a:cxn>
              <a:cxn ang="0">
                <a:pos x="csX10861" y="csY10861"/>
              </a:cxn>
              <a:cxn ang="0">
                <a:pos x="csX10862" y="csY10862"/>
              </a:cxn>
              <a:cxn ang="0">
                <a:pos x="csX10863" y="csY10863"/>
              </a:cxn>
              <a:cxn ang="0">
                <a:pos x="csX10864" y="csY10864"/>
              </a:cxn>
              <a:cxn ang="0">
                <a:pos x="csX10865" y="csY10865"/>
              </a:cxn>
              <a:cxn ang="0">
                <a:pos x="csX10866" y="csY10866"/>
              </a:cxn>
              <a:cxn ang="0">
                <a:pos x="csX10867" y="csY10867"/>
              </a:cxn>
              <a:cxn ang="0">
                <a:pos x="csX10868" y="csY10868"/>
              </a:cxn>
              <a:cxn ang="0">
                <a:pos x="csX10869" y="csY10869"/>
              </a:cxn>
              <a:cxn ang="0">
                <a:pos x="csX10870" y="csY10870"/>
              </a:cxn>
              <a:cxn ang="0">
                <a:pos x="csX10871" y="csY10871"/>
              </a:cxn>
              <a:cxn ang="0">
                <a:pos x="csX10872" y="csY10872"/>
              </a:cxn>
              <a:cxn ang="0">
                <a:pos x="csX10873" y="csY10873"/>
              </a:cxn>
              <a:cxn ang="0">
                <a:pos x="csX10874" y="csY10874"/>
              </a:cxn>
              <a:cxn ang="0">
                <a:pos x="csX10875" y="csY10875"/>
              </a:cxn>
              <a:cxn ang="0">
                <a:pos x="csX10876" y="csY10876"/>
              </a:cxn>
              <a:cxn ang="0">
                <a:pos x="csX10877" y="csY10877"/>
              </a:cxn>
              <a:cxn ang="0">
                <a:pos x="csX10878" y="csY10878"/>
              </a:cxn>
              <a:cxn ang="0">
                <a:pos x="csX10879" y="csY10879"/>
              </a:cxn>
              <a:cxn ang="0">
                <a:pos x="csX10880" y="csY10880"/>
              </a:cxn>
              <a:cxn ang="0">
                <a:pos x="csX10881" y="csY10881"/>
              </a:cxn>
              <a:cxn ang="0">
                <a:pos x="csX10882" y="csY10882"/>
              </a:cxn>
              <a:cxn ang="0">
                <a:pos x="csX10883" y="csY10883"/>
              </a:cxn>
              <a:cxn ang="0">
                <a:pos x="csX10884" y="csY10884"/>
              </a:cxn>
              <a:cxn ang="0">
                <a:pos x="csX10885" y="csY10885"/>
              </a:cxn>
              <a:cxn ang="0">
                <a:pos x="csX10886" y="csY10886"/>
              </a:cxn>
              <a:cxn ang="0">
                <a:pos x="csX10887" y="csY10887"/>
              </a:cxn>
              <a:cxn ang="0">
                <a:pos x="csX10888" y="csY10888"/>
              </a:cxn>
              <a:cxn ang="0">
                <a:pos x="csX10889" y="csY10889"/>
              </a:cxn>
              <a:cxn ang="0">
                <a:pos x="csX10890" y="csY10890"/>
              </a:cxn>
              <a:cxn ang="0">
                <a:pos x="csX10891" y="csY10891"/>
              </a:cxn>
              <a:cxn ang="0">
                <a:pos x="csX10892" y="csY10892"/>
              </a:cxn>
              <a:cxn ang="0">
                <a:pos x="csX10893" y="csY10893"/>
              </a:cxn>
              <a:cxn ang="0">
                <a:pos x="csX10894" y="csY10894"/>
              </a:cxn>
              <a:cxn ang="0">
                <a:pos x="csX10895" y="csY10895"/>
              </a:cxn>
              <a:cxn ang="0">
                <a:pos x="csX10896" y="csY10896"/>
              </a:cxn>
              <a:cxn ang="0">
                <a:pos x="csX10897" y="csY10897"/>
              </a:cxn>
              <a:cxn ang="0">
                <a:pos x="csX10898" y="csY10898"/>
              </a:cxn>
              <a:cxn ang="0">
                <a:pos x="csX10899" y="csY10899"/>
              </a:cxn>
              <a:cxn ang="0">
                <a:pos x="csX10900" y="csY10900"/>
              </a:cxn>
              <a:cxn ang="0">
                <a:pos x="csX10901" y="csY10901"/>
              </a:cxn>
              <a:cxn ang="0">
                <a:pos x="csX10902" y="csY10902"/>
              </a:cxn>
              <a:cxn ang="0">
                <a:pos x="csX10903" y="csY10903"/>
              </a:cxn>
              <a:cxn ang="0">
                <a:pos x="csX10904" y="csY10904"/>
              </a:cxn>
              <a:cxn ang="0">
                <a:pos x="csX10905" y="csY10905"/>
              </a:cxn>
              <a:cxn ang="0">
                <a:pos x="csX10906" y="csY10906"/>
              </a:cxn>
              <a:cxn ang="0">
                <a:pos x="csX10907" y="csY10907"/>
              </a:cxn>
              <a:cxn ang="0">
                <a:pos x="csX10908" y="csY10908"/>
              </a:cxn>
              <a:cxn ang="0">
                <a:pos x="csX10909" y="csY10909"/>
              </a:cxn>
              <a:cxn ang="0">
                <a:pos x="csX10910" y="csY10910"/>
              </a:cxn>
              <a:cxn ang="0">
                <a:pos x="csX10911" y="csY10911"/>
              </a:cxn>
              <a:cxn ang="0">
                <a:pos x="csX10912" y="csY10912"/>
              </a:cxn>
              <a:cxn ang="0">
                <a:pos x="csX10913" y="csY10913"/>
              </a:cxn>
              <a:cxn ang="0">
                <a:pos x="csX10914" y="csY10914"/>
              </a:cxn>
              <a:cxn ang="0">
                <a:pos x="csX10915" y="csY10915"/>
              </a:cxn>
              <a:cxn ang="0">
                <a:pos x="csX10916" y="csY10916"/>
              </a:cxn>
              <a:cxn ang="0">
                <a:pos x="csX10917" y="csY10917"/>
              </a:cxn>
              <a:cxn ang="0">
                <a:pos x="csX10918" y="csY10918"/>
              </a:cxn>
              <a:cxn ang="0">
                <a:pos x="csX10919" y="csY10919"/>
              </a:cxn>
              <a:cxn ang="0">
                <a:pos x="csX10920" y="csY10920"/>
              </a:cxn>
              <a:cxn ang="0">
                <a:pos x="csX10921" y="csY10921"/>
              </a:cxn>
              <a:cxn ang="0">
                <a:pos x="csX10922" y="csY10922"/>
              </a:cxn>
              <a:cxn ang="0">
                <a:pos x="csX10923" y="csY10923"/>
              </a:cxn>
              <a:cxn ang="0">
                <a:pos x="csX10924" y="csY10924"/>
              </a:cxn>
              <a:cxn ang="0">
                <a:pos x="csX10925" y="csY10925"/>
              </a:cxn>
              <a:cxn ang="0">
                <a:pos x="csX10926" y="csY10926"/>
              </a:cxn>
              <a:cxn ang="0">
                <a:pos x="csX10927" y="csY10927"/>
              </a:cxn>
              <a:cxn ang="0">
                <a:pos x="csX10928" y="csY10928"/>
              </a:cxn>
              <a:cxn ang="0">
                <a:pos x="csX10929" y="csY10929"/>
              </a:cxn>
              <a:cxn ang="0">
                <a:pos x="csX10930" y="csY10930"/>
              </a:cxn>
              <a:cxn ang="0">
                <a:pos x="csX10931" y="csY10931"/>
              </a:cxn>
              <a:cxn ang="0">
                <a:pos x="csX10932" y="csY10932"/>
              </a:cxn>
              <a:cxn ang="0">
                <a:pos x="csX10933" y="csY10933"/>
              </a:cxn>
              <a:cxn ang="0">
                <a:pos x="csX10934" y="csY10934"/>
              </a:cxn>
              <a:cxn ang="0">
                <a:pos x="csX10935" y="csY10935"/>
              </a:cxn>
              <a:cxn ang="0">
                <a:pos x="csX10936" y="csY10936"/>
              </a:cxn>
              <a:cxn ang="0">
                <a:pos x="csX10937" y="csY10937"/>
              </a:cxn>
              <a:cxn ang="0">
                <a:pos x="csX10938" y="csY10938"/>
              </a:cxn>
              <a:cxn ang="0">
                <a:pos x="csX10939" y="csY10939"/>
              </a:cxn>
              <a:cxn ang="0">
                <a:pos x="csX10940" y="csY10940"/>
              </a:cxn>
              <a:cxn ang="0">
                <a:pos x="csX10941" y="csY10941"/>
              </a:cxn>
              <a:cxn ang="0">
                <a:pos x="csX10942" y="csY10942"/>
              </a:cxn>
              <a:cxn ang="0">
                <a:pos x="csX10943" y="csY10943"/>
              </a:cxn>
              <a:cxn ang="0">
                <a:pos x="csX10944" y="csY10944"/>
              </a:cxn>
              <a:cxn ang="0">
                <a:pos x="csX10945" y="csY10945"/>
              </a:cxn>
              <a:cxn ang="0">
                <a:pos x="csX10946" y="csY10946"/>
              </a:cxn>
              <a:cxn ang="0">
                <a:pos x="csX10947" y="csY10947"/>
              </a:cxn>
              <a:cxn ang="0">
                <a:pos x="csX10948" y="csY10948"/>
              </a:cxn>
              <a:cxn ang="0">
                <a:pos x="csX10949" y="csY10949"/>
              </a:cxn>
              <a:cxn ang="0">
                <a:pos x="csX10950" y="csY10950"/>
              </a:cxn>
              <a:cxn ang="0">
                <a:pos x="csX10951" y="csY10951"/>
              </a:cxn>
              <a:cxn ang="0">
                <a:pos x="csX10952" y="csY10952"/>
              </a:cxn>
              <a:cxn ang="0">
                <a:pos x="csX10953" y="csY10953"/>
              </a:cxn>
              <a:cxn ang="0">
                <a:pos x="csX10954" y="csY10954"/>
              </a:cxn>
              <a:cxn ang="0">
                <a:pos x="csX10955" y="csY10955"/>
              </a:cxn>
              <a:cxn ang="0">
                <a:pos x="csX10956" y="csY10956"/>
              </a:cxn>
              <a:cxn ang="0">
                <a:pos x="csX10957" y="csY10957"/>
              </a:cxn>
              <a:cxn ang="0">
                <a:pos x="csX10958" y="csY10958"/>
              </a:cxn>
              <a:cxn ang="0">
                <a:pos x="csX10959" y="csY10959"/>
              </a:cxn>
              <a:cxn ang="0">
                <a:pos x="csX10960" y="csY10960"/>
              </a:cxn>
              <a:cxn ang="0">
                <a:pos x="csX10961" y="csY10961"/>
              </a:cxn>
              <a:cxn ang="0">
                <a:pos x="csX10962" y="csY10962"/>
              </a:cxn>
              <a:cxn ang="0">
                <a:pos x="csX10963" y="csY10963"/>
              </a:cxn>
              <a:cxn ang="0">
                <a:pos x="csX10964" y="csY10964"/>
              </a:cxn>
              <a:cxn ang="0">
                <a:pos x="csX10965" y="csY10965"/>
              </a:cxn>
              <a:cxn ang="0">
                <a:pos x="csX10966" y="csY10966"/>
              </a:cxn>
              <a:cxn ang="0">
                <a:pos x="csX10967" y="csY10967"/>
              </a:cxn>
              <a:cxn ang="0">
                <a:pos x="csX10968" y="csY10968"/>
              </a:cxn>
              <a:cxn ang="0">
                <a:pos x="csX10969" y="csY10969"/>
              </a:cxn>
              <a:cxn ang="0">
                <a:pos x="csX10970" y="csY10970"/>
              </a:cxn>
              <a:cxn ang="0">
                <a:pos x="csX10971" y="csY10971"/>
              </a:cxn>
              <a:cxn ang="0">
                <a:pos x="csX10972" y="csY10972"/>
              </a:cxn>
              <a:cxn ang="0">
                <a:pos x="csX10973" y="csY10973"/>
              </a:cxn>
              <a:cxn ang="0">
                <a:pos x="csX10974" y="csY10974"/>
              </a:cxn>
              <a:cxn ang="0">
                <a:pos x="csX10975" y="csY10975"/>
              </a:cxn>
              <a:cxn ang="0">
                <a:pos x="csX10976" y="csY10976"/>
              </a:cxn>
              <a:cxn ang="0">
                <a:pos x="csX10977" y="csY10977"/>
              </a:cxn>
              <a:cxn ang="0">
                <a:pos x="csX10978" y="csY10978"/>
              </a:cxn>
              <a:cxn ang="0">
                <a:pos x="csX10979" y="csY10979"/>
              </a:cxn>
              <a:cxn ang="0">
                <a:pos x="csX10980" y="csY10980"/>
              </a:cxn>
              <a:cxn ang="0">
                <a:pos x="csX10981" y="csY10981"/>
              </a:cxn>
              <a:cxn ang="0">
                <a:pos x="csX10982" y="csY10982"/>
              </a:cxn>
              <a:cxn ang="0">
                <a:pos x="csX10983" y="csY10983"/>
              </a:cxn>
              <a:cxn ang="0">
                <a:pos x="csX10984" y="csY10984"/>
              </a:cxn>
              <a:cxn ang="0">
                <a:pos x="csX10985" y="csY10985"/>
              </a:cxn>
              <a:cxn ang="0">
                <a:pos x="csX10986" y="csY10986"/>
              </a:cxn>
              <a:cxn ang="0">
                <a:pos x="csX10987" y="csY10987"/>
              </a:cxn>
              <a:cxn ang="0">
                <a:pos x="csX10988" y="csY10988"/>
              </a:cxn>
              <a:cxn ang="0">
                <a:pos x="csX10989" y="csY10989"/>
              </a:cxn>
              <a:cxn ang="0">
                <a:pos x="csX10990" y="csY10990"/>
              </a:cxn>
              <a:cxn ang="0">
                <a:pos x="csX10991" y="csY10991"/>
              </a:cxn>
              <a:cxn ang="0">
                <a:pos x="csX10992" y="csY10992"/>
              </a:cxn>
              <a:cxn ang="0">
                <a:pos x="csX10993" y="csY10993"/>
              </a:cxn>
              <a:cxn ang="0">
                <a:pos x="csX10994" y="csY10994"/>
              </a:cxn>
              <a:cxn ang="0">
                <a:pos x="csX10995" y="csY10995"/>
              </a:cxn>
              <a:cxn ang="0">
                <a:pos x="csX10996" y="csY10996"/>
              </a:cxn>
              <a:cxn ang="0">
                <a:pos x="csX10997" y="csY10997"/>
              </a:cxn>
              <a:cxn ang="0">
                <a:pos x="csX10998" y="csY10998"/>
              </a:cxn>
              <a:cxn ang="0">
                <a:pos x="csX10999" y="csY10999"/>
              </a:cxn>
              <a:cxn ang="0">
                <a:pos x="csX11000" y="csY11000"/>
              </a:cxn>
              <a:cxn ang="0">
                <a:pos x="csX11001" y="csY11001"/>
              </a:cxn>
              <a:cxn ang="0">
                <a:pos x="csX11002" y="csY11002"/>
              </a:cxn>
              <a:cxn ang="0">
                <a:pos x="csX11003" y="csY11003"/>
              </a:cxn>
              <a:cxn ang="0">
                <a:pos x="csX11004" y="csY11004"/>
              </a:cxn>
              <a:cxn ang="0">
                <a:pos x="csX11005" y="csY11005"/>
              </a:cxn>
              <a:cxn ang="0">
                <a:pos x="csX11006" y="csY11006"/>
              </a:cxn>
              <a:cxn ang="0">
                <a:pos x="csX11007" y="csY11007"/>
              </a:cxn>
              <a:cxn ang="0">
                <a:pos x="csX11008" y="csY11008"/>
              </a:cxn>
              <a:cxn ang="0">
                <a:pos x="csX11009" y="csY11009"/>
              </a:cxn>
              <a:cxn ang="0">
                <a:pos x="csX11010" y="csY11010"/>
              </a:cxn>
              <a:cxn ang="0">
                <a:pos x="csX11011" y="csY11011"/>
              </a:cxn>
              <a:cxn ang="0">
                <a:pos x="csX11012" y="csY11012"/>
              </a:cxn>
              <a:cxn ang="0">
                <a:pos x="csX11013" y="csY11013"/>
              </a:cxn>
              <a:cxn ang="0">
                <a:pos x="csX11014" y="csY11014"/>
              </a:cxn>
              <a:cxn ang="0">
                <a:pos x="csX11015" y="csY11015"/>
              </a:cxn>
              <a:cxn ang="0">
                <a:pos x="csX11016" y="csY11016"/>
              </a:cxn>
              <a:cxn ang="0">
                <a:pos x="csX11017" y="csY11017"/>
              </a:cxn>
              <a:cxn ang="0">
                <a:pos x="csX11018" y="csY11018"/>
              </a:cxn>
              <a:cxn ang="0">
                <a:pos x="csX11019" y="csY11019"/>
              </a:cxn>
              <a:cxn ang="0">
                <a:pos x="csX11020" y="csY11020"/>
              </a:cxn>
              <a:cxn ang="0">
                <a:pos x="csX11021" y="csY11021"/>
              </a:cxn>
              <a:cxn ang="0">
                <a:pos x="csX11022" y="csY11022"/>
              </a:cxn>
              <a:cxn ang="0">
                <a:pos x="csX11023" y="csY11023"/>
              </a:cxn>
              <a:cxn ang="0">
                <a:pos x="csX11024" y="csY11024"/>
              </a:cxn>
              <a:cxn ang="0">
                <a:pos x="csX11025" y="csY11025"/>
              </a:cxn>
              <a:cxn ang="0">
                <a:pos x="csX11026" y="csY11026"/>
              </a:cxn>
              <a:cxn ang="0">
                <a:pos x="csX11027" y="csY11027"/>
              </a:cxn>
              <a:cxn ang="0">
                <a:pos x="csX11028" y="csY11028"/>
              </a:cxn>
              <a:cxn ang="0">
                <a:pos x="csX11029" y="csY11029"/>
              </a:cxn>
              <a:cxn ang="0">
                <a:pos x="csX11030" y="csY11030"/>
              </a:cxn>
              <a:cxn ang="0">
                <a:pos x="csX11031" y="csY11031"/>
              </a:cxn>
              <a:cxn ang="0">
                <a:pos x="csX11032" y="csY11032"/>
              </a:cxn>
              <a:cxn ang="0">
                <a:pos x="csX11033" y="csY11033"/>
              </a:cxn>
              <a:cxn ang="0">
                <a:pos x="csX11034" y="csY11034"/>
              </a:cxn>
              <a:cxn ang="0">
                <a:pos x="csX11035" y="csY11035"/>
              </a:cxn>
              <a:cxn ang="0">
                <a:pos x="csX11036" y="csY11036"/>
              </a:cxn>
              <a:cxn ang="0">
                <a:pos x="csX11037" y="csY11037"/>
              </a:cxn>
              <a:cxn ang="0">
                <a:pos x="csX11038" y="csY11038"/>
              </a:cxn>
              <a:cxn ang="0">
                <a:pos x="csX11039" y="csY11039"/>
              </a:cxn>
              <a:cxn ang="0">
                <a:pos x="csX11040" y="csY11040"/>
              </a:cxn>
              <a:cxn ang="0">
                <a:pos x="csX11041" y="csY11041"/>
              </a:cxn>
              <a:cxn ang="0">
                <a:pos x="csX11042" y="csY11042"/>
              </a:cxn>
              <a:cxn ang="0">
                <a:pos x="csX11043" y="csY11043"/>
              </a:cxn>
              <a:cxn ang="0">
                <a:pos x="csX11044" y="csY11044"/>
              </a:cxn>
              <a:cxn ang="0">
                <a:pos x="csX11045" y="csY11045"/>
              </a:cxn>
              <a:cxn ang="0">
                <a:pos x="csX11046" y="csY11046"/>
              </a:cxn>
              <a:cxn ang="0">
                <a:pos x="csX11047" y="csY11047"/>
              </a:cxn>
              <a:cxn ang="0">
                <a:pos x="csX11048" y="csY11048"/>
              </a:cxn>
              <a:cxn ang="0">
                <a:pos x="csX11049" y="csY11049"/>
              </a:cxn>
              <a:cxn ang="0">
                <a:pos x="csX11050" y="csY11050"/>
              </a:cxn>
              <a:cxn ang="0">
                <a:pos x="csX11051" y="csY11051"/>
              </a:cxn>
              <a:cxn ang="0">
                <a:pos x="csX11052" y="csY11052"/>
              </a:cxn>
              <a:cxn ang="0">
                <a:pos x="csX11053" y="csY11053"/>
              </a:cxn>
              <a:cxn ang="0">
                <a:pos x="csX11054" y="csY11054"/>
              </a:cxn>
              <a:cxn ang="0">
                <a:pos x="csX11055" y="csY11055"/>
              </a:cxn>
              <a:cxn ang="0">
                <a:pos x="csX11056" y="csY11056"/>
              </a:cxn>
              <a:cxn ang="0">
                <a:pos x="csX11057" y="csY11057"/>
              </a:cxn>
              <a:cxn ang="0">
                <a:pos x="csX11058" y="csY11058"/>
              </a:cxn>
              <a:cxn ang="0">
                <a:pos x="csX11059" y="csY11059"/>
              </a:cxn>
              <a:cxn ang="0">
                <a:pos x="csX11060" y="csY11060"/>
              </a:cxn>
              <a:cxn ang="0">
                <a:pos x="csX11061" y="csY11061"/>
              </a:cxn>
              <a:cxn ang="0">
                <a:pos x="csX11062" y="csY11062"/>
              </a:cxn>
              <a:cxn ang="0">
                <a:pos x="csX11063" y="csY11063"/>
              </a:cxn>
              <a:cxn ang="0">
                <a:pos x="csX11064" y="csY11064"/>
              </a:cxn>
              <a:cxn ang="0">
                <a:pos x="csX11065" y="csY11065"/>
              </a:cxn>
              <a:cxn ang="0">
                <a:pos x="csX11066" y="csY11066"/>
              </a:cxn>
              <a:cxn ang="0">
                <a:pos x="csX11067" y="csY11067"/>
              </a:cxn>
              <a:cxn ang="0">
                <a:pos x="csX11068" y="csY11068"/>
              </a:cxn>
              <a:cxn ang="0">
                <a:pos x="csX11069" y="csY11069"/>
              </a:cxn>
              <a:cxn ang="0">
                <a:pos x="csX11070" y="csY11070"/>
              </a:cxn>
              <a:cxn ang="0">
                <a:pos x="csX11071" y="csY11071"/>
              </a:cxn>
              <a:cxn ang="0">
                <a:pos x="csX11072" y="csY11072"/>
              </a:cxn>
              <a:cxn ang="0">
                <a:pos x="csX11073" y="csY11073"/>
              </a:cxn>
              <a:cxn ang="0">
                <a:pos x="csX11074" y="csY11074"/>
              </a:cxn>
              <a:cxn ang="0">
                <a:pos x="csX11075" y="csY11075"/>
              </a:cxn>
              <a:cxn ang="0">
                <a:pos x="csX11076" y="csY11076"/>
              </a:cxn>
              <a:cxn ang="0">
                <a:pos x="csX11077" y="csY11077"/>
              </a:cxn>
              <a:cxn ang="0">
                <a:pos x="csX11078" y="csY11078"/>
              </a:cxn>
              <a:cxn ang="0">
                <a:pos x="csX11079" y="csY11079"/>
              </a:cxn>
              <a:cxn ang="0">
                <a:pos x="csX11080" y="csY11080"/>
              </a:cxn>
              <a:cxn ang="0">
                <a:pos x="csX11081" y="csY11081"/>
              </a:cxn>
              <a:cxn ang="0">
                <a:pos x="csX11082" y="csY11082"/>
              </a:cxn>
              <a:cxn ang="0">
                <a:pos x="csX11083" y="csY11083"/>
              </a:cxn>
              <a:cxn ang="0">
                <a:pos x="csX11084" y="csY11084"/>
              </a:cxn>
              <a:cxn ang="0">
                <a:pos x="csX11085" y="csY11085"/>
              </a:cxn>
              <a:cxn ang="0">
                <a:pos x="csX11086" y="csY11086"/>
              </a:cxn>
              <a:cxn ang="0">
                <a:pos x="csX11087" y="csY11087"/>
              </a:cxn>
              <a:cxn ang="0">
                <a:pos x="csX11088" y="csY11088"/>
              </a:cxn>
              <a:cxn ang="0">
                <a:pos x="csX11089" y="csY11089"/>
              </a:cxn>
              <a:cxn ang="0">
                <a:pos x="csX11090" y="csY11090"/>
              </a:cxn>
              <a:cxn ang="0">
                <a:pos x="csX11091" y="csY11091"/>
              </a:cxn>
              <a:cxn ang="0">
                <a:pos x="csX11092" y="csY11092"/>
              </a:cxn>
              <a:cxn ang="0">
                <a:pos x="csX11093" y="csY11093"/>
              </a:cxn>
              <a:cxn ang="0">
                <a:pos x="csX11094" y="csY11094"/>
              </a:cxn>
              <a:cxn ang="0">
                <a:pos x="csX11095" y="csY11095"/>
              </a:cxn>
              <a:cxn ang="0">
                <a:pos x="csX11096" y="csY11096"/>
              </a:cxn>
              <a:cxn ang="0">
                <a:pos x="csX11097" y="csY11097"/>
              </a:cxn>
              <a:cxn ang="0">
                <a:pos x="csX11098" y="csY11098"/>
              </a:cxn>
              <a:cxn ang="0">
                <a:pos x="csX11099" y="csY11099"/>
              </a:cxn>
              <a:cxn ang="0">
                <a:pos x="csX11100" y="csY11100"/>
              </a:cxn>
              <a:cxn ang="0">
                <a:pos x="csX11101" y="csY11101"/>
              </a:cxn>
              <a:cxn ang="0">
                <a:pos x="csX11102" y="csY11102"/>
              </a:cxn>
              <a:cxn ang="0">
                <a:pos x="csX11103" y="csY11103"/>
              </a:cxn>
              <a:cxn ang="0">
                <a:pos x="csX11104" y="csY11104"/>
              </a:cxn>
              <a:cxn ang="0">
                <a:pos x="csX11105" y="csY11105"/>
              </a:cxn>
              <a:cxn ang="0">
                <a:pos x="csX11106" y="csY11106"/>
              </a:cxn>
              <a:cxn ang="0">
                <a:pos x="csX11107" y="csY11107"/>
              </a:cxn>
              <a:cxn ang="0">
                <a:pos x="csX11108" y="csY11108"/>
              </a:cxn>
              <a:cxn ang="0">
                <a:pos x="csX11109" y="csY11109"/>
              </a:cxn>
              <a:cxn ang="0">
                <a:pos x="csX11110" y="csY11110"/>
              </a:cxn>
              <a:cxn ang="0">
                <a:pos x="csX11111" y="csY11111"/>
              </a:cxn>
              <a:cxn ang="0">
                <a:pos x="csX11112" y="csY11112"/>
              </a:cxn>
              <a:cxn ang="0">
                <a:pos x="csX11113" y="csY11113"/>
              </a:cxn>
              <a:cxn ang="0">
                <a:pos x="csX11114" y="csY11114"/>
              </a:cxn>
              <a:cxn ang="0">
                <a:pos x="csX11115" y="csY11115"/>
              </a:cxn>
              <a:cxn ang="0">
                <a:pos x="csX11116" y="csY11116"/>
              </a:cxn>
              <a:cxn ang="0">
                <a:pos x="csX11117" y="csY11117"/>
              </a:cxn>
              <a:cxn ang="0">
                <a:pos x="csX11118" y="csY11118"/>
              </a:cxn>
              <a:cxn ang="0">
                <a:pos x="csX11119" y="csY11119"/>
              </a:cxn>
              <a:cxn ang="0">
                <a:pos x="csX11120" y="csY11120"/>
              </a:cxn>
              <a:cxn ang="0">
                <a:pos x="csX11121" y="csY11121"/>
              </a:cxn>
              <a:cxn ang="0">
                <a:pos x="csX11122" y="csY11122"/>
              </a:cxn>
              <a:cxn ang="0">
                <a:pos x="csX11123" y="csY11123"/>
              </a:cxn>
              <a:cxn ang="0">
                <a:pos x="csX11124" y="csY11124"/>
              </a:cxn>
              <a:cxn ang="0">
                <a:pos x="csX11125" y="csY11125"/>
              </a:cxn>
              <a:cxn ang="0">
                <a:pos x="csX11126" y="csY11126"/>
              </a:cxn>
              <a:cxn ang="0">
                <a:pos x="csX11127" y="csY11127"/>
              </a:cxn>
              <a:cxn ang="0">
                <a:pos x="csX11128" y="csY11128"/>
              </a:cxn>
              <a:cxn ang="0">
                <a:pos x="csX11129" y="csY11129"/>
              </a:cxn>
              <a:cxn ang="0">
                <a:pos x="csX11130" y="csY11130"/>
              </a:cxn>
              <a:cxn ang="0">
                <a:pos x="csX11131" y="csY11131"/>
              </a:cxn>
              <a:cxn ang="0">
                <a:pos x="csX11132" y="csY11132"/>
              </a:cxn>
              <a:cxn ang="0">
                <a:pos x="csX11133" y="csY11133"/>
              </a:cxn>
              <a:cxn ang="0">
                <a:pos x="csX11134" y="csY11134"/>
              </a:cxn>
              <a:cxn ang="0">
                <a:pos x="csX11135" y="csY11135"/>
              </a:cxn>
              <a:cxn ang="0">
                <a:pos x="csX11136" y="csY11136"/>
              </a:cxn>
              <a:cxn ang="0">
                <a:pos x="csX11137" y="csY11137"/>
              </a:cxn>
              <a:cxn ang="0">
                <a:pos x="csX11138" y="csY11138"/>
              </a:cxn>
              <a:cxn ang="0">
                <a:pos x="csX11139" y="csY11139"/>
              </a:cxn>
              <a:cxn ang="0">
                <a:pos x="csX11140" y="csY11140"/>
              </a:cxn>
              <a:cxn ang="0">
                <a:pos x="csX11141" y="csY11141"/>
              </a:cxn>
              <a:cxn ang="0">
                <a:pos x="csX11142" y="csY11142"/>
              </a:cxn>
              <a:cxn ang="0">
                <a:pos x="csX11143" y="csY11143"/>
              </a:cxn>
              <a:cxn ang="0">
                <a:pos x="csX11144" y="csY11144"/>
              </a:cxn>
              <a:cxn ang="0">
                <a:pos x="csX11145" y="csY11145"/>
              </a:cxn>
              <a:cxn ang="0">
                <a:pos x="csX11146" y="csY11146"/>
              </a:cxn>
              <a:cxn ang="0">
                <a:pos x="csX11147" y="csY11147"/>
              </a:cxn>
              <a:cxn ang="0">
                <a:pos x="csX11148" y="csY11148"/>
              </a:cxn>
              <a:cxn ang="0">
                <a:pos x="csX11149" y="csY11149"/>
              </a:cxn>
              <a:cxn ang="0">
                <a:pos x="csX11150" y="csY11150"/>
              </a:cxn>
              <a:cxn ang="0">
                <a:pos x="csX11151" y="csY11151"/>
              </a:cxn>
              <a:cxn ang="0">
                <a:pos x="csX11152" y="csY11152"/>
              </a:cxn>
              <a:cxn ang="0">
                <a:pos x="csX11153" y="csY11153"/>
              </a:cxn>
              <a:cxn ang="0">
                <a:pos x="csX11154" y="csY11154"/>
              </a:cxn>
              <a:cxn ang="0">
                <a:pos x="csX11155" y="csY11155"/>
              </a:cxn>
              <a:cxn ang="0">
                <a:pos x="csX11156" y="csY11156"/>
              </a:cxn>
              <a:cxn ang="0">
                <a:pos x="csX11157" y="csY11157"/>
              </a:cxn>
              <a:cxn ang="0">
                <a:pos x="csX11158" y="csY11158"/>
              </a:cxn>
              <a:cxn ang="0">
                <a:pos x="csX11159" y="csY11159"/>
              </a:cxn>
              <a:cxn ang="0">
                <a:pos x="csX11160" y="csY11160"/>
              </a:cxn>
              <a:cxn ang="0">
                <a:pos x="csX11161" y="csY11161"/>
              </a:cxn>
              <a:cxn ang="0">
                <a:pos x="csX11162" y="csY11162"/>
              </a:cxn>
              <a:cxn ang="0">
                <a:pos x="csX11163" y="csY11163"/>
              </a:cxn>
              <a:cxn ang="0">
                <a:pos x="csX11164" y="csY11164"/>
              </a:cxn>
              <a:cxn ang="0">
                <a:pos x="csX11165" y="csY11165"/>
              </a:cxn>
              <a:cxn ang="0">
                <a:pos x="csX11166" y="csY11166"/>
              </a:cxn>
              <a:cxn ang="0">
                <a:pos x="csX11167" y="csY11167"/>
              </a:cxn>
              <a:cxn ang="0">
                <a:pos x="csX11168" y="csY11168"/>
              </a:cxn>
              <a:cxn ang="0">
                <a:pos x="csX11169" y="csY11169"/>
              </a:cxn>
              <a:cxn ang="0">
                <a:pos x="csX11170" y="csY11170"/>
              </a:cxn>
              <a:cxn ang="0">
                <a:pos x="csX11171" y="csY11171"/>
              </a:cxn>
              <a:cxn ang="0">
                <a:pos x="csX11172" y="csY11172"/>
              </a:cxn>
              <a:cxn ang="0">
                <a:pos x="csX11173" y="csY11173"/>
              </a:cxn>
              <a:cxn ang="0">
                <a:pos x="csX11174" y="csY11174"/>
              </a:cxn>
              <a:cxn ang="0">
                <a:pos x="csX11175" y="csY11175"/>
              </a:cxn>
              <a:cxn ang="0">
                <a:pos x="csX11176" y="csY11176"/>
              </a:cxn>
              <a:cxn ang="0">
                <a:pos x="csX11177" y="csY11177"/>
              </a:cxn>
              <a:cxn ang="0">
                <a:pos x="csX11178" y="csY11178"/>
              </a:cxn>
              <a:cxn ang="0">
                <a:pos x="csX11179" y="csY11179"/>
              </a:cxn>
              <a:cxn ang="0">
                <a:pos x="csX11180" y="csY11180"/>
              </a:cxn>
              <a:cxn ang="0">
                <a:pos x="csX11181" y="csY11181"/>
              </a:cxn>
              <a:cxn ang="0">
                <a:pos x="csX11182" y="csY11182"/>
              </a:cxn>
              <a:cxn ang="0">
                <a:pos x="csX11183" y="csY11183"/>
              </a:cxn>
              <a:cxn ang="0">
                <a:pos x="csX11184" y="csY11184"/>
              </a:cxn>
              <a:cxn ang="0">
                <a:pos x="csX11185" y="csY11185"/>
              </a:cxn>
              <a:cxn ang="0">
                <a:pos x="csX11186" y="csY11186"/>
              </a:cxn>
              <a:cxn ang="0">
                <a:pos x="csX11187" y="csY11187"/>
              </a:cxn>
              <a:cxn ang="0">
                <a:pos x="csX11188" y="csY11188"/>
              </a:cxn>
              <a:cxn ang="0">
                <a:pos x="csX11189" y="csY11189"/>
              </a:cxn>
              <a:cxn ang="0">
                <a:pos x="csX11190" y="csY11190"/>
              </a:cxn>
              <a:cxn ang="0">
                <a:pos x="csX11191" y="csY11191"/>
              </a:cxn>
              <a:cxn ang="0">
                <a:pos x="csX11192" y="csY11192"/>
              </a:cxn>
              <a:cxn ang="0">
                <a:pos x="csX11193" y="csY11193"/>
              </a:cxn>
              <a:cxn ang="0">
                <a:pos x="csX11194" y="csY11194"/>
              </a:cxn>
              <a:cxn ang="0">
                <a:pos x="csX11195" y="csY11195"/>
              </a:cxn>
              <a:cxn ang="0">
                <a:pos x="csX11196" y="csY11196"/>
              </a:cxn>
              <a:cxn ang="0">
                <a:pos x="csX11197" y="csY11197"/>
              </a:cxn>
              <a:cxn ang="0">
                <a:pos x="csX11198" y="csY11198"/>
              </a:cxn>
              <a:cxn ang="0">
                <a:pos x="csX11199" y="csY11199"/>
              </a:cxn>
              <a:cxn ang="0">
                <a:pos x="csX11200" y="csY11200"/>
              </a:cxn>
              <a:cxn ang="0">
                <a:pos x="csX11201" y="csY11201"/>
              </a:cxn>
              <a:cxn ang="0">
                <a:pos x="csX11202" y="csY11202"/>
              </a:cxn>
              <a:cxn ang="0">
                <a:pos x="csX11203" y="csY11203"/>
              </a:cxn>
              <a:cxn ang="0">
                <a:pos x="csX11204" y="csY11204"/>
              </a:cxn>
              <a:cxn ang="0">
                <a:pos x="csX11205" y="csY11205"/>
              </a:cxn>
              <a:cxn ang="0">
                <a:pos x="csX11206" y="csY11206"/>
              </a:cxn>
              <a:cxn ang="0">
                <a:pos x="csX11207" y="csY11207"/>
              </a:cxn>
              <a:cxn ang="0">
                <a:pos x="csX11208" y="csY11208"/>
              </a:cxn>
              <a:cxn ang="0">
                <a:pos x="csX11209" y="csY11209"/>
              </a:cxn>
              <a:cxn ang="0">
                <a:pos x="csX11210" y="csY11210"/>
              </a:cxn>
              <a:cxn ang="0">
                <a:pos x="csX11211" y="csY11211"/>
              </a:cxn>
              <a:cxn ang="0">
                <a:pos x="csX11212" y="csY11212"/>
              </a:cxn>
              <a:cxn ang="0">
                <a:pos x="csX11213" y="csY11213"/>
              </a:cxn>
              <a:cxn ang="0">
                <a:pos x="csX11214" y="csY11214"/>
              </a:cxn>
              <a:cxn ang="0">
                <a:pos x="csX11215" y="csY11215"/>
              </a:cxn>
              <a:cxn ang="0">
                <a:pos x="csX11216" y="csY11216"/>
              </a:cxn>
              <a:cxn ang="0">
                <a:pos x="csX11217" y="csY11217"/>
              </a:cxn>
              <a:cxn ang="0">
                <a:pos x="csX11218" y="csY11218"/>
              </a:cxn>
              <a:cxn ang="0">
                <a:pos x="csX11219" y="csY11219"/>
              </a:cxn>
              <a:cxn ang="0">
                <a:pos x="csX11220" y="csY11220"/>
              </a:cxn>
              <a:cxn ang="0">
                <a:pos x="csX11221" y="csY11221"/>
              </a:cxn>
              <a:cxn ang="0">
                <a:pos x="csX11222" y="csY11222"/>
              </a:cxn>
              <a:cxn ang="0">
                <a:pos x="csX11223" y="csY11223"/>
              </a:cxn>
              <a:cxn ang="0">
                <a:pos x="csX11224" y="csY11224"/>
              </a:cxn>
              <a:cxn ang="0">
                <a:pos x="csX11225" y="csY11225"/>
              </a:cxn>
              <a:cxn ang="0">
                <a:pos x="csX11226" y="csY11226"/>
              </a:cxn>
              <a:cxn ang="0">
                <a:pos x="csX11227" y="csY11227"/>
              </a:cxn>
              <a:cxn ang="0">
                <a:pos x="csX11228" y="csY11228"/>
              </a:cxn>
              <a:cxn ang="0">
                <a:pos x="csX11229" y="csY11229"/>
              </a:cxn>
              <a:cxn ang="0">
                <a:pos x="csX11230" y="csY11230"/>
              </a:cxn>
              <a:cxn ang="0">
                <a:pos x="csX11231" y="csY11231"/>
              </a:cxn>
              <a:cxn ang="0">
                <a:pos x="csX11232" y="csY11232"/>
              </a:cxn>
              <a:cxn ang="0">
                <a:pos x="csX11233" y="csY11233"/>
              </a:cxn>
              <a:cxn ang="0">
                <a:pos x="csX11234" y="csY11234"/>
              </a:cxn>
              <a:cxn ang="0">
                <a:pos x="csX11235" y="csY11235"/>
              </a:cxn>
              <a:cxn ang="0">
                <a:pos x="csX11236" y="csY11236"/>
              </a:cxn>
              <a:cxn ang="0">
                <a:pos x="csX11237" y="csY11237"/>
              </a:cxn>
              <a:cxn ang="0">
                <a:pos x="csX11238" y="csY11238"/>
              </a:cxn>
              <a:cxn ang="0">
                <a:pos x="csX11239" y="csY11239"/>
              </a:cxn>
              <a:cxn ang="0">
                <a:pos x="csX11240" y="csY11240"/>
              </a:cxn>
              <a:cxn ang="0">
                <a:pos x="csX11241" y="csY11241"/>
              </a:cxn>
              <a:cxn ang="0">
                <a:pos x="csX11242" y="csY11242"/>
              </a:cxn>
              <a:cxn ang="0">
                <a:pos x="csX11243" y="csY11243"/>
              </a:cxn>
              <a:cxn ang="0">
                <a:pos x="csX11244" y="csY11244"/>
              </a:cxn>
              <a:cxn ang="0">
                <a:pos x="csX11245" y="csY11245"/>
              </a:cxn>
              <a:cxn ang="0">
                <a:pos x="csX11246" y="csY11246"/>
              </a:cxn>
              <a:cxn ang="0">
                <a:pos x="csX11247" y="csY11247"/>
              </a:cxn>
              <a:cxn ang="0">
                <a:pos x="csX11248" y="csY11248"/>
              </a:cxn>
              <a:cxn ang="0">
                <a:pos x="csX11249" y="csY11249"/>
              </a:cxn>
              <a:cxn ang="0">
                <a:pos x="csX11250" y="csY11250"/>
              </a:cxn>
              <a:cxn ang="0">
                <a:pos x="csX11251" y="csY11251"/>
              </a:cxn>
              <a:cxn ang="0">
                <a:pos x="csX11252" y="csY11252"/>
              </a:cxn>
              <a:cxn ang="0">
                <a:pos x="csX11253" y="csY11253"/>
              </a:cxn>
              <a:cxn ang="0">
                <a:pos x="csX11254" y="csY11254"/>
              </a:cxn>
              <a:cxn ang="0">
                <a:pos x="csX11255" y="csY11255"/>
              </a:cxn>
              <a:cxn ang="0">
                <a:pos x="csX11256" y="csY11256"/>
              </a:cxn>
              <a:cxn ang="0">
                <a:pos x="csX11257" y="csY11257"/>
              </a:cxn>
              <a:cxn ang="0">
                <a:pos x="csX11258" y="csY11258"/>
              </a:cxn>
              <a:cxn ang="0">
                <a:pos x="csX11259" y="csY11259"/>
              </a:cxn>
              <a:cxn ang="0">
                <a:pos x="csX11260" y="csY11260"/>
              </a:cxn>
              <a:cxn ang="0">
                <a:pos x="csX11261" y="csY11261"/>
              </a:cxn>
              <a:cxn ang="0">
                <a:pos x="csX11262" y="csY11262"/>
              </a:cxn>
              <a:cxn ang="0">
                <a:pos x="csX11263" y="csY11263"/>
              </a:cxn>
              <a:cxn ang="0">
                <a:pos x="csX11264" y="csY11264"/>
              </a:cxn>
              <a:cxn ang="0">
                <a:pos x="csX11265" y="csY11265"/>
              </a:cxn>
              <a:cxn ang="0">
                <a:pos x="csX11266" y="csY11266"/>
              </a:cxn>
              <a:cxn ang="0">
                <a:pos x="csX11267" y="csY11267"/>
              </a:cxn>
              <a:cxn ang="0">
                <a:pos x="csX11268" y="csY11268"/>
              </a:cxn>
              <a:cxn ang="0">
                <a:pos x="csX11269" y="csY11269"/>
              </a:cxn>
              <a:cxn ang="0">
                <a:pos x="csX11270" y="csY11270"/>
              </a:cxn>
              <a:cxn ang="0">
                <a:pos x="csX11271" y="csY11271"/>
              </a:cxn>
              <a:cxn ang="0">
                <a:pos x="csX11272" y="csY11272"/>
              </a:cxn>
              <a:cxn ang="0">
                <a:pos x="csX11273" y="csY11273"/>
              </a:cxn>
              <a:cxn ang="0">
                <a:pos x="csX11274" y="csY11274"/>
              </a:cxn>
              <a:cxn ang="0">
                <a:pos x="csX11275" y="csY11275"/>
              </a:cxn>
              <a:cxn ang="0">
                <a:pos x="csX11276" y="csY11276"/>
              </a:cxn>
              <a:cxn ang="0">
                <a:pos x="csX11277" y="csY11277"/>
              </a:cxn>
              <a:cxn ang="0">
                <a:pos x="csX11278" y="csY11278"/>
              </a:cxn>
              <a:cxn ang="0">
                <a:pos x="csX11279" y="csY11279"/>
              </a:cxn>
              <a:cxn ang="0">
                <a:pos x="csX11280" y="csY11280"/>
              </a:cxn>
              <a:cxn ang="0">
                <a:pos x="csX11281" y="csY11281"/>
              </a:cxn>
              <a:cxn ang="0">
                <a:pos x="csX11282" y="csY11282"/>
              </a:cxn>
              <a:cxn ang="0">
                <a:pos x="csX11283" y="csY11283"/>
              </a:cxn>
              <a:cxn ang="0">
                <a:pos x="csX11284" y="csY11284"/>
              </a:cxn>
              <a:cxn ang="0">
                <a:pos x="csX11285" y="csY11285"/>
              </a:cxn>
              <a:cxn ang="0">
                <a:pos x="csX11286" y="csY11286"/>
              </a:cxn>
              <a:cxn ang="0">
                <a:pos x="csX11287" y="csY11287"/>
              </a:cxn>
              <a:cxn ang="0">
                <a:pos x="csX11288" y="csY11288"/>
              </a:cxn>
              <a:cxn ang="0">
                <a:pos x="csX11289" y="csY11289"/>
              </a:cxn>
              <a:cxn ang="0">
                <a:pos x="csX11290" y="csY11290"/>
              </a:cxn>
              <a:cxn ang="0">
                <a:pos x="csX11291" y="csY11291"/>
              </a:cxn>
              <a:cxn ang="0">
                <a:pos x="csX11292" y="csY11292"/>
              </a:cxn>
              <a:cxn ang="0">
                <a:pos x="csX11293" y="csY11293"/>
              </a:cxn>
              <a:cxn ang="0">
                <a:pos x="csX11294" y="csY11294"/>
              </a:cxn>
              <a:cxn ang="0">
                <a:pos x="csX11295" y="csY11295"/>
              </a:cxn>
              <a:cxn ang="0">
                <a:pos x="csX11296" y="csY11296"/>
              </a:cxn>
              <a:cxn ang="0">
                <a:pos x="csX11297" y="csY11297"/>
              </a:cxn>
              <a:cxn ang="0">
                <a:pos x="csX11298" y="csY11298"/>
              </a:cxn>
              <a:cxn ang="0">
                <a:pos x="csX11299" y="csY11299"/>
              </a:cxn>
              <a:cxn ang="0">
                <a:pos x="csX11300" y="csY11300"/>
              </a:cxn>
              <a:cxn ang="0">
                <a:pos x="csX11301" y="csY11301"/>
              </a:cxn>
              <a:cxn ang="0">
                <a:pos x="csX11302" y="csY11302"/>
              </a:cxn>
              <a:cxn ang="0">
                <a:pos x="csX11303" y="csY11303"/>
              </a:cxn>
              <a:cxn ang="0">
                <a:pos x="csX11304" y="csY11304"/>
              </a:cxn>
              <a:cxn ang="0">
                <a:pos x="csX11305" y="csY11305"/>
              </a:cxn>
              <a:cxn ang="0">
                <a:pos x="csX11306" y="csY11306"/>
              </a:cxn>
              <a:cxn ang="0">
                <a:pos x="csX11307" y="csY11307"/>
              </a:cxn>
              <a:cxn ang="0">
                <a:pos x="csX11308" y="csY11308"/>
              </a:cxn>
              <a:cxn ang="0">
                <a:pos x="csX11309" y="csY11309"/>
              </a:cxn>
              <a:cxn ang="0">
                <a:pos x="csX11310" y="csY11310"/>
              </a:cxn>
              <a:cxn ang="0">
                <a:pos x="csX11311" y="csY11311"/>
              </a:cxn>
              <a:cxn ang="0">
                <a:pos x="csX11312" y="csY11312"/>
              </a:cxn>
              <a:cxn ang="0">
                <a:pos x="csX11313" y="csY11313"/>
              </a:cxn>
              <a:cxn ang="0">
                <a:pos x="csX11314" y="csY11314"/>
              </a:cxn>
              <a:cxn ang="0">
                <a:pos x="csX11315" y="csY11315"/>
              </a:cxn>
              <a:cxn ang="0">
                <a:pos x="csX11316" y="csY11316"/>
              </a:cxn>
              <a:cxn ang="0">
                <a:pos x="csX11317" y="csY11317"/>
              </a:cxn>
              <a:cxn ang="0">
                <a:pos x="csX11318" y="csY11318"/>
              </a:cxn>
              <a:cxn ang="0">
                <a:pos x="csX11319" y="csY11319"/>
              </a:cxn>
              <a:cxn ang="0">
                <a:pos x="csX11320" y="csY11320"/>
              </a:cxn>
              <a:cxn ang="0">
                <a:pos x="csX11321" y="csY11321"/>
              </a:cxn>
              <a:cxn ang="0">
                <a:pos x="csX11322" y="csY11322"/>
              </a:cxn>
              <a:cxn ang="0">
                <a:pos x="csX11323" y="csY11323"/>
              </a:cxn>
              <a:cxn ang="0">
                <a:pos x="csX11324" y="csY11324"/>
              </a:cxn>
              <a:cxn ang="0">
                <a:pos x="csX11325" y="csY11325"/>
              </a:cxn>
              <a:cxn ang="0">
                <a:pos x="csX11326" y="csY11326"/>
              </a:cxn>
              <a:cxn ang="0">
                <a:pos x="csX11327" y="csY11327"/>
              </a:cxn>
              <a:cxn ang="0">
                <a:pos x="csX11328" y="csY11328"/>
              </a:cxn>
              <a:cxn ang="0">
                <a:pos x="csX11329" y="csY11329"/>
              </a:cxn>
              <a:cxn ang="0">
                <a:pos x="csX11330" y="csY11330"/>
              </a:cxn>
              <a:cxn ang="0">
                <a:pos x="csX11331" y="csY11331"/>
              </a:cxn>
              <a:cxn ang="0">
                <a:pos x="csX11332" y="csY11332"/>
              </a:cxn>
              <a:cxn ang="0">
                <a:pos x="csX11333" y="csY11333"/>
              </a:cxn>
              <a:cxn ang="0">
                <a:pos x="csX11334" y="csY11334"/>
              </a:cxn>
              <a:cxn ang="0">
                <a:pos x="csX11335" y="csY11335"/>
              </a:cxn>
              <a:cxn ang="0">
                <a:pos x="csX11336" y="csY11336"/>
              </a:cxn>
              <a:cxn ang="0">
                <a:pos x="csX11337" y="csY11337"/>
              </a:cxn>
              <a:cxn ang="0">
                <a:pos x="csX11338" y="csY11338"/>
              </a:cxn>
              <a:cxn ang="0">
                <a:pos x="csX11339" y="csY11339"/>
              </a:cxn>
              <a:cxn ang="0">
                <a:pos x="csX11340" y="csY11340"/>
              </a:cxn>
              <a:cxn ang="0">
                <a:pos x="csX11341" y="csY11341"/>
              </a:cxn>
              <a:cxn ang="0">
                <a:pos x="csX11342" y="csY11342"/>
              </a:cxn>
              <a:cxn ang="0">
                <a:pos x="csX11343" y="csY11343"/>
              </a:cxn>
              <a:cxn ang="0">
                <a:pos x="csX11344" y="csY11344"/>
              </a:cxn>
              <a:cxn ang="0">
                <a:pos x="csX11345" y="csY11345"/>
              </a:cxn>
              <a:cxn ang="0">
                <a:pos x="csX11346" y="csY11346"/>
              </a:cxn>
              <a:cxn ang="0">
                <a:pos x="csX11347" y="csY11347"/>
              </a:cxn>
              <a:cxn ang="0">
                <a:pos x="csX11348" y="csY11348"/>
              </a:cxn>
              <a:cxn ang="0">
                <a:pos x="csX11349" y="csY11349"/>
              </a:cxn>
              <a:cxn ang="0">
                <a:pos x="csX11350" y="csY11350"/>
              </a:cxn>
              <a:cxn ang="0">
                <a:pos x="csX11351" y="csY11351"/>
              </a:cxn>
              <a:cxn ang="0">
                <a:pos x="csX11352" y="csY11352"/>
              </a:cxn>
              <a:cxn ang="0">
                <a:pos x="csX11353" y="csY11353"/>
              </a:cxn>
              <a:cxn ang="0">
                <a:pos x="csX11354" y="csY11354"/>
              </a:cxn>
              <a:cxn ang="0">
                <a:pos x="csX11355" y="csY11355"/>
              </a:cxn>
              <a:cxn ang="0">
                <a:pos x="csX11356" y="csY11356"/>
              </a:cxn>
              <a:cxn ang="0">
                <a:pos x="csX11357" y="csY11357"/>
              </a:cxn>
              <a:cxn ang="0">
                <a:pos x="csX11358" y="csY11358"/>
              </a:cxn>
              <a:cxn ang="0">
                <a:pos x="csX11359" y="csY11359"/>
              </a:cxn>
              <a:cxn ang="0">
                <a:pos x="csX11360" y="csY11360"/>
              </a:cxn>
              <a:cxn ang="0">
                <a:pos x="csX11361" y="csY11361"/>
              </a:cxn>
              <a:cxn ang="0">
                <a:pos x="csX11362" y="csY11362"/>
              </a:cxn>
              <a:cxn ang="0">
                <a:pos x="csX11363" y="csY11363"/>
              </a:cxn>
              <a:cxn ang="0">
                <a:pos x="csX11364" y="csY11364"/>
              </a:cxn>
              <a:cxn ang="0">
                <a:pos x="csX11365" y="csY11365"/>
              </a:cxn>
              <a:cxn ang="0">
                <a:pos x="csX11366" y="csY11366"/>
              </a:cxn>
              <a:cxn ang="0">
                <a:pos x="csX11367" y="csY11367"/>
              </a:cxn>
              <a:cxn ang="0">
                <a:pos x="csX11368" y="csY11368"/>
              </a:cxn>
              <a:cxn ang="0">
                <a:pos x="csX11369" y="csY11369"/>
              </a:cxn>
              <a:cxn ang="0">
                <a:pos x="csX11370" y="csY11370"/>
              </a:cxn>
              <a:cxn ang="0">
                <a:pos x="csX11371" y="csY11371"/>
              </a:cxn>
              <a:cxn ang="0">
                <a:pos x="csX11372" y="csY11372"/>
              </a:cxn>
              <a:cxn ang="0">
                <a:pos x="csX11373" y="csY11373"/>
              </a:cxn>
              <a:cxn ang="0">
                <a:pos x="csX11374" y="csY11374"/>
              </a:cxn>
              <a:cxn ang="0">
                <a:pos x="csX11375" y="csY11375"/>
              </a:cxn>
              <a:cxn ang="0">
                <a:pos x="csX11376" y="csY11376"/>
              </a:cxn>
              <a:cxn ang="0">
                <a:pos x="csX11377" y="csY11377"/>
              </a:cxn>
              <a:cxn ang="0">
                <a:pos x="csX11378" y="csY11378"/>
              </a:cxn>
              <a:cxn ang="0">
                <a:pos x="csX11379" y="csY11379"/>
              </a:cxn>
              <a:cxn ang="0">
                <a:pos x="csX11380" y="csY11380"/>
              </a:cxn>
              <a:cxn ang="0">
                <a:pos x="csX11381" y="csY11381"/>
              </a:cxn>
              <a:cxn ang="0">
                <a:pos x="csX11382" y="csY11382"/>
              </a:cxn>
              <a:cxn ang="0">
                <a:pos x="csX11383" y="csY11383"/>
              </a:cxn>
              <a:cxn ang="0">
                <a:pos x="csX11384" y="csY11384"/>
              </a:cxn>
              <a:cxn ang="0">
                <a:pos x="csX11385" y="csY11385"/>
              </a:cxn>
              <a:cxn ang="0">
                <a:pos x="csX11386" y="csY11386"/>
              </a:cxn>
              <a:cxn ang="0">
                <a:pos x="csX11387" y="csY11387"/>
              </a:cxn>
              <a:cxn ang="0">
                <a:pos x="csX11388" y="csY11388"/>
              </a:cxn>
              <a:cxn ang="0">
                <a:pos x="csX11389" y="csY11389"/>
              </a:cxn>
              <a:cxn ang="0">
                <a:pos x="csX11390" y="csY11390"/>
              </a:cxn>
              <a:cxn ang="0">
                <a:pos x="csX11391" y="csY11391"/>
              </a:cxn>
              <a:cxn ang="0">
                <a:pos x="csX11392" y="csY11392"/>
              </a:cxn>
              <a:cxn ang="0">
                <a:pos x="csX11393" y="csY11393"/>
              </a:cxn>
              <a:cxn ang="0">
                <a:pos x="csX11394" y="csY11394"/>
              </a:cxn>
              <a:cxn ang="0">
                <a:pos x="csX11395" y="csY11395"/>
              </a:cxn>
              <a:cxn ang="0">
                <a:pos x="csX11396" y="csY11396"/>
              </a:cxn>
              <a:cxn ang="0">
                <a:pos x="csX11397" y="csY11397"/>
              </a:cxn>
              <a:cxn ang="0">
                <a:pos x="csX11398" y="csY11398"/>
              </a:cxn>
              <a:cxn ang="0">
                <a:pos x="csX11399" y="csY11399"/>
              </a:cxn>
              <a:cxn ang="0">
                <a:pos x="csX11400" y="csY11400"/>
              </a:cxn>
              <a:cxn ang="0">
                <a:pos x="csX11401" y="csY11401"/>
              </a:cxn>
              <a:cxn ang="0">
                <a:pos x="csX11402" y="csY11402"/>
              </a:cxn>
              <a:cxn ang="0">
                <a:pos x="csX11403" y="csY11403"/>
              </a:cxn>
              <a:cxn ang="0">
                <a:pos x="csX11404" y="csY11404"/>
              </a:cxn>
              <a:cxn ang="0">
                <a:pos x="csX11405" y="csY11405"/>
              </a:cxn>
              <a:cxn ang="0">
                <a:pos x="csX11406" y="csY11406"/>
              </a:cxn>
              <a:cxn ang="0">
                <a:pos x="csX11407" y="csY11407"/>
              </a:cxn>
              <a:cxn ang="0">
                <a:pos x="csX11408" y="csY11408"/>
              </a:cxn>
              <a:cxn ang="0">
                <a:pos x="csX11409" y="csY11409"/>
              </a:cxn>
              <a:cxn ang="0">
                <a:pos x="csX11410" y="csY11410"/>
              </a:cxn>
              <a:cxn ang="0">
                <a:pos x="csX11411" y="csY11411"/>
              </a:cxn>
              <a:cxn ang="0">
                <a:pos x="csX11412" y="csY11412"/>
              </a:cxn>
              <a:cxn ang="0">
                <a:pos x="csX11413" y="csY11413"/>
              </a:cxn>
              <a:cxn ang="0">
                <a:pos x="csX11414" y="csY11414"/>
              </a:cxn>
              <a:cxn ang="0">
                <a:pos x="csX11415" y="csY11415"/>
              </a:cxn>
              <a:cxn ang="0">
                <a:pos x="csX11416" y="csY11416"/>
              </a:cxn>
              <a:cxn ang="0">
                <a:pos x="csX11417" y="csY11417"/>
              </a:cxn>
              <a:cxn ang="0">
                <a:pos x="csX11418" y="csY11418"/>
              </a:cxn>
              <a:cxn ang="0">
                <a:pos x="csX11419" y="csY11419"/>
              </a:cxn>
              <a:cxn ang="0">
                <a:pos x="csX11420" y="csY11420"/>
              </a:cxn>
              <a:cxn ang="0">
                <a:pos x="csX11421" y="csY11421"/>
              </a:cxn>
              <a:cxn ang="0">
                <a:pos x="csX11422" y="csY11422"/>
              </a:cxn>
              <a:cxn ang="0">
                <a:pos x="csX11423" y="csY11423"/>
              </a:cxn>
              <a:cxn ang="0">
                <a:pos x="csX11424" y="csY11424"/>
              </a:cxn>
              <a:cxn ang="0">
                <a:pos x="csX11425" y="csY11425"/>
              </a:cxn>
              <a:cxn ang="0">
                <a:pos x="csX11426" y="csY11426"/>
              </a:cxn>
              <a:cxn ang="0">
                <a:pos x="csX11427" y="csY11427"/>
              </a:cxn>
              <a:cxn ang="0">
                <a:pos x="csX11428" y="csY11428"/>
              </a:cxn>
              <a:cxn ang="0">
                <a:pos x="csX11429" y="csY11429"/>
              </a:cxn>
              <a:cxn ang="0">
                <a:pos x="csX11430" y="csY11430"/>
              </a:cxn>
              <a:cxn ang="0">
                <a:pos x="csX11431" y="csY11431"/>
              </a:cxn>
              <a:cxn ang="0">
                <a:pos x="csX11432" y="csY11432"/>
              </a:cxn>
              <a:cxn ang="0">
                <a:pos x="csX11433" y="csY11433"/>
              </a:cxn>
              <a:cxn ang="0">
                <a:pos x="csX11434" y="csY11434"/>
              </a:cxn>
              <a:cxn ang="0">
                <a:pos x="csX11435" y="csY11435"/>
              </a:cxn>
              <a:cxn ang="0">
                <a:pos x="csX11436" y="csY11436"/>
              </a:cxn>
              <a:cxn ang="0">
                <a:pos x="csX11437" y="csY11437"/>
              </a:cxn>
              <a:cxn ang="0">
                <a:pos x="csX11438" y="csY11438"/>
              </a:cxn>
              <a:cxn ang="0">
                <a:pos x="csX11439" y="csY11439"/>
              </a:cxn>
              <a:cxn ang="0">
                <a:pos x="csX11440" y="csY11440"/>
              </a:cxn>
              <a:cxn ang="0">
                <a:pos x="csX11441" y="csY11441"/>
              </a:cxn>
              <a:cxn ang="0">
                <a:pos x="csX11442" y="csY11442"/>
              </a:cxn>
              <a:cxn ang="0">
                <a:pos x="csX11443" y="csY11443"/>
              </a:cxn>
              <a:cxn ang="0">
                <a:pos x="csX11444" y="csY11444"/>
              </a:cxn>
              <a:cxn ang="0">
                <a:pos x="csX11445" y="csY11445"/>
              </a:cxn>
              <a:cxn ang="0">
                <a:pos x="csX11446" y="csY11446"/>
              </a:cxn>
              <a:cxn ang="0">
                <a:pos x="csX11447" y="csY11447"/>
              </a:cxn>
              <a:cxn ang="0">
                <a:pos x="csX11448" y="csY11448"/>
              </a:cxn>
              <a:cxn ang="0">
                <a:pos x="csX11449" y="csY11449"/>
              </a:cxn>
              <a:cxn ang="0">
                <a:pos x="csX11450" y="csY11450"/>
              </a:cxn>
              <a:cxn ang="0">
                <a:pos x="csX11451" y="csY11451"/>
              </a:cxn>
              <a:cxn ang="0">
                <a:pos x="csX11452" y="csY11452"/>
              </a:cxn>
              <a:cxn ang="0">
                <a:pos x="csX11453" y="csY11453"/>
              </a:cxn>
              <a:cxn ang="0">
                <a:pos x="csX11454" y="csY11454"/>
              </a:cxn>
              <a:cxn ang="0">
                <a:pos x="csX11455" y="csY11455"/>
              </a:cxn>
              <a:cxn ang="0">
                <a:pos x="csX11456" y="csY11456"/>
              </a:cxn>
              <a:cxn ang="0">
                <a:pos x="csX11457" y="csY11457"/>
              </a:cxn>
              <a:cxn ang="0">
                <a:pos x="csX11458" y="csY11458"/>
              </a:cxn>
              <a:cxn ang="0">
                <a:pos x="csX11459" y="csY11459"/>
              </a:cxn>
              <a:cxn ang="0">
                <a:pos x="csX11460" y="csY11460"/>
              </a:cxn>
              <a:cxn ang="0">
                <a:pos x="csX11461" y="csY11461"/>
              </a:cxn>
              <a:cxn ang="0">
                <a:pos x="csX11462" y="csY11462"/>
              </a:cxn>
              <a:cxn ang="0">
                <a:pos x="csX11463" y="csY11463"/>
              </a:cxn>
              <a:cxn ang="0">
                <a:pos x="csX11464" y="csY11464"/>
              </a:cxn>
              <a:cxn ang="0">
                <a:pos x="csX11465" y="csY11465"/>
              </a:cxn>
              <a:cxn ang="0">
                <a:pos x="csX11466" y="csY11466"/>
              </a:cxn>
              <a:cxn ang="0">
                <a:pos x="csX11467" y="csY11467"/>
              </a:cxn>
              <a:cxn ang="0">
                <a:pos x="csX11468" y="csY11468"/>
              </a:cxn>
              <a:cxn ang="0">
                <a:pos x="csX11469" y="csY11469"/>
              </a:cxn>
              <a:cxn ang="0">
                <a:pos x="csX11470" y="csY11470"/>
              </a:cxn>
              <a:cxn ang="0">
                <a:pos x="csX11471" y="csY11471"/>
              </a:cxn>
              <a:cxn ang="0">
                <a:pos x="csX11472" y="csY11472"/>
              </a:cxn>
              <a:cxn ang="0">
                <a:pos x="csX11473" y="csY11473"/>
              </a:cxn>
              <a:cxn ang="0">
                <a:pos x="csX11474" y="csY11474"/>
              </a:cxn>
              <a:cxn ang="0">
                <a:pos x="csX11475" y="csY11475"/>
              </a:cxn>
              <a:cxn ang="0">
                <a:pos x="csX11476" y="csY11476"/>
              </a:cxn>
              <a:cxn ang="0">
                <a:pos x="csX11477" y="csY11477"/>
              </a:cxn>
              <a:cxn ang="0">
                <a:pos x="csX11478" y="csY11478"/>
              </a:cxn>
              <a:cxn ang="0">
                <a:pos x="csX11479" y="csY11479"/>
              </a:cxn>
              <a:cxn ang="0">
                <a:pos x="csX11480" y="csY11480"/>
              </a:cxn>
              <a:cxn ang="0">
                <a:pos x="csX11481" y="csY11481"/>
              </a:cxn>
              <a:cxn ang="0">
                <a:pos x="csX11482" y="csY11482"/>
              </a:cxn>
              <a:cxn ang="0">
                <a:pos x="csX11483" y="csY11483"/>
              </a:cxn>
              <a:cxn ang="0">
                <a:pos x="csX11484" y="csY11484"/>
              </a:cxn>
              <a:cxn ang="0">
                <a:pos x="csX11485" y="csY11485"/>
              </a:cxn>
              <a:cxn ang="0">
                <a:pos x="csX11486" y="csY11486"/>
              </a:cxn>
              <a:cxn ang="0">
                <a:pos x="csX11487" y="csY11487"/>
              </a:cxn>
              <a:cxn ang="0">
                <a:pos x="csX11488" y="csY11488"/>
              </a:cxn>
              <a:cxn ang="0">
                <a:pos x="csX11489" y="csY11489"/>
              </a:cxn>
              <a:cxn ang="0">
                <a:pos x="csX11490" y="csY11490"/>
              </a:cxn>
              <a:cxn ang="0">
                <a:pos x="csX11491" y="csY11491"/>
              </a:cxn>
              <a:cxn ang="0">
                <a:pos x="csX11492" y="csY11492"/>
              </a:cxn>
              <a:cxn ang="0">
                <a:pos x="csX11493" y="csY11493"/>
              </a:cxn>
              <a:cxn ang="0">
                <a:pos x="csX11494" y="csY11494"/>
              </a:cxn>
              <a:cxn ang="0">
                <a:pos x="csX11495" y="csY11495"/>
              </a:cxn>
              <a:cxn ang="0">
                <a:pos x="csX11496" y="csY11496"/>
              </a:cxn>
              <a:cxn ang="0">
                <a:pos x="csX11497" y="csY11497"/>
              </a:cxn>
              <a:cxn ang="0">
                <a:pos x="csX11498" y="csY11498"/>
              </a:cxn>
              <a:cxn ang="0">
                <a:pos x="csX11499" y="csY11499"/>
              </a:cxn>
              <a:cxn ang="0">
                <a:pos x="csX11500" y="csY11500"/>
              </a:cxn>
              <a:cxn ang="0">
                <a:pos x="csX11501" y="csY11501"/>
              </a:cxn>
              <a:cxn ang="0">
                <a:pos x="csX11502" y="csY11502"/>
              </a:cxn>
              <a:cxn ang="0">
                <a:pos x="csX11503" y="csY11503"/>
              </a:cxn>
              <a:cxn ang="0">
                <a:pos x="csX11504" y="csY11504"/>
              </a:cxn>
              <a:cxn ang="0">
                <a:pos x="csX11505" y="csY11505"/>
              </a:cxn>
              <a:cxn ang="0">
                <a:pos x="csX11506" y="csY11506"/>
              </a:cxn>
              <a:cxn ang="0">
                <a:pos x="csX11507" y="csY11507"/>
              </a:cxn>
              <a:cxn ang="0">
                <a:pos x="csX11508" y="csY11508"/>
              </a:cxn>
              <a:cxn ang="0">
                <a:pos x="csX11509" y="csY11509"/>
              </a:cxn>
              <a:cxn ang="0">
                <a:pos x="csX11510" y="csY11510"/>
              </a:cxn>
              <a:cxn ang="0">
                <a:pos x="csX11511" y="csY11511"/>
              </a:cxn>
              <a:cxn ang="0">
                <a:pos x="csX11512" y="csY11512"/>
              </a:cxn>
              <a:cxn ang="0">
                <a:pos x="csX11513" y="csY11513"/>
              </a:cxn>
              <a:cxn ang="0">
                <a:pos x="csX11514" y="csY11514"/>
              </a:cxn>
              <a:cxn ang="0">
                <a:pos x="csX11515" y="csY11515"/>
              </a:cxn>
              <a:cxn ang="0">
                <a:pos x="csX11516" y="csY11516"/>
              </a:cxn>
              <a:cxn ang="0">
                <a:pos x="csX11517" y="csY11517"/>
              </a:cxn>
              <a:cxn ang="0">
                <a:pos x="csX11518" y="csY11518"/>
              </a:cxn>
              <a:cxn ang="0">
                <a:pos x="csX11519" y="csY11519"/>
              </a:cxn>
              <a:cxn ang="0">
                <a:pos x="csX11520" y="csY11520"/>
              </a:cxn>
              <a:cxn ang="0">
                <a:pos x="csX11521" y="csY11521"/>
              </a:cxn>
              <a:cxn ang="0">
                <a:pos x="csX11522" y="csY11522"/>
              </a:cxn>
              <a:cxn ang="0">
                <a:pos x="csX11523" y="csY11523"/>
              </a:cxn>
              <a:cxn ang="0">
                <a:pos x="csX11524" y="csY11524"/>
              </a:cxn>
              <a:cxn ang="0">
                <a:pos x="csX11525" y="csY11525"/>
              </a:cxn>
              <a:cxn ang="0">
                <a:pos x="csX11526" y="csY11526"/>
              </a:cxn>
              <a:cxn ang="0">
                <a:pos x="csX11527" y="csY11527"/>
              </a:cxn>
              <a:cxn ang="0">
                <a:pos x="csX11528" y="csY11528"/>
              </a:cxn>
              <a:cxn ang="0">
                <a:pos x="csX11529" y="csY11529"/>
              </a:cxn>
              <a:cxn ang="0">
                <a:pos x="csX11530" y="csY11530"/>
              </a:cxn>
              <a:cxn ang="0">
                <a:pos x="csX11531" y="csY11531"/>
              </a:cxn>
              <a:cxn ang="0">
                <a:pos x="csX11532" y="csY11532"/>
              </a:cxn>
              <a:cxn ang="0">
                <a:pos x="csX11533" y="csY11533"/>
              </a:cxn>
              <a:cxn ang="0">
                <a:pos x="csX11534" y="csY11534"/>
              </a:cxn>
              <a:cxn ang="0">
                <a:pos x="csX11535" y="csY11535"/>
              </a:cxn>
              <a:cxn ang="0">
                <a:pos x="csX11536" y="csY11536"/>
              </a:cxn>
              <a:cxn ang="0">
                <a:pos x="csX11537" y="csY11537"/>
              </a:cxn>
              <a:cxn ang="0">
                <a:pos x="csX11538" y="csY11538"/>
              </a:cxn>
              <a:cxn ang="0">
                <a:pos x="csX11539" y="csY11539"/>
              </a:cxn>
              <a:cxn ang="0">
                <a:pos x="csX11540" y="csY11540"/>
              </a:cxn>
              <a:cxn ang="0">
                <a:pos x="csX11541" y="csY11541"/>
              </a:cxn>
              <a:cxn ang="0">
                <a:pos x="csX11542" y="csY11542"/>
              </a:cxn>
              <a:cxn ang="0">
                <a:pos x="csX11543" y="csY11543"/>
              </a:cxn>
              <a:cxn ang="0">
                <a:pos x="csX11544" y="csY11544"/>
              </a:cxn>
              <a:cxn ang="0">
                <a:pos x="csX11545" y="csY11545"/>
              </a:cxn>
              <a:cxn ang="0">
                <a:pos x="csX11546" y="csY11546"/>
              </a:cxn>
              <a:cxn ang="0">
                <a:pos x="csX11547" y="csY11547"/>
              </a:cxn>
              <a:cxn ang="0">
                <a:pos x="csX11548" y="csY11548"/>
              </a:cxn>
              <a:cxn ang="0">
                <a:pos x="csX11549" y="csY11549"/>
              </a:cxn>
              <a:cxn ang="0">
                <a:pos x="csX11550" y="csY11550"/>
              </a:cxn>
              <a:cxn ang="0">
                <a:pos x="csX11551" y="csY11551"/>
              </a:cxn>
              <a:cxn ang="0">
                <a:pos x="csX11552" y="csY11552"/>
              </a:cxn>
              <a:cxn ang="0">
                <a:pos x="csX11553" y="csY11553"/>
              </a:cxn>
              <a:cxn ang="0">
                <a:pos x="csX11554" y="csY11554"/>
              </a:cxn>
              <a:cxn ang="0">
                <a:pos x="csX11555" y="csY11555"/>
              </a:cxn>
              <a:cxn ang="0">
                <a:pos x="csX11556" y="csY11556"/>
              </a:cxn>
              <a:cxn ang="0">
                <a:pos x="csX11557" y="csY11557"/>
              </a:cxn>
              <a:cxn ang="0">
                <a:pos x="csX11558" y="csY11558"/>
              </a:cxn>
              <a:cxn ang="0">
                <a:pos x="csX11559" y="csY11559"/>
              </a:cxn>
              <a:cxn ang="0">
                <a:pos x="csX11560" y="csY11560"/>
              </a:cxn>
              <a:cxn ang="0">
                <a:pos x="csX11561" y="csY11561"/>
              </a:cxn>
              <a:cxn ang="0">
                <a:pos x="csX11562" y="csY11562"/>
              </a:cxn>
              <a:cxn ang="0">
                <a:pos x="csX11563" y="csY11563"/>
              </a:cxn>
              <a:cxn ang="0">
                <a:pos x="csX11564" y="csY11564"/>
              </a:cxn>
              <a:cxn ang="0">
                <a:pos x="csX11565" y="csY11565"/>
              </a:cxn>
              <a:cxn ang="0">
                <a:pos x="csX11566" y="csY11566"/>
              </a:cxn>
              <a:cxn ang="0">
                <a:pos x="csX11567" y="csY11567"/>
              </a:cxn>
              <a:cxn ang="0">
                <a:pos x="csX11568" y="csY11568"/>
              </a:cxn>
              <a:cxn ang="0">
                <a:pos x="csX11569" y="csY11569"/>
              </a:cxn>
              <a:cxn ang="0">
                <a:pos x="csX11570" y="csY11570"/>
              </a:cxn>
              <a:cxn ang="0">
                <a:pos x="csX11571" y="csY11571"/>
              </a:cxn>
              <a:cxn ang="0">
                <a:pos x="csX11572" y="csY11572"/>
              </a:cxn>
              <a:cxn ang="0">
                <a:pos x="csX11573" y="csY11573"/>
              </a:cxn>
              <a:cxn ang="0">
                <a:pos x="csX11574" y="csY11574"/>
              </a:cxn>
              <a:cxn ang="0">
                <a:pos x="csX11575" y="csY11575"/>
              </a:cxn>
              <a:cxn ang="0">
                <a:pos x="csX11576" y="csY11576"/>
              </a:cxn>
              <a:cxn ang="0">
                <a:pos x="csX11577" y="csY11577"/>
              </a:cxn>
              <a:cxn ang="0">
                <a:pos x="csX11578" y="csY11578"/>
              </a:cxn>
              <a:cxn ang="0">
                <a:pos x="csX11579" y="csY11579"/>
              </a:cxn>
              <a:cxn ang="0">
                <a:pos x="csX11580" y="csY11580"/>
              </a:cxn>
              <a:cxn ang="0">
                <a:pos x="csX11581" y="csY11581"/>
              </a:cxn>
              <a:cxn ang="0">
                <a:pos x="csX11582" y="csY11582"/>
              </a:cxn>
              <a:cxn ang="0">
                <a:pos x="csX11583" y="csY11583"/>
              </a:cxn>
              <a:cxn ang="0">
                <a:pos x="csX11584" y="csY11584"/>
              </a:cxn>
              <a:cxn ang="0">
                <a:pos x="csX11585" y="csY11585"/>
              </a:cxn>
              <a:cxn ang="0">
                <a:pos x="csX11586" y="csY11586"/>
              </a:cxn>
              <a:cxn ang="0">
                <a:pos x="csX11587" y="csY11587"/>
              </a:cxn>
              <a:cxn ang="0">
                <a:pos x="csX11588" y="csY11588"/>
              </a:cxn>
              <a:cxn ang="0">
                <a:pos x="csX11589" y="csY11589"/>
              </a:cxn>
              <a:cxn ang="0">
                <a:pos x="csX11590" y="csY11590"/>
              </a:cxn>
              <a:cxn ang="0">
                <a:pos x="csX11591" y="csY11591"/>
              </a:cxn>
              <a:cxn ang="0">
                <a:pos x="csX11592" y="csY11592"/>
              </a:cxn>
              <a:cxn ang="0">
                <a:pos x="csX11593" y="csY11593"/>
              </a:cxn>
              <a:cxn ang="0">
                <a:pos x="csX11594" y="csY11594"/>
              </a:cxn>
              <a:cxn ang="0">
                <a:pos x="csX11595" y="csY11595"/>
              </a:cxn>
              <a:cxn ang="0">
                <a:pos x="csX11596" y="csY11596"/>
              </a:cxn>
              <a:cxn ang="0">
                <a:pos x="csX11597" y="csY11597"/>
              </a:cxn>
              <a:cxn ang="0">
                <a:pos x="csX11598" y="csY11598"/>
              </a:cxn>
              <a:cxn ang="0">
                <a:pos x="csX11599" y="csY11599"/>
              </a:cxn>
              <a:cxn ang="0">
                <a:pos x="csX11600" y="csY11600"/>
              </a:cxn>
              <a:cxn ang="0">
                <a:pos x="csX11601" y="csY11601"/>
              </a:cxn>
              <a:cxn ang="0">
                <a:pos x="csX11602" y="csY11602"/>
              </a:cxn>
              <a:cxn ang="0">
                <a:pos x="csX11603" y="csY11603"/>
              </a:cxn>
              <a:cxn ang="0">
                <a:pos x="csX11604" y="csY11604"/>
              </a:cxn>
              <a:cxn ang="0">
                <a:pos x="csX11605" y="csY11605"/>
              </a:cxn>
              <a:cxn ang="0">
                <a:pos x="csX11606" y="csY11606"/>
              </a:cxn>
              <a:cxn ang="0">
                <a:pos x="csX11607" y="csY11607"/>
              </a:cxn>
              <a:cxn ang="0">
                <a:pos x="csX11608" y="csY11608"/>
              </a:cxn>
              <a:cxn ang="0">
                <a:pos x="csX11609" y="csY11609"/>
              </a:cxn>
              <a:cxn ang="0">
                <a:pos x="csX11610" y="csY11610"/>
              </a:cxn>
              <a:cxn ang="0">
                <a:pos x="csX11611" y="csY11611"/>
              </a:cxn>
              <a:cxn ang="0">
                <a:pos x="csX11612" y="csY11612"/>
              </a:cxn>
              <a:cxn ang="0">
                <a:pos x="csX11613" y="csY11613"/>
              </a:cxn>
              <a:cxn ang="0">
                <a:pos x="csX11614" y="csY11614"/>
              </a:cxn>
              <a:cxn ang="0">
                <a:pos x="csX11615" y="csY11615"/>
              </a:cxn>
              <a:cxn ang="0">
                <a:pos x="csX11616" y="csY11616"/>
              </a:cxn>
              <a:cxn ang="0">
                <a:pos x="csX11617" y="csY11617"/>
              </a:cxn>
              <a:cxn ang="0">
                <a:pos x="csX11618" y="csY11618"/>
              </a:cxn>
              <a:cxn ang="0">
                <a:pos x="csX11619" y="csY11619"/>
              </a:cxn>
              <a:cxn ang="0">
                <a:pos x="csX11620" y="csY11620"/>
              </a:cxn>
              <a:cxn ang="0">
                <a:pos x="csX11621" y="csY11621"/>
              </a:cxn>
              <a:cxn ang="0">
                <a:pos x="csX11622" y="csY11622"/>
              </a:cxn>
              <a:cxn ang="0">
                <a:pos x="csX11623" y="csY11623"/>
              </a:cxn>
              <a:cxn ang="0">
                <a:pos x="csX11624" y="csY11624"/>
              </a:cxn>
              <a:cxn ang="0">
                <a:pos x="csX11625" y="csY11625"/>
              </a:cxn>
              <a:cxn ang="0">
                <a:pos x="csX11626" y="csY11626"/>
              </a:cxn>
              <a:cxn ang="0">
                <a:pos x="csX11627" y="csY11627"/>
              </a:cxn>
              <a:cxn ang="0">
                <a:pos x="csX11628" y="csY11628"/>
              </a:cxn>
              <a:cxn ang="0">
                <a:pos x="csX11629" y="csY11629"/>
              </a:cxn>
              <a:cxn ang="0">
                <a:pos x="csX11630" y="csY11630"/>
              </a:cxn>
              <a:cxn ang="0">
                <a:pos x="csX11631" y="csY11631"/>
              </a:cxn>
              <a:cxn ang="0">
                <a:pos x="csX11632" y="csY11632"/>
              </a:cxn>
              <a:cxn ang="0">
                <a:pos x="csX11633" y="csY11633"/>
              </a:cxn>
              <a:cxn ang="0">
                <a:pos x="csX11634" y="csY11634"/>
              </a:cxn>
              <a:cxn ang="0">
                <a:pos x="csX11635" y="csY11635"/>
              </a:cxn>
              <a:cxn ang="0">
                <a:pos x="csX11636" y="csY11636"/>
              </a:cxn>
              <a:cxn ang="0">
                <a:pos x="csX11637" y="csY11637"/>
              </a:cxn>
              <a:cxn ang="0">
                <a:pos x="csX11638" y="csY11638"/>
              </a:cxn>
              <a:cxn ang="0">
                <a:pos x="csX11639" y="csY11639"/>
              </a:cxn>
              <a:cxn ang="0">
                <a:pos x="csX11640" y="csY11640"/>
              </a:cxn>
              <a:cxn ang="0">
                <a:pos x="csX11641" y="csY11641"/>
              </a:cxn>
              <a:cxn ang="0">
                <a:pos x="csX11642" y="csY11642"/>
              </a:cxn>
              <a:cxn ang="0">
                <a:pos x="csX11643" y="csY11643"/>
              </a:cxn>
              <a:cxn ang="0">
                <a:pos x="csX11644" y="csY11644"/>
              </a:cxn>
              <a:cxn ang="0">
                <a:pos x="csX11645" y="csY11645"/>
              </a:cxn>
              <a:cxn ang="0">
                <a:pos x="csX11646" y="csY11646"/>
              </a:cxn>
              <a:cxn ang="0">
                <a:pos x="csX11647" y="csY11647"/>
              </a:cxn>
              <a:cxn ang="0">
                <a:pos x="csX11648" y="csY11648"/>
              </a:cxn>
              <a:cxn ang="0">
                <a:pos x="csX11649" y="csY11649"/>
              </a:cxn>
              <a:cxn ang="0">
                <a:pos x="csX11650" y="csY11650"/>
              </a:cxn>
              <a:cxn ang="0">
                <a:pos x="csX11651" y="csY11651"/>
              </a:cxn>
              <a:cxn ang="0">
                <a:pos x="csX11652" y="csY11652"/>
              </a:cxn>
              <a:cxn ang="0">
                <a:pos x="csX11653" y="csY11653"/>
              </a:cxn>
              <a:cxn ang="0">
                <a:pos x="csX11654" y="csY11654"/>
              </a:cxn>
              <a:cxn ang="0">
                <a:pos x="csX11655" y="csY11655"/>
              </a:cxn>
              <a:cxn ang="0">
                <a:pos x="csX11656" y="csY11656"/>
              </a:cxn>
              <a:cxn ang="0">
                <a:pos x="csX11657" y="csY11657"/>
              </a:cxn>
              <a:cxn ang="0">
                <a:pos x="csX11658" y="csY11658"/>
              </a:cxn>
              <a:cxn ang="0">
                <a:pos x="csX11659" y="csY11659"/>
              </a:cxn>
              <a:cxn ang="0">
                <a:pos x="csX11660" y="csY11660"/>
              </a:cxn>
              <a:cxn ang="0">
                <a:pos x="csX11661" y="csY11661"/>
              </a:cxn>
              <a:cxn ang="0">
                <a:pos x="csX11662" y="csY11662"/>
              </a:cxn>
              <a:cxn ang="0">
                <a:pos x="csX11663" y="csY11663"/>
              </a:cxn>
              <a:cxn ang="0">
                <a:pos x="csX11664" y="csY11664"/>
              </a:cxn>
              <a:cxn ang="0">
                <a:pos x="csX11665" y="csY11665"/>
              </a:cxn>
              <a:cxn ang="0">
                <a:pos x="csX11666" y="csY11666"/>
              </a:cxn>
              <a:cxn ang="0">
                <a:pos x="csX11667" y="csY11667"/>
              </a:cxn>
              <a:cxn ang="0">
                <a:pos x="csX11668" y="csY11668"/>
              </a:cxn>
              <a:cxn ang="0">
                <a:pos x="csX11669" y="csY11669"/>
              </a:cxn>
              <a:cxn ang="0">
                <a:pos x="csX11670" y="csY11670"/>
              </a:cxn>
              <a:cxn ang="0">
                <a:pos x="csX11671" y="csY11671"/>
              </a:cxn>
              <a:cxn ang="0">
                <a:pos x="csX11672" y="csY11672"/>
              </a:cxn>
              <a:cxn ang="0">
                <a:pos x="csX11673" y="csY11673"/>
              </a:cxn>
              <a:cxn ang="0">
                <a:pos x="csX11674" y="csY11674"/>
              </a:cxn>
              <a:cxn ang="0">
                <a:pos x="csX11675" y="csY11675"/>
              </a:cxn>
              <a:cxn ang="0">
                <a:pos x="csX11676" y="csY11676"/>
              </a:cxn>
              <a:cxn ang="0">
                <a:pos x="csX11677" y="csY11677"/>
              </a:cxn>
              <a:cxn ang="0">
                <a:pos x="csX11678" y="csY11678"/>
              </a:cxn>
              <a:cxn ang="0">
                <a:pos x="csX11679" y="csY11679"/>
              </a:cxn>
              <a:cxn ang="0">
                <a:pos x="csX11680" y="csY11680"/>
              </a:cxn>
              <a:cxn ang="0">
                <a:pos x="csX11681" y="csY11681"/>
              </a:cxn>
              <a:cxn ang="0">
                <a:pos x="csX11682" y="csY11682"/>
              </a:cxn>
              <a:cxn ang="0">
                <a:pos x="csX11683" y="csY11683"/>
              </a:cxn>
              <a:cxn ang="0">
                <a:pos x="csX11684" y="csY11684"/>
              </a:cxn>
              <a:cxn ang="0">
                <a:pos x="csX11685" y="csY11685"/>
              </a:cxn>
              <a:cxn ang="0">
                <a:pos x="csX11686" y="csY11686"/>
              </a:cxn>
              <a:cxn ang="0">
                <a:pos x="csX11687" y="csY11687"/>
              </a:cxn>
              <a:cxn ang="0">
                <a:pos x="csX11688" y="csY11688"/>
              </a:cxn>
              <a:cxn ang="0">
                <a:pos x="csX11689" y="csY11689"/>
              </a:cxn>
              <a:cxn ang="0">
                <a:pos x="csX11690" y="csY11690"/>
              </a:cxn>
              <a:cxn ang="0">
                <a:pos x="csX11691" y="csY11691"/>
              </a:cxn>
              <a:cxn ang="0">
                <a:pos x="csX11692" y="csY11692"/>
              </a:cxn>
              <a:cxn ang="0">
                <a:pos x="csX11693" y="csY11693"/>
              </a:cxn>
              <a:cxn ang="0">
                <a:pos x="csX11694" y="csY11694"/>
              </a:cxn>
              <a:cxn ang="0">
                <a:pos x="csX11695" y="csY11695"/>
              </a:cxn>
              <a:cxn ang="0">
                <a:pos x="csX11696" y="csY11696"/>
              </a:cxn>
              <a:cxn ang="0">
                <a:pos x="csX11697" y="csY11697"/>
              </a:cxn>
              <a:cxn ang="0">
                <a:pos x="csX11698" y="csY11698"/>
              </a:cxn>
              <a:cxn ang="0">
                <a:pos x="csX11699" y="csY11699"/>
              </a:cxn>
              <a:cxn ang="0">
                <a:pos x="csX11700" y="csY11700"/>
              </a:cxn>
              <a:cxn ang="0">
                <a:pos x="csX11701" y="csY11701"/>
              </a:cxn>
              <a:cxn ang="0">
                <a:pos x="csX11702" y="csY11702"/>
              </a:cxn>
              <a:cxn ang="0">
                <a:pos x="csX11703" y="csY11703"/>
              </a:cxn>
              <a:cxn ang="0">
                <a:pos x="csX11704" y="csY11704"/>
              </a:cxn>
              <a:cxn ang="0">
                <a:pos x="csX11705" y="csY11705"/>
              </a:cxn>
              <a:cxn ang="0">
                <a:pos x="csX11706" y="csY11706"/>
              </a:cxn>
              <a:cxn ang="0">
                <a:pos x="csX11707" y="csY11707"/>
              </a:cxn>
              <a:cxn ang="0">
                <a:pos x="csX11708" y="csY11708"/>
              </a:cxn>
              <a:cxn ang="0">
                <a:pos x="csX11709" y="csY11709"/>
              </a:cxn>
              <a:cxn ang="0">
                <a:pos x="csX11710" y="csY11710"/>
              </a:cxn>
              <a:cxn ang="0">
                <a:pos x="csX11711" y="csY11711"/>
              </a:cxn>
              <a:cxn ang="0">
                <a:pos x="csX11712" y="csY11712"/>
              </a:cxn>
              <a:cxn ang="0">
                <a:pos x="csX11713" y="csY11713"/>
              </a:cxn>
              <a:cxn ang="0">
                <a:pos x="csX11714" y="csY11714"/>
              </a:cxn>
              <a:cxn ang="0">
                <a:pos x="csX11715" y="csY11715"/>
              </a:cxn>
              <a:cxn ang="0">
                <a:pos x="csX11716" y="csY11716"/>
              </a:cxn>
              <a:cxn ang="0">
                <a:pos x="csX11717" y="csY11717"/>
              </a:cxn>
              <a:cxn ang="0">
                <a:pos x="csX11718" y="csY11718"/>
              </a:cxn>
              <a:cxn ang="0">
                <a:pos x="csX11719" y="csY11719"/>
              </a:cxn>
              <a:cxn ang="0">
                <a:pos x="csX11720" y="csY11720"/>
              </a:cxn>
              <a:cxn ang="0">
                <a:pos x="csX11721" y="csY11721"/>
              </a:cxn>
              <a:cxn ang="0">
                <a:pos x="csX11722" y="csY11722"/>
              </a:cxn>
              <a:cxn ang="0">
                <a:pos x="csX11723" y="csY11723"/>
              </a:cxn>
              <a:cxn ang="0">
                <a:pos x="csX11724" y="csY11724"/>
              </a:cxn>
              <a:cxn ang="0">
                <a:pos x="csX11725" y="csY11725"/>
              </a:cxn>
              <a:cxn ang="0">
                <a:pos x="csX11726" y="csY11726"/>
              </a:cxn>
              <a:cxn ang="0">
                <a:pos x="csX11727" y="csY11727"/>
              </a:cxn>
              <a:cxn ang="0">
                <a:pos x="csX11728" y="csY11728"/>
              </a:cxn>
              <a:cxn ang="0">
                <a:pos x="csX11729" y="csY11729"/>
              </a:cxn>
              <a:cxn ang="0">
                <a:pos x="csX11730" y="csY11730"/>
              </a:cxn>
              <a:cxn ang="0">
                <a:pos x="csX11731" y="csY11731"/>
              </a:cxn>
              <a:cxn ang="0">
                <a:pos x="csX11732" y="csY11732"/>
              </a:cxn>
              <a:cxn ang="0">
                <a:pos x="csX11733" y="csY11733"/>
              </a:cxn>
              <a:cxn ang="0">
                <a:pos x="csX11734" y="csY11734"/>
              </a:cxn>
              <a:cxn ang="0">
                <a:pos x="csX11735" y="csY11735"/>
              </a:cxn>
              <a:cxn ang="0">
                <a:pos x="csX11736" y="csY11736"/>
              </a:cxn>
              <a:cxn ang="0">
                <a:pos x="csX11737" y="csY11737"/>
              </a:cxn>
              <a:cxn ang="0">
                <a:pos x="csX11738" y="csY11738"/>
              </a:cxn>
              <a:cxn ang="0">
                <a:pos x="csX11739" y="csY11739"/>
              </a:cxn>
              <a:cxn ang="0">
                <a:pos x="csX11740" y="csY11740"/>
              </a:cxn>
              <a:cxn ang="0">
                <a:pos x="csX11741" y="csY11741"/>
              </a:cxn>
              <a:cxn ang="0">
                <a:pos x="csX11742" y="csY11742"/>
              </a:cxn>
              <a:cxn ang="0">
                <a:pos x="csX11743" y="csY11743"/>
              </a:cxn>
              <a:cxn ang="0">
                <a:pos x="csX11744" y="csY11744"/>
              </a:cxn>
              <a:cxn ang="0">
                <a:pos x="csX11745" y="csY11745"/>
              </a:cxn>
              <a:cxn ang="0">
                <a:pos x="csX11746" y="csY11746"/>
              </a:cxn>
              <a:cxn ang="0">
                <a:pos x="csX11747" y="csY11747"/>
              </a:cxn>
              <a:cxn ang="0">
                <a:pos x="csX11748" y="csY11748"/>
              </a:cxn>
              <a:cxn ang="0">
                <a:pos x="csX11749" y="csY11749"/>
              </a:cxn>
              <a:cxn ang="0">
                <a:pos x="csX11750" y="csY11750"/>
              </a:cxn>
              <a:cxn ang="0">
                <a:pos x="csX11751" y="csY11751"/>
              </a:cxn>
              <a:cxn ang="0">
                <a:pos x="csX11752" y="csY11752"/>
              </a:cxn>
              <a:cxn ang="0">
                <a:pos x="csX11753" y="csY11753"/>
              </a:cxn>
              <a:cxn ang="0">
                <a:pos x="csX11754" y="csY11754"/>
              </a:cxn>
              <a:cxn ang="0">
                <a:pos x="csX11755" y="csY11755"/>
              </a:cxn>
              <a:cxn ang="0">
                <a:pos x="csX11756" y="csY11756"/>
              </a:cxn>
              <a:cxn ang="0">
                <a:pos x="csX11757" y="csY11757"/>
              </a:cxn>
              <a:cxn ang="0">
                <a:pos x="csX11758" y="csY11758"/>
              </a:cxn>
              <a:cxn ang="0">
                <a:pos x="csX11759" y="csY11759"/>
              </a:cxn>
              <a:cxn ang="0">
                <a:pos x="csX11760" y="csY11760"/>
              </a:cxn>
              <a:cxn ang="0">
                <a:pos x="csX11761" y="csY11761"/>
              </a:cxn>
              <a:cxn ang="0">
                <a:pos x="csX11762" y="csY11762"/>
              </a:cxn>
              <a:cxn ang="0">
                <a:pos x="csX11763" y="csY11763"/>
              </a:cxn>
              <a:cxn ang="0">
                <a:pos x="csX11764" y="csY11764"/>
              </a:cxn>
              <a:cxn ang="0">
                <a:pos x="csX11765" y="csY11765"/>
              </a:cxn>
              <a:cxn ang="0">
                <a:pos x="csX11766" y="csY11766"/>
              </a:cxn>
              <a:cxn ang="0">
                <a:pos x="csX11767" y="csY11767"/>
              </a:cxn>
              <a:cxn ang="0">
                <a:pos x="csX11768" y="csY11768"/>
              </a:cxn>
              <a:cxn ang="0">
                <a:pos x="csX11769" y="csY11769"/>
              </a:cxn>
              <a:cxn ang="0">
                <a:pos x="csX11770" y="csY11770"/>
              </a:cxn>
              <a:cxn ang="0">
                <a:pos x="csX11771" y="csY11771"/>
              </a:cxn>
              <a:cxn ang="0">
                <a:pos x="csX11772" y="csY11772"/>
              </a:cxn>
              <a:cxn ang="0">
                <a:pos x="csX11773" y="csY11773"/>
              </a:cxn>
              <a:cxn ang="0">
                <a:pos x="csX11774" y="csY11774"/>
              </a:cxn>
              <a:cxn ang="0">
                <a:pos x="csX11775" y="csY11775"/>
              </a:cxn>
              <a:cxn ang="0">
                <a:pos x="csX11776" y="csY11776"/>
              </a:cxn>
              <a:cxn ang="0">
                <a:pos x="csX11777" y="csY11777"/>
              </a:cxn>
              <a:cxn ang="0">
                <a:pos x="csX11778" y="csY11778"/>
              </a:cxn>
              <a:cxn ang="0">
                <a:pos x="csX11779" y="csY11779"/>
              </a:cxn>
              <a:cxn ang="0">
                <a:pos x="csX11780" y="csY11780"/>
              </a:cxn>
              <a:cxn ang="0">
                <a:pos x="csX11781" y="csY11781"/>
              </a:cxn>
              <a:cxn ang="0">
                <a:pos x="csX11782" y="csY11782"/>
              </a:cxn>
              <a:cxn ang="0">
                <a:pos x="csX11783" y="csY11783"/>
              </a:cxn>
              <a:cxn ang="0">
                <a:pos x="csX11784" y="csY11784"/>
              </a:cxn>
              <a:cxn ang="0">
                <a:pos x="csX11785" y="csY11785"/>
              </a:cxn>
              <a:cxn ang="0">
                <a:pos x="csX11786" y="csY11786"/>
              </a:cxn>
              <a:cxn ang="0">
                <a:pos x="csX11787" y="csY11787"/>
              </a:cxn>
              <a:cxn ang="0">
                <a:pos x="csX11788" y="csY11788"/>
              </a:cxn>
              <a:cxn ang="0">
                <a:pos x="csX11789" y="csY11789"/>
              </a:cxn>
              <a:cxn ang="0">
                <a:pos x="csX11790" y="csY11790"/>
              </a:cxn>
              <a:cxn ang="0">
                <a:pos x="csX11791" y="csY11791"/>
              </a:cxn>
              <a:cxn ang="0">
                <a:pos x="csX11792" y="csY11792"/>
              </a:cxn>
              <a:cxn ang="0">
                <a:pos x="csX11793" y="csY11793"/>
              </a:cxn>
              <a:cxn ang="0">
                <a:pos x="csX11794" y="csY11794"/>
              </a:cxn>
              <a:cxn ang="0">
                <a:pos x="csX11795" y="csY11795"/>
              </a:cxn>
              <a:cxn ang="0">
                <a:pos x="csX11796" y="csY11796"/>
              </a:cxn>
              <a:cxn ang="0">
                <a:pos x="csX11797" y="csY11797"/>
              </a:cxn>
              <a:cxn ang="0">
                <a:pos x="csX11798" y="csY11798"/>
              </a:cxn>
              <a:cxn ang="0">
                <a:pos x="csX11799" y="csY11799"/>
              </a:cxn>
              <a:cxn ang="0">
                <a:pos x="csX11800" y="csY11800"/>
              </a:cxn>
              <a:cxn ang="0">
                <a:pos x="csX11801" y="csY11801"/>
              </a:cxn>
              <a:cxn ang="0">
                <a:pos x="csX11802" y="csY11802"/>
              </a:cxn>
              <a:cxn ang="0">
                <a:pos x="csX11803" y="csY11803"/>
              </a:cxn>
              <a:cxn ang="0">
                <a:pos x="csX11804" y="csY11804"/>
              </a:cxn>
              <a:cxn ang="0">
                <a:pos x="csX11805" y="csY11805"/>
              </a:cxn>
              <a:cxn ang="0">
                <a:pos x="csX11806" y="csY11806"/>
              </a:cxn>
              <a:cxn ang="0">
                <a:pos x="csX11807" y="csY11807"/>
              </a:cxn>
              <a:cxn ang="0">
                <a:pos x="csX11808" y="csY11808"/>
              </a:cxn>
              <a:cxn ang="0">
                <a:pos x="csX11809" y="csY11809"/>
              </a:cxn>
              <a:cxn ang="0">
                <a:pos x="csX11810" y="csY11810"/>
              </a:cxn>
              <a:cxn ang="0">
                <a:pos x="csX11811" y="csY11811"/>
              </a:cxn>
              <a:cxn ang="0">
                <a:pos x="csX11812" y="csY11812"/>
              </a:cxn>
              <a:cxn ang="0">
                <a:pos x="csX11813" y="csY11813"/>
              </a:cxn>
              <a:cxn ang="0">
                <a:pos x="csX11814" y="csY11814"/>
              </a:cxn>
              <a:cxn ang="0">
                <a:pos x="csX11815" y="csY11815"/>
              </a:cxn>
              <a:cxn ang="0">
                <a:pos x="csX11816" y="csY11816"/>
              </a:cxn>
              <a:cxn ang="0">
                <a:pos x="csX11817" y="csY11817"/>
              </a:cxn>
              <a:cxn ang="0">
                <a:pos x="csX11818" y="csY11818"/>
              </a:cxn>
              <a:cxn ang="0">
                <a:pos x="csX11819" y="csY11819"/>
              </a:cxn>
              <a:cxn ang="0">
                <a:pos x="csX11820" y="csY11820"/>
              </a:cxn>
              <a:cxn ang="0">
                <a:pos x="csX11821" y="csY11821"/>
              </a:cxn>
              <a:cxn ang="0">
                <a:pos x="csX11822" y="csY11822"/>
              </a:cxn>
              <a:cxn ang="0">
                <a:pos x="csX11823" y="csY11823"/>
              </a:cxn>
              <a:cxn ang="0">
                <a:pos x="csX11824" y="csY11824"/>
              </a:cxn>
              <a:cxn ang="0">
                <a:pos x="csX11825" y="csY11825"/>
              </a:cxn>
              <a:cxn ang="0">
                <a:pos x="csX11826" y="csY11826"/>
              </a:cxn>
              <a:cxn ang="0">
                <a:pos x="csX11827" y="csY11827"/>
              </a:cxn>
              <a:cxn ang="0">
                <a:pos x="csX11828" y="csY11828"/>
              </a:cxn>
              <a:cxn ang="0">
                <a:pos x="csX11829" y="csY11829"/>
              </a:cxn>
              <a:cxn ang="0">
                <a:pos x="csX11830" y="csY11830"/>
              </a:cxn>
              <a:cxn ang="0">
                <a:pos x="csX11831" y="csY11831"/>
              </a:cxn>
              <a:cxn ang="0">
                <a:pos x="csX11832" y="csY11832"/>
              </a:cxn>
              <a:cxn ang="0">
                <a:pos x="csX11833" y="csY11833"/>
              </a:cxn>
              <a:cxn ang="0">
                <a:pos x="csX11834" y="csY11834"/>
              </a:cxn>
              <a:cxn ang="0">
                <a:pos x="csX11835" y="csY11835"/>
              </a:cxn>
              <a:cxn ang="0">
                <a:pos x="csX11836" y="csY11836"/>
              </a:cxn>
              <a:cxn ang="0">
                <a:pos x="csX11837" y="csY11837"/>
              </a:cxn>
              <a:cxn ang="0">
                <a:pos x="csX11838" y="csY11838"/>
              </a:cxn>
              <a:cxn ang="0">
                <a:pos x="csX11839" y="csY11839"/>
              </a:cxn>
              <a:cxn ang="0">
                <a:pos x="csX11840" y="csY11840"/>
              </a:cxn>
              <a:cxn ang="0">
                <a:pos x="csX11841" y="csY11841"/>
              </a:cxn>
              <a:cxn ang="0">
                <a:pos x="csX11842" y="csY11842"/>
              </a:cxn>
              <a:cxn ang="0">
                <a:pos x="csX11843" y="csY11843"/>
              </a:cxn>
              <a:cxn ang="0">
                <a:pos x="csX11844" y="csY11844"/>
              </a:cxn>
              <a:cxn ang="0">
                <a:pos x="csX11845" y="csY11845"/>
              </a:cxn>
              <a:cxn ang="0">
                <a:pos x="csX11846" y="csY11846"/>
              </a:cxn>
              <a:cxn ang="0">
                <a:pos x="csX11847" y="csY11847"/>
              </a:cxn>
              <a:cxn ang="0">
                <a:pos x="csX11848" y="csY11848"/>
              </a:cxn>
              <a:cxn ang="0">
                <a:pos x="csX11849" y="csY11849"/>
              </a:cxn>
              <a:cxn ang="0">
                <a:pos x="csX11850" y="csY11850"/>
              </a:cxn>
              <a:cxn ang="0">
                <a:pos x="csX11851" y="csY11851"/>
              </a:cxn>
              <a:cxn ang="0">
                <a:pos x="csX11852" y="csY11852"/>
              </a:cxn>
              <a:cxn ang="0">
                <a:pos x="csX11853" y="csY11853"/>
              </a:cxn>
              <a:cxn ang="0">
                <a:pos x="csX11854" y="csY11854"/>
              </a:cxn>
              <a:cxn ang="0">
                <a:pos x="csX11855" y="csY11855"/>
              </a:cxn>
              <a:cxn ang="0">
                <a:pos x="csX11856" y="csY11856"/>
              </a:cxn>
              <a:cxn ang="0">
                <a:pos x="csX11857" y="csY11857"/>
              </a:cxn>
              <a:cxn ang="0">
                <a:pos x="csX11858" y="csY11858"/>
              </a:cxn>
              <a:cxn ang="0">
                <a:pos x="csX11859" y="csY11859"/>
              </a:cxn>
              <a:cxn ang="0">
                <a:pos x="csX11860" y="csY11860"/>
              </a:cxn>
              <a:cxn ang="0">
                <a:pos x="csX11861" y="csY11861"/>
              </a:cxn>
              <a:cxn ang="0">
                <a:pos x="csX11862" y="csY11862"/>
              </a:cxn>
              <a:cxn ang="0">
                <a:pos x="csX11863" y="csY11863"/>
              </a:cxn>
              <a:cxn ang="0">
                <a:pos x="csX11864" y="csY11864"/>
              </a:cxn>
              <a:cxn ang="0">
                <a:pos x="csX11865" y="csY11865"/>
              </a:cxn>
              <a:cxn ang="0">
                <a:pos x="csX11866" y="csY11866"/>
              </a:cxn>
              <a:cxn ang="0">
                <a:pos x="csX11867" y="csY11867"/>
              </a:cxn>
              <a:cxn ang="0">
                <a:pos x="csX11868" y="csY11868"/>
              </a:cxn>
              <a:cxn ang="0">
                <a:pos x="csX11869" y="csY11869"/>
              </a:cxn>
              <a:cxn ang="0">
                <a:pos x="csX11870" y="csY11870"/>
              </a:cxn>
              <a:cxn ang="0">
                <a:pos x="csX11871" y="csY11871"/>
              </a:cxn>
              <a:cxn ang="0">
                <a:pos x="csX11872" y="csY11872"/>
              </a:cxn>
              <a:cxn ang="0">
                <a:pos x="csX11873" y="csY11873"/>
              </a:cxn>
              <a:cxn ang="0">
                <a:pos x="csX11874" y="csY11874"/>
              </a:cxn>
              <a:cxn ang="0">
                <a:pos x="csX11875" y="csY11875"/>
              </a:cxn>
              <a:cxn ang="0">
                <a:pos x="csX11876" y="csY11876"/>
              </a:cxn>
              <a:cxn ang="0">
                <a:pos x="csX11877" y="csY11877"/>
              </a:cxn>
              <a:cxn ang="0">
                <a:pos x="csX11878" y="csY11878"/>
              </a:cxn>
              <a:cxn ang="0">
                <a:pos x="csX11879" y="csY11879"/>
              </a:cxn>
              <a:cxn ang="0">
                <a:pos x="csX11880" y="csY11880"/>
              </a:cxn>
              <a:cxn ang="0">
                <a:pos x="csX11881" y="csY11881"/>
              </a:cxn>
              <a:cxn ang="0">
                <a:pos x="csX11882" y="csY11882"/>
              </a:cxn>
              <a:cxn ang="0">
                <a:pos x="csX11883" y="csY11883"/>
              </a:cxn>
              <a:cxn ang="0">
                <a:pos x="csX11884" y="csY11884"/>
              </a:cxn>
              <a:cxn ang="0">
                <a:pos x="csX11885" y="csY11885"/>
              </a:cxn>
              <a:cxn ang="0">
                <a:pos x="csX11886" y="csY11886"/>
              </a:cxn>
              <a:cxn ang="0">
                <a:pos x="csX11887" y="csY11887"/>
              </a:cxn>
              <a:cxn ang="0">
                <a:pos x="csX11888" y="csY11888"/>
              </a:cxn>
              <a:cxn ang="0">
                <a:pos x="csX11889" y="csY11889"/>
              </a:cxn>
              <a:cxn ang="0">
                <a:pos x="csX11890" y="csY11890"/>
              </a:cxn>
              <a:cxn ang="0">
                <a:pos x="csX11891" y="csY11891"/>
              </a:cxn>
              <a:cxn ang="0">
                <a:pos x="csX11892" y="csY11892"/>
              </a:cxn>
              <a:cxn ang="0">
                <a:pos x="csX11893" y="csY11893"/>
              </a:cxn>
              <a:cxn ang="0">
                <a:pos x="csX11894" y="csY11894"/>
              </a:cxn>
              <a:cxn ang="0">
                <a:pos x="csX11895" y="csY11895"/>
              </a:cxn>
              <a:cxn ang="0">
                <a:pos x="csX11896" y="csY11896"/>
              </a:cxn>
              <a:cxn ang="0">
                <a:pos x="csX11897" y="csY11897"/>
              </a:cxn>
              <a:cxn ang="0">
                <a:pos x="csX11898" y="csY11898"/>
              </a:cxn>
              <a:cxn ang="0">
                <a:pos x="csX11899" y="csY11899"/>
              </a:cxn>
              <a:cxn ang="0">
                <a:pos x="csX11900" y="csY11900"/>
              </a:cxn>
              <a:cxn ang="0">
                <a:pos x="csX11901" y="csY11901"/>
              </a:cxn>
              <a:cxn ang="0">
                <a:pos x="csX11902" y="csY11902"/>
              </a:cxn>
              <a:cxn ang="0">
                <a:pos x="csX11903" y="csY11903"/>
              </a:cxn>
              <a:cxn ang="0">
                <a:pos x="csX11904" y="csY11904"/>
              </a:cxn>
              <a:cxn ang="0">
                <a:pos x="csX11905" y="csY11905"/>
              </a:cxn>
              <a:cxn ang="0">
                <a:pos x="csX11906" y="csY11906"/>
              </a:cxn>
              <a:cxn ang="0">
                <a:pos x="csX11907" y="csY11907"/>
              </a:cxn>
              <a:cxn ang="0">
                <a:pos x="csX11908" y="csY11908"/>
              </a:cxn>
              <a:cxn ang="0">
                <a:pos x="csX11909" y="csY11909"/>
              </a:cxn>
              <a:cxn ang="0">
                <a:pos x="csX11910" y="csY11910"/>
              </a:cxn>
              <a:cxn ang="0">
                <a:pos x="csX11911" y="csY11911"/>
              </a:cxn>
              <a:cxn ang="0">
                <a:pos x="csX11912" y="csY11912"/>
              </a:cxn>
              <a:cxn ang="0">
                <a:pos x="csX11913" y="csY11913"/>
              </a:cxn>
              <a:cxn ang="0">
                <a:pos x="csX11914" y="csY11914"/>
              </a:cxn>
              <a:cxn ang="0">
                <a:pos x="csX11915" y="csY11915"/>
              </a:cxn>
              <a:cxn ang="0">
                <a:pos x="csX11916" y="csY11916"/>
              </a:cxn>
              <a:cxn ang="0">
                <a:pos x="csX11917" y="csY11917"/>
              </a:cxn>
              <a:cxn ang="0">
                <a:pos x="csX11918" y="csY11918"/>
              </a:cxn>
              <a:cxn ang="0">
                <a:pos x="csX11919" y="csY11919"/>
              </a:cxn>
              <a:cxn ang="0">
                <a:pos x="csX11920" y="csY11920"/>
              </a:cxn>
              <a:cxn ang="0">
                <a:pos x="csX11921" y="csY11921"/>
              </a:cxn>
              <a:cxn ang="0">
                <a:pos x="csX11922" y="csY11922"/>
              </a:cxn>
              <a:cxn ang="0">
                <a:pos x="csX11923" y="csY11923"/>
              </a:cxn>
              <a:cxn ang="0">
                <a:pos x="csX11924" y="csY11924"/>
              </a:cxn>
              <a:cxn ang="0">
                <a:pos x="csX11925" y="csY11925"/>
              </a:cxn>
              <a:cxn ang="0">
                <a:pos x="csX11926" y="csY11926"/>
              </a:cxn>
              <a:cxn ang="0">
                <a:pos x="csX11927" y="csY11927"/>
              </a:cxn>
              <a:cxn ang="0">
                <a:pos x="csX11928" y="csY11928"/>
              </a:cxn>
              <a:cxn ang="0">
                <a:pos x="csX11929" y="csY11929"/>
              </a:cxn>
              <a:cxn ang="0">
                <a:pos x="csX11930" y="csY11930"/>
              </a:cxn>
              <a:cxn ang="0">
                <a:pos x="csX11931" y="csY11931"/>
              </a:cxn>
              <a:cxn ang="0">
                <a:pos x="csX11932" y="csY11932"/>
              </a:cxn>
              <a:cxn ang="0">
                <a:pos x="csX11933" y="csY11933"/>
              </a:cxn>
              <a:cxn ang="0">
                <a:pos x="csX11934" y="csY11934"/>
              </a:cxn>
              <a:cxn ang="0">
                <a:pos x="csX11935" y="csY11935"/>
              </a:cxn>
              <a:cxn ang="0">
                <a:pos x="csX11936" y="csY11936"/>
              </a:cxn>
              <a:cxn ang="0">
                <a:pos x="csX11937" y="csY11937"/>
              </a:cxn>
              <a:cxn ang="0">
                <a:pos x="csX11938" y="csY11938"/>
              </a:cxn>
              <a:cxn ang="0">
                <a:pos x="csX11939" y="csY11939"/>
              </a:cxn>
              <a:cxn ang="0">
                <a:pos x="csX11940" y="csY11940"/>
              </a:cxn>
              <a:cxn ang="0">
                <a:pos x="csX11941" y="csY11941"/>
              </a:cxn>
              <a:cxn ang="0">
                <a:pos x="csX11942" y="csY11942"/>
              </a:cxn>
              <a:cxn ang="0">
                <a:pos x="csX11943" y="csY11943"/>
              </a:cxn>
              <a:cxn ang="0">
                <a:pos x="csX11944" y="csY11944"/>
              </a:cxn>
              <a:cxn ang="0">
                <a:pos x="csX11945" y="csY11945"/>
              </a:cxn>
              <a:cxn ang="0">
                <a:pos x="csX11946" y="csY11946"/>
              </a:cxn>
              <a:cxn ang="0">
                <a:pos x="csX11947" y="csY11947"/>
              </a:cxn>
              <a:cxn ang="0">
                <a:pos x="csX11948" y="csY11948"/>
              </a:cxn>
              <a:cxn ang="0">
                <a:pos x="csX11949" y="csY11949"/>
              </a:cxn>
              <a:cxn ang="0">
                <a:pos x="csX11950" y="csY11950"/>
              </a:cxn>
              <a:cxn ang="0">
                <a:pos x="csX11951" y="csY11951"/>
              </a:cxn>
              <a:cxn ang="0">
                <a:pos x="csX11952" y="csY11952"/>
              </a:cxn>
              <a:cxn ang="0">
                <a:pos x="csX11953" y="csY11953"/>
              </a:cxn>
              <a:cxn ang="0">
                <a:pos x="csX11954" y="csY11954"/>
              </a:cxn>
              <a:cxn ang="0">
                <a:pos x="csX11955" y="csY11955"/>
              </a:cxn>
              <a:cxn ang="0">
                <a:pos x="csX11956" y="csY11956"/>
              </a:cxn>
              <a:cxn ang="0">
                <a:pos x="csX11957" y="csY11957"/>
              </a:cxn>
              <a:cxn ang="0">
                <a:pos x="csX11958" y="csY11958"/>
              </a:cxn>
              <a:cxn ang="0">
                <a:pos x="csX11959" y="csY11959"/>
              </a:cxn>
              <a:cxn ang="0">
                <a:pos x="csX11960" y="csY11960"/>
              </a:cxn>
              <a:cxn ang="0">
                <a:pos x="csX11961" y="csY11961"/>
              </a:cxn>
              <a:cxn ang="0">
                <a:pos x="csX11962" y="csY11962"/>
              </a:cxn>
              <a:cxn ang="0">
                <a:pos x="csX11963" y="csY11963"/>
              </a:cxn>
              <a:cxn ang="0">
                <a:pos x="csX11964" y="csY11964"/>
              </a:cxn>
              <a:cxn ang="0">
                <a:pos x="csX11965" y="csY11965"/>
              </a:cxn>
              <a:cxn ang="0">
                <a:pos x="csX11966" y="csY11966"/>
              </a:cxn>
              <a:cxn ang="0">
                <a:pos x="csX11967" y="csY11967"/>
              </a:cxn>
              <a:cxn ang="0">
                <a:pos x="csX11968" y="csY11968"/>
              </a:cxn>
              <a:cxn ang="0">
                <a:pos x="csX11969" y="csY11969"/>
              </a:cxn>
              <a:cxn ang="0">
                <a:pos x="csX11970" y="csY11970"/>
              </a:cxn>
              <a:cxn ang="0">
                <a:pos x="csX11971" y="csY11971"/>
              </a:cxn>
              <a:cxn ang="0">
                <a:pos x="csX11972" y="csY11972"/>
              </a:cxn>
              <a:cxn ang="0">
                <a:pos x="csX11973" y="csY11973"/>
              </a:cxn>
              <a:cxn ang="0">
                <a:pos x="csX11974" y="csY11974"/>
              </a:cxn>
              <a:cxn ang="0">
                <a:pos x="csX11975" y="csY11975"/>
              </a:cxn>
              <a:cxn ang="0">
                <a:pos x="csX11976" y="csY11976"/>
              </a:cxn>
              <a:cxn ang="0">
                <a:pos x="csX11977" y="csY11977"/>
              </a:cxn>
              <a:cxn ang="0">
                <a:pos x="csX11978" y="csY11978"/>
              </a:cxn>
              <a:cxn ang="0">
                <a:pos x="csX11979" y="csY11979"/>
              </a:cxn>
              <a:cxn ang="0">
                <a:pos x="csX11980" y="csY11980"/>
              </a:cxn>
              <a:cxn ang="0">
                <a:pos x="csX11981" y="csY11981"/>
              </a:cxn>
              <a:cxn ang="0">
                <a:pos x="csX11982" y="csY11982"/>
              </a:cxn>
              <a:cxn ang="0">
                <a:pos x="csX11983" y="csY11983"/>
              </a:cxn>
              <a:cxn ang="0">
                <a:pos x="csX11984" y="csY11984"/>
              </a:cxn>
              <a:cxn ang="0">
                <a:pos x="csX11985" y="csY11985"/>
              </a:cxn>
              <a:cxn ang="0">
                <a:pos x="csX11986" y="csY11986"/>
              </a:cxn>
              <a:cxn ang="0">
                <a:pos x="csX11987" y="csY11987"/>
              </a:cxn>
              <a:cxn ang="0">
                <a:pos x="csX11988" y="csY11988"/>
              </a:cxn>
              <a:cxn ang="0">
                <a:pos x="csX11989" y="csY11989"/>
              </a:cxn>
              <a:cxn ang="0">
                <a:pos x="csX11990" y="csY11990"/>
              </a:cxn>
              <a:cxn ang="0">
                <a:pos x="csX11991" y="csY11991"/>
              </a:cxn>
              <a:cxn ang="0">
                <a:pos x="csX11992" y="csY11992"/>
              </a:cxn>
              <a:cxn ang="0">
                <a:pos x="csX11993" y="csY11993"/>
              </a:cxn>
              <a:cxn ang="0">
                <a:pos x="csX11994" y="csY11994"/>
              </a:cxn>
              <a:cxn ang="0">
                <a:pos x="csX11995" y="csY11995"/>
              </a:cxn>
              <a:cxn ang="0">
                <a:pos x="csX11996" y="csY11996"/>
              </a:cxn>
              <a:cxn ang="0">
                <a:pos x="csX11997" y="csY11997"/>
              </a:cxn>
              <a:cxn ang="0">
                <a:pos x="csX11998" y="csY11998"/>
              </a:cxn>
              <a:cxn ang="0">
                <a:pos x="csX11999" y="csY11999"/>
              </a:cxn>
              <a:cxn ang="0">
                <a:pos x="csX12000" y="csY12000"/>
              </a:cxn>
              <a:cxn ang="0">
                <a:pos x="csX12001" y="csY12001"/>
              </a:cxn>
              <a:cxn ang="0">
                <a:pos x="csX12002" y="csY12002"/>
              </a:cxn>
              <a:cxn ang="0">
                <a:pos x="csX12003" y="csY12003"/>
              </a:cxn>
              <a:cxn ang="0">
                <a:pos x="csX12004" y="csY12004"/>
              </a:cxn>
              <a:cxn ang="0">
                <a:pos x="csX12005" y="csY12005"/>
              </a:cxn>
              <a:cxn ang="0">
                <a:pos x="csX12006" y="csY12006"/>
              </a:cxn>
              <a:cxn ang="0">
                <a:pos x="csX12007" y="csY12007"/>
              </a:cxn>
              <a:cxn ang="0">
                <a:pos x="csX12008" y="csY12008"/>
              </a:cxn>
              <a:cxn ang="0">
                <a:pos x="csX12009" y="csY12009"/>
              </a:cxn>
              <a:cxn ang="0">
                <a:pos x="csX12010" y="csY12010"/>
              </a:cxn>
              <a:cxn ang="0">
                <a:pos x="csX12011" y="csY12011"/>
              </a:cxn>
              <a:cxn ang="0">
                <a:pos x="csX12012" y="csY12012"/>
              </a:cxn>
              <a:cxn ang="0">
                <a:pos x="csX12013" y="csY12013"/>
              </a:cxn>
              <a:cxn ang="0">
                <a:pos x="csX12014" y="csY12014"/>
              </a:cxn>
              <a:cxn ang="0">
                <a:pos x="csX12015" y="csY12015"/>
              </a:cxn>
              <a:cxn ang="0">
                <a:pos x="csX12016" y="csY12016"/>
              </a:cxn>
              <a:cxn ang="0">
                <a:pos x="csX12017" y="csY12017"/>
              </a:cxn>
              <a:cxn ang="0">
                <a:pos x="csX12018" y="csY12018"/>
              </a:cxn>
              <a:cxn ang="0">
                <a:pos x="csX12019" y="csY12019"/>
              </a:cxn>
              <a:cxn ang="0">
                <a:pos x="csX12020" y="csY12020"/>
              </a:cxn>
              <a:cxn ang="0">
                <a:pos x="csX12021" y="csY12021"/>
              </a:cxn>
              <a:cxn ang="0">
                <a:pos x="csX12022" y="csY12022"/>
              </a:cxn>
              <a:cxn ang="0">
                <a:pos x="csX12023" y="csY12023"/>
              </a:cxn>
              <a:cxn ang="0">
                <a:pos x="csX12024" y="csY12024"/>
              </a:cxn>
              <a:cxn ang="0">
                <a:pos x="csX12025" y="csY12025"/>
              </a:cxn>
              <a:cxn ang="0">
                <a:pos x="csX12026" y="csY12026"/>
              </a:cxn>
              <a:cxn ang="0">
                <a:pos x="csX12027" y="csY12027"/>
              </a:cxn>
              <a:cxn ang="0">
                <a:pos x="csX12028" y="csY12028"/>
              </a:cxn>
              <a:cxn ang="0">
                <a:pos x="csX12029" y="csY12029"/>
              </a:cxn>
              <a:cxn ang="0">
                <a:pos x="csX12030" y="csY12030"/>
              </a:cxn>
              <a:cxn ang="0">
                <a:pos x="csX12031" y="csY12031"/>
              </a:cxn>
              <a:cxn ang="0">
                <a:pos x="csX12032" y="csY12032"/>
              </a:cxn>
              <a:cxn ang="0">
                <a:pos x="csX12033" y="csY12033"/>
              </a:cxn>
              <a:cxn ang="0">
                <a:pos x="csX12034" y="csY12034"/>
              </a:cxn>
              <a:cxn ang="0">
                <a:pos x="csX12035" y="csY12035"/>
              </a:cxn>
              <a:cxn ang="0">
                <a:pos x="csX12036" y="csY12036"/>
              </a:cxn>
              <a:cxn ang="0">
                <a:pos x="csX12037" y="csY12037"/>
              </a:cxn>
              <a:cxn ang="0">
                <a:pos x="csX12038" y="csY12038"/>
              </a:cxn>
              <a:cxn ang="0">
                <a:pos x="csX12039" y="csY12039"/>
              </a:cxn>
              <a:cxn ang="0">
                <a:pos x="csX12040" y="csY12040"/>
              </a:cxn>
              <a:cxn ang="0">
                <a:pos x="csX12041" y="csY12041"/>
              </a:cxn>
              <a:cxn ang="0">
                <a:pos x="csX12042" y="csY12042"/>
              </a:cxn>
              <a:cxn ang="0">
                <a:pos x="csX12043" y="csY12043"/>
              </a:cxn>
              <a:cxn ang="0">
                <a:pos x="csX12044" y="csY12044"/>
              </a:cxn>
              <a:cxn ang="0">
                <a:pos x="csX12045" y="csY12045"/>
              </a:cxn>
              <a:cxn ang="0">
                <a:pos x="csX12046" y="csY12046"/>
              </a:cxn>
              <a:cxn ang="0">
                <a:pos x="csX12047" y="csY12047"/>
              </a:cxn>
              <a:cxn ang="0">
                <a:pos x="csX12048" y="csY12048"/>
              </a:cxn>
              <a:cxn ang="0">
                <a:pos x="csX12049" y="csY12049"/>
              </a:cxn>
              <a:cxn ang="0">
                <a:pos x="csX12050" y="csY12050"/>
              </a:cxn>
              <a:cxn ang="0">
                <a:pos x="csX12051" y="csY12051"/>
              </a:cxn>
              <a:cxn ang="0">
                <a:pos x="csX12052" y="csY12052"/>
              </a:cxn>
              <a:cxn ang="0">
                <a:pos x="csX12053" y="csY12053"/>
              </a:cxn>
              <a:cxn ang="0">
                <a:pos x="csX12054" y="csY12054"/>
              </a:cxn>
              <a:cxn ang="0">
                <a:pos x="csX12055" y="csY12055"/>
              </a:cxn>
              <a:cxn ang="0">
                <a:pos x="csX12056" y="csY12056"/>
              </a:cxn>
              <a:cxn ang="0">
                <a:pos x="csX12057" y="csY12057"/>
              </a:cxn>
              <a:cxn ang="0">
                <a:pos x="csX12058" y="csY12058"/>
              </a:cxn>
              <a:cxn ang="0">
                <a:pos x="csX12059" y="csY12059"/>
              </a:cxn>
              <a:cxn ang="0">
                <a:pos x="csX12060" y="csY12060"/>
              </a:cxn>
              <a:cxn ang="0">
                <a:pos x="csX12061" y="csY12061"/>
              </a:cxn>
              <a:cxn ang="0">
                <a:pos x="csX12062" y="csY12062"/>
              </a:cxn>
              <a:cxn ang="0">
                <a:pos x="csX12063" y="csY12063"/>
              </a:cxn>
              <a:cxn ang="0">
                <a:pos x="csX12064" y="csY12064"/>
              </a:cxn>
              <a:cxn ang="0">
                <a:pos x="csX12065" y="csY12065"/>
              </a:cxn>
              <a:cxn ang="0">
                <a:pos x="csX12066" y="csY12066"/>
              </a:cxn>
              <a:cxn ang="0">
                <a:pos x="csX12067" y="csY12067"/>
              </a:cxn>
              <a:cxn ang="0">
                <a:pos x="csX12068" y="csY12068"/>
              </a:cxn>
              <a:cxn ang="0">
                <a:pos x="csX12069" y="csY12069"/>
              </a:cxn>
              <a:cxn ang="0">
                <a:pos x="csX12070" y="csY12070"/>
              </a:cxn>
              <a:cxn ang="0">
                <a:pos x="csX12071" y="csY12071"/>
              </a:cxn>
              <a:cxn ang="0">
                <a:pos x="csX12072" y="csY12072"/>
              </a:cxn>
              <a:cxn ang="0">
                <a:pos x="csX12073" y="csY12073"/>
              </a:cxn>
              <a:cxn ang="0">
                <a:pos x="csX12074" y="csY12074"/>
              </a:cxn>
              <a:cxn ang="0">
                <a:pos x="csX12075" y="csY12075"/>
              </a:cxn>
              <a:cxn ang="0">
                <a:pos x="csX12076" y="csY12076"/>
              </a:cxn>
              <a:cxn ang="0">
                <a:pos x="csX12077" y="csY12077"/>
              </a:cxn>
              <a:cxn ang="0">
                <a:pos x="csX12078" y="csY12078"/>
              </a:cxn>
              <a:cxn ang="0">
                <a:pos x="csX12079" y="csY12079"/>
              </a:cxn>
              <a:cxn ang="0">
                <a:pos x="csX12080" y="csY12080"/>
              </a:cxn>
              <a:cxn ang="0">
                <a:pos x="csX12081" y="csY12081"/>
              </a:cxn>
              <a:cxn ang="0">
                <a:pos x="csX12082" y="csY12082"/>
              </a:cxn>
              <a:cxn ang="0">
                <a:pos x="csX12083" y="csY12083"/>
              </a:cxn>
              <a:cxn ang="0">
                <a:pos x="csX12084" y="csY12084"/>
              </a:cxn>
              <a:cxn ang="0">
                <a:pos x="csX12085" y="csY12085"/>
              </a:cxn>
              <a:cxn ang="0">
                <a:pos x="csX12086" y="csY12086"/>
              </a:cxn>
              <a:cxn ang="0">
                <a:pos x="csX12087" y="csY12087"/>
              </a:cxn>
              <a:cxn ang="0">
                <a:pos x="csX12088" y="csY12088"/>
              </a:cxn>
              <a:cxn ang="0">
                <a:pos x="csX12089" y="csY12089"/>
              </a:cxn>
              <a:cxn ang="0">
                <a:pos x="csX12090" y="csY12090"/>
              </a:cxn>
              <a:cxn ang="0">
                <a:pos x="csX12091" y="csY12091"/>
              </a:cxn>
              <a:cxn ang="0">
                <a:pos x="csX12092" y="csY12092"/>
              </a:cxn>
              <a:cxn ang="0">
                <a:pos x="csX12093" y="csY12093"/>
              </a:cxn>
              <a:cxn ang="0">
                <a:pos x="csX12094" y="csY12094"/>
              </a:cxn>
              <a:cxn ang="0">
                <a:pos x="csX12095" y="csY12095"/>
              </a:cxn>
              <a:cxn ang="0">
                <a:pos x="csX12096" y="csY12096"/>
              </a:cxn>
              <a:cxn ang="0">
                <a:pos x="csX12097" y="csY12097"/>
              </a:cxn>
              <a:cxn ang="0">
                <a:pos x="csX12098" y="csY12098"/>
              </a:cxn>
              <a:cxn ang="0">
                <a:pos x="csX12099" y="csY12099"/>
              </a:cxn>
              <a:cxn ang="0">
                <a:pos x="csX12100" y="csY12100"/>
              </a:cxn>
              <a:cxn ang="0">
                <a:pos x="csX12101" y="csY12101"/>
              </a:cxn>
              <a:cxn ang="0">
                <a:pos x="csX12102" y="csY12102"/>
              </a:cxn>
              <a:cxn ang="0">
                <a:pos x="csX12103" y="csY12103"/>
              </a:cxn>
              <a:cxn ang="0">
                <a:pos x="csX12104" y="csY12104"/>
              </a:cxn>
              <a:cxn ang="0">
                <a:pos x="csX12105" y="csY12105"/>
              </a:cxn>
              <a:cxn ang="0">
                <a:pos x="csX12106" y="csY12106"/>
              </a:cxn>
              <a:cxn ang="0">
                <a:pos x="csX12107" y="csY12107"/>
              </a:cxn>
              <a:cxn ang="0">
                <a:pos x="csX12108" y="csY12108"/>
              </a:cxn>
              <a:cxn ang="0">
                <a:pos x="csX12109" y="csY12109"/>
              </a:cxn>
              <a:cxn ang="0">
                <a:pos x="csX12110" y="csY12110"/>
              </a:cxn>
              <a:cxn ang="0">
                <a:pos x="csX12111" y="csY12111"/>
              </a:cxn>
              <a:cxn ang="0">
                <a:pos x="csX12112" y="csY12112"/>
              </a:cxn>
              <a:cxn ang="0">
                <a:pos x="csX12113" y="csY12113"/>
              </a:cxn>
              <a:cxn ang="0">
                <a:pos x="csX12114" y="csY12114"/>
              </a:cxn>
              <a:cxn ang="0">
                <a:pos x="csX12115" y="csY12115"/>
              </a:cxn>
              <a:cxn ang="0">
                <a:pos x="csX12116" y="csY12116"/>
              </a:cxn>
              <a:cxn ang="0">
                <a:pos x="csX12117" y="csY12117"/>
              </a:cxn>
              <a:cxn ang="0">
                <a:pos x="csX12118" y="csY12118"/>
              </a:cxn>
              <a:cxn ang="0">
                <a:pos x="csX12119" y="csY12119"/>
              </a:cxn>
              <a:cxn ang="0">
                <a:pos x="csX12120" y="csY12120"/>
              </a:cxn>
              <a:cxn ang="0">
                <a:pos x="csX12121" y="csY12121"/>
              </a:cxn>
              <a:cxn ang="0">
                <a:pos x="csX12122" y="csY12122"/>
              </a:cxn>
              <a:cxn ang="0">
                <a:pos x="csX12123" y="csY12123"/>
              </a:cxn>
              <a:cxn ang="0">
                <a:pos x="csX12124" y="csY12124"/>
              </a:cxn>
              <a:cxn ang="0">
                <a:pos x="csX12125" y="csY12125"/>
              </a:cxn>
              <a:cxn ang="0">
                <a:pos x="csX12126" y="csY12126"/>
              </a:cxn>
              <a:cxn ang="0">
                <a:pos x="csX12127" y="csY12127"/>
              </a:cxn>
              <a:cxn ang="0">
                <a:pos x="csX12128" y="csY12128"/>
              </a:cxn>
              <a:cxn ang="0">
                <a:pos x="csX12129" y="csY12129"/>
              </a:cxn>
              <a:cxn ang="0">
                <a:pos x="csX12130" y="csY12130"/>
              </a:cxn>
              <a:cxn ang="0">
                <a:pos x="csX12131" y="csY12131"/>
              </a:cxn>
              <a:cxn ang="0">
                <a:pos x="csX12132" y="csY12132"/>
              </a:cxn>
              <a:cxn ang="0">
                <a:pos x="csX12133" y="csY12133"/>
              </a:cxn>
              <a:cxn ang="0">
                <a:pos x="csX12134" y="csY12134"/>
              </a:cxn>
              <a:cxn ang="0">
                <a:pos x="csX12135" y="csY12135"/>
              </a:cxn>
              <a:cxn ang="0">
                <a:pos x="csX12136" y="csY12136"/>
              </a:cxn>
              <a:cxn ang="0">
                <a:pos x="csX12137" y="csY12137"/>
              </a:cxn>
              <a:cxn ang="0">
                <a:pos x="csX12138" y="csY12138"/>
              </a:cxn>
              <a:cxn ang="0">
                <a:pos x="csX12139" y="csY12139"/>
              </a:cxn>
              <a:cxn ang="0">
                <a:pos x="csX12140" y="csY12140"/>
              </a:cxn>
              <a:cxn ang="0">
                <a:pos x="csX12141" y="csY12141"/>
              </a:cxn>
              <a:cxn ang="0">
                <a:pos x="csX12142" y="csY12142"/>
              </a:cxn>
              <a:cxn ang="0">
                <a:pos x="csX12143" y="csY12143"/>
              </a:cxn>
              <a:cxn ang="0">
                <a:pos x="csX12144" y="csY12144"/>
              </a:cxn>
              <a:cxn ang="0">
                <a:pos x="csX12145" y="csY12145"/>
              </a:cxn>
              <a:cxn ang="0">
                <a:pos x="csX12146" y="csY12146"/>
              </a:cxn>
              <a:cxn ang="0">
                <a:pos x="csX12147" y="csY12147"/>
              </a:cxn>
              <a:cxn ang="0">
                <a:pos x="csX12148" y="csY12148"/>
              </a:cxn>
              <a:cxn ang="0">
                <a:pos x="csX12149" y="csY12149"/>
              </a:cxn>
              <a:cxn ang="0">
                <a:pos x="csX12150" y="csY12150"/>
              </a:cxn>
              <a:cxn ang="0">
                <a:pos x="csX12151" y="csY12151"/>
              </a:cxn>
              <a:cxn ang="0">
                <a:pos x="csX12152" y="csY12152"/>
              </a:cxn>
              <a:cxn ang="0">
                <a:pos x="csX12153" y="csY12153"/>
              </a:cxn>
              <a:cxn ang="0">
                <a:pos x="csX12154" y="csY12154"/>
              </a:cxn>
              <a:cxn ang="0">
                <a:pos x="csX12155" y="csY12155"/>
              </a:cxn>
              <a:cxn ang="0">
                <a:pos x="csX12156" y="csY12156"/>
              </a:cxn>
              <a:cxn ang="0">
                <a:pos x="csX12157" y="csY12157"/>
              </a:cxn>
              <a:cxn ang="0">
                <a:pos x="csX12158" y="csY12158"/>
              </a:cxn>
              <a:cxn ang="0">
                <a:pos x="csX12159" y="csY12159"/>
              </a:cxn>
              <a:cxn ang="0">
                <a:pos x="csX12160" y="csY12160"/>
              </a:cxn>
              <a:cxn ang="0">
                <a:pos x="csX12161" y="csY12161"/>
              </a:cxn>
              <a:cxn ang="0">
                <a:pos x="csX12162" y="csY12162"/>
              </a:cxn>
              <a:cxn ang="0">
                <a:pos x="csX12163" y="csY12163"/>
              </a:cxn>
              <a:cxn ang="0">
                <a:pos x="csX12164" y="csY12164"/>
              </a:cxn>
              <a:cxn ang="0">
                <a:pos x="csX12165" y="csY12165"/>
              </a:cxn>
              <a:cxn ang="0">
                <a:pos x="csX12166" y="csY12166"/>
              </a:cxn>
              <a:cxn ang="0">
                <a:pos x="csX12167" y="csY12167"/>
              </a:cxn>
              <a:cxn ang="0">
                <a:pos x="csX12168" y="csY12168"/>
              </a:cxn>
              <a:cxn ang="0">
                <a:pos x="csX12169" y="csY12169"/>
              </a:cxn>
              <a:cxn ang="0">
                <a:pos x="csX12170" y="csY12170"/>
              </a:cxn>
              <a:cxn ang="0">
                <a:pos x="csX12171" y="csY12171"/>
              </a:cxn>
              <a:cxn ang="0">
                <a:pos x="csX12172" y="csY12172"/>
              </a:cxn>
              <a:cxn ang="0">
                <a:pos x="csX12173" y="csY12173"/>
              </a:cxn>
              <a:cxn ang="0">
                <a:pos x="csX12174" y="csY12174"/>
              </a:cxn>
              <a:cxn ang="0">
                <a:pos x="csX12175" y="csY12175"/>
              </a:cxn>
              <a:cxn ang="0">
                <a:pos x="csX12176" y="csY12176"/>
              </a:cxn>
              <a:cxn ang="0">
                <a:pos x="csX12177" y="csY12177"/>
              </a:cxn>
              <a:cxn ang="0">
                <a:pos x="csX12178" y="csY12178"/>
              </a:cxn>
              <a:cxn ang="0">
                <a:pos x="csX12179" y="csY12179"/>
              </a:cxn>
              <a:cxn ang="0">
                <a:pos x="csX12180" y="csY12180"/>
              </a:cxn>
              <a:cxn ang="0">
                <a:pos x="csX12181" y="csY12181"/>
              </a:cxn>
              <a:cxn ang="0">
                <a:pos x="csX12182" y="csY12182"/>
              </a:cxn>
              <a:cxn ang="0">
                <a:pos x="csX12183" y="csY12183"/>
              </a:cxn>
              <a:cxn ang="0">
                <a:pos x="csX12184" y="csY12184"/>
              </a:cxn>
              <a:cxn ang="0">
                <a:pos x="csX12185" y="csY12185"/>
              </a:cxn>
              <a:cxn ang="0">
                <a:pos x="csX12186" y="csY12186"/>
              </a:cxn>
              <a:cxn ang="0">
                <a:pos x="csX12187" y="csY12187"/>
              </a:cxn>
              <a:cxn ang="0">
                <a:pos x="csX12188" y="csY12188"/>
              </a:cxn>
              <a:cxn ang="0">
                <a:pos x="csX12189" y="csY12189"/>
              </a:cxn>
              <a:cxn ang="0">
                <a:pos x="csX12190" y="csY12190"/>
              </a:cxn>
              <a:cxn ang="0">
                <a:pos x="csX12191" y="csY12191"/>
              </a:cxn>
              <a:cxn ang="0">
                <a:pos x="csX12192" y="csY12192"/>
              </a:cxn>
              <a:cxn ang="0">
                <a:pos x="csX12193" y="csY12193"/>
              </a:cxn>
              <a:cxn ang="0">
                <a:pos x="csX12194" y="csY12194"/>
              </a:cxn>
              <a:cxn ang="0">
                <a:pos x="csX12195" y="csY12195"/>
              </a:cxn>
              <a:cxn ang="0">
                <a:pos x="csX12196" y="csY12196"/>
              </a:cxn>
              <a:cxn ang="0">
                <a:pos x="csX12197" y="csY12197"/>
              </a:cxn>
              <a:cxn ang="0">
                <a:pos x="csX12198" y="csY12198"/>
              </a:cxn>
              <a:cxn ang="0">
                <a:pos x="csX12199" y="csY12199"/>
              </a:cxn>
              <a:cxn ang="0">
                <a:pos x="csX12200" y="csY12200"/>
              </a:cxn>
              <a:cxn ang="0">
                <a:pos x="csX12201" y="csY12201"/>
              </a:cxn>
              <a:cxn ang="0">
                <a:pos x="csX12202" y="csY12202"/>
              </a:cxn>
              <a:cxn ang="0">
                <a:pos x="csX12203" y="csY12203"/>
              </a:cxn>
              <a:cxn ang="0">
                <a:pos x="csX12204" y="csY12204"/>
              </a:cxn>
              <a:cxn ang="0">
                <a:pos x="csX12205" y="csY12205"/>
              </a:cxn>
              <a:cxn ang="0">
                <a:pos x="csX12206" y="csY12206"/>
              </a:cxn>
              <a:cxn ang="0">
                <a:pos x="csX12207" y="csY12207"/>
              </a:cxn>
              <a:cxn ang="0">
                <a:pos x="csX12208" y="csY12208"/>
              </a:cxn>
              <a:cxn ang="0">
                <a:pos x="csX12209" y="csY12209"/>
              </a:cxn>
              <a:cxn ang="0">
                <a:pos x="csX12210" y="csY12210"/>
              </a:cxn>
              <a:cxn ang="0">
                <a:pos x="csX12211" y="csY12211"/>
              </a:cxn>
              <a:cxn ang="0">
                <a:pos x="csX12212" y="csY12212"/>
              </a:cxn>
              <a:cxn ang="0">
                <a:pos x="csX12213" y="csY12213"/>
              </a:cxn>
              <a:cxn ang="0">
                <a:pos x="csX12214" y="csY12214"/>
              </a:cxn>
              <a:cxn ang="0">
                <a:pos x="csX12215" y="csY12215"/>
              </a:cxn>
              <a:cxn ang="0">
                <a:pos x="csX12216" y="csY12216"/>
              </a:cxn>
              <a:cxn ang="0">
                <a:pos x="csX12217" y="csY12217"/>
              </a:cxn>
              <a:cxn ang="0">
                <a:pos x="csX12218" y="csY12218"/>
              </a:cxn>
              <a:cxn ang="0">
                <a:pos x="csX12219" y="csY12219"/>
              </a:cxn>
              <a:cxn ang="0">
                <a:pos x="csX12220" y="csY12220"/>
              </a:cxn>
              <a:cxn ang="0">
                <a:pos x="csX12221" y="csY12221"/>
              </a:cxn>
              <a:cxn ang="0">
                <a:pos x="csX12222" y="csY12222"/>
              </a:cxn>
              <a:cxn ang="0">
                <a:pos x="csX12223" y="csY12223"/>
              </a:cxn>
              <a:cxn ang="0">
                <a:pos x="csX12224" y="csY12224"/>
              </a:cxn>
              <a:cxn ang="0">
                <a:pos x="csX12225" y="csY12225"/>
              </a:cxn>
              <a:cxn ang="0">
                <a:pos x="csX12226" y="csY12226"/>
              </a:cxn>
              <a:cxn ang="0">
                <a:pos x="csX12227" y="csY12227"/>
              </a:cxn>
              <a:cxn ang="0">
                <a:pos x="csX12228" y="csY12228"/>
              </a:cxn>
              <a:cxn ang="0">
                <a:pos x="csX12229" y="csY12229"/>
              </a:cxn>
              <a:cxn ang="0">
                <a:pos x="csX12230" y="csY12230"/>
              </a:cxn>
              <a:cxn ang="0">
                <a:pos x="csX12231" y="csY12231"/>
              </a:cxn>
              <a:cxn ang="0">
                <a:pos x="csX12232" y="csY12232"/>
              </a:cxn>
              <a:cxn ang="0">
                <a:pos x="csX12233" y="csY12233"/>
              </a:cxn>
              <a:cxn ang="0">
                <a:pos x="csX12234" y="csY12234"/>
              </a:cxn>
              <a:cxn ang="0">
                <a:pos x="csX12235" y="csY12235"/>
              </a:cxn>
              <a:cxn ang="0">
                <a:pos x="csX12236" y="csY12236"/>
              </a:cxn>
              <a:cxn ang="0">
                <a:pos x="csX12237" y="csY12237"/>
              </a:cxn>
              <a:cxn ang="0">
                <a:pos x="csX12238" y="csY12238"/>
              </a:cxn>
              <a:cxn ang="0">
                <a:pos x="csX12239" y="csY12239"/>
              </a:cxn>
              <a:cxn ang="0">
                <a:pos x="csX12240" y="csY12240"/>
              </a:cxn>
              <a:cxn ang="0">
                <a:pos x="csX12241" y="csY12241"/>
              </a:cxn>
              <a:cxn ang="0">
                <a:pos x="csX12242" y="csY12242"/>
              </a:cxn>
              <a:cxn ang="0">
                <a:pos x="csX12243" y="csY12243"/>
              </a:cxn>
              <a:cxn ang="0">
                <a:pos x="csX12244" y="csY12244"/>
              </a:cxn>
              <a:cxn ang="0">
                <a:pos x="csX12245" y="csY12245"/>
              </a:cxn>
              <a:cxn ang="0">
                <a:pos x="csX12246" y="csY12246"/>
              </a:cxn>
              <a:cxn ang="0">
                <a:pos x="csX12247" y="csY12247"/>
              </a:cxn>
              <a:cxn ang="0">
                <a:pos x="csX12248" y="csY12248"/>
              </a:cxn>
              <a:cxn ang="0">
                <a:pos x="csX12249" y="csY12249"/>
              </a:cxn>
              <a:cxn ang="0">
                <a:pos x="csX12250" y="csY12250"/>
              </a:cxn>
              <a:cxn ang="0">
                <a:pos x="csX12251" y="csY12251"/>
              </a:cxn>
              <a:cxn ang="0">
                <a:pos x="csX12252" y="csY12252"/>
              </a:cxn>
              <a:cxn ang="0">
                <a:pos x="csX12253" y="csY12253"/>
              </a:cxn>
              <a:cxn ang="0">
                <a:pos x="csX12254" y="csY12254"/>
              </a:cxn>
              <a:cxn ang="0">
                <a:pos x="csX12255" y="csY12255"/>
              </a:cxn>
              <a:cxn ang="0">
                <a:pos x="csX12256" y="csY12256"/>
              </a:cxn>
              <a:cxn ang="0">
                <a:pos x="csX12257" y="csY12257"/>
              </a:cxn>
              <a:cxn ang="0">
                <a:pos x="csX12258" y="csY12258"/>
              </a:cxn>
              <a:cxn ang="0">
                <a:pos x="csX12259" y="csY12259"/>
              </a:cxn>
              <a:cxn ang="0">
                <a:pos x="csX12260" y="csY12260"/>
              </a:cxn>
              <a:cxn ang="0">
                <a:pos x="csX12261" y="csY12261"/>
              </a:cxn>
              <a:cxn ang="0">
                <a:pos x="csX12262" y="csY12262"/>
              </a:cxn>
              <a:cxn ang="0">
                <a:pos x="csX12263" y="csY12263"/>
              </a:cxn>
              <a:cxn ang="0">
                <a:pos x="csX12264" y="csY12264"/>
              </a:cxn>
              <a:cxn ang="0">
                <a:pos x="csX12265" y="csY12265"/>
              </a:cxn>
              <a:cxn ang="0">
                <a:pos x="csX12266" y="csY12266"/>
              </a:cxn>
              <a:cxn ang="0">
                <a:pos x="csX12267" y="csY12267"/>
              </a:cxn>
              <a:cxn ang="0">
                <a:pos x="csX12268" y="csY12268"/>
              </a:cxn>
              <a:cxn ang="0">
                <a:pos x="csX12269" y="csY12269"/>
              </a:cxn>
              <a:cxn ang="0">
                <a:pos x="csX12270" y="csY12270"/>
              </a:cxn>
              <a:cxn ang="0">
                <a:pos x="csX12271" y="csY12271"/>
              </a:cxn>
              <a:cxn ang="0">
                <a:pos x="csX12272" y="csY12272"/>
              </a:cxn>
              <a:cxn ang="0">
                <a:pos x="csX12273" y="csY12273"/>
              </a:cxn>
              <a:cxn ang="0">
                <a:pos x="csX12274" y="csY12274"/>
              </a:cxn>
              <a:cxn ang="0">
                <a:pos x="csX12275" y="csY12275"/>
              </a:cxn>
              <a:cxn ang="0">
                <a:pos x="csX12276" y="csY12276"/>
              </a:cxn>
              <a:cxn ang="0">
                <a:pos x="csX12277" y="csY12277"/>
              </a:cxn>
              <a:cxn ang="0">
                <a:pos x="csX12278" y="csY12278"/>
              </a:cxn>
              <a:cxn ang="0">
                <a:pos x="csX12279" y="csY12279"/>
              </a:cxn>
              <a:cxn ang="0">
                <a:pos x="csX12280" y="csY12280"/>
              </a:cxn>
              <a:cxn ang="0">
                <a:pos x="csX12281" y="csY12281"/>
              </a:cxn>
              <a:cxn ang="0">
                <a:pos x="csX12282" y="csY12282"/>
              </a:cxn>
              <a:cxn ang="0">
                <a:pos x="csX12283" y="csY12283"/>
              </a:cxn>
              <a:cxn ang="0">
                <a:pos x="csX12284" y="csY12284"/>
              </a:cxn>
              <a:cxn ang="0">
                <a:pos x="csX12285" y="csY12285"/>
              </a:cxn>
              <a:cxn ang="0">
                <a:pos x="csX12286" y="csY12286"/>
              </a:cxn>
              <a:cxn ang="0">
                <a:pos x="csX12287" y="csY12287"/>
              </a:cxn>
              <a:cxn ang="0">
                <a:pos x="csX12288" y="csY12288"/>
              </a:cxn>
              <a:cxn ang="0">
                <a:pos x="csX12289" y="csY12289"/>
              </a:cxn>
              <a:cxn ang="0">
                <a:pos x="csX12290" y="csY12290"/>
              </a:cxn>
              <a:cxn ang="0">
                <a:pos x="csX12291" y="csY12291"/>
              </a:cxn>
              <a:cxn ang="0">
                <a:pos x="csX12292" y="csY12292"/>
              </a:cxn>
              <a:cxn ang="0">
                <a:pos x="csX12293" y="csY12293"/>
              </a:cxn>
              <a:cxn ang="0">
                <a:pos x="csX12294" y="csY12294"/>
              </a:cxn>
              <a:cxn ang="0">
                <a:pos x="csX12295" y="csY12295"/>
              </a:cxn>
              <a:cxn ang="0">
                <a:pos x="csX12296" y="csY12296"/>
              </a:cxn>
              <a:cxn ang="0">
                <a:pos x="csX12297" y="csY12297"/>
              </a:cxn>
              <a:cxn ang="0">
                <a:pos x="csX12298" y="csY12298"/>
              </a:cxn>
              <a:cxn ang="0">
                <a:pos x="csX12299" y="csY12299"/>
              </a:cxn>
              <a:cxn ang="0">
                <a:pos x="csX12300" y="csY12300"/>
              </a:cxn>
              <a:cxn ang="0">
                <a:pos x="csX12301" y="csY12301"/>
              </a:cxn>
              <a:cxn ang="0">
                <a:pos x="csX12302" y="csY12302"/>
              </a:cxn>
              <a:cxn ang="0">
                <a:pos x="csX12303" y="csY12303"/>
              </a:cxn>
              <a:cxn ang="0">
                <a:pos x="csX12304" y="csY12304"/>
              </a:cxn>
              <a:cxn ang="0">
                <a:pos x="csX12305" y="csY12305"/>
              </a:cxn>
              <a:cxn ang="0">
                <a:pos x="csX12306" y="csY12306"/>
              </a:cxn>
              <a:cxn ang="0">
                <a:pos x="csX12307" y="csY12307"/>
              </a:cxn>
              <a:cxn ang="0">
                <a:pos x="csX12308" y="csY12308"/>
              </a:cxn>
              <a:cxn ang="0">
                <a:pos x="csX12309" y="csY12309"/>
              </a:cxn>
              <a:cxn ang="0">
                <a:pos x="csX12310" y="csY12310"/>
              </a:cxn>
              <a:cxn ang="0">
                <a:pos x="csX12311" y="csY12311"/>
              </a:cxn>
              <a:cxn ang="0">
                <a:pos x="csX12312" y="csY12312"/>
              </a:cxn>
              <a:cxn ang="0">
                <a:pos x="csX12313" y="csY12313"/>
              </a:cxn>
              <a:cxn ang="0">
                <a:pos x="csX12314" y="csY12314"/>
              </a:cxn>
              <a:cxn ang="0">
                <a:pos x="csX12315" y="csY12315"/>
              </a:cxn>
              <a:cxn ang="0">
                <a:pos x="csX12316" y="csY12316"/>
              </a:cxn>
              <a:cxn ang="0">
                <a:pos x="csX12317" y="csY12317"/>
              </a:cxn>
              <a:cxn ang="0">
                <a:pos x="csX12318" y="csY12318"/>
              </a:cxn>
              <a:cxn ang="0">
                <a:pos x="csX12319" y="csY12319"/>
              </a:cxn>
              <a:cxn ang="0">
                <a:pos x="csX12320" y="csY12320"/>
              </a:cxn>
              <a:cxn ang="0">
                <a:pos x="csX12321" y="csY12321"/>
              </a:cxn>
              <a:cxn ang="0">
                <a:pos x="csX12322" y="csY12322"/>
              </a:cxn>
              <a:cxn ang="0">
                <a:pos x="csX12323" y="csY12323"/>
              </a:cxn>
              <a:cxn ang="0">
                <a:pos x="csX12324" y="csY12324"/>
              </a:cxn>
              <a:cxn ang="0">
                <a:pos x="csX12325" y="csY12325"/>
              </a:cxn>
              <a:cxn ang="0">
                <a:pos x="csX12326" y="csY12326"/>
              </a:cxn>
              <a:cxn ang="0">
                <a:pos x="csX12327" y="csY12327"/>
              </a:cxn>
              <a:cxn ang="0">
                <a:pos x="csX12328" y="csY12328"/>
              </a:cxn>
              <a:cxn ang="0">
                <a:pos x="csX12329" y="csY12329"/>
              </a:cxn>
              <a:cxn ang="0">
                <a:pos x="csX12330" y="csY12330"/>
              </a:cxn>
              <a:cxn ang="0">
                <a:pos x="csX12331" y="csY12331"/>
              </a:cxn>
              <a:cxn ang="0">
                <a:pos x="csX12332" y="csY12332"/>
              </a:cxn>
              <a:cxn ang="0">
                <a:pos x="csX12333" y="csY12333"/>
              </a:cxn>
              <a:cxn ang="0">
                <a:pos x="csX12334" y="csY12334"/>
              </a:cxn>
              <a:cxn ang="0">
                <a:pos x="csX12335" y="csY12335"/>
              </a:cxn>
              <a:cxn ang="0">
                <a:pos x="csX12336" y="csY12336"/>
              </a:cxn>
              <a:cxn ang="0">
                <a:pos x="csX12337" y="csY12337"/>
              </a:cxn>
              <a:cxn ang="0">
                <a:pos x="csX12338" y="csY12338"/>
              </a:cxn>
              <a:cxn ang="0">
                <a:pos x="csX12339" y="csY12339"/>
              </a:cxn>
              <a:cxn ang="0">
                <a:pos x="csX12340" y="csY12340"/>
              </a:cxn>
              <a:cxn ang="0">
                <a:pos x="csX12341" y="csY12341"/>
              </a:cxn>
              <a:cxn ang="0">
                <a:pos x="csX12342" y="csY12342"/>
              </a:cxn>
              <a:cxn ang="0">
                <a:pos x="csX12343" y="csY12343"/>
              </a:cxn>
              <a:cxn ang="0">
                <a:pos x="csX12344" y="csY12344"/>
              </a:cxn>
              <a:cxn ang="0">
                <a:pos x="csX12345" y="csY12345"/>
              </a:cxn>
              <a:cxn ang="0">
                <a:pos x="csX12346" y="csY12346"/>
              </a:cxn>
              <a:cxn ang="0">
                <a:pos x="csX12347" y="csY12347"/>
              </a:cxn>
              <a:cxn ang="0">
                <a:pos x="csX12348" y="csY12348"/>
              </a:cxn>
              <a:cxn ang="0">
                <a:pos x="csX12349" y="csY12349"/>
              </a:cxn>
              <a:cxn ang="0">
                <a:pos x="csX12350" y="csY12350"/>
              </a:cxn>
              <a:cxn ang="0">
                <a:pos x="csX12351" y="csY12351"/>
              </a:cxn>
              <a:cxn ang="0">
                <a:pos x="csX12352" y="csY12352"/>
              </a:cxn>
              <a:cxn ang="0">
                <a:pos x="csX12353" y="csY12353"/>
              </a:cxn>
              <a:cxn ang="0">
                <a:pos x="csX12354" y="csY12354"/>
              </a:cxn>
              <a:cxn ang="0">
                <a:pos x="csX12355" y="csY12355"/>
              </a:cxn>
              <a:cxn ang="0">
                <a:pos x="csX12356" y="csY12356"/>
              </a:cxn>
              <a:cxn ang="0">
                <a:pos x="csX12357" y="csY12357"/>
              </a:cxn>
              <a:cxn ang="0">
                <a:pos x="csX12358" y="csY12358"/>
              </a:cxn>
              <a:cxn ang="0">
                <a:pos x="csX12359" y="csY12359"/>
              </a:cxn>
              <a:cxn ang="0">
                <a:pos x="csX12360" y="csY12360"/>
              </a:cxn>
              <a:cxn ang="0">
                <a:pos x="csX12361" y="csY12361"/>
              </a:cxn>
              <a:cxn ang="0">
                <a:pos x="csX12362" y="csY12362"/>
              </a:cxn>
              <a:cxn ang="0">
                <a:pos x="csX12363" y="csY12363"/>
              </a:cxn>
              <a:cxn ang="0">
                <a:pos x="csX12364" y="csY12364"/>
              </a:cxn>
              <a:cxn ang="0">
                <a:pos x="csX12365" y="csY12365"/>
              </a:cxn>
              <a:cxn ang="0">
                <a:pos x="csX12366" y="csY12366"/>
              </a:cxn>
              <a:cxn ang="0">
                <a:pos x="csX12367" y="csY12367"/>
              </a:cxn>
              <a:cxn ang="0">
                <a:pos x="csX12368" y="csY12368"/>
              </a:cxn>
              <a:cxn ang="0">
                <a:pos x="csX12369" y="csY12369"/>
              </a:cxn>
              <a:cxn ang="0">
                <a:pos x="csX12370" y="csY12370"/>
              </a:cxn>
              <a:cxn ang="0">
                <a:pos x="csX12371" y="csY12371"/>
              </a:cxn>
              <a:cxn ang="0">
                <a:pos x="csX12372" y="csY12372"/>
              </a:cxn>
              <a:cxn ang="0">
                <a:pos x="csX12373" y="csY12373"/>
              </a:cxn>
              <a:cxn ang="0">
                <a:pos x="csX12374" y="csY12374"/>
              </a:cxn>
              <a:cxn ang="0">
                <a:pos x="csX12375" y="csY12375"/>
              </a:cxn>
              <a:cxn ang="0">
                <a:pos x="csX12376" y="csY12376"/>
              </a:cxn>
              <a:cxn ang="0">
                <a:pos x="csX12377" y="csY12377"/>
              </a:cxn>
              <a:cxn ang="0">
                <a:pos x="csX12378" y="csY12378"/>
              </a:cxn>
              <a:cxn ang="0">
                <a:pos x="csX12379" y="csY12379"/>
              </a:cxn>
              <a:cxn ang="0">
                <a:pos x="csX12380" y="csY12380"/>
              </a:cxn>
              <a:cxn ang="0">
                <a:pos x="csX12381" y="csY12381"/>
              </a:cxn>
              <a:cxn ang="0">
                <a:pos x="csX12382" y="csY12382"/>
              </a:cxn>
              <a:cxn ang="0">
                <a:pos x="csX12383" y="csY12383"/>
              </a:cxn>
              <a:cxn ang="0">
                <a:pos x="csX12384" y="csY12384"/>
              </a:cxn>
              <a:cxn ang="0">
                <a:pos x="csX12385" y="csY12385"/>
              </a:cxn>
              <a:cxn ang="0">
                <a:pos x="csX12386" y="csY12386"/>
              </a:cxn>
              <a:cxn ang="0">
                <a:pos x="csX12387" y="csY12387"/>
              </a:cxn>
              <a:cxn ang="0">
                <a:pos x="csX12388" y="csY12388"/>
              </a:cxn>
              <a:cxn ang="0">
                <a:pos x="csX12389" y="csY12389"/>
              </a:cxn>
              <a:cxn ang="0">
                <a:pos x="csX12390" y="csY12390"/>
              </a:cxn>
              <a:cxn ang="0">
                <a:pos x="csX12391" y="csY12391"/>
              </a:cxn>
              <a:cxn ang="0">
                <a:pos x="csX12392" y="csY12392"/>
              </a:cxn>
              <a:cxn ang="0">
                <a:pos x="csX12393" y="csY12393"/>
              </a:cxn>
              <a:cxn ang="0">
                <a:pos x="csX12394" y="csY12394"/>
              </a:cxn>
              <a:cxn ang="0">
                <a:pos x="csX12395" y="csY12395"/>
              </a:cxn>
              <a:cxn ang="0">
                <a:pos x="csX12396" y="csY12396"/>
              </a:cxn>
              <a:cxn ang="0">
                <a:pos x="csX12397" y="csY12397"/>
              </a:cxn>
              <a:cxn ang="0">
                <a:pos x="csX12398" y="csY12398"/>
              </a:cxn>
              <a:cxn ang="0">
                <a:pos x="csX12399" y="csY12399"/>
              </a:cxn>
              <a:cxn ang="0">
                <a:pos x="csX12400" y="csY12400"/>
              </a:cxn>
              <a:cxn ang="0">
                <a:pos x="csX12401" y="csY12401"/>
              </a:cxn>
              <a:cxn ang="0">
                <a:pos x="csX12402" y="csY12402"/>
              </a:cxn>
              <a:cxn ang="0">
                <a:pos x="csX12403" y="csY12403"/>
              </a:cxn>
              <a:cxn ang="0">
                <a:pos x="csX12404" y="csY12404"/>
              </a:cxn>
              <a:cxn ang="0">
                <a:pos x="csX12405" y="csY12405"/>
              </a:cxn>
              <a:cxn ang="0">
                <a:pos x="csX12406" y="csY12406"/>
              </a:cxn>
              <a:cxn ang="0">
                <a:pos x="csX12407" y="csY12407"/>
              </a:cxn>
              <a:cxn ang="0">
                <a:pos x="csX12408" y="csY12408"/>
              </a:cxn>
              <a:cxn ang="0">
                <a:pos x="csX12409" y="csY12409"/>
              </a:cxn>
              <a:cxn ang="0">
                <a:pos x="csX12410" y="csY12410"/>
              </a:cxn>
              <a:cxn ang="0">
                <a:pos x="csX12411" y="csY12411"/>
              </a:cxn>
              <a:cxn ang="0">
                <a:pos x="csX12412" y="csY12412"/>
              </a:cxn>
              <a:cxn ang="0">
                <a:pos x="csX12413" y="csY12413"/>
              </a:cxn>
              <a:cxn ang="0">
                <a:pos x="csX12414" y="csY12414"/>
              </a:cxn>
              <a:cxn ang="0">
                <a:pos x="csX12415" y="csY12415"/>
              </a:cxn>
              <a:cxn ang="0">
                <a:pos x="csX12416" y="csY12416"/>
              </a:cxn>
              <a:cxn ang="0">
                <a:pos x="csX12417" y="csY12417"/>
              </a:cxn>
              <a:cxn ang="0">
                <a:pos x="csX12418" y="csY12418"/>
              </a:cxn>
              <a:cxn ang="0">
                <a:pos x="csX12419" y="csY12419"/>
              </a:cxn>
              <a:cxn ang="0">
                <a:pos x="csX12420" y="csY12420"/>
              </a:cxn>
              <a:cxn ang="0">
                <a:pos x="csX12421" y="csY12421"/>
              </a:cxn>
              <a:cxn ang="0">
                <a:pos x="csX12422" y="csY12422"/>
              </a:cxn>
              <a:cxn ang="0">
                <a:pos x="csX12423" y="csY12423"/>
              </a:cxn>
              <a:cxn ang="0">
                <a:pos x="csX12424" y="csY12424"/>
              </a:cxn>
              <a:cxn ang="0">
                <a:pos x="csX12425" y="csY12425"/>
              </a:cxn>
              <a:cxn ang="0">
                <a:pos x="csX12426" y="csY12426"/>
              </a:cxn>
              <a:cxn ang="0">
                <a:pos x="csX12427" y="csY12427"/>
              </a:cxn>
              <a:cxn ang="0">
                <a:pos x="csX12428" y="csY12428"/>
              </a:cxn>
              <a:cxn ang="0">
                <a:pos x="csX12429" y="csY12429"/>
              </a:cxn>
              <a:cxn ang="0">
                <a:pos x="csX12430" y="csY12430"/>
              </a:cxn>
              <a:cxn ang="0">
                <a:pos x="csX12431" y="csY12431"/>
              </a:cxn>
              <a:cxn ang="0">
                <a:pos x="csX12432" y="csY12432"/>
              </a:cxn>
              <a:cxn ang="0">
                <a:pos x="csX12433" y="csY12433"/>
              </a:cxn>
              <a:cxn ang="0">
                <a:pos x="csX12434" y="csY12434"/>
              </a:cxn>
              <a:cxn ang="0">
                <a:pos x="csX12435" y="csY12435"/>
              </a:cxn>
              <a:cxn ang="0">
                <a:pos x="csX12436" y="csY12436"/>
              </a:cxn>
              <a:cxn ang="0">
                <a:pos x="csX12437" y="csY12437"/>
              </a:cxn>
              <a:cxn ang="0">
                <a:pos x="csX12438" y="csY12438"/>
              </a:cxn>
              <a:cxn ang="0">
                <a:pos x="csX12439" y="csY12439"/>
              </a:cxn>
              <a:cxn ang="0">
                <a:pos x="csX12440" y="csY12440"/>
              </a:cxn>
              <a:cxn ang="0">
                <a:pos x="csX12441" y="csY12441"/>
              </a:cxn>
              <a:cxn ang="0">
                <a:pos x="csX12442" y="csY12442"/>
              </a:cxn>
              <a:cxn ang="0">
                <a:pos x="csX12443" y="csY12443"/>
              </a:cxn>
              <a:cxn ang="0">
                <a:pos x="csX12444" y="csY12444"/>
              </a:cxn>
              <a:cxn ang="0">
                <a:pos x="csX12445" y="csY12445"/>
              </a:cxn>
              <a:cxn ang="0">
                <a:pos x="csX12446" y="csY12446"/>
              </a:cxn>
              <a:cxn ang="0">
                <a:pos x="csX12447" y="csY12447"/>
              </a:cxn>
              <a:cxn ang="0">
                <a:pos x="csX12448" y="csY12448"/>
              </a:cxn>
              <a:cxn ang="0">
                <a:pos x="csX12449" y="csY12449"/>
              </a:cxn>
              <a:cxn ang="0">
                <a:pos x="csX12450" y="csY12450"/>
              </a:cxn>
              <a:cxn ang="0">
                <a:pos x="csX12451" y="csY12451"/>
              </a:cxn>
              <a:cxn ang="0">
                <a:pos x="csX12452" y="csY12452"/>
              </a:cxn>
              <a:cxn ang="0">
                <a:pos x="csX12453" y="csY12453"/>
              </a:cxn>
              <a:cxn ang="0">
                <a:pos x="csX12454" y="csY12454"/>
              </a:cxn>
              <a:cxn ang="0">
                <a:pos x="csX12455" y="csY12455"/>
              </a:cxn>
              <a:cxn ang="0">
                <a:pos x="csX12456" y="csY12456"/>
              </a:cxn>
              <a:cxn ang="0">
                <a:pos x="csX12457" y="csY12457"/>
              </a:cxn>
              <a:cxn ang="0">
                <a:pos x="csX12458" y="csY12458"/>
              </a:cxn>
              <a:cxn ang="0">
                <a:pos x="csX12459" y="csY12459"/>
              </a:cxn>
              <a:cxn ang="0">
                <a:pos x="csX12460" y="csY12460"/>
              </a:cxn>
              <a:cxn ang="0">
                <a:pos x="csX12461" y="csY12461"/>
              </a:cxn>
              <a:cxn ang="0">
                <a:pos x="csX12462" y="csY12462"/>
              </a:cxn>
              <a:cxn ang="0">
                <a:pos x="csX12463" y="csY12463"/>
              </a:cxn>
              <a:cxn ang="0">
                <a:pos x="csX12464" y="csY12464"/>
              </a:cxn>
              <a:cxn ang="0">
                <a:pos x="csX12465" y="csY12465"/>
              </a:cxn>
              <a:cxn ang="0">
                <a:pos x="csX12466" y="csY12466"/>
              </a:cxn>
              <a:cxn ang="0">
                <a:pos x="csX12467" y="csY12467"/>
              </a:cxn>
              <a:cxn ang="0">
                <a:pos x="csX12468" y="csY12468"/>
              </a:cxn>
              <a:cxn ang="0">
                <a:pos x="csX12469" y="csY12469"/>
              </a:cxn>
              <a:cxn ang="0">
                <a:pos x="csX12470" y="csY12470"/>
              </a:cxn>
              <a:cxn ang="0">
                <a:pos x="csX12471" y="csY12471"/>
              </a:cxn>
              <a:cxn ang="0">
                <a:pos x="csX12472" y="csY12472"/>
              </a:cxn>
              <a:cxn ang="0">
                <a:pos x="csX12473" y="csY12473"/>
              </a:cxn>
              <a:cxn ang="0">
                <a:pos x="csX12474" y="csY12474"/>
              </a:cxn>
              <a:cxn ang="0">
                <a:pos x="csX12475" y="csY12475"/>
              </a:cxn>
              <a:cxn ang="0">
                <a:pos x="csX12476" y="csY12476"/>
              </a:cxn>
              <a:cxn ang="0">
                <a:pos x="csX12477" y="csY12477"/>
              </a:cxn>
              <a:cxn ang="0">
                <a:pos x="csX12478" y="csY12478"/>
              </a:cxn>
              <a:cxn ang="0">
                <a:pos x="csX12479" y="csY12479"/>
              </a:cxn>
              <a:cxn ang="0">
                <a:pos x="csX12480" y="csY12480"/>
              </a:cxn>
              <a:cxn ang="0">
                <a:pos x="csX12481" y="csY12481"/>
              </a:cxn>
              <a:cxn ang="0">
                <a:pos x="csX12482" y="csY12482"/>
              </a:cxn>
              <a:cxn ang="0">
                <a:pos x="csX12483" y="csY12483"/>
              </a:cxn>
              <a:cxn ang="0">
                <a:pos x="csX12484" y="csY12484"/>
              </a:cxn>
              <a:cxn ang="0">
                <a:pos x="csX12485" y="csY12485"/>
              </a:cxn>
              <a:cxn ang="0">
                <a:pos x="csX12486" y="csY12486"/>
              </a:cxn>
              <a:cxn ang="0">
                <a:pos x="csX12487" y="csY12487"/>
              </a:cxn>
              <a:cxn ang="0">
                <a:pos x="csX12488" y="csY12488"/>
              </a:cxn>
              <a:cxn ang="0">
                <a:pos x="csX12489" y="csY12489"/>
              </a:cxn>
              <a:cxn ang="0">
                <a:pos x="csX12490" y="csY12490"/>
              </a:cxn>
              <a:cxn ang="0">
                <a:pos x="csX12491" y="csY12491"/>
              </a:cxn>
              <a:cxn ang="0">
                <a:pos x="csX12492" y="csY12492"/>
              </a:cxn>
              <a:cxn ang="0">
                <a:pos x="csX12493" y="csY12493"/>
              </a:cxn>
              <a:cxn ang="0">
                <a:pos x="csX12494" y="csY12494"/>
              </a:cxn>
              <a:cxn ang="0">
                <a:pos x="csX12495" y="csY12495"/>
              </a:cxn>
              <a:cxn ang="0">
                <a:pos x="csX12496" y="csY12496"/>
              </a:cxn>
              <a:cxn ang="0">
                <a:pos x="csX12497" y="csY12497"/>
              </a:cxn>
              <a:cxn ang="0">
                <a:pos x="csX12498" y="csY12498"/>
              </a:cxn>
              <a:cxn ang="0">
                <a:pos x="csX12499" y="csY12499"/>
              </a:cxn>
              <a:cxn ang="0">
                <a:pos x="csX12500" y="csY12500"/>
              </a:cxn>
              <a:cxn ang="0">
                <a:pos x="csX12501" y="csY12501"/>
              </a:cxn>
              <a:cxn ang="0">
                <a:pos x="csX12502" y="csY12502"/>
              </a:cxn>
              <a:cxn ang="0">
                <a:pos x="csX12503" y="csY12503"/>
              </a:cxn>
              <a:cxn ang="0">
                <a:pos x="csX12504" y="csY12504"/>
              </a:cxn>
              <a:cxn ang="0">
                <a:pos x="csX12505" y="csY12505"/>
              </a:cxn>
              <a:cxn ang="0">
                <a:pos x="csX12506" y="csY12506"/>
              </a:cxn>
              <a:cxn ang="0">
                <a:pos x="csX12507" y="csY12507"/>
              </a:cxn>
              <a:cxn ang="0">
                <a:pos x="csX12508" y="csY12508"/>
              </a:cxn>
              <a:cxn ang="0">
                <a:pos x="csX12509" y="csY12509"/>
              </a:cxn>
              <a:cxn ang="0">
                <a:pos x="csX12510" y="csY12510"/>
              </a:cxn>
              <a:cxn ang="0">
                <a:pos x="csX12511" y="csY12511"/>
              </a:cxn>
              <a:cxn ang="0">
                <a:pos x="csX12512" y="csY12512"/>
              </a:cxn>
              <a:cxn ang="0">
                <a:pos x="csX12513" y="csY12513"/>
              </a:cxn>
              <a:cxn ang="0">
                <a:pos x="csX12514" y="csY12514"/>
              </a:cxn>
              <a:cxn ang="0">
                <a:pos x="csX12515" y="csY12515"/>
              </a:cxn>
              <a:cxn ang="0">
                <a:pos x="csX12516" y="csY12516"/>
              </a:cxn>
              <a:cxn ang="0">
                <a:pos x="csX12517" y="csY12517"/>
              </a:cxn>
              <a:cxn ang="0">
                <a:pos x="csX12518" y="csY12518"/>
              </a:cxn>
              <a:cxn ang="0">
                <a:pos x="csX12519" y="csY12519"/>
              </a:cxn>
              <a:cxn ang="0">
                <a:pos x="csX12520" y="csY12520"/>
              </a:cxn>
              <a:cxn ang="0">
                <a:pos x="csX12521" y="csY12521"/>
              </a:cxn>
              <a:cxn ang="0">
                <a:pos x="csX12522" y="csY12522"/>
              </a:cxn>
              <a:cxn ang="0">
                <a:pos x="csX12523" y="csY12523"/>
              </a:cxn>
              <a:cxn ang="0">
                <a:pos x="csX12524" y="csY12524"/>
              </a:cxn>
              <a:cxn ang="0">
                <a:pos x="csX12525" y="csY12525"/>
              </a:cxn>
              <a:cxn ang="0">
                <a:pos x="csX12526" y="csY12526"/>
              </a:cxn>
              <a:cxn ang="0">
                <a:pos x="csX12527" y="csY12527"/>
              </a:cxn>
              <a:cxn ang="0">
                <a:pos x="csX12528" y="csY12528"/>
              </a:cxn>
              <a:cxn ang="0">
                <a:pos x="csX12529" y="csY12529"/>
              </a:cxn>
              <a:cxn ang="0">
                <a:pos x="csX12530" y="csY12530"/>
              </a:cxn>
              <a:cxn ang="0">
                <a:pos x="csX12531" y="csY12531"/>
              </a:cxn>
              <a:cxn ang="0">
                <a:pos x="csX12532" y="csY12532"/>
              </a:cxn>
              <a:cxn ang="0">
                <a:pos x="csX12533" y="csY12533"/>
              </a:cxn>
              <a:cxn ang="0">
                <a:pos x="csX12534" y="csY12534"/>
              </a:cxn>
              <a:cxn ang="0">
                <a:pos x="csX12535" y="csY12535"/>
              </a:cxn>
              <a:cxn ang="0">
                <a:pos x="csX12536" y="csY12536"/>
              </a:cxn>
              <a:cxn ang="0">
                <a:pos x="csX12537" y="csY12537"/>
              </a:cxn>
              <a:cxn ang="0">
                <a:pos x="csX12538" y="csY12538"/>
              </a:cxn>
              <a:cxn ang="0">
                <a:pos x="csX12539" y="csY12539"/>
              </a:cxn>
              <a:cxn ang="0">
                <a:pos x="csX12540" y="csY12540"/>
              </a:cxn>
              <a:cxn ang="0">
                <a:pos x="csX12541" y="csY12541"/>
              </a:cxn>
              <a:cxn ang="0">
                <a:pos x="csX12542" y="csY12542"/>
              </a:cxn>
              <a:cxn ang="0">
                <a:pos x="csX12543" y="csY12543"/>
              </a:cxn>
              <a:cxn ang="0">
                <a:pos x="csX12544" y="csY12544"/>
              </a:cxn>
              <a:cxn ang="0">
                <a:pos x="csX12545" y="csY12545"/>
              </a:cxn>
              <a:cxn ang="0">
                <a:pos x="csX12546" y="csY12546"/>
              </a:cxn>
              <a:cxn ang="0">
                <a:pos x="csX12547" y="csY12547"/>
              </a:cxn>
              <a:cxn ang="0">
                <a:pos x="csX12548" y="csY12548"/>
              </a:cxn>
              <a:cxn ang="0">
                <a:pos x="csX12549" y="csY12549"/>
              </a:cxn>
              <a:cxn ang="0">
                <a:pos x="csX12550" y="csY12550"/>
              </a:cxn>
              <a:cxn ang="0">
                <a:pos x="csX12551" y="csY12551"/>
              </a:cxn>
              <a:cxn ang="0">
                <a:pos x="csX12552" y="csY12552"/>
              </a:cxn>
              <a:cxn ang="0">
                <a:pos x="csX12553" y="csY12553"/>
              </a:cxn>
              <a:cxn ang="0">
                <a:pos x="csX12554" y="csY12554"/>
              </a:cxn>
              <a:cxn ang="0">
                <a:pos x="csX12555" y="csY12555"/>
              </a:cxn>
              <a:cxn ang="0">
                <a:pos x="csX12556" y="csY12556"/>
              </a:cxn>
              <a:cxn ang="0">
                <a:pos x="csX12557" y="csY12557"/>
              </a:cxn>
              <a:cxn ang="0">
                <a:pos x="csX12558" y="csY12558"/>
              </a:cxn>
              <a:cxn ang="0">
                <a:pos x="csX12559" y="csY12559"/>
              </a:cxn>
              <a:cxn ang="0">
                <a:pos x="csX12560" y="csY12560"/>
              </a:cxn>
              <a:cxn ang="0">
                <a:pos x="csX12561" y="csY12561"/>
              </a:cxn>
              <a:cxn ang="0">
                <a:pos x="csX12562" y="csY12562"/>
              </a:cxn>
              <a:cxn ang="0">
                <a:pos x="csX12563" y="csY12563"/>
              </a:cxn>
              <a:cxn ang="0">
                <a:pos x="csX12564" y="csY12564"/>
              </a:cxn>
              <a:cxn ang="0">
                <a:pos x="csX12565" y="csY12565"/>
              </a:cxn>
              <a:cxn ang="0">
                <a:pos x="csX12566" y="csY12566"/>
              </a:cxn>
              <a:cxn ang="0">
                <a:pos x="csX12567" y="csY12567"/>
              </a:cxn>
              <a:cxn ang="0">
                <a:pos x="csX12568" y="csY12568"/>
              </a:cxn>
              <a:cxn ang="0">
                <a:pos x="csX12569" y="csY12569"/>
              </a:cxn>
              <a:cxn ang="0">
                <a:pos x="csX12570" y="csY12570"/>
              </a:cxn>
              <a:cxn ang="0">
                <a:pos x="csX12571" y="csY12571"/>
              </a:cxn>
              <a:cxn ang="0">
                <a:pos x="csX12572" y="csY12572"/>
              </a:cxn>
              <a:cxn ang="0">
                <a:pos x="csX12573" y="csY12573"/>
              </a:cxn>
              <a:cxn ang="0">
                <a:pos x="csX12574" y="csY12574"/>
              </a:cxn>
              <a:cxn ang="0">
                <a:pos x="csX12575" y="csY12575"/>
              </a:cxn>
              <a:cxn ang="0">
                <a:pos x="csX12576" y="csY12576"/>
              </a:cxn>
              <a:cxn ang="0">
                <a:pos x="csX12577" y="csY12577"/>
              </a:cxn>
              <a:cxn ang="0">
                <a:pos x="csX12578" y="csY12578"/>
              </a:cxn>
              <a:cxn ang="0">
                <a:pos x="csX12579" y="csY12579"/>
              </a:cxn>
              <a:cxn ang="0">
                <a:pos x="csX12580" y="csY12580"/>
              </a:cxn>
              <a:cxn ang="0">
                <a:pos x="csX12581" y="csY12581"/>
              </a:cxn>
              <a:cxn ang="0">
                <a:pos x="csX12582" y="csY12582"/>
              </a:cxn>
              <a:cxn ang="0">
                <a:pos x="csX12583" y="csY12583"/>
              </a:cxn>
              <a:cxn ang="0">
                <a:pos x="csX12584" y="csY12584"/>
              </a:cxn>
              <a:cxn ang="0">
                <a:pos x="csX12585" y="csY12585"/>
              </a:cxn>
              <a:cxn ang="0">
                <a:pos x="csX12586" y="csY12586"/>
              </a:cxn>
              <a:cxn ang="0">
                <a:pos x="csX12587" y="csY12587"/>
              </a:cxn>
              <a:cxn ang="0">
                <a:pos x="csX12588" y="csY12588"/>
              </a:cxn>
              <a:cxn ang="0">
                <a:pos x="csX12589" y="csY12589"/>
              </a:cxn>
              <a:cxn ang="0">
                <a:pos x="csX12590" y="csY12590"/>
              </a:cxn>
              <a:cxn ang="0">
                <a:pos x="csX12591" y="csY12591"/>
              </a:cxn>
              <a:cxn ang="0">
                <a:pos x="csX12592" y="csY12592"/>
              </a:cxn>
              <a:cxn ang="0">
                <a:pos x="csX12593" y="csY12593"/>
              </a:cxn>
              <a:cxn ang="0">
                <a:pos x="csX12594" y="csY12594"/>
              </a:cxn>
              <a:cxn ang="0">
                <a:pos x="csX12595" y="csY12595"/>
              </a:cxn>
              <a:cxn ang="0">
                <a:pos x="csX12596" y="csY12596"/>
              </a:cxn>
              <a:cxn ang="0">
                <a:pos x="csX12597" y="csY12597"/>
              </a:cxn>
              <a:cxn ang="0">
                <a:pos x="csX12598" y="csY12598"/>
              </a:cxn>
              <a:cxn ang="0">
                <a:pos x="csX12599" y="csY12599"/>
              </a:cxn>
              <a:cxn ang="0">
                <a:pos x="csX12600" y="csY12600"/>
              </a:cxn>
              <a:cxn ang="0">
                <a:pos x="csX12601" y="csY12601"/>
              </a:cxn>
              <a:cxn ang="0">
                <a:pos x="csX12602" y="csY12602"/>
              </a:cxn>
              <a:cxn ang="0">
                <a:pos x="csX12603" y="csY12603"/>
              </a:cxn>
              <a:cxn ang="0">
                <a:pos x="csX12604" y="csY12604"/>
              </a:cxn>
              <a:cxn ang="0">
                <a:pos x="csX12605" y="csY12605"/>
              </a:cxn>
              <a:cxn ang="0">
                <a:pos x="csX12606" y="csY12606"/>
              </a:cxn>
              <a:cxn ang="0">
                <a:pos x="csX12607" y="csY12607"/>
              </a:cxn>
              <a:cxn ang="0">
                <a:pos x="csX12608" y="csY12608"/>
              </a:cxn>
              <a:cxn ang="0">
                <a:pos x="csX12609" y="csY12609"/>
              </a:cxn>
              <a:cxn ang="0">
                <a:pos x="csX12610" y="csY12610"/>
              </a:cxn>
              <a:cxn ang="0">
                <a:pos x="csX12611" y="csY12611"/>
              </a:cxn>
              <a:cxn ang="0">
                <a:pos x="csX12612" y="csY12612"/>
              </a:cxn>
              <a:cxn ang="0">
                <a:pos x="csX12613" y="csY12613"/>
              </a:cxn>
              <a:cxn ang="0">
                <a:pos x="csX12614" y="csY12614"/>
              </a:cxn>
              <a:cxn ang="0">
                <a:pos x="csX12615" y="csY12615"/>
              </a:cxn>
              <a:cxn ang="0">
                <a:pos x="csX12616" y="csY12616"/>
              </a:cxn>
              <a:cxn ang="0">
                <a:pos x="csX12617" y="csY12617"/>
              </a:cxn>
              <a:cxn ang="0">
                <a:pos x="csX12618" y="csY12618"/>
              </a:cxn>
              <a:cxn ang="0">
                <a:pos x="csX12619" y="csY12619"/>
              </a:cxn>
              <a:cxn ang="0">
                <a:pos x="csX12620" y="csY12620"/>
              </a:cxn>
              <a:cxn ang="0">
                <a:pos x="csX12621" y="csY12621"/>
              </a:cxn>
              <a:cxn ang="0">
                <a:pos x="csX12622" y="csY12622"/>
              </a:cxn>
              <a:cxn ang="0">
                <a:pos x="csX12623" y="csY12623"/>
              </a:cxn>
              <a:cxn ang="0">
                <a:pos x="csX12624" y="csY12624"/>
              </a:cxn>
              <a:cxn ang="0">
                <a:pos x="csX12625" y="csY12625"/>
              </a:cxn>
              <a:cxn ang="0">
                <a:pos x="csX12626" y="csY12626"/>
              </a:cxn>
              <a:cxn ang="0">
                <a:pos x="csX12627" y="csY12627"/>
              </a:cxn>
              <a:cxn ang="0">
                <a:pos x="csX12628" y="csY12628"/>
              </a:cxn>
              <a:cxn ang="0">
                <a:pos x="csX12629" y="csY12629"/>
              </a:cxn>
              <a:cxn ang="0">
                <a:pos x="csX12630" y="csY12630"/>
              </a:cxn>
              <a:cxn ang="0">
                <a:pos x="csX12631" y="csY12631"/>
              </a:cxn>
              <a:cxn ang="0">
                <a:pos x="csX12632" y="csY12632"/>
              </a:cxn>
              <a:cxn ang="0">
                <a:pos x="csX12633" y="csY12633"/>
              </a:cxn>
              <a:cxn ang="0">
                <a:pos x="csX12634" y="csY12634"/>
              </a:cxn>
              <a:cxn ang="0">
                <a:pos x="csX12635" y="csY12635"/>
              </a:cxn>
              <a:cxn ang="0">
                <a:pos x="csX12636" y="csY12636"/>
              </a:cxn>
              <a:cxn ang="0">
                <a:pos x="csX12637" y="csY12637"/>
              </a:cxn>
              <a:cxn ang="0">
                <a:pos x="csX12638" y="csY12638"/>
              </a:cxn>
              <a:cxn ang="0">
                <a:pos x="csX12639" y="csY12639"/>
              </a:cxn>
              <a:cxn ang="0">
                <a:pos x="csX12640" y="csY12640"/>
              </a:cxn>
              <a:cxn ang="0">
                <a:pos x="csX12641" y="csY12641"/>
              </a:cxn>
              <a:cxn ang="0">
                <a:pos x="csX12642" y="csY12642"/>
              </a:cxn>
              <a:cxn ang="0">
                <a:pos x="csX12643" y="csY12643"/>
              </a:cxn>
              <a:cxn ang="0">
                <a:pos x="csX12644" y="csY12644"/>
              </a:cxn>
              <a:cxn ang="0">
                <a:pos x="csX12645" y="csY12645"/>
              </a:cxn>
              <a:cxn ang="0">
                <a:pos x="csX12646" y="csY12646"/>
              </a:cxn>
              <a:cxn ang="0">
                <a:pos x="csX12647" y="csY12647"/>
              </a:cxn>
              <a:cxn ang="0">
                <a:pos x="csX12648" y="csY12648"/>
              </a:cxn>
              <a:cxn ang="0">
                <a:pos x="csX12649" y="csY12649"/>
              </a:cxn>
              <a:cxn ang="0">
                <a:pos x="csX12650" y="csY12650"/>
              </a:cxn>
              <a:cxn ang="0">
                <a:pos x="csX12651" y="csY12651"/>
              </a:cxn>
              <a:cxn ang="0">
                <a:pos x="csX12652" y="csY12652"/>
              </a:cxn>
              <a:cxn ang="0">
                <a:pos x="csX12653" y="csY12653"/>
              </a:cxn>
              <a:cxn ang="0">
                <a:pos x="csX12654" y="csY12654"/>
              </a:cxn>
              <a:cxn ang="0">
                <a:pos x="csX12655" y="csY12655"/>
              </a:cxn>
              <a:cxn ang="0">
                <a:pos x="csX12656" y="csY12656"/>
              </a:cxn>
              <a:cxn ang="0">
                <a:pos x="csX12657" y="csY12657"/>
              </a:cxn>
              <a:cxn ang="0">
                <a:pos x="csX12658" y="csY12658"/>
              </a:cxn>
              <a:cxn ang="0">
                <a:pos x="csX12659" y="csY12659"/>
              </a:cxn>
              <a:cxn ang="0">
                <a:pos x="csX12660" y="csY12660"/>
              </a:cxn>
              <a:cxn ang="0">
                <a:pos x="csX12661" y="csY12661"/>
              </a:cxn>
              <a:cxn ang="0">
                <a:pos x="csX12662" y="csY12662"/>
              </a:cxn>
              <a:cxn ang="0">
                <a:pos x="csX12663" y="csY12663"/>
              </a:cxn>
              <a:cxn ang="0">
                <a:pos x="csX12664" y="csY12664"/>
              </a:cxn>
              <a:cxn ang="0">
                <a:pos x="csX12665" y="csY12665"/>
              </a:cxn>
              <a:cxn ang="0">
                <a:pos x="csX12666" y="csY12666"/>
              </a:cxn>
              <a:cxn ang="0">
                <a:pos x="csX12667" y="csY12667"/>
              </a:cxn>
              <a:cxn ang="0">
                <a:pos x="csX12668" y="csY12668"/>
              </a:cxn>
              <a:cxn ang="0">
                <a:pos x="csX12669" y="csY12669"/>
              </a:cxn>
              <a:cxn ang="0">
                <a:pos x="csX12670" y="csY12670"/>
              </a:cxn>
              <a:cxn ang="0">
                <a:pos x="csX12671" y="csY12671"/>
              </a:cxn>
              <a:cxn ang="0">
                <a:pos x="csX12672" y="csY12672"/>
              </a:cxn>
              <a:cxn ang="0">
                <a:pos x="csX12673" y="csY12673"/>
              </a:cxn>
              <a:cxn ang="0">
                <a:pos x="csX12674" y="csY12674"/>
              </a:cxn>
              <a:cxn ang="0">
                <a:pos x="csX12675" y="csY12675"/>
              </a:cxn>
              <a:cxn ang="0">
                <a:pos x="csX12676" y="csY12676"/>
              </a:cxn>
              <a:cxn ang="0">
                <a:pos x="csX12677" y="csY12677"/>
              </a:cxn>
              <a:cxn ang="0">
                <a:pos x="csX12678" y="csY12678"/>
              </a:cxn>
              <a:cxn ang="0">
                <a:pos x="csX12679" y="csY12679"/>
              </a:cxn>
              <a:cxn ang="0">
                <a:pos x="csX12680" y="csY12680"/>
              </a:cxn>
              <a:cxn ang="0">
                <a:pos x="csX12681" y="csY12681"/>
              </a:cxn>
              <a:cxn ang="0">
                <a:pos x="csX12682" y="csY12682"/>
              </a:cxn>
              <a:cxn ang="0">
                <a:pos x="csX12683" y="csY12683"/>
              </a:cxn>
              <a:cxn ang="0">
                <a:pos x="csX12684" y="csY12684"/>
              </a:cxn>
              <a:cxn ang="0">
                <a:pos x="csX12685" y="csY12685"/>
              </a:cxn>
              <a:cxn ang="0">
                <a:pos x="csX12686" y="csY12686"/>
              </a:cxn>
              <a:cxn ang="0">
                <a:pos x="csX12687" y="csY12687"/>
              </a:cxn>
              <a:cxn ang="0">
                <a:pos x="csX12688" y="csY12688"/>
              </a:cxn>
              <a:cxn ang="0">
                <a:pos x="csX12689" y="csY12689"/>
              </a:cxn>
              <a:cxn ang="0">
                <a:pos x="csX12690" y="csY12690"/>
              </a:cxn>
              <a:cxn ang="0">
                <a:pos x="csX12691" y="csY12691"/>
              </a:cxn>
              <a:cxn ang="0">
                <a:pos x="csX12692" y="csY12692"/>
              </a:cxn>
              <a:cxn ang="0">
                <a:pos x="csX12693" y="csY12693"/>
              </a:cxn>
              <a:cxn ang="0">
                <a:pos x="csX12694" y="csY12694"/>
              </a:cxn>
              <a:cxn ang="0">
                <a:pos x="csX12695" y="csY12695"/>
              </a:cxn>
              <a:cxn ang="0">
                <a:pos x="csX12696" y="csY12696"/>
              </a:cxn>
              <a:cxn ang="0">
                <a:pos x="csX12697" y="csY12697"/>
              </a:cxn>
              <a:cxn ang="0">
                <a:pos x="csX12698" y="csY12698"/>
              </a:cxn>
              <a:cxn ang="0">
                <a:pos x="csX12699" y="csY12699"/>
              </a:cxn>
              <a:cxn ang="0">
                <a:pos x="csX12700" y="csY12700"/>
              </a:cxn>
              <a:cxn ang="0">
                <a:pos x="csX12701" y="csY12701"/>
              </a:cxn>
              <a:cxn ang="0">
                <a:pos x="csX12702" y="csY12702"/>
              </a:cxn>
              <a:cxn ang="0">
                <a:pos x="csX12703" y="csY12703"/>
              </a:cxn>
              <a:cxn ang="0">
                <a:pos x="csX12704" y="csY12704"/>
              </a:cxn>
              <a:cxn ang="0">
                <a:pos x="csX12705" y="csY12705"/>
              </a:cxn>
              <a:cxn ang="0">
                <a:pos x="csX12706" y="csY12706"/>
              </a:cxn>
              <a:cxn ang="0">
                <a:pos x="csX12707" y="csY12707"/>
              </a:cxn>
              <a:cxn ang="0">
                <a:pos x="csX12708" y="csY12708"/>
              </a:cxn>
              <a:cxn ang="0">
                <a:pos x="csX12709" y="csY12709"/>
              </a:cxn>
              <a:cxn ang="0">
                <a:pos x="csX12710" y="csY12710"/>
              </a:cxn>
              <a:cxn ang="0">
                <a:pos x="csX12711" y="csY12711"/>
              </a:cxn>
              <a:cxn ang="0">
                <a:pos x="csX12712" y="csY12712"/>
              </a:cxn>
              <a:cxn ang="0">
                <a:pos x="csX12713" y="csY12713"/>
              </a:cxn>
              <a:cxn ang="0">
                <a:pos x="csX12714" y="csY12714"/>
              </a:cxn>
              <a:cxn ang="0">
                <a:pos x="csX12715" y="csY12715"/>
              </a:cxn>
              <a:cxn ang="0">
                <a:pos x="csX12716" y="csY12716"/>
              </a:cxn>
              <a:cxn ang="0">
                <a:pos x="csX12717" y="csY12717"/>
              </a:cxn>
              <a:cxn ang="0">
                <a:pos x="csX12718" y="csY12718"/>
              </a:cxn>
              <a:cxn ang="0">
                <a:pos x="csX12719" y="csY12719"/>
              </a:cxn>
              <a:cxn ang="0">
                <a:pos x="csX12720" y="csY12720"/>
              </a:cxn>
              <a:cxn ang="0">
                <a:pos x="csX12721" y="csY12721"/>
              </a:cxn>
              <a:cxn ang="0">
                <a:pos x="csX12722" y="csY12722"/>
              </a:cxn>
              <a:cxn ang="0">
                <a:pos x="csX12723" y="csY12723"/>
              </a:cxn>
              <a:cxn ang="0">
                <a:pos x="csX12724" y="csY12724"/>
              </a:cxn>
              <a:cxn ang="0">
                <a:pos x="csX12725" y="csY12725"/>
              </a:cxn>
              <a:cxn ang="0">
                <a:pos x="csX12726" y="csY12726"/>
              </a:cxn>
              <a:cxn ang="0">
                <a:pos x="csX12727" y="csY12727"/>
              </a:cxn>
              <a:cxn ang="0">
                <a:pos x="csX12728" y="csY12728"/>
              </a:cxn>
              <a:cxn ang="0">
                <a:pos x="csX12729" y="csY12729"/>
              </a:cxn>
              <a:cxn ang="0">
                <a:pos x="csX12730" y="csY12730"/>
              </a:cxn>
              <a:cxn ang="0">
                <a:pos x="csX12731" y="csY12731"/>
              </a:cxn>
              <a:cxn ang="0">
                <a:pos x="csX12732" y="csY12732"/>
              </a:cxn>
              <a:cxn ang="0">
                <a:pos x="csX12733" y="csY12733"/>
              </a:cxn>
              <a:cxn ang="0">
                <a:pos x="csX12734" y="csY12734"/>
              </a:cxn>
              <a:cxn ang="0">
                <a:pos x="csX12735" y="csY12735"/>
              </a:cxn>
              <a:cxn ang="0">
                <a:pos x="csX12736" y="csY12736"/>
              </a:cxn>
              <a:cxn ang="0">
                <a:pos x="csX12737" y="csY12737"/>
              </a:cxn>
              <a:cxn ang="0">
                <a:pos x="csX12738" y="csY12738"/>
              </a:cxn>
              <a:cxn ang="0">
                <a:pos x="csX12739" y="csY12739"/>
              </a:cxn>
              <a:cxn ang="0">
                <a:pos x="csX12740" y="csY12740"/>
              </a:cxn>
              <a:cxn ang="0">
                <a:pos x="csX12741" y="csY12741"/>
              </a:cxn>
              <a:cxn ang="0">
                <a:pos x="csX12742" y="csY12742"/>
              </a:cxn>
              <a:cxn ang="0">
                <a:pos x="csX12743" y="csY12743"/>
              </a:cxn>
              <a:cxn ang="0">
                <a:pos x="csX12744" y="csY12744"/>
              </a:cxn>
              <a:cxn ang="0">
                <a:pos x="csX12745" y="csY12745"/>
              </a:cxn>
              <a:cxn ang="0">
                <a:pos x="csX12746" y="csY12746"/>
              </a:cxn>
              <a:cxn ang="0">
                <a:pos x="csX12747" y="csY12747"/>
              </a:cxn>
              <a:cxn ang="0">
                <a:pos x="csX12748" y="csY12748"/>
              </a:cxn>
              <a:cxn ang="0">
                <a:pos x="csX12749" y="csY12749"/>
              </a:cxn>
              <a:cxn ang="0">
                <a:pos x="csX12750" y="csY12750"/>
              </a:cxn>
              <a:cxn ang="0">
                <a:pos x="csX12751" y="csY12751"/>
              </a:cxn>
              <a:cxn ang="0">
                <a:pos x="csX12752" y="csY12752"/>
              </a:cxn>
              <a:cxn ang="0">
                <a:pos x="csX12753" y="csY12753"/>
              </a:cxn>
              <a:cxn ang="0">
                <a:pos x="csX12754" y="csY12754"/>
              </a:cxn>
              <a:cxn ang="0">
                <a:pos x="csX12755" y="csY12755"/>
              </a:cxn>
              <a:cxn ang="0">
                <a:pos x="csX12756" y="csY12756"/>
              </a:cxn>
              <a:cxn ang="0">
                <a:pos x="csX12757" y="csY12757"/>
              </a:cxn>
              <a:cxn ang="0">
                <a:pos x="csX12758" y="csY12758"/>
              </a:cxn>
              <a:cxn ang="0">
                <a:pos x="csX12759" y="csY12759"/>
              </a:cxn>
              <a:cxn ang="0">
                <a:pos x="csX12760" y="csY12760"/>
              </a:cxn>
              <a:cxn ang="0">
                <a:pos x="csX12761" y="csY12761"/>
              </a:cxn>
              <a:cxn ang="0">
                <a:pos x="csX12762" y="csY12762"/>
              </a:cxn>
              <a:cxn ang="0">
                <a:pos x="csX12763" y="csY12763"/>
              </a:cxn>
              <a:cxn ang="0">
                <a:pos x="csX12764" y="csY12764"/>
              </a:cxn>
              <a:cxn ang="0">
                <a:pos x="csX12765" y="csY12765"/>
              </a:cxn>
              <a:cxn ang="0">
                <a:pos x="csX12766" y="csY12766"/>
              </a:cxn>
              <a:cxn ang="0">
                <a:pos x="csX12767" y="csY12767"/>
              </a:cxn>
              <a:cxn ang="0">
                <a:pos x="csX12768" y="csY12768"/>
              </a:cxn>
              <a:cxn ang="0">
                <a:pos x="csX12769" y="csY12769"/>
              </a:cxn>
              <a:cxn ang="0">
                <a:pos x="csX12770" y="csY12770"/>
              </a:cxn>
              <a:cxn ang="0">
                <a:pos x="csX12771" y="csY12771"/>
              </a:cxn>
              <a:cxn ang="0">
                <a:pos x="csX12772" y="csY12772"/>
              </a:cxn>
              <a:cxn ang="0">
                <a:pos x="csX12773" y="csY12773"/>
              </a:cxn>
              <a:cxn ang="0">
                <a:pos x="csX12774" y="csY12774"/>
              </a:cxn>
              <a:cxn ang="0">
                <a:pos x="csX12775" y="csY12775"/>
              </a:cxn>
              <a:cxn ang="0">
                <a:pos x="csX12776" y="csY12776"/>
              </a:cxn>
              <a:cxn ang="0">
                <a:pos x="csX12777" y="csY12777"/>
              </a:cxn>
              <a:cxn ang="0">
                <a:pos x="csX12778" y="csY12778"/>
              </a:cxn>
              <a:cxn ang="0">
                <a:pos x="csX12779" y="csY12779"/>
              </a:cxn>
              <a:cxn ang="0">
                <a:pos x="csX12780" y="csY12780"/>
              </a:cxn>
              <a:cxn ang="0">
                <a:pos x="csX12781" y="csY12781"/>
              </a:cxn>
              <a:cxn ang="0">
                <a:pos x="csX12782" y="csY12782"/>
              </a:cxn>
              <a:cxn ang="0">
                <a:pos x="csX12783" y="csY12783"/>
              </a:cxn>
              <a:cxn ang="0">
                <a:pos x="csX12784" y="csY12784"/>
              </a:cxn>
              <a:cxn ang="0">
                <a:pos x="csX12785" y="csY12785"/>
              </a:cxn>
              <a:cxn ang="0">
                <a:pos x="csX12786" y="csY12786"/>
              </a:cxn>
              <a:cxn ang="0">
                <a:pos x="csX12787" y="csY12787"/>
              </a:cxn>
              <a:cxn ang="0">
                <a:pos x="csX12788" y="csY12788"/>
              </a:cxn>
              <a:cxn ang="0">
                <a:pos x="csX12789" y="csY12789"/>
              </a:cxn>
              <a:cxn ang="0">
                <a:pos x="csX12790" y="csY12790"/>
              </a:cxn>
              <a:cxn ang="0">
                <a:pos x="csX12791" y="csY12791"/>
              </a:cxn>
              <a:cxn ang="0">
                <a:pos x="csX12792" y="csY12792"/>
              </a:cxn>
              <a:cxn ang="0">
                <a:pos x="csX12793" y="csY12793"/>
              </a:cxn>
              <a:cxn ang="0">
                <a:pos x="csX12794" y="csY12794"/>
              </a:cxn>
              <a:cxn ang="0">
                <a:pos x="csX12795" y="csY12795"/>
              </a:cxn>
              <a:cxn ang="0">
                <a:pos x="csX12796" y="csY12796"/>
              </a:cxn>
              <a:cxn ang="0">
                <a:pos x="csX12797" y="csY12797"/>
              </a:cxn>
              <a:cxn ang="0">
                <a:pos x="csX12798" y="csY12798"/>
              </a:cxn>
              <a:cxn ang="0">
                <a:pos x="csX12799" y="csY12799"/>
              </a:cxn>
              <a:cxn ang="0">
                <a:pos x="csX12800" y="csY12800"/>
              </a:cxn>
              <a:cxn ang="0">
                <a:pos x="csX12801" y="csY12801"/>
              </a:cxn>
              <a:cxn ang="0">
                <a:pos x="csX12802" y="csY12802"/>
              </a:cxn>
              <a:cxn ang="0">
                <a:pos x="csX12803" y="csY12803"/>
              </a:cxn>
              <a:cxn ang="0">
                <a:pos x="csX12804" y="csY12804"/>
              </a:cxn>
              <a:cxn ang="0">
                <a:pos x="csX12805" y="csY12805"/>
              </a:cxn>
              <a:cxn ang="0">
                <a:pos x="csX12806" y="csY12806"/>
              </a:cxn>
              <a:cxn ang="0">
                <a:pos x="csX12807" y="csY12807"/>
              </a:cxn>
              <a:cxn ang="0">
                <a:pos x="csX12808" y="csY12808"/>
              </a:cxn>
              <a:cxn ang="0">
                <a:pos x="csX12809" y="csY12809"/>
              </a:cxn>
              <a:cxn ang="0">
                <a:pos x="csX12810" y="csY12810"/>
              </a:cxn>
              <a:cxn ang="0">
                <a:pos x="csX12811" y="csY12811"/>
              </a:cxn>
              <a:cxn ang="0">
                <a:pos x="csX12812" y="csY12812"/>
              </a:cxn>
              <a:cxn ang="0">
                <a:pos x="csX12813" y="csY12813"/>
              </a:cxn>
              <a:cxn ang="0">
                <a:pos x="csX12814" y="csY12814"/>
              </a:cxn>
              <a:cxn ang="0">
                <a:pos x="csX12815" y="csY12815"/>
              </a:cxn>
              <a:cxn ang="0">
                <a:pos x="csX12816" y="csY12816"/>
              </a:cxn>
              <a:cxn ang="0">
                <a:pos x="csX12817" y="csY12817"/>
              </a:cxn>
              <a:cxn ang="0">
                <a:pos x="csX12818" y="csY12818"/>
              </a:cxn>
              <a:cxn ang="0">
                <a:pos x="csX12819" y="csY12819"/>
              </a:cxn>
              <a:cxn ang="0">
                <a:pos x="csX12820" y="csY12820"/>
              </a:cxn>
              <a:cxn ang="0">
                <a:pos x="csX12821" y="csY12821"/>
              </a:cxn>
              <a:cxn ang="0">
                <a:pos x="csX12822" y="csY12822"/>
              </a:cxn>
              <a:cxn ang="0">
                <a:pos x="csX12823" y="csY12823"/>
              </a:cxn>
              <a:cxn ang="0">
                <a:pos x="csX12824" y="csY12824"/>
              </a:cxn>
              <a:cxn ang="0">
                <a:pos x="csX12825" y="csY12825"/>
              </a:cxn>
              <a:cxn ang="0">
                <a:pos x="csX12826" y="csY12826"/>
              </a:cxn>
              <a:cxn ang="0">
                <a:pos x="csX12827" y="csY12827"/>
              </a:cxn>
              <a:cxn ang="0">
                <a:pos x="csX12828" y="csY12828"/>
              </a:cxn>
              <a:cxn ang="0">
                <a:pos x="csX12829" y="csY12829"/>
              </a:cxn>
              <a:cxn ang="0">
                <a:pos x="csX12830" y="csY12830"/>
              </a:cxn>
              <a:cxn ang="0">
                <a:pos x="csX12831" y="csY12831"/>
              </a:cxn>
              <a:cxn ang="0">
                <a:pos x="csX12832" y="csY12832"/>
              </a:cxn>
              <a:cxn ang="0">
                <a:pos x="csX12833" y="csY12833"/>
              </a:cxn>
              <a:cxn ang="0">
                <a:pos x="csX12834" y="csY12834"/>
              </a:cxn>
              <a:cxn ang="0">
                <a:pos x="csX12835" y="csY12835"/>
              </a:cxn>
              <a:cxn ang="0">
                <a:pos x="csX12836" y="csY12836"/>
              </a:cxn>
              <a:cxn ang="0">
                <a:pos x="csX12837" y="csY12837"/>
              </a:cxn>
              <a:cxn ang="0">
                <a:pos x="csX12838" y="csY12838"/>
              </a:cxn>
              <a:cxn ang="0">
                <a:pos x="csX12839" y="csY12839"/>
              </a:cxn>
              <a:cxn ang="0">
                <a:pos x="csX12840" y="csY12840"/>
              </a:cxn>
              <a:cxn ang="0">
                <a:pos x="csX12841" y="csY12841"/>
              </a:cxn>
              <a:cxn ang="0">
                <a:pos x="csX12842" y="csY12842"/>
              </a:cxn>
              <a:cxn ang="0">
                <a:pos x="csX12843" y="csY12843"/>
              </a:cxn>
              <a:cxn ang="0">
                <a:pos x="csX12844" y="csY12844"/>
              </a:cxn>
              <a:cxn ang="0">
                <a:pos x="csX12845" y="csY12845"/>
              </a:cxn>
              <a:cxn ang="0">
                <a:pos x="csX12846" y="csY12846"/>
              </a:cxn>
              <a:cxn ang="0">
                <a:pos x="csX12847" y="csY12847"/>
              </a:cxn>
              <a:cxn ang="0">
                <a:pos x="csX12848" y="csY12848"/>
              </a:cxn>
              <a:cxn ang="0">
                <a:pos x="csX12849" y="csY12849"/>
              </a:cxn>
              <a:cxn ang="0">
                <a:pos x="csX12850" y="csY12850"/>
              </a:cxn>
              <a:cxn ang="0">
                <a:pos x="csX12851" y="csY12851"/>
              </a:cxn>
              <a:cxn ang="0">
                <a:pos x="csX12852" y="csY12852"/>
              </a:cxn>
              <a:cxn ang="0">
                <a:pos x="csX12853" y="csY12853"/>
              </a:cxn>
              <a:cxn ang="0">
                <a:pos x="csX12854" y="csY12854"/>
              </a:cxn>
              <a:cxn ang="0">
                <a:pos x="csX12855" y="csY12855"/>
              </a:cxn>
              <a:cxn ang="0">
                <a:pos x="csX12856" y="csY12856"/>
              </a:cxn>
              <a:cxn ang="0">
                <a:pos x="csX12857" y="csY12857"/>
              </a:cxn>
              <a:cxn ang="0">
                <a:pos x="csX12858" y="csY12858"/>
              </a:cxn>
              <a:cxn ang="0">
                <a:pos x="csX12859" y="csY12859"/>
              </a:cxn>
              <a:cxn ang="0">
                <a:pos x="csX12860" y="csY12860"/>
              </a:cxn>
              <a:cxn ang="0">
                <a:pos x="csX12861" y="csY12861"/>
              </a:cxn>
              <a:cxn ang="0">
                <a:pos x="csX12862" y="csY12862"/>
              </a:cxn>
              <a:cxn ang="0">
                <a:pos x="csX12863" y="csY12863"/>
              </a:cxn>
              <a:cxn ang="0">
                <a:pos x="csX12864" y="csY12864"/>
              </a:cxn>
              <a:cxn ang="0">
                <a:pos x="csX12865" y="csY12865"/>
              </a:cxn>
              <a:cxn ang="0">
                <a:pos x="csX12866" y="csY12866"/>
              </a:cxn>
              <a:cxn ang="0">
                <a:pos x="csX12867" y="csY12867"/>
              </a:cxn>
              <a:cxn ang="0">
                <a:pos x="csX12868" y="csY12868"/>
              </a:cxn>
              <a:cxn ang="0">
                <a:pos x="csX12869" y="csY12869"/>
              </a:cxn>
              <a:cxn ang="0">
                <a:pos x="csX12870" y="csY12870"/>
              </a:cxn>
              <a:cxn ang="0">
                <a:pos x="csX12871" y="csY12871"/>
              </a:cxn>
              <a:cxn ang="0">
                <a:pos x="csX12872" y="csY12872"/>
              </a:cxn>
              <a:cxn ang="0">
                <a:pos x="csX12873" y="csY12873"/>
              </a:cxn>
              <a:cxn ang="0">
                <a:pos x="csX12874" y="csY12874"/>
              </a:cxn>
              <a:cxn ang="0">
                <a:pos x="csX12875" y="csY12875"/>
              </a:cxn>
              <a:cxn ang="0">
                <a:pos x="csX12876" y="csY12876"/>
              </a:cxn>
              <a:cxn ang="0">
                <a:pos x="csX12877" y="csY12877"/>
              </a:cxn>
              <a:cxn ang="0">
                <a:pos x="csX12878" y="csY12878"/>
              </a:cxn>
              <a:cxn ang="0">
                <a:pos x="csX12879" y="csY12879"/>
              </a:cxn>
              <a:cxn ang="0">
                <a:pos x="csX12880" y="csY12880"/>
              </a:cxn>
              <a:cxn ang="0">
                <a:pos x="csX12881" y="csY12881"/>
              </a:cxn>
              <a:cxn ang="0">
                <a:pos x="csX12882" y="csY12882"/>
              </a:cxn>
              <a:cxn ang="0">
                <a:pos x="csX12883" y="csY12883"/>
              </a:cxn>
              <a:cxn ang="0">
                <a:pos x="csX12884" y="csY12884"/>
              </a:cxn>
              <a:cxn ang="0">
                <a:pos x="csX12885" y="csY12885"/>
              </a:cxn>
              <a:cxn ang="0">
                <a:pos x="csX12886" y="csY12886"/>
              </a:cxn>
              <a:cxn ang="0">
                <a:pos x="csX12887" y="csY12887"/>
              </a:cxn>
              <a:cxn ang="0">
                <a:pos x="csX12888" y="csY12888"/>
              </a:cxn>
              <a:cxn ang="0">
                <a:pos x="csX12889" y="csY12889"/>
              </a:cxn>
              <a:cxn ang="0">
                <a:pos x="csX12890" y="csY12890"/>
              </a:cxn>
              <a:cxn ang="0">
                <a:pos x="csX12891" y="csY12891"/>
              </a:cxn>
              <a:cxn ang="0">
                <a:pos x="csX12892" y="csY12892"/>
              </a:cxn>
              <a:cxn ang="0">
                <a:pos x="csX12893" y="csY12893"/>
              </a:cxn>
              <a:cxn ang="0">
                <a:pos x="csX12894" y="csY12894"/>
              </a:cxn>
              <a:cxn ang="0">
                <a:pos x="csX12895" y="csY12895"/>
              </a:cxn>
              <a:cxn ang="0">
                <a:pos x="csX12896" y="csY12896"/>
              </a:cxn>
              <a:cxn ang="0">
                <a:pos x="csX12897" y="csY12897"/>
              </a:cxn>
              <a:cxn ang="0">
                <a:pos x="csX12898" y="csY12898"/>
              </a:cxn>
              <a:cxn ang="0">
                <a:pos x="csX12899" y="csY12899"/>
              </a:cxn>
              <a:cxn ang="0">
                <a:pos x="csX12900" y="csY12900"/>
              </a:cxn>
              <a:cxn ang="0">
                <a:pos x="csX12901" y="csY12901"/>
              </a:cxn>
              <a:cxn ang="0">
                <a:pos x="csX12902" y="csY12902"/>
              </a:cxn>
              <a:cxn ang="0">
                <a:pos x="csX12903" y="csY12903"/>
              </a:cxn>
              <a:cxn ang="0">
                <a:pos x="csX12904" y="csY12904"/>
              </a:cxn>
              <a:cxn ang="0">
                <a:pos x="csX12905" y="csY12905"/>
              </a:cxn>
              <a:cxn ang="0">
                <a:pos x="csX12906" y="csY12906"/>
              </a:cxn>
              <a:cxn ang="0">
                <a:pos x="csX12907" y="csY12907"/>
              </a:cxn>
              <a:cxn ang="0">
                <a:pos x="csX12908" y="csY12908"/>
              </a:cxn>
              <a:cxn ang="0">
                <a:pos x="csX12909" y="csY12909"/>
              </a:cxn>
              <a:cxn ang="0">
                <a:pos x="csX12910" y="csY12910"/>
              </a:cxn>
              <a:cxn ang="0">
                <a:pos x="csX12911" y="csY12911"/>
              </a:cxn>
              <a:cxn ang="0">
                <a:pos x="csX12912" y="csY12912"/>
              </a:cxn>
              <a:cxn ang="0">
                <a:pos x="csX12913" y="csY12913"/>
              </a:cxn>
              <a:cxn ang="0">
                <a:pos x="csX12914" y="csY12914"/>
              </a:cxn>
              <a:cxn ang="0">
                <a:pos x="csX12915" y="csY12915"/>
              </a:cxn>
              <a:cxn ang="0">
                <a:pos x="csX12916" y="csY12916"/>
              </a:cxn>
              <a:cxn ang="0">
                <a:pos x="csX12917" y="csY12917"/>
              </a:cxn>
              <a:cxn ang="0">
                <a:pos x="csX12918" y="csY12918"/>
              </a:cxn>
              <a:cxn ang="0">
                <a:pos x="csX12919" y="csY12919"/>
              </a:cxn>
              <a:cxn ang="0">
                <a:pos x="csX12920" y="csY12920"/>
              </a:cxn>
              <a:cxn ang="0">
                <a:pos x="csX12921" y="csY12921"/>
              </a:cxn>
              <a:cxn ang="0">
                <a:pos x="csX12922" y="csY12922"/>
              </a:cxn>
              <a:cxn ang="0">
                <a:pos x="csX12923" y="csY12923"/>
              </a:cxn>
              <a:cxn ang="0">
                <a:pos x="csX12924" y="csY12924"/>
              </a:cxn>
              <a:cxn ang="0">
                <a:pos x="csX12925" y="csY12925"/>
              </a:cxn>
              <a:cxn ang="0">
                <a:pos x="csX12926" y="csY12926"/>
              </a:cxn>
              <a:cxn ang="0">
                <a:pos x="csX12927" y="csY12927"/>
              </a:cxn>
              <a:cxn ang="0">
                <a:pos x="csX12928" y="csY12928"/>
              </a:cxn>
              <a:cxn ang="0">
                <a:pos x="csX12929" y="csY12929"/>
              </a:cxn>
              <a:cxn ang="0">
                <a:pos x="csX12930" y="csY12930"/>
              </a:cxn>
              <a:cxn ang="0">
                <a:pos x="csX12931" y="csY12931"/>
              </a:cxn>
              <a:cxn ang="0">
                <a:pos x="csX12932" y="csY12932"/>
              </a:cxn>
              <a:cxn ang="0">
                <a:pos x="csX12933" y="csY12933"/>
              </a:cxn>
              <a:cxn ang="0">
                <a:pos x="csX12934" y="csY12934"/>
              </a:cxn>
              <a:cxn ang="0">
                <a:pos x="csX12935" y="csY12935"/>
              </a:cxn>
              <a:cxn ang="0">
                <a:pos x="csX12936" y="csY12936"/>
              </a:cxn>
              <a:cxn ang="0">
                <a:pos x="csX12937" y="csY12937"/>
              </a:cxn>
              <a:cxn ang="0">
                <a:pos x="csX12938" y="csY12938"/>
              </a:cxn>
              <a:cxn ang="0">
                <a:pos x="csX12939" y="csY12939"/>
              </a:cxn>
              <a:cxn ang="0">
                <a:pos x="csX12940" y="csY12940"/>
              </a:cxn>
              <a:cxn ang="0">
                <a:pos x="csX12941" y="csY12941"/>
              </a:cxn>
              <a:cxn ang="0">
                <a:pos x="csX12942" y="csY12942"/>
              </a:cxn>
              <a:cxn ang="0">
                <a:pos x="csX12943" y="csY12943"/>
              </a:cxn>
              <a:cxn ang="0">
                <a:pos x="csX12944" y="csY12944"/>
              </a:cxn>
              <a:cxn ang="0">
                <a:pos x="csX12945" y="csY12945"/>
              </a:cxn>
              <a:cxn ang="0">
                <a:pos x="csX12946" y="csY12946"/>
              </a:cxn>
              <a:cxn ang="0">
                <a:pos x="csX12947" y="csY12947"/>
              </a:cxn>
              <a:cxn ang="0">
                <a:pos x="csX12948" y="csY12948"/>
              </a:cxn>
              <a:cxn ang="0">
                <a:pos x="csX12949" y="csY12949"/>
              </a:cxn>
              <a:cxn ang="0">
                <a:pos x="csX12950" y="csY12950"/>
              </a:cxn>
              <a:cxn ang="0">
                <a:pos x="csX12951" y="csY12951"/>
              </a:cxn>
              <a:cxn ang="0">
                <a:pos x="csX12952" y="csY12952"/>
              </a:cxn>
              <a:cxn ang="0">
                <a:pos x="csX12953" y="csY12953"/>
              </a:cxn>
              <a:cxn ang="0">
                <a:pos x="csX12954" y="csY12954"/>
              </a:cxn>
              <a:cxn ang="0">
                <a:pos x="csX12955" y="csY12955"/>
              </a:cxn>
              <a:cxn ang="0">
                <a:pos x="csX12956" y="csY12956"/>
              </a:cxn>
              <a:cxn ang="0">
                <a:pos x="csX12957" y="csY12957"/>
              </a:cxn>
              <a:cxn ang="0">
                <a:pos x="csX12958" y="csY12958"/>
              </a:cxn>
              <a:cxn ang="0">
                <a:pos x="csX12959" y="csY12959"/>
              </a:cxn>
              <a:cxn ang="0">
                <a:pos x="csX12960" y="csY12960"/>
              </a:cxn>
              <a:cxn ang="0">
                <a:pos x="csX12961" y="csY12961"/>
              </a:cxn>
              <a:cxn ang="0">
                <a:pos x="csX12962" y="csY12962"/>
              </a:cxn>
              <a:cxn ang="0">
                <a:pos x="csX12963" y="csY12963"/>
              </a:cxn>
              <a:cxn ang="0">
                <a:pos x="csX12964" y="csY12964"/>
              </a:cxn>
              <a:cxn ang="0">
                <a:pos x="csX12965" y="csY12965"/>
              </a:cxn>
              <a:cxn ang="0">
                <a:pos x="csX12966" y="csY12966"/>
              </a:cxn>
              <a:cxn ang="0">
                <a:pos x="csX12967" y="csY12967"/>
              </a:cxn>
              <a:cxn ang="0">
                <a:pos x="csX12968" y="csY12968"/>
              </a:cxn>
              <a:cxn ang="0">
                <a:pos x="csX12969" y="csY12969"/>
              </a:cxn>
              <a:cxn ang="0">
                <a:pos x="csX12970" y="csY12970"/>
              </a:cxn>
              <a:cxn ang="0">
                <a:pos x="csX12971" y="csY12971"/>
              </a:cxn>
              <a:cxn ang="0">
                <a:pos x="csX12972" y="csY12972"/>
              </a:cxn>
              <a:cxn ang="0">
                <a:pos x="csX12973" y="csY12973"/>
              </a:cxn>
              <a:cxn ang="0">
                <a:pos x="csX12974" y="csY12974"/>
              </a:cxn>
              <a:cxn ang="0">
                <a:pos x="csX12975" y="csY12975"/>
              </a:cxn>
              <a:cxn ang="0">
                <a:pos x="csX12976" y="csY12976"/>
              </a:cxn>
              <a:cxn ang="0">
                <a:pos x="csX12977" y="csY12977"/>
              </a:cxn>
              <a:cxn ang="0">
                <a:pos x="csX12978" y="csY12978"/>
              </a:cxn>
              <a:cxn ang="0">
                <a:pos x="csX12979" y="csY12979"/>
              </a:cxn>
              <a:cxn ang="0">
                <a:pos x="csX12980" y="csY12980"/>
              </a:cxn>
              <a:cxn ang="0">
                <a:pos x="csX12981" y="csY12981"/>
              </a:cxn>
              <a:cxn ang="0">
                <a:pos x="csX12982" y="csY12982"/>
              </a:cxn>
              <a:cxn ang="0">
                <a:pos x="csX12983" y="csY12983"/>
              </a:cxn>
              <a:cxn ang="0">
                <a:pos x="csX12984" y="csY12984"/>
              </a:cxn>
              <a:cxn ang="0">
                <a:pos x="csX12985" y="csY12985"/>
              </a:cxn>
              <a:cxn ang="0">
                <a:pos x="csX12986" y="csY12986"/>
              </a:cxn>
              <a:cxn ang="0">
                <a:pos x="csX12987" y="csY12987"/>
              </a:cxn>
              <a:cxn ang="0">
                <a:pos x="csX12988" y="csY12988"/>
              </a:cxn>
              <a:cxn ang="0">
                <a:pos x="csX12989" y="csY12989"/>
              </a:cxn>
              <a:cxn ang="0">
                <a:pos x="csX12990" y="csY12990"/>
              </a:cxn>
              <a:cxn ang="0">
                <a:pos x="csX12991" y="csY12991"/>
              </a:cxn>
              <a:cxn ang="0">
                <a:pos x="csX12992" y="csY12992"/>
              </a:cxn>
              <a:cxn ang="0">
                <a:pos x="csX12993" y="csY12993"/>
              </a:cxn>
              <a:cxn ang="0">
                <a:pos x="csX12994" y="csY12994"/>
              </a:cxn>
              <a:cxn ang="0">
                <a:pos x="csX12995" y="csY12995"/>
              </a:cxn>
              <a:cxn ang="0">
                <a:pos x="csX12996" y="csY12996"/>
              </a:cxn>
              <a:cxn ang="0">
                <a:pos x="csX12997" y="csY12997"/>
              </a:cxn>
              <a:cxn ang="0">
                <a:pos x="csX12998" y="csY12998"/>
              </a:cxn>
              <a:cxn ang="0">
                <a:pos x="csX12999" y="csY12999"/>
              </a:cxn>
              <a:cxn ang="0">
                <a:pos x="csX13000" y="csY13000"/>
              </a:cxn>
              <a:cxn ang="0">
                <a:pos x="csX13001" y="csY13001"/>
              </a:cxn>
              <a:cxn ang="0">
                <a:pos x="csX13002" y="csY13002"/>
              </a:cxn>
              <a:cxn ang="0">
                <a:pos x="csX13003" y="csY13003"/>
              </a:cxn>
              <a:cxn ang="0">
                <a:pos x="csX13004" y="csY13004"/>
              </a:cxn>
              <a:cxn ang="0">
                <a:pos x="csX13005" y="csY13005"/>
              </a:cxn>
              <a:cxn ang="0">
                <a:pos x="csX13006" y="csY13006"/>
              </a:cxn>
              <a:cxn ang="0">
                <a:pos x="csX13007" y="csY13007"/>
              </a:cxn>
              <a:cxn ang="0">
                <a:pos x="csX13008" y="csY13008"/>
              </a:cxn>
              <a:cxn ang="0">
                <a:pos x="csX13009" y="csY13009"/>
              </a:cxn>
              <a:cxn ang="0">
                <a:pos x="csX13010" y="csY13010"/>
              </a:cxn>
              <a:cxn ang="0">
                <a:pos x="csX13011" y="csY13011"/>
              </a:cxn>
              <a:cxn ang="0">
                <a:pos x="csX13012" y="csY13012"/>
              </a:cxn>
              <a:cxn ang="0">
                <a:pos x="csX13013" y="csY13013"/>
              </a:cxn>
              <a:cxn ang="0">
                <a:pos x="csX13014" y="csY13014"/>
              </a:cxn>
              <a:cxn ang="0">
                <a:pos x="csX13015" y="csY13015"/>
              </a:cxn>
              <a:cxn ang="0">
                <a:pos x="csX13016" y="csY13016"/>
              </a:cxn>
              <a:cxn ang="0">
                <a:pos x="csX13017" y="csY13017"/>
              </a:cxn>
              <a:cxn ang="0">
                <a:pos x="csX13018" y="csY13018"/>
              </a:cxn>
              <a:cxn ang="0">
                <a:pos x="csX13019" y="csY13019"/>
              </a:cxn>
              <a:cxn ang="0">
                <a:pos x="csX13020" y="csY13020"/>
              </a:cxn>
              <a:cxn ang="0">
                <a:pos x="csX13021" y="csY13021"/>
              </a:cxn>
              <a:cxn ang="0">
                <a:pos x="csX13022" y="csY13022"/>
              </a:cxn>
              <a:cxn ang="0">
                <a:pos x="csX13023" y="csY13023"/>
              </a:cxn>
              <a:cxn ang="0">
                <a:pos x="csX13024" y="csY13024"/>
              </a:cxn>
              <a:cxn ang="0">
                <a:pos x="csX13025" y="csY13025"/>
              </a:cxn>
              <a:cxn ang="0">
                <a:pos x="csX13026" y="csY13026"/>
              </a:cxn>
              <a:cxn ang="0">
                <a:pos x="csX13027" y="csY13027"/>
              </a:cxn>
              <a:cxn ang="0">
                <a:pos x="csX13028" y="csY13028"/>
              </a:cxn>
              <a:cxn ang="0">
                <a:pos x="csX13029" y="csY13029"/>
              </a:cxn>
              <a:cxn ang="0">
                <a:pos x="csX13030" y="csY13030"/>
              </a:cxn>
              <a:cxn ang="0">
                <a:pos x="csX13031" y="csY13031"/>
              </a:cxn>
              <a:cxn ang="0">
                <a:pos x="csX13032" y="csY13032"/>
              </a:cxn>
              <a:cxn ang="0">
                <a:pos x="csX13033" y="csY13033"/>
              </a:cxn>
              <a:cxn ang="0">
                <a:pos x="csX13034" y="csY13034"/>
              </a:cxn>
              <a:cxn ang="0">
                <a:pos x="csX13035" y="csY13035"/>
              </a:cxn>
              <a:cxn ang="0">
                <a:pos x="csX13036" y="csY13036"/>
              </a:cxn>
              <a:cxn ang="0">
                <a:pos x="csX13037" y="csY13037"/>
              </a:cxn>
              <a:cxn ang="0">
                <a:pos x="csX13038" y="csY13038"/>
              </a:cxn>
              <a:cxn ang="0">
                <a:pos x="csX13039" y="csY13039"/>
              </a:cxn>
              <a:cxn ang="0">
                <a:pos x="csX13040" y="csY13040"/>
              </a:cxn>
              <a:cxn ang="0">
                <a:pos x="csX13041" y="csY13041"/>
              </a:cxn>
              <a:cxn ang="0">
                <a:pos x="csX13042" y="csY13042"/>
              </a:cxn>
              <a:cxn ang="0">
                <a:pos x="csX13043" y="csY13043"/>
              </a:cxn>
              <a:cxn ang="0">
                <a:pos x="csX13044" y="csY13044"/>
              </a:cxn>
              <a:cxn ang="0">
                <a:pos x="csX13045" y="csY13045"/>
              </a:cxn>
              <a:cxn ang="0">
                <a:pos x="csX13046" y="csY13046"/>
              </a:cxn>
              <a:cxn ang="0">
                <a:pos x="csX13047" y="csY13047"/>
              </a:cxn>
              <a:cxn ang="0">
                <a:pos x="csX13048" y="csY13048"/>
              </a:cxn>
              <a:cxn ang="0">
                <a:pos x="csX13049" y="csY13049"/>
              </a:cxn>
              <a:cxn ang="0">
                <a:pos x="csX13050" y="csY13050"/>
              </a:cxn>
              <a:cxn ang="0">
                <a:pos x="csX13051" y="csY13051"/>
              </a:cxn>
              <a:cxn ang="0">
                <a:pos x="csX13052" y="csY13052"/>
              </a:cxn>
              <a:cxn ang="0">
                <a:pos x="csX13053" y="csY13053"/>
              </a:cxn>
              <a:cxn ang="0">
                <a:pos x="csX13054" y="csY13054"/>
              </a:cxn>
              <a:cxn ang="0">
                <a:pos x="csX13055" y="csY13055"/>
              </a:cxn>
              <a:cxn ang="0">
                <a:pos x="csX13056" y="csY13056"/>
              </a:cxn>
              <a:cxn ang="0">
                <a:pos x="csX13057" y="csY13057"/>
              </a:cxn>
              <a:cxn ang="0">
                <a:pos x="csX13058" y="csY13058"/>
              </a:cxn>
              <a:cxn ang="0">
                <a:pos x="csX13059" y="csY13059"/>
              </a:cxn>
              <a:cxn ang="0">
                <a:pos x="csX13060" y="csY13060"/>
              </a:cxn>
              <a:cxn ang="0">
                <a:pos x="csX13061" y="csY13061"/>
              </a:cxn>
              <a:cxn ang="0">
                <a:pos x="csX13062" y="csY13062"/>
              </a:cxn>
              <a:cxn ang="0">
                <a:pos x="csX13063" y="csY13063"/>
              </a:cxn>
              <a:cxn ang="0">
                <a:pos x="csX13064" y="csY13064"/>
              </a:cxn>
              <a:cxn ang="0">
                <a:pos x="csX13065" y="csY13065"/>
              </a:cxn>
              <a:cxn ang="0">
                <a:pos x="csX13066" y="csY13066"/>
              </a:cxn>
              <a:cxn ang="0">
                <a:pos x="csX13067" y="csY13067"/>
              </a:cxn>
              <a:cxn ang="0">
                <a:pos x="csX13068" y="csY13068"/>
              </a:cxn>
              <a:cxn ang="0">
                <a:pos x="csX13069" y="csY13069"/>
              </a:cxn>
              <a:cxn ang="0">
                <a:pos x="csX13070" y="csY13070"/>
              </a:cxn>
              <a:cxn ang="0">
                <a:pos x="csX13071" y="csY13071"/>
              </a:cxn>
              <a:cxn ang="0">
                <a:pos x="csX13072" y="csY13072"/>
              </a:cxn>
              <a:cxn ang="0">
                <a:pos x="csX13073" y="csY13073"/>
              </a:cxn>
              <a:cxn ang="0">
                <a:pos x="csX13074" y="csY13074"/>
              </a:cxn>
              <a:cxn ang="0">
                <a:pos x="csX13075" y="csY13075"/>
              </a:cxn>
              <a:cxn ang="0">
                <a:pos x="csX13076" y="csY13076"/>
              </a:cxn>
              <a:cxn ang="0">
                <a:pos x="csX13077" y="csY13077"/>
              </a:cxn>
              <a:cxn ang="0">
                <a:pos x="csX13078" y="csY13078"/>
              </a:cxn>
              <a:cxn ang="0">
                <a:pos x="csX13079" y="csY13079"/>
              </a:cxn>
              <a:cxn ang="0">
                <a:pos x="csX13080" y="csY13080"/>
              </a:cxn>
              <a:cxn ang="0">
                <a:pos x="csX13081" y="csY13081"/>
              </a:cxn>
              <a:cxn ang="0">
                <a:pos x="csX13082" y="csY13082"/>
              </a:cxn>
              <a:cxn ang="0">
                <a:pos x="csX13083" y="csY13083"/>
              </a:cxn>
              <a:cxn ang="0">
                <a:pos x="csX13084" y="csY13084"/>
              </a:cxn>
              <a:cxn ang="0">
                <a:pos x="csX13085" y="csY13085"/>
              </a:cxn>
              <a:cxn ang="0">
                <a:pos x="csX13086" y="csY13086"/>
              </a:cxn>
              <a:cxn ang="0">
                <a:pos x="csX13087" y="csY13087"/>
              </a:cxn>
              <a:cxn ang="0">
                <a:pos x="csX13088" y="csY13088"/>
              </a:cxn>
              <a:cxn ang="0">
                <a:pos x="csX13089" y="csY13089"/>
              </a:cxn>
              <a:cxn ang="0">
                <a:pos x="csX13090" y="csY13090"/>
              </a:cxn>
              <a:cxn ang="0">
                <a:pos x="csX13091" y="csY13091"/>
              </a:cxn>
              <a:cxn ang="0">
                <a:pos x="csX13092" y="csY13092"/>
              </a:cxn>
              <a:cxn ang="0">
                <a:pos x="csX13093" y="csY13093"/>
              </a:cxn>
              <a:cxn ang="0">
                <a:pos x="csX13094" y="csY13094"/>
              </a:cxn>
              <a:cxn ang="0">
                <a:pos x="csX13095" y="csY13095"/>
              </a:cxn>
              <a:cxn ang="0">
                <a:pos x="csX13096" y="csY13096"/>
              </a:cxn>
              <a:cxn ang="0">
                <a:pos x="csX13097" y="csY13097"/>
              </a:cxn>
              <a:cxn ang="0">
                <a:pos x="csX13098" y="csY13098"/>
              </a:cxn>
              <a:cxn ang="0">
                <a:pos x="csX13099" y="csY13099"/>
              </a:cxn>
              <a:cxn ang="0">
                <a:pos x="csX13100" y="csY13100"/>
              </a:cxn>
              <a:cxn ang="0">
                <a:pos x="csX13101" y="csY13101"/>
              </a:cxn>
              <a:cxn ang="0">
                <a:pos x="csX13102" y="csY13102"/>
              </a:cxn>
              <a:cxn ang="0">
                <a:pos x="csX13103" y="csY13103"/>
              </a:cxn>
              <a:cxn ang="0">
                <a:pos x="csX13104" y="csY13104"/>
              </a:cxn>
              <a:cxn ang="0">
                <a:pos x="csX13105" y="csY13105"/>
              </a:cxn>
              <a:cxn ang="0">
                <a:pos x="csX13106" y="csY13106"/>
              </a:cxn>
              <a:cxn ang="0">
                <a:pos x="csX13107" y="csY13107"/>
              </a:cxn>
              <a:cxn ang="0">
                <a:pos x="csX13108" y="csY13108"/>
              </a:cxn>
              <a:cxn ang="0">
                <a:pos x="csX13109" y="csY13109"/>
              </a:cxn>
              <a:cxn ang="0">
                <a:pos x="csX13110" y="csY13110"/>
              </a:cxn>
              <a:cxn ang="0">
                <a:pos x="csX13111" y="csY13111"/>
              </a:cxn>
              <a:cxn ang="0">
                <a:pos x="csX13112" y="csY13112"/>
              </a:cxn>
              <a:cxn ang="0">
                <a:pos x="csX13113" y="csY13113"/>
              </a:cxn>
              <a:cxn ang="0">
                <a:pos x="csX13114" y="csY13114"/>
              </a:cxn>
              <a:cxn ang="0">
                <a:pos x="csX13115" y="csY13115"/>
              </a:cxn>
              <a:cxn ang="0">
                <a:pos x="csX13116" y="csY13116"/>
              </a:cxn>
              <a:cxn ang="0">
                <a:pos x="csX13117" y="csY13117"/>
              </a:cxn>
              <a:cxn ang="0">
                <a:pos x="csX13118" y="csY13118"/>
              </a:cxn>
              <a:cxn ang="0">
                <a:pos x="csX13119" y="csY13119"/>
              </a:cxn>
              <a:cxn ang="0">
                <a:pos x="csX13120" y="csY13120"/>
              </a:cxn>
              <a:cxn ang="0">
                <a:pos x="csX13121" y="csY13121"/>
              </a:cxn>
              <a:cxn ang="0">
                <a:pos x="csX13122" y="csY13122"/>
              </a:cxn>
              <a:cxn ang="0">
                <a:pos x="csX13123" y="csY13123"/>
              </a:cxn>
              <a:cxn ang="0">
                <a:pos x="csX13124" y="csY13124"/>
              </a:cxn>
              <a:cxn ang="0">
                <a:pos x="csX13125" y="csY13125"/>
              </a:cxn>
              <a:cxn ang="0">
                <a:pos x="csX13126" y="csY13126"/>
              </a:cxn>
              <a:cxn ang="0">
                <a:pos x="csX13127" y="csY13127"/>
              </a:cxn>
              <a:cxn ang="0">
                <a:pos x="csX13128" y="csY13128"/>
              </a:cxn>
              <a:cxn ang="0">
                <a:pos x="csX13129" y="csY13129"/>
              </a:cxn>
              <a:cxn ang="0">
                <a:pos x="csX13130" y="csY13130"/>
              </a:cxn>
              <a:cxn ang="0">
                <a:pos x="csX13131" y="csY13131"/>
              </a:cxn>
              <a:cxn ang="0">
                <a:pos x="csX13132" y="csY13132"/>
              </a:cxn>
              <a:cxn ang="0">
                <a:pos x="csX13133" y="csY13133"/>
              </a:cxn>
              <a:cxn ang="0">
                <a:pos x="csX13134" y="csY13134"/>
              </a:cxn>
              <a:cxn ang="0">
                <a:pos x="csX13135" y="csY13135"/>
              </a:cxn>
              <a:cxn ang="0">
                <a:pos x="csX13136" y="csY13136"/>
              </a:cxn>
              <a:cxn ang="0">
                <a:pos x="csX13137" y="csY13137"/>
              </a:cxn>
              <a:cxn ang="0">
                <a:pos x="csX13138" y="csY13138"/>
              </a:cxn>
              <a:cxn ang="0">
                <a:pos x="csX13139" y="csY13139"/>
              </a:cxn>
              <a:cxn ang="0">
                <a:pos x="csX13140" y="csY13140"/>
              </a:cxn>
              <a:cxn ang="0">
                <a:pos x="csX13141" y="csY13141"/>
              </a:cxn>
              <a:cxn ang="0">
                <a:pos x="csX13142" y="csY13142"/>
              </a:cxn>
              <a:cxn ang="0">
                <a:pos x="csX13143" y="csY13143"/>
              </a:cxn>
              <a:cxn ang="0">
                <a:pos x="csX13144" y="csY13144"/>
              </a:cxn>
              <a:cxn ang="0">
                <a:pos x="csX13145" y="csY13145"/>
              </a:cxn>
              <a:cxn ang="0">
                <a:pos x="csX13146" y="csY13146"/>
              </a:cxn>
              <a:cxn ang="0">
                <a:pos x="csX13147" y="csY13147"/>
              </a:cxn>
              <a:cxn ang="0">
                <a:pos x="csX13148" y="csY13148"/>
              </a:cxn>
              <a:cxn ang="0">
                <a:pos x="csX13149" y="csY13149"/>
              </a:cxn>
              <a:cxn ang="0">
                <a:pos x="csX13150" y="csY13150"/>
              </a:cxn>
              <a:cxn ang="0">
                <a:pos x="csX13151" y="csY13151"/>
              </a:cxn>
              <a:cxn ang="0">
                <a:pos x="csX13152" y="csY13152"/>
              </a:cxn>
              <a:cxn ang="0">
                <a:pos x="csX13153" y="csY13153"/>
              </a:cxn>
              <a:cxn ang="0">
                <a:pos x="csX13154" y="csY13154"/>
              </a:cxn>
              <a:cxn ang="0">
                <a:pos x="csX13155" y="csY13155"/>
              </a:cxn>
              <a:cxn ang="0">
                <a:pos x="csX13156" y="csY13156"/>
              </a:cxn>
              <a:cxn ang="0">
                <a:pos x="csX13157" y="csY13157"/>
              </a:cxn>
              <a:cxn ang="0">
                <a:pos x="csX13158" y="csY13158"/>
              </a:cxn>
              <a:cxn ang="0">
                <a:pos x="csX13159" y="csY13159"/>
              </a:cxn>
              <a:cxn ang="0">
                <a:pos x="csX13160" y="csY13160"/>
              </a:cxn>
              <a:cxn ang="0">
                <a:pos x="csX13161" y="csY13161"/>
              </a:cxn>
              <a:cxn ang="0">
                <a:pos x="csX13162" y="csY13162"/>
              </a:cxn>
              <a:cxn ang="0">
                <a:pos x="csX13163" y="csY13163"/>
              </a:cxn>
              <a:cxn ang="0">
                <a:pos x="csX13164" y="csY13164"/>
              </a:cxn>
              <a:cxn ang="0">
                <a:pos x="csX13165" y="csY13165"/>
              </a:cxn>
              <a:cxn ang="0">
                <a:pos x="csX13166" y="csY13166"/>
              </a:cxn>
              <a:cxn ang="0">
                <a:pos x="csX13167" y="csY13167"/>
              </a:cxn>
              <a:cxn ang="0">
                <a:pos x="csX13168" y="csY13168"/>
              </a:cxn>
              <a:cxn ang="0">
                <a:pos x="csX13169" y="csY13169"/>
              </a:cxn>
              <a:cxn ang="0">
                <a:pos x="csX13170" y="csY13170"/>
              </a:cxn>
              <a:cxn ang="0">
                <a:pos x="csX13171" y="csY13171"/>
              </a:cxn>
              <a:cxn ang="0">
                <a:pos x="csX13172" y="csY13172"/>
              </a:cxn>
              <a:cxn ang="0">
                <a:pos x="csX13173" y="csY13173"/>
              </a:cxn>
              <a:cxn ang="0">
                <a:pos x="csX13174" y="csY13174"/>
              </a:cxn>
              <a:cxn ang="0">
                <a:pos x="csX13175" y="csY13175"/>
              </a:cxn>
              <a:cxn ang="0">
                <a:pos x="csX13176" y="csY13176"/>
              </a:cxn>
              <a:cxn ang="0">
                <a:pos x="csX13177" y="csY13177"/>
              </a:cxn>
              <a:cxn ang="0">
                <a:pos x="csX13178" y="csY13178"/>
              </a:cxn>
              <a:cxn ang="0">
                <a:pos x="csX13179" y="csY13179"/>
              </a:cxn>
              <a:cxn ang="0">
                <a:pos x="csX13180" y="csY13180"/>
              </a:cxn>
              <a:cxn ang="0">
                <a:pos x="csX13181" y="csY13181"/>
              </a:cxn>
              <a:cxn ang="0">
                <a:pos x="csX13182" y="csY13182"/>
              </a:cxn>
              <a:cxn ang="0">
                <a:pos x="csX13183" y="csY13183"/>
              </a:cxn>
              <a:cxn ang="0">
                <a:pos x="csX13184" y="csY13184"/>
              </a:cxn>
              <a:cxn ang="0">
                <a:pos x="csX13185" y="csY13185"/>
              </a:cxn>
              <a:cxn ang="0">
                <a:pos x="csX13186" y="csY13186"/>
              </a:cxn>
              <a:cxn ang="0">
                <a:pos x="csX13187" y="csY13187"/>
              </a:cxn>
              <a:cxn ang="0">
                <a:pos x="csX13188" y="csY13188"/>
              </a:cxn>
              <a:cxn ang="0">
                <a:pos x="csX13189" y="csY13189"/>
              </a:cxn>
              <a:cxn ang="0">
                <a:pos x="csX13190" y="csY13190"/>
              </a:cxn>
              <a:cxn ang="0">
                <a:pos x="csX13191" y="csY13191"/>
              </a:cxn>
              <a:cxn ang="0">
                <a:pos x="csX13192" y="csY13192"/>
              </a:cxn>
              <a:cxn ang="0">
                <a:pos x="csX13193" y="csY13193"/>
              </a:cxn>
              <a:cxn ang="0">
                <a:pos x="csX13194" y="csY13194"/>
              </a:cxn>
              <a:cxn ang="0">
                <a:pos x="csX13195" y="csY13195"/>
              </a:cxn>
              <a:cxn ang="0">
                <a:pos x="csX13196" y="csY13196"/>
              </a:cxn>
              <a:cxn ang="0">
                <a:pos x="csX13197" y="csY13197"/>
              </a:cxn>
              <a:cxn ang="0">
                <a:pos x="csX13198" y="csY13198"/>
              </a:cxn>
              <a:cxn ang="0">
                <a:pos x="csX13199" y="csY13199"/>
              </a:cxn>
              <a:cxn ang="0">
                <a:pos x="csX13200" y="csY13200"/>
              </a:cxn>
              <a:cxn ang="0">
                <a:pos x="csX13201" y="csY13201"/>
              </a:cxn>
              <a:cxn ang="0">
                <a:pos x="csX13202" y="csY13202"/>
              </a:cxn>
              <a:cxn ang="0">
                <a:pos x="csX13203" y="csY13203"/>
              </a:cxn>
              <a:cxn ang="0">
                <a:pos x="csX13204" y="csY13204"/>
              </a:cxn>
              <a:cxn ang="0">
                <a:pos x="csX13205" y="csY13205"/>
              </a:cxn>
              <a:cxn ang="0">
                <a:pos x="csX13206" y="csY13206"/>
              </a:cxn>
              <a:cxn ang="0">
                <a:pos x="csX13207" y="csY13207"/>
              </a:cxn>
              <a:cxn ang="0">
                <a:pos x="csX13208" y="csY13208"/>
              </a:cxn>
              <a:cxn ang="0">
                <a:pos x="csX13209" y="csY13209"/>
              </a:cxn>
              <a:cxn ang="0">
                <a:pos x="csX13210" y="csY13210"/>
              </a:cxn>
              <a:cxn ang="0">
                <a:pos x="csX13211" y="csY13211"/>
              </a:cxn>
              <a:cxn ang="0">
                <a:pos x="csX13212" y="csY13212"/>
              </a:cxn>
              <a:cxn ang="0">
                <a:pos x="csX13213" y="csY13213"/>
              </a:cxn>
              <a:cxn ang="0">
                <a:pos x="csX13214" y="csY13214"/>
              </a:cxn>
              <a:cxn ang="0">
                <a:pos x="csX13215" y="csY13215"/>
              </a:cxn>
              <a:cxn ang="0">
                <a:pos x="csX13216" y="csY13216"/>
              </a:cxn>
              <a:cxn ang="0">
                <a:pos x="csX13217" y="csY13217"/>
              </a:cxn>
              <a:cxn ang="0">
                <a:pos x="csX13218" y="csY13218"/>
              </a:cxn>
              <a:cxn ang="0">
                <a:pos x="csX13219" y="csY13219"/>
              </a:cxn>
              <a:cxn ang="0">
                <a:pos x="csX13220" y="csY13220"/>
              </a:cxn>
              <a:cxn ang="0">
                <a:pos x="csX13221" y="csY13221"/>
              </a:cxn>
              <a:cxn ang="0">
                <a:pos x="csX13222" y="csY13222"/>
              </a:cxn>
              <a:cxn ang="0">
                <a:pos x="csX13223" y="csY13223"/>
              </a:cxn>
              <a:cxn ang="0">
                <a:pos x="csX13224" y="csY13224"/>
              </a:cxn>
              <a:cxn ang="0">
                <a:pos x="csX13225" y="csY13225"/>
              </a:cxn>
              <a:cxn ang="0">
                <a:pos x="csX13226" y="csY13226"/>
              </a:cxn>
              <a:cxn ang="0">
                <a:pos x="csX13227" y="csY13227"/>
              </a:cxn>
              <a:cxn ang="0">
                <a:pos x="csX13228" y="csY13228"/>
              </a:cxn>
              <a:cxn ang="0">
                <a:pos x="csX13229" y="csY13229"/>
              </a:cxn>
              <a:cxn ang="0">
                <a:pos x="csX13230" y="csY13230"/>
              </a:cxn>
              <a:cxn ang="0">
                <a:pos x="csX13231" y="csY13231"/>
              </a:cxn>
              <a:cxn ang="0">
                <a:pos x="csX13232" y="csY13232"/>
              </a:cxn>
              <a:cxn ang="0">
                <a:pos x="csX13233" y="csY13233"/>
              </a:cxn>
              <a:cxn ang="0">
                <a:pos x="csX13234" y="csY13234"/>
              </a:cxn>
              <a:cxn ang="0">
                <a:pos x="csX13235" y="csY13235"/>
              </a:cxn>
              <a:cxn ang="0">
                <a:pos x="csX13236" y="csY13236"/>
              </a:cxn>
              <a:cxn ang="0">
                <a:pos x="csX13237" y="csY13237"/>
              </a:cxn>
              <a:cxn ang="0">
                <a:pos x="csX13238" y="csY13238"/>
              </a:cxn>
              <a:cxn ang="0">
                <a:pos x="csX13239" y="csY13239"/>
              </a:cxn>
              <a:cxn ang="0">
                <a:pos x="csX13240" y="csY13240"/>
              </a:cxn>
              <a:cxn ang="0">
                <a:pos x="csX13241" y="csY13241"/>
              </a:cxn>
              <a:cxn ang="0">
                <a:pos x="csX13242" y="csY13242"/>
              </a:cxn>
              <a:cxn ang="0">
                <a:pos x="csX13243" y="csY13243"/>
              </a:cxn>
              <a:cxn ang="0">
                <a:pos x="csX13244" y="csY13244"/>
              </a:cxn>
              <a:cxn ang="0">
                <a:pos x="csX13245" y="csY13245"/>
              </a:cxn>
              <a:cxn ang="0">
                <a:pos x="csX13246" y="csY13246"/>
              </a:cxn>
              <a:cxn ang="0">
                <a:pos x="csX13247" y="csY13247"/>
              </a:cxn>
              <a:cxn ang="0">
                <a:pos x="csX13248" y="csY13248"/>
              </a:cxn>
              <a:cxn ang="0">
                <a:pos x="csX13249" y="csY13249"/>
              </a:cxn>
              <a:cxn ang="0">
                <a:pos x="csX13250" y="csY13250"/>
              </a:cxn>
              <a:cxn ang="0">
                <a:pos x="csX13251" y="csY13251"/>
              </a:cxn>
              <a:cxn ang="0">
                <a:pos x="csX13252" y="csY13252"/>
              </a:cxn>
              <a:cxn ang="0">
                <a:pos x="csX13253" y="csY13253"/>
              </a:cxn>
              <a:cxn ang="0">
                <a:pos x="csX13254" y="csY13254"/>
              </a:cxn>
              <a:cxn ang="0">
                <a:pos x="csX13255" y="csY13255"/>
              </a:cxn>
              <a:cxn ang="0">
                <a:pos x="csX13256" y="csY13256"/>
              </a:cxn>
              <a:cxn ang="0">
                <a:pos x="csX13257" y="csY13257"/>
              </a:cxn>
              <a:cxn ang="0">
                <a:pos x="csX13258" y="csY13258"/>
              </a:cxn>
              <a:cxn ang="0">
                <a:pos x="csX13259" y="csY13259"/>
              </a:cxn>
              <a:cxn ang="0">
                <a:pos x="csX13260" y="csY13260"/>
              </a:cxn>
              <a:cxn ang="0">
                <a:pos x="csX13261" y="csY13261"/>
              </a:cxn>
              <a:cxn ang="0">
                <a:pos x="csX13262" y="csY13262"/>
              </a:cxn>
              <a:cxn ang="0">
                <a:pos x="csX13263" y="csY13263"/>
              </a:cxn>
              <a:cxn ang="0">
                <a:pos x="csX13264" y="csY13264"/>
              </a:cxn>
              <a:cxn ang="0">
                <a:pos x="csX13265" y="csY13265"/>
              </a:cxn>
              <a:cxn ang="0">
                <a:pos x="csX13266" y="csY13266"/>
              </a:cxn>
              <a:cxn ang="0">
                <a:pos x="csX13267" y="csY13267"/>
              </a:cxn>
              <a:cxn ang="0">
                <a:pos x="csX13268" y="csY13268"/>
              </a:cxn>
              <a:cxn ang="0">
                <a:pos x="csX13269" y="csY13269"/>
              </a:cxn>
              <a:cxn ang="0">
                <a:pos x="csX13270" y="csY13270"/>
              </a:cxn>
              <a:cxn ang="0">
                <a:pos x="csX13271" y="csY13271"/>
              </a:cxn>
              <a:cxn ang="0">
                <a:pos x="csX13272" y="csY13272"/>
              </a:cxn>
              <a:cxn ang="0">
                <a:pos x="csX13273" y="csY13273"/>
              </a:cxn>
              <a:cxn ang="0">
                <a:pos x="csX13274" y="csY13274"/>
              </a:cxn>
              <a:cxn ang="0">
                <a:pos x="csX13275" y="csY13275"/>
              </a:cxn>
              <a:cxn ang="0">
                <a:pos x="csX13276" y="csY13276"/>
              </a:cxn>
              <a:cxn ang="0">
                <a:pos x="csX13277" y="csY13277"/>
              </a:cxn>
              <a:cxn ang="0">
                <a:pos x="csX13278" y="csY13278"/>
              </a:cxn>
              <a:cxn ang="0">
                <a:pos x="csX13279" y="csY13279"/>
              </a:cxn>
              <a:cxn ang="0">
                <a:pos x="csX13280" y="csY13280"/>
              </a:cxn>
              <a:cxn ang="0">
                <a:pos x="csX13281" y="csY13281"/>
              </a:cxn>
              <a:cxn ang="0">
                <a:pos x="csX13282" y="csY13282"/>
              </a:cxn>
              <a:cxn ang="0">
                <a:pos x="csX13283" y="csY13283"/>
              </a:cxn>
              <a:cxn ang="0">
                <a:pos x="csX13284" y="csY13284"/>
              </a:cxn>
              <a:cxn ang="0">
                <a:pos x="csX13285" y="csY13285"/>
              </a:cxn>
              <a:cxn ang="0">
                <a:pos x="csX13286" y="csY13286"/>
              </a:cxn>
              <a:cxn ang="0">
                <a:pos x="csX13287" y="csY13287"/>
              </a:cxn>
              <a:cxn ang="0">
                <a:pos x="csX13288" y="csY13288"/>
              </a:cxn>
              <a:cxn ang="0">
                <a:pos x="csX13289" y="csY13289"/>
              </a:cxn>
              <a:cxn ang="0">
                <a:pos x="csX13290" y="csY13290"/>
              </a:cxn>
              <a:cxn ang="0">
                <a:pos x="csX13291" y="csY13291"/>
              </a:cxn>
              <a:cxn ang="0">
                <a:pos x="csX13292" y="csY13292"/>
              </a:cxn>
              <a:cxn ang="0">
                <a:pos x="csX13293" y="csY13293"/>
              </a:cxn>
              <a:cxn ang="0">
                <a:pos x="csX13294" y="csY13294"/>
              </a:cxn>
              <a:cxn ang="0">
                <a:pos x="csX13295" y="csY13295"/>
              </a:cxn>
              <a:cxn ang="0">
                <a:pos x="csX13296" y="csY13296"/>
              </a:cxn>
              <a:cxn ang="0">
                <a:pos x="csX13297" y="csY13297"/>
              </a:cxn>
              <a:cxn ang="0">
                <a:pos x="csX13298" y="csY13298"/>
              </a:cxn>
              <a:cxn ang="0">
                <a:pos x="csX13299" y="csY13299"/>
              </a:cxn>
              <a:cxn ang="0">
                <a:pos x="csX13300" y="csY13300"/>
              </a:cxn>
              <a:cxn ang="0">
                <a:pos x="csX13301" y="csY13301"/>
              </a:cxn>
              <a:cxn ang="0">
                <a:pos x="csX13302" y="csY13302"/>
              </a:cxn>
              <a:cxn ang="0">
                <a:pos x="csX13303" y="csY13303"/>
              </a:cxn>
              <a:cxn ang="0">
                <a:pos x="csX13304" y="csY13304"/>
              </a:cxn>
              <a:cxn ang="0">
                <a:pos x="csX13305" y="csY13305"/>
              </a:cxn>
              <a:cxn ang="0">
                <a:pos x="csX13306" y="csY13306"/>
              </a:cxn>
              <a:cxn ang="0">
                <a:pos x="csX13307" y="csY13307"/>
              </a:cxn>
              <a:cxn ang="0">
                <a:pos x="csX13308" y="csY13308"/>
              </a:cxn>
              <a:cxn ang="0">
                <a:pos x="csX13309" y="csY13309"/>
              </a:cxn>
              <a:cxn ang="0">
                <a:pos x="csX13310" y="csY13310"/>
              </a:cxn>
              <a:cxn ang="0">
                <a:pos x="csX13311" y="csY13311"/>
              </a:cxn>
              <a:cxn ang="0">
                <a:pos x="csX13312" y="csY13312"/>
              </a:cxn>
              <a:cxn ang="0">
                <a:pos x="csX13313" y="csY13313"/>
              </a:cxn>
              <a:cxn ang="0">
                <a:pos x="csX13314" y="csY13314"/>
              </a:cxn>
              <a:cxn ang="0">
                <a:pos x="csX13315" y="csY13315"/>
              </a:cxn>
              <a:cxn ang="0">
                <a:pos x="csX13316" y="csY13316"/>
              </a:cxn>
              <a:cxn ang="0">
                <a:pos x="csX13317" y="csY13317"/>
              </a:cxn>
              <a:cxn ang="0">
                <a:pos x="csX13318" y="csY13318"/>
              </a:cxn>
              <a:cxn ang="0">
                <a:pos x="csX13319" y="csY13319"/>
              </a:cxn>
              <a:cxn ang="0">
                <a:pos x="csX13320" y="csY13320"/>
              </a:cxn>
              <a:cxn ang="0">
                <a:pos x="csX13321" y="csY13321"/>
              </a:cxn>
              <a:cxn ang="0">
                <a:pos x="csX13322" y="csY13322"/>
              </a:cxn>
              <a:cxn ang="0">
                <a:pos x="csX13323" y="csY13323"/>
              </a:cxn>
              <a:cxn ang="0">
                <a:pos x="csX13324" y="csY13324"/>
              </a:cxn>
              <a:cxn ang="0">
                <a:pos x="csX13325" y="csY13325"/>
              </a:cxn>
              <a:cxn ang="0">
                <a:pos x="csX13326" y="csY13326"/>
              </a:cxn>
              <a:cxn ang="0">
                <a:pos x="csX13327" y="csY13327"/>
              </a:cxn>
              <a:cxn ang="0">
                <a:pos x="csX13328" y="csY13328"/>
              </a:cxn>
              <a:cxn ang="0">
                <a:pos x="csX13329" y="csY13329"/>
              </a:cxn>
              <a:cxn ang="0">
                <a:pos x="csX13330" y="csY13330"/>
              </a:cxn>
              <a:cxn ang="0">
                <a:pos x="csX13331" y="csY13331"/>
              </a:cxn>
              <a:cxn ang="0">
                <a:pos x="csX13332" y="csY13332"/>
              </a:cxn>
              <a:cxn ang="0">
                <a:pos x="csX13333" y="csY13333"/>
              </a:cxn>
              <a:cxn ang="0">
                <a:pos x="csX13334" y="csY13334"/>
              </a:cxn>
              <a:cxn ang="0">
                <a:pos x="csX13335" y="csY13335"/>
              </a:cxn>
              <a:cxn ang="0">
                <a:pos x="csX13336" y="csY13336"/>
              </a:cxn>
              <a:cxn ang="0">
                <a:pos x="csX13337" y="csY13337"/>
              </a:cxn>
              <a:cxn ang="0">
                <a:pos x="csX13338" y="csY13338"/>
              </a:cxn>
              <a:cxn ang="0">
                <a:pos x="csX13339" y="csY13339"/>
              </a:cxn>
              <a:cxn ang="0">
                <a:pos x="csX13340" y="csY13340"/>
              </a:cxn>
              <a:cxn ang="0">
                <a:pos x="csX13341" y="csY13341"/>
              </a:cxn>
              <a:cxn ang="0">
                <a:pos x="csX13342" y="csY13342"/>
              </a:cxn>
              <a:cxn ang="0">
                <a:pos x="csX13343" y="csY13343"/>
              </a:cxn>
              <a:cxn ang="0">
                <a:pos x="csX13344" y="csY13344"/>
              </a:cxn>
              <a:cxn ang="0">
                <a:pos x="csX13345" y="csY13345"/>
              </a:cxn>
              <a:cxn ang="0">
                <a:pos x="csX13346" y="csY13346"/>
              </a:cxn>
              <a:cxn ang="0">
                <a:pos x="csX13347" y="csY13347"/>
              </a:cxn>
              <a:cxn ang="0">
                <a:pos x="csX13348" y="csY13348"/>
              </a:cxn>
              <a:cxn ang="0">
                <a:pos x="csX13349" y="csY13349"/>
              </a:cxn>
              <a:cxn ang="0">
                <a:pos x="csX13350" y="csY13350"/>
              </a:cxn>
              <a:cxn ang="0">
                <a:pos x="csX13351" y="csY13351"/>
              </a:cxn>
              <a:cxn ang="0">
                <a:pos x="csX13352" y="csY13352"/>
              </a:cxn>
              <a:cxn ang="0">
                <a:pos x="csX13353" y="csY13353"/>
              </a:cxn>
              <a:cxn ang="0">
                <a:pos x="csX13354" y="csY13354"/>
              </a:cxn>
              <a:cxn ang="0">
                <a:pos x="csX13355" y="csY13355"/>
              </a:cxn>
              <a:cxn ang="0">
                <a:pos x="csX13356" y="csY13356"/>
              </a:cxn>
              <a:cxn ang="0">
                <a:pos x="csX13357" y="csY13357"/>
              </a:cxn>
              <a:cxn ang="0">
                <a:pos x="csX13358" y="csY13358"/>
              </a:cxn>
              <a:cxn ang="0">
                <a:pos x="csX13359" y="csY13359"/>
              </a:cxn>
              <a:cxn ang="0">
                <a:pos x="csX13360" y="csY13360"/>
              </a:cxn>
              <a:cxn ang="0">
                <a:pos x="csX13361" y="csY13361"/>
              </a:cxn>
              <a:cxn ang="0">
                <a:pos x="csX13362" y="csY13362"/>
              </a:cxn>
              <a:cxn ang="0">
                <a:pos x="csX13363" y="csY13363"/>
              </a:cxn>
              <a:cxn ang="0">
                <a:pos x="csX13364" y="csY13364"/>
              </a:cxn>
              <a:cxn ang="0">
                <a:pos x="csX13365" y="csY13365"/>
              </a:cxn>
              <a:cxn ang="0">
                <a:pos x="csX13366" y="csY13366"/>
              </a:cxn>
              <a:cxn ang="0">
                <a:pos x="csX13367" y="csY13367"/>
              </a:cxn>
              <a:cxn ang="0">
                <a:pos x="csX13368" y="csY13368"/>
              </a:cxn>
              <a:cxn ang="0">
                <a:pos x="csX13369" y="csY13369"/>
              </a:cxn>
              <a:cxn ang="0">
                <a:pos x="csX13370" y="csY13370"/>
              </a:cxn>
              <a:cxn ang="0">
                <a:pos x="csX13371" y="csY13371"/>
              </a:cxn>
              <a:cxn ang="0">
                <a:pos x="csX13372" y="csY13372"/>
              </a:cxn>
              <a:cxn ang="0">
                <a:pos x="csX13373" y="csY13373"/>
              </a:cxn>
              <a:cxn ang="0">
                <a:pos x="csX13374" y="csY13374"/>
              </a:cxn>
              <a:cxn ang="0">
                <a:pos x="csX13375" y="csY13375"/>
              </a:cxn>
              <a:cxn ang="0">
                <a:pos x="csX13376" y="csY13376"/>
              </a:cxn>
              <a:cxn ang="0">
                <a:pos x="csX13377" y="csY13377"/>
              </a:cxn>
              <a:cxn ang="0">
                <a:pos x="csX13378" y="csY13378"/>
              </a:cxn>
              <a:cxn ang="0">
                <a:pos x="csX13379" y="csY13379"/>
              </a:cxn>
              <a:cxn ang="0">
                <a:pos x="csX13380" y="csY13380"/>
              </a:cxn>
              <a:cxn ang="0">
                <a:pos x="csX13381" y="csY13381"/>
              </a:cxn>
              <a:cxn ang="0">
                <a:pos x="csX13382" y="csY13382"/>
              </a:cxn>
              <a:cxn ang="0">
                <a:pos x="csX13383" y="csY13383"/>
              </a:cxn>
              <a:cxn ang="0">
                <a:pos x="csX13384" y="csY13384"/>
              </a:cxn>
              <a:cxn ang="0">
                <a:pos x="csX13385" y="csY13385"/>
              </a:cxn>
              <a:cxn ang="0">
                <a:pos x="csX13386" y="csY13386"/>
              </a:cxn>
              <a:cxn ang="0">
                <a:pos x="csX13387" y="csY13387"/>
              </a:cxn>
              <a:cxn ang="0">
                <a:pos x="csX13388" y="csY13388"/>
              </a:cxn>
              <a:cxn ang="0">
                <a:pos x="csX13389" y="csY13389"/>
              </a:cxn>
              <a:cxn ang="0">
                <a:pos x="csX13390" y="csY13390"/>
              </a:cxn>
              <a:cxn ang="0">
                <a:pos x="csX13391" y="csY13391"/>
              </a:cxn>
              <a:cxn ang="0">
                <a:pos x="csX13392" y="csY13392"/>
              </a:cxn>
              <a:cxn ang="0">
                <a:pos x="csX13393" y="csY13393"/>
              </a:cxn>
              <a:cxn ang="0">
                <a:pos x="csX13394" y="csY13394"/>
              </a:cxn>
              <a:cxn ang="0">
                <a:pos x="csX13395" y="csY13395"/>
              </a:cxn>
              <a:cxn ang="0">
                <a:pos x="csX13396" y="csY13396"/>
              </a:cxn>
              <a:cxn ang="0">
                <a:pos x="csX13397" y="csY13397"/>
              </a:cxn>
              <a:cxn ang="0">
                <a:pos x="csX13398" y="csY13398"/>
              </a:cxn>
              <a:cxn ang="0">
                <a:pos x="csX13399" y="csY13399"/>
              </a:cxn>
              <a:cxn ang="0">
                <a:pos x="csX13400" y="csY13400"/>
              </a:cxn>
              <a:cxn ang="0">
                <a:pos x="csX13401" y="csY13401"/>
              </a:cxn>
              <a:cxn ang="0">
                <a:pos x="csX13402" y="csY13402"/>
              </a:cxn>
              <a:cxn ang="0">
                <a:pos x="csX13403" y="csY13403"/>
              </a:cxn>
              <a:cxn ang="0">
                <a:pos x="csX13404" y="csY13404"/>
              </a:cxn>
              <a:cxn ang="0">
                <a:pos x="csX13405" y="csY13405"/>
              </a:cxn>
              <a:cxn ang="0">
                <a:pos x="csX13406" y="csY13406"/>
              </a:cxn>
              <a:cxn ang="0">
                <a:pos x="csX13407" y="csY13407"/>
              </a:cxn>
              <a:cxn ang="0">
                <a:pos x="csX13408" y="csY13408"/>
              </a:cxn>
              <a:cxn ang="0">
                <a:pos x="csX13409" y="csY13409"/>
              </a:cxn>
              <a:cxn ang="0">
                <a:pos x="csX13410" y="csY13410"/>
              </a:cxn>
              <a:cxn ang="0">
                <a:pos x="csX13411" y="csY13411"/>
              </a:cxn>
              <a:cxn ang="0">
                <a:pos x="csX13412" y="csY13412"/>
              </a:cxn>
              <a:cxn ang="0">
                <a:pos x="csX13413" y="csY13413"/>
              </a:cxn>
              <a:cxn ang="0">
                <a:pos x="csX13414" y="csY13414"/>
              </a:cxn>
              <a:cxn ang="0">
                <a:pos x="csX13415" y="csY13415"/>
              </a:cxn>
              <a:cxn ang="0">
                <a:pos x="csX13416" y="csY13416"/>
              </a:cxn>
              <a:cxn ang="0">
                <a:pos x="csX13417" y="csY13417"/>
              </a:cxn>
              <a:cxn ang="0">
                <a:pos x="csX13418" y="csY13418"/>
              </a:cxn>
              <a:cxn ang="0">
                <a:pos x="csX13419" y="csY13419"/>
              </a:cxn>
              <a:cxn ang="0">
                <a:pos x="csX13420" y="csY13420"/>
              </a:cxn>
              <a:cxn ang="0">
                <a:pos x="csX13421" y="csY13421"/>
              </a:cxn>
              <a:cxn ang="0">
                <a:pos x="csX13422" y="csY13422"/>
              </a:cxn>
              <a:cxn ang="0">
                <a:pos x="csX13423" y="csY13423"/>
              </a:cxn>
              <a:cxn ang="0">
                <a:pos x="csX13424" y="csY13424"/>
              </a:cxn>
              <a:cxn ang="0">
                <a:pos x="csX13425" y="csY13425"/>
              </a:cxn>
              <a:cxn ang="0">
                <a:pos x="csX13426" y="csY13426"/>
              </a:cxn>
              <a:cxn ang="0">
                <a:pos x="csX13427" y="csY13427"/>
              </a:cxn>
              <a:cxn ang="0">
                <a:pos x="csX13428" y="csY13428"/>
              </a:cxn>
              <a:cxn ang="0">
                <a:pos x="csX13429" y="csY13429"/>
              </a:cxn>
              <a:cxn ang="0">
                <a:pos x="csX13430" y="csY13430"/>
              </a:cxn>
              <a:cxn ang="0">
                <a:pos x="csX13431" y="csY13431"/>
              </a:cxn>
              <a:cxn ang="0">
                <a:pos x="csX13432" y="csY13432"/>
              </a:cxn>
              <a:cxn ang="0">
                <a:pos x="csX13433" y="csY13433"/>
              </a:cxn>
              <a:cxn ang="0">
                <a:pos x="csX13434" y="csY13434"/>
              </a:cxn>
              <a:cxn ang="0">
                <a:pos x="csX13435" y="csY13435"/>
              </a:cxn>
              <a:cxn ang="0">
                <a:pos x="csX13436" y="csY13436"/>
              </a:cxn>
              <a:cxn ang="0">
                <a:pos x="csX13437" y="csY13437"/>
              </a:cxn>
              <a:cxn ang="0">
                <a:pos x="csX13438" y="csY13438"/>
              </a:cxn>
              <a:cxn ang="0">
                <a:pos x="csX13439" y="csY13439"/>
              </a:cxn>
              <a:cxn ang="0">
                <a:pos x="csX13440" y="csY13440"/>
              </a:cxn>
              <a:cxn ang="0">
                <a:pos x="csX13441" y="csY13441"/>
              </a:cxn>
              <a:cxn ang="0">
                <a:pos x="csX13442" y="csY13442"/>
              </a:cxn>
              <a:cxn ang="0">
                <a:pos x="csX13443" y="csY13443"/>
              </a:cxn>
              <a:cxn ang="0">
                <a:pos x="csX13444" y="csY13444"/>
              </a:cxn>
              <a:cxn ang="0">
                <a:pos x="csX13445" y="csY13445"/>
              </a:cxn>
              <a:cxn ang="0">
                <a:pos x="csX13446" y="csY13446"/>
              </a:cxn>
              <a:cxn ang="0">
                <a:pos x="csX13447" y="csY13447"/>
              </a:cxn>
              <a:cxn ang="0">
                <a:pos x="csX13448" y="csY13448"/>
              </a:cxn>
              <a:cxn ang="0">
                <a:pos x="csX13449" y="csY13449"/>
              </a:cxn>
              <a:cxn ang="0">
                <a:pos x="csX13450" y="csY13450"/>
              </a:cxn>
              <a:cxn ang="0">
                <a:pos x="csX13451" y="csY13451"/>
              </a:cxn>
              <a:cxn ang="0">
                <a:pos x="csX13452" y="csY13452"/>
              </a:cxn>
              <a:cxn ang="0">
                <a:pos x="csX13453" y="csY13453"/>
              </a:cxn>
              <a:cxn ang="0">
                <a:pos x="csX13454" y="csY13454"/>
              </a:cxn>
              <a:cxn ang="0">
                <a:pos x="csX13455" y="csY13455"/>
              </a:cxn>
              <a:cxn ang="0">
                <a:pos x="csX13456" y="csY13456"/>
              </a:cxn>
              <a:cxn ang="0">
                <a:pos x="csX13457" y="csY13457"/>
              </a:cxn>
              <a:cxn ang="0">
                <a:pos x="csX13458" y="csY13458"/>
              </a:cxn>
              <a:cxn ang="0">
                <a:pos x="csX13459" y="csY13459"/>
              </a:cxn>
              <a:cxn ang="0">
                <a:pos x="csX13460" y="csY13460"/>
              </a:cxn>
              <a:cxn ang="0">
                <a:pos x="csX13461" y="csY13461"/>
              </a:cxn>
              <a:cxn ang="0">
                <a:pos x="csX13462" y="csY13462"/>
              </a:cxn>
              <a:cxn ang="0">
                <a:pos x="csX13463" y="csY13463"/>
              </a:cxn>
              <a:cxn ang="0">
                <a:pos x="csX13464" y="csY13464"/>
              </a:cxn>
              <a:cxn ang="0">
                <a:pos x="csX13465" y="csY13465"/>
              </a:cxn>
              <a:cxn ang="0">
                <a:pos x="csX13466" y="csY13466"/>
              </a:cxn>
              <a:cxn ang="0">
                <a:pos x="csX13467" y="csY13467"/>
              </a:cxn>
              <a:cxn ang="0">
                <a:pos x="csX13468" y="csY13468"/>
              </a:cxn>
              <a:cxn ang="0">
                <a:pos x="csX13469" y="csY13469"/>
              </a:cxn>
              <a:cxn ang="0">
                <a:pos x="csX13470" y="csY13470"/>
              </a:cxn>
              <a:cxn ang="0">
                <a:pos x="csX13471" y="csY13471"/>
              </a:cxn>
              <a:cxn ang="0">
                <a:pos x="csX13472" y="csY13472"/>
              </a:cxn>
              <a:cxn ang="0">
                <a:pos x="csX13473" y="csY13473"/>
              </a:cxn>
              <a:cxn ang="0">
                <a:pos x="csX13474" y="csY13474"/>
              </a:cxn>
              <a:cxn ang="0">
                <a:pos x="csX13475" y="csY13475"/>
              </a:cxn>
              <a:cxn ang="0">
                <a:pos x="csX13476" y="csY13476"/>
              </a:cxn>
              <a:cxn ang="0">
                <a:pos x="csX13477" y="csY13477"/>
              </a:cxn>
              <a:cxn ang="0">
                <a:pos x="csX13478" y="csY13478"/>
              </a:cxn>
              <a:cxn ang="0">
                <a:pos x="csX13479" y="csY13479"/>
              </a:cxn>
              <a:cxn ang="0">
                <a:pos x="csX13480" y="csY13480"/>
              </a:cxn>
              <a:cxn ang="0">
                <a:pos x="csX13481" y="csY13481"/>
              </a:cxn>
              <a:cxn ang="0">
                <a:pos x="csX13482" y="csY13482"/>
              </a:cxn>
              <a:cxn ang="0">
                <a:pos x="csX13483" y="csY13483"/>
              </a:cxn>
              <a:cxn ang="0">
                <a:pos x="csX13484" y="csY13484"/>
              </a:cxn>
              <a:cxn ang="0">
                <a:pos x="csX13485" y="csY13485"/>
              </a:cxn>
              <a:cxn ang="0">
                <a:pos x="csX13486" y="csY13486"/>
              </a:cxn>
              <a:cxn ang="0">
                <a:pos x="csX13487" y="csY13487"/>
              </a:cxn>
              <a:cxn ang="0">
                <a:pos x="csX13488" y="csY13488"/>
              </a:cxn>
              <a:cxn ang="0">
                <a:pos x="csX13489" y="csY13489"/>
              </a:cxn>
              <a:cxn ang="0">
                <a:pos x="csX13490" y="csY13490"/>
              </a:cxn>
              <a:cxn ang="0">
                <a:pos x="csX13491" y="csY13491"/>
              </a:cxn>
              <a:cxn ang="0">
                <a:pos x="csX13492" y="csY13492"/>
              </a:cxn>
              <a:cxn ang="0">
                <a:pos x="csX13493" y="csY13493"/>
              </a:cxn>
              <a:cxn ang="0">
                <a:pos x="csX13494" y="csY13494"/>
              </a:cxn>
              <a:cxn ang="0">
                <a:pos x="csX13495" y="csY13495"/>
              </a:cxn>
              <a:cxn ang="0">
                <a:pos x="csX13496" y="csY13496"/>
              </a:cxn>
              <a:cxn ang="0">
                <a:pos x="csX13497" y="csY13497"/>
              </a:cxn>
              <a:cxn ang="0">
                <a:pos x="csX13498" y="csY13498"/>
              </a:cxn>
              <a:cxn ang="0">
                <a:pos x="csX13499" y="csY13499"/>
              </a:cxn>
              <a:cxn ang="0">
                <a:pos x="csX13500" y="csY13500"/>
              </a:cxn>
              <a:cxn ang="0">
                <a:pos x="csX13501" y="csY13501"/>
              </a:cxn>
              <a:cxn ang="0">
                <a:pos x="csX13502" y="csY13502"/>
              </a:cxn>
              <a:cxn ang="0">
                <a:pos x="csX13503" y="csY13503"/>
              </a:cxn>
              <a:cxn ang="0">
                <a:pos x="csX13504" y="csY13504"/>
              </a:cxn>
              <a:cxn ang="0">
                <a:pos x="csX13505" y="csY13505"/>
              </a:cxn>
              <a:cxn ang="0">
                <a:pos x="csX13506" y="csY13506"/>
              </a:cxn>
              <a:cxn ang="0">
                <a:pos x="csX13507" y="csY13507"/>
              </a:cxn>
              <a:cxn ang="0">
                <a:pos x="csX13508" y="csY13508"/>
              </a:cxn>
              <a:cxn ang="0">
                <a:pos x="csX13509" y="csY13509"/>
              </a:cxn>
              <a:cxn ang="0">
                <a:pos x="csX13510" y="csY13510"/>
              </a:cxn>
              <a:cxn ang="0">
                <a:pos x="csX13511" y="csY13511"/>
              </a:cxn>
              <a:cxn ang="0">
                <a:pos x="csX13512" y="csY13512"/>
              </a:cxn>
              <a:cxn ang="0">
                <a:pos x="csX13513" y="csY13513"/>
              </a:cxn>
              <a:cxn ang="0">
                <a:pos x="csX13514" y="csY13514"/>
              </a:cxn>
              <a:cxn ang="0">
                <a:pos x="csX13515" y="csY13515"/>
              </a:cxn>
              <a:cxn ang="0">
                <a:pos x="csX13516" y="csY13516"/>
              </a:cxn>
              <a:cxn ang="0">
                <a:pos x="csX13517" y="csY13517"/>
              </a:cxn>
              <a:cxn ang="0">
                <a:pos x="csX13518" y="csY13518"/>
              </a:cxn>
              <a:cxn ang="0">
                <a:pos x="csX13519" y="csY13519"/>
              </a:cxn>
              <a:cxn ang="0">
                <a:pos x="csX13520" y="csY13520"/>
              </a:cxn>
              <a:cxn ang="0">
                <a:pos x="csX13521" y="csY13521"/>
              </a:cxn>
              <a:cxn ang="0">
                <a:pos x="csX13522" y="csY13522"/>
              </a:cxn>
              <a:cxn ang="0">
                <a:pos x="csX13523" y="csY13523"/>
              </a:cxn>
              <a:cxn ang="0">
                <a:pos x="csX13524" y="csY13524"/>
              </a:cxn>
              <a:cxn ang="0">
                <a:pos x="csX13525" y="csY13525"/>
              </a:cxn>
              <a:cxn ang="0">
                <a:pos x="csX13526" y="csY13526"/>
              </a:cxn>
              <a:cxn ang="0">
                <a:pos x="csX13527" y="csY13527"/>
              </a:cxn>
              <a:cxn ang="0">
                <a:pos x="csX13528" y="csY13528"/>
              </a:cxn>
              <a:cxn ang="0">
                <a:pos x="csX13529" y="csY13529"/>
              </a:cxn>
              <a:cxn ang="0">
                <a:pos x="csX13530" y="csY13530"/>
              </a:cxn>
              <a:cxn ang="0">
                <a:pos x="csX13531" y="csY13531"/>
              </a:cxn>
              <a:cxn ang="0">
                <a:pos x="csX13532" y="csY13532"/>
              </a:cxn>
              <a:cxn ang="0">
                <a:pos x="csX13533" y="csY13533"/>
              </a:cxn>
              <a:cxn ang="0">
                <a:pos x="csX13534" y="csY13534"/>
              </a:cxn>
              <a:cxn ang="0">
                <a:pos x="csX13535" y="csY13535"/>
              </a:cxn>
              <a:cxn ang="0">
                <a:pos x="csX13536" y="csY13536"/>
              </a:cxn>
              <a:cxn ang="0">
                <a:pos x="csX13537" y="csY13537"/>
              </a:cxn>
              <a:cxn ang="0">
                <a:pos x="csX13538" y="csY13538"/>
              </a:cxn>
              <a:cxn ang="0">
                <a:pos x="csX13539" y="csY13539"/>
              </a:cxn>
              <a:cxn ang="0">
                <a:pos x="csX13540" y="csY13540"/>
              </a:cxn>
              <a:cxn ang="0">
                <a:pos x="csX13541" y="csY13541"/>
              </a:cxn>
              <a:cxn ang="0">
                <a:pos x="csX13542" y="csY13542"/>
              </a:cxn>
              <a:cxn ang="0">
                <a:pos x="csX13543" y="csY13543"/>
              </a:cxn>
              <a:cxn ang="0">
                <a:pos x="csX13544" y="csY13544"/>
              </a:cxn>
              <a:cxn ang="0">
                <a:pos x="csX13545" y="csY13545"/>
              </a:cxn>
              <a:cxn ang="0">
                <a:pos x="csX13546" y="csY13546"/>
              </a:cxn>
              <a:cxn ang="0">
                <a:pos x="csX13547" y="csY13547"/>
              </a:cxn>
              <a:cxn ang="0">
                <a:pos x="csX13548" y="csY13548"/>
              </a:cxn>
              <a:cxn ang="0">
                <a:pos x="csX13549" y="csY13549"/>
              </a:cxn>
              <a:cxn ang="0">
                <a:pos x="csX13550" y="csY13550"/>
              </a:cxn>
              <a:cxn ang="0">
                <a:pos x="csX13551" y="csY13551"/>
              </a:cxn>
              <a:cxn ang="0">
                <a:pos x="csX13552" y="csY13552"/>
              </a:cxn>
              <a:cxn ang="0">
                <a:pos x="csX13553" y="csY13553"/>
              </a:cxn>
              <a:cxn ang="0">
                <a:pos x="csX13554" y="csY13554"/>
              </a:cxn>
              <a:cxn ang="0">
                <a:pos x="csX13555" y="csY13555"/>
              </a:cxn>
              <a:cxn ang="0">
                <a:pos x="csX13556" y="csY13556"/>
              </a:cxn>
              <a:cxn ang="0">
                <a:pos x="csX13557" y="csY13557"/>
              </a:cxn>
              <a:cxn ang="0">
                <a:pos x="csX13558" y="csY13558"/>
              </a:cxn>
              <a:cxn ang="0">
                <a:pos x="csX13559" y="csY13559"/>
              </a:cxn>
              <a:cxn ang="0">
                <a:pos x="csX13560" y="csY13560"/>
              </a:cxn>
              <a:cxn ang="0">
                <a:pos x="csX13561" y="csY13561"/>
              </a:cxn>
              <a:cxn ang="0">
                <a:pos x="csX13562" y="csY13562"/>
              </a:cxn>
              <a:cxn ang="0">
                <a:pos x="csX13563" y="csY13563"/>
              </a:cxn>
              <a:cxn ang="0">
                <a:pos x="csX13564" y="csY13564"/>
              </a:cxn>
              <a:cxn ang="0">
                <a:pos x="csX13565" y="csY13565"/>
              </a:cxn>
              <a:cxn ang="0">
                <a:pos x="csX13566" y="csY13566"/>
              </a:cxn>
              <a:cxn ang="0">
                <a:pos x="csX13567" y="csY13567"/>
              </a:cxn>
              <a:cxn ang="0">
                <a:pos x="csX13568" y="csY13568"/>
              </a:cxn>
              <a:cxn ang="0">
                <a:pos x="csX13569" y="csY13569"/>
              </a:cxn>
              <a:cxn ang="0">
                <a:pos x="csX13570" y="csY13570"/>
              </a:cxn>
              <a:cxn ang="0">
                <a:pos x="csX13571" y="csY13571"/>
              </a:cxn>
              <a:cxn ang="0">
                <a:pos x="csX13572" y="csY13572"/>
              </a:cxn>
              <a:cxn ang="0">
                <a:pos x="csX13573" y="csY13573"/>
              </a:cxn>
              <a:cxn ang="0">
                <a:pos x="csX13574" y="csY13574"/>
              </a:cxn>
              <a:cxn ang="0">
                <a:pos x="csX13575" y="csY13575"/>
              </a:cxn>
              <a:cxn ang="0">
                <a:pos x="csX13576" y="csY13576"/>
              </a:cxn>
              <a:cxn ang="0">
                <a:pos x="csX13577" y="csY13577"/>
              </a:cxn>
              <a:cxn ang="0">
                <a:pos x="csX13578" y="csY13578"/>
              </a:cxn>
              <a:cxn ang="0">
                <a:pos x="csX13579" y="csY13579"/>
              </a:cxn>
              <a:cxn ang="0">
                <a:pos x="csX13580" y="csY13580"/>
              </a:cxn>
              <a:cxn ang="0">
                <a:pos x="csX13581" y="csY13581"/>
              </a:cxn>
              <a:cxn ang="0">
                <a:pos x="csX13582" y="csY13582"/>
              </a:cxn>
              <a:cxn ang="0">
                <a:pos x="csX13583" y="csY13583"/>
              </a:cxn>
              <a:cxn ang="0">
                <a:pos x="csX13584" y="csY13584"/>
              </a:cxn>
              <a:cxn ang="0">
                <a:pos x="csX13585" y="csY13585"/>
              </a:cxn>
              <a:cxn ang="0">
                <a:pos x="csX13586" y="csY13586"/>
              </a:cxn>
              <a:cxn ang="0">
                <a:pos x="csX13587" y="csY13587"/>
              </a:cxn>
              <a:cxn ang="0">
                <a:pos x="csX13588" y="csY13588"/>
              </a:cxn>
              <a:cxn ang="0">
                <a:pos x="csX13589" y="csY13589"/>
              </a:cxn>
              <a:cxn ang="0">
                <a:pos x="csX13590" y="csY13590"/>
              </a:cxn>
              <a:cxn ang="0">
                <a:pos x="csX13591" y="csY13591"/>
              </a:cxn>
              <a:cxn ang="0">
                <a:pos x="csX13592" y="csY13592"/>
              </a:cxn>
              <a:cxn ang="0">
                <a:pos x="csX13593" y="csY13593"/>
              </a:cxn>
              <a:cxn ang="0">
                <a:pos x="csX13594" y="csY13594"/>
              </a:cxn>
              <a:cxn ang="0">
                <a:pos x="csX13595" y="csY13595"/>
              </a:cxn>
              <a:cxn ang="0">
                <a:pos x="csX13596" y="csY13596"/>
              </a:cxn>
              <a:cxn ang="0">
                <a:pos x="csX13597" y="csY13597"/>
              </a:cxn>
              <a:cxn ang="0">
                <a:pos x="csX13598" y="csY13598"/>
              </a:cxn>
              <a:cxn ang="0">
                <a:pos x="csX13599" y="csY13599"/>
              </a:cxn>
              <a:cxn ang="0">
                <a:pos x="csX13600" y="csY13600"/>
              </a:cxn>
              <a:cxn ang="0">
                <a:pos x="csX13601" y="csY13601"/>
              </a:cxn>
              <a:cxn ang="0">
                <a:pos x="csX13602" y="csY13602"/>
              </a:cxn>
              <a:cxn ang="0">
                <a:pos x="csX13603" y="csY13603"/>
              </a:cxn>
              <a:cxn ang="0">
                <a:pos x="csX13604" y="csY13604"/>
              </a:cxn>
              <a:cxn ang="0">
                <a:pos x="csX13605" y="csY13605"/>
              </a:cxn>
              <a:cxn ang="0">
                <a:pos x="csX13606" y="csY13606"/>
              </a:cxn>
              <a:cxn ang="0">
                <a:pos x="csX13607" y="csY13607"/>
              </a:cxn>
              <a:cxn ang="0">
                <a:pos x="csX13608" y="csY13608"/>
              </a:cxn>
              <a:cxn ang="0">
                <a:pos x="csX13609" y="csY13609"/>
              </a:cxn>
              <a:cxn ang="0">
                <a:pos x="csX13610" y="csY13610"/>
              </a:cxn>
              <a:cxn ang="0">
                <a:pos x="csX13611" y="csY13611"/>
              </a:cxn>
              <a:cxn ang="0">
                <a:pos x="csX13612" y="csY13612"/>
              </a:cxn>
              <a:cxn ang="0">
                <a:pos x="csX13613" y="csY13613"/>
              </a:cxn>
              <a:cxn ang="0">
                <a:pos x="csX13614" y="csY13614"/>
              </a:cxn>
              <a:cxn ang="0">
                <a:pos x="csX13615" y="csY13615"/>
              </a:cxn>
              <a:cxn ang="0">
                <a:pos x="csX13616" y="csY13616"/>
              </a:cxn>
              <a:cxn ang="0">
                <a:pos x="csX13617" y="csY13617"/>
              </a:cxn>
              <a:cxn ang="0">
                <a:pos x="csX13618" y="csY13618"/>
              </a:cxn>
              <a:cxn ang="0">
                <a:pos x="csX13619" y="csY13619"/>
              </a:cxn>
              <a:cxn ang="0">
                <a:pos x="csX13620" y="csY13620"/>
              </a:cxn>
              <a:cxn ang="0">
                <a:pos x="csX13621" y="csY13621"/>
              </a:cxn>
              <a:cxn ang="0">
                <a:pos x="csX13622" y="csY13622"/>
              </a:cxn>
              <a:cxn ang="0">
                <a:pos x="csX13623" y="csY13623"/>
              </a:cxn>
              <a:cxn ang="0">
                <a:pos x="csX13624" y="csY13624"/>
              </a:cxn>
              <a:cxn ang="0">
                <a:pos x="csX13625" y="csY13625"/>
              </a:cxn>
              <a:cxn ang="0">
                <a:pos x="csX13626" y="csY13626"/>
              </a:cxn>
              <a:cxn ang="0">
                <a:pos x="csX13627" y="csY13627"/>
              </a:cxn>
              <a:cxn ang="0">
                <a:pos x="csX13628" y="csY13628"/>
              </a:cxn>
              <a:cxn ang="0">
                <a:pos x="csX13629" y="csY13629"/>
              </a:cxn>
              <a:cxn ang="0">
                <a:pos x="csX13630" y="csY13630"/>
              </a:cxn>
              <a:cxn ang="0">
                <a:pos x="csX13631" y="csY13631"/>
              </a:cxn>
              <a:cxn ang="0">
                <a:pos x="csX13632" y="csY13632"/>
              </a:cxn>
              <a:cxn ang="0">
                <a:pos x="csX13633" y="csY13633"/>
              </a:cxn>
              <a:cxn ang="0">
                <a:pos x="csX13634" y="csY13634"/>
              </a:cxn>
              <a:cxn ang="0">
                <a:pos x="csX13635" y="csY13635"/>
              </a:cxn>
              <a:cxn ang="0">
                <a:pos x="csX13636" y="csY13636"/>
              </a:cxn>
              <a:cxn ang="0">
                <a:pos x="csX13637" y="csY13637"/>
              </a:cxn>
              <a:cxn ang="0">
                <a:pos x="csX13638" y="csY13638"/>
              </a:cxn>
              <a:cxn ang="0">
                <a:pos x="csX13639" y="csY13639"/>
              </a:cxn>
              <a:cxn ang="0">
                <a:pos x="csX13640" y="csY13640"/>
              </a:cxn>
              <a:cxn ang="0">
                <a:pos x="csX13641" y="csY13641"/>
              </a:cxn>
              <a:cxn ang="0">
                <a:pos x="csX13642" y="csY13642"/>
              </a:cxn>
              <a:cxn ang="0">
                <a:pos x="csX13643" y="csY13643"/>
              </a:cxn>
              <a:cxn ang="0">
                <a:pos x="csX13644" y="csY13644"/>
              </a:cxn>
              <a:cxn ang="0">
                <a:pos x="csX13645" y="csY13645"/>
              </a:cxn>
              <a:cxn ang="0">
                <a:pos x="csX13646" y="csY13646"/>
              </a:cxn>
              <a:cxn ang="0">
                <a:pos x="csX13647" y="csY13647"/>
              </a:cxn>
              <a:cxn ang="0">
                <a:pos x="csX13648" y="csY13648"/>
              </a:cxn>
              <a:cxn ang="0">
                <a:pos x="csX13649" y="csY13649"/>
              </a:cxn>
              <a:cxn ang="0">
                <a:pos x="csX13650" y="csY13650"/>
              </a:cxn>
              <a:cxn ang="0">
                <a:pos x="csX13651" y="csY13651"/>
              </a:cxn>
              <a:cxn ang="0">
                <a:pos x="csX13652" y="csY13652"/>
              </a:cxn>
              <a:cxn ang="0">
                <a:pos x="csX13653" y="csY13653"/>
              </a:cxn>
              <a:cxn ang="0">
                <a:pos x="csX13654" y="csY13654"/>
              </a:cxn>
              <a:cxn ang="0">
                <a:pos x="csX13655" y="csY13655"/>
              </a:cxn>
              <a:cxn ang="0">
                <a:pos x="csX13656" y="csY13656"/>
              </a:cxn>
              <a:cxn ang="0">
                <a:pos x="csX13657" y="csY13657"/>
              </a:cxn>
              <a:cxn ang="0">
                <a:pos x="csX13658" y="csY13658"/>
              </a:cxn>
              <a:cxn ang="0">
                <a:pos x="csX13659" y="csY13659"/>
              </a:cxn>
              <a:cxn ang="0">
                <a:pos x="csX13660" y="csY13660"/>
              </a:cxn>
              <a:cxn ang="0">
                <a:pos x="csX13661" y="csY13661"/>
              </a:cxn>
              <a:cxn ang="0">
                <a:pos x="csX13662" y="csY13662"/>
              </a:cxn>
              <a:cxn ang="0">
                <a:pos x="csX13663" y="csY13663"/>
              </a:cxn>
              <a:cxn ang="0">
                <a:pos x="csX13664" y="csY13664"/>
              </a:cxn>
              <a:cxn ang="0">
                <a:pos x="csX13665" y="csY13665"/>
              </a:cxn>
              <a:cxn ang="0">
                <a:pos x="csX13666" y="csY13666"/>
              </a:cxn>
              <a:cxn ang="0">
                <a:pos x="csX13667" y="csY13667"/>
              </a:cxn>
              <a:cxn ang="0">
                <a:pos x="csX13668" y="csY13668"/>
              </a:cxn>
              <a:cxn ang="0">
                <a:pos x="csX13669" y="csY13669"/>
              </a:cxn>
              <a:cxn ang="0">
                <a:pos x="csX13670" y="csY13670"/>
              </a:cxn>
              <a:cxn ang="0">
                <a:pos x="csX13671" y="csY13671"/>
              </a:cxn>
              <a:cxn ang="0">
                <a:pos x="csX13672" y="csY13672"/>
              </a:cxn>
              <a:cxn ang="0">
                <a:pos x="csX13673" y="csY13673"/>
              </a:cxn>
              <a:cxn ang="0">
                <a:pos x="csX13674" y="csY13674"/>
              </a:cxn>
              <a:cxn ang="0">
                <a:pos x="csX13675" y="csY13675"/>
              </a:cxn>
              <a:cxn ang="0">
                <a:pos x="csX13676" y="csY13676"/>
              </a:cxn>
              <a:cxn ang="0">
                <a:pos x="csX13677" y="csY13677"/>
              </a:cxn>
              <a:cxn ang="0">
                <a:pos x="csX13678" y="csY13678"/>
              </a:cxn>
              <a:cxn ang="0">
                <a:pos x="csX13679" y="csY13679"/>
              </a:cxn>
              <a:cxn ang="0">
                <a:pos x="csX13680" y="csY13680"/>
              </a:cxn>
              <a:cxn ang="0">
                <a:pos x="csX13681" y="csY13681"/>
              </a:cxn>
              <a:cxn ang="0">
                <a:pos x="csX13682" y="csY13682"/>
              </a:cxn>
              <a:cxn ang="0">
                <a:pos x="csX13683" y="csY13683"/>
              </a:cxn>
              <a:cxn ang="0">
                <a:pos x="csX13684" y="csY13684"/>
              </a:cxn>
              <a:cxn ang="0">
                <a:pos x="csX13685" y="csY13685"/>
              </a:cxn>
              <a:cxn ang="0">
                <a:pos x="csX13686" y="csY13686"/>
              </a:cxn>
              <a:cxn ang="0">
                <a:pos x="csX13687" y="csY13687"/>
              </a:cxn>
              <a:cxn ang="0">
                <a:pos x="csX13688" y="csY13688"/>
              </a:cxn>
              <a:cxn ang="0">
                <a:pos x="csX13689" y="csY13689"/>
              </a:cxn>
              <a:cxn ang="0">
                <a:pos x="csX13690" y="csY13690"/>
              </a:cxn>
              <a:cxn ang="0">
                <a:pos x="csX13691" y="csY13691"/>
              </a:cxn>
              <a:cxn ang="0">
                <a:pos x="csX13692" y="csY13692"/>
              </a:cxn>
              <a:cxn ang="0">
                <a:pos x="csX13693" y="csY13693"/>
              </a:cxn>
              <a:cxn ang="0">
                <a:pos x="csX13694" y="csY13694"/>
              </a:cxn>
              <a:cxn ang="0">
                <a:pos x="csX13695" y="csY13695"/>
              </a:cxn>
              <a:cxn ang="0">
                <a:pos x="csX13696" y="csY13696"/>
              </a:cxn>
              <a:cxn ang="0">
                <a:pos x="csX13697" y="csY13697"/>
              </a:cxn>
              <a:cxn ang="0">
                <a:pos x="csX13698" y="csY13698"/>
              </a:cxn>
              <a:cxn ang="0">
                <a:pos x="csX13699" y="csY13699"/>
              </a:cxn>
              <a:cxn ang="0">
                <a:pos x="csX13700" y="csY13700"/>
              </a:cxn>
              <a:cxn ang="0">
                <a:pos x="csX13701" y="csY13701"/>
              </a:cxn>
              <a:cxn ang="0">
                <a:pos x="csX13702" y="csY13702"/>
              </a:cxn>
              <a:cxn ang="0">
                <a:pos x="csX13703" y="csY13703"/>
              </a:cxn>
              <a:cxn ang="0">
                <a:pos x="csX13704" y="csY13704"/>
              </a:cxn>
              <a:cxn ang="0">
                <a:pos x="csX13705" y="csY13705"/>
              </a:cxn>
              <a:cxn ang="0">
                <a:pos x="csX13706" y="csY13706"/>
              </a:cxn>
              <a:cxn ang="0">
                <a:pos x="csX13707" y="csY13707"/>
              </a:cxn>
              <a:cxn ang="0">
                <a:pos x="csX13708" y="csY13708"/>
              </a:cxn>
              <a:cxn ang="0">
                <a:pos x="csX13709" y="csY13709"/>
              </a:cxn>
              <a:cxn ang="0">
                <a:pos x="csX13710" y="csY13710"/>
              </a:cxn>
              <a:cxn ang="0">
                <a:pos x="csX13711" y="csY13711"/>
              </a:cxn>
              <a:cxn ang="0">
                <a:pos x="csX13712" y="csY13712"/>
              </a:cxn>
              <a:cxn ang="0">
                <a:pos x="csX13713" y="csY13713"/>
              </a:cxn>
              <a:cxn ang="0">
                <a:pos x="csX13714" y="csY13714"/>
              </a:cxn>
              <a:cxn ang="0">
                <a:pos x="csX13715" y="csY13715"/>
              </a:cxn>
              <a:cxn ang="0">
                <a:pos x="csX13716" y="csY13716"/>
              </a:cxn>
              <a:cxn ang="0">
                <a:pos x="csX13717" y="csY13717"/>
              </a:cxn>
              <a:cxn ang="0">
                <a:pos x="csX13718" y="csY13718"/>
              </a:cxn>
              <a:cxn ang="0">
                <a:pos x="csX13719" y="csY13719"/>
              </a:cxn>
              <a:cxn ang="0">
                <a:pos x="csX13720" y="csY13720"/>
              </a:cxn>
              <a:cxn ang="0">
                <a:pos x="csX13721" y="csY13721"/>
              </a:cxn>
              <a:cxn ang="0">
                <a:pos x="csX13722" y="csY13722"/>
              </a:cxn>
              <a:cxn ang="0">
                <a:pos x="csX13723" y="csY13723"/>
              </a:cxn>
              <a:cxn ang="0">
                <a:pos x="csX13724" y="csY13724"/>
              </a:cxn>
              <a:cxn ang="0">
                <a:pos x="csX13725" y="csY13725"/>
              </a:cxn>
              <a:cxn ang="0">
                <a:pos x="csX13726" y="csY13726"/>
              </a:cxn>
              <a:cxn ang="0">
                <a:pos x="csX13727" y="csY13727"/>
              </a:cxn>
              <a:cxn ang="0">
                <a:pos x="csX13728" y="csY13728"/>
              </a:cxn>
              <a:cxn ang="0">
                <a:pos x="csX13729" y="csY13729"/>
              </a:cxn>
              <a:cxn ang="0">
                <a:pos x="csX13730" y="csY13730"/>
              </a:cxn>
              <a:cxn ang="0">
                <a:pos x="csX13731" y="csY13731"/>
              </a:cxn>
              <a:cxn ang="0">
                <a:pos x="csX13732" y="csY13732"/>
              </a:cxn>
              <a:cxn ang="0">
                <a:pos x="csX13733" y="csY13733"/>
              </a:cxn>
              <a:cxn ang="0">
                <a:pos x="csX13734" y="csY13734"/>
              </a:cxn>
              <a:cxn ang="0">
                <a:pos x="csX13735" y="csY13735"/>
              </a:cxn>
              <a:cxn ang="0">
                <a:pos x="csX13736" y="csY13736"/>
              </a:cxn>
              <a:cxn ang="0">
                <a:pos x="csX13737" y="csY13737"/>
              </a:cxn>
              <a:cxn ang="0">
                <a:pos x="csX13738" y="csY13738"/>
              </a:cxn>
              <a:cxn ang="0">
                <a:pos x="csX13739" y="csY13739"/>
              </a:cxn>
              <a:cxn ang="0">
                <a:pos x="csX13740" y="csY13740"/>
              </a:cxn>
              <a:cxn ang="0">
                <a:pos x="csX13741" y="csY13741"/>
              </a:cxn>
              <a:cxn ang="0">
                <a:pos x="csX13742" y="csY13742"/>
              </a:cxn>
              <a:cxn ang="0">
                <a:pos x="csX13743" y="csY13743"/>
              </a:cxn>
              <a:cxn ang="0">
                <a:pos x="csX13744" y="csY13744"/>
              </a:cxn>
              <a:cxn ang="0">
                <a:pos x="csX13745" y="csY13745"/>
              </a:cxn>
              <a:cxn ang="0">
                <a:pos x="csX13746" y="csY13746"/>
              </a:cxn>
              <a:cxn ang="0">
                <a:pos x="csX13747" y="csY13747"/>
              </a:cxn>
              <a:cxn ang="0">
                <a:pos x="csX13748" y="csY13748"/>
              </a:cxn>
              <a:cxn ang="0">
                <a:pos x="csX13749" y="csY13749"/>
              </a:cxn>
              <a:cxn ang="0">
                <a:pos x="csX13750" y="csY13750"/>
              </a:cxn>
              <a:cxn ang="0">
                <a:pos x="csX13751" y="csY13751"/>
              </a:cxn>
              <a:cxn ang="0">
                <a:pos x="csX13752" y="csY13752"/>
              </a:cxn>
              <a:cxn ang="0">
                <a:pos x="csX13753" y="csY13753"/>
              </a:cxn>
              <a:cxn ang="0">
                <a:pos x="csX13754" y="csY13754"/>
              </a:cxn>
              <a:cxn ang="0">
                <a:pos x="csX13755" y="csY13755"/>
              </a:cxn>
              <a:cxn ang="0">
                <a:pos x="csX13756" y="csY13756"/>
              </a:cxn>
              <a:cxn ang="0">
                <a:pos x="csX13757" y="csY13757"/>
              </a:cxn>
              <a:cxn ang="0">
                <a:pos x="csX13758" y="csY13758"/>
              </a:cxn>
              <a:cxn ang="0">
                <a:pos x="csX13759" y="csY13759"/>
              </a:cxn>
              <a:cxn ang="0">
                <a:pos x="csX13760" y="csY13760"/>
              </a:cxn>
              <a:cxn ang="0">
                <a:pos x="csX13761" y="csY13761"/>
              </a:cxn>
              <a:cxn ang="0">
                <a:pos x="csX13762" y="csY13762"/>
              </a:cxn>
              <a:cxn ang="0">
                <a:pos x="csX13763" y="csY13763"/>
              </a:cxn>
              <a:cxn ang="0">
                <a:pos x="csX13764" y="csY13764"/>
              </a:cxn>
              <a:cxn ang="0">
                <a:pos x="csX13765" y="csY13765"/>
              </a:cxn>
              <a:cxn ang="0">
                <a:pos x="csX13766" y="csY13766"/>
              </a:cxn>
              <a:cxn ang="0">
                <a:pos x="csX13767" y="csY13767"/>
              </a:cxn>
              <a:cxn ang="0">
                <a:pos x="csX13768" y="csY13768"/>
              </a:cxn>
              <a:cxn ang="0">
                <a:pos x="csX13769" y="csY13769"/>
              </a:cxn>
              <a:cxn ang="0">
                <a:pos x="csX13770" y="csY13770"/>
              </a:cxn>
              <a:cxn ang="0">
                <a:pos x="csX13771" y="csY13771"/>
              </a:cxn>
              <a:cxn ang="0">
                <a:pos x="csX13772" y="csY13772"/>
              </a:cxn>
              <a:cxn ang="0">
                <a:pos x="csX13773" y="csY13773"/>
              </a:cxn>
              <a:cxn ang="0">
                <a:pos x="csX13774" y="csY13774"/>
              </a:cxn>
              <a:cxn ang="0">
                <a:pos x="csX13775" y="csY13775"/>
              </a:cxn>
              <a:cxn ang="0">
                <a:pos x="csX13776" y="csY13776"/>
              </a:cxn>
              <a:cxn ang="0">
                <a:pos x="csX13777" y="csY13777"/>
              </a:cxn>
              <a:cxn ang="0">
                <a:pos x="csX13778" y="csY13778"/>
              </a:cxn>
              <a:cxn ang="0">
                <a:pos x="csX13779" y="csY13779"/>
              </a:cxn>
              <a:cxn ang="0">
                <a:pos x="csX13780" y="csY13780"/>
              </a:cxn>
              <a:cxn ang="0">
                <a:pos x="csX13781" y="csY13781"/>
              </a:cxn>
              <a:cxn ang="0">
                <a:pos x="csX13782" y="csY13782"/>
              </a:cxn>
              <a:cxn ang="0">
                <a:pos x="csX13783" y="csY13783"/>
              </a:cxn>
              <a:cxn ang="0">
                <a:pos x="csX13784" y="csY13784"/>
              </a:cxn>
              <a:cxn ang="0">
                <a:pos x="csX13785" y="csY13785"/>
              </a:cxn>
              <a:cxn ang="0">
                <a:pos x="csX13786" y="csY13786"/>
              </a:cxn>
              <a:cxn ang="0">
                <a:pos x="csX13787" y="csY13787"/>
              </a:cxn>
              <a:cxn ang="0">
                <a:pos x="csX13788" y="csY13788"/>
              </a:cxn>
              <a:cxn ang="0">
                <a:pos x="csX13789" y="csY13789"/>
              </a:cxn>
              <a:cxn ang="0">
                <a:pos x="csX13790" y="csY13790"/>
              </a:cxn>
              <a:cxn ang="0">
                <a:pos x="csX13791" y="csY13791"/>
              </a:cxn>
              <a:cxn ang="0">
                <a:pos x="csX13792" y="csY13792"/>
              </a:cxn>
              <a:cxn ang="0">
                <a:pos x="csX13793" y="csY13793"/>
              </a:cxn>
              <a:cxn ang="0">
                <a:pos x="csX13794" y="csY13794"/>
              </a:cxn>
              <a:cxn ang="0">
                <a:pos x="csX13795" y="csY13795"/>
              </a:cxn>
              <a:cxn ang="0">
                <a:pos x="csX13796" y="csY13796"/>
              </a:cxn>
              <a:cxn ang="0">
                <a:pos x="csX13797" y="csY13797"/>
              </a:cxn>
              <a:cxn ang="0">
                <a:pos x="csX13798" y="csY13798"/>
              </a:cxn>
              <a:cxn ang="0">
                <a:pos x="csX13799" y="csY13799"/>
              </a:cxn>
              <a:cxn ang="0">
                <a:pos x="csX13800" y="csY13800"/>
              </a:cxn>
              <a:cxn ang="0">
                <a:pos x="csX13801" y="csY13801"/>
              </a:cxn>
              <a:cxn ang="0">
                <a:pos x="csX13802" y="csY13802"/>
              </a:cxn>
              <a:cxn ang="0">
                <a:pos x="csX13803" y="csY13803"/>
              </a:cxn>
              <a:cxn ang="0">
                <a:pos x="csX13804" y="csY13804"/>
              </a:cxn>
              <a:cxn ang="0">
                <a:pos x="csX13805" y="csY13805"/>
              </a:cxn>
              <a:cxn ang="0">
                <a:pos x="csX13806" y="csY13806"/>
              </a:cxn>
              <a:cxn ang="0">
                <a:pos x="csX13807" y="csY13807"/>
              </a:cxn>
              <a:cxn ang="0">
                <a:pos x="csX13808" y="csY13808"/>
              </a:cxn>
              <a:cxn ang="0">
                <a:pos x="csX13809" y="csY13809"/>
              </a:cxn>
              <a:cxn ang="0">
                <a:pos x="csX13810" y="csY13810"/>
              </a:cxn>
              <a:cxn ang="0">
                <a:pos x="csX13811" y="csY13811"/>
              </a:cxn>
              <a:cxn ang="0">
                <a:pos x="csX13812" y="csY13812"/>
              </a:cxn>
              <a:cxn ang="0">
                <a:pos x="csX13813" y="csY13813"/>
              </a:cxn>
              <a:cxn ang="0">
                <a:pos x="csX13814" y="csY13814"/>
              </a:cxn>
              <a:cxn ang="0">
                <a:pos x="csX13815" y="csY13815"/>
              </a:cxn>
              <a:cxn ang="0">
                <a:pos x="csX13816" y="csY13816"/>
              </a:cxn>
              <a:cxn ang="0">
                <a:pos x="csX13817" y="csY13817"/>
              </a:cxn>
              <a:cxn ang="0">
                <a:pos x="csX13818" y="csY13818"/>
              </a:cxn>
              <a:cxn ang="0">
                <a:pos x="csX13819" y="csY13819"/>
              </a:cxn>
              <a:cxn ang="0">
                <a:pos x="csX13820" y="csY13820"/>
              </a:cxn>
              <a:cxn ang="0">
                <a:pos x="csX13821" y="csY13821"/>
              </a:cxn>
              <a:cxn ang="0">
                <a:pos x="csX13822" y="csY13822"/>
              </a:cxn>
              <a:cxn ang="0">
                <a:pos x="csX13823" y="csY13823"/>
              </a:cxn>
              <a:cxn ang="0">
                <a:pos x="csX13824" y="csY13824"/>
              </a:cxn>
              <a:cxn ang="0">
                <a:pos x="csX13825" y="csY13825"/>
              </a:cxn>
              <a:cxn ang="0">
                <a:pos x="csX13826" y="csY13826"/>
              </a:cxn>
              <a:cxn ang="0">
                <a:pos x="csX13827" y="csY13827"/>
              </a:cxn>
              <a:cxn ang="0">
                <a:pos x="csX13828" y="csY13828"/>
              </a:cxn>
              <a:cxn ang="0">
                <a:pos x="csX13829" y="csY13829"/>
              </a:cxn>
              <a:cxn ang="0">
                <a:pos x="csX13830" y="csY13830"/>
              </a:cxn>
              <a:cxn ang="0">
                <a:pos x="csX13831" y="csY13831"/>
              </a:cxn>
              <a:cxn ang="0">
                <a:pos x="csX13832" y="csY13832"/>
              </a:cxn>
              <a:cxn ang="0">
                <a:pos x="csX13833" y="csY13833"/>
              </a:cxn>
              <a:cxn ang="0">
                <a:pos x="csX13834" y="csY13834"/>
              </a:cxn>
              <a:cxn ang="0">
                <a:pos x="csX13835" y="csY13835"/>
              </a:cxn>
              <a:cxn ang="0">
                <a:pos x="csX13836" y="csY13836"/>
              </a:cxn>
              <a:cxn ang="0">
                <a:pos x="csX13837" y="csY13837"/>
              </a:cxn>
              <a:cxn ang="0">
                <a:pos x="csX13838" y="csY13838"/>
              </a:cxn>
              <a:cxn ang="0">
                <a:pos x="csX13839" y="csY13839"/>
              </a:cxn>
              <a:cxn ang="0">
                <a:pos x="csX13840" y="csY13840"/>
              </a:cxn>
              <a:cxn ang="0">
                <a:pos x="csX13841" y="csY13841"/>
              </a:cxn>
              <a:cxn ang="0">
                <a:pos x="csX13842" y="csY13842"/>
              </a:cxn>
              <a:cxn ang="0">
                <a:pos x="csX13843" y="csY13843"/>
              </a:cxn>
              <a:cxn ang="0">
                <a:pos x="csX13844" y="csY13844"/>
              </a:cxn>
              <a:cxn ang="0">
                <a:pos x="csX13845" y="csY13845"/>
              </a:cxn>
              <a:cxn ang="0">
                <a:pos x="csX13846" y="csY13846"/>
              </a:cxn>
              <a:cxn ang="0">
                <a:pos x="csX13847" y="csY13847"/>
              </a:cxn>
              <a:cxn ang="0">
                <a:pos x="csX13848" y="csY13848"/>
              </a:cxn>
              <a:cxn ang="0">
                <a:pos x="csX13849" y="csY13849"/>
              </a:cxn>
              <a:cxn ang="0">
                <a:pos x="csX13850" y="csY13850"/>
              </a:cxn>
              <a:cxn ang="0">
                <a:pos x="csX13851" y="csY13851"/>
              </a:cxn>
              <a:cxn ang="0">
                <a:pos x="csX13852" y="csY13852"/>
              </a:cxn>
              <a:cxn ang="0">
                <a:pos x="csX13853" y="csY13853"/>
              </a:cxn>
              <a:cxn ang="0">
                <a:pos x="csX13854" y="csY13854"/>
              </a:cxn>
              <a:cxn ang="0">
                <a:pos x="csX13855" y="csY13855"/>
              </a:cxn>
              <a:cxn ang="0">
                <a:pos x="csX13856" y="csY13856"/>
              </a:cxn>
              <a:cxn ang="0">
                <a:pos x="csX13857" y="csY13857"/>
              </a:cxn>
              <a:cxn ang="0">
                <a:pos x="csX13858" y="csY13858"/>
              </a:cxn>
              <a:cxn ang="0">
                <a:pos x="csX13859" y="csY13859"/>
              </a:cxn>
              <a:cxn ang="0">
                <a:pos x="csX13860" y="csY13860"/>
              </a:cxn>
              <a:cxn ang="0">
                <a:pos x="csX13861" y="csY13861"/>
              </a:cxn>
              <a:cxn ang="0">
                <a:pos x="csX13862" y="csY13862"/>
              </a:cxn>
              <a:cxn ang="0">
                <a:pos x="csX13863" y="csY13863"/>
              </a:cxn>
              <a:cxn ang="0">
                <a:pos x="csX13864" y="csY13864"/>
              </a:cxn>
              <a:cxn ang="0">
                <a:pos x="csX13865" y="csY13865"/>
              </a:cxn>
              <a:cxn ang="0">
                <a:pos x="csX13866" y="csY13866"/>
              </a:cxn>
              <a:cxn ang="0">
                <a:pos x="csX13867" y="csY13867"/>
              </a:cxn>
              <a:cxn ang="0">
                <a:pos x="csX13868" y="csY13868"/>
              </a:cxn>
              <a:cxn ang="0">
                <a:pos x="csX13869" y="csY13869"/>
              </a:cxn>
              <a:cxn ang="0">
                <a:pos x="csX13870" y="csY13870"/>
              </a:cxn>
              <a:cxn ang="0">
                <a:pos x="csX13871" y="csY13871"/>
              </a:cxn>
              <a:cxn ang="0">
                <a:pos x="csX13872" y="csY13872"/>
              </a:cxn>
              <a:cxn ang="0">
                <a:pos x="csX13873" y="csY13873"/>
              </a:cxn>
              <a:cxn ang="0">
                <a:pos x="csX13874" y="csY13874"/>
              </a:cxn>
              <a:cxn ang="0">
                <a:pos x="csX13875" y="csY13875"/>
              </a:cxn>
              <a:cxn ang="0">
                <a:pos x="csX13876" y="csY13876"/>
              </a:cxn>
              <a:cxn ang="0">
                <a:pos x="csX13877" y="csY13877"/>
              </a:cxn>
              <a:cxn ang="0">
                <a:pos x="csX13878" y="csY13878"/>
              </a:cxn>
              <a:cxn ang="0">
                <a:pos x="csX13879" y="csY13879"/>
              </a:cxn>
              <a:cxn ang="0">
                <a:pos x="csX13880" y="csY13880"/>
              </a:cxn>
              <a:cxn ang="0">
                <a:pos x="csX13881" y="csY13881"/>
              </a:cxn>
              <a:cxn ang="0">
                <a:pos x="csX13882" y="csY13882"/>
              </a:cxn>
              <a:cxn ang="0">
                <a:pos x="csX13883" y="csY13883"/>
              </a:cxn>
              <a:cxn ang="0">
                <a:pos x="csX13884" y="csY13884"/>
              </a:cxn>
              <a:cxn ang="0">
                <a:pos x="csX13885" y="csY13885"/>
              </a:cxn>
              <a:cxn ang="0">
                <a:pos x="csX13886" y="csY13886"/>
              </a:cxn>
              <a:cxn ang="0">
                <a:pos x="csX13887" y="csY13887"/>
              </a:cxn>
              <a:cxn ang="0">
                <a:pos x="csX13888" y="csY13888"/>
              </a:cxn>
              <a:cxn ang="0">
                <a:pos x="csX13889" y="csY13889"/>
              </a:cxn>
              <a:cxn ang="0">
                <a:pos x="csX13890" y="csY13890"/>
              </a:cxn>
              <a:cxn ang="0">
                <a:pos x="csX13891" y="csY13891"/>
              </a:cxn>
              <a:cxn ang="0">
                <a:pos x="csX13892" y="csY13892"/>
              </a:cxn>
              <a:cxn ang="0">
                <a:pos x="csX13893" y="csY13893"/>
              </a:cxn>
              <a:cxn ang="0">
                <a:pos x="csX13894" y="csY13894"/>
              </a:cxn>
              <a:cxn ang="0">
                <a:pos x="csX13895" y="csY13895"/>
              </a:cxn>
              <a:cxn ang="0">
                <a:pos x="csX13896" y="csY13896"/>
              </a:cxn>
              <a:cxn ang="0">
                <a:pos x="csX13897" y="csY13897"/>
              </a:cxn>
              <a:cxn ang="0">
                <a:pos x="csX13898" y="csY13898"/>
              </a:cxn>
              <a:cxn ang="0">
                <a:pos x="csX13899" y="csY13899"/>
              </a:cxn>
              <a:cxn ang="0">
                <a:pos x="csX13900" y="csY13900"/>
              </a:cxn>
              <a:cxn ang="0">
                <a:pos x="csX13901" y="csY13901"/>
              </a:cxn>
              <a:cxn ang="0">
                <a:pos x="csX13902" y="csY13902"/>
              </a:cxn>
              <a:cxn ang="0">
                <a:pos x="csX13903" y="csY13903"/>
              </a:cxn>
              <a:cxn ang="0">
                <a:pos x="csX13904" y="csY13904"/>
              </a:cxn>
              <a:cxn ang="0">
                <a:pos x="csX13905" y="csY13905"/>
              </a:cxn>
              <a:cxn ang="0">
                <a:pos x="csX13906" y="csY13906"/>
              </a:cxn>
              <a:cxn ang="0">
                <a:pos x="csX13907" y="csY13907"/>
              </a:cxn>
              <a:cxn ang="0">
                <a:pos x="csX13908" y="csY13908"/>
              </a:cxn>
              <a:cxn ang="0">
                <a:pos x="csX13909" y="csY13909"/>
              </a:cxn>
              <a:cxn ang="0">
                <a:pos x="csX13910" y="csY13910"/>
              </a:cxn>
              <a:cxn ang="0">
                <a:pos x="csX13911" y="csY13911"/>
              </a:cxn>
              <a:cxn ang="0">
                <a:pos x="csX13912" y="csY13912"/>
              </a:cxn>
              <a:cxn ang="0">
                <a:pos x="csX13913" y="csY13913"/>
              </a:cxn>
              <a:cxn ang="0">
                <a:pos x="csX13914" y="csY13914"/>
              </a:cxn>
              <a:cxn ang="0">
                <a:pos x="csX13915" y="csY13915"/>
              </a:cxn>
              <a:cxn ang="0">
                <a:pos x="csX13916" y="csY13916"/>
              </a:cxn>
              <a:cxn ang="0">
                <a:pos x="csX13917" y="csY13917"/>
              </a:cxn>
              <a:cxn ang="0">
                <a:pos x="csX13918" y="csY13918"/>
              </a:cxn>
              <a:cxn ang="0">
                <a:pos x="csX13919" y="csY13919"/>
              </a:cxn>
              <a:cxn ang="0">
                <a:pos x="csX13920" y="csY13920"/>
              </a:cxn>
              <a:cxn ang="0">
                <a:pos x="csX13921" y="csY13921"/>
              </a:cxn>
              <a:cxn ang="0">
                <a:pos x="csX13922" y="csY13922"/>
              </a:cxn>
              <a:cxn ang="0">
                <a:pos x="csX13923" y="csY13923"/>
              </a:cxn>
              <a:cxn ang="0">
                <a:pos x="csX13924" y="csY13924"/>
              </a:cxn>
              <a:cxn ang="0">
                <a:pos x="csX13925" y="csY13925"/>
              </a:cxn>
              <a:cxn ang="0">
                <a:pos x="csX13926" y="csY13926"/>
              </a:cxn>
              <a:cxn ang="0">
                <a:pos x="csX13927" y="csY13927"/>
              </a:cxn>
              <a:cxn ang="0">
                <a:pos x="csX13928" y="csY13928"/>
              </a:cxn>
              <a:cxn ang="0">
                <a:pos x="csX13929" y="csY13929"/>
              </a:cxn>
              <a:cxn ang="0">
                <a:pos x="csX13930" y="csY13930"/>
              </a:cxn>
              <a:cxn ang="0">
                <a:pos x="csX13931" y="csY13931"/>
              </a:cxn>
              <a:cxn ang="0">
                <a:pos x="csX13932" y="csY13932"/>
              </a:cxn>
              <a:cxn ang="0">
                <a:pos x="csX13933" y="csY13933"/>
              </a:cxn>
              <a:cxn ang="0">
                <a:pos x="csX13934" y="csY13934"/>
              </a:cxn>
              <a:cxn ang="0">
                <a:pos x="csX13935" y="csY13935"/>
              </a:cxn>
              <a:cxn ang="0">
                <a:pos x="csX13936" y="csY13936"/>
              </a:cxn>
              <a:cxn ang="0">
                <a:pos x="csX13937" y="csY13937"/>
              </a:cxn>
              <a:cxn ang="0">
                <a:pos x="csX13938" y="csY13938"/>
              </a:cxn>
              <a:cxn ang="0">
                <a:pos x="csX13939" y="csY13939"/>
              </a:cxn>
              <a:cxn ang="0">
                <a:pos x="csX13940" y="csY13940"/>
              </a:cxn>
              <a:cxn ang="0">
                <a:pos x="csX13941" y="csY13941"/>
              </a:cxn>
              <a:cxn ang="0">
                <a:pos x="csX13942" y="csY13942"/>
              </a:cxn>
              <a:cxn ang="0">
                <a:pos x="csX13943" y="csY13943"/>
              </a:cxn>
              <a:cxn ang="0">
                <a:pos x="csX13944" y="csY13944"/>
              </a:cxn>
            </a:cxnLst>
            <a:rect l="l" t="t" r="r" b="b"/>
            <a:pathLst>
              <a:path w="12192000" h="6858000">
                <a:moveTo>
                  <a:pt x="0" y="0"/>
                </a:moveTo>
                <a:lnTo>
                  <a:pt x="12192000" y="0"/>
                </a:lnTo>
                <a:lnTo>
                  <a:pt x="12192000" y="6858000"/>
                </a:lnTo>
                <a:lnTo>
                  <a:pt x="0" y="6858000"/>
                </a:lnTo>
                <a:lnTo>
                  <a:pt x="0" y="0"/>
                </a:lnTo>
                <a:close/>
                <a:moveTo>
                  <a:pt x="4276215" y="356871"/>
                </a:moveTo>
                <a:cubicBezTo>
                  <a:pt x="4257248" y="356871"/>
                  <a:pt x="4241868" y="372463"/>
                  <a:pt x="4241868" y="391692"/>
                </a:cubicBezTo>
                <a:cubicBezTo>
                  <a:pt x="4241868" y="410920"/>
                  <a:pt x="4257248" y="426512"/>
                  <a:pt x="4276215" y="426512"/>
                </a:cubicBezTo>
                <a:cubicBezTo>
                  <a:pt x="4295182" y="426512"/>
                  <a:pt x="4310561" y="410920"/>
                  <a:pt x="4310561" y="391692"/>
                </a:cubicBezTo>
                <a:cubicBezTo>
                  <a:pt x="4310561" y="372463"/>
                  <a:pt x="4295182" y="356871"/>
                  <a:pt x="4276215" y="356871"/>
                </a:cubicBezTo>
                <a:close/>
                <a:moveTo>
                  <a:pt x="4359957" y="356871"/>
                </a:moveTo>
                <a:cubicBezTo>
                  <a:pt x="4340990" y="356871"/>
                  <a:pt x="4325610" y="372463"/>
                  <a:pt x="4325610" y="391692"/>
                </a:cubicBezTo>
                <a:cubicBezTo>
                  <a:pt x="4325610" y="410920"/>
                  <a:pt x="4340990" y="426512"/>
                  <a:pt x="4359957" y="426512"/>
                </a:cubicBezTo>
                <a:cubicBezTo>
                  <a:pt x="4378924" y="426512"/>
                  <a:pt x="4394304" y="410920"/>
                  <a:pt x="4394304" y="391692"/>
                </a:cubicBezTo>
                <a:cubicBezTo>
                  <a:pt x="4394304" y="372463"/>
                  <a:pt x="4378924" y="356871"/>
                  <a:pt x="4359957" y="356871"/>
                </a:cubicBezTo>
                <a:close/>
                <a:moveTo>
                  <a:pt x="4443698" y="356871"/>
                </a:moveTo>
                <a:cubicBezTo>
                  <a:pt x="4424731" y="356871"/>
                  <a:pt x="4409352" y="372463"/>
                  <a:pt x="4409352" y="391692"/>
                </a:cubicBezTo>
                <a:cubicBezTo>
                  <a:pt x="4409352" y="410920"/>
                  <a:pt x="4424731" y="426512"/>
                  <a:pt x="4443698" y="426512"/>
                </a:cubicBezTo>
                <a:cubicBezTo>
                  <a:pt x="4462665" y="426512"/>
                  <a:pt x="4478045" y="410920"/>
                  <a:pt x="4478045" y="391692"/>
                </a:cubicBezTo>
                <a:cubicBezTo>
                  <a:pt x="4478045" y="372463"/>
                  <a:pt x="4462665" y="356871"/>
                  <a:pt x="4443698" y="356871"/>
                </a:cubicBezTo>
                <a:close/>
                <a:moveTo>
                  <a:pt x="4527439" y="356871"/>
                </a:moveTo>
                <a:cubicBezTo>
                  <a:pt x="4508472" y="356871"/>
                  <a:pt x="4493093" y="372463"/>
                  <a:pt x="4493093" y="391692"/>
                </a:cubicBezTo>
                <a:cubicBezTo>
                  <a:pt x="4493093" y="410920"/>
                  <a:pt x="4508472" y="426512"/>
                  <a:pt x="4527439" y="426512"/>
                </a:cubicBezTo>
                <a:cubicBezTo>
                  <a:pt x="4546406" y="426512"/>
                  <a:pt x="4561786" y="410920"/>
                  <a:pt x="4561786" y="391692"/>
                </a:cubicBezTo>
                <a:cubicBezTo>
                  <a:pt x="4561786" y="372463"/>
                  <a:pt x="4546406" y="356871"/>
                  <a:pt x="4527439" y="356871"/>
                </a:cubicBezTo>
                <a:close/>
                <a:moveTo>
                  <a:pt x="4611182" y="356871"/>
                </a:moveTo>
                <a:cubicBezTo>
                  <a:pt x="4592215" y="356871"/>
                  <a:pt x="4576835" y="372463"/>
                  <a:pt x="4576835" y="391692"/>
                </a:cubicBezTo>
                <a:cubicBezTo>
                  <a:pt x="4576835" y="410920"/>
                  <a:pt x="4592215" y="426512"/>
                  <a:pt x="4611182" y="426512"/>
                </a:cubicBezTo>
                <a:cubicBezTo>
                  <a:pt x="4630149" y="426512"/>
                  <a:pt x="4645528" y="410920"/>
                  <a:pt x="4645528" y="391692"/>
                </a:cubicBezTo>
                <a:cubicBezTo>
                  <a:pt x="4645528" y="372463"/>
                  <a:pt x="4630149" y="356871"/>
                  <a:pt x="4611182" y="356871"/>
                </a:cubicBezTo>
                <a:close/>
                <a:moveTo>
                  <a:pt x="4108732" y="441735"/>
                </a:moveTo>
                <a:cubicBezTo>
                  <a:pt x="4089765" y="441735"/>
                  <a:pt x="4074386" y="457327"/>
                  <a:pt x="4074386" y="476555"/>
                </a:cubicBezTo>
                <a:cubicBezTo>
                  <a:pt x="4074386" y="495784"/>
                  <a:pt x="4089765" y="511376"/>
                  <a:pt x="4108732" y="511376"/>
                </a:cubicBezTo>
                <a:cubicBezTo>
                  <a:pt x="4127699" y="511376"/>
                  <a:pt x="4143079" y="495784"/>
                  <a:pt x="4143079" y="476555"/>
                </a:cubicBezTo>
                <a:cubicBezTo>
                  <a:pt x="4143079" y="457327"/>
                  <a:pt x="4127699" y="441735"/>
                  <a:pt x="4108732" y="441735"/>
                </a:cubicBezTo>
                <a:close/>
                <a:moveTo>
                  <a:pt x="4192473" y="441735"/>
                </a:moveTo>
                <a:cubicBezTo>
                  <a:pt x="4173506" y="441735"/>
                  <a:pt x="4158127" y="457327"/>
                  <a:pt x="4158127" y="476555"/>
                </a:cubicBezTo>
                <a:cubicBezTo>
                  <a:pt x="4158127" y="495784"/>
                  <a:pt x="4173506" y="511376"/>
                  <a:pt x="4192473" y="511376"/>
                </a:cubicBezTo>
                <a:cubicBezTo>
                  <a:pt x="4211440" y="511376"/>
                  <a:pt x="4226820" y="495784"/>
                  <a:pt x="4226820" y="476555"/>
                </a:cubicBezTo>
                <a:cubicBezTo>
                  <a:pt x="4226820" y="457327"/>
                  <a:pt x="4211440" y="441735"/>
                  <a:pt x="4192473" y="441735"/>
                </a:cubicBezTo>
                <a:close/>
                <a:moveTo>
                  <a:pt x="4276215" y="441735"/>
                </a:moveTo>
                <a:cubicBezTo>
                  <a:pt x="4257248" y="441735"/>
                  <a:pt x="4241868" y="457327"/>
                  <a:pt x="4241868" y="476555"/>
                </a:cubicBezTo>
                <a:cubicBezTo>
                  <a:pt x="4241868" y="495784"/>
                  <a:pt x="4257248" y="511376"/>
                  <a:pt x="4276215" y="511376"/>
                </a:cubicBezTo>
                <a:cubicBezTo>
                  <a:pt x="4295182" y="511376"/>
                  <a:pt x="4310561" y="495784"/>
                  <a:pt x="4310561" y="476555"/>
                </a:cubicBezTo>
                <a:cubicBezTo>
                  <a:pt x="4310561" y="457327"/>
                  <a:pt x="4295182" y="441735"/>
                  <a:pt x="4276215" y="441735"/>
                </a:cubicBezTo>
                <a:close/>
                <a:moveTo>
                  <a:pt x="4359957" y="441735"/>
                </a:moveTo>
                <a:cubicBezTo>
                  <a:pt x="4340990" y="441735"/>
                  <a:pt x="4325610" y="457327"/>
                  <a:pt x="4325610" y="476555"/>
                </a:cubicBezTo>
                <a:cubicBezTo>
                  <a:pt x="4325610" y="495784"/>
                  <a:pt x="4340990" y="511376"/>
                  <a:pt x="4359957" y="511376"/>
                </a:cubicBezTo>
                <a:cubicBezTo>
                  <a:pt x="4378924" y="511376"/>
                  <a:pt x="4394304" y="495784"/>
                  <a:pt x="4394304" y="476555"/>
                </a:cubicBezTo>
                <a:cubicBezTo>
                  <a:pt x="4394304" y="457327"/>
                  <a:pt x="4378924" y="441735"/>
                  <a:pt x="4359957" y="441735"/>
                </a:cubicBezTo>
                <a:close/>
                <a:moveTo>
                  <a:pt x="4443698" y="441735"/>
                </a:moveTo>
                <a:cubicBezTo>
                  <a:pt x="4424731" y="441735"/>
                  <a:pt x="4409352" y="457327"/>
                  <a:pt x="4409352" y="476555"/>
                </a:cubicBezTo>
                <a:cubicBezTo>
                  <a:pt x="4409352" y="495784"/>
                  <a:pt x="4424731" y="511376"/>
                  <a:pt x="4443698" y="511376"/>
                </a:cubicBezTo>
                <a:cubicBezTo>
                  <a:pt x="4462665" y="511376"/>
                  <a:pt x="4478045" y="495784"/>
                  <a:pt x="4478045" y="476555"/>
                </a:cubicBezTo>
                <a:cubicBezTo>
                  <a:pt x="4478045" y="457327"/>
                  <a:pt x="4462665" y="441735"/>
                  <a:pt x="4443698" y="441735"/>
                </a:cubicBezTo>
                <a:close/>
                <a:moveTo>
                  <a:pt x="4527439" y="441735"/>
                </a:moveTo>
                <a:cubicBezTo>
                  <a:pt x="4508472" y="441735"/>
                  <a:pt x="4493093" y="457327"/>
                  <a:pt x="4493093" y="476555"/>
                </a:cubicBezTo>
                <a:cubicBezTo>
                  <a:pt x="4493093" y="495784"/>
                  <a:pt x="4508472" y="511376"/>
                  <a:pt x="4527439" y="511376"/>
                </a:cubicBezTo>
                <a:cubicBezTo>
                  <a:pt x="4546406" y="511376"/>
                  <a:pt x="4561786" y="495784"/>
                  <a:pt x="4561786" y="476555"/>
                </a:cubicBezTo>
                <a:cubicBezTo>
                  <a:pt x="4561786" y="457327"/>
                  <a:pt x="4546406" y="441735"/>
                  <a:pt x="4527439" y="441735"/>
                </a:cubicBezTo>
                <a:close/>
                <a:moveTo>
                  <a:pt x="4611182" y="441735"/>
                </a:moveTo>
                <a:cubicBezTo>
                  <a:pt x="4592215" y="441735"/>
                  <a:pt x="4576835" y="457327"/>
                  <a:pt x="4576835" y="476555"/>
                </a:cubicBezTo>
                <a:cubicBezTo>
                  <a:pt x="4576835" y="495784"/>
                  <a:pt x="4592215" y="511376"/>
                  <a:pt x="4611182" y="511376"/>
                </a:cubicBezTo>
                <a:cubicBezTo>
                  <a:pt x="4630149" y="511376"/>
                  <a:pt x="4645528" y="495784"/>
                  <a:pt x="4645528" y="476555"/>
                </a:cubicBezTo>
                <a:cubicBezTo>
                  <a:pt x="4645528" y="457327"/>
                  <a:pt x="4630149" y="441735"/>
                  <a:pt x="4611182" y="441735"/>
                </a:cubicBezTo>
                <a:close/>
                <a:moveTo>
                  <a:pt x="4694923" y="441735"/>
                </a:moveTo>
                <a:cubicBezTo>
                  <a:pt x="4675956" y="441735"/>
                  <a:pt x="4660576" y="457327"/>
                  <a:pt x="4660576" y="476555"/>
                </a:cubicBezTo>
                <a:cubicBezTo>
                  <a:pt x="4660576" y="495784"/>
                  <a:pt x="4675956" y="511376"/>
                  <a:pt x="4694923" y="511376"/>
                </a:cubicBezTo>
                <a:cubicBezTo>
                  <a:pt x="4713890" y="511376"/>
                  <a:pt x="4729270" y="495784"/>
                  <a:pt x="4729270" y="476555"/>
                </a:cubicBezTo>
                <a:cubicBezTo>
                  <a:pt x="4729270" y="457327"/>
                  <a:pt x="4713890" y="441735"/>
                  <a:pt x="4694923" y="441735"/>
                </a:cubicBezTo>
                <a:close/>
                <a:moveTo>
                  <a:pt x="5113631" y="441735"/>
                </a:moveTo>
                <a:cubicBezTo>
                  <a:pt x="5094664" y="441735"/>
                  <a:pt x="5079285" y="457327"/>
                  <a:pt x="5079285" y="476555"/>
                </a:cubicBezTo>
                <a:cubicBezTo>
                  <a:pt x="5079285" y="495784"/>
                  <a:pt x="5094664" y="511376"/>
                  <a:pt x="5113631" y="511376"/>
                </a:cubicBezTo>
                <a:cubicBezTo>
                  <a:pt x="5132598" y="511376"/>
                  <a:pt x="5147978" y="495784"/>
                  <a:pt x="5147978" y="476555"/>
                </a:cubicBezTo>
                <a:cubicBezTo>
                  <a:pt x="5147978" y="457327"/>
                  <a:pt x="5132598" y="441735"/>
                  <a:pt x="5113631" y="441735"/>
                </a:cubicBezTo>
                <a:close/>
                <a:moveTo>
                  <a:pt x="5197372" y="441735"/>
                </a:moveTo>
                <a:cubicBezTo>
                  <a:pt x="5178405" y="441735"/>
                  <a:pt x="5163026" y="457327"/>
                  <a:pt x="5163026" y="476555"/>
                </a:cubicBezTo>
                <a:cubicBezTo>
                  <a:pt x="5163026" y="495784"/>
                  <a:pt x="5178405" y="511376"/>
                  <a:pt x="5197372" y="511376"/>
                </a:cubicBezTo>
                <a:cubicBezTo>
                  <a:pt x="5216339" y="511376"/>
                  <a:pt x="5231719" y="495784"/>
                  <a:pt x="5231719" y="476555"/>
                </a:cubicBezTo>
                <a:cubicBezTo>
                  <a:pt x="5231719" y="457327"/>
                  <a:pt x="5216339" y="441735"/>
                  <a:pt x="5197372" y="441735"/>
                </a:cubicBezTo>
                <a:close/>
                <a:moveTo>
                  <a:pt x="5364856" y="441735"/>
                </a:moveTo>
                <a:cubicBezTo>
                  <a:pt x="5345889" y="441735"/>
                  <a:pt x="5330509" y="457327"/>
                  <a:pt x="5330509" y="476555"/>
                </a:cubicBezTo>
                <a:cubicBezTo>
                  <a:pt x="5330509" y="495784"/>
                  <a:pt x="5345889" y="511376"/>
                  <a:pt x="5364856" y="511376"/>
                </a:cubicBezTo>
                <a:cubicBezTo>
                  <a:pt x="5383823" y="511376"/>
                  <a:pt x="5399203" y="495784"/>
                  <a:pt x="5399203" y="476555"/>
                </a:cubicBezTo>
                <a:cubicBezTo>
                  <a:pt x="5399203" y="457327"/>
                  <a:pt x="5383823" y="441735"/>
                  <a:pt x="5364856" y="441735"/>
                </a:cubicBezTo>
                <a:close/>
                <a:moveTo>
                  <a:pt x="7625906" y="441735"/>
                </a:moveTo>
                <a:cubicBezTo>
                  <a:pt x="7606939" y="441735"/>
                  <a:pt x="7591553" y="457327"/>
                  <a:pt x="7591553" y="476555"/>
                </a:cubicBezTo>
                <a:cubicBezTo>
                  <a:pt x="7591553" y="495784"/>
                  <a:pt x="7606939" y="511376"/>
                  <a:pt x="7625906" y="511376"/>
                </a:cubicBezTo>
                <a:cubicBezTo>
                  <a:pt x="7644873" y="511376"/>
                  <a:pt x="7660246" y="495784"/>
                  <a:pt x="7660246" y="476555"/>
                </a:cubicBezTo>
                <a:cubicBezTo>
                  <a:pt x="7660246" y="457327"/>
                  <a:pt x="7644873" y="441735"/>
                  <a:pt x="7625906" y="441735"/>
                </a:cubicBezTo>
                <a:close/>
                <a:moveTo>
                  <a:pt x="3606276" y="526599"/>
                </a:moveTo>
                <a:cubicBezTo>
                  <a:pt x="3587309" y="526599"/>
                  <a:pt x="3571929" y="542190"/>
                  <a:pt x="3571929" y="561419"/>
                </a:cubicBezTo>
                <a:cubicBezTo>
                  <a:pt x="3571929" y="580648"/>
                  <a:pt x="3587309" y="596239"/>
                  <a:pt x="3606276" y="596239"/>
                </a:cubicBezTo>
                <a:cubicBezTo>
                  <a:pt x="3625243" y="596239"/>
                  <a:pt x="3640622" y="580648"/>
                  <a:pt x="3640622" y="561419"/>
                </a:cubicBezTo>
                <a:cubicBezTo>
                  <a:pt x="3640622" y="542190"/>
                  <a:pt x="3625243" y="526599"/>
                  <a:pt x="3606276" y="526599"/>
                </a:cubicBezTo>
                <a:close/>
                <a:moveTo>
                  <a:pt x="3773759" y="526599"/>
                </a:moveTo>
                <a:cubicBezTo>
                  <a:pt x="3754792" y="526599"/>
                  <a:pt x="3739412" y="542190"/>
                  <a:pt x="3739412" y="561419"/>
                </a:cubicBezTo>
                <a:cubicBezTo>
                  <a:pt x="3739412" y="580648"/>
                  <a:pt x="3754792" y="596239"/>
                  <a:pt x="3773759" y="596239"/>
                </a:cubicBezTo>
                <a:cubicBezTo>
                  <a:pt x="3792726" y="596239"/>
                  <a:pt x="3808106" y="580648"/>
                  <a:pt x="3808106" y="561419"/>
                </a:cubicBezTo>
                <a:cubicBezTo>
                  <a:pt x="3808106" y="542190"/>
                  <a:pt x="3792726" y="526599"/>
                  <a:pt x="3773759" y="526599"/>
                </a:cubicBezTo>
                <a:close/>
                <a:moveTo>
                  <a:pt x="4024990" y="526599"/>
                </a:moveTo>
                <a:cubicBezTo>
                  <a:pt x="4006023" y="526599"/>
                  <a:pt x="3990643" y="542190"/>
                  <a:pt x="3990643" y="561419"/>
                </a:cubicBezTo>
                <a:cubicBezTo>
                  <a:pt x="3990643" y="580648"/>
                  <a:pt x="4006023" y="596239"/>
                  <a:pt x="4024990" y="596239"/>
                </a:cubicBezTo>
                <a:cubicBezTo>
                  <a:pt x="4043957" y="596239"/>
                  <a:pt x="4059337" y="580648"/>
                  <a:pt x="4059337" y="561419"/>
                </a:cubicBezTo>
                <a:cubicBezTo>
                  <a:pt x="4059337" y="542190"/>
                  <a:pt x="4043957" y="526599"/>
                  <a:pt x="4024990" y="526599"/>
                </a:cubicBezTo>
                <a:close/>
                <a:moveTo>
                  <a:pt x="4108732" y="526599"/>
                </a:moveTo>
                <a:cubicBezTo>
                  <a:pt x="4089765" y="526599"/>
                  <a:pt x="4074386" y="542190"/>
                  <a:pt x="4074386" y="561419"/>
                </a:cubicBezTo>
                <a:cubicBezTo>
                  <a:pt x="4074386" y="580648"/>
                  <a:pt x="4089765" y="596239"/>
                  <a:pt x="4108732" y="596239"/>
                </a:cubicBezTo>
                <a:cubicBezTo>
                  <a:pt x="4127699" y="596239"/>
                  <a:pt x="4143079" y="580648"/>
                  <a:pt x="4143079" y="561419"/>
                </a:cubicBezTo>
                <a:cubicBezTo>
                  <a:pt x="4143079" y="542190"/>
                  <a:pt x="4127699" y="526599"/>
                  <a:pt x="4108732" y="526599"/>
                </a:cubicBezTo>
                <a:close/>
                <a:moveTo>
                  <a:pt x="4443698" y="526599"/>
                </a:moveTo>
                <a:cubicBezTo>
                  <a:pt x="4424731" y="526599"/>
                  <a:pt x="4409352" y="542190"/>
                  <a:pt x="4409352" y="561419"/>
                </a:cubicBezTo>
                <a:cubicBezTo>
                  <a:pt x="4409352" y="580648"/>
                  <a:pt x="4424731" y="596239"/>
                  <a:pt x="4443698" y="596239"/>
                </a:cubicBezTo>
                <a:cubicBezTo>
                  <a:pt x="4462665" y="596239"/>
                  <a:pt x="4478045" y="580648"/>
                  <a:pt x="4478045" y="561419"/>
                </a:cubicBezTo>
                <a:cubicBezTo>
                  <a:pt x="4478045" y="542190"/>
                  <a:pt x="4462665" y="526599"/>
                  <a:pt x="4443698" y="526599"/>
                </a:cubicBezTo>
                <a:close/>
                <a:moveTo>
                  <a:pt x="4527439" y="526599"/>
                </a:moveTo>
                <a:cubicBezTo>
                  <a:pt x="4508472" y="526599"/>
                  <a:pt x="4493093" y="542190"/>
                  <a:pt x="4493093" y="561419"/>
                </a:cubicBezTo>
                <a:cubicBezTo>
                  <a:pt x="4493093" y="580648"/>
                  <a:pt x="4508472" y="596239"/>
                  <a:pt x="4527439" y="596239"/>
                </a:cubicBezTo>
                <a:cubicBezTo>
                  <a:pt x="4546406" y="596239"/>
                  <a:pt x="4561786" y="580648"/>
                  <a:pt x="4561786" y="561419"/>
                </a:cubicBezTo>
                <a:cubicBezTo>
                  <a:pt x="4561786" y="542190"/>
                  <a:pt x="4546406" y="526599"/>
                  <a:pt x="4527439" y="526599"/>
                </a:cubicBezTo>
                <a:close/>
                <a:moveTo>
                  <a:pt x="4778665" y="526599"/>
                </a:moveTo>
                <a:cubicBezTo>
                  <a:pt x="4759698" y="526599"/>
                  <a:pt x="4744319" y="542190"/>
                  <a:pt x="4744319" y="561419"/>
                </a:cubicBezTo>
                <a:cubicBezTo>
                  <a:pt x="4744319" y="580648"/>
                  <a:pt x="4759698" y="596239"/>
                  <a:pt x="4778665" y="596239"/>
                </a:cubicBezTo>
                <a:cubicBezTo>
                  <a:pt x="4797632" y="596239"/>
                  <a:pt x="4813012" y="580648"/>
                  <a:pt x="4813012" y="561419"/>
                </a:cubicBezTo>
                <a:cubicBezTo>
                  <a:pt x="4813012" y="542190"/>
                  <a:pt x="4797632" y="526599"/>
                  <a:pt x="4778665" y="526599"/>
                </a:cubicBezTo>
                <a:close/>
                <a:moveTo>
                  <a:pt x="4946148" y="526599"/>
                </a:moveTo>
                <a:cubicBezTo>
                  <a:pt x="4927181" y="526599"/>
                  <a:pt x="4911801" y="542190"/>
                  <a:pt x="4911801" y="561419"/>
                </a:cubicBezTo>
                <a:cubicBezTo>
                  <a:pt x="4911801" y="580648"/>
                  <a:pt x="4927181" y="596239"/>
                  <a:pt x="4946148" y="596239"/>
                </a:cubicBezTo>
                <a:cubicBezTo>
                  <a:pt x="4965115" y="596239"/>
                  <a:pt x="4980494" y="580648"/>
                  <a:pt x="4980494" y="561419"/>
                </a:cubicBezTo>
                <a:cubicBezTo>
                  <a:pt x="4980494" y="542190"/>
                  <a:pt x="4965115" y="526599"/>
                  <a:pt x="4946148" y="526599"/>
                </a:cubicBezTo>
                <a:close/>
                <a:moveTo>
                  <a:pt x="5113631" y="526599"/>
                </a:moveTo>
                <a:cubicBezTo>
                  <a:pt x="5094664" y="526599"/>
                  <a:pt x="5079285" y="542190"/>
                  <a:pt x="5079285" y="561419"/>
                </a:cubicBezTo>
                <a:cubicBezTo>
                  <a:pt x="5079285" y="580648"/>
                  <a:pt x="5094664" y="596239"/>
                  <a:pt x="5113631" y="596239"/>
                </a:cubicBezTo>
                <a:cubicBezTo>
                  <a:pt x="5132598" y="596239"/>
                  <a:pt x="5147978" y="580648"/>
                  <a:pt x="5147978" y="561419"/>
                </a:cubicBezTo>
                <a:cubicBezTo>
                  <a:pt x="5147978" y="542190"/>
                  <a:pt x="5132598" y="526599"/>
                  <a:pt x="5113631" y="526599"/>
                </a:cubicBezTo>
                <a:close/>
                <a:moveTo>
                  <a:pt x="5197372" y="526599"/>
                </a:moveTo>
                <a:cubicBezTo>
                  <a:pt x="5178405" y="526599"/>
                  <a:pt x="5163026" y="542190"/>
                  <a:pt x="5163026" y="561419"/>
                </a:cubicBezTo>
                <a:cubicBezTo>
                  <a:pt x="5163026" y="580648"/>
                  <a:pt x="5178405" y="596239"/>
                  <a:pt x="5197372" y="596239"/>
                </a:cubicBezTo>
                <a:cubicBezTo>
                  <a:pt x="5216339" y="596239"/>
                  <a:pt x="5231719" y="580648"/>
                  <a:pt x="5231719" y="561419"/>
                </a:cubicBezTo>
                <a:cubicBezTo>
                  <a:pt x="5231719" y="542190"/>
                  <a:pt x="5216339" y="526599"/>
                  <a:pt x="5197372" y="526599"/>
                </a:cubicBezTo>
                <a:close/>
                <a:moveTo>
                  <a:pt x="5281115" y="526599"/>
                </a:moveTo>
                <a:cubicBezTo>
                  <a:pt x="5262148" y="526599"/>
                  <a:pt x="5246768" y="542190"/>
                  <a:pt x="5246768" y="561419"/>
                </a:cubicBezTo>
                <a:cubicBezTo>
                  <a:pt x="5246768" y="580648"/>
                  <a:pt x="5262148" y="596239"/>
                  <a:pt x="5281115" y="596239"/>
                </a:cubicBezTo>
                <a:cubicBezTo>
                  <a:pt x="5300082" y="596239"/>
                  <a:pt x="5315461" y="580648"/>
                  <a:pt x="5315461" y="561419"/>
                </a:cubicBezTo>
                <a:cubicBezTo>
                  <a:pt x="5315461" y="542190"/>
                  <a:pt x="5300082" y="526599"/>
                  <a:pt x="5281115" y="526599"/>
                </a:cubicBezTo>
                <a:close/>
                <a:moveTo>
                  <a:pt x="5364856" y="526599"/>
                </a:moveTo>
                <a:cubicBezTo>
                  <a:pt x="5345889" y="526599"/>
                  <a:pt x="5330509" y="542190"/>
                  <a:pt x="5330509" y="561419"/>
                </a:cubicBezTo>
                <a:cubicBezTo>
                  <a:pt x="5330509" y="580648"/>
                  <a:pt x="5345889" y="596239"/>
                  <a:pt x="5364856" y="596239"/>
                </a:cubicBezTo>
                <a:cubicBezTo>
                  <a:pt x="5383823" y="596239"/>
                  <a:pt x="5399203" y="580648"/>
                  <a:pt x="5399203" y="561419"/>
                </a:cubicBezTo>
                <a:cubicBezTo>
                  <a:pt x="5399203" y="542190"/>
                  <a:pt x="5383823" y="526599"/>
                  <a:pt x="5364856" y="526599"/>
                </a:cubicBezTo>
                <a:close/>
                <a:moveTo>
                  <a:pt x="5448598" y="526599"/>
                </a:moveTo>
                <a:cubicBezTo>
                  <a:pt x="5429631" y="526599"/>
                  <a:pt x="5414252" y="542190"/>
                  <a:pt x="5414252" y="561419"/>
                </a:cubicBezTo>
                <a:cubicBezTo>
                  <a:pt x="5414252" y="580648"/>
                  <a:pt x="5429631" y="596239"/>
                  <a:pt x="5448598" y="596239"/>
                </a:cubicBezTo>
                <a:cubicBezTo>
                  <a:pt x="5467565" y="596239"/>
                  <a:pt x="5482945" y="580648"/>
                  <a:pt x="5482945" y="561419"/>
                </a:cubicBezTo>
                <a:cubicBezTo>
                  <a:pt x="5482945" y="542190"/>
                  <a:pt x="5467565" y="526599"/>
                  <a:pt x="5448598" y="526599"/>
                </a:cubicBezTo>
                <a:close/>
                <a:moveTo>
                  <a:pt x="7039688" y="526599"/>
                </a:moveTo>
                <a:cubicBezTo>
                  <a:pt x="7020721" y="526599"/>
                  <a:pt x="7005335" y="542190"/>
                  <a:pt x="7005335" y="561419"/>
                </a:cubicBezTo>
                <a:cubicBezTo>
                  <a:pt x="7005335" y="580648"/>
                  <a:pt x="7020721" y="596239"/>
                  <a:pt x="7039688" y="596239"/>
                </a:cubicBezTo>
                <a:cubicBezTo>
                  <a:pt x="7058655" y="596239"/>
                  <a:pt x="7074029" y="580648"/>
                  <a:pt x="7074029" y="561419"/>
                </a:cubicBezTo>
                <a:cubicBezTo>
                  <a:pt x="7074029" y="542190"/>
                  <a:pt x="7058655" y="526599"/>
                  <a:pt x="7039688" y="526599"/>
                </a:cubicBezTo>
                <a:close/>
                <a:moveTo>
                  <a:pt x="7709647" y="526599"/>
                </a:moveTo>
                <a:cubicBezTo>
                  <a:pt x="7690680" y="526599"/>
                  <a:pt x="7675294" y="542190"/>
                  <a:pt x="7675294" y="561419"/>
                </a:cubicBezTo>
                <a:cubicBezTo>
                  <a:pt x="7675294" y="580648"/>
                  <a:pt x="7690680" y="596239"/>
                  <a:pt x="7709647" y="596239"/>
                </a:cubicBezTo>
                <a:cubicBezTo>
                  <a:pt x="7728614" y="596239"/>
                  <a:pt x="7743988" y="580648"/>
                  <a:pt x="7743988" y="561419"/>
                </a:cubicBezTo>
                <a:cubicBezTo>
                  <a:pt x="7743988" y="542190"/>
                  <a:pt x="7728614" y="526599"/>
                  <a:pt x="7709647" y="526599"/>
                </a:cubicBezTo>
                <a:close/>
                <a:moveTo>
                  <a:pt x="7793389" y="526599"/>
                </a:moveTo>
                <a:cubicBezTo>
                  <a:pt x="7774422" y="526599"/>
                  <a:pt x="7759036" y="542190"/>
                  <a:pt x="7759036" y="561419"/>
                </a:cubicBezTo>
                <a:cubicBezTo>
                  <a:pt x="7759036" y="580648"/>
                  <a:pt x="7774422" y="596239"/>
                  <a:pt x="7793389" y="596239"/>
                </a:cubicBezTo>
                <a:cubicBezTo>
                  <a:pt x="7812356" y="596239"/>
                  <a:pt x="7827729" y="580648"/>
                  <a:pt x="7827729" y="561419"/>
                </a:cubicBezTo>
                <a:cubicBezTo>
                  <a:pt x="7827729" y="542190"/>
                  <a:pt x="7812356" y="526599"/>
                  <a:pt x="7793389" y="526599"/>
                </a:cubicBezTo>
                <a:close/>
                <a:moveTo>
                  <a:pt x="8965772" y="526599"/>
                </a:moveTo>
                <a:cubicBezTo>
                  <a:pt x="8946805" y="526599"/>
                  <a:pt x="8931419" y="542190"/>
                  <a:pt x="8931419" y="561419"/>
                </a:cubicBezTo>
                <a:cubicBezTo>
                  <a:pt x="8931419" y="580648"/>
                  <a:pt x="8946805" y="596239"/>
                  <a:pt x="8965772" y="596239"/>
                </a:cubicBezTo>
                <a:cubicBezTo>
                  <a:pt x="8984739" y="596239"/>
                  <a:pt x="9000112" y="580648"/>
                  <a:pt x="9000112" y="561419"/>
                </a:cubicBezTo>
                <a:cubicBezTo>
                  <a:pt x="9000112" y="542190"/>
                  <a:pt x="8984739" y="526599"/>
                  <a:pt x="8965772" y="526599"/>
                </a:cubicBezTo>
                <a:close/>
                <a:moveTo>
                  <a:pt x="9133256" y="526599"/>
                </a:moveTo>
                <a:cubicBezTo>
                  <a:pt x="9114289" y="526599"/>
                  <a:pt x="9098903" y="542190"/>
                  <a:pt x="9098903" y="561419"/>
                </a:cubicBezTo>
                <a:cubicBezTo>
                  <a:pt x="9098903" y="580648"/>
                  <a:pt x="9114289" y="596239"/>
                  <a:pt x="9133256" y="596239"/>
                </a:cubicBezTo>
                <a:cubicBezTo>
                  <a:pt x="9152223" y="596239"/>
                  <a:pt x="9167596" y="580648"/>
                  <a:pt x="9167596" y="561419"/>
                </a:cubicBezTo>
                <a:cubicBezTo>
                  <a:pt x="9167596" y="542190"/>
                  <a:pt x="9152223" y="526599"/>
                  <a:pt x="9133256" y="526599"/>
                </a:cubicBezTo>
                <a:close/>
                <a:moveTo>
                  <a:pt x="3271309" y="611463"/>
                </a:moveTo>
                <a:cubicBezTo>
                  <a:pt x="3252342" y="611463"/>
                  <a:pt x="3236962" y="627055"/>
                  <a:pt x="3236962" y="646284"/>
                </a:cubicBezTo>
                <a:cubicBezTo>
                  <a:pt x="3236962" y="665512"/>
                  <a:pt x="3252342" y="681104"/>
                  <a:pt x="3271309" y="681104"/>
                </a:cubicBezTo>
                <a:cubicBezTo>
                  <a:pt x="3290276" y="681104"/>
                  <a:pt x="3305655" y="665512"/>
                  <a:pt x="3305655" y="646284"/>
                </a:cubicBezTo>
                <a:cubicBezTo>
                  <a:pt x="3305655" y="627055"/>
                  <a:pt x="3290276" y="611463"/>
                  <a:pt x="3271309" y="611463"/>
                </a:cubicBezTo>
                <a:close/>
                <a:moveTo>
                  <a:pt x="3355051" y="611463"/>
                </a:moveTo>
                <a:cubicBezTo>
                  <a:pt x="3336084" y="611463"/>
                  <a:pt x="3320704" y="627055"/>
                  <a:pt x="3320704" y="646284"/>
                </a:cubicBezTo>
                <a:cubicBezTo>
                  <a:pt x="3320704" y="665512"/>
                  <a:pt x="3336084" y="681104"/>
                  <a:pt x="3355051" y="681104"/>
                </a:cubicBezTo>
                <a:cubicBezTo>
                  <a:pt x="3374018" y="681104"/>
                  <a:pt x="3389398" y="665512"/>
                  <a:pt x="3389398" y="646284"/>
                </a:cubicBezTo>
                <a:cubicBezTo>
                  <a:pt x="3389398" y="627055"/>
                  <a:pt x="3374018" y="611463"/>
                  <a:pt x="3355051" y="611463"/>
                </a:cubicBezTo>
                <a:close/>
                <a:moveTo>
                  <a:pt x="3522533" y="611463"/>
                </a:moveTo>
                <a:cubicBezTo>
                  <a:pt x="3503566" y="611463"/>
                  <a:pt x="3488187" y="627055"/>
                  <a:pt x="3488187" y="646284"/>
                </a:cubicBezTo>
                <a:cubicBezTo>
                  <a:pt x="3488187" y="665512"/>
                  <a:pt x="3503566" y="681104"/>
                  <a:pt x="3522533" y="681104"/>
                </a:cubicBezTo>
                <a:cubicBezTo>
                  <a:pt x="3541500" y="681104"/>
                  <a:pt x="3556880" y="665512"/>
                  <a:pt x="3556880" y="646284"/>
                </a:cubicBezTo>
                <a:cubicBezTo>
                  <a:pt x="3556880" y="627055"/>
                  <a:pt x="3541500" y="611463"/>
                  <a:pt x="3522533" y="611463"/>
                </a:cubicBezTo>
                <a:close/>
                <a:moveTo>
                  <a:pt x="3773759" y="611463"/>
                </a:moveTo>
                <a:cubicBezTo>
                  <a:pt x="3754792" y="611463"/>
                  <a:pt x="3739412" y="627055"/>
                  <a:pt x="3739412" y="646284"/>
                </a:cubicBezTo>
                <a:cubicBezTo>
                  <a:pt x="3739412" y="665512"/>
                  <a:pt x="3754792" y="681104"/>
                  <a:pt x="3773759" y="681104"/>
                </a:cubicBezTo>
                <a:cubicBezTo>
                  <a:pt x="3792726" y="681104"/>
                  <a:pt x="3808106" y="665512"/>
                  <a:pt x="3808106" y="646284"/>
                </a:cubicBezTo>
                <a:cubicBezTo>
                  <a:pt x="3808106" y="627055"/>
                  <a:pt x="3792726" y="611463"/>
                  <a:pt x="3773759" y="611463"/>
                </a:cubicBezTo>
                <a:close/>
                <a:moveTo>
                  <a:pt x="4024990" y="611463"/>
                </a:moveTo>
                <a:cubicBezTo>
                  <a:pt x="4006023" y="611463"/>
                  <a:pt x="3990643" y="627055"/>
                  <a:pt x="3990643" y="646284"/>
                </a:cubicBezTo>
                <a:cubicBezTo>
                  <a:pt x="3990643" y="665512"/>
                  <a:pt x="4006023" y="681104"/>
                  <a:pt x="4024990" y="681104"/>
                </a:cubicBezTo>
                <a:cubicBezTo>
                  <a:pt x="4043957" y="681104"/>
                  <a:pt x="4059337" y="665512"/>
                  <a:pt x="4059337" y="646284"/>
                </a:cubicBezTo>
                <a:cubicBezTo>
                  <a:pt x="4059337" y="627055"/>
                  <a:pt x="4043957" y="611463"/>
                  <a:pt x="4024990" y="611463"/>
                </a:cubicBezTo>
                <a:close/>
                <a:moveTo>
                  <a:pt x="4192473" y="611463"/>
                </a:moveTo>
                <a:cubicBezTo>
                  <a:pt x="4173506" y="611463"/>
                  <a:pt x="4158127" y="627055"/>
                  <a:pt x="4158127" y="646284"/>
                </a:cubicBezTo>
                <a:cubicBezTo>
                  <a:pt x="4158127" y="665512"/>
                  <a:pt x="4173506" y="681104"/>
                  <a:pt x="4192473" y="681104"/>
                </a:cubicBezTo>
                <a:cubicBezTo>
                  <a:pt x="4211440" y="681104"/>
                  <a:pt x="4226820" y="665512"/>
                  <a:pt x="4226820" y="646284"/>
                </a:cubicBezTo>
                <a:cubicBezTo>
                  <a:pt x="4226820" y="627055"/>
                  <a:pt x="4211440" y="611463"/>
                  <a:pt x="4192473" y="611463"/>
                </a:cubicBezTo>
                <a:close/>
                <a:moveTo>
                  <a:pt x="4276215" y="611463"/>
                </a:moveTo>
                <a:cubicBezTo>
                  <a:pt x="4257248" y="611463"/>
                  <a:pt x="4241868" y="627055"/>
                  <a:pt x="4241868" y="646284"/>
                </a:cubicBezTo>
                <a:cubicBezTo>
                  <a:pt x="4241868" y="665512"/>
                  <a:pt x="4257248" y="681104"/>
                  <a:pt x="4276215" y="681104"/>
                </a:cubicBezTo>
                <a:cubicBezTo>
                  <a:pt x="4295182" y="681104"/>
                  <a:pt x="4310561" y="665512"/>
                  <a:pt x="4310561" y="646284"/>
                </a:cubicBezTo>
                <a:cubicBezTo>
                  <a:pt x="4310561" y="627055"/>
                  <a:pt x="4295182" y="611463"/>
                  <a:pt x="4276215" y="611463"/>
                </a:cubicBezTo>
                <a:close/>
                <a:moveTo>
                  <a:pt x="4359957" y="611463"/>
                </a:moveTo>
                <a:cubicBezTo>
                  <a:pt x="4340990" y="611463"/>
                  <a:pt x="4325610" y="627055"/>
                  <a:pt x="4325610" y="646284"/>
                </a:cubicBezTo>
                <a:cubicBezTo>
                  <a:pt x="4325610" y="665512"/>
                  <a:pt x="4340990" y="681104"/>
                  <a:pt x="4359957" y="681104"/>
                </a:cubicBezTo>
                <a:cubicBezTo>
                  <a:pt x="4378924" y="681104"/>
                  <a:pt x="4394304" y="665512"/>
                  <a:pt x="4394304" y="646284"/>
                </a:cubicBezTo>
                <a:cubicBezTo>
                  <a:pt x="4394304" y="627055"/>
                  <a:pt x="4378924" y="611463"/>
                  <a:pt x="4359957" y="611463"/>
                </a:cubicBezTo>
                <a:close/>
                <a:moveTo>
                  <a:pt x="4443698" y="611463"/>
                </a:moveTo>
                <a:cubicBezTo>
                  <a:pt x="4424731" y="611463"/>
                  <a:pt x="4409352" y="627055"/>
                  <a:pt x="4409352" y="646284"/>
                </a:cubicBezTo>
                <a:cubicBezTo>
                  <a:pt x="4409352" y="665512"/>
                  <a:pt x="4424731" y="681104"/>
                  <a:pt x="4443698" y="681104"/>
                </a:cubicBezTo>
                <a:cubicBezTo>
                  <a:pt x="4462665" y="681104"/>
                  <a:pt x="4478045" y="665512"/>
                  <a:pt x="4478045" y="646284"/>
                </a:cubicBezTo>
                <a:cubicBezTo>
                  <a:pt x="4478045" y="627055"/>
                  <a:pt x="4462665" y="611463"/>
                  <a:pt x="4443698" y="611463"/>
                </a:cubicBezTo>
                <a:close/>
                <a:moveTo>
                  <a:pt x="4611182" y="611463"/>
                </a:moveTo>
                <a:cubicBezTo>
                  <a:pt x="4592215" y="611463"/>
                  <a:pt x="4576835" y="627055"/>
                  <a:pt x="4576835" y="646284"/>
                </a:cubicBezTo>
                <a:cubicBezTo>
                  <a:pt x="4576835" y="665512"/>
                  <a:pt x="4592215" y="681104"/>
                  <a:pt x="4611182" y="681104"/>
                </a:cubicBezTo>
                <a:cubicBezTo>
                  <a:pt x="4630149" y="681104"/>
                  <a:pt x="4645528" y="665512"/>
                  <a:pt x="4645528" y="646284"/>
                </a:cubicBezTo>
                <a:cubicBezTo>
                  <a:pt x="4645528" y="627055"/>
                  <a:pt x="4630149" y="611463"/>
                  <a:pt x="4611182" y="611463"/>
                </a:cubicBezTo>
                <a:close/>
                <a:moveTo>
                  <a:pt x="4694923" y="611463"/>
                </a:moveTo>
                <a:cubicBezTo>
                  <a:pt x="4675956" y="611463"/>
                  <a:pt x="4660576" y="627055"/>
                  <a:pt x="4660576" y="646284"/>
                </a:cubicBezTo>
                <a:cubicBezTo>
                  <a:pt x="4660576" y="665512"/>
                  <a:pt x="4675956" y="681104"/>
                  <a:pt x="4694923" y="681104"/>
                </a:cubicBezTo>
                <a:cubicBezTo>
                  <a:pt x="4713890" y="681104"/>
                  <a:pt x="4729270" y="665512"/>
                  <a:pt x="4729270" y="646284"/>
                </a:cubicBezTo>
                <a:cubicBezTo>
                  <a:pt x="4729270" y="627055"/>
                  <a:pt x="4713890" y="611463"/>
                  <a:pt x="4694923" y="611463"/>
                </a:cubicBezTo>
                <a:close/>
                <a:moveTo>
                  <a:pt x="4778665" y="611463"/>
                </a:moveTo>
                <a:cubicBezTo>
                  <a:pt x="4759698" y="611463"/>
                  <a:pt x="4744319" y="627055"/>
                  <a:pt x="4744319" y="646284"/>
                </a:cubicBezTo>
                <a:cubicBezTo>
                  <a:pt x="4744319" y="665512"/>
                  <a:pt x="4759698" y="681104"/>
                  <a:pt x="4778665" y="681104"/>
                </a:cubicBezTo>
                <a:cubicBezTo>
                  <a:pt x="4797632" y="681104"/>
                  <a:pt x="4813012" y="665512"/>
                  <a:pt x="4813012" y="646284"/>
                </a:cubicBezTo>
                <a:cubicBezTo>
                  <a:pt x="4813012" y="627055"/>
                  <a:pt x="4797632" y="611463"/>
                  <a:pt x="4778665" y="611463"/>
                </a:cubicBezTo>
                <a:close/>
                <a:moveTo>
                  <a:pt x="4862406" y="611463"/>
                </a:moveTo>
                <a:cubicBezTo>
                  <a:pt x="4843439" y="611463"/>
                  <a:pt x="4828060" y="627055"/>
                  <a:pt x="4828060" y="646284"/>
                </a:cubicBezTo>
                <a:cubicBezTo>
                  <a:pt x="4828060" y="665512"/>
                  <a:pt x="4843439" y="681104"/>
                  <a:pt x="4862406" y="681104"/>
                </a:cubicBezTo>
                <a:cubicBezTo>
                  <a:pt x="4881373" y="681104"/>
                  <a:pt x="4896753" y="665512"/>
                  <a:pt x="4896753" y="646284"/>
                </a:cubicBezTo>
                <a:cubicBezTo>
                  <a:pt x="4896753" y="627055"/>
                  <a:pt x="4881373" y="611463"/>
                  <a:pt x="4862406" y="611463"/>
                </a:cubicBezTo>
                <a:close/>
                <a:moveTo>
                  <a:pt x="4946148" y="611463"/>
                </a:moveTo>
                <a:cubicBezTo>
                  <a:pt x="4927181" y="611463"/>
                  <a:pt x="4911801" y="627055"/>
                  <a:pt x="4911801" y="646284"/>
                </a:cubicBezTo>
                <a:cubicBezTo>
                  <a:pt x="4911801" y="665512"/>
                  <a:pt x="4927181" y="681104"/>
                  <a:pt x="4946148" y="681104"/>
                </a:cubicBezTo>
                <a:cubicBezTo>
                  <a:pt x="4965115" y="681104"/>
                  <a:pt x="4980494" y="665512"/>
                  <a:pt x="4980494" y="646284"/>
                </a:cubicBezTo>
                <a:cubicBezTo>
                  <a:pt x="4980494" y="627055"/>
                  <a:pt x="4965115" y="611463"/>
                  <a:pt x="4946148" y="611463"/>
                </a:cubicBezTo>
                <a:close/>
                <a:moveTo>
                  <a:pt x="5029890" y="611463"/>
                </a:moveTo>
                <a:cubicBezTo>
                  <a:pt x="5010923" y="611463"/>
                  <a:pt x="4995543" y="627055"/>
                  <a:pt x="4995543" y="646284"/>
                </a:cubicBezTo>
                <a:cubicBezTo>
                  <a:pt x="4995543" y="665512"/>
                  <a:pt x="5010923" y="681104"/>
                  <a:pt x="5029890" y="681104"/>
                </a:cubicBezTo>
                <a:cubicBezTo>
                  <a:pt x="5048857" y="681104"/>
                  <a:pt x="5064237" y="665512"/>
                  <a:pt x="5064237" y="646284"/>
                </a:cubicBezTo>
                <a:cubicBezTo>
                  <a:pt x="5064237" y="627055"/>
                  <a:pt x="5048857" y="611463"/>
                  <a:pt x="5029890" y="611463"/>
                </a:cubicBezTo>
                <a:close/>
                <a:moveTo>
                  <a:pt x="5113631" y="611463"/>
                </a:moveTo>
                <a:cubicBezTo>
                  <a:pt x="5094664" y="611463"/>
                  <a:pt x="5079285" y="627055"/>
                  <a:pt x="5079285" y="646284"/>
                </a:cubicBezTo>
                <a:cubicBezTo>
                  <a:pt x="5079285" y="665512"/>
                  <a:pt x="5094664" y="681104"/>
                  <a:pt x="5113631" y="681104"/>
                </a:cubicBezTo>
                <a:cubicBezTo>
                  <a:pt x="5132598" y="681104"/>
                  <a:pt x="5147978" y="665512"/>
                  <a:pt x="5147978" y="646284"/>
                </a:cubicBezTo>
                <a:cubicBezTo>
                  <a:pt x="5147978" y="627055"/>
                  <a:pt x="5132598" y="611463"/>
                  <a:pt x="5113631" y="611463"/>
                </a:cubicBezTo>
                <a:close/>
                <a:moveTo>
                  <a:pt x="5197372" y="611463"/>
                </a:moveTo>
                <a:cubicBezTo>
                  <a:pt x="5178405" y="611463"/>
                  <a:pt x="5163026" y="627055"/>
                  <a:pt x="5163026" y="646284"/>
                </a:cubicBezTo>
                <a:cubicBezTo>
                  <a:pt x="5163026" y="665512"/>
                  <a:pt x="5178405" y="681104"/>
                  <a:pt x="5197372" y="681104"/>
                </a:cubicBezTo>
                <a:cubicBezTo>
                  <a:pt x="5216339" y="681104"/>
                  <a:pt x="5231719" y="665512"/>
                  <a:pt x="5231719" y="646284"/>
                </a:cubicBezTo>
                <a:cubicBezTo>
                  <a:pt x="5231719" y="627055"/>
                  <a:pt x="5216339" y="611463"/>
                  <a:pt x="5197372" y="611463"/>
                </a:cubicBezTo>
                <a:close/>
                <a:moveTo>
                  <a:pt x="5281115" y="611463"/>
                </a:moveTo>
                <a:cubicBezTo>
                  <a:pt x="5262148" y="611463"/>
                  <a:pt x="5246768" y="627055"/>
                  <a:pt x="5246768" y="646284"/>
                </a:cubicBezTo>
                <a:cubicBezTo>
                  <a:pt x="5246768" y="665512"/>
                  <a:pt x="5262148" y="681104"/>
                  <a:pt x="5281115" y="681104"/>
                </a:cubicBezTo>
                <a:cubicBezTo>
                  <a:pt x="5300082" y="681104"/>
                  <a:pt x="5315461" y="665512"/>
                  <a:pt x="5315461" y="646284"/>
                </a:cubicBezTo>
                <a:cubicBezTo>
                  <a:pt x="5315461" y="627055"/>
                  <a:pt x="5300082" y="611463"/>
                  <a:pt x="5281115" y="611463"/>
                </a:cubicBezTo>
                <a:close/>
                <a:moveTo>
                  <a:pt x="5364856" y="611463"/>
                </a:moveTo>
                <a:cubicBezTo>
                  <a:pt x="5345889" y="611463"/>
                  <a:pt x="5330509" y="627055"/>
                  <a:pt x="5330509" y="646284"/>
                </a:cubicBezTo>
                <a:cubicBezTo>
                  <a:pt x="5330509" y="665512"/>
                  <a:pt x="5345889" y="681104"/>
                  <a:pt x="5364856" y="681104"/>
                </a:cubicBezTo>
                <a:cubicBezTo>
                  <a:pt x="5383823" y="681104"/>
                  <a:pt x="5399203" y="665512"/>
                  <a:pt x="5399203" y="646284"/>
                </a:cubicBezTo>
                <a:cubicBezTo>
                  <a:pt x="5399203" y="627055"/>
                  <a:pt x="5383823" y="611463"/>
                  <a:pt x="5364856" y="611463"/>
                </a:cubicBezTo>
                <a:close/>
                <a:moveTo>
                  <a:pt x="6955947" y="611463"/>
                </a:moveTo>
                <a:cubicBezTo>
                  <a:pt x="6936980" y="611463"/>
                  <a:pt x="6921594" y="627055"/>
                  <a:pt x="6921594" y="646284"/>
                </a:cubicBezTo>
                <a:cubicBezTo>
                  <a:pt x="6921594" y="665512"/>
                  <a:pt x="6936980" y="681104"/>
                  <a:pt x="6955947" y="681104"/>
                </a:cubicBezTo>
                <a:cubicBezTo>
                  <a:pt x="6974914" y="681104"/>
                  <a:pt x="6990287" y="665512"/>
                  <a:pt x="6990287" y="646284"/>
                </a:cubicBezTo>
                <a:cubicBezTo>
                  <a:pt x="6990287" y="627055"/>
                  <a:pt x="6974914" y="611463"/>
                  <a:pt x="6955947" y="611463"/>
                </a:cubicBezTo>
                <a:close/>
                <a:moveTo>
                  <a:pt x="7960872" y="611463"/>
                </a:moveTo>
                <a:cubicBezTo>
                  <a:pt x="7941905" y="611463"/>
                  <a:pt x="7926519" y="627055"/>
                  <a:pt x="7926519" y="646284"/>
                </a:cubicBezTo>
                <a:cubicBezTo>
                  <a:pt x="7926519" y="665512"/>
                  <a:pt x="7941905" y="681104"/>
                  <a:pt x="7960872" y="681104"/>
                </a:cubicBezTo>
                <a:cubicBezTo>
                  <a:pt x="7979839" y="681104"/>
                  <a:pt x="7995212" y="665512"/>
                  <a:pt x="7995212" y="646284"/>
                </a:cubicBezTo>
                <a:cubicBezTo>
                  <a:pt x="7995212" y="627055"/>
                  <a:pt x="7979839" y="611463"/>
                  <a:pt x="7960872" y="611463"/>
                </a:cubicBezTo>
                <a:close/>
                <a:moveTo>
                  <a:pt x="8882030" y="611463"/>
                </a:moveTo>
                <a:cubicBezTo>
                  <a:pt x="8863063" y="611463"/>
                  <a:pt x="8847677" y="627055"/>
                  <a:pt x="8847677" y="646284"/>
                </a:cubicBezTo>
                <a:cubicBezTo>
                  <a:pt x="8847677" y="665512"/>
                  <a:pt x="8863063" y="681104"/>
                  <a:pt x="8882030" y="681104"/>
                </a:cubicBezTo>
                <a:cubicBezTo>
                  <a:pt x="8900997" y="681104"/>
                  <a:pt x="8916370" y="665512"/>
                  <a:pt x="8916370" y="646284"/>
                </a:cubicBezTo>
                <a:cubicBezTo>
                  <a:pt x="8916370" y="627055"/>
                  <a:pt x="8900997" y="611463"/>
                  <a:pt x="8882030" y="611463"/>
                </a:cubicBezTo>
                <a:close/>
                <a:moveTo>
                  <a:pt x="8965772" y="611463"/>
                </a:moveTo>
                <a:cubicBezTo>
                  <a:pt x="8946805" y="611463"/>
                  <a:pt x="8931419" y="627055"/>
                  <a:pt x="8931419" y="646284"/>
                </a:cubicBezTo>
                <a:cubicBezTo>
                  <a:pt x="8931419" y="665512"/>
                  <a:pt x="8946805" y="681104"/>
                  <a:pt x="8965772" y="681104"/>
                </a:cubicBezTo>
                <a:cubicBezTo>
                  <a:pt x="8984739" y="681104"/>
                  <a:pt x="9000112" y="665512"/>
                  <a:pt x="9000112" y="646284"/>
                </a:cubicBezTo>
                <a:cubicBezTo>
                  <a:pt x="9000112" y="627055"/>
                  <a:pt x="8984739" y="611463"/>
                  <a:pt x="8965772" y="611463"/>
                </a:cubicBezTo>
                <a:close/>
                <a:moveTo>
                  <a:pt x="3187567" y="696327"/>
                </a:moveTo>
                <a:cubicBezTo>
                  <a:pt x="3168600" y="696327"/>
                  <a:pt x="3153221" y="711919"/>
                  <a:pt x="3153221" y="731148"/>
                </a:cubicBezTo>
                <a:cubicBezTo>
                  <a:pt x="3153221" y="750376"/>
                  <a:pt x="3168600" y="765968"/>
                  <a:pt x="3187567" y="765968"/>
                </a:cubicBezTo>
                <a:cubicBezTo>
                  <a:pt x="3206534" y="765968"/>
                  <a:pt x="3221914" y="750376"/>
                  <a:pt x="3221914" y="731148"/>
                </a:cubicBezTo>
                <a:cubicBezTo>
                  <a:pt x="3221914" y="711919"/>
                  <a:pt x="3206534" y="696327"/>
                  <a:pt x="3187567" y="696327"/>
                </a:cubicBezTo>
                <a:close/>
                <a:moveTo>
                  <a:pt x="3857500" y="696327"/>
                </a:moveTo>
                <a:cubicBezTo>
                  <a:pt x="3838533" y="696327"/>
                  <a:pt x="3823154" y="711919"/>
                  <a:pt x="3823154" y="731148"/>
                </a:cubicBezTo>
                <a:cubicBezTo>
                  <a:pt x="3823154" y="750376"/>
                  <a:pt x="3838533" y="765968"/>
                  <a:pt x="3857500" y="765968"/>
                </a:cubicBezTo>
                <a:cubicBezTo>
                  <a:pt x="3876467" y="765968"/>
                  <a:pt x="3891847" y="750376"/>
                  <a:pt x="3891847" y="731148"/>
                </a:cubicBezTo>
                <a:cubicBezTo>
                  <a:pt x="3891847" y="711919"/>
                  <a:pt x="3876467" y="696327"/>
                  <a:pt x="3857500" y="696327"/>
                </a:cubicBezTo>
                <a:close/>
                <a:moveTo>
                  <a:pt x="4108732" y="696327"/>
                </a:moveTo>
                <a:cubicBezTo>
                  <a:pt x="4089765" y="696327"/>
                  <a:pt x="4074386" y="711919"/>
                  <a:pt x="4074386" y="731148"/>
                </a:cubicBezTo>
                <a:cubicBezTo>
                  <a:pt x="4074386" y="750376"/>
                  <a:pt x="4089765" y="765968"/>
                  <a:pt x="4108732" y="765968"/>
                </a:cubicBezTo>
                <a:cubicBezTo>
                  <a:pt x="4127699" y="765968"/>
                  <a:pt x="4143079" y="750376"/>
                  <a:pt x="4143079" y="731148"/>
                </a:cubicBezTo>
                <a:cubicBezTo>
                  <a:pt x="4143079" y="711919"/>
                  <a:pt x="4127699" y="696327"/>
                  <a:pt x="4108732" y="696327"/>
                </a:cubicBezTo>
                <a:close/>
                <a:moveTo>
                  <a:pt x="4192473" y="696327"/>
                </a:moveTo>
                <a:cubicBezTo>
                  <a:pt x="4173506" y="696327"/>
                  <a:pt x="4158127" y="711919"/>
                  <a:pt x="4158127" y="731148"/>
                </a:cubicBezTo>
                <a:cubicBezTo>
                  <a:pt x="4158127" y="750376"/>
                  <a:pt x="4173506" y="765968"/>
                  <a:pt x="4192473" y="765968"/>
                </a:cubicBezTo>
                <a:cubicBezTo>
                  <a:pt x="4211440" y="765968"/>
                  <a:pt x="4226820" y="750376"/>
                  <a:pt x="4226820" y="731148"/>
                </a:cubicBezTo>
                <a:cubicBezTo>
                  <a:pt x="4226820" y="711919"/>
                  <a:pt x="4211440" y="696327"/>
                  <a:pt x="4192473" y="696327"/>
                </a:cubicBezTo>
                <a:close/>
                <a:moveTo>
                  <a:pt x="4276215" y="696327"/>
                </a:moveTo>
                <a:cubicBezTo>
                  <a:pt x="4257248" y="696327"/>
                  <a:pt x="4241868" y="711919"/>
                  <a:pt x="4241868" y="731148"/>
                </a:cubicBezTo>
                <a:cubicBezTo>
                  <a:pt x="4241868" y="750376"/>
                  <a:pt x="4257248" y="765968"/>
                  <a:pt x="4276215" y="765968"/>
                </a:cubicBezTo>
                <a:cubicBezTo>
                  <a:pt x="4295182" y="765968"/>
                  <a:pt x="4310561" y="750376"/>
                  <a:pt x="4310561" y="731148"/>
                </a:cubicBezTo>
                <a:cubicBezTo>
                  <a:pt x="4310561" y="711919"/>
                  <a:pt x="4295182" y="696327"/>
                  <a:pt x="4276215" y="696327"/>
                </a:cubicBezTo>
                <a:close/>
                <a:moveTo>
                  <a:pt x="4611182" y="696327"/>
                </a:moveTo>
                <a:cubicBezTo>
                  <a:pt x="4592215" y="696327"/>
                  <a:pt x="4576835" y="711919"/>
                  <a:pt x="4576835" y="731148"/>
                </a:cubicBezTo>
                <a:cubicBezTo>
                  <a:pt x="4576835" y="750376"/>
                  <a:pt x="4592215" y="765968"/>
                  <a:pt x="4611182" y="765968"/>
                </a:cubicBezTo>
                <a:cubicBezTo>
                  <a:pt x="4630149" y="765968"/>
                  <a:pt x="4645528" y="750376"/>
                  <a:pt x="4645528" y="731148"/>
                </a:cubicBezTo>
                <a:cubicBezTo>
                  <a:pt x="4645528" y="711919"/>
                  <a:pt x="4630149" y="696327"/>
                  <a:pt x="4611182" y="696327"/>
                </a:cubicBezTo>
                <a:close/>
                <a:moveTo>
                  <a:pt x="4694923" y="696327"/>
                </a:moveTo>
                <a:cubicBezTo>
                  <a:pt x="4675956" y="696327"/>
                  <a:pt x="4660576" y="711919"/>
                  <a:pt x="4660576" y="731148"/>
                </a:cubicBezTo>
                <a:cubicBezTo>
                  <a:pt x="4660576" y="750376"/>
                  <a:pt x="4675956" y="765968"/>
                  <a:pt x="4694923" y="765968"/>
                </a:cubicBezTo>
                <a:cubicBezTo>
                  <a:pt x="4713890" y="765968"/>
                  <a:pt x="4729270" y="750376"/>
                  <a:pt x="4729270" y="731148"/>
                </a:cubicBezTo>
                <a:cubicBezTo>
                  <a:pt x="4729270" y="711919"/>
                  <a:pt x="4713890" y="696327"/>
                  <a:pt x="4694923" y="696327"/>
                </a:cubicBezTo>
                <a:close/>
                <a:moveTo>
                  <a:pt x="4778665" y="696327"/>
                </a:moveTo>
                <a:cubicBezTo>
                  <a:pt x="4759698" y="696327"/>
                  <a:pt x="4744319" y="711919"/>
                  <a:pt x="4744319" y="731148"/>
                </a:cubicBezTo>
                <a:cubicBezTo>
                  <a:pt x="4744319" y="750376"/>
                  <a:pt x="4759698" y="765968"/>
                  <a:pt x="4778665" y="765968"/>
                </a:cubicBezTo>
                <a:cubicBezTo>
                  <a:pt x="4797632" y="765968"/>
                  <a:pt x="4813012" y="750376"/>
                  <a:pt x="4813012" y="731148"/>
                </a:cubicBezTo>
                <a:cubicBezTo>
                  <a:pt x="4813012" y="711919"/>
                  <a:pt x="4797632" y="696327"/>
                  <a:pt x="4778665" y="696327"/>
                </a:cubicBezTo>
                <a:close/>
                <a:moveTo>
                  <a:pt x="4862406" y="696327"/>
                </a:moveTo>
                <a:cubicBezTo>
                  <a:pt x="4843439" y="696327"/>
                  <a:pt x="4828060" y="711919"/>
                  <a:pt x="4828060" y="731148"/>
                </a:cubicBezTo>
                <a:cubicBezTo>
                  <a:pt x="4828060" y="750376"/>
                  <a:pt x="4843439" y="765968"/>
                  <a:pt x="4862406" y="765968"/>
                </a:cubicBezTo>
                <a:cubicBezTo>
                  <a:pt x="4881373" y="765968"/>
                  <a:pt x="4896753" y="750376"/>
                  <a:pt x="4896753" y="731148"/>
                </a:cubicBezTo>
                <a:cubicBezTo>
                  <a:pt x="4896753" y="711919"/>
                  <a:pt x="4881373" y="696327"/>
                  <a:pt x="4862406" y="696327"/>
                </a:cubicBezTo>
                <a:close/>
                <a:moveTo>
                  <a:pt x="4946148" y="696327"/>
                </a:moveTo>
                <a:cubicBezTo>
                  <a:pt x="4927181" y="696327"/>
                  <a:pt x="4911801" y="711919"/>
                  <a:pt x="4911801" y="731148"/>
                </a:cubicBezTo>
                <a:cubicBezTo>
                  <a:pt x="4911801" y="750376"/>
                  <a:pt x="4927181" y="765968"/>
                  <a:pt x="4946148" y="765968"/>
                </a:cubicBezTo>
                <a:cubicBezTo>
                  <a:pt x="4965115" y="765968"/>
                  <a:pt x="4980494" y="750376"/>
                  <a:pt x="4980494" y="731148"/>
                </a:cubicBezTo>
                <a:cubicBezTo>
                  <a:pt x="4980494" y="711919"/>
                  <a:pt x="4965115" y="696327"/>
                  <a:pt x="4946148" y="696327"/>
                </a:cubicBezTo>
                <a:close/>
                <a:moveTo>
                  <a:pt x="5029890" y="696327"/>
                </a:moveTo>
                <a:cubicBezTo>
                  <a:pt x="5010923" y="696327"/>
                  <a:pt x="4995543" y="711919"/>
                  <a:pt x="4995543" y="731148"/>
                </a:cubicBezTo>
                <a:cubicBezTo>
                  <a:pt x="4995543" y="750376"/>
                  <a:pt x="5010923" y="765968"/>
                  <a:pt x="5029890" y="765968"/>
                </a:cubicBezTo>
                <a:cubicBezTo>
                  <a:pt x="5048857" y="765968"/>
                  <a:pt x="5064237" y="750376"/>
                  <a:pt x="5064237" y="731148"/>
                </a:cubicBezTo>
                <a:cubicBezTo>
                  <a:pt x="5064237" y="711919"/>
                  <a:pt x="5048857" y="696327"/>
                  <a:pt x="5029890" y="696327"/>
                </a:cubicBezTo>
                <a:close/>
                <a:moveTo>
                  <a:pt x="5113631" y="696327"/>
                </a:moveTo>
                <a:cubicBezTo>
                  <a:pt x="5094664" y="696327"/>
                  <a:pt x="5079285" y="711919"/>
                  <a:pt x="5079285" y="731148"/>
                </a:cubicBezTo>
                <a:cubicBezTo>
                  <a:pt x="5079285" y="750376"/>
                  <a:pt x="5094664" y="765968"/>
                  <a:pt x="5113631" y="765968"/>
                </a:cubicBezTo>
                <a:cubicBezTo>
                  <a:pt x="5132598" y="765968"/>
                  <a:pt x="5147978" y="750376"/>
                  <a:pt x="5147978" y="731148"/>
                </a:cubicBezTo>
                <a:cubicBezTo>
                  <a:pt x="5147978" y="711919"/>
                  <a:pt x="5132598" y="696327"/>
                  <a:pt x="5113631" y="696327"/>
                </a:cubicBezTo>
                <a:close/>
                <a:moveTo>
                  <a:pt x="5197372" y="696327"/>
                </a:moveTo>
                <a:cubicBezTo>
                  <a:pt x="5178405" y="696327"/>
                  <a:pt x="5163026" y="711919"/>
                  <a:pt x="5163026" y="731148"/>
                </a:cubicBezTo>
                <a:cubicBezTo>
                  <a:pt x="5163026" y="750376"/>
                  <a:pt x="5178405" y="765968"/>
                  <a:pt x="5197372" y="765968"/>
                </a:cubicBezTo>
                <a:cubicBezTo>
                  <a:pt x="5216339" y="765968"/>
                  <a:pt x="5231719" y="750376"/>
                  <a:pt x="5231719" y="731148"/>
                </a:cubicBezTo>
                <a:cubicBezTo>
                  <a:pt x="5231719" y="711919"/>
                  <a:pt x="5216339" y="696327"/>
                  <a:pt x="5197372" y="696327"/>
                </a:cubicBezTo>
                <a:close/>
                <a:moveTo>
                  <a:pt x="5281115" y="696327"/>
                </a:moveTo>
                <a:cubicBezTo>
                  <a:pt x="5262148" y="696327"/>
                  <a:pt x="5246768" y="711919"/>
                  <a:pt x="5246768" y="731148"/>
                </a:cubicBezTo>
                <a:cubicBezTo>
                  <a:pt x="5246768" y="750376"/>
                  <a:pt x="5262148" y="765968"/>
                  <a:pt x="5281115" y="765968"/>
                </a:cubicBezTo>
                <a:cubicBezTo>
                  <a:pt x="5300082" y="765968"/>
                  <a:pt x="5315461" y="750376"/>
                  <a:pt x="5315461" y="731148"/>
                </a:cubicBezTo>
                <a:cubicBezTo>
                  <a:pt x="5315461" y="711919"/>
                  <a:pt x="5300082" y="696327"/>
                  <a:pt x="5281115" y="696327"/>
                </a:cubicBezTo>
                <a:close/>
                <a:moveTo>
                  <a:pt x="5364856" y="696327"/>
                </a:moveTo>
                <a:cubicBezTo>
                  <a:pt x="5345889" y="696327"/>
                  <a:pt x="5330509" y="711919"/>
                  <a:pt x="5330509" y="731148"/>
                </a:cubicBezTo>
                <a:cubicBezTo>
                  <a:pt x="5330509" y="750376"/>
                  <a:pt x="5345889" y="765968"/>
                  <a:pt x="5364856" y="765968"/>
                </a:cubicBezTo>
                <a:cubicBezTo>
                  <a:pt x="5383823" y="765968"/>
                  <a:pt x="5399203" y="750376"/>
                  <a:pt x="5399203" y="731148"/>
                </a:cubicBezTo>
                <a:cubicBezTo>
                  <a:pt x="5399203" y="711919"/>
                  <a:pt x="5383823" y="696327"/>
                  <a:pt x="5364856" y="696327"/>
                </a:cubicBezTo>
                <a:close/>
                <a:moveTo>
                  <a:pt x="5448598" y="696327"/>
                </a:moveTo>
                <a:cubicBezTo>
                  <a:pt x="5429631" y="696327"/>
                  <a:pt x="5414252" y="711919"/>
                  <a:pt x="5414252" y="731148"/>
                </a:cubicBezTo>
                <a:cubicBezTo>
                  <a:pt x="5414252" y="750376"/>
                  <a:pt x="5429631" y="765968"/>
                  <a:pt x="5448598" y="765968"/>
                </a:cubicBezTo>
                <a:cubicBezTo>
                  <a:pt x="5467565" y="765968"/>
                  <a:pt x="5482945" y="750376"/>
                  <a:pt x="5482945" y="731148"/>
                </a:cubicBezTo>
                <a:cubicBezTo>
                  <a:pt x="5482945" y="711919"/>
                  <a:pt x="5467565" y="696327"/>
                  <a:pt x="5448598" y="696327"/>
                </a:cubicBezTo>
                <a:close/>
                <a:moveTo>
                  <a:pt x="5532339" y="696327"/>
                </a:moveTo>
                <a:cubicBezTo>
                  <a:pt x="5513372" y="696327"/>
                  <a:pt x="5497993" y="711919"/>
                  <a:pt x="5497993" y="731148"/>
                </a:cubicBezTo>
                <a:cubicBezTo>
                  <a:pt x="5497993" y="750376"/>
                  <a:pt x="5513372" y="765968"/>
                  <a:pt x="5532339" y="765968"/>
                </a:cubicBezTo>
                <a:cubicBezTo>
                  <a:pt x="5551306" y="765968"/>
                  <a:pt x="5566686" y="750376"/>
                  <a:pt x="5566686" y="731148"/>
                </a:cubicBezTo>
                <a:cubicBezTo>
                  <a:pt x="5566686" y="711919"/>
                  <a:pt x="5551306" y="696327"/>
                  <a:pt x="5532339" y="696327"/>
                </a:cubicBezTo>
                <a:close/>
                <a:moveTo>
                  <a:pt x="6788464" y="696327"/>
                </a:moveTo>
                <a:cubicBezTo>
                  <a:pt x="6769497" y="696327"/>
                  <a:pt x="6754110" y="711919"/>
                  <a:pt x="6754110" y="731148"/>
                </a:cubicBezTo>
                <a:cubicBezTo>
                  <a:pt x="6754110" y="750376"/>
                  <a:pt x="6769497" y="765968"/>
                  <a:pt x="6788464" y="765968"/>
                </a:cubicBezTo>
                <a:cubicBezTo>
                  <a:pt x="6807431" y="765968"/>
                  <a:pt x="6822804" y="750376"/>
                  <a:pt x="6822804" y="731148"/>
                </a:cubicBezTo>
                <a:cubicBezTo>
                  <a:pt x="6822804" y="711919"/>
                  <a:pt x="6807431" y="696327"/>
                  <a:pt x="6788464" y="696327"/>
                </a:cubicBezTo>
                <a:close/>
                <a:moveTo>
                  <a:pt x="6955947" y="696327"/>
                </a:moveTo>
                <a:cubicBezTo>
                  <a:pt x="6936980" y="696327"/>
                  <a:pt x="6921594" y="711919"/>
                  <a:pt x="6921594" y="731148"/>
                </a:cubicBezTo>
                <a:cubicBezTo>
                  <a:pt x="6921594" y="750376"/>
                  <a:pt x="6936980" y="765968"/>
                  <a:pt x="6955947" y="765968"/>
                </a:cubicBezTo>
                <a:cubicBezTo>
                  <a:pt x="6974914" y="765968"/>
                  <a:pt x="6990287" y="750376"/>
                  <a:pt x="6990287" y="731148"/>
                </a:cubicBezTo>
                <a:cubicBezTo>
                  <a:pt x="6990287" y="711919"/>
                  <a:pt x="6974914" y="696327"/>
                  <a:pt x="6955947" y="696327"/>
                </a:cubicBezTo>
                <a:close/>
                <a:moveTo>
                  <a:pt x="8044614" y="696327"/>
                </a:moveTo>
                <a:cubicBezTo>
                  <a:pt x="8025647" y="696327"/>
                  <a:pt x="8010261" y="711919"/>
                  <a:pt x="8010261" y="731148"/>
                </a:cubicBezTo>
                <a:cubicBezTo>
                  <a:pt x="8010261" y="750376"/>
                  <a:pt x="8025647" y="765968"/>
                  <a:pt x="8044614" y="765968"/>
                </a:cubicBezTo>
                <a:cubicBezTo>
                  <a:pt x="8063581" y="765968"/>
                  <a:pt x="8078955" y="750376"/>
                  <a:pt x="8078955" y="731148"/>
                </a:cubicBezTo>
                <a:cubicBezTo>
                  <a:pt x="8078955" y="711919"/>
                  <a:pt x="8063581" y="696327"/>
                  <a:pt x="8044614" y="696327"/>
                </a:cubicBezTo>
                <a:close/>
                <a:moveTo>
                  <a:pt x="8212097" y="696327"/>
                </a:moveTo>
                <a:cubicBezTo>
                  <a:pt x="8193130" y="696327"/>
                  <a:pt x="8177744" y="711919"/>
                  <a:pt x="8177744" y="731148"/>
                </a:cubicBezTo>
                <a:cubicBezTo>
                  <a:pt x="8177744" y="750376"/>
                  <a:pt x="8193130" y="765968"/>
                  <a:pt x="8212097" y="765968"/>
                </a:cubicBezTo>
                <a:cubicBezTo>
                  <a:pt x="8231064" y="765968"/>
                  <a:pt x="8246437" y="750376"/>
                  <a:pt x="8246437" y="731148"/>
                </a:cubicBezTo>
                <a:cubicBezTo>
                  <a:pt x="8246437" y="711919"/>
                  <a:pt x="8231064" y="696327"/>
                  <a:pt x="8212097" y="696327"/>
                </a:cubicBezTo>
                <a:close/>
                <a:moveTo>
                  <a:pt x="9049513" y="696327"/>
                </a:moveTo>
                <a:cubicBezTo>
                  <a:pt x="9030546" y="696327"/>
                  <a:pt x="9015160" y="711919"/>
                  <a:pt x="9015160" y="731148"/>
                </a:cubicBezTo>
                <a:cubicBezTo>
                  <a:pt x="9015160" y="750376"/>
                  <a:pt x="9030546" y="765968"/>
                  <a:pt x="9049513" y="765968"/>
                </a:cubicBezTo>
                <a:cubicBezTo>
                  <a:pt x="9068480" y="765968"/>
                  <a:pt x="9083854" y="750376"/>
                  <a:pt x="9083854" y="731148"/>
                </a:cubicBezTo>
                <a:cubicBezTo>
                  <a:pt x="9083854" y="711919"/>
                  <a:pt x="9068480" y="696327"/>
                  <a:pt x="9049513" y="696327"/>
                </a:cubicBezTo>
                <a:close/>
                <a:moveTo>
                  <a:pt x="3355051" y="781191"/>
                </a:moveTo>
                <a:cubicBezTo>
                  <a:pt x="3336084" y="781191"/>
                  <a:pt x="3320704" y="796783"/>
                  <a:pt x="3320704" y="816011"/>
                </a:cubicBezTo>
                <a:cubicBezTo>
                  <a:pt x="3320704" y="835240"/>
                  <a:pt x="3336084" y="850832"/>
                  <a:pt x="3355051" y="850832"/>
                </a:cubicBezTo>
                <a:cubicBezTo>
                  <a:pt x="3374018" y="850832"/>
                  <a:pt x="3389398" y="835240"/>
                  <a:pt x="3389398" y="816011"/>
                </a:cubicBezTo>
                <a:cubicBezTo>
                  <a:pt x="3389398" y="796783"/>
                  <a:pt x="3374018" y="781191"/>
                  <a:pt x="3355051" y="781191"/>
                </a:cubicBezTo>
                <a:close/>
                <a:moveTo>
                  <a:pt x="3522533" y="781191"/>
                </a:moveTo>
                <a:cubicBezTo>
                  <a:pt x="3503566" y="781191"/>
                  <a:pt x="3488187" y="796783"/>
                  <a:pt x="3488187" y="816011"/>
                </a:cubicBezTo>
                <a:cubicBezTo>
                  <a:pt x="3488187" y="835240"/>
                  <a:pt x="3503566" y="850832"/>
                  <a:pt x="3522533" y="850832"/>
                </a:cubicBezTo>
                <a:cubicBezTo>
                  <a:pt x="3541500" y="850832"/>
                  <a:pt x="3556880" y="835240"/>
                  <a:pt x="3556880" y="816011"/>
                </a:cubicBezTo>
                <a:cubicBezTo>
                  <a:pt x="3556880" y="796783"/>
                  <a:pt x="3541500" y="781191"/>
                  <a:pt x="3522533" y="781191"/>
                </a:cubicBezTo>
                <a:close/>
                <a:moveTo>
                  <a:pt x="3690017" y="781191"/>
                </a:moveTo>
                <a:cubicBezTo>
                  <a:pt x="3671050" y="781191"/>
                  <a:pt x="3655670" y="796783"/>
                  <a:pt x="3655670" y="816011"/>
                </a:cubicBezTo>
                <a:cubicBezTo>
                  <a:pt x="3655670" y="835240"/>
                  <a:pt x="3671050" y="850832"/>
                  <a:pt x="3690017" y="850832"/>
                </a:cubicBezTo>
                <a:cubicBezTo>
                  <a:pt x="3708984" y="850832"/>
                  <a:pt x="3724364" y="835240"/>
                  <a:pt x="3724364" y="816011"/>
                </a:cubicBezTo>
                <a:cubicBezTo>
                  <a:pt x="3724364" y="796783"/>
                  <a:pt x="3708984" y="781191"/>
                  <a:pt x="3690017" y="781191"/>
                </a:cubicBezTo>
                <a:close/>
                <a:moveTo>
                  <a:pt x="4192473" y="781191"/>
                </a:moveTo>
                <a:cubicBezTo>
                  <a:pt x="4173506" y="781191"/>
                  <a:pt x="4158127" y="796783"/>
                  <a:pt x="4158127" y="816011"/>
                </a:cubicBezTo>
                <a:cubicBezTo>
                  <a:pt x="4158127" y="835240"/>
                  <a:pt x="4173506" y="850832"/>
                  <a:pt x="4192473" y="850832"/>
                </a:cubicBezTo>
                <a:cubicBezTo>
                  <a:pt x="4211440" y="850832"/>
                  <a:pt x="4226820" y="835240"/>
                  <a:pt x="4226820" y="816011"/>
                </a:cubicBezTo>
                <a:cubicBezTo>
                  <a:pt x="4226820" y="796783"/>
                  <a:pt x="4211440" y="781191"/>
                  <a:pt x="4192473" y="781191"/>
                </a:cubicBezTo>
                <a:close/>
                <a:moveTo>
                  <a:pt x="4443698" y="781191"/>
                </a:moveTo>
                <a:cubicBezTo>
                  <a:pt x="4424731" y="781191"/>
                  <a:pt x="4409352" y="796783"/>
                  <a:pt x="4409352" y="816011"/>
                </a:cubicBezTo>
                <a:cubicBezTo>
                  <a:pt x="4409352" y="835240"/>
                  <a:pt x="4424731" y="850832"/>
                  <a:pt x="4443698" y="850832"/>
                </a:cubicBezTo>
                <a:cubicBezTo>
                  <a:pt x="4462665" y="850832"/>
                  <a:pt x="4478045" y="835240"/>
                  <a:pt x="4478045" y="816011"/>
                </a:cubicBezTo>
                <a:cubicBezTo>
                  <a:pt x="4478045" y="796783"/>
                  <a:pt x="4462665" y="781191"/>
                  <a:pt x="4443698" y="781191"/>
                </a:cubicBezTo>
                <a:close/>
                <a:moveTo>
                  <a:pt x="4527439" y="781191"/>
                </a:moveTo>
                <a:cubicBezTo>
                  <a:pt x="4508472" y="781191"/>
                  <a:pt x="4493093" y="796783"/>
                  <a:pt x="4493093" y="816011"/>
                </a:cubicBezTo>
                <a:cubicBezTo>
                  <a:pt x="4493093" y="835240"/>
                  <a:pt x="4508472" y="850832"/>
                  <a:pt x="4527439" y="850832"/>
                </a:cubicBezTo>
                <a:cubicBezTo>
                  <a:pt x="4546406" y="850832"/>
                  <a:pt x="4561786" y="835240"/>
                  <a:pt x="4561786" y="816011"/>
                </a:cubicBezTo>
                <a:cubicBezTo>
                  <a:pt x="4561786" y="796783"/>
                  <a:pt x="4546406" y="781191"/>
                  <a:pt x="4527439" y="781191"/>
                </a:cubicBezTo>
                <a:close/>
                <a:moveTo>
                  <a:pt x="4611182" y="781191"/>
                </a:moveTo>
                <a:cubicBezTo>
                  <a:pt x="4592215" y="781191"/>
                  <a:pt x="4576835" y="796783"/>
                  <a:pt x="4576835" y="816011"/>
                </a:cubicBezTo>
                <a:cubicBezTo>
                  <a:pt x="4576835" y="835240"/>
                  <a:pt x="4592215" y="850832"/>
                  <a:pt x="4611182" y="850832"/>
                </a:cubicBezTo>
                <a:cubicBezTo>
                  <a:pt x="4630149" y="850832"/>
                  <a:pt x="4645528" y="835240"/>
                  <a:pt x="4645528" y="816011"/>
                </a:cubicBezTo>
                <a:cubicBezTo>
                  <a:pt x="4645528" y="796783"/>
                  <a:pt x="4630149" y="781191"/>
                  <a:pt x="4611182" y="781191"/>
                </a:cubicBezTo>
                <a:close/>
                <a:moveTo>
                  <a:pt x="4694923" y="781191"/>
                </a:moveTo>
                <a:cubicBezTo>
                  <a:pt x="4675956" y="781191"/>
                  <a:pt x="4660576" y="796783"/>
                  <a:pt x="4660576" y="816011"/>
                </a:cubicBezTo>
                <a:cubicBezTo>
                  <a:pt x="4660576" y="835240"/>
                  <a:pt x="4675956" y="850832"/>
                  <a:pt x="4694923" y="850832"/>
                </a:cubicBezTo>
                <a:cubicBezTo>
                  <a:pt x="4713890" y="850832"/>
                  <a:pt x="4729270" y="835240"/>
                  <a:pt x="4729270" y="816011"/>
                </a:cubicBezTo>
                <a:cubicBezTo>
                  <a:pt x="4729270" y="796783"/>
                  <a:pt x="4713890" y="781191"/>
                  <a:pt x="4694923" y="781191"/>
                </a:cubicBezTo>
                <a:close/>
                <a:moveTo>
                  <a:pt x="4778665" y="781191"/>
                </a:moveTo>
                <a:cubicBezTo>
                  <a:pt x="4759698" y="781191"/>
                  <a:pt x="4744319" y="796783"/>
                  <a:pt x="4744319" y="816011"/>
                </a:cubicBezTo>
                <a:cubicBezTo>
                  <a:pt x="4744319" y="835240"/>
                  <a:pt x="4759698" y="850832"/>
                  <a:pt x="4778665" y="850832"/>
                </a:cubicBezTo>
                <a:cubicBezTo>
                  <a:pt x="4797632" y="850832"/>
                  <a:pt x="4813012" y="835240"/>
                  <a:pt x="4813012" y="816011"/>
                </a:cubicBezTo>
                <a:cubicBezTo>
                  <a:pt x="4813012" y="796783"/>
                  <a:pt x="4797632" y="781191"/>
                  <a:pt x="4778665" y="781191"/>
                </a:cubicBezTo>
                <a:close/>
                <a:moveTo>
                  <a:pt x="4862406" y="781191"/>
                </a:moveTo>
                <a:cubicBezTo>
                  <a:pt x="4843439" y="781191"/>
                  <a:pt x="4828060" y="796783"/>
                  <a:pt x="4828060" y="816011"/>
                </a:cubicBezTo>
                <a:cubicBezTo>
                  <a:pt x="4828060" y="835240"/>
                  <a:pt x="4843439" y="850832"/>
                  <a:pt x="4862406" y="850832"/>
                </a:cubicBezTo>
                <a:cubicBezTo>
                  <a:pt x="4881373" y="850832"/>
                  <a:pt x="4896753" y="835240"/>
                  <a:pt x="4896753" y="816011"/>
                </a:cubicBezTo>
                <a:cubicBezTo>
                  <a:pt x="4896753" y="796783"/>
                  <a:pt x="4881373" y="781191"/>
                  <a:pt x="4862406" y="781191"/>
                </a:cubicBezTo>
                <a:close/>
                <a:moveTo>
                  <a:pt x="4946148" y="781191"/>
                </a:moveTo>
                <a:cubicBezTo>
                  <a:pt x="4927181" y="781191"/>
                  <a:pt x="4911801" y="796783"/>
                  <a:pt x="4911801" y="816011"/>
                </a:cubicBezTo>
                <a:cubicBezTo>
                  <a:pt x="4911801" y="835240"/>
                  <a:pt x="4927181" y="850832"/>
                  <a:pt x="4946148" y="850832"/>
                </a:cubicBezTo>
                <a:cubicBezTo>
                  <a:pt x="4965115" y="850832"/>
                  <a:pt x="4980494" y="835240"/>
                  <a:pt x="4980494" y="816011"/>
                </a:cubicBezTo>
                <a:cubicBezTo>
                  <a:pt x="4980494" y="796783"/>
                  <a:pt x="4965115" y="781191"/>
                  <a:pt x="4946148" y="781191"/>
                </a:cubicBezTo>
                <a:close/>
                <a:moveTo>
                  <a:pt x="5029890" y="781191"/>
                </a:moveTo>
                <a:cubicBezTo>
                  <a:pt x="5010923" y="781191"/>
                  <a:pt x="4995543" y="796783"/>
                  <a:pt x="4995543" y="816011"/>
                </a:cubicBezTo>
                <a:cubicBezTo>
                  <a:pt x="4995543" y="835240"/>
                  <a:pt x="5010923" y="850832"/>
                  <a:pt x="5029890" y="850832"/>
                </a:cubicBezTo>
                <a:cubicBezTo>
                  <a:pt x="5048857" y="850832"/>
                  <a:pt x="5064237" y="835240"/>
                  <a:pt x="5064237" y="816011"/>
                </a:cubicBezTo>
                <a:cubicBezTo>
                  <a:pt x="5064237" y="796783"/>
                  <a:pt x="5048857" y="781191"/>
                  <a:pt x="5029890" y="781191"/>
                </a:cubicBezTo>
                <a:close/>
                <a:moveTo>
                  <a:pt x="5113631" y="781191"/>
                </a:moveTo>
                <a:cubicBezTo>
                  <a:pt x="5094664" y="781191"/>
                  <a:pt x="5079285" y="796783"/>
                  <a:pt x="5079285" y="816011"/>
                </a:cubicBezTo>
                <a:cubicBezTo>
                  <a:pt x="5079285" y="835240"/>
                  <a:pt x="5094664" y="850832"/>
                  <a:pt x="5113631" y="850832"/>
                </a:cubicBezTo>
                <a:cubicBezTo>
                  <a:pt x="5132598" y="850832"/>
                  <a:pt x="5147978" y="835240"/>
                  <a:pt x="5147978" y="816011"/>
                </a:cubicBezTo>
                <a:cubicBezTo>
                  <a:pt x="5147978" y="796783"/>
                  <a:pt x="5132598" y="781191"/>
                  <a:pt x="5113631" y="781191"/>
                </a:cubicBezTo>
                <a:close/>
                <a:moveTo>
                  <a:pt x="5197372" y="781191"/>
                </a:moveTo>
                <a:cubicBezTo>
                  <a:pt x="5178405" y="781191"/>
                  <a:pt x="5163026" y="796783"/>
                  <a:pt x="5163026" y="816011"/>
                </a:cubicBezTo>
                <a:cubicBezTo>
                  <a:pt x="5163026" y="835240"/>
                  <a:pt x="5178405" y="850832"/>
                  <a:pt x="5197372" y="850832"/>
                </a:cubicBezTo>
                <a:cubicBezTo>
                  <a:pt x="5216339" y="850832"/>
                  <a:pt x="5231719" y="835240"/>
                  <a:pt x="5231719" y="816011"/>
                </a:cubicBezTo>
                <a:cubicBezTo>
                  <a:pt x="5231719" y="796783"/>
                  <a:pt x="5216339" y="781191"/>
                  <a:pt x="5197372" y="781191"/>
                </a:cubicBezTo>
                <a:close/>
                <a:moveTo>
                  <a:pt x="5281115" y="781191"/>
                </a:moveTo>
                <a:cubicBezTo>
                  <a:pt x="5262148" y="781191"/>
                  <a:pt x="5246768" y="796783"/>
                  <a:pt x="5246768" y="816011"/>
                </a:cubicBezTo>
                <a:cubicBezTo>
                  <a:pt x="5246768" y="835240"/>
                  <a:pt x="5262148" y="850832"/>
                  <a:pt x="5281115" y="850832"/>
                </a:cubicBezTo>
                <a:cubicBezTo>
                  <a:pt x="5300082" y="850832"/>
                  <a:pt x="5315461" y="835240"/>
                  <a:pt x="5315461" y="816011"/>
                </a:cubicBezTo>
                <a:cubicBezTo>
                  <a:pt x="5315461" y="796783"/>
                  <a:pt x="5300082" y="781191"/>
                  <a:pt x="5281115" y="781191"/>
                </a:cubicBezTo>
                <a:close/>
                <a:moveTo>
                  <a:pt x="5364856" y="781191"/>
                </a:moveTo>
                <a:cubicBezTo>
                  <a:pt x="5345889" y="781191"/>
                  <a:pt x="5330509" y="796783"/>
                  <a:pt x="5330509" y="816011"/>
                </a:cubicBezTo>
                <a:cubicBezTo>
                  <a:pt x="5330509" y="835240"/>
                  <a:pt x="5345889" y="850832"/>
                  <a:pt x="5364856" y="850832"/>
                </a:cubicBezTo>
                <a:cubicBezTo>
                  <a:pt x="5383823" y="850832"/>
                  <a:pt x="5399203" y="835240"/>
                  <a:pt x="5399203" y="816011"/>
                </a:cubicBezTo>
                <a:cubicBezTo>
                  <a:pt x="5399203" y="796783"/>
                  <a:pt x="5383823" y="781191"/>
                  <a:pt x="5364856" y="781191"/>
                </a:cubicBezTo>
                <a:close/>
                <a:moveTo>
                  <a:pt x="5448598" y="781191"/>
                </a:moveTo>
                <a:cubicBezTo>
                  <a:pt x="5429631" y="781191"/>
                  <a:pt x="5414252" y="796783"/>
                  <a:pt x="5414252" y="816011"/>
                </a:cubicBezTo>
                <a:cubicBezTo>
                  <a:pt x="5414252" y="835240"/>
                  <a:pt x="5429631" y="850832"/>
                  <a:pt x="5448598" y="850832"/>
                </a:cubicBezTo>
                <a:cubicBezTo>
                  <a:pt x="5467565" y="850832"/>
                  <a:pt x="5482945" y="835240"/>
                  <a:pt x="5482945" y="816011"/>
                </a:cubicBezTo>
                <a:cubicBezTo>
                  <a:pt x="5482945" y="796783"/>
                  <a:pt x="5467565" y="781191"/>
                  <a:pt x="5448598" y="781191"/>
                </a:cubicBezTo>
                <a:close/>
                <a:moveTo>
                  <a:pt x="6286014" y="781191"/>
                </a:moveTo>
                <a:cubicBezTo>
                  <a:pt x="6267047" y="781191"/>
                  <a:pt x="6251661" y="796783"/>
                  <a:pt x="6251661" y="816011"/>
                </a:cubicBezTo>
                <a:cubicBezTo>
                  <a:pt x="6251661" y="835240"/>
                  <a:pt x="6267047" y="850832"/>
                  <a:pt x="6286014" y="850832"/>
                </a:cubicBezTo>
                <a:cubicBezTo>
                  <a:pt x="6304981" y="850832"/>
                  <a:pt x="6320354" y="835240"/>
                  <a:pt x="6320354" y="816011"/>
                </a:cubicBezTo>
                <a:cubicBezTo>
                  <a:pt x="6320354" y="796783"/>
                  <a:pt x="6304981" y="781191"/>
                  <a:pt x="6286014" y="781191"/>
                </a:cubicBezTo>
                <a:close/>
                <a:moveTo>
                  <a:pt x="6369755" y="781191"/>
                </a:moveTo>
                <a:cubicBezTo>
                  <a:pt x="6350788" y="781191"/>
                  <a:pt x="6335402" y="796783"/>
                  <a:pt x="6335402" y="816011"/>
                </a:cubicBezTo>
                <a:cubicBezTo>
                  <a:pt x="6335402" y="835240"/>
                  <a:pt x="6350788" y="850832"/>
                  <a:pt x="6369755" y="850832"/>
                </a:cubicBezTo>
                <a:cubicBezTo>
                  <a:pt x="6388722" y="850832"/>
                  <a:pt x="6404096" y="835240"/>
                  <a:pt x="6404096" y="816011"/>
                </a:cubicBezTo>
                <a:cubicBezTo>
                  <a:pt x="6404096" y="796783"/>
                  <a:pt x="6388722" y="781191"/>
                  <a:pt x="6369755" y="781191"/>
                </a:cubicBezTo>
                <a:close/>
                <a:moveTo>
                  <a:pt x="8044614" y="781191"/>
                </a:moveTo>
                <a:cubicBezTo>
                  <a:pt x="8025647" y="781191"/>
                  <a:pt x="8010261" y="796783"/>
                  <a:pt x="8010261" y="816011"/>
                </a:cubicBezTo>
                <a:cubicBezTo>
                  <a:pt x="8010261" y="835240"/>
                  <a:pt x="8025647" y="850832"/>
                  <a:pt x="8044614" y="850832"/>
                </a:cubicBezTo>
                <a:cubicBezTo>
                  <a:pt x="8063581" y="850832"/>
                  <a:pt x="8078955" y="835240"/>
                  <a:pt x="8078955" y="816011"/>
                </a:cubicBezTo>
                <a:cubicBezTo>
                  <a:pt x="8078955" y="796783"/>
                  <a:pt x="8063581" y="781191"/>
                  <a:pt x="8044614" y="781191"/>
                </a:cubicBezTo>
                <a:close/>
                <a:moveTo>
                  <a:pt x="8128356" y="781191"/>
                </a:moveTo>
                <a:cubicBezTo>
                  <a:pt x="8109389" y="781191"/>
                  <a:pt x="8094003" y="796783"/>
                  <a:pt x="8094003" y="816011"/>
                </a:cubicBezTo>
                <a:cubicBezTo>
                  <a:pt x="8094003" y="835240"/>
                  <a:pt x="8109389" y="850832"/>
                  <a:pt x="8128356" y="850832"/>
                </a:cubicBezTo>
                <a:cubicBezTo>
                  <a:pt x="8147323" y="850832"/>
                  <a:pt x="8162696" y="835240"/>
                  <a:pt x="8162696" y="816011"/>
                </a:cubicBezTo>
                <a:cubicBezTo>
                  <a:pt x="8162696" y="796783"/>
                  <a:pt x="8147323" y="781191"/>
                  <a:pt x="8128356" y="781191"/>
                </a:cubicBezTo>
                <a:close/>
                <a:moveTo>
                  <a:pt x="8212097" y="781191"/>
                </a:moveTo>
                <a:cubicBezTo>
                  <a:pt x="8193130" y="781191"/>
                  <a:pt x="8177744" y="796783"/>
                  <a:pt x="8177744" y="816011"/>
                </a:cubicBezTo>
                <a:cubicBezTo>
                  <a:pt x="8177744" y="835240"/>
                  <a:pt x="8193130" y="850832"/>
                  <a:pt x="8212097" y="850832"/>
                </a:cubicBezTo>
                <a:cubicBezTo>
                  <a:pt x="8231064" y="850832"/>
                  <a:pt x="8246437" y="835240"/>
                  <a:pt x="8246437" y="816011"/>
                </a:cubicBezTo>
                <a:cubicBezTo>
                  <a:pt x="8246437" y="796783"/>
                  <a:pt x="8231064" y="781191"/>
                  <a:pt x="8212097" y="781191"/>
                </a:cubicBezTo>
                <a:close/>
                <a:moveTo>
                  <a:pt x="8295839" y="781191"/>
                </a:moveTo>
                <a:cubicBezTo>
                  <a:pt x="8276872" y="781191"/>
                  <a:pt x="8261486" y="796783"/>
                  <a:pt x="8261486" y="816011"/>
                </a:cubicBezTo>
                <a:cubicBezTo>
                  <a:pt x="8261486" y="835240"/>
                  <a:pt x="8276872" y="850832"/>
                  <a:pt x="8295839" y="850832"/>
                </a:cubicBezTo>
                <a:cubicBezTo>
                  <a:pt x="8314806" y="850832"/>
                  <a:pt x="8330179" y="835240"/>
                  <a:pt x="8330179" y="816011"/>
                </a:cubicBezTo>
                <a:cubicBezTo>
                  <a:pt x="8330179" y="796783"/>
                  <a:pt x="8314806" y="781191"/>
                  <a:pt x="8295839" y="781191"/>
                </a:cubicBezTo>
                <a:close/>
                <a:moveTo>
                  <a:pt x="9300738" y="781191"/>
                </a:moveTo>
                <a:cubicBezTo>
                  <a:pt x="9281771" y="781191"/>
                  <a:pt x="9266385" y="796783"/>
                  <a:pt x="9266385" y="816011"/>
                </a:cubicBezTo>
                <a:cubicBezTo>
                  <a:pt x="9266385" y="835240"/>
                  <a:pt x="9281771" y="850832"/>
                  <a:pt x="9300738" y="850832"/>
                </a:cubicBezTo>
                <a:cubicBezTo>
                  <a:pt x="9319705" y="850832"/>
                  <a:pt x="9335078" y="835240"/>
                  <a:pt x="9335078" y="816011"/>
                </a:cubicBezTo>
                <a:cubicBezTo>
                  <a:pt x="9335078" y="796783"/>
                  <a:pt x="9319705" y="781191"/>
                  <a:pt x="9300738" y="781191"/>
                </a:cubicBezTo>
                <a:close/>
                <a:moveTo>
                  <a:pt x="10054413" y="781191"/>
                </a:moveTo>
                <a:cubicBezTo>
                  <a:pt x="10035446" y="781191"/>
                  <a:pt x="10020060" y="796783"/>
                  <a:pt x="10020060" y="816011"/>
                </a:cubicBezTo>
                <a:cubicBezTo>
                  <a:pt x="10020060" y="835240"/>
                  <a:pt x="10035446" y="850832"/>
                  <a:pt x="10054413" y="850832"/>
                </a:cubicBezTo>
                <a:cubicBezTo>
                  <a:pt x="10073380" y="850832"/>
                  <a:pt x="10088754" y="835240"/>
                  <a:pt x="10088754" y="816011"/>
                </a:cubicBezTo>
                <a:cubicBezTo>
                  <a:pt x="10088754" y="796783"/>
                  <a:pt x="10073380" y="781191"/>
                  <a:pt x="10054413" y="781191"/>
                </a:cubicBezTo>
                <a:close/>
                <a:moveTo>
                  <a:pt x="10138155" y="781191"/>
                </a:moveTo>
                <a:cubicBezTo>
                  <a:pt x="10119188" y="781191"/>
                  <a:pt x="10103802" y="796783"/>
                  <a:pt x="10103802" y="816011"/>
                </a:cubicBezTo>
                <a:cubicBezTo>
                  <a:pt x="10103802" y="835240"/>
                  <a:pt x="10119188" y="850832"/>
                  <a:pt x="10138155" y="850832"/>
                </a:cubicBezTo>
                <a:cubicBezTo>
                  <a:pt x="10157122" y="850832"/>
                  <a:pt x="10172495" y="835240"/>
                  <a:pt x="10172495" y="816011"/>
                </a:cubicBezTo>
                <a:cubicBezTo>
                  <a:pt x="10172495" y="796783"/>
                  <a:pt x="10157122" y="781191"/>
                  <a:pt x="10138155" y="781191"/>
                </a:cubicBezTo>
                <a:close/>
                <a:moveTo>
                  <a:pt x="10221896" y="781191"/>
                </a:moveTo>
                <a:cubicBezTo>
                  <a:pt x="10202929" y="781191"/>
                  <a:pt x="10187543" y="796783"/>
                  <a:pt x="10187543" y="816011"/>
                </a:cubicBezTo>
                <a:cubicBezTo>
                  <a:pt x="10187543" y="835240"/>
                  <a:pt x="10202929" y="850832"/>
                  <a:pt x="10221896" y="850832"/>
                </a:cubicBezTo>
                <a:cubicBezTo>
                  <a:pt x="10240863" y="850832"/>
                  <a:pt x="10256236" y="835240"/>
                  <a:pt x="10256236" y="816011"/>
                </a:cubicBezTo>
                <a:cubicBezTo>
                  <a:pt x="10256236" y="796783"/>
                  <a:pt x="10240863" y="781191"/>
                  <a:pt x="10221896" y="781191"/>
                </a:cubicBezTo>
                <a:close/>
                <a:moveTo>
                  <a:pt x="10305638" y="781191"/>
                </a:moveTo>
                <a:cubicBezTo>
                  <a:pt x="10286671" y="781191"/>
                  <a:pt x="10271285" y="796783"/>
                  <a:pt x="10271285" y="816011"/>
                </a:cubicBezTo>
                <a:cubicBezTo>
                  <a:pt x="10271285" y="835240"/>
                  <a:pt x="10286671" y="850832"/>
                  <a:pt x="10305638" y="850832"/>
                </a:cubicBezTo>
                <a:cubicBezTo>
                  <a:pt x="10324605" y="850832"/>
                  <a:pt x="10339978" y="835240"/>
                  <a:pt x="10339978" y="816011"/>
                </a:cubicBezTo>
                <a:cubicBezTo>
                  <a:pt x="10339978" y="796783"/>
                  <a:pt x="10324605" y="781191"/>
                  <a:pt x="10305638" y="781191"/>
                </a:cubicBezTo>
                <a:close/>
                <a:moveTo>
                  <a:pt x="10389379" y="781191"/>
                </a:moveTo>
                <a:cubicBezTo>
                  <a:pt x="10370412" y="781191"/>
                  <a:pt x="10355026" y="796783"/>
                  <a:pt x="10355026" y="816011"/>
                </a:cubicBezTo>
                <a:cubicBezTo>
                  <a:pt x="10355026" y="835240"/>
                  <a:pt x="10370412" y="850832"/>
                  <a:pt x="10389379" y="850832"/>
                </a:cubicBezTo>
                <a:cubicBezTo>
                  <a:pt x="10408346" y="850832"/>
                  <a:pt x="10423720" y="835240"/>
                  <a:pt x="10423720" y="816011"/>
                </a:cubicBezTo>
                <a:cubicBezTo>
                  <a:pt x="10423720" y="796783"/>
                  <a:pt x="10408346" y="781191"/>
                  <a:pt x="10389379" y="781191"/>
                </a:cubicBezTo>
                <a:close/>
                <a:moveTo>
                  <a:pt x="10556863" y="781191"/>
                </a:moveTo>
                <a:cubicBezTo>
                  <a:pt x="10537896" y="781191"/>
                  <a:pt x="10522510" y="796783"/>
                  <a:pt x="10522510" y="816011"/>
                </a:cubicBezTo>
                <a:cubicBezTo>
                  <a:pt x="10522510" y="835240"/>
                  <a:pt x="10537896" y="850832"/>
                  <a:pt x="10556863" y="850832"/>
                </a:cubicBezTo>
                <a:cubicBezTo>
                  <a:pt x="10575830" y="850832"/>
                  <a:pt x="10591203" y="835240"/>
                  <a:pt x="10591203" y="816011"/>
                </a:cubicBezTo>
                <a:cubicBezTo>
                  <a:pt x="10591203" y="796783"/>
                  <a:pt x="10575830" y="781191"/>
                  <a:pt x="10556863" y="781191"/>
                </a:cubicBezTo>
                <a:close/>
                <a:moveTo>
                  <a:pt x="2015191" y="866055"/>
                </a:moveTo>
                <a:cubicBezTo>
                  <a:pt x="1996224" y="866055"/>
                  <a:pt x="1980844" y="881646"/>
                  <a:pt x="1980844" y="900875"/>
                </a:cubicBezTo>
                <a:cubicBezTo>
                  <a:pt x="1980844" y="920104"/>
                  <a:pt x="1996224" y="935695"/>
                  <a:pt x="2015191" y="935695"/>
                </a:cubicBezTo>
                <a:cubicBezTo>
                  <a:pt x="2034158" y="935695"/>
                  <a:pt x="2049538" y="920104"/>
                  <a:pt x="2049538" y="900875"/>
                </a:cubicBezTo>
                <a:cubicBezTo>
                  <a:pt x="2049538" y="881646"/>
                  <a:pt x="2034158" y="866055"/>
                  <a:pt x="2015191" y="866055"/>
                </a:cubicBezTo>
                <a:close/>
                <a:moveTo>
                  <a:pt x="2098932" y="866055"/>
                </a:moveTo>
                <a:cubicBezTo>
                  <a:pt x="2079965" y="866055"/>
                  <a:pt x="2064586" y="881646"/>
                  <a:pt x="2064586" y="900875"/>
                </a:cubicBezTo>
                <a:cubicBezTo>
                  <a:pt x="2064586" y="920104"/>
                  <a:pt x="2079965" y="935695"/>
                  <a:pt x="2098932" y="935695"/>
                </a:cubicBezTo>
                <a:cubicBezTo>
                  <a:pt x="2117899" y="935695"/>
                  <a:pt x="2133279" y="920104"/>
                  <a:pt x="2133279" y="900875"/>
                </a:cubicBezTo>
                <a:cubicBezTo>
                  <a:pt x="2133279" y="881646"/>
                  <a:pt x="2117899" y="866055"/>
                  <a:pt x="2098932" y="866055"/>
                </a:cubicBezTo>
                <a:close/>
                <a:moveTo>
                  <a:pt x="3103826" y="866055"/>
                </a:moveTo>
                <a:cubicBezTo>
                  <a:pt x="3084859" y="866055"/>
                  <a:pt x="3069479" y="881646"/>
                  <a:pt x="3069479" y="900875"/>
                </a:cubicBezTo>
                <a:cubicBezTo>
                  <a:pt x="3069479" y="920104"/>
                  <a:pt x="3084859" y="935695"/>
                  <a:pt x="3103826" y="935695"/>
                </a:cubicBezTo>
                <a:cubicBezTo>
                  <a:pt x="3122793" y="935695"/>
                  <a:pt x="3138173" y="920104"/>
                  <a:pt x="3138173" y="900875"/>
                </a:cubicBezTo>
                <a:cubicBezTo>
                  <a:pt x="3138173" y="881646"/>
                  <a:pt x="3122793" y="866055"/>
                  <a:pt x="3103826" y="866055"/>
                </a:cubicBezTo>
                <a:close/>
                <a:moveTo>
                  <a:pt x="3355051" y="866055"/>
                </a:moveTo>
                <a:cubicBezTo>
                  <a:pt x="3336084" y="866055"/>
                  <a:pt x="3320704" y="881646"/>
                  <a:pt x="3320704" y="900875"/>
                </a:cubicBezTo>
                <a:cubicBezTo>
                  <a:pt x="3320704" y="920104"/>
                  <a:pt x="3336084" y="935695"/>
                  <a:pt x="3355051" y="935695"/>
                </a:cubicBezTo>
                <a:cubicBezTo>
                  <a:pt x="3374018" y="935695"/>
                  <a:pt x="3389398" y="920104"/>
                  <a:pt x="3389398" y="900875"/>
                </a:cubicBezTo>
                <a:cubicBezTo>
                  <a:pt x="3389398" y="881646"/>
                  <a:pt x="3374018" y="866055"/>
                  <a:pt x="3355051" y="866055"/>
                </a:cubicBezTo>
                <a:close/>
                <a:moveTo>
                  <a:pt x="3438792" y="866055"/>
                </a:moveTo>
                <a:cubicBezTo>
                  <a:pt x="3419825" y="866055"/>
                  <a:pt x="3404445" y="881646"/>
                  <a:pt x="3404445" y="900875"/>
                </a:cubicBezTo>
                <a:cubicBezTo>
                  <a:pt x="3404445" y="920104"/>
                  <a:pt x="3419825" y="935695"/>
                  <a:pt x="3438792" y="935695"/>
                </a:cubicBezTo>
                <a:cubicBezTo>
                  <a:pt x="3457759" y="935695"/>
                  <a:pt x="3473139" y="920104"/>
                  <a:pt x="3473139" y="900875"/>
                </a:cubicBezTo>
                <a:cubicBezTo>
                  <a:pt x="3473139" y="881646"/>
                  <a:pt x="3457759" y="866055"/>
                  <a:pt x="3438792" y="866055"/>
                </a:cubicBezTo>
                <a:close/>
                <a:moveTo>
                  <a:pt x="3522533" y="866055"/>
                </a:moveTo>
                <a:cubicBezTo>
                  <a:pt x="3503566" y="866055"/>
                  <a:pt x="3488187" y="881646"/>
                  <a:pt x="3488187" y="900875"/>
                </a:cubicBezTo>
                <a:cubicBezTo>
                  <a:pt x="3488187" y="920104"/>
                  <a:pt x="3503566" y="935695"/>
                  <a:pt x="3522533" y="935695"/>
                </a:cubicBezTo>
                <a:cubicBezTo>
                  <a:pt x="3541500" y="935695"/>
                  <a:pt x="3556880" y="920104"/>
                  <a:pt x="3556880" y="900875"/>
                </a:cubicBezTo>
                <a:cubicBezTo>
                  <a:pt x="3556880" y="881646"/>
                  <a:pt x="3541500" y="866055"/>
                  <a:pt x="3522533" y="866055"/>
                </a:cubicBezTo>
                <a:close/>
                <a:moveTo>
                  <a:pt x="3690017" y="866055"/>
                </a:moveTo>
                <a:cubicBezTo>
                  <a:pt x="3671050" y="866055"/>
                  <a:pt x="3655670" y="881646"/>
                  <a:pt x="3655670" y="900875"/>
                </a:cubicBezTo>
                <a:cubicBezTo>
                  <a:pt x="3655670" y="920104"/>
                  <a:pt x="3671050" y="935695"/>
                  <a:pt x="3690017" y="935695"/>
                </a:cubicBezTo>
                <a:cubicBezTo>
                  <a:pt x="3708984" y="935695"/>
                  <a:pt x="3724364" y="920104"/>
                  <a:pt x="3724364" y="900875"/>
                </a:cubicBezTo>
                <a:cubicBezTo>
                  <a:pt x="3724364" y="881646"/>
                  <a:pt x="3708984" y="866055"/>
                  <a:pt x="3690017" y="866055"/>
                </a:cubicBezTo>
                <a:close/>
                <a:moveTo>
                  <a:pt x="3857500" y="866055"/>
                </a:moveTo>
                <a:cubicBezTo>
                  <a:pt x="3838533" y="866055"/>
                  <a:pt x="3823154" y="881646"/>
                  <a:pt x="3823154" y="900875"/>
                </a:cubicBezTo>
                <a:cubicBezTo>
                  <a:pt x="3823154" y="920104"/>
                  <a:pt x="3838533" y="935695"/>
                  <a:pt x="3857500" y="935695"/>
                </a:cubicBezTo>
                <a:cubicBezTo>
                  <a:pt x="3876467" y="935695"/>
                  <a:pt x="3891847" y="920104"/>
                  <a:pt x="3891847" y="900875"/>
                </a:cubicBezTo>
                <a:cubicBezTo>
                  <a:pt x="3891847" y="881646"/>
                  <a:pt x="3876467" y="866055"/>
                  <a:pt x="3857500" y="866055"/>
                </a:cubicBezTo>
                <a:close/>
                <a:moveTo>
                  <a:pt x="4024990" y="866055"/>
                </a:moveTo>
                <a:cubicBezTo>
                  <a:pt x="4006023" y="866055"/>
                  <a:pt x="3990643" y="881646"/>
                  <a:pt x="3990643" y="900875"/>
                </a:cubicBezTo>
                <a:cubicBezTo>
                  <a:pt x="3990643" y="920104"/>
                  <a:pt x="4006023" y="935695"/>
                  <a:pt x="4024990" y="935695"/>
                </a:cubicBezTo>
                <a:cubicBezTo>
                  <a:pt x="4043957" y="935695"/>
                  <a:pt x="4059337" y="920104"/>
                  <a:pt x="4059337" y="900875"/>
                </a:cubicBezTo>
                <a:cubicBezTo>
                  <a:pt x="4059337" y="881646"/>
                  <a:pt x="4043957" y="866055"/>
                  <a:pt x="4024990" y="866055"/>
                </a:cubicBezTo>
                <a:close/>
                <a:moveTo>
                  <a:pt x="4108732" y="866055"/>
                </a:moveTo>
                <a:cubicBezTo>
                  <a:pt x="4089765" y="866055"/>
                  <a:pt x="4074386" y="881646"/>
                  <a:pt x="4074386" y="900875"/>
                </a:cubicBezTo>
                <a:cubicBezTo>
                  <a:pt x="4074386" y="920104"/>
                  <a:pt x="4089765" y="935695"/>
                  <a:pt x="4108732" y="935695"/>
                </a:cubicBezTo>
                <a:cubicBezTo>
                  <a:pt x="4127699" y="935695"/>
                  <a:pt x="4143079" y="920104"/>
                  <a:pt x="4143079" y="900875"/>
                </a:cubicBezTo>
                <a:cubicBezTo>
                  <a:pt x="4143079" y="881646"/>
                  <a:pt x="4127699" y="866055"/>
                  <a:pt x="4108732" y="866055"/>
                </a:cubicBezTo>
                <a:close/>
                <a:moveTo>
                  <a:pt x="4443698" y="866055"/>
                </a:moveTo>
                <a:cubicBezTo>
                  <a:pt x="4424731" y="866055"/>
                  <a:pt x="4409352" y="881646"/>
                  <a:pt x="4409352" y="900875"/>
                </a:cubicBezTo>
                <a:cubicBezTo>
                  <a:pt x="4409352" y="920104"/>
                  <a:pt x="4424731" y="935695"/>
                  <a:pt x="4443698" y="935695"/>
                </a:cubicBezTo>
                <a:cubicBezTo>
                  <a:pt x="4462665" y="935695"/>
                  <a:pt x="4478045" y="920104"/>
                  <a:pt x="4478045" y="900875"/>
                </a:cubicBezTo>
                <a:cubicBezTo>
                  <a:pt x="4478045" y="881646"/>
                  <a:pt x="4462665" y="866055"/>
                  <a:pt x="4443698" y="866055"/>
                </a:cubicBezTo>
                <a:close/>
                <a:moveTo>
                  <a:pt x="4527439" y="866055"/>
                </a:moveTo>
                <a:cubicBezTo>
                  <a:pt x="4508472" y="866055"/>
                  <a:pt x="4493093" y="881646"/>
                  <a:pt x="4493093" y="900875"/>
                </a:cubicBezTo>
                <a:cubicBezTo>
                  <a:pt x="4493093" y="920104"/>
                  <a:pt x="4508472" y="935695"/>
                  <a:pt x="4527439" y="935695"/>
                </a:cubicBezTo>
                <a:cubicBezTo>
                  <a:pt x="4546406" y="935695"/>
                  <a:pt x="4561786" y="920104"/>
                  <a:pt x="4561786" y="900875"/>
                </a:cubicBezTo>
                <a:cubicBezTo>
                  <a:pt x="4561786" y="881646"/>
                  <a:pt x="4546406" y="866055"/>
                  <a:pt x="4527439" y="866055"/>
                </a:cubicBezTo>
                <a:close/>
                <a:moveTo>
                  <a:pt x="4611182" y="866055"/>
                </a:moveTo>
                <a:cubicBezTo>
                  <a:pt x="4592215" y="866055"/>
                  <a:pt x="4576835" y="881646"/>
                  <a:pt x="4576835" y="900875"/>
                </a:cubicBezTo>
                <a:cubicBezTo>
                  <a:pt x="4576835" y="920104"/>
                  <a:pt x="4592215" y="935695"/>
                  <a:pt x="4611182" y="935695"/>
                </a:cubicBezTo>
                <a:cubicBezTo>
                  <a:pt x="4630149" y="935695"/>
                  <a:pt x="4645528" y="920104"/>
                  <a:pt x="4645528" y="900875"/>
                </a:cubicBezTo>
                <a:cubicBezTo>
                  <a:pt x="4645528" y="881646"/>
                  <a:pt x="4630149" y="866055"/>
                  <a:pt x="4611182" y="866055"/>
                </a:cubicBezTo>
                <a:close/>
                <a:moveTo>
                  <a:pt x="4694923" y="866055"/>
                </a:moveTo>
                <a:cubicBezTo>
                  <a:pt x="4675956" y="866055"/>
                  <a:pt x="4660576" y="881646"/>
                  <a:pt x="4660576" y="900875"/>
                </a:cubicBezTo>
                <a:cubicBezTo>
                  <a:pt x="4660576" y="920104"/>
                  <a:pt x="4675956" y="935695"/>
                  <a:pt x="4694923" y="935695"/>
                </a:cubicBezTo>
                <a:cubicBezTo>
                  <a:pt x="4713890" y="935695"/>
                  <a:pt x="4729270" y="920104"/>
                  <a:pt x="4729270" y="900875"/>
                </a:cubicBezTo>
                <a:cubicBezTo>
                  <a:pt x="4729270" y="881646"/>
                  <a:pt x="4713890" y="866055"/>
                  <a:pt x="4694923" y="866055"/>
                </a:cubicBezTo>
                <a:close/>
                <a:moveTo>
                  <a:pt x="4778665" y="866055"/>
                </a:moveTo>
                <a:cubicBezTo>
                  <a:pt x="4759698" y="866055"/>
                  <a:pt x="4744319" y="881646"/>
                  <a:pt x="4744319" y="900875"/>
                </a:cubicBezTo>
                <a:cubicBezTo>
                  <a:pt x="4744319" y="920104"/>
                  <a:pt x="4759698" y="935695"/>
                  <a:pt x="4778665" y="935695"/>
                </a:cubicBezTo>
                <a:cubicBezTo>
                  <a:pt x="4797632" y="935695"/>
                  <a:pt x="4813012" y="920104"/>
                  <a:pt x="4813012" y="900875"/>
                </a:cubicBezTo>
                <a:cubicBezTo>
                  <a:pt x="4813012" y="881646"/>
                  <a:pt x="4797632" y="866055"/>
                  <a:pt x="4778665" y="866055"/>
                </a:cubicBezTo>
                <a:close/>
                <a:moveTo>
                  <a:pt x="4862406" y="866055"/>
                </a:moveTo>
                <a:cubicBezTo>
                  <a:pt x="4843439" y="866055"/>
                  <a:pt x="4828060" y="881646"/>
                  <a:pt x="4828060" y="900875"/>
                </a:cubicBezTo>
                <a:cubicBezTo>
                  <a:pt x="4828060" y="920104"/>
                  <a:pt x="4843439" y="935695"/>
                  <a:pt x="4862406" y="935695"/>
                </a:cubicBezTo>
                <a:cubicBezTo>
                  <a:pt x="4881373" y="935695"/>
                  <a:pt x="4896753" y="920104"/>
                  <a:pt x="4896753" y="900875"/>
                </a:cubicBezTo>
                <a:cubicBezTo>
                  <a:pt x="4896753" y="881646"/>
                  <a:pt x="4881373" y="866055"/>
                  <a:pt x="4862406" y="866055"/>
                </a:cubicBezTo>
                <a:close/>
                <a:moveTo>
                  <a:pt x="4946148" y="866055"/>
                </a:moveTo>
                <a:cubicBezTo>
                  <a:pt x="4927181" y="866055"/>
                  <a:pt x="4911801" y="881646"/>
                  <a:pt x="4911801" y="900875"/>
                </a:cubicBezTo>
                <a:cubicBezTo>
                  <a:pt x="4911801" y="920104"/>
                  <a:pt x="4927181" y="935695"/>
                  <a:pt x="4946148" y="935695"/>
                </a:cubicBezTo>
                <a:cubicBezTo>
                  <a:pt x="4965115" y="935695"/>
                  <a:pt x="4980494" y="920104"/>
                  <a:pt x="4980494" y="900875"/>
                </a:cubicBezTo>
                <a:cubicBezTo>
                  <a:pt x="4980494" y="881646"/>
                  <a:pt x="4965115" y="866055"/>
                  <a:pt x="4946148" y="866055"/>
                </a:cubicBezTo>
                <a:close/>
                <a:moveTo>
                  <a:pt x="5029890" y="866055"/>
                </a:moveTo>
                <a:cubicBezTo>
                  <a:pt x="5010923" y="866055"/>
                  <a:pt x="4995543" y="881646"/>
                  <a:pt x="4995543" y="900875"/>
                </a:cubicBezTo>
                <a:cubicBezTo>
                  <a:pt x="4995543" y="920104"/>
                  <a:pt x="5010923" y="935695"/>
                  <a:pt x="5029890" y="935695"/>
                </a:cubicBezTo>
                <a:cubicBezTo>
                  <a:pt x="5048857" y="935695"/>
                  <a:pt x="5064237" y="920104"/>
                  <a:pt x="5064237" y="900875"/>
                </a:cubicBezTo>
                <a:cubicBezTo>
                  <a:pt x="5064237" y="881646"/>
                  <a:pt x="5048857" y="866055"/>
                  <a:pt x="5029890" y="866055"/>
                </a:cubicBezTo>
                <a:close/>
                <a:moveTo>
                  <a:pt x="5113631" y="866055"/>
                </a:moveTo>
                <a:cubicBezTo>
                  <a:pt x="5094664" y="866055"/>
                  <a:pt x="5079285" y="881646"/>
                  <a:pt x="5079285" y="900875"/>
                </a:cubicBezTo>
                <a:cubicBezTo>
                  <a:pt x="5079285" y="920104"/>
                  <a:pt x="5094664" y="935695"/>
                  <a:pt x="5113631" y="935695"/>
                </a:cubicBezTo>
                <a:cubicBezTo>
                  <a:pt x="5132598" y="935695"/>
                  <a:pt x="5147978" y="920104"/>
                  <a:pt x="5147978" y="900875"/>
                </a:cubicBezTo>
                <a:cubicBezTo>
                  <a:pt x="5147978" y="881646"/>
                  <a:pt x="5132598" y="866055"/>
                  <a:pt x="5113631" y="866055"/>
                </a:cubicBezTo>
                <a:close/>
                <a:moveTo>
                  <a:pt x="5197372" y="866055"/>
                </a:moveTo>
                <a:cubicBezTo>
                  <a:pt x="5178405" y="866055"/>
                  <a:pt x="5163026" y="881646"/>
                  <a:pt x="5163026" y="900875"/>
                </a:cubicBezTo>
                <a:cubicBezTo>
                  <a:pt x="5163026" y="920104"/>
                  <a:pt x="5178405" y="935695"/>
                  <a:pt x="5197372" y="935695"/>
                </a:cubicBezTo>
                <a:cubicBezTo>
                  <a:pt x="5216339" y="935695"/>
                  <a:pt x="5231719" y="920104"/>
                  <a:pt x="5231719" y="900875"/>
                </a:cubicBezTo>
                <a:cubicBezTo>
                  <a:pt x="5231719" y="881646"/>
                  <a:pt x="5216339" y="866055"/>
                  <a:pt x="5197372" y="866055"/>
                </a:cubicBezTo>
                <a:close/>
                <a:moveTo>
                  <a:pt x="5281115" y="866055"/>
                </a:moveTo>
                <a:cubicBezTo>
                  <a:pt x="5262148" y="866055"/>
                  <a:pt x="5246768" y="881646"/>
                  <a:pt x="5246768" y="900875"/>
                </a:cubicBezTo>
                <a:cubicBezTo>
                  <a:pt x="5246768" y="920104"/>
                  <a:pt x="5262148" y="935695"/>
                  <a:pt x="5281115" y="935695"/>
                </a:cubicBezTo>
                <a:cubicBezTo>
                  <a:pt x="5300082" y="935695"/>
                  <a:pt x="5315461" y="920104"/>
                  <a:pt x="5315461" y="900875"/>
                </a:cubicBezTo>
                <a:cubicBezTo>
                  <a:pt x="5315461" y="881646"/>
                  <a:pt x="5300082" y="866055"/>
                  <a:pt x="5281115" y="866055"/>
                </a:cubicBezTo>
                <a:close/>
                <a:moveTo>
                  <a:pt x="5364856" y="866055"/>
                </a:moveTo>
                <a:cubicBezTo>
                  <a:pt x="5345889" y="866055"/>
                  <a:pt x="5330509" y="881646"/>
                  <a:pt x="5330509" y="900875"/>
                </a:cubicBezTo>
                <a:cubicBezTo>
                  <a:pt x="5330509" y="920104"/>
                  <a:pt x="5345889" y="935695"/>
                  <a:pt x="5364856" y="935695"/>
                </a:cubicBezTo>
                <a:cubicBezTo>
                  <a:pt x="5383823" y="935695"/>
                  <a:pt x="5399203" y="920104"/>
                  <a:pt x="5399203" y="900875"/>
                </a:cubicBezTo>
                <a:cubicBezTo>
                  <a:pt x="5399203" y="881646"/>
                  <a:pt x="5383823" y="866055"/>
                  <a:pt x="5364856" y="866055"/>
                </a:cubicBezTo>
                <a:close/>
                <a:moveTo>
                  <a:pt x="5448598" y="866055"/>
                </a:moveTo>
                <a:cubicBezTo>
                  <a:pt x="5429631" y="866055"/>
                  <a:pt x="5414252" y="881646"/>
                  <a:pt x="5414252" y="900875"/>
                </a:cubicBezTo>
                <a:cubicBezTo>
                  <a:pt x="5414252" y="920104"/>
                  <a:pt x="5429631" y="935695"/>
                  <a:pt x="5448598" y="935695"/>
                </a:cubicBezTo>
                <a:cubicBezTo>
                  <a:pt x="5467565" y="935695"/>
                  <a:pt x="5482945" y="920104"/>
                  <a:pt x="5482945" y="900875"/>
                </a:cubicBezTo>
                <a:cubicBezTo>
                  <a:pt x="5482945" y="881646"/>
                  <a:pt x="5467565" y="866055"/>
                  <a:pt x="5448598" y="866055"/>
                </a:cubicBezTo>
                <a:close/>
                <a:moveTo>
                  <a:pt x="6118531" y="866055"/>
                </a:moveTo>
                <a:cubicBezTo>
                  <a:pt x="6099557" y="866055"/>
                  <a:pt x="6084177" y="881646"/>
                  <a:pt x="6084177" y="900875"/>
                </a:cubicBezTo>
                <a:cubicBezTo>
                  <a:pt x="6084177" y="920104"/>
                  <a:pt x="6099557" y="935695"/>
                  <a:pt x="6118531" y="935695"/>
                </a:cubicBezTo>
                <a:cubicBezTo>
                  <a:pt x="6137498" y="935695"/>
                  <a:pt x="6152871" y="920104"/>
                  <a:pt x="6152871" y="900875"/>
                </a:cubicBezTo>
                <a:cubicBezTo>
                  <a:pt x="6152871" y="881646"/>
                  <a:pt x="6137498" y="866055"/>
                  <a:pt x="6118531" y="866055"/>
                </a:cubicBezTo>
                <a:close/>
                <a:moveTo>
                  <a:pt x="6202273" y="866055"/>
                </a:moveTo>
                <a:cubicBezTo>
                  <a:pt x="6183306" y="866055"/>
                  <a:pt x="6167920" y="881646"/>
                  <a:pt x="6167920" y="900875"/>
                </a:cubicBezTo>
                <a:cubicBezTo>
                  <a:pt x="6167920" y="920104"/>
                  <a:pt x="6183306" y="935695"/>
                  <a:pt x="6202273" y="935695"/>
                </a:cubicBezTo>
                <a:cubicBezTo>
                  <a:pt x="6221240" y="935695"/>
                  <a:pt x="6236613" y="920104"/>
                  <a:pt x="6236613" y="900875"/>
                </a:cubicBezTo>
                <a:cubicBezTo>
                  <a:pt x="6236613" y="881646"/>
                  <a:pt x="6221240" y="866055"/>
                  <a:pt x="6202273" y="866055"/>
                </a:cubicBezTo>
                <a:close/>
                <a:moveTo>
                  <a:pt x="7960872" y="866055"/>
                </a:moveTo>
                <a:cubicBezTo>
                  <a:pt x="7941905" y="866055"/>
                  <a:pt x="7926519" y="881646"/>
                  <a:pt x="7926519" y="900875"/>
                </a:cubicBezTo>
                <a:cubicBezTo>
                  <a:pt x="7926519" y="920104"/>
                  <a:pt x="7941905" y="935695"/>
                  <a:pt x="7960872" y="935695"/>
                </a:cubicBezTo>
                <a:cubicBezTo>
                  <a:pt x="7979839" y="935695"/>
                  <a:pt x="7995212" y="920104"/>
                  <a:pt x="7995212" y="900875"/>
                </a:cubicBezTo>
                <a:cubicBezTo>
                  <a:pt x="7995212" y="881646"/>
                  <a:pt x="7979839" y="866055"/>
                  <a:pt x="7960872" y="866055"/>
                </a:cubicBezTo>
                <a:close/>
                <a:moveTo>
                  <a:pt x="8044614" y="866055"/>
                </a:moveTo>
                <a:cubicBezTo>
                  <a:pt x="8025647" y="866055"/>
                  <a:pt x="8010261" y="881646"/>
                  <a:pt x="8010261" y="900875"/>
                </a:cubicBezTo>
                <a:cubicBezTo>
                  <a:pt x="8010261" y="920104"/>
                  <a:pt x="8025647" y="935695"/>
                  <a:pt x="8044614" y="935695"/>
                </a:cubicBezTo>
                <a:cubicBezTo>
                  <a:pt x="8063581" y="935695"/>
                  <a:pt x="8078955" y="920104"/>
                  <a:pt x="8078955" y="900875"/>
                </a:cubicBezTo>
                <a:cubicBezTo>
                  <a:pt x="8078955" y="881646"/>
                  <a:pt x="8063581" y="866055"/>
                  <a:pt x="8044614" y="866055"/>
                </a:cubicBezTo>
                <a:close/>
                <a:moveTo>
                  <a:pt x="8128356" y="866055"/>
                </a:moveTo>
                <a:cubicBezTo>
                  <a:pt x="8109389" y="866055"/>
                  <a:pt x="8094003" y="881646"/>
                  <a:pt x="8094003" y="900875"/>
                </a:cubicBezTo>
                <a:cubicBezTo>
                  <a:pt x="8094003" y="920104"/>
                  <a:pt x="8109389" y="935695"/>
                  <a:pt x="8128356" y="935695"/>
                </a:cubicBezTo>
                <a:cubicBezTo>
                  <a:pt x="8147323" y="935695"/>
                  <a:pt x="8162696" y="920104"/>
                  <a:pt x="8162696" y="900875"/>
                </a:cubicBezTo>
                <a:cubicBezTo>
                  <a:pt x="8162696" y="881646"/>
                  <a:pt x="8147323" y="866055"/>
                  <a:pt x="8128356" y="866055"/>
                </a:cubicBezTo>
                <a:close/>
                <a:moveTo>
                  <a:pt x="8212097" y="866055"/>
                </a:moveTo>
                <a:cubicBezTo>
                  <a:pt x="8193130" y="866055"/>
                  <a:pt x="8177744" y="881646"/>
                  <a:pt x="8177744" y="900875"/>
                </a:cubicBezTo>
                <a:cubicBezTo>
                  <a:pt x="8177744" y="920104"/>
                  <a:pt x="8193130" y="935695"/>
                  <a:pt x="8212097" y="935695"/>
                </a:cubicBezTo>
                <a:cubicBezTo>
                  <a:pt x="8231064" y="935695"/>
                  <a:pt x="8246437" y="920104"/>
                  <a:pt x="8246437" y="900875"/>
                </a:cubicBezTo>
                <a:cubicBezTo>
                  <a:pt x="8246437" y="881646"/>
                  <a:pt x="8231064" y="866055"/>
                  <a:pt x="8212097" y="866055"/>
                </a:cubicBezTo>
                <a:close/>
                <a:moveTo>
                  <a:pt x="8295839" y="866055"/>
                </a:moveTo>
                <a:cubicBezTo>
                  <a:pt x="8276872" y="866055"/>
                  <a:pt x="8261486" y="881646"/>
                  <a:pt x="8261486" y="900875"/>
                </a:cubicBezTo>
                <a:cubicBezTo>
                  <a:pt x="8261486" y="920104"/>
                  <a:pt x="8276872" y="935695"/>
                  <a:pt x="8295839" y="935695"/>
                </a:cubicBezTo>
                <a:cubicBezTo>
                  <a:pt x="8314806" y="935695"/>
                  <a:pt x="8330179" y="920104"/>
                  <a:pt x="8330179" y="900875"/>
                </a:cubicBezTo>
                <a:cubicBezTo>
                  <a:pt x="8330179" y="881646"/>
                  <a:pt x="8314806" y="866055"/>
                  <a:pt x="8295839" y="866055"/>
                </a:cubicBezTo>
                <a:close/>
                <a:moveTo>
                  <a:pt x="9216997" y="866055"/>
                </a:moveTo>
                <a:cubicBezTo>
                  <a:pt x="9198030" y="866055"/>
                  <a:pt x="9182644" y="881646"/>
                  <a:pt x="9182644" y="900875"/>
                </a:cubicBezTo>
                <a:cubicBezTo>
                  <a:pt x="9182644" y="920104"/>
                  <a:pt x="9198030" y="935695"/>
                  <a:pt x="9216997" y="935695"/>
                </a:cubicBezTo>
                <a:cubicBezTo>
                  <a:pt x="9235964" y="935695"/>
                  <a:pt x="9251337" y="920104"/>
                  <a:pt x="9251337" y="900875"/>
                </a:cubicBezTo>
                <a:cubicBezTo>
                  <a:pt x="9251337" y="881646"/>
                  <a:pt x="9235964" y="866055"/>
                  <a:pt x="9216997" y="866055"/>
                </a:cubicBezTo>
                <a:close/>
                <a:moveTo>
                  <a:pt x="9300738" y="866055"/>
                </a:moveTo>
                <a:cubicBezTo>
                  <a:pt x="9281771" y="866055"/>
                  <a:pt x="9266385" y="881646"/>
                  <a:pt x="9266385" y="900875"/>
                </a:cubicBezTo>
                <a:cubicBezTo>
                  <a:pt x="9266385" y="920104"/>
                  <a:pt x="9281771" y="935695"/>
                  <a:pt x="9300738" y="935695"/>
                </a:cubicBezTo>
                <a:cubicBezTo>
                  <a:pt x="9319705" y="935695"/>
                  <a:pt x="9335078" y="920104"/>
                  <a:pt x="9335078" y="900875"/>
                </a:cubicBezTo>
                <a:cubicBezTo>
                  <a:pt x="9335078" y="881646"/>
                  <a:pt x="9319705" y="866055"/>
                  <a:pt x="9300738" y="866055"/>
                </a:cubicBezTo>
                <a:close/>
                <a:moveTo>
                  <a:pt x="9384480" y="866055"/>
                </a:moveTo>
                <a:cubicBezTo>
                  <a:pt x="9365513" y="866055"/>
                  <a:pt x="9350127" y="881646"/>
                  <a:pt x="9350127" y="900875"/>
                </a:cubicBezTo>
                <a:cubicBezTo>
                  <a:pt x="9350127" y="920104"/>
                  <a:pt x="9365513" y="935695"/>
                  <a:pt x="9384480" y="935695"/>
                </a:cubicBezTo>
                <a:cubicBezTo>
                  <a:pt x="9403447" y="935695"/>
                  <a:pt x="9418821" y="920104"/>
                  <a:pt x="9418821" y="900875"/>
                </a:cubicBezTo>
                <a:cubicBezTo>
                  <a:pt x="9418821" y="881646"/>
                  <a:pt x="9403447" y="866055"/>
                  <a:pt x="9384480" y="866055"/>
                </a:cubicBezTo>
                <a:close/>
                <a:moveTo>
                  <a:pt x="9551963" y="866055"/>
                </a:moveTo>
                <a:cubicBezTo>
                  <a:pt x="9532996" y="866055"/>
                  <a:pt x="9517610" y="881646"/>
                  <a:pt x="9517610" y="900875"/>
                </a:cubicBezTo>
                <a:cubicBezTo>
                  <a:pt x="9517610" y="920104"/>
                  <a:pt x="9532996" y="935695"/>
                  <a:pt x="9551963" y="935695"/>
                </a:cubicBezTo>
                <a:cubicBezTo>
                  <a:pt x="9570930" y="935695"/>
                  <a:pt x="9586303" y="920104"/>
                  <a:pt x="9586303" y="900875"/>
                </a:cubicBezTo>
                <a:cubicBezTo>
                  <a:pt x="9586303" y="881646"/>
                  <a:pt x="9570930" y="866055"/>
                  <a:pt x="9551963" y="866055"/>
                </a:cubicBezTo>
                <a:close/>
                <a:moveTo>
                  <a:pt x="9635705" y="866055"/>
                </a:moveTo>
                <a:cubicBezTo>
                  <a:pt x="9616738" y="866055"/>
                  <a:pt x="9601352" y="881646"/>
                  <a:pt x="9601352" y="900875"/>
                </a:cubicBezTo>
                <a:cubicBezTo>
                  <a:pt x="9601352" y="920104"/>
                  <a:pt x="9616738" y="935695"/>
                  <a:pt x="9635705" y="935695"/>
                </a:cubicBezTo>
                <a:cubicBezTo>
                  <a:pt x="9654672" y="935695"/>
                  <a:pt x="9670045" y="920104"/>
                  <a:pt x="9670045" y="900875"/>
                </a:cubicBezTo>
                <a:cubicBezTo>
                  <a:pt x="9670045" y="881646"/>
                  <a:pt x="9654672" y="866055"/>
                  <a:pt x="9635705" y="866055"/>
                </a:cubicBezTo>
                <a:close/>
                <a:moveTo>
                  <a:pt x="9886930" y="866055"/>
                </a:moveTo>
                <a:cubicBezTo>
                  <a:pt x="9867963" y="866055"/>
                  <a:pt x="9852577" y="881646"/>
                  <a:pt x="9852577" y="900875"/>
                </a:cubicBezTo>
                <a:cubicBezTo>
                  <a:pt x="9852577" y="920104"/>
                  <a:pt x="9867963" y="935695"/>
                  <a:pt x="9886930" y="935695"/>
                </a:cubicBezTo>
                <a:cubicBezTo>
                  <a:pt x="9905897" y="935695"/>
                  <a:pt x="9921270" y="920104"/>
                  <a:pt x="9921270" y="900875"/>
                </a:cubicBezTo>
                <a:cubicBezTo>
                  <a:pt x="9921270" y="881646"/>
                  <a:pt x="9905897" y="866055"/>
                  <a:pt x="9886930" y="866055"/>
                </a:cubicBezTo>
                <a:close/>
                <a:moveTo>
                  <a:pt x="9970671" y="866055"/>
                </a:moveTo>
                <a:cubicBezTo>
                  <a:pt x="9951704" y="866055"/>
                  <a:pt x="9936318" y="881646"/>
                  <a:pt x="9936318" y="900875"/>
                </a:cubicBezTo>
                <a:cubicBezTo>
                  <a:pt x="9936318" y="920104"/>
                  <a:pt x="9951704" y="935695"/>
                  <a:pt x="9970671" y="935695"/>
                </a:cubicBezTo>
                <a:cubicBezTo>
                  <a:pt x="9989638" y="935695"/>
                  <a:pt x="10005011" y="920104"/>
                  <a:pt x="10005011" y="900875"/>
                </a:cubicBezTo>
                <a:cubicBezTo>
                  <a:pt x="10005011" y="881646"/>
                  <a:pt x="9989638" y="866055"/>
                  <a:pt x="9970671" y="866055"/>
                </a:cubicBezTo>
                <a:close/>
                <a:moveTo>
                  <a:pt x="10054413" y="866055"/>
                </a:moveTo>
                <a:cubicBezTo>
                  <a:pt x="10035446" y="866055"/>
                  <a:pt x="10020060" y="881646"/>
                  <a:pt x="10020060" y="900875"/>
                </a:cubicBezTo>
                <a:cubicBezTo>
                  <a:pt x="10020060" y="920104"/>
                  <a:pt x="10035446" y="935695"/>
                  <a:pt x="10054413" y="935695"/>
                </a:cubicBezTo>
                <a:cubicBezTo>
                  <a:pt x="10073380" y="935695"/>
                  <a:pt x="10088754" y="920104"/>
                  <a:pt x="10088754" y="900875"/>
                </a:cubicBezTo>
                <a:cubicBezTo>
                  <a:pt x="10088754" y="881646"/>
                  <a:pt x="10073380" y="866055"/>
                  <a:pt x="10054413" y="866055"/>
                </a:cubicBezTo>
                <a:close/>
                <a:moveTo>
                  <a:pt x="10138155" y="866055"/>
                </a:moveTo>
                <a:cubicBezTo>
                  <a:pt x="10119188" y="866055"/>
                  <a:pt x="10103802" y="881646"/>
                  <a:pt x="10103802" y="900875"/>
                </a:cubicBezTo>
                <a:cubicBezTo>
                  <a:pt x="10103802" y="920104"/>
                  <a:pt x="10119188" y="935695"/>
                  <a:pt x="10138155" y="935695"/>
                </a:cubicBezTo>
                <a:cubicBezTo>
                  <a:pt x="10157122" y="935695"/>
                  <a:pt x="10172495" y="920104"/>
                  <a:pt x="10172495" y="900875"/>
                </a:cubicBezTo>
                <a:cubicBezTo>
                  <a:pt x="10172495" y="881646"/>
                  <a:pt x="10157122" y="866055"/>
                  <a:pt x="10138155" y="866055"/>
                </a:cubicBezTo>
                <a:close/>
                <a:moveTo>
                  <a:pt x="10221896" y="866055"/>
                </a:moveTo>
                <a:cubicBezTo>
                  <a:pt x="10202929" y="866055"/>
                  <a:pt x="10187543" y="881646"/>
                  <a:pt x="10187543" y="900875"/>
                </a:cubicBezTo>
                <a:cubicBezTo>
                  <a:pt x="10187543" y="920104"/>
                  <a:pt x="10202929" y="935695"/>
                  <a:pt x="10221896" y="935695"/>
                </a:cubicBezTo>
                <a:cubicBezTo>
                  <a:pt x="10240863" y="935695"/>
                  <a:pt x="10256236" y="920104"/>
                  <a:pt x="10256236" y="900875"/>
                </a:cubicBezTo>
                <a:cubicBezTo>
                  <a:pt x="10256236" y="881646"/>
                  <a:pt x="10240863" y="866055"/>
                  <a:pt x="10221896" y="866055"/>
                </a:cubicBezTo>
                <a:close/>
                <a:moveTo>
                  <a:pt x="10305638" y="866055"/>
                </a:moveTo>
                <a:cubicBezTo>
                  <a:pt x="10286671" y="866055"/>
                  <a:pt x="10271285" y="881646"/>
                  <a:pt x="10271285" y="900875"/>
                </a:cubicBezTo>
                <a:cubicBezTo>
                  <a:pt x="10271285" y="920104"/>
                  <a:pt x="10286671" y="935695"/>
                  <a:pt x="10305638" y="935695"/>
                </a:cubicBezTo>
                <a:cubicBezTo>
                  <a:pt x="10324605" y="935695"/>
                  <a:pt x="10339978" y="920104"/>
                  <a:pt x="10339978" y="900875"/>
                </a:cubicBezTo>
                <a:cubicBezTo>
                  <a:pt x="10339978" y="881646"/>
                  <a:pt x="10324605" y="866055"/>
                  <a:pt x="10305638" y="866055"/>
                </a:cubicBezTo>
                <a:close/>
                <a:moveTo>
                  <a:pt x="10389379" y="866055"/>
                </a:moveTo>
                <a:cubicBezTo>
                  <a:pt x="10370412" y="866055"/>
                  <a:pt x="10355026" y="881646"/>
                  <a:pt x="10355026" y="900875"/>
                </a:cubicBezTo>
                <a:cubicBezTo>
                  <a:pt x="10355026" y="920104"/>
                  <a:pt x="10370412" y="935695"/>
                  <a:pt x="10389379" y="935695"/>
                </a:cubicBezTo>
                <a:cubicBezTo>
                  <a:pt x="10408346" y="935695"/>
                  <a:pt x="10423720" y="920104"/>
                  <a:pt x="10423720" y="900875"/>
                </a:cubicBezTo>
                <a:cubicBezTo>
                  <a:pt x="10423720" y="881646"/>
                  <a:pt x="10408346" y="866055"/>
                  <a:pt x="10389379" y="866055"/>
                </a:cubicBezTo>
                <a:close/>
                <a:moveTo>
                  <a:pt x="10473122" y="866055"/>
                </a:moveTo>
                <a:cubicBezTo>
                  <a:pt x="10454155" y="866055"/>
                  <a:pt x="10438769" y="881646"/>
                  <a:pt x="10438769" y="900875"/>
                </a:cubicBezTo>
                <a:cubicBezTo>
                  <a:pt x="10438769" y="920104"/>
                  <a:pt x="10454155" y="935695"/>
                  <a:pt x="10473122" y="935695"/>
                </a:cubicBezTo>
                <a:cubicBezTo>
                  <a:pt x="10492089" y="935695"/>
                  <a:pt x="10507462" y="920104"/>
                  <a:pt x="10507462" y="900875"/>
                </a:cubicBezTo>
                <a:cubicBezTo>
                  <a:pt x="10507462" y="881646"/>
                  <a:pt x="10492089" y="866055"/>
                  <a:pt x="10473122" y="866055"/>
                </a:cubicBezTo>
                <a:close/>
                <a:moveTo>
                  <a:pt x="10556863" y="866055"/>
                </a:moveTo>
                <a:cubicBezTo>
                  <a:pt x="10537896" y="866055"/>
                  <a:pt x="10522510" y="881646"/>
                  <a:pt x="10522510" y="900875"/>
                </a:cubicBezTo>
                <a:cubicBezTo>
                  <a:pt x="10522510" y="920104"/>
                  <a:pt x="10537896" y="935695"/>
                  <a:pt x="10556863" y="935695"/>
                </a:cubicBezTo>
                <a:cubicBezTo>
                  <a:pt x="10575830" y="935695"/>
                  <a:pt x="10591203" y="920104"/>
                  <a:pt x="10591203" y="900875"/>
                </a:cubicBezTo>
                <a:cubicBezTo>
                  <a:pt x="10591203" y="881646"/>
                  <a:pt x="10575830" y="866055"/>
                  <a:pt x="10556863" y="866055"/>
                </a:cubicBezTo>
                <a:close/>
                <a:moveTo>
                  <a:pt x="1763966" y="950918"/>
                </a:moveTo>
                <a:cubicBezTo>
                  <a:pt x="1744999" y="950918"/>
                  <a:pt x="1729620" y="966510"/>
                  <a:pt x="1729620" y="985739"/>
                </a:cubicBezTo>
                <a:cubicBezTo>
                  <a:pt x="1729620" y="1004967"/>
                  <a:pt x="1744999" y="1020559"/>
                  <a:pt x="1763966" y="1020559"/>
                </a:cubicBezTo>
                <a:cubicBezTo>
                  <a:pt x="1782933" y="1020559"/>
                  <a:pt x="1798313" y="1004967"/>
                  <a:pt x="1798313" y="985739"/>
                </a:cubicBezTo>
                <a:cubicBezTo>
                  <a:pt x="1798313" y="966510"/>
                  <a:pt x="1782933" y="950918"/>
                  <a:pt x="1763966" y="950918"/>
                </a:cubicBezTo>
                <a:close/>
                <a:moveTo>
                  <a:pt x="1847707" y="950918"/>
                </a:moveTo>
                <a:cubicBezTo>
                  <a:pt x="1828740" y="950918"/>
                  <a:pt x="1813361" y="966510"/>
                  <a:pt x="1813361" y="985739"/>
                </a:cubicBezTo>
                <a:cubicBezTo>
                  <a:pt x="1813361" y="1004967"/>
                  <a:pt x="1828740" y="1020559"/>
                  <a:pt x="1847707" y="1020559"/>
                </a:cubicBezTo>
                <a:cubicBezTo>
                  <a:pt x="1866674" y="1020559"/>
                  <a:pt x="1882054" y="1004967"/>
                  <a:pt x="1882054" y="985739"/>
                </a:cubicBezTo>
                <a:cubicBezTo>
                  <a:pt x="1882054" y="966510"/>
                  <a:pt x="1866674" y="950918"/>
                  <a:pt x="1847707" y="950918"/>
                </a:cubicBezTo>
                <a:close/>
                <a:moveTo>
                  <a:pt x="1931450" y="950918"/>
                </a:moveTo>
                <a:cubicBezTo>
                  <a:pt x="1912483" y="950918"/>
                  <a:pt x="1897103" y="966510"/>
                  <a:pt x="1897103" y="985739"/>
                </a:cubicBezTo>
                <a:cubicBezTo>
                  <a:pt x="1897103" y="1004967"/>
                  <a:pt x="1912483" y="1020559"/>
                  <a:pt x="1931450" y="1020559"/>
                </a:cubicBezTo>
                <a:cubicBezTo>
                  <a:pt x="1950417" y="1020559"/>
                  <a:pt x="1965796" y="1004967"/>
                  <a:pt x="1965796" y="985739"/>
                </a:cubicBezTo>
                <a:cubicBezTo>
                  <a:pt x="1965796" y="966510"/>
                  <a:pt x="1950417" y="950918"/>
                  <a:pt x="1931450" y="950918"/>
                </a:cubicBezTo>
                <a:close/>
                <a:moveTo>
                  <a:pt x="2015191" y="950918"/>
                </a:moveTo>
                <a:cubicBezTo>
                  <a:pt x="1996224" y="950918"/>
                  <a:pt x="1980844" y="966510"/>
                  <a:pt x="1980844" y="985739"/>
                </a:cubicBezTo>
                <a:cubicBezTo>
                  <a:pt x="1980844" y="1004967"/>
                  <a:pt x="1996224" y="1020559"/>
                  <a:pt x="2015191" y="1020559"/>
                </a:cubicBezTo>
                <a:cubicBezTo>
                  <a:pt x="2034158" y="1020559"/>
                  <a:pt x="2049538" y="1004967"/>
                  <a:pt x="2049538" y="985739"/>
                </a:cubicBezTo>
                <a:cubicBezTo>
                  <a:pt x="2049538" y="966510"/>
                  <a:pt x="2034158" y="950918"/>
                  <a:pt x="2015191" y="950918"/>
                </a:cubicBezTo>
                <a:close/>
                <a:moveTo>
                  <a:pt x="2098932" y="950918"/>
                </a:moveTo>
                <a:cubicBezTo>
                  <a:pt x="2079965" y="950918"/>
                  <a:pt x="2064586" y="966510"/>
                  <a:pt x="2064586" y="985739"/>
                </a:cubicBezTo>
                <a:cubicBezTo>
                  <a:pt x="2064586" y="1004967"/>
                  <a:pt x="2079965" y="1020559"/>
                  <a:pt x="2098932" y="1020559"/>
                </a:cubicBezTo>
                <a:cubicBezTo>
                  <a:pt x="2117899" y="1020559"/>
                  <a:pt x="2133279" y="1004967"/>
                  <a:pt x="2133279" y="985739"/>
                </a:cubicBezTo>
                <a:cubicBezTo>
                  <a:pt x="2133279" y="966510"/>
                  <a:pt x="2117899" y="950918"/>
                  <a:pt x="2098932" y="950918"/>
                </a:cubicBezTo>
                <a:close/>
                <a:moveTo>
                  <a:pt x="2182674" y="950918"/>
                </a:moveTo>
                <a:cubicBezTo>
                  <a:pt x="2163707" y="950918"/>
                  <a:pt x="2148328" y="966510"/>
                  <a:pt x="2148328" y="985739"/>
                </a:cubicBezTo>
                <a:cubicBezTo>
                  <a:pt x="2148328" y="1004967"/>
                  <a:pt x="2163707" y="1020559"/>
                  <a:pt x="2182674" y="1020559"/>
                </a:cubicBezTo>
                <a:cubicBezTo>
                  <a:pt x="2201641" y="1020559"/>
                  <a:pt x="2217021" y="1004967"/>
                  <a:pt x="2217021" y="985739"/>
                </a:cubicBezTo>
                <a:cubicBezTo>
                  <a:pt x="2217021" y="966510"/>
                  <a:pt x="2201641" y="950918"/>
                  <a:pt x="2182674" y="950918"/>
                </a:cubicBezTo>
                <a:close/>
                <a:moveTo>
                  <a:pt x="3020084" y="950918"/>
                </a:moveTo>
                <a:cubicBezTo>
                  <a:pt x="3001117" y="950918"/>
                  <a:pt x="2985737" y="966510"/>
                  <a:pt x="2985737" y="985739"/>
                </a:cubicBezTo>
                <a:cubicBezTo>
                  <a:pt x="2985737" y="1004967"/>
                  <a:pt x="3001117" y="1020559"/>
                  <a:pt x="3020084" y="1020559"/>
                </a:cubicBezTo>
                <a:cubicBezTo>
                  <a:pt x="3039051" y="1020559"/>
                  <a:pt x="3054431" y="1004967"/>
                  <a:pt x="3054431" y="985739"/>
                </a:cubicBezTo>
                <a:cubicBezTo>
                  <a:pt x="3054431" y="966510"/>
                  <a:pt x="3039051" y="950918"/>
                  <a:pt x="3020084" y="950918"/>
                </a:cubicBezTo>
                <a:close/>
                <a:moveTo>
                  <a:pt x="3103826" y="950918"/>
                </a:moveTo>
                <a:cubicBezTo>
                  <a:pt x="3084859" y="950918"/>
                  <a:pt x="3069479" y="966510"/>
                  <a:pt x="3069479" y="985739"/>
                </a:cubicBezTo>
                <a:cubicBezTo>
                  <a:pt x="3069479" y="1004967"/>
                  <a:pt x="3084859" y="1020559"/>
                  <a:pt x="3103826" y="1020559"/>
                </a:cubicBezTo>
                <a:cubicBezTo>
                  <a:pt x="3122793" y="1020559"/>
                  <a:pt x="3138173" y="1004967"/>
                  <a:pt x="3138173" y="985739"/>
                </a:cubicBezTo>
                <a:cubicBezTo>
                  <a:pt x="3138173" y="966510"/>
                  <a:pt x="3122793" y="950918"/>
                  <a:pt x="3103826" y="950918"/>
                </a:cubicBezTo>
                <a:close/>
                <a:moveTo>
                  <a:pt x="3187567" y="950918"/>
                </a:moveTo>
                <a:cubicBezTo>
                  <a:pt x="3168600" y="950918"/>
                  <a:pt x="3153221" y="966510"/>
                  <a:pt x="3153221" y="985739"/>
                </a:cubicBezTo>
                <a:cubicBezTo>
                  <a:pt x="3153221" y="1004967"/>
                  <a:pt x="3168600" y="1020559"/>
                  <a:pt x="3187567" y="1020559"/>
                </a:cubicBezTo>
                <a:cubicBezTo>
                  <a:pt x="3206534" y="1020559"/>
                  <a:pt x="3221914" y="1004967"/>
                  <a:pt x="3221914" y="985739"/>
                </a:cubicBezTo>
                <a:cubicBezTo>
                  <a:pt x="3221914" y="966510"/>
                  <a:pt x="3206534" y="950918"/>
                  <a:pt x="3187567" y="950918"/>
                </a:cubicBezTo>
                <a:close/>
                <a:moveTo>
                  <a:pt x="3857500" y="950918"/>
                </a:moveTo>
                <a:cubicBezTo>
                  <a:pt x="3838533" y="950918"/>
                  <a:pt x="3823154" y="966510"/>
                  <a:pt x="3823154" y="985739"/>
                </a:cubicBezTo>
                <a:cubicBezTo>
                  <a:pt x="3823154" y="1004967"/>
                  <a:pt x="3838533" y="1020559"/>
                  <a:pt x="3857500" y="1020559"/>
                </a:cubicBezTo>
                <a:cubicBezTo>
                  <a:pt x="3876467" y="1020559"/>
                  <a:pt x="3891847" y="1004967"/>
                  <a:pt x="3891847" y="985739"/>
                </a:cubicBezTo>
                <a:cubicBezTo>
                  <a:pt x="3891847" y="966510"/>
                  <a:pt x="3876467" y="950918"/>
                  <a:pt x="3857500" y="950918"/>
                </a:cubicBezTo>
                <a:close/>
                <a:moveTo>
                  <a:pt x="3941242" y="950918"/>
                </a:moveTo>
                <a:cubicBezTo>
                  <a:pt x="3922275" y="950918"/>
                  <a:pt x="3906895" y="966510"/>
                  <a:pt x="3906895" y="985739"/>
                </a:cubicBezTo>
                <a:cubicBezTo>
                  <a:pt x="3906895" y="1004967"/>
                  <a:pt x="3922275" y="1020559"/>
                  <a:pt x="3941242" y="1020559"/>
                </a:cubicBezTo>
                <a:cubicBezTo>
                  <a:pt x="3960209" y="1020559"/>
                  <a:pt x="3975588" y="1004967"/>
                  <a:pt x="3975588" y="985739"/>
                </a:cubicBezTo>
                <a:cubicBezTo>
                  <a:pt x="3975588" y="966510"/>
                  <a:pt x="3960209" y="950918"/>
                  <a:pt x="3941242" y="950918"/>
                </a:cubicBezTo>
                <a:close/>
                <a:moveTo>
                  <a:pt x="4024990" y="950918"/>
                </a:moveTo>
                <a:cubicBezTo>
                  <a:pt x="4006023" y="950918"/>
                  <a:pt x="3990643" y="966510"/>
                  <a:pt x="3990643" y="985739"/>
                </a:cubicBezTo>
                <a:cubicBezTo>
                  <a:pt x="3990643" y="1004967"/>
                  <a:pt x="4006023" y="1020559"/>
                  <a:pt x="4024990" y="1020559"/>
                </a:cubicBezTo>
                <a:cubicBezTo>
                  <a:pt x="4043957" y="1020559"/>
                  <a:pt x="4059337" y="1004967"/>
                  <a:pt x="4059337" y="985739"/>
                </a:cubicBezTo>
                <a:cubicBezTo>
                  <a:pt x="4059337" y="966510"/>
                  <a:pt x="4043957" y="950918"/>
                  <a:pt x="4024990" y="950918"/>
                </a:cubicBezTo>
                <a:close/>
                <a:moveTo>
                  <a:pt x="4359957" y="950918"/>
                </a:moveTo>
                <a:cubicBezTo>
                  <a:pt x="4340990" y="950918"/>
                  <a:pt x="4325610" y="966510"/>
                  <a:pt x="4325610" y="985739"/>
                </a:cubicBezTo>
                <a:cubicBezTo>
                  <a:pt x="4325610" y="1004967"/>
                  <a:pt x="4340990" y="1020559"/>
                  <a:pt x="4359957" y="1020559"/>
                </a:cubicBezTo>
                <a:cubicBezTo>
                  <a:pt x="4378924" y="1020559"/>
                  <a:pt x="4394304" y="1004967"/>
                  <a:pt x="4394304" y="985739"/>
                </a:cubicBezTo>
                <a:cubicBezTo>
                  <a:pt x="4394304" y="966510"/>
                  <a:pt x="4378924" y="950918"/>
                  <a:pt x="4359957" y="950918"/>
                </a:cubicBezTo>
                <a:close/>
                <a:moveTo>
                  <a:pt x="4443698" y="950918"/>
                </a:moveTo>
                <a:cubicBezTo>
                  <a:pt x="4424731" y="950918"/>
                  <a:pt x="4409352" y="966510"/>
                  <a:pt x="4409352" y="985739"/>
                </a:cubicBezTo>
                <a:cubicBezTo>
                  <a:pt x="4409352" y="1004967"/>
                  <a:pt x="4424731" y="1020559"/>
                  <a:pt x="4443698" y="1020559"/>
                </a:cubicBezTo>
                <a:cubicBezTo>
                  <a:pt x="4462665" y="1020559"/>
                  <a:pt x="4478045" y="1004967"/>
                  <a:pt x="4478045" y="985739"/>
                </a:cubicBezTo>
                <a:cubicBezTo>
                  <a:pt x="4478045" y="966510"/>
                  <a:pt x="4462665" y="950918"/>
                  <a:pt x="4443698" y="950918"/>
                </a:cubicBezTo>
                <a:close/>
                <a:moveTo>
                  <a:pt x="4527439" y="950918"/>
                </a:moveTo>
                <a:cubicBezTo>
                  <a:pt x="4508472" y="950918"/>
                  <a:pt x="4493093" y="966510"/>
                  <a:pt x="4493093" y="985739"/>
                </a:cubicBezTo>
                <a:cubicBezTo>
                  <a:pt x="4493093" y="1004967"/>
                  <a:pt x="4508472" y="1020559"/>
                  <a:pt x="4527439" y="1020559"/>
                </a:cubicBezTo>
                <a:cubicBezTo>
                  <a:pt x="4546406" y="1020559"/>
                  <a:pt x="4561786" y="1004967"/>
                  <a:pt x="4561786" y="985739"/>
                </a:cubicBezTo>
                <a:cubicBezTo>
                  <a:pt x="4561786" y="966510"/>
                  <a:pt x="4546406" y="950918"/>
                  <a:pt x="4527439" y="950918"/>
                </a:cubicBezTo>
                <a:close/>
                <a:moveTo>
                  <a:pt x="4611182" y="950918"/>
                </a:moveTo>
                <a:cubicBezTo>
                  <a:pt x="4592215" y="950918"/>
                  <a:pt x="4576835" y="966510"/>
                  <a:pt x="4576835" y="985739"/>
                </a:cubicBezTo>
                <a:cubicBezTo>
                  <a:pt x="4576835" y="1004967"/>
                  <a:pt x="4592215" y="1020559"/>
                  <a:pt x="4611182" y="1020559"/>
                </a:cubicBezTo>
                <a:cubicBezTo>
                  <a:pt x="4630149" y="1020559"/>
                  <a:pt x="4645528" y="1004967"/>
                  <a:pt x="4645528" y="985739"/>
                </a:cubicBezTo>
                <a:cubicBezTo>
                  <a:pt x="4645528" y="966510"/>
                  <a:pt x="4630149" y="950918"/>
                  <a:pt x="4611182" y="950918"/>
                </a:cubicBezTo>
                <a:close/>
                <a:moveTo>
                  <a:pt x="4694923" y="950918"/>
                </a:moveTo>
                <a:cubicBezTo>
                  <a:pt x="4675956" y="950918"/>
                  <a:pt x="4660576" y="966510"/>
                  <a:pt x="4660576" y="985739"/>
                </a:cubicBezTo>
                <a:cubicBezTo>
                  <a:pt x="4660576" y="1004967"/>
                  <a:pt x="4675956" y="1020559"/>
                  <a:pt x="4694923" y="1020559"/>
                </a:cubicBezTo>
                <a:cubicBezTo>
                  <a:pt x="4713890" y="1020559"/>
                  <a:pt x="4729270" y="1004967"/>
                  <a:pt x="4729270" y="985739"/>
                </a:cubicBezTo>
                <a:cubicBezTo>
                  <a:pt x="4729270" y="966510"/>
                  <a:pt x="4713890" y="950918"/>
                  <a:pt x="4694923" y="950918"/>
                </a:cubicBezTo>
                <a:close/>
                <a:moveTo>
                  <a:pt x="4778665" y="950918"/>
                </a:moveTo>
                <a:cubicBezTo>
                  <a:pt x="4759698" y="950918"/>
                  <a:pt x="4744319" y="966510"/>
                  <a:pt x="4744319" y="985739"/>
                </a:cubicBezTo>
                <a:cubicBezTo>
                  <a:pt x="4744319" y="1004967"/>
                  <a:pt x="4759698" y="1020559"/>
                  <a:pt x="4778665" y="1020559"/>
                </a:cubicBezTo>
                <a:cubicBezTo>
                  <a:pt x="4797632" y="1020559"/>
                  <a:pt x="4813012" y="1004967"/>
                  <a:pt x="4813012" y="985739"/>
                </a:cubicBezTo>
                <a:cubicBezTo>
                  <a:pt x="4813012" y="966510"/>
                  <a:pt x="4797632" y="950918"/>
                  <a:pt x="4778665" y="950918"/>
                </a:cubicBezTo>
                <a:close/>
                <a:moveTo>
                  <a:pt x="4862406" y="950918"/>
                </a:moveTo>
                <a:cubicBezTo>
                  <a:pt x="4843439" y="950918"/>
                  <a:pt x="4828060" y="966510"/>
                  <a:pt x="4828060" y="985739"/>
                </a:cubicBezTo>
                <a:cubicBezTo>
                  <a:pt x="4828060" y="1004967"/>
                  <a:pt x="4843439" y="1020559"/>
                  <a:pt x="4862406" y="1020559"/>
                </a:cubicBezTo>
                <a:cubicBezTo>
                  <a:pt x="4881373" y="1020559"/>
                  <a:pt x="4896753" y="1004967"/>
                  <a:pt x="4896753" y="985739"/>
                </a:cubicBezTo>
                <a:cubicBezTo>
                  <a:pt x="4896753" y="966510"/>
                  <a:pt x="4881373" y="950918"/>
                  <a:pt x="4862406" y="950918"/>
                </a:cubicBezTo>
                <a:close/>
                <a:moveTo>
                  <a:pt x="4946148" y="950918"/>
                </a:moveTo>
                <a:cubicBezTo>
                  <a:pt x="4927181" y="950918"/>
                  <a:pt x="4911801" y="966510"/>
                  <a:pt x="4911801" y="985739"/>
                </a:cubicBezTo>
                <a:cubicBezTo>
                  <a:pt x="4911801" y="1004967"/>
                  <a:pt x="4927181" y="1020559"/>
                  <a:pt x="4946148" y="1020559"/>
                </a:cubicBezTo>
                <a:cubicBezTo>
                  <a:pt x="4965115" y="1020559"/>
                  <a:pt x="4980494" y="1004967"/>
                  <a:pt x="4980494" y="985739"/>
                </a:cubicBezTo>
                <a:cubicBezTo>
                  <a:pt x="4980494" y="966510"/>
                  <a:pt x="4965115" y="950918"/>
                  <a:pt x="4946148" y="950918"/>
                </a:cubicBezTo>
                <a:close/>
                <a:moveTo>
                  <a:pt x="5029890" y="950918"/>
                </a:moveTo>
                <a:cubicBezTo>
                  <a:pt x="5010923" y="950918"/>
                  <a:pt x="4995543" y="966510"/>
                  <a:pt x="4995543" y="985739"/>
                </a:cubicBezTo>
                <a:cubicBezTo>
                  <a:pt x="4995543" y="1004967"/>
                  <a:pt x="5010923" y="1020559"/>
                  <a:pt x="5029890" y="1020559"/>
                </a:cubicBezTo>
                <a:cubicBezTo>
                  <a:pt x="5048857" y="1020559"/>
                  <a:pt x="5064237" y="1004967"/>
                  <a:pt x="5064237" y="985739"/>
                </a:cubicBezTo>
                <a:cubicBezTo>
                  <a:pt x="5064237" y="966510"/>
                  <a:pt x="5048857" y="950918"/>
                  <a:pt x="5029890" y="950918"/>
                </a:cubicBezTo>
                <a:close/>
                <a:moveTo>
                  <a:pt x="5113631" y="950918"/>
                </a:moveTo>
                <a:cubicBezTo>
                  <a:pt x="5094664" y="950918"/>
                  <a:pt x="5079285" y="966510"/>
                  <a:pt x="5079285" y="985739"/>
                </a:cubicBezTo>
                <a:cubicBezTo>
                  <a:pt x="5079285" y="1004967"/>
                  <a:pt x="5094664" y="1020559"/>
                  <a:pt x="5113631" y="1020559"/>
                </a:cubicBezTo>
                <a:cubicBezTo>
                  <a:pt x="5132598" y="1020559"/>
                  <a:pt x="5147978" y="1004967"/>
                  <a:pt x="5147978" y="985739"/>
                </a:cubicBezTo>
                <a:cubicBezTo>
                  <a:pt x="5147978" y="966510"/>
                  <a:pt x="5132598" y="950918"/>
                  <a:pt x="5113631" y="950918"/>
                </a:cubicBezTo>
                <a:close/>
                <a:moveTo>
                  <a:pt x="5197372" y="950918"/>
                </a:moveTo>
                <a:cubicBezTo>
                  <a:pt x="5178405" y="950918"/>
                  <a:pt x="5163026" y="966510"/>
                  <a:pt x="5163026" y="985739"/>
                </a:cubicBezTo>
                <a:cubicBezTo>
                  <a:pt x="5163026" y="1004967"/>
                  <a:pt x="5178405" y="1020559"/>
                  <a:pt x="5197372" y="1020559"/>
                </a:cubicBezTo>
                <a:cubicBezTo>
                  <a:pt x="5216339" y="1020559"/>
                  <a:pt x="5231719" y="1004967"/>
                  <a:pt x="5231719" y="985739"/>
                </a:cubicBezTo>
                <a:cubicBezTo>
                  <a:pt x="5231719" y="966510"/>
                  <a:pt x="5216339" y="950918"/>
                  <a:pt x="5197372" y="950918"/>
                </a:cubicBezTo>
                <a:close/>
                <a:moveTo>
                  <a:pt x="5281115" y="950918"/>
                </a:moveTo>
                <a:cubicBezTo>
                  <a:pt x="5262148" y="950918"/>
                  <a:pt x="5246768" y="966510"/>
                  <a:pt x="5246768" y="985739"/>
                </a:cubicBezTo>
                <a:cubicBezTo>
                  <a:pt x="5246768" y="1004967"/>
                  <a:pt x="5262148" y="1020559"/>
                  <a:pt x="5281115" y="1020559"/>
                </a:cubicBezTo>
                <a:cubicBezTo>
                  <a:pt x="5300082" y="1020559"/>
                  <a:pt x="5315461" y="1004967"/>
                  <a:pt x="5315461" y="985739"/>
                </a:cubicBezTo>
                <a:cubicBezTo>
                  <a:pt x="5315461" y="966510"/>
                  <a:pt x="5300082" y="950918"/>
                  <a:pt x="5281115" y="950918"/>
                </a:cubicBezTo>
                <a:close/>
                <a:moveTo>
                  <a:pt x="5364856" y="950918"/>
                </a:moveTo>
                <a:cubicBezTo>
                  <a:pt x="5345889" y="950918"/>
                  <a:pt x="5330509" y="966510"/>
                  <a:pt x="5330509" y="985739"/>
                </a:cubicBezTo>
                <a:cubicBezTo>
                  <a:pt x="5330509" y="1004967"/>
                  <a:pt x="5345889" y="1020559"/>
                  <a:pt x="5364856" y="1020559"/>
                </a:cubicBezTo>
                <a:cubicBezTo>
                  <a:pt x="5383823" y="1020559"/>
                  <a:pt x="5399203" y="1004967"/>
                  <a:pt x="5399203" y="985739"/>
                </a:cubicBezTo>
                <a:cubicBezTo>
                  <a:pt x="5399203" y="966510"/>
                  <a:pt x="5383823" y="950918"/>
                  <a:pt x="5364856" y="950918"/>
                </a:cubicBezTo>
                <a:close/>
                <a:moveTo>
                  <a:pt x="6202273" y="950918"/>
                </a:moveTo>
                <a:cubicBezTo>
                  <a:pt x="6183306" y="950918"/>
                  <a:pt x="6167920" y="966510"/>
                  <a:pt x="6167920" y="985739"/>
                </a:cubicBezTo>
                <a:cubicBezTo>
                  <a:pt x="6167920" y="1004967"/>
                  <a:pt x="6183306" y="1020559"/>
                  <a:pt x="6202273" y="1020559"/>
                </a:cubicBezTo>
                <a:cubicBezTo>
                  <a:pt x="6221240" y="1020559"/>
                  <a:pt x="6236613" y="1004967"/>
                  <a:pt x="6236613" y="985739"/>
                </a:cubicBezTo>
                <a:cubicBezTo>
                  <a:pt x="6236613" y="966510"/>
                  <a:pt x="6221240" y="950918"/>
                  <a:pt x="6202273" y="950918"/>
                </a:cubicBezTo>
                <a:close/>
                <a:moveTo>
                  <a:pt x="6286014" y="950918"/>
                </a:moveTo>
                <a:cubicBezTo>
                  <a:pt x="6267047" y="950918"/>
                  <a:pt x="6251661" y="966510"/>
                  <a:pt x="6251661" y="985739"/>
                </a:cubicBezTo>
                <a:cubicBezTo>
                  <a:pt x="6251661" y="1004967"/>
                  <a:pt x="6267047" y="1020559"/>
                  <a:pt x="6286014" y="1020559"/>
                </a:cubicBezTo>
                <a:cubicBezTo>
                  <a:pt x="6304981" y="1020559"/>
                  <a:pt x="6320354" y="1004967"/>
                  <a:pt x="6320354" y="985739"/>
                </a:cubicBezTo>
                <a:cubicBezTo>
                  <a:pt x="6320354" y="966510"/>
                  <a:pt x="6304981" y="950918"/>
                  <a:pt x="6286014" y="950918"/>
                </a:cubicBezTo>
                <a:close/>
                <a:moveTo>
                  <a:pt x="7290939" y="950918"/>
                </a:moveTo>
                <a:cubicBezTo>
                  <a:pt x="7271972" y="950918"/>
                  <a:pt x="7256586" y="966510"/>
                  <a:pt x="7256586" y="985739"/>
                </a:cubicBezTo>
                <a:cubicBezTo>
                  <a:pt x="7256586" y="1004967"/>
                  <a:pt x="7271972" y="1020559"/>
                  <a:pt x="7290939" y="1020559"/>
                </a:cubicBezTo>
                <a:cubicBezTo>
                  <a:pt x="7309906" y="1020559"/>
                  <a:pt x="7325279" y="1004967"/>
                  <a:pt x="7325279" y="985739"/>
                </a:cubicBezTo>
                <a:cubicBezTo>
                  <a:pt x="7325279" y="966510"/>
                  <a:pt x="7309906" y="950918"/>
                  <a:pt x="7290939" y="950918"/>
                </a:cubicBezTo>
                <a:close/>
                <a:moveTo>
                  <a:pt x="7877131" y="950918"/>
                </a:moveTo>
                <a:cubicBezTo>
                  <a:pt x="7858164" y="950918"/>
                  <a:pt x="7842778" y="966510"/>
                  <a:pt x="7842778" y="985739"/>
                </a:cubicBezTo>
                <a:cubicBezTo>
                  <a:pt x="7842778" y="1004967"/>
                  <a:pt x="7858164" y="1020559"/>
                  <a:pt x="7877131" y="1020559"/>
                </a:cubicBezTo>
                <a:cubicBezTo>
                  <a:pt x="7896098" y="1020559"/>
                  <a:pt x="7911471" y="1004967"/>
                  <a:pt x="7911471" y="985739"/>
                </a:cubicBezTo>
                <a:cubicBezTo>
                  <a:pt x="7911471" y="966510"/>
                  <a:pt x="7896098" y="950918"/>
                  <a:pt x="7877131" y="950918"/>
                </a:cubicBezTo>
                <a:close/>
                <a:moveTo>
                  <a:pt x="7960872" y="950918"/>
                </a:moveTo>
                <a:cubicBezTo>
                  <a:pt x="7941905" y="950918"/>
                  <a:pt x="7926519" y="966510"/>
                  <a:pt x="7926519" y="985739"/>
                </a:cubicBezTo>
                <a:cubicBezTo>
                  <a:pt x="7926519" y="1004967"/>
                  <a:pt x="7941905" y="1020559"/>
                  <a:pt x="7960872" y="1020559"/>
                </a:cubicBezTo>
                <a:cubicBezTo>
                  <a:pt x="7979839" y="1020559"/>
                  <a:pt x="7995212" y="1004967"/>
                  <a:pt x="7995212" y="985739"/>
                </a:cubicBezTo>
                <a:cubicBezTo>
                  <a:pt x="7995212" y="966510"/>
                  <a:pt x="7979839" y="950918"/>
                  <a:pt x="7960872" y="950918"/>
                </a:cubicBezTo>
                <a:close/>
                <a:moveTo>
                  <a:pt x="8044614" y="950918"/>
                </a:moveTo>
                <a:cubicBezTo>
                  <a:pt x="8025647" y="950918"/>
                  <a:pt x="8010261" y="966510"/>
                  <a:pt x="8010261" y="985739"/>
                </a:cubicBezTo>
                <a:cubicBezTo>
                  <a:pt x="8010261" y="1004967"/>
                  <a:pt x="8025647" y="1020559"/>
                  <a:pt x="8044614" y="1020559"/>
                </a:cubicBezTo>
                <a:cubicBezTo>
                  <a:pt x="8063581" y="1020559"/>
                  <a:pt x="8078955" y="1004967"/>
                  <a:pt x="8078955" y="985739"/>
                </a:cubicBezTo>
                <a:cubicBezTo>
                  <a:pt x="8078955" y="966510"/>
                  <a:pt x="8063581" y="950918"/>
                  <a:pt x="8044614" y="950918"/>
                </a:cubicBezTo>
                <a:close/>
                <a:moveTo>
                  <a:pt x="8212097" y="950918"/>
                </a:moveTo>
                <a:cubicBezTo>
                  <a:pt x="8193130" y="950918"/>
                  <a:pt x="8177744" y="966510"/>
                  <a:pt x="8177744" y="985739"/>
                </a:cubicBezTo>
                <a:cubicBezTo>
                  <a:pt x="8177744" y="1004967"/>
                  <a:pt x="8193130" y="1020559"/>
                  <a:pt x="8212097" y="1020559"/>
                </a:cubicBezTo>
                <a:cubicBezTo>
                  <a:pt x="8231064" y="1020559"/>
                  <a:pt x="8246437" y="1004967"/>
                  <a:pt x="8246437" y="985739"/>
                </a:cubicBezTo>
                <a:cubicBezTo>
                  <a:pt x="8246437" y="966510"/>
                  <a:pt x="8231064" y="950918"/>
                  <a:pt x="8212097" y="950918"/>
                </a:cubicBezTo>
                <a:close/>
                <a:moveTo>
                  <a:pt x="8547064" y="950918"/>
                </a:moveTo>
                <a:cubicBezTo>
                  <a:pt x="8528097" y="950918"/>
                  <a:pt x="8512711" y="966510"/>
                  <a:pt x="8512711" y="985739"/>
                </a:cubicBezTo>
                <a:cubicBezTo>
                  <a:pt x="8512711" y="1004967"/>
                  <a:pt x="8528097" y="1020559"/>
                  <a:pt x="8547064" y="1020559"/>
                </a:cubicBezTo>
                <a:cubicBezTo>
                  <a:pt x="8566031" y="1020559"/>
                  <a:pt x="8581404" y="1004967"/>
                  <a:pt x="8581404" y="985739"/>
                </a:cubicBezTo>
                <a:cubicBezTo>
                  <a:pt x="8581404" y="966510"/>
                  <a:pt x="8566031" y="950918"/>
                  <a:pt x="8547064" y="950918"/>
                </a:cubicBezTo>
                <a:close/>
                <a:moveTo>
                  <a:pt x="8714547" y="950918"/>
                </a:moveTo>
                <a:cubicBezTo>
                  <a:pt x="8695580" y="950918"/>
                  <a:pt x="8680194" y="966510"/>
                  <a:pt x="8680194" y="985739"/>
                </a:cubicBezTo>
                <a:cubicBezTo>
                  <a:pt x="8680194" y="1004967"/>
                  <a:pt x="8695580" y="1020559"/>
                  <a:pt x="8714547" y="1020559"/>
                </a:cubicBezTo>
                <a:cubicBezTo>
                  <a:pt x="8733514" y="1020559"/>
                  <a:pt x="8748888" y="1004967"/>
                  <a:pt x="8748888" y="985739"/>
                </a:cubicBezTo>
                <a:cubicBezTo>
                  <a:pt x="8748888" y="966510"/>
                  <a:pt x="8733514" y="950918"/>
                  <a:pt x="8714547" y="950918"/>
                </a:cubicBezTo>
                <a:close/>
                <a:moveTo>
                  <a:pt x="8798289" y="950918"/>
                </a:moveTo>
                <a:cubicBezTo>
                  <a:pt x="8779322" y="950918"/>
                  <a:pt x="8763936" y="966510"/>
                  <a:pt x="8763936" y="985739"/>
                </a:cubicBezTo>
                <a:cubicBezTo>
                  <a:pt x="8763936" y="1004967"/>
                  <a:pt x="8779322" y="1020559"/>
                  <a:pt x="8798289" y="1020559"/>
                </a:cubicBezTo>
                <a:cubicBezTo>
                  <a:pt x="8817256" y="1020559"/>
                  <a:pt x="8832629" y="1004967"/>
                  <a:pt x="8832629" y="985739"/>
                </a:cubicBezTo>
                <a:cubicBezTo>
                  <a:pt x="8832629" y="966510"/>
                  <a:pt x="8817256" y="950918"/>
                  <a:pt x="8798289" y="950918"/>
                </a:cubicBezTo>
                <a:close/>
                <a:moveTo>
                  <a:pt x="9133256" y="950918"/>
                </a:moveTo>
                <a:cubicBezTo>
                  <a:pt x="9114289" y="950918"/>
                  <a:pt x="9098903" y="966510"/>
                  <a:pt x="9098903" y="985739"/>
                </a:cubicBezTo>
                <a:cubicBezTo>
                  <a:pt x="9098903" y="1004967"/>
                  <a:pt x="9114289" y="1020559"/>
                  <a:pt x="9133256" y="1020559"/>
                </a:cubicBezTo>
                <a:cubicBezTo>
                  <a:pt x="9152223" y="1020559"/>
                  <a:pt x="9167596" y="1004967"/>
                  <a:pt x="9167596" y="985739"/>
                </a:cubicBezTo>
                <a:cubicBezTo>
                  <a:pt x="9167596" y="966510"/>
                  <a:pt x="9152223" y="950918"/>
                  <a:pt x="9133256" y="950918"/>
                </a:cubicBezTo>
                <a:close/>
                <a:moveTo>
                  <a:pt x="9216997" y="950918"/>
                </a:moveTo>
                <a:cubicBezTo>
                  <a:pt x="9198030" y="950918"/>
                  <a:pt x="9182644" y="966510"/>
                  <a:pt x="9182644" y="985739"/>
                </a:cubicBezTo>
                <a:cubicBezTo>
                  <a:pt x="9182644" y="1004967"/>
                  <a:pt x="9198030" y="1020559"/>
                  <a:pt x="9216997" y="1020559"/>
                </a:cubicBezTo>
                <a:cubicBezTo>
                  <a:pt x="9235964" y="1020559"/>
                  <a:pt x="9251337" y="1004967"/>
                  <a:pt x="9251337" y="985739"/>
                </a:cubicBezTo>
                <a:cubicBezTo>
                  <a:pt x="9251337" y="966510"/>
                  <a:pt x="9235964" y="950918"/>
                  <a:pt x="9216997" y="950918"/>
                </a:cubicBezTo>
                <a:close/>
                <a:moveTo>
                  <a:pt x="9300738" y="950918"/>
                </a:moveTo>
                <a:cubicBezTo>
                  <a:pt x="9281771" y="950918"/>
                  <a:pt x="9266385" y="966510"/>
                  <a:pt x="9266385" y="985739"/>
                </a:cubicBezTo>
                <a:cubicBezTo>
                  <a:pt x="9266385" y="1004967"/>
                  <a:pt x="9281771" y="1020559"/>
                  <a:pt x="9300738" y="1020559"/>
                </a:cubicBezTo>
                <a:cubicBezTo>
                  <a:pt x="9319705" y="1020559"/>
                  <a:pt x="9335078" y="1004967"/>
                  <a:pt x="9335078" y="985739"/>
                </a:cubicBezTo>
                <a:cubicBezTo>
                  <a:pt x="9335078" y="966510"/>
                  <a:pt x="9319705" y="950918"/>
                  <a:pt x="9300738" y="950918"/>
                </a:cubicBezTo>
                <a:close/>
                <a:moveTo>
                  <a:pt x="9384480" y="950918"/>
                </a:moveTo>
                <a:cubicBezTo>
                  <a:pt x="9365513" y="950918"/>
                  <a:pt x="9350127" y="966510"/>
                  <a:pt x="9350127" y="985739"/>
                </a:cubicBezTo>
                <a:cubicBezTo>
                  <a:pt x="9350127" y="1004967"/>
                  <a:pt x="9365513" y="1020559"/>
                  <a:pt x="9384480" y="1020559"/>
                </a:cubicBezTo>
                <a:cubicBezTo>
                  <a:pt x="9403447" y="1020559"/>
                  <a:pt x="9418821" y="1004967"/>
                  <a:pt x="9418821" y="985739"/>
                </a:cubicBezTo>
                <a:cubicBezTo>
                  <a:pt x="9418821" y="966510"/>
                  <a:pt x="9403447" y="950918"/>
                  <a:pt x="9384480" y="950918"/>
                </a:cubicBezTo>
                <a:close/>
                <a:moveTo>
                  <a:pt x="9468222" y="950918"/>
                </a:moveTo>
                <a:cubicBezTo>
                  <a:pt x="9449255" y="950918"/>
                  <a:pt x="9433869" y="966510"/>
                  <a:pt x="9433869" y="985739"/>
                </a:cubicBezTo>
                <a:cubicBezTo>
                  <a:pt x="9433869" y="1004967"/>
                  <a:pt x="9449255" y="1020559"/>
                  <a:pt x="9468222" y="1020559"/>
                </a:cubicBezTo>
                <a:cubicBezTo>
                  <a:pt x="9487189" y="1020559"/>
                  <a:pt x="9502562" y="1004967"/>
                  <a:pt x="9502562" y="985739"/>
                </a:cubicBezTo>
                <a:cubicBezTo>
                  <a:pt x="9502562" y="966510"/>
                  <a:pt x="9487189" y="950918"/>
                  <a:pt x="9468222" y="950918"/>
                </a:cubicBezTo>
                <a:close/>
                <a:moveTo>
                  <a:pt x="9551963" y="950918"/>
                </a:moveTo>
                <a:cubicBezTo>
                  <a:pt x="9532996" y="950918"/>
                  <a:pt x="9517610" y="966510"/>
                  <a:pt x="9517610" y="985739"/>
                </a:cubicBezTo>
                <a:cubicBezTo>
                  <a:pt x="9517610" y="1004967"/>
                  <a:pt x="9532996" y="1020559"/>
                  <a:pt x="9551963" y="1020559"/>
                </a:cubicBezTo>
                <a:cubicBezTo>
                  <a:pt x="9570930" y="1020559"/>
                  <a:pt x="9586303" y="1004967"/>
                  <a:pt x="9586303" y="985739"/>
                </a:cubicBezTo>
                <a:cubicBezTo>
                  <a:pt x="9586303" y="966510"/>
                  <a:pt x="9570930" y="950918"/>
                  <a:pt x="9551963" y="950918"/>
                </a:cubicBezTo>
                <a:close/>
                <a:moveTo>
                  <a:pt x="9635705" y="950918"/>
                </a:moveTo>
                <a:cubicBezTo>
                  <a:pt x="9616738" y="950918"/>
                  <a:pt x="9601352" y="966510"/>
                  <a:pt x="9601352" y="985739"/>
                </a:cubicBezTo>
                <a:cubicBezTo>
                  <a:pt x="9601352" y="1004967"/>
                  <a:pt x="9616738" y="1020559"/>
                  <a:pt x="9635705" y="1020559"/>
                </a:cubicBezTo>
                <a:cubicBezTo>
                  <a:pt x="9654672" y="1020559"/>
                  <a:pt x="9670045" y="1004967"/>
                  <a:pt x="9670045" y="985739"/>
                </a:cubicBezTo>
                <a:cubicBezTo>
                  <a:pt x="9670045" y="966510"/>
                  <a:pt x="9654672" y="950918"/>
                  <a:pt x="9635705" y="950918"/>
                </a:cubicBezTo>
                <a:close/>
                <a:moveTo>
                  <a:pt x="9719446" y="950918"/>
                </a:moveTo>
                <a:cubicBezTo>
                  <a:pt x="9700479" y="950918"/>
                  <a:pt x="9685093" y="966510"/>
                  <a:pt x="9685093" y="985739"/>
                </a:cubicBezTo>
                <a:cubicBezTo>
                  <a:pt x="9685093" y="1004967"/>
                  <a:pt x="9700479" y="1020559"/>
                  <a:pt x="9719446" y="1020559"/>
                </a:cubicBezTo>
                <a:cubicBezTo>
                  <a:pt x="9738413" y="1020559"/>
                  <a:pt x="9753787" y="1004967"/>
                  <a:pt x="9753787" y="985739"/>
                </a:cubicBezTo>
                <a:cubicBezTo>
                  <a:pt x="9753787" y="966510"/>
                  <a:pt x="9738413" y="950918"/>
                  <a:pt x="9719446" y="950918"/>
                </a:cubicBezTo>
                <a:close/>
                <a:moveTo>
                  <a:pt x="9803189" y="950918"/>
                </a:moveTo>
                <a:cubicBezTo>
                  <a:pt x="9784222" y="950918"/>
                  <a:pt x="9768836" y="966510"/>
                  <a:pt x="9768836" y="985739"/>
                </a:cubicBezTo>
                <a:cubicBezTo>
                  <a:pt x="9768836" y="1004967"/>
                  <a:pt x="9784222" y="1020559"/>
                  <a:pt x="9803189" y="1020559"/>
                </a:cubicBezTo>
                <a:cubicBezTo>
                  <a:pt x="9822156" y="1020559"/>
                  <a:pt x="9837529" y="1004967"/>
                  <a:pt x="9837529" y="985739"/>
                </a:cubicBezTo>
                <a:cubicBezTo>
                  <a:pt x="9837529" y="966510"/>
                  <a:pt x="9822156" y="950918"/>
                  <a:pt x="9803189" y="950918"/>
                </a:cubicBezTo>
                <a:close/>
                <a:moveTo>
                  <a:pt x="9886930" y="950918"/>
                </a:moveTo>
                <a:cubicBezTo>
                  <a:pt x="9867963" y="950918"/>
                  <a:pt x="9852577" y="966510"/>
                  <a:pt x="9852577" y="985739"/>
                </a:cubicBezTo>
                <a:cubicBezTo>
                  <a:pt x="9852577" y="1004967"/>
                  <a:pt x="9867963" y="1020559"/>
                  <a:pt x="9886930" y="1020559"/>
                </a:cubicBezTo>
                <a:cubicBezTo>
                  <a:pt x="9905897" y="1020559"/>
                  <a:pt x="9921270" y="1004967"/>
                  <a:pt x="9921270" y="985739"/>
                </a:cubicBezTo>
                <a:cubicBezTo>
                  <a:pt x="9921270" y="966510"/>
                  <a:pt x="9905897" y="950918"/>
                  <a:pt x="9886930" y="950918"/>
                </a:cubicBezTo>
                <a:close/>
                <a:moveTo>
                  <a:pt x="9970671" y="950918"/>
                </a:moveTo>
                <a:cubicBezTo>
                  <a:pt x="9951704" y="950918"/>
                  <a:pt x="9936318" y="966510"/>
                  <a:pt x="9936318" y="985739"/>
                </a:cubicBezTo>
                <a:cubicBezTo>
                  <a:pt x="9936318" y="1004967"/>
                  <a:pt x="9951704" y="1020559"/>
                  <a:pt x="9970671" y="1020559"/>
                </a:cubicBezTo>
                <a:cubicBezTo>
                  <a:pt x="9989638" y="1020559"/>
                  <a:pt x="10005011" y="1004967"/>
                  <a:pt x="10005011" y="985739"/>
                </a:cubicBezTo>
                <a:cubicBezTo>
                  <a:pt x="10005011" y="966510"/>
                  <a:pt x="9989638" y="950918"/>
                  <a:pt x="9970671" y="950918"/>
                </a:cubicBezTo>
                <a:close/>
                <a:moveTo>
                  <a:pt x="10054413" y="950918"/>
                </a:moveTo>
                <a:cubicBezTo>
                  <a:pt x="10035446" y="950918"/>
                  <a:pt x="10020060" y="966510"/>
                  <a:pt x="10020060" y="985739"/>
                </a:cubicBezTo>
                <a:cubicBezTo>
                  <a:pt x="10020060" y="1004967"/>
                  <a:pt x="10035446" y="1020559"/>
                  <a:pt x="10054413" y="1020559"/>
                </a:cubicBezTo>
                <a:cubicBezTo>
                  <a:pt x="10073380" y="1020559"/>
                  <a:pt x="10088754" y="1004967"/>
                  <a:pt x="10088754" y="985739"/>
                </a:cubicBezTo>
                <a:cubicBezTo>
                  <a:pt x="10088754" y="966510"/>
                  <a:pt x="10073380" y="950918"/>
                  <a:pt x="10054413" y="950918"/>
                </a:cubicBezTo>
                <a:close/>
                <a:moveTo>
                  <a:pt x="10138155" y="950918"/>
                </a:moveTo>
                <a:cubicBezTo>
                  <a:pt x="10119188" y="950918"/>
                  <a:pt x="10103802" y="966510"/>
                  <a:pt x="10103802" y="985739"/>
                </a:cubicBezTo>
                <a:cubicBezTo>
                  <a:pt x="10103802" y="1004967"/>
                  <a:pt x="10119188" y="1020559"/>
                  <a:pt x="10138155" y="1020559"/>
                </a:cubicBezTo>
                <a:cubicBezTo>
                  <a:pt x="10157122" y="1020559"/>
                  <a:pt x="10172495" y="1004967"/>
                  <a:pt x="10172495" y="985739"/>
                </a:cubicBezTo>
                <a:cubicBezTo>
                  <a:pt x="10172495" y="966510"/>
                  <a:pt x="10157122" y="950918"/>
                  <a:pt x="10138155" y="950918"/>
                </a:cubicBezTo>
                <a:close/>
                <a:moveTo>
                  <a:pt x="10221896" y="950918"/>
                </a:moveTo>
                <a:cubicBezTo>
                  <a:pt x="10202929" y="950918"/>
                  <a:pt x="10187543" y="966510"/>
                  <a:pt x="10187543" y="985739"/>
                </a:cubicBezTo>
                <a:cubicBezTo>
                  <a:pt x="10187543" y="1004967"/>
                  <a:pt x="10202929" y="1020559"/>
                  <a:pt x="10221896" y="1020559"/>
                </a:cubicBezTo>
                <a:cubicBezTo>
                  <a:pt x="10240863" y="1020559"/>
                  <a:pt x="10256236" y="1004967"/>
                  <a:pt x="10256236" y="985739"/>
                </a:cubicBezTo>
                <a:cubicBezTo>
                  <a:pt x="10256236" y="966510"/>
                  <a:pt x="10240863" y="950918"/>
                  <a:pt x="10221896" y="950918"/>
                </a:cubicBezTo>
                <a:close/>
                <a:moveTo>
                  <a:pt x="10305638" y="950918"/>
                </a:moveTo>
                <a:cubicBezTo>
                  <a:pt x="10286671" y="950918"/>
                  <a:pt x="10271285" y="966510"/>
                  <a:pt x="10271285" y="985739"/>
                </a:cubicBezTo>
                <a:cubicBezTo>
                  <a:pt x="10271285" y="1004967"/>
                  <a:pt x="10286671" y="1020559"/>
                  <a:pt x="10305638" y="1020559"/>
                </a:cubicBezTo>
                <a:cubicBezTo>
                  <a:pt x="10324605" y="1020559"/>
                  <a:pt x="10339978" y="1004967"/>
                  <a:pt x="10339978" y="985739"/>
                </a:cubicBezTo>
                <a:cubicBezTo>
                  <a:pt x="10339978" y="966510"/>
                  <a:pt x="10324605" y="950918"/>
                  <a:pt x="10305638" y="950918"/>
                </a:cubicBezTo>
                <a:close/>
                <a:moveTo>
                  <a:pt x="10389379" y="950918"/>
                </a:moveTo>
                <a:cubicBezTo>
                  <a:pt x="10370412" y="950918"/>
                  <a:pt x="10355026" y="966510"/>
                  <a:pt x="10355026" y="985739"/>
                </a:cubicBezTo>
                <a:cubicBezTo>
                  <a:pt x="10355026" y="1004967"/>
                  <a:pt x="10370412" y="1020559"/>
                  <a:pt x="10389379" y="1020559"/>
                </a:cubicBezTo>
                <a:cubicBezTo>
                  <a:pt x="10408346" y="1020559"/>
                  <a:pt x="10423720" y="1004967"/>
                  <a:pt x="10423720" y="985739"/>
                </a:cubicBezTo>
                <a:cubicBezTo>
                  <a:pt x="10423720" y="966510"/>
                  <a:pt x="10408346" y="950918"/>
                  <a:pt x="10389379" y="950918"/>
                </a:cubicBezTo>
                <a:close/>
                <a:moveTo>
                  <a:pt x="10556863" y="950918"/>
                </a:moveTo>
                <a:cubicBezTo>
                  <a:pt x="10537896" y="950918"/>
                  <a:pt x="10522510" y="966510"/>
                  <a:pt x="10522510" y="985739"/>
                </a:cubicBezTo>
                <a:cubicBezTo>
                  <a:pt x="10522510" y="1004967"/>
                  <a:pt x="10537896" y="1020559"/>
                  <a:pt x="10556863" y="1020559"/>
                </a:cubicBezTo>
                <a:cubicBezTo>
                  <a:pt x="10575830" y="1020559"/>
                  <a:pt x="10591203" y="1004967"/>
                  <a:pt x="10591203" y="985739"/>
                </a:cubicBezTo>
                <a:cubicBezTo>
                  <a:pt x="10591203" y="966510"/>
                  <a:pt x="10575830" y="950918"/>
                  <a:pt x="10556863" y="950918"/>
                </a:cubicBezTo>
                <a:close/>
                <a:moveTo>
                  <a:pt x="1763966" y="1035783"/>
                </a:moveTo>
                <a:cubicBezTo>
                  <a:pt x="1744999" y="1035783"/>
                  <a:pt x="1729620" y="1051375"/>
                  <a:pt x="1729620" y="1070604"/>
                </a:cubicBezTo>
                <a:cubicBezTo>
                  <a:pt x="1729620" y="1089832"/>
                  <a:pt x="1744999" y="1105424"/>
                  <a:pt x="1763966" y="1105424"/>
                </a:cubicBezTo>
                <a:cubicBezTo>
                  <a:pt x="1782933" y="1105424"/>
                  <a:pt x="1798313" y="1089832"/>
                  <a:pt x="1798313" y="1070604"/>
                </a:cubicBezTo>
                <a:cubicBezTo>
                  <a:pt x="1798313" y="1051375"/>
                  <a:pt x="1782933" y="1035783"/>
                  <a:pt x="1763966" y="1035783"/>
                </a:cubicBezTo>
                <a:close/>
                <a:moveTo>
                  <a:pt x="1847707" y="1035783"/>
                </a:moveTo>
                <a:cubicBezTo>
                  <a:pt x="1828740" y="1035783"/>
                  <a:pt x="1813361" y="1051375"/>
                  <a:pt x="1813361" y="1070604"/>
                </a:cubicBezTo>
                <a:cubicBezTo>
                  <a:pt x="1813361" y="1089832"/>
                  <a:pt x="1828740" y="1105424"/>
                  <a:pt x="1847707" y="1105424"/>
                </a:cubicBezTo>
                <a:cubicBezTo>
                  <a:pt x="1866674" y="1105424"/>
                  <a:pt x="1882054" y="1089832"/>
                  <a:pt x="1882054" y="1070604"/>
                </a:cubicBezTo>
                <a:cubicBezTo>
                  <a:pt x="1882054" y="1051375"/>
                  <a:pt x="1866674" y="1035783"/>
                  <a:pt x="1847707" y="1035783"/>
                </a:cubicBezTo>
                <a:close/>
                <a:moveTo>
                  <a:pt x="1931450" y="1035783"/>
                </a:moveTo>
                <a:cubicBezTo>
                  <a:pt x="1912483" y="1035783"/>
                  <a:pt x="1897103" y="1051375"/>
                  <a:pt x="1897103" y="1070604"/>
                </a:cubicBezTo>
                <a:cubicBezTo>
                  <a:pt x="1897103" y="1089832"/>
                  <a:pt x="1912483" y="1105424"/>
                  <a:pt x="1931450" y="1105424"/>
                </a:cubicBezTo>
                <a:cubicBezTo>
                  <a:pt x="1950417" y="1105424"/>
                  <a:pt x="1965796" y="1089832"/>
                  <a:pt x="1965796" y="1070604"/>
                </a:cubicBezTo>
                <a:cubicBezTo>
                  <a:pt x="1965796" y="1051375"/>
                  <a:pt x="1950417" y="1035783"/>
                  <a:pt x="1931450" y="1035783"/>
                </a:cubicBezTo>
                <a:close/>
                <a:moveTo>
                  <a:pt x="2015191" y="1035783"/>
                </a:moveTo>
                <a:cubicBezTo>
                  <a:pt x="1996224" y="1035783"/>
                  <a:pt x="1980844" y="1051375"/>
                  <a:pt x="1980844" y="1070604"/>
                </a:cubicBezTo>
                <a:cubicBezTo>
                  <a:pt x="1980844" y="1089832"/>
                  <a:pt x="1996224" y="1105424"/>
                  <a:pt x="2015191" y="1105424"/>
                </a:cubicBezTo>
                <a:cubicBezTo>
                  <a:pt x="2034158" y="1105424"/>
                  <a:pt x="2049538" y="1089832"/>
                  <a:pt x="2049538" y="1070604"/>
                </a:cubicBezTo>
                <a:cubicBezTo>
                  <a:pt x="2049538" y="1051375"/>
                  <a:pt x="2034158" y="1035783"/>
                  <a:pt x="2015191" y="1035783"/>
                </a:cubicBezTo>
                <a:close/>
                <a:moveTo>
                  <a:pt x="2098932" y="1035783"/>
                </a:moveTo>
                <a:cubicBezTo>
                  <a:pt x="2079965" y="1035783"/>
                  <a:pt x="2064586" y="1051375"/>
                  <a:pt x="2064586" y="1070604"/>
                </a:cubicBezTo>
                <a:cubicBezTo>
                  <a:pt x="2064586" y="1089832"/>
                  <a:pt x="2079965" y="1105424"/>
                  <a:pt x="2098932" y="1105424"/>
                </a:cubicBezTo>
                <a:cubicBezTo>
                  <a:pt x="2117899" y="1105424"/>
                  <a:pt x="2133279" y="1089832"/>
                  <a:pt x="2133279" y="1070604"/>
                </a:cubicBezTo>
                <a:cubicBezTo>
                  <a:pt x="2133279" y="1051375"/>
                  <a:pt x="2117899" y="1035783"/>
                  <a:pt x="2098932" y="1035783"/>
                </a:cubicBezTo>
                <a:close/>
                <a:moveTo>
                  <a:pt x="2182674" y="1035783"/>
                </a:moveTo>
                <a:cubicBezTo>
                  <a:pt x="2163707" y="1035783"/>
                  <a:pt x="2148328" y="1051375"/>
                  <a:pt x="2148328" y="1070604"/>
                </a:cubicBezTo>
                <a:cubicBezTo>
                  <a:pt x="2148328" y="1089832"/>
                  <a:pt x="2163707" y="1105424"/>
                  <a:pt x="2182674" y="1105424"/>
                </a:cubicBezTo>
                <a:cubicBezTo>
                  <a:pt x="2201641" y="1105424"/>
                  <a:pt x="2217021" y="1089832"/>
                  <a:pt x="2217021" y="1070604"/>
                </a:cubicBezTo>
                <a:cubicBezTo>
                  <a:pt x="2217021" y="1051375"/>
                  <a:pt x="2201641" y="1035783"/>
                  <a:pt x="2182674" y="1035783"/>
                </a:cubicBezTo>
                <a:close/>
                <a:moveTo>
                  <a:pt x="2266416" y="1035783"/>
                </a:moveTo>
                <a:cubicBezTo>
                  <a:pt x="2247449" y="1035783"/>
                  <a:pt x="2232069" y="1051375"/>
                  <a:pt x="2232069" y="1070604"/>
                </a:cubicBezTo>
                <a:cubicBezTo>
                  <a:pt x="2232069" y="1089832"/>
                  <a:pt x="2247449" y="1105424"/>
                  <a:pt x="2266416" y="1105424"/>
                </a:cubicBezTo>
                <a:cubicBezTo>
                  <a:pt x="2285383" y="1105424"/>
                  <a:pt x="2300762" y="1089832"/>
                  <a:pt x="2300762" y="1070604"/>
                </a:cubicBezTo>
                <a:cubicBezTo>
                  <a:pt x="2300762" y="1051375"/>
                  <a:pt x="2285383" y="1035783"/>
                  <a:pt x="2266416" y="1035783"/>
                </a:cubicBezTo>
                <a:close/>
                <a:moveTo>
                  <a:pt x="2350151" y="1035783"/>
                </a:moveTo>
                <a:cubicBezTo>
                  <a:pt x="2331184" y="1035783"/>
                  <a:pt x="2315804" y="1051375"/>
                  <a:pt x="2315804" y="1070604"/>
                </a:cubicBezTo>
                <a:cubicBezTo>
                  <a:pt x="2315804" y="1089832"/>
                  <a:pt x="2331184" y="1105424"/>
                  <a:pt x="2350151" y="1105424"/>
                </a:cubicBezTo>
                <a:cubicBezTo>
                  <a:pt x="2369118" y="1105424"/>
                  <a:pt x="2384498" y="1089832"/>
                  <a:pt x="2384498" y="1070604"/>
                </a:cubicBezTo>
                <a:cubicBezTo>
                  <a:pt x="2384498" y="1051375"/>
                  <a:pt x="2369118" y="1035783"/>
                  <a:pt x="2350151" y="1035783"/>
                </a:cubicBezTo>
                <a:close/>
                <a:moveTo>
                  <a:pt x="2936343" y="1035783"/>
                </a:moveTo>
                <a:cubicBezTo>
                  <a:pt x="2917376" y="1035783"/>
                  <a:pt x="2901996" y="1051375"/>
                  <a:pt x="2901996" y="1070604"/>
                </a:cubicBezTo>
                <a:cubicBezTo>
                  <a:pt x="2901996" y="1089832"/>
                  <a:pt x="2917376" y="1105424"/>
                  <a:pt x="2936343" y="1105424"/>
                </a:cubicBezTo>
                <a:cubicBezTo>
                  <a:pt x="2955310" y="1105424"/>
                  <a:pt x="2970689" y="1089832"/>
                  <a:pt x="2970689" y="1070604"/>
                </a:cubicBezTo>
                <a:cubicBezTo>
                  <a:pt x="2970689" y="1051375"/>
                  <a:pt x="2955310" y="1035783"/>
                  <a:pt x="2936343" y="1035783"/>
                </a:cubicBezTo>
                <a:close/>
                <a:moveTo>
                  <a:pt x="3103826" y="1035783"/>
                </a:moveTo>
                <a:cubicBezTo>
                  <a:pt x="3084859" y="1035783"/>
                  <a:pt x="3069479" y="1051375"/>
                  <a:pt x="3069479" y="1070604"/>
                </a:cubicBezTo>
                <a:cubicBezTo>
                  <a:pt x="3069479" y="1089832"/>
                  <a:pt x="3084859" y="1105424"/>
                  <a:pt x="3103826" y="1105424"/>
                </a:cubicBezTo>
                <a:cubicBezTo>
                  <a:pt x="3122793" y="1105424"/>
                  <a:pt x="3138173" y="1089832"/>
                  <a:pt x="3138173" y="1070604"/>
                </a:cubicBezTo>
                <a:cubicBezTo>
                  <a:pt x="3138173" y="1051375"/>
                  <a:pt x="3122793" y="1035783"/>
                  <a:pt x="3103826" y="1035783"/>
                </a:cubicBezTo>
                <a:close/>
                <a:moveTo>
                  <a:pt x="3187567" y="1035783"/>
                </a:moveTo>
                <a:cubicBezTo>
                  <a:pt x="3168600" y="1035783"/>
                  <a:pt x="3153221" y="1051375"/>
                  <a:pt x="3153221" y="1070604"/>
                </a:cubicBezTo>
                <a:cubicBezTo>
                  <a:pt x="3153221" y="1089832"/>
                  <a:pt x="3168600" y="1105424"/>
                  <a:pt x="3187567" y="1105424"/>
                </a:cubicBezTo>
                <a:cubicBezTo>
                  <a:pt x="3206534" y="1105424"/>
                  <a:pt x="3221914" y="1089832"/>
                  <a:pt x="3221914" y="1070604"/>
                </a:cubicBezTo>
                <a:cubicBezTo>
                  <a:pt x="3221914" y="1051375"/>
                  <a:pt x="3206534" y="1035783"/>
                  <a:pt x="3187567" y="1035783"/>
                </a:cubicBezTo>
                <a:close/>
                <a:moveTo>
                  <a:pt x="3438792" y="1035783"/>
                </a:moveTo>
                <a:cubicBezTo>
                  <a:pt x="3419825" y="1035783"/>
                  <a:pt x="3404445" y="1051375"/>
                  <a:pt x="3404445" y="1070604"/>
                </a:cubicBezTo>
                <a:cubicBezTo>
                  <a:pt x="3404445" y="1089832"/>
                  <a:pt x="3419825" y="1105424"/>
                  <a:pt x="3438792" y="1105424"/>
                </a:cubicBezTo>
                <a:cubicBezTo>
                  <a:pt x="3457759" y="1105424"/>
                  <a:pt x="3473139" y="1089832"/>
                  <a:pt x="3473139" y="1070604"/>
                </a:cubicBezTo>
                <a:cubicBezTo>
                  <a:pt x="3473139" y="1051375"/>
                  <a:pt x="3457759" y="1035783"/>
                  <a:pt x="3438792" y="1035783"/>
                </a:cubicBezTo>
                <a:close/>
                <a:moveTo>
                  <a:pt x="3606276" y="1035783"/>
                </a:moveTo>
                <a:cubicBezTo>
                  <a:pt x="3587309" y="1035783"/>
                  <a:pt x="3571929" y="1051375"/>
                  <a:pt x="3571929" y="1070604"/>
                </a:cubicBezTo>
                <a:cubicBezTo>
                  <a:pt x="3571929" y="1089832"/>
                  <a:pt x="3587309" y="1105424"/>
                  <a:pt x="3606276" y="1105424"/>
                </a:cubicBezTo>
                <a:cubicBezTo>
                  <a:pt x="3625243" y="1105424"/>
                  <a:pt x="3640622" y="1089832"/>
                  <a:pt x="3640622" y="1070604"/>
                </a:cubicBezTo>
                <a:cubicBezTo>
                  <a:pt x="3640622" y="1051375"/>
                  <a:pt x="3625243" y="1035783"/>
                  <a:pt x="3606276" y="1035783"/>
                </a:cubicBezTo>
                <a:close/>
                <a:moveTo>
                  <a:pt x="3773759" y="1035783"/>
                </a:moveTo>
                <a:cubicBezTo>
                  <a:pt x="3754792" y="1035783"/>
                  <a:pt x="3739412" y="1051375"/>
                  <a:pt x="3739412" y="1070604"/>
                </a:cubicBezTo>
                <a:cubicBezTo>
                  <a:pt x="3739412" y="1089832"/>
                  <a:pt x="3754792" y="1105424"/>
                  <a:pt x="3773759" y="1105424"/>
                </a:cubicBezTo>
                <a:cubicBezTo>
                  <a:pt x="3792726" y="1105424"/>
                  <a:pt x="3808106" y="1089832"/>
                  <a:pt x="3808106" y="1070604"/>
                </a:cubicBezTo>
                <a:cubicBezTo>
                  <a:pt x="3808106" y="1051375"/>
                  <a:pt x="3792726" y="1035783"/>
                  <a:pt x="3773759" y="1035783"/>
                </a:cubicBezTo>
                <a:close/>
                <a:moveTo>
                  <a:pt x="4024990" y="1035783"/>
                </a:moveTo>
                <a:cubicBezTo>
                  <a:pt x="4006023" y="1035783"/>
                  <a:pt x="3990643" y="1051375"/>
                  <a:pt x="3990643" y="1070604"/>
                </a:cubicBezTo>
                <a:cubicBezTo>
                  <a:pt x="3990643" y="1089832"/>
                  <a:pt x="4006023" y="1105424"/>
                  <a:pt x="4024990" y="1105424"/>
                </a:cubicBezTo>
                <a:cubicBezTo>
                  <a:pt x="4043957" y="1105424"/>
                  <a:pt x="4059337" y="1089832"/>
                  <a:pt x="4059337" y="1070604"/>
                </a:cubicBezTo>
                <a:cubicBezTo>
                  <a:pt x="4059337" y="1051375"/>
                  <a:pt x="4043957" y="1035783"/>
                  <a:pt x="4024990" y="1035783"/>
                </a:cubicBezTo>
                <a:close/>
                <a:moveTo>
                  <a:pt x="4611182" y="1035783"/>
                </a:moveTo>
                <a:cubicBezTo>
                  <a:pt x="4592215" y="1035783"/>
                  <a:pt x="4576835" y="1051375"/>
                  <a:pt x="4576835" y="1070604"/>
                </a:cubicBezTo>
                <a:cubicBezTo>
                  <a:pt x="4576835" y="1089832"/>
                  <a:pt x="4592215" y="1105424"/>
                  <a:pt x="4611182" y="1105424"/>
                </a:cubicBezTo>
                <a:cubicBezTo>
                  <a:pt x="4630149" y="1105424"/>
                  <a:pt x="4645528" y="1089832"/>
                  <a:pt x="4645528" y="1070604"/>
                </a:cubicBezTo>
                <a:cubicBezTo>
                  <a:pt x="4645528" y="1051375"/>
                  <a:pt x="4630149" y="1035783"/>
                  <a:pt x="4611182" y="1035783"/>
                </a:cubicBezTo>
                <a:close/>
                <a:moveTo>
                  <a:pt x="4694923" y="1035783"/>
                </a:moveTo>
                <a:cubicBezTo>
                  <a:pt x="4675956" y="1035783"/>
                  <a:pt x="4660576" y="1051375"/>
                  <a:pt x="4660576" y="1070604"/>
                </a:cubicBezTo>
                <a:cubicBezTo>
                  <a:pt x="4660576" y="1089832"/>
                  <a:pt x="4675956" y="1105424"/>
                  <a:pt x="4694923" y="1105424"/>
                </a:cubicBezTo>
                <a:cubicBezTo>
                  <a:pt x="4713890" y="1105424"/>
                  <a:pt x="4729270" y="1089832"/>
                  <a:pt x="4729270" y="1070604"/>
                </a:cubicBezTo>
                <a:cubicBezTo>
                  <a:pt x="4729270" y="1051375"/>
                  <a:pt x="4713890" y="1035783"/>
                  <a:pt x="4694923" y="1035783"/>
                </a:cubicBezTo>
                <a:close/>
                <a:moveTo>
                  <a:pt x="4778665" y="1035783"/>
                </a:moveTo>
                <a:cubicBezTo>
                  <a:pt x="4759698" y="1035783"/>
                  <a:pt x="4744319" y="1051375"/>
                  <a:pt x="4744319" y="1070604"/>
                </a:cubicBezTo>
                <a:cubicBezTo>
                  <a:pt x="4744319" y="1089832"/>
                  <a:pt x="4759698" y="1105424"/>
                  <a:pt x="4778665" y="1105424"/>
                </a:cubicBezTo>
                <a:cubicBezTo>
                  <a:pt x="4797632" y="1105424"/>
                  <a:pt x="4813012" y="1089832"/>
                  <a:pt x="4813012" y="1070604"/>
                </a:cubicBezTo>
                <a:cubicBezTo>
                  <a:pt x="4813012" y="1051375"/>
                  <a:pt x="4797632" y="1035783"/>
                  <a:pt x="4778665" y="1035783"/>
                </a:cubicBezTo>
                <a:close/>
                <a:moveTo>
                  <a:pt x="4862406" y="1035783"/>
                </a:moveTo>
                <a:cubicBezTo>
                  <a:pt x="4843439" y="1035783"/>
                  <a:pt x="4828060" y="1051375"/>
                  <a:pt x="4828060" y="1070604"/>
                </a:cubicBezTo>
                <a:cubicBezTo>
                  <a:pt x="4828060" y="1089832"/>
                  <a:pt x="4843439" y="1105424"/>
                  <a:pt x="4862406" y="1105424"/>
                </a:cubicBezTo>
                <a:cubicBezTo>
                  <a:pt x="4881373" y="1105424"/>
                  <a:pt x="4896753" y="1089832"/>
                  <a:pt x="4896753" y="1070604"/>
                </a:cubicBezTo>
                <a:cubicBezTo>
                  <a:pt x="4896753" y="1051375"/>
                  <a:pt x="4881373" y="1035783"/>
                  <a:pt x="4862406" y="1035783"/>
                </a:cubicBezTo>
                <a:close/>
                <a:moveTo>
                  <a:pt x="4946148" y="1035783"/>
                </a:moveTo>
                <a:cubicBezTo>
                  <a:pt x="4927181" y="1035783"/>
                  <a:pt x="4911801" y="1051375"/>
                  <a:pt x="4911801" y="1070604"/>
                </a:cubicBezTo>
                <a:cubicBezTo>
                  <a:pt x="4911801" y="1089832"/>
                  <a:pt x="4927181" y="1105424"/>
                  <a:pt x="4946148" y="1105424"/>
                </a:cubicBezTo>
                <a:cubicBezTo>
                  <a:pt x="4965115" y="1105424"/>
                  <a:pt x="4980494" y="1089832"/>
                  <a:pt x="4980494" y="1070604"/>
                </a:cubicBezTo>
                <a:cubicBezTo>
                  <a:pt x="4980494" y="1051375"/>
                  <a:pt x="4965115" y="1035783"/>
                  <a:pt x="4946148" y="1035783"/>
                </a:cubicBezTo>
                <a:close/>
                <a:moveTo>
                  <a:pt x="5029890" y="1035783"/>
                </a:moveTo>
                <a:cubicBezTo>
                  <a:pt x="5010923" y="1035783"/>
                  <a:pt x="4995543" y="1051375"/>
                  <a:pt x="4995543" y="1070604"/>
                </a:cubicBezTo>
                <a:cubicBezTo>
                  <a:pt x="4995543" y="1089832"/>
                  <a:pt x="5010923" y="1105424"/>
                  <a:pt x="5029890" y="1105424"/>
                </a:cubicBezTo>
                <a:cubicBezTo>
                  <a:pt x="5048857" y="1105424"/>
                  <a:pt x="5064237" y="1089832"/>
                  <a:pt x="5064237" y="1070604"/>
                </a:cubicBezTo>
                <a:cubicBezTo>
                  <a:pt x="5064237" y="1051375"/>
                  <a:pt x="5048857" y="1035783"/>
                  <a:pt x="5029890" y="1035783"/>
                </a:cubicBezTo>
                <a:close/>
                <a:moveTo>
                  <a:pt x="5113631" y="1035783"/>
                </a:moveTo>
                <a:cubicBezTo>
                  <a:pt x="5094664" y="1035783"/>
                  <a:pt x="5079285" y="1051375"/>
                  <a:pt x="5079285" y="1070604"/>
                </a:cubicBezTo>
                <a:cubicBezTo>
                  <a:pt x="5079285" y="1089832"/>
                  <a:pt x="5094664" y="1105424"/>
                  <a:pt x="5113631" y="1105424"/>
                </a:cubicBezTo>
                <a:cubicBezTo>
                  <a:pt x="5132598" y="1105424"/>
                  <a:pt x="5147978" y="1089832"/>
                  <a:pt x="5147978" y="1070604"/>
                </a:cubicBezTo>
                <a:cubicBezTo>
                  <a:pt x="5147978" y="1051375"/>
                  <a:pt x="5132598" y="1035783"/>
                  <a:pt x="5113631" y="1035783"/>
                </a:cubicBezTo>
                <a:close/>
                <a:moveTo>
                  <a:pt x="5197372" y="1035783"/>
                </a:moveTo>
                <a:cubicBezTo>
                  <a:pt x="5178405" y="1035783"/>
                  <a:pt x="5163026" y="1051375"/>
                  <a:pt x="5163026" y="1070604"/>
                </a:cubicBezTo>
                <a:cubicBezTo>
                  <a:pt x="5163026" y="1089832"/>
                  <a:pt x="5178405" y="1105424"/>
                  <a:pt x="5197372" y="1105424"/>
                </a:cubicBezTo>
                <a:cubicBezTo>
                  <a:pt x="5216339" y="1105424"/>
                  <a:pt x="5231719" y="1089832"/>
                  <a:pt x="5231719" y="1070604"/>
                </a:cubicBezTo>
                <a:cubicBezTo>
                  <a:pt x="5231719" y="1051375"/>
                  <a:pt x="5216339" y="1035783"/>
                  <a:pt x="5197372" y="1035783"/>
                </a:cubicBezTo>
                <a:close/>
                <a:moveTo>
                  <a:pt x="5281115" y="1035783"/>
                </a:moveTo>
                <a:cubicBezTo>
                  <a:pt x="5262148" y="1035783"/>
                  <a:pt x="5246768" y="1051375"/>
                  <a:pt x="5246768" y="1070604"/>
                </a:cubicBezTo>
                <a:cubicBezTo>
                  <a:pt x="5246768" y="1089832"/>
                  <a:pt x="5262148" y="1105424"/>
                  <a:pt x="5281115" y="1105424"/>
                </a:cubicBezTo>
                <a:cubicBezTo>
                  <a:pt x="5300082" y="1105424"/>
                  <a:pt x="5315461" y="1089832"/>
                  <a:pt x="5315461" y="1070604"/>
                </a:cubicBezTo>
                <a:cubicBezTo>
                  <a:pt x="5315461" y="1051375"/>
                  <a:pt x="5300082" y="1035783"/>
                  <a:pt x="5281115" y="1035783"/>
                </a:cubicBezTo>
                <a:close/>
                <a:moveTo>
                  <a:pt x="5364856" y="1035783"/>
                </a:moveTo>
                <a:cubicBezTo>
                  <a:pt x="5345889" y="1035783"/>
                  <a:pt x="5330509" y="1051375"/>
                  <a:pt x="5330509" y="1070604"/>
                </a:cubicBezTo>
                <a:cubicBezTo>
                  <a:pt x="5330509" y="1089832"/>
                  <a:pt x="5345889" y="1105424"/>
                  <a:pt x="5364856" y="1105424"/>
                </a:cubicBezTo>
                <a:cubicBezTo>
                  <a:pt x="5383823" y="1105424"/>
                  <a:pt x="5399203" y="1089832"/>
                  <a:pt x="5399203" y="1070604"/>
                </a:cubicBezTo>
                <a:cubicBezTo>
                  <a:pt x="5399203" y="1051375"/>
                  <a:pt x="5383823" y="1035783"/>
                  <a:pt x="5364856" y="1035783"/>
                </a:cubicBezTo>
                <a:close/>
                <a:moveTo>
                  <a:pt x="6202273" y="1035783"/>
                </a:moveTo>
                <a:cubicBezTo>
                  <a:pt x="6183306" y="1035783"/>
                  <a:pt x="6167920" y="1051375"/>
                  <a:pt x="6167920" y="1070604"/>
                </a:cubicBezTo>
                <a:cubicBezTo>
                  <a:pt x="6167920" y="1089832"/>
                  <a:pt x="6183306" y="1105424"/>
                  <a:pt x="6202273" y="1105424"/>
                </a:cubicBezTo>
                <a:cubicBezTo>
                  <a:pt x="6221240" y="1105424"/>
                  <a:pt x="6236613" y="1089832"/>
                  <a:pt x="6236613" y="1070604"/>
                </a:cubicBezTo>
                <a:cubicBezTo>
                  <a:pt x="6236613" y="1051375"/>
                  <a:pt x="6221240" y="1035783"/>
                  <a:pt x="6202273" y="1035783"/>
                </a:cubicBezTo>
                <a:close/>
                <a:moveTo>
                  <a:pt x="7207198" y="1035783"/>
                </a:moveTo>
                <a:cubicBezTo>
                  <a:pt x="7188231" y="1035783"/>
                  <a:pt x="7172845" y="1051375"/>
                  <a:pt x="7172845" y="1070604"/>
                </a:cubicBezTo>
                <a:cubicBezTo>
                  <a:pt x="7172845" y="1089832"/>
                  <a:pt x="7188231" y="1105424"/>
                  <a:pt x="7207198" y="1105424"/>
                </a:cubicBezTo>
                <a:cubicBezTo>
                  <a:pt x="7226165" y="1105424"/>
                  <a:pt x="7241538" y="1089832"/>
                  <a:pt x="7241538" y="1070604"/>
                </a:cubicBezTo>
                <a:cubicBezTo>
                  <a:pt x="7241538" y="1051375"/>
                  <a:pt x="7226165" y="1035783"/>
                  <a:pt x="7207198" y="1035783"/>
                </a:cubicBezTo>
                <a:close/>
                <a:moveTo>
                  <a:pt x="7877131" y="1035783"/>
                </a:moveTo>
                <a:cubicBezTo>
                  <a:pt x="7858164" y="1035783"/>
                  <a:pt x="7842778" y="1051375"/>
                  <a:pt x="7842778" y="1070604"/>
                </a:cubicBezTo>
                <a:cubicBezTo>
                  <a:pt x="7842778" y="1089832"/>
                  <a:pt x="7858164" y="1105424"/>
                  <a:pt x="7877131" y="1105424"/>
                </a:cubicBezTo>
                <a:cubicBezTo>
                  <a:pt x="7896098" y="1105424"/>
                  <a:pt x="7911471" y="1089832"/>
                  <a:pt x="7911471" y="1070604"/>
                </a:cubicBezTo>
                <a:cubicBezTo>
                  <a:pt x="7911471" y="1051375"/>
                  <a:pt x="7896098" y="1035783"/>
                  <a:pt x="7877131" y="1035783"/>
                </a:cubicBezTo>
                <a:close/>
                <a:moveTo>
                  <a:pt x="7960872" y="1035783"/>
                </a:moveTo>
                <a:cubicBezTo>
                  <a:pt x="7941905" y="1035783"/>
                  <a:pt x="7926519" y="1051375"/>
                  <a:pt x="7926519" y="1070604"/>
                </a:cubicBezTo>
                <a:cubicBezTo>
                  <a:pt x="7926519" y="1089832"/>
                  <a:pt x="7941905" y="1105424"/>
                  <a:pt x="7960872" y="1105424"/>
                </a:cubicBezTo>
                <a:cubicBezTo>
                  <a:pt x="7979839" y="1105424"/>
                  <a:pt x="7995212" y="1089832"/>
                  <a:pt x="7995212" y="1070604"/>
                </a:cubicBezTo>
                <a:cubicBezTo>
                  <a:pt x="7995212" y="1051375"/>
                  <a:pt x="7979839" y="1035783"/>
                  <a:pt x="7960872" y="1035783"/>
                </a:cubicBezTo>
                <a:close/>
                <a:moveTo>
                  <a:pt x="8044614" y="1035783"/>
                </a:moveTo>
                <a:cubicBezTo>
                  <a:pt x="8025647" y="1035783"/>
                  <a:pt x="8010261" y="1051375"/>
                  <a:pt x="8010261" y="1070604"/>
                </a:cubicBezTo>
                <a:cubicBezTo>
                  <a:pt x="8010261" y="1089832"/>
                  <a:pt x="8025647" y="1105424"/>
                  <a:pt x="8044614" y="1105424"/>
                </a:cubicBezTo>
                <a:cubicBezTo>
                  <a:pt x="8063581" y="1105424"/>
                  <a:pt x="8078955" y="1089832"/>
                  <a:pt x="8078955" y="1070604"/>
                </a:cubicBezTo>
                <a:cubicBezTo>
                  <a:pt x="8078955" y="1051375"/>
                  <a:pt x="8063581" y="1035783"/>
                  <a:pt x="8044614" y="1035783"/>
                </a:cubicBezTo>
                <a:close/>
                <a:moveTo>
                  <a:pt x="8128356" y="1035783"/>
                </a:moveTo>
                <a:cubicBezTo>
                  <a:pt x="8109389" y="1035783"/>
                  <a:pt x="8094003" y="1051375"/>
                  <a:pt x="8094003" y="1070604"/>
                </a:cubicBezTo>
                <a:cubicBezTo>
                  <a:pt x="8094003" y="1089832"/>
                  <a:pt x="8109389" y="1105424"/>
                  <a:pt x="8128356" y="1105424"/>
                </a:cubicBezTo>
                <a:cubicBezTo>
                  <a:pt x="8147323" y="1105424"/>
                  <a:pt x="8162696" y="1089832"/>
                  <a:pt x="8162696" y="1070604"/>
                </a:cubicBezTo>
                <a:cubicBezTo>
                  <a:pt x="8162696" y="1051375"/>
                  <a:pt x="8147323" y="1035783"/>
                  <a:pt x="8128356" y="1035783"/>
                </a:cubicBezTo>
                <a:close/>
                <a:moveTo>
                  <a:pt x="8212097" y="1035783"/>
                </a:moveTo>
                <a:cubicBezTo>
                  <a:pt x="8193130" y="1035783"/>
                  <a:pt x="8177744" y="1051375"/>
                  <a:pt x="8177744" y="1070604"/>
                </a:cubicBezTo>
                <a:cubicBezTo>
                  <a:pt x="8177744" y="1089832"/>
                  <a:pt x="8193130" y="1105424"/>
                  <a:pt x="8212097" y="1105424"/>
                </a:cubicBezTo>
                <a:cubicBezTo>
                  <a:pt x="8231064" y="1105424"/>
                  <a:pt x="8246437" y="1089832"/>
                  <a:pt x="8246437" y="1070604"/>
                </a:cubicBezTo>
                <a:cubicBezTo>
                  <a:pt x="8246437" y="1051375"/>
                  <a:pt x="8231064" y="1035783"/>
                  <a:pt x="8212097" y="1035783"/>
                </a:cubicBezTo>
                <a:close/>
                <a:moveTo>
                  <a:pt x="8379580" y="1035783"/>
                </a:moveTo>
                <a:cubicBezTo>
                  <a:pt x="8360613" y="1035783"/>
                  <a:pt x="8345227" y="1051375"/>
                  <a:pt x="8345227" y="1070604"/>
                </a:cubicBezTo>
                <a:cubicBezTo>
                  <a:pt x="8345227" y="1089832"/>
                  <a:pt x="8360613" y="1105424"/>
                  <a:pt x="8379580" y="1105424"/>
                </a:cubicBezTo>
                <a:cubicBezTo>
                  <a:pt x="8398547" y="1105424"/>
                  <a:pt x="8413921" y="1089832"/>
                  <a:pt x="8413921" y="1070604"/>
                </a:cubicBezTo>
                <a:cubicBezTo>
                  <a:pt x="8413921" y="1051375"/>
                  <a:pt x="8398547" y="1035783"/>
                  <a:pt x="8379580" y="1035783"/>
                </a:cubicBezTo>
                <a:close/>
                <a:moveTo>
                  <a:pt x="8463323" y="1035783"/>
                </a:moveTo>
                <a:cubicBezTo>
                  <a:pt x="8444356" y="1035783"/>
                  <a:pt x="8428970" y="1051375"/>
                  <a:pt x="8428970" y="1070604"/>
                </a:cubicBezTo>
                <a:cubicBezTo>
                  <a:pt x="8428970" y="1089832"/>
                  <a:pt x="8444356" y="1105424"/>
                  <a:pt x="8463323" y="1105424"/>
                </a:cubicBezTo>
                <a:cubicBezTo>
                  <a:pt x="8482290" y="1105424"/>
                  <a:pt x="8497663" y="1089832"/>
                  <a:pt x="8497663" y="1070604"/>
                </a:cubicBezTo>
                <a:cubicBezTo>
                  <a:pt x="8497663" y="1051375"/>
                  <a:pt x="8482290" y="1035783"/>
                  <a:pt x="8463323" y="1035783"/>
                </a:cubicBezTo>
                <a:close/>
                <a:moveTo>
                  <a:pt x="8547064" y="1035783"/>
                </a:moveTo>
                <a:cubicBezTo>
                  <a:pt x="8528097" y="1035783"/>
                  <a:pt x="8512711" y="1051375"/>
                  <a:pt x="8512711" y="1070604"/>
                </a:cubicBezTo>
                <a:cubicBezTo>
                  <a:pt x="8512711" y="1089832"/>
                  <a:pt x="8528097" y="1105424"/>
                  <a:pt x="8547064" y="1105424"/>
                </a:cubicBezTo>
                <a:cubicBezTo>
                  <a:pt x="8566031" y="1105424"/>
                  <a:pt x="8581404" y="1089832"/>
                  <a:pt x="8581404" y="1070604"/>
                </a:cubicBezTo>
                <a:cubicBezTo>
                  <a:pt x="8581404" y="1051375"/>
                  <a:pt x="8566031" y="1035783"/>
                  <a:pt x="8547064" y="1035783"/>
                </a:cubicBezTo>
                <a:close/>
                <a:moveTo>
                  <a:pt x="8630805" y="1035783"/>
                </a:moveTo>
                <a:cubicBezTo>
                  <a:pt x="8611838" y="1035783"/>
                  <a:pt x="8596452" y="1051375"/>
                  <a:pt x="8596452" y="1070604"/>
                </a:cubicBezTo>
                <a:cubicBezTo>
                  <a:pt x="8596452" y="1089832"/>
                  <a:pt x="8611838" y="1105424"/>
                  <a:pt x="8630805" y="1105424"/>
                </a:cubicBezTo>
                <a:cubicBezTo>
                  <a:pt x="8649772" y="1105424"/>
                  <a:pt x="8665145" y="1089832"/>
                  <a:pt x="8665145" y="1070604"/>
                </a:cubicBezTo>
                <a:cubicBezTo>
                  <a:pt x="8665145" y="1051375"/>
                  <a:pt x="8649772" y="1035783"/>
                  <a:pt x="8630805" y="1035783"/>
                </a:cubicBezTo>
                <a:close/>
                <a:moveTo>
                  <a:pt x="8714547" y="1035783"/>
                </a:moveTo>
                <a:cubicBezTo>
                  <a:pt x="8695580" y="1035783"/>
                  <a:pt x="8680194" y="1051375"/>
                  <a:pt x="8680194" y="1070604"/>
                </a:cubicBezTo>
                <a:cubicBezTo>
                  <a:pt x="8680194" y="1089832"/>
                  <a:pt x="8695580" y="1105424"/>
                  <a:pt x="8714547" y="1105424"/>
                </a:cubicBezTo>
                <a:cubicBezTo>
                  <a:pt x="8733514" y="1105424"/>
                  <a:pt x="8748888" y="1089832"/>
                  <a:pt x="8748888" y="1070604"/>
                </a:cubicBezTo>
                <a:cubicBezTo>
                  <a:pt x="8748888" y="1051375"/>
                  <a:pt x="8733514" y="1035783"/>
                  <a:pt x="8714547" y="1035783"/>
                </a:cubicBezTo>
                <a:close/>
                <a:moveTo>
                  <a:pt x="8798289" y="1035783"/>
                </a:moveTo>
                <a:cubicBezTo>
                  <a:pt x="8779322" y="1035783"/>
                  <a:pt x="8763936" y="1051375"/>
                  <a:pt x="8763936" y="1070604"/>
                </a:cubicBezTo>
                <a:cubicBezTo>
                  <a:pt x="8763936" y="1089832"/>
                  <a:pt x="8779322" y="1105424"/>
                  <a:pt x="8798289" y="1105424"/>
                </a:cubicBezTo>
                <a:cubicBezTo>
                  <a:pt x="8817256" y="1105424"/>
                  <a:pt x="8832629" y="1089832"/>
                  <a:pt x="8832629" y="1070604"/>
                </a:cubicBezTo>
                <a:cubicBezTo>
                  <a:pt x="8832629" y="1051375"/>
                  <a:pt x="8817256" y="1035783"/>
                  <a:pt x="8798289" y="1035783"/>
                </a:cubicBezTo>
                <a:close/>
                <a:moveTo>
                  <a:pt x="8882030" y="1035783"/>
                </a:moveTo>
                <a:cubicBezTo>
                  <a:pt x="8863063" y="1035783"/>
                  <a:pt x="8847677" y="1051375"/>
                  <a:pt x="8847677" y="1070604"/>
                </a:cubicBezTo>
                <a:cubicBezTo>
                  <a:pt x="8847677" y="1089832"/>
                  <a:pt x="8863063" y="1105424"/>
                  <a:pt x="8882030" y="1105424"/>
                </a:cubicBezTo>
                <a:cubicBezTo>
                  <a:pt x="8900997" y="1105424"/>
                  <a:pt x="8916370" y="1089832"/>
                  <a:pt x="8916370" y="1070604"/>
                </a:cubicBezTo>
                <a:cubicBezTo>
                  <a:pt x="8916370" y="1051375"/>
                  <a:pt x="8900997" y="1035783"/>
                  <a:pt x="8882030" y="1035783"/>
                </a:cubicBezTo>
                <a:close/>
                <a:moveTo>
                  <a:pt x="9049513" y="1035783"/>
                </a:moveTo>
                <a:cubicBezTo>
                  <a:pt x="9030546" y="1035783"/>
                  <a:pt x="9015160" y="1051375"/>
                  <a:pt x="9015160" y="1070604"/>
                </a:cubicBezTo>
                <a:cubicBezTo>
                  <a:pt x="9015160" y="1089832"/>
                  <a:pt x="9030546" y="1105424"/>
                  <a:pt x="9049513" y="1105424"/>
                </a:cubicBezTo>
                <a:cubicBezTo>
                  <a:pt x="9068480" y="1105424"/>
                  <a:pt x="9083854" y="1089832"/>
                  <a:pt x="9083854" y="1070604"/>
                </a:cubicBezTo>
                <a:cubicBezTo>
                  <a:pt x="9083854" y="1051375"/>
                  <a:pt x="9068480" y="1035783"/>
                  <a:pt x="9049513" y="1035783"/>
                </a:cubicBezTo>
                <a:close/>
                <a:moveTo>
                  <a:pt x="9133256" y="1035783"/>
                </a:moveTo>
                <a:cubicBezTo>
                  <a:pt x="9114289" y="1035783"/>
                  <a:pt x="9098903" y="1051375"/>
                  <a:pt x="9098903" y="1070604"/>
                </a:cubicBezTo>
                <a:cubicBezTo>
                  <a:pt x="9098903" y="1089832"/>
                  <a:pt x="9114289" y="1105424"/>
                  <a:pt x="9133256" y="1105424"/>
                </a:cubicBezTo>
                <a:cubicBezTo>
                  <a:pt x="9152223" y="1105424"/>
                  <a:pt x="9167596" y="1089832"/>
                  <a:pt x="9167596" y="1070604"/>
                </a:cubicBezTo>
                <a:cubicBezTo>
                  <a:pt x="9167596" y="1051375"/>
                  <a:pt x="9152223" y="1035783"/>
                  <a:pt x="9133256" y="1035783"/>
                </a:cubicBezTo>
                <a:close/>
                <a:moveTo>
                  <a:pt x="9216997" y="1035783"/>
                </a:moveTo>
                <a:cubicBezTo>
                  <a:pt x="9198030" y="1035783"/>
                  <a:pt x="9182644" y="1051375"/>
                  <a:pt x="9182644" y="1070604"/>
                </a:cubicBezTo>
                <a:cubicBezTo>
                  <a:pt x="9182644" y="1089832"/>
                  <a:pt x="9198030" y="1105424"/>
                  <a:pt x="9216997" y="1105424"/>
                </a:cubicBezTo>
                <a:cubicBezTo>
                  <a:pt x="9235964" y="1105424"/>
                  <a:pt x="9251337" y="1089832"/>
                  <a:pt x="9251337" y="1070604"/>
                </a:cubicBezTo>
                <a:cubicBezTo>
                  <a:pt x="9251337" y="1051375"/>
                  <a:pt x="9235964" y="1035783"/>
                  <a:pt x="9216997" y="1035783"/>
                </a:cubicBezTo>
                <a:close/>
                <a:moveTo>
                  <a:pt x="9300738" y="1035783"/>
                </a:moveTo>
                <a:cubicBezTo>
                  <a:pt x="9281771" y="1035783"/>
                  <a:pt x="9266385" y="1051375"/>
                  <a:pt x="9266385" y="1070604"/>
                </a:cubicBezTo>
                <a:cubicBezTo>
                  <a:pt x="9266385" y="1089832"/>
                  <a:pt x="9281771" y="1105424"/>
                  <a:pt x="9300738" y="1105424"/>
                </a:cubicBezTo>
                <a:cubicBezTo>
                  <a:pt x="9319705" y="1105424"/>
                  <a:pt x="9335078" y="1089832"/>
                  <a:pt x="9335078" y="1070604"/>
                </a:cubicBezTo>
                <a:cubicBezTo>
                  <a:pt x="9335078" y="1051375"/>
                  <a:pt x="9319705" y="1035783"/>
                  <a:pt x="9300738" y="1035783"/>
                </a:cubicBezTo>
                <a:close/>
                <a:moveTo>
                  <a:pt x="9384480" y="1035783"/>
                </a:moveTo>
                <a:cubicBezTo>
                  <a:pt x="9365513" y="1035783"/>
                  <a:pt x="9350127" y="1051375"/>
                  <a:pt x="9350127" y="1070604"/>
                </a:cubicBezTo>
                <a:cubicBezTo>
                  <a:pt x="9350127" y="1089832"/>
                  <a:pt x="9365513" y="1105424"/>
                  <a:pt x="9384480" y="1105424"/>
                </a:cubicBezTo>
                <a:cubicBezTo>
                  <a:pt x="9403447" y="1105424"/>
                  <a:pt x="9418821" y="1089832"/>
                  <a:pt x="9418821" y="1070604"/>
                </a:cubicBezTo>
                <a:cubicBezTo>
                  <a:pt x="9418821" y="1051375"/>
                  <a:pt x="9403447" y="1035783"/>
                  <a:pt x="9384480" y="1035783"/>
                </a:cubicBezTo>
                <a:close/>
                <a:moveTo>
                  <a:pt x="9468222" y="1035783"/>
                </a:moveTo>
                <a:cubicBezTo>
                  <a:pt x="9449255" y="1035783"/>
                  <a:pt x="9433869" y="1051375"/>
                  <a:pt x="9433869" y="1070604"/>
                </a:cubicBezTo>
                <a:cubicBezTo>
                  <a:pt x="9433869" y="1089832"/>
                  <a:pt x="9449255" y="1105424"/>
                  <a:pt x="9468222" y="1105424"/>
                </a:cubicBezTo>
                <a:cubicBezTo>
                  <a:pt x="9487189" y="1105424"/>
                  <a:pt x="9502562" y="1089832"/>
                  <a:pt x="9502562" y="1070604"/>
                </a:cubicBezTo>
                <a:cubicBezTo>
                  <a:pt x="9502562" y="1051375"/>
                  <a:pt x="9487189" y="1035783"/>
                  <a:pt x="9468222" y="1035783"/>
                </a:cubicBezTo>
                <a:close/>
                <a:moveTo>
                  <a:pt x="9551963" y="1035783"/>
                </a:moveTo>
                <a:cubicBezTo>
                  <a:pt x="9532996" y="1035783"/>
                  <a:pt x="9517610" y="1051375"/>
                  <a:pt x="9517610" y="1070604"/>
                </a:cubicBezTo>
                <a:cubicBezTo>
                  <a:pt x="9517610" y="1089832"/>
                  <a:pt x="9532996" y="1105424"/>
                  <a:pt x="9551963" y="1105424"/>
                </a:cubicBezTo>
                <a:cubicBezTo>
                  <a:pt x="9570930" y="1105424"/>
                  <a:pt x="9586303" y="1089832"/>
                  <a:pt x="9586303" y="1070604"/>
                </a:cubicBezTo>
                <a:cubicBezTo>
                  <a:pt x="9586303" y="1051375"/>
                  <a:pt x="9570930" y="1035783"/>
                  <a:pt x="9551963" y="1035783"/>
                </a:cubicBezTo>
                <a:close/>
                <a:moveTo>
                  <a:pt x="9635705" y="1035783"/>
                </a:moveTo>
                <a:cubicBezTo>
                  <a:pt x="9616738" y="1035783"/>
                  <a:pt x="9601352" y="1051375"/>
                  <a:pt x="9601352" y="1070604"/>
                </a:cubicBezTo>
                <a:cubicBezTo>
                  <a:pt x="9601352" y="1089832"/>
                  <a:pt x="9616738" y="1105424"/>
                  <a:pt x="9635705" y="1105424"/>
                </a:cubicBezTo>
                <a:cubicBezTo>
                  <a:pt x="9654672" y="1105424"/>
                  <a:pt x="9670045" y="1089832"/>
                  <a:pt x="9670045" y="1070604"/>
                </a:cubicBezTo>
                <a:cubicBezTo>
                  <a:pt x="9670045" y="1051375"/>
                  <a:pt x="9654672" y="1035783"/>
                  <a:pt x="9635705" y="1035783"/>
                </a:cubicBezTo>
                <a:close/>
                <a:moveTo>
                  <a:pt x="9719446" y="1035783"/>
                </a:moveTo>
                <a:cubicBezTo>
                  <a:pt x="9700479" y="1035783"/>
                  <a:pt x="9685093" y="1051375"/>
                  <a:pt x="9685093" y="1070604"/>
                </a:cubicBezTo>
                <a:cubicBezTo>
                  <a:pt x="9685093" y="1089832"/>
                  <a:pt x="9700479" y="1105424"/>
                  <a:pt x="9719446" y="1105424"/>
                </a:cubicBezTo>
                <a:cubicBezTo>
                  <a:pt x="9738413" y="1105424"/>
                  <a:pt x="9753787" y="1089832"/>
                  <a:pt x="9753787" y="1070604"/>
                </a:cubicBezTo>
                <a:cubicBezTo>
                  <a:pt x="9753787" y="1051375"/>
                  <a:pt x="9738413" y="1035783"/>
                  <a:pt x="9719446" y="1035783"/>
                </a:cubicBezTo>
                <a:close/>
                <a:moveTo>
                  <a:pt x="9803189" y="1035783"/>
                </a:moveTo>
                <a:cubicBezTo>
                  <a:pt x="9784222" y="1035783"/>
                  <a:pt x="9768836" y="1051375"/>
                  <a:pt x="9768836" y="1070604"/>
                </a:cubicBezTo>
                <a:cubicBezTo>
                  <a:pt x="9768836" y="1089832"/>
                  <a:pt x="9784222" y="1105424"/>
                  <a:pt x="9803189" y="1105424"/>
                </a:cubicBezTo>
                <a:cubicBezTo>
                  <a:pt x="9822156" y="1105424"/>
                  <a:pt x="9837529" y="1089832"/>
                  <a:pt x="9837529" y="1070604"/>
                </a:cubicBezTo>
                <a:cubicBezTo>
                  <a:pt x="9837529" y="1051375"/>
                  <a:pt x="9822156" y="1035783"/>
                  <a:pt x="9803189" y="1035783"/>
                </a:cubicBezTo>
                <a:close/>
                <a:moveTo>
                  <a:pt x="9886930" y="1035783"/>
                </a:moveTo>
                <a:cubicBezTo>
                  <a:pt x="9867963" y="1035783"/>
                  <a:pt x="9852577" y="1051375"/>
                  <a:pt x="9852577" y="1070604"/>
                </a:cubicBezTo>
                <a:cubicBezTo>
                  <a:pt x="9852577" y="1089832"/>
                  <a:pt x="9867963" y="1105424"/>
                  <a:pt x="9886930" y="1105424"/>
                </a:cubicBezTo>
                <a:cubicBezTo>
                  <a:pt x="9905897" y="1105424"/>
                  <a:pt x="9921270" y="1089832"/>
                  <a:pt x="9921270" y="1070604"/>
                </a:cubicBezTo>
                <a:cubicBezTo>
                  <a:pt x="9921270" y="1051375"/>
                  <a:pt x="9905897" y="1035783"/>
                  <a:pt x="9886930" y="1035783"/>
                </a:cubicBezTo>
                <a:close/>
                <a:moveTo>
                  <a:pt x="9970671" y="1035783"/>
                </a:moveTo>
                <a:cubicBezTo>
                  <a:pt x="9951704" y="1035783"/>
                  <a:pt x="9936318" y="1051375"/>
                  <a:pt x="9936318" y="1070604"/>
                </a:cubicBezTo>
                <a:cubicBezTo>
                  <a:pt x="9936318" y="1089832"/>
                  <a:pt x="9951704" y="1105424"/>
                  <a:pt x="9970671" y="1105424"/>
                </a:cubicBezTo>
                <a:cubicBezTo>
                  <a:pt x="9989638" y="1105424"/>
                  <a:pt x="10005011" y="1089832"/>
                  <a:pt x="10005011" y="1070604"/>
                </a:cubicBezTo>
                <a:cubicBezTo>
                  <a:pt x="10005011" y="1051375"/>
                  <a:pt x="9989638" y="1035783"/>
                  <a:pt x="9970671" y="1035783"/>
                </a:cubicBezTo>
                <a:close/>
                <a:moveTo>
                  <a:pt x="10054413" y="1035783"/>
                </a:moveTo>
                <a:cubicBezTo>
                  <a:pt x="10035446" y="1035783"/>
                  <a:pt x="10020060" y="1051375"/>
                  <a:pt x="10020060" y="1070604"/>
                </a:cubicBezTo>
                <a:cubicBezTo>
                  <a:pt x="10020060" y="1089832"/>
                  <a:pt x="10035446" y="1105424"/>
                  <a:pt x="10054413" y="1105424"/>
                </a:cubicBezTo>
                <a:cubicBezTo>
                  <a:pt x="10073380" y="1105424"/>
                  <a:pt x="10088754" y="1089832"/>
                  <a:pt x="10088754" y="1070604"/>
                </a:cubicBezTo>
                <a:cubicBezTo>
                  <a:pt x="10088754" y="1051375"/>
                  <a:pt x="10073380" y="1035783"/>
                  <a:pt x="10054413" y="1035783"/>
                </a:cubicBezTo>
                <a:close/>
                <a:moveTo>
                  <a:pt x="10138155" y="1035783"/>
                </a:moveTo>
                <a:cubicBezTo>
                  <a:pt x="10119188" y="1035783"/>
                  <a:pt x="10103802" y="1051375"/>
                  <a:pt x="10103802" y="1070604"/>
                </a:cubicBezTo>
                <a:cubicBezTo>
                  <a:pt x="10103802" y="1089832"/>
                  <a:pt x="10119188" y="1105424"/>
                  <a:pt x="10138155" y="1105424"/>
                </a:cubicBezTo>
                <a:cubicBezTo>
                  <a:pt x="10157122" y="1105424"/>
                  <a:pt x="10172495" y="1089832"/>
                  <a:pt x="10172495" y="1070604"/>
                </a:cubicBezTo>
                <a:cubicBezTo>
                  <a:pt x="10172495" y="1051375"/>
                  <a:pt x="10157122" y="1035783"/>
                  <a:pt x="10138155" y="1035783"/>
                </a:cubicBezTo>
                <a:close/>
                <a:moveTo>
                  <a:pt x="10221896" y="1035783"/>
                </a:moveTo>
                <a:cubicBezTo>
                  <a:pt x="10202929" y="1035783"/>
                  <a:pt x="10187543" y="1051375"/>
                  <a:pt x="10187543" y="1070604"/>
                </a:cubicBezTo>
                <a:cubicBezTo>
                  <a:pt x="10187543" y="1089832"/>
                  <a:pt x="10202929" y="1105424"/>
                  <a:pt x="10221896" y="1105424"/>
                </a:cubicBezTo>
                <a:cubicBezTo>
                  <a:pt x="10240863" y="1105424"/>
                  <a:pt x="10256236" y="1089832"/>
                  <a:pt x="10256236" y="1070604"/>
                </a:cubicBezTo>
                <a:cubicBezTo>
                  <a:pt x="10256236" y="1051375"/>
                  <a:pt x="10240863" y="1035783"/>
                  <a:pt x="10221896" y="1035783"/>
                </a:cubicBezTo>
                <a:close/>
                <a:moveTo>
                  <a:pt x="10305638" y="1035783"/>
                </a:moveTo>
                <a:cubicBezTo>
                  <a:pt x="10286671" y="1035783"/>
                  <a:pt x="10271285" y="1051375"/>
                  <a:pt x="10271285" y="1070604"/>
                </a:cubicBezTo>
                <a:cubicBezTo>
                  <a:pt x="10271285" y="1089832"/>
                  <a:pt x="10286671" y="1105424"/>
                  <a:pt x="10305638" y="1105424"/>
                </a:cubicBezTo>
                <a:cubicBezTo>
                  <a:pt x="10324605" y="1105424"/>
                  <a:pt x="10339978" y="1089832"/>
                  <a:pt x="10339978" y="1070604"/>
                </a:cubicBezTo>
                <a:cubicBezTo>
                  <a:pt x="10339978" y="1051375"/>
                  <a:pt x="10324605" y="1035783"/>
                  <a:pt x="10305638" y="1035783"/>
                </a:cubicBezTo>
                <a:close/>
                <a:moveTo>
                  <a:pt x="10389379" y="1035783"/>
                </a:moveTo>
                <a:cubicBezTo>
                  <a:pt x="10370412" y="1035783"/>
                  <a:pt x="10355026" y="1051375"/>
                  <a:pt x="10355026" y="1070604"/>
                </a:cubicBezTo>
                <a:cubicBezTo>
                  <a:pt x="10355026" y="1089832"/>
                  <a:pt x="10370412" y="1105424"/>
                  <a:pt x="10389379" y="1105424"/>
                </a:cubicBezTo>
                <a:cubicBezTo>
                  <a:pt x="10408346" y="1105424"/>
                  <a:pt x="10423720" y="1089832"/>
                  <a:pt x="10423720" y="1070604"/>
                </a:cubicBezTo>
                <a:cubicBezTo>
                  <a:pt x="10423720" y="1051375"/>
                  <a:pt x="10408346" y="1035783"/>
                  <a:pt x="10389379" y="1035783"/>
                </a:cubicBezTo>
                <a:close/>
                <a:moveTo>
                  <a:pt x="10473122" y="1035783"/>
                </a:moveTo>
                <a:cubicBezTo>
                  <a:pt x="10454155" y="1035783"/>
                  <a:pt x="10438769" y="1051375"/>
                  <a:pt x="10438769" y="1070604"/>
                </a:cubicBezTo>
                <a:cubicBezTo>
                  <a:pt x="10438769" y="1089832"/>
                  <a:pt x="10454155" y="1105424"/>
                  <a:pt x="10473122" y="1105424"/>
                </a:cubicBezTo>
                <a:cubicBezTo>
                  <a:pt x="10492089" y="1105424"/>
                  <a:pt x="10507462" y="1089832"/>
                  <a:pt x="10507462" y="1070604"/>
                </a:cubicBezTo>
                <a:cubicBezTo>
                  <a:pt x="10507462" y="1051375"/>
                  <a:pt x="10492089" y="1035783"/>
                  <a:pt x="10473122" y="1035783"/>
                </a:cubicBezTo>
                <a:close/>
                <a:moveTo>
                  <a:pt x="1596483" y="1120647"/>
                </a:moveTo>
                <a:cubicBezTo>
                  <a:pt x="1577516" y="1120647"/>
                  <a:pt x="1562136" y="1136239"/>
                  <a:pt x="1562136" y="1155467"/>
                </a:cubicBezTo>
                <a:cubicBezTo>
                  <a:pt x="1562136" y="1174696"/>
                  <a:pt x="1577516" y="1190288"/>
                  <a:pt x="1596483" y="1190288"/>
                </a:cubicBezTo>
                <a:cubicBezTo>
                  <a:pt x="1615450" y="1190288"/>
                  <a:pt x="1630829" y="1174696"/>
                  <a:pt x="1630829" y="1155467"/>
                </a:cubicBezTo>
                <a:cubicBezTo>
                  <a:pt x="1630829" y="1136239"/>
                  <a:pt x="1615450" y="1120647"/>
                  <a:pt x="1596483" y="1120647"/>
                </a:cubicBezTo>
                <a:close/>
                <a:moveTo>
                  <a:pt x="1847707" y="1120647"/>
                </a:moveTo>
                <a:cubicBezTo>
                  <a:pt x="1828740" y="1120647"/>
                  <a:pt x="1813361" y="1136239"/>
                  <a:pt x="1813361" y="1155467"/>
                </a:cubicBezTo>
                <a:cubicBezTo>
                  <a:pt x="1813361" y="1174696"/>
                  <a:pt x="1828740" y="1190288"/>
                  <a:pt x="1847707" y="1190288"/>
                </a:cubicBezTo>
                <a:cubicBezTo>
                  <a:pt x="1866674" y="1190288"/>
                  <a:pt x="1882054" y="1174696"/>
                  <a:pt x="1882054" y="1155467"/>
                </a:cubicBezTo>
                <a:cubicBezTo>
                  <a:pt x="1882054" y="1136239"/>
                  <a:pt x="1866674" y="1120647"/>
                  <a:pt x="1847707" y="1120647"/>
                </a:cubicBezTo>
                <a:close/>
                <a:moveTo>
                  <a:pt x="1931450" y="1120647"/>
                </a:moveTo>
                <a:cubicBezTo>
                  <a:pt x="1912483" y="1120647"/>
                  <a:pt x="1897103" y="1136239"/>
                  <a:pt x="1897103" y="1155467"/>
                </a:cubicBezTo>
                <a:cubicBezTo>
                  <a:pt x="1897103" y="1174696"/>
                  <a:pt x="1912483" y="1190288"/>
                  <a:pt x="1931450" y="1190288"/>
                </a:cubicBezTo>
                <a:cubicBezTo>
                  <a:pt x="1950417" y="1190288"/>
                  <a:pt x="1965796" y="1174696"/>
                  <a:pt x="1965796" y="1155467"/>
                </a:cubicBezTo>
                <a:cubicBezTo>
                  <a:pt x="1965796" y="1136239"/>
                  <a:pt x="1950417" y="1120647"/>
                  <a:pt x="1931450" y="1120647"/>
                </a:cubicBezTo>
                <a:close/>
                <a:moveTo>
                  <a:pt x="2015191" y="1120647"/>
                </a:moveTo>
                <a:cubicBezTo>
                  <a:pt x="1996224" y="1120647"/>
                  <a:pt x="1980844" y="1136239"/>
                  <a:pt x="1980844" y="1155467"/>
                </a:cubicBezTo>
                <a:cubicBezTo>
                  <a:pt x="1980844" y="1174696"/>
                  <a:pt x="1996224" y="1190288"/>
                  <a:pt x="2015191" y="1190288"/>
                </a:cubicBezTo>
                <a:cubicBezTo>
                  <a:pt x="2034158" y="1190288"/>
                  <a:pt x="2049538" y="1174696"/>
                  <a:pt x="2049538" y="1155467"/>
                </a:cubicBezTo>
                <a:cubicBezTo>
                  <a:pt x="2049538" y="1136239"/>
                  <a:pt x="2034158" y="1120647"/>
                  <a:pt x="2015191" y="1120647"/>
                </a:cubicBezTo>
                <a:close/>
                <a:moveTo>
                  <a:pt x="2098932" y="1120647"/>
                </a:moveTo>
                <a:cubicBezTo>
                  <a:pt x="2079965" y="1120647"/>
                  <a:pt x="2064586" y="1136239"/>
                  <a:pt x="2064586" y="1155467"/>
                </a:cubicBezTo>
                <a:cubicBezTo>
                  <a:pt x="2064586" y="1174696"/>
                  <a:pt x="2079965" y="1190288"/>
                  <a:pt x="2098932" y="1190288"/>
                </a:cubicBezTo>
                <a:cubicBezTo>
                  <a:pt x="2117899" y="1190288"/>
                  <a:pt x="2133279" y="1174696"/>
                  <a:pt x="2133279" y="1155467"/>
                </a:cubicBezTo>
                <a:cubicBezTo>
                  <a:pt x="2133279" y="1136239"/>
                  <a:pt x="2117899" y="1120647"/>
                  <a:pt x="2098932" y="1120647"/>
                </a:cubicBezTo>
                <a:close/>
                <a:moveTo>
                  <a:pt x="2182674" y="1120647"/>
                </a:moveTo>
                <a:cubicBezTo>
                  <a:pt x="2163707" y="1120647"/>
                  <a:pt x="2148328" y="1136239"/>
                  <a:pt x="2148328" y="1155467"/>
                </a:cubicBezTo>
                <a:cubicBezTo>
                  <a:pt x="2148328" y="1174696"/>
                  <a:pt x="2163707" y="1190288"/>
                  <a:pt x="2182674" y="1190288"/>
                </a:cubicBezTo>
                <a:cubicBezTo>
                  <a:pt x="2201641" y="1190288"/>
                  <a:pt x="2217021" y="1174696"/>
                  <a:pt x="2217021" y="1155467"/>
                </a:cubicBezTo>
                <a:cubicBezTo>
                  <a:pt x="2217021" y="1136239"/>
                  <a:pt x="2201641" y="1120647"/>
                  <a:pt x="2182674" y="1120647"/>
                </a:cubicBezTo>
                <a:close/>
                <a:moveTo>
                  <a:pt x="2266416" y="1120647"/>
                </a:moveTo>
                <a:cubicBezTo>
                  <a:pt x="2247449" y="1120647"/>
                  <a:pt x="2232069" y="1136239"/>
                  <a:pt x="2232069" y="1155467"/>
                </a:cubicBezTo>
                <a:cubicBezTo>
                  <a:pt x="2232069" y="1174696"/>
                  <a:pt x="2247449" y="1190288"/>
                  <a:pt x="2266416" y="1190288"/>
                </a:cubicBezTo>
                <a:cubicBezTo>
                  <a:pt x="2285383" y="1190288"/>
                  <a:pt x="2300762" y="1174696"/>
                  <a:pt x="2300762" y="1155467"/>
                </a:cubicBezTo>
                <a:cubicBezTo>
                  <a:pt x="2300762" y="1136239"/>
                  <a:pt x="2285383" y="1120647"/>
                  <a:pt x="2266416" y="1120647"/>
                </a:cubicBezTo>
                <a:close/>
                <a:moveTo>
                  <a:pt x="2350151" y="1120647"/>
                </a:moveTo>
                <a:cubicBezTo>
                  <a:pt x="2331184" y="1120647"/>
                  <a:pt x="2315804" y="1136239"/>
                  <a:pt x="2315804" y="1155467"/>
                </a:cubicBezTo>
                <a:cubicBezTo>
                  <a:pt x="2315804" y="1174696"/>
                  <a:pt x="2331184" y="1190288"/>
                  <a:pt x="2350151" y="1190288"/>
                </a:cubicBezTo>
                <a:cubicBezTo>
                  <a:pt x="2369118" y="1190288"/>
                  <a:pt x="2384498" y="1174696"/>
                  <a:pt x="2384498" y="1155467"/>
                </a:cubicBezTo>
                <a:cubicBezTo>
                  <a:pt x="2384498" y="1136239"/>
                  <a:pt x="2369118" y="1120647"/>
                  <a:pt x="2350151" y="1120647"/>
                </a:cubicBezTo>
                <a:close/>
                <a:moveTo>
                  <a:pt x="2433893" y="1120647"/>
                </a:moveTo>
                <a:cubicBezTo>
                  <a:pt x="2414926" y="1120647"/>
                  <a:pt x="2399546" y="1136239"/>
                  <a:pt x="2399546" y="1155467"/>
                </a:cubicBezTo>
                <a:cubicBezTo>
                  <a:pt x="2399546" y="1174696"/>
                  <a:pt x="2414926" y="1190288"/>
                  <a:pt x="2433893" y="1190288"/>
                </a:cubicBezTo>
                <a:cubicBezTo>
                  <a:pt x="2452860" y="1190288"/>
                  <a:pt x="2468240" y="1174696"/>
                  <a:pt x="2468240" y="1155467"/>
                </a:cubicBezTo>
                <a:cubicBezTo>
                  <a:pt x="2468240" y="1136239"/>
                  <a:pt x="2452860" y="1120647"/>
                  <a:pt x="2433893" y="1120647"/>
                </a:cubicBezTo>
                <a:close/>
                <a:moveTo>
                  <a:pt x="2685118" y="1120647"/>
                </a:moveTo>
                <a:cubicBezTo>
                  <a:pt x="2666151" y="1120647"/>
                  <a:pt x="2650771" y="1136239"/>
                  <a:pt x="2650771" y="1155467"/>
                </a:cubicBezTo>
                <a:cubicBezTo>
                  <a:pt x="2650771" y="1174696"/>
                  <a:pt x="2666151" y="1190288"/>
                  <a:pt x="2685118" y="1190288"/>
                </a:cubicBezTo>
                <a:cubicBezTo>
                  <a:pt x="2704085" y="1190288"/>
                  <a:pt x="2719465" y="1174696"/>
                  <a:pt x="2719465" y="1155467"/>
                </a:cubicBezTo>
                <a:cubicBezTo>
                  <a:pt x="2719465" y="1136239"/>
                  <a:pt x="2704085" y="1120647"/>
                  <a:pt x="2685118" y="1120647"/>
                </a:cubicBezTo>
                <a:close/>
                <a:moveTo>
                  <a:pt x="2768859" y="1120647"/>
                </a:moveTo>
                <a:cubicBezTo>
                  <a:pt x="2749892" y="1120647"/>
                  <a:pt x="2734512" y="1136239"/>
                  <a:pt x="2734512" y="1155467"/>
                </a:cubicBezTo>
                <a:cubicBezTo>
                  <a:pt x="2734512" y="1174696"/>
                  <a:pt x="2749892" y="1190288"/>
                  <a:pt x="2768859" y="1190288"/>
                </a:cubicBezTo>
                <a:cubicBezTo>
                  <a:pt x="2787826" y="1190288"/>
                  <a:pt x="2803206" y="1174696"/>
                  <a:pt x="2803206" y="1155467"/>
                </a:cubicBezTo>
                <a:cubicBezTo>
                  <a:pt x="2803206" y="1136239"/>
                  <a:pt x="2787826" y="1120647"/>
                  <a:pt x="2768859" y="1120647"/>
                </a:cubicBezTo>
                <a:close/>
                <a:moveTo>
                  <a:pt x="3103826" y="1120647"/>
                </a:moveTo>
                <a:cubicBezTo>
                  <a:pt x="3084859" y="1120647"/>
                  <a:pt x="3069479" y="1136239"/>
                  <a:pt x="3069479" y="1155467"/>
                </a:cubicBezTo>
                <a:cubicBezTo>
                  <a:pt x="3069479" y="1174696"/>
                  <a:pt x="3084859" y="1190288"/>
                  <a:pt x="3103826" y="1190288"/>
                </a:cubicBezTo>
                <a:cubicBezTo>
                  <a:pt x="3122793" y="1190288"/>
                  <a:pt x="3138173" y="1174696"/>
                  <a:pt x="3138173" y="1155467"/>
                </a:cubicBezTo>
                <a:cubicBezTo>
                  <a:pt x="3138173" y="1136239"/>
                  <a:pt x="3122793" y="1120647"/>
                  <a:pt x="3103826" y="1120647"/>
                </a:cubicBezTo>
                <a:close/>
                <a:moveTo>
                  <a:pt x="3187567" y="1120647"/>
                </a:moveTo>
                <a:cubicBezTo>
                  <a:pt x="3168600" y="1120647"/>
                  <a:pt x="3153221" y="1136239"/>
                  <a:pt x="3153221" y="1155467"/>
                </a:cubicBezTo>
                <a:cubicBezTo>
                  <a:pt x="3153221" y="1174696"/>
                  <a:pt x="3168600" y="1190288"/>
                  <a:pt x="3187567" y="1190288"/>
                </a:cubicBezTo>
                <a:cubicBezTo>
                  <a:pt x="3206534" y="1190288"/>
                  <a:pt x="3221914" y="1174696"/>
                  <a:pt x="3221914" y="1155467"/>
                </a:cubicBezTo>
                <a:cubicBezTo>
                  <a:pt x="3221914" y="1136239"/>
                  <a:pt x="3206534" y="1120647"/>
                  <a:pt x="3187567" y="1120647"/>
                </a:cubicBezTo>
                <a:close/>
                <a:moveTo>
                  <a:pt x="3271309" y="1120647"/>
                </a:moveTo>
                <a:cubicBezTo>
                  <a:pt x="3252342" y="1120647"/>
                  <a:pt x="3236962" y="1136239"/>
                  <a:pt x="3236962" y="1155467"/>
                </a:cubicBezTo>
                <a:cubicBezTo>
                  <a:pt x="3236962" y="1174696"/>
                  <a:pt x="3252342" y="1190288"/>
                  <a:pt x="3271309" y="1190288"/>
                </a:cubicBezTo>
                <a:cubicBezTo>
                  <a:pt x="3290276" y="1190288"/>
                  <a:pt x="3305655" y="1174696"/>
                  <a:pt x="3305655" y="1155467"/>
                </a:cubicBezTo>
                <a:cubicBezTo>
                  <a:pt x="3305655" y="1136239"/>
                  <a:pt x="3290276" y="1120647"/>
                  <a:pt x="3271309" y="1120647"/>
                </a:cubicBezTo>
                <a:close/>
                <a:moveTo>
                  <a:pt x="3355051" y="1120647"/>
                </a:moveTo>
                <a:cubicBezTo>
                  <a:pt x="3336084" y="1120647"/>
                  <a:pt x="3320704" y="1136239"/>
                  <a:pt x="3320704" y="1155467"/>
                </a:cubicBezTo>
                <a:cubicBezTo>
                  <a:pt x="3320704" y="1174696"/>
                  <a:pt x="3336084" y="1190288"/>
                  <a:pt x="3355051" y="1190288"/>
                </a:cubicBezTo>
                <a:cubicBezTo>
                  <a:pt x="3374018" y="1190288"/>
                  <a:pt x="3389398" y="1174696"/>
                  <a:pt x="3389398" y="1155467"/>
                </a:cubicBezTo>
                <a:cubicBezTo>
                  <a:pt x="3389398" y="1136239"/>
                  <a:pt x="3374018" y="1120647"/>
                  <a:pt x="3355051" y="1120647"/>
                </a:cubicBezTo>
                <a:close/>
                <a:moveTo>
                  <a:pt x="3522533" y="1120647"/>
                </a:moveTo>
                <a:cubicBezTo>
                  <a:pt x="3503566" y="1120647"/>
                  <a:pt x="3488187" y="1136239"/>
                  <a:pt x="3488187" y="1155467"/>
                </a:cubicBezTo>
                <a:cubicBezTo>
                  <a:pt x="3488187" y="1174696"/>
                  <a:pt x="3503566" y="1190288"/>
                  <a:pt x="3522533" y="1190288"/>
                </a:cubicBezTo>
                <a:cubicBezTo>
                  <a:pt x="3541500" y="1190288"/>
                  <a:pt x="3556880" y="1174696"/>
                  <a:pt x="3556880" y="1155467"/>
                </a:cubicBezTo>
                <a:cubicBezTo>
                  <a:pt x="3556880" y="1136239"/>
                  <a:pt x="3541500" y="1120647"/>
                  <a:pt x="3522533" y="1120647"/>
                </a:cubicBezTo>
                <a:close/>
                <a:moveTo>
                  <a:pt x="3690017" y="1120647"/>
                </a:moveTo>
                <a:cubicBezTo>
                  <a:pt x="3671050" y="1120647"/>
                  <a:pt x="3655670" y="1136239"/>
                  <a:pt x="3655670" y="1155467"/>
                </a:cubicBezTo>
                <a:cubicBezTo>
                  <a:pt x="3655670" y="1174696"/>
                  <a:pt x="3671050" y="1190288"/>
                  <a:pt x="3690017" y="1190288"/>
                </a:cubicBezTo>
                <a:cubicBezTo>
                  <a:pt x="3708984" y="1190288"/>
                  <a:pt x="3724364" y="1174696"/>
                  <a:pt x="3724364" y="1155467"/>
                </a:cubicBezTo>
                <a:cubicBezTo>
                  <a:pt x="3724364" y="1136239"/>
                  <a:pt x="3708984" y="1120647"/>
                  <a:pt x="3690017" y="1120647"/>
                </a:cubicBezTo>
                <a:close/>
                <a:moveTo>
                  <a:pt x="3857500" y="1120647"/>
                </a:moveTo>
                <a:cubicBezTo>
                  <a:pt x="3838533" y="1120647"/>
                  <a:pt x="3823154" y="1136239"/>
                  <a:pt x="3823154" y="1155467"/>
                </a:cubicBezTo>
                <a:cubicBezTo>
                  <a:pt x="3823154" y="1174696"/>
                  <a:pt x="3838533" y="1190288"/>
                  <a:pt x="3857500" y="1190288"/>
                </a:cubicBezTo>
                <a:cubicBezTo>
                  <a:pt x="3876467" y="1190288"/>
                  <a:pt x="3891847" y="1174696"/>
                  <a:pt x="3891847" y="1155467"/>
                </a:cubicBezTo>
                <a:cubicBezTo>
                  <a:pt x="3891847" y="1136239"/>
                  <a:pt x="3876467" y="1120647"/>
                  <a:pt x="3857500" y="1120647"/>
                </a:cubicBezTo>
                <a:close/>
                <a:moveTo>
                  <a:pt x="4611182" y="1120647"/>
                </a:moveTo>
                <a:cubicBezTo>
                  <a:pt x="4592215" y="1120647"/>
                  <a:pt x="4576835" y="1136239"/>
                  <a:pt x="4576835" y="1155467"/>
                </a:cubicBezTo>
                <a:cubicBezTo>
                  <a:pt x="4576835" y="1174696"/>
                  <a:pt x="4592215" y="1190288"/>
                  <a:pt x="4611182" y="1190288"/>
                </a:cubicBezTo>
                <a:cubicBezTo>
                  <a:pt x="4630149" y="1190288"/>
                  <a:pt x="4645528" y="1174696"/>
                  <a:pt x="4645528" y="1155467"/>
                </a:cubicBezTo>
                <a:cubicBezTo>
                  <a:pt x="4645528" y="1136239"/>
                  <a:pt x="4630149" y="1120647"/>
                  <a:pt x="4611182" y="1120647"/>
                </a:cubicBezTo>
                <a:close/>
                <a:moveTo>
                  <a:pt x="4694923" y="1120647"/>
                </a:moveTo>
                <a:cubicBezTo>
                  <a:pt x="4675956" y="1120647"/>
                  <a:pt x="4660576" y="1136239"/>
                  <a:pt x="4660576" y="1155467"/>
                </a:cubicBezTo>
                <a:cubicBezTo>
                  <a:pt x="4660576" y="1174696"/>
                  <a:pt x="4675956" y="1190288"/>
                  <a:pt x="4694923" y="1190288"/>
                </a:cubicBezTo>
                <a:cubicBezTo>
                  <a:pt x="4713890" y="1190288"/>
                  <a:pt x="4729270" y="1174696"/>
                  <a:pt x="4729270" y="1155467"/>
                </a:cubicBezTo>
                <a:cubicBezTo>
                  <a:pt x="4729270" y="1136239"/>
                  <a:pt x="4713890" y="1120647"/>
                  <a:pt x="4694923" y="1120647"/>
                </a:cubicBezTo>
                <a:close/>
                <a:moveTo>
                  <a:pt x="4778665" y="1120647"/>
                </a:moveTo>
                <a:cubicBezTo>
                  <a:pt x="4759698" y="1120647"/>
                  <a:pt x="4744319" y="1136239"/>
                  <a:pt x="4744319" y="1155467"/>
                </a:cubicBezTo>
                <a:cubicBezTo>
                  <a:pt x="4744319" y="1174696"/>
                  <a:pt x="4759698" y="1190288"/>
                  <a:pt x="4778665" y="1190288"/>
                </a:cubicBezTo>
                <a:cubicBezTo>
                  <a:pt x="4797632" y="1190288"/>
                  <a:pt x="4813012" y="1174696"/>
                  <a:pt x="4813012" y="1155467"/>
                </a:cubicBezTo>
                <a:cubicBezTo>
                  <a:pt x="4813012" y="1136239"/>
                  <a:pt x="4797632" y="1120647"/>
                  <a:pt x="4778665" y="1120647"/>
                </a:cubicBezTo>
                <a:close/>
                <a:moveTo>
                  <a:pt x="4862406" y="1120647"/>
                </a:moveTo>
                <a:cubicBezTo>
                  <a:pt x="4843439" y="1120647"/>
                  <a:pt x="4828060" y="1136239"/>
                  <a:pt x="4828060" y="1155467"/>
                </a:cubicBezTo>
                <a:cubicBezTo>
                  <a:pt x="4828060" y="1174696"/>
                  <a:pt x="4843439" y="1190288"/>
                  <a:pt x="4862406" y="1190288"/>
                </a:cubicBezTo>
                <a:cubicBezTo>
                  <a:pt x="4881373" y="1190288"/>
                  <a:pt x="4896753" y="1174696"/>
                  <a:pt x="4896753" y="1155467"/>
                </a:cubicBezTo>
                <a:cubicBezTo>
                  <a:pt x="4896753" y="1136239"/>
                  <a:pt x="4881373" y="1120647"/>
                  <a:pt x="4862406" y="1120647"/>
                </a:cubicBezTo>
                <a:close/>
                <a:moveTo>
                  <a:pt x="4946148" y="1120647"/>
                </a:moveTo>
                <a:cubicBezTo>
                  <a:pt x="4927181" y="1120647"/>
                  <a:pt x="4911801" y="1136239"/>
                  <a:pt x="4911801" y="1155467"/>
                </a:cubicBezTo>
                <a:cubicBezTo>
                  <a:pt x="4911801" y="1174696"/>
                  <a:pt x="4927181" y="1190288"/>
                  <a:pt x="4946148" y="1190288"/>
                </a:cubicBezTo>
                <a:cubicBezTo>
                  <a:pt x="4965115" y="1190288"/>
                  <a:pt x="4980494" y="1174696"/>
                  <a:pt x="4980494" y="1155467"/>
                </a:cubicBezTo>
                <a:cubicBezTo>
                  <a:pt x="4980494" y="1136239"/>
                  <a:pt x="4965115" y="1120647"/>
                  <a:pt x="4946148" y="1120647"/>
                </a:cubicBezTo>
                <a:close/>
                <a:moveTo>
                  <a:pt x="5029890" y="1120647"/>
                </a:moveTo>
                <a:cubicBezTo>
                  <a:pt x="5010923" y="1120647"/>
                  <a:pt x="4995543" y="1136239"/>
                  <a:pt x="4995543" y="1155467"/>
                </a:cubicBezTo>
                <a:cubicBezTo>
                  <a:pt x="4995543" y="1174696"/>
                  <a:pt x="5010923" y="1190288"/>
                  <a:pt x="5029890" y="1190288"/>
                </a:cubicBezTo>
                <a:cubicBezTo>
                  <a:pt x="5048857" y="1190288"/>
                  <a:pt x="5064237" y="1174696"/>
                  <a:pt x="5064237" y="1155467"/>
                </a:cubicBezTo>
                <a:cubicBezTo>
                  <a:pt x="5064237" y="1136239"/>
                  <a:pt x="5048857" y="1120647"/>
                  <a:pt x="5029890" y="1120647"/>
                </a:cubicBezTo>
                <a:close/>
                <a:moveTo>
                  <a:pt x="5113631" y="1120647"/>
                </a:moveTo>
                <a:cubicBezTo>
                  <a:pt x="5094664" y="1120647"/>
                  <a:pt x="5079285" y="1136239"/>
                  <a:pt x="5079285" y="1155467"/>
                </a:cubicBezTo>
                <a:cubicBezTo>
                  <a:pt x="5079285" y="1174696"/>
                  <a:pt x="5094664" y="1190288"/>
                  <a:pt x="5113631" y="1190288"/>
                </a:cubicBezTo>
                <a:cubicBezTo>
                  <a:pt x="5132598" y="1190288"/>
                  <a:pt x="5147978" y="1174696"/>
                  <a:pt x="5147978" y="1155467"/>
                </a:cubicBezTo>
                <a:cubicBezTo>
                  <a:pt x="5147978" y="1136239"/>
                  <a:pt x="5132598" y="1120647"/>
                  <a:pt x="5113631" y="1120647"/>
                </a:cubicBezTo>
                <a:close/>
                <a:moveTo>
                  <a:pt x="5197372" y="1120647"/>
                </a:moveTo>
                <a:cubicBezTo>
                  <a:pt x="5178405" y="1120647"/>
                  <a:pt x="5163026" y="1136239"/>
                  <a:pt x="5163026" y="1155467"/>
                </a:cubicBezTo>
                <a:cubicBezTo>
                  <a:pt x="5163026" y="1174696"/>
                  <a:pt x="5178405" y="1190288"/>
                  <a:pt x="5197372" y="1190288"/>
                </a:cubicBezTo>
                <a:cubicBezTo>
                  <a:pt x="5216339" y="1190288"/>
                  <a:pt x="5231719" y="1174696"/>
                  <a:pt x="5231719" y="1155467"/>
                </a:cubicBezTo>
                <a:cubicBezTo>
                  <a:pt x="5231719" y="1136239"/>
                  <a:pt x="5216339" y="1120647"/>
                  <a:pt x="5197372" y="1120647"/>
                </a:cubicBezTo>
                <a:close/>
                <a:moveTo>
                  <a:pt x="5281115" y="1120647"/>
                </a:moveTo>
                <a:cubicBezTo>
                  <a:pt x="5262148" y="1120647"/>
                  <a:pt x="5246768" y="1136239"/>
                  <a:pt x="5246768" y="1155467"/>
                </a:cubicBezTo>
                <a:cubicBezTo>
                  <a:pt x="5246768" y="1174696"/>
                  <a:pt x="5262148" y="1190288"/>
                  <a:pt x="5281115" y="1190288"/>
                </a:cubicBezTo>
                <a:cubicBezTo>
                  <a:pt x="5300082" y="1190288"/>
                  <a:pt x="5315461" y="1174696"/>
                  <a:pt x="5315461" y="1155467"/>
                </a:cubicBezTo>
                <a:cubicBezTo>
                  <a:pt x="5315461" y="1136239"/>
                  <a:pt x="5300082" y="1120647"/>
                  <a:pt x="5281115" y="1120647"/>
                </a:cubicBezTo>
                <a:close/>
                <a:moveTo>
                  <a:pt x="7123456" y="1120647"/>
                </a:moveTo>
                <a:cubicBezTo>
                  <a:pt x="7104489" y="1120647"/>
                  <a:pt x="7089103" y="1136239"/>
                  <a:pt x="7089103" y="1155467"/>
                </a:cubicBezTo>
                <a:cubicBezTo>
                  <a:pt x="7089103" y="1174696"/>
                  <a:pt x="7104489" y="1190288"/>
                  <a:pt x="7123456" y="1190288"/>
                </a:cubicBezTo>
                <a:cubicBezTo>
                  <a:pt x="7142423" y="1190288"/>
                  <a:pt x="7157796" y="1174696"/>
                  <a:pt x="7157796" y="1155467"/>
                </a:cubicBezTo>
                <a:cubicBezTo>
                  <a:pt x="7157796" y="1136239"/>
                  <a:pt x="7142423" y="1120647"/>
                  <a:pt x="7123456" y="1120647"/>
                </a:cubicBezTo>
                <a:close/>
                <a:moveTo>
                  <a:pt x="7709647" y="1120647"/>
                </a:moveTo>
                <a:cubicBezTo>
                  <a:pt x="7690680" y="1120647"/>
                  <a:pt x="7675294" y="1136239"/>
                  <a:pt x="7675294" y="1155467"/>
                </a:cubicBezTo>
                <a:cubicBezTo>
                  <a:pt x="7675294" y="1174696"/>
                  <a:pt x="7690680" y="1190288"/>
                  <a:pt x="7709647" y="1190288"/>
                </a:cubicBezTo>
                <a:cubicBezTo>
                  <a:pt x="7728614" y="1190288"/>
                  <a:pt x="7743988" y="1174696"/>
                  <a:pt x="7743988" y="1155467"/>
                </a:cubicBezTo>
                <a:cubicBezTo>
                  <a:pt x="7743988" y="1136239"/>
                  <a:pt x="7728614" y="1120647"/>
                  <a:pt x="7709647" y="1120647"/>
                </a:cubicBezTo>
                <a:close/>
                <a:moveTo>
                  <a:pt x="7877131" y="1120647"/>
                </a:moveTo>
                <a:cubicBezTo>
                  <a:pt x="7858164" y="1120647"/>
                  <a:pt x="7842778" y="1136239"/>
                  <a:pt x="7842778" y="1155467"/>
                </a:cubicBezTo>
                <a:cubicBezTo>
                  <a:pt x="7842778" y="1174696"/>
                  <a:pt x="7858164" y="1190288"/>
                  <a:pt x="7877131" y="1190288"/>
                </a:cubicBezTo>
                <a:cubicBezTo>
                  <a:pt x="7896098" y="1190288"/>
                  <a:pt x="7911471" y="1174696"/>
                  <a:pt x="7911471" y="1155467"/>
                </a:cubicBezTo>
                <a:cubicBezTo>
                  <a:pt x="7911471" y="1136239"/>
                  <a:pt x="7896098" y="1120647"/>
                  <a:pt x="7877131" y="1120647"/>
                </a:cubicBezTo>
                <a:close/>
                <a:moveTo>
                  <a:pt x="7960872" y="1120647"/>
                </a:moveTo>
                <a:cubicBezTo>
                  <a:pt x="7941905" y="1120647"/>
                  <a:pt x="7926519" y="1136239"/>
                  <a:pt x="7926519" y="1155467"/>
                </a:cubicBezTo>
                <a:cubicBezTo>
                  <a:pt x="7926519" y="1174696"/>
                  <a:pt x="7941905" y="1190288"/>
                  <a:pt x="7960872" y="1190288"/>
                </a:cubicBezTo>
                <a:cubicBezTo>
                  <a:pt x="7979839" y="1190288"/>
                  <a:pt x="7995212" y="1174696"/>
                  <a:pt x="7995212" y="1155467"/>
                </a:cubicBezTo>
                <a:cubicBezTo>
                  <a:pt x="7995212" y="1136239"/>
                  <a:pt x="7979839" y="1120647"/>
                  <a:pt x="7960872" y="1120647"/>
                </a:cubicBezTo>
                <a:close/>
                <a:moveTo>
                  <a:pt x="8044614" y="1120647"/>
                </a:moveTo>
                <a:cubicBezTo>
                  <a:pt x="8025647" y="1120647"/>
                  <a:pt x="8010261" y="1136239"/>
                  <a:pt x="8010261" y="1155467"/>
                </a:cubicBezTo>
                <a:cubicBezTo>
                  <a:pt x="8010261" y="1174696"/>
                  <a:pt x="8025647" y="1190288"/>
                  <a:pt x="8044614" y="1190288"/>
                </a:cubicBezTo>
                <a:cubicBezTo>
                  <a:pt x="8063581" y="1190288"/>
                  <a:pt x="8078955" y="1174696"/>
                  <a:pt x="8078955" y="1155467"/>
                </a:cubicBezTo>
                <a:cubicBezTo>
                  <a:pt x="8078955" y="1136239"/>
                  <a:pt x="8063581" y="1120647"/>
                  <a:pt x="8044614" y="1120647"/>
                </a:cubicBezTo>
                <a:close/>
                <a:moveTo>
                  <a:pt x="8128356" y="1120647"/>
                </a:moveTo>
                <a:cubicBezTo>
                  <a:pt x="8109389" y="1120647"/>
                  <a:pt x="8094003" y="1136239"/>
                  <a:pt x="8094003" y="1155467"/>
                </a:cubicBezTo>
                <a:cubicBezTo>
                  <a:pt x="8094003" y="1174696"/>
                  <a:pt x="8109389" y="1190288"/>
                  <a:pt x="8128356" y="1190288"/>
                </a:cubicBezTo>
                <a:cubicBezTo>
                  <a:pt x="8147323" y="1190288"/>
                  <a:pt x="8162696" y="1174696"/>
                  <a:pt x="8162696" y="1155467"/>
                </a:cubicBezTo>
                <a:cubicBezTo>
                  <a:pt x="8162696" y="1136239"/>
                  <a:pt x="8147323" y="1120647"/>
                  <a:pt x="8128356" y="1120647"/>
                </a:cubicBezTo>
                <a:close/>
                <a:moveTo>
                  <a:pt x="8212097" y="1120647"/>
                </a:moveTo>
                <a:cubicBezTo>
                  <a:pt x="8193130" y="1120647"/>
                  <a:pt x="8177744" y="1136239"/>
                  <a:pt x="8177744" y="1155467"/>
                </a:cubicBezTo>
                <a:cubicBezTo>
                  <a:pt x="8177744" y="1174696"/>
                  <a:pt x="8193130" y="1190288"/>
                  <a:pt x="8212097" y="1190288"/>
                </a:cubicBezTo>
                <a:cubicBezTo>
                  <a:pt x="8231064" y="1190288"/>
                  <a:pt x="8246437" y="1174696"/>
                  <a:pt x="8246437" y="1155467"/>
                </a:cubicBezTo>
                <a:cubicBezTo>
                  <a:pt x="8246437" y="1136239"/>
                  <a:pt x="8231064" y="1120647"/>
                  <a:pt x="8212097" y="1120647"/>
                </a:cubicBezTo>
                <a:close/>
                <a:moveTo>
                  <a:pt x="8295839" y="1120647"/>
                </a:moveTo>
                <a:cubicBezTo>
                  <a:pt x="8276872" y="1120647"/>
                  <a:pt x="8261486" y="1136239"/>
                  <a:pt x="8261486" y="1155467"/>
                </a:cubicBezTo>
                <a:cubicBezTo>
                  <a:pt x="8261486" y="1174696"/>
                  <a:pt x="8276872" y="1190288"/>
                  <a:pt x="8295839" y="1190288"/>
                </a:cubicBezTo>
                <a:cubicBezTo>
                  <a:pt x="8314806" y="1190288"/>
                  <a:pt x="8330179" y="1174696"/>
                  <a:pt x="8330179" y="1155467"/>
                </a:cubicBezTo>
                <a:cubicBezTo>
                  <a:pt x="8330179" y="1136239"/>
                  <a:pt x="8314806" y="1120647"/>
                  <a:pt x="8295839" y="1120647"/>
                </a:cubicBezTo>
                <a:close/>
                <a:moveTo>
                  <a:pt x="8379580" y="1120647"/>
                </a:moveTo>
                <a:cubicBezTo>
                  <a:pt x="8360613" y="1120647"/>
                  <a:pt x="8345227" y="1136239"/>
                  <a:pt x="8345227" y="1155467"/>
                </a:cubicBezTo>
                <a:cubicBezTo>
                  <a:pt x="8345227" y="1174696"/>
                  <a:pt x="8360613" y="1190288"/>
                  <a:pt x="8379580" y="1190288"/>
                </a:cubicBezTo>
                <a:cubicBezTo>
                  <a:pt x="8398547" y="1190288"/>
                  <a:pt x="8413921" y="1174696"/>
                  <a:pt x="8413921" y="1155467"/>
                </a:cubicBezTo>
                <a:cubicBezTo>
                  <a:pt x="8413921" y="1136239"/>
                  <a:pt x="8398547" y="1120647"/>
                  <a:pt x="8379580" y="1120647"/>
                </a:cubicBezTo>
                <a:close/>
                <a:moveTo>
                  <a:pt x="8463323" y="1120647"/>
                </a:moveTo>
                <a:cubicBezTo>
                  <a:pt x="8444356" y="1120647"/>
                  <a:pt x="8428970" y="1136239"/>
                  <a:pt x="8428970" y="1155467"/>
                </a:cubicBezTo>
                <a:cubicBezTo>
                  <a:pt x="8428970" y="1174696"/>
                  <a:pt x="8444356" y="1190288"/>
                  <a:pt x="8463323" y="1190288"/>
                </a:cubicBezTo>
                <a:cubicBezTo>
                  <a:pt x="8482290" y="1190288"/>
                  <a:pt x="8497663" y="1174696"/>
                  <a:pt x="8497663" y="1155467"/>
                </a:cubicBezTo>
                <a:cubicBezTo>
                  <a:pt x="8497663" y="1136239"/>
                  <a:pt x="8482290" y="1120647"/>
                  <a:pt x="8463323" y="1120647"/>
                </a:cubicBezTo>
                <a:close/>
                <a:moveTo>
                  <a:pt x="8547064" y="1120647"/>
                </a:moveTo>
                <a:cubicBezTo>
                  <a:pt x="8528097" y="1120647"/>
                  <a:pt x="8512711" y="1136239"/>
                  <a:pt x="8512711" y="1155467"/>
                </a:cubicBezTo>
                <a:cubicBezTo>
                  <a:pt x="8512711" y="1174696"/>
                  <a:pt x="8528097" y="1190288"/>
                  <a:pt x="8547064" y="1190288"/>
                </a:cubicBezTo>
                <a:cubicBezTo>
                  <a:pt x="8566031" y="1190288"/>
                  <a:pt x="8581404" y="1174696"/>
                  <a:pt x="8581404" y="1155467"/>
                </a:cubicBezTo>
                <a:cubicBezTo>
                  <a:pt x="8581404" y="1136239"/>
                  <a:pt x="8566031" y="1120647"/>
                  <a:pt x="8547064" y="1120647"/>
                </a:cubicBezTo>
                <a:close/>
                <a:moveTo>
                  <a:pt x="8630805" y="1120647"/>
                </a:moveTo>
                <a:cubicBezTo>
                  <a:pt x="8611838" y="1120647"/>
                  <a:pt x="8596452" y="1136239"/>
                  <a:pt x="8596452" y="1155467"/>
                </a:cubicBezTo>
                <a:cubicBezTo>
                  <a:pt x="8596452" y="1174696"/>
                  <a:pt x="8611838" y="1190288"/>
                  <a:pt x="8630805" y="1190288"/>
                </a:cubicBezTo>
                <a:cubicBezTo>
                  <a:pt x="8649772" y="1190288"/>
                  <a:pt x="8665145" y="1174696"/>
                  <a:pt x="8665145" y="1155467"/>
                </a:cubicBezTo>
                <a:cubicBezTo>
                  <a:pt x="8665145" y="1136239"/>
                  <a:pt x="8649772" y="1120647"/>
                  <a:pt x="8630805" y="1120647"/>
                </a:cubicBezTo>
                <a:close/>
                <a:moveTo>
                  <a:pt x="8714547" y="1120647"/>
                </a:moveTo>
                <a:cubicBezTo>
                  <a:pt x="8695580" y="1120647"/>
                  <a:pt x="8680194" y="1136239"/>
                  <a:pt x="8680194" y="1155467"/>
                </a:cubicBezTo>
                <a:cubicBezTo>
                  <a:pt x="8680194" y="1174696"/>
                  <a:pt x="8695580" y="1190288"/>
                  <a:pt x="8714547" y="1190288"/>
                </a:cubicBezTo>
                <a:cubicBezTo>
                  <a:pt x="8733514" y="1190288"/>
                  <a:pt x="8748888" y="1174696"/>
                  <a:pt x="8748888" y="1155467"/>
                </a:cubicBezTo>
                <a:cubicBezTo>
                  <a:pt x="8748888" y="1136239"/>
                  <a:pt x="8733514" y="1120647"/>
                  <a:pt x="8714547" y="1120647"/>
                </a:cubicBezTo>
                <a:close/>
                <a:moveTo>
                  <a:pt x="8798289" y="1120647"/>
                </a:moveTo>
                <a:cubicBezTo>
                  <a:pt x="8779322" y="1120647"/>
                  <a:pt x="8763936" y="1136239"/>
                  <a:pt x="8763936" y="1155467"/>
                </a:cubicBezTo>
                <a:cubicBezTo>
                  <a:pt x="8763936" y="1174696"/>
                  <a:pt x="8779322" y="1190288"/>
                  <a:pt x="8798289" y="1190288"/>
                </a:cubicBezTo>
                <a:cubicBezTo>
                  <a:pt x="8817256" y="1190288"/>
                  <a:pt x="8832629" y="1174696"/>
                  <a:pt x="8832629" y="1155467"/>
                </a:cubicBezTo>
                <a:cubicBezTo>
                  <a:pt x="8832629" y="1136239"/>
                  <a:pt x="8817256" y="1120647"/>
                  <a:pt x="8798289" y="1120647"/>
                </a:cubicBezTo>
                <a:close/>
                <a:moveTo>
                  <a:pt x="8882030" y="1120647"/>
                </a:moveTo>
                <a:cubicBezTo>
                  <a:pt x="8863063" y="1120647"/>
                  <a:pt x="8847677" y="1136239"/>
                  <a:pt x="8847677" y="1155467"/>
                </a:cubicBezTo>
                <a:cubicBezTo>
                  <a:pt x="8847677" y="1174696"/>
                  <a:pt x="8863063" y="1190288"/>
                  <a:pt x="8882030" y="1190288"/>
                </a:cubicBezTo>
                <a:cubicBezTo>
                  <a:pt x="8900997" y="1190288"/>
                  <a:pt x="8916370" y="1174696"/>
                  <a:pt x="8916370" y="1155467"/>
                </a:cubicBezTo>
                <a:cubicBezTo>
                  <a:pt x="8916370" y="1136239"/>
                  <a:pt x="8900997" y="1120647"/>
                  <a:pt x="8882030" y="1120647"/>
                </a:cubicBezTo>
                <a:close/>
                <a:moveTo>
                  <a:pt x="8965772" y="1120647"/>
                </a:moveTo>
                <a:cubicBezTo>
                  <a:pt x="8946805" y="1120647"/>
                  <a:pt x="8931419" y="1136239"/>
                  <a:pt x="8931419" y="1155467"/>
                </a:cubicBezTo>
                <a:cubicBezTo>
                  <a:pt x="8931419" y="1174696"/>
                  <a:pt x="8946805" y="1190288"/>
                  <a:pt x="8965772" y="1190288"/>
                </a:cubicBezTo>
                <a:cubicBezTo>
                  <a:pt x="8984739" y="1190288"/>
                  <a:pt x="9000112" y="1174696"/>
                  <a:pt x="9000112" y="1155467"/>
                </a:cubicBezTo>
                <a:cubicBezTo>
                  <a:pt x="9000112" y="1136239"/>
                  <a:pt x="8984739" y="1120647"/>
                  <a:pt x="8965772" y="1120647"/>
                </a:cubicBezTo>
                <a:close/>
                <a:moveTo>
                  <a:pt x="9049513" y="1120647"/>
                </a:moveTo>
                <a:cubicBezTo>
                  <a:pt x="9030546" y="1120647"/>
                  <a:pt x="9015160" y="1136239"/>
                  <a:pt x="9015160" y="1155467"/>
                </a:cubicBezTo>
                <a:cubicBezTo>
                  <a:pt x="9015160" y="1174696"/>
                  <a:pt x="9030546" y="1190288"/>
                  <a:pt x="9049513" y="1190288"/>
                </a:cubicBezTo>
                <a:cubicBezTo>
                  <a:pt x="9068480" y="1190288"/>
                  <a:pt x="9083854" y="1174696"/>
                  <a:pt x="9083854" y="1155467"/>
                </a:cubicBezTo>
                <a:cubicBezTo>
                  <a:pt x="9083854" y="1136239"/>
                  <a:pt x="9068480" y="1120647"/>
                  <a:pt x="9049513" y="1120647"/>
                </a:cubicBezTo>
                <a:close/>
                <a:moveTo>
                  <a:pt x="9133256" y="1120647"/>
                </a:moveTo>
                <a:cubicBezTo>
                  <a:pt x="9114289" y="1120647"/>
                  <a:pt x="9098903" y="1136239"/>
                  <a:pt x="9098903" y="1155467"/>
                </a:cubicBezTo>
                <a:cubicBezTo>
                  <a:pt x="9098903" y="1174696"/>
                  <a:pt x="9114289" y="1190288"/>
                  <a:pt x="9133256" y="1190288"/>
                </a:cubicBezTo>
                <a:cubicBezTo>
                  <a:pt x="9152223" y="1190288"/>
                  <a:pt x="9167596" y="1174696"/>
                  <a:pt x="9167596" y="1155467"/>
                </a:cubicBezTo>
                <a:cubicBezTo>
                  <a:pt x="9167596" y="1136239"/>
                  <a:pt x="9152223" y="1120647"/>
                  <a:pt x="9133256" y="1120647"/>
                </a:cubicBezTo>
                <a:close/>
                <a:moveTo>
                  <a:pt x="9216997" y="1120647"/>
                </a:moveTo>
                <a:cubicBezTo>
                  <a:pt x="9198030" y="1120647"/>
                  <a:pt x="9182644" y="1136239"/>
                  <a:pt x="9182644" y="1155467"/>
                </a:cubicBezTo>
                <a:cubicBezTo>
                  <a:pt x="9182644" y="1174696"/>
                  <a:pt x="9198030" y="1190288"/>
                  <a:pt x="9216997" y="1190288"/>
                </a:cubicBezTo>
                <a:cubicBezTo>
                  <a:pt x="9235964" y="1190288"/>
                  <a:pt x="9251337" y="1174696"/>
                  <a:pt x="9251337" y="1155467"/>
                </a:cubicBezTo>
                <a:cubicBezTo>
                  <a:pt x="9251337" y="1136239"/>
                  <a:pt x="9235964" y="1120647"/>
                  <a:pt x="9216997" y="1120647"/>
                </a:cubicBezTo>
                <a:close/>
                <a:moveTo>
                  <a:pt x="9300738" y="1120647"/>
                </a:moveTo>
                <a:cubicBezTo>
                  <a:pt x="9281771" y="1120647"/>
                  <a:pt x="9266385" y="1136239"/>
                  <a:pt x="9266385" y="1155467"/>
                </a:cubicBezTo>
                <a:cubicBezTo>
                  <a:pt x="9266385" y="1174696"/>
                  <a:pt x="9281771" y="1190288"/>
                  <a:pt x="9300738" y="1190288"/>
                </a:cubicBezTo>
                <a:cubicBezTo>
                  <a:pt x="9319705" y="1190288"/>
                  <a:pt x="9335078" y="1174696"/>
                  <a:pt x="9335078" y="1155467"/>
                </a:cubicBezTo>
                <a:cubicBezTo>
                  <a:pt x="9335078" y="1136239"/>
                  <a:pt x="9319705" y="1120647"/>
                  <a:pt x="9300738" y="1120647"/>
                </a:cubicBezTo>
                <a:close/>
                <a:moveTo>
                  <a:pt x="9384480" y="1120647"/>
                </a:moveTo>
                <a:cubicBezTo>
                  <a:pt x="9365513" y="1120647"/>
                  <a:pt x="9350127" y="1136239"/>
                  <a:pt x="9350127" y="1155467"/>
                </a:cubicBezTo>
                <a:cubicBezTo>
                  <a:pt x="9350127" y="1174696"/>
                  <a:pt x="9365513" y="1190288"/>
                  <a:pt x="9384480" y="1190288"/>
                </a:cubicBezTo>
                <a:cubicBezTo>
                  <a:pt x="9403447" y="1190288"/>
                  <a:pt x="9418821" y="1174696"/>
                  <a:pt x="9418821" y="1155467"/>
                </a:cubicBezTo>
                <a:cubicBezTo>
                  <a:pt x="9418821" y="1136239"/>
                  <a:pt x="9403447" y="1120647"/>
                  <a:pt x="9384480" y="1120647"/>
                </a:cubicBezTo>
                <a:close/>
                <a:moveTo>
                  <a:pt x="9468222" y="1120647"/>
                </a:moveTo>
                <a:cubicBezTo>
                  <a:pt x="9449255" y="1120647"/>
                  <a:pt x="9433869" y="1136239"/>
                  <a:pt x="9433869" y="1155467"/>
                </a:cubicBezTo>
                <a:cubicBezTo>
                  <a:pt x="9433869" y="1174696"/>
                  <a:pt x="9449255" y="1190288"/>
                  <a:pt x="9468222" y="1190288"/>
                </a:cubicBezTo>
                <a:cubicBezTo>
                  <a:pt x="9487189" y="1190288"/>
                  <a:pt x="9502562" y="1174696"/>
                  <a:pt x="9502562" y="1155467"/>
                </a:cubicBezTo>
                <a:cubicBezTo>
                  <a:pt x="9502562" y="1136239"/>
                  <a:pt x="9487189" y="1120647"/>
                  <a:pt x="9468222" y="1120647"/>
                </a:cubicBezTo>
                <a:close/>
                <a:moveTo>
                  <a:pt x="9551963" y="1120647"/>
                </a:moveTo>
                <a:cubicBezTo>
                  <a:pt x="9532996" y="1120647"/>
                  <a:pt x="9517610" y="1136239"/>
                  <a:pt x="9517610" y="1155467"/>
                </a:cubicBezTo>
                <a:cubicBezTo>
                  <a:pt x="9517610" y="1174696"/>
                  <a:pt x="9532996" y="1190288"/>
                  <a:pt x="9551963" y="1190288"/>
                </a:cubicBezTo>
                <a:cubicBezTo>
                  <a:pt x="9570930" y="1190288"/>
                  <a:pt x="9586303" y="1174696"/>
                  <a:pt x="9586303" y="1155467"/>
                </a:cubicBezTo>
                <a:cubicBezTo>
                  <a:pt x="9586303" y="1136239"/>
                  <a:pt x="9570930" y="1120647"/>
                  <a:pt x="9551963" y="1120647"/>
                </a:cubicBezTo>
                <a:close/>
                <a:moveTo>
                  <a:pt x="9635705" y="1120647"/>
                </a:moveTo>
                <a:cubicBezTo>
                  <a:pt x="9616738" y="1120647"/>
                  <a:pt x="9601352" y="1136239"/>
                  <a:pt x="9601352" y="1155467"/>
                </a:cubicBezTo>
                <a:cubicBezTo>
                  <a:pt x="9601352" y="1174696"/>
                  <a:pt x="9616738" y="1190288"/>
                  <a:pt x="9635705" y="1190288"/>
                </a:cubicBezTo>
                <a:cubicBezTo>
                  <a:pt x="9654672" y="1190288"/>
                  <a:pt x="9670045" y="1174696"/>
                  <a:pt x="9670045" y="1155467"/>
                </a:cubicBezTo>
                <a:cubicBezTo>
                  <a:pt x="9670045" y="1136239"/>
                  <a:pt x="9654672" y="1120647"/>
                  <a:pt x="9635705" y="1120647"/>
                </a:cubicBezTo>
                <a:close/>
                <a:moveTo>
                  <a:pt x="9719446" y="1120647"/>
                </a:moveTo>
                <a:cubicBezTo>
                  <a:pt x="9700479" y="1120647"/>
                  <a:pt x="9685093" y="1136239"/>
                  <a:pt x="9685093" y="1155467"/>
                </a:cubicBezTo>
                <a:cubicBezTo>
                  <a:pt x="9685093" y="1174696"/>
                  <a:pt x="9700479" y="1190288"/>
                  <a:pt x="9719446" y="1190288"/>
                </a:cubicBezTo>
                <a:cubicBezTo>
                  <a:pt x="9738413" y="1190288"/>
                  <a:pt x="9753787" y="1174696"/>
                  <a:pt x="9753787" y="1155467"/>
                </a:cubicBezTo>
                <a:cubicBezTo>
                  <a:pt x="9753787" y="1136239"/>
                  <a:pt x="9738413" y="1120647"/>
                  <a:pt x="9719446" y="1120647"/>
                </a:cubicBezTo>
                <a:close/>
                <a:moveTo>
                  <a:pt x="9803189" y="1120647"/>
                </a:moveTo>
                <a:cubicBezTo>
                  <a:pt x="9784222" y="1120647"/>
                  <a:pt x="9768836" y="1136239"/>
                  <a:pt x="9768836" y="1155467"/>
                </a:cubicBezTo>
                <a:cubicBezTo>
                  <a:pt x="9768836" y="1174696"/>
                  <a:pt x="9784222" y="1190288"/>
                  <a:pt x="9803189" y="1190288"/>
                </a:cubicBezTo>
                <a:cubicBezTo>
                  <a:pt x="9822156" y="1190288"/>
                  <a:pt x="9837529" y="1174696"/>
                  <a:pt x="9837529" y="1155467"/>
                </a:cubicBezTo>
                <a:cubicBezTo>
                  <a:pt x="9837529" y="1136239"/>
                  <a:pt x="9822156" y="1120647"/>
                  <a:pt x="9803189" y="1120647"/>
                </a:cubicBezTo>
                <a:close/>
                <a:moveTo>
                  <a:pt x="9886930" y="1120647"/>
                </a:moveTo>
                <a:cubicBezTo>
                  <a:pt x="9867963" y="1120647"/>
                  <a:pt x="9852577" y="1136239"/>
                  <a:pt x="9852577" y="1155467"/>
                </a:cubicBezTo>
                <a:cubicBezTo>
                  <a:pt x="9852577" y="1174696"/>
                  <a:pt x="9867963" y="1190288"/>
                  <a:pt x="9886930" y="1190288"/>
                </a:cubicBezTo>
                <a:cubicBezTo>
                  <a:pt x="9905897" y="1190288"/>
                  <a:pt x="9921270" y="1174696"/>
                  <a:pt x="9921270" y="1155467"/>
                </a:cubicBezTo>
                <a:cubicBezTo>
                  <a:pt x="9921270" y="1136239"/>
                  <a:pt x="9905897" y="1120647"/>
                  <a:pt x="9886930" y="1120647"/>
                </a:cubicBezTo>
                <a:close/>
                <a:moveTo>
                  <a:pt x="9970671" y="1120647"/>
                </a:moveTo>
                <a:cubicBezTo>
                  <a:pt x="9951704" y="1120647"/>
                  <a:pt x="9936318" y="1136239"/>
                  <a:pt x="9936318" y="1155467"/>
                </a:cubicBezTo>
                <a:cubicBezTo>
                  <a:pt x="9936318" y="1174696"/>
                  <a:pt x="9951704" y="1190288"/>
                  <a:pt x="9970671" y="1190288"/>
                </a:cubicBezTo>
                <a:cubicBezTo>
                  <a:pt x="9989638" y="1190288"/>
                  <a:pt x="10005011" y="1174696"/>
                  <a:pt x="10005011" y="1155467"/>
                </a:cubicBezTo>
                <a:cubicBezTo>
                  <a:pt x="10005011" y="1136239"/>
                  <a:pt x="9989638" y="1120647"/>
                  <a:pt x="9970671" y="1120647"/>
                </a:cubicBezTo>
                <a:close/>
                <a:moveTo>
                  <a:pt x="10054413" y="1120647"/>
                </a:moveTo>
                <a:cubicBezTo>
                  <a:pt x="10035446" y="1120647"/>
                  <a:pt x="10020060" y="1136239"/>
                  <a:pt x="10020060" y="1155467"/>
                </a:cubicBezTo>
                <a:cubicBezTo>
                  <a:pt x="10020060" y="1174696"/>
                  <a:pt x="10035446" y="1190288"/>
                  <a:pt x="10054413" y="1190288"/>
                </a:cubicBezTo>
                <a:cubicBezTo>
                  <a:pt x="10073380" y="1190288"/>
                  <a:pt x="10088754" y="1174696"/>
                  <a:pt x="10088754" y="1155467"/>
                </a:cubicBezTo>
                <a:cubicBezTo>
                  <a:pt x="10088754" y="1136239"/>
                  <a:pt x="10073380" y="1120647"/>
                  <a:pt x="10054413" y="1120647"/>
                </a:cubicBezTo>
                <a:close/>
                <a:moveTo>
                  <a:pt x="10138155" y="1120647"/>
                </a:moveTo>
                <a:cubicBezTo>
                  <a:pt x="10119188" y="1120647"/>
                  <a:pt x="10103802" y="1136239"/>
                  <a:pt x="10103802" y="1155467"/>
                </a:cubicBezTo>
                <a:cubicBezTo>
                  <a:pt x="10103802" y="1174696"/>
                  <a:pt x="10119188" y="1190288"/>
                  <a:pt x="10138155" y="1190288"/>
                </a:cubicBezTo>
                <a:cubicBezTo>
                  <a:pt x="10157122" y="1190288"/>
                  <a:pt x="10172495" y="1174696"/>
                  <a:pt x="10172495" y="1155467"/>
                </a:cubicBezTo>
                <a:cubicBezTo>
                  <a:pt x="10172495" y="1136239"/>
                  <a:pt x="10157122" y="1120647"/>
                  <a:pt x="10138155" y="1120647"/>
                </a:cubicBezTo>
                <a:close/>
                <a:moveTo>
                  <a:pt x="10221896" y="1120647"/>
                </a:moveTo>
                <a:cubicBezTo>
                  <a:pt x="10202929" y="1120647"/>
                  <a:pt x="10187543" y="1136239"/>
                  <a:pt x="10187543" y="1155467"/>
                </a:cubicBezTo>
                <a:cubicBezTo>
                  <a:pt x="10187543" y="1174696"/>
                  <a:pt x="10202929" y="1190288"/>
                  <a:pt x="10221896" y="1190288"/>
                </a:cubicBezTo>
                <a:cubicBezTo>
                  <a:pt x="10240863" y="1190288"/>
                  <a:pt x="10256236" y="1174696"/>
                  <a:pt x="10256236" y="1155467"/>
                </a:cubicBezTo>
                <a:cubicBezTo>
                  <a:pt x="10256236" y="1136239"/>
                  <a:pt x="10240863" y="1120647"/>
                  <a:pt x="10221896" y="1120647"/>
                </a:cubicBezTo>
                <a:close/>
                <a:moveTo>
                  <a:pt x="10305638" y="1120647"/>
                </a:moveTo>
                <a:cubicBezTo>
                  <a:pt x="10286671" y="1120647"/>
                  <a:pt x="10271285" y="1136239"/>
                  <a:pt x="10271285" y="1155467"/>
                </a:cubicBezTo>
                <a:cubicBezTo>
                  <a:pt x="10271285" y="1174696"/>
                  <a:pt x="10286671" y="1190288"/>
                  <a:pt x="10305638" y="1190288"/>
                </a:cubicBezTo>
                <a:cubicBezTo>
                  <a:pt x="10324605" y="1190288"/>
                  <a:pt x="10339978" y="1174696"/>
                  <a:pt x="10339978" y="1155467"/>
                </a:cubicBezTo>
                <a:cubicBezTo>
                  <a:pt x="10339978" y="1136239"/>
                  <a:pt x="10324605" y="1120647"/>
                  <a:pt x="10305638" y="1120647"/>
                </a:cubicBezTo>
                <a:close/>
                <a:moveTo>
                  <a:pt x="10389379" y="1120647"/>
                </a:moveTo>
                <a:cubicBezTo>
                  <a:pt x="10370412" y="1120647"/>
                  <a:pt x="10355026" y="1136239"/>
                  <a:pt x="10355026" y="1155467"/>
                </a:cubicBezTo>
                <a:cubicBezTo>
                  <a:pt x="10355026" y="1174696"/>
                  <a:pt x="10370412" y="1190288"/>
                  <a:pt x="10389379" y="1190288"/>
                </a:cubicBezTo>
                <a:cubicBezTo>
                  <a:pt x="10408346" y="1190288"/>
                  <a:pt x="10423720" y="1174696"/>
                  <a:pt x="10423720" y="1155467"/>
                </a:cubicBezTo>
                <a:cubicBezTo>
                  <a:pt x="10423720" y="1136239"/>
                  <a:pt x="10408346" y="1120647"/>
                  <a:pt x="10389379" y="1120647"/>
                </a:cubicBezTo>
                <a:close/>
                <a:moveTo>
                  <a:pt x="1596483" y="1205511"/>
                </a:moveTo>
                <a:cubicBezTo>
                  <a:pt x="1577516" y="1205511"/>
                  <a:pt x="1562136" y="1221102"/>
                  <a:pt x="1562136" y="1240331"/>
                </a:cubicBezTo>
                <a:cubicBezTo>
                  <a:pt x="1562136" y="1259560"/>
                  <a:pt x="1577516" y="1275151"/>
                  <a:pt x="1596483" y="1275151"/>
                </a:cubicBezTo>
                <a:cubicBezTo>
                  <a:pt x="1615450" y="1275151"/>
                  <a:pt x="1630829" y="1259560"/>
                  <a:pt x="1630829" y="1240331"/>
                </a:cubicBezTo>
                <a:cubicBezTo>
                  <a:pt x="1630829" y="1221102"/>
                  <a:pt x="1615450" y="1205511"/>
                  <a:pt x="1596483" y="1205511"/>
                </a:cubicBezTo>
                <a:close/>
                <a:moveTo>
                  <a:pt x="1680225" y="1205511"/>
                </a:moveTo>
                <a:cubicBezTo>
                  <a:pt x="1661258" y="1205511"/>
                  <a:pt x="1645878" y="1221102"/>
                  <a:pt x="1645878" y="1240331"/>
                </a:cubicBezTo>
                <a:cubicBezTo>
                  <a:pt x="1645878" y="1259560"/>
                  <a:pt x="1661258" y="1275151"/>
                  <a:pt x="1680225" y="1275151"/>
                </a:cubicBezTo>
                <a:cubicBezTo>
                  <a:pt x="1699192" y="1275151"/>
                  <a:pt x="1714572" y="1259560"/>
                  <a:pt x="1714572" y="1240331"/>
                </a:cubicBezTo>
                <a:cubicBezTo>
                  <a:pt x="1714572" y="1221102"/>
                  <a:pt x="1699192" y="1205511"/>
                  <a:pt x="1680225" y="1205511"/>
                </a:cubicBezTo>
                <a:close/>
                <a:moveTo>
                  <a:pt x="1763966" y="1205511"/>
                </a:moveTo>
                <a:cubicBezTo>
                  <a:pt x="1744999" y="1205511"/>
                  <a:pt x="1729620" y="1221102"/>
                  <a:pt x="1729620" y="1240331"/>
                </a:cubicBezTo>
                <a:cubicBezTo>
                  <a:pt x="1729620" y="1259560"/>
                  <a:pt x="1744999" y="1275151"/>
                  <a:pt x="1763966" y="1275151"/>
                </a:cubicBezTo>
                <a:cubicBezTo>
                  <a:pt x="1782933" y="1275151"/>
                  <a:pt x="1798313" y="1259560"/>
                  <a:pt x="1798313" y="1240331"/>
                </a:cubicBezTo>
                <a:cubicBezTo>
                  <a:pt x="1798313" y="1221102"/>
                  <a:pt x="1782933" y="1205511"/>
                  <a:pt x="1763966" y="1205511"/>
                </a:cubicBezTo>
                <a:close/>
                <a:moveTo>
                  <a:pt x="1847707" y="1205511"/>
                </a:moveTo>
                <a:cubicBezTo>
                  <a:pt x="1828740" y="1205511"/>
                  <a:pt x="1813361" y="1221102"/>
                  <a:pt x="1813361" y="1240331"/>
                </a:cubicBezTo>
                <a:cubicBezTo>
                  <a:pt x="1813361" y="1259560"/>
                  <a:pt x="1828740" y="1275151"/>
                  <a:pt x="1847707" y="1275151"/>
                </a:cubicBezTo>
                <a:cubicBezTo>
                  <a:pt x="1866674" y="1275151"/>
                  <a:pt x="1882054" y="1259560"/>
                  <a:pt x="1882054" y="1240331"/>
                </a:cubicBezTo>
                <a:cubicBezTo>
                  <a:pt x="1882054" y="1221102"/>
                  <a:pt x="1866674" y="1205511"/>
                  <a:pt x="1847707" y="1205511"/>
                </a:cubicBezTo>
                <a:close/>
                <a:moveTo>
                  <a:pt x="1931450" y="1205511"/>
                </a:moveTo>
                <a:cubicBezTo>
                  <a:pt x="1912483" y="1205511"/>
                  <a:pt x="1897103" y="1221102"/>
                  <a:pt x="1897103" y="1240331"/>
                </a:cubicBezTo>
                <a:cubicBezTo>
                  <a:pt x="1897103" y="1259560"/>
                  <a:pt x="1912483" y="1275151"/>
                  <a:pt x="1931450" y="1275151"/>
                </a:cubicBezTo>
                <a:cubicBezTo>
                  <a:pt x="1950417" y="1275151"/>
                  <a:pt x="1965796" y="1259560"/>
                  <a:pt x="1965796" y="1240331"/>
                </a:cubicBezTo>
                <a:cubicBezTo>
                  <a:pt x="1965796" y="1221102"/>
                  <a:pt x="1950417" y="1205511"/>
                  <a:pt x="1931450" y="1205511"/>
                </a:cubicBezTo>
                <a:close/>
                <a:moveTo>
                  <a:pt x="2015191" y="1205511"/>
                </a:moveTo>
                <a:cubicBezTo>
                  <a:pt x="1996224" y="1205511"/>
                  <a:pt x="1980844" y="1221102"/>
                  <a:pt x="1980844" y="1240331"/>
                </a:cubicBezTo>
                <a:cubicBezTo>
                  <a:pt x="1980844" y="1259560"/>
                  <a:pt x="1996224" y="1275151"/>
                  <a:pt x="2015191" y="1275151"/>
                </a:cubicBezTo>
                <a:cubicBezTo>
                  <a:pt x="2034158" y="1275151"/>
                  <a:pt x="2049538" y="1259560"/>
                  <a:pt x="2049538" y="1240331"/>
                </a:cubicBezTo>
                <a:cubicBezTo>
                  <a:pt x="2049538" y="1221102"/>
                  <a:pt x="2034158" y="1205511"/>
                  <a:pt x="2015191" y="1205511"/>
                </a:cubicBezTo>
                <a:close/>
                <a:moveTo>
                  <a:pt x="2098932" y="1205511"/>
                </a:moveTo>
                <a:cubicBezTo>
                  <a:pt x="2079965" y="1205511"/>
                  <a:pt x="2064586" y="1221102"/>
                  <a:pt x="2064586" y="1240331"/>
                </a:cubicBezTo>
                <a:cubicBezTo>
                  <a:pt x="2064586" y="1259560"/>
                  <a:pt x="2079965" y="1275151"/>
                  <a:pt x="2098932" y="1275151"/>
                </a:cubicBezTo>
                <a:cubicBezTo>
                  <a:pt x="2117899" y="1275151"/>
                  <a:pt x="2133279" y="1259560"/>
                  <a:pt x="2133279" y="1240331"/>
                </a:cubicBezTo>
                <a:cubicBezTo>
                  <a:pt x="2133279" y="1221102"/>
                  <a:pt x="2117899" y="1205511"/>
                  <a:pt x="2098932" y="1205511"/>
                </a:cubicBezTo>
                <a:close/>
                <a:moveTo>
                  <a:pt x="2182674" y="1205511"/>
                </a:moveTo>
                <a:cubicBezTo>
                  <a:pt x="2163707" y="1205511"/>
                  <a:pt x="2148328" y="1221102"/>
                  <a:pt x="2148328" y="1240331"/>
                </a:cubicBezTo>
                <a:cubicBezTo>
                  <a:pt x="2148328" y="1259560"/>
                  <a:pt x="2163707" y="1275151"/>
                  <a:pt x="2182674" y="1275151"/>
                </a:cubicBezTo>
                <a:cubicBezTo>
                  <a:pt x="2201641" y="1275151"/>
                  <a:pt x="2217021" y="1259560"/>
                  <a:pt x="2217021" y="1240331"/>
                </a:cubicBezTo>
                <a:cubicBezTo>
                  <a:pt x="2217021" y="1221102"/>
                  <a:pt x="2201641" y="1205511"/>
                  <a:pt x="2182674" y="1205511"/>
                </a:cubicBezTo>
                <a:close/>
                <a:moveTo>
                  <a:pt x="2266416" y="1205511"/>
                </a:moveTo>
                <a:cubicBezTo>
                  <a:pt x="2247449" y="1205511"/>
                  <a:pt x="2232069" y="1221102"/>
                  <a:pt x="2232069" y="1240331"/>
                </a:cubicBezTo>
                <a:cubicBezTo>
                  <a:pt x="2232069" y="1259560"/>
                  <a:pt x="2247449" y="1275151"/>
                  <a:pt x="2266416" y="1275151"/>
                </a:cubicBezTo>
                <a:cubicBezTo>
                  <a:pt x="2285383" y="1275151"/>
                  <a:pt x="2300762" y="1259560"/>
                  <a:pt x="2300762" y="1240331"/>
                </a:cubicBezTo>
                <a:cubicBezTo>
                  <a:pt x="2300762" y="1221102"/>
                  <a:pt x="2285383" y="1205511"/>
                  <a:pt x="2266416" y="1205511"/>
                </a:cubicBezTo>
                <a:close/>
                <a:moveTo>
                  <a:pt x="2350151" y="1205511"/>
                </a:moveTo>
                <a:cubicBezTo>
                  <a:pt x="2331184" y="1205511"/>
                  <a:pt x="2315804" y="1221102"/>
                  <a:pt x="2315804" y="1240331"/>
                </a:cubicBezTo>
                <a:cubicBezTo>
                  <a:pt x="2315804" y="1259560"/>
                  <a:pt x="2331184" y="1275151"/>
                  <a:pt x="2350151" y="1275151"/>
                </a:cubicBezTo>
                <a:cubicBezTo>
                  <a:pt x="2369118" y="1275151"/>
                  <a:pt x="2384498" y="1259560"/>
                  <a:pt x="2384498" y="1240331"/>
                </a:cubicBezTo>
                <a:cubicBezTo>
                  <a:pt x="2384498" y="1221102"/>
                  <a:pt x="2369118" y="1205511"/>
                  <a:pt x="2350151" y="1205511"/>
                </a:cubicBezTo>
                <a:close/>
                <a:moveTo>
                  <a:pt x="2433893" y="1205511"/>
                </a:moveTo>
                <a:cubicBezTo>
                  <a:pt x="2414926" y="1205511"/>
                  <a:pt x="2399546" y="1221102"/>
                  <a:pt x="2399546" y="1240331"/>
                </a:cubicBezTo>
                <a:cubicBezTo>
                  <a:pt x="2399546" y="1259560"/>
                  <a:pt x="2414926" y="1275151"/>
                  <a:pt x="2433893" y="1275151"/>
                </a:cubicBezTo>
                <a:cubicBezTo>
                  <a:pt x="2452860" y="1275151"/>
                  <a:pt x="2468240" y="1259560"/>
                  <a:pt x="2468240" y="1240331"/>
                </a:cubicBezTo>
                <a:cubicBezTo>
                  <a:pt x="2468240" y="1221102"/>
                  <a:pt x="2452860" y="1205511"/>
                  <a:pt x="2433893" y="1205511"/>
                </a:cubicBezTo>
                <a:close/>
                <a:moveTo>
                  <a:pt x="2517634" y="1205511"/>
                </a:moveTo>
                <a:cubicBezTo>
                  <a:pt x="2498667" y="1205511"/>
                  <a:pt x="2483288" y="1221102"/>
                  <a:pt x="2483288" y="1240331"/>
                </a:cubicBezTo>
                <a:cubicBezTo>
                  <a:pt x="2483288" y="1259560"/>
                  <a:pt x="2498667" y="1275151"/>
                  <a:pt x="2517634" y="1275151"/>
                </a:cubicBezTo>
                <a:cubicBezTo>
                  <a:pt x="2536601" y="1275151"/>
                  <a:pt x="2551981" y="1259560"/>
                  <a:pt x="2551981" y="1240331"/>
                </a:cubicBezTo>
                <a:cubicBezTo>
                  <a:pt x="2551981" y="1221102"/>
                  <a:pt x="2536601" y="1205511"/>
                  <a:pt x="2517634" y="1205511"/>
                </a:cubicBezTo>
                <a:close/>
                <a:moveTo>
                  <a:pt x="2601376" y="1205511"/>
                </a:moveTo>
                <a:cubicBezTo>
                  <a:pt x="2582409" y="1205511"/>
                  <a:pt x="2567029" y="1221102"/>
                  <a:pt x="2567029" y="1240331"/>
                </a:cubicBezTo>
                <a:cubicBezTo>
                  <a:pt x="2567029" y="1259560"/>
                  <a:pt x="2582409" y="1275151"/>
                  <a:pt x="2601376" y="1275151"/>
                </a:cubicBezTo>
                <a:cubicBezTo>
                  <a:pt x="2620343" y="1275151"/>
                  <a:pt x="2635722" y="1259560"/>
                  <a:pt x="2635722" y="1240331"/>
                </a:cubicBezTo>
                <a:cubicBezTo>
                  <a:pt x="2635722" y="1221102"/>
                  <a:pt x="2620343" y="1205511"/>
                  <a:pt x="2601376" y="1205511"/>
                </a:cubicBezTo>
                <a:close/>
                <a:moveTo>
                  <a:pt x="2685118" y="1205511"/>
                </a:moveTo>
                <a:cubicBezTo>
                  <a:pt x="2666151" y="1205511"/>
                  <a:pt x="2650771" y="1221102"/>
                  <a:pt x="2650771" y="1240331"/>
                </a:cubicBezTo>
                <a:cubicBezTo>
                  <a:pt x="2650771" y="1259560"/>
                  <a:pt x="2666151" y="1275151"/>
                  <a:pt x="2685118" y="1275151"/>
                </a:cubicBezTo>
                <a:cubicBezTo>
                  <a:pt x="2704085" y="1275151"/>
                  <a:pt x="2719465" y="1259560"/>
                  <a:pt x="2719465" y="1240331"/>
                </a:cubicBezTo>
                <a:cubicBezTo>
                  <a:pt x="2719465" y="1221102"/>
                  <a:pt x="2704085" y="1205511"/>
                  <a:pt x="2685118" y="1205511"/>
                </a:cubicBezTo>
                <a:close/>
                <a:moveTo>
                  <a:pt x="2768859" y="1205511"/>
                </a:moveTo>
                <a:cubicBezTo>
                  <a:pt x="2749892" y="1205511"/>
                  <a:pt x="2734512" y="1221102"/>
                  <a:pt x="2734512" y="1240331"/>
                </a:cubicBezTo>
                <a:cubicBezTo>
                  <a:pt x="2734512" y="1259560"/>
                  <a:pt x="2749892" y="1275151"/>
                  <a:pt x="2768859" y="1275151"/>
                </a:cubicBezTo>
                <a:cubicBezTo>
                  <a:pt x="2787826" y="1275151"/>
                  <a:pt x="2803206" y="1259560"/>
                  <a:pt x="2803206" y="1240331"/>
                </a:cubicBezTo>
                <a:cubicBezTo>
                  <a:pt x="2803206" y="1221102"/>
                  <a:pt x="2787826" y="1205511"/>
                  <a:pt x="2768859" y="1205511"/>
                </a:cubicBezTo>
                <a:close/>
                <a:moveTo>
                  <a:pt x="2852600" y="1205511"/>
                </a:moveTo>
                <a:cubicBezTo>
                  <a:pt x="2833633" y="1205511"/>
                  <a:pt x="2818254" y="1221102"/>
                  <a:pt x="2818254" y="1240331"/>
                </a:cubicBezTo>
                <a:cubicBezTo>
                  <a:pt x="2818254" y="1259560"/>
                  <a:pt x="2833633" y="1275151"/>
                  <a:pt x="2852600" y="1275151"/>
                </a:cubicBezTo>
                <a:cubicBezTo>
                  <a:pt x="2871567" y="1275151"/>
                  <a:pt x="2886947" y="1259560"/>
                  <a:pt x="2886947" y="1240331"/>
                </a:cubicBezTo>
                <a:cubicBezTo>
                  <a:pt x="2886947" y="1221102"/>
                  <a:pt x="2871567" y="1205511"/>
                  <a:pt x="2852600" y="1205511"/>
                </a:cubicBezTo>
                <a:close/>
                <a:moveTo>
                  <a:pt x="3020084" y="1205511"/>
                </a:moveTo>
                <a:cubicBezTo>
                  <a:pt x="3001117" y="1205511"/>
                  <a:pt x="2985737" y="1221102"/>
                  <a:pt x="2985737" y="1240331"/>
                </a:cubicBezTo>
                <a:cubicBezTo>
                  <a:pt x="2985737" y="1259560"/>
                  <a:pt x="3001117" y="1275151"/>
                  <a:pt x="3020084" y="1275151"/>
                </a:cubicBezTo>
                <a:cubicBezTo>
                  <a:pt x="3039051" y="1275151"/>
                  <a:pt x="3054431" y="1259560"/>
                  <a:pt x="3054431" y="1240331"/>
                </a:cubicBezTo>
                <a:cubicBezTo>
                  <a:pt x="3054431" y="1221102"/>
                  <a:pt x="3039051" y="1205511"/>
                  <a:pt x="3020084" y="1205511"/>
                </a:cubicBezTo>
                <a:close/>
                <a:moveTo>
                  <a:pt x="3103826" y="1205511"/>
                </a:moveTo>
                <a:cubicBezTo>
                  <a:pt x="3084859" y="1205511"/>
                  <a:pt x="3069479" y="1221102"/>
                  <a:pt x="3069479" y="1240331"/>
                </a:cubicBezTo>
                <a:cubicBezTo>
                  <a:pt x="3069479" y="1259560"/>
                  <a:pt x="3084859" y="1275151"/>
                  <a:pt x="3103826" y="1275151"/>
                </a:cubicBezTo>
                <a:cubicBezTo>
                  <a:pt x="3122793" y="1275151"/>
                  <a:pt x="3138173" y="1259560"/>
                  <a:pt x="3138173" y="1240331"/>
                </a:cubicBezTo>
                <a:cubicBezTo>
                  <a:pt x="3138173" y="1221102"/>
                  <a:pt x="3122793" y="1205511"/>
                  <a:pt x="3103826" y="1205511"/>
                </a:cubicBezTo>
                <a:close/>
                <a:moveTo>
                  <a:pt x="3187567" y="1205511"/>
                </a:moveTo>
                <a:cubicBezTo>
                  <a:pt x="3168600" y="1205511"/>
                  <a:pt x="3153221" y="1221102"/>
                  <a:pt x="3153221" y="1240331"/>
                </a:cubicBezTo>
                <a:cubicBezTo>
                  <a:pt x="3153221" y="1259560"/>
                  <a:pt x="3168600" y="1275151"/>
                  <a:pt x="3187567" y="1275151"/>
                </a:cubicBezTo>
                <a:cubicBezTo>
                  <a:pt x="3206534" y="1275151"/>
                  <a:pt x="3221914" y="1259560"/>
                  <a:pt x="3221914" y="1240331"/>
                </a:cubicBezTo>
                <a:cubicBezTo>
                  <a:pt x="3221914" y="1221102"/>
                  <a:pt x="3206534" y="1205511"/>
                  <a:pt x="3187567" y="1205511"/>
                </a:cubicBezTo>
                <a:close/>
                <a:moveTo>
                  <a:pt x="3271309" y="1205511"/>
                </a:moveTo>
                <a:cubicBezTo>
                  <a:pt x="3252342" y="1205511"/>
                  <a:pt x="3236962" y="1221102"/>
                  <a:pt x="3236962" y="1240331"/>
                </a:cubicBezTo>
                <a:cubicBezTo>
                  <a:pt x="3236962" y="1259560"/>
                  <a:pt x="3252342" y="1275151"/>
                  <a:pt x="3271309" y="1275151"/>
                </a:cubicBezTo>
                <a:cubicBezTo>
                  <a:pt x="3290276" y="1275151"/>
                  <a:pt x="3305655" y="1259560"/>
                  <a:pt x="3305655" y="1240331"/>
                </a:cubicBezTo>
                <a:cubicBezTo>
                  <a:pt x="3305655" y="1221102"/>
                  <a:pt x="3290276" y="1205511"/>
                  <a:pt x="3271309" y="1205511"/>
                </a:cubicBezTo>
                <a:close/>
                <a:moveTo>
                  <a:pt x="3606276" y="1205511"/>
                </a:moveTo>
                <a:cubicBezTo>
                  <a:pt x="3587309" y="1205511"/>
                  <a:pt x="3571929" y="1221102"/>
                  <a:pt x="3571929" y="1240331"/>
                </a:cubicBezTo>
                <a:cubicBezTo>
                  <a:pt x="3571929" y="1259560"/>
                  <a:pt x="3587309" y="1275151"/>
                  <a:pt x="3606276" y="1275151"/>
                </a:cubicBezTo>
                <a:cubicBezTo>
                  <a:pt x="3625243" y="1275151"/>
                  <a:pt x="3640622" y="1259560"/>
                  <a:pt x="3640622" y="1240331"/>
                </a:cubicBezTo>
                <a:cubicBezTo>
                  <a:pt x="3640622" y="1221102"/>
                  <a:pt x="3625243" y="1205511"/>
                  <a:pt x="3606276" y="1205511"/>
                </a:cubicBezTo>
                <a:close/>
                <a:moveTo>
                  <a:pt x="3773759" y="1205511"/>
                </a:moveTo>
                <a:cubicBezTo>
                  <a:pt x="3754792" y="1205511"/>
                  <a:pt x="3739412" y="1221102"/>
                  <a:pt x="3739412" y="1240331"/>
                </a:cubicBezTo>
                <a:cubicBezTo>
                  <a:pt x="3739412" y="1259560"/>
                  <a:pt x="3754792" y="1275151"/>
                  <a:pt x="3773759" y="1275151"/>
                </a:cubicBezTo>
                <a:cubicBezTo>
                  <a:pt x="3792726" y="1275151"/>
                  <a:pt x="3808106" y="1259560"/>
                  <a:pt x="3808106" y="1240331"/>
                </a:cubicBezTo>
                <a:cubicBezTo>
                  <a:pt x="3808106" y="1221102"/>
                  <a:pt x="3792726" y="1205511"/>
                  <a:pt x="3773759" y="1205511"/>
                </a:cubicBezTo>
                <a:close/>
                <a:moveTo>
                  <a:pt x="3941242" y="1205511"/>
                </a:moveTo>
                <a:cubicBezTo>
                  <a:pt x="3922275" y="1205511"/>
                  <a:pt x="3906895" y="1221102"/>
                  <a:pt x="3906895" y="1240331"/>
                </a:cubicBezTo>
                <a:cubicBezTo>
                  <a:pt x="3906895" y="1259560"/>
                  <a:pt x="3922275" y="1275151"/>
                  <a:pt x="3941242" y="1275151"/>
                </a:cubicBezTo>
                <a:cubicBezTo>
                  <a:pt x="3960209" y="1275151"/>
                  <a:pt x="3975588" y="1259560"/>
                  <a:pt x="3975588" y="1240331"/>
                </a:cubicBezTo>
                <a:cubicBezTo>
                  <a:pt x="3975588" y="1221102"/>
                  <a:pt x="3960209" y="1205511"/>
                  <a:pt x="3941242" y="1205511"/>
                </a:cubicBezTo>
                <a:close/>
                <a:moveTo>
                  <a:pt x="4024990" y="1205511"/>
                </a:moveTo>
                <a:cubicBezTo>
                  <a:pt x="4006023" y="1205511"/>
                  <a:pt x="3990643" y="1221102"/>
                  <a:pt x="3990643" y="1240331"/>
                </a:cubicBezTo>
                <a:cubicBezTo>
                  <a:pt x="3990643" y="1259560"/>
                  <a:pt x="4006023" y="1275151"/>
                  <a:pt x="4024990" y="1275151"/>
                </a:cubicBezTo>
                <a:cubicBezTo>
                  <a:pt x="4043957" y="1275151"/>
                  <a:pt x="4059337" y="1259560"/>
                  <a:pt x="4059337" y="1240331"/>
                </a:cubicBezTo>
                <a:cubicBezTo>
                  <a:pt x="4059337" y="1221102"/>
                  <a:pt x="4043957" y="1205511"/>
                  <a:pt x="4024990" y="1205511"/>
                </a:cubicBezTo>
                <a:close/>
                <a:moveTo>
                  <a:pt x="4611182" y="1205511"/>
                </a:moveTo>
                <a:cubicBezTo>
                  <a:pt x="4592215" y="1205511"/>
                  <a:pt x="4576835" y="1221102"/>
                  <a:pt x="4576835" y="1240331"/>
                </a:cubicBezTo>
                <a:cubicBezTo>
                  <a:pt x="4576835" y="1259560"/>
                  <a:pt x="4592215" y="1275151"/>
                  <a:pt x="4611182" y="1275151"/>
                </a:cubicBezTo>
                <a:cubicBezTo>
                  <a:pt x="4630149" y="1275151"/>
                  <a:pt x="4645528" y="1259560"/>
                  <a:pt x="4645528" y="1240331"/>
                </a:cubicBezTo>
                <a:cubicBezTo>
                  <a:pt x="4645528" y="1221102"/>
                  <a:pt x="4630149" y="1205511"/>
                  <a:pt x="4611182" y="1205511"/>
                </a:cubicBezTo>
                <a:close/>
                <a:moveTo>
                  <a:pt x="4694923" y="1205511"/>
                </a:moveTo>
                <a:cubicBezTo>
                  <a:pt x="4675956" y="1205511"/>
                  <a:pt x="4660576" y="1221102"/>
                  <a:pt x="4660576" y="1240331"/>
                </a:cubicBezTo>
                <a:cubicBezTo>
                  <a:pt x="4660576" y="1259560"/>
                  <a:pt x="4675956" y="1275151"/>
                  <a:pt x="4694923" y="1275151"/>
                </a:cubicBezTo>
                <a:cubicBezTo>
                  <a:pt x="4713890" y="1275151"/>
                  <a:pt x="4729270" y="1259560"/>
                  <a:pt x="4729270" y="1240331"/>
                </a:cubicBezTo>
                <a:cubicBezTo>
                  <a:pt x="4729270" y="1221102"/>
                  <a:pt x="4713890" y="1205511"/>
                  <a:pt x="4694923" y="1205511"/>
                </a:cubicBezTo>
                <a:close/>
                <a:moveTo>
                  <a:pt x="4778665" y="1205511"/>
                </a:moveTo>
                <a:cubicBezTo>
                  <a:pt x="4759698" y="1205511"/>
                  <a:pt x="4744319" y="1221102"/>
                  <a:pt x="4744319" y="1240331"/>
                </a:cubicBezTo>
                <a:cubicBezTo>
                  <a:pt x="4744319" y="1259560"/>
                  <a:pt x="4759698" y="1275151"/>
                  <a:pt x="4778665" y="1275151"/>
                </a:cubicBezTo>
                <a:cubicBezTo>
                  <a:pt x="4797632" y="1275151"/>
                  <a:pt x="4813012" y="1259560"/>
                  <a:pt x="4813012" y="1240331"/>
                </a:cubicBezTo>
                <a:cubicBezTo>
                  <a:pt x="4813012" y="1221102"/>
                  <a:pt x="4797632" y="1205511"/>
                  <a:pt x="4778665" y="1205511"/>
                </a:cubicBezTo>
                <a:close/>
                <a:moveTo>
                  <a:pt x="4862406" y="1205511"/>
                </a:moveTo>
                <a:cubicBezTo>
                  <a:pt x="4843439" y="1205511"/>
                  <a:pt x="4828060" y="1221102"/>
                  <a:pt x="4828060" y="1240331"/>
                </a:cubicBezTo>
                <a:cubicBezTo>
                  <a:pt x="4828060" y="1259560"/>
                  <a:pt x="4843439" y="1275151"/>
                  <a:pt x="4862406" y="1275151"/>
                </a:cubicBezTo>
                <a:cubicBezTo>
                  <a:pt x="4881373" y="1275151"/>
                  <a:pt x="4896753" y="1259560"/>
                  <a:pt x="4896753" y="1240331"/>
                </a:cubicBezTo>
                <a:cubicBezTo>
                  <a:pt x="4896753" y="1221102"/>
                  <a:pt x="4881373" y="1205511"/>
                  <a:pt x="4862406" y="1205511"/>
                </a:cubicBezTo>
                <a:close/>
                <a:moveTo>
                  <a:pt x="4946148" y="1205511"/>
                </a:moveTo>
                <a:cubicBezTo>
                  <a:pt x="4927181" y="1205511"/>
                  <a:pt x="4911801" y="1221102"/>
                  <a:pt x="4911801" y="1240331"/>
                </a:cubicBezTo>
                <a:cubicBezTo>
                  <a:pt x="4911801" y="1259560"/>
                  <a:pt x="4927181" y="1275151"/>
                  <a:pt x="4946148" y="1275151"/>
                </a:cubicBezTo>
                <a:cubicBezTo>
                  <a:pt x="4965115" y="1275151"/>
                  <a:pt x="4980494" y="1259560"/>
                  <a:pt x="4980494" y="1240331"/>
                </a:cubicBezTo>
                <a:cubicBezTo>
                  <a:pt x="4980494" y="1221102"/>
                  <a:pt x="4965115" y="1205511"/>
                  <a:pt x="4946148" y="1205511"/>
                </a:cubicBezTo>
                <a:close/>
                <a:moveTo>
                  <a:pt x="5029890" y="1205511"/>
                </a:moveTo>
                <a:cubicBezTo>
                  <a:pt x="5010923" y="1205511"/>
                  <a:pt x="4995543" y="1221102"/>
                  <a:pt x="4995543" y="1240331"/>
                </a:cubicBezTo>
                <a:cubicBezTo>
                  <a:pt x="4995543" y="1259560"/>
                  <a:pt x="5010923" y="1275151"/>
                  <a:pt x="5029890" y="1275151"/>
                </a:cubicBezTo>
                <a:cubicBezTo>
                  <a:pt x="5048857" y="1275151"/>
                  <a:pt x="5064237" y="1259560"/>
                  <a:pt x="5064237" y="1240331"/>
                </a:cubicBezTo>
                <a:cubicBezTo>
                  <a:pt x="5064237" y="1221102"/>
                  <a:pt x="5048857" y="1205511"/>
                  <a:pt x="5029890" y="1205511"/>
                </a:cubicBezTo>
                <a:close/>
                <a:moveTo>
                  <a:pt x="5113631" y="1205511"/>
                </a:moveTo>
                <a:cubicBezTo>
                  <a:pt x="5094664" y="1205511"/>
                  <a:pt x="5079285" y="1221102"/>
                  <a:pt x="5079285" y="1240331"/>
                </a:cubicBezTo>
                <a:cubicBezTo>
                  <a:pt x="5079285" y="1259560"/>
                  <a:pt x="5094664" y="1275151"/>
                  <a:pt x="5113631" y="1275151"/>
                </a:cubicBezTo>
                <a:cubicBezTo>
                  <a:pt x="5132598" y="1275151"/>
                  <a:pt x="5147978" y="1259560"/>
                  <a:pt x="5147978" y="1240331"/>
                </a:cubicBezTo>
                <a:cubicBezTo>
                  <a:pt x="5147978" y="1221102"/>
                  <a:pt x="5132598" y="1205511"/>
                  <a:pt x="5113631" y="1205511"/>
                </a:cubicBezTo>
                <a:close/>
                <a:moveTo>
                  <a:pt x="5197372" y="1205511"/>
                </a:moveTo>
                <a:cubicBezTo>
                  <a:pt x="5178405" y="1205511"/>
                  <a:pt x="5163026" y="1221102"/>
                  <a:pt x="5163026" y="1240331"/>
                </a:cubicBezTo>
                <a:cubicBezTo>
                  <a:pt x="5163026" y="1259560"/>
                  <a:pt x="5178405" y="1275151"/>
                  <a:pt x="5197372" y="1275151"/>
                </a:cubicBezTo>
                <a:cubicBezTo>
                  <a:pt x="5216339" y="1275151"/>
                  <a:pt x="5231719" y="1259560"/>
                  <a:pt x="5231719" y="1240331"/>
                </a:cubicBezTo>
                <a:cubicBezTo>
                  <a:pt x="5231719" y="1221102"/>
                  <a:pt x="5216339" y="1205511"/>
                  <a:pt x="5197372" y="1205511"/>
                </a:cubicBezTo>
                <a:close/>
                <a:moveTo>
                  <a:pt x="5281115" y="1205511"/>
                </a:moveTo>
                <a:cubicBezTo>
                  <a:pt x="5262148" y="1205511"/>
                  <a:pt x="5246768" y="1221102"/>
                  <a:pt x="5246768" y="1240331"/>
                </a:cubicBezTo>
                <a:cubicBezTo>
                  <a:pt x="5246768" y="1259560"/>
                  <a:pt x="5262148" y="1275151"/>
                  <a:pt x="5281115" y="1275151"/>
                </a:cubicBezTo>
                <a:cubicBezTo>
                  <a:pt x="5300082" y="1275151"/>
                  <a:pt x="5315461" y="1259560"/>
                  <a:pt x="5315461" y="1240331"/>
                </a:cubicBezTo>
                <a:cubicBezTo>
                  <a:pt x="5315461" y="1221102"/>
                  <a:pt x="5300082" y="1205511"/>
                  <a:pt x="5281115" y="1205511"/>
                </a:cubicBezTo>
                <a:close/>
                <a:moveTo>
                  <a:pt x="5364856" y="1205511"/>
                </a:moveTo>
                <a:cubicBezTo>
                  <a:pt x="5345889" y="1205511"/>
                  <a:pt x="5330509" y="1221102"/>
                  <a:pt x="5330509" y="1240331"/>
                </a:cubicBezTo>
                <a:cubicBezTo>
                  <a:pt x="5330509" y="1259560"/>
                  <a:pt x="5345889" y="1275151"/>
                  <a:pt x="5364856" y="1275151"/>
                </a:cubicBezTo>
                <a:cubicBezTo>
                  <a:pt x="5383823" y="1275151"/>
                  <a:pt x="5399203" y="1259560"/>
                  <a:pt x="5399203" y="1240331"/>
                </a:cubicBezTo>
                <a:cubicBezTo>
                  <a:pt x="5399203" y="1221102"/>
                  <a:pt x="5383823" y="1205511"/>
                  <a:pt x="5364856" y="1205511"/>
                </a:cubicBezTo>
                <a:close/>
                <a:moveTo>
                  <a:pt x="7123456" y="1205511"/>
                </a:moveTo>
                <a:cubicBezTo>
                  <a:pt x="7104489" y="1205511"/>
                  <a:pt x="7089103" y="1221102"/>
                  <a:pt x="7089103" y="1240331"/>
                </a:cubicBezTo>
                <a:cubicBezTo>
                  <a:pt x="7089103" y="1259560"/>
                  <a:pt x="7104489" y="1275151"/>
                  <a:pt x="7123456" y="1275151"/>
                </a:cubicBezTo>
                <a:cubicBezTo>
                  <a:pt x="7142423" y="1275151"/>
                  <a:pt x="7157796" y="1259560"/>
                  <a:pt x="7157796" y="1240331"/>
                </a:cubicBezTo>
                <a:cubicBezTo>
                  <a:pt x="7157796" y="1221102"/>
                  <a:pt x="7142423" y="1205511"/>
                  <a:pt x="7123456" y="1205511"/>
                </a:cubicBezTo>
                <a:close/>
                <a:moveTo>
                  <a:pt x="7458423" y="1205511"/>
                </a:moveTo>
                <a:cubicBezTo>
                  <a:pt x="7439456" y="1205511"/>
                  <a:pt x="7424070" y="1221102"/>
                  <a:pt x="7424070" y="1240331"/>
                </a:cubicBezTo>
                <a:cubicBezTo>
                  <a:pt x="7424070" y="1259560"/>
                  <a:pt x="7439456" y="1275151"/>
                  <a:pt x="7458423" y="1275151"/>
                </a:cubicBezTo>
                <a:cubicBezTo>
                  <a:pt x="7477390" y="1275151"/>
                  <a:pt x="7492763" y="1259560"/>
                  <a:pt x="7492763" y="1240331"/>
                </a:cubicBezTo>
                <a:cubicBezTo>
                  <a:pt x="7492763" y="1221102"/>
                  <a:pt x="7477390" y="1205511"/>
                  <a:pt x="7458423" y="1205511"/>
                </a:cubicBezTo>
                <a:close/>
                <a:moveTo>
                  <a:pt x="7793389" y="1205511"/>
                </a:moveTo>
                <a:cubicBezTo>
                  <a:pt x="7774422" y="1205511"/>
                  <a:pt x="7759036" y="1221102"/>
                  <a:pt x="7759036" y="1240331"/>
                </a:cubicBezTo>
                <a:cubicBezTo>
                  <a:pt x="7759036" y="1259560"/>
                  <a:pt x="7774422" y="1275151"/>
                  <a:pt x="7793389" y="1275151"/>
                </a:cubicBezTo>
                <a:cubicBezTo>
                  <a:pt x="7812356" y="1275151"/>
                  <a:pt x="7827729" y="1259560"/>
                  <a:pt x="7827729" y="1240331"/>
                </a:cubicBezTo>
                <a:cubicBezTo>
                  <a:pt x="7827729" y="1221102"/>
                  <a:pt x="7812356" y="1205511"/>
                  <a:pt x="7793389" y="1205511"/>
                </a:cubicBezTo>
                <a:close/>
                <a:moveTo>
                  <a:pt x="7877131" y="1205511"/>
                </a:moveTo>
                <a:cubicBezTo>
                  <a:pt x="7858164" y="1205511"/>
                  <a:pt x="7842778" y="1221102"/>
                  <a:pt x="7842778" y="1240331"/>
                </a:cubicBezTo>
                <a:cubicBezTo>
                  <a:pt x="7842778" y="1259560"/>
                  <a:pt x="7858164" y="1275151"/>
                  <a:pt x="7877131" y="1275151"/>
                </a:cubicBezTo>
                <a:cubicBezTo>
                  <a:pt x="7896098" y="1275151"/>
                  <a:pt x="7911471" y="1259560"/>
                  <a:pt x="7911471" y="1240331"/>
                </a:cubicBezTo>
                <a:cubicBezTo>
                  <a:pt x="7911471" y="1221102"/>
                  <a:pt x="7896098" y="1205511"/>
                  <a:pt x="7877131" y="1205511"/>
                </a:cubicBezTo>
                <a:close/>
                <a:moveTo>
                  <a:pt x="7960872" y="1205511"/>
                </a:moveTo>
                <a:cubicBezTo>
                  <a:pt x="7941905" y="1205511"/>
                  <a:pt x="7926519" y="1221102"/>
                  <a:pt x="7926519" y="1240331"/>
                </a:cubicBezTo>
                <a:cubicBezTo>
                  <a:pt x="7926519" y="1259560"/>
                  <a:pt x="7941905" y="1275151"/>
                  <a:pt x="7960872" y="1275151"/>
                </a:cubicBezTo>
                <a:cubicBezTo>
                  <a:pt x="7979839" y="1275151"/>
                  <a:pt x="7995212" y="1259560"/>
                  <a:pt x="7995212" y="1240331"/>
                </a:cubicBezTo>
                <a:cubicBezTo>
                  <a:pt x="7995212" y="1221102"/>
                  <a:pt x="7979839" y="1205511"/>
                  <a:pt x="7960872" y="1205511"/>
                </a:cubicBezTo>
                <a:close/>
                <a:moveTo>
                  <a:pt x="8044614" y="1205511"/>
                </a:moveTo>
                <a:cubicBezTo>
                  <a:pt x="8025647" y="1205511"/>
                  <a:pt x="8010261" y="1221102"/>
                  <a:pt x="8010261" y="1240331"/>
                </a:cubicBezTo>
                <a:cubicBezTo>
                  <a:pt x="8010261" y="1259560"/>
                  <a:pt x="8025647" y="1275151"/>
                  <a:pt x="8044614" y="1275151"/>
                </a:cubicBezTo>
                <a:cubicBezTo>
                  <a:pt x="8063581" y="1275151"/>
                  <a:pt x="8078955" y="1259560"/>
                  <a:pt x="8078955" y="1240331"/>
                </a:cubicBezTo>
                <a:cubicBezTo>
                  <a:pt x="8078955" y="1221102"/>
                  <a:pt x="8063581" y="1205511"/>
                  <a:pt x="8044614" y="1205511"/>
                </a:cubicBezTo>
                <a:close/>
                <a:moveTo>
                  <a:pt x="8128356" y="1205511"/>
                </a:moveTo>
                <a:cubicBezTo>
                  <a:pt x="8109389" y="1205511"/>
                  <a:pt x="8094003" y="1221102"/>
                  <a:pt x="8094003" y="1240331"/>
                </a:cubicBezTo>
                <a:cubicBezTo>
                  <a:pt x="8094003" y="1259560"/>
                  <a:pt x="8109389" y="1275151"/>
                  <a:pt x="8128356" y="1275151"/>
                </a:cubicBezTo>
                <a:cubicBezTo>
                  <a:pt x="8147323" y="1275151"/>
                  <a:pt x="8162696" y="1259560"/>
                  <a:pt x="8162696" y="1240331"/>
                </a:cubicBezTo>
                <a:cubicBezTo>
                  <a:pt x="8162696" y="1221102"/>
                  <a:pt x="8147323" y="1205511"/>
                  <a:pt x="8128356" y="1205511"/>
                </a:cubicBezTo>
                <a:close/>
                <a:moveTo>
                  <a:pt x="8212097" y="1205511"/>
                </a:moveTo>
                <a:cubicBezTo>
                  <a:pt x="8193130" y="1205511"/>
                  <a:pt x="8177744" y="1221102"/>
                  <a:pt x="8177744" y="1240331"/>
                </a:cubicBezTo>
                <a:cubicBezTo>
                  <a:pt x="8177744" y="1259560"/>
                  <a:pt x="8193130" y="1275151"/>
                  <a:pt x="8212097" y="1275151"/>
                </a:cubicBezTo>
                <a:cubicBezTo>
                  <a:pt x="8231064" y="1275151"/>
                  <a:pt x="8246437" y="1259560"/>
                  <a:pt x="8246437" y="1240331"/>
                </a:cubicBezTo>
                <a:cubicBezTo>
                  <a:pt x="8246437" y="1221102"/>
                  <a:pt x="8231064" y="1205511"/>
                  <a:pt x="8212097" y="1205511"/>
                </a:cubicBezTo>
                <a:close/>
                <a:moveTo>
                  <a:pt x="8295839" y="1205511"/>
                </a:moveTo>
                <a:cubicBezTo>
                  <a:pt x="8276872" y="1205511"/>
                  <a:pt x="8261486" y="1221102"/>
                  <a:pt x="8261486" y="1240331"/>
                </a:cubicBezTo>
                <a:cubicBezTo>
                  <a:pt x="8261486" y="1259560"/>
                  <a:pt x="8276872" y="1275151"/>
                  <a:pt x="8295839" y="1275151"/>
                </a:cubicBezTo>
                <a:cubicBezTo>
                  <a:pt x="8314806" y="1275151"/>
                  <a:pt x="8330179" y="1259560"/>
                  <a:pt x="8330179" y="1240331"/>
                </a:cubicBezTo>
                <a:cubicBezTo>
                  <a:pt x="8330179" y="1221102"/>
                  <a:pt x="8314806" y="1205511"/>
                  <a:pt x="8295839" y="1205511"/>
                </a:cubicBezTo>
                <a:close/>
                <a:moveTo>
                  <a:pt x="8379580" y="1205511"/>
                </a:moveTo>
                <a:cubicBezTo>
                  <a:pt x="8360613" y="1205511"/>
                  <a:pt x="8345227" y="1221102"/>
                  <a:pt x="8345227" y="1240331"/>
                </a:cubicBezTo>
                <a:cubicBezTo>
                  <a:pt x="8345227" y="1259560"/>
                  <a:pt x="8360613" y="1275151"/>
                  <a:pt x="8379580" y="1275151"/>
                </a:cubicBezTo>
                <a:cubicBezTo>
                  <a:pt x="8398547" y="1275151"/>
                  <a:pt x="8413921" y="1259560"/>
                  <a:pt x="8413921" y="1240331"/>
                </a:cubicBezTo>
                <a:cubicBezTo>
                  <a:pt x="8413921" y="1221102"/>
                  <a:pt x="8398547" y="1205511"/>
                  <a:pt x="8379580" y="1205511"/>
                </a:cubicBezTo>
                <a:close/>
                <a:moveTo>
                  <a:pt x="8463323" y="1205511"/>
                </a:moveTo>
                <a:cubicBezTo>
                  <a:pt x="8444356" y="1205511"/>
                  <a:pt x="8428970" y="1221102"/>
                  <a:pt x="8428970" y="1240331"/>
                </a:cubicBezTo>
                <a:cubicBezTo>
                  <a:pt x="8428970" y="1259560"/>
                  <a:pt x="8444356" y="1275151"/>
                  <a:pt x="8463323" y="1275151"/>
                </a:cubicBezTo>
                <a:cubicBezTo>
                  <a:pt x="8482290" y="1275151"/>
                  <a:pt x="8497663" y="1259560"/>
                  <a:pt x="8497663" y="1240331"/>
                </a:cubicBezTo>
                <a:cubicBezTo>
                  <a:pt x="8497663" y="1221102"/>
                  <a:pt x="8482290" y="1205511"/>
                  <a:pt x="8463323" y="1205511"/>
                </a:cubicBezTo>
                <a:close/>
                <a:moveTo>
                  <a:pt x="8547064" y="1205511"/>
                </a:moveTo>
                <a:cubicBezTo>
                  <a:pt x="8528097" y="1205511"/>
                  <a:pt x="8512711" y="1221102"/>
                  <a:pt x="8512711" y="1240331"/>
                </a:cubicBezTo>
                <a:cubicBezTo>
                  <a:pt x="8512711" y="1259560"/>
                  <a:pt x="8528097" y="1275151"/>
                  <a:pt x="8547064" y="1275151"/>
                </a:cubicBezTo>
                <a:cubicBezTo>
                  <a:pt x="8566031" y="1275151"/>
                  <a:pt x="8581404" y="1259560"/>
                  <a:pt x="8581404" y="1240331"/>
                </a:cubicBezTo>
                <a:cubicBezTo>
                  <a:pt x="8581404" y="1221102"/>
                  <a:pt x="8566031" y="1205511"/>
                  <a:pt x="8547064" y="1205511"/>
                </a:cubicBezTo>
                <a:close/>
                <a:moveTo>
                  <a:pt x="8630805" y="1205511"/>
                </a:moveTo>
                <a:cubicBezTo>
                  <a:pt x="8611838" y="1205511"/>
                  <a:pt x="8596452" y="1221102"/>
                  <a:pt x="8596452" y="1240331"/>
                </a:cubicBezTo>
                <a:cubicBezTo>
                  <a:pt x="8596452" y="1259560"/>
                  <a:pt x="8611838" y="1275151"/>
                  <a:pt x="8630805" y="1275151"/>
                </a:cubicBezTo>
                <a:cubicBezTo>
                  <a:pt x="8649772" y="1275151"/>
                  <a:pt x="8665145" y="1259560"/>
                  <a:pt x="8665145" y="1240331"/>
                </a:cubicBezTo>
                <a:cubicBezTo>
                  <a:pt x="8665145" y="1221102"/>
                  <a:pt x="8649772" y="1205511"/>
                  <a:pt x="8630805" y="1205511"/>
                </a:cubicBezTo>
                <a:close/>
                <a:moveTo>
                  <a:pt x="8714547" y="1205511"/>
                </a:moveTo>
                <a:cubicBezTo>
                  <a:pt x="8695580" y="1205511"/>
                  <a:pt x="8680194" y="1221102"/>
                  <a:pt x="8680194" y="1240331"/>
                </a:cubicBezTo>
                <a:cubicBezTo>
                  <a:pt x="8680194" y="1259560"/>
                  <a:pt x="8695580" y="1275151"/>
                  <a:pt x="8714547" y="1275151"/>
                </a:cubicBezTo>
                <a:cubicBezTo>
                  <a:pt x="8733514" y="1275151"/>
                  <a:pt x="8748888" y="1259560"/>
                  <a:pt x="8748888" y="1240331"/>
                </a:cubicBezTo>
                <a:cubicBezTo>
                  <a:pt x="8748888" y="1221102"/>
                  <a:pt x="8733514" y="1205511"/>
                  <a:pt x="8714547" y="1205511"/>
                </a:cubicBezTo>
                <a:close/>
                <a:moveTo>
                  <a:pt x="8798289" y="1205511"/>
                </a:moveTo>
                <a:cubicBezTo>
                  <a:pt x="8779322" y="1205511"/>
                  <a:pt x="8763936" y="1221102"/>
                  <a:pt x="8763936" y="1240331"/>
                </a:cubicBezTo>
                <a:cubicBezTo>
                  <a:pt x="8763936" y="1259560"/>
                  <a:pt x="8779322" y="1275151"/>
                  <a:pt x="8798289" y="1275151"/>
                </a:cubicBezTo>
                <a:cubicBezTo>
                  <a:pt x="8817256" y="1275151"/>
                  <a:pt x="8832629" y="1259560"/>
                  <a:pt x="8832629" y="1240331"/>
                </a:cubicBezTo>
                <a:cubicBezTo>
                  <a:pt x="8832629" y="1221102"/>
                  <a:pt x="8817256" y="1205511"/>
                  <a:pt x="8798289" y="1205511"/>
                </a:cubicBezTo>
                <a:close/>
                <a:moveTo>
                  <a:pt x="8882030" y="1205511"/>
                </a:moveTo>
                <a:cubicBezTo>
                  <a:pt x="8863063" y="1205511"/>
                  <a:pt x="8847677" y="1221102"/>
                  <a:pt x="8847677" y="1240331"/>
                </a:cubicBezTo>
                <a:cubicBezTo>
                  <a:pt x="8847677" y="1259560"/>
                  <a:pt x="8863063" y="1275151"/>
                  <a:pt x="8882030" y="1275151"/>
                </a:cubicBezTo>
                <a:cubicBezTo>
                  <a:pt x="8900997" y="1275151"/>
                  <a:pt x="8916370" y="1259560"/>
                  <a:pt x="8916370" y="1240331"/>
                </a:cubicBezTo>
                <a:cubicBezTo>
                  <a:pt x="8916370" y="1221102"/>
                  <a:pt x="8900997" y="1205511"/>
                  <a:pt x="8882030" y="1205511"/>
                </a:cubicBezTo>
                <a:close/>
                <a:moveTo>
                  <a:pt x="8965772" y="1205511"/>
                </a:moveTo>
                <a:cubicBezTo>
                  <a:pt x="8946805" y="1205511"/>
                  <a:pt x="8931419" y="1221102"/>
                  <a:pt x="8931419" y="1240331"/>
                </a:cubicBezTo>
                <a:cubicBezTo>
                  <a:pt x="8931419" y="1259560"/>
                  <a:pt x="8946805" y="1275151"/>
                  <a:pt x="8965772" y="1275151"/>
                </a:cubicBezTo>
                <a:cubicBezTo>
                  <a:pt x="8984739" y="1275151"/>
                  <a:pt x="9000112" y="1259560"/>
                  <a:pt x="9000112" y="1240331"/>
                </a:cubicBezTo>
                <a:cubicBezTo>
                  <a:pt x="9000112" y="1221102"/>
                  <a:pt x="8984739" y="1205511"/>
                  <a:pt x="8965772" y="1205511"/>
                </a:cubicBezTo>
                <a:close/>
                <a:moveTo>
                  <a:pt x="9049513" y="1205511"/>
                </a:moveTo>
                <a:cubicBezTo>
                  <a:pt x="9030546" y="1205511"/>
                  <a:pt x="9015160" y="1221102"/>
                  <a:pt x="9015160" y="1240331"/>
                </a:cubicBezTo>
                <a:cubicBezTo>
                  <a:pt x="9015160" y="1259560"/>
                  <a:pt x="9030546" y="1275151"/>
                  <a:pt x="9049513" y="1275151"/>
                </a:cubicBezTo>
                <a:cubicBezTo>
                  <a:pt x="9068480" y="1275151"/>
                  <a:pt x="9083854" y="1259560"/>
                  <a:pt x="9083854" y="1240331"/>
                </a:cubicBezTo>
                <a:cubicBezTo>
                  <a:pt x="9083854" y="1221102"/>
                  <a:pt x="9068480" y="1205511"/>
                  <a:pt x="9049513" y="1205511"/>
                </a:cubicBezTo>
                <a:close/>
                <a:moveTo>
                  <a:pt x="9133256" y="1205511"/>
                </a:moveTo>
                <a:cubicBezTo>
                  <a:pt x="9114289" y="1205511"/>
                  <a:pt x="9098903" y="1221102"/>
                  <a:pt x="9098903" y="1240331"/>
                </a:cubicBezTo>
                <a:cubicBezTo>
                  <a:pt x="9098903" y="1259560"/>
                  <a:pt x="9114289" y="1275151"/>
                  <a:pt x="9133256" y="1275151"/>
                </a:cubicBezTo>
                <a:cubicBezTo>
                  <a:pt x="9152223" y="1275151"/>
                  <a:pt x="9167596" y="1259560"/>
                  <a:pt x="9167596" y="1240331"/>
                </a:cubicBezTo>
                <a:cubicBezTo>
                  <a:pt x="9167596" y="1221102"/>
                  <a:pt x="9152223" y="1205511"/>
                  <a:pt x="9133256" y="1205511"/>
                </a:cubicBezTo>
                <a:close/>
                <a:moveTo>
                  <a:pt x="9216997" y="1205511"/>
                </a:moveTo>
                <a:cubicBezTo>
                  <a:pt x="9198030" y="1205511"/>
                  <a:pt x="9182644" y="1221102"/>
                  <a:pt x="9182644" y="1240331"/>
                </a:cubicBezTo>
                <a:cubicBezTo>
                  <a:pt x="9182644" y="1259560"/>
                  <a:pt x="9198030" y="1275151"/>
                  <a:pt x="9216997" y="1275151"/>
                </a:cubicBezTo>
                <a:cubicBezTo>
                  <a:pt x="9235964" y="1275151"/>
                  <a:pt x="9251337" y="1259560"/>
                  <a:pt x="9251337" y="1240331"/>
                </a:cubicBezTo>
                <a:cubicBezTo>
                  <a:pt x="9251337" y="1221102"/>
                  <a:pt x="9235964" y="1205511"/>
                  <a:pt x="9216997" y="1205511"/>
                </a:cubicBezTo>
                <a:close/>
                <a:moveTo>
                  <a:pt x="9300738" y="1205511"/>
                </a:moveTo>
                <a:cubicBezTo>
                  <a:pt x="9281771" y="1205511"/>
                  <a:pt x="9266385" y="1221102"/>
                  <a:pt x="9266385" y="1240331"/>
                </a:cubicBezTo>
                <a:cubicBezTo>
                  <a:pt x="9266385" y="1259560"/>
                  <a:pt x="9281771" y="1275151"/>
                  <a:pt x="9300738" y="1275151"/>
                </a:cubicBezTo>
                <a:cubicBezTo>
                  <a:pt x="9319705" y="1275151"/>
                  <a:pt x="9335078" y="1259560"/>
                  <a:pt x="9335078" y="1240331"/>
                </a:cubicBezTo>
                <a:cubicBezTo>
                  <a:pt x="9335078" y="1221102"/>
                  <a:pt x="9319705" y="1205511"/>
                  <a:pt x="9300738" y="1205511"/>
                </a:cubicBezTo>
                <a:close/>
                <a:moveTo>
                  <a:pt x="9384480" y="1205511"/>
                </a:moveTo>
                <a:cubicBezTo>
                  <a:pt x="9365513" y="1205511"/>
                  <a:pt x="9350127" y="1221102"/>
                  <a:pt x="9350127" y="1240331"/>
                </a:cubicBezTo>
                <a:cubicBezTo>
                  <a:pt x="9350127" y="1259560"/>
                  <a:pt x="9365513" y="1275151"/>
                  <a:pt x="9384480" y="1275151"/>
                </a:cubicBezTo>
                <a:cubicBezTo>
                  <a:pt x="9403447" y="1275151"/>
                  <a:pt x="9418821" y="1259560"/>
                  <a:pt x="9418821" y="1240331"/>
                </a:cubicBezTo>
                <a:cubicBezTo>
                  <a:pt x="9418821" y="1221102"/>
                  <a:pt x="9403447" y="1205511"/>
                  <a:pt x="9384480" y="1205511"/>
                </a:cubicBezTo>
                <a:close/>
                <a:moveTo>
                  <a:pt x="9468222" y="1205511"/>
                </a:moveTo>
                <a:cubicBezTo>
                  <a:pt x="9449255" y="1205511"/>
                  <a:pt x="9433869" y="1221102"/>
                  <a:pt x="9433869" y="1240331"/>
                </a:cubicBezTo>
                <a:cubicBezTo>
                  <a:pt x="9433869" y="1259560"/>
                  <a:pt x="9449255" y="1275151"/>
                  <a:pt x="9468222" y="1275151"/>
                </a:cubicBezTo>
                <a:cubicBezTo>
                  <a:pt x="9487189" y="1275151"/>
                  <a:pt x="9502562" y="1259560"/>
                  <a:pt x="9502562" y="1240331"/>
                </a:cubicBezTo>
                <a:cubicBezTo>
                  <a:pt x="9502562" y="1221102"/>
                  <a:pt x="9487189" y="1205511"/>
                  <a:pt x="9468222" y="1205511"/>
                </a:cubicBezTo>
                <a:close/>
                <a:moveTo>
                  <a:pt x="9551963" y="1205511"/>
                </a:moveTo>
                <a:cubicBezTo>
                  <a:pt x="9532996" y="1205511"/>
                  <a:pt x="9517610" y="1221102"/>
                  <a:pt x="9517610" y="1240331"/>
                </a:cubicBezTo>
                <a:cubicBezTo>
                  <a:pt x="9517610" y="1259560"/>
                  <a:pt x="9532996" y="1275151"/>
                  <a:pt x="9551963" y="1275151"/>
                </a:cubicBezTo>
                <a:cubicBezTo>
                  <a:pt x="9570930" y="1275151"/>
                  <a:pt x="9586303" y="1259560"/>
                  <a:pt x="9586303" y="1240331"/>
                </a:cubicBezTo>
                <a:cubicBezTo>
                  <a:pt x="9586303" y="1221102"/>
                  <a:pt x="9570930" y="1205511"/>
                  <a:pt x="9551963" y="1205511"/>
                </a:cubicBezTo>
                <a:close/>
                <a:moveTo>
                  <a:pt x="9635705" y="1205511"/>
                </a:moveTo>
                <a:cubicBezTo>
                  <a:pt x="9616738" y="1205511"/>
                  <a:pt x="9601352" y="1221102"/>
                  <a:pt x="9601352" y="1240331"/>
                </a:cubicBezTo>
                <a:cubicBezTo>
                  <a:pt x="9601352" y="1259560"/>
                  <a:pt x="9616738" y="1275151"/>
                  <a:pt x="9635705" y="1275151"/>
                </a:cubicBezTo>
                <a:cubicBezTo>
                  <a:pt x="9654672" y="1275151"/>
                  <a:pt x="9670045" y="1259560"/>
                  <a:pt x="9670045" y="1240331"/>
                </a:cubicBezTo>
                <a:cubicBezTo>
                  <a:pt x="9670045" y="1221102"/>
                  <a:pt x="9654672" y="1205511"/>
                  <a:pt x="9635705" y="1205511"/>
                </a:cubicBezTo>
                <a:close/>
                <a:moveTo>
                  <a:pt x="9719446" y="1205511"/>
                </a:moveTo>
                <a:cubicBezTo>
                  <a:pt x="9700479" y="1205511"/>
                  <a:pt x="9685093" y="1221102"/>
                  <a:pt x="9685093" y="1240331"/>
                </a:cubicBezTo>
                <a:cubicBezTo>
                  <a:pt x="9685093" y="1259560"/>
                  <a:pt x="9700479" y="1275151"/>
                  <a:pt x="9719446" y="1275151"/>
                </a:cubicBezTo>
                <a:cubicBezTo>
                  <a:pt x="9738413" y="1275151"/>
                  <a:pt x="9753787" y="1259560"/>
                  <a:pt x="9753787" y="1240331"/>
                </a:cubicBezTo>
                <a:cubicBezTo>
                  <a:pt x="9753787" y="1221102"/>
                  <a:pt x="9738413" y="1205511"/>
                  <a:pt x="9719446" y="1205511"/>
                </a:cubicBezTo>
                <a:close/>
                <a:moveTo>
                  <a:pt x="9803189" y="1205511"/>
                </a:moveTo>
                <a:cubicBezTo>
                  <a:pt x="9784222" y="1205511"/>
                  <a:pt x="9768836" y="1221102"/>
                  <a:pt x="9768836" y="1240331"/>
                </a:cubicBezTo>
                <a:cubicBezTo>
                  <a:pt x="9768836" y="1259560"/>
                  <a:pt x="9784222" y="1275151"/>
                  <a:pt x="9803189" y="1275151"/>
                </a:cubicBezTo>
                <a:cubicBezTo>
                  <a:pt x="9822156" y="1275151"/>
                  <a:pt x="9837529" y="1259560"/>
                  <a:pt x="9837529" y="1240331"/>
                </a:cubicBezTo>
                <a:cubicBezTo>
                  <a:pt x="9837529" y="1221102"/>
                  <a:pt x="9822156" y="1205511"/>
                  <a:pt x="9803189" y="1205511"/>
                </a:cubicBezTo>
                <a:close/>
                <a:moveTo>
                  <a:pt x="9886930" y="1205511"/>
                </a:moveTo>
                <a:cubicBezTo>
                  <a:pt x="9867963" y="1205511"/>
                  <a:pt x="9852577" y="1221102"/>
                  <a:pt x="9852577" y="1240331"/>
                </a:cubicBezTo>
                <a:cubicBezTo>
                  <a:pt x="9852577" y="1259560"/>
                  <a:pt x="9867963" y="1275151"/>
                  <a:pt x="9886930" y="1275151"/>
                </a:cubicBezTo>
                <a:cubicBezTo>
                  <a:pt x="9905897" y="1275151"/>
                  <a:pt x="9921270" y="1259560"/>
                  <a:pt x="9921270" y="1240331"/>
                </a:cubicBezTo>
                <a:cubicBezTo>
                  <a:pt x="9921270" y="1221102"/>
                  <a:pt x="9905897" y="1205511"/>
                  <a:pt x="9886930" y="1205511"/>
                </a:cubicBezTo>
                <a:close/>
                <a:moveTo>
                  <a:pt x="9970671" y="1205511"/>
                </a:moveTo>
                <a:cubicBezTo>
                  <a:pt x="9951704" y="1205511"/>
                  <a:pt x="9936318" y="1221102"/>
                  <a:pt x="9936318" y="1240331"/>
                </a:cubicBezTo>
                <a:cubicBezTo>
                  <a:pt x="9936318" y="1259560"/>
                  <a:pt x="9951704" y="1275151"/>
                  <a:pt x="9970671" y="1275151"/>
                </a:cubicBezTo>
                <a:cubicBezTo>
                  <a:pt x="9989638" y="1275151"/>
                  <a:pt x="10005011" y="1259560"/>
                  <a:pt x="10005011" y="1240331"/>
                </a:cubicBezTo>
                <a:cubicBezTo>
                  <a:pt x="10005011" y="1221102"/>
                  <a:pt x="9989638" y="1205511"/>
                  <a:pt x="9970671" y="1205511"/>
                </a:cubicBezTo>
                <a:close/>
                <a:moveTo>
                  <a:pt x="10054413" y="1205511"/>
                </a:moveTo>
                <a:cubicBezTo>
                  <a:pt x="10035446" y="1205511"/>
                  <a:pt x="10020060" y="1221102"/>
                  <a:pt x="10020060" y="1240331"/>
                </a:cubicBezTo>
                <a:cubicBezTo>
                  <a:pt x="10020060" y="1259560"/>
                  <a:pt x="10035446" y="1275151"/>
                  <a:pt x="10054413" y="1275151"/>
                </a:cubicBezTo>
                <a:cubicBezTo>
                  <a:pt x="10073380" y="1275151"/>
                  <a:pt x="10088754" y="1259560"/>
                  <a:pt x="10088754" y="1240331"/>
                </a:cubicBezTo>
                <a:cubicBezTo>
                  <a:pt x="10088754" y="1221102"/>
                  <a:pt x="10073380" y="1205511"/>
                  <a:pt x="10054413" y="1205511"/>
                </a:cubicBezTo>
                <a:close/>
                <a:moveTo>
                  <a:pt x="10138155" y="1205511"/>
                </a:moveTo>
                <a:cubicBezTo>
                  <a:pt x="10119188" y="1205511"/>
                  <a:pt x="10103802" y="1221102"/>
                  <a:pt x="10103802" y="1240331"/>
                </a:cubicBezTo>
                <a:cubicBezTo>
                  <a:pt x="10103802" y="1259560"/>
                  <a:pt x="10119188" y="1275151"/>
                  <a:pt x="10138155" y="1275151"/>
                </a:cubicBezTo>
                <a:cubicBezTo>
                  <a:pt x="10157122" y="1275151"/>
                  <a:pt x="10172495" y="1259560"/>
                  <a:pt x="10172495" y="1240331"/>
                </a:cubicBezTo>
                <a:cubicBezTo>
                  <a:pt x="10172495" y="1221102"/>
                  <a:pt x="10157122" y="1205511"/>
                  <a:pt x="10138155" y="1205511"/>
                </a:cubicBezTo>
                <a:close/>
                <a:moveTo>
                  <a:pt x="10221896" y="1205511"/>
                </a:moveTo>
                <a:cubicBezTo>
                  <a:pt x="10202929" y="1205511"/>
                  <a:pt x="10187543" y="1221102"/>
                  <a:pt x="10187543" y="1240331"/>
                </a:cubicBezTo>
                <a:cubicBezTo>
                  <a:pt x="10187543" y="1259560"/>
                  <a:pt x="10202929" y="1275151"/>
                  <a:pt x="10221896" y="1275151"/>
                </a:cubicBezTo>
                <a:cubicBezTo>
                  <a:pt x="10240863" y="1275151"/>
                  <a:pt x="10256236" y="1259560"/>
                  <a:pt x="10256236" y="1240331"/>
                </a:cubicBezTo>
                <a:cubicBezTo>
                  <a:pt x="10256236" y="1221102"/>
                  <a:pt x="10240863" y="1205511"/>
                  <a:pt x="10221896" y="1205511"/>
                </a:cubicBezTo>
                <a:close/>
                <a:moveTo>
                  <a:pt x="10305638" y="1205511"/>
                </a:moveTo>
                <a:cubicBezTo>
                  <a:pt x="10286671" y="1205511"/>
                  <a:pt x="10271285" y="1221102"/>
                  <a:pt x="10271285" y="1240331"/>
                </a:cubicBezTo>
                <a:cubicBezTo>
                  <a:pt x="10271285" y="1259560"/>
                  <a:pt x="10286671" y="1275151"/>
                  <a:pt x="10305638" y="1275151"/>
                </a:cubicBezTo>
                <a:cubicBezTo>
                  <a:pt x="10324605" y="1275151"/>
                  <a:pt x="10339978" y="1259560"/>
                  <a:pt x="10339978" y="1240331"/>
                </a:cubicBezTo>
                <a:cubicBezTo>
                  <a:pt x="10339978" y="1221102"/>
                  <a:pt x="10324605" y="1205511"/>
                  <a:pt x="10305638" y="1205511"/>
                </a:cubicBezTo>
                <a:close/>
                <a:moveTo>
                  <a:pt x="10389379" y="1205511"/>
                </a:moveTo>
                <a:cubicBezTo>
                  <a:pt x="10370412" y="1205511"/>
                  <a:pt x="10355026" y="1221102"/>
                  <a:pt x="10355026" y="1240331"/>
                </a:cubicBezTo>
                <a:cubicBezTo>
                  <a:pt x="10355026" y="1259560"/>
                  <a:pt x="10370412" y="1275151"/>
                  <a:pt x="10389379" y="1275151"/>
                </a:cubicBezTo>
                <a:cubicBezTo>
                  <a:pt x="10408346" y="1275151"/>
                  <a:pt x="10423720" y="1259560"/>
                  <a:pt x="10423720" y="1240331"/>
                </a:cubicBezTo>
                <a:cubicBezTo>
                  <a:pt x="10423720" y="1221102"/>
                  <a:pt x="10408346" y="1205511"/>
                  <a:pt x="10389379" y="1205511"/>
                </a:cubicBezTo>
                <a:close/>
                <a:moveTo>
                  <a:pt x="10473122" y="1205511"/>
                </a:moveTo>
                <a:cubicBezTo>
                  <a:pt x="10454155" y="1205511"/>
                  <a:pt x="10438769" y="1221102"/>
                  <a:pt x="10438769" y="1240331"/>
                </a:cubicBezTo>
                <a:cubicBezTo>
                  <a:pt x="10438769" y="1259560"/>
                  <a:pt x="10454155" y="1275151"/>
                  <a:pt x="10473122" y="1275151"/>
                </a:cubicBezTo>
                <a:cubicBezTo>
                  <a:pt x="10492089" y="1275151"/>
                  <a:pt x="10507462" y="1259560"/>
                  <a:pt x="10507462" y="1240331"/>
                </a:cubicBezTo>
                <a:cubicBezTo>
                  <a:pt x="10507462" y="1221102"/>
                  <a:pt x="10492089" y="1205511"/>
                  <a:pt x="10473122" y="1205511"/>
                </a:cubicBezTo>
                <a:close/>
                <a:moveTo>
                  <a:pt x="1428993" y="1290374"/>
                </a:moveTo>
                <a:cubicBezTo>
                  <a:pt x="1410026" y="1290374"/>
                  <a:pt x="1394646" y="1305966"/>
                  <a:pt x="1394646" y="1325195"/>
                </a:cubicBezTo>
                <a:cubicBezTo>
                  <a:pt x="1394646" y="1344423"/>
                  <a:pt x="1410026" y="1360015"/>
                  <a:pt x="1428993" y="1360015"/>
                </a:cubicBezTo>
                <a:cubicBezTo>
                  <a:pt x="1447960" y="1360015"/>
                  <a:pt x="1463340" y="1344423"/>
                  <a:pt x="1463340" y="1325195"/>
                </a:cubicBezTo>
                <a:cubicBezTo>
                  <a:pt x="1463340" y="1305966"/>
                  <a:pt x="1447960" y="1290374"/>
                  <a:pt x="1428993" y="1290374"/>
                </a:cubicBezTo>
                <a:close/>
                <a:moveTo>
                  <a:pt x="1763966" y="1290374"/>
                </a:moveTo>
                <a:cubicBezTo>
                  <a:pt x="1744999" y="1290374"/>
                  <a:pt x="1729620" y="1305966"/>
                  <a:pt x="1729620" y="1325195"/>
                </a:cubicBezTo>
                <a:cubicBezTo>
                  <a:pt x="1729620" y="1344423"/>
                  <a:pt x="1744999" y="1360015"/>
                  <a:pt x="1763966" y="1360015"/>
                </a:cubicBezTo>
                <a:cubicBezTo>
                  <a:pt x="1782933" y="1360015"/>
                  <a:pt x="1798313" y="1344423"/>
                  <a:pt x="1798313" y="1325195"/>
                </a:cubicBezTo>
                <a:cubicBezTo>
                  <a:pt x="1798313" y="1305966"/>
                  <a:pt x="1782933" y="1290374"/>
                  <a:pt x="1763966" y="1290374"/>
                </a:cubicBezTo>
                <a:close/>
                <a:moveTo>
                  <a:pt x="1847707" y="1290374"/>
                </a:moveTo>
                <a:cubicBezTo>
                  <a:pt x="1828740" y="1290374"/>
                  <a:pt x="1813361" y="1305966"/>
                  <a:pt x="1813361" y="1325195"/>
                </a:cubicBezTo>
                <a:cubicBezTo>
                  <a:pt x="1813361" y="1344423"/>
                  <a:pt x="1828740" y="1360015"/>
                  <a:pt x="1847707" y="1360015"/>
                </a:cubicBezTo>
                <a:cubicBezTo>
                  <a:pt x="1866674" y="1360015"/>
                  <a:pt x="1882054" y="1344423"/>
                  <a:pt x="1882054" y="1325195"/>
                </a:cubicBezTo>
                <a:cubicBezTo>
                  <a:pt x="1882054" y="1305966"/>
                  <a:pt x="1866674" y="1290374"/>
                  <a:pt x="1847707" y="1290374"/>
                </a:cubicBezTo>
                <a:close/>
                <a:moveTo>
                  <a:pt x="1931450" y="1290374"/>
                </a:moveTo>
                <a:cubicBezTo>
                  <a:pt x="1912483" y="1290374"/>
                  <a:pt x="1897103" y="1305966"/>
                  <a:pt x="1897103" y="1325195"/>
                </a:cubicBezTo>
                <a:cubicBezTo>
                  <a:pt x="1897103" y="1344423"/>
                  <a:pt x="1912483" y="1360015"/>
                  <a:pt x="1931450" y="1360015"/>
                </a:cubicBezTo>
                <a:cubicBezTo>
                  <a:pt x="1950417" y="1360015"/>
                  <a:pt x="1965796" y="1344423"/>
                  <a:pt x="1965796" y="1325195"/>
                </a:cubicBezTo>
                <a:cubicBezTo>
                  <a:pt x="1965796" y="1305966"/>
                  <a:pt x="1950417" y="1290374"/>
                  <a:pt x="1931450" y="1290374"/>
                </a:cubicBezTo>
                <a:close/>
                <a:moveTo>
                  <a:pt x="2015191" y="1290374"/>
                </a:moveTo>
                <a:cubicBezTo>
                  <a:pt x="1996224" y="1290374"/>
                  <a:pt x="1980844" y="1305966"/>
                  <a:pt x="1980844" y="1325195"/>
                </a:cubicBezTo>
                <a:cubicBezTo>
                  <a:pt x="1980844" y="1344423"/>
                  <a:pt x="1996224" y="1360015"/>
                  <a:pt x="2015191" y="1360015"/>
                </a:cubicBezTo>
                <a:cubicBezTo>
                  <a:pt x="2034158" y="1360015"/>
                  <a:pt x="2049538" y="1344423"/>
                  <a:pt x="2049538" y="1325195"/>
                </a:cubicBezTo>
                <a:cubicBezTo>
                  <a:pt x="2049538" y="1305966"/>
                  <a:pt x="2034158" y="1290374"/>
                  <a:pt x="2015191" y="1290374"/>
                </a:cubicBezTo>
                <a:close/>
                <a:moveTo>
                  <a:pt x="2098932" y="1290374"/>
                </a:moveTo>
                <a:cubicBezTo>
                  <a:pt x="2079965" y="1290374"/>
                  <a:pt x="2064586" y="1305966"/>
                  <a:pt x="2064586" y="1325195"/>
                </a:cubicBezTo>
                <a:cubicBezTo>
                  <a:pt x="2064586" y="1344423"/>
                  <a:pt x="2079965" y="1360015"/>
                  <a:pt x="2098932" y="1360015"/>
                </a:cubicBezTo>
                <a:cubicBezTo>
                  <a:pt x="2117899" y="1360015"/>
                  <a:pt x="2133279" y="1344423"/>
                  <a:pt x="2133279" y="1325195"/>
                </a:cubicBezTo>
                <a:cubicBezTo>
                  <a:pt x="2133279" y="1305966"/>
                  <a:pt x="2117899" y="1290374"/>
                  <a:pt x="2098932" y="1290374"/>
                </a:cubicBezTo>
                <a:close/>
                <a:moveTo>
                  <a:pt x="2182674" y="1290374"/>
                </a:moveTo>
                <a:cubicBezTo>
                  <a:pt x="2163707" y="1290374"/>
                  <a:pt x="2148328" y="1305966"/>
                  <a:pt x="2148328" y="1325195"/>
                </a:cubicBezTo>
                <a:cubicBezTo>
                  <a:pt x="2148328" y="1344423"/>
                  <a:pt x="2163707" y="1360015"/>
                  <a:pt x="2182674" y="1360015"/>
                </a:cubicBezTo>
                <a:cubicBezTo>
                  <a:pt x="2201641" y="1360015"/>
                  <a:pt x="2217021" y="1344423"/>
                  <a:pt x="2217021" y="1325195"/>
                </a:cubicBezTo>
                <a:cubicBezTo>
                  <a:pt x="2217021" y="1305966"/>
                  <a:pt x="2201641" y="1290374"/>
                  <a:pt x="2182674" y="1290374"/>
                </a:cubicBezTo>
                <a:close/>
                <a:moveTo>
                  <a:pt x="2266416" y="1290374"/>
                </a:moveTo>
                <a:cubicBezTo>
                  <a:pt x="2247449" y="1290374"/>
                  <a:pt x="2232069" y="1305966"/>
                  <a:pt x="2232069" y="1325195"/>
                </a:cubicBezTo>
                <a:cubicBezTo>
                  <a:pt x="2232069" y="1344423"/>
                  <a:pt x="2247449" y="1360015"/>
                  <a:pt x="2266416" y="1360015"/>
                </a:cubicBezTo>
                <a:cubicBezTo>
                  <a:pt x="2285383" y="1360015"/>
                  <a:pt x="2300762" y="1344423"/>
                  <a:pt x="2300762" y="1325195"/>
                </a:cubicBezTo>
                <a:cubicBezTo>
                  <a:pt x="2300762" y="1305966"/>
                  <a:pt x="2285383" y="1290374"/>
                  <a:pt x="2266416" y="1290374"/>
                </a:cubicBezTo>
                <a:close/>
                <a:moveTo>
                  <a:pt x="2350151" y="1290374"/>
                </a:moveTo>
                <a:cubicBezTo>
                  <a:pt x="2331184" y="1290374"/>
                  <a:pt x="2315804" y="1305966"/>
                  <a:pt x="2315804" y="1325195"/>
                </a:cubicBezTo>
                <a:cubicBezTo>
                  <a:pt x="2315804" y="1344423"/>
                  <a:pt x="2331184" y="1360015"/>
                  <a:pt x="2350151" y="1360015"/>
                </a:cubicBezTo>
                <a:cubicBezTo>
                  <a:pt x="2369118" y="1360015"/>
                  <a:pt x="2384498" y="1344423"/>
                  <a:pt x="2384498" y="1325195"/>
                </a:cubicBezTo>
                <a:cubicBezTo>
                  <a:pt x="2384498" y="1305966"/>
                  <a:pt x="2369118" y="1290374"/>
                  <a:pt x="2350151" y="1290374"/>
                </a:cubicBezTo>
                <a:close/>
                <a:moveTo>
                  <a:pt x="2433893" y="1290374"/>
                </a:moveTo>
                <a:cubicBezTo>
                  <a:pt x="2414926" y="1290374"/>
                  <a:pt x="2399546" y="1305966"/>
                  <a:pt x="2399546" y="1325195"/>
                </a:cubicBezTo>
                <a:cubicBezTo>
                  <a:pt x="2399546" y="1344423"/>
                  <a:pt x="2414926" y="1360015"/>
                  <a:pt x="2433893" y="1360015"/>
                </a:cubicBezTo>
                <a:cubicBezTo>
                  <a:pt x="2452860" y="1360015"/>
                  <a:pt x="2468240" y="1344423"/>
                  <a:pt x="2468240" y="1325195"/>
                </a:cubicBezTo>
                <a:cubicBezTo>
                  <a:pt x="2468240" y="1305966"/>
                  <a:pt x="2452860" y="1290374"/>
                  <a:pt x="2433893" y="1290374"/>
                </a:cubicBezTo>
                <a:close/>
                <a:moveTo>
                  <a:pt x="2517634" y="1290374"/>
                </a:moveTo>
                <a:cubicBezTo>
                  <a:pt x="2498667" y="1290374"/>
                  <a:pt x="2483288" y="1305966"/>
                  <a:pt x="2483288" y="1325195"/>
                </a:cubicBezTo>
                <a:cubicBezTo>
                  <a:pt x="2483288" y="1344423"/>
                  <a:pt x="2498667" y="1360015"/>
                  <a:pt x="2517634" y="1360015"/>
                </a:cubicBezTo>
                <a:cubicBezTo>
                  <a:pt x="2536601" y="1360015"/>
                  <a:pt x="2551981" y="1344423"/>
                  <a:pt x="2551981" y="1325195"/>
                </a:cubicBezTo>
                <a:cubicBezTo>
                  <a:pt x="2551981" y="1305966"/>
                  <a:pt x="2536601" y="1290374"/>
                  <a:pt x="2517634" y="1290374"/>
                </a:cubicBezTo>
                <a:close/>
                <a:moveTo>
                  <a:pt x="2601376" y="1290374"/>
                </a:moveTo>
                <a:cubicBezTo>
                  <a:pt x="2582409" y="1290374"/>
                  <a:pt x="2567029" y="1305966"/>
                  <a:pt x="2567029" y="1325195"/>
                </a:cubicBezTo>
                <a:cubicBezTo>
                  <a:pt x="2567029" y="1344423"/>
                  <a:pt x="2582409" y="1360015"/>
                  <a:pt x="2601376" y="1360015"/>
                </a:cubicBezTo>
                <a:cubicBezTo>
                  <a:pt x="2620343" y="1360015"/>
                  <a:pt x="2635722" y="1344423"/>
                  <a:pt x="2635722" y="1325195"/>
                </a:cubicBezTo>
                <a:cubicBezTo>
                  <a:pt x="2635722" y="1305966"/>
                  <a:pt x="2620343" y="1290374"/>
                  <a:pt x="2601376" y="1290374"/>
                </a:cubicBezTo>
                <a:close/>
                <a:moveTo>
                  <a:pt x="2685118" y="1290374"/>
                </a:moveTo>
                <a:cubicBezTo>
                  <a:pt x="2666151" y="1290374"/>
                  <a:pt x="2650771" y="1305966"/>
                  <a:pt x="2650771" y="1325195"/>
                </a:cubicBezTo>
                <a:cubicBezTo>
                  <a:pt x="2650771" y="1344423"/>
                  <a:pt x="2666151" y="1360015"/>
                  <a:pt x="2685118" y="1360015"/>
                </a:cubicBezTo>
                <a:cubicBezTo>
                  <a:pt x="2704085" y="1360015"/>
                  <a:pt x="2719465" y="1344423"/>
                  <a:pt x="2719465" y="1325195"/>
                </a:cubicBezTo>
                <a:cubicBezTo>
                  <a:pt x="2719465" y="1305966"/>
                  <a:pt x="2704085" y="1290374"/>
                  <a:pt x="2685118" y="1290374"/>
                </a:cubicBezTo>
                <a:close/>
                <a:moveTo>
                  <a:pt x="2768859" y="1290374"/>
                </a:moveTo>
                <a:cubicBezTo>
                  <a:pt x="2749892" y="1290374"/>
                  <a:pt x="2734512" y="1305966"/>
                  <a:pt x="2734512" y="1325195"/>
                </a:cubicBezTo>
                <a:cubicBezTo>
                  <a:pt x="2734512" y="1344423"/>
                  <a:pt x="2749892" y="1360015"/>
                  <a:pt x="2768859" y="1360015"/>
                </a:cubicBezTo>
                <a:cubicBezTo>
                  <a:pt x="2787826" y="1360015"/>
                  <a:pt x="2803206" y="1344423"/>
                  <a:pt x="2803206" y="1325195"/>
                </a:cubicBezTo>
                <a:cubicBezTo>
                  <a:pt x="2803206" y="1305966"/>
                  <a:pt x="2787826" y="1290374"/>
                  <a:pt x="2768859" y="1290374"/>
                </a:cubicBezTo>
                <a:close/>
                <a:moveTo>
                  <a:pt x="2852600" y="1290374"/>
                </a:moveTo>
                <a:cubicBezTo>
                  <a:pt x="2833633" y="1290374"/>
                  <a:pt x="2818254" y="1305966"/>
                  <a:pt x="2818254" y="1325195"/>
                </a:cubicBezTo>
                <a:cubicBezTo>
                  <a:pt x="2818254" y="1344423"/>
                  <a:pt x="2833633" y="1360015"/>
                  <a:pt x="2852600" y="1360015"/>
                </a:cubicBezTo>
                <a:cubicBezTo>
                  <a:pt x="2871567" y="1360015"/>
                  <a:pt x="2886947" y="1344423"/>
                  <a:pt x="2886947" y="1325195"/>
                </a:cubicBezTo>
                <a:cubicBezTo>
                  <a:pt x="2886947" y="1305966"/>
                  <a:pt x="2871567" y="1290374"/>
                  <a:pt x="2852600" y="1290374"/>
                </a:cubicBezTo>
                <a:close/>
                <a:moveTo>
                  <a:pt x="2936343" y="1290374"/>
                </a:moveTo>
                <a:cubicBezTo>
                  <a:pt x="2917376" y="1290374"/>
                  <a:pt x="2901996" y="1305966"/>
                  <a:pt x="2901996" y="1325195"/>
                </a:cubicBezTo>
                <a:cubicBezTo>
                  <a:pt x="2901996" y="1344423"/>
                  <a:pt x="2917376" y="1360015"/>
                  <a:pt x="2936343" y="1360015"/>
                </a:cubicBezTo>
                <a:cubicBezTo>
                  <a:pt x="2955310" y="1360015"/>
                  <a:pt x="2970689" y="1344423"/>
                  <a:pt x="2970689" y="1325195"/>
                </a:cubicBezTo>
                <a:cubicBezTo>
                  <a:pt x="2970689" y="1305966"/>
                  <a:pt x="2955310" y="1290374"/>
                  <a:pt x="2936343" y="1290374"/>
                </a:cubicBezTo>
                <a:close/>
                <a:moveTo>
                  <a:pt x="3103826" y="1290374"/>
                </a:moveTo>
                <a:cubicBezTo>
                  <a:pt x="3084859" y="1290374"/>
                  <a:pt x="3069479" y="1305966"/>
                  <a:pt x="3069479" y="1325195"/>
                </a:cubicBezTo>
                <a:cubicBezTo>
                  <a:pt x="3069479" y="1344423"/>
                  <a:pt x="3084859" y="1360015"/>
                  <a:pt x="3103826" y="1360015"/>
                </a:cubicBezTo>
                <a:cubicBezTo>
                  <a:pt x="3122793" y="1360015"/>
                  <a:pt x="3138173" y="1344423"/>
                  <a:pt x="3138173" y="1325195"/>
                </a:cubicBezTo>
                <a:cubicBezTo>
                  <a:pt x="3138173" y="1305966"/>
                  <a:pt x="3122793" y="1290374"/>
                  <a:pt x="3103826" y="1290374"/>
                </a:cubicBezTo>
                <a:close/>
                <a:moveTo>
                  <a:pt x="3187567" y="1290374"/>
                </a:moveTo>
                <a:cubicBezTo>
                  <a:pt x="3168600" y="1290374"/>
                  <a:pt x="3153221" y="1305966"/>
                  <a:pt x="3153221" y="1325195"/>
                </a:cubicBezTo>
                <a:cubicBezTo>
                  <a:pt x="3153221" y="1344423"/>
                  <a:pt x="3168600" y="1360015"/>
                  <a:pt x="3187567" y="1360015"/>
                </a:cubicBezTo>
                <a:cubicBezTo>
                  <a:pt x="3206534" y="1360015"/>
                  <a:pt x="3221914" y="1344423"/>
                  <a:pt x="3221914" y="1325195"/>
                </a:cubicBezTo>
                <a:cubicBezTo>
                  <a:pt x="3221914" y="1305966"/>
                  <a:pt x="3206534" y="1290374"/>
                  <a:pt x="3187567" y="1290374"/>
                </a:cubicBezTo>
                <a:close/>
                <a:moveTo>
                  <a:pt x="3355051" y="1290374"/>
                </a:moveTo>
                <a:cubicBezTo>
                  <a:pt x="3336084" y="1290374"/>
                  <a:pt x="3320704" y="1305966"/>
                  <a:pt x="3320704" y="1325195"/>
                </a:cubicBezTo>
                <a:cubicBezTo>
                  <a:pt x="3320704" y="1344423"/>
                  <a:pt x="3336084" y="1360015"/>
                  <a:pt x="3355051" y="1360015"/>
                </a:cubicBezTo>
                <a:cubicBezTo>
                  <a:pt x="3374018" y="1360015"/>
                  <a:pt x="3389398" y="1344423"/>
                  <a:pt x="3389398" y="1325195"/>
                </a:cubicBezTo>
                <a:cubicBezTo>
                  <a:pt x="3389398" y="1305966"/>
                  <a:pt x="3374018" y="1290374"/>
                  <a:pt x="3355051" y="1290374"/>
                </a:cubicBezTo>
                <a:close/>
                <a:moveTo>
                  <a:pt x="3606276" y="1290374"/>
                </a:moveTo>
                <a:cubicBezTo>
                  <a:pt x="3587309" y="1290374"/>
                  <a:pt x="3571929" y="1305966"/>
                  <a:pt x="3571929" y="1325195"/>
                </a:cubicBezTo>
                <a:cubicBezTo>
                  <a:pt x="3571929" y="1344423"/>
                  <a:pt x="3587309" y="1360015"/>
                  <a:pt x="3606276" y="1360015"/>
                </a:cubicBezTo>
                <a:cubicBezTo>
                  <a:pt x="3625243" y="1360015"/>
                  <a:pt x="3640622" y="1344423"/>
                  <a:pt x="3640622" y="1325195"/>
                </a:cubicBezTo>
                <a:cubicBezTo>
                  <a:pt x="3640622" y="1305966"/>
                  <a:pt x="3625243" y="1290374"/>
                  <a:pt x="3606276" y="1290374"/>
                </a:cubicBezTo>
                <a:close/>
                <a:moveTo>
                  <a:pt x="3773759" y="1290374"/>
                </a:moveTo>
                <a:cubicBezTo>
                  <a:pt x="3754792" y="1290374"/>
                  <a:pt x="3739412" y="1305966"/>
                  <a:pt x="3739412" y="1325195"/>
                </a:cubicBezTo>
                <a:cubicBezTo>
                  <a:pt x="3739412" y="1344423"/>
                  <a:pt x="3754792" y="1360015"/>
                  <a:pt x="3773759" y="1360015"/>
                </a:cubicBezTo>
                <a:cubicBezTo>
                  <a:pt x="3792726" y="1360015"/>
                  <a:pt x="3808106" y="1344423"/>
                  <a:pt x="3808106" y="1325195"/>
                </a:cubicBezTo>
                <a:cubicBezTo>
                  <a:pt x="3808106" y="1305966"/>
                  <a:pt x="3792726" y="1290374"/>
                  <a:pt x="3773759" y="1290374"/>
                </a:cubicBezTo>
                <a:close/>
                <a:moveTo>
                  <a:pt x="3857500" y="1290374"/>
                </a:moveTo>
                <a:cubicBezTo>
                  <a:pt x="3838533" y="1290374"/>
                  <a:pt x="3823154" y="1305966"/>
                  <a:pt x="3823154" y="1325195"/>
                </a:cubicBezTo>
                <a:cubicBezTo>
                  <a:pt x="3823154" y="1344423"/>
                  <a:pt x="3838533" y="1360015"/>
                  <a:pt x="3857500" y="1360015"/>
                </a:cubicBezTo>
                <a:cubicBezTo>
                  <a:pt x="3876467" y="1360015"/>
                  <a:pt x="3891847" y="1344423"/>
                  <a:pt x="3891847" y="1325195"/>
                </a:cubicBezTo>
                <a:cubicBezTo>
                  <a:pt x="3891847" y="1305966"/>
                  <a:pt x="3876467" y="1290374"/>
                  <a:pt x="3857500" y="1290374"/>
                </a:cubicBezTo>
                <a:close/>
                <a:moveTo>
                  <a:pt x="3941242" y="1290374"/>
                </a:moveTo>
                <a:cubicBezTo>
                  <a:pt x="3922275" y="1290374"/>
                  <a:pt x="3906895" y="1305966"/>
                  <a:pt x="3906895" y="1325195"/>
                </a:cubicBezTo>
                <a:cubicBezTo>
                  <a:pt x="3906895" y="1344423"/>
                  <a:pt x="3922275" y="1360015"/>
                  <a:pt x="3941242" y="1360015"/>
                </a:cubicBezTo>
                <a:cubicBezTo>
                  <a:pt x="3960209" y="1360015"/>
                  <a:pt x="3975588" y="1344423"/>
                  <a:pt x="3975588" y="1325195"/>
                </a:cubicBezTo>
                <a:cubicBezTo>
                  <a:pt x="3975588" y="1305966"/>
                  <a:pt x="3960209" y="1290374"/>
                  <a:pt x="3941242" y="1290374"/>
                </a:cubicBezTo>
                <a:close/>
                <a:moveTo>
                  <a:pt x="4024990" y="1290374"/>
                </a:moveTo>
                <a:cubicBezTo>
                  <a:pt x="4006023" y="1290374"/>
                  <a:pt x="3990643" y="1305966"/>
                  <a:pt x="3990643" y="1325195"/>
                </a:cubicBezTo>
                <a:cubicBezTo>
                  <a:pt x="3990643" y="1344423"/>
                  <a:pt x="4006023" y="1360015"/>
                  <a:pt x="4024990" y="1360015"/>
                </a:cubicBezTo>
                <a:cubicBezTo>
                  <a:pt x="4043957" y="1360015"/>
                  <a:pt x="4059337" y="1344423"/>
                  <a:pt x="4059337" y="1325195"/>
                </a:cubicBezTo>
                <a:cubicBezTo>
                  <a:pt x="4059337" y="1305966"/>
                  <a:pt x="4043957" y="1290374"/>
                  <a:pt x="4024990" y="1290374"/>
                </a:cubicBezTo>
                <a:close/>
                <a:moveTo>
                  <a:pt x="4611182" y="1290374"/>
                </a:moveTo>
                <a:cubicBezTo>
                  <a:pt x="4592215" y="1290374"/>
                  <a:pt x="4576835" y="1305966"/>
                  <a:pt x="4576835" y="1325195"/>
                </a:cubicBezTo>
                <a:cubicBezTo>
                  <a:pt x="4576835" y="1344423"/>
                  <a:pt x="4592215" y="1360015"/>
                  <a:pt x="4611182" y="1360015"/>
                </a:cubicBezTo>
                <a:cubicBezTo>
                  <a:pt x="4630149" y="1360015"/>
                  <a:pt x="4645528" y="1344423"/>
                  <a:pt x="4645528" y="1325195"/>
                </a:cubicBezTo>
                <a:cubicBezTo>
                  <a:pt x="4645528" y="1305966"/>
                  <a:pt x="4630149" y="1290374"/>
                  <a:pt x="4611182" y="1290374"/>
                </a:cubicBezTo>
                <a:close/>
                <a:moveTo>
                  <a:pt x="4694923" y="1290374"/>
                </a:moveTo>
                <a:cubicBezTo>
                  <a:pt x="4675956" y="1290374"/>
                  <a:pt x="4660576" y="1305966"/>
                  <a:pt x="4660576" y="1325195"/>
                </a:cubicBezTo>
                <a:cubicBezTo>
                  <a:pt x="4660576" y="1344423"/>
                  <a:pt x="4675956" y="1360015"/>
                  <a:pt x="4694923" y="1360015"/>
                </a:cubicBezTo>
                <a:cubicBezTo>
                  <a:pt x="4713890" y="1360015"/>
                  <a:pt x="4729270" y="1344423"/>
                  <a:pt x="4729270" y="1325195"/>
                </a:cubicBezTo>
                <a:cubicBezTo>
                  <a:pt x="4729270" y="1305966"/>
                  <a:pt x="4713890" y="1290374"/>
                  <a:pt x="4694923" y="1290374"/>
                </a:cubicBezTo>
                <a:close/>
                <a:moveTo>
                  <a:pt x="4778665" y="1290374"/>
                </a:moveTo>
                <a:cubicBezTo>
                  <a:pt x="4759698" y="1290374"/>
                  <a:pt x="4744319" y="1305966"/>
                  <a:pt x="4744319" y="1325195"/>
                </a:cubicBezTo>
                <a:cubicBezTo>
                  <a:pt x="4744319" y="1344423"/>
                  <a:pt x="4759698" y="1360015"/>
                  <a:pt x="4778665" y="1360015"/>
                </a:cubicBezTo>
                <a:cubicBezTo>
                  <a:pt x="4797632" y="1360015"/>
                  <a:pt x="4813012" y="1344423"/>
                  <a:pt x="4813012" y="1325195"/>
                </a:cubicBezTo>
                <a:cubicBezTo>
                  <a:pt x="4813012" y="1305966"/>
                  <a:pt x="4797632" y="1290374"/>
                  <a:pt x="4778665" y="1290374"/>
                </a:cubicBezTo>
                <a:close/>
                <a:moveTo>
                  <a:pt x="4862406" y="1290374"/>
                </a:moveTo>
                <a:cubicBezTo>
                  <a:pt x="4843439" y="1290374"/>
                  <a:pt x="4828060" y="1305966"/>
                  <a:pt x="4828060" y="1325195"/>
                </a:cubicBezTo>
                <a:cubicBezTo>
                  <a:pt x="4828060" y="1344423"/>
                  <a:pt x="4843439" y="1360015"/>
                  <a:pt x="4862406" y="1360015"/>
                </a:cubicBezTo>
                <a:cubicBezTo>
                  <a:pt x="4881373" y="1360015"/>
                  <a:pt x="4896753" y="1344423"/>
                  <a:pt x="4896753" y="1325195"/>
                </a:cubicBezTo>
                <a:cubicBezTo>
                  <a:pt x="4896753" y="1305966"/>
                  <a:pt x="4881373" y="1290374"/>
                  <a:pt x="4862406" y="1290374"/>
                </a:cubicBezTo>
                <a:close/>
                <a:moveTo>
                  <a:pt x="4946148" y="1290374"/>
                </a:moveTo>
                <a:cubicBezTo>
                  <a:pt x="4927181" y="1290374"/>
                  <a:pt x="4911801" y="1305966"/>
                  <a:pt x="4911801" y="1325195"/>
                </a:cubicBezTo>
                <a:cubicBezTo>
                  <a:pt x="4911801" y="1344423"/>
                  <a:pt x="4927181" y="1360015"/>
                  <a:pt x="4946148" y="1360015"/>
                </a:cubicBezTo>
                <a:cubicBezTo>
                  <a:pt x="4965115" y="1360015"/>
                  <a:pt x="4980494" y="1344423"/>
                  <a:pt x="4980494" y="1325195"/>
                </a:cubicBezTo>
                <a:cubicBezTo>
                  <a:pt x="4980494" y="1305966"/>
                  <a:pt x="4965115" y="1290374"/>
                  <a:pt x="4946148" y="1290374"/>
                </a:cubicBezTo>
                <a:close/>
                <a:moveTo>
                  <a:pt x="5029890" y="1290374"/>
                </a:moveTo>
                <a:cubicBezTo>
                  <a:pt x="5010923" y="1290374"/>
                  <a:pt x="4995543" y="1305966"/>
                  <a:pt x="4995543" y="1325195"/>
                </a:cubicBezTo>
                <a:cubicBezTo>
                  <a:pt x="4995543" y="1344423"/>
                  <a:pt x="5010923" y="1360015"/>
                  <a:pt x="5029890" y="1360015"/>
                </a:cubicBezTo>
                <a:cubicBezTo>
                  <a:pt x="5048857" y="1360015"/>
                  <a:pt x="5064237" y="1344423"/>
                  <a:pt x="5064237" y="1325195"/>
                </a:cubicBezTo>
                <a:cubicBezTo>
                  <a:pt x="5064237" y="1305966"/>
                  <a:pt x="5048857" y="1290374"/>
                  <a:pt x="5029890" y="1290374"/>
                </a:cubicBezTo>
                <a:close/>
                <a:moveTo>
                  <a:pt x="5113631" y="1290374"/>
                </a:moveTo>
                <a:cubicBezTo>
                  <a:pt x="5094664" y="1290374"/>
                  <a:pt x="5079285" y="1305966"/>
                  <a:pt x="5079285" y="1325195"/>
                </a:cubicBezTo>
                <a:cubicBezTo>
                  <a:pt x="5079285" y="1344423"/>
                  <a:pt x="5094664" y="1360015"/>
                  <a:pt x="5113631" y="1360015"/>
                </a:cubicBezTo>
                <a:cubicBezTo>
                  <a:pt x="5132598" y="1360015"/>
                  <a:pt x="5147978" y="1344423"/>
                  <a:pt x="5147978" y="1325195"/>
                </a:cubicBezTo>
                <a:cubicBezTo>
                  <a:pt x="5147978" y="1305966"/>
                  <a:pt x="5132598" y="1290374"/>
                  <a:pt x="5113631" y="1290374"/>
                </a:cubicBezTo>
                <a:close/>
                <a:moveTo>
                  <a:pt x="5197372" y="1290374"/>
                </a:moveTo>
                <a:cubicBezTo>
                  <a:pt x="5178405" y="1290374"/>
                  <a:pt x="5163026" y="1305966"/>
                  <a:pt x="5163026" y="1325195"/>
                </a:cubicBezTo>
                <a:cubicBezTo>
                  <a:pt x="5163026" y="1344423"/>
                  <a:pt x="5178405" y="1360015"/>
                  <a:pt x="5197372" y="1360015"/>
                </a:cubicBezTo>
                <a:cubicBezTo>
                  <a:pt x="5216339" y="1360015"/>
                  <a:pt x="5231719" y="1344423"/>
                  <a:pt x="5231719" y="1325195"/>
                </a:cubicBezTo>
                <a:cubicBezTo>
                  <a:pt x="5231719" y="1305966"/>
                  <a:pt x="5216339" y="1290374"/>
                  <a:pt x="5197372" y="1290374"/>
                </a:cubicBezTo>
                <a:close/>
                <a:moveTo>
                  <a:pt x="7123456" y="1290374"/>
                </a:moveTo>
                <a:cubicBezTo>
                  <a:pt x="7104489" y="1290374"/>
                  <a:pt x="7089103" y="1305966"/>
                  <a:pt x="7089103" y="1325195"/>
                </a:cubicBezTo>
                <a:cubicBezTo>
                  <a:pt x="7089103" y="1344423"/>
                  <a:pt x="7104489" y="1360015"/>
                  <a:pt x="7123456" y="1360015"/>
                </a:cubicBezTo>
                <a:cubicBezTo>
                  <a:pt x="7142423" y="1360015"/>
                  <a:pt x="7157796" y="1344423"/>
                  <a:pt x="7157796" y="1325195"/>
                </a:cubicBezTo>
                <a:cubicBezTo>
                  <a:pt x="7157796" y="1305966"/>
                  <a:pt x="7142423" y="1290374"/>
                  <a:pt x="7123456" y="1290374"/>
                </a:cubicBezTo>
                <a:close/>
                <a:moveTo>
                  <a:pt x="7542164" y="1290374"/>
                </a:moveTo>
                <a:cubicBezTo>
                  <a:pt x="7523197" y="1290374"/>
                  <a:pt x="7507811" y="1305966"/>
                  <a:pt x="7507811" y="1325195"/>
                </a:cubicBezTo>
                <a:cubicBezTo>
                  <a:pt x="7507811" y="1344423"/>
                  <a:pt x="7523197" y="1360015"/>
                  <a:pt x="7542164" y="1360015"/>
                </a:cubicBezTo>
                <a:cubicBezTo>
                  <a:pt x="7561131" y="1360015"/>
                  <a:pt x="7576504" y="1344423"/>
                  <a:pt x="7576504" y="1325195"/>
                </a:cubicBezTo>
                <a:cubicBezTo>
                  <a:pt x="7576504" y="1305966"/>
                  <a:pt x="7561131" y="1290374"/>
                  <a:pt x="7542164" y="1290374"/>
                </a:cubicBezTo>
                <a:close/>
                <a:moveTo>
                  <a:pt x="7625906" y="1290374"/>
                </a:moveTo>
                <a:cubicBezTo>
                  <a:pt x="7606939" y="1290374"/>
                  <a:pt x="7591553" y="1305966"/>
                  <a:pt x="7591553" y="1325195"/>
                </a:cubicBezTo>
                <a:cubicBezTo>
                  <a:pt x="7591553" y="1344423"/>
                  <a:pt x="7606939" y="1360015"/>
                  <a:pt x="7625906" y="1360015"/>
                </a:cubicBezTo>
                <a:cubicBezTo>
                  <a:pt x="7644873" y="1360015"/>
                  <a:pt x="7660246" y="1344423"/>
                  <a:pt x="7660246" y="1325195"/>
                </a:cubicBezTo>
                <a:cubicBezTo>
                  <a:pt x="7660246" y="1305966"/>
                  <a:pt x="7644873" y="1290374"/>
                  <a:pt x="7625906" y="1290374"/>
                </a:cubicBezTo>
                <a:close/>
                <a:moveTo>
                  <a:pt x="7709647" y="1290374"/>
                </a:moveTo>
                <a:cubicBezTo>
                  <a:pt x="7690680" y="1290374"/>
                  <a:pt x="7675294" y="1305966"/>
                  <a:pt x="7675294" y="1325195"/>
                </a:cubicBezTo>
                <a:cubicBezTo>
                  <a:pt x="7675294" y="1344423"/>
                  <a:pt x="7690680" y="1360015"/>
                  <a:pt x="7709647" y="1360015"/>
                </a:cubicBezTo>
                <a:cubicBezTo>
                  <a:pt x="7728614" y="1360015"/>
                  <a:pt x="7743988" y="1344423"/>
                  <a:pt x="7743988" y="1325195"/>
                </a:cubicBezTo>
                <a:cubicBezTo>
                  <a:pt x="7743988" y="1305966"/>
                  <a:pt x="7728614" y="1290374"/>
                  <a:pt x="7709647" y="1290374"/>
                </a:cubicBezTo>
                <a:close/>
                <a:moveTo>
                  <a:pt x="7877131" y="1290374"/>
                </a:moveTo>
                <a:cubicBezTo>
                  <a:pt x="7858164" y="1290374"/>
                  <a:pt x="7842778" y="1305966"/>
                  <a:pt x="7842778" y="1325195"/>
                </a:cubicBezTo>
                <a:cubicBezTo>
                  <a:pt x="7842778" y="1344423"/>
                  <a:pt x="7858164" y="1360015"/>
                  <a:pt x="7877131" y="1360015"/>
                </a:cubicBezTo>
                <a:cubicBezTo>
                  <a:pt x="7896098" y="1360015"/>
                  <a:pt x="7911471" y="1344423"/>
                  <a:pt x="7911471" y="1325195"/>
                </a:cubicBezTo>
                <a:cubicBezTo>
                  <a:pt x="7911471" y="1305966"/>
                  <a:pt x="7896098" y="1290374"/>
                  <a:pt x="7877131" y="1290374"/>
                </a:cubicBezTo>
                <a:close/>
                <a:moveTo>
                  <a:pt x="7960872" y="1290374"/>
                </a:moveTo>
                <a:cubicBezTo>
                  <a:pt x="7941905" y="1290374"/>
                  <a:pt x="7926519" y="1305966"/>
                  <a:pt x="7926519" y="1325195"/>
                </a:cubicBezTo>
                <a:cubicBezTo>
                  <a:pt x="7926519" y="1344423"/>
                  <a:pt x="7941905" y="1360015"/>
                  <a:pt x="7960872" y="1360015"/>
                </a:cubicBezTo>
                <a:cubicBezTo>
                  <a:pt x="7979839" y="1360015"/>
                  <a:pt x="7995212" y="1344423"/>
                  <a:pt x="7995212" y="1325195"/>
                </a:cubicBezTo>
                <a:cubicBezTo>
                  <a:pt x="7995212" y="1305966"/>
                  <a:pt x="7979839" y="1290374"/>
                  <a:pt x="7960872" y="1290374"/>
                </a:cubicBezTo>
                <a:close/>
                <a:moveTo>
                  <a:pt x="8044614" y="1290374"/>
                </a:moveTo>
                <a:cubicBezTo>
                  <a:pt x="8025647" y="1290374"/>
                  <a:pt x="8010261" y="1305966"/>
                  <a:pt x="8010261" y="1325195"/>
                </a:cubicBezTo>
                <a:cubicBezTo>
                  <a:pt x="8010261" y="1344423"/>
                  <a:pt x="8025647" y="1360015"/>
                  <a:pt x="8044614" y="1360015"/>
                </a:cubicBezTo>
                <a:cubicBezTo>
                  <a:pt x="8063581" y="1360015"/>
                  <a:pt x="8078955" y="1344423"/>
                  <a:pt x="8078955" y="1325195"/>
                </a:cubicBezTo>
                <a:cubicBezTo>
                  <a:pt x="8078955" y="1305966"/>
                  <a:pt x="8063581" y="1290374"/>
                  <a:pt x="8044614" y="1290374"/>
                </a:cubicBezTo>
                <a:close/>
                <a:moveTo>
                  <a:pt x="8128356" y="1290374"/>
                </a:moveTo>
                <a:cubicBezTo>
                  <a:pt x="8109389" y="1290374"/>
                  <a:pt x="8094003" y="1305966"/>
                  <a:pt x="8094003" y="1325195"/>
                </a:cubicBezTo>
                <a:cubicBezTo>
                  <a:pt x="8094003" y="1344423"/>
                  <a:pt x="8109389" y="1360015"/>
                  <a:pt x="8128356" y="1360015"/>
                </a:cubicBezTo>
                <a:cubicBezTo>
                  <a:pt x="8147323" y="1360015"/>
                  <a:pt x="8162696" y="1344423"/>
                  <a:pt x="8162696" y="1325195"/>
                </a:cubicBezTo>
                <a:cubicBezTo>
                  <a:pt x="8162696" y="1305966"/>
                  <a:pt x="8147323" y="1290374"/>
                  <a:pt x="8128356" y="1290374"/>
                </a:cubicBezTo>
                <a:close/>
                <a:moveTo>
                  <a:pt x="8212097" y="1290374"/>
                </a:moveTo>
                <a:cubicBezTo>
                  <a:pt x="8193130" y="1290374"/>
                  <a:pt x="8177744" y="1305966"/>
                  <a:pt x="8177744" y="1325195"/>
                </a:cubicBezTo>
                <a:cubicBezTo>
                  <a:pt x="8177744" y="1344423"/>
                  <a:pt x="8193130" y="1360015"/>
                  <a:pt x="8212097" y="1360015"/>
                </a:cubicBezTo>
                <a:cubicBezTo>
                  <a:pt x="8231064" y="1360015"/>
                  <a:pt x="8246437" y="1344423"/>
                  <a:pt x="8246437" y="1325195"/>
                </a:cubicBezTo>
                <a:cubicBezTo>
                  <a:pt x="8246437" y="1305966"/>
                  <a:pt x="8231064" y="1290374"/>
                  <a:pt x="8212097" y="1290374"/>
                </a:cubicBezTo>
                <a:close/>
                <a:moveTo>
                  <a:pt x="8295839" y="1290374"/>
                </a:moveTo>
                <a:cubicBezTo>
                  <a:pt x="8276872" y="1290374"/>
                  <a:pt x="8261486" y="1305966"/>
                  <a:pt x="8261486" y="1325195"/>
                </a:cubicBezTo>
                <a:cubicBezTo>
                  <a:pt x="8261486" y="1344423"/>
                  <a:pt x="8276872" y="1360015"/>
                  <a:pt x="8295839" y="1360015"/>
                </a:cubicBezTo>
                <a:cubicBezTo>
                  <a:pt x="8314806" y="1360015"/>
                  <a:pt x="8330179" y="1344423"/>
                  <a:pt x="8330179" y="1325195"/>
                </a:cubicBezTo>
                <a:cubicBezTo>
                  <a:pt x="8330179" y="1305966"/>
                  <a:pt x="8314806" y="1290374"/>
                  <a:pt x="8295839" y="1290374"/>
                </a:cubicBezTo>
                <a:close/>
                <a:moveTo>
                  <a:pt x="8379580" y="1290374"/>
                </a:moveTo>
                <a:cubicBezTo>
                  <a:pt x="8360613" y="1290374"/>
                  <a:pt x="8345227" y="1305966"/>
                  <a:pt x="8345227" y="1325195"/>
                </a:cubicBezTo>
                <a:cubicBezTo>
                  <a:pt x="8345227" y="1344423"/>
                  <a:pt x="8360613" y="1360015"/>
                  <a:pt x="8379580" y="1360015"/>
                </a:cubicBezTo>
                <a:cubicBezTo>
                  <a:pt x="8398547" y="1360015"/>
                  <a:pt x="8413921" y="1344423"/>
                  <a:pt x="8413921" y="1325195"/>
                </a:cubicBezTo>
                <a:cubicBezTo>
                  <a:pt x="8413921" y="1305966"/>
                  <a:pt x="8398547" y="1290374"/>
                  <a:pt x="8379580" y="1290374"/>
                </a:cubicBezTo>
                <a:close/>
                <a:moveTo>
                  <a:pt x="8463323" y="1290374"/>
                </a:moveTo>
                <a:cubicBezTo>
                  <a:pt x="8444356" y="1290374"/>
                  <a:pt x="8428970" y="1305966"/>
                  <a:pt x="8428970" y="1325195"/>
                </a:cubicBezTo>
                <a:cubicBezTo>
                  <a:pt x="8428970" y="1344423"/>
                  <a:pt x="8444356" y="1360015"/>
                  <a:pt x="8463323" y="1360015"/>
                </a:cubicBezTo>
                <a:cubicBezTo>
                  <a:pt x="8482290" y="1360015"/>
                  <a:pt x="8497663" y="1344423"/>
                  <a:pt x="8497663" y="1325195"/>
                </a:cubicBezTo>
                <a:cubicBezTo>
                  <a:pt x="8497663" y="1305966"/>
                  <a:pt x="8482290" y="1290374"/>
                  <a:pt x="8463323" y="1290374"/>
                </a:cubicBezTo>
                <a:close/>
                <a:moveTo>
                  <a:pt x="8547064" y="1290374"/>
                </a:moveTo>
                <a:cubicBezTo>
                  <a:pt x="8528097" y="1290374"/>
                  <a:pt x="8512711" y="1305966"/>
                  <a:pt x="8512711" y="1325195"/>
                </a:cubicBezTo>
                <a:cubicBezTo>
                  <a:pt x="8512711" y="1344423"/>
                  <a:pt x="8528097" y="1360015"/>
                  <a:pt x="8547064" y="1360015"/>
                </a:cubicBezTo>
                <a:cubicBezTo>
                  <a:pt x="8566031" y="1360015"/>
                  <a:pt x="8581404" y="1344423"/>
                  <a:pt x="8581404" y="1325195"/>
                </a:cubicBezTo>
                <a:cubicBezTo>
                  <a:pt x="8581404" y="1305966"/>
                  <a:pt x="8566031" y="1290374"/>
                  <a:pt x="8547064" y="1290374"/>
                </a:cubicBezTo>
                <a:close/>
                <a:moveTo>
                  <a:pt x="8630805" y="1290374"/>
                </a:moveTo>
                <a:cubicBezTo>
                  <a:pt x="8611838" y="1290374"/>
                  <a:pt x="8596452" y="1305966"/>
                  <a:pt x="8596452" y="1325195"/>
                </a:cubicBezTo>
                <a:cubicBezTo>
                  <a:pt x="8596452" y="1344423"/>
                  <a:pt x="8611838" y="1360015"/>
                  <a:pt x="8630805" y="1360015"/>
                </a:cubicBezTo>
                <a:cubicBezTo>
                  <a:pt x="8649772" y="1360015"/>
                  <a:pt x="8665145" y="1344423"/>
                  <a:pt x="8665145" y="1325195"/>
                </a:cubicBezTo>
                <a:cubicBezTo>
                  <a:pt x="8665145" y="1305966"/>
                  <a:pt x="8649772" y="1290374"/>
                  <a:pt x="8630805" y="1290374"/>
                </a:cubicBezTo>
                <a:close/>
                <a:moveTo>
                  <a:pt x="8714547" y="1290374"/>
                </a:moveTo>
                <a:cubicBezTo>
                  <a:pt x="8695580" y="1290374"/>
                  <a:pt x="8680194" y="1305966"/>
                  <a:pt x="8680194" y="1325195"/>
                </a:cubicBezTo>
                <a:cubicBezTo>
                  <a:pt x="8680194" y="1344423"/>
                  <a:pt x="8695580" y="1360015"/>
                  <a:pt x="8714547" y="1360015"/>
                </a:cubicBezTo>
                <a:cubicBezTo>
                  <a:pt x="8733514" y="1360015"/>
                  <a:pt x="8748888" y="1344423"/>
                  <a:pt x="8748888" y="1325195"/>
                </a:cubicBezTo>
                <a:cubicBezTo>
                  <a:pt x="8748888" y="1305966"/>
                  <a:pt x="8733514" y="1290374"/>
                  <a:pt x="8714547" y="1290374"/>
                </a:cubicBezTo>
                <a:close/>
                <a:moveTo>
                  <a:pt x="8798289" y="1290374"/>
                </a:moveTo>
                <a:cubicBezTo>
                  <a:pt x="8779322" y="1290374"/>
                  <a:pt x="8763936" y="1305966"/>
                  <a:pt x="8763936" y="1325195"/>
                </a:cubicBezTo>
                <a:cubicBezTo>
                  <a:pt x="8763936" y="1344423"/>
                  <a:pt x="8779322" y="1360015"/>
                  <a:pt x="8798289" y="1360015"/>
                </a:cubicBezTo>
                <a:cubicBezTo>
                  <a:pt x="8817256" y="1360015"/>
                  <a:pt x="8832629" y="1344423"/>
                  <a:pt x="8832629" y="1325195"/>
                </a:cubicBezTo>
                <a:cubicBezTo>
                  <a:pt x="8832629" y="1305966"/>
                  <a:pt x="8817256" y="1290374"/>
                  <a:pt x="8798289" y="1290374"/>
                </a:cubicBezTo>
                <a:close/>
                <a:moveTo>
                  <a:pt x="8882030" y="1290374"/>
                </a:moveTo>
                <a:cubicBezTo>
                  <a:pt x="8863063" y="1290374"/>
                  <a:pt x="8847677" y="1305966"/>
                  <a:pt x="8847677" y="1325195"/>
                </a:cubicBezTo>
                <a:cubicBezTo>
                  <a:pt x="8847677" y="1344423"/>
                  <a:pt x="8863063" y="1360015"/>
                  <a:pt x="8882030" y="1360015"/>
                </a:cubicBezTo>
                <a:cubicBezTo>
                  <a:pt x="8900997" y="1360015"/>
                  <a:pt x="8916370" y="1344423"/>
                  <a:pt x="8916370" y="1325195"/>
                </a:cubicBezTo>
                <a:cubicBezTo>
                  <a:pt x="8916370" y="1305966"/>
                  <a:pt x="8900997" y="1290374"/>
                  <a:pt x="8882030" y="1290374"/>
                </a:cubicBezTo>
                <a:close/>
                <a:moveTo>
                  <a:pt x="8965772" y="1290374"/>
                </a:moveTo>
                <a:cubicBezTo>
                  <a:pt x="8946805" y="1290374"/>
                  <a:pt x="8931419" y="1305966"/>
                  <a:pt x="8931419" y="1325195"/>
                </a:cubicBezTo>
                <a:cubicBezTo>
                  <a:pt x="8931419" y="1344423"/>
                  <a:pt x="8946805" y="1360015"/>
                  <a:pt x="8965772" y="1360015"/>
                </a:cubicBezTo>
                <a:cubicBezTo>
                  <a:pt x="8984739" y="1360015"/>
                  <a:pt x="9000112" y="1344423"/>
                  <a:pt x="9000112" y="1325195"/>
                </a:cubicBezTo>
                <a:cubicBezTo>
                  <a:pt x="9000112" y="1305966"/>
                  <a:pt x="8984739" y="1290374"/>
                  <a:pt x="8965772" y="1290374"/>
                </a:cubicBezTo>
                <a:close/>
                <a:moveTo>
                  <a:pt x="9049513" y="1290374"/>
                </a:moveTo>
                <a:cubicBezTo>
                  <a:pt x="9030546" y="1290374"/>
                  <a:pt x="9015160" y="1305966"/>
                  <a:pt x="9015160" y="1325195"/>
                </a:cubicBezTo>
                <a:cubicBezTo>
                  <a:pt x="9015160" y="1344423"/>
                  <a:pt x="9030546" y="1360015"/>
                  <a:pt x="9049513" y="1360015"/>
                </a:cubicBezTo>
                <a:cubicBezTo>
                  <a:pt x="9068480" y="1360015"/>
                  <a:pt x="9083854" y="1344423"/>
                  <a:pt x="9083854" y="1325195"/>
                </a:cubicBezTo>
                <a:cubicBezTo>
                  <a:pt x="9083854" y="1305966"/>
                  <a:pt x="9068480" y="1290374"/>
                  <a:pt x="9049513" y="1290374"/>
                </a:cubicBezTo>
                <a:close/>
                <a:moveTo>
                  <a:pt x="9133256" y="1290374"/>
                </a:moveTo>
                <a:cubicBezTo>
                  <a:pt x="9114289" y="1290374"/>
                  <a:pt x="9098903" y="1305966"/>
                  <a:pt x="9098903" y="1325195"/>
                </a:cubicBezTo>
                <a:cubicBezTo>
                  <a:pt x="9098903" y="1344423"/>
                  <a:pt x="9114289" y="1360015"/>
                  <a:pt x="9133256" y="1360015"/>
                </a:cubicBezTo>
                <a:cubicBezTo>
                  <a:pt x="9152223" y="1360015"/>
                  <a:pt x="9167596" y="1344423"/>
                  <a:pt x="9167596" y="1325195"/>
                </a:cubicBezTo>
                <a:cubicBezTo>
                  <a:pt x="9167596" y="1305966"/>
                  <a:pt x="9152223" y="1290374"/>
                  <a:pt x="9133256" y="1290374"/>
                </a:cubicBezTo>
                <a:close/>
                <a:moveTo>
                  <a:pt x="9216997" y="1290374"/>
                </a:moveTo>
                <a:cubicBezTo>
                  <a:pt x="9198030" y="1290374"/>
                  <a:pt x="9182644" y="1305966"/>
                  <a:pt x="9182644" y="1325195"/>
                </a:cubicBezTo>
                <a:cubicBezTo>
                  <a:pt x="9182644" y="1344423"/>
                  <a:pt x="9198030" y="1360015"/>
                  <a:pt x="9216997" y="1360015"/>
                </a:cubicBezTo>
                <a:cubicBezTo>
                  <a:pt x="9235964" y="1360015"/>
                  <a:pt x="9251337" y="1344423"/>
                  <a:pt x="9251337" y="1325195"/>
                </a:cubicBezTo>
                <a:cubicBezTo>
                  <a:pt x="9251337" y="1305966"/>
                  <a:pt x="9235964" y="1290374"/>
                  <a:pt x="9216997" y="1290374"/>
                </a:cubicBezTo>
                <a:close/>
                <a:moveTo>
                  <a:pt x="9300738" y="1290374"/>
                </a:moveTo>
                <a:cubicBezTo>
                  <a:pt x="9281771" y="1290374"/>
                  <a:pt x="9266385" y="1305966"/>
                  <a:pt x="9266385" y="1325195"/>
                </a:cubicBezTo>
                <a:cubicBezTo>
                  <a:pt x="9266385" y="1344423"/>
                  <a:pt x="9281771" y="1360015"/>
                  <a:pt x="9300738" y="1360015"/>
                </a:cubicBezTo>
                <a:cubicBezTo>
                  <a:pt x="9319705" y="1360015"/>
                  <a:pt x="9335078" y="1344423"/>
                  <a:pt x="9335078" y="1325195"/>
                </a:cubicBezTo>
                <a:cubicBezTo>
                  <a:pt x="9335078" y="1305966"/>
                  <a:pt x="9319705" y="1290374"/>
                  <a:pt x="9300738" y="1290374"/>
                </a:cubicBezTo>
                <a:close/>
                <a:moveTo>
                  <a:pt x="9384480" y="1290374"/>
                </a:moveTo>
                <a:cubicBezTo>
                  <a:pt x="9365513" y="1290374"/>
                  <a:pt x="9350127" y="1305966"/>
                  <a:pt x="9350127" y="1325195"/>
                </a:cubicBezTo>
                <a:cubicBezTo>
                  <a:pt x="9350127" y="1344423"/>
                  <a:pt x="9365513" y="1360015"/>
                  <a:pt x="9384480" y="1360015"/>
                </a:cubicBezTo>
                <a:cubicBezTo>
                  <a:pt x="9403447" y="1360015"/>
                  <a:pt x="9418821" y="1344423"/>
                  <a:pt x="9418821" y="1325195"/>
                </a:cubicBezTo>
                <a:cubicBezTo>
                  <a:pt x="9418821" y="1305966"/>
                  <a:pt x="9403447" y="1290374"/>
                  <a:pt x="9384480" y="1290374"/>
                </a:cubicBezTo>
                <a:close/>
                <a:moveTo>
                  <a:pt x="9468222" y="1290374"/>
                </a:moveTo>
                <a:cubicBezTo>
                  <a:pt x="9449255" y="1290374"/>
                  <a:pt x="9433869" y="1305966"/>
                  <a:pt x="9433869" y="1325195"/>
                </a:cubicBezTo>
                <a:cubicBezTo>
                  <a:pt x="9433869" y="1344423"/>
                  <a:pt x="9449255" y="1360015"/>
                  <a:pt x="9468222" y="1360015"/>
                </a:cubicBezTo>
                <a:cubicBezTo>
                  <a:pt x="9487189" y="1360015"/>
                  <a:pt x="9502562" y="1344423"/>
                  <a:pt x="9502562" y="1325195"/>
                </a:cubicBezTo>
                <a:cubicBezTo>
                  <a:pt x="9502562" y="1305966"/>
                  <a:pt x="9487189" y="1290374"/>
                  <a:pt x="9468222" y="1290374"/>
                </a:cubicBezTo>
                <a:close/>
                <a:moveTo>
                  <a:pt x="9551963" y="1290374"/>
                </a:moveTo>
                <a:cubicBezTo>
                  <a:pt x="9532996" y="1290374"/>
                  <a:pt x="9517610" y="1305966"/>
                  <a:pt x="9517610" y="1325195"/>
                </a:cubicBezTo>
                <a:cubicBezTo>
                  <a:pt x="9517610" y="1344423"/>
                  <a:pt x="9532996" y="1360015"/>
                  <a:pt x="9551963" y="1360015"/>
                </a:cubicBezTo>
                <a:cubicBezTo>
                  <a:pt x="9570930" y="1360015"/>
                  <a:pt x="9586303" y="1344423"/>
                  <a:pt x="9586303" y="1325195"/>
                </a:cubicBezTo>
                <a:cubicBezTo>
                  <a:pt x="9586303" y="1305966"/>
                  <a:pt x="9570930" y="1290374"/>
                  <a:pt x="9551963" y="1290374"/>
                </a:cubicBezTo>
                <a:close/>
                <a:moveTo>
                  <a:pt x="9635705" y="1290374"/>
                </a:moveTo>
                <a:cubicBezTo>
                  <a:pt x="9616738" y="1290374"/>
                  <a:pt x="9601352" y="1305966"/>
                  <a:pt x="9601352" y="1325195"/>
                </a:cubicBezTo>
                <a:cubicBezTo>
                  <a:pt x="9601352" y="1344423"/>
                  <a:pt x="9616738" y="1360015"/>
                  <a:pt x="9635705" y="1360015"/>
                </a:cubicBezTo>
                <a:cubicBezTo>
                  <a:pt x="9654672" y="1360015"/>
                  <a:pt x="9670045" y="1344423"/>
                  <a:pt x="9670045" y="1325195"/>
                </a:cubicBezTo>
                <a:cubicBezTo>
                  <a:pt x="9670045" y="1305966"/>
                  <a:pt x="9654672" y="1290374"/>
                  <a:pt x="9635705" y="1290374"/>
                </a:cubicBezTo>
                <a:close/>
                <a:moveTo>
                  <a:pt x="9719446" y="1290374"/>
                </a:moveTo>
                <a:cubicBezTo>
                  <a:pt x="9700479" y="1290374"/>
                  <a:pt x="9685093" y="1305966"/>
                  <a:pt x="9685093" y="1325195"/>
                </a:cubicBezTo>
                <a:cubicBezTo>
                  <a:pt x="9685093" y="1344423"/>
                  <a:pt x="9700479" y="1360015"/>
                  <a:pt x="9719446" y="1360015"/>
                </a:cubicBezTo>
                <a:cubicBezTo>
                  <a:pt x="9738413" y="1360015"/>
                  <a:pt x="9753787" y="1344423"/>
                  <a:pt x="9753787" y="1325195"/>
                </a:cubicBezTo>
                <a:cubicBezTo>
                  <a:pt x="9753787" y="1305966"/>
                  <a:pt x="9738413" y="1290374"/>
                  <a:pt x="9719446" y="1290374"/>
                </a:cubicBezTo>
                <a:close/>
                <a:moveTo>
                  <a:pt x="9803189" y="1290374"/>
                </a:moveTo>
                <a:cubicBezTo>
                  <a:pt x="9784222" y="1290374"/>
                  <a:pt x="9768836" y="1305966"/>
                  <a:pt x="9768836" y="1325195"/>
                </a:cubicBezTo>
                <a:cubicBezTo>
                  <a:pt x="9768836" y="1344423"/>
                  <a:pt x="9784222" y="1360015"/>
                  <a:pt x="9803189" y="1360015"/>
                </a:cubicBezTo>
                <a:cubicBezTo>
                  <a:pt x="9822156" y="1360015"/>
                  <a:pt x="9837529" y="1344423"/>
                  <a:pt x="9837529" y="1325195"/>
                </a:cubicBezTo>
                <a:cubicBezTo>
                  <a:pt x="9837529" y="1305966"/>
                  <a:pt x="9822156" y="1290374"/>
                  <a:pt x="9803189" y="1290374"/>
                </a:cubicBezTo>
                <a:close/>
                <a:moveTo>
                  <a:pt x="9886930" y="1290374"/>
                </a:moveTo>
                <a:cubicBezTo>
                  <a:pt x="9867963" y="1290374"/>
                  <a:pt x="9852577" y="1305966"/>
                  <a:pt x="9852577" y="1325195"/>
                </a:cubicBezTo>
                <a:cubicBezTo>
                  <a:pt x="9852577" y="1344423"/>
                  <a:pt x="9867963" y="1360015"/>
                  <a:pt x="9886930" y="1360015"/>
                </a:cubicBezTo>
                <a:cubicBezTo>
                  <a:pt x="9905897" y="1360015"/>
                  <a:pt x="9921270" y="1344423"/>
                  <a:pt x="9921270" y="1325195"/>
                </a:cubicBezTo>
                <a:cubicBezTo>
                  <a:pt x="9921270" y="1305966"/>
                  <a:pt x="9905897" y="1290374"/>
                  <a:pt x="9886930" y="1290374"/>
                </a:cubicBezTo>
                <a:close/>
                <a:moveTo>
                  <a:pt x="9970671" y="1290374"/>
                </a:moveTo>
                <a:cubicBezTo>
                  <a:pt x="9951704" y="1290374"/>
                  <a:pt x="9936318" y="1305966"/>
                  <a:pt x="9936318" y="1325195"/>
                </a:cubicBezTo>
                <a:cubicBezTo>
                  <a:pt x="9936318" y="1344423"/>
                  <a:pt x="9951704" y="1360015"/>
                  <a:pt x="9970671" y="1360015"/>
                </a:cubicBezTo>
                <a:cubicBezTo>
                  <a:pt x="9989638" y="1360015"/>
                  <a:pt x="10005011" y="1344423"/>
                  <a:pt x="10005011" y="1325195"/>
                </a:cubicBezTo>
                <a:cubicBezTo>
                  <a:pt x="10005011" y="1305966"/>
                  <a:pt x="9989638" y="1290374"/>
                  <a:pt x="9970671" y="1290374"/>
                </a:cubicBezTo>
                <a:close/>
                <a:moveTo>
                  <a:pt x="10054413" y="1290374"/>
                </a:moveTo>
                <a:cubicBezTo>
                  <a:pt x="10035446" y="1290374"/>
                  <a:pt x="10020060" y="1305966"/>
                  <a:pt x="10020060" y="1325195"/>
                </a:cubicBezTo>
                <a:cubicBezTo>
                  <a:pt x="10020060" y="1344423"/>
                  <a:pt x="10035446" y="1360015"/>
                  <a:pt x="10054413" y="1360015"/>
                </a:cubicBezTo>
                <a:cubicBezTo>
                  <a:pt x="10073380" y="1360015"/>
                  <a:pt x="10088754" y="1344423"/>
                  <a:pt x="10088754" y="1325195"/>
                </a:cubicBezTo>
                <a:cubicBezTo>
                  <a:pt x="10088754" y="1305966"/>
                  <a:pt x="10073380" y="1290374"/>
                  <a:pt x="10054413" y="1290374"/>
                </a:cubicBezTo>
                <a:close/>
                <a:moveTo>
                  <a:pt x="10138155" y="1290374"/>
                </a:moveTo>
                <a:cubicBezTo>
                  <a:pt x="10119188" y="1290374"/>
                  <a:pt x="10103802" y="1305966"/>
                  <a:pt x="10103802" y="1325195"/>
                </a:cubicBezTo>
                <a:cubicBezTo>
                  <a:pt x="10103802" y="1344423"/>
                  <a:pt x="10119188" y="1360015"/>
                  <a:pt x="10138155" y="1360015"/>
                </a:cubicBezTo>
                <a:cubicBezTo>
                  <a:pt x="10157122" y="1360015"/>
                  <a:pt x="10172495" y="1344423"/>
                  <a:pt x="10172495" y="1325195"/>
                </a:cubicBezTo>
                <a:cubicBezTo>
                  <a:pt x="10172495" y="1305966"/>
                  <a:pt x="10157122" y="1290374"/>
                  <a:pt x="10138155" y="1290374"/>
                </a:cubicBezTo>
                <a:close/>
                <a:moveTo>
                  <a:pt x="10221896" y="1290374"/>
                </a:moveTo>
                <a:cubicBezTo>
                  <a:pt x="10202929" y="1290374"/>
                  <a:pt x="10187543" y="1305966"/>
                  <a:pt x="10187543" y="1325195"/>
                </a:cubicBezTo>
                <a:cubicBezTo>
                  <a:pt x="10187543" y="1344423"/>
                  <a:pt x="10202929" y="1360015"/>
                  <a:pt x="10221896" y="1360015"/>
                </a:cubicBezTo>
                <a:cubicBezTo>
                  <a:pt x="10240863" y="1360015"/>
                  <a:pt x="10256236" y="1344423"/>
                  <a:pt x="10256236" y="1325195"/>
                </a:cubicBezTo>
                <a:cubicBezTo>
                  <a:pt x="10256236" y="1305966"/>
                  <a:pt x="10240863" y="1290374"/>
                  <a:pt x="10221896" y="1290374"/>
                </a:cubicBezTo>
                <a:close/>
                <a:moveTo>
                  <a:pt x="10305638" y="1290374"/>
                </a:moveTo>
                <a:cubicBezTo>
                  <a:pt x="10286671" y="1290374"/>
                  <a:pt x="10271285" y="1305966"/>
                  <a:pt x="10271285" y="1325195"/>
                </a:cubicBezTo>
                <a:cubicBezTo>
                  <a:pt x="10271285" y="1344423"/>
                  <a:pt x="10286671" y="1360015"/>
                  <a:pt x="10305638" y="1360015"/>
                </a:cubicBezTo>
                <a:cubicBezTo>
                  <a:pt x="10324605" y="1360015"/>
                  <a:pt x="10339978" y="1344423"/>
                  <a:pt x="10339978" y="1325195"/>
                </a:cubicBezTo>
                <a:cubicBezTo>
                  <a:pt x="10339978" y="1305966"/>
                  <a:pt x="10324605" y="1290374"/>
                  <a:pt x="10305638" y="1290374"/>
                </a:cubicBezTo>
                <a:close/>
                <a:moveTo>
                  <a:pt x="10389379" y="1290374"/>
                </a:moveTo>
                <a:cubicBezTo>
                  <a:pt x="10370412" y="1290374"/>
                  <a:pt x="10355026" y="1305966"/>
                  <a:pt x="10355026" y="1325195"/>
                </a:cubicBezTo>
                <a:cubicBezTo>
                  <a:pt x="10355026" y="1344423"/>
                  <a:pt x="10370412" y="1360015"/>
                  <a:pt x="10389379" y="1360015"/>
                </a:cubicBezTo>
                <a:cubicBezTo>
                  <a:pt x="10408346" y="1360015"/>
                  <a:pt x="10423720" y="1344423"/>
                  <a:pt x="10423720" y="1325195"/>
                </a:cubicBezTo>
                <a:cubicBezTo>
                  <a:pt x="10423720" y="1305966"/>
                  <a:pt x="10408346" y="1290374"/>
                  <a:pt x="10389379" y="1290374"/>
                </a:cubicBezTo>
                <a:close/>
                <a:moveTo>
                  <a:pt x="10473122" y="1290374"/>
                </a:moveTo>
                <a:cubicBezTo>
                  <a:pt x="10454155" y="1290374"/>
                  <a:pt x="10438769" y="1305966"/>
                  <a:pt x="10438769" y="1325195"/>
                </a:cubicBezTo>
                <a:cubicBezTo>
                  <a:pt x="10438769" y="1344423"/>
                  <a:pt x="10454155" y="1360015"/>
                  <a:pt x="10473122" y="1360015"/>
                </a:cubicBezTo>
                <a:cubicBezTo>
                  <a:pt x="10492089" y="1360015"/>
                  <a:pt x="10507462" y="1344423"/>
                  <a:pt x="10507462" y="1325195"/>
                </a:cubicBezTo>
                <a:cubicBezTo>
                  <a:pt x="10507462" y="1305966"/>
                  <a:pt x="10492089" y="1290374"/>
                  <a:pt x="10473122" y="1290374"/>
                </a:cubicBezTo>
                <a:close/>
                <a:moveTo>
                  <a:pt x="10556863" y="1290374"/>
                </a:moveTo>
                <a:cubicBezTo>
                  <a:pt x="10537896" y="1290374"/>
                  <a:pt x="10522510" y="1305966"/>
                  <a:pt x="10522510" y="1325195"/>
                </a:cubicBezTo>
                <a:cubicBezTo>
                  <a:pt x="10522510" y="1344423"/>
                  <a:pt x="10537896" y="1360015"/>
                  <a:pt x="10556863" y="1360015"/>
                </a:cubicBezTo>
                <a:cubicBezTo>
                  <a:pt x="10575830" y="1360015"/>
                  <a:pt x="10591203" y="1344423"/>
                  <a:pt x="10591203" y="1325195"/>
                </a:cubicBezTo>
                <a:cubicBezTo>
                  <a:pt x="10591203" y="1305966"/>
                  <a:pt x="10575830" y="1290374"/>
                  <a:pt x="10556863" y="1290374"/>
                </a:cubicBezTo>
                <a:close/>
                <a:moveTo>
                  <a:pt x="1596483" y="1375238"/>
                </a:moveTo>
                <a:cubicBezTo>
                  <a:pt x="1577516" y="1375238"/>
                  <a:pt x="1562136" y="1390830"/>
                  <a:pt x="1562136" y="1410059"/>
                </a:cubicBezTo>
                <a:cubicBezTo>
                  <a:pt x="1562136" y="1429287"/>
                  <a:pt x="1577516" y="1444879"/>
                  <a:pt x="1596483" y="1444879"/>
                </a:cubicBezTo>
                <a:cubicBezTo>
                  <a:pt x="1615450" y="1444879"/>
                  <a:pt x="1630829" y="1429287"/>
                  <a:pt x="1630829" y="1410059"/>
                </a:cubicBezTo>
                <a:cubicBezTo>
                  <a:pt x="1630829" y="1390830"/>
                  <a:pt x="1615450" y="1375238"/>
                  <a:pt x="1596483" y="1375238"/>
                </a:cubicBezTo>
                <a:close/>
                <a:moveTo>
                  <a:pt x="1680225" y="1375238"/>
                </a:moveTo>
                <a:cubicBezTo>
                  <a:pt x="1661258" y="1375238"/>
                  <a:pt x="1645878" y="1390830"/>
                  <a:pt x="1645878" y="1410059"/>
                </a:cubicBezTo>
                <a:cubicBezTo>
                  <a:pt x="1645878" y="1429287"/>
                  <a:pt x="1661258" y="1444879"/>
                  <a:pt x="1680225" y="1444879"/>
                </a:cubicBezTo>
                <a:cubicBezTo>
                  <a:pt x="1699192" y="1444879"/>
                  <a:pt x="1714572" y="1429287"/>
                  <a:pt x="1714572" y="1410059"/>
                </a:cubicBezTo>
                <a:cubicBezTo>
                  <a:pt x="1714572" y="1390830"/>
                  <a:pt x="1699192" y="1375238"/>
                  <a:pt x="1680225" y="1375238"/>
                </a:cubicBezTo>
                <a:close/>
                <a:moveTo>
                  <a:pt x="1763966" y="1375238"/>
                </a:moveTo>
                <a:cubicBezTo>
                  <a:pt x="1744999" y="1375238"/>
                  <a:pt x="1729620" y="1390830"/>
                  <a:pt x="1729620" y="1410059"/>
                </a:cubicBezTo>
                <a:cubicBezTo>
                  <a:pt x="1729620" y="1429287"/>
                  <a:pt x="1744999" y="1444879"/>
                  <a:pt x="1763966" y="1444879"/>
                </a:cubicBezTo>
                <a:cubicBezTo>
                  <a:pt x="1782933" y="1444879"/>
                  <a:pt x="1798313" y="1429287"/>
                  <a:pt x="1798313" y="1410059"/>
                </a:cubicBezTo>
                <a:cubicBezTo>
                  <a:pt x="1798313" y="1390830"/>
                  <a:pt x="1782933" y="1375238"/>
                  <a:pt x="1763966" y="1375238"/>
                </a:cubicBezTo>
                <a:close/>
                <a:moveTo>
                  <a:pt x="1847707" y="1375238"/>
                </a:moveTo>
                <a:cubicBezTo>
                  <a:pt x="1828740" y="1375238"/>
                  <a:pt x="1813361" y="1390830"/>
                  <a:pt x="1813361" y="1410059"/>
                </a:cubicBezTo>
                <a:cubicBezTo>
                  <a:pt x="1813361" y="1429287"/>
                  <a:pt x="1828740" y="1444879"/>
                  <a:pt x="1847707" y="1444879"/>
                </a:cubicBezTo>
                <a:cubicBezTo>
                  <a:pt x="1866674" y="1444879"/>
                  <a:pt x="1882054" y="1429287"/>
                  <a:pt x="1882054" y="1410059"/>
                </a:cubicBezTo>
                <a:cubicBezTo>
                  <a:pt x="1882054" y="1390830"/>
                  <a:pt x="1866674" y="1375238"/>
                  <a:pt x="1847707" y="1375238"/>
                </a:cubicBezTo>
                <a:close/>
                <a:moveTo>
                  <a:pt x="1931450" y="1375238"/>
                </a:moveTo>
                <a:cubicBezTo>
                  <a:pt x="1912483" y="1375238"/>
                  <a:pt x="1897103" y="1390830"/>
                  <a:pt x="1897103" y="1410059"/>
                </a:cubicBezTo>
                <a:cubicBezTo>
                  <a:pt x="1897103" y="1429287"/>
                  <a:pt x="1912483" y="1444879"/>
                  <a:pt x="1931450" y="1444879"/>
                </a:cubicBezTo>
                <a:cubicBezTo>
                  <a:pt x="1950417" y="1444879"/>
                  <a:pt x="1965796" y="1429287"/>
                  <a:pt x="1965796" y="1410059"/>
                </a:cubicBezTo>
                <a:cubicBezTo>
                  <a:pt x="1965796" y="1390830"/>
                  <a:pt x="1950417" y="1375238"/>
                  <a:pt x="1931450" y="1375238"/>
                </a:cubicBezTo>
                <a:close/>
                <a:moveTo>
                  <a:pt x="2015191" y="1375238"/>
                </a:moveTo>
                <a:cubicBezTo>
                  <a:pt x="1996224" y="1375238"/>
                  <a:pt x="1980844" y="1390830"/>
                  <a:pt x="1980844" y="1410059"/>
                </a:cubicBezTo>
                <a:cubicBezTo>
                  <a:pt x="1980844" y="1429287"/>
                  <a:pt x="1996224" y="1444879"/>
                  <a:pt x="2015191" y="1444879"/>
                </a:cubicBezTo>
                <a:cubicBezTo>
                  <a:pt x="2034158" y="1444879"/>
                  <a:pt x="2049538" y="1429287"/>
                  <a:pt x="2049538" y="1410059"/>
                </a:cubicBezTo>
                <a:cubicBezTo>
                  <a:pt x="2049538" y="1390830"/>
                  <a:pt x="2034158" y="1375238"/>
                  <a:pt x="2015191" y="1375238"/>
                </a:cubicBezTo>
                <a:close/>
                <a:moveTo>
                  <a:pt x="2098932" y="1375238"/>
                </a:moveTo>
                <a:cubicBezTo>
                  <a:pt x="2079965" y="1375238"/>
                  <a:pt x="2064586" y="1390830"/>
                  <a:pt x="2064586" y="1410059"/>
                </a:cubicBezTo>
                <a:cubicBezTo>
                  <a:pt x="2064586" y="1429287"/>
                  <a:pt x="2079965" y="1444879"/>
                  <a:pt x="2098932" y="1444879"/>
                </a:cubicBezTo>
                <a:cubicBezTo>
                  <a:pt x="2117899" y="1444879"/>
                  <a:pt x="2133279" y="1429287"/>
                  <a:pt x="2133279" y="1410059"/>
                </a:cubicBezTo>
                <a:cubicBezTo>
                  <a:pt x="2133279" y="1390830"/>
                  <a:pt x="2117899" y="1375238"/>
                  <a:pt x="2098932" y="1375238"/>
                </a:cubicBezTo>
                <a:close/>
                <a:moveTo>
                  <a:pt x="2182674" y="1375238"/>
                </a:moveTo>
                <a:cubicBezTo>
                  <a:pt x="2163707" y="1375238"/>
                  <a:pt x="2148328" y="1390830"/>
                  <a:pt x="2148328" y="1410059"/>
                </a:cubicBezTo>
                <a:cubicBezTo>
                  <a:pt x="2148328" y="1429287"/>
                  <a:pt x="2163707" y="1444879"/>
                  <a:pt x="2182674" y="1444879"/>
                </a:cubicBezTo>
                <a:cubicBezTo>
                  <a:pt x="2201641" y="1444879"/>
                  <a:pt x="2217021" y="1429287"/>
                  <a:pt x="2217021" y="1410059"/>
                </a:cubicBezTo>
                <a:cubicBezTo>
                  <a:pt x="2217021" y="1390830"/>
                  <a:pt x="2201641" y="1375238"/>
                  <a:pt x="2182674" y="1375238"/>
                </a:cubicBezTo>
                <a:close/>
                <a:moveTo>
                  <a:pt x="2266416" y="1375238"/>
                </a:moveTo>
                <a:cubicBezTo>
                  <a:pt x="2247449" y="1375238"/>
                  <a:pt x="2232069" y="1390830"/>
                  <a:pt x="2232069" y="1410059"/>
                </a:cubicBezTo>
                <a:cubicBezTo>
                  <a:pt x="2232069" y="1429287"/>
                  <a:pt x="2247449" y="1444879"/>
                  <a:pt x="2266416" y="1444879"/>
                </a:cubicBezTo>
                <a:cubicBezTo>
                  <a:pt x="2285383" y="1444879"/>
                  <a:pt x="2300762" y="1429287"/>
                  <a:pt x="2300762" y="1410059"/>
                </a:cubicBezTo>
                <a:cubicBezTo>
                  <a:pt x="2300762" y="1390830"/>
                  <a:pt x="2285383" y="1375238"/>
                  <a:pt x="2266416" y="1375238"/>
                </a:cubicBezTo>
                <a:close/>
                <a:moveTo>
                  <a:pt x="2350151" y="1375238"/>
                </a:moveTo>
                <a:cubicBezTo>
                  <a:pt x="2331184" y="1375238"/>
                  <a:pt x="2315804" y="1390830"/>
                  <a:pt x="2315804" y="1410059"/>
                </a:cubicBezTo>
                <a:cubicBezTo>
                  <a:pt x="2315804" y="1429287"/>
                  <a:pt x="2331184" y="1444879"/>
                  <a:pt x="2350151" y="1444879"/>
                </a:cubicBezTo>
                <a:cubicBezTo>
                  <a:pt x="2369118" y="1444879"/>
                  <a:pt x="2384498" y="1429287"/>
                  <a:pt x="2384498" y="1410059"/>
                </a:cubicBezTo>
                <a:cubicBezTo>
                  <a:pt x="2384498" y="1390830"/>
                  <a:pt x="2369118" y="1375238"/>
                  <a:pt x="2350151" y="1375238"/>
                </a:cubicBezTo>
                <a:close/>
                <a:moveTo>
                  <a:pt x="2433893" y="1375238"/>
                </a:moveTo>
                <a:cubicBezTo>
                  <a:pt x="2414926" y="1375238"/>
                  <a:pt x="2399546" y="1390830"/>
                  <a:pt x="2399546" y="1410059"/>
                </a:cubicBezTo>
                <a:cubicBezTo>
                  <a:pt x="2399546" y="1429287"/>
                  <a:pt x="2414926" y="1444879"/>
                  <a:pt x="2433893" y="1444879"/>
                </a:cubicBezTo>
                <a:cubicBezTo>
                  <a:pt x="2452860" y="1444879"/>
                  <a:pt x="2468240" y="1429287"/>
                  <a:pt x="2468240" y="1410059"/>
                </a:cubicBezTo>
                <a:cubicBezTo>
                  <a:pt x="2468240" y="1390830"/>
                  <a:pt x="2452860" y="1375238"/>
                  <a:pt x="2433893" y="1375238"/>
                </a:cubicBezTo>
                <a:close/>
                <a:moveTo>
                  <a:pt x="2517634" y="1375238"/>
                </a:moveTo>
                <a:cubicBezTo>
                  <a:pt x="2498667" y="1375238"/>
                  <a:pt x="2483288" y="1390830"/>
                  <a:pt x="2483288" y="1410059"/>
                </a:cubicBezTo>
                <a:cubicBezTo>
                  <a:pt x="2483288" y="1429287"/>
                  <a:pt x="2498667" y="1444879"/>
                  <a:pt x="2517634" y="1444879"/>
                </a:cubicBezTo>
                <a:cubicBezTo>
                  <a:pt x="2536601" y="1444879"/>
                  <a:pt x="2551981" y="1429287"/>
                  <a:pt x="2551981" y="1410059"/>
                </a:cubicBezTo>
                <a:cubicBezTo>
                  <a:pt x="2551981" y="1390830"/>
                  <a:pt x="2536601" y="1375238"/>
                  <a:pt x="2517634" y="1375238"/>
                </a:cubicBezTo>
                <a:close/>
                <a:moveTo>
                  <a:pt x="2601376" y="1375238"/>
                </a:moveTo>
                <a:cubicBezTo>
                  <a:pt x="2582409" y="1375238"/>
                  <a:pt x="2567029" y="1390830"/>
                  <a:pt x="2567029" y="1410059"/>
                </a:cubicBezTo>
                <a:cubicBezTo>
                  <a:pt x="2567029" y="1429287"/>
                  <a:pt x="2582409" y="1444879"/>
                  <a:pt x="2601376" y="1444879"/>
                </a:cubicBezTo>
                <a:cubicBezTo>
                  <a:pt x="2620343" y="1444879"/>
                  <a:pt x="2635722" y="1429287"/>
                  <a:pt x="2635722" y="1410059"/>
                </a:cubicBezTo>
                <a:cubicBezTo>
                  <a:pt x="2635722" y="1390830"/>
                  <a:pt x="2620343" y="1375238"/>
                  <a:pt x="2601376" y="1375238"/>
                </a:cubicBezTo>
                <a:close/>
                <a:moveTo>
                  <a:pt x="2768859" y="1375238"/>
                </a:moveTo>
                <a:cubicBezTo>
                  <a:pt x="2749892" y="1375238"/>
                  <a:pt x="2734512" y="1390830"/>
                  <a:pt x="2734512" y="1410059"/>
                </a:cubicBezTo>
                <a:cubicBezTo>
                  <a:pt x="2734512" y="1429287"/>
                  <a:pt x="2749892" y="1444879"/>
                  <a:pt x="2768859" y="1444879"/>
                </a:cubicBezTo>
                <a:cubicBezTo>
                  <a:pt x="2787826" y="1444879"/>
                  <a:pt x="2803206" y="1429287"/>
                  <a:pt x="2803206" y="1410059"/>
                </a:cubicBezTo>
                <a:cubicBezTo>
                  <a:pt x="2803206" y="1390830"/>
                  <a:pt x="2787826" y="1375238"/>
                  <a:pt x="2768859" y="1375238"/>
                </a:cubicBezTo>
                <a:close/>
                <a:moveTo>
                  <a:pt x="2852600" y="1375238"/>
                </a:moveTo>
                <a:cubicBezTo>
                  <a:pt x="2833633" y="1375238"/>
                  <a:pt x="2818254" y="1390830"/>
                  <a:pt x="2818254" y="1410059"/>
                </a:cubicBezTo>
                <a:cubicBezTo>
                  <a:pt x="2818254" y="1429287"/>
                  <a:pt x="2833633" y="1444879"/>
                  <a:pt x="2852600" y="1444879"/>
                </a:cubicBezTo>
                <a:cubicBezTo>
                  <a:pt x="2871567" y="1444879"/>
                  <a:pt x="2886947" y="1429287"/>
                  <a:pt x="2886947" y="1410059"/>
                </a:cubicBezTo>
                <a:cubicBezTo>
                  <a:pt x="2886947" y="1390830"/>
                  <a:pt x="2871567" y="1375238"/>
                  <a:pt x="2852600" y="1375238"/>
                </a:cubicBezTo>
                <a:close/>
                <a:moveTo>
                  <a:pt x="2936343" y="1375238"/>
                </a:moveTo>
                <a:cubicBezTo>
                  <a:pt x="2917376" y="1375238"/>
                  <a:pt x="2901996" y="1390830"/>
                  <a:pt x="2901996" y="1410059"/>
                </a:cubicBezTo>
                <a:cubicBezTo>
                  <a:pt x="2901996" y="1429287"/>
                  <a:pt x="2917376" y="1444879"/>
                  <a:pt x="2936343" y="1444879"/>
                </a:cubicBezTo>
                <a:cubicBezTo>
                  <a:pt x="2955310" y="1444879"/>
                  <a:pt x="2970689" y="1429287"/>
                  <a:pt x="2970689" y="1410059"/>
                </a:cubicBezTo>
                <a:cubicBezTo>
                  <a:pt x="2970689" y="1390830"/>
                  <a:pt x="2955310" y="1375238"/>
                  <a:pt x="2936343" y="1375238"/>
                </a:cubicBezTo>
                <a:close/>
                <a:moveTo>
                  <a:pt x="3103826" y="1375238"/>
                </a:moveTo>
                <a:cubicBezTo>
                  <a:pt x="3084859" y="1375238"/>
                  <a:pt x="3069479" y="1390830"/>
                  <a:pt x="3069479" y="1410059"/>
                </a:cubicBezTo>
                <a:cubicBezTo>
                  <a:pt x="3069479" y="1429287"/>
                  <a:pt x="3084859" y="1444879"/>
                  <a:pt x="3103826" y="1444879"/>
                </a:cubicBezTo>
                <a:cubicBezTo>
                  <a:pt x="3122793" y="1444879"/>
                  <a:pt x="3138173" y="1429287"/>
                  <a:pt x="3138173" y="1410059"/>
                </a:cubicBezTo>
                <a:cubicBezTo>
                  <a:pt x="3138173" y="1390830"/>
                  <a:pt x="3122793" y="1375238"/>
                  <a:pt x="3103826" y="1375238"/>
                </a:cubicBezTo>
                <a:close/>
                <a:moveTo>
                  <a:pt x="3187567" y="1375238"/>
                </a:moveTo>
                <a:cubicBezTo>
                  <a:pt x="3168600" y="1375238"/>
                  <a:pt x="3153221" y="1390830"/>
                  <a:pt x="3153221" y="1410059"/>
                </a:cubicBezTo>
                <a:cubicBezTo>
                  <a:pt x="3153221" y="1429287"/>
                  <a:pt x="3168600" y="1444879"/>
                  <a:pt x="3187567" y="1444879"/>
                </a:cubicBezTo>
                <a:cubicBezTo>
                  <a:pt x="3206534" y="1444879"/>
                  <a:pt x="3221914" y="1429287"/>
                  <a:pt x="3221914" y="1410059"/>
                </a:cubicBezTo>
                <a:cubicBezTo>
                  <a:pt x="3221914" y="1390830"/>
                  <a:pt x="3206534" y="1375238"/>
                  <a:pt x="3187567" y="1375238"/>
                </a:cubicBezTo>
                <a:close/>
                <a:moveTo>
                  <a:pt x="3438792" y="1375238"/>
                </a:moveTo>
                <a:cubicBezTo>
                  <a:pt x="3419825" y="1375238"/>
                  <a:pt x="3404445" y="1390830"/>
                  <a:pt x="3404445" y="1410059"/>
                </a:cubicBezTo>
                <a:cubicBezTo>
                  <a:pt x="3404445" y="1429287"/>
                  <a:pt x="3419825" y="1444879"/>
                  <a:pt x="3438792" y="1444879"/>
                </a:cubicBezTo>
                <a:cubicBezTo>
                  <a:pt x="3457759" y="1444879"/>
                  <a:pt x="3473139" y="1429287"/>
                  <a:pt x="3473139" y="1410059"/>
                </a:cubicBezTo>
                <a:cubicBezTo>
                  <a:pt x="3473139" y="1390830"/>
                  <a:pt x="3457759" y="1375238"/>
                  <a:pt x="3438792" y="1375238"/>
                </a:cubicBezTo>
                <a:close/>
                <a:moveTo>
                  <a:pt x="3857500" y="1375238"/>
                </a:moveTo>
                <a:cubicBezTo>
                  <a:pt x="3838533" y="1375238"/>
                  <a:pt x="3823154" y="1390830"/>
                  <a:pt x="3823154" y="1410059"/>
                </a:cubicBezTo>
                <a:cubicBezTo>
                  <a:pt x="3823154" y="1429287"/>
                  <a:pt x="3838533" y="1444879"/>
                  <a:pt x="3857500" y="1444879"/>
                </a:cubicBezTo>
                <a:cubicBezTo>
                  <a:pt x="3876467" y="1444879"/>
                  <a:pt x="3891847" y="1429287"/>
                  <a:pt x="3891847" y="1410059"/>
                </a:cubicBezTo>
                <a:cubicBezTo>
                  <a:pt x="3891847" y="1390830"/>
                  <a:pt x="3876467" y="1375238"/>
                  <a:pt x="3857500" y="1375238"/>
                </a:cubicBezTo>
                <a:close/>
                <a:moveTo>
                  <a:pt x="4024990" y="1375238"/>
                </a:moveTo>
                <a:cubicBezTo>
                  <a:pt x="4006023" y="1375238"/>
                  <a:pt x="3990643" y="1390830"/>
                  <a:pt x="3990643" y="1410059"/>
                </a:cubicBezTo>
                <a:cubicBezTo>
                  <a:pt x="3990643" y="1429287"/>
                  <a:pt x="4006023" y="1444879"/>
                  <a:pt x="4024990" y="1444879"/>
                </a:cubicBezTo>
                <a:cubicBezTo>
                  <a:pt x="4043957" y="1444879"/>
                  <a:pt x="4059337" y="1429287"/>
                  <a:pt x="4059337" y="1410059"/>
                </a:cubicBezTo>
                <a:cubicBezTo>
                  <a:pt x="4059337" y="1390830"/>
                  <a:pt x="4043957" y="1375238"/>
                  <a:pt x="4024990" y="1375238"/>
                </a:cubicBezTo>
                <a:close/>
                <a:moveTo>
                  <a:pt x="4108732" y="1375238"/>
                </a:moveTo>
                <a:cubicBezTo>
                  <a:pt x="4089765" y="1375238"/>
                  <a:pt x="4074386" y="1390830"/>
                  <a:pt x="4074386" y="1410059"/>
                </a:cubicBezTo>
                <a:cubicBezTo>
                  <a:pt x="4074386" y="1429287"/>
                  <a:pt x="4089765" y="1444879"/>
                  <a:pt x="4108732" y="1444879"/>
                </a:cubicBezTo>
                <a:cubicBezTo>
                  <a:pt x="4127699" y="1444879"/>
                  <a:pt x="4143079" y="1429287"/>
                  <a:pt x="4143079" y="1410059"/>
                </a:cubicBezTo>
                <a:cubicBezTo>
                  <a:pt x="4143079" y="1390830"/>
                  <a:pt x="4127699" y="1375238"/>
                  <a:pt x="4108732" y="1375238"/>
                </a:cubicBezTo>
                <a:close/>
                <a:moveTo>
                  <a:pt x="4611182" y="1375238"/>
                </a:moveTo>
                <a:cubicBezTo>
                  <a:pt x="4592215" y="1375238"/>
                  <a:pt x="4576835" y="1390830"/>
                  <a:pt x="4576835" y="1410059"/>
                </a:cubicBezTo>
                <a:cubicBezTo>
                  <a:pt x="4576835" y="1429287"/>
                  <a:pt x="4592215" y="1444879"/>
                  <a:pt x="4611182" y="1444879"/>
                </a:cubicBezTo>
                <a:cubicBezTo>
                  <a:pt x="4630149" y="1444879"/>
                  <a:pt x="4645528" y="1429287"/>
                  <a:pt x="4645528" y="1410059"/>
                </a:cubicBezTo>
                <a:cubicBezTo>
                  <a:pt x="4645528" y="1390830"/>
                  <a:pt x="4630149" y="1375238"/>
                  <a:pt x="4611182" y="1375238"/>
                </a:cubicBezTo>
                <a:close/>
                <a:moveTo>
                  <a:pt x="4694923" y="1375238"/>
                </a:moveTo>
                <a:cubicBezTo>
                  <a:pt x="4675956" y="1375238"/>
                  <a:pt x="4660576" y="1390830"/>
                  <a:pt x="4660576" y="1410059"/>
                </a:cubicBezTo>
                <a:cubicBezTo>
                  <a:pt x="4660576" y="1429287"/>
                  <a:pt x="4675956" y="1444879"/>
                  <a:pt x="4694923" y="1444879"/>
                </a:cubicBezTo>
                <a:cubicBezTo>
                  <a:pt x="4713890" y="1444879"/>
                  <a:pt x="4729270" y="1429287"/>
                  <a:pt x="4729270" y="1410059"/>
                </a:cubicBezTo>
                <a:cubicBezTo>
                  <a:pt x="4729270" y="1390830"/>
                  <a:pt x="4713890" y="1375238"/>
                  <a:pt x="4694923" y="1375238"/>
                </a:cubicBezTo>
                <a:close/>
                <a:moveTo>
                  <a:pt x="4778665" y="1375238"/>
                </a:moveTo>
                <a:cubicBezTo>
                  <a:pt x="4759698" y="1375238"/>
                  <a:pt x="4744319" y="1390830"/>
                  <a:pt x="4744319" y="1410059"/>
                </a:cubicBezTo>
                <a:cubicBezTo>
                  <a:pt x="4744319" y="1429287"/>
                  <a:pt x="4759698" y="1444879"/>
                  <a:pt x="4778665" y="1444879"/>
                </a:cubicBezTo>
                <a:cubicBezTo>
                  <a:pt x="4797632" y="1444879"/>
                  <a:pt x="4813012" y="1429287"/>
                  <a:pt x="4813012" y="1410059"/>
                </a:cubicBezTo>
                <a:cubicBezTo>
                  <a:pt x="4813012" y="1390830"/>
                  <a:pt x="4797632" y="1375238"/>
                  <a:pt x="4778665" y="1375238"/>
                </a:cubicBezTo>
                <a:close/>
                <a:moveTo>
                  <a:pt x="4862406" y="1375238"/>
                </a:moveTo>
                <a:cubicBezTo>
                  <a:pt x="4843439" y="1375238"/>
                  <a:pt x="4828060" y="1390830"/>
                  <a:pt x="4828060" y="1410059"/>
                </a:cubicBezTo>
                <a:cubicBezTo>
                  <a:pt x="4828060" y="1429287"/>
                  <a:pt x="4843439" y="1444879"/>
                  <a:pt x="4862406" y="1444879"/>
                </a:cubicBezTo>
                <a:cubicBezTo>
                  <a:pt x="4881373" y="1444879"/>
                  <a:pt x="4896753" y="1429287"/>
                  <a:pt x="4896753" y="1410059"/>
                </a:cubicBezTo>
                <a:cubicBezTo>
                  <a:pt x="4896753" y="1390830"/>
                  <a:pt x="4881373" y="1375238"/>
                  <a:pt x="4862406" y="1375238"/>
                </a:cubicBezTo>
                <a:close/>
                <a:moveTo>
                  <a:pt x="4946148" y="1375238"/>
                </a:moveTo>
                <a:cubicBezTo>
                  <a:pt x="4927181" y="1375238"/>
                  <a:pt x="4911801" y="1390830"/>
                  <a:pt x="4911801" y="1410059"/>
                </a:cubicBezTo>
                <a:cubicBezTo>
                  <a:pt x="4911801" y="1429287"/>
                  <a:pt x="4927181" y="1444879"/>
                  <a:pt x="4946148" y="1444879"/>
                </a:cubicBezTo>
                <a:cubicBezTo>
                  <a:pt x="4965115" y="1444879"/>
                  <a:pt x="4980494" y="1429287"/>
                  <a:pt x="4980494" y="1410059"/>
                </a:cubicBezTo>
                <a:cubicBezTo>
                  <a:pt x="4980494" y="1390830"/>
                  <a:pt x="4965115" y="1375238"/>
                  <a:pt x="4946148" y="1375238"/>
                </a:cubicBezTo>
                <a:close/>
                <a:moveTo>
                  <a:pt x="5029890" y="1375238"/>
                </a:moveTo>
                <a:cubicBezTo>
                  <a:pt x="5010923" y="1375238"/>
                  <a:pt x="4995543" y="1390830"/>
                  <a:pt x="4995543" y="1410059"/>
                </a:cubicBezTo>
                <a:cubicBezTo>
                  <a:pt x="4995543" y="1429287"/>
                  <a:pt x="5010923" y="1444879"/>
                  <a:pt x="5029890" y="1444879"/>
                </a:cubicBezTo>
                <a:cubicBezTo>
                  <a:pt x="5048857" y="1444879"/>
                  <a:pt x="5064237" y="1429287"/>
                  <a:pt x="5064237" y="1410059"/>
                </a:cubicBezTo>
                <a:cubicBezTo>
                  <a:pt x="5064237" y="1390830"/>
                  <a:pt x="5048857" y="1375238"/>
                  <a:pt x="5029890" y="1375238"/>
                </a:cubicBezTo>
                <a:close/>
                <a:moveTo>
                  <a:pt x="5113631" y="1375238"/>
                </a:moveTo>
                <a:cubicBezTo>
                  <a:pt x="5094664" y="1375238"/>
                  <a:pt x="5079285" y="1390830"/>
                  <a:pt x="5079285" y="1410059"/>
                </a:cubicBezTo>
                <a:cubicBezTo>
                  <a:pt x="5079285" y="1429287"/>
                  <a:pt x="5094664" y="1444879"/>
                  <a:pt x="5113631" y="1444879"/>
                </a:cubicBezTo>
                <a:cubicBezTo>
                  <a:pt x="5132598" y="1444879"/>
                  <a:pt x="5147978" y="1429287"/>
                  <a:pt x="5147978" y="1410059"/>
                </a:cubicBezTo>
                <a:cubicBezTo>
                  <a:pt x="5147978" y="1390830"/>
                  <a:pt x="5132598" y="1375238"/>
                  <a:pt x="5113631" y="1375238"/>
                </a:cubicBezTo>
                <a:close/>
                <a:moveTo>
                  <a:pt x="5197372" y="1375238"/>
                </a:moveTo>
                <a:cubicBezTo>
                  <a:pt x="5178405" y="1375238"/>
                  <a:pt x="5163026" y="1390830"/>
                  <a:pt x="5163026" y="1410059"/>
                </a:cubicBezTo>
                <a:cubicBezTo>
                  <a:pt x="5163026" y="1429287"/>
                  <a:pt x="5178405" y="1444879"/>
                  <a:pt x="5197372" y="1444879"/>
                </a:cubicBezTo>
                <a:cubicBezTo>
                  <a:pt x="5216339" y="1444879"/>
                  <a:pt x="5231719" y="1429287"/>
                  <a:pt x="5231719" y="1410059"/>
                </a:cubicBezTo>
                <a:cubicBezTo>
                  <a:pt x="5231719" y="1390830"/>
                  <a:pt x="5216339" y="1375238"/>
                  <a:pt x="5197372" y="1375238"/>
                </a:cubicBezTo>
                <a:close/>
                <a:moveTo>
                  <a:pt x="7123456" y="1375238"/>
                </a:moveTo>
                <a:cubicBezTo>
                  <a:pt x="7104489" y="1375238"/>
                  <a:pt x="7089103" y="1390830"/>
                  <a:pt x="7089103" y="1410059"/>
                </a:cubicBezTo>
                <a:cubicBezTo>
                  <a:pt x="7089103" y="1429287"/>
                  <a:pt x="7104489" y="1444879"/>
                  <a:pt x="7123456" y="1444879"/>
                </a:cubicBezTo>
                <a:cubicBezTo>
                  <a:pt x="7142423" y="1444879"/>
                  <a:pt x="7157796" y="1429287"/>
                  <a:pt x="7157796" y="1410059"/>
                </a:cubicBezTo>
                <a:cubicBezTo>
                  <a:pt x="7157796" y="1390830"/>
                  <a:pt x="7142423" y="1375238"/>
                  <a:pt x="7123456" y="1375238"/>
                </a:cubicBezTo>
                <a:close/>
                <a:moveTo>
                  <a:pt x="7458423" y="1375238"/>
                </a:moveTo>
                <a:cubicBezTo>
                  <a:pt x="7439456" y="1375238"/>
                  <a:pt x="7424070" y="1390830"/>
                  <a:pt x="7424070" y="1410059"/>
                </a:cubicBezTo>
                <a:cubicBezTo>
                  <a:pt x="7424070" y="1429287"/>
                  <a:pt x="7439456" y="1444879"/>
                  <a:pt x="7458423" y="1444879"/>
                </a:cubicBezTo>
                <a:cubicBezTo>
                  <a:pt x="7477390" y="1444879"/>
                  <a:pt x="7492763" y="1429287"/>
                  <a:pt x="7492763" y="1410059"/>
                </a:cubicBezTo>
                <a:cubicBezTo>
                  <a:pt x="7492763" y="1390830"/>
                  <a:pt x="7477390" y="1375238"/>
                  <a:pt x="7458423" y="1375238"/>
                </a:cubicBezTo>
                <a:close/>
                <a:moveTo>
                  <a:pt x="7542164" y="1375238"/>
                </a:moveTo>
                <a:cubicBezTo>
                  <a:pt x="7523197" y="1375238"/>
                  <a:pt x="7507811" y="1390830"/>
                  <a:pt x="7507811" y="1410059"/>
                </a:cubicBezTo>
                <a:cubicBezTo>
                  <a:pt x="7507811" y="1429287"/>
                  <a:pt x="7523197" y="1444879"/>
                  <a:pt x="7542164" y="1444879"/>
                </a:cubicBezTo>
                <a:cubicBezTo>
                  <a:pt x="7561131" y="1444879"/>
                  <a:pt x="7576504" y="1429287"/>
                  <a:pt x="7576504" y="1410059"/>
                </a:cubicBezTo>
                <a:cubicBezTo>
                  <a:pt x="7576504" y="1390830"/>
                  <a:pt x="7561131" y="1375238"/>
                  <a:pt x="7542164" y="1375238"/>
                </a:cubicBezTo>
                <a:close/>
                <a:moveTo>
                  <a:pt x="7709647" y="1375238"/>
                </a:moveTo>
                <a:cubicBezTo>
                  <a:pt x="7690680" y="1375238"/>
                  <a:pt x="7675294" y="1390830"/>
                  <a:pt x="7675294" y="1410059"/>
                </a:cubicBezTo>
                <a:cubicBezTo>
                  <a:pt x="7675294" y="1429287"/>
                  <a:pt x="7690680" y="1444879"/>
                  <a:pt x="7709647" y="1444879"/>
                </a:cubicBezTo>
                <a:cubicBezTo>
                  <a:pt x="7728614" y="1444879"/>
                  <a:pt x="7743988" y="1429287"/>
                  <a:pt x="7743988" y="1410059"/>
                </a:cubicBezTo>
                <a:cubicBezTo>
                  <a:pt x="7743988" y="1390830"/>
                  <a:pt x="7728614" y="1375238"/>
                  <a:pt x="7709647" y="1375238"/>
                </a:cubicBezTo>
                <a:close/>
                <a:moveTo>
                  <a:pt x="7793389" y="1375238"/>
                </a:moveTo>
                <a:cubicBezTo>
                  <a:pt x="7774422" y="1375238"/>
                  <a:pt x="7759036" y="1390830"/>
                  <a:pt x="7759036" y="1410059"/>
                </a:cubicBezTo>
                <a:cubicBezTo>
                  <a:pt x="7759036" y="1429287"/>
                  <a:pt x="7774422" y="1444879"/>
                  <a:pt x="7793389" y="1444879"/>
                </a:cubicBezTo>
                <a:cubicBezTo>
                  <a:pt x="7812356" y="1444879"/>
                  <a:pt x="7827729" y="1429287"/>
                  <a:pt x="7827729" y="1410059"/>
                </a:cubicBezTo>
                <a:cubicBezTo>
                  <a:pt x="7827729" y="1390830"/>
                  <a:pt x="7812356" y="1375238"/>
                  <a:pt x="7793389" y="1375238"/>
                </a:cubicBezTo>
                <a:close/>
                <a:moveTo>
                  <a:pt x="7960872" y="1375238"/>
                </a:moveTo>
                <a:cubicBezTo>
                  <a:pt x="7941905" y="1375238"/>
                  <a:pt x="7926519" y="1390830"/>
                  <a:pt x="7926519" y="1410059"/>
                </a:cubicBezTo>
                <a:cubicBezTo>
                  <a:pt x="7926519" y="1429287"/>
                  <a:pt x="7941905" y="1444879"/>
                  <a:pt x="7960872" y="1444879"/>
                </a:cubicBezTo>
                <a:cubicBezTo>
                  <a:pt x="7979839" y="1444879"/>
                  <a:pt x="7995212" y="1429287"/>
                  <a:pt x="7995212" y="1410059"/>
                </a:cubicBezTo>
                <a:cubicBezTo>
                  <a:pt x="7995212" y="1390830"/>
                  <a:pt x="7979839" y="1375238"/>
                  <a:pt x="7960872" y="1375238"/>
                </a:cubicBezTo>
                <a:close/>
                <a:moveTo>
                  <a:pt x="8044614" y="1375238"/>
                </a:moveTo>
                <a:cubicBezTo>
                  <a:pt x="8025647" y="1375238"/>
                  <a:pt x="8010261" y="1390830"/>
                  <a:pt x="8010261" y="1410059"/>
                </a:cubicBezTo>
                <a:cubicBezTo>
                  <a:pt x="8010261" y="1429287"/>
                  <a:pt x="8025647" y="1444879"/>
                  <a:pt x="8044614" y="1444879"/>
                </a:cubicBezTo>
                <a:cubicBezTo>
                  <a:pt x="8063581" y="1444879"/>
                  <a:pt x="8078955" y="1429287"/>
                  <a:pt x="8078955" y="1410059"/>
                </a:cubicBezTo>
                <a:cubicBezTo>
                  <a:pt x="8078955" y="1390830"/>
                  <a:pt x="8063581" y="1375238"/>
                  <a:pt x="8044614" y="1375238"/>
                </a:cubicBezTo>
                <a:close/>
                <a:moveTo>
                  <a:pt x="8128356" y="1375238"/>
                </a:moveTo>
                <a:cubicBezTo>
                  <a:pt x="8109389" y="1375238"/>
                  <a:pt x="8094003" y="1390830"/>
                  <a:pt x="8094003" y="1410059"/>
                </a:cubicBezTo>
                <a:cubicBezTo>
                  <a:pt x="8094003" y="1429287"/>
                  <a:pt x="8109389" y="1444879"/>
                  <a:pt x="8128356" y="1444879"/>
                </a:cubicBezTo>
                <a:cubicBezTo>
                  <a:pt x="8147323" y="1444879"/>
                  <a:pt x="8162696" y="1429287"/>
                  <a:pt x="8162696" y="1410059"/>
                </a:cubicBezTo>
                <a:cubicBezTo>
                  <a:pt x="8162696" y="1390830"/>
                  <a:pt x="8147323" y="1375238"/>
                  <a:pt x="8128356" y="1375238"/>
                </a:cubicBezTo>
                <a:close/>
                <a:moveTo>
                  <a:pt x="8212097" y="1375238"/>
                </a:moveTo>
                <a:cubicBezTo>
                  <a:pt x="8193130" y="1375238"/>
                  <a:pt x="8177744" y="1390830"/>
                  <a:pt x="8177744" y="1410059"/>
                </a:cubicBezTo>
                <a:cubicBezTo>
                  <a:pt x="8177744" y="1429287"/>
                  <a:pt x="8193130" y="1444879"/>
                  <a:pt x="8212097" y="1444879"/>
                </a:cubicBezTo>
                <a:cubicBezTo>
                  <a:pt x="8231064" y="1444879"/>
                  <a:pt x="8246437" y="1429287"/>
                  <a:pt x="8246437" y="1410059"/>
                </a:cubicBezTo>
                <a:cubicBezTo>
                  <a:pt x="8246437" y="1390830"/>
                  <a:pt x="8231064" y="1375238"/>
                  <a:pt x="8212097" y="1375238"/>
                </a:cubicBezTo>
                <a:close/>
                <a:moveTo>
                  <a:pt x="8295839" y="1375238"/>
                </a:moveTo>
                <a:cubicBezTo>
                  <a:pt x="8276872" y="1375238"/>
                  <a:pt x="8261486" y="1390830"/>
                  <a:pt x="8261486" y="1410059"/>
                </a:cubicBezTo>
                <a:cubicBezTo>
                  <a:pt x="8261486" y="1429287"/>
                  <a:pt x="8276872" y="1444879"/>
                  <a:pt x="8295839" y="1444879"/>
                </a:cubicBezTo>
                <a:cubicBezTo>
                  <a:pt x="8314806" y="1444879"/>
                  <a:pt x="8330179" y="1429287"/>
                  <a:pt x="8330179" y="1410059"/>
                </a:cubicBezTo>
                <a:cubicBezTo>
                  <a:pt x="8330179" y="1390830"/>
                  <a:pt x="8314806" y="1375238"/>
                  <a:pt x="8295839" y="1375238"/>
                </a:cubicBezTo>
                <a:close/>
                <a:moveTo>
                  <a:pt x="8379580" y="1375238"/>
                </a:moveTo>
                <a:cubicBezTo>
                  <a:pt x="8360613" y="1375238"/>
                  <a:pt x="8345227" y="1390830"/>
                  <a:pt x="8345227" y="1410059"/>
                </a:cubicBezTo>
                <a:cubicBezTo>
                  <a:pt x="8345227" y="1429287"/>
                  <a:pt x="8360613" y="1444879"/>
                  <a:pt x="8379580" y="1444879"/>
                </a:cubicBezTo>
                <a:cubicBezTo>
                  <a:pt x="8398547" y="1444879"/>
                  <a:pt x="8413921" y="1429287"/>
                  <a:pt x="8413921" y="1410059"/>
                </a:cubicBezTo>
                <a:cubicBezTo>
                  <a:pt x="8413921" y="1390830"/>
                  <a:pt x="8398547" y="1375238"/>
                  <a:pt x="8379580" y="1375238"/>
                </a:cubicBezTo>
                <a:close/>
                <a:moveTo>
                  <a:pt x="8463323" y="1375238"/>
                </a:moveTo>
                <a:cubicBezTo>
                  <a:pt x="8444356" y="1375238"/>
                  <a:pt x="8428970" y="1390830"/>
                  <a:pt x="8428970" y="1410059"/>
                </a:cubicBezTo>
                <a:cubicBezTo>
                  <a:pt x="8428970" y="1429287"/>
                  <a:pt x="8444356" y="1444879"/>
                  <a:pt x="8463323" y="1444879"/>
                </a:cubicBezTo>
                <a:cubicBezTo>
                  <a:pt x="8482290" y="1444879"/>
                  <a:pt x="8497663" y="1429287"/>
                  <a:pt x="8497663" y="1410059"/>
                </a:cubicBezTo>
                <a:cubicBezTo>
                  <a:pt x="8497663" y="1390830"/>
                  <a:pt x="8482290" y="1375238"/>
                  <a:pt x="8463323" y="1375238"/>
                </a:cubicBezTo>
                <a:close/>
                <a:moveTo>
                  <a:pt x="8547064" y="1375238"/>
                </a:moveTo>
                <a:cubicBezTo>
                  <a:pt x="8528097" y="1375238"/>
                  <a:pt x="8512711" y="1390830"/>
                  <a:pt x="8512711" y="1410059"/>
                </a:cubicBezTo>
                <a:cubicBezTo>
                  <a:pt x="8512711" y="1429287"/>
                  <a:pt x="8528097" y="1444879"/>
                  <a:pt x="8547064" y="1444879"/>
                </a:cubicBezTo>
                <a:cubicBezTo>
                  <a:pt x="8566031" y="1444879"/>
                  <a:pt x="8581404" y="1429287"/>
                  <a:pt x="8581404" y="1410059"/>
                </a:cubicBezTo>
                <a:cubicBezTo>
                  <a:pt x="8581404" y="1390830"/>
                  <a:pt x="8566031" y="1375238"/>
                  <a:pt x="8547064" y="1375238"/>
                </a:cubicBezTo>
                <a:close/>
                <a:moveTo>
                  <a:pt x="8630805" y="1375238"/>
                </a:moveTo>
                <a:cubicBezTo>
                  <a:pt x="8611838" y="1375238"/>
                  <a:pt x="8596452" y="1390830"/>
                  <a:pt x="8596452" y="1410059"/>
                </a:cubicBezTo>
                <a:cubicBezTo>
                  <a:pt x="8596452" y="1429287"/>
                  <a:pt x="8611838" y="1444879"/>
                  <a:pt x="8630805" y="1444879"/>
                </a:cubicBezTo>
                <a:cubicBezTo>
                  <a:pt x="8649772" y="1444879"/>
                  <a:pt x="8665145" y="1429287"/>
                  <a:pt x="8665145" y="1410059"/>
                </a:cubicBezTo>
                <a:cubicBezTo>
                  <a:pt x="8665145" y="1390830"/>
                  <a:pt x="8649772" y="1375238"/>
                  <a:pt x="8630805" y="1375238"/>
                </a:cubicBezTo>
                <a:close/>
                <a:moveTo>
                  <a:pt x="8714547" y="1375238"/>
                </a:moveTo>
                <a:cubicBezTo>
                  <a:pt x="8695580" y="1375238"/>
                  <a:pt x="8680194" y="1390830"/>
                  <a:pt x="8680194" y="1410059"/>
                </a:cubicBezTo>
                <a:cubicBezTo>
                  <a:pt x="8680194" y="1429287"/>
                  <a:pt x="8695580" y="1444879"/>
                  <a:pt x="8714547" y="1444879"/>
                </a:cubicBezTo>
                <a:cubicBezTo>
                  <a:pt x="8733514" y="1444879"/>
                  <a:pt x="8748888" y="1429287"/>
                  <a:pt x="8748888" y="1410059"/>
                </a:cubicBezTo>
                <a:cubicBezTo>
                  <a:pt x="8748888" y="1390830"/>
                  <a:pt x="8733514" y="1375238"/>
                  <a:pt x="8714547" y="1375238"/>
                </a:cubicBezTo>
                <a:close/>
                <a:moveTo>
                  <a:pt x="8798289" y="1375238"/>
                </a:moveTo>
                <a:cubicBezTo>
                  <a:pt x="8779322" y="1375238"/>
                  <a:pt x="8763936" y="1390830"/>
                  <a:pt x="8763936" y="1410059"/>
                </a:cubicBezTo>
                <a:cubicBezTo>
                  <a:pt x="8763936" y="1429287"/>
                  <a:pt x="8779322" y="1444879"/>
                  <a:pt x="8798289" y="1444879"/>
                </a:cubicBezTo>
                <a:cubicBezTo>
                  <a:pt x="8817256" y="1444879"/>
                  <a:pt x="8832629" y="1429287"/>
                  <a:pt x="8832629" y="1410059"/>
                </a:cubicBezTo>
                <a:cubicBezTo>
                  <a:pt x="8832629" y="1390830"/>
                  <a:pt x="8817256" y="1375238"/>
                  <a:pt x="8798289" y="1375238"/>
                </a:cubicBezTo>
                <a:close/>
                <a:moveTo>
                  <a:pt x="8882030" y="1375238"/>
                </a:moveTo>
                <a:cubicBezTo>
                  <a:pt x="8863063" y="1375238"/>
                  <a:pt x="8847677" y="1390830"/>
                  <a:pt x="8847677" y="1410059"/>
                </a:cubicBezTo>
                <a:cubicBezTo>
                  <a:pt x="8847677" y="1429287"/>
                  <a:pt x="8863063" y="1444879"/>
                  <a:pt x="8882030" y="1444879"/>
                </a:cubicBezTo>
                <a:cubicBezTo>
                  <a:pt x="8900997" y="1444879"/>
                  <a:pt x="8916370" y="1429287"/>
                  <a:pt x="8916370" y="1410059"/>
                </a:cubicBezTo>
                <a:cubicBezTo>
                  <a:pt x="8916370" y="1390830"/>
                  <a:pt x="8900997" y="1375238"/>
                  <a:pt x="8882030" y="1375238"/>
                </a:cubicBezTo>
                <a:close/>
                <a:moveTo>
                  <a:pt x="8965772" y="1375238"/>
                </a:moveTo>
                <a:cubicBezTo>
                  <a:pt x="8946805" y="1375238"/>
                  <a:pt x="8931419" y="1390830"/>
                  <a:pt x="8931419" y="1410059"/>
                </a:cubicBezTo>
                <a:cubicBezTo>
                  <a:pt x="8931419" y="1429287"/>
                  <a:pt x="8946805" y="1444879"/>
                  <a:pt x="8965772" y="1444879"/>
                </a:cubicBezTo>
                <a:cubicBezTo>
                  <a:pt x="8984739" y="1444879"/>
                  <a:pt x="9000112" y="1429287"/>
                  <a:pt x="9000112" y="1410059"/>
                </a:cubicBezTo>
                <a:cubicBezTo>
                  <a:pt x="9000112" y="1390830"/>
                  <a:pt x="8984739" y="1375238"/>
                  <a:pt x="8965772" y="1375238"/>
                </a:cubicBezTo>
                <a:close/>
                <a:moveTo>
                  <a:pt x="9049513" y="1375238"/>
                </a:moveTo>
                <a:cubicBezTo>
                  <a:pt x="9030546" y="1375238"/>
                  <a:pt x="9015160" y="1390830"/>
                  <a:pt x="9015160" y="1410059"/>
                </a:cubicBezTo>
                <a:cubicBezTo>
                  <a:pt x="9015160" y="1429287"/>
                  <a:pt x="9030546" y="1444879"/>
                  <a:pt x="9049513" y="1444879"/>
                </a:cubicBezTo>
                <a:cubicBezTo>
                  <a:pt x="9068480" y="1444879"/>
                  <a:pt x="9083854" y="1429287"/>
                  <a:pt x="9083854" y="1410059"/>
                </a:cubicBezTo>
                <a:cubicBezTo>
                  <a:pt x="9083854" y="1390830"/>
                  <a:pt x="9068480" y="1375238"/>
                  <a:pt x="9049513" y="1375238"/>
                </a:cubicBezTo>
                <a:close/>
                <a:moveTo>
                  <a:pt x="9133256" y="1375238"/>
                </a:moveTo>
                <a:cubicBezTo>
                  <a:pt x="9114289" y="1375238"/>
                  <a:pt x="9098903" y="1390830"/>
                  <a:pt x="9098903" y="1410059"/>
                </a:cubicBezTo>
                <a:cubicBezTo>
                  <a:pt x="9098903" y="1429287"/>
                  <a:pt x="9114289" y="1444879"/>
                  <a:pt x="9133256" y="1444879"/>
                </a:cubicBezTo>
                <a:cubicBezTo>
                  <a:pt x="9152223" y="1444879"/>
                  <a:pt x="9167596" y="1429287"/>
                  <a:pt x="9167596" y="1410059"/>
                </a:cubicBezTo>
                <a:cubicBezTo>
                  <a:pt x="9167596" y="1390830"/>
                  <a:pt x="9152223" y="1375238"/>
                  <a:pt x="9133256" y="1375238"/>
                </a:cubicBezTo>
                <a:close/>
                <a:moveTo>
                  <a:pt x="9216997" y="1375238"/>
                </a:moveTo>
                <a:cubicBezTo>
                  <a:pt x="9198030" y="1375238"/>
                  <a:pt x="9182644" y="1390830"/>
                  <a:pt x="9182644" y="1410059"/>
                </a:cubicBezTo>
                <a:cubicBezTo>
                  <a:pt x="9182644" y="1429287"/>
                  <a:pt x="9198030" y="1444879"/>
                  <a:pt x="9216997" y="1444879"/>
                </a:cubicBezTo>
                <a:cubicBezTo>
                  <a:pt x="9235964" y="1444879"/>
                  <a:pt x="9251337" y="1429287"/>
                  <a:pt x="9251337" y="1410059"/>
                </a:cubicBezTo>
                <a:cubicBezTo>
                  <a:pt x="9251337" y="1390830"/>
                  <a:pt x="9235964" y="1375238"/>
                  <a:pt x="9216997" y="1375238"/>
                </a:cubicBezTo>
                <a:close/>
                <a:moveTo>
                  <a:pt x="9300738" y="1375238"/>
                </a:moveTo>
                <a:cubicBezTo>
                  <a:pt x="9281771" y="1375238"/>
                  <a:pt x="9266385" y="1390830"/>
                  <a:pt x="9266385" y="1410059"/>
                </a:cubicBezTo>
                <a:cubicBezTo>
                  <a:pt x="9266385" y="1429287"/>
                  <a:pt x="9281771" y="1444879"/>
                  <a:pt x="9300738" y="1444879"/>
                </a:cubicBezTo>
                <a:cubicBezTo>
                  <a:pt x="9319705" y="1444879"/>
                  <a:pt x="9335078" y="1429287"/>
                  <a:pt x="9335078" y="1410059"/>
                </a:cubicBezTo>
                <a:cubicBezTo>
                  <a:pt x="9335078" y="1390830"/>
                  <a:pt x="9319705" y="1375238"/>
                  <a:pt x="9300738" y="1375238"/>
                </a:cubicBezTo>
                <a:close/>
                <a:moveTo>
                  <a:pt x="9384480" y="1375238"/>
                </a:moveTo>
                <a:cubicBezTo>
                  <a:pt x="9365513" y="1375238"/>
                  <a:pt x="9350127" y="1390830"/>
                  <a:pt x="9350127" y="1410059"/>
                </a:cubicBezTo>
                <a:cubicBezTo>
                  <a:pt x="9350127" y="1429287"/>
                  <a:pt x="9365513" y="1444879"/>
                  <a:pt x="9384480" y="1444879"/>
                </a:cubicBezTo>
                <a:cubicBezTo>
                  <a:pt x="9403447" y="1444879"/>
                  <a:pt x="9418821" y="1429287"/>
                  <a:pt x="9418821" y="1410059"/>
                </a:cubicBezTo>
                <a:cubicBezTo>
                  <a:pt x="9418821" y="1390830"/>
                  <a:pt x="9403447" y="1375238"/>
                  <a:pt x="9384480" y="1375238"/>
                </a:cubicBezTo>
                <a:close/>
                <a:moveTo>
                  <a:pt x="9468222" y="1375238"/>
                </a:moveTo>
                <a:cubicBezTo>
                  <a:pt x="9449255" y="1375238"/>
                  <a:pt x="9433869" y="1390830"/>
                  <a:pt x="9433869" y="1410059"/>
                </a:cubicBezTo>
                <a:cubicBezTo>
                  <a:pt x="9433869" y="1429287"/>
                  <a:pt x="9449255" y="1444879"/>
                  <a:pt x="9468222" y="1444879"/>
                </a:cubicBezTo>
                <a:cubicBezTo>
                  <a:pt x="9487189" y="1444879"/>
                  <a:pt x="9502562" y="1429287"/>
                  <a:pt x="9502562" y="1410059"/>
                </a:cubicBezTo>
                <a:cubicBezTo>
                  <a:pt x="9502562" y="1390830"/>
                  <a:pt x="9487189" y="1375238"/>
                  <a:pt x="9468222" y="1375238"/>
                </a:cubicBezTo>
                <a:close/>
                <a:moveTo>
                  <a:pt x="9551963" y="1375238"/>
                </a:moveTo>
                <a:cubicBezTo>
                  <a:pt x="9532996" y="1375238"/>
                  <a:pt x="9517610" y="1390830"/>
                  <a:pt x="9517610" y="1410059"/>
                </a:cubicBezTo>
                <a:cubicBezTo>
                  <a:pt x="9517610" y="1429287"/>
                  <a:pt x="9532996" y="1444879"/>
                  <a:pt x="9551963" y="1444879"/>
                </a:cubicBezTo>
                <a:cubicBezTo>
                  <a:pt x="9570930" y="1444879"/>
                  <a:pt x="9586303" y="1429287"/>
                  <a:pt x="9586303" y="1410059"/>
                </a:cubicBezTo>
                <a:cubicBezTo>
                  <a:pt x="9586303" y="1390830"/>
                  <a:pt x="9570930" y="1375238"/>
                  <a:pt x="9551963" y="1375238"/>
                </a:cubicBezTo>
                <a:close/>
                <a:moveTo>
                  <a:pt x="9635705" y="1375238"/>
                </a:moveTo>
                <a:cubicBezTo>
                  <a:pt x="9616738" y="1375238"/>
                  <a:pt x="9601352" y="1390830"/>
                  <a:pt x="9601352" y="1410059"/>
                </a:cubicBezTo>
                <a:cubicBezTo>
                  <a:pt x="9601352" y="1429287"/>
                  <a:pt x="9616738" y="1444879"/>
                  <a:pt x="9635705" y="1444879"/>
                </a:cubicBezTo>
                <a:cubicBezTo>
                  <a:pt x="9654672" y="1444879"/>
                  <a:pt x="9670045" y="1429287"/>
                  <a:pt x="9670045" y="1410059"/>
                </a:cubicBezTo>
                <a:cubicBezTo>
                  <a:pt x="9670045" y="1390830"/>
                  <a:pt x="9654672" y="1375238"/>
                  <a:pt x="9635705" y="1375238"/>
                </a:cubicBezTo>
                <a:close/>
                <a:moveTo>
                  <a:pt x="9719446" y="1375238"/>
                </a:moveTo>
                <a:cubicBezTo>
                  <a:pt x="9700479" y="1375238"/>
                  <a:pt x="9685093" y="1390830"/>
                  <a:pt x="9685093" y="1410059"/>
                </a:cubicBezTo>
                <a:cubicBezTo>
                  <a:pt x="9685093" y="1429287"/>
                  <a:pt x="9700479" y="1444879"/>
                  <a:pt x="9719446" y="1444879"/>
                </a:cubicBezTo>
                <a:cubicBezTo>
                  <a:pt x="9738413" y="1444879"/>
                  <a:pt x="9753787" y="1429287"/>
                  <a:pt x="9753787" y="1410059"/>
                </a:cubicBezTo>
                <a:cubicBezTo>
                  <a:pt x="9753787" y="1390830"/>
                  <a:pt x="9738413" y="1375238"/>
                  <a:pt x="9719446" y="1375238"/>
                </a:cubicBezTo>
                <a:close/>
                <a:moveTo>
                  <a:pt x="9803189" y="1375238"/>
                </a:moveTo>
                <a:cubicBezTo>
                  <a:pt x="9784222" y="1375238"/>
                  <a:pt x="9768836" y="1390830"/>
                  <a:pt x="9768836" y="1410059"/>
                </a:cubicBezTo>
                <a:cubicBezTo>
                  <a:pt x="9768836" y="1429287"/>
                  <a:pt x="9784222" y="1444879"/>
                  <a:pt x="9803189" y="1444879"/>
                </a:cubicBezTo>
                <a:cubicBezTo>
                  <a:pt x="9822156" y="1444879"/>
                  <a:pt x="9837529" y="1429287"/>
                  <a:pt x="9837529" y="1410059"/>
                </a:cubicBezTo>
                <a:cubicBezTo>
                  <a:pt x="9837529" y="1390830"/>
                  <a:pt x="9822156" y="1375238"/>
                  <a:pt x="9803189" y="1375238"/>
                </a:cubicBezTo>
                <a:close/>
                <a:moveTo>
                  <a:pt x="9886930" y="1375238"/>
                </a:moveTo>
                <a:cubicBezTo>
                  <a:pt x="9867963" y="1375238"/>
                  <a:pt x="9852577" y="1390830"/>
                  <a:pt x="9852577" y="1410059"/>
                </a:cubicBezTo>
                <a:cubicBezTo>
                  <a:pt x="9852577" y="1429287"/>
                  <a:pt x="9867963" y="1444879"/>
                  <a:pt x="9886930" y="1444879"/>
                </a:cubicBezTo>
                <a:cubicBezTo>
                  <a:pt x="9905897" y="1444879"/>
                  <a:pt x="9921270" y="1429287"/>
                  <a:pt x="9921270" y="1410059"/>
                </a:cubicBezTo>
                <a:cubicBezTo>
                  <a:pt x="9921270" y="1390830"/>
                  <a:pt x="9905897" y="1375238"/>
                  <a:pt x="9886930" y="1375238"/>
                </a:cubicBezTo>
                <a:close/>
                <a:moveTo>
                  <a:pt x="9970671" y="1375238"/>
                </a:moveTo>
                <a:cubicBezTo>
                  <a:pt x="9951704" y="1375238"/>
                  <a:pt x="9936318" y="1390830"/>
                  <a:pt x="9936318" y="1410059"/>
                </a:cubicBezTo>
                <a:cubicBezTo>
                  <a:pt x="9936318" y="1429287"/>
                  <a:pt x="9951704" y="1444879"/>
                  <a:pt x="9970671" y="1444879"/>
                </a:cubicBezTo>
                <a:cubicBezTo>
                  <a:pt x="9989638" y="1444879"/>
                  <a:pt x="10005011" y="1429287"/>
                  <a:pt x="10005011" y="1410059"/>
                </a:cubicBezTo>
                <a:cubicBezTo>
                  <a:pt x="10005011" y="1390830"/>
                  <a:pt x="9989638" y="1375238"/>
                  <a:pt x="9970671" y="1375238"/>
                </a:cubicBezTo>
                <a:close/>
                <a:moveTo>
                  <a:pt x="10054413" y="1375238"/>
                </a:moveTo>
                <a:cubicBezTo>
                  <a:pt x="10035446" y="1375238"/>
                  <a:pt x="10020060" y="1390830"/>
                  <a:pt x="10020060" y="1410059"/>
                </a:cubicBezTo>
                <a:cubicBezTo>
                  <a:pt x="10020060" y="1429287"/>
                  <a:pt x="10035446" y="1444879"/>
                  <a:pt x="10054413" y="1444879"/>
                </a:cubicBezTo>
                <a:cubicBezTo>
                  <a:pt x="10073380" y="1444879"/>
                  <a:pt x="10088754" y="1429287"/>
                  <a:pt x="10088754" y="1410059"/>
                </a:cubicBezTo>
                <a:cubicBezTo>
                  <a:pt x="10088754" y="1390830"/>
                  <a:pt x="10073380" y="1375238"/>
                  <a:pt x="10054413" y="1375238"/>
                </a:cubicBezTo>
                <a:close/>
                <a:moveTo>
                  <a:pt x="10138155" y="1375238"/>
                </a:moveTo>
                <a:cubicBezTo>
                  <a:pt x="10119188" y="1375238"/>
                  <a:pt x="10103802" y="1390830"/>
                  <a:pt x="10103802" y="1410059"/>
                </a:cubicBezTo>
                <a:cubicBezTo>
                  <a:pt x="10103802" y="1429287"/>
                  <a:pt x="10119188" y="1444879"/>
                  <a:pt x="10138155" y="1444879"/>
                </a:cubicBezTo>
                <a:cubicBezTo>
                  <a:pt x="10157122" y="1444879"/>
                  <a:pt x="10172495" y="1429287"/>
                  <a:pt x="10172495" y="1410059"/>
                </a:cubicBezTo>
                <a:cubicBezTo>
                  <a:pt x="10172495" y="1390830"/>
                  <a:pt x="10157122" y="1375238"/>
                  <a:pt x="10138155" y="1375238"/>
                </a:cubicBezTo>
                <a:close/>
                <a:moveTo>
                  <a:pt x="10221896" y="1375238"/>
                </a:moveTo>
                <a:cubicBezTo>
                  <a:pt x="10202929" y="1375238"/>
                  <a:pt x="10187543" y="1390830"/>
                  <a:pt x="10187543" y="1410059"/>
                </a:cubicBezTo>
                <a:cubicBezTo>
                  <a:pt x="10187543" y="1429287"/>
                  <a:pt x="10202929" y="1444879"/>
                  <a:pt x="10221896" y="1444879"/>
                </a:cubicBezTo>
                <a:cubicBezTo>
                  <a:pt x="10240863" y="1444879"/>
                  <a:pt x="10256236" y="1429287"/>
                  <a:pt x="10256236" y="1410059"/>
                </a:cubicBezTo>
                <a:cubicBezTo>
                  <a:pt x="10256236" y="1390830"/>
                  <a:pt x="10240863" y="1375238"/>
                  <a:pt x="10221896" y="1375238"/>
                </a:cubicBezTo>
                <a:close/>
                <a:moveTo>
                  <a:pt x="10305638" y="1375238"/>
                </a:moveTo>
                <a:cubicBezTo>
                  <a:pt x="10286671" y="1375238"/>
                  <a:pt x="10271285" y="1390830"/>
                  <a:pt x="10271285" y="1410059"/>
                </a:cubicBezTo>
                <a:cubicBezTo>
                  <a:pt x="10271285" y="1429287"/>
                  <a:pt x="10286671" y="1444879"/>
                  <a:pt x="10305638" y="1444879"/>
                </a:cubicBezTo>
                <a:cubicBezTo>
                  <a:pt x="10324605" y="1444879"/>
                  <a:pt x="10339978" y="1429287"/>
                  <a:pt x="10339978" y="1410059"/>
                </a:cubicBezTo>
                <a:cubicBezTo>
                  <a:pt x="10339978" y="1390830"/>
                  <a:pt x="10324605" y="1375238"/>
                  <a:pt x="10305638" y="1375238"/>
                </a:cubicBezTo>
                <a:close/>
                <a:moveTo>
                  <a:pt x="10389379" y="1375238"/>
                </a:moveTo>
                <a:cubicBezTo>
                  <a:pt x="10370412" y="1375238"/>
                  <a:pt x="10355026" y="1390830"/>
                  <a:pt x="10355026" y="1410059"/>
                </a:cubicBezTo>
                <a:cubicBezTo>
                  <a:pt x="10355026" y="1429287"/>
                  <a:pt x="10370412" y="1444879"/>
                  <a:pt x="10389379" y="1444879"/>
                </a:cubicBezTo>
                <a:cubicBezTo>
                  <a:pt x="10408346" y="1444879"/>
                  <a:pt x="10423720" y="1429287"/>
                  <a:pt x="10423720" y="1410059"/>
                </a:cubicBezTo>
                <a:cubicBezTo>
                  <a:pt x="10423720" y="1390830"/>
                  <a:pt x="10408346" y="1375238"/>
                  <a:pt x="10389379" y="1375238"/>
                </a:cubicBezTo>
                <a:close/>
                <a:moveTo>
                  <a:pt x="1512741" y="1460103"/>
                </a:moveTo>
                <a:cubicBezTo>
                  <a:pt x="1493774" y="1460103"/>
                  <a:pt x="1478395" y="1475695"/>
                  <a:pt x="1478395" y="1494923"/>
                </a:cubicBezTo>
                <a:cubicBezTo>
                  <a:pt x="1478395" y="1514152"/>
                  <a:pt x="1493774" y="1529744"/>
                  <a:pt x="1512741" y="1529744"/>
                </a:cubicBezTo>
                <a:cubicBezTo>
                  <a:pt x="1531708" y="1529744"/>
                  <a:pt x="1547088" y="1514152"/>
                  <a:pt x="1547088" y="1494923"/>
                </a:cubicBezTo>
                <a:cubicBezTo>
                  <a:pt x="1547088" y="1475695"/>
                  <a:pt x="1531708" y="1460103"/>
                  <a:pt x="1512741" y="1460103"/>
                </a:cubicBezTo>
                <a:close/>
                <a:moveTo>
                  <a:pt x="1596483" y="1460103"/>
                </a:moveTo>
                <a:cubicBezTo>
                  <a:pt x="1577516" y="1460103"/>
                  <a:pt x="1562136" y="1475695"/>
                  <a:pt x="1562136" y="1494923"/>
                </a:cubicBezTo>
                <a:cubicBezTo>
                  <a:pt x="1562136" y="1514152"/>
                  <a:pt x="1577516" y="1529744"/>
                  <a:pt x="1596483" y="1529744"/>
                </a:cubicBezTo>
                <a:cubicBezTo>
                  <a:pt x="1615450" y="1529744"/>
                  <a:pt x="1630829" y="1514152"/>
                  <a:pt x="1630829" y="1494923"/>
                </a:cubicBezTo>
                <a:cubicBezTo>
                  <a:pt x="1630829" y="1475695"/>
                  <a:pt x="1615450" y="1460103"/>
                  <a:pt x="1596483" y="1460103"/>
                </a:cubicBezTo>
                <a:close/>
                <a:moveTo>
                  <a:pt x="1680225" y="1460103"/>
                </a:moveTo>
                <a:cubicBezTo>
                  <a:pt x="1661258" y="1460103"/>
                  <a:pt x="1645878" y="1475695"/>
                  <a:pt x="1645878" y="1494923"/>
                </a:cubicBezTo>
                <a:cubicBezTo>
                  <a:pt x="1645878" y="1514152"/>
                  <a:pt x="1661258" y="1529744"/>
                  <a:pt x="1680225" y="1529744"/>
                </a:cubicBezTo>
                <a:cubicBezTo>
                  <a:pt x="1699192" y="1529744"/>
                  <a:pt x="1714572" y="1514152"/>
                  <a:pt x="1714572" y="1494923"/>
                </a:cubicBezTo>
                <a:cubicBezTo>
                  <a:pt x="1714572" y="1475695"/>
                  <a:pt x="1699192" y="1460103"/>
                  <a:pt x="1680225" y="1460103"/>
                </a:cubicBezTo>
                <a:close/>
                <a:moveTo>
                  <a:pt x="1763966" y="1460103"/>
                </a:moveTo>
                <a:cubicBezTo>
                  <a:pt x="1744999" y="1460103"/>
                  <a:pt x="1729620" y="1475695"/>
                  <a:pt x="1729620" y="1494923"/>
                </a:cubicBezTo>
                <a:cubicBezTo>
                  <a:pt x="1729620" y="1514152"/>
                  <a:pt x="1744999" y="1529744"/>
                  <a:pt x="1763966" y="1529744"/>
                </a:cubicBezTo>
                <a:cubicBezTo>
                  <a:pt x="1782933" y="1529744"/>
                  <a:pt x="1798313" y="1514152"/>
                  <a:pt x="1798313" y="1494923"/>
                </a:cubicBezTo>
                <a:cubicBezTo>
                  <a:pt x="1798313" y="1475695"/>
                  <a:pt x="1782933" y="1460103"/>
                  <a:pt x="1763966" y="1460103"/>
                </a:cubicBezTo>
                <a:close/>
                <a:moveTo>
                  <a:pt x="1847707" y="1460103"/>
                </a:moveTo>
                <a:cubicBezTo>
                  <a:pt x="1828740" y="1460103"/>
                  <a:pt x="1813361" y="1475695"/>
                  <a:pt x="1813361" y="1494923"/>
                </a:cubicBezTo>
                <a:cubicBezTo>
                  <a:pt x="1813361" y="1514152"/>
                  <a:pt x="1828740" y="1529744"/>
                  <a:pt x="1847707" y="1529744"/>
                </a:cubicBezTo>
                <a:cubicBezTo>
                  <a:pt x="1866674" y="1529744"/>
                  <a:pt x="1882054" y="1514152"/>
                  <a:pt x="1882054" y="1494923"/>
                </a:cubicBezTo>
                <a:cubicBezTo>
                  <a:pt x="1882054" y="1475695"/>
                  <a:pt x="1866674" y="1460103"/>
                  <a:pt x="1847707" y="1460103"/>
                </a:cubicBezTo>
                <a:close/>
                <a:moveTo>
                  <a:pt x="1931450" y="1460103"/>
                </a:moveTo>
                <a:cubicBezTo>
                  <a:pt x="1912483" y="1460103"/>
                  <a:pt x="1897103" y="1475695"/>
                  <a:pt x="1897103" y="1494923"/>
                </a:cubicBezTo>
                <a:cubicBezTo>
                  <a:pt x="1897103" y="1514152"/>
                  <a:pt x="1912483" y="1529744"/>
                  <a:pt x="1931450" y="1529744"/>
                </a:cubicBezTo>
                <a:cubicBezTo>
                  <a:pt x="1950417" y="1529744"/>
                  <a:pt x="1965796" y="1514152"/>
                  <a:pt x="1965796" y="1494923"/>
                </a:cubicBezTo>
                <a:cubicBezTo>
                  <a:pt x="1965796" y="1475695"/>
                  <a:pt x="1950417" y="1460103"/>
                  <a:pt x="1931450" y="1460103"/>
                </a:cubicBezTo>
                <a:close/>
                <a:moveTo>
                  <a:pt x="2015191" y="1460103"/>
                </a:moveTo>
                <a:cubicBezTo>
                  <a:pt x="1996224" y="1460103"/>
                  <a:pt x="1980844" y="1475695"/>
                  <a:pt x="1980844" y="1494923"/>
                </a:cubicBezTo>
                <a:cubicBezTo>
                  <a:pt x="1980844" y="1514152"/>
                  <a:pt x="1996224" y="1529744"/>
                  <a:pt x="2015191" y="1529744"/>
                </a:cubicBezTo>
                <a:cubicBezTo>
                  <a:pt x="2034158" y="1529744"/>
                  <a:pt x="2049538" y="1514152"/>
                  <a:pt x="2049538" y="1494923"/>
                </a:cubicBezTo>
                <a:cubicBezTo>
                  <a:pt x="2049538" y="1475695"/>
                  <a:pt x="2034158" y="1460103"/>
                  <a:pt x="2015191" y="1460103"/>
                </a:cubicBezTo>
                <a:close/>
                <a:moveTo>
                  <a:pt x="2098932" y="1460103"/>
                </a:moveTo>
                <a:cubicBezTo>
                  <a:pt x="2079965" y="1460103"/>
                  <a:pt x="2064586" y="1475695"/>
                  <a:pt x="2064586" y="1494923"/>
                </a:cubicBezTo>
                <a:cubicBezTo>
                  <a:pt x="2064586" y="1514152"/>
                  <a:pt x="2079965" y="1529744"/>
                  <a:pt x="2098932" y="1529744"/>
                </a:cubicBezTo>
                <a:cubicBezTo>
                  <a:pt x="2117899" y="1529744"/>
                  <a:pt x="2133279" y="1514152"/>
                  <a:pt x="2133279" y="1494923"/>
                </a:cubicBezTo>
                <a:cubicBezTo>
                  <a:pt x="2133279" y="1475695"/>
                  <a:pt x="2117899" y="1460103"/>
                  <a:pt x="2098932" y="1460103"/>
                </a:cubicBezTo>
                <a:close/>
                <a:moveTo>
                  <a:pt x="2182674" y="1460103"/>
                </a:moveTo>
                <a:cubicBezTo>
                  <a:pt x="2163707" y="1460103"/>
                  <a:pt x="2148328" y="1475695"/>
                  <a:pt x="2148328" y="1494923"/>
                </a:cubicBezTo>
                <a:cubicBezTo>
                  <a:pt x="2148328" y="1514152"/>
                  <a:pt x="2163707" y="1529744"/>
                  <a:pt x="2182674" y="1529744"/>
                </a:cubicBezTo>
                <a:cubicBezTo>
                  <a:pt x="2201641" y="1529744"/>
                  <a:pt x="2217021" y="1514152"/>
                  <a:pt x="2217021" y="1494923"/>
                </a:cubicBezTo>
                <a:cubicBezTo>
                  <a:pt x="2217021" y="1475695"/>
                  <a:pt x="2201641" y="1460103"/>
                  <a:pt x="2182674" y="1460103"/>
                </a:cubicBezTo>
                <a:close/>
                <a:moveTo>
                  <a:pt x="2266416" y="1460103"/>
                </a:moveTo>
                <a:cubicBezTo>
                  <a:pt x="2247449" y="1460103"/>
                  <a:pt x="2232069" y="1475695"/>
                  <a:pt x="2232069" y="1494923"/>
                </a:cubicBezTo>
                <a:cubicBezTo>
                  <a:pt x="2232069" y="1514152"/>
                  <a:pt x="2247449" y="1529744"/>
                  <a:pt x="2266416" y="1529744"/>
                </a:cubicBezTo>
                <a:cubicBezTo>
                  <a:pt x="2285383" y="1529744"/>
                  <a:pt x="2300762" y="1514152"/>
                  <a:pt x="2300762" y="1494923"/>
                </a:cubicBezTo>
                <a:cubicBezTo>
                  <a:pt x="2300762" y="1475695"/>
                  <a:pt x="2285383" y="1460103"/>
                  <a:pt x="2266416" y="1460103"/>
                </a:cubicBezTo>
                <a:close/>
                <a:moveTo>
                  <a:pt x="2350151" y="1460103"/>
                </a:moveTo>
                <a:cubicBezTo>
                  <a:pt x="2331184" y="1460103"/>
                  <a:pt x="2315804" y="1475695"/>
                  <a:pt x="2315804" y="1494923"/>
                </a:cubicBezTo>
                <a:cubicBezTo>
                  <a:pt x="2315804" y="1514152"/>
                  <a:pt x="2331184" y="1529744"/>
                  <a:pt x="2350151" y="1529744"/>
                </a:cubicBezTo>
                <a:cubicBezTo>
                  <a:pt x="2369118" y="1529744"/>
                  <a:pt x="2384498" y="1514152"/>
                  <a:pt x="2384498" y="1494923"/>
                </a:cubicBezTo>
                <a:cubicBezTo>
                  <a:pt x="2384498" y="1475695"/>
                  <a:pt x="2369118" y="1460103"/>
                  <a:pt x="2350151" y="1460103"/>
                </a:cubicBezTo>
                <a:close/>
                <a:moveTo>
                  <a:pt x="2433893" y="1460103"/>
                </a:moveTo>
                <a:cubicBezTo>
                  <a:pt x="2414926" y="1460103"/>
                  <a:pt x="2399546" y="1475695"/>
                  <a:pt x="2399546" y="1494923"/>
                </a:cubicBezTo>
                <a:cubicBezTo>
                  <a:pt x="2399546" y="1514152"/>
                  <a:pt x="2414926" y="1529744"/>
                  <a:pt x="2433893" y="1529744"/>
                </a:cubicBezTo>
                <a:cubicBezTo>
                  <a:pt x="2452860" y="1529744"/>
                  <a:pt x="2468240" y="1514152"/>
                  <a:pt x="2468240" y="1494923"/>
                </a:cubicBezTo>
                <a:cubicBezTo>
                  <a:pt x="2468240" y="1475695"/>
                  <a:pt x="2452860" y="1460103"/>
                  <a:pt x="2433893" y="1460103"/>
                </a:cubicBezTo>
                <a:close/>
                <a:moveTo>
                  <a:pt x="2517634" y="1460103"/>
                </a:moveTo>
                <a:cubicBezTo>
                  <a:pt x="2498667" y="1460103"/>
                  <a:pt x="2483288" y="1475695"/>
                  <a:pt x="2483288" y="1494923"/>
                </a:cubicBezTo>
                <a:cubicBezTo>
                  <a:pt x="2483288" y="1514152"/>
                  <a:pt x="2498667" y="1529744"/>
                  <a:pt x="2517634" y="1529744"/>
                </a:cubicBezTo>
                <a:cubicBezTo>
                  <a:pt x="2536601" y="1529744"/>
                  <a:pt x="2551981" y="1514152"/>
                  <a:pt x="2551981" y="1494923"/>
                </a:cubicBezTo>
                <a:cubicBezTo>
                  <a:pt x="2551981" y="1475695"/>
                  <a:pt x="2536601" y="1460103"/>
                  <a:pt x="2517634" y="1460103"/>
                </a:cubicBezTo>
                <a:close/>
                <a:moveTo>
                  <a:pt x="2601376" y="1460103"/>
                </a:moveTo>
                <a:cubicBezTo>
                  <a:pt x="2582409" y="1460103"/>
                  <a:pt x="2567029" y="1475695"/>
                  <a:pt x="2567029" y="1494923"/>
                </a:cubicBezTo>
                <a:cubicBezTo>
                  <a:pt x="2567029" y="1514152"/>
                  <a:pt x="2582409" y="1529744"/>
                  <a:pt x="2601376" y="1529744"/>
                </a:cubicBezTo>
                <a:cubicBezTo>
                  <a:pt x="2620343" y="1529744"/>
                  <a:pt x="2635722" y="1514152"/>
                  <a:pt x="2635722" y="1494923"/>
                </a:cubicBezTo>
                <a:cubicBezTo>
                  <a:pt x="2635722" y="1475695"/>
                  <a:pt x="2620343" y="1460103"/>
                  <a:pt x="2601376" y="1460103"/>
                </a:cubicBezTo>
                <a:close/>
                <a:moveTo>
                  <a:pt x="2685118" y="1460103"/>
                </a:moveTo>
                <a:cubicBezTo>
                  <a:pt x="2666151" y="1460103"/>
                  <a:pt x="2650771" y="1475695"/>
                  <a:pt x="2650771" y="1494923"/>
                </a:cubicBezTo>
                <a:cubicBezTo>
                  <a:pt x="2650771" y="1514152"/>
                  <a:pt x="2666151" y="1529744"/>
                  <a:pt x="2685118" y="1529744"/>
                </a:cubicBezTo>
                <a:cubicBezTo>
                  <a:pt x="2704085" y="1529744"/>
                  <a:pt x="2719465" y="1514152"/>
                  <a:pt x="2719465" y="1494923"/>
                </a:cubicBezTo>
                <a:cubicBezTo>
                  <a:pt x="2719465" y="1475695"/>
                  <a:pt x="2704085" y="1460103"/>
                  <a:pt x="2685118" y="1460103"/>
                </a:cubicBezTo>
                <a:close/>
                <a:moveTo>
                  <a:pt x="2936343" y="1460103"/>
                </a:moveTo>
                <a:cubicBezTo>
                  <a:pt x="2917376" y="1460103"/>
                  <a:pt x="2901996" y="1475695"/>
                  <a:pt x="2901996" y="1494923"/>
                </a:cubicBezTo>
                <a:cubicBezTo>
                  <a:pt x="2901996" y="1514152"/>
                  <a:pt x="2917376" y="1529744"/>
                  <a:pt x="2936343" y="1529744"/>
                </a:cubicBezTo>
                <a:cubicBezTo>
                  <a:pt x="2955310" y="1529744"/>
                  <a:pt x="2970689" y="1514152"/>
                  <a:pt x="2970689" y="1494923"/>
                </a:cubicBezTo>
                <a:cubicBezTo>
                  <a:pt x="2970689" y="1475695"/>
                  <a:pt x="2955310" y="1460103"/>
                  <a:pt x="2936343" y="1460103"/>
                </a:cubicBezTo>
                <a:close/>
                <a:moveTo>
                  <a:pt x="3020084" y="1460103"/>
                </a:moveTo>
                <a:cubicBezTo>
                  <a:pt x="3001117" y="1460103"/>
                  <a:pt x="2985737" y="1475695"/>
                  <a:pt x="2985737" y="1494923"/>
                </a:cubicBezTo>
                <a:cubicBezTo>
                  <a:pt x="2985737" y="1514152"/>
                  <a:pt x="3001117" y="1529744"/>
                  <a:pt x="3020084" y="1529744"/>
                </a:cubicBezTo>
                <a:cubicBezTo>
                  <a:pt x="3039051" y="1529744"/>
                  <a:pt x="3054431" y="1514152"/>
                  <a:pt x="3054431" y="1494923"/>
                </a:cubicBezTo>
                <a:cubicBezTo>
                  <a:pt x="3054431" y="1475695"/>
                  <a:pt x="3039051" y="1460103"/>
                  <a:pt x="3020084" y="1460103"/>
                </a:cubicBezTo>
                <a:close/>
                <a:moveTo>
                  <a:pt x="3103826" y="1460103"/>
                </a:moveTo>
                <a:cubicBezTo>
                  <a:pt x="3084859" y="1460103"/>
                  <a:pt x="3069479" y="1475695"/>
                  <a:pt x="3069479" y="1494923"/>
                </a:cubicBezTo>
                <a:cubicBezTo>
                  <a:pt x="3069479" y="1514152"/>
                  <a:pt x="3084859" y="1529744"/>
                  <a:pt x="3103826" y="1529744"/>
                </a:cubicBezTo>
                <a:cubicBezTo>
                  <a:pt x="3122793" y="1529744"/>
                  <a:pt x="3138173" y="1514152"/>
                  <a:pt x="3138173" y="1494923"/>
                </a:cubicBezTo>
                <a:cubicBezTo>
                  <a:pt x="3138173" y="1475695"/>
                  <a:pt x="3122793" y="1460103"/>
                  <a:pt x="3103826" y="1460103"/>
                </a:cubicBezTo>
                <a:close/>
                <a:moveTo>
                  <a:pt x="3187567" y="1460103"/>
                </a:moveTo>
                <a:cubicBezTo>
                  <a:pt x="3168600" y="1460103"/>
                  <a:pt x="3153221" y="1475695"/>
                  <a:pt x="3153221" y="1494923"/>
                </a:cubicBezTo>
                <a:cubicBezTo>
                  <a:pt x="3153221" y="1514152"/>
                  <a:pt x="3168600" y="1529744"/>
                  <a:pt x="3187567" y="1529744"/>
                </a:cubicBezTo>
                <a:cubicBezTo>
                  <a:pt x="3206534" y="1529744"/>
                  <a:pt x="3221914" y="1514152"/>
                  <a:pt x="3221914" y="1494923"/>
                </a:cubicBezTo>
                <a:cubicBezTo>
                  <a:pt x="3221914" y="1475695"/>
                  <a:pt x="3206534" y="1460103"/>
                  <a:pt x="3187567" y="1460103"/>
                </a:cubicBezTo>
                <a:close/>
                <a:moveTo>
                  <a:pt x="3271309" y="1460103"/>
                </a:moveTo>
                <a:cubicBezTo>
                  <a:pt x="3252342" y="1460103"/>
                  <a:pt x="3236962" y="1475695"/>
                  <a:pt x="3236962" y="1494923"/>
                </a:cubicBezTo>
                <a:cubicBezTo>
                  <a:pt x="3236962" y="1514152"/>
                  <a:pt x="3252342" y="1529744"/>
                  <a:pt x="3271309" y="1529744"/>
                </a:cubicBezTo>
                <a:cubicBezTo>
                  <a:pt x="3290276" y="1529744"/>
                  <a:pt x="3305655" y="1514152"/>
                  <a:pt x="3305655" y="1494923"/>
                </a:cubicBezTo>
                <a:cubicBezTo>
                  <a:pt x="3305655" y="1475695"/>
                  <a:pt x="3290276" y="1460103"/>
                  <a:pt x="3271309" y="1460103"/>
                </a:cubicBezTo>
                <a:close/>
                <a:moveTo>
                  <a:pt x="3355051" y="1460103"/>
                </a:moveTo>
                <a:cubicBezTo>
                  <a:pt x="3336084" y="1460103"/>
                  <a:pt x="3320704" y="1475695"/>
                  <a:pt x="3320704" y="1494923"/>
                </a:cubicBezTo>
                <a:cubicBezTo>
                  <a:pt x="3320704" y="1514152"/>
                  <a:pt x="3336084" y="1529744"/>
                  <a:pt x="3355051" y="1529744"/>
                </a:cubicBezTo>
                <a:cubicBezTo>
                  <a:pt x="3374018" y="1529744"/>
                  <a:pt x="3389398" y="1514152"/>
                  <a:pt x="3389398" y="1494923"/>
                </a:cubicBezTo>
                <a:cubicBezTo>
                  <a:pt x="3389398" y="1475695"/>
                  <a:pt x="3374018" y="1460103"/>
                  <a:pt x="3355051" y="1460103"/>
                </a:cubicBezTo>
                <a:close/>
                <a:moveTo>
                  <a:pt x="3438792" y="1460103"/>
                </a:moveTo>
                <a:cubicBezTo>
                  <a:pt x="3419825" y="1460103"/>
                  <a:pt x="3404445" y="1475695"/>
                  <a:pt x="3404445" y="1494923"/>
                </a:cubicBezTo>
                <a:cubicBezTo>
                  <a:pt x="3404445" y="1514152"/>
                  <a:pt x="3419825" y="1529744"/>
                  <a:pt x="3438792" y="1529744"/>
                </a:cubicBezTo>
                <a:cubicBezTo>
                  <a:pt x="3457759" y="1529744"/>
                  <a:pt x="3473139" y="1514152"/>
                  <a:pt x="3473139" y="1494923"/>
                </a:cubicBezTo>
                <a:cubicBezTo>
                  <a:pt x="3473139" y="1475695"/>
                  <a:pt x="3457759" y="1460103"/>
                  <a:pt x="3438792" y="1460103"/>
                </a:cubicBezTo>
                <a:close/>
                <a:moveTo>
                  <a:pt x="3522533" y="1460103"/>
                </a:moveTo>
                <a:cubicBezTo>
                  <a:pt x="3503566" y="1460103"/>
                  <a:pt x="3488187" y="1475695"/>
                  <a:pt x="3488187" y="1494923"/>
                </a:cubicBezTo>
                <a:cubicBezTo>
                  <a:pt x="3488187" y="1514152"/>
                  <a:pt x="3503566" y="1529744"/>
                  <a:pt x="3522533" y="1529744"/>
                </a:cubicBezTo>
                <a:cubicBezTo>
                  <a:pt x="3541500" y="1529744"/>
                  <a:pt x="3556880" y="1514152"/>
                  <a:pt x="3556880" y="1494923"/>
                </a:cubicBezTo>
                <a:cubicBezTo>
                  <a:pt x="3556880" y="1475695"/>
                  <a:pt x="3541500" y="1460103"/>
                  <a:pt x="3522533" y="1460103"/>
                </a:cubicBezTo>
                <a:close/>
                <a:moveTo>
                  <a:pt x="3606276" y="1460103"/>
                </a:moveTo>
                <a:cubicBezTo>
                  <a:pt x="3587309" y="1460103"/>
                  <a:pt x="3571929" y="1475695"/>
                  <a:pt x="3571929" y="1494923"/>
                </a:cubicBezTo>
                <a:cubicBezTo>
                  <a:pt x="3571929" y="1514152"/>
                  <a:pt x="3587309" y="1529744"/>
                  <a:pt x="3606276" y="1529744"/>
                </a:cubicBezTo>
                <a:cubicBezTo>
                  <a:pt x="3625243" y="1529744"/>
                  <a:pt x="3640622" y="1514152"/>
                  <a:pt x="3640622" y="1494923"/>
                </a:cubicBezTo>
                <a:cubicBezTo>
                  <a:pt x="3640622" y="1475695"/>
                  <a:pt x="3625243" y="1460103"/>
                  <a:pt x="3606276" y="1460103"/>
                </a:cubicBezTo>
                <a:close/>
                <a:moveTo>
                  <a:pt x="3773759" y="1460103"/>
                </a:moveTo>
                <a:cubicBezTo>
                  <a:pt x="3754792" y="1460103"/>
                  <a:pt x="3739412" y="1475695"/>
                  <a:pt x="3739412" y="1494923"/>
                </a:cubicBezTo>
                <a:cubicBezTo>
                  <a:pt x="3739412" y="1514152"/>
                  <a:pt x="3754792" y="1529744"/>
                  <a:pt x="3773759" y="1529744"/>
                </a:cubicBezTo>
                <a:cubicBezTo>
                  <a:pt x="3792726" y="1529744"/>
                  <a:pt x="3808106" y="1514152"/>
                  <a:pt x="3808106" y="1494923"/>
                </a:cubicBezTo>
                <a:cubicBezTo>
                  <a:pt x="3808106" y="1475695"/>
                  <a:pt x="3792726" y="1460103"/>
                  <a:pt x="3773759" y="1460103"/>
                </a:cubicBezTo>
                <a:close/>
                <a:moveTo>
                  <a:pt x="4108732" y="1460103"/>
                </a:moveTo>
                <a:cubicBezTo>
                  <a:pt x="4089765" y="1460103"/>
                  <a:pt x="4074386" y="1475695"/>
                  <a:pt x="4074386" y="1494923"/>
                </a:cubicBezTo>
                <a:cubicBezTo>
                  <a:pt x="4074386" y="1514152"/>
                  <a:pt x="4089765" y="1529744"/>
                  <a:pt x="4108732" y="1529744"/>
                </a:cubicBezTo>
                <a:cubicBezTo>
                  <a:pt x="4127699" y="1529744"/>
                  <a:pt x="4143079" y="1514152"/>
                  <a:pt x="4143079" y="1494923"/>
                </a:cubicBezTo>
                <a:cubicBezTo>
                  <a:pt x="4143079" y="1475695"/>
                  <a:pt x="4127699" y="1460103"/>
                  <a:pt x="4108732" y="1460103"/>
                </a:cubicBezTo>
                <a:close/>
                <a:moveTo>
                  <a:pt x="4192473" y="1460103"/>
                </a:moveTo>
                <a:cubicBezTo>
                  <a:pt x="4173506" y="1460103"/>
                  <a:pt x="4158127" y="1475695"/>
                  <a:pt x="4158127" y="1494923"/>
                </a:cubicBezTo>
                <a:cubicBezTo>
                  <a:pt x="4158127" y="1514152"/>
                  <a:pt x="4173506" y="1529744"/>
                  <a:pt x="4192473" y="1529744"/>
                </a:cubicBezTo>
                <a:cubicBezTo>
                  <a:pt x="4211440" y="1529744"/>
                  <a:pt x="4226820" y="1514152"/>
                  <a:pt x="4226820" y="1494923"/>
                </a:cubicBezTo>
                <a:cubicBezTo>
                  <a:pt x="4226820" y="1475695"/>
                  <a:pt x="4211440" y="1460103"/>
                  <a:pt x="4192473" y="1460103"/>
                </a:cubicBezTo>
                <a:close/>
                <a:moveTo>
                  <a:pt x="4527439" y="1460103"/>
                </a:moveTo>
                <a:cubicBezTo>
                  <a:pt x="4508472" y="1460103"/>
                  <a:pt x="4493093" y="1475695"/>
                  <a:pt x="4493093" y="1494923"/>
                </a:cubicBezTo>
                <a:cubicBezTo>
                  <a:pt x="4493093" y="1514152"/>
                  <a:pt x="4508472" y="1529744"/>
                  <a:pt x="4527439" y="1529744"/>
                </a:cubicBezTo>
                <a:cubicBezTo>
                  <a:pt x="4546406" y="1529744"/>
                  <a:pt x="4561786" y="1514152"/>
                  <a:pt x="4561786" y="1494923"/>
                </a:cubicBezTo>
                <a:cubicBezTo>
                  <a:pt x="4561786" y="1475695"/>
                  <a:pt x="4546406" y="1460103"/>
                  <a:pt x="4527439" y="1460103"/>
                </a:cubicBezTo>
                <a:close/>
                <a:moveTo>
                  <a:pt x="4611182" y="1460103"/>
                </a:moveTo>
                <a:cubicBezTo>
                  <a:pt x="4592215" y="1460103"/>
                  <a:pt x="4576835" y="1475695"/>
                  <a:pt x="4576835" y="1494923"/>
                </a:cubicBezTo>
                <a:cubicBezTo>
                  <a:pt x="4576835" y="1514152"/>
                  <a:pt x="4592215" y="1529744"/>
                  <a:pt x="4611182" y="1529744"/>
                </a:cubicBezTo>
                <a:cubicBezTo>
                  <a:pt x="4630149" y="1529744"/>
                  <a:pt x="4645528" y="1514152"/>
                  <a:pt x="4645528" y="1494923"/>
                </a:cubicBezTo>
                <a:cubicBezTo>
                  <a:pt x="4645528" y="1475695"/>
                  <a:pt x="4630149" y="1460103"/>
                  <a:pt x="4611182" y="1460103"/>
                </a:cubicBezTo>
                <a:close/>
                <a:moveTo>
                  <a:pt x="4694923" y="1460103"/>
                </a:moveTo>
                <a:cubicBezTo>
                  <a:pt x="4675956" y="1460103"/>
                  <a:pt x="4660576" y="1475695"/>
                  <a:pt x="4660576" y="1494923"/>
                </a:cubicBezTo>
                <a:cubicBezTo>
                  <a:pt x="4660576" y="1514152"/>
                  <a:pt x="4675956" y="1529744"/>
                  <a:pt x="4694923" y="1529744"/>
                </a:cubicBezTo>
                <a:cubicBezTo>
                  <a:pt x="4713890" y="1529744"/>
                  <a:pt x="4729270" y="1514152"/>
                  <a:pt x="4729270" y="1494923"/>
                </a:cubicBezTo>
                <a:cubicBezTo>
                  <a:pt x="4729270" y="1475695"/>
                  <a:pt x="4713890" y="1460103"/>
                  <a:pt x="4694923" y="1460103"/>
                </a:cubicBezTo>
                <a:close/>
                <a:moveTo>
                  <a:pt x="4778665" y="1460103"/>
                </a:moveTo>
                <a:cubicBezTo>
                  <a:pt x="4759698" y="1460103"/>
                  <a:pt x="4744319" y="1475695"/>
                  <a:pt x="4744319" y="1494923"/>
                </a:cubicBezTo>
                <a:cubicBezTo>
                  <a:pt x="4744319" y="1514152"/>
                  <a:pt x="4759698" y="1529744"/>
                  <a:pt x="4778665" y="1529744"/>
                </a:cubicBezTo>
                <a:cubicBezTo>
                  <a:pt x="4797632" y="1529744"/>
                  <a:pt x="4813012" y="1514152"/>
                  <a:pt x="4813012" y="1494923"/>
                </a:cubicBezTo>
                <a:cubicBezTo>
                  <a:pt x="4813012" y="1475695"/>
                  <a:pt x="4797632" y="1460103"/>
                  <a:pt x="4778665" y="1460103"/>
                </a:cubicBezTo>
                <a:close/>
                <a:moveTo>
                  <a:pt x="4862406" y="1460103"/>
                </a:moveTo>
                <a:cubicBezTo>
                  <a:pt x="4843439" y="1460103"/>
                  <a:pt x="4828060" y="1475695"/>
                  <a:pt x="4828060" y="1494923"/>
                </a:cubicBezTo>
                <a:cubicBezTo>
                  <a:pt x="4828060" y="1514152"/>
                  <a:pt x="4843439" y="1529744"/>
                  <a:pt x="4862406" y="1529744"/>
                </a:cubicBezTo>
                <a:cubicBezTo>
                  <a:pt x="4881373" y="1529744"/>
                  <a:pt x="4896753" y="1514152"/>
                  <a:pt x="4896753" y="1494923"/>
                </a:cubicBezTo>
                <a:cubicBezTo>
                  <a:pt x="4896753" y="1475695"/>
                  <a:pt x="4881373" y="1460103"/>
                  <a:pt x="4862406" y="1460103"/>
                </a:cubicBezTo>
                <a:close/>
                <a:moveTo>
                  <a:pt x="4946148" y="1460103"/>
                </a:moveTo>
                <a:cubicBezTo>
                  <a:pt x="4927181" y="1460103"/>
                  <a:pt x="4911801" y="1475695"/>
                  <a:pt x="4911801" y="1494923"/>
                </a:cubicBezTo>
                <a:cubicBezTo>
                  <a:pt x="4911801" y="1514152"/>
                  <a:pt x="4927181" y="1529744"/>
                  <a:pt x="4946148" y="1529744"/>
                </a:cubicBezTo>
                <a:cubicBezTo>
                  <a:pt x="4965115" y="1529744"/>
                  <a:pt x="4980494" y="1514152"/>
                  <a:pt x="4980494" y="1494923"/>
                </a:cubicBezTo>
                <a:cubicBezTo>
                  <a:pt x="4980494" y="1475695"/>
                  <a:pt x="4965115" y="1460103"/>
                  <a:pt x="4946148" y="1460103"/>
                </a:cubicBezTo>
                <a:close/>
                <a:moveTo>
                  <a:pt x="5029890" y="1460103"/>
                </a:moveTo>
                <a:cubicBezTo>
                  <a:pt x="5010923" y="1460103"/>
                  <a:pt x="4995543" y="1475695"/>
                  <a:pt x="4995543" y="1494923"/>
                </a:cubicBezTo>
                <a:cubicBezTo>
                  <a:pt x="4995543" y="1514152"/>
                  <a:pt x="5010923" y="1529744"/>
                  <a:pt x="5029890" y="1529744"/>
                </a:cubicBezTo>
                <a:cubicBezTo>
                  <a:pt x="5048857" y="1529744"/>
                  <a:pt x="5064237" y="1514152"/>
                  <a:pt x="5064237" y="1494923"/>
                </a:cubicBezTo>
                <a:cubicBezTo>
                  <a:pt x="5064237" y="1475695"/>
                  <a:pt x="5048857" y="1460103"/>
                  <a:pt x="5029890" y="1460103"/>
                </a:cubicBezTo>
                <a:close/>
                <a:moveTo>
                  <a:pt x="5113631" y="1460103"/>
                </a:moveTo>
                <a:cubicBezTo>
                  <a:pt x="5094664" y="1460103"/>
                  <a:pt x="5079285" y="1475695"/>
                  <a:pt x="5079285" y="1494923"/>
                </a:cubicBezTo>
                <a:cubicBezTo>
                  <a:pt x="5079285" y="1514152"/>
                  <a:pt x="5094664" y="1529744"/>
                  <a:pt x="5113631" y="1529744"/>
                </a:cubicBezTo>
                <a:cubicBezTo>
                  <a:pt x="5132598" y="1529744"/>
                  <a:pt x="5147978" y="1514152"/>
                  <a:pt x="5147978" y="1494923"/>
                </a:cubicBezTo>
                <a:cubicBezTo>
                  <a:pt x="5147978" y="1475695"/>
                  <a:pt x="5132598" y="1460103"/>
                  <a:pt x="5113631" y="1460103"/>
                </a:cubicBezTo>
                <a:close/>
                <a:moveTo>
                  <a:pt x="5281115" y="1460103"/>
                </a:moveTo>
                <a:cubicBezTo>
                  <a:pt x="5262148" y="1460103"/>
                  <a:pt x="5246768" y="1475695"/>
                  <a:pt x="5246768" y="1494923"/>
                </a:cubicBezTo>
                <a:cubicBezTo>
                  <a:pt x="5246768" y="1514152"/>
                  <a:pt x="5262148" y="1529744"/>
                  <a:pt x="5281115" y="1529744"/>
                </a:cubicBezTo>
                <a:cubicBezTo>
                  <a:pt x="5300082" y="1529744"/>
                  <a:pt x="5315461" y="1514152"/>
                  <a:pt x="5315461" y="1494923"/>
                </a:cubicBezTo>
                <a:cubicBezTo>
                  <a:pt x="5315461" y="1475695"/>
                  <a:pt x="5300082" y="1460103"/>
                  <a:pt x="5281115" y="1460103"/>
                </a:cubicBezTo>
                <a:close/>
                <a:moveTo>
                  <a:pt x="7207198" y="1460103"/>
                </a:moveTo>
                <a:cubicBezTo>
                  <a:pt x="7188231" y="1460103"/>
                  <a:pt x="7172845" y="1475695"/>
                  <a:pt x="7172845" y="1494923"/>
                </a:cubicBezTo>
                <a:cubicBezTo>
                  <a:pt x="7172845" y="1514152"/>
                  <a:pt x="7188231" y="1529744"/>
                  <a:pt x="7207198" y="1529744"/>
                </a:cubicBezTo>
                <a:cubicBezTo>
                  <a:pt x="7226165" y="1529744"/>
                  <a:pt x="7241538" y="1514152"/>
                  <a:pt x="7241538" y="1494923"/>
                </a:cubicBezTo>
                <a:cubicBezTo>
                  <a:pt x="7241538" y="1475695"/>
                  <a:pt x="7226165" y="1460103"/>
                  <a:pt x="7207198" y="1460103"/>
                </a:cubicBezTo>
                <a:close/>
                <a:moveTo>
                  <a:pt x="7542164" y="1460103"/>
                </a:moveTo>
                <a:cubicBezTo>
                  <a:pt x="7523197" y="1460103"/>
                  <a:pt x="7507811" y="1475695"/>
                  <a:pt x="7507811" y="1494923"/>
                </a:cubicBezTo>
                <a:cubicBezTo>
                  <a:pt x="7507811" y="1514152"/>
                  <a:pt x="7523197" y="1529744"/>
                  <a:pt x="7542164" y="1529744"/>
                </a:cubicBezTo>
                <a:cubicBezTo>
                  <a:pt x="7561131" y="1529744"/>
                  <a:pt x="7576504" y="1514152"/>
                  <a:pt x="7576504" y="1494923"/>
                </a:cubicBezTo>
                <a:cubicBezTo>
                  <a:pt x="7576504" y="1475695"/>
                  <a:pt x="7561131" y="1460103"/>
                  <a:pt x="7542164" y="1460103"/>
                </a:cubicBezTo>
                <a:close/>
                <a:moveTo>
                  <a:pt x="7793389" y="1460103"/>
                </a:moveTo>
                <a:cubicBezTo>
                  <a:pt x="7774422" y="1460103"/>
                  <a:pt x="7759036" y="1475695"/>
                  <a:pt x="7759036" y="1494923"/>
                </a:cubicBezTo>
                <a:cubicBezTo>
                  <a:pt x="7759036" y="1514152"/>
                  <a:pt x="7774422" y="1529744"/>
                  <a:pt x="7793389" y="1529744"/>
                </a:cubicBezTo>
                <a:cubicBezTo>
                  <a:pt x="7812356" y="1529744"/>
                  <a:pt x="7827729" y="1514152"/>
                  <a:pt x="7827729" y="1494923"/>
                </a:cubicBezTo>
                <a:cubicBezTo>
                  <a:pt x="7827729" y="1475695"/>
                  <a:pt x="7812356" y="1460103"/>
                  <a:pt x="7793389" y="1460103"/>
                </a:cubicBezTo>
                <a:close/>
                <a:moveTo>
                  <a:pt x="7877131" y="1460103"/>
                </a:moveTo>
                <a:cubicBezTo>
                  <a:pt x="7858164" y="1460103"/>
                  <a:pt x="7842778" y="1475695"/>
                  <a:pt x="7842778" y="1494923"/>
                </a:cubicBezTo>
                <a:cubicBezTo>
                  <a:pt x="7842778" y="1514152"/>
                  <a:pt x="7858164" y="1529744"/>
                  <a:pt x="7877131" y="1529744"/>
                </a:cubicBezTo>
                <a:cubicBezTo>
                  <a:pt x="7896098" y="1529744"/>
                  <a:pt x="7911471" y="1514152"/>
                  <a:pt x="7911471" y="1494923"/>
                </a:cubicBezTo>
                <a:cubicBezTo>
                  <a:pt x="7911471" y="1475695"/>
                  <a:pt x="7896098" y="1460103"/>
                  <a:pt x="7877131" y="1460103"/>
                </a:cubicBezTo>
                <a:close/>
                <a:moveTo>
                  <a:pt x="7960872" y="1460103"/>
                </a:moveTo>
                <a:cubicBezTo>
                  <a:pt x="7941905" y="1460103"/>
                  <a:pt x="7926519" y="1475695"/>
                  <a:pt x="7926519" y="1494923"/>
                </a:cubicBezTo>
                <a:cubicBezTo>
                  <a:pt x="7926519" y="1514152"/>
                  <a:pt x="7941905" y="1529744"/>
                  <a:pt x="7960872" y="1529744"/>
                </a:cubicBezTo>
                <a:cubicBezTo>
                  <a:pt x="7979839" y="1529744"/>
                  <a:pt x="7995212" y="1514152"/>
                  <a:pt x="7995212" y="1494923"/>
                </a:cubicBezTo>
                <a:cubicBezTo>
                  <a:pt x="7995212" y="1475695"/>
                  <a:pt x="7979839" y="1460103"/>
                  <a:pt x="7960872" y="1460103"/>
                </a:cubicBezTo>
                <a:close/>
                <a:moveTo>
                  <a:pt x="8044614" y="1460103"/>
                </a:moveTo>
                <a:cubicBezTo>
                  <a:pt x="8025647" y="1460103"/>
                  <a:pt x="8010261" y="1475695"/>
                  <a:pt x="8010261" y="1494923"/>
                </a:cubicBezTo>
                <a:cubicBezTo>
                  <a:pt x="8010261" y="1514152"/>
                  <a:pt x="8025647" y="1529744"/>
                  <a:pt x="8044614" y="1529744"/>
                </a:cubicBezTo>
                <a:cubicBezTo>
                  <a:pt x="8063581" y="1529744"/>
                  <a:pt x="8078955" y="1514152"/>
                  <a:pt x="8078955" y="1494923"/>
                </a:cubicBezTo>
                <a:cubicBezTo>
                  <a:pt x="8078955" y="1475695"/>
                  <a:pt x="8063581" y="1460103"/>
                  <a:pt x="8044614" y="1460103"/>
                </a:cubicBezTo>
                <a:close/>
                <a:moveTo>
                  <a:pt x="8128356" y="1460103"/>
                </a:moveTo>
                <a:cubicBezTo>
                  <a:pt x="8109389" y="1460103"/>
                  <a:pt x="8094003" y="1475695"/>
                  <a:pt x="8094003" y="1494923"/>
                </a:cubicBezTo>
                <a:cubicBezTo>
                  <a:pt x="8094003" y="1514152"/>
                  <a:pt x="8109389" y="1529744"/>
                  <a:pt x="8128356" y="1529744"/>
                </a:cubicBezTo>
                <a:cubicBezTo>
                  <a:pt x="8147323" y="1529744"/>
                  <a:pt x="8162696" y="1514152"/>
                  <a:pt x="8162696" y="1494923"/>
                </a:cubicBezTo>
                <a:cubicBezTo>
                  <a:pt x="8162696" y="1475695"/>
                  <a:pt x="8147323" y="1460103"/>
                  <a:pt x="8128356" y="1460103"/>
                </a:cubicBezTo>
                <a:close/>
                <a:moveTo>
                  <a:pt x="8212097" y="1460103"/>
                </a:moveTo>
                <a:cubicBezTo>
                  <a:pt x="8193130" y="1460103"/>
                  <a:pt x="8177744" y="1475695"/>
                  <a:pt x="8177744" y="1494923"/>
                </a:cubicBezTo>
                <a:cubicBezTo>
                  <a:pt x="8177744" y="1514152"/>
                  <a:pt x="8193130" y="1529744"/>
                  <a:pt x="8212097" y="1529744"/>
                </a:cubicBezTo>
                <a:cubicBezTo>
                  <a:pt x="8231064" y="1529744"/>
                  <a:pt x="8246437" y="1514152"/>
                  <a:pt x="8246437" y="1494923"/>
                </a:cubicBezTo>
                <a:cubicBezTo>
                  <a:pt x="8246437" y="1475695"/>
                  <a:pt x="8231064" y="1460103"/>
                  <a:pt x="8212097" y="1460103"/>
                </a:cubicBezTo>
                <a:close/>
                <a:moveTo>
                  <a:pt x="8295839" y="1460103"/>
                </a:moveTo>
                <a:cubicBezTo>
                  <a:pt x="8276872" y="1460103"/>
                  <a:pt x="8261486" y="1475695"/>
                  <a:pt x="8261486" y="1494923"/>
                </a:cubicBezTo>
                <a:cubicBezTo>
                  <a:pt x="8261486" y="1514152"/>
                  <a:pt x="8276872" y="1529744"/>
                  <a:pt x="8295839" y="1529744"/>
                </a:cubicBezTo>
                <a:cubicBezTo>
                  <a:pt x="8314806" y="1529744"/>
                  <a:pt x="8330179" y="1514152"/>
                  <a:pt x="8330179" y="1494923"/>
                </a:cubicBezTo>
                <a:cubicBezTo>
                  <a:pt x="8330179" y="1475695"/>
                  <a:pt x="8314806" y="1460103"/>
                  <a:pt x="8295839" y="1460103"/>
                </a:cubicBezTo>
                <a:close/>
                <a:moveTo>
                  <a:pt x="8379580" y="1460103"/>
                </a:moveTo>
                <a:cubicBezTo>
                  <a:pt x="8360613" y="1460103"/>
                  <a:pt x="8345227" y="1475695"/>
                  <a:pt x="8345227" y="1494923"/>
                </a:cubicBezTo>
                <a:cubicBezTo>
                  <a:pt x="8345227" y="1514152"/>
                  <a:pt x="8360613" y="1529744"/>
                  <a:pt x="8379580" y="1529744"/>
                </a:cubicBezTo>
                <a:cubicBezTo>
                  <a:pt x="8398547" y="1529744"/>
                  <a:pt x="8413921" y="1514152"/>
                  <a:pt x="8413921" y="1494923"/>
                </a:cubicBezTo>
                <a:cubicBezTo>
                  <a:pt x="8413921" y="1475695"/>
                  <a:pt x="8398547" y="1460103"/>
                  <a:pt x="8379580" y="1460103"/>
                </a:cubicBezTo>
                <a:close/>
                <a:moveTo>
                  <a:pt x="8463323" y="1460103"/>
                </a:moveTo>
                <a:cubicBezTo>
                  <a:pt x="8444356" y="1460103"/>
                  <a:pt x="8428970" y="1475695"/>
                  <a:pt x="8428970" y="1494923"/>
                </a:cubicBezTo>
                <a:cubicBezTo>
                  <a:pt x="8428970" y="1514152"/>
                  <a:pt x="8444356" y="1529744"/>
                  <a:pt x="8463323" y="1529744"/>
                </a:cubicBezTo>
                <a:cubicBezTo>
                  <a:pt x="8482290" y="1529744"/>
                  <a:pt x="8497663" y="1514152"/>
                  <a:pt x="8497663" y="1494923"/>
                </a:cubicBezTo>
                <a:cubicBezTo>
                  <a:pt x="8497663" y="1475695"/>
                  <a:pt x="8482290" y="1460103"/>
                  <a:pt x="8463323" y="1460103"/>
                </a:cubicBezTo>
                <a:close/>
                <a:moveTo>
                  <a:pt x="8547064" y="1460103"/>
                </a:moveTo>
                <a:cubicBezTo>
                  <a:pt x="8528097" y="1460103"/>
                  <a:pt x="8512711" y="1475695"/>
                  <a:pt x="8512711" y="1494923"/>
                </a:cubicBezTo>
                <a:cubicBezTo>
                  <a:pt x="8512711" y="1514152"/>
                  <a:pt x="8528097" y="1529744"/>
                  <a:pt x="8547064" y="1529744"/>
                </a:cubicBezTo>
                <a:cubicBezTo>
                  <a:pt x="8566031" y="1529744"/>
                  <a:pt x="8581404" y="1514152"/>
                  <a:pt x="8581404" y="1494923"/>
                </a:cubicBezTo>
                <a:cubicBezTo>
                  <a:pt x="8581404" y="1475695"/>
                  <a:pt x="8566031" y="1460103"/>
                  <a:pt x="8547064" y="1460103"/>
                </a:cubicBezTo>
                <a:close/>
                <a:moveTo>
                  <a:pt x="8630805" y="1460103"/>
                </a:moveTo>
                <a:cubicBezTo>
                  <a:pt x="8611838" y="1460103"/>
                  <a:pt x="8596452" y="1475695"/>
                  <a:pt x="8596452" y="1494923"/>
                </a:cubicBezTo>
                <a:cubicBezTo>
                  <a:pt x="8596452" y="1514152"/>
                  <a:pt x="8611838" y="1529744"/>
                  <a:pt x="8630805" y="1529744"/>
                </a:cubicBezTo>
                <a:cubicBezTo>
                  <a:pt x="8649772" y="1529744"/>
                  <a:pt x="8665145" y="1514152"/>
                  <a:pt x="8665145" y="1494923"/>
                </a:cubicBezTo>
                <a:cubicBezTo>
                  <a:pt x="8665145" y="1475695"/>
                  <a:pt x="8649772" y="1460103"/>
                  <a:pt x="8630805" y="1460103"/>
                </a:cubicBezTo>
                <a:close/>
                <a:moveTo>
                  <a:pt x="8714547" y="1460103"/>
                </a:moveTo>
                <a:cubicBezTo>
                  <a:pt x="8695580" y="1460103"/>
                  <a:pt x="8680194" y="1475695"/>
                  <a:pt x="8680194" y="1494923"/>
                </a:cubicBezTo>
                <a:cubicBezTo>
                  <a:pt x="8680194" y="1514152"/>
                  <a:pt x="8695580" y="1529744"/>
                  <a:pt x="8714547" y="1529744"/>
                </a:cubicBezTo>
                <a:cubicBezTo>
                  <a:pt x="8733514" y="1529744"/>
                  <a:pt x="8748888" y="1514152"/>
                  <a:pt x="8748888" y="1494923"/>
                </a:cubicBezTo>
                <a:cubicBezTo>
                  <a:pt x="8748888" y="1475695"/>
                  <a:pt x="8733514" y="1460103"/>
                  <a:pt x="8714547" y="1460103"/>
                </a:cubicBezTo>
                <a:close/>
                <a:moveTo>
                  <a:pt x="8798289" y="1460103"/>
                </a:moveTo>
                <a:cubicBezTo>
                  <a:pt x="8779322" y="1460103"/>
                  <a:pt x="8763936" y="1475695"/>
                  <a:pt x="8763936" y="1494923"/>
                </a:cubicBezTo>
                <a:cubicBezTo>
                  <a:pt x="8763936" y="1514152"/>
                  <a:pt x="8779322" y="1529744"/>
                  <a:pt x="8798289" y="1529744"/>
                </a:cubicBezTo>
                <a:cubicBezTo>
                  <a:pt x="8817256" y="1529744"/>
                  <a:pt x="8832629" y="1514152"/>
                  <a:pt x="8832629" y="1494923"/>
                </a:cubicBezTo>
                <a:cubicBezTo>
                  <a:pt x="8832629" y="1475695"/>
                  <a:pt x="8817256" y="1460103"/>
                  <a:pt x="8798289" y="1460103"/>
                </a:cubicBezTo>
                <a:close/>
                <a:moveTo>
                  <a:pt x="8882030" y="1460103"/>
                </a:moveTo>
                <a:cubicBezTo>
                  <a:pt x="8863063" y="1460103"/>
                  <a:pt x="8847677" y="1475695"/>
                  <a:pt x="8847677" y="1494923"/>
                </a:cubicBezTo>
                <a:cubicBezTo>
                  <a:pt x="8847677" y="1514152"/>
                  <a:pt x="8863063" y="1529744"/>
                  <a:pt x="8882030" y="1529744"/>
                </a:cubicBezTo>
                <a:cubicBezTo>
                  <a:pt x="8900997" y="1529744"/>
                  <a:pt x="8916370" y="1514152"/>
                  <a:pt x="8916370" y="1494923"/>
                </a:cubicBezTo>
                <a:cubicBezTo>
                  <a:pt x="8916370" y="1475695"/>
                  <a:pt x="8900997" y="1460103"/>
                  <a:pt x="8882030" y="1460103"/>
                </a:cubicBezTo>
                <a:close/>
                <a:moveTo>
                  <a:pt x="8965772" y="1460103"/>
                </a:moveTo>
                <a:cubicBezTo>
                  <a:pt x="8946805" y="1460103"/>
                  <a:pt x="8931419" y="1475695"/>
                  <a:pt x="8931419" y="1494923"/>
                </a:cubicBezTo>
                <a:cubicBezTo>
                  <a:pt x="8931419" y="1514152"/>
                  <a:pt x="8946805" y="1529744"/>
                  <a:pt x="8965772" y="1529744"/>
                </a:cubicBezTo>
                <a:cubicBezTo>
                  <a:pt x="8984739" y="1529744"/>
                  <a:pt x="9000112" y="1514152"/>
                  <a:pt x="9000112" y="1494923"/>
                </a:cubicBezTo>
                <a:cubicBezTo>
                  <a:pt x="9000112" y="1475695"/>
                  <a:pt x="8984739" y="1460103"/>
                  <a:pt x="8965772" y="1460103"/>
                </a:cubicBezTo>
                <a:close/>
                <a:moveTo>
                  <a:pt x="9049513" y="1460103"/>
                </a:moveTo>
                <a:cubicBezTo>
                  <a:pt x="9030546" y="1460103"/>
                  <a:pt x="9015160" y="1475695"/>
                  <a:pt x="9015160" y="1494923"/>
                </a:cubicBezTo>
                <a:cubicBezTo>
                  <a:pt x="9015160" y="1514152"/>
                  <a:pt x="9030546" y="1529744"/>
                  <a:pt x="9049513" y="1529744"/>
                </a:cubicBezTo>
                <a:cubicBezTo>
                  <a:pt x="9068480" y="1529744"/>
                  <a:pt x="9083854" y="1514152"/>
                  <a:pt x="9083854" y="1494923"/>
                </a:cubicBezTo>
                <a:cubicBezTo>
                  <a:pt x="9083854" y="1475695"/>
                  <a:pt x="9068480" y="1460103"/>
                  <a:pt x="9049513" y="1460103"/>
                </a:cubicBezTo>
                <a:close/>
                <a:moveTo>
                  <a:pt x="9133256" y="1460103"/>
                </a:moveTo>
                <a:cubicBezTo>
                  <a:pt x="9114289" y="1460103"/>
                  <a:pt x="9098903" y="1475695"/>
                  <a:pt x="9098903" y="1494923"/>
                </a:cubicBezTo>
                <a:cubicBezTo>
                  <a:pt x="9098903" y="1514152"/>
                  <a:pt x="9114289" y="1529744"/>
                  <a:pt x="9133256" y="1529744"/>
                </a:cubicBezTo>
                <a:cubicBezTo>
                  <a:pt x="9152223" y="1529744"/>
                  <a:pt x="9167596" y="1514152"/>
                  <a:pt x="9167596" y="1494923"/>
                </a:cubicBezTo>
                <a:cubicBezTo>
                  <a:pt x="9167596" y="1475695"/>
                  <a:pt x="9152223" y="1460103"/>
                  <a:pt x="9133256" y="1460103"/>
                </a:cubicBezTo>
                <a:close/>
                <a:moveTo>
                  <a:pt x="9216997" y="1460103"/>
                </a:moveTo>
                <a:cubicBezTo>
                  <a:pt x="9198030" y="1460103"/>
                  <a:pt x="9182644" y="1475695"/>
                  <a:pt x="9182644" y="1494923"/>
                </a:cubicBezTo>
                <a:cubicBezTo>
                  <a:pt x="9182644" y="1514152"/>
                  <a:pt x="9198030" y="1529744"/>
                  <a:pt x="9216997" y="1529744"/>
                </a:cubicBezTo>
                <a:cubicBezTo>
                  <a:pt x="9235964" y="1529744"/>
                  <a:pt x="9251337" y="1514152"/>
                  <a:pt x="9251337" y="1494923"/>
                </a:cubicBezTo>
                <a:cubicBezTo>
                  <a:pt x="9251337" y="1475695"/>
                  <a:pt x="9235964" y="1460103"/>
                  <a:pt x="9216997" y="1460103"/>
                </a:cubicBezTo>
                <a:close/>
                <a:moveTo>
                  <a:pt x="9300738" y="1460103"/>
                </a:moveTo>
                <a:cubicBezTo>
                  <a:pt x="9281771" y="1460103"/>
                  <a:pt x="9266385" y="1475695"/>
                  <a:pt x="9266385" y="1494923"/>
                </a:cubicBezTo>
                <a:cubicBezTo>
                  <a:pt x="9266385" y="1514152"/>
                  <a:pt x="9281771" y="1529744"/>
                  <a:pt x="9300738" y="1529744"/>
                </a:cubicBezTo>
                <a:cubicBezTo>
                  <a:pt x="9319705" y="1529744"/>
                  <a:pt x="9335078" y="1514152"/>
                  <a:pt x="9335078" y="1494923"/>
                </a:cubicBezTo>
                <a:cubicBezTo>
                  <a:pt x="9335078" y="1475695"/>
                  <a:pt x="9319705" y="1460103"/>
                  <a:pt x="9300738" y="1460103"/>
                </a:cubicBezTo>
                <a:close/>
                <a:moveTo>
                  <a:pt x="9384480" y="1460103"/>
                </a:moveTo>
                <a:cubicBezTo>
                  <a:pt x="9365513" y="1460103"/>
                  <a:pt x="9350127" y="1475695"/>
                  <a:pt x="9350127" y="1494923"/>
                </a:cubicBezTo>
                <a:cubicBezTo>
                  <a:pt x="9350127" y="1514152"/>
                  <a:pt x="9365513" y="1529744"/>
                  <a:pt x="9384480" y="1529744"/>
                </a:cubicBezTo>
                <a:cubicBezTo>
                  <a:pt x="9403447" y="1529744"/>
                  <a:pt x="9418821" y="1514152"/>
                  <a:pt x="9418821" y="1494923"/>
                </a:cubicBezTo>
                <a:cubicBezTo>
                  <a:pt x="9418821" y="1475695"/>
                  <a:pt x="9403447" y="1460103"/>
                  <a:pt x="9384480" y="1460103"/>
                </a:cubicBezTo>
                <a:close/>
                <a:moveTo>
                  <a:pt x="9468222" y="1460103"/>
                </a:moveTo>
                <a:cubicBezTo>
                  <a:pt x="9449255" y="1460103"/>
                  <a:pt x="9433869" y="1475695"/>
                  <a:pt x="9433869" y="1494923"/>
                </a:cubicBezTo>
                <a:cubicBezTo>
                  <a:pt x="9433869" y="1514152"/>
                  <a:pt x="9449255" y="1529744"/>
                  <a:pt x="9468222" y="1529744"/>
                </a:cubicBezTo>
                <a:cubicBezTo>
                  <a:pt x="9487189" y="1529744"/>
                  <a:pt x="9502562" y="1514152"/>
                  <a:pt x="9502562" y="1494923"/>
                </a:cubicBezTo>
                <a:cubicBezTo>
                  <a:pt x="9502562" y="1475695"/>
                  <a:pt x="9487189" y="1460103"/>
                  <a:pt x="9468222" y="1460103"/>
                </a:cubicBezTo>
                <a:close/>
                <a:moveTo>
                  <a:pt x="9551963" y="1460103"/>
                </a:moveTo>
                <a:cubicBezTo>
                  <a:pt x="9532996" y="1460103"/>
                  <a:pt x="9517610" y="1475695"/>
                  <a:pt x="9517610" y="1494923"/>
                </a:cubicBezTo>
                <a:cubicBezTo>
                  <a:pt x="9517610" y="1514152"/>
                  <a:pt x="9532996" y="1529744"/>
                  <a:pt x="9551963" y="1529744"/>
                </a:cubicBezTo>
                <a:cubicBezTo>
                  <a:pt x="9570930" y="1529744"/>
                  <a:pt x="9586303" y="1514152"/>
                  <a:pt x="9586303" y="1494923"/>
                </a:cubicBezTo>
                <a:cubicBezTo>
                  <a:pt x="9586303" y="1475695"/>
                  <a:pt x="9570930" y="1460103"/>
                  <a:pt x="9551963" y="1460103"/>
                </a:cubicBezTo>
                <a:close/>
                <a:moveTo>
                  <a:pt x="9635705" y="1460103"/>
                </a:moveTo>
                <a:cubicBezTo>
                  <a:pt x="9616738" y="1460103"/>
                  <a:pt x="9601352" y="1475695"/>
                  <a:pt x="9601352" y="1494923"/>
                </a:cubicBezTo>
                <a:cubicBezTo>
                  <a:pt x="9601352" y="1514152"/>
                  <a:pt x="9616738" y="1529744"/>
                  <a:pt x="9635705" y="1529744"/>
                </a:cubicBezTo>
                <a:cubicBezTo>
                  <a:pt x="9654672" y="1529744"/>
                  <a:pt x="9670045" y="1514152"/>
                  <a:pt x="9670045" y="1494923"/>
                </a:cubicBezTo>
                <a:cubicBezTo>
                  <a:pt x="9670045" y="1475695"/>
                  <a:pt x="9654672" y="1460103"/>
                  <a:pt x="9635705" y="1460103"/>
                </a:cubicBezTo>
                <a:close/>
                <a:moveTo>
                  <a:pt x="9719446" y="1460103"/>
                </a:moveTo>
                <a:cubicBezTo>
                  <a:pt x="9700479" y="1460103"/>
                  <a:pt x="9685093" y="1475695"/>
                  <a:pt x="9685093" y="1494923"/>
                </a:cubicBezTo>
                <a:cubicBezTo>
                  <a:pt x="9685093" y="1514152"/>
                  <a:pt x="9700479" y="1529744"/>
                  <a:pt x="9719446" y="1529744"/>
                </a:cubicBezTo>
                <a:cubicBezTo>
                  <a:pt x="9738413" y="1529744"/>
                  <a:pt x="9753787" y="1514152"/>
                  <a:pt x="9753787" y="1494923"/>
                </a:cubicBezTo>
                <a:cubicBezTo>
                  <a:pt x="9753787" y="1475695"/>
                  <a:pt x="9738413" y="1460103"/>
                  <a:pt x="9719446" y="1460103"/>
                </a:cubicBezTo>
                <a:close/>
                <a:moveTo>
                  <a:pt x="9803189" y="1460103"/>
                </a:moveTo>
                <a:cubicBezTo>
                  <a:pt x="9784222" y="1460103"/>
                  <a:pt x="9768836" y="1475695"/>
                  <a:pt x="9768836" y="1494923"/>
                </a:cubicBezTo>
                <a:cubicBezTo>
                  <a:pt x="9768836" y="1514152"/>
                  <a:pt x="9784222" y="1529744"/>
                  <a:pt x="9803189" y="1529744"/>
                </a:cubicBezTo>
                <a:cubicBezTo>
                  <a:pt x="9822156" y="1529744"/>
                  <a:pt x="9837529" y="1514152"/>
                  <a:pt x="9837529" y="1494923"/>
                </a:cubicBezTo>
                <a:cubicBezTo>
                  <a:pt x="9837529" y="1475695"/>
                  <a:pt x="9822156" y="1460103"/>
                  <a:pt x="9803189" y="1460103"/>
                </a:cubicBezTo>
                <a:close/>
                <a:moveTo>
                  <a:pt x="9886930" y="1460103"/>
                </a:moveTo>
                <a:cubicBezTo>
                  <a:pt x="9867963" y="1460103"/>
                  <a:pt x="9852577" y="1475695"/>
                  <a:pt x="9852577" y="1494923"/>
                </a:cubicBezTo>
                <a:cubicBezTo>
                  <a:pt x="9852577" y="1514152"/>
                  <a:pt x="9867963" y="1529744"/>
                  <a:pt x="9886930" y="1529744"/>
                </a:cubicBezTo>
                <a:cubicBezTo>
                  <a:pt x="9905897" y="1529744"/>
                  <a:pt x="9921270" y="1514152"/>
                  <a:pt x="9921270" y="1494923"/>
                </a:cubicBezTo>
                <a:cubicBezTo>
                  <a:pt x="9921270" y="1475695"/>
                  <a:pt x="9905897" y="1460103"/>
                  <a:pt x="9886930" y="1460103"/>
                </a:cubicBezTo>
                <a:close/>
                <a:moveTo>
                  <a:pt x="9970671" y="1460103"/>
                </a:moveTo>
                <a:cubicBezTo>
                  <a:pt x="9951704" y="1460103"/>
                  <a:pt x="9936318" y="1475695"/>
                  <a:pt x="9936318" y="1494923"/>
                </a:cubicBezTo>
                <a:cubicBezTo>
                  <a:pt x="9936318" y="1514152"/>
                  <a:pt x="9951704" y="1529744"/>
                  <a:pt x="9970671" y="1529744"/>
                </a:cubicBezTo>
                <a:cubicBezTo>
                  <a:pt x="9989638" y="1529744"/>
                  <a:pt x="10005011" y="1514152"/>
                  <a:pt x="10005011" y="1494923"/>
                </a:cubicBezTo>
                <a:cubicBezTo>
                  <a:pt x="10005011" y="1475695"/>
                  <a:pt x="9989638" y="1460103"/>
                  <a:pt x="9970671" y="1460103"/>
                </a:cubicBezTo>
                <a:close/>
                <a:moveTo>
                  <a:pt x="10054413" y="1460103"/>
                </a:moveTo>
                <a:cubicBezTo>
                  <a:pt x="10035446" y="1460103"/>
                  <a:pt x="10020060" y="1475695"/>
                  <a:pt x="10020060" y="1494923"/>
                </a:cubicBezTo>
                <a:cubicBezTo>
                  <a:pt x="10020060" y="1514152"/>
                  <a:pt x="10035446" y="1529744"/>
                  <a:pt x="10054413" y="1529744"/>
                </a:cubicBezTo>
                <a:cubicBezTo>
                  <a:pt x="10073380" y="1529744"/>
                  <a:pt x="10088754" y="1514152"/>
                  <a:pt x="10088754" y="1494923"/>
                </a:cubicBezTo>
                <a:cubicBezTo>
                  <a:pt x="10088754" y="1475695"/>
                  <a:pt x="10073380" y="1460103"/>
                  <a:pt x="10054413" y="1460103"/>
                </a:cubicBezTo>
                <a:close/>
                <a:moveTo>
                  <a:pt x="10138155" y="1460103"/>
                </a:moveTo>
                <a:cubicBezTo>
                  <a:pt x="10119188" y="1460103"/>
                  <a:pt x="10103802" y="1475695"/>
                  <a:pt x="10103802" y="1494923"/>
                </a:cubicBezTo>
                <a:cubicBezTo>
                  <a:pt x="10103802" y="1514152"/>
                  <a:pt x="10119188" y="1529744"/>
                  <a:pt x="10138155" y="1529744"/>
                </a:cubicBezTo>
                <a:cubicBezTo>
                  <a:pt x="10157122" y="1529744"/>
                  <a:pt x="10172495" y="1514152"/>
                  <a:pt x="10172495" y="1494923"/>
                </a:cubicBezTo>
                <a:cubicBezTo>
                  <a:pt x="10172495" y="1475695"/>
                  <a:pt x="10157122" y="1460103"/>
                  <a:pt x="10138155" y="1460103"/>
                </a:cubicBezTo>
                <a:close/>
                <a:moveTo>
                  <a:pt x="10305638" y="1460103"/>
                </a:moveTo>
                <a:cubicBezTo>
                  <a:pt x="10286671" y="1460103"/>
                  <a:pt x="10271285" y="1475695"/>
                  <a:pt x="10271285" y="1494923"/>
                </a:cubicBezTo>
                <a:cubicBezTo>
                  <a:pt x="10271285" y="1514152"/>
                  <a:pt x="10286671" y="1529744"/>
                  <a:pt x="10305638" y="1529744"/>
                </a:cubicBezTo>
                <a:cubicBezTo>
                  <a:pt x="10324605" y="1529744"/>
                  <a:pt x="10339978" y="1514152"/>
                  <a:pt x="10339978" y="1494923"/>
                </a:cubicBezTo>
                <a:cubicBezTo>
                  <a:pt x="10339978" y="1475695"/>
                  <a:pt x="10324605" y="1460103"/>
                  <a:pt x="10305638" y="1460103"/>
                </a:cubicBezTo>
                <a:close/>
                <a:moveTo>
                  <a:pt x="10389379" y="1460103"/>
                </a:moveTo>
                <a:cubicBezTo>
                  <a:pt x="10370412" y="1460103"/>
                  <a:pt x="10355026" y="1475695"/>
                  <a:pt x="10355026" y="1494923"/>
                </a:cubicBezTo>
                <a:cubicBezTo>
                  <a:pt x="10355026" y="1514152"/>
                  <a:pt x="10370412" y="1529744"/>
                  <a:pt x="10389379" y="1529744"/>
                </a:cubicBezTo>
                <a:cubicBezTo>
                  <a:pt x="10408346" y="1529744"/>
                  <a:pt x="10423720" y="1514152"/>
                  <a:pt x="10423720" y="1494923"/>
                </a:cubicBezTo>
                <a:cubicBezTo>
                  <a:pt x="10423720" y="1475695"/>
                  <a:pt x="10408346" y="1460103"/>
                  <a:pt x="10389379" y="1460103"/>
                </a:cubicBezTo>
                <a:close/>
                <a:moveTo>
                  <a:pt x="1428993" y="1544967"/>
                </a:moveTo>
                <a:cubicBezTo>
                  <a:pt x="1410026" y="1544967"/>
                  <a:pt x="1394646" y="1560558"/>
                  <a:pt x="1394646" y="1579787"/>
                </a:cubicBezTo>
                <a:cubicBezTo>
                  <a:pt x="1394646" y="1599016"/>
                  <a:pt x="1410026" y="1614607"/>
                  <a:pt x="1428993" y="1614607"/>
                </a:cubicBezTo>
                <a:cubicBezTo>
                  <a:pt x="1447960" y="1614607"/>
                  <a:pt x="1463340" y="1599016"/>
                  <a:pt x="1463340" y="1579787"/>
                </a:cubicBezTo>
                <a:cubicBezTo>
                  <a:pt x="1463340" y="1560558"/>
                  <a:pt x="1447960" y="1544967"/>
                  <a:pt x="1428993" y="1544967"/>
                </a:cubicBezTo>
                <a:close/>
                <a:moveTo>
                  <a:pt x="1512741" y="1544967"/>
                </a:moveTo>
                <a:cubicBezTo>
                  <a:pt x="1493774" y="1544967"/>
                  <a:pt x="1478395" y="1560558"/>
                  <a:pt x="1478395" y="1579787"/>
                </a:cubicBezTo>
                <a:cubicBezTo>
                  <a:pt x="1478395" y="1599016"/>
                  <a:pt x="1493774" y="1614607"/>
                  <a:pt x="1512741" y="1614607"/>
                </a:cubicBezTo>
                <a:cubicBezTo>
                  <a:pt x="1531708" y="1614607"/>
                  <a:pt x="1547088" y="1599016"/>
                  <a:pt x="1547088" y="1579787"/>
                </a:cubicBezTo>
                <a:cubicBezTo>
                  <a:pt x="1547088" y="1560558"/>
                  <a:pt x="1531708" y="1544967"/>
                  <a:pt x="1512741" y="1544967"/>
                </a:cubicBezTo>
                <a:close/>
                <a:moveTo>
                  <a:pt x="1596483" y="1544967"/>
                </a:moveTo>
                <a:cubicBezTo>
                  <a:pt x="1577516" y="1544967"/>
                  <a:pt x="1562136" y="1560558"/>
                  <a:pt x="1562136" y="1579787"/>
                </a:cubicBezTo>
                <a:cubicBezTo>
                  <a:pt x="1562136" y="1599016"/>
                  <a:pt x="1577516" y="1614607"/>
                  <a:pt x="1596483" y="1614607"/>
                </a:cubicBezTo>
                <a:cubicBezTo>
                  <a:pt x="1615450" y="1614607"/>
                  <a:pt x="1630829" y="1599016"/>
                  <a:pt x="1630829" y="1579787"/>
                </a:cubicBezTo>
                <a:cubicBezTo>
                  <a:pt x="1630829" y="1560558"/>
                  <a:pt x="1615450" y="1544967"/>
                  <a:pt x="1596483" y="1544967"/>
                </a:cubicBezTo>
                <a:close/>
                <a:moveTo>
                  <a:pt x="1680225" y="1544967"/>
                </a:moveTo>
                <a:cubicBezTo>
                  <a:pt x="1661258" y="1544967"/>
                  <a:pt x="1645878" y="1560558"/>
                  <a:pt x="1645878" y="1579787"/>
                </a:cubicBezTo>
                <a:cubicBezTo>
                  <a:pt x="1645878" y="1599016"/>
                  <a:pt x="1661258" y="1614607"/>
                  <a:pt x="1680225" y="1614607"/>
                </a:cubicBezTo>
                <a:cubicBezTo>
                  <a:pt x="1699192" y="1614607"/>
                  <a:pt x="1714572" y="1599016"/>
                  <a:pt x="1714572" y="1579787"/>
                </a:cubicBezTo>
                <a:cubicBezTo>
                  <a:pt x="1714572" y="1560558"/>
                  <a:pt x="1699192" y="1544967"/>
                  <a:pt x="1680225" y="1544967"/>
                </a:cubicBezTo>
                <a:close/>
                <a:moveTo>
                  <a:pt x="1763966" y="1544967"/>
                </a:moveTo>
                <a:cubicBezTo>
                  <a:pt x="1744999" y="1544967"/>
                  <a:pt x="1729620" y="1560558"/>
                  <a:pt x="1729620" y="1579787"/>
                </a:cubicBezTo>
                <a:cubicBezTo>
                  <a:pt x="1729620" y="1599016"/>
                  <a:pt x="1744999" y="1614607"/>
                  <a:pt x="1763966" y="1614607"/>
                </a:cubicBezTo>
                <a:cubicBezTo>
                  <a:pt x="1782933" y="1614607"/>
                  <a:pt x="1798313" y="1599016"/>
                  <a:pt x="1798313" y="1579787"/>
                </a:cubicBezTo>
                <a:cubicBezTo>
                  <a:pt x="1798313" y="1560558"/>
                  <a:pt x="1782933" y="1544967"/>
                  <a:pt x="1763966" y="1544967"/>
                </a:cubicBezTo>
                <a:close/>
                <a:moveTo>
                  <a:pt x="1847707" y="1544967"/>
                </a:moveTo>
                <a:cubicBezTo>
                  <a:pt x="1828740" y="1544967"/>
                  <a:pt x="1813361" y="1560558"/>
                  <a:pt x="1813361" y="1579787"/>
                </a:cubicBezTo>
                <a:cubicBezTo>
                  <a:pt x="1813361" y="1599016"/>
                  <a:pt x="1828740" y="1614607"/>
                  <a:pt x="1847707" y="1614607"/>
                </a:cubicBezTo>
                <a:cubicBezTo>
                  <a:pt x="1866674" y="1614607"/>
                  <a:pt x="1882054" y="1599016"/>
                  <a:pt x="1882054" y="1579787"/>
                </a:cubicBezTo>
                <a:cubicBezTo>
                  <a:pt x="1882054" y="1560558"/>
                  <a:pt x="1866674" y="1544967"/>
                  <a:pt x="1847707" y="1544967"/>
                </a:cubicBezTo>
                <a:close/>
                <a:moveTo>
                  <a:pt x="1931450" y="1544967"/>
                </a:moveTo>
                <a:cubicBezTo>
                  <a:pt x="1912483" y="1544967"/>
                  <a:pt x="1897103" y="1560558"/>
                  <a:pt x="1897103" y="1579787"/>
                </a:cubicBezTo>
                <a:cubicBezTo>
                  <a:pt x="1897103" y="1599016"/>
                  <a:pt x="1912483" y="1614607"/>
                  <a:pt x="1931450" y="1614607"/>
                </a:cubicBezTo>
                <a:cubicBezTo>
                  <a:pt x="1950417" y="1614607"/>
                  <a:pt x="1965796" y="1599016"/>
                  <a:pt x="1965796" y="1579787"/>
                </a:cubicBezTo>
                <a:cubicBezTo>
                  <a:pt x="1965796" y="1560558"/>
                  <a:pt x="1950417" y="1544967"/>
                  <a:pt x="1931450" y="1544967"/>
                </a:cubicBezTo>
                <a:close/>
                <a:moveTo>
                  <a:pt x="2015191" y="1544967"/>
                </a:moveTo>
                <a:cubicBezTo>
                  <a:pt x="1996224" y="1544967"/>
                  <a:pt x="1980844" y="1560558"/>
                  <a:pt x="1980844" y="1579787"/>
                </a:cubicBezTo>
                <a:cubicBezTo>
                  <a:pt x="1980844" y="1599016"/>
                  <a:pt x="1996224" y="1614607"/>
                  <a:pt x="2015191" y="1614607"/>
                </a:cubicBezTo>
                <a:cubicBezTo>
                  <a:pt x="2034158" y="1614607"/>
                  <a:pt x="2049538" y="1599016"/>
                  <a:pt x="2049538" y="1579787"/>
                </a:cubicBezTo>
                <a:cubicBezTo>
                  <a:pt x="2049538" y="1560558"/>
                  <a:pt x="2034158" y="1544967"/>
                  <a:pt x="2015191" y="1544967"/>
                </a:cubicBezTo>
                <a:close/>
                <a:moveTo>
                  <a:pt x="2098932" y="1544967"/>
                </a:moveTo>
                <a:cubicBezTo>
                  <a:pt x="2079965" y="1544967"/>
                  <a:pt x="2064586" y="1560558"/>
                  <a:pt x="2064586" y="1579787"/>
                </a:cubicBezTo>
                <a:cubicBezTo>
                  <a:pt x="2064586" y="1599016"/>
                  <a:pt x="2079965" y="1614607"/>
                  <a:pt x="2098932" y="1614607"/>
                </a:cubicBezTo>
                <a:cubicBezTo>
                  <a:pt x="2117899" y="1614607"/>
                  <a:pt x="2133279" y="1599016"/>
                  <a:pt x="2133279" y="1579787"/>
                </a:cubicBezTo>
                <a:cubicBezTo>
                  <a:pt x="2133279" y="1560558"/>
                  <a:pt x="2117899" y="1544967"/>
                  <a:pt x="2098932" y="1544967"/>
                </a:cubicBezTo>
                <a:close/>
                <a:moveTo>
                  <a:pt x="2182674" y="1544967"/>
                </a:moveTo>
                <a:cubicBezTo>
                  <a:pt x="2163707" y="1544967"/>
                  <a:pt x="2148328" y="1560558"/>
                  <a:pt x="2148328" y="1579787"/>
                </a:cubicBezTo>
                <a:cubicBezTo>
                  <a:pt x="2148328" y="1599016"/>
                  <a:pt x="2163707" y="1614607"/>
                  <a:pt x="2182674" y="1614607"/>
                </a:cubicBezTo>
                <a:cubicBezTo>
                  <a:pt x="2201641" y="1614607"/>
                  <a:pt x="2217021" y="1599016"/>
                  <a:pt x="2217021" y="1579787"/>
                </a:cubicBezTo>
                <a:cubicBezTo>
                  <a:pt x="2217021" y="1560558"/>
                  <a:pt x="2201641" y="1544967"/>
                  <a:pt x="2182674" y="1544967"/>
                </a:cubicBezTo>
                <a:close/>
                <a:moveTo>
                  <a:pt x="2266416" y="1544967"/>
                </a:moveTo>
                <a:cubicBezTo>
                  <a:pt x="2247449" y="1544967"/>
                  <a:pt x="2232069" y="1560558"/>
                  <a:pt x="2232069" y="1579787"/>
                </a:cubicBezTo>
                <a:cubicBezTo>
                  <a:pt x="2232069" y="1599016"/>
                  <a:pt x="2247449" y="1614607"/>
                  <a:pt x="2266416" y="1614607"/>
                </a:cubicBezTo>
                <a:cubicBezTo>
                  <a:pt x="2285383" y="1614607"/>
                  <a:pt x="2300762" y="1599016"/>
                  <a:pt x="2300762" y="1579787"/>
                </a:cubicBezTo>
                <a:cubicBezTo>
                  <a:pt x="2300762" y="1560558"/>
                  <a:pt x="2285383" y="1544967"/>
                  <a:pt x="2266416" y="1544967"/>
                </a:cubicBezTo>
                <a:close/>
                <a:moveTo>
                  <a:pt x="2350151" y="1544967"/>
                </a:moveTo>
                <a:cubicBezTo>
                  <a:pt x="2331184" y="1544967"/>
                  <a:pt x="2315804" y="1560558"/>
                  <a:pt x="2315804" y="1579787"/>
                </a:cubicBezTo>
                <a:cubicBezTo>
                  <a:pt x="2315804" y="1599016"/>
                  <a:pt x="2331184" y="1614607"/>
                  <a:pt x="2350151" y="1614607"/>
                </a:cubicBezTo>
                <a:cubicBezTo>
                  <a:pt x="2369118" y="1614607"/>
                  <a:pt x="2384498" y="1599016"/>
                  <a:pt x="2384498" y="1579787"/>
                </a:cubicBezTo>
                <a:cubicBezTo>
                  <a:pt x="2384498" y="1560558"/>
                  <a:pt x="2369118" y="1544967"/>
                  <a:pt x="2350151" y="1544967"/>
                </a:cubicBezTo>
                <a:close/>
                <a:moveTo>
                  <a:pt x="2433893" y="1544967"/>
                </a:moveTo>
                <a:cubicBezTo>
                  <a:pt x="2414926" y="1544967"/>
                  <a:pt x="2399546" y="1560558"/>
                  <a:pt x="2399546" y="1579787"/>
                </a:cubicBezTo>
                <a:cubicBezTo>
                  <a:pt x="2399546" y="1599016"/>
                  <a:pt x="2414926" y="1614607"/>
                  <a:pt x="2433893" y="1614607"/>
                </a:cubicBezTo>
                <a:cubicBezTo>
                  <a:pt x="2452860" y="1614607"/>
                  <a:pt x="2468240" y="1599016"/>
                  <a:pt x="2468240" y="1579787"/>
                </a:cubicBezTo>
                <a:cubicBezTo>
                  <a:pt x="2468240" y="1560558"/>
                  <a:pt x="2452860" y="1544967"/>
                  <a:pt x="2433893" y="1544967"/>
                </a:cubicBezTo>
                <a:close/>
                <a:moveTo>
                  <a:pt x="2517634" y="1544967"/>
                </a:moveTo>
                <a:cubicBezTo>
                  <a:pt x="2498667" y="1544967"/>
                  <a:pt x="2483288" y="1560558"/>
                  <a:pt x="2483288" y="1579787"/>
                </a:cubicBezTo>
                <a:cubicBezTo>
                  <a:pt x="2483288" y="1599016"/>
                  <a:pt x="2498667" y="1614607"/>
                  <a:pt x="2517634" y="1614607"/>
                </a:cubicBezTo>
                <a:cubicBezTo>
                  <a:pt x="2536601" y="1614607"/>
                  <a:pt x="2551981" y="1599016"/>
                  <a:pt x="2551981" y="1579787"/>
                </a:cubicBezTo>
                <a:cubicBezTo>
                  <a:pt x="2551981" y="1560558"/>
                  <a:pt x="2536601" y="1544967"/>
                  <a:pt x="2517634" y="1544967"/>
                </a:cubicBezTo>
                <a:close/>
                <a:moveTo>
                  <a:pt x="2601376" y="1544967"/>
                </a:moveTo>
                <a:cubicBezTo>
                  <a:pt x="2582409" y="1544967"/>
                  <a:pt x="2567029" y="1560558"/>
                  <a:pt x="2567029" y="1579787"/>
                </a:cubicBezTo>
                <a:cubicBezTo>
                  <a:pt x="2567029" y="1599016"/>
                  <a:pt x="2582409" y="1614607"/>
                  <a:pt x="2601376" y="1614607"/>
                </a:cubicBezTo>
                <a:cubicBezTo>
                  <a:pt x="2620343" y="1614607"/>
                  <a:pt x="2635722" y="1599016"/>
                  <a:pt x="2635722" y="1579787"/>
                </a:cubicBezTo>
                <a:cubicBezTo>
                  <a:pt x="2635722" y="1560558"/>
                  <a:pt x="2620343" y="1544967"/>
                  <a:pt x="2601376" y="1544967"/>
                </a:cubicBezTo>
                <a:close/>
                <a:moveTo>
                  <a:pt x="2685118" y="1544967"/>
                </a:moveTo>
                <a:cubicBezTo>
                  <a:pt x="2666151" y="1544967"/>
                  <a:pt x="2650771" y="1560558"/>
                  <a:pt x="2650771" y="1579787"/>
                </a:cubicBezTo>
                <a:cubicBezTo>
                  <a:pt x="2650771" y="1599016"/>
                  <a:pt x="2666151" y="1614607"/>
                  <a:pt x="2685118" y="1614607"/>
                </a:cubicBezTo>
                <a:cubicBezTo>
                  <a:pt x="2704085" y="1614607"/>
                  <a:pt x="2719465" y="1599016"/>
                  <a:pt x="2719465" y="1579787"/>
                </a:cubicBezTo>
                <a:cubicBezTo>
                  <a:pt x="2719465" y="1560558"/>
                  <a:pt x="2704085" y="1544967"/>
                  <a:pt x="2685118" y="1544967"/>
                </a:cubicBezTo>
                <a:close/>
                <a:moveTo>
                  <a:pt x="2768859" y="1544967"/>
                </a:moveTo>
                <a:cubicBezTo>
                  <a:pt x="2749892" y="1544967"/>
                  <a:pt x="2734512" y="1560558"/>
                  <a:pt x="2734512" y="1579787"/>
                </a:cubicBezTo>
                <a:cubicBezTo>
                  <a:pt x="2734512" y="1599016"/>
                  <a:pt x="2749892" y="1614607"/>
                  <a:pt x="2768859" y="1614607"/>
                </a:cubicBezTo>
                <a:cubicBezTo>
                  <a:pt x="2787826" y="1614607"/>
                  <a:pt x="2803206" y="1599016"/>
                  <a:pt x="2803206" y="1579787"/>
                </a:cubicBezTo>
                <a:cubicBezTo>
                  <a:pt x="2803206" y="1560558"/>
                  <a:pt x="2787826" y="1544967"/>
                  <a:pt x="2768859" y="1544967"/>
                </a:cubicBezTo>
                <a:close/>
                <a:moveTo>
                  <a:pt x="2852600" y="1544967"/>
                </a:moveTo>
                <a:cubicBezTo>
                  <a:pt x="2833633" y="1544967"/>
                  <a:pt x="2818254" y="1560558"/>
                  <a:pt x="2818254" y="1579787"/>
                </a:cubicBezTo>
                <a:cubicBezTo>
                  <a:pt x="2818254" y="1599016"/>
                  <a:pt x="2833633" y="1614607"/>
                  <a:pt x="2852600" y="1614607"/>
                </a:cubicBezTo>
                <a:cubicBezTo>
                  <a:pt x="2871567" y="1614607"/>
                  <a:pt x="2886947" y="1599016"/>
                  <a:pt x="2886947" y="1579787"/>
                </a:cubicBezTo>
                <a:cubicBezTo>
                  <a:pt x="2886947" y="1560558"/>
                  <a:pt x="2871567" y="1544967"/>
                  <a:pt x="2852600" y="1544967"/>
                </a:cubicBezTo>
                <a:close/>
                <a:moveTo>
                  <a:pt x="2936343" y="1544967"/>
                </a:moveTo>
                <a:cubicBezTo>
                  <a:pt x="2917376" y="1544967"/>
                  <a:pt x="2901996" y="1560558"/>
                  <a:pt x="2901996" y="1579787"/>
                </a:cubicBezTo>
                <a:cubicBezTo>
                  <a:pt x="2901996" y="1599016"/>
                  <a:pt x="2917376" y="1614607"/>
                  <a:pt x="2936343" y="1614607"/>
                </a:cubicBezTo>
                <a:cubicBezTo>
                  <a:pt x="2955310" y="1614607"/>
                  <a:pt x="2970689" y="1599016"/>
                  <a:pt x="2970689" y="1579787"/>
                </a:cubicBezTo>
                <a:cubicBezTo>
                  <a:pt x="2970689" y="1560558"/>
                  <a:pt x="2955310" y="1544967"/>
                  <a:pt x="2936343" y="1544967"/>
                </a:cubicBezTo>
                <a:close/>
                <a:moveTo>
                  <a:pt x="3020084" y="1544967"/>
                </a:moveTo>
                <a:cubicBezTo>
                  <a:pt x="3001117" y="1544967"/>
                  <a:pt x="2985737" y="1560558"/>
                  <a:pt x="2985737" y="1579787"/>
                </a:cubicBezTo>
                <a:cubicBezTo>
                  <a:pt x="2985737" y="1599016"/>
                  <a:pt x="3001117" y="1614607"/>
                  <a:pt x="3020084" y="1614607"/>
                </a:cubicBezTo>
                <a:cubicBezTo>
                  <a:pt x="3039051" y="1614607"/>
                  <a:pt x="3054431" y="1599016"/>
                  <a:pt x="3054431" y="1579787"/>
                </a:cubicBezTo>
                <a:cubicBezTo>
                  <a:pt x="3054431" y="1560558"/>
                  <a:pt x="3039051" y="1544967"/>
                  <a:pt x="3020084" y="1544967"/>
                </a:cubicBezTo>
                <a:close/>
                <a:moveTo>
                  <a:pt x="3103826" y="1544967"/>
                </a:moveTo>
                <a:cubicBezTo>
                  <a:pt x="3084859" y="1544967"/>
                  <a:pt x="3069479" y="1560558"/>
                  <a:pt x="3069479" y="1579787"/>
                </a:cubicBezTo>
                <a:cubicBezTo>
                  <a:pt x="3069479" y="1599016"/>
                  <a:pt x="3084859" y="1614607"/>
                  <a:pt x="3103826" y="1614607"/>
                </a:cubicBezTo>
                <a:cubicBezTo>
                  <a:pt x="3122793" y="1614607"/>
                  <a:pt x="3138173" y="1599016"/>
                  <a:pt x="3138173" y="1579787"/>
                </a:cubicBezTo>
                <a:cubicBezTo>
                  <a:pt x="3138173" y="1560558"/>
                  <a:pt x="3122793" y="1544967"/>
                  <a:pt x="3103826" y="1544967"/>
                </a:cubicBezTo>
                <a:close/>
                <a:moveTo>
                  <a:pt x="3187567" y="1544967"/>
                </a:moveTo>
                <a:cubicBezTo>
                  <a:pt x="3168600" y="1544967"/>
                  <a:pt x="3153221" y="1560558"/>
                  <a:pt x="3153221" y="1579787"/>
                </a:cubicBezTo>
                <a:cubicBezTo>
                  <a:pt x="3153221" y="1599016"/>
                  <a:pt x="3168600" y="1614607"/>
                  <a:pt x="3187567" y="1614607"/>
                </a:cubicBezTo>
                <a:cubicBezTo>
                  <a:pt x="3206534" y="1614607"/>
                  <a:pt x="3221914" y="1599016"/>
                  <a:pt x="3221914" y="1579787"/>
                </a:cubicBezTo>
                <a:cubicBezTo>
                  <a:pt x="3221914" y="1560558"/>
                  <a:pt x="3206534" y="1544967"/>
                  <a:pt x="3187567" y="1544967"/>
                </a:cubicBezTo>
                <a:close/>
                <a:moveTo>
                  <a:pt x="3271309" y="1544967"/>
                </a:moveTo>
                <a:cubicBezTo>
                  <a:pt x="3252342" y="1544967"/>
                  <a:pt x="3236962" y="1560558"/>
                  <a:pt x="3236962" y="1579787"/>
                </a:cubicBezTo>
                <a:cubicBezTo>
                  <a:pt x="3236962" y="1599016"/>
                  <a:pt x="3252342" y="1614607"/>
                  <a:pt x="3271309" y="1614607"/>
                </a:cubicBezTo>
                <a:cubicBezTo>
                  <a:pt x="3290276" y="1614607"/>
                  <a:pt x="3305655" y="1599016"/>
                  <a:pt x="3305655" y="1579787"/>
                </a:cubicBezTo>
                <a:cubicBezTo>
                  <a:pt x="3305655" y="1560558"/>
                  <a:pt x="3290276" y="1544967"/>
                  <a:pt x="3271309" y="1544967"/>
                </a:cubicBezTo>
                <a:close/>
                <a:moveTo>
                  <a:pt x="3355051" y="1544967"/>
                </a:moveTo>
                <a:cubicBezTo>
                  <a:pt x="3336084" y="1544967"/>
                  <a:pt x="3320704" y="1560558"/>
                  <a:pt x="3320704" y="1579787"/>
                </a:cubicBezTo>
                <a:cubicBezTo>
                  <a:pt x="3320704" y="1599016"/>
                  <a:pt x="3336084" y="1614607"/>
                  <a:pt x="3355051" y="1614607"/>
                </a:cubicBezTo>
                <a:cubicBezTo>
                  <a:pt x="3374018" y="1614607"/>
                  <a:pt x="3389398" y="1599016"/>
                  <a:pt x="3389398" y="1579787"/>
                </a:cubicBezTo>
                <a:cubicBezTo>
                  <a:pt x="3389398" y="1560558"/>
                  <a:pt x="3374018" y="1544967"/>
                  <a:pt x="3355051" y="1544967"/>
                </a:cubicBezTo>
                <a:close/>
                <a:moveTo>
                  <a:pt x="3438792" y="1544967"/>
                </a:moveTo>
                <a:cubicBezTo>
                  <a:pt x="3419825" y="1544967"/>
                  <a:pt x="3404445" y="1560558"/>
                  <a:pt x="3404445" y="1579787"/>
                </a:cubicBezTo>
                <a:cubicBezTo>
                  <a:pt x="3404445" y="1599016"/>
                  <a:pt x="3419825" y="1614607"/>
                  <a:pt x="3438792" y="1614607"/>
                </a:cubicBezTo>
                <a:cubicBezTo>
                  <a:pt x="3457759" y="1614607"/>
                  <a:pt x="3473139" y="1599016"/>
                  <a:pt x="3473139" y="1579787"/>
                </a:cubicBezTo>
                <a:cubicBezTo>
                  <a:pt x="3473139" y="1560558"/>
                  <a:pt x="3457759" y="1544967"/>
                  <a:pt x="3438792" y="1544967"/>
                </a:cubicBezTo>
                <a:close/>
                <a:moveTo>
                  <a:pt x="3522533" y="1544967"/>
                </a:moveTo>
                <a:cubicBezTo>
                  <a:pt x="3503566" y="1544967"/>
                  <a:pt x="3488187" y="1560558"/>
                  <a:pt x="3488187" y="1579787"/>
                </a:cubicBezTo>
                <a:cubicBezTo>
                  <a:pt x="3488187" y="1599016"/>
                  <a:pt x="3503566" y="1614607"/>
                  <a:pt x="3522533" y="1614607"/>
                </a:cubicBezTo>
                <a:cubicBezTo>
                  <a:pt x="3541500" y="1614607"/>
                  <a:pt x="3556880" y="1599016"/>
                  <a:pt x="3556880" y="1579787"/>
                </a:cubicBezTo>
                <a:cubicBezTo>
                  <a:pt x="3556880" y="1560558"/>
                  <a:pt x="3541500" y="1544967"/>
                  <a:pt x="3522533" y="1544967"/>
                </a:cubicBezTo>
                <a:close/>
                <a:moveTo>
                  <a:pt x="3606276" y="1544967"/>
                </a:moveTo>
                <a:cubicBezTo>
                  <a:pt x="3587309" y="1544967"/>
                  <a:pt x="3571929" y="1560558"/>
                  <a:pt x="3571929" y="1579787"/>
                </a:cubicBezTo>
                <a:cubicBezTo>
                  <a:pt x="3571929" y="1599016"/>
                  <a:pt x="3587309" y="1614607"/>
                  <a:pt x="3606276" y="1614607"/>
                </a:cubicBezTo>
                <a:cubicBezTo>
                  <a:pt x="3625243" y="1614607"/>
                  <a:pt x="3640622" y="1599016"/>
                  <a:pt x="3640622" y="1579787"/>
                </a:cubicBezTo>
                <a:cubicBezTo>
                  <a:pt x="3640622" y="1560558"/>
                  <a:pt x="3625243" y="1544967"/>
                  <a:pt x="3606276" y="1544967"/>
                </a:cubicBezTo>
                <a:close/>
                <a:moveTo>
                  <a:pt x="3690017" y="1544967"/>
                </a:moveTo>
                <a:cubicBezTo>
                  <a:pt x="3671050" y="1544967"/>
                  <a:pt x="3655670" y="1560558"/>
                  <a:pt x="3655670" y="1579787"/>
                </a:cubicBezTo>
                <a:cubicBezTo>
                  <a:pt x="3655670" y="1599016"/>
                  <a:pt x="3671050" y="1614607"/>
                  <a:pt x="3690017" y="1614607"/>
                </a:cubicBezTo>
                <a:cubicBezTo>
                  <a:pt x="3708984" y="1614607"/>
                  <a:pt x="3724364" y="1599016"/>
                  <a:pt x="3724364" y="1579787"/>
                </a:cubicBezTo>
                <a:cubicBezTo>
                  <a:pt x="3724364" y="1560558"/>
                  <a:pt x="3708984" y="1544967"/>
                  <a:pt x="3690017" y="1544967"/>
                </a:cubicBezTo>
                <a:close/>
                <a:moveTo>
                  <a:pt x="3773759" y="1544967"/>
                </a:moveTo>
                <a:cubicBezTo>
                  <a:pt x="3754792" y="1544967"/>
                  <a:pt x="3739412" y="1560558"/>
                  <a:pt x="3739412" y="1579787"/>
                </a:cubicBezTo>
                <a:cubicBezTo>
                  <a:pt x="3739412" y="1599016"/>
                  <a:pt x="3754792" y="1614607"/>
                  <a:pt x="3773759" y="1614607"/>
                </a:cubicBezTo>
                <a:cubicBezTo>
                  <a:pt x="3792726" y="1614607"/>
                  <a:pt x="3808106" y="1599016"/>
                  <a:pt x="3808106" y="1579787"/>
                </a:cubicBezTo>
                <a:cubicBezTo>
                  <a:pt x="3808106" y="1560558"/>
                  <a:pt x="3792726" y="1544967"/>
                  <a:pt x="3773759" y="1544967"/>
                </a:cubicBezTo>
                <a:close/>
                <a:moveTo>
                  <a:pt x="3941242" y="1544967"/>
                </a:moveTo>
                <a:cubicBezTo>
                  <a:pt x="3922275" y="1544967"/>
                  <a:pt x="3906895" y="1560558"/>
                  <a:pt x="3906895" y="1579787"/>
                </a:cubicBezTo>
                <a:cubicBezTo>
                  <a:pt x="3906895" y="1599016"/>
                  <a:pt x="3922275" y="1614607"/>
                  <a:pt x="3941242" y="1614607"/>
                </a:cubicBezTo>
                <a:cubicBezTo>
                  <a:pt x="3960209" y="1614607"/>
                  <a:pt x="3975588" y="1599016"/>
                  <a:pt x="3975588" y="1579787"/>
                </a:cubicBezTo>
                <a:cubicBezTo>
                  <a:pt x="3975588" y="1560558"/>
                  <a:pt x="3960209" y="1544967"/>
                  <a:pt x="3941242" y="1544967"/>
                </a:cubicBezTo>
                <a:close/>
                <a:moveTo>
                  <a:pt x="4108732" y="1544967"/>
                </a:moveTo>
                <a:cubicBezTo>
                  <a:pt x="4089765" y="1544967"/>
                  <a:pt x="4074386" y="1560558"/>
                  <a:pt x="4074386" y="1579787"/>
                </a:cubicBezTo>
                <a:cubicBezTo>
                  <a:pt x="4074386" y="1599016"/>
                  <a:pt x="4089765" y="1614607"/>
                  <a:pt x="4108732" y="1614607"/>
                </a:cubicBezTo>
                <a:cubicBezTo>
                  <a:pt x="4127699" y="1614607"/>
                  <a:pt x="4143079" y="1599016"/>
                  <a:pt x="4143079" y="1579787"/>
                </a:cubicBezTo>
                <a:cubicBezTo>
                  <a:pt x="4143079" y="1560558"/>
                  <a:pt x="4127699" y="1544967"/>
                  <a:pt x="4108732" y="1544967"/>
                </a:cubicBezTo>
                <a:close/>
                <a:moveTo>
                  <a:pt x="4694923" y="1544967"/>
                </a:moveTo>
                <a:cubicBezTo>
                  <a:pt x="4675956" y="1544967"/>
                  <a:pt x="4660576" y="1560558"/>
                  <a:pt x="4660576" y="1579787"/>
                </a:cubicBezTo>
                <a:cubicBezTo>
                  <a:pt x="4660576" y="1599016"/>
                  <a:pt x="4675956" y="1614607"/>
                  <a:pt x="4694923" y="1614607"/>
                </a:cubicBezTo>
                <a:cubicBezTo>
                  <a:pt x="4713890" y="1614607"/>
                  <a:pt x="4729270" y="1599016"/>
                  <a:pt x="4729270" y="1579787"/>
                </a:cubicBezTo>
                <a:cubicBezTo>
                  <a:pt x="4729270" y="1560558"/>
                  <a:pt x="4713890" y="1544967"/>
                  <a:pt x="4694923" y="1544967"/>
                </a:cubicBezTo>
                <a:close/>
                <a:moveTo>
                  <a:pt x="4778665" y="1544967"/>
                </a:moveTo>
                <a:cubicBezTo>
                  <a:pt x="4759698" y="1544967"/>
                  <a:pt x="4744319" y="1560558"/>
                  <a:pt x="4744319" y="1579787"/>
                </a:cubicBezTo>
                <a:cubicBezTo>
                  <a:pt x="4744319" y="1599016"/>
                  <a:pt x="4759698" y="1614607"/>
                  <a:pt x="4778665" y="1614607"/>
                </a:cubicBezTo>
                <a:cubicBezTo>
                  <a:pt x="4797632" y="1614607"/>
                  <a:pt x="4813012" y="1599016"/>
                  <a:pt x="4813012" y="1579787"/>
                </a:cubicBezTo>
                <a:cubicBezTo>
                  <a:pt x="4813012" y="1560558"/>
                  <a:pt x="4797632" y="1544967"/>
                  <a:pt x="4778665" y="1544967"/>
                </a:cubicBezTo>
                <a:close/>
                <a:moveTo>
                  <a:pt x="4862406" y="1544967"/>
                </a:moveTo>
                <a:cubicBezTo>
                  <a:pt x="4843439" y="1544967"/>
                  <a:pt x="4828060" y="1560558"/>
                  <a:pt x="4828060" y="1579787"/>
                </a:cubicBezTo>
                <a:cubicBezTo>
                  <a:pt x="4828060" y="1599016"/>
                  <a:pt x="4843439" y="1614607"/>
                  <a:pt x="4862406" y="1614607"/>
                </a:cubicBezTo>
                <a:cubicBezTo>
                  <a:pt x="4881373" y="1614607"/>
                  <a:pt x="4896753" y="1599016"/>
                  <a:pt x="4896753" y="1579787"/>
                </a:cubicBezTo>
                <a:cubicBezTo>
                  <a:pt x="4896753" y="1560558"/>
                  <a:pt x="4881373" y="1544967"/>
                  <a:pt x="4862406" y="1544967"/>
                </a:cubicBezTo>
                <a:close/>
                <a:moveTo>
                  <a:pt x="4946148" y="1544967"/>
                </a:moveTo>
                <a:cubicBezTo>
                  <a:pt x="4927181" y="1544967"/>
                  <a:pt x="4911801" y="1560558"/>
                  <a:pt x="4911801" y="1579787"/>
                </a:cubicBezTo>
                <a:cubicBezTo>
                  <a:pt x="4911801" y="1599016"/>
                  <a:pt x="4927181" y="1614607"/>
                  <a:pt x="4946148" y="1614607"/>
                </a:cubicBezTo>
                <a:cubicBezTo>
                  <a:pt x="4965115" y="1614607"/>
                  <a:pt x="4980494" y="1599016"/>
                  <a:pt x="4980494" y="1579787"/>
                </a:cubicBezTo>
                <a:cubicBezTo>
                  <a:pt x="4980494" y="1560558"/>
                  <a:pt x="4965115" y="1544967"/>
                  <a:pt x="4946148" y="1544967"/>
                </a:cubicBezTo>
                <a:close/>
                <a:moveTo>
                  <a:pt x="5029890" y="1544967"/>
                </a:moveTo>
                <a:cubicBezTo>
                  <a:pt x="5010923" y="1544967"/>
                  <a:pt x="4995543" y="1560558"/>
                  <a:pt x="4995543" y="1579787"/>
                </a:cubicBezTo>
                <a:cubicBezTo>
                  <a:pt x="4995543" y="1599016"/>
                  <a:pt x="5010923" y="1614607"/>
                  <a:pt x="5029890" y="1614607"/>
                </a:cubicBezTo>
                <a:cubicBezTo>
                  <a:pt x="5048857" y="1614607"/>
                  <a:pt x="5064237" y="1599016"/>
                  <a:pt x="5064237" y="1579787"/>
                </a:cubicBezTo>
                <a:cubicBezTo>
                  <a:pt x="5064237" y="1560558"/>
                  <a:pt x="5048857" y="1544967"/>
                  <a:pt x="5029890" y="1544967"/>
                </a:cubicBezTo>
                <a:close/>
                <a:moveTo>
                  <a:pt x="5113631" y="1544967"/>
                </a:moveTo>
                <a:cubicBezTo>
                  <a:pt x="5094664" y="1544967"/>
                  <a:pt x="5079285" y="1560558"/>
                  <a:pt x="5079285" y="1579787"/>
                </a:cubicBezTo>
                <a:cubicBezTo>
                  <a:pt x="5079285" y="1599016"/>
                  <a:pt x="5094664" y="1614607"/>
                  <a:pt x="5113631" y="1614607"/>
                </a:cubicBezTo>
                <a:cubicBezTo>
                  <a:pt x="5132598" y="1614607"/>
                  <a:pt x="5147978" y="1599016"/>
                  <a:pt x="5147978" y="1579787"/>
                </a:cubicBezTo>
                <a:cubicBezTo>
                  <a:pt x="5147978" y="1560558"/>
                  <a:pt x="5132598" y="1544967"/>
                  <a:pt x="5113631" y="1544967"/>
                </a:cubicBezTo>
                <a:close/>
                <a:moveTo>
                  <a:pt x="5197372" y="1544967"/>
                </a:moveTo>
                <a:cubicBezTo>
                  <a:pt x="5178405" y="1544967"/>
                  <a:pt x="5163026" y="1560558"/>
                  <a:pt x="5163026" y="1579787"/>
                </a:cubicBezTo>
                <a:cubicBezTo>
                  <a:pt x="5163026" y="1599016"/>
                  <a:pt x="5178405" y="1614607"/>
                  <a:pt x="5197372" y="1614607"/>
                </a:cubicBezTo>
                <a:cubicBezTo>
                  <a:pt x="5216339" y="1614607"/>
                  <a:pt x="5231719" y="1599016"/>
                  <a:pt x="5231719" y="1579787"/>
                </a:cubicBezTo>
                <a:cubicBezTo>
                  <a:pt x="5231719" y="1560558"/>
                  <a:pt x="5216339" y="1544967"/>
                  <a:pt x="5197372" y="1544967"/>
                </a:cubicBezTo>
                <a:close/>
                <a:moveTo>
                  <a:pt x="6453498" y="1544967"/>
                </a:moveTo>
                <a:cubicBezTo>
                  <a:pt x="6434531" y="1544967"/>
                  <a:pt x="6419144" y="1560558"/>
                  <a:pt x="6419144" y="1579787"/>
                </a:cubicBezTo>
                <a:cubicBezTo>
                  <a:pt x="6419144" y="1599016"/>
                  <a:pt x="6434531" y="1614607"/>
                  <a:pt x="6453498" y="1614607"/>
                </a:cubicBezTo>
                <a:cubicBezTo>
                  <a:pt x="6472465" y="1614607"/>
                  <a:pt x="6487838" y="1599016"/>
                  <a:pt x="6487838" y="1579787"/>
                </a:cubicBezTo>
                <a:cubicBezTo>
                  <a:pt x="6487838" y="1560558"/>
                  <a:pt x="6472465" y="1544967"/>
                  <a:pt x="6453498" y="1544967"/>
                </a:cubicBezTo>
                <a:close/>
                <a:moveTo>
                  <a:pt x="6537239" y="1544967"/>
                </a:moveTo>
                <a:cubicBezTo>
                  <a:pt x="6518272" y="1544967"/>
                  <a:pt x="6502886" y="1560558"/>
                  <a:pt x="6502886" y="1579787"/>
                </a:cubicBezTo>
                <a:cubicBezTo>
                  <a:pt x="6502886" y="1599016"/>
                  <a:pt x="6518272" y="1614607"/>
                  <a:pt x="6537239" y="1614607"/>
                </a:cubicBezTo>
                <a:cubicBezTo>
                  <a:pt x="6556206" y="1614607"/>
                  <a:pt x="6571579" y="1599016"/>
                  <a:pt x="6571579" y="1579787"/>
                </a:cubicBezTo>
                <a:cubicBezTo>
                  <a:pt x="6571579" y="1560558"/>
                  <a:pt x="6556206" y="1544967"/>
                  <a:pt x="6537239" y="1544967"/>
                </a:cubicBezTo>
                <a:close/>
                <a:moveTo>
                  <a:pt x="7039688" y="1544967"/>
                </a:moveTo>
                <a:cubicBezTo>
                  <a:pt x="7020721" y="1544967"/>
                  <a:pt x="7005335" y="1560558"/>
                  <a:pt x="7005335" y="1579787"/>
                </a:cubicBezTo>
                <a:cubicBezTo>
                  <a:pt x="7005335" y="1599016"/>
                  <a:pt x="7020721" y="1614607"/>
                  <a:pt x="7039688" y="1614607"/>
                </a:cubicBezTo>
                <a:cubicBezTo>
                  <a:pt x="7058655" y="1614607"/>
                  <a:pt x="7074029" y="1599016"/>
                  <a:pt x="7074029" y="1579787"/>
                </a:cubicBezTo>
                <a:cubicBezTo>
                  <a:pt x="7074029" y="1560558"/>
                  <a:pt x="7058655" y="1544967"/>
                  <a:pt x="7039688" y="1544967"/>
                </a:cubicBezTo>
                <a:close/>
                <a:moveTo>
                  <a:pt x="7374681" y="1544967"/>
                </a:moveTo>
                <a:cubicBezTo>
                  <a:pt x="7355714" y="1544967"/>
                  <a:pt x="7340328" y="1560558"/>
                  <a:pt x="7340328" y="1579787"/>
                </a:cubicBezTo>
                <a:cubicBezTo>
                  <a:pt x="7340328" y="1599016"/>
                  <a:pt x="7355714" y="1614607"/>
                  <a:pt x="7374681" y="1614607"/>
                </a:cubicBezTo>
                <a:cubicBezTo>
                  <a:pt x="7393648" y="1614607"/>
                  <a:pt x="7409022" y="1599016"/>
                  <a:pt x="7409022" y="1579787"/>
                </a:cubicBezTo>
                <a:cubicBezTo>
                  <a:pt x="7409022" y="1560558"/>
                  <a:pt x="7393648" y="1544967"/>
                  <a:pt x="7374681" y="1544967"/>
                </a:cubicBezTo>
                <a:close/>
                <a:moveTo>
                  <a:pt x="7458423" y="1544967"/>
                </a:moveTo>
                <a:cubicBezTo>
                  <a:pt x="7439456" y="1544967"/>
                  <a:pt x="7424070" y="1560558"/>
                  <a:pt x="7424070" y="1579787"/>
                </a:cubicBezTo>
                <a:cubicBezTo>
                  <a:pt x="7424070" y="1599016"/>
                  <a:pt x="7439456" y="1614607"/>
                  <a:pt x="7458423" y="1614607"/>
                </a:cubicBezTo>
                <a:cubicBezTo>
                  <a:pt x="7477390" y="1614607"/>
                  <a:pt x="7492763" y="1599016"/>
                  <a:pt x="7492763" y="1579787"/>
                </a:cubicBezTo>
                <a:cubicBezTo>
                  <a:pt x="7492763" y="1560558"/>
                  <a:pt x="7477390" y="1544967"/>
                  <a:pt x="7458423" y="1544967"/>
                </a:cubicBezTo>
                <a:close/>
                <a:moveTo>
                  <a:pt x="7625906" y="1544967"/>
                </a:moveTo>
                <a:cubicBezTo>
                  <a:pt x="7606939" y="1544967"/>
                  <a:pt x="7591553" y="1560558"/>
                  <a:pt x="7591553" y="1579787"/>
                </a:cubicBezTo>
                <a:cubicBezTo>
                  <a:pt x="7591553" y="1599016"/>
                  <a:pt x="7606939" y="1614607"/>
                  <a:pt x="7625906" y="1614607"/>
                </a:cubicBezTo>
                <a:cubicBezTo>
                  <a:pt x="7644873" y="1614607"/>
                  <a:pt x="7660246" y="1599016"/>
                  <a:pt x="7660246" y="1579787"/>
                </a:cubicBezTo>
                <a:cubicBezTo>
                  <a:pt x="7660246" y="1560558"/>
                  <a:pt x="7644873" y="1544967"/>
                  <a:pt x="7625906" y="1544967"/>
                </a:cubicBezTo>
                <a:close/>
                <a:moveTo>
                  <a:pt x="7709647" y="1544967"/>
                </a:moveTo>
                <a:cubicBezTo>
                  <a:pt x="7690680" y="1544967"/>
                  <a:pt x="7675294" y="1560558"/>
                  <a:pt x="7675294" y="1579787"/>
                </a:cubicBezTo>
                <a:cubicBezTo>
                  <a:pt x="7675294" y="1599016"/>
                  <a:pt x="7690680" y="1614607"/>
                  <a:pt x="7709647" y="1614607"/>
                </a:cubicBezTo>
                <a:cubicBezTo>
                  <a:pt x="7728614" y="1614607"/>
                  <a:pt x="7743988" y="1599016"/>
                  <a:pt x="7743988" y="1579787"/>
                </a:cubicBezTo>
                <a:cubicBezTo>
                  <a:pt x="7743988" y="1560558"/>
                  <a:pt x="7728614" y="1544967"/>
                  <a:pt x="7709647" y="1544967"/>
                </a:cubicBezTo>
                <a:close/>
                <a:moveTo>
                  <a:pt x="7877131" y="1544967"/>
                </a:moveTo>
                <a:cubicBezTo>
                  <a:pt x="7858164" y="1544967"/>
                  <a:pt x="7842778" y="1560558"/>
                  <a:pt x="7842778" y="1579787"/>
                </a:cubicBezTo>
                <a:cubicBezTo>
                  <a:pt x="7842778" y="1599016"/>
                  <a:pt x="7858164" y="1614607"/>
                  <a:pt x="7877131" y="1614607"/>
                </a:cubicBezTo>
                <a:cubicBezTo>
                  <a:pt x="7896098" y="1614607"/>
                  <a:pt x="7911471" y="1599016"/>
                  <a:pt x="7911471" y="1579787"/>
                </a:cubicBezTo>
                <a:cubicBezTo>
                  <a:pt x="7911471" y="1560558"/>
                  <a:pt x="7896098" y="1544967"/>
                  <a:pt x="7877131" y="1544967"/>
                </a:cubicBezTo>
                <a:close/>
                <a:moveTo>
                  <a:pt x="7960872" y="1544967"/>
                </a:moveTo>
                <a:cubicBezTo>
                  <a:pt x="7941905" y="1544967"/>
                  <a:pt x="7926519" y="1560558"/>
                  <a:pt x="7926519" y="1579787"/>
                </a:cubicBezTo>
                <a:cubicBezTo>
                  <a:pt x="7926519" y="1599016"/>
                  <a:pt x="7941905" y="1614607"/>
                  <a:pt x="7960872" y="1614607"/>
                </a:cubicBezTo>
                <a:cubicBezTo>
                  <a:pt x="7979839" y="1614607"/>
                  <a:pt x="7995212" y="1599016"/>
                  <a:pt x="7995212" y="1579787"/>
                </a:cubicBezTo>
                <a:cubicBezTo>
                  <a:pt x="7995212" y="1560558"/>
                  <a:pt x="7979839" y="1544967"/>
                  <a:pt x="7960872" y="1544967"/>
                </a:cubicBezTo>
                <a:close/>
                <a:moveTo>
                  <a:pt x="8044614" y="1544967"/>
                </a:moveTo>
                <a:cubicBezTo>
                  <a:pt x="8025647" y="1544967"/>
                  <a:pt x="8010261" y="1560558"/>
                  <a:pt x="8010261" y="1579787"/>
                </a:cubicBezTo>
                <a:cubicBezTo>
                  <a:pt x="8010261" y="1599016"/>
                  <a:pt x="8025647" y="1614607"/>
                  <a:pt x="8044614" y="1614607"/>
                </a:cubicBezTo>
                <a:cubicBezTo>
                  <a:pt x="8063581" y="1614607"/>
                  <a:pt x="8078955" y="1599016"/>
                  <a:pt x="8078955" y="1579787"/>
                </a:cubicBezTo>
                <a:cubicBezTo>
                  <a:pt x="8078955" y="1560558"/>
                  <a:pt x="8063581" y="1544967"/>
                  <a:pt x="8044614" y="1544967"/>
                </a:cubicBezTo>
                <a:close/>
                <a:moveTo>
                  <a:pt x="8128356" y="1544967"/>
                </a:moveTo>
                <a:cubicBezTo>
                  <a:pt x="8109389" y="1544967"/>
                  <a:pt x="8094003" y="1560558"/>
                  <a:pt x="8094003" y="1579787"/>
                </a:cubicBezTo>
                <a:cubicBezTo>
                  <a:pt x="8094003" y="1599016"/>
                  <a:pt x="8109389" y="1614607"/>
                  <a:pt x="8128356" y="1614607"/>
                </a:cubicBezTo>
                <a:cubicBezTo>
                  <a:pt x="8147323" y="1614607"/>
                  <a:pt x="8162696" y="1599016"/>
                  <a:pt x="8162696" y="1579787"/>
                </a:cubicBezTo>
                <a:cubicBezTo>
                  <a:pt x="8162696" y="1560558"/>
                  <a:pt x="8147323" y="1544967"/>
                  <a:pt x="8128356" y="1544967"/>
                </a:cubicBezTo>
                <a:close/>
                <a:moveTo>
                  <a:pt x="8212097" y="1544967"/>
                </a:moveTo>
                <a:cubicBezTo>
                  <a:pt x="8193130" y="1544967"/>
                  <a:pt x="8177744" y="1560558"/>
                  <a:pt x="8177744" y="1579787"/>
                </a:cubicBezTo>
                <a:cubicBezTo>
                  <a:pt x="8177744" y="1599016"/>
                  <a:pt x="8193130" y="1614607"/>
                  <a:pt x="8212097" y="1614607"/>
                </a:cubicBezTo>
                <a:cubicBezTo>
                  <a:pt x="8231064" y="1614607"/>
                  <a:pt x="8246437" y="1599016"/>
                  <a:pt x="8246437" y="1579787"/>
                </a:cubicBezTo>
                <a:cubicBezTo>
                  <a:pt x="8246437" y="1560558"/>
                  <a:pt x="8231064" y="1544967"/>
                  <a:pt x="8212097" y="1544967"/>
                </a:cubicBezTo>
                <a:close/>
                <a:moveTo>
                  <a:pt x="8295839" y="1544967"/>
                </a:moveTo>
                <a:cubicBezTo>
                  <a:pt x="8276872" y="1544967"/>
                  <a:pt x="8261486" y="1560558"/>
                  <a:pt x="8261486" y="1579787"/>
                </a:cubicBezTo>
                <a:cubicBezTo>
                  <a:pt x="8261486" y="1599016"/>
                  <a:pt x="8276872" y="1614607"/>
                  <a:pt x="8295839" y="1614607"/>
                </a:cubicBezTo>
                <a:cubicBezTo>
                  <a:pt x="8314806" y="1614607"/>
                  <a:pt x="8330179" y="1599016"/>
                  <a:pt x="8330179" y="1579787"/>
                </a:cubicBezTo>
                <a:cubicBezTo>
                  <a:pt x="8330179" y="1560558"/>
                  <a:pt x="8314806" y="1544967"/>
                  <a:pt x="8295839" y="1544967"/>
                </a:cubicBezTo>
                <a:close/>
                <a:moveTo>
                  <a:pt x="8379580" y="1544967"/>
                </a:moveTo>
                <a:cubicBezTo>
                  <a:pt x="8360613" y="1544967"/>
                  <a:pt x="8345227" y="1560558"/>
                  <a:pt x="8345227" y="1579787"/>
                </a:cubicBezTo>
                <a:cubicBezTo>
                  <a:pt x="8345227" y="1599016"/>
                  <a:pt x="8360613" y="1614607"/>
                  <a:pt x="8379580" y="1614607"/>
                </a:cubicBezTo>
                <a:cubicBezTo>
                  <a:pt x="8398547" y="1614607"/>
                  <a:pt x="8413921" y="1599016"/>
                  <a:pt x="8413921" y="1579787"/>
                </a:cubicBezTo>
                <a:cubicBezTo>
                  <a:pt x="8413921" y="1560558"/>
                  <a:pt x="8398547" y="1544967"/>
                  <a:pt x="8379580" y="1544967"/>
                </a:cubicBezTo>
                <a:close/>
                <a:moveTo>
                  <a:pt x="8463323" y="1544967"/>
                </a:moveTo>
                <a:cubicBezTo>
                  <a:pt x="8444356" y="1544967"/>
                  <a:pt x="8428970" y="1560558"/>
                  <a:pt x="8428970" y="1579787"/>
                </a:cubicBezTo>
                <a:cubicBezTo>
                  <a:pt x="8428970" y="1599016"/>
                  <a:pt x="8444356" y="1614607"/>
                  <a:pt x="8463323" y="1614607"/>
                </a:cubicBezTo>
                <a:cubicBezTo>
                  <a:pt x="8482290" y="1614607"/>
                  <a:pt x="8497663" y="1599016"/>
                  <a:pt x="8497663" y="1579787"/>
                </a:cubicBezTo>
                <a:cubicBezTo>
                  <a:pt x="8497663" y="1560558"/>
                  <a:pt x="8482290" y="1544967"/>
                  <a:pt x="8463323" y="1544967"/>
                </a:cubicBezTo>
                <a:close/>
                <a:moveTo>
                  <a:pt x="8547064" y="1544967"/>
                </a:moveTo>
                <a:cubicBezTo>
                  <a:pt x="8528097" y="1544967"/>
                  <a:pt x="8512711" y="1560558"/>
                  <a:pt x="8512711" y="1579787"/>
                </a:cubicBezTo>
                <a:cubicBezTo>
                  <a:pt x="8512711" y="1599016"/>
                  <a:pt x="8528097" y="1614607"/>
                  <a:pt x="8547064" y="1614607"/>
                </a:cubicBezTo>
                <a:cubicBezTo>
                  <a:pt x="8566031" y="1614607"/>
                  <a:pt x="8581404" y="1599016"/>
                  <a:pt x="8581404" y="1579787"/>
                </a:cubicBezTo>
                <a:cubicBezTo>
                  <a:pt x="8581404" y="1560558"/>
                  <a:pt x="8566031" y="1544967"/>
                  <a:pt x="8547064" y="1544967"/>
                </a:cubicBezTo>
                <a:close/>
                <a:moveTo>
                  <a:pt x="8630805" y="1544967"/>
                </a:moveTo>
                <a:cubicBezTo>
                  <a:pt x="8611838" y="1544967"/>
                  <a:pt x="8596452" y="1560558"/>
                  <a:pt x="8596452" y="1579787"/>
                </a:cubicBezTo>
                <a:cubicBezTo>
                  <a:pt x="8596452" y="1599016"/>
                  <a:pt x="8611838" y="1614607"/>
                  <a:pt x="8630805" y="1614607"/>
                </a:cubicBezTo>
                <a:cubicBezTo>
                  <a:pt x="8649772" y="1614607"/>
                  <a:pt x="8665145" y="1599016"/>
                  <a:pt x="8665145" y="1579787"/>
                </a:cubicBezTo>
                <a:cubicBezTo>
                  <a:pt x="8665145" y="1560558"/>
                  <a:pt x="8649772" y="1544967"/>
                  <a:pt x="8630805" y="1544967"/>
                </a:cubicBezTo>
                <a:close/>
                <a:moveTo>
                  <a:pt x="8714547" y="1544967"/>
                </a:moveTo>
                <a:cubicBezTo>
                  <a:pt x="8695580" y="1544967"/>
                  <a:pt x="8680194" y="1560558"/>
                  <a:pt x="8680194" y="1579787"/>
                </a:cubicBezTo>
                <a:cubicBezTo>
                  <a:pt x="8680194" y="1599016"/>
                  <a:pt x="8695580" y="1614607"/>
                  <a:pt x="8714547" y="1614607"/>
                </a:cubicBezTo>
                <a:cubicBezTo>
                  <a:pt x="8733514" y="1614607"/>
                  <a:pt x="8748888" y="1599016"/>
                  <a:pt x="8748888" y="1579787"/>
                </a:cubicBezTo>
                <a:cubicBezTo>
                  <a:pt x="8748888" y="1560558"/>
                  <a:pt x="8733514" y="1544967"/>
                  <a:pt x="8714547" y="1544967"/>
                </a:cubicBezTo>
                <a:close/>
                <a:moveTo>
                  <a:pt x="8798289" y="1544967"/>
                </a:moveTo>
                <a:cubicBezTo>
                  <a:pt x="8779322" y="1544967"/>
                  <a:pt x="8763936" y="1560558"/>
                  <a:pt x="8763936" y="1579787"/>
                </a:cubicBezTo>
                <a:cubicBezTo>
                  <a:pt x="8763936" y="1599016"/>
                  <a:pt x="8779322" y="1614607"/>
                  <a:pt x="8798289" y="1614607"/>
                </a:cubicBezTo>
                <a:cubicBezTo>
                  <a:pt x="8817256" y="1614607"/>
                  <a:pt x="8832629" y="1599016"/>
                  <a:pt x="8832629" y="1579787"/>
                </a:cubicBezTo>
                <a:cubicBezTo>
                  <a:pt x="8832629" y="1560558"/>
                  <a:pt x="8817256" y="1544967"/>
                  <a:pt x="8798289" y="1544967"/>
                </a:cubicBezTo>
                <a:close/>
                <a:moveTo>
                  <a:pt x="8882030" y="1544967"/>
                </a:moveTo>
                <a:cubicBezTo>
                  <a:pt x="8863063" y="1544967"/>
                  <a:pt x="8847677" y="1560558"/>
                  <a:pt x="8847677" y="1579787"/>
                </a:cubicBezTo>
                <a:cubicBezTo>
                  <a:pt x="8847677" y="1599016"/>
                  <a:pt x="8863063" y="1614607"/>
                  <a:pt x="8882030" y="1614607"/>
                </a:cubicBezTo>
                <a:cubicBezTo>
                  <a:pt x="8900997" y="1614607"/>
                  <a:pt x="8916370" y="1599016"/>
                  <a:pt x="8916370" y="1579787"/>
                </a:cubicBezTo>
                <a:cubicBezTo>
                  <a:pt x="8916370" y="1560558"/>
                  <a:pt x="8900997" y="1544967"/>
                  <a:pt x="8882030" y="1544967"/>
                </a:cubicBezTo>
                <a:close/>
                <a:moveTo>
                  <a:pt x="8965772" y="1544967"/>
                </a:moveTo>
                <a:cubicBezTo>
                  <a:pt x="8946805" y="1544967"/>
                  <a:pt x="8931419" y="1560558"/>
                  <a:pt x="8931419" y="1579787"/>
                </a:cubicBezTo>
                <a:cubicBezTo>
                  <a:pt x="8931419" y="1599016"/>
                  <a:pt x="8946805" y="1614607"/>
                  <a:pt x="8965772" y="1614607"/>
                </a:cubicBezTo>
                <a:cubicBezTo>
                  <a:pt x="8984739" y="1614607"/>
                  <a:pt x="9000112" y="1599016"/>
                  <a:pt x="9000112" y="1579787"/>
                </a:cubicBezTo>
                <a:cubicBezTo>
                  <a:pt x="9000112" y="1560558"/>
                  <a:pt x="8984739" y="1544967"/>
                  <a:pt x="8965772" y="1544967"/>
                </a:cubicBezTo>
                <a:close/>
                <a:moveTo>
                  <a:pt x="9049513" y="1544967"/>
                </a:moveTo>
                <a:cubicBezTo>
                  <a:pt x="9030546" y="1544967"/>
                  <a:pt x="9015160" y="1560558"/>
                  <a:pt x="9015160" y="1579787"/>
                </a:cubicBezTo>
                <a:cubicBezTo>
                  <a:pt x="9015160" y="1599016"/>
                  <a:pt x="9030546" y="1614607"/>
                  <a:pt x="9049513" y="1614607"/>
                </a:cubicBezTo>
                <a:cubicBezTo>
                  <a:pt x="9068480" y="1614607"/>
                  <a:pt x="9083854" y="1599016"/>
                  <a:pt x="9083854" y="1579787"/>
                </a:cubicBezTo>
                <a:cubicBezTo>
                  <a:pt x="9083854" y="1560558"/>
                  <a:pt x="9068480" y="1544967"/>
                  <a:pt x="9049513" y="1544967"/>
                </a:cubicBezTo>
                <a:close/>
                <a:moveTo>
                  <a:pt x="9133256" y="1544967"/>
                </a:moveTo>
                <a:cubicBezTo>
                  <a:pt x="9114289" y="1544967"/>
                  <a:pt x="9098903" y="1560558"/>
                  <a:pt x="9098903" y="1579787"/>
                </a:cubicBezTo>
                <a:cubicBezTo>
                  <a:pt x="9098903" y="1599016"/>
                  <a:pt x="9114289" y="1614607"/>
                  <a:pt x="9133256" y="1614607"/>
                </a:cubicBezTo>
                <a:cubicBezTo>
                  <a:pt x="9152223" y="1614607"/>
                  <a:pt x="9167596" y="1599016"/>
                  <a:pt x="9167596" y="1579787"/>
                </a:cubicBezTo>
                <a:cubicBezTo>
                  <a:pt x="9167596" y="1560558"/>
                  <a:pt x="9152223" y="1544967"/>
                  <a:pt x="9133256" y="1544967"/>
                </a:cubicBezTo>
                <a:close/>
                <a:moveTo>
                  <a:pt x="9216997" y="1544967"/>
                </a:moveTo>
                <a:cubicBezTo>
                  <a:pt x="9198030" y="1544967"/>
                  <a:pt x="9182644" y="1560558"/>
                  <a:pt x="9182644" y="1579787"/>
                </a:cubicBezTo>
                <a:cubicBezTo>
                  <a:pt x="9182644" y="1599016"/>
                  <a:pt x="9198030" y="1614607"/>
                  <a:pt x="9216997" y="1614607"/>
                </a:cubicBezTo>
                <a:cubicBezTo>
                  <a:pt x="9235964" y="1614607"/>
                  <a:pt x="9251337" y="1599016"/>
                  <a:pt x="9251337" y="1579787"/>
                </a:cubicBezTo>
                <a:cubicBezTo>
                  <a:pt x="9251337" y="1560558"/>
                  <a:pt x="9235964" y="1544967"/>
                  <a:pt x="9216997" y="1544967"/>
                </a:cubicBezTo>
                <a:close/>
                <a:moveTo>
                  <a:pt x="9300738" y="1544967"/>
                </a:moveTo>
                <a:cubicBezTo>
                  <a:pt x="9281771" y="1544967"/>
                  <a:pt x="9266385" y="1560558"/>
                  <a:pt x="9266385" y="1579787"/>
                </a:cubicBezTo>
                <a:cubicBezTo>
                  <a:pt x="9266385" y="1599016"/>
                  <a:pt x="9281771" y="1614607"/>
                  <a:pt x="9300738" y="1614607"/>
                </a:cubicBezTo>
                <a:cubicBezTo>
                  <a:pt x="9319705" y="1614607"/>
                  <a:pt x="9335078" y="1599016"/>
                  <a:pt x="9335078" y="1579787"/>
                </a:cubicBezTo>
                <a:cubicBezTo>
                  <a:pt x="9335078" y="1560558"/>
                  <a:pt x="9319705" y="1544967"/>
                  <a:pt x="9300738" y="1544967"/>
                </a:cubicBezTo>
                <a:close/>
                <a:moveTo>
                  <a:pt x="9384480" y="1544967"/>
                </a:moveTo>
                <a:cubicBezTo>
                  <a:pt x="9365513" y="1544967"/>
                  <a:pt x="9350127" y="1560558"/>
                  <a:pt x="9350127" y="1579787"/>
                </a:cubicBezTo>
                <a:cubicBezTo>
                  <a:pt x="9350127" y="1599016"/>
                  <a:pt x="9365513" y="1614607"/>
                  <a:pt x="9384480" y="1614607"/>
                </a:cubicBezTo>
                <a:cubicBezTo>
                  <a:pt x="9403447" y="1614607"/>
                  <a:pt x="9418821" y="1599016"/>
                  <a:pt x="9418821" y="1579787"/>
                </a:cubicBezTo>
                <a:cubicBezTo>
                  <a:pt x="9418821" y="1560558"/>
                  <a:pt x="9403447" y="1544967"/>
                  <a:pt x="9384480" y="1544967"/>
                </a:cubicBezTo>
                <a:close/>
                <a:moveTo>
                  <a:pt x="9468222" y="1544967"/>
                </a:moveTo>
                <a:cubicBezTo>
                  <a:pt x="9449255" y="1544967"/>
                  <a:pt x="9433869" y="1560558"/>
                  <a:pt x="9433869" y="1579787"/>
                </a:cubicBezTo>
                <a:cubicBezTo>
                  <a:pt x="9433869" y="1599016"/>
                  <a:pt x="9449255" y="1614607"/>
                  <a:pt x="9468222" y="1614607"/>
                </a:cubicBezTo>
                <a:cubicBezTo>
                  <a:pt x="9487189" y="1614607"/>
                  <a:pt x="9502562" y="1599016"/>
                  <a:pt x="9502562" y="1579787"/>
                </a:cubicBezTo>
                <a:cubicBezTo>
                  <a:pt x="9502562" y="1560558"/>
                  <a:pt x="9487189" y="1544967"/>
                  <a:pt x="9468222" y="1544967"/>
                </a:cubicBezTo>
                <a:close/>
                <a:moveTo>
                  <a:pt x="9551963" y="1544967"/>
                </a:moveTo>
                <a:cubicBezTo>
                  <a:pt x="9532996" y="1544967"/>
                  <a:pt x="9517610" y="1560558"/>
                  <a:pt x="9517610" y="1579787"/>
                </a:cubicBezTo>
                <a:cubicBezTo>
                  <a:pt x="9517610" y="1599016"/>
                  <a:pt x="9532996" y="1614607"/>
                  <a:pt x="9551963" y="1614607"/>
                </a:cubicBezTo>
                <a:cubicBezTo>
                  <a:pt x="9570930" y="1614607"/>
                  <a:pt x="9586303" y="1599016"/>
                  <a:pt x="9586303" y="1579787"/>
                </a:cubicBezTo>
                <a:cubicBezTo>
                  <a:pt x="9586303" y="1560558"/>
                  <a:pt x="9570930" y="1544967"/>
                  <a:pt x="9551963" y="1544967"/>
                </a:cubicBezTo>
                <a:close/>
                <a:moveTo>
                  <a:pt x="9635705" y="1544967"/>
                </a:moveTo>
                <a:cubicBezTo>
                  <a:pt x="9616738" y="1544967"/>
                  <a:pt x="9601352" y="1560558"/>
                  <a:pt x="9601352" y="1579787"/>
                </a:cubicBezTo>
                <a:cubicBezTo>
                  <a:pt x="9601352" y="1599016"/>
                  <a:pt x="9616738" y="1614607"/>
                  <a:pt x="9635705" y="1614607"/>
                </a:cubicBezTo>
                <a:cubicBezTo>
                  <a:pt x="9654672" y="1614607"/>
                  <a:pt x="9670045" y="1599016"/>
                  <a:pt x="9670045" y="1579787"/>
                </a:cubicBezTo>
                <a:cubicBezTo>
                  <a:pt x="9670045" y="1560558"/>
                  <a:pt x="9654672" y="1544967"/>
                  <a:pt x="9635705" y="1544967"/>
                </a:cubicBezTo>
                <a:close/>
                <a:moveTo>
                  <a:pt x="9719446" y="1544967"/>
                </a:moveTo>
                <a:cubicBezTo>
                  <a:pt x="9700479" y="1544967"/>
                  <a:pt x="9685093" y="1560558"/>
                  <a:pt x="9685093" y="1579787"/>
                </a:cubicBezTo>
                <a:cubicBezTo>
                  <a:pt x="9685093" y="1599016"/>
                  <a:pt x="9700479" y="1614607"/>
                  <a:pt x="9719446" y="1614607"/>
                </a:cubicBezTo>
                <a:cubicBezTo>
                  <a:pt x="9738413" y="1614607"/>
                  <a:pt x="9753787" y="1599016"/>
                  <a:pt x="9753787" y="1579787"/>
                </a:cubicBezTo>
                <a:cubicBezTo>
                  <a:pt x="9753787" y="1560558"/>
                  <a:pt x="9738413" y="1544967"/>
                  <a:pt x="9719446" y="1544967"/>
                </a:cubicBezTo>
                <a:close/>
                <a:moveTo>
                  <a:pt x="9803189" y="1544967"/>
                </a:moveTo>
                <a:cubicBezTo>
                  <a:pt x="9784222" y="1544967"/>
                  <a:pt x="9768836" y="1560558"/>
                  <a:pt x="9768836" y="1579787"/>
                </a:cubicBezTo>
                <a:cubicBezTo>
                  <a:pt x="9768836" y="1599016"/>
                  <a:pt x="9784222" y="1614607"/>
                  <a:pt x="9803189" y="1614607"/>
                </a:cubicBezTo>
                <a:cubicBezTo>
                  <a:pt x="9822156" y="1614607"/>
                  <a:pt x="9837529" y="1599016"/>
                  <a:pt x="9837529" y="1579787"/>
                </a:cubicBezTo>
                <a:cubicBezTo>
                  <a:pt x="9837529" y="1560558"/>
                  <a:pt x="9822156" y="1544967"/>
                  <a:pt x="9803189" y="1544967"/>
                </a:cubicBezTo>
                <a:close/>
                <a:moveTo>
                  <a:pt x="9886930" y="1544967"/>
                </a:moveTo>
                <a:cubicBezTo>
                  <a:pt x="9867963" y="1544967"/>
                  <a:pt x="9852577" y="1560558"/>
                  <a:pt x="9852577" y="1579787"/>
                </a:cubicBezTo>
                <a:cubicBezTo>
                  <a:pt x="9852577" y="1599016"/>
                  <a:pt x="9867963" y="1614607"/>
                  <a:pt x="9886930" y="1614607"/>
                </a:cubicBezTo>
                <a:cubicBezTo>
                  <a:pt x="9905897" y="1614607"/>
                  <a:pt x="9921270" y="1599016"/>
                  <a:pt x="9921270" y="1579787"/>
                </a:cubicBezTo>
                <a:cubicBezTo>
                  <a:pt x="9921270" y="1560558"/>
                  <a:pt x="9905897" y="1544967"/>
                  <a:pt x="9886930" y="1544967"/>
                </a:cubicBezTo>
                <a:close/>
                <a:moveTo>
                  <a:pt x="9970671" y="1544967"/>
                </a:moveTo>
                <a:cubicBezTo>
                  <a:pt x="9951704" y="1544967"/>
                  <a:pt x="9936318" y="1560558"/>
                  <a:pt x="9936318" y="1579787"/>
                </a:cubicBezTo>
                <a:cubicBezTo>
                  <a:pt x="9936318" y="1599016"/>
                  <a:pt x="9951704" y="1614607"/>
                  <a:pt x="9970671" y="1614607"/>
                </a:cubicBezTo>
                <a:cubicBezTo>
                  <a:pt x="9989638" y="1614607"/>
                  <a:pt x="10005011" y="1599016"/>
                  <a:pt x="10005011" y="1579787"/>
                </a:cubicBezTo>
                <a:cubicBezTo>
                  <a:pt x="10005011" y="1560558"/>
                  <a:pt x="9989638" y="1544967"/>
                  <a:pt x="9970671" y="1544967"/>
                </a:cubicBezTo>
                <a:close/>
                <a:moveTo>
                  <a:pt x="10221896" y="1544967"/>
                </a:moveTo>
                <a:cubicBezTo>
                  <a:pt x="10202929" y="1544967"/>
                  <a:pt x="10187543" y="1560558"/>
                  <a:pt x="10187543" y="1579787"/>
                </a:cubicBezTo>
                <a:cubicBezTo>
                  <a:pt x="10187543" y="1599016"/>
                  <a:pt x="10202929" y="1614607"/>
                  <a:pt x="10221896" y="1614607"/>
                </a:cubicBezTo>
                <a:cubicBezTo>
                  <a:pt x="10240863" y="1614607"/>
                  <a:pt x="10256236" y="1599016"/>
                  <a:pt x="10256236" y="1579787"/>
                </a:cubicBezTo>
                <a:cubicBezTo>
                  <a:pt x="10256236" y="1560558"/>
                  <a:pt x="10240863" y="1544967"/>
                  <a:pt x="10221896" y="1544967"/>
                </a:cubicBezTo>
                <a:close/>
                <a:moveTo>
                  <a:pt x="1512741" y="1629830"/>
                </a:moveTo>
                <a:cubicBezTo>
                  <a:pt x="1493774" y="1629830"/>
                  <a:pt x="1478395" y="1645422"/>
                  <a:pt x="1478395" y="1664651"/>
                </a:cubicBezTo>
                <a:cubicBezTo>
                  <a:pt x="1478395" y="1683879"/>
                  <a:pt x="1493774" y="1699471"/>
                  <a:pt x="1512741" y="1699471"/>
                </a:cubicBezTo>
                <a:cubicBezTo>
                  <a:pt x="1531708" y="1699471"/>
                  <a:pt x="1547088" y="1683879"/>
                  <a:pt x="1547088" y="1664651"/>
                </a:cubicBezTo>
                <a:cubicBezTo>
                  <a:pt x="1547088" y="1645422"/>
                  <a:pt x="1531708" y="1629830"/>
                  <a:pt x="1512741" y="1629830"/>
                </a:cubicBezTo>
                <a:close/>
                <a:moveTo>
                  <a:pt x="1596483" y="1629830"/>
                </a:moveTo>
                <a:cubicBezTo>
                  <a:pt x="1577516" y="1629830"/>
                  <a:pt x="1562136" y="1645422"/>
                  <a:pt x="1562136" y="1664651"/>
                </a:cubicBezTo>
                <a:cubicBezTo>
                  <a:pt x="1562136" y="1683879"/>
                  <a:pt x="1577516" y="1699471"/>
                  <a:pt x="1596483" y="1699471"/>
                </a:cubicBezTo>
                <a:cubicBezTo>
                  <a:pt x="1615450" y="1699471"/>
                  <a:pt x="1630829" y="1683879"/>
                  <a:pt x="1630829" y="1664651"/>
                </a:cubicBezTo>
                <a:cubicBezTo>
                  <a:pt x="1630829" y="1645422"/>
                  <a:pt x="1615450" y="1629830"/>
                  <a:pt x="1596483" y="1629830"/>
                </a:cubicBezTo>
                <a:close/>
                <a:moveTo>
                  <a:pt x="1680225" y="1629830"/>
                </a:moveTo>
                <a:cubicBezTo>
                  <a:pt x="1661258" y="1629830"/>
                  <a:pt x="1645878" y="1645422"/>
                  <a:pt x="1645878" y="1664651"/>
                </a:cubicBezTo>
                <a:cubicBezTo>
                  <a:pt x="1645878" y="1683879"/>
                  <a:pt x="1661258" y="1699471"/>
                  <a:pt x="1680225" y="1699471"/>
                </a:cubicBezTo>
                <a:cubicBezTo>
                  <a:pt x="1699192" y="1699471"/>
                  <a:pt x="1714572" y="1683879"/>
                  <a:pt x="1714572" y="1664651"/>
                </a:cubicBezTo>
                <a:cubicBezTo>
                  <a:pt x="1714572" y="1645422"/>
                  <a:pt x="1699192" y="1629830"/>
                  <a:pt x="1680225" y="1629830"/>
                </a:cubicBezTo>
                <a:close/>
                <a:moveTo>
                  <a:pt x="1763966" y="1629830"/>
                </a:moveTo>
                <a:cubicBezTo>
                  <a:pt x="1744999" y="1629830"/>
                  <a:pt x="1729620" y="1645422"/>
                  <a:pt x="1729620" y="1664651"/>
                </a:cubicBezTo>
                <a:cubicBezTo>
                  <a:pt x="1729620" y="1683879"/>
                  <a:pt x="1744999" y="1699471"/>
                  <a:pt x="1763966" y="1699471"/>
                </a:cubicBezTo>
                <a:cubicBezTo>
                  <a:pt x="1782933" y="1699471"/>
                  <a:pt x="1798313" y="1683879"/>
                  <a:pt x="1798313" y="1664651"/>
                </a:cubicBezTo>
                <a:cubicBezTo>
                  <a:pt x="1798313" y="1645422"/>
                  <a:pt x="1782933" y="1629830"/>
                  <a:pt x="1763966" y="1629830"/>
                </a:cubicBezTo>
                <a:close/>
                <a:moveTo>
                  <a:pt x="1847707" y="1629830"/>
                </a:moveTo>
                <a:cubicBezTo>
                  <a:pt x="1828740" y="1629830"/>
                  <a:pt x="1813361" y="1645422"/>
                  <a:pt x="1813361" y="1664651"/>
                </a:cubicBezTo>
                <a:cubicBezTo>
                  <a:pt x="1813361" y="1683879"/>
                  <a:pt x="1828740" y="1699471"/>
                  <a:pt x="1847707" y="1699471"/>
                </a:cubicBezTo>
                <a:cubicBezTo>
                  <a:pt x="1866674" y="1699471"/>
                  <a:pt x="1882054" y="1683879"/>
                  <a:pt x="1882054" y="1664651"/>
                </a:cubicBezTo>
                <a:cubicBezTo>
                  <a:pt x="1882054" y="1645422"/>
                  <a:pt x="1866674" y="1629830"/>
                  <a:pt x="1847707" y="1629830"/>
                </a:cubicBezTo>
                <a:close/>
                <a:moveTo>
                  <a:pt x="2015191" y="1629830"/>
                </a:moveTo>
                <a:cubicBezTo>
                  <a:pt x="1996224" y="1629830"/>
                  <a:pt x="1980844" y="1645422"/>
                  <a:pt x="1980844" y="1664651"/>
                </a:cubicBezTo>
                <a:cubicBezTo>
                  <a:pt x="1980844" y="1683879"/>
                  <a:pt x="1996224" y="1699471"/>
                  <a:pt x="2015191" y="1699471"/>
                </a:cubicBezTo>
                <a:cubicBezTo>
                  <a:pt x="2034158" y="1699471"/>
                  <a:pt x="2049538" y="1683879"/>
                  <a:pt x="2049538" y="1664651"/>
                </a:cubicBezTo>
                <a:cubicBezTo>
                  <a:pt x="2049538" y="1645422"/>
                  <a:pt x="2034158" y="1629830"/>
                  <a:pt x="2015191" y="1629830"/>
                </a:cubicBezTo>
                <a:close/>
                <a:moveTo>
                  <a:pt x="2098932" y="1629830"/>
                </a:moveTo>
                <a:cubicBezTo>
                  <a:pt x="2079965" y="1629830"/>
                  <a:pt x="2064586" y="1645422"/>
                  <a:pt x="2064586" y="1664651"/>
                </a:cubicBezTo>
                <a:cubicBezTo>
                  <a:pt x="2064586" y="1683879"/>
                  <a:pt x="2079965" y="1699471"/>
                  <a:pt x="2098932" y="1699471"/>
                </a:cubicBezTo>
                <a:cubicBezTo>
                  <a:pt x="2117899" y="1699471"/>
                  <a:pt x="2133279" y="1683879"/>
                  <a:pt x="2133279" y="1664651"/>
                </a:cubicBezTo>
                <a:cubicBezTo>
                  <a:pt x="2133279" y="1645422"/>
                  <a:pt x="2117899" y="1629830"/>
                  <a:pt x="2098932" y="1629830"/>
                </a:cubicBezTo>
                <a:close/>
                <a:moveTo>
                  <a:pt x="2182674" y="1629830"/>
                </a:moveTo>
                <a:cubicBezTo>
                  <a:pt x="2163707" y="1629830"/>
                  <a:pt x="2148328" y="1645422"/>
                  <a:pt x="2148328" y="1664651"/>
                </a:cubicBezTo>
                <a:cubicBezTo>
                  <a:pt x="2148328" y="1683879"/>
                  <a:pt x="2163707" y="1699471"/>
                  <a:pt x="2182674" y="1699471"/>
                </a:cubicBezTo>
                <a:cubicBezTo>
                  <a:pt x="2201641" y="1699471"/>
                  <a:pt x="2217021" y="1683879"/>
                  <a:pt x="2217021" y="1664651"/>
                </a:cubicBezTo>
                <a:cubicBezTo>
                  <a:pt x="2217021" y="1645422"/>
                  <a:pt x="2201641" y="1629830"/>
                  <a:pt x="2182674" y="1629830"/>
                </a:cubicBezTo>
                <a:close/>
                <a:moveTo>
                  <a:pt x="2266416" y="1629830"/>
                </a:moveTo>
                <a:cubicBezTo>
                  <a:pt x="2247449" y="1629830"/>
                  <a:pt x="2232069" y="1645422"/>
                  <a:pt x="2232069" y="1664651"/>
                </a:cubicBezTo>
                <a:cubicBezTo>
                  <a:pt x="2232069" y="1683879"/>
                  <a:pt x="2247449" y="1699471"/>
                  <a:pt x="2266416" y="1699471"/>
                </a:cubicBezTo>
                <a:cubicBezTo>
                  <a:pt x="2285383" y="1699471"/>
                  <a:pt x="2300762" y="1683879"/>
                  <a:pt x="2300762" y="1664651"/>
                </a:cubicBezTo>
                <a:cubicBezTo>
                  <a:pt x="2300762" y="1645422"/>
                  <a:pt x="2285383" y="1629830"/>
                  <a:pt x="2266416" y="1629830"/>
                </a:cubicBezTo>
                <a:close/>
                <a:moveTo>
                  <a:pt x="2350151" y="1629830"/>
                </a:moveTo>
                <a:cubicBezTo>
                  <a:pt x="2331184" y="1629830"/>
                  <a:pt x="2315804" y="1645422"/>
                  <a:pt x="2315804" y="1664651"/>
                </a:cubicBezTo>
                <a:cubicBezTo>
                  <a:pt x="2315804" y="1683879"/>
                  <a:pt x="2331184" y="1699471"/>
                  <a:pt x="2350151" y="1699471"/>
                </a:cubicBezTo>
                <a:cubicBezTo>
                  <a:pt x="2369118" y="1699471"/>
                  <a:pt x="2384498" y="1683879"/>
                  <a:pt x="2384498" y="1664651"/>
                </a:cubicBezTo>
                <a:cubicBezTo>
                  <a:pt x="2384498" y="1645422"/>
                  <a:pt x="2369118" y="1629830"/>
                  <a:pt x="2350151" y="1629830"/>
                </a:cubicBezTo>
                <a:close/>
                <a:moveTo>
                  <a:pt x="2433893" y="1629830"/>
                </a:moveTo>
                <a:cubicBezTo>
                  <a:pt x="2414926" y="1629830"/>
                  <a:pt x="2399546" y="1645422"/>
                  <a:pt x="2399546" y="1664651"/>
                </a:cubicBezTo>
                <a:cubicBezTo>
                  <a:pt x="2399546" y="1683879"/>
                  <a:pt x="2414926" y="1699471"/>
                  <a:pt x="2433893" y="1699471"/>
                </a:cubicBezTo>
                <a:cubicBezTo>
                  <a:pt x="2452860" y="1699471"/>
                  <a:pt x="2468240" y="1683879"/>
                  <a:pt x="2468240" y="1664651"/>
                </a:cubicBezTo>
                <a:cubicBezTo>
                  <a:pt x="2468240" y="1645422"/>
                  <a:pt x="2452860" y="1629830"/>
                  <a:pt x="2433893" y="1629830"/>
                </a:cubicBezTo>
                <a:close/>
                <a:moveTo>
                  <a:pt x="2517634" y="1629830"/>
                </a:moveTo>
                <a:cubicBezTo>
                  <a:pt x="2498667" y="1629830"/>
                  <a:pt x="2483288" y="1645422"/>
                  <a:pt x="2483288" y="1664651"/>
                </a:cubicBezTo>
                <a:cubicBezTo>
                  <a:pt x="2483288" y="1683879"/>
                  <a:pt x="2498667" y="1699471"/>
                  <a:pt x="2517634" y="1699471"/>
                </a:cubicBezTo>
                <a:cubicBezTo>
                  <a:pt x="2536601" y="1699471"/>
                  <a:pt x="2551981" y="1683879"/>
                  <a:pt x="2551981" y="1664651"/>
                </a:cubicBezTo>
                <a:cubicBezTo>
                  <a:pt x="2551981" y="1645422"/>
                  <a:pt x="2536601" y="1629830"/>
                  <a:pt x="2517634" y="1629830"/>
                </a:cubicBezTo>
                <a:close/>
                <a:moveTo>
                  <a:pt x="2601376" y="1629830"/>
                </a:moveTo>
                <a:cubicBezTo>
                  <a:pt x="2582409" y="1629830"/>
                  <a:pt x="2567029" y="1645422"/>
                  <a:pt x="2567029" y="1664651"/>
                </a:cubicBezTo>
                <a:cubicBezTo>
                  <a:pt x="2567029" y="1683879"/>
                  <a:pt x="2582409" y="1699471"/>
                  <a:pt x="2601376" y="1699471"/>
                </a:cubicBezTo>
                <a:cubicBezTo>
                  <a:pt x="2620343" y="1699471"/>
                  <a:pt x="2635722" y="1683879"/>
                  <a:pt x="2635722" y="1664651"/>
                </a:cubicBezTo>
                <a:cubicBezTo>
                  <a:pt x="2635722" y="1645422"/>
                  <a:pt x="2620343" y="1629830"/>
                  <a:pt x="2601376" y="1629830"/>
                </a:cubicBezTo>
                <a:close/>
                <a:moveTo>
                  <a:pt x="2685118" y="1629830"/>
                </a:moveTo>
                <a:cubicBezTo>
                  <a:pt x="2666151" y="1629830"/>
                  <a:pt x="2650771" y="1645422"/>
                  <a:pt x="2650771" y="1664651"/>
                </a:cubicBezTo>
                <a:cubicBezTo>
                  <a:pt x="2650771" y="1683879"/>
                  <a:pt x="2666151" y="1699471"/>
                  <a:pt x="2685118" y="1699471"/>
                </a:cubicBezTo>
                <a:cubicBezTo>
                  <a:pt x="2704085" y="1699471"/>
                  <a:pt x="2719465" y="1683879"/>
                  <a:pt x="2719465" y="1664651"/>
                </a:cubicBezTo>
                <a:cubicBezTo>
                  <a:pt x="2719465" y="1645422"/>
                  <a:pt x="2704085" y="1629830"/>
                  <a:pt x="2685118" y="1629830"/>
                </a:cubicBezTo>
                <a:close/>
                <a:moveTo>
                  <a:pt x="2852600" y="1629830"/>
                </a:moveTo>
                <a:cubicBezTo>
                  <a:pt x="2833633" y="1629830"/>
                  <a:pt x="2818254" y="1645422"/>
                  <a:pt x="2818254" y="1664651"/>
                </a:cubicBezTo>
                <a:cubicBezTo>
                  <a:pt x="2818254" y="1683879"/>
                  <a:pt x="2833633" y="1699471"/>
                  <a:pt x="2852600" y="1699471"/>
                </a:cubicBezTo>
                <a:cubicBezTo>
                  <a:pt x="2871567" y="1699471"/>
                  <a:pt x="2886947" y="1683879"/>
                  <a:pt x="2886947" y="1664651"/>
                </a:cubicBezTo>
                <a:cubicBezTo>
                  <a:pt x="2886947" y="1645422"/>
                  <a:pt x="2871567" y="1629830"/>
                  <a:pt x="2852600" y="1629830"/>
                </a:cubicBezTo>
                <a:close/>
                <a:moveTo>
                  <a:pt x="2936343" y="1629830"/>
                </a:moveTo>
                <a:cubicBezTo>
                  <a:pt x="2917376" y="1629830"/>
                  <a:pt x="2901996" y="1645422"/>
                  <a:pt x="2901996" y="1664651"/>
                </a:cubicBezTo>
                <a:cubicBezTo>
                  <a:pt x="2901996" y="1683879"/>
                  <a:pt x="2917376" y="1699471"/>
                  <a:pt x="2936343" y="1699471"/>
                </a:cubicBezTo>
                <a:cubicBezTo>
                  <a:pt x="2955310" y="1699471"/>
                  <a:pt x="2970689" y="1683879"/>
                  <a:pt x="2970689" y="1664651"/>
                </a:cubicBezTo>
                <a:cubicBezTo>
                  <a:pt x="2970689" y="1645422"/>
                  <a:pt x="2955310" y="1629830"/>
                  <a:pt x="2936343" y="1629830"/>
                </a:cubicBezTo>
                <a:close/>
                <a:moveTo>
                  <a:pt x="3103826" y="1629830"/>
                </a:moveTo>
                <a:cubicBezTo>
                  <a:pt x="3084859" y="1629830"/>
                  <a:pt x="3069479" y="1645422"/>
                  <a:pt x="3069479" y="1664651"/>
                </a:cubicBezTo>
                <a:cubicBezTo>
                  <a:pt x="3069479" y="1683879"/>
                  <a:pt x="3084859" y="1699471"/>
                  <a:pt x="3103826" y="1699471"/>
                </a:cubicBezTo>
                <a:cubicBezTo>
                  <a:pt x="3122793" y="1699471"/>
                  <a:pt x="3138173" y="1683879"/>
                  <a:pt x="3138173" y="1664651"/>
                </a:cubicBezTo>
                <a:cubicBezTo>
                  <a:pt x="3138173" y="1645422"/>
                  <a:pt x="3122793" y="1629830"/>
                  <a:pt x="3103826" y="1629830"/>
                </a:cubicBezTo>
                <a:close/>
                <a:moveTo>
                  <a:pt x="3187567" y="1629830"/>
                </a:moveTo>
                <a:cubicBezTo>
                  <a:pt x="3168600" y="1629830"/>
                  <a:pt x="3153221" y="1645422"/>
                  <a:pt x="3153221" y="1664651"/>
                </a:cubicBezTo>
                <a:cubicBezTo>
                  <a:pt x="3153221" y="1683879"/>
                  <a:pt x="3168600" y="1699471"/>
                  <a:pt x="3187567" y="1699471"/>
                </a:cubicBezTo>
                <a:cubicBezTo>
                  <a:pt x="3206534" y="1699471"/>
                  <a:pt x="3221914" y="1683879"/>
                  <a:pt x="3221914" y="1664651"/>
                </a:cubicBezTo>
                <a:cubicBezTo>
                  <a:pt x="3221914" y="1645422"/>
                  <a:pt x="3206534" y="1629830"/>
                  <a:pt x="3187567" y="1629830"/>
                </a:cubicBezTo>
                <a:close/>
                <a:moveTo>
                  <a:pt x="3271309" y="1629830"/>
                </a:moveTo>
                <a:cubicBezTo>
                  <a:pt x="3252342" y="1629830"/>
                  <a:pt x="3236962" y="1645422"/>
                  <a:pt x="3236962" y="1664651"/>
                </a:cubicBezTo>
                <a:cubicBezTo>
                  <a:pt x="3236962" y="1683879"/>
                  <a:pt x="3252342" y="1699471"/>
                  <a:pt x="3271309" y="1699471"/>
                </a:cubicBezTo>
                <a:cubicBezTo>
                  <a:pt x="3290276" y="1699471"/>
                  <a:pt x="3305655" y="1683879"/>
                  <a:pt x="3305655" y="1664651"/>
                </a:cubicBezTo>
                <a:cubicBezTo>
                  <a:pt x="3305655" y="1645422"/>
                  <a:pt x="3290276" y="1629830"/>
                  <a:pt x="3271309" y="1629830"/>
                </a:cubicBezTo>
                <a:close/>
                <a:moveTo>
                  <a:pt x="3438792" y="1629830"/>
                </a:moveTo>
                <a:cubicBezTo>
                  <a:pt x="3419825" y="1629830"/>
                  <a:pt x="3404445" y="1645422"/>
                  <a:pt x="3404445" y="1664651"/>
                </a:cubicBezTo>
                <a:cubicBezTo>
                  <a:pt x="3404445" y="1683879"/>
                  <a:pt x="3419825" y="1699471"/>
                  <a:pt x="3438792" y="1699471"/>
                </a:cubicBezTo>
                <a:cubicBezTo>
                  <a:pt x="3457759" y="1699471"/>
                  <a:pt x="3473139" y="1683879"/>
                  <a:pt x="3473139" y="1664651"/>
                </a:cubicBezTo>
                <a:cubicBezTo>
                  <a:pt x="3473139" y="1645422"/>
                  <a:pt x="3457759" y="1629830"/>
                  <a:pt x="3438792" y="1629830"/>
                </a:cubicBezTo>
                <a:close/>
                <a:moveTo>
                  <a:pt x="3522533" y="1629830"/>
                </a:moveTo>
                <a:cubicBezTo>
                  <a:pt x="3503566" y="1629830"/>
                  <a:pt x="3488187" y="1645422"/>
                  <a:pt x="3488187" y="1664651"/>
                </a:cubicBezTo>
                <a:cubicBezTo>
                  <a:pt x="3488187" y="1683879"/>
                  <a:pt x="3503566" y="1699471"/>
                  <a:pt x="3522533" y="1699471"/>
                </a:cubicBezTo>
                <a:cubicBezTo>
                  <a:pt x="3541500" y="1699471"/>
                  <a:pt x="3556880" y="1683879"/>
                  <a:pt x="3556880" y="1664651"/>
                </a:cubicBezTo>
                <a:cubicBezTo>
                  <a:pt x="3556880" y="1645422"/>
                  <a:pt x="3541500" y="1629830"/>
                  <a:pt x="3522533" y="1629830"/>
                </a:cubicBezTo>
                <a:close/>
                <a:moveTo>
                  <a:pt x="4024990" y="1629830"/>
                </a:moveTo>
                <a:cubicBezTo>
                  <a:pt x="4006023" y="1629830"/>
                  <a:pt x="3990643" y="1645422"/>
                  <a:pt x="3990643" y="1664651"/>
                </a:cubicBezTo>
                <a:cubicBezTo>
                  <a:pt x="3990643" y="1683879"/>
                  <a:pt x="4006023" y="1699471"/>
                  <a:pt x="4024990" y="1699471"/>
                </a:cubicBezTo>
                <a:cubicBezTo>
                  <a:pt x="4043957" y="1699471"/>
                  <a:pt x="4059337" y="1683879"/>
                  <a:pt x="4059337" y="1664651"/>
                </a:cubicBezTo>
                <a:cubicBezTo>
                  <a:pt x="4059337" y="1645422"/>
                  <a:pt x="4043957" y="1629830"/>
                  <a:pt x="4024990" y="1629830"/>
                </a:cubicBezTo>
                <a:close/>
                <a:moveTo>
                  <a:pt x="4108732" y="1629830"/>
                </a:moveTo>
                <a:cubicBezTo>
                  <a:pt x="4089765" y="1629830"/>
                  <a:pt x="4074386" y="1645422"/>
                  <a:pt x="4074386" y="1664651"/>
                </a:cubicBezTo>
                <a:cubicBezTo>
                  <a:pt x="4074386" y="1683879"/>
                  <a:pt x="4089765" y="1699471"/>
                  <a:pt x="4108732" y="1699471"/>
                </a:cubicBezTo>
                <a:cubicBezTo>
                  <a:pt x="4127699" y="1699471"/>
                  <a:pt x="4143079" y="1683879"/>
                  <a:pt x="4143079" y="1664651"/>
                </a:cubicBezTo>
                <a:cubicBezTo>
                  <a:pt x="4143079" y="1645422"/>
                  <a:pt x="4127699" y="1629830"/>
                  <a:pt x="4108732" y="1629830"/>
                </a:cubicBezTo>
                <a:close/>
                <a:moveTo>
                  <a:pt x="4192473" y="1629830"/>
                </a:moveTo>
                <a:cubicBezTo>
                  <a:pt x="4173506" y="1629830"/>
                  <a:pt x="4158127" y="1645422"/>
                  <a:pt x="4158127" y="1664651"/>
                </a:cubicBezTo>
                <a:cubicBezTo>
                  <a:pt x="4158127" y="1683879"/>
                  <a:pt x="4173506" y="1699471"/>
                  <a:pt x="4192473" y="1699471"/>
                </a:cubicBezTo>
                <a:cubicBezTo>
                  <a:pt x="4211440" y="1699471"/>
                  <a:pt x="4226820" y="1683879"/>
                  <a:pt x="4226820" y="1664651"/>
                </a:cubicBezTo>
                <a:cubicBezTo>
                  <a:pt x="4226820" y="1645422"/>
                  <a:pt x="4211440" y="1629830"/>
                  <a:pt x="4192473" y="1629830"/>
                </a:cubicBezTo>
                <a:close/>
                <a:moveTo>
                  <a:pt x="4611182" y="1629830"/>
                </a:moveTo>
                <a:cubicBezTo>
                  <a:pt x="4592215" y="1629830"/>
                  <a:pt x="4576835" y="1645422"/>
                  <a:pt x="4576835" y="1664651"/>
                </a:cubicBezTo>
                <a:cubicBezTo>
                  <a:pt x="4576835" y="1683879"/>
                  <a:pt x="4592215" y="1699471"/>
                  <a:pt x="4611182" y="1699471"/>
                </a:cubicBezTo>
                <a:cubicBezTo>
                  <a:pt x="4630149" y="1699471"/>
                  <a:pt x="4645528" y="1683879"/>
                  <a:pt x="4645528" y="1664651"/>
                </a:cubicBezTo>
                <a:cubicBezTo>
                  <a:pt x="4645528" y="1645422"/>
                  <a:pt x="4630149" y="1629830"/>
                  <a:pt x="4611182" y="1629830"/>
                </a:cubicBezTo>
                <a:close/>
                <a:moveTo>
                  <a:pt x="4694923" y="1629830"/>
                </a:moveTo>
                <a:cubicBezTo>
                  <a:pt x="4675956" y="1629830"/>
                  <a:pt x="4660576" y="1645422"/>
                  <a:pt x="4660576" y="1664651"/>
                </a:cubicBezTo>
                <a:cubicBezTo>
                  <a:pt x="4660576" y="1683879"/>
                  <a:pt x="4675956" y="1699471"/>
                  <a:pt x="4694923" y="1699471"/>
                </a:cubicBezTo>
                <a:cubicBezTo>
                  <a:pt x="4713890" y="1699471"/>
                  <a:pt x="4729270" y="1683879"/>
                  <a:pt x="4729270" y="1664651"/>
                </a:cubicBezTo>
                <a:cubicBezTo>
                  <a:pt x="4729270" y="1645422"/>
                  <a:pt x="4713890" y="1629830"/>
                  <a:pt x="4694923" y="1629830"/>
                </a:cubicBezTo>
                <a:close/>
                <a:moveTo>
                  <a:pt x="4778665" y="1629830"/>
                </a:moveTo>
                <a:cubicBezTo>
                  <a:pt x="4759698" y="1629830"/>
                  <a:pt x="4744319" y="1645422"/>
                  <a:pt x="4744319" y="1664651"/>
                </a:cubicBezTo>
                <a:cubicBezTo>
                  <a:pt x="4744319" y="1683879"/>
                  <a:pt x="4759698" y="1699471"/>
                  <a:pt x="4778665" y="1699471"/>
                </a:cubicBezTo>
                <a:cubicBezTo>
                  <a:pt x="4797632" y="1699471"/>
                  <a:pt x="4813012" y="1683879"/>
                  <a:pt x="4813012" y="1664651"/>
                </a:cubicBezTo>
                <a:cubicBezTo>
                  <a:pt x="4813012" y="1645422"/>
                  <a:pt x="4797632" y="1629830"/>
                  <a:pt x="4778665" y="1629830"/>
                </a:cubicBezTo>
                <a:close/>
                <a:moveTo>
                  <a:pt x="4862406" y="1629830"/>
                </a:moveTo>
                <a:cubicBezTo>
                  <a:pt x="4843439" y="1629830"/>
                  <a:pt x="4828060" y="1645422"/>
                  <a:pt x="4828060" y="1664651"/>
                </a:cubicBezTo>
                <a:cubicBezTo>
                  <a:pt x="4828060" y="1683879"/>
                  <a:pt x="4843439" y="1699471"/>
                  <a:pt x="4862406" y="1699471"/>
                </a:cubicBezTo>
                <a:cubicBezTo>
                  <a:pt x="4881373" y="1699471"/>
                  <a:pt x="4896753" y="1683879"/>
                  <a:pt x="4896753" y="1664651"/>
                </a:cubicBezTo>
                <a:cubicBezTo>
                  <a:pt x="4896753" y="1645422"/>
                  <a:pt x="4881373" y="1629830"/>
                  <a:pt x="4862406" y="1629830"/>
                </a:cubicBezTo>
                <a:close/>
                <a:moveTo>
                  <a:pt x="4946148" y="1629830"/>
                </a:moveTo>
                <a:cubicBezTo>
                  <a:pt x="4927181" y="1629830"/>
                  <a:pt x="4911801" y="1645422"/>
                  <a:pt x="4911801" y="1664651"/>
                </a:cubicBezTo>
                <a:cubicBezTo>
                  <a:pt x="4911801" y="1683879"/>
                  <a:pt x="4927181" y="1699471"/>
                  <a:pt x="4946148" y="1699471"/>
                </a:cubicBezTo>
                <a:cubicBezTo>
                  <a:pt x="4965115" y="1699471"/>
                  <a:pt x="4980494" y="1683879"/>
                  <a:pt x="4980494" y="1664651"/>
                </a:cubicBezTo>
                <a:cubicBezTo>
                  <a:pt x="4980494" y="1645422"/>
                  <a:pt x="4965115" y="1629830"/>
                  <a:pt x="4946148" y="1629830"/>
                </a:cubicBezTo>
                <a:close/>
                <a:moveTo>
                  <a:pt x="5029890" y="1629830"/>
                </a:moveTo>
                <a:cubicBezTo>
                  <a:pt x="5010923" y="1629830"/>
                  <a:pt x="4995543" y="1645422"/>
                  <a:pt x="4995543" y="1664651"/>
                </a:cubicBezTo>
                <a:cubicBezTo>
                  <a:pt x="4995543" y="1683879"/>
                  <a:pt x="5010923" y="1699471"/>
                  <a:pt x="5029890" y="1699471"/>
                </a:cubicBezTo>
                <a:cubicBezTo>
                  <a:pt x="5048857" y="1699471"/>
                  <a:pt x="5064237" y="1683879"/>
                  <a:pt x="5064237" y="1664651"/>
                </a:cubicBezTo>
                <a:cubicBezTo>
                  <a:pt x="5064237" y="1645422"/>
                  <a:pt x="5048857" y="1629830"/>
                  <a:pt x="5029890" y="1629830"/>
                </a:cubicBezTo>
                <a:close/>
                <a:moveTo>
                  <a:pt x="6369755" y="1629830"/>
                </a:moveTo>
                <a:cubicBezTo>
                  <a:pt x="6350788" y="1629830"/>
                  <a:pt x="6335402" y="1645422"/>
                  <a:pt x="6335402" y="1664651"/>
                </a:cubicBezTo>
                <a:cubicBezTo>
                  <a:pt x="6335402" y="1683879"/>
                  <a:pt x="6350788" y="1699471"/>
                  <a:pt x="6369755" y="1699471"/>
                </a:cubicBezTo>
                <a:cubicBezTo>
                  <a:pt x="6388722" y="1699471"/>
                  <a:pt x="6404096" y="1683879"/>
                  <a:pt x="6404096" y="1664651"/>
                </a:cubicBezTo>
                <a:cubicBezTo>
                  <a:pt x="6404096" y="1645422"/>
                  <a:pt x="6388722" y="1629830"/>
                  <a:pt x="6369755" y="1629830"/>
                </a:cubicBezTo>
                <a:close/>
                <a:moveTo>
                  <a:pt x="6453498" y="1629830"/>
                </a:moveTo>
                <a:cubicBezTo>
                  <a:pt x="6434531" y="1629830"/>
                  <a:pt x="6419144" y="1645422"/>
                  <a:pt x="6419144" y="1664651"/>
                </a:cubicBezTo>
                <a:cubicBezTo>
                  <a:pt x="6419144" y="1683879"/>
                  <a:pt x="6434531" y="1699471"/>
                  <a:pt x="6453498" y="1699471"/>
                </a:cubicBezTo>
                <a:cubicBezTo>
                  <a:pt x="6472465" y="1699471"/>
                  <a:pt x="6487838" y="1683879"/>
                  <a:pt x="6487838" y="1664651"/>
                </a:cubicBezTo>
                <a:cubicBezTo>
                  <a:pt x="6487838" y="1645422"/>
                  <a:pt x="6472465" y="1629830"/>
                  <a:pt x="6453498" y="1629830"/>
                </a:cubicBezTo>
                <a:close/>
                <a:moveTo>
                  <a:pt x="6537239" y="1629830"/>
                </a:moveTo>
                <a:cubicBezTo>
                  <a:pt x="6518272" y="1629830"/>
                  <a:pt x="6502886" y="1645422"/>
                  <a:pt x="6502886" y="1664651"/>
                </a:cubicBezTo>
                <a:cubicBezTo>
                  <a:pt x="6502886" y="1683879"/>
                  <a:pt x="6518272" y="1699471"/>
                  <a:pt x="6537239" y="1699471"/>
                </a:cubicBezTo>
                <a:cubicBezTo>
                  <a:pt x="6556206" y="1699471"/>
                  <a:pt x="6571579" y="1683879"/>
                  <a:pt x="6571579" y="1664651"/>
                </a:cubicBezTo>
                <a:cubicBezTo>
                  <a:pt x="6571579" y="1645422"/>
                  <a:pt x="6556206" y="1629830"/>
                  <a:pt x="6537239" y="1629830"/>
                </a:cubicBezTo>
                <a:close/>
                <a:moveTo>
                  <a:pt x="6620980" y="1629830"/>
                </a:moveTo>
                <a:cubicBezTo>
                  <a:pt x="6602013" y="1629830"/>
                  <a:pt x="6586627" y="1645422"/>
                  <a:pt x="6586627" y="1664651"/>
                </a:cubicBezTo>
                <a:cubicBezTo>
                  <a:pt x="6586627" y="1683879"/>
                  <a:pt x="6602013" y="1699471"/>
                  <a:pt x="6620980" y="1699471"/>
                </a:cubicBezTo>
                <a:cubicBezTo>
                  <a:pt x="6639947" y="1699471"/>
                  <a:pt x="6655320" y="1683879"/>
                  <a:pt x="6655320" y="1664651"/>
                </a:cubicBezTo>
                <a:cubicBezTo>
                  <a:pt x="6655320" y="1645422"/>
                  <a:pt x="6639947" y="1629830"/>
                  <a:pt x="6620980" y="1629830"/>
                </a:cubicBezTo>
                <a:close/>
                <a:moveTo>
                  <a:pt x="6704722" y="1629830"/>
                </a:moveTo>
                <a:cubicBezTo>
                  <a:pt x="6685755" y="1629830"/>
                  <a:pt x="6670369" y="1645422"/>
                  <a:pt x="6670369" y="1664651"/>
                </a:cubicBezTo>
                <a:cubicBezTo>
                  <a:pt x="6670369" y="1683879"/>
                  <a:pt x="6685755" y="1699471"/>
                  <a:pt x="6704722" y="1699471"/>
                </a:cubicBezTo>
                <a:cubicBezTo>
                  <a:pt x="6723689" y="1699471"/>
                  <a:pt x="6739063" y="1683879"/>
                  <a:pt x="6739063" y="1664651"/>
                </a:cubicBezTo>
                <a:cubicBezTo>
                  <a:pt x="6739063" y="1645422"/>
                  <a:pt x="6723689" y="1629830"/>
                  <a:pt x="6704722" y="1629830"/>
                </a:cubicBezTo>
                <a:close/>
                <a:moveTo>
                  <a:pt x="6955947" y="1629830"/>
                </a:moveTo>
                <a:cubicBezTo>
                  <a:pt x="6936980" y="1629830"/>
                  <a:pt x="6921594" y="1645422"/>
                  <a:pt x="6921594" y="1664651"/>
                </a:cubicBezTo>
                <a:cubicBezTo>
                  <a:pt x="6921594" y="1683879"/>
                  <a:pt x="6936980" y="1699471"/>
                  <a:pt x="6955947" y="1699471"/>
                </a:cubicBezTo>
                <a:cubicBezTo>
                  <a:pt x="6974914" y="1699471"/>
                  <a:pt x="6990287" y="1683879"/>
                  <a:pt x="6990287" y="1664651"/>
                </a:cubicBezTo>
                <a:cubicBezTo>
                  <a:pt x="6990287" y="1645422"/>
                  <a:pt x="6974914" y="1629830"/>
                  <a:pt x="6955947" y="1629830"/>
                </a:cubicBezTo>
                <a:close/>
                <a:moveTo>
                  <a:pt x="7123456" y="1629830"/>
                </a:moveTo>
                <a:cubicBezTo>
                  <a:pt x="7104489" y="1629830"/>
                  <a:pt x="7089103" y="1645422"/>
                  <a:pt x="7089103" y="1664651"/>
                </a:cubicBezTo>
                <a:cubicBezTo>
                  <a:pt x="7089103" y="1683879"/>
                  <a:pt x="7104489" y="1699471"/>
                  <a:pt x="7123456" y="1699471"/>
                </a:cubicBezTo>
                <a:cubicBezTo>
                  <a:pt x="7142423" y="1699471"/>
                  <a:pt x="7157796" y="1683879"/>
                  <a:pt x="7157796" y="1664651"/>
                </a:cubicBezTo>
                <a:cubicBezTo>
                  <a:pt x="7157796" y="1645422"/>
                  <a:pt x="7142423" y="1629830"/>
                  <a:pt x="7123456" y="1629830"/>
                </a:cubicBezTo>
                <a:close/>
                <a:moveTo>
                  <a:pt x="7207198" y="1629830"/>
                </a:moveTo>
                <a:cubicBezTo>
                  <a:pt x="7188231" y="1629830"/>
                  <a:pt x="7172845" y="1645422"/>
                  <a:pt x="7172845" y="1664651"/>
                </a:cubicBezTo>
                <a:cubicBezTo>
                  <a:pt x="7172845" y="1683879"/>
                  <a:pt x="7188231" y="1699471"/>
                  <a:pt x="7207198" y="1699471"/>
                </a:cubicBezTo>
                <a:cubicBezTo>
                  <a:pt x="7226165" y="1699471"/>
                  <a:pt x="7241538" y="1683879"/>
                  <a:pt x="7241538" y="1664651"/>
                </a:cubicBezTo>
                <a:cubicBezTo>
                  <a:pt x="7241538" y="1645422"/>
                  <a:pt x="7226165" y="1629830"/>
                  <a:pt x="7207198" y="1629830"/>
                </a:cubicBezTo>
                <a:close/>
                <a:moveTo>
                  <a:pt x="7290939" y="1629830"/>
                </a:moveTo>
                <a:cubicBezTo>
                  <a:pt x="7271972" y="1629830"/>
                  <a:pt x="7256586" y="1645422"/>
                  <a:pt x="7256586" y="1664651"/>
                </a:cubicBezTo>
                <a:cubicBezTo>
                  <a:pt x="7256586" y="1683879"/>
                  <a:pt x="7271972" y="1699471"/>
                  <a:pt x="7290939" y="1699471"/>
                </a:cubicBezTo>
                <a:cubicBezTo>
                  <a:pt x="7309906" y="1699471"/>
                  <a:pt x="7325279" y="1683879"/>
                  <a:pt x="7325279" y="1664651"/>
                </a:cubicBezTo>
                <a:cubicBezTo>
                  <a:pt x="7325279" y="1645422"/>
                  <a:pt x="7309906" y="1629830"/>
                  <a:pt x="7290939" y="1629830"/>
                </a:cubicBezTo>
                <a:close/>
                <a:moveTo>
                  <a:pt x="7374681" y="1629830"/>
                </a:moveTo>
                <a:cubicBezTo>
                  <a:pt x="7355714" y="1629830"/>
                  <a:pt x="7340328" y="1645422"/>
                  <a:pt x="7340328" y="1664651"/>
                </a:cubicBezTo>
                <a:cubicBezTo>
                  <a:pt x="7340328" y="1683879"/>
                  <a:pt x="7355714" y="1699471"/>
                  <a:pt x="7374681" y="1699471"/>
                </a:cubicBezTo>
                <a:cubicBezTo>
                  <a:pt x="7393648" y="1699471"/>
                  <a:pt x="7409022" y="1683879"/>
                  <a:pt x="7409022" y="1664651"/>
                </a:cubicBezTo>
                <a:cubicBezTo>
                  <a:pt x="7409022" y="1645422"/>
                  <a:pt x="7393648" y="1629830"/>
                  <a:pt x="7374681" y="1629830"/>
                </a:cubicBezTo>
                <a:close/>
                <a:moveTo>
                  <a:pt x="7458423" y="1629830"/>
                </a:moveTo>
                <a:cubicBezTo>
                  <a:pt x="7439456" y="1629830"/>
                  <a:pt x="7424070" y="1645422"/>
                  <a:pt x="7424070" y="1664651"/>
                </a:cubicBezTo>
                <a:cubicBezTo>
                  <a:pt x="7424070" y="1683879"/>
                  <a:pt x="7439456" y="1699471"/>
                  <a:pt x="7458423" y="1699471"/>
                </a:cubicBezTo>
                <a:cubicBezTo>
                  <a:pt x="7477390" y="1699471"/>
                  <a:pt x="7492763" y="1683879"/>
                  <a:pt x="7492763" y="1664651"/>
                </a:cubicBezTo>
                <a:cubicBezTo>
                  <a:pt x="7492763" y="1645422"/>
                  <a:pt x="7477390" y="1629830"/>
                  <a:pt x="7458423" y="1629830"/>
                </a:cubicBezTo>
                <a:close/>
                <a:moveTo>
                  <a:pt x="7542164" y="1629830"/>
                </a:moveTo>
                <a:cubicBezTo>
                  <a:pt x="7523197" y="1629830"/>
                  <a:pt x="7507811" y="1645422"/>
                  <a:pt x="7507811" y="1664651"/>
                </a:cubicBezTo>
                <a:cubicBezTo>
                  <a:pt x="7507811" y="1683879"/>
                  <a:pt x="7523197" y="1699471"/>
                  <a:pt x="7542164" y="1699471"/>
                </a:cubicBezTo>
                <a:cubicBezTo>
                  <a:pt x="7561131" y="1699471"/>
                  <a:pt x="7576504" y="1683879"/>
                  <a:pt x="7576504" y="1664651"/>
                </a:cubicBezTo>
                <a:cubicBezTo>
                  <a:pt x="7576504" y="1645422"/>
                  <a:pt x="7561131" y="1629830"/>
                  <a:pt x="7542164" y="1629830"/>
                </a:cubicBezTo>
                <a:close/>
                <a:moveTo>
                  <a:pt x="7709647" y="1629830"/>
                </a:moveTo>
                <a:cubicBezTo>
                  <a:pt x="7690680" y="1629830"/>
                  <a:pt x="7675294" y="1645422"/>
                  <a:pt x="7675294" y="1664651"/>
                </a:cubicBezTo>
                <a:cubicBezTo>
                  <a:pt x="7675294" y="1683879"/>
                  <a:pt x="7690680" y="1699471"/>
                  <a:pt x="7709647" y="1699471"/>
                </a:cubicBezTo>
                <a:cubicBezTo>
                  <a:pt x="7728614" y="1699471"/>
                  <a:pt x="7743988" y="1683879"/>
                  <a:pt x="7743988" y="1664651"/>
                </a:cubicBezTo>
                <a:cubicBezTo>
                  <a:pt x="7743988" y="1645422"/>
                  <a:pt x="7728614" y="1629830"/>
                  <a:pt x="7709647" y="1629830"/>
                </a:cubicBezTo>
                <a:close/>
                <a:moveTo>
                  <a:pt x="7793389" y="1629830"/>
                </a:moveTo>
                <a:cubicBezTo>
                  <a:pt x="7774422" y="1629830"/>
                  <a:pt x="7759036" y="1645422"/>
                  <a:pt x="7759036" y="1664651"/>
                </a:cubicBezTo>
                <a:cubicBezTo>
                  <a:pt x="7759036" y="1683879"/>
                  <a:pt x="7774422" y="1699471"/>
                  <a:pt x="7793389" y="1699471"/>
                </a:cubicBezTo>
                <a:cubicBezTo>
                  <a:pt x="7812356" y="1699471"/>
                  <a:pt x="7827729" y="1683879"/>
                  <a:pt x="7827729" y="1664651"/>
                </a:cubicBezTo>
                <a:cubicBezTo>
                  <a:pt x="7827729" y="1645422"/>
                  <a:pt x="7812356" y="1629830"/>
                  <a:pt x="7793389" y="1629830"/>
                </a:cubicBezTo>
                <a:close/>
                <a:moveTo>
                  <a:pt x="7877131" y="1629830"/>
                </a:moveTo>
                <a:cubicBezTo>
                  <a:pt x="7858164" y="1629830"/>
                  <a:pt x="7842778" y="1645422"/>
                  <a:pt x="7842778" y="1664651"/>
                </a:cubicBezTo>
                <a:cubicBezTo>
                  <a:pt x="7842778" y="1683879"/>
                  <a:pt x="7858164" y="1699471"/>
                  <a:pt x="7877131" y="1699471"/>
                </a:cubicBezTo>
                <a:cubicBezTo>
                  <a:pt x="7896098" y="1699471"/>
                  <a:pt x="7911471" y="1683879"/>
                  <a:pt x="7911471" y="1664651"/>
                </a:cubicBezTo>
                <a:cubicBezTo>
                  <a:pt x="7911471" y="1645422"/>
                  <a:pt x="7896098" y="1629830"/>
                  <a:pt x="7877131" y="1629830"/>
                </a:cubicBezTo>
                <a:close/>
                <a:moveTo>
                  <a:pt x="7960872" y="1629830"/>
                </a:moveTo>
                <a:cubicBezTo>
                  <a:pt x="7941905" y="1629830"/>
                  <a:pt x="7926519" y="1645422"/>
                  <a:pt x="7926519" y="1664651"/>
                </a:cubicBezTo>
                <a:cubicBezTo>
                  <a:pt x="7926519" y="1683879"/>
                  <a:pt x="7941905" y="1699471"/>
                  <a:pt x="7960872" y="1699471"/>
                </a:cubicBezTo>
                <a:cubicBezTo>
                  <a:pt x="7979839" y="1699471"/>
                  <a:pt x="7995212" y="1683879"/>
                  <a:pt x="7995212" y="1664651"/>
                </a:cubicBezTo>
                <a:cubicBezTo>
                  <a:pt x="7995212" y="1645422"/>
                  <a:pt x="7979839" y="1629830"/>
                  <a:pt x="7960872" y="1629830"/>
                </a:cubicBezTo>
                <a:close/>
                <a:moveTo>
                  <a:pt x="8044614" y="1629830"/>
                </a:moveTo>
                <a:cubicBezTo>
                  <a:pt x="8025647" y="1629830"/>
                  <a:pt x="8010261" y="1645422"/>
                  <a:pt x="8010261" y="1664651"/>
                </a:cubicBezTo>
                <a:cubicBezTo>
                  <a:pt x="8010261" y="1683879"/>
                  <a:pt x="8025647" y="1699471"/>
                  <a:pt x="8044614" y="1699471"/>
                </a:cubicBezTo>
                <a:cubicBezTo>
                  <a:pt x="8063581" y="1699471"/>
                  <a:pt x="8078955" y="1683879"/>
                  <a:pt x="8078955" y="1664651"/>
                </a:cubicBezTo>
                <a:cubicBezTo>
                  <a:pt x="8078955" y="1645422"/>
                  <a:pt x="8063581" y="1629830"/>
                  <a:pt x="8044614" y="1629830"/>
                </a:cubicBezTo>
                <a:close/>
                <a:moveTo>
                  <a:pt x="8128356" y="1629830"/>
                </a:moveTo>
                <a:cubicBezTo>
                  <a:pt x="8109389" y="1629830"/>
                  <a:pt x="8094003" y="1645422"/>
                  <a:pt x="8094003" y="1664651"/>
                </a:cubicBezTo>
                <a:cubicBezTo>
                  <a:pt x="8094003" y="1683879"/>
                  <a:pt x="8109389" y="1699471"/>
                  <a:pt x="8128356" y="1699471"/>
                </a:cubicBezTo>
                <a:cubicBezTo>
                  <a:pt x="8147323" y="1699471"/>
                  <a:pt x="8162696" y="1683879"/>
                  <a:pt x="8162696" y="1664651"/>
                </a:cubicBezTo>
                <a:cubicBezTo>
                  <a:pt x="8162696" y="1645422"/>
                  <a:pt x="8147323" y="1629830"/>
                  <a:pt x="8128356" y="1629830"/>
                </a:cubicBezTo>
                <a:close/>
                <a:moveTo>
                  <a:pt x="8212097" y="1629830"/>
                </a:moveTo>
                <a:cubicBezTo>
                  <a:pt x="8193130" y="1629830"/>
                  <a:pt x="8177744" y="1645422"/>
                  <a:pt x="8177744" y="1664651"/>
                </a:cubicBezTo>
                <a:cubicBezTo>
                  <a:pt x="8177744" y="1683879"/>
                  <a:pt x="8193130" y="1699471"/>
                  <a:pt x="8212097" y="1699471"/>
                </a:cubicBezTo>
                <a:cubicBezTo>
                  <a:pt x="8231064" y="1699471"/>
                  <a:pt x="8246437" y="1683879"/>
                  <a:pt x="8246437" y="1664651"/>
                </a:cubicBezTo>
                <a:cubicBezTo>
                  <a:pt x="8246437" y="1645422"/>
                  <a:pt x="8231064" y="1629830"/>
                  <a:pt x="8212097" y="1629830"/>
                </a:cubicBezTo>
                <a:close/>
                <a:moveTo>
                  <a:pt x="8295839" y="1629830"/>
                </a:moveTo>
                <a:cubicBezTo>
                  <a:pt x="8276872" y="1629830"/>
                  <a:pt x="8261486" y="1645422"/>
                  <a:pt x="8261486" y="1664651"/>
                </a:cubicBezTo>
                <a:cubicBezTo>
                  <a:pt x="8261486" y="1683879"/>
                  <a:pt x="8276872" y="1699471"/>
                  <a:pt x="8295839" y="1699471"/>
                </a:cubicBezTo>
                <a:cubicBezTo>
                  <a:pt x="8314806" y="1699471"/>
                  <a:pt x="8330179" y="1683879"/>
                  <a:pt x="8330179" y="1664651"/>
                </a:cubicBezTo>
                <a:cubicBezTo>
                  <a:pt x="8330179" y="1645422"/>
                  <a:pt x="8314806" y="1629830"/>
                  <a:pt x="8295839" y="1629830"/>
                </a:cubicBezTo>
                <a:close/>
                <a:moveTo>
                  <a:pt x="8379580" y="1629830"/>
                </a:moveTo>
                <a:cubicBezTo>
                  <a:pt x="8360613" y="1629830"/>
                  <a:pt x="8345227" y="1645422"/>
                  <a:pt x="8345227" y="1664651"/>
                </a:cubicBezTo>
                <a:cubicBezTo>
                  <a:pt x="8345227" y="1683879"/>
                  <a:pt x="8360613" y="1699471"/>
                  <a:pt x="8379580" y="1699471"/>
                </a:cubicBezTo>
                <a:cubicBezTo>
                  <a:pt x="8398547" y="1699471"/>
                  <a:pt x="8413921" y="1683879"/>
                  <a:pt x="8413921" y="1664651"/>
                </a:cubicBezTo>
                <a:cubicBezTo>
                  <a:pt x="8413921" y="1645422"/>
                  <a:pt x="8398547" y="1629830"/>
                  <a:pt x="8379580" y="1629830"/>
                </a:cubicBezTo>
                <a:close/>
                <a:moveTo>
                  <a:pt x="8463323" y="1629830"/>
                </a:moveTo>
                <a:cubicBezTo>
                  <a:pt x="8444356" y="1629830"/>
                  <a:pt x="8428970" y="1645422"/>
                  <a:pt x="8428970" y="1664651"/>
                </a:cubicBezTo>
                <a:cubicBezTo>
                  <a:pt x="8428970" y="1683879"/>
                  <a:pt x="8444356" y="1699471"/>
                  <a:pt x="8463323" y="1699471"/>
                </a:cubicBezTo>
                <a:cubicBezTo>
                  <a:pt x="8482290" y="1699471"/>
                  <a:pt x="8497663" y="1683879"/>
                  <a:pt x="8497663" y="1664651"/>
                </a:cubicBezTo>
                <a:cubicBezTo>
                  <a:pt x="8497663" y="1645422"/>
                  <a:pt x="8482290" y="1629830"/>
                  <a:pt x="8463323" y="1629830"/>
                </a:cubicBezTo>
                <a:close/>
                <a:moveTo>
                  <a:pt x="8547064" y="1629830"/>
                </a:moveTo>
                <a:cubicBezTo>
                  <a:pt x="8528097" y="1629830"/>
                  <a:pt x="8512711" y="1645422"/>
                  <a:pt x="8512711" y="1664651"/>
                </a:cubicBezTo>
                <a:cubicBezTo>
                  <a:pt x="8512711" y="1683879"/>
                  <a:pt x="8528097" y="1699471"/>
                  <a:pt x="8547064" y="1699471"/>
                </a:cubicBezTo>
                <a:cubicBezTo>
                  <a:pt x="8566031" y="1699471"/>
                  <a:pt x="8581404" y="1683879"/>
                  <a:pt x="8581404" y="1664651"/>
                </a:cubicBezTo>
                <a:cubicBezTo>
                  <a:pt x="8581404" y="1645422"/>
                  <a:pt x="8566031" y="1629830"/>
                  <a:pt x="8547064" y="1629830"/>
                </a:cubicBezTo>
                <a:close/>
                <a:moveTo>
                  <a:pt x="8630805" y="1629830"/>
                </a:moveTo>
                <a:cubicBezTo>
                  <a:pt x="8611838" y="1629830"/>
                  <a:pt x="8596452" y="1645422"/>
                  <a:pt x="8596452" y="1664651"/>
                </a:cubicBezTo>
                <a:cubicBezTo>
                  <a:pt x="8596452" y="1683879"/>
                  <a:pt x="8611838" y="1699471"/>
                  <a:pt x="8630805" y="1699471"/>
                </a:cubicBezTo>
                <a:cubicBezTo>
                  <a:pt x="8649772" y="1699471"/>
                  <a:pt x="8665145" y="1683879"/>
                  <a:pt x="8665145" y="1664651"/>
                </a:cubicBezTo>
                <a:cubicBezTo>
                  <a:pt x="8665145" y="1645422"/>
                  <a:pt x="8649772" y="1629830"/>
                  <a:pt x="8630805" y="1629830"/>
                </a:cubicBezTo>
                <a:close/>
                <a:moveTo>
                  <a:pt x="8714547" y="1629830"/>
                </a:moveTo>
                <a:cubicBezTo>
                  <a:pt x="8695580" y="1629830"/>
                  <a:pt x="8680194" y="1645422"/>
                  <a:pt x="8680194" y="1664651"/>
                </a:cubicBezTo>
                <a:cubicBezTo>
                  <a:pt x="8680194" y="1683879"/>
                  <a:pt x="8695580" y="1699471"/>
                  <a:pt x="8714547" y="1699471"/>
                </a:cubicBezTo>
                <a:cubicBezTo>
                  <a:pt x="8733514" y="1699471"/>
                  <a:pt x="8748888" y="1683879"/>
                  <a:pt x="8748888" y="1664651"/>
                </a:cubicBezTo>
                <a:cubicBezTo>
                  <a:pt x="8748888" y="1645422"/>
                  <a:pt x="8733514" y="1629830"/>
                  <a:pt x="8714547" y="1629830"/>
                </a:cubicBezTo>
                <a:close/>
                <a:moveTo>
                  <a:pt x="8798289" y="1629830"/>
                </a:moveTo>
                <a:cubicBezTo>
                  <a:pt x="8779322" y="1629830"/>
                  <a:pt x="8763936" y="1645422"/>
                  <a:pt x="8763936" y="1664651"/>
                </a:cubicBezTo>
                <a:cubicBezTo>
                  <a:pt x="8763936" y="1683879"/>
                  <a:pt x="8779322" y="1699471"/>
                  <a:pt x="8798289" y="1699471"/>
                </a:cubicBezTo>
                <a:cubicBezTo>
                  <a:pt x="8817256" y="1699471"/>
                  <a:pt x="8832629" y="1683879"/>
                  <a:pt x="8832629" y="1664651"/>
                </a:cubicBezTo>
                <a:cubicBezTo>
                  <a:pt x="8832629" y="1645422"/>
                  <a:pt x="8817256" y="1629830"/>
                  <a:pt x="8798289" y="1629830"/>
                </a:cubicBezTo>
                <a:close/>
                <a:moveTo>
                  <a:pt x="8882030" y="1629830"/>
                </a:moveTo>
                <a:cubicBezTo>
                  <a:pt x="8863063" y="1629830"/>
                  <a:pt x="8847677" y="1645422"/>
                  <a:pt x="8847677" y="1664651"/>
                </a:cubicBezTo>
                <a:cubicBezTo>
                  <a:pt x="8847677" y="1683879"/>
                  <a:pt x="8863063" y="1699471"/>
                  <a:pt x="8882030" y="1699471"/>
                </a:cubicBezTo>
                <a:cubicBezTo>
                  <a:pt x="8900997" y="1699471"/>
                  <a:pt x="8916370" y="1683879"/>
                  <a:pt x="8916370" y="1664651"/>
                </a:cubicBezTo>
                <a:cubicBezTo>
                  <a:pt x="8916370" y="1645422"/>
                  <a:pt x="8900997" y="1629830"/>
                  <a:pt x="8882030" y="1629830"/>
                </a:cubicBezTo>
                <a:close/>
                <a:moveTo>
                  <a:pt x="8965772" y="1629830"/>
                </a:moveTo>
                <a:cubicBezTo>
                  <a:pt x="8946805" y="1629830"/>
                  <a:pt x="8931419" y="1645422"/>
                  <a:pt x="8931419" y="1664651"/>
                </a:cubicBezTo>
                <a:cubicBezTo>
                  <a:pt x="8931419" y="1683879"/>
                  <a:pt x="8946805" y="1699471"/>
                  <a:pt x="8965772" y="1699471"/>
                </a:cubicBezTo>
                <a:cubicBezTo>
                  <a:pt x="8984739" y="1699471"/>
                  <a:pt x="9000112" y="1683879"/>
                  <a:pt x="9000112" y="1664651"/>
                </a:cubicBezTo>
                <a:cubicBezTo>
                  <a:pt x="9000112" y="1645422"/>
                  <a:pt x="8984739" y="1629830"/>
                  <a:pt x="8965772" y="1629830"/>
                </a:cubicBezTo>
                <a:close/>
                <a:moveTo>
                  <a:pt x="9049513" y="1629830"/>
                </a:moveTo>
                <a:cubicBezTo>
                  <a:pt x="9030546" y="1629830"/>
                  <a:pt x="9015160" y="1645422"/>
                  <a:pt x="9015160" y="1664651"/>
                </a:cubicBezTo>
                <a:cubicBezTo>
                  <a:pt x="9015160" y="1683879"/>
                  <a:pt x="9030546" y="1699471"/>
                  <a:pt x="9049513" y="1699471"/>
                </a:cubicBezTo>
                <a:cubicBezTo>
                  <a:pt x="9068480" y="1699471"/>
                  <a:pt x="9083854" y="1683879"/>
                  <a:pt x="9083854" y="1664651"/>
                </a:cubicBezTo>
                <a:cubicBezTo>
                  <a:pt x="9083854" y="1645422"/>
                  <a:pt x="9068480" y="1629830"/>
                  <a:pt x="9049513" y="1629830"/>
                </a:cubicBezTo>
                <a:close/>
                <a:moveTo>
                  <a:pt x="9133256" y="1629830"/>
                </a:moveTo>
                <a:cubicBezTo>
                  <a:pt x="9114289" y="1629830"/>
                  <a:pt x="9098903" y="1645422"/>
                  <a:pt x="9098903" y="1664651"/>
                </a:cubicBezTo>
                <a:cubicBezTo>
                  <a:pt x="9098903" y="1683879"/>
                  <a:pt x="9114289" y="1699471"/>
                  <a:pt x="9133256" y="1699471"/>
                </a:cubicBezTo>
                <a:cubicBezTo>
                  <a:pt x="9152223" y="1699471"/>
                  <a:pt x="9167596" y="1683879"/>
                  <a:pt x="9167596" y="1664651"/>
                </a:cubicBezTo>
                <a:cubicBezTo>
                  <a:pt x="9167596" y="1645422"/>
                  <a:pt x="9152223" y="1629830"/>
                  <a:pt x="9133256" y="1629830"/>
                </a:cubicBezTo>
                <a:close/>
                <a:moveTo>
                  <a:pt x="9216997" y="1629830"/>
                </a:moveTo>
                <a:cubicBezTo>
                  <a:pt x="9198030" y="1629830"/>
                  <a:pt x="9182644" y="1645422"/>
                  <a:pt x="9182644" y="1664651"/>
                </a:cubicBezTo>
                <a:cubicBezTo>
                  <a:pt x="9182644" y="1683879"/>
                  <a:pt x="9198030" y="1699471"/>
                  <a:pt x="9216997" y="1699471"/>
                </a:cubicBezTo>
                <a:cubicBezTo>
                  <a:pt x="9235964" y="1699471"/>
                  <a:pt x="9251337" y="1683879"/>
                  <a:pt x="9251337" y="1664651"/>
                </a:cubicBezTo>
                <a:cubicBezTo>
                  <a:pt x="9251337" y="1645422"/>
                  <a:pt x="9235964" y="1629830"/>
                  <a:pt x="9216997" y="1629830"/>
                </a:cubicBezTo>
                <a:close/>
                <a:moveTo>
                  <a:pt x="9300738" y="1629830"/>
                </a:moveTo>
                <a:cubicBezTo>
                  <a:pt x="9281771" y="1629830"/>
                  <a:pt x="9266385" y="1645422"/>
                  <a:pt x="9266385" y="1664651"/>
                </a:cubicBezTo>
                <a:cubicBezTo>
                  <a:pt x="9266385" y="1683879"/>
                  <a:pt x="9281771" y="1699471"/>
                  <a:pt x="9300738" y="1699471"/>
                </a:cubicBezTo>
                <a:cubicBezTo>
                  <a:pt x="9319705" y="1699471"/>
                  <a:pt x="9335078" y="1683879"/>
                  <a:pt x="9335078" y="1664651"/>
                </a:cubicBezTo>
                <a:cubicBezTo>
                  <a:pt x="9335078" y="1645422"/>
                  <a:pt x="9319705" y="1629830"/>
                  <a:pt x="9300738" y="1629830"/>
                </a:cubicBezTo>
                <a:close/>
                <a:moveTo>
                  <a:pt x="9384480" y="1629830"/>
                </a:moveTo>
                <a:cubicBezTo>
                  <a:pt x="9365513" y="1629830"/>
                  <a:pt x="9350127" y="1645422"/>
                  <a:pt x="9350127" y="1664651"/>
                </a:cubicBezTo>
                <a:cubicBezTo>
                  <a:pt x="9350127" y="1683879"/>
                  <a:pt x="9365513" y="1699471"/>
                  <a:pt x="9384480" y="1699471"/>
                </a:cubicBezTo>
                <a:cubicBezTo>
                  <a:pt x="9403447" y="1699471"/>
                  <a:pt x="9418821" y="1683879"/>
                  <a:pt x="9418821" y="1664651"/>
                </a:cubicBezTo>
                <a:cubicBezTo>
                  <a:pt x="9418821" y="1645422"/>
                  <a:pt x="9403447" y="1629830"/>
                  <a:pt x="9384480" y="1629830"/>
                </a:cubicBezTo>
                <a:close/>
                <a:moveTo>
                  <a:pt x="9468222" y="1629830"/>
                </a:moveTo>
                <a:cubicBezTo>
                  <a:pt x="9449255" y="1629830"/>
                  <a:pt x="9433869" y="1645422"/>
                  <a:pt x="9433869" y="1664651"/>
                </a:cubicBezTo>
                <a:cubicBezTo>
                  <a:pt x="9433869" y="1683879"/>
                  <a:pt x="9449255" y="1699471"/>
                  <a:pt x="9468222" y="1699471"/>
                </a:cubicBezTo>
                <a:cubicBezTo>
                  <a:pt x="9487189" y="1699471"/>
                  <a:pt x="9502562" y="1683879"/>
                  <a:pt x="9502562" y="1664651"/>
                </a:cubicBezTo>
                <a:cubicBezTo>
                  <a:pt x="9502562" y="1645422"/>
                  <a:pt x="9487189" y="1629830"/>
                  <a:pt x="9468222" y="1629830"/>
                </a:cubicBezTo>
                <a:close/>
                <a:moveTo>
                  <a:pt x="9551963" y="1629830"/>
                </a:moveTo>
                <a:cubicBezTo>
                  <a:pt x="9532996" y="1629830"/>
                  <a:pt x="9517610" y="1645422"/>
                  <a:pt x="9517610" y="1664651"/>
                </a:cubicBezTo>
                <a:cubicBezTo>
                  <a:pt x="9517610" y="1683879"/>
                  <a:pt x="9532996" y="1699471"/>
                  <a:pt x="9551963" y="1699471"/>
                </a:cubicBezTo>
                <a:cubicBezTo>
                  <a:pt x="9570930" y="1699471"/>
                  <a:pt x="9586303" y="1683879"/>
                  <a:pt x="9586303" y="1664651"/>
                </a:cubicBezTo>
                <a:cubicBezTo>
                  <a:pt x="9586303" y="1645422"/>
                  <a:pt x="9570930" y="1629830"/>
                  <a:pt x="9551963" y="1629830"/>
                </a:cubicBezTo>
                <a:close/>
                <a:moveTo>
                  <a:pt x="9635705" y="1629830"/>
                </a:moveTo>
                <a:cubicBezTo>
                  <a:pt x="9616738" y="1629830"/>
                  <a:pt x="9601352" y="1645422"/>
                  <a:pt x="9601352" y="1664651"/>
                </a:cubicBezTo>
                <a:cubicBezTo>
                  <a:pt x="9601352" y="1683879"/>
                  <a:pt x="9616738" y="1699471"/>
                  <a:pt x="9635705" y="1699471"/>
                </a:cubicBezTo>
                <a:cubicBezTo>
                  <a:pt x="9654672" y="1699471"/>
                  <a:pt x="9670045" y="1683879"/>
                  <a:pt x="9670045" y="1664651"/>
                </a:cubicBezTo>
                <a:cubicBezTo>
                  <a:pt x="9670045" y="1645422"/>
                  <a:pt x="9654672" y="1629830"/>
                  <a:pt x="9635705" y="1629830"/>
                </a:cubicBezTo>
                <a:close/>
                <a:moveTo>
                  <a:pt x="9719446" y="1629830"/>
                </a:moveTo>
                <a:cubicBezTo>
                  <a:pt x="9700479" y="1629830"/>
                  <a:pt x="9685093" y="1645422"/>
                  <a:pt x="9685093" y="1664651"/>
                </a:cubicBezTo>
                <a:cubicBezTo>
                  <a:pt x="9685093" y="1683879"/>
                  <a:pt x="9700479" y="1699471"/>
                  <a:pt x="9719446" y="1699471"/>
                </a:cubicBezTo>
                <a:cubicBezTo>
                  <a:pt x="9738413" y="1699471"/>
                  <a:pt x="9753787" y="1683879"/>
                  <a:pt x="9753787" y="1664651"/>
                </a:cubicBezTo>
                <a:cubicBezTo>
                  <a:pt x="9753787" y="1645422"/>
                  <a:pt x="9738413" y="1629830"/>
                  <a:pt x="9719446" y="1629830"/>
                </a:cubicBezTo>
                <a:close/>
                <a:moveTo>
                  <a:pt x="9803189" y="1629830"/>
                </a:moveTo>
                <a:cubicBezTo>
                  <a:pt x="9784222" y="1629830"/>
                  <a:pt x="9768836" y="1645422"/>
                  <a:pt x="9768836" y="1664651"/>
                </a:cubicBezTo>
                <a:cubicBezTo>
                  <a:pt x="9768836" y="1683879"/>
                  <a:pt x="9784222" y="1699471"/>
                  <a:pt x="9803189" y="1699471"/>
                </a:cubicBezTo>
                <a:cubicBezTo>
                  <a:pt x="9822156" y="1699471"/>
                  <a:pt x="9837529" y="1683879"/>
                  <a:pt x="9837529" y="1664651"/>
                </a:cubicBezTo>
                <a:cubicBezTo>
                  <a:pt x="9837529" y="1645422"/>
                  <a:pt x="9822156" y="1629830"/>
                  <a:pt x="9803189" y="1629830"/>
                </a:cubicBezTo>
                <a:close/>
                <a:moveTo>
                  <a:pt x="9886930" y="1629830"/>
                </a:moveTo>
                <a:cubicBezTo>
                  <a:pt x="9867963" y="1629830"/>
                  <a:pt x="9852577" y="1645422"/>
                  <a:pt x="9852577" y="1664651"/>
                </a:cubicBezTo>
                <a:cubicBezTo>
                  <a:pt x="9852577" y="1683879"/>
                  <a:pt x="9867963" y="1699471"/>
                  <a:pt x="9886930" y="1699471"/>
                </a:cubicBezTo>
                <a:cubicBezTo>
                  <a:pt x="9905897" y="1699471"/>
                  <a:pt x="9921270" y="1683879"/>
                  <a:pt x="9921270" y="1664651"/>
                </a:cubicBezTo>
                <a:cubicBezTo>
                  <a:pt x="9921270" y="1645422"/>
                  <a:pt x="9905897" y="1629830"/>
                  <a:pt x="9886930" y="1629830"/>
                </a:cubicBezTo>
                <a:close/>
                <a:moveTo>
                  <a:pt x="9970671" y="1629830"/>
                </a:moveTo>
                <a:cubicBezTo>
                  <a:pt x="9951704" y="1629830"/>
                  <a:pt x="9936318" y="1645422"/>
                  <a:pt x="9936318" y="1664651"/>
                </a:cubicBezTo>
                <a:cubicBezTo>
                  <a:pt x="9936318" y="1683879"/>
                  <a:pt x="9951704" y="1699471"/>
                  <a:pt x="9970671" y="1699471"/>
                </a:cubicBezTo>
                <a:cubicBezTo>
                  <a:pt x="9989638" y="1699471"/>
                  <a:pt x="10005011" y="1683879"/>
                  <a:pt x="10005011" y="1664651"/>
                </a:cubicBezTo>
                <a:cubicBezTo>
                  <a:pt x="10005011" y="1645422"/>
                  <a:pt x="9989638" y="1629830"/>
                  <a:pt x="9970671" y="1629830"/>
                </a:cubicBezTo>
                <a:close/>
                <a:moveTo>
                  <a:pt x="10221896" y="1629830"/>
                </a:moveTo>
                <a:cubicBezTo>
                  <a:pt x="10202929" y="1629830"/>
                  <a:pt x="10187543" y="1645422"/>
                  <a:pt x="10187543" y="1664651"/>
                </a:cubicBezTo>
                <a:cubicBezTo>
                  <a:pt x="10187543" y="1683879"/>
                  <a:pt x="10202929" y="1699471"/>
                  <a:pt x="10221896" y="1699471"/>
                </a:cubicBezTo>
                <a:cubicBezTo>
                  <a:pt x="10240863" y="1699471"/>
                  <a:pt x="10256236" y="1683879"/>
                  <a:pt x="10256236" y="1664651"/>
                </a:cubicBezTo>
                <a:cubicBezTo>
                  <a:pt x="10256236" y="1645422"/>
                  <a:pt x="10240863" y="1629830"/>
                  <a:pt x="10221896" y="1629830"/>
                </a:cubicBezTo>
                <a:close/>
                <a:moveTo>
                  <a:pt x="1596483" y="1714694"/>
                </a:moveTo>
                <a:cubicBezTo>
                  <a:pt x="1577516" y="1714694"/>
                  <a:pt x="1562136" y="1730286"/>
                  <a:pt x="1562136" y="1749515"/>
                </a:cubicBezTo>
                <a:cubicBezTo>
                  <a:pt x="1562136" y="1768743"/>
                  <a:pt x="1577516" y="1784335"/>
                  <a:pt x="1596483" y="1784335"/>
                </a:cubicBezTo>
                <a:cubicBezTo>
                  <a:pt x="1615450" y="1784335"/>
                  <a:pt x="1630829" y="1768743"/>
                  <a:pt x="1630829" y="1749515"/>
                </a:cubicBezTo>
                <a:cubicBezTo>
                  <a:pt x="1630829" y="1730286"/>
                  <a:pt x="1615450" y="1714694"/>
                  <a:pt x="1596483" y="1714694"/>
                </a:cubicBezTo>
                <a:close/>
                <a:moveTo>
                  <a:pt x="2098932" y="1714694"/>
                </a:moveTo>
                <a:cubicBezTo>
                  <a:pt x="2079965" y="1714694"/>
                  <a:pt x="2064586" y="1730286"/>
                  <a:pt x="2064586" y="1749515"/>
                </a:cubicBezTo>
                <a:cubicBezTo>
                  <a:pt x="2064586" y="1768743"/>
                  <a:pt x="2079965" y="1784335"/>
                  <a:pt x="2098932" y="1784335"/>
                </a:cubicBezTo>
                <a:cubicBezTo>
                  <a:pt x="2117899" y="1784335"/>
                  <a:pt x="2133279" y="1768743"/>
                  <a:pt x="2133279" y="1749515"/>
                </a:cubicBezTo>
                <a:cubicBezTo>
                  <a:pt x="2133279" y="1730286"/>
                  <a:pt x="2117899" y="1714694"/>
                  <a:pt x="2098932" y="1714694"/>
                </a:cubicBezTo>
                <a:close/>
                <a:moveTo>
                  <a:pt x="2182674" y="1714694"/>
                </a:moveTo>
                <a:cubicBezTo>
                  <a:pt x="2163707" y="1714694"/>
                  <a:pt x="2148328" y="1730286"/>
                  <a:pt x="2148328" y="1749515"/>
                </a:cubicBezTo>
                <a:cubicBezTo>
                  <a:pt x="2148328" y="1768743"/>
                  <a:pt x="2163707" y="1784335"/>
                  <a:pt x="2182674" y="1784335"/>
                </a:cubicBezTo>
                <a:cubicBezTo>
                  <a:pt x="2201641" y="1784335"/>
                  <a:pt x="2217021" y="1768743"/>
                  <a:pt x="2217021" y="1749515"/>
                </a:cubicBezTo>
                <a:cubicBezTo>
                  <a:pt x="2217021" y="1730286"/>
                  <a:pt x="2201641" y="1714694"/>
                  <a:pt x="2182674" y="1714694"/>
                </a:cubicBezTo>
                <a:close/>
                <a:moveTo>
                  <a:pt x="2266416" y="1714694"/>
                </a:moveTo>
                <a:cubicBezTo>
                  <a:pt x="2247449" y="1714694"/>
                  <a:pt x="2232069" y="1730286"/>
                  <a:pt x="2232069" y="1749515"/>
                </a:cubicBezTo>
                <a:cubicBezTo>
                  <a:pt x="2232069" y="1768743"/>
                  <a:pt x="2247449" y="1784335"/>
                  <a:pt x="2266416" y="1784335"/>
                </a:cubicBezTo>
                <a:cubicBezTo>
                  <a:pt x="2285383" y="1784335"/>
                  <a:pt x="2300762" y="1768743"/>
                  <a:pt x="2300762" y="1749515"/>
                </a:cubicBezTo>
                <a:cubicBezTo>
                  <a:pt x="2300762" y="1730286"/>
                  <a:pt x="2285383" y="1714694"/>
                  <a:pt x="2266416" y="1714694"/>
                </a:cubicBezTo>
                <a:close/>
                <a:moveTo>
                  <a:pt x="2350151" y="1714694"/>
                </a:moveTo>
                <a:cubicBezTo>
                  <a:pt x="2331184" y="1714694"/>
                  <a:pt x="2315804" y="1730286"/>
                  <a:pt x="2315804" y="1749515"/>
                </a:cubicBezTo>
                <a:cubicBezTo>
                  <a:pt x="2315804" y="1768743"/>
                  <a:pt x="2331184" y="1784335"/>
                  <a:pt x="2350151" y="1784335"/>
                </a:cubicBezTo>
                <a:cubicBezTo>
                  <a:pt x="2369118" y="1784335"/>
                  <a:pt x="2384498" y="1768743"/>
                  <a:pt x="2384498" y="1749515"/>
                </a:cubicBezTo>
                <a:cubicBezTo>
                  <a:pt x="2384498" y="1730286"/>
                  <a:pt x="2369118" y="1714694"/>
                  <a:pt x="2350151" y="1714694"/>
                </a:cubicBezTo>
                <a:close/>
                <a:moveTo>
                  <a:pt x="2433893" y="1714694"/>
                </a:moveTo>
                <a:cubicBezTo>
                  <a:pt x="2414926" y="1714694"/>
                  <a:pt x="2399546" y="1730286"/>
                  <a:pt x="2399546" y="1749515"/>
                </a:cubicBezTo>
                <a:cubicBezTo>
                  <a:pt x="2399546" y="1768743"/>
                  <a:pt x="2414926" y="1784335"/>
                  <a:pt x="2433893" y="1784335"/>
                </a:cubicBezTo>
                <a:cubicBezTo>
                  <a:pt x="2452860" y="1784335"/>
                  <a:pt x="2468240" y="1768743"/>
                  <a:pt x="2468240" y="1749515"/>
                </a:cubicBezTo>
                <a:cubicBezTo>
                  <a:pt x="2468240" y="1730286"/>
                  <a:pt x="2452860" y="1714694"/>
                  <a:pt x="2433893" y="1714694"/>
                </a:cubicBezTo>
                <a:close/>
                <a:moveTo>
                  <a:pt x="2517634" y="1714694"/>
                </a:moveTo>
                <a:cubicBezTo>
                  <a:pt x="2498667" y="1714694"/>
                  <a:pt x="2483288" y="1730286"/>
                  <a:pt x="2483288" y="1749515"/>
                </a:cubicBezTo>
                <a:cubicBezTo>
                  <a:pt x="2483288" y="1768743"/>
                  <a:pt x="2498667" y="1784335"/>
                  <a:pt x="2517634" y="1784335"/>
                </a:cubicBezTo>
                <a:cubicBezTo>
                  <a:pt x="2536601" y="1784335"/>
                  <a:pt x="2551981" y="1768743"/>
                  <a:pt x="2551981" y="1749515"/>
                </a:cubicBezTo>
                <a:cubicBezTo>
                  <a:pt x="2551981" y="1730286"/>
                  <a:pt x="2536601" y="1714694"/>
                  <a:pt x="2517634" y="1714694"/>
                </a:cubicBezTo>
                <a:close/>
                <a:moveTo>
                  <a:pt x="2601376" y="1714694"/>
                </a:moveTo>
                <a:cubicBezTo>
                  <a:pt x="2582409" y="1714694"/>
                  <a:pt x="2567029" y="1730286"/>
                  <a:pt x="2567029" y="1749515"/>
                </a:cubicBezTo>
                <a:cubicBezTo>
                  <a:pt x="2567029" y="1768743"/>
                  <a:pt x="2582409" y="1784335"/>
                  <a:pt x="2601376" y="1784335"/>
                </a:cubicBezTo>
                <a:cubicBezTo>
                  <a:pt x="2620343" y="1784335"/>
                  <a:pt x="2635722" y="1768743"/>
                  <a:pt x="2635722" y="1749515"/>
                </a:cubicBezTo>
                <a:cubicBezTo>
                  <a:pt x="2635722" y="1730286"/>
                  <a:pt x="2620343" y="1714694"/>
                  <a:pt x="2601376" y="1714694"/>
                </a:cubicBezTo>
                <a:close/>
                <a:moveTo>
                  <a:pt x="2685118" y="1714694"/>
                </a:moveTo>
                <a:cubicBezTo>
                  <a:pt x="2666151" y="1714694"/>
                  <a:pt x="2650771" y="1730286"/>
                  <a:pt x="2650771" y="1749515"/>
                </a:cubicBezTo>
                <a:cubicBezTo>
                  <a:pt x="2650771" y="1768743"/>
                  <a:pt x="2666151" y="1784335"/>
                  <a:pt x="2685118" y="1784335"/>
                </a:cubicBezTo>
                <a:cubicBezTo>
                  <a:pt x="2704085" y="1784335"/>
                  <a:pt x="2719465" y="1768743"/>
                  <a:pt x="2719465" y="1749515"/>
                </a:cubicBezTo>
                <a:cubicBezTo>
                  <a:pt x="2719465" y="1730286"/>
                  <a:pt x="2704085" y="1714694"/>
                  <a:pt x="2685118" y="1714694"/>
                </a:cubicBezTo>
                <a:close/>
                <a:moveTo>
                  <a:pt x="2768859" y="1714694"/>
                </a:moveTo>
                <a:cubicBezTo>
                  <a:pt x="2749892" y="1714694"/>
                  <a:pt x="2734512" y="1730286"/>
                  <a:pt x="2734512" y="1749515"/>
                </a:cubicBezTo>
                <a:cubicBezTo>
                  <a:pt x="2734512" y="1768743"/>
                  <a:pt x="2749892" y="1784335"/>
                  <a:pt x="2768859" y="1784335"/>
                </a:cubicBezTo>
                <a:cubicBezTo>
                  <a:pt x="2787826" y="1784335"/>
                  <a:pt x="2803206" y="1768743"/>
                  <a:pt x="2803206" y="1749515"/>
                </a:cubicBezTo>
                <a:cubicBezTo>
                  <a:pt x="2803206" y="1730286"/>
                  <a:pt x="2787826" y="1714694"/>
                  <a:pt x="2768859" y="1714694"/>
                </a:cubicBezTo>
                <a:close/>
                <a:moveTo>
                  <a:pt x="3020084" y="1714694"/>
                </a:moveTo>
                <a:cubicBezTo>
                  <a:pt x="3001117" y="1714694"/>
                  <a:pt x="2985737" y="1730286"/>
                  <a:pt x="2985737" y="1749515"/>
                </a:cubicBezTo>
                <a:cubicBezTo>
                  <a:pt x="2985737" y="1768743"/>
                  <a:pt x="3001117" y="1784335"/>
                  <a:pt x="3020084" y="1784335"/>
                </a:cubicBezTo>
                <a:cubicBezTo>
                  <a:pt x="3039051" y="1784335"/>
                  <a:pt x="3054431" y="1768743"/>
                  <a:pt x="3054431" y="1749515"/>
                </a:cubicBezTo>
                <a:cubicBezTo>
                  <a:pt x="3054431" y="1730286"/>
                  <a:pt x="3039051" y="1714694"/>
                  <a:pt x="3020084" y="1714694"/>
                </a:cubicBezTo>
                <a:close/>
                <a:moveTo>
                  <a:pt x="3103826" y="1714694"/>
                </a:moveTo>
                <a:cubicBezTo>
                  <a:pt x="3084859" y="1714694"/>
                  <a:pt x="3069479" y="1730286"/>
                  <a:pt x="3069479" y="1749515"/>
                </a:cubicBezTo>
                <a:cubicBezTo>
                  <a:pt x="3069479" y="1768743"/>
                  <a:pt x="3084859" y="1784335"/>
                  <a:pt x="3103826" y="1784335"/>
                </a:cubicBezTo>
                <a:cubicBezTo>
                  <a:pt x="3122793" y="1784335"/>
                  <a:pt x="3138173" y="1768743"/>
                  <a:pt x="3138173" y="1749515"/>
                </a:cubicBezTo>
                <a:cubicBezTo>
                  <a:pt x="3138173" y="1730286"/>
                  <a:pt x="3122793" y="1714694"/>
                  <a:pt x="3103826" y="1714694"/>
                </a:cubicBezTo>
                <a:close/>
                <a:moveTo>
                  <a:pt x="3187567" y="1714694"/>
                </a:moveTo>
                <a:cubicBezTo>
                  <a:pt x="3168600" y="1714694"/>
                  <a:pt x="3153221" y="1730286"/>
                  <a:pt x="3153221" y="1749515"/>
                </a:cubicBezTo>
                <a:cubicBezTo>
                  <a:pt x="3153221" y="1768743"/>
                  <a:pt x="3168600" y="1784335"/>
                  <a:pt x="3187567" y="1784335"/>
                </a:cubicBezTo>
                <a:cubicBezTo>
                  <a:pt x="3206534" y="1784335"/>
                  <a:pt x="3221914" y="1768743"/>
                  <a:pt x="3221914" y="1749515"/>
                </a:cubicBezTo>
                <a:cubicBezTo>
                  <a:pt x="3221914" y="1730286"/>
                  <a:pt x="3206534" y="1714694"/>
                  <a:pt x="3187567" y="1714694"/>
                </a:cubicBezTo>
                <a:close/>
                <a:moveTo>
                  <a:pt x="3355051" y="1714694"/>
                </a:moveTo>
                <a:cubicBezTo>
                  <a:pt x="3336084" y="1714694"/>
                  <a:pt x="3320704" y="1730286"/>
                  <a:pt x="3320704" y="1749515"/>
                </a:cubicBezTo>
                <a:cubicBezTo>
                  <a:pt x="3320704" y="1768743"/>
                  <a:pt x="3336084" y="1784335"/>
                  <a:pt x="3355051" y="1784335"/>
                </a:cubicBezTo>
                <a:cubicBezTo>
                  <a:pt x="3374018" y="1784335"/>
                  <a:pt x="3389398" y="1768743"/>
                  <a:pt x="3389398" y="1749515"/>
                </a:cubicBezTo>
                <a:cubicBezTo>
                  <a:pt x="3389398" y="1730286"/>
                  <a:pt x="3374018" y="1714694"/>
                  <a:pt x="3355051" y="1714694"/>
                </a:cubicBezTo>
                <a:close/>
                <a:moveTo>
                  <a:pt x="3438792" y="1714694"/>
                </a:moveTo>
                <a:cubicBezTo>
                  <a:pt x="3419825" y="1714694"/>
                  <a:pt x="3404445" y="1730286"/>
                  <a:pt x="3404445" y="1749515"/>
                </a:cubicBezTo>
                <a:cubicBezTo>
                  <a:pt x="3404445" y="1768743"/>
                  <a:pt x="3419825" y="1784335"/>
                  <a:pt x="3438792" y="1784335"/>
                </a:cubicBezTo>
                <a:cubicBezTo>
                  <a:pt x="3457759" y="1784335"/>
                  <a:pt x="3473139" y="1768743"/>
                  <a:pt x="3473139" y="1749515"/>
                </a:cubicBezTo>
                <a:cubicBezTo>
                  <a:pt x="3473139" y="1730286"/>
                  <a:pt x="3457759" y="1714694"/>
                  <a:pt x="3438792" y="1714694"/>
                </a:cubicBezTo>
                <a:close/>
                <a:moveTo>
                  <a:pt x="3606276" y="1714694"/>
                </a:moveTo>
                <a:cubicBezTo>
                  <a:pt x="3587309" y="1714694"/>
                  <a:pt x="3571929" y="1730286"/>
                  <a:pt x="3571929" y="1749515"/>
                </a:cubicBezTo>
                <a:cubicBezTo>
                  <a:pt x="3571929" y="1768743"/>
                  <a:pt x="3587309" y="1784335"/>
                  <a:pt x="3606276" y="1784335"/>
                </a:cubicBezTo>
                <a:cubicBezTo>
                  <a:pt x="3625243" y="1784335"/>
                  <a:pt x="3640622" y="1768743"/>
                  <a:pt x="3640622" y="1749515"/>
                </a:cubicBezTo>
                <a:cubicBezTo>
                  <a:pt x="3640622" y="1730286"/>
                  <a:pt x="3625243" y="1714694"/>
                  <a:pt x="3606276" y="1714694"/>
                </a:cubicBezTo>
                <a:close/>
                <a:moveTo>
                  <a:pt x="3690017" y="1714694"/>
                </a:moveTo>
                <a:cubicBezTo>
                  <a:pt x="3671050" y="1714694"/>
                  <a:pt x="3655670" y="1730286"/>
                  <a:pt x="3655670" y="1749515"/>
                </a:cubicBezTo>
                <a:cubicBezTo>
                  <a:pt x="3655670" y="1768743"/>
                  <a:pt x="3671050" y="1784335"/>
                  <a:pt x="3690017" y="1784335"/>
                </a:cubicBezTo>
                <a:cubicBezTo>
                  <a:pt x="3708984" y="1784335"/>
                  <a:pt x="3724364" y="1768743"/>
                  <a:pt x="3724364" y="1749515"/>
                </a:cubicBezTo>
                <a:cubicBezTo>
                  <a:pt x="3724364" y="1730286"/>
                  <a:pt x="3708984" y="1714694"/>
                  <a:pt x="3690017" y="1714694"/>
                </a:cubicBezTo>
                <a:close/>
                <a:moveTo>
                  <a:pt x="3857500" y="1714694"/>
                </a:moveTo>
                <a:cubicBezTo>
                  <a:pt x="3838533" y="1714694"/>
                  <a:pt x="3823154" y="1730286"/>
                  <a:pt x="3823154" y="1749515"/>
                </a:cubicBezTo>
                <a:cubicBezTo>
                  <a:pt x="3823154" y="1768743"/>
                  <a:pt x="3838533" y="1784335"/>
                  <a:pt x="3857500" y="1784335"/>
                </a:cubicBezTo>
                <a:cubicBezTo>
                  <a:pt x="3876467" y="1784335"/>
                  <a:pt x="3891847" y="1768743"/>
                  <a:pt x="3891847" y="1749515"/>
                </a:cubicBezTo>
                <a:cubicBezTo>
                  <a:pt x="3891847" y="1730286"/>
                  <a:pt x="3876467" y="1714694"/>
                  <a:pt x="3857500" y="1714694"/>
                </a:cubicBezTo>
                <a:close/>
                <a:moveTo>
                  <a:pt x="3941242" y="1714694"/>
                </a:moveTo>
                <a:cubicBezTo>
                  <a:pt x="3922275" y="1714694"/>
                  <a:pt x="3906895" y="1730286"/>
                  <a:pt x="3906895" y="1749515"/>
                </a:cubicBezTo>
                <a:cubicBezTo>
                  <a:pt x="3906895" y="1768743"/>
                  <a:pt x="3922275" y="1784335"/>
                  <a:pt x="3941242" y="1784335"/>
                </a:cubicBezTo>
                <a:cubicBezTo>
                  <a:pt x="3960209" y="1784335"/>
                  <a:pt x="3975588" y="1768743"/>
                  <a:pt x="3975588" y="1749515"/>
                </a:cubicBezTo>
                <a:cubicBezTo>
                  <a:pt x="3975588" y="1730286"/>
                  <a:pt x="3960209" y="1714694"/>
                  <a:pt x="3941242" y="1714694"/>
                </a:cubicBezTo>
                <a:close/>
                <a:moveTo>
                  <a:pt x="4024990" y="1714694"/>
                </a:moveTo>
                <a:cubicBezTo>
                  <a:pt x="4006023" y="1714694"/>
                  <a:pt x="3990643" y="1730286"/>
                  <a:pt x="3990643" y="1749515"/>
                </a:cubicBezTo>
                <a:cubicBezTo>
                  <a:pt x="3990643" y="1768743"/>
                  <a:pt x="4006023" y="1784335"/>
                  <a:pt x="4024990" y="1784335"/>
                </a:cubicBezTo>
                <a:cubicBezTo>
                  <a:pt x="4043957" y="1784335"/>
                  <a:pt x="4059337" y="1768743"/>
                  <a:pt x="4059337" y="1749515"/>
                </a:cubicBezTo>
                <a:cubicBezTo>
                  <a:pt x="4059337" y="1730286"/>
                  <a:pt x="4043957" y="1714694"/>
                  <a:pt x="4024990" y="1714694"/>
                </a:cubicBezTo>
                <a:close/>
                <a:moveTo>
                  <a:pt x="4108732" y="1714694"/>
                </a:moveTo>
                <a:cubicBezTo>
                  <a:pt x="4089765" y="1714694"/>
                  <a:pt x="4074386" y="1730286"/>
                  <a:pt x="4074386" y="1749515"/>
                </a:cubicBezTo>
                <a:cubicBezTo>
                  <a:pt x="4074386" y="1768743"/>
                  <a:pt x="4089765" y="1784335"/>
                  <a:pt x="4108732" y="1784335"/>
                </a:cubicBezTo>
                <a:cubicBezTo>
                  <a:pt x="4127699" y="1784335"/>
                  <a:pt x="4143079" y="1768743"/>
                  <a:pt x="4143079" y="1749515"/>
                </a:cubicBezTo>
                <a:cubicBezTo>
                  <a:pt x="4143079" y="1730286"/>
                  <a:pt x="4127699" y="1714694"/>
                  <a:pt x="4108732" y="1714694"/>
                </a:cubicBezTo>
                <a:close/>
                <a:moveTo>
                  <a:pt x="4276215" y="1714694"/>
                </a:moveTo>
                <a:cubicBezTo>
                  <a:pt x="4257248" y="1714694"/>
                  <a:pt x="4241868" y="1730286"/>
                  <a:pt x="4241868" y="1749515"/>
                </a:cubicBezTo>
                <a:cubicBezTo>
                  <a:pt x="4241868" y="1768743"/>
                  <a:pt x="4257248" y="1784335"/>
                  <a:pt x="4276215" y="1784335"/>
                </a:cubicBezTo>
                <a:cubicBezTo>
                  <a:pt x="4295182" y="1784335"/>
                  <a:pt x="4310561" y="1768743"/>
                  <a:pt x="4310561" y="1749515"/>
                </a:cubicBezTo>
                <a:cubicBezTo>
                  <a:pt x="4310561" y="1730286"/>
                  <a:pt x="4295182" y="1714694"/>
                  <a:pt x="4276215" y="1714694"/>
                </a:cubicBezTo>
                <a:close/>
                <a:moveTo>
                  <a:pt x="4527439" y="1714694"/>
                </a:moveTo>
                <a:cubicBezTo>
                  <a:pt x="4508472" y="1714694"/>
                  <a:pt x="4493093" y="1730286"/>
                  <a:pt x="4493093" y="1749515"/>
                </a:cubicBezTo>
                <a:cubicBezTo>
                  <a:pt x="4493093" y="1768743"/>
                  <a:pt x="4508472" y="1784335"/>
                  <a:pt x="4527439" y="1784335"/>
                </a:cubicBezTo>
                <a:cubicBezTo>
                  <a:pt x="4546406" y="1784335"/>
                  <a:pt x="4561786" y="1768743"/>
                  <a:pt x="4561786" y="1749515"/>
                </a:cubicBezTo>
                <a:cubicBezTo>
                  <a:pt x="4561786" y="1730286"/>
                  <a:pt x="4546406" y="1714694"/>
                  <a:pt x="4527439" y="1714694"/>
                </a:cubicBezTo>
                <a:close/>
                <a:moveTo>
                  <a:pt x="4611182" y="1714694"/>
                </a:moveTo>
                <a:cubicBezTo>
                  <a:pt x="4592215" y="1714694"/>
                  <a:pt x="4576835" y="1730286"/>
                  <a:pt x="4576835" y="1749515"/>
                </a:cubicBezTo>
                <a:cubicBezTo>
                  <a:pt x="4576835" y="1768743"/>
                  <a:pt x="4592215" y="1784335"/>
                  <a:pt x="4611182" y="1784335"/>
                </a:cubicBezTo>
                <a:cubicBezTo>
                  <a:pt x="4630149" y="1784335"/>
                  <a:pt x="4645528" y="1768743"/>
                  <a:pt x="4645528" y="1749515"/>
                </a:cubicBezTo>
                <a:cubicBezTo>
                  <a:pt x="4645528" y="1730286"/>
                  <a:pt x="4630149" y="1714694"/>
                  <a:pt x="4611182" y="1714694"/>
                </a:cubicBezTo>
                <a:close/>
                <a:moveTo>
                  <a:pt x="4694923" y="1714694"/>
                </a:moveTo>
                <a:cubicBezTo>
                  <a:pt x="4675956" y="1714694"/>
                  <a:pt x="4660576" y="1730286"/>
                  <a:pt x="4660576" y="1749515"/>
                </a:cubicBezTo>
                <a:cubicBezTo>
                  <a:pt x="4660576" y="1768743"/>
                  <a:pt x="4675956" y="1784335"/>
                  <a:pt x="4694923" y="1784335"/>
                </a:cubicBezTo>
                <a:cubicBezTo>
                  <a:pt x="4713890" y="1784335"/>
                  <a:pt x="4729270" y="1768743"/>
                  <a:pt x="4729270" y="1749515"/>
                </a:cubicBezTo>
                <a:cubicBezTo>
                  <a:pt x="4729270" y="1730286"/>
                  <a:pt x="4713890" y="1714694"/>
                  <a:pt x="4694923" y="1714694"/>
                </a:cubicBezTo>
                <a:close/>
                <a:moveTo>
                  <a:pt x="4778665" y="1714694"/>
                </a:moveTo>
                <a:cubicBezTo>
                  <a:pt x="4759698" y="1714694"/>
                  <a:pt x="4744319" y="1730286"/>
                  <a:pt x="4744319" y="1749515"/>
                </a:cubicBezTo>
                <a:cubicBezTo>
                  <a:pt x="4744319" y="1768743"/>
                  <a:pt x="4759698" y="1784335"/>
                  <a:pt x="4778665" y="1784335"/>
                </a:cubicBezTo>
                <a:cubicBezTo>
                  <a:pt x="4797632" y="1784335"/>
                  <a:pt x="4813012" y="1768743"/>
                  <a:pt x="4813012" y="1749515"/>
                </a:cubicBezTo>
                <a:cubicBezTo>
                  <a:pt x="4813012" y="1730286"/>
                  <a:pt x="4797632" y="1714694"/>
                  <a:pt x="4778665" y="1714694"/>
                </a:cubicBezTo>
                <a:close/>
                <a:moveTo>
                  <a:pt x="4862406" y="1714694"/>
                </a:moveTo>
                <a:cubicBezTo>
                  <a:pt x="4843439" y="1714694"/>
                  <a:pt x="4828060" y="1730286"/>
                  <a:pt x="4828060" y="1749515"/>
                </a:cubicBezTo>
                <a:cubicBezTo>
                  <a:pt x="4828060" y="1768743"/>
                  <a:pt x="4843439" y="1784335"/>
                  <a:pt x="4862406" y="1784335"/>
                </a:cubicBezTo>
                <a:cubicBezTo>
                  <a:pt x="4881373" y="1784335"/>
                  <a:pt x="4896753" y="1768743"/>
                  <a:pt x="4896753" y="1749515"/>
                </a:cubicBezTo>
                <a:cubicBezTo>
                  <a:pt x="4896753" y="1730286"/>
                  <a:pt x="4881373" y="1714694"/>
                  <a:pt x="4862406" y="1714694"/>
                </a:cubicBezTo>
                <a:close/>
                <a:moveTo>
                  <a:pt x="4946148" y="1714694"/>
                </a:moveTo>
                <a:cubicBezTo>
                  <a:pt x="4927181" y="1714694"/>
                  <a:pt x="4911801" y="1730286"/>
                  <a:pt x="4911801" y="1749515"/>
                </a:cubicBezTo>
                <a:cubicBezTo>
                  <a:pt x="4911801" y="1768743"/>
                  <a:pt x="4927181" y="1784335"/>
                  <a:pt x="4946148" y="1784335"/>
                </a:cubicBezTo>
                <a:cubicBezTo>
                  <a:pt x="4965115" y="1784335"/>
                  <a:pt x="4980494" y="1768743"/>
                  <a:pt x="4980494" y="1749515"/>
                </a:cubicBezTo>
                <a:cubicBezTo>
                  <a:pt x="4980494" y="1730286"/>
                  <a:pt x="4965115" y="1714694"/>
                  <a:pt x="4946148" y="1714694"/>
                </a:cubicBezTo>
                <a:close/>
                <a:moveTo>
                  <a:pt x="6286014" y="1714694"/>
                </a:moveTo>
                <a:cubicBezTo>
                  <a:pt x="6267047" y="1714694"/>
                  <a:pt x="6251661" y="1730286"/>
                  <a:pt x="6251661" y="1749515"/>
                </a:cubicBezTo>
                <a:cubicBezTo>
                  <a:pt x="6251661" y="1768743"/>
                  <a:pt x="6267047" y="1784335"/>
                  <a:pt x="6286014" y="1784335"/>
                </a:cubicBezTo>
                <a:cubicBezTo>
                  <a:pt x="6304981" y="1784335"/>
                  <a:pt x="6320354" y="1768743"/>
                  <a:pt x="6320354" y="1749515"/>
                </a:cubicBezTo>
                <a:cubicBezTo>
                  <a:pt x="6320354" y="1730286"/>
                  <a:pt x="6304981" y="1714694"/>
                  <a:pt x="6286014" y="1714694"/>
                </a:cubicBezTo>
                <a:close/>
                <a:moveTo>
                  <a:pt x="6369755" y="1714694"/>
                </a:moveTo>
                <a:cubicBezTo>
                  <a:pt x="6350788" y="1714694"/>
                  <a:pt x="6335402" y="1730286"/>
                  <a:pt x="6335402" y="1749515"/>
                </a:cubicBezTo>
                <a:cubicBezTo>
                  <a:pt x="6335402" y="1768743"/>
                  <a:pt x="6350788" y="1784335"/>
                  <a:pt x="6369755" y="1784335"/>
                </a:cubicBezTo>
                <a:cubicBezTo>
                  <a:pt x="6388722" y="1784335"/>
                  <a:pt x="6404096" y="1768743"/>
                  <a:pt x="6404096" y="1749515"/>
                </a:cubicBezTo>
                <a:cubicBezTo>
                  <a:pt x="6404096" y="1730286"/>
                  <a:pt x="6388722" y="1714694"/>
                  <a:pt x="6369755" y="1714694"/>
                </a:cubicBezTo>
                <a:close/>
                <a:moveTo>
                  <a:pt x="6453498" y="1714694"/>
                </a:moveTo>
                <a:cubicBezTo>
                  <a:pt x="6434531" y="1714694"/>
                  <a:pt x="6419144" y="1730286"/>
                  <a:pt x="6419144" y="1749515"/>
                </a:cubicBezTo>
                <a:cubicBezTo>
                  <a:pt x="6419144" y="1768743"/>
                  <a:pt x="6434531" y="1784335"/>
                  <a:pt x="6453498" y="1784335"/>
                </a:cubicBezTo>
                <a:cubicBezTo>
                  <a:pt x="6472465" y="1784335"/>
                  <a:pt x="6487838" y="1768743"/>
                  <a:pt x="6487838" y="1749515"/>
                </a:cubicBezTo>
                <a:cubicBezTo>
                  <a:pt x="6487838" y="1730286"/>
                  <a:pt x="6472465" y="1714694"/>
                  <a:pt x="6453498" y="1714694"/>
                </a:cubicBezTo>
                <a:close/>
                <a:moveTo>
                  <a:pt x="6537239" y="1714694"/>
                </a:moveTo>
                <a:cubicBezTo>
                  <a:pt x="6518272" y="1714694"/>
                  <a:pt x="6502886" y="1730286"/>
                  <a:pt x="6502886" y="1749515"/>
                </a:cubicBezTo>
                <a:cubicBezTo>
                  <a:pt x="6502886" y="1768743"/>
                  <a:pt x="6518272" y="1784335"/>
                  <a:pt x="6537239" y="1784335"/>
                </a:cubicBezTo>
                <a:cubicBezTo>
                  <a:pt x="6556206" y="1784335"/>
                  <a:pt x="6571579" y="1768743"/>
                  <a:pt x="6571579" y="1749515"/>
                </a:cubicBezTo>
                <a:cubicBezTo>
                  <a:pt x="6571579" y="1730286"/>
                  <a:pt x="6556206" y="1714694"/>
                  <a:pt x="6537239" y="1714694"/>
                </a:cubicBezTo>
                <a:close/>
                <a:moveTo>
                  <a:pt x="6620980" y="1714694"/>
                </a:moveTo>
                <a:cubicBezTo>
                  <a:pt x="6602013" y="1714694"/>
                  <a:pt x="6586627" y="1730286"/>
                  <a:pt x="6586627" y="1749515"/>
                </a:cubicBezTo>
                <a:cubicBezTo>
                  <a:pt x="6586627" y="1768743"/>
                  <a:pt x="6602013" y="1784335"/>
                  <a:pt x="6620980" y="1784335"/>
                </a:cubicBezTo>
                <a:cubicBezTo>
                  <a:pt x="6639947" y="1784335"/>
                  <a:pt x="6655320" y="1768743"/>
                  <a:pt x="6655320" y="1749515"/>
                </a:cubicBezTo>
                <a:cubicBezTo>
                  <a:pt x="6655320" y="1730286"/>
                  <a:pt x="6639947" y="1714694"/>
                  <a:pt x="6620980" y="1714694"/>
                </a:cubicBezTo>
                <a:close/>
                <a:moveTo>
                  <a:pt x="6704722" y="1714694"/>
                </a:moveTo>
                <a:cubicBezTo>
                  <a:pt x="6685755" y="1714694"/>
                  <a:pt x="6670369" y="1730286"/>
                  <a:pt x="6670369" y="1749515"/>
                </a:cubicBezTo>
                <a:cubicBezTo>
                  <a:pt x="6670369" y="1768743"/>
                  <a:pt x="6685755" y="1784335"/>
                  <a:pt x="6704722" y="1784335"/>
                </a:cubicBezTo>
                <a:cubicBezTo>
                  <a:pt x="6723689" y="1784335"/>
                  <a:pt x="6739063" y="1768743"/>
                  <a:pt x="6739063" y="1749515"/>
                </a:cubicBezTo>
                <a:cubicBezTo>
                  <a:pt x="6739063" y="1730286"/>
                  <a:pt x="6723689" y="1714694"/>
                  <a:pt x="6704722" y="1714694"/>
                </a:cubicBezTo>
                <a:close/>
                <a:moveTo>
                  <a:pt x="6788464" y="1714694"/>
                </a:moveTo>
                <a:cubicBezTo>
                  <a:pt x="6769497" y="1714694"/>
                  <a:pt x="6754110" y="1730286"/>
                  <a:pt x="6754110" y="1749515"/>
                </a:cubicBezTo>
                <a:cubicBezTo>
                  <a:pt x="6754110" y="1768743"/>
                  <a:pt x="6769497" y="1784335"/>
                  <a:pt x="6788464" y="1784335"/>
                </a:cubicBezTo>
                <a:cubicBezTo>
                  <a:pt x="6807431" y="1784335"/>
                  <a:pt x="6822804" y="1768743"/>
                  <a:pt x="6822804" y="1749515"/>
                </a:cubicBezTo>
                <a:cubicBezTo>
                  <a:pt x="6822804" y="1730286"/>
                  <a:pt x="6807431" y="1714694"/>
                  <a:pt x="6788464" y="1714694"/>
                </a:cubicBezTo>
                <a:close/>
                <a:moveTo>
                  <a:pt x="7039688" y="1714694"/>
                </a:moveTo>
                <a:cubicBezTo>
                  <a:pt x="7020721" y="1714694"/>
                  <a:pt x="7005335" y="1730286"/>
                  <a:pt x="7005335" y="1749515"/>
                </a:cubicBezTo>
                <a:cubicBezTo>
                  <a:pt x="7005335" y="1768743"/>
                  <a:pt x="7020721" y="1784335"/>
                  <a:pt x="7039688" y="1784335"/>
                </a:cubicBezTo>
                <a:cubicBezTo>
                  <a:pt x="7058655" y="1784335"/>
                  <a:pt x="7074029" y="1768743"/>
                  <a:pt x="7074029" y="1749515"/>
                </a:cubicBezTo>
                <a:cubicBezTo>
                  <a:pt x="7074029" y="1730286"/>
                  <a:pt x="7058655" y="1714694"/>
                  <a:pt x="7039688" y="1714694"/>
                </a:cubicBezTo>
                <a:close/>
                <a:moveTo>
                  <a:pt x="7123456" y="1714694"/>
                </a:moveTo>
                <a:cubicBezTo>
                  <a:pt x="7104489" y="1714694"/>
                  <a:pt x="7089103" y="1730286"/>
                  <a:pt x="7089103" y="1749515"/>
                </a:cubicBezTo>
                <a:cubicBezTo>
                  <a:pt x="7089103" y="1768743"/>
                  <a:pt x="7104489" y="1784335"/>
                  <a:pt x="7123456" y="1784335"/>
                </a:cubicBezTo>
                <a:cubicBezTo>
                  <a:pt x="7142423" y="1784335"/>
                  <a:pt x="7157796" y="1768743"/>
                  <a:pt x="7157796" y="1749515"/>
                </a:cubicBezTo>
                <a:cubicBezTo>
                  <a:pt x="7157796" y="1730286"/>
                  <a:pt x="7142423" y="1714694"/>
                  <a:pt x="7123456" y="1714694"/>
                </a:cubicBezTo>
                <a:close/>
                <a:moveTo>
                  <a:pt x="7207198" y="1714694"/>
                </a:moveTo>
                <a:cubicBezTo>
                  <a:pt x="7188231" y="1714694"/>
                  <a:pt x="7172845" y="1730286"/>
                  <a:pt x="7172845" y="1749515"/>
                </a:cubicBezTo>
                <a:cubicBezTo>
                  <a:pt x="7172845" y="1768743"/>
                  <a:pt x="7188231" y="1784335"/>
                  <a:pt x="7207198" y="1784335"/>
                </a:cubicBezTo>
                <a:cubicBezTo>
                  <a:pt x="7226165" y="1784335"/>
                  <a:pt x="7241538" y="1768743"/>
                  <a:pt x="7241538" y="1749515"/>
                </a:cubicBezTo>
                <a:cubicBezTo>
                  <a:pt x="7241538" y="1730286"/>
                  <a:pt x="7226165" y="1714694"/>
                  <a:pt x="7207198" y="1714694"/>
                </a:cubicBezTo>
                <a:close/>
                <a:moveTo>
                  <a:pt x="7290939" y="1714694"/>
                </a:moveTo>
                <a:cubicBezTo>
                  <a:pt x="7271972" y="1714694"/>
                  <a:pt x="7256586" y="1730286"/>
                  <a:pt x="7256586" y="1749515"/>
                </a:cubicBezTo>
                <a:cubicBezTo>
                  <a:pt x="7256586" y="1768743"/>
                  <a:pt x="7271972" y="1784335"/>
                  <a:pt x="7290939" y="1784335"/>
                </a:cubicBezTo>
                <a:cubicBezTo>
                  <a:pt x="7309906" y="1784335"/>
                  <a:pt x="7325279" y="1768743"/>
                  <a:pt x="7325279" y="1749515"/>
                </a:cubicBezTo>
                <a:cubicBezTo>
                  <a:pt x="7325279" y="1730286"/>
                  <a:pt x="7309906" y="1714694"/>
                  <a:pt x="7290939" y="1714694"/>
                </a:cubicBezTo>
                <a:close/>
                <a:moveTo>
                  <a:pt x="7374681" y="1714694"/>
                </a:moveTo>
                <a:cubicBezTo>
                  <a:pt x="7355714" y="1714694"/>
                  <a:pt x="7340328" y="1730286"/>
                  <a:pt x="7340328" y="1749515"/>
                </a:cubicBezTo>
                <a:cubicBezTo>
                  <a:pt x="7340328" y="1768743"/>
                  <a:pt x="7355714" y="1784335"/>
                  <a:pt x="7374681" y="1784335"/>
                </a:cubicBezTo>
                <a:cubicBezTo>
                  <a:pt x="7393648" y="1784335"/>
                  <a:pt x="7409022" y="1768743"/>
                  <a:pt x="7409022" y="1749515"/>
                </a:cubicBezTo>
                <a:cubicBezTo>
                  <a:pt x="7409022" y="1730286"/>
                  <a:pt x="7393648" y="1714694"/>
                  <a:pt x="7374681" y="1714694"/>
                </a:cubicBezTo>
                <a:close/>
                <a:moveTo>
                  <a:pt x="7458423" y="1714694"/>
                </a:moveTo>
                <a:cubicBezTo>
                  <a:pt x="7439456" y="1714694"/>
                  <a:pt x="7424070" y="1730286"/>
                  <a:pt x="7424070" y="1749515"/>
                </a:cubicBezTo>
                <a:cubicBezTo>
                  <a:pt x="7424070" y="1768743"/>
                  <a:pt x="7439456" y="1784335"/>
                  <a:pt x="7458423" y="1784335"/>
                </a:cubicBezTo>
                <a:cubicBezTo>
                  <a:pt x="7477390" y="1784335"/>
                  <a:pt x="7492763" y="1768743"/>
                  <a:pt x="7492763" y="1749515"/>
                </a:cubicBezTo>
                <a:cubicBezTo>
                  <a:pt x="7492763" y="1730286"/>
                  <a:pt x="7477390" y="1714694"/>
                  <a:pt x="7458423" y="1714694"/>
                </a:cubicBezTo>
                <a:close/>
                <a:moveTo>
                  <a:pt x="7542164" y="1714694"/>
                </a:moveTo>
                <a:cubicBezTo>
                  <a:pt x="7523197" y="1714694"/>
                  <a:pt x="7507811" y="1730286"/>
                  <a:pt x="7507811" y="1749515"/>
                </a:cubicBezTo>
                <a:cubicBezTo>
                  <a:pt x="7507811" y="1768743"/>
                  <a:pt x="7523197" y="1784335"/>
                  <a:pt x="7542164" y="1784335"/>
                </a:cubicBezTo>
                <a:cubicBezTo>
                  <a:pt x="7561131" y="1784335"/>
                  <a:pt x="7576504" y="1768743"/>
                  <a:pt x="7576504" y="1749515"/>
                </a:cubicBezTo>
                <a:cubicBezTo>
                  <a:pt x="7576504" y="1730286"/>
                  <a:pt x="7561131" y="1714694"/>
                  <a:pt x="7542164" y="1714694"/>
                </a:cubicBezTo>
                <a:close/>
                <a:moveTo>
                  <a:pt x="7625906" y="1714694"/>
                </a:moveTo>
                <a:cubicBezTo>
                  <a:pt x="7606939" y="1714694"/>
                  <a:pt x="7591553" y="1730286"/>
                  <a:pt x="7591553" y="1749515"/>
                </a:cubicBezTo>
                <a:cubicBezTo>
                  <a:pt x="7591553" y="1768743"/>
                  <a:pt x="7606939" y="1784335"/>
                  <a:pt x="7625906" y="1784335"/>
                </a:cubicBezTo>
                <a:cubicBezTo>
                  <a:pt x="7644873" y="1784335"/>
                  <a:pt x="7660246" y="1768743"/>
                  <a:pt x="7660246" y="1749515"/>
                </a:cubicBezTo>
                <a:cubicBezTo>
                  <a:pt x="7660246" y="1730286"/>
                  <a:pt x="7644873" y="1714694"/>
                  <a:pt x="7625906" y="1714694"/>
                </a:cubicBezTo>
                <a:close/>
                <a:moveTo>
                  <a:pt x="7709647" y="1714694"/>
                </a:moveTo>
                <a:cubicBezTo>
                  <a:pt x="7690680" y="1714694"/>
                  <a:pt x="7675294" y="1730286"/>
                  <a:pt x="7675294" y="1749515"/>
                </a:cubicBezTo>
                <a:cubicBezTo>
                  <a:pt x="7675294" y="1768743"/>
                  <a:pt x="7690680" y="1784335"/>
                  <a:pt x="7709647" y="1784335"/>
                </a:cubicBezTo>
                <a:cubicBezTo>
                  <a:pt x="7728614" y="1784335"/>
                  <a:pt x="7743988" y="1768743"/>
                  <a:pt x="7743988" y="1749515"/>
                </a:cubicBezTo>
                <a:cubicBezTo>
                  <a:pt x="7743988" y="1730286"/>
                  <a:pt x="7728614" y="1714694"/>
                  <a:pt x="7709647" y="1714694"/>
                </a:cubicBezTo>
                <a:close/>
                <a:moveTo>
                  <a:pt x="7793389" y="1714694"/>
                </a:moveTo>
                <a:cubicBezTo>
                  <a:pt x="7774422" y="1714694"/>
                  <a:pt x="7759036" y="1730286"/>
                  <a:pt x="7759036" y="1749515"/>
                </a:cubicBezTo>
                <a:cubicBezTo>
                  <a:pt x="7759036" y="1768743"/>
                  <a:pt x="7774422" y="1784335"/>
                  <a:pt x="7793389" y="1784335"/>
                </a:cubicBezTo>
                <a:cubicBezTo>
                  <a:pt x="7812356" y="1784335"/>
                  <a:pt x="7827729" y="1768743"/>
                  <a:pt x="7827729" y="1749515"/>
                </a:cubicBezTo>
                <a:cubicBezTo>
                  <a:pt x="7827729" y="1730286"/>
                  <a:pt x="7812356" y="1714694"/>
                  <a:pt x="7793389" y="1714694"/>
                </a:cubicBezTo>
                <a:close/>
                <a:moveTo>
                  <a:pt x="7877131" y="1714694"/>
                </a:moveTo>
                <a:cubicBezTo>
                  <a:pt x="7858164" y="1714694"/>
                  <a:pt x="7842778" y="1730286"/>
                  <a:pt x="7842778" y="1749515"/>
                </a:cubicBezTo>
                <a:cubicBezTo>
                  <a:pt x="7842778" y="1768743"/>
                  <a:pt x="7858164" y="1784335"/>
                  <a:pt x="7877131" y="1784335"/>
                </a:cubicBezTo>
                <a:cubicBezTo>
                  <a:pt x="7896098" y="1784335"/>
                  <a:pt x="7911471" y="1768743"/>
                  <a:pt x="7911471" y="1749515"/>
                </a:cubicBezTo>
                <a:cubicBezTo>
                  <a:pt x="7911471" y="1730286"/>
                  <a:pt x="7896098" y="1714694"/>
                  <a:pt x="7877131" y="1714694"/>
                </a:cubicBezTo>
                <a:close/>
                <a:moveTo>
                  <a:pt x="7960872" y="1714694"/>
                </a:moveTo>
                <a:cubicBezTo>
                  <a:pt x="7941905" y="1714694"/>
                  <a:pt x="7926519" y="1730286"/>
                  <a:pt x="7926519" y="1749515"/>
                </a:cubicBezTo>
                <a:cubicBezTo>
                  <a:pt x="7926519" y="1768743"/>
                  <a:pt x="7941905" y="1784335"/>
                  <a:pt x="7960872" y="1784335"/>
                </a:cubicBezTo>
                <a:cubicBezTo>
                  <a:pt x="7979839" y="1784335"/>
                  <a:pt x="7995212" y="1768743"/>
                  <a:pt x="7995212" y="1749515"/>
                </a:cubicBezTo>
                <a:cubicBezTo>
                  <a:pt x="7995212" y="1730286"/>
                  <a:pt x="7979839" y="1714694"/>
                  <a:pt x="7960872" y="1714694"/>
                </a:cubicBezTo>
                <a:close/>
                <a:moveTo>
                  <a:pt x="8044614" y="1714694"/>
                </a:moveTo>
                <a:cubicBezTo>
                  <a:pt x="8025647" y="1714694"/>
                  <a:pt x="8010261" y="1730286"/>
                  <a:pt x="8010261" y="1749515"/>
                </a:cubicBezTo>
                <a:cubicBezTo>
                  <a:pt x="8010261" y="1768743"/>
                  <a:pt x="8025647" y="1784335"/>
                  <a:pt x="8044614" y="1784335"/>
                </a:cubicBezTo>
                <a:cubicBezTo>
                  <a:pt x="8063581" y="1784335"/>
                  <a:pt x="8078955" y="1768743"/>
                  <a:pt x="8078955" y="1749515"/>
                </a:cubicBezTo>
                <a:cubicBezTo>
                  <a:pt x="8078955" y="1730286"/>
                  <a:pt x="8063581" y="1714694"/>
                  <a:pt x="8044614" y="1714694"/>
                </a:cubicBezTo>
                <a:close/>
                <a:moveTo>
                  <a:pt x="8128356" y="1714694"/>
                </a:moveTo>
                <a:cubicBezTo>
                  <a:pt x="8109389" y="1714694"/>
                  <a:pt x="8094003" y="1730286"/>
                  <a:pt x="8094003" y="1749515"/>
                </a:cubicBezTo>
                <a:cubicBezTo>
                  <a:pt x="8094003" y="1768743"/>
                  <a:pt x="8109389" y="1784335"/>
                  <a:pt x="8128356" y="1784335"/>
                </a:cubicBezTo>
                <a:cubicBezTo>
                  <a:pt x="8147323" y="1784335"/>
                  <a:pt x="8162696" y="1768743"/>
                  <a:pt x="8162696" y="1749515"/>
                </a:cubicBezTo>
                <a:cubicBezTo>
                  <a:pt x="8162696" y="1730286"/>
                  <a:pt x="8147323" y="1714694"/>
                  <a:pt x="8128356" y="1714694"/>
                </a:cubicBezTo>
                <a:close/>
                <a:moveTo>
                  <a:pt x="8212097" y="1714694"/>
                </a:moveTo>
                <a:cubicBezTo>
                  <a:pt x="8193130" y="1714694"/>
                  <a:pt x="8177744" y="1730286"/>
                  <a:pt x="8177744" y="1749515"/>
                </a:cubicBezTo>
                <a:cubicBezTo>
                  <a:pt x="8177744" y="1768743"/>
                  <a:pt x="8193130" y="1784335"/>
                  <a:pt x="8212097" y="1784335"/>
                </a:cubicBezTo>
                <a:cubicBezTo>
                  <a:pt x="8231064" y="1784335"/>
                  <a:pt x="8246437" y="1768743"/>
                  <a:pt x="8246437" y="1749515"/>
                </a:cubicBezTo>
                <a:cubicBezTo>
                  <a:pt x="8246437" y="1730286"/>
                  <a:pt x="8231064" y="1714694"/>
                  <a:pt x="8212097" y="1714694"/>
                </a:cubicBezTo>
                <a:close/>
                <a:moveTo>
                  <a:pt x="8295839" y="1714694"/>
                </a:moveTo>
                <a:cubicBezTo>
                  <a:pt x="8276872" y="1714694"/>
                  <a:pt x="8261486" y="1730286"/>
                  <a:pt x="8261486" y="1749515"/>
                </a:cubicBezTo>
                <a:cubicBezTo>
                  <a:pt x="8261486" y="1768743"/>
                  <a:pt x="8276872" y="1784335"/>
                  <a:pt x="8295839" y="1784335"/>
                </a:cubicBezTo>
                <a:cubicBezTo>
                  <a:pt x="8314806" y="1784335"/>
                  <a:pt x="8330179" y="1768743"/>
                  <a:pt x="8330179" y="1749515"/>
                </a:cubicBezTo>
                <a:cubicBezTo>
                  <a:pt x="8330179" y="1730286"/>
                  <a:pt x="8314806" y="1714694"/>
                  <a:pt x="8295839" y="1714694"/>
                </a:cubicBezTo>
                <a:close/>
                <a:moveTo>
                  <a:pt x="8379580" y="1714694"/>
                </a:moveTo>
                <a:cubicBezTo>
                  <a:pt x="8360613" y="1714694"/>
                  <a:pt x="8345227" y="1730286"/>
                  <a:pt x="8345227" y="1749515"/>
                </a:cubicBezTo>
                <a:cubicBezTo>
                  <a:pt x="8345227" y="1768743"/>
                  <a:pt x="8360613" y="1784335"/>
                  <a:pt x="8379580" y="1784335"/>
                </a:cubicBezTo>
                <a:cubicBezTo>
                  <a:pt x="8398547" y="1784335"/>
                  <a:pt x="8413921" y="1768743"/>
                  <a:pt x="8413921" y="1749515"/>
                </a:cubicBezTo>
                <a:cubicBezTo>
                  <a:pt x="8413921" y="1730286"/>
                  <a:pt x="8398547" y="1714694"/>
                  <a:pt x="8379580" y="1714694"/>
                </a:cubicBezTo>
                <a:close/>
                <a:moveTo>
                  <a:pt x="8463323" y="1714694"/>
                </a:moveTo>
                <a:cubicBezTo>
                  <a:pt x="8444356" y="1714694"/>
                  <a:pt x="8428970" y="1730286"/>
                  <a:pt x="8428970" y="1749515"/>
                </a:cubicBezTo>
                <a:cubicBezTo>
                  <a:pt x="8428970" y="1768743"/>
                  <a:pt x="8444356" y="1784335"/>
                  <a:pt x="8463323" y="1784335"/>
                </a:cubicBezTo>
                <a:cubicBezTo>
                  <a:pt x="8482290" y="1784335"/>
                  <a:pt x="8497663" y="1768743"/>
                  <a:pt x="8497663" y="1749515"/>
                </a:cubicBezTo>
                <a:cubicBezTo>
                  <a:pt x="8497663" y="1730286"/>
                  <a:pt x="8482290" y="1714694"/>
                  <a:pt x="8463323" y="1714694"/>
                </a:cubicBezTo>
                <a:close/>
                <a:moveTo>
                  <a:pt x="8547064" y="1714694"/>
                </a:moveTo>
                <a:cubicBezTo>
                  <a:pt x="8528097" y="1714694"/>
                  <a:pt x="8512711" y="1730286"/>
                  <a:pt x="8512711" y="1749515"/>
                </a:cubicBezTo>
                <a:cubicBezTo>
                  <a:pt x="8512711" y="1768743"/>
                  <a:pt x="8528097" y="1784335"/>
                  <a:pt x="8547064" y="1784335"/>
                </a:cubicBezTo>
                <a:cubicBezTo>
                  <a:pt x="8566031" y="1784335"/>
                  <a:pt x="8581404" y="1768743"/>
                  <a:pt x="8581404" y="1749515"/>
                </a:cubicBezTo>
                <a:cubicBezTo>
                  <a:pt x="8581404" y="1730286"/>
                  <a:pt x="8566031" y="1714694"/>
                  <a:pt x="8547064" y="1714694"/>
                </a:cubicBezTo>
                <a:close/>
                <a:moveTo>
                  <a:pt x="8630805" y="1714694"/>
                </a:moveTo>
                <a:cubicBezTo>
                  <a:pt x="8611838" y="1714694"/>
                  <a:pt x="8596452" y="1730286"/>
                  <a:pt x="8596452" y="1749515"/>
                </a:cubicBezTo>
                <a:cubicBezTo>
                  <a:pt x="8596452" y="1768743"/>
                  <a:pt x="8611838" y="1784335"/>
                  <a:pt x="8630805" y="1784335"/>
                </a:cubicBezTo>
                <a:cubicBezTo>
                  <a:pt x="8649772" y="1784335"/>
                  <a:pt x="8665145" y="1768743"/>
                  <a:pt x="8665145" y="1749515"/>
                </a:cubicBezTo>
                <a:cubicBezTo>
                  <a:pt x="8665145" y="1730286"/>
                  <a:pt x="8649772" y="1714694"/>
                  <a:pt x="8630805" y="1714694"/>
                </a:cubicBezTo>
                <a:close/>
                <a:moveTo>
                  <a:pt x="8714547" y="1714694"/>
                </a:moveTo>
                <a:cubicBezTo>
                  <a:pt x="8695580" y="1714694"/>
                  <a:pt x="8680194" y="1730286"/>
                  <a:pt x="8680194" y="1749515"/>
                </a:cubicBezTo>
                <a:cubicBezTo>
                  <a:pt x="8680194" y="1768743"/>
                  <a:pt x="8695580" y="1784335"/>
                  <a:pt x="8714547" y="1784335"/>
                </a:cubicBezTo>
                <a:cubicBezTo>
                  <a:pt x="8733514" y="1784335"/>
                  <a:pt x="8748888" y="1768743"/>
                  <a:pt x="8748888" y="1749515"/>
                </a:cubicBezTo>
                <a:cubicBezTo>
                  <a:pt x="8748888" y="1730286"/>
                  <a:pt x="8733514" y="1714694"/>
                  <a:pt x="8714547" y="1714694"/>
                </a:cubicBezTo>
                <a:close/>
                <a:moveTo>
                  <a:pt x="8798289" y="1714694"/>
                </a:moveTo>
                <a:cubicBezTo>
                  <a:pt x="8779322" y="1714694"/>
                  <a:pt x="8763936" y="1730286"/>
                  <a:pt x="8763936" y="1749515"/>
                </a:cubicBezTo>
                <a:cubicBezTo>
                  <a:pt x="8763936" y="1768743"/>
                  <a:pt x="8779322" y="1784335"/>
                  <a:pt x="8798289" y="1784335"/>
                </a:cubicBezTo>
                <a:cubicBezTo>
                  <a:pt x="8817256" y="1784335"/>
                  <a:pt x="8832629" y="1768743"/>
                  <a:pt x="8832629" y="1749515"/>
                </a:cubicBezTo>
                <a:cubicBezTo>
                  <a:pt x="8832629" y="1730286"/>
                  <a:pt x="8817256" y="1714694"/>
                  <a:pt x="8798289" y="1714694"/>
                </a:cubicBezTo>
                <a:close/>
                <a:moveTo>
                  <a:pt x="8882030" y="1714694"/>
                </a:moveTo>
                <a:cubicBezTo>
                  <a:pt x="8863063" y="1714694"/>
                  <a:pt x="8847677" y="1730286"/>
                  <a:pt x="8847677" y="1749515"/>
                </a:cubicBezTo>
                <a:cubicBezTo>
                  <a:pt x="8847677" y="1768743"/>
                  <a:pt x="8863063" y="1784335"/>
                  <a:pt x="8882030" y="1784335"/>
                </a:cubicBezTo>
                <a:cubicBezTo>
                  <a:pt x="8900997" y="1784335"/>
                  <a:pt x="8916370" y="1768743"/>
                  <a:pt x="8916370" y="1749515"/>
                </a:cubicBezTo>
                <a:cubicBezTo>
                  <a:pt x="8916370" y="1730286"/>
                  <a:pt x="8900997" y="1714694"/>
                  <a:pt x="8882030" y="1714694"/>
                </a:cubicBezTo>
                <a:close/>
                <a:moveTo>
                  <a:pt x="8965772" y="1714694"/>
                </a:moveTo>
                <a:cubicBezTo>
                  <a:pt x="8946805" y="1714694"/>
                  <a:pt x="8931419" y="1730286"/>
                  <a:pt x="8931419" y="1749515"/>
                </a:cubicBezTo>
                <a:cubicBezTo>
                  <a:pt x="8931419" y="1768743"/>
                  <a:pt x="8946805" y="1784335"/>
                  <a:pt x="8965772" y="1784335"/>
                </a:cubicBezTo>
                <a:cubicBezTo>
                  <a:pt x="8984739" y="1784335"/>
                  <a:pt x="9000112" y="1768743"/>
                  <a:pt x="9000112" y="1749515"/>
                </a:cubicBezTo>
                <a:cubicBezTo>
                  <a:pt x="9000112" y="1730286"/>
                  <a:pt x="8984739" y="1714694"/>
                  <a:pt x="8965772" y="1714694"/>
                </a:cubicBezTo>
                <a:close/>
                <a:moveTo>
                  <a:pt x="9049513" y="1714694"/>
                </a:moveTo>
                <a:cubicBezTo>
                  <a:pt x="9030546" y="1714694"/>
                  <a:pt x="9015160" y="1730286"/>
                  <a:pt x="9015160" y="1749515"/>
                </a:cubicBezTo>
                <a:cubicBezTo>
                  <a:pt x="9015160" y="1768743"/>
                  <a:pt x="9030546" y="1784335"/>
                  <a:pt x="9049513" y="1784335"/>
                </a:cubicBezTo>
                <a:cubicBezTo>
                  <a:pt x="9068480" y="1784335"/>
                  <a:pt x="9083854" y="1768743"/>
                  <a:pt x="9083854" y="1749515"/>
                </a:cubicBezTo>
                <a:cubicBezTo>
                  <a:pt x="9083854" y="1730286"/>
                  <a:pt x="9068480" y="1714694"/>
                  <a:pt x="9049513" y="1714694"/>
                </a:cubicBezTo>
                <a:close/>
                <a:moveTo>
                  <a:pt x="9133256" y="1714694"/>
                </a:moveTo>
                <a:cubicBezTo>
                  <a:pt x="9114289" y="1714694"/>
                  <a:pt x="9098903" y="1730286"/>
                  <a:pt x="9098903" y="1749515"/>
                </a:cubicBezTo>
                <a:cubicBezTo>
                  <a:pt x="9098903" y="1768743"/>
                  <a:pt x="9114289" y="1784335"/>
                  <a:pt x="9133256" y="1784335"/>
                </a:cubicBezTo>
                <a:cubicBezTo>
                  <a:pt x="9152223" y="1784335"/>
                  <a:pt x="9167596" y="1768743"/>
                  <a:pt x="9167596" y="1749515"/>
                </a:cubicBezTo>
                <a:cubicBezTo>
                  <a:pt x="9167596" y="1730286"/>
                  <a:pt x="9152223" y="1714694"/>
                  <a:pt x="9133256" y="1714694"/>
                </a:cubicBezTo>
                <a:close/>
                <a:moveTo>
                  <a:pt x="9216997" y="1714694"/>
                </a:moveTo>
                <a:cubicBezTo>
                  <a:pt x="9198030" y="1714694"/>
                  <a:pt x="9182644" y="1730286"/>
                  <a:pt x="9182644" y="1749515"/>
                </a:cubicBezTo>
                <a:cubicBezTo>
                  <a:pt x="9182644" y="1768743"/>
                  <a:pt x="9198030" y="1784335"/>
                  <a:pt x="9216997" y="1784335"/>
                </a:cubicBezTo>
                <a:cubicBezTo>
                  <a:pt x="9235964" y="1784335"/>
                  <a:pt x="9251337" y="1768743"/>
                  <a:pt x="9251337" y="1749515"/>
                </a:cubicBezTo>
                <a:cubicBezTo>
                  <a:pt x="9251337" y="1730286"/>
                  <a:pt x="9235964" y="1714694"/>
                  <a:pt x="9216997" y="1714694"/>
                </a:cubicBezTo>
                <a:close/>
                <a:moveTo>
                  <a:pt x="9300738" y="1714694"/>
                </a:moveTo>
                <a:cubicBezTo>
                  <a:pt x="9281771" y="1714694"/>
                  <a:pt x="9266385" y="1730286"/>
                  <a:pt x="9266385" y="1749515"/>
                </a:cubicBezTo>
                <a:cubicBezTo>
                  <a:pt x="9266385" y="1768743"/>
                  <a:pt x="9281771" y="1784335"/>
                  <a:pt x="9300738" y="1784335"/>
                </a:cubicBezTo>
                <a:cubicBezTo>
                  <a:pt x="9319705" y="1784335"/>
                  <a:pt x="9335078" y="1768743"/>
                  <a:pt x="9335078" y="1749515"/>
                </a:cubicBezTo>
                <a:cubicBezTo>
                  <a:pt x="9335078" y="1730286"/>
                  <a:pt x="9319705" y="1714694"/>
                  <a:pt x="9300738" y="1714694"/>
                </a:cubicBezTo>
                <a:close/>
                <a:moveTo>
                  <a:pt x="9384480" y="1714694"/>
                </a:moveTo>
                <a:cubicBezTo>
                  <a:pt x="9365513" y="1714694"/>
                  <a:pt x="9350127" y="1730286"/>
                  <a:pt x="9350127" y="1749515"/>
                </a:cubicBezTo>
                <a:cubicBezTo>
                  <a:pt x="9350127" y="1768743"/>
                  <a:pt x="9365513" y="1784335"/>
                  <a:pt x="9384480" y="1784335"/>
                </a:cubicBezTo>
                <a:cubicBezTo>
                  <a:pt x="9403447" y="1784335"/>
                  <a:pt x="9418821" y="1768743"/>
                  <a:pt x="9418821" y="1749515"/>
                </a:cubicBezTo>
                <a:cubicBezTo>
                  <a:pt x="9418821" y="1730286"/>
                  <a:pt x="9403447" y="1714694"/>
                  <a:pt x="9384480" y="1714694"/>
                </a:cubicBezTo>
                <a:close/>
                <a:moveTo>
                  <a:pt x="9468222" y="1714694"/>
                </a:moveTo>
                <a:cubicBezTo>
                  <a:pt x="9449255" y="1714694"/>
                  <a:pt x="9433869" y="1730286"/>
                  <a:pt x="9433869" y="1749515"/>
                </a:cubicBezTo>
                <a:cubicBezTo>
                  <a:pt x="9433869" y="1768743"/>
                  <a:pt x="9449255" y="1784335"/>
                  <a:pt x="9468222" y="1784335"/>
                </a:cubicBezTo>
                <a:cubicBezTo>
                  <a:pt x="9487189" y="1784335"/>
                  <a:pt x="9502562" y="1768743"/>
                  <a:pt x="9502562" y="1749515"/>
                </a:cubicBezTo>
                <a:cubicBezTo>
                  <a:pt x="9502562" y="1730286"/>
                  <a:pt x="9487189" y="1714694"/>
                  <a:pt x="9468222" y="1714694"/>
                </a:cubicBezTo>
                <a:close/>
                <a:moveTo>
                  <a:pt x="9551963" y="1714694"/>
                </a:moveTo>
                <a:cubicBezTo>
                  <a:pt x="9532996" y="1714694"/>
                  <a:pt x="9517610" y="1730286"/>
                  <a:pt x="9517610" y="1749515"/>
                </a:cubicBezTo>
                <a:cubicBezTo>
                  <a:pt x="9517610" y="1768743"/>
                  <a:pt x="9532996" y="1784335"/>
                  <a:pt x="9551963" y="1784335"/>
                </a:cubicBezTo>
                <a:cubicBezTo>
                  <a:pt x="9570930" y="1784335"/>
                  <a:pt x="9586303" y="1768743"/>
                  <a:pt x="9586303" y="1749515"/>
                </a:cubicBezTo>
                <a:cubicBezTo>
                  <a:pt x="9586303" y="1730286"/>
                  <a:pt x="9570930" y="1714694"/>
                  <a:pt x="9551963" y="1714694"/>
                </a:cubicBezTo>
                <a:close/>
                <a:moveTo>
                  <a:pt x="9635705" y="1714694"/>
                </a:moveTo>
                <a:cubicBezTo>
                  <a:pt x="9616738" y="1714694"/>
                  <a:pt x="9601352" y="1730286"/>
                  <a:pt x="9601352" y="1749515"/>
                </a:cubicBezTo>
                <a:cubicBezTo>
                  <a:pt x="9601352" y="1768743"/>
                  <a:pt x="9616738" y="1784335"/>
                  <a:pt x="9635705" y="1784335"/>
                </a:cubicBezTo>
                <a:cubicBezTo>
                  <a:pt x="9654672" y="1784335"/>
                  <a:pt x="9670045" y="1768743"/>
                  <a:pt x="9670045" y="1749515"/>
                </a:cubicBezTo>
                <a:cubicBezTo>
                  <a:pt x="9670045" y="1730286"/>
                  <a:pt x="9654672" y="1714694"/>
                  <a:pt x="9635705" y="1714694"/>
                </a:cubicBezTo>
                <a:close/>
                <a:moveTo>
                  <a:pt x="9719446" y="1714694"/>
                </a:moveTo>
                <a:cubicBezTo>
                  <a:pt x="9700479" y="1714694"/>
                  <a:pt x="9685093" y="1730286"/>
                  <a:pt x="9685093" y="1749515"/>
                </a:cubicBezTo>
                <a:cubicBezTo>
                  <a:pt x="9685093" y="1768743"/>
                  <a:pt x="9700479" y="1784335"/>
                  <a:pt x="9719446" y="1784335"/>
                </a:cubicBezTo>
                <a:cubicBezTo>
                  <a:pt x="9738413" y="1784335"/>
                  <a:pt x="9753787" y="1768743"/>
                  <a:pt x="9753787" y="1749515"/>
                </a:cubicBezTo>
                <a:cubicBezTo>
                  <a:pt x="9753787" y="1730286"/>
                  <a:pt x="9738413" y="1714694"/>
                  <a:pt x="9719446" y="1714694"/>
                </a:cubicBezTo>
                <a:close/>
                <a:moveTo>
                  <a:pt x="10221896" y="1714694"/>
                </a:moveTo>
                <a:cubicBezTo>
                  <a:pt x="10202929" y="1714694"/>
                  <a:pt x="10187543" y="1730286"/>
                  <a:pt x="10187543" y="1749515"/>
                </a:cubicBezTo>
                <a:cubicBezTo>
                  <a:pt x="10187543" y="1768743"/>
                  <a:pt x="10202929" y="1784335"/>
                  <a:pt x="10221896" y="1784335"/>
                </a:cubicBezTo>
                <a:cubicBezTo>
                  <a:pt x="10240863" y="1784335"/>
                  <a:pt x="10256236" y="1768743"/>
                  <a:pt x="10256236" y="1749515"/>
                </a:cubicBezTo>
                <a:cubicBezTo>
                  <a:pt x="10256236" y="1730286"/>
                  <a:pt x="10240863" y="1714694"/>
                  <a:pt x="10221896" y="1714694"/>
                </a:cubicBezTo>
                <a:close/>
                <a:moveTo>
                  <a:pt x="10305638" y="1714694"/>
                </a:moveTo>
                <a:cubicBezTo>
                  <a:pt x="10286671" y="1714694"/>
                  <a:pt x="10271285" y="1730286"/>
                  <a:pt x="10271285" y="1749515"/>
                </a:cubicBezTo>
                <a:cubicBezTo>
                  <a:pt x="10271285" y="1768743"/>
                  <a:pt x="10286671" y="1784335"/>
                  <a:pt x="10305638" y="1784335"/>
                </a:cubicBezTo>
                <a:cubicBezTo>
                  <a:pt x="10324605" y="1784335"/>
                  <a:pt x="10339978" y="1768743"/>
                  <a:pt x="10339978" y="1749515"/>
                </a:cubicBezTo>
                <a:cubicBezTo>
                  <a:pt x="10339978" y="1730286"/>
                  <a:pt x="10324605" y="1714694"/>
                  <a:pt x="10305638" y="1714694"/>
                </a:cubicBezTo>
                <a:close/>
                <a:moveTo>
                  <a:pt x="1428993" y="1799558"/>
                </a:moveTo>
                <a:cubicBezTo>
                  <a:pt x="1410026" y="1799558"/>
                  <a:pt x="1394646" y="1815150"/>
                  <a:pt x="1394646" y="1834378"/>
                </a:cubicBezTo>
                <a:cubicBezTo>
                  <a:pt x="1394646" y="1853607"/>
                  <a:pt x="1410026" y="1869199"/>
                  <a:pt x="1428993" y="1869199"/>
                </a:cubicBezTo>
                <a:cubicBezTo>
                  <a:pt x="1447960" y="1869199"/>
                  <a:pt x="1463340" y="1853607"/>
                  <a:pt x="1463340" y="1834378"/>
                </a:cubicBezTo>
                <a:cubicBezTo>
                  <a:pt x="1463340" y="1815150"/>
                  <a:pt x="1447960" y="1799558"/>
                  <a:pt x="1428993" y="1799558"/>
                </a:cubicBezTo>
                <a:close/>
                <a:moveTo>
                  <a:pt x="1512741" y="1799558"/>
                </a:moveTo>
                <a:cubicBezTo>
                  <a:pt x="1493774" y="1799558"/>
                  <a:pt x="1478395" y="1815150"/>
                  <a:pt x="1478395" y="1834378"/>
                </a:cubicBezTo>
                <a:cubicBezTo>
                  <a:pt x="1478395" y="1853607"/>
                  <a:pt x="1493774" y="1869199"/>
                  <a:pt x="1512741" y="1869199"/>
                </a:cubicBezTo>
                <a:cubicBezTo>
                  <a:pt x="1531708" y="1869199"/>
                  <a:pt x="1547088" y="1853607"/>
                  <a:pt x="1547088" y="1834378"/>
                </a:cubicBezTo>
                <a:cubicBezTo>
                  <a:pt x="1547088" y="1815150"/>
                  <a:pt x="1531708" y="1799558"/>
                  <a:pt x="1512741" y="1799558"/>
                </a:cubicBezTo>
                <a:close/>
                <a:moveTo>
                  <a:pt x="2182674" y="1799558"/>
                </a:moveTo>
                <a:cubicBezTo>
                  <a:pt x="2163707" y="1799558"/>
                  <a:pt x="2148328" y="1815150"/>
                  <a:pt x="2148328" y="1834378"/>
                </a:cubicBezTo>
                <a:cubicBezTo>
                  <a:pt x="2148328" y="1853607"/>
                  <a:pt x="2163707" y="1869199"/>
                  <a:pt x="2182674" y="1869199"/>
                </a:cubicBezTo>
                <a:cubicBezTo>
                  <a:pt x="2201641" y="1869199"/>
                  <a:pt x="2217021" y="1853607"/>
                  <a:pt x="2217021" y="1834378"/>
                </a:cubicBezTo>
                <a:cubicBezTo>
                  <a:pt x="2217021" y="1815150"/>
                  <a:pt x="2201641" y="1799558"/>
                  <a:pt x="2182674" y="1799558"/>
                </a:cubicBezTo>
                <a:close/>
                <a:moveTo>
                  <a:pt x="2266416" y="1799558"/>
                </a:moveTo>
                <a:cubicBezTo>
                  <a:pt x="2247449" y="1799558"/>
                  <a:pt x="2232069" y="1815150"/>
                  <a:pt x="2232069" y="1834378"/>
                </a:cubicBezTo>
                <a:cubicBezTo>
                  <a:pt x="2232069" y="1853607"/>
                  <a:pt x="2247449" y="1869199"/>
                  <a:pt x="2266416" y="1869199"/>
                </a:cubicBezTo>
                <a:cubicBezTo>
                  <a:pt x="2285383" y="1869199"/>
                  <a:pt x="2300762" y="1853607"/>
                  <a:pt x="2300762" y="1834378"/>
                </a:cubicBezTo>
                <a:cubicBezTo>
                  <a:pt x="2300762" y="1815150"/>
                  <a:pt x="2285383" y="1799558"/>
                  <a:pt x="2266416" y="1799558"/>
                </a:cubicBezTo>
                <a:close/>
                <a:moveTo>
                  <a:pt x="2350151" y="1799558"/>
                </a:moveTo>
                <a:cubicBezTo>
                  <a:pt x="2331184" y="1799558"/>
                  <a:pt x="2315804" y="1815150"/>
                  <a:pt x="2315804" y="1834378"/>
                </a:cubicBezTo>
                <a:cubicBezTo>
                  <a:pt x="2315804" y="1853607"/>
                  <a:pt x="2331184" y="1869199"/>
                  <a:pt x="2350151" y="1869199"/>
                </a:cubicBezTo>
                <a:cubicBezTo>
                  <a:pt x="2369118" y="1869199"/>
                  <a:pt x="2384498" y="1853607"/>
                  <a:pt x="2384498" y="1834378"/>
                </a:cubicBezTo>
                <a:cubicBezTo>
                  <a:pt x="2384498" y="1815150"/>
                  <a:pt x="2369118" y="1799558"/>
                  <a:pt x="2350151" y="1799558"/>
                </a:cubicBezTo>
                <a:close/>
                <a:moveTo>
                  <a:pt x="2433893" y="1799558"/>
                </a:moveTo>
                <a:cubicBezTo>
                  <a:pt x="2414926" y="1799558"/>
                  <a:pt x="2399546" y="1815150"/>
                  <a:pt x="2399546" y="1834378"/>
                </a:cubicBezTo>
                <a:cubicBezTo>
                  <a:pt x="2399546" y="1853607"/>
                  <a:pt x="2414926" y="1869199"/>
                  <a:pt x="2433893" y="1869199"/>
                </a:cubicBezTo>
                <a:cubicBezTo>
                  <a:pt x="2452860" y="1869199"/>
                  <a:pt x="2468240" y="1853607"/>
                  <a:pt x="2468240" y="1834378"/>
                </a:cubicBezTo>
                <a:cubicBezTo>
                  <a:pt x="2468240" y="1815150"/>
                  <a:pt x="2452860" y="1799558"/>
                  <a:pt x="2433893" y="1799558"/>
                </a:cubicBezTo>
                <a:close/>
                <a:moveTo>
                  <a:pt x="2517634" y="1799558"/>
                </a:moveTo>
                <a:cubicBezTo>
                  <a:pt x="2498667" y="1799558"/>
                  <a:pt x="2483288" y="1815150"/>
                  <a:pt x="2483288" y="1834378"/>
                </a:cubicBezTo>
                <a:cubicBezTo>
                  <a:pt x="2483288" y="1853607"/>
                  <a:pt x="2498667" y="1869199"/>
                  <a:pt x="2517634" y="1869199"/>
                </a:cubicBezTo>
                <a:cubicBezTo>
                  <a:pt x="2536601" y="1869199"/>
                  <a:pt x="2551981" y="1853607"/>
                  <a:pt x="2551981" y="1834378"/>
                </a:cubicBezTo>
                <a:cubicBezTo>
                  <a:pt x="2551981" y="1815150"/>
                  <a:pt x="2536601" y="1799558"/>
                  <a:pt x="2517634" y="1799558"/>
                </a:cubicBezTo>
                <a:close/>
                <a:moveTo>
                  <a:pt x="2601376" y="1799558"/>
                </a:moveTo>
                <a:cubicBezTo>
                  <a:pt x="2582409" y="1799558"/>
                  <a:pt x="2567029" y="1815150"/>
                  <a:pt x="2567029" y="1834378"/>
                </a:cubicBezTo>
                <a:cubicBezTo>
                  <a:pt x="2567029" y="1853607"/>
                  <a:pt x="2582409" y="1869199"/>
                  <a:pt x="2601376" y="1869199"/>
                </a:cubicBezTo>
                <a:cubicBezTo>
                  <a:pt x="2620343" y="1869199"/>
                  <a:pt x="2635722" y="1853607"/>
                  <a:pt x="2635722" y="1834378"/>
                </a:cubicBezTo>
                <a:cubicBezTo>
                  <a:pt x="2635722" y="1815150"/>
                  <a:pt x="2620343" y="1799558"/>
                  <a:pt x="2601376" y="1799558"/>
                </a:cubicBezTo>
                <a:close/>
                <a:moveTo>
                  <a:pt x="2685118" y="1799558"/>
                </a:moveTo>
                <a:cubicBezTo>
                  <a:pt x="2666151" y="1799558"/>
                  <a:pt x="2650771" y="1815150"/>
                  <a:pt x="2650771" y="1834378"/>
                </a:cubicBezTo>
                <a:cubicBezTo>
                  <a:pt x="2650771" y="1853607"/>
                  <a:pt x="2666151" y="1869199"/>
                  <a:pt x="2685118" y="1869199"/>
                </a:cubicBezTo>
                <a:cubicBezTo>
                  <a:pt x="2704085" y="1869199"/>
                  <a:pt x="2719465" y="1853607"/>
                  <a:pt x="2719465" y="1834378"/>
                </a:cubicBezTo>
                <a:cubicBezTo>
                  <a:pt x="2719465" y="1815150"/>
                  <a:pt x="2704085" y="1799558"/>
                  <a:pt x="2685118" y="1799558"/>
                </a:cubicBezTo>
                <a:close/>
                <a:moveTo>
                  <a:pt x="2852600" y="1799558"/>
                </a:moveTo>
                <a:cubicBezTo>
                  <a:pt x="2833633" y="1799558"/>
                  <a:pt x="2818254" y="1815150"/>
                  <a:pt x="2818254" y="1834378"/>
                </a:cubicBezTo>
                <a:cubicBezTo>
                  <a:pt x="2818254" y="1853607"/>
                  <a:pt x="2833633" y="1869199"/>
                  <a:pt x="2852600" y="1869199"/>
                </a:cubicBezTo>
                <a:cubicBezTo>
                  <a:pt x="2871567" y="1869199"/>
                  <a:pt x="2886947" y="1853607"/>
                  <a:pt x="2886947" y="1834378"/>
                </a:cubicBezTo>
                <a:cubicBezTo>
                  <a:pt x="2886947" y="1815150"/>
                  <a:pt x="2871567" y="1799558"/>
                  <a:pt x="2852600" y="1799558"/>
                </a:cubicBezTo>
                <a:close/>
                <a:moveTo>
                  <a:pt x="2936343" y="1799558"/>
                </a:moveTo>
                <a:cubicBezTo>
                  <a:pt x="2917376" y="1799558"/>
                  <a:pt x="2901996" y="1815150"/>
                  <a:pt x="2901996" y="1834378"/>
                </a:cubicBezTo>
                <a:cubicBezTo>
                  <a:pt x="2901996" y="1853607"/>
                  <a:pt x="2917376" y="1869199"/>
                  <a:pt x="2936343" y="1869199"/>
                </a:cubicBezTo>
                <a:cubicBezTo>
                  <a:pt x="2955310" y="1869199"/>
                  <a:pt x="2970689" y="1853607"/>
                  <a:pt x="2970689" y="1834378"/>
                </a:cubicBezTo>
                <a:cubicBezTo>
                  <a:pt x="2970689" y="1815150"/>
                  <a:pt x="2955310" y="1799558"/>
                  <a:pt x="2936343" y="1799558"/>
                </a:cubicBezTo>
                <a:close/>
                <a:moveTo>
                  <a:pt x="3020084" y="1799558"/>
                </a:moveTo>
                <a:cubicBezTo>
                  <a:pt x="3001117" y="1799558"/>
                  <a:pt x="2985737" y="1815150"/>
                  <a:pt x="2985737" y="1834378"/>
                </a:cubicBezTo>
                <a:cubicBezTo>
                  <a:pt x="2985737" y="1853607"/>
                  <a:pt x="3001117" y="1869199"/>
                  <a:pt x="3020084" y="1869199"/>
                </a:cubicBezTo>
                <a:cubicBezTo>
                  <a:pt x="3039051" y="1869199"/>
                  <a:pt x="3054431" y="1853607"/>
                  <a:pt x="3054431" y="1834378"/>
                </a:cubicBezTo>
                <a:cubicBezTo>
                  <a:pt x="3054431" y="1815150"/>
                  <a:pt x="3039051" y="1799558"/>
                  <a:pt x="3020084" y="1799558"/>
                </a:cubicBezTo>
                <a:close/>
                <a:moveTo>
                  <a:pt x="3103826" y="1799558"/>
                </a:moveTo>
                <a:cubicBezTo>
                  <a:pt x="3084859" y="1799558"/>
                  <a:pt x="3069479" y="1815150"/>
                  <a:pt x="3069479" y="1834378"/>
                </a:cubicBezTo>
                <a:cubicBezTo>
                  <a:pt x="3069479" y="1853607"/>
                  <a:pt x="3084859" y="1869199"/>
                  <a:pt x="3103826" y="1869199"/>
                </a:cubicBezTo>
                <a:cubicBezTo>
                  <a:pt x="3122793" y="1869199"/>
                  <a:pt x="3138173" y="1853607"/>
                  <a:pt x="3138173" y="1834378"/>
                </a:cubicBezTo>
                <a:cubicBezTo>
                  <a:pt x="3138173" y="1815150"/>
                  <a:pt x="3122793" y="1799558"/>
                  <a:pt x="3103826" y="1799558"/>
                </a:cubicBezTo>
                <a:close/>
                <a:moveTo>
                  <a:pt x="3187567" y="1799558"/>
                </a:moveTo>
                <a:cubicBezTo>
                  <a:pt x="3168600" y="1799558"/>
                  <a:pt x="3153221" y="1815150"/>
                  <a:pt x="3153221" y="1834378"/>
                </a:cubicBezTo>
                <a:cubicBezTo>
                  <a:pt x="3153221" y="1853607"/>
                  <a:pt x="3168600" y="1869199"/>
                  <a:pt x="3187567" y="1869199"/>
                </a:cubicBezTo>
                <a:cubicBezTo>
                  <a:pt x="3206534" y="1869199"/>
                  <a:pt x="3221914" y="1853607"/>
                  <a:pt x="3221914" y="1834378"/>
                </a:cubicBezTo>
                <a:cubicBezTo>
                  <a:pt x="3221914" y="1815150"/>
                  <a:pt x="3206534" y="1799558"/>
                  <a:pt x="3187567" y="1799558"/>
                </a:cubicBezTo>
                <a:close/>
                <a:moveTo>
                  <a:pt x="3271309" y="1799558"/>
                </a:moveTo>
                <a:cubicBezTo>
                  <a:pt x="3252342" y="1799558"/>
                  <a:pt x="3236962" y="1815150"/>
                  <a:pt x="3236962" y="1834378"/>
                </a:cubicBezTo>
                <a:cubicBezTo>
                  <a:pt x="3236962" y="1853607"/>
                  <a:pt x="3252342" y="1869199"/>
                  <a:pt x="3271309" y="1869199"/>
                </a:cubicBezTo>
                <a:cubicBezTo>
                  <a:pt x="3290276" y="1869199"/>
                  <a:pt x="3305655" y="1853607"/>
                  <a:pt x="3305655" y="1834378"/>
                </a:cubicBezTo>
                <a:cubicBezTo>
                  <a:pt x="3305655" y="1815150"/>
                  <a:pt x="3290276" y="1799558"/>
                  <a:pt x="3271309" y="1799558"/>
                </a:cubicBezTo>
                <a:close/>
                <a:moveTo>
                  <a:pt x="3355051" y="1799558"/>
                </a:moveTo>
                <a:cubicBezTo>
                  <a:pt x="3336084" y="1799558"/>
                  <a:pt x="3320704" y="1815150"/>
                  <a:pt x="3320704" y="1834378"/>
                </a:cubicBezTo>
                <a:cubicBezTo>
                  <a:pt x="3320704" y="1853607"/>
                  <a:pt x="3336084" y="1869199"/>
                  <a:pt x="3355051" y="1869199"/>
                </a:cubicBezTo>
                <a:cubicBezTo>
                  <a:pt x="3374018" y="1869199"/>
                  <a:pt x="3389398" y="1853607"/>
                  <a:pt x="3389398" y="1834378"/>
                </a:cubicBezTo>
                <a:cubicBezTo>
                  <a:pt x="3389398" y="1815150"/>
                  <a:pt x="3374018" y="1799558"/>
                  <a:pt x="3355051" y="1799558"/>
                </a:cubicBezTo>
                <a:close/>
                <a:moveTo>
                  <a:pt x="3690017" y="1799558"/>
                </a:moveTo>
                <a:cubicBezTo>
                  <a:pt x="3671050" y="1799558"/>
                  <a:pt x="3655670" y="1815150"/>
                  <a:pt x="3655670" y="1834378"/>
                </a:cubicBezTo>
                <a:cubicBezTo>
                  <a:pt x="3655670" y="1853607"/>
                  <a:pt x="3671050" y="1869199"/>
                  <a:pt x="3690017" y="1869199"/>
                </a:cubicBezTo>
                <a:cubicBezTo>
                  <a:pt x="3708984" y="1869199"/>
                  <a:pt x="3724364" y="1853607"/>
                  <a:pt x="3724364" y="1834378"/>
                </a:cubicBezTo>
                <a:cubicBezTo>
                  <a:pt x="3724364" y="1815150"/>
                  <a:pt x="3708984" y="1799558"/>
                  <a:pt x="3690017" y="1799558"/>
                </a:cubicBezTo>
                <a:close/>
                <a:moveTo>
                  <a:pt x="4024990" y="1799558"/>
                </a:moveTo>
                <a:cubicBezTo>
                  <a:pt x="4006023" y="1799558"/>
                  <a:pt x="3990643" y="1815150"/>
                  <a:pt x="3990643" y="1834378"/>
                </a:cubicBezTo>
                <a:cubicBezTo>
                  <a:pt x="3990643" y="1853607"/>
                  <a:pt x="4006023" y="1869199"/>
                  <a:pt x="4024990" y="1869199"/>
                </a:cubicBezTo>
                <a:cubicBezTo>
                  <a:pt x="4043957" y="1869199"/>
                  <a:pt x="4059337" y="1853607"/>
                  <a:pt x="4059337" y="1834378"/>
                </a:cubicBezTo>
                <a:cubicBezTo>
                  <a:pt x="4059337" y="1815150"/>
                  <a:pt x="4043957" y="1799558"/>
                  <a:pt x="4024990" y="1799558"/>
                </a:cubicBezTo>
                <a:close/>
                <a:moveTo>
                  <a:pt x="4108732" y="1799558"/>
                </a:moveTo>
                <a:cubicBezTo>
                  <a:pt x="4089765" y="1799558"/>
                  <a:pt x="4074386" y="1815150"/>
                  <a:pt x="4074386" y="1834378"/>
                </a:cubicBezTo>
                <a:cubicBezTo>
                  <a:pt x="4074386" y="1853607"/>
                  <a:pt x="4089765" y="1869199"/>
                  <a:pt x="4108732" y="1869199"/>
                </a:cubicBezTo>
                <a:cubicBezTo>
                  <a:pt x="4127699" y="1869199"/>
                  <a:pt x="4143079" y="1853607"/>
                  <a:pt x="4143079" y="1834378"/>
                </a:cubicBezTo>
                <a:cubicBezTo>
                  <a:pt x="4143079" y="1815150"/>
                  <a:pt x="4127699" y="1799558"/>
                  <a:pt x="4108732" y="1799558"/>
                </a:cubicBezTo>
                <a:close/>
                <a:moveTo>
                  <a:pt x="4611182" y="1799558"/>
                </a:moveTo>
                <a:cubicBezTo>
                  <a:pt x="4592215" y="1799558"/>
                  <a:pt x="4576835" y="1815150"/>
                  <a:pt x="4576835" y="1834378"/>
                </a:cubicBezTo>
                <a:cubicBezTo>
                  <a:pt x="4576835" y="1853607"/>
                  <a:pt x="4592215" y="1869199"/>
                  <a:pt x="4611182" y="1869199"/>
                </a:cubicBezTo>
                <a:cubicBezTo>
                  <a:pt x="4630149" y="1869199"/>
                  <a:pt x="4645528" y="1853607"/>
                  <a:pt x="4645528" y="1834378"/>
                </a:cubicBezTo>
                <a:cubicBezTo>
                  <a:pt x="4645528" y="1815150"/>
                  <a:pt x="4630149" y="1799558"/>
                  <a:pt x="4611182" y="1799558"/>
                </a:cubicBezTo>
                <a:close/>
                <a:moveTo>
                  <a:pt x="4694923" y="1799558"/>
                </a:moveTo>
                <a:cubicBezTo>
                  <a:pt x="4675956" y="1799558"/>
                  <a:pt x="4660576" y="1815150"/>
                  <a:pt x="4660576" y="1834378"/>
                </a:cubicBezTo>
                <a:cubicBezTo>
                  <a:pt x="4660576" y="1853607"/>
                  <a:pt x="4675956" y="1869199"/>
                  <a:pt x="4694923" y="1869199"/>
                </a:cubicBezTo>
                <a:cubicBezTo>
                  <a:pt x="4713890" y="1869199"/>
                  <a:pt x="4729270" y="1853607"/>
                  <a:pt x="4729270" y="1834378"/>
                </a:cubicBezTo>
                <a:cubicBezTo>
                  <a:pt x="4729270" y="1815150"/>
                  <a:pt x="4713890" y="1799558"/>
                  <a:pt x="4694923" y="1799558"/>
                </a:cubicBezTo>
                <a:close/>
                <a:moveTo>
                  <a:pt x="4778665" y="1799558"/>
                </a:moveTo>
                <a:cubicBezTo>
                  <a:pt x="4759698" y="1799558"/>
                  <a:pt x="4744319" y="1815150"/>
                  <a:pt x="4744319" y="1834378"/>
                </a:cubicBezTo>
                <a:cubicBezTo>
                  <a:pt x="4744319" y="1853607"/>
                  <a:pt x="4759698" y="1869199"/>
                  <a:pt x="4778665" y="1869199"/>
                </a:cubicBezTo>
                <a:cubicBezTo>
                  <a:pt x="4797632" y="1869199"/>
                  <a:pt x="4813012" y="1853607"/>
                  <a:pt x="4813012" y="1834378"/>
                </a:cubicBezTo>
                <a:cubicBezTo>
                  <a:pt x="4813012" y="1815150"/>
                  <a:pt x="4797632" y="1799558"/>
                  <a:pt x="4778665" y="1799558"/>
                </a:cubicBezTo>
                <a:close/>
                <a:moveTo>
                  <a:pt x="5281115" y="1799558"/>
                </a:moveTo>
                <a:cubicBezTo>
                  <a:pt x="5262148" y="1799558"/>
                  <a:pt x="5246768" y="1815150"/>
                  <a:pt x="5246768" y="1834378"/>
                </a:cubicBezTo>
                <a:cubicBezTo>
                  <a:pt x="5246768" y="1853607"/>
                  <a:pt x="5262148" y="1869199"/>
                  <a:pt x="5281115" y="1869199"/>
                </a:cubicBezTo>
                <a:cubicBezTo>
                  <a:pt x="5300082" y="1869199"/>
                  <a:pt x="5315461" y="1853607"/>
                  <a:pt x="5315461" y="1834378"/>
                </a:cubicBezTo>
                <a:cubicBezTo>
                  <a:pt x="5315461" y="1815150"/>
                  <a:pt x="5300082" y="1799558"/>
                  <a:pt x="5281115" y="1799558"/>
                </a:cubicBezTo>
                <a:close/>
                <a:moveTo>
                  <a:pt x="5448598" y="1799558"/>
                </a:moveTo>
                <a:cubicBezTo>
                  <a:pt x="5429631" y="1799558"/>
                  <a:pt x="5414252" y="1815150"/>
                  <a:pt x="5414252" y="1834378"/>
                </a:cubicBezTo>
                <a:cubicBezTo>
                  <a:pt x="5414252" y="1853607"/>
                  <a:pt x="5429631" y="1869199"/>
                  <a:pt x="5448598" y="1869199"/>
                </a:cubicBezTo>
                <a:cubicBezTo>
                  <a:pt x="5467565" y="1869199"/>
                  <a:pt x="5482945" y="1853607"/>
                  <a:pt x="5482945" y="1834378"/>
                </a:cubicBezTo>
                <a:cubicBezTo>
                  <a:pt x="5482945" y="1815150"/>
                  <a:pt x="5467565" y="1799558"/>
                  <a:pt x="5448598" y="1799558"/>
                </a:cubicBezTo>
                <a:close/>
                <a:moveTo>
                  <a:pt x="6202273" y="1799558"/>
                </a:moveTo>
                <a:cubicBezTo>
                  <a:pt x="6183306" y="1799558"/>
                  <a:pt x="6167920" y="1815150"/>
                  <a:pt x="6167920" y="1834378"/>
                </a:cubicBezTo>
                <a:cubicBezTo>
                  <a:pt x="6167920" y="1853607"/>
                  <a:pt x="6183306" y="1869199"/>
                  <a:pt x="6202273" y="1869199"/>
                </a:cubicBezTo>
                <a:cubicBezTo>
                  <a:pt x="6221240" y="1869199"/>
                  <a:pt x="6236613" y="1853607"/>
                  <a:pt x="6236613" y="1834378"/>
                </a:cubicBezTo>
                <a:cubicBezTo>
                  <a:pt x="6236613" y="1815150"/>
                  <a:pt x="6221240" y="1799558"/>
                  <a:pt x="6202273" y="1799558"/>
                </a:cubicBezTo>
                <a:close/>
                <a:moveTo>
                  <a:pt x="6286014" y="1799558"/>
                </a:moveTo>
                <a:cubicBezTo>
                  <a:pt x="6267047" y="1799558"/>
                  <a:pt x="6251661" y="1815150"/>
                  <a:pt x="6251661" y="1834378"/>
                </a:cubicBezTo>
                <a:cubicBezTo>
                  <a:pt x="6251661" y="1853607"/>
                  <a:pt x="6267047" y="1869199"/>
                  <a:pt x="6286014" y="1869199"/>
                </a:cubicBezTo>
                <a:cubicBezTo>
                  <a:pt x="6304981" y="1869199"/>
                  <a:pt x="6320354" y="1853607"/>
                  <a:pt x="6320354" y="1834378"/>
                </a:cubicBezTo>
                <a:cubicBezTo>
                  <a:pt x="6320354" y="1815150"/>
                  <a:pt x="6304981" y="1799558"/>
                  <a:pt x="6286014" y="1799558"/>
                </a:cubicBezTo>
                <a:close/>
                <a:moveTo>
                  <a:pt x="6369755" y="1799558"/>
                </a:moveTo>
                <a:cubicBezTo>
                  <a:pt x="6350788" y="1799558"/>
                  <a:pt x="6335402" y="1815150"/>
                  <a:pt x="6335402" y="1834378"/>
                </a:cubicBezTo>
                <a:cubicBezTo>
                  <a:pt x="6335402" y="1853607"/>
                  <a:pt x="6350788" y="1869199"/>
                  <a:pt x="6369755" y="1869199"/>
                </a:cubicBezTo>
                <a:cubicBezTo>
                  <a:pt x="6388722" y="1869199"/>
                  <a:pt x="6404096" y="1853607"/>
                  <a:pt x="6404096" y="1834378"/>
                </a:cubicBezTo>
                <a:cubicBezTo>
                  <a:pt x="6404096" y="1815150"/>
                  <a:pt x="6388722" y="1799558"/>
                  <a:pt x="6369755" y="1799558"/>
                </a:cubicBezTo>
                <a:close/>
                <a:moveTo>
                  <a:pt x="6537239" y="1799558"/>
                </a:moveTo>
                <a:cubicBezTo>
                  <a:pt x="6518272" y="1799558"/>
                  <a:pt x="6502886" y="1815150"/>
                  <a:pt x="6502886" y="1834378"/>
                </a:cubicBezTo>
                <a:cubicBezTo>
                  <a:pt x="6502886" y="1853607"/>
                  <a:pt x="6518272" y="1869199"/>
                  <a:pt x="6537239" y="1869199"/>
                </a:cubicBezTo>
                <a:cubicBezTo>
                  <a:pt x="6556206" y="1869199"/>
                  <a:pt x="6571579" y="1853607"/>
                  <a:pt x="6571579" y="1834378"/>
                </a:cubicBezTo>
                <a:cubicBezTo>
                  <a:pt x="6571579" y="1815150"/>
                  <a:pt x="6556206" y="1799558"/>
                  <a:pt x="6537239" y="1799558"/>
                </a:cubicBezTo>
                <a:close/>
                <a:moveTo>
                  <a:pt x="6620980" y="1799558"/>
                </a:moveTo>
                <a:cubicBezTo>
                  <a:pt x="6602013" y="1799558"/>
                  <a:pt x="6586627" y="1815150"/>
                  <a:pt x="6586627" y="1834378"/>
                </a:cubicBezTo>
                <a:cubicBezTo>
                  <a:pt x="6586627" y="1853607"/>
                  <a:pt x="6602013" y="1869199"/>
                  <a:pt x="6620980" y="1869199"/>
                </a:cubicBezTo>
                <a:cubicBezTo>
                  <a:pt x="6639947" y="1869199"/>
                  <a:pt x="6655320" y="1853607"/>
                  <a:pt x="6655320" y="1834378"/>
                </a:cubicBezTo>
                <a:cubicBezTo>
                  <a:pt x="6655320" y="1815150"/>
                  <a:pt x="6639947" y="1799558"/>
                  <a:pt x="6620980" y="1799558"/>
                </a:cubicBezTo>
                <a:close/>
                <a:moveTo>
                  <a:pt x="6955947" y="1799558"/>
                </a:moveTo>
                <a:cubicBezTo>
                  <a:pt x="6936980" y="1799558"/>
                  <a:pt x="6921594" y="1815150"/>
                  <a:pt x="6921594" y="1834378"/>
                </a:cubicBezTo>
                <a:cubicBezTo>
                  <a:pt x="6921594" y="1853607"/>
                  <a:pt x="6936980" y="1869199"/>
                  <a:pt x="6955947" y="1869199"/>
                </a:cubicBezTo>
                <a:cubicBezTo>
                  <a:pt x="6974914" y="1869199"/>
                  <a:pt x="6990287" y="1853607"/>
                  <a:pt x="6990287" y="1834378"/>
                </a:cubicBezTo>
                <a:cubicBezTo>
                  <a:pt x="6990287" y="1815150"/>
                  <a:pt x="6974914" y="1799558"/>
                  <a:pt x="6955947" y="1799558"/>
                </a:cubicBezTo>
                <a:close/>
                <a:moveTo>
                  <a:pt x="7039688" y="1799558"/>
                </a:moveTo>
                <a:cubicBezTo>
                  <a:pt x="7020721" y="1799558"/>
                  <a:pt x="7005335" y="1815150"/>
                  <a:pt x="7005335" y="1834378"/>
                </a:cubicBezTo>
                <a:cubicBezTo>
                  <a:pt x="7005335" y="1853607"/>
                  <a:pt x="7020721" y="1869199"/>
                  <a:pt x="7039688" y="1869199"/>
                </a:cubicBezTo>
                <a:cubicBezTo>
                  <a:pt x="7058655" y="1869199"/>
                  <a:pt x="7074029" y="1853607"/>
                  <a:pt x="7074029" y="1834378"/>
                </a:cubicBezTo>
                <a:cubicBezTo>
                  <a:pt x="7074029" y="1815150"/>
                  <a:pt x="7058655" y="1799558"/>
                  <a:pt x="7039688" y="1799558"/>
                </a:cubicBezTo>
                <a:close/>
                <a:moveTo>
                  <a:pt x="7123456" y="1799558"/>
                </a:moveTo>
                <a:cubicBezTo>
                  <a:pt x="7104489" y="1799558"/>
                  <a:pt x="7089103" y="1815150"/>
                  <a:pt x="7089103" y="1834378"/>
                </a:cubicBezTo>
                <a:cubicBezTo>
                  <a:pt x="7089103" y="1853607"/>
                  <a:pt x="7104489" y="1869199"/>
                  <a:pt x="7123456" y="1869199"/>
                </a:cubicBezTo>
                <a:cubicBezTo>
                  <a:pt x="7142423" y="1869199"/>
                  <a:pt x="7157796" y="1853607"/>
                  <a:pt x="7157796" y="1834378"/>
                </a:cubicBezTo>
                <a:cubicBezTo>
                  <a:pt x="7157796" y="1815150"/>
                  <a:pt x="7142423" y="1799558"/>
                  <a:pt x="7123456" y="1799558"/>
                </a:cubicBezTo>
                <a:close/>
                <a:moveTo>
                  <a:pt x="7207198" y="1799558"/>
                </a:moveTo>
                <a:cubicBezTo>
                  <a:pt x="7188231" y="1799558"/>
                  <a:pt x="7172845" y="1815150"/>
                  <a:pt x="7172845" y="1834378"/>
                </a:cubicBezTo>
                <a:cubicBezTo>
                  <a:pt x="7172845" y="1853607"/>
                  <a:pt x="7188231" y="1869199"/>
                  <a:pt x="7207198" y="1869199"/>
                </a:cubicBezTo>
                <a:cubicBezTo>
                  <a:pt x="7226165" y="1869199"/>
                  <a:pt x="7241538" y="1853607"/>
                  <a:pt x="7241538" y="1834378"/>
                </a:cubicBezTo>
                <a:cubicBezTo>
                  <a:pt x="7241538" y="1815150"/>
                  <a:pt x="7226165" y="1799558"/>
                  <a:pt x="7207198" y="1799558"/>
                </a:cubicBezTo>
                <a:close/>
                <a:moveTo>
                  <a:pt x="7290939" y="1799558"/>
                </a:moveTo>
                <a:cubicBezTo>
                  <a:pt x="7271972" y="1799558"/>
                  <a:pt x="7256586" y="1815150"/>
                  <a:pt x="7256586" y="1834378"/>
                </a:cubicBezTo>
                <a:cubicBezTo>
                  <a:pt x="7256586" y="1853607"/>
                  <a:pt x="7271972" y="1869199"/>
                  <a:pt x="7290939" y="1869199"/>
                </a:cubicBezTo>
                <a:cubicBezTo>
                  <a:pt x="7309906" y="1869199"/>
                  <a:pt x="7325279" y="1853607"/>
                  <a:pt x="7325279" y="1834378"/>
                </a:cubicBezTo>
                <a:cubicBezTo>
                  <a:pt x="7325279" y="1815150"/>
                  <a:pt x="7309906" y="1799558"/>
                  <a:pt x="7290939" y="1799558"/>
                </a:cubicBezTo>
                <a:close/>
                <a:moveTo>
                  <a:pt x="7374681" y="1799558"/>
                </a:moveTo>
                <a:cubicBezTo>
                  <a:pt x="7355714" y="1799558"/>
                  <a:pt x="7340328" y="1815150"/>
                  <a:pt x="7340328" y="1834378"/>
                </a:cubicBezTo>
                <a:cubicBezTo>
                  <a:pt x="7340328" y="1853607"/>
                  <a:pt x="7355714" y="1869199"/>
                  <a:pt x="7374681" y="1869199"/>
                </a:cubicBezTo>
                <a:cubicBezTo>
                  <a:pt x="7393648" y="1869199"/>
                  <a:pt x="7409022" y="1853607"/>
                  <a:pt x="7409022" y="1834378"/>
                </a:cubicBezTo>
                <a:cubicBezTo>
                  <a:pt x="7409022" y="1815150"/>
                  <a:pt x="7393648" y="1799558"/>
                  <a:pt x="7374681" y="1799558"/>
                </a:cubicBezTo>
                <a:close/>
                <a:moveTo>
                  <a:pt x="7458423" y="1799558"/>
                </a:moveTo>
                <a:cubicBezTo>
                  <a:pt x="7439456" y="1799558"/>
                  <a:pt x="7424070" y="1815150"/>
                  <a:pt x="7424070" y="1834378"/>
                </a:cubicBezTo>
                <a:cubicBezTo>
                  <a:pt x="7424070" y="1853607"/>
                  <a:pt x="7439456" y="1869199"/>
                  <a:pt x="7458423" y="1869199"/>
                </a:cubicBezTo>
                <a:cubicBezTo>
                  <a:pt x="7477390" y="1869199"/>
                  <a:pt x="7492763" y="1853607"/>
                  <a:pt x="7492763" y="1834378"/>
                </a:cubicBezTo>
                <a:cubicBezTo>
                  <a:pt x="7492763" y="1815150"/>
                  <a:pt x="7477390" y="1799558"/>
                  <a:pt x="7458423" y="1799558"/>
                </a:cubicBezTo>
                <a:close/>
                <a:moveTo>
                  <a:pt x="7542164" y="1799558"/>
                </a:moveTo>
                <a:cubicBezTo>
                  <a:pt x="7523197" y="1799558"/>
                  <a:pt x="7507811" y="1815150"/>
                  <a:pt x="7507811" y="1834378"/>
                </a:cubicBezTo>
                <a:cubicBezTo>
                  <a:pt x="7507811" y="1853607"/>
                  <a:pt x="7523197" y="1869199"/>
                  <a:pt x="7542164" y="1869199"/>
                </a:cubicBezTo>
                <a:cubicBezTo>
                  <a:pt x="7561131" y="1869199"/>
                  <a:pt x="7576504" y="1853607"/>
                  <a:pt x="7576504" y="1834378"/>
                </a:cubicBezTo>
                <a:cubicBezTo>
                  <a:pt x="7576504" y="1815150"/>
                  <a:pt x="7561131" y="1799558"/>
                  <a:pt x="7542164" y="1799558"/>
                </a:cubicBezTo>
                <a:close/>
                <a:moveTo>
                  <a:pt x="7625906" y="1799558"/>
                </a:moveTo>
                <a:cubicBezTo>
                  <a:pt x="7606939" y="1799558"/>
                  <a:pt x="7591553" y="1815150"/>
                  <a:pt x="7591553" y="1834378"/>
                </a:cubicBezTo>
                <a:cubicBezTo>
                  <a:pt x="7591553" y="1853607"/>
                  <a:pt x="7606939" y="1869199"/>
                  <a:pt x="7625906" y="1869199"/>
                </a:cubicBezTo>
                <a:cubicBezTo>
                  <a:pt x="7644873" y="1869199"/>
                  <a:pt x="7660246" y="1853607"/>
                  <a:pt x="7660246" y="1834378"/>
                </a:cubicBezTo>
                <a:cubicBezTo>
                  <a:pt x="7660246" y="1815150"/>
                  <a:pt x="7644873" y="1799558"/>
                  <a:pt x="7625906" y="1799558"/>
                </a:cubicBezTo>
                <a:close/>
                <a:moveTo>
                  <a:pt x="7709647" y="1799558"/>
                </a:moveTo>
                <a:cubicBezTo>
                  <a:pt x="7690680" y="1799558"/>
                  <a:pt x="7675294" y="1815150"/>
                  <a:pt x="7675294" y="1834378"/>
                </a:cubicBezTo>
                <a:cubicBezTo>
                  <a:pt x="7675294" y="1853607"/>
                  <a:pt x="7690680" y="1869199"/>
                  <a:pt x="7709647" y="1869199"/>
                </a:cubicBezTo>
                <a:cubicBezTo>
                  <a:pt x="7728614" y="1869199"/>
                  <a:pt x="7743988" y="1853607"/>
                  <a:pt x="7743988" y="1834378"/>
                </a:cubicBezTo>
                <a:cubicBezTo>
                  <a:pt x="7743988" y="1815150"/>
                  <a:pt x="7728614" y="1799558"/>
                  <a:pt x="7709647" y="1799558"/>
                </a:cubicBezTo>
                <a:close/>
                <a:moveTo>
                  <a:pt x="7793389" y="1799558"/>
                </a:moveTo>
                <a:cubicBezTo>
                  <a:pt x="7774422" y="1799558"/>
                  <a:pt x="7759036" y="1815150"/>
                  <a:pt x="7759036" y="1834378"/>
                </a:cubicBezTo>
                <a:cubicBezTo>
                  <a:pt x="7759036" y="1853607"/>
                  <a:pt x="7774422" y="1869199"/>
                  <a:pt x="7793389" y="1869199"/>
                </a:cubicBezTo>
                <a:cubicBezTo>
                  <a:pt x="7812356" y="1869199"/>
                  <a:pt x="7827729" y="1853607"/>
                  <a:pt x="7827729" y="1834378"/>
                </a:cubicBezTo>
                <a:cubicBezTo>
                  <a:pt x="7827729" y="1815150"/>
                  <a:pt x="7812356" y="1799558"/>
                  <a:pt x="7793389" y="1799558"/>
                </a:cubicBezTo>
                <a:close/>
                <a:moveTo>
                  <a:pt x="7877131" y="1799558"/>
                </a:moveTo>
                <a:cubicBezTo>
                  <a:pt x="7858164" y="1799558"/>
                  <a:pt x="7842778" y="1815150"/>
                  <a:pt x="7842778" y="1834378"/>
                </a:cubicBezTo>
                <a:cubicBezTo>
                  <a:pt x="7842778" y="1853607"/>
                  <a:pt x="7858164" y="1869199"/>
                  <a:pt x="7877131" y="1869199"/>
                </a:cubicBezTo>
                <a:cubicBezTo>
                  <a:pt x="7896098" y="1869199"/>
                  <a:pt x="7911471" y="1853607"/>
                  <a:pt x="7911471" y="1834378"/>
                </a:cubicBezTo>
                <a:cubicBezTo>
                  <a:pt x="7911471" y="1815150"/>
                  <a:pt x="7896098" y="1799558"/>
                  <a:pt x="7877131" y="1799558"/>
                </a:cubicBezTo>
                <a:close/>
                <a:moveTo>
                  <a:pt x="7960872" y="1799558"/>
                </a:moveTo>
                <a:cubicBezTo>
                  <a:pt x="7941905" y="1799558"/>
                  <a:pt x="7926519" y="1815150"/>
                  <a:pt x="7926519" y="1834378"/>
                </a:cubicBezTo>
                <a:cubicBezTo>
                  <a:pt x="7926519" y="1853607"/>
                  <a:pt x="7941905" y="1869199"/>
                  <a:pt x="7960872" y="1869199"/>
                </a:cubicBezTo>
                <a:cubicBezTo>
                  <a:pt x="7979839" y="1869199"/>
                  <a:pt x="7995212" y="1853607"/>
                  <a:pt x="7995212" y="1834378"/>
                </a:cubicBezTo>
                <a:cubicBezTo>
                  <a:pt x="7995212" y="1815150"/>
                  <a:pt x="7979839" y="1799558"/>
                  <a:pt x="7960872" y="1799558"/>
                </a:cubicBezTo>
                <a:close/>
                <a:moveTo>
                  <a:pt x="8044614" y="1799558"/>
                </a:moveTo>
                <a:cubicBezTo>
                  <a:pt x="8025647" y="1799558"/>
                  <a:pt x="8010261" y="1815150"/>
                  <a:pt x="8010261" y="1834378"/>
                </a:cubicBezTo>
                <a:cubicBezTo>
                  <a:pt x="8010261" y="1853607"/>
                  <a:pt x="8025647" y="1869199"/>
                  <a:pt x="8044614" y="1869199"/>
                </a:cubicBezTo>
                <a:cubicBezTo>
                  <a:pt x="8063581" y="1869199"/>
                  <a:pt x="8078955" y="1853607"/>
                  <a:pt x="8078955" y="1834378"/>
                </a:cubicBezTo>
                <a:cubicBezTo>
                  <a:pt x="8078955" y="1815150"/>
                  <a:pt x="8063581" y="1799558"/>
                  <a:pt x="8044614" y="1799558"/>
                </a:cubicBezTo>
                <a:close/>
                <a:moveTo>
                  <a:pt x="8128356" y="1799558"/>
                </a:moveTo>
                <a:cubicBezTo>
                  <a:pt x="8109389" y="1799558"/>
                  <a:pt x="8094003" y="1815150"/>
                  <a:pt x="8094003" y="1834378"/>
                </a:cubicBezTo>
                <a:cubicBezTo>
                  <a:pt x="8094003" y="1853607"/>
                  <a:pt x="8109389" y="1869199"/>
                  <a:pt x="8128356" y="1869199"/>
                </a:cubicBezTo>
                <a:cubicBezTo>
                  <a:pt x="8147323" y="1869199"/>
                  <a:pt x="8162696" y="1853607"/>
                  <a:pt x="8162696" y="1834378"/>
                </a:cubicBezTo>
                <a:cubicBezTo>
                  <a:pt x="8162696" y="1815150"/>
                  <a:pt x="8147323" y="1799558"/>
                  <a:pt x="8128356" y="1799558"/>
                </a:cubicBezTo>
                <a:close/>
                <a:moveTo>
                  <a:pt x="8212097" y="1799558"/>
                </a:moveTo>
                <a:cubicBezTo>
                  <a:pt x="8193130" y="1799558"/>
                  <a:pt x="8177744" y="1815150"/>
                  <a:pt x="8177744" y="1834378"/>
                </a:cubicBezTo>
                <a:cubicBezTo>
                  <a:pt x="8177744" y="1853607"/>
                  <a:pt x="8193130" y="1869199"/>
                  <a:pt x="8212097" y="1869199"/>
                </a:cubicBezTo>
                <a:cubicBezTo>
                  <a:pt x="8231064" y="1869199"/>
                  <a:pt x="8246437" y="1853607"/>
                  <a:pt x="8246437" y="1834378"/>
                </a:cubicBezTo>
                <a:cubicBezTo>
                  <a:pt x="8246437" y="1815150"/>
                  <a:pt x="8231064" y="1799558"/>
                  <a:pt x="8212097" y="1799558"/>
                </a:cubicBezTo>
                <a:close/>
                <a:moveTo>
                  <a:pt x="8295839" y="1799558"/>
                </a:moveTo>
                <a:cubicBezTo>
                  <a:pt x="8276872" y="1799558"/>
                  <a:pt x="8261486" y="1815150"/>
                  <a:pt x="8261486" y="1834378"/>
                </a:cubicBezTo>
                <a:cubicBezTo>
                  <a:pt x="8261486" y="1853607"/>
                  <a:pt x="8276872" y="1869199"/>
                  <a:pt x="8295839" y="1869199"/>
                </a:cubicBezTo>
                <a:cubicBezTo>
                  <a:pt x="8314806" y="1869199"/>
                  <a:pt x="8330179" y="1853607"/>
                  <a:pt x="8330179" y="1834378"/>
                </a:cubicBezTo>
                <a:cubicBezTo>
                  <a:pt x="8330179" y="1815150"/>
                  <a:pt x="8314806" y="1799558"/>
                  <a:pt x="8295839" y="1799558"/>
                </a:cubicBezTo>
                <a:close/>
                <a:moveTo>
                  <a:pt x="8379580" y="1799558"/>
                </a:moveTo>
                <a:cubicBezTo>
                  <a:pt x="8360613" y="1799558"/>
                  <a:pt x="8345227" y="1815150"/>
                  <a:pt x="8345227" y="1834378"/>
                </a:cubicBezTo>
                <a:cubicBezTo>
                  <a:pt x="8345227" y="1853607"/>
                  <a:pt x="8360613" y="1869199"/>
                  <a:pt x="8379580" y="1869199"/>
                </a:cubicBezTo>
                <a:cubicBezTo>
                  <a:pt x="8398547" y="1869199"/>
                  <a:pt x="8413921" y="1853607"/>
                  <a:pt x="8413921" y="1834378"/>
                </a:cubicBezTo>
                <a:cubicBezTo>
                  <a:pt x="8413921" y="1815150"/>
                  <a:pt x="8398547" y="1799558"/>
                  <a:pt x="8379580" y="1799558"/>
                </a:cubicBezTo>
                <a:close/>
                <a:moveTo>
                  <a:pt x="8463323" y="1799558"/>
                </a:moveTo>
                <a:cubicBezTo>
                  <a:pt x="8444356" y="1799558"/>
                  <a:pt x="8428970" y="1815150"/>
                  <a:pt x="8428970" y="1834378"/>
                </a:cubicBezTo>
                <a:cubicBezTo>
                  <a:pt x="8428970" y="1853607"/>
                  <a:pt x="8444356" y="1869199"/>
                  <a:pt x="8463323" y="1869199"/>
                </a:cubicBezTo>
                <a:cubicBezTo>
                  <a:pt x="8482290" y="1869199"/>
                  <a:pt x="8497663" y="1853607"/>
                  <a:pt x="8497663" y="1834378"/>
                </a:cubicBezTo>
                <a:cubicBezTo>
                  <a:pt x="8497663" y="1815150"/>
                  <a:pt x="8482290" y="1799558"/>
                  <a:pt x="8463323" y="1799558"/>
                </a:cubicBezTo>
                <a:close/>
                <a:moveTo>
                  <a:pt x="8547064" y="1799558"/>
                </a:moveTo>
                <a:cubicBezTo>
                  <a:pt x="8528097" y="1799558"/>
                  <a:pt x="8512711" y="1815150"/>
                  <a:pt x="8512711" y="1834378"/>
                </a:cubicBezTo>
                <a:cubicBezTo>
                  <a:pt x="8512711" y="1853607"/>
                  <a:pt x="8528097" y="1869199"/>
                  <a:pt x="8547064" y="1869199"/>
                </a:cubicBezTo>
                <a:cubicBezTo>
                  <a:pt x="8566031" y="1869199"/>
                  <a:pt x="8581404" y="1853607"/>
                  <a:pt x="8581404" y="1834378"/>
                </a:cubicBezTo>
                <a:cubicBezTo>
                  <a:pt x="8581404" y="1815150"/>
                  <a:pt x="8566031" y="1799558"/>
                  <a:pt x="8547064" y="1799558"/>
                </a:cubicBezTo>
                <a:close/>
                <a:moveTo>
                  <a:pt x="8630805" y="1799558"/>
                </a:moveTo>
                <a:cubicBezTo>
                  <a:pt x="8611838" y="1799558"/>
                  <a:pt x="8596452" y="1815150"/>
                  <a:pt x="8596452" y="1834378"/>
                </a:cubicBezTo>
                <a:cubicBezTo>
                  <a:pt x="8596452" y="1853607"/>
                  <a:pt x="8611838" y="1869199"/>
                  <a:pt x="8630805" y="1869199"/>
                </a:cubicBezTo>
                <a:cubicBezTo>
                  <a:pt x="8649772" y="1869199"/>
                  <a:pt x="8665145" y="1853607"/>
                  <a:pt x="8665145" y="1834378"/>
                </a:cubicBezTo>
                <a:cubicBezTo>
                  <a:pt x="8665145" y="1815150"/>
                  <a:pt x="8649772" y="1799558"/>
                  <a:pt x="8630805" y="1799558"/>
                </a:cubicBezTo>
                <a:close/>
                <a:moveTo>
                  <a:pt x="8714547" y="1799558"/>
                </a:moveTo>
                <a:cubicBezTo>
                  <a:pt x="8695580" y="1799558"/>
                  <a:pt x="8680194" y="1815150"/>
                  <a:pt x="8680194" y="1834378"/>
                </a:cubicBezTo>
                <a:cubicBezTo>
                  <a:pt x="8680194" y="1853607"/>
                  <a:pt x="8695580" y="1869199"/>
                  <a:pt x="8714547" y="1869199"/>
                </a:cubicBezTo>
                <a:cubicBezTo>
                  <a:pt x="8733514" y="1869199"/>
                  <a:pt x="8748888" y="1853607"/>
                  <a:pt x="8748888" y="1834378"/>
                </a:cubicBezTo>
                <a:cubicBezTo>
                  <a:pt x="8748888" y="1815150"/>
                  <a:pt x="8733514" y="1799558"/>
                  <a:pt x="8714547" y="1799558"/>
                </a:cubicBezTo>
                <a:close/>
                <a:moveTo>
                  <a:pt x="8798289" y="1799558"/>
                </a:moveTo>
                <a:cubicBezTo>
                  <a:pt x="8779322" y="1799558"/>
                  <a:pt x="8763936" y="1815150"/>
                  <a:pt x="8763936" y="1834378"/>
                </a:cubicBezTo>
                <a:cubicBezTo>
                  <a:pt x="8763936" y="1853607"/>
                  <a:pt x="8779322" y="1869199"/>
                  <a:pt x="8798289" y="1869199"/>
                </a:cubicBezTo>
                <a:cubicBezTo>
                  <a:pt x="8817256" y="1869199"/>
                  <a:pt x="8832629" y="1853607"/>
                  <a:pt x="8832629" y="1834378"/>
                </a:cubicBezTo>
                <a:cubicBezTo>
                  <a:pt x="8832629" y="1815150"/>
                  <a:pt x="8817256" y="1799558"/>
                  <a:pt x="8798289" y="1799558"/>
                </a:cubicBezTo>
                <a:close/>
                <a:moveTo>
                  <a:pt x="8882030" y="1799558"/>
                </a:moveTo>
                <a:cubicBezTo>
                  <a:pt x="8863063" y="1799558"/>
                  <a:pt x="8847677" y="1815150"/>
                  <a:pt x="8847677" y="1834378"/>
                </a:cubicBezTo>
                <a:cubicBezTo>
                  <a:pt x="8847677" y="1853607"/>
                  <a:pt x="8863063" y="1869199"/>
                  <a:pt x="8882030" y="1869199"/>
                </a:cubicBezTo>
                <a:cubicBezTo>
                  <a:pt x="8900997" y="1869199"/>
                  <a:pt x="8916370" y="1853607"/>
                  <a:pt x="8916370" y="1834378"/>
                </a:cubicBezTo>
                <a:cubicBezTo>
                  <a:pt x="8916370" y="1815150"/>
                  <a:pt x="8900997" y="1799558"/>
                  <a:pt x="8882030" y="1799558"/>
                </a:cubicBezTo>
                <a:close/>
                <a:moveTo>
                  <a:pt x="8965772" y="1799558"/>
                </a:moveTo>
                <a:cubicBezTo>
                  <a:pt x="8946805" y="1799558"/>
                  <a:pt x="8931419" y="1815150"/>
                  <a:pt x="8931419" y="1834378"/>
                </a:cubicBezTo>
                <a:cubicBezTo>
                  <a:pt x="8931419" y="1853607"/>
                  <a:pt x="8946805" y="1869199"/>
                  <a:pt x="8965772" y="1869199"/>
                </a:cubicBezTo>
                <a:cubicBezTo>
                  <a:pt x="8984739" y="1869199"/>
                  <a:pt x="9000112" y="1853607"/>
                  <a:pt x="9000112" y="1834378"/>
                </a:cubicBezTo>
                <a:cubicBezTo>
                  <a:pt x="9000112" y="1815150"/>
                  <a:pt x="8984739" y="1799558"/>
                  <a:pt x="8965772" y="1799558"/>
                </a:cubicBezTo>
                <a:close/>
                <a:moveTo>
                  <a:pt x="9049513" y="1799558"/>
                </a:moveTo>
                <a:cubicBezTo>
                  <a:pt x="9030546" y="1799558"/>
                  <a:pt x="9015160" y="1815150"/>
                  <a:pt x="9015160" y="1834378"/>
                </a:cubicBezTo>
                <a:cubicBezTo>
                  <a:pt x="9015160" y="1853607"/>
                  <a:pt x="9030546" y="1869199"/>
                  <a:pt x="9049513" y="1869199"/>
                </a:cubicBezTo>
                <a:cubicBezTo>
                  <a:pt x="9068480" y="1869199"/>
                  <a:pt x="9083854" y="1853607"/>
                  <a:pt x="9083854" y="1834378"/>
                </a:cubicBezTo>
                <a:cubicBezTo>
                  <a:pt x="9083854" y="1815150"/>
                  <a:pt x="9068480" y="1799558"/>
                  <a:pt x="9049513" y="1799558"/>
                </a:cubicBezTo>
                <a:close/>
                <a:moveTo>
                  <a:pt x="9133256" y="1799558"/>
                </a:moveTo>
                <a:cubicBezTo>
                  <a:pt x="9114289" y="1799558"/>
                  <a:pt x="9098903" y="1815150"/>
                  <a:pt x="9098903" y="1834378"/>
                </a:cubicBezTo>
                <a:cubicBezTo>
                  <a:pt x="9098903" y="1853607"/>
                  <a:pt x="9114289" y="1869199"/>
                  <a:pt x="9133256" y="1869199"/>
                </a:cubicBezTo>
                <a:cubicBezTo>
                  <a:pt x="9152223" y="1869199"/>
                  <a:pt x="9167596" y="1853607"/>
                  <a:pt x="9167596" y="1834378"/>
                </a:cubicBezTo>
                <a:cubicBezTo>
                  <a:pt x="9167596" y="1815150"/>
                  <a:pt x="9152223" y="1799558"/>
                  <a:pt x="9133256" y="1799558"/>
                </a:cubicBezTo>
                <a:close/>
                <a:moveTo>
                  <a:pt x="9216997" y="1799558"/>
                </a:moveTo>
                <a:cubicBezTo>
                  <a:pt x="9198030" y="1799558"/>
                  <a:pt x="9182644" y="1815150"/>
                  <a:pt x="9182644" y="1834378"/>
                </a:cubicBezTo>
                <a:cubicBezTo>
                  <a:pt x="9182644" y="1853607"/>
                  <a:pt x="9198030" y="1869199"/>
                  <a:pt x="9216997" y="1869199"/>
                </a:cubicBezTo>
                <a:cubicBezTo>
                  <a:pt x="9235964" y="1869199"/>
                  <a:pt x="9251337" y="1853607"/>
                  <a:pt x="9251337" y="1834378"/>
                </a:cubicBezTo>
                <a:cubicBezTo>
                  <a:pt x="9251337" y="1815150"/>
                  <a:pt x="9235964" y="1799558"/>
                  <a:pt x="9216997" y="1799558"/>
                </a:cubicBezTo>
                <a:close/>
                <a:moveTo>
                  <a:pt x="9300738" y="1799558"/>
                </a:moveTo>
                <a:cubicBezTo>
                  <a:pt x="9281771" y="1799558"/>
                  <a:pt x="9266385" y="1815150"/>
                  <a:pt x="9266385" y="1834378"/>
                </a:cubicBezTo>
                <a:cubicBezTo>
                  <a:pt x="9266385" y="1853607"/>
                  <a:pt x="9281771" y="1869199"/>
                  <a:pt x="9300738" y="1869199"/>
                </a:cubicBezTo>
                <a:cubicBezTo>
                  <a:pt x="9319705" y="1869199"/>
                  <a:pt x="9335078" y="1853607"/>
                  <a:pt x="9335078" y="1834378"/>
                </a:cubicBezTo>
                <a:cubicBezTo>
                  <a:pt x="9335078" y="1815150"/>
                  <a:pt x="9319705" y="1799558"/>
                  <a:pt x="9300738" y="1799558"/>
                </a:cubicBezTo>
                <a:close/>
                <a:moveTo>
                  <a:pt x="9384480" y="1799558"/>
                </a:moveTo>
                <a:cubicBezTo>
                  <a:pt x="9365513" y="1799558"/>
                  <a:pt x="9350127" y="1815150"/>
                  <a:pt x="9350127" y="1834378"/>
                </a:cubicBezTo>
                <a:cubicBezTo>
                  <a:pt x="9350127" y="1853607"/>
                  <a:pt x="9365513" y="1869199"/>
                  <a:pt x="9384480" y="1869199"/>
                </a:cubicBezTo>
                <a:cubicBezTo>
                  <a:pt x="9403447" y="1869199"/>
                  <a:pt x="9418821" y="1853607"/>
                  <a:pt x="9418821" y="1834378"/>
                </a:cubicBezTo>
                <a:cubicBezTo>
                  <a:pt x="9418821" y="1815150"/>
                  <a:pt x="9403447" y="1799558"/>
                  <a:pt x="9384480" y="1799558"/>
                </a:cubicBezTo>
                <a:close/>
                <a:moveTo>
                  <a:pt x="9468222" y="1799558"/>
                </a:moveTo>
                <a:cubicBezTo>
                  <a:pt x="9449255" y="1799558"/>
                  <a:pt x="9433869" y="1815150"/>
                  <a:pt x="9433869" y="1834378"/>
                </a:cubicBezTo>
                <a:cubicBezTo>
                  <a:pt x="9433869" y="1853607"/>
                  <a:pt x="9449255" y="1869199"/>
                  <a:pt x="9468222" y="1869199"/>
                </a:cubicBezTo>
                <a:cubicBezTo>
                  <a:pt x="9487189" y="1869199"/>
                  <a:pt x="9502562" y="1853607"/>
                  <a:pt x="9502562" y="1834378"/>
                </a:cubicBezTo>
                <a:cubicBezTo>
                  <a:pt x="9502562" y="1815150"/>
                  <a:pt x="9487189" y="1799558"/>
                  <a:pt x="9468222" y="1799558"/>
                </a:cubicBezTo>
                <a:close/>
                <a:moveTo>
                  <a:pt x="9551963" y="1799558"/>
                </a:moveTo>
                <a:cubicBezTo>
                  <a:pt x="9532996" y="1799558"/>
                  <a:pt x="9517610" y="1815150"/>
                  <a:pt x="9517610" y="1834378"/>
                </a:cubicBezTo>
                <a:cubicBezTo>
                  <a:pt x="9517610" y="1853607"/>
                  <a:pt x="9532996" y="1869199"/>
                  <a:pt x="9551963" y="1869199"/>
                </a:cubicBezTo>
                <a:cubicBezTo>
                  <a:pt x="9570930" y="1869199"/>
                  <a:pt x="9586303" y="1853607"/>
                  <a:pt x="9586303" y="1834378"/>
                </a:cubicBezTo>
                <a:cubicBezTo>
                  <a:pt x="9586303" y="1815150"/>
                  <a:pt x="9570930" y="1799558"/>
                  <a:pt x="9551963" y="1799558"/>
                </a:cubicBezTo>
                <a:close/>
                <a:moveTo>
                  <a:pt x="9635705" y="1799558"/>
                </a:moveTo>
                <a:cubicBezTo>
                  <a:pt x="9616738" y="1799558"/>
                  <a:pt x="9601352" y="1815150"/>
                  <a:pt x="9601352" y="1834378"/>
                </a:cubicBezTo>
                <a:cubicBezTo>
                  <a:pt x="9601352" y="1853607"/>
                  <a:pt x="9616738" y="1869199"/>
                  <a:pt x="9635705" y="1869199"/>
                </a:cubicBezTo>
                <a:cubicBezTo>
                  <a:pt x="9654672" y="1869199"/>
                  <a:pt x="9670045" y="1853607"/>
                  <a:pt x="9670045" y="1834378"/>
                </a:cubicBezTo>
                <a:cubicBezTo>
                  <a:pt x="9670045" y="1815150"/>
                  <a:pt x="9654672" y="1799558"/>
                  <a:pt x="9635705" y="1799558"/>
                </a:cubicBezTo>
                <a:close/>
                <a:moveTo>
                  <a:pt x="10221896" y="1799558"/>
                </a:moveTo>
                <a:cubicBezTo>
                  <a:pt x="10202929" y="1799558"/>
                  <a:pt x="10187543" y="1815150"/>
                  <a:pt x="10187543" y="1834378"/>
                </a:cubicBezTo>
                <a:cubicBezTo>
                  <a:pt x="10187543" y="1853607"/>
                  <a:pt x="10202929" y="1869199"/>
                  <a:pt x="10221896" y="1869199"/>
                </a:cubicBezTo>
                <a:cubicBezTo>
                  <a:pt x="10240863" y="1869199"/>
                  <a:pt x="10256236" y="1853607"/>
                  <a:pt x="10256236" y="1834378"/>
                </a:cubicBezTo>
                <a:cubicBezTo>
                  <a:pt x="10256236" y="1815150"/>
                  <a:pt x="10240863" y="1799558"/>
                  <a:pt x="10221896" y="1799558"/>
                </a:cubicBezTo>
                <a:close/>
                <a:moveTo>
                  <a:pt x="10305638" y="1799558"/>
                </a:moveTo>
                <a:cubicBezTo>
                  <a:pt x="10286671" y="1799558"/>
                  <a:pt x="10271285" y="1815150"/>
                  <a:pt x="10271285" y="1834378"/>
                </a:cubicBezTo>
                <a:cubicBezTo>
                  <a:pt x="10271285" y="1853607"/>
                  <a:pt x="10286671" y="1869199"/>
                  <a:pt x="10305638" y="1869199"/>
                </a:cubicBezTo>
                <a:cubicBezTo>
                  <a:pt x="10324605" y="1869199"/>
                  <a:pt x="10339978" y="1853607"/>
                  <a:pt x="10339978" y="1834378"/>
                </a:cubicBezTo>
                <a:cubicBezTo>
                  <a:pt x="10339978" y="1815150"/>
                  <a:pt x="10324605" y="1799558"/>
                  <a:pt x="10305638" y="1799558"/>
                </a:cubicBezTo>
                <a:close/>
                <a:moveTo>
                  <a:pt x="1261513" y="1884423"/>
                </a:moveTo>
                <a:cubicBezTo>
                  <a:pt x="1242546" y="1884423"/>
                  <a:pt x="1227166" y="1900014"/>
                  <a:pt x="1227166" y="1919243"/>
                </a:cubicBezTo>
                <a:cubicBezTo>
                  <a:pt x="1227166" y="1938472"/>
                  <a:pt x="1242546" y="1954063"/>
                  <a:pt x="1261513" y="1954063"/>
                </a:cubicBezTo>
                <a:cubicBezTo>
                  <a:pt x="1280480" y="1954063"/>
                  <a:pt x="1295859" y="1938472"/>
                  <a:pt x="1295859" y="1919243"/>
                </a:cubicBezTo>
                <a:cubicBezTo>
                  <a:pt x="1295859" y="1900014"/>
                  <a:pt x="1280480" y="1884423"/>
                  <a:pt x="1261513" y="1884423"/>
                </a:cubicBezTo>
                <a:close/>
                <a:moveTo>
                  <a:pt x="1345252" y="1884423"/>
                </a:moveTo>
                <a:cubicBezTo>
                  <a:pt x="1326285" y="1884423"/>
                  <a:pt x="1310905" y="1900014"/>
                  <a:pt x="1310905" y="1919243"/>
                </a:cubicBezTo>
                <a:cubicBezTo>
                  <a:pt x="1310905" y="1938472"/>
                  <a:pt x="1326285" y="1954063"/>
                  <a:pt x="1345252" y="1954063"/>
                </a:cubicBezTo>
                <a:cubicBezTo>
                  <a:pt x="1364219" y="1954063"/>
                  <a:pt x="1379599" y="1938472"/>
                  <a:pt x="1379599" y="1919243"/>
                </a:cubicBezTo>
                <a:cubicBezTo>
                  <a:pt x="1379599" y="1900014"/>
                  <a:pt x="1364219" y="1884423"/>
                  <a:pt x="1345252" y="1884423"/>
                </a:cubicBezTo>
                <a:close/>
                <a:moveTo>
                  <a:pt x="2182674" y="1884423"/>
                </a:moveTo>
                <a:cubicBezTo>
                  <a:pt x="2163707" y="1884423"/>
                  <a:pt x="2148328" y="1900014"/>
                  <a:pt x="2148328" y="1919243"/>
                </a:cubicBezTo>
                <a:cubicBezTo>
                  <a:pt x="2148328" y="1938472"/>
                  <a:pt x="2163707" y="1954063"/>
                  <a:pt x="2182674" y="1954063"/>
                </a:cubicBezTo>
                <a:cubicBezTo>
                  <a:pt x="2201641" y="1954063"/>
                  <a:pt x="2217021" y="1938472"/>
                  <a:pt x="2217021" y="1919243"/>
                </a:cubicBezTo>
                <a:cubicBezTo>
                  <a:pt x="2217021" y="1900014"/>
                  <a:pt x="2201641" y="1884423"/>
                  <a:pt x="2182674" y="1884423"/>
                </a:cubicBezTo>
                <a:close/>
                <a:moveTo>
                  <a:pt x="2266416" y="1884423"/>
                </a:moveTo>
                <a:cubicBezTo>
                  <a:pt x="2247449" y="1884423"/>
                  <a:pt x="2232069" y="1900014"/>
                  <a:pt x="2232069" y="1919243"/>
                </a:cubicBezTo>
                <a:cubicBezTo>
                  <a:pt x="2232069" y="1938472"/>
                  <a:pt x="2247449" y="1954063"/>
                  <a:pt x="2266416" y="1954063"/>
                </a:cubicBezTo>
                <a:cubicBezTo>
                  <a:pt x="2285383" y="1954063"/>
                  <a:pt x="2300762" y="1938472"/>
                  <a:pt x="2300762" y="1919243"/>
                </a:cubicBezTo>
                <a:cubicBezTo>
                  <a:pt x="2300762" y="1900014"/>
                  <a:pt x="2285383" y="1884423"/>
                  <a:pt x="2266416" y="1884423"/>
                </a:cubicBezTo>
                <a:close/>
                <a:moveTo>
                  <a:pt x="2350151" y="1884423"/>
                </a:moveTo>
                <a:cubicBezTo>
                  <a:pt x="2331184" y="1884423"/>
                  <a:pt x="2315804" y="1900014"/>
                  <a:pt x="2315804" y="1919243"/>
                </a:cubicBezTo>
                <a:cubicBezTo>
                  <a:pt x="2315804" y="1938472"/>
                  <a:pt x="2331184" y="1954063"/>
                  <a:pt x="2350151" y="1954063"/>
                </a:cubicBezTo>
                <a:cubicBezTo>
                  <a:pt x="2369118" y="1954063"/>
                  <a:pt x="2384498" y="1938472"/>
                  <a:pt x="2384498" y="1919243"/>
                </a:cubicBezTo>
                <a:cubicBezTo>
                  <a:pt x="2384498" y="1900014"/>
                  <a:pt x="2369118" y="1884423"/>
                  <a:pt x="2350151" y="1884423"/>
                </a:cubicBezTo>
                <a:close/>
                <a:moveTo>
                  <a:pt x="2433893" y="1884423"/>
                </a:moveTo>
                <a:cubicBezTo>
                  <a:pt x="2414926" y="1884423"/>
                  <a:pt x="2399546" y="1900014"/>
                  <a:pt x="2399546" y="1919243"/>
                </a:cubicBezTo>
                <a:cubicBezTo>
                  <a:pt x="2399546" y="1938472"/>
                  <a:pt x="2414926" y="1954063"/>
                  <a:pt x="2433893" y="1954063"/>
                </a:cubicBezTo>
                <a:cubicBezTo>
                  <a:pt x="2452860" y="1954063"/>
                  <a:pt x="2468240" y="1938472"/>
                  <a:pt x="2468240" y="1919243"/>
                </a:cubicBezTo>
                <a:cubicBezTo>
                  <a:pt x="2468240" y="1900014"/>
                  <a:pt x="2452860" y="1884423"/>
                  <a:pt x="2433893" y="1884423"/>
                </a:cubicBezTo>
                <a:close/>
                <a:moveTo>
                  <a:pt x="2517634" y="1884423"/>
                </a:moveTo>
                <a:cubicBezTo>
                  <a:pt x="2498667" y="1884423"/>
                  <a:pt x="2483288" y="1900014"/>
                  <a:pt x="2483288" y="1919243"/>
                </a:cubicBezTo>
                <a:cubicBezTo>
                  <a:pt x="2483288" y="1938472"/>
                  <a:pt x="2498667" y="1954063"/>
                  <a:pt x="2517634" y="1954063"/>
                </a:cubicBezTo>
                <a:cubicBezTo>
                  <a:pt x="2536601" y="1954063"/>
                  <a:pt x="2551981" y="1938472"/>
                  <a:pt x="2551981" y="1919243"/>
                </a:cubicBezTo>
                <a:cubicBezTo>
                  <a:pt x="2551981" y="1900014"/>
                  <a:pt x="2536601" y="1884423"/>
                  <a:pt x="2517634" y="1884423"/>
                </a:cubicBezTo>
                <a:close/>
                <a:moveTo>
                  <a:pt x="2601376" y="1884423"/>
                </a:moveTo>
                <a:cubicBezTo>
                  <a:pt x="2582409" y="1884423"/>
                  <a:pt x="2567029" y="1900014"/>
                  <a:pt x="2567029" y="1919243"/>
                </a:cubicBezTo>
                <a:cubicBezTo>
                  <a:pt x="2567029" y="1938472"/>
                  <a:pt x="2582409" y="1954063"/>
                  <a:pt x="2601376" y="1954063"/>
                </a:cubicBezTo>
                <a:cubicBezTo>
                  <a:pt x="2620343" y="1954063"/>
                  <a:pt x="2635722" y="1938472"/>
                  <a:pt x="2635722" y="1919243"/>
                </a:cubicBezTo>
                <a:cubicBezTo>
                  <a:pt x="2635722" y="1900014"/>
                  <a:pt x="2620343" y="1884423"/>
                  <a:pt x="2601376" y="1884423"/>
                </a:cubicBezTo>
                <a:close/>
                <a:moveTo>
                  <a:pt x="2685118" y="1884423"/>
                </a:moveTo>
                <a:cubicBezTo>
                  <a:pt x="2666151" y="1884423"/>
                  <a:pt x="2650771" y="1900014"/>
                  <a:pt x="2650771" y="1919243"/>
                </a:cubicBezTo>
                <a:cubicBezTo>
                  <a:pt x="2650771" y="1938472"/>
                  <a:pt x="2666151" y="1954063"/>
                  <a:pt x="2685118" y="1954063"/>
                </a:cubicBezTo>
                <a:cubicBezTo>
                  <a:pt x="2704085" y="1954063"/>
                  <a:pt x="2719465" y="1938472"/>
                  <a:pt x="2719465" y="1919243"/>
                </a:cubicBezTo>
                <a:cubicBezTo>
                  <a:pt x="2719465" y="1900014"/>
                  <a:pt x="2704085" y="1884423"/>
                  <a:pt x="2685118" y="1884423"/>
                </a:cubicBezTo>
                <a:close/>
                <a:moveTo>
                  <a:pt x="2768859" y="1884423"/>
                </a:moveTo>
                <a:cubicBezTo>
                  <a:pt x="2749892" y="1884423"/>
                  <a:pt x="2734512" y="1900014"/>
                  <a:pt x="2734512" y="1919243"/>
                </a:cubicBezTo>
                <a:cubicBezTo>
                  <a:pt x="2734512" y="1938472"/>
                  <a:pt x="2749892" y="1954063"/>
                  <a:pt x="2768859" y="1954063"/>
                </a:cubicBezTo>
                <a:cubicBezTo>
                  <a:pt x="2787826" y="1954063"/>
                  <a:pt x="2803206" y="1938472"/>
                  <a:pt x="2803206" y="1919243"/>
                </a:cubicBezTo>
                <a:cubicBezTo>
                  <a:pt x="2803206" y="1900014"/>
                  <a:pt x="2787826" y="1884423"/>
                  <a:pt x="2768859" y="1884423"/>
                </a:cubicBezTo>
                <a:close/>
                <a:moveTo>
                  <a:pt x="2852600" y="1884423"/>
                </a:moveTo>
                <a:cubicBezTo>
                  <a:pt x="2833633" y="1884423"/>
                  <a:pt x="2818254" y="1900014"/>
                  <a:pt x="2818254" y="1919243"/>
                </a:cubicBezTo>
                <a:cubicBezTo>
                  <a:pt x="2818254" y="1938472"/>
                  <a:pt x="2833633" y="1954063"/>
                  <a:pt x="2852600" y="1954063"/>
                </a:cubicBezTo>
                <a:cubicBezTo>
                  <a:pt x="2871567" y="1954063"/>
                  <a:pt x="2886947" y="1938472"/>
                  <a:pt x="2886947" y="1919243"/>
                </a:cubicBezTo>
                <a:cubicBezTo>
                  <a:pt x="2886947" y="1900014"/>
                  <a:pt x="2871567" y="1884423"/>
                  <a:pt x="2852600" y="1884423"/>
                </a:cubicBezTo>
                <a:close/>
                <a:moveTo>
                  <a:pt x="2936343" y="1884423"/>
                </a:moveTo>
                <a:cubicBezTo>
                  <a:pt x="2917376" y="1884423"/>
                  <a:pt x="2901996" y="1900014"/>
                  <a:pt x="2901996" y="1919243"/>
                </a:cubicBezTo>
                <a:cubicBezTo>
                  <a:pt x="2901996" y="1938472"/>
                  <a:pt x="2917376" y="1954063"/>
                  <a:pt x="2936343" y="1954063"/>
                </a:cubicBezTo>
                <a:cubicBezTo>
                  <a:pt x="2955310" y="1954063"/>
                  <a:pt x="2970689" y="1938472"/>
                  <a:pt x="2970689" y="1919243"/>
                </a:cubicBezTo>
                <a:cubicBezTo>
                  <a:pt x="2970689" y="1900014"/>
                  <a:pt x="2955310" y="1884423"/>
                  <a:pt x="2936343" y="1884423"/>
                </a:cubicBezTo>
                <a:close/>
                <a:moveTo>
                  <a:pt x="3020084" y="1884423"/>
                </a:moveTo>
                <a:cubicBezTo>
                  <a:pt x="3001117" y="1884423"/>
                  <a:pt x="2985737" y="1900014"/>
                  <a:pt x="2985737" y="1919243"/>
                </a:cubicBezTo>
                <a:cubicBezTo>
                  <a:pt x="2985737" y="1938472"/>
                  <a:pt x="3001117" y="1954063"/>
                  <a:pt x="3020084" y="1954063"/>
                </a:cubicBezTo>
                <a:cubicBezTo>
                  <a:pt x="3039051" y="1954063"/>
                  <a:pt x="3054431" y="1938472"/>
                  <a:pt x="3054431" y="1919243"/>
                </a:cubicBezTo>
                <a:cubicBezTo>
                  <a:pt x="3054431" y="1900014"/>
                  <a:pt x="3039051" y="1884423"/>
                  <a:pt x="3020084" y="1884423"/>
                </a:cubicBezTo>
                <a:close/>
                <a:moveTo>
                  <a:pt x="3103826" y="1884423"/>
                </a:moveTo>
                <a:cubicBezTo>
                  <a:pt x="3084859" y="1884423"/>
                  <a:pt x="3069479" y="1900014"/>
                  <a:pt x="3069479" y="1919243"/>
                </a:cubicBezTo>
                <a:cubicBezTo>
                  <a:pt x="3069479" y="1938472"/>
                  <a:pt x="3084859" y="1954063"/>
                  <a:pt x="3103826" y="1954063"/>
                </a:cubicBezTo>
                <a:cubicBezTo>
                  <a:pt x="3122793" y="1954063"/>
                  <a:pt x="3138173" y="1938472"/>
                  <a:pt x="3138173" y="1919243"/>
                </a:cubicBezTo>
                <a:cubicBezTo>
                  <a:pt x="3138173" y="1900014"/>
                  <a:pt x="3122793" y="1884423"/>
                  <a:pt x="3103826" y="1884423"/>
                </a:cubicBezTo>
                <a:close/>
                <a:moveTo>
                  <a:pt x="3271309" y="1884423"/>
                </a:moveTo>
                <a:cubicBezTo>
                  <a:pt x="3252342" y="1884423"/>
                  <a:pt x="3236962" y="1900014"/>
                  <a:pt x="3236962" y="1919243"/>
                </a:cubicBezTo>
                <a:cubicBezTo>
                  <a:pt x="3236962" y="1938472"/>
                  <a:pt x="3252342" y="1954063"/>
                  <a:pt x="3271309" y="1954063"/>
                </a:cubicBezTo>
                <a:cubicBezTo>
                  <a:pt x="3290276" y="1954063"/>
                  <a:pt x="3305655" y="1938472"/>
                  <a:pt x="3305655" y="1919243"/>
                </a:cubicBezTo>
                <a:cubicBezTo>
                  <a:pt x="3305655" y="1900014"/>
                  <a:pt x="3290276" y="1884423"/>
                  <a:pt x="3271309" y="1884423"/>
                </a:cubicBezTo>
                <a:close/>
                <a:moveTo>
                  <a:pt x="3857500" y="1884423"/>
                </a:moveTo>
                <a:cubicBezTo>
                  <a:pt x="3838533" y="1884423"/>
                  <a:pt x="3823154" y="1900014"/>
                  <a:pt x="3823154" y="1919243"/>
                </a:cubicBezTo>
                <a:cubicBezTo>
                  <a:pt x="3823154" y="1938472"/>
                  <a:pt x="3838533" y="1954063"/>
                  <a:pt x="3857500" y="1954063"/>
                </a:cubicBezTo>
                <a:cubicBezTo>
                  <a:pt x="3876467" y="1954063"/>
                  <a:pt x="3891847" y="1938472"/>
                  <a:pt x="3891847" y="1919243"/>
                </a:cubicBezTo>
                <a:cubicBezTo>
                  <a:pt x="3891847" y="1900014"/>
                  <a:pt x="3876467" y="1884423"/>
                  <a:pt x="3857500" y="1884423"/>
                </a:cubicBezTo>
                <a:close/>
                <a:moveTo>
                  <a:pt x="4108732" y="1884423"/>
                </a:moveTo>
                <a:cubicBezTo>
                  <a:pt x="4089765" y="1884423"/>
                  <a:pt x="4074386" y="1900014"/>
                  <a:pt x="4074386" y="1919243"/>
                </a:cubicBezTo>
                <a:cubicBezTo>
                  <a:pt x="4074386" y="1938472"/>
                  <a:pt x="4089765" y="1954063"/>
                  <a:pt x="4108732" y="1954063"/>
                </a:cubicBezTo>
                <a:cubicBezTo>
                  <a:pt x="4127699" y="1954063"/>
                  <a:pt x="4143079" y="1938472"/>
                  <a:pt x="4143079" y="1919243"/>
                </a:cubicBezTo>
                <a:cubicBezTo>
                  <a:pt x="4143079" y="1900014"/>
                  <a:pt x="4127699" y="1884423"/>
                  <a:pt x="4108732" y="1884423"/>
                </a:cubicBezTo>
                <a:close/>
                <a:moveTo>
                  <a:pt x="4611182" y="1884423"/>
                </a:moveTo>
                <a:cubicBezTo>
                  <a:pt x="4592215" y="1884423"/>
                  <a:pt x="4576835" y="1900014"/>
                  <a:pt x="4576835" y="1919243"/>
                </a:cubicBezTo>
                <a:cubicBezTo>
                  <a:pt x="4576835" y="1938472"/>
                  <a:pt x="4592215" y="1954063"/>
                  <a:pt x="4611182" y="1954063"/>
                </a:cubicBezTo>
                <a:cubicBezTo>
                  <a:pt x="4630149" y="1954063"/>
                  <a:pt x="4645528" y="1938472"/>
                  <a:pt x="4645528" y="1919243"/>
                </a:cubicBezTo>
                <a:cubicBezTo>
                  <a:pt x="4645528" y="1900014"/>
                  <a:pt x="4630149" y="1884423"/>
                  <a:pt x="4611182" y="1884423"/>
                </a:cubicBezTo>
                <a:close/>
                <a:moveTo>
                  <a:pt x="4694923" y="1884423"/>
                </a:moveTo>
                <a:cubicBezTo>
                  <a:pt x="4675956" y="1884423"/>
                  <a:pt x="4660576" y="1900014"/>
                  <a:pt x="4660576" y="1919243"/>
                </a:cubicBezTo>
                <a:cubicBezTo>
                  <a:pt x="4660576" y="1938472"/>
                  <a:pt x="4675956" y="1954063"/>
                  <a:pt x="4694923" y="1954063"/>
                </a:cubicBezTo>
                <a:cubicBezTo>
                  <a:pt x="4713890" y="1954063"/>
                  <a:pt x="4729270" y="1938472"/>
                  <a:pt x="4729270" y="1919243"/>
                </a:cubicBezTo>
                <a:cubicBezTo>
                  <a:pt x="4729270" y="1900014"/>
                  <a:pt x="4713890" y="1884423"/>
                  <a:pt x="4694923" y="1884423"/>
                </a:cubicBezTo>
                <a:close/>
                <a:moveTo>
                  <a:pt x="5364856" y="1884423"/>
                </a:moveTo>
                <a:cubicBezTo>
                  <a:pt x="5345889" y="1884423"/>
                  <a:pt x="5330509" y="1900014"/>
                  <a:pt x="5330509" y="1919243"/>
                </a:cubicBezTo>
                <a:cubicBezTo>
                  <a:pt x="5330509" y="1938472"/>
                  <a:pt x="5345889" y="1954063"/>
                  <a:pt x="5364856" y="1954063"/>
                </a:cubicBezTo>
                <a:cubicBezTo>
                  <a:pt x="5383823" y="1954063"/>
                  <a:pt x="5399203" y="1938472"/>
                  <a:pt x="5399203" y="1919243"/>
                </a:cubicBezTo>
                <a:cubicBezTo>
                  <a:pt x="5399203" y="1900014"/>
                  <a:pt x="5383823" y="1884423"/>
                  <a:pt x="5364856" y="1884423"/>
                </a:cubicBezTo>
                <a:close/>
                <a:moveTo>
                  <a:pt x="6202273" y="1884423"/>
                </a:moveTo>
                <a:cubicBezTo>
                  <a:pt x="6183306" y="1884423"/>
                  <a:pt x="6167920" y="1900014"/>
                  <a:pt x="6167920" y="1919243"/>
                </a:cubicBezTo>
                <a:cubicBezTo>
                  <a:pt x="6167920" y="1938472"/>
                  <a:pt x="6183306" y="1954063"/>
                  <a:pt x="6202273" y="1954063"/>
                </a:cubicBezTo>
                <a:cubicBezTo>
                  <a:pt x="6221240" y="1954063"/>
                  <a:pt x="6236613" y="1938472"/>
                  <a:pt x="6236613" y="1919243"/>
                </a:cubicBezTo>
                <a:cubicBezTo>
                  <a:pt x="6236613" y="1900014"/>
                  <a:pt x="6221240" y="1884423"/>
                  <a:pt x="6202273" y="1884423"/>
                </a:cubicBezTo>
                <a:close/>
                <a:moveTo>
                  <a:pt x="6286014" y="1884423"/>
                </a:moveTo>
                <a:cubicBezTo>
                  <a:pt x="6267047" y="1884423"/>
                  <a:pt x="6251661" y="1900014"/>
                  <a:pt x="6251661" y="1919243"/>
                </a:cubicBezTo>
                <a:cubicBezTo>
                  <a:pt x="6251661" y="1938472"/>
                  <a:pt x="6267047" y="1954063"/>
                  <a:pt x="6286014" y="1954063"/>
                </a:cubicBezTo>
                <a:cubicBezTo>
                  <a:pt x="6304981" y="1954063"/>
                  <a:pt x="6320354" y="1938472"/>
                  <a:pt x="6320354" y="1919243"/>
                </a:cubicBezTo>
                <a:cubicBezTo>
                  <a:pt x="6320354" y="1900014"/>
                  <a:pt x="6304981" y="1884423"/>
                  <a:pt x="6286014" y="1884423"/>
                </a:cubicBezTo>
                <a:close/>
                <a:moveTo>
                  <a:pt x="6537239" y="1884423"/>
                </a:moveTo>
                <a:cubicBezTo>
                  <a:pt x="6518272" y="1884423"/>
                  <a:pt x="6502886" y="1900014"/>
                  <a:pt x="6502886" y="1919243"/>
                </a:cubicBezTo>
                <a:cubicBezTo>
                  <a:pt x="6502886" y="1938472"/>
                  <a:pt x="6518272" y="1954063"/>
                  <a:pt x="6537239" y="1954063"/>
                </a:cubicBezTo>
                <a:cubicBezTo>
                  <a:pt x="6556206" y="1954063"/>
                  <a:pt x="6571579" y="1938472"/>
                  <a:pt x="6571579" y="1919243"/>
                </a:cubicBezTo>
                <a:cubicBezTo>
                  <a:pt x="6571579" y="1900014"/>
                  <a:pt x="6556206" y="1884423"/>
                  <a:pt x="6537239" y="1884423"/>
                </a:cubicBezTo>
                <a:close/>
                <a:moveTo>
                  <a:pt x="6620980" y="1884423"/>
                </a:moveTo>
                <a:cubicBezTo>
                  <a:pt x="6602013" y="1884423"/>
                  <a:pt x="6586627" y="1900014"/>
                  <a:pt x="6586627" y="1919243"/>
                </a:cubicBezTo>
                <a:cubicBezTo>
                  <a:pt x="6586627" y="1938472"/>
                  <a:pt x="6602013" y="1954063"/>
                  <a:pt x="6620980" y="1954063"/>
                </a:cubicBezTo>
                <a:cubicBezTo>
                  <a:pt x="6639947" y="1954063"/>
                  <a:pt x="6655320" y="1938472"/>
                  <a:pt x="6655320" y="1919243"/>
                </a:cubicBezTo>
                <a:cubicBezTo>
                  <a:pt x="6655320" y="1900014"/>
                  <a:pt x="6639947" y="1884423"/>
                  <a:pt x="6620980" y="1884423"/>
                </a:cubicBezTo>
                <a:close/>
                <a:moveTo>
                  <a:pt x="6704722" y="1884423"/>
                </a:moveTo>
                <a:cubicBezTo>
                  <a:pt x="6685755" y="1884423"/>
                  <a:pt x="6670369" y="1900014"/>
                  <a:pt x="6670369" y="1919243"/>
                </a:cubicBezTo>
                <a:cubicBezTo>
                  <a:pt x="6670369" y="1938472"/>
                  <a:pt x="6685755" y="1954063"/>
                  <a:pt x="6704722" y="1954063"/>
                </a:cubicBezTo>
                <a:cubicBezTo>
                  <a:pt x="6723689" y="1954063"/>
                  <a:pt x="6739063" y="1938472"/>
                  <a:pt x="6739063" y="1919243"/>
                </a:cubicBezTo>
                <a:cubicBezTo>
                  <a:pt x="6739063" y="1900014"/>
                  <a:pt x="6723689" y="1884423"/>
                  <a:pt x="6704722" y="1884423"/>
                </a:cubicBezTo>
                <a:close/>
                <a:moveTo>
                  <a:pt x="6872206" y="1884423"/>
                </a:moveTo>
                <a:cubicBezTo>
                  <a:pt x="6853239" y="1884423"/>
                  <a:pt x="6837853" y="1900014"/>
                  <a:pt x="6837853" y="1919243"/>
                </a:cubicBezTo>
                <a:cubicBezTo>
                  <a:pt x="6837853" y="1938472"/>
                  <a:pt x="6853239" y="1954063"/>
                  <a:pt x="6872206" y="1954063"/>
                </a:cubicBezTo>
                <a:cubicBezTo>
                  <a:pt x="6891173" y="1954063"/>
                  <a:pt x="6906546" y="1938472"/>
                  <a:pt x="6906546" y="1919243"/>
                </a:cubicBezTo>
                <a:cubicBezTo>
                  <a:pt x="6906546" y="1900014"/>
                  <a:pt x="6891173" y="1884423"/>
                  <a:pt x="6872206" y="1884423"/>
                </a:cubicBezTo>
                <a:close/>
                <a:moveTo>
                  <a:pt x="6955947" y="1884423"/>
                </a:moveTo>
                <a:cubicBezTo>
                  <a:pt x="6936980" y="1884423"/>
                  <a:pt x="6921594" y="1900014"/>
                  <a:pt x="6921594" y="1919243"/>
                </a:cubicBezTo>
                <a:cubicBezTo>
                  <a:pt x="6921594" y="1938472"/>
                  <a:pt x="6936980" y="1954063"/>
                  <a:pt x="6955947" y="1954063"/>
                </a:cubicBezTo>
                <a:cubicBezTo>
                  <a:pt x="6974914" y="1954063"/>
                  <a:pt x="6990287" y="1938472"/>
                  <a:pt x="6990287" y="1919243"/>
                </a:cubicBezTo>
                <a:cubicBezTo>
                  <a:pt x="6990287" y="1900014"/>
                  <a:pt x="6974914" y="1884423"/>
                  <a:pt x="6955947" y="1884423"/>
                </a:cubicBezTo>
                <a:close/>
                <a:moveTo>
                  <a:pt x="7039688" y="1884423"/>
                </a:moveTo>
                <a:cubicBezTo>
                  <a:pt x="7020721" y="1884423"/>
                  <a:pt x="7005335" y="1900014"/>
                  <a:pt x="7005335" y="1919243"/>
                </a:cubicBezTo>
                <a:cubicBezTo>
                  <a:pt x="7005335" y="1938472"/>
                  <a:pt x="7020721" y="1954063"/>
                  <a:pt x="7039688" y="1954063"/>
                </a:cubicBezTo>
                <a:cubicBezTo>
                  <a:pt x="7058655" y="1954063"/>
                  <a:pt x="7074029" y="1938472"/>
                  <a:pt x="7074029" y="1919243"/>
                </a:cubicBezTo>
                <a:cubicBezTo>
                  <a:pt x="7074029" y="1900014"/>
                  <a:pt x="7058655" y="1884423"/>
                  <a:pt x="7039688" y="1884423"/>
                </a:cubicBezTo>
                <a:close/>
                <a:moveTo>
                  <a:pt x="7123456" y="1884423"/>
                </a:moveTo>
                <a:cubicBezTo>
                  <a:pt x="7104489" y="1884423"/>
                  <a:pt x="7089103" y="1900014"/>
                  <a:pt x="7089103" y="1919243"/>
                </a:cubicBezTo>
                <a:cubicBezTo>
                  <a:pt x="7089103" y="1938472"/>
                  <a:pt x="7104489" y="1954063"/>
                  <a:pt x="7123456" y="1954063"/>
                </a:cubicBezTo>
                <a:cubicBezTo>
                  <a:pt x="7142423" y="1954063"/>
                  <a:pt x="7157796" y="1938472"/>
                  <a:pt x="7157796" y="1919243"/>
                </a:cubicBezTo>
                <a:cubicBezTo>
                  <a:pt x="7157796" y="1900014"/>
                  <a:pt x="7142423" y="1884423"/>
                  <a:pt x="7123456" y="1884423"/>
                </a:cubicBezTo>
                <a:close/>
                <a:moveTo>
                  <a:pt x="7207198" y="1884423"/>
                </a:moveTo>
                <a:cubicBezTo>
                  <a:pt x="7188231" y="1884423"/>
                  <a:pt x="7172845" y="1900014"/>
                  <a:pt x="7172845" y="1919243"/>
                </a:cubicBezTo>
                <a:cubicBezTo>
                  <a:pt x="7172845" y="1938472"/>
                  <a:pt x="7188231" y="1954063"/>
                  <a:pt x="7207198" y="1954063"/>
                </a:cubicBezTo>
                <a:cubicBezTo>
                  <a:pt x="7226165" y="1954063"/>
                  <a:pt x="7241538" y="1938472"/>
                  <a:pt x="7241538" y="1919243"/>
                </a:cubicBezTo>
                <a:cubicBezTo>
                  <a:pt x="7241538" y="1900014"/>
                  <a:pt x="7226165" y="1884423"/>
                  <a:pt x="7207198" y="1884423"/>
                </a:cubicBezTo>
                <a:close/>
                <a:moveTo>
                  <a:pt x="7290939" y="1884423"/>
                </a:moveTo>
                <a:cubicBezTo>
                  <a:pt x="7271972" y="1884423"/>
                  <a:pt x="7256586" y="1900014"/>
                  <a:pt x="7256586" y="1919243"/>
                </a:cubicBezTo>
                <a:cubicBezTo>
                  <a:pt x="7256586" y="1938472"/>
                  <a:pt x="7271972" y="1954063"/>
                  <a:pt x="7290939" y="1954063"/>
                </a:cubicBezTo>
                <a:cubicBezTo>
                  <a:pt x="7309906" y="1954063"/>
                  <a:pt x="7325279" y="1938472"/>
                  <a:pt x="7325279" y="1919243"/>
                </a:cubicBezTo>
                <a:cubicBezTo>
                  <a:pt x="7325279" y="1900014"/>
                  <a:pt x="7309906" y="1884423"/>
                  <a:pt x="7290939" y="1884423"/>
                </a:cubicBezTo>
                <a:close/>
                <a:moveTo>
                  <a:pt x="7374681" y="1884423"/>
                </a:moveTo>
                <a:cubicBezTo>
                  <a:pt x="7355714" y="1884423"/>
                  <a:pt x="7340328" y="1900014"/>
                  <a:pt x="7340328" y="1919243"/>
                </a:cubicBezTo>
                <a:cubicBezTo>
                  <a:pt x="7340328" y="1938472"/>
                  <a:pt x="7355714" y="1954063"/>
                  <a:pt x="7374681" y="1954063"/>
                </a:cubicBezTo>
                <a:cubicBezTo>
                  <a:pt x="7393648" y="1954063"/>
                  <a:pt x="7409022" y="1938472"/>
                  <a:pt x="7409022" y="1919243"/>
                </a:cubicBezTo>
                <a:cubicBezTo>
                  <a:pt x="7409022" y="1900014"/>
                  <a:pt x="7393648" y="1884423"/>
                  <a:pt x="7374681" y="1884423"/>
                </a:cubicBezTo>
                <a:close/>
                <a:moveTo>
                  <a:pt x="7458423" y="1884423"/>
                </a:moveTo>
                <a:cubicBezTo>
                  <a:pt x="7439456" y="1884423"/>
                  <a:pt x="7424070" y="1900014"/>
                  <a:pt x="7424070" y="1919243"/>
                </a:cubicBezTo>
                <a:cubicBezTo>
                  <a:pt x="7424070" y="1938472"/>
                  <a:pt x="7439456" y="1954063"/>
                  <a:pt x="7458423" y="1954063"/>
                </a:cubicBezTo>
                <a:cubicBezTo>
                  <a:pt x="7477390" y="1954063"/>
                  <a:pt x="7492763" y="1938472"/>
                  <a:pt x="7492763" y="1919243"/>
                </a:cubicBezTo>
                <a:cubicBezTo>
                  <a:pt x="7492763" y="1900014"/>
                  <a:pt x="7477390" y="1884423"/>
                  <a:pt x="7458423" y="1884423"/>
                </a:cubicBezTo>
                <a:close/>
                <a:moveTo>
                  <a:pt x="7542164" y="1884423"/>
                </a:moveTo>
                <a:cubicBezTo>
                  <a:pt x="7523197" y="1884423"/>
                  <a:pt x="7507811" y="1900014"/>
                  <a:pt x="7507811" y="1919243"/>
                </a:cubicBezTo>
                <a:cubicBezTo>
                  <a:pt x="7507811" y="1938472"/>
                  <a:pt x="7523197" y="1954063"/>
                  <a:pt x="7542164" y="1954063"/>
                </a:cubicBezTo>
                <a:cubicBezTo>
                  <a:pt x="7561131" y="1954063"/>
                  <a:pt x="7576504" y="1938472"/>
                  <a:pt x="7576504" y="1919243"/>
                </a:cubicBezTo>
                <a:cubicBezTo>
                  <a:pt x="7576504" y="1900014"/>
                  <a:pt x="7561131" y="1884423"/>
                  <a:pt x="7542164" y="1884423"/>
                </a:cubicBezTo>
                <a:close/>
                <a:moveTo>
                  <a:pt x="7625906" y="1884423"/>
                </a:moveTo>
                <a:cubicBezTo>
                  <a:pt x="7606939" y="1884423"/>
                  <a:pt x="7591553" y="1900014"/>
                  <a:pt x="7591553" y="1919243"/>
                </a:cubicBezTo>
                <a:cubicBezTo>
                  <a:pt x="7591553" y="1938472"/>
                  <a:pt x="7606939" y="1954063"/>
                  <a:pt x="7625906" y="1954063"/>
                </a:cubicBezTo>
                <a:cubicBezTo>
                  <a:pt x="7644873" y="1954063"/>
                  <a:pt x="7660246" y="1938472"/>
                  <a:pt x="7660246" y="1919243"/>
                </a:cubicBezTo>
                <a:cubicBezTo>
                  <a:pt x="7660246" y="1900014"/>
                  <a:pt x="7644873" y="1884423"/>
                  <a:pt x="7625906" y="1884423"/>
                </a:cubicBezTo>
                <a:close/>
                <a:moveTo>
                  <a:pt x="7709647" y="1884423"/>
                </a:moveTo>
                <a:cubicBezTo>
                  <a:pt x="7690680" y="1884423"/>
                  <a:pt x="7675294" y="1900014"/>
                  <a:pt x="7675294" y="1919243"/>
                </a:cubicBezTo>
                <a:cubicBezTo>
                  <a:pt x="7675294" y="1938472"/>
                  <a:pt x="7690680" y="1954063"/>
                  <a:pt x="7709647" y="1954063"/>
                </a:cubicBezTo>
                <a:cubicBezTo>
                  <a:pt x="7728614" y="1954063"/>
                  <a:pt x="7743988" y="1938472"/>
                  <a:pt x="7743988" y="1919243"/>
                </a:cubicBezTo>
                <a:cubicBezTo>
                  <a:pt x="7743988" y="1900014"/>
                  <a:pt x="7728614" y="1884423"/>
                  <a:pt x="7709647" y="1884423"/>
                </a:cubicBezTo>
                <a:close/>
                <a:moveTo>
                  <a:pt x="7793389" y="1884423"/>
                </a:moveTo>
                <a:cubicBezTo>
                  <a:pt x="7774422" y="1884423"/>
                  <a:pt x="7759036" y="1900014"/>
                  <a:pt x="7759036" y="1919243"/>
                </a:cubicBezTo>
                <a:cubicBezTo>
                  <a:pt x="7759036" y="1938472"/>
                  <a:pt x="7774422" y="1954063"/>
                  <a:pt x="7793389" y="1954063"/>
                </a:cubicBezTo>
                <a:cubicBezTo>
                  <a:pt x="7812356" y="1954063"/>
                  <a:pt x="7827729" y="1938472"/>
                  <a:pt x="7827729" y="1919243"/>
                </a:cubicBezTo>
                <a:cubicBezTo>
                  <a:pt x="7827729" y="1900014"/>
                  <a:pt x="7812356" y="1884423"/>
                  <a:pt x="7793389" y="1884423"/>
                </a:cubicBezTo>
                <a:close/>
                <a:moveTo>
                  <a:pt x="7877131" y="1884423"/>
                </a:moveTo>
                <a:cubicBezTo>
                  <a:pt x="7858164" y="1884423"/>
                  <a:pt x="7842778" y="1900014"/>
                  <a:pt x="7842778" y="1919243"/>
                </a:cubicBezTo>
                <a:cubicBezTo>
                  <a:pt x="7842778" y="1938472"/>
                  <a:pt x="7858164" y="1954063"/>
                  <a:pt x="7877131" y="1954063"/>
                </a:cubicBezTo>
                <a:cubicBezTo>
                  <a:pt x="7896098" y="1954063"/>
                  <a:pt x="7911471" y="1938472"/>
                  <a:pt x="7911471" y="1919243"/>
                </a:cubicBezTo>
                <a:cubicBezTo>
                  <a:pt x="7911471" y="1900014"/>
                  <a:pt x="7896098" y="1884423"/>
                  <a:pt x="7877131" y="1884423"/>
                </a:cubicBezTo>
                <a:close/>
                <a:moveTo>
                  <a:pt x="7960872" y="1884423"/>
                </a:moveTo>
                <a:cubicBezTo>
                  <a:pt x="7941905" y="1884423"/>
                  <a:pt x="7926519" y="1900014"/>
                  <a:pt x="7926519" y="1919243"/>
                </a:cubicBezTo>
                <a:cubicBezTo>
                  <a:pt x="7926519" y="1938472"/>
                  <a:pt x="7941905" y="1954063"/>
                  <a:pt x="7960872" y="1954063"/>
                </a:cubicBezTo>
                <a:cubicBezTo>
                  <a:pt x="7979839" y="1954063"/>
                  <a:pt x="7995212" y="1938472"/>
                  <a:pt x="7995212" y="1919243"/>
                </a:cubicBezTo>
                <a:cubicBezTo>
                  <a:pt x="7995212" y="1900014"/>
                  <a:pt x="7979839" y="1884423"/>
                  <a:pt x="7960872" y="1884423"/>
                </a:cubicBezTo>
                <a:close/>
                <a:moveTo>
                  <a:pt x="8044614" y="1884423"/>
                </a:moveTo>
                <a:cubicBezTo>
                  <a:pt x="8025647" y="1884423"/>
                  <a:pt x="8010261" y="1900014"/>
                  <a:pt x="8010261" y="1919243"/>
                </a:cubicBezTo>
                <a:cubicBezTo>
                  <a:pt x="8010261" y="1938472"/>
                  <a:pt x="8025647" y="1954063"/>
                  <a:pt x="8044614" y="1954063"/>
                </a:cubicBezTo>
                <a:cubicBezTo>
                  <a:pt x="8063581" y="1954063"/>
                  <a:pt x="8078955" y="1938472"/>
                  <a:pt x="8078955" y="1919243"/>
                </a:cubicBezTo>
                <a:cubicBezTo>
                  <a:pt x="8078955" y="1900014"/>
                  <a:pt x="8063581" y="1884423"/>
                  <a:pt x="8044614" y="1884423"/>
                </a:cubicBezTo>
                <a:close/>
                <a:moveTo>
                  <a:pt x="8128356" y="1884423"/>
                </a:moveTo>
                <a:cubicBezTo>
                  <a:pt x="8109389" y="1884423"/>
                  <a:pt x="8094003" y="1900014"/>
                  <a:pt x="8094003" y="1919243"/>
                </a:cubicBezTo>
                <a:cubicBezTo>
                  <a:pt x="8094003" y="1938472"/>
                  <a:pt x="8109389" y="1954063"/>
                  <a:pt x="8128356" y="1954063"/>
                </a:cubicBezTo>
                <a:cubicBezTo>
                  <a:pt x="8147323" y="1954063"/>
                  <a:pt x="8162696" y="1938472"/>
                  <a:pt x="8162696" y="1919243"/>
                </a:cubicBezTo>
                <a:cubicBezTo>
                  <a:pt x="8162696" y="1900014"/>
                  <a:pt x="8147323" y="1884423"/>
                  <a:pt x="8128356" y="1884423"/>
                </a:cubicBezTo>
                <a:close/>
                <a:moveTo>
                  <a:pt x="8212097" y="1884423"/>
                </a:moveTo>
                <a:cubicBezTo>
                  <a:pt x="8193130" y="1884423"/>
                  <a:pt x="8177744" y="1900014"/>
                  <a:pt x="8177744" y="1919243"/>
                </a:cubicBezTo>
                <a:cubicBezTo>
                  <a:pt x="8177744" y="1938472"/>
                  <a:pt x="8193130" y="1954063"/>
                  <a:pt x="8212097" y="1954063"/>
                </a:cubicBezTo>
                <a:cubicBezTo>
                  <a:pt x="8231064" y="1954063"/>
                  <a:pt x="8246437" y="1938472"/>
                  <a:pt x="8246437" y="1919243"/>
                </a:cubicBezTo>
                <a:cubicBezTo>
                  <a:pt x="8246437" y="1900014"/>
                  <a:pt x="8231064" y="1884423"/>
                  <a:pt x="8212097" y="1884423"/>
                </a:cubicBezTo>
                <a:close/>
                <a:moveTo>
                  <a:pt x="8295839" y="1884423"/>
                </a:moveTo>
                <a:cubicBezTo>
                  <a:pt x="8276872" y="1884423"/>
                  <a:pt x="8261486" y="1900014"/>
                  <a:pt x="8261486" y="1919243"/>
                </a:cubicBezTo>
                <a:cubicBezTo>
                  <a:pt x="8261486" y="1938472"/>
                  <a:pt x="8276872" y="1954063"/>
                  <a:pt x="8295839" y="1954063"/>
                </a:cubicBezTo>
                <a:cubicBezTo>
                  <a:pt x="8314806" y="1954063"/>
                  <a:pt x="8330179" y="1938472"/>
                  <a:pt x="8330179" y="1919243"/>
                </a:cubicBezTo>
                <a:cubicBezTo>
                  <a:pt x="8330179" y="1900014"/>
                  <a:pt x="8314806" y="1884423"/>
                  <a:pt x="8295839" y="1884423"/>
                </a:cubicBezTo>
                <a:close/>
                <a:moveTo>
                  <a:pt x="8379580" y="1884423"/>
                </a:moveTo>
                <a:cubicBezTo>
                  <a:pt x="8360613" y="1884423"/>
                  <a:pt x="8345227" y="1900014"/>
                  <a:pt x="8345227" y="1919243"/>
                </a:cubicBezTo>
                <a:cubicBezTo>
                  <a:pt x="8345227" y="1938472"/>
                  <a:pt x="8360613" y="1954063"/>
                  <a:pt x="8379580" y="1954063"/>
                </a:cubicBezTo>
                <a:cubicBezTo>
                  <a:pt x="8398547" y="1954063"/>
                  <a:pt x="8413921" y="1938472"/>
                  <a:pt x="8413921" y="1919243"/>
                </a:cubicBezTo>
                <a:cubicBezTo>
                  <a:pt x="8413921" y="1900014"/>
                  <a:pt x="8398547" y="1884423"/>
                  <a:pt x="8379580" y="1884423"/>
                </a:cubicBezTo>
                <a:close/>
                <a:moveTo>
                  <a:pt x="8463323" y="1884423"/>
                </a:moveTo>
                <a:cubicBezTo>
                  <a:pt x="8444356" y="1884423"/>
                  <a:pt x="8428970" y="1900014"/>
                  <a:pt x="8428970" y="1919243"/>
                </a:cubicBezTo>
                <a:cubicBezTo>
                  <a:pt x="8428970" y="1938472"/>
                  <a:pt x="8444356" y="1954063"/>
                  <a:pt x="8463323" y="1954063"/>
                </a:cubicBezTo>
                <a:cubicBezTo>
                  <a:pt x="8482290" y="1954063"/>
                  <a:pt x="8497663" y="1938472"/>
                  <a:pt x="8497663" y="1919243"/>
                </a:cubicBezTo>
                <a:cubicBezTo>
                  <a:pt x="8497663" y="1900014"/>
                  <a:pt x="8482290" y="1884423"/>
                  <a:pt x="8463323" y="1884423"/>
                </a:cubicBezTo>
                <a:close/>
                <a:moveTo>
                  <a:pt x="8547064" y="1884423"/>
                </a:moveTo>
                <a:cubicBezTo>
                  <a:pt x="8528097" y="1884423"/>
                  <a:pt x="8512711" y="1900014"/>
                  <a:pt x="8512711" y="1919243"/>
                </a:cubicBezTo>
                <a:cubicBezTo>
                  <a:pt x="8512711" y="1938472"/>
                  <a:pt x="8528097" y="1954063"/>
                  <a:pt x="8547064" y="1954063"/>
                </a:cubicBezTo>
                <a:cubicBezTo>
                  <a:pt x="8566031" y="1954063"/>
                  <a:pt x="8581404" y="1938472"/>
                  <a:pt x="8581404" y="1919243"/>
                </a:cubicBezTo>
                <a:cubicBezTo>
                  <a:pt x="8581404" y="1900014"/>
                  <a:pt x="8566031" y="1884423"/>
                  <a:pt x="8547064" y="1884423"/>
                </a:cubicBezTo>
                <a:close/>
                <a:moveTo>
                  <a:pt x="8630805" y="1884423"/>
                </a:moveTo>
                <a:cubicBezTo>
                  <a:pt x="8611838" y="1884423"/>
                  <a:pt x="8596452" y="1900014"/>
                  <a:pt x="8596452" y="1919243"/>
                </a:cubicBezTo>
                <a:cubicBezTo>
                  <a:pt x="8596452" y="1938472"/>
                  <a:pt x="8611838" y="1954063"/>
                  <a:pt x="8630805" y="1954063"/>
                </a:cubicBezTo>
                <a:cubicBezTo>
                  <a:pt x="8649772" y="1954063"/>
                  <a:pt x="8665145" y="1938472"/>
                  <a:pt x="8665145" y="1919243"/>
                </a:cubicBezTo>
                <a:cubicBezTo>
                  <a:pt x="8665145" y="1900014"/>
                  <a:pt x="8649772" y="1884423"/>
                  <a:pt x="8630805" y="1884423"/>
                </a:cubicBezTo>
                <a:close/>
                <a:moveTo>
                  <a:pt x="8714547" y="1884423"/>
                </a:moveTo>
                <a:cubicBezTo>
                  <a:pt x="8695580" y="1884423"/>
                  <a:pt x="8680194" y="1900014"/>
                  <a:pt x="8680194" y="1919243"/>
                </a:cubicBezTo>
                <a:cubicBezTo>
                  <a:pt x="8680194" y="1938472"/>
                  <a:pt x="8695580" y="1954063"/>
                  <a:pt x="8714547" y="1954063"/>
                </a:cubicBezTo>
                <a:cubicBezTo>
                  <a:pt x="8733514" y="1954063"/>
                  <a:pt x="8748888" y="1938472"/>
                  <a:pt x="8748888" y="1919243"/>
                </a:cubicBezTo>
                <a:cubicBezTo>
                  <a:pt x="8748888" y="1900014"/>
                  <a:pt x="8733514" y="1884423"/>
                  <a:pt x="8714547" y="1884423"/>
                </a:cubicBezTo>
                <a:close/>
                <a:moveTo>
                  <a:pt x="8798289" y="1884423"/>
                </a:moveTo>
                <a:cubicBezTo>
                  <a:pt x="8779322" y="1884423"/>
                  <a:pt x="8763936" y="1900014"/>
                  <a:pt x="8763936" y="1919243"/>
                </a:cubicBezTo>
                <a:cubicBezTo>
                  <a:pt x="8763936" y="1938472"/>
                  <a:pt x="8779322" y="1954063"/>
                  <a:pt x="8798289" y="1954063"/>
                </a:cubicBezTo>
                <a:cubicBezTo>
                  <a:pt x="8817256" y="1954063"/>
                  <a:pt x="8832629" y="1938472"/>
                  <a:pt x="8832629" y="1919243"/>
                </a:cubicBezTo>
                <a:cubicBezTo>
                  <a:pt x="8832629" y="1900014"/>
                  <a:pt x="8817256" y="1884423"/>
                  <a:pt x="8798289" y="1884423"/>
                </a:cubicBezTo>
                <a:close/>
                <a:moveTo>
                  <a:pt x="8882030" y="1884423"/>
                </a:moveTo>
                <a:cubicBezTo>
                  <a:pt x="8863063" y="1884423"/>
                  <a:pt x="8847677" y="1900014"/>
                  <a:pt x="8847677" y="1919243"/>
                </a:cubicBezTo>
                <a:cubicBezTo>
                  <a:pt x="8847677" y="1938472"/>
                  <a:pt x="8863063" y="1954063"/>
                  <a:pt x="8882030" y="1954063"/>
                </a:cubicBezTo>
                <a:cubicBezTo>
                  <a:pt x="8900997" y="1954063"/>
                  <a:pt x="8916370" y="1938472"/>
                  <a:pt x="8916370" y="1919243"/>
                </a:cubicBezTo>
                <a:cubicBezTo>
                  <a:pt x="8916370" y="1900014"/>
                  <a:pt x="8900997" y="1884423"/>
                  <a:pt x="8882030" y="1884423"/>
                </a:cubicBezTo>
                <a:close/>
                <a:moveTo>
                  <a:pt x="8965772" y="1884423"/>
                </a:moveTo>
                <a:cubicBezTo>
                  <a:pt x="8946805" y="1884423"/>
                  <a:pt x="8931419" y="1900014"/>
                  <a:pt x="8931419" y="1919243"/>
                </a:cubicBezTo>
                <a:cubicBezTo>
                  <a:pt x="8931419" y="1938472"/>
                  <a:pt x="8946805" y="1954063"/>
                  <a:pt x="8965772" y="1954063"/>
                </a:cubicBezTo>
                <a:cubicBezTo>
                  <a:pt x="8984739" y="1954063"/>
                  <a:pt x="9000112" y="1938472"/>
                  <a:pt x="9000112" y="1919243"/>
                </a:cubicBezTo>
                <a:cubicBezTo>
                  <a:pt x="9000112" y="1900014"/>
                  <a:pt x="8984739" y="1884423"/>
                  <a:pt x="8965772" y="1884423"/>
                </a:cubicBezTo>
                <a:close/>
                <a:moveTo>
                  <a:pt x="9049513" y="1884423"/>
                </a:moveTo>
                <a:cubicBezTo>
                  <a:pt x="9030546" y="1884423"/>
                  <a:pt x="9015160" y="1900014"/>
                  <a:pt x="9015160" y="1919243"/>
                </a:cubicBezTo>
                <a:cubicBezTo>
                  <a:pt x="9015160" y="1938472"/>
                  <a:pt x="9030546" y="1954063"/>
                  <a:pt x="9049513" y="1954063"/>
                </a:cubicBezTo>
                <a:cubicBezTo>
                  <a:pt x="9068480" y="1954063"/>
                  <a:pt x="9083854" y="1938472"/>
                  <a:pt x="9083854" y="1919243"/>
                </a:cubicBezTo>
                <a:cubicBezTo>
                  <a:pt x="9083854" y="1900014"/>
                  <a:pt x="9068480" y="1884423"/>
                  <a:pt x="9049513" y="1884423"/>
                </a:cubicBezTo>
                <a:close/>
                <a:moveTo>
                  <a:pt x="9133256" y="1884423"/>
                </a:moveTo>
                <a:cubicBezTo>
                  <a:pt x="9114289" y="1884423"/>
                  <a:pt x="9098903" y="1900014"/>
                  <a:pt x="9098903" y="1919243"/>
                </a:cubicBezTo>
                <a:cubicBezTo>
                  <a:pt x="9098903" y="1938472"/>
                  <a:pt x="9114289" y="1954063"/>
                  <a:pt x="9133256" y="1954063"/>
                </a:cubicBezTo>
                <a:cubicBezTo>
                  <a:pt x="9152223" y="1954063"/>
                  <a:pt x="9167596" y="1938472"/>
                  <a:pt x="9167596" y="1919243"/>
                </a:cubicBezTo>
                <a:cubicBezTo>
                  <a:pt x="9167596" y="1900014"/>
                  <a:pt x="9152223" y="1884423"/>
                  <a:pt x="9133256" y="1884423"/>
                </a:cubicBezTo>
                <a:close/>
                <a:moveTo>
                  <a:pt x="9216997" y="1884423"/>
                </a:moveTo>
                <a:cubicBezTo>
                  <a:pt x="9198030" y="1884423"/>
                  <a:pt x="9182644" y="1900014"/>
                  <a:pt x="9182644" y="1919243"/>
                </a:cubicBezTo>
                <a:cubicBezTo>
                  <a:pt x="9182644" y="1938472"/>
                  <a:pt x="9198030" y="1954063"/>
                  <a:pt x="9216997" y="1954063"/>
                </a:cubicBezTo>
                <a:cubicBezTo>
                  <a:pt x="9235964" y="1954063"/>
                  <a:pt x="9251337" y="1938472"/>
                  <a:pt x="9251337" y="1919243"/>
                </a:cubicBezTo>
                <a:cubicBezTo>
                  <a:pt x="9251337" y="1900014"/>
                  <a:pt x="9235964" y="1884423"/>
                  <a:pt x="9216997" y="1884423"/>
                </a:cubicBezTo>
                <a:close/>
                <a:moveTo>
                  <a:pt x="9300738" y="1884423"/>
                </a:moveTo>
                <a:cubicBezTo>
                  <a:pt x="9281771" y="1884423"/>
                  <a:pt x="9266385" y="1900014"/>
                  <a:pt x="9266385" y="1919243"/>
                </a:cubicBezTo>
                <a:cubicBezTo>
                  <a:pt x="9266385" y="1938472"/>
                  <a:pt x="9281771" y="1954063"/>
                  <a:pt x="9300738" y="1954063"/>
                </a:cubicBezTo>
                <a:cubicBezTo>
                  <a:pt x="9319705" y="1954063"/>
                  <a:pt x="9335078" y="1938472"/>
                  <a:pt x="9335078" y="1919243"/>
                </a:cubicBezTo>
                <a:cubicBezTo>
                  <a:pt x="9335078" y="1900014"/>
                  <a:pt x="9319705" y="1884423"/>
                  <a:pt x="9300738" y="1884423"/>
                </a:cubicBezTo>
                <a:close/>
                <a:moveTo>
                  <a:pt x="9384480" y="1884423"/>
                </a:moveTo>
                <a:cubicBezTo>
                  <a:pt x="9365513" y="1884423"/>
                  <a:pt x="9350127" y="1900014"/>
                  <a:pt x="9350127" y="1919243"/>
                </a:cubicBezTo>
                <a:cubicBezTo>
                  <a:pt x="9350127" y="1938472"/>
                  <a:pt x="9365513" y="1954063"/>
                  <a:pt x="9384480" y="1954063"/>
                </a:cubicBezTo>
                <a:cubicBezTo>
                  <a:pt x="9403447" y="1954063"/>
                  <a:pt x="9418821" y="1938472"/>
                  <a:pt x="9418821" y="1919243"/>
                </a:cubicBezTo>
                <a:cubicBezTo>
                  <a:pt x="9418821" y="1900014"/>
                  <a:pt x="9403447" y="1884423"/>
                  <a:pt x="9384480" y="1884423"/>
                </a:cubicBezTo>
                <a:close/>
                <a:moveTo>
                  <a:pt x="9468222" y="1884423"/>
                </a:moveTo>
                <a:cubicBezTo>
                  <a:pt x="9449255" y="1884423"/>
                  <a:pt x="9433869" y="1900014"/>
                  <a:pt x="9433869" y="1919243"/>
                </a:cubicBezTo>
                <a:cubicBezTo>
                  <a:pt x="9433869" y="1938472"/>
                  <a:pt x="9449255" y="1954063"/>
                  <a:pt x="9468222" y="1954063"/>
                </a:cubicBezTo>
                <a:cubicBezTo>
                  <a:pt x="9487189" y="1954063"/>
                  <a:pt x="9502562" y="1938472"/>
                  <a:pt x="9502562" y="1919243"/>
                </a:cubicBezTo>
                <a:cubicBezTo>
                  <a:pt x="9502562" y="1900014"/>
                  <a:pt x="9487189" y="1884423"/>
                  <a:pt x="9468222" y="1884423"/>
                </a:cubicBezTo>
                <a:close/>
                <a:moveTo>
                  <a:pt x="9551963" y="1884423"/>
                </a:moveTo>
                <a:cubicBezTo>
                  <a:pt x="9532996" y="1884423"/>
                  <a:pt x="9517610" y="1900014"/>
                  <a:pt x="9517610" y="1919243"/>
                </a:cubicBezTo>
                <a:cubicBezTo>
                  <a:pt x="9517610" y="1938472"/>
                  <a:pt x="9532996" y="1954063"/>
                  <a:pt x="9551963" y="1954063"/>
                </a:cubicBezTo>
                <a:cubicBezTo>
                  <a:pt x="9570930" y="1954063"/>
                  <a:pt x="9586303" y="1938472"/>
                  <a:pt x="9586303" y="1919243"/>
                </a:cubicBezTo>
                <a:cubicBezTo>
                  <a:pt x="9586303" y="1900014"/>
                  <a:pt x="9570930" y="1884423"/>
                  <a:pt x="9551963" y="1884423"/>
                </a:cubicBezTo>
                <a:close/>
                <a:moveTo>
                  <a:pt x="9635705" y="1884423"/>
                </a:moveTo>
                <a:cubicBezTo>
                  <a:pt x="9616738" y="1884423"/>
                  <a:pt x="9601352" y="1900014"/>
                  <a:pt x="9601352" y="1919243"/>
                </a:cubicBezTo>
                <a:cubicBezTo>
                  <a:pt x="9601352" y="1938472"/>
                  <a:pt x="9616738" y="1954063"/>
                  <a:pt x="9635705" y="1954063"/>
                </a:cubicBezTo>
                <a:cubicBezTo>
                  <a:pt x="9654672" y="1954063"/>
                  <a:pt x="9670045" y="1938472"/>
                  <a:pt x="9670045" y="1919243"/>
                </a:cubicBezTo>
                <a:cubicBezTo>
                  <a:pt x="9670045" y="1900014"/>
                  <a:pt x="9654672" y="1884423"/>
                  <a:pt x="9635705" y="1884423"/>
                </a:cubicBezTo>
                <a:close/>
                <a:moveTo>
                  <a:pt x="10221896" y="1884423"/>
                </a:moveTo>
                <a:cubicBezTo>
                  <a:pt x="10202929" y="1884423"/>
                  <a:pt x="10187543" y="1900014"/>
                  <a:pt x="10187543" y="1919243"/>
                </a:cubicBezTo>
                <a:cubicBezTo>
                  <a:pt x="10187543" y="1938472"/>
                  <a:pt x="10202929" y="1954063"/>
                  <a:pt x="10221896" y="1954063"/>
                </a:cubicBezTo>
                <a:cubicBezTo>
                  <a:pt x="10240863" y="1954063"/>
                  <a:pt x="10256236" y="1938472"/>
                  <a:pt x="10256236" y="1919243"/>
                </a:cubicBezTo>
                <a:cubicBezTo>
                  <a:pt x="10256236" y="1900014"/>
                  <a:pt x="10240863" y="1884423"/>
                  <a:pt x="10221896" y="1884423"/>
                </a:cubicBezTo>
                <a:close/>
                <a:moveTo>
                  <a:pt x="10305638" y="1884423"/>
                </a:moveTo>
                <a:cubicBezTo>
                  <a:pt x="10286671" y="1884423"/>
                  <a:pt x="10271285" y="1900014"/>
                  <a:pt x="10271285" y="1919243"/>
                </a:cubicBezTo>
                <a:cubicBezTo>
                  <a:pt x="10271285" y="1938472"/>
                  <a:pt x="10286671" y="1954063"/>
                  <a:pt x="10305638" y="1954063"/>
                </a:cubicBezTo>
                <a:cubicBezTo>
                  <a:pt x="10324605" y="1954063"/>
                  <a:pt x="10339978" y="1938472"/>
                  <a:pt x="10339978" y="1919243"/>
                </a:cubicBezTo>
                <a:cubicBezTo>
                  <a:pt x="10339978" y="1900014"/>
                  <a:pt x="10324605" y="1884423"/>
                  <a:pt x="10305638" y="1884423"/>
                </a:cubicBezTo>
                <a:close/>
                <a:moveTo>
                  <a:pt x="10389379" y="1884423"/>
                </a:moveTo>
                <a:cubicBezTo>
                  <a:pt x="10370412" y="1884423"/>
                  <a:pt x="10355026" y="1900014"/>
                  <a:pt x="10355026" y="1919243"/>
                </a:cubicBezTo>
                <a:cubicBezTo>
                  <a:pt x="10355026" y="1938472"/>
                  <a:pt x="10370412" y="1954063"/>
                  <a:pt x="10389379" y="1954063"/>
                </a:cubicBezTo>
                <a:cubicBezTo>
                  <a:pt x="10408346" y="1954063"/>
                  <a:pt x="10423720" y="1938472"/>
                  <a:pt x="10423720" y="1919243"/>
                </a:cubicBezTo>
                <a:cubicBezTo>
                  <a:pt x="10423720" y="1900014"/>
                  <a:pt x="10408346" y="1884423"/>
                  <a:pt x="10389379" y="1884423"/>
                </a:cubicBezTo>
                <a:close/>
                <a:moveTo>
                  <a:pt x="10556863" y="1884423"/>
                </a:moveTo>
                <a:cubicBezTo>
                  <a:pt x="10537896" y="1884423"/>
                  <a:pt x="10522510" y="1900014"/>
                  <a:pt x="10522510" y="1919243"/>
                </a:cubicBezTo>
                <a:cubicBezTo>
                  <a:pt x="10522510" y="1938472"/>
                  <a:pt x="10537896" y="1954063"/>
                  <a:pt x="10556863" y="1954063"/>
                </a:cubicBezTo>
                <a:cubicBezTo>
                  <a:pt x="10575830" y="1954063"/>
                  <a:pt x="10591203" y="1938472"/>
                  <a:pt x="10591203" y="1919243"/>
                </a:cubicBezTo>
                <a:cubicBezTo>
                  <a:pt x="10591203" y="1900014"/>
                  <a:pt x="10575830" y="1884423"/>
                  <a:pt x="10556863" y="1884423"/>
                </a:cubicBezTo>
                <a:close/>
                <a:moveTo>
                  <a:pt x="926547" y="1969286"/>
                </a:moveTo>
                <a:cubicBezTo>
                  <a:pt x="907580" y="1969286"/>
                  <a:pt x="892200" y="1984878"/>
                  <a:pt x="892200" y="2004107"/>
                </a:cubicBezTo>
                <a:cubicBezTo>
                  <a:pt x="892200" y="2023335"/>
                  <a:pt x="907580" y="2038927"/>
                  <a:pt x="926547" y="2038927"/>
                </a:cubicBezTo>
                <a:cubicBezTo>
                  <a:pt x="945514" y="2038927"/>
                  <a:pt x="960893" y="2023335"/>
                  <a:pt x="960893" y="2004107"/>
                </a:cubicBezTo>
                <a:cubicBezTo>
                  <a:pt x="960893" y="1984878"/>
                  <a:pt x="945514" y="1969286"/>
                  <a:pt x="926547" y="1969286"/>
                </a:cubicBezTo>
                <a:close/>
                <a:moveTo>
                  <a:pt x="1010288" y="1969286"/>
                </a:moveTo>
                <a:cubicBezTo>
                  <a:pt x="991321" y="1969286"/>
                  <a:pt x="975941" y="1984878"/>
                  <a:pt x="975941" y="2004107"/>
                </a:cubicBezTo>
                <a:cubicBezTo>
                  <a:pt x="975941" y="2023335"/>
                  <a:pt x="991321" y="2038927"/>
                  <a:pt x="1010288" y="2038927"/>
                </a:cubicBezTo>
                <a:cubicBezTo>
                  <a:pt x="1029255" y="2038927"/>
                  <a:pt x="1044635" y="2023335"/>
                  <a:pt x="1044635" y="2004107"/>
                </a:cubicBezTo>
                <a:cubicBezTo>
                  <a:pt x="1044635" y="1984878"/>
                  <a:pt x="1029255" y="1969286"/>
                  <a:pt x="1010288" y="1969286"/>
                </a:cubicBezTo>
                <a:close/>
                <a:moveTo>
                  <a:pt x="1094030" y="1969286"/>
                </a:moveTo>
                <a:cubicBezTo>
                  <a:pt x="1075063" y="1969286"/>
                  <a:pt x="1059683" y="1984878"/>
                  <a:pt x="1059683" y="2004107"/>
                </a:cubicBezTo>
                <a:cubicBezTo>
                  <a:pt x="1059683" y="2023335"/>
                  <a:pt x="1075063" y="2038927"/>
                  <a:pt x="1094030" y="2038927"/>
                </a:cubicBezTo>
                <a:cubicBezTo>
                  <a:pt x="1112997" y="2038927"/>
                  <a:pt x="1128377" y="2023335"/>
                  <a:pt x="1128377" y="2004107"/>
                </a:cubicBezTo>
                <a:cubicBezTo>
                  <a:pt x="1128377" y="1984878"/>
                  <a:pt x="1112997" y="1969286"/>
                  <a:pt x="1094030" y="1969286"/>
                </a:cubicBezTo>
                <a:close/>
                <a:moveTo>
                  <a:pt x="1177771" y="1969286"/>
                </a:moveTo>
                <a:cubicBezTo>
                  <a:pt x="1158804" y="1969286"/>
                  <a:pt x="1143425" y="1984878"/>
                  <a:pt x="1143425" y="2004107"/>
                </a:cubicBezTo>
                <a:cubicBezTo>
                  <a:pt x="1143425" y="2023335"/>
                  <a:pt x="1158804" y="2038927"/>
                  <a:pt x="1177771" y="2038927"/>
                </a:cubicBezTo>
                <a:cubicBezTo>
                  <a:pt x="1196738" y="2038927"/>
                  <a:pt x="1212118" y="2023335"/>
                  <a:pt x="1212118" y="2004107"/>
                </a:cubicBezTo>
                <a:cubicBezTo>
                  <a:pt x="1212118" y="1984878"/>
                  <a:pt x="1196738" y="1969286"/>
                  <a:pt x="1177771" y="1969286"/>
                </a:cubicBezTo>
                <a:close/>
                <a:moveTo>
                  <a:pt x="2182674" y="1969286"/>
                </a:moveTo>
                <a:cubicBezTo>
                  <a:pt x="2163707" y="1969286"/>
                  <a:pt x="2148328" y="1984878"/>
                  <a:pt x="2148328" y="2004107"/>
                </a:cubicBezTo>
                <a:cubicBezTo>
                  <a:pt x="2148328" y="2023335"/>
                  <a:pt x="2163707" y="2038927"/>
                  <a:pt x="2182674" y="2038927"/>
                </a:cubicBezTo>
                <a:cubicBezTo>
                  <a:pt x="2201641" y="2038927"/>
                  <a:pt x="2217021" y="2023335"/>
                  <a:pt x="2217021" y="2004107"/>
                </a:cubicBezTo>
                <a:cubicBezTo>
                  <a:pt x="2217021" y="1984878"/>
                  <a:pt x="2201641" y="1969286"/>
                  <a:pt x="2182674" y="1969286"/>
                </a:cubicBezTo>
                <a:close/>
                <a:moveTo>
                  <a:pt x="2266416" y="1969286"/>
                </a:moveTo>
                <a:cubicBezTo>
                  <a:pt x="2247449" y="1969286"/>
                  <a:pt x="2232069" y="1984878"/>
                  <a:pt x="2232069" y="2004107"/>
                </a:cubicBezTo>
                <a:cubicBezTo>
                  <a:pt x="2232069" y="2023335"/>
                  <a:pt x="2247449" y="2038927"/>
                  <a:pt x="2266416" y="2038927"/>
                </a:cubicBezTo>
                <a:cubicBezTo>
                  <a:pt x="2285383" y="2038927"/>
                  <a:pt x="2300762" y="2023335"/>
                  <a:pt x="2300762" y="2004107"/>
                </a:cubicBezTo>
                <a:cubicBezTo>
                  <a:pt x="2300762" y="1984878"/>
                  <a:pt x="2285383" y="1969286"/>
                  <a:pt x="2266416" y="1969286"/>
                </a:cubicBezTo>
                <a:close/>
                <a:moveTo>
                  <a:pt x="2350151" y="1969286"/>
                </a:moveTo>
                <a:cubicBezTo>
                  <a:pt x="2331184" y="1969286"/>
                  <a:pt x="2315804" y="1984878"/>
                  <a:pt x="2315804" y="2004107"/>
                </a:cubicBezTo>
                <a:cubicBezTo>
                  <a:pt x="2315804" y="2023335"/>
                  <a:pt x="2331184" y="2038927"/>
                  <a:pt x="2350151" y="2038927"/>
                </a:cubicBezTo>
                <a:cubicBezTo>
                  <a:pt x="2369118" y="2038927"/>
                  <a:pt x="2384498" y="2023335"/>
                  <a:pt x="2384498" y="2004107"/>
                </a:cubicBezTo>
                <a:cubicBezTo>
                  <a:pt x="2384498" y="1984878"/>
                  <a:pt x="2369118" y="1969286"/>
                  <a:pt x="2350151" y="1969286"/>
                </a:cubicBezTo>
                <a:close/>
                <a:moveTo>
                  <a:pt x="2433893" y="1969286"/>
                </a:moveTo>
                <a:cubicBezTo>
                  <a:pt x="2414926" y="1969286"/>
                  <a:pt x="2399546" y="1984878"/>
                  <a:pt x="2399546" y="2004107"/>
                </a:cubicBezTo>
                <a:cubicBezTo>
                  <a:pt x="2399546" y="2023335"/>
                  <a:pt x="2414926" y="2038927"/>
                  <a:pt x="2433893" y="2038927"/>
                </a:cubicBezTo>
                <a:cubicBezTo>
                  <a:pt x="2452860" y="2038927"/>
                  <a:pt x="2468240" y="2023335"/>
                  <a:pt x="2468240" y="2004107"/>
                </a:cubicBezTo>
                <a:cubicBezTo>
                  <a:pt x="2468240" y="1984878"/>
                  <a:pt x="2452860" y="1969286"/>
                  <a:pt x="2433893" y="1969286"/>
                </a:cubicBezTo>
                <a:close/>
                <a:moveTo>
                  <a:pt x="2517634" y="1969286"/>
                </a:moveTo>
                <a:cubicBezTo>
                  <a:pt x="2498667" y="1969286"/>
                  <a:pt x="2483288" y="1984878"/>
                  <a:pt x="2483288" y="2004107"/>
                </a:cubicBezTo>
                <a:cubicBezTo>
                  <a:pt x="2483288" y="2023335"/>
                  <a:pt x="2498667" y="2038927"/>
                  <a:pt x="2517634" y="2038927"/>
                </a:cubicBezTo>
                <a:cubicBezTo>
                  <a:pt x="2536601" y="2038927"/>
                  <a:pt x="2551981" y="2023335"/>
                  <a:pt x="2551981" y="2004107"/>
                </a:cubicBezTo>
                <a:cubicBezTo>
                  <a:pt x="2551981" y="1984878"/>
                  <a:pt x="2536601" y="1969286"/>
                  <a:pt x="2517634" y="1969286"/>
                </a:cubicBezTo>
                <a:close/>
                <a:moveTo>
                  <a:pt x="2601376" y="1969286"/>
                </a:moveTo>
                <a:cubicBezTo>
                  <a:pt x="2582409" y="1969286"/>
                  <a:pt x="2567029" y="1984878"/>
                  <a:pt x="2567029" y="2004107"/>
                </a:cubicBezTo>
                <a:cubicBezTo>
                  <a:pt x="2567029" y="2023335"/>
                  <a:pt x="2582409" y="2038927"/>
                  <a:pt x="2601376" y="2038927"/>
                </a:cubicBezTo>
                <a:cubicBezTo>
                  <a:pt x="2620343" y="2038927"/>
                  <a:pt x="2635722" y="2023335"/>
                  <a:pt x="2635722" y="2004107"/>
                </a:cubicBezTo>
                <a:cubicBezTo>
                  <a:pt x="2635722" y="1984878"/>
                  <a:pt x="2620343" y="1969286"/>
                  <a:pt x="2601376" y="1969286"/>
                </a:cubicBezTo>
                <a:close/>
                <a:moveTo>
                  <a:pt x="2685118" y="1969286"/>
                </a:moveTo>
                <a:cubicBezTo>
                  <a:pt x="2666151" y="1969286"/>
                  <a:pt x="2650771" y="1984878"/>
                  <a:pt x="2650771" y="2004107"/>
                </a:cubicBezTo>
                <a:cubicBezTo>
                  <a:pt x="2650771" y="2023335"/>
                  <a:pt x="2666151" y="2038927"/>
                  <a:pt x="2685118" y="2038927"/>
                </a:cubicBezTo>
                <a:cubicBezTo>
                  <a:pt x="2704085" y="2038927"/>
                  <a:pt x="2719465" y="2023335"/>
                  <a:pt x="2719465" y="2004107"/>
                </a:cubicBezTo>
                <a:cubicBezTo>
                  <a:pt x="2719465" y="1984878"/>
                  <a:pt x="2704085" y="1969286"/>
                  <a:pt x="2685118" y="1969286"/>
                </a:cubicBezTo>
                <a:close/>
                <a:moveTo>
                  <a:pt x="2768859" y="1969286"/>
                </a:moveTo>
                <a:cubicBezTo>
                  <a:pt x="2749892" y="1969286"/>
                  <a:pt x="2734512" y="1984878"/>
                  <a:pt x="2734512" y="2004107"/>
                </a:cubicBezTo>
                <a:cubicBezTo>
                  <a:pt x="2734512" y="2023335"/>
                  <a:pt x="2749892" y="2038927"/>
                  <a:pt x="2768859" y="2038927"/>
                </a:cubicBezTo>
                <a:cubicBezTo>
                  <a:pt x="2787826" y="2038927"/>
                  <a:pt x="2803206" y="2023335"/>
                  <a:pt x="2803206" y="2004107"/>
                </a:cubicBezTo>
                <a:cubicBezTo>
                  <a:pt x="2803206" y="1984878"/>
                  <a:pt x="2787826" y="1969286"/>
                  <a:pt x="2768859" y="1969286"/>
                </a:cubicBezTo>
                <a:close/>
                <a:moveTo>
                  <a:pt x="2852600" y="1969286"/>
                </a:moveTo>
                <a:cubicBezTo>
                  <a:pt x="2833633" y="1969286"/>
                  <a:pt x="2818254" y="1984878"/>
                  <a:pt x="2818254" y="2004107"/>
                </a:cubicBezTo>
                <a:cubicBezTo>
                  <a:pt x="2818254" y="2023335"/>
                  <a:pt x="2833633" y="2038927"/>
                  <a:pt x="2852600" y="2038927"/>
                </a:cubicBezTo>
                <a:cubicBezTo>
                  <a:pt x="2871567" y="2038927"/>
                  <a:pt x="2886947" y="2023335"/>
                  <a:pt x="2886947" y="2004107"/>
                </a:cubicBezTo>
                <a:cubicBezTo>
                  <a:pt x="2886947" y="1984878"/>
                  <a:pt x="2871567" y="1969286"/>
                  <a:pt x="2852600" y="1969286"/>
                </a:cubicBezTo>
                <a:close/>
                <a:moveTo>
                  <a:pt x="2936343" y="1969286"/>
                </a:moveTo>
                <a:cubicBezTo>
                  <a:pt x="2917376" y="1969286"/>
                  <a:pt x="2901996" y="1984878"/>
                  <a:pt x="2901996" y="2004107"/>
                </a:cubicBezTo>
                <a:cubicBezTo>
                  <a:pt x="2901996" y="2023335"/>
                  <a:pt x="2917376" y="2038927"/>
                  <a:pt x="2936343" y="2038927"/>
                </a:cubicBezTo>
                <a:cubicBezTo>
                  <a:pt x="2955310" y="2038927"/>
                  <a:pt x="2970689" y="2023335"/>
                  <a:pt x="2970689" y="2004107"/>
                </a:cubicBezTo>
                <a:cubicBezTo>
                  <a:pt x="2970689" y="1984878"/>
                  <a:pt x="2955310" y="1969286"/>
                  <a:pt x="2936343" y="1969286"/>
                </a:cubicBezTo>
                <a:close/>
                <a:moveTo>
                  <a:pt x="3103826" y="1969286"/>
                </a:moveTo>
                <a:cubicBezTo>
                  <a:pt x="3084859" y="1969286"/>
                  <a:pt x="3069479" y="1984878"/>
                  <a:pt x="3069479" y="2004107"/>
                </a:cubicBezTo>
                <a:cubicBezTo>
                  <a:pt x="3069479" y="2023335"/>
                  <a:pt x="3084859" y="2038927"/>
                  <a:pt x="3103826" y="2038927"/>
                </a:cubicBezTo>
                <a:cubicBezTo>
                  <a:pt x="3122793" y="2038927"/>
                  <a:pt x="3138173" y="2023335"/>
                  <a:pt x="3138173" y="2004107"/>
                </a:cubicBezTo>
                <a:cubicBezTo>
                  <a:pt x="3138173" y="1984878"/>
                  <a:pt x="3122793" y="1969286"/>
                  <a:pt x="3103826" y="1969286"/>
                </a:cubicBezTo>
                <a:close/>
                <a:moveTo>
                  <a:pt x="3187567" y="1969286"/>
                </a:moveTo>
                <a:cubicBezTo>
                  <a:pt x="3168600" y="1969286"/>
                  <a:pt x="3153221" y="1984878"/>
                  <a:pt x="3153221" y="2004107"/>
                </a:cubicBezTo>
                <a:cubicBezTo>
                  <a:pt x="3153221" y="2023335"/>
                  <a:pt x="3168600" y="2038927"/>
                  <a:pt x="3187567" y="2038927"/>
                </a:cubicBezTo>
                <a:cubicBezTo>
                  <a:pt x="3206534" y="2038927"/>
                  <a:pt x="3221914" y="2023335"/>
                  <a:pt x="3221914" y="2004107"/>
                </a:cubicBezTo>
                <a:cubicBezTo>
                  <a:pt x="3221914" y="1984878"/>
                  <a:pt x="3206534" y="1969286"/>
                  <a:pt x="3187567" y="1969286"/>
                </a:cubicBezTo>
                <a:close/>
                <a:moveTo>
                  <a:pt x="3271309" y="1969286"/>
                </a:moveTo>
                <a:cubicBezTo>
                  <a:pt x="3252342" y="1969286"/>
                  <a:pt x="3236962" y="1984878"/>
                  <a:pt x="3236962" y="2004107"/>
                </a:cubicBezTo>
                <a:cubicBezTo>
                  <a:pt x="3236962" y="2023335"/>
                  <a:pt x="3252342" y="2038927"/>
                  <a:pt x="3271309" y="2038927"/>
                </a:cubicBezTo>
                <a:cubicBezTo>
                  <a:pt x="3290276" y="2038927"/>
                  <a:pt x="3305655" y="2023335"/>
                  <a:pt x="3305655" y="2004107"/>
                </a:cubicBezTo>
                <a:cubicBezTo>
                  <a:pt x="3305655" y="1984878"/>
                  <a:pt x="3290276" y="1969286"/>
                  <a:pt x="3271309" y="1969286"/>
                </a:cubicBezTo>
                <a:close/>
                <a:moveTo>
                  <a:pt x="3857500" y="1969286"/>
                </a:moveTo>
                <a:cubicBezTo>
                  <a:pt x="3838533" y="1969286"/>
                  <a:pt x="3823154" y="1984878"/>
                  <a:pt x="3823154" y="2004107"/>
                </a:cubicBezTo>
                <a:cubicBezTo>
                  <a:pt x="3823154" y="2023335"/>
                  <a:pt x="3838533" y="2038927"/>
                  <a:pt x="3857500" y="2038927"/>
                </a:cubicBezTo>
                <a:cubicBezTo>
                  <a:pt x="3876467" y="2038927"/>
                  <a:pt x="3891847" y="2023335"/>
                  <a:pt x="3891847" y="2004107"/>
                </a:cubicBezTo>
                <a:cubicBezTo>
                  <a:pt x="3891847" y="1984878"/>
                  <a:pt x="3876467" y="1969286"/>
                  <a:pt x="3857500" y="1969286"/>
                </a:cubicBezTo>
                <a:close/>
                <a:moveTo>
                  <a:pt x="3941242" y="1969286"/>
                </a:moveTo>
                <a:cubicBezTo>
                  <a:pt x="3922275" y="1969286"/>
                  <a:pt x="3906895" y="1984878"/>
                  <a:pt x="3906895" y="2004107"/>
                </a:cubicBezTo>
                <a:cubicBezTo>
                  <a:pt x="3906895" y="2023335"/>
                  <a:pt x="3922275" y="2038927"/>
                  <a:pt x="3941242" y="2038927"/>
                </a:cubicBezTo>
                <a:cubicBezTo>
                  <a:pt x="3960209" y="2038927"/>
                  <a:pt x="3975588" y="2023335"/>
                  <a:pt x="3975588" y="2004107"/>
                </a:cubicBezTo>
                <a:cubicBezTo>
                  <a:pt x="3975588" y="1984878"/>
                  <a:pt x="3960209" y="1969286"/>
                  <a:pt x="3941242" y="1969286"/>
                </a:cubicBezTo>
                <a:close/>
                <a:moveTo>
                  <a:pt x="4611182" y="1969286"/>
                </a:moveTo>
                <a:cubicBezTo>
                  <a:pt x="4592215" y="1969286"/>
                  <a:pt x="4576835" y="1984878"/>
                  <a:pt x="4576835" y="2004107"/>
                </a:cubicBezTo>
                <a:cubicBezTo>
                  <a:pt x="4576835" y="2023335"/>
                  <a:pt x="4592215" y="2038927"/>
                  <a:pt x="4611182" y="2038927"/>
                </a:cubicBezTo>
                <a:cubicBezTo>
                  <a:pt x="4630149" y="2038927"/>
                  <a:pt x="4645528" y="2023335"/>
                  <a:pt x="4645528" y="2004107"/>
                </a:cubicBezTo>
                <a:cubicBezTo>
                  <a:pt x="4645528" y="1984878"/>
                  <a:pt x="4630149" y="1969286"/>
                  <a:pt x="4611182" y="1969286"/>
                </a:cubicBezTo>
                <a:close/>
                <a:moveTo>
                  <a:pt x="4694923" y="1969286"/>
                </a:moveTo>
                <a:cubicBezTo>
                  <a:pt x="4675956" y="1969286"/>
                  <a:pt x="4660576" y="1984878"/>
                  <a:pt x="4660576" y="2004107"/>
                </a:cubicBezTo>
                <a:cubicBezTo>
                  <a:pt x="4660576" y="2023335"/>
                  <a:pt x="4675956" y="2038927"/>
                  <a:pt x="4694923" y="2038927"/>
                </a:cubicBezTo>
                <a:cubicBezTo>
                  <a:pt x="4713890" y="2038927"/>
                  <a:pt x="4729270" y="2023335"/>
                  <a:pt x="4729270" y="2004107"/>
                </a:cubicBezTo>
                <a:cubicBezTo>
                  <a:pt x="4729270" y="1984878"/>
                  <a:pt x="4713890" y="1969286"/>
                  <a:pt x="4694923" y="1969286"/>
                </a:cubicBezTo>
                <a:close/>
                <a:moveTo>
                  <a:pt x="6118531" y="1969286"/>
                </a:moveTo>
                <a:cubicBezTo>
                  <a:pt x="6099564" y="1969286"/>
                  <a:pt x="6084177" y="1984878"/>
                  <a:pt x="6084177" y="2004107"/>
                </a:cubicBezTo>
                <a:cubicBezTo>
                  <a:pt x="6084177" y="2023335"/>
                  <a:pt x="6099564" y="2038927"/>
                  <a:pt x="6118531" y="2038927"/>
                </a:cubicBezTo>
                <a:cubicBezTo>
                  <a:pt x="6137498" y="2038927"/>
                  <a:pt x="6152871" y="2023335"/>
                  <a:pt x="6152871" y="2004107"/>
                </a:cubicBezTo>
                <a:cubicBezTo>
                  <a:pt x="6152871" y="1984878"/>
                  <a:pt x="6137498" y="1969286"/>
                  <a:pt x="6118531" y="1969286"/>
                </a:cubicBezTo>
                <a:close/>
                <a:moveTo>
                  <a:pt x="6202273" y="1969286"/>
                </a:moveTo>
                <a:cubicBezTo>
                  <a:pt x="6183306" y="1969286"/>
                  <a:pt x="6167920" y="1984878"/>
                  <a:pt x="6167920" y="2004107"/>
                </a:cubicBezTo>
                <a:cubicBezTo>
                  <a:pt x="6167920" y="2023335"/>
                  <a:pt x="6183306" y="2038927"/>
                  <a:pt x="6202273" y="2038927"/>
                </a:cubicBezTo>
                <a:cubicBezTo>
                  <a:pt x="6221240" y="2038927"/>
                  <a:pt x="6236613" y="2023335"/>
                  <a:pt x="6236613" y="2004107"/>
                </a:cubicBezTo>
                <a:cubicBezTo>
                  <a:pt x="6236613" y="1984878"/>
                  <a:pt x="6221240" y="1969286"/>
                  <a:pt x="6202273" y="1969286"/>
                </a:cubicBezTo>
                <a:close/>
                <a:moveTo>
                  <a:pt x="6286014" y="1969286"/>
                </a:moveTo>
                <a:cubicBezTo>
                  <a:pt x="6267047" y="1969286"/>
                  <a:pt x="6251661" y="1984878"/>
                  <a:pt x="6251661" y="2004107"/>
                </a:cubicBezTo>
                <a:cubicBezTo>
                  <a:pt x="6251661" y="2023335"/>
                  <a:pt x="6267047" y="2038927"/>
                  <a:pt x="6286014" y="2038927"/>
                </a:cubicBezTo>
                <a:cubicBezTo>
                  <a:pt x="6304981" y="2038927"/>
                  <a:pt x="6320354" y="2023335"/>
                  <a:pt x="6320354" y="2004107"/>
                </a:cubicBezTo>
                <a:cubicBezTo>
                  <a:pt x="6320354" y="1984878"/>
                  <a:pt x="6304981" y="1969286"/>
                  <a:pt x="6286014" y="1969286"/>
                </a:cubicBezTo>
                <a:close/>
                <a:moveTo>
                  <a:pt x="6453498" y="1969286"/>
                </a:moveTo>
                <a:cubicBezTo>
                  <a:pt x="6434531" y="1969286"/>
                  <a:pt x="6419144" y="1984878"/>
                  <a:pt x="6419144" y="2004107"/>
                </a:cubicBezTo>
                <a:cubicBezTo>
                  <a:pt x="6419144" y="2023335"/>
                  <a:pt x="6434531" y="2038927"/>
                  <a:pt x="6453498" y="2038927"/>
                </a:cubicBezTo>
                <a:cubicBezTo>
                  <a:pt x="6472465" y="2038927"/>
                  <a:pt x="6487838" y="2023335"/>
                  <a:pt x="6487838" y="2004107"/>
                </a:cubicBezTo>
                <a:cubicBezTo>
                  <a:pt x="6487838" y="1984878"/>
                  <a:pt x="6472465" y="1969286"/>
                  <a:pt x="6453498" y="1969286"/>
                </a:cubicBezTo>
                <a:close/>
                <a:moveTo>
                  <a:pt x="6704722" y="1969286"/>
                </a:moveTo>
                <a:cubicBezTo>
                  <a:pt x="6685755" y="1969286"/>
                  <a:pt x="6670369" y="1984878"/>
                  <a:pt x="6670369" y="2004107"/>
                </a:cubicBezTo>
                <a:cubicBezTo>
                  <a:pt x="6670369" y="2023335"/>
                  <a:pt x="6685755" y="2038927"/>
                  <a:pt x="6704722" y="2038927"/>
                </a:cubicBezTo>
                <a:cubicBezTo>
                  <a:pt x="6723689" y="2038927"/>
                  <a:pt x="6739063" y="2023335"/>
                  <a:pt x="6739063" y="2004107"/>
                </a:cubicBezTo>
                <a:cubicBezTo>
                  <a:pt x="6739063" y="1984878"/>
                  <a:pt x="6723689" y="1969286"/>
                  <a:pt x="6704722" y="1969286"/>
                </a:cubicBezTo>
                <a:close/>
                <a:moveTo>
                  <a:pt x="6872206" y="1969286"/>
                </a:moveTo>
                <a:cubicBezTo>
                  <a:pt x="6853239" y="1969286"/>
                  <a:pt x="6837853" y="1984878"/>
                  <a:pt x="6837853" y="2004107"/>
                </a:cubicBezTo>
                <a:cubicBezTo>
                  <a:pt x="6837853" y="2023335"/>
                  <a:pt x="6853239" y="2038927"/>
                  <a:pt x="6872206" y="2038927"/>
                </a:cubicBezTo>
                <a:cubicBezTo>
                  <a:pt x="6891173" y="2038927"/>
                  <a:pt x="6906546" y="2023335"/>
                  <a:pt x="6906546" y="2004107"/>
                </a:cubicBezTo>
                <a:cubicBezTo>
                  <a:pt x="6906546" y="1984878"/>
                  <a:pt x="6891173" y="1969286"/>
                  <a:pt x="6872206" y="1969286"/>
                </a:cubicBezTo>
                <a:close/>
                <a:moveTo>
                  <a:pt x="6955947" y="1969286"/>
                </a:moveTo>
                <a:cubicBezTo>
                  <a:pt x="6936980" y="1969286"/>
                  <a:pt x="6921594" y="1984878"/>
                  <a:pt x="6921594" y="2004107"/>
                </a:cubicBezTo>
                <a:cubicBezTo>
                  <a:pt x="6921594" y="2023335"/>
                  <a:pt x="6936980" y="2038927"/>
                  <a:pt x="6955947" y="2038927"/>
                </a:cubicBezTo>
                <a:cubicBezTo>
                  <a:pt x="6974914" y="2038927"/>
                  <a:pt x="6990287" y="2023335"/>
                  <a:pt x="6990287" y="2004107"/>
                </a:cubicBezTo>
                <a:cubicBezTo>
                  <a:pt x="6990287" y="1984878"/>
                  <a:pt x="6974914" y="1969286"/>
                  <a:pt x="6955947" y="1969286"/>
                </a:cubicBezTo>
                <a:close/>
                <a:moveTo>
                  <a:pt x="7039688" y="1969286"/>
                </a:moveTo>
                <a:cubicBezTo>
                  <a:pt x="7020721" y="1969286"/>
                  <a:pt x="7005335" y="1984878"/>
                  <a:pt x="7005335" y="2004107"/>
                </a:cubicBezTo>
                <a:cubicBezTo>
                  <a:pt x="7005335" y="2023335"/>
                  <a:pt x="7020721" y="2038927"/>
                  <a:pt x="7039688" y="2038927"/>
                </a:cubicBezTo>
                <a:cubicBezTo>
                  <a:pt x="7058655" y="2038927"/>
                  <a:pt x="7074029" y="2023335"/>
                  <a:pt x="7074029" y="2004107"/>
                </a:cubicBezTo>
                <a:cubicBezTo>
                  <a:pt x="7074029" y="1984878"/>
                  <a:pt x="7058655" y="1969286"/>
                  <a:pt x="7039688" y="1969286"/>
                </a:cubicBezTo>
                <a:close/>
                <a:moveTo>
                  <a:pt x="7123456" y="1969286"/>
                </a:moveTo>
                <a:cubicBezTo>
                  <a:pt x="7104489" y="1969286"/>
                  <a:pt x="7089103" y="1984878"/>
                  <a:pt x="7089103" y="2004107"/>
                </a:cubicBezTo>
                <a:cubicBezTo>
                  <a:pt x="7089103" y="2023335"/>
                  <a:pt x="7104489" y="2038927"/>
                  <a:pt x="7123456" y="2038927"/>
                </a:cubicBezTo>
                <a:cubicBezTo>
                  <a:pt x="7142423" y="2038927"/>
                  <a:pt x="7157796" y="2023335"/>
                  <a:pt x="7157796" y="2004107"/>
                </a:cubicBezTo>
                <a:cubicBezTo>
                  <a:pt x="7157796" y="1984878"/>
                  <a:pt x="7142423" y="1969286"/>
                  <a:pt x="7123456" y="1969286"/>
                </a:cubicBezTo>
                <a:close/>
                <a:moveTo>
                  <a:pt x="7207198" y="1969286"/>
                </a:moveTo>
                <a:cubicBezTo>
                  <a:pt x="7188231" y="1969286"/>
                  <a:pt x="7172845" y="1984878"/>
                  <a:pt x="7172845" y="2004107"/>
                </a:cubicBezTo>
                <a:cubicBezTo>
                  <a:pt x="7172845" y="2023335"/>
                  <a:pt x="7188231" y="2038927"/>
                  <a:pt x="7207198" y="2038927"/>
                </a:cubicBezTo>
                <a:cubicBezTo>
                  <a:pt x="7226165" y="2038927"/>
                  <a:pt x="7241538" y="2023335"/>
                  <a:pt x="7241538" y="2004107"/>
                </a:cubicBezTo>
                <a:cubicBezTo>
                  <a:pt x="7241538" y="1984878"/>
                  <a:pt x="7226165" y="1969286"/>
                  <a:pt x="7207198" y="1969286"/>
                </a:cubicBezTo>
                <a:close/>
                <a:moveTo>
                  <a:pt x="7290939" y="1969286"/>
                </a:moveTo>
                <a:cubicBezTo>
                  <a:pt x="7271972" y="1969286"/>
                  <a:pt x="7256586" y="1984878"/>
                  <a:pt x="7256586" y="2004107"/>
                </a:cubicBezTo>
                <a:cubicBezTo>
                  <a:pt x="7256586" y="2023335"/>
                  <a:pt x="7271972" y="2038927"/>
                  <a:pt x="7290939" y="2038927"/>
                </a:cubicBezTo>
                <a:cubicBezTo>
                  <a:pt x="7309906" y="2038927"/>
                  <a:pt x="7325279" y="2023335"/>
                  <a:pt x="7325279" y="2004107"/>
                </a:cubicBezTo>
                <a:cubicBezTo>
                  <a:pt x="7325279" y="1984878"/>
                  <a:pt x="7309906" y="1969286"/>
                  <a:pt x="7290939" y="1969286"/>
                </a:cubicBezTo>
                <a:close/>
                <a:moveTo>
                  <a:pt x="7374681" y="1969286"/>
                </a:moveTo>
                <a:cubicBezTo>
                  <a:pt x="7355714" y="1969286"/>
                  <a:pt x="7340328" y="1984878"/>
                  <a:pt x="7340328" y="2004107"/>
                </a:cubicBezTo>
                <a:cubicBezTo>
                  <a:pt x="7340328" y="2023335"/>
                  <a:pt x="7355714" y="2038927"/>
                  <a:pt x="7374681" y="2038927"/>
                </a:cubicBezTo>
                <a:cubicBezTo>
                  <a:pt x="7393648" y="2038927"/>
                  <a:pt x="7409022" y="2023335"/>
                  <a:pt x="7409022" y="2004107"/>
                </a:cubicBezTo>
                <a:cubicBezTo>
                  <a:pt x="7409022" y="1984878"/>
                  <a:pt x="7393648" y="1969286"/>
                  <a:pt x="7374681" y="1969286"/>
                </a:cubicBezTo>
                <a:close/>
                <a:moveTo>
                  <a:pt x="7458423" y="1969286"/>
                </a:moveTo>
                <a:cubicBezTo>
                  <a:pt x="7439456" y="1969286"/>
                  <a:pt x="7424070" y="1984878"/>
                  <a:pt x="7424070" y="2004107"/>
                </a:cubicBezTo>
                <a:cubicBezTo>
                  <a:pt x="7424070" y="2023335"/>
                  <a:pt x="7439456" y="2038927"/>
                  <a:pt x="7458423" y="2038927"/>
                </a:cubicBezTo>
                <a:cubicBezTo>
                  <a:pt x="7477390" y="2038927"/>
                  <a:pt x="7492763" y="2023335"/>
                  <a:pt x="7492763" y="2004107"/>
                </a:cubicBezTo>
                <a:cubicBezTo>
                  <a:pt x="7492763" y="1984878"/>
                  <a:pt x="7477390" y="1969286"/>
                  <a:pt x="7458423" y="1969286"/>
                </a:cubicBezTo>
                <a:close/>
                <a:moveTo>
                  <a:pt x="7542164" y="1969286"/>
                </a:moveTo>
                <a:cubicBezTo>
                  <a:pt x="7523197" y="1969286"/>
                  <a:pt x="7507811" y="1984878"/>
                  <a:pt x="7507811" y="2004107"/>
                </a:cubicBezTo>
                <a:cubicBezTo>
                  <a:pt x="7507811" y="2023335"/>
                  <a:pt x="7523197" y="2038927"/>
                  <a:pt x="7542164" y="2038927"/>
                </a:cubicBezTo>
                <a:cubicBezTo>
                  <a:pt x="7561131" y="2038927"/>
                  <a:pt x="7576504" y="2023335"/>
                  <a:pt x="7576504" y="2004107"/>
                </a:cubicBezTo>
                <a:cubicBezTo>
                  <a:pt x="7576504" y="1984878"/>
                  <a:pt x="7561131" y="1969286"/>
                  <a:pt x="7542164" y="1969286"/>
                </a:cubicBezTo>
                <a:close/>
                <a:moveTo>
                  <a:pt x="7625906" y="1969286"/>
                </a:moveTo>
                <a:cubicBezTo>
                  <a:pt x="7606939" y="1969286"/>
                  <a:pt x="7591553" y="1984878"/>
                  <a:pt x="7591553" y="2004107"/>
                </a:cubicBezTo>
                <a:cubicBezTo>
                  <a:pt x="7591553" y="2023335"/>
                  <a:pt x="7606939" y="2038927"/>
                  <a:pt x="7625906" y="2038927"/>
                </a:cubicBezTo>
                <a:cubicBezTo>
                  <a:pt x="7644873" y="2038927"/>
                  <a:pt x="7660246" y="2023335"/>
                  <a:pt x="7660246" y="2004107"/>
                </a:cubicBezTo>
                <a:cubicBezTo>
                  <a:pt x="7660246" y="1984878"/>
                  <a:pt x="7644873" y="1969286"/>
                  <a:pt x="7625906" y="1969286"/>
                </a:cubicBezTo>
                <a:close/>
                <a:moveTo>
                  <a:pt x="7709647" y="1969286"/>
                </a:moveTo>
                <a:cubicBezTo>
                  <a:pt x="7690680" y="1969286"/>
                  <a:pt x="7675294" y="1984878"/>
                  <a:pt x="7675294" y="2004107"/>
                </a:cubicBezTo>
                <a:cubicBezTo>
                  <a:pt x="7675294" y="2023335"/>
                  <a:pt x="7690680" y="2038927"/>
                  <a:pt x="7709647" y="2038927"/>
                </a:cubicBezTo>
                <a:cubicBezTo>
                  <a:pt x="7728614" y="2038927"/>
                  <a:pt x="7743988" y="2023335"/>
                  <a:pt x="7743988" y="2004107"/>
                </a:cubicBezTo>
                <a:cubicBezTo>
                  <a:pt x="7743988" y="1984878"/>
                  <a:pt x="7728614" y="1969286"/>
                  <a:pt x="7709647" y="1969286"/>
                </a:cubicBezTo>
                <a:close/>
                <a:moveTo>
                  <a:pt x="7793389" y="1969286"/>
                </a:moveTo>
                <a:cubicBezTo>
                  <a:pt x="7774422" y="1969286"/>
                  <a:pt x="7759036" y="1984878"/>
                  <a:pt x="7759036" y="2004107"/>
                </a:cubicBezTo>
                <a:cubicBezTo>
                  <a:pt x="7759036" y="2023335"/>
                  <a:pt x="7774422" y="2038927"/>
                  <a:pt x="7793389" y="2038927"/>
                </a:cubicBezTo>
                <a:cubicBezTo>
                  <a:pt x="7812356" y="2038927"/>
                  <a:pt x="7827729" y="2023335"/>
                  <a:pt x="7827729" y="2004107"/>
                </a:cubicBezTo>
                <a:cubicBezTo>
                  <a:pt x="7827729" y="1984878"/>
                  <a:pt x="7812356" y="1969286"/>
                  <a:pt x="7793389" y="1969286"/>
                </a:cubicBezTo>
                <a:close/>
                <a:moveTo>
                  <a:pt x="7877131" y="1969286"/>
                </a:moveTo>
                <a:cubicBezTo>
                  <a:pt x="7858164" y="1969286"/>
                  <a:pt x="7842778" y="1984878"/>
                  <a:pt x="7842778" y="2004107"/>
                </a:cubicBezTo>
                <a:cubicBezTo>
                  <a:pt x="7842778" y="2023335"/>
                  <a:pt x="7858164" y="2038927"/>
                  <a:pt x="7877131" y="2038927"/>
                </a:cubicBezTo>
                <a:cubicBezTo>
                  <a:pt x="7896098" y="2038927"/>
                  <a:pt x="7911471" y="2023335"/>
                  <a:pt x="7911471" y="2004107"/>
                </a:cubicBezTo>
                <a:cubicBezTo>
                  <a:pt x="7911471" y="1984878"/>
                  <a:pt x="7896098" y="1969286"/>
                  <a:pt x="7877131" y="1969286"/>
                </a:cubicBezTo>
                <a:close/>
                <a:moveTo>
                  <a:pt x="7960872" y="1969286"/>
                </a:moveTo>
                <a:cubicBezTo>
                  <a:pt x="7941905" y="1969286"/>
                  <a:pt x="7926519" y="1984878"/>
                  <a:pt x="7926519" y="2004107"/>
                </a:cubicBezTo>
                <a:cubicBezTo>
                  <a:pt x="7926519" y="2023335"/>
                  <a:pt x="7941905" y="2038927"/>
                  <a:pt x="7960872" y="2038927"/>
                </a:cubicBezTo>
                <a:cubicBezTo>
                  <a:pt x="7979839" y="2038927"/>
                  <a:pt x="7995212" y="2023335"/>
                  <a:pt x="7995212" y="2004107"/>
                </a:cubicBezTo>
                <a:cubicBezTo>
                  <a:pt x="7995212" y="1984878"/>
                  <a:pt x="7979839" y="1969286"/>
                  <a:pt x="7960872" y="1969286"/>
                </a:cubicBezTo>
                <a:close/>
                <a:moveTo>
                  <a:pt x="8044614" y="1969286"/>
                </a:moveTo>
                <a:cubicBezTo>
                  <a:pt x="8025647" y="1969286"/>
                  <a:pt x="8010261" y="1984878"/>
                  <a:pt x="8010261" y="2004107"/>
                </a:cubicBezTo>
                <a:cubicBezTo>
                  <a:pt x="8010261" y="2023335"/>
                  <a:pt x="8025647" y="2038927"/>
                  <a:pt x="8044614" y="2038927"/>
                </a:cubicBezTo>
                <a:cubicBezTo>
                  <a:pt x="8063581" y="2038927"/>
                  <a:pt x="8078955" y="2023335"/>
                  <a:pt x="8078955" y="2004107"/>
                </a:cubicBezTo>
                <a:cubicBezTo>
                  <a:pt x="8078955" y="1984878"/>
                  <a:pt x="8063581" y="1969286"/>
                  <a:pt x="8044614" y="1969286"/>
                </a:cubicBezTo>
                <a:close/>
                <a:moveTo>
                  <a:pt x="8128356" y="1969286"/>
                </a:moveTo>
                <a:cubicBezTo>
                  <a:pt x="8109389" y="1969286"/>
                  <a:pt x="8094003" y="1984878"/>
                  <a:pt x="8094003" y="2004107"/>
                </a:cubicBezTo>
                <a:cubicBezTo>
                  <a:pt x="8094003" y="2023335"/>
                  <a:pt x="8109389" y="2038927"/>
                  <a:pt x="8128356" y="2038927"/>
                </a:cubicBezTo>
                <a:cubicBezTo>
                  <a:pt x="8147323" y="2038927"/>
                  <a:pt x="8162696" y="2023335"/>
                  <a:pt x="8162696" y="2004107"/>
                </a:cubicBezTo>
                <a:cubicBezTo>
                  <a:pt x="8162696" y="1984878"/>
                  <a:pt x="8147323" y="1969286"/>
                  <a:pt x="8128356" y="1969286"/>
                </a:cubicBezTo>
                <a:close/>
                <a:moveTo>
                  <a:pt x="8212097" y="1969286"/>
                </a:moveTo>
                <a:cubicBezTo>
                  <a:pt x="8193130" y="1969286"/>
                  <a:pt x="8177744" y="1984878"/>
                  <a:pt x="8177744" y="2004107"/>
                </a:cubicBezTo>
                <a:cubicBezTo>
                  <a:pt x="8177744" y="2023335"/>
                  <a:pt x="8193130" y="2038927"/>
                  <a:pt x="8212097" y="2038927"/>
                </a:cubicBezTo>
                <a:cubicBezTo>
                  <a:pt x="8231064" y="2038927"/>
                  <a:pt x="8246437" y="2023335"/>
                  <a:pt x="8246437" y="2004107"/>
                </a:cubicBezTo>
                <a:cubicBezTo>
                  <a:pt x="8246437" y="1984878"/>
                  <a:pt x="8231064" y="1969286"/>
                  <a:pt x="8212097" y="1969286"/>
                </a:cubicBezTo>
                <a:close/>
                <a:moveTo>
                  <a:pt x="8295839" y="1969286"/>
                </a:moveTo>
                <a:cubicBezTo>
                  <a:pt x="8276872" y="1969286"/>
                  <a:pt x="8261486" y="1984878"/>
                  <a:pt x="8261486" y="2004107"/>
                </a:cubicBezTo>
                <a:cubicBezTo>
                  <a:pt x="8261486" y="2023335"/>
                  <a:pt x="8276872" y="2038927"/>
                  <a:pt x="8295839" y="2038927"/>
                </a:cubicBezTo>
                <a:cubicBezTo>
                  <a:pt x="8314806" y="2038927"/>
                  <a:pt x="8330179" y="2023335"/>
                  <a:pt x="8330179" y="2004107"/>
                </a:cubicBezTo>
                <a:cubicBezTo>
                  <a:pt x="8330179" y="1984878"/>
                  <a:pt x="8314806" y="1969286"/>
                  <a:pt x="8295839" y="1969286"/>
                </a:cubicBezTo>
                <a:close/>
                <a:moveTo>
                  <a:pt x="8379580" y="1969286"/>
                </a:moveTo>
                <a:cubicBezTo>
                  <a:pt x="8360613" y="1969286"/>
                  <a:pt x="8345227" y="1984878"/>
                  <a:pt x="8345227" y="2004107"/>
                </a:cubicBezTo>
                <a:cubicBezTo>
                  <a:pt x="8345227" y="2023335"/>
                  <a:pt x="8360613" y="2038927"/>
                  <a:pt x="8379580" y="2038927"/>
                </a:cubicBezTo>
                <a:cubicBezTo>
                  <a:pt x="8398547" y="2038927"/>
                  <a:pt x="8413921" y="2023335"/>
                  <a:pt x="8413921" y="2004107"/>
                </a:cubicBezTo>
                <a:cubicBezTo>
                  <a:pt x="8413921" y="1984878"/>
                  <a:pt x="8398547" y="1969286"/>
                  <a:pt x="8379580" y="1969286"/>
                </a:cubicBezTo>
                <a:close/>
                <a:moveTo>
                  <a:pt x="8463323" y="1969286"/>
                </a:moveTo>
                <a:cubicBezTo>
                  <a:pt x="8444356" y="1969286"/>
                  <a:pt x="8428970" y="1984878"/>
                  <a:pt x="8428970" y="2004107"/>
                </a:cubicBezTo>
                <a:cubicBezTo>
                  <a:pt x="8428970" y="2023335"/>
                  <a:pt x="8444356" y="2038927"/>
                  <a:pt x="8463323" y="2038927"/>
                </a:cubicBezTo>
                <a:cubicBezTo>
                  <a:pt x="8482290" y="2038927"/>
                  <a:pt x="8497663" y="2023335"/>
                  <a:pt x="8497663" y="2004107"/>
                </a:cubicBezTo>
                <a:cubicBezTo>
                  <a:pt x="8497663" y="1984878"/>
                  <a:pt x="8482290" y="1969286"/>
                  <a:pt x="8463323" y="1969286"/>
                </a:cubicBezTo>
                <a:close/>
                <a:moveTo>
                  <a:pt x="8547064" y="1969286"/>
                </a:moveTo>
                <a:cubicBezTo>
                  <a:pt x="8528097" y="1969286"/>
                  <a:pt x="8512711" y="1984878"/>
                  <a:pt x="8512711" y="2004107"/>
                </a:cubicBezTo>
                <a:cubicBezTo>
                  <a:pt x="8512711" y="2023335"/>
                  <a:pt x="8528097" y="2038927"/>
                  <a:pt x="8547064" y="2038927"/>
                </a:cubicBezTo>
                <a:cubicBezTo>
                  <a:pt x="8566031" y="2038927"/>
                  <a:pt x="8581404" y="2023335"/>
                  <a:pt x="8581404" y="2004107"/>
                </a:cubicBezTo>
                <a:cubicBezTo>
                  <a:pt x="8581404" y="1984878"/>
                  <a:pt x="8566031" y="1969286"/>
                  <a:pt x="8547064" y="1969286"/>
                </a:cubicBezTo>
                <a:close/>
                <a:moveTo>
                  <a:pt x="8630805" y="1969286"/>
                </a:moveTo>
                <a:cubicBezTo>
                  <a:pt x="8611838" y="1969286"/>
                  <a:pt x="8596452" y="1984878"/>
                  <a:pt x="8596452" y="2004107"/>
                </a:cubicBezTo>
                <a:cubicBezTo>
                  <a:pt x="8596452" y="2023335"/>
                  <a:pt x="8611838" y="2038927"/>
                  <a:pt x="8630805" y="2038927"/>
                </a:cubicBezTo>
                <a:cubicBezTo>
                  <a:pt x="8649772" y="2038927"/>
                  <a:pt x="8665145" y="2023335"/>
                  <a:pt x="8665145" y="2004107"/>
                </a:cubicBezTo>
                <a:cubicBezTo>
                  <a:pt x="8665145" y="1984878"/>
                  <a:pt x="8649772" y="1969286"/>
                  <a:pt x="8630805" y="1969286"/>
                </a:cubicBezTo>
                <a:close/>
                <a:moveTo>
                  <a:pt x="8714547" y="1969286"/>
                </a:moveTo>
                <a:cubicBezTo>
                  <a:pt x="8695580" y="1969286"/>
                  <a:pt x="8680194" y="1984878"/>
                  <a:pt x="8680194" y="2004107"/>
                </a:cubicBezTo>
                <a:cubicBezTo>
                  <a:pt x="8680194" y="2023335"/>
                  <a:pt x="8695580" y="2038927"/>
                  <a:pt x="8714547" y="2038927"/>
                </a:cubicBezTo>
                <a:cubicBezTo>
                  <a:pt x="8733514" y="2038927"/>
                  <a:pt x="8748888" y="2023335"/>
                  <a:pt x="8748888" y="2004107"/>
                </a:cubicBezTo>
                <a:cubicBezTo>
                  <a:pt x="8748888" y="1984878"/>
                  <a:pt x="8733514" y="1969286"/>
                  <a:pt x="8714547" y="1969286"/>
                </a:cubicBezTo>
                <a:close/>
                <a:moveTo>
                  <a:pt x="8798289" y="1969286"/>
                </a:moveTo>
                <a:cubicBezTo>
                  <a:pt x="8779322" y="1969286"/>
                  <a:pt x="8763936" y="1984878"/>
                  <a:pt x="8763936" y="2004107"/>
                </a:cubicBezTo>
                <a:cubicBezTo>
                  <a:pt x="8763936" y="2023335"/>
                  <a:pt x="8779322" y="2038927"/>
                  <a:pt x="8798289" y="2038927"/>
                </a:cubicBezTo>
                <a:cubicBezTo>
                  <a:pt x="8817256" y="2038927"/>
                  <a:pt x="8832629" y="2023335"/>
                  <a:pt x="8832629" y="2004107"/>
                </a:cubicBezTo>
                <a:cubicBezTo>
                  <a:pt x="8832629" y="1984878"/>
                  <a:pt x="8817256" y="1969286"/>
                  <a:pt x="8798289" y="1969286"/>
                </a:cubicBezTo>
                <a:close/>
                <a:moveTo>
                  <a:pt x="8882030" y="1969286"/>
                </a:moveTo>
                <a:cubicBezTo>
                  <a:pt x="8863063" y="1969286"/>
                  <a:pt x="8847677" y="1984878"/>
                  <a:pt x="8847677" y="2004107"/>
                </a:cubicBezTo>
                <a:cubicBezTo>
                  <a:pt x="8847677" y="2023335"/>
                  <a:pt x="8863063" y="2038927"/>
                  <a:pt x="8882030" y="2038927"/>
                </a:cubicBezTo>
                <a:cubicBezTo>
                  <a:pt x="8900997" y="2038927"/>
                  <a:pt x="8916370" y="2023335"/>
                  <a:pt x="8916370" y="2004107"/>
                </a:cubicBezTo>
                <a:cubicBezTo>
                  <a:pt x="8916370" y="1984878"/>
                  <a:pt x="8900997" y="1969286"/>
                  <a:pt x="8882030" y="1969286"/>
                </a:cubicBezTo>
                <a:close/>
                <a:moveTo>
                  <a:pt x="8965772" y="1969286"/>
                </a:moveTo>
                <a:cubicBezTo>
                  <a:pt x="8946805" y="1969286"/>
                  <a:pt x="8931419" y="1984878"/>
                  <a:pt x="8931419" y="2004107"/>
                </a:cubicBezTo>
                <a:cubicBezTo>
                  <a:pt x="8931419" y="2023335"/>
                  <a:pt x="8946805" y="2038927"/>
                  <a:pt x="8965772" y="2038927"/>
                </a:cubicBezTo>
                <a:cubicBezTo>
                  <a:pt x="8984739" y="2038927"/>
                  <a:pt x="9000112" y="2023335"/>
                  <a:pt x="9000112" y="2004107"/>
                </a:cubicBezTo>
                <a:cubicBezTo>
                  <a:pt x="9000112" y="1984878"/>
                  <a:pt x="8984739" y="1969286"/>
                  <a:pt x="8965772" y="1969286"/>
                </a:cubicBezTo>
                <a:close/>
                <a:moveTo>
                  <a:pt x="9049513" y="1969286"/>
                </a:moveTo>
                <a:cubicBezTo>
                  <a:pt x="9030546" y="1969286"/>
                  <a:pt x="9015160" y="1984878"/>
                  <a:pt x="9015160" y="2004107"/>
                </a:cubicBezTo>
                <a:cubicBezTo>
                  <a:pt x="9015160" y="2023335"/>
                  <a:pt x="9030546" y="2038927"/>
                  <a:pt x="9049513" y="2038927"/>
                </a:cubicBezTo>
                <a:cubicBezTo>
                  <a:pt x="9068480" y="2038927"/>
                  <a:pt x="9083854" y="2023335"/>
                  <a:pt x="9083854" y="2004107"/>
                </a:cubicBezTo>
                <a:cubicBezTo>
                  <a:pt x="9083854" y="1984878"/>
                  <a:pt x="9068480" y="1969286"/>
                  <a:pt x="9049513" y="1969286"/>
                </a:cubicBezTo>
                <a:close/>
                <a:moveTo>
                  <a:pt x="9133256" y="1969286"/>
                </a:moveTo>
                <a:cubicBezTo>
                  <a:pt x="9114289" y="1969286"/>
                  <a:pt x="9098903" y="1984878"/>
                  <a:pt x="9098903" y="2004107"/>
                </a:cubicBezTo>
                <a:cubicBezTo>
                  <a:pt x="9098903" y="2023335"/>
                  <a:pt x="9114289" y="2038927"/>
                  <a:pt x="9133256" y="2038927"/>
                </a:cubicBezTo>
                <a:cubicBezTo>
                  <a:pt x="9152223" y="2038927"/>
                  <a:pt x="9167596" y="2023335"/>
                  <a:pt x="9167596" y="2004107"/>
                </a:cubicBezTo>
                <a:cubicBezTo>
                  <a:pt x="9167596" y="1984878"/>
                  <a:pt x="9152223" y="1969286"/>
                  <a:pt x="9133256" y="1969286"/>
                </a:cubicBezTo>
                <a:close/>
                <a:moveTo>
                  <a:pt x="9216997" y="1969286"/>
                </a:moveTo>
                <a:cubicBezTo>
                  <a:pt x="9198030" y="1969286"/>
                  <a:pt x="9182644" y="1984878"/>
                  <a:pt x="9182644" y="2004107"/>
                </a:cubicBezTo>
                <a:cubicBezTo>
                  <a:pt x="9182644" y="2023335"/>
                  <a:pt x="9198030" y="2038927"/>
                  <a:pt x="9216997" y="2038927"/>
                </a:cubicBezTo>
                <a:cubicBezTo>
                  <a:pt x="9235964" y="2038927"/>
                  <a:pt x="9251337" y="2023335"/>
                  <a:pt x="9251337" y="2004107"/>
                </a:cubicBezTo>
                <a:cubicBezTo>
                  <a:pt x="9251337" y="1984878"/>
                  <a:pt x="9235964" y="1969286"/>
                  <a:pt x="9216997" y="1969286"/>
                </a:cubicBezTo>
                <a:close/>
                <a:moveTo>
                  <a:pt x="9300738" y="1969286"/>
                </a:moveTo>
                <a:cubicBezTo>
                  <a:pt x="9281771" y="1969286"/>
                  <a:pt x="9266385" y="1984878"/>
                  <a:pt x="9266385" y="2004107"/>
                </a:cubicBezTo>
                <a:cubicBezTo>
                  <a:pt x="9266385" y="2023335"/>
                  <a:pt x="9281771" y="2038927"/>
                  <a:pt x="9300738" y="2038927"/>
                </a:cubicBezTo>
                <a:cubicBezTo>
                  <a:pt x="9319705" y="2038927"/>
                  <a:pt x="9335078" y="2023335"/>
                  <a:pt x="9335078" y="2004107"/>
                </a:cubicBezTo>
                <a:cubicBezTo>
                  <a:pt x="9335078" y="1984878"/>
                  <a:pt x="9319705" y="1969286"/>
                  <a:pt x="9300738" y="1969286"/>
                </a:cubicBezTo>
                <a:close/>
                <a:moveTo>
                  <a:pt x="9384480" y="1969286"/>
                </a:moveTo>
                <a:cubicBezTo>
                  <a:pt x="9365513" y="1969286"/>
                  <a:pt x="9350127" y="1984878"/>
                  <a:pt x="9350127" y="2004107"/>
                </a:cubicBezTo>
                <a:cubicBezTo>
                  <a:pt x="9350127" y="2023335"/>
                  <a:pt x="9365513" y="2038927"/>
                  <a:pt x="9384480" y="2038927"/>
                </a:cubicBezTo>
                <a:cubicBezTo>
                  <a:pt x="9403447" y="2038927"/>
                  <a:pt x="9418821" y="2023335"/>
                  <a:pt x="9418821" y="2004107"/>
                </a:cubicBezTo>
                <a:cubicBezTo>
                  <a:pt x="9418821" y="1984878"/>
                  <a:pt x="9403447" y="1969286"/>
                  <a:pt x="9384480" y="1969286"/>
                </a:cubicBezTo>
                <a:close/>
                <a:moveTo>
                  <a:pt x="9468222" y="1969286"/>
                </a:moveTo>
                <a:cubicBezTo>
                  <a:pt x="9449255" y="1969286"/>
                  <a:pt x="9433869" y="1984878"/>
                  <a:pt x="9433869" y="2004107"/>
                </a:cubicBezTo>
                <a:cubicBezTo>
                  <a:pt x="9433869" y="2023335"/>
                  <a:pt x="9449255" y="2038927"/>
                  <a:pt x="9468222" y="2038927"/>
                </a:cubicBezTo>
                <a:cubicBezTo>
                  <a:pt x="9487189" y="2038927"/>
                  <a:pt x="9502562" y="2023335"/>
                  <a:pt x="9502562" y="2004107"/>
                </a:cubicBezTo>
                <a:cubicBezTo>
                  <a:pt x="9502562" y="1984878"/>
                  <a:pt x="9487189" y="1969286"/>
                  <a:pt x="9468222" y="1969286"/>
                </a:cubicBezTo>
                <a:close/>
                <a:moveTo>
                  <a:pt x="9551963" y="1969286"/>
                </a:moveTo>
                <a:cubicBezTo>
                  <a:pt x="9532996" y="1969286"/>
                  <a:pt x="9517610" y="1984878"/>
                  <a:pt x="9517610" y="2004107"/>
                </a:cubicBezTo>
                <a:cubicBezTo>
                  <a:pt x="9517610" y="2023335"/>
                  <a:pt x="9532996" y="2038927"/>
                  <a:pt x="9551963" y="2038927"/>
                </a:cubicBezTo>
                <a:cubicBezTo>
                  <a:pt x="9570930" y="2038927"/>
                  <a:pt x="9586303" y="2023335"/>
                  <a:pt x="9586303" y="2004107"/>
                </a:cubicBezTo>
                <a:cubicBezTo>
                  <a:pt x="9586303" y="1984878"/>
                  <a:pt x="9570930" y="1969286"/>
                  <a:pt x="9551963" y="1969286"/>
                </a:cubicBezTo>
                <a:close/>
                <a:moveTo>
                  <a:pt x="9635705" y="1969286"/>
                </a:moveTo>
                <a:cubicBezTo>
                  <a:pt x="9616738" y="1969286"/>
                  <a:pt x="9601352" y="1984878"/>
                  <a:pt x="9601352" y="2004107"/>
                </a:cubicBezTo>
                <a:cubicBezTo>
                  <a:pt x="9601352" y="2023335"/>
                  <a:pt x="9616738" y="2038927"/>
                  <a:pt x="9635705" y="2038927"/>
                </a:cubicBezTo>
                <a:cubicBezTo>
                  <a:pt x="9654672" y="2038927"/>
                  <a:pt x="9670045" y="2023335"/>
                  <a:pt x="9670045" y="2004107"/>
                </a:cubicBezTo>
                <a:cubicBezTo>
                  <a:pt x="9670045" y="1984878"/>
                  <a:pt x="9654672" y="1969286"/>
                  <a:pt x="9635705" y="1969286"/>
                </a:cubicBezTo>
                <a:close/>
                <a:moveTo>
                  <a:pt x="10305638" y="1969286"/>
                </a:moveTo>
                <a:cubicBezTo>
                  <a:pt x="10286671" y="1969286"/>
                  <a:pt x="10271285" y="1984878"/>
                  <a:pt x="10271285" y="2004107"/>
                </a:cubicBezTo>
                <a:cubicBezTo>
                  <a:pt x="10271285" y="2023335"/>
                  <a:pt x="10286671" y="2038927"/>
                  <a:pt x="10305638" y="2038927"/>
                </a:cubicBezTo>
                <a:cubicBezTo>
                  <a:pt x="10324605" y="2038927"/>
                  <a:pt x="10339978" y="2023335"/>
                  <a:pt x="10339978" y="2004107"/>
                </a:cubicBezTo>
                <a:cubicBezTo>
                  <a:pt x="10339978" y="1984878"/>
                  <a:pt x="10324605" y="1969286"/>
                  <a:pt x="10305638" y="1969286"/>
                </a:cubicBezTo>
                <a:close/>
                <a:moveTo>
                  <a:pt x="2266416" y="2054150"/>
                </a:moveTo>
                <a:cubicBezTo>
                  <a:pt x="2247449" y="2054150"/>
                  <a:pt x="2232069" y="2069742"/>
                  <a:pt x="2232069" y="2088971"/>
                </a:cubicBezTo>
                <a:cubicBezTo>
                  <a:pt x="2232069" y="2108199"/>
                  <a:pt x="2247449" y="2123791"/>
                  <a:pt x="2266416" y="2123791"/>
                </a:cubicBezTo>
                <a:cubicBezTo>
                  <a:pt x="2285383" y="2123791"/>
                  <a:pt x="2300762" y="2108199"/>
                  <a:pt x="2300762" y="2088971"/>
                </a:cubicBezTo>
                <a:cubicBezTo>
                  <a:pt x="2300762" y="2069742"/>
                  <a:pt x="2285383" y="2054150"/>
                  <a:pt x="2266416" y="2054150"/>
                </a:cubicBezTo>
                <a:close/>
                <a:moveTo>
                  <a:pt x="2350151" y="2054150"/>
                </a:moveTo>
                <a:cubicBezTo>
                  <a:pt x="2331184" y="2054150"/>
                  <a:pt x="2315804" y="2069742"/>
                  <a:pt x="2315804" y="2088971"/>
                </a:cubicBezTo>
                <a:cubicBezTo>
                  <a:pt x="2315804" y="2108199"/>
                  <a:pt x="2331184" y="2123791"/>
                  <a:pt x="2350151" y="2123791"/>
                </a:cubicBezTo>
                <a:cubicBezTo>
                  <a:pt x="2369118" y="2123791"/>
                  <a:pt x="2384498" y="2108199"/>
                  <a:pt x="2384498" y="2088971"/>
                </a:cubicBezTo>
                <a:cubicBezTo>
                  <a:pt x="2384498" y="2069742"/>
                  <a:pt x="2369118" y="2054150"/>
                  <a:pt x="2350151" y="2054150"/>
                </a:cubicBezTo>
                <a:close/>
                <a:moveTo>
                  <a:pt x="2433893" y="2054150"/>
                </a:moveTo>
                <a:cubicBezTo>
                  <a:pt x="2414926" y="2054150"/>
                  <a:pt x="2399546" y="2069742"/>
                  <a:pt x="2399546" y="2088971"/>
                </a:cubicBezTo>
                <a:cubicBezTo>
                  <a:pt x="2399546" y="2108199"/>
                  <a:pt x="2414926" y="2123791"/>
                  <a:pt x="2433893" y="2123791"/>
                </a:cubicBezTo>
                <a:cubicBezTo>
                  <a:pt x="2452860" y="2123791"/>
                  <a:pt x="2468240" y="2108199"/>
                  <a:pt x="2468240" y="2088971"/>
                </a:cubicBezTo>
                <a:cubicBezTo>
                  <a:pt x="2468240" y="2069742"/>
                  <a:pt x="2452860" y="2054150"/>
                  <a:pt x="2433893" y="2054150"/>
                </a:cubicBezTo>
                <a:close/>
                <a:moveTo>
                  <a:pt x="2517634" y="2054150"/>
                </a:moveTo>
                <a:cubicBezTo>
                  <a:pt x="2498667" y="2054150"/>
                  <a:pt x="2483288" y="2069742"/>
                  <a:pt x="2483288" y="2088971"/>
                </a:cubicBezTo>
                <a:cubicBezTo>
                  <a:pt x="2483288" y="2108199"/>
                  <a:pt x="2498667" y="2123791"/>
                  <a:pt x="2517634" y="2123791"/>
                </a:cubicBezTo>
                <a:cubicBezTo>
                  <a:pt x="2536601" y="2123791"/>
                  <a:pt x="2551981" y="2108199"/>
                  <a:pt x="2551981" y="2088971"/>
                </a:cubicBezTo>
                <a:cubicBezTo>
                  <a:pt x="2551981" y="2069742"/>
                  <a:pt x="2536601" y="2054150"/>
                  <a:pt x="2517634" y="2054150"/>
                </a:cubicBezTo>
                <a:close/>
                <a:moveTo>
                  <a:pt x="2601376" y="2054150"/>
                </a:moveTo>
                <a:cubicBezTo>
                  <a:pt x="2582409" y="2054150"/>
                  <a:pt x="2567029" y="2069742"/>
                  <a:pt x="2567029" y="2088971"/>
                </a:cubicBezTo>
                <a:cubicBezTo>
                  <a:pt x="2567029" y="2108199"/>
                  <a:pt x="2582409" y="2123791"/>
                  <a:pt x="2601376" y="2123791"/>
                </a:cubicBezTo>
                <a:cubicBezTo>
                  <a:pt x="2620343" y="2123791"/>
                  <a:pt x="2635722" y="2108199"/>
                  <a:pt x="2635722" y="2088971"/>
                </a:cubicBezTo>
                <a:cubicBezTo>
                  <a:pt x="2635722" y="2069742"/>
                  <a:pt x="2620343" y="2054150"/>
                  <a:pt x="2601376" y="2054150"/>
                </a:cubicBezTo>
                <a:close/>
                <a:moveTo>
                  <a:pt x="2685118" y="2054150"/>
                </a:moveTo>
                <a:cubicBezTo>
                  <a:pt x="2666151" y="2054150"/>
                  <a:pt x="2650771" y="2069742"/>
                  <a:pt x="2650771" y="2088971"/>
                </a:cubicBezTo>
                <a:cubicBezTo>
                  <a:pt x="2650771" y="2108199"/>
                  <a:pt x="2666151" y="2123791"/>
                  <a:pt x="2685118" y="2123791"/>
                </a:cubicBezTo>
                <a:cubicBezTo>
                  <a:pt x="2704085" y="2123791"/>
                  <a:pt x="2719465" y="2108199"/>
                  <a:pt x="2719465" y="2088971"/>
                </a:cubicBezTo>
                <a:cubicBezTo>
                  <a:pt x="2719465" y="2069742"/>
                  <a:pt x="2704085" y="2054150"/>
                  <a:pt x="2685118" y="2054150"/>
                </a:cubicBezTo>
                <a:close/>
                <a:moveTo>
                  <a:pt x="2768859" y="2054150"/>
                </a:moveTo>
                <a:cubicBezTo>
                  <a:pt x="2749892" y="2054150"/>
                  <a:pt x="2734512" y="2069742"/>
                  <a:pt x="2734512" y="2088971"/>
                </a:cubicBezTo>
                <a:cubicBezTo>
                  <a:pt x="2734512" y="2108199"/>
                  <a:pt x="2749892" y="2123791"/>
                  <a:pt x="2768859" y="2123791"/>
                </a:cubicBezTo>
                <a:cubicBezTo>
                  <a:pt x="2787826" y="2123791"/>
                  <a:pt x="2803206" y="2108199"/>
                  <a:pt x="2803206" y="2088971"/>
                </a:cubicBezTo>
                <a:cubicBezTo>
                  <a:pt x="2803206" y="2069742"/>
                  <a:pt x="2787826" y="2054150"/>
                  <a:pt x="2768859" y="2054150"/>
                </a:cubicBezTo>
                <a:close/>
                <a:moveTo>
                  <a:pt x="2852600" y="2054150"/>
                </a:moveTo>
                <a:cubicBezTo>
                  <a:pt x="2833633" y="2054150"/>
                  <a:pt x="2818254" y="2069742"/>
                  <a:pt x="2818254" y="2088971"/>
                </a:cubicBezTo>
                <a:cubicBezTo>
                  <a:pt x="2818254" y="2108199"/>
                  <a:pt x="2833633" y="2123791"/>
                  <a:pt x="2852600" y="2123791"/>
                </a:cubicBezTo>
                <a:cubicBezTo>
                  <a:pt x="2871567" y="2123791"/>
                  <a:pt x="2886947" y="2108199"/>
                  <a:pt x="2886947" y="2088971"/>
                </a:cubicBezTo>
                <a:cubicBezTo>
                  <a:pt x="2886947" y="2069742"/>
                  <a:pt x="2871567" y="2054150"/>
                  <a:pt x="2852600" y="2054150"/>
                </a:cubicBezTo>
                <a:close/>
                <a:moveTo>
                  <a:pt x="2936343" y="2054150"/>
                </a:moveTo>
                <a:cubicBezTo>
                  <a:pt x="2917376" y="2054150"/>
                  <a:pt x="2901996" y="2069742"/>
                  <a:pt x="2901996" y="2088971"/>
                </a:cubicBezTo>
                <a:cubicBezTo>
                  <a:pt x="2901996" y="2108199"/>
                  <a:pt x="2917376" y="2123791"/>
                  <a:pt x="2936343" y="2123791"/>
                </a:cubicBezTo>
                <a:cubicBezTo>
                  <a:pt x="2955310" y="2123791"/>
                  <a:pt x="2970689" y="2108199"/>
                  <a:pt x="2970689" y="2088971"/>
                </a:cubicBezTo>
                <a:cubicBezTo>
                  <a:pt x="2970689" y="2069742"/>
                  <a:pt x="2955310" y="2054150"/>
                  <a:pt x="2936343" y="2054150"/>
                </a:cubicBezTo>
                <a:close/>
                <a:moveTo>
                  <a:pt x="3020084" y="2054150"/>
                </a:moveTo>
                <a:cubicBezTo>
                  <a:pt x="3001117" y="2054150"/>
                  <a:pt x="2985737" y="2069742"/>
                  <a:pt x="2985737" y="2088971"/>
                </a:cubicBezTo>
                <a:cubicBezTo>
                  <a:pt x="2985737" y="2108199"/>
                  <a:pt x="3001117" y="2123791"/>
                  <a:pt x="3020084" y="2123791"/>
                </a:cubicBezTo>
                <a:cubicBezTo>
                  <a:pt x="3039051" y="2123791"/>
                  <a:pt x="3054431" y="2108199"/>
                  <a:pt x="3054431" y="2088971"/>
                </a:cubicBezTo>
                <a:cubicBezTo>
                  <a:pt x="3054431" y="2069742"/>
                  <a:pt x="3039051" y="2054150"/>
                  <a:pt x="3020084" y="2054150"/>
                </a:cubicBezTo>
                <a:close/>
                <a:moveTo>
                  <a:pt x="3103826" y="2054150"/>
                </a:moveTo>
                <a:cubicBezTo>
                  <a:pt x="3084859" y="2054150"/>
                  <a:pt x="3069479" y="2069742"/>
                  <a:pt x="3069479" y="2088971"/>
                </a:cubicBezTo>
                <a:cubicBezTo>
                  <a:pt x="3069479" y="2108199"/>
                  <a:pt x="3084859" y="2123791"/>
                  <a:pt x="3103826" y="2123791"/>
                </a:cubicBezTo>
                <a:cubicBezTo>
                  <a:pt x="3122793" y="2123791"/>
                  <a:pt x="3138173" y="2108199"/>
                  <a:pt x="3138173" y="2088971"/>
                </a:cubicBezTo>
                <a:cubicBezTo>
                  <a:pt x="3138173" y="2069742"/>
                  <a:pt x="3122793" y="2054150"/>
                  <a:pt x="3103826" y="2054150"/>
                </a:cubicBezTo>
                <a:close/>
                <a:moveTo>
                  <a:pt x="3271309" y="2054150"/>
                </a:moveTo>
                <a:cubicBezTo>
                  <a:pt x="3252342" y="2054150"/>
                  <a:pt x="3236962" y="2069742"/>
                  <a:pt x="3236962" y="2088971"/>
                </a:cubicBezTo>
                <a:cubicBezTo>
                  <a:pt x="3236962" y="2108199"/>
                  <a:pt x="3252342" y="2123791"/>
                  <a:pt x="3271309" y="2123791"/>
                </a:cubicBezTo>
                <a:cubicBezTo>
                  <a:pt x="3290276" y="2123791"/>
                  <a:pt x="3305655" y="2108199"/>
                  <a:pt x="3305655" y="2088971"/>
                </a:cubicBezTo>
                <a:cubicBezTo>
                  <a:pt x="3305655" y="2069742"/>
                  <a:pt x="3290276" y="2054150"/>
                  <a:pt x="3271309" y="2054150"/>
                </a:cubicBezTo>
                <a:close/>
                <a:moveTo>
                  <a:pt x="3773759" y="2054150"/>
                </a:moveTo>
                <a:cubicBezTo>
                  <a:pt x="3754792" y="2054150"/>
                  <a:pt x="3739412" y="2069742"/>
                  <a:pt x="3739412" y="2088971"/>
                </a:cubicBezTo>
                <a:cubicBezTo>
                  <a:pt x="3739412" y="2108199"/>
                  <a:pt x="3754792" y="2123791"/>
                  <a:pt x="3773759" y="2123791"/>
                </a:cubicBezTo>
                <a:cubicBezTo>
                  <a:pt x="3792726" y="2123791"/>
                  <a:pt x="3808106" y="2108199"/>
                  <a:pt x="3808106" y="2088971"/>
                </a:cubicBezTo>
                <a:cubicBezTo>
                  <a:pt x="3808106" y="2069742"/>
                  <a:pt x="3792726" y="2054150"/>
                  <a:pt x="3773759" y="2054150"/>
                </a:cubicBezTo>
                <a:close/>
                <a:moveTo>
                  <a:pt x="3857500" y="2054150"/>
                </a:moveTo>
                <a:cubicBezTo>
                  <a:pt x="3838533" y="2054150"/>
                  <a:pt x="3823154" y="2069742"/>
                  <a:pt x="3823154" y="2088971"/>
                </a:cubicBezTo>
                <a:cubicBezTo>
                  <a:pt x="3823154" y="2108199"/>
                  <a:pt x="3838533" y="2123791"/>
                  <a:pt x="3857500" y="2123791"/>
                </a:cubicBezTo>
                <a:cubicBezTo>
                  <a:pt x="3876467" y="2123791"/>
                  <a:pt x="3891847" y="2108199"/>
                  <a:pt x="3891847" y="2088971"/>
                </a:cubicBezTo>
                <a:cubicBezTo>
                  <a:pt x="3891847" y="2069742"/>
                  <a:pt x="3876467" y="2054150"/>
                  <a:pt x="3857500" y="2054150"/>
                </a:cubicBezTo>
                <a:close/>
                <a:moveTo>
                  <a:pt x="3941242" y="2054150"/>
                </a:moveTo>
                <a:cubicBezTo>
                  <a:pt x="3922275" y="2054150"/>
                  <a:pt x="3906895" y="2069742"/>
                  <a:pt x="3906895" y="2088971"/>
                </a:cubicBezTo>
                <a:cubicBezTo>
                  <a:pt x="3906895" y="2108199"/>
                  <a:pt x="3922275" y="2123791"/>
                  <a:pt x="3941242" y="2123791"/>
                </a:cubicBezTo>
                <a:cubicBezTo>
                  <a:pt x="3960209" y="2123791"/>
                  <a:pt x="3975588" y="2108199"/>
                  <a:pt x="3975588" y="2088971"/>
                </a:cubicBezTo>
                <a:cubicBezTo>
                  <a:pt x="3975588" y="2069742"/>
                  <a:pt x="3960209" y="2054150"/>
                  <a:pt x="3941242" y="2054150"/>
                </a:cubicBezTo>
                <a:close/>
                <a:moveTo>
                  <a:pt x="4108732" y="2054150"/>
                </a:moveTo>
                <a:cubicBezTo>
                  <a:pt x="4089765" y="2054150"/>
                  <a:pt x="4074386" y="2069742"/>
                  <a:pt x="4074386" y="2088971"/>
                </a:cubicBezTo>
                <a:cubicBezTo>
                  <a:pt x="4074386" y="2108199"/>
                  <a:pt x="4089765" y="2123791"/>
                  <a:pt x="4108732" y="2123791"/>
                </a:cubicBezTo>
                <a:cubicBezTo>
                  <a:pt x="4127699" y="2123791"/>
                  <a:pt x="4143079" y="2108199"/>
                  <a:pt x="4143079" y="2088971"/>
                </a:cubicBezTo>
                <a:cubicBezTo>
                  <a:pt x="4143079" y="2069742"/>
                  <a:pt x="4127699" y="2054150"/>
                  <a:pt x="4108732" y="2054150"/>
                </a:cubicBezTo>
                <a:close/>
                <a:moveTo>
                  <a:pt x="6034789" y="2054150"/>
                </a:moveTo>
                <a:cubicBezTo>
                  <a:pt x="6015822" y="2054150"/>
                  <a:pt x="6000436" y="2069742"/>
                  <a:pt x="6000436" y="2088971"/>
                </a:cubicBezTo>
                <a:cubicBezTo>
                  <a:pt x="6000436" y="2108199"/>
                  <a:pt x="6015822" y="2123791"/>
                  <a:pt x="6034789" y="2123791"/>
                </a:cubicBezTo>
                <a:cubicBezTo>
                  <a:pt x="6053756" y="2123791"/>
                  <a:pt x="6069130" y="2108199"/>
                  <a:pt x="6069130" y="2088971"/>
                </a:cubicBezTo>
                <a:cubicBezTo>
                  <a:pt x="6069130" y="2069742"/>
                  <a:pt x="6053756" y="2054150"/>
                  <a:pt x="6034789" y="2054150"/>
                </a:cubicBezTo>
                <a:close/>
                <a:moveTo>
                  <a:pt x="6118531" y="2054150"/>
                </a:moveTo>
                <a:cubicBezTo>
                  <a:pt x="6099564" y="2054150"/>
                  <a:pt x="6084177" y="2069742"/>
                  <a:pt x="6084177" y="2088971"/>
                </a:cubicBezTo>
                <a:cubicBezTo>
                  <a:pt x="6084177" y="2108199"/>
                  <a:pt x="6099564" y="2123791"/>
                  <a:pt x="6118531" y="2123791"/>
                </a:cubicBezTo>
                <a:cubicBezTo>
                  <a:pt x="6137498" y="2123791"/>
                  <a:pt x="6152871" y="2108199"/>
                  <a:pt x="6152871" y="2088971"/>
                </a:cubicBezTo>
                <a:cubicBezTo>
                  <a:pt x="6152871" y="2069742"/>
                  <a:pt x="6137498" y="2054150"/>
                  <a:pt x="6118531" y="2054150"/>
                </a:cubicBezTo>
                <a:close/>
                <a:moveTo>
                  <a:pt x="6202273" y="2054150"/>
                </a:moveTo>
                <a:cubicBezTo>
                  <a:pt x="6183306" y="2054150"/>
                  <a:pt x="6167920" y="2069742"/>
                  <a:pt x="6167920" y="2088971"/>
                </a:cubicBezTo>
                <a:cubicBezTo>
                  <a:pt x="6167920" y="2108199"/>
                  <a:pt x="6183306" y="2123791"/>
                  <a:pt x="6202273" y="2123791"/>
                </a:cubicBezTo>
                <a:cubicBezTo>
                  <a:pt x="6221240" y="2123791"/>
                  <a:pt x="6236613" y="2108199"/>
                  <a:pt x="6236613" y="2088971"/>
                </a:cubicBezTo>
                <a:cubicBezTo>
                  <a:pt x="6236613" y="2069742"/>
                  <a:pt x="6221240" y="2054150"/>
                  <a:pt x="6202273" y="2054150"/>
                </a:cubicBezTo>
                <a:close/>
                <a:moveTo>
                  <a:pt x="6453498" y="2054150"/>
                </a:moveTo>
                <a:cubicBezTo>
                  <a:pt x="6434531" y="2054150"/>
                  <a:pt x="6419144" y="2069742"/>
                  <a:pt x="6419144" y="2088971"/>
                </a:cubicBezTo>
                <a:cubicBezTo>
                  <a:pt x="6419144" y="2108199"/>
                  <a:pt x="6434531" y="2123791"/>
                  <a:pt x="6453498" y="2123791"/>
                </a:cubicBezTo>
                <a:cubicBezTo>
                  <a:pt x="6472465" y="2123791"/>
                  <a:pt x="6487838" y="2108199"/>
                  <a:pt x="6487838" y="2088971"/>
                </a:cubicBezTo>
                <a:cubicBezTo>
                  <a:pt x="6487838" y="2069742"/>
                  <a:pt x="6472465" y="2054150"/>
                  <a:pt x="6453498" y="2054150"/>
                </a:cubicBezTo>
                <a:close/>
                <a:moveTo>
                  <a:pt x="6537239" y="2054150"/>
                </a:moveTo>
                <a:cubicBezTo>
                  <a:pt x="6518272" y="2054150"/>
                  <a:pt x="6502886" y="2069742"/>
                  <a:pt x="6502886" y="2088971"/>
                </a:cubicBezTo>
                <a:cubicBezTo>
                  <a:pt x="6502886" y="2108199"/>
                  <a:pt x="6518272" y="2123791"/>
                  <a:pt x="6537239" y="2123791"/>
                </a:cubicBezTo>
                <a:cubicBezTo>
                  <a:pt x="6556206" y="2123791"/>
                  <a:pt x="6571579" y="2108199"/>
                  <a:pt x="6571579" y="2088971"/>
                </a:cubicBezTo>
                <a:cubicBezTo>
                  <a:pt x="6571579" y="2069742"/>
                  <a:pt x="6556206" y="2054150"/>
                  <a:pt x="6537239" y="2054150"/>
                </a:cubicBezTo>
                <a:close/>
                <a:moveTo>
                  <a:pt x="6620980" y="2054150"/>
                </a:moveTo>
                <a:cubicBezTo>
                  <a:pt x="6602013" y="2054150"/>
                  <a:pt x="6586627" y="2069742"/>
                  <a:pt x="6586627" y="2088971"/>
                </a:cubicBezTo>
                <a:cubicBezTo>
                  <a:pt x="6586627" y="2108199"/>
                  <a:pt x="6602013" y="2123791"/>
                  <a:pt x="6620980" y="2123791"/>
                </a:cubicBezTo>
                <a:cubicBezTo>
                  <a:pt x="6639947" y="2123791"/>
                  <a:pt x="6655320" y="2108199"/>
                  <a:pt x="6655320" y="2088971"/>
                </a:cubicBezTo>
                <a:cubicBezTo>
                  <a:pt x="6655320" y="2069742"/>
                  <a:pt x="6639947" y="2054150"/>
                  <a:pt x="6620980" y="2054150"/>
                </a:cubicBezTo>
                <a:close/>
                <a:moveTo>
                  <a:pt x="6788464" y="2054150"/>
                </a:moveTo>
                <a:cubicBezTo>
                  <a:pt x="6769497" y="2054150"/>
                  <a:pt x="6754110" y="2069742"/>
                  <a:pt x="6754110" y="2088971"/>
                </a:cubicBezTo>
                <a:cubicBezTo>
                  <a:pt x="6754110" y="2108199"/>
                  <a:pt x="6769497" y="2123791"/>
                  <a:pt x="6788464" y="2123791"/>
                </a:cubicBezTo>
                <a:cubicBezTo>
                  <a:pt x="6807431" y="2123791"/>
                  <a:pt x="6822804" y="2108199"/>
                  <a:pt x="6822804" y="2088971"/>
                </a:cubicBezTo>
                <a:cubicBezTo>
                  <a:pt x="6822804" y="2069742"/>
                  <a:pt x="6807431" y="2054150"/>
                  <a:pt x="6788464" y="2054150"/>
                </a:cubicBezTo>
                <a:close/>
                <a:moveTo>
                  <a:pt x="6872206" y="2054150"/>
                </a:moveTo>
                <a:cubicBezTo>
                  <a:pt x="6853239" y="2054150"/>
                  <a:pt x="6837853" y="2069742"/>
                  <a:pt x="6837853" y="2088971"/>
                </a:cubicBezTo>
                <a:cubicBezTo>
                  <a:pt x="6837853" y="2108199"/>
                  <a:pt x="6853239" y="2123791"/>
                  <a:pt x="6872206" y="2123791"/>
                </a:cubicBezTo>
                <a:cubicBezTo>
                  <a:pt x="6891173" y="2123791"/>
                  <a:pt x="6906546" y="2108199"/>
                  <a:pt x="6906546" y="2088971"/>
                </a:cubicBezTo>
                <a:cubicBezTo>
                  <a:pt x="6906546" y="2069742"/>
                  <a:pt x="6891173" y="2054150"/>
                  <a:pt x="6872206" y="2054150"/>
                </a:cubicBezTo>
                <a:close/>
                <a:moveTo>
                  <a:pt x="6955947" y="2054150"/>
                </a:moveTo>
                <a:cubicBezTo>
                  <a:pt x="6936980" y="2054150"/>
                  <a:pt x="6921594" y="2069742"/>
                  <a:pt x="6921594" y="2088971"/>
                </a:cubicBezTo>
                <a:cubicBezTo>
                  <a:pt x="6921594" y="2108199"/>
                  <a:pt x="6936980" y="2123791"/>
                  <a:pt x="6955947" y="2123791"/>
                </a:cubicBezTo>
                <a:cubicBezTo>
                  <a:pt x="6974914" y="2123791"/>
                  <a:pt x="6990287" y="2108199"/>
                  <a:pt x="6990287" y="2088971"/>
                </a:cubicBezTo>
                <a:cubicBezTo>
                  <a:pt x="6990287" y="2069742"/>
                  <a:pt x="6974914" y="2054150"/>
                  <a:pt x="6955947" y="2054150"/>
                </a:cubicBezTo>
                <a:close/>
                <a:moveTo>
                  <a:pt x="7039688" y="2054150"/>
                </a:moveTo>
                <a:cubicBezTo>
                  <a:pt x="7020721" y="2054150"/>
                  <a:pt x="7005335" y="2069742"/>
                  <a:pt x="7005335" y="2088971"/>
                </a:cubicBezTo>
                <a:cubicBezTo>
                  <a:pt x="7005335" y="2108199"/>
                  <a:pt x="7020721" y="2123791"/>
                  <a:pt x="7039688" y="2123791"/>
                </a:cubicBezTo>
                <a:cubicBezTo>
                  <a:pt x="7058655" y="2123791"/>
                  <a:pt x="7074029" y="2108199"/>
                  <a:pt x="7074029" y="2088971"/>
                </a:cubicBezTo>
                <a:cubicBezTo>
                  <a:pt x="7074029" y="2069742"/>
                  <a:pt x="7058655" y="2054150"/>
                  <a:pt x="7039688" y="2054150"/>
                </a:cubicBezTo>
                <a:close/>
                <a:moveTo>
                  <a:pt x="7123456" y="2054150"/>
                </a:moveTo>
                <a:cubicBezTo>
                  <a:pt x="7104489" y="2054150"/>
                  <a:pt x="7089103" y="2069742"/>
                  <a:pt x="7089103" y="2088971"/>
                </a:cubicBezTo>
                <a:cubicBezTo>
                  <a:pt x="7089103" y="2108199"/>
                  <a:pt x="7104489" y="2123791"/>
                  <a:pt x="7123456" y="2123791"/>
                </a:cubicBezTo>
                <a:cubicBezTo>
                  <a:pt x="7142423" y="2123791"/>
                  <a:pt x="7157796" y="2108199"/>
                  <a:pt x="7157796" y="2088971"/>
                </a:cubicBezTo>
                <a:cubicBezTo>
                  <a:pt x="7157796" y="2069742"/>
                  <a:pt x="7142423" y="2054150"/>
                  <a:pt x="7123456" y="2054150"/>
                </a:cubicBezTo>
                <a:close/>
                <a:moveTo>
                  <a:pt x="7207198" y="2054150"/>
                </a:moveTo>
                <a:cubicBezTo>
                  <a:pt x="7188231" y="2054150"/>
                  <a:pt x="7172845" y="2069742"/>
                  <a:pt x="7172845" y="2088971"/>
                </a:cubicBezTo>
                <a:cubicBezTo>
                  <a:pt x="7172845" y="2108199"/>
                  <a:pt x="7188231" y="2123791"/>
                  <a:pt x="7207198" y="2123791"/>
                </a:cubicBezTo>
                <a:cubicBezTo>
                  <a:pt x="7226165" y="2123791"/>
                  <a:pt x="7241538" y="2108199"/>
                  <a:pt x="7241538" y="2088971"/>
                </a:cubicBezTo>
                <a:cubicBezTo>
                  <a:pt x="7241538" y="2069742"/>
                  <a:pt x="7226165" y="2054150"/>
                  <a:pt x="7207198" y="2054150"/>
                </a:cubicBezTo>
                <a:close/>
                <a:moveTo>
                  <a:pt x="7290939" y="2054150"/>
                </a:moveTo>
                <a:cubicBezTo>
                  <a:pt x="7271972" y="2054150"/>
                  <a:pt x="7256586" y="2069742"/>
                  <a:pt x="7256586" y="2088971"/>
                </a:cubicBezTo>
                <a:cubicBezTo>
                  <a:pt x="7256586" y="2108199"/>
                  <a:pt x="7271972" y="2123791"/>
                  <a:pt x="7290939" y="2123791"/>
                </a:cubicBezTo>
                <a:cubicBezTo>
                  <a:pt x="7309906" y="2123791"/>
                  <a:pt x="7325279" y="2108199"/>
                  <a:pt x="7325279" y="2088971"/>
                </a:cubicBezTo>
                <a:cubicBezTo>
                  <a:pt x="7325279" y="2069742"/>
                  <a:pt x="7309906" y="2054150"/>
                  <a:pt x="7290939" y="2054150"/>
                </a:cubicBezTo>
                <a:close/>
                <a:moveTo>
                  <a:pt x="7374681" y="2054150"/>
                </a:moveTo>
                <a:cubicBezTo>
                  <a:pt x="7355714" y="2054150"/>
                  <a:pt x="7340328" y="2069742"/>
                  <a:pt x="7340328" y="2088971"/>
                </a:cubicBezTo>
                <a:cubicBezTo>
                  <a:pt x="7340328" y="2108199"/>
                  <a:pt x="7355714" y="2123791"/>
                  <a:pt x="7374681" y="2123791"/>
                </a:cubicBezTo>
                <a:cubicBezTo>
                  <a:pt x="7393648" y="2123791"/>
                  <a:pt x="7409022" y="2108199"/>
                  <a:pt x="7409022" y="2088971"/>
                </a:cubicBezTo>
                <a:cubicBezTo>
                  <a:pt x="7409022" y="2069742"/>
                  <a:pt x="7393648" y="2054150"/>
                  <a:pt x="7374681" y="2054150"/>
                </a:cubicBezTo>
                <a:close/>
                <a:moveTo>
                  <a:pt x="7458423" y="2054150"/>
                </a:moveTo>
                <a:cubicBezTo>
                  <a:pt x="7439456" y="2054150"/>
                  <a:pt x="7424070" y="2069742"/>
                  <a:pt x="7424070" y="2088971"/>
                </a:cubicBezTo>
                <a:cubicBezTo>
                  <a:pt x="7424070" y="2108199"/>
                  <a:pt x="7439456" y="2123791"/>
                  <a:pt x="7458423" y="2123791"/>
                </a:cubicBezTo>
                <a:cubicBezTo>
                  <a:pt x="7477390" y="2123791"/>
                  <a:pt x="7492763" y="2108199"/>
                  <a:pt x="7492763" y="2088971"/>
                </a:cubicBezTo>
                <a:cubicBezTo>
                  <a:pt x="7492763" y="2069742"/>
                  <a:pt x="7477390" y="2054150"/>
                  <a:pt x="7458423" y="2054150"/>
                </a:cubicBezTo>
                <a:close/>
                <a:moveTo>
                  <a:pt x="7542164" y="2054150"/>
                </a:moveTo>
                <a:cubicBezTo>
                  <a:pt x="7523197" y="2054150"/>
                  <a:pt x="7507811" y="2069742"/>
                  <a:pt x="7507811" y="2088971"/>
                </a:cubicBezTo>
                <a:cubicBezTo>
                  <a:pt x="7507811" y="2108199"/>
                  <a:pt x="7523197" y="2123791"/>
                  <a:pt x="7542164" y="2123791"/>
                </a:cubicBezTo>
                <a:cubicBezTo>
                  <a:pt x="7561131" y="2123791"/>
                  <a:pt x="7576504" y="2108199"/>
                  <a:pt x="7576504" y="2088971"/>
                </a:cubicBezTo>
                <a:cubicBezTo>
                  <a:pt x="7576504" y="2069742"/>
                  <a:pt x="7561131" y="2054150"/>
                  <a:pt x="7542164" y="2054150"/>
                </a:cubicBezTo>
                <a:close/>
                <a:moveTo>
                  <a:pt x="7625906" y="2054150"/>
                </a:moveTo>
                <a:cubicBezTo>
                  <a:pt x="7606939" y="2054150"/>
                  <a:pt x="7591553" y="2069742"/>
                  <a:pt x="7591553" y="2088971"/>
                </a:cubicBezTo>
                <a:cubicBezTo>
                  <a:pt x="7591553" y="2108199"/>
                  <a:pt x="7606939" y="2123791"/>
                  <a:pt x="7625906" y="2123791"/>
                </a:cubicBezTo>
                <a:cubicBezTo>
                  <a:pt x="7644873" y="2123791"/>
                  <a:pt x="7660246" y="2108199"/>
                  <a:pt x="7660246" y="2088971"/>
                </a:cubicBezTo>
                <a:cubicBezTo>
                  <a:pt x="7660246" y="2069742"/>
                  <a:pt x="7644873" y="2054150"/>
                  <a:pt x="7625906" y="2054150"/>
                </a:cubicBezTo>
                <a:close/>
                <a:moveTo>
                  <a:pt x="7709647" y="2054150"/>
                </a:moveTo>
                <a:cubicBezTo>
                  <a:pt x="7690680" y="2054150"/>
                  <a:pt x="7675294" y="2069742"/>
                  <a:pt x="7675294" y="2088971"/>
                </a:cubicBezTo>
                <a:cubicBezTo>
                  <a:pt x="7675294" y="2108199"/>
                  <a:pt x="7690680" y="2123791"/>
                  <a:pt x="7709647" y="2123791"/>
                </a:cubicBezTo>
                <a:cubicBezTo>
                  <a:pt x="7728614" y="2123791"/>
                  <a:pt x="7743988" y="2108199"/>
                  <a:pt x="7743988" y="2088971"/>
                </a:cubicBezTo>
                <a:cubicBezTo>
                  <a:pt x="7743988" y="2069742"/>
                  <a:pt x="7728614" y="2054150"/>
                  <a:pt x="7709647" y="2054150"/>
                </a:cubicBezTo>
                <a:close/>
                <a:moveTo>
                  <a:pt x="7793389" y="2054150"/>
                </a:moveTo>
                <a:cubicBezTo>
                  <a:pt x="7774422" y="2054150"/>
                  <a:pt x="7759036" y="2069742"/>
                  <a:pt x="7759036" y="2088971"/>
                </a:cubicBezTo>
                <a:cubicBezTo>
                  <a:pt x="7759036" y="2108199"/>
                  <a:pt x="7774422" y="2123791"/>
                  <a:pt x="7793389" y="2123791"/>
                </a:cubicBezTo>
                <a:cubicBezTo>
                  <a:pt x="7812356" y="2123791"/>
                  <a:pt x="7827729" y="2108199"/>
                  <a:pt x="7827729" y="2088971"/>
                </a:cubicBezTo>
                <a:cubicBezTo>
                  <a:pt x="7827729" y="2069742"/>
                  <a:pt x="7812356" y="2054150"/>
                  <a:pt x="7793389" y="2054150"/>
                </a:cubicBezTo>
                <a:close/>
                <a:moveTo>
                  <a:pt x="7877131" y="2054150"/>
                </a:moveTo>
                <a:cubicBezTo>
                  <a:pt x="7858164" y="2054150"/>
                  <a:pt x="7842778" y="2069742"/>
                  <a:pt x="7842778" y="2088971"/>
                </a:cubicBezTo>
                <a:cubicBezTo>
                  <a:pt x="7842778" y="2108199"/>
                  <a:pt x="7858164" y="2123791"/>
                  <a:pt x="7877131" y="2123791"/>
                </a:cubicBezTo>
                <a:cubicBezTo>
                  <a:pt x="7896098" y="2123791"/>
                  <a:pt x="7911471" y="2108199"/>
                  <a:pt x="7911471" y="2088971"/>
                </a:cubicBezTo>
                <a:cubicBezTo>
                  <a:pt x="7911471" y="2069742"/>
                  <a:pt x="7896098" y="2054150"/>
                  <a:pt x="7877131" y="2054150"/>
                </a:cubicBezTo>
                <a:close/>
                <a:moveTo>
                  <a:pt x="7960872" y="2054150"/>
                </a:moveTo>
                <a:cubicBezTo>
                  <a:pt x="7941905" y="2054150"/>
                  <a:pt x="7926519" y="2069742"/>
                  <a:pt x="7926519" y="2088971"/>
                </a:cubicBezTo>
                <a:cubicBezTo>
                  <a:pt x="7926519" y="2108199"/>
                  <a:pt x="7941905" y="2123791"/>
                  <a:pt x="7960872" y="2123791"/>
                </a:cubicBezTo>
                <a:cubicBezTo>
                  <a:pt x="7979839" y="2123791"/>
                  <a:pt x="7995212" y="2108199"/>
                  <a:pt x="7995212" y="2088971"/>
                </a:cubicBezTo>
                <a:cubicBezTo>
                  <a:pt x="7995212" y="2069742"/>
                  <a:pt x="7979839" y="2054150"/>
                  <a:pt x="7960872" y="2054150"/>
                </a:cubicBezTo>
                <a:close/>
                <a:moveTo>
                  <a:pt x="8044614" y="2054150"/>
                </a:moveTo>
                <a:cubicBezTo>
                  <a:pt x="8025647" y="2054150"/>
                  <a:pt x="8010261" y="2069742"/>
                  <a:pt x="8010261" y="2088971"/>
                </a:cubicBezTo>
                <a:cubicBezTo>
                  <a:pt x="8010261" y="2108199"/>
                  <a:pt x="8025647" y="2123791"/>
                  <a:pt x="8044614" y="2123791"/>
                </a:cubicBezTo>
                <a:cubicBezTo>
                  <a:pt x="8063581" y="2123791"/>
                  <a:pt x="8078955" y="2108199"/>
                  <a:pt x="8078955" y="2088971"/>
                </a:cubicBezTo>
                <a:cubicBezTo>
                  <a:pt x="8078955" y="2069742"/>
                  <a:pt x="8063581" y="2054150"/>
                  <a:pt x="8044614" y="2054150"/>
                </a:cubicBezTo>
                <a:close/>
                <a:moveTo>
                  <a:pt x="8128356" y="2054150"/>
                </a:moveTo>
                <a:cubicBezTo>
                  <a:pt x="8109389" y="2054150"/>
                  <a:pt x="8094003" y="2069742"/>
                  <a:pt x="8094003" y="2088971"/>
                </a:cubicBezTo>
                <a:cubicBezTo>
                  <a:pt x="8094003" y="2108199"/>
                  <a:pt x="8109389" y="2123791"/>
                  <a:pt x="8128356" y="2123791"/>
                </a:cubicBezTo>
                <a:cubicBezTo>
                  <a:pt x="8147323" y="2123791"/>
                  <a:pt x="8162696" y="2108199"/>
                  <a:pt x="8162696" y="2088971"/>
                </a:cubicBezTo>
                <a:cubicBezTo>
                  <a:pt x="8162696" y="2069742"/>
                  <a:pt x="8147323" y="2054150"/>
                  <a:pt x="8128356" y="2054150"/>
                </a:cubicBezTo>
                <a:close/>
                <a:moveTo>
                  <a:pt x="8212097" y="2054150"/>
                </a:moveTo>
                <a:cubicBezTo>
                  <a:pt x="8193130" y="2054150"/>
                  <a:pt x="8177744" y="2069742"/>
                  <a:pt x="8177744" y="2088971"/>
                </a:cubicBezTo>
                <a:cubicBezTo>
                  <a:pt x="8177744" y="2108199"/>
                  <a:pt x="8193130" y="2123791"/>
                  <a:pt x="8212097" y="2123791"/>
                </a:cubicBezTo>
                <a:cubicBezTo>
                  <a:pt x="8231064" y="2123791"/>
                  <a:pt x="8246437" y="2108199"/>
                  <a:pt x="8246437" y="2088971"/>
                </a:cubicBezTo>
                <a:cubicBezTo>
                  <a:pt x="8246437" y="2069742"/>
                  <a:pt x="8231064" y="2054150"/>
                  <a:pt x="8212097" y="2054150"/>
                </a:cubicBezTo>
                <a:close/>
                <a:moveTo>
                  <a:pt x="8295839" y="2054150"/>
                </a:moveTo>
                <a:cubicBezTo>
                  <a:pt x="8276872" y="2054150"/>
                  <a:pt x="8261486" y="2069742"/>
                  <a:pt x="8261486" y="2088971"/>
                </a:cubicBezTo>
                <a:cubicBezTo>
                  <a:pt x="8261486" y="2108199"/>
                  <a:pt x="8276872" y="2123791"/>
                  <a:pt x="8295839" y="2123791"/>
                </a:cubicBezTo>
                <a:cubicBezTo>
                  <a:pt x="8314806" y="2123791"/>
                  <a:pt x="8330179" y="2108199"/>
                  <a:pt x="8330179" y="2088971"/>
                </a:cubicBezTo>
                <a:cubicBezTo>
                  <a:pt x="8330179" y="2069742"/>
                  <a:pt x="8314806" y="2054150"/>
                  <a:pt x="8295839" y="2054150"/>
                </a:cubicBezTo>
                <a:close/>
                <a:moveTo>
                  <a:pt x="8379580" y="2054150"/>
                </a:moveTo>
                <a:cubicBezTo>
                  <a:pt x="8360613" y="2054150"/>
                  <a:pt x="8345227" y="2069742"/>
                  <a:pt x="8345227" y="2088971"/>
                </a:cubicBezTo>
                <a:cubicBezTo>
                  <a:pt x="8345227" y="2108199"/>
                  <a:pt x="8360613" y="2123791"/>
                  <a:pt x="8379580" y="2123791"/>
                </a:cubicBezTo>
                <a:cubicBezTo>
                  <a:pt x="8398547" y="2123791"/>
                  <a:pt x="8413921" y="2108199"/>
                  <a:pt x="8413921" y="2088971"/>
                </a:cubicBezTo>
                <a:cubicBezTo>
                  <a:pt x="8413921" y="2069742"/>
                  <a:pt x="8398547" y="2054150"/>
                  <a:pt x="8379580" y="2054150"/>
                </a:cubicBezTo>
                <a:close/>
                <a:moveTo>
                  <a:pt x="8463323" y="2054150"/>
                </a:moveTo>
                <a:cubicBezTo>
                  <a:pt x="8444356" y="2054150"/>
                  <a:pt x="8428970" y="2069742"/>
                  <a:pt x="8428970" y="2088971"/>
                </a:cubicBezTo>
                <a:cubicBezTo>
                  <a:pt x="8428970" y="2108199"/>
                  <a:pt x="8444356" y="2123791"/>
                  <a:pt x="8463323" y="2123791"/>
                </a:cubicBezTo>
                <a:cubicBezTo>
                  <a:pt x="8482290" y="2123791"/>
                  <a:pt x="8497663" y="2108199"/>
                  <a:pt x="8497663" y="2088971"/>
                </a:cubicBezTo>
                <a:cubicBezTo>
                  <a:pt x="8497663" y="2069742"/>
                  <a:pt x="8482290" y="2054150"/>
                  <a:pt x="8463323" y="2054150"/>
                </a:cubicBezTo>
                <a:close/>
                <a:moveTo>
                  <a:pt x="8547064" y="2054150"/>
                </a:moveTo>
                <a:cubicBezTo>
                  <a:pt x="8528097" y="2054150"/>
                  <a:pt x="8512711" y="2069742"/>
                  <a:pt x="8512711" y="2088971"/>
                </a:cubicBezTo>
                <a:cubicBezTo>
                  <a:pt x="8512711" y="2108199"/>
                  <a:pt x="8528097" y="2123791"/>
                  <a:pt x="8547064" y="2123791"/>
                </a:cubicBezTo>
                <a:cubicBezTo>
                  <a:pt x="8566031" y="2123791"/>
                  <a:pt x="8581404" y="2108199"/>
                  <a:pt x="8581404" y="2088971"/>
                </a:cubicBezTo>
                <a:cubicBezTo>
                  <a:pt x="8581404" y="2069742"/>
                  <a:pt x="8566031" y="2054150"/>
                  <a:pt x="8547064" y="2054150"/>
                </a:cubicBezTo>
                <a:close/>
                <a:moveTo>
                  <a:pt x="8630805" y="2054150"/>
                </a:moveTo>
                <a:cubicBezTo>
                  <a:pt x="8611838" y="2054150"/>
                  <a:pt x="8596452" y="2069742"/>
                  <a:pt x="8596452" y="2088971"/>
                </a:cubicBezTo>
                <a:cubicBezTo>
                  <a:pt x="8596452" y="2108199"/>
                  <a:pt x="8611838" y="2123791"/>
                  <a:pt x="8630805" y="2123791"/>
                </a:cubicBezTo>
                <a:cubicBezTo>
                  <a:pt x="8649772" y="2123791"/>
                  <a:pt x="8665145" y="2108199"/>
                  <a:pt x="8665145" y="2088971"/>
                </a:cubicBezTo>
                <a:cubicBezTo>
                  <a:pt x="8665145" y="2069742"/>
                  <a:pt x="8649772" y="2054150"/>
                  <a:pt x="8630805" y="2054150"/>
                </a:cubicBezTo>
                <a:close/>
                <a:moveTo>
                  <a:pt x="8714547" y="2054150"/>
                </a:moveTo>
                <a:cubicBezTo>
                  <a:pt x="8695580" y="2054150"/>
                  <a:pt x="8680194" y="2069742"/>
                  <a:pt x="8680194" y="2088971"/>
                </a:cubicBezTo>
                <a:cubicBezTo>
                  <a:pt x="8680194" y="2108199"/>
                  <a:pt x="8695580" y="2123791"/>
                  <a:pt x="8714547" y="2123791"/>
                </a:cubicBezTo>
                <a:cubicBezTo>
                  <a:pt x="8733514" y="2123791"/>
                  <a:pt x="8748888" y="2108199"/>
                  <a:pt x="8748888" y="2088971"/>
                </a:cubicBezTo>
                <a:cubicBezTo>
                  <a:pt x="8748888" y="2069742"/>
                  <a:pt x="8733514" y="2054150"/>
                  <a:pt x="8714547" y="2054150"/>
                </a:cubicBezTo>
                <a:close/>
                <a:moveTo>
                  <a:pt x="8798289" y="2054150"/>
                </a:moveTo>
                <a:cubicBezTo>
                  <a:pt x="8779322" y="2054150"/>
                  <a:pt x="8763936" y="2069742"/>
                  <a:pt x="8763936" y="2088971"/>
                </a:cubicBezTo>
                <a:cubicBezTo>
                  <a:pt x="8763936" y="2108199"/>
                  <a:pt x="8779322" y="2123791"/>
                  <a:pt x="8798289" y="2123791"/>
                </a:cubicBezTo>
                <a:cubicBezTo>
                  <a:pt x="8817256" y="2123791"/>
                  <a:pt x="8832629" y="2108199"/>
                  <a:pt x="8832629" y="2088971"/>
                </a:cubicBezTo>
                <a:cubicBezTo>
                  <a:pt x="8832629" y="2069742"/>
                  <a:pt x="8817256" y="2054150"/>
                  <a:pt x="8798289" y="2054150"/>
                </a:cubicBezTo>
                <a:close/>
                <a:moveTo>
                  <a:pt x="8882030" y="2054150"/>
                </a:moveTo>
                <a:cubicBezTo>
                  <a:pt x="8863063" y="2054150"/>
                  <a:pt x="8847677" y="2069742"/>
                  <a:pt x="8847677" y="2088971"/>
                </a:cubicBezTo>
                <a:cubicBezTo>
                  <a:pt x="8847677" y="2108199"/>
                  <a:pt x="8863063" y="2123791"/>
                  <a:pt x="8882030" y="2123791"/>
                </a:cubicBezTo>
                <a:cubicBezTo>
                  <a:pt x="8900997" y="2123791"/>
                  <a:pt x="8916370" y="2108199"/>
                  <a:pt x="8916370" y="2088971"/>
                </a:cubicBezTo>
                <a:cubicBezTo>
                  <a:pt x="8916370" y="2069742"/>
                  <a:pt x="8900997" y="2054150"/>
                  <a:pt x="8882030" y="2054150"/>
                </a:cubicBezTo>
                <a:close/>
                <a:moveTo>
                  <a:pt x="8965772" y="2054150"/>
                </a:moveTo>
                <a:cubicBezTo>
                  <a:pt x="8946805" y="2054150"/>
                  <a:pt x="8931419" y="2069742"/>
                  <a:pt x="8931419" y="2088971"/>
                </a:cubicBezTo>
                <a:cubicBezTo>
                  <a:pt x="8931419" y="2108199"/>
                  <a:pt x="8946805" y="2123791"/>
                  <a:pt x="8965772" y="2123791"/>
                </a:cubicBezTo>
                <a:cubicBezTo>
                  <a:pt x="8984739" y="2123791"/>
                  <a:pt x="9000112" y="2108199"/>
                  <a:pt x="9000112" y="2088971"/>
                </a:cubicBezTo>
                <a:cubicBezTo>
                  <a:pt x="9000112" y="2069742"/>
                  <a:pt x="8984739" y="2054150"/>
                  <a:pt x="8965772" y="2054150"/>
                </a:cubicBezTo>
                <a:close/>
                <a:moveTo>
                  <a:pt x="9049513" y="2054150"/>
                </a:moveTo>
                <a:cubicBezTo>
                  <a:pt x="9030546" y="2054150"/>
                  <a:pt x="9015160" y="2069742"/>
                  <a:pt x="9015160" y="2088971"/>
                </a:cubicBezTo>
                <a:cubicBezTo>
                  <a:pt x="9015160" y="2108199"/>
                  <a:pt x="9030546" y="2123791"/>
                  <a:pt x="9049513" y="2123791"/>
                </a:cubicBezTo>
                <a:cubicBezTo>
                  <a:pt x="9068480" y="2123791"/>
                  <a:pt x="9083854" y="2108199"/>
                  <a:pt x="9083854" y="2088971"/>
                </a:cubicBezTo>
                <a:cubicBezTo>
                  <a:pt x="9083854" y="2069742"/>
                  <a:pt x="9068480" y="2054150"/>
                  <a:pt x="9049513" y="2054150"/>
                </a:cubicBezTo>
                <a:close/>
                <a:moveTo>
                  <a:pt x="9133256" y="2054150"/>
                </a:moveTo>
                <a:cubicBezTo>
                  <a:pt x="9114289" y="2054150"/>
                  <a:pt x="9098903" y="2069742"/>
                  <a:pt x="9098903" y="2088971"/>
                </a:cubicBezTo>
                <a:cubicBezTo>
                  <a:pt x="9098903" y="2108199"/>
                  <a:pt x="9114289" y="2123791"/>
                  <a:pt x="9133256" y="2123791"/>
                </a:cubicBezTo>
                <a:cubicBezTo>
                  <a:pt x="9152223" y="2123791"/>
                  <a:pt x="9167596" y="2108199"/>
                  <a:pt x="9167596" y="2088971"/>
                </a:cubicBezTo>
                <a:cubicBezTo>
                  <a:pt x="9167596" y="2069742"/>
                  <a:pt x="9152223" y="2054150"/>
                  <a:pt x="9133256" y="2054150"/>
                </a:cubicBezTo>
                <a:close/>
                <a:moveTo>
                  <a:pt x="9216997" y="2054150"/>
                </a:moveTo>
                <a:cubicBezTo>
                  <a:pt x="9198030" y="2054150"/>
                  <a:pt x="9182644" y="2069742"/>
                  <a:pt x="9182644" y="2088971"/>
                </a:cubicBezTo>
                <a:cubicBezTo>
                  <a:pt x="9182644" y="2108199"/>
                  <a:pt x="9198030" y="2123791"/>
                  <a:pt x="9216997" y="2123791"/>
                </a:cubicBezTo>
                <a:cubicBezTo>
                  <a:pt x="9235964" y="2123791"/>
                  <a:pt x="9251337" y="2108199"/>
                  <a:pt x="9251337" y="2088971"/>
                </a:cubicBezTo>
                <a:cubicBezTo>
                  <a:pt x="9251337" y="2069742"/>
                  <a:pt x="9235964" y="2054150"/>
                  <a:pt x="9216997" y="2054150"/>
                </a:cubicBezTo>
                <a:close/>
                <a:moveTo>
                  <a:pt x="9300738" y="2054150"/>
                </a:moveTo>
                <a:cubicBezTo>
                  <a:pt x="9281771" y="2054150"/>
                  <a:pt x="9266385" y="2069742"/>
                  <a:pt x="9266385" y="2088971"/>
                </a:cubicBezTo>
                <a:cubicBezTo>
                  <a:pt x="9266385" y="2108199"/>
                  <a:pt x="9281771" y="2123791"/>
                  <a:pt x="9300738" y="2123791"/>
                </a:cubicBezTo>
                <a:cubicBezTo>
                  <a:pt x="9319705" y="2123791"/>
                  <a:pt x="9335078" y="2108199"/>
                  <a:pt x="9335078" y="2088971"/>
                </a:cubicBezTo>
                <a:cubicBezTo>
                  <a:pt x="9335078" y="2069742"/>
                  <a:pt x="9319705" y="2054150"/>
                  <a:pt x="9300738" y="2054150"/>
                </a:cubicBezTo>
                <a:close/>
                <a:moveTo>
                  <a:pt x="9384480" y="2054150"/>
                </a:moveTo>
                <a:cubicBezTo>
                  <a:pt x="9365513" y="2054150"/>
                  <a:pt x="9350127" y="2069742"/>
                  <a:pt x="9350127" y="2088971"/>
                </a:cubicBezTo>
                <a:cubicBezTo>
                  <a:pt x="9350127" y="2108199"/>
                  <a:pt x="9365513" y="2123791"/>
                  <a:pt x="9384480" y="2123791"/>
                </a:cubicBezTo>
                <a:cubicBezTo>
                  <a:pt x="9403447" y="2123791"/>
                  <a:pt x="9418821" y="2108199"/>
                  <a:pt x="9418821" y="2088971"/>
                </a:cubicBezTo>
                <a:cubicBezTo>
                  <a:pt x="9418821" y="2069742"/>
                  <a:pt x="9403447" y="2054150"/>
                  <a:pt x="9384480" y="2054150"/>
                </a:cubicBezTo>
                <a:close/>
                <a:moveTo>
                  <a:pt x="9468222" y="2054150"/>
                </a:moveTo>
                <a:cubicBezTo>
                  <a:pt x="9449255" y="2054150"/>
                  <a:pt x="9433869" y="2069742"/>
                  <a:pt x="9433869" y="2088971"/>
                </a:cubicBezTo>
                <a:cubicBezTo>
                  <a:pt x="9433869" y="2108199"/>
                  <a:pt x="9449255" y="2123791"/>
                  <a:pt x="9468222" y="2123791"/>
                </a:cubicBezTo>
                <a:cubicBezTo>
                  <a:pt x="9487189" y="2123791"/>
                  <a:pt x="9502562" y="2108199"/>
                  <a:pt x="9502562" y="2088971"/>
                </a:cubicBezTo>
                <a:cubicBezTo>
                  <a:pt x="9502562" y="2069742"/>
                  <a:pt x="9487189" y="2054150"/>
                  <a:pt x="9468222" y="2054150"/>
                </a:cubicBezTo>
                <a:close/>
                <a:moveTo>
                  <a:pt x="9551963" y="2054150"/>
                </a:moveTo>
                <a:cubicBezTo>
                  <a:pt x="9532996" y="2054150"/>
                  <a:pt x="9517610" y="2069742"/>
                  <a:pt x="9517610" y="2088971"/>
                </a:cubicBezTo>
                <a:cubicBezTo>
                  <a:pt x="9517610" y="2108199"/>
                  <a:pt x="9532996" y="2123791"/>
                  <a:pt x="9551963" y="2123791"/>
                </a:cubicBezTo>
                <a:cubicBezTo>
                  <a:pt x="9570930" y="2123791"/>
                  <a:pt x="9586303" y="2108199"/>
                  <a:pt x="9586303" y="2088971"/>
                </a:cubicBezTo>
                <a:cubicBezTo>
                  <a:pt x="9586303" y="2069742"/>
                  <a:pt x="9570930" y="2054150"/>
                  <a:pt x="9551963" y="2054150"/>
                </a:cubicBezTo>
                <a:close/>
                <a:moveTo>
                  <a:pt x="9635705" y="2054150"/>
                </a:moveTo>
                <a:cubicBezTo>
                  <a:pt x="9616738" y="2054150"/>
                  <a:pt x="9601352" y="2069742"/>
                  <a:pt x="9601352" y="2088971"/>
                </a:cubicBezTo>
                <a:cubicBezTo>
                  <a:pt x="9601352" y="2108199"/>
                  <a:pt x="9616738" y="2123791"/>
                  <a:pt x="9635705" y="2123791"/>
                </a:cubicBezTo>
                <a:cubicBezTo>
                  <a:pt x="9654672" y="2123791"/>
                  <a:pt x="9670045" y="2108199"/>
                  <a:pt x="9670045" y="2088971"/>
                </a:cubicBezTo>
                <a:cubicBezTo>
                  <a:pt x="9670045" y="2069742"/>
                  <a:pt x="9654672" y="2054150"/>
                  <a:pt x="9635705" y="2054150"/>
                </a:cubicBezTo>
                <a:close/>
                <a:moveTo>
                  <a:pt x="10305638" y="2054150"/>
                </a:moveTo>
                <a:cubicBezTo>
                  <a:pt x="10286671" y="2054150"/>
                  <a:pt x="10271285" y="2069742"/>
                  <a:pt x="10271285" y="2088971"/>
                </a:cubicBezTo>
                <a:cubicBezTo>
                  <a:pt x="10271285" y="2108199"/>
                  <a:pt x="10286671" y="2123791"/>
                  <a:pt x="10305638" y="2123791"/>
                </a:cubicBezTo>
                <a:cubicBezTo>
                  <a:pt x="10324605" y="2123791"/>
                  <a:pt x="10339978" y="2108199"/>
                  <a:pt x="10339978" y="2088971"/>
                </a:cubicBezTo>
                <a:cubicBezTo>
                  <a:pt x="10339978" y="2069742"/>
                  <a:pt x="10324605" y="2054150"/>
                  <a:pt x="10305638" y="2054150"/>
                </a:cubicBezTo>
                <a:close/>
                <a:moveTo>
                  <a:pt x="2266416" y="2139014"/>
                </a:moveTo>
                <a:cubicBezTo>
                  <a:pt x="2247449" y="2139014"/>
                  <a:pt x="2232069" y="2154606"/>
                  <a:pt x="2232069" y="2173834"/>
                </a:cubicBezTo>
                <a:cubicBezTo>
                  <a:pt x="2232069" y="2193063"/>
                  <a:pt x="2247449" y="2208655"/>
                  <a:pt x="2266416" y="2208655"/>
                </a:cubicBezTo>
                <a:cubicBezTo>
                  <a:pt x="2285383" y="2208655"/>
                  <a:pt x="2300762" y="2193063"/>
                  <a:pt x="2300762" y="2173834"/>
                </a:cubicBezTo>
                <a:cubicBezTo>
                  <a:pt x="2300762" y="2154606"/>
                  <a:pt x="2285383" y="2139014"/>
                  <a:pt x="2266416" y="2139014"/>
                </a:cubicBezTo>
                <a:close/>
                <a:moveTo>
                  <a:pt x="2350151" y="2139014"/>
                </a:moveTo>
                <a:cubicBezTo>
                  <a:pt x="2331184" y="2139014"/>
                  <a:pt x="2315804" y="2154606"/>
                  <a:pt x="2315804" y="2173834"/>
                </a:cubicBezTo>
                <a:cubicBezTo>
                  <a:pt x="2315804" y="2193063"/>
                  <a:pt x="2331184" y="2208655"/>
                  <a:pt x="2350151" y="2208655"/>
                </a:cubicBezTo>
                <a:cubicBezTo>
                  <a:pt x="2369118" y="2208655"/>
                  <a:pt x="2384498" y="2193063"/>
                  <a:pt x="2384498" y="2173834"/>
                </a:cubicBezTo>
                <a:cubicBezTo>
                  <a:pt x="2384498" y="2154606"/>
                  <a:pt x="2369118" y="2139014"/>
                  <a:pt x="2350151" y="2139014"/>
                </a:cubicBezTo>
                <a:close/>
                <a:moveTo>
                  <a:pt x="2433893" y="2139014"/>
                </a:moveTo>
                <a:cubicBezTo>
                  <a:pt x="2414926" y="2139014"/>
                  <a:pt x="2399546" y="2154606"/>
                  <a:pt x="2399546" y="2173834"/>
                </a:cubicBezTo>
                <a:cubicBezTo>
                  <a:pt x="2399546" y="2193063"/>
                  <a:pt x="2414926" y="2208655"/>
                  <a:pt x="2433893" y="2208655"/>
                </a:cubicBezTo>
                <a:cubicBezTo>
                  <a:pt x="2452860" y="2208655"/>
                  <a:pt x="2468240" y="2193063"/>
                  <a:pt x="2468240" y="2173834"/>
                </a:cubicBezTo>
                <a:cubicBezTo>
                  <a:pt x="2468240" y="2154606"/>
                  <a:pt x="2452860" y="2139014"/>
                  <a:pt x="2433893" y="2139014"/>
                </a:cubicBezTo>
                <a:close/>
                <a:moveTo>
                  <a:pt x="2517634" y="2139014"/>
                </a:moveTo>
                <a:cubicBezTo>
                  <a:pt x="2498667" y="2139014"/>
                  <a:pt x="2483288" y="2154606"/>
                  <a:pt x="2483288" y="2173834"/>
                </a:cubicBezTo>
                <a:cubicBezTo>
                  <a:pt x="2483288" y="2193063"/>
                  <a:pt x="2498667" y="2208655"/>
                  <a:pt x="2517634" y="2208655"/>
                </a:cubicBezTo>
                <a:cubicBezTo>
                  <a:pt x="2536601" y="2208655"/>
                  <a:pt x="2551981" y="2193063"/>
                  <a:pt x="2551981" y="2173834"/>
                </a:cubicBezTo>
                <a:cubicBezTo>
                  <a:pt x="2551981" y="2154606"/>
                  <a:pt x="2536601" y="2139014"/>
                  <a:pt x="2517634" y="2139014"/>
                </a:cubicBezTo>
                <a:close/>
                <a:moveTo>
                  <a:pt x="2601376" y="2139014"/>
                </a:moveTo>
                <a:cubicBezTo>
                  <a:pt x="2582409" y="2139014"/>
                  <a:pt x="2567029" y="2154606"/>
                  <a:pt x="2567029" y="2173834"/>
                </a:cubicBezTo>
                <a:cubicBezTo>
                  <a:pt x="2567029" y="2193063"/>
                  <a:pt x="2582409" y="2208655"/>
                  <a:pt x="2601376" y="2208655"/>
                </a:cubicBezTo>
                <a:cubicBezTo>
                  <a:pt x="2620343" y="2208655"/>
                  <a:pt x="2635722" y="2193063"/>
                  <a:pt x="2635722" y="2173834"/>
                </a:cubicBezTo>
                <a:cubicBezTo>
                  <a:pt x="2635722" y="2154606"/>
                  <a:pt x="2620343" y="2139014"/>
                  <a:pt x="2601376" y="2139014"/>
                </a:cubicBezTo>
                <a:close/>
                <a:moveTo>
                  <a:pt x="2685118" y="2139014"/>
                </a:moveTo>
                <a:cubicBezTo>
                  <a:pt x="2666151" y="2139014"/>
                  <a:pt x="2650771" y="2154606"/>
                  <a:pt x="2650771" y="2173834"/>
                </a:cubicBezTo>
                <a:cubicBezTo>
                  <a:pt x="2650771" y="2193063"/>
                  <a:pt x="2666151" y="2208655"/>
                  <a:pt x="2685118" y="2208655"/>
                </a:cubicBezTo>
                <a:cubicBezTo>
                  <a:pt x="2704085" y="2208655"/>
                  <a:pt x="2719465" y="2193063"/>
                  <a:pt x="2719465" y="2173834"/>
                </a:cubicBezTo>
                <a:cubicBezTo>
                  <a:pt x="2719465" y="2154606"/>
                  <a:pt x="2704085" y="2139014"/>
                  <a:pt x="2685118" y="2139014"/>
                </a:cubicBezTo>
                <a:close/>
                <a:moveTo>
                  <a:pt x="2768859" y="2139014"/>
                </a:moveTo>
                <a:cubicBezTo>
                  <a:pt x="2749892" y="2139014"/>
                  <a:pt x="2734512" y="2154606"/>
                  <a:pt x="2734512" y="2173834"/>
                </a:cubicBezTo>
                <a:cubicBezTo>
                  <a:pt x="2734512" y="2193063"/>
                  <a:pt x="2749892" y="2208655"/>
                  <a:pt x="2768859" y="2208655"/>
                </a:cubicBezTo>
                <a:cubicBezTo>
                  <a:pt x="2787826" y="2208655"/>
                  <a:pt x="2803206" y="2193063"/>
                  <a:pt x="2803206" y="2173834"/>
                </a:cubicBezTo>
                <a:cubicBezTo>
                  <a:pt x="2803206" y="2154606"/>
                  <a:pt x="2787826" y="2139014"/>
                  <a:pt x="2768859" y="2139014"/>
                </a:cubicBezTo>
                <a:close/>
                <a:moveTo>
                  <a:pt x="2852600" y="2139014"/>
                </a:moveTo>
                <a:cubicBezTo>
                  <a:pt x="2833633" y="2139014"/>
                  <a:pt x="2818254" y="2154606"/>
                  <a:pt x="2818254" y="2173834"/>
                </a:cubicBezTo>
                <a:cubicBezTo>
                  <a:pt x="2818254" y="2193063"/>
                  <a:pt x="2833633" y="2208655"/>
                  <a:pt x="2852600" y="2208655"/>
                </a:cubicBezTo>
                <a:cubicBezTo>
                  <a:pt x="2871567" y="2208655"/>
                  <a:pt x="2886947" y="2193063"/>
                  <a:pt x="2886947" y="2173834"/>
                </a:cubicBezTo>
                <a:cubicBezTo>
                  <a:pt x="2886947" y="2154606"/>
                  <a:pt x="2871567" y="2139014"/>
                  <a:pt x="2852600" y="2139014"/>
                </a:cubicBezTo>
                <a:close/>
                <a:moveTo>
                  <a:pt x="2936343" y="2139014"/>
                </a:moveTo>
                <a:cubicBezTo>
                  <a:pt x="2917376" y="2139014"/>
                  <a:pt x="2901996" y="2154606"/>
                  <a:pt x="2901996" y="2173834"/>
                </a:cubicBezTo>
                <a:cubicBezTo>
                  <a:pt x="2901996" y="2193063"/>
                  <a:pt x="2917376" y="2208655"/>
                  <a:pt x="2936343" y="2208655"/>
                </a:cubicBezTo>
                <a:cubicBezTo>
                  <a:pt x="2955310" y="2208655"/>
                  <a:pt x="2970689" y="2193063"/>
                  <a:pt x="2970689" y="2173834"/>
                </a:cubicBezTo>
                <a:cubicBezTo>
                  <a:pt x="2970689" y="2154606"/>
                  <a:pt x="2955310" y="2139014"/>
                  <a:pt x="2936343" y="2139014"/>
                </a:cubicBezTo>
                <a:close/>
                <a:moveTo>
                  <a:pt x="3020084" y="2139014"/>
                </a:moveTo>
                <a:cubicBezTo>
                  <a:pt x="3001117" y="2139014"/>
                  <a:pt x="2985737" y="2154606"/>
                  <a:pt x="2985737" y="2173834"/>
                </a:cubicBezTo>
                <a:cubicBezTo>
                  <a:pt x="2985737" y="2193063"/>
                  <a:pt x="3001117" y="2208655"/>
                  <a:pt x="3020084" y="2208655"/>
                </a:cubicBezTo>
                <a:cubicBezTo>
                  <a:pt x="3039051" y="2208655"/>
                  <a:pt x="3054431" y="2193063"/>
                  <a:pt x="3054431" y="2173834"/>
                </a:cubicBezTo>
                <a:cubicBezTo>
                  <a:pt x="3054431" y="2154606"/>
                  <a:pt x="3039051" y="2139014"/>
                  <a:pt x="3020084" y="2139014"/>
                </a:cubicBezTo>
                <a:close/>
                <a:moveTo>
                  <a:pt x="3103826" y="2139014"/>
                </a:moveTo>
                <a:cubicBezTo>
                  <a:pt x="3084859" y="2139014"/>
                  <a:pt x="3069479" y="2154606"/>
                  <a:pt x="3069479" y="2173834"/>
                </a:cubicBezTo>
                <a:cubicBezTo>
                  <a:pt x="3069479" y="2193063"/>
                  <a:pt x="3084859" y="2208655"/>
                  <a:pt x="3103826" y="2208655"/>
                </a:cubicBezTo>
                <a:cubicBezTo>
                  <a:pt x="3122793" y="2208655"/>
                  <a:pt x="3138173" y="2193063"/>
                  <a:pt x="3138173" y="2173834"/>
                </a:cubicBezTo>
                <a:cubicBezTo>
                  <a:pt x="3138173" y="2154606"/>
                  <a:pt x="3122793" y="2139014"/>
                  <a:pt x="3103826" y="2139014"/>
                </a:cubicBezTo>
                <a:close/>
                <a:moveTo>
                  <a:pt x="3187567" y="2139014"/>
                </a:moveTo>
                <a:cubicBezTo>
                  <a:pt x="3168600" y="2139014"/>
                  <a:pt x="3153221" y="2154606"/>
                  <a:pt x="3153221" y="2173834"/>
                </a:cubicBezTo>
                <a:cubicBezTo>
                  <a:pt x="3153221" y="2193063"/>
                  <a:pt x="3168600" y="2208655"/>
                  <a:pt x="3187567" y="2208655"/>
                </a:cubicBezTo>
                <a:cubicBezTo>
                  <a:pt x="3206534" y="2208655"/>
                  <a:pt x="3221914" y="2193063"/>
                  <a:pt x="3221914" y="2173834"/>
                </a:cubicBezTo>
                <a:cubicBezTo>
                  <a:pt x="3221914" y="2154606"/>
                  <a:pt x="3206534" y="2139014"/>
                  <a:pt x="3187567" y="2139014"/>
                </a:cubicBezTo>
                <a:close/>
                <a:moveTo>
                  <a:pt x="3271309" y="2139014"/>
                </a:moveTo>
                <a:cubicBezTo>
                  <a:pt x="3252342" y="2139014"/>
                  <a:pt x="3236962" y="2154606"/>
                  <a:pt x="3236962" y="2173834"/>
                </a:cubicBezTo>
                <a:cubicBezTo>
                  <a:pt x="3236962" y="2193063"/>
                  <a:pt x="3252342" y="2208655"/>
                  <a:pt x="3271309" y="2208655"/>
                </a:cubicBezTo>
                <a:cubicBezTo>
                  <a:pt x="3290276" y="2208655"/>
                  <a:pt x="3305655" y="2193063"/>
                  <a:pt x="3305655" y="2173834"/>
                </a:cubicBezTo>
                <a:cubicBezTo>
                  <a:pt x="3305655" y="2154606"/>
                  <a:pt x="3290276" y="2139014"/>
                  <a:pt x="3271309" y="2139014"/>
                </a:cubicBezTo>
                <a:close/>
                <a:moveTo>
                  <a:pt x="3355051" y="2139014"/>
                </a:moveTo>
                <a:cubicBezTo>
                  <a:pt x="3336084" y="2139014"/>
                  <a:pt x="3320704" y="2154606"/>
                  <a:pt x="3320704" y="2173834"/>
                </a:cubicBezTo>
                <a:cubicBezTo>
                  <a:pt x="3320704" y="2193063"/>
                  <a:pt x="3336084" y="2208655"/>
                  <a:pt x="3355051" y="2208655"/>
                </a:cubicBezTo>
                <a:cubicBezTo>
                  <a:pt x="3374018" y="2208655"/>
                  <a:pt x="3389398" y="2193063"/>
                  <a:pt x="3389398" y="2173834"/>
                </a:cubicBezTo>
                <a:cubicBezTo>
                  <a:pt x="3389398" y="2154606"/>
                  <a:pt x="3374018" y="2139014"/>
                  <a:pt x="3355051" y="2139014"/>
                </a:cubicBezTo>
                <a:close/>
                <a:moveTo>
                  <a:pt x="3773759" y="2139014"/>
                </a:moveTo>
                <a:cubicBezTo>
                  <a:pt x="3754792" y="2139014"/>
                  <a:pt x="3739412" y="2154606"/>
                  <a:pt x="3739412" y="2173834"/>
                </a:cubicBezTo>
                <a:cubicBezTo>
                  <a:pt x="3739412" y="2193063"/>
                  <a:pt x="3754792" y="2208655"/>
                  <a:pt x="3773759" y="2208655"/>
                </a:cubicBezTo>
                <a:cubicBezTo>
                  <a:pt x="3792726" y="2208655"/>
                  <a:pt x="3808106" y="2193063"/>
                  <a:pt x="3808106" y="2173834"/>
                </a:cubicBezTo>
                <a:cubicBezTo>
                  <a:pt x="3808106" y="2154606"/>
                  <a:pt x="3792726" y="2139014"/>
                  <a:pt x="3773759" y="2139014"/>
                </a:cubicBezTo>
                <a:close/>
                <a:moveTo>
                  <a:pt x="3857500" y="2139014"/>
                </a:moveTo>
                <a:cubicBezTo>
                  <a:pt x="3838533" y="2139014"/>
                  <a:pt x="3823154" y="2154606"/>
                  <a:pt x="3823154" y="2173834"/>
                </a:cubicBezTo>
                <a:cubicBezTo>
                  <a:pt x="3823154" y="2193063"/>
                  <a:pt x="3838533" y="2208655"/>
                  <a:pt x="3857500" y="2208655"/>
                </a:cubicBezTo>
                <a:cubicBezTo>
                  <a:pt x="3876467" y="2208655"/>
                  <a:pt x="3891847" y="2193063"/>
                  <a:pt x="3891847" y="2173834"/>
                </a:cubicBezTo>
                <a:cubicBezTo>
                  <a:pt x="3891847" y="2154606"/>
                  <a:pt x="3876467" y="2139014"/>
                  <a:pt x="3857500" y="2139014"/>
                </a:cubicBezTo>
                <a:close/>
                <a:moveTo>
                  <a:pt x="3941242" y="2139014"/>
                </a:moveTo>
                <a:cubicBezTo>
                  <a:pt x="3922275" y="2139014"/>
                  <a:pt x="3906895" y="2154606"/>
                  <a:pt x="3906895" y="2173834"/>
                </a:cubicBezTo>
                <a:cubicBezTo>
                  <a:pt x="3906895" y="2193063"/>
                  <a:pt x="3922275" y="2208655"/>
                  <a:pt x="3941242" y="2208655"/>
                </a:cubicBezTo>
                <a:cubicBezTo>
                  <a:pt x="3960209" y="2208655"/>
                  <a:pt x="3975588" y="2193063"/>
                  <a:pt x="3975588" y="2173834"/>
                </a:cubicBezTo>
                <a:cubicBezTo>
                  <a:pt x="3975588" y="2154606"/>
                  <a:pt x="3960209" y="2139014"/>
                  <a:pt x="3941242" y="2139014"/>
                </a:cubicBezTo>
                <a:close/>
                <a:moveTo>
                  <a:pt x="4024990" y="2139014"/>
                </a:moveTo>
                <a:cubicBezTo>
                  <a:pt x="4006023" y="2139014"/>
                  <a:pt x="3990643" y="2154606"/>
                  <a:pt x="3990643" y="2173834"/>
                </a:cubicBezTo>
                <a:cubicBezTo>
                  <a:pt x="3990643" y="2193063"/>
                  <a:pt x="4006023" y="2208655"/>
                  <a:pt x="4024990" y="2208655"/>
                </a:cubicBezTo>
                <a:cubicBezTo>
                  <a:pt x="4043957" y="2208655"/>
                  <a:pt x="4059337" y="2193063"/>
                  <a:pt x="4059337" y="2173834"/>
                </a:cubicBezTo>
                <a:cubicBezTo>
                  <a:pt x="4059337" y="2154606"/>
                  <a:pt x="4043957" y="2139014"/>
                  <a:pt x="4024990" y="2139014"/>
                </a:cubicBezTo>
                <a:close/>
                <a:moveTo>
                  <a:pt x="4108732" y="2139014"/>
                </a:moveTo>
                <a:cubicBezTo>
                  <a:pt x="4089765" y="2139014"/>
                  <a:pt x="4074386" y="2154606"/>
                  <a:pt x="4074386" y="2173834"/>
                </a:cubicBezTo>
                <a:cubicBezTo>
                  <a:pt x="4074386" y="2193063"/>
                  <a:pt x="4089765" y="2208655"/>
                  <a:pt x="4108732" y="2208655"/>
                </a:cubicBezTo>
                <a:cubicBezTo>
                  <a:pt x="4127699" y="2208655"/>
                  <a:pt x="4143079" y="2193063"/>
                  <a:pt x="4143079" y="2173834"/>
                </a:cubicBezTo>
                <a:cubicBezTo>
                  <a:pt x="4143079" y="2154606"/>
                  <a:pt x="4127699" y="2139014"/>
                  <a:pt x="4108732" y="2139014"/>
                </a:cubicBezTo>
                <a:close/>
                <a:moveTo>
                  <a:pt x="6034789" y="2139014"/>
                </a:moveTo>
                <a:cubicBezTo>
                  <a:pt x="6015822" y="2139014"/>
                  <a:pt x="6000436" y="2154606"/>
                  <a:pt x="6000436" y="2173834"/>
                </a:cubicBezTo>
                <a:cubicBezTo>
                  <a:pt x="6000436" y="2193063"/>
                  <a:pt x="6015822" y="2208655"/>
                  <a:pt x="6034789" y="2208655"/>
                </a:cubicBezTo>
                <a:cubicBezTo>
                  <a:pt x="6053756" y="2208655"/>
                  <a:pt x="6069130" y="2193063"/>
                  <a:pt x="6069130" y="2173834"/>
                </a:cubicBezTo>
                <a:cubicBezTo>
                  <a:pt x="6069130" y="2154606"/>
                  <a:pt x="6053756" y="2139014"/>
                  <a:pt x="6034789" y="2139014"/>
                </a:cubicBezTo>
                <a:close/>
                <a:moveTo>
                  <a:pt x="6202273" y="2139014"/>
                </a:moveTo>
                <a:cubicBezTo>
                  <a:pt x="6183306" y="2139014"/>
                  <a:pt x="6167920" y="2154606"/>
                  <a:pt x="6167920" y="2173834"/>
                </a:cubicBezTo>
                <a:cubicBezTo>
                  <a:pt x="6167920" y="2193063"/>
                  <a:pt x="6183306" y="2208655"/>
                  <a:pt x="6202273" y="2208655"/>
                </a:cubicBezTo>
                <a:cubicBezTo>
                  <a:pt x="6221240" y="2208655"/>
                  <a:pt x="6236613" y="2193063"/>
                  <a:pt x="6236613" y="2173834"/>
                </a:cubicBezTo>
                <a:cubicBezTo>
                  <a:pt x="6236613" y="2154606"/>
                  <a:pt x="6221240" y="2139014"/>
                  <a:pt x="6202273" y="2139014"/>
                </a:cubicBezTo>
                <a:close/>
                <a:moveTo>
                  <a:pt x="6286014" y="2139014"/>
                </a:moveTo>
                <a:cubicBezTo>
                  <a:pt x="6267047" y="2139014"/>
                  <a:pt x="6251661" y="2154606"/>
                  <a:pt x="6251661" y="2173834"/>
                </a:cubicBezTo>
                <a:cubicBezTo>
                  <a:pt x="6251661" y="2193063"/>
                  <a:pt x="6267047" y="2208655"/>
                  <a:pt x="6286014" y="2208655"/>
                </a:cubicBezTo>
                <a:cubicBezTo>
                  <a:pt x="6304981" y="2208655"/>
                  <a:pt x="6320354" y="2193063"/>
                  <a:pt x="6320354" y="2173834"/>
                </a:cubicBezTo>
                <a:cubicBezTo>
                  <a:pt x="6320354" y="2154606"/>
                  <a:pt x="6304981" y="2139014"/>
                  <a:pt x="6286014" y="2139014"/>
                </a:cubicBezTo>
                <a:close/>
                <a:moveTo>
                  <a:pt x="6537239" y="2139014"/>
                </a:moveTo>
                <a:cubicBezTo>
                  <a:pt x="6518272" y="2139014"/>
                  <a:pt x="6502886" y="2154606"/>
                  <a:pt x="6502886" y="2173834"/>
                </a:cubicBezTo>
                <a:cubicBezTo>
                  <a:pt x="6502886" y="2193063"/>
                  <a:pt x="6518272" y="2208655"/>
                  <a:pt x="6537239" y="2208655"/>
                </a:cubicBezTo>
                <a:cubicBezTo>
                  <a:pt x="6556206" y="2208655"/>
                  <a:pt x="6571579" y="2193063"/>
                  <a:pt x="6571579" y="2173834"/>
                </a:cubicBezTo>
                <a:cubicBezTo>
                  <a:pt x="6571579" y="2154606"/>
                  <a:pt x="6556206" y="2139014"/>
                  <a:pt x="6537239" y="2139014"/>
                </a:cubicBezTo>
                <a:close/>
                <a:moveTo>
                  <a:pt x="6620980" y="2139014"/>
                </a:moveTo>
                <a:cubicBezTo>
                  <a:pt x="6602013" y="2139014"/>
                  <a:pt x="6586627" y="2154606"/>
                  <a:pt x="6586627" y="2173834"/>
                </a:cubicBezTo>
                <a:cubicBezTo>
                  <a:pt x="6586627" y="2193063"/>
                  <a:pt x="6602013" y="2208655"/>
                  <a:pt x="6620980" y="2208655"/>
                </a:cubicBezTo>
                <a:cubicBezTo>
                  <a:pt x="6639947" y="2208655"/>
                  <a:pt x="6655320" y="2193063"/>
                  <a:pt x="6655320" y="2173834"/>
                </a:cubicBezTo>
                <a:cubicBezTo>
                  <a:pt x="6655320" y="2154606"/>
                  <a:pt x="6639947" y="2139014"/>
                  <a:pt x="6620980" y="2139014"/>
                </a:cubicBezTo>
                <a:close/>
                <a:moveTo>
                  <a:pt x="6704722" y="2139014"/>
                </a:moveTo>
                <a:cubicBezTo>
                  <a:pt x="6685755" y="2139014"/>
                  <a:pt x="6670369" y="2154606"/>
                  <a:pt x="6670369" y="2173834"/>
                </a:cubicBezTo>
                <a:cubicBezTo>
                  <a:pt x="6670369" y="2193063"/>
                  <a:pt x="6685755" y="2208655"/>
                  <a:pt x="6704722" y="2208655"/>
                </a:cubicBezTo>
                <a:cubicBezTo>
                  <a:pt x="6723689" y="2208655"/>
                  <a:pt x="6739063" y="2193063"/>
                  <a:pt x="6739063" y="2173834"/>
                </a:cubicBezTo>
                <a:cubicBezTo>
                  <a:pt x="6739063" y="2154606"/>
                  <a:pt x="6723689" y="2139014"/>
                  <a:pt x="6704722" y="2139014"/>
                </a:cubicBezTo>
                <a:close/>
                <a:moveTo>
                  <a:pt x="6788464" y="2139014"/>
                </a:moveTo>
                <a:cubicBezTo>
                  <a:pt x="6769497" y="2139014"/>
                  <a:pt x="6754110" y="2154606"/>
                  <a:pt x="6754110" y="2173834"/>
                </a:cubicBezTo>
                <a:cubicBezTo>
                  <a:pt x="6754110" y="2193063"/>
                  <a:pt x="6769497" y="2208655"/>
                  <a:pt x="6788464" y="2208655"/>
                </a:cubicBezTo>
                <a:cubicBezTo>
                  <a:pt x="6807431" y="2208655"/>
                  <a:pt x="6822804" y="2193063"/>
                  <a:pt x="6822804" y="2173834"/>
                </a:cubicBezTo>
                <a:cubicBezTo>
                  <a:pt x="6822804" y="2154606"/>
                  <a:pt x="6807431" y="2139014"/>
                  <a:pt x="6788464" y="2139014"/>
                </a:cubicBezTo>
                <a:close/>
                <a:moveTo>
                  <a:pt x="6955947" y="2139014"/>
                </a:moveTo>
                <a:cubicBezTo>
                  <a:pt x="6936980" y="2139014"/>
                  <a:pt x="6921594" y="2154606"/>
                  <a:pt x="6921594" y="2173834"/>
                </a:cubicBezTo>
                <a:cubicBezTo>
                  <a:pt x="6921594" y="2193063"/>
                  <a:pt x="6936980" y="2208655"/>
                  <a:pt x="6955947" y="2208655"/>
                </a:cubicBezTo>
                <a:cubicBezTo>
                  <a:pt x="6974914" y="2208655"/>
                  <a:pt x="6990287" y="2193063"/>
                  <a:pt x="6990287" y="2173834"/>
                </a:cubicBezTo>
                <a:cubicBezTo>
                  <a:pt x="6990287" y="2154606"/>
                  <a:pt x="6974914" y="2139014"/>
                  <a:pt x="6955947" y="2139014"/>
                </a:cubicBezTo>
                <a:close/>
                <a:moveTo>
                  <a:pt x="7039688" y="2139014"/>
                </a:moveTo>
                <a:cubicBezTo>
                  <a:pt x="7020721" y="2139014"/>
                  <a:pt x="7005335" y="2154606"/>
                  <a:pt x="7005335" y="2173834"/>
                </a:cubicBezTo>
                <a:cubicBezTo>
                  <a:pt x="7005335" y="2193063"/>
                  <a:pt x="7020721" y="2208655"/>
                  <a:pt x="7039688" y="2208655"/>
                </a:cubicBezTo>
                <a:cubicBezTo>
                  <a:pt x="7058655" y="2208655"/>
                  <a:pt x="7074029" y="2193063"/>
                  <a:pt x="7074029" y="2173834"/>
                </a:cubicBezTo>
                <a:cubicBezTo>
                  <a:pt x="7074029" y="2154606"/>
                  <a:pt x="7058655" y="2139014"/>
                  <a:pt x="7039688" y="2139014"/>
                </a:cubicBezTo>
                <a:close/>
                <a:moveTo>
                  <a:pt x="7123456" y="2139014"/>
                </a:moveTo>
                <a:cubicBezTo>
                  <a:pt x="7104489" y="2139014"/>
                  <a:pt x="7089103" y="2154606"/>
                  <a:pt x="7089103" y="2173834"/>
                </a:cubicBezTo>
                <a:cubicBezTo>
                  <a:pt x="7089103" y="2193063"/>
                  <a:pt x="7104489" y="2208655"/>
                  <a:pt x="7123456" y="2208655"/>
                </a:cubicBezTo>
                <a:cubicBezTo>
                  <a:pt x="7142423" y="2208655"/>
                  <a:pt x="7157796" y="2193063"/>
                  <a:pt x="7157796" y="2173834"/>
                </a:cubicBezTo>
                <a:cubicBezTo>
                  <a:pt x="7157796" y="2154606"/>
                  <a:pt x="7142423" y="2139014"/>
                  <a:pt x="7123456" y="2139014"/>
                </a:cubicBezTo>
                <a:close/>
                <a:moveTo>
                  <a:pt x="7207198" y="2139014"/>
                </a:moveTo>
                <a:cubicBezTo>
                  <a:pt x="7188231" y="2139014"/>
                  <a:pt x="7172845" y="2154606"/>
                  <a:pt x="7172845" y="2173834"/>
                </a:cubicBezTo>
                <a:cubicBezTo>
                  <a:pt x="7172845" y="2193063"/>
                  <a:pt x="7188231" y="2208655"/>
                  <a:pt x="7207198" y="2208655"/>
                </a:cubicBezTo>
                <a:cubicBezTo>
                  <a:pt x="7226165" y="2208655"/>
                  <a:pt x="7241538" y="2193063"/>
                  <a:pt x="7241538" y="2173834"/>
                </a:cubicBezTo>
                <a:cubicBezTo>
                  <a:pt x="7241538" y="2154606"/>
                  <a:pt x="7226165" y="2139014"/>
                  <a:pt x="7207198" y="2139014"/>
                </a:cubicBezTo>
                <a:close/>
                <a:moveTo>
                  <a:pt x="7290939" y="2139014"/>
                </a:moveTo>
                <a:cubicBezTo>
                  <a:pt x="7271972" y="2139014"/>
                  <a:pt x="7256586" y="2154606"/>
                  <a:pt x="7256586" y="2173834"/>
                </a:cubicBezTo>
                <a:cubicBezTo>
                  <a:pt x="7256586" y="2193063"/>
                  <a:pt x="7271972" y="2208655"/>
                  <a:pt x="7290939" y="2208655"/>
                </a:cubicBezTo>
                <a:cubicBezTo>
                  <a:pt x="7309906" y="2208655"/>
                  <a:pt x="7325279" y="2193063"/>
                  <a:pt x="7325279" y="2173834"/>
                </a:cubicBezTo>
                <a:cubicBezTo>
                  <a:pt x="7325279" y="2154606"/>
                  <a:pt x="7309906" y="2139014"/>
                  <a:pt x="7290939" y="2139014"/>
                </a:cubicBezTo>
                <a:close/>
                <a:moveTo>
                  <a:pt x="7374681" y="2139014"/>
                </a:moveTo>
                <a:cubicBezTo>
                  <a:pt x="7355714" y="2139014"/>
                  <a:pt x="7340328" y="2154606"/>
                  <a:pt x="7340328" y="2173834"/>
                </a:cubicBezTo>
                <a:cubicBezTo>
                  <a:pt x="7340328" y="2193063"/>
                  <a:pt x="7355714" y="2208655"/>
                  <a:pt x="7374681" y="2208655"/>
                </a:cubicBezTo>
                <a:cubicBezTo>
                  <a:pt x="7393648" y="2208655"/>
                  <a:pt x="7409022" y="2193063"/>
                  <a:pt x="7409022" y="2173834"/>
                </a:cubicBezTo>
                <a:cubicBezTo>
                  <a:pt x="7409022" y="2154606"/>
                  <a:pt x="7393648" y="2139014"/>
                  <a:pt x="7374681" y="2139014"/>
                </a:cubicBezTo>
                <a:close/>
                <a:moveTo>
                  <a:pt x="7458423" y="2139014"/>
                </a:moveTo>
                <a:cubicBezTo>
                  <a:pt x="7439456" y="2139014"/>
                  <a:pt x="7424070" y="2154606"/>
                  <a:pt x="7424070" y="2173834"/>
                </a:cubicBezTo>
                <a:cubicBezTo>
                  <a:pt x="7424070" y="2193063"/>
                  <a:pt x="7439456" y="2208655"/>
                  <a:pt x="7458423" y="2208655"/>
                </a:cubicBezTo>
                <a:cubicBezTo>
                  <a:pt x="7477390" y="2208655"/>
                  <a:pt x="7492763" y="2193063"/>
                  <a:pt x="7492763" y="2173834"/>
                </a:cubicBezTo>
                <a:cubicBezTo>
                  <a:pt x="7492763" y="2154606"/>
                  <a:pt x="7477390" y="2139014"/>
                  <a:pt x="7458423" y="2139014"/>
                </a:cubicBezTo>
                <a:close/>
                <a:moveTo>
                  <a:pt x="7542164" y="2139014"/>
                </a:moveTo>
                <a:cubicBezTo>
                  <a:pt x="7523197" y="2139014"/>
                  <a:pt x="7507811" y="2154606"/>
                  <a:pt x="7507811" y="2173834"/>
                </a:cubicBezTo>
                <a:cubicBezTo>
                  <a:pt x="7507811" y="2193063"/>
                  <a:pt x="7523197" y="2208655"/>
                  <a:pt x="7542164" y="2208655"/>
                </a:cubicBezTo>
                <a:cubicBezTo>
                  <a:pt x="7561131" y="2208655"/>
                  <a:pt x="7576504" y="2193063"/>
                  <a:pt x="7576504" y="2173834"/>
                </a:cubicBezTo>
                <a:cubicBezTo>
                  <a:pt x="7576504" y="2154606"/>
                  <a:pt x="7561131" y="2139014"/>
                  <a:pt x="7542164" y="2139014"/>
                </a:cubicBezTo>
                <a:close/>
                <a:moveTo>
                  <a:pt x="7625906" y="2139014"/>
                </a:moveTo>
                <a:cubicBezTo>
                  <a:pt x="7606939" y="2139014"/>
                  <a:pt x="7591553" y="2154606"/>
                  <a:pt x="7591553" y="2173834"/>
                </a:cubicBezTo>
                <a:cubicBezTo>
                  <a:pt x="7591553" y="2193063"/>
                  <a:pt x="7606939" y="2208655"/>
                  <a:pt x="7625906" y="2208655"/>
                </a:cubicBezTo>
                <a:cubicBezTo>
                  <a:pt x="7644873" y="2208655"/>
                  <a:pt x="7660246" y="2193063"/>
                  <a:pt x="7660246" y="2173834"/>
                </a:cubicBezTo>
                <a:cubicBezTo>
                  <a:pt x="7660246" y="2154606"/>
                  <a:pt x="7644873" y="2139014"/>
                  <a:pt x="7625906" y="2139014"/>
                </a:cubicBezTo>
                <a:close/>
                <a:moveTo>
                  <a:pt x="7709647" y="2139014"/>
                </a:moveTo>
                <a:cubicBezTo>
                  <a:pt x="7690680" y="2139014"/>
                  <a:pt x="7675294" y="2154606"/>
                  <a:pt x="7675294" y="2173834"/>
                </a:cubicBezTo>
                <a:cubicBezTo>
                  <a:pt x="7675294" y="2193063"/>
                  <a:pt x="7690680" y="2208655"/>
                  <a:pt x="7709647" y="2208655"/>
                </a:cubicBezTo>
                <a:cubicBezTo>
                  <a:pt x="7728614" y="2208655"/>
                  <a:pt x="7743988" y="2193063"/>
                  <a:pt x="7743988" y="2173834"/>
                </a:cubicBezTo>
                <a:cubicBezTo>
                  <a:pt x="7743988" y="2154606"/>
                  <a:pt x="7728614" y="2139014"/>
                  <a:pt x="7709647" y="2139014"/>
                </a:cubicBezTo>
                <a:close/>
                <a:moveTo>
                  <a:pt x="7793389" y="2139014"/>
                </a:moveTo>
                <a:cubicBezTo>
                  <a:pt x="7774422" y="2139014"/>
                  <a:pt x="7759036" y="2154606"/>
                  <a:pt x="7759036" y="2173834"/>
                </a:cubicBezTo>
                <a:cubicBezTo>
                  <a:pt x="7759036" y="2193063"/>
                  <a:pt x="7774422" y="2208655"/>
                  <a:pt x="7793389" y="2208655"/>
                </a:cubicBezTo>
                <a:cubicBezTo>
                  <a:pt x="7812356" y="2208655"/>
                  <a:pt x="7827729" y="2193063"/>
                  <a:pt x="7827729" y="2173834"/>
                </a:cubicBezTo>
                <a:cubicBezTo>
                  <a:pt x="7827729" y="2154606"/>
                  <a:pt x="7812356" y="2139014"/>
                  <a:pt x="7793389" y="2139014"/>
                </a:cubicBezTo>
                <a:close/>
                <a:moveTo>
                  <a:pt x="7877131" y="2139014"/>
                </a:moveTo>
                <a:cubicBezTo>
                  <a:pt x="7858164" y="2139014"/>
                  <a:pt x="7842778" y="2154606"/>
                  <a:pt x="7842778" y="2173834"/>
                </a:cubicBezTo>
                <a:cubicBezTo>
                  <a:pt x="7842778" y="2193063"/>
                  <a:pt x="7858164" y="2208655"/>
                  <a:pt x="7877131" y="2208655"/>
                </a:cubicBezTo>
                <a:cubicBezTo>
                  <a:pt x="7896098" y="2208655"/>
                  <a:pt x="7911471" y="2193063"/>
                  <a:pt x="7911471" y="2173834"/>
                </a:cubicBezTo>
                <a:cubicBezTo>
                  <a:pt x="7911471" y="2154606"/>
                  <a:pt x="7896098" y="2139014"/>
                  <a:pt x="7877131" y="2139014"/>
                </a:cubicBezTo>
                <a:close/>
                <a:moveTo>
                  <a:pt x="7960872" y="2139014"/>
                </a:moveTo>
                <a:cubicBezTo>
                  <a:pt x="7941905" y="2139014"/>
                  <a:pt x="7926519" y="2154606"/>
                  <a:pt x="7926519" y="2173834"/>
                </a:cubicBezTo>
                <a:cubicBezTo>
                  <a:pt x="7926519" y="2193063"/>
                  <a:pt x="7941905" y="2208655"/>
                  <a:pt x="7960872" y="2208655"/>
                </a:cubicBezTo>
                <a:cubicBezTo>
                  <a:pt x="7979839" y="2208655"/>
                  <a:pt x="7995212" y="2193063"/>
                  <a:pt x="7995212" y="2173834"/>
                </a:cubicBezTo>
                <a:cubicBezTo>
                  <a:pt x="7995212" y="2154606"/>
                  <a:pt x="7979839" y="2139014"/>
                  <a:pt x="7960872" y="2139014"/>
                </a:cubicBezTo>
                <a:close/>
                <a:moveTo>
                  <a:pt x="8044614" y="2139014"/>
                </a:moveTo>
                <a:cubicBezTo>
                  <a:pt x="8025647" y="2139014"/>
                  <a:pt x="8010261" y="2154606"/>
                  <a:pt x="8010261" y="2173834"/>
                </a:cubicBezTo>
                <a:cubicBezTo>
                  <a:pt x="8010261" y="2193063"/>
                  <a:pt x="8025647" y="2208655"/>
                  <a:pt x="8044614" y="2208655"/>
                </a:cubicBezTo>
                <a:cubicBezTo>
                  <a:pt x="8063581" y="2208655"/>
                  <a:pt x="8078955" y="2193063"/>
                  <a:pt x="8078955" y="2173834"/>
                </a:cubicBezTo>
                <a:cubicBezTo>
                  <a:pt x="8078955" y="2154606"/>
                  <a:pt x="8063581" y="2139014"/>
                  <a:pt x="8044614" y="2139014"/>
                </a:cubicBezTo>
                <a:close/>
                <a:moveTo>
                  <a:pt x="8128356" y="2139014"/>
                </a:moveTo>
                <a:cubicBezTo>
                  <a:pt x="8109389" y="2139014"/>
                  <a:pt x="8094003" y="2154606"/>
                  <a:pt x="8094003" y="2173834"/>
                </a:cubicBezTo>
                <a:cubicBezTo>
                  <a:pt x="8094003" y="2193063"/>
                  <a:pt x="8109389" y="2208655"/>
                  <a:pt x="8128356" y="2208655"/>
                </a:cubicBezTo>
                <a:cubicBezTo>
                  <a:pt x="8147323" y="2208655"/>
                  <a:pt x="8162696" y="2193063"/>
                  <a:pt x="8162696" y="2173834"/>
                </a:cubicBezTo>
                <a:cubicBezTo>
                  <a:pt x="8162696" y="2154606"/>
                  <a:pt x="8147323" y="2139014"/>
                  <a:pt x="8128356" y="2139014"/>
                </a:cubicBezTo>
                <a:close/>
                <a:moveTo>
                  <a:pt x="8212097" y="2139014"/>
                </a:moveTo>
                <a:cubicBezTo>
                  <a:pt x="8193130" y="2139014"/>
                  <a:pt x="8177744" y="2154606"/>
                  <a:pt x="8177744" y="2173834"/>
                </a:cubicBezTo>
                <a:cubicBezTo>
                  <a:pt x="8177744" y="2193063"/>
                  <a:pt x="8193130" y="2208655"/>
                  <a:pt x="8212097" y="2208655"/>
                </a:cubicBezTo>
                <a:cubicBezTo>
                  <a:pt x="8231064" y="2208655"/>
                  <a:pt x="8246437" y="2193063"/>
                  <a:pt x="8246437" y="2173834"/>
                </a:cubicBezTo>
                <a:cubicBezTo>
                  <a:pt x="8246437" y="2154606"/>
                  <a:pt x="8231064" y="2139014"/>
                  <a:pt x="8212097" y="2139014"/>
                </a:cubicBezTo>
                <a:close/>
                <a:moveTo>
                  <a:pt x="8295839" y="2139014"/>
                </a:moveTo>
                <a:cubicBezTo>
                  <a:pt x="8276872" y="2139014"/>
                  <a:pt x="8261486" y="2154606"/>
                  <a:pt x="8261486" y="2173834"/>
                </a:cubicBezTo>
                <a:cubicBezTo>
                  <a:pt x="8261486" y="2193063"/>
                  <a:pt x="8276872" y="2208655"/>
                  <a:pt x="8295839" y="2208655"/>
                </a:cubicBezTo>
                <a:cubicBezTo>
                  <a:pt x="8314806" y="2208655"/>
                  <a:pt x="8330179" y="2193063"/>
                  <a:pt x="8330179" y="2173834"/>
                </a:cubicBezTo>
                <a:cubicBezTo>
                  <a:pt x="8330179" y="2154606"/>
                  <a:pt x="8314806" y="2139014"/>
                  <a:pt x="8295839" y="2139014"/>
                </a:cubicBezTo>
                <a:close/>
                <a:moveTo>
                  <a:pt x="8379580" y="2139014"/>
                </a:moveTo>
                <a:cubicBezTo>
                  <a:pt x="8360613" y="2139014"/>
                  <a:pt x="8345227" y="2154606"/>
                  <a:pt x="8345227" y="2173834"/>
                </a:cubicBezTo>
                <a:cubicBezTo>
                  <a:pt x="8345227" y="2193063"/>
                  <a:pt x="8360613" y="2208655"/>
                  <a:pt x="8379580" y="2208655"/>
                </a:cubicBezTo>
                <a:cubicBezTo>
                  <a:pt x="8398547" y="2208655"/>
                  <a:pt x="8413921" y="2193063"/>
                  <a:pt x="8413921" y="2173834"/>
                </a:cubicBezTo>
                <a:cubicBezTo>
                  <a:pt x="8413921" y="2154606"/>
                  <a:pt x="8398547" y="2139014"/>
                  <a:pt x="8379580" y="2139014"/>
                </a:cubicBezTo>
                <a:close/>
                <a:moveTo>
                  <a:pt x="8463323" y="2139014"/>
                </a:moveTo>
                <a:cubicBezTo>
                  <a:pt x="8444356" y="2139014"/>
                  <a:pt x="8428970" y="2154606"/>
                  <a:pt x="8428970" y="2173834"/>
                </a:cubicBezTo>
                <a:cubicBezTo>
                  <a:pt x="8428970" y="2193063"/>
                  <a:pt x="8444356" y="2208655"/>
                  <a:pt x="8463323" y="2208655"/>
                </a:cubicBezTo>
                <a:cubicBezTo>
                  <a:pt x="8482290" y="2208655"/>
                  <a:pt x="8497663" y="2193063"/>
                  <a:pt x="8497663" y="2173834"/>
                </a:cubicBezTo>
                <a:cubicBezTo>
                  <a:pt x="8497663" y="2154606"/>
                  <a:pt x="8482290" y="2139014"/>
                  <a:pt x="8463323" y="2139014"/>
                </a:cubicBezTo>
                <a:close/>
                <a:moveTo>
                  <a:pt x="8547064" y="2139014"/>
                </a:moveTo>
                <a:cubicBezTo>
                  <a:pt x="8528097" y="2139014"/>
                  <a:pt x="8512711" y="2154606"/>
                  <a:pt x="8512711" y="2173834"/>
                </a:cubicBezTo>
                <a:cubicBezTo>
                  <a:pt x="8512711" y="2193063"/>
                  <a:pt x="8528097" y="2208655"/>
                  <a:pt x="8547064" y="2208655"/>
                </a:cubicBezTo>
                <a:cubicBezTo>
                  <a:pt x="8566031" y="2208655"/>
                  <a:pt x="8581404" y="2193063"/>
                  <a:pt x="8581404" y="2173834"/>
                </a:cubicBezTo>
                <a:cubicBezTo>
                  <a:pt x="8581404" y="2154606"/>
                  <a:pt x="8566031" y="2139014"/>
                  <a:pt x="8547064" y="2139014"/>
                </a:cubicBezTo>
                <a:close/>
                <a:moveTo>
                  <a:pt x="8630805" y="2139014"/>
                </a:moveTo>
                <a:cubicBezTo>
                  <a:pt x="8611838" y="2139014"/>
                  <a:pt x="8596452" y="2154606"/>
                  <a:pt x="8596452" y="2173834"/>
                </a:cubicBezTo>
                <a:cubicBezTo>
                  <a:pt x="8596452" y="2193063"/>
                  <a:pt x="8611838" y="2208655"/>
                  <a:pt x="8630805" y="2208655"/>
                </a:cubicBezTo>
                <a:cubicBezTo>
                  <a:pt x="8649772" y="2208655"/>
                  <a:pt x="8665145" y="2193063"/>
                  <a:pt x="8665145" y="2173834"/>
                </a:cubicBezTo>
                <a:cubicBezTo>
                  <a:pt x="8665145" y="2154606"/>
                  <a:pt x="8649772" y="2139014"/>
                  <a:pt x="8630805" y="2139014"/>
                </a:cubicBezTo>
                <a:close/>
                <a:moveTo>
                  <a:pt x="8798289" y="2139014"/>
                </a:moveTo>
                <a:cubicBezTo>
                  <a:pt x="8779322" y="2139014"/>
                  <a:pt x="8763936" y="2154606"/>
                  <a:pt x="8763936" y="2173834"/>
                </a:cubicBezTo>
                <a:cubicBezTo>
                  <a:pt x="8763936" y="2193063"/>
                  <a:pt x="8779322" y="2208655"/>
                  <a:pt x="8798289" y="2208655"/>
                </a:cubicBezTo>
                <a:cubicBezTo>
                  <a:pt x="8817256" y="2208655"/>
                  <a:pt x="8832629" y="2193063"/>
                  <a:pt x="8832629" y="2173834"/>
                </a:cubicBezTo>
                <a:cubicBezTo>
                  <a:pt x="8832629" y="2154606"/>
                  <a:pt x="8817256" y="2139014"/>
                  <a:pt x="8798289" y="2139014"/>
                </a:cubicBezTo>
                <a:close/>
                <a:moveTo>
                  <a:pt x="8882030" y="2139014"/>
                </a:moveTo>
                <a:cubicBezTo>
                  <a:pt x="8863063" y="2139014"/>
                  <a:pt x="8847677" y="2154606"/>
                  <a:pt x="8847677" y="2173834"/>
                </a:cubicBezTo>
                <a:cubicBezTo>
                  <a:pt x="8847677" y="2193063"/>
                  <a:pt x="8863063" y="2208655"/>
                  <a:pt x="8882030" y="2208655"/>
                </a:cubicBezTo>
                <a:cubicBezTo>
                  <a:pt x="8900997" y="2208655"/>
                  <a:pt x="8916370" y="2193063"/>
                  <a:pt x="8916370" y="2173834"/>
                </a:cubicBezTo>
                <a:cubicBezTo>
                  <a:pt x="8916370" y="2154606"/>
                  <a:pt x="8900997" y="2139014"/>
                  <a:pt x="8882030" y="2139014"/>
                </a:cubicBezTo>
                <a:close/>
                <a:moveTo>
                  <a:pt x="8965772" y="2139014"/>
                </a:moveTo>
                <a:cubicBezTo>
                  <a:pt x="8946805" y="2139014"/>
                  <a:pt x="8931419" y="2154606"/>
                  <a:pt x="8931419" y="2173834"/>
                </a:cubicBezTo>
                <a:cubicBezTo>
                  <a:pt x="8931419" y="2193063"/>
                  <a:pt x="8946805" y="2208655"/>
                  <a:pt x="8965772" y="2208655"/>
                </a:cubicBezTo>
                <a:cubicBezTo>
                  <a:pt x="8984739" y="2208655"/>
                  <a:pt x="9000112" y="2193063"/>
                  <a:pt x="9000112" y="2173834"/>
                </a:cubicBezTo>
                <a:cubicBezTo>
                  <a:pt x="9000112" y="2154606"/>
                  <a:pt x="8984739" y="2139014"/>
                  <a:pt x="8965772" y="2139014"/>
                </a:cubicBezTo>
                <a:close/>
                <a:moveTo>
                  <a:pt x="9049513" y="2139014"/>
                </a:moveTo>
                <a:cubicBezTo>
                  <a:pt x="9030546" y="2139014"/>
                  <a:pt x="9015160" y="2154606"/>
                  <a:pt x="9015160" y="2173834"/>
                </a:cubicBezTo>
                <a:cubicBezTo>
                  <a:pt x="9015160" y="2193063"/>
                  <a:pt x="9030546" y="2208655"/>
                  <a:pt x="9049513" y="2208655"/>
                </a:cubicBezTo>
                <a:cubicBezTo>
                  <a:pt x="9068480" y="2208655"/>
                  <a:pt x="9083854" y="2193063"/>
                  <a:pt x="9083854" y="2173834"/>
                </a:cubicBezTo>
                <a:cubicBezTo>
                  <a:pt x="9083854" y="2154606"/>
                  <a:pt x="9068480" y="2139014"/>
                  <a:pt x="9049513" y="2139014"/>
                </a:cubicBezTo>
                <a:close/>
                <a:moveTo>
                  <a:pt x="9133256" y="2139014"/>
                </a:moveTo>
                <a:cubicBezTo>
                  <a:pt x="9114289" y="2139014"/>
                  <a:pt x="9098903" y="2154606"/>
                  <a:pt x="9098903" y="2173834"/>
                </a:cubicBezTo>
                <a:cubicBezTo>
                  <a:pt x="9098903" y="2193063"/>
                  <a:pt x="9114289" y="2208655"/>
                  <a:pt x="9133256" y="2208655"/>
                </a:cubicBezTo>
                <a:cubicBezTo>
                  <a:pt x="9152223" y="2208655"/>
                  <a:pt x="9167596" y="2193063"/>
                  <a:pt x="9167596" y="2173834"/>
                </a:cubicBezTo>
                <a:cubicBezTo>
                  <a:pt x="9167596" y="2154606"/>
                  <a:pt x="9152223" y="2139014"/>
                  <a:pt x="9133256" y="2139014"/>
                </a:cubicBezTo>
                <a:close/>
                <a:moveTo>
                  <a:pt x="9216997" y="2139014"/>
                </a:moveTo>
                <a:cubicBezTo>
                  <a:pt x="9198030" y="2139014"/>
                  <a:pt x="9182644" y="2154606"/>
                  <a:pt x="9182644" y="2173834"/>
                </a:cubicBezTo>
                <a:cubicBezTo>
                  <a:pt x="9182644" y="2193063"/>
                  <a:pt x="9198030" y="2208655"/>
                  <a:pt x="9216997" y="2208655"/>
                </a:cubicBezTo>
                <a:cubicBezTo>
                  <a:pt x="9235964" y="2208655"/>
                  <a:pt x="9251337" y="2193063"/>
                  <a:pt x="9251337" y="2173834"/>
                </a:cubicBezTo>
                <a:cubicBezTo>
                  <a:pt x="9251337" y="2154606"/>
                  <a:pt x="9235964" y="2139014"/>
                  <a:pt x="9216997" y="2139014"/>
                </a:cubicBezTo>
                <a:close/>
                <a:moveTo>
                  <a:pt x="9300738" y="2139014"/>
                </a:moveTo>
                <a:cubicBezTo>
                  <a:pt x="9281771" y="2139014"/>
                  <a:pt x="9266385" y="2154606"/>
                  <a:pt x="9266385" y="2173834"/>
                </a:cubicBezTo>
                <a:cubicBezTo>
                  <a:pt x="9266385" y="2193063"/>
                  <a:pt x="9281771" y="2208655"/>
                  <a:pt x="9300738" y="2208655"/>
                </a:cubicBezTo>
                <a:cubicBezTo>
                  <a:pt x="9319705" y="2208655"/>
                  <a:pt x="9335078" y="2193063"/>
                  <a:pt x="9335078" y="2173834"/>
                </a:cubicBezTo>
                <a:cubicBezTo>
                  <a:pt x="9335078" y="2154606"/>
                  <a:pt x="9319705" y="2139014"/>
                  <a:pt x="9300738" y="2139014"/>
                </a:cubicBezTo>
                <a:close/>
                <a:moveTo>
                  <a:pt x="9384480" y="2139014"/>
                </a:moveTo>
                <a:cubicBezTo>
                  <a:pt x="9365513" y="2139014"/>
                  <a:pt x="9350127" y="2154606"/>
                  <a:pt x="9350127" y="2173834"/>
                </a:cubicBezTo>
                <a:cubicBezTo>
                  <a:pt x="9350127" y="2193063"/>
                  <a:pt x="9365513" y="2208655"/>
                  <a:pt x="9384480" y="2208655"/>
                </a:cubicBezTo>
                <a:cubicBezTo>
                  <a:pt x="9403447" y="2208655"/>
                  <a:pt x="9418821" y="2193063"/>
                  <a:pt x="9418821" y="2173834"/>
                </a:cubicBezTo>
                <a:cubicBezTo>
                  <a:pt x="9418821" y="2154606"/>
                  <a:pt x="9403447" y="2139014"/>
                  <a:pt x="9384480" y="2139014"/>
                </a:cubicBezTo>
                <a:close/>
                <a:moveTo>
                  <a:pt x="9468222" y="2139014"/>
                </a:moveTo>
                <a:cubicBezTo>
                  <a:pt x="9449255" y="2139014"/>
                  <a:pt x="9433869" y="2154606"/>
                  <a:pt x="9433869" y="2173834"/>
                </a:cubicBezTo>
                <a:cubicBezTo>
                  <a:pt x="9433869" y="2193063"/>
                  <a:pt x="9449255" y="2208655"/>
                  <a:pt x="9468222" y="2208655"/>
                </a:cubicBezTo>
                <a:cubicBezTo>
                  <a:pt x="9487189" y="2208655"/>
                  <a:pt x="9502562" y="2193063"/>
                  <a:pt x="9502562" y="2173834"/>
                </a:cubicBezTo>
                <a:cubicBezTo>
                  <a:pt x="9502562" y="2154606"/>
                  <a:pt x="9487189" y="2139014"/>
                  <a:pt x="9468222" y="2139014"/>
                </a:cubicBezTo>
                <a:close/>
                <a:moveTo>
                  <a:pt x="9551963" y="2139014"/>
                </a:moveTo>
                <a:cubicBezTo>
                  <a:pt x="9532996" y="2139014"/>
                  <a:pt x="9517610" y="2154606"/>
                  <a:pt x="9517610" y="2173834"/>
                </a:cubicBezTo>
                <a:cubicBezTo>
                  <a:pt x="9517610" y="2193063"/>
                  <a:pt x="9532996" y="2208655"/>
                  <a:pt x="9551963" y="2208655"/>
                </a:cubicBezTo>
                <a:cubicBezTo>
                  <a:pt x="9570930" y="2208655"/>
                  <a:pt x="9586303" y="2193063"/>
                  <a:pt x="9586303" y="2173834"/>
                </a:cubicBezTo>
                <a:cubicBezTo>
                  <a:pt x="9586303" y="2154606"/>
                  <a:pt x="9570930" y="2139014"/>
                  <a:pt x="9551963" y="2139014"/>
                </a:cubicBezTo>
                <a:close/>
                <a:moveTo>
                  <a:pt x="9635705" y="2139014"/>
                </a:moveTo>
                <a:cubicBezTo>
                  <a:pt x="9616738" y="2139014"/>
                  <a:pt x="9601352" y="2154606"/>
                  <a:pt x="9601352" y="2173834"/>
                </a:cubicBezTo>
                <a:cubicBezTo>
                  <a:pt x="9601352" y="2193063"/>
                  <a:pt x="9616738" y="2208655"/>
                  <a:pt x="9635705" y="2208655"/>
                </a:cubicBezTo>
                <a:cubicBezTo>
                  <a:pt x="9654672" y="2208655"/>
                  <a:pt x="9670045" y="2193063"/>
                  <a:pt x="9670045" y="2173834"/>
                </a:cubicBezTo>
                <a:cubicBezTo>
                  <a:pt x="9670045" y="2154606"/>
                  <a:pt x="9654672" y="2139014"/>
                  <a:pt x="9635705" y="2139014"/>
                </a:cubicBezTo>
                <a:close/>
                <a:moveTo>
                  <a:pt x="9719446" y="2139014"/>
                </a:moveTo>
                <a:cubicBezTo>
                  <a:pt x="9700479" y="2139014"/>
                  <a:pt x="9685093" y="2154606"/>
                  <a:pt x="9685093" y="2173834"/>
                </a:cubicBezTo>
                <a:cubicBezTo>
                  <a:pt x="9685093" y="2193063"/>
                  <a:pt x="9700479" y="2208655"/>
                  <a:pt x="9719446" y="2208655"/>
                </a:cubicBezTo>
                <a:cubicBezTo>
                  <a:pt x="9738413" y="2208655"/>
                  <a:pt x="9753787" y="2193063"/>
                  <a:pt x="9753787" y="2173834"/>
                </a:cubicBezTo>
                <a:cubicBezTo>
                  <a:pt x="9753787" y="2154606"/>
                  <a:pt x="9738413" y="2139014"/>
                  <a:pt x="9719446" y="2139014"/>
                </a:cubicBezTo>
                <a:close/>
                <a:moveTo>
                  <a:pt x="9803189" y="2139014"/>
                </a:moveTo>
                <a:cubicBezTo>
                  <a:pt x="9784222" y="2139014"/>
                  <a:pt x="9768836" y="2154606"/>
                  <a:pt x="9768836" y="2173834"/>
                </a:cubicBezTo>
                <a:cubicBezTo>
                  <a:pt x="9768836" y="2193063"/>
                  <a:pt x="9784222" y="2208655"/>
                  <a:pt x="9803189" y="2208655"/>
                </a:cubicBezTo>
                <a:cubicBezTo>
                  <a:pt x="9822156" y="2208655"/>
                  <a:pt x="9837529" y="2193063"/>
                  <a:pt x="9837529" y="2173834"/>
                </a:cubicBezTo>
                <a:cubicBezTo>
                  <a:pt x="9837529" y="2154606"/>
                  <a:pt x="9822156" y="2139014"/>
                  <a:pt x="9803189" y="2139014"/>
                </a:cubicBezTo>
                <a:close/>
                <a:moveTo>
                  <a:pt x="9886930" y="2139014"/>
                </a:moveTo>
                <a:cubicBezTo>
                  <a:pt x="9867963" y="2139014"/>
                  <a:pt x="9852577" y="2154606"/>
                  <a:pt x="9852577" y="2173834"/>
                </a:cubicBezTo>
                <a:cubicBezTo>
                  <a:pt x="9852577" y="2193063"/>
                  <a:pt x="9867963" y="2208655"/>
                  <a:pt x="9886930" y="2208655"/>
                </a:cubicBezTo>
                <a:cubicBezTo>
                  <a:pt x="9905897" y="2208655"/>
                  <a:pt x="9921270" y="2193063"/>
                  <a:pt x="9921270" y="2173834"/>
                </a:cubicBezTo>
                <a:cubicBezTo>
                  <a:pt x="9921270" y="2154606"/>
                  <a:pt x="9905897" y="2139014"/>
                  <a:pt x="9886930" y="2139014"/>
                </a:cubicBezTo>
                <a:close/>
                <a:moveTo>
                  <a:pt x="10305638" y="2139014"/>
                </a:moveTo>
                <a:cubicBezTo>
                  <a:pt x="10286671" y="2139014"/>
                  <a:pt x="10271285" y="2154606"/>
                  <a:pt x="10271285" y="2173834"/>
                </a:cubicBezTo>
                <a:cubicBezTo>
                  <a:pt x="10271285" y="2193063"/>
                  <a:pt x="10286671" y="2208655"/>
                  <a:pt x="10305638" y="2208655"/>
                </a:cubicBezTo>
                <a:cubicBezTo>
                  <a:pt x="10324605" y="2208655"/>
                  <a:pt x="10339978" y="2193063"/>
                  <a:pt x="10339978" y="2173834"/>
                </a:cubicBezTo>
                <a:cubicBezTo>
                  <a:pt x="10339978" y="2154606"/>
                  <a:pt x="10324605" y="2139014"/>
                  <a:pt x="10305638" y="2139014"/>
                </a:cubicBezTo>
                <a:close/>
                <a:moveTo>
                  <a:pt x="2266416" y="2223879"/>
                </a:moveTo>
                <a:cubicBezTo>
                  <a:pt x="2247449" y="2223879"/>
                  <a:pt x="2232069" y="2239470"/>
                  <a:pt x="2232069" y="2258699"/>
                </a:cubicBezTo>
                <a:cubicBezTo>
                  <a:pt x="2232069" y="2277928"/>
                  <a:pt x="2247449" y="2293519"/>
                  <a:pt x="2266416" y="2293519"/>
                </a:cubicBezTo>
                <a:cubicBezTo>
                  <a:pt x="2285383" y="2293519"/>
                  <a:pt x="2300762" y="2277928"/>
                  <a:pt x="2300762" y="2258699"/>
                </a:cubicBezTo>
                <a:cubicBezTo>
                  <a:pt x="2300762" y="2239470"/>
                  <a:pt x="2285383" y="2223879"/>
                  <a:pt x="2266416" y="2223879"/>
                </a:cubicBezTo>
                <a:close/>
                <a:moveTo>
                  <a:pt x="2350151" y="2223879"/>
                </a:moveTo>
                <a:cubicBezTo>
                  <a:pt x="2331184" y="2223879"/>
                  <a:pt x="2315804" y="2239470"/>
                  <a:pt x="2315804" y="2258699"/>
                </a:cubicBezTo>
                <a:cubicBezTo>
                  <a:pt x="2315804" y="2277928"/>
                  <a:pt x="2331184" y="2293519"/>
                  <a:pt x="2350151" y="2293519"/>
                </a:cubicBezTo>
                <a:cubicBezTo>
                  <a:pt x="2369118" y="2293519"/>
                  <a:pt x="2384498" y="2277928"/>
                  <a:pt x="2384498" y="2258699"/>
                </a:cubicBezTo>
                <a:cubicBezTo>
                  <a:pt x="2384498" y="2239470"/>
                  <a:pt x="2369118" y="2223879"/>
                  <a:pt x="2350151" y="2223879"/>
                </a:cubicBezTo>
                <a:close/>
                <a:moveTo>
                  <a:pt x="2433893" y="2223879"/>
                </a:moveTo>
                <a:cubicBezTo>
                  <a:pt x="2414926" y="2223879"/>
                  <a:pt x="2399546" y="2239470"/>
                  <a:pt x="2399546" y="2258699"/>
                </a:cubicBezTo>
                <a:cubicBezTo>
                  <a:pt x="2399546" y="2277928"/>
                  <a:pt x="2414926" y="2293519"/>
                  <a:pt x="2433893" y="2293519"/>
                </a:cubicBezTo>
                <a:cubicBezTo>
                  <a:pt x="2452860" y="2293519"/>
                  <a:pt x="2468240" y="2277928"/>
                  <a:pt x="2468240" y="2258699"/>
                </a:cubicBezTo>
                <a:cubicBezTo>
                  <a:pt x="2468240" y="2239470"/>
                  <a:pt x="2452860" y="2223879"/>
                  <a:pt x="2433893" y="2223879"/>
                </a:cubicBezTo>
                <a:close/>
                <a:moveTo>
                  <a:pt x="2517634" y="2223879"/>
                </a:moveTo>
                <a:cubicBezTo>
                  <a:pt x="2498667" y="2223879"/>
                  <a:pt x="2483288" y="2239470"/>
                  <a:pt x="2483288" y="2258699"/>
                </a:cubicBezTo>
                <a:cubicBezTo>
                  <a:pt x="2483288" y="2277928"/>
                  <a:pt x="2498667" y="2293519"/>
                  <a:pt x="2517634" y="2293519"/>
                </a:cubicBezTo>
                <a:cubicBezTo>
                  <a:pt x="2536601" y="2293519"/>
                  <a:pt x="2551981" y="2277928"/>
                  <a:pt x="2551981" y="2258699"/>
                </a:cubicBezTo>
                <a:cubicBezTo>
                  <a:pt x="2551981" y="2239470"/>
                  <a:pt x="2536601" y="2223879"/>
                  <a:pt x="2517634" y="2223879"/>
                </a:cubicBezTo>
                <a:close/>
                <a:moveTo>
                  <a:pt x="2601376" y="2223879"/>
                </a:moveTo>
                <a:cubicBezTo>
                  <a:pt x="2582409" y="2223879"/>
                  <a:pt x="2567029" y="2239470"/>
                  <a:pt x="2567029" y="2258699"/>
                </a:cubicBezTo>
                <a:cubicBezTo>
                  <a:pt x="2567029" y="2277928"/>
                  <a:pt x="2582409" y="2293519"/>
                  <a:pt x="2601376" y="2293519"/>
                </a:cubicBezTo>
                <a:cubicBezTo>
                  <a:pt x="2620343" y="2293519"/>
                  <a:pt x="2635722" y="2277928"/>
                  <a:pt x="2635722" y="2258699"/>
                </a:cubicBezTo>
                <a:cubicBezTo>
                  <a:pt x="2635722" y="2239470"/>
                  <a:pt x="2620343" y="2223879"/>
                  <a:pt x="2601376" y="2223879"/>
                </a:cubicBezTo>
                <a:close/>
                <a:moveTo>
                  <a:pt x="2685118" y="2223879"/>
                </a:moveTo>
                <a:cubicBezTo>
                  <a:pt x="2666151" y="2223879"/>
                  <a:pt x="2650771" y="2239470"/>
                  <a:pt x="2650771" y="2258699"/>
                </a:cubicBezTo>
                <a:cubicBezTo>
                  <a:pt x="2650771" y="2277928"/>
                  <a:pt x="2666151" y="2293519"/>
                  <a:pt x="2685118" y="2293519"/>
                </a:cubicBezTo>
                <a:cubicBezTo>
                  <a:pt x="2704085" y="2293519"/>
                  <a:pt x="2719465" y="2277928"/>
                  <a:pt x="2719465" y="2258699"/>
                </a:cubicBezTo>
                <a:cubicBezTo>
                  <a:pt x="2719465" y="2239470"/>
                  <a:pt x="2704085" y="2223879"/>
                  <a:pt x="2685118" y="2223879"/>
                </a:cubicBezTo>
                <a:close/>
                <a:moveTo>
                  <a:pt x="2768859" y="2223879"/>
                </a:moveTo>
                <a:cubicBezTo>
                  <a:pt x="2749892" y="2223879"/>
                  <a:pt x="2734512" y="2239470"/>
                  <a:pt x="2734512" y="2258699"/>
                </a:cubicBezTo>
                <a:cubicBezTo>
                  <a:pt x="2734512" y="2277928"/>
                  <a:pt x="2749892" y="2293519"/>
                  <a:pt x="2768859" y="2293519"/>
                </a:cubicBezTo>
                <a:cubicBezTo>
                  <a:pt x="2787826" y="2293519"/>
                  <a:pt x="2803206" y="2277928"/>
                  <a:pt x="2803206" y="2258699"/>
                </a:cubicBezTo>
                <a:cubicBezTo>
                  <a:pt x="2803206" y="2239470"/>
                  <a:pt x="2787826" y="2223879"/>
                  <a:pt x="2768859" y="2223879"/>
                </a:cubicBezTo>
                <a:close/>
                <a:moveTo>
                  <a:pt x="2852600" y="2223879"/>
                </a:moveTo>
                <a:cubicBezTo>
                  <a:pt x="2833633" y="2223879"/>
                  <a:pt x="2818254" y="2239470"/>
                  <a:pt x="2818254" y="2258699"/>
                </a:cubicBezTo>
                <a:cubicBezTo>
                  <a:pt x="2818254" y="2277928"/>
                  <a:pt x="2833633" y="2293519"/>
                  <a:pt x="2852600" y="2293519"/>
                </a:cubicBezTo>
                <a:cubicBezTo>
                  <a:pt x="2871567" y="2293519"/>
                  <a:pt x="2886947" y="2277928"/>
                  <a:pt x="2886947" y="2258699"/>
                </a:cubicBezTo>
                <a:cubicBezTo>
                  <a:pt x="2886947" y="2239470"/>
                  <a:pt x="2871567" y="2223879"/>
                  <a:pt x="2852600" y="2223879"/>
                </a:cubicBezTo>
                <a:close/>
                <a:moveTo>
                  <a:pt x="2936343" y="2223879"/>
                </a:moveTo>
                <a:cubicBezTo>
                  <a:pt x="2917376" y="2223879"/>
                  <a:pt x="2901996" y="2239470"/>
                  <a:pt x="2901996" y="2258699"/>
                </a:cubicBezTo>
                <a:cubicBezTo>
                  <a:pt x="2901996" y="2277928"/>
                  <a:pt x="2917376" y="2293519"/>
                  <a:pt x="2936343" y="2293519"/>
                </a:cubicBezTo>
                <a:cubicBezTo>
                  <a:pt x="2955310" y="2293519"/>
                  <a:pt x="2970689" y="2277928"/>
                  <a:pt x="2970689" y="2258699"/>
                </a:cubicBezTo>
                <a:cubicBezTo>
                  <a:pt x="2970689" y="2239470"/>
                  <a:pt x="2955310" y="2223879"/>
                  <a:pt x="2936343" y="2223879"/>
                </a:cubicBezTo>
                <a:close/>
                <a:moveTo>
                  <a:pt x="3020084" y="2223879"/>
                </a:moveTo>
                <a:cubicBezTo>
                  <a:pt x="3001117" y="2223879"/>
                  <a:pt x="2985737" y="2239470"/>
                  <a:pt x="2985737" y="2258699"/>
                </a:cubicBezTo>
                <a:cubicBezTo>
                  <a:pt x="2985737" y="2277928"/>
                  <a:pt x="3001117" y="2293519"/>
                  <a:pt x="3020084" y="2293519"/>
                </a:cubicBezTo>
                <a:cubicBezTo>
                  <a:pt x="3039051" y="2293519"/>
                  <a:pt x="3054431" y="2277928"/>
                  <a:pt x="3054431" y="2258699"/>
                </a:cubicBezTo>
                <a:cubicBezTo>
                  <a:pt x="3054431" y="2239470"/>
                  <a:pt x="3039051" y="2223879"/>
                  <a:pt x="3020084" y="2223879"/>
                </a:cubicBezTo>
                <a:close/>
                <a:moveTo>
                  <a:pt x="3187567" y="2223879"/>
                </a:moveTo>
                <a:cubicBezTo>
                  <a:pt x="3168600" y="2223879"/>
                  <a:pt x="3153221" y="2239470"/>
                  <a:pt x="3153221" y="2258699"/>
                </a:cubicBezTo>
                <a:cubicBezTo>
                  <a:pt x="3153221" y="2277928"/>
                  <a:pt x="3168600" y="2293519"/>
                  <a:pt x="3187567" y="2293519"/>
                </a:cubicBezTo>
                <a:cubicBezTo>
                  <a:pt x="3206534" y="2293519"/>
                  <a:pt x="3221914" y="2277928"/>
                  <a:pt x="3221914" y="2258699"/>
                </a:cubicBezTo>
                <a:cubicBezTo>
                  <a:pt x="3221914" y="2239470"/>
                  <a:pt x="3206534" y="2223879"/>
                  <a:pt x="3187567" y="2223879"/>
                </a:cubicBezTo>
                <a:close/>
                <a:moveTo>
                  <a:pt x="3355051" y="2223879"/>
                </a:moveTo>
                <a:cubicBezTo>
                  <a:pt x="3336084" y="2223879"/>
                  <a:pt x="3320704" y="2239470"/>
                  <a:pt x="3320704" y="2258699"/>
                </a:cubicBezTo>
                <a:cubicBezTo>
                  <a:pt x="3320704" y="2277928"/>
                  <a:pt x="3336084" y="2293519"/>
                  <a:pt x="3355051" y="2293519"/>
                </a:cubicBezTo>
                <a:cubicBezTo>
                  <a:pt x="3374018" y="2293519"/>
                  <a:pt x="3389398" y="2277928"/>
                  <a:pt x="3389398" y="2258699"/>
                </a:cubicBezTo>
                <a:cubicBezTo>
                  <a:pt x="3389398" y="2239470"/>
                  <a:pt x="3374018" y="2223879"/>
                  <a:pt x="3355051" y="2223879"/>
                </a:cubicBezTo>
                <a:close/>
                <a:moveTo>
                  <a:pt x="3438792" y="2223879"/>
                </a:moveTo>
                <a:cubicBezTo>
                  <a:pt x="3419825" y="2223879"/>
                  <a:pt x="3404445" y="2239470"/>
                  <a:pt x="3404445" y="2258699"/>
                </a:cubicBezTo>
                <a:cubicBezTo>
                  <a:pt x="3404445" y="2277928"/>
                  <a:pt x="3419825" y="2293519"/>
                  <a:pt x="3438792" y="2293519"/>
                </a:cubicBezTo>
                <a:cubicBezTo>
                  <a:pt x="3457759" y="2293519"/>
                  <a:pt x="3473139" y="2277928"/>
                  <a:pt x="3473139" y="2258699"/>
                </a:cubicBezTo>
                <a:cubicBezTo>
                  <a:pt x="3473139" y="2239470"/>
                  <a:pt x="3457759" y="2223879"/>
                  <a:pt x="3438792" y="2223879"/>
                </a:cubicBezTo>
                <a:close/>
                <a:moveTo>
                  <a:pt x="3522533" y="2223879"/>
                </a:moveTo>
                <a:cubicBezTo>
                  <a:pt x="3503566" y="2223879"/>
                  <a:pt x="3488187" y="2239470"/>
                  <a:pt x="3488187" y="2258699"/>
                </a:cubicBezTo>
                <a:cubicBezTo>
                  <a:pt x="3488187" y="2277928"/>
                  <a:pt x="3503566" y="2293519"/>
                  <a:pt x="3522533" y="2293519"/>
                </a:cubicBezTo>
                <a:cubicBezTo>
                  <a:pt x="3541500" y="2293519"/>
                  <a:pt x="3556880" y="2277928"/>
                  <a:pt x="3556880" y="2258699"/>
                </a:cubicBezTo>
                <a:cubicBezTo>
                  <a:pt x="3556880" y="2239470"/>
                  <a:pt x="3541500" y="2223879"/>
                  <a:pt x="3522533" y="2223879"/>
                </a:cubicBezTo>
                <a:close/>
                <a:moveTo>
                  <a:pt x="3773759" y="2223879"/>
                </a:moveTo>
                <a:cubicBezTo>
                  <a:pt x="3754792" y="2223879"/>
                  <a:pt x="3739412" y="2239470"/>
                  <a:pt x="3739412" y="2258699"/>
                </a:cubicBezTo>
                <a:cubicBezTo>
                  <a:pt x="3739412" y="2277928"/>
                  <a:pt x="3754792" y="2293519"/>
                  <a:pt x="3773759" y="2293519"/>
                </a:cubicBezTo>
                <a:cubicBezTo>
                  <a:pt x="3792726" y="2293519"/>
                  <a:pt x="3808106" y="2277928"/>
                  <a:pt x="3808106" y="2258699"/>
                </a:cubicBezTo>
                <a:cubicBezTo>
                  <a:pt x="3808106" y="2239470"/>
                  <a:pt x="3792726" y="2223879"/>
                  <a:pt x="3773759" y="2223879"/>
                </a:cubicBezTo>
                <a:close/>
                <a:moveTo>
                  <a:pt x="3857500" y="2223879"/>
                </a:moveTo>
                <a:cubicBezTo>
                  <a:pt x="3838533" y="2223879"/>
                  <a:pt x="3823154" y="2239470"/>
                  <a:pt x="3823154" y="2258699"/>
                </a:cubicBezTo>
                <a:cubicBezTo>
                  <a:pt x="3823154" y="2277928"/>
                  <a:pt x="3838533" y="2293519"/>
                  <a:pt x="3857500" y="2293519"/>
                </a:cubicBezTo>
                <a:cubicBezTo>
                  <a:pt x="3876467" y="2293519"/>
                  <a:pt x="3891847" y="2277928"/>
                  <a:pt x="3891847" y="2258699"/>
                </a:cubicBezTo>
                <a:cubicBezTo>
                  <a:pt x="3891847" y="2239470"/>
                  <a:pt x="3876467" y="2223879"/>
                  <a:pt x="3857500" y="2223879"/>
                </a:cubicBezTo>
                <a:close/>
                <a:moveTo>
                  <a:pt x="3941242" y="2223879"/>
                </a:moveTo>
                <a:cubicBezTo>
                  <a:pt x="3922275" y="2223879"/>
                  <a:pt x="3906895" y="2239470"/>
                  <a:pt x="3906895" y="2258699"/>
                </a:cubicBezTo>
                <a:cubicBezTo>
                  <a:pt x="3906895" y="2277928"/>
                  <a:pt x="3922275" y="2293519"/>
                  <a:pt x="3941242" y="2293519"/>
                </a:cubicBezTo>
                <a:cubicBezTo>
                  <a:pt x="3960209" y="2293519"/>
                  <a:pt x="3975588" y="2277928"/>
                  <a:pt x="3975588" y="2258699"/>
                </a:cubicBezTo>
                <a:cubicBezTo>
                  <a:pt x="3975588" y="2239470"/>
                  <a:pt x="3960209" y="2223879"/>
                  <a:pt x="3941242" y="2223879"/>
                </a:cubicBezTo>
                <a:close/>
                <a:moveTo>
                  <a:pt x="4024990" y="2223879"/>
                </a:moveTo>
                <a:cubicBezTo>
                  <a:pt x="4006023" y="2223879"/>
                  <a:pt x="3990643" y="2239470"/>
                  <a:pt x="3990643" y="2258699"/>
                </a:cubicBezTo>
                <a:cubicBezTo>
                  <a:pt x="3990643" y="2277928"/>
                  <a:pt x="4006023" y="2293519"/>
                  <a:pt x="4024990" y="2293519"/>
                </a:cubicBezTo>
                <a:cubicBezTo>
                  <a:pt x="4043957" y="2293519"/>
                  <a:pt x="4059337" y="2277928"/>
                  <a:pt x="4059337" y="2258699"/>
                </a:cubicBezTo>
                <a:cubicBezTo>
                  <a:pt x="4059337" y="2239470"/>
                  <a:pt x="4043957" y="2223879"/>
                  <a:pt x="4024990" y="2223879"/>
                </a:cubicBezTo>
                <a:close/>
                <a:moveTo>
                  <a:pt x="4108732" y="2223879"/>
                </a:moveTo>
                <a:cubicBezTo>
                  <a:pt x="4089765" y="2223879"/>
                  <a:pt x="4074386" y="2239470"/>
                  <a:pt x="4074386" y="2258699"/>
                </a:cubicBezTo>
                <a:cubicBezTo>
                  <a:pt x="4074386" y="2277928"/>
                  <a:pt x="4089765" y="2293519"/>
                  <a:pt x="4108732" y="2293519"/>
                </a:cubicBezTo>
                <a:cubicBezTo>
                  <a:pt x="4127699" y="2293519"/>
                  <a:pt x="4143079" y="2277928"/>
                  <a:pt x="4143079" y="2258699"/>
                </a:cubicBezTo>
                <a:cubicBezTo>
                  <a:pt x="4143079" y="2239470"/>
                  <a:pt x="4127699" y="2223879"/>
                  <a:pt x="4108732" y="2223879"/>
                </a:cubicBezTo>
                <a:close/>
                <a:moveTo>
                  <a:pt x="5699823" y="2223879"/>
                </a:moveTo>
                <a:cubicBezTo>
                  <a:pt x="5680856" y="2223879"/>
                  <a:pt x="5665476" y="2239470"/>
                  <a:pt x="5665476" y="2258699"/>
                </a:cubicBezTo>
                <a:cubicBezTo>
                  <a:pt x="5665476" y="2277928"/>
                  <a:pt x="5680856" y="2293519"/>
                  <a:pt x="5699823" y="2293519"/>
                </a:cubicBezTo>
                <a:cubicBezTo>
                  <a:pt x="5718790" y="2293519"/>
                  <a:pt x="5734170" y="2277928"/>
                  <a:pt x="5734170" y="2258699"/>
                </a:cubicBezTo>
                <a:cubicBezTo>
                  <a:pt x="5734170" y="2239470"/>
                  <a:pt x="5718790" y="2223879"/>
                  <a:pt x="5699823" y="2223879"/>
                </a:cubicBezTo>
                <a:close/>
                <a:moveTo>
                  <a:pt x="6202273" y="2223879"/>
                </a:moveTo>
                <a:cubicBezTo>
                  <a:pt x="6183306" y="2223879"/>
                  <a:pt x="6167920" y="2239470"/>
                  <a:pt x="6167920" y="2258699"/>
                </a:cubicBezTo>
                <a:cubicBezTo>
                  <a:pt x="6167920" y="2277928"/>
                  <a:pt x="6183306" y="2293519"/>
                  <a:pt x="6202273" y="2293519"/>
                </a:cubicBezTo>
                <a:cubicBezTo>
                  <a:pt x="6221240" y="2293519"/>
                  <a:pt x="6236613" y="2277928"/>
                  <a:pt x="6236613" y="2258699"/>
                </a:cubicBezTo>
                <a:cubicBezTo>
                  <a:pt x="6236613" y="2239470"/>
                  <a:pt x="6221240" y="2223879"/>
                  <a:pt x="6202273" y="2223879"/>
                </a:cubicBezTo>
                <a:close/>
                <a:moveTo>
                  <a:pt x="6453498" y="2223879"/>
                </a:moveTo>
                <a:cubicBezTo>
                  <a:pt x="6434531" y="2223879"/>
                  <a:pt x="6419144" y="2239470"/>
                  <a:pt x="6419144" y="2258699"/>
                </a:cubicBezTo>
                <a:cubicBezTo>
                  <a:pt x="6419144" y="2277928"/>
                  <a:pt x="6434531" y="2293519"/>
                  <a:pt x="6453498" y="2293519"/>
                </a:cubicBezTo>
                <a:cubicBezTo>
                  <a:pt x="6472465" y="2293519"/>
                  <a:pt x="6487838" y="2277928"/>
                  <a:pt x="6487838" y="2258699"/>
                </a:cubicBezTo>
                <a:cubicBezTo>
                  <a:pt x="6487838" y="2239470"/>
                  <a:pt x="6472465" y="2223879"/>
                  <a:pt x="6453498" y="2223879"/>
                </a:cubicBezTo>
                <a:close/>
                <a:moveTo>
                  <a:pt x="6537239" y="2223879"/>
                </a:moveTo>
                <a:cubicBezTo>
                  <a:pt x="6518272" y="2223879"/>
                  <a:pt x="6502886" y="2239470"/>
                  <a:pt x="6502886" y="2258699"/>
                </a:cubicBezTo>
                <a:cubicBezTo>
                  <a:pt x="6502886" y="2277928"/>
                  <a:pt x="6518272" y="2293519"/>
                  <a:pt x="6537239" y="2293519"/>
                </a:cubicBezTo>
                <a:cubicBezTo>
                  <a:pt x="6556206" y="2293519"/>
                  <a:pt x="6571579" y="2277928"/>
                  <a:pt x="6571579" y="2258699"/>
                </a:cubicBezTo>
                <a:cubicBezTo>
                  <a:pt x="6571579" y="2239470"/>
                  <a:pt x="6556206" y="2223879"/>
                  <a:pt x="6537239" y="2223879"/>
                </a:cubicBezTo>
                <a:close/>
                <a:moveTo>
                  <a:pt x="6620980" y="2223879"/>
                </a:moveTo>
                <a:cubicBezTo>
                  <a:pt x="6602013" y="2223879"/>
                  <a:pt x="6586627" y="2239470"/>
                  <a:pt x="6586627" y="2258699"/>
                </a:cubicBezTo>
                <a:cubicBezTo>
                  <a:pt x="6586627" y="2277928"/>
                  <a:pt x="6602013" y="2293519"/>
                  <a:pt x="6620980" y="2293519"/>
                </a:cubicBezTo>
                <a:cubicBezTo>
                  <a:pt x="6639947" y="2293519"/>
                  <a:pt x="6655320" y="2277928"/>
                  <a:pt x="6655320" y="2258699"/>
                </a:cubicBezTo>
                <a:cubicBezTo>
                  <a:pt x="6655320" y="2239470"/>
                  <a:pt x="6639947" y="2223879"/>
                  <a:pt x="6620980" y="2223879"/>
                </a:cubicBezTo>
                <a:close/>
                <a:moveTo>
                  <a:pt x="6704722" y="2223879"/>
                </a:moveTo>
                <a:cubicBezTo>
                  <a:pt x="6685755" y="2223879"/>
                  <a:pt x="6670369" y="2239470"/>
                  <a:pt x="6670369" y="2258699"/>
                </a:cubicBezTo>
                <a:cubicBezTo>
                  <a:pt x="6670369" y="2277928"/>
                  <a:pt x="6685755" y="2293519"/>
                  <a:pt x="6704722" y="2293519"/>
                </a:cubicBezTo>
                <a:cubicBezTo>
                  <a:pt x="6723689" y="2293519"/>
                  <a:pt x="6739063" y="2277928"/>
                  <a:pt x="6739063" y="2258699"/>
                </a:cubicBezTo>
                <a:cubicBezTo>
                  <a:pt x="6739063" y="2239470"/>
                  <a:pt x="6723689" y="2223879"/>
                  <a:pt x="6704722" y="2223879"/>
                </a:cubicBezTo>
                <a:close/>
                <a:moveTo>
                  <a:pt x="6788464" y="2223879"/>
                </a:moveTo>
                <a:cubicBezTo>
                  <a:pt x="6769497" y="2223879"/>
                  <a:pt x="6754110" y="2239470"/>
                  <a:pt x="6754110" y="2258699"/>
                </a:cubicBezTo>
                <a:cubicBezTo>
                  <a:pt x="6754110" y="2277928"/>
                  <a:pt x="6769497" y="2293519"/>
                  <a:pt x="6788464" y="2293519"/>
                </a:cubicBezTo>
                <a:cubicBezTo>
                  <a:pt x="6807431" y="2293519"/>
                  <a:pt x="6822804" y="2277928"/>
                  <a:pt x="6822804" y="2258699"/>
                </a:cubicBezTo>
                <a:cubicBezTo>
                  <a:pt x="6822804" y="2239470"/>
                  <a:pt x="6807431" y="2223879"/>
                  <a:pt x="6788464" y="2223879"/>
                </a:cubicBezTo>
                <a:close/>
                <a:moveTo>
                  <a:pt x="6872206" y="2223879"/>
                </a:moveTo>
                <a:cubicBezTo>
                  <a:pt x="6853239" y="2223879"/>
                  <a:pt x="6837853" y="2239470"/>
                  <a:pt x="6837853" y="2258699"/>
                </a:cubicBezTo>
                <a:cubicBezTo>
                  <a:pt x="6837853" y="2277928"/>
                  <a:pt x="6853239" y="2293519"/>
                  <a:pt x="6872206" y="2293519"/>
                </a:cubicBezTo>
                <a:cubicBezTo>
                  <a:pt x="6891173" y="2293519"/>
                  <a:pt x="6906546" y="2277928"/>
                  <a:pt x="6906546" y="2258699"/>
                </a:cubicBezTo>
                <a:cubicBezTo>
                  <a:pt x="6906546" y="2239470"/>
                  <a:pt x="6891173" y="2223879"/>
                  <a:pt x="6872206" y="2223879"/>
                </a:cubicBezTo>
                <a:close/>
                <a:moveTo>
                  <a:pt x="6955947" y="2223879"/>
                </a:moveTo>
                <a:cubicBezTo>
                  <a:pt x="6936980" y="2223879"/>
                  <a:pt x="6921594" y="2239470"/>
                  <a:pt x="6921594" y="2258699"/>
                </a:cubicBezTo>
                <a:cubicBezTo>
                  <a:pt x="6921594" y="2277928"/>
                  <a:pt x="6936980" y="2293519"/>
                  <a:pt x="6955947" y="2293519"/>
                </a:cubicBezTo>
                <a:cubicBezTo>
                  <a:pt x="6974914" y="2293519"/>
                  <a:pt x="6990287" y="2277928"/>
                  <a:pt x="6990287" y="2258699"/>
                </a:cubicBezTo>
                <a:cubicBezTo>
                  <a:pt x="6990287" y="2239470"/>
                  <a:pt x="6974914" y="2223879"/>
                  <a:pt x="6955947" y="2223879"/>
                </a:cubicBezTo>
                <a:close/>
                <a:moveTo>
                  <a:pt x="7039688" y="2223879"/>
                </a:moveTo>
                <a:cubicBezTo>
                  <a:pt x="7020721" y="2223879"/>
                  <a:pt x="7005335" y="2239470"/>
                  <a:pt x="7005335" y="2258699"/>
                </a:cubicBezTo>
                <a:cubicBezTo>
                  <a:pt x="7005335" y="2277928"/>
                  <a:pt x="7020721" y="2293519"/>
                  <a:pt x="7039688" y="2293519"/>
                </a:cubicBezTo>
                <a:cubicBezTo>
                  <a:pt x="7058655" y="2293519"/>
                  <a:pt x="7074029" y="2277928"/>
                  <a:pt x="7074029" y="2258699"/>
                </a:cubicBezTo>
                <a:cubicBezTo>
                  <a:pt x="7074029" y="2239470"/>
                  <a:pt x="7058655" y="2223879"/>
                  <a:pt x="7039688" y="2223879"/>
                </a:cubicBezTo>
                <a:close/>
                <a:moveTo>
                  <a:pt x="7123456" y="2223879"/>
                </a:moveTo>
                <a:cubicBezTo>
                  <a:pt x="7104489" y="2223879"/>
                  <a:pt x="7089103" y="2239470"/>
                  <a:pt x="7089103" y="2258699"/>
                </a:cubicBezTo>
                <a:cubicBezTo>
                  <a:pt x="7089103" y="2277928"/>
                  <a:pt x="7104489" y="2293519"/>
                  <a:pt x="7123456" y="2293519"/>
                </a:cubicBezTo>
                <a:cubicBezTo>
                  <a:pt x="7142423" y="2293519"/>
                  <a:pt x="7157796" y="2277928"/>
                  <a:pt x="7157796" y="2258699"/>
                </a:cubicBezTo>
                <a:cubicBezTo>
                  <a:pt x="7157796" y="2239470"/>
                  <a:pt x="7142423" y="2223879"/>
                  <a:pt x="7123456" y="2223879"/>
                </a:cubicBezTo>
                <a:close/>
                <a:moveTo>
                  <a:pt x="7207198" y="2223879"/>
                </a:moveTo>
                <a:cubicBezTo>
                  <a:pt x="7188231" y="2223879"/>
                  <a:pt x="7172845" y="2239470"/>
                  <a:pt x="7172845" y="2258699"/>
                </a:cubicBezTo>
                <a:cubicBezTo>
                  <a:pt x="7172845" y="2277928"/>
                  <a:pt x="7188231" y="2293519"/>
                  <a:pt x="7207198" y="2293519"/>
                </a:cubicBezTo>
                <a:cubicBezTo>
                  <a:pt x="7226165" y="2293519"/>
                  <a:pt x="7241538" y="2277928"/>
                  <a:pt x="7241538" y="2258699"/>
                </a:cubicBezTo>
                <a:cubicBezTo>
                  <a:pt x="7241538" y="2239470"/>
                  <a:pt x="7226165" y="2223879"/>
                  <a:pt x="7207198" y="2223879"/>
                </a:cubicBezTo>
                <a:close/>
                <a:moveTo>
                  <a:pt x="7290939" y="2223879"/>
                </a:moveTo>
                <a:cubicBezTo>
                  <a:pt x="7271972" y="2223879"/>
                  <a:pt x="7256586" y="2239470"/>
                  <a:pt x="7256586" y="2258699"/>
                </a:cubicBezTo>
                <a:cubicBezTo>
                  <a:pt x="7256586" y="2277928"/>
                  <a:pt x="7271972" y="2293519"/>
                  <a:pt x="7290939" y="2293519"/>
                </a:cubicBezTo>
                <a:cubicBezTo>
                  <a:pt x="7309906" y="2293519"/>
                  <a:pt x="7325279" y="2277928"/>
                  <a:pt x="7325279" y="2258699"/>
                </a:cubicBezTo>
                <a:cubicBezTo>
                  <a:pt x="7325279" y="2239470"/>
                  <a:pt x="7309906" y="2223879"/>
                  <a:pt x="7290939" y="2223879"/>
                </a:cubicBezTo>
                <a:close/>
                <a:moveTo>
                  <a:pt x="7374681" y="2223879"/>
                </a:moveTo>
                <a:cubicBezTo>
                  <a:pt x="7355714" y="2223879"/>
                  <a:pt x="7340328" y="2239470"/>
                  <a:pt x="7340328" y="2258699"/>
                </a:cubicBezTo>
                <a:cubicBezTo>
                  <a:pt x="7340328" y="2277928"/>
                  <a:pt x="7355714" y="2293519"/>
                  <a:pt x="7374681" y="2293519"/>
                </a:cubicBezTo>
                <a:cubicBezTo>
                  <a:pt x="7393648" y="2293519"/>
                  <a:pt x="7409022" y="2277928"/>
                  <a:pt x="7409022" y="2258699"/>
                </a:cubicBezTo>
                <a:cubicBezTo>
                  <a:pt x="7409022" y="2239470"/>
                  <a:pt x="7393648" y="2223879"/>
                  <a:pt x="7374681" y="2223879"/>
                </a:cubicBezTo>
                <a:close/>
                <a:moveTo>
                  <a:pt x="7458423" y="2223879"/>
                </a:moveTo>
                <a:cubicBezTo>
                  <a:pt x="7439456" y="2223879"/>
                  <a:pt x="7424070" y="2239470"/>
                  <a:pt x="7424070" y="2258699"/>
                </a:cubicBezTo>
                <a:cubicBezTo>
                  <a:pt x="7424070" y="2277928"/>
                  <a:pt x="7439456" y="2293519"/>
                  <a:pt x="7458423" y="2293519"/>
                </a:cubicBezTo>
                <a:cubicBezTo>
                  <a:pt x="7477390" y="2293519"/>
                  <a:pt x="7492763" y="2277928"/>
                  <a:pt x="7492763" y="2258699"/>
                </a:cubicBezTo>
                <a:cubicBezTo>
                  <a:pt x="7492763" y="2239470"/>
                  <a:pt x="7477390" y="2223879"/>
                  <a:pt x="7458423" y="2223879"/>
                </a:cubicBezTo>
                <a:close/>
                <a:moveTo>
                  <a:pt x="7542164" y="2223879"/>
                </a:moveTo>
                <a:cubicBezTo>
                  <a:pt x="7523197" y="2223879"/>
                  <a:pt x="7507811" y="2239470"/>
                  <a:pt x="7507811" y="2258699"/>
                </a:cubicBezTo>
                <a:cubicBezTo>
                  <a:pt x="7507811" y="2277928"/>
                  <a:pt x="7523197" y="2293519"/>
                  <a:pt x="7542164" y="2293519"/>
                </a:cubicBezTo>
                <a:cubicBezTo>
                  <a:pt x="7561131" y="2293519"/>
                  <a:pt x="7576504" y="2277928"/>
                  <a:pt x="7576504" y="2258699"/>
                </a:cubicBezTo>
                <a:cubicBezTo>
                  <a:pt x="7576504" y="2239470"/>
                  <a:pt x="7561131" y="2223879"/>
                  <a:pt x="7542164" y="2223879"/>
                </a:cubicBezTo>
                <a:close/>
                <a:moveTo>
                  <a:pt x="7625906" y="2223879"/>
                </a:moveTo>
                <a:cubicBezTo>
                  <a:pt x="7606939" y="2223879"/>
                  <a:pt x="7591553" y="2239470"/>
                  <a:pt x="7591553" y="2258699"/>
                </a:cubicBezTo>
                <a:cubicBezTo>
                  <a:pt x="7591553" y="2277928"/>
                  <a:pt x="7606939" y="2293519"/>
                  <a:pt x="7625906" y="2293519"/>
                </a:cubicBezTo>
                <a:cubicBezTo>
                  <a:pt x="7644873" y="2293519"/>
                  <a:pt x="7660246" y="2277928"/>
                  <a:pt x="7660246" y="2258699"/>
                </a:cubicBezTo>
                <a:cubicBezTo>
                  <a:pt x="7660246" y="2239470"/>
                  <a:pt x="7644873" y="2223879"/>
                  <a:pt x="7625906" y="2223879"/>
                </a:cubicBezTo>
                <a:close/>
                <a:moveTo>
                  <a:pt x="7709647" y="2223879"/>
                </a:moveTo>
                <a:cubicBezTo>
                  <a:pt x="7690680" y="2223879"/>
                  <a:pt x="7675294" y="2239470"/>
                  <a:pt x="7675294" y="2258699"/>
                </a:cubicBezTo>
                <a:cubicBezTo>
                  <a:pt x="7675294" y="2277928"/>
                  <a:pt x="7690680" y="2293519"/>
                  <a:pt x="7709647" y="2293519"/>
                </a:cubicBezTo>
                <a:cubicBezTo>
                  <a:pt x="7728614" y="2293519"/>
                  <a:pt x="7743988" y="2277928"/>
                  <a:pt x="7743988" y="2258699"/>
                </a:cubicBezTo>
                <a:cubicBezTo>
                  <a:pt x="7743988" y="2239470"/>
                  <a:pt x="7728614" y="2223879"/>
                  <a:pt x="7709647" y="2223879"/>
                </a:cubicBezTo>
                <a:close/>
                <a:moveTo>
                  <a:pt x="7793389" y="2223879"/>
                </a:moveTo>
                <a:cubicBezTo>
                  <a:pt x="7774422" y="2223879"/>
                  <a:pt x="7759036" y="2239470"/>
                  <a:pt x="7759036" y="2258699"/>
                </a:cubicBezTo>
                <a:cubicBezTo>
                  <a:pt x="7759036" y="2277928"/>
                  <a:pt x="7774422" y="2293519"/>
                  <a:pt x="7793389" y="2293519"/>
                </a:cubicBezTo>
                <a:cubicBezTo>
                  <a:pt x="7812356" y="2293519"/>
                  <a:pt x="7827729" y="2277928"/>
                  <a:pt x="7827729" y="2258699"/>
                </a:cubicBezTo>
                <a:cubicBezTo>
                  <a:pt x="7827729" y="2239470"/>
                  <a:pt x="7812356" y="2223879"/>
                  <a:pt x="7793389" y="2223879"/>
                </a:cubicBezTo>
                <a:close/>
                <a:moveTo>
                  <a:pt x="7877131" y="2223879"/>
                </a:moveTo>
                <a:cubicBezTo>
                  <a:pt x="7858164" y="2223879"/>
                  <a:pt x="7842778" y="2239470"/>
                  <a:pt x="7842778" y="2258699"/>
                </a:cubicBezTo>
                <a:cubicBezTo>
                  <a:pt x="7842778" y="2277928"/>
                  <a:pt x="7858164" y="2293519"/>
                  <a:pt x="7877131" y="2293519"/>
                </a:cubicBezTo>
                <a:cubicBezTo>
                  <a:pt x="7896098" y="2293519"/>
                  <a:pt x="7911471" y="2277928"/>
                  <a:pt x="7911471" y="2258699"/>
                </a:cubicBezTo>
                <a:cubicBezTo>
                  <a:pt x="7911471" y="2239470"/>
                  <a:pt x="7896098" y="2223879"/>
                  <a:pt x="7877131" y="2223879"/>
                </a:cubicBezTo>
                <a:close/>
                <a:moveTo>
                  <a:pt x="7960872" y="2223879"/>
                </a:moveTo>
                <a:cubicBezTo>
                  <a:pt x="7941905" y="2223879"/>
                  <a:pt x="7926519" y="2239470"/>
                  <a:pt x="7926519" y="2258699"/>
                </a:cubicBezTo>
                <a:cubicBezTo>
                  <a:pt x="7926519" y="2277928"/>
                  <a:pt x="7941905" y="2293519"/>
                  <a:pt x="7960872" y="2293519"/>
                </a:cubicBezTo>
                <a:cubicBezTo>
                  <a:pt x="7979839" y="2293519"/>
                  <a:pt x="7995212" y="2277928"/>
                  <a:pt x="7995212" y="2258699"/>
                </a:cubicBezTo>
                <a:cubicBezTo>
                  <a:pt x="7995212" y="2239470"/>
                  <a:pt x="7979839" y="2223879"/>
                  <a:pt x="7960872" y="2223879"/>
                </a:cubicBezTo>
                <a:close/>
                <a:moveTo>
                  <a:pt x="8044614" y="2223879"/>
                </a:moveTo>
                <a:cubicBezTo>
                  <a:pt x="8025647" y="2223879"/>
                  <a:pt x="8010261" y="2239470"/>
                  <a:pt x="8010261" y="2258699"/>
                </a:cubicBezTo>
                <a:cubicBezTo>
                  <a:pt x="8010261" y="2277928"/>
                  <a:pt x="8025647" y="2293519"/>
                  <a:pt x="8044614" y="2293519"/>
                </a:cubicBezTo>
                <a:cubicBezTo>
                  <a:pt x="8063581" y="2293519"/>
                  <a:pt x="8078955" y="2277928"/>
                  <a:pt x="8078955" y="2258699"/>
                </a:cubicBezTo>
                <a:cubicBezTo>
                  <a:pt x="8078955" y="2239470"/>
                  <a:pt x="8063581" y="2223879"/>
                  <a:pt x="8044614" y="2223879"/>
                </a:cubicBezTo>
                <a:close/>
                <a:moveTo>
                  <a:pt x="8128356" y="2223879"/>
                </a:moveTo>
                <a:cubicBezTo>
                  <a:pt x="8109389" y="2223879"/>
                  <a:pt x="8094003" y="2239470"/>
                  <a:pt x="8094003" y="2258699"/>
                </a:cubicBezTo>
                <a:cubicBezTo>
                  <a:pt x="8094003" y="2277928"/>
                  <a:pt x="8109389" y="2293519"/>
                  <a:pt x="8128356" y="2293519"/>
                </a:cubicBezTo>
                <a:cubicBezTo>
                  <a:pt x="8147323" y="2293519"/>
                  <a:pt x="8162696" y="2277928"/>
                  <a:pt x="8162696" y="2258699"/>
                </a:cubicBezTo>
                <a:cubicBezTo>
                  <a:pt x="8162696" y="2239470"/>
                  <a:pt x="8147323" y="2223879"/>
                  <a:pt x="8128356" y="2223879"/>
                </a:cubicBezTo>
                <a:close/>
                <a:moveTo>
                  <a:pt x="8212097" y="2223879"/>
                </a:moveTo>
                <a:cubicBezTo>
                  <a:pt x="8193130" y="2223879"/>
                  <a:pt x="8177744" y="2239470"/>
                  <a:pt x="8177744" y="2258699"/>
                </a:cubicBezTo>
                <a:cubicBezTo>
                  <a:pt x="8177744" y="2277928"/>
                  <a:pt x="8193130" y="2293519"/>
                  <a:pt x="8212097" y="2293519"/>
                </a:cubicBezTo>
                <a:cubicBezTo>
                  <a:pt x="8231064" y="2293519"/>
                  <a:pt x="8246437" y="2277928"/>
                  <a:pt x="8246437" y="2258699"/>
                </a:cubicBezTo>
                <a:cubicBezTo>
                  <a:pt x="8246437" y="2239470"/>
                  <a:pt x="8231064" y="2223879"/>
                  <a:pt x="8212097" y="2223879"/>
                </a:cubicBezTo>
                <a:close/>
                <a:moveTo>
                  <a:pt x="8295839" y="2223879"/>
                </a:moveTo>
                <a:cubicBezTo>
                  <a:pt x="8276872" y="2223879"/>
                  <a:pt x="8261486" y="2239470"/>
                  <a:pt x="8261486" y="2258699"/>
                </a:cubicBezTo>
                <a:cubicBezTo>
                  <a:pt x="8261486" y="2277928"/>
                  <a:pt x="8276872" y="2293519"/>
                  <a:pt x="8295839" y="2293519"/>
                </a:cubicBezTo>
                <a:cubicBezTo>
                  <a:pt x="8314806" y="2293519"/>
                  <a:pt x="8330179" y="2277928"/>
                  <a:pt x="8330179" y="2258699"/>
                </a:cubicBezTo>
                <a:cubicBezTo>
                  <a:pt x="8330179" y="2239470"/>
                  <a:pt x="8314806" y="2223879"/>
                  <a:pt x="8295839" y="2223879"/>
                </a:cubicBezTo>
                <a:close/>
                <a:moveTo>
                  <a:pt x="8379580" y="2223879"/>
                </a:moveTo>
                <a:cubicBezTo>
                  <a:pt x="8360613" y="2223879"/>
                  <a:pt x="8345227" y="2239470"/>
                  <a:pt x="8345227" y="2258699"/>
                </a:cubicBezTo>
                <a:cubicBezTo>
                  <a:pt x="8345227" y="2277928"/>
                  <a:pt x="8360613" y="2293519"/>
                  <a:pt x="8379580" y="2293519"/>
                </a:cubicBezTo>
                <a:cubicBezTo>
                  <a:pt x="8398547" y="2293519"/>
                  <a:pt x="8413921" y="2277928"/>
                  <a:pt x="8413921" y="2258699"/>
                </a:cubicBezTo>
                <a:cubicBezTo>
                  <a:pt x="8413921" y="2239470"/>
                  <a:pt x="8398547" y="2223879"/>
                  <a:pt x="8379580" y="2223879"/>
                </a:cubicBezTo>
                <a:close/>
                <a:moveTo>
                  <a:pt x="8463323" y="2223879"/>
                </a:moveTo>
                <a:cubicBezTo>
                  <a:pt x="8444356" y="2223879"/>
                  <a:pt x="8428970" y="2239470"/>
                  <a:pt x="8428970" y="2258699"/>
                </a:cubicBezTo>
                <a:cubicBezTo>
                  <a:pt x="8428970" y="2277928"/>
                  <a:pt x="8444356" y="2293519"/>
                  <a:pt x="8463323" y="2293519"/>
                </a:cubicBezTo>
                <a:cubicBezTo>
                  <a:pt x="8482290" y="2293519"/>
                  <a:pt x="8497663" y="2277928"/>
                  <a:pt x="8497663" y="2258699"/>
                </a:cubicBezTo>
                <a:cubicBezTo>
                  <a:pt x="8497663" y="2239470"/>
                  <a:pt x="8482290" y="2223879"/>
                  <a:pt x="8463323" y="2223879"/>
                </a:cubicBezTo>
                <a:close/>
                <a:moveTo>
                  <a:pt x="8547064" y="2223879"/>
                </a:moveTo>
                <a:cubicBezTo>
                  <a:pt x="8528097" y="2223879"/>
                  <a:pt x="8512711" y="2239470"/>
                  <a:pt x="8512711" y="2258699"/>
                </a:cubicBezTo>
                <a:cubicBezTo>
                  <a:pt x="8512711" y="2277928"/>
                  <a:pt x="8528097" y="2293519"/>
                  <a:pt x="8547064" y="2293519"/>
                </a:cubicBezTo>
                <a:cubicBezTo>
                  <a:pt x="8566031" y="2293519"/>
                  <a:pt x="8581404" y="2277928"/>
                  <a:pt x="8581404" y="2258699"/>
                </a:cubicBezTo>
                <a:cubicBezTo>
                  <a:pt x="8581404" y="2239470"/>
                  <a:pt x="8566031" y="2223879"/>
                  <a:pt x="8547064" y="2223879"/>
                </a:cubicBezTo>
                <a:close/>
                <a:moveTo>
                  <a:pt x="8630805" y="2223879"/>
                </a:moveTo>
                <a:cubicBezTo>
                  <a:pt x="8611838" y="2223879"/>
                  <a:pt x="8596452" y="2239470"/>
                  <a:pt x="8596452" y="2258699"/>
                </a:cubicBezTo>
                <a:cubicBezTo>
                  <a:pt x="8596452" y="2277928"/>
                  <a:pt x="8611838" y="2293519"/>
                  <a:pt x="8630805" y="2293519"/>
                </a:cubicBezTo>
                <a:cubicBezTo>
                  <a:pt x="8649772" y="2293519"/>
                  <a:pt x="8665145" y="2277928"/>
                  <a:pt x="8665145" y="2258699"/>
                </a:cubicBezTo>
                <a:cubicBezTo>
                  <a:pt x="8665145" y="2239470"/>
                  <a:pt x="8649772" y="2223879"/>
                  <a:pt x="8630805" y="2223879"/>
                </a:cubicBezTo>
                <a:close/>
                <a:moveTo>
                  <a:pt x="8714547" y="2223879"/>
                </a:moveTo>
                <a:cubicBezTo>
                  <a:pt x="8695580" y="2223879"/>
                  <a:pt x="8680194" y="2239470"/>
                  <a:pt x="8680194" y="2258699"/>
                </a:cubicBezTo>
                <a:cubicBezTo>
                  <a:pt x="8680194" y="2277928"/>
                  <a:pt x="8695580" y="2293519"/>
                  <a:pt x="8714547" y="2293519"/>
                </a:cubicBezTo>
                <a:cubicBezTo>
                  <a:pt x="8733514" y="2293519"/>
                  <a:pt x="8748888" y="2277928"/>
                  <a:pt x="8748888" y="2258699"/>
                </a:cubicBezTo>
                <a:cubicBezTo>
                  <a:pt x="8748888" y="2239470"/>
                  <a:pt x="8733514" y="2223879"/>
                  <a:pt x="8714547" y="2223879"/>
                </a:cubicBezTo>
                <a:close/>
                <a:moveTo>
                  <a:pt x="8798289" y="2223879"/>
                </a:moveTo>
                <a:cubicBezTo>
                  <a:pt x="8779322" y="2223879"/>
                  <a:pt x="8763936" y="2239470"/>
                  <a:pt x="8763936" y="2258699"/>
                </a:cubicBezTo>
                <a:cubicBezTo>
                  <a:pt x="8763936" y="2277928"/>
                  <a:pt x="8779322" y="2293519"/>
                  <a:pt x="8798289" y="2293519"/>
                </a:cubicBezTo>
                <a:cubicBezTo>
                  <a:pt x="8817256" y="2293519"/>
                  <a:pt x="8832629" y="2277928"/>
                  <a:pt x="8832629" y="2258699"/>
                </a:cubicBezTo>
                <a:cubicBezTo>
                  <a:pt x="8832629" y="2239470"/>
                  <a:pt x="8817256" y="2223879"/>
                  <a:pt x="8798289" y="2223879"/>
                </a:cubicBezTo>
                <a:close/>
                <a:moveTo>
                  <a:pt x="8965772" y="2223879"/>
                </a:moveTo>
                <a:cubicBezTo>
                  <a:pt x="8946805" y="2223879"/>
                  <a:pt x="8931419" y="2239470"/>
                  <a:pt x="8931419" y="2258699"/>
                </a:cubicBezTo>
                <a:cubicBezTo>
                  <a:pt x="8931419" y="2277928"/>
                  <a:pt x="8946805" y="2293519"/>
                  <a:pt x="8965772" y="2293519"/>
                </a:cubicBezTo>
                <a:cubicBezTo>
                  <a:pt x="8984739" y="2293519"/>
                  <a:pt x="9000112" y="2277928"/>
                  <a:pt x="9000112" y="2258699"/>
                </a:cubicBezTo>
                <a:cubicBezTo>
                  <a:pt x="9000112" y="2239470"/>
                  <a:pt x="8984739" y="2223879"/>
                  <a:pt x="8965772" y="2223879"/>
                </a:cubicBezTo>
                <a:close/>
                <a:moveTo>
                  <a:pt x="9049513" y="2223879"/>
                </a:moveTo>
                <a:cubicBezTo>
                  <a:pt x="9030546" y="2223879"/>
                  <a:pt x="9015160" y="2239470"/>
                  <a:pt x="9015160" y="2258699"/>
                </a:cubicBezTo>
                <a:cubicBezTo>
                  <a:pt x="9015160" y="2277928"/>
                  <a:pt x="9030546" y="2293519"/>
                  <a:pt x="9049513" y="2293519"/>
                </a:cubicBezTo>
                <a:cubicBezTo>
                  <a:pt x="9068480" y="2293519"/>
                  <a:pt x="9083854" y="2277928"/>
                  <a:pt x="9083854" y="2258699"/>
                </a:cubicBezTo>
                <a:cubicBezTo>
                  <a:pt x="9083854" y="2239470"/>
                  <a:pt x="9068480" y="2223879"/>
                  <a:pt x="9049513" y="2223879"/>
                </a:cubicBezTo>
                <a:close/>
                <a:moveTo>
                  <a:pt x="9133256" y="2223879"/>
                </a:moveTo>
                <a:cubicBezTo>
                  <a:pt x="9114289" y="2223879"/>
                  <a:pt x="9098903" y="2239470"/>
                  <a:pt x="9098903" y="2258699"/>
                </a:cubicBezTo>
                <a:cubicBezTo>
                  <a:pt x="9098903" y="2277928"/>
                  <a:pt x="9114289" y="2293519"/>
                  <a:pt x="9133256" y="2293519"/>
                </a:cubicBezTo>
                <a:cubicBezTo>
                  <a:pt x="9152223" y="2293519"/>
                  <a:pt x="9167596" y="2277928"/>
                  <a:pt x="9167596" y="2258699"/>
                </a:cubicBezTo>
                <a:cubicBezTo>
                  <a:pt x="9167596" y="2239470"/>
                  <a:pt x="9152223" y="2223879"/>
                  <a:pt x="9133256" y="2223879"/>
                </a:cubicBezTo>
                <a:close/>
                <a:moveTo>
                  <a:pt x="9216997" y="2223879"/>
                </a:moveTo>
                <a:cubicBezTo>
                  <a:pt x="9198030" y="2223879"/>
                  <a:pt x="9182644" y="2239470"/>
                  <a:pt x="9182644" y="2258699"/>
                </a:cubicBezTo>
                <a:cubicBezTo>
                  <a:pt x="9182644" y="2277928"/>
                  <a:pt x="9198030" y="2293519"/>
                  <a:pt x="9216997" y="2293519"/>
                </a:cubicBezTo>
                <a:cubicBezTo>
                  <a:pt x="9235964" y="2293519"/>
                  <a:pt x="9251337" y="2277928"/>
                  <a:pt x="9251337" y="2258699"/>
                </a:cubicBezTo>
                <a:cubicBezTo>
                  <a:pt x="9251337" y="2239470"/>
                  <a:pt x="9235964" y="2223879"/>
                  <a:pt x="9216997" y="2223879"/>
                </a:cubicBezTo>
                <a:close/>
                <a:moveTo>
                  <a:pt x="9300738" y="2223879"/>
                </a:moveTo>
                <a:cubicBezTo>
                  <a:pt x="9281771" y="2223879"/>
                  <a:pt x="9266385" y="2239470"/>
                  <a:pt x="9266385" y="2258699"/>
                </a:cubicBezTo>
                <a:cubicBezTo>
                  <a:pt x="9266385" y="2277928"/>
                  <a:pt x="9281771" y="2293519"/>
                  <a:pt x="9300738" y="2293519"/>
                </a:cubicBezTo>
                <a:cubicBezTo>
                  <a:pt x="9319705" y="2293519"/>
                  <a:pt x="9335078" y="2277928"/>
                  <a:pt x="9335078" y="2258699"/>
                </a:cubicBezTo>
                <a:cubicBezTo>
                  <a:pt x="9335078" y="2239470"/>
                  <a:pt x="9319705" y="2223879"/>
                  <a:pt x="9300738" y="2223879"/>
                </a:cubicBezTo>
                <a:close/>
                <a:moveTo>
                  <a:pt x="9384480" y="2223879"/>
                </a:moveTo>
                <a:cubicBezTo>
                  <a:pt x="9365513" y="2223879"/>
                  <a:pt x="9350127" y="2239470"/>
                  <a:pt x="9350127" y="2258699"/>
                </a:cubicBezTo>
                <a:cubicBezTo>
                  <a:pt x="9350127" y="2277928"/>
                  <a:pt x="9365513" y="2293519"/>
                  <a:pt x="9384480" y="2293519"/>
                </a:cubicBezTo>
                <a:cubicBezTo>
                  <a:pt x="9403447" y="2293519"/>
                  <a:pt x="9418821" y="2277928"/>
                  <a:pt x="9418821" y="2258699"/>
                </a:cubicBezTo>
                <a:cubicBezTo>
                  <a:pt x="9418821" y="2239470"/>
                  <a:pt x="9403447" y="2223879"/>
                  <a:pt x="9384480" y="2223879"/>
                </a:cubicBezTo>
                <a:close/>
                <a:moveTo>
                  <a:pt x="9468222" y="2223879"/>
                </a:moveTo>
                <a:cubicBezTo>
                  <a:pt x="9449255" y="2223879"/>
                  <a:pt x="9433869" y="2239470"/>
                  <a:pt x="9433869" y="2258699"/>
                </a:cubicBezTo>
                <a:cubicBezTo>
                  <a:pt x="9433869" y="2277928"/>
                  <a:pt x="9449255" y="2293519"/>
                  <a:pt x="9468222" y="2293519"/>
                </a:cubicBezTo>
                <a:cubicBezTo>
                  <a:pt x="9487189" y="2293519"/>
                  <a:pt x="9502562" y="2277928"/>
                  <a:pt x="9502562" y="2258699"/>
                </a:cubicBezTo>
                <a:cubicBezTo>
                  <a:pt x="9502562" y="2239470"/>
                  <a:pt x="9487189" y="2223879"/>
                  <a:pt x="9468222" y="2223879"/>
                </a:cubicBezTo>
                <a:close/>
                <a:moveTo>
                  <a:pt x="9551963" y="2223879"/>
                </a:moveTo>
                <a:cubicBezTo>
                  <a:pt x="9532996" y="2223879"/>
                  <a:pt x="9517610" y="2239470"/>
                  <a:pt x="9517610" y="2258699"/>
                </a:cubicBezTo>
                <a:cubicBezTo>
                  <a:pt x="9517610" y="2277928"/>
                  <a:pt x="9532996" y="2293519"/>
                  <a:pt x="9551963" y="2293519"/>
                </a:cubicBezTo>
                <a:cubicBezTo>
                  <a:pt x="9570930" y="2293519"/>
                  <a:pt x="9586303" y="2277928"/>
                  <a:pt x="9586303" y="2258699"/>
                </a:cubicBezTo>
                <a:cubicBezTo>
                  <a:pt x="9586303" y="2239470"/>
                  <a:pt x="9570930" y="2223879"/>
                  <a:pt x="9551963" y="2223879"/>
                </a:cubicBezTo>
                <a:close/>
                <a:moveTo>
                  <a:pt x="9635705" y="2223879"/>
                </a:moveTo>
                <a:cubicBezTo>
                  <a:pt x="9616738" y="2223879"/>
                  <a:pt x="9601352" y="2239470"/>
                  <a:pt x="9601352" y="2258699"/>
                </a:cubicBezTo>
                <a:cubicBezTo>
                  <a:pt x="9601352" y="2277928"/>
                  <a:pt x="9616738" y="2293519"/>
                  <a:pt x="9635705" y="2293519"/>
                </a:cubicBezTo>
                <a:cubicBezTo>
                  <a:pt x="9654672" y="2293519"/>
                  <a:pt x="9670045" y="2277928"/>
                  <a:pt x="9670045" y="2258699"/>
                </a:cubicBezTo>
                <a:cubicBezTo>
                  <a:pt x="9670045" y="2239470"/>
                  <a:pt x="9654672" y="2223879"/>
                  <a:pt x="9635705" y="2223879"/>
                </a:cubicBezTo>
                <a:close/>
                <a:moveTo>
                  <a:pt x="9719446" y="2223879"/>
                </a:moveTo>
                <a:cubicBezTo>
                  <a:pt x="9700479" y="2223879"/>
                  <a:pt x="9685093" y="2239470"/>
                  <a:pt x="9685093" y="2258699"/>
                </a:cubicBezTo>
                <a:cubicBezTo>
                  <a:pt x="9685093" y="2277928"/>
                  <a:pt x="9700479" y="2293519"/>
                  <a:pt x="9719446" y="2293519"/>
                </a:cubicBezTo>
                <a:cubicBezTo>
                  <a:pt x="9738413" y="2293519"/>
                  <a:pt x="9753787" y="2277928"/>
                  <a:pt x="9753787" y="2258699"/>
                </a:cubicBezTo>
                <a:cubicBezTo>
                  <a:pt x="9753787" y="2239470"/>
                  <a:pt x="9738413" y="2223879"/>
                  <a:pt x="9719446" y="2223879"/>
                </a:cubicBezTo>
                <a:close/>
                <a:moveTo>
                  <a:pt x="9803189" y="2223879"/>
                </a:moveTo>
                <a:cubicBezTo>
                  <a:pt x="9784222" y="2223879"/>
                  <a:pt x="9768836" y="2239470"/>
                  <a:pt x="9768836" y="2258699"/>
                </a:cubicBezTo>
                <a:cubicBezTo>
                  <a:pt x="9768836" y="2277928"/>
                  <a:pt x="9784222" y="2293519"/>
                  <a:pt x="9803189" y="2293519"/>
                </a:cubicBezTo>
                <a:cubicBezTo>
                  <a:pt x="9822156" y="2293519"/>
                  <a:pt x="9837529" y="2277928"/>
                  <a:pt x="9837529" y="2258699"/>
                </a:cubicBezTo>
                <a:cubicBezTo>
                  <a:pt x="9837529" y="2239470"/>
                  <a:pt x="9822156" y="2223879"/>
                  <a:pt x="9803189" y="2223879"/>
                </a:cubicBezTo>
                <a:close/>
                <a:moveTo>
                  <a:pt x="9970671" y="2223879"/>
                </a:moveTo>
                <a:cubicBezTo>
                  <a:pt x="9951704" y="2223879"/>
                  <a:pt x="9936318" y="2239470"/>
                  <a:pt x="9936318" y="2258699"/>
                </a:cubicBezTo>
                <a:cubicBezTo>
                  <a:pt x="9936318" y="2277928"/>
                  <a:pt x="9951704" y="2293519"/>
                  <a:pt x="9970671" y="2293519"/>
                </a:cubicBezTo>
                <a:cubicBezTo>
                  <a:pt x="9989638" y="2293519"/>
                  <a:pt x="10005011" y="2277928"/>
                  <a:pt x="10005011" y="2258699"/>
                </a:cubicBezTo>
                <a:cubicBezTo>
                  <a:pt x="10005011" y="2239470"/>
                  <a:pt x="9989638" y="2223879"/>
                  <a:pt x="9970671" y="2223879"/>
                </a:cubicBezTo>
                <a:close/>
                <a:moveTo>
                  <a:pt x="2350151" y="2308742"/>
                </a:moveTo>
                <a:cubicBezTo>
                  <a:pt x="2331184" y="2308742"/>
                  <a:pt x="2315804" y="2324334"/>
                  <a:pt x="2315804" y="2343563"/>
                </a:cubicBezTo>
                <a:cubicBezTo>
                  <a:pt x="2315804" y="2362791"/>
                  <a:pt x="2331184" y="2378383"/>
                  <a:pt x="2350151" y="2378383"/>
                </a:cubicBezTo>
                <a:cubicBezTo>
                  <a:pt x="2369118" y="2378383"/>
                  <a:pt x="2384498" y="2362791"/>
                  <a:pt x="2384498" y="2343563"/>
                </a:cubicBezTo>
                <a:cubicBezTo>
                  <a:pt x="2384498" y="2324334"/>
                  <a:pt x="2369118" y="2308742"/>
                  <a:pt x="2350151" y="2308742"/>
                </a:cubicBezTo>
                <a:close/>
                <a:moveTo>
                  <a:pt x="2433893" y="2308742"/>
                </a:moveTo>
                <a:cubicBezTo>
                  <a:pt x="2414926" y="2308742"/>
                  <a:pt x="2399546" y="2324334"/>
                  <a:pt x="2399546" y="2343563"/>
                </a:cubicBezTo>
                <a:cubicBezTo>
                  <a:pt x="2399546" y="2362791"/>
                  <a:pt x="2414926" y="2378383"/>
                  <a:pt x="2433893" y="2378383"/>
                </a:cubicBezTo>
                <a:cubicBezTo>
                  <a:pt x="2452860" y="2378383"/>
                  <a:pt x="2468240" y="2362791"/>
                  <a:pt x="2468240" y="2343563"/>
                </a:cubicBezTo>
                <a:cubicBezTo>
                  <a:pt x="2468240" y="2324334"/>
                  <a:pt x="2452860" y="2308742"/>
                  <a:pt x="2433893" y="2308742"/>
                </a:cubicBezTo>
                <a:close/>
                <a:moveTo>
                  <a:pt x="2517634" y="2308742"/>
                </a:moveTo>
                <a:cubicBezTo>
                  <a:pt x="2498667" y="2308742"/>
                  <a:pt x="2483288" y="2324334"/>
                  <a:pt x="2483288" y="2343563"/>
                </a:cubicBezTo>
                <a:cubicBezTo>
                  <a:pt x="2483288" y="2362791"/>
                  <a:pt x="2498667" y="2378383"/>
                  <a:pt x="2517634" y="2378383"/>
                </a:cubicBezTo>
                <a:cubicBezTo>
                  <a:pt x="2536601" y="2378383"/>
                  <a:pt x="2551981" y="2362791"/>
                  <a:pt x="2551981" y="2343563"/>
                </a:cubicBezTo>
                <a:cubicBezTo>
                  <a:pt x="2551981" y="2324334"/>
                  <a:pt x="2536601" y="2308742"/>
                  <a:pt x="2517634" y="2308742"/>
                </a:cubicBezTo>
                <a:close/>
                <a:moveTo>
                  <a:pt x="2601376" y="2308742"/>
                </a:moveTo>
                <a:cubicBezTo>
                  <a:pt x="2582409" y="2308742"/>
                  <a:pt x="2567029" y="2324334"/>
                  <a:pt x="2567029" y="2343563"/>
                </a:cubicBezTo>
                <a:cubicBezTo>
                  <a:pt x="2567029" y="2362791"/>
                  <a:pt x="2582409" y="2378383"/>
                  <a:pt x="2601376" y="2378383"/>
                </a:cubicBezTo>
                <a:cubicBezTo>
                  <a:pt x="2620343" y="2378383"/>
                  <a:pt x="2635722" y="2362791"/>
                  <a:pt x="2635722" y="2343563"/>
                </a:cubicBezTo>
                <a:cubicBezTo>
                  <a:pt x="2635722" y="2324334"/>
                  <a:pt x="2620343" y="2308742"/>
                  <a:pt x="2601376" y="2308742"/>
                </a:cubicBezTo>
                <a:close/>
                <a:moveTo>
                  <a:pt x="2685118" y="2308742"/>
                </a:moveTo>
                <a:cubicBezTo>
                  <a:pt x="2666151" y="2308742"/>
                  <a:pt x="2650771" y="2324334"/>
                  <a:pt x="2650771" y="2343563"/>
                </a:cubicBezTo>
                <a:cubicBezTo>
                  <a:pt x="2650771" y="2362791"/>
                  <a:pt x="2666151" y="2378383"/>
                  <a:pt x="2685118" y="2378383"/>
                </a:cubicBezTo>
                <a:cubicBezTo>
                  <a:pt x="2704085" y="2378383"/>
                  <a:pt x="2719465" y="2362791"/>
                  <a:pt x="2719465" y="2343563"/>
                </a:cubicBezTo>
                <a:cubicBezTo>
                  <a:pt x="2719465" y="2324334"/>
                  <a:pt x="2704085" y="2308742"/>
                  <a:pt x="2685118" y="2308742"/>
                </a:cubicBezTo>
                <a:close/>
                <a:moveTo>
                  <a:pt x="2768859" y="2308742"/>
                </a:moveTo>
                <a:cubicBezTo>
                  <a:pt x="2749892" y="2308742"/>
                  <a:pt x="2734512" y="2324334"/>
                  <a:pt x="2734512" y="2343563"/>
                </a:cubicBezTo>
                <a:cubicBezTo>
                  <a:pt x="2734512" y="2362791"/>
                  <a:pt x="2749892" y="2378383"/>
                  <a:pt x="2768859" y="2378383"/>
                </a:cubicBezTo>
                <a:cubicBezTo>
                  <a:pt x="2787826" y="2378383"/>
                  <a:pt x="2803206" y="2362791"/>
                  <a:pt x="2803206" y="2343563"/>
                </a:cubicBezTo>
                <a:cubicBezTo>
                  <a:pt x="2803206" y="2324334"/>
                  <a:pt x="2787826" y="2308742"/>
                  <a:pt x="2768859" y="2308742"/>
                </a:cubicBezTo>
                <a:close/>
                <a:moveTo>
                  <a:pt x="2852600" y="2308742"/>
                </a:moveTo>
                <a:cubicBezTo>
                  <a:pt x="2833633" y="2308742"/>
                  <a:pt x="2818254" y="2324334"/>
                  <a:pt x="2818254" y="2343563"/>
                </a:cubicBezTo>
                <a:cubicBezTo>
                  <a:pt x="2818254" y="2362791"/>
                  <a:pt x="2833633" y="2378383"/>
                  <a:pt x="2852600" y="2378383"/>
                </a:cubicBezTo>
                <a:cubicBezTo>
                  <a:pt x="2871567" y="2378383"/>
                  <a:pt x="2886947" y="2362791"/>
                  <a:pt x="2886947" y="2343563"/>
                </a:cubicBezTo>
                <a:cubicBezTo>
                  <a:pt x="2886947" y="2324334"/>
                  <a:pt x="2871567" y="2308742"/>
                  <a:pt x="2852600" y="2308742"/>
                </a:cubicBezTo>
                <a:close/>
                <a:moveTo>
                  <a:pt x="2936343" y="2308742"/>
                </a:moveTo>
                <a:cubicBezTo>
                  <a:pt x="2917376" y="2308742"/>
                  <a:pt x="2901996" y="2324334"/>
                  <a:pt x="2901996" y="2343563"/>
                </a:cubicBezTo>
                <a:cubicBezTo>
                  <a:pt x="2901996" y="2362791"/>
                  <a:pt x="2917376" y="2378383"/>
                  <a:pt x="2936343" y="2378383"/>
                </a:cubicBezTo>
                <a:cubicBezTo>
                  <a:pt x="2955310" y="2378383"/>
                  <a:pt x="2970689" y="2362791"/>
                  <a:pt x="2970689" y="2343563"/>
                </a:cubicBezTo>
                <a:cubicBezTo>
                  <a:pt x="2970689" y="2324334"/>
                  <a:pt x="2955310" y="2308742"/>
                  <a:pt x="2936343" y="2308742"/>
                </a:cubicBezTo>
                <a:close/>
                <a:moveTo>
                  <a:pt x="3020084" y="2308742"/>
                </a:moveTo>
                <a:cubicBezTo>
                  <a:pt x="3001117" y="2308742"/>
                  <a:pt x="2985737" y="2324334"/>
                  <a:pt x="2985737" y="2343563"/>
                </a:cubicBezTo>
                <a:cubicBezTo>
                  <a:pt x="2985737" y="2362791"/>
                  <a:pt x="3001117" y="2378383"/>
                  <a:pt x="3020084" y="2378383"/>
                </a:cubicBezTo>
                <a:cubicBezTo>
                  <a:pt x="3039051" y="2378383"/>
                  <a:pt x="3054431" y="2362791"/>
                  <a:pt x="3054431" y="2343563"/>
                </a:cubicBezTo>
                <a:cubicBezTo>
                  <a:pt x="3054431" y="2324334"/>
                  <a:pt x="3039051" y="2308742"/>
                  <a:pt x="3020084" y="2308742"/>
                </a:cubicBezTo>
                <a:close/>
                <a:moveTo>
                  <a:pt x="3187567" y="2308742"/>
                </a:moveTo>
                <a:cubicBezTo>
                  <a:pt x="3168600" y="2308742"/>
                  <a:pt x="3153221" y="2324334"/>
                  <a:pt x="3153221" y="2343563"/>
                </a:cubicBezTo>
                <a:cubicBezTo>
                  <a:pt x="3153221" y="2362791"/>
                  <a:pt x="3168600" y="2378383"/>
                  <a:pt x="3187567" y="2378383"/>
                </a:cubicBezTo>
                <a:cubicBezTo>
                  <a:pt x="3206534" y="2378383"/>
                  <a:pt x="3221914" y="2362791"/>
                  <a:pt x="3221914" y="2343563"/>
                </a:cubicBezTo>
                <a:cubicBezTo>
                  <a:pt x="3221914" y="2324334"/>
                  <a:pt x="3206534" y="2308742"/>
                  <a:pt x="3187567" y="2308742"/>
                </a:cubicBezTo>
                <a:close/>
                <a:moveTo>
                  <a:pt x="3271309" y="2308742"/>
                </a:moveTo>
                <a:cubicBezTo>
                  <a:pt x="3252342" y="2308742"/>
                  <a:pt x="3236962" y="2324334"/>
                  <a:pt x="3236962" y="2343563"/>
                </a:cubicBezTo>
                <a:cubicBezTo>
                  <a:pt x="3236962" y="2362791"/>
                  <a:pt x="3252342" y="2378383"/>
                  <a:pt x="3271309" y="2378383"/>
                </a:cubicBezTo>
                <a:cubicBezTo>
                  <a:pt x="3290276" y="2378383"/>
                  <a:pt x="3305655" y="2362791"/>
                  <a:pt x="3305655" y="2343563"/>
                </a:cubicBezTo>
                <a:cubicBezTo>
                  <a:pt x="3305655" y="2324334"/>
                  <a:pt x="3290276" y="2308742"/>
                  <a:pt x="3271309" y="2308742"/>
                </a:cubicBezTo>
                <a:close/>
                <a:moveTo>
                  <a:pt x="3355051" y="2308742"/>
                </a:moveTo>
                <a:cubicBezTo>
                  <a:pt x="3336084" y="2308742"/>
                  <a:pt x="3320704" y="2324334"/>
                  <a:pt x="3320704" y="2343563"/>
                </a:cubicBezTo>
                <a:cubicBezTo>
                  <a:pt x="3320704" y="2362791"/>
                  <a:pt x="3336084" y="2378383"/>
                  <a:pt x="3355051" y="2378383"/>
                </a:cubicBezTo>
                <a:cubicBezTo>
                  <a:pt x="3374018" y="2378383"/>
                  <a:pt x="3389398" y="2362791"/>
                  <a:pt x="3389398" y="2343563"/>
                </a:cubicBezTo>
                <a:cubicBezTo>
                  <a:pt x="3389398" y="2324334"/>
                  <a:pt x="3374018" y="2308742"/>
                  <a:pt x="3355051" y="2308742"/>
                </a:cubicBezTo>
                <a:close/>
                <a:moveTo>
                  <a:pt x="3438792" y="2308742"/>
                </a:moveTo>
                <a:cubicBezTo>
                  <a:pt x="3419825" y="2308742"/>
                  <a:pt x="3404445" y="2324334"/>
                  <a:pt x="3404445" y="2343563"/>
                </a:cubicBezTo>
                <a:cubicBezTo>
                  <a:pt x="3404445" y="2362791"/>
                  <a:pt x="3419825" y="2378383"/>
                  <a:pt x="3438792" y="2378383"/>
                </a:cubicBezTo>
                <a:cubicBezTo>
                  <a:pt x="3457759" y="2378383"/>
                  <a:pt x="3473139" y="2362791"/>
                  <a:pt x="3473139" y="2343563"/>
                </a:cubicBezTo>
                <a:cubicBezTo>
                  <a:pt x="3473139" y="2324334"/>
                  <a:pt x="3457759" y="2308742"/>
                  <a:pt x="3438792" y="2308742"/>
                </a:cubicBezTo>
                <a:close/>
                <a:moveTo>
                  <a:pt x="3522533" y="2308742"/>
                </a:moveTo>
                <a:cubicBezTo>
                  <a:pt x="3503566" y="2308742"/>
                  <a:pt x="3488187" y="2324334"/>
                  <a:pt x="3488187" y="2343563"/>
                </a:cubicBezTo>
                <a:cubicBezTo>
                  <a:pt x="3488187" y="2362791"/>
                  <a:pt x="3503566" y="2378383"/>
                  <a:pt x="3522533" y="2378383"/>
                </a:cubicBezTo>
                <a:cubicBezTo>
                  <a:pt x="3541500" y="2378383"/>
                  <a:pt x="3556880" y="2362791"/>
                  <a:pt x="3556880" y="2343563"/>
                </a:cubicBezTo>
                <a:cubicBezTo>
                  <a:pt x="3556880" y="2324334"/>
                  <a:pt x="3541500" y="2308742"/>
                  <a:pt x="3522533" y="2308742"/>
                </a:cubicBezTo>
                <a:close/>
                <a:moveTo>
                  <a:pt x="3690017" y="2308742"/>
                </a:moveTo>
                <a:cubicBezTo>
                  <a:pt x="3671050" y="2308742"/>
                  <a:pt x="3655670" y="2324334"/>
                  <a:pt x="3655670" y="2343563"/>
                </a:cubicBezTo>
                <a:cubicBezTo>
                  <a:pt x="3655670" y="2362791"/>
                  <a:pt x="3671050" y="2378383"/>
                  <a:pt x="3690017" y="2378383"/>
                </a:cubicBezTo>
                <a:cubicBezTo>
                  <a:pt x="3708984" y="2378383"/>
                  <a:pt x="3724364" y="2362791"/>
                  <a:pt x="3724364" y="2343563"/>
                </a:cubicBezTo>
                <a:cubicBezTo>
                  <a:pt x="3724364" y="2324334"/>
                  <a:pt x="3708984" y="2308742"/>
                  <a:pt x="3690017" y="2308742"/>
                </a:cubicBezTo>
                <a:close/>
                <a:moveTo>
                  <a:pt x="3773759" y="2308742"/>
                </a:moveTo>
                <a:cubicBezTo>
                  <a:pt x="3754792" y="2308742"/>
                  <a:pt x="3739412" y="2324334"/>
                  <a:pt x="3739412" y="2343563"/>
                </a:cubicBezTo>
                <a:cubicBezTo>
                  <a:pt x="3739412" y="2362791"/>
                  <a:pt x="3754792" y="2378383"/>
                  <a:pt x="3773759" y="2378383"/>
                </a:cubicBezTo>
                <a:cubicBezTo>
                  <a:pt x="3792726" y="2378383"/>
                  <a:pt x="3808106" y="2362791"/>
                  <a:pt x="3808106" y="2343563"/>
                </a:cubicBezTo>
                <a:cubicBezTo>
                  <a:pt x="3808106" y="2324334"/>
                  <a:pt x="3792726" y="2308742"/>
                  <a:pt x="3773759" y="2308742"/>
                </a:cubicBezTo>
                <a:close/>
                <a:moveTo>
                  <a:pt x="3857500" y="2308742"/>
                </a:moveTo>
                <a:cubicBezTo>
                  <a:pt x="3838533" y="2308742"/>
                  <a:pt x="3823154" y="2324334"/>
                  <a:pt x="3823154" y="2343563"/>
                </a:cubicBezTo>
                <a:cubicBezTo>
                  <a:pt x="3823154" y="2362791"/>
                  <a:pt x="3838533" y="2378383"/>
                  <a:pt x="3857500" y="2378383"/>
                </a:cubicBezTo>
                <a:cubicBezTo>
                  <a:pt x="3876467" y="2378383"/>
                  <a:pt x="3891847" y="2362791"/>
                  <a:pt x="3891847" y="2343563"/>
                </a:cubicBezTo>
                <a:cubicBezTo>
                  <a:pt x="3891847" y="2324334"/>
                  <a:pt x="3876467" y="2308742"/>
                  <a:pt x="3857500" y="2308742"/>
                </a:cubicBezTo>
                <a:close/>
                <a:moveTo>
                  <a:pt x="3941242" y="2308742"/>
                </a:moveTo>
                <a:cubicBezTo>
                  <a:pt x="3922275" y="2308742"/>
                  <a:pt x="3906895" y="2324334"/>
                  <a:pt x="3906895" y="2343563"/>
                </a:cubicBezTo>
                <a:cubicBezTo>
                  <a:pt x="3906895" y="2362791"/>
                  <a:pt x="3922275" y="2378383"/>
                  <a:pt x="3941242" y="2378383"/>
                </a:cubicBezTo>
                <a:cubicBezTo>
                  <a:pt x="3960209" y="2378383"/>
                  <a:pt x="3975588" y="2362791"/>
                  <a:pt x="3975588" y="2343563"/>
                </a:cubicBezTo>
                <a:cubicBezTo>
                  <a:pt x="3975588" y="2324334"/>
                  <a:pt x="3960209" y="2308742"/>
                  <a:pt x="3941242" y="2308742"/>
                </a:cubicBezTo>
                <a:close/>
                <a:moveTo>
                  <a:pt x="4024990" y="2308742"/>
                </a:moveTo>
                <a:cubicBezTo>
                  <a:pt x="4006023" y="2308742"/>
                  <a:pt x="3990643" y="2324334"/>
                  <a:pt x="3990643" y="2343563"/>
                </a:cubicBezTo>
                <a:cubicBezTo>
                  <a:pt x="3990643" y="2362791"/>
                  <a:pt x="4006023" y="2378383"/>
                  <a:pt x="4024990" y="2378383"/>
                </a:cubicBezTo>
                <a:cubicBezTo>
                  <a:pt x="4043957" y="2378383"/>
                  <a:pt x="4059337" y="2362791"/>
                  <a:pt x="4059337" y="2343563"/>
                </a:cubicBezTo>
                <a:cubicBezTo>
                  <a:pt x="4059337" y="2324334"/>
                  <a:pt x="4043957" y="2308742"/>
                  <a:pt x="4024990" y="2308742"/>
                </a:cubicBezTo>
                <a:close/>
                <a:moveTo>
                  <a:pt x="4108732" y="2308742"/>
                </a:moveTo>
                <a:cubicBezTo>
                  <a:pt x="4089765" y="2308742"/>
                  <a:pt x="4074386" y="2324334"/>
                  <a:pt x="4074386" y="2343563"/>
                </a:cubicBezTo>
                <a:cubicBezTo>
                  <a:pt x="4074386" y="2362791"/>
                  <a:pt x="4089765" y="2378383"/>
                  <a:pt x="4108732" y="2378383"/>
                </a:cubicBezTo>
                <a:cubicBezTo>
                  <a:pt x="4127699" y="2378383"/>
                  <a:pt x="4143079" y="2362791"/>
                  <a:pt x="4143079" y="2343563"/>
                </a:cubicBezTo>
                <a:cubicBezTo>
                  <a:pt x="4143079" y="2324334"/>
                  <a:pt x="4127699" y="2308742"/>
                  <a:pt x="4108732" y="2308742"/>
                </a:cubicBezTo>
                <a:close/>
                <a:moveTo>
                  <a:pt x="4192473" y="2308742"/>
                </a:moveTo>
                <a:cubicBezTo>
                  <a:pt x="4173506" y="2308742"/>
                  <a:pt x="4158127" y="2324334"/>
                  <a:pt x="4158127" y="2343563"/>
                </a:cubicBezTo>
                <a:cubicBezTo>
                  <a:pt x="4158127" y="2362791"/>
                  <a:pt x="4173506" y="2378383"/>
                  <a:pt x="4192473" y="2378383"/>
                </a:cubicBezTo>
                <a:cubicBezTo>
                  <a:pt x="4211440" y="2378383"/>
                  <a:pt x="4226820" y="2362791"/>
                  <a:pt x="4226820" y="2343563"/>
                </a:cubicBezTo>
                <a:cubicBezTo>
                  <a:pt x="4226820" y="2324334"/>
                  <a:pt x="4211440" y="2308742"/>
                  <a:pt x="4192473" y="2308742"/>
                </a:cubicBezTo>
                <a:close/>
                <a:moveTo>
                  <a:pt x="5783564" y="2308742"/>
                </a:moveTo>
                <a:cubicBezTo>
                  <a:pt x="5764597" y="2308742"/>
                  <a:pt x="5749218" y="2324334"/>
                  <a:pt x="5749218" y="2343563"/>
                </a:cubicBezTo>
                <a:cubicBezTo>
                  <a:pt x="5749218" y="2362791"/>
                  <a:pt x="5764597" y="2378383"/>
                  <a:pt x="5783564" y="2378383"/>
                </a:cubicBezTo>
                <a:cubicBezTo>
                  <a:pt x="5802531" y="2378383"/>
                  <a:pt x="5817911" y="2362791"/>
                  <a:pt x="5817911" y="2343563"/>
                </a:cubicBezTo>
                <a:cubicBezTo>
                  <a:pt x="5817911" y="2324334"/>
                  <a:pt x="5802531" y="2308742"/>
                  <a:pt x="5783564" y="2308742"/>
                </a:cubicBezTo>
                <a:close/>
                <a:moveTo>
                  <a:pt x="6118531" y="2308742"/>
                </a:moveTo>
                <a:cubicBezTo>
                  <a:pt x="6099557" y="2308742"/>
                  <a:pt x="6084177" y="2324334"/>
                  <a:pt x="6084177" y="2343563"/>
                </a:cubicBezTo>
                <a:cubicBezTo>
                  <a:pt x="6084177" y="2362791"/>
                  <a:pt x="6099557" y="2378383"/>
                  <a:pt x="6118531" y="2378383"/>
                </a:cubicBezTo>
                <a:cubicBezTo>
                  <a:pt x="6137498" y="2378383"/>
                  <a:pt x="6152871" y="2362791"/>
                  <a:pt x="6152871" y="2343563"/>
                </a:cubicBezTo>
                <a:cubicBezTo>
                  <a:pt x="6152871" y="2324334"/>
                  <a:pt x="6137498" y="2308742"/>
                  <a:pt x="6118531" y="2308742"/>
                </a:cubicBezTo>
                <a:close/>
                <a:moveTo>
                  <a:pt x="6453498" y="2308742"/>
                </a:moveTo>
                <a:cubicBezTo>
                  <a:pt x="6434531" y="2308742"/>
                  <a:pt x="6419144" y="2324334"/>
                  <a:pt x="6419144" y="2343563"/>
                </a:cubicBezTo>
                <a:cubicBezTo>
                  <a:pt x="6419144" y="2362791"/>
                  <a:pt x="6434531" y="2378383"/>
                  <a:pt x="6453498" y="2378383"/>
                </a:cubicBezTo>
                <a:cubicBezTo>
                  <a:pt x="6472465" y="2378383"/>
                  <a:pt x="6487838" y="2362791"/>
                  <a:pt x="6487838" y="2343563"/>
                </a:cubicBezTo>
                <a:cubicBezTo>
                  <a:pt x="6487838" y="2324334"/>
                  <a:pt x="6472465" y="2308742"/>
                  <a:pt x="6453498" y="2308742"/>
                </a:cubicBezTo>
                <a:close/>
                <a:moveTo>
                  <a:pt x="6537239" y="2308742"/>
                </a:moveTo>
                <a:cubicBezTo>
                  <a:pt x="6518272" y="2308742"/>
                  <a:pt x="6502886" y="2324334"/>
                  <a:pt x="6502886" y="2343563"/>
                </a:cubicBezTo>
                <a:cubicBezTo>
                  <a:pt x="6502886" y="2362791"/>
                  <a:pt x="6518272" y="2378383"/>
                  <a:pt x="6537239" y="2378383"/>
                </a:cubicBezTo>
                <a:cubicBezTo>
                  <a:pt x="6556206" y="2378383"/>
                  <a:pt x="6571579" y="2362791"/>
                  <a:pt x="6571579" y="2343563"/>
                </a:cubicBezTo>
                <a:cubicBezTo>
                  <a:pt x="6571579" y="2324334"/>
                  <a:pt x="6556206" y="2308742"/>
                  <a:pt x="6537239" y="2308742"/>
                </a:cubicBezTo>
                <a:close/>
                <a:moveTo>
                  <a:pt x="6620980" y="2308742"/>
                </a:moveTo>
                <a:cubicBezTo>
                  <a:pt x="6602013" y="2308742"/>
                  <a:pt x="6586627" y="2324334"/>
                  <a:pt x="6586627" y="2343563"/>
                </a:cubicBezTo>
                <a:cubicBezTo>
                  <a:pt x="6586627" y="2362791"/>
                  <a:pt x="6602013" y="2378383"/>
                  <a:pt x="6620980" y="2378383"/>
                </a:cubicBezTo>
                <a:cubicBezTo>
                  <a:pt x="6639947" y="2378383"/>
                  <a:pt x="6655320" y="2362791"/>
                  <a:pt x="6655320" y="2343563"/>
                </a:cubicBezTo>
                <a:cubicBezTo>
                  <a:pt x="6655320" y="2324334"/>
                  <a:pt x="6639947" y="2308742"/>
                  <a:pt x="6620980" y="2308742"/>
                </a:cubicBezTo>
                <a:close/>
                <a:moveTo>
                  <a:pt x="6704722" y="2308742"/>
                </a:moveTo>
                <a:cubicBezTo>
                  <a:pt x="6685755" y="2308742"/>
                  <a:pt x="6670369" y="2324334"/>
                  <a:pt x="6670369" y="2343563"/>
                </a:cubicBezTo>
                <a:cubicBezTo>
                  <a:pt x="6670369" y="2362791"/>
                  <a:pt x="6685755" y="2378383"/>
                  <a:pt x="6704722" y="2378383"/>
                </a:cubicBezTo>
                <a:cubicBezTo>
                  <a:pt x="6723689" y="2378383"/>
                  <a:pt x="6739063" y="2362791"/>
                  <a:pt x="6739063" y="2343563"/>
                </a:cubicBezTo>
                <a:cubicBezTo>
                  <a:pt x="6739063" y="2324334"/>
                  <a:pt x="6723689" y="2308742"/>
                  <a:pt x="6704722" y="2308742"/>
                </a:cubicBezTo>
                <a:close/>
                <a:moveTo>
                  <a:pt x="6788464" y="2308742"/>
                </a:moveTo>
                <a:cubicBezTo>
                  <a:pt x="6769497" y="2308742"/>
                  <a:pt x="6754110" y="2324334"/>
                  <a:pt x="6754110" y="2343563"/>
                </a:cubicBezTo>
                <a:cubicBezTo>
                  <a:pt x="6754110" y="2362791"/>
                  <a:pt x="6769497" y="2378383"/>
                  <a:pt x="6788464" y="2378383"/>
                </a:cubicBezTo>
                <a:cubicBezTo>
                  <a:pt x="6807431" y="2378383"/>
                  <a:pt x="6822804" y="2362791"/>
                  <a:pt x="6822804" y="2343563"/>
                </a:cubicBezTo>
                <a:cubicBezTo>
                  <a:pt x="6822804" y="2324334"/>
                  <a:pt x="6807431" y="2308742"/>
                  <a:pt x="6788464" y="2308742"/>
                </a:cubicBezTo>
                <a:close/>
                <a:moveTo>
                  <a:pt x="6872206" y="2308742"/>
                </a:moveTo>
                <a:cubicBezTo>
                  <a:pt x="6853239" y="2308742"/>
                  <a:pt x="6837853" y="2324334"/>
                  <a:pt x="6837853" y="2343563"/>
                </a:cubicBezTo>
                <a:cubicBezTo>
                  <a:pt x="6837853" y="2362791"/>
                  <a:pt x="6853239" y="2378383"/>
                  <a:pt x="6872206" y="2378383"/>
                </a:cubicBezTo>
                <a:cubicBezTo>
                  <a:pt x="6891173" y="2378383"/>
                  <a:pt x="6906546" y="2362791"/>
                  <a:pt x="6906546" y="2343563"/>
                </a:cubicBezTo>
                <a:cubicBezTo>
                  <a:pt x="6906546" y="2324334"/>
                  <a:pt x="6891173" y="2308742"/>
                  <a:pt x="6872206" y="2308742"/>
                </a:cubicBezTo>
                <a:close/>
                <a:moveTo>
                  <a:pt x="6955947" y="2308742"/>
                </a:moveTo>
                <a:cubicBezTo>
                  <a:pt x="6936980" y="2308742"/>
                  <a:pt x="6921594" y="2324334"/>
                  <a:pt x="6921594" y="2343563"/>
                </a:cubicBezTo>
                <a:cubicBezTo>
                  <a:pt x="6921594" y="2362791"/>
                  <a:pt x="6936980" y="2378383"/>
                  <a:pt x="6955947" y="2378383"/>
                </a:cubicBezTo>
                <a:cubicBezTo>
                  <a:pt x="6974914" y="2378383"/>
                  <a:pt x="6990287" y="2362791"/>
                  <a:pt x="6990287" y="2343563"/>
                </a:cubicBezTo>
                <a:cubicBezTo>
                  <a:pt x="6990287" y="2324334"/>
                  <a:pt x="6974914" y="2308742"/>
                  <a:pt x="6955947" y="2308742"/>
                </a:cubicBezTo>
                <a:close/>
                <a:moveTo>
                  <a:pt x="7039688" y="2308742"/>
                </a:moveTo>
                <a:cubicBezTo>
                  <a:pt x="7020721" y="2308742"/>
                  <a:pt x="7005335" y="2324334"/>
                  <a:pt x="7005335" y="2343563"/>
                </a:cubicBezTo>
                <a:cubicBezTo>
                  <a:pt x="7005335" y="2362791"/>
                  <a:pt x="7020721" y="2378383"/>
                  <a:pt x="7039688" y="2378383"/>
                </a:cubicBezTo>
                <a:cubicBezTo>
                  <a:pt x="7058655" y="2378383"/>
                  <a:pt x="7074029" y="2362791"/>
                  <a:pt x="7074029" y="2343563"/>
                </a:cubicBezTo>
                <a:cubicBezTo>
                  <a:pt x="7074029" y="2324334"/>
                  <a:pt x="7058655" y="2308742"/>
                  <a:pt x="7039688" y="2308742"/>
                </a:cubicBezTo>
                <a:close/>
                <a:moveTo>
                  <a:pt x="7123456" y="2308742"/>
                </a:moveTo>
                <a:cubicBezTo>
                  <a:pt x="7104489" y="2308742"/>
                  <a:pt x="7089103" y="2324334"/>
                  <a:pt x="7089103" y="2343563"/>
                </a:cubicBezTo>
                <a:cubicBezTo>
                  <a:pt x="7089103" y="2362791"/>
                  <a:pt x="7104489" y="2378383"/>
                  <a:pt x="7123456" y="2378383"/>
                </a:cubicBezTo>
                <a:cubicBezTo>
                  <a:pt x="7142423" y="2378383"/>
                  <a:pt x="7157796" y="2362791"/>
                  <a:pt x="7157796" y="2343563"/>
                </a:cubicBezTo>
                <a:cubicBezTo>
                  <a:pt x="7157796" y="2324334"/>
                  <a:pt x="7142423" y="2308742"/>
                  <a:pt x="7123456" y="2308742"/>
                </a:cubicBezTo>
                <a:close/>
                <a:moveTo>
                  <a:pt x="7207198" y="2308742"/>
                </a:moveTo>
                <a:cubicBezTo>
                  <a:pt x="7188231" y="2308742"/>
                  <a:pt x="7172845" y="2324334"/>
                  <a:pt x="7172845" y="2343563"/>
                </a:cubicBezTo>
                <a:cubicBezTo>
                  <a:pt x="7172845" y="2362791"/>
                  <a:pt x="7188231" y="2378383"/>
                  <a:pt x="7207198" y="2378383"/>
                </a:cubicBezTo>
                <a:cubicBezTo>
                  <a:pt x="7226165" y="2378383"/>
                  <a:pt x="7241538" y="2362791"/>
                  <a:pt x="7241538" y="2343563"/>
                </a:cubicBezTo>
                <a:cubicBezTo>
                  <a:pt x="7241538" y="2324334"/>
                  <a:pt x="7226165" y="2308742"/>
                  <a:pt x="7207198" y="2308742"/>
                </a:cubicBezTo>
                <a:close/>
                <a:moveTo>
                  <a:pt x="7290939" y="2308742"/>
                </a:moveTo>
                <a:cubicBezTo>
                  <a:pt x="7271972" y="2308742"/>
                  <a:pt x="7256586" y="2324334"/>
                  <a:pt x="7256586" y="2343563"/>
                </a:cubicBezTo>
                <a:cubicBezTo>
                  <a:pt x="7256586" y="2362791"/>
                  <a:pt x="7271972" y="2378383"/>
                  <a:pt x="7290939" y="2378383"/>
                </a:cubicBezTo>
                <a:cubicBezTo>
                  <a:pt x="7309906" y="2378383"/>
                  <a:pt x="7325279" y="2362791"/>
                  <a:pt x="7325279" y="2343563"/>
                </a:cubicBezTo>
                <a:cubicBezTo>
                  <a:pt x="7325279" y="2324334"/>
                  <a:pt x="7309906" y="2308742"/>
                  <a:pt x="7290939" y="2308742"/>
                </a:cubicBezTo>
                <a:close/>
                <a:moveTo>
                  <a:pt x="7374681" y="2308742"/>
                </a:moveTo>
                <a:cubicBezTo>
                  <a:pt x="7355714" y="2308742"/>
                  <a:pt x="7340328" y="2324334"/>
                  <a:pt x="7340328" y="2343563"/>
                </a:cubicBezTo>
                <a:cubicBezTo>
                  <a:pt x="7340328" y="2362791"/>
                  <a:pt x="7355714" y="2378383"/>
                  <a:pt x="7374681" y="2378383"/>
                </a:cubicBezTo>
                <a:cubicBezTo>
                  <a:pt x="7393648" y="2378383"/>
                  <a:pt x="7409022" y="2362791"/>
                  <a:pt x="7409022" y="2343563"/>
                </a:cubicBezTo>
                <a:cubicBezTo>
                  <a:pt x="7409022" y="2324334"/>
                  <a:pt x="7393648" y="2308742"/>
                  <a:pt x="7374681" y="2308742"/>
                </a:cubicBezTo>
                <a:close/>
                <a:moveTo>
                  <a:pt x="7458423" y="2308742"/>
                </a:moveTo>
                <a:cubicBezTo>
                  <a:pt x="7439456" y="2308742"/>
                  <a:pt x="7424070" y="2324334"/>
                  <a:pt x="7424070" y="2343563"/>
                </a:cubicBezTo>
                <a:cubicBezTo>
                  <a:pt x="7424070" y="2362791"/>
                  <a:pt x="7439456" y="2378383"/>
                  <a:pt x="7458423" y="2378383"/>
                </a:cubicBezTo>
                <a:cubicBezTo>
                  <a:pt x="7477390" y="2378383"/>
                  <a:pt x="7492763" y="2362791"/>
                  <a:pt x="7492763" y="2343563"/>
                </a:cubicBezTo>
                <a:cubicBezTo>
                  <a:pt x="7492763" y="2324334"/>
                  <a:pt x="7477390" y="2308742"/>
                  <a:pt x="7458423" y="2308742"/>
                </a:cubicBezTo>
                <a:close/>
                <a:moveTo>
                  <a:pt x="7542164" y="2308742"/>
                </a:moveTo>
                <a:cubicBezTo>
                  <a:pt x="7523197" y="2308742"/>
                  <a:pt x="7507811" y="2324334"/>
                  <a:pt x="7507811" y="2343563"/>
                </a:cubicBezTo>
                <a:cubicBezTo>
                  <a:pt x="7507811" y="2362791"/>
                  <a:pt x="7523197" y="2378383"/>
                  <a:pt x="7542164" y="2378383"/>
                </a:cubicBezTo>
                <a:cubicBezTo>
                  <a:pt x="7561131" y="2378383"/>
                  <a:pt x="7576504" y="2362791"/>
                  <a:pt x="7576504" y="2343563"/>
                </a:cubicBezTo>
                <a:cubicBezTo>
                  <a:pt x="7576504" y="2324334"/>
                  <a:pt x="7561131" y="2308742"/>
                  <a:pt x="7542164" y="2308742"/>
                </a:cubicBezTo>
                <a:close/>
                <a:moveTo>
                  <a:pt x="7625906" y="2308742"/>
                </a:moveTo>
                <a:cubicBezTo>
                  <a:pt x="7606939" y="2308742"/>
                  <a:pt x="7591553" y="2324334"/>
                  <a:pt x="7591553" y="2343563"/>
                </a:cubicBezTo>
                <a:cubicBezTo>
                  <a:pt x="7591553" y="2362791"/>
                  <a:pt x="7606939" y="2378383"/>
                  <a:pt x="7625906" y="2378383"/>
                </a:cubicBezTo>
                <a:cubicBezTo>
                  <a:pt x="7644873" y="2378383"/>
                  <a:pt x="7660246" y="2362791"/>
                  <a:pt x="7660246" y="2343563"/>
                </a:cubicBezTo>
                <a:cubicBezTo>
                  <a:pt x="7660246" y="2324334"/>
                  <a:pt x="7644873" y="2308742"/>
                  <a:pt x="7625906" y="2308742"/>
                </a:cubicBezTo>
                <a:close/>
                <a:moveTo>
                  <a:pt x="7709647" y="2308742"/>
                </a:moveTo>
                <a:cubicBezTo>
                  <a:pt x="7690680" y="2308742"/>
                  <a:pt x="7675294" y="2324334"/>
                  <a:pt x="7675294" y="2343563"/>
                </a:cubicBezTo>
                <a:cubicBezTo>
                  <a:pt x="7675294" y="2362791"/>
                  <a:pt x="7690680" y="2378383"/>
                  <a:pt x="7709647" y="2378383"/>
                </a:cubicBezTo>
                <a:cubicBezTo>
                  <a:pt x="7728614" y="2378383"/>
                  <a:pt x="7743988" y="2362791"/>
                  <a:pt x="7743988" y="2343563"/>
                </a:cubicBezTo>
                <a:cubicBezTo>
                  <a:pt x="7743988" y="2324334"/>
                  <a:pt x="7728614" y="2308742"/>
                  <a:pt x="7709647" y="2308742"/>
                </a:cubicBezTo>
                <a:close/>
                <a:moveTo>
                  <a:pt x="7793389" y="2308742"/>
                </a:moveTo>
                <a:cubicBezTo>
                  <a:pt x="7774422" y="2308742"/>
                  <a:pt x="7759036" y="2324334"/>
                  <a:pt x="7759036" y="2343563"/>
                </a:cubicBezTo>
                <a:cubicBezTo>
                  <a:pt x="7759036" y="2362791"/>
                  <a:pt x="7774422" y="2378383"/>
                  <a:pt x="7793389" y="2378383"/>
                </a:cubicBezTo>
                <a:cubicBezTo>
                  <a:pt x="7812356" y="2378383"/>
                  <a:pt x="7827729" y="2362791"/>
                  <a:pt x="7827729" y="2343563"/>
                </a:cubicBezTo>
                <a:cubicBezTo>
                  <a:pt x="7827729" y="2324334"/>
                  <a:pt x="7812356" y="2308742"/>
                  <a:pt x="7793389" y="2308742"/>
                </a:cubicBezTo>
                <a:close/>
                <a:moveTo>
                  <a:pt x="7877131" y="2308742"/>
                </a:moveTo>
                <a:cubicBezTo>
                  <a:pt x="7858164" y="2308742"/>
                  <a:pt x="7842778" y="2324334"/>
                  <a:pt x="7842778" y="2343563"/>
                </a:cubicBezTo>
                <a:cubicBezTo>
                  <a:pt x="7842778" y="2362791"/>
                  <a:pt x="7858164" y="2378383"/>
                  <a:pt x="7877131" y="2378383"/>
                </a:cubicBezTo>
                <a:cubicBezTo>
                  <a:pt x="7896098" y="2378383"/>
                  <a:pt x="7911471" y="2362791"/>
                  <a:pt x="7911471" y="2343563"/>
                </a:cubicBezTo>
                <a:cubicBezTo>
                  <a:pt x="7911471" y="2324334"/>
                  <a:pt x="7896098" y="2308742"/>
                  <a:pt x="7877131" y="2308742"/>
                </a:cubicBezTo>
                <a:close/>
                <a:moveTo>
                  <a:pt x="7960872" y="2308742"/>
                </a:moveTo>
                <a:cubicBezTo>
                  <a:pt x="7941905" y="2308742"/>
                  <a:pt x="7926519" y="2324334"/>
                  <a:pt x="7926519" y="2343563"/>
                </a:cubicBezTo>
                <a:cubicBezTo>
                  <a:pt x="7926519" y="2362791"/>
                  <a:pt x="7941905" y="2378383"/>
                  <a:pt x="7960872" y="2378383"/>
                </a:cubicBezTo>
                <a:cubicBezTo>
                  <a:pt x="7979839" y="2378383"/>
                  <a:pt x="7995212" y="2362791"/>
                  <a:pt x="7995212" y="2343563"/>
                </a:cubicBezTo>
                <a:cubicBezTo>
                  <a:pt x="7995212" y="2324334"/>
                  <a:pt x="7979839" y="2308742"/>
                  <a:pt x="7960872" y="2308742"/>
                </a:cubicBezTo>
                <a:close/>
                <a:moveTo>
                  <a:pt x="8044614" y="2308742"/>
                </a:moveTo>
                <a:cubicBezTo>
                  <a:pt x="8025647" y="2308742"/>
                  <a:pt x="8010261" y="2324334"/>
                  <a:pt x="8010261" y="2343563"/>
                </a:cubicBezTo>
                <a:cubicBezTo>
                  <a:pt x="8010261" y="2362791"/>
                  <a:pt x="8025647" y="2378383"/>
                  <a:pt x="8044614" y="2378383"/>
                </a:cubicBezTo>
                <a:cubicBezTo>
                  <a:pt x="8063581" y="2378383"/>
                  <a:pt x="8078955" y="2362791"/>
                  <a:pt x="8078955" y="2343563"/>
                </a:cubicBezTo>
                <a:cubicBezTo>
                  <a:pt x="8078955" y="2324334"/>
                  <a:pt x="8063581" y="2308742"/>
                  <a:pt x="8044614" y="2308742"/>
                </a:cubicBezTo>
                <a:close/>
                <a:moveTo>
                  <a:pt x="8128356" y="2308742"/>
                </a:moveTo>
                <a:cubicBezTo>
                  <a:pt x="8109389" y="2308742"/>
                  <a:pt x="8094003" y="2324334"/>
                  <a:pt x="8094003" y="2343563"/>
                </a:cubicBezTo>
                <a:cubicBezTo>
                  <a:pt x="8094003" y="2362791"/>
                  <a:pt x="8109389" y="2378383"/>
                  <a:pt x="8128356" y="2378383"/>
                </a:cubicBezTo>
                <a:cubicBezTo>
                  <a:pt x="8147323" y="2378383"/>
                  <a:pt x="8162696" y="2362791"/>
                  <a:pt x="8162696" y="2343563"/>
                </a:cubicBezTo>
                <a:cubicBezTo>
                  <a:pt x="8162696" y="2324334"/>
                  <a:pt x="8147323" y="2308742"/>
                  <a:pt x="8128356" y="2308742"/>
                </a:cubicBezTo>
                <a:close/>
                <a:moveTo>
                  <a:pt x="8212097" y="2308742"/>
                </a:moveTo>
                <a:cubicBezTo>
                  <a:pt x="8193130" y="2308742"/>
                  <a:pt x="8177744" y="2324334"/>
                  <a:pt x="8177744" y="2343563"/>
                </a:cubicBezTo>
                <a:cubicBezTo>
                  <a:pt x="8177744" y="2362791"/>
                  <a:pt x="8193130" y="2378383"/>
                  <a:pt x="8212097" y="2378383"/>
                </a:cubicBezTo>
                <a:cubicBezTo>
                  <a:pt x="8231064" y="2378383"/>
                  <a:pt x="8246437" y="2362791"/>
                  <a:pt x="8246437" y="2343563"/>
                </a:cubicBezTo>
                <a:cubicBezTo>
                  <a:pt x="8246437" y="2324334"/>
                  <a:pt x="8231064" y="2308742"/>
                  <a:pt x="8212097" y="2308742"/>
                </a:cubicBezTo>
                <a:close/>
                <a:moveTo>
                  <a:pt x="8295839" y="2308742"/>
                </a:moveTo>
                <a:cubicBezTo>
                  <a:pt x="8276872" y="2308742"/>
                  <a:pt x="8261486" y="2324334"/>
                  <a:pt x="8261486" y="2343563"/>
                </a:cubicBezTo>
                <a:cubicBezTo>
                  <a:pt x="8261486" y="2362791"/>
                  <a:pt x="8276872" y="2378383"/>
                  <a:pt x="8295839" y="2378383"/>
                </a:cubicBezTo>
                <a:cubicBezTo>
                  <a:pt x="8314806" y="2378383"/>
                  <a:pt x="8330179" y="2362791"/>
                  <a:pt x="8330179" y="2343563"/>
                </a:cubicBezTo>
                <a:cubicBezTo>
                  <a:pt x="8330179" y="2324334"/>
                  <a:pt x="8314806" y="2308742"/>
                  <a:pt x="8295839" y="2308742"/>
                </a:cubicBezTo>
                <a:close/>
                <a:moveTo>
                  <a:pt x="8379580" y="2308742"/>
                </a:moveTo>
                <a:cubicBezTo>
                  <a:pt x="8360613" y="2308742"/>
                  <a:pt x="8345227" y="2324334"/>
                  <a:pt x="8345227" y="2343563"/>
                </a:cubicBezTo>
                <a:cubicBezTo>
                  <a:pt x="8345227" y="2362791"/>
                  <a:pt x="8360613" y="2378383"/>
                  <a:pt x="8379580" y="2378383"/>
                </a:cubicBezTo>
                <a:cubicBezTo>
                  <a:pt x="8398547" y="2378383"/>
                  <a:pt x="8413921" y="2362791"/>
                  <a:pt x="8413921" y="2343563"/>
                </a:cubicBezTo>
                <a:cubicBezTo>
                  <a:pt x="8413921" y="2324334"/>
                  <a:pt x="8398547" y="2308742"/>
                  <a:pt x="8379580" y="2308742"/>
                </a:cubicBezTo>
                <a:close/>
                <a:moveTo>
                  <a:pt x="8463323" y="2308742"/>
                </a:moveTo>
                <a:cubicBezTo>
                  <a:pt x="8444356" y="2308742"/>
                  <a:pt x="8428970" y="2324334"/>
                  <a:pt x="8428970" y="2343563"/>
                </a:cubicBezTo>
                <a:cubicBezTo>
                  <a:pt x="8428970" y="2362791"/>
                  <a:pt x="8444356" y="2378383"/>
                  <a:pt x="8463323" y="2378383"/>
                </a:cubicBezTo>
                <a:cubicBezTo>
                  <a:pt x="8482290" y="2378383"/>
                  <a:pt x="8497663" y="2362791"/>
                  <a:pt x="8497663" y="2343563"/>
                </a:cubicBezTo>
                <a:cubicBezTo>
                  <a:pt x="8497663" y="2324334"/>
                  <a:pt x="8482290" y="2308742"/>
                  <a:pt x="8463323" y="2308742"/>
                </a:cubicBezTo>
                <a:close/>
                <a:moveTo>
                  <a:pt x="8547064" y="2308742"/>
                </a:moveTo>
                <a:cubicBezTo>
                  <a:pt x="8528097" y="2308742"/>
                  <a:pt x="8512711" y="2324334"/>
                  <a:pt x="8512711" y="2343563"/>
                </a:cubicBezTo>
                <a:cubicBezTo>
                  <a:pt x="8512711" y="2362791"/>
                  <a:pt x="8528097" y="2378383"/>
                  <a:pt x="8547064" y="2378383"/>
                </a:cubicBezTo>
                <a:cubicBezTo>
                  <a:pt x="8566031" y="2378383"/>
                  <a:pt x="8581404" y="2362791"/>
                  <a:pt x="8581404" y="2343563"/>
                </a:cubicBezTo>
                <a:cubicBezTo>
                  <a:pt x="8581404" y="2324334"/>
                  <a:pt x="8566031" y="2308742"/>
                  <a:pt x="8547064" y="2308742"/>
                </a:cubicBezTo>
                <a:close/>
                <a:moveTo>
                  <a:pt x="8630805" y="2308742"/>
                </a:moveTo>
                <a:cubicBezTo>
                  <a:pt x="8611838" y="2308742"/>
                  <a:pt x="8596452" y="2324334"/>
                  <a:pt x="8596452" y="2343563"/>
                </a:cubicBezTo>
                <a:cubicBezTo>
                  <a:pt x="8596452" y="2362791"/>
                  <a:pt x="8611838" y="2378383"/>
                  <a:pt x="8630805" y="2378383"/>
                </a:cubicBezTo>
                <a:cubicBezTo>
                  <a:pt x="8649772" y="2378383"/>
                  <a:pt x="8665145" y="2362791"/>
                  <a:pt x="8665145" y="2343563"/>
                </a:cubicBezTo>
                <a:cubicBezTo>
                  <a:pt x="8665145" y="2324334"/>
                  <a:pt x="8649772" y="2308742"/>
                  <a:pt x="8630805" y="2308742"/>
                </a:cubicBezTo>
                <a:close/>
                <a:moveTo>
                  <a:pt x="8714547" y="2308742"/>
                </a:moveTo>
                <a:cubicBezTo>
                  <a:pt x="8695580" y="2308742"/>
                  <a:pt x="8680194" y="2324334"/>
                  <a:pt x="8680194" y="2343563"/>
                </a:cubicBezTo>
                <a:cubicBezTo>
                  <a:pt x="8680194" y="2362791"/>
                  <a:pt x="8695580" y="2378383"/>
                  <a:pt x="8714547" y="2378383"/>
                </a:cubicBezTo>
                <a:cubicBezTo>
                  <a:pt x="8733514" y="2378383"/>
                  <a:pt x="8748888" y="2362791"/>
                  <a:pt x="8748888" y="2343563"/>
                </a:cubicBezTo>
                <a:cubicBezTo>
                  <a:pt x="8748888" y="2324334"/>
                  <a:pt x="8733514" y="2308742"/>
                  <a:pt x="8714547" y="2308742"/>
                </a:cubicBezTo>
                <a:close/>
                <a:moveTo>
                  <a:pt x="8965772" y="2308742"/>
                </a:moveTo>
                <a:cubicBezTo>
                  <a:pt x="8946805" y="2308742"/>
                  <a:pt x="8931419" y="2324334"/>
                  <a:pt x="8931419" y="2343563"/>
                </a:cubicBezTo>
                <a:cubicBezTo>
                  <a:pt x="8931419" y="2362791"/>
                  <a:pt x="8946805" y="2378383"/>
                  <a:pt x="8965772" y="2378383"/>
                </a:cubicBezTo>
                <a:cubicBezTo>
                  <a:pt x="8984739" y="2378383"/>
                  <a:pt x="9000112" y="2362791"/>
                  <a:pt x="9000112" y="2343563"/>
                </a:cubicBezTo>
                <a:cubicBezTo>
                  <a:pt x="9000112" y="2324334"/>
                  <a:pt x="8984739" y="2308742"/>
                  <a:pt x="8965772" y="2308742"/>
                </a:cubicBezTo>
                <a:close/>
                <a:moveTo>
                  <a:pt x="9049513" y="2308742"/>
                </a:moveTo>
                <a:cubicBezTo>
                  <a:pt x="9030546" y="2308742"/>
                  <a:pt x="9015160" y="2324334"/>
                  <a:pt x="9015160" y="2343563"/>
                </a:cubicBezTo>
                <a:cubicBezTo>
                  <a:pt x="9015160" y="2362791"/>
                  <a:pt x="9030546" y="2378383"/>
                  <a:pt x="9049513" y="2378383"/>
                </a:cubicBezTo>
                <a:cubicBezTo>
                  <a:pt x="9068480" y="2378383"/>
                  <a:pt x="9083854" y="2362791"/>
                  <a:pt x="9083854" y="2343563"/>
                </a:cubicBezTo>
                <a:cubicBezTo>
                  <a:pt x="9083854" y="2324334"/>
                  <a:pt x="9068480" y="2308742"/>
                  <a:pt x="9049513" y="2308742"/>
                </a:cubicBezTo>
                <a:close/>
                <a:moveTo>
                  <a:pt x="9133256" y="2308742"/>
                </a:moveTo>
                <a:cubicBezTo>
                  <a:pt x="9114289" y="2308742"/>
                  <a:pt x="9098903" y="2324334"/>
                  <a:pt x="9098903" y="2343563"/>
                </a:cubicBezTo>
                <a:cubicBezTo>
                  <a:pt x="9098903" y="2362791"/>
                  <a:pt x="9114289" y="2378383"/>
                  <a:pt x="9133256" y="2378383"/>
                </a:cubicBezTo>
                <a:cubicBezTo>
                  <a:pt x="9152223" y="2378383"/>
                  <a:pt x="9167596" y="2362791"/>
                  <a:pt x="9167596" y="2343563"/>
                </a:cubicBezTo>
                <a:cubicBezTo>
                  <a:pt x="9167596" y="2324334"/>
                  <a:pt x="9152223" y="2308742"/>
                  <a:pt x="9133256" y="2308742"/>
                </a:cubicBezTo>
                <a:close/>
                <a:moveTo>
                  <a:pt x="9216997" y="2308742"/>
                </a:moveTo>
                <a:cubicBezTo>
                  <a:pt x="9198030" y="2308742"/>
                  <a:pt x="9182644" y="2324334"/>
                  <a:pt x="9182644" y="2343563"/>
                </a:cubicBezTo>
                <a:cubicBezTo>
                  <a:pt x="9182644" y="2362791"/>
                  <a:pt x="9198030" y="2378383"/>
                  <a:pt x="9216997" y="2378383"/>
                </a:cubicBezTo>
                <a:cubicBezTo>
                  <a:pt x="9235964" y="2378383"/>
                  <a:pt x="9251337" y="2362791"/>
                  <a:pt x="9251337" y="2343563"/>
                </a:cubicBezTo>
                <a:cubicBezTo>
                  <a:pt x="9251337" y="2324334"/>
                  <a:pt x="9235964" y="2308742"/>
                  <a:pt x="9216997" y="2308742"/>
                </a:cubicBezTo>
                <a:close/>
                <a:moveTo>
                  <a:pt x="9300738" y="2308742"/>
                </a:moveTo>
                <a:cubicBezTo>
                  <a:pt x="9281771" y="2308742"/>
                  <a:pt x="9266385" y="2324334"/>
                  <a:pt x="9266385" y="2343563"/>
                </a:cubicBezTo>
                <a:cubicBezTo>
                  <a:pt x="9266385" y="2362791"/>
                  <a:pt x="9281771" y="2378383"/>
                  <a:pt x="9300738" y="2378383"/>
                </a:cubicBezTo>
                <a:cubicBezTo>
                  <a:pt x="9319705" y="2378383"/>
                  <a:pt x="9335078" y="2362791"/>
                  <a:pt x="9335078" y="2343563"/>
                </a:cubicBezTo>
                <a:cubicBezTo>
                  <a:pt x="9335078" y="2324334"/>
                  <a:pt x="9319705" y="2308742"/>
                  <a:pt x="9300738" y="2308742"/>
                </a:cubicBezTo>
                <a:close/>
                <a:moveTo>
                  <a:pt x="9384480" y="2308742"/>
                </a:moveTo>
                <a:cubicBezTo>
                  <a:pt x="9365513" y="2308742"/>
                  <a:pt x="9350127" y="2324334"/>
                  <a:pt x="9350127" y="2343563"/>
                </a:cubicBezTo>
                <a:cubicBezTo>
                  <a:pt x="9350127" y="2362791"/>
                  <a:pt x="9365513" y="2378383"/>
                  <a:pt x="9384480" y="2378383"/>
                </a:cubicBezTo>
                <a:cubicBezTo>
                  <a:pt x="9403447" y="2378383"/>
                  <a:pt x="9418821" y="2362791"/>
                  <a:pt x="9418821" y="2343563"/>
                </a:cubicBezTo>
                <a:cubicBezTo>
                  <a:pt x="9418821" y="2324334"/>
                  <a:pt x="9403447" y="2308742"/>
                  <a:pt x="9384480" y="2308742"/>
                </a:cubicBezTo>
                <a:close/>
                <a:moveTo>
                  <a:pt x="9468222" y="2308742"/>
                </a:moveTo>
                <a:cubicBezTo>
                  <a:pt x="9449255" y="2308742"/>
                  <a:pt x="9433869" y="2324334"/>
                  <a:pt x="9433869" y="2343563"/>
                </a:cubicBezTo>
                <a:cubicBezTo>
                  <a:pt x="9433869" y="2362791"/>
                  <a:pt x="9449255" y="2378383"/>
                  <a:pt x="9468222" y="2378383"/>
                </a:cubicBezTo>
                <a:cubicBezTo>
                  <a:pt x="9487189" y="2378383"/>
                  <a:pt x="9502562" y="2362791"/>
                  <a:pt x="9502562" y="2343563"/>
                </a:cubicBezTo>
                <a:cubicBezTo>
                  <a:pt x="9502562" y="2324334"/>
                  <a:pt x="9487189" y="2308742"/>
                  <a:pt x="9468222" y="2308742"/>
                </a:cubicBezTo>
                <a:close/>
                <a:moveTo>
                  <a:pt x="9551963" y="2308742"/>
                </a:moveTo>
                <a:cubicBezTo>
                  <a:pt x="9532996" y="2308742"/>
                  <a:pt x="9517610" y="2324334"/>
                  <a:pt x="9517610" y="2343563"/>
                </a:cubicBezTo>
                <a:cubicBezTo>
                  <a:pt x="9517610" y="2362791"/>
                  <a:pt x="9532996" y="2378383"/>
                  <a:pt x="9551963" y="2378383"/>
                </a:cubicBezTo>
                <a:cubicBezTo>
                  <a:pt x="9570930" y="2378383"/>
                  <a:pt x="9586303" y="2362791"/>
                  <a:pt x="9586303" y="2343563"/>
                </a:cubicBezTo>
                <a:cubicBezTo>
                  <a:pt x="9586303" y="2324334"/>
                  <a:pt x="9570930" y="2308742"/>
                  <a:pt x="9551963" y="2308742"/>
                </a:cubicBezTo>
                <a:close/>
                <a:moveTo>
                  <a:pt x="9635705" y="2308742"/>
                </a:moveTo>
                <a:cubicBezTo>
                  <a:pt x="9616738" y="2308742"/>
                  <a:pt x="9601352" y="2324334"/>
                  <a:pt x="9601352" y="2343563"/>
                </a:cubicBezTo>
                <a:cubicBezTo>
                  <a:pt x="9601352" y="2362791"/>
                  <a:pt x="9616738" y="2378383"/>
                  <a:pt x="9635705" y="2378383"/>
                </a:cubicBezTo>
                <a:cubicBezTo>
                  <a:pt x="9654672" y="2378383"/>
                  <a:pt x="9670045" y="2362791"/>
                  <a:pt x="9670045" y="2343563"/>
                </a:cubicBezTo>
                <a:cubicBezTo>
                  <a:pt x="9670045" y="2324334"/>
                  <a:pt x="9654672" y="2308742"/>
                  <a:pt x="9635705" y="2308742"/>
                </a:cubicBezTo>
                <a:close/>
                <a:moveTo>
                  <a:pt x="9719446" y="2308742"/>
                </a:moveTo>
                <a:cubicBezTo>
                  <a:pt x="9700479" y="2308742"/>
                  <a:pt x="9685093" y="2324334"/>
                  <a:pt x="9685093" y="2343563"/>
                </a:cubicBezTo>
                <a:cubicBezTo>
                  <a:pt x="9685093" y="2362791"/>
                  <a:pt x="9700479" y="2378383"/>
                  <a:pt x="9719446" y="2378383"/>
                </a:cubicBezTo>
                <a:cubicBezTo>
                  <a:pt x="9738413" y="2378383"/>
                  <a:pt x="9753787" y="2362791"/>
                  <a:pt x="9753787" y="2343563"/>
                </a:cubicBezTo>
                <a:cubicBezTo>
                  <a:pt x="9753787" y="2324334"/>
                  <a:pt x="9738413" y="2308742"/>
                  <a:pt x="9719446" y="2308742"/>
                </a:cubicBezTo>
                <a:close/>
                <a:moveTo>
                  <a:pt x="9803189" y="2308742"/>
                </a:moveTo>
                <a:cubicBezTo>
                  <a:pt x="9784222" y="2308742"/>
                  <a:pt x="9768836" y="2324334"/>
                  <a:pt x="9768836" y="2343563"/>
                </a:cubicBezTo>
                <a:cubicBezTo>
                  <a:pt x="9768836" y="2362791"/>
                  <a:pt x="9784222" y="2378383"/>
                  <a:pt x="9803189" y="2378383"/>
                </a:cubicBezTo>
                <a:cubicBezTo>
                  <a:pt x="9822156" y="2378383"/>
                  <a:pt x="9837529" y="2362791"/>
                  <a:pt x="9837529" y="2343563"/>
                </a:cubicBezTo>
                <a:cubicBezTo>
                  <a:pt x="9837529" y="2324334"/>
                  <a:pt x="9822156" y="2308742"/>
                  <a:pt x="9803189" y="2308742"/>
                </a:cubicBezTo>
                <a:close/>
                <a:moveTo>
                  <a:pt x="9886930" y="2308742"/>
                </a:moveTo>
                <a:cubicBezTo>
                  <a:pt x="9867963" y="2308742"/>
                  <a:pt x="9852577" y="2324334"/>
                  <a:pt x="9852577" y="2343563"/>
                </a:cubicBezTo>
                <a:cubicBezTo>
                  <a:pt x="9852577" y="2362791"/>
                  <a:pt x="9867963" y="2378383"/>
                  <a:pt x="9886930" y="2378383"/>
                </a:cubicBezTo>
                <a:cubicBezTo>
                  <a:pt x="9905897" y="2378383"/>
                  <a:pt x="9921270" y="2362791"/>
                  <a:pt x="9921270" y="2343563"/>
                </a:cubicBezTo>
                <a:cubicBezTo>
                  <a:pt x="9921270" y="2324334"/>
                  <a:pt x="9905897" y="2308742"/>
                  <a:pt x="9886930" y="2308742"/>
                </a:cubicBezTo>
                <a:close/>
                <a:moveTo>
                  <a:pt x="9970671" y="2308742"/>
                </a:moveTo>
                <a:cubicBezTo>
                  <a:pt x="9951704" y="2308742"/>
                  <a:pt x="9936318" y="2324334"/>
                  <a:pt x="9936318" y="2343563"/>
                </a:cubicBezTo>
                <a:cubicBezTo>
                  <a:pt x="9936318" y="2362791"/>
                  <a:pt x="9951704" y="2378383"/>
                  <a:pt x="9970671" y="2378383"/>
                </a:cubicBezTo>
                <a:cubicBezTo>
                  <a:pt x="9989638" y="2378383"/>
                  <a:pt x="10005011" y="2362791"/>
                  <a:pt x="10005011" y="2343563"/>
                </a:cubicBezTo>
                <a:cubicBezTo>
                  <a:pt x="10005011" y="2324334"/>
                  <a:pt x="9989638" y="2308742"/>
                  <a:pt x="9970671" y="2308742"/>
                </a:cubicBezTo>
                <a:close/>
                <a:moveTo>
                  <a:pt x="10305638" y="2308742"/>
                </a:moveTo>
                <a:cubicBezTo>
                  <a:pt x="10286671" y="2308742"/>
                  <a:pt x="10271285" y="2324334"/>
                  <a:pt x="10271285" y="2343563"/>
                </a:cubicBezTo>
                <a:cubicBezTo>
                  <a:pt x="10271285" y="2362791"/>
                  <a:pt x="10286671" y="2378383"/>
                  <a:pt x="10305638" y="2378383"/>
                </a:cubicBezTo>
                <a:cubicBezTo>
                  <a:pt x="10324605" y="2378383"/>
                  <a:pt x="10339978" y="2362791"/>
                  <a:pt x="10339978" y="2343563"/>
                </a:cubicBezTo>
                <a:cubicBezTo>
                  <a:pt x="10339978" y="2324334"/>
                  <a:pt x="10324605" y="2308742"/>
                  <a:pt x="10305638" y="2308742"/>
                </a:cubicBezTo>
                <a:close/>
                <a:moveTo>
                  <a:pt x="2350151" y="2393606"/>
                </a:moveTo>
                <a:cubicBezTo>
                  <a:pt x="2331184" y="2393606"/>
                  <a:pt x="2315804" y="2409198"/>
                  <a:pt x="2315804" y="2428427"/>
                </a:cubicBezTo>
                <a:cubicBezTo>
                  <a:pt x="2315804" y="2447655"/>
                  <a:pt x="2331184" y="2463247"/>
                  <a:pt x="2350151" y="2463247"/>
                </a:cubicBezTo>
                <a:cubicBezTo>
                  <a:pt x="2369118" y="2463247"/>
                  <a:pt x="2384498" y="2447655"/>
                  <a:pt x="2384498" y="2428427"/>
                </a:cubicBezTo>
                <a:cubicBezTo>
                  <a:pt x="2384498" y="2409198"/>
                  <a:pt x="2369118" y="2393606"/>
                  <a:pt x="2350151" y="2393606"/>
                </a:cubicBezTo>
                <a:close/>
                <a:moveTo>
                  <a:pt x="2433893" y="2393606"/>
                </a:moveTo>
                <a:cubicBezTo>
                  <a:pt x="2414926" y="2393606"/>
                  <a:pt x="2399546" y="2409198"/>
                  <a:pt x="2399546" y="2428427"/>
                </a:cubicBezTo>
                <a:cubicBezTo>
                  <a:pt x="2399546" y="2447655"/>
                  <a:pt x="2414926" y="2463247"/>
                  <a:pt x="2433893" y="2463247"/>
                </a:cubicBezTo>
                <a:cubicBezTo>
                  <a:pt x="2452860" y="2463247"/>
                  <a:pt x="2468240" y="2447655"/>
                  <a:pt x="2468240" y="2428427"/>
                </a:cubicBezTo>
                <a:cubicBezTo>
                  <a:pt x="2468240" y="2409198"/>
                  <a:pt x="2452860" y="2393606"/>
                  <a:pt x="2433893" y="2393606"/>
                </a:cubicBezTo>
                <a:close/>
                <a:moveTo>
                  <a:pt x="2517634" y="2393606"/>
                </a:moveTo>
                <a:cubicBezTo>
                  <a:pt x="2498667" y="2393606"/>
                  <a:pt x="2483288" y="2409198"/>
                  <a:pt x="2483288" y="2428427"/>
                </a:cubicBezTo>
                <a:cubicBezTo>
                  <a:pt x="2483288" y="2447655"/>
                  <a:pt x="2498667" y="2463247"/>
                  <a:pt x="2517634" y="2463247"/>
                </a:cubicBezTo>
                <a:cubicBezTo>
                  <a:pt x="2536601" y="2463247"/>
                  <a:pt x="2551981" y="2447655"/>
                  <a:pt x="2551981" y="2428427"/>
                </a:cubicBezTo>
                <a:cubicBezTo>
                  <a:pt x="2551981" y="2409198"/>
                  <a:pt x="2536601" y="2393606"/>
                  <a:pt x="2517634" y="2393606"/>
                </a:cubicBezTo>
                <a:close/>
                <a:moveTo>
                  <a:pt x="2601376" y="2393606"/>
                </a:moveTo>
                <a:cubicBezTo>
                  <a:pt x="2582409" y="2393606"/>
                  <a:pt x="2567029" y="2409198"/>
                  <a:pt x="2567029" y="2428427"/>
                </a:cubicBezTo>
                <a:cubicBezTo>
                  <a:pt x="2567029" y="2447655"/>
                  <a:pt x="2582409" y="2463247"/>
                  <a:pt x="2601376" y="2463247"/>
                </a:cubicBezTo>
                <a:cubicBezTo>
                  <a:pt x="2620343" y="2463247"/>
                  <a:pt x="2635722" y="2447655"/>
                  <a:pt x="2635722" y="2428427"/>
                </a:cubicBezTo>
                <a:cubicBezTo>
                  <a:pt x="2635722" y="2409198"/>
                  <a:pt x="2620343" y="2393606"/>
                  <a:pt x="2601376" y="2393606"/>
                </a:cubicBezTo>
                <a:close/>
                <a:moveTo>
                  <a:pt x="2685118" y="2393606"/>
                </a:moveTo>
                <a:cubicBezTo>
                  <a:pt x="2666151" y="2393606"/>
                  <a:pt x="2650771" y="2409198"/>
                  <a:pt x="2650771" y="2428427"/>
                </a:cubicBezTo>
                <a:cubicBezTo>
                  <a:pt x="2650771" y="2447655"/>
                  <a:pt x="2666151" y="2463247"/>
                  <a:pt x="2685118" y="2463247"/>
                </a:cubicBezTo>
                <a:cubicBezTo>
                  <a:pt x="2704085" y="2463247"/>
                  <a:pt x="2719465" y="2447655"/>
                  <a:pt x="2719465" y="2428427"/>
                </a:cubicBezTo>
                <a:cubicBezTo>
                  <a:pt x="2719465" y="2409198"/>
                  <a:pt x="2704085" y="2393606"/>
                  <a:pt x="2685118" y="2393606"/>
                </a:cubicBezTo>
                <a:close/>
                <a:moveTo>
                  <a:pt x="2768859" y="2393606"/>
                </a:moveTo>
                <a:cubicBezTo>
                  <a:pt x="2749892" y="2393606"/>
                  <a:pt x="2734512" y="2409198"/>
                  <a:pt x="2734512" y="2428427"/>
                </a:cubicBezTo>
                <a:cubicBezTo>
                  <a:pt x="2734512" y="2447655"/>
                  <a:pt x="2749892" y="2463247"/>
                  <a:pt x="2768859" y="2463247"/>
                </a:cubicBezTo>
                <a:cubicBezTo>
                  <a:pt x="2787826" y="2463247"/>
                  <a:pt x="2803206" y="2447655"/>
                  <a:pt x="2803206" y="2428427"/>
                </a:cubicBezTo>
                <a:cubicBezTo>
                  <a:pt x="2803206" y="2409198"/>
                  <a:pt x="2787826" y="2393606"/>
                  <a:pt x="2768859" y="2393606"/>
                </a:cubicBezTo>
                <a:close/>
                <a:moveTo>
                  <a:pt x="2852600" y="2393606"/>
                </a:moveTo>
                <a:cubicBezTo>
                  <a:pt x="2833633" y="2393606"/>
                  <a:pt x="2818254" y="2409198"/>
                  <a:pt x="2818254" y="2428427"/>
                </a:cubicBezTo>
                <a:cubicBezTo>
                  <a:pt x="2818254" y="2447655"/>
                  <a:pt x="2833633" y="2463247"/>
                  <a:pt x="2852600" y="2463247"/>
                </a:cubicBezTo>
                <a:cubicBezTo>
                  <a:pt x="2871567" y="2463247"/>
                  <a:pt x="2886947" y="2447655"/>
                  <a:pt x="2886947" y="2428427"/>
                </a:cubicBezTo>
                <a:cubicBezTo>
                  <a:pt x="2886947" y="2409198"/>
                  <a:pt x="2871567" y="2393606"/>
                  <a:pt x="2852600" y="2393606"/>
                </a:cubicBezTo>
                <a:close/>
                <a:moveTo>
                  <a:pt x="2936343" y="2393606"/>
                </a:moveTo>
                <a:cubicBezTo>
                  <a:pt x="2917376" y="2393606"/>
                  <a:pt x="2901996" y="2409198"/>
                  <a:pt x="2901996" y="2428427"/>
                </a:cubicBezTo>
                <a:cubicBezTo>
                  <a:pt x="2901996" y="2447655"/>
                  <a:pt x="2917376" y="2463247"/>
                  <a:pt x="2936343" y="2463247"/>
                </a:cubicBezTo>
                <a:cubicBezTo>
                  <a:pt x="2955310" y="2463247"/>
                  <a:pt x="2970689" y="2447655"/>
                  <a:pt x="2970689" y="2428427"/>
                </a:cubicBezTo>
                <a:cubicBezTo>
                  <a:pt x="2970689" y="2409198"/>
                  <a:pt x="2955310" y="2393606"/>
                  <a:pt x="2936343" y="2393606"/>
                </a:cubicBezTo>
                <a:close/>
                <a:moveTo>
                  <a:pt x="3020084" y="2393606"/>
                </a:moveTo>
                <a:cubicBezTo>
                  <a:pt x="3001117" y="2393606"/>
                  <a:pt x="2985737" y="2409198"/>
                  <a:pt x="2985737" y="2428427"/>
                </a:cubicBezTo>
                <a:cubicBezTo>
                  <a:pt x="2985737" y="2447655"/>
                  <a:pt x="3001117" y="2463247"/>
                  <a:pt x="3020084" y="2463247"/>
                </a:cubicBezTo>
                <a:cubicBezTo>
                  <a:pt x="3039051" y="2463247"/>
                  <a:pt x="3054431" y="2447655"/>
                  <a:pt x="3054431" y="2428427"/>
                </a:cubicBezTo>
                <a:cubicBezTo>
                  <a:pt x="3054431" y="2409198"/>
                  <a:pt x="3039051" y="2393606"/>
                  <a:pt x="3020084" y="2393606"/>
                </a:cubicBezTo>
                <a:close/>
                <a:moveTo>
                  <a:pt x="3187567" y="2393606"/>
                </a:moveTo>
                <a:cubicBezTo>
                  <a:pt x="3168600" y="2393606"/>
                  <a:pt x="3153221" y="2409198"/>
                  <a:pt x="3153221" y="2428427"/>
                </a:cubicBezTo>
                <a:cubicBezTo>
                  <a:pt x="3153221" y="2447655"/>
                  <a:pt x="3168600" y="2463247"/>
                  <a:pt x="3187567" y="2463247"/>
                </a:cubicBezTo>
                <a:cubicBezTo>
                  <a:pt x="3206534" y="2463247"/>
                  <a:pt x="3221914" y="2447655"/>
                  <a:pt x="3221914" y="2428427"/>
                </a:cubicBezTo>
                <a:cubicBezTo>
                  <a:pt x="3221914" y="2409198"/>
                  <a:pt x="3206534" y="2393606"/>
                  <a:pt x="3187567" y="2393606"/>
                </a:cubicBezTo>
                <a:close/>
                <a:moveTo>
                  <a:pt x="3438792" y="2393606"/>
                </a:moveTo>
                <a:cubicBezTo>
                  <a:pt x="3419825" y="2393606"/>
                  <a:pt x="3404445" y="2409198"/>
                  <a:pt x="3404445" y="2428427"/>
                </a:cubicBezTo>
                <a:cubicBezTo>
                  <a:pt x="3404445" y="2447655"/>
                  <a:pt x="3419825" y="2463247"/>
                  <a:pt x="3438792" y="2463247"/>
                </a:cubicBezTo>
                <a:cubicBezTo>
                  <a:pt x="3457759" y="2463247"/>
                  <a:pt x="3473139" y="2447655"/>
                  <a:pt x="3473139" y="2428427"/>
                </a:cubicBezTo>
                <a:cubicBezTo>
                  <a:pt x="3473139" y="2409198"/>
                  <a:pt x="3457759" y="2393606"/>
                  <a:pt x="3438792" y="2393606"/>
                </a:cubicBezTo>
                <a:close/>
                <a:moveTo>
                  <a:pt x="3522533" y="2393606"/>
                </a:moveTo>
                <a:cubicBezTo>
                  <a:pt x="3503566" y="2393606"/>
                  <a:pt x="3488187" y="2409198"/>
                  <a:pt x="3488187" y="2428427"/>
                </a:cubicBezTo>
                <a:cubicBezTo>
                  <a:pt x="3488187" y="2447655"/>
                  <a:pt x="3503566" y="2463247"/>
                  <a:pt x="3522533" y="2463247"/>
                </a:cubicBezTo>
                <a:cubicBezTo>
                  <a:pt x="3541500" y="2463247"/>
                  <a:pt x="3556880" y="2447655"/>
                  <a:pt x="3556880" y="2428427"/>
                </a:cubicBezTo>
                <a:cubicBezTo>
                  <a:pt x="3556880" y="2409198"/>
                  <a:pt x="3541500" y="2393606"/>
                  <a:pt x="3522533" y="2393606"/>
                </a:cubicBezTo>
                <a:close/>
                <a:moveTo>
                  <a:pt x="3690017" y="2393606"/>
                </a:moveTo>
                <a:cubicBezTo>
                  <a:pt x="3671050" y="2393606"/>
                  <a:pt x="3655670" y="2409198"/>
                  <a:pt x="3655670" y="2428427"/>
                </a:cubicBezTo>
                <a:cubicBezTo>
                  <a:pt x="3655670" y="2447655"/>
                  <a:pt x="3671050" y="2463247"/>
                  <a:pt x="3690017" y="2463247"/>
                </a:cubicBezTo>
                <a:cubicBezTo>
                  <a:pt x="3708984" y="2463247"/>
                  <a:pt x="3724364" y="2447655"/>
                  <a:pt x="3724364" y="2428427"/>
                </a:cubicBezTo>
                <a:cubicBezTo>
                  <a:pt x="3724364" y="2409198"/>
                  <a:pt x="3708984" y="2393606"/>
                  <a:pt x="3690017" y="2393606"/>
                </a:cubicBezTo>
                <a:close/>
                <a:moveTo>
                  <a:pt x="3773759" y="2393606"/>
                </a:moveTo>
                <a:cubicBezTo>
                  <a:pt x="3754792" y="2393606"/>
                  <a:pt x="3739412" y="2409198"/>
                  <a:pt x="3739412" y="2428427"/>
                </a:cubicBezTo>
                <a:cubicBezTo>
                  <a:pt x="3739412" y="2447655"/>
                  <a:pt x="3754792" y="2463247"/>
                  <a:pt x="3773759" y="2463247"/>
                </a:cubicBezTo>
                <a:cubicBezTo>
                  <a:pt x="3792726" y="2463247"/>
                  <a:pt x="3808106" y="2447655"/>
                  <a:pt x="3808106" y="2428427"/>
                </a:cubicBezTo>
                <a:cubicBezTo>
                  <a:pt x="3808106" y="2409198"/>
                  <a:pt x="3792726" y="2393606"/>
                  <a:pt x="3773759" y="2393606"/>
                </a:cubicBezTo>
                <a:close/>
                <a:moveTo>
                  <a:pt x="3857500" y="2393606"/>
                </a:moveTo>
                <a:cubicBezTo>
                  <a:pt x="3838533" y="2393606"/>
                  <a:pt x="3823154" y="2409198"/>
                  <a:pt x="3823154" y="2428427"/>
                </a:cubicBezTo>
                <a:cubicBezTo>
                  <a:pt x="3823154" y="2447655"/>
                  <a:pt x="3838533" y="2463247"/>
                  <a:pt x="3857500" y="2463247"/>
                </a:cubicBezTo>
                <a:cubicBezTo>
                  <a:pt x="3876467" y="2463247"/>
                  <a:pt x="3891847" y="2447655"/>
                  <a:pt x="3891847" y="2428427"/>
                </a:cubicBezTo>
                <a:cubicBezTo>
                  <a:pt x="3891847" y="2409198"/>
                  <a:pt x="3876467" y="2393606"/>
                  <a:pt x="3857500" y="2393606"/>
                </a:cubicBezTo>
                <a:close/>
                <a:moveTo>
                  <a:pt x="3941242" y="2393606"/>
                </a:moveTo>
                <a:cubicBezTo>
                  <a:pt x="3922275" y="2393606"/>
                  <a:pt x="3906895" y="2409198"/>
                  <a:pt x="3906895" y="2428427"/>
                </a:cubicBezTo>
                <a:cubicBezTo>
                  <a:pt x="3906895" y="2447655"/>
                  <a:pt x="3922275" y="2463247"/>
                  <a:pt x="3941242" y="2463247"/>
                </a:cubicBezTo>
                <a:cubicBezTo>
                  <a:pt x="3960209" y="2463247"/>
                  <a:pt x="3975588" y="2447655"/>
                  <a:pt x="3975588" y="2428427"/>
                </a:cubicBezTo>
                <a:cubicBezTo>
                  <a:pt x="3975588" y="2409198"/>
                  <a:pt x="3960209" y="2393606"/>
                  <a:pt x="3941242" y="2393606"/>
                </a:cubicBezTo>
                <a:close/>
                <a:moveTo>
                  <a:pt x="4024990" y="2393606"/>
                </a:moveTo>
                <a:cubicBezTo>
                  <a:pt x="4006023" y="2393606"/>
                  <a:pt x="3990643" y="2409198"/>
                  <a:pt x="3990643" y="2428427"/>
                </a:cubicBezTo>
                <a:cubicBezTo>
                  <a:pt x="3990643" y="2447655"/>
                  <a:pt x="4006023" y="2463247"/>
                  <a:pt x="4024990" y="2463247"/>
                </a:cubicBezTo>
                <a:cubicBezTo>
                  <a:pt x="4043957" y="2463247"/>
                  <a:pt x="4059337" y="2447655"/>
                  <a:pt x="4059337" y="2428427"/>
                </a:cubicBezTo>
                <a:cubicBezTo>
                  <a:pt x="4059337" y="2409198"/>
                  <a:pt x="4043957" y="2393606"/>
                  <a:pt x="4024990" y="2393606"/>
                </a:cubicBezTo>
                <a:close/>
                <a:moveTo>
                  <a:pt x="4108732" y="2393606"/>
                </a:moveTo>
                <a:cubicBezTo>
                  <a:pt x="4089765" y="2393606"/>
                  <a:pt x="4074386" y="2409198"/>
                  <a:pt x="4074386" y="2428427"/>
                </a:cubicBezTo>
                <a:cubicBezTo>
                  <a:pt x="4074386" y="2447655"/>
                  <a:pt x="4089765" y="2463247"/>
                  <a:pt x="4108732" y="2463247"/>
                </a:cubicBezTo>
                <a:cubicBezTo>
                  <a:pt x="4127699" y="2463247"/>
                  <a:pt x="4143079" y="2447655"/>
                  <a:pt x="4143079" y="2428427"/>
                </a:cubicBezTo>
                <a:cubicBezTo>
                  <a:pt x="4143079" y="2409198"/>
                  <a:pt x="4127699" y="2393606"/>
                  <a:pt x="4108732" y="2393606"/>
                </a:cubicBezTo>
                <a:close/>
                <a:moveTo>
                  <a:pt x="4192473" y="2393606"/>
                </a:moveTo>
                <a:cubicBezTo>
                  <a:pt x="4173506" y="2393606"/>
                  <a:pt x="4158127" y="2409198"/>
                  <a:pt x="4158127" y="2428427"/>
                </a:cubicBezTo>
                <a:cubicBezTo>
                  <a:pt x="4158127" y="2447655"/>
                  <a:pt x="4173506" y="2463247"/>
                  <a:pt x="4192473" y="2463247"/>
                </a:cubicBezTo>
                <a:cubicBezTo>
                  <a:pt x="4211440" y="2463247"/>
                  <a:pt x="4226820" y="2447655"/>
                  <a:pt x="4226820" y="2428427"/>
                </a:cubicBezTo>
                <a:cubicBezTo>
                  <a:pt x="4226820" y="2409198"/>
                  <a:pt x="4211440" y="2393606"/>
                  <a:pt x="4192473" y="2393606"/>
                </a:cubicBezTo>
                <a:close/>
                <a:moveTo>
                  <a:pt x="4276215" y="2393606"/>
                </a:moveTo>
                <a:cubicBezTo>
                  <a:pt x="4257248" y="2393606"/>
                  <a:pt x="4241868" y="2409198"/>
                  <a:pt x="4241868" y="2428427"/>
                </a:cubicBezTo>
                <a:cubicBezTo>
                  <a:pt x="4241868" y="2447655"/>
                  <a:pt x="4257248" y="2463247"/>
                  <a:pt x="4276215" y="2463247"/>
                </a:cubicBezTo>
                <a:cubicBezTo>
                  <a:pt x="4295182" y="2463247"/>
                  <a:pt x="4310561" y="2447655"/>
                  <a:pt x="4310561" y="2428427"/>
                </a:cubicBezTo>
                <a:cubicBezTo>
                  <a:pt x="4310561" y="2409198"/>
                  <a:pt x="4295182" y="2393606"/>
                  <a:pt x="4276215" y="2393606"/>
                </a:cubicBezTo>
                <a:close/>
                <a:moveTo>
                  <a:pt x="5616081" y="2393606"/>
                </a:moveTo>
                <a:cubicBezTo>
                  <a:pt x="5597114" y="2393606"/>
                  <a:pt x="5581734" y="2409198"/>
                  <a:pt x="5581734" y="2428427"/>
                </a:cubicBezTo>
                <a:cubicBezTo>
                  <a:pt x="5581734" y="2447655"/>
                  <a:pt x="5597114" y="2463247"/>
                  <a:pt x="5616081" y="2463247"/>
                </a:cubicBezTo>
                <a:cubicBezTo>
                  <a:pt x="5635048" y="2463247"/>
                  <a:pt x="5650427" y="2447655"/>
                  <a:pt x="5650427" y="2428427"/>
                </a:cubicBezTo>
                <a:cubicBezTo>
                  <a:pt x="5650427" y="2409198"/>
                  <a:pt x="5635048" y="2393606"/>
                  <a:pt x="5616081" y="2393606"/>
                </a:cubicBezTo>
                <a:close/>
                <a:moveTo>
                  <a:pt x="5783564" y="2393606"/>
                </a:moveTo>
                <a:cubicBezTo>
                  <a:pt x="5764597" y="2393606"/>
                  <a:pt x="5749218" y="2409198"/>
                  <a:pt x="5749218" y="2428427"/>
                </a:cubicBezTo>
                <a:cubicBezTo>
                  <a:pt x="5749218" y="2447655"/>
                  <a:pt x="5764597" y="2463247"/>
                  <a:pt x="5783564" y="2463247"/>
                </a:cubicBezTo>
                <a:cubicBezTo>
                  <a:pt x="5802531" y="2463247"/>
                  <a:pt x="5817911" y="2447655"/>
                  <a:pt x="5817911" y="2428427"/>
                </a:cubicBezTo>
                <a:cubicBezTo>
                  <a:pt x="5817911" y="2409198"/>
                  <a:pt x="5802531" y="2393606"/>
                  <a:pt x="5783564" y="2393606"/>
                </a:cubicBezTo>
                <a:close/>
                <a:moveTo>
                  <a:pt x="6118531" y="2393606"/>
                </a:moveTo>
                <a:cubicBezTo>
                  <a:pt x="6099557" y="2393606"/>
                  <a:pt x="6084177" y="2409198"/>
                  <a:pt x="6084177" y="2428427"/>
                </a:cubicBezTo>
                <a:cubicBezTo>
                  <a:pt x="6084177" y="2447655"/>
                  <a:pt x="6099557" y="2463247"/>
                  <a:pt x="6118531" y="2463247"/>
                </a:cubicBezTo>
                <a:cubicBezTo>
                  <a:pt x="6137498" y="2463247"/>
                  <a:pt x="6152871" y="2447655"/>
                  <a:pt x="6152871" y="2428427"/>
                </a:cubicBezTo>
                <a:cubicBezTo>
                  <a:pt x="6152871" y="2409198"/>
                  <a:pt x="6137498" y="2393606"/>
                  <a:pt x="6118531" y="2393606"/>
                </a:cubicBezTo>
                <a:close/>
                <a:moveTo>
                  <a:pt x="6202273" y="2393606"/>
                </a:moveTo>
                <a:cubicBezTo>
                  <a:pt x="6183306" y="2393606"/>
                  <a:pt x="6167920" y="2409198"/>
                  <a:pt x="6167920" y="2428427"/>
                </a:cubicBezTo>
                <a:cubicBezTo>
                  <a:pt x="6167920" y="2447655"/>
                  <a:pt x="6183306" y="2463247"/>
                  <a:pt x="6202273" y="2463247"/>
                </a:cubicBezTo>
                <a:cubicBezTo>
                  <a:pt x="6221240" y="2463247"/>
                  <a:pt x="6236613" y="2447655"/>
                  <a:pt x="6236613" y="2428427"/>
                </a:cubicBezTo>
                <a:cubicBezTo>
                  <a:pt x="6236613" y="2409198"/>
                  <a:pt x="6221240" y="2393606"/>
                  <a:pt x="6202273" y="2393606"/>
                </a:cubicBezTo>
                <a:close/>
                <a:moveTo>
                  <a:pt x="6286014" y="2393606"/>
                </a:moveTo>
                <a:cubicBezTo>
                  <a:pt x="6267047" y="2393606"/>
                  <a:pt x="6251661" y="2409198"/>
                  <a:pt x="6251661" y="2428427"/>
                </a:cubicBezTo>
                <a:cubicBezTo>
                  <a:pt x="6251661" y="2447655"/>
                  <a:pt x="6267047" y="2463247"/>
                  <a:pt x="6286014" y="2463247"/>
                </a:cubicBezTo>
                <a:cubicBezTo>
                  <a:pt x="6304981" y="2463247"/>
                  <a:pt x="6320354" y="2447655"/>
                  <a:pt x="6320354" y="2428427"/>
                </a:cubicBezTo>
                <a:cubicBezTo>
                  <a:pt x="6320354" y="2409198"/>
                  <a:pt x="6304981" y="2393606"/>
                  <a:pt x="6286014" y="2393606"/>
                </a:cubicBezTo>
                <a:close/>
                <a:moveTo>
                  <a:pt x="6369755" y="2393606"/>
                </a:moveTo>
                <a:cubicBezTo>
                  <a:pt x="6350788" y="2393606"/>
                  <a:pt x="6335402" y="2409198"/>
                  <a:pt x="6335402" y="2428427"/>
                </a:cubicBezTo>
                <a:cubicBezTo>
                  <a:pt x="6335402" y="2447655"/>
                  <a:pt x="6350788" y="2463247"/>
                  <a:pt x="6369755" y="2463247"/>
                </a:cubicBezTo>
                <a:cubicBezTo>
                  <a:pt x="6388722" y="2463247"/>
                  <a:pt x="6404096" y="2447655"/>
                  <a:pt x="6404096" y="2428427"/>
                </a:cubicBezTo>
                <a:cubicBezTo>
                  <a:pt x="6404096" y="2409198"/>
                  <a:pt x="6388722" y="2393606"/>
                  <a:pt x="6369755" y="2393606"/>
                </a:cubicBezTo>
                <a:close/>
                <a:moveTo>
                  <a:pt x="6453498" y="2393606"/>
                </a:moveTo>
                <a:cubicBezTo>
                  <a:pt x="6434531" y="2393606"/>
                  <a:pt x="6419144" y="2409198"/>
                  <a:pt x="6419144" y="2428427"/>
                </a:cubicBezTo>
                <a:cubicBezTo>
                  <a:pt x="6419144" y="2447655"/>
                  <a:pt x="6434531" y="2463247"/>
                  <a:pt x="6453498" y="2463247"/>
                </a:cubicBezTo>
                <a:cubicBezTo>
                  <a:pt x="6472465" y="2463247"/>
                  <a:pt x="6487838" y="2447655"/>
                  <a:pt x="6487838" y="2428427"/>
                </a:cubicBezTo>
                <a:cubicBezTo>
                  <a:pt x="6487838" y="2409198"/>
                  <a:pt x="6472465" y="2393606"/>
                  <a:pt x="6453498" y="2393606"/>
                </a:cubicBezTo>
                <a:close/>
                <a:moveTo>
                  <a:pt x="6537239" y="2393606"/>
                </a:moveTo>
                <a:cubicBezTo>
                  <a:pt x="6518272" y="2393606"/>
                  <a:pt x="6502886" y="2409198"/>
                  <a:pt x="6502886" y="2428427"/>
                </a:cubicBezTo>
                <a:cubicBezTo>
                  <a:pt x="6502886" y="2447655"/>
                  <a:pt x="6518272" y="2463247"/>
                  <a:pt x="6537239" y="2463247"/>
                </a:cubicBezTo>
                <a:cubicBezTo>
                  <a:pt x="6556206" y="2463247"/>
                  <a:pt x="6571579" y="2447655"/>
                  <a:pt x="6571579" y="2428427"/>
                </a:cubicBezTo>
                <a:cubicBezTo>
                  <a:pt x="6571579" y="2409198"/>
                  <a:pt x="6556206" y="2393606"/>
                  <a:pt x="6537239" y="2393606"/>
                </a:cubicBezTo>
                <a:close/>
                <a:moveTo>
                  <a:pt x="6620980" y="2393606"/>
                </a:moveTo>
                <a:cubicBezTo>
                  <a:pt x="6602013" y="2393606"/>
                  <a:pt x="6586627" y="2409198"/>
                  <a:pt x="6586627" y="2428427"/>
                </a:cubicBezTo>
                <a:cubicBezTo>
                  <a:pt x="6586627" y="2447655"/>
                  <a:pt x="6602013" y="2463247"/>
                  <a:pt x="6620980" y="2463247"/>
                </a:cubicBezTo>
                <a:cubicBezTo>
                  <a:pt x="6639947" y="2463247"/>
                  <a:pt x="6655320" y="2447655"/>
                  <a:pt x="6655320" y="2428427"/>
                </a:cubicBezTo>
                <a:cubicBezTo>
                  <a:pt x="6655320" y="2409198"/>
                  <a:pt x="6639947" y="2393606"/>
                  <a:pt x="6620980" y="2393606"/>
                </a:cubicBezTo>
                <a:close/>
                <a:moveTo>
                  <a:pt x="6704722" y="2393606"/>
                </a:moveTo>
                <a:cubicBezTo>
                  <a:pt x="6685755" y="2393606"/>
                  <a:pt x="6670369" y="2409198"/>
                  <a:pt x="6670369" y="2428427"/>
                </a:cubicBezTo>
                <a:cubicBezTo>
                  <a:pt x="6670369" y="2447655"/>
                  <a:pt x="6685755" y="2463247"/>
                  <a:pt x="6704722" y="2463247"/>
                </a:cubicBezTo>
                <a:cubicBezTo>
                  <a:pt x="6723689" y="2463247"/>
                  <a:pt x="6739063" y="2447655"/>
                  <a:pt x="6739063" y="2428427"/>
                </a:cubicBezTo>
                <a:cubicBezTo>
                  <a:pt x="6739063" y="2409198"/>
                  <a:pt x="6723689" y="2393606"/>
                  <a:pt x="6704722" y="2393606"/>
                </a:cubicBezTo>
                <a:close/>
                <a:moveTo>
                  <a:pt x="6788464" y="2393606"/>
                </a:moveTo>
                <a:cubicBezTo>
                  <a:pt x="6769497" y="2393606"/>
                  <a:pt x="6754110" y="2409198"/>
                  <a:pt x="6754110" y="2428427"/>
                </a:cubicBezTo>
                <a:cubicBezTo>
                  <a:pt x="6754110" y="2447655"/>
                  <a:pt x="6769497" y="2463247"/>
                  <a:pt x="6788464" y="2463247"/>
                </a:cubicBezTo>
                <a:cubicBezTo>
                  <a:pt x="6807431" y="2463247"/>
                  <a:pt x="6822804" y="2447655"/>
                  <a:pt x="6822804" y="2428427"/>
                </a:cubicBezTo>
                <a:cubicBezTo>
                  <a:pt x="6822804" y="2409198"/>
                  <a:pt x="6807431" y="2393606"/>
                  <a:pt x="6788464" y="2393606"/>
                </a:cubicBezTo>
                <a:close/>
                <a:moveTo>
                  <a:pt x="6872206" y="2393606"/>
                </a:moveTo>
                <a:cubicBezTo>
                  <a:pt x="6853239" y="2393606"/>
                  <a:pt x="6837853" y="2409198"/>
                  <a:pt x="6837853" y="2428427"/>
                </a:cubicBezTo>
                <a:cubicBezTo>
                  <a:pt x="6837853" y="2447655"/>
                  <a:pt x="6853239" y="2463247"/>
                  <a:pt x="6872206" y="2463247"/>
                </a:cubicBezTo>
                <a:cubicBezTo>
                  <a:pt x="6891173" y="2463247"/>
                  <a:pt x="6906546" y="2447655"/>
                  <a:pt x="6906546" y="2428427"/>
                </a:cubicBezTo>
                <a:cubicBezTo>
                  <a:pt x="6906546" y="2409198"/>
                  <a:pt x="6891173" y="2393606"/>
                  <a:pt x="6872206" y="2393606"/>
                </a:cubicBezTo>
                <a:close/>
                <a:moveTo>
                  <a:pt x="6955947" y="2393606"/>
                </a:moveTo>
                <a:cubicBezTo>
                  <a:pt x="6936980" y="2393606"/>
                  <a:pt x="6921594" y="2409198"/>
                  <a:pt x="6921594" y="2428427"/>
                </a:cubicBezTo>
                <a:cubicBezTo>
                  <a:pt x="6921594" y="2447655"/>
                  <a:pt x="6936980" y="2463247"/>
                  <a:pt x="6955947" y="2463247"/>
                </a:cubicBezTo>
                <a:cubicBezTo>
                  <a:pt x="6974914" y="2463247"/>
                  <a:pt x="6990287" y="2447655"/>
                  <a:pt x="6990287" y="2428427"/>
                </a:cubicBezTo>
                <a:cubicBezTo>
                  <a:pt x="6990287" y="2409198"/>
                  <a:pt x="6974914" y="2393606"/>
                  <a:pt x="6955947" y="2393606"/>
                </a:cubicBezTo>
                <a:close/>
                <a:moveTo>
                  <a:pt x="7039688" y="2393606"/>
                </a:moveTo>
                <a:cubicBezTo>
                  <a:pt x="7020721" y="2393606"/>
                  <a:pt x="7005335" y="2409198"/>
                  <a:pt x="7005335" y="2428427"/>
                </a:cubicBezTo>
                <a:cubicBezTo>
                  <a:pt x="7005335" y="2447655"/>
                  <a:pt x="7020721" y="2463247"/>
                  <a:pt x="7039688" y="2463247"/>
                </a:cubicBezTo>
                <a:cubicBezTo>
                  <a:pt x="7058655" y="2463247"/>
                  <a:pt x="7074029" y="2447655"/>
                  <a:pt x="7074029" y="2428427"/>
                </a:cubicBezTo>
                <a:cubicBezTo>
                  <a:pt x="7074029" y="2409198"/>
                  <a:pt x="7058655" y="2393606"/>
                  <a:pt x="7039688" y="2393606"/>
                </a:cubicBezTo>
                <a:close/>
                <a:moveTo>
                  <a:pt x="7123456" y="2393606"/>
                </a:moveTo>
                <a:cubicBezTo>
                  <a:pt x="7104489" y="2393606"/>
                  <a:pt x="7089103" y="2409198"/>
                  <a:pt x="7089103" y="2428427"/>
                </a:cubicBezTo>
                <a:cubicBezTo>
                  <a:pt x="7089103" y="2447655"/>
                  <a:pt x="7104489" y="2463247"/>
                  <a:pt x="7123456" y="2463247"/>
                </a:cubicBezTo>
                <a:cubicBezTo>
                  <a:pt x="7142423" y="2463247"/>
                  <a:pt x="7157796" y="2447655"/>
                  <a:pt x="7157796" y="2428427"/>
                </a:cubicBezTo>
                <a:cubicBezTo>
                  <a:pt x="7157796" y="2409198"/>
                  <a:pt x="7142423" y="2393606"/>
                  <a:pt x="7123456" y="2393606"/>
                </a:cubicBezTo>
                <a:close/>
                <a:moveTo>
                  <a:pt x="7207198" y="2393606"/>
                </a:moveTo>
                <a:cubicBezTo>
                  <a:pt x="7188231" y="2393606"/>
                  <a:pt x="7172845" y="2409198"/>
                  <a:pt x="7172845" y="2428427"/>
                </a:cubicBezTo>
                <a:cubicBezTo>
                  <a:pt x="7172845" y="2447655"/>
                  <a:pt x="7188231" y="2463247"/>
                  <a:pt x="7207198" y="2463247"/>
                </a:cubicBezTo>
                <a:cubicBezTo>
                  <a:pt x="7226165" y="2463247"/>
                  <a:pt x="7241538" y="2447655"/>
                  <a:pt x="7241538" y="2428427"/>
                </a:cubicBezTo>
                <a:cubicBezTo>
                  <a:pt x="7241538" y="2409198"/>
                  <a:pt x="7226165" y="2393606"/>
                  <a:pt x="7207198" y="2393606"/>
                </a:cubicBezTo>
                <a:close/>
                <a:moveTo>
                  <a:pt x="7290939" y="2393606"/>
                </a:moveTo>
                <a:cubicBezTo>
                  <a:pt x="7271972" y="2393606"/>
                  <a:pt x="7256586" y="2409198"/>
                  <a:pt x="7256586" y="2428427"/>
                </a:cubicBezTo>
                <a:cubicBezTo>
                  <a:pt x="7256586" y="2447655"/>
                  <a:pt x="7271972" y="2463247"/>
                  <a:pt x="7290939" y="2463247"/>
                </a:cubicBezTo>
                <a:cubicBezTo>
                  <a:pt x="7309906" y="2463247"/>
                  <a:pt x="7325279" y="2447655"/>
                  <a:pt x="7325279" y="2428427"/>
                </a:cubicBezTo>
                <a:cubicBezTo>
                  <a:pt x="7325279" y="2409198"/>
                  <a:pt x="7309906" y="2393606"/>
                  <a:pt x="7290939" y="2393606"/>
                </a:cubicBezTo>
                <a:close/>
                <a:moveTo>
                  <a:pt x="7374681" y="2393606"/>
                </a:moveTo>
                <a:cubicBezTo>
                  <a:pt x="7355714" y="2393606"/>
                  <a:pt x="7340328" y="2409198"/>
                  <a:pt x="7340328" y="2428427"/>
                </a:cubicBezTo>
                <a:cubicBezTo>
                  <a:pt x="7340328" y="2447655"/>
                  <a:pt x="7355714" y="2463247"/>
                  <a:pt x="7374681" y="2463247"/>
                </a:cubicBezTo>
                <a:cubicBezTo>
                  <a:pt x="7393648" y="2463247"/>
                  <a:pt x="7409022" y="2447655"/>
                  <a:pt x="7409022" y="2428427"/>
                </a:cubicBezTo>
                <a:cubicBezTo>
                  <a:pt x="7409022" y="2409198"/>
                  <a:pt x="7393648" y="2393606"/>
                  <a:pt x="7374681" y="2393606"/>
                </a:cubicBezTo>
                <a:close/>
                <a:moveTo>
                  <a:pt x="7458423" y="2393606"/>
                </a:moveTo>
                <a:cubicBezTo>
                  <a:pt x="7439456" y="2393606"/>
                  <a:pt x="7424070" y="2409198"/>
                  <a:pt x="7424070" y="2428427"/>
                </a:cubicBezTo>
                <a:cubicBezTo>
                  <a:pt x="7424070" y="2447655"/>
                  <a:pt x="7439456" y="2463247"/>
                  <a:pt x="7458423" y="2463247"/>
                </a:cubicBezTo>
                <a:cubicBezTo>
                  <a:pt x="7477390" y="2463247"/>
                  <a:pt x="7492763" y="2447655"/>
                  <a:pt x="7492763" y="2428427"/>
                </a:cubicBezTo>
                <a:cubicBezTo>
                  <a:pt x="7492763" y="2409198"/>
                  <a:pt x="7477390" y="2393606"/>
                  <a:pt x="7458423" y="2393606"/>
                </a:cubicBezTo>
                <a:close/>
                <a:moveTo>
                  <a:pt x="7542164" y="2393606"/>
                </a:moveTo>
                <a:cubicBezTo>
                  <a:pt x="7523197" y="2393606"/>
                  <a:pt x="7507811" y="2409198"/>
                  <a:pt x="7507811" y="2428427"/>
                </a:cubicBezTo>
                <a:cubicBezTo>
                  <a:pt x="7507811" y="2447655"/>
                  <a:pt x="7523197" y="2463247"/>
                  <a:pt x="7542164" y="2463247"/>
                </a:cubicBezTo>
                <a:cubicBezTo>
                  <a:pt x="7561131" y="2463247"/>
                  <a:pt x="7576504" y="2447655"/>
                  <a:pt x="7576504" y="2428427"/>
                </a:cubicBezTo>
                <a:cubicBezTo>
                  <a:pt x="7576504" y="2409198"/>
                  <a:pt x="7561131" y="2393606"/>
                  <a:pt x="7542164" y="2393606"/>
                </a:cubicBezTo>
                <a:close/>
                <a:moveTo>
                  <a:pt x="7625906" y="2393606"/>
                </a:moveTo>
                <a:cubicBezTo>
                  <a:pt x="7606939" y="2393606"/>
                  <a:pt x="7591553" y="2409198"/>
                  <a:pt x="7591553" y="2428427"/>
                </a:cubicBezTo>
                <a:cubicBezTo>
                  <a:pt x="7591553" y="2447655"/>
                  <a:pt x="7606939" y="2463247"/>
                  <a:pt x="7625906" y="2463247"/>
                </a:cubicBezTo>
                <a:cubicBezTo>
                  <a:pt x="7644873" y="2463247"/>
                  <a:pt x="7660246" y="2447655"/>
                  <a:pt x="7660246" y="2428427"/>
                </a:cubicBezTo>
                <a:cubicBezTo>
                  <a:pt x="7660246" y="2409198"/>
                  <a:pt x="7644873" y="2393606"/>
                  <a:pt x="7625906" y="2393606"/>
                </a:cubicBezTo>
                <a:close/>
                <a:moveTo>
                  <a:pt x="7709647" y="2393606"/>
                </a:moveTo>
                <a:cubicBezTo>
                  <a:pt x="7690680" y="2393606"/>
                  <a:pt x="7675294" y="2409198"/>
                  <a:pt x="7675294" y="2428427"/>
                </a:cubicBezTo>
                <a:cubicBezTo>
                  <a:pt x="7675294" y="2447655"/>
                  <a:pt x="7690680" y="2463247"/>
                  <a:pt x="7709647" y="2463247"/>
                </a:cubicBezTo>
                <a:cubicBezTo>
                  <a:pt x="7728614" y="2463247"/>
                  <a:pt x="7743988" y="2447655"/>
                  <a:pt x="7743988" y="2428427"/>
                </a:cubicBezTo>
                <a:cubicBezTo>
                  <a:pt x="7743988" y="2409198"/>
                  <a:pt x="7728614" y="2393606"/>
                  <a:pt x="7709647" y="2393606"/>
                </a:cubicBezTo>
                <a:close/>
                <a:moveTo>
                  <a:pt x="7793389" y="2393606"/>
                </a:moveTo>
                <a:cubicBezTo>
                  <a:pt x="7774422" y="2393606"/>
                  <a:pt x="7759036" y="2409198"/>
                  <a:pt x="7759036" y="2428427"/>
                </a:cubicBezTo>
                <a:cubicBezTo>
                  <a:pt x="7759036" y="2447655"/>
                  <a:pt x="7774422" y="2463247"/>
                  <a:pt x="7793389" y="2463247"/>
                </a:cubicBezTo>
                <a:cubicBezTo>
                  <a:pt x="7812356" y="2463247"/>
                  <a:pt x="7827729" y="2447655"/>
                  <a:pt x="7827729" y="2428427"/>
                </a:cubicBezTo>
                <a:cubicBezTo>
                  <a:pt x="7827729" y="2409198"/>
                  <a:pt x="7812356" y="2393606"/>
                  <a:pt x="7793389" y="2393606"/>
                </a:cubicBezTo>
                <a:close/>
                <a:moveTo>
                  <a:pt x="7877131" y="2393606"/>
                </a:moveTo>
                <a:cubicBezTo>
                  <a:pt x="7858164" y="2393606"/>
                  <a:pt x="7842778" y="2409198"/>
                  <a:pt x="7842778" y="2428427"/>
                </a:cubicBezTo>
                <a:cubicBezTo>
                  <a:pt x="7842778" y="2447655"/>
                  <a:pt x="7858164" y="2463247"/>
                  <a:pt x="7877131" y="2463247"/>
                </a:cubicBezTo>
                <a:cubicBezTo>
                  <a:pt x="7896098" y="2463247"/>
                  <a:pt x="7911471" y="2447655"/>
                  <a:pt x="7911471" y="2428427"/>
                </a:cubicBezTo>
                <a:cubicBezTo>
                  <a:pt x="7911471" y="2409198"/>
                  <a:pt x="7896098" y="2393606"/>
                  <a:pt x="7877131" y="2393606"/>
                </a:cubicBezTo>
                <a:close/>
                <a:moveTo>
                  <a:pt x="7960872" y="2393606"/>
                </a:moveTo>
                <a:cubicBezTo>
                  <a:pt x="7941905" y="2393606"/>
                  <a:pt x="7926519" y="2409198"/>
                  <a:pt x="7926519" y="2428427"/>
                </a:cubicBezTo>
                <a:cubicBezTo>
                  <a:pt x="7926519" y="2447655"/>
                  <a:pt x="7941905" y="2463247"/>
                  <a:pt x="7960872" y="2463247"/>
                </a:cubicBezTo>
                <a:cubicBezTo>
                  <a:pt x="7979839" y="2463247"/>
                  <a:pt x="7995212" y="2447655"/>
                  <a:pt x="7995212" y="2428427"/>
                </a:cubicBezTo>
                <a:cubicBezTo>
                  <a:pt x="7995212" y="2409198"/>
                  <a:pt x="7979839" y="2393606"/>
                  <a:pt x="7960872" y="2393606"/>
                </a:cubicBezTo>
                <a:close/>
                <a:moveTo>
                  <a:pt x="8044614" y="2393606"/>
                </a:moveTo>
                <a:cubicBezTo>
                  <a:pt x="8025647" y="2393606"/>
                  <a:pt x="8010261" y="2409198"/>
                  <a:pt x="8010261" y="2428427"/>
                </a:cubicBezTo>
                <a:cubicBezTo>
                  <a:pt x="8010261" y="2447655"/>
                  <a:pt x="8025647" y="2463247"/>
                  <a:pt x="8044614" y="2463247"/>
                </a:cubicBezTo>
                <a:cubicBezTo>
                  <a:pt x="8063581" y="2463247"/>
                  <a:pt x="8078955" y="2447655"/>
                  <a:pt x="8078955" y="2428427"/>
                </a:cubicBezTo>
                <a:cubicBezTo>
                  <a:pt x="8078955" y="2409198"/>
                  <a:pt x="8063581" y="2393606"/>
                  <a:pt x="8044614" y="2393606"/>
                </a:cubicBezTo>
                <a:close/>
                <a:moveTo>
                  <a:pt x="8128356" y="2393606"/>
                </a:moveTo>
                <a:cubicBezTo>
                  <a:pt x="8109389" y="2393606"/>
                  <a:pt x="8094003" y="2409198"/>
                  <a:pt x="8094003" y="2428427"/>
                </a:cubicBezTo>
                <a:cubicBezTo>
                  <a:pt x="8094003" y="2447655"/>
                  <a:pt x="8109389" y="2463247"/>
                  <a:pt x="8128356" y="2463247"/>
                </a:cubicBezTo>
                <a:cubicBezTo>
                  <a:pt x="8147323" y="2463247"/>
                  <a:pt x="8162696" y="2447655"/>
                  <a:pt x="8162696" y="2428427"/>
                </a:cubicBezTo>
                <a:cubicBezTo>
                  <a:pt x="8162696" y="2409198"/>
                  <a:pt x="8147323" y="2393606"/>
                  <a:pt x="8128356" y="2393606"/>
                </a:cubicBezTo>
                <a:close/>
                <a:moveTo>
                  <a:pt x="8212097" y="2393606"/>
                </a:moveTo>
                <a:cubicBezTo>
                  <a:pt x="8193130" y="2393606"/>
                  <a:pt x="8177744" y="2409198"/>
                  <a:pt x="8177744" y="2428427"/>
                </a:cubicBezTo>
                <a:cubicBezTo>
                  <a:pt x="8177744" y="2447655"/>
                  <a:pt x="8193130" y="2463247"/>
                  <a:pt x="8212097" y="2463247"/>
                </a:cubicBezTo>
                <a:cubicBezTo>
                  <a:pt x="8231064" y="2463247"/>
                  <a:pt x="8246437" y="2447655"/>
                  <a:pt x="8246437" y="2428427"/>
                </a:cubicBezTo>
                <a:cubicBezTo>
                  <a:pt x="8246437" y="2409198"/>
                  <a:pt x="8231064" y="2393606"/>
                  <a:pt x="8212097" y="2393606"/>
                </a:cubicBezTo>
                <a:close/>
                <a:moveTo>
                  <a:pt x="8295839" y="2393606"/>
                </a:moveTo>
                <a:cubicBezTo>
                  <a:pt x="8276872" y="2393606"/>
                  <a:pt x="8261486" y="2409198"/>
                  <a:pt x="8261486" y="2428427"/>
                </a:cubicBezTo>
                <a:cubicBezTo>
                  <a:pt x="8261486" y="2447655"/>
                  <a:pt x="8276872" y="2463247"/>
                  <a:pt x="8295839" y="2463247"/>
                </a:cubicBezTo>
                <a:cubicBezTo>
                  <a:pt x="8314806" y="2463247"/>
                  <a:pt x="8330179" y="2447655"/>
                  <a:pt x="8330179" y="2428427"/>
                </a:cubicBezTo>
                <a:cubicBezTo>
                  <a:pt x="8330179" y="2409198"/>
                  <a:pt x="8314806" y="2393606"/>
                  <a:pt x="8295839" y="2393606"/>
                </a:cubicBezTo>
                <a:close/>
                <a:moveTo>
                  <a:pt x="8379580" y="2393606"/>
                </a:moveTo>
                <a:cubicBezTo>
                  <a:pt x="8360613" y="2393606"/>
                  <a:pt x="8345227" y="2409198"/>
                  <a:pt x="8345227" y="2428427"/>
                </a:cubicBezTo>
                <a:cubicBezTo>
                  <a:pt x="8345227" y="2447655"/>
                  <a:pt x="8360613" y="2463247"/>
                  <a:pt x="8379580" y="2463247"/>
                </a:cubicBezTo>
                <a:cubicBezTo>
                  <a:pt x="8398547" y="2463247"/>
                  <a:pt x="8413921" y="2447655"/>
                  <a:pt x="8413921" y="2428427"/>
                </a:cubicBezTo>
                <a:cubicBezTo>
                  <a:pt x="8413921" y="2409198"/>
                  <a:pt x="8398547" y="2393606"/>
                  <a:pt x="8379580" y="2393606"/>
                </a:cubicBezTo>
                <a:close/>
                <a:moveTo>
                  <a:pt x="8463323" y="2393606"/>
                </a:moveTo>
                <a:cubicBezTo>
                  <a:pt x="8444356" y="2393606"/>
                  <a:pt x="8428970" y="2409198"/>
                  <a:pt x="8428970" y="2428427"/>
                </a:cubicBezTo>
                <a:cubicBezTo>
                  <a:pt x="8428970" y="2447655"/>
                  <a:pt x="8444356" y="2463247"/>
                  <a:pt x="8463323" y="2463247"/>
                </a:cubicBezTo>
                <a:cubicBezTo>
                  <a:pt x="8482290" y="2463247"/>
                  <a:pt x="8497663" y="2447655"/>
                  <a:pt x="8497663" y="2428427"/>
                </a:cubicBezTo>
                <a:cubicBezTo>
                  <a:pt x="8497663" y="2409198"/>
                  <a:pt x="8482290" y="2393606"/>
                  <a:pt x="8463323" y="2393606"/>
                </a:cubicBezTo>
                <a:close/>
                <a:moveTo>
                  <a:pt x="8547064" y="2393606"/>
                </a:moveTo>
                <a:cubicBezTo>
                  <a:pt x="8528097" y="2393606"/>
                  <a:pt x="8512711" y="2409198"/>
                  <a:pt x="8512711" y="2428427"/>
                </a:cubicBezTo>
                <a:cubicBezTo>
                  <a:pt x="8512711" y="2447655"/>
                  <a:pt x="8528097" y="2463247"/>
                  <a:pt x="8547064" y="2463247"/>
                </a:cubicBezTo>
                <a:cubicBezTo>
                  <a:pt x="8566031" y="2463247"/>
                  <a:pt x="8581404" y="2447655"/>
                  <a:pt x="8581404" y="2428427"/>
                </a:cubicBezTo>
                <a:cubicBezTo>
                  <a:pt x="8581404" y="2409198"/>
                  <a:pt x="8566031" y="2393606"/>
                  <a:pt x="8547064" y="2393606"/>
                </a:cubicBezTo>
                <a:close/>
                <a:moveTo>
                  <a:pt x="8630805" y="2393606"/>
                </a:moveTo>
                <a:cubicBezTo>
                  <a:pt x="8611838" y="2393606"/>
                  <a:pt x="8596452" y="2409198"/>
                  <a:pt x="8596452" y="2428427"/>
                </a:cubicBezTo>
                <a:cubicBezTo>
                  <a:pt x="8596452" y="2447655"/>
                  <a:pt x="8611838" y="2463247"/>
                  <a:pt x="8630805" y="2463247"/>
                </a:cubicBezTo>
                <a:cubicBezTo>
                  <a:pt x="8649772" y="2463247"/>
                  <a:pt x="8665145" y="2447655"/>
                  <a:pt x="8665145" y="2428427"/>
                </a:cubicBezTo>
                <a:cubicBezTo>
                  <a:pt x="8665145" y="2409198"/>
                  <a:pt x="8649772" y="2393606"/>
                  <a:pt x="8630805" y="2393606"/>
                </a:cubicBezTo>
                <a:close/>
                <a:moveTo>
                  <a:pt x="8798289" y="2393606"/>
                </a:moveTo>
                <a:cubicBezTo>
                  <a:pt x="8779322" y="2393606"/>
                  <a:pt x="8763936" y="2409198"/>
                  <a:pt x="8763936" y="2428427"/>
                </a:cubicBezTo>
                <a:cubicBezTo>
                  <a:pt x="8763936" y="2447655"/>
                  <a:pt x="8779322" y="2463247"/>
                  <a:pt x="8798289" y="2463247"/>
                </a:cubicBezTo>
                <a:cubicBezTo>
                  <a:pt x="8817256" y="2463247"/>
                  <a:pt x="8832629" y="2447655"/>
                  <a:pt x="8832629" y="2428427"/>
                </a:cubicBezTo>
                <a:cubicBezTo>
                  <a:pt x="8832629" y="2409198"/>
                  <a:pt x="8817256" y="2393606"/>
                  <a:pt x="8798289" y="2393606"/>
                </a:cubicBezTo>
                <a:close/>
                <a:moveTo>
                  <a:pt x="8882030" y="2393606"/>
                </a:moveTo>
                <a:cubicBezTo>
                  <a:pt x="8863063" y="2393606"/>
                  <a:pt x="8847677" y="2409198"/>
                  <a:pt x="8847677" y="2428427"/>
                </a:cubicBezTo>
                <a:cubicBezTo>
                  <a:pt x="8847677" y="2447655"/>
                  <a:pt x="8863063" y="2463247"/>
                  <a:pt x="8882030" y="2463247"/>
                </a:cubicBezTo>
                <a:cubicBezTo>
                  <a:pt x="8900997" y="2463247"/>
                  <a:pt x="8916370" y="2447655"/>
                  <a:pt x="8916370" y="2428427"/>
                </a:cubicBezTo>
                <a:cubicBezTo>
                  <a:pt x="8916370" y="2409198"/>
                  <a:pt x="8900997" y="2393606"/>
                  <a:pt x="8882030" y="2393606"/>
                </a:cubicBezTo>
                <a:close/>
                <a:moveTo>
                  <a:pt x="8965772" y="2393606"/>
                </a:moveTo>
                <a:cubicBezTo>
                  <a:pt x="8946805" y="2393606"/>
                  <a:pt x="8931419" y="2409198"/>
                  <a:pt x="8931419" y="2428427"/>
                </a:cubicBezTo>
                <a:cubicBezTo>
                  <a:pt x="8931419" y="2447655"/>
                  <a:pt x="8946805" y="2463247"/>
                  <a:pt x="8965772" y="2463247"/>
                </a:cubicBezTo>
                <a:cubicBezTo>
                  <a:pt x="8984739" y="2463247"/>
                  <a:pt x="9000112" y="2447655"/>
                  <a:pt x="9000112" y="2428427"/>
                </a:cubicBezTo>
                <a:cubicBezTo>
                  <a:pt x="9000112" y="2409198"/>
                  <a:pt x="8984739" y="2393606"/>
                  <a:pt x="8965772" y="2393606"/>
                </a:cubicBezTo>
                <a:close/>
                <a:moveTo>
                  <a:pt x="9049513" y="2393606"/>
                </a:moveTo>
                <a:cubicBezTo>
                  <a:pt x="9030546" y="2393606"/>
                  <a:pt x="9015160" y="2409198"/>
                  <a:pt x="9015160" y="2428427"/>
                </a:cubicBezTo>
                <a:cubicBezTo>
                  <a:pt x="9015160" y="2447655"/>
                  <a:pt x="9030546" y="2463247"/>
                  <a:pt x="9049513" y="2463247"/>
                </a:cubicBezTo>
                <a:cubicBezTo>
                  <a:pt x="9068480" y="2463247"/>
                  <a:pt x="9083854" y="2447655"/>
                  <a:pt x="9083854" y="2428427"/>
                </a:cubicBezTo>
                <a:cubicBezTo>
                  <a:pt x="9083854" y="2409198"/>
                  <a:pt x="9068480" y="2393606"/>
                  <a:pt x="9049513" y="2393606"/>
                </a:cubicBezTo>
                <a:close/>
                <a:moveTo>
                  <a:pt x="9133256" y="2393606"/>
                </a:moveTo>
                <a:cubicBezTo>
                  <a:pt x="9114289" y="2393606"/>
                  <a:pt x="9098903" y="2409198"/>
                  <a:pt x="9098903" y="2428427"/>
                </a:cubicBezTo>
                <a:cubicBezTo>
                  <a:pt x="9098903" y="2447655"/>
                  <a:pt x="9114289" y="2463247"/>
                  <a:pt x="9133256" y="2463247"/>
                </a:cubicBezTo>
                <a:cubicBezTo>
                  <a:pt x="9152223" y="2463247"/>
                  <a:pt x="9167596" y="2447655"/>
                  <a:pt x="9167596" y="2428427"/>
                </a:cubicBezTo>
                <a:cubicBezTo>
                  <a:pt x="9167596" y="2409198"/>
                  <a:pt x="9152223" y="2393606"/>
                  <a:pt x="9133256" y="2393606"/>
                </a:cubicBezTo>
                <a:close/>
                <a:moveTo>
                  <a:pt x="9216997" y="2393606"/>
                </a:moveTo>
                <a:cubicBezTo>
                  <a:pt x="9198030" y="2393606"/>
                  <a:pt x="9182644" y="2409198"/>
                  <a:pt x="9182644" y="2428427"/>
                </a:cubicBezTo>
                <a:cubicBezTo>
                  <a:pt x="9182644" y="2447655"/>
                  <a:pt x="9198030" y="2463247"/>
                  <a:pt x="9216997" y="2463247"/>
                </a:cubicBezTo>
                <a:cubicBezTo>
                  <a:pt x="9235964" y="2463247"/>
                  <a:pt x="9251337" y="2447655"/>
                  <a:pt x="9251337" y="2428427"/>
                </a:cubicBezTo>
                <a:cubicBezTo>
                  <a:pt x="9251337" y="2409198"/>
                  <a:pt x="9235964" y="2393606"/>
                  <a:pt x="9216997" y="2393606"/>
                </a:cubicBezTo>
                <a:close/>
                <a:moveTo>
                  <a:pt x="9300738" y="2393606"/>
                </a:moveTo>
                <a:cubicBezTo>
                  <a:pt x="9281771" y="2393606"/>
                  <a:pt x="9266385" y="2409198"/>
                  <a:pt x="9266385" y="2428427"/>
                </a:cubicBezTo>
                <a:cubicBezTo>
                  <a:pt x="9266385" y="2447655"/>
                  <a:pt x="9281771" y="2463247"/>
                  <a:pt x="9300738" y="2463247"/>
                </a:cubicBezTo>
                <a:cubicBezTo>
                  <a:pt x="9319705" y="2463247"/>
                  <a:pt x="9335078" y="2447655"/>
                  <a:pt x="9335078" y="2428427"/>
                </a:cubicBezTo>
                <a:cubicBezTo>
                  <a:pt x="9335078" y="2409198"/>
                  <a:pt x="9319705" y="2393606"/>
                  <a:pt x="9300738" y="2393606"/>
                </a:cubicBezTo>
                <a:close/>
                <a:moveTo>
                  <a:pt x="9384480" y="2393606"/>
                </a:moveTo>
                <a:cubicBezTo>
                  <a:pt x="9365513" y="2393606"/>
                  <a:pt x="9350127" y="2409198"/>
                  <a:pt x="9350127" y="2428427"/>
                </a:cubicBezTo>
                <a:cubicBezTo>
                  <a:pt x="9350127" y="2447655"/>
                  <a:pt x="9365513" y="2463247"/>
                  <a:pt x="9384480" y="2463247"/>
                </a:cubicBezTo>
                <a:cubicBezTo>
                  <a:pt x="9403447" y="2463247"/>
                  <a:pt x="9418821" y="2447655"/>
                  <a:pt x="9418821" y="2428427"/>
                </a:cubicBezTo>
                <a:cubicBezTo>
                  <a:pt x="9418821" y="2409198"/>
                  <a:pt x="9403447" y="2393606"/>
                  <a:pt x="9384480" y="2393606"/>
                </a:cubicBezTo>
                <a:close/>
                <a:moveTo>
                  <a:pt x="9468222" y="2393606"/>
                </a:moveTo>
                <a:cubicBezTo>
                  <a:pt x="9449255" y="2393606"/>
                  <a:pt x="9433869" y="2409198"/>
                  <a:pt x="9433869" y="2428427"/>
                </a:cubicBezTo>
                <a:cubicBezTo>
                  <a:pt x="9433869" y="2447655"/>
                  <a:pt x="9449255" y="2463247"/>
                  <a:pt x="9468222" y="2463247"/>
                </a:cubicBezTo>
                <a:cubicBezTo>
                  <a:pt x="9487189" y="2463247"/>
                  <a:pt x="9502562" y="2447655"/>
                  <a:pt x="9502562" y="2428427"/>
                </a:cubicBezTo>
                <a:cubicBezTo>
                  <a:pt x="9502562" y="2409198"/>
                  <a:pt x="9487189" y="2393606"/>
                  <a:pt x="9468222" y="2393606"/>
                </a:cubicBezTo>
                <a:close/>
                <a:moveTo>
                  <a:pt x="9551963" y="2393606"/>
                </a:moveTo>
                <a:cubicBezTo>
                  <a:pt x="9532996" y="2393606"/>
                  <a:pt x="9517610" y="2409198"/>
                  <a:pt x="9517610" y="2428427"/>
                </a:cubicBezTo>
                <a:cubicBezTo>
                  <a:pt x="9517610" y="2447655"/>
                  <a:pt x="9532996" y="2463247"/>
                  <a:pt x="9551963" y="2463247"/>
                </a:cubicBezTo>
                <a:cubicBezTo>
                  <a:pt x="9570930" y="2463247"/>
                  <a:pt x="9586303" y="2447655"/>
                  <a:pt x="9586303" y="2428427"/>
                </a:cubicBezTo>
                <a:cubicBezTo>
                  <a:pt x="9586303" y="2409198"/>
                  <a:pt x="9570930" y="2393606"/>
                  <a:pt x="9551963" y="2393606"/>
                </a:cubicBezTo>
                <a:close/>
                <a:moveTo>
                  <a:pt x="9635705" y="2393606"/>
                </a:moveTo>
                <a:cubicBezTo>
                  <a:pt x="9616738" y="2393606"/>
                  <a:pt x="9601352" y="2409198"/>
                  <a:pt x="9601352" y="2428427"/>
                </a:cubicBezTo>
                <a:cubicBezTo>
                  <a:pt x="9601352" y="2447655"/>
                  <a:pt x="9616738" y="2463247"/>
                  <a:pt x="9635705" y="2463247"/>
                </a:cubicBezTo>
                <a:cubicBezTo>
                  <a:pt x="9654672" y="2463247"/>
                  <a:pt x="9670045" y="2447655"/>
                  <a:pt x="9670045" y="2428427"/>
                </a:cubicBezTo>
                <a:cubicBezTo>
                  <a:pt x="9670045" y="2409198"/>
                  <a:pt x="9654672" y="2393606"/>
                  <a:pt x="9635705" y="2393606"/>
                </a:cubicBezTo>
                <a:close/>
                <a:moveTo>
                  <a:pt x="9719446" y="2393606"/>
                </a:moveTo>
                <a:cubicBezTo>
                  <a:pt x="9700479" y="2393606"/>
                  <a:pt x="9685093" y="2409198"/>
                  <a:pt x="9685093" y="2428427"/>
                </a:cubicBezTo>
                <a:cubicBezTo>
                  <a:pt x="9685093" y="2447655"/>
                  <a:pt x="9700479" y="2463247"/>
                  <a:pt x="9719446" y="2463247"/>
                </a:cubicBezTo>
                <a:cubicBezTo>
                  <a:pt x="9738413" y="2463247"/>
                  <a:pt x="9753787" y="2447655"/>
                  <a:pt x="9753787" y="2428427"/>
                </a:cubicBezTo>
                <a:cubicBezTo>
                  <a:pt x="9753787" y="2409198"/>
                  <a:pt x="9738413" y="2393606"/>
                  <a:pt x="9719446" y="2393606"/>
                </a:cubicBezTo>
                <a:close/>
                <a:moveTo>
                  <a:pt x="9803189" y="2393606"/>
                </a:moveTo>
                <a:cubicBezTo>
                  <a:pt x="9784222" y="2393606"/>
                  <a:pt x="9768836" y="2409198"/>
                  <a:pt x="9768836" y="2428427"/>
                </a:cubicBezTo>
                <a:cubicBezTo>
                  <a:pt x="9768836" y="2447655"/>
                  <a:pt x="9784222" y="2463247"/>
                  <a:pt x="9803189" y="2463247"/>
                </a:cubicBezTo>
                <a:cubicBezTo>
                  <a:pt x="9822156" y="2463247"/>
                  <a:pt x="9837529" y="2447655"/>
                  <a:pt x="9837529" y="2428427"/>
                </a:cubicBezTo>
                <a:cubicBezTo>
                  <a:pt x="9837529" y="2409198"/>
                  <a:pt x="9822156" y="2393606"/>
                  <a:pt x="9803189" y="2393606"/>
                </a:cubicBezTo>
                <a:close/>
                <a:moveTo>
                  <a:pt x="9970671" y="2393606"/>
                </a:moveTo>
                <a:cubicBezTo>
                  <a:pt x="9951704" y="2393606"/>
                  <a:pt x="9936318" y="2409198"/>
                  <a:pt x="9936318" y="2428427"/>
                </a:cubicBezTo>
                <a:cubicBezTo>
                  <a:pt x="9936318" y="2447655"/>
                  <a:pt x="9951704" y="2463247"/>
                  <a:pt x="9970671" y="2463247"/>
                </a:cubicBezTo>
                <a:cubicBezTo>
                  <a:pt x="9989638" y="2463247"/>
                  <a:pt x="10005011" y="2447655"/>
                  <a:pt x="10005011" y="2428427"/>
                </a:cubicBezTo>
                <a:cubicBezTo>
                  <a:pt x="10005011" y="2409198"/>
                  <a:pt x="9989638" y="2393606"/>
                  <a:pt x="9970671" y="2393606"/>
                </a:cubicBezTo>
                <a:close/>
                <a:moveTo>
                  <a:pt x="2350151" y="2478470"/>
                </a:moveTo>
                <a:cubicBezTo>
                  <a:pt x="2331184" y="2478470"/>
                  <a:pt x="2315804" y="2494062"/>
                  <a:pt x="2315804" y="2513290"/>
                </a:cubicBezTo>
                <a:cubicBezTo>
                  <a:pt x="2315804" y="2532519"/>
                  <a:pt x="2331184" y="2548111"/>
                  <a:pt x="2350151" y="2548111"/>
                </a:cubicBezTo>
                <a:cubicBezTo>
                  <a:pt x="2369118" y="2548111"/>
                  <a:pt x="2384498" y="2532519"/>
                  <a:pt x="2384498" y="2513290"/>
                </a:cubicBezTo>
                <a:cubicBezTo>
                  <a:pt x="2384498" y="2494062"/>
                  <a:pt x="2369118" y="2478470"/>
                  <a:pt x="2350151" y="2478470"/>
                </a:cubicBezTo>
                <a:close/>
                <a:moveTo>
                  <a:pt x="2433893" y="2478470"/>
                </a:moveTo>
                <a:cubicBezTo>
                  <a:pt x="2414926" y="2478470"/>
                  <a:pt x="2399546" y="2494062"/>
                  <a:pt x="2399546" y="2513290"/>
                </a:cubicBezTo>
                <a:cubicBezTo>
                  <a:pt x="2399546" y="2532519"/>
                  <a:pt x="2414926" y="2548111"/>
                  <a:pt x="2433893" y="2548111"/>
                </a:cubicBezTo>
                <a:cubicBezTo>
                  <a:pt x="2452860" y="2548111"/>
                  <a:pt x="2468240" y="2532519"/>
                  <a:pt x="2468240" y="2513290"/>
                </a:cubicBezTo>
                <a:cubicBezTo>
                  <a:pt x="2468240" y="2494062"/>
                  <a:pt x="2452860" y="2478470"/>
                  <a:pt x="2433893" y="2478470"/>
                </a:cubicBezTo>
                <a:close/>
                <a:moveTo>
                  <a:pt x="2517634" y="2478470"/>
                </a:moveTo>
                <a:cubicBezTo>
                  <a:pt x="2498667" y="2478470"/>
                  <a:pt x="2483288" y="2494062"/>
                  <a:pt x="2483288" y="2513290"/>
                </a:cubicBezTo>
                <a:cubicBezTo>
                  <a:pt x="2483288" y="2532519"/>
                  <a:pt x="2498667" y="2548111"/>
                  <a:pt x="2517634" y="2548111"/>
                </a:cubicBezTo>
                <a:cubicBezTo>
                  <a:pt x="2536601" y="2548111"/>
                  <a:pt x="2551981" y="2532519"/>
                  <a:pt x="2551981" y="2513290"/>
                </a:cubicBezTo>
                <a:cubicBezTo>
                  <a:pt x="2551981" y="2494062"/>
                  <a:pt x="2536601" y="2478470"/>
                  <a:pt x="2517634" y="2478470"/>
                </a:cubicBezTo>
                <a:close/>
                <a:moveTo>
                  <a:pt x="2601376" y="2478470"/>
                </a:moveTo>
                <a:cubicBezTo>
                  <a:pt x="2582409" y="2478470"/>
                  <a:pt x="2567029" y="2494062"/>
                  <a:pt x="2567029" y="2513290"/>
                </a:cubicBezTo>
                <a:cubicBezTo>
                  <a:pt x="2567029" y="2532519"/>
                  <a:pt x="2582409" y="2548111"/>
                  <a:pt x="2601376" y="2548111"/>
                </a:cubicBezTo>
                <a:cubicBezTo>
                  <a:pt x="2620343" y="2548111"/>
                  <a:pt x="2635722" y="2532519"/>
                  <a:pt x="2635722" y="2513290"/>
                </a:cubicBezTo>
                <a:cubicBezTo>
                  <a:pt x="2635722" y="2494062"/>
                  <a:pt x="2620343" y="2478470"/>
                  <a:pt x="2601376" y="2478470"/>
                </a:cubicBezTo>
                <a:close/>
                <a:moveTo>
                  <a:pt x="2685118" y="2478470"/>
                </a:moveTo>
                <a:cubicBezTo>
                  <a:pt x="2666151" y="2478470"/>
                  <a:pt x="2650771" y="2494062"/>
                  <a:pt x="2650771" y="2513290"/>
                </a:cubicBezTo>
                <a:cubicBezTo>
                  <a:pt x="2650771" y="2532519"/>
                  <a:pt x="2666151" y="2548111"/>
                  <a:pt x="2685118" y="2548111"/>
                </a:cubicBezTo>
                <a:cubicBezTo>
                  <a:pt x="2704085" y="2548111"/>
                  <a:pt x="2719465" y="2532519"/>
                  <a:pt x="2719465" y="2513290"/>
                </a:cubicBezTo>
                <a:cubicBezTo>
                  <a:pt x="2719465" y="2494062"/>
                  <a:pt x="2704085" y="2478470"/>
                  <a:pt x="2685118" y="2478470"/>
                </a:cubicBezTo>
                <a:close/>
                <a:moveTo>
                  <a:pt x="2768859" y="2478470"/>
                </a:moveTo>
                <a:cubicBezTo>
                  <a:pt x="2749892" y="2478470"/>
                  <a:pt x="2734512" y="2494062"/>
                  <a:pt x="2734512" y="2513290"/>
                </a:cubicBezTo>
                <a:cubicBezTo>
                  <a:pt x="2734512" y="2532519"/>
                  <a:pt x="2749892" y="2548111"/>
                  <a:pt x="2768859" y="2548111"/>
                </a:cubicBezTo>
                <a:cubicBezTo>
                  <a:pt x="2787826" y="2548111"/>
                  <a:pt x="2803206" y="2532519"/>
                  <a:pt x="2803206" y="2513290"/>
                </a:cubicBezTo>
                <a:cubicBezTo>
                  <a:pt x="2803206" y="2494062"/>
                  <a:pt x="2787826" y="2478470"/>
                  <a:pt x="2768859" y="2478470"/>
                </a:cubicBezTo>
                <a:close/>
                <a:moveTo>
                  <a:pt x="2852600" y="2478470"/>
                </a:moveTo>
                <a:cubicBezTo>
                  <a:pt x="2833633" y="2478470"/>
                  <a:pt x="2818254" y="2494062"/>
                  <a:pt x="2818254" y="2513290"/>
                </a:cubicBezTo>
                <a:cubicBezTo>
                  <a:pt x="2818254" y="2532519"/>
                  <a:pt x="2833633" y="2548111"/>
                  <a:pt x="2852600" y="2548111"/>
                </a:cubicBezTo>
                <a:cubicBezTo>
                  <a:pt x="2871567" y="2548111"/>
                  <a:pt x="2886947" y="2532519"/>
                  <a:pt x="2886947" y="2513290"/>
                </a:cubicBezTo>
                <a:cubicBezTo>
                  <a:pt x="2886947" y="2494062"/>
                  <a:pt x="2871567" y="2478470"/>
                  <a:pt x="2852600" y="2478470"/>
                </a:cubicBezTo>
                <a:close/>
                <a:moveTo>
                  <a:pt x="2936343" y="2478470"/>
                </a:moveTo>
                <a:cubicBezTo>
                  <a:pt x="2917376" y="2478470"/>
                  <a:pt x="2901996" y="2494062"/>
                  <a:pt x="2901996" y="2513290"/>
                </a:cubicBezTo>
                <a:cubicBezTo>
                  <a:pt x="2901996" y="2532519"/>
                  <a:pt x="2917376" y="2548111"/>
                  <a:pt x="2936343" y="2548111"/>
                </a:cubicBezTo>
                <a:cubicBezTo>
                  <a:pt x="2955310" y="2548111"/>
                  <a:pt x="2970689" y="2532519"/>
                  <a:pt x="2970689" y="2513290"/>
                </a:cubicBezTo>
                <a:cubicBezTo>
                  <a:pt x="2970689" y="2494062"/>
                  <a:pt x="2955310" y="2478470"/>
                  <a:pt x="2936343" y="2478470"/>
                </a:cubicBezTo>
                <a:close/>
                <a:moveTo>
                  <a:pt x="3020084" y="2478470"/>
                </a:moveTo>
                <a:cubicBezTo>
                  <a:pt x="3001117" y="2478470"/>
                  <a:pt x="2985737" y="2494062"/>
                  <a:pt x="2985737" y="2513290"/>
                </a:cubicBezTo>
                <a:cubicBezTo>
                  <a:pt x="2985737" y="2532519"/>
                  <a:pt x="3001117" y="2548111"/>
                  <a:pt x="3020084" y="2548111"/>
                </a:cubicBezTo>
                <a:cubicBezTo>
                  <a:pt x="3039051" y="2548111"/>
                  <a:pt x="3054431" y="2532519"/>
                  <a:pt x="3054431" y="2513290"/>
                </a:cubicBezTo>
                <a:cubicBezTo>
                  <a:pt x="3054431" y="2494062"/>
                  <a:pt x="3039051" y="2478470"/>
                  <a:pt x="3020084" y="2478470"/>
                </a:cubicBezTo>
                <a:close/>
                <a:moveTo>
                  <a:pt x="3103826" y="2478470"/>
                </a:moveTo>
                <a:cubicBezTo>
                  <a:pt x="3084859" y="2478470"/>
                  <a:pt x="3069479" y="2494062"/>
                  <a:pt x="3069479" y="2513290"/>
                </a:cubicBezTo>
                <a:cubicBezTo>
                  <a:pt x="3069479" y="2532519"/>
                  <a:pt x="3084859" y="2548111"/>
                  <a:pt x="3103826" y="2548111"/>
                </a:cubicBezTo>
                <a:cubicBezTo>
                  <a:pt x="3122793" y="2548111"/>
                  <a:pt x="3138173" y="2532519"/>
                  <a:pt x="3138173" y="2513290"/>
                </a:cubicBezTo>
                <a:cubicBezTo>
                  <a:pt x="3138173" y="2494062"/>
                  <a:pt x="3122793" y="2478470"/>
                  <a:pt x="3103826" y="2478470"/>
                </a:cubicBezTo>
                <a:close/>
                <a:moveTo>
                  <a:pt x="3187567" y="2478470"/>
                </a:moveTo>
                <a:cubicBezTo>
                  <a:pt x="3168600" y="2478470"/>
                  <a:pt x="3153221" y="2494062"/>
                  <a:pt x="3153221" y="2513290"/>
                </a:cubicBezTo>
                <a:cubicBezTo>
                  <a:pt x="3153221" y="2532519"/>
                  <a:pt x="3168600" y="2548111"/>
                  <a:pt x="3187567" y="2548111"/>
                </a:cubicBezTo>
                <a:cubicBezTo>
                  <a:pt x="3206534" y="2548111"/>
                  <a:pt x="3221914" y="2532519"/>
                  <a:pt x="3221914" y="2513290"/>
                </a:cubicBezTo>
                <a:cubicBezTo>
                  <a:pt x="3221914" y="2494062"/>
                  <a:pt x="3206534" y="2478470"/>
                  <a:pt x="3187567" y="2478470"/>
                </a:cubicBezTo>
                <a:close/>
                <a:moveTo>
                  <a:pt x="3271309" y="2478470"/>
                </a:moveTo>
                <a:cubicBezTo>
                  <a:pt x="3252342" y="2478470"/>
                  <a:pt x="3236962" y="2494062"/>
                  <a:pt x="3236962" y="2513290"/>
                </a:cubicBezTo>
                <a:cubicBezTo>
                  <a:pt x="3236962" y="2532519"/>
                  <a:pt x="3252342" y="2548111"/>
                  <a:pt x="3271309" y="2548111"/>
                </a:cubicBezTo>
                <a:cubicBezTo>
                  <a:pt x="3290276" y="2548111"/>
                  <a:pt x="3305655" y="2532519"/>
                  <a:pt x="3305655" y="2513290"/>
                </a:cubicBezTo>
                <a:cubicBezTo>
                  <a:pt x="3305655" y="2494062"/>
                  <a:pt x="3290276" y="2478470"/>
                  <a:pt x="3271309" y="2478470"/>
                </a:cubicBezTo>
                <a:close/>
                <a:moveTo>
                  <a:pt x="3355051" y="2478470"/>
                </a:moveTo>
                <a:cubicBezTo>
                  <a:pt x="3336084" y="2478470"/>
                  <a:pt x="3320704" y="2494062"/>
                  <a:pt x="3320704" y="2513290"/>
                </a:cubicBezTo>
                <a:cubicBezTo>
                  <a:pt x="3320704" y="2532519"/>
                  <a:pt x="3336084" y="2548111"/>
                  <a:pt x="3355051" y="2548111"/>
                </a:cubicBezTo>
                <a:cubicBezTo>
                  <a:pt x="3374018" y="2548111"/>
                  <a:pt x="3389398" y="2532519"/>
                  <a:pt x="3389398" y="2513290"/>
                </a:cubicBezTo>
                <a:cubicBezTo>
                  <a:pt x="3389398" y="2494062"/>
                  <a:pt x="3374018" y="2478470"/>
                  <a:pt x="3355051" y="2478470"/>
                </a:cubicBezTo>
                <a:close/>
                <a:moveTo>
                  <a:pt x="3438792" y="2478470"/>
                </a:moveTo>
                <a:cubicBezTo>
                  <a:pt x="3419825" y="2478470"/>
                  <a:pt x="3404445" y="2494062"/>
                  <a:pt x="3404445" y="2513290"/>
                </a:cubicBezTo>
                <a:cubicBezTo>
                  <a:pt x="3404445" y="2532519"/>
                  <a:pt x="3419825" y="2548111"/>
                  <a:pt x="3438792" y="2548111"/>
                </a:cubicBezTo>
                <a:cubicBezTo>
                  <a:pt x="3457759" y="2548111"/>
                  <a:pt x="3473139" y="2532519"/>
                  <a:pt x="3473139" y="2513290"/>
                </a:cubicBezTo>
                <a:cubicBezTo>
                  <a:pt x="3473139" y="2494062"/>
                  <a:pt x="3457759" y="2478470"/>
                  <a:pt x="3438792" y="2478470"/>
                </a:cubicBezTo>
                <a:close/>
                <a:moveTo>
                  <a:pt x="3522533" y="2478470"/>
                </a:moveTo>
                <a:cubicBezTo>
                  <a:pt x="3503566" y="2478470"/>
                  <a:pt x="3488187" y="2494062"/>
                  <a:pt x="3488187" y="2513290"/>
                </a:cubicBezTo>
                <a:cubicBezTo>
                  <a:pt x="3488187" y="2532519"/>
                  <a:pt x="3503566" y="2548111"/>
                  <a:pt x="3522533" y="2548111"/>
                </a:cubicBezTo>
                <a:cubicBezTo>
                  <a:pt x="3541500" y="2548111"/>
                  <a:pt x="3556880" y="2532519"/>
                  <a:pt x="3556880" y="2513290"/>
                </a:cubicBezTo>
                <a:cubicBezTo>
                  <a:pt x="3556880" y="2494062"/>
                  <a:pt x="3541500" y="2478470"/>
                  <a:pt x="3522533" y="2478470"/>
                </a:cubicBezTo>
                <a:close/>
                <a:moveTo>
                  <a:pt x="3606276" y="2478470"/>
                </a:moveTo>
                <a:cubicBezTo>
                  <a:pt x="3587309" y="2478470"/>
                  <a:pt x="3571929" y="2494062"/>
                  <a:pt x="3571929" y="2513290"/>
                </a:cubicBezTo>
                <a:cubicBezTo>
                  <a:pt x="3571929" y="2532519"/>
                  <a:pt x="3587309" y="2548111"/>
                  <a:pt x="3606276" y="2548111"/>
                </a:cubicBezTo>
                <a:cubicBezTo>
                  <a:pt x="3625243" y="2548111"/>
                  <a:pt x="3640622" y="2532519"/>
                  <a:pt x="3640622" y="2513290"/>
                </a:cubicBezTo>
                <a:cubicBezTo>
                  <a:pt x="3640622" y="2494062"/>
                  <a:pt x="3625243" y="2478470"/>
                  <a:pt x="3606276" y="2478470"/>
                </a:cubicBezTo>
                <a:close/>
                <a:moveTo>
                  <a:pt x="3690017" y="2478470"/>
                </a:moveTo>
                <a:cubicBezTo>
                  <a:pt x="3671050" y="2478470"/>
                  <a:pt x="3655670" y="2494062"/>
                  <a:pt x="3655670" y="2513290"/>
                </a:cubicBezTo>
                <a:cubicBezTo>
                  <a:pt x="3655670" y="2532519"/>
                  <a:pt x="3671050" y="2548111"/>
                  <a:pt x="3690017" y="2548111"/>
                </a:cubicBezTo>
                <a:cubicBezTo>
                  <a:pt x="3708984" y="2548111"/>
                  <a:pt x="3724364" y="2532519"/>
                  <a:pt x="3724364" y="2513290"/>
                </a:cubicBezTo>
                <a:cubicBezTo>
                  <a:pt x="3724364" y="2494062"/>
                  <a:pt x="3708984" y="2478470"/>
                  <a:pt x="3690017" y="2478470"/>
                </a:cubicBezTo>
                <a:close/>
                <a:moveTo>
                  <a:pt x="3773759" y="2478470"/>
                </a:moveTo>
                <a:cubicBezTo>
                  <a:pt x="3754792" y="2478470"/>
                  <a:pt x="3739412" y="2494062"/>
                  <a:pt x="3739412" y="2513290"/>
                </a:cubicBezTo>
                <a:cubicBezTo>
                  <a:pt x="3739412" y="2532519"/>
                  <a:pt x="3754792" y="2548111"/>
                  <a:pt x="3773759" y="2548111"/>
                </a:cubicBezTo>
                <a:cubicBezTo>
                  <a:pt x="3792726" y="2548111"/>
                  <a:pt x="3808106" y="2532519"/>
                  <a:pt x="3808106" y="2513290"/>
                </a:cubicBezTo>
                <a:cubicBezTo>
                  <a:pt x="3808106" y="2494062"/>
                  <a:pt x="3792726" y="2478470"/>
                  <a:pt x="3773759" y="2478470"/>
                </a:cubicBezTo>
                <a:close/>
                <a:moveTo>
                  <a:pt x="3857500" y="2478470"/>
                </a:moveTo>
                <a:cubicBezTo>
                  <a:pt x="3838533" y="2478470"/>
                  <a:pt x="3823154" y="2494062"/>
                  <a:pt x="3823154" y="2513290"/>
                </a:cubicBezTo>
                <a:cubicBezTo>
                  <a:pt x="3823154" y="2532519"/>
                  <a:pt x="3838533" y="2548111"/>
                  <a:pt x="3857500" y="2548111"/>
                </a:cubicBezTo>
                <a:cubicBezTo>
                  <a:pt x="3876467" y="2548111"/>
                  <a:pt x="3891847" y="2532519"/>
                  <a:pt x="3891847" y="2513290"/>
                </a:cubicBezTo>
                <a:cubicBezTo>
                  <a:pt x="3891847" y="2494062"/>
                  <a:pt x="3876467" y="2478470"/>
                  <a:pt x="3857500" y="2478470"/>
                </a:cubicBezTo>
                <a:close/>
                <a:moveTo>
                  <a:pt x="3941242" y="2478470"/>
                </a:moveTo>
                <a:cubicBezTo>
                  <a:pt x="3922275" y="2478470"/>
                  <a:pt x="3906895" y="2494062"/>
                  <a:pt x="3906895" y="2513290"/>
                </a:cubicBezTo>
                <a:cubicBezTo>
                  <a:pt x="3906895" y="2532519"/>
                  <a:pt x="3922275" y="2548111"/>
                  <a:pt x="3941242" y="2548111"/>
                </a:cubicBezTo>
                <a:cubicBezTo>
                  <a:pt x="3960209" y="2548111"/>
                  <a:pt x="3975588" y="2532519"/>
                  <a:pt x="3975588" y="2513290"/>
                </a:cubicBezTo>
                <a:cubicBezTo>
                  <a:pt x="3975588" y="2494062"/>
                  <a:pt x="3960209" y="2478470"/>
                  <a:pt x="3941242" y="2478470"/>
                </a:cubicBezTo>
                <a:close/>
                <a:moveTo>
                  <a:pt x="5783564" y="2478470"/>
                </a:moveTo>
                <a:cubicBezTo>
                  <a:pt x="5764597" y="2478470"/>
                  <a:pt x="5749218" y="2494062"/>
                  <a:pt x="5749218" y="2513290"/>
                </a:cubicBezTo>
                <a:cubicBezTo>
                  <a:pt x="5749218" y="2532519"/>
                  <a:pt x="5764597" y="2548111"/>
                  <a:pt x="5783564" y="2548111"/>
                </a:cubicBezTo>
                <a:cubicBezTo>
                  <a:pt x="5802531" y="2548111"/>
                  <a:pt x="5817911" y="2532519"/>
                  <a:pt x="5817911" y="2513290"/>
                </a:cubicBezTo>
                <a:cubicBezTo>
                  <a:pt x="5817911" y="2494062"/>
                  <a:pt x="5802531" y="2478470"/>
                  <a:pt x="5783564" y="2478470"/>
                </a:cubicBezTo>
                <a:close/>
                <a:moveTo>
                  <a:pt x="5867305" y="2478470"/>
                </a:moveTo>
                <a:cubicBezTo>
                  <a:pt x="5848338" y="2478470"/>
                  <a:pt x="5832959" y="2494062"/>
                  <a:pt x="5832959" y="2513290"/>
                </a:cubicBezTo>
                <a:cubicBezTo>
                  <a:pt x="5832959" y="2532519"/>
                  <a:pt x="5848338" y="2548111"/>
                  <a:pt x="5867305" y="2548111"/>
                </a:cubicBezTo>
                <a:cubicBezTo>
                  <a:pt x="5886272" y="2548111"/>
                  <a:pt x="5901652" y="2532519"/>
                  <a:pt x="5901652" y="2513290"/>
                </a:cubicBezTo>
                <a:cubicBezTo>
                  <a:pt x="5901652" y="2494062"/>
                  <a:pt x="5886272" y="2478470"/>
                  <a:pt x="5867305" y="2478470"/>
                </a:cubicBezTo>
                <a:close/>
                <a:moveTo>
                  <a:pt x="6034789" y="2478470"/>
                </a:moveTo>
                <a:cubicBezTo>
                  <a:pt x="6015822" y="2478470"/>
                  <a:pt x="6000442" y="2494062"/>
                  <a:pt x="6000442" y="2513290"/>
                </a:cubicBezTo>
                <a:cubicBezTo>
                  <a:pt x="6000442" y="2532519"/>
                  <a:pt x="6015822" y="2548111"/>
                  <a:pt x="6034789" y="2548111"/>
                </a:cubicBezTo>
                <a:cubicBezTo>
                  <a:pt x="6053756" y="2548111"/>
                  <a:pt x="6069136" y="2532519"/>
                  <a:pt x="6069136" y="2513290"/>
                </a:cubicBezTo>
                <a:cubicBezTo>
                  <a:pt x="6069136" y="2494062"/>
                  <a:pt x="6053756" y="2478470"/>
                  <a:pt x="6034789" y="2478470"/>
                </a:cubicBezTo>
                <a:close/>
                <a:moveTo>
                  <a:pt x="6118531" y="2478470"/>
                </a:moveTo>
                <a:cubicBezTo>
                  <a:pt x="6099557" y="2478470"/>
                  <a:pt x="6084177" y="2494062"/>
                  <a:pt x="6084177" y="2513290"/>
                </a:cubicBezTo>
                <a:cubicBezTo>
                  <a:pt x="6084177" y="2532519"/>
                  <a:pt x="6099557" y="2548111"/>
                  <a:pt x="6118531" y="2548111"/>
                </a:cubicBezTo>
                <a:cubicBezTo>
                  <a:pt x="6137498" y="2548111"/>
                  <a:pt x="6152871" y="2532519"/>
                  <a:pt x="6152871" y="2513290"/>
                </a:cubicBezTo>
                <a:cubicBezTo>
                  <a:pt x="6152871" y="2494062"/>
                  <a:pt x="6137498" y="2478470"/>
                  <a:pt x="6118531" y="2478470"/>
                </a:cubicBezTo>
                <a:close/>
                <a:moveTo>
                  <a:pt x="6202273" y="2478470"/>
                </a:moveTo>
                <a:cubicBezTo>
                  <a:pt x="6183306" y="2478470"/>
                  <a:pt x="6167920" y="2494062"/>
                  <a:pt x="6167920" y="2513290"/>
                </a:cubicBezTo>
                <a:cubicBezTo>
                  <a:pt x="6167920" y="2532519"/>
                  <a:pt x="6183306" y="2548111"/>
                  <a:pt x="6202273" y="2548111"/>
                </a:cubicBezTo>
                <a:cubicBezTo>
                  <a:pt x="6221240" y="2548111"/>
                  <a:pt x="6236613" y="2532519"/>
                  <a:pt x="6236613" y="2513290"/>
                </a:cubicBezTo>
                <a:cubicBezTo>
                  <a:pt x="6236613" y="2494062"/>
                  <a:pt x="6221240" y="2478470"/>
                  <a:pt x="6202273" y="2478470"/>
                </a:cubicBezTo>
                <a:close/>
                <a:moveTo>
                  <a:pt x="6286014" y="2478470"/>
                </a:moveTo>
                <a:cubicBezTo>
                  <a:pt x="6267047" y="2478470"/>
                  <a:pt x="6251661" y="2494062"/>
                  <a:pt x="6251661" y="2513290"/>
                </a:cubicBezTo>
                <a:cubicBezTo>
                  <a:pt x="6251661" y="2532519"/>
                  <a:pt x="6267047" y="2548111"/>
                  <a:pt x="6286014" y="2548111"/>
                </a:cubicBezTo>
                <a:cubicBezTo>
                  <a:pt x="6304981" y="2548111"/>
                  <a:pt x="6320354" y="2532519"/>
                  <a:pt x="6320354" y="2513290"/>
                </a:cubicBezTo>
                <a:cubicBezTo>
                  <a:pt x="6320354" y="2494062"/>
                  <a:pt x="6304981" y="2478470"/>
                  <a:pt x="6286014" y="2478470"/>
                </a:cubicBezTo>
                <a:close/>
                <a:moveTo>
                  <a:pt x="6369755" y="2478470"/>
                </a:moveTo>
                <a:cubicBezTo>
                  <a:pt x="6350788" y="2478470"/>
                  <a:pt x="6335402" y="2494062"/>
                  <a:pt x="6335402" y="2513290"/>
                </a:cubicBezTo>
                <a:cubicBezTo>
                  <a:pt x="6335402" y="2532519"/>
                  <a:pt x="6350788" y="2548111"/>
                  <a:pt x="6369755" y="2548111"/>
                </a:cubicBezTo>
                <a:cubicBezTo>
                  <a:pt x="6388722" y="2548111"/>
                  <a:pt x="6404096" y="2532519"/>
                  <a:pt x="6404096" y="2513290"/>
                </a:cubicBezTo>
                <a:cubicBezTo>
                  <a:pt x="6404096" y="2494062"/>
                  <a:pt x="6388722" y="2478470"/>
                  <a:pt x="6369755" y="2478470"/>
                </a:cubicBezTo>
                <a:close/>
                <a:moveTo>
                  <a:pt x="6453498" y="2478470"/>
                </a:moveTo>
                <a:cubicBezTo>
                  <a:pt x="6434531" y="2478470"/>
                  <a:pt x="6419144" y="2494062"/>
                  <a:pt x="6419144" y="2513290"/>
                </a:cubicBezTo>
                <a:cubicBezTo>
                  <a:pt x="6419144" y="2532519"/>
                  <a:pt x="6434531" y="2548111"/>
                  <a:pt x="6453498" y="2548111"/>
                </a:cubicBezTo>
                <a:cubicBezTo>
                  <a:pt x="6472465" y="2548111"/>
                  <a:pt x="6487838" y="2532519"/>
                  <a:pt x="6487838" y="2513290"/>
                </a:cubicBezTo>
                <a:cubicBezTo>
                  <a:pt x="6487838" y="2494062"/>
                  <a:pt x="6472465" y="2478470"/>
                  <a:pt x="6453498" y="2478470"/>
                </a:cubicBezTo>
                <a:close/>
                <a:moveTo>
                  <a:pt x="6537239" y="2478470"/>
                </a:moveTo>
                <a:cubicBezTo>
                  <a:pt x="6518272" y="2478470"/>
                  <a:pt x="6502886" y="2494062"/>
                  <a:pt x="6502886" y="2513290"/>
                </a:cubicBezTo>
                <a:cubicBezTo>
                  <a:pt x="6502886" y="2532519"/>
                  <a:pt x="6518272" y="2548111"/>
                  <a:pt x="6537239" y="2548111"/>
                </a:cubicBezTo>
                <a:cubicBezTo>
                  <a:pt x="6556206" y="2548111"/>
                  <a:pt x="6571579" y="2532519"/>
                  <a:pt x="6571579" y="2513290"/>
                </a:cubicBezTo>
                <a:cubicBezTo>
                  <a:pt x="6571579" y="2494062"/>
                  <a:pt x="6556206" y="2478470"/>
                  <a:pt x="6537239" y="2478470"/>
                </a:cubicBezTo>
                <a:close/>
                <a:moveTo>
                  <a:pt x="6620980" y="2478470"/>
                </a:moveTo>
                <a:cubicBezTo>
                  <a:pt x="6602013" y="2478470"/>
                  <a:pt x="6586627" y="2494062"/>
                  <a:pt x="6586627" y="2513290"/>
                </a:cubicBezTo>
                <a:cubicBezTo>
                  <a:pt x="6586627" y="2532519"/>
                  <a:pt x="6602013" y="2548111"/>
                  <a:pt x="6620980" y="2548111"/>
                </a:cubicBezTo>
                <a:cubicBezTo>
                  <a:pt x="6639947" y="2548111"/>
                  <a:pt x="6655320" y="2532519"/>
                  <a:pt x="6655320" y="2513290"/>
                </a:cubicBezTo>
                <a:cubicBezTo>
                  <a:pt x="6655320" y="2494062"/>
                  <a:pt x="6639947" y="2478470"/>
                  <a:pt x="6620980" y="2478470"/>
                </a:cubicBezTo>
                <a:close/>
                <a:moveTo>
                  <a:pt x="6704722" y="2478470"/>
                </a:moveTo>
                <a:cubicBezTo>
                  <a:pt x="6685755" y="2478470"/>
                  <a:pt x="6670369" y="2494062"/>
                  <a:pt x="6670369" y="2513290"/>
                </a:cubicBezTo>
                <a:cubicBezTo>
                  <a:pt x="6670369" y="2532519"/>
                  <a:pt x="6685755" y="2548111"/>
                  <a:pt x="6704722" y="2548111"/>
                </a:cubicBezTo>
                <a:cubicBezTo>
                  <a:pt x="6723689" y="2548111"/>
                  <a:pt x="6739063" y="2532519"/>
                  <a:pt x="6739063" y="2513290"/>
                </a:cubicBezTo>
                <a:cubicBezTo>
                  <a:pt x="6739063" y="2494062"/>
                  <a:pt x="6723689" y="2478470"/>
                  <a:pt x="6704722" y="2478470"/>
                </a:cubicBezTo>
                <a:close/>
                <a:moveTo>
                  <a:pt x="6788464" y="2478470"/>
                </a:moveTo>
                <a:cubicBezTo>
                  <a:pt x="6769497" y="2478470"/>
                  <a:pt x="6754110" y="2494062"/>
                  <a:pt x="6754110" y="2513290"/>
                </a:cubicBezTo>
                <a:cubicBezTo>
                  <a:pt x="6754110" y="2532519"/>
                  <a:pt x="6769497" y="2548111"/>
                  <a:pt x="6788464" y="2548111"/>
                </a:cubicBezTo>
                <a:cubicBezTo>
                  <a:pt x="6807431" y="2548111"/>
                  <a:pt x="6822804" y="2532519"/>
                  <a:pt x="6822804" y="2513290"/>
                </a:cubicBezTo>
                <a:cubicBezTo>
                  <a:pt x="6822804" y="2494062"/>
                  <a:pt x="6807431" y="2478470"/>
                  <a:pt x="6788464" y="2478470"/>
                </a:cubicBezTo>
                <a:close/>
                <a:moveTo>
                  <a:pt x="6872206" y="2478470"/>
                </a:moveTo>
                <a:cubicBezTo>
                  <a:pt x="6853239" y="2478470"/>
                  <a:pt x="6837853" y="2494062"/>
                  <a:pt x="6837853" y="2513290"/>
                </a:cubicBezTo>
                <a:cubicBezTo>
                  <a:pt x="6837853" y="2532519"/>
                  <a:pt x="6853239" y="2548111"/>
                  <a:pt x="6872206" y="2548111"/>
                </a:cubicBezTo>
                <a:cubicBezTo>
                  <a:pt x="6891173" y="2548111"/>
                  <a:pt x="6906546" y="2532519"/>
                  <a:pt x="6906546" y="2513290"/>
                </a:cubicBezTo>
                <a:cubicBezTo>
                  <a:pt x="6906546" y="2494062"/>
                  <a:pt x="6891173" y="2478470"/>
                  <a:pt x="6872206" y="2478470"/>
                </a:cubicBezTo>
                <a:close/>
                <a:moveTo>
                  <a:pt x="6955947" y="2478470"/>
                </a:moveTo>
                <a:cubicBezTo>
                  <a:pt x="6936980" y="2478470"/>
                  <a:pt x="6921594" y="2494062"/>
                  <a:pt x="6921594" y="2513290"/>
                </a:cubicBezTo>
                <a:cubicBezTo>
                  <a:pt x="6921594" y="2532519"/>
                  <a:pt x="6936980" y="2548111"/>
                  <a:pt x="6955947" y="2548111"/>
                </a:cubicBezTo>
                <a:cubicBezTo>
                  <a:pt x="6974914" y="2548111"/>
                  <a:pt x="6990287" y="2532519"/>
                  <a:pt x="6990287" y="2513290"/>
                </a:cubicBezTo>
                <a:cubicBezTo>
                  <a:pt x="6990287" y="2494062"/>
                  <a:pt x="6974914" y="2478470"/>
                  <a:pt x="6955947" y="2478470"/>
                </a:cubicBezTo>
                <a:close/>
                <a:moveTo>
                  <a:pt x="7039688" y="2478470"/>
                </a:moveTo>
                <a:cubicBezTo>
                  <a:pt x="7020721" y="2478470"/>
                  <a:pt x="7005335" y="2494062"/>
                  <a:pt x="7005335" y="2513290"/>
                </a:cubicBezTo>
                <a:cubicBezTo>
                  <a:pt x="7005335" y="2532519"/>
                  <a:pt x="7020721" y="2548111"/>
                  <a:pt x="7039688" y="2548111"/>
                </a:cubicBezTo>
                <a:cubicBezTo>
                  <a:pt x="7058655" y="2548111"/>
                  <a:pt x="7074029" y="2532519"/>
                  <a:pt x="7074029" y="2513290"/>
                </a:cubicBezTo>
                <a:cubicBezTo>
                  <a:pt x="7074029" y="2494062"/>
                  <a:pt x="7058655" y="2478470"/>
                  <a:pt x="7039688" y="2478470"/>
                </a:cubicBezTo>
                <a:close/>
                <a:moveTo>
                  <a:pt x="7123456" y="2478470"/>
                </a:moveTo>
                <a:cubicBezTo>
                  <a:pt x="7104489" y="2478470"/>
                  <a:pt x="7089103" y="2494062"/>
                  <a:pt x="7089103" y="2513290"/>
                </a:cubicBezTo>
                <a:cubicBezTo>
                  <a:pt x="7089103" y="2532519"/>
                  <a:pt x="7104489" y="2548111"/>
                  <a:pt x="7123456" y="2548111"/>
                </a:cubicBezTo>
                <a:cubicBezTo>
                  <a:pt x="7142423" y="2548111"/>
                  <a:pt x="7157796" y="2532519"/>
                  <a:pt x="7157796" y="2513290"/>
                </a:cubicBezTo>
                <a:cubicBezTo>
                  <a:pt x="7157796" y="2494062"/>
                  <a:pt x="7142423" y="2478470"/>
                  <a:pt x="7123456" y="2478470"/>
                </a:cubicBezTo>
                <a:close/>
                <a:moveTo>
                  <a:pt x="7207198" y="2478470"/>
                </a:moveTo>
                <a:cubicBezTo>
                  <a:pt x="7188231" y="2478470"/>
                  <a:pt x="7172845" y="2494062"/>
                  <a:pt x="7172845" y="2513290"/>
                </a:cubicBezTo>
                <a:cubicBezTo>
                  <a:pt x="7172845" y="2532519"/>
                  <a:pt x="7188231" y="2548111"/>
                  <a:pt x="7207198" y="2548111"/>
                </a:cubicBezTo>
                <a:cubicBezTo>
                  <a:pt x="7226165" y="2548111"/>
                  <a:pt x="7241538" y="2532519"/>
                  <a:pt x="7241538" y="2513290"/>
                </a:cubicBezTo>
                <a:cubicBezTo>
                  <a:pt x="7241538" y="2494062"/>
                  <a:pt x="7226165" y="2478470"/>
                  <a:pt x="7207198" y="2478470"/>
                </a:cubicBezTo>
                <a:close/>
                <a:moveTo>
                  <a:pt x="7290939" y="2478470"/>
                </a:moveTo>
                <a:cubicBezTo>
                  <a:pt x="7271972" y="2478470"/>
                  <a:pt x="7256586" y="2494062"/>
                  <a:pt x="7256586" y="2513290"/>
                </a:cubicBezTo>
                <a:cubicBezTo>
                  <a:pt x="7256586" y="2532519"/>
                  <a:pt x="7271972" y="2548111"/>
                  <a:pt x="7290939" y="2548111"/>
                </a:cubicBezTo>
                <a:cubicBezTo>
                  <a:pt x="7309906" y="2548111"/>
                  <a:pt x="7325279" y="2532519"/>
                  <a:pt x="7325279" y="2513290"/>
                </a:cubicBezTo>
                <a:cubicBezTo>
                  <a:pt x="7325279" y="2494062"/>
                  <a:pt x="7309906" y="2478470"/>
                  <a:pt x="7290939" y="2478470"/>
                </a:cubicBezTo>
                <a:close/>
                <a:moveTo>
                  <a:pt x="7374681" y="2478470"/>
                </a:moveTo>
                <a:cubicBezTo>
                  <a:pt x="7355714" y="2478470"/>
                  <a:pt x="7340328" y="2494062"/>
                  <a:pt x="7340328" y="2513290"/>
                </a:cubicBezTo>
                <a:cubicBezTo>
                  <a:pt x="7340328" y="2532519"/>
                  <a:pt x="7355714" y="2548111"/>
                  <a:pt x="7374681" y="2548111"/>
                </a:cubicBezTo>
                <a:cubicBezTo>
                  <a:pt x="7393648" y="2548111"/>
                  <a:pt x="7409022" y="2532519"/>
                  <a:pt x="7409022" y="2513290"/>
                </a:cubicBezTo>
                <a:cubicBezTo>
                  <a:pt x="7409022" y="2494062"/>
                  <a:pt x="7393648" y="2478470"/>
                  <a:pt x="7374681" y="2478470"/>
                </a:cubicBezTo>
                <a:close/>
                <a:moveTo>
                  <a:pt x="7458423" y="2478470"/>
                </a:moveTo>
                <a:cubicBezTo>
                  <a:pt x="7439456" y="2478470"/>
                  <a:pt x="7424070" y="2494062"/>
                  <a:pt x="7424070" y="2513290"/>
                </a:cubicBezTo>
                <a:cubicBezTo>
                  <a:pt x="7424070" y="2532519"/>
                  <a:pt x="7439456" y="2548111"/>
                  <a:pt x="7458423" y="2548111"/>
                </a:cubicBezTo>
                <a:cubicBezTo>
                  <a:pt x="7477390" y="2548111"/>
                  <a:pt x="7492763" y="2532519"/>
                  <a:pt x="7492763" y="2513290"/>
                </a:cubicBezTo>
                <a:cubicBezTo>
                  <a:pt x="7492763" y="2494062"/>
                  <a:pt x="7477390" y="2478470"/>
                  <a:pt x="7458423" y="2478470"/>
                </a:cubicBezTo>
                <a:close/>
                <a:moveTo>
                  <a:pt x="7542164" y="2478470"/>
                </a:moveTo>
                <a:cubicBezTo>
                  <a:pt x="7523197" y="2478470"/>
                  <a:pt x="7507811" y="2494062"/>
                  <a:pt x="7507811" y="2513290"/>
                </a:cubicBezTo>
                <a:cubicBezTo>
                  <a:pt x="7507811" y="2532519"/>
                  <a:pt x="7523197" y="2548111"/>
                  <a:pt x="7542164" y="2548111"/>
                </a:cubicBezTo>
                <a:cubicBezTo>
                  <a:pt x="7561131" y="2548111"/>
                  <a:pt x="7576504" y="2532519"/>
                  <a:pt x="7576504" y="2513290"/>
                </a:cubicBezTo>
                <a:cubicBezTo>
                  <a:pt x="7576504" y="2494062"/>
                  <a:pt x="7561131" y="2478470"/>
                  <a:pt x="7542164" y="2478470"/>
                </a:cubicBezTo>
                <a:close/>
                <a:moveTo>
                  <a:pt x="7625906" y="2478470"/>
                </a:moveTo>
                <a:cubicBezTo>
                  <a:pt x="7606939" y="2478470"/>
                  <a:pt x="7591553" y="2494062"/>
                  <a:pt x="7591553" y="2513290"/>
                </a:cubicBezTo>
                <a:cubicBezTo>
                  <a:pt x="7591553" y="2532519"/>
                  <a:pt x="7606939" y="2548111"/>
                  <a:pt x="7625906" y="2548111"/>
                </a:cubicBezTo>
                <a:cubicBezTo>
                  <a:pt x="7644873" y="2548111"/>
                  <a:pt x="7660246" y="2532519"/>
                  <a:pt x="7660246" y="2513290"/>
                </a:cubicBezTo>
                <a:cubicBezTo>
                  <a:pt x="7660246" y="2494062"/>
                  <a:pt x="7644873" y="2478470"/>
                  <a:pt x="7625906" y="2478470"/>
                </a:cubicBezTo>
                <a:close/>
                <a:moveTo>
                  <a:pt x="7709647" y="2478470"/>
                </a:moveTo>
                <a:cubicBezTo>
                  <a:pt x="7690680" y="2478470"/>
                  <a:pt x="7675294" y="2494062"/>
                  <a:pt x="7675294" y="2513290"/>
                </a:cubicBezTo>
                <a:cubicBezTo>
                  <a:pt x="7675294" y="2532519"/>
                  <a:pt x="7690680" y="2548111"/>
                  <a:pt x="7709647" y="2548111"/>
                </a:cubicBezTo>
                <a:cubicBezTo>
                  <a:pt x="7728614" y="2548111"/>
                  <a:pt x="7743988" y="2532519"/>
                  <a:pt x="7743988" y="2513290"/>
                </a:cubicBezTo>
                <a:cubicBezTo>
                  <a:pt x="7743988" y="2494062"/>
                  <a:pt x="7728614" y="2478470"/>
                  <a:pt x="7709647" y="2478470"/>
                </a:cubicBezTo>
                <a:close/>
                <a:moveTo>
                  <a:pt x="7793389" y="2478470"/>
                </a:moveTo>
                <a:cubicBezTo>
                  <a:pt x="7774422" y="2478470"/>
                  <a:pt x="7759036" y="2494062"/>
                  <a:pt x="7759036" y="2513290"/>
                </a:cubicBezTo>
                <a:cubicBezTo>
                  <a:pt x="7759036" y="2532519"/>
                  <a:pt x="7774422" y="2548111"/>
                  <a:pt x="7793389" y="2548111"/>
                </a:cubicBezTo>
                <a:cubicBezTo>
                  <a:pt x="7812356" y="2548111"/>
                  <a:pt x="7827729" y="2532519"/>
                  <a:pt x="7827729" y="2513290"/>
                </a:cubicBezTo>
                <a:cubicBezTo>
                  <a:pt x="7827729" y="2494062"/>
                  <a:pt x="7812356" y="2478470"/>
                  <a:pt x="7793389" y="2478470"/>
                </a:cubicBezTo>
                <a:close/>
                <a:moveTo>
                  <a:pt x="7877131" y="2478470"/>
                </a:moveTo>
                <a:cubicBezTo>
                  <a:pt x="7858164" y="2478470"/>
                  <a:pt x="7842778" y="2494062"/>
                  <a:pt x="7842778" y="2513290"/>
                </a:cubicBezTo>
                <a:cubicBezTo>
                  <a:pt x="7842778" y="2532519"/>
                  <a:pt x="7858164" y="2548111"/>
                  <a:pt x="7877131" y="2548111"/>
                </a:cubicBezTo>
                <a:cubicBezTo>
                  <a:pt x="7896098" y="2548111"/>
                  <a:pt x="7911471" y="2532519"/>
                  <a:pt x="7911471" y="2513290"/>
                </a:cubicBezTo>
                <a:cubicBezTo>
                  <a:pt x="7911471" y="2494062"/>
                  <a:pt x="7896098" y="2478470"/>
                  <a:pt x="7877131" y="2478470"/>
                </a:cubicBezTo>
                <a:close/>
                <a:moveTo>
                  <a:pt x="7960872" y="2478470"/>
                </a:moveTo>
                <a:cubicBezTo>
                  <a:pt x="7941905" y="2478470"/>
                  <a:pt x="7926519" y="2494062"/>
                  <a:pt x="7926519" y="2513290"/>
                </a:cubicBezTo>
                <a:cubicBezTo>
                  <a:pt x="7926519" y="2532519"/>
                  <a:pt x="7941905" y="2548111"/>
                  <a:pt x="7960872" y="2548111"/>
                </a:cubicBezTo>
                <a:cubicBezTo>
                  <a:pt x="7979839" y="2548111"/>
                  <a:pt x="7995212" y="2532519"/>
                  <a:pt x="7995212" y="2513290"/>
                </a:cubicBezTo>
                <a:cubicBezTo>
                  <a:pt x="7995212" y="2494062"/>
                  <a:pt x="7979839" y="2478470"/>
                  <a:pt x="7960872" y="2478470"/>
                </a:cubicBezTo>
                <a:close/>
                <a:moveTo>
                  <a:pt x="8044614" y="2478470"/>
                </a:moveTo>
                <a:cubicBezTo>
                  <a:pt x="8025647" y="2478470"/>
                  <a:pt x="8010261" y="2494062"/>
                  <a:pt x="8010261" y="2513290"/>
                </a:cubicBezTo>
                <a:cubicBezTo>
                  <a:pt x="8010261" y="2532519"/>
                  <a:pt x="8025647" y="2548111"/>
                  <a:pt x="8044614" y="2548111"/>
                </a:cubicBezTo>
                <a:cubicBezTo>
                  <a:pt x="8063581" y="2548111"/>
                  <a:pt x="8078955" y="2532519"/>
                  <a:pt x="8078955" y="2513290"/>
                </a:cubicBezTo>
                <a:cubicBezTo>
                  <a:pt x="8078955" y="2494062"/>
                  <a:pt x="8063581" y="2478470"/>
                  <a:pt x="8044614" y="2478470"/>
                </a:cubicBezTo>
                <a:close/>
                <a:moveTo>
                  <a:pt x="8128356" y="2478470"/>
                </a:moveTo>
                <a:cubicBezTo>
                  <a:pt x="8109389" y="2478470"/>
                  <a:pt x="8094003" y="2494062"/>
                  <a:pt x="8094003" y="2513290"/>
                </a:cubicBezTo>
                <a:cubicBezTo>
                  <a:pt x="8094003" y="2532519"/>
                  <a:pt x="8109389" y="2548111"/>
                  <a:pt x="8128356" y="2548111"/>
                </a:cubicBezTo>
                <a:cubicBezTo>
                  <a:pt x="8147323" y="2548111"/>
                  <a:pt x="8162696" y="2532519"/>
                  <a:pt x="8162696" y="2513290"/>
                </a:cubicBezTo>
                <a:cubicBezTo>
                  <a:pt x="8162696" y="2494062"/>
                  <a:pt x="8147323" y="2478470"/>
                  <a:pt x="8128356" y="2478470"/>
                </a:cubicBezTo>
                <a:close/>
                <a:moveTo>
                  <a:pt x="8212097" y="2478470"/>
                </a:moveTo>
                <a:cubicBezTo>
                  <a:pt x="8193130" y="2478470"/>
                  <a:pt x="8177744" y="2494062"/>
                  <a:pt x="8177744" y="2513290"/>
                </a:cubicBezTo>
                <a:cubicBezTo>
                  <a:pt x="8177744" y="2532519"/>
                  <a:pt x="8193130" y="2548111"/>
                  <a:pt x="8212097" y="2548111"/>
                </a:cubicBezTo>
                <a:cubicBezTo>
                  <a:pt x="8231064" y="2548111"/>
                  <a:pt x="8246437" y="2532519"/>
                  <a:pt x="8246437" y="2513290"/>
                </a:cubicBezTo>
                <a:cubicBezTo>
                  <a:pt x="8246437" y="2494062"/>
                  <a:pt x="8231064" y="2478470"/>
                  <a:pt x="8212097" y="2478470"/>
                </a:cubicBezTo>
                <a:close/>
                <a:moveTo>
                  <a:pt x="8295839" y="2478470"/>
                </a:moveTo>
                <a:cubicBezTo>
                  <a:pt x="8276872" y="2478470"/>
                  <a:pt x="8261486" y="2494062"/>
                  <a:pt x="8261486" y="2513290"/>
                </a:cubicBezTo>
                <a:cubicBezTo>
                  <a:pt x="8261486" y="2532519"/>
                  <a:pt x="8276872" y="2548111"/>
                  <a:pt x="8295839" y="2548111"/>
                </a:cubicBezTo>
                <a:cubicBezTo>
                  <a:pt x="8314806" y="2548111"/>
                  <a:pt x="8330179" y="2532519"/>
                  <a:pt x="8330179" y="2513290"/>
                </a:cubicBezTo>
                <a:cubicBezTo>
                  <a:pt x="8330179" y="2494062"/>
                  <a:pt x="8314806" y="2478470"/>
                  <a:pt x="8295839" y="2478470"/>
                </a:cubicBezTo>
                <a:close/>
                <a:moveTo>
                  <a:pt x="8379580" y="2478470"/>
                </a:moveTo>
                <a:cubicBezTo>
                  <a:pt x="8360613" y="2478470"/>
                  <a:pt x="8345227" y="2494062"/>
                  <a:pt x="8345227" y="2513290"/>
                </a:cubicBezTo>
                <a:cubicBezTo>
                  <a:pt x="8345227" y="2532519"/>
                  <a:pt x="8360613" y="2548111"/>
                  <a:pt x="8379580" y="2548111"/>
                </a:cubicBezTo>
                <a:cubicBezTo>
                  <a:pt x="8398547" y="2548111"/>
                  <a:pt x="8413921" y="2532519"/>
                  <a:pt x="8413921" y="2513290"/>
                </a:cubicBezTo>
                <a:cubicBezTo>
                  <a:pt x="8413921" y="2494062"/>
                  <a:pt x="8398547" y="2478470"/>
                  <a:pt x="8379580" y="2478470"/>
                </a:cubicBezTo>
                <a:close/>
                <a:moveTo>
                  <a:pt x="8463323" y="2478470"/>
                </a:moveTo>
                <a:cubicBezTo>
                  <a:pt x="8444356" y="2478470"/>
                  <a:pt x="8428970" y="2494062"/>
                  <a:pt x="8428970" y="2513290"/>
                </a:cubicBezTo>
                <a:cubicBezTo>
                  <a:pt x="8428970" y="2532519"/>
                  <a:pt x="8444356" y="2548111"/>
                  <a:pt x="8463323" y="2548111"/>
                </a:cubicBezTo>
                <a:cubicBezTo>
                  <a:pt x="8482290" y="2548111"/>
                  <a:pt x="8497663" y="2532519"/>
                  <a:pt x="8497663" y="2513290"/>
                </a:cubicBezTo>
                <a:cubicBezTo>
                  <a:pt x="8497663" y="2494062"/>
                  <a:pt x="8482290" y="2478470"/>
                  <a:pt x="8463323" y="2478470"/>
                </a:cubicBezTo>
                <a:close/>
                <a:moveTo>
                  <a:pt x="8547064" y="2478470"/>
                </a:moveTo>
                <a:cubicBezTo>
                  <a:pt x="8528097" y="2478470"/>
                  <a:pt x="8512711" y="2494062"/>
                  <a:pt x="8512711" y="2513290"/>
                </a:cubicBezTo>
                <a:cubicBezTo>
                  <a:pt x="8512711" y="2532519"/>
                  <a:pt x="8528097" y="2548111"/>
                  <a:pt x="8547064" y="2548111"/>
                </a:cubicBezTo>
                <a:cubicBezTo>
                  <a:pt x="8566031" y="2548111"/>
                  <a:pt x="8581404" y="2532519"/>
                  <a:pt x="8581404" y="2513290"/>
                </a:cubicBezTo>
                <a:cubicBezTo>
                  <a:pt x="8581404" y="2494062"/>
                  <a:pt x="8566031" y="2478470"/>
                  <a:pt x="8547064" y="2478470"/>
                </a:cubicBezTo>
                <a:close/>
                <a:moveTo>
                  <a:pt x="8630805" y="2478470"/>
                </a:moveTo>
                <a:cubicBezTo>
                  <a:pt x="8611838" y="2478470"/>
                  <a:pt x="8596452" y="2494062"/>
                  <a:pt x="8596452" y="2513290"/>
                </a:cubicBezTo>
                <a:cubicBezTo>
                  <a:pt x="8596452" y="2532519"/>
                  <a:pt x="8611838" y="2548111"/>
                  <a:pt x="8630805" y="2548111"/>
                </a:cubicBezTo>
                <a:cubicBezTo>
                  <a:pt x="8649772" y="2548111"/>
                  <a:pt x="8665145" y="2532519"/>
                  <a:pt x="8665145" y="2513290"/>
                </a:cubicBezTo>
                <a:cubicBezTo>
                  <a:pt x="8665145" y="2494062"/>
                  <a:pt x="8649772" y="2478470"/>
                  <a:pt x="8630805" y="2478470"/>
                </a:cubicBezTo>
                <a:close/>
                <a:moveTo>
                  <a:pt x="8714547" y="2478470"/>
                </a:moveTo>
                <a:cubicBezTo>
                  <a:pt x="8695580" y="2478470"/>
                  <a:pt x="8680194" y="2494062"/>
                  <a:pt x="8680194" y="2513290"/>
                </a:cubicBezTo>
                <a:cubicBezTo>
                  <a:pt x="8680194" y="2532519"/>
                  <a:pt x="8695580" y="2548111"/>
                  <a:pt x="8714547" y="2548111"/>
                </a:cubicBezTo>
                <a:cubicBezTo>
                  <a:pt x="8733514" y="2548111"/>
                  <a:pt x="8748888" y="2532519"/>
                  <a:pt x="8748888" y="2513290"/>
                </a:cubicBezTo>
                <a:cubicBezTo>
                  <a:pt x="8748888" y="2494062"/>
                  <a:pt x="8733514" y="2478470"/>
                  <a:pt x="8714547" y="2478470"/>
                </a:cubicBezTo>
                <a:close/>
                <a:moveTo>
                  <a:pt x="8798289" y="2478470"/>
                </a:moveTo>
                <a:cubicBezTo>
                  <a:pt x="8779322" y="2478470"/>
                  <a:pt x="8763936" y="2494062"/>
                  <a:pt x="8763936" y="2513290"/>
                </a:cubicBezTo>
                <a:cubicBezTo>
                  <a:pt x="8763936" y="2532519"/>
                  <a:pt x="8779322" y="2548111"/>
                  <a:pt x="8798289" y="2548111"/>
                </a:cubicBezTo>
                <a:cubicBezTo>
                  <a:pt x="8817256" y="2548111"/>
                  <a:pt x="8832629" y="2532519"/>
                  <a:pt x="8832629" y="2513290"/>
                </a:cubicBezTo>
                <a:cubicBezTo>
                  <a:pt x="8832629" y="2494062"/>
                  <a:pt x="8817256" y="2478470"/>
                  <a:pt x="8798289" y="2478470"/>
                </a:cubicBezTo>
                <a:close/>
                <a:moveTo>
                  <a:pt x="8882030" y="2478470"/>
                </a:moveTo>
                <a:cubicBezTo>
                  <a:pt x="8863063" y="2478470"/>
                  <a:pt x="8847677" y="2494062"/>
                  <a:pt x="8847677" y="2513290"/>
                </a:cubicBezTo>
                <a:cubicBezTo>
                  <a:pt x="8847677" y="2532519"/>
                  <a:pt x="8863063" y="2548111"/>
                  <a:pt x="8882030" y="2548111"/>
                </a:cubicBezTo>
                <a:cubicBezTo>
                  <a:pt x="8900997" y="2548111"/>
                  <a:pt x="8916370" y="2532519"/>
                  <a:pt x="8916370" y="2513290"/>
                </a:cubicBezTo>
                <a:cubicBezTo>
                  <a:pt x="8916370" y="2494062"/>
                  <a:pt x="8900997" y="2478470"/>
                  <a:pt x="8882030" y="2478470"/>
                </a:cubicBezTo>
                <a:close/>
                <a:moveTo>
                  <a:pt x="8965772" y="2478470"/>
                </a:moveTo>
                <a:cubicBezTo>
                  <a:pt x="8946805" y="2478470"/>
                  <a:pt x="8931419" y="2494062"/>
                  <a:pt x="8931419" y="2513290"/>
                </a:cubicBezTo>
                <a:cubicBezTo>
                  <a:pt x="8931419" y="2532519"/>
                  <a:pt x="8946805" y="2548111"/>
                  <a:pt x="8965772" y="2548111"/>
                </a:cubicBezTo>
                <a:cubicBezTo>
                  <a:pt x="8984739" y="2548111"/>
                  <a:pt x="9000112" y="2532519"/>
                  <a:pt x="9000112" y="2513290"/>
                </a:cubicBezTo>
                <a:cubicBezTo>
                  <a:pt x="9000112" y="2494062"/>
                  <a:pt x="8984739" y="2478470"/>
                  <a:pt x="8965772" y="2478470"/>
                </a:cubicBezTo>
                <a:close/>
                <a:moveTo>
                  <a:pt x="9049513" y="2478470"/>
                </a:moveTo>
                <a:cubicBezTo>
                  <a:pt x="9030546" y="2478470"/>
                  <a:pt x="9015160" y="2494062"/>
                  <a:pt x="9015160" y="2513290"/>
                </a:cubicBezTo>
                <a:cubicBezTo>
                  <a:pt x="9015160" y="2532519"/>
                  <a:pt x="9030546" y="2548111"/>
                  <a:pt x="9049513" y="2548111"/>
                </a:cubicBezTo>
                <a:cubicBezTo>
                  <a:pt x="9068480" y="2548111"/>
                  <a:pt x="9083854" y="2532519"/>
                  <a:pt x="9083854" y="2513290"/>
                </a:cubicBezTo>
                <a:cubicBezTo>
                  <a:pt x="9083854" y="2494062"/>
                  <a:pt x="9068480" y="2478470"/>
                  <a:pt x="9049513" y="2478470"/>
                </a:cubicBezTo>
                <a:close/>
                <a:moveTo>
                  <a:pt x="9133256" y="2478470"/>
                </a:moveTo>
                <a:cubicBezTo>
                  <a:pt x="9114289" y="2478470"/>
                  <a:pt x="9098903" y="2494062"/>
                  <a:pt x="9098903" y="2513290"/>
                </a:cubicBezTo>
                <a:cubicBezTo>
                  <a:pt x="9098903" y="2532519"/>
                  <a:pt x="9114289" y="2548111"/>
                  <a:pt x="9133256" y="2548111"/>
                </a:cubicBezTo>
                <a:cubicBezTo>
                  <a:pt x="9152223" y="2548111"/>
                  <a:pt x="9167596" y="2532519"/>
                  <a:pt x="9167596" y="2513290"/>
                </a:cubicBezTo>
                <a:cubicBezTo>
                  <a:pt x="9167596" y="2494062"/>
                  <a:pt x="9152223" y="2478470"/>
                  <a:pt x="9133256" y="2478470"/>
                </a:cubicBezTo>
                <a:close/>
                <a:moveTo>
                  <a:pt x="9216997" y="2478470"/>
                </a:moveTo>
                <a:cubicBezTo>
                  <a:pt x="9198030" y="2478470"/>
                  <a:pt x="9182644" y="2494062"/>
                  <a:pt x="9182644" y="2513290"/>
                </a:cubicBezTo>
                <a:cubicBezTo>
                  <a:pt x="9182644" y="2532519"/>
                  <a:pt x="9198030" y="2548111"/>
                  <a:pt x="9216997" y="2548111"/>
                </a:cubicBezTo>
                <a:cubicBezTo>
                  <a:pt x="9235964" y="2548111"/>
                  <a:pt x="9251337" y="2532519"/>
                  <a:pt x="9251337" y="2513290"/>
                </a:cubicBezTo>
                <a:cubicBezTo>
                  <a:pt x="9251337" y="2494062"/>
                  <a:pt x="9235964" y="2478470"/>
                  <a:pt x="9216997" y="2478470"/>
                </a:cubicBezTo>
                <a:close/>
                <a:moveTo>
                  <a:pt x="9300738" y="2478470"/>
                </a:moveTo>
                <a:cubicBezTo>
                  <a:pt x="9281771" y="2478470"/>
                  <a:pt x="9266385" y="2494062"/>
                  <a:pt x="9266385" y="2513290"/>
                </a:cubicBezTo>
                <a:cubicBezTo>
                  <a:pt x="9266385" y="2532519"/>
                  <a:pt x="9281771" y="2548111"/>
                  <a:pt x="9300738" y="2548111"/>
                </a:cubicBezTo>
                <a:cubicBezTo>
                  <a:pt x="9319705" y="2548111"/>
                  <a:pt x="9335078" y="2532519"/>
                  <a:pt x="9335078" y="2513290"/>
                </a:cubicBezTo>
                <a:cubicBezTo>
                  <a:pt x="9335078" y="2494062"/>
                  <a:pt x="9319705" y="2478470"/>
                  <a:pt x="9300738" y="2478470"/>
                </a:cubicBezTo>
                <a:close/>
                <a:moveTo>
                  <a:pt x="9384480" y="2478470"/>
                </a:moveTo>
                <a:cubicBezTo>
                  <a:pt x="9365513" y="2478470"/>
                  <a:pt x="9350127" y="2494062"/>
                  <a:pt x="9350127" y="2513290"/>
                </a:cubicBezTo>
                <a:cubicBezTo>
                  <a:pt x="9350127" y="2532519"/>
                  <a:pt x="9365513" y="2548111"/>
                  <a:pt x="9384480" y="2548111"/>
                </a:cubicBezTo>
                <a:cubicBezTo>
                  <a:pt x="9403447" y="2548111"/>
                  <a:pt x="9418821" y="2532519"/>
                  <a:pt x="9418821" y="2513290"/>
                </a:cubicBezTo>
                <a:cubicBezTo>
                  <a:pt x="9418821" y="2494062"/>
                  <a:pt x="9403447" y="2478470"/>
                  <a:pt x="9384480" y="2478470"/>
                </a:cubicBezTo>
                <a:close/>
                <a:moveTo>
                  <a:pt x="9468222" y="2478470"/>
                </a:moveTo>
                <a:cubicBezTo>
                  <a:pt x="9449255" y="2478470"/>
                  <a:pt x="9433869" y="2494062"/>
                  <a:pt x="9433869" y="2513290"/>
                </a:cubicBezTo>
                <a:cubicBezTo>
                  <a:pt x="9433869" y="2532519"/>
                  <a:pt x="9449255" y="2548111"/>
                  <a:pt x="9468222" y="2548111"/>
                </a:cubicBezTo>
                <a:cubicBezTo>
                  <a:pt x="9487189" y="2548111"/>
                  <a:pt x="9502562" y="2532519"/>
                  <a:pt x="9502562" y="2513290"/>
                </a:cubicBezTo>
                <a:cubicBezTo>
                  <a:pt x="9502562" y="2494062"/>
                  <a:pt x="9487189" y="2478470"/>
                  <a:pt x="9468222" y="2478470"/>
                </a:cubicBezTo>
                <a:close/>
                <a:moveTo>
                  <a:pt x="9551963" y="2478470"/>
                </a:moveTo>
                <a:cubicBezTo>
                  <a:pt x="9532996" y="2478470"/>
                  <a:pt x="9517610" y="2494062"/>
                  <a:pt x="9517610" y="2513290"/>
                </a:cubicBezTo>
                <a:cubicBezTo>
                  <a:pt x="9517610" y="2532519"/>
                  <a:pt x="9532996" y="2548111"/>
                  <a:pt x="9551963" y="2548111"/>
                </a:cubicBezTo>
                <a:cubicBezTo>
                  <a:pt x="9570930" y="2548111"/>
                  <a:pt x="9586303" y="2532519"/>
                  <a:pt x="9586303" y="2513290"/>
                </a:cubicBezTo>
                <a:cubicBezTo>
                  <a:pt x="9586303" y="2494062"/>
                  <a:pt x="9570930" y="2478470"/>
                  <a:pt x="9551963" y="2478470"/>
                </a:cubicBezTo>
                <a:close/>
                <a:moveTo>
                  <a:pt x="9635705" y="2478470"/>
                </a:moveTo>
                <a:cubicBezTo>
                  <a:pt x="9616738" y="2478470"/>
                  <a:pt x="9601352" y="2494062"/>
                  <a:pt x="9601352" y="2513290"/>
                </a:cubicBezTo>
                <a:cubicBezTo>
                  <a:pt x="9601352" y="2532519"/>
                  <a:pt x="9616738" y="2548111"/>
                  <a:pt x="9635705" y="2548111"/>
                </a:cubicBezTo>
                <a:cubicBezTo>
                  <a:pt x="9654672" y="2548111"/>
                  <a:pt x="9670045" y="2532519"/>
                  <a:pt x="9670045" y="2513290"/>
                </a:cubicBezTo>
                <a:cubicBezTo>
                  <a:pt x="9670045" y="2494062"/>
                  <a:pt x="9654672" y="2478470"/>
                  <a:pt x="9635705" y="2478470"/>
                </a:cubicBezTo>
                <a:close/>
                <a:moveTo>
                  <a:pt x="9719446" y="2478470"/>
                </a:moveTo>
                <a:cubicBezTo>
                  <a:pt x="9700479" y="2478470"/>
                  <a:pt x="9685093" y="2494062"/>
                  <a:pt x="9685093" y="2513290"/>
                </a:cubicBezTo>
                <a:cubicBezTo>
                  <a:pt x="9685093" y="2532519"/>
                  <a:pt x="9700479" y="2548111"/>
                  <a:pt x="9719446" y="2548111"/>
                </a:cubicBezTo>
                <a:cubicBezTo>
                  <a:pt x="9738413" y="2548111"/>
                  <a:pt x="9753787" y="2532519"/>
                  <a:pt x="9753787" y="2513290"/>
                </a:cubicBezTo>
                <a:cubicBezTo>
                  <a:pt x="9753787" y="2494062"/>
                  <a:pt x="9738413" y="2478470"/>
                  <a:pt x="9719446" y="2478470"/>
                </a:cubicBezTo>
                <a:close/>
                <a:moveTo>
                  <a:pt x="9803189" y="2478470"/>
                </a:moveTo>
                <a:cubicBezTo>
                  <a:pt x="9784222" y="2478470"/>
                  <a:pt x="9768836" y="2494062"/>
                  <a:pt x="9768836" y="2513290"/>
                </a:cubicBezTo>
                <a:cubicBezTo>
                  <a:pt x="9768836" y="2532519"/>
                  <a:pt x="9784222" y="2548111"/>
                  <a:pt x="9803189" y="2548111"/>
                </a:cubicBezTo>
                <a:cubicBezTo>
                  <a:pt x="9822156" y="2548111"/>
                  <a:pt x="9837529" y="2532519"/>
                  <a:pt x="9837529" y="2513290"/>
                </a:cubicBezTo>
                <a:cubicBezTo>
                  <a:pt x="9837529" y="2494062"/>
                  <a:pt x="9822156" y="2478470"/>
                  <a:pt x="9803189" y="2478470"/>
                </a:cubicBezTo>
                <a:close/>
                <a:moveTo>
                  <a:pt x="10221896" y="2478470"/>
                </a:moveTo>
                <a:cubicBezTo>
                  <a:pt x="10202929" y="2478470"/>
                  <a:pt x="10187543" y="2494062"/>
                  <a:pt x="10187543" y="2513290"/>
                </a:cubicBezTo>
                <a:cubicBezTo>
                  <a:pt x="10187543" y="2532519"/>
                  <a:pt x="10202929" y="2548111"/>
                  <a:pt x="10221896" y="2548111"/>
                </a:cubicBezTo>
                <a:cubicBezTo>
                  <a:pt x="10240863" y="2548111"/>
                  <a:pt x="10256236" y="2532519"/>
                  <a:pt x="10256236" y="2513290"/>
                </a:cubicBezTo>
                <a:cubicBezTo>
                  <a:pt x="10256236" y="2494062"/>
                  <a:pt x="10240863" y="2478470"/>
                  <a:pt x="10221896" y="2478470"/>
                </a:cubicBezTo>
                <a:close/>
                <a:moveTo>
                  <a:pt x="2266416" y="2563334"/>
                </a:moveTo>
                <a:cubicBezTo>
                  <a:pt x="2247449" y="2563334"/>
                  <a:pt x="2232069" y="2578925"/>
                  <a:pt x="2232069" y="2598154"/>
                </a:cubicBezTo>
                <a:cubicBezTo>
                  <a:pt x="2232069" y="2617383"/>
                  <a:pt x="2247449" y="2632974"/>
                  <a:pt x="2266416" y="2632974"/>
                </a:cubicBezTo>
                <a:cubicBezTo>
                  <a:pt x="2285383" y="2632974"/>
                  <a:pt x="2300762" y="2617383"/>
                  <a:pt x="2300762" y="2598154"/>
                </a:cubicBezTo>
                <a:cubicBezTo>
                  <a:pt x="2300762" y="2578925"/>
                  <a:pt x="2285383" y="2563334"/>
                  <a:pt x="2266416" y="2563334"/>
                </a:cubicBezTo>
                <a:close/>
                <a:moveTo>
                  <a:pt x="2350151" y="2563334"/>
                </a:moveTo>
                <a:cubicBezTo>
                  <a:pt x="2331184" y="2563334"/>
                  <a:pt x="2315804" y="2578925"/>
                  <a:pt x="2315804" y="2598154"/>
                </a:cubicBezTo>
                <a:cubicBezTo>
                  <a:pt x="2315804" y="2617383"/>
                  <a:pt x="2331184" y="2632974"/>
                  <a:pt x="2350151" y="2632974"/>
                </a:cubicBezTo>
                <a:cubicBezTo>
                  <a:pt x="2369118" y="2632974"/>
                  <a:pt x="2384498" y="2617383"/>
                  <a:pt x="2384498" y="2598154"/>
                </a:cubicBezTo>
                <a:cubicBezTo>
                  <a:pt x="2384498" y="2578925"/>
                  <a:pt x="2369118" y="2563334"/>
                  <a:pt x="2350151" y="2563334"/>
                </a:cubicBezTo>
                <a:close/>
                <a:moveTo>
                  <a:pt x="2433893" y="2563334"/>
                </a:moveTo>
                <a:cubicBezTo>
                  <a:pt x="2414926" y="2563334"/>
                  <a:pt x="2399546" y="2578925"/>
                  <a:pt x="2399546" y="2598154"/>
                </a:cubicBezTo>
                <a:cubicBezTo>
                  <a:pt x="2399546" y="2617383"/>
                  <a:pt x="2414926" y="2632974"/>
                  <a:pt x="2433893" y="2632974"/>
                </a:cubicBezTo>
                <a:cubicBezTo>
                  <a:pt x="2452860" y="2632974"/>
                  <a:pt x="2468240" y="2617383"/>
                  <a:pt x="2468240" y="2598154"/>
                </a:cubicBezTo>
                <a:cubicBezTo>
                  <a:pt x="2468240" y="2578925"/>
                  <a:pt x="2452860" y="2563334"/>
                  <a:pt x="2433893" y="2563334"/>
                </a:cubicBezTo>
                <a:close/>
                <a:moveTo>
                  <a:pt x="2517634" y="2563334"/>
                </a:moveTo>
                <a:cubicBezTo>
                  <a:pt x="2498667" y="2563334"/>
                  <a:pt x="2483288" y="2578925"/>
                  <a:pt x="2483288" y="2598154"/>
                </a:cubicBezTo>
                <a:cubicBezTo>
                  <a:pt x="2483288" y="2617383"/>
                  <a:pt x="2498667" y="2632974"/>
                  <a:pt x="2517634" y="2632974"/>
                </a:cubicBezTo>
                <a:cubicBezTo>
                  <a:pt x="2536601" y="2632974"/>
                  <a:pt x="2551981" y="2617383"/>
                  <a:pt x="2551981" y="2598154"/>
                </a:cubicBezTo>
                <a:cubicBezTo>
                  <a:pt x="2551981" y="2578925"/>
                  <a:pt x="2536601" y="2563334"/>
                  <a:pt x="2517634" y="2563334"/>
                </a:cubicBezTo>
                <a:close/>
                <a:moveTo>
                  <a:pt x="2601376" y="2563334"/>
                </a:moveTo>
                <a:cubicBezTo>
                  <a:pt x="2582409" y="2563334"/>
                  <a:pt x="2567029" y="2578925"/>
                  <a:pt x="2567029" y="2598154"/>
                </a:cubicBezTo>
                <a:cubicBezTo>
                  <a:pt x="2567029" y="2617383"/>
                  <a:pt x="2582409" y="2632974"/>
                  <a:pt x="2601376" y="2632974"/>
                </a:cubicBezTo>
                <a:cubicBezTo>
                  <a:pt x="2620343" y="2632974"/>
                  <a:pt x="2635722" y="2617383"/>
                  <a:pt x="2635722" y="2598154"/>
                </a:cubicBezTo>
                <a:cubicBezTo>
                  <a:pt x="2635722" y="2578925"/>
                  <a:pt x="2620343" y="2563334"/>
                  <a:pt x="2601376" y="2563334"/>
                </a:cubicBezTo>
                <a:close/>
                <a:moveTo>
                  <a:pt x="2685118" y="2563334"/>
                </a:moveTo>
                <a:cubicBezTo>
                  <a:pt x="2666151" y="2563334"/>
                  <a:pt x="2650771" y="2578925"/>
                  <a:pt x="2650771" y="2598154"/>
                </a:cubicBezTo>
                <a:cubicBezTo>
                  <a:pt x="2650771" y="2617383"/>
                  <a:pt x="2666151" y="2632974"/>
                  <a:pt x="2685118" y="2632974"/>
                </a:cubicBezTo>
                <a:cubicBezTo>
                  <a:pt x="2704085" y="2632974"/>
                  <a:pt x="2719465" y="2617383"/>
                  <a:pt x="2719465" y="2598154"/>
                </a:cubicBezTo>
                <a:cubicBezTo>
                  <a:pt x="2719465" y="2578925"/>
                  <a:pt x="2704085" y="2563334"/>
                  <a:pt x="2685118" y="2563334"/>
                </a:cubicBezTo>
                <a:close/>
                <a:moveTo>
                  <a:pt x="2768859" y="2563334"/>
                </a:moveTo>
                <a:cubicBezTo>
                  <a:pt x="2749892" y="2563334"/>
                  <a:pt x="2734512" y="2578925"/>
                  <a:pt x="2734512" y="2598154"/>
                </a:cubicBezTo>
                <a:cubicBezTo>
                  <a:pt x="2734512" y="2617383"/>
                  <a:pt x="2749892" y="2632974"/>
                  <a:pt x="2768859" y="2632974"/>
                </a:cubicBezTo>
                <a:cubicBezTo>
                  <a:pt x="2787826" y="2632974"/>
                  <a:pt x="2803206" y="2617383"/>
                  <a:pt x="2803206" y="2598154"/>
                </a:cubicBezTo>
                <a:cubicBezTo>
                  <a:pt x="2803206" y="2578925"/>
                  <a:pt x="2787826" y="2563334"/>
                  <a:pt x="2768859" y="2563334"/>
                </a:cubicBezTo>
                <a:close/>
                <a:moveTo>
                  <a:pt x="2852600" y="2563334"/>
                </a:moveTo>
                <a:cubicBezTo>
                  <a:pt x="2833633" y="2563334"/>
                  <a:pt x="2818254" y="2578925"/>
                  <a:pt x="2818254" y="2598154"/>
                </a:cubicBezTo>
                <a:cubicBezTo>
                  <a:pt x="2818254" y="2617383"/>
                  <a:pt x="2833633" y="2632974"/>
                  <a:pt x="2852600" y="2632974"/>
                </a:cubicBezTo>
                <a:cubicBezTo>
                  <a:pt x="2871567" y="2632974"/>
                  <a:pt x="2886947" y="2617383"/>
                  <a:pt x="2886947" y="2598154"/>
                </a:cubicBezTo>
                <a:cubicBezTo>
                  <a:pt x="2886947" y="2578925"/>
                  <a:pt x="2871567" y="2563334"/>
                  <a:pt x="2852600" y="2563334"/>
                </a:cubicBezTo>
                <a:close/>
                <a:moveTo>
                  <a:pt x="2936343" y="2563334"/>
                </a:moveTo>
                <a:cubicBezTo>
                  <a:pt x="2917376" y="2563334"/>
                  <a:pt x="2901996" y="2578925"/>
                  <a:pt x="2901996" y="2598154"/>
                </a:cubicBezTo>
                <a:cubicBezTo>
                  <a:pt x="2901996" y="2617383"/>
                  <a:pt x="2917376" y="2632974"/>
                  <a:pt x="2936343" y="2632974"/>
                </a:cubicBezTo>
                <a:cubicBezTo>
                  <a:pt x="2955310" y="2632974"/>
                  <a:pt x="2970689" y="2617383"/>
                  <a:pt x="2970689" y="2598154"/>
                </a:cubicBezTo>
                <a:cubicBezTo>
                  <a:pt x="2970689" y="2578925"/>
                  <a:pt x="2955310" y="2563334"/>
                  <a:pt x="2936343" y="2563334"/>
                </a:cubicBezTo>
                <a:close/>
                <a:moveTo>
                  <a:pt x="3020084" y="2563334"/>
                </a:moveTo>
                <a:cubicBezTo>
                  <a:pt x="3001117" y="2563334"/>
                  <a:pt x="2985737" y="2578925"/>
                  <a:pt x="2985737" y="2598154"/>
                </a:cubicBezTo>
                <a:cubicBezTo>
                  <a:pt x="2985737" y="2617383"/>
                  <a:pt x="3001117" y="2632974"/>
                  <a:pt x="3020084" y="2632974"/>
                </a:cubicBezTo>
                <a:cubicBezTo>
                  <a:pt x="3039051" y="2632974"/>
                  <a:pt x="3054431" y="2617383"/>
                  <a:pt x="3054431" y="2598154"/>
                </a:cubicBezTo>
                <a:cubicBezTo>
                  <a:pt x="3054431" y="2578925"/>
                  <a:pt x="3039051" y="2563334"/>
                  <a:pt x="3020084" y="2563334"/>
                </a:cubicBezTo>
                <a:close/>
                <a:moveTo>
                  <a:pt x="3103826" y="2563334"/>
                </a:moveTo>
                <a:cubicBezTo>
                  <a:pt x="3084859" y="2563334"/>
                  <a:pt x="3069479" y="2578925"/>
                  <a:pt x="3069479" y="2598154"/>
                </a:cubicBezTo>
                <a:cubicBezTo>
                  <a:pt x="3069479" y="2617383"/>
                  <a:pt x="3084859" y="2632974"/>
                  <a:pt x="3103826" y="2632974"/>
                </a:cubicBezTo>
                <a:cubicBezTo>
                  <a:pt x="3122793" y="2632974"/>
                  <a:pt x="3138173" y="2617383"/>
                  <a:pt x="3138173" y="2598154"/>
                </a:cubicBezTo>
                <a:cubicBezTo>
                  <a:pt x="3138173" y="2578925"/>
                  <a:pt x="3122793" y="2563334"/>
                  <a:pt x="3103826" y="2563334"/>
                </a:cubicBezTo>
                <a:close/>
                <a:moveTo>
                  <a:pt x="3187567" y="2563334"/>
                </a:moveTo>
                <a:cubicBezTo>
                  <a:pt x="3168600" y="2563334"/>
                  <a:pt x="3153221" y="2578925"/>
                  <a:pt x="3153221" y="2598154"/>
                </a:cubicBezTo>
                <a:cubicBezTo>
                  <a:pt x="3153221" y="2617383"/>
                  <a:pt x="3168600" y="2632974"/>
                  <a:pt x="3187567" y="2632974"/>
                </a:cubicBezTo>
                <a:cubicBezTo>
                  <a:pt x="3206534" y="2632974"/>
                  <a:pt x="3221914" y="2617383"/>
                  <a:pt x="3221914" y="2598154"/>
                </a:cubicBezTo>
                <a:cubicBezTo>
                  <a:pt x="3221914" y="2578925"/>
                  <a:pt x="3206534" y="2563334"/>
                  <a:pt x="3187567" y="2563334"/>
                </a:cubicBezTo>
                <a:close/>
                <a:moveTo>
                  <a:pt x="3438792" y="2563334"/>
                </a:moveTo>
                <a:cubicBezTo>
                  <a:pt x="3419825" y="2563334"/>
                  <a:pt x="3404445" y="2578925"/>
                  <a:pt x="3404445" y="2598154"/>
                </a:cubicBezTo>
                <a:cubicBezTo>
                  <a:pt x="3404445" y="2617383"/>
                  <a:pt x="3419825" y="2632974"/>
                  <a:pt x="3438792" y="2632974"/>
                </a:cubicBezTo>
                <a:cubicBezTo>
                  <a:pt x="3457759" y="2632974"/>
                  <a:pt x="3473139" y="2617383"/>
                  <a:pt x="3473139" y="2598154"/>
                </a:cubicBezTo>
                <a:cubicBezTo>
                  <a:pt x="3473139" y="2578925"/>
                  <a:pt x="3457759" y="2563334"/>
                  <a:pt x="3438792" y="2563334"/>
                </a:cubicBezTo>
                <a:close/>
                <a:moveTo>
                  <a:pt x="3522533" y="2563334"/>
                </a:moveTo>
                <a:cubicBezTo>
                  <a:pt x="3503566" y="2563334"/>
                  <a:pt x="3488187" y="2578925"/>
                  <a:pt x="3488187" y="2598154"/>
                </a:cubicBezTo>
                <a:cubicBezTo>
                  <a:pt x="3488187" y="2617383"/>
                  <a:pt x="3503566" y="2632974"/>
                  <a:pt x="3522533" y="2632974"/>
                </a:cubicBezTo>
                <a:cubicBezTo>
                  <a:pt x="3541500" y="2632974"/>
                  <a:pt x="3556880" y="2617383"/>
                  <a:pt x="3556880" y="2598154"/>
                </a:cubicBezTo>
                <a:cubicBezTo>
                  <a:pt x="3556880" y="2578925"/>
                  <a:pt x="3541500" y="2563334"/>
                  <a:pt x="3522533" y="2563334"/>
                </a:cubicBezTo>
                <a:close/>
                <a:moveTo>
                  <a:pt x="3606276" y="2563334"/>
                </a:moveTo>
                <a:cubicBezTo>
                  <a:pt x="3587309" y="2563334"/>
                  <a:pt x="3571929" y="2578925"/>
                  <a:pt x="3571929" y="2598154"/>
                </a:cubicBezTo>
                <a:cubicBezTo>
                  <a:pt x="3571929" y="2617383"/>
                  <a:pt x="3587309" y="2632974"/>
                  <a:pt x="3606276" y="2632974"/>
                </a:cubicBezTo>
                <a:cubicBezTo>
                  <a:pt x="3625243" y="2632974"/>
                  <a:pt x="3640622" y="2617383"/>
                  <a:pt x="3640622" y="2598154"/>
                </a:cubicBezTo>
                <a:cubicBezTo>
                  <a:pt x="3640622" y="2578925"/>
                  <a:pt x="3625243" y="2563334"/>
                  <a:pt x="3606276" y="2563334"/>
                </a:cubicBezTo>
                <a:close/>
                <a:moveTo>
                  <a:pt x="3690017" y="2563334"/>
                </a:moveTo>
                <a:cubicBezTo>
                  <a:pt x="3671050" y="2563334"/>
                  <a:pt x="3655670" y="2578925"/>
                  <a:pt x="3655670" y="2598154"/>
                </a:cubicBezTo>
                <a:cubicBezTo>
                  <a:pt x="3655670" y="2617383"/>
                  <a:pt x="3671050" y="2632974"/>
                  <a:pt x="3690017" y="2632974"/>
                </a:cubicBezTo>
                <a:cubicBezTo>
                  <a:pt x="3708984" y="2632974"/>
                  <a:pt x="3724364" y="2617383"/>
                  <a:pt x="3724364" y="2598154"/>
                </a:cubicBezTo>
                <a:cubicBezTo>
                  <a:pt x="3724364" y="2578925"/>
                  <a:pt x="3708984" y="2563334"/>
                  <a:pt x="3690017" y="2563334"/>
                </a:cubicBezTo>
                <a:close/>
                <a:moveTo>
                  <a:pt x="3773759" y="2563334"/>
                </a:moveTo>
                <a:cubicBezTo>
                  <a:pt x="3754792" y="2563334"/>
                  <a:pt x="3739412" y="2578925"/>
                  <a:pt x="3739412" y="2598154"/>
                </a:cubicBezTo>
                <a:cubicBezTo>
                  <a:pt x="3739412" y="2617383"/>
                  <a:pt x="3754792" y="2632974"/>
                  <a:pt x="3773759" y="2632974"/>
                </a:cubicBezTo>
                <a:cubicBezTo>
                  <a:pt x="3792726" y="2632974"/>
                  <a:pt x="3808106" y="2617383"/>
                  <a:pt x="3808106" y="2598154"/>
                </a:cubicBezTo>
                <a:cubicBezTo>
                  <a:pt x="3808106" y="2578925"/>
                  <a:pt x="3792726" y="2563334"/>
                  <a:pt x="3773759" y="2563334"/>
                </a:cubicBezTo>
                <a:close/>
                <a:moveTo>
                  <a:pt x="3941242" y="2563334"/>
                </a:moveTo>
                <a:cubicBezTo>
                  <a:pt x="3922275" y="2563334"/>
                  <a:pt x="3906895" y="2578925"/>
                  <a:pt x="3906895" y="2598154"/>
                </a:cubicBezTo>
                <a:cubicBezTo>
                  <a:pt x="3906895" y="2617383"/>
                  <a:pt x="3922275" y="2632974"/>
                  <a:pt x="3941242" y="2632974"/>
                </a:cubicBezTo>
                <a:cubicBezTo>
                  <a:pt x="3960209" y="2632974"/>
                  <a:pt x="3975588" y="2617383"/>
                  <a:pt x="3975588" y="2598154"/>
                </a:cubicBezTo>
                <a:cubicBezTo>
                  <a:pt x="3975588" y="2578925"/>
                  <a:pt x="3960209" y="2563334"/>
                  <a:pt x="3941242" y="2563334"/>
                </a:cubicBezTo>
                <a:close/>
                <a:moveTo>
                  <a:pt x="4192473" y="2563334"/>
                </a:moveTo>
                <a:cubicBezTo>
                  <a:pt x="4173506" y="2563334"/>
                  <a:pt x="4158127" y="2578925"/>
                  <a:pt x="4158127" y="2598154"/>
                </a:cubicBezTo>
                <a:cubicBezTo>
                  <a:pt x="4158127" y="2617383"/>
                  <a:pt x="4173506" y="2632974"/>
                  <a:pt x="4192473" y="2632974"/>
                </a:cubicBezTo>
                <a:cubicBezTo>
                  <a:pt x="4211440" y="2632974"/>
                  <a:pt x="4226820" y="2617383"/>
                  <a:pt x="4226820" y="2598154"/>
                </a:cubicBezTo>
                <a:cubicBezTo>
                  <a:pt x="4226820" y="2578925"/>
                  <a:pt x="4211440" y="2563334"/>
                  <a:pt x="4192473" y="2563334"/>
                </a:cubicBezTo>
                <a:close/>
                <a:moveTo>
                  <a:pt x="4276215" y="2563334"/>
                </a:moveTo>
                <a:cubicBezTo>
                  <a:pt x="4257248" y="2563334"/>
                  <a:pt x="4241868" y="2578925"/>
                  <a:pt x="4241868" y="2598154"/>
                </a:cubicBezTo>
                <a:cubicBezTo>
                  <a:pt x="4241868" y="2617383"/>
                  <a:pt x="4257248" y="2632974"/>
                  <a:pt x="4276215" y="2632974"/>
                </a:cubicBezTo>
                <a:cubicBezTo>
                  <a:pt x="4295182" y="2632974"/>
                  <a:pt x="4310561" y="2617383"/>
                  <a:pt x="4310561" y="2598154"/>
                </a:cubicBezTo>
                <a:cubicBezTo>
                  <a:pt x="4310561" y="2578925"/>
                  <a:pt x="4295182" y="2563334"/>
                  <a:pt x="4276215" y="2563334"/>
                </a:cubicBezTo>
                <a:close/>
                <a:moveTo>
                  <a:pt x="5951048" y="2563334"/>
                </a:moveTo>
                <a:cubicBezTo>
                  <a:pt x="5932081" y="2563334"/>
                  <a:pt x="5916701" y="2578925"/>
                  <a:pt x="5916701" y="2598154"/>
                </a:cubicBezTo>
                <a:cubicBezTo>
                  <a:pt x="5916701" y="2617383"/>
                  <a:pt x="5932081" y="2632974"/>
                  <a:pt x="5951048" y="2632974"/>
                </a:cubicBezTo>
                <a:cubicBezTo>
                  <a:pt x="5970015" y="2632974"/>
                  <a:pt x="5985394" y="2617383"/>
                  <a:pt x="5985394" y="2598154"/>
                </a:cubicBezTo>
                <a:cubicBezTo>
                  <a:pt x="5985394" y="2578925"/>
                  <a:pt x="5970015" y="2563334"/>
                  <a:pt x="5951048" y="2563334"/>
                </a:cubicBezTo>
                <a:close/>
                <a:moveTo>
                  <a:pt x="6034789" y="2563334"/>
                </a:moveTo>
                <a:cubicBezTo>
                  <a:pt x="6015822" y="2563334"/>
                  <a:pt x="6000442" y="2578925"/>
                  <a:pt x="6000442" y="2598154"/>
                </a:cubicBezTo>
                <a:cubicBezTo>
                  <a:pt x="6000442" y="2617383"/>
                  <a:pt x="6015822" y="2632974"/>
                  <a:pt x="6034789" y="2632974"/>
                </a:cubicBezTo>
                <a:cubicBezTo>
                  <a:pt x="6053756" y="2632974"/>
                  <a:pt x="6069136" y="2617383"/>
                  <a:pt x="6069136" y="2598154"/>
                </a:cubicBezTo>
                <a:cubicBezTo>
                  <a:pt x="6069136" y="2578925"/>
                  <a:pt x="6053756" y="2563334"/>
                  <a:pt x="6034789" y="2563334"/>
                </a:cubicBezTo>
                <a:close/>
                <a:moveTo>
                  <a:pt x="6118531" y="2563334"/>
                </a:moveTo>
                <a:cubicBezTo>
                  <a:pt x="6099557" y="2563334"/>
                  <a:pt x="6084177" y="2578925"/>
                  <a:pt x="6084177" y="2598154"/>
                </a:cubicBezTo>
                <a:cubicBezTo>
                  <a:pt x="6084177" y="2617383"/>
                  <a:pt x="6099557" y="2632974"/>
                  <a:pt x="6118531" y="2632974"/>
                </a:cubicBezTo>
                <a:cubicBezTo>
                  <a:pt x="6137498" y="2632974"/>
                  <a:pt x="6152871" y="2617383"/>
                  <a:pt x="6152871" y="2598154"/>
                </a:cubicBezTo>
                <a:cubicBezTo>
                  <a:pt x="6152871" y="2578925"/>
                  <a:pt x="6137498" y="2563334"/>
                  <a:pt x="6118531" y="2563334"/>
                </a:cubicBezTo>
                <a:close/>
                <a:moveTo>
                  <a:pt x="6202273" y="2563334"/>
                </a:moveTo>
                <a:cubicBezTo>
                  <a:pt x="6183306" y="2563334"/>
                  <a:pt x="6167920" y="2578925"/>
                  <a:pt x="6167920" y="2598154"/>
                </a:cubicBezTo>
                <a:cubicBezTo>
                  <a:pt x="6167920" y="2617383"/>
                  <a:pt x="6183306" y="2632974"/>
                  <a:pt x="6202273" y="2632974"/>
                </a:cubicBezTo>
                <a:cubicBezTo>
                  <a:pt x="6221240" y="2632974"/>
                  <a:pt x="6236613" y="2617383"/>
                  <a:pt x="6236613" y="2598154"/>
                </a:cubicBezTo>
                <a:cubicBezTo>
                  <a:pt x="6236613" y="2578925"/>
                  <a:pt x="6221240" y="2563334"/>
                  <a:pt x="6202273" y="2563334"/>
                </a:cubicBezTo>
                <a:close/>
                <a:moveTo>
                  <a:pt x="6286014" y="2563334"/>
                </a:moveTo>
                <a:cubicBezTo>
                  <a:pt x="6267047" y="2563334"/>
                  <a:pt x="6251661" y="2578925"/>
                  <a:pt x="6251661" y="2598154"/>
                </a:cubicBezTo>
                <a:cubicBezTo>
                  <a:pt x="6251661" y="2617383"/>
                  <a:pt x="6267047" y="2632974"/>
                  <a:pt x="6286014" y="2632974"/>
                </a:cubicBezTo>
                <a:cubicBezTo>
                  <a:pt x="6304981" y="2632974"/>
                  <a:pt x="6320354" y="2617383"/>
                  <a:pt x="6320354" y="2598154"/>
                </a:cubicBezTo>
                <a:cubicBezTo>
                  <a:pt x="6320354" y="2578925"/>
                  <a:pt x="6304981" y="2563334"/>
                  <a:pt x="6286014" y="2563334"/>
                </a:cubicBezTo>
                <a:close/>
                <a:moveTo>
                  <a:pt x="6369755" y="2563334"/>
                </a:moveTo>
                <a:cubicBezTo>
                  <a:pt x="6350788" y="2563334"/>
                  <a:pt x="6335402" y="2578925"/>
                  <a:pt x="6335402" y="2598154"/>
                </a:cubicBezTo>
                <a:cubicBezTo>
                  <a:pt x="6335402" y="2617383"/>
                  <a:pt x="6350788" y="2632974"/>
                  <a:pt x="6369755" y="2632974"/>
                </a:cubicBezTo>
                <a:cubicBezTo>
                  <a:pt x="6388722" y="2632974"/>
                  <a:pt x="6404096" y="2617383"/>
                  <a:pt x="6404096" y="2598154"/>
                </a:cubicBezTo>
                <a:cubicBezTo>
                  <a:pt x="6404096" y="2578925"/>
                  <a:pt x="6388722" y="2563334"/>
                  <a:pt x="6369755" y="2563334"/>
                </a:cubicBezTo>
                <a:close/>
                <a:moveTo>
                  <a:pt x="6453498" y="2563334"/>
                </a:moveTo>
                <a:cubicBezTo>
                  <a:pt x="6434531" y="2563334"/>
                  <a:pt x="6419144" y="2578925"/>
                  <a:pt x="6419144" y="2598154"/>
                </a:cubicBezTo>
                <a:cubicBezTo>
                  <a:pt x="6419144" y="2617383"/>
                  <a:pt x="6434531" y="2632974"/>
                  <a:pt x="6453498" y="2632974"/>
                </a:cubicBezTo>
                <a:cubicBezTo>
                  <a:pt x="6472465" y="2632974"/>
                  <a:pt x="6487838" y="2617383"/>
                  <a:pt x="6487838" y="2598154"/>
                </a:cubicBezTo>
                <a:cubicBezTo>
                  <a:pt x="6487838" y="2578925"/>
                  <a:pt x="6472465" y="2563334"/>
                  <a:pt x="6453498" y="2563334"/>
                </a:cubicBezTo>
                <a:close/>
                <a:moveTo>
                  <a:pt x="6537239" y="2563334"/>
                </a:moveTo>
                <a:cubicBezTo>
                  <a:pt x="6518272" y="2563334"/>
                  <a:pt x="6502886" y="2578925"/>
                  <a:pt x="6502886" y="2598154"/>
                </a:cubicBezTo>
                <a:cubicBezTo>
                  <a:pt x="6502886" y="2617383"/>
                  <a:pt x="6518272" y="2632974"/>
                  <a:pt x="6537239" y="2632974"/>
                </a:cubicBezTo>
                <a:cubicBezTo>
                  <a:pt x="6556206" y="2632974"/>
                  <a:pt x="6571579" y="2617383"/>
                  <a:pt x="6571579" y="2598154"/>
                </a:cubicBezTo>
                <a:cubicBezTo>
                  <a:pt x="6571579" y="2578925"/>
                  <a:pt x="6556206" y="2563334"/>
                  <a:pt x="6537239" y="2563334"/>
                </a:cubicBezTo>
                <a:close/>
                <a:moveTo>
                  <a:pt x="6620980" y="2563334"/>
                </a:moveTo>
                <a:cubicBezTo>
                  <a:pt x="6602013" y="2563334"/>
                  <a:pt x="6586627" y="2578925"/>
                  <a:pt x="6586627" y="2598154"/>
                </a:cubicBezTo>
                <a:cubicBezTo>
                  <a:pt x="6586627" y="2617383"/>
                  <a:pt x="6602013" y="2632974"/>
                  <a:pt x="6620980" y="2632974"/>
                </a:cubicBezTo>
                <a:cubicBezTo>
                  <a:pt x="6639947" y="2632974"/>
                  <a:pt x="6655320" y="2617383"/>
                  <a:pt x="6655320" y="2598154"/>
                </a:cubicBezTo>
                <a:cubicBezTo>
                  <a:pt x="6655320" y="2578925"/>
                  <a:pt x="6639947" y="2563334"/>
                  <a:pt x="6620980" y="2563334"/>
                </a:cubicBezTo>
                <a:close/>
                <a:moveTo>
                  <a:pt x="6704722" y="2563334"/>
                </a:moveTo>
                <a:cubicBezTo>
                  <a:pt x="6685755" y="2563334"/>
                  <a:pt x="6670369" y="2578925"/>
                  <a:pt x="6670369" y="2598154"/>
                </a:cubicBezTo>
                <a:cubicBezTo>
                  <a:pt x="6670369" y="2617383"/>
                  <a:pt x="6685755" y="2632974"/>
                  <a:pt x="6704722" y="2632974"/>
                </a:cubicBezTo>
                <a:cubicBezTo>
                  <a:pt x="6723689" y="2632974"/>
                  <a:pt x="6739063" y="2617383"/>
                  <a:pt x="6739063" y="2598154"/>
                </a:cubicBezTo>
                <a:cubicBezTo>
                  <a:pt x="6739063" y="2578925"/>
                  <a:pt x="6723689" y="2563334"/>
                  <a:pt x="6704722" y="2563334"/>
                </a:cubicBezTo>
                <a:close/>
                <a:moveTo>
                  <a:pt x="6788464" y="2563334"/>
                </a:moveTo>
                <a:cubicBezTo>
                  <a:pt x="6769497" y="2563334"/>
                  <a:pt x="6754110" y="2578925"/>
                  <a:pt x="6754110" y="2598154"/>
                </a:cubicBezTo>
                <a:cubicBezTo>
                  <a:pt x="6754110" y="2617383"/>
                  <a:pt x="6769497" y="2632974"/>
                  <a:pt x="6788464" y="2632974"/>
                </a:cubicBezTo>
                <a:cubicBezTo>
                  <a:pt x="6807431" y="2632974"/>
                  <a:pt x="6822804" y="2617383"/>
                  <a:pt x="6822804" y="2598154"/>
                </a:cubicBezTo>
                <a:cubicBezTo>
                  <a:pt x="6822804" y="2578925"/>
                  <a:pt x="6807431" y="2563334"/>
                  <a:pt x="6788464" y="2563334"/>
                </a:cubicBezTo>
                <a:close/>
                <a:moveTo>
                  <a:pt x="6872206" y="2563334"/>
                </a:moveTo>
                <a:cubicBezTo>
                  <a:pt x="6853239" y="2563334"/>
                  <a:pt x="6837853" y="2578925"/>
                  <a:pt x="6837853" y="2598154"/>
                </a:cubicBezTo>
                <a:cubicBezTo>
                  <a:pt x="6837853" y="2617383"/>
                  <a:pt x="6853239" y="2632974"/>
                  <a:pt x="6872206" y="2632974"/>
                </a:cubicBezTo>
                <a:cubicBezTo>
                  <a:pt x="6891173" y="2632974"/>
                  <a:pt x="6906546" y="2617383"/>
                  <a:pt x="6906546" y="2598154"/>
                </a:cubicBezTo>
                <a:cubicBezTo>
                  <a:pt x="6906546" y="2578925"/>
                  <a:pt x="6891173" y="2563334"/>
                  <a:pt x="6872206" y="2563334"/>
                </a:cubicBezTo>
                <a:close/>
                <a:moveTo>
                  <a:pt x="6955947" y="2563334"/>
                </a:moveTo>
                <a:cubicBezTo>
                  <a:pt x="6936980" y="2563334"/>
                  <a:pt x="6921594" y="2578925"/>
                  <a:pt x="6921594" y="2598154"/>
                </a:cubicBezTo>
                <a:cubicBezTo>
                  <a:pt x="6921594" y="2617383"/>
                  <a:pt x="6936980" y="2632974"/>
                  <a:pt x="6955947" y="2632974"/>
                </a:cubicBezTo>
                <a:cubicBezTo>
                  <a:pt x="6974914" y="2632974"/>
                  <a:pt x="6990287" y="2617383"/>
                  <a:pt x="6990287" y="2598154"/>
                </a:cubicBezTo>
                <a:cubicBezTo>
                  <a:pt x="6990287" y="2578925"/>
                  <a:pt x="6974914" y="2563334"/>
                  <a:pt x="6955947" y="2563334"/>
                </a:cubicBezTo>
                <a:close/>
                <a:moveTo>
                  <a:pt x="7039688" y="2563334"/>
                </a:moveTo>
                <a:cubicBezTo>
                  <a:pt x="7020721" y="2563334"/>
                  <a:pt x="7005335" y="2578925"/>
                  <a:pt x="7005335" y="2598154"/>
                </a:cubicBezTo>
                <a:cubicBezTo>
                  <a:pt x="7005335" y="2617383"/>
                  <a:pt x="7020721" y="2632974"/>
                  <a:pt x="7039688" y="2632974"/>
                </a:cubicBezTo>
                <a:cubicBezTo>
                  <a:pt x="7058655" y="2632974"/>
                  <a:pt x="7074029" y="2617383"/>
                  <a:pt x="7074029" y="2598154"/>
                </a:cubicBezTo>
                <a:cubicBezTo>
                  <a:pt x="7074029" y="2578925"/>
                  <a:pt x="7058655" y="2563334"/>
                  <a:pt x="7039688" y="2563334"/>
                </a:cubicBezTo>
                <a:close/>
                <a:moveTo>
                  <a:pt x="7123456" y="2563334"/>
                </a:moveTo>
                <a:cubicBezTo>
                  <a:pt x="7104489" y="2563334"/>
                  <a:pt x="7089103" y="2578925"/>
                  <a:pt x="7089103" y="2598154"/>
                </a:cubicBezTo>
                <a:cubicBezTo>
                  <a:pt x="7089103" y="2617383"/>
                  <a:pt x="7104489" y="2632974"/>
                  <a:pt x="7123456" y="2632974"/>
                </a:cubicBezTo>
                <a:cubicBezTo>
                  <a:pt x="7142423" y="2632974"/>
                  <a:pt x="7157796" y="2617383"/>
                  <a:pt x="7157796" y="2598154"/>
                </a:cubicBezTo>
                <a:cubicBezTo>
                  <a:pt x="7157796" y="2578925"/>
                  <a:pt x="7142423" y="2563334"/>
                  <a:pt x="7123456" y="2563334"/>
                </a:cubicBezTo>
                <a:close/>
                <a:moveTo>
                  <a:pt x="7207198" y="2563334"/>
                </a:moveTo>
                <a:cubicBezTo>
                  <a:pt x="7188231" y="2563334"/>
                  <a:pt x="7172845" y="2578925"/>
                  <a:pt x="7172845" y="2598154"/>
                </a:cubicBezTo>
                <a:cubicBezTo>
                  <a:pt x="7172845" y="2617383"/>
                  <a:pt x="7188231" y="2632974"/>
                  <a:pt x="7207198" y="2632974"/>
                </a:cubicBezTo>
                <a:cubicBezTo>
                  <a:pt x="7226165" y="2632974"/>
                  <a:pt x="7241538" y="2617383"/>
                  <a:pt x="7241538" y="2598154"/>
                </a:cubicBezTo>
                <a:cubicBezTo>
                  <a:pt x="7241538" y="2578925"/>
                  <a:pt x="7226165" y="2563334"/>
                  <a:pt x="7207198" y="2563334"/>
                </a:cubicBezTo>
                <a:close/>
                <a:moveTo>
                  <a:pt x="7290939" y="2563334"/>
                </a:moveTo>
                <a:cubicBezTo>
                  <a:pt x="7271972" y="2563334"/>
                  <a:pt x="7256586" y="2578925"/>
                  <a:pt x="7256586" y="2598154"/>
                </a:cubicBezTo>
                <a:cubicBezTo>
                  <a:pt x="7256586" y="2617383"/>
                  <a:pt x="7271972" y="2632974"/>
                  <a:pt x="7290939" y="2632974"/>
                </a:cubicBezTo>
                <a:cubicBezTo>
                  <a:pt x="7309906" y="2632974"/>
                  <a:pt x="7325279" y="2617383"/>
                  <a:pt x="7325279" y="2598154"/>
                </a:cubicBezTo>
                <a:cubicBezTo>
                  <a:pt x="7325279" y="2578925"/>
                  <a:pt x="7309906" y="2563334"/>
                  <a:pt x="7290939" y="2563334"/>
                </a:cubicBezTo>
                <a:close/>
                <a:moveTo>
                  <a:pt x="7374681" y="2563334"/>
                </a:moveTo>
                <a:cubicBezTo>
                  <a:pt x="7355714" y="2563334"/>
                  <a:pt x="7340328" y="2578925"/>
                  <a:pt x="7340328" y="2598154"/>
                </a:cubicBezTo>
                <a:cubicBezTo>
                  <a:pt x="7340328" y="2617383"/>
                  <a:pt x="7355714" y="2632974"/>
                  <a:pt x="7374681" y="2632974"/>
                </a:cubicBezTo>
                <a:cubicBezTo>
                  <a:pt x="7393648" y="2632974"/>
                  <a:pt x="7409022" y="2617383"/>
                  <a:pt x="7409022" y="2598154"/>
                </a:cubicBezTo>
                <a:cubicBezTo>
                  <a:pt x="7409022" y="2578925"/>
                  <a:pt x="7393648" y="2563334"/>
                  <a:pt x="7374681" y="2563334"/>
                </a:cubicBezTo>
                <a:close/>
                <a:moveTo>
                  <a:pt x="7458423" y="2563334"/>
                </a:moveTo>
                <a:cubicBezTo>
                  <a:pt x="7439456" y="2563334"/>
                  <a:pt x="7424070" y="2578925"/>
                  <a:pt x="7424070" y="2598154"/>
                </a:cubicBezTo>
                <a:cubicBezTo>
                  <a:pt x="7424070" y="2617383"/>
                  <a:pt x="7439456" y="2632974"/>
                  <a:pt x="7458423" y="2632974"/>
                </a:cubicBezTo>
                <a:cubicBezTo>
                  <a:pt x="7477390" y="2632974"/>
                  <a:pt x="7492763" y="2617383"/>
                  <a:pt x="7492763" y="2598154"/>
                </a:cubicBezTo>
                <a:cubicBezTo>
                  <a:pt x="7492763" y="2578925"/>
                  <a:pt x="7477390" y="2563334"/>
                  <a:pt x="7458423" y="2563334"/>
                </a:cubicBezTo>
                <a:close/>
                <a:moveTo>
                  <a:pt x="7542164" y="2563334"/>
                </a:moveTo>
                <a:cubicBezTo>
                  <a:pt x="7523197" y="2563334"/>
                  <a:pt x="7507811" y="2578925"/>
                  <a:pt x="7507811" y="2598154"/>
                </a:cubicBezTo>
                <a:cubicBezTo>
                  <a:pt x="7507811" y="2617383"/>
                  <a:pt x="7523197" y="2632974"/>
                  <a:pt x="7542164" y="2632974"/>
                </a:cubicBezTo>
                <a:cubicBezTo>
                  <a:pt x="7561131" y="2632974"/>
                  <a:pt x="7576504" y="2617383"/>
                  <a:pt x="7576504" y="2598154"/>
                </a:cubicBezTo>
                <a:cubicBezTo>
                  <a:pt x="7576504" y="2578925"/>
                  <a:pt x="7561131" y="2563334"/>
                  <a:pt x="7542164" y="2563334"/>
                </a:cubicBezTo>
                <a:close/>
                <a:moveTo>
                  <a:pt x="7625906" y="2563334"/>
                </a:moveTo>
                <a:cubicBezTo>
                  <a:pt x="7606939" y="2563334"/>
                  <a:pt x="7591553" y="2578925"/>
                  <a:pt x="7591553" y="2598154"/>
                </a:cubicBezTo>
                <a:cubicBezTo>
                  <a:pt x="7591553" y="2617383"/>
                  <a:pt x="7606939" y="2632974"/>
                  <a:pt x="7625906" y="2632974"/>
                </a:cubicBezTo>
                <a:cubicBezTo>
                  <a:pt x="7644873" y="2632974"/>
                  <a:pt x="7660246" y="2617383"/>
                  <a:pt x="7660246" y="2598154"/>
                </a:cubicBezTo>
                <a:cubicBezTo>
                  <a:pt x="7660246" y="2578925"/>
                  <a:pt x="7644873" y="2563334"/>
                  <a:pt x="7625906" y="2563334"/>
                </a:cubicBezTo>
                <a:close/>
                <a:moveTo>
                  <a:pt x="7709647" y="2563334"/>
                </a:moveTo>
                <a:cubicBezTo>
                  <a:pt x="7690680" y="2563334"/>
                  <a:pt x="7675294" y="2578925"/>
                  <a:pt x="7675294" y="2598154"/>
                </a:cubicBezTo>
                <a:cubicBezTo>
                  <a:pt x="7675294" y="2617383"/>
                  <a:pt x="7690680" y="2632974"/>
                  <a:pt x="7709647" y="2632974"/>
                </a:cubicBezTo>
                <a:cubicBezTo>
                  <a:pt x="7728614" y="2632974"/>
                  <a:pt x="7743988" y="2617383"/>
                  <a:pt x="7743988" y="2598154"/>
                </a:cubicBezTo>
                <a:cubicBezTo>
                  <a:pt x="7743988" y="2578925"/>
                  <a:pt x="7728614" y="2563334"/>
                  <a:pt x="7709647" y="2563334"/>
                </a:cubicBezTo>
                <a:close/>
                <a:moveTo>
                  <a:pt x="7793389" y="2563334"/>
                </a:moveTo>
                <a:cubicBezTo>
                  <a:pt x="7774422" y="2563334"/>
                  <a:pt x="7759036" y="2578925"/>
                  <a:pt x="7759036" y="2598154"/>
                </a:cubicBezTo>
                <a:cubicBezTo>
                  <a:pt x="7759036" y="2617383"/>
                  <a:pt x="7774422" y="2632974"/>
                  <a:pt x="7793389" y="2632974"/>
                </a:cubicBezTo>
                <a:cubicBezTo>
                  <a:pt x="7812356" y="2632974"/>
                  <a:pt x="7827729" y="2617383"/>
                  <a:pt x="7827729" y="2598154"/>
                </a:cubicBezTo>
                <a:cubicBezTo>
                  <a:pt x="7827729" y="2578925"/>
                  <a:pt x="7812356" y="2563334"/>
                  <a:pt x="7793389" y="2563334"/>
                </a:cubicBezTo>
                <a:close/>
                <a:moveTo>
                  <a:pt x="7877131" y="2563334"/>
                </a:moveTo>
                <a:cubicBezTo>
                  <a:pt x="7858164" y="2563334"/>
                  <a:pt x="7842778" y="2578925"/>
                  <a:pt x="7842778" y="2598154"/>
                </a:cubicBezTo>
                <a:cubicBezTo>
                  <a:pt x="7842778" y="2617383"/>
                  <a:pt x="7858164" y="2632974"/>
                  <a:pt x="7877131" y="2632974"/>
                </a:cubicBezTo>
                <a:cubicBezTo>
                  <a:pt x="7896098" y="2632974"/>
                  <a:pt x="7911471" y="2617383"/>
                  <a:pt x="7911471" y="2598154"/>
                </a:cubicBezTo>
                <a:cubicBezTo>
                  <a:pt x="7911471" y="2578925"/>
                  <a:pt x="7896098" y="2563334"/>
                  <a:pt x="7877131" y="2563334"/>
                </a:cubicBezTo>
                <a:close/>
                <a:moveTo>
                  <a:pt x="7960872" y="2563334"/>
                </a:moveTo>
                <a:cubicBezTo>
                  <a:pt x="7941905" y="2563334"/>
                  <a:pt x="7926519" y="2578925"/>
                  <a:pt x="7926519" y="2598154"/>
                </a:cubicBezTo>
                <a:cubicBezTo>
                  <a:pt x="7926519" y="2617383"/>
                  <a:pt x="7941905" y="2632974"/>
                  <a:pt x="7960872" y="2632974"/>
                </a:cubicBezTo>
                <a:cubicBezTo>
                  <a:pt x="7979839" y="2632974"/>
                  <a:pt x="7995212" y="2617383"/>
                  <a:pt x="7995212" y="2598154"/>
                </a:cubicBezTo>
                <a:cubicBezTo>
                  <a:pt x="7995212" y="2578925"/>
                  <a:pt x="7979839" y="2563334"/>
                  <a:pt x="7960872" y="2563334"/>
                </a:cubicBezTo>
                <a:close/>
                <a:moveTo>
                  <a:pt x="8044614" y="2563334"/>
                </a:moveTo>
                <a:cubicBezTo>
                  <a:pt x="8025647" y="2563334"/>
                  <a:pt x="8010261" y="2578925"/>
                  <a:pt x="8010261" y="2598154"/>
                </a:cubicBezTo>
                <a:cubicBezTo>
                  <a:pt x="8010261" y="2617383"/>
                  <a:pt x="8025647" y="2632974"/>
                  <a:pt x="8044614" y="2632974"/>
                </a:cubicBezTo>
                <a:cubicBezTo>
                  <a:pt x="8063581" y="2632974"/>
                  <a:pt x="8078955" y="2617383"/>
                  <a:pt x="8078955" y="2598154"/>
                </a:cubicBezTo>
                <a:cubicBezTo>
                  <a:pt x="8078955" y="2578925"/>
                  <a:pt x="8063581" y="2563334"/>
                  <a:pt x="8044614" y="2563334"/>
                </a:cubicBezTo>
                <a:close/>
                <a:moveTo>
                  <a:pt x="8128356" y="2563334"/>
                </a:moveTo>
                <a:cubicBezTo>
                  <a:pt x="8109389" y="2563334"/>
                  <a:pt x="8094003" y="2578925"/>
                  <a:pt x="8094003" y="2598154"/>
                </a:cubicBezTo>
                <a:cubicBezTo>
                  <a:pt x="8094003" y="2617383"/>
                  <a:pt x="8109389" y="2632974"/>
                  <a:pt x="8128356" y="2632974"/>
                </a:cubicBezTo>
                <a:cubicBezTo>
                  <a:pt x="8147323" y="2632974"/>
                  <a:pt x="8162696" y="2617383"/>
                  <a:pt x="8162696" y="2598154"/>
                </a:cubicBezTo>
                <a:cubicBezTo>
                  <a:pt x="8162696" y="2578925"/>
                  <a:pt x="8147323" y="2563334"/>
                  <a:pt x="8128356" y="2563334"/>
                </a:cubicBezTo>
                <a:close/>
                <a:moveTo>
                  <a:pt x="8212097" y="2563334"/>
                </a:moveTo>
                <a:cubicBezTo>
                  <a:pt x="8193130" y="2563334"/>
                  <a:pt x="8177744" y="2578925"/>
                  <a:pt x="8177744" y="2598154"/>
                </a:cubicBezTo>
                <a:cubicBezTo>
                  <a:pt x="8177744" y="2617383"/>
                  <a:pt x="8193130" y="2632974"/>
                  <a:pt x="8212097" y="2632974"/>
                </a:cubicBezTo>
                <a:cubicBezTo>
                  <a:pt x="8231064" y="2632974"/>
                  <a:pt x="8246437" y="2617383"/>
                  <a:pt x="8246437" y="2598154"/>
                </a:cubicBezTo>
                <a:cubicBezTo>
                  <a:pt x="8246437" y="2578925"/>
                  <a:pt x="8231064" y="2563334"/>
                  <a:pt x="8212097" y="2563334"/>
                </a:cubicBezTo>
                <a:close/>
                <a:moveTo>
                  <a:pt x="8295839" y="2563334"/>
                </a:moveTo>
                <a:cubicBezTo>
                  <a:pt x="8276872" y="2563334"/>
                  <a:pt x="8261486" y="2578925"/>
                  <a:pt x="8261486" y="2598154"/>
                </a:cubicBezTo>
                <a:cubicBezTo>
                  <a:pt x="8261486" y="2617383"/>
                  <a:pt x="8276872" y="2632974"/>
                  <a:pt x="8295839" y="2632974"/>
                </a:cubicBezTo>
                <a:cubicBezTo>
                  <a:pt x="8314806" y="2632974"/>
                  <a:pt x="8330179" y="2617383"/>
                  <a:pt x="8330179" y="2598154"/>
                </a:cubicBezTo>
                <a:cubicBezTo>
                  <a:pt x="8330179" y="2578925"/>
                  <a:pt x="8314806" y="2563334"/>
                  <a:pt x="8295839" y="2563334"/>
                </a:cubicBezTo>
                <a:close/>
                <a:moveTo>
                  <a:pt x="8379580" y="2563334"/>
                </a:moveTo>
                <a:cubicBezTo>
                  <a:pt x="8360613" y="2563334"/>
                  <a:pt x="8345227" y="2578925"/>
                  <a:pt x="8345227" y="2598154"/>
                </a:cubicBezTo>
                <a:cubicBezTo>
                  <a:pt x="8345227" y="2617383"/>
                  <a:pt x="8360613" y="2632974"/>
                  <a:pt x="8379580" y="2632974"/>
                </a:cubicBezTo>
                <a:cubicBezTo>
                  <a:pt x="8398547" y="2632974"/>
                  <a:pt x="8413921" y="2617383"/>
                  <a:pt x="8413921" y="2598154"/>
                </a:cubicBezTo>
                <a:cubicBezTo>
                  <a:pt x="8413921" y="2578925"/>
                  <a:pt x="8398547" y="2563334"/>
                  <a:pt x="8379580" y="2563334"/>
                </a:cubicBezTo>
                <a:close/>
                <a:moveTo>
                  <a:pt x="8463323" y="2563334"/>
                </a:moveTo>
                <a:cubicBezTo>
                  <a:pt x="8444356" y="2563334"/>
                  <a:pt x="8428970" y="2578925"/>
                  <a:pt x="8428970" y="2598154"/>
                </a:cubicBezTo>
                <a:cubicBezTo>
                  <a:pt x="8428970" y="2617383"/>
                  <a:pt x="8444356" y="2632974"/>
                  <a:pt x="8463323" y="2632974"/>
                </a:cubicBezTo>
                <a:cubicBezTo>
                  <a:pt x="8482290" y="2632974"/>
                  <a:pt x="8497663" y="2617383"/>
                  <a:pt x="8497663" y="2598154"/>
                </a:cubicBezTo>
                <a:cubicBezTo>
                  <a:pt x="8497663" y="2578925"/>
                  <a:pt x="8482290" y="2563334"/>
                  <a:pt x="8463323" y="2563334"/>
                </a:cubicBezTo>
                <a:close/>
                <a:moveTo>
                  <a:pt x="8547064" y="2563334"/>
                </a:moveTo>
                <a:cubicBezTo>
                  <a:pt x="8528097" y="2563334"/>
                  <a:pt x="8512711" y="2578925"/>
                  <a:pt x="8512711" y="2598154"/>
                </a:cubicBezTo>
                <a:cubicBezTo>
                  <a:pt x="8512711" y="2617383"/>
                  <a:pt x="8528097" y="2632974"/>
                  <a:pt x="8547064" y="2632974"/>
                </a:cubicBezTo>
                <a:cubicBezTo>
                  <a:pt x="8566031" y="2632974"/>
                  <a:pt x="8581404" y="2617383"/>
                  <a:pt x="8581404" y="2598154"/>
                </a:cubicBezTo>
                <a:cubicBezTo>
                  <a:pt x="8581404" y="2578925"/>
                  <a:pt x="8566031" y="2563334"/>
                  <a:pt x="8547064" y="2563334"/>
                </a:cubicBezTo>
                <a:close/>
                <a:moveTo>
                  <a:pt x="8630805" y="2563334"/>
                </a:moveTo>
                <a:cubicBezTo>
                  <a:pt x="8611838" y="2563334"/>
                  <a:pt x="8596452" y="2578925"/>
                  <a:pt x="8596452" y="2598154"/>
                </a:cubicBezTo>
                <a:cubicBezTo>
                  <a:pt x="8596452" y="2617383"/>
                  <a:pt x="8611838" y="2632974"/>
                  <a:pt x="8630805" y="2632974"/>
                </a:cubicBezTo>
                <a:cubicBezTo>
                  <a:pt x="8649772" y="2632974"/>
                  <a:pt x="8665145" y="2617383"/>
                  <a:pt x="8665145" y="2598154"/>
                </a:cubicBezTo>
                <a:cubicBezTo>
                  <a:pt x="8665145" y="2578925"/>
                  <a:pt x="8649772" y="2563334"/>
                  <a:pt x="8630805" y="2563334"/>
                </a:cubicBezTo>
                <a:close/>
                <a:moveTo>
                  <a:pt x="8714547" y="2563334"/>
                </a:moveTo>
                <a:cubicBezTo>
                  <a:pt x="8695580" y="2563334"/>
                  <a:pt x="8680194" y="2578925"/>
                  <a:pt x="8680194" y="2598154"/>
                </a:cubicBezTo>
                <a:cubicBezTo>
                  <a:pt x="8680194" y="2617383"/>
                  <a:pt x="8695580" y="2632974"/>
                  <a:pt x="8714547" y="2632974"/>
                </a:cubicBezTo>
                <a:cubicBezTo>
                  <a:pt x="8733514" y="2632974"/>
                  <a:pt x="8748888" y="2617383"/>
                  <a:pt x="8748888" y="2598154"/>
                </a:cubicBezTo>
                <a:cubicBezTo>
                  <a:pt x="8748888" y="2578925"/>
                  <a:pt x="8733514" y="2563334"/>
                  <a:pt x="8714547" y="2563334"/>
                </a:cubicBezTo>
                <a:close/>
                <a:moveTo>
                  <a:pt x="8798289" y="2563334"/>
                </a:moveTo>
                <a:cubicBezTo>
                  <a:pt x="8779322" y="2563334"/>
                  <a:pt x="8763936" y="2578925"/>
                  <a:pt x="8763936" y="2598154"/>
                </a:cubicBezTo>
                <a:cubicBezTo>
                  <a:pt x="8763936" y="2617383"/>
                  <a:pt x="8779322" y="2632974"/>
                  <a:pt x="8798289" y="2632974"/>
                </a:cubicBezTo>
                <a:cubicBezTo>
                  <a:pt x="8817256" y="2632974"/>
                  <a:pt x="8832629" y="2617383"/>
                  <a:pt x="8832629" y="2598154"/>
                </a:cubicBezTo>
                <a:cubicBezTo>
                  <a:pt x="8832629" y="2578925"/>
                  <a:pt x="8817256" y="2563334"/>
                  <a:pt x="8798289" y="2563334"/>
                </a:cubicBezTo>
                <a:close/>
                <a:moveTo>
                  <a:pt x="8882030" y="2563334"/>
                </a:moveTo>
                <a:cubicBezTo>
                  <a:pt x="8863063" y="2563334"/>
                  <a:pt x="8847677" y="2578925"/>
                  <a:pt x="8847677" y="2598154"/>
                </a:cubicBezTo>
                <a:cubicBezTo>
                  <a:pt x="8847677" y="2617383"/>
                  <a:pt x="8863063" y="2632974"/>
                  <a:pt x="8882030" y="2632974"/>
                </a:cubicBezTo>
                <a:cubicBezTo>
                  <a:pt x="8900997" y="2632974"/>
                  <a:pt x="8916370" y="2617383"/>
                  <a:pt x="8916370" y="2598154"/>
                </a:cubicBezTo>
                <a:cubicBezTo>
                  <a:pt x="8916370" y="2578925"/>
                  <a:pt x="8900997" y="2563334"/>
                  <a:pt x="8882030" y="2563334"/>
                </a:cubicBezTo>
                <a:close/>
                <a:moveTo>
                  <a:pt x="8965772" y="2563334"/>
                </a:moveTo>
                <a:cubicBezTo>
                  <a:pt x="8946805" y="2563334"/>
                  <a:pt x="8931419" y="2578925"/>
                  <a:pt x="8931419" y="2598154"/>
                </a:cubicBezTo>
                <a:cubicBezTo>
                  <a:pt x="8931419" y="2617383"/>
                  <a:pt x="8946805" y="2632974"/>
                  <a:pt x="8965772" y="2632974"/>
                </a:cubicBezTo>
                <a:cubicBezTo>
                  <a:pt x="8984739" y="2632974"/>
                  <a:pt x="9000112" y="2617383"/>
                  <a:pt x="9000112" y="2598154"/>
                </a:cubicBezTo>
                <a:cubicBezTo>
                  <a:pt x="9000112" y="2578925"/>
                  <a:pt x="8984739" y="2563334"/>
                  <a:pt x="8965772" y="2563334"/>
                </a:cubicBezTo>
                <a:close/>
                <a:moveTo>
                  <a:pt x="9049513" y="2563334"/>
                </a:moveTo>
                <a:cubicBezTo>
                  <a:pt x="9030546" y="2563334"/>
                  <a:pt x="9015160" y="2578925"/>
                  <a:pt x="9015160" y="2598154"/>
                </a:cubicBezTo>
                <a:cubicBezTo>
                  <a:pt x="9015160" y="2617383"/>
                  <a:pt x="9030546" y="2632974"/>
                  <a:pt x="9049513" y="2632974"/>
                </a:cubicBezTo>
                <a:cubicBezTo>
                  <a:pt x="9068480" y="2632974"/>
                  <a:pt x="9083854" y="2617383"/>
                  <a:pt x="9083854" y="2598154"/>
                </a:cubicBezTo>
                <a:cubicBezTo>
                  <a:pt x="9083854" y="2578925"/>
                  <a:pt x="9068480" y="2563334"/>
                  <a:pt x="9049513" y="2563334"/>
                </a:cubicBezTo>
                <a:close/>
                <a:moveTo>
                  <a:pt x="9133256" y="2563334"/>
                </a:moveTo>
                <a:cubicBezTo>
                  <a:pt x="9114289" y="2563334"/>
                  <a:pt x="9098903" y="2578925"/>
                  <a:pt x="9098903" y="2598154"/>
                </a:cubicBezTo>
                <a:cubicBezTo>
                  <a:pt x="9098903" y="2617383"/>
                  <a:pt x="9114289" y="2632974"/>
                  <a:pt x="9133256" y="2632974"/>
                </a:cubicBezTo>
                <a:cubicBezTo>
                  <a:pt x="9152223" y="2632974"/>
                  <a:pt x="9167596" y="2617383"/>
                  <a:pt x="9167596" y="2598154"/>
                </a:cubicBezTo>
                <a:cubicBezTo>
                  <a:pt x="9167596" y="2578925"/>
                  <a:pt x="9152223" y="2563334"/>
                  <a:pt x="9133256" y="2563334"/>
                </a:cubicBezTo>
                <a:close/>
                <a:moveTo>
                  <a:pt x="9216997" y="2563334"/>
                </a:moveTo>
                <a:cubicBezTo>
                  <a:pt x="9198030" y="2563334"/>
                  <a:pt x="9182644" y="2578925"/>
                  <a:pt x="9182644" y="2598154"/>
                </a:cubicBezTo>
                <a:cubicBezTo>
                  <a:pt x="9182644" y="2617383"/>
                  <a:pt x="9198030" y="2632974"/>
                  <a:pt x="9216997" y="2632974"/>
                </a:cubicBezTo>
                <a:cubicBezTo>
                  <a:pt x="9235964" y="2632974"/>
                  <a:pt x="9251337" y="2617383"/>
                  <a:pt x="9251337" y="2598154"/>
                </a:cubicBezTo>
                <a:cubicBezTo>
                  <a:pt x="9251337" y="2578925"/>
                  <a:pt x="9235964" y="2563334"/>
                  <a:pt x="9216997" y="2563334"/>
                </a:cubicBezTo>
                <a:close/>
                <a:moveTo>
                  <a:pt x="9300738" y="2563334"/>
                </a:moveTo>
                <a:cubicBezTo>
                  <a:pt x="9281771" y="2563334"/>
                  <a:pt x="9266385" y="2578925"/>
                  <a:pt x="9266385" y="2598154"/>
                </a:cubicBezTo>
                <a:cubicBezTo>
                  <a:pt x="9266385" y="2617383"/>
                  <a:pt x="9281771" y="2632974"/>
                  <a:pt x="9300738" y="2632974"/>
                </a:cubicBezTo>
                <a:cubicBezTo>
                  <a:pt x="9319705" y="2632974"/>
                  <a:pt x="9335078" y="2617383"/>
                  <a:pt x="9335078" y="2598154"/>
                </a:cubicBezTo>
                <a:cubicBezTo>
                  <a:pt x="9335078" y="2578925"/>
                  <a:pt x="9319705" y="2563334"/>
                  <a:pt x="9300738" y="2563334"/>
                </a:cubicBezTo>
                <a:close/>
                <a:moveTo>
                  <a:pt x="9384480" y="2563334"/>
                </a:moveTo>
                <a:cubicBezTo>
                  <a:pt x="9365513" y="2563334"/>
                  <a:pt x="9350127" y="2578925"/>
                  <a:pt x="9350127" y="2598154"/>
                </a:cubicBezTo>
                <a:cubicBezTo>
                  <a:pt x="9350127" y="2617383"/>
                  <a:pt x="9365513" y="2632974"/>
                  <a:pt x="9384480" y="2632974"/>
                </a:cubicBezTo>
                <a:cubicBezTo>
                  <a:pt x="9403447" y="2632974"/>
                  <a:pt x="9418821" y="2617383"/>
                  <a:pt x="9418821" y="2598154"/>
                </a:cubicBezTo>
                <a:cubicBezTo>
                  <a:pt x="9418821" y="2578925"/>
                  <a:pt x="9403447" y="2563334"/>
                  <a:pt x="9384480" y="2563334"/>
                </a:cubicBezTo>
                <a:close/>
                <a:moveTo>
                  <a:pt x="9468222" y="2563334"/>
                </a:moveTo>
                <a:cubicBezTo>
                  <a:pt x="9449255" y="2563334"/>
                  <a:pt x="9433869" y="2578925"/>
                  <a:pt x="9433869" y="2598154"/>
                </a:cubicBezTo>
                <a:cubicBezTo>
                  <a:pt x="9433869" y="2617383"/>
                  <a:pt x="9449255" y="2632974"/>
                  <a:pt x="9468222" y="2632974"/>
                </a:cubicBezTo>
                <a:cubicBezTo>
                  <a:pt x="9487189" y="2632974"/>
                  <a:pt x="9502562" y="2617383"/>
                  <a:pt x="9502562" y="2598154"/>
                </a:cubicBezTo>
                <a:cubicBezTo>
                  <a:pt x="9502562" y="2578925"/>
                  <a:pt x="9487189" y="2563334"/>
                  <a:pt x="9468222" y="2563334"/>
                </a:cubicBezTo>
                <a:close/>
                <a:moveTo>
                  <a:pt x="9551963" y="2563334"/>
                </a:moveTo>
                <a:cubicBezTo>
                  <a:pt x="9532996" y="2563334"/>
                  <a:pt x="9517610" y="2578925"/>
                  <a:pt x="9517610" y="2598154"/>
                </a:cubicBezTo>
                <a:cubicBezTo>
                  <a:pt x="9517610" y="2617383"/>
                  <a:pt x="9532996" y="2632974"/>
                  <a:pt x="9551963" y="2632974"/>
                </a:cubicBezTo>
                <a:cubicBezTo>
                  <a:pt x="9570930" y="2632974"/>
                  <a:pt x="9586303" y="2617383"/>
                  <a:pt x="9586303" y="2598154"/>
                </a:cubicBezTo>
                <a:cubicBezTo>
                  <a:pt x="9586303" y="2578925"/>
                  <a:pt x="9570930" y="2563334"/>
                  <a:pt x="9551963" y="2563334"/>
                </a:cubicBezTo>
                <a:close/>
                <a:moveTo>
                  <a:pt x="9635705" y="2563334"/>
                </a:moveTo>
                <a:cubicBezTo>
                  <a:pt x="9616738" y="2563334"/>
                  <a:pt x="9601352" y="2578925"/>
                  <a:pt x="9601352" y="2598154"/>
                </a:cubicBezTo>
                <a:cubicBezTo>
                  <a:pt x="9601352" y="2617383"/>
                  <a:pt x="9616738" y="2632974"/>
                  <a:pt x="9635705" y="2632974"/>
                </a:cubicBezTo>
                <a:cubicBezTo>
                  <a:pt x="9654672" y="2632974"/>
                  <a:pt x="9670045" y="2617383"/>
                  <a:pt x="9670045" y="2598154"/>
                </a:cubicBezTo>
                <a:cubicBezTo>
                  <a:pt x="9670045" y="2578925"/>
                  <a:pt x="9654672" y="2563334"/>
                  <a:pt x="9635705" y="2563334"/>
                </a:cubicBezTo>
                <a:close/>
                <a:moveTo>
                  <a:pt x="9719446" y="2563334"/>
                </a:moveTo>
                <a:cubicBezTo>
                  <a:pt x="9700479" y="2563334"/>
                  <a:pt x="9685093" y="2578925"/>
                  <a:pt x="9685093" y="2598154"/>
                </a:cubicBezTo>
                <a:cubicBezTo>
                  <a:pt x="9685093" y="2617383"/>
                  <a:pt x="9700479" y="2632974"/>
                  <a:pt x="9719446" y="2632974"/>
                </a:cubicBezTo>
                <a:cubicBezTo>
                  <a:pt x="9738413" y="2632974"/>
                  <a:pt x="9753787" y="2617383"/>
                  <a:pt x="9753787" y="2598154"/>
                </a:cubicBezTo>
                <a:cubicBezTo>
                  <a:pt x="9753787" y="2578925"/>
                  <a:pt x="9738413" y="2563334"/>
                  <a:pt x="9719446" y="2563334"/>
                </a:cubicBezTo>
                <a:close/>
                <a:moveTo>
                  <a:pt x="9803189" y="2563334"/>
                </a:moveTo>
                <a:cubicBezTo>
                  <a:pt x="9784222" y="2563334"/>
                  <a:pt x="9768836" y="2578925"/>
                  <a:pt x="9768836" y="2598154"/>
                </a:cubicBezTo>
                <a:cubicBezTo>
                  <a:pt x="9768836" y="2617383"/>
                  <a:pt x="9784222" y="2632974"/>
                  <a:pt x="9803189" y="2632974"/>
                </a:cubicBezTo>
                <a:cubicBezTo>
                  <a:pt x="9822156" y="2632974"/>
                  <a:pt x="9837529" y="2617383"/>
                  <a:pt x="9837529" y="2598154"/>
                </a:cubicBezTo>
                <a:cubicBezTo>
                  <a:pt x="9837529" y="2578925"/>
                  <a:pt x="9822156" y="2563334"/>
                  <a:pt x="9803189" y="2563334"/>
                </a:cubicBezTo>
                <a:close/>
                <a:moveTo>
                  <a:pt x="10054413" y="2563334"/>
                </a:moveTo>
                <a:cubicBezTo>
                  <a:pt x="10035446" y="2563334"/>
                  <a:pt x="10020060" y="2578925"/>
                  <a:pt x="10020060" y="2598154"/>
                </a:cubicBezTo>
                <a:cubicBezTo>
                  <a:pt x="10020060" y="2617383"/>
                  <a:pt x="10035446" y="2632974"/>
                  <a:pt x="10054413" y="2632974"/>
                </a:cubicBezTo>
                <a:cubicBezTo>
                  <a:pt x="10073380" y="2632974"/>
                  <a:pt x="10088754" y="2617383"/>
                  <a:pt x="10088754" y="2598154"/>
                </a:cubicBezTo>
                <a:cubicBezTo>
                  <a:pt x="10088754" y="2578925"/>
                  <a:pt x="10073380" y="2563334"/>
                  <a:pt x="10054413" y="2563334"/>
                </a:cubicBezTo>
                <a:close/>
                <a:moveTo>
                  <a:pt x="10138155" y="2563334"/>
                </a:moveTo>
                <a:cubicBezTo>
                  <a:pt x="10119188" y="2563334"/>
                  <a:pt x="10103802" y="2578925"/>
                  <a:pt x="10103802" y="2598154"/>
                </a:cubicBezTo>
                <a:cubicBezTo>
                  <a:pt x="10103802" y="2617383"/>
                  <a:pt x="10119188" y="2632974"/>
                  <a:pt x="10138155" y="2632974"/>
                </a:cubicBezTo>
                <a:cubicBezTo>
                  <a:pt x="10157122" y="2632974"/>
                  <a:pt x="10172495" y="2617383"/>
                  <a:pt x="10172495" y="2598154"/>
                </a:cubicBezTo>
                <a:cubicBezTo>
                  <a:pt x="10172495" y="2578925"/>
                  <a:pt x="10157122" y="2563334"/>
                  <a:pt x="10138155" y="2563334"/>
                </a:cubicBezTo>
                <a:close/>
                <a:moveTo>
                  <a:pt x="2266416" y="2648198"/>
                </a:moveTo>
                <a:cubicBezTo>
                  <a:pt x="2247449" y="2648198"/>
                  <a:pt x="2232069" y="2663790"/>
                  <a:pt x="2232069" y="2683019"/>
                </a:cubicBezTo>
                <a:cubicBezTo>
                  <a:pt x="2232069" y="2702247"/>
                  <a:pt x="2247449" y="2717839"/>
                  <a:pt x="2266416" y="2717839"/>
                </a:cubicBezTo>
                <a:cubicBezTo>
                  <a:pt x="2285383" y="2717839"/>
                  <a:pt x="2300762" y="2702247"/>
                  <a:pt x="2300762" y="2683019"/>
                </a:cubicBezTo>
                <a:cubicBezTo>
                  <a:pt x="2300762" y="2663790"/>
                  <a:pt x="2285383" y="2648198"/>
                  <a:pt x="2266416" y="2648198"/>
                </a:cubicBezTo>
                <a:close/>
                <a:moveTo>
                  <a:pt x="2350151" y="2648198"/>
                </a:moveTo>
                <a:cubicBezTo>
                  <a:pt x="2331184" y="2648198"/>
                  <a:pt x="2315804" y="2663790"/>
                  <a:pt x="2315804" y="2683019"/>
                </a:cubicBezTo>
                <a:cubicBezTo>
                  <a:pt x="2315804" y="2702247"/>
                  <a:pt x="2331184" y="2717839"/>
                  <a:pt x="2350151" y="2717839"/>
                </a:cubicBezTo>
                <a:cubicBezTo>
                  <a:pt x="2369118" y="2717839"/>
                  <a:pt x="2384498" y="2702247"/>
                  <a:pt x="2384498" y="2683019"/>
                </a:cubicBezTo>
                <a:cubicBezTo>
                  <a:pt x="2384498" y="2663790"/>
                  <a:pt x="2369118" y="2648198"/>
                  <a:pt x="2350151" y="2648198"/>
                </a:cubicBezTo>
                <a:close/>
                <a:moveTo>
                  <a:pt x="2433893" y="2648198"/>
                </a:moveTo>
                <a:cubicBezTo>
                  <a:pt x="2414926" y="2648198"/>
                  <a:pt x="2399546" y="2663790"/>
                  <a:pt x="2399546" y="2683019"/>
                </a:cubicBezTo>
                <a:cubicBezTo>
                  <a:pt x="2399546" y="2702247"/>
                  <a:pt x="2414926" y="2717839"/>
                  <a:pt x="2433893" y="2717839"/>
                </a:cubicBezTo>
                <a:cubicBezTo>
                  <a:pt x="2452860" y="2717839"/>
                  <a:pt x="2468240" y="2702247"/>
                  <a:pt x="2468240" y="2683019"/>
                </a:cubicBezTo>
                <a:cubicBezTo>
                  <a:pt x="2468240" y="2663790"/>
                  <a:pt x="2452860" y="2648198"/>
                  <a:pt x="2433893" y="2648198"/>
                </a:cubicBezTo>
                <a:close/>
                <a:moveTo>
                  <a:pt x="2517634" y="2648198"/>
                </a:moveTo>
                <a:cubicBezTo>
                  <a:pt x="2498667" y="2648198"/>
                  <a:pt x="2483288" y="2663790"/>
                  <a:pt x="2483288" y="2683019"/>
                </a:cubicBezTo>
                <a:cubicBezTo>
                  <a:pt x="2483288" y="2702247"/>
                  <a:pt x="2498667" y="2717839"/>
                  <a:pt x="2517634" y="2717839"/>
                </a:cubicBezTo>
                <a:cubicBezTo>
                  <a:pt x="2536601" y="2717839"/>
                  <a:pt x="2551981" y="2702247"/>
                  <a:pt x="2551981" y="2683019"/>
                </a:cubicBezTo>
                <a:cubicBezTo>
                  <a:pt x="2551981" y="2663790"/>
                  <a:pt x="2536601" y="2648198"/>
                  <a:pt x="2517634" y="2648198"/>
                </a:cubicBezTo>
                <a:close/>
                <a:moveTo>
                  <a:pt x="2601376" y="2648198"/>
                </a:moveTo>
                <a:cubicBezTo>
                  <a:pt x="2582409" y="2648198"/>
                  <a:pt x="2567029" y="2663790"/>
                  <a:pt x="2567029" y="2683019"/>
                </a:cubicBezTo>
                <a:cubicBezTo>
                  <a:pt x="2567029" y="2702247"/>
                  <a:pt x="2582409" y="2717839"/>
                  <a:pt x="2601376" y="2717839"/>
                </a:cubicBezTo>
                <a:cubicBezTo>
                  <a:pt x="2620343" y="2717839"/>
                  <a:pt x="2635722" y="2702247"/>
                  <a:pt x="2635722" y="2683019"/>
                </a:cubicBezTo>
                <a:cubicBezTo>
                  <a:pt x="2635722" y="2663790"/>
                  <a:pt x="2620343" y="2648198"/>
                  <a:pt x="2601376" y="2648198"/>
                </a:cubicBezTo>
                <a:close/>
                <a:moveTo>
                  <a:pt x="2685118" y="2648198"/>
                </a:moveTo>
                <a:cubicBezTo>
                  <a:pt x="2666151" y="2648198"/>
                  <a:pt x="2650771" y="2663790"/>
                  <a:pt x="2650771" y="2683019"/>
                </a:cubicBezTo>
                <a:cubicBezTo>
                  <a:pt x="2650771" y="2702247"/>
                  <a:pt x="2666151" y="2717839"/>
                  <a:pt x="2685118" y="2717839"/>
                </a:cubicBezTo>
                <a:cubicBezTo>
                  <a:pt x="2704085" y="2717839"/>
                  <a:pt x="2719465" y="2702247"/>
                  <a:pt x="2719465" y="2683019"/>
                </a:cubicBezTo>
                <a:cubicBezTo>
                  <a:pt x="2719465" y="2663790"/>
                  <a:pt x="2704085" y="2648198"/>
                  <a:pt x="2685118" y="2648198"/>
                </a:cubicBezTo>
                <a:close/>
                <a:moveTo>
                  <a:pt x="2768859" y="2648198"/>
                </a:moveTo>
                <a:cubicBezTo>
                  <a:pt x="2749892" y="2648198"/>
                  <a:pt x="2734512" y="2663790"/>
                  <a:pt x="2734512" y="2683019"/>
                </a:cubicBezTo>
                <a:cubicBezTo>
                  <a:pt x="2734512" y="2702247"/>
                  <a:pt x="2749892" y="2717839"/>
                  <a:pt x="2768859" y="2717839"/>
                </a:cubicBezTo>
                <a:cubicBezTo>
                  <a:pt x="2787826" y="2717839"/>
                  <a:pt x="2803206" y="2702247"/>
                  <a:pt x="2803206" y="2683019"/>
                </a:cubicBezTo>
                <a:cubicBezTo>
                  <a:pt x="2803206" y="2663790"/>
                  <a:pt x="2787826" y="2648198"/>
                  <a:pt x="2768859" y="2648198"/>
                </a:cubicBezTo>
                <a:close/>
                <a:moveTo>
                  <a:pt x="2852600" y="2648198"/>
                </a:moveTo>
                <a:cubicBezTo>
                  <a:pt x="2833633" y="2648198"/>
                  <a:pt x="2818254" y="2663790"/>
                  <a:pt x="2818254" y="2683019"/>
                </a:cubicBezTo>
                <a:cubicBezTo>
                  <a:pt x="2818254" y="2702247"/>
                  <a:pt x="2833633" y="2717839"/>
                  <a:pt x="2852600" y="2717839"/>
                </a:cubicBezTo>
                <a:cubicBezTo>
                  <a:pt x="2871567" y="2717839"/>
                  <a:pt x="2886947" y="2702247"/>
                  <a:pt x="2886947" y="2683019"/>
                </a:cubicBezTo>
                <a:cubicBezTo>
                  <a:pt x="2886947" y="2663790"/>
                  <a:pt x="2871567" y="2648198"/>
                  <a:pt x="2852600" y="2648198"/>
                </a:cubicBezTo>
                <a:close/>
                <a:moveTo>
                  <a:pt x="2936343" y="2648198"/>
                </a:moveTo>
                <a:cubicBezTo>
                  <a:pt x="2917376" y="2648198"/>
                  <a:pt x="2901996" y="2663790"/>
                  <a:pt x="2901996" y="2683019"/>
                </a:cubicBezTo>
                <a:cubicBezTo>
                  <a:pt x="2901996" y="2702247"/>
                  <a:pt x="2917376" y="2717839"/>
                  <a:pt x="2936343" y="2717839"/>
                </a:cubicBezTo>
                <a:cubicBezTo>
                  <a:pt x="2955310" y="2717839"/>
                  <a:pt x="2970689" y="2702247"/>
                  <a:pt x="2970689" y="2683019"/>
                </a:cubicBezTo>
                <a:cubicBezTo>
                  <a:pt x="2970689" y="2663790"/>
                  <a:pt x="2955310" y="2648198"/>
                  <a:pt x="2936343" y="2648198"/>
                </a:cubicBezTo>
                <a:close/>
                <a:moveTo>
                  <a:pt x="3020084" y="2648198"/>
                </a:moveTo>
                <a:cubicBezTo>
                  <a:pt x="3001117" y="2648198"/>
                  <a:pt x="2985737" y="2663790"/>
                  <a:pt x="2985737" y="2683019"/>
                </a:cubicBezTo>
                <a:cubicBezTo>
                  <a:pt x="2985737" y="2702247"/>
                  <a:pt x="3001117" y="2717839"/>
                  <a:pt x="3020084" y="2717839"/>
                </a:cubicBezTo>
                <a:cubicBezTo>
                  <a:pt x="3039051" y="2717839"/>
                  <a:pt x="3054431" y="2702247"/>
                  <a:pt x="3054431" y="2683019"/>
                </a:cubicBezTo>
                <a:cubicBezTo>
                  <a:pt x="3054431" y="2663790"/>
                  <a:pt x="3039051" y="2648198"/>
                  <a:pt x="3020084" y="2648198"/>
                </a:cubicBezTo>
                <a:close/>
                <a:moveTo>
                  <a:pt x="3103826" y="2648198"/>
                </a:moveTo>
                <a:cubicBezTo>
                  <a:pt x="3084859" y="2648198"/>
                  <a:pt x="3069479" y="2663790"/>
                  <a:pt x="3069479" y="2683019"/>
                </a:cubicBezTo>
                <a:cubicBezTo>
                  <a:pt x="3069479" y="2702247"/>
                  <a:pt x="3084859" y="2717839"/>
                  <a:pt x="3103826" y="2717839"/>
                </a:cubicBezTo>
                <a:cubicBezTo>
                  <a:pt x="3122793" y="2717839"/>
                  <a:pt x="3138173" y="2702247"/>
                  <a:pt x="3138173" y="2683019"/>
                </a:cubicBezTo>
                <a:cubicBezTo>
                  <a:pt x="3138173" y="2663790"/>
                  <a:pt x="3122793" y="2648198"/>
                  <a:pt x="3103826" y="2648198"/>
                </a:cubicBezTo>
                <a:close/>
                <a:moveTo>
                  <a:pt x="3187567" y="2648198"/>
                </a:moveTo>
                <a:cubicBezTo>
                  <a:pt x="3168600" y="2648198"/>
                  <a:pt x="3153221" y="2663790"/>
                  <a:pt x="3153221" y="2683019"/>
                </a:cubicBezTo>
                <a:cubicBezTo>
                  <a:pt x="3153221" y="2702247"/>
                  <a:pt x="3168600" y="2717839"/>
                  <a:pt x="3187567" y="2717839"/>
                </a:cubicBezTo>
                <a:cubicBezTo>
                  <a:pt x="3206534" y="2717839"/>
                  <a:pt x="3221914" y="2702247"/>
                  <a:pt x="3221914" y="2683019"/>
                </a:cubicBezTo>
                <a:cubicBezTo>
                  <a:pt x="3221914" y="2663790"/>
                  <a:pt x="3206534" y="2648198"/>
                  <a:pt x="3187567" y="2648198"/>
                </a:cubicBezTo>
                <a:close/>
                <a:moveTo>
                  <a:pt x="3271309" y="2648198"/>
                </a:moveTo>
                <a:cubicBezTo>
                  <a:pt x="3252342" y="2648198"/>
                  <a:pt x="3236962" y="2663790"/>
                  <a:pt x="3236962" y="2683019"/>
                </a:cubicBezTo>
                <a:cubicBezTo>
                  <a:pt x="3236962" y="2702247"/>
                  <a:pt x="3252342" y="2717839"/>
                  <a:pt x="3271309" y="2717839"/>
                </a:cubicBezTo>
                <a:cubicBezTo>
                  <a:pt x="3290276" y="2717839"/>
                  <a:pt x="3305655" y="2702247"/>
                  <a:pt x="3305655" y="2683019"/>
                </a:cubicBezTo>
                <a:cubicBezTo>
                  <a:pt x="3305655" y="2663790"/>
                  <a:pt x="3290276" y="2648198"/>
                  <a:pt x="3271309" y="2648198"/>
                </a:cubicBezTo>
                <a:close/>
                <a:moveTo>
                  <a:pt x="3438792" y="2648198"/>
                </a:moveTo>
                <a:cubicBezTo>
                  <a:pt x="3419825" y="2648198"/>
                  <a:pt x="3404445" y="2663790"/>
                  <a:pt x="3404445" y="2683019"/>
                </a:cubicBezTo>
                <a:cubicBezTo>
                  <a:pt x="3404445" y="2702247"/>
                  <a:pt x="3419825" y="2717839"/>
                  <a:pt x="3438792" y="2717839"/>
                </a:cubicBezTo>
                <a:cubicBezTo>
                  <a:pt x="3457759" y="2717839"/>
                  <a:pt x="3473139" y="2702247"/>
                  <a:pt x="3473139" y="2683019"/>
                </a:cubicBezTo>
                <a:cubicBezTo>
                  <a:pt x="3473139" y="2663790"/>
                  <a:pt x="3457759" y="2648198"/>
                  <a:pt x="3438792" y="2648198"/>
                </a:cubicBezTo>
                <a:close/>
                <a:moveTo>
                  <a:pt x="3606276" y="2648198"/>
                </a:moveTo>
                <a:cubicBezTo>
                  <a:pt x="3587309" y="2648198"/>
                  <a:pt x="3571929" y="2663790"/>
                  <a:pt x="3571929" y="2683019"/>
                </a:cubicBezTo>
                <a:cubicBezTo>
                  <a:pt x="3571929" y="2702247"/>
                  <a:pt x="3587309" y="2717839"/>
                  <a:pt x="3606276" y="2717839"/>
                </a:cubicBezTo>
                <a:cubicBezTo>
                  <a:pt x="3625243" y="2717839"/>
                  <a:pt x="3640622" y="2702247"/>
                  <a:pt x="3640622" y="2683019"/>
                </a:cubicBezTo>
                <a:cubicBezTo>
                  <a:pt x="3640622" y="2663790"/>
                  <a:pt x="3625243" y="2648198"/>
                  <a:pt x="3606276" y="2648198"/>
                </a:cubicBezTo>
                <a:close/>
                <a:moveTo>
                  <a:pt x="3690017" y="2648198"/>
                </a:moveTo>
                <a:cubicBezTo>
                  <a:pt x="3671050" y="2648198"/>
                  <a:pt x="3655670" y="2663790"/>
                  <a:pt x="3655670" y="2683019"/>
                </a:cubicBezTo>
                <a:cubicBezTo>
                  <a:pt x="3655670" y="2702247"/>
                  <a:pt x="3671050" y="2717839"/>
                  <a:pt x="3690017" y="2717839"/>
                </a:cubicBezTo>
                <a:cubicBezTo>
                  <a:pt x="3708984" y="2717839"/>
                  <a:pt x="3724364" y="2702247"/>
                  <a:pt x="3724364" y="2683019"/>
                </a:cubicBezTo>
                <a:cubicBezTo>
                  <a:pt x="3724364" y="2663790"/>
                  <a:pt x="3708984" y="2648198"/>
                  <a:pt x="3690017" y="2648198"/>
                </a:cubicBezTo>
                <a:close/>
                <a:moveTo>
                  <a:pt x="3773759" y="2648198"/>
                </a:moveTo>
                <a:cubicBezTo>
                  <a:pt x="3754792" y="2648198"/>
                  <a:pt x="3739412" y="2663790"/>
                  <a:pt x="3739412" y="2683019"/>
                </a:cubicBezTo>
                <a:cubicBezTo>
                  <a:pt x="3739412" y="2702247"/>
                  <a:pt x="3754792" y="2717839"/>
                  <a:pt x="3773759" y="2717839"/>
                </a:cubicBezTo>
                <a:cubicBezTo>
                  <a:pt x="3792726" y="2717839"/>
                  <a:pt x="3808106" y="2702247"/>
                  <a:pt x="3808106" y="2683019"/>
                </a:cubicBezTo>
                <a:cubicBezTo>
                  <a:pt x="3808106" y="2663790"/>
                  <a:pt x="3792726" y="2648198"/>
                  <a:pt x="3773759" y="2648198"/>
                </a:cubicBezTo>
                <a:close/>
                <a:moveTo>
                  <a:pt x="3857500" y="2648198"/>
                </a:moveTo>
                <a:cubicBezTo>
                  <a:pt x="3838533" y="2648198"/>
                  <a:pt x="3823154" y="2663790"/>
                  <a:pt x="3823154" y="2683019"/>
                </a:cubicBezTo>
                <a:cubicBezTo>
                  <a:pt x="3823154" y="2702247"/>
                  <a:pt x="3838533" y="2717839"/>
                  <a:pt x="3857500" y="2717839"/>
                </a:cubicBezTo>
                <a:cubicBezTo>
                  <a:pt x="3876467" y="2717839"/>
                  <a:pt x="3891847" y="2702247"/>
                  <a:pt x="3891847" y="2683019"/>
                </a:cubicBezTo>
                <a:cubicBezTo>
                  <a:pt x="3891847" y="2663790"/>
                  <a:pt x="3876467" y="2648198"/>
                  <a:pt x="3857500" y="2648198"/>
                </a:cubicBezTo>
                <a:close/>
                <a:moveTo>
                  <a:pt x="3941242" y="2648198"/>
                </a:moveTo>
                <a:cubicBezTo>
                  <a:pt x="3922275" y="2648198"/>
                  <a:pt x="3906895" y="2663790"/>
                  <a:pt x="3906895" y="2683019"/>
                </a:cubicBezTo>
                <a:cubicBezTo>
                  <a:pt x="3906895" y="2702247"/>
                  <a:pt x="3922275" y="2717839"/>
                  <a:pt x="3941242" y="2717839"/>
                </a:cubicBezTo>
                <a:cubicBezTo>
                  <a:pt x="3960209" y="2717839"/>
                  <a:pt x="3975588" y="2702247"/>
                  <a:pt x="3975588" y="2683019"/>
                </a:cubicBezTo>
                <a:cubicBezTo>
                  <a:pt x="3975588" y="2663790"/>
                  <a:pt x="3960209" y="2648198"/>
                  <a:pt x="3941242" y="2648198"/>
                </a:cubicBezTo>
                <a:close/>
                <a:moveTo>
                  <a:pt x="4108732" y="2648198"/>
                </a:moveTo>
                <a:cubicBezTo>
                  <a:pt x="4089765" y="2648198"/>
                  <a:pt x="4074386" y="2663790"/>
                  <a:pt x="4074386" y="2683019"/>
                </a:cubicBezTo>
                <a:cubicBezTo>
                  <a:pt x="4074386" y="2702247"/>
                  <a:pt x="4089765" y="2717839"/>
                  <a:pt x="4108732" y="2717839"/>
                </a:cubicBezTo>
                <a:cubicBezTo>
                  <a:pt x="4127699" y="2717839"/>
                  <a:pt x="4143079" y="2702247"/>
                  <a:pt x="4143079" y="2683019"/>
                </a:cubicBezTo>
                <a:cubicBezTo>
                  <a:pt x="4143079" y="2663790"/>
                  <a:pt x="4127699" y="2648198"/>
                  <a:pt x="4108732" y="2648198"/>
                </a:cubicBezTo>
                <a:close/>
                <a:moveTo>
                  <a:pt x="5783564" y="2648198"/>
                </a:moveTo>
                <a:cubicBezTo>
                  <a:pt x="5764597" y="2648198"/>
                  <a:pt x="5749218" y="2663790"/>
                  <a:pt x="5749218" y="2683019"/>
                </a:cubicBezTo>
                <a:cubicBezTo>
                  <a:pt x="5749218" y="2702247"/>
                  <a:pt x="5764597" y="2717839"/>
                  <a:pt x="5783564" y="2717839"/>
                </a:cubicBezTo>
                <a:cubicBezTo>
                  <a:pt x="5802531" y="2717839"/>
                  <a:pt x="5817911" y="2702247"/>
                  <a:pt x="5817911" y="2683019"/>
                </a:cubicBezTo>
                <a:cubicBezTo>
                  <a:pt x="5817911" y="2663790"/>
                  <a:pt x="5802531" y="2648198"/>
                  <a:pt x="5783564" y="2648198"/>
                </a:cubicBezTo>
                <a:close/>
                <a:moveTo>
                  <a:pt x="5867305" y="2648198"/>
                </a:moveTo>
                <a:cubicBezTo>
                  <a:pt x="5848338" y="2648198"/>
                  <a:pt x="5832959" y="2663790"/>
                  <a:pt x="5832959" y="2683019"/>
                </a:cubicBezTo>
                <a:cubicBezTo>
                  <a:pt x="5832959" y="2702247"/>
                  <a:pt x="5848338" y="2717839"/>
                  <a:pt x="5867305" y="2717839"/>
                </a:cubicBezTo>
                <a:cubicBezTo>
                  <a:pt x="5886272" y="2717839"/>
                  <a:pt x="5901652" y="2702247"/>
                  <a:pt x="5901652" y="2683019"/>
                </a:cubicBezTo>
                <a:cubicBezTo>
                  <a:pt x="5901652" y="2663790"/>
                  <a:pt x="5886272" y="2648198"/>
                  <a:pt x="5867305" y="2648198"/>
                </a:cubicBezTo>
                <a:close/>
                <a:moveTo>
                  <a:pt x="5951048" y="2648198"/>
                </a:moveTo>
                <a:cubicBezTo>
                  <a:pt x="5932081" y="2648198"/>
                  <a:pt x="5916701" y="2663790"/>
                  <a:pt x="5916701" y="2683019"/>
                </a:cubicBezTo>
                <a:cubicBezTo>
                  <a:pt x="5916701" y="2702247"/>
                  <a:pt x="5932081" y="2717839"/>
                  <a:pt x="5951048" y="2717839"/>
                </a:cubicBezTo>
                <a:cubicBezTo>
                  <a:pt x="5970015" y="2717839"/>
                  <a:pt x="5985394" y="2702247"/>
                  <a:pt x="5985394" y="2683019"/>
                </a:cubicBezTo>
                <a:cubicBezTo>
                  <a:pt x="5985394" y="2663790"/>
                  <a:pt x="5970015" y="2648198"/>
                  <a:pt x="5951048" y="2648198"/>
                </a:cubicBezTo>
                <a:close/>
                <a:moveTo>
                  <a:pt x="6034789" y="2648198"/>
                </a:moveTo>
                <a:cubicBezTo>
                  <a:pt x="6015822" y="2648198"/>
                  <a:pt x="6000442" y="2663790"/>
                  <a:pt x="6000442" y="2683019"/>
                </a:cubicBezTo>
                <a:cubicBezTo>
                  <a:pt x="6000442" y="2702247"/>
                  <a:pt x="6015822" y="2717839"/>
                  <a:pt x="6034789" y="2717839"/>
                </a:cubicBezTo>
                <a:cubicBezTo>
                  <a:pt x="6053756" y="2717839"/>
                  <a:pt x="6069136" y="2702247"/>
                  <a:pt x="6069136" y="2683019"/>
                </a:cubicBezTo>
                <a:cubicBezTo>
                  <a:pt x="6069136" y="2663790"/>
                  <a:pt x="6053756" y="2648198"/>
                  <a:pt x="6034789" y="2648198"/>
                </a:cubicBezTo>
                <a:close/>
                <a:moveTo>
                  <a:pt x="6118531" y="2648198"/>
                </a:moveTo>
                <a:cubicBezTo>
                  <a:pt x="6099557" y="2648198"/>
                  <a:pt x="6084177" y="2663790"/>
                  <a:pt x="6084177" y="2683019"/>
                </a:cubicBezTo>
                <a:cubicBezTo>
                  <a:pt x="6084177" y="2702247"/>
                  <a:pt x="6099557" y="2717839"/>
                  <a:pt x="6118531" y="2717839"/>
                </a:cubicBezTo>
                <a:cubicBezTo>
                  <a:pt x="6137498" y="2717839"/>
                  <a:pt x="6152871" y="2702247"/>
                  <a:pt x="6152871" y="2683019"/>
                </a:cubicBezTo>
                <a:cubicBezTo>
                  <a:pt x="6152871" y="2663790"/>
                  <a:pt x="6137498" y="2648198"/>
                  <a:pt x="6118531" y="2648198"/>
                </a:cubicBezTo>
                <a:close/>
                <a:moveTo>
                  <a:pt x="6202273" y="2648198"/>
                </a:moveTo>
                <a:cubicBezTo>
                  <a:pt x="6183306" y="2648198"/>
                  <a:pt x="6167920" y="2663790"/>
                  <a:pt x="6167920" y="2683019"/>
                </a:cubicBezTo>
                <a:cubicBezTo>
                  <a:pt x="6167920" y="2702247"/>
                  <a:pt x="6183306" y="2717839"/>
                  <a:pt x="6202273" y="2717839"/>
                </a:cubicBezTo>
                <a:cubicBezTo>
                  <a:pt x="6221240" y="2717839"/>
                  <a:pt x="6236613" y="2702247"/>
                  <a:pt x="6236613" y="2683019"/>
                </a:cubicBezTo>
                <a:cubicBezTo>
                  <a:pt x="6236613" y="2663790"/>
                  <a:pt x="6221240" y="2648198"/>
                  <a:pt x="6202273" y="2648198"/>
                </a:cubicBezTo>
                <a:close/>
                <a:moveTo>
                  <a:pt x="6286014" y="2648198"/>
                </a:moveTo>
                <a:cubicBezTo>
                  <a:pt x="6267047" y="2648198"/>
                  <a:pt x="6251661" y="2663790"/>
                  <a:pt x="6251661" y="2683019"/>
                </a:cubicBezTo>
                <a:cubicBezTo>
                  <a:pt x="6251661" y="2702247"/>
                  <a:pt x="6267047" y="2717839"/>
                  <a:pt x="6286014" y="2717839"/>
                </a:cubicBezTo>
                <a:cubicBezTo>
                  <a:pt x="6304981" y="2717839"/>
                  <a:pt x="6320354" y="2702247"/>
                  <a:pt x="6320354" y="2683019"/>
                </a:cubicBezTo>
                <a:cubicBezTo>
                  <a:pt x="6320354" y="2663790"/>
                  <a:pt x="6304981" y="2648198"/>
                  <a:pt x="6286014" y="2648198"/>
                </a:cubicBezTo>
                <a:close/>
                <a:moveTo>
                  <a:pt x="6369755" y="2648198"/>
                </a:moveTo>
                <a:cubicBezTo>
                  <a:pt x="6350788" y="2648198"/>
                  <a:pt x="6335402" y="2663790"/>
                  <a:pt x="6335402" y="2683019"/>
                </a:cubicBezTo>
                <a:cubicBezTo>
                  <a:pt x="6335402" y="2702247"/>
                  <a:pt x="6350788" y="2717839"/>
                  <a:pt x="6369755" y="2717839"/>
                </a:cubicBezTo>
                <a:cubicBezTo>
                  <a:pt x="6388722" y="2717839"/>
                  <a:pt x="6404096" y="2702247"/>
                  <a:pt x="6404096" y="2683019"/>
                </a:cubicBezTo>
                <a:cubicBezTo>
                  <a:pt x="6404096" y="2663790"/>
                  <a:pt x="6388722" y="2648198"/>
                  <a:pt x="6369755" y="2648198"/>
                </a:cubicBezTo>
                <a:close/>
                <a:moveTo>
                  <a:pt x="6453498" y="2648198"/>
                </a:moveTo>
                <a:cubicBezTo>
                  <a:pt x="6434531" y="2648198"/>
                  <a:pt x="6419144" y="2663790"/>
                  <a:pt x="6419144" y="2683019"/>
                </a:cubicBezTo>
                <a:cubicBezTo>
                  <a:pt x="6419144" y="2702247"/>
                  <a:pt x="6434531" y="2717839"/>
                  <a:pt x="6453498" y="2717839"/>
                </a:cubicBezTo>
                <a:cubicBezTo>
                  <a:pt x="6472465" y="2717839"/>
                  <a:pt x="6487838" y="2702247"/>
                  <a:pt x="6487838" y="2683019"/>
                </a:cubicBezTo>
                <a:cubicBezTo>
                  <a:pt x="6487838" y="2663790"/>
                  <a:pt x="6472465" y="2648198"/>
                  <a:pt x="6453498" y="2648198"/>
                </a:cubicBezTo>
                <a:close/>
                <a:moveTo>
                  <a:pt x="6537239" y="2648198"/>
                </a:moveTo>
                <a:cubicBezTo>
                  <a:pt x="6518272" y="2648198"/>
                  <a:pt x="6502886" y="2663790"/>
                  <a:pt x="6502886" y="2683019"/>
                </a:cubicBezTo>
                <a:cubicBezTo>
                  <a:pt x="6502886" y="2702247"/>
                  <a:pt x="6518272" y="2717839"/>
                  <a:pt x="6537239" y="2717839"/>
                </a:cubicBezTo>
                <a:cubicBezTo>
                  <a:pt x="6556206" y="2717839"/>
                  <a:pt x="6571579" y="2702247"/>
                  <a:pt x="6571579" y="2683019"/>
                </a:cubicBezTo>
                <a:cubicBezTo>
                  <a:pt x="6571579" y="2663790"/>
                  <a:pt x="6556206" y="2648198"/>
                  <a:pt x="6537239" y="2648198"/>
                </a:cubicBezTo>
                <a:close/>
                <a:moveTo>
                  <a:pt x="6620980" y="2648198"/>
                </a:moveTo>
                <a:cubicBezTo>
                  <a:pt x="6602013" y="2648198"/>
                  <a:pt x="6586627" y="2663790"/>
                  <a:pt x="6586627" y="2683019"/>
                </a:cubicBezTo>
                <a:cubicBezTo>
                  <a:pt x="6586627" y="2702247"/>
                  <a:pt x="6602013" y="2717839"/>
                  <a:pt x="6620980" y="2717839"/>
                </a:cubicBezTo>
                <a:cubicBezTo>
                  <a:pt x="6639947" y="2717839"/>
                  <a:pt x="6655320" y="2702247"/>
                  <a:pt x="6655320" y="2683019"/>
                </a:cubicBezTo>
                <a:cubicBezTo>
                  <a:pt x="6655320" y="2663790"/>
                  <a:pt x="6639947" y="2648198"/>
                  <a:pt x="6620980" y="2648198"/>
                </a:cubicBezTo>
                <a:close/>
                <a:moveTo>
                  <a:pt x="6704722" y="2648198"/>
                </a:moveTo>
                <a:cubicBezTo>
                  <a:pt x="6685755" y="2648198"/>
                  <a:pt x="6670369" y="2663790"/>
                  <a:pt x="6670369" y="2683019"/>
                </a:cubicBezTo>
                <a:cubicBezTo>
                  <a:pt x="6670369" y="2702247"/>
                  <a:pt x="6685755" y="2717839"/>
                  <a:pt x="6704722" y="2717839"/>
                </a:cubicBezTo>
                <a:cubicBezTo>
                  <a:pt x="6723689" y="2717839"/>
                  <a:pt x="6739063" y="2702247"/>
                  <a:pt x="6739063" y="2683019"/>
                </a:cubicBezTo>
                <a:cubicBezTo>
                  <a:pt x="6739063" y="2663790"/>
                  <a:pt x="6723689" y="2648198"/>
                  <a:pt x="6704722" y="2648198"/>
                </a:cubicBezTo>
                <a:close/>
                <a:moveTo>
                  <a:pt x="6872206" y="2648198"/>
                </a:moveTo>
                <a:cubicBezTo>
                  <a:pt x="6853239" y="2648198"/>
                  <a:pt x="6837853" y="2663790"/>
                  <a:pt x="6837853" y="2683019"/>
                </a:cubicBezTo>
                <a:cubicBezTo>
                  <a:pt x="6837853" y="2702247"/>
                  <a:pt x="6853239" y="2717839"/>
                  <a:pt x="6872206" y="2717839"/>
                </a:cubicBezTo>
                <a:cubicBezTo>
                  <a:pt x="6891173" y="2717839"/>
                  <a:pt x="6906546" y="2702247"/>
                  <a:pt x="6906546" y="2683019"/>
                </a:cubicBezTo>
                <a:cubicBezTo>
                  <a:pt x="6906546" y="2663790"/>
                  <a:pt x="6891173" y="2648198"/>
                  <a:pt x="6872206" y="2648198"/>
                </a:cubicBezTo>
                <a:close/>
                <a:moveTo>
                  <a:pt x="7039688" y="2648198"/>
                </a:moveTo>
                <a:cubicBezTo>
                  <a:pt x="7020721" y="2648198"/>
                  <a:pt x="7005335" y="2663790"/>
                  <a:pt x="7005335" y="2683019"/>
                </a:cubicBezTo>
                <a:cubicBezTo>
                  <a:pt x="7005335" y="2702247"/>
                  <a:pt x="7020721" y="2717839"/>
                  <a:pt x="7039688" y="2717839"/>
                </a:cubicBezTo>
                <a:cubicBezTo>
                  <a:pt x="7058655" y="2717839"/>
                  <a:pt x="7074029" y="2702247"/>
                  <a:pt x="7074029" y="2683019"/>
                </a:cubicBezTo>
                <a:cubicBezTo>
                  <a:pt x="7074029" y="2663790"/>
                  <a:pt x="7058655" y="2648198"/>
                  <a:pt x="7039688" y="2648198"/>
                </a:cubicBezTo>
                <a:close/>
                <a:moveTo>
                  <a:pt x="7123456" y="2648198"/>
                </a:moveTo>
                <a:cubicBezTo>
                  <a:pt x="7104489" y="2648198"/>
                  <a:pt x="7089103" y="2663790"/>
                  <a:pt x="7089103" y="2683019"/>
                </a:cubicBezTo>
                <a:cubicBezTo>
                  <a:pt x="7089103" y="2702247"/>
                  <a:pt x="7104489" y="2717839"/>
                  <a:pt x="7123456" y="2717839"/>
                </a:cubicBezTo>
                <a:cubicBezTo>
                  <a:pt x="7142423" y="2717839"/>
                  <a:pt x="7157796" y="2702247"/>
                  <a:pt x="7157796" y="2683019"/>
                </a:cubicBezTo>
                <a:cubicBezTo>
                  <a:pt x="7157796" y="2663790"/>
                  <a:pt x="7142423" y="2648198"/>
                  <a:pt x="7123456" y="2648198"/>
                </a:cubicBezTo>
                <a:close/>
                <a:moveTo>
                  <a:pt x="7207198" y="2648198"/>
                </a:moveTo>
                <a:cubicBezTo>
                  <a:pt x="7188231" y="2648198"/>
                  <a:pt x="7172845" y="2663790"/>
                  <a:pt x="7172845" y="2683019"/>
                </a:cubicBezTo>
                <a:cubicBezTo>
                  <a:pt x="7172845" y="2702247"/>
                  <a:pt x="7188231" y="2717839"/>
                  <a:pt x="7207198" y="2717839"/>
                </a:cubicBezTo>
                <a:cubicBezTo>
                  <a:pt x="7226165" y="2717839"/>
                  <a:pt x="7241538" y="2702247"/>
                  <a:pt x="7241538" y="2683019"/>
                </a:cubicBezTo>
                <a:cubicBezTo>
                  <a:pt x="7241538" y="2663790"/>
                  <a:pt x="7226165" y="2648198"/>
                  <a:pt x="7207198" y="2648198"/>
                </a:cubicBezTo>
                <a:close/>
                <a:moveTo>
                  <a:pt x="7458423" y="2648198"/>
                </a:moveTo>
                <a:cubicBezTo>
                  <a:pt x="7439456" y="2648198"/>
                  <a:pt x="7424070" y="2663790"/>
                  <a:pt x="7424070" y="2683019"/>
                </a:cubicBezTo>
                <a:cubicBezTo>
                  <a:pt x="7424070" y="2702247"/>
                  <a:pt x="7439456" y="2717839"/>
                  <a:pt x="7458423" y="2717839"/>
                </a:cubicBezTo>
                <a:cubicBezTo>
                  <a:pt x="7477390" y="2717839"/>
                  <a:pt x="7492763" y="2702247"/>
                  <a:pt x="7492763" y="2683019"/>
                </a:cubicBezTo>
                <a:cubicBezTo>
                  <a:pt x="7492763" y="2663790"/>
                  <a:pt x="7477390" y="2648198"/>
                  <a:pt x="7458423" y="2648198"/>
                </a:cubicBezTo>
                <a:close/>
                <a:moveTo>
                  <a:pt x="7542164" y="2648198"/>
                </a:moveTo>
                <a:cubicBezTo>
                  <a:pt x="7523197" y="2648198"/>
                  <a:pt x="7507811" y="2663790"/>
                  <a:pt x="7507811" y="2683019"/>
                </a:cubicBezTo>
                <a:cubicBezTo>
                  <a:pt x="7507811" y="2702247"/>
                  <a:pt x="7523197" y="2717839"/>
                  <a:pt x="7542164" y="2717839"/>
                </a:cubicBezTo>
                <a:cubicBezTo>
                  <a:pt x="7561131" y="2717839"/>
                  <a:pt x="7576504" y="2702247"/>
                  <a:pt x="7576504" y="2683019"/>
                </a:cubicBezTo>
                <a:cubicBezTo>
                  <a:pt x="7576504" y="2663790"/>
                  <a:pt x="7561131" y="2648198"/>
                  <a:pt x="7542164" y="2648198"/>
                </a:cubicBezTo>
                <a:close/>
                <a:moveTo>
                  <a:pt x="7625906" y="2648198"/>
                </a:moveTo>
                <a:cubicBezTo>
                  <a:pt x="7606939" y="2648198"/>
                  <a:pt x="7591553" y="2663790"/>
                  <a:pt x="7591553" y="2683019"/>
                </a:cubicBezTo>
                <a:cubicBezTo>
                  <a:pt x="7591553" y="2702247"/>
                  <a:pt x="7606939" y="2717839"/>
                  <a:pt x="7625906" y="2717839"/>
                </a:cubicBezTo>
                <a:cubicBezTo>
                  <a:pt x="7644873" y="2717839"/>
                  <a:pt x="7660246" y="2702247"/>
                  <a:pt x="7660246" y="2683019"/>
                </a:cubicBezTo>
                <a:cubicBezTo>
                  <a:pt x="7660246" y="2663790"/>
                  <a:pt x="7644873" y="2648198"/>
                  <a:pt x="7625906" y="2648198"/>
                </a:cubicBezTo>
                <a:close/>
                <a:moveTo>
                  <a:pt x="7709647" y="2648198"/>
                </a:moveTo>
                <a:cubicBezTo>
                  <a:pt x="7690680" y="2648198"/>
                  <a:pt x="7675294" y="2663790"/>
                  <a:pt x="7675294" y="2683019"/>
                </a:cubicBezTo>
                <a:cubicBezTo>
                  <a:pt x="7675294" y="2702247"/>
                  <a:pt x="7690680" y="2717839"/>
                  <a:pt x="7709647" y="2717839"/>
                </a:cubicBezTo>
                <a:cubicBezTo>
                  <a:pt x="7728614" y="2717839"/>
                  <a:pt x="7743988" y="2702247"/>
                  <a:pt x="7743988" y="2683019"/>
                </a:cubicBezTo>
                <a:cubicBezTo>
                  <a:pt x="7743988" y="2663790"/>
                  <a:pt x="7728614" y="2648198"/>
                  <a:pt x="7709647" y="2648198"/>
                </a:cubicBezTo>
                <a:close/>
                <a:moveTo>
                  <a:pt x="7793389" y="2648198"/>
                </a:moveTo>
                <a:cubicBezTo>
                  <a:pt x="7774422" y="2648198"/>
                  <a:pt x="7759036" y="2663790"/>
                  <a:pt x="7759036" y="2683019"/>
                </a:cubicBezTo>
                <a:cubicBezTo>
                  <a:pt x="7759036" y="2702247"/>
                  <a:pt x="7774422" y="2717839"/>
                  <a:pt x="7793389" y="2717839"/>
                </a:cubicBezTo>
                <a:cubicBezTo>
                  <a:pt x="7812356" y="2717839"/>
                  <a:pt x="7827729" y="2702247"/>
                  <a:pt x="7827729" y="2683019"/>
                </a:cubicBezTo>
                <a:cubicBezTo>
                  <a:pt x="7827729" y="2663790"/>
                  <a:pt x="7812356" y="2648198"/>
                  <a:pt x="7793389" y="2648198"/>
                </a:cubicBezTo>
                <a:close/>
                <a:moveTo>
                  <a:pt x="7877131" y="2648198"/>
                </a:moveTo>
                <a:cubicBezTo>
                  <a:pt x="7858164" y="2648198"/>
                  <a:pt x="7842778" y="2663790"/>
                  <a:pt x="7842778" y="2683019"/>
                </a:cubicBezTo>
                <a:cubicBezTo>
                  <a:pt x="7842778" y="2702247"/>
                  <a:pt x="7858164" y="2717839"/>
                  <a:pt x="7877131" y="2717839"/>
                </a:cubicBezTo>
                <a:cubicBezTo>
                  <a:pt x="7896098" y="2717839"/>
                  <a:pt x="7911471" y="2702247"/>
                  <a:pt x="7911471" y="2683019"/>
                </a:cubicBezTo>
                <a:cubicBezTo>
                  <a:pt x="7911471" y="2663790"/>
                  <a:pt x="7896098" y="2648198"/>
                  <a:pt x="7877131" y="2648198"/>
                </a:cubicBezTo>
                <a:close/>
                <a:moveTo>
                  <a:pt x="7960872" y="2648198"/>
                </a:moveTo>
                <a:cubicBezTo>
                  <a:pt x="7941905" y="2648198"/>
                  <a:pt x="7926519" y="2663790"/>
                  <a:pt x="7926519" y="2683019"/>
                </a:cubicBezTo>
                <a:cubicBezTo>
                  <a:pt x="7926519" y="2702247"/>
                  <a:pt x="7941905" y="2717839"/>
                  <a:pt x="7960872" y="2717839"/>
                </a:cubicBezTo>
                <a:cubicBezTo>
                  <a:pt x="7979839" y="2717839"/>
                  <a:pt x="7995212" y="2702247"/>
                  <a:pt x="7995212" y="2683019"/>
                </a:cubicBezTo>
                <a:cubicBezTo>
                  <a:pt x="7995212" y="2663790"/>
                  <a:pt x="7979839" y="2648198"/>
                  <a:pt x="7960872" y="2648198"/>
                </a:cubicBezTo>
                <a:close/>
                <a:moveTo>
                  <a:pt x="8128356" y="2648198"/>
                </a:moveTo>
                <a:cubicBezTo>
                  <a:pt x="8109389" y="2648198"/>
                  <a:pt x="8094003" y="2663790"/>
                  <a:pt x="8094003" y="2683019"/>
                </a:cubicBezTo>
                <a:cubicBezTo>
                  <a:pt x="8094003" y="2702247"/>
                  <a:pt x="8109389" y="2717839"/>
                  <a:pt x="8128356" y="2717839"/>
                </a:cubicBezTo>
                <a:cubicBezTo>
                  <a:pt x="8147323" y="2717839"/>
                  <a:pt x="8162696" y="2702247"/>
                  <a:pt x="8162696" y="2683019"/>
                </a:cubicBezTo>
                <a:cubicBezTo>
                  <a:pt x="8162696" y="2663790"/>
                  <a:pt x="8147323" y="2648198"/>
                  <a:pt x="8128356" y="2648198"/>
                </a:cubicBezTo>
                <a:close/>
                <a:moveTo>
                  <a:pt x="8212097" y="2648198"/>
                </a:moveTo>
                <a:cubicBezTo>
                  <a:pt x="8193130" y="2648198"/>
                  <a:pt x="8177744" y="2663790"/>
                  <a:pt x="8177744" y="2683019"/>
                </a:cubicBezTo>
                <a:cubicBezTo>
                  <a:pt x="8177744" y="2702247"/>
                  <a:pt x="8193130" y="2717839"/>
                  <a:pt x="8212097" y="2717839"/>
                </a:cubicBezTo>
                <a:cubicBezTo>
                  <a:pt x="8231064" y="2717839"/>
                  <a:pt x="8246437" y="2702247"/>
                  <a:pt x="8246437" y="2683019"/>
                </a:cubicBezTo>
                <a:cubicBezTo>
                  <a:pt x="8246437" y="2663790"/>
                  <a:pt x="8231064" y="2648198"/>
                  <a:pt x="8212097" y="2648198"/>
                </a:cubicBezTo>
                <a:close/>
                <a:moveTo>
                  <a:pt x="8295839" y="2648198"/>
                </a:moveTo>
                <a:cubicBezTo>
                  <a:pt x="8276872" y="2648198"/>
                  <a:pt x="8261486" y="2663790"/>
                  <a:pt x="8261486" y="2683019"/>
                </a:cubicBezTo>
                <a:cubicBezTo>
                  <a:pt x="8261486" y="2702247"/>
                  <a:pt x="8276872" y="2717839"/>
                  <a:pt x="8295839" y="2717839"/>
                </a:cubicBezTo>
                <a:cubicBezTo>
                  <a:pt x="8314806" y="2717839"/>
                  <a:pt x="8330179" y="2702247"/>
                  <a:pt x="8330179" y="2683019"/>
                </a:cubicBezTo>
                <a:cubicBezTo>
                  <a:pt x="8330179" y="2663790"/>
                  <a:pt x="8314806" y="2648198"/>
                  <a:pt x="8295839" y="2648198"/>
                </a:cubicBezTo>
                <a:close/>
                <a:moveTo>
                  <a:pt x="8379580" y="2648198"/>
                </a:moveTo>
                <a:cubicBezTo>
                  <a:pt x="8360613" y="2648198"/>
                  <a:pt x="8345227" y="2663790"/>
                  <a:pt x="8345227" y="2683019"/>
                </a:cubicBezTo>
                <a:cubicBezTo>
                  <a:pt x="8345227" y="2702247"/>
                  <a:pt x="8360613" y="2717839"/>
                  <a:pt x="8379580" y="2717839"/>
                </a:cubicBezTo>
                <a:cubicBezTo>
                  <a:pt x="8398547" y="2717839"/>
                  <a:pt x="8413921" y="2702247"/>
                  <a:pt x="8413921" y="2683019"/>
                </a:cubicBezTo>
                <a:cubicBezTo>
                  <a:pt x="8413921" y="2663790"/>
                  <a:pt x="8398547" y="2648198"/>
                  <a:pt x="8379580" y="2648198"/>
                </a:cubicBezTo>
                <a:close/>
                <a:moveTo>
                  <a:pt x="8463323" y="2648198"/>
                </a:moveTo>
                <a:cubicBezTo>
                  <a:pt x="8444356" y="2648198"/>
                  <a:pt x="8428970" y="2663790"/>
                  <a:pt x="8428970" y="2683019"/>
                </a:cubicBezTo>
                <a:cubicBezTo>
                  <a:pt x="8428970" y="2702247"/>
                  <a:pt x="8444356" y="2717839"/>
                  <a:pt x="8463323" y="2717839"/>
                </a:cubicBezTo>
                <a:cubicBezTo>
                  <a:pt x="8482290" y="2717839"/>
                  <a:pt x="8497663" y="2702247"/>
                  <a:pt x="8497663" y="2683019"/>
                </a:cubicBezTo>
                <a:cubicBezTo>
                  <a:pt x="8497663" y="2663790"/>
                  <a:pt x="8482290" y="2648198"/>
                  <a:pt x="8463323" y="2648198"/>
                </a:cubicBezTo>
                <a:close/>
                <a:moveTo>
                  <a:pt x="8547064" y="2648198"/>
                </a:moveTo>
                <a:cubicBezTo>
                  <a:pt x="8528097" y="2648198"/>
                  <a:pt x="8512711" y="2663790"/>
                  <a:pt x="8512711" y="2683019"/>
                </a:cubicBezTo>
                <a:cubicBezTo>
                  <a:pt x="8512711" y="2702247"/>
                  <a:pt x="8528097" y="2717839"/>
                  <a:pt x="8547064" y="2717839"/>
                </a:cubicBezTo>
                <a:cubicBezTo>
                  <a:pt x="8566031" y="2717839"/>
                  <a:pt x="8581404" y="2702247"/>
                  <a:pt x="8581404" y="2683019"/>
                </a:cubicBezTo>
                <a:cubicBezTo>
                  <a:pt x="8581404" y="2663790"/>
                  <a:pt x="8566031" y="2648198"/>
                  <a:pt x="8547064" y="2648198"/>
                </a:cubicBezTo>
                <a:close/>
                <a:moveTo>
                  <a:pt x="8630805" y="2648198"/>
                </a:moveTo>
                <a:cubicBezTo>
                  <a:pt x="8611838" y="2648198"/>
                  <a:pt x="8596452" y="2663790"/>
                  <a:pt x="8596452" y="2683019"/>
                </a:cubicBezTo>
                <a:cubicBezTo>
                  <a:pt x="8596452" y="2702247"/>
                  <a:pt x="8611838" y="2717839"/>
                  <a:pt x="8630805" y="2717839"/>
                </a:cubicBezTo>
                <a:cubicBezTo>
                  <a:pt x="8649772" y="2717839"/>
                  <a:pt x="8665145" y="2702247"/>
                  <a:pt x="8665145" y="2683019"/>
                </a:cubicBezTo>
                <a:cubicBezTo>
                  <a:pt x="8665145" y="2663790"/>
                  <a:pt x="8649772" y="2648198"/>
                  <a:pt x="8630805" y="2648198"/>
                </a:cubicBezTo>
                <a:close/>
                <a:moveTo>
                  <a:pt x="8714547" y="2648198"/>
                </a:moveTo>
                <a:cubicBezTo>
                  <a:pt x="8695580" y="2648198"/>
                  <a:pt x="8680194" y="2663790"/>
                  <a:pt x="8680194" y="2683019"/>
                </a:cubicBezTo>
                <a:cubicBezTo>
                  <a:pt x="8680194" y="2702247"/>
                  <a:pt x="8695580" y="2717839"/>
                  <a:pt x="8714547" y="2717839"/>
                </a:cubicBezTo>
                <a:cubicBezTo>
                  <a:pt x="8733514" y="2717839"/>
                  <a:pt x="8748888" y="2702247"/>
                  <a:pt x="8748888" y="2683019"/>
                </a:cubicBezTo>
                <a:cubicBezTo>
                  <a:pt x="8748888" y="2663790"/>
                  <a:pt x="8733514" y="2648198"/>
                  <a:pt x="8714547" y="2648198"/>
                </a:cubicBezTo>
                <a:close/>
                <a:moveTo>
                  <a:pt x="8798289" y="2648198"/>
                </a:moveTo>
                <a:cubicBezTo>
                  <a:pt x="8779322" y="2648198"/>
                  <a:pt x="8763936" y="2663790"/>
                  <a:pt x="8763936" y="2683019"/>
                </a:cubicBezTo>
                <a:cubicBezTo>
                  <a:pt x="8763936" y="2702247"/>
                  <a:pt x="8779322" y="2717839"/>
                  <a:pt x="8798289" y="2717839"/>
                </a:cubicBezTo>
                <a:cubicBezTo>
                  <a:pt x="8817256" y="2717839"/>
                  <a:pt x="8832629" y="2702247"/>
                  <a:pt x="8832629" y="2683019"/>
                </a:cubicBezTo>
                <a:cubicBezTo>
                  <a:pt x="8832629" y="2663790"/>
                  <a:pt x="8817256" y="2648198"/>
                  <a:pt x="8798289" y="2648198"/>
                </a:cubicBezTo>
                <a:close/>
                <a:moveTo>
                  <a:pt x="8882030" y="2648198"/>
                </a:moveTo>
                <a:cubicBezTo>
                  <a:pt x="8863063" y="2648198"/>
                  <a:pt x="8847677" y="2663790"/>
                  <a:pt x="8847677" y="2683019"/>
                </a:cubicBezTo>
                <a:cubicBezTo>
                  <a:pt x="8847677" y="2702247"/>
                  <a:pt x="8863063" y="2717839"/>
                  <a:pt x="8882030" y="2717839"/>
                </a:cubicBezTo>
                <a:cubicBezTo>
                  <a:pt x="8900997" y="2717839"/>
                  <a:pt x="8916370" y="2702247"/>
                  <a:pt x="8916370" y="2683019"/>
                </a:cubicBezTo>
                <a:cubicBezTo>
                  <a:pt x="8916370" y="2663790"/>
                  <a:pt x="8900997" y="2648198"/>
                  <a:pt x="8882030" y="2648198"/>
                </a:cubicBezTo>
                <a:close/>
                <a:moveTo>
                  <a:pt x="8965772" y="2648198"/>
                </a:moveTo>
                <a:cubicBezTo>
                  <a:pt x="8946805" y="2648198"/>
                  <a:pt x="8931419" y="2663790"/>
                  <a:pt x="8931419" y="2683019"/>
                </a:cubicBezTo>
                <a:cubicBezTo>
                  <a:pt x="8931419" y="2702247"/>
                  <a:pt x="8946805" y="2717839"/>
                  <a:pt x="8965772" y="2717839"/>
                </a:cubicBezTo>
                <a:cubicBezTo>
                  <a:pt x="8984739" y="2717839"/>
                  <a:pt x="9000112" y="2702247"/>
                  <a:pt x="9000112" y="2683019"/>
                </a:cubicBezTo>
                <a:cubicBezTo>
                  <a:pt x="9000112" y="2663790"/>
                  <a:pt x="8984739" y="2648198"/>
                  <a:pt x="8965772" y="2648198"/>
                </a:cubicBezTo>
                <a:close/>
                <a:moveTo>
                  <a:pt x="9049513" y="2648198"/>
                </a:moveTo>
                <a:cubicBezTo>
                  <a:pt x="9030546" y="2648198"/>
                  <a:pt x="9015160" y="2663790"/>
                  <a:pt x="9015160" y="2683019"/>
                </a:cubicBezTo>
                <a:cubicBezTo>
                  <a:pt x="9015160" y="2702247"/>
                  <a:pt x="9030546" y="2717839"/>
                  <a:pt x="9049513" y="2717839"/>
                </a:cubicBezTo>
                <a:cubicBezTo>
                  <a:pt x="9068480" y="2717839"/>
                  <a:pt x="9083854" y="2702247"/>
                  <a:pt x="9083854" y="2683019"/>
                </a:cubicBezTo>
                <a:cubicBezTo>
                  <a:pt x="9083854" y="2663790"/>
                  <a:pt x="9068480" y="2648198"/>
                  <a:pt x="9049513" y="2648198"/>
                </a:cubicBezTo>
                <a:close/>
                <a:moveTo>
                  <a:pt x="9133256" y="2648198"/>
                </a:moveTo>
                <a:cubicBezTo>
                  <a:pt x="9114289" y="2648198"/>
                  <a:pt x="9098903" y="2663790"/>
                  <a:pt x="9098903" y="2683019"/>
                </a:cubicBezTo>
                <a:cubicBezTo>
                  <a:pt x="9098903" y="2702247"/>
                  <a:pt x="9114289" y="2717839"/>
                  <a:pt x="9133256" y="2717839"/>
                </a:cubicBezTo>
                <a:cubicBezTo>
                  <a:pt x="9152223" y="2717839"/>
                  <a:pt x="9167596" y="2702247"/>
                  <a:pt x="9167596" y="2683019"/>
                </a:cubicBezTo>
                <a:cubicBezTo>
                  <a:pt x="9167596" y="2663790"/>
                  <a:pt x="9152223" y="2648198"/>
                  <a:pt x="9133256" y="2648198"/>
                </a:cubicBezTo>
                <a:close/>
                <a:moveTo>
                  <a:pt x="9216997" y="2648198"/>
                </a:moveTo>
                <a:cubicBezTo>
                  <a:pt x="9198030" y="2648198"/>
                  <a:pt x="9182644" y="2663790"/>
                  <a:pt x="9182644" y="2683019"/>
                </a:cubicBezTo>
                <a:cubicBezTo>
                  <a:pt x="9182644" y="2702247"/>
                  <a:pt x="9198030" y="2717839"/>
                  <a:pt x="9216997" y="2717839"/>
                </a:cubicBezTo>
                <a:cubicBezTo>
                  <a:pt x="9235964" y="2717839"/>
                  <a:pt x="9251337" y="2702247"/>
                  <a:pt x="9251337" y="2683019"/>
                </a:cubicBezTo>
                <a:cubicBezTo>
                  <a:pt x="9251337" y="2663790"/>
                  <a:pt x="9235964" y="2648198"/>
                  <a:pt x="9216997" y="2648198"/>
                </a:cubicBezTo>
                <a:close/>
                <a:moveTo>
                  <a:pt x="9300738" y="2648198"/>
                </a:moveTo>
                <a:cubicBezTo>
                  <a:pt x="9281771" y="2648198"/>
                  <a:pt x="9266385" y="2663790"/>
                  <a:pt x="9266385" y="2683019"/>
                </a:cubicBezTo>
                <a:cubicBezTo>
                  <a:pt x="9266385" y="2702247"/>
                  <a:pt x="9281771" y="2717839"/>
                  <a:pt x="9300738" y="2717839"/>
                </a:cubicBezTo>
                <a:cubicBezTo>
                  <a:pt x="9319705" y="2717839"/>
                  <a:pt x="9335078" y="2702247"/>
                  <a:pt x="9335078" y="2683019"/>
                </a:cubicBezTo>
                <a:cubicBezTo>
                  <a:pt x="9335078" y="2663790"/>
                  <a:pt x="9319705" y="2648198"/>
                  <a:pt x="9300738" y="2648198"/>
                </a:cubicBezTo>
                <a:close/>
                <a:moveTo>
                  <a:pt x="9384480" y="2648198"/>
                </a:moveTo>
                <a:cubicBezTo>
                  <a:pt x="9365513" y="2648198"/>
                  <a:pt x="9350127" y="2663790"/>
                  <a:pt x="9350127" y="2683019"/>
                </a:cubicBezTo>
                <a:cubicBezTo>
                  <a:pt x="9350127" y="2702247"/>
                  <a:pt x="9365513" y="2717839"/>
                  <a:pt x="9384480" y="2717839"/>
                </a:cubicBezTo>
                <a:cubicBezTo>
                  <a:pt x="9403447" y="2717839"/>
                  <a:pt x="9418821" y="2702247"/>
                  <a:pt x="9418821" y="2683019"/>
                </a:cubicBezTo>
                <a:cubicBezTo>
                  <a:pt x="9418821" y="2663790"/>
                  <a:pt x="9403447" y="2648198"/>
                  <a:pt x="9384480" y="2648198"/>
                </a:cubicBezTo>
                <a:close/>
                <a:moveTo>
                  <a:pt x="9468222" y="2648198"/>
                </a:moveTo>
                <a:cubicBezTo>
                  <a:pt x="9449255" y="2648198"/>
                  <a:pt x="9433869" y="2663790"/>
                  <a:pt x="9433869" y="2683019"/>
                </a:cubicBezTo>
                <a:cubicBezTo>
                  <a:pt x="9433869" y="2702247"/>
                  <a:pt x="9449255" y="2717839"/>
                  <a:pt x="9468222" y="2717839"/>
                </a:cubicBezTo>
                <a:cubicBezTo>
                  <a:pt x="9487189" y="2717839"/>
                  <a:pt x="9502562" y="2702247"/>
                  <a:pt x="9502562" y="2683019"/>
                </a:cubicBezTo>
                <a:cubicBezTo>
                  <a:pt x="9502562" y="2663790"/>
                  <a:pt x="9487189" y="2648198"/>
                  <a:pt x="9468222" y="2648198"/>
                </a:cubicBezTo>
                <a:close/>
                <a:moveTo>
                  <a:pt x="9551963" y="2648198"/>
                </a:moveTo>
                <a:cubicBezTo>
                  <a:pt x="9532996" y="2648198"/>
                  <a:pt x="9517610" y="2663790"/>
                  <a:pt x="9517610" y="2683019"/>
                </a:cubicBezTo>
                <a:cubicBezTo>
                  <a:pt x="9517610" y="2702247"/>
                  <a:pt x="9532996" y="2717839"/>
                  <a:pt x="9551963" y="2717839"/>
                </a:cubicBezTo>
                <a:cubicBezTo>
                  <a:pt x="9570930" y="2717839"/>
                  <a:pt x="9586303" y="2702247"/>
                  <a:pt x="9586303" y="2683019"/>
                </a:cubicBezTo>
                <a:cubicBezTo>
                  <a:pt x="9586303" y="2663790"/>
                  <a:pt x="9570930" y="2648198"/>
                  <a:pt x="9551963" y="2648198"/>
                </a:cubicBezTo>
                <a:close/>
                <a:moveTo>
                  <a:pt x="9635705" y="2648198"/>
                </a:moveTo>
                <a:cubicBezTo>
                  <a:pt x="9616738" y="2648198"/>
                  <a:pt x="9601352" y="2663790"/>
                  <a:pt x="9601352" y="2683019"/>
                </a:cubicBezTo>
                <a:cubicBezTo>
                  <a:pt x="9601352" y="2702247"/>
                  <a:pt x="9616738" y="2717839"/>
                  <a:pt x="9635705" y="2717839"/>
                </a:cubicBezTo>
                <a:cubicBezTo>
                  <a:pt x="9654672" y="2717839"/>
                  <a:pt x="9670045" y="2702247"/>
                  <a:pt x="9670045" y="2683019"/>
                </a:cubicBezTo>
                <a:cubicBezTo>
                  <a:pt x="9670045" y="2663790"/>
                  <a:pt x="9654672" y="2648198"/>
                  <a:pt x="9635705" y="2648198"/>
                </a:cubicBezTo>
                <a:close/>
                <a:moveTo>
                  <a:pt x="10054413" y="2648198"/>
                </a:moveTo>
                <a:cubicBezTo>
                  <a:pt x="10035446" y="2648198"/>
                  <a:pt x="10020060" y="2663790"/>
                  <a:pt x="10020060" y="2683019"/>
                </a:cubicBezTo>
                <a:cubicBezTo>
                  <a:pt x="10020060" y="2702247"/>
                  <a:pt x="10035446" y="2717839"/>
                  <a:pt x="10054413" y="2717839"/>
                </a:cubicBezTo>
                <a:cubicBezTo>
                  <a:pt x="10073380" y="2717839"/>
                  <a:pt x="10088754" y="2702247"/>
                  <a:pt x="10088754" y="2683019"/>
                </a:cubicBezTo>
                <a:cubicBezTo>
                  <a:pt x="10088754" y="2663790"/>
                  <a:pt x="10073380" y="2648198"/>
                  <a:pt x="10054413" y="2648198"/>
                </a:cubicBezTo>
                <a:close/>
                <a:moveTo>
                  <a:pt x="2266416" y="2733062"/>
                </a:moveTo>
                <a:cubicBezTo>
                  <a:pt x="2247449" y="2733062"/>
                  <a:pt x="2232069" y="2748654"/>
                  <a:pt x="2232069" y="2767883"/>
                </a:cubicBezTo>
                <a:cubicBezTo>
                  <a:pt x="2232069" y="2787111"/>
                  <a:pt x="2247449" y="2802703"/>
                  <a:pt x="2266416" y="2802703"/>
                </a:cubicBezTo>
                <a:cubicBezTo>
                  <a:pt x="2285383" y="2802703"/>
                  <a:pt x="2300762" y="2787111"/>
                  <a:pt x="2300762" y="2767883"/>
                </a:cubicBezTo>
                <a:cubicBezTo>
                  <a:pt x="2300762" y="2748654"/>
                  <a:pt x="2285383" y="2733062"/>
                  <a:pt x="2266416" y="2733062"/>
                </a:cubicBezTo>
                <a:close/>
                <a:moveTo>
                  <a:pt x="2350151" y="2733062"/>
                </a:moveTo>
                <a:cubicBezTo>
                  <a:pt x="2331184" y="2733062"/>
                  <a:pt x="2315804" y="2748654"/>
                  <a:pt x="2315804" y="2767883"/>
                </a:cubicBezTo>
                <a:cubicBezTo>
                  <a:pt x="2315804" y="2787111"/>
                  <a:pt x="2331184" y="2802703"/>
                  <a:pt x="2350151" y="2802703"/>
                </a:cubicBezTo>
                <a:cubicBezTo>
                  <a:pt x="2369118" y="2802703"/>
                  <a:pt x="2384498" y="2787111"/>
                  <a:pt x="2384498" y="2767883"/>
                </a:cubicBezTo>
                <a:cubicBezTo>
                  <a:pt x="2384498" y="2748654"/>
                  <a:pt x="2369118" y="2733062"/>
                  <a:pt x="2350151" y="2733062"/>
                </a:cubicBezTo>
                <a:close/>
                <a:moveTo>
                  <a:pt x="2433893" y="2733062"/>
                </a:moveTo>
                <a:cubicBezTo>
                  <a:pt x="2414926" y="2733062"/>
                  <a:pt x="2399546" y="2748654"/>
                  <a:pt x="2399546" y="2767883"/>
                </a:cubicBezTo>
                <a:cubicBezTo>
                  <a:pt x="2399546" y="2787111"/>
                  <a:pt x="2414926" y="2802703"/>
                  <a:pt x="2433893" y="2802703"/>
                </a:cubicBezTo>
                <a:cubicBezTo>
                  <a:pt x="2452860" y="2802703"/>
                  <a:pt x="2468240" y="2787111"/>
                  <a:pt x="2468240" y="2767883"/>
                </a:cubicBezTo>
                <a:cubicBezTo>
                  <a:pt x="2468240" y="2748654"/>
                  <a:pt x="2452860" y="2733062"/>
                  <a:pt x="2433893" y="2733062"/>
                </a:cubicBezTo>
                <a:close/>
                <a:moveTo>
                  <a:pt x="2517634" y="2733062"/>
                </a:moveTo>
                <a:cubicBezTo>
                  <a:pt x="2498667" y="2733062"/>
                  <a:pt x="2483288" y="2748654"/>
                  <a:pt x="2483288" y="2767883"/>
                </a:cubicBezTo>
                <a:cubicBezTo>
                  <a:pt x="2483288" y="2787111"/>
                  <a:pt x="2498667" y="2802703"/>
                  <a:pt x="2517634" y="2802703"/>
                </a:cubicBezTo>
                <a:cubicBezTo>
                  <a:pt x="2536601" y="2802703"/>
                  <a:pt x="2551981" y="2787111"/>
                  <a:pt x="2551981" y="2767883"/>
                </a:cubicBezTo>
                <a:cubicBezTo>
                  <a:pt x="2551981" y="2748654"/>
                  <a:pt x="2536601" y="2733062"/>
                  <a:pt x="2517634" y="2733062"/>
                </a:cubicBezTo>
                <a:close/>
                <a:moveTo>
                  <a:pt x="2601376" y="2733062"/>
                </a:moveTo>
                <a:cubicBezTo>
                  <a:pt x="2582409" y="2733062"/>
                  <a:pt x="2567029" y="2748654"/>
                  <a:pt x="2567029" y="2767883"/>
                </a:cubicBezTo>
                <a:cubicBezTo>
                  <a:pt x="2567029" y="2787111"/>
                  <a:pt x="2582409" y="2802703"/>
                  <a:pt x="2601376" y="2802703"/>
                </a:cubicBezTo>
                <a:cubicBezTo>
                  <a:pt x="2620343" y="2802703"/>
                  <a:pt x="2635722" y="2787111"/>
                  <a:pt x="2635722" y="2767883"/>
                </a:cubicBezTo>
                <a:cubicBezTo>
                  <a:pt x="2635722" y="2748654"/>
                  <a:pt x="2620343" y="2733062"/>
                  <a:pt x="2601376" y="2733062"/>
                </a:cubicBezTo>
                <a:close/>
                <a:moveTo>
                  <a:pt x="2685118" y="2733062"/>
                </a:moveTo>
                <a:cubicBezTo>
                  <a:pt x="2666151" y="2733062"/>
                  <a:pt x="2650771" y="2748654"/>
                  <a:pt x="2650771" y="2767883"/>
                </a:cubicBezTo>
                <a:cubicBezTo>
                  <a:pt x="2650771" y="2787111"/>
                  <a:pt x="2666151" y="2802703"/>
                  <a:pt x="2685118" y="2802703"/>
                </a:cubicBezTo>
                <a:cubicBezTo>
                  <a:pt x="2704085" y="2802703"/>
                  <a:pt x="2719465" y="2787111"/>
                  <a:pt x="2719465" y="2767883"/>
                </a:cubicBezTo>
                <a:cubicBezTo>
                  <a:pt x="2719465" y="2748654"/>
                  <a:pt x="2704085" y="2733062"/>
                  <a:pt x="2685118" y="2733062"/>
                </a:cubicBezTo>
                <a:close/>
                <a:moveTo>
                  <a:pt x="2768859" y="2733062"/>
                </a:moveTo>
                <a:cubicBezTo>
                  <a:pt x="2749892" y="2733062"/>
                  <a:pt x="2734512" y="2748654"/>
                  <a:pt x="2734512" y="2767883"/>
                </a:cubicBezTo>
                <a:cubicBezTo>
                  <a:pt x="2734512" y="2787111"/>
                  <a:pt x="2749892" y="2802703"/>
                  <a:pt x="2768859" y="2802703"/>
                </a:cubicBezTo>
                <a:cubicBezTo>
                  <a:pt x="2787826" y="2802703"/>
                  <a:pt x="2803206" y="2787111"/>
                  <a:pt x="2803206" y="2767883"/>
                </a:cubicBezTo>
                <a:cubicBezTo>
                  <a:pt x="2803206" y="2748654"/>
                  <a:pt x="2787826" y="2733062"/>
                  <a:pt x="2768859" y="2733062"/>
                </a:cubicBezTo>
                <a:close/>
                <a:moveTo>
                  <a:pt x="2852600" y="2733062"/>
                </a:moveTo>
                <a:cubicBezTo>
                  <a:pt x="2833633" y="2733062"/>
                  <a:pt x="2818254" y="2748654"/>
                  <a:pt x="2818254" y="2767883"/>
                </a:cubicBezTo>
                <a:cubicBezTo>
                  <a:pt x="2818254" y="2787111"/>
                  <a:pt x="2833633" y="2802703"/>
                  <a:pt x="2852600" y="2802703"/>
                </a:cubicBezTo>
                <a:cubicBezTo>
                  <a:pt x="2871567" y="2802703"/>
                  <a:pt x="2886947" y="2787111"/>
                  <a:pt x="2886947" y="2767883"/>
                </a:cubicBezTo>
                <a:cubicBezTo>
                  <a:pt x="2886947" y="2748654"/>
                  <a:pt x="2871567" y="2733062"/>
                  <a:pt x="2852600" y="2733062"/>
                </a:cubicBezTo>
                <a:close/>
                <a:moveTo>
                  <a:pt x="2936343" y="2733062"/>
                </a:moveTo>
                <a:cubicBezTo>
                  <a:pt x="2917376" y="2733062"/>
                  <a:pt x="2901996" y="2748654"/>
                  <a:pt x="2901996" y="2767883"/>
                </a:cubicBezTo>
                <a:cubicBezTo>
                  <a:pt x="2901996" y="2787111"/>
                  <a:pt x="2917376" y="2802703"/>
                  <a:pt x="2936343" y="2802703"/>
                </a:cubicBezTo>
                <a:cubicBezTo>
                  <a:pt x="2955310" y="2802703"/>
                  <a:pt x="2970689" y="2787111"/>
                  <a:pt x="2970689" y="2767883"/>
                </a:cubicBezTo>
                <a:cubicBezTo>
                  <a:pt x="2970689" y="2748654"/>
                  <a:pt x="2955310" y="2733062"/>
                  <a:pt x="2936343" y="2733062"/>
                </a:cubicBezTo>
                <a:close/>
                <a:moveTo>
                  <a:pt x="3020084" y="2733062"/>
                </a:moveTo>
                <a:cubicBezTo>
                  <a:pt x="3001117" y="2733062"/>
                  <a:pt x="2985737" y="2748654"/>
                  <a:pt x="2985737" y="2767883"/>
                </a:cubicBezTo>
                <a:cubicBezTo>
                  <a:pt x="2985737" y="2787111"/>
                  <a:pt x="3001117" y="2802703"/>
                  <a:pt x="3020084" y="2802703"/>
                </a:cubicBezTo>
                <a:cubicBezTo>
                  <a:pt x="3039051" y="2802703"/>
                  <a:pt x="3054431" y="2787111"/>
                  <a:pt x="3054431" y="2767883"/>
                </a:cubicBezTo>
                <a:cubicBezTo>
                  <a:pt x="3054431" y="2748654"/>
                  <a:pt x="3039051" y="2733062"/>
                  <a:pt x="3020084" y="2733062"/>
                </a:cubicBezTo>
                <a:close/>
                <a:moveTo>
                  <a:pt x="3103826" y="2733062"/>
                </a:moveTo>
                <a:cubicBezTo>
                  <a:pt x="3084859" y="2733062"/>
                  <a:pt x="3069479" y="2748654"/>
                  <a:pt x="3069479" y="2767883"/>
                </a:cubicBezTo>
                <a:cubicBezTo>
                  <a:pt x="3069479" y="2787111"/>
                  <a:pt x="3084859" y="2802703"/>
                  <a:pt x="3103826" y="2802703"/>
                </a:cubicBezTo>
                <a:cubicBezTo>
                  <a:pt x="3122793" y="2802703"/>
                  <a:pt x="3138173" y="2787111"/>
                  <a:pt x="3138173" y="2767883"/>
                </a:cubicBezTo>
                <a:cubicBezTo>
                  <a:pt x="3138173" y="2748654"/>
                  <a:pt x="3122793" y="2733062"/>
                  <a:pt x="3103826" y="2733062"/>
                </a:cubicBezTo>
                <a:close/>
                <a:moveTo>
                  <a:pt x="3187567" y="2733062"/>
                </a:moveTo>
                <a:cubicBezTo>
                  <a:pt x="3168600" y="2733062"/>
                  <a:pt x="3153221" y="2748654"/>
                  <a:pt x="3153221" y="2767883"/>
                </a:cubicBezTo>
                <a:cubicBezTo>
                  <a:pt x="3153221" y="2787111"/>
                  <a:pt x="3168600" y="2802703"/>
                  <a:pt x="3187567" y="2802703"/>
                </a:cubicBezTo>
                <a:cubicBezTo>
                  <a:pt x="3206534" y="2802703"/>
                  <a:pt x="3221914" y="2787111"/>
                  <a:pt x="3221914" y="2767883"/>
                </a:cubicBezTo>
                <a:cubicBezTo>
                  <a:pt x="3221914" y="2748654"/>
                  <a:pt x="3206534" y="2733062"/>
                  <a:pt x="3187567" y="2733062"/>
                </a:cubicBezTo>
                <a:close/>
                <a:moveTo>
                  <a:pt x="3271309" y="2733062"/>
                </a:moveTo>
                <a:cubicBezTo>
                  <a:pt x="3252342" y="2733062"/>
                  <a:pt x="3236962" y="2748654"/>
                  <a:pt x="3236962" y="2767883"/>
                </a:cubicBezTo>
                <a:cubicBezTo>
                  <a:pt x="3236962" y="2787111"/>
                  <a:pt x="3252342" y="2802703"/>
                  <a:pt x="3271309" y="2802703"/>
                </a:cubicBezTo>
                <a:cubicBezTo>
                  <a:pt x="3290276" y="2802703"/>
                  <a:pt x="3305655" y="2787111"/>
                  <a:pt x="3305655" y="2767883"/>
                </a:cubicBezTo>
                <a:cubicBezTo>
                  <a:pt x="3305655" y="2748654"/>
                  <a:pt x="3290276" y="2733062"/>
                  <a:pt x="3271309" y="2733062"/>
                </a:cubicBezTo>
                <a:close/>
                <a:moveTo>
                  <a:pt x="3438792" y="2733062"/>
                </a:moveTo>
                <a:cubicBezTo>
                  <a:pt x="3419825" y="2733062"/>
                  <a:pt x="3404445" y="2748654"/>
                  <a:pt x="3404445" y="2767883"/>
                </a:cubicBezTo>
                <a:cubicBezTo>
                  <a:pt x="3404445" y="2787111"/>
                  <a:pt x="3419825" y="2802703"/>
                  <a:pt x="3438792" y="2802703"/>
                </a:cubicBezTo>
                <a:cubicBezTo>
                  <a:pt x="3457759" y="2802703"/>
                  <a:pt x="3473139" y="2787111"/>
                  <a:pt x="3473139" y="2767883"/>
                </a:cubicBezTo>
                <a:cubicBezTo>
                  <a:pt x="3473139" y="2748654"/>
                  <a:pt x="3457759" y="2733062"/>
                  <a:pt x="3438792" y="2733062"/>
                </a:cubicBezTo>
                <a:close/>
                <a:moveTo>
                  <a:pt x="3690017" y="2733062"/>
                </a:moveTo>
                <a:cubicBezTo>
                  <a:pt x="3671050" y="2733062"/>
                  <a:pt x="3655670" y="2748654"/>
                  <a:pt x="3655670" y="2767883"/>
                </a:cubicBezTo>
                <a:cubicBezTo>
                  <a:pt x="3655670" y="2787111"/>
                  <a:pt x="3671050" y="2802703"/>
                  <a:pt x="3690017" y="2802703"/>
                </a:cubicBezTo>
                <a:cubicBezTo>
                  <a:pt x="3708984" y="2802703"/>
                  <a:pt x="3724364" y="2787111"/>
                  <a:pt x="3724364" y="2767883"/>
                </a:cubicBezTo>
                <a:cubicBezTo>
                  <a:pt x="3724364" y="2748654"/>
                  <a:pt x="3708984" y="2733062"/>
                  <a:pt x="3690017" y="2733062"/>
                </a:cubicBezTo>
                <a:close/>
                <a:moveTo>
                  <a:pt x="3773759" y="2733062"/>
                </a:moveTo>
                <a:cubicBezTo>
                  <a:pt x="3754792" y="2733062"/>
                  <a:pt x="3739412" y="2748654"/>
                  <a:pt x="3739412" y="2767883"/>
                </a:cubicBezTo>
                <a:cubicBezTo>
                  <a:pt x="3739412" y="2787111"/>
                  <a:pt x="3754792" y="2802703"/>
                  <a:pt x="3773759" y="2802703"/>
                </a:cubicBezTo>
                <a:cubicBezTo>
                  <a:pt x="3792726" y="2802703"/>
                  <a:pt x="3808106" y="2787111"/>
                  <a:pt x="3808106" y="2767883"/>
                </a:cubicBezTo>
                <a:cubicBezTo>
                  <a:pt x="3808106" y="2748654"/>
                  <a:pt x="3792726" y="2733062"/>
                  <a:pt x="3773759" y="2733062"/>
                </a:cubicBezTo>
                <a:close/>
                <a:moveTo>
                  <a:pt x="4024990" y="2733062"/>
                </a:moveTo>
                <a:cubicBezTo>
                  <a:pt x="4006023" y="2733062"/>
                  <a:pt x="3990643" y="2748654"/>
                  <a:pt x="3990643" y="2767883"/>
                </a:cubicBezTo>
                <a:cubicBezTo>
                  <a:pt x="3990643" y="2787111"/>
                  <a:pt x="4006023" y="2802703"/>
                  <a:pt x="4024990" y="2802703"/>
                </a:cubicBezTo>
                <a:cubicBezTo>
                  <a:pt x="4043957" y="2802703"/>
                  <a:pt x="4059337" y="2787111"/>
                  <a:pt x="4059337" y="2767883"/>
                </a:cubicBezTo>
                <a:cubicBezTo>
                  <a:pt x="4059337" y="2748654"/>
                  <a:pt x="4043957" y="2733062"/>
                  <a:pt x="4024990" y="2733062"/>
                </a:cubicBezTo>
                <a:close/>
                <a:moveTo>
                  <a:pt x="5867305" y="2733062"/>
                </a:moveTo>
                <a:cubicBezTo>
                  <a:pt x="5848338" y="2733062"/>
                  <a:pt x="5832959" y="2748654"/>
                  <a:pt x="5832959" y="2767883"/>
                </a:cubicBezTo>
                <a:cubicBezTo>
                  <a:pt x="5832959" y="2787111"/>
                  <a:pt x="5848338" y="2802703"/>
                  <a:pt x="5867305" y="2802703"/>
                </a:cubicBezTo>
                <a:cubicBezTo>
                  <a:pt x="5886272" y="2802703"/>
                  <a:pt x="5901652" y="2787111"/>
                  <a:pt x="5901652" y="2767883"/>
                </a:cubicBezTo>
                <a:cubicBezTo>
                  <a:pt x="5901652" y="2748654"/>
                  <a:pt x="5886272" y="2733062"/>
                  <a:pt x="5867305" y="2733062"/>
                </a:cubicBezTo>
                <a:close/>
                <a:moveTo>
                  <a:pt x="5951048" y="2733062"/>
                </a:moveTo>
                <a:cubicBezTo>
                  <a:pt x="5932081" y="2733062"/>
                  <a:pt x="5916701" y="2748654"/>
                  <a:pt x="5916701" y="2767883"/>
                </a:cubicBezTo>
                <a:cubicBezTo>
                  <a:pt x="5916701" y="2787111"/>
                  <a:pt x="5932081" y="2802703"/>
                  <a:pt x="5951048" y="2802703"/>
                </a:cubicBezTo>
                <a:cubicBezTo>
                  <a:pt x="5970015" y="2802703"/>
                  <a:pt x="5985394" y="2787111"/>
                  <a:pt x="5985394" y="2767883"/>
                </a:cubicBezTo>
                <a:cubicBezTo>
                  <a:pt x="5985394" y="2748654"/>
                  <a:pt x="5970015" y="2733062"/>
                  <a:pt x="5951048" y="2733062"/>
                </a:cubicBezTo>
                <a:close/>
                <a:moveTo>
                  <a:pt x="6034789" y="2733062"/>
                </a:moveTo>
                <a:cubicBezTo>
                  <a:pt x="6015822" y="2733062"/>
                  <a:pt x="6000442" y="2748654"/>
                  <a:pt x="6000442" y="2767883"/>
                </a:cubicBezTo>
                <a:cubicBezTo>
                  <a:pt x="6000442" y="2787111"/>
                  <a:pt x="6015822" y="2802703"/>
                  <a:pt x="6034789" y="2802703"/>
                </a:cubicBezTo>
                <a:cubicBezTo>
                  <a:pt x="6053756" y="2802703"/>
                  <a:pt x="6069136" y="2787111"/>
                  <a:pt x="6069136" y="2767883"/>
                </a:cubicBezTo>
                <a:cubicBezTo>
                  <a:pt x="6069136" y="2748654"/>
                  <a:pt x="6053756" y="2733062"/>
                  <a:pt x="6034789" y="2733062"/>
                </a:cubicBezTo>
                <a:close/>
                <a:moveTo>
                  <a:pt x="6118531" y="2733062"/>
                </a:moveTo>
                <a:cubicBezTo>
                  <a:pt x="6099557" y="2733062"/>
                  <a:pt x="6084177" y="2748654"/>
                  <a:pt x="6084177" y="2767883"/>
                </a:cubicBezTo>
                <a:cubicBezTo>
                  <a:pt x="6084177" y="2787111"/>
                  <a:pt x="6099557" y="2802703"/>
                  <a:pt x="6118531" y="2802703"/>
                </a:cubicBezTo>
                <a:cubicBezTo>
                  <a:pt x="6137498" y="2802703"/>
                  <a:pt x="6152871" y="2787111"/>
                  <a:pt x="6152871" y="2767883"/>
                </a:cubicBezTo>
                <a:cubicBezTo>
                  <a:pt x="6152871" y="2748654"/>
                  <a:pt x="6137498" y="2733062"/>
                  <a:pt x="6118531" y="2733062"/>
                </a:cubicBezTo>
                <a:close/>
                <a:moveTo>
                  <a:pt x="6202273" y="2733062"/>
                </a:moveTo>
                <a:cubicBezTo>
                  <a:pt x="6183306" y="2733062"/>
                  <a:pt x="6167920" y="2748654"/>
                  <a:pt x="6167920" y="2767883"/>
                </a:cubicBezTo>
                <a:cubicBezTo>
                  <a:pt x="6167920" y="2787111"/>
                  <a:pt x="6183306" y="2802703"/>
                  <a:pt x="6202273" y="2802703"/>
                </a:cubicBezTo>
                <a:cubicBezTo>
                  <a:pt x="6221240" y="2802703"/>
                  <a:pt x="6236613" y="2787111"/>
                  <a:pt x="6236613" y="2767883"/>
                </a:cubicBezTo>
                <a:cubicBezTo>
                  <a:pt x="6236613" y="2748654"/>
                  <a:pt x="6221240" y="2733062"/>
                  <a:pt x="6202273" y="2733062"/>
                </a:cubicBezTo>
                <a:close/>
                <a:moveTo>
                  <a:pt x="6369755" y="2733062"/>
                </a:moveTo>
                <a:cubicBezTo>
                  <a:pt x="6350788" y="2733062"/>
                  <a:pt x="6335402" y="2748654"/>
                  <a:pt x="6335402" y="2767883"/>
                </a:cubicBezTo>
                <a:cubicBezTo>
                  <a:pt x="6335402" y="2787111"/>
                  <a:pt x="6350788" y="2802703"/>
                  <a:pt x="6369755" y="2802703"/>
                </a:cubicBezTo>
                <a:cubicBezTo>
                  <a:pt x="6388722" y="2802703"/>
                  <a:pt x="6404096" y="2787111"/>
                  <a:pt x="6404096" y="2767883"/>
                </a:cubicBezTo>
                <a:cubicBezTo>
                  <a:pt x="6404096" y="2748654"/>
                  <a:pt x="6388722" y="2733062"/>
                  <a:pt x="6369755" y="2733062"/>
                </a:cubicBezTo>
                <a:close/>
                <a:moveTo>
                  <a:pt x="6453498" y="2733062"/>
                </a:moveTo>
                <a:cubicBezTo>
                  <a:pt x="6434531" y="2733062"/>
                  <a:pt x="6419144" y="2748654"/>
                  <a:pt x="6419144" y="2767883"/>
                </a:cubicBezTo>
                <a:cubicBezTo>
                  <a:pt x="6419144" y="2787111"/>
                  <a:pt x="6434531" y="2802703"/>
                  <a:pt x="6453498" y="2802703"/>
                </a:cubicBezTo>
                <a:cubicBezTo>
                  <a:pt x="6472465" y="2802703"/>
                  <a:pt x="6487838" y="2787111"/>
                  <a:pt x="6487838" y="2767883"/>
                </a:cubicBezTo>
                <a:cubicBezTo>
                  <a:pt x="6487838" y="2748654"/>
                  <a:pt x="6472465" y="2733062"/>
                  <a:pt x="6453498" y="2733062"/>
                </a:cubicBezTo>
                <a:close/>
                <a:moveTo>
                  <a:pt x="6537239" y="2733062"/>
                </a:moveTo>
                <a:cubicBezTo>
                  <a:pt x="6518272" y="2733062"/>
                  <a:pt x="6502886" y="2748654"/>
                  <a:pt x="6502886" y="2767883"/>
                </a:cubicBezTo>
                <a:cubicBezTo>
                  <a:pt x="6502886" y="2787111"/>
                  <a:pt x="6518272" y="2802703"/>
                  <a:pt x="6537239" y="2802703"/>
                </a:cubicBezTo>
                <a:cubicBezTo>
                  <a:pt x="6556206" y="2802703"/>
                  <a:pt x="6571579" y="2787111"/>
                  <a:pt x="6571579" y="2767883"/>
                </a:cubicBezTo>
                <a:cubicBezTo>
                  <a:pt x="6571579" y="2748654"/>
                  <a:pt x="6556206" y="2733062"/>
                  <a:pt x="6537239" y="2733062"/>
                </a:cubicBezTo>
                <a:close/>
                <a:moveTo>
                  <a:pt x="6620980" y="2733062"/>
                </a:moveTo>
                <a:cubicBezTo>
                  <a:pt x="6602013" y="2733062"/>
                  <a:pt x="6586627" y="2748654"/>
                  <a:pt x="6586627" y="2767883"/>
                </a:cubicBezTo>
                <a:cubicBezTo>
                  <a:pt x="6586627" y="2787111"/>
                  <a:pt x="6602013" y="2802703"/>
                  <a:pt x="6620980" y="2802703"/>
                </a:cubicBezTo>
                <a:cubicBezTo>
                  <a:pt x="6639947" y="2802703"/>
                  <a:pt x="6655320" y="2787111"/>
                  <a:pt x="6655320" y="2767883"/>
                </a:cubicBezTo>
                <a:cubicBezTo>
                  <a:pt x="6655320" y="2748654"/>
                  <a:pt x="6639947" y="2733062"/>
                  <a:pt x="6620980" y="2733062"/>
                </a:cubicBezTo>
                <a:close/>
                <a:moveTo>
                  <a:pt x="6872206" y="2733062"/>
                </a:moveTo>
                <a:cubicBezTo>
                  <a:pt x="6853239" y="2733062"/>
                  <a:pt x="6837853" y="2748654"/>
                  <a:pt x="6837853" y="2767883"/>
                </a:cubicBezTo>
                <a:cubicBezTo>
                  <a:pt x="6837853" y="2787111"/>
                  <a:pt x="6853239" y="2802703"/>
                  <a:pt x="6872206" y="2802703"/>
                </a:cubicBezTo>
                <a:cubicBezTo>
                  <a:pt x="6891173" y="2802703"/>
                  <a:pt x="6906546" y="2787111"/>
                  <a:pt x="6906546" y="2767883"/>
                </a:cubicBezTo>
                <a:cubicBezTo>
                  <a:pt x="6906546" y="2748654"/>
                  <a:pt x="6891173" y="2733062"/>
                  <a:pt x="6872206" y="2733062"/>
                </a:cubicBezTo>
                <a:close/>
                <a:moveTo>
                  <a:pt x="6955947" y="2733062"/>
                </a:moveTo>
                <a:cubicBezTo>
                  <a:pt x="6936980" y="2733062"/>
                  <a:pt x="6921594" y="2748654"/>
                  <a:pt x="6921594" y="2767883"/>
                </a:cubicBezTo>
                <a:cubicBezTo>
                  <a:pt x="6921594" y="2787111"/>
                  <a:pt x="6936980" y="2802703"/>
                  <a:pt x="6955947" y="2802703"/>
                </a:cubicBezTo>
                <a:cubicBezTo>
                  <a:pt x="6974914" y="2802703"/>
                  <a:pt x="6990287" y="2787111"/>
                  <a:pt x="6990287" y="2767883"/>
                </a:cubicBezTo>
                <a:cubicBezTo>
                  <a:pt x="6990287" y="2748654"/>
                  <a:pt x="6974914" y="2733062"/>
                  <a:pt x="6955947" y="2733062"/>
                </a:cubicBezTo>
                <a:close/>
                <a:moveTo>
                  <a:pt x="7039688" y="2733062"/>
                </a:moveTo>
                <a:cubicBezTo>
                  <a:pt x="7020721" y="2733062"/>
                  <a:pt x="7005335" y="2748654"/>
                  <a:pt x="7005335" y="2767883"/>
                </a:cubicBezTo>
                <a:cubicBezTo>
                  <a:pt x="7005335" y="2787111"/>
                  <a:pt x="7020721" y="2802703"/>
                  <a:pt x="7039688" y="2802703"/>
                </a:cubicBezTo>
                <a:cubicBezTo>
                  <a:pt x="7058655" y="2802703"/>
                  <a:pt x="7074029" y="2787111"/>
                  <a:pt x="7074029" y="2767883"/>
                </a:cubicBezTo>
                <a:cubicBezTo>
                  <a:pt x="7074029" y="2748654"/>
                  <a:pt x="7058655" y="2733062"/>
                  <a:pt x="7039688" y="2733062"/>
                </a:cubicBezTo>
                <a:close/>
                <a:moveTo>
                  <a:pt x="7123456" y="2733062"/>
                </a:moveTo>
                <a:cubicBezTo>
                  <a:pt x="7104489" y="2733062"/>
                  <a:pt x="7089103" y="2748654"/>
                  <a:pt x="7089103" y="2767883"/>
                </a:cubicBezTo>
                <a:cubicBezTo>
                  <a:pt x="7089103" y="2787111"/>
                  <a:pt x="7104489" y="2802703"/>
                  <a:pt x="7123456" y="2802703"/>
                </a:cubicBezTo>
                <a:cubicBezTo>
                  <a:pt x="7142423" y="2802703"/>
                  <a:pt x="7157796" y="2787111"/>
                  <a:pt x="7157796" y="2767883"/>
                </a:cubicBezTo>
                <a:cubicBezTo>
                  <a:pt x="7157796" y="2748654"/>
                  <a:pt x="7142423" y="2733062"/>
                  <a:pt x="7123456" y="2733062"/>
                </a:cubicBezTo>
                <a:close/>
                <a:moveTo>
                  <a:pt x="7374681" y="2733062"/>
                </a:moveTo>
                <a:cubicBezTo>
                  <a:pt x="7355714" y="2733062"/>
                  <a:pt x="7340328" y="2748654"/>
                  <a:pt x="7340328" y="2767883"/>
                </a:cubicBezTo>
                <a:cubicBezTo>
                  <a:pt x="7340328" y="2787111"/>
                  <a:pt x="7355714" y="2802703"/>
                  <a:pt x="7374681" y="2802703"/>
                </a:cubicBezTo>
                <a:cubicBezTo>
                  <a:pt x="7393648" y="2802703"/>
                  <a:pt x="7409022" y="2787111"/>
                  <a:pt x="7409022" y="2767883"/>
                </a:cubicBezTo>
                <a:cubicBezTo>
                  <a:pt x="7409022" y="2748654"/>
                  <a:pt x="7393648" y="2733062"/>
                  <a:pt x="7374681" y="2733062"/>
                </a:cubicBezTo>
                <a:close/>
                <a:moveTo>
                  <a:pt x="7458423" y="2733062"/>
                </a:moveTo>
                <a:cubicBezTo>
                  <a:pt x="7439456" y="2733062"/>
                  <a:pt x="7424070" y="2748654"/>
                  <a:pt x="7424070" y="2767883"/>
                </a:cubicBezTo>
                <a:cubicBezTo>
                  <a:pt x="7424070" y="2787111"/>
                  <a:pt x="7439456" y="2802703"/>
                  <a:pt x="7458423" y="2802703"/>
                </a:cubicBezTo>
                <a:cubicBezTo>
                  <a:pt x="7477390" y="2802703"/>
                  <a:pt x="7492763" y="2787111"/>
                  <a:pt x="7492763" y="2767883"/>
                </a:cubicBezTo>
                <a:cubicBezTo>
                  <a:pt x="7492763" y="2748654"/>
                  <a:pt x="7477390" y="2733062"/>
                  <a:pt x="7458423" y="2733062"/>
                </a:cubicBezTo>
                <a:close/>
                <a:moveTo>
                  <a:pt x="7542164" y="2733062"/>
                </a:moveTo>
                <a:cubicBezTo>
                  <a:pt x="7523197" y="2733062"/>
                  <a:pt x="7507811" y="2748654"/>
                  <a:pt x="7507811" y="2767883"/>
                </a:cubicBezTo>
                <a:cubicBezTo>
                  <a:pt x="7507811" y="2787111"/>
                  <a:pt x="7523197" y="2802703"/>
                  <a:pt x="7542164" y="2802703"/>
                </a:cubicBezTo>
                <a:cubicBezTo>
                  <a:pt x="7561131" y="2802703"/>
                  <a:pt x="7576504" y="2787111"/>
                  <a:pt x="7576504" y="2767883"/>
                </a:cubicBezTo>
                <a:cubicBezTo>
                  <a:pt x="7576504" y="2748654"/>
                  <a:pt x="7561131" y="2733062"/>
                  <a:pt x="7542164" y="2733062"/>
                </a:cubicBezTo>
                <a:close/>
                <a:moveTo>
                  <a:pt x="7709647" y="2733062"/>
                </a:moveTo>
                <a:cubicBezTo>
                  <a:pt x="7690680" y="2733062"/>
                  <a:pt x="7675294" y="2748654"/>
                  <a:pt x="7675294" y="2767883"/>
                </a:cubicBezTo>
                <a:cubicBezTo>
                  <a:pt x="7675294" y="2787111"/>
                  <a:pt x="7690680" y="2802703"/>
                  <a:pt x="7709647" y="2802703"/>
                </a:cubicBezTo>
                <a:cubicBezTo>
                  <a:pt x="7728614" y="2802703"/>
                  <a:pt x="7743988" y="2787111"/>
                  <a:pt x="7743988" y="2767883"/>
                </a:cubicBezTo>
                <a:cubicBezTo>
                  <a:pt x="7743988" y="2748654"/>
                  <a:pt x="7728614" y="2733062"/>
                  <a:pt x="7709647" y="2733062"/>
                </a:cubicBezTo>
                <a:close/>
                <a:moveTo>
                  <a:pt x="7793389" y="2733062"/>
                </a:moveTo>
                <a:cubicBezTo>
                  <a:pt x="7774422" y="2733062"/>
                  <a:pt x="7759036" y="2748654"/>
                  <a:pt x="7759036" y="2767883"/>
                </a:cubicBezTo>
                <a:cubicBezTo>
                  <a:pt x="7759036" y="2787111"/>
                  <a:pt x="7774422" y="2802703"/>
                  <a:pt x="7793389" y="2802703"/>
                </a:cubicBezTo>
                <a:cubicBezTo>
                  <a:pt x="7812356" y="2802703"/>
                  <a:pt x="7827729" y="2787111"/>
                  <a:pt x="7827729" y="2767883"/>
                </a:cubicBezTo>
                <a:cubicBezTo>
                  <a:pt x="7827729" y="2748654"/>
                  <a:pt x="7812356" y="2733062"/>
                  <a:pt x="7793389" y="2733062"/>
                </a:cubicBezTo>
                <a:close/>
                <a:moveTo>
                  <a:pt x="7877131" y="2733062"/>
                </a:moveTo>
                <a:cubicBezTo>
                  <a:pt x="7858164" y="2733062"/>
                  <a:pt x="7842778" y="2748654"/>
                  <a:pt x="7842778" y="2767883"/>
                </a:cubicBezTo>
                <a:cubicBezTo>
                  <a:pt x="7842778" y="2787111"/>
                  <a:pt x="7858164" y="2802703"/>
                  <a:pt x="7877131" y="2802703"/>
                </a:cubicBezTo>
                <a:cubicBezTo>
                  <a:pt x="7896098" y="2802703"/>
                  <a:pt x="7911471" y="2787111"/>
                  <a:pt x="7911471" y="2767883"/>
                </a:cubicBezTo>
                <a:cubicBezTo>
                  <a:pt x="7911471" y="2748654"/>
                  <a:pt x="7896098" y="2733062"/>
                  <a:pt x="7877131" y="2733062"/>
                </a:cubicBezTo>
                <a:close/>
                <a:moveTo>
                  <a:pt x="7960872" y="2733062"/>
                </a:moveTo>
                <a:cubicBezTo>
                  <a:pt x="7941905" y="2733062"/>
                  <a:pt x="7926519" y="2748654"/>
                  <a:pt x="7926519" y="2767883"/>
                </a:cubicBezTo>
                <a:cubicBezTo>
                  <a:pt x="7926519" y="2787111"/>
                  <a:pt x="7941905" y="2802703"/>
                  <a:pt x="7960872" y="2802703"/>
                </a:cubicBezTo>
                <a:cubicBezTo>
                  <a:pt x="7979839" y="2802703"/>
                  <a:pt x="7995212" y="2787111"/>
                  <a:pt x="7995212" y="2767883"/>
                </a:cubicBezTo>
                <a:cubicBezTo>
                  <a:pt x="7995212" y="2748654"/>
                  <a:pt x="7979839" y="2733062"/>
                  <a:pt x="7960872" y="2733062"/>
                </a:cubicBezTo>
                <a:close/>
                <a:moveTo>
                  <a:pt x="8044614" y="2733062"/>
                </a:moveTo>
                <a:cubicBezTo>
                  <a:pt x="8025647" y="2733062"/>
                  <a:pt x="8010261" y="2748654"/>
                  <a:pt x="8010261" y="2767883"/>
                </a:cubicBezTo>
                <a:cubicBezTo>
                  <a:pt x="8010261" y="2787111"/>
                  <a:pt x="8025647" y="2802703"/>
                  <a:pt x="8044614" y="2802703"/>
                </a:cubicBezTo>
                <a:cubicBezTo>
                  <a:pt x="8063581" y="2802703"/>
                  <a:pt x="8078955" y="2787111"/>
                  <a:pt x="8078955" y="2767883"/>
                </a:cubicBezTo>
                <a:cubicBezTo>
                  <a:pt x="8078955" y="2748654"/>
                  <a:pt x="8063581" y="2733062"/>
                  <a:pt x="8044614" y="2733062"/>
                </a:cubicBezTo>
                <a:close/>
                <a:moveTo>
                  <a:pt x="8128356" y="2733062"/>
                </a:moveTo>
                <a:cubicBezTo>
                  <a:pt x="8109389" y="2733062"/>
                  <a:pt x="8094003" y="2748654"/>
                  <a:pt x="8094003" y="2767883"/>
                </a:cubicBezTo>
                <a:cubicBezTo>
                  <a:pt x="8094003" y="2787111"/>
                  <a:pt x="8109389" y="2802703"/>
                  <a:pt x="8128356" y="2802703"/>
                </a:cubicBezTo>
                <a:cubicBezTo>
                  <a:pt x="8147323" y="2802703"/>
                  <a:pt x="8162696" y="2787111"/>
                  <a:pt x="8162696" y="2767883"/>
                </a:cubicBezTo>
                <a:cubicBezTo>
                  <a:pt x="8162696" y="2748654"/>
                  <a:pt x="8147323" y="2733062"/>
                  <a:pt x="8128356" y="2733062"/>
                </a:cubicBezTo>
                <a:close/>
                <a:moveTo>
                  <a:pt x="8212097" y="2733062"/>
                </a:moveTo>
                <a:cubicBezTo>
                  <a:pt x="8193130" y="2733062"/>
                  <a:pt x="8177744" y="2748654"/>
                  <a:pt x="8177744" y="2767883"/>
                </a:cubicBezTo>
                <a:cubicBezTo>
                  <a:pt x="8177744" y="2787111"/>
                  <a:pt x="8193130" y="2802703"/>
                  <a:pt x="8212097" y="2802703"/>
                </a:cubicBezTo>
                <a:cubicBezTo>
                  <a:pt x="8231064" y="2802703"/>
                  <a:pt x="8246437" y="2787111"/>
                  <a:pt x="8246437" y="2767883"/>
                </a:cubicBezTo>
                <a:cubicBezTo>
                  <a:pt x="8246437" y="2748654"/>
                  <a:pt x="8231064" y="2733062"/>
                  <a:pt x="8212097" y="2733062"/>
                </a:cubicBezTo>
                <a:close/>
                <a:moveTo>
                  <a:pt x="8295839" y="2733062"/>
                </a:moveTo>
                <a:cubicBezTo>
                  <a:pt x="8276872" y="2733062"/>
                  <a:pt x="8261486" y="2748654"/>
                  <a:pt x="8261486" y="2767883"/>
                </a:cubicBezTo>
                <a:cubicBezTo>
                  <a:pt x="8261486" y="2787111"/>
                  <a:pt x="8276872" y="2802703"/>
                  <a:pt x="8295839" y="2802703"/>
                </a:cubicBezTo>
                <a:cubicBezTo>
                  <a:pt x="8314806" y="2802703"/>
                  <a:pt x="8330179" y="2787111"/>
                  <a:pt x="8330179" y="2767883"/>
                </a:cubicBezTo>
                <a:cubicBezTo>
                  <a:pt x="8330179" y="2748654"/>
                  <a:pt x="8314806" y="2733062"/>
                  <a:pt x="8295839" y="2733062"/>
                </a:cubicBezTo>
                <a:close/>
                <a:moveTo>
                  <a:pt x="8379580" y="2733062"/>
                </a:moveTo>
                <a:cubicBezTo>
                  <a:pt x="8360613" y="2733062"/>
                  <a:pt x="8345227" y="2748654"/>
                  <a:pt x="8345227" y="2767883"/>
                </a:cubicBezTo>
                <a:cubicBezTo>
                  <a:pt x="8345227" y="2787111"/>
                  <a:pt x="8360613" y="2802703"/>
                  <a:pt x="8379580" y="2802703"/>
                </a:cubicBezTo>
                <a:cubicBezTo>
                  <a:pt x="8398547" y="2802703"/>
                  <a:pt x="8413921" y="2787111"/>
                  <a:pt x="8413921" y="2767883"/>
                </a:cubicBezTo>
                <a:cubicBezTo>
                  <a:pt x="8413921" y="2748654"/>
                  <a:pt x="8398547" y="2733062"/>
                  <a:pt x="8379580" y="2733062"/>
                </a:cubicBezTo>
                <a:close/>
                <a:moveTo>
                  <a:pt x="8463323" y="2733062"/>
                </a:moveTo>
                <a:cubicBezTo>
                  <a:pt x="8444356" y="2733062"/>
                  <a:pt x="8428970" y="2748654"/>
                  <a:pt x="8428970" y="2767883"/>
                </a:cubicBezTo>
                <a:cubicBezTo>
                  <a:pt x="8428970" y="2787111"/>
                  <a:pt x="8444356" y="2802703"/>
                  <a:pt x="8463323" y="2802703"/>
                </a:cubicBezTo>
                <a:cubicBezTo>
                  <a:pt x="8482290" y="2802703"/>
                  <a:pt x="8497663" y="2787111"/>
                  <a:pt x="8497663" y="2767883"/>
                </a:cubicBezTo>
                <a:cubicBezTo>
                  <a:pt x="8497663" y="2748654"/>
                  <a:pt x="8482290" y="2733062"/>
                  <a:pt x="8463323" y="2733062"/>
                </a:cubicBezTo>
                <a:close/>
                <a:moveTo>
                  <a:pt x="8547064" y="2733062"/>
                </a:moveTo>
                <a:cubicBezTo>
                  <a:pt x="8528097" y="2733062"/>
                  <a:pt x="8512711" y="2748654"/>
                  <a:pt x="8512711" y="2767883"/>
                </a:cubicBezTo>
                <a:cubicBezTo>
                  <a:pt x="8512711" y="2787111"/>
                  <a:pt x="8528097" y="2802703"/>
                  <a:pt x="8547064" y="2802703"/>
                </a:cubicBezTo>
                <a:cubicBezTo>
                  <a:pt x="8566031" y="2802703"/>
                  <a:pt x="8581404" y="2787111"/>
                  <a:pt x="8581404" y="2767883"/>
                </a:cubicBezTo>
                <a:cubicBezTo>
                  <a:pt x="8581404" y="2748654"/>
                  <a:pt x="8566031" y="2733062"/>
                  <a:pt x="8547064" y="2733062"/>
                </a:cubicBezTo>
                <a:close/>
                <a:moveTo>
                  <a:pt x="8630805" y="2733062"/>
                </a:moveTo>
                <a:cubicBezTo>
                  <a:pt x="8611838" y="2733062"/>
                  <a:pt x="8596452" y="2748654"/>
                  <a:pt x="8596452" y="2767883"/>
                </a:cubicBezTo>
                <a:cubicBezTo>
                  <a:pt x="8596452" y="2787111"/>
                  <a:pt x="8611838" y="2802703"/>
                  <a:pt x="8630805" y="2802703"/>
                </a:cubicBezTo>
                <a:cubicBezTo>
                  <a:pt x="8649772" y="2802703"/>
                  <a:pt x="8665145" y="2787111"/>
                  <a:pt x="8665145" y="2767883"/>
                </a:cubicBezTo>
                <a:cubicBezTo>
                  <a:pt x="8665145" y="2748654"/>
                  <a:pt x="8649772" y="2733062"/>
                  <a:pt x="8630805" y="2733062"/>
                </a:cubicBezTo>
                <a:close/>
                <a:moveTo>
                  <a:pt x="8714547" y="2733062"/>
                </a:moveTo>
                <a:cubicBezTo>
                  <a:pt x="8695580" y="2733062"/>
                  <a:pt x="8680194" y="2748654"/>
                  <a:pt x="8680194" y="2767883"/>
                </a:cubicBezTo>
                <a:cubicBezTo>
                  <a:pt x="8680194" y="2787111"/>
                  <a:pt x="8695580" y="2802703"/>
                  <a:pt x="8714547" y="2802703"/>
                </a:cubicBezTo>
                <a:cubicBezTo>
                  <a:pt x="8733514" y="2802703"/>
                  <a:pt x="8748888" y="2787111"/>
                  <a:pt x="8748888" y="2767883"/>
                </a:cubicBezTo>
                <a:cubicBezTo>
                  <a:pt x="8748888" y="2748654"/>
                  <a:pt x="8733514" y="2733062"/>
                  <a:pt x="8714547" y="2733062"/>
                </a:cubicBezTo>
                <a:close/>
                <a:moveTo>
                  <a:pt x="8798289" y="2733062"/>
                </a:moveTo>
                <a:cubicBezTo>
                  <a:pt x="8779322" y="2733062"/>
                  <a:pt x="8763936" y="2748654"/>
                  <a:pt x="8763936" y="2767883"/>
                </a:cubicBezTo>
                <a:cubicBezTo>
                  <a:pt x="8763936" y="2787111"/>
                  <a:pt x="8779322" y="2802703"/>
                  <a:pt x="8798289" y="2802703"/>
                </a:cubicBezTo>
                <a:cubicBezTo>
                  <a:pt x="8817256" y="2802703"/>
                  <a:pt x="8832629" y="2787111"/>
                  <a:pt x="8832629" y="2767883"/>
                </a:cubicBezTo>
                <a:cubicBezTo>
                  <a:pt x="8832629" y="2748654"/>
                  <a:pt x="8817256" y="2733062"/>
                  <a:pt x="8798289" y="2733062"/>
                </a:cubicBezTo>
                <a:close/>
                <a:moveTo>
                  <a:pt x="8882030" y="2733062"/>
                </a:moveTo>
                <a:cubicBezTo>
                  <a:pt x="8863063" y="2733062"/>
                  <a:pt x="8847677" y="2748654"/>
                  <a:pt x="8847677" y="2767883"/>
                </a:cubicBezTo>
                <a:cubicBezTo>
                  <a:pt x="8847677" y="2787111"/>
                  <a:pt x="8863063" y="2802703"/>
                  <a:pt x="8882030" y="2802703"/>
                </a:cubicBezTo>
                <a:cubicBezTo>
                  <a:pt x="8900997" y="2802703"/>
                  <a:pt x="8916370" y="2787111"/>
                  <a:pt x="8916370" y="2767883"/>
                </a:cubicBezTo>
                <a:cubicBezTo>
                  <a:pt x="8916370" y="2748654"/>
                  <a:pt x="8900997" y="2733062"/>
                  <a:pt x="8882030" y="2733062"/>
                </a:cubicBezTo>
                <a:close/>
                <a:moveTo>
                  <a:pt x="8965772" y="2733062"/>
                </a:moveTo>
                <a:cubicBezTo>
                  <a:pt x="8946805" y="2733062"/>
                  <a:pt x="8931419" y="2748654"/>
                  <a:pt x="8931419" y="2767883"/>
                </a:cubicBezTo>
                <a:cubicBezTo>
                  <a:pt x="8931419" y="2787111"/>
                  <a:pt x="8946805" y="2802703"/>
                  <a:pt x="8965772" y="2802703"/>
                </a:cubicBezTo>
                <a:cubicBezTo>
                  <a:pt x="8984739" y="2802703"/>
                  <a:pt x="9000112" y="2787111"/>
                  <a:pt x="9000112" y="2767883"/>
                </a:cubicBezTo>
                <a:cubicBezTo>
                  <a:pt x="9000112" y="2748654"/>
                  <a:pt x="8984739" y="2733062"/>
                  <a:pt x="8965772" y="2733062"/>
                </a:cubicBezTo>
                <a:close/>
                <a:moveTo>
                  <a:pt x="9049513" y="2733062"/>
                </a:moveTo>
                <a:cubicBezTo>
                  <a:pt x="9030546" y="2733062"/>
                  <a:pt x="9015160" y="2748654"/>
                  <a:pt x="9015160" y="2767883"/>
                </a:cubicBezTo>
                <a:cubicBezTo>
                  <a:pt x="9015160" y="2787111"/>
                  <a:pt x="9030546" y="2802703"/>
                  <a:pt x="9049513" y="2802703"/>
                </a:cubicBezTo>
                <a:cubicBezTo>
                  <a:pt x="9068480" y="2802703"/>
                  <a:pt x="9083854" y="2787111"/>
                  <a:pt x="9083854" y="2767883"/>
                </a:cubicBezTo>
                <a:cubicBezTo>
                  <a:pt x="9083854" y="2748654"/>
                  <a:pt x="9068480" y="2733062"/>
                  <a:pt x="9049513" y="2733062"/>
                </a:cubicBezTo>
                <a:close/>
                <a:moveTo>
                  <a:pt x="9133256" y="2733062"/>
                </a:moveTo>
                <a:cubicBezTo>
                  <a:pt x="9114289" y="2733062"/>
                  <a:pt x="9098903" y="2748654"/>
                  <a:pt x="9098903" y="2767883"/>
                </a:cubicBezTo>
                <a:cubicBezTo>
                  <a:pt x="9098903" y="2787111"/>
                  <a:pt x="9114289" y="2802703"/>
                  <a:pt x="9133256" y="2802703"/>
                </a:cubicBezTo>
                <a:cubicBezTo>
                  <a:pt x="9152223" y="2802703"/>
                  <a:pt x="9167596" y="2787111"/>
                  <a:pt x="9167596" y="2767883"/>
                </a:cubicBezTo>
                <a:cubicBezTo>
                  <a:pt x="9167596" y="2748654"/>
                  <a:pt x="9152223" y="2733062"/>
                  <a:pt x="9133256" y="2733062"/>
                </a:cubicBezTo>
                <a:close/>
                <a:moveTo>
                  <a:pt x="9216997" y="2733062"/>
                </a:moveTo>
                <a:cubicBezTo>
                  <a:pt x="9198030" y="2733062"/>
                  <a:pt x="9182644" y="2748654"/>
                  <a:pt x="9182644" y="2767883"/>
                </a:cubicBezTo>
                <a:cubicBezTo>
                  <a:pt x="9182644" y="2787111"/>
                  <a:pt x="9198030" y="2802703"/>
                  <a:pt x="9216997" y="2802703"/>
                </a:cubicBezTo>
                <a:cubicBezTo>
                  <a:pt x="9235964" y="2802703"/>
                  <a:pt x="9251337" y="2787111"/>
                  <a:pt x="9251337" y="2767883"/>
                </a:cubicBezTo>
                <a:cubicBezTo>
                  <a:pt x="9251337" y="2748654"/>
                  <a:pt x="9235964" y="2733062"/>
                  <a:pt x="9216997" y="2733062"/>
                </a:cubicBezTo>
                <a:close/>
                <a:moveTo>
                  <a:pt x="9300738" y="2733062"/>
                </a:moveTo>
                <a:cubicBezTo>
                  <a:pt x="9281771" y="2733062"/>
                  <a:pt x="9266385" y="2748654"/>
                  <a:pt x="9266385" y="2767883"/>
                </a:cubicBezTo>
                <a:cubicBezTo>
                  <a:pt x="9266385" y="2787111"/>
                  <a:pt x="9281771" y="2802703"/>
                  <a:pt x="9300738" y="2802703"/>
                </a:cubicBezTo>
                <a:cubicBezTo>
                  <a:pt x="9319705" y="2802703"/>
                  <a:pt x="9335078" y="2787111"/>
                  <a:pt x="9335078" y="2767883"/>
                </a:cubicBezTo>
                <a:cubicBezTo>
                  <a:pt x="9335078" y="2748654"/>
                  <a:pt x="9319705" y="2733062"/>
                  <a:pt x="9300738" y="2733062"/>
                </a:cubicBezTo>
                <a:close/>
                <a:moveTo>
                  <a:pt x="9384480" y="2733062"/>
                </a:moveTo>
                <a:cubicBezTo>
                  <a:pt x="9365513" y="2733062"/>
                  <a:pt x="9350127" y="2748654"/>
                  <a:pt x="9350127" y="2767883"/>
                </a:cubicBezTo>
                <a:cubicBezTo>
                  <a:pt x="9350127" y="2787111"/>
                  <a:pt x="9365513" y="2802703"/>
                  <a:pt x="9384480" y="2802703"/>
                </a:cubicBezTo>
                <a:cubicBezTo>
                  <a:pt x="9403447" y="2802703"/>
                  <a:pt x="9418821" y="2787111"/>
                  <a:pt x="9418821" y="2767883"/>
                </a:cubicBezTo>
                <a:cubicBezTo>
                  <a:pt x="9418821" y="2748654"/>
                  <a:pt x="9403447" y="2733062"/>
                  <a:pt x="9384480" y="2733062"/>
                </a:cubicBezTo>
                <a:close/>
                <a:moveTo>
                  <a:pt x="9468222" y="2733062"/>
                </a:moveTo>
                <a:cubicBezTo>
                  <a:pt x="9449255" y="2733062"/>
                  <a:pt x="9433869" y="2748654"/>
                  <a:pt x="9433869" y="2767883"/>
                </a:cubicBezTo>
                <a:cubicBezTo>
                  <a:pt x="9433869" y="2787111"/>
                  <a:pt x="9449255" y="2802703"/>
                  <a:pt x="9468222" y="2802703"/>
                </a:cubicBezTo>
                <a:cubicBezTo>
                  <a:pt x="9487189" y="2802703"/>
                  <a:pt x="9502562" y="2787111"/>
                  <a:pt x="9502562" y="2767883"/>
                </a:cubicBezTo>
                <a:cubicBezTo>
                  <a:pt x="9502562" y="2748654"/>
                  <a:pt x="9487189" y="2733062"/>
                  <a:pt x="9468222" y="2733062"/>
                </a:cubicBezTo>
                <a:close/>
                <a:moveTo>
                  <a:pt x="9551963" y="2733062"/>
                </a:moveTo>
                <a:cubicBezTo>
                  <a:pt x="9532996" y="2733062"/>
                  <a:pt x="9517610" y="2748654"/>
                  <a:pt x="9517610" y="2767883"/>
                </a:cubicBezTo>
                <a:cubicBezTo>
                  <a:pt x="9517610" y="2787111"/>
                  <a:pt x="9532996" y="2802703"/>
                  <a:pt x="9551963" y="2802703"/>
                </a:cubicBezTo>
                <a:cubicBezTo>
                  <a:pt x="9570930" y="2802703"/>
                  <a:pt x="9586303" y="2787111"/>
                  <a:pt x="9586303" y="2767883"/>
                </a:cubicBezTo>
                <a:cubicBezTo>
                  <a:pt x="9586303" y="2748654"/>
                  <a:pt x="9570930" y="2733062"/>
                  <a:pt x="9551963" y="2733062"/>
                </a:cubicBezTo>
                <a:close/>
                <a:moveTo>
                  <a:pt x="9635705" y="2733062"/>
                </a:moveTo>
                <a:cubicBezTo>
                  <a:pt x="9616738" y="2733062"/>
                  <a:pt x="9601352" y="2748654"/>
                  <a:pt x="9601352" y="2767883"/>
                </a:cubicBezTo>
                <a:cubicBezTo>
                  <a:pt x="9601352" y="2787111"/>
                  <a:pt x="9616738" y="2802703"/>
                  <a:pt x="9635705" y="2802703"/>
                </a:cubicBezTo>
                <a:cubicBezTo>
                  <a:pt x="9654672" y="2802703"/>
                  <a:pt x="9670045" y="2787111"/>
                  <a:pt x="9670045" y="2767883"/>
                </a:cubicBezTo>
                <a:cubicBezTo>
                  <a:pt x="9670045" y="2748654"/>
                  <a:pt x="9654672" y="2733062"/>
                  <a:pt x="9635705" y="2733062"/>
                </a:cubicBezTo>
                <a:close/>
                <a:moveTo>
                  <a:pt x="10054413" y="2733062"/>
                </a:moveTo>
                <a:cubicBezTo>
                  <a:pt x="10035446" y="2733062"/>
                  <a:pt x="10020060" y="2748654"/>
                  <a:pt x="10020060" y="2767883"/>
                </a:cubicBezTo>
                <a:cubicBezTo>
                  <a:pt x="10020060" y="2787111"/>
                  <a:pt x="10035446" y="2802703"/>
                  <a:pt x="10054413" y="2802703"/>
                </a:cubicBezTo>
                <a:cubicBezTo>
                  <a:pt x="10073380" y="2802703"/>
                  <a:pt x="10088754" y="2787111"/>
                  <a:pt x="10088754" y="2767883"/>
                </a:cubicBezTo>
                <a:cubicBezTo>
                  <a:pt x="10088754" y="2748654"/>
                  <a:pt x="10073380" y="2733062"/>
                  <a:pt x="10054413" y="2733062"/>
                </a:cubicBezTo>
                <a:close/>
                <a:moveTo>
                  <a:pt x="2182674" y="2817926"/>
                </a:moveTo>
                <a:cubicBezTo>
                  <a:pt x="2163707" y="2817926"/>
                  <a:pt x="2148328" y="2833518"/>
                  <a:pt x="2148328" y="2852746"/>
                </a:cubicBezTo>
                <a:cubicBezTo>
                  <a:pt x="2148328" y="2871975"/>
                  <a:pt x="2163707" y="2887567"/>
                  <a:pt x="2182674" y="2887567"/>
                </a:cubicBezTo>
                <a:cubicBezTo>
                  <a:pt x="2201641" y="2887567"/>
                  <a:pt x="2217021" y="2871975"/>
                  <a:pt x="2217021" y="2852746"/>
                </a:cubicBezTo>
                <a:cubicBezTo>
                  <a:pt x="2217021" y="2833518"/>
                  <a:pt x="2201641" y="2817926"/>
                  <a:pt x="2182674" y="2817926"/>
                </a:cubicBezTo>
                <a:close/>
                <a:moveTo>
                  <a:pt x="2266416" y="2817926"/>
                </a:moveTo>
                <a:cubicBezTo>
                  <a:pt x="2247449" y="2817926"/>
                  <a:pt x="2232069" y="2833518"/>
                  <a:pt x="2232069" y="2852746"/>
                </a:cubicBezTo>
                <a:cubicBezTo>
                  <a:pt x="2232069" y="2871975"/>
                  <a:pt x="2247449" y="2887567"/>
                  <a:pt x="2266416" y="2887567"/>
                </a:cubicBezTo>
                <a:cubicBezTo>
                  <a:pt x="2285383" y="2887567"/>
                  <a:pt x="2300762" y="2871975"/>
                  <a:pt x="2300762" y="2852746"/>
                </a:cubicBezTo>
                <a:cubicBezTo>
                  <a:pt x="2300762" y="2833518"/>
                  <a:pt x="2285383" y="2817926"/>
                  <a:pt x="2266416" y="2817926"/>
                </a:cubicBezTo>
                <a:close/>
                <a:moveTo>
                  <a:pt x="2350151" y="2817926"/>
                </a:moveTo>
                <a:cubicBezTo>
                  <a:pt x="2331184" y="2817926"/>
                  <a:pt x="2315804" y="2833518"/>
                  <a:pt x="2315804" y="2852746"/>
                </a:cubicBezTo>
                <a:cubicBezTo>
                  <a:pt x="2315804" y="2871975"/>
                  <a:pt x="2331184" y="2887567"/>
                  <a:pt x="2350151" y="2887567"/>
                </a:cubicBezTo>
                <a:cubicBezTo>
                  <a:pt x="2369118" y="2887567"/>
                  <a:pt x="2384498" y="2871975"/>
                  <a:pt x="2384498" y="2852746"/>
                </a:cubicBezTo>
                <a:cubicBezTo>
                  <a:pt x="2384498" y="2833518"/>
                  <a:pt x="2369118" y="2817926"/>
                  <a:pt x="2350151" y="2817926"/>
                </a:cubicBezTo>
                <a:close/>
                <a:moveTo>
                  <a:pt x="2433893" y="2817926"/>
                </a:moveTo>
                <a:cubicBezTo>
                  <a:pt x="2414926" y="2817926"/>
                  <a:pt x="2399546" y="2833518"/>
                  <a:pt x="2399546" y="2852746"/>
                </a:cubicBezTo>
                <a:cubicBezTo>
                  <a:pt x="2399546" y="2871975"/>
                  <a:pt x="2414926" y="2887567"/>
                  <a:pt x="2433893" y="2887567"/>
                </a:cubicBezTo>
                <a:cubicBezTo>
                  <a:pt x="2452860" y="2887567"/>
                  <a:pt x="2468240" y="2871975"/>
                  <a:pt x="2468240" y="2852746"/>
                </a:cubicBezTo>
                <a:cubicBezTo>
                  <a:pt x="2468240" y="2833518"/>
                  <a:pt x="2452860" y="2817926"/>
                  <a:pt x="2433893" y="2817926"/>
                </a:cubicBezTo>
                <a:close/>
                <a:moveTo>
                  <a:pt x="2517634" y="2817926"/>
                </a:moveTo>
                <a:cubicBezTo>
                  <a:pt x="2498667" y="2817926"/>
                  <a:pt x="2483288" y="2833518"/>
                  <a:pt x="2483288" y="2852746"/>
                </a:cubicBezTo>
                <a:cubicBezTo>
                  <a:pt x="2483288" y="2871975"/>
                  <a:pt x="2498667" y="2887567"/>
                  <a:pt x="2517634" y="2887567"/>
                </a:cubicBezTo>
                <a:cubicBezTo>
                  <a:pt x="2536601" y="2887567"/>
                  <a:pt x="2551981" y="2871975"/>
                  <a:pt x="2551981" y="2852746"/>
                </a:cubicBezTo>
                <a:cubicBezTo>
                  <a:pt x="2551981" y="2833518"/>
                  <a:pt x="2536601" y="2817926"/>
                  <a:pt x="2517634" y="2817926"/>
                </a:cubicBezTo>
                <a:close/>
                <a:moveTo>
                  <a:pt x="2601376" y="2817926"/>
                </a:moveTo>
                <a:cubicBezTo>
                  <a:pt x="2582409" y="2817926"/>
                  <a:pt x="2567029" y="2833518"/>
                  <a:pt x="2567029" y="2852746"/>
                </a:cubicBezTo>
                <a:cubicBezTo>
                  <a:pt x="2567029" y="2871975"/>
                  <a:pt x="2582409" y="2887567"/>
                  <a:pt x="2601376" y="2887567"/>
                </a:cubicBezTo>
                <a:cubicBezTo>
                  <a:pt x="2620343" y="2887567"/>
                  <a:pt x="2635722" y="2871975"/>
                  <a:pt x="2635722" y="2852746"/>
                </a:cubicBezTo>
                <a:cubicBezTo>
                  <a:pt x="2635722" y="2833518"/>
                  <a:pt x="2620343" y="2817926"/>
                  <a:pt x="2601376" y="2817926"/>
                </a:cubicBezTo>
                <a:close/>
                <a:moveTo>
                  <a:pt x="2685118" y="2817926"/>
                </a:moveTo>
                <a:cubicBezTo>
                  <a:pt x="2666151" y="2817926"/>
                  <a:pt x="2650771" y="2833518"/>
                  <a:pt x="2650771" y="2852746"/>
                </a:cubicBezTo>
                <a:cubicBezTo>
                  <a:pt x="2650771" y="2871975"/>
                  <a:pt x="2666151" y="2887567"/>
                  <a:pt x="2685118" y="2887567"/>
                </a:cubicBezTo>
                <a:cubicBezTo>
                  <a:pt x="2704085" y="2887567"/>
                  <a:pt x="2719465" y="2871975"/>
                  <a:pt x="2719465" y="2852746"/>
                </a:cubicBezTo>
                <a:cubicBezTo>
                  <a:pt x="2719465" y="2833518"/>
                  <a:pt x="2704085" y="2817926"/>
                  <a:pt x="2685118" y="2817926"/>
                </a:cubicBezTo>
                <a:close/>
                <a:moveTo>
                  <a:pt x="2768859" y="2817926"/>
                </a:moveTo>
                <a:cubicBezTo>
                  <a:pt x="2749892" y="2817926"/>
                  <a:pt x="2734512" y="2833518"/>
                  <a:pt x="2734512" y="2852746"/>
                </a:cubicBezTo>
                <a:cubicBezTo>
                  <a:pt x="2734512" y="2871975"/>
                  <a:pt x="2749892" y="2887567"/>
                  <a:pt x="2768859" y="2887567"/>
                </a:cubicBezTo>
                <a:cubicBezTo>
                  <a:pt x="2787826" y="2887567"/>
                  <a:pt x="2803206" y="2871975"/>
                  <a:pt x="2803206" y="2852746"/>
                </a:cubicBezTo>
                <a:cubicBezTo>
                  <a:pt x="2803206" y="2833518"/>
                  <a:pt x="2787826" y="2817926"/>
                  <a:pt x="2768859" y="2817926"/>
                </a:cubicBezTo>
                <a:close/>
                <a:moveTo>
                  <a:pt x="2852600" y="2817926"/>
                </a:moveTo>
                <a:cubicBezTo>
                  <a:pt x="2833633" y="2817926"/>
                  <a:pt x="2818254" y="2833518"/>
                  <a:pt x="2818254" y="2852746"/>
                </a:cubicBezTo>
                <a:cubicBezTo>
                  <a:pt x="2818254" y="2871975"/>
                  <a:pt x="2833633" y="2887567"/>
                  <a:pt x="2852600" y="2887567"/>
                </a:cubicBezTo>
                <a:cubicBezTo>
                  <a:pt x="2871567" y="2887567"/>
                  <a:pt x="2886947" y="2871975"/>
                  <a:pt x="2886947" y="2852746"/>
                </a:cubicBezTo>
                <a:cubicBezTo>
                  <a:pt x="2886947" y="2833518"/>
                  <a:pt x="2871567" y="2817926"/>
                  <a:pt x="2852600" y="2817926"/>
                </a:cubicBezTo>
                <a:close/>
                <a:moveTo>
                  <a:pt x="2936343" y="2817926"/>
                </a:moveTo>
                <a:cubicBezTo>
                  <a:pt x="2917376" y="2817926"/>
                  <a:pt x="2901996" y="2833518"/>
                  <a:pt x="2901996" y="2852746"/>
                </a:cubicBezTo>
                <a:cubicBezTo>
                  <a:pt x="2901996" y="2871975"/>
                  <a:pt x="2917376" y="2887567"/>
                  <a:pt x="2936343" y="2887567"/>
                </a:cubicBezTo>
                <a:cubicBezTo>
                  <a:pt x="2955310" y="2887567"/>
                  <a:pt x="2970689" y="2871975"/>
                  <a:pt x="2970689" y="2852746"/>
                </a:cubicBezTo>
                <a:cubicBezTo>
                  <a:pt x="2970689" y="2833518"/>
                  <a:pt x="2955310" y="2817926"/>
                  <a:pt x="2936343" y="2817926"/>
                </a:cubicBezTo>
                <a:close/>
                <a:moveTo>
                  <a:pt x="3020084" y="2817926"/>
                </a:moveTo>
                <a:cubicBezTo>
                  <a:pt x="3001117" y="2817926"/>
                  <a:pt x="2985737" y="2833518"/>
                  <a:pt x="2985737" y="2852746"/>
                </a:cubicBezTo>
                <a:cubicBezTo>
                  <a:pt x="2985737" y="2871975"/>
                  <a:pt x="3001117" y="2887567"/>
                  <a:pt x="3020084" y="2887567"/>
                </a:cubicBezTo>
                <a:cubicBezTo>
                  <a:pt x="3039051" y="2887567"/>
                  <a:pt x="3054431" y="2871975"/>
                  <a:pt x="3054431" y="2852746"/>
                </a:cubicBezTo>
                <a:cubicBezTo>
                  <a:pt x="3054431" y="2833518"/>
                  <a:pt x="3039051" y="2817926"/>
                  <a:pt x="3020084" y="2817926"/>
                </a:cubicBezTo>
                <a:close/>
                <a:moveTo>
                  <a:pt x="3103826" y="2817926"/>
                </a:moveTo>
                <a:cubicBezTo>
                  <a:pt x="3084859" y="2817926"/>
                  <a:pt x="3069479" y="2833518"/>
                  <a:pt x="3069479" y="2852746"/>
                </a:cubicBezTo>
                <a:cubicBezTo>
                  <a:pt x="3069479" y="2871975"/>
                  <a:pt x="3084859" y="2887567"/>
                  <a:pt x="3103826" y="2887567"/>
                </a:cubicBezTo>
                <a:cubicBezTo>
                  <a:pt x="3122793" y="2887567"/>
                  <a:pt x="3138173" y="2871975"/>
                  <a:pt x="3138173" y="2852746"/>
                </a:cubicBezTo>
                <a:cubicBezTo>
                  <a:pt x="3138173" y="2833518"/>
                  <a:pt x="3122793" y="2817926"/>
                  <a:pt x="3103826" y="2817926"/>
                </a:cubicBezTo>
                <a:close/>
                <a:moveTo>
                  <a:pt x="3187567" y="2817926"/>
                </a:moveTo>
                <a:cubicBezTo>
                  <a:pt x="3168600" y="2817926"/>
                  <a:pt x="3153221" y="2833518"/>
                  <a:pt x="3153221" y="2852746"/>
                </a:cubicBezTo>
                <a:cubicBezTo>
                  <a:pt x="3153221" y="2871975"/>
                  <a:pt x="3168600" y="2887567"/>
                  <a:pt x="3187567" y="2887567"/>
                </a:cubicBezTo>
                <a:cubicBezTo>
                  <a:pt x="3206534" y="2887567"/>
                  <a:pt x="3221914" y="2871975"/>
                  <a:pt x="3221914" y="2852746"/>
                </a:cubicBezTo>
                <a:cubicBezTo>
                  <a:pt x="3221914" y="2833518"/>
                  <a:pt x="3206534" y="2817926"/>
                  <a:pt x="3187567" y="2817926"/>
                </a:cubicBezTo>
                <a:close/>
                <a:moveTo>
                  <a:pt x="3271309" y="2817926"/>
                </a:moveTo>
                <a:cubicBezTo>
                  <a:pt x="3252342" y="2817926"/>
                  <a:pt x="3236962" y="2833518"/>
                  <a:pt x="3236962" y="2852746"/>
                </a:cubicBezTo>
                <a:cubicBezTo>
                  <a:pt x="3236962" y="2871975"/>
                  <a:pt x="3252342" y="2887567"/>
                  <a:pt x="3271309" y="2887567"/>
                </a:cubicBezTo>
                <a:cubicBezTo>
                  <a:pt x="3290276" y="2887567"/>
                  <a:pt x="3305655" y="2871975"/>
                  <a:pt x="3305655" y="2852746"/>
                </a:cubicBezTo>
                <a:cubicBezTo>
                  <a:pt x="3305655" y="2833518"/>
                  <a:pt x="3290276" y="2817926"/>
                  <a:pt x="3271309" y="2817926"/>
                </a:cubicBezTo>
                <a:close/>
                <a:moveTo>
                  <a:pt x="3355051" y="2817926"/>
                </a:moveTo>
                <a:cubicBezTo>
                  <a:pt x="3336084" y="2817926"/>
                  <a:pt x="3320704" y="2833518"/>
                  <a:pt x="3320704" y="2852746"/>
                </a:cubicBezTo>
                <a:cubicBezTo>
                  <a:pt x="3320704" y="2871975"/>
                  <a:pt x="3336084" y="2887567"/>
                  <a:pt x="3355051" y="2887567"/>
                </a:cubicBezTo>
                <a:cubicBezTo>
                  <a:pt x="3374018" y="2887567"/>
                  <a:pt x="3389398" y="2871975"/>
                  <a:pt x="3389398" y="2852746"/>
                </a:cubicBezTo>
                <a:cubicBezTo>
                  <a:pt x="3389398" y="2833518"/>
                  <a:pt x="3374018" y="2817926"/>
                  <a:pt x="3355051" y="2817926"/>
                </a:cubicBezTo>
                <a:close/>
                <a:moveTo>
                  <a:pt x="3522533" y="2817926"/>
                </a:moveTo>
                <a:cubicBezTo>
                  <a:pt x="3503566" y="2817926"/>
                  <a:pt x="3488187" y="2833518"/>
                  <a:pt x="3488187" y="2852746"/>
                </a:cubicBezTo>
                <a:cubicBezTo>
                  <a:pt x="3488187" y="2871975"/>
                  <a:pt x="3503566" y="2887567"/>
                  <a:pt x="3522533" y="2887567"/>
                </a:cubicBezTo>
                <a:cubicBezTo>
                  <a:pt x="3541500" y="2887567"/>
                  <a:pt x="3556880" y="2871975"/>
                  <a:pt x="3556880" y="2852746"/>
                </a:cubicBezTo>
                <a:cubicBezTo>
                  <a:pt x="3556880" y="2833518"/>
                  <a:pt x="3541500" y="2817926"/>
                  <a:pt x="3522533" y="2817926"/>
                </a:cubicBezTo>
                <a:close/>
                <a:moveTo>
                  <a:pt x="3606276" y="2817926"/>
                </a:moveTo>
                <a:cubicBezTo>
                  <a:pt x="3587309" y="2817926"/>
                  <a:pt x="3571929" y="2833518"/>
                  <a:pt x="3571929" y="2852746"/>
                </a:cubicBezTo>
                <a:cubicBezTo>
                  <a:pt x="3571929" y="2871975"/>
                  <a:pt x="3587309" y="2887567"/>
                  <a:pt x="3606276" y="2887567"/>
                </a:cubicBezTo>
                <a:cubicBezTo>
                  <a:pt x="3625243" y="2887567"/>
                  <a:pt x="3640622" y="2871975"/>
                  <a:pt x="3640622" y="2852746"/>
                </a:cubicBezTo>
                <a:cubicBezTo>
                  <a:pt x="3640622" y="2833518"/>
                  <a:pt x="3625243" y="2817926"/>
                  <a:pt x="3606276" y="2817926"/>
                </a:cubicBezTo>
                <a:close/>
                <a:moveTo>
                  <a:pt x="3690017" y="2817926"/>
                </a:moveTo>
                <a:cubicBezTo>
                  <a:pt x="3671050" y="2817926"/>
                  <a:pt x="3655670" y="2833518"/>
                  <a:pt x="3655670" y="2852746"/>
                </a:cubicBezTo>
                <a:cubicBezTo>
                  <a:pt x="3655670" y="2871975"/>
                  <a:pt x="3671050" y="2887567"/>
                  <a:pt x="3690017" y="2887567"/>
                </a:cubicBezTo>
                <a:cubicBezTo>
                  <a:pt x="3708984" y="2887567"/>
                  <a:pt x="3724364" y="2871975"/>
                  <a:pt x="3724364" y="2852746"/>
                </a:cubicBezTo>
                <a:cubicBezTo>
                  <a:pt x="3724364" y="2833518"/>
                  <a:pt x="3708984" y="2817926"/>
                  <a:pt x="3690017" y="2817926"/>
                </a:cubicBezTo>
                <a:close/>
                <a:moveTo>
                  <a:pt x="5699823" y="2817926"/>
                </a:moveTo>
                <a:cubicBezTo>
                  <a:pt x="5680856" y="2817926"/>
                  <a:pt x="5665476" y="2833518"/>
                  <a:pt x="5665476" y="2852746"/>
                </a:cubicBezTo>
                <a:cubicBezTo>
                  <a:pt x="5665476" y="2871975"/>
                  <a:pt x="5680856" y="2887567"/>
                  <a:pt x="5699823" y="2887567"/>
                </a:cubicBezTo>
                <a:cubicBezTo>
                  <a:pt x="5718790" y="2887567"/>
                  <a:pt x="5734170" y="2871975"/>
                  <a:pt x="5734170" y="2852746"/>
                </a:cubicBezTo>
                <a:cubicBezTo>
                  <a:pt x="5734170" y="2833518"/>
                  <a:pt x="5718790" y="2817926"/>
                  <a:pt x="5699823" y="2817926"/>
                </a:cubicBezTo>
                <a:close/>
                <a:moveTo>
                  <a:pt x="5783564" y="2817926"/>
                </a:moveTo>
                <a:cubicBezTo>
                  <a:pt x="5764597" y="2817926"/>
                  <a:pt x="5749218" y="2833518"/>
                  <a:pt x="5749218" y="2852746"/>
                </a:cubicBezTo>
                <a:cubicBezTo>
                  <a:pt x="5749218" y="2871975"/>
                  <a:pt x="5764597" y="2887567"/>
                  <a:pt x="5783564" y="2887567"/>
                </a:cubicBezTo>
                <a:cubicBezTo>
                  <a:pt x="5802531" y="2887567"/>
                  <a:pt x="5817911" y="2871975"/>
                  <a:pt x="5817911" y="2852746"/>
                </a:cubicBezTo>
                <a:cubicBezTo>
                  <a:pt x="5817911" y="2833518"/>
                  <a:pt x="5802531" y="2817926"/>
                  <a:pt x="5783564" y="2817926"/>
                </a:cubicBezTo>
                <a:close/>
                <a:moveTo>
                  <a:pt x="5867305" y="2817926"/>
                </a:moveTo>
                <a:cubicBezTo>
                  <a:pt x="5848338" y="2817926"/>
                  <a:pt x="5832959" y="2833518"/>
                  <a:pt x="5832959" y="2852746"/>
                </a:cubicBezTo>
                <a:cubicBezTo>
                  <a:pt x="5832959" y="2871975"/>
                  <a:pt x="5848338" y="2887567"/>
                  <a:pt x="5867305" y="2887567"/>
                </a:cubicBezTo>
                <a:cubicBezTo>
                  <a:pt x="5886272" y="2887567"/>
                  <a:pt x="5901652" y="2871975"/>
                  <a:pt x="5901652" y="2852746"/>
                </a:cubicBezTo>
                <a:cubicBezTo>
                  <a:pt x="5901652" y="2833518"/>
                  <a:pt x="5886272" y="2817926"/>
                  <a:pt x="5867305" y="2817926"/>
                </a:cubicBezTo>
                <a:close/>
                <a:moveTo>
                  <a:pt x="6034789" y="2817926"/>
                </a:moveTo>
                <a:cubicBezTo>
                  <a:pt x="6015822" y="2817926"/>
                  <a:pt x="6000442" y="2833518"/>
                  <a:pt x="6000442" y="2852746"/>
                </a:cubicBezTo>
                <a:cubicBezTo>
                  <a:pt x="6000442" y="2871975"/>
                  <a:pt x="6015822" y="2887567"/>
                  <a:pt x="6034789" y="2887567"/>
                </a:cubicBezTo>
                <a:cubicBezTo>
                  <a:pt x="6053756" y="2887567"/>
                  <a:pt x="6069136" y="2871975"/>
                  <a:pt x="6069136" y="2852746"/>
                </a:cubicBezTo>
                <a:cubicBezTo>
                  <a:pt x="6069136" y="2833518"/>
                  <a:pt x="6053756" y="2817926"/>
                  <a:pt x="6034789" y="2817926"/>
                </a:cubicBezTo>
                <a:close/>
                <a:moveTo>
                  <a:pt x="6202273" y="2817926"/>
                </a:moveTo>
                <a:cubicBezTo>
                  <a:pt x="6183306" y="2817926"/>
                  <a:pt x="6167920" y="2833518"/>
                  <a:pt x="6167920" y="2852746"/>
                </a:cubicBezTo>
                <a:cubicBezTo>
                  <a:pt x="6167920" y="2871975"/>
                  <a:pt x="6183306" y="2887567"/>
                  <a:pt x="6202273" y="2887567"/>
                </a:cubicBezTo>
                <a:cubicBezTo>
                  <a:pt x="6221240" y="2887567"/>
                  <a:pt x="6236613" y="2871975"/>
                  <a:pt x="6236613" y="2852746"/>
                </a:cubicBezTo>
                <a:cubicBezTo>
                  <a:pt x="6236613" y="2833518"/>
                  <a:pt x="6221240" y="2817926"/>
                  <a:pt x="6202273" y="2817926"/>
                </a:cubicBezTo>
                <a:close/>
                <a:moveTo>
                  <a:pt x="6453498" y="2817926"/>
                </a:moveTo>
                <a:cubicBezTo>
                  <a:pt x="6434531" y="2817926"/>
                  <a:pt x="6419144" y="2833518"/>
                  <a:pt x="6419144" y="2852746"/>
                </a:cubicBezTo>
                <a:cubicBezTo>
                  <a:pt x="6419144" y="2871975"/>
                  <a:pt x="6434531" y="2887567"/>
                  <a:pt x="6453498" y="2887567"/>
                </a:cubicBezTo>
                <a:cubicBezTo>
                  <a:pt x="6472465" y="2887567"/>
                  <a:pt x="6487838" y="2871975"/>
                  <a:pt x="6487838" y="2852746"/>
                </a:cubicBezTo>
                <a:cubicBezTo>
                  <a:pt x="6487838" y="2833518"/>
                  <a:pt x="6472465" y="2817926"/>
                  <a:pt x="6453498" y="2817926"/>
                </a:cubicBezTo>
                <a:close/>
                <a:moveTo>
                  <a:pt x="6537239" y="2817926"/>
                </a:moveTo>
                <a:cubicBezTo>
                  <a:pt x="6518272" y="2817926"/>
                  <a:pt x="6502886" y="2833518"/>
                  <a:pt x="6502886" y="2852746"/>
                </a:cubicBezTo>
                <a:cubicBezTo>
                  <a:pt x="6502886" y="2871975"/>
                  <a:pt x="6518272" y="2887567"/>
                  <a:pt x="6537239" y="2887567"/>
                </a:cubicBezTo>
                <a:cubicBezTo>
                  <a:pt x="6556206" y="2887567"/>
                  <a:pt x="6571579" y="2871975"/>
                  <a:pt x="6571579" y="2852746"/>
                </a:cubicBezTo>
                <a:cubicBezTo>
                  <a:pt x="6571579" y="2833518"/>
                  <a:pt x="6556206" y="2817926"/>
                  <a:pt x="6537239" y="2817926"/>
                </a:cubicBezTo>
                <a:close/>
                <a:moveTo>
                  <a:pt x="6620980" y="2817926"/>
                </a:moveTo>
                <a:cubicBezTo>
                  <a:pt x="6602013" y="2817926"/>
                  <a:pt x="6586627" y="2833518"/>
                  <a:pt x="6586627" y="2852746"/>
                </a:cubicBezTo>
                <a:cubicBezTo>
                  <a:pt x="6586627" y="2871975"/>
                  <a:pt x="6602013" y="2887567"/>
                  <a:pt x="6620980" y="2887567"/>
                </a:cubicBezTo>
                <a:cubicBezTo>
                  <a:pt x="6639947" y="2887567"/>
                  <a:pt x="6655320" y="2871975"/>
                  <a:pt x="6655320" y="2852746"/>
                </a:cubicBezTo>
                <a:cubicBezTo>
                  <a:pt x="6655320" y="2833518"/>
                  <a:pt x="6639947" y="2817926"/>
                  <a:pt x="6620980" y="2817926"/>
                </a:cubicBezTo>
                <a:close/>
                <a:moveTo>
                  <a:pt x="7123456" y="2817926"/>
                </a:moveTo>
                <a:cubicBezTo>
                  <a:pt x="7104489" y="2817926"/>
                  <a:pt x="7089103" y="2833518"/>
                  <a:pt x="7089103" y="2852746"/>
                </a:cubicBezTo>
                <a:cubicBezTo>
                  <a:pt x="7089103" y="2871975"/>
                  <a:pt x="7104489" y="2887567"/>
                  <a:pt x="7123456" y="2887567"/>
                </a:cubicBezTo>
                <a:cubicBezTo>
                  <a:pt x="7142423" y="2887567"/>
                  <a:pt x="7157796" y="2871975"/>
                  <a:pt x="7157796" y="2852746"/>
                </a:cubicBezTo>
                <a:cubicBezTo>
                  <a:pt x="7157796" y="2833518"/>
                  <a:pt x="7142423" y="2817926"/>
                  <a:pt x="7123456" y="2817926"/>
                </a:cubicBezTo>
                <a:close/>
                <a:moveTo>
                  <a:pt x="7207198" y="2817926"/>
                </a:moveTo>
                <a:cubicBezTo>
                  <a:pt x="7188231" y="2817926"/>
                  <a:pt x="7172845" y="2833518"/>
                  <a:pt x="7172845" y="2852746"/>
                </a:cubicBezTo>
                <a:cubicBezTo>
                  <a:pt x="7172845" y="2871975"/>
                  <a:pt x="7188231" y="2887567"/>
                  <a:pt x="7207198" y="2887567"/>
                </a:cubicBezTo>
                <a:cubicBezTo>
                  <a:pt x="7226165" y="2887567"/>
                  <a:pt x="7241538" y="2871975"/>
                  <a:pt x="7241538" y="2852746"/>
                </a:cubicBezTo>
                <a:cubicBezTo>
                  <a:pt x="7241538" y="2833518"/>
                  <a:pt x="7226165" y="2817926"/>
                  <a:pt x="7207198" y="2817926"/>
                </a:cubicBezTo>
                <a:close/>
                <a:moveTo>
                  <a:pt x="7458423" y="2817926"/>
                </a:moveTo>
                <a:cubicBezTo>
                  <a:pt x="7439456" y="2817926"/>
                  <a:pt x="7424070" y="2833518"/>
                  <a:pt x="7424070" y="2852746"/>
                </a:cubicBezTo>
                <a:cubicBezTo>
                  <a:pt x="7424070" y="2871975"/>
                  <a:pt x="7439456" y="2887567"/>
                  <a:pt x="7458423" y="2887567"/>
                </a:cubicBezTo>
                <a:cubicBezTo>
                  <a:pt x="7477390" y="2887567"/>
                  <a:pt x="7492763" y="2871975"/>
                  <a:pt x="7492763" y="2852746"/>
                </a:cubicBezTo>
                <a:cubicBezTo>
                  <a:pt x="7492763" y="2833518"/>
                  <a:pt x="7477390" y="2817926"/>
                  <a:pt x="7458423" y="2817926"/>
                </a:cubicBezTo>
                <a:close/>
                <a:moveTo>
                  <a:pt x="7542164" y="2817926"/>
                </a:moveTo>
                <a:cubicBezTo>
                  <a:pt x="7523197" y="2817926"/>
                  <a:pt x="7507811" y="2833518"/>
                  <a:pt x="7507811" y="2852746"/>
                </a:cubicBezTo>
                <a:cubicBezTo>
                  <a:pt x="7507811" y="2871975"/>
                  <a:pt x="7523197" y="2887567"/>
                  <a:pt x="7542164" y="2887567"/>
                </a:cubicBezTo>
                <a:cubicBezTo>
                  <a:pt x="7561131" y="2887567"/>
                  <a:pt x="7576504" y="2871975"/>
                  <a:pt x="7576504" y="2852746"/>
                </a:cubicBezTo>
                <a:cubicBezTo>
                  <a:pt x="7576504" y="2833518"/>
                  <a:pt x="7561131" y="2817926"/>
                  <a:pt x="7542164" y="2817926"/>
                </a:cubicBezTo>
                <a:close/>
                <a:moveTo>
                  <a:pt x="7625906" y="2817926"/>
                </a:moveTo>
                <a:cubicBezTo>
                  <a:pt x="7606939" y="2817926"/>
                  <a:pt x="7591553" y="2833518"/>
                  <a:pt x="7591553" y="2852746"/>
                </a:cubicBezTo>
                <a:cubicBezTo>
                  <a:pt x="7591553" y="2871975"/>
                  <a:pt x="7606939" y="2887567"/>
                  <a:pt x="7625906" y="2887567"/>
                </a:cubicBezTo>
                <a:cubicBezTo>
                  <a:pt x="7644873" y="2887567"/>
                  <a:pt x="7660246" y="2871975"/>
                  <a:pt x="7660246" y="2852746"/>
                </a:cubicBezTo>
                <a:cubicBezTo>
                  <a:pt x="7660246" y="2833518"/>
                  <a:pt x="7644873" y="2817926"/>
                  <a:pt x="7625906" y="2817926"/>
                </a:cubicBezTo>
                <a:close/>
                <a:moveTo>
                  <a:pt x="7709647" y="2817926"/>
                </a:moveTo>
                <a:cubicBezTo>
                  <a:pt x="7690680" y="2817926"/>
                  <a:pt x="7675294" y="2833518"/>
                  <a:pt x="7675294" y="2852746"/>
                </a:cubicBezTo>
                <a:cubicBezTo>
                  <a:pt x="7675294" y="2871975"/>
                  <a:pt x="7690680" y="2887567"/>
                  <a:pt x="7709647" y="2887567"/>
                </a:cubicBezTo>
                <a:cubicBezTo>
                  <a:pt x="7728614" y="2887567"/>
                  <a:pt x="7743988" y="2871975"/>
                  <a:pt x="7743988" y="2852746"/>
                </a:cubicBezTo>
                <a:cubicBezTo>
                  <a:pt x="7743988" y="2833518"/>
                  <a:pt x="7728614" y="2817926"/>
                  <a:pt x="7709647" y="2817926"/>
                </a:cubicBezTo>
                <a:close/>
                <a:moveTo>
                  <a:pt x="7793389" y="2817926"/>
                </a:moveTo>
                <a:cubicBezTo>
                  <a:pt x="7774422" y="2817926"/>
                  <a:pt x="7759036" y="2833518"/>
                  <a:pt x="7759036" y="2852746"/>
                </a:cubicBezTo>
                <a:cubicBezTo>
                  <a:pt x="7759036" y="2871975"/>
                  <a:pt x="7774422" y="2887567"/>
                  <a:pt x="7793389" y="2887567"/>
                </a:cubicBezTo>
                <a:cubicBezTo>
                  <a:pt x="7812356" y="2887567"/>
                  <a:pt x="7827729" y="2871975"/>
                  <a:pt x="7827729" y="2852746"/>
                </a:cubicBezTo>
                <a:cubicBezTo>
                  <a:pt x="7827729" y="2833518"/>
                  <a:pt x="7812356" y="2817926"/>
                  <a:pt x="7793389" y="2817926"/>
                </a:cubicBezTo>
                <a:close/>
                <a:moveTo>
                  <a:pt x="7877131" y="2817926"/>
                </a:moveTo>
                <a:cubicBezTo>
                  <a:pt x="7858164" y="2817926"/>
                  <a:pt x="7842778" y="2833518"/>
                  <a:pt x="7842778" y="2852746"/>
                </a:cubicBezTo>
                <a:cubicBezTo>
                  <a:pt x="7842778" y="2871975"/>
                  <a:pt x="7858164" y="2887567"/>
                  <a:pt x="7877131" y="2887567"/>
                </a:cubicBezTo>
                <a:cubicBezTo>
                  <a:pt x="7896098" y="2887567"/>
                  <a:pt x="7911471" y="2871975"/>
                  <a:pt x="7911471" y="2852746"/>
                </a:cubicBezTo>
                <a:cubicBezTo>
                  <a:pt x="7911471" y="2833518"/>
                  <a:pt x="7896098" y="2817926"/>
                  <a:pt x="7877131" y="2817926"/>
                </a:cubicBezTo>
                <a:close/>
                <a:moveTo>
                  <a:pt x="7960872" y="2817926"/>
                </a:moveTo>
                <a:cubicBezTo>
                  <a:pt x="7941905" y="2817926"/>
                  <a:pt x="7926519" y="2833518"/>
                  <a:pt x="7926519" y="2852746"/>
                </a:cubicBezTo>
                <a:cubicBezTo>
                  <a:pt x="7926519" y="2871975"/>
                  <a:pt x="7941905" y="2887567"/>
                  <a:pt x="7960872" y="2887567"/>
                </a:cubicBezTo>
                <a:cubicBezTo>
                  <a:pt x="7979839" y="2887567"/>
                  <a:pt x="7995212" y="2871975"/>
                  <a:pt x="7995212" y="2852746"/>
                </a:cubicBezTo>
                <a:cubicBezTo>
                  <a:pt x="7995212" y="2833518"/>
                  <a:pt x="7979839" y="2817926"/>
                  <a:pt x="7960872" y="2817926"/>
                </a:cubicBezTo>
                <a:close/>
                <a:moveTo>
                  <a:pt x="8044614" y="2817926"/>
                </a:moveTo>
                <a:cubicBezTo>
                  <a:pt x="8025647" y="2817926"/>
                  <a:pt x="8010261" y="2833518"/>
                  <a:pt x="8010261" y="2852746"/>
                </a:cubicBezTo>
                <a:cubicBezTo>
                  <a:pt x="8010261" y="2871975"/>
                  <a:pt x="8025647" y="2887567"/>
                  <a:pt x="8044614" y="2887567"/>
                </a:cubicBezTo>
                <a:cubicBezTo>
                  <a:pt x="8063581" y="2887567"/>
                  <a:pt x="8078955" y="2871975"/>
                  <a:pt x="8078955" y="2852746"/>
                </a:cubicBezTo>
                <a:cubicBezTo>
                  <a:pt x="8078955" y="2833518"/>
                  <a:pt x="8063581" y="2817926"/>
                  <a:pt x="8044614" y="2817926"/>
                </a:cubicBezTo>
                <a:close/>
                <a:moveTo>
                  <a:pt x="8128356" y="2817926"/>
                </a:moveTo>
                <a:cubicBezTo>
                  <a:pt x="8109389" y="2817926"/>
                  <a:pt x="8094003" y="2833518"/>
                  <a:pt x="8094003" y="2852746"/>
                </a:cubicBezTo>
                <a:cubicBezTo>
                  <a:pt x="8094003" y="2871975"/>
                  <a:pt x="8109389" y="2887567"/>
                  <a:pt x="8128356" y="2887567"/>
                </a:cubicBezTo>
                <a:cubicBezTo>
                  <a:pt x="8147323" y="2887567"/>
                  <a:pt x="8162696" y="2871975"/>
                  <a:pt x="8162696" y="2852746"/>
                </a:cubicBezTo>
                <a:cubicBezTo>
                  <a:pt x="8162696" y="2833518"/>
                  <a:pt x="8147323" y="2817926"/>
                  <a:pt x="8128356" y="2817926"/>
                </a:cubicBezTo>
                <a:close/>
                <a:moveTo>
                  <a:pt x="8212097" y="2817926"/>
                </a:moveTo>
                <a:cubicBezTo>
                  <a:pt x="8193130" y="2817926"/>
                  <a:pt x="8177744" y="2833518"/>
                  <a:pt x="8177744" y="2852746"/>
                </a:cubicBezTo>
                <a:cubicBezTo>
                  <a:pt x="8177744" y="2871975"/>
                  <a:pt x="8193130" y="2887567"/>
                  <a:pt x="8212097" y="2887567"/>
                </a:cubicBezTo>
                <a:cubicBezTo>
                  <a:pt x="8231064" y="2887567"/>
                  <a:pt x="8246437" y="2871975"/>
                  <a:pt x="8246437" y="2852746"/>
                </a:cubicBezTo>
                <a:cubicBezTo>
                  <a:pt x="8246437" y="2833518"/>
                  <a:pt x="8231064" y="2817926"/>
                  <a:pt x="8212097" y="2817926"/>
                </a:cubicBezTo>
                <a:close/>
                <a:moveTo>
                  <a:pt x="8295839" y="2817926"/>
                </a:moveTo>
                <a:cubicBezTo>
                  <a:pt x="8276872" y="2817926"/>
                  <a:pt x="8261486" y="2833518"/>
                  <a:pt x="8261486" y="2852746"/>
                </a:cubicBezTo>
                <a:cubicBezTo>
                  <a:pt x="8261486" y="2871975"/>
                  <a:pt x="8276872" y="2887567"/>
                  <a:pt x="8295839" y="2887567"/>
                </a:cubicBezTo>
                <a:cubicBezTo>
                  <a:pt x="8314806" y="2887567"/>
                  <a:pt x="8330179" y="2871975"/>
                  <a:pt x="8330179" y="2852746"/>
                </a:cubicBezTo>
                <a:cubicBezTo>
                  <a:pt x="8330179" y="2833518"/>
                  <a:pt x="8314806" y="2817926"/>
                  <a:pt x="8295839" y="2817926"/>
                </a:cubicBezTo>
                <a:close/>
                <a:moveTo>
                  <a:pt x="8379580" y="2817926"/>
                </a:moveTo>
                <a:cubicBezTo>
                  <a:pt x="8360613" y="2817926"/>
                  <a:pt x="8345227" y="2833518"/>
                  <a:pt x="8345227" y="2852746"/>
                </a:cubicBezTo>
                <a:cubicBezTo>
                  <a:pt x="8345227" y="2871975"/>
                  <a:pt x="8360613" y="2887567"/>
                  <a:pt x="8379580" y="2887567"/>
                </a:cubicBezTo>
                <a:cubicBezTo>
                  <a:pt x="8398547" y="2887567"/>
                  <a:pt x="8413921" y="2871975"/>
                  <a:pt x="8413921" y="2852746"/>
                </a:cubicBezTo>
                <a:cubicBezTo>
                  <a:pt x="8413921" y="2833518"/>
                  <a:pt x="8398547" y="2817926"/>
                  <a:pt x="8379580" y="2817926"/>
                </a:cubicBezTo>
                <a:close/>
                <a:moveTo>
                  <a:pt x="8463323" y="2817926"/>
                </a:moveTo>
                <a:cubicBezTo>
                  <a:pt x="8444356" y="2817926"/>
                  <a:pt x="8428970" y="2833518"/>
                  <a:pt x="8428970" y="2852746"/>
                </a:cubicBezTo>
                <a:cubicBezTo>
                  <a:pt x="8428970" y="2871975"/>
                  <a:pt x="8444356" y="2887567"/>
                  <a:pt x="8463323" y="2887567"/>
                </a:cubicBezTo>
                <a:cubicBezTo>
                  <a:pt x="8482290" y="2887567"/>
                  <a:pt x="8497663" y="2871975"/>
                  <a:pt x="8497663" y="2852746"/>
                </a:cubicBezTo>
                <a:cubicBezTo>
                  <a:pt x="8497663" y="2833518"/>
                  <a:pt x="8482290" y="2817926"/>
                  <a:pt x="8463323" y="2817926"/>
                </a:cubicBezTo>
                <a:close/>
                <a:moveTo>
                  <a:pt x="8547064" y="2817926"/>
                </a:moveTo>
                <a:cubicBezTo>
                  <a:pt x="8528097" y="2817926"/>
                  <a:pt x="8512711" y="2833518"/>
                  <a:pt x="8512711" y="2852746"/>
                </a:cubicBezTo>
                <a:cubicBezTo>
                  <a:pt x="8512711" y="2871975"/>
                  <a:pt x="8528097" y="2887567"/>
                  <a:pt x="8547064" y="2887567"/>
                </a:cubicBezTo>
                <a:cubicBezTo>
                  <a:pt x="8566031" y="2887567"/>
                  <a:pt x="8581404" y="2871975"/>
                  <a:pt x="8581404" y="2852746"/>
                </a:cubicBezTo>
                <a:cubicBezTo>
                  <a:pt x="8581404" y="2833518"/>
                  <a:pt x="8566031" y="2817926"/>
                  <a:pt x="8547064" y="2817926"/>
                </a:cubicBezTo>
                <a:close/>
                <a:moveTo>
                  <a:pt x="8630805" y="2817926"/>
                </a:moveTo>
                <a:cubicBezTo>
                  <a:pt x="8611838" y="2817926"/>
                  <a:pt x="8596452" y="2833518"/>
                  <a:pt x="8596452" y="2852746"/>
                </a:cubicBezTo>
                <a:cubicBezTo>
                  <a:pt x="8596452" y="2871975"/>
                  <a:pt x="8611838" y="2887567"/>
                  <a:pt x="8630805" y="2887567"/>
                </a:cubicBezTo>
                <a:cubicBezTo>
                  <a:pt x="8649772" y="2887567"/>
                  <a:pt x="8665145" y="2871975"/>
                  <a:pt x="8665145" y="2852746"/>
                </a:cubicBezTo>
                <a:cubicBezTo>
                  <a:pt x="8665145" y="2833518"/>
                  <a:pt x="8649772" y="2817926"/>
                  <a:pt x="8630805" y="2817926"/>
                </a:cubicBezTo>
                <a:close/>
                <a:moveTo>
                  <a:pt x="8714547" y="2817926"/>
                </a:moveTo>
                <a:cubicBezTo>
                  <a:pt x="8695580" y="2817926"/>
                  <a:pt x="8680194" y="2833518"/>
                  <a:pt x="8680194" y="2852746"/>
                </a:cubicBezTo>
                <a:cubicBezTo>
                  <a:pt x="8680194" y="2871975"/>
                  <a:pt x="8695580" y="2887567"/>
                  <a:pt x="8714547" y="2887567"/>
                </a:cubicBezTo>
                <a:cubicBezTo>
                  <a:pt x="8733514" y="2887567"/>
                  <a:pt x="8748888" y="2871975"/>
                  <a:pt x="8748888" y="2852746"/>
                </a:cubicBezTo>
                <a:cubicBezTo>
                  <a:pt x="8748888" y="2833518"/>
                  <a:pt x="8733514" y="2817926"/>
                  <a:pt x="8714547" y="2817926"/>
                </a:cubicBezTo>
                <a:close/>
                <a:moveTo>
                  <a:pt x="8798289" y="2817926"/>
                </a:moveTo>
                <a:cubicBezTo>
                  <a:pt x="8779322" y="2817926"/>
                  <a:pt x="8763936" y="2833518"/>
                  <a:pt x="8763936" y="2852746"/>
                </a:cubicBezTo>
                <a:cubicBezTo>
                  <a:pt x="8763936" y="2871975"/>
                  <a:pt x="8779322" y="2887567"/>
                  <a:pt x="8798289" y="2887567"/>
                </a:cubicBezTo>
                <a:cubicBezTo>
                  <a:pt x="8817256" y="2887567"/>
                  <a:pt x="8832629" y="2871975"/>
                  <a:pt x="8832629" y="2852746"/>
                </a:cubicBezTo>
                <a:cubicBezTo>
                  <a:pt x="8832629" y="2833518"/>
                  <a:pt x="8817256" y="2817926"/>
                  <a:pt x="8798289" y="2817926"/>
                </a:cubicBezTo>
                <a:close/>
                <a:moveTo>
                  <a:pt x="8882030" y="2817926"/>
                </a:moveTo>
                <a:cubicBezTo>
                  <a:pt x="8863063" y="2817926"/>
                  <a:pt x="8847677" y="2833518"/>
                  <a:pt x="8847677" y="2852746"/>
                </a:cubicBezTo>
                <a:cubicBezTo>
                  <a:pt x="8847677" y="2871975"/>
                  <a:pt x="8863063" y="2887567"/>
                  <a:pt x="8882030" y="2887567"/>
                </a:cubicBezTo>
                <a:cubicBezTo>
                  <a:pt x="8900997" y="2887567"/>
                  <a:pt x="8916370" y="2871975"/>
                  <a:pt x="8916370" y="2852746"/>
                </a:cubicBezTo>
                <a:cubicBezTo>
                  <a:pt x="8916370" y="2833518"/>
                  <a:pt x="8900997" y="2817926"/>
                  <a:pt x="8882030" y="2817926"/>
                </a:cubicBezTo>
                <a:close/>
                <a:moveTo>
                  <a:pt x="8965772" y="2817926"/>
                </a:moveTo>
                <a:cubicBezTo>
                  <a:pt x="8946805" y="2817926"/>
                  <a:pt x="8931419" y="2833518"/>
                  <a:pt x="8931419" y="2852746"/>
                </a:cubicBezTo>
                <a:cubicBezTo>
                  <a:pt x="8931419" y="2871975"/>
                  <a:pt x="8946805" y="2887567"/>
                  <a:pt x="8965772" y="2887567"/>
                </a:cubicBezTo>
                <a:cubicBezTo>
                  <a:pt x="8984739" y="2887567"/>
                  <a:pt x="9000112" y="2871975"/>
                  <a:pt x="9000112" y="2852746"/>
                </a:cubicBezTo>
                <a:cubicBezTo>
                  <a:pt x="9000112" y="2833518"/>
                  <a:pt x="8984739" y="2817926"/>
                  <a:pt x="8965772" y="2817926"/>
                </a:cubicBezTo>
                <a:close/>
                <a:moveTo>
                  <a:pt x="9049513" y="2817926"/>
                </a:moveTo>
                <a:cubicBezTo>
                  <a:pt x="9030546" y="2817926"/>
                  <a:pt x="9015160" y="2833518"/>
                  <a:pt x="9015160" y="2852746"/>
                </a:cubicBezTo>
                <a:cubicBezTo>
                  <a:pt x="9015160" y="2871975"/>
                  <a:pt x="9030546" y="2887567"/>
                  <a:pt x="9049513" y="2887567"/>
                </a:cubicBezTo>
                <a:cubicBezTo>
                  <a:pt x="9068480" y="2887567"/>
                  <a:pt x="9083854" y="2871975"/>
                  <a:pt x="9083854" y="2852746"/>
                </a:cubicBezTo>
                <a:cubicBezTo>
                  <a:pt x="9083854" y="2833518"/>
                  <a:pt x="9068480" y="2817926"/>
                  <a:pt x="9049513" y="2817926"/>
                </a:cubicBezTo>
                <a:close/>
                <a:moveTo>
                  <a:pt x="9133256" y="2817926"/>
                </a:moveTo>
                <a:cubicBezTo>
                  <a:pt x="9114289" y="2817926"/>
                  <a:pt x="9098903" y="2833518"/>
                  <a:pt x="9098903" y="2852746"/>
                </a:cubicBezTo>
                <a:cubicBezTo>
                  <a:pt x="9098903" y="2871975"/>
                  <a:pt x="9114289" y="2887567"/>
                  <a:pt x="9133256" y="2887567"/>
                </a:cubicBezTo>
                <a:cubicBezTo>
                  <a:pt x="9152223" y="2887567"/>
                  <a:pt x="9167596" y="2871975"/>
                  <a:pt x="9167596" y="2852746"/>
                </a:cubicBezTo>
                <a:cubicBezTo>
                  <a:pt x="9167596" y="2833518"/>
                  <a:pt x="9152223" y="2817926"/>
                  <a:pt x="9133256" y="2817926"/>
                </a:cubicBezTo>
                <a:close/>
                <a:moveTo>
                  <a:pt x="9216997" y="2817926"/>
                </a:moveTo>
                <a:cubicBezTo>
                  <a:pt x="9198030" y="2817926"/>
                  <a:pt x="9182644" y="2833518"/>
                  <a:pt x="9182644" y="2852746"/>
                </a:cubicBezTo>
                <a:cubicBezTo>
                  <a:pt x="9182644" y="2871975"/>
                  <a:pt x="9198030" y="2887567"/>
                  <a:pt x="9216997" y="2887567"/>
                </a:cubicBezTo>
                <a:cubicBezTo>
                  <a:pt x="9235964" y="2887567"/>
                  <a:pt x="9251337" y="2871975"/>
                  <a:pt x="9251337" y="2852746"/>
                </a:cubicBezTo>
                <a:cubicBezTo>
                  <a:pt x="9251337" y="2833518"/>
                  <a:pt x="9235964" y="2817926"/>
                  <a:pt x="9216997" y="2817926"/>
                </a:cubicBezTo>
                <a:close/>
                <a:moveTo>
                  <a:pt x="9300738" y="2817926"/>
                </a:moveTo>
                <a:cubicBezTo>
                  <a:pt x="9281771" y="2817926"/>
                  <a:pt x="9266385" y="2833518"/>
                  <a:pt x="9266385" y="2852746"/>
                </a:cubicBezTo>
                <a:cubicBezTo>
                  <a:pt x="9266385" y="2871975"/>
                  <a:pt x="9281771" y="2887567"/>
                  <a:pt x="9300738" y="2887567"/>
                </a:cubicBezTo>
                <a:cubicBezTo>
                  <a:pt x="9319705" y="2887567"/>
                  <a:pt x="9335078" y="2871975"/>
                  <a:pt x="9335078" y="2852746"/>
                </a:cubicBezTo>
                <a:cubicBezTo>
                  <a:pt x="9335078" y="2833518"/>
                  <a:pt x="9319705" y="2817926"/>
                  <a:pt x="9300738" y="2817926"/>
                </a:cubicBezTo>
                <a:close/>
                <a:moveTo>
                  <a:pt x="9384480" y="2817926"/>
                </a:moveTo>
                <a:cubicBezTo>
                  <a:pt x="9365513" y="2817926"/>
                  <a:pt x="9350127" y="2833518"/>
                  <a:pt x="9350127" y="2852746"/>
                </a:cubicBezTo>
                <a:cubicBezTo>
                  <a:pt x="9350127" y="2871975"/>
                  <a:pt x="9365513" y="2887567"/>
                  <a:pt x="9384480" y="2887567"/>
                </a:cubicBezTo>
                <a:cubicBezTo>
                  <a:pt x="9403447" y="2887567"/>
                  <a:pt x="9418821" y="2871975"/>
                  <a:pt x="9418821" y="2852746"/>
                </a:cubicBezTo>
                <a:cubicBezTo>
                  <a:pt x="9418821" y="2833518"/>
                  <a:pt x="9403447" y="2817926"/>
                  <a:pt x="9384480" y="2817926"/>
                </a:cubicBezTo>
                <a:close/>
                <a:moveTo>
                  <a:pt x="9635705" y="2817926"/>
                </a:moveTo>
                <a:cubicBezTo>
                  <a:pt x="9616738" y="2817926"/>
                  <a:pt x="9601352" y="2833518"/>
                  <a:pt x="9601352" y="2852746"/>
                </a:cubicBezTo>
                <a:cubicBezTo>
                  <a:pt x="9601352" y="2871975"/>
                  <a:pt x="9616738" y="2887567"/>
                  <a:pt x="9635705" y="2887567"/>
                </a:cubicBezTo>
                <a:cubicBezTo>
                  <a:pt x="9654672" y="2887567"/>
                  <a:pt x="9670045" y="2871975"/>
                  <a:pt x="9670045" y="2852746"/>
                </a:cubicBezTo>
                <a:cubicBezTo>
                  <a:pt x="9670045" y="2833518"/>
                  <a:pt x="9654672" y="2817926"/>
                  <a:pt x="9635705" y="2817926"/>
                </a:cubicBezTo>
                <a:close/>
                <a:moveTo>
                  <a:pt x="10054413" y="2817926"/>
                </a:moveTo>
                <a:cubicBezTo>
                  <a:pt x="10035446" y="2817926"/>
                  <a:pt x="10020060" y="2833518"/>
                  <a:pt x="10020060" y="2852746"/>
                </a:cubicBezTo>
                <a:cubicBezTo>
                  <a:pt x="10020060" y="2871975"/>
                  <a:pt x="10035446" y="2887567"/>
                  <a:pt x="10054413" y="2887567"/>
                </a:cubicBezTo>
                <a:cubicBezTo>
                  <a:pt x="10073380" y="2887567"/>
                  <a:pt x="10088754" y="2871975"/>
                  <a:pt x="10088754" y="2852746"/>
                </a:cubicBezTo>
                <a:cubicBezTo>
                  <a:pt x="10088754" y="2833518"/>
                  <a:pt x="10073380" y="2817926"/>
                  <a:pt x="10054413" y="2817926"/>
                </a:cubicBezTo>
                <a:close/>
                <a:moveTo>
                  <a:pt x="2266416" y="2902790"/>
                </a:moveTo>
                <a:cubicBezTo>
                  <a:pt x="2247449" y="2902790"/>
                  <a:pt x="2232069" y="2918381"/>
                  <a:pt x="2232069" y="2937610"/>
                </a:cubicBezTo>
                <a:cubicBezTo>
                  <a:pt x="2232069" y="2956839"/>
                  <a:pt x="2247449" y="2972430"/>
                  <a:pt x="2266416" y="2972430"/>
                </a:cubicBezTo>
                <a:cubicBezTo>
                  <a:pt x="2285383" y="2972430"/>
                  <a:pt x="2300762" y="2956839"/>
                  <a:pt x="2300762" y="2937610"/>
                </a:cubicBezTo>
                <a:cubicBezTo>
                  <a:pt x="2300762" y="2918381"/>
                  <a:pt x="2285383" y="2902790"/>
                  <a:pt x="2266416" y="2902790"/>
                </a:cubicBezTo>
                <a:close/>
                <a:moveTo>
                  <a:pt x="2350151" y="2902790"/>
                </a:moveTo>
                <a:cubicBezTo>
                  <a:pt x="2331184" y="2902790"/>
                  <a:pt x="2315804" y="2918381"/>
                  <a:pt x="2315804" y="2937610"/>
                </a:cubicBezTo>
                <a:cubicBezTo>
                  <a:pt x="2315804" y="2956839"/>
                  <a:pt x="2331184" y="2972430"/>
                  <a:pt x="2350151" y="2972430"/>
                </a:cubicBezTo>
                <a:cubicBezTo>
                  <a:pt x="2369118" y="2972430"/>
                  <a:pt x="2384498" y="2956839"/>
                  <a:pt x="2384498" y="2937610"/>
                </a:cubicBezTo>
                <a:cubicBezTo>
                  <a:pt x="2384498" y="2918381"/>
                  <a:pt x="2369118" y="2902790"/>
                  <a:pt x="2350151" y="2902790"/>
                </a:cubicBezTo>
                <a:close/>
                <a:moveTo>
                  <a:pt x="2433893" y="2902790"/>
                </a:moveTo>
                <a:cubicBezTo>
                  <a:pt x="2414926" y="2902790"/>
                  <a:pt x="2399546" y="2918381"/>
                  <a:pt x="2399546" y="2937610"/>
                </a:cubicBezTo>
                <a:cubicBezTo>
                  <a:pt x="2399546" y="2956839"/>
                  <a:pt x="2414926" y="2972430"/>
                  <a:pt x="2433893" y="2972430"/>
                </a:cubicBezTo>
                <a:cubicBezTo>
                  <a:pt x="2452860" y="2972430"/>
                  <a:pt x="2468240" y="2956839"/>
                  <a:pt x="2468240" y="2937610"/>
                </a:cubicBezTo>
                <a:cubicBezTo>
                  <a:pt x="2468240" y="2918381"/>
                  <a:pt x="2452860" y="2902790"/>
                  <a:pt x="2433893" y="2902790"/>
                </a:cubicBezTo>
                <a:close/>
                <a:moveTo>
                  <a:pt x="2517634" y="2902790"/>
                </a:moveTo>
                <a:cubicBezTo>
                  <a:pt x="2498667" y="2902790"/>
                  <a:pt x="2483288" y="2918381"/>
                  <a:pt x="2483288" y="2937610"/>
                </a:cubicBezTo>
                <a:cubicBezTo>
                  <a:pt x="2483288" y="2956839"/>
                  <a:pt x="2498667" y="2972430"/>
                  <a:pt x="2517634" y="2972430"/>
                </a:cubicBezTo>
                <a:cubicBezTo>
                  <a:pt x="2536601" y="2972430"/>
                  <a:pt x="2551981" y="2956839"/>
                  <a:pt x="2551981" y="2937610"/>
                </a:cubicBezTo>
                <a:cubicBezTo>
                  <a:pt x="2551981" y="2918381"/>
                  <a:pt x="2536601" y="2902790"/>
                  <a:pt x="2517634" y="2902790"/>
                </a:cubicBezTo>
                <a:close/>
                <a:moveTo>
                  <a:pt x="2601376" y="2902790"/>
                </a:moveTo>
                <a:cubicBezTo>
                  <a:pt x="2582409" y="2902790"/>
                  <a:pt x="2567029" y="2918381"/>
                  <a:pt x="2567029" y="2937610"/>
                </a:cubicBezTo>
                <a:cubicBezTo>
                  <a:pt x="2567029" y="2956839"/>
                  <a:pt x="2582409" y="2972430"/>
                  <a:pt x="2601376" y="2972430"/>
                </a:cubicBezTo>
                <a:cubicBezTo>
                  <a:pt x="2620343" y="2972430"/>
                  <a:pt x="2635722" y="2956839"/>
                  <a:pt x="2635722" y="2937610"/>
                </a:cubicBezTo>
                <a:cubicBezTo>
                  <a:pt x="2635722" y="2918381"/>
                  <a:pt x="2620343" y="2902790"/>
                  <a:pt x="2601376" y="2902790"/>
                </a:cubicBezTo>
                <a:close/>
                <a:moveTo>
                  <a:pt x="2685118" y="2902790"/>
                </a:moveTo>
                <a:cubicBezTo>
                  <a:pt x="2666151" y="2902790"/>
                  <a:pt x="2650771" y="2918381"/>
                  <a:pt x="2650771" y="2937610"/>
                </a:cubicBezTo>
                <a:cubicBezTo>
                  <a:pt x="2650771" y="2956839"/>
                  <a:pt x="2666151" y="2972430"/>
                  <a:pt x="2685118" y="2972430"/>
                </a:cubicBezTo>
                <a:cubicBezTo>
                  <a:pt x="2704085" y="2972430"/>
                  <a:pt x="2719465" y="2956839"/>
                  <a:pt x="2719465" y="2937610"/>
                </a:cubicBezTo>
                <a:cubicBezTo>
                  <a:pt x="2719465" y="2918381"/>
                  <a:pt x="2704085" y="2902790"/>
                  <a:pt x="2685118" y="2902790"/>
                </a:cubicBezTo>
                <a:close/>
                <a:moveTo>
                  <a:pt x="2768859" y="2902790"/>
                </a:moveTo>
                <a:cubicBezTo>
                  <a:pt x="2749892" y="2902790"/>
                  <a:pt x="2734512" y="2918381"/>
                  <a:pt x="2734512" y="2937610"/>
                </a:cubicBezTo>
                <a:cubicBezTo>
                  <a:pt x="2734512" y="2956839"/>
                  <a:pt x="2749892" y="2972430"/>
                  <a:pt x="2768859" y="2972430"/>
                </a:cubicBezTo>
                <a:cubicBezTo>
                  <a:pt x="2787826" y="2972430"/>
                  <a:pt x="2803206" y="2956839"/>
                  <a:pt x="2803206" y="2937610"/>
                </a:cubicBezTo>
                <a:cubicBezTo>
                  <a:pt x="2803206" y="2918381"/>
                  <a:pt x="2787826" y="2902790"/>
                  <a:pt x="2768859" y="2902790"/>
                </a:cubicBezTo>
                <a:close/>
                <a:moveTo>
                  <a:pt x="2852600" y="2902790"/>
                </a:moveTo>
                <a:cubicBezTo>
                  <a:pt x="2833633" y="2902790"/>
                  <a:pt x="2818254" y="2918381"/>
                  <a:pt x="2818254" y="2937610"/>
                </a:cubicBezTo>
                <a:cubicBezTo>
                  <a:pt x="2818254" y="2956839"/>
                  <a:pt x="2833633" y="2972430"/>
                  <a:pt x="2852600" y="2972430"/>
                </a:cubicBezTo>
                <a:cubicBezTo>
                  <a:pt x="2871567" y="2972430"/>
                  <a:pt x="2886947" y="2956839"/>
                  <a:pt x="2886947" y="2937610"/>
                </a:cubicBezTo>
                <a:cubicBezTo>
                  <a:pt x="2886947" y="2918381"/>
                  <a:pt x="2871567" y="2902790"/>
                  <a:pt x="2852600" y="2902790"/>
                </a:cubicBezTo>
                <a:close/>
                <a:moveTo>
                  <a:pt x="2936343" y="2902790"/>
                </a:moveTo>
                <a:cubicBezTo>
                  <a:pt x="2917376" y="2902790"/>
                  <a:pt x="2901996" y="2918381"/>
                  <a:pt x="2901996" y="2937610"/>
                </a:cubicBezTo>
                <a:cubicBezTo>
                  <a:pt x="2901996" y="2956839"/>
                  <a:pt x="2917376" y="2972430"/>
                  <a:pt x="2936343" y="2972430"/>
                </a:cubicBezTo>
                <a:cubicBezTo>
                  <a:pt x="2955310" y="2972430"/>
                  <a:pt x="2970689" y="2956839"/>
                  <a:pt x="2970689" y="2937610"/>
                </a:cubicBezTo>
                <a:cubicBezTo>
                  <a:pt x="2970689" y="2918381"/>
                  <a:pt x="2955310" y="2902790"/>
                  <a:pt x="2936343" y="2902790"/>
                </a:cubicBezTo>
                <a:close/>
                <a:moveTo>
                  <a:pt x="3020084" y="2902790"/>
                </a:moveTo>
                <a:cubicBezTo>
                  <a:pt x="3001117" y="2902790"/>
                  <a:pt x="2985737" y="2918381"/>
                  <a:pt x="2985737" y="2937610"/>
                </a:cubicBezTo>
                <a:cubicBezTo>
                  <a:pt x="2985737" y="2956839"/>
                  <a:pt x="3001117" y="2972430"/>
                  <a:pt x="3020084" y="2972430"/>
                </a:cubicBezTo>
                <a:cubicBezTo>
                  <a:pt x="3039051" y="2972430"/>
                  <a:pt x="3054431" y="2956839"/>
                  <a:pt x="3054431" y="2937610"/>
                </a:cubicBezTo>
                <a:cubicBezTo>
                  <a:pt x="3054431" y="2918381"/>
                  <a:pt x="3039051" y="2902790"/>
                  <a:pt x="3020084" y="2902790"/>
                </a:cubicBezTo>
                <a:close/>
                <a:moveTo>
                  <a:pt x="3103826" y="2902790"/>
                </a:moveTo>
                <a:cubicBezTo>
                  <a:pt x="3084859" y="2902790"/>
                  <a:pt x="3069479" y="2918381"/>
                  <a:pt x="3069479" y="2937610"/>
                </a:cubicBezTo>
                <a:cubicBezTo>
                  <a:pt x="3069479" y="2956839"/>
                  <a:pt x="3084859" y="2972430"/>
                  <a:pt x="3103826" y="2972430"/>
                </a:cubicBezTo>
                <a:cubicBezTo>
                  <a:pt x="3122793" y="2972430"/>
                  <a:pt x="3138173" y="2956839"/>
                  <a:pt x="3138173" y="2937610"/>
                </a:cubicBezTo>
                <a:cubicBezTo>
                  <a:pt x="3138173" y="2918381"/>
                  <a:pt x="3122793" y="2902790"/>
                  <a:pt x="3103826" y="2902790"/>
                </a:cubicBezTo>
                <a:close/>
                <a:moveTo>
                  <a:pt x="3187567" y="2902790"/>
                </a:moveTo>
                <a:cubicBezTo>
                  <a:pt x="3168600" y="2902790"/>
                  <a:pt x="3153221" y="2918381"/>
                  <a:pt x="3153221" y="2937610"/>
                </a:cubicBezTo>
                <a:cubicBezTo>
                  <a:pt x="3153221" y="2956839"/>
                  <a:pt x="3168600" y="2972430"/>
                  <a:pt x="3187567" y="2972430"/>
                </a:cubicBezTo>
                <a:cubicBezTo>
                  <a:pt x="3206534" y="2972430"/>
                  <a:pt x="3221914" y="2956839"/>
                  <a:pt x="3221914" y="2937610"/>
                </a:cubicBezTo>
                <a:cubicBezTo>
                  <a:pt x="3221914" y="2918381"/>
                  <a:pt x="3206534" y="2902790"/>
                  <a:pt x="3187567" y="2902790"/>
                </a:cubicBezTo>
                <a:close/>
                <a:moveTo>
                  <a:pt x="3271309" y="2902790"/>
                </a:moveTo>
                <a:cubicBezTo>
                  <a:pt x="3252342" y="2902790"/>
                  <a:pt x="3236962" y="2918381"/>
                  <a:pt x="3236962" y="2937610"/>
                </a:cubicBezTo>
                <a:cubicBezTo>
                  <a:pt x="3236962" y="2956839"/>
                  <a:pt x="3252342" y="2972430"/>
                  <a:pt x="3271309" y="2972430"/>
                </a:cubicBezTo>
                <a:cubicBezTo>
                  <a:pt x="3290276" y="2972430"/>
                  <a:pt x="3305655" y="2956839"/>
                  <a:pt x="3305655" y="2937610"/>
                </a:cubicBezTo>
                <a:cubicBezTo>
                  <a:pt x="3305655" y="2918381"/>
                  <a:pt x="3290276" y="2902790"/>
                  <a:pt x="3271309" y="2902790"/>
                </a:cubicBezTo>
                <a:close/>
                <a:moveTo>
                  <a:pt x="3355051" y="2902790"/>
                </a:moveTo>
                <a:cubicBezTo>
                  <a:pt x="3336084" y="2902790"/>
                  <a:pt x="3320704" y="2918381"/>
                  <a:pt x="3320704" y="2937610"/>
                </a:cubicBezTo>
                <a:cubicBezTo>
                  <a:pt x="3320704" y="2956839"/>
                  <a:pt x="3336084" y="2972430"/>
                  <a:pt x="3355051" y="2972430"/>
                </a:cubicBezTo>
                <a:cubicBezTo>
                  <a:pt x="3374018" y="2972430"/>
                  <a:pt x="3389398" y="2956839"/>
                  <a:pt x="3389398" y="2937610"/>
                </a:cubicBezTo>
                <a:cubicBezTo>
                  <a:pt x="3389398" y="2918381"/>
                  <a:pt x="3374018" y="2902790"/>
                  <a:pt x="3355051" y="2902790"/>
                </a:cubicBezTo>
                <a:close/>
                <a:moveTo>
                  <a:pt x="3438792" y="2902790"/>
                </a:moveTo>
                <a:cubicBezTo>
                  <a:pt x="3419825" y="2902790"/>
                  <a:pt x="3404445" y="2918381"/>
                  <a:pt x="3404445" y="2937610"/>
                </a:cubicBezTo>
                <a:cubicBezTo>
                  <a:pt x="3404445" y="2956839"/>
                  <a:pt x="3419825" y="2972430"/>
                  <a:pt x="3438792" y="2972430"/>
                </a:cubicBezTo>
                <a:cubicBezTo>
                  <a:pt x="3457759" y="2972430"/>
                  <a:pt x="3473139" y="2956839"/>
                  <a:pt x="3473139" y="2937610"/>
                </a:cubicBezTo>
                <a:cubicBezTo>
                  <a:pt x="3473139" y="2918381"/>
                  <a:pt x="3457759" y="2902790"/>
                  <a:pt x="3438792" y="2902790"/>
                </a:cubicBezTo>
                <a:close/>
                <a:moveTo>
                  <a:pt x="3522533" y="2902790"/>
                </a:moveTo>
                <a:cubicBezTo>
                  <a:pt x="3503566" y="2902790"/>
                  <a:pt x="3488187" y="2918381"/>
                  <a:pt x="3488187" y="2937610"/>
                </a:cubicBezTo>
                <a:cubicBezTo>
                  <a:pt x="3488187" y="2956839"/>
                  <a:pt x="3503566" y="2972430"/>
                  <a:pt x="3522533" y="2972430"/>
                </a:cubicBezTo>
                <a:cubicBezTo>
                  <a:pt x="3541500" y="2972430"/>
                  <a:pt x="3556880" y="2956839"/>
                  <a:pt x="3556880" y="2937610"/>
                </a:cubicBezTo>
                <a:cubicBezTo>
                  <a:pt x="3556880" y="2918381"/>
                  <a:pt x="3541500" y="2902790"/>
                  <a:pt x="3522533" y="2902790"/>
                </a:cubicBezTo>
                <a:close/>
                <a:moveTo>
                  <a:pt x="3606276" y="2902790"/>
                </a:moveTo>
                <a:cubicBezTo>
                  <a:pt x="3587309" y="2902790"/>
                  <a:pt x="3571929" y="2918381"/>
                  <a:pt x="3571929" y="2937610"/>
                </a:cubicBezTo>
                <a:cubicBezTo>
                  <a:pt x="3571929" y="2956839"/>
                  <a:pt x="3587309" y="2972430"/>
                  <a:pt x="3606276" y="2972430"/>
                </a:cubicBezTo>
                <a:cubicBezTo>
                  <a:pt x="3625243" y="2972430"/>
                  <a:pt x="3640622" y="2956839"/>
                  <a:pt x="3640622" y="2937610"/>
                </a:cubicBezTo>
                <a:cubicBezTo>
                  <a:pt x="3640622" y="2918381"/>
                  <a:pt x="3625243" y="2902790"/>
                  <a:pt x="3606276" y="2902790"/>
                </a:cubicBezTo>
                <a:close/>
                <a:moveTo>
                  <a:pt x="3690017" y="2902790"/>
                </a:moveTo>
                <a:cubicBezTo>
                  <a:pt x="3671050" y="2902790"/>
                  <a:pt x="3655670" y="2918381"/>
                  <a:pt x="3655670" y="2937610"/>
                </a:cubicBezTo>
                <a:cubicBezTo>
                  <a:pt x="3655670" y="2956839"/>
                  <a:pt x="3671050" y="2972430"/>
                  <a:pt x="3690017" y="2972430"/>
                </a:cubicBezTo>
                <a:cubicBezTo>
                  <a:pt x="3708984" y="2972430"/>
                  <a:pt x="3724364" y="2956839"/>
                  <a:pt x="3724364" y="2937610"/>
                </a:cubicBezTo>
                <a:cubicBezTo>
                  <a:pt x="3724364" y="2918381"/>
                  <a:pt x="3708984" y="2902790"/>
                  <a:pt x="3690017" y="2902790"/>
                </a:cubicBezTo>
                <a:close/>
                <a:moveTo>
                  <a:pt x="5616081" y="2902790"/>
                </a:moveTo>
                <a:cubicBezTo>
                  <a:pt x="5597114" y="2902790"/>
                  <a:pt x="5581734" y="2918381"/>
                  <a:pt x="5581734" y="2937610"/>
                </a:cubicBezTo>
                <a:cubicBezTo>
                  <a:pt x="5581734" y="2956839"/>
                  <a:pt x="5597114" y="2972430"/>
                  <a:pt x="5616081" y="2972430"/>
                </a:cubicBezTo>
                <a:cubicBezTo>
                  <a:pt x="5635048" y="2972430"/>
                  <a:pt x="5650427" y="2956839"/>
                  <a:pt x="5650427" y="2937610"/>
                </a:cubicBezTo>
                <a:cubicBezTo>
                  <a:pt x="5650427" y="2918381"/>
                  <a:pt x="5635048" y="2902790"/>
                  <a:pt x="5616081" y="2902790"/>
                </a:cubicBezTo>
                <a:close/>
                <a:moveTo>
                  <a:pt x="5699823" y="2902790"/>
                </a:moveTo>
                <a:cubicBezTo>
                  <a:pt x="5680856" y="2902790"/>
                  <a:pt x="5665476" y="2918381"/>
                  <a:pt x="5665476" y="2937610"/>
                </a:cubicBezTo>
                <a:cubicBezTo>
                  <a:pt x="5665476" y="2956839"/>
                  <a:pt x="5680856" y="2972430"/>
                  <a:pt x="5699823" y="2972430"/>
                </a:cubicBezTo>
                <a:cubicBezTo>
                  <a:pt x="5718790" y="2972430"/>
                  <a:pt x="5734170" y="2956839"/>
                  <a:pt x="5734170" y="2937610"/>
                </a:cubicBezTo>
                <a:cubicBezTo>
                  <a:pt x="5734170" y="2918381"/>
                  <a:pt x="5718790" y="2902790"/>
                  <a:pt x="5699823" y="2902790"/>
                </a:cubicBezTo>
                <a:close/>
                <a:moveTo>
                  <a:pt x="5783564" y="2902790"/>
                </a:moveTo>
                <a:cubicBezTo>
                  <a:pt x="5764597" y="2902790"/>
                  <a:pt x="5749218" y="2918381"/>
                  <a:pt x="5749218" y="2937610"/>
                </a:cubicBezTo>
                <a:cubicBezTo>
                  <a:pt x="5749218" y="2956839"/>
                  <a:pt x="5764597" y="2972430"/>
                  <a:pt x="5783564" y="2972430"/>
                </a:cubicBezTo>
                <a:cubicBezTo>
                  <a:pt x="5802531" y="2972430"/>
                  <a:pt x="5817911" y="2956839"/>
                  <a:pt x="5817911" y="2937610"/>
                </a:cubicBezTo>
                <a:cubicBezTo>
                  <a:pt x="5817911" y="2918381"/>
                  <a:pt x="5802531" y="2902790"/>
                  <a:pt x="5783564" y="2902790"/>
                </a:cubicBezTo>
                <a:close/>
                <a:moveTo>
                  <a:pt x="5867305" y="2902790"/>
                </a:moveTo>
                <a:cubicBezTo>
                  <a:pt x="5848338" y="2902790"/>
                  <a:pt x="5832959" y="2918381"/>
                  <a:pt x="5832959" y="2937610"/>
                </a:cubicBezTo>
                <a:cubicBezTo>
                  <a:pt x="5832959" y="2956839"/>
                  <a:pt x="5848338" y="2972430"/>
                  <a:pt x="5867305" y="2972430"/>
                </a:cubicBezTo>
                <a:cubicBezTo>
                  <a:pt x="5886272" y="2972430"/>
                  <a:pt x="5901652" y="2956839"/>
                  <a:pt x="5901652" y="2937610"/>
                </a:cubicBezTo>
                <a:cubicBezTo>
                  <a:pt x="5901652" y="2918381"/>
                  <a:pt x="5886272" y="2902790"/>
                  <a:pt x="5867305" y="2902790"/>
                </a:cubicBezTo>
                <a:close/>
                <a:moveTo>
                  <a:pt x="6118531" y="2902790"/>
                </a:moveTo>
                <a:cubicBezTo>
                  <a:pt x="6099557" y="2902790"/>
                  <a:pt x="6084177" y="2918381"/>
                  <a:pt x="6084177" y="2937610"/>
                </a:cubicBezTo>
                <a:cubicBezTo>
                  <a:pt x="6084177" y="2956839"/>
                  <a:pt x="6099557" y="2972430"/>
                  <a:pt x="6118531" y="2972430"/>
                </a:cubicBezTo>
                <a:cubicBezTo>
                  <a:pt x="6137498" y="2972430"/>
                  <a:pt x="6152871" y="2956839"/>
                  <a:pt x="6152871" y="2937610"/>
                </a:cubicBezTo>
                <a:cubicBezTo>
                  <a:pt x="6152871" y="2918381"/>
                  <a:pt x="6137498" y="2902790"/>
                  <a:pt x="6118531" y="2902790"/>
                </a:cubicBezTo>
                <a:close/>
                <a:moveTo>
                  <a:pt x="6286014" y="2902790"/>
                </a:moveTo>
                <a:cubicBezTo>
                  <a:pt x="6267047" y="2902790"/>
                  <a:pt x="6251661" y="2918381"/>
                  <a:pt x="6251661" y="2937610"/>
                </a:cubicBezTo>
                <a:cubicBezTo>
                  <a:pt x="6251661" y="2956839"/>
                  <a:pt x="6267047" y="2972430"/>
                  <a:pt x="6286014" y="2972430"/>
                </a:cubicBezTo>
                <a:cubicBezTo>
                  <a:pt x="6304981" y="2972430"/>
                  <a:pt x="6320354" y="2956839"/>
                  <a:pt x="6320354" y="2937610"/>
                </a:cubicBezTo>
                <a:cubicBezTo>
                  <a:pt x="6320354" y="2918381"/>
                  <a:pt x="6304981" y="2902790"/>
                  <a:pt x="6286014" y="2902790"/>
                </a:cubicBezTo>
                <a:close/>
                <a:moveTo>
                  <a:pt x="6453498" y="2902790"/>
                </a:moveTo>
                <a:cubicBezTo>
                  <a:pt x="6434531" y="2902790"/>
                  <a:pt x="6419144" y="2918381"/>
                  <a:pt x="6419144" y="2937610"/>
                </a:cubicBezTo>
                <a:cubicBezTo>
                  <a:pt x="6419144" y="2956839"/>
                  <a:pt x="6434531" y="2972430"/>
                  <a:pt x="6453498" y="2972430"/>
                </a:cubicBezTo>
                <a:cubicBezTo>
                  <a:pt x="6472465" y="2972430"/>
                  <a:pt x="6487838" y="2956839"/>
                  <a:pt x="6487838" y="2937610"/>
                </a:cubicBezTo>
                <a:cubicBezTo>
                  <a:pt x="6487838" y="2918381"/>
                  <a:pt x="6472465" y="2902790"/>
                  <a:pt x="6453498" y="2902790"/>
                </a:cubicBezTo>
                <a:close/>
                <a:moveTo>
                  <a:pt x="6620980" y="2902790"/>
                </a:moveTo>
                <a:cubicBezTo>
                  <a:pt x="6602013" y="2902790"/>
                  <a:pt x="6586627" y="2918381"/>
                  <a:pt x="6586627" y="2937610"/>
                </a:cubicBezTo>
                <a:cubicBezTo>
                  <a:pt x="6586627" y="2956839"/>
                  <a:pt x="6602013" y="2972430"/>
                  <a:pt x="6620980" y="2972430"/>
                </a:cubicBezTo>
                <a:cubicBezTo>
                  <a:pt x="6639947" y="2972430"/>
                  <a:pt x="6655320" y="2956839"/>
                  <a:pt x="6655320" y="2937610"/>
                </a:cubicBezTo>
                <a:cubicBezTo>
                  <a:pt x="6655320" y="2918381"/>
                  <a:pt x="6639947" y="2902790"/>
                  <a:pt x="6620980" y="2902790"/>
                </a:cubicBezTo>
                <a:close/>
                <a:moveTo>
                  <a:pt x="6788464" y="2902790"/>
                </a:moveTo>
                <a:cubicBezTo>
                  <a:pt x="6769497" y="2902790"/>
                  <a:pt x="6754110" y="2918381"/>
                  <a:pt x="6754110" y="2937610"/>
                </a:cubicBezTo>
                <a:cubicBezTo>
                  <a:pt x="6754110" y="2956839"/>
                  <a:pt x="6769497" y="2972430"/>
                  <a:pt x="6788464" y="2972430"/>
                </a:cubicBezTo>
                <a:cubicBezTo>
                  <a:pt x="6807431" y="2972430"/>
                  <a:pt x="6822804" y="2956839"/>
                  <a:pt x="6822804" y="2937610"/>
                </a:cubicBezTo>
                <a:cubicBezTo>
                  <a:pt x="6822804" y="2918381"/>
                  <a:pt x="6807431" y="2902790"/>
                  <a:pt x="6788464" y="2902790"/>
                </a:cubicBezTo>
                <a:close/>
                <a:moveTo>
                  <a:pt x="6872206" y="2902790"/>
                </a:moveTo>
                <a:cubicBezTo>
                  <a:pt x="6853239" y="2902790"/>
                  <a:pt x="6837853" y="2918381"/>
                  <a:pt x="6837853" y="2937610"/>
                </a:cubicBezTo>
                <a:cubicBezTo>
                  <a:pt x="6837853" y="2956839"/>
                  <a:pt x="6853239" y="2972430"/>
                  <a:pt x="6872206" y="2972430"/>
                </a:cubicBezTo>
                <a:cubicBezTo>
                  <a:pt x="6891173" y="2972430"/>
                  <a:pt x="6906546" y="2956839"/>
                  <a:pt x="6906546" y="2937610"/>
                </a:cubicBezTo>
                <a:cubicBezTo>
                  <a:pt x="6906546" y="2918381"/>
                  <a:pt x="6891173" y="2902790"/>
                  <a:pt x="6872206" y="2902790"/>
                </a:cubicBezTo>
                <a:close/>
                <a:moveTo>
                  <a:pt x="6955947" y="2902790"/>
                </a:moveTo>
                <a:cubicBezTo>
                  <a:pt x="6936980" y="2902790"/>
                  <a:pt x="6921594" y="2918381"/>
                  <a:pt x="6921594" y="2937610"/>
                </a:cubicBezTo>
                <a:cubicBezTo>
                  <a:pt x="6921594" y="2956839"/>
                  <a:pt x="6936980" y="2972430"/>
                  <a:pt x="6955947" y="2972430"/>
                </a:cubicBezTo>
                <a:cubicBezTo>
                  <a:pt x="6974914" y="2972430"/>
                  <a:pt x="6990287" y="2956839"/>
                  <a:pt x="6990287" y="2937610"/>
                </a:cubicBezTo>
                <a:cubicBezTo>
                  <a:pt x="6990287" y="2918381"/>
                  <a:pt x="6974914" y="2902790"/>
                  <a:pt x="6955947" y="2902790"/>
                </a:cubicBezTo>
                <a:close/>
                <a:moveTo>
                  <a:pt x="7123456" y="2902790"/>
                </a:moveTo>
                <a:cubicBezTo>
                  <a:pt x="7104489" y="2902790"/>
                  <a:pt x="7089103" y="2918381"/>
                  <a:pt x="7089103" y="2937610"/>
                </a:cubicBezTo>
                <a:cubicBezTo>
                  <a:pt x="7089103" y="2956839"/>
                  <a:pt x="7104489" y="2972430"/>
                  <a:pt x="7123456" y="2972430"/>
                </a:cubicBezTo>
                <a:cubicBezTo>
                  <a:pt x="7142423" y="2972430"/>
                  <a:pt x="7157796" y="2956839"/>
                  <a:pt x="7157796" y="2937610"/>
                </a:cubicBezTo>
                <a:cubicBezTo>
                  <a:pt x="7157796" y="2918381"/>
                  <a:pt x="7142423" y="2902790"/>
                  <a:pt x="7123456" y="2902790"/>
                </a:cubicBezTo>
                <a:close/>
                <a:moveTo>
                  <a:pt x="7207198" y="2902790"/>
                </a:moveTo>
                <a:cubicBezTo>
                  <a:pt x="7188231" y="2902790"/>
                  <a:pt x="7172845" y="2918381"/>
                  <a:pt x="7172845" y="2937610"/>
                </a:cubicBezTo>
                <a:cubicBezTo>
                  <a:pt x="7172845" y="2956839"/>
                  <a:pt x="7188231" y="2972430"/>
                  <a:pt x="7207198" y="2972430"/>
                </a:cubicBezTo>
                <a:cubicBezTo>
                  <a:pt x="7226165" y="2972430"/>
                  <a:pt x="7241538" y="2956839"/>
                  <a:pt x="7241538" y="2937610"/>
                </a:cubicBezTo>
                <a:cubicBezTo>
                  <a:pt x="7241538" y="2918381"/>
                  <a:pt x="7226165" y="2902790"/>
                  <a:pt x="7207198" y="2902790"/>
                </a:cubicBezTo>
                <a:close/>
                <a:moveTo>
                  <a:pt x="7290939" y="2902790"/>
                </a:moveTo>
                <a:cubicBezTo>
                  <a:pt x="7271972" y="2902790"/>
                  <a:pt x="7256586" y="2918381"/>
                  <a:pt x="7256586" y="2937610"/>
                </a:cubicBezTo>
                <a:cubicBezTo>
                  <a:pt x="7256586" y="2956839"/>
                  <a:pt x="7271972" y="2972430"/>
                  <a:pt x="7290939" y="2972430"/>
                </a:cubicBezTo>
                <a:cubicBezTo>
                  <a:pt x="7309906" y="2972430"/>
                  <a:pt x="7325279" y="2956839"/>
                  <a:pt x="7325279" y="2937610"/>
                </a:cubicBezTo>
                <a:cubicBezTo>
                  <a:pt x="7325279" y="2918381"/>
                  <a:pt x="7309906" y="2902790"/>
                  <a:pt x="7290939" y="2902790"/>
                </a:cubicBezTo>
                <a:close/>
                <a:moveTo>
                  <a:pt x="7458423" y="2902790"/>
                </a:moveTo>
                <a:cubicBezTo>
                  <a:pt x="7439456" y="2902790"/>
                  <a:pt x="7424070" y="2918381"/>
                  <a:pt x="7424070" y="2937610"/>
                </a:cubicBezTo>
                <a:cubicBezTo>
                  <a:pt x="7424070" y="2956839"/>
                  <a:pt x="7439456" y="2972430"/>
                  <a:pt x="7458423" y="2972430"/>
                </a:cubicBezTo>
                <a:cubicBezTo>
                  <a:pt x="7477390" y="2972430"/>
                  <a:pt x="7492763" y="2956839"/>
                  <a:pt x="7492763" y="2937610"/>
                </a:cubicBezTo>
                <a:cubicBezTo>
                  <a:pt x="7492763" y="2918381"/>
                  <a:pt x="7477390" y="2902790"/>
                  <a:pt x="7458423" y="2902790"/>
                </a:cubicBezTo>
                <a:close/>
                <a:moveTo>
                  <a:pt x="7542164" y="2902790"/>
                </a:moveTo>
                <a:cubicBezTo>
                  <a:pt x="7523197" y="2902790"/>
                  <a:pt x="7507811" y="2918381"/>
                  <a:pt x="7507811" y="2937610"/>
                </a:cubicBezTo>
                <a:cubicBezTo>
                  <a:pt x="7507811" y="2956839"/>
                  <a:pt x="7523197" y="2972430"/>
                  <a:pt x="7542164" y="2972430"/>
                </a:cubicBezTo>
                <a:cubicBezTo>
                  <a:pt x="7561131" y="2972430"/>
                  <a:pt x="7576504" y="2956839"/>
                  <a:pt x="7576504" y="2937610"/>
                </a:cubicBezTo>
                <a:cubicBezTo>
                  <a:pt x="7576504" y="2918381"/>
                  <a:pt x="7561131" y="2902790"/>
                  <a:pt x="7542164" y="2902790"/>
                </a:cubicBezTo>
                <a:close/>
                <a:moveTo>
                  <a:pt x="7625906" y="2902790"/>
                </a:moveTo>
                <a:cubicBezTo>
                  <a:pt x="7606939" y="2902790"/>
                  <a:pt x="7591553" y="2918381"/>
                  <a:pt x="7591553" y="2937610"/>
                </a:cubicBezTo>
                <a:cubicBezTo>
                  <a:pt x="7591553" y="2956839"/>
                  <a:pt x="7606939" y="2972430"/>
                  <a:pt x="7625906" y="2972430"/>
                </a:cubicBezTo>
                <a:cubicBezTo>
                  <a:pt x="7644873" y="2972430"/>
                  <a:pt x="7660246" y="2956839"/>
                  <a:pt x="7660246" y="2937610"/>
                </a:cubicBezTo>
                <a:cubicBezTo>
                  <a:pt x="7660246" y="2918381"/>
                  <a:pt x="7644873" y="2902790"/>
                  <a:pt x="7625906" y="2902790"/>
                </a:cubicBezTo>
                <a:close/>
                <a:moveTo>
                  <a:pt x="7709647" y="2902790"/>
                </a:moveTo>
                <a:cubicBezTo>
                  <a:pt x="7690680" y="2902790"/>
                  <a:pt x="7675294" y="2918381"/>
                  <a:pt x="7675294" y="2937610"/>
                </a:cubicBezTo>
                <a:cubicBezTo>
                  <a:pt x="7675294" y="2956839"/>
                  <a:pt x="7690680" y="2972430"/>
                  <a:pt x="7709647" y="2972430"/>
                </a:cubicBezTo>
                <a:cubicBezTo>
                  <a:pt x="7728614" y="2972430"/>
                  <a:pt x="7743988" y="2956839"/>
                  <a:pt x="7743988" y="2937610"/>
                </a:cubicBezTo>
                <a:cubicBezTo>
                  <a:pt x="7743988" y="2918381"/>
                  <a:pt x="7728614" y="2902790"/>
                  <a:pt x="7709647" y="2902790"/>
                </a:cubicBezTo>
                <a:close/>
                <a:moveTo>
                  <a:pt x="7793389" y="2902790"/>
                </a:moveTo>
                <a:cubicBezTo>
                  <a:pt x="7774422" y="2902790"/>
                  <a:pt x="7759036" y="2918381"/>
                  <a:pt x="7759036" y="2937610"/>
                </a:cubicBezTo>
                <a:cubicBezTo>
                  <a:pt x="7759036" y="2956839"/>
                  <a:pt x="7774422" y="2972430"/>
                  <a:pt x="7793389" y="2972430"/>
                </a:cubicBezTo>
                <a:cubicBezTo>
                  <a:pt x="7812356" y="2972430"/>
                  <a:pt x="7827729" y="2956839"/>
                  <a:pt x="7827729" y="2937610"/>
                </a:cubicBezTo>
                <a:cubicBezTo>
                  <a:pt x="7827729" y="2918381"/>
                  <a:pt x="7812356" y="2902790"/>
                  <a:pt x="7793389" y="2902790"/>
                </a:cubicBezTo>
                <a:close/>
                <a:moveTo>
                  <a:pt x="7877131" y="2902790"/>
                </a:moveTo>
                <a:cubicBezTo>
                  <a:pt x="7858164" y="2902790"/>
                  <a:pt x="7842778" y="2918381"/>
                  <a:pt x="7842778" y="2937610"/>
                </a:cubicBezTo>
                <a:cubicBezTo>
                  <a:pt x="7842778" y="2956839"/>
                  <a:pt x="7858164" y="2972430"/>
                  <a:pt x="7877131" y="2972430"/>
                </a:cubicBezTo>
                <a:cubicBezTo>
                  <a:pt x="7896098" y="2972430"/>
                  <a:pt x="7911471" y="2956839"/>
                  <a:pt x="7911471" y="2937610"/>
                </a:cubicBezTo>
                <a:cubicBezTo>
                  <a:pt x="7911471" y="2918381"/>
                  <a:pt x="7896098" y="2902790"/>
                  <a:pt x="7877131" y="2902790"/>
                </a:cubicBezTo>
                <a:close/>
                <a:moveTo>
                  <a:pt x="7960872" y="2902790"/>
                </a:moveTo>
                <a:cubicBezTo>
                  <a:pt x="7941905" y="2902790"/>
                  <a:pt x="7926519" y="2918381"/>
                  <a:pt x="7926519" y="2937610"/>
                </a:cubicBezTo>
                <a:cubicBezTo>
                  <a:pt x="7926519" y="2956839"/>
                  <a:pt x="7941905" y="2972430"/>
                  <a:pt x="7960872" y="2972430"/>
                </a:cubicBezTo>
                <a:cubicBezTo>
                  <a:pt x="7979839" y="2972430"/>
                  <a:pt x="7995212" y="2956839"/>
                  <a:pt x="7995212" y="2937610"/>
                </a:cubicBezTo>
                <a:cubicBezTo>
                  <a:pt x="7995212" y="2918381"/>
                  <a:pt x="7979839" y="2902790"/>
                  <a:pt x="7960872" y="2902790"/>
                </a:cubicBezTo>
                <a:close/>
                <a:moveTo>
                  <a:pt x="8044614" y="2902790"/>
                </a:moveTo>
                <a:cubicBezTo>
                  <a:pt x="8025647" y="2902790"/>
                  <a:pt x="8010261" y="2918381"/>
                  <a:pt x="8010261" y="2937610"/>
                </a:cubicBezTo>
                <a:cubicBezTo>
                  <a:pt x="8010261" y="2956839"/>
                  <a:pt x="8025647" y="2972430"/>
                  <a:pt x="8044614" y="2972430"/>
                </a:cubicBezTo>
                <a:cubicBezTo>
                  <a:pt x="8063581" y="2972430"/>
                  <a:pt x="8078955" y="2956839"/>
                  <a:pt x="8078955" y="2937610"/>
                </a:cubicBezTo>
                <a:cubicBezTo>
                  <a:pt x="8078955" y="2918381"/>
                  <a:pt x="8063581" y="2902790"/>
                  <a:pt x="8044614" y="2902790"/>
                </a:cubicBezTo>
                <a:close/>
                <a:moveTo>
                  <a:pt x="8128356" y="2902790"/>
                </a:moveTo>
                <a:cubicBezTo>
                  <a:pt x="8109389" y="2902790"/>
                  <a:pt x="8094003" y="2918381"/>
                  <a:pt x="8094003" y="2937610"/>
                </a:cubicBezTo>
                <a:cubicBezTo>
                  <a:pt x="8094003" y="2956839"/>
                  <a:pt x="8109389" y="2972430"/>
                  <a:pt x="8128356" y="2972430"/>
                </a:cubicBezTo>
                <a:cubicBezTo>
                  <a:pt x="8147323" y="2972430"/>
                  <a:pt x="8162696" y="2956839"/>
                  <a:pt x="8162696" y="2937610"/>
                </a:cubicBezTo>
                <a:cubicBezTo>
                  <a:pt x="8162696" y="2918381"/>
                  <a:pt x="8147323" y="2902790"/>
                  <a:pt x="8128356" y="2902790"/>
                </a:cubicBezTo>
                <a:close/>
                <a:moveTo>
                  <a:pt x="8212097" y="2902790"/>
                </a:moveTo>
                <a:cubicBezTo>
                  <a:pt x="8193130" y="2902790"/>
                  <a:pt x="8177744" y="2918381"/>
                  <a:pt x="8177744" y="2937610"/>
                </a:cubicBezTo>
                <a:cubicBezTo>
                  <a:pt x="8177744" y="2956839"/>
                  <a:pt x="8193130" y="2972430"/>
                  <a:pt x="8212097" y="2972430"/>
                </a:cubicBezTo>
                <a:cubicBezTo>
                  <a:pt x="8231064" y="2972430"/>
                  <a:pt x="8246437" y="2956839"/>
                  <a:pt x="8246437" y="2937610"/>
                </a:cubicBezTo>
                <a:cubicBezTo>
                  <a:pt x="8246437" y="2918381"/>
                  <a:pt x="8231064" y="2902790"/>
                  <a:pt x="8212097" y="2902790"/>
                </a:cubicBezTo>
                <a:close/>
                <a:moveTo>
                  <a:pt x="8295839" y="2902790"/>
                </a:moveTo>
                <a:cubicBezTo>
                  <a:pt x="8276872" y="2902790"/>
                  <a:pt x="8261486" y="2918381"/>
                  <a:pt x="8261486" y="2937610"/>
                </a:cubicBezTo>
                <a:cubicBezTo>
                  <a:pt x="8261486" y="2956839"/>
                  <a:pt x="8276872" y="2972430"/>
                  <a:pt x="8295839" y="2972430"/>
                </a:cubicBezTo>
                <a:cubicBezTo>
                  <a:pt x="8314806" y="2972430"/>
                  <a:pt x="8330179" y="2956839"/>
                  <a:pt x="8330179" y="2937610"/>
                </a:cubicBezTo>
                <a:cubicBezTo>
                  <a:pt x="8330179" y="2918381"/>
                  <a:pt x="8314806" y="2902790"/>
                  <a:pt x="8295839" y="2902790"/>
                </a:cubicBezTo>
                <a:close/>
                <a:moveTo>
                  <a:pt x="8379580" y="2902790"/>
                </a:moveTo>
                <a:cubicBezTo>
                  <a:pt x="8360613" y="2902790"/>
                  <a:pt x="8345227" y="2918381"/>
                  <a:pt x="8345227" y="2937610"/>
                </a:cubicBezTo>
                <a:cubicBezTo>
                  <a:pt x="8345227" y="2956839"/>
                  <a:pt x="8360613" y="2972430"/>
                  <a:pt x="8379580" y="2972430"/>
                </a:cubicBezTo>
                <a:cubicBezTo>
                  <a:pt x="8398547" y="2972430"/>
                  <a:pt x="8413921" y="2956839"/>
                  <a:pt x="8413921" y="2937610"/>
                </a:cubicBezTo>
                <a:cubicBezTo>
                  <a:pt x="8413921" y="2918381"/>
                  <a:pt x="8398547" y="2902790"/>
                  <a:pt x="8379580" y="2902790"/>
                </a:cubicBezTo>
                <a:close/>
                <a:moveTo>
                  <a:pt x="8463323" y="2902790"/>
                </a:moveTo>
                <a:cubicBezTo>
                  <a:pt x="8444356" y="2902790"/>
                  <a:pt x="8428970" y="2918381"/>
                  <a:pt x="8428970" y="2937610"/>
                </a:cubicBezTo>
                <a:cubicBezTo>
                  <a:pt x="8428970" y="2956839"/>
                  <a:pt x="8444356" y="2972430"/>
                  <a:pt x="8463323" y="2972430"/>
                </a:cubicBezTo>
                <a:cubicBezTo>
                  <a:pt x="8482290" y="2972430"/>
                  <a:pt x="8497663" y="2956839"/>
                  <a:pt x="8497663" y="2937610"/>
                </a:cubicBezTo>
                <a:cubicBezTo>
                  <a:pt x="8497663" y="2918381"/>
                  <a:pt x="8482290" y="2902790"/>
                  <a:pt x="8463323" y="2902790"/>
                </a:cubicBezTo>
                <a:close/>
                <a:moveTo>
                  <a:pt x="8547064" y="2902790"/>
                </a:moveTo>
                <a:cubicBezTo>
                  <a:pt x="8528097" y="2902790"/>
                  <a:pt x="8512711" y="2918381"/>
                  <a:pt x="8512711" y="2937610"/>
                </a:cubicBezTo>
                <a:cubicBezTo>
                  <a:pt x="8512711" y="2956839"/>
                  <a:pt x="8528097" y="2972430"/>
                  <a:pt x="8547064" y="2972430"/>
                </a:cubicBezTo>
                <a:cubicBezTo>
                  <a:pt x="8566031" y="2972430"/>
                  <a:pt x="8581404" y="2956839"/>
                  <a:pt x="8581404" y="2937610"/>
                </a:cubicBezTo>
                <a:cubicBezTo>
                  <a:pt x="8581404" y="2918381"/>
                  <a:pt x="8566031" y="2902790"/>
                  <a:pt x="8547064" y="2902790"/>
                </a:cubicBezTo>
                <a:close/>
                <a:moveTo>
                  <a:pt x="8630805" y="2902790"/>
                </a:moveTo>
                <a:cubicBezTo>
                  <a:pt x="8611838" y="2902790"/>
                  <a:pt x="8596452" y="2918381"/>
                  <a:pt x="8596452" y="2937610"/>
                </a:cubicBezTo>
                <a:cubicBezTo>
                  <a:pt x="8596452" y="2956839"/>
                  <a:pt x="8611838" y="2972430"/>
                  <a:pt x="8630805" y="2972430"/>
                </a:cubicBezTo>
                <a:cubicBezTo>
                  <a:pt x="8649772" y="2972430"/>
                  <a:pt x="8665145" y="2956839"/>
                  <a:pt x="8665145" y="2937610"/>
                </a:cubicBezTo>
                <a:cubicBezTo>
                  <a:pt x="8665145" y="2918381"/>
                  <a:pt x="8649772" y="2902790"/>
                  <a:pt x="8630805" y="2902790"/>
                </a:cubicBezTo>
                <a:close/>
                <a:moveTo>
                  <a:pt x="8714547" y="2902790"/>
                </a:moveTo>
                <a:cubicBezTo>
                  <a:pt x="8695580" y="2902790"/>
                  <a:pt x="8680194" y="2918381"/>
                  <a:pt x="8680194" y="2937610"/>
                </a:cubicBezTo>
                <a:cubicBezTo>
                  <a:pt x="8680194" y="2956839"/>
                  <a:pt x="8695580" y="2972430"/>
                  <a:pt x="8714547" y="2972430"/>
                </a:cubicBezTo>
                <a:cubicBezTo>
                  <a:pt x="8733514" y="2972430"/>
                  <a:pt x="8748888" y="2956839"/>
                  <a:pt x="8748888" y="2937610"/>
                </a:cubicBezTo>
                <a:cubicBezTo>
                  <a:pt x="8748888" y="2918381"/>
                  <a:pt x="8733514" y="2902790"/>
                  <a:pt x="8714547" y="2902790"/>
                </a:cubicBezTo>
                <a:close/>
                <a:moveTo>
                  <a:pt x="8798289" y="2902790"/>
                </a:moveTo>
                <a:cubicBezTo>
                  <a:pt x="8779322" y="2902790"/>
                  <a:pt x="8763936" y="2918381"/>
                  <a:pt x="8763936" y="2937610"/>
                </a:cubicBezTo>
                <a:cubicBezTo>
                  <a:pt x="8763936" y="2956839"/>
                  <a:pt x="8779322" y="2972430"/>
                  <a:pt x="8798289" y="2972430"/>
                </a:cubicBezTo>
                <a:cubicBezTo>
                  <a:pt x="8817256" y="2972430"/>
                  <a:pt x="8832629" y="2956839"/>
                  <a:pt x="8832629" y="2937610"/>
                </a:cubicBezTo>
                <a:cubicBezTo>
                  <a:pt x="8832629" y="2918381"/>
                  <a:pt x="8817256" y="2902790"/>
                  <a:pt x="8798289" y="2902790"/>
                </a:cubicBezTo>
                <a:close/>
                <a:moveTo>
                  <a:pt x="8882030" y="2902790"/>
                </a:moveTo>
                <a:cubicBezTo>
                  <a:pt x="8863063" y="2902790"/>
                  <a:pt x="8847677" y="2918381"/>
                  <a:pt x="8847677" y="2937610"/>
                </a:cubicBezTo>
                <a:cubicBezTo>
                  <a:pt x="8847677" y="2956839"/>
                  <a:pt x="8863063" y="2972430"/>
                  <a:pt x="8882030" y="2972430"/>
                </a:cubicBezTo>
                <a:cubicBezTo>
                  <a:pt x="8900997" y="2972430"/>
                  <a:pt x="8916370" y="2956839"/>
                  <a:pt x="8916370" y="2937610"/>
                </a:cubicBezTo>
                <a:cubicBezTo>
                  <a:pt x="8916370" y="2918381"/>
                  <a:pt x="8900997" y="2902790"/>
                  <a:pt x="8882030" y="2902790"/>
                </a:cubicBezTo>
                <a:close/>
                <a:moveTo>
                  <a:pt x="8965772" y="2902790"/>
                </a:moveTo>
                <a:cubicBezTo>
                  <a:pt x="8946805" y="2902790"/>
                  <a:pt x="8931419" y="2918381"/>
                  <a:pt x="8931419" y="2937610"/>
                </a:cubicBezTo>
                <a:cubicBezTo>
                  <a:pt x="8931419" y="2956839"/>
                  <a:pt x="8946805" y="2972430"/>
                  <a:pt x="8965772" y="2972430"/>
                </a:cubicBezTo>
                <a:cubicBezTo>
                  <a:pt x="8984739" y="2972430"/>
                  <a:pt x="9000112" y="2956839"/>
                  <a:pt x="9000112" y="2937610"/>
                </a:cubicBezTo>
                <a:cubicBezTo>
                  <a:pt x="9000112" y="2918381"/>
                  <a:pt x="8984739" y="2902790"/>
                  <a:pt x="8965772" y="2902790"/>
                </a:cubicBezTo>
                <a:close/>
                <a:moveTo>
                  <a:pt x="9049513" y="2902790"/>
                </a:moveTo>
                <a:cubicBezTo>
                  <a:pt x="9030546" y="2902790"/>
                  <a:pt x="9015160" y="2918381"/>
                  <a:pt x="9015160" y="2937610"/>
                </a:cubicBezTo>
                <a:cubicBezTo>
                  <a:pt x="9015160" y="2956839"/>
                  <a:pt x="9030546" y="2972430"/>
                  <a:pt x="9049513" y="2972430"/>
                </a:cubicBezTo>
                <a:cubicBezTo>
                  <a:pt x="9068480" y="2972430"/>
                  <a:pt x="9083854" y="2956839"/>
                  <a:pt x="9083854" y="2937610"/>
                </a:cubicBezTo>
                <a:cubicBezTo>
                  <a:pt x="9083854" y="2918381"/>
                  <a:pt x="9068480" y="2902790"/>
                  <a:pt x="9049513" y="2902790"/>
                </a:cubicBezTo>
                <a:close/>
                <a:moveTo>
                  <a:pt x="9133256" y="2902790"/>
                </a:moveTo>
                <a:cubicBezTo>
                  <a:pt x="9114289" y="2902790"/>
                  <a:pt x="9098903" y="2918381"/>
                  <a:pt x="9098903" y="2937610"/>
                </a:cubicBezTo>
                <a:cubicBezTo>
                  <a:pt x="9098903" y="2956839"/>
                  <a:pt x="9114289" y="2972430"/>
                  <a:pt x="9133256" y="2972430"/>
                </a:cubicBezTo>
                <a:cubicBezTo>
                  <a:pt x="9152223" y="2972430"/>
                  <a:pt x="9167596" y="2956839"/>
                  <a:pt x="9167596" y="2937610"/>
                </a:cubicBezTo>
                <a:cubicBezTo>
                  <a:pt x="9167596" y="2918381"/>
                  <a:pt x="9152223" y="2902790"/>
                  <a:pt x="9133256" y="2902790"/>
                </a:cubicBezTo>
                <a:close/>
                <a:moveTo>
                  <a:pt x="9216997" y="2902790"/>
                </a:moveTo>
                <a:cubicBezTo>
                  <a:pt x="9198030" y="2902790"/>
                  <a:pt x="9182644" y="2918381"/>
                  <a:pt x="9182644" y="2937610"/>
                </a:cubicBezTo>
                <a:cubicBezTo>
                  <a:pt x="9182644" y="2956839"/>
                  <a:pt x="9198030" y="2972430"/>
                  <a:pt x="9216997" y="2972430"/>
                </a:cubicBezTo>
                <a:cubicBezTo>
                  <a:pt x="9235964" y="2972430"/>
                  <a:pt x="9251337" y="2956839"/>
                  <a:pt x="9251337" y="2937610"/>
                </a:cubicBezTo>
                <a:cubicBezTo>
                  <a:pt x="9251337" y="2918381"/>
                  <a:pt x="9235964" y="2902790"/>
                  <a:pt x="9216997" y="2902790"/>
                </a:cubicBezTo>
                <a:close/>
                <a:moveTo>
                  <a:pt x="9300738" y="2902790"/>
                </a:moveTo>
                <a:cubicBezTo>
                  <a:pt x="9281771" y="2902790"/>
                  <a:pt x="9266385" y="2918381"/>
                  <a:pt x="9266385" y="2937610"/>
                </a:cubicBezTo>
                <a:cubicBezTo>
                  <a:pt x="9266385" y="2956839"/>
                  <a:pt x="9281771" y="2972430"/>
                  <a:pt x="9300738" y="2972430"/>
                </a:cubicBezTo>
                <a:cubicBezTo>
                  <a:pt x="9319705" y="2972430"/>
                  <a:pt x="9335078" y="2956839"/>
                  <a:pt x="9335078" y="2937610"/>
                </a:cubicBezTo>
                <a:cubicBezTo>
                  <a:pt x="9335078" y="2918381"/>
                  <a:pt x="9319705" y="2902790"/>
                  <a:pt x="9300738" y="2902790"/>
                </a:cubicBezTo>
                <a:close/>
                <a:moveTo>
                  <a:pt x="9719446" y="2902790"/>
                </a:moveTo>
                <a:cubicBezTo>
                  <a:pt x="9700479" y="2902790"/>
                  <a:pt x="9685093" y="2918381"/>
                  <a:pt x="9685093" y="2937610"/>
                </a:cubicBezTo>
                <a:cubicBezTo>
                  <a:pt x="9685093" y="2956839"/>
                  <a:pt x="9700479" y="2972430"/>
                  <a:pt x="9719446" y="2972430"/>
                </a:cubicBezTo>
                <a:cubicBezTo>
                  <a:pt x="9738413" y="2972430"/>
                  <a:pt x="9753787" y="2956839"/>
                  <a:pt x="9753787" y="2937610"/>
                </a:cubicBezTo>
                <a:cubicBezTo>
                  <a:pt x="9753787" y="2918381"/>
                  <a:pt x="9738413" y="2902790"/>
                  <a:pt x="9719446" y="2902790"/>
                </a:cubicBezTo>
                <a:close/>
                <a:moveTo>
                  <a:pt x="10054413" y="2902790"/>
                </a:moveTo>
                <a:cubicBezTo>
                  <a:pt x="10035446" y="2902790"/>
                  <a:pt x="10020060" y="2918381"/>
                  <a:pt x="10020060" y="2937610"/>
                </a:cubicBezTo>
                <a:cubicBezTo>
                  <a:pt x="10020060" y="2956839"/>
                  <a:pt x="10035446" y="2972430"/>
                  <a:pt x="10054413" y="2972430"/>
                </a:cubicBezTo>
                <a:cubicBezTo>
                  <a:pt x="10073380" y="2972430"/>
                  <a:pt x="10088754" y="2956839"/>
                  <a:pt x="10088754" y="2937610"/>
                </a:cubicBezTo>
                <a:cubicBezTo>
                  <a:pt x="10088754" y="2918381"/>
                  <a:pt x="10073380" y="2902790"/>
                  <a:pt x="10054413" y="2902790"/>
                </a:cubicBezTo>
                <a:close/>
                <a:moveTo>
                  <a:pt x="2266416" y="2987653"/>
                </a:moveTo>
                <a:cubicBezTo>
                  <a:pt x="2247449" y="2987653"/>
                  <a:pt x="2232069" y="3003245"/>
                  <a:pt x="2232069" y="3022474"/>
                </a:cubicBezTo>
                <a:cubicBezTo>
                  <a:pt x="2232069" y="3041702"/>
                  <a:pt x="2247449" y="3057294"/>
                  <a:pt x="2266416" y="3057294"/>
                </a:cubicBezTo>
                <a:cubicBezTo>
                  <a:pt x="2285383" y="3057294"/>
                  <a:pt x="2300762" y="3041702"/>
                  <a:pt x="2300762" y="3022474"/>
                </a:cubicBezTo>
                <a:cubicBezTo>
                  <a:pt x="2300762" y="3003245"/>
                  <a:pt x="2285383" y="2987653"/>
                  <a:pt x="2266416" y="2987653"/>
                </a:cubicBezTo>
                <a:close/>
                <a:moveTo>
                  <a:pt x="2350151" y="2987653"/>
                </a:moveTo>
                <a:cubicBezTo>
                  <a:pt x="2331184" y="2987653"/>
                  <a:pt x="2315804" y="3003245"/>
                  <a:pt x="2315804" y="3022474"/>
                </a:cubicBezTo>
                <a:cubicBezTo>
                  <a:pt x="2315804" y="3041702"/>
                  <a:pt x="2331184" y="3057294"/>
                  <a:pt x="2350151" y="3057294"/>
                </a:cubicBezTo>
                <a:cubicBezTo>
                  <a:pt x="2369118" y="3057294"/>
                  <a:pt x="2384498" y="3041702"/>
                  <a:pt x="2384498" y="3022474"/>
                </a:cubicBezTo>
                <a:cubicBezTo>
                  <a:pt x="2384498" y="3003245"/>
                  <a:pt x="2369118" y="2987653"/>
                  <a:pt x="2350151" y="2987653"/>
                </a:cubicBezTo>
                <a:close/>
                <a:moveTo>
                  <a:pt x="2433893" y="2987653"/>
                </a:moveTo>
                <a:cubicBezTo>
                  <a:pt x="2414926" y="2987653"/>
                  <a:pt x="2399546" y="3003245"/>
                  <a:pt x="2399546" y="3022474"/>
                </a:cubicBezTo>
                <a:cubicBezTo>
                  <a:pt x="2399546" y="3041702"/>
                  <a:pt x="2414926" y="3057294"/>
                  <a:pt x="2433893" y="3057294"/>
                </a:cubicBezTo>
                <a:cubicBezTo>
                  <a:pt x="2452860" y="3057294"/>
                  <a:pt x="2468240" y="3041702"/>
                  <a:pt x="2468240" y="3022474"/>
                </a:cubicBezTo>
                <a:cubicBezTo>
                  <a:pt x="2468240" y="3003245"/>
                  <a:pt x="2452860" y="2987653"/>
                  <a:pt x="2433893" y="2987653"/>
                </a:cubicBezTo>
                <a:close/>
                <a:moveTo>
                  <a:pt x="2517634" y="2987653"/>
                </a:moveTo>
                <a:cubicBezTo>
                  <a:pt x="2498667" y="2987653"/>
                  <a:pt x="2483288" y="3003245"/>
                  <a:pt x="2483288" y="3022474"/>
                </a:cubicBezTo>
                <a:cubicBezTo>
                  <a:pt x="2483288" y="3041702"/>
                  <a:pt x="2498667" y="3057294"/>
                  <a:pt x="2517634" y="3057294"/>
                </a:cubicBezTo>
                <a:cubicBezTo>
                  <a:pt x="2536601" y="3057294"/>
                  <a:pt x="2551981" y="3041702"/>
                  <a:pt x="2551981" y="3022474"/>
                </a:cubicBezTo>
                <a:cubicBezTo>
                  <a:pt x="2551981" y="3003245"/>
                  <a:pt x="2536601" y="2987653"/>
                  <a:pt x="2517634" y="2987653"/>
                </a:cubicBezTo>
                <a:close/>
                <a:moveTo>
                  <a:pt x="2601376" y="2987653"/>
                </a:moveTo>
                <a:cubicBezTo>
                  <a:pt x="2582409" y="2987653"/>
                  <a:pt x="2567029" y="3003245"/>
                  <a:pt x="2567029" y="3022474"/>
                </a:cubicBezTo>
                <a:cubicBezTo>
                  <a:pt x="2567029" y="3041702"/>
                  <a:pt x="2582409" y="3057294"/>
                  <a:pt x="2601376" y="3057294"/>
                </a:cubicBezTo>
                <a:cubicBezTo>
                  <a:pt x="2620343" y="3057294"/>
                  <a:pt x="2635722" y="3041702"/>
                  <a:pt x="2635722" y="3022474"/>
                </a:cubicBezTo>
                <a:cubicBezTo>
                  <a:pt x="2635722" y="3003245"/>
                  <a:pt x="2620343" y="2987653"/>
                  <a:pt x="2601376" y="2987653"/>
                </a:cubicBezTo>
                <a:close/>
                <a:moveTo>
                  <a:pt x="2685118" y="2987653"/>
                </a:moveTo>
                <a:cubicBezTo>
                  <a:pt x="2666151" y="2987653"/>
                  <a:pt x="2650771" y="3003245"/>
                  <a:pt x="2650771" y="3022474"/>
                </a:cubicBezTo>
                <a:cubicBezTo>
                  <a:pt x="2650771" y="3041702"/>
                  <a:pt x="2666151" y="3057294"/>
                  <a:pt x="2685118" y="3057294"/>
                </a:cubicBezTo>
                <a:cubicBezTo>
                  <a:pt x="2704085" y="3057294"/>
                  <a:pt x="2719465" y="3041702"/>
                  <a:pt x="2719465" y="3022474"/>
                </a:cubicBezTo>
                <a:cubicBezTo>
                  <a:pt x="2719465" y="3003245"/>
                  <a:pt x="2704085" y="2987653"/>
                  <a:pt x="2685118" y="2987653"/>
                </a:cubicBezTo>
                <a:close/>
                <a:moveTo>
                  <a:pt x="2768859" y="2987653"/>
                </a:moveTo>
                <a:cubicBezTo>
                  <a:pt x="2749892" y="2987653"/>
                  <a:pt x="2734512" y="3003245"/>
                  <a:pt x="2734512" y="3022474"/>
                </a:cubicBezTo>
                <a:cubicBezTo>
                  <a:pt x="2734512" y="3041702"/>
                  <a:pt x="2749892" y="3057294"/>
                  <a:pt x="2768859" y="3057294"/>
                </a:cubicBezTo>
                <a:cubicBezTo>
                  <a:pt x="2787826" y="3057294"/>
                  <a:pt x="2803206" y="3041702"/>
                  <a:pt x="2803206" y="3022474"/>
                </a:cubicBezTo>
                <a:cubicBezTo>
                  <a:pt x="2803206" y="3003245"/>
                  <a:pt x="2787826" y="2987653"/>
                  <a:pt x="2768859" y="2987653"/>
                </a:cubicBezTo>
                <a:close/>
                <a:moveTo>
                  <a:pt x="2852600" y="2987653"/>
                </a:moveTo>
                <a:cubicBezTo>
                  <a:pt x="2833633" y="2987653"/>
                  <a:pt x="2818254" y="3003245"/>
                  <a:pt x="2818254" y="3022474"/>
                </a:cubicBezTo>
                <a:cubicBezTo>
                  <a:pt x="2818254" y="3041702"/>
                  <a:pt x="2833633" y="3057294"/>
                  <a:pt x="2852600" y="3057294"/>
                </a:cubicBezTo>
                <a:cubicBezTo>
                  <a:pt x="2871567" y="3057294"/>
                  <a:pt x="2886947" y="3041702"/>
                  <a:pt x="2886947" y="3022474"/>
                </a:cubicBezTo>
                <a:cubicBezTo>
                  <a:pt x="2886947" y="3003245"/>
                  <a:pt x="2871567" y="2987653"/>
                  <a:pt x="2852600" y="2987653"/>
                </a:cubicBezTo>
                <a:close/>
                <a:moveTo>
                  <a:pt x="2936343" y="2987653"/>
                </a:moveTo>
                <a:cubicBezTo>
                  <a:pt x="2917376" y="2987653"/>
                  <a:pt x="2901996" y="3003245"/>
                  <a:pt x="2901996" y="3022474"/>
                </a:cubicBezTo>
                <a:cubicBezTo>
                  <a:pt x="2901996" y="3041702"/>
                  <a:pt x="2917376" y="3057294"/>
                  <a:pt x="2936343" y="3057294"/>
                </a:cubicBezTo>
                <a:cubicBezTo>
                  <a:pt x="2955310" y="3057294"/>
                  <a:pt x="2970689" y="3041702"/>
                  <a:pt x="2970689" y="3022474"/>
                </a:cubicBezTo>
                <a:cubicBezTo>
                  <a:pt x="2970689" y="3003245"/>
                  <a:pt x="2955310" y="2987653"/>
                  <a:pt x="2936343" y="2987653"/>
                </a:cubicBezTo>
                <a:close/>
                <a:moveTo>
                  <a:pt x="3020084" y="2987653"/>
                </a:moveTo>
                <a:cubicBezTo>
                  <a:pt x="3001117" y="2987653"/>
                  <a:pt x="2985737" y="3003245"/>
                  <a:pt x="2985737" y="3022474"/>
                </a:cubicBezTo>
                <a:cubicBezTo>
                  <a:pt x="2985737" y="3041702"/>
                  <a:pt x="3001117" y="3057294"/>
                  <a:pt x="3020084" y="3057294"/>
                </a:cubicBezTo>
                <a:cubicBezTo>
                  <a:pt x="3039051" y="3057294"/>
                  <a:pt x="3054431" y="3041702"/>
                  <a:pt x="3054431" y="3022474"/>
                </a:cubicBezTo>
                <a:cubicBezTo>
                  <a:pt x="3054431" y="3003245"/>
                  <a:pt x="3039051" y="2987653"/>
                  <a:pt x="3020084" y="2987653"/>
                </a:cubicBezTo>
                <a:close/>
                <a:moveTo>
                  <a:pt x="3103826" y="2987653"/>
                </a:moveTo>
                <a:cubicBezTo>
                  <a:pt x="3084859" y="2987653"/>
                  <a:pt x="3069479" y="3003245"/>
                  <a:pt x="3069479" y="3022474"/>
                </a:cubicBezTo>
                <a:cubicBezTo>
                  <a:pt x="3069479" y="3041702"/>
                  <a:pt x="3084859" y="3057294"/>
                  <a:pt x="3103826" y="3057294"/>
                </a:cubicBezTo>
                <a:cubicBezTo>
                  <a:pt x="3122793" y="3057294"/>
                  <a:pt x="3138173" y="3041702"/>
                  <a:pt x="3138173" y="3022474"/>
                </a:cubicBezTo>
                <a:cubicBezTo>
                  <a:pt x="3138173" y="3003245"/>
                  <a:pt x="3122793" y="2987653"/>
                  <a:pt x="3103826" y="2987653"/>
                </a:cubicBezTo>
                <a:close/>
                <a:moveTo>
                  <a:pt x="3187567" y="2987653"/>
                </a:moveTo>
                <a:cubicBezTo>
                  <a:pt x="3168600" y="2987653"/>
                  <a:pt x="3153221" y="3003245"/>
                  <a:pt x="3153221" y="3022474"/>
                </a:cubicBezTo>
                <a:cubicBezTo>
                  <a:pt x="3153221" y="3041702"/>
                  <a:pt x="3168600" y="3057294"/>
                  <a:pt x="3187567" y="3057294"/>
                </a:cubicBezTo>
                <a:cubicBezTo>
                  <a:pt x="3206534" y="3057294"/>
                  <a:pt x="3221914" y="3041702"/>
                  <a:pt x="3221914" y="3022474"/>
                </a:cubicBezTo>
                <a:cubicBezTo>
                  <a:pt x="3221914" y="3003245"/>
                  <a:pt x="3206534" y="2987653"/>
                  <a:pt x="3187567" y="2987653"/>
                </a:cubicBezTo>
                <a:close/>
                <a:moveTo>
                  <a:pt x="3271309" y="2987653"/>
                </a:moveTo>
                <a:cubicBezTo>
                  <a:pt x="3252342" y="2987653"/>
                  <a:pt x="3236962" y="3003245"/>
                  <a:pt x="3236962" y="3022474"/>
                </a:cubicBezTo>
                <a:cubicBezTo>
                  <a:pt x="3236962" y="3041702"/>
                  <a:pt x="3252342" y="3057294"/>
                  <a:pt x="3271309" y="3057294"/>
                </a:cubicBezTo>
                <a:cubicBezTo>
                  <a:pt x="3290276" y="3057294"/>
                  <a:pt x="3305655" y="3041702"/>
                  <a:pt x="3305655" y="3022474"/>
                </a:cubicBezTo>
                <a:cubicBezTo>
                  <a:pt x="3305655" y="3003245"/>
                  <a:pt x="3290276" y="2987653"/>
                  <a:pt x="3271309" y="2987653"/>
                </a:cubicBezTo>
                <a:close/>
                <a:moveTo>
                  <a:pt x="3355051" y="2987653"/>
                </a:moveTo>
                <a:cubicBezTo>
                  <a:pt x="3336084" y="2987653"/>
                  <a:pt x="3320704" y="3003245"/>
                  <a:pt x="3320704" y="3022474"/>
                </a:cubicBezTo>
                <a:cubicBezTo>
                  <a:pt x="3320704" y="3041702"/>
                  <a:pt x="3336084" y="3057294"/>
                  <a:pt x="3355051" y="3057294"/>
                </a:cubicBezTo>
                <a:cubicBezTo>
                  <a:pt x="3374018" y="3057294"/>
                  <a:pt x="3389398" y="3041702"/>
                  <a:pt x="3389398" y="3022474"/>
                </a:cubicBezTo>
                <a:cubicBezTo>
                  <a:pt x="3389398" y="3003245"/>
                  <a:pt x="3374018" y="2987653"/>
                  <a:pt x="3355051" y="2987653"/>
                </a:cubicBezTo>
                <a:close/>
                <a:moveTo>
                  <a:pt x="3438792" y="2987653"/>
                </a:moveTo>
                <a:cubicBezTo>
                  <a:pt x="3419825" y="2987653"/>
                  <a:pt x="3404445" y="3003245"/>
                  <a:pt x="3404445" y="3022474"/>
                </a:cubicBezTo>
                <a:cubicBezTo>
                  <a:pt x="3404445" y="3041702"/>
                  <a:pt x="3419825" y="3057294"/>
                  <a:pt x="3438792" y="3057294"/>
                </a:cubicBezTo>
                <a:cubicBezTo>
                  <a:pt x="3457759" y="3057294"/>
                  <a:pt x="3473139" y="3041702"/>
                  <a:pt x="3473139" y="3022474"/>
                </a:cubicBezTo>
                <a:cubicBezTo>
                  <a:pt x="3473139" y="3003245"/>
                  <a:pt x="3457759" y="2987653"/>
                  <a:pt x="3438792" y="2987653"/>
                </a:cubicBezTo>
                <a:close/>
                <a:moveTo>
                  <a:pt x="3522533" y="2987653"/>
                </a:moveTo>
                <a:cubicBezTo>
                  <a:pt x="3503566" y="2987653"/>
                  <a:pt x="3488187" y="3003245"/>
                  <a:pt x="3488187" y="3022474"/>
                </a:cubicBezTo>
                <a:cubicBezTo>
                  <a:pt x="3488187" y="3041702"/>
                  <a:pt x="3503566" y="3057294"/>
                  <a:pt x="3522533" y="3057294"/>
                </a:cubicBezTo>
                <a:cubicBezTo>
                  <a:pt x="3541500" y="3057294"/>
                  <a:pt x="3556880" y="3041702"/>
                  <a:pt x="3556880" y="3022474"/>
                </a:cubicBezTo>
                <a:cubicBezTo>
                  <a:pt x="3556880" y="3003245"/>
                  <a:pt x="3541500" y="2987653"/>
                  <a:pt x="3522533" y="2987653"/>
                </a:cubicBezTo>
                <a:close/>
                <a:moveTo>
                  <a:pt x="3606276" y="2987653"/>
                </a:moveTo>
                <a:cubicBezTo>
                  <a:pt x="3587309" y="2987653"/>
                  <a:pt x="3571929" y="3003245"/>
                  <a:pt x="3571929" y="3022474"/>
                </a:cubicBezTo>
                <a:cubicBezTo>
                  <a:pt x="3571929" y="3041702"/>
                  <a:pt x="3587309" y="3057294"/>
                  <a:pt x="3606276" y="3057294"/>
                </a:cubicBezTo>
                <a:cubicBezTo>
                  <a:pt x="3625243" y="3057294"/>
                  <a:pt x="3640622" y="3041702"/>
                  <a:pt x="3640622" y="3022474"/>
                </a:cubicBezTo>
                <a:cubicBezTo>
                  <a:pt x="3640622" y="3003245"/>
                  <a:pt x="3625243" y="2987653"/>
                  <a:pt x="3606276" y="2987653"/>
                </a:cubicBezTo>
                <a:close/>
                <a:moveTo>
                  <a:pt x="5616081" y="2987653"/>
                </a:moveTo>
                <a:cubicBezTo>
                  <a:pt x="5597114" y="2987653"/>
                  <a:pt x="5581734" y="3003245"/>
                  <a:pt x="5581734" y="3022474"/>
                </a:cubicBezTo>
                <a:cubicBezTo>
                  <a:pt x="5581734" y="3041702"/>
                  <a:pt x="5597114" y="3057294"/>
                  <a:pt x="5616081" y="3057294"/>
                </a:cubicBezTo>
                <a:cubicBezTo>
                  <a:pt x="5635048" y="3057294"/>
                  <a:pt x="5650427" y="3041702"/>
                  <a:pt x="5650427" y="3022474"/>
                </a:cubicBezTo>
                <a:cubicBezTo>
                  <a:pt x="5650427" y="3003245"/>
                  <a:pt x="5635048" y="2987653"/>
                  <a:pt x="5616081" y="2987653"/>
                </a:cubicBezTo>
                <a:close/>
                <a:moveTo>
                  <a:pt x="5699823" y="2987653"/>
                </a:moveTo>
                <a:cubicBezTo>
                  <a:pt x="5680856" y="2987653"/>
                  <a:pt x="5665476" y="3003245"/>
                  <a:pt x="5665476" y="3022474"/>
                </a:cubicBezTo>
                <a:cubicBezTo>
                  <a:pt x="5665476" y="3041702"/>
                  <a:pt x="5680856" y="3057294"/>
                  <a:pt x="5699823" y="3057294"/>
                </a:cubicBezTo>
                <a:cubicBezTo>
                  <a:pt x="5718790" y="3057294"/>
                  <a:pt x="5734170" y="3041702"/>
                  <a:pt x="5734170" y="3022474"/>
                </a:cubicBezTo>
                <a:cubicBezTo>
                  <a:pt x="5734170" y="3003245"/>
                  <a:pt x="5718790" y="2987653"/>
                  <a:pt x="5699823" y="2987653"/>
                </a:cubicBezTo>
                <a:close/>
                <a:moveTo>
                  <a:pt x="5783564" y="2987653"/>
                </a:moveTo>
                <a:cubicBezTo>
                  <a:pt x="5764597" y="2987653"/>
                  <a:pt x="5749218" y="3003245"/>
                  <a:pt x="5749218" y="3022474"/>
                </a:cubicBezTo>
                <a:cubicBezTo>
                  <a:pt x="5749218" y="3041702"/>
                  <a:pt x="5764597" y="3057294"/>
                  <a:pt x="5783564" y="3057294"/>
                </a:cubicBezTo>
                <a:cubicBezTo>
                  <a:pt x="5802531" y="3057294"/>
                  <a:pt x="5817911" y="3041702"/>
                  <a:pt x="5817911" y="3022474"/>
                </a:cubicBezTo>
                <a:cubicBezTo>
                  <a:pt x="5817911" y="3003245"/>
                  <a:pt x="5802531" y="2987653"/>
                  <a:pt x="5783564" y="2987653"/>
                </a:cubicBezTo>
                <a:close/>
                <a:moveTo>
                  <a:pt x="6369755" y="2987653"/>
                </a:moveTo>
                <a:cubicBezTo>
                  <a:pt x="6350788" y="2987653"/>
                  <a:pt x="6335402" y="3003245"/>
                  <a:pt x="6335402" y="3022474"/>
                </a:cubicBezTo>
                <a:cubicBezTo>
                  <a:pt x="6335402" y="3041702"/>
                  <a:pt x="6350788" y="3057294"/>
                  <a:pt x="6369755" y="3057294"/>
                </a:cubicBezTo>
                <a:cubicBezTo>
                  <a:pt x="6388722" y="3057294"/>
                  <a:pt x="6404096" y="3041702"/>
                  <a:pt x="6404096" y="3022474"/>
                </a:cubicBezTo>
                <a:cubicBezTo>
                  <a:pt x="6404096" y="3003245"/>
                  <a:pt x="6388722" y="2987653"/>
                  <a:pt x="6369755" y="2987653"/>
                </a:cubicBezTo>
                <a:close/>
                <a:moveTo>
                  <a:pt x="6537239" y="2987653"/>
                </a:moveTo>
                <a:cubicBezTo>
                  <a:pt x="6518272" y="2987653"/>
                  <a:pt x="6502886" y="3003245"/>
                  <a:pt x="6502886" y="3022474"/>
                </a:cubicBezTo>
                <a:cubicBezTo>
                  <a:pt x="6502886" y="3041702"/>
                  <a:pt x="6518272" y="3057294"/>
                  <a:pt x="6537239" y="3057294"/>
                </a:cubicBezTo>
                <a:cubicBezTo>
                  <a:pt x="6556206" y="3057294"/>
                  <a:pt x="6571579" y="3041702"/>
                  <a:pt x="6571579" y="3022474"/>
                </a:cubicBezTo>
                <a:cubicBezTo>
                  <a:pt x="6571579" y="3003245"/>
                  <a:pt x="6556206" y="2987653"/>
                  <a:pt x="6537239" y="2987653"/>
                </a:cubicBezTo>
                <a:close/>
                <a:moveTo>
                  <a:pt x="6704722" y="2987653"/>
                </a:moveTo>
                <a:cubicBezTo>
                  <a:pt x="6685755" y="2987653"/>
                  <a:pt x="6670369" y="3003245"/>
                  <a:pt x="6670369" y="3022474"/>
                </a:cubicBezTo>
                <a:cubicBezTo>
                  <a:pt x="6670369" y="3041702"/>
                  <a:pt x="6685755" y="3057294"/>
                  <a:pt x="6704722" y="3057294"/>
                </a:cubicBezTo>
                <a:cubicBezTo>
                  <a:pt x="6723689" y="3057294"/>
                  <a:pt x="6739063" y="3041702"/>
                  <a:pt x="6739063" y="3022474"/>
                </a:cubicBezTo>
                <a:cubicBezTo>
                  <a:pt x="6739063" y="3003245"/>
                  <a:pt x="6723689" y="2987653"/>
                  <a:pt x="6704722" y="2987653"/>
                </a:cubicBezTo>
                <a:close/>
                <a:moveTo>
                  <a:pt x="6788464" y="2987653"/>
                </a:moveTo>
                <a:cubicBezTo>
                  <a:pt x="6769497" y="2987653"/>
                  <a:pt x="6754110" y="3003245"/>
                  <a:pt x="6754110" y="3022474"/>
                </a:cubicBezTo>
                <a:cubicBezTo>
                  <a:pt x="6754110" y="3041702"/>
                  <a:pt x="6769497" y="3057294"/>
                  <a:pt x="6788464" y="3057294"/>
                </a:cubicBezTo>
                <a:cubicBezTo>
                  <a:pt x="6807431" y="3057294"/>
                  <a:pt x="6822804" y="3041702"/>
                  <a:pt x="6822804" y="3022474"/>
                </a:cubicBezTo>
                <a:cubicBezTo>
                  <a:pt x="6822804" y="3003245"/>
                  <a:pt x="6807431" y="2987653"/>
                  <a:pt x="6788464" y="2987653"/>
                </a:cubicBezTo>
                <a:close/>
                <a:moveTo>
                  <a:pt x="6872206" y="2987653"/>
                </a:moveTo>
                <a:cubicBezTo>
                  <a:pt x="6853239" y="2987653"/>
                  <a:pt x="6837853" y="3003245"/>
                  <a:pt x="6837853" y="3022474"/>
                </a:cubicBezTo>
                <a:cubicBezTo>
                  <a:pt x="6837853" y="3041702"/>
                  <a:pt x="6853239" y="3057294"/>
                  <a:pt x="6872206" y="3057294"/>
                </a:cubicBezTo>
                <a:cubicBezTo>
                  <a:pt x="6891173" y="3057294"/>
                  <a:pt x="6906546" y="3041702"/>
                  <a:pt x="6906546" y="3022474"/>
                </a:cubicBezTo>
                <a:cubicBezTo>
                  <a:pt x="6906546" y="3003245"/>
                  <a:pt x="6891173" y="2987653"/>
                  <a:pt x="6872206" y="2987653"/>
                </a:cubicBezTo>
                <a:close/>
                <a:moveTo>
                  <a:pt x="6955947" y="2987653"/>
                </a:moveTo>
                <a:cubicBezTo>
                  <a:pt x="6936980" y="2987653"/>
                  <a:pt x="6921594" y="3003245"/>
                  <a:pt x="6921594" y="3022474"/>
                </a:cubicBezTo>
                <a:cubicBezTo>
                  <a:pt x="6921594" y="3041702"/>
                  <a:pt x="6936980" y="3057294"/>
                  <a:pt x="6955947" y="3057294"/>
                </a:cubicBezTo>
                <a:cubicBezTo>
                  <a:pt x="6974914" y="3057294"/>
                  <a:pt x="6990287" y="3041702"/>
                  <a:pt x="6990287" y="3022474"/>
                </a:cubicBezTo>
                <a:cubicBezTo>
                  <a:pt x="6990287" y="3003245"/>
                  <a:pt x="6974914" y="2987653"/>
                  <a:pt x="6955947" y="2987653"/>
                </a:cubicBezTo>
                <a:close/>
                <a:moveTo>
                  <a:pt x="7039688" y="2987653"/>
                </a:moveTo>
                <a:cubicBezTo>
                  <a:pt x="7020721" y="2987653"/>
                  <a:pt x="7005335" y="3003245"/>
                  <a:pt x="7005335" y="3022474"/>
                </a:cubicBezTo>
                <a:cubicBezTo>
                  <a:pt x="7005335" y="3041702"/>
                  <a:pt x="7020721" y="3057294"/>
                  <a:pt x="7039688" y="3057294"/>
                </a:cubicBezTo>
                <a:cubicBezTo>
                  <a:pt x="7058655" y="3057294"/>
                  <a:pt x="7074029" y="3041702"/>
                  <a:pt x="7074029" y="3022474"/>
                </a:cubicBezTo>
                <a:cubicBezTo>
                  <a:pt x="7074029" y="3003245"/>
                  <a:pt x="7058655" y="2987653"/>
                  <a:pt x="7039688" y="2987653"/>
                </a:cubicBezTo>
                <a:close/>
                <a:moveTo>
                  <a:pt x="7123456" y="2987653"/>
                </a:moveTo>
                <a:cubicBezTo>
                  <a:pt x="7104489" y="2987653"/>
                  <a:pt x="7089103" y="3003245"/>
                  <a:pt x="7089103" y="3022474"/>
                </a:cubicBezTo>
                <a:cubicBezTo>
                  <a:pt x="7089103" y="3041702"/>
                  <a:pt x="7104489" y="3057294"/>
                  <a:pt x="7123456" y="3057294"/>
                </a:cubicBezTo>
                <a:cubicBezTo>
                  <a:pt x="7142423" y="3057294"/>
                  <a:pt x="7157796" y="3041702"/>
                  <a:pt x="7157796" y="3022474"/>
                </a:cubicBezTo>
                <a:cubicBezTo>
                  <a:pt x="7157796" y="3003245"/>
                  <a:pt x="7142423" y="2987653"/>
                  <a:pt x="7123456" y="2987653"/>
                </a:cubicBezTo>
                <a:close/>
                <a:moveTo>
                  <a:pt x="7207198" y="2987653"/>
                </a:moveTo>
                <a:cubicBezTo>
                  <a:pt x="7188231" y="2987653"/>
                  <a:pt x="7172845" y="3003245"/>
                  <a:pt x="7172845" y="3022474"/>
                </a:cubicBezTo>
                <a:cubicBezTo>
                  <a:pt x="7172845" y="3041702"/>
                  <a:pt x="7188231" y="3057294"/>
                  <a:pt x="7207198" y="3057294"/>
                </a:cubicBezTo>
                <a:cubicBezTo>
                  <a:pt x="7226165" y="3057294"/>
                  <a:pt x="7241538" y="3041702"/>
                  <a:pt x="7241538" y="3022474"/>
                </a:cubicBezTo>
                <a:cubicBezTo>
                  <a:pt x="7241538" y="3003245"/>
                  <a:pt x="7226165" y="2987653"/>
                  <a:pt x="7207198" y="2987653"/>
                </a:cubicBezTo>
                <a:close/>
                <a:moveTo>
                  <a:pt x="7542164" y="2987653"/>
                </a:moveTo>
                <a:cubicBezTo>
                  <a:pt x="7523197" y="2987653"/>
                  <a:pt x="7507811" y="3003245"/>
                  <a:pt x="7507811" y="3022474"/>
                </a:cubicBezTo>
                <a:cubicBezTo>
                  <a:pt x="7507811" y="3041702"/>
                  <a:pt x="7523197" y="3057294"/>
                  <a:pt x="7542164" y="3057294"/>
                </a:cubicBezTo>
                <a:cubicBezTo>
                  <a:pt x="7561131" y="3057294"/>
                  <a:pt x="7576504" y="3041702"/>
                  <a:pt x="7576504" y="3022474"/>
                </a:cubicBezTo>
                <a:cubicBezTo>
                  <a:pt x="7576504" y="3003245"/>
                  <a:pt x="7561131" y="2987653"/>
                  <a:pt x="7542164" y="2987653"/>
                </a:cubicBezTo>
                <a:close/>
                <a:moveTo>
                  <a:pt x="7625906" y="2987653"/>
                </a:moveTo>
                <a:cubicBezTo>
                  <a:pt x="7606939" y="2987653"/>
                  <a:pt x="7591553" y="3003245"/>
                  <a:pt x="7591553" y="3022474"/>
                </a:cubicBezTo>
                <a:cubicBezTo>
                  <a:pt x="7591553" y="3041702"/>
                  <a:pt x="7606939" y="3057294"/>
                  <a:pt x="7625906" y="3057294"/>
                </a:cubicBezTo>
                <a:cubicBezTo>
                  <a:pt x="7644873" y="3057294"/>
                  <a:pt x="7660246" y="3041702"/>
                  <a:pt x="7660246" y="3022474"/>
                </a:cubicBezTo>
                <a:cubicBezTo>
                  <a:pt x="7660246" y="3003245"/>
                  <a:pt x="7644873" y="2987653"/>
                  <a:pt x="7625906" y="2987653"/>
                </a:cubicBezTo>
                <a:close/>
                <a:moveTo>
                  <a:pt x="7709647" y="2987653"/>
                </a:moveTo>
                <a:cubicBezTo>
                  <a:pt x="7690680" y="2987653"/>
                  <a:pt x="7675294" y="3003245"/>
                  <a:pt x="7675294" y="3022474"/>
                </a:cubicBezTo>
                <a:cubicBezTo>
                  <a:pt x="7675294" y="3041702"/>
                  <a:pt x="7690680" y="3057294"/>
                  <a:pt x="7709647" y="3057294"/>
                </a:cubicBezTo>
                <a:cubicBezTo>
                  <a:pt x="7728614" y="3057294"/>
                  <a:pt x="7743988" y="3041702"/>
                  <a:pt x="7743988" y="3022474"/>
                </a:cubicBezTo>
                <a:cubicBezTo>
                  <a:pt x="7743988" y="3003245"/>
                  <a:pt x="7728614" y="2987653"/>
                  <a:pt x="7709647" y="2987653"/>
                </a:cubicBezTo>
                <a:close/>
                <a:moveTo>
                  <a:pt x="7794420" y="2987653"/>
                </a:moveTo>
                <a:cubicBezTo>
                  <a:pt x="7775453" y="2987653"/>
                  <a:pt x="7760067" y="3003245"/>
                  <a:pt x="7760067" y="3022474"/>
                </a:cubicBezTo>
                <a:cubicBezTo>
                  <a:pt x="7760067" y="3041702"/>
                  <a:pt x="7775453" y="3057294"/>
                  <a:pt x="7794420" y="3057294"/>
                </a:cubicBezTo>
                <a:cubicBezTo>
                  <a:pt x="7813387" y="3057294"/>
                  <a:pt x="7828760" y="3041702"/>
                  <a:pt x="7828760" y="3022474"/>
                </a:cubicBezTo>
                <a:cubicBezTo>
                  <a:pt x="7828760" y="3003245"/>
                  <a:pt x="7813387" y="2987653"/>
                  <a:pt x="7794420" y="2987653"/>
                </a:cubicBezTo>
                <a:close/>
                <a:moveTo>
                  <a:pt x="7878161" y="2987653"/>
                </a:moveTo>
                <a:cubicBezTo>
                  <a:pt x="7859194" y="2987653"/>
                  <a:pt x="7843808" y="3003245"/>
                  <a:pt x="7843808" y="3022474"/>
                </a:cubicBezTo>
                <a:cubicBezTo>
                  <a:pt x="7843808" y="3041702"/>
                  <a:pt x="7859194" y="3057294"/>
                  <a:pt x="7878161" y="3057294"/>
                </a:cubicBezTo>
                <a:cubicBezTo>
                  <a:pt x="7897128" y="3057294"/>
                  <a:pt x="7912501" y="3041702"/>
                  <a:pt x="7912501" y="3022474"/>
                </a:cubicBezTo>
                <a:cubicBezTo>
                  <a:pt x="7912501" y="3003245"/>
                  <a:pt x="7897128" y="2987653"/>
                  <a:pt x="7878161" y="2987653"/>
                </a:cubicBezTo>
                <a:close/>
                <a:moveTo>
                  <a:pt x="7960293" y="2987653"/>
                </a:moveTo>
                <a:cubicBezTo>
                  <a:pt x="7941326" y="2987653"/>
                  <a:pt x="7925940" y="3003245"/>
                  <a:pt x="7925940" y="3022474"/>
                </a:cubicBezTo>
                <a:cubicBezTo>
                  <a:pt x="7925940" y="3041702"/>
                  <a:pt x="7941326" y="3057294"/>
                  <a:pt x="7960293" y="3057294"/>
                </a:cubicBezTo>
                <a:cubicBezTo>
                  <a:pt x="7979260" y="3057294"/>
                  <a:pt x="7994633" y="3041702"/>
                  <a:pt x="7994633" y="3022474"/>
                </a:cubicBezTo>
                <a:cubicBezTo>
                  <a:pt x="7994633" y="3003245"/>
                  <a:pt x="7979260" y="2987653"/>
                  <a:pt x="7960293" y="2987653"/>
                </a:cubicBezTo>
                <a:close/>
                <a:moveTo>
                  <a:pt x="8044034" y="2987653"/>
                </a:moveTo>
                <a:cubicBezTo>
                  <a:pt x="8025067" y="2987653"/>
                  <a:pt x="8009681" y="3003245"/>
                  <a:pt x="8009681" y="3022474"/>
                </a:cubicBezTo>
                <a:cubicBezTo>
                  <a:pt x="8009681" y="3041702"/>
                  <a:pt x="8025067" y="3057294"/>
                  <a:pt x="8044034" y="3057294"/>
                </a:cubicBezTo>
                <a:cubicBezTo>
                  <a:pt x="8063001" y="3057294"/>
                  <a:pt x="8078375" y="3041702"/>
                  <a:pt x="8078375" y="3022474"/>
                </a:cubicBezTo>
                <a:cubicBezTo>
                  <a:pt x="8078375" y="3003245"/>
                  <a:pt x="8063001" y="2987653"/>
                  <a:pt x="8044034" y="2987653"/>
                </a:cubicBezTo>
                <a:close/>
                <a:moveTo>
                  <a:pt x="8127776" y="2987653"/>
                </a:moveTo>
                <a:cubicBezTo>
                  <a:pt x="8108809" y="2987653"/>
                  <a:pt x="8093422" y="3003245"/>
                  <a:pt x="8093422" y="3022474"/>
                </a:cubicBezTo>
                <a:cubicBezTo>
                  <a:pt x="8093422" y="3041702"/>
                  <a:pt x="8108809" y="3057294"/>
                  <a:pt x="8127776" y="3057294"/>
                </a:cubicBezTo>
                <a:cubicBezTo>
                  <a:pt x="8146743" y="3057294"/>
                  <a:pt x="8162116" y="3041702"/>
                  <a:pt x="8162116" y="3022474"/>
                </a:cubicBezTo>
                <a:cubicBezTo>
                  <a:pt x="8162116" y="3003245"/>
                  <a:pt x="8146743" y="2987653"/>
                  <a:pt x="8127776" y="2987653"/>
                </a:cubicBezTo>
                <a:close/>
                <a:moveTo>
                  <a:pt x="8212613" y="2987653"/>
                </a:moveTo>
                <a:cubicBezTo>
                  <a:pt x="8193646" y="2987653"/>
                  <a:pt x="8178260" y="3003245"/>
                  <a:pt x="8178260" y="3022474"/>
                </a:cubicBezTo>
                <a:cubicBezTo>
                  <a:pt x="8178260" y="3041702"/>
                  <a:pt x="8193646" y="3057294"/>
                  <a:pt x="8212613" y="3057294"/>
                </a:cubicBezTo>
                <a:cubicBezTo>
                  <a:pt x="8231580" y="3057294"/>
                  <a:pt x="8246953" y="3041702"/>
                  <a:pt x="8246953" y="3022474"/>
                </a:cubicBezTo>
                <a:cubicBezTo>
                  <a:pt x="8246953" y="3003245"/>
                  <a:pt x="8231580" y="2987653"/>
                  <a:pt x="8212613" y="2987653"/>
                </a:cubicBezTo>
                <a:close/>
                <a:moveTo>
                  <a:pt x="8296354" y="2987653"/>
                </a:moveTo>
                <a:cubicBezTo>
                  <a:pt x="8277387" y="2987653"/>
                  <a:pt x="8262001" y="3003245"/>
                  <a:pt x="8262001" y="3022474"/>
                </a:cubicBezTo>
                <a:cubicBezTo>
                  <a:pt x="8262001" y="3041702"/>
                  <a:pt x="8277387" y="3057294"/>
                  <a:pt x="8296354" y="3057294"/>
                </a:cubicBezTo>
                <a:cubicBezTo>
                  <a:pt x="8315321" y="3057294"/>
                  <a:pt x="8330695" y="3041702"/>
                  <a:pt x="8330695" y="3022474"/>
                </a:cubicBezTo>
                <a:cubicBezTo>
                  <a:pt x="8330695" y="3003245"/>
                  <a:pt x="8315321" y="2987653"/>
                  <a:pt x="8296354" y="2987653"/>
                </a:cubicBezTo>
                <a:close/>
                <a:moveTo>
                  <a:pt x="8379580" y="2987653"/>
                </a:moveTo>
                <a:cubicBezTo>
                  <a:pt x="8360613" y="2987653"/>
                  <a:pt x="8345227" y="3003245"/>
                  <a:pt x="8345227" y="3022474"/>
                </a:cubicBezTo>
                <a:cubicBezTo>
                  <a:pt x="8345227" y="3041702"/>
                  <a:pt x="8360613" y="3057294"/>
                  <a:pt x="8379580" y="3057294"/>
                </a:cubicBezTo>
                <a:cubicBezTo>
                  <a:pt x="8398547" y="3057294"/>
                  <a:pt x="8413921" y="3041702"/>
                  <a:pt x="8413921" y="3022474"/>
                </a:cubicBezTo>
                <a:cubicBezTo>
                  <a:pt x="8413921" y="3003245"/>
                  <a:pt x="8398547" y="2987653"/>
                  <a:pt x="8379580" y="2987653"/>
                </a:cubicBezTo>
                <a:close/>
                <a:moveTo>
                  <a:pt x="8463323" y="2987653"/>
                </a:moveTo>
                <a:cubicBezTo>
                  <a:pt x="8444356" y="2987653"/>
                  <a:pt x="8428970" y="3003245"/>
                  <a:pt x="8428970" y="3022474"/>
                </a:cubicBezTo>
                <a:cubicBezTo>
                  <a:pt x="8428970" y="3041702"/>
                  <a:pt x="8444356" y="3057294"/>
                  <a:pt x="8463323" y="3057294"/>
                </a:cubicBezTo>
                <a:cubicBezTo>
                  <a:pt x="8482290" y="3057294"/>
                  <a:pt x="8497663" y="3041702"/>
                  <a:pt x="8497663" y="3022474"/>
                </a:cubicBezTo>
                <a:cubicBezTo>
                  <a:pt x="8497663" y="3003245"/>
                  <a:pt x="8482290" y="2987653"/>
                  <a:pt x="8463323" y="2987653"/>
                </a:cubicBezTo>
                <a:close/>
                <a:moveTo>
                  <a:pt x="8547064" y="2987653"/>
                </a:moveTo>
                <a:cubicBezTo>
                  <a:pt x="8528097" y="2987653"/>
                  <a:pt x="8512711" y="3003245"/>
                  <a:pt x="8512711" y="3022474"/>
                </a:cubicBezTo>
                <a:cubicBezTo>
                  <a:pt x="8512711" y="3041702"/>
                  <a:pt x="8528097" y="3057294"/>
                  <a:pt x="8547064" y="3057294"/>
                </a:cubicBezTo>
                <a:cubicBezTo>
                  <a:pt x="8566031" y="3057294"/>
                  <a:pt x="8581404" y="3041702"/>
                  <a:pt x="8581404" y="3022474"/>
                </a:cubicBezTo>
                <a:cubicBezTo>
                  <a:pt x="8581404" y="3003245"/>
                  <a:pt x="8566031" y="2987653"/>
                  <a:pt x="8547064" y="2987653"/>
                </a:cubicBezTo>
                <a:close/>
                <a:moveTo>
                  <a:pt x="8630805" y="2987653"/>
                </a:moveTo>
                <a:cubicBezTo>
                  <a:pt x="8611838" y="2987653"/>
                  <a:pt x="8596452" y="3003245"/>
                  <a:pt x="8596452" y="3022474"/>
                </a:cubicBezTo>
                <a:cubicBezTo>
                  <a:pt x="8596452" y="3041702"/>
                  <a:pt x="8611838" y="3057294"/>
                  <a:pt x="8630805" y="3057294"/>
                </a:cubicBezTo>
                <a:cubicBezTo>
                  <a:pt x="8649772" y="3057294"/>
                  <a:pt x="8665145" y="3041702"/>
                  <a:pt x="8665145" y="3022474"/>
                </a:cubicBezTo>
                <a:cubicBezTo>
                  <a:pt x="8665145" y="3003245"/>
                  <a:pt x="8649772" y="2987653"/>
                  <a:pt x="8630805" y="2987653"/>
                </a:cubicBezTo>
                <a:close/>
                <a:moveTo>
                  <a:pt x="8714547" y="2987653"/>
                </a:moveTo>
                <a:cubicBezTo>
                  <a:pt x="8695580" y="2987653"/>
                  <a:pt x="8680194" y="3003245"/>
                  <a:pt x="8680194" y="3022474"/>
                </a:cubicBezTo>
                <a:cubicBezTo>
                  <a:pt x="8680194" y="3041702"/>
                  <a:pt x="8695580" y="3057294"/>
                  <a:pt x="8714547" y="3057294"/>
                </a:cubicBezTo>
                <a:cubicBezTo>
                  <a:pt x="8733514" y="3057294"/>
                  <a:pt x="8748888" y="3041702"/>
                  <a:pt x="8748888" y="3022474"/>
                </a:cubicBezTo>
                <a:cubicBezTo>
                  <a:pt x="8748888" y="3003245"/>
                  <a:pt x="8733514" y="2987653"/>
                  <a:pt x="8714547" y="2987653"/>
                </a:cubicBezTo>
                <a:close/>
                <a:moveTo>
                  <a:pt x="8798289" y="2987653"/>
                </a:moveTo>
                <a:cubicBezTo>
                  <a:pt x="8779322" y="2987653"/>
                  <a:pt x="8763936" y="3003245"/>
                  <a:pt x="8763936" y="3022474"/>
                </a:cubicBezTo>
                <a:cubicBezTo>
                  <a:pt x="8763936" y="3041702"/>
                  <a:pt x="8779322" y="3057294"/>
                  <a:pt x="8798289" y="3057294"/>
                </a:cubicBezTo>
                <a:cubicBezTo>
                  <a:pt x="8817256" y="3057294"/>
                  <a:pt x="8832629" y="3041702"/>
                  <a:pt x="8832629" y="3022474"/>
                </a:cubicBezTo>
                <a:cubicBezTo>
                  <a:pt x="8832629" y="3003245"/>
                  <a:pt x="8817256" y="2987653"/>
                  <a:pt x="8798289" y="2987653"/>
                </a:cubicBezTo>
                <a:close/>
                <a:moveTo>
                  <a:pt x="8882030" y="2987653"/>
                </a:moveTo>
                <a:cubicBezTo>
                  <a:pt x="8863063" y="2987653"/>
                  <a:pt x="8847677" y="3003245"/>
                  <a:pt x="8847677" y="3022474"/>
                </a:cubicBezTo>
                <a:cubicBezTo>
                  <a:pt x="8847677" y="3041702"/>
                  <a:pt x="8863063" y="3057294"/>
                  <a:pt x="8882030" y="3057294"/>
                </a:cubicBezTo>
                <a:cubicBezTo>
                  <a:pt x="8900997" y="3057294"/>
                  <a:pt x="8916370" y="3041702"/>
                  <a:pt x="8916370" y="3022474"/>
                </a:cubicBezTo>
                <a:cubicBezTo>
                  <a:pt x="8916370" y="3003245"/>
                  <a:pt x="8900997" y="2987653"/>
                  <a:pt x="8882030" y="2987653"/>
                </a:cubicBezTo>
                <a:close/>
                <a:moveTo>
                  <a:pt x="8965772" y="2987653"/>
                </a:moveTo>
                <a:cubicBezTo>
                  <a:pt x="8946805" y="2987653"/>
                  <a:pt x="8931419" y="3003245"/>
                  <a:pt x="8931419" y="3022474"/>
                </a:cubicBezTo>
                <a:cubicBezTo>
                  <a:pt x="8931419" y="3041702"/>
                  <a:pt x="8946805" y="3057294"/>
                  <a:pt x="8965772" y="3057294"/>
                </a:cubicBezTo>
                <a:cubicBezTo>
                  <a:pt x="8984739" y="3057294"/>
                  <a:pt x="9000112" y="3041702"/>
                  <a:pt x="9000112" y="3022474"/>
                </a:cubicBezTo>
                <a:cubicBezTo>
                  <a:pt x="9000112" y="3003245"/>
                  <a:pt x="8984739" y="2987653"/>
                  <a:pt x="8965772" y="2987653"/>
                </a:cubicBezTo>
                <a:close/>
                <a:moveTo>
                  <a:pt x="9049513" y="2987653"/>
                </a:moveTo>
                <a:cubicBezTo>
                  <a:pt x="9030546" y="2987653"/>
                  <a:pt x="9015160" y="3003245"/>
                  <a:pt x="9015160" y="3022474"/>
                </a:cubicBezTo>
                <a:cubicBezTo>
                  <a:pt x="9015160" y="3041702"/>
                  <a:pt x="9030546" y="3057294"/>
                  <a:pt x="9049513" y="3057294"/>
                </a:cubicBezTo>
                <a:cubicBezTo>
                  <a:pt x="9068480" y="3057294"/>
                  <a:pt x="9083854" y="3041702"/>
                  <a:pt x="9083854" y="3022474"/>
                </a:cubicBezTo>
                <a:cubicBezTo>
                  <a:pt x="9083854" y="3003245"/>
                  <a:pt x="9068480" y="2987653"/>
                  <a:pt x="9049513" y="2987653"/>
                </a:cubicBezTo>
                <a:close/>
                <a:moveTo>
                  <a:pt x="9133256" y="2987653"/>
                </a:moveTo>
                <a:cubicBezTo>
                  <a:pt x="9114289" y="2987653"/>
                  <a:pt x="9098903" y="3003245"/>
                  <a:pt x="9098903" y="3022474"/>
                </a:cubicBezTo>
                <a:cubicBezTo>
                  <a:pt x="9098903" y="3041702"/>
                  <a:pt x="9114289" y="3057294"/>
                  <a:pt x="9133256" y="3057294"/>
                </a:cubicBezTo>
                <a:cubicBezTo>
                  <a:pt x="9152223" y="3057294"/>
                  <a:pt x="9167596" y="3041702"/>
                  <a:pt x="9167596" y="3022474"/>
                </a:cubicBezTo>
                <a:cubicBezTo>
                  <a:pt x="9167596" y="3003245"/>
                  <a:pt x="9152223" y="2987653"/>
                  <a:pt x="9133256" y="2987653"/>
                </a:cubicBezTo>
                <a:close/>
                <a:moveTo>
                  <a:pt x="9216997" y="2987653"/>
                </a:moveTo>
                <a:cubicBezTo>
                  <a:pt x="9198030" y="2987653"/>
                  <a:pt x="9182644" y="3003245"/>
                  <a:pt x="9182644" y="3022474"/>
                </a:cubicBezTo>
                <a:cubicBezTo>
                  <a:pt x="9182644" y="3041702"/>
                  <a:pt x="9198030" y="3057294"/>
                  <a:pt x="9216997" y="3057294"/>
                </a:cubicBezTo>
                <a:cubicBezTo>
                  <a:pt x="9235964" y="3057294"/>
                  <a:pt x="9251337" y="3041702"/>
                  <a:pt x="9251337" y="3022474"/>
                </a:cubicBezTo>
                <a:cubicBezTo>
                  <a:pt x="9251337" y="3003245"/>
                  <a:pt x="9235964" y="2987653"/>
                  <a:pt x="9216997" y="2987653"/>
                </a:cubicBezTo>
                <a:close/>
                <a:moveTo>
                  <a:pt x="9300738" y="2987653"/>
                </a:moveTo>
                <a:cubicBezTo>
                  <a:pt x="9281771" y="2987653"/>
                  <a:pt x="9266385" y="3003245"/>
                  <a:pt x="9266385" y="3022474"/>
                </a:cubicBezTo>
                <a:cubicBezTo>
                  <a:pt x="9266385" y="3041702"/>
                  <a:pt x="9281771" y="3057294"/>
                  <a:pt x="9300738" y="3057294"/>
                </a:cubicBezTo>
                <a:cubicBezTo>
                  <a:pt x="9319705" y="3057294"/>
                  <a:pt x="9335078" y="3041702"/>
                  <a:pt x="9335078" y="3022474"/>
                </a:cubicBezTo>
                <a:cubicBezTo>
                  <a:pt x="9335078" y="3003245"/>
                  <a:pt x="9319705" y="2987653"/>
                  <a:pt x="9300738" y="2987653"/>
                </a:cubicBezTo>
                <a:close/>
                <a:moveTo>
                  <a:pt x="9384480" y="2987653"/>
                </a:moveTo>
                <a:cubicBezTo>
                  <a:pt x="9365513" y="2987653"/>
                  <a:pt x="9350127" y="3003245"/>
                  <a:pt x="9350127" y="3022474"/>
                </a:cubicBezTo>
                <a:cubicBezTo>
                  <a:pt x="9350127" y="3041702"/>
                  <a:pt x="9365513" y="3057294"/>
                  <a:pt x="9384480" y="3057294"/>
                </a:cubicBezTo>
                <a:cubicBezTo>
                  <a:pt x="9403447" y="3057294"/>
                  <a:pt x="9418821" y="3041702"/>
                  <a:pt x="9418821" y="3022474"/>
                </a:cubicBezTo>
                <a:cubicBezTo>
                  <a:pt x="9418821" y="3003245"/>
                  <a:pt x="9403447" y="2987653"/>
                  <a:pt x="9384480" y="2987653"/>
                </a:cubicBezTo>
                <a:close/>
                <a:moveTo>
                  <a:pt x="9468222" y="2987653"/>
                </a:moveTo>
                <a:cubicBezTo>
                  <a:pt x="9449255" y="2987653"/>
                  <a:pt x="9433869" y="3003245"/>
                  <a:pt x="9433869" y="3022474"/>
                </a:cubicBezTo>
                <a:cubicBezTo>
                  <a:pt x="9433869" y="3041702"/>
                  <a:pt x="9449255" y="3057294"/>
                  <a:pt x="9468222" y="3057294"/>
                </a:cubicBezTo>
                <a:cubicBezTo>
                  <a:pt x="9487189" y="3057294"/>
                  <a:pt x="9502562" y="3041702"/>
                  <a:pt x="9502562" y="3022474"/>
                </a:cubicBezTo>
                <a:cubicBezTo>
                  <a:pt x="9502562" y="3003245"/>
                  <a:pt x="9487189" y="2987653"/>
                  <a:pt x="9468222" y="2987653"/>
                </a:cubicBezTo>
                <a:close/>
                <a:moveTo>
                  <a:pt x="9719446" y="2987653"/>
                </a:moveTo>
                <a:cubicBezTo>
                  <a:pt x="9700479" y="2987653"/>
                  <a:pt x="9685093" y="3003245"/>
                  <a:pt x="9685093" y="3022474"/>
                </a:cubicBezTo>
                <a:cubicBezTo>
                  <a:pt x="9685093" y="3041702"/>
                  <a:pt x="9700479" y="3057294"/>
                  <a:pt x="9719446" y="3057294"/>
                </a:cubicBezTo>
                <a:cubicBezTo>
                  <a:pt x="9738413" y="3057294"/>
                  <a:pt x="9753787" y="3041702"/>
                  <a:pt x="9753787" y="3022474"/>
                </a:cubicBezTo>
                <a:cubicBezTo>
                  <a:pt x="9753787" y="3003245"/>
                  <a:pt x="9738413" y="2987653"/>
                  <a:pt x="9719446" y="2987653"/>
                </a:cubicBezTo>
                <a:close/>
                <a:moveTo>
                  <a:pt x="9970671" y="2987653"/>
                </a:moveTo>
                <a:cubicBezTo>
                  <a:pt x="9951704" y="2987653"/>
                  <a:pt x="9936318" y="3003245"/>
                  <a:pt x="9936318" y="3022474"/>
                </a:cubicBezTo>
                <a:cubicBezTo>
                  <a:pt x="9936318" y="3041702"/>
                  <a:pt x="9951704" y="3057294"/>
                  <a:pt x="9970671" y="3057294"/>
                </a:cubicBezTo>
                <a:cubicBezTo>
                  <a:pt x="9989638" y="3057294"/>
                  <a:pt x="10005011" y="3041702"/>
                  <a:pt x="10005011" y="3022474"/>
                </a:cubicBezTo>
                <a:cubicBezTo>
                  <a:pt x="10005011" y="3003245"/>
                  <a:pt x="9989638" y="2987653"/>
                  <a:pt x="9970671" y="2987653"/>
                </a:cubicBezTo>
                <a:close/>
                <a:moveTo>
                  <a:pt x="2350151" y="3072518"/>
                </a:moveTo>
                <a:cubicBezTo>
                  <a:pt x="2331184" y="3072518"/>
                  <a:pt x="2315804" y="3088110"/>
                  <a:pt x="2315804" y="3107339"/>
                </a:cubicBezTo>
                <a:cubicBezTo>
                  <a:pt x="2315804" y="3126567"/>
                  <a:pt x="2331184" y="3142159"/>
                  <a:pt x="2350151" y="3142159"/>
                </a:cubicBezTo>
                <a:cubicBezTo>
                  <a:pt x="2369118" y="3142159"/>
                  <a:pt x="2384498" y="3126567"/>
                  <a:pt x="2384498" y="3107339"/>
                </a:cubicBezTo>
                <a:cubicBezTo>
                  <a:pt x="2384498" y="3088110"/>
                  <a:pt x="2369118" y="3072518"/>
                  <a:pt x="2350151" y="3072518"/>
                </a:cubicBezTo>
                <a:close/>
                <a:moveTo>
                  <a:pt x="2433893" y="3072518"/>
                </a:moveTo>
                <a:cubicBezTo>
                  <a:pt x="2414926" y="3072518"/>
                  <a:pt x="2399546" y="3088110"/>
                  <a:pt x="2399546" y="3107339"/>
                </a:cubicBezTo>
                <a:cubicBezTo>
                  <a:pt x="2399546" y="3126567"/>
                  <a:pt x="2414926" y="3142159"/>
                  <a:pt x="2433893" y="3142159"/>
                </a:cubicBezTo>
                <a:cubicBezTo>
                  <a:pt x="2452860" y="3142159"/>
                  <a:pt x="2468240" y="3126567"/>
                  <a:pt x="2468240" y="3107339"/>
                </a:cubicBezTo>
                <a:cubicBezTo>
                  <a:pt x="2468240" y="3088110"/>
                  <a:pt x="2452860" y="3072518"/>
                  <a:pt x="2433893" y="3072518"/>
                </a:cubicBezTo>
                <a:close/>
                <a:moveTo>
                  <a:pt x="2517634" y="3072518"/>
                </a:moveTo>
                <a:cubicBezTo>
                  <a:pt x="2498667" y="3072518"/>
                  <a:pt x="2483288" y="3088110"/>
                  <a:pt x="2483288" y="3107339"/>
                </a:cubicBezTo>
                <a:cubicBezTo>
                  <a:pt x="2483288" y="3126567"/>
                  <a:pt x="2498667" y="3142159"/>
                  <a:pt x="2517634" y="3142159"/>
                </a:cubicBezTo>
                <a:cubicBezTo>
                  <a:pt x="2536601" y="3142159"/>
                  <a:pt x="2551981" y="3126567"/>
                  <a:pt x="2551981" y="3107339"/>
                </a:cubicBezTo>
                <a:cubicBezTo>
                  <a:pt x="2551981" y="3088110"/>
                  <a:pt x="2536601" y="3072518"/>
                  <a:pt x="2517634" y="3072518"/>
                </a:cubicBezTo>
                <a:close/>
                <a:moveTo>
                  <a:pt x="2601376" y="3072518"/>
                </a:moveTo>
                <a:cubicBezTo>
                  <a:pt x="2582409" y="3072518"/>
                  <a:pt x="2567029" y="3088110"/>
                  <a:pt x="2567029" y="3107339"/>
                </a:cubicBezTo>
                <a:cubicBezTo>
                  <a:pt x="2567029" y="3126567"/>
                  <a:pt x="2582409" y="3142159"/>
                  <a:pt x="2601376" y="3142159"/>
                </a:cubicBezTo>
                <a:cubicBezTo>
                  <a:pt x="2620343" y="3142159"/>
                  <a:pt x="2635722" y="3126567"/>
                  <a:pt x="2635722" y="3107339"/>
                </a:cubicBezTo>
                <a:cubicBezTo>
                  <a:pt x="2635722" y="3088110"/>
                  <a:pt x="2620343" y="3072518"/>
                  <a:pt x="2601376" y="3072518"/>
                </a:cubicBezTo>
                <a:close/>
                <a:moveTo>
                  <a:pt x="2685118" y="3072518"/>
                </a:moveTo>
                <a:cubicBezTo>
                  <a:pt x="2666151" y="3072518"/>
                  <a:pt x="2650771" y="3088110"/>
                  <a:pt x="2650771" y="3107339"/>
                </a:cubicBezTo>
                <a:cubicBezTo>
                  <a:pt x="2650771" y="3126567"/>
                  <a:pt x="2666151" y="3142159"/>
                  <a:pt x="2685118" y="3142159"/>
                </a:cubicBezTo>
                <a:cubicBezTo>
                  <a:pt x="2704085" y="3142159"/>
                  <a:pt x="2719465" y="3126567"/>
                  <a:pt x="2719465" y="3107339"/>
                </a:cubicBezTo>
                <a:cubicBezTo>
                  <a:pt x="2719465" y="3088110"/>
                  <a:pt x="2704085" y="3072518"/>
                  <a:pt x="2685118" y="3072518"/>
                </a:cubicBezTo>
                <a:close/>
                <a:moveTo>
                  <a:pt x="2768859" y="3072518"/>
                </a:moveTo>
                <a:cubicBezTo>
                  <a:pt x="2749892" y="3072518"/>
                  <a:pt x="2734512" y="3088110"/>
                  <a:pt x="2734512" y="3107339"/>
                </a:cubicBezTo>
                <a:cubicBezTo>
                  <a:pt x="2734512" y="3126567"/>
                  <a:pt x="2749892" y="3142159"/>
                  <a:pt x="2768859" y="3142159"/>
                </a:cubicBezTo>
                <a:cubicBezTo>
                  <a:pt x="2787826" y="3142159"/>
                  <a:pt x="2803206" y="3126567"/>
                  <a:pt x="2803206" y="3107339"/>
                </a:cubicBezTo>
                <a:cubicBezTo>
                  <a:pt x="2803206" y="3088110"/>
                  <a:pt x="2787826" y="3072518"/>
                  <a:pt x="2768859" y="3072518"/>
                </a:cubicBezTo>
                <a:close/>
                <a:moveTo>
                  <a:pt x="2852600" y="3072518"/>
                </a:moveTo>
                <a:cubicBezTo>
                  <a:pt x="2833633" y="3072518"/>
                  <a:pt x="2818254" y="3088110"/>
                  <a:pt x="2818254" y="3107339"/>
                </a:cubicBezTo>
                <a:cubicBezTo>
                  <a:pt x="2818254" y="3126567"/>
                  <a:pt x="2833633" y="3142159"/>
                  <a:pt x="2852600" y="3142159"/>
                </a:cubicBezTo>
                <a:cubicBezTo>
                  <a:pt x="2871567" y="3142159"/>
                  <a:pt x="2886947" y="3126567"/>
                  <a:pt x="2886947" y="3107339"/>
                </a:cubicBezTo>
                <a:cubicBezTo>
                  <a:pt x="2886947" y="3088110"/>
                  <a:pt x="2871567" y="3072518"/>
                  <a:pt x="2852600" y="3072518"/>
                </a:cubicBezTo>
                <a:close/>
                <a:moveTo>
                  <a:pt x="2936343" y="3072518"/>
                </a:moveTo>
                <a:cubicBezTo>
                  <a:pt x="2917376" y="3072518"/>
                  <a:pt x="2901996" y="3088110"/>
                  <a:pt x="2901996" y="3107339"/>
                </a:cubicBezTo>
                <a:cubicBezTo>
                  <a:pt x="2901996" y="3126567"/>
                  <a:pt x="2917376" y="3142159"/>
                  <a:pt x="2936343" y="3142159"/>
                </a:cubicBezTo>
                <a:cubicBezTo>
                  <a:pt x="2955310" y="3142159"/>
                  <a:pt x="2970689" y="3126567"/>
                  <a:pt x="2970689" y="3107339"/>
                </a:cubicBezTo>
                <a:cubicBezTo>
                  <a:pt x="2970689" y="3088110"/>
                  <a:pt x="2955310" y="3072518"/>
                  <a:pt x="2936343" y="3072518"/>
                </a:cubicBezTo>
                <a:close/>
                <a:moveTo>
                  <a:pt x="3020084" y="3072518"/>
                </a:moveTo>
                <a:cubicBezTo>
                  <a:pt x="3001117" y="3072518"/>
                  <a:pt x="2985737" y="3088110"/>
                  <a:pt x="2985737" y="3107339"/>
                </a:cubicBezTo>
                <a:cubicBezTo>
                  <a:pt x="2985737" y="3126567"/>
                  <a:pt x="3001117" y="3142159"/>
                  <a:pt x="3020084" y="3142159"/>
                </a:cubicBezTo>
                <a:cubicBezTo>
                  <a:pt x="3039051" y="3142159"/>
                  <a:pt x="3054431" y="3126567"/>
                  <a:pt x="3054431" y="3107339"/>
                </a:cubicBezTo>
                <a:cubicBezTo>
                  <a:pt x="3054431" y="3088110"/>
                  <a:pt x="3039051" y="3072518"/>
                  <a:pt x="3020084" y="3072518"/>
                </a:cubicBezTo>
                <a:close/>
                <a:moveTo>
                  <a:pt x="3103826" y="3072518"/>
                </a:moveTo>
                <a:cubicBezTo>
                  <a:pt x="3084859" y="3072518"/>
                  <a:pt x="3069479" y="3088110"/>
                  <a:pt x="3069479" y="3107339"/>
                </a:cubicBezTo>
                <a:cubicBezTo>
                  <a:pt x="3069479" y="3126567"/>
                  <a:pt x="3084859" y="3142159"/>
                  <a:pt x="3103826" y="3142159"/>
                </a:cubicBezTo>
                <a:cubicBezTo>
                  <a:pt x="3122793" y="3142159"/>
                  <a:pt x="3138173" y="3126567"/>
                  <a:pt x="3138173" y="3107339"/>
                </a:cubicBezTo>
                <a:cubicBezTo>
                  <a:pt x="3138173" y="3088110"/>
                  <a:pt x="3122793" y="3072518"/>
                  <a:pt x="3103826" y="3072518"/>
                </a:cubicBezTo>
                <a:close/>
                <a:moveTo>
                  <a:pt x="3187567" y="3072518"/>
                </a:moveTo>
                <a:cubicBezTo>
                  <a:pt x="3168600" y="3072518"/>
                  <a:pt x="3153221" y="3088110"/>
                  <a:pt x="3153221" y="3107339"/>
                </a:cubicBezTo>
                <a:cubicBezTo>
                  <a:pt x="3153221" y="3126567"/>
                  <a:pt x="3168600" y="3142159"/>
                  <a:pt x="3187567" y="3142159"/>
                </a:cubicBezTo>
                <a:cubicBezTo>
                  <a:pt x="3206534" y="3142159"/>
                  <a:pt x="3221914" y="3126567"/>
                  <a:pt x="3221914" y="3107339"/>
                </a:cubicBezTo>
                <a:cubicBezTo>
                  <a:pt x="3221914" y="3088110"/>
                  <a:pt x="3206534" y="3072518"/>
                  <a:pt x="3187567" y="3072518"/>
                </a:cubicBezTo>
                <a:close/>
                <a:moveTo>
                  <a:pt x="3271309" y="3072518"/>
                </a:moveTo>
                <a:cubicBezTo>
                  <a:pt x="3252342" y="3072518"/>
                  <a:pt x="3236962" y="3088110"/>
                  <a:pt x="3236962" y="3107339"/>
                </a:cubicBezTo>
                <a:cubicBezTo>
                  <a:pt x="3236962" y="3126567"/>
                  <a:pt x="3252342" y="3142159"/>
                  <a:pt x="3271309" y="3142159"/>
                </a:cubicBezTo>
                <a:cubicBezTo>
                  <a:pt x="3290276" y="3142159"/>
                  <a:pt x="3305655" y="3126567"/>
                  <a:pt x="3305655" y="3107339"/>
                </a:cubicBezTo>
                <a:cubicBezTo>
                  <a:pt x="3305655" y="3088110"/>
                  <a:pt x="3290276" y="3072518"/>
                  <a:pt x="3271309" y="3072518"/>
                </a:cubicBezTo>
                <a:close/>
                <a:moveTo>
                  <a:pt x="3355051" y="3072518"/>
                </a:moveTo>
                <a:cubicBezTo>
                  <a:pt x="3336084" y="3072518"/>
                  <a:pt x="3320704" y="3088110"/>
                  <a:pt x="3320704" y="3107339"/>
                </a:cubicBezTo>
                <a:cubicBezTo>
                  <a:pt x="3320704" y="3126567"/>
                  <a:pt x="3336084" y="3142159"/>
                  <a:pt x="3355051" y="3142159"/>
                </a:cubicBezTo>
                <a:cubicBezTo>
                  <a:pt x="3374018" y="3142159"/>
                  <a:pt x="3389398" y="3126567"/>
                  <a:pt x="3389398" y="3107339"/>
                </a:cubicBezTo>
                <a:cubicBezTo>
                  <a:pt x="3389398" y="3088110"/>
                  <a:pt x="3374018" y="3072518"/>
                  <a:pt x="3355051" y="3072518"/>
                </a:cubicBezTo>
                <a:close/>
                <a:moveTo>
                  <a:pt x="3438792" y="3072518"/>
                </a:moveTo>
                <a:cubicBezTo>
                  <a:pt x="3419825" y="3072518"/>
                  <a:pt x="3404445" y="3088110"/>
                  <a:pt x="3404445" y="3107339"/>
                </a:cubicBezTo>
                <a:cubicBezTo>
                  <a:pt x="3404445" y="3126567"/>
                  <a:pt x="3419825" y="3142159"/>
                  <a:pt x="3438792" y="3142159"/>
                </a:cubicBezTo>
                <a:cubicBezTo>
                  <a:pt x="3457759" y="3142159"/>
                  <a:pt x="3473139" y="3126567"/>
                  <a:pt x="3473139" y="3107339"/>
                </a:cubicBezTo>
                <a:cubicBezTo>
                  <a:pt x="3473139" y="3088110"/>
                  <a:pt x="3457759" y="3072518"/>
                  <a:pt x="3438792" y="3072518"/>
                </a:cubicBezTo>
                <a:close/>
                <a:moveTo>
                  <a:pt x="3522533" y="3072518"/>
                </a:moveTo>
                <a:cubicBezTo>
                  <a:pt x="3503566" y="3072518"/>
                  <a:pt x="3488187" y="3088110"/>
                  <a:pt x="3488187" y="3107339"/>
                </a:cubicBezTo>
                <a:cubicBezTo>
                  <a:pt x="3488187" y="3126567"/>
                  <a:pt x="3503566" y="3142159"/>
                  <a:pt x="3522533" y="3142159"/>
                </a:cubicBezTo>
                <a:cubicBezTo>
                  <a:pt x="3541500" y="3142159"/>
                  <a:pt x="3556880" y="3126567"/>
                  <a:pt x="3556880" y="3107339"/>
                </a:cubicBezTo>
                <a:cubicBezTo>
                  <a:pt x="3556880" y="3088110"/>
                  <a:pt x="3541500" y="3072518"/>
                  <a:pt x="3522533" y="3072518"/>
                </a:cubicBezTo>
                <a:close/>
                <a:moveTo>
                  <a:pt x="5699823" y="3072518"/>
                </a:moveTo>
                <a:cubicBezTo>
                  <a:pt x="5680856" y="3072518"/>
                  <a:pt x="5665476" y="3088110"/>
                  <a:pt x="5665476" y="3107339"/>
                </a:cubicBezTo>
                <a:cubicBezTo>
                  <a:pt x="5665476" y="3126567"/>
                  <a:pt x="5680856" y="3142159"/>
                  <a:pt x="5699823" y="3142159"/>
                </a:cubicBezTo>
                <a:cubicBezTo>
                  <a:pt x="5718790" y="3142159"/>
                  <a:pt x="5734170" y="3126567"/>
                  <a:pt x="5734170" y="3107339"/>
                </a:cubicBezTo>
                <a:cubicBezTo>
                  <a:pt x="5734170" y="3088110"/>
                  <a:pt x="5718790" y="3072518"/>
                  <a:pt x="5699823" y="3072518"/>
                </a:cubicBezTo>
                <a:close/>
                <a:moveTo>
                  <a:pt x="6034789" y="3072518"/>
                </a:moveTo>
                <a:cubicBezTo>
                  <a:pt x="6015822" y="3072518"/>
                  <a:pt x="6000436" y="3088110"/>
                  <a:pt x="6000436" y="3107339"/>
                </a:cubicBezTo>
                <a:cubicBezTo>
                  <a:pt x="6000436" y="3126567"/>
                  <a:pt x="6015822" y="3142159"/>
                  <a:pt x="6034789" y="3142159"/>
                </a:cubicBezTo>
                <a:cubicBezTo>
                  <a:pt x="6053756" y="3142159"/>
                  <a:pt x="6069130" y="3126567"/>
                  <a:pt x="6069130" y="3107339"/>
                </a:cubicBezTo>
                <a:cubicBezTo>
                  <a:pt x="6069130" y="3088110"/>
                  <a:pt x="6053756" y="3072518"/>
                  <a:pt x="6034789" y="3072518"/>
                </a:cubicBezTo>
                <a:close/>
                <a:moveTo>
                  <a:pt x="6118531" y="3072518"/>
                </a:moveTo>
                <a:cubicBezTo>
                  <a:pt x="6099564" y="3072518"/>
                  <a:pt x="6084177" y="3088110"/>
                  <a:pt x="6084177" y="3107339"/>
                </a:cubicBezTo>
                <a:cubicBezTo>
                  <a:pt x="6084177" y="3126567"/>
                  <a:pt x="6099564" y="3142159"/>
                  <a:pt x="6118531" y="3142159"/>
                </a:cubicBezTo>
                <a:cubicBezTo>
                  <a:pt x="6137498" y="3142159"/>
                  <a:pt x="6152871" y="3126567"/>
                  <a:pt x="6152871" y="3107339"/>
                </a:cubicBezTo>
                <a:cubicBezTo>
                  <a:pt x="6152871" y="3088110"/>
                  <a:pt x="6137498" y="3072518"/>
                  <a:pt x="6118531" y="3072518"/>
                </a:cubicBezTo>
                <a:close/>
                <a:moveTo>
                  <a:pt x="6286014" y="3072518"/>
                </a:moveTo>
                <a:cubicBezTo>
                  <a:pt x="6267047" y="3072518"/>
                  <a:pt x="6251661" y="3088110"/>
                  <a:pt x="6251661" y="3107339"/>
                </a:cubicBezTo>
                <a:cubicBezTo>
                  <a:pt x="6251661" y="3126567"/>
                  <a:pt x="6267047" y="3142159"/>
                  <a:pt x="6286014" y="3142159"/>
                </a:cubicBezTo>
                <a:cubicBezTo>
                  <a:pt x="6304981" y="3142159"/>
                  <a:pt x="6320354" y="3126567"/>
                  <a:pt x="6320354" y="3107339"/>
                </a:cubicBezTo>
                <a:cubicBezTo>
                  <a:pt x="6320354" y="3088110"/>
                  <a:pt x="6304981" y="3072518"/>
                  <a:pt x="6286014" y="3072518"/>
                </a:cubicBezTo>
                <a:close/>
                <a:moveTo>
                  <a:pt x="6955947" y="3072518"/>
                </a:moveTo>
                <a:cubicBezTo>
                  <a:pt x="6936980" y="3072518"/>
                  <a:pt x="6921594" y="3088110"/>
                  <a:pt x="6921594" y="3107339"/>
                </a:cubicBezTo>
                <a:cubicBezTo>
                  <a:pt x="6921594" y="3126567"/>
                  <a:pt x="6936980" y="3142159"/>
                  <a:pt x="6955947" y="3142159"/>
                </a:cubicBezTo>
                <a:cubicBezTo>
                  <a:pt x="6974914" y="3142159"/>
                  <a:pt x="6990287" y="3126567"/>
                  <a:pt x="6990287" y="3107339"/>
                </a:cubicBezTo>
                <a:cubicBezTo>
                  <a:pt x="6990287" y="3088110"/>
                  <a:pt x="6974914" y="3072518"/>
                  <a:pt x="6955947" y="3072518"/>
                </a:cubicBezTo>
                <a:close/>
                <a:moveTo>
                  <a:pt x="7039688" y="3072518"/>
                </a:moveTo>
                <a:cubicBezTo>
                  <a:pt x="7020721" y="3072518"/>
                  <a:pt x="7005335" y="3088110"/>
                  <a:pt x="7005335" y="3107339"/>
                </a:cubicBezTo>
                <a:cubicBezTo>
                  <a:pt x="7005335" y="3126567"/>
                  <a:pt x="7020721" y="3142159"/>
                  <a:pt x="7039688" y="3142159"/>
                </a:cubicBezTo>
                <a:cubicBezTo>
                  <a:pt x="7058655" y="3142159"/>
                  <a:pt x="7074029" y="3126567"/>
                  <a:pt x="7074029" y="3107339"/>
                </a:cubicBezTo>
                <a:cubicBezTo>
                  <a:pt x="7074029" y="3088110"/>
                  <a:pt x="7058655" y="3072518"/>
                  <a:pt x="7039688" y="3072518"/>
                </a:cubicBezTo>
                <a:close/>
                <a:moveTo>
                  <a:pt x="7123456" y="3072518"/>
                </a:moveTo>
                <a:cubicBezTo>
                  <a:pt x="7104489" y="3072518"/>
                  <a:pt x="7089103" y="3088110"/>
                  <a:pt x="7089103" y="3107339"/>
                </a:cubicBezTo>
                <a:cubicBezTo>
                  <a:pt x="7089103" y="3126567"/>
                  <a:pt x="7104489" y="3142159"/>
                  <a:pt x="7123456" y="3142159"/>
                </a:cubicBezTo>
                <a:cubicBezTo>
                  <a:pt x="7142423" y="3142159"/>
                  <a:pt x="7157796" y="3126567"/>
                  <a:pt x="7157796" y="3107339"/>
                </a:cubicBezTo>
                <a:cubicBezTo>
                  <a:pt x="7157796" y="3088110"/>
                  <a:pt x="7142423" y="3072518"/>
                  <a:pt x="7123456" y="3072518"/>
                </a:cubicBezTo>
                <a:close/>
                <a:moveTo>
                  <a:pt x="7207198" y="3072518"/>
                </a:moveTo>
                <a:cubicBezTo>
                  <a:pt x="7188231" y="3072518"/>
                  <a:pt x="7172845" y="3088110"/>
                  <a:pt x="7172845" y="3107339"/>
                </a:cubicBezTo>
                <a:cubicBezTo>
                  <a:pt x="7172845" y="3126567"/>
                  <a:pt x="7188231" y="3142159"/>
                  <a:pt x="7207198" y="3142159"/>
                </a:cubicBezTo>
                <a:cubicBezTo>
                  <a:pt x="7226165" y="3142159"/>
                  <a:pt x="7241538" y="3126567"/>
                  <a:pt x="7241538" y="3107339"/>
                </a:cubicBezTo>
                <a:cubicBezTo>
                  <a:pt x="7241538" y="3088110"/>
                  <a:pt x="7226165" y="3072518"/>
                  <a:pt x="7207198" y="3072518"/>
                </a:cubicBezTo>
                <a:close/>
                <a:moveTo>
                  <a:pt x="7290939" y="3072518"/>
                </a:moveTo>
                <a:cubicBezTo>
                  <a:pt x="7271972" y="3072518"/>
                  <a:pt x="7256586" y="3088110"/>
                  <a:pt x="7256586" y="3107339"/>
                </a:cubicBezTo>
                <a:cubicBezTo>
                  <a:pt x="7256586" y="3126567"/>
                  <a:pt x="7271972" y="3142159"/>
                  <a:pt x="7290939" y="3142159"/>
                </a:cubicBezTo>
                <a:cubicBezTo>
                  <a:pt x="7309906" y="3142159"/>
                  <a:pt x="7325279" y="3126567"/>
                  <a:pt x="7325279" y="3107339"/>
                </a:cubicBezTo>
                <a:cubicBezTo>
                  <a:pt x="7325279" y="3088110"/>
                  <a:pt x="7309906" y="3072518"/>
                  <a:pt x="7290939" y="3072518"/>
                </a:cubicBezTo>
                <a:close/>
                <a:moveTo>
                  <a:pt x="7374681" y="3072518"/>
                </a:moveTo>
                <a:cubicBezTo>
                  <a:pt x="7355714" y="3072518"/>
                  <a:pt x="7340328" y="3088110"/>
                  <a:pt x="7340328" y="3107339"/>
                </a:cubicBezTo>
                <a:cubicBezTo>
                  <a:pt x="7340328" y="3126567"/>
                  <a:pt x="7355714" y="3142159"/>
                  <a:pt x="7374681" y="3142159"/>
                </a:cubicBezTo>
                <a:cubicBezTo>
                  <a:pt x="7393648" y="3142159"/>
                  <a:pt x="7409022" y="3126567"/>
                  <a:pt x="7409022" y="3107339"/>
                </a:cubicBezTo>
                <a:cubicBezTo>
                  <a:pt x="7409022" y="3088110"/>
                  <a:pt x="7393648" y="3072518"/>
                  <a:pt x="7374681" y="3072518"/>
                </a:cubicBezTo>
                <a:close/>
                <a:moveTo>
                  <a:pt x="7458423" y="3072518"/>
                </a:moveTo>
                <a:cubicBezTo>
                  <a:pt x="7439456" y="3072518"/>
                  <a:pt x="7424070" y="3088110"/>
                  <a:pt x="7424070" y="3107339"/>
                </a:cubicBezTo>
                <a:cubicBezTo>
                  <a:pt x="7424070" y="3126567"/>
                  <a:pt x="7439456" y="3142159"/>
                  <a:pt x="7458423" y="3142159"/>
                </a:cubicBezTo>
                <a:cubicBezTo>
                  <a:pt x="7477390" y="3142159"/>
                  <a:pt x="7492763" y="3126567"/>
                  <a:pt x="7492763" y="3107339"/>
                </a:cubicBezTo>
                <a:cubicBezTo>
                  <a:pt x="7492763" y="3088110"/>
                  <a:pt x="7477390" y="3072518"/>
                  <a:pt x="7458423" y="3072518"/>
                </a:cubicBezTo>
                <a:close/>
                <a:moveTo>
                  <a:pt x="7542164" y="3072518"/>
                </a:moveTo>
                <a:cubicBezTo>
                  <a:pt x="7523197" y="3072518"/>
                  <a:pt x="7507811" y="3088110"/>
                  <a:pt x="7507811" y="3107339"/>
                </a:cubicBezTo>
                <a:cubicBezTo>
                  <a:pt x="7507811" y="3126567"/>
                  <a:pt x="7523197" y="3142159"/>
                  <a:pt x="7542164" y="3142159"/>
                </a:cubicBezTo>
                <a:cubicBezTo>
                  <a:pt x="7561131" y="3142159"/>
                  <a:pt x="7576504" y="3126567"/>
                  <a:pt x="7576504" y="3107339"/>
                </a:cubicBezTo>
                <a:cubicBezTo>
                  <a:pt x="7576504" y="3088110"/>
                  <a:pt x="7561131" y="3072518"/>
                  <a:pt x="7542164" y="3072518"/>
                </a:cubicBezTo>
                <a:close/>
                <a:moveTo>
                  <a:pt x="7625906" y="3072518"/>
                </a:moveTo>
                <a:cubicBezTo>
                  <a:pt x="7606939" y="3072518"/>
                  <a:pt x="7591553" y="3088110"/>
                  <a:pt x="7591553" y="3107339"/>
                </a:cubicBezTo>
                <a:cubicBezTo>
                  <a:pt x="7591553" y="3126567"/>
                  <a:pt x="7606939" y="3142159"/>
                  <a:pt x="7625906" y="3142159"/>
                </a:cubicBezTo>
                <a:cubicBezTo>
                  <a:pt x="7644873" y="3142159"/>
                  <a:pt x="7660246" y="3126567"/>
                  <a:pt x="7660246" y="3107339"/>
                </a:cubicBezTo>
                <a:cubicBezTo>
                  <a:pt x="7660246" y="3088110"/>
                  <a:pt x="7644873" y="3072518"/>
                  <a:pt x="7625906" y="3072518"/>
                </a:cubicBezTo>
                <a:close/>
                <a:moveTo>
                  <a:pt x="7709647" y="3072518"/>
                </a:moveTo>
                <a:cubicBezTo>
                  <a:pt x="7690680" y="3072518"/>
                  <a:pt x="7675294" y="3088110"/>
                  <a:pt x="7675294" y="3107339"/>
                </a:cubicBezTo>
                <a:cubicBezTo>
                  <a:pt x="7675294" y="3126567"/>
                  <a:pt x="7690680" y="3142159"/>
                  <a:pt x="7709647" y="3142159"/>
                </a:cubicBezTo>
                <a:cubicBezTo>
                  <a:pt x="7728614" y="3142159"/>
                  <a:pt x="7743988" y="3126567"/>
                  <a:pt x="7743988" y="3107339"/>
                </a:cubicBezTo>
                <a:cubicBezTo>
                  <a:pt x="7743988" y="3088110"/>
                  <a:pt x="7728614" y="3072518"/>
                  <a:pt x="7709647" y="3072518"/>
                </a:cubicBezTo>
                <a:close/>
                <a:moveTo>
                  <a:pt x="7794420" y="3072518"/>
                </a:moveTo>
                <a:cubicBezTo>
                  <a:pt x="7775453" y="3072518"/>
                  <a:pt x="7760067" y="3088110"/>
                  <a:pt x="7760067" y="3107339"/>
                </a:cubicBezTo>
                <a:cubicBezTo>
                  <a:pt x="7760067" y="3126567"/>
                  <a:pt x="7775453" y="3142159"/>
                  <a:pt x="7794420" y="3142159"/>
                </a:cubicBezTo>
                <a:cubicBezTo>
                  <a:pt x="7813387" y="3142159"/>
                  <a:pt x="7828760" y="3126567"/>
                  <a:pt x="7828760" y="3107339"/>
                </a:cubicBezTo>
                <a:cubicBezTo>
                  <a:pt x="7828760" y="3088110"/>
                  <a:pt x="7813387" y="3072518"/>
                  <a:pt x="7794420" y="3072518"/>
                </a:cubicBezTo>
                <a:close/>
                <a:moveTo>
                  <a:pt x="7878161" y="3072518"/>
                </a:moveTo>
                <a:cubicBezTo>
                  <a:pt x="7859194" y="3072518"/>
                  <a:pt x="7843808" y="3088110"/>
                  <a:pt x="7843808" y="3107339"/>
                </a:cubicBezTo>
                <a:cubicBezTo>
                  <a:pt x="7843808" y="3126567"/>
                  <a:pt x="7859194" y="3142159"/>
                  <a:pt x="7878161" y="3142159"/>
                </a:cubicBezTo>
                <a:cubicBezTo>
                  <a:pt x="7897128" y="3142159"/>
                  <a:pt x="7912501" y="3126567"/>
                  <a:pt x="7912501" y="3107339"/>
                </a:cubicBezTo>
                <a:cubicBezTo>
                  <a:pt x="7912501" y="3088110"/>
                  <a:pt x="7897128" y="3072518"/>
                  <a:pt x="7878161" y="3072518"/>
                </a:cubicBezTo>
                <a:close/>
                <a:moveTo>
                  <a:pt x="7960293" y="3072518"/>
                </a:moveTo>
                <a:cubicBezTo>
                  <a:pt x="7941326" y="3072518"/>
                  <a:pt x="7925940" y="3088110"/>
                  <a:pt x="7925940" y="3107339"/>
                </a:cubicBezTo>
                <a:cubicBezTo>
                  <a:pt x="7925940" y="3126567"/>
                  <a:pt x="7941326" y="3142159"/>
                  <a:pt x="7960293" y="3142159"/>
                </a:cubicBezTo>
                <a:cubicBezTo>
                  <a:pt x="7979260" y="3142159"/>
                  <a:pt x="7994633" y="3126567"/>
                  <a:pt x="7994633" y="3107339"/>
                </a:cubicBezTo>
                <a:cubicBezTo>
                  <a:pt x="7994633" y="3088110"/>
                  <a:pt x="7979260" y="3072518"/>
                  <a:pt x="7960293" y="3072518"/>
                </a:cubicBezTo>
                <a:close/>
                <a:moveTo>
                  <a:pt x="8044034" y="3072518"/>
                </a:moveTo>
                <a:cubicBezTo>
                  <a:pt x="8025067" y="3072518"/>
                  <a:pt x="8009681" y="3088110"/>
                  <a:pt x="8009681" y="3107339"/>
                </a:cubicBezTo>
                <a:cubicBezTo>
                  <a:pt x="8009681" y="3126567"/>
                  <a:pt x="8025067" y="3142159"/>
                  <a:pt x="8044034" y="3142159"/>
                </a:cubicBezTo>
                <a:cubicBezTo>
                  <a:pt x="8063001" y="3142159"/>
                  <a:pt x="8078375" y="3126567"/>
                  <a:pt x="8078375" y="3107339"/>
                </a:cubicBezTo>
                <a:cubicBezTo>
                  <a:pt x="8078375" y="3088110"/>
                  <a:pt x="8063001" y="3072518"/>
                  <a:pt x="8044034" y="3072518"/>
                </a:cubicBezTo>
                <a:close/>
                <a:moveTo>
                  <a:pt x="8127776" y="3072518"/>
                </a:moveTo>
                <a:cubicBezTo>
                  <a:pt x="8108809" y="3072518"/>
                  <a:pt x="8093422" y="3088110"/>
                  <a:pt x="8093422" y="3107339"/>
                </a:cubicBezTo>
                <a:cubicBezTo>
                  <a:pt x="8093422" y="3126567"/>
                  <a:pt x="8108809" y="3142159"/>
                  <a:pt x="8127776" y="3142159"/>
                </a:cubicBezTo>
                <a:cubicBezTo>
                  <a:pt x="8146743" y="3142159"/>
                  <a:pt x="8162116" y="3126567"/>
                  <a:pt x="8162116" y="3107339"/>
                </a:cubicBezTo>
                <a:cubicBezTo>
                  <a:pt x="8162116" y="3088110"/>
                  <a:pt x="8146743" y="3072518"/>
                  <a:pt x="8127776" y="3072518"/>
                </a:cubicBezTo>
                <a:close/>
                <a:moveTo>
                  <a:pt x="8212613" y="3072518"/>
                </a:moveTo>
                <a:cubicBezTo>
                  <a:pt x="8193646" y="3072518"/>
                  <a:pt x="8178260" y="3088110"/>
                  <a:pt x="8178260" y="3107339"/>
                </a:cubicBezTo>
                <a:cubicBezTo>
                  <a:pt x="8178260" y="3126567"/>
                  <a:pt x="8193646" y="3142159"/>
                  <a:pt x="8212613" y="3142159"/>
                </a:cubicBezTo>
                <a:cubicBezTo>
                  <a:pt x="8231580" y="3142159"/>
                  <a:pt x="8246953" y="3126567"/>
                  <a:pt x="8246953" y="3107339"/>
                </a:cubicBezTo>
                <a:cubicBezTo>
                  <a:pt x="8246953" y="3088110"/>
                  <a:pt x="8231580" y="3072518"/>
                  <a:pt x="8212613" y="3072518"/>
                </a:cubicBezTo>
                <a:close/>
                <a:moveTo>
                  <a:pt x="8296354" y="3072518"/>
                </a:moveTo>
                <a:cubicBezTo>
                  <a:pt x="8277387" y="3072518"/>
                  <a:pt x="8262001" y="3088110"/>
                  <a:pt x="8262001" y="3107339"/>
                </a:cubicBezTo>
                <a:cubicBezTo>
                  <a:pt x="8262001" y="3126567"/>
                  <a:pt x="8277387" y="3142159"/>
                  <a:pt x="8296354" y="3142159"/>
                </a:cubicBezTo>
                <a:cubicBezTo>
                  <a:pt x="8315321" y="3142159"/>
                  <a:pt x="8330695" y="3126567"/>
                  <a:pt x="8330695" y="3107339"/>
                </a:cubicBezTo>
                <a:cubicBezTo>
                  <a:pt x="8330695" y="3088110"/>
                  <a:pt x="8315321" y="3072518"/>
                  <a:pt x="8296354" y="3072518"/>
                </a:cubicBezTo>
                <a:close/>
                <a:moveTo>
                  <a:pt x="8379580" y="3072518"/>
                </a:moveTo>
                <a:cubicBezTo>
                  <a:pt x="8360613" y="3072518"/>
                  <a:pt x="8345227" y="3088110"/>
                  <a:pt x="8345227" y="3107339"/>
                </a:cubicBezTo>
                <a:cubicBezTo>
                  <a:pt x="8345227" y="3126567"/>
                  <a:pt x="8360613" y="3142159"/>
                  <a:pt x="8379580" y="3142159"/>
                </a:cubicBezTo>
                <a:cubicBezTo>
                  <a:pt x="8398547" y="3142159"/>
                  <a:pt x="8413921" y="3126567"/>
                  <a:pt x="8413921" y="3107339"/>
                </a:cubicBezTo>
                <a:cubicBezTo>
                  <a:pt x="8413921" y="3088110"/>
                  <a:pt x="8398547" y="3072518"/>
                  <a:pt x="8379580" y="3072518"/>
                </a:cubicBezTo>
                <a:close/>
                <a:moveTo>
                  <a:pt x="8463323" y="3072518"/>
                </a:moveTo>
                <a:cubicBezTo>
                  <a:pt x="8444356" y="3072518"/>
                  <a:pt x="8428970" y="3088110"/>
                  <a:pt x="8428970" y="3107339"/>
                </a:cubicBezTo>
                <a:cubicBezTo>
                  <a:pt x="8428970" y="3126567"/>
                  <a:pt x="8444356" y="3142159"/>
                  <a:pt x="8463323" y="3142159"/>
                </a:cubicBezTo>
                <a:cubicBezTo>
                  <a:pt x="8482290" y="3142159"/>
                  <a:pt x="8497663" y="3126567"/>
                  <a:pt x="8497663" y="3107339"/>
                </a:cubicBezTo>
                <a:cubicBezTo>
                  <a:pt x="8497663" y="3088110"/>
                  <a:pt x="8482290" y="3072518"/>
                  <a:pt x="8463323" y="3072518"/>
                </a:cubicBezTo>
                <a:close/>
                <a:moveTo>
                  <a:pt x="8547064" y="3072518"/>
                </a:moveTo>
                <a:cubicBezTo>
                  <a:pt x="8528097" y="3072518"/>
                  <a:pt x="8512711" y="3088110"/>
                  <a:pt x="8512711" y="3107339"/>
                </a:cubicBezTo>
                <a:cubicBezTo>
                  <a:pt x="8512711" y="3126567"/>
                  <a:pt x="8528097" y="3142159"/>
                  <a:pt x="8547064" y="3142159"/>
                </a:cubicBezTo>
                <a:cubicBezTo>
                  <a:pt x="8566031" y="3142159"/>
                  <a:pt x="8581404" y="3126567"/>
                  <a:pt x="8581404" y="3107339"/>
                </a:cubicBezTo>
                <a:cubicBezTo>
                  <a:pt x="8581404" y="3088110"/>
                  <a:pt x="8566031" y="3072518"/>
                  <a:pt x="8547064" y="3072518"/>
                </a:cubicBezTo>
                <a:close/>
                <a:moveTo>
                  <a:pt x="8630805" y="3072518"/>
                </a:moveTo>
                <a:cubicBezTo>
                  <a:pt x="8611838" y="3072518"/>
                  <a:pt x="8596452" y="3088110"/>
                  <a:pt x="8596452" y="3107339"/>
                </a:cubicBezTo>
                <a:cubicBezTo>
                  <a:pt x="8596452" y="3126567"/>
                  <a:pt x="8611838" y="3142159"/>
                  <a:pt x="8630805" y="3142159"/>
                </a:cubicBezTo>
                <a:cubicBezTo>
                  <a:pt x="8649772" y="3142159"/>
                  <a:pt x="8665145" y="3126567"/>
                  <a:pt x="8665145" y="3107339"/>
                </a:cubicBezTo>
                <a:cubicBezTo>
                  <a:pt x="8665145" y="3088110"/>
                  <a:pt x="8649772" y="3072518"/>
                  <a:pt x="8630805" y="3072518"/>
                </a:cubicBezTo>
                <a:close/>
                <a:moveTo>
                  <a:pt x="8714547" y="3072518"/>
                </a:moveTo>
                <a:cubicBezTo>
                  <a:pt x="8695580" y="3072518"/>
                  <a:pt x="8680194" y="3088110"/>
                  <a:pt x="8680194" y="3107339"/>
                </a:cubicBezTo>
                <a:cubicBezTo>
                  <a:pt x="8680194" y="3126567"/>
                  <a:pt x="8695580" y="3142159"/>
                  <a:pt x="8714547" y="3142159"/>
                </a:cubicBezTo>
                <a:cubicBezTo>
                  <a:pt x="8733514" y="3142159"/>
                  <a:pt x="8748888" y="3126567"/>
                  <a:pt x="8748888" y="3107339"/>
                </a:cubicBezTo>
                <a:cubicBezTo>
                  <a:pt x="8748888" y="3088110"/>
                  <a:pt x="8733514" y="3072518"/>
                  <a:pt x="8714547" y="3072518"/>
                </a:cubicBezTo>
                <a:close/>
                <a:moveTo>
                  <a:pt x="8798289" y="3072518"/>
                </a:moveTo>
                <a:cubicBezTo>
                  <a:pt x="8779322" y="3072518"/>
                  <a:pt x="8763936" y="3088110"/>
                  <a:pt x="8763936" y="3107339"/>
                </a:cubicBezTo>
                <a:cubicBezTo>
                  <a:pt x="8763936" y="3126567"/>
                  <a:pt x="8779322" y="3142159"/>
                  <a:pt x="8798289" y="3142159"/>
                </a:cubicBezTo>
                <a:cubicBezTo>
                  <a:pt x="8817256" y="3142159"/>
                  <a:pt x="8832629" y="3126567"/>
                  <a:pt x="8832629" y="3107339"/>
                </a:cubicBezTo>
                <a:cubicBezTo>
                  <a:pt x="8832629" y="3088110"/>
                  <a:pt x="8817256" y="3072518"/>
                  <a:pt x="8798289" y="3072518"/>
                </a:cubicBezTo>
                <a:close/>
                <a:moveTo>
                  <a:pt x="8882030" y="3072518"/>
                </a:moveTo>
                <a:cubicBezTo>
                  <a:pt x="8863063" y="3072518"/>
                  <a:pt x="8847677" y="3088110"/>
                  <a:pt x="8847677" y="3107339"/>
                </a:cubicBezTo>
                <a:cubicBezTo>
                  <a:pt x="8847677" y="3126567"/>
                  <a:pt x="8863063" y="3142159"/>
                  <a:pt x="8882030" y="3142159"/>
                </a:cubicBezTo>
                <a:cubicBezTo>
                  <a:pt x="8900997" y="3142159"/>
                  <a:pt x="8916370" y="3126567"/>
                  <a:pt x="8916370" y="3107339"/>
                </a:cubicBezTo>
                <a:cubicBezTo>
                  <a:pt x="8916370" y="3088110"/>
                  <a:pt x="8900997" y="3072518"/>
                  <a:pt x="8882030" y="3072518"/>
                </a:cubicBezTo>
                <a:close/>
                <a:moveTo>
                  <a:pt x="8965772" y="3072518"/>
                </a:moveTo>
                <a:cubicBezTo>
                  <a:pt x="8946805" y="3072518"/>
                  <a:pt x="8931419" y="3088110"/>
                  <a:pt x="8931419" y="3107339"/>
                </a:cubicBezTo>
                <a:cubicBezTo>
                  <a:pt x="8931419" y="3126567"/>
                  <a:pt x="8946805" y="3142159"/>
                  <a:pt x="8965772" y="3142159"/>
                </a:cubicBezTo>
                <a:cubicBezTo>
                  <a:pt x="8984739" y="3142159"/>
                  <a:pt x="9000112" y="3126567"/>
                  <a:pt x="9000112" y="3107339"/>
                </a:cubicBezTo>
                <a:cubicBezTo>
                  <a:pt x="9000112" y="3088110"/>
                  <a:pt x="8984739" y="3072518"/>
                  <a:pt x="8965772" y="3072518"/>
                </a:cubicBezTo>
                <a:close/>
                <a:moveTo>
                  <a:pt x="9049513" y="3072518"/>
                </a:moveTo>
                <a:cubicBezTo>
                  <a:pt x="9030546" y="3072518"/>
                  <a:pt x="9015160" y="3088110"/>
                  <a:pt x="9015160" y="3107339"/>
                </a:cubicBezTo>
                <a:cubicBezTo>
                  <a:pt x="9015160" y="3126567"/>
                  <a:pt x="9030546" y="3142159"/>
                  <a:pt x="9049513" y="3142159"/>
                </a:cubicBezTo>
                <a:cubicBezTo>
                  <a:pt x="9068480" y="3142159"/>
                  <a:pt x="9083854" y="3126567"/>
                  <a:pt x="9083854" y="3107339"/>
                </a:cubicBezTo>
                <a:cubicBezTo>
                  <a:pt x="9083854" y="3088110"/>
                  <a:pt x="9068480" y="3072518"/>
                  <a:pt x="9049513" y="3072518"/>
                </a:cubicBezTo>
                <a:close/>
                <a:moveTo>
                  <a:pt x="9133256" y="3072518"/>
                </a:moveTo>
                <a:cubicBezTo>
                  <a:pt x="9114289" y="3072518"/>
                  <a:pt x="9098903" y="3088110"/>
                  <a:pt x="9098903" y="3107339"/>
                </a:cubicBezTo>
                <a:cubicBezTo>
                  <a:pt x="9098903" y="3126567"/>
                  <a:pt x="9114289" y="3142159"/>
                  <a:pt x="9133256" y="3142159"/>
                </a:cubicBezTo>
                <a:cubicBezTo>
                  <a:pt x="9152223" y="3142159"/>
                  <a:pt x="9167596" y="3126567"/>
                  <a:pt x="9167596" y="3107339"/>
                </a:cubicBezTo>
                <a:cubicBezTo>
                  <a:pt x="9167596" y="3088110"/>
                  <a:pt x="9152223" y="3072518"/>
                  <a:pt x="9133256" y="3072518"/>
                </a:cubicBezTo>
                <a:close/>
                <a:moveTo>
                  <a:pt x="9216997" y="3072518"/>
                </a:moveTo>
                <a:cubicBezTo>
                  <a:pt x="9198030" y="3072518"/>
                  <a:pt x="9182644" y="3088110"/>
                  <a:pt x="9182644" y="3107339"/>
                </a:cubicBezTo>
                <a:cubicBezTo>
                  <a:pt x="9182644" y="3126567"/>
                  <a:pt x="9198030" y="3142159"/>
                  <a:pt x="9216997" y="3142159"/>
                </a:cubicBezTo>
                <a:cubicBezTo>
                  <a:pt x="9235964" y="3142159"/>
                  <a:pt x="9251337" y="3126567"/>
                  <a:pt x="9251337" y="3107339"/>
                </a:cubicBezTo>
                <a:cubicBezTo>
                  <a:pt x="9251337" y="3088110"/>
                  <a:pt x="9235964" y="3072518"/>
                  <a:pt x="9216997" y="3072518"/>
                </a:cubicBezTo>
                <a:close/>
                <a:moveTo>
                  <a:pt x="9300738" y="3072518"/>
                </a:moveTo>
                <a:cubicBezTo>
                  <a:pt x="9281771" y="3072518"/>
                  <a:pt x="9266385" y="3088110"/>
                  <a:pt x="9266385" y="3107339"/>
                </a:cubicBezTo>
                <a:cubicBezTo>
                  <a:pt x="9266385" y="3126567"/>
                  <a:pt x="9281771" y="3142159"/>
                  <a:pt x="9300738" y="3142159"/>
                </a:cubicBezTo>
                <a:cubicBezTo>
                  <a:pt x="9319705" y="3142159"/>
                  <a:pt x="9335078" y="3126567"/>
                  <a:pt x="9335078" y="3107339"/>
                </a:cubicBezTo>
                <a:cubicBezTo>
                  <a:pt x="9335078" y="3088110"/>
                  <a:pt x="9319705" y="3072518"/>
                  <a:pt x="9300738" y="3072518"/>
                </a:cubicBezTo>
                <a:close/>
                <a:moveTo>
                  <a:pt x="9384480" y="3072518"/>
                </a:moveTo>
                <a:cubicBezTo>
                  <a:pt x="9365513" y="3072518"/>
                  <a:pt x="9350127" y="3088110"/>
                  <a:pt x="9350127" y="3107339"/>
                </a:cubicBezTo>
                <a:cubicBezTo>
                  <a:pt x="9350127" y="3126567"/>
                  <a:pt x="9365513" y="3142159"/>
                  <a:pt x="9384480" y="3142159"/>
                </a:cubicBezTo>
                <a:cubicBezTo>
                  <a:pt x="9403447" y="3142159"/>
                  <a:pt x="9418821" y="3126567"/>
                  <a:pt x="9418821" y="3107339"/>
                </a:cubicBezTo>
                <a:cubicBezTo>
                  <a:pt x="9418821" y="3088110"/>
                  <a:pt x="9403447" y="3072518"/>
                  <a:pt x="9384480" y="3072518"/>
                </a:cubicBezTo>
                <a:close/>
                <a:moveTo>
                  <a:pt x="9886930" y="3072518"/>
                </a:moveTo>
                <a:cubicBezTo>
                  <a:pt x="9867963" y="3072518"/>
                  <a:pt x="9852577" y="3088110"/>
                  <a:pt x="9852577" y="3107339"/>
                </a:cubicBezTo>
                <a:cubicBezTo>
                  <a:pt x="9852577" y="3126567"/>
                  <a:pt x="9867963" y="3142159"/>
                  <a:pt x="9886930" y="3142159"/>
                </a:cubicBezTo>
                <a:cubicBezTo>
                  <a:pt x="9905897" y="3142159"/>
                  <a:pt x="9921270" y="3126567"/>
                  <a:pt x="9921270" y="3107339"/>
                </a:cubicBezTo>
                <a:cubicBezTo>
                  <a:pt x="9921270" y="3088110"/>
                  <a:pt x="9905897" y="3072518"/>
                  <a:pt x="9886930" y="3072518"/>
                </a:cubicBezTo>
                <a:close/>
                <a:moveTo>
                  <a:pt x="2350151" y="3157382"/>
                </a:moveTo>
                <a:cubicBezTo>
                  <a:pt x="2331184" y="3157382"/>
                  <a:pt x="2315804" y="3172974"/>
                  <a:pt x="2315804" y="3192202"/>
                </a:cubicBezTo>
                <a:cubicBezTo>
                  <a:pt x="2315804" y="3211431"/>
                  <a:pt x="2331184" y="3227023"/>
                  <a:pt x="2350151" y="3227023"/>
                </a:cubicBezTo>
                <a:cubicBezTo>
                  <a:pt x="2369118" y="3227023"/>
                  <a:pt x="2384498" y="3211431"/>
                  <a:pt x="2384498" y="3192202"/>
                </a:cubicBezTo>
                <a:cubicBezTo>
                  <a:pt x="2384498" y="3172974"/>
                  <a:pt x="2369118" y="3157382"/>
                  <a:pt x="2350151" y="3157382"/>
                </a:cubicBezTo>
                <a:close/>
                <a:moveTo>
                  <a:pt x="2433893" y="3157382"/>
                </a:moveTo>
                <a:cubicBezTo>
                  <a:pt x="2414926" y="3157382"/>
                  <a:pt x="2399546" y="3172974"/>
                  <a:pt x="2399546" y="3192202"/>
                </a:cubicBezTo>
                <a:cubicBezTo>
                  <a:pt x="2399546" y="3211431"/>
                  <a:pt x="2414926" y="3227023"/>
                  <a:pt x="2433893" y="3227023"/>
                </a:cubicBezTo>
                <a:cubicBezTo>
                  <a:pt x="2452860" y="3227023"/>
                  <a:pt x="2468240" y="3211431"/>
                  <a:pt x="2468240" y="3192202"/>
                </a:cubicBezTo>
                <a:cubicBezTo>
                  <a:pt x="2468240" y="3172974"/>
                  <a:pt x="2452860" y="3157382"/>
                  <a:pt x="2433893" y="3157382"/>
                </a:cubicBezTo>
                <a:close/>
                <a:moveTo>
                  <a:pt x="2517634" y="3157382"/>
                </a:moveTo>
                <a:cubicBezTo>
                  <a:pt x="2498667" y="3157382"/>
                  <a:pt x="2483288" y="3172974"/>
                  <a:pt x="2483288" y="3192202"/>
                </a:cubicBezTo>
                <a:cubicBezTo>
                  <a:pt x="2483288" y="3211431"/>
                  <a:pt x="2498667" y="3227023"/>
                  <a:pt x="2517634" y="3227023"/>
                </a:cubicBezTo>
                <a:cubicBezTo>
                  <a:pt x="2536601" y="3227023"/>
                  <a:pt x="2551981" y="3211431"/>
                  <a:pt x="2551981" y="3192202"/>
                </a:cubicBezTo>
                <a:cubicBezTo>
                  <a:pt x="2551981" y="3172974"/>
                  <a:pt x="2536601" y="3157382"/>
                  <a:pt x="2517634" y="3157382"/>
                </a:cubicBezTo>
                <a:close/>
                <a:moveTo>
                  <a:pt x="2601376" y="3157382"/>
                </a:moveTo>
                <a:cubicBezTo>
                  <a:pt x="2582409" y="3157382"/>
                  <a:pt x="2567029" y="3172974"/>
                  <a:pt x="2567029" y="3192202"/>
                </a:cubicBezTo>
                <a:cubicBezTo>
                  <a:pt x="2567029" y="3211431"/>
                  <a:pt x="2582409" y="3227023"/>
                  <a:pt x="2601376" y="3227023"/>
                </a:cubicBezTo>
                <a:cubicBezTo>
                  <a:pt x="2620343" y="3227023"/>
                  <a:pt x="2635722" y="3211431"/>
                  <a:pt x="2635722" y="3192202"/>
                </a:cubicBezTo>
                <a:cubicBezTo>
                  <a:pt x="2635722" y="3172974"/>
                  <a:pt x="2620343" y="3157382"/>
                  <a:pt x="2601376" y="3157382"/>
                </a:cubicBezTo>
                <a:close/>
                <a:moveTo>
                  <a:pt x="2685118" y="3157382"/>
                </a:moveTo>
                <a:cubicBezTo>
                  <a:pt x="2666151" y="3157382"/>
                  <a:pt x="2650771" y="3172974"/>
                  <a:pt x="2650771" y="3192202"/>
                </a:cubicBezTo>
                <a:cubicBezTo>
                  <a:pt x="2650771" y="3211431"/>
                  <a:pt x="2666151" y="3227023"/>
                  <a:pt x="2685118" y="3227023"/>
                </a:cubicBezTo>
                <a:cubicBezTo>
                  <a:pt x="2704085" y="3227023"/>
                  <a:pt x="2719465" y="3211431"/>
                  <a:pt x="2719465" y="3192202"/>
                </a:cubicBezTo>
                <a:cubicBezTo>
                  <a:pt x="2719465" y="3172974"/>
                  <a:pt x="2704085" y="3157382"/>
                  <a:pt x="2685118" y="3157382"/>
                </a:cubicBezTo>
                <a:close/>
                <a:moveTo>
                  <a:pt x="2768859" y="3157382"/>
                </a:moveTo>
                <a:cubicBezTo>
                  <a:pt x="2749892" y="3157382"/>
                  <a:pt x="2734512" y="3172974"/>
                  <a:pt x="2734512" y="3192202"/>
                </a:cubicBezTo>
                <a:cubicBezTo>
                  <a:pt x="2734512" y="3211431"/>
                  <a:pt x="2749892" y="3227023"/>
                  <a:pt x="2768859" y="3227023"/>
                </a:cubicBezTo>
                <a:cubicBezTo>
                  <a:pt x="2787826" y="3227023"/>
                  <a:pt x="2803206" y="3211431"/>
                  <a:pt x="2803206" y="3192202"/>
                </a:cubicBezTo>
                <a:cubicBezTo>
                  <a:pt x="2803206" y="3172974"/>
                  <a:pt x="2787826" y="3157382"/>
                  <a:pt x="2768859" y="3157382"/>
                </a:cubicBezTo>
                <a:close/>
                <a:moveTo>
                  <a:pt x="2852600" y="3157382"/>
                </a:moveTo>
                <a:cubicBezTo>
                  <a:pt x="2833633" y="3157382"/>
                  <a:pt x="2818254" y="3172974"/>
                  <a:pt x="2818254" y="3192202"/>
                </a:cubicBezTo>
                <a:cubicBezTo>
                  <a:pt x="2818254" y="3211431"/>
                  <a:pt x="2833633" y="3227023"/>
                  <a:pt x="2852600" y="3227023"/>
                </a:cubicBezTo>
                <a:cubicBezTo>
                  <a:pt x="2871567" y="3227023"/>
                  <a:pt x="2886947" y="3211431"/>
                  <a:pt x="2886947" y="3192202"/>
                </a:cubicBezTo>
                <a:cubicBezTo>
                  <a:pt x="2886947" y="3172974"/>
                  <a:pt x="2871567" y="3157382"/>
                  <a:pt x="2852600" y="3157382"/>
                </a:cubicBezTo>
                <a:close/>
                <a:moveTo>
                  <a:pt x="2936343" y="3157382"/>
                </a:moveTo>
                <a:cubicBezTo>
                  <a:pt x="2917376" y="3157382"/>
                  <a:pt x="2901996" y="3172974"/>
                  <a:pt x="2901996" y="3192202"/>
                </a:cubicBezTo>
                <a:cubicBezTo>
                  <a:pt x="2901996" y="3211431"/>
                  <a:pt x="2917376" y="3227023"/>
                  <a:pt x="2936343" y="3227023"/>
                </a:cubicBezTo>
                <a:cubicBezTo>
                  <a:pt x="2955310" y="3227023"/>
                  <a:pt x="2970689" y="3211431"/>
                  <a:pt x="2970689" y="3192202"/>
                </a:cubicBezTo>
                <a:cubicBezTo>
                  <a:pt x="2970689" y="3172974"/>
                  <a:pt x="2955310" y="3157382"/>
                  <a:pt x="2936343" y="3157382"/>
                </a:cubicBezTo>
                <a:close/>
                <a:moveTo>
                  <a:pt x="3020084" y="3157382"/>
                </a:moveTo>
                <a:cubicBezTo>
                  <a:pt x="3001117" y="3157382"/>
                  <a:pt x="2985737" y="3172974"/>
                  <a:pt x="2985737" y="3192202"/>
                </a:cubicBezTo>
                <a:cubicBezTo>
                  <a:pt x="2985737" y="3211431"/>
                  <a:pt x="3001117" y="3227023"/>
                  <a:pt x="3020084" y="3227023"/>
                </a:cubicBezTo>
                <a:cubicBezTo>
                  <a:pt x="3039051" y="3227023"/>
                  <a:pt x="3054431" y="3211431"/>
                  <a:pt x="3054431" y="3192202"/>
                </a:cubicBezTo>
                <a:cubicBezTo>
                  <a:pt x="3054431" y="3172974"/>
                  <a:pt x="3039051" y="3157382"/>
                  <a:pt x="3020084" y="3157382"/>
                </a:cubicBezTo>
                <a:close/>
                <a:moveTo>
                  <a:pt x="3103826" y="3157382"/>
                </a:moveTo>
                <a:cubicBezTo>
                  <a:pt x="3084859" y="3157382"/>
                  <a:pt x="3069479" y="3172974"/>
                  <a:pt x="3069479" y="3192202"/>
                </a:cubicBezTo>
                <a:cubicBezTo>
                  <a:pt x="3069479" y="3211431"/>
                  <a:pt x="3084859" y="3227023"/>
                  <a:pt x="3103826" y="3227023"/>
                </a:cubicBezTo>
                <a:cubicBezTo>
                  <a:pt x="3122793" y="3227023"/>
                  <a:pt x="3138173" y="3211431"/>
                  <a:pt x="3138173" y="3192202"/>
                </a:cubicBezTo>
                <a:cubicBezTo>
                  <a:pt x="3138173" y="3172974"/>
                  <a:pt x="3122793" y="3157382"/>
                  <a:pt x="3103826" y="3157382"/>
                </a:cubicBezTo>
                <a:close/>
                <a:moveTo>
                  <a:pt x="3187567" y="3157382"/>
                </a:moveTo>
                <a:cubicBezTo>
                  <a:pt x="3168600" y="3157382"/>
                  <a:pt x="3153221" y="3172974"/>
                  <a:pt x="3153221" y="3192202"/>
                </a:cubicBezTo>
                <a:cubicBezTo>
                  <a:pt x="3153221" y="3211431"/>
                  <a:pt x="3168600" y="3227023"/>
                  <a:pt x="3187567" y="3227023"/>
                </a:cubicBezTo>
                <a:cubicBezTo>
                  <a:pt x="3206534" y="3227023"/>
                  <a:pt x="3221914" y="3211431"/>
                  <a:pt x="3221914" y="3192202"/>
                </a:cubicBezTo>
                <a:cubicBezTo>
                  <a:pt x="3221914" y="3172974"/>
                  <a:pt x="3206534" y="3157382"/>
                  <a:pt x="3187567" y="3157382"/>
                </a:cubicBezTo>
                <a:close/>
                <a:moveTo>
                  <a:pt x="3271309" y="3157382"/>
                </a:moveTo>
                <a:cubicBezTo>
                  <a:pt x="3252342" y="3157382"/>
                  <a:pt x="3236962" y="3172974"/>
                  <a:pt x="3236962" y="3192202"/>
                </a:cubicBezTo>
                <a:cubicBezTo>
                  <a:pt x="3236962" y="3211431"/>
                  <a:pt x="3252342" y="3227023"/>
                  <a:pt x="3271309" y="3227023"/>
                </a:cubicBezTo>
                <a:cubicBezTo>
                  <a:pt x="3290276" y="3227023"/>
                  <a:pt x="3305655" y="3211431"/>
                  <a:pt x="3305655" y="3192202"/>
                </a:cubicBezTo>
                <a:cubicBezTo>
                  <a:pt x="3305655" y="3172974"/>
                  <a:pt x="3290276" y="3157382"/>
                  <a:pt x="3271309" y="3157382"/>
                </a:cubicBezTo>
                <a:close/>
                <a:moveTo>
                  <a:pt x="3355051" y="3157382"/>
                </a:moveTo>
                <a:cubicBezTo>
                  <a:pt x="3336084" y="3157382"/>
                  <a:pt x="3320704" y="3172974"/>
                  <a:pt x="3320704" y="3192202"/>
                </a:cubicBezTo>
                <a:cubicBezTo>
                  <a:pt x="3320704" y="3211431"/>
                  <a:pt x="3336084" y="3227023"/>
                  <a:pt x="3355051" y="3227023"/>
                </a:cubicBezTo>
                <a:cubicBezTo>
                  <a:pt x="3374018" y="3227023"/>
                  <a:pt x="3389398" y="3211431"/>
                  <a:pt x="3389398" y="3192202"/>
                </a:cubicBezTo>
                <a:cubicBezTo>
                  <a:pt x="3389398" y="3172974"/>
                  <a:pt x="3374018" y="3157382"/>
                  <a:pt x="3355051" y="3157382"/>
                </a:cubicBezTo>
                <a:close/>
                <a:moveTo>
                  <a:pt x="3438792" y="3157382"/>
                </a:moveTo>
                <a:cubicBezTo>
                  <a:pt x="3419825" y="3157382"/>
                  <a:pt x="3404445" y="3172974"/>
                  <a:pt x="3404445" y="3192202"/>
                </a:cubicBezTo>
                <a:cubicBezTo>
                  <a:pt x="3404445" y="3211431"/>
                  <a:pt x="3419825" y="3227023"/>
                  <a:pt x="3438792" y="3227023"/>
                </a:cubicBezTo>
                <a:cubicBezTo>
                  <a:pt x="3457759" y="3227023"/>
                  <a:pt x="3473139" y="3211431"/>
                  <a:pt x="3473139" y="3192202"/>
                </a:cubicBezTo>
                <a:cubicBezTo>
                  <a:pt x="3473139" y="3172974"/>
                  <a:pt x="3457759" y="3157382"/>
                  <a:pt x="3438792" y="3157382"/>
                </a:cubicBezTo>
                <a:close/>
                <a:moveTo>
                  <a:pt x="5699822" y="3157382"/>
                </a:moveTo>
                <a:cubicBezTo>
                  <a:pt x="5680855" y="3157382"/>
                  <a:pt x="5665469" y="3172974"/>
                  <a:pt x="5665469" y="3192202"/>
                </a:cubicBezTo>
                <a:cubicBezTo>
                  <a:pt x="5665469" y="3211431"/>
                  <a:pt x="5680855" y="3227023"/>
                  <a:pt x="5699822" y="3227023"/>
                </a:cubicBezTo>
                <a:cubicBezTo>
                  <a:pt x="5718789" y="3227023"/>
                  <a:pt x="5734163" y="3211431"/>
                  <a:pt x="5734163" y="3192202"/>
                </a:cubicBezTo>
                <a:cubicBezTo>
                  <a:pt x="5734163" y="3172974"/>
                  <a:pt x="5718789" y="3157382"/>
                  <a:pt x="5699822" y="3157382"/>
                </a:cubicBezTo>
                <a:close/>
                <a:moveTo>
                  <a:pt x="5783565" y="3157382"/>
                </a:moveTo>
                <a:cubicBezTo>
                  <a:pt x="5764598" y="3157382"/>
                  <a:pt x="5749211" y="3172974"/>
                  <a:pt x="5749211" y="3192202"/>
                </a:cubicBezTo>
                <a:cubicBezTo>
                  <a:pt x="5749211" y="3211431"/>
                  <a:pt x="5764598" y="3227023"/>
                  <a:pt x="5783565" y="3227023"/>
                </a:cubicBezTo>
                <a:cubicBezTo>
                  <a:pt x="5802532" y="3227023"/>
                  <a:pt x="5817905" y="3211431"/>
                  <a:pt x="5817905" y="3192202"/>
                </a:cubicBezTo>
                <a:cubicBezTo>
                  <a:pt x="5817905" y="3172974"/>
                  <a:pt x="5802532" y="3157382"/>
                  <a:pt x="5783565" y="3157382"/>
                </a:cubicBezTo>
                <a:close/>
                <a:moveTo>
                  <a:pt x="5867306" y="3157382"/>
                </a:moveTo>
                <a:cubicBezTo>
                  <a:pt x="5848339" y="3157382"/>
                  <a:pt x="5832953" y="3172974"/>
                  <a:pt x="5832953" y="3192202"/>
                </a:cubicBezTo>
                <a:cubicBezTo>
                  <a:pt x="5832953" y="3211431"/>
                  <a:pt x="5848339" y="3227023"/>
                  <a:pt x="5867306" y="3227023"/>
                </a:cubicBezTo>
                <a:cubicBezTo>
                  <a:pt x="5886273" y="3227023"/>
                  <a:pt x="5901646" y="3211431"/>
                  <a:pt x="5901646" y="3192202"/>
                </a:cubicBezTo>
                <a:cubicBezTo>
                  <a:pt x="5901646" y="3172974"/>
                  <a:pt x="5886273" y="3157382"/>
                  <a:pt x="5867306" y="3157382"/>
                </a:cubicBezTo>
                <a:close/>
                <a:moveTo>
                  <a:pt x="5951047" y="3157382"/>
                </a:moveTo>
                <a:cubicBezTo>
                  <a:pt x="5932080" y="3157382"/>
                  <a:pt x="5916694" y="3172974"/>
                  <a:pt x="5916694" y="3192202"/>
                </a:cubicBezTo>
                <a:cubicBezTo>
                  <a:pt x="5916694" y="3211431"/>
                  <a:pt x="5932080" y="3227023"/>
                  <a:pt x="5951047" y="3227023"/>
                </a:cubicBezTo>
                <a:cubicBezTo>
                  <a:pt x="5970014" y="3227023"/>
                  <a:pt x="5985387" y="3211431"/>
                  <a:pt x="5985387" y="3192202"/>
                </a:cubicBezTo>
                <a:cubicBezTo>
                  <a:pt x="5985387" y="3172974"/>
                  <a:pt x="5970014" y="3157382"/>
                  <a:pt x="5951047" y="3157382"/>
                </a:cubicBezTo>
                <a:close/>
                <a:moveTo>
                  <a:pt x="6034789" y="3157382"/>
                </a:moveTo>
                <a:cubicBezTo>
                  <a:pt x="6015822" y="3157382"/>
                  <a:pt x="6000436" y="3172974"/>
                  <a:pt x="6000436" y="3192202"/>
                </a:cubicBezTo>
                <a:cubicBezTo>
                  <a:pt x="6000436" y="3211431"/>
                  <a:pt x="6015822" y="3227023"/>
                  <a:pt x="6034789" y="3227023"/>
                </a:cubicBezTo>
                <a:cubicBezTo>
                  <a:pt x="6053756" y="3227023"/>
                  <a:pt x="6069130" y="3211431"/>
                  <a:pt x="6069130" y="3192202"/>
                </a:cubicBezTo>
                <a:cubicBezTo>
                  <a:pt x="6069130" y="3172974"/>
                  <a:pt x="6053756" y="3157382"/>
                  <a:pt x="6034789" y="3157382"/>
                </a:cubicBezTo>
                <a:close/>
                <a:moveTo>
                  <a:pt x="6118531" y="3157382"/>
                </a:moveTo>
                <a:cubicBezTo>
                  <a:pt x="6099564" y="3157382"/>
                  <a:pt x="6084177" y="3172974"/>
                  <a:pt x="6084177" y="3192202"/>
                </a:cubicBezTo>
                <a:cubicBezTo>
                  <a:pt x="6084177" y="3211431"/>
                  <a:pt x="6099564" y="3227023"/>
                  <a:pt x="6118531" y="3227023"/>
                </a:cubicBezTo>
                <a:cubicBezTo>
                  <a:pt x="6137498" y="3227023"/>
                  <a:pt x="6152871" y="3211431"/>
                  <a:pt x="6152871" y="3192202"/>
                </a:cubicBezTo>
                <a:cubicBezTo>
                  <a:pt x="6152871" y="3172974"/>
                  <a:pt x="6137498" y="3157382"/>
                  <a:pt x="6118531" y="3157382"/>
                </a:cubicBezTo>
                <a:close/>
                <a:moveTo>
                  <a:pt x="6872206" y="3157382"/>
                </a:moveTo>
                <a:cubicBezTo>
                  <a:pt x="6853239" y="3157382"/>
                  <a:pt x="6837853" y="3172974"/>
                  <a:pt x="6837853" y="3192202"/>
                </a:cubicBezTo>
                <a:cubicBezTo>
                  <a:pt x="6837853" y="3211431"/>
                  <a:pt x="6853239" y="3227023"/>
                  <a:pt x="6872206" y="3227023"/>
                </a:cubicBezTo>
                <a:cubicBezTo>
                  <a:pt x="6891173" y="3227023"/>
                  <a:pt x="6906546" y="3211431"/>
                  <a:pt x="6906546" y="3192202"/>
                </a:cubicBezTo>
                <a:cubicBezTo>
                  <a:pt x="6906546" y="3172974"/>
                  <a:pt x="6891173" y="3157382"/>
                  <a:pt x="6872206" y="3157382"/>
                </a:cubicBezTo>
                <a:close/>
                <a:moveTo>
                  <a:pt x="6955947" y="3157382"/>
                </a:moveTo>
                <a:cubicBezTo>
                  <a:pt x="6936980" y="3157382"/>
                  <a:pt x="6921594" y="3172974"/>
                  <a:pt x="6921594" y="3192202"/>
                </a:cubicBezTo>
                <a:cubicBezTo>
                  <a:pt x="6921594" y="3211431"/>
                  <a:pt x="6936980" y="3227023"/>
                  <a:pt x="6955947" y="3227023"/>
                </a:cubicBezTo>
                <a:cubicBezTo>
                  <a:pt x="6974914" y="3227023"/>
                  <a:pt x="6990287" y="3211431"/>
                  <a:pt x="6990287" y="3192202"/>
                </a:cubicBezTo>
                <a:cubicBezTo>
                  <a:pt x="6990287" y="3172974"/>
                  <a:pt x="6974914" y="3157382"/>
                  <a:pt x="6955947" y="3157382"/>
                </a:cubicBezTo>
                <a:close/>
                <a:moveTo>
                  <a:pt x="7039688" y="3157382"/>
                </a:moveTo>
                <a:cubicBezTo>
                  <a:pt x="7020721" y="3157382"/>
                  <a:pt x="7005335" y="3172974"/>
                  <a:pt x="7005335" y="3192202"/>
                </a:cubicBezTo>
                <a:cubicBezTo>
                  <a:pt x="7005335" y="3211431"/>
                  <a:pt x="7020721" y="3227023"/>
                  <a:pt x="7039688" y="3227023"/>
                </a:cubicBezTo>
                <a:cubicBezTo>
                  <a:pt x="7058655" y="3227023"/>
                  <a:pt x="7074029" y="3211431"/>
                  <a:pt x="7074029" y="3192202"/>
                </a:cubicBezTo>
                <a:cubicBezTo>
                  <a:pt x="7074029" y="3172974"/>
                  <a:pt x="7058655" y="3157382"/>
                  <a:pt x="7039688" y="3157382"/>
                </a:cubicBezTo>
                <a:close/>
                <a:moveTo>
                  <a:pt x="7123456" y="3157382"/>
                </a:moveTo>
                <a:cubicBezTo>
                  <a:pt x="7104489" y="3157382"/>
                  <a:pt x="7089103" y="3172974"/>
                  <a:pt x="7089103" y="3192202"/>
                </a:cubicBezTo>
                <a:cubicBezTo>
                  <a:pt x="7089103" y="3211431"/>
                  <a:pt x="7104489" y="3227023"/>
                  <a:pt x="7123456" y="3227023"/>
                </a:cubicBezTo>
                <a:cubicBezTo>
                  <a:pt x="7142423" y="3227023"/>
                  <a:pt x="7157796" y="3211431"/>
                  <a:pt x="7157796" y="3192202"/>
                </a:cubicBezTo>
                <a:cubicBezTo>
                  <a:pt x="7157796" y="3172974"/>
                  <a:pt x="7142423" y="3157382"/>
                  <a:pt x="7123456" y="3157382"/>
                </a:cubicBezTo>
                <a:close/>
                <a:moveTo>
                  <a:pt x="7207198" y="3157382"/>
                </a:moveTo>
                <a:cubicBezTo>
                  <a:pt x="7188231" y="3157382"/>
                  <a:pt x="7172845" y="3172974"/>
                  <a:pt x="7172845" y="3192202"/>
                </a:cubicBezTo>
                <a:cubicBezTo>
                  <a:pt x="7172845" y="3211431"/>
                  <a:pt x="7188231" y="3227023"/>
                  <a:pt x="7207198" y="3227023"/>
                </a:cubicBezTo>
                <a:cubicBezTo>
                  <a:pt x="7226165" y="3227023"/>
                  <a:pt x="7241538" y="3211431"/>
                  <a:pt x="7241538" y="3192202"/>
                </a:cubicBezTo>
                <a:cubicBezTo>
                  <a:pt x="7241538" y="3172974"/>
                  <a:pt x="7226165" y="3157382"/>
                  <a:pt x="7207198" y="3157382"/>
                </a:cubicBezTo>
                <a:close/>
                <a:moveTo>
                  <a:pt x="7290939" y="3157382"/>
                </a:moveTo>
                <a:cubicBezTo>
                  <a:pt x="7271972" y="3157382"/>
                  <a:pt x="7256586" y="3172974"/>
                  <a:pt x="7256586" y="3192202"/>
                </a:cubicBezTo>
                <a:cubicBezTo>
                  <a:pt x="7256586" y="3211431"/>
                  <a:pt x="7271972" y="3227023"/>
                  <a:pt x="7290939" y="3227023"/>
                </a:cubicBezTo>
                <a:cubicBezTo>
                  <a:pt x="7309906" y="3227023"/>
                  <a:pt x="7325279" y="3211431"/>
                  <a:pt x="7325279" y="3192202"/>
                </a:cubicBezTo>
                <a:cubicBezTo>
                  <a:pt x="7325279" y="3172974"/>
                  <a:pt x="7309906" y="3157382"/>
                  <a:pt x="7290939" y="3157382"/>
                </a:cubicBezTo>
                <a:close/>
                <a:moveTo>
                  <a:pt x="7374681" y="3157382"/>
                </a:moveTo>
                <a:cubicBezTo>
                  <a:pt x="7355714" y="3157382"/>
                  <a:pt x="7340328" y="3172974"/>
                  <a:pt x="7340328" y="3192202"/>
                </a:cubicBezTo>
                <a:cubicBezTo>
                  <a:pt x="7340328" y="3211431"/>
                  <a:pt x="7355714" y="3227023"/>
                  <a:pt x="7374681" y="3227023"/>
                </a:cubicBezTo>
                <a:cubicBezTo>
                  <a:pt x="7393648" y="3227023"/>
                  <a:pt x="7409022" y="3211431"/>
                  <a:pt x="7409022" y="3192202"/>
                </a:cubicBezTo>
                <a:cubicBezTo>
                  <a:pt x="7409022" y="3172974"/>
                  <a:pt x="7393648" y="3157382"/>
                  <a:pt x="7374681" y="3157382"/>
                </a:cubicBezTo>
                <a:close/>
                <a:moveTo>
                  <a:pt x="7458423" y="3157382"/>
                </a:moveTo>
                <a:cubicBezTo>
                  <a:pt x="7439456" y="3157382"/>
                  <a:pt x="7424070" y="3172974"/>
                  <a:pt x="7424070" y="3192202"/>
                </a:cubicBezTo>
                <a:cubicBezTo>
                  <a:pt x="7424070" y="3211431"/>
                  <a:pt x="7439456" y="3227023"/>
                  <a:pt x="7458423" y="3227023"/>
                </a:cubicBezTo>
                <a:cubicBezTo>
                  <a:pt x="7477390" y="3227023"/>
                  <a:pt x="7492763" y="3211431"/>
                  <a:pt x="7492763" y="3192202"/>
                </a:cubicBezTo>
                <a:cubicBezTo>
                  <a:pt x="7492763" y="3172974"/>
                  <a:pt x="7477390" y="3157382"/>
                  <a:pt x="7458423" y="3157382"/>
                </a:cubicBezTo>
                <a:close/>
                <a:moveTo>
                  <a:pt x="7542164" y="3157382"/>
                </a:moveTo>
                <a:cubicBezTo>
                  <a:pt x="7523197" y="3157382"/>
                  <a:pt x="7507811" y="3172974"/>
                  <a:pt x="7507811" y="3192202"/>
                </a:cubicBezTo>
                <a:cubicBezTo>
                  <a:pt x="7507811" y="3211431"/>
                  <a:pt x="7523197" y="3227023"/>
                  <a:pt x="7542164" y="3227023"/>
                </a:cubicBezTo>
                <a:cubicBezTo>
                  <a:pt x="7561131" y="3227023"/>
                  <a:pt x="7576504" y="3211431"/>
                  <a:pt x="7576504" y="3192202"/>
                </a:cubicBezTo>
                <a:cubicBezTo>
                  <a:pt x="7576504" y="3172974"/>
                  <a:pt x="7561131" y="3157382"/>
                  <a:pt x="7542164" y="3157382"/>
                </a:cubicBezTo>
                <a:close/>
                <a:moveTo>
                  <a:pt x="7625906" y="3157382"/>
                </a:moveTo>
                <a:cubicBezTo>
                  <a:pt x="7606939" y="3157382"/>
                  <a:pt x="7591553" y="3172974"/>
                  <a:pt x="7591553" y="3192202"/>
                </a:cubicBezTo>
                <a:cubicBezTo>
                  <a:pt x="7591553" y="3211431"/>
                  <a:pt x="7606939" y="3227023"/>
                  <a:pt x="7625906" y="3227023"/>
                </a:cubicBezTo>
                <a:cubicBezTo>
                  <a:pt x="7644873" y="3227023"/>
                  <a:pt x="7660246" y="3211431"/>
                  <a:pt x="7660246" y="3192202"/>
                </a:cubicBezTo>
                <a:cubicBezTo>
                  <a:pt x="7660246" y="3172974"/>
                  <a:pt x="7644873" y="3157382"/>
                  <a:pt x="7625906" y="3157382"/>
                </a:cubicBezTo>
                <a:close/>
                <a:moveTo>
                  <a:pt x="7709647" y="3157382"/>
                </a:moveTo>
                <a:cubicBezTo>
                  <a:pt x="7690680" y="3157382"/>
                  <a:pt x="7675294" y="3172974"/>
                  <a:pt x="7675294" y="3192202"/>
                </a:cubicBezTo>
                <a:cubicBezTo>
                  <a:pt x="7675294" y="3211431"/>
                  <a:pt x="7690680" y="3227023"/>
                  <a:pt x="7709647" y="3227023"/>
                </a:cubicBezTo>
                <a:cubicBezTo>
                  <a:pt x="7728614" y="3227023"/>
                  <a:pt x="7743988" y="3211431"/>
                  <a:pt x="7743988" y="3192202"/>
                </a:cubicBezTo>
                <a:cubicBezTo>
                  <a:pt x="7743988" y="3172974"/>
                  <a:pt x="7728614" y="3157382"/>
                  <a:pt x="7709647" y="3157382"/>
                </a:cubicBezTo>
                <a:close/>
                <a:moveTo>
                  <a:pt x="7793389" y="3157382"/>
                </a:moveTo>
                <a:cubicBezTo>
                  <a:pt x="7774422" y="3157382"/>
                  <a:pt x="7759036" y="3172974"/>
                  <a:pt x="7759036" y="3192202"/>
                </a:cubicBezTo>
                <a:cubicBezTo>
                  <a:pt x="7759036" y="3211431"/>
                  <a:pt x="7774422" y="3227023"/>
                  <a:pt x="7793389" y="3227023"/>
                </a:cubicBezTo>
                <a:cubicBezTo>
                  <a:pt x="7812356" y="3227023"/>
                  <a:pt x="7827729" y="3211431"/>
                  <a:pt x="7827729" y="3192202"/>
                </a:cubicBezTo>
                <a:cubicBezTo>
                  <a:pt x="7827729" y="3172974"/>
                  <a:pt x="7812356" y="3157382"/>
                  <a:pt x="7793389" y="3157382"/>
                </a:cubicBezTo>
                <a:close/>
                <a:moveTo>
                  <a:pt x="7877131" y="3157382"/>
                </a:moveTo>
                <a:cubicBezTo>
                  <a:pt x="7858164" y="3157382"/>
                  <a:pt x="7842778" y="3172974"/>
                  <a:pt x="7842778" y="3192202"/>
                </a:cubicBezTo>
                <a:cubicBezTo>
                  <a:pt x="7842778" y="3211431"/>
                  <a:pt x="7858164" y="3227023"/>
                  <a:pt x="7877131" y="3227023"/>
                </a:cubicBezTo>
                <a:cubicBezTo>
                  <a:pt x="7896098" y="3227023"/>
                  <a:pt x="7911471" y="3211431"/>
                  <a:pt x="7911471" y="3192202"/>
                </a:cubicBezTo>
                <a:cubicBezTo>
                  <a:pt x="7911471" y="3172974"/>
                  <a:pt x="7896098" y="3157382"/>
                  <a:pt x="7877131" y="3157382"/>
                </a:cubicBezTo>
                <a:close/>
                <a:moveTo>
                  <a:pt x="7960872" y="3157382"/>
                </a:moveTo>
                <a:cubicBezTo>
                  <a:pt x="7941905" y="3157382"/>
                  <a:pt x="7926519" y="3172974"/>
                  <a:pt x="7926519" y="3192202"/>
                </a:cubicBezTo>
                <a:cubicBezTo>
                  <a:pt x="7926519" y="3211431"/>
                  <a:pt x="7941905" y="3227023"/>
                  <a:pt x="7960872" y="3227023"/>
                </a:cubicBezTo>
                <a:cubicBezTo>
                  <a:pt x="7979839" y="3227023"/>
                  <a:pt x="7995212" y="3211431"/>
                  <a:pt x="7995212" y="3192202"/>
                </a:cubicBezTo>
                <a:cubicBezTo>
                  <a:pt x="7995212" y="3172974"/>
                  <a:pt x="7979839" y="3157382"/>
                  <a:pt x="7960872" y="3157382"/>
                </a:cubicBezTo>
                <a:close/>
                <a:moveTo>
                  <a:pt x="8044614" y="3157382"/>
                </a:moveTo>
                <a:cubicBezTo>
                  <a:pt x="8025647" y="3157382"/>
                  <a:pt x="8010261" y="3172974"/>
                  <a:pt x="8010261" y="3192202"/>
                </a:cubicBezTo>
                <a:cubicBezTo>
                  <a:pt x="8010261" y="3211431"/>
                  <a:pt x="8025647" y="3227023"/>
                  <a:pt x="8044614" y="3227023"/>
                </a:cubicBezTo>
                <a:cubicBezTo>
                  <a:pt x="8063581" y="3227023"/>
                  <a:pt x="8078955" y="3211431"/>
                  <a:pt x="8078955" y="3192202"/>
                </a:cubicBezTo>
                <a:cubicBezTo>
                  <a:pt x="8078955" y="3172974"/>
                  <a:pt x="8063581" y="3157382"/>
                  <a:pt x="8044614" y="3157382"/>
                </a:cubicBezTo>
                <a:close/>
                <a:moveTo>
                  <a:pt x="8128356" y="3157382"/>
                </a:moveTo>
                <a:cubicBezTo>
                  <a:pt x="8109389" y="3157382"/>
                  <a:pt x="8094003" y="3172974"/>
                  <a:pt x="8094003" y="3192202"/>
                </a:cubicBezTo>
                <a:cubicBezTo>
                  <a:pt x="8094003" y="3211431"/>
                  <a:pt x="8109389" y="3227023"/>
                  <a:pt x="8128356" y="3227023"/>
                </a:cubicBezTo>
                <a:cubicBezTo>
                  <a:pt x="8147323" y="3227023"/>
                  <a:pt x="8162696" y="3211431"/>
                  <a:pt x="8162696" y="3192202"/>
                </a:cubicBezTo>
                <a:cubicBezTo>
                  <a:pt x="8162696" y="3172974"/>
                  <a:pt x="8147323" y="3157382"/>
                  <a:pt x="8128356" y="3157382"/>
                </a:cubicBezTo>
                <a:close/>
                <a:moveTo>
                  <a:pt x="8212097" y="3157382"/>
                </a:moveTo>
                <a:cubicBezTo>
                  <a:pt x="8193130" y="3157382"/>
                  <a:pt x="8177744" y="3172974"/>
                  <a:pt x="8177744" y="3192202"/>
                </a:cubicBezTo>
                <a:cubicBezTo>
                  <a:pt x="8177744" y="3211431"/>
                  <a:pt x="8193130" y="3227023"/>
                  <a:pt x="8212097" y="3227023"/>
                </a:cubicBezTo>
                <a:cubicBezTo>
                  <a:pt x="8231064" y="3227023"/>
                  <a:pt x="8246437" y="3211431"/>
                  <a:pt x="8246437" y="3192202"/>
                </a:cubicBezTo>
                <a:cubicBezTo>
                  <a:pt x="8246437" y="3172974"/>
                  <a:pt x="8231064" y="3157382"/>
                  <a:pt x="8212097" y="3157382"/>
                </a:cubicBezTo>
                <a:close/>
                <a:moveTo>
                  <a:pt x="8295839" y="3157382"/>
                </a:moveTo>
                <a:cubicBezTo>
                  <a:pt x="8276872" y="3157382"/>
                  <a:pt x="8261486" y="3172974"/>
                  <a:pt x="8261486" y="3192202"/>
                </a:cubicBezTo>
                <a:cubicBezTo>
                  <a:pt x="8261486" y="3211431"/>
                  <a:pt x="8276872" y="3227023"/>
                  <a:pt x="8295839" y="3227023"/>
                </a:cubicBezTo>
                <a:cubicBezTo>
                  <a:pt x="8314806" y="3227023"/>
                  <a:pt x="8330179" y="3211431"/>
                  <a:pt x="8330179" y="3192202"/>
                </a:cubicBezTo>
                <a:cubicBezTo>
                  <a:pt x="8330179" y="3172974"/>
                  <a:pt x="8314806" y="3157382"/>
                  <a:pt x="8295839" y="3157382"/>
                </a:cubicBezTo>
                <a:close/>
                <a:moveTo>
                  <a:pt x="8379580" y="3157382"/>
                </a:moveTo>
                <a:cubicBezTo>
                  <a:pt x="8360613" y="3157382"/>
                  <a:pt x="8345227" y="3172974"/>
                  <a:pt x="8345227" y="3192202"/>
                </a:cubicBezTo>
                <a:cubicBezTo>
                  <a:pt x="8345227" y="3211431"/>
                  <a:pt x="8360613" y="3227023"/>
                  <a:pt x="8379580" y="3227023"/>
                </a:cubicBezTo>
                <a:cubicBezTo>
                  <a:pt x="8398547" y="3227023"/>
                  <a:pt x="8413921" y="3211431"/>
                  <a:pt x="8413921" y="3192202"/>
                </a:cubicBezTo>
                <a:cubicBezTo>
                  <a:pt x="8413921" y="3172974"/>
                  <a:pt x="8398547" y="3157382"/>
                  <a:pt x="8379580" y="3157382"/>
                </a:cubicBezTo>
                <a:close/>
                <a:moveTo>
                  <a:pt x="8463323" y="3157382"/>
                </a:moveTo>
                <a:cubicBezTo>
                  <a:pt x="8444356" y="3157382"/>
                  <a:pt x="8428970" y="3172974"/>
                  <a:pt x="8428970" y="3192202"/>
                </a:cubicBezTo>
                <a:cubicBezTo>
                  <a:pt x="8428970" y="3211431"/>
                  <a:pt x="8444356" y="3227023"/>
                  <a:pt x="8463323" y="3227023"/>
                </a:cubicBezTo>
                <a:cubicBezTo>
                  <a:pt x="8482290" y="3227023"/>
                  <a:pt x="8497663" y="3211431"/>
                  <a:pt x="8497663" y="3192202"/>
                </a:cubicBezTo>
                <a:cubicBezTo>
                  <a:pt x="8497663" y="3172974"/>
                  <a:pt x="8482290" y="3157382"/>
                  <a:pt x="8463323" y="3157382"/>
                </a:cubicBezTo>
                <a:close/>
                <a:moveTo>
                  <a:pt x="8547064" y="3157382"/>
                </a:moveTo>
                <a:cubicBezTo>
                  <a:pt x="8528097" y="3157382"/>
                  <a:pt x="8512711" y="3172974"/>
                  <a:pt x="8512711" y="3192202"/>
                </a:cubicBezTo>
                <a:cubicBezTo>
                  <a:pt x="8512711" y="3211431"/>
                  <a:pt x="8528097" y="3227023"/>
                  <a:pt x="8547064" y="3227023"/>
                </a:cubicBezTo>
                <a:cubicBezTo>
                  <a:pt x="8566031" y="3227023"/>
                  <a:pt x="8581404" y="3211431"/>
                  <a:pt x="8581404" y="3192202"/>
                </a:cubicBezTo>
                <a:cubicBezTo>
                  <a:pt x="8581404" y="3172974"/>
                  <a:pt x="8566031" y="3157382"/>
                  <a:pt x="8547064" y="3157382"/>
                </a:cubicBezTo>
                <a:close/>
                <a:moveTo>
                  <a:pt x="8630805" y="3157382"/>
                </a:moveTo>
                <a:cubicBezTo>
                  <a:pt x="8611838" y="3157382"/>
                  <a:pt x="8596452" y="3172974"/>
                  <a:pt x="8596452" y="3192202"/>
                </a:cubicBezTo>
                <a:cubicBezTo>
                  <a:pt x="8596452" y="3211431"/>
                  <a:pt x="8611838" y="3227023"/>
                  <a:pt x="8630805" y="3227023"/>
                </a:cubicBezTo>
                <a:cubicBezTo>
                  <a:pt x="8649772" y="3227023"/>
                  <a:pt x="8665145" y="3211431"/>
                  <a:pt x="8665145" y="3192202"/>
                </a:cubicBezTo>
                <a:cubicBezTo>
                  <a:pt x="8665145" y="3172974"/>
                  <a:pt x="8649772" y="3157382"/>
                  <a:pt x="8630805" y="3157382"/>
                </a:cubicBezTo>
                <a:close/>
                <a:moveTo>
                  <a:pt x="8714547" y="3157382"/>
                </a:moveTo>
                <a:cubicBezTo>
                  <a:pt x="8695580" y="3157382"/>
                  <a:pt x="8680194" y="3172974"/>
                  <a:pt x="8680194" y="3192202"/>
                </a:cubicBezTo>
                <a:cubicBezTo>
                  <a:pt x="8680194" y="3211431"/>
                  <a:pt x="8695580" y="3227023"/>
                  <a:pt x="8714547" y="3227023"/>
                </a:cubicBezTo>
                <a:cubicBezTo>
                  <a:pt x="8733514" y="3227023"/>
                  <a:pt x="8748888" y="3211431"/>
                  <a:pt x="8748888" y="3192202"/>
                </a:cubicBezTo>
                <a:cubicBezTo>
                  <a:pt x="8748888" y="3172974"/>
                  <a:pt x="8733514" y="3157382"/>
                  <a:pt x="8714547" y="3157382"/>
                </a:cubicBezTo>
                <a:close/>
                <a:moveTo>
                  <a:pt x="8798289" y="3157382"/>
                </a:moveTo>
                <a:cubicBezTo>
                  <a:pt x="8779322" y="3157382"/>
                  <a:pt x="8763936" y="3172974"/>
                  <a:pt x="8763936" y="3192202"/>
                </a:cubicBezTo>
                <a:cubicBezTo>
                  <a:pt x="8763936" y="3211431"/>
                  <a:pt x="8779322" y="3227023"/>
                  <a:pt x="8798289" y="3227023"/>
                </a:cubicBezTo>
                <a:cubicBezTo>
                  <a:pt x="8817256" y="3227023"/>
                  <a:pt x="8832629" y="3211431"/>
                  <a:pt x="8832629" y="3192202"/>
                </a:cubicBezTo>
                <a:cubicBezTo>
                  <a:pt x="8832629" y="3172974"/>
                  <a:pt x="8817256" y="3157382"/>
                  <a:pt x="8798289" y="3157382"/>
                </a:cubicBezTo>
                <a:close/>
                <a:moveTo>
                  <a:pt x="8882030" y="3157382"/>
                </a:moveTo>
                <a:cubicBezTo>
                  <a:pt x="8863063" y="3157382"/>
                  <a:pt x="8847677" y="3172974"/>
                  <a:pt x="8847677" y="3192202"/>
                </a:cubicBezTo>
                <a:cubicBezTo>
                  <a:pt x="8847677" y="3211431"/>
                  <a:pt x="8863063" y="3227023"/>
                  <a:pt x="8882030" y="3227023"/>
                </a:cubicBezTo>
                <a:cubicBezTo>
                  <a:pt x="8900997" y="3227023"/>
                  <a:pt x="8916370" y="3211431"/>
                  <a:pt x="8916370" y="3192202"/>
                </a:cubicBezTo>
                <a:cubicBezTo>
                  <a:pt x="8916370" y="3172974"/>
                  <a:pt x="8900997" y="3157382"/>
                  <a:pt x="8882030" y="3157382"/>
                </a:cubicBezTo>
                <a:close/>
                <a:moveTo>
                  <a:pt x="8965772" y="3157382"/>
                </a:moveTo>
                <a:cubicBezTo>
                  <a:pt x="8946805" y="3157382"/>
                  <a:pt x="8931419" y="3172974"/>
                  <a:pt x="8931419" y="3192202"/>
                </a:cubicBezTo>
                <a:cubicBezTo>
                  <a:pt x="8931419" y="3211431"/>
                  <a:pt x="8946805" y="3227023"/>
                  <a:pt x="8965772" y="3227023"/>
                </a:cubicBezTo>
                <a:cubicBezTo>
                  <a:pt x="8984739" y="3227023"/>
                  <a:pt x="9000112" y="3211431"/>
                  <a:pt x="9000112" y="3192202"/>
                </a:cubicBezTo>
                <a:cubicBezTo>
                  <a:pt x="9000112" y="3172974"/>
                  <a:pt x="8984739" y="3157382"/>
                  <a:pt x="8965772" y="3157382"/>
                </a:cubicBezTo>
                <a:close/>
                <a:moveTo>
                  <a:pt x="9049513" y="3157382"/>
                </a:moveTo>
                <a:cubicBezTo>
                  <a:pt x="9030546" y="3157382"/>
                  <a:pt x="9015160" y="3172974"/>
                  <a:pt x="9015160" y="3192202"/>
                </a:cubicBezTo>
                <a:cubicBezTo>
                  <a:pt x="9015160" y="3211431"/>
                  <a:pt x="9030546" y="3227023"/>
                  <a:pt x="9049513" y="3227023"/>
                </a:cubicBezTo>
                <a:cubicBezTo>
                  <a:pt x="9068480" y="3227023"/>
                  <a:pt x="9083854" y="3211431"/>
                  <a:pt x="9083854" y="3192202"/>
                </a:cubicBezTo>
                <a:cubicBezTo>
                  <a:pt x="9083854" y="3172974"/>
                  <a:pt x="9068480" y="3157382"/>
                  <a:pt x="9049513" y="3157382"/>
                </a:cubicBezTo>
                <a:close/>
                <a:moveTo>
                  <a:pt x="9133256" y="3157382"/>
                </a:moveTo>
                <a:cubicBezTo>
                  <a:pt x="9114289" y="3157382"/>
                  <a:pt x="9098903" y="3172974"/>
                  <a:pt x="9098903" y="3192202"/>
                </a:cubicBezTo>
                <a:cubicBezTo>
                  <a:pt x="9098903" y="3211431"/>
                  <a:pt x="9114289" y="3227023"/>
                  <a:pt x="9133256" y="3227023"/>
                </a:cubicBezTo>
                <a:cubicBezTo>
                  <a:pt x="9152223" y="3227023"/>
                  <a:pt x="9167596" y="3211431"/>
                  <a:pt x="9167596" y="3192202"/>
                </a:cubicBezTo>
                <a:cubicBezTo>
                  <a:pt x="9167596" y="3172974"/>
                  <a:pt x="9152223" y="3157382"/>
                  <a:pt x="9133256" y="3157382"/>
                </a:cubicBezTo>
                <a:close/>
                <a:moveTo>
                  <a:pt x="9216997" y="3157382"/>
                </a:moveTo>
                <a:cubicBezTo>
                  <a:pt x="9198030" y="3157382"/>
                  <a:pt x="9182644" y="3172974"/>
                  <a:pt x="9182644" y="3192202"/>
                </a:cubicBezTo>
                <a:cubicBezTo>
                  <a:pt x="9182644" y="3211431"/>
                  <a:pt x="9198030" y="3227023"/>
                  <a:pt x="9216997" y="3227023"/>
                </a:cubicBezTo>
                <a:cubicBezTo>
                  <a:pt x="9235964" y="3227023"/>
                  <a:pt x="9251337" y="3211431"/>
                  <a:pt x="9251337" y="3192202"/>
                </a:cubicBezTo>
                <a:cubicBezTo>
                  <a:pt x="9251337" y="3172974"/>
                  <a:pt x="9235964" y="3157382"/>
                  <a:pt x="9216997" y="3157382"/>
                </a:cubicBezTo>
                <a:close/>
                <a:moveTo>
                  <a:pt x="9300738" y="3157382"/>
                </a:moveTo>
                <a:cubicBezTo>
                  <a:pt x="9281771" y="3157382"/>
                  <a:pt x="9266385" y="3172974"/>
                  <a:pt x="9266385" y="3192202"/>
                </a:cubicBezTo>
                <a:cubicBezTo>
                  <a:pt x="9266385" y="3211431"/>
                  <a:pt x="9281771" y="3227023"/>
                  <a:pt x="9300738" y="3227023"/>
                </a:cubicBezTo>
                <a:cubicBezTo>
                  <a:pt x="9319705" y="3227023"/>
                  <a:pt x="9335078" y="3211431"/>
                  <a:pt x="9335078" y="3192202"/>
                </a:cubicBezTo>
                <a:cubicBezTo>
                  <a:pt x="9335078" y="3172974"/>
                  <a:pt x="9319705" y="3157382"/>
                  <a:pt x="9300738" y="3157382"/>
                </a:cubicBezTo>
                <a:close/>
                <a:moveTo>
                  <a:pt x="9384480" y="3157382"/>
                </a:moveTo>
                <a:cubicBezTo>
                  <a:pt x="9365513" y="3157382"/>
                  <a:pt x="9350127" y="3172974"/>
                  <a:pt x="9350127" y="3192202"/>
                </a:cubicBezTo>
                <a:cubicBezTo>
                  <a:pt x="9350127" y="3211431"/>
                  <a:pt x="9365513" y="3227023"/>
                  <a:pt x="9384480" y="3227023"/>
                </a:cubicBezTo>
                <a:cubicBezTo>
                  <a:pt x="9403447" y="3227023"/>
                  <a:pt x="9418821" y="3211431"/>
                  <a:pt x="9418821" y="3192202"/>
                </a:cubicBezTo>
                <a:cubicBezTo>
                  <a:pt x="9418821" y="3172974"/>
                  <a:pt x="9403447" y="3157382"/>
                  <a:pt x="9384480" y="3157382"/>
                </a:cubicBezTo>
                <a:close/>
                <a:moveTo>
                  <a:pt x="9468222" y="3157382"/>
                </a:moveTo>
                <a:cubicBezTo>
                  <a:pt x="9449255" y="3157382"/>
                  <a:pt x="9433869" y="3172974"/>
                  <a:pt x="9433869" y="3192202"/>
                </a:cubicBezTo>
                <a:cubicBezTo>
                  <a:pt x="9433869" y="3211431"/>
                  <a:pt x="9449255" y="3227023"/>
                  <a:pt x="9468222" y="3227023"/>
                </a:cubicBezTo>
                <a:cubicBezTo>
                  <a:pt x="9487189" y="3227023"/>
                  <a:pt x="9502562" y="3211431"/>
                  <a:pt x="9502562" y="3192202"/>
                </a:cubicBezTo>
                <a:cubicBezTo>
                  <a:pt x="9502562" y="3172974"/>
                  <a:pt x="9487189" y="3157382"/>
                  <a:pt x="9468222" y="3157382"/>
                </a:cubicBezTo>
                <a:close/>
                <a:moveTo>
                  <a:pt x="9803189" y="3157382"/>
                </a:moveTo>
                <a:cubicBezTo>
                  <a:pt x="9784222" y="3157382"/>
                  <a:pt x="9768836" y="3172974"/>
                  <a:pt x="9768836" y="3192202"/>
                </a:cubicBezTo>
                <a:cubicBezTo>
                  <a:pt x="9768836" y="3211431"/>
                  <a:pt x="9784222" y="3227023"/>
                  <a:pt x="9803189" y="3227023"/>
                </a:cubicBezTo>
                <a:cubicBezTo>
                  <a:pt x="9822156" y="3227023"/>
                  <a:pt x="9837529" y="3211431"/>
                  <a:pt x="9837529" y="3192202"/>
                </a:cubicBezTo>
                <a:cubicBezTo>
                  <a:pt x="9837529" y="3172974"/>
                  <a:pt x="9822156" y="3157382"/>
                  <a:pt x="9803189" y="3157382"/>
                </a:cubicBezTo>
                <a:close/>
                <a:moveTo>
                  <a:pt x="2350151" y="3242246"/>
                </a:moveTo>
                <a:cubicBezTo>
                  <a:pt x="2331184" y="3242246"/>
                  <a:pt x="2315804" y="3257837"/>
                  <a:pt x="2315804" y="3277066"/>
                </a:cubicBezTo>
                <a:cubicBezTo>
                  <a:pt x="2315804" y="3296295"/>
                  <a:pt x="2331184" y="3311886"/>
                  <a:pt x="2350151" y="3311886"/>
                </a:cubicBezTo>
                <a:cubicBezTo>
                  <a:pt x="2369118" y="3311886"/>
                  <a:pt x="2384498" y="3296295"/>
                  <a:pt x="2384498" y="3277066"/>
                </a:cubicBezTo>
                <a:cubicBezTo>
                  <a:pt x="2384498" y="3257837"/>
                  <a:pt x="2369118" y="3242246"/>
                  <a:pt x="2350151" y="3242246"/>
                </a:cubicBezTo>
                <a:close/>
                <a:moveTo>
                  <a:pt x="2517634" y="3242246"/>
                </a:moveTo>
                <a:cubicBezTo>
                  <a:pt x="2498667" y="3242246"/>
                  <a:pt x="2483288" y="3257837"/>
                  <a:pt x="2483288" y="3277066"/>
                </a:cubicBezTo>
                <a:cubicBezTo>
                  <a:pt x="2483288" y="3296295"/>
                  <a:pt x="2498667" y="3311886"/>
                  <a:pt x="2517634" y="3311886"/>
                </a:cubicBezTo>
                <a:cubicBezTo>
                  <a:pt x="2536601" y="3311886"/>
                  <a:pt x="2551981" y="3296295"/>
                  <a:pt x="2551981" y="3277066"/>
                </a:cubicBezTo>
                <a:cubicBezTo>
                  <a:pt x="2551981" y="3257837"/>
                  <a:pt x="2536601" y="3242246"/>
                  <a:pt x="2517634" y="3242246"/>
                </a:cubicBezTo>
                <a:close/>
                <a:moveTo>
                  <a:pt x="2601376" y="3242246"/>
                </a:moveTo>
                <a:cubicBezTo>
                  <a:pt x="2582409" y="3242246"/>
                  <a:pt x="2567029" y="3257837"/>
                  <a:pt x="2567029" y="3277066"/>
                </a:cubicBezTo>
                <a:cubicBezTo>
                  <a:pt x="2567029" y="3296295"/>
                  <a:pt x="2582409" y="3311886"/>
                  <a:pt x="2601376" y="3311886"/>
                </a:cubicBezTo>
                <a:cubicBezTo>
                  <a:pt x="2620343" y="3311886"/>
                  <a:pt x="2635722" y="3296295"/>
                  <a:pt x="2635722" y="3277066"/>
                </a:cubicBezTo>
                <a:cubicBezTo>
                  <a:pt x="2635722" y="3257837"/>
                  <a:pt x="2620343" y="3242246"/>
                  <a:pt x="2601376" y="3242246"/>
                </a:cubicBezTo>
                <a:close/>
                <a:moveTo>
                  <a:pt x="2685118" y="3242246"/>
                </a:moveTo>
                <a:cubicBezTo>
                  <a:pt x="2666151" y="3242246"/>
                  <a:pt x="2650771" y="3257837"/>
                  <a:pt x="2650771" y="3277066"/>
                </a:cubicBezTo>
                <a:cubicBezTo>
                  <a:pt x="2650771" y="3296295"/>
                  <a:pt x="2666151" y="3311886"/>
                  <a:pt x="2685118" y="3311886"/>
                </a:cubicBezTo>
                <a:cubicBezTo>
                  <a:pt x="2704085" y="3311886"/>
                  <a:pt x="2719465" y="3296295"/>
                  <a:pt x="2719465" y="3277066"/>
                </a:cubicBezTo>
                <a:cubicBezTo>
                  <a:pt x="2719465" y="3257837"/>
                  <a:pt x="2704085" y="3242246"/>
                  <a:pt x="2685118" y="3242246"/>
                </a:cubicBezTo>
                <a:close/>
                <a:moveTo>
                  <a:pt x="2768859" y="3242246"/>
                </a:moveTo>
                <a:cubicBezTo>
                  <a:pt x="2749892" y="3242246"/>
                  <a:pt x="2734512" y="3257837"/>
                  <a:pt x="2734512" y="3277066"/>
                </a:cubicBezTo>
                <a:cubicBezTo>
                  <a:pt x="2734512" y="3296295"/>
                  <a:pt x="2749892" y="3311886"/>
                  <a:pt x="2768859" y="3311886"/>
                </a:cubicBezTo>
                <a:cubicBezTo>
                  <a:pt x="2787826" y="3311886"/>
                  <a:pt x="2803206" y="3296295"/>
                  <a:pt x="2803206" y="3277066"/>
                </a:cubicBezTo>
                <a:cubicBezTo>
                  <a:pt x="2803206" y="3257837"/>
                  <a:pt x="2787826" y="3242246"/>
                  <a:pt x="2768859" y="3242246"/>
                </a:cubicBezTo>
                <a:close/>
                <a:moveTo>
                  <a:pt x="2852600" y="3242246"/>
                </a:moveTo>
                <a:cubicBezTo>
                  <a:pt x="2833633" y="3242246"/>
                  <a:pt x="2818254" y="3257837"/>
                  <a:pt x="2818254" y="3277066"/>
                </a:cubicBezTo>
                <a:cubicBezTo>
                  <a:pt x="2818254" y="3296295"/>
                  <a:pt x="2833633" y="3311886"/>
                  <a:pt x="2852600" y="3311886"/>
                </a:cubicBezTo>
                <a:cubicBezTo>
                  <a:pt x="2871567" y="3311886"/>
                  <a:pt x="2886947" y="3296295"/>
                  <a:pt x="2886947" y="3277066"/>
                </a:cubicBezTo>
                <a:cubicBezTo>
                  <a:pt x="2886947" y="3257837"/>
                  <a:pt x="2871567" y="3242246"/>
                  <a:pt x="2852600" y="3242246"/>
                </a:cubicBezTo>
                <a:close/>
                <a:moveTo>
                  <a:pt x="2936343" y="3242246"/>
                </a:moveTo>
                <a:cubicBezTo>
                  <a:pt x="2917376" y="3242246"/>
                  <a:pt x="2901996" y="3257837"/>
                  <a:pt x="2901996" y="3277066"/>
                </a:cubicBezTo>
                <a:cubicBezTo>
                  <a:pt x="2901996" y="3296295"/>
                  <a:pt x="2917376" y="3311886"/>
                  <a:pt x="2936343" y="3311886"/>
                </a:cubicBezTo>
                <a:cubicBezTo>
                  <a:pt x="2955310" y="3311886"/>
                  <a:pt x="2970689" y="3296295"/>
                  <a:pt x="2970689" y="3277066"/>
                </a:cubicBezTo>
                <a:cubicBezTo>
                  <a:pt x="2970689" y="3257837"/>
                  <a:pt x="2955310" y="3242246"/>
                  <a:pt x="2936343" y="3242246"/>
                </a:cubicBezTo>
                <a:close/>
                <a:moveTo>
                  <a:pt x="3020084" y="3242246"/>
                </a:moveTo>
                <a:cubicBezTo>
                  <a:pt x="3001117" y="3242246"/>
                  <a:pt x="2985737" y="3257837"/>
                  <a:pt x="2985737" y="3277066"/>
                </a:cubicBezTo>
                <a:cubicBezTo>
                  <a:pt x="2985737" y="3296295"/>
                  <a:pt x="3001117" y="3311886"/>
                  <a:pt x="3020084" y="3311886"/>
                </a:cubicBezTo>
                <a:cubicBezTo>
                  <a:pt x="3039051" y="3311886"/>
                  <a:pt x="3054431" y="3296295"/>
                  <a:pt x="3054431" y="3277066"/>
                </a:cubicBezTo>
                <a:cubicBezTo>
                  <a:pt x="3054431" y="3257837"/>
                  <a:pt x="3039051" y="3242246"/>
                  <a:pt x="3020084" y="3242246"/>
                </a:cubicBezTo>
                <a:close/>
                <a:moveTo>
                  <a:pt x="3103826" y="3242246"/>
                </a:moveTo>
                <a:cubicBezTo>
                  <a:pt x="3084859" y="3242246"/>
                  <a:pt x="3069479" y="3257837"/>
                  <a:pt x="3069479" y="3277066"/>
                </a:cubicBezTo>
                <a:cubicBezTo>
                  <a:pt x="3069479" y="3296295"/>
                  <a:pt x="3084859" y="3311886"/>
                  <a:pt x="3103826" y="3311886"/>
                </a:cubicBezTo>
                <a:cubicBezTo>
                  <a:pt x="3122793" y="3311886"/>
                  <a:pt x="3138173" y="3296295"/>
                  <a:pt x="3138173" y="3277066"/>
                </a:cubicBezTo>
                <a:cubicBezTo>
                  <a:pt x="3138173" y="3257837"/>
                  <a:pt x="3122793" y="3242246"/>
                  <a:pt x="3103826" y="3242246"/>
                </a:cubicBezTo>
                <a:close/>
                <a:moveTo>
                  <a:pt x="3187567" y="3242246"/>
                </a:moveTo>
                <a:cubicBezTo>
                  <a:pt x="3168600" y="3242246"/>
                  <a:pt x="3153221" y="3257837"/>
                  <a:pt x="3153221" y="3277066"/>
                </a:cubicBezTo>
                <a:cubicBezTo>
                  <a:pt x="3153221" y="3296295"/>
                  <a:pt x="3168600" y="3311886"/>
                  <a:pt x="3187567" y="3311886"/>
                </a:cubicBezTo>
                <a:cubicBezTo>
                  <a:pt x="3206534" y="3311886"/>
                  <a:pt x="3221914" y="3296295"/>
                  <a:pt x="3221914" y="3277066"/>
                </a:cubicBezTo>
                <a:cubicBezTo>
                  <a:pt x="3221914" y="3257837"/>
                  <a:pt x="3206534" y="3242246"/>
                  <a:pt x="3187567" y="3242246"/>
                </a:cubicBezTo>
                <a:close/>
                <a:moveTo>
                  <a:pt x="3271309" y="3242246"/>
                </a:moveTo>
                <a:cubicBezTo>
                  <a:pt x="3252342" y="3242246"/>
                  <a:pt x="3236962" y="3257837"/>
                  <a:pt x="3236962" y="3277066"/>
                </a:cubicBezTo>
                <a:cubicBezTo>
                  <a:pt x="3236962" y="3296295"/>
                  <a:pt x="3252342" y="3311886"/>
                  <a:pt x="3271309" y="3311886"/>
                </a:cubicBezTo>
                <a:cubicBezTo>
                  <a:pt x="3290276" y="3311886"/>
                  <a:pt x="3305655" y="3296295"/>
                  <a:pt x="3305655" y="3277066"/>
                </a:cubicBezTo>
                <a:cubicBezTo>
                  <a:pt x="3305655" y="3257837"/>
                  <a:pt x="3290276" y="3242246"/>
                  <a:pt x="3271309" y="3242246"/>
                </a:cubicBezTo>
                <a:close/>
                <a:moveTo>
                  <a:pt x="3355051" y="3242246"/>
                </a:moveTo>
                <a:cubicBezTo>
                  <a:pt x="3336084" y="3242246"/>
                  <a:pt x="3320704" y="3257837"/>
                  <a:pt x="3320704" y="3277066"/>
                </a:cubicBezTo>
                <a:cubicBezTo>
                  <a:pt x="3320704" y="3296295"/>
                  <a:pt x="3336084" y="3311886"/>
                  <a:pt x="3355051" y="3311886"/>
                </a:cubicBezTo>
                <a:cubicBezTo>
                  <a:pt x="3374018" y="3311886"/>
                  <a:pt x="3389398" y="3296295"/>
                  <a:pt x="3389398" y="3277066"/>
                </a:cubicBezTo>
                <a:cubicBezTo>
                  <a:pt x="3389398" y="3257837"/>
                  <a:pt x="3374018" y="3242246"/>
                  <a:pt x="3355051" y="3242246"/>
                </a:cubicBezTo>
                <a:close/>
                <a:moveTo>
                  <a:pt x="5616081" y="3242246"/>
                </a:moveTo>
                <a:cubicBezTo>
                  <a:pt x="5597114" y="3242246"/>
                  <a:pt x="5581728" y="3257837"/>
                  <a:pt x="5581728" y="3277066"/>
                </a:cubicBezTo>
                <a:cubicBezTo>
                  <a:pt x="5581728" y="3296295"/>
                  <a:pt x="5597114" y="3311886"/>
                  <a:pt x="5616081" y="3311886"/>
                </a:cubicBezTo>
                <a:cubicBezTo>
                  <a:pt x="5635048" y="3311886"/>
                  <a:pt x="5650421" y="3296295"/>
                  <a:pt x="5650421" y="3277066"/>
                </a:cubicBezTo>
                <a:cubicBezTo>
                  <a:pt x="5650421" y="3257837"/>
                  <a:pt x="5635048" y="3242246"/>
                  <a:pt x="5616081" y="3242246"/>
                </a:cubicBezTo>
                <a:close/>
                <a:moveTo>
                  <a:pt x="5699822" y="3242246"/>
                </a:moveTo>
                <a:cubicBezTo>
                  <a:pt x="5680855" y="3242246"/>
                  <a:pt x="5665469" y="3257837"/>
                  <a:pt x="5665469" y="3277066"/>
                </a:cubicBezTo>
                <a:cubicBezTo>
                  <a:pt x="5665469" y="3296295"/>
                  <a:pt x="5680855" y="3311886"/>
                  <a:pt x="5699822" y="3311886"/>
                </a:cubicBezTo>
                <a:cubicBezTo>
                  <a:pt x="5718789" y="3311886"/>
                  <a:pt x="5734163" y="3296295"/>
                  <a:pt x="5734163" y="3277066"/>
                </a:cubicBezTo>
                <a:cubicBezTo>
                  <a:pt x="5734163" y="3257837"/>
                  <a:pt x="5718789" y="3242246"/>
                  <a:pt x="5699822" y="3242246"/>
                </a:cubicBezTo>
                <a:close/>
                <a:moveTo>
                  <a:pt x="5783565" y="3242246"/>
                </a:moveTo>
                <a:cubicBezTo>
                  <a:pt x="5764598" y="3242246"/>
                  <a:pt x="5749211" y="3257837"/>
                  <a:pt x="5749211" y="3277066"/>
                </a:cubicBezTo>
                <a:cubicBezTo>
                  <a:pt x="5749211" y="3296295"/>
                  <a:pt x="5764598" y="3311886"/>
                  <a:pt x="5783565" y="3311886"/>
                </a:cubicBezTo>
                <a:cubicBezTo>
                  <a:pt x="5802532" y="3311886"/>
                  <a:pt x="5817905" y="3296295"/>
                  <a:pt x="5817905" y="3277066"/>
                </a:cubicBezTo>
                <a:cubicBezTo>
                  <a:pt x="5817905" y="3257837"/>
                  <a:pt x="5802532" y="3242246"/>
                  <a:pt x="5783565" y="3242246"/>
                </a:cubicBezTo>
                <a:close/>
                <a:moveTo>
                  <a:pt x="5867306" y="3242246"/>
                </a:moveTo>
                <a:cubicBezTo>
                  <a:pt x="5848339" y="3242246"/>
                  <a:pt x="5832953" y="3257837"/>
                  <a:pt x="5832953" y="3277066"/>
                </a:cubicBezTo>
                <a:cubicBezTo>
                  <a:pt x="5832953" y="3296295"/>
                  <a:pt x="5848339" y="3311886"/>
                  <a:pt x="5867306" y="3311886"/>
                </a:cubicBezTo>
                <a:cubicBezTo>
                  <a:pt x="5886273" y="3311886"/>
                  <a:pt x="5901646" y="3296295"/>
                  <a:pt x="5901646" y="3277066"/>
                </a:cubicBezTo>
                <a:cubicBezTo>
                  <a:pt x="5901646" y="3257837"/>
                  <a:pt x="5886273" y="3242246"/>
                  <a:pt x="5867306" y="3242246"/>
                </a:cubicBezTo>
                <a:close/>
                <a:moveTo>
                  <a:pt x="5951047" y="3242246"/>
                </a:moveTo>
                <a:cubicBezTo>
                  <a:pt x="5932080" y="3242246"/>
                  <a:pt x="5916694" y="3257837"/>
                  <a:pt x="5916694" y="3277066"/>
                </a:cubicBezTo>
                <a:cubicBezTo>
                  <a:pt x="5916694" y="3296295"/>
                  <a:pt x="5932080" y="3311886"/>
                  <a:pt x="5951047" y="3311886"/>
                </a:cubicBezTo>
                <a:cubicBezTo>
                  <a:pt x="5970014" y="3311886"/>
                  <a:pt x="5985387" y="3296295"/>
                  <a:pt x="5985387" y="3277066"/>
                </a:cubicBezTo>
                <a:cubicBezTo>
                  <a:pt x="5985387" y="3257837"/>
                  <a:pt x="5970014" y="3242246"/>
                  <a:pt x="5951047" y="3242246"/>
                </a:cubicBezTo>
                <a:close/>
                <a:moveTo>
                  <a:pt x="6034789" y="3242246"/>
                </a:moveTo>
                <a:cubicBezTo>
                  <a:pt x="6015822" y="3242246"/>
                  <a:pt x="6000436" y="3257837"/>
                  <a:pt x="6000436" y="3277066"/>
                </a:cubicBezTo>
                <a:cubicBezTo>
                  <a:pt x="6000436" y="3296295"/>
                  <a:pt x="6015822" y="3311886"/>
                  <a:pt x="6034789" y="3311886"/>
                </a:cubicBezTo>
                <a:cubicBezTo>
                  <a:pt x="6053756" y="3311886"/>
                  <a:pt x="6069130" y="3296295"/>
                  <a:pt x="6069130" y="3277066"/>
                </a:cubicBezTo>
                <a:cubicBezTo>
                  <a:pt x="6069130" y="3257837"/>
                  <a:pt x="6053756" y="3242246"/>
                  <a:pt x="6034789" y="3242246"/>
                </a:cubicBezTo>
                <a:close/>
                <a:moveTo>
                  <a:pt x="6118531" y="3242246"/>
                </a:moveTo>
                <a:cubicBezTo>
                  <a:pt x="6099564" y="3242246"/>
                  <a:pt x="6084177" y="3257837"/>
                  <a:pt x="6084177" y="3277066"/>
                </a:cubicBezTo>
                <a:cubicBezTo>
                  <a:pt x="6084177" y="3296295"/>
                  <a:pt x="6099564" y="3311886"/>
                  <a:pt x="6118531" y="3311886"/>
                </a:cubicBezTo>
                <a:cubicBezTo>
                  <a:pt x="6137498" y="3311886"/>
                  <a:pt x="6152871" y="3296295"/>
                  <a:pt x="6152871" y="3277066"/>
                </a:cubicBezTo>
                <a:cubicBezTo>
                  <a:pt x="6152871" y="3257837"/>
                  <a:pt x="6137498" y="3242246"/>
                  <a:pt x="6118531" y="3242246"/>
                </a:cubicBezTo>
                <a:close/>
                <a:moveTo>
                  <a:pt x="6202273" y="3242246"/>
                </a:moveTo>
                <a:cubicBezTo>
                  <a:pt x="6183306" y="3242246"/>
                  <a:pt x="6167920" y="3257837"/>
                  <a:pt x="6167920" y="3277066"/>
                </a:cubicBezTo>
                <a:cubicBezTo>
                  <a:pt x="6167920" y="3296295"/>
                  <a:pt x="6183306" y="3311886"/>
                  <a:pt x="6202273" y="3311886"/>
                </a:cubicBezTo>
                <a:cubicBezTo>
                  <a:pt x="6221240" y="3311886"/>
                  <a:pt x="6236613" y="3296295"/>
                  <a:pt x="6236613" y="3277066"/>
                </a:cubicBezTo>
                <a:cubicBezTo>
                  <a:pt x="6236613" y="3257837"/>
                  <a:pt x="6221240" y="3242246"/>
                  <a:pt x="6202273" y="3242246"/>
                </a:cubicBezTo>
                <a:close/>
                <a:moveTo>
                  <a:pt x="6286014" y="3242246"/>
                </a:moveTo>
                <a:cubicBezTo>
                  <a:pt x="6267047" y="3242246"/>
                  <a:pt x="6251661" y="3257837"/>
                  <a:pt x="6251661" y="3277066"/>
                </a:cubicBezTo>
                <a:cubicBezTo>
                  <a:pt x="6251661" y="3296295"/>
                  <a:pt x="6267047" y="3311886"/>
                  <a:pt x="6286014" y="3311886"/>
                </a:cubicBezTo>
                <a:cubicBezTo>
                  <a:pt x="6304981" y="3311886"/>
                  <a:pt x="6320354" y="3296295"/>
                  <a:pt x="6320354" y="3277066"/>
                </a:cubicBezTo>
                <a:cubicBezTo>
                  <a:pt x="6320354" y="3257837"/>
                  <a:pt x="6304981" y="3242246"/>
                  <a:pt x="6286014" y="3242246"/>
                </a:cubicBezTo>
                <a:close/>
                <a:moveTo>
                  <a:pt x="6537239" y="3242246"/>
                </a:moveTo>
                <a:cubicBezTo>
                  <a:pt x="6518272" y="3242246"/>
                  <a:pt x="6502886" y="3257837"/>
                  <a:pt x="6502886" y="3277066"/>
                </a:cubicBezTo>
                <a:cubicBezTo>
                  <a:pt x="6502886" y="3296295"/>
                  <a:pt x="6518272" y="3311886"/>
                  <a:pt x="6537239" y="3311886"/>
                </a:cubicBezTo>
                <a:cubicBezTo>
                  <a:pt x="6556206" y="3311886"/>
                  <a:pt x="6571579" y="3296295"/>
                  <a:pt x="6571579" y="3277066"/>
                </a:cubicBezTo>
                <a:cubicBezTo>
                  <a:pt x="6571579" y="3257837"/>
                  <a:pt x="6556206" y="3242246"/>
                  <a:pt x="6537239" y="3242246"/>
                </a:cubicBezTo>
                <a:close/>
                <a:moveTo>
                  <a:pt x="6955947" y="3242246"/>
                </a:moveTo>
                <a:cubicBezTo>
                  <a:pt x="6936980" y="3242246"/>
                  <a:pt x="6921594" y="3257837"/>
                  <a:pt x="6921594" y="3277066"/>
                </a:cubicBezTo>
                <a:cubicBezTo>
                  <a:pt x="6921594" y="3296295"/>
                  <a:pt x="6936980" y="3311886"/>
                  <a:pt x="6955947" y="3311886"/>
                </a:cubicBezTo>
                <a:cubicBezTo>
                  <a:pt x="6974914" y="3311886"/>
                  <a:pt x="6990287" y="3296295"/>
                  <a:pt x="6990287" y="3277066"/>
                </a:cubicBezTo>
                <a:cubicBezTo>
                  <a:pt x="6990287" y="3257837"/>
                  <a:pt x="6974914" y="3242246"/>
                  <a:pt x="6955947" y="3242246"/>
                </a:cubicBezTo>
                <a:close/>
                <a:moveTo>
                  <a:pt x="7039688" y="3242246"/>
                </a:moveTo>
                <a:cubicBezTo>
                  <a:pt x="7020721" y="3242246"/>
                  <a:pt x="7005335" y="3257837"/>
                  <a:pt x="7005335" y="3277066"/>
                </a:cubicBezTo>
                <a:cubicBezTo>
                  <a:pt x="7005335" y="3296295"/>
                  <a:pt x="7020721" y="3311886"/>
                  <a:pt x="7039688" y="3311886"/>
                </a:cubicBezTo>
                <a:cubicBezTo>
                  <a:pt x="7058655" y="3311886"/>
                  <a:pt x="7074029" y="3296295"/>
                  <a:pt x="7074029" y="3277066"/>
                </a:cubicBezTo>
                <a:cubicBezTo>
                  <a:pt x="7074029" y="3257837"/>
                  <a:pt x="7058655" y="3242246"/>
                  <a:pt x="7039688" y="3242246"/>
                </a:cubicBezTo>
                <a:close/>
                <a:moveTo>
                  <a:pt x="7123456" y="3242246"/>
                </a:moveTo>
                <a:cubicBezTo>
                  <a:pt x="7104489" y="3242246"/>
                  <a:pt x="7089103" y="3257837"/>
                  <a:pt x="7089103" y="3277066"/>
                </a:cubicBezTo>
                <a:cubicBezTo>
                  <a:pt x="7089103" y="3296295"/>
                  <a:pt x="7104489" y="3311886"/>
                  <a:pt x="7123456" y="3311886"/>
                </a:cubicBezTo>
                <a:cubicBezTo>
                  <a:pt x="7142423" y="3311886"/>
                  <a:pt x="7157796" y="3296295"/>
                  <a:pt x="7157796" y="3277066"/>
                </a:cubicBezTo>
                <a:cubicBezTo>
                  <a:pt x="7157796" y="3257837"/>
                  <a:pt x="7142423" y="3242246"/>
                  <a:pt x="7123456" y="3242246"/>
                </a:cubicBezTo>
                <a:close/>
                <a:moveTo>
                  <a:pt x="7207198" y="3242246"/>
                </a:moveTo>
                <a:cubicBezTo>
                  <a:pt x="7188231" y="3242246"/>
                  <a:pt x="7172845" y="3257837"/>
                  <a:pt x="7172845" y="3277066"/>
                </a:cubicBezTo>
                <a:cubicBezTo>
                  <a:pt x="7172845" y="3296295"/>
                  <a:pt x="7188231" y="3311886"/>
                  <a:pt x="7207198" y="3311886"/>
                </a:cubicBezTo>
                <a:cubicBezTo>
                  <a:pt x="7226165" y="3311886"/>
                  <a:pt x="7241538" y="3296295"/>
                  <a:pt x="7241538" y="3277066"/>
                </a:cubicBezTo>
                <a:cubicBezTo>
                  <a:pt x="7241538" y="3257837"/>
                  <a:pt x="7226165" y="3242246"/>
                  <a:pt x="7207198" y="3242246"/>
                </a:cubicBezTo>
                <a:close/>
                <a:moveTo>
                  <a:pt x="7290939" y="3242246"/>
                </a:moveTo>
                <a:cubicBezTo>
                  <a:pt x="7271972" y="3242246"/>
                  <a:pt x="7256586" y="3257837"/>
                  <a:pt x="7256586" y="3277066"/>
                </a:cubicBezTo>
                <a:cubicBezTo>
                  <a:pt x="7256586" y="3296295"/>
                  <a:pt x="7271972" y="3311886"/>
                  <a:pt x="7290939" y="3311886"/>
                </a:cubicBezTo>
                <a:cubicBezTo>
                  <a:pt x="7309906" y="3311886"/>
                  <a:pt x="7325279" y="3296295"/>
                  <a:pt x="7325279" y="3277066"/>
                </a:cubicBezTo>
                <a:cubicBezTo>
                  <a:pt x="7325279" y="3257837"/>
                  <a:pt x="7309906" y="3242246"/>
                  <a:pt x="7290939" y="3242246"/>
                </a:cubicBezTo>
                <a:close/>
                <a:moveTo>
                  <a:pt x="7374681" y="3242246"/>
                </a:moveTo>
                <a:cubicBezTo>
                  <a:pt x="7355714" y="3242246"/>
                  <a:pt x="7340328" y="3257837"/>
                  <a:pt x="7340328" y="3277066"/>
                </a:cubicBezTo>
                <a:cubicBezTo>
                  <a:pt x="7340328" y="3296295"/>
                  <a:pt x="7355714" y="3311886"/>
                  <a:pt x="7374681" y="3311886"/>
                </a:cubicBezTo>
                <a:cubicBezTo>
                  <a:pt x="7393648" y="3311886"/>
                  <a:pt x="7409022" y="3296295"/>
                  <a:pt x="7409022" y="3277066"/>
                </a:cubicBezTo>
                <a:cubicBezTo>
                  <a:pt x="7409022" y="3257837"/>
                  <a:pt x="7393648" y="3242246"/>
                  <a:pt x="7374681" y="3242246"/>
                </a:cubicBezTo>
                <a:close/>
                <a:moveTo>
                  <a:pt x="7458423" y="3242246"/>
                </a:moveTo>
                <a:cubicBezTo>
                  <a:pt x="7439456" y="3242246"/>
                  <a:pt x="7424070" y="3257837"/>
                  <a:pt x="7424070" y="3277066"/>
                </a:cubicBezTo>
                <a:cubicBezTo>
                  <a:pt x="7424070" y="3296295"/>
                  <a:pt x="7439456" y="3311886"/>
                  <a:pt x="7458423" y="3311886"/>
                </a:cubicBezTo>
                <a:cubicBezTo>
                  <a:pt x="7477390" y="3311886"/>
                  <a:pt x="7492763" y="3296295"/>
                  <a:pt x="7492763" y="3277066"/>
                </a:cubicBezTo>
                <a:cubicBezTo>
                  <a:pt x="7492763" y="3257837"/>
                  <a:pt x="7477390" y="3242246"/>
                  <a:pt x="7458423" y="3242246"/>
                </a:cubicBezTo>
                <a:close/>
                <a:moveTo>
                  <a:pt x="7542164" y="3242246"/>
                </a:moveTo>
                <a:cubicBezTo>
                  <a:pt x="7523197" y="3242246"/>
                  <a:pt x="7507811" y="3257837"/>
                  <a:pt x="7507811" y="3277066"/>
                </a:cubicBezTo>
                <a:cubicBezTo>
                  <a:pt x="7507811" y="3296295"/>
                  <a:pt x="7523197" y="3311886"/>
                  <a:pt x="7542164" y="3311886"/>
                </a:cubicBezTo>
                <a:cubicBezTo>
                  <a:pt x="7561131" y="3311886"/>
                  <a:pt x="7576504" y="3296295"/>
                  <a:pt x="7576504" y="3277066"/>
                </a:cubicBezTo>
                <a:cubicBezTo>
                  <a:pt x="7576504" y="3257837"/>
                  <a:pt x="7561131" y="3242246"/>
                  <a:pt x="7542164" y="3242246"/>
                </a:cubicBezTo>
                <a:close/>
                <a:moveTo>
                  <a:pt x="7709647" y="3242246"/>
                </a:moveTo>
                <a:cubicBezTo>
                  <a:pt x="7690680" y="3242246"/>
                  <a:pt x="7675294" y="3257837"/>
                  <a:pt x="7675294" y="3277066"/>
                </a:cubicBezTo>
                <a:cubicBezTo>
                  <a:pt x="7675294" y="3296295"/>
                  <a:pt x="7690680" y="3311886"/>
                  <a:pt x="7709647" y="3311886"/>
                </a:cubicBezTo>
                <a:cubicBezTo>
                  <a:pt x="7728614" y="3311886"/>
                  <a:pt x="7743988" y="3296295"/>
                  <a:pt x="7743988" y="3277066"/>
                </a:cubicBezTo>
                <a:cubicBezTo>
                  <a:pt x="7743988" y="3257837"/>
                  <a:pt x="7728614" y="3242246"/>
                  <a:pt x="7709647" y="3242246"/>
                </a:cubicBezTo>
                <a:close/>
                <a:moveTo>
                  <a:pt x="7793389" y="3242246"/>
                </a:moveTo>
                <a:cubicBezTo>
                  <a:pt x="7774422" y="3242246"/>
                  <a:pt x="7759036" y="3257837"/>
                  <a:pt x="7759036" y="3277066"/>
                </a:cubicBezTo>
                <a:cubicBezTo>
                  <a:pt x="7759036" y="3296295"/>
                  <a:pt x="7774422" y="3311886"/>
                  <a:pt x="7793389" y="3311886"/>
                </a:cubicBezTo>
                <a:cubicBezTo>
                  <a:pt x="7812356" y="3311886"/>
                  <a:pt x="7827729" y="3296295"/>
                  <a:pt x="7827729" y="3277066"/>
                </a:cubicBezTo>
                <a:cubicBezTo>
                  <a:pt x="7827729" y="3257837"/>
                  <a:pt x="7812356" y="3242246"/>
                  <a:pt x="7793389" y="3242246"/>
                </a:cubicBezTo>
                <a:close/>
                <a:moveTo>
                  <a:pt x="7877131" y="3242246"/>
                </a:moveTo>
                <a:cubicBezTo>
                  <a:pt x="7858164" y="3242246"/>
                  <a:pt x="7842778" y="3257837"/>
                  <a:pt x="7842778" y="3277066"/>
                </a:cubicBezTo>
                <a:cubicBezTo>
                  <a:pt x="7842778" y="3296295"/>
                  <a:pt x="7858164" y="3311886"/>
                  <a:pt x="7877131" y="3311886"/>
                </a:cubicBezTo>
                <a:cubicBezTo>
                  <a:pt x="7896098" y="3311886"/>
                  <a:pt x="7911471" y="3296295"/>
                  <a:pt x="7911471" y="3277066"/>
                </a:cubicBezTo>
                <a:cubicBezTo>
                  <a:pt x="7911471" y="3257837"/>
                  <a:pt x="7896098" y="3242246"/>
                  <a:pt x="7877131" y="3242246"/>
                </a:cubicBezTo>
                <a:close/>
                <a:moveTo>
                  <a:pt x="7960872" y="3242246"/>
                </a:moveTo>
                <a:cubicBezTo>
                  <a:pt x="7941905" y="3242246"/>
                  <a:pt x="7926519" y="3257837"/>
                  <a:pt x="7926519" y="3277066"/>
                </a:cubicBezTo>
                <a:cubicBezTo>
                  <a:pt x="7926519" y="3296295"/>
                  <a:pt x="7941905" y="3311886"/>
                  <a:pt x="7960872" y="3311886"/>
                </a:cubicBezTo>
                <a:cubicBezTo>
                  <a:pt x="7979839" y="3311886"/>
                  <a:pt x="7995212" y="3296295"/>
                  <a:pt x="7995212" y="3277066"/>
                </a:cubicBezTo>
                <a:cubicBezTo>
                  <a:pt x="7995212" y="3257837"/>
                  <a:pt x="7979839" y="3242246"/>
                  <a:pt x="7960872" y="3242246"/>
                </a:cubicBezTo>
                <a:close/>
                <a:moveTo>
                  <a:pt x="8044614" y="3242246"/>
                </a:moveTo>
                <a:cubicBezTo>
                  <a:pt x="8025647" y="3242246"/>
                  <a:pt x="8010261" y="3257837"/>
                  <a:pt x="8010261" y="3277066"/>
                </a:cubicBezTo>
                <a:cubicBezTo>
                  <a:pt x="8010261" y="3296295"/>
                  <a:pt x="8025647" y="3311886"/>
                  <a:pt x="8044614" y="3311886"/>
                </a:cubicBezTo>
                <a:cubicBezTo>
                  <a:pt x="8063581" y="3311886"/>
                  <a:pt x="8078955" y="3296295"/>
                  <a:pt x="8078955" y="3277066"/>
                </a:cubicBezTo>
                <a:cubicBezTo>
                  <a:pt x="8078955" y="3257837"/>
                  <a:pt x="8063581" y="3242246"/>
                  <a:pt x="8044614" y="3242246"/>
                </a:cubicBezTo>
                <a:close/>
                <a:moveTo>
                  <a:pt x="8128356" y="3242246"/>
                </a:moveTo>
                <a:cubicBezTo>
                  <a:pt x="8109389" y="3242246"/>
                  <a:pt x="8094003" y="3257837"/>
                  <a:pt x="8094003" y="3277066"/>
                </a:cubicBezTo>
                <a:cubicBezTo>
                  <a:pt x="8094003" y="3296295"/>
                  <a:pt x="8109389" y="3311886"/>
                  <a:pt x="8128356" y="3311886"/>
                </a:cubicBezTo>
                <a:cubicBezTo>
                  <a:pt x="8147323" y="3311886"/>
                  <a:pt x="8162696" y="3296295"/>
                  <a:pt x="8162696" y="3277066"/>
                </a:cubicBezTo>
                <a:cubicBezTo>
                  <a:pt x="8162696" y="3257837"/>
                  <a:pt x="8147323" y="3242246"/>
                  <a:pt x="8128356" y="3242246"/>
                </a:cubicBezTo>
                <a:close/>
                <a:moveTo>
                  <a:pt x="8212097" y="3242246"/>
                </a:moveTo>
                <a:cubicBezTo>
                  <a:pt x="8193130" y="3242246"/>
                  <a:pt x="8177744" y="3257837"/>
                  <a:pt x="8177744" y="3277066"/>
                </a:cubicBezTo>
                <a:cubicBezTo>
                  <a:pt x="8177744" y="3296295"/>
                  <a:pt x="8193130" y="3311886"/>
                  <a:pt x="8212097" y="3311886"/>
                </a:cubicBezTo>
                <a:cubicBezTo>
                  <a:pt x="8231064" y="3311886"/>
                  <a:pt x="8246437" y="3296295"/>
                  <a:pt x="8246437" y="3277066"/>
                </a:cubicBezTo>
                <a:cubicBezTo>
                  <a:pt x="8246437" y="3257837"/>
                  <a:pt x="8231064" y="3242246"/>
                  <a:pt x="8212097" y="3242246"/>
                </a:cubicBezTo>
                <a:close/>
                <a:moveTo>
                  <a:pt x="8295839" y="3242246"/>
                </a:moveTo>
                <a:cubicBezTo>
                  <a:pt x="8276872" y="3242246"/>
                  <a:pt x="8261486" y="3257837"/>
                  <a:pt x="8261486" y="3277066"/>
                </a:cubicBezTo>
                <a:cubicBezTo>
                  <a:pt x="8261486" y="3296295"/>
                  <a:pt x="8276872" y="3311886"/>
                  <a:pt x="8295839" y="3311886"/>
                </a:cubicBezTo>
                <a:cubicBezTo>
                  <a:pt x="8314806" y="3311886"/>
                  <a:pt x="8330179" y="3296295"/>
                  <a:pt x="8330179" y="3277066"/>
                </a:cubicBezTo>
                <a:cubicBezTo>
                  <a:pt x="8330179" y="3257837"/>
                  <a:pt x="8314806" y="3242246"/>
                  <a:pt x="8295839" y="3242246"/>
                </a:cubicBezTo>
                <a:close/>
                <a:moveTo>
                  <a:pt x="8379580" y="3242246"/>
                </a:moveTo>
                <a:cubicBezTo>
                  <a:pt x="8360613" y="3242246"/>
                  <a:pt x="8345227" y="3257837"/>
                  <a:pt x="8345227" y="3277066"/>
                </a:cubicBezTo>
                <a:cubicBezTo>
                  <a:pt x="8345227" y="3296295"/>
                  <a:pt x="8360613" y="3311886"/>
                  <a:pt x="8379580" y="3311886"/>
                </a:cubicBezTo>
                <a:cubicBezTo>
                  <a:pt x="8398547" y="3311886"/>
                  <a:pt x="8413921" y="3296295"/>
                  <a:pt x="8413921" y="3277066"/>
                </a:cubicBezTo>
                <a:cubicBezTo>
                  <a:pt x="8413921" y="3257837"/>
                  <a:pt x="8398547" y="3242246"/>
                  <a:pt x="8379580" y="3242246"/>
                </a:cubicBezTo>
                <a:close/>
                <a:moveTo>
                  <a:pt x="8463323" y="3242246"/>
                </a:moveTo>
                <a:cubicBezTo>
                  <a:pt x="8444356" y="3242246"/>
                  <a:pt x="8428970" y="3257837"/>
                  <a:pt x="8428970" y="3277066"/>
                </a:cubicBezTo>
                <a:cubicBezTo>
                  <a:pt x="8428970" y="3296295"/>
                  <a:pt x="8444356" y="3311886"/>
                  <a:pt x="8463323" y="3311886"/>
                </a:cubicBezTo>
                <a:cubicBezTo>
                  <a:pt x="8482290" y="3311886"/>
                  <a:pt x="8497663" y="3296295"/>
                  <a:pt x="8497663" y="3277066"/>
                </a:cubicBezTo>
                <a:cubicBezTo>
                  <a:pt x="8497663" y="3257837"/>
                  <a:pt x="8482290" y="3242246"/>
                  <a:pt x="8463323" y="3242246"/>
                </a:cubicBezTo>
                <a:close/>
                <a:moveTo>
                  <a:pt x="8547064" y="3242246"/>
                </a:moveTo>
                <a:cubicBezTo>
                  <a:pt x="8528097" y="3242246"/>
                  <a:pt x="8512711" y="3257837"/>
                  <a:pt x="8512711" y="3277066"/>
                </a:cubicBezTo>
                <a:cubicBezTo>
                  <a:pt x="8512711" y="3296295"/>
                  <a:pt x="8528097" y="3311886"/>
                  <a:pt x="8547064" y="3311886"/>
                </a:cubicBezTo>
                <a:cubicBezTo>
                  <a:pt x="8566031" y="3311886"/>
                  <a:pt x="8581404" y="3296295"/>
                  <a:pt x="8581404" y="3277066"/>
                </a:cubicBezTo>
                <a:cubicBezTo>
                  <a:pt x="8581404" y="3257837"/>
                  <a:pt x="8566031" y="3242246"/>
                  <a:pt x="8547064" y="3242246"/>
                </a:cubicBezTo>
                <a:close/>
                <a:moveTo>
                  <a:pt x="8630805" y="3242246"/>
                </a:moveTo>
                <a:cubicBezTo>
                  <a:pt x="8611838" y="3242246"/>
                  <a:pt x="8596452" y="3257837"/>
                  <a:pt x="8596452" y="3277066"/>
                </a:cubicBezTo>
                <a:cubicBezTo>
                  <a:pt x="8596452" y="3296295"/>
                  <a:pt x="8611838" y="3311886"/>
                  <a:pt x="8630805" y="3311886"/>
                </a:cubicBezTo>
                <a:cubicBezTo>
                  <a:pt x="8649772" y="3311886"/>
                  <a:pt x="8665145" y="3296295"/>
                  <a:pt x="8665145" y="3277066"/>
                </a:cubicBezTo>
                <a:cubicBezTo>
                  <a:pt x="8665145" y="3257837"/>
                  <a:pt x="8649772" y="3242246"/>
                  <a:pt x="8630805" y="3242246"/>
                </a:cubicBezTo>
                <a:close/>
                <a:moveTo>
                  <a:pt x="8714547" y="3242246"/>
                </a:moveTo>
                <a:cubicBezTo>
                  <a:pt x="8695580" y="3242246"/>
                  <a:pt x="8680194" y="3257837"/>
                  <a:pt x="8680194" y="3277066"/>
                </a:cubicBezTo>
                <a:cubicBezTo>
                  <a:pt x="8680194" y="3296295"/>
                  <a:pt x="8695580" y="3311886"/>
                  <a:pt x="8714547" y="3311886"/>
                </a:cubicBezTo>
                <a:cubicBezTo>
                  <a:pt x="8733514" y="3311886"/>
                  <a:pt x="8748888" y="3296295"/>
                  <a:pt x="8748888" y="3277066"/>
                </a:cubicBezTo>
                <a:cubicBezTo>
                  <a:pt x="8748888" y="3257837"/>
                  <a:pt x="8733514" y="3242246"/>
                  <a:pt x="8714547" y="3242246"/>
                </a:cubicBezTo>
                <a:close/>
                <a:moveTo>
                  <a:pt x="8798289" y="3242246"/>
                </a:moveTo>
                <a:cubicBezTo>
                  <a:pt x="8779322" y="3242246"/>
                  <a:pt x="8763936" y="3257837"/>
                  <a:pt x="8763936" y="3277066"/>
                </a:cubicBezTo>
                <a:cubicBezTo>
                  <a:pt x="8763936" y="3296295"/>
                  <a:pt x="8779322" y="3311886"/>
                  <a:pt x="8798289" y="3311886"/>
                </a:cubicBezTo>
                <a:cubicBezTo>
                  <a:pt x="8817256" y="3311886"/>
                  <a:pt x="8832629" y="3296295"/>
                  <a:pt x="8832629" y="3277066"/>
                </a:cubicBezTo>
                <a:cubicBezTo>
                  <a:pt x="8832629" y="3257837"/>
                  <a:pt x="8817256" y="3242246"/>
                  <a:pt x="8798289" y="3242246"/>
                </a:cubicBezTo>
                <a:close/>
                <a:moveTo>
                  <a:pt x="8882030" y="3242246"/>
                </a:moveTo>
                <a:cubicBezTo>
                  <a:pt x="8863063" y="3242246"/>
                  <a:pt x="8847677" y="3257837"/>
                  <a:pt x="8847677" y="3277066"/>
                </a:cubicBezTo>
                <a:cubicBezTo>
                  <a:pt x="8847677" y="3296295"/>
                  <a:pt x="8863063" y="3311886"/>
                  <a:pt x="8882030" y="3311886"/>
                </a:cubicBezTo>
                <a:cubicBezTo>
                  <a:pt x="8900997" y="3311886"/>
                  <a:pt x="8916370" y="3296295"/>
                  <a:pt x="8916370" y="3277066"/>
                </a:cubicBezTo>
                <a:cubicBezTo>
                  <a:pt x="8916370" y="3257837"/>
                  <a:pt x="8900997" y="3242246"/>
                  <a:pt x="8882030" y="3242246"/>
                </a:cubicBezTo>
                <a:close/>
                <a:moveTo>
                  <a:pt x="8965772" y="3242246"/>
                </a:moveTo>
                <a:cubicBezTo>
                  <a:pt x="8946805" y="3242246"/>
                  <a:pt x="8931419" y="3257837"/>
                  <a:pt x="8931419" y="3277066"/>
                </a:cubicBezTo>
                <a:cubicBezTo>
                  <a:pt x="8931419" y="3296295"/>
                  <a:pt x="8946805" y="3311886"/>
                  <a:pt x="8965772" y="3311886"/>
                </a:cubicBezTo>
                <a:cubicBezTo>
                  <a:pt x="8984739" y="3311886"/>
                  <a:pt x="9000112" y="3296295"/>
                  <a:pt x="9000112" y="3277066"/>
                </a:cubicBezTo>
                <a:cubicBezTo>
                  <a:pt x="9000112" y="3257837"/>
                  <a:pt x="8984739" y="3242246"/>
                  <a:pt x="8965772" y="3242246"/>
                </a:cubicBezTo>
                <a:close/>
                <a:moveTo>
                  <a:pt x="9049513" y="3242246"/>
                </a:moveTo>
                <a:cubicBezTo>
                  <a:pt x="9030546" y="3242246"/>
                  <a:pt x="9015160" y="3257837"/>
                  <a:pt x="9015160" y="3277066"/>
                </a:cubicBezTo>
                <a:cubicBezTo>
                  <a:pt x="9015160" y="3296295"/>
                  <a:pt x="9030546" y="3311886"/>
                  <a:pt x="9049513" y="3311886"/>
                </a:cubicBezTo>
                <a:cubicBezTo>
                  <a:pt x="9068480" y="3311886"/>
                  <a:pt x="9083854" y="3296295"/>
                  <a:pt x="9083854" y="3277066"/>
                </a:cubicBezTo>
                <a:cubicBezTo>
                  <a:pt x="9083854" y="3257837"/>
                  <a:pt x="9068480" y="3242246"/>
                  <a:pt x="9049513" y="3242246"/>
                </a:cubicBezTo>
                <a:close/>
                <a:moveTo>
                  <a:pt x="9133256" y="3242246"/>
                </a:moveTo>
                <a:cubicBezTo>
                  <a:pt x="9114289" y="3242246"/>
                  <a:pt x="9098903" y="3257837"/>
                  <a:pt x="9098903" y="3277066"/>
                </a:cubicBezTo>
                <a:cubicBezTo>
                  <a:pt x="9098903" y="3296295"/>
                  <a:pt x="9114289" y="3311886"/>
                  <a:pt x="9133256" y="3311886"/>
                </a:cubicBezTo>
                <a:cubicBezTo>
                  <a:pt x="9152223" y="3311886"/>
                  <a:pt x="9167596" y="3296295"/>
                  <a:pt x="9167596" y="3277066"/>
                </a:cubicBezTo>
                <a:cubicBezTo>
                  <a:pt x="9167596" y="3257837"/>
                  <a:pt x="9152223" y="3242246"/>
                  <a:pt x="9133256" y="3242246"/>
                </a:cubicBezTo>
                <a:close/>
                <a:moveTo>
                  <a:pt x="9216997" y="3242246"/>
                </a:moveTo>
                <a:cubicBezTo>
                  <a:pt x="9198030" y="3242246"/>
                  <a:pt x="9182644" y="3257837"/>
                  <a:pt x="9182644" y="3277066"/>
                </a:cubicBezTo>
                <a:cubicBezTo>
                  <a:pt x="9182644" y="3296295"/>
                  <a:pt x="9198030" y="3311886"/>
                  <a:pt x="9216997" y="3311886"/>
                </a:cubicBezTo>
                <a:cubicBezTo>
                  <a:pt x="9235964" y="3311886"/>
                  <a:pt x="9251337" y="3296295"/>
                  <a:pt x="9251337" y="3277066"/>
                </a:cubicBezTo>
                <a:cubicBezTo>
                  <a:pt x="9251337" y="3257837"/>
                  <a:pt x="9235964" y="3242246"/>
                  <a:pt x="9216997" y="3242246"/>
                </a:cubicBezTo>
                <a:close/>
                <a:moveTo>
                  <a:pt x="9300738" y="3242246"/>
                </a:moveTo>
                <a:cubicBezTo>
                  <a:pt x="9281771" y="3242246"/>
                  <a:pt x="9266385" y="3257837"/>
                  <a:pt x="9266385" y="3277066"/>
                </a:cubicBezTo>
                <a:cubicBezTo>
                  <a:pt x="9266385" y="3296295"/>
                  <a:pt x="9281771" y="3311886"/>
                  <a:pt x="9300738" y="3311886"/>
                </a:cubicBezTo>
                <a:cubicBezTo>
                  <a:pt x="9319705" y="3311886"/>
                  <a:pt x="9335078" y="3296295"/>
                  <a:pt x="9335078" y="3277066"/>
                </a:cubicBezTo>
                <a:cubicBezTo>
                  <a:pt x="9335078" y="3257837"/>
                  <a:pt x="9319705" y="3242246"/>
                  <a:pt x="9300738" y="3242246"/>
                </a:cubicBezTo>
                <a:close/>
                <a:moveTo>
                  <a:pt x="9384480" y="3242246"/>
                </a:moveTo>
                <a:cubicBezTo>
                  <a:pt x="9365513" y="3242246"/>
                  <a:pt x="9350127" y="3257837"/>
                  <a:pt x="9350127" y="3277066"/>
                </a:cubicBezTo>
                <a:cubicBezTo>
                  <a:pt x="9350127" y="3296295"/>
                  <a:pt x="9365513" y="3311886"/>
                  <a:pt x="9384480" y="3311886"/>
                </a:cubicBezTo>
                <a:cubicBezTo>
                  <a:pt x="9403447" y="3311886"/>
                  <a:pt x="9418821" y="3296295"/>
                  <a:pt x="9418821" y="3277066"/>
                </a:cubicBezTo>
                <a:cubicBezTo>
                  <a:pt x="9418821" y="3257837"/>
                  <a:pt x="9403447" y="3242246"/>
                  <a:pt x="9384480" y="3242246"/>
                </a:cubicBezTo>
                <a:close/>
                <a:moveTo>
                  <a:pt x="9468222" y="3242246"/>
                </a:moveTo>
                <a:cubicBezTo>
                  <a:pt x="9449255" y="3242246"/>
                  <a:pt x="9433869" y="3257837"/>
                  <a:pt x="9433869" y="3277066"/>
                </a:cubicBezTo>
                <a:cubicBezTo>
                  <a:pt x="9433869" y="3296295"/>
                  <a:pt x="9449255" y="3311886"/>
                  <a:pt x="9468222" y="3311886"/>
                </a:cubicBezTo>
                <a:cubicBezTo>
                  <a:pt x="9487189" y="3311886"/>
                  <a:pt x="9502562" y="3296295"/>
                  <a:pt x="9502562" y="3277066"/>
                </a:cubicBezTo>
                <a:cubicBezTo>
                  <a:pt x="9502562" y="3257837"/>
                  <a:pt x="9487189" y="3242246"/>
                  <a:pt x="9468222" y="3242246"/>
                </a:cubicBezTo>
                <a:close/>
                <a:moveTo>
                  <a:pt x="9551963" y="3242246"/>
                </a:moveTo>
                <a:cubicBezTo>
                  <a:pt x="9532996" y="3242246"/>
                  <a:pt x="9517610" y="3257837"/>
                  <a:pt x="9517610" y="3277066"/>
                </a:cubicBezTo>
                <a:cubicBezTo>
                  <a:pt x="9517610" y="3296295"/>
                  <a:pt x="9532996" y="3311886"/>
                  <a:pt x="9551963" y="3311886"/>
                </a:cubicBezTo>
                <a:cubicBezTo>
                  <a:pt x="9570930" y="3311886"/>
                  <a:pt x="9586303" y="3296295"/>
                  <a:pt x="9586303" y="3277066"/>
                </a:cubicBezTo>
                <a:cubicBezTo>
                  <a:pt x="9586303" y="3257837"/>
                  <a:pt x="9570930" y="3242246"/>
                  <a:pt x="9551963" y="3242246"/>
                </a:cubicBezTo>
                <a:close/>
                <a:moveTo>
                  <a:pt x="2350151" y="3327109"/>
                </a:moveTo>
                <a:cubicBezTo>
                  <a:pt x="2331184" y="3327109"/>
                  <a:pt x="2315804" y="3342701"/>
                  <a:pt x="2315804" y="3361930"/>
                </a:cubicBezTo>
                <a:cubicBezTo>
                  <a:pt x="2315804" y="3381158"/>
                  <a:pt x="2331184" y="3396750"/>
                  <a:pt x="2350151" y="3396750"/>
                </a:cubicBezTo>
                <a:cubicBezTo>
                  <a:pt x="2369118" y="3396750"/>
                  <a:pt x="2384498" y="3381158"/>
                  <a:pt x="2384498" y="3361930"/>
                </a:cubicBezTo>
                <a:cubicBezTo>
                  <a:pt x="2384498" y="3342701"/>
                  <a:pt x="2369118" y="3327109"/>
                  <a:pt x="2350151" y="3327109"/>
                </a:cubicBezTo>
                <a:close/>
                <a:moveTo>
                  <a:pt x="2433893" y="3327109"/>
                </a:moveTo>
                <a:cubicBezTo>
                  <a:pt x="2414926" y="3327109"/>
                  <a:pt x="2399546" y="3342701"/>
                  <a:pt x="2399546" y="3361930"/>
                </a:cubicBezTo>
                <a:cubicBezTo>
                  <a:pt x="2399546" y="3381158"/>
                  <a:pt x="2414926" y="3396750"/>
                  <a:pt x="2433893" y="3396750"/>
                </a:cubicBezTo>
                <a:cubicBezTo>
                  <a:pt x="2452860" y="3396750"/>
                  <a:pt x="2468240" y="3381158"/>
                  <a:pt x="2468240" y="3361930"/>
                </a:cubicBezTo>
                <a:cubicBezTo>
                  <a:pt x="2468240" y="3342701"/>
                  <a:pt x="2452860" y="3327109"/>
                  <a:pt x="2433893" y="3327109"/>
                </a:cubicBezTo>
                <a:close/>
                <a:moveTo>
                  <a:pt x="2517634" y="3327109"/>
                </a:moveTo>
                <a:cubicBezTo>
                  <a:pt x="2498667" y="3327109"/>
                  <a:pt x="2483288" y="3342701"/>
                  <a:pt x="2483288" y="3361930"/>
                </a:cubicBezTo>
                <a:cubicBezTo>
                  <a:pt x="2483288" y="3381158"/>
                  <a:pt x="2498667" y="3396750"/>
                  <a:pt x="2517634" y="3396750"/>
                </a:cubicBezTo>
                <a:cubicBezTo>
                  <a:pt x="2536601" y="3396750"/>
                  <a:pt x="2551981" y="3381158"/>
                  <a:pt x="2551981" y="3361930"/>
                </a:cubicBezTo>
                <a:cubicBezTo>
                  <a:pt x="2551981" y="3342701"/>
                  <a:pt x="2536601" y="3327109"/>
                  <a:pt x="2517634" y="3327109"/>
                </a:cubicBezTo>
                <a:close/>
                <a:moveTo>
                  <a:pt x="2601376" y="3327109"/>
                </a:moveTo>
                <a:cubicBezTo>
                  <a:pt x="2582409" y="3327109"/>
                  <a:pt x="2567029" y="3342701"/>
                  <a:pt x="2567029" y="3361930"/>
                </a:cubicBezTo>
                <a:cubicBezTo>
                  <a:pt x="2567029" y="3381158"/>
                  <a:pt x="2582409" y="3396750"/>
                  <a:pt x="2601376" y="3396750"/>
                </a:cubicBezTo>
                <a:cubicBezTo>
                  <a:pt x="2620343" y="3396750"/>
                  <a:pt x="2635722" y="3381158"/>
                  <a:pt x="2635722" y="3361930"/>
                </a:cubicBezTo>
                <a:cubicBezTo>
                  <a:pt x="2635722" y="3342701"/>
                  <a:pt x="2620343" y="3327109"/>
                  <a:pt x="2601376" y="3327109"/>
                </a:cubicBezTo>
                <a:close/>
                <a:moveTo>
                  <a:pt x="2685118" y="3327109"/>
                </a:moveTo>
                <a:cubicBezTo>
                  <a:pt x="2666151" y="3327109"/>
                  <a:pt x="2650771" y="3342701"/>
                  <a:pt x="2650771" y="3361930"/>
                </a:cubicBezTo>
                <a:cubicBezTo>
                  <a:pt x="2650771" y="3381158"/>
                  <a:pt x="2666151" y="3396750"/>
                  <a:pt x="2685118" y="3396750"/>
                </a:cubicBezTo>
                <a:cubicBezTo>
                  <a:pt x="2704085" y="3396750"/>
                  <a:pt x="2719465" y="3381158"/>
                  <a:pt x="2719465" y="3361930"/>
                </a:cubicBezTo>
                <a:cubicBezTo>
                  <a:pt x="2719465" y="3342701"/>
                  <a:pt x="2704085" y="3327109"/>
                  <a:pt x="2685118" y="3327109"/>
                </a:cubicBezTo>
                <a:close/>
                <a:moveTo>
                  <a:pt x="2768859" y="3327109"/>
                </a:moveTo>
                <a:cubicBezTo>
                  <a:pt x="2749892" y="3327109"/>
                  <a:pt x="2734512" y="3342701"/>
                  <a:pt x="2734512" y="3361930"/>
                </a:cubicBezTo>
                <a:cubicBezTo>
                  <a:pt x="2734512" y="3381158"/>
                  <a:pt x="2749892" y="3396750"/>
                  <a:pt x="2768859" y="3396750"/>
                </a:cubicBezTo>
                <a:cubicBezTo>
                  <a:pt x="2787826" y="3396750"/>
                  <a:pt x="2803206" y="3381158"/>
                  <a:pt x="2803206" y="3361930"/>
                </a:cubicBezTo>
                <a:cubicBezTo>
                  <a:pt x="2803206" y="3342701"/>
                  <a:pt x="2787826" y="3327109"/>
                  <a:pt x="2768859" y="3327109"/>
                </a:cubicBezTo>
                <a:close/>
                <a:moveTo>
                  <a:pt x="2852600" y="3327109"/>
                </a:moveTo>
                <a:cubicBezTo>
                  <a:pt x="2833633" y="3327109"/>
                  <a:pt x="2818254" y="3342701"/>
                  <a:pt x="2818254" y="3361930"/>
                </a:cubicBezTo>
                <a:cubicBezTo>
                  <a:pt x="2818254" y="3381158"/>
                  <a:pt x="2833633" y="3396750"/>
                  <a:pt x="2852600" y="3396750"/>
                </a:cubicBezTo>
                <a:cubicBezTo>
                  <a:pt x="2871567" y="3396750"/>
                  <a:pt x="2886947" y="3381158"/>
                  <a:pt x="2886947" y="3361930"/>
                </a:cubicBezTo>
                <a:cubicBezTo>
                  <a:pt x="2886947" y="3342701"/>
                  <a:pt x="2871567" y="3327109"/>
                  <a:pt x="2852600" y="3327109"/>
                </a:cubicBezTo>
                <a:close/>
                <a:moveTo>
                  <a:pt x="2936343" y="3327109"/>
                </a:moveTo>
                <a:cubicBezTo>
                  <a:pt x="2917376" y="3327109"/>
                  <a:pt x="2901996" y="3342701"/>
                  <a:pt x="2901996" y="3361930"/>
                </a:cubicBezTo>
                <a:cubicBezTo>
                  <a:pt x="2901996" y="3381158"/>
                  <a:pt x="2917376" y="3396750"/>
                  <a:pt x="2936343" y="3396750"/>
                </a:cubicBezTo>
                <a:cubicBezTo>
                  <a:pt x="2955310" y="3396750"/>
                  <a:pt x="2970689" y="3381158"/>
                  <a:pt x="2970689" y="3361930"/>
                </a:cubicBezTo>
                <a:cubicBezTo>
                  <a:pt x="2970689" y="3342701"/>
                  <a:pt x="2955310" y="3327109"/>
                  <a:pt x="2936343" y="3327109"/>
                </a:cubicBezTo>
                <a:close/>
                <a:moveTo>
                  <a:pt x="3355051" y="3327109"/>
                </a:moveTo>
                <a:cubicBezTo>
                  <a:pt x="3336084" y="3327109"/>
                  <a:pt x="3320704" y="3342701"/>
                  <a:pt x="3320704" y="3361930"/>
                </a:cubicBezTo>
                <a:cubicBezTo>
                  <a:pt x="3320704" y="3381158"/>
                  <a:pt x="3336084" y="3396750"/>
                  <a:pt x="3355051" y="3396750"/>
                </a:cubicBezTo>
                <a:cubicBezTo>
                  <a:pt x="3374018" y="3396750"/>
                  <a:pt x="3389398" y="3381158"/>
                  <a:pt x="3389398" y="3361930"/>
                </a:cubicBezTo>
                <a:cubicBezTo>
                  <a:pt x="3389398" y="3342701"/>
                  <a:pt x="3374018" y="3327109"/>
                  <a:pt x="3355051" y="3327109"/>
                </a:cubicBezTo>
                <a:close/>
                <a:moveTo>
                  <a:pt x="5616081" y="3327109"/>
                </a:moveTo>
                <a:cubicBezTo>
                  <a:pt x="5597114" y="3327109"/>
                  <a:pt x="5581728" y="3342701"/>
                  <a:pt x="5581728" y="3361930"/>
                </a:cubicBezTo>
                <a:cubicBezTo>
                  <a:pt x="5581728" y="3381158"/>
                  <a:pt x="5597114" y="3396750"/>
                  <a:pt x="5616081" y="3396750"/>
                </a:cubicBezTo>
                <a:cubicBezTo>
                  <a:pt x="5635048" y="3396750"/>
                  <a:pt x="5650421" y="3381158"/>
                  <a:pt x="5650421" y="3361930"/>
                </a:cubicBezTo>
                <a:cubicBezTo>
                  <a:pt x="5650421" y="3342701"/>
                  <a:pt x="5635048" y="3327109"/>
                  <a:pt x="5616081" y="3327109"/>
                </a:cubicBezTo>
                <a:close/>
                <a:moveTo>
                  <a:pt x="5699822" y="3327109"/>
                </a:moveTo>
                <a:cubicBezTo>
                  <a:pt x="5680855" y="3327109"/>
                  <a:pt x="5665469" y="3342701"/>
                  <a:pt x="5665469" y="3361930"/>
                </a:cubicBezTo>
                <a:cubicBezTo>
                  <a:pt x="5665469" y="3381158"/>
                  <a:pt x="5680855" y="3396750"/>
                  <a:pt x="5699822" y="3396750"/>
                </a:cubicBezTo>
                <a:cubicBezTo>
                  <a:pt x="5718789" y="3396750"/>
                  <a:pt x="5734163" y="3381158"/>
                  <a:pt x="5734163" y="3361930"/>
                </a:cubicBezTo>
                <a:cubicBezTo>
                  <a:pt x="5734163" y="3342701"/>
                  <a:pt x="5718789" y="3327109"/>
                  <a:pt x="5699822" y="3327109"/>
                </a:cubicBezTo>
                <a:close/>
                <a:moveTo>
                  <a:pt x="5783565" y="3327109"/>
                </a:moveTo>
                <a:cubicBezTo>
                  <a:pt x="5764598" y="3327109"/>
                  <a:pt x="5749211" y="3342701"/>
                  <a:pt x="5749211" y="3361930"/>
                </a:cubicBezTo>
                <a:cubicBezTo>
                  <a:pt x="5749211" y="3381158"/>
                  <a:pt x="5764598" y="3396750"/>
                  <a:pt x="5783565" y="3396750"/>
                </a:cubicBezTo>
                <a:cubicBezTo>
                  <a:pt x="5802532" y="3396750"/>
                  <a:pt x="5817905" y="3381158"/>
                  <a:pt x="5817905" y="3361930"/>
                </a:cubicBezTo>
                <a:cubicBezTo>
                  <a:pt x="5817905" y="3342701"/>
                  <a:pt x="5802532" y="3327109"/>
                  <a:pt x="5783565" y="3327109"/>
                </a:cubicBezTo>
                <a:close/>
                <a:moveTo>
                  <a:pt x="5867306" y="3327109"/>
                </a:moveTo>
                <a:cubicBezTo>
                  <a:pt x="5848339" y="3327109"/>
                  <a:pt x="5832953" y="3342701"/>
                  <a:pt x="5832953" y="3361930"/>
                </a:cubicBezTo>
                <a:cubicBezTo>
                  <a:pt x="5832953" y="3381158"/>
                  <a:pt x="5848339" y="3396750"/>
                  <a:pt x="5867306" y="3396750"/>
                </a:cubicBezTo>
                <a:cubicBezTo>
                  <a:pt x="5886273" y="3396750"/>
                  <a:pt x="5901646" y="3381158"/>
                  <a:pt x="5901646" y="3361930"/>
                </a:cubicBezTo>
                <a:cubicBezTo>
                  <a:pt x="5901646" y="3342701"/>
                  <a:pt x="5886273" y="3327109"/>
                  <a:pt x="5867306" y="3327109"/>
                </a:cubicBezTo>
                <a:close/>
                <a:moveTo>
                  <a:pt x="5951047" y="3327109"/>
                </a:moveTo>
                <a:cubicBezTo>
                  <a:pt x="5932080" y="3327109"/>
                  <a:pt x="5916694" y="3342701"/>
                  <a:pt x="5916694" y="3361930"/>
                </a:cubicBezTo>
                <a:cubicBezTo>
                  <a:pt x="5916694" y="3381158"/>
                  <a:pt x="5932080" y="3396750"/>
                  <a:pt x="5951047" y="3396750"/>
                </a:cubicBezTo>
                <a:cubicBezTo>
                  <a:pt x="5970014" y="3396750"/>
                  <a:pt x="5985387" y="3381158"/>
                  <a:pt x="5985387" y="3361930"/>
                </a:cubicBezTo>
                <a:cubicBezTo>
                  <a:pt x="5985387" y="3342701"/>
                  <a:pt x="5970014" y="3327109"/>
                  <a:pt x="5951047" y="3327109"/>
                </a:cubicBezTo>
                <a:close/>
                <a:moveTo>
                  <a:pt x="6034789" y="3327109"/>
                </a:moveTo>
                <a:cubicBezTo>
                  <a:pt x="6015822" y="3327109"/>
                  <a:pt x="6000436" y="3342701"/>
                  <a:pt x="6000436" y="3361930"/>
                </a:cubicBezTo>
                <a:cubicBezTo>
                  <a:pt x="6000436" y="3381158"/>
                  <a:pt x="6015822" y="3396750"/>
                  <a:pt x="6034789" y="3396750"/>
                </a:cubicBezTo>
                <a:cubicBezTo>
                  <a:pt x="6053756" y="3396750"/>
                  <a:pt x="6069130" y="3381158"/>
                  <a:pt x="6069130" y="3361930"/>
                </a:cubicBezTo>
                <a:cubicBezTo>
                  <a:pt x="6069130" y="3342701"/>
                  <a:pt x="6053756" y="3327109"/>
                  <a:pt x="6034789" y="3327109"/>
                </a:cubicBezTo>
                <a:close/>
                <a:moveTo>
                  <a:pt x="6118531" y="3327109"/>
                </a:moveTo>
                <a:cubicBezTo>
                  <a:pt x="6099564" y="3327109"/>
                  <a:pt x="6084177" y="3342701"/>
                  <a:pt x="6084177" y="3361930"/>
                </a:cubicBezTo>
                <a:cubicBezTo>
                  <a:pt x="6084177" y="3381158"/>
                  <a:pt x="6099564" y="3396750"/>
                  <a:pt x="6118531" y="3396750"/>
                </a:cubicBezTo>
                <a:cubicBezTo>
                  <a:pt x="6137498" y="3396750"/>
                  <a:pt x="6152871" y="3381158"/>
                  <a:pt x="6152871" y="3361930"/>
                </a:cubicBezTo>
                <a:cubicBezTo>
                  <a:pt x="6152871" y="3342701"/>
                  <a:pt x="6137498" y="3327109"/>
                  <a:pt x="6118531" y="3327109"/>
                </a:cubicBezTo>
                <a:close/>
                <a:moveTo>
                  <a:pt x="6202273" y="3327109"/>
                </a:moveTo>
                <a:cubicBezTo>
                  <a:pt x="6183306" y="3327109"/>
                  <a:pt x="6167920" y="3342701"/>
                  <a:pt x="6167920" y="3361930"/>
                </a:cubicBezTo>
                <a:cubicBezTo>
                  <a:pt x="6167920" y="3381158"/>
                  <a:pt x="6183306" y="3396750"/>
                  <a:pt x="6202273" y="3396750"/>
                </a:cubicBezTo>
                <a:cubicBezTo>
                  <a:pt x="6221240" y="3396750"/>
                  <a:pt x="6236613" y="3381158"/>
                  <a:pt x="6236613" y="3361930"/>
                </a:cubicBezTo>
                <a:cubicBezTo>
                  <a:pt x="6236613" y="3342701"/>
                  <a:pt x="6221240" y="3327109"/>
                  <a:pt x="6202273" y="3327109"/>
                </a:cubicBezTo>
                <a:close/>
                <a:moveTo>
                  <a:pt x="6286014" y="3327109"/>
                </a:moveTo>
                <a:cubicBezTo>
                  <a:pt x="6267047" y="3327109"/>
                  <a:pt x="6251661" y="3342701"/>
                  <a:pt x="6251661" y="3361930"/>
                </a:cubicBezTo>
                <a:cubicBezTo>
                  <a:pt x="6251661" y="3381158"/>
                  <a:pt x="6267047" y="3396750"/>
                  <a:pt x="6286014" y="3396750"/>
                </a:cubicBezTo>
                <a:cubicBezTo>
                  <a:pt x="6304981" y="3396750"/>
                  <a:pt x="6320354" y="3381158"/>
                  <a:pt x="6320354" y="3361930"/>
                </a:cubicBezTo>
                <a:cubicBezTo>
                  <a:pt x="6320354" y="3342701"/>
                  <a:pt x="6304981" y="3327109"/>
                  <a:pt x="6286014" y="3327109"/>
                </a:cubicBezTo>
                <a:close/>
                <a:moveTo>
                  <a:pt x="6369755" y="3327109"/>
                </a:moveTo>
                <a:cubicBezTo>
                  <a:pt x="6350788" y="3327109"/>
                  <a:pt x="6335402" y="3342701"/>
                  <a:pt x="6335402" y="3361930"/>
                </a:cubicBezTo>
                <a:cubicBezTo>
                  <a:pt x="6335402" y="3381158"/>
                  <a:pt x="6350788" y="3396750"/>
                  <a:pt x="6369755" y="3396750"/>
                </a:cubicBezTo>
                <a:cubicBezTo>
                  <a:pt x="6388722" y="3396750"/>
                  <a:pt x="6404096" y="3381158"/>
                  <a:pt x="6404096" y="3361930"/>
                </a:cubicBezTo>
                <a:cubicBezTo>
                  <a:pt x="6404096" y="3342701"/>
                  <a:pt x="6388722" y="3327109"/>
                  <a:pt x="6369755" y="3327109"/>
                </a:cubicBezTo>
                <a:close/>
                <a:moveTo>
                  <a:pt x="6453498" y="3327109"/>
                </a:moveTo>
                <a:cubicBezTo>
                  <a:pt x="6434531" y="3327109"/>
                  <a:pt x="6419144" y="3342701"/>
                  <a:pt x="6419144" y="3361930"/>
                </a:cubicBezTo>
                <a:cubicBezTo>
                  <a:pt x="6419144" y="3381158"/>
                  <a:pt x="6434531" y="3396750"/>
                  <a:pt x="6453498" y="3396750"/>
                </a:cubicBezTo>
                <a:cubicBezTo>
                  <a:pt x="6472465" y="3396750"/>
                  <a:pt x="6487838" y="3381158"/>
                  <a:pt x="6487838" y="3361930"/>
                </a:cubicBezTo>
                <a:cubicBezTo>
                  <a:pt x="6487838" y="3342701"/>
                  <a:pt x="6472465" y="3327109"/>
                  <a:pt x="6453498" y="3327109"/>
                </a:cubicBezTo>
                <a:close/>
                <a:moveTo>
                  <a:pt x="6537239" y="3327109"/>
                </a:moveTo>
                <a:cubicBezTo>
                  <a:pt x="6518272" y="3327109"/>
                  <a:pt x="6502886" y="3342701"/>
                  <a:pt x="6502886" y="3361930"/>
                </a:cubicBezTo>
                <a:cubicBezTo>
                  <a:pt x="6502886" y="3381158"/>
                  <a:pt x="6518272" y="3396750"/>
                  <a:pt x="6537239" y="3396750"/>
                </a:cubicBezTo>
                <a:cubicBezTo>
                  <a:pt x="6556206" y="3396750"/>
                  <a:pt x="6571579" y="3381158"/>
                  <a:pt x="6571579" y="3361930"/>
                </a:cubicBezTo>
                <a:cubicBezTo>
                  <a:pt x="6571579" y="3342701"/>
                  <a:pt x="6556206" y="3327109"/>
                  <a:pt x="6537239" y="3327109"/>
                </a:cubicBezTo>
                <a:close/>
                <a:moveTo>
                  <a:pt x="6620980" y="3327109"/>
                </a:moveTo>
                <a:cubicBezTo>
                  <a:pt x="6602013" y="3327109"/>
                  <a:pt x="6586627" y="3342701"/>
                  <a:pt x="6586627" y="3361930"/>
                </a:cubicBezTo>
                <a:cubicBezTo>
                  <a:pt x="6586627" y="3381158"/>
                  <a:pt x="6602013" y="3396750"/>
                  <a:pt x="6620980" y="3396750"/>
                </a:cubicBezTo>
                <a:cubicBezTo>
                  <a:pt x="6639947" y="3396750"/>
                  <a:pt x="6655320" y="3381158"/>
                  <a:pt x="6655320" y="3361930"/>
                </a:cubicBezTo>
                <a:cubicBezTo>
                  <a:pt x="6655320" y="3342701"/>
                  <a:pt x="6639947" y="3327109"/>
                  <a:pt x="6620980" y="3327109"/>
                </a:cubicBezTo>
                <a:close/>
                <a:moveTo>
                  <a:pt x="6704722" y="3327109"/>
                </a:moveTo>
                <a:cubicBezTo>
                  <a:pt x="6685755" y="3327109"/>
                  <a:pt x="6670369" y="3342701"/>
                  <a:pt x="6670369" y="3361930"/>
                </a:cubicBezTo>
                <a:cubicBezTo>
                  <a:pt x="6670369" y="3381158"/>
                  <a:pt x="6685755" y="3396750"/>
                  <a:pt x="6704722" y="3396750"/>
                </a:cubicBezTo>
                <a:cubicBezTo>
                  <a:pt x="6723689" y="3396750"/>
                  <a:pt x="6739063" y="3381158"/>
                  <a:pt x="6739063" y="3361930"/>
                </a:cubicBezTo>
                <a:cubicBezTo>
                  <a:pt x="6739063" y="3342701"/>
                  <a:pt x="6723689" y="3327109"/>
                  <a:pt x="6704722" y="3327109"/>
                </a:cubicBezTo>
                <a:close/>
                <a:moveTo>
                  <a:pt x="6788464" y="3327109"/>
                </a:moveTo>
                <a:cubicBezTo>
                  <a:pt x="6769497" y="3327109"/>
                  <a:pt x="6754110" y="3342701"/>
                  <a:pt x="6754110" y="3361930"/>
                </a:cubicBezTo>
                <a:cubicBezTo>
                  <a:pt x="6754110" y="3381158"/>
                  <a:pt x="6769497" y="3396750"/>
                  <a:pt x="6788464" y="3396750"/>
                </a:cubicBezTo>
                <a:cubicBezTo>
                  <a:pt x="6807431" y="3396750"/>
                  <a:pt x="6822804" y="3381158"/>
                  <a:pt x="6822804" y="3361930"/>
                </a:cubicBezTo>
                <a:cubicBezTo>
                  <a:pt x="6822804" y="3342701"/>
                  <a:pt x="6807431" y="3327109"/>
                  <a:pt x="6788464" y="3327109"/>
                </a:cubicBezTo>
                <a:close/>
                <a:moveTo>
                  <a:pt x="6872206" y="3327109"/>
                </a:moveTo>
                <a:cubicBezTo>
                  <a:pt x="6853239" y="3327109"/>
                  <a:pt x="6837853" y="3342701"/>
                  <a:pt x="6837853" y="3361930"/>
                </a:cubicBezTo>
                <a:cubicBezTo>
                  <a:pt x="6837853" y="3381158"/>
                  <a:pt x="6853239" y="3396750"/>
                  <a:pt x="6872206" y="3396750"/>
                </a:cubicBezTo>
                <a:cubicBezTo>
                  <a:pt x="6891173" y="3396750"/>
                  <a:pt x="6906546" y="3381158"/>
                  <a:pt x="6906546" y="3361930"/>
                </a:cubicBezTo>
                <a:cubicBezTo>
                  <a:pt x="6906546" y="3342701"/>
                  <a:pt x="6891173" y="3327109"/>
                  <a:pt x="6872206" y="3327109"/>
                </a:cubicBezTo>
                <a:close/>
                <a:moveTo>
                  <a:pt x="6955947" y="3327109"/>
                </a:moveTo>
                <a:cubicBezTo>
                  <a:pt x="6936980" y="3327109"/>
                  <a:pt x="6921594" y="3342701"/>
                  <a:pt x="6921594" y="3361930"/>
                </a:cubicBezTo>
                <a:cubicBezTo>
                  <a:pt x="6921594" y="3381158"/>
                  <a:pt x="6936980" y="3396750"/>
                  <a:pt x="6955947" y="3396750"/>
                </a:cubicBezTo>
                <a:cubicBezTo>
                  <a:pt x="6974914" y="3396750"/>
                  <a:pt x="6990287" y="3381158"/>
                  <a:pt x="6990287" y="3361930"/>
                </a:cubicBezTo>
                <a:cubicBezTo>
                  <a:pt x="6990287" y="3342701"/>
                  <a:pt x="6974914" y="3327109"/>
                  <a:pt x="6955947" y="3327109"/>
                </a:cubicBezTo>
                <a:close/>
                <a:moveTo>
                  <a:pt x="7039688" y="3327109"/>
                </a:moveTo>
                <a:cubicBezTo>
                  <a:pt x="7020721" y="3327109"/>
                  <a:pt x="7005335" y="3342701"/>
                  <a:pt x="7005335" y="3361930"/>
                </a:cubicBezTo>
                <a:cubicBezTo>
                  <a:pt x="7005335" y="3381158"/>
                  <a:pt x="7020721" y="3396750"/>
                  <a:pt x="7039688" y="3396750"/>
                </a:cubicBezTo>
                <a:cubicBezTo>
                  <a:pt x="7058655" y="3396750"/>
                  <a:pt x="7074029" y="3381158"/>
                  <a:pt x="7074029" y="3361930"/>
                </a:cubicBezTo>
                <a:cubicBezTo>
                  <a:pt x="7074029" y="3342701"/>
                  <a:pt x="7058655" y="3327109"/>
                  <a:pt x="7039688" y="3327109"/>
                </a:cubicBezTo>
                <a:close/>
                <a:moveTo>
                  <a:pt x="7123456" y="3327109"/>
                </a:moveTo>
                <a:cubicBezTo>
                  <a:pt x="7104489" y="3327109"/>
                  <a:pt x="7089103" y="3342701"/>
                  <a:pt x="7089103" y="3361930"/>
                </a:cubicBezTo>
                <a:cubicBezTo>
                  <a:pt x="7089103" y="3381158"/>
                  <a:pt x="7104489" y="3396750"/>
                  <a:pt x="7123456" y="3396750"/>
                </a:cubicBezTo>
                <a:cubicBezTo>
                  <a:pt x="7142423" y="3396750"/>
                  <a:pt x="7157796" y="3381158"/>
                  <a:pt x="7157796" y="3361930"/>
                </a:cubicBezTo>
                <a:cubicBezTo>
                  <a:pt x="7157796" y="3342701"/>
                  <a:pt x="7142423" y="3327109"/>
                  <a:pt x="7123456" y="3327109"/>
                </a:cubicBezTo>
                <a:close/>
                <a:moveTo>
                  <a:pt x="7207198" y="3327109"/>
                </a:moveTo>
                <a:cubicBezTo>
                  <a:pt x="7188231" y="3327109"/>
                  <a:pt x="7172845" y="3342701"/>
                  <a:pt x="7172845" y="3361930"/>
                </a:cubicBezTo>
                <a:cubicBezTo>
                  <a:pt x="7172845" y="3381158"/>
                  <a:pt x="7188231" y="3396750"/>
                  <a:pt x="7207198" y="3396750"/>
                </a:cubicBezTo>
                <a:cubicBezTo>
                  <a:pt x="7226165" y="3396750"/>
                  <a:pt x="7241538" y="3381158"/>
                  <a:pt x="7241538" y="3361930"/>
                </a:cubicBezTo>
                <a:cubicBezTo>
                  <a:pt x="7241538" y="3342701"/>
                  <a:pt x="7226165" y="3327109"/>
                  <a:pt x="7207198" y="3327109"/>
                </a:cubicBezTo>
                <a:close/>
                <a:moveTo>
                  <a:pt x="7290939" y="3327109"/>
                </a:moveTo>
                <a:cubicBezTo>
                  <a:pt x="7271972" y="3327109"/>
                  <a:pt x="7256586" y="3342701"/>
                  <a:pt x="7256586" y="3361930"/>
                </a:cubicBezTo>
                <a:cubicBezTo>
                  <a:pt x="7256586" y="3381158"/>
                  <a:pt x="7271972" y="3396750"/>
                  <a:pt x="7290939" y="3396750"/>
                </a:cubicBezTo>
                <a:cubicBezTo>
                  <a:pt x="7309906" y="3396750"/>
                  <a:pt x="7325279" y="3381158"/>
                  <a:pt x="7325279" y="3361930"/>
                </a:cubicBezTo>
                <a:cubicBezTo>
                  <a:pt x="7325279" y="3342701"/>
                  <a:pt x="7309906" y="3327109"/>
                  <a:pt x="7290939" y="3327109"/>
                </a:cubicBezTo>
                <a:close/>
                <a:moveTo>
                  <a:pt x="7458423" y="3327109"/>
                </a:moveTo>
                <a:cubicBezTo>
                  <a:pt x="7439456" y="3327109"/>
                  <a:pt x="7424070" y="3342701"/>
                  <a:pt x="7424070" y="3361930"/>
                </a:cubicBezTo>
                <a:cubicBezTo>
                  <a:pt x="7424070" y="3381158"/>
                  <a:pt x="7439456" y="3396750"/>
                  <a:pt x="7458423" y="3396750"/>
                </a:cubicBezTo>
                <a:cubicBezTo>
                  <a:pt x="7477390" y="3396750"/>
                  <a:pt x="7492763" y="3381158"/>
                  <a:pt x="7492763" y="3361930"/>
                </a:cubicBezTo>
                <a:cubicBezTo>
                  <a:pt x="7492763" y="3342701"/>
                  <a:pt x="7477390" y="3327109"/>
                  <a:pt x="7458423" y="3327109"/>
                </a:cubicBezTo>
                <a:close/>
                <a:moveTo>
                  <a:pt x="7542164" y="3327109"/>
                </a:moveTo>
                <a:cubicBezTo>
                  <a:pt x="7523197" y="3327109"/>
                  <a:pt x="7507811" y="3342701"/>
                  <a:pt x="7507811" y="3361930"/>
                </a:cubicBezTo>
                <a:cubicBezTo>
                  <a:pt x="7507811" y="3381158"/>
                  <a:pt x="7523197" y="3396750"/>
                  <a:pt x="7542164" y="3396750"/>
                </a:cubicBezTo>
                <a:cubicBezTo>
                  <a:pt x="7561131" y="3396750"/>
                  <a:pt x="7576504" y="3381158"/>
                  <a:pt x="7576504" y="3361930"/>
                </a:cubicBezTo>
                <a:cubicBezTo>
                  <a:pt x="7576504" y="3342701"/>
                  <a:pt x="7561131" y="3327109"/>
                  <a:pt x="7542164" y="3327109"/>
                </a:cubicBezTo>
                <a:close/>
                <a:moveTo>
                  <a:pt x="7625906" y="3327109"/>
                </a:moveTo>
                <a:cubicBezTo>
                  <a:pt x="7606939" y="3327109"/>
                  <a:pt x="7591553" y="3342701"/>
                  <a:pt x="7591553" y="3361930"/>
                </a:cubicBezTo>
                <a:cubicBezTo>
                  <a:pt x="7591553" y="3381158"/>
                  <a:pt x="7606939" y="3396750"/>
                  <a:pt x="7625906" y="3396750"/>
                </a:cubicBezTo>
                <a:cubicBezTo>
                  <a:pt x="7644873" y="3396750"/>
                  <a:pt x="7660246" y="3381158"/>
                  <a:pt x="7660246" y="3361930"/>
                </a:cubicBezTo>
                <a:cubicBezTo>
                  <a:pt x="7660246" y="3342701"/>
                  <a:pt x="7644873" y="3327109"/>
                  <a:pt x="7625906" y="3327109"/>
                </a:cubicBezTo>
                <a:close/>
                <a:moveTo>
                  <a:pt x="7709647" y="3327109"/>
                </a:moveTo>
                <a:cubicBezTo>
                  <a:pt x="7690680" y="3327109"/>
                  <a:pt x="7675294" y="3342701"/>
                  <a:pt x="7675294" y="3361930"/>
                </a:cubicBezTo>
                <a:cubicBezTo>
                  <a:pt x="7675294" y="3381158"/>
                  <a:pt x="7690680" y="3396750"/>
                  <a:pt x="7709647" y="3396750"/>
                </a:cubicBezTo>
                <a:cubicBezTo>
                  <a:pt x="7728614" y="3396750"/>
                  <a:pt x="7743988" y="3381158"/>
                  <a:pt x="7743988" y="3361930"/>
                </a:cubicBezTo>
                <a:cubicBezTo>
                  <a:pt x="7743988" y="3342701"/>
                  <a:pt x="7728614" y="3327109"/>
                  <a:pt x="7709647" y="3327109"/>
                </a:cubicBezTo>
                <a:close/>
                <a:moveTo>
                  <a:pt x="7793389" y="3327109"/>
                </a:moveTo>
                <a:cubicBezTo>
                  <a:pt x="7774422" y="3327109"/>
                  <a:pt x="7759036" y="3342701"/>
                  <a:pt x="7759036" y="3361930"/>
                </a:cubicBezTo>
                <a:cubicBezTo>
                  <a:pt x="7759036" y="3381158"/>
                  <a:pt x="7774422" y="3396750"/>
                  <a:pt x="7793389" y="3396750"/>
                </a:cubicBezTo>
                <a:cubicBezTo>
                  <a:pt x="7812356" y="3396750"/>
                  <a:pt x="7827729" y="3381158"/>
                  <a:pt x="7827729" y="3361930"/>
                </a:cubicBezTo>
                <a:cubicBezTo>
                  <a:pt x="7827729" y="3342701"/>
                  <a:pt x="7812356" y="3327109"/>
                  <a:pt x="7793389" y="3327109"/>
                </a:cubicBezTo>
                <a:close/>
                <a:moveTo>
                  <a:pt x="7877131" y="3327109"/>
                </a:moveTo>
                <a:cubicBezTo>
                  <a:pt x="7858164" y="3327109"/>
                  <a:pt x="7842778" y="3342701"/>
                  <a:pt x="7842778" y="3361930"/>
                </a:cubicBezTo>
                <a:cubicBezTo>
                  <a:pt x="7842778" y="3381158"/>
                  <a:pt x="7858164" y="3396750"/>
                  <a:pt x="7877131" y="3396750"/>
                </a:cubicBezTo>
                <a:cubicBezTo>
                  <a:pt x="7896098" y="3396750"/>
                  <a:pt x="7911471" y="3381158"/>
                  <a:pt x="7911471" y="3361930"/>
                </a:cubicBezTo>
                <a:cubicBezTo>
                  <a:pt x="7911471" y="3342701"/>
                  <a:pt x="7896098" y="3327109"/>
                  <a:pt x="7877131" y="3327109"/>
                </a:cubicBezTo>
                <a:close/>
                <a:moveTo>
                  <a:pt x="7960872" y="3327109"/>
                </a:moveTo>
                <a:cubicBezTo>
                  <a:pt x="7941905" y="3327109"/>
                  <a:pt x="7926519" y="3342701"/>
                  <a:pt x="7926519" y="3361930"/>
                </a:cubicBezTo>
                <a:cubicBezTo>
                  <a:pt x="7926519" y="3381158"/>
                  <a:pt x="7941905" y="3396750"/>
                  <a:pt x="7960872" y="3396750"/>
                </a:cubicBezTo>
                <a:cubicBezTo>
                  <a:pt x="7979839" y="3396750"/>
                  <a:pt x="7995212" y="3381158"/>
                  <a:pt x="7995212" y="3361930"/>
                </a:cubicBezTo>
                <a:cubicBezTo>
                  <a:pt x="7995212" y="3342701"/>
                  <a:pt x="7979839" y="3327109"/>
                  <a:pt x="7960872" y="3327109"/>
                </a:cubicBezTo>
                <a:close/>
                <a:moveTo>
                  <a:pt x="8044614" y="3327109"/>
                </a:moveTo>
                <a:cubicBezTo>
                  <a:pt x="8025647" y="3327109"/>
                  <a:pt x="8010261" y="3342701"/>
                  <a:pt x="8010261" y="3361930"/>
                </a:cubicBezTo>
                <a:cubicBezTo>
                  <a:pt x="8010261" y="3381158"/>
                  <a:pt x="8025647" y="3396750"/>
                  <a:pt x="8044614" y="3396750"/>
                </a:cubicBezTo>
                <a:cubicBezTo>
                  <a:pt x="8063581" y="3396750"/>
                  <a:pt x="8078955" y="3381158"/>
                  <a:pt x="8078955" y="3361930"/>
                </a:cubicBezTo>
                <a:cubicBezTo>
                  <a:pt x="8078955" y="3342701"/>
                  <a:pt x="8063581" y="3327109"/>
                  <a:pt x="8044614" y="3327109"/>
                </a:cubicBezTo>
                <a:close/>
                <a:moveTo>
                  <a:pt x="8128356" y="3327109"/>
                </a:moveTo>
                <a:cubicBezTo>
                  <a:pt x="8109389" y="3327109"/>
                  <a:pt x="8094003" y="3342701"/>
                  <a:pt x="8094003" y="3361930"/>
                </a:cubicBezTo>
                <a:cubicBezTo>
                  <a:pt x="8094003" y="3381158"/>
                  <a:pt x="8109389" y="3396750"/>
                  <a:pt x="8128356" y="3396750"/>
                </a:cubicBezTo>
                <a:cubicBezTo>
                  <a:pt x="8147323" y="3396750"/>
                  <a:pt x="8162696" y="3381158"/>
                  <a:pt x="8162696" y="3361930"/>
                </a:cubicBezTo>
                <a:cubicBezTo>
                  <a:pt x="8162696" y="3342701"/>
                  <a:pt x="8147323" y="3327109"/>
                  <a:pt x="8128356" y="3327109"/>
                </a:cubicBezTo>
                <a:close/>
                <a:moveTo>
                  <a:pt x="8212097" y="3327109"/>
                </a:moveTo>
                <a:cubicBezTo>
                  <a:pt x="8193130" y="3327109"/>
                  <a:pt x="8177744" y="3342701"/>
                  <a:pt x="8177744" y="3361930"/>
                </a:cubicBezTo>
                <a:cubicBezTo>
                  <a:pt x="8177744" y="3381158"/>
                  <a:pt x="8193130" y="3396750"/>
                  <a:pt x="8212097" y="3396750"/>
                </a:cubicBezTo>
                <a:cubicBezTo>
                  <a:pt x="8231064" y="3396750"/>
                  <a:pt x="8246437" y="3381158"/>
                  <a:pt x="8246437" y="3361930"/>
                </a:cubicBezTo>
                <a:cubicBezTo>
                  <a:pt x="8246437" y="3342701"/>
                  <a:pt x="8231064" y="3327109"/>
                  <a:pt x="8212097" y="3327109"/>
                </a:cubicBezTo>
                <a:close/>
                <a:moveTo>
                  <a:pt x="8295839" y="3327109"/>
                </a:moveTo>
                <a:cubicBezTo>
                  <a:pt x="8276872" y="3327109"/>
                  <a:pt x="8261486" y="3342701"/>
                  <a:pt x="8261486" y="3361930"/>
                </a:cubicBezTo>
                <a:cubicBezTo>
                  <a:pt x="8261486" y="3381158"/>
                  <a:pt x="8276872" y="3396750"/>
                  <a:pt x="8295839" y="3396750"/>
                </a:cubicBezTo>
                <a:cubicBezTo>
                  <a:pt x="8314806" y="3396750"/>
                  <a:pt x="8330179" y="3381158"/>
                  <a:pt x="8330179" y="3361930"/>
                </a:cubicBezTo>
                <a:cubicBezTo>
                  <a:pt x="8330179" y="3342701"/>
                  <a:pt x="8314806" y="3327109"/>
                  <a:pt x="8295839" y="3327109"/>
                </a:cubicBezTo>
                <a:close/>
                <a:moveTo>
                  <a:pt x="8379580" y="3327109"/>
                </a:moveTo>
                <a:cubicBezTo>
                  <a:pt x="8360613" y="3327109"/>
                  <a:pt x="8345227" y="3342701"/>
                  <a:pt x="8345227" y="3361930"/>
                </a:cubicBezTo>
                <a:cubicBezTo>
                  <a:pt x="8345227" y="3381158"/>
                  <a:pt x="8360613" y="3396750"/>
                  <a:pt x="8379580" y="3396750"/>
                </a:cubicBezTo>
                <a:cubicBezTo>
                  <a:pt x="8398547" y="3396750"/>
                  <a:pt x="8413921" y="3381158"/>
                  <a:pt x="8413921" y="3361930"/>
                </a:cubicBezTo>
                <a:cubicBezTo>
                  <a:pt x="8413921" y="3342701"/>
                  <a:pt x="8398547" y="3327109"/>
                  <a:pt x="8379580" y="3327109"/>
                </a:cubicBezTo>
                <a:close/>
                <a:moveTo>
                  <a:pt x="8463323" y="3327109"/>
                </a:moveTo>
                <a:cubicBezTo>
                  <a:pt x="8444356" y="3327109"/>
                  <a:pt x="8428970" y="3342701"/>
                  <a:pt x="8428970" y="3361930"/>
                </a:cubicBezTo>
                <a:cubicBezTo>
                  <a:pt x="8428970" y="3381158"/>
                  <a:pt x="8444356" y="3396750"/>
                  <a:pt x="8463323" y="3396750"/>
                </a:cubicBezTo>
                <a:cubicBezTo>
                  <a:pt x="8482290" y="3396750"/>
                  <a:pt x="8497663" y="3381158"/>
                  <a:pt x="8497663" y="3361930"/>
                </a:cubicBezTo>
                <a:cubicBezTo>
                  <a:pt x="8497663" y="3342701"/>
                  <a:pt x="8482290" y="3327109"/>
                  <a:pt x="8463323" y="3327109"/>
                </a:cubicBezTo>
                <a:close/>
                <a:moveTo>
                  <a:pt x="8547064" y="3327109"/>
                </a:moveTo>
                <a:cubicBezTo>
                  <a:pt x="8528097" y="3327109"/>
                  <a:pt x="8512711" y="3342701"/>
                  <a:pt x="8512711" y="3361930"/>
                </a:cubicBezTo>
                <a:cubicBezTo>
                  <a:pt x="8512711" y="3381158"/>
                  <a:pt x="8528097" y="3396750"/>
                  <a:pt x="8547064" y="3396750"/>
                </a:cubicBezTo>
                <a:cubicBezTo>
                  <a:pt x="8566031" y="3396750"/>
                  <a:pt x="8581404" y="3381158"/>
                  <a:pt x="8581404" y="3361930"/>
                </a:cubicBezTo>
                <a:cubicBezTo>
                  <a:pt x="8581404" y="3342701"/>
                  <a:pt x="8566031" y="3327109"/>
                  <a:pt x="8547064" y="3327109"/>
                </a:cubicBezTo>
                <a:close/>
                <a:moveTo>
                  <a:pt x="8630805" y="3327109"/>
                </a:moveTo>
                <a:cubicBezTo>
                  <a:pt x="8611838" y="3327109"/>
                  <a:pt x="8596452" y="3342701"/>
                  <a:pt x="8596452" y="3361930"/>
                </a:cubicBezTo>
                <a:cubicBezTo>
                  <a:pt x="8596452" y="3381158"/>
                  <a:pt x="8611838" y="3396750"/>
                  <a:pt x="8630805" y="3396750"/>
                </a:cubicBezTo>
                <a:cubicBezTo>
                  <a:pt x="8649772" y="3396750"/>
                  <a:pt x="8665145" y="3381158"/>
                  <a:pt x="8665145" y="3361930"/>
                </a:cubicBezTo>
                <a:cubicBezTo>
                  <a:pt x="8665145" y="3342701"/>
                  <a:pt x="8649772" y="3327109"/>
                  <a:pt x="8630805" y="3327109"/>
                </a:cubicBezTo>
                <a:close/>
                <a:moveTo>
                  <a:pt x="8714547" y="3327109"/>
                </a:moveTo>
                <a:cubicBezTo>
                  <a:pt x="8695580" y="3327109"/>
                  <a:pt x="8680194" y="3342701"/>
                  <a:pt x="8680194" y="3361930"/>
                </a:cubicBezTo>
                <a:cubicBezTo>
                  <a:pt x="8680194" y="3381158"/>
                  <a:pt x="8695580" y="3396750"/>
                  <a:pt x="8714547" y="3396750"/>
                </a:cubicBezTo>
                <a:cubicBezTo>
                  <a:pt x="8733514" y="3396750"/>
                  <a:pt x="8748888" y="3381158"/>
                  <a:pt x="8748888" y="3361930"/>
                </a:cubicBezTo>
                <a:cubicBezTo>
                  <a:pt x="8748888" y="3342701"/>
                  <a:pt x="8733514" y="3327109"/>
                  <a:pt x="8714547" y="3327109"/>
                </a:cubicBezTo>
                <a:close/>
                <a:moveTo>
                  <a:pt x="8798289" y="3327109"/>
                </a:moveTo>
                <a:cubicBezTo>
                  <a:pt x="8779322" y="3327109"/>
                  <a:pt x="8763936" y="3342701"/>
                  <a:pt x="8763936" y="3361930"/>
                </a:cubicBezTo>
                <a:cubicBezTo>
                  <a:pt x="8763936" y="3381158"/>
                  <a:pt x="8779322" y="3396750"/>
                  <a:pt x="8798289" y="3396750"/>
                </a:cubicBezTo>
                <a:cubicBezTo>
                  <a:pt x="8817256" y="3396750"/>
                  <a:pt x="8832629" y="3381158"/>
                  <a:pt x="8832629" y="3361930"/>
                </a:cubicBezTo>
                <a:cubicBezTo>
                  <a:pt x="8832629" y="3342701"/>
                  <a:pt x="8817256" y="3327109"/>
                  <a:pt x="8798289" y="3327109"/>
                </a:cubicBezTo>
                <a:close/>
                <a:moveTo>
                  <a:pt x="8882030" y="3327109"/>
                </a:moveTo>
                <a:cubicBezTo>
                  <a:pt x="8863063" y="3327109"/>
                  <a:pt x="8847677" y="3342701"/>
                  <a:pt x="8847677" y="3361930"/>
                </a:cubicBezTo>
                <a:cubicBezTo>
                  <a:pt x="8847677" y="3381158"/>
                  <a:pt x="8863063" y="3396750"/>
                  <a:pt x="8882030" y="3396750"/>
                </a:cubicBezTo>
                <a:cubicBezTo>
                  <a:pt x="8900997" y="3396750"/>
                  <a:pt x="8916370" y="3381158"/>
                  <a:pt x="8916370" y="3361930"/>
                </a:cubicBezTo>
                <a:cubicBezTo>
                  <a:pt x="8916370" y="3342701"/>
                  <a:pt x="8900997" y="3327109"/>
                  <a:pt x="8882030" y="3327109"/>
                </a:cubicBezTo>
                <a:close/>
                <a:moveTo>
                  <a:pt x="8965772" y="3327109"/>
                </a:moveTo>
                <a:cubicBezTo>
                  <a:pt x="8946805" y="3327109"/>
                  <a:pt x="8931419" y="3342701"/>
                  <a:pt x="8931419" y="3361930"/>
                </a:cubicBezTo>
                <a:cubicBezTo>
                  <a:pt x="8931419" y="3381158"/>
                  <a:pt x="8946805" y="3396750"/>
                  <a:pt x="8965772" y="3396750"/>
                </a:cubicBezTo>
                <a:cubicBezTo>
                  <a:pt x="8984739" y="3396750"/>
                  <a:pt x="9000112" y="3381158"/>
                  <a:pt x="9000112" y="3361930"/>
                </a:cubicBezTo>
                <a:cubicBezTo>
                  <a:pt x="9000112" y="3342701"/>
                  <a:pt x="8984739" y="3327109"/>
                  <a:pt x="8965772" y="3327109"/>
                </a:cubicBezTo>
                <a:close/>
                <a:moveTo>
                  <a:pt x="9049513" y="3327109"/>
                </a:moveTo>
                <a:cubicBezTo>
                  <a:pt x="9030546" y="3327109"/>
                  <a:pt x="9015160" y="3342701"/>
                  <a:pt x="9015160" y="3361930"/>
                </a:cubicBezTo>
                <a:cubicBezTo>
                  <a:pt x="9015160" y="3381158"/>
                  <a:pt x="9030546" y="3396750"/>
                  <a:pt x="9049513" y="3396750"/>
                </a:cubicBezTo>
                <a:cubicBezTo>
                  <a:pt x="9068480" y="3396750"/>
                  <a:pt x="9083854" y="3381158"/>
                  <a:pt x="9083854" y="3361930"/>
                </a:cubicBezTo>
                <a:cubicBezTo>
                  <a:pt x="9083854" y="3342701"/>
                  <a:pt x="9068480" y="3327109"/>
                  <a:pt x="9049513" y="3327109"/>
                </a:cubicBezTo>
                <a:close/>
                <a:moveTo>
                  <a:pt x="9133256" y="3327109"/>
                </a:moveTo>
                <a:cubicBezTo>
                  <a:pt x="9114289" y="3327109"/>
                  <a:pt x="9098903" y="3342701"/>
                  <a:pt x="9098903" y="3361930"/>
                </a:cubicBezTo>
                <a:cubicBezTo>
                  <a:pt x="9098903" y="3381158"/>
                  <a:pt x="9114289" y="3396750"/>
                  <a:pt x="9133256" y="3396750"/>
                </a:cubicBezTo>
                <a:cubicBezTo>
                  <a:pt x="9152223" y="3396750"/>
                  <a:pt x="9167596" y="3381158"/>
                  <a:pt x="9167596" y="3361930"/>
                </a:cubicBezTo>
                <a:cubicBezTo>
                  <a:pt x="9167596" y="3342701"/>
                  <a:pt x="9152223" y="3327109"/>
                  <a:pt x="9133256" y="3327109"/>
                </a:cubicBezTo>
                <a:close/>
                <a:moveTo>
                  <a:pt x="9216997" y="3327109"/>
                </a:moveTo>
                <a:cubicBezTo>
                  <a:pt x="9198030" y="3327109"/>
                  <a:pt x="9182644" y="3342701"/>
                  <a:pt x="9182644" y="3361930"/>
                </a:cubicBezTo>
                <a:cubicBezTo>
                  <a:pt x="9182644" y="3381158"/>
                  <a:pt x="9198030" y="3396750"/>
                  <a:pt x="9216997" y="3396750"/>
                </a:cubicBezTo>
                <a:cubicBezTo>
                  <a:pt x="9235964" y="3396750"/>
                  <a:pt x="9251337" y="3381158"/>
                  <a:pt x="9251337" y="3361930"/>
                </a:cubicBezTo>
                <a:cubicBezTo>
                  <a:pt x="9251337" y="3342701"/>
                  <a:pt x="9235964" y="3327109"/>
                  <a:pt x="9216997" y="3327109"/>
                </a:cubicBezTo>
                <a:close/>
                <a:moveTo>
                  <a:pt x="9300738" y="3327109"/>
                </a:moveTo>
                <a:cubicBezTo>
                  <a:pt x="9281771" y="3327109"/>
                  <a:pt x="9266385" y="3342701"/>
                  <a:pt x="9266385" y="3361930"/>
                </a:cubicBezTo>
                <a:cubicBezTo>
                  <a:pt x="9266385" y="3381158"/>
                  <a:pt x="9281771" y="3396750"/>
                  <a:pt x="9300738" y="3396750"/>
                </a:cubicBezTo>
                <a:cubicBezTo>
                  <a:pt x="9319705" y="3396750"/>
                  <a:pt x="9335078" y="3381158"/>
                  <a:pt x="9335078" y="3361930"/>
                </a:cubicBezTo>
                <a:cubicBezTo>
                  <a:pt x="9335078" y="3342701"/>
                  <a:pt x="9319705" y="3327109"/>
                  <a:pt x="9300738" y="3327109"/>
                </a:cubicBezTo>
                <a:close/>
                <a:moveTo>
                  <a:pt x="9384480" y="3327109"/>
                </a:moveTo>
                <a:cubicBezTo>
                  <a:pt x="9365513" y="3327109"/>
                  <a:pt x="9350127" y="3342701"/>
                  <a:pt x="9350127" y="3361930"/>
                </a:cubicBezTo>
                <a:cubicBezTo>
                  <a:pt x="9350127" y="3381158"/>
                  <a:pt x="9365513" y="3396750"/>
                  <a:pt x="9384480" y="3396750"/>
                </a:cubicBezTo>
                <a:cubicBezTo>
                  <a:pt x="9403447" y="3396750"/>
                  <a:pt x="9418821" y="3381158"/>
                  <a:pt x="9418821" y="3361930"/>
                </a:cubicBezTo>
                <a:cubicBezTo>
                  <a:pt x="9418821" y="3342701"/>
                  <a:pt x="9403447" y="3327109"/>
                  <a:pt x="9384480" y="3327109"/>
                </a:cubicBezTo>
                <a:close/>
                <a:moveTo>
                  <a:pt x="9468222" y="3327109"/>
                </a:moveTo>
                <a:cubicBezTo>
                  <a:pt x="9449255" y="3327109"/>
                  <a:pt x="9433869" y="3342701"/>
                  <a:pt x="9433869" y="3361930"/>
                </a:cubicBezTo>
                <a:cubicBezTo>
                  <a:pt x="9433869" y="3381158"/>
                  <a:pt x="9449255" y="3396750"/>
                  <a:pt x="9468222" y="3396750"/>
                </a:cubicBezTo>
                <a:cubicBezTo>
                  <a:pt x="9487189" y="3396750"/>
                  <a:pt x="9502562" y="3381158"/>
                  <a:pt x="9502562" y="3361930"/>
                </a:cubicBezTo>
                <a:cubicBezTo>
                  <a:pt x="9502562" y="3342701"/>
                  <a:pt x="9487189" y="3327109"/>
                  <a:pt x="9468222" y="3327109"/>
                </a:cubicBezTo>
                <a:close/>
                <a:moveTo>
                  <a:pt x="2433893" y="3411973"/>
                </a:moveTo>
                <a:cubicBezTo>
                  <a:pt x="2414926" y="3411973"/>
                  <a:pt x="2399546" y="3427565"/>
                  <a:pt x="2399546" y="3446794"/>
                </a:cubicBezTo>
                <a:cubicBezTo>
                  <a:pt x="2399546" y="3466022"/>
                  <a:pt x="2414926" y="3481614"/>
                  <a:pt x="2433893" y="3481614"/>
                </a:cubicBezTo>
                <a:cubicBezTo>
                  <a:pt x="2452860" y="3481614"/>
                  <a:pt x="2468240" y="3466022"/>
                  <a:pt x="2468240" y="3446794"/>
                </a:cubicBezTo>
                <a:cubicBezTo>
                  <a:pt x="2468240" y="3427565"/>
                  <a:pt x="2452860" y="3411973"/>
                  <a:pt x="2433893" y="3411973"/>
                </a:cubicBezTo>
                <a:close/>
                <a:moveTo>
                  <a:pt x="2601376" y="3411973"/>
                </a:moveTo>
                <a:cubicBezTo>
                  <a:pt x="2582409" y="3411973"/>
                  <a:pt x="2567029" y="3427565"/>
                  <a:pt x="2567029" y="3446794"/>
                </a:cubicBezTo>
                <a:cubicBezTo>
                  <a:pt x="2567029" y="3466022"/>
                  <a:pt x="2582409" y="3481614"/>
                  <a:pt x="2601376" y="3481614"/>
                </a:cubicBezTo>
                <a:cubicBezTo>
                  <a:pt x="2620343" y="3481614"/>
                  <a:pt x="2635722" y="3466022"/>
                  <a:pt x="2635722" y="3446794"/>
                </a:cubicBezTo>
                <a:cubicBezTo>
                  <a:pt x="2635722" y="3427565"/>
                  <a:pt x="2620343" y="3411973"/>
                  <a:pt x="2601376" y="3411973"/>
                </a:cubicBezTo>
                <a:close/>
                <a:moveTo>
                  <a:pt x="2685118" y="3411973"/>
                </a:moveTo>
                <a:cubicBezTo>
                  <a:pt x="2666151" y="3411973"/>
                  <a:pt x="2650771" y="3427565"/>
                  <a:pt x="2650771" y="3446794"/>
                </a:cubicBezTo>
                <a:cubicBezTo>
                  <a:pt x="2650771" y="3466022"/>
                  <a:pt x="2666151" y="3481614"/>
                  <a:pt x="2685118" y="3481614"/>
                </a:cubicBezTo>
                <a:cubicBezTo>
                  <a:pt x="2704085" y="3481614"/>
                  <a:pt x="2719465" y="3466022"/>
                  <a:pt x="2719465" y="3446794"/>
                </a:cubicBezTo>
                <a:cubicBezTo>
                  <a:pt x="2719465" y="3427565"/>
                  <a:pt x="2704085" y="3411973"/>
                  <a:pt x="2685118" y="3411973"/>
                </a:cubicBezTo>
                <a:close/>
                <a:moveTo>
                  <a:pt x="2768859" y="3411973"/>
                </a:moveTo>
                <a:cubicBezTo>
                  <a:pt x="2749892" y="3411973"/>
                  <a:pt x="2734512" y="3427565"/>
                  <a:pt x="2734512" y="3446794"/>
                </a:cubicBezTo>
                <a:cubicBezTo>
                  <a:pt x="2734512" y="3466022"/>
                  <a:pt x="2749892" y="3481614"/>
                  <a:pt x="2768859" y="3481614"/>
                </a:cubicBezTo>
                <a:cubicBezTo>
                  <a:pt x="2787826" y="3481614"/>
                  <a:pt x="2803206" y="3466022"/>
                  <a:pt x="2803206" y="3446794"/>
                </a:cubicBezTo>
                <a:cubicBezTo>
                  <a:pt x="2803206" y="3427565"/>
                  <a:pt x="2787826" y="3411973"/>
                  <a:pt x="2768859" y="3411973"/>
                </a:cubicBezTo>
                <a:close/>
                <a:moveTo>
                  <a:pt x="2852600" y="3411973"/>
                </a:moveTo>
                <a:cubicBezTo>
                  <a:pt x="2833633" y="3411973"/>
                  <a:pt x="2818254" y="3427565"/>
                  <a:pt x="2818254" y="3446794"/>
                </a:cubicBezTo>
                <a:cubicBezTo>
                  <a:pt x="2818254" y="3466022"/>
                  <a:pt x="2833633" y="3481614"/>
                  <a:pt x="2852600" y="3481614"/>
                </a:cubicBezTo>
                <a:cubicBezTo>
                  <a:pt x="2871567" y="3481614"/>
                  <a:pt x="2886947" y="3466022"/>
                  <a:pt x="2886947" y="3446794"/>
                </a:cubicBezTo>
                <a:cubicBezTo>
                  <a:pt x="2886947" y="3427565"/>
                  <a:pt x="2871567" y="3411973"/>
                  <a:pt x="2852600" y="3411973"/>
                </a:cubicBezTo>
                <a:close/>
                <a:moveTo>
                  <a:pt x="3438792" y="3411973"/>
                </a:moveTo>
                <a:cubicBezTo>
                  <a:pt x="3419825" y="3411973"/>
                  <a:pt x="3404445" y="3427565"/>
                  <a:pt x="3404445" y="3446794"/>
                </a:cubicBezTo>
                <a:cubicBezTo>
                  <a:pt x="3404445" y="3466022"/>
                  <a:pt x="3419825" y="3481614"/>
                  <a:pt x="3438792" y="3481614"/>
                </a:cubicBezTo>
                <a:cubicBezTo>
                  <a:pt x="3457759" y="3481614"/>
                  <a:pt x="3473139" y="3466022"/>
                  <a:pt x="3473139" y="3446794"/>
                </a:cubicBezTo>
                <a:cubicBezTo>
                  <a:pt x="3473139" y="3427565"/>
                  <a:pt x="3457759" y="3411973"/>
                  <a:pt x="3438792" y="3411973"/>
                </a:cubicBezTo>
                <a:close/>
                <a:moveTo>
                  <a:pt x="5532340" y="3411973"/>
                </a:moveTo>
                <a:cubicBezTo>
                  <a:pt x="5513373" y="3411973"/>
                  <a:pt x="5497987" y="3427565"/>
                  <a:pt x="5497987" y="3446794"/>
                </a:cubicBezTo>
                <a:cubicBezTo>
                  <a:pt x="5497987" y="3466022"/>
                  <a:pt x="5513373" y="3481614"/>
                  <a:pt x="5532340" y="3481614"/>
                </a:cubicBezTo>
                <a:cubicBezTo>
                  <a:pt x="5551307" y="3481614"/>
                  <a:pt x="5566680" y="3466022"/>
                  <a:pt x="5566680" y="3446794"/>
                </a:cubicBezTo>
                <a:cubicBezTo>
                  <a:pt x="5566680" y="3427565"/>
                  <a:pt x="5551307" y="3411973"/>
                  <a:pt x="5532340" y="3411973"/>
                </a:cubicBezTo>
                <a:close/>
                <a:moveTo>
                  <a:pt x="5616081" y="3411973"/>
                </a:moveTo>
                <a:cubicBezTo>
                  <a:pt x="5597114" y="3411973"/>
                  <a:pt x="5581728" y="3427565"/>
                  <a:pt x="5581728" y="3446794"/>
                </a:cubicBezTo>
                <a:cubicBezTo>
                  <a:pt x="5581728" y="3466022"/>
                  <a:pt x="5597114" y="3481614"/>
                  <a:pt x="5616081" y="3481614"/>
                </a:cubicBezTo>
                <a:cubicBezTo>
                  <a:pt x="5635048" y="3481614"/>
                  <a:pt x="5650421" y="3466022"/>
                  <a:pt x="5650421" y="3446794"/>
                </a:cubicBezTo>
                <a:cubicBezTo>
                  <a:pt x="5650421" y="3427565"/>
                  <a:pt x="5635048" y="3411973"/>
                  <a:pt x="5616081" y="3411973"/>
                </a:cubicBezTo>
                <a:close/>
                <a:moveTo>
                  <a:pt x="5699822" y="3411973"/>
                </a:moveTo>
                <a:cubicBezTo>
                  <a:pt x="5680855" y="3411973"/>
                  <a:pt x="5665469" y="3427565"/>
                  <a:pt x="5665469" y="3446794"/>
                </a:cubicBezTo>
                <a:cubicBezTo>
                  <a:pt x="5665469" y="3466022"/>
                  <a:pt x="5680855" y="3481614"/>
                  <a:pt x="5699822" y="3481614"/>
                </a:cubicBezTo>
                <a:cubicBezTo>
                  <a:pt x="5718789" y="3481614"/>
                  <a:pt x="5734163" y="3466022"/>
                  <a:pt x="5734163" y="3446794"/>
                </a:cubicBezTo>
                <a:cubicBezTo>
                  <a:pt x="5734163" y="3427565"/>
                  <a:pt x="5718789" y="3411973"/>
                  <a:pt x="5699822" y="3411973"/>
                </a:cubicBezTo>
                <a:close/>
                <a:moveTo>
                  <a:pt x="5783565" y="3411973"/>
                </a:moveTo>
                <a:cubicBezTo>
                  <a:pt x="5764598" y="3411973"/>
                  <a:pt x="5749211" y="3427565"/>
                  <a:pt x="5749211" y="3446794"/>
                </a:cubicBezTo>
                <a:cubicBezTo>
                  <a:pt x="5749211" y="3466022"/>
                  <a:pt x="5764598" y="3481614"/>
                  <a:pt x="5783565" y="3481614"/>
                </a:cubicBezTo>
                <a:cubicBezTo>
                  <a:pt x="5802532" y="3481614"/>
                  <a:pt x="5817905" y="3466022"/>
                  <a:pt x="5817905" y="3446794"/>
                </a:cubicBezTo>
                <a:cubicBezTo>
                  <a:pt x="5817905" y="3427565"/>
                  <a:pt x="5802532" y="3411973"/>
                  <a:pt x="5783565" y="3411973"/>
                </a:cubicBezTo>
                <a:close/>
                <a:moveTo>
                  <a:pt x="5867306" y="3411973"/>
                </a:moveTo>
                <a:cubicBezTo>
                  <a:pt x="5848339" y="3411973"/>
                  <a:pt x="5832953" y="3427565"/>
                  <a:pt x="5832953" y="3446794"/>
                </a:cubicBezTo>
                <a:cubicBezTo>
                  <a:pt x="5832953" y="3466022"/>
                  <a:pt x="5848339" y="3481614"/>
                  <a:pt x="5867306" y="3481614"/>
                </a:cubicBezTo>
                <a:cubicBezTo>
                  <a:pt x="5886273" y="3481614"/>
                  <a:pt x="5901646" y="3466022"/>
                  <a:pt x="5901646" y="3446794"/>
                </a:cubicBezTo>
                <a:cubicBezTo>
                  <a:pt x="5901646" y="3427565"/>
                  <a:pt x="5886273" y="3411973"/>
                  <a:pt x="5867306" y="3411973"/>
                </a:cubicBezTo>
                <a:close/>
                <a:moveTo>
                  <a:pt x="5951047" y="3411973"/>
                </a:moveTo>
                <a:cubicBezTo>
                  <a:pt x="5932080" y="3411973"/>
                  <a:pt x="5916694" y="3427565"/>
                  <a:pt x="5916694" y="3446794"/>
                </a:cubicBezTo>
                <a:cubicBezTo>
                  <a:pt x="5916694" y="3466022"/>
                  <a:pt x="5932080" y="3481614"/>
                  <a:pt x="5951047" y="3481614"/>
                </a:cubicBezTo>
                <a:cubicBezTo>
                  <a:pt x="5970014" y="3481614"/>
                  <a:pt x="5985387" y="3466022"/>
                  <a:pt x="5985387" y="3446794"/>
                </a:cubicBezTo>
                <a:cubicBezTo>
                  <a:pt x="5985387" y="3427565"/>
                  <a:pt x="5970014" y="3411973"/>
                  <a:pt x="5951047" y="3411973"/>
                </a:cubicBezTo>
                <a:close/>
                <a:moveTo>
                  <a:pt x="6034789" y="3411973"/>
                </a:moveTo>
                <a:cubicBezTo>
                  <a:pt x="6015822" y="3411973"/>
                  <a:pt x="6000436" y="3427565"/>
                  <a:pt x="6000436" y="3446794"/>
                </a:cubicBezTo>
                <a:cubicBezTo>
                  <a:pt x="6000436" y="3466022"/>
                  <a:pt x="6015822" y="3481614"/>
                  <a:pt x="6034789" y="3481614"/>
                </a:cubicBezTo>
                <a:cubicBezTo>
                  <a:pt x="6053756" y="3481614"/>
                  <a:pt x="6069130" y="3466022"/>
                  <a:pt x="6069130" y="3446794"/>
                </a:cubicBezTo>
                <a:cubicBezTo>
                  <a:pt x="6069130" y="3427565"/>
                  <a:pt x="6053756" y="3411973"/>
                  <a:pt x="6034789" y="3411973"/>
                </a:cubicBezTo>
                <a:close/>
                <a:moveTo>
                  <a:pt x="6118531" y="3411973"/>
                </a:moveTo>
                <a:cubicBezTo>
                  <a:pt x="6099564" y="3411973"/>
                  <a:pt x="6084177" y="3427565"/>
                  <a:pt x="6084177" y="3446794"/>
                </a:cubicBezTo>
                <a:cubicBezTo>
                  <a:pt x="6084177" y="3466022"/>
                  <a:pt x="6099564" y="3481614"/>
                  <a:pt x="6118531" y="3481614"/>
                </a:cubicBezTo>
                <a:cubicBezTo>
                  <a:pt x="6137498" y="3481614"/>
                  <a:pt x="6152871" y="3466022"/>
                  <a:pt x="6152871" y="3446794"/>
                </a:cubicBezTo>
                <a:cubicBezTo>
                  <a:pt x="6152871" y="3427565"/>
                  <a:pt x="6137498" y="3411973"/>
                  <a:pt x="6118531" y="3411973"/>
                </a:cubicBezTo>
                <a:close/>
                <a:moveTo>
                  <a:pt x="6202273" y="3411973"/>
                </a:moveTo>
                <a:cubicBezTo>
                  <a:pt x="6183306" y="3411973"/>
                  <a:pt x="6167920" y="3427565"/>
                  <a:pt x="6167920" y="3446794"/>
                </a:cubicBezTo>
                <a:cubicBezTo>
                  <a:pt x="6167920" y="3466022"/>
                  <a:pt x="6183306" y="3481614"/>
                  <a:pt x="6202273" y="3481614"/>
                </a:cubicBezTo>
                <a:cubicBezTo>
                  <a:pt x="6221240" y="3481614"/>
                  <a:pt x="6236613" y="3466022"/>
                  <a:pt x="6236613" y="3446794"/>
                </a:cubicBezTo>
                <a:cubicBezTo>
                  <a:pt x="6236613" y="3427565"/>
                  <a:pt x="6221240" y="3411973"/>
                  <a:pt x="6202273" y="3411973"/>
                </a:cubicBezTo>
                <a:close/>
                <a:moveTo>
                  <a:pt x="6286014" y="3411973"/>
                </a:moveTo>
                <a:cubicBezTo>
                  <a:pt x="6267047" y="3411973"/>
                  <a:pt x="6251661" y="3427565"/>
                  <a:pt x="6251661" y="3446794"/>
                </a:cubicBezTo>
                <a:cubicBezTo>
                  <a:pt x="6251661" y="3466022"/>
                  <a:pt x="6267047" y="3481614"/>
                  <a:pt x="6286014" y="3481614"/>
                </a:cubicBezTo>
                <a:cubicBezTo>
                  <a:pt x="6304981" y="3481614"/>
                  <a:pt x="6320354" y="3466022"/>
                  <a:pt x="6320354" y="3446794"/>
                </a:cubicBezTo>
                <a:cubicBezTo>
                  <a:pt x="6320354" y="3427565"/>
                  <a:pt x="6304981" y="3411973"/>
                  <a:pt x="6286014" y="3411973"/>
                </a:cubicBezTo>
                <a:close/>
                <a:moveTo>
                  <a:pt x="6369755" y="3411973"/>
                </a:moveTo>
                <a:cubicBezTo>
                  <a:pt x="6350788" y="3411973"/>
                  <a:pt x="6335402" y="3427565"/>
                  <a:pt x="6335402" y="3446794"/>
                </a:cubicBezTo>
                <a:cubicBezTo>
                  <a:pt x="6335402" y="3466022"/>
                  <a:pt x="6350788" y="3481614"/>
                  <a:pt x="6369755" y="3481614"/>
                </a:cubicBezTo>
                <a:cubicBezTo>
                  <a:pt x="6388722" y="3481614"/>
                  <a:pt x="6404096" y="3466022"/>
                  <a:pt x="6404096" y="3446794"/>
                </a:cubicBezTo>
                <a:cubicBezTo>
                  <a:pt x="6404096" y="3427565"/>
                  <a:pt x="6388722" y="3411973"/>
                  <a:pt x="6369755" y="3411973"/>
                </a:cubicBezTo>
                <a:close/>
                <a:moveTo>
                  <a:pt x="6453498" y="3411973"/>
                </a:moveTo>
                <a:cubicBezTo>
                  <a:pt x="6434531" y="3411973"/>
                  <a:pt x="6419144" y="3427565"/>
                  <a:pt x="6419144" y="3446794"/>
                </a:cubicBezTo>
                <a:cubicBezTo>
                  <a:pt x="6419144" y="3466022"/>
                  <a:pt x="6434531" y="3481614"/>
                  <a:pt x="6453498" y="3481614"/>
                </a:cubicBezTo>
                <a:cubicBezTo>
                  <a:pt x="6472465" y="3481614"/>
                  <a:pt x="6487838" y="3466022"/>
                  <a:pt x="6487838" y="3446794"/>
                </a:cubicBezTo>
                <a:cubicBezTo>
                  <a:pt x="6487838" y="3427565"/>
                  <a:pt x="6472465" y="3411973"/>
                  <a:pt x="6453498" y="3411973"/>
                </a:cubicBezTo>
                <a:close/>
                <a:moveTo>
                  <a:pt x="6537239" y="3411973"/>
                </a:moveTo>
                <a:cubicBezTo>
                  <a:pt x="6518272" y="3411973"/>
                  <a:pt x="6502886" y="3427565"/>
                  <a:pt x="6502886" y="3446794"/>
                </a:cubicBezTo>
                <a:cubicBezTo>
                  <a:pt x="6502886" y="3466022"/>
                  <a:pt x="6518272" y="3481614"/>
                  <a:pt x="6537239" y="3481614"/>
                </a:cubicBezTo>
                <a:cubicBezTo>
                  <a:pt x="6556206" y="3481614"/>
                  <a:pt x="6571579" y="3466022"/>
                  <a:pt x="6571579" y="3446794"/>
                </a:cubicBezTo>
                <a:cubicBezTo>
                  <a:pt x="6571579" y="3427565"/>
                  <a:pt x="6556206" y="3411973"/>
                  <a:pt x="6537239" y="3411973"/>
                </a:cubicBezTo>
                <a:close/>
                <a:moveTo>
                  <a:pt x="6620980" y="3411973"/>
                </a:moveTo>
                <a:cubicBezTo>
                  <a:pt x="6602013" y="3411973"/>
                  <a:pt x="6586627" y="3427565"/>
                  <a:pt x="6586627" y="3446794"/>
                </a:cubicBezTo>
                <a:cubicBezTo>
                  <a:pt x="6586627" y="3466022"/>
                  <a:pt x="6602013" y="3481614"/>
                  <a:pt x="6620980" y="3481614"/>
                </a:cubicBezTo>
                <a:cubicBezTo>
                  <a:pt x="6639947" y="3481614"/>
                  <a:pt x="6655320" y="3466022"/>
                  <a:pt x="6655320" y="3446794"/>
                </a:cubicBezTo>
                <a:cubicBezTo>
                  <a:pt x="6655320" y="3427565"/>
                  <a:pt x="6639947" y="3411973"/>
                  <a:pt x="6620980" y="3411973"/>
                </a:cubicBezTo>
                <a:close/>
                <a:moveTo>
                  <a:pt x="6704722" y="3411973"/>
                </a:moveTo>
                <a:cubicBezTo>
                  <a:pt x="6685755" y="3411973"/>
                  <a:pt x="6670369" y="3427565"/>
                  <a:pt x="6670369" y="3446794"/>
                </a:cubicBezTo>
                <a:cubicBezTo>
                  <a:pt x="6670369" y="3466022"/>
                  <a:pt x="6685755" y="3481614"/>
                  <a:pt x="6704722" y="3481614"/>
                </a:cubicBezTo>
                <a:cubicBezTo>
                  <a:pt x="6723689" y="3481614"/>
                  <a:pt x="6739063" y="3466022"/>
                  <a:pt x="6739063" y="3446794"/>
                </a:cubicBezTo>
                <a:cubicBezTo>
                  <a:pt x="6739063" y="3427565"/>
                  <a:pt x="6723689" y="3411973"/>
                  <a:pt x="6704722" y="3411973"/>
                </a:cubicBezTo>
                <a:close/>
                <a:moveTo>
                  <a:pt x="6788464" y="3411973"/>
                </a:moveTo>
                <a:cubicBezTo>
                  <a:pt x="6769497" y="3411973"/>
                  <a:pt x="6754110" y="3427565"/>
                  <a:pt x="6754110" y="3446794"/>
                </a:cubicBezTo>
                <a:cubicBezTo>
                  <a:pt x="6754110" y="3466022"/>
                  <a:pt x="6769497" y="3481614"/>
                  <a:pt x="6788464" y="3481614"/>
                </a:cubicBezTo>
                <a:cubicBezTo>
                  <a:pt x="6807431" y="3481614"/>
                  <a:pt x="6822804" y="3466022"/>
                  <a:pt x="6822804" y="3446794"/>
                </a:cubicBezTo>
                <a:cubicBezTo>
                  <a:pt x="6822804" y="3427565"/>
                  <a:pt x="6807431" y="3411973"/>
                  <a:pt x="6788464" y="3411973"/>
                </a:cubicBezTo>
                <a:close/>
                <a:moveTo>
                  <a:pt x="6872206" y="3411973"/>
                </a:moveTo>
                <a:cubicBezTo>
                  <a:pt x="6853239" y="3411973"/>
                  <a:pt x="6837853" y="3427565"/>
                  <a:pt x="6837853" y="3446794"/>
                </a:cubicBezTo>
                <a:cubicBezTo>
                  <a:pt x="6837853" y="3466022"/>
                  <a:pt x="6853239" y="3481614"/>
                  <a:pt x="6872206" y="3481614"/>
                </a:cubicBezTo>
                <a:cubicBezTo>
                  <a:pt x="6891173" y="3481614"/>
                  <a:pt x="6906546" y="3466022"/>
                  <a:pt x="6906546" y="3446794"/>
                </a:cubicBezTo>
                <a:cubicBezTo>
                  <a:pt x="6906546" y="3427565"/>
                  <a:pt x="6891173" y="3411973"/>
                  <a:pt x="6872206" y="3411973"/>
                </a:cubicBezTo>
                <a:close/>
                <a:moveTo>
                  <a:pt x="7039688" y="3411973"/>
                </a:moveTo>
                <a:cubicBezTo>
                  <a:pt x="7020721" y="3411973"/>
                  <a:pt x="7005335" y="3427565"/>
                  <a:pt x="7005335" y="3446794"/>
                </a:cubicBezTo>
                <a:cubicBezTo>
                  <a:pt x="7005335" y="3466022"/>
                  <a:pt x="7020721" y="3481614"/>
                  <a:pt x="7039688" y="3481614"/>
                </a:cubicBezTo>
                <a:cubicBezTo>
                  <a:pt x="7058655" y="3481614"/>
                  <a:pt x="7074029" y="3466022"/>
                  <a:pt x="7074029" y="3446794"/>
                </a:cubicBezTo>
                <a:cubicBezTo>
                  <a:pt x="7074029" y="3427565"/>
                  <a:pt x="7058655" y="3411973"/>
                  <a:pt x="7039688" y="3411973"/>
                </a:cubicBezTo>
                <a:close/>
                <a:moveTo>
                  <a:pt x="7123456" y="3411973"/>
                </a:moveTo>
                <a:cubicBezTo>
                  <a:pt x="7104489" y="3411973"/>
                  <a:pt x="7089103" y="3427565"/>
                  <a:pt x="7089103" y="3446794"/>
                </a:cubicBezTo>
                <a:cubicBezTo>
                  <a:pt x="7089103" y="3466022"/>
                  <a:pt x="7104489" y="3481614"/>
                  <a:pt x="7123456" y="3481614"/>
                </a:cubicBezTo>
                <a:cubicBezTo>
                  <a:pt x="7142423" y="3481614"/>
                  <a:pt x="7157796" y="3466022"/>
                  <a:pt x="7157796" y="3446794"/>
                </a:cubicBezTo>
                <a:cubicBezTo>
                  <a:pt x="7157796" y="3427565"/>
                  <a:pt x="7142423" y="3411973"/>
                  <a:pt x="7123456" y="3411973"/>
                </a:cubicBezTo>
                <a:close/>
                <a:moveTo>
                  <a:pt x="7207198" y="3411973"/>
                </a:moveTo>
                <a:cubicBezTo>
                  <a:pt x="7188231" y="3411973"/>
                  <a:pt x="7172845" y="3427565"/>
                  <a:pt x="7172845" y="3446794"/>
                </a:cubicBezTo>
                <a:cubicBezTo>
                  <a:pt x="7172845" y="3466022"/>
                  <a:pt x="7188231" y="3481614"/>
                  <a:pt x="7207198" y="3481614"/>
                </a:cubicBezTo>
                <a:cubicBezTo>
                  <a:pt x="7226165" y="3481614"/>
                  <a:pt x="7241538" y="3466022"/>
                  <a:pt x="7241538" y="3446794"/>
                </a:cubicBezTo>
                <a:cubicBezTo>
                  <a:pt x="7241538" y="3427565"/>
                  <a:pt x="7226165" y="3411973"/>
                  <a:pt x="7207198" y="3411973"/>
                </a:cubicBezTo>
                <a:close/>
                <a:moveTo>
                  <a:pt x="7290939" y="3411973"/>
                </a:moveTo>
                <a:cubicBezTo>
                  <a:pt x="7271972" y="3411973"/>
                  <a:pt x="7256586" y="3427565"/>
                  <a:pt x="7256586" y="3446794"/>
                </a:cubicBezTo>
                <a:cubicBezTo>
                  <a:pt x="7256586" y="3466022"/>
                  <a:pt x="7271972" y="3481614"/>
                  <a:pt x="7290939" y="3481614"/>
                </a:cubicBezTo>
                <a:cubicBezTo>
                  <a:pt x="7309906" y="3481614"/>
                  <a:pt x="7325279" y="3466022"/>
                  <a:pt x="7325279" y="3446794"/>
                </a:cubicBezTo>
                <a:cubicBezTo>
                  <a:pt x="7325279" y="3427565"/>
                  <a:pt x="7309906" y="3411973"/>
                  <a:pt x="7290939" y="3411973"/>
                </a:cubicBezTo>
                <a:close/>
                <a:moveTo>
                  <a:pt x="7709647" y="3411973"/>
                </a:moveTo>
                <a:cubicBezTo>
                  <a:pt x="7690680" y="3411973"/>
                  <a:pt x="7675294" y="3427565"/>
                  <a:pt x="7675294" y="3446794"/>
                </a:cubicBezTo>
                <a:cubicBezTo>
                  <a:pt x="7675294" y="3466022"/>
                  <a:pt x="7690680" y="3481614"/>
                  <a:pt x="7709647" y="3481614"/>
                </a:cubicBezTo>
                <a:cubicBezTo>
                  <a:pt x="7728614" y="3481614"/>
                  <a:pt x="7743988" y="3466022"/>
                  <a:pt x="7743988" y="3446794"/>
                </a:cubicBezTo>
                <a:cubicBezTo>
                  <a:pt x="7743988" y="3427565"/>
                  <a:pt x="7728614" y="3411973"/>
                  <a:pt x="7709647" y="3411973"/>
                </a:cubicBezTo>
                <a:close/>
                <a:moveTo>
                  <a:pt x="7793389" y="3411973"/>
                </a:moveTo>
                <a:cubicBezTo>
                  <a:pt x="7774422" y="3411973"/>
                  <a:pt x="7759036" y="3427565"/>
                  <a:pt x="7759036" y="3446794"/>
                </a:cubicBezTo>
                <a:cubicBezTo>
                  <a:pt x="7759036" y="3466022"/>
                  <a:pt x="7774422" y="3481614"/>
                  <a:pt x="7793389" y="3481614"/>
                </a:cubicBezTo>
                <a:cubicBezTo>
                  <a:pt x="7812356" y="3481614"/>
                  <a:pt x="7827729" y="3466022"/>
                  <a:pt x="7827729" y="3446794"/>
                </a:cubicBezTo>
                <a:cubicBezTo>
                  <a:pt x="7827729" y="3427565"/>
                  <a:pt x="7812356" y="3411973"/>
                  <a:pt x="7793389" y="3411973"/>
                </a:cubicBezTo>
                <a:close/>
                <a:moveTo>
                  <a:pt x="7877131" y="3411973"/>
                </a:moveTo>
                <a:cubicBezTo>
                  <a:pt x="7858164" y="3411973"/>
                  <a:pt x="7842778" y="3427565"/>
                  <a:pt x="7842778" y="3446794"/>
                </a:cubicBezTo>
                <a:cubicBezTo>
                  <a:pt x="7842778" y="3466022"/>
                  <a:pt x="7858164" y="3481614"/>
                  <a:pt x="7877131" y="3481614"/>
                </a:cubicBezTo>
                <a:cubicBezTo>
                  <a:pt x="7896098" y="3481614"/>
                  <a:pt x="7911471" y="3466022"/>
                  <a:pt x="7911471" y="3446794"/>
                </a:cubicBezTo>
                <a:cubicBezTo>
                  <a:pt x="7911471" y="3427565"/>
                  <a:pt x="7896098" y="3411973"/>
                  <a:pt x="7877131" y="3411973"/>
                </a:cubicBezTo>
                <a:close/>
                <a:moveTo>
                  <a:pt x="7960872" y="3411973"/>
                </a:moveTo>
                <a:cubicBezTo>
                  <a:pt x="7941905" y="3411973"/>
                  <a:pt x="7926519" y="3427565"/>
                  <a:pt x="7926519" y="3446794"/>
                </a:cubicBezTo>
                <a:cubicBezTo>
                  <a:pt x="7926519" y="3466022"/>
                  <a:pt x="7941905" y="3481614"/>
                  <a:pt x="7960872" y="3481614"/>
                </a:cubicBezTo>
                <a:cubicBezTo>
                  <a:pt x="7979839" y="3481614"/>
                  <a:pt x="7995212" y="3466022"/>
                  <a:pt x="7995212" y="3446794"/>
                </a:cubicBezTo>
                <a:cubicBezTo>
                  <a:pt x="7995212" y="3427565"/>
                  <a:pt x="7979839" y="3411973"/>
                  <a:pt x="7960872" y="3411973"/>
                </a:cubicBezTo>
                <a:close/>
                <a:moveTo>
                  <a:pt x="8044614" y="3411973"/>
                </a:moveTo>
                <a:cubicBezTo>
                  <a:pt x="8025647" y="3411973"/>
                  <a:pt x="8010261" y="3427565"/>
                  <a:pt x="8010261" y="3446794"/>
                </a:cubicBezTo>
                <a:cubicBezTo>
                  <a:pt x="8010261" y="3466022"/>
                  <a:pt x="8025647" y="3481614"/>
                  <a:pt x="8044614" y="3481614"/>
                </a:cubicBezTo>
                <a:cubicBezTo>
                  <a:pt x="8063581" y="3481614"/>
                  <a:pt x="8078955" y="3466022"/>
                  <a:pt x="8078955" y="3446794"/>
                </a:cubicBezTo>
                <a:cubicBezTo>
                  <a:pt x="8078955" y="3427565"/>
                  <a:pt x="8063581" y="3411973"/>
                  <a:pt x="8044614" y="3411973"/>
                </a:cubicBezTo>
                <a:close/>
                <a:moveTo>
                  <a:pt x="8128356" y="3411973"/>
                </a:moveTo>
                <a:cubicBezTo>
                  <a:pt x="8109389" y="3411973"/>
                  <a:pt x="8094003" y="3427565"/>
                  <a:pt x="8094003" y="3446794"/>
                </a:cubicBezTo>
                <a:cubicBezTo>
                  <a:pt x="8094003" y="3466022"/>
                  <a:pt x="8109389" y="3481614"/>
                  <a:pt x="8128356" y="3481614"/>
                </a:cubicBezTo>
                <a:cubicBezTo>
                  <a:pt x="8147323" y="3481614"/>
                  <a:pt x="8162696" y="3466022"/>
                  <a:pt x="8162696" y="3446794"/>
                </a:cubicBezTo>
                <a:cubicBezTo>
                  <a:pt x="8162696" y="3427565"/>
                  <a:pt x="8147323" y="3411973"/>
                  <a:pt x="8128356" y="3411973"/>
                </a:cubicBezTo>
                <a:close/>
                <a:moveTo>
                  <a:pt x="8212097" y="3411973"/>
                </a:moveTo>
                <a:cubicBezTo>
                  <a:pt x="8193130" y="3411973"/>
                  <a:pt x="8177744" y="3427565"/>
                  <a:pt x="8177744" y="3446794"/>
                </a:cubicBezTo>
                <a:cubicBezTo>
                  <a:pt x="8177744" y="3466022"/>
                  <a:pt x="8193130" y="3481614"/>
                  <a:pt x="8212097" y="3481614"/>
                </a:cubicBezTo>
                <a:cubicBezTo>
                  <a:pt x="8231064" y="3481614"/>
                  <a:pt x="8246437" y="3466022"/>
                  <a:pt x="8246437" y="3446794"/>
                </a:cubicBezTo>
                <a:cubicBezTo>
                  <a:pt x="8246437" y="3427565"/>
                  <a:pt x="8231064" y="3411973"/>
                  <a:pt x="8212097" y="3411973"/>
                </a:cubicBezTo>
                <a:close/>
                <a:moveTo>
                  <a:pt x="8295839" y="3411973"/>
                </a:moveTo>
                <a:cubicBezTo>
                  <a:pt x="8276872" y="3411973"/>
                  <a:pt x="8261486" y="3427565"/>
                  <a:pt x="8261486" y="3446794"/>
                </a:cubicBezTo>
                <a:cubicBezTo>
                  <a:pt x="8261486" y="3466022"/>
                  <a:pt x="8276872" y="3481614"/>
                  <a:pt x="8295839" y="3481614"/>
                </a:cubicBezTo>
                <a:cubicBezTo>
                  <a:pt x="8314806" y="3481614"/>
                  <a:pt x="8330179" y="3466022"/>
                  <a:pt x="8330179" y="3446794"/>
                </a:cubicBezTo>
                <a:cubicBezTo>
                  <a:pt x="8330179" y="3427565"/>
                  <a:pt x="8314806" y="3411973"/>
                  <a:pt x="8295839" y="3411973"/>
                </a:cubicBezTo>
                <a:close/>
                <a:moveTo>
                  <a:pt x="8379580" y="3411973"/>
                </a:moveTo>
                <a:cubicBezTo>
                  <a:pt x="8360613" y="3411973"/>
                  <a:pt x="8345227" y="3427565"/>
                  <a:pt x="8345227" y="3446794"/>
                </a:cubicBezTo>
                <a:cubicBezTo>
                  <a:pt x="8345227" y="3466022"/>
                  <a:pt x="8360613" y="3481614"/>
                  <a:pt x="8379580" y="3481614"/>
                </a:cubicBezTo>
                <a:cubicBezTo>
                  <a:pt x="8398547" y="3481614"/>
                  <a:pt x="8413921" y="3466022"/>
                  <a:pt x="8413921" y="3446794"/>
                </a:cubicBezTo>
                <a:cubicBezTo>
                  <a:pt x="8413921" y="3427565"/>
                  <a:pt x="8398547" y="3411973"/>
                  <a:pt x="8379580" y="3411973"/>
                </a:cubicBezTo>
                <a:close/>
                <a:moveTo>
                  <a:pt x="8463323" y="3411973"/>
                </a:moveTo>
                <a:cubicBezTo>
                  <a:pt x="8444356" y="3411973"/>
                  <a:pt x="8428970" y="3427565"/>
                  <a:pt x="8428970" y="3446794"/>
                </a:cubicBezTo>
                <a:cubicBezTo>
                  <a:pt x="8428970" y="3466022"/>
                  <a:pt x="8444356" y="3481614"/>
                  <a:pt x="8463323" y="3481614"/>
                </a:cubicBezTo>
                <a:cubicBezTo>
                  <a:pt x="8482290" y="3481614"/>
                  <a:pt x="8497663" y="3466022"/>
                  <a:pt x="8497663" y="3446794"/>
                </a:cubicBezTo>
                <a:cubicBezTo>
                  <a:pt x="8497663" y="3427565"/>
                  <a:pt x="8482290" y="3411973"/>
                  <a:pt x="8463323" y="3411973"/>
                </a:cubicBezTo>
                <a:close/>
                <a:moveTo>
                  <a:pt x="8547064" y="3411973"/>
                </a:moveTo>
                <a:cubicBezTo>
                  <a:pt x="8528097" y="3411973"/>
                  <a:pt x="8512711" y="3427565"/>
                  <a:pt x="8512711" y="3446794"/>
                </a:cubicBezTo>
                <a:cubicBezTo>
                  <a:pt x="8512711" y="3466022"/>
                  <a:pt x="8528097" y="3481614"/>
                  <a:pt x="8547064" y="3481614"/>
                </a:cubicBezTo>
                <a:cubicBezTo>
                  <a:pt x="8566031" y="3481614"/>
                  <a:pt x="8581404" y="3466022"/>
                  <a:pt x="8581404" y="3446794"/>
                </a:cubicBezTo>
                <a:cubicBezTo>
                  <a:pt x="8581404" y="3427565"/>
                  <a:pt x="8566031" y="3411973"/>
                  <a:pt x="8547064" y="3411973"/>
                </a:cubicBezTo>
                <a:close/>
                <a:moveTo>
                  <a:pt x="8630805" y="3411973"/>
                </a:moveTo>
                <a:cubicBezTo>
                  <a:pt x="8611838" y="3411973"/>
                  <a:pt x="8596452" y="3427565"/>
                  <a:pt x="8596452" y="3446794"/>
                </a:cubicBezTo>
                <a:cubicBezTo>
                  <a:pt x="8596452" y="3466022"/>
                  <a:pt x="8611838" y="3481614"/>
                  <a:pt x="8630805" y="3481614"/>
                </a:cubicBezTo>
                <a:cubicBezTo>
                  <a:pt x="8649772" y="3481614"/>
                  <a:pt x="8665145" y="3466022"/>
                  <a:pt x="8665145" y="3446794"/>
                </a:cubicBezTo>
                <a:cubicBezTo>
                  <a:pt x="8665145" y="3427565"/>
                  <a:pt x="8649772" y="3411973"/>
                  <a:pt x="8630805" y="3411973"/>
                </a:cubicBezTo>
                <a:close/>
                <a:moveTo>
                  <a:pt x="8714547" y="3411973"/>
                </a:moveTo>
                <a:cubicBezTo>
                  <a:pt x="8695580" y="3411973"/>
                  <a:pt x="8680194" y="3427565"/>
                  <a:pt x="8680194" y="3446794"/>
                </a:cubicBezTo>
                <a:cubicBezTo>
                  <a:pt x="8680194" y="3466022"/>
                  <a:pt x="8695580" y="3481614"/>
                  <a:pt x="8714547" y="3481614"/>
                </a:cubicBezTo>
                <a:cubicBezTo>
                  <a:pt x="8733514" y="3481614"/>
                  <a:pt x="8748888" y="3466022"/>
                  <a:pt x="8748888" y="3446794"/>
                </a:cubicBezTo>
                <a:cubicBezTo>
                  <a:pt x="8748888" y="3427565"/>
                  <a:pt x="8733514" y="3411973"/>
                  <a:pt x="8714547" y="3411973"/>
                </a:cubicBezTo>
                <a:close/>
                <a:moveTo>
                  <a:pt x="8798289" y="3411973"/>
                </a:moveTo>
                <a:cubicBezTo>
                  <a:pt x="8779322" y="3411973"/>
                  <a:pt x="8763936" y="3427565"/>
                  <a:pt x="8763936" y="3446794"/>
                </a:cubicBezTo>
                <a:cubicBezTo>
                  <a:pt x="8763936" y="3466022"/>
                  <a:pt x="8779322" y="3481614"/>
                  <a:pt x="8798289" y="3481614"/>
                </a:cubicBezTo>
                <a:cubicBezTo>
                  <a:pt x="8817256" y="3481614"/>
                  <a:pt x="8832629" y="3466022"/>
                  <a:pt x="8832629" y="3446794"/>
                </a:cubicBezTo>
                <a:cubicBezTo>
                  <a:pt x="8832629" y="3427565"/>
                  <a:pt x="8817256" y="3411973"/>
                  <a:pt x="8798289" y="3411973"/>
                </a:cubicBezTo>
                <a:close/>
                <a:moveTo>
                  <a:pt x="8882030" y="3411973"/>
                </a:moveTo>
                <a:cubicBezTo>
                  <a:pt x="8863063" y="3411973"/>
                  <a:pt x="8847677" y="3427565"/>
                  <a:pt x="8847677" y="3446794"/>
                </a:cubicBezTo>
                <a:cubicBezTo>
                  <a:pt x="8847677" y="3466022"/>
                  <a:pt x="8863063" y="3481614"/>
                  <a:pt x="8882030" y="3481614"/>
                </a:cubicBezTo>
                <a:cubicBezTo>
                  <a:pt x="8900997" y="3481614"/>
                  <a:pt x="8916370" y="3466022"/>
                  <a:pt x="8916370" y="3446794"/>
                </a:cubicBezTo>
                <a:cubicBezTo>
                  <a:pt x="8916370" y="3427565"/>
                  <a:pt x="8900997" y="3411973"/>
                  <a:pt x="8882030" y="3411973"/>
                </a:cubicBezTo>
                <a:close/>
                <a:moveTo>
                  <a:pt x="8965772" y="3411973"/>
                </a:moveTo>
                <a:cubicBezTo>
                  <a:pt x="8946805" y="3411973"/>
                  <a:pt x="8931419" y="3427565"/>
                  <a:pt x="8931419" y="3446794"/>
                </a:cubicBezTo>
                <a:cubicBezTo>
                  <a:pt x="8931419" y="3466022"/>
                  <a:pt x="8946805" y="3481614"/>
                  <a:pt x="8965772" y="3481614"/>
                </a:cubicBezTo>
                <a:cubicBezTo>
                  <a:pt x="8984739" y="3481614"/>
                  <a:pt x="9000112" y="3466022"/>
                  <a:pt x="9000112" y="3446794"/>
                </a:cubicBezTo>
                <a:cubicBezTo>
                  <a:pt x="9000112" y="3427565"/>
                  <a:pt x="8984739" y="3411973"/>
                  <a:pt x="8965772" y="3411973"/>
                </a:cubicBezTo>
                <a:close/>
                <a:moveTo>
                  <a:pt x="9049513" y="3411973"/>
                </a:moveTo>
                <a:cubicBezTo>
                  <a:pt x="9030546" y="3411973"/>
                  <a:pt x="9015160" y="3427565"/>
                  <a:pt x="9015160" y="3446794"/>
                </a:cubicBezTo>
                <a:cubicBezTo>
                  <a:pt x="9015160" y="3466022"/>
                  <a:pt x="9030546" y="3481614"/>
                  <a:pt x="9049513" y="3481614"/>
                </a:cubicBezTo>
                <a:cubicBezTo>
                  <a:pt x="9068480" y="3481614"/>
                  <a:pt x="9083854" y="3466022"/>
                  <a:pt x="9083854" y="3446794"/>
                </a:cubicBezTo>
                <a:cubicBezTo>
                  <a:pt x="9083854" y="3427565"/>
                  <a:pt x="9068480" y="3411973"/>
                  <a:pt x="9049513" y="3411973"/>
                </a:cubicBezTo>
                <a:close/>
                <a:moveTo>
                  <a:pt x="9133256" y="3411973"/>
                </a:moveTo>
                <a:cubicBezTo>
                  <a:pt x="9114289" y="3411973"/>
                  <a:pt x="9098903" y="3427565"/>
                  <a:pt x="9098903" y="3446794"/>
                </a:cubicBezTo>
                <a:cubicBezTo>
                  <a:pt x="9098903" y="3466022"/>
                  <a:pt x="9114289" y="3481614"/>
                  <a:pt x="9133256" y="3481614"/>
                </a:cubicBezTo>
                <a:cubicBezTo>
                  <a:pt x="9152223" y="3481614"/>
                  <a:pt x="9167596" y="3466022"/>
                  <a:pt x="9167596" y="3446794"/>
                </a:cubicBezTo>
                <a:cubicBezTo>
                  <a:pt x="9167596" y="3427565"/>
                  <a:pt x="9152223" y="3411973"/>
                  <a:pt x="9133256" y="3411973"/>
                </a:cubicBezTo>
                <a:close/>
                <a:moveTo>
                  <a:pt x="9216997" y="3411973"/>
                </a:moveTo>
                <a:cubicBezTo>
                  <a:pt x="9198030" y="3411973"/>
                  <a:pt x="9182644" y="3427565"/>
                  <a:pt x="9182644" y="3446794"/>
                </a:cubicBezTo>
                <a:cubicBezTo>
                  <a:pt x="9182644" y="3466022"/>
                  <a:pt x="9198030" y="3481614"/>
                  <a:pt x="9216997" y="3481614"/>
                </a:cubicBezTo>
                <a:cubicBezTo>
                  <a:pt x="9235964" y="3481614"/>
                  <a:pt x="9251337" y="3466022"/>
                  <a:pt x="9251337" y="3446794"/>
                </a:cubicBezTo>
                <a:cubicBezTo>
                  <a:pt x="9251337" y="3427565"/>
                  <a:pt x="9235964" y="3411973"/>
                  <a:pt x="9216997" y="3411973"/>
                </a:cubicBezTo>
                <a:close/>
                <a:moveTo>
                  <a:pt x="9300738" y="3411973"/>
                </a:moveTo>
                <a:cubicBezTo>
                  <a:pt x="9281771" y="3411973"/>
                  <a:pt x="9266385" y="3427565"/>
                  <a:pt x="9266385" y="3446794"/>
                </a:cubicBezTo>
                <a:cubicBezTo>
                  <a:pt x="9266385" y="3466022"/>
                  <a:pt x="9281771" y="3481614"/>
                  <a:pt x="9300738" y="3481614"/>
                </a:cubicBezTo>
                <a:cubicBezTo>
                  <a:pt x="9319705" y="3481614"/>
                  <a:pt x="9335078" y="3466022"/>
                  <a:pt x="9335078" y="3446794"/>
                </a:cubicBezTo>
                <a:cubicBezTo>
                  <a:pt x="9335078" y="3427565"/>
                  <a:pt x="9319705" y="3411973"/>
                  <a:pt x="9300738" y="3411973"/>
                </a:cubicBezTo>
                <a:close/>
                <a:moveTo>
                  <a:pt x="9384480" y="3411973"/>
                </a:moveTo>
                <a:cubicBezTo>
                  <a:pt x="9365513" y="3411973"/>
                  <a:pt x="9350127" y="3427565"/>
                  <a:pt x="9350127" y="3446794"/>
                </a:cubicBezTo>
                <a:cubicBezTo>
                  <a:pt x="9350127" y="3466022"/>
                  <a:pt x="9365513" y="3481614"/>
                  <a:pt x="9384480" y="3481614"/>
                </a:cubicBezTo>
                <a:cubicBezTo>
                  <a:pt x="9403447" y="3481614"/>
                  <a:pt x="9418821" y="3466022"/>
                  <a:pt x="9418821" y="3446794"/>
                </a:cubicBezTo>
                <a:cubicBezTo>
                  <a:pt x="9418821" y="3427565"/>
                  <a:pt x="9403447" y="3411973"/>
                  <a:pt x="9384480" y="3411973"/>
                </a:cubicBezTo>
                <a:close/>
                <a:moveTo>
                  <a:pt x="9468222" y="3411973"/>
                </a:moveTo>
                <a:cubicBezTo>
                  <a:pt x="9449255" y="3411973"/>
                  <a:pt x="9433869" y="3427565"/>
                  <a:pt x="9433869" y="3446794"/>
                </a:cubicBezTo>
                <a:cubicBezTo>
                  <a:pt x="9433869" y="3466022"/>
                  <a:pt x="9449255" y="3481614"/>
                  <a:pt x="9468222" y="3481614"/>
                </a:cubicBezTo>
                <a:cubicBezTo>
                  <a:pt x="9487189" y="3481614"/>
                  <a:pt x="9502562" y="3466022"/>
                  <a:pt x="9502562" y="3446794"/>
                </a:cubicBezTo>
                <a:cubicBezTo>
                  <a:pt x="9502562" y="3427565"/>
                  <a:pt x="9487189" y="3411973"/>
                  <a:pt x="9468222" y="3411973"/>
                </a:cubicBezTo>
                <a:close/>
                <a:moveTo>
                  <a:pt x="1010288" y="3496838"/>
                </a:moveTo>
                <a:cubicBezTo>
                  <a:pt x="991321" y="3496838"/>
                  <a:pt x="975941" y="3512430"/>
                  <a:pt x="975941" y="3531658"/>
                </a:cubicBezTo>
                <a:cubicBezTo>
                  <a:pt x="975941" y="3550887"/>
                  <a:pt x="991321" y="3566479"/>
                  <a:pt x="1010288" y="3566479"/>
                </a:cubicBezTo>
                <a:cubicBezTo>
                  <a:pt x="1029255" y="3566479"/>
                  <a:pt x="1044635" y="3550887"/>
                  <a:pt x="1044635" y="3531658"/>
                </a:cubicBezTo>
                <a:cubicBezTo>
                  <a:pt x="1044635" y="3512430"/>
                  <a:pt x="1029255" y="3496838"/>
                  <a:pt x="1010288" y="3496838"/>
                </a:cubicBezTo>
                <a:close/>
                <a:moveTo>
                  <a:pt x="2517634" y="3496838"/>
                </a:moveTo>
                <a:cubicBezTo>
                  <a:pt x="2498667" y="3496838"/>
                  <a:pt x="2483288" y="3512430"/>
                  <a:pt x="2483288" y="3531658"/>
                </a:cubicBezTo>
                <a:cubicBezTo>
                  <a:pt x="2483288" y="3550887"/>
                  <a:pt x="2498667" y="3566479"/>
                  <a:pt x="2517634" y="3566479"/>
                </a:cubicBezTo>
                <a:cubicBezTo>
                  <a:pt x="2536601" y="3566479"/>
                  <a:pt x="2551981" y="3550887"/>
                  <a:pt x="2551981" y="3531658"/>
                </a:cubicBezTo>
                <a:cubicBezTo>
                  <a:pt x="2551981" y="3512430"/>
                  <a:pt x="2536601" y="3496838"/>
                  <a:pt x="2517634" y="3496838"/>
                </a:cubicBezTo>
                <a:close/>
                <a:moveTo>
                  <a:pt x="2685118" y="3496838"/>
                </a:moveTo>
                <a:cubicBezTo>
                  <a:pt x="2666151" y="3496838"/>
                  <a:pt x="2650771" y="3512430"/>
                  <a:pt x="2650771" y="3531658"/>
                </a:cubicBezTo>
                <a:cubicBezTo>
                  <a:pt x="2650771" y="3550887"/>
                  <a:pt x="2666151" y="3566479"/>
                  <a:pt x="2685118" y="3566479"/>
                </a:cubicBezTo>
                <a:cubicBezTo>
                  <a:pt x="2704085" y="3566479"/>
                  <a:pt x="2719465" y="3550887"/>
                  <a:pt x="2719465" y="3531658"/>
                </a:cubicBezTo>
                <a:cubicBezTo>
                  <a:pt x="2719465" y="3512430"/>
                  <a:pt x="2704085" y="3496838"/>
                  <a:pt x="2685118" y="3496838"/>
                </a:cubicBezTo>
                <a:close/>
                <a:moveTo>
                  <a:pt x="2768859" y="3496838"/>
                </a:moveTo>
                <a:cubicBezTo>
                  <a:pt x="2749892" y="3496838"/>
                  <a:pt x="2734512" y="3512430"/>
                  <a:pt x="2734512" y="3531658"/>
                </a:cubicBezTo>
                <a:cubicBezTo>
                  <a:pt x="2734512" y="3550887"/>
                  <a:pt x="2749892" y="3566479"/>
                  <a:pt x="2768859" y="3566479"/>
                </a:cubicBezTo>
                <a:cubicBezTo>
                  <a:pt x="2787826" y="3566479"/>
                  <a:pt x="2803206" y="3550887"/>
                  <a:pt x="2803206" y="3531658"/>
                </a:cubicBezTo>
                <a:cubicBezTo>
                  <a:pt x="2803206" y="3512430"/>
                  <a:pt x="2787826" y="3496838"/>
                  <a:pt x="2768859" y="3496838"/>
                </a:cubicBezTo>
                <a:close/>
                <a:moveTo>
                  <a:pt x="2852600" y="3496838"/>
                </a:moveTo>
                <a:cubicBezTo>
                  <a:pt x="2833633" y="3496838"/>
                  <a:pt x="2818254" y="3512430"/>
                  <a:pt x="2818254" y="3531658"/>
                </a:cubicBezTo>
                <a:cubicBezTo>
                  <a:pt x="2818254" y="3550887"/>
                  <a:pt x="2833633" y="3566479"/>
                  <a:pt x="2852600" y="3566479"/>
                </a:cubicBezTo>
                <a:cubicBezTo>
                  <a:pt x="2871567" y="3566479"/>
                  <a:pt x="2886947" y="3550887"/>
                  <a:pt x="2886947" y="3531658"/>
                </a:cubicBezTo>
                <a:cubicBezTo>
                  <a:pt x="2886947" y="3512430"/>
                  <a:pt x="2871567" y="3496838"/>
                  <a:pt x="2852600" y="3496838"/>
                </a:cubicBezTo>
                <a:close/>
                <a:moveTo>
                  <a:pt x="3606276" y="3496838"/>
                </a:moveTo>
                <a:cubicBezTo>
                  <a:pt x="3587309" y="3496838"/>
                  <a:pt x="3571929" y="3512430"/>
                  <a:pt x="3571929" y="3531658"/>
                </a:cubicBezTo>
                <a:cubicBezTo>
                  <a:pt x="3571929" y="3550887"/>
                  <a:pt x="3587309" y="3566479"/>
                  <a:pt x="3606276" y="3566479"/>
                </a:cubicBezTo>
                <a:cubicBezTo>
                  <a:pt x="3625243" y="3566479"/>
                  <a:pt x="3640622" y="3550887"/>
                  <a:pt x="3640622" y="3531658"/>
                </a:cubicBezTo>
                <a:cubicBezTo>
                  <a:pt x="3640622" y="3512430"/>
                  <a:pt x="3625243" y="3496838"/>
                  <a:pt x="3606276" y="3496838"/>
                </a:cubicBezTo>
                <a:close/>
                <a:moveTo>
                  <a:pt x="5448598" y="3496838"/>
                </a:moveTo>
                <a:cubicBezTo>
                  <a:pt x="5429631" y="3496838"/>
                  <a:pt x="5414244" y="3512430"/>
                  <a:pt x="5414244" y="3531658"/>
                </a:cubicBezTo>
                <a:cubicBezTo>
                  <a:pt x="5414244" y="3550887"/>
                  <a:pt x="5429631" y="3566479"/>
                  <a:pt x="5448598" y="3566479"/>
                </a:cubicBezTo>
                <a:cubicBezTo>
                  <a:pt x="5467565" y="3566479"/>
                  <a:pt x="5482938" y="3550887"/>
                  <a:pt x="5482938" y="3531658"/>
                </a:cubicBezTo>
                <a:cubicBezTo>
                  <a:pt x="5482938" y="3512430"/>
                  <a:pt x="5467565" y="3496838"/>
                  <a:pt x="5448598" y="3496838"/>
                </a:cubicBezTo>
                <a:close/>
                <a:moveTo>
                  <a:pt x="5532340" y="3496838"/>
                </a:moveTo>
                <a:cubicBezTo>
                  <a:pt x="5513373" y="3496838"/>
                  <a:pt x="5497987" y="3512430"/>
                  <a:pt x="5497987" y="3531658"/>
                </a:cubicBezTo>
                <a:cubicBezTo>
                  <a:pt x="5497987" y="3550887"/>
                  <a:pt x="5513373" y="3566479"/>
                  <a:pt x="5532340" y="3566479"/>
                </a:cubicBezTo>
                <a:cubicBezTo>
                  <a:pt x="5551307" y="3566479"/>
                  <a:pt x="5566680" y="3550887"/>
                  <a:pt x="5566680" y="3531658"/>
                </a:cubicBezTo>
                <a:cubicBezTo>
                  <a:pt x="5566680" y="3512430"/>
                  <a:pt x="5551307" y="3496838"/>
                  <a:pt x="5532340" y="3496838"/>
                </a:cubicBezTo>
                <a:close/>
                <a:moveTo>
                  <a:pt x="5616081" y="3496838"/>
                </a:moveTo>
                <a:cubicBezTo>
                  <a:pt x="5597114" y="3496838"/>
                  <a:pt x="5581728" y="3512430"/>
                  <a:pt x="5581728" y="3531658"/>
                </a:cubicBezTo>
                <a:cubicBezTo>
                  <a:pt x="5581728" y="3550887"/>
                  <a:pt x="5597114" y="3566479"/>
                  <a:pt x="5616081" y="3566479"/>
                </a:cubicBezTo>
                <a:cubicBezTo>
                  <a:pt x="5635048" y="3566479"/>
                  <a:pt x="5650421" y="3550887"/>
                  <a:pt x="5650421" y="3531658"/>
                </a:cubicBezTo>
                <a:cubicBezTo>
                  <a:pt x="5650421" y="3512430"/>
                  <a:pt x="5635048" y="3496838"/>
                  <a:pt x="5616081" y="3496838"/>
                </a:cubicBezTo>
                <a:close/>
                <a:moveTo>
                  <a:pt x="5699822" y="3496838"/>
                </a:moveTo>
                <a:cubicBezTo>
                  <a:pt x="5680855" y="3496838"/>
                  <a:pt x="5665469" y="3512430"/>
                  <a:pt x="5665469" y="3531658"/>
                </a:cubicBezTo>
                <a:cubicBezTo>
                  <a:pt x="5665469" y="3550887"/>
                  <a:pt x="5680855" y="3566479"/>
                  <a:pt x="5699822" y="3566479"/>
                </a:cubicBezTo>
                <a:cubicBezTo>
                  <a:pt x="5718789" y="3566479"/>
                  <a:pt x="5734163" y="3550887"/>
                  <a:pt x="5734163" y="3531658"/>
                </a:cubicBezTo>
                <a:cubicBezTo>
                  <a:pt x="5734163" y="3512430"/>
                  <a:pt x="5718789" y="3496838"/>
                  <a:pt x="5699822" y="3496838"/>
                </a:cubicBezTo>
                <a:close/>
                <a:moveTo>
                  <a:pt x="5783565" y="3496838"/>
                </a:moveTo>
                <a:cubicBezTo>
                  <a:pt x="5764598" y="3496838"/>
                  <a:pt x="5749211" y="3512430"/>
                  <a:pt x="5749211" y="3531658"/>
                </a:cubicBezTo>
                <a:cubicBezTo>
                  <a:pt x="5749211" y="3550887"/>
                  <a:pt x="5764598" y="3566479"/>
                  <a:pt x="5783565" y="3566479"/>
                </a:cubicBezTo>
                <a:cubicBezTo>
                  <a:pt x="5802532" y="3566479"/>
                  <a:pt x="5817905" y="3550887"/>
                  <a:pt x="5817905" y="3531658"/>
                </a:cubicBezTo>
                <a:cubicBezTo>
                  <a:pt x="5817905" y="3512430"/>
                  <a:pt x="5802532" y="3496838"/>
                  <a:pt x="5783565" y="3496838"/>
                </a:cubicBezTo>
                <a:close/>
                <a:moveTo>
                  <a:pt x="5867306" y="3496838"/>
                </a:moveTo>
                <a:cubicBezTo>
                  <a:pt x="5848339" y="3496838"/>
                  <a:pt x="5832953" y="3512430"/>
                  <a:pt x="5832953" y="3531658"/>
                </a:cubicBezTo>
                <a:cubicBezTo>
                  <a:pt x="5832953" y="3550887"/>
                  <a:pt x="5848339" y="3566479"/>
                  <a:pt x="5867306" y="3566479"/>
                </a:cubicBezTo>
                <a:cubicBezTo>
                  <a:pt x="5886273" y="3566479"/>
                  <a:pt x="5901646" y="3550887"/>
                  <a:pt x="5901646" y="3531658"/>
                </a:cubicBezTo>
                <a:cubicBezTo>
                  <a:pt x="5901646" y="3512430"/>
                  <a:pt x="5886273" y="3496838"/>
                  <a:pt x="5867306" y="3496838"/>
                </a:cubicBezTo>
                <a:close/>
                <a:moveTo>
                  <a:pt x="5951047" y="3496838"/>
                </a:moveTo>
                <a:cubicBezTo>
                  <a:pt x="5932080" y="3496838"/>
                  <a:pt x="5916694" y="3512430"/>
                  <a:pt x="5916694" y="3531658"/>
                </a:cubicBezTo>
                <a:cubicBezTo>
                  <a:pt x="5916694" y="3550887"/>
                  <a:pt x="5932080" y="3566479"/>
                  <a:pt x="5951047" y="3566479"/>
                </a:cubicBezTo>
                <a:cubicBezTo>
                  <a:pt x="5970014" y="3566479"/>
                  <a:pt x="5985387" y="3550887"/>
                  <a:pt x="5985387" y="3531658"/>
                </a:cubicBezTo>
                <a:cubicBezTo>
                  <a:pt x="5985387" y="3512430"/>
                  <a:pt x="5970014" y="3496838"/>
                  <a:pt x="5951047" y="3496838"/>
                </a:cubicBezTo>
                <a:close/>
                <a:moveTo>
                  <a:pt x="6034789" y="3496838"/>
                </a:moveTo>
                <a:cubicBezTo>
                  <a:pt x="6015822" y="3496838"/>
                  <a:pt x="6000436" y="3512430"/>
                  <a:pt x="6000436" y="3531658"/>
                </a:cubicBezTo>
                <a:cubicBezTo>
                  <a:pt x="6000436" y="3550887"/>
                  <a:pt x="6015822" y="3566479"/>
                  <a:pt x="6034789" y="3566479"/>
                </a:cubicBezTo>
                <a:cubicBezTo>
                  <a:pt x="6053756" y="3566479"/>
                  <a:pt x="6069130" y="3550887"/>
                  <a:pt x="6069130" y="3531658"/>
                </a:cubicBezTo>
                <a:cubicBezTo>
                  <a:pt x="6069130" y="3512430"/>
                  <a:pt x="6053756" y="3496838"/>
                  <a:pt x="6034789" y="3496838"/>
                </a:cubicBezTo>
                <a:close/>
                <a:moveTo>
                  <a:pt x="6118531" y="3496838"/>
                </a:moveTo>
                <a:cubicBezTo>
                  <a:pt x="6099564" y="3496838"/>
                  <a:pt x="6084177" y="3512430"/>
                  <a:pt x="6084177" y="3531658"/>
                </a:cubicBezTo>
                <a:cubicBezTo>
                  <a:pt x="6084177" y="3550887"/>
                  <a:pt x="6099564" y="3566479"/>
                  <a:pt x="6118531" y="3566479"/>
                </a:cubicBezTo>
                <a:cubicBezTo>
                  <a:pt x="6137498" y="3566479"/>
                  <a:pt x="6152871" y="3550887"/>
                  <a:pt x="6152871" y="3531658"/>
                </a:cubicBezTo>
                <a:cubicBezTo>
                  <a:pt x="6152871" y="3512430"/>
                  <a:pt x="6137498" y="3496838"/>
                  <a:pt x="6118531" y="3496838"/>
                </a:cubicBezTo>
                <a:close/>
                <a:moveTo>
                  <a:pt x="6202273" y="3496838"/>
                </a:moveTo>
                <a:cubicBezTo>
                  <a:pt x="6183306" y="3496838"/>
                  <a:pt x="6167920" y="3512430"/>
                  <a:pt x="6167920" y="3531658"/>
                </a:cubicBezTo>
                <a:cubicBezTo>
                  <a:pt x="6167920" y="3550887"/>
                  <a:pt x="6183306" y="3566479"/>
                  <a:pt x="6202273" y="3566479"/>
                </a:cubicBezTo>
                <a:cubicBezTo>
                  <a:pt x="6221240" y="3566479"/>
                  <a:pt x="6236613" y="3550887"/>
                  <a:pt x="6236613" y="3531658"/>
                </a:cubicBezTo>
                <a:cubicBezTo>
                  <a:pt x="6236613" y="3512430"/>
                  <a:pt x="6221240" y="3496838"/>
                  <a:pt x="6202273" y="3496838"/>
                </a:cubicBezTo>
                <a:close/>
                <a:moveTo>
                  <a:pt x="6286014" y="3496838"/>
                </a:moveTo>
                <a:cubicBezTo>
                  <a:pt x="6267047" y="3496838"/>
                  <a:pt x="6251661" y="3512430"/>
                  <a:pt x="6251661" y="3531658"/>
                </a:cubicBezTo>
                <a:cubicBezTo>
                  <a:pt x="6251661" y="3550887"/>
                  <a:pt x="6267047" y="3566479"/>
                  <a:pt x="6286014" y="3566479"/>
                </a:cubicBezTo>
                <a:cubicBezTo>
                  <a:pt x="6304981" y="3566479"/>
                  <a:pt x="6320354" y="3550887"/>
                  <a:pt x="6320354" y="3531658"/>
                </a:cubicBezTo>
                <a:cubicBezTo>
                  <a:pt x="6320354" y="3512430"/>
                  <a:pt x="6304981" y="3496838"/>
                  <a:pt x="6286014" y="3496838"/>
                </a:cubicBezTo>
                <a:close/>
                <a:moveTo>
                  <a:pt x="6369755" y="3496838"/>
                </a:moveTo>
                <a:cubicBezTo>
                  <a:pt x="6350788" y="3496838"/>
                  <a:pt x="6335402" y="3512430"/>
                  <a:pt x="6335402" y="3531658"/>
                </a:cubicBezTo>
                <a:cubicBezTo>
                  <a:pt x="6335402" y="3550887"/>
                  <a:pt x="6350788" y="3566479"/>
                  <a:pt x="6369755" y="3566479"/>
                </a:cubicBezTo>
                <a:cubicBezTo>
                  <a:pt x="6388722" y="3566479"/>
                  <a:pt x="6404096" y="3550887"/>
                  <a:pt x="6404096" y="3531658"/>
                </a:cubicBezTo>
                <a:cubicBezTo>
                  <a:pt x="6404096" y="3512430"/>
                  <a:pt x="6388722" y="3496838"/>
                  <a:pt x="6369755" y="3496838"/>
                </a:cubicBezTo>
                <a:close/>
                <a:moveTo>
                  <a:pt x="6453498" y="3496838"/>
                </a:moveTo>
                <a:cubicBezTo>
                  <a:pt x="6434531" y="3496838"/>
                  <a:pt x="6419144" y="3512430"/>
                  <a:pt x="6419144" y="3531658"/>
                </a:cubicBezTo>
                <a:cubicBezTo>
                  <a:pt x="6419144" y="3550887"/>
                  <a:pt x="6434531" y="3566479"/>
                  <a:pt x="6453498" y="3566479"/>
                </a:cubicBezTo>
                <a:cubicBezTo>
                  <a:pt x="6472465" y="3566479"/>
                  <a:pt x="6487838" y="3550887"/>
                  <a:pt x="6487838" y="3531658"/>
                </a:cubicBezTo>
                <a:cubicBezTo>
                  <a:pt x="6487838" y="3512430"/>
                  <a:pt x="6472465" y="3496838"/>
                  <a:pt x="6453498" y="3496838"/>
                </a:cubicBezTo>
                <a:close/>
                <a:moveTo>
                  <a:pt x="6537239" y="3496838"/>
                </a:moveTo>
                <a:cubicBezTo>
                  <a:pt x="6518272" y="3496838"/>
                  <a:pt x="6502886" y="3512430"/>
                  <a:pt x="6502886" y="3531658"/>
                </a:cubicBezTo>
                <a:cubicBezTo>
                  <a:pt x="6502886" y="3550887"/>
                  <a:pt x="6518272" y="3566479"/>
                  <a:pt x="6537239" y="3566479"/>
                </a:cubicBezTo>
                <a:cubicBezTo>
                  <a:pt x="6556206" y="3566479"/>
                  <a:pt x="6571579" y="3550887"/>
                  <a:pt x="6571579" y="3531658"/>
                </a:cubicBezTo>
                <a:cubicBezTo>
                  <a:pt x="6571579" y="3512430"/>
                  <a:pt x="6556206" y="3496838"/>
                  <a:pt x="6537239" y="3496838"/>
                </a:cubicBezTo>
                <a:close/>
                <a:moveTo>
                  <a:pt x="6620980" y="3496838"/>
                </a:moveTo>
                <a:cubicBezTo>
                  <a:pt x="6602013" y="3496838"/>
                  <a:pt x="6586627" y="3512430"/>
                  <a:pt x="6586627" y="3531658"/>
                </a:cubicBezTo>
                <a:cubicBezTo>
                  <a:pt x="6586627" y="3550887"/>
                  <a:pt x="6602013" y="3566479"/>
                  <a:pt x="6620980" y="3566479"/>
                </a:cubicBezTo>
                <a:cubicBezTo>
                  <a:pt x="6639947" y="3566479"/>
                  <a:pt x="6655320" y="3550887"/>
                  <a:pt x="6655320" y="3531658"/>
                </a:cubicBezTo>
                <a:cubicBezTo>
                  <a:pt x="6655320" y="3512430"/>
                  <a:pt x="6639947" y="3496838"/>
                  <a:pt x="6620980" y="3496838"/>
                </a:cubicBezTo>
                <a:close/>
                <a:moveTo>
                  <a:pt x="6704722" y="3496838"/>
                </a:moveTo>
                <a:cubicBezTo>
                  <a:pt x="6685755" y="3496838"/>
                  <a:pt x="6670369" y="3512430"/>
                  <a:pt x="6670369" y="3531658"/>
                </a:cubicBezTo>
                <a:cubicBezTo>
                  <a:pt x="6670369" y="3550887"/>
                  <a:pt x="6685755" y="3566479"/>
                  <a:pt x="6704722" y="3566479"/>
                </a:cubicBezTo>
                <a:cubicBezTo>
                  <a:pt x="6723689" y="3566479"/>
                  <a:pt x="6739063" y="3550887"/>
                  <a:pt x="6739063" y="3531658"/>
                </a:cubicBezTo>
                <a:cubicBezTo>
                  <a:pt x="6739063" y="3512430"/>
                  <a:pt x="6723689" y="3496838"/>
                  <a:pt x="6704722" y="3496838"/>
                </a:cubicBezTo>
                <a:close/>
                <a:moveTo>
                  <a:pt x="6788464" y="3496838"/>
                </a:moveTo>
                <a:cubicBezTo>
                  <a:pt x="6769497" y="3496838"/>
                  <a:pt x="6754110" y="3512430"/>
                  <a:pt x="6754110" y="3531658"/>
                </a:cubicBezTo>
                <a:cubicBezTo>
                  <a:pt x="6754110" y="3550887"/>
                  <a:pt x="6769497" y="3566479"/>
                  <a:pt x="6788464" y="3566479"/>
                </a:cubicBezTo>
                <a:cubicBezTo>
                  <a:pt x="6807431" y="3566479"/>
                  <a:pt x="6822804" y="3550887"/>
                  <a:pt x="6822804" y="3531658"/>
                </a:cubicBezTo>
                <a:cubicBezTo>
                  <a:pt x="6822804" y="3512430"/>
                  <a:pt x="6807431" y="3496838"/>
                  <a:pt x="6788464" y="3496838"/>
                </a:cubicBezTo>
                <a:close/>
                <a:moveTo>
                  <a:pt x="6872206" y="3496838"/>
                </a:moveTo>
                <a:cubicBezTo>
                  <a:pt x="6853239" y="3496838"/>
                  <a:pt x="6837853" y="3512430"/>
                  <a:pt x="6837853" y="3531658"/>
                </a:cubicBezTo>
                <a:cubicBezTo>
                  <a:pt x="6837853" y="3550887"/>
                  <a:pt x="6853239" y="3566479"/>
                  <a:pt x="6872206" y="3566479"/>
                </a:cubicBezTo>
                <a:cubicBezTo>
                  <a:pt x="6891173" y="3566479"/>
                  <a:pt x="6906546" y="3550887"/>
                  <a:pt x="6906546" y="3531658"/>
                </a:cubicBezTo>
                <a:cubicBezTo>
                  <a:pt x="6906546" y="3512430"/>
                  <a:pt x="6891173" y="3496838"/>
                  <a:pt x="6872206" y="3496838"/>
                </a:cubicBezTo>
                <a:close/>
                <a:moveTo>
                  <a:pt x="7123456" y="3496838"/>
                </a:moveTo>
                <a:cubicBezTo>
                  <a:pt x="7104489" y="3496838"/>
                  <a:pt x="7089103" y="3512430"/>
                  <a:pt x="7089103" y="3531658"/>
                </a:cubicBezTo>
                <a:cubicBezTo>
                  <a:pt x="7089103" y="3550887"/>
                  <a:pt x="7104489" y="3566479"/>
                  <a:pt x="7123456" y="3566479"/>
                </a:cubicBezTo>
                <a:cubicBezTo>
                  <a:pt x="7142423" y="3566479"/>
                  <a:pt x="7157796" y="3550887"/>
                  <a:pt x="7157796" y="3531658"/>
                </a:cubicBezTo>
                <a:cubicBezTo>
                  <a:pt x="7157796" y="3512430"/>
                  <a:pt x="7142423" y="3496838"/>
                  <a:pt x="7123456" y="3496838"/>
                </a:cubicBezTo>
                <a:close/>
                <a:moveTo>
                  <a:pt x="7207198" y="3496838"/>
                </a:moveTo>
                <a:cubicBezTo>
                  <a:pt x="7188231" y="3496838"/>
                  <a:pt x="7172845" y="3512430"/>
                  <a:pt x="7172845" y="3531658"/>
                </a:cubicBezTo>
                <a:cubicBezTo>
                  <a:pt x="7172845" y="3550887"/>
                  <a:pt x="7188231" y="3566479"/>
                  <a:pt x="7207198" y="3566479"/>
                </a:cubicBezTo>
                <a:cubicBezTo>
                  <a:pt x="7226165" y="3566479"/>
                  <a:pt x="7241538" y="3550887"/>
                  <a:pt x="7241538" y="3531658"/>
                </a:cubicBezTo>
                <a:cubicBezTo>
                  <a:pt x="7241538" y="3512430"/>
                  <a:pt x="7226165" y="3496838"/>
                  <a:pt x="7207198" y="3496838"/>
                </a:cubicBezTo>
                <a:close/>
                <a:moveTo>
                  <a:pt x="7290939" y="3496838"/>
                </a:moveTo>
                <a:cubicBezTo>
                  <a:pt x="7271972" y="3496838"/>
                  <a:pt x="7256586" y="3512430"/>
                  <a:pt x="7256586" y="3531658"/>
                </a:cubicBezTo>
                <a:cubicBezTo>
                  <a:pt x="7256586" y="3550887"/>
                  <a:pt x="7271972" y="3566479"/>
                  <a:pt x="7290939" y="3566479"/>
                </a:cubicBezTo>
                <a:cubicBezTo>
                  <a:pt x="7309906" y="3566479"/>
                  <a:pt x="7325279" y="3550887"/>
                  <a:pt x="7325279" y="3531658"/>
                </a:cubicBezTo>
                <a:cubicBezTo>
                  <a:pt x="7325279" y="3512430"/>
                  <a:pt x="7309906" y="3496838"/>
                  <a:pt x="7290939" y="3496838"/>
                </a:cubicBezTo>
                <a:close/>
                <a:moveTo>
                  <a:pt x="7374681" y="3496838"/>
                </a:moveTo>
                <a:cubicBezTo>
                  <a:pt x="7355714" y="3496838"/>
                  <a:pt x="7340328" y="3512430"/>
                  <a:pt x="7340328" y="3531658"/>
                </a:cubicBezTo>
                <a:cubicBezTo>
                  <a:pt x="7340328" y="3550887"/>
                  <a:pt x="7355714" y="3566479"/>
                  <a:pt x="7374681" y="3566479"/>
                </a:cubicBezTo>
                <a:cubicBezTo>
                  <a:pt x="7393648" y="3566479"/>
                  <a:pt x="7409022" y="3550887"/>
                  <a:pt x="7409022" y="3531658"/>
                </a:cubicBezTo>
                <a:cubicBezTo>
                  <a:pt x="7409022" y="3512430"/>
                  <a:pt x="7393648" y="3496838"/>
                  <a:pt x="7374681" y="3496838"/>
                </a:cubicBezTo>
                <a:close/>
                <a:moveTo>
                  <a:pt x="7542164" y="3496838"/>
                </a:moveTo>
                <a:cubicBezTo>
                  <a:pt x="7523197" y="3496838"/>
                  <a:pt x="7507811" y="3512430"/>
                  <a:pt x="7507811" y="3531658"/>
                </a:cubicBezTo>
                <a:cubicBezTo>
                  <a:pt x="7507811" y="3550887"/>
                  <a:pt x="7523197" y="3566479"/>
                  <a:pt x="7542164" y="3566479"/>
                </a:cubicBezTo>
                <a:cubicBezTo>
                  <a:pt x="7561131" y="3566479"/>
                  <a:pt x="7576504" y="3550887"/>
                  <a:pt x="7576504" y="3531658"/>
                </a:cubicBezTo>
                <a:cubicBezTo>
                  <a:pt x="7576504" y="3512430"/>
                  <a:pt x="7561131" y="3496838"/>
                  <a:pt x="7542164" y="3496838"/>
                </a:cubicBezTo>
                <a:close/>
                <a:moveTo>
                  <a:pt x="7960872" y="3496838"/>
                </a:moveTo>
                <a:cubicBezTo>
                  <a:pt x="7941905" y="3496838"/>
                  <a:pt x="7926519" y="3512430"/>
                  <a:pt x="7926519" y="3531658"/>
                </a:cubicBezTo>
                <a:cubicBezTo>
                  <a:pt x="7926519" y="3550887"/>
                  <a:pt x="7941905" y="3566479"/>
                  <a:pt x="7960872" y="3566479"/>
                </a:cubicBezTo>
                <a:cubicBezTo>
                  <a:pt x="7979839" y="3566479"/>
                  <a:pt x="7995212" y="3550887"/>
                  <a:pt x="7995212" y="3531658"/>
                </a:cubicBezTo>
                <a:cubicBezTo>
                  <a:pt x="7995212" y="3512430"/>
                  <a:pt x="7979839" y="3496838"/>
                  <a:pt x="7960872" y="3496838"/>
                </a:cubicBezTo>
                <a:close/>
                <a:moveTo>
                  <a:pt x="8044614" y="3496838"/>
                </a:moveTo>
                <a:cubicBezTo>
                  <a:pt x="8025647" y="3496838"/>
                  <a:pt x="8010261" y="3512430"/>
                  <a:pt x="8010261" y="3531658"/>
                </a:cubicBezTo>
                <a:cubicBezTo>
                  <a:pt x="8010261" y="3550887"/>
                  <a:pt x="8025647" y="3566479"/>
                  <a:pt x="8044614" y="3566479"/>
                </a:cubicBezTo>
                <a:cubicBezTo>
                  <a:pt x="8063581" y="3566479"/>
                  <a:pt x="8078955" y="3550887"/>
                  <a:pt x="8078955" y="3531658"/>
                </a:cubicBezTo>
                <a:cubicBezTo>
                  <a:pt x="8078955" y="3512430"/>
                  <a:pt x="8063581" y="3496838"/>
                  <a:pt x="8044614" y="3496838"/>
                </a:cubicBezTo>
                <a:close/>
                <a:moveTo>
                  <a:pt x="8128356" y="3496838"/>
                </a:moveTo>
                <a:cubicBezTo>
                  <a:pt x="8109389" y="3496838"/>
                  <a:pt x="8094003" y="3512430"/>
                  <a:pt x="8094003" y="3531658"/>
                </a:cubicBezTo>
                <a:cubicBezTo>
                  <a:pt x="8094003" y="3550887"/>
                  <a:pt x="8109389" y="3566479"/>
                  <a:pt x="8128356" y="3566479"/>
                </a:cubicBezTo>
                <a:cubicBezTo>
                  <a:pt x="8147323" y="3566479"/>
                  <a:pt x="8162696" y="3550887"/>
                  <a:pt x="8162696" y="3531658"/>
                </a:cubicBezTo>
                <a:cubicBezTo>
                  <a:pt x="8162696" y="3512430"/>
                  <a:pt x="8147323" y="3496838"/>
                  <a:pt x="8128356" y="3496838"/>
                </a:cubicBezTo>
                <a:close/>
                <a:moveTo>
                  <a:pt x="8212097" y="3496838"/>
                </a:moveTo>
                <a:cubicBezTo>
                  <a:pt x="8193130" y="3496838"/>
                  <a:pt x="8177744" y="3512430"/>
                  <a:pt x="8177744" y="3531658"/>
                </a:cubicBezTo>
                <a:cubicBezTo>
                  <a:pt x="8177744" y="3550887"/>
                  <a:pt x="8193130" y="3566479"/>
                  <a:pt x="8212097" y="3566479"/>
                </a:cubicBezTo>
                <a:cubicBezTo>
                  <a:pt x="8231064" y="3566479"/>
                  <a:pt x="8246437" y="3550887"/>
                  <a:pt x="8246437" y="3531658"/>
                </a:cubicBezTo>
                <a:cubicBezTo>
                  <a:pt x="8246437" y="3512430"/>
                  <a:pt x="8231064" y="3496838"/>
                  <a:pt x="8212097" y="3496838"/>
                </a:cubicBezTo>
                <a:close/>
                <a:moveTo>
                  <a:pt x="8295839" y="3496838"/>
                </a:moveTo>
                <a:cubicBezTo>
                  <a:pt x="8276872" y="3496838"/>
                  <a:pt x="8261486" y="3512430"/>
                  <a:pt x="8261486" y="3531658"/>
                </a:cubicBezTo>
                <a:cubicBezTo>
                  <a:pt x="8261486" y="3550887"/>
                  <a:pt x="8276872" y="3566479"/>
                  <a:pt x="8295839" y="3566479"/>
                </a:cubicBezTo>
                <a:cubicBezTo>
                  <a:pt x="8314806" y="3566479"/>
                  <a:pt x="8330179" y="3550887"/>
                  <a:pt x="8330179" y="3531658"/>
                </a:cubicBezTo>
                <a:cubicBezTo>
                  <a:pt x="8330179" y="3512430"/>
                  <a:pt x="8314806" y="3496838"/>
                  <a:pt x="8295839" y="3496838"/>
                </a:cubicBezTo>
                <a:close/>
                <a:moveTo>
                  <a:pt x="8379580" y="3496838"/>
                </a:moveTo>
                <a:cubicBezTo>
                  <a:pt x="8360613" y="3496838"/>
                  <a:pt x="8345227" y="3512430"/>
                  <a:pt x="8345227" y="3531658"/>
                </a:cubicBezTo>
                <a:cubicBezTo>
                  <a:pt x="8345227" y="3550887"/>
                  <a:pt x="8360613" y="3566479"/>
                  <a:pt x="8379580" y="3566479"/>
                </a:cubicBezTo>
                <a:cubicBezTo>
                  <a:pt x="8398547" y="3566479"/>
                  <a:pt x="8413921" y="3550887"/>
                  <a:pt x="8413921" y="3531658"/>
                </a:cubicBezTo>
                <a:cubicBezTo>
                  <a:pt x="8413921" y="3512430"/>
                  <a:pt x="8398547" y="3496838"/>
                  <a:pt x="8379580" y="3496838"/>
                </a:cubicBezTo>
                <a:close/>
                <a:moveTo>
                  <a:pt x="8463323" y="3496838"/>
                </a:moveTo>
                <a:cubicBezTo>
                  <a:pt x="8444356" y="3496838"/>
                  <a:pt x="8428970" y="3512430"/>
                  <a:pt x="8428970" y="3531658"/>
                </a:cubicBezTo>
                <a:cubicBezTo>
                  <a:pt x="8428970" y="3550887"/>
                  <a:pt x="8444356" y="3566479"/>
                  <a:pt x="8463323" y="3566479"/>
                </a:cubicBezTo>
                <a:cubicBezTo>
                  <a:pt x="8482290" y="3566479"/>
                  <a:pt x="8497663" y="3550887"/>
                  <a:pt x="8497663" y="3531658"/>
                </a:cubicBezTo>
                <a:cubicBezTo>
                  <a:pt x="8497663" y="3512430"/>
                  <a:pt x="8482290" y="3496838"/>
                  <a:pt x="8463323" y="3496838"/>
                </a:cubicBezTo>
                <a:close/>
                <a:moveTo>
                  <a:pt x="8547064" y="3496838"/>
                </a:moveTo>
                <a:cubicBezTo>
                  <a:pt x="8528097" y="3496838"/>
                  <a:pt x="8512711" y="3512430"/>
                  <a:pt x="8512711" y="3531658"/>
                </a:cubicBezTo>
                <a:cubicBezTo>
                  <a:pt x="8512711" y="3550887"/>
                  <a:pt x="8528097" y="3566479"/>
                  <a:pt x="8547064" y="3566479"/>
                </a:cubicBezTo>
                <a:cubicBezTo>
                  <a:pt x="8566031" y="3566479"/>
                  <a:pt x="8581404" y="3550887"/>
                  <a:pt x="8581404" y="3531658"/>
                </a:cubicBezTo>
                <a:cubicBezTo>
                  <a:pt x="8581404" y="3512430"/>
                  <a:pt x="8566031" y="3496838"/>
                  <a:pt x="8547064" y="3496838"/>
                </a:cubicBezTo>
                <a:close/>
                <a:moveTo>
                  <a:pt x="8630805" y="3496838"/>
                </a:moveTo>
                <a:cubicBezTo>
                  <a:pt x="8611838" y="3496838"/>
                  <a:pt x="8596452" y="3512430"/>
                  <a:pt x="8596452" y="3531658"/>
                </a:cubicBezTo>
                <a:cubicBezTo>
                  <a:pt x="8596452" y="3550887"/>
                  <a:pt x="8611838" y="3566479"/>
                  <a:pt x="8630805" y="3566479"/>
                </a:cubicBezTo>
                <a:cubicBezTo>
                  <a:pt x="8649772" y="3566479"/>
                  <a:pt x="8665145" y="3550887"/>
                  <a:pt x="8665145" y="3531658"/>
                </a:cubicBezTo>
                <a:cubicBezTo>
                  <a:pt x="8665145" y="3512430"/>
                  <a:pt x="8649772" y="3496838"/>
                  <a:pt x="8630805" y="3496838"/>
                </a:cubicBezTo>
                <a:close/>
                <a:moveTo>
                  <a:pt x="8714547" y="3496838"/>
                </a:moveTo>
                <a:cubicBezTo>
                  <a:pt x="8695580" y="3496838"/>
                  <a:pt x="8680194" y="3512430"/>
                  <a:pt x="8680194" y="3531658"/>
                </a:cubicBezTo>
                <a:cubicBezTo>
                  <a:pt x="8680194" y="3550887"/>
                  <a:pt x="8695580" y="3566479"/>
                  <a:pt x="8714547" y="3566479"/>
                </a:cubicBezTo>
                <a:cubicBezTo>
                  <a:pt x="8733514" y="3566479"/>
                  <a:pt x="8748888" y="3550887"/>
                  <a:pt x="8748888" y="3531658"/>
                </a:cubicBezTo>
                <a:cubicBezTo>
                  <a:pt x="8748888" y="3512430"/>
                  <a:pt x="8733514" y="3496838"/>
                  <a:pt x="8714547" y="3496838"/>
                </a:cubicBezTo>
                <a:close/>
                <a:moveTo>
                  <a:pt x="8798289" y="3496838"/>
                </a:moveTo>
                <a:cubicBezTo>
                  <a:pt x="8779322" y="3496838"/>
                  <a:pt x="8763936" y="3512430"/>
                  <a:pt x="8763936" y="3531658"/>
                </a:cubicBezTo>
                <a:cubicBezTo>
                  <a:pt x="8763936" y="3550887"/>
                  <a:pt x="8779322" y="3566479"/>
                  <a:pt x="8798289" y="3566479"/>
                </a:cubicBezTo>
                <a:cubicBezTo>
                  <a:pt x="8817256" y="3566479"/>
                  <a:pt x="8832629" y="3550887"/>
                  <a:pt x="8832629" y="3531658"/>
                </a:cubicBezTo>
                <a:cubicBezTo>
                  <a:pt x="8832629" y="3512430"/>
                  <a:pt x="8817256" y="3496838"/>
                  <a:pt x="8798289" y="3496838"/>
                </a:cubicBezTo>
                <a:close/>
                <a:moveTo>
                  <a:pt x="8882030" y="3496838"/>
                </a:moveTo>
                <a:cubicBezTo>
                  <a:pt x="8863063" y="3496838"/>
                  <a:pt x="8847677" y="3512430"/>
                  <a:pt x="8847677" y="3531658"/>
                </a:cubicBezTo>
                <a:cubicBezTo>
                  <a:pt x="8847677" y="3550887"/>
                  <a:pt x="8863063" y="3566479"/>
                  <a:pt x="8882030" y="3566479"/>
                </a:cubicBezTo>
                <a:cubicBezTo>
                  <a:pt x="8900997" y="3566479"/>
                  <a:pt x="8916370" y="3550887"/>
                  <a:pt x="8916370" y="3531658"/>
                </a:cubicBezTo>
                <a:cubicBezTo>
                  <a:pt x="8916370" y="3512430"/>
                  <a:pt x="8900997" y="3496838"/>
                  <a:pt x="8882030" y="3496838"/>
                </a:cubicBezTo>
                <a:close/>
                <a:moveTo>
                  <a:pt x="8965772" y="3496838"/>
                </a:moveTo>
                <a:cubicBezTo>
                  <a:pt x="8946805" y="3496838"/>
                  <a:pt x="8931419" y="3512430"/>
                  <a:pt x="8931419" y="3531658"/>
                </a:cubicBezTo>
                <a:cubicBezTo>
                  <a:pt x="8931419" y="3550887"/>
                  <a:pt x="8946805" y="3566479"/>
                  <a:pt x="8965772" y="3566479"/>
                </a:cubicBezTo>
                <a:cubicBezTo>
                  <a:pt x="8984739" y="3566479"/>
                  <a:pt x="9000112" y="3550887"/>
                  <a:pt x="9000112" y="3531658"/>
                </a:cubicBezTo>
                <a:cubicBezTo>
                  <a:pt x="9000112" y="3512430"/>
                  <a:pt x="8984739" y="3496838"/>
                  <a:pt x="8965772" y="3496838"/>
                </a:cubicBezTo>
                <a:close/>
                <a:moveTo>
                  <a:pt x="9049513" y="3496838"/>
                </a:moveTo>
                <a:cubicBezTo>
                  <a:pt x="9030546" y="3496838"/>
                  <a:pt x="9015160" y="3512430"/>
                  <a:pt x="9015160" y="3531658"/>
                </a:cubicBezTo>
                <a:cubicBezTo>
                  <a:pt x="9015160" y="3550887"/>
                  <a:pt x="9030546" y="3566479"/>
                  <a:pt x="9049513" y="3566479"/>
                </a:cubicBezTo>
                <a:cubicBezTo>
                  <a:pt x="9068480" y="3566479"/>
                  <a:pt x="9083854" y="3550887"/>
                  <a:pt x="9083854" y="3531658"/>
                </a:cubicBezTo>
                <a:cubicBezTo>
                  <a:pt x="9083854" y="3512430"/>
                  <a:pt x="9068480" y="3496838"/>
                  <a:pt x="9049513" y="3496838"/>
                </a:cubicBezTo>
                <a:close/>
                <a:moveTo>
                  <a:pt x="9133256" y="3496838"/>
                </a:moveTo>
                <a:cubicBezTo>
                  <a:pt x="9114289" y="3496838"/>
                  <a:pt x="9098903" y="3512430"/>
                  <a:pt x="9098903" y="3531658"/>
                </a:cubicBezTo>
                <a:cubicBezTo>
                  <a:pt x="9098903" y="3550887"/>
                  <a:pt x="9114289" y="3566479"/>
                  <a:pt x="9133256" y="3566479"/>
                </a:cubicBezTo>
                <a:cubicBezTo>
                  <a:pt x="9152223" y="3566479"/>
                  <a:pt x="9167596" y="3550887"/>
                  <a:pt x="9167596" y="3531658"/>
                </a:cubicBezTo>
                <a:cubicBezTo>
                  <a:pt x="9167596" y="3512430"/>
                  <a:pt x="9152223" y="3496838"/>
                  <a:pt x="9133256" y="3496838"/>
                </a:cubicBezTo>
                <a:close/>
                <a:moveTo>
                  <a:pt x="9216997" y="3496838"/>
                </a:moveTo>
                <a:cubicBezTo>
                  <a:pt x="9198030" y="3496838"/>
                  <a:pt x="9182644" y="3512430"/>
                  <a:pt x="9182644" y="3531658"/>
                </a:cubicBezTo>
                <a:cubicBezTo>
                  <a:pt x="9182644" y="3550887"/>
                  <a:pt x="9198030" y="3566479"/>
                  <a:pt x="9216997" y="3566479"/>
                </a:cubicBezTo>
                <a:cubicBezTo>
                  <a:pt x="9235964" y="3566479"/>
                  <a:pt x="9251337" y="3550887"/>
                  <a:pt x="9251337" y="3531658"/>
                </a:cubicBezTo>
                <a:cubicBezTo>
                  <a:pt x="9251337" y="3512430"/>
                  <a:pt x="9235964" y="3496838"/>
                  <a:pt x="9216997" y="3496838"/>
                </a:cubicBezTo>
                <a:close/>
                <a:moveTo>
                  <a:pt x="9300738" y="3496838"/>
                </a:moveTo>
                <a:cubicBezTo>
                  <a:pt x="9281771" y="3496838"/>
                  <a:pt x="9266385" y="3512430"/>
                  <a:pt x="9266385" y="3531658"/>
                </a:cubicBezTo>
                <a:cubicBezTo>
                  <a:pt x="9266385" y="3550887"/>
                  <a:pt x="9281771" y="3566479"/>
                  <a:pt x="9300738" y="3566479"/>
                </a:cubicBezTo>
                <a:cubicBezTo>
                  <a:pt x="9319705" y="3566479"/>
                  <a:pt x="9335078" y="3550887"/>
                  <a:pt x="9335078" y="3531658"/>
                </a:cubicBezTo>
                <a:cubicBezTo>
                  <a:pt x="9335078" y="3512430"/>
                  <a:pt x="9319705" y="3496838"/>
                  <a:pt x="9300738" y="3496838"/>
                </a:cubicBezTo>
                <a:close/>
                <a:moveTo>
                  <a:pt x="9384480" y="3496838"/>
                </a:moveTo>
                <a:cubicBezTo>
                  <a:pt x="9365513" y="3496838"/>
                  <a:pt x="9350127" y="3512430"/>
                  <a:pt x="9350127" y="3531658"/>
                </a:cubicBezTo>
                <a:cubicBezTo>
                  <a:pt x="9350127" y="3550887"/>
                  <a:pt x="9365513" y="3566479"/>
                  <a:pt x="9384480" y="3566479"/>
                </a:cubicBezTo>
                <a:cubicBezTo>
                  <a:pt x="9403447" y="3566479"/>
                  <a:pt x="9418821" y="3550887"/>
                  <a:pt x="9418821" y="3531658"/>
                </a:cubicBezTo>
                <a:cubicBezTo>
                  <a:pt x="9418821" y="3512430"/>
                  <a:pt x="9403447" y="3496838"/>
                  <a:pt x="9384480" y="3496838"/>
                </a:cubicBezTo>
                <a:close/>
                <a:moveTo>
                  <a:pt x="9551963" y="3496838"/>
                </a:moveTo>
                <a:cubicBezTo>
                  <a:pt x="9532996" y="3496838"/>
                  <a:pt x="9517610" y="3512430"/>
                  <a:pt x="9517610" y="3531658"/>
                </a:cubicBezTo>
                <a:cubicBezTo>
                  <a:pt x="9517610" y="3550887"/>
                  <a:pt x="9532996" y="3566479"/>
                  <a:pt x="9551963" y="3566479"/>
                </a:cubicBezTo>
                <a:cubicBezTo>
                  <a:pt x="9570930" y="3566479"/>
                  <a:pt x="9586303" y="3550887"/>
                  <a:pt x="9586303" y="3531658"/>
                </a:cubicBezTo>
                <a:cubicBezTo>
                  <a:pt x="9586303" y="3512430"/>
                  <a:pt x="9570930" y="3496838"/>
                  <a:pt x="9551963" y="3496838"/>
                </a:cubicBezTo>
                <a:close/>
                <a:moveTo>
                  <a:pt x="1094030" y="3581702"/>
                </a:moveTo>
                <a:cubicBezTo>
                  <a:pt x="1075063" y="3581702"/>
                  <a:pt x="1059683" y="3597293"/>
                  <a:pt x="1059683" y="3616522"/>
                </a:cubicBezTo>
                <a:cubicBezTo>
                  <a:pt x="1059683" y="3635751"/>
                  <a:pt x="1075063" y="3651342"/>
                  <a:pt x="1094030" y="3651342"/>
                </a:cubicBezTo>
                <a:cubicBezTo>
                  <a:pt x="1112997" y="3651342"/>
                  <a:pt x="1128377" y="3635751"/>
                  <a:pt x="1128377" y="3616522"/>
                </a:cubicBezTo>
                <a:cubicBezTo>
                  <a:pt x="1128377" y="3597293"/>
                  <a:pt x="1112997" y="3581702"/>
                  <a:pt x="1094030" y="3581702"/>
                </a:cubicBezTo>
                <a:close/>
                <a:moveTo>
                  <a:pt x="2685118" y="3581702"/>
                </a:moveTo>
                <a:cubicBezTo>
                  <a:pt x="2666151" y="3581702"/>
                  <a:pt x="2650771" y="3597293"/>
                  <a:pt x="2650771" y="3616522"/>
                </a:cubicBezTo>
                <a:cubicBezTo>
                  <a:pt x="2650771" y="3635751"/>
                  <a:pt x="2666151" y="3651342"/>
                  <a:pt x="2685118" y="3651342"/>
                </a:cubicBezTo>
                <a:cubicBezTo>
                  <a:pt x="2704085" y="3651342"/>
                  <a:pt x="2719465" y="3635751"/>
                  <a:pt x="2719465" y="3616522"/>
                </a:cubicBezTo>
                <a:cubicBezTo>
                  <a:pt x="2719465" y="3597293"/>
                  <a:pt x="2704085" y="3581702"/>
                  <a:pt x="2685118" y="3581702"/>
                </a:cubicBezTo>
                <a:close/>
                <a:moveTo>
                  <a:pt x="2768859" y="3581702"/>
                </a:moveTo>
                <a:cubicBezTo>
                  <a:pt x="2749892" y="3581702"/>
                  <a:pt x="2734512" y="3597293"/>
                  <a:pt x="2734512" y="3616522"/>
                </a:cubicBezTo>
                <a:cubicBezTo>
                  <a:pt x="2734512" y="3635751"/>
                  <a:pt x="2749892" y="3651342"/>
                  <a:pt x="2768859" y="3651342"/>
                </a:cubicBezTo>
                <a:cubicBezTo>
                  <a:pt x="2787826" y="3651342"/>
                  <a:pt x="2803206" y="3635751"/>
                  <a:pt x="2803206" y="3616522"/>
                </a:cubicBezTo>
                <a:cubicBezTo>
                  <a:pt x="2803206" y="3597293"/>
                  <a:pt x="2787826" y="3581702"/>
                  <a:pt x="2768859" y="3581702"/>
                </a:cubicBezTo>
                <a:close/>
                <a:moveTo>
                  <a:pt x="2852600" y="3581702"/>
                </a:moveTo>
                <a:cubicBezTo>
                  <a:pt x="2833633" y="3581702"/>
                  <a:pt x="2818254" y="3597293"/>
                  <a:pt x="2818254" y="3616522"/>
                </a:cubicBezTo>
                <a:cubicBezTo>
                  <a:pt x="2818254" y="3635751"/>
                  <a:pt x="2833633" y="3651342"/>
                  <a:pt x="2852600" y="3651342"/>
                </a:cubicBezTo>
                <a:cubicBezTo>
                  <a:pt x="2871567" y="3651342"/>
                  <a:pt x="2886947" y="3635751"/>
                  <a:pt x="2886947" y="3616522"/>
                </a:cubicBezTo>
                <a:cubicBezTo>
                  <a:pt x="2886947" y="3597293"/>
                  <a:pt x="2871567" y="3581702"/>
                  <a:pt x="2852600" y="3581702"/>
                </a:cubicBezTo>
                <a:close/>
                <a:moveTo>
                  <a:pt x="3187567" y="3581702"/>
                </a:moveTo>
                <a:cubicBezTo>
                  <a:pt x="3168600" y="3581702"/>
                  <a:pt x="3153221" y="3597293"/>
                  <a:pt x="3153221" y="3616522"/>
                </a:cubicBezTo>
                <a:cubicBezTo>
                  <a:pt x="3153221" y="3635751"/>
                  <a:pt x="3168600" y="3651342"/>
                  <a:pt x="3187567" y="3651342"/>
                </a:cubicBezTo>
                <a:cubicBezTo>
                  <a:pt x="3206534" y="3651342"/>
                  <a:pt x="3221914" y="3635751"/>
                  <a:pt x="3221914" y="3616522"/>
                </a:cubicBezTo>
                <a:cubicBezTo>
                  <a:pt x="3221914" y="3597293"/>
                  <a:pt x="3206534" y="3581702"/>
                  <a:pt x="3187567" y="3581702"/>
                </a:cubicBezTo>
                <a:close/>
                <a:moveTo>
                  <a:pt x="3355051" y="3581702"/>
                </a:moveTo>
                <a:cubicBezTo>
                  <a:pt x="3336084" y="3581702"/>
                  <a:pt x="3320704" y="3597293"/>
                  <a:pt x="3320704" y="3616522"/>
                </a:cubicBezTo>
                <a:cubicBezTo>
                  <a:pt x="3320704" y="3635751"/>
                  <a:pt x="3336084" y="3651342"/>
                  <a:pt x="3355051" y="3651342"/>
                </a:cubicBezTo>
                <a:cubicBezTo>
                  <a:pt x="3374018" y="3651342"/>
                  <a:pt x="3389398" y="3635751"/>
                  <a:pt x="3389398" y="3616522"/>
                </a:cubicBezTo>
                <a:cubicBezTo>
                  <a:pt x="3389398" y="3597293"/>
                  <a:pt x="3374018" y="3581702"/>
                  <a:pt x="3355051" y="3581702"/>
                </a:cubicBezTo>
                <a:close/>
                <a:moveTo>
                  <a:pt x="3438792" y="3581702"/>
                </a:moveTo>
                <a:cubicBezTo>
                  <a:pt x="3419825" y="3581702"/>
                  <a:pt x="3404445" y="3597293"/>
                  <a:pt x="3404445" y="3616522"/>
                </a:cubicBezTo>
                <a:cubicBezTo>
                  <a:pt x="3404445" y="3635751"/>
                  <a:pt x="3419825" y="3651342"/>
                  <a:pt x="3438792" y="3651342"/>
                </a:cubicBezTo>
                <a:cubicBezTo>
                  <a:pt x="3457759" y="3651342"/>
                  <a:pt x="3473139" y="3635751"/>
                  <a:pt x="3473139" y="3616522"/>
                </a:cubicBezTo>
                <a:cubicBezTo>
                  <a:pt x="3473139" y="3597293"/>
                  <a:pt x="3457759" y="3581702"/>
                  <a:pt x="3438792" y="3581702"/>
                </a:cubicBezTo>
                <a:close/>
                <a:moveTo>
                  <a:pt x="3522533" y="3581702"/>
                </a:moveTo>
                <a:cubicBezTo>
                  <a:pt x="3503566" y="3581702"/>
                  <a:pt x="3488187" y="3597293"/>
                  <a:pt x="3488187" y="3616522"/>
                </a:cubicBezTo>
                <a:cubicBezTo>
                  <a:pt x="3488187" y="3635751"/>
                  <a:pt x="3503566" y="3651342"/>
                  <a:pt x="3522533" y="3651342"/>
                </a:cubicBezTo>
                <a:cubicBezTo>
                  <a:pt x="3541500" y="3651342"/>
                  <a:pt x="3556880" y="3635751"/>
                  <a:pt x="3556880" y="3616522"/>
                </a:cubicBezTo>
                <a:cubicBezTo>
                  <a:pt x="3556880" y="3597293"/>
                  <a:pt x="3541500" y="3581702"/>
                  <a:pt x="3522533" y="3581702"/>
                </a:cubicBezTo>
                <a:close/>
                <a:moveTo>
                  <a:pt x="5364856" y="3581702"/>
                </a:moveTo>
                <a:cubicBezTo>
                  <a:pt x="5345889" y="3581702"/>
                  <a:pt x="5330503" y="3597293"/>
                  <a:pt x="5330503" y="3616522"/>
                </a:cubicBezTo>
                <a:cubicBezTo>
                  <a:pt x="5330503" y="3635751"/>
                  <a:pt x="5345889" y="3651342"/>
                  <a:pt x="5364856" y="3651342"/>
                </a:cubicBezTo>
                <a:cubicBezTo>
                  <a:pt x="5383823" y="3651342"/>
                  <a:pt x="5399197" y="3635751"/>
                  <a:pt x="5399197" y="3616522"/>
                </a:cubicBezTo>
                <a:cubicBezTo>
                  <a:pt x="5399197" y="3597293"/>
                  <a:pt x="5383823" y="3581702"/>
                  <a:pt x="5364856" y="3581702"/>
                </a:cubicBezTo>
                <a:close/>
                <a:moveTo>
                  <a:pt x="5448598" y="3581702"/>
                </a:moveTo>
                <a:cubicBezTo>
                  <a:pt x="5429631" y="3581702"/>
                  <a:pt x="5414244" y="3597293"/>
                  <a:pt x="5414244" y="3616522"/>
                </a:cubicBezTo>
                <a:cubicBezTo>
                  <a:pt x="5414244" y="3635751"/>
                  <a:pt x="5429631" y="3651342"/>
                  <a:pt x="5448598" y="3651342"/>
                </a:cubicBezTo>
                <a:cubicBezTo>
                  <a:pt x="5467565" y="3651342"/>
                  <a:pt x="5482938" y="3635751"/>
                  <a:pt x="5482938" y="3616522"/>
                </a:cubicBezTo>
                <a:cubicBezTo>
                  <a:pt x="5482938" y="3597293"/>
                  <a:pt x="5467565" y="3581702"/>
                  <a:pt x="5448598" y="3581702"/>
                </a:cubicBezTo>
                <a:close/>
                <a:moveTo>
                  <a:pt x="5532340" y="3581702"/>
                </a:moveTo>
                <a:cubicBezTo>
                  <a:pt x="5513373" y="3581702"/>
                  <a:pt x="5497987" y="3597293"/>
                  <a:pt x="5497987" y="3616522"/>
                </a:cubicBezTo>
                <a:cubicBezTo>
                  <a:pt x="5497987" y="3635751"/>
                  <a:pt x="5513373" y="3651342"/>
                  <a:pt x="5532340" y="3651342"/>
                </a:cubicBezTo>
                <a:cubicBezTo>
                  <a:pt x="5551307" y="3651342"/>
                  <a:pt x="5566680" y="3635751"/>
                  <a:pt x="5566680" y="3616522"/>
                </a:cubicBezTo>
                <a:cubicBezTo>
                  <a:pt x="5566680" y="3597293"/>
                  <a:pt x="5551307" y="3581702"/>
                  <a:pt x="5532340" y="3581702"/>
                </a:cubicBezTo>
                <a:close/>
                <a:moveTo>
                  <a:pt x="5616081" y="3581702"/>
                </a:moveTo>
                <a:cubicBezTo>
                  <a:pt x="5597114" y="3581702"/>
                  <a:pt x="5581728" y="3597293"/>
                  <a:pt x="5581728" y="3616522"/>
                </a:cubicBezTo>
                <a:cubicBezTo>
                  <a:pt x="5581728" y="3635751"/>
                  <a:pt x="5597114" y="3651342"/>
                  <a:pt x="5616081" y="3651342"/>
                </a:cubicBezTo>
                <a:cubicBezTo>
                  <a:pt x="5635048" y="3651342"/>
                  <a:pt x="5650421" y="3635751"/>
                  <a:pt x="5650421" y="3616522"/>
                </a:cubicBezTo>
                <a:cubicBezTo>
                  <a:pt x="5650421" y="3597293"/>
                  <a:pt x="5635048" y="3581702"/>
                  <a:pt x="5616081" y="3581702"/>
                </a:cubicBezTo>
                <a:close/>
                <a:moveTo>
                  <a:pt x="5699822" y="3581702"/>
                </a:moveTo>
                <a:cubicBezTo>
                  <a:pt x="5680855" y="3581702"/>
                  <a:pt x="5665469" y="3597293"/>
                  <a:pt x="5665469" y="3616522"/>
                </a:cubicBezTo>
                <a:cubicBezTo>
                  <a:pt x="5665469" y="3635751"/>
                  <a:pt x="5680855" y="3651342"/>
                  <a:pt x="5699822" y="3651342"/>
                </a:cubicBezTo>
                <a:cubicBezTo>
                  <a:pt x="5718789" y="3651342"/>
                  <a:pt x="5734163" y="3635751"/>
                  <a:pt x="5734163" y="3616522"/>
                </a:cubicBezTo>
                <a:cubicBezTo>
                  <a:pt x="5734163" y="3597293"/>
                  <a:pt x="5718789" y="3581702"/>
                  <a:pt x="5699822" y="3581702"/>
                </a:cubicBezTo>
                <a:close/>
                <a:moveTo>
                  <a:pt x="5783565" y="3581702"/>
                </a:moveTo>
                <a:cubicBezTo>
                  <a:pt x="5764598" y="3581702"/>
                  <a:pt x="5749211" y="3597293"/>
                  <a:pt x="5749211" y="3616522"/>
                </a:cubicBezTo>
                <a:cubicBezTo>
                  <a:pt x="5749211" y="3635751"/>
                  <a:pt x="5764598" y="3651342"/>
                  <a:pt x="5783565" y="3651342"/>
                </a:cubicBezTo>
                <a:cubicBezTo>
                  <a:pt x="5802532" y="3651342"/>
                  <a:pt x="5817905" y="3635751"/>
                  <a:pt x="5817905" y="3616522"/>
                </a:cubicBezTo>
                <a:cubicBezTo>
                  <a:pt x="5817905" y="3597293"/>
                  <a:pt x="5802532" y="3581702"/>
                  <a:pt x="5783565" y="3581702"/>
                </a:cubicBezTo>
                <a:close/>
                <a:moveTo>
                  <a:pt x="5867306" y="3581702"/>
                </a:moveTo>
                <a:cubicBezTo>
                  <a:pt x="5848339" y="3581702"/>
                  <a:pt x="5832953" y="3597293"/>
                  <a:pt x="5832953" y="3616522"/>
                </a:cubicBezTo>
                <a:cubicBezTo>
                  <a:pt x="5832953" y="3635751"/>
                  <a:pt x="5848339" y="3651342"/>
                  <a:pt x="5867306" y="3651342"/>
                </a:cubicBezTo>
                <a:cubicBezTo>
                  <a:pt x="5886273" y="3651342"/>
                  <a:pt x="5901646" y="3635751"/>
                  <a:pt x="5901646" y="3616522"/>
                </a:cubicBezTo>
                <a:cubicBezTo>
                  <a:pt x="5901646" y="3597293"/>
                  <a:pt x="5886273" y="3581702"/>
                  <a:pt x="5867306" y="3581702"/>
                </a:cubicBezTo>
                <a:close/>
                <a:moveTo>
                  <a:pt x="5951047" y="3581702"/>
                </a:moveTo>
                <a:cubicBezTo>
                  <a:pt x="5932080" y="3581702"/>
                  <a:pt x="5916694" y="3597293"/>
                  <a:pt x="5916694" y="3616522"/>
                </a:cubicBezTo>
                <a:cubicBezTo>
                  <a:pt x="5916694" y="3635751"/>
                  <a:pt x="5932080" y="3651342"/>
                  <a:pt x="5951047" y="3651342"/>
                </a:cubicBezTo>
                <a:cubicBezTo>
                  <a:pt x="5970014" y="3651342"/>
                  <a:pt x="5985387" y="3635751"/>
                  <a:pt x="5985387" y="3616522"/>
                </a:cubicBezTo>
                <a:cubicBezTo>
                  <a:pt x="5985387" y="3597293"/>
                  <a:pt x="5970014" y="3581702"/>
                  <a:pt x="5951047" y="3581702"/>
                </a:cubicBezTo>
                <a:close/>
                <a:moveTo>
                  <a:pt x="6034789" y="3581702"/>
                </a:moveTo>
                <a:cubicBezTo>
                  <a:pt x="6015822" y="3581702"/>
                  <a:pt x="6000436" y="3597293"/>
                  <a:pt x="6000436" y="3616522"/>
                </a:cubicBezTo>
                <a:cubicBezTo>
                  <a:pt x="6000436" y="3635751"/>
                  <a:pt x="6015822" y="3651342"/>
                  <a:pt x="6034789" y="3651342"/>
                </a:cubicBezTo>
                <a:cubicBezTo>
                  <a:pt x="6053756" y="3651342"/>
                  <a:pt x="6069130" y="3635751"/>
                  <a:pt x="6069130" y="3616522"/>
                </a:cubicBezTo>
                <a:cubicBezTo>
                  <a:pt x="6069130" y="3597293"/>
                  <a:pt x="6053756" y="3581702"/>
                  <a:pt x="6034789" y="3581702"/>
                </a:cubicBezTo>
                <a:close/>
                <a:moveTo>
                  <a:pt x="6118531" y="3581702"/>
                </a:moveTo>
                <a:cubicBezTo>
                  <a:pt x="6099564" y="3581702"/>
                  <a:pt x="6084177" y="3597293"/>
                  <a:pt x="6084177" y="3616522"/>
                </a:cubicBezTo>
                <a:cubicBezTo>
                  <a:pt x="6084177" y="3635751"/>
                  <a:pt x="6099564" y="3651342"/>
                  <a:pt x="6118531" y="3651342"/>
                </a:cubicBezTo>
                <a:cubicBezTo>
                  <a:pt x="6137498" y="3651342"/>
                  <a:pt x="6152871" y="3635751"/>
                  <a:pt x="6152871" y="3616522"/>
                </a:cubicBezTo>
                <a:cubicBezTo>
                  <a:pt x="6152871" y="3597293"/>
                  <a:pt x="6137498" y="3581702"/>
                  <a:pt x="6118531" y="3581702"/>
                </a:cubicBezTo>
                <a:close/>
                <a:moveTo>
                  <a:pt x="6202273" y="3581702"/>
                </a:moveTo>
                <a:cubicBezTo>
                  <a:pt x="6183306" y="3581702"/>
                  <a:pt x="6167920" y="3597293"/>
                  <a:pt x="6167920" y="3616522"/>
                </a:cubicBezTo>
                <a:cubicBezTo>
                  <a:pt x="6167920" y="3635751"/>
                  <a:pt x="6183306" y="3651342"/>
                  <a:pt x="6202273" y="3651342"/>
                </a:cubicBezTo>
                <a:cubicBezTo>
                  <a:pt x="6221240" y="3651342"/>
                  <a:pt x="6236613" y="3635751"/>
                  <a:pt x="6236613" y="3616522"/>
                </a:cubicBezTo>
                <a:cubicBezTo>
                  <a:pt x="6236613" y="3597293"/>
                  <a:pt x="6221240" y="3581702"/>
                  <a:pt x="6202273" y="3581702"/>
                </a:cubicBezTo>
                <a:close/>
                <a:moveTo>
                  <a:pt x="6286014" y="3581702"/>
                </a:moveTo>
                <a:cubicBezTo>
                  <a:pt x="6267047" y="3581702"/>
                  <a:pt x="6251661" y="3597293"/>
                  <a:pt x="6251661" y="3616522"/>
                </a:cubicBezTo>
                <a:cubicBezTo>
                  <a:pt x="6251661" y="3635751"/>
                  <a:pt x="6267047" y="3651342"/>
                  <a:pt x="6286014" y="3651342"/>
                </a:cubicBezTo>
                <a:cubicBezTo>
                  <a:pt x="6304981" y="3651342"/>
                  <a:pt x="6320354" y="3635751"/>
                  <a:pt x="6320354" y="3616522"/>
                </a:cubicBezTo>
                <a:cubicBezTo>
                  <a:pt x="6320354" y="3597293"/>
                  <a:pt x="6304981" y="3581702"/>
                  <a:pt x="6286014" y="3581702"/>
                </a:cubicBezTo>
                <a:close/>
                <a:moveTo>
                  <a:pt x="6369755" y="3581702"/>
                </a:moveTo>
                <a:cubicBezTo>
                  <a:pt x="6350788" y="3581702"/>
                  <a:pt x="6335402" y="3597293"/>
                  <a:pt x="6335402" y="3616522"/>
                </a:cubicBezTo>
                <a:cubicBezTo>
                  <a:pt x="6335402" y="3635751"/>
                  <a:pt x="6350788" y="3651342"/>
                  <a:pt x="6369755" y="3651342"/>
                </a:cubicBezTo>
                <a:cubicBezTo>
                  <a:pt x="6388722" y="3651342"/>
                  <a:pt x="6404096" y="3635751"/>
                  <a:pt x="6404096" y="3616522"/>
                </a:cubicBezTo>
                <a:cubicBezTo>
                  <a:pt x="6404096" y="3597293"/>
                  <a:pt x="6388722" y="3581702"/>
                  <a:pt x="6369755" y="3581702"/>
                </a:cubicBezTo>
                <a:close/>
                <a:moveTo>
                  <a:pt x="6453498" y="3581702"/>
                </a:moveTo>
                <a:cubicBezTo>
                  <a:pt x="6434531" y="3581702"/>
                  <a:pt x="6419144" y="3597293"/>
                  <a:pt x="6419144" y="3616522"/>
                </a:cubicBezTo>
                <a:cubicBezTo>
                  <a:pt x="6419144" y="3635751"/>
                  <a:pt x="6434531" y="3651342"/>
                  <a:pt x="6453498" y="3651342"/>
                </a:cubicBezTo>
                <a:cubicBezTo>
                  <a:pt x="6472465" y="3651342"/>
                  <a:pt x="6487838" y="3635751"/>
                  <a:pt x="6487838" y="3616522"/>
                </a:cubicBezTo>
                <a:cubicBezTo>
                  <a:pt x="6487838" y="3597293"/>
                  <a:pt x="6472465" y="3581702"/>
                  <a:pt x="6453498" y="3581702"/>
                </a:cubicBezTo>
                <a:close/>
                <a:moveTo>
                  <a:pt x="6537239" y="3581702"/>
                </a:moveTo>
                <a:cubicBezTo>
                  <a:pt x="6518272" y="3581702"/>
                  <a:pt x="6502886" y="3597293"/>
                  <a:pt x="6502886" y="3616522"/>
                </a:cubicBezTo>
                <a:cubicBezTo>
                  <a:pt x="6502886" y="3635751"/>
                  <a:pt x="6518272" y="3651342"/>
                  <a:pt x="6537239" y="3651342"/>
                </a:cubicBezTo>
                <a:cubicBezTo>
                  <a:pt x="6556206" y="3651342"/>
                  <a:pt x="6571579" y="3635751"/>
                  <a:pt x="6571579" y="3616522"/>
                </a:cubicBezTo>
                <a:cubicBezTo>
                  <a:pt x="6571579" y="3597293"/>
                  <a:pt x="6556206" y="3581702"/>
                  <a:pt x="6537239" y="3581702"/>
                </a:cubicBezTo>
                <a:close/>
                <a:moveTo>
                  <a:pt x="6620980" y="3581702"/>
                </a:moveTo>
                <a:cubicBezTo>
                  <a:pt x="6602013" y="3581702"/>
                  <a:pt x="6586627" y="3597293"/>
                  <a:pt x="6586627" y="3616522"/>
                </a:cubicBezTo>
                <a:cubicBezTo>
                  <a:pt x="6586627" y="3635751"/>
                  <a:pt x="6602013" y="3651342"/>
                  <a:pt x="6620980" y="3651342"/>
                </a:cubicBezTo>
                <a:cubicBezTo>
                  <a:pt x="6639947" y="3651342"/>
                  <a:pt x="6655320" y="3635751"/>
                  <a:pt x="6655320" y="3616522"/>
                </a:cubicBezTo>
                <a:cubicBezTo>
                  <a:pt x="6655320" y="3597293"/>
                  <a:pt x="6639947" y="3581702"/>
                  <a:pt x="6620980" y="3581702"/>
                </a:cubicBezTo>
                <a:close/>
                <a:moveTo>
                  <a:pt x="6704722" y="3581702"/>
                </a:moveTo>
                <a:cubicBezTo>
                  <a:pt x="6685755" y="3581702"/>
                  <a:pt x="6670369" y="3597293"/>
                  <a:pt x="6670369" y="3616522"/>
                </a:cubicBezTo>
                <a:cubicBezTo>
                  <a:pt x="6670369" y="3635751"/>
                  <a:pt x="6685755" y="3651342"/>
                  <a:pt x="6704722" y="3651342"/>
                </a:cubicBezTo>
                <a:cubicBezTo>
                  <a:pt x="6723689" y="3651342"/>
                  <a:pt x="6739063" y="3635751"/>
                  <a:pt x="6739063" y="3616522"/>
                </a:cubicBezTo>
                <a:cubicBezTo>
                  <a:pt x="6739063" y="3597293"/>
                  <a:pt x="6723689" y="3581702"/>
                  <a:pt x="6704722" y="3581702"/>
                </a:cubicBezTo>
                <a:close/>
                <a:moveTo>
                  <a:pt x="6788464" y="3581702"/>
                </a:moveTo>
                <a:cubicBezTo>
                  <a:pt x="6769497" y="3581702"/>
                  <a:pt x="6754110" y="3597293"/>
                  <a:pt x="6754110" y="3616522"/>
                </a:cubicBezTo>
                <a:cubicBezTo>
                  <a:pt x="6754110" y="3635751"/>
                  <a:pt x="6769497" y="3651342"/>
                  <a:pt x="6788464" y="3651342"/>
                </a:cubicBezTo>
                <a:cubicBezTo>
                  <a:pt x="6807431" y="3651342"/>
                  <a:pt x="6822804" y="3635751"/>
                  <a:pt x="6822804" y="3616522"/>
                </a:cubicBezTo>
                <a:cubicBezTo>
                  <a:pt x="6822804" y="3597293"/>
                  <a:pt x="6807431" y="3581702"/>
                  <a:pt x="6788464" y="3581702"/>
                </a:cubicBezTo>
                <a:close/>
                <a:moveTo>
                  <a:pt x="6872206" y="3581702"/>
                </a:moveTo>
                <a:cubicBezTo>
                  <a:pt x="6853239" y="3581702"/>
                  <a:pt x="6837853" y="3597293"/>
                  <a:pt x="6837853" y="3616522"/>
                </a:cubicBezTo>
                <a:cubicBezTo>
                  <a:pt x="6837853" y="3635751"/>
                  <a:pt x="6853239" y="3651342"/>
                  <a:pt x="6872206" y="3651342"/>
                </a:cubicBezTo>
                <a:cubicBezTo>
                  <a:pt x="6891173" y="3651342"/>
                  <a:pt x="6906546" y="3635751"/>
                  <a:pt x="6906546" y="3616522"/>
                </a:cubicBezTo>
                <a:cubicBezTo>
                  <a:pt x="6906546" y="3597293"/>
                  <a:pt x="6891173" y="3581702"/>
                  <a:pt x="6872206" y="3581702"/>
                </a:cubicBezTo>
                <a:close/>
                <a:moveTo>
                  <a:pt x="6955947" y="3581702"/>
                </a:moveTo>
                <a:cubicBezTo>
                  <a:pt x="6936980" y="3581702"/>
                  <a:pt x="6921594" y="3597293"/>
                  <a:pt x="6921594" y="3616522"/>
                </a:cubicBezTo>
                <a:cubicBezTo>
                  <a:pt x="6921594" y="3635751"/>
                  <a:pt x="6936980" y="3651342"/>
                  <a:pt x="6955947" y="3651342"/>
                </a:cubicBezTo>
                <a:cubicBezTo>
                  <a:pt x="6974914" y="3651342"/>
                  <a:pt x="6990287" y="3635751"/>
                  <a:pt x="6990287" y="3616522"/>
                </a:cubicBezTo>
                <a:cubicBezTo>
                  <a:pt x="6990287" y="3597293"/>
                  <a:pt x="6974914" y="3581702"/>
                  <a:pt x="6955947" y="3581702"/>
                </a:cubicBezTo>
                <a:close/>
                <a:moveTo>
                  <a:pt x="7123456" y="3581702"/>
                </a:moveTo>
                <a:cubicBezTo>
                  <a:pt x="7104489" y="3581702"/>
                  <a:pt x="7089103" y="3597293"/>
                  <a:pt x="7089103" y="3616522"/>
                </a:cubicBezTo>
                <a:cubicBezTo>
                  <a:pt x="7089103" y="3635751"/>
                  <a:pt x="7104489" y="3651342"/>
                  <a:pt x="7123456" y="3651342"/>
                </a:cubicBezTo>
                <a:cubicBezTo>
                  <a:pt x="7142423" y="3651342"/>
                  <a:pt x="7157796" y="3635751"/>
                  <a:pt x="7157796" y="3616522"/>
                </a:cubicBezTo>
                <a:cubicBezTo>
                  <a:pt x="7157796" y="3597293"/>
                  <a:pt x="7142423" y="3581702"/>
                  <a:pt x="7123456" y="3581702"/>
                </a:cubicBezTo>
                <a:close/>
                <a:moveTo>
                  <a:pt x="7207198" y="3581702"/>
                </a:moveTo>
                <a:cubicBezTo>
                  <a:pt x="7188231" y="3581702"/>
                  <a:pt x="7172845" y="3597293"/>
                  <a:pt x="7172845" y="3616522"/>
                </a:cubicBezTo>
                <a:cubicBezTo>
                  <a:pt x="7172845" y="3635751"/>
                  <a:pt x="7188231" y="3651342"/>
                  <a:pt x="7207198" y="3651342"/>
                </a:cubicBezTo>
                <a:cubicBezTo>
                  <a:pt x="7226165" y="3651342"/>
                  <a:pt x="7241538" y="3635751"/>
                  <a:pt x="7241538" y="3616522"/>
                </a:cubicBezTo>
                <a:cubicBezTo>
                  <a:pt x="7241538" y="3597293"/>
                  <a:pt x="7226165" y="3581702"/>
                  <a:pt x="7207198" y="3581702"/>
                </a:cubicBezTo>
                <a:close/>
                <a:moveTo>
                  <a:pt x="7290939" y="3581702"/>
                </a:moveTo>
                <a:cubicBezTo>
                  <a:pt x="7271972" y="3581702"/>
                  <a:pt x="7256586" y="3597293"/>
                  <a:pt x="7256586" y="3616522"/>
                </a:cubicBezTo>
                <a:cubicBezTo>
                  <a:pt x="7256586" y="3635751"/>
                  <a:pt x="7271972" y="3651342"/>
                  <a:pt x="7290939" y="3651342"/>
                </a:cubicBezTo>
                <a:cubicBezTo>
                  <a:pt x="7309906" y="3651342"/>
                  <a:pt x="7325279" y="3635751"/>
                  <a:pt x="7325279" y="3616522"/>
                </a:cubicBezTo>
                <a:cubicBezTo>
                  <a:pt x="7325279" y="3597293"/>
                  <a:pt x="7309906" y="3581702"/>
                  <a:pt x="7290939" y="3581702"/>
                </a:cubicBezTo>
                <a:close/>
                <a:moveTo>
                  <a:pt x="7374681" y="3581702"/>
                </a:moveTo>
                <a:cubicBezTo>
                  <a:pt x="7355714" y="3581702"/>
                  <a:pt x="7340328" y="3597293"/>
                  <a:pt x="7340328" y="3616522"/>
                </a:cubicBezTo>
                <a:cubicBezTo>
                  <a:pt x="7340328" y="3635751"/>
                  <a:pt x="7355714" y="3651342"/>
                  <a:pt x="7374681" y="3651342"/>
                </a:cubicBezTo>
                <a:cubicBezTo>
                  <a:pt x="7393648" y="3651342"/>
                  <a:pt x="7409022" y="3635751"/>
                  <a:pt x="7409022" y="3616522"/>
                </a:cubicBezTo>
                <a:cubicBezTo>
                  <a:pt x="7409022" y="3597293"/>
                  <a:pt x="7393648" y="3581702"/>
                  <a:pt x="7374681" y="3581702"/>
                </a:cubicBezTo>
                <a:close/>
                <a:moveTo>
                  <a:pt x="7458423" y="3581702"/>
                </a:moveTo>
                <a:cubicBezTo>
                  <a:pt x="7439456" y="3581702"/>
                  <a:pt x="7424070" y="3597293"/>
                  <a:pt x="7424070" y="3616522"/>
                </a:cubicBezTo>
                <a:cubicBezTo>
                  <a:pt x="7424070" y="3635751"/>
                  <a:pt x="7439456" y="3651342"/>
                  <a:pt x="7458423" y="3651342"/>
                </a:cubicBezTo>
                <a:cubicBezTo>
                  <a:pt x="7477390" y="3651342"/>
                  <a:pt x="7492763" y="3635751"/>
                  <a:pt x="7492763" y="3616522"/>
                </a:cubicBezTo>
                <a:cubicBezTo>
                  <a:pt x="7492763" y="3597293"/>
                  <a:pt x="7477390" y="3581702"/>
                  <a:pt x="7458423" y="3581702"/>
                </a:cubicBezTo>
                <a:close/>
                <a:moveTo>
                  <a:pt x="7542164" y="3581702"/>
                </a:moveTo>
                <a:cubicBezTo>
                  <a:pt x="7523197" y="3581702"/>
                  <a:pt x="7507811" y="3597293"/>
                  <a:pt x="7507811" y="3616522"/>
                </a:cubicBezTo>
                <a:cubicBezTo>
                  <a:pt x="7507811" y="3635751"/>
                  <a:pt x="7523197" y="3651342"/>
                  <a:pt x="7542164" y="3651342"/>
                </a:cubicBezTo>
                <a:cubicBezTo>
                  <a:pt x="7561131" y="3651342"/>
                  <a:pt x="7576504" y="3635751"/>
                  <a:pt x="7576504" y="3616522"/>
                </a:cubicBezTo>
                <a:cubicBezTo>
                  <a:pt x="7576504" y="3597293"/>
                  <a:pt x="7561131" y="3581702"/>
                  <a:pt x="7542164" y="3581702"/>
                </a:cubicBezTo>
                <a:close/>
                <a:moveTo>
                  <a:pt x="7625906" y="3581702"/>
                </a:moveTo>
                <a:cubicBezTo>
                  <a:pt x="7606939" y="3581702"/>
                  <a:pt x="7591553" y="3597293"/>
                  <a:pt x="7591553" y="3616522"/>
                </a:cubicBezTo>
                <a:cubicBezTo>
                  <a:pt x="7591553" y="3635751"/>
                  <a:pt x="7606939" y="3651342"/>
                  <a:pt x="7625906" y="3651342"/>
                </a:cubicBezTo>
                <a:cubicBezTo>
                  <a:pt x="7644873" y="3651342"/>
                  <a:pt x="7660246" y="3635751"/>
                  <a:pt x="7660246" y="3616522"/>
                </a:cubicBezTo>
                <a:cubicBezTo>
                  <a:pt x="7660246" y="3597293"/>
                  <a:pt x="7644873" y="3581702"/>
                  <a:pt x="7625906" y="3581702"/>
                </a:cubicBezTo>
                <a:close/>
                <a:moveTo>
                  <a:pt x="8044614" y="3581702"/>
                </a:moveTo>
                <a:cubicBezTo>
                  <a:pt x="8025647" y="3581702"/>
                  <a:pt x="8010261" y="3597293"/>
                  <a:pt x="8010261" y="3616522"/>
                </a:cubicBezTo>
                <a:cubicBezTo>
                  <a:pt x="8010261" y="3635751"/>
                  <a:pt x="8025647" y="3651342"/>
                  <a:pt x="8044614" y="3651342"/>
                </a:cubicBezTo>
                <a:cubicBezTo>
                  <a:pt x="8063581" y="3651342"/>
                  <a:pt x="8078955" y="3635751"/>
                  <a:pt x="8078955" y="3616522"/>
                </a:cubicBezTo>
                <a:cubicBezTo>
                  <a:pt x="8078955" y="3597293"/>
                  <a:pt x="8063581" y="3581702"/>
                  <a:pt x="8044614" y="3581702"/>
                </a:cubicBezTo>
                <a:close/>
                <a:moveTo>
                  <a:pt x="8128356" y="3581702"/>
                </a:moveTo>
                <a:cubicBezTo>
                  <a:pt x="8109389" y="3581702"/>
                  <a:pt x="8094003" y="3597293"/>
                  <a:pt x="8094003" y="3616522"/>
                </a:cubicBezTo>
                <a:cubicBezTo>
                  <a:pt x="8094003" y="3635751"/>
                  <a:pt x="8109389" y="3651342"/>
                  <a:pt x="8128356" y="3651342"/>
                </a:cubicBezTo>
                <a:cubicBezTo>
                  <a:pt x="8147323" y="3651342"/>
                  <a:pt x="8162696" y="3635751"/>
                  <a:pt x="8162696" y="3616522"/>
                </a:cubicBezTo>
                <a:cubicBezTo>
                  <a:pt x="8162696" y="3597293"/>
                  <a:pt x="8147323" y="3581702"/>
                  <a:pt x="8128356" y="3581702"/>
                </a:cubicBezTo>
                <a:close/>
                <a:moveTo>
                  <a:pt x="8212097" y="3581702"/>
                </a:moveTo>
                <a:cubicBezTo>
                  <a:pt x="8193130" y="3581702"/>
                  <a:pt x="8177744" y="3597293"/>
                  <a:pt x="8177744" y="3616522"/>
                </a:cubicBezTo>
                <a:cubicBezTo>
                  <a:pt x="8177744" y="3635751"/>
                  <a:pt x="8193130" y="3651342"/>
                  <a:pt x="8212097" y="3651342"/>
                </a:cubicBezTo>
                <a:cubicBezTo>
                  <a:pt x="8231064" y="3651342"/>
                  <a:pt x="8246437" y="3635751"/>
                  <a:pt x="8246437" y="3616522"/>
                </a:cubicBezTo>
                <a:cubicBezTo>
                  <a:pt x="8246437" y="3597293"/>
                  <a:pt x="8231064" y="3581702"/>
                  <a:pt x="8212097" y="3581702"/>
                </a:cubicBezTo>
                <a:close/>
                <a:moveTo>
                  <a:pt x="8295839" y="3581702"/>
                </a:moveTo>
                <a:cubicBezTo>
                  <a:pt x="8276872" y="3581702"/>
                  <a:pt x="8261486" y="3597293"/>
                  <a:pt x="8261486" y="3616522"/>
                </a:cubicBezTo>
                <a:cubicBezTo>
                  <a:pt x="8261486" y="3635751"/>
                  <a:pt x="8276872" y="3651342"/>
                  <a:pt x="8295839" y="3651342"/>
                </a:cubicBezTo>
                <a:cubicBezTo>
                  <a:pt x="8314806" y="3651342"/>
                  <a:pt x="8330179" y="3635751"/>
                  <a:pt x="8330179" y="3616522"/>
                </a:cubicBezTo>
                <a:cubicBezTo>
                  <a:pt x="8330179" y="3597293"/>
                  <a:pt x="8314806" y="3581702"/>
                  <a:pt x="8295839" y="3581702"/>
                </a:cubicBezTo>
                <a:close/>
                <a:moveTo>
                  <a:pt x="8379580" y="3581702"/>
                </a:moveTo>
                <a:cubicBezTo>
                  <a:pt x="8360613" y="3581702"/>
                  <a:pt x="8345227" y="3597293"/>
                  <a:pt x="8345227" y="3616522"/>
                </a:cubicBezTo>
                <a:cubicBezTo>
                  <a:pt x="8345227" y="3635751"/>
                  <a:pt x="8360613" y="3651342"/>
                  <a:pt x="8379580" y="3651342"/>
                </a:cubicBezTo>
                <a:cubicBezTo>
                  <a:pt x="8398547" y="3651342"/>
                  <a:pt x="8413921" y="3635751"/>
                  <a:pt x="8413921" y="3616522"/>
                </a:cubicBezTo>
                <a:cubicBezTo>
                  <a:pt x="8413921" y="3597293"/>
                  <a:pt x="8398547" y="3581702"/>
                  <a:pt x="8379580" y="3581702"/>
                </a:cubicBezTo>
                <a:close/>
                <a:moveTo>
                  <a:pt x="8463323" y="3581702"/>
                </a:moveTo>
                <a:cubicBezTo>
                  <a:pt x="8444356" y="3581702"/>
                  <a:pt x="8428970" y="3597293"/>
                  <a:pt x="8428970" y="3616522"/>
                </a:cubicBezTo>
                <a:cubicBezTo>
                  <a:pt x="8428970" y="3635751"/>
                  <a:pt x="8444356" y="3651342"/>
                  <a:pt x="8463323" y="3651342"/>
                </a:cubicBezTo>
                <a:cubicBezTo>
                  <a:pt x="8482290" y="3651342"/>
                  <a:pt x="8497663" y="3635751"/>
                  <a:pt x="8497663" y="3616522"/>
                </a:cubicBezTo>
                <a:cubicBezTo>
                  <a:pt x="8497663" y="3597293"/>
                  <a:pt x="8482290" y="3581702"/>
                  <a:pt x="8463323" y="3581702"/>
                </a:cubicBezTo>
                <a:close/>
                <a:moveTo>
                  <a:pt x="8798289" y="3581702"/>
                </a:moveTo>
                <a:cubicBezTo>
                  <a:pt x="8779322" y="3581702"/>
                  <a:pt x="8763936" y="3597293"/>
                  <a:pt x="8763936" y="3616522"/>
                </a:cubicBezTo>
                <a:cubicBezTo>
                  <a:pt x="8763936" y="3635751"/>
                  <a:pt x="8779322" y="3651342"/>
                  <a:pt x="8798289" y="3651342"/>
                </a:cubicBezTo>
                <a:cubicBezTo>
                  <a:pt x="8817256" y="3651342"/>
                  <a:pt x="8832629" y="3635751"/>
                  <a:pt x="8832629" y="3616522"/>
                </a:cubicBezTo>
                <a:cubicBezTo>
                  <a:pt x="8832629" y="3597293"/>
                  <a:pt x="8817256" y="3581702"/>
                  <a:pt x="8798289" y="3581702"/>
                </a:cubicBezTo>
                <a:close/>
                <a:moveTo>
                  <a:pt x="8882030" y="3581702"/>
                </a:moveTo>
                <a:cubicBezTo>
                  <a:pt x="8863063" y="3581702"/>
                  <a:pt x="8847677" y="3597293"/>
                  <a:pt x="8847677" y="3616522"/>
                </a:cubicBezTo>
                <a:cubicBezTo>
                  <a:pt x="8847677" y="3635751"/>
                  <a:pt x="8863063" y="3651342"/>
                  <a:pt x="8882030" y="3651342"/>
                </a:cubicBezTo>
                <a:cubicBezTo>
                  <a:pt x="8900997" y="3651342"/>
                  <a:pt x="8916370" y="3635751"/>
                  <a:pt x="8916370" y="3616522"/>
                </a:cubicBezTo>
                <a:cubicBezTo>
                  <a:pt x="8916370" y="3597293"/>
                  <a:pt x="8900997" y="3581702"/>
                  <a:pt x="8882030" y="3581702"/>
                </a:cubicBezTo>
                <a:close/>
                <a:moveTo>
                  <a:pt x="8965772" y="3581702"/>
                </a:moveTo>
                <a:cubicBezTo>
                  <a:pt x="8946805" y="3581702"/>
                  <a:pt x="8931419" y="3597293"/>
                  <a:pt x="8931419" y="3616522"/>
                </a:cubicBezTo>
                <a:cubicBezTo>
                  <a:pt x="8931419" y="3635751"/>
                  <a:pt x="8946805" y="3651342"/>
                  <a:pt x="8965772" y="3651342"/>
                </a:cubicBezTo>
                <a:cubicBezTo>
                  <a:pt x="8984739" y="3651342"/>
                  <a:pt x="9000112" y="3635751"/>
                  <a:pt x="9000112" y="3616522"/>
                </a:cubicBezTo>
                <a:cubicBezTo>
                  <a:pt x="9000112" y="3597293"/>
                  <a:pt x="8984739" y="3581702"/>
                  <a:pt x="8965772" y="3581702"/>
                </a:cubicBezTo>
                <a:close/>
                <a:moveTo>
                  <a:pt x="9049513" y="3581702"/>
                </a:moveTo>
                <a:cubicBezTo>
                  <a:pt x="9030546" y="3581702"/>
                  <a:pt x="9015160" y="3597293"/>
                  <a:pt x="9015160" y="3616522"/>
                </a:cubicBezTo>
                <a:cubicBezTo>
                  <a:pt x="9015160" y="3635751"/>
                  <a:pt x="9030546" y="3651342"/>
                  <a:pt x="9049513" y="3651342"/>
                </a:cubicBezTo>
                <a:cubicBezTo>
                  <a:pt x="9068480" y="3651342"/>
                  <a:pt x="9083854" y="3635751"/>
                  <a:pt x="9083854" y="3616522"/>
                </a:cubicBezTo>
                <a:cubicBezTo>
                  <a:pt x="9083854" y="3597293"/>
                  <a:pt x="9068480" y="3581702"/>
                  <a:pt x="9049513" y="3581702"/>
                </a:cubicBezTo>
                <a:close/>
                <a:moveTo>
                  <a:pt x="2685118" y="3666565"/>
                </a:moveTo>
                <a:cubicBezTo>
                  <a:pt x="2666151" y="3666565"/>
                  <a:pt x="2650771" y="3682157"/>
                  <a:pt x="2650771" y="3701386"/>
                </a:cubicBezTo>
                <a:cubicBezTo>
                  <a:pt x="2650771" y="3720614"/>
                  <a:pt x="2666151" y="3736206"/>
                  <a:pt x="2685118" y="3736206"/>
                </a:cubicBezTo>
                <a:cubicBezTo>
                  <a:pt x="2704085" y="3736206"/>
                  <a:pt x="2719465" y="3720614"/>
                  <a:pt x="2719465" y="3701386"/>
                </a:cubicBezTo>
                <a:cubicBezTo>
                  <a:pt x="2719465" y="3682157"/>
                  <a:pt x="2704085" y="3666565"/>
                  <a:pt x="2685118" y="3666565"/>
                </a:cubicBezTo>
                <a:close/>
                <a:moveTo>
                  <a:pt x="2768859" y="3666565"/>
                </a:moveTo>
                <a:cubicBezTo>
                  <a:pt x="2749892" y="3666565"/>
                  <a:pt x="2734512" y="3682157"/>
                  <a:pt x="2734512" y="3701386"/>
                </a:cubicBezTo>
                <a:cubicBezTo>
                  <a:pt x="2734512" y="3720614"/>
                  <a:pt x="2749892" y="3736206"/>
                  <a:pt x="2768859" y="3736206"/>
                </a:cubicBezTo>
                <a:cubicBezTo>
                  <a:pt x="2787826" y="3736206"/>
                  <a:pt x="2803206" y="3720614"/>
                  <a:pt x="2803206" y="3701386"/>
                </a:cubicBezTo>
                <a:cubicBezTo>
                  <a:pt x="2803206" y="3682157"/>
                  <a:pt x="2787826" y="3666565"/>
                  <a:pt x="2768859" y="3666565"/>
                </a:cubicBezTo>
                <a:close/>
                <a:moveTo>
                  <a:pt x="2852600" y="3666565"/>
                </a:moveTo>
                <a:cubicBezTo>
                  <a:pt x="2833633" y="3666565"/>
                  <a:pt x="2818254" y="3682157"/>
                  <a:pt x="2818254" y="3701386"/>
                </a:cubicBezTo>
                <a:cubicBezTo>
                  <a:pt x="2818254" y="3720614"/>
                  <a:pt x="2833633" y="3736206"/>
                  <a:pt x="2852600" y="3736206"/>
                </a:cubicBezTo>
                <a:cubicBezTo>
                  <a:pt x="2871567" y="3736206"/>
                  <a:pt x="2886947" y="3720614"/>
                  <a:pt x="2886947" y="3701386"/>
                </a:cubicBezTo>
                <a:cubicBezTo>
                  <a:pt x="2886947" y="3682157"/>
                  <a:pt x="2871567" y="3666565"/>
                  <a:pt x="2852600" y="3666565"/>
                </a:cubicBezTo>
                <a:close/>
                <a:moveTo>
                  <a:pt x="3103826" y="3666565"/>
                </a:moveTo>
                <a:cubicBezTo>
                  <a:pt x="3084859" y="3666565"/>
                  <a:pt x="3069479" y="3682157"/>
                  <a:pt x="3069479" y="3701386"/>
                </a:cubicBezTo>
                <a:cubicBezTo>
                  <a:pt x="3069479" y="3720614"/>
                  <a:pt x="3084859" y="3736206"/>
                  <a:pt x="3103826" y="3736206"/>
                </a:cubicBezTo>
                <a:cubicBezTo>
                  <a:pt x="3122793" y="3736206"/>
                  <a:pt x="3138173" y="3720614"/>
                  <a:pt x="3138173" y="3701386"/>
                </a:cubicBezTo>
                <a:cubicBezTo>
                  <a:pt x="3138173" y="3682157"/>
                  <a:pt x="3122793" y="3666565"/>
                  <a:pt x="3103826" y="3666565"/>
                </a:cubicBezTo>
                <a:close/>
                <a:moveTo>
                  <a:pt x="3690017" y="3666565"/>
                </a:moveTo>
                <a:cubicBezTo>
                  <a:pt x="3671050" y="3666565"/>
                  <a:pt x="3655670" y="3682157"/>
                  <a:pt x="3655670" y="3701386"/>
                </a:cubicBezTo>
                <a:cubicBezTo>
                  <a:pt x="3655670" y="3720614"/>
                  <a:pt x="3671050" y="3736206"/>
                  <a:pt x="3690017" y="3736206"/>
                </a:cubicBezTo>
                <a:cubicBezTo>
                  <a:pt x="3708984" y="3736206"/>
                  <a:pt x="3724364" y="3720614"/>
                  <a:pt x="3724364" y="3701386"/>
                </a:cubicBezTo>
                <a:cubicBezTo>
                  <a:pt x="3724364" y="3682157"/>
                  <a:pt x="3708984" y="3666565"/>
                  <a:pt x="3690017" y="3666565"/>
                </a:cubicBezTo>
                <a:close/>
                <a:moveTo>
                  <a:pt x="3857500" y="3666565"/>
                </a:moveTo>
                <a:cubicBezTo>
                  <a:pt x="3838533" y="3666565"/>
                  <a:pt x="3823154" y="3682157"/>
                  <a:pt x="3823154" y="3701386"/>
                </a:cubicBezTo>
                <a:cubicBezTo>
                  <a:pt x="3823154" y="3720614"/>
                  <a:pt x="3838533" y="3736206"/>
                  <a:pt x="3857500" y="3736206"/>
                </a:cubicBezTo>
                <a:cubicBezTo>
                  <a:pt x="3876467" y="3736206"/>
                  <a:pt x="3891847" y="3720614"/>
                  <a:pt x="3891847" y="3701386"/>
                </a:cubicBezTo>
                <a:cubicBezTo>
                  <a:pt x="3891847" y="3682157"/>
                  <a:pt x="3876467" y="3666565"/>
                  <a:pt x="3857500" y="3666565"/>
                </a:cubicBezTo>
                <a:close/>
                <a:moveTo>
                  <a:pt x="5364856" y="3666565"/>
                </a:moveTo>
                <a:cubicBezTo>
                  <a:pt x="5345889" y="3666565"/>
                  <a:pt x="5330503" y="3682157"/>
                  <a:pt x="5330503" y="3701386"/>
                </a:cubicBezTo>
                <a:cubicBezTo>
                  <a:pt x="5330503" y="3720614"/>
                  <a:pt x="5345889" y="3736206"/>
                  <a:pt x="5364856" y="3736206"/>
                </a:cubicBezTo>
                <a:cubicBezTo>
                  <a:pt x="5383823" y="3736206"/>
                  <a:pt x="5399197" y="3720614"/>
                  <a:pt x="5399197" y="3701386"/>
                </a:cubicBezTo>
                <a:cubicBezTo>
                  <a:pt x="5399197" y="3682157"/>
                  <a:pt x="5383823" y="3666565"/>
                  <a:pt x="5364856" y="3666565"/>
                </a:cubicBezTo>
                <a:close/>
                <a:moveTo>
                  <a:pt x="5448598" y="3666565"/>
                </a:moveTo>
                <a:cubicBezTo>
                  <a:pt x="5429631" y="3666565"/>
                  <a:pt x="5414244" y="3682157"/>
                  <a:pt x="5414244" y="3701386"/>
                </a:cubicBezTo>
                <a:cubicBezTo>
                  <a:pt x="5414244" y="3720614"/>
                  <a:pt x="5429631" y="3736206"/>
                  <a:pt x="5448598" y="3736206"/>
                </a:cubicBezTo>
                <a:cubicBezTo>
                  <a:pt x="5467565" y="3736206"/>
                  <a:pt x="5482938" y="3720614"/>
                  <a:pt x="5482938" y="3701386"/>
                </a:cubicBezTo>
                <a:cubicBezTo>
                  <a:pt x="5482938" y="3682157"/>
                  <a:pt x="5467565" y="3666565"/>
                  <a:pt x="5448598" y="3666565"/>
                </a:cubicBezTo>
                <a:close/>
                <a:moveTo>
                  <a:pt x="5532340" y="3666565"/>
                </a:moveTo>
                <a:cubicBezTo>
                  <a:pt x="5513373" y="3666565"/>
                  <a:pt x="5497987" y="3682157"/>
                  <a:pt x="5497987" y="3701386"/>
                </a:cubicBezTo>
                <a:cubicBezTo>
                  <a:pt x="5497987" y="3720614"/>
                  <a:pt x="5513373" y="3736206"/>
                  <a:pt x="5532340" y="3736206"/>
                </a:cubicBezTo>
                <a:cubicBezTo>
                  <a:pt x="5551307" y="3736206"/>
                  <a:pt x="5566680" y="3720614"/>
                  <a:pt x="5566680" y="3701386"/>
                </a:cubicBezTo>
                <a:cubicBezTo>
                  <a:pt x="5566680" y="3682157"/>
                  <a:pt x="5551307" y="3666565"/>
                  <a:pt x="5532340" y="3666565"/>
                </a:cubicBezTo>
                <a:close/>
                <a:moveTo>
                  <a:pt x="5616081" y="3666565"/>
                </a:moveTo>
                <a:cubicBezTo>
                  <a:pt x="5597114" y="3666565"/>
                  <a:pt x="5581728" y="3682157"/>
                  <a:pt x="5581728" y="3701386"/>
                </a:cubicBezTo>
                <a:cubicBezTo>
                  <a:pt x="5581728" y="3720614"/>
                  <a:pt x="5597114" y="3736206"/>
                  <a:pt x="5616081" y="3736206"/>
                </a:cubicBezTo>
                <a:cubicBezTo>
                  <a:pt x="5635048" y="3736206"/>
                  <a:pt x="5650421" y="3720614"/>
                  <a:pt x="5650421" y="3701386"/>
                </a:cubicBezTo>
                <a:cubicBezTo>
                  <a:pt x="5650421" y="3682157"/>
                  <a:pt x="5635048" y="3666565"/>
                  <a:pt x="5616081" y="3666565"/>
                </a:cubicBezTo>
                <a:close/>
                <a:moveTo>
                  <a:pt x="5699822" y="3666565"/>
                </a:moveTo>
                <a:cubicBezTo>
                  <a:pt x="5680855" y="3666565"/>
                  <a:pt x="5665469" y="3682157"/>
                  <a:pt x="5665469" y="3701386"/>
                </a:cubicBezTo>
                <a:cubicBezTo>
                  <a:pt x="5665469" y="3720614"/>
                  <a:pt x="5680855" y="3736206"/>
                  <a:pt x="5699822" y="3736206"/>
                </a:cubicBezTo>
                <a:cubicBezTo>
                  <a:pt x="5718789" y="3736206"/>
                  <a:pt x="5734163" y="3720614"/>
                  <a:pt x="5734163" y="3701386"/>
                </a:cubicBezTo>
                <a:cubicBezTo>
                  <a:pt x="5734163" y="3682157"/>
                  <a:pt x="5718789" y="3666565"/>
                  <a:pt x="5699822" y="3666565"/>
                </a:cubicBezTo>
                <a:close/>
                <a:moveTo>
                  <a:pt x="5783565" y="3666565"/>
                </a:moveTo>
                <a:cubicBezTo>
                  <a:pt x="5764598" y="3666565"/>
                  <a:pt x="5749211" y="3682157"/>
                  <a:pt x="5749211" y="3701386"/>
                </a:cubicBezTo>
                <a:cubicBezTo>
                  <a:pt x="5749211" y="3720614"/>
                  <a:pt x="5764598" y="3736206"/>
                  <a:pt x="5783565" y="3736206"/>
                </a:cubicBezTo>
                <a:cubicBezTo>
                  <a:pt x="5802532" y="3736206"/>
                  <a:pt x="5817905" y="3720614"/>
                  <a:pt x="5817905" y="3701386"/>
                </a:cubicBezTo>
                <a:cubicBezTo>
                  <a:pt x="5817905" y="3682157"/>
                  <a:pt x="5802532" y="3666565"/>
                  <a:pt x="5783565" y="3666565"/>
                </a:cubicBezTo>
                <a:close/>
                <a:moveTo>
                  <a:pt x="5867306" y="3666565"/>
                </a:moveTo>
                <a:cubicBezTo>
                  <a:pt x="5848339" y="3666565"/>
                  <a:pt x="5832953" y="3682157"/>
                  <a:pt x="5832953" y="3701386"/>
                </a:cubicBezTo>
                <a:cubicBezTo>
                  <a:pt x="5832953" y="3720614"/>
                  <a:pt x="5848339" y="3736206"/>
                  <a:pt x="5867306" y="3736206"/>
                </a:cubicBezTo>
                <a:cubicBezTo>
                  <a:pt x="5886273" y="3736206"/>
                  <a:pt x="5901646" y="3720614"/>
                  <a:pt x="5901646" y="3701386"/>
                </a:cubicBezTo>
                <a:cubicBezTo>
                  <a:pt x="5901646" y="3682157"/>
                  <a:pt x="5886273" y="3666565"/>
                  <a:pt x="5867306" y="3666565"/>
                </a:cubicBezTo>
                <a:close/>
                <a:moveTo>
                  <a:pt x="5951047" y="3666565"/>
                </a:moveTo>
                <a:cubicBezTo>
                  <a:pt x="5932080" y="3666565"/>
                  <a:pt x="5916694" y="3682157"/>
                  <a:pt x="5916694" y="3701386"/>
                </a:cubicBezTo>
                <a:cubicBezTo>
                  <a:pt x="5916694" y="3720614"/>
                  <a:pt x="5932080" y="3736206"/>
                  <a:pt x="5951047" y="3736206"/>
                </a:cubicBezTo>
                <a:cubicBezTo>
                  <a:pt x="5970014" y="3736206"/>
                  <a:pt x="5985387" y="3720614"/>
                  <a:pt x="5985387" y="3701386"/>
                </a:cubicBezTo>
                <a:cubicBezTo>
                  <a:pt x="5985387" y="3682157"/>
                  <a:pt x="5970014" y="3666565"/>
                  <a:pt x="5951047" y="3666565"/>
                </a:cubicBezTo>
                <a:close/>
                <a:moveTo>
                  <a:pt x="6034789" y="3666565"/>
                </a:moveTo>
                <a:cubicBezTo>
                  <a:pt x="6015822" y="3666565"/>
                  <a:pt x="6000436" y="3682157"/>
                  <a:pt x="6000436" y="3701386"/>
                </a:cubicBezTo>
                <a:cubicBezTo>
                  <a:pt x="6000436" y="3720614"/>
                  <a:pt x="6015822" y="3736206"/>
                  <a:pt x="6034789" y="3736206"/>
                </a:cubicBezTo>
                <a:cubicBezTo>
                  <a:pt x="6053756" y="3736206"/>
                  <a:pt x="6069130" y="3720614"/>
                  <a:pt x="6069130" y="3701386"/>
                </a:cubicBezTo>
                <a:cubicBezTo>
                  <a:pt x="6069130" y="3682157"/>
                  <a:pt x="6053756" y="3666565"/>
                  <a:pt x="6034789" y="3666565"/>
                </a:cubicBezTo>
                <a:close/>
                <a:moveTo>
                  <a:pt x="6118531" y="3666565"/>
                </a:moveTo>
                <a:cubicBezTo>
                  <a:pt x="6099564" y="3666565"/>
                  <a:pt x="6084177" y="3682157"/>
                  <a:pt x="6084177" y="3701386"/>
                </a:cubicBezTo>
                <a:cubicBezTo>
                  <a:pt x="6084177" y="3720614"/>
                  <a:pt x="6099564" y="3736206"/>
                  <a:pt x="6118531" y="3736206"/>
                </a:cubicBezTo>
                <a:cubicBezTo>
                  <a:pt x="6137498" y="3736206"/>
                  <a:pt x="6152871" y="3720614"/>
                  <a:pt x="6152871" y="3701386"/>
                </a:cubicBezTo>
                <a:cubicBezTo>
                  <a:pt x="6152871" y="3682157"/>
                  <a:pt x="6137498" y="3666565"/>
                  <a:pt x="6118531" y="3666565"/>
                </a:cubicBezTo>
                <a:close/>
                <a:moveTo>
                  <a:pt x="6202273" y="3666565"/>
                </a:moveTo>
                <a:cubicBezTo>
                  <a:pt x="6183306" y="3666565"/>
                  <a:pt x="6167920" y="3682157"/>
                  <a:pt x="6167920" y="3701386"/>
                </a:cubicBezTo>
                <a:cubicBezTo>
                  <a:pt x="6167920" y="3720614"/>
                  <a:pt x="6183306" y="3736206"/>
                  <a:pt x="6202273" y="3736206"/>
                </a:cubicBezTo>
                <a:cubicBezTo>
                  <a:pt x="6221240" y="3736206"/>
                  <a:pt x="6236613" y="3720614"/>
                  <a:pt x="6236613" y="3701386"/>
                </a:cubicBezTo>
                <a:cubicBezTo>
                  <a:pt x="6236613" y="3682157"/>
                  <a:pt x="6221240" y="3666565"/>
                  <a:pt x="6202273" y="3666565"/>
                </a:cubicBezTo>
                <a:close/>
                <a:moveTo>
                  <a:pt x="6286014" y="3666565"/>
                </a:moveTo>
                <a:cubicBezTo>
                  <a:pt x="6267047" y="3666565"/>
                  <a:pt x="6251661" y="3682157"/>
                  <a:pt x="6251661" y="3701386"/>
                </a:cubicBezTo>
                <a:cubicBezTo>
                  <a:pt x="6251661" y="3720614"/>
                  <a:pt x="6267047" y="3736206"/>
                  <a:pt x="6286014" y="3736206"/>
                </a:cubicBezTo>
                <a:cubicBezTo>
                  <a:pt x="6304981" y="3736206"/>
                  <a:pt x="6320354" y="3720614"/>
                  <a:pt x="6320354" y="3701386"/>
                </a:cubicBezTo>
                <a:cubicBezTo>
                  <a:pt x="6320354" y="3682157"/>
                  <a:pt x="6304981" y="3666565"/>
                  <a:pt x="6286014" y="3666565"/>
                </a:cubicBezTo>
                <a:close/>
                <a:moveTo>
                  <a:pt x="6369755" y="3666565"/>
                </a:moveTo>
                <a:cubicBezTo>
                  <a:pt x="6350788" y="3666565"/>
                  <a:pt x="6335402" y="3682157"/>
                  <a:pt x="6335402" y="3701386"/>
                </a:cubicBezTo>
                <a:cubicBezTo>
                  <a:pt x="6335402" y="3720614"/>
                  <a:pt x="6350788" y="3736206"/>
                  <a:pt x="6369755" y="3736206"/>
                </a:cubicBezTo>
                <a:cubicBezTo>
                  <a:pt x="6388722" y="3736206"/>
                  <a:pt x="6404096" y="3720614"/>
                  <a:pt x="6404096" y="3701386"/>
                </a:cubicBezTo>
                <a:cubicBezTo>
                  <a:pt x="6404096" y="3682157"/>
                  <a:pt x="6388722" y="3666565"/>
                  <a:pt x="6369755" y="3666565"/>
                </a:cubicBezTo>
                <a:close/>
                <a:moveTo>
                  <a:pt x="6453498" y="3666565"/>
                </a:moveTo>
                <a:cubicBezTo>
                  <a:pt x="6434531" y="3666565"/>
                  <a:pt x="6419144" y="3682157"/>
                  <a:pt x="6419144" y="3701386"/>
                </a:cubicBezTo>
                <a:cubicBezTo>
                  <a:pt x="6419144" y="3720614"/>
                  <a:pt x="6434531" y="3736206"/>
                  <a:pt x="6453498" y="3736206"/>
                </a:cubicBezTo>
                <a:cubicBezTo>
                  <a:pt x="6472465" y="3736206"/>
                  <a:pt x="6487838" y="3720614"/>
                  <a:pt x="6487838" y="3701386"/>
                </a:cubicBezTo>
                <a:cubicBezTo>
                  <a:pt x="6487838" y="3682157"/>
                  <a:pt x="6472465" y="3666565"/>
                  <a:pt x="6453498" y="3666565"/>
                </a:cubicBezTo>
                <a:close/>
                <a:moveTo>
                  <a:pt x="6537239" y="3666565"/>
                </a:moveTo>
                <a:cubicBezTo>
                  <a:pt x="6518272" y="3666565"/>
                  <a:pt x="6502886" y="3682157"/>
                  <a:pt x="6502886" y="3701386"/>
                </a:cubicBezTo>
                <a:cubicBezTo>
                  <a:pt x="6502886" y="3720614"/>
                  <a:pt x="6518272" y="3736206"/>
                  <a:pt x="6537239" y="3736206"/>
                </a:cubicBezTo>
                <a:cubicBezTo>
                  <a:pt x="6556206" y="3736206"/>
                  <a:pt x="6571579" y="3720614"/>
                  <a:pt x="6571579" y="3701386"/>
                </a:cubicBezTo>
                <a:cubicBezTo>
                  <a:pt x="6571579" y="3682157"/>
                  <a:pt x="6556206" y="3666565"/>
                  <a:pt x="6537239" y="3666565"/>
                </a:cubicBezTo>
                <a:close/>
                <a:moveTo>
                  <a:pt x="6620980" y="3666565"/>
                </a:moveTo>
                <a:cubicBezTo>
                  <a:pt x="6602013" y="3666565"/>
                  <a:pt x="6586627" y="3682157"/>
                  <a:pt x="6586627" y="3701386"/>
                </a:cubicBezTo>
                <a:cubicBezTo>
                  <a:pt x="6586627" y="3720614"/>
                  <a:pt x="6602013" y="3736206"/>
                  <a:pt x="6620980" y="3736206"/>
                </a:cubicBezTo>
                <a:cubicBezTo>
                  <a:pt x="6639947" y="3736206"/>
                  <a:pt x="6655320" y="3720614"/>
                  <a:pt x="6655320" y="3701386"/>
                </a:cubicBezTo>
                <a:cubicBezTo>
                  <a:pt x="6655320" y="3682157"/>
                  <a:pt x="6639947" y="3666565"/>
                  <a:pt x="6620980" y="3666565"/>
                </a:cubicBezTo>
                <a:close/>
                <a:moveTo>
                  <a:pt x="6704722" y="3666565"/>
                </a:moveTo>
                <a:cubicBezTo>
                  <a:pt x="6685755" y="3666565"/>
                  <a:pt x="6670369" y="3682157"/>
                  <a:pt x="6670369" y="3701386"/>
                </a:cubicBezTo>
                <a:cubicBezTo>
                  <a:pt x="6670369" y="3720614"/>
                  <a:pt x="6685755" y="3736206"/>
                  <a:pt x="6704722" y="3736206"/>
                </a:cubicBezTo>
                <a:cubicBezTo>
                  <a:pt x="6723689" y="3736206"/>
                  <a:pt x="6739063" y="3720614"/>
                  <a:pt x="6739063" y="3701386"/>
                </a:cubicBezTo>
                <a:cubicBezTo>
                  <a:pt x="6739063" y="3682157"/>
                  <a:pt x="6723689" y="3666565"/>
                  <a:pt x="6704722" y="3666565"/>
                </a:cubicBezTo>
                <a:close/>
                <a:moveTo>
                  <a:pt x="6788464" y="3666565"/>
                </a:moveTo>
                <a:cubicBezTo>
                  <a:pt x="6769497" y="3666565"/>
                  <a:pt x="6754110" y="3682157"/>
                  <a:pt x="6754110" y="3701386"/>
                </a:cubicBezTo>
                <a:cubicBezTo>
                  <a:pt x="6754110" y="3720614"/>
                  <a:pt x="6769497" y="3736206"/>
                  <a:pt x="6788464" y="3736206"/>
                </a:cubicBezTo>
                <a:cubicBezTo>
                  <a:pt x="6807431" y="3736206"/>
                  <a:pt x="6822804" y="3720614"/>
                  <a:pt x="6822804" y="3701386"/>
                </a:cubicBezTo>
                <a:cubicBezTo>
                  <a:pt x="6822804" y="3682157"/>
                  <a:pt x="6807431" y="3666565"/>
                  <a:pt x="6788464" y="3666565"/>
                </a:cubicBezTo>
                <a:close/>
                <a:moveTo>
                  <a:pt x="6872206" y="3666565"/>
                </a:moveTo>
                <a:cubicBezTo>
                  <a:pt x="6853239" y="3666565"/>
                  <a:pt x="6837853" y="3682157"/>
                  <a:pt x="6837853" y="3701386"/>
                </a:cubicBezTo>
                <a:cubicBezTo>
                  <a:pt x="6837853" y="3720614"/>
                  <a:pt x="6853239" y="3736206"/>
                  <a:pt x="6872206" y="3736206"/>
                </a:cubicBezTo>
                <a:cubicBezTo>
                  <a:pt x="6891173" y="3736206"/>
                  <a:pt x="6906546" y="3720614"/>
                  <a:pt x="6906546" y="3701386"/>
                </a:cubicBezTo>
                <a:cubicBezTo>
                  <a:pt x="6906546" y="3682157"/>
                  <a:pt x="6891173" y="3666565"/>
                  <a:pt x="6872206" y="3666565"/>
                </a:cubicBezTo>
                <a:close/>
                <a:moveTo>
                  <a:pt x="6955947" y="3666565"/>
                </a:moveTo>
                <a:cubicBezTo>
                  <a:pt x="6936980" y="3666565"/>
                  <a:pt x="6921594" y="3682157"/>
                  <a:pt x="6921594" y="3701386"/>
                </a:cubicBezTo>
                <a:cubicBezTo>
                  <a:pt x="6921594" y="3720614"/>
                  <a:pt x="6936980" y="3736206"/>
                  <a:pt x="6955947" y="3736206"/>
                </a:cubicBezTo>
                <a:cubicBezTo>
                  <a:pt x="6974914" y="3736206"/>
                  <a:pt x="6990287" y="3720614"/>
                  <a:pt x="6990287" y="3701386"/>
                </a:cubicBezTo>
                <a:cubicBezTo>
                  <a:pt x="6990287" y="3682157"/>
                  <a:pt x="6974914" y="3666565"/>
                  <a:pt x="6955947" y="3666565"/>
                </a:cubicBezTo>
                <a:close/>
                <a:moveTo>
                  <a:pt x="7207198" y="3666565"/>
                </a:moveTo>
                <a:cubicBezTo>
                  <a:pt x="7188231" y="3666565"/>
                  <a:pt x="7172845" y="3682157"/>
                  <a:pt x="7172845" y="3701386"/>
                </a:cubicBezTo>
                <a:cubicBezTo>
                  <a:pt x="7172845" y="3720614"/>
                  <a:pt x="7188231" y="3736206"/>
                  <a:pt x="7207198" y="3736206"/>
                </a:cubicBezTo>
                <a:cubicBezTo>
                  <a:pt x="7226165" y="3736206"/>
                  <a:pt x="7241538" y="3720614"/>
                  <a:pt x="7241538" y="3701386"/>
                </a:cubicBezTo>
                <a:cubicBezTo>
                  <a:pt x="7241538" y="3682157"/>
                  <a:pt x="7226165" y="3666565"/>
                  <a:pt x="7207198" y="3666565"/>
                </a:cubicBezTo>
                <a:close/>
                <a:moveTo>
                  <a:pt x="7290939" y="3666565"/>
                </a:moveTo>
                <a:cubicBezTo>
                  <a:pt x="7271972" y="3666565"/>
                  <a:pt x="7256586" y="3682157"/>
                  <a:pt x="7256586" y="3701386"/>
                </a:cubicBezTo>
                <a:cubicBezTo>
                  <a:pt x="7256586" y="3720614"/>
                  <a:pt x="7271972" y="3736206"/>
                  <a:pt x="7290939" y="3736206"/>
                </a:cubicBezTo>
                <a:cubicBezTo>
                  <a:pt x="7309906" y="3736206"/>
                  <a:pt x="7325279" y="3720614"/>
                  <a:pt x="7325279" y="3701386"/>
                </a:cubicBezTo>
                <a:cubicBezTo>
                  <a:pt x="7325279" y="3682157"/>
                  <a:pt x="7309906" y="3666565"/>
                  <a:pt x="7290939" y="3666565"/>
                </a:cubicBezTo>
                <a:close/>
                <a:moveTo>
                  <a:pt x="7374681" y="3666565"/>
                </a:moveTo>
                <a:cubicBezTo>
                  <a:pt x="7355714" y="3666565"/>
                  <a:pt x="7340328" y="3682157"/>
                  <a:pt x="7340328" y="3701386"/>
                </a:cubicBezTo>
                <a:cubicBezTo>
                  <a:pt x="7340328" y="3720614"/>
                  <a:pt x="7355714" y="3736206"/>
                  <a:pt x="7374681" y="3736206"/>
                </a:cubicBezTo>
                <a:cubicBezTo>
                  <a:pt x="7393648" y="3736206"/>
                  <a:pt x="7409022" y="3720614"/>
                  <a:pt x="7409022" y="3701386"/>
                </a:cubicBezTo>
                <a:cubicBezTo>
                  <a:pt x="7409022" y="3682157"/>
                  <a:pt x="7393648" y="3666565"/>
                  <a:pt x="7374681" y="3666565"/>
                </a:cubicBezTo>
                <a:close/>
                <a:moveTo>
                  <a:pt x="7458423" y="3666565"/>
                </a:moveTo>
                <a:cubicBezTo>
                  <a:pt x="7439456" y="3666565"/>
                  <a:pt x="7424070" y="3682157"/>
                  <a:pt x="7424070" y="3701386"/>
                </a:cubicBezTo>
                <a:cubicBezTo>
                  <a:pt x="7424070" y="3720614"/>
                  <a:pt x="7439456" y="3736206"/>
                  <a:pt x="7458423" y="3736206"/>
                </a:cubicBezTo>
                <a:cubicBezTo>
                  <a:pt x="7477390" y="3736206"/>
                  <a:pt x="7492763" y="3720614"/>
                  <a:pt x="7492763" y="3701386"/>
                </a:cubicBezTo>
                <a:cubicBezTo>
                  <a:pt x="7492763" y="3682157"/>
                  <a:pt x="7477390" y="3666565"/>
                  <a:pt x="7458423" y="3666565"/>
                </a:cubicBezTo>
                <a:close/>
                <a:moveTo>
                  <a:pt x="7542164" y="3666565"/>
                </a:moveTo>
                <a:cubicBezTo>
                  <a:pt x="7523197" y="3666565"/>
                  <a:pt x="7507811" y="3682157"/>
                  <a:pt x="7507811" y="3701386"/>
                </a:cubicBezTo>
                <a:cubicBezTo>
                  <a:pt x="7507811" y="3720614"/>
                  <a:pt x="7523197" y="3736206"/>
                  <a:pt x="7542164" y="3736206"/>
                </a:cubicBezTo>
                <a:cubicBezTo>
                  <a:pt x="7561131" y="3736206"/>
                  <a:pt x="7576504" y="3720614"/>
                  <a:pt x="7576504" y="3701386"/>
                </a:cubicBezTo>
                <a:cubicBezTo>
                  <a:pt x="7576504" y="3682157"/>
                  <a:pt x="7561131" y="3666565"/>
                  <a:pt x="7542164" y="3666565"/>
                </a:cubicBezTo>
                <a:close/>
                <a:moveTo>
                  <a:pt x="8128356" y="3666565"/>
                </a:moveTo>
                <a:cubicBezTo>
                  <a:pt x="8109389" y="3666565"/>
                  <a:pt x="8094003" y="3682157"/>
                  <a:pt x="8094003" y="3701386"/>
                </a:cubicBezTo>
                <a:cubicBezTo>
                  <a:pt x="8094003" y="3720614"/>
                  <a:pt x="8109389" y="3736206"/>
                  <a:pt x="8128356" y="3736206"/>
                </a:cubicBezTo>
                <a:cubicBezTo>
                  <a:pt x="8147323" y="3736206"/>
                  <a:pt x="8162696" y="3720614"/>
                  <a:pt x="8162696" y="3701386"/>
                </a:cubicBezTo>
                <a:cubicBezTo>
                  <a:pt x="8162696" y="3682157"/>
                  <a:pt x="8147323" y="3666565"/>
                  <a:pt x="8128356" y="3666565"/>
                </a:cubicBezTo>
                <a:close/>
                <a:moveTo>
                  <a:pt x="8212097" y="3666565"/>
                </a:moveTo>
                <a:cubicBezTo>
                  <a:pt x="8193130" y="3666565"/>
                  <a:pt x="8177744" y="3682157"/>
                  <a:pt x="8177744" y="3701386"/>
                </a:cubicBezTo>
                <a:cubicBezTo>
                  <a:pt x="8177744" y="3720614"/>
                  <a:pt x="8193130" y="3736206"/>
                  <a:pt x="8212097" y="3736206"/>
                </a:cubicBezTo>
                <a:cubicBezTo>
                  <a:pt x="8231064" y="3736206"/>
                  <a:pt x="8246437" y="3720614"/>
                  <a:pt x="8246437" y="3701386"/>
                </a:cubicBezTo>
                <a:cubicBezTo>
                  <a:pt x="8246437" y="3682157"/>
                  <a:pt x="8231064" y="3666565"/>
                  <a:pt x="8212097" y="3666565"/>
                </a:cubicBezTo>
                <a:close/>
                <a:moveTo>
                  <a:pt x="8295839" y="3666565"/>
                </a:moveTo>
                <a:cubicBezTo>
                  <a:pt x="8276872" y="3666565"/>
                  <a:pt x="8261486" y="3682157"/>
                  <a:pt x="8261486" y="3701386"/>
                </a:cubicBezTo>
                <a:cubicBezTo>
                  <a:pt x="8261486" y="3720614"/>
                  <a:pt x="8276872" y="3736206"/>
                  <a:pt x="8295839" y="3736206"/>
                </a:cubicBezTo>
                <a:cubicBezTo>
                  <a:pt x="8314806" y="3736206"/>
                  <a:pt x="8330179" y="3720614"/>
                  <a:pt x="8330179" y="3701386"/>
                </a:cubicBezTo>
                <a:cubicBezTo>
                  <a:pt x="8330179" y="3682157"/>
                  <a:pt x="8314806" y="3666565"/>
                  <a:pt x="8295839" y="3666565"/>
                </a:cubicBezTo>
                <a:close/>
                <a:moveTo>
                  <a:pt x="8379580" y="3666565"/>
                </a:moveTo>
                <a:cubicBezTo>
                  <a:pt x="8360613" y="3666565"/>
                  <a:pt x="8345227" y="3682157"/>
                  <a:pt x="8345227" y="3701386"/>
                </a:cubicBezTo>
                <a:cubicBezTo>
                  <a:pt x="8345227" y="3720614"/>
                  <a:pt x="8360613" y="3736206"/>
                  <a:pt x="8379580" y="3736206"/>
                </a:cubicBezTo>
                <a:cubicBezTo>
                  <a:pt x="8398547" y="3736206"/>
                  <a:pt x="8413921" y="3720614"/>
                  <a:pt x="8413921" y="3701386"/>
                </a:cubicBezTo>
                <a:cubicBezTo>
                  <a:pt x="8413921" y="3682157"/>
                  <a:pt x="8398547" y="3666565"/>
                  <a:pt x="8379580" y="3666565"/>
                </a:cubicBezTo>
                <a:close/>
                <a:moveTo>
                  <a:pt x="8798289" y="3666565"/>
                </a:moveTo>
                <a:cubicBezTo>
                  <a:pt x="8779322" y="3666565"/>
                  <a:pt x="8763936" y="3682157"/>
                  <a:pt x="8763936" y="3701386"/>
                </a:cubicBezTo>
                <a:cubicBezTo>
                  <a:pt x="8763936" y="3720614"/>
                  <a:pt x="8779322" y="3736206"/>
                  <a:pt x="8798289" y="3736206"/>
                </a:cubicBezTo>
                <a:cubicBezTo>
                  <a:pt x="8817256" y="3736206"/>
                  <a:pt x="8832629" y="3720614"/>
                  <a:pt x="8832629" y="3701386"/>
                </a:cubicBezTo>
                <a:cubicBezTo>
                  <a:pt x="8832629" y="3682157"/>
                  <a:pt x="8817256" y="3666565"/>
                  <a:pt x="8798289" y="3666565"/>
                </a:cubicBezTo>
                <a:close/>
                <a:moveTo>
                  <a:pt x="8882030" y="3666565"/>
                </a:moveTo>
                <a:cubicBezTo>
                  <a:pt x="8863063" y="3666565"/>
                  <a:pt x="8847677" y="3682157"/>
                  <a:pt x="8847677" y="3701386"/>
                </a:cubicBezTo>
                <a:cubicBezTo>
                  <a:pt x="8847677" y="3720614"/>
                  <a:pt x="8863063" y="3736206"/>
                  <a:pt x="8882030" y="3736206"/>
                </a:cubicBezTo>
                <a:cubicBezTo>
                  <a:pt x="8900997" y="3736206"/>
                  <a:pt x="8916370" y="3720614"/>
                  <a:pt x="8916370" y="3701386"/>
                </a:cubicBezTo>
                <a:cubicBezTo>
                  <a:pt x="8916370" y="3682157"/>
                  <a:pt x="8900997" y="3666565"/>
                  <a:pt x="8882030" y="3666565"/>
                </a:cubicBezTo>
                <a:close/>
                <a:moveTo>
                  <a:pt x="8965772" y="3666565"/>
                </a:moveTo>
                <a:cubicBezTo>
                  <a:pt x="8946805" y="3666565"/>
                  <a:pt x="8931419" y="3682157"/>
                  <a:pt x="8931419" y="3701386"/>
                </a:cubicBezTo>
                <a:cubicBezTo>
                  <a:pt x="8931419" y="3720614"/>
                  <a:pt x="8946805" y="3736206"/>
                  <a:pt x="8965772" y="3736206"/>
                </a:cubicBezTo>
                <a:cubicBezTo>
                  <a:pt x="8984739" y="3736206"/>
                  <a:pt x="9000112" y="3720614"/>
                  <a:pt x="9000112" y="3701386"/>
                </a:cubicBezTo>
                <a:cubicBezTo>
                  <a:pt x="9000112" y="3682157"/>
                  <a:pt x="8984739" y="3666565"/>
                  <a:pt x="8965772" y="3666565"/>
                </a:cubicBezTo>
                <a:close/>
                <a:moveTo>
                  <a:pt x="9049513" y="3666565"/>
                </a:moveTo>
                <a:cubicBezTo>
                  <a:pt x="9030546" y="3666565"/>
                  <a:pt x="9015160" y="3682157"/>
                  <a:pt x="9015160" y="3701386"/>
                </a:cubicBezTo>
                <a:cubicBezTo>
                  <a:pt x="9015160" y="3720614"/>
                  <a:pt x="9030546" y="3736206"/>
                  <a:pt x="9049513" y="3736206"/>
                </a:cubicBezTo>
                <a:cubicBezTo>
                  <a:pt x="9068480" y="3736206"/>
                  <a:pt x="9083854" y="3720614"/>
                  <a:pt x="9083854" y="3701386"/>
                </a:cubicBezTo>
                <a:cubicBezTo>
                  <a:pt x="9083854" y="3682157"/>
                  <a:pt x="9068480" y="3666565"/>
                  <a:pt x="9049513" y="3666565"/>
                </a:cubicBezTo>
                <a:close/>
                <a:moveTo>
                  <a:pt x="9300738" y="3666565"/>
                </a:moveTo>
                <a:cubicBezTo>
                  <a:pt x="9281771" y="3666565"/>
                  <a:pt x="9266385" y="3682157"/>
                  <a:pt x="9266385" y="3701386"/>
                </a:cubicBezTo>
                <a:cubicBezTo>
                  <a:pt x="9266385" y="3720614"/>
                  <a:pt x="9281771" y="3736206"/>
                  <a:pt x="9300738" y="3736206"/>
                </a:cubicBezTo>
                <a:cubicBezTo>
                  <a:pt x="9319705" y="3736206"/>
                  <a:pt x="9335078" y="3720614"/>
                  <a:pt x="9335078" y="3701386"/>
                </a:cubicBezTo>
                <a:cubicBezTo>
                  <a:pt x="9335078" y="3682157"/>
                  <a:pt x="9319705" y="3666565"/>
                  <a:pt x="9300738" y="3666565"/>
                </a:cubicBezTo>
                <a:close/>
                <a:moveTo>
                  <a:pt x="2852600" y="3751429"/>
                </a:moveTo>
                <a:cubicBezTo>
                  <a:pt x="2833633" y="3751429"/>
                  <a:pt x="2818254" y="3767021"/>
                  <a:pt x="2818254" y="3786250"/>
                </a:cubicBezTo>
                <a:cubicBezTo>
                  <a:pt x="2818254" y="3805478"/>
                  <a:pt x="2833633" y="3821070"/>
                  <a:pt x="2852600" y="3821070"/>
                </a:cubicBezTo>
                <a:cubicBezTo>
                  <a:pt x="2871567" y="3821070"/>
                  <a:pt x="2886947" y="3805478"/>
                  <a:pt x="2886947" y="3786250"/>
                </a:cubicBezTo>
                <a:cubicBezTo>
                  <a:pt x="2886947" y="3767021"/>
                  <a:pt x="2871567" y="3751429"/>
                  <a:pt x="2852600" y="3751429"/>
                </a:cubicBezTo>
                <a:close/>
                <a:moveTo>
                  <a:pt x="2936343" y="3751429"/>
                </a:moveTo>
                <a:cubicBezTo>
                  <a:pt x="2917376" y="3751429"/>
                  <a:pt x="2901996" y="3767021"/>
                  <a:pt x="2901996" y="3786250"/>
                </a:cubicBezTo>
                <a:cubicBezTo>
                  <a:pt x="2901996" y="3805478"/>
                  <a:pt x="2917376" y="3821070"/>
                  <a:pt x="2936343" y="3821070"/>
                </a:cubicBezTo>
                <a:cubicBezTo>
                  <a:pt x="2955310" y="3821070"/>
                  <a:pt x="2970689" y="3805478"/>
                  <a:pt x="2970689" y="3786250"/>
                </a:cubicBezTo>
                <a:cubicBezTo>
                  <a:pt x="2970689" y="3767021"/>
                  <a:pt x="2955310" y="3751429"/>
                  <a:pt x="2936343" y="3751429"/>
                </a:cubicBezTo>
                <a:close/>
                <a:moveTo>
                  <a:pt x="3020084" y="3751429"/>
                </a:moveTo>
                <a:cubicBezTo>
                  <a:pt x="3001117" y="3751429"/>
                  <a:pt x="2985737" y="3767021"/>
                  <a:pt x="2985737" y="3786250"/>
                </a:cubicBezTo>
                <a:cubicBezTo>
                  <a:pt x="2985737" y="3805478"/>
                  <a:pt x="3001117" y="3821070"/>
                  <a:pt x="3020084" y="3821070"/>
                </a:cubicBezTo>
                <a:cubicBezTo>
                  <a:pt x="3039051" y="3821070"/>
                  <a:pt x="3054431" y="3805478"/>
                  <a:pt x="3054431" y="3786250"/>
                </a:cubicBezTo>
                <a:cubicBezTo>
                  <a:pt x="3054431" y="3767021"/>
                  <a:pt x="3039051" y="3751429"/>
                  <a:pt x="3020084" y="3751429"/>
                </a:cubicBezTo>
                <a:close/>
                <a:moveTo>
                  <a:pt x="3103826" y="3751429"/>
                </a:moveTo>
                <a:cubicBezTo>
                  <a:pt x="3084859" y="3751429"/>
                  <a:pt x="3069479" y="3767021"/>
                  <a:pt x="3069479" y="3786250"/>
                </a:cubicBezTo>
                <a:cubicBezTo>
                  <a:pt x="3069479" y="3805478"/>
                  <a:pt x="3084859" y="3821070"/>
                  <a:pt x="3103826" y="3821070"/>
                </a:cubicBezTo>
                <a:cubicBezTo>
                  <a:pt x="3122793" y="3821070"/>
                  <a:pt x="3138173" y="3805478"/>
                  <a:pt x="3138173" y="3786250"/>
                </a:cubicBezTo>
                <a:cubicBezTo>
                  <a:pt x="3138173" y="3767021"/>
                  <a:pt x="3122793" y="3751429"/>
                  <a:pt x="3103826" y="3751429"/>
                </a:cubicBezTo>
                <a:close/>
                <a:moveTo>
                  <a:pt x="5448598" y="3751429"/>
                </a:moveTo>
                <a:cubicBezTo>
                  <a:pt x="5429631" y="3751429"/>
                  <a:pt x="5414244" y="3767021"/>
                  <a:pt x="5414244" y="3786250"/>
                </a:cubicBezTo>
                <a:cubicBezTo>
                  <a:pt x="5414244" y="3805478"/>
                  <a:pt x="5429631" y="3821070"/>
                  <a:pt x="5448598" y="3821070"/>
                </a:cubicBezTo>
                <a:cubicBezTo>
                  <a:pt x="5467565" y="3821070"/>
                  <a:pt x="5482938" y="3805478"/>
                  <a:pt x="5482938" y="3786250"/>
                </a:cubicBezTo>
                <a:cubicBezTo>
                  <a:pt x="5482938" y="3767021"/>
                  <a:pt x="5467565" y="3751429"/>
                  <a:pt x="5448598" y="3751429"/>
                </a:cubicBezTo>
                <a:close/>
                <a:moveTo>
                  <a:pt x="5532340" y="3751429"/>
                </a:moveTo>
                <a:cubicBezTo>
                  <a:pt x="5513373" y="3751429"/>
                  <a:pt x="5497987" y="3767021"/>
                  <a:pt x="5497987" y="3786250"/>
                </a:cubicBezTo>
                <a:cubicBezTo>
                  <a:pt x="5497987" y="3805478"/>
                  <a:pt x="5513373" y="3821070"/>
                  <a:pt x="5532340" y="3821070"/>
                </a:cubicBezTo>
                <a:cubicBezTo>
                  <a:pt x="5551307" y="3821070"/>
                  <a:pt x="5566680" y="3805478"/>
                  <a:pt x="5566680" y="3786250"/>
                </a:cubicBezTo>
                <a:cubicBezTo>
                  <a:pt x="5566680" y="3767021"/>
                  <a:pt x="5551307" y="3751429"/>
                  <a:pt x="5532340" y="3751429"/>
                </a:cubicBezTo>
                <a:close/>
                <a:moveTo>
                  <a:pt x="5616081" y="3751429"/>
                </a:moveTo>
                <a:cubicBezTo>
                  <a:pt x="5597114" y="3751429"/>
                  <a:pt x="5581728" y="3767021"/>
                  <a:pt x="5581728" y="3786250"/>
                </a:cubicBezTo>
                <a:cubicBezTo>
                  <a:pt x="5581728" y="3805478"/>
                  <a:pt x="5597114" y="3821070"/>
                  <a:pt x="5616081" y="3821070"/>
                </a:cubicBezTo>
                <a:cubicBezTo>
                  <a:pt x="5635048" y="3821070"/>
                  <a:pt x="5650421" y="3805478"/>
                  <a:pt x="5650421" y="3786250"/>
                </a:cubicBezTo>
                <a:cubicBezTo>
                  <a:pt x="5650421" y="3767021"/>
                  <a:pt x="5635048" y="3751429"/>
                  <a:pt x="5616081" y="3751429"/>
                </a:cubicBezTo>
                <a:close/>
                <a:moveTo>
                  <a:pt x="5699822" y="3751429"/>
                </a:moveTo>
                <a:cubicBezTo>
                  <a:pt x="5680855" y="3751429"/>
                  <a:pt x="5665469" y="3767021"/>
                  <a:pt x="5665469" y="3786250"/>
                </a:cubicBezTo>
                <a:cubicBezTo>
                  <a:pt x="5665469" y="3805478"/>
                  <a:pt x="5680855" y="3821070"/>
                  <a:pt x="5699822" y="3821070"/>
                </a:cubicBezTo>
                <a:cubicBezTo>
                  <a:pt x="5718789" y="3821070"/>
                  <a:pt x="5734163" y="3805478"/>
                  <a:pt x="5734163" y="3786250"/>
                </a:cubicBezTo>
                <a:cubicBezTo>
                  <a:pt x="5734163" y="3767021"/>
                  <a:pt x="5718789" y="3751429"/>
                  <a:pt x="5699822" y="3751429"/>
                </a:cubicBezTo>
                <a:close/>
                <a:moveTo>
                  <a:pt x="5783565" y="3751429"/>
                </a:moveTo>
                <a:cubicBezTo>
                  <a:pt x="5764598" y="3751429"/>
                  <a:pt x="5749211" y="3767021"/>
                  <a:pt x="5749211" y="3786250"/>
                </a:cubicBezTo>
                <a:cubicBezTo>
                  <a:pt x="5749211" y="3805478"/>
                  <a:pt x="5764598" y="3821070"/>
                  <a:pt x="5783565" y="3821070"/>
                </a:cubicBezTo>
                <a:cubicBezTo>
                  <a:pt x="5802532" y="3821070"/>
                  <a:pt x="5817905" y="3805478"/>
                  <a:pt x="5817905" y="3786250"/>
                </a:cubicBezTo>
                <a:cubicBezTo>
                  <a:pt x="5817905" y="3767021"/>
                  <a:pt x="5802532" y="3751429"/>
                  <a:pt x="5783565" y="3751429"/>
                </a:cubicBezTo>
                <a:close/>
                <a:moveTo>
                  <a:pt x="5867306" y="3751429"/>
                </a:moveTo>
                <a:cubicBezTo>
                  <a:pt x="5848339" y="3751429"/>
                  <a:pt x="5832953" y="3767021"/>
                  <a:pt x="5832953" y="3786250"/>
                </a:cubicBezTo>
                <a:cubicBezTo>
                  <a:pt x="5832953" y="3805478"/>
                  <a:pt x="5848339" y="3821070"/>
                  <a:pt x="5867306" y="3821070"/>
                </a:cubicBezTo>
                <a:cubicBezTo>
                  <a:pt x="5886273" y="3821070"/>
                  <a:pt x="5901646" y="3805478"/>
                  <a:pt x="5901646" y="3786250"/>
                </a:cubicBezTo>
                <a:cubicBezTo>
                  <a:pt x="5901646" y="3767021"/>
                  <a:pt x="5886273" y="3751429"/>
                  <a:pt x="5867306" y="3751429"/>
                </a:cubicBezTo>
                <a:close/>
                <a:moveTo>
                  <a:pt x="5951047" y="3751429"/>
                </a:moveTo>
                <a:cubicBezTo>
                  <a:pt x="5932080" y="3751429"/>
                  <a:pt x="5916694" y="3767021"/>
                  <a:pt x="5916694" y="3786250"/>
                </a:cubicBezTo>
                <a:cubicBezTo>
                  <a:pt x="5916694" y="3805478"/>
                  <a:pt x="5932080" y="3821070"/>
                  <a:pt x="5951047" y="3821070"/>
                </a:cubicBezTo>
                <a:cubicBezTo>
                  <a:pt x="5970014" y="3821070"/>
                  <a:pt x="5985387" y="3805478"/>
                  <a:pt x="5985387" y="3786250"/>
                </a:cubicBezTo>
                <a:cubicBezTo>
                  <a:pt x="5985387" y="3767021"/>
                  <a:pt x="5970014" y="3751429"/>
                  <a:pt x="5951047" y="3751429"/>
                </a:cubicBezTo>
                <a:close/>
                <a:moveTo>
                  <a:pt x="6034789" y="3751429"/>
                </a:moveTo>
                <a:cubicBezTo>
                  <a:pt x="6015822" y="3751429"/>
                  <a:pt x="6000436" y="3767021"/>
                  <a:pt x="6000436" y="3786250"/>
                </a:cubicBezTo>
                <a:cubicBezTo>
                  <a:pt x="6000436" y="3805478"/>
                  <a:pt x="6015822" y="3821070"/>
                  <a:pt x="6034789" y="3821070"/>
                </a:cubicBezTo>
                <a:cubicBezTo>
                  <a:pt x="6053756" y="3821070"/>
                  <a:pt x="6069130" y="3805478"/>
                  <a:pt x="6069130" y="3786250"/>
                </a:cubicBezTo>
                <a:cubicBezTo>
                  <a:pt x="6069130" y="3767021"/>
                  <a:pt x="6053756" y="3751429"/>
                  <a:pt x="6034789" y="3751429"/>
                </a:cubicBezTo>
                <a:close/>
                <a:moveTo>
                  <a:pt x="6118531" y="3751429"/>
                </a:moveTo>
                <a:cubicBezTo>
                  <a:pt x="6099564" y="3751429"/>
                  <a:pt x="6084177" y="3767021"/>
                  <a:pt x="6084177" y="3786250"/>
                </a:cubicBezTo>
                <a:cubicBezTo>
                  <a:pt x="6084177" y="3805478"/>
                  <a:pt x="6099564" y="3821070"/>
                  <a:pt x="6118531" y="3821070"/>
                </a:cubicBezTo>
                <a:cubicBezTo>
                  <a:pt x="6137498" y="3821070"/>
                  <a:pt x="6152871" y="3805478"/>
                  <a:pt x="6152871" y="3786250"/>
                </a:cubicBezTo>
                <a:cubicBezTo>
                  <a:pt x="6152871" y="3767021"/>
                  <a:pt x="6137498" y="3751429"/>
                  <a:pt x="6118531" y="3751429"/>
                </a:cubicBezTo>
                <a:close/>
                <a:moveTo>
                  <a:pt x="6202273" y="3751429"/>
                </a:moveTo>
                <a:cubicBezTo>
                  <a:pt x="6183306" y="3751429"/>
                  <a:pt x="6167920" y="3767021"/>
                  <a:pt x="6167920" y="3786250"/>
                </a:cubicBezTo>
                <a:cubicBezTo>
                  <a:pt x="6167920" y="3805478"/>
                  <a:pt x="6183306" y="3821070"/>
                  <a:pt x="6202273" y="3821070"/>
                </a:cubicBezTo>
                <a:cubicBezTo>
                  <a:pt x="6221240" y="3821070"/>
                  <a:pt x="6236613" y="3805478"/>
                  <a:pt x="6236613" y="3786250"/>
                </a:cubicBezTo>
                <a:cubicBezTo>
                  <a:pt x="6236613" y="3767021"/>
                  <a:pt x="6221240" y="3751429"/>
                  <a:pt x="6202273" y="3751429"/>
                </a:cubicBezTo>
                <a:close/>
                <a:moveTo>
                  <a:pt x="6286014" y="3751429"/>
                </a:moveTo>
                <a:cubicBezTo>
                  <a:pt x="6267047" y="3751429"/>
                  <a:pt x="6251661" y="3767021"/>
                  <a:pt x="6251661" y="3786250"/>
                </a:cubicBezTo>
                <a:cubicBezTo>
                  <a:pt x="6251661" y="3805478"/>
                  <a:pt x="6267047" y="3821070"/>
                  <a:pt x="6286014" y="3821070"/>
                </a:cubicBezTo>
                <a:cubicBezTo>
                  <a:pt x="6304981" y="3821070"/>
                  <a:pt x="6320354" y="3805478"/>
                  <a:pt x="6320354" y="3786250"/>
                </a:cubicBezTo>
                <a:cubicBezTo>
                  <a:pt x="6320354" y="3767021"/>
                  <a:pt x="6304981" y="3751429"/>
                  <a:pt x="6286014" y="3751429"/>
                </a:cubicBezTo>
                <a:close/>
                <a:moveTo>
                  <a:pt x="6369755" y="3751429"/>
                </a:moveTo>
                <a:cubicBezTo>
                  <a:pt x="6350788" y="3751429"/>
                  <a:pt x="6335402" y="3767021"/>
                  <a:pt x="6335402" y="3786250"/>
                </a:cubicBezTo>
                <a:cubicBezTo>
                  <a:pt x="6335402" y="3805478"/>
                  <a:pt x="6350788" y="3821070"/>
                  <a:pt x="6369755" y="3821070"/>
                </a:cubicBezTo>
                <a:cubicBezTo>
                  <a:pt x="6388722" y="3821070"/>
                  <a:pt x="6404096" y="3805478"/>
                  <a:pt x="6404096" y="3786250"/>
                </a:cubicBezTo>
                <a:cubicBezTo>
                  <a:pt x="6404096" y="3767021"/>
                  <a:pt x="6388722" y="3751429"/>
                  <a:pt x="6369755" y="3751429"/>
                </a:cubicBezTo>
                <a:close/>
                <a:moveTo>
                  <a:pt x="6453498" y="3751429"/>
                </a:moveTo>
                <a:cubicBezTo>
                  <a:pt x="6434531" y="3751429"/>
                  <a:pt x="6419144" y="3767021"/>
                  <a:pt x="6419144" y="3786250"/>
                </a:cubicBezTo>
                <a:cubicBezTo>
                  <a:pt x="6419144" y="3805478"/>
                  <a:pt x="6434531" y="3821070"/>
                  <a:pt x="6453498" y="3821070"/>
                </a:cubicBezTo>
                <a:cubicBezTo>
                  <a:pt x="6472465" y="3821070"/>
                  <a:pt x="6487838" y="3805478"/>
                  <a:pt x="6487838" y="3786250"/>
                </a:cubicBezTo>
                <a:cubicBezTo>
                  <a:pt x="6487838" y="3767021"/>
                  <a:pt x="6472465" y="3751429"/>
                  <a:pt x="6453498" y="3751429"/>
                </a:cubicBezTo>
                <a:close/>
                <a:moveTo>
                  <a:pt x="6537239" y="3751429"/>
                </a:moveTo>
                <a:cubicBezTo>
                  <a:pt x="6518272" y="3751429"/>
                  <a:pt x="6502886" y="3767021"/>
                  <a:pt x="6502886" y="3786250"/>
                </a:cubicBezTo>
                <a:cubicBezTo>
                  <a:pt x="6502886" y="3805478"/>
                  <a:pt x="6518272" y="3821070"/>
                  <a:pt x="6537239" y="3821070"/>
                </a:cubicBezTo>
                <a:cubicBezTo>
                  <a:pt x="6556206" y="3821070"/>
                  <a:pt x="6571579" y="3805478"/>
                  <a:pt x="6571579" y="3786250"/>
                </a:cubicBezTo>
                <a:cubicBezTo>
                  <a:pt x="6571579" y="3767021"/>
                  <a:pt x="6556206" y="3751429"/>
                  <a:pt x="6537239" y="3751429"/>
                </a:cubicBezTo>
                <a:close/>
                <a:moveTo>
                  <a:pt x="6620980" y="3751429"/>
                </a:moveTo>
                <a:cubicBezTo>
                  <a:pt x="6602013" y="3751429"/>
                  <a:pt x="6586627" y="3767021"/>
                  <a:pt x="6586627" y="3786250"/>
                </a:cubicBezTo>
                <a:cubicBezTo>
                  <a:pt x="6586627" y="3805478"/>
                  <a:pt x="6602013" y="3821070"/>
                  <a:pt x="6620980" y="3821070"/>
                </a:cubicBezTo>
                <a:cubicBezTo>
                  <a:pt x="6639947" y="3821070"/>
                  <a:pt x="6655320" y="3805478"/>
                  <a:pt x="6655320" y="3786250"/>
                </a:cubicBezTo>
                <a:cubicBezTo>
                  <a:pt x="6655320" y="3767021"/>
                  <a:pt x="6639947" y="3751429"/>
                  <a:pt x="6620980" y="3751429"/>
                </a:cubicBezTo>
                <a:close/>
                <a:moveTo>
                  <a:pt x="6704722" y="3751429"/>
                </a:moveTo>
                <a:cubicBezTo>
                  <a:pt x="6685755" y="3751429"/>
                  <a:pt x="6670369" y="3767021"/>
                  <a:pt x="6670369" y="3786250"/>
                </a:cubicBezTo>
                <a:cubicBezTo>
                  <a:pt x="6670369" y="3805478"/>
                  <a:pt x="6685755" y="3821070"/>
                  <a:pt x="6704722" y="3821070"/>
                </a:cubicBezTo>
                <a:cubicBezTo>
                  <a:pt x="6723689" y="3821070"/>
                  <a:pt x="6739063" y="3805478"/>
                  <a:pt x="6739063" y="3786250"/>
                </a:cubicBezTo>
                <a:cubicBezTo>
                  <a:pt x="6739063" y="3767021"/>
                  <a:pt x="6723689" y="3751429"/>
                  <a:pt x="6704722" y="3751429"/>
                </a:cubicBezTo>
                <a:close/>
                <a:moveTo>
                  <a:pt x="6788464" y="3751429"/>
                </a:moveTo>
                <a:cubicBezTo>
                  <a:pt x="6769497" y="3751429"/>
                  <a:pt x="6754110" y="3767021"/>
                  <a:pt x="6754110" y="3786250"/>
                </a:cubicBezTo>
                <a:cubicBezTo>
                  <a:pt x="6754110" y="3805478"/>
                  <a:pt x="6769497" y="3821070"/>
                  <a:pt x="6788464" y="3821070"/>
                </a:cubicBezTo>
                <a:cubicBezTo>
                  <a:pt x="6807431" y="3821070"/>
                  <a:pt x="6822804" y="3805478"/>
                  <a:pt x="6822804" y="3786250"/>
                </a:cubicBezTo>
                <a:cubicBezTo>
                  <a:pt x="6822804" y="3767021"/>
                  <a:pt x="6807431" y="3751429"/>
                  <a:pt x="6788464" y="3751429"/>
                </a:cubicBezTo>
                <a:close/>
                <a:moveTo>
                  <a:pt x="6872206" y="3751429"/>
                </a:moveTo>
                <a:cubicBezTo>
                  <a:pt x="6853239" y="3751429"/>
                  <a:pt x="6837853" y="3767021"/>
                  <a:pt x="6837853" y="3786250"/>
                </a:cubicBezTo>
                <a:cubicBezTo>
                  <a:pt x="6837853" y="3805478"/>
                  <a:pt x="6853239" y="3821070"/>
                  <a:pt x="6872206" y="3821070"/>
                </a:cubicBezTo>
                <a:cubicBezTo>
                  <a:pt x="6891173" y="3821070"/>
                  <a:pt x="6906546" y="3805478"/>
                  <a:pt x="6906546" y="3786250"/>
                </a:cubicBezTo>
                <a:cubicBezTo>
                  <a:pt x="6906546" y="3767021"/>
                  <a:pt x="6891173" y="3751429"/>
                  <a:pt x="6872206" y="3751429"/>
                </a:cubicBezTo>
                <a:close/>
                <a:moveTo>
                  <a:pt x="6955947" y="3751429"/>
                </a:moveTo>
                <a:cubicBezTo>
                  <a:pt x="6936980" y="3751429"/>
                  <a:pt x="6921594" y="3767021"/>
                  <a:pt x="6921594" y="3786250"/>
                </a:cubicBezTo>
                <a:cubicBezTo>
                  <a:pt x="6921594" y="3805478"/>
                  <a:pt x="6936980" y="3821070"/>
                  <a:pt x="6955947" y="3821070"/>
                </a:cubicBezTo>
                <a:cubicBezTo>
                  <a:pt x="6974914" y="3821070"/>
                  <a:pt x="6990287" y="3805478"/>
                  <a:pt x="6990287" y="3786250"/>
                </a:cubicBezTo>
                <a:cubicBezTo>
                  <a:pt x="6990287" y="3767021"/>
                  <a:pt x="6974914" y="3751429"/>
                  <a:pt x="6955947" y="3751429"/>
                </a:cubicBezTo>
                <a:close/>
                <a:moveTo>
                  <a:pt x="7039688" y="3751429"/>
                </a:moveTo>
                <a:cubicBezTo>
                  <a:pt x="7020721" y="3751429"/>
                  <a:pt x="7005335" y="3767021"/>
                  <a:pt x="7005335" y="3786250"/>
                </a:cubicBezTo>
                <a:cubicBezTo>
                  <a:pt x="7005335" y="3805478"/>
                  <a:pt x="7020721" y="3821070"/>
                  <a:pt x="7039688" y="3821070"/>
                </a:cubicBezTo>
                <a:cubicBezTo>
                  <a:pt x="7058655" y="3821070"/>
                  <a:pt x="7074029" y="3805478"/>
                  <a:pt x="7074029" y="3786250"/>
                </a:cubicBezTo>
                <a:cubicBezTo>
                  <a:pt x="7074029" y="3767021"/>
                  <a:pt x="7058655" y="3751429"/>
                  <a:pt x="7039688" y="3751429"/>
                </a:cubicBezTo>
                <a:close/>
                <a:moveTo>
                  <a:pt x="7290939" y="3751429"/>
                </a:moveTo>
                <a:cubicBezTo>
                  <a:pt x="7271972" y="3751429"/>
                  <a:pt x="7256586" y="3767021"/>
                  <a:pt x="7256586" y="3786250"/>
                </a:cubicBezTo>
                <a:cubicBezTo>
                  <a:pt x="7256586" y="3805478"/>
                  <a:pt x="7271972" y="3821070"/>
                  <a:pt x="7290939" y="3821070"/>
                </a:cubicBezTo>
                <a:cubicBezTo>
                  <a:pt x="7309906" y="3821070"/>
                  <a:pt x="7325279" y="3805478"/>
                  <a:pt x="7325279" y="3786250"/>
                </a:cubicBezTo>
                <a:cubicBezTo>
                  <a:pt x="7325279" y="3767021"/>
                  <a:pt x="7309906" y="3751429"/>
                  <a:pt x="7290939" y="3751429"/>
                </a:cubicBezTo>
                <a:close/>
                <a:moveTo>
                  <a:pt x="7374681" y="3751429"/>
                </a:moveTo>
                <a:cubicBezTo>
                  <a:pt x="7355714" y="3751429"/>
                  <a:pt x="7340328" y="3767021"/>
                  <a:pt x="7340328" y="3786250"/>
                </a:cubicBezTo>
                <a:cubicBezTo>
                  <a:pt x="7340328" y="3805478"/>
                  <a:pt x="7355714" y="3821070"/>
                  <a:pt x="7374681" y="3821070"/>
                </a:cubicBezTo>
                <a:cubicBezTo>
                  <a:pt x="7393648" y="3821070"/>
                  <a:pt x="7409022" y="3805478"/>
                  <a:pt x="7409022" y="3786250"/>
                </a:cubicBezTo>
                <a:cubicBezTo>
                  <a:pt x="7409022" y="3767021"/>
                  <a:pt x="7393648" y="3751429"/>
                  <a:pt x="7374681" y="3751429"/>
                </a:cubicBezTo>
                <a:close/>
                <a:moveTo>
                  <a:pt x="7458423" y="3751429"/>
                </a:moveTo>
                <a:cubicBezTo>
                  <a:pt x="7439456" y="3751429"/>
                  <a:pt x="7424070" y="3767021"/>
                  <a:pt x="7424070" y="3786250"/>
                </a:cubicBezTo>
                <a:cubicBezTo>
                  <a:pt x="7424070" y="3805478"/>
                  <a:pt x="7439456" y="3821070"/>
                  <a:pt x="7458423" y="3821070"/>
                </a:cubicBezTo>
                <a:cubicBezTo>
                  <a:pt x="7477390" y="3821070"/>
                  <a:pt x="7492763" y="3805478"/>
                  <a:pt x="7492763" y="3786250"/>
                </a:cubicBezTo>
                <a:cubicBezTo>
                  <a:pt x="7492763" y="3767021"/>
                  <a:pt x="7477390" y="3751429"/>
                  <a:pt x="7458423" y="3751429"/>
                </a:cubicBezTo>
                <a:close/>
                <a:moveTo>
                  <a:pt x="8212097" y="3751429"/>
                </a:moveTo>
                <a:cubicBezTo>
                  <a:pt x="8193130" y="3751429"/>
                  <a:pt x="8177744" y="3767021"/>
                  <a:pt x="8177744" y="3786250"/>
                </a:cubicBezTo>
                <a:cubicBezTo>
                  <a:pt x="8177744" y="3805478"/>
                  <a:pt x="8193130" y="3821070"/>
                  <a:pt x="8212097" y="3821070"/>
                </a:cubicBezTo>
                <a:cubicBezTo>
                  <a:pt x="8231064" y="3821070"/>
                  <a:pt x="8246437" y="3805478"/>
                  <a:pt x="8246437" y="3786250"/>
                </a:cubicBezTo>
                <a:cubicBezTo>
                  <a:pt x="8246437" y="3767021"/>
                  <a:pt x="8231064" y="3751429"/>
                  <a:pt x="8212097" y="3751429"/>
                </a:cubicBezTo>
                <a:close/>
                <a:moveTo>
                  <a:pt x="8295839" y="3751429"/>
                </a:moveTo>
                <a:cubicBezTo>
                  <a:pt x="8276872" y="3751429"/>
                  <a:pt x="8261486" y="3767021"/>
                  <a:pt x="8261486" y="3786250"/>
                </a:cubicBezTo>
                <a:cubicBezTo>
                  <a:pt x="8261486" y="3805478"/>
                  <a:pt x="8276872" y="3821070"/>
                  <a:pt x="8295839" y="3821070"/>
                </a:cubicBezTo>
                <a:cubicBezTo>
                  <a:pt x="8314806" y="3821070"/>
                  <a:pt x="8330179" y="3805478"/>
                  <a:pt x="8330179" y="3786250"/>
                </a:cubicBezTo>
                <a:cubicBezTo>
                  <a:pt x="8330179" y="3767021"/>
                  <a:pt x="8314806" y="3751429"/>
                  <a:pt x="8295839" y="3751429"/>
                </a:cubicBezTo>
                <a:close/>
                <a:moveTo>
                  <a:pt x="8965772" y="3751429"/>
                </a:moveTo>
                <a:cubicBezTo>
                  <a:pt x="8946805" y="3751429"/>
                  <a:pt x="8931419" y="3767021"/>
                  <a:pt x="8931419" y="3786250"/>
                </a:cubicBezTo>
                <a:cubicBezTo>
                  <a:pt x="8931419" y="3805478"/>
                  <a:pt x="8946805" y="3821070"/>
                  <a:pt x="8965772" y="3821070"/>
                </a:cubicBezTo>
                <a:cubicBezTo>
                  <a:pt x="8984739" y="3821070"/>
                  <a:pt x="9000112" y="3805478"/>
                  <a:pt x="9000112" y="3786250"/>
                </a:cubicBezTo>
                <a:cubicBezTo>
                  <a:pt x="9000112" y="3767021"/>
                  <a:pt x="8984739" y="3751429"/>
                  <a:pt x="8965772" y="3751429"/>
                </a:cubicBezTo>
                <a:close/>
                <a:moveTo>
                  <a:pt x="9049513" y="3751429"/>
                </a:moveTo>
                <a:cubicBezTo>
                  <a:pt x="9030546" y="3751429"/>
                  <a:pt x="9015160" y="3767021"/>
                  <a:pt x="9015160" y="3786250"/>
                </a:cubicBezTo>
                <a:cubicBezTo>
                  <a:pt x="9015160" y="3805478"/>
                  <a:pt x="9030546" y="3821070"/>
                  <a:pt x="9049513" y="3821070"/>
                </a:cubicBezTo>
                <a:cubicBezTo>
                  <a:pt x="9068480" y="3821070"/>
                  <a:pt x="9083854" y="3805478"/>
                  <a:pt x="9083854" y="3786250"/>
                </a:cubicBezTo>
                <a:cubicBezTo>
                  <a:pt x="9083854" y="3767021"/>
                  <a:pt x="9068480" y="3751429"/>
                  <a:pt x="9049513" y="3751429"/>
                </a:cubicBezTo>
                <a:close/>
                <a:moveTo>
                  <a:pt x="9133256" y="3751429"/>
                </a:moveTo>
                <a:cubicBezTo>
                  <a:pt x="9114289" y="3751429"/>
                  <a:pt x="9098903" y="3767021"/>
                  <a:pt x="9098903" y="3786250"/>
                </a:cubicBezTo>
                <a:cubicBezTo>
                  <a:pt x="9098903" y="3805478"/>
                  <a:pt x="9114289" y="3821070"/>
                  <a:pt x="9133256" y="3821070"/>
                </a:cubicBezTo>
                <a:cubicBezTo>
                  <a:pt x="9152223" y="3821070"/>
                  <a:pt x="9167596" y="3805478"/>
                  <a:pt x="9167596" y="3786250"/>
                </a:cubicBezTo>
                <a:cubicBezTo>
                  <a:pt x="9167596" y="3767021"/>
                  <a:pt x="9152223" y="3751429"/>
                  <a:pt x="9133256" y="3751429"/>
                </a:cubicBezTo>
                <a:close/>
                <a:moveTo>
                  <a:pt x="9635705" y="3751429"/>
                </a:moveTo>
                <a:cubicBezTo>
                  <a:pt x="9616738" y="3751429"/>
                  <a:pt x="9601352" y="3767021"/>
                  <a:pt x="9601352" y="3786250"/>
                </a:cubicBezTo>
                <a:cubicBezTo>
                  <a:pt x="9601352" y="3805478"/>
                  <a:pt x="9616738" y="3821070"/>
                  <a:pt x="9635705" y="3821070"/>
                </a:cubicBezTo>
                <a:cubicBezTo>
                  <a:pt x="9654672" y="3821070"/>
                  <a:pt x="9670045" y="3805478"/>
                  <a:pt x="9670045" y="3786250"/>
                </a:cubicBezTo>
                <a:cubicBezTo>
                  <a:pt x="9670045" y="3767021"/>
                  <a:pt x="9654672" y="3751429"/>
                  <a:pt x="9635705" y="3751429"/>
                </a:cubicBezTo>
                <a:close/>
                <a:moveTo>
                  <a:pt x="3103826" y="3836294"/>
                </a:moveTo>
                <a:cubicBezTo>
                  <a:pt x="3084859" y="3836294"/>
                  <a:pt x="3069479" y="3851886"/>
                  <a:pt x="3069479" y="3871114"/>
                </a:cubicBezTo>
                <a:cubicBezTo>
                  <a:pt x="3069479" y="3890343"/>
                  <a:pt x="3084859" y="3905935"/>
                  <a:pt x="3103826" y="3905935"/>
                </a:cubicBezTo>
                <a:cubicBezTo>
                  <a:pt x="3122793" y="3905935"/>
                  <a:pt x="3138173" y="3890343"/>
                  <a:pt x="3138173" y="3871114"/>
                </a:cubicBezTo>
                <a:cubicBezTo>
                  <a:pt x="3138173" y="3851886"/>
                  <a:pt x="3122793" y="3836294"/>
                  <a:pt x="3103826" y="3836294"/>
                </a:cubicBezTo>
                <a:close/>
                <a:moveTo>
                  <a:pt x="3187567" y="3836294"/>
                </a:moveTo>
                <a:cubicBezTo>
                  <a:pt x="3168600" y="3836294"/>
                  <a:pt x="3153221" y="3851886"/>
                  <a:pt x="3153221" y="3871114"/>
                </a:cubicBezTo>
                <a:cubicBezTo>
                  <a:pt x="3153221" y="3890343"/>
                  <a:pt x="3168600" y="3905935"/>
                  <a:pt x="3187567" y="3905935"/>
                </a:cubicBezTo>
                <a:cubicBezTo>
                  <a:pt x="3206534" y="3905935"/>
                  <a:pt x="3221914" y="3890343"/>
                  <a:pt x="3221914" y="3871114"/>
                </a:cubicBezTo>
                <a:cubicBezTo>
                  <a:pt x="3221914" y="3851886"/>
                  <a:pt x="3206534" y="3836294"/>
                  <a:pt x="3187567" y="3836294"/>
                </a:cubicBezTo>
                <a:close/>
                <a:moveTo>
                  <a:pt x="3271309" y="3836294"/>
                </a:moveTo>
                <a:cubicBezTo>
                  <a:pt x="3252342" y="3836294"/>
                  <a:pt x="3236962" y="3851886"/>
                  <a:pt x="3236962" y="3871114"/>
                </a:cubicBezTo>
                <a:cubicBezTo>
                  <a:pt x="3236962" y="3890343"/>
                  <a:pt x="3252342" y="3905935"/>
                  <a:pt x="3271309" y="3905935"/>
                </a:cubicBezTo>
                <a:cubicBezTo>
                  <a:pt x="3290276" y="3905935"/>
                  <a:pt x="3305655" y="3890343"/>
                  <a:pt x="3305655" y="3871114"/>
                </a:cubicBezTo>
                <a:cubicBezTo>
                  <a:pt x="3305655" y="3851886"/>
                  <a:pt x="3290276" y="3836294"/>
                  <a:pt x="3271309" y="3836294"/>
                </a:cubicBezTo>
                <a:close/>
                <a:moveTo>
                  <a:pt x="5364856" y="3836294"/>
                </a:moveTo>
                <a:cubicBezTo>
                  <a:pt x="5345889" y="3836294"/>
                  <a:pt x="5330503" y="3851886"/>
                  <a:pt x="5330503" y="3871114"/>
                </a:cubicBezTo>
                <a:cubicBezTo>
                  <a:pt x="5330503" y="3890343"/>
                  <a:pt x="5345889" y="3905935"/>
                  <a:pt x="5364856" y="3905935"/>
                </a:cubicBezTo>
                <a:cubicBezTo>
                  <a:pt x="5383823" y="3905935"/>
                  <a:pt x="5399197" y="3890343"/>
                  <a:pt x="5399197" y="3871114"/>
                </a:cubicBezTo>
                <a:cubicBezTo>
                  <a:pt x="5399197" y="3851886"/>
                  <a:pt x="5383823" y="3836294"/>
                  <a:pt x="5364856" y="3836294"/>
                </a:cubicBezTo>
                <a:close/>
                <a:moveTo>
                  <a:pt x="5448598" y="3836294"/>
                </a:moveTo>
                <a:cubicBezTo>
                  <a:pt x="5429631" y="3836294"/>
                  <a:pt x="5414244" y="3851886"/>
                  <a:pt x="5414244" y="3871114"/>
                </a:cubicBezTo>
                <a:cubicBezTo>
                  <a:pt x="5414244" y="3890343"/>
                  <a:pt x="5429631" y="3905935"/>
                  <a:pt x="5448598" y="3905935"/>
                </a:cubicBezTo>
                <a:cubicBezTo>
                  <a:pt x="5467565" y="3905935"/>
                  <a:pt x="5482938" y="3890343"/>
                  <a:pt x="5482938" y="3871114"/>
                </a:cubicBezTo>
                <a:cubicBezTo>
                  <a:pt x="5482938" y="3851886"/>
                  <a:pt x="5467565" y="3836294"/>
                  <a:pt x="5448598" y="3836294"/>
                </a:cubicBezTo>
                <a:close/>
                <a:moveTo>
                  <a:pt x="5532340" y="3836294"/>
                </a:moveTo>
                <a:cubicBezTo>
                  <a:pt x="5513373" y="3836294"/>
                  <a:pt x="5497987" y="3851886"/>
                  <a:pt x="5497987" y="3871114"/>
                </a:cubicBezTo>
                <a:cubicBezTo>
                  <a:pt x="5497987" y="3890343"/>
                  <a:pt x="5513373" y="3905935"/>
                  <a:pt x="5532340" y="3905935"/>
                </a:cubicBezTo>
                <a:cubicBezTo>
                  <a:pt x="5551307" y="3905935"/>
                  <a:pt x="5566680" y="3890343"/>
                  <a:pt x="5566680" y="3871114"/>
                </a:cubicBezTo>
                <a:cubicBezTo>
                  <a:pt x="5566680" y="3851886"/>
                  <a:pt x="5551307" y="3836294"/>
                  <a:pt x="5532340" y="3836294"/>
                </a:cubicBezTo>
                <a:close/>
                <a:moveTo>
                  <a:pt x="5616081" y="3836294"/>
                </a:moveTo>
                <a:cubicBezTo>
                  <a:pt x="5597114" y="3836294"/>
                  <a:pt x="5581728" y="3851886"/>
                  <a:pt x="5581728" y="3871114"/>
                </a:cubicBezTo>
                <a:cubicBezTo>
                  <a:pt x="5581728" y="3890343"/>
                  <a:pt x="5597114" y="3905935"/>
                  <a:pt x="5616081" y="3905935"/>
                </a:cubicBezTo>
                <a:cubicBezTo>
                  <a:pt x="5635048" y="3905935"/>
                  <a:pt x="5650421" y="3890343"/>
                  <a:pt x="5650421" y="3871114"/>
                </a:cubicBezTo>
                <a:cubicBezTo>
                  <a:pt x="5650421" y="3851886"/>
                  <a:pt x="5635048" y="3836294"/>
                  <a:pt x="5616081" y="3836294"/>
                </a:cubicBezTo>
                <a:close/>
                <a:moveTo>
                  <a:pt x="5699822" y="3836294"/>
                </a:moveTo>
                <a:cubicBezTo>
                  <a:pt x="5680855" y="3836294"/>
                  <a:pt x="5665469" y="3851886"/>
                  <a:pt x="5665469" y="3871114"/>
                </a:cubicBezTo>
                <a:cubicBezTo>
                  <a:pt x="5665469" y="3890343"/>
                  <a:pt x="5680855" y="3905935"/>
                  <a:pt x="5699822" y="3905935"/>
                </a:cubicBezTo>
                <a:cubicBezTo>
                  <a:pt x="5718789" y="3905935"/>
                  <a:pt x="5734163" y="3890343"/>
                  <a:pt x="5734163" y="3871114"/>
                </a:cubicBezTo>
                <a:cubicBezTo>
                  <a:pt x="5734163" y="3851886"/>
                  <a:pt x="5718789" y="3836294"/>
                  <a:pt x="5699822" y="3836294"/>
                </a:cubicBezTo>
                <a:close/>
                <a:moveTo>
                  <a:pt x="5783565" y="3836294"/>
                </a:moveTo>
                <a:cubicBezTo>
                  <a:pt x="5764598" y="3836294"/>
                  <a:pt x="5749211" y="3851886"/>
                  <a:pt x="5749211" y="3871114"/>
                </a:cubicBezTo>
                <a:cubicBezTo>
                  <a:pt x="5749211" y="3890343"/>
                  <a:pt x="5764598" y="3905935"/>
                  <a:pt x="5783565" y="3905935"/>
                </a:cubicBezTo>
                <a:cubicBezTo>
                  <a:pt x="5802532" y="3905935"/>
                  <a:pt x="5817905" y="3890343"/>
                  <a:pt x="5817905" y="3871114"/>
                </a:cubicBezTo>
                <a:cubicBezTo>
                  <a:pt x="5817905" y="3851886"/>
                  <a:pt x="5802532" y="3836294"/>
                  <a:pt x="5783565" y="3836294"/>
                </a:cubicBezTo>
                <a:close/>
                <a:moveTo>
                  <a:pt x="5867306" y="3836294"/>
                </a:moveTo>
                <a:cubicBezTo>
                  <a:pt x="5848339" y="3836294"/>
                  <a:pt x="5832953" y="3851886"/>
                  <a:pt x="5832953" y="3871114"/>
                </a:cubicBezTo>
                <a:cubicBezTo>
                  <a:pt x="5832953" y="3890343"/>
                  <a:pt x="5848339" y="3905935"/>
                  <a:pt x="5867306" y="3905935"/>
                </a:cubicBezTo>
                <a:cubicBezTo>
                  <a:pt x="5886273" y="3905935"/>
                  <a:pt x="5901646" y="3890343"/>
                  <a:pt x="5901646" y="3871114"/>
                </a:cubicBezTo>
                <a:cubicBezTo>
                  <a:pt x="5901646" y="3851886"/>
                  <a:pt x="5886273" y="3836294"/>
                  <a:pt x="5867306" y="3836294"/>
                </a:cubicBezTo>
                <a:close/>
                <a:moveTo>
                  <a:pt x="5951047" y="3836294"/>
                </a:moveTo>
                <a:cubicBezTo>
                  <a:pt x="5932080" y="3836294"/>
                  <a:pt x="5916694" y="3851886"/>
                  <a:pt x="5916694" y="3871114"/>
                </a:cubicBezTo>
                <a:cubicBezTo>
                  <a:pt x="5916694" y="3890343"/>
                  <a:pt x="5932080" y="3905935"/>
                  <a:pt x="5951047" y="3905935"/>
                </a:cubicBezTo>
                <a:cubicBezTo>
                  <a:pt x="5970014" y="3905935"/>
                  <a:pt x="5985387" y="3890343"/>
                  <a:pt x="5985387" y="3871114"/>
                </a:cubicBezTo>
                <a:cubicBezTo>
                  <a:pt x="5985387" y="3851886"/>
                  <a:pt x="5970014" y="3836294"/>
                  <a:pt x="5951047" y="3836294"/>
                </a:cubicBezTo>
                <a:close/>
                <a:moveTo>
                  <a:pt x="6034789" y="3836294"/>
                </a:moveTo>
                <a:cubicBezTo>
                  <a:pt x="6015822" y="3836294"/>
                  <a:pt x="6000436" y="3851886"/>
                  <a:pt x="6000436" y="3871114"/>
                </a:cubicBezTo>
                <a:cubicBezTo>
                  <a:pt x="6000436" y="3890343"/>
                  <a:pt x="6015822" y="3905935"/>
                  <a:pt x="6034789" y="3905935"/>
                </a:cubicBezTo>
                <a:cubicBezTo>
                  <a:pt x="6053756" y="3905935"/>
                  <a:pt x="6069130" y="3890343"/>
                  <a:pt x="6069130" y="3871114"/>
                </a:cubicBezTo>
                <a:cubicBezTo>
                  <a:pt x="6069130" y="3851886"/>
                  <a:pt x="6053756" y="3836294"/>
                  <a:pt x="6034789" y="3836294"/>
                </a:cubicBezTo>
                <a:close/>
                <a:moveTo>
                  <a:pt x="6118531" y="3836294"/>
                </a:moveTo>
                <a:cubicBezTo>
                  <a:pt x="6099564" y="3836294"/>
                  <a:pt x="6084177" y="3851886"/>
                  <a:pt x="6084177" y="3871114"/>
                </a:cubicBezTo>
                <a:cubicBezTo>
                  <a:pt x="6084177" y="3890343"/>
                  <a:pt x="6099564" y="3905935"/>
                  <a:pt x="6118531" y="3905935"/>
                </a:cubicBezTo>
                <a:cubicBezTo>
                  <a:pt x="6137498" y="3905935"/>
                  <a:pt x="6152871" y="3890343"/>
                  <a:pt x="6152871" y="3871114"/>
                </a:cubicBezTo>
                <a:cubicBezTo>
                  <a:pt x="6152871" y="3851886"/>
                  <a:pt x="6137498" y="3836294"/>
                  <a:pt x="6118531" y="3836294"/>
                </a:cubicBezTo>
                <a:close/>
                <a:moveTo>
                  <a:pt x="6202273" y="3836294"/>
                </a:moveTo>
                <a:cubicBezTo>
                  <a:pt x="6183306" y="3836294"/>
                  <a:pt x="6167920" y="3851886"/>
                  <a:pt x="6167920" y="3871114"/>
                </a:cubicBezTo>
                <a:cubicBezTo>
                  <a:pt x="6167920" y="3890343"/>
                  <a:pt x="6183306" y="3905935"/>
                  <a:pt x="6202273" y="3905935"/>
                </a:cubicBezTo>
                <a:cubicBezTo>
                  <a:pt x="6221240" y="3905935"/>
                  <a:pt x="6236613" y="3890343"/>
                  <a:pt x="6236613" y="3871114"/>
                </a:cubicBezTo>
                <a:cubicBezTo>
                  <a:pt x="6236613" y="3851886"/>
                  <a:pt x="6221240" y="3836294"/>
                  <a:pt x="6202273" y="3836294"/>
                </a:cubicBezTo>
                <a:close/>
                <a:moveTo>
                  <a:pt x="6286014" y="3836294"/>
                </a:moveTo>
                <a:cubicBezTo>
                  <a:pt x="6267047" y="3836294"/>
                  <a:pt x="6251661" y="3851886"/>
                  <a:pt x="6251661" y="3871114"/>
                </a:cubicBezTo>
                <a:cubicBezTo>
                  <a:pt x="6251661" y="3890343"/>
                  <a:pt x="6267047" y="3905935"/>
                  <a:pt x="6286014" y="3905935"/>
                </a:cubicBezTo>
                <a:cubicBezTo>
                  <a:pt x="6304981" y="3905935"/>
                  <a:pt x="6320354" y="3890343"/>
                  <a:pt x="6320354" y="3871114"/>
                </a:cubicBezTo>
                <a:cubicBezTo>
                  <a:pt x="6320354" y="3851886"/>
                  <a:pt x="6304981" y="3836294"/>
                  <a:pt x="6286014" y="3836294"/>
                </a:cubicBezTo>
                <a:close/>
                <a:moveTo>
                  <a:pt x="6369755" y="3836294"/>
                </a:moveTo>
                <a:cubicBezTo>
                  <a:pt x="6350788" y="3836294"/>
                  <a:pt x="6335402" y="3851886"/>
                  <a:pt x="6335402" y="3871114"/>
                </a:cubicBezTo>
                <a:cubicBezTo>
                  <a:pt x="6335402" y="3890343"/>
                  <a:pt x="6350788" y="3905935"/>
                  <a:pt x="6369755" y="3905935"/>
                </a:cubicBezTo>
                <a:cubicBezTo>
                  <a:pt x="6388722" y="3905935"/>
                  <a:pt x="6404096" y="3890343"/>
                  <a:pt x="6404096" y="3871114"/>
                </a:cubicBezTo>
                <a:cubicBezTo>
                  <a:pt x="6404096" y="3851886"/>
                  <a:pt x="6388722" y="3836294"/>
                  <a:pt x="6369755" y="3836294"/>
                </a:cubicBezTo>
                <a:close/>
                <a:moveTo>
                  <a:pt x="6453498" y="3836294"/>
                </a:moveTo>
                <a:cubicBezTo>
                  <a:pt x="6434531" y="3836294"/>
                  <a:pt x="6419144" y="3851886"/>
                  <a:pt x="6419144" y="3871114"/>
                </a:cubicBezTo>
                <a:cubicBezTo>
                  <a:pt x="6419144" y="3890343"/>
                  <a:pt x="6434531" y="3905935"/>
                  <a:pt x="6453498" y="3905935"/>
                </a:cubicBezTo>
                <a:cubicBezTo>
                  <a:pt x="6472465" y="3905935"/>
                  <a:pt x="6487838" y="3890343"/>
                  <a:pt x="6487838" y="3871114"/>
                </a:cubicBezTo>
                <a:cubicBezTo>
                  <a:pt x="6487838" y="3851886"/>
                  <a:pt x="6472465" y="3836294"/>
                  <a:pt x="6453498" y="3836294"/>
                </a:cubicBezTo>
                <a:close/>
                <a:moveTo>
                  <a:pt x="6537239" y="3836294"/>
                </a:moveTo>
                <a:cubicBezTo>
                  <a:pt x="6518272" y="3836294"/>
                  <a:pt x="6502886" y="3851886"/>
                  <a:pt x="6502886" y="3871114"/>
                </a:cubicBezTo>
                <a:cubicBezTo>
                  <a:pt x="6502886" y="3890343"/>
                  <a:pt x="6518272" y="3905935"/>
                  <a:pt x="6537239" y="3905935"/>
                </a:cubicBezTo>
                <a:cubicBezTo>
                  <a:pt x="6556206" y="3905935"/>
                  <a:pt x="6571579" y="3890343"/>
                  <a:pt x="6571579" y="3871114"/>
                </a:cubicBezTo>
                <a:cubicBezTo>
                  <a:pt x="6571579" y="3851886"/>
                  <a:pt x="6556206" y="3836294"/>
                  <a:pt x="6537239" y="3836294"/>
                </a:cubicBezTo>
                <a:close/>
                <a:moveTo>
                  <a:pt x="6620980" y="3836294"/>
                </a:moveTo>
                <a:cubicBezTo>
                  <a:pt x="6602013" y="3836294"/>
                  <a:pt x="6586627" y="3851886"/>
                  <a:pt x="6586627" y="3871114"/>
                </a:cubicBezTo>
                <a:cubicBezTo>
                  <a:pt x="6586627" y="3890343"/>
                  <a:pt x="6602013" y="3905935"/>
                  <a:pt x="6620980" y="3905935"/>
                </a:cubicBezTo>
                <a:cubicBezTo>
                  <a:pt x="6639947" y="3905935"/>
                  <a:pt x="6655320" y="3890343"/>
                  <a:pt x="6655320" y="3871114"/>
                </a:cubicBezTo>
                <a:cubicBezTo>
                  <a:pt x="6655320" y="3851886"/>
                  <a:pt x="6639947" y="3836294"/>
                  <a:pt x="6620980" y="3836294"/>
                </a:cubicBezTo>
                <a:close/>
                <a:moveTo>
                  <a:pt x="6704722" y="3836294"/>
                </a:moveTo>
                <a:cubicBezTo>
                  <a:pt x="6685755" y="3836294"/>
                  <a:pt x="6670369" y="3851886"/>
                  <a:pt x="6670369" y="3871114"/>
                </a:cubicBezTo>
                <a:cubicBezTo>
                  <a:pt x="6670369" y="3890343"/>
                  <a:pt x="6685755" y="3905935"/>
                  <a:pt x="6704722" y="3905935"/>
                </a:cubicBezTo>
                <a:cubicBezTo>
                  <a:pt x="6723689" y="3905935"/>
                  <a:pt x="6739063" y="3890343"/>
                  <a:pt x="6739063" y="3871114"/>
                </a:cubicBezTo>
                <a:cubicBezTo>
                  <a:pt x="6739063" y="3851886"/>
                  <a:pt x="6723689" y="3836294"/>
                  <a:pt x="6704722" y="3836294"/>
                </a:cubicBezTo>
                <a:close/>
                <a:moveTo>
                  <a:pt x="6788464" y="3836294"/>
                </a:moveTo>
                <a:cubicBezTo>
                  <a:pt x="6769497" y="3836294"/>
                  <a:pt x="6754110" y="3851886"/>
                  <a:pt x="6754110" y="3871114"/>
                </a:cubicBezTo>
                <a:cubicBezTo>
                  <a:pt x="6754110" y="3890343"/>
                  <a:pt x="6769497" y="3905935"/>
                  <a:pt x="6788464" y="3905935"/>
                </a:cubicBezTo>
                <a:cubicBezTo>
                  <a:pt x="6807431" y="3905935"/>
                  <a:pt x="6822804" y="3890343"/>
                  <a:pt x="6822804" y="3871114"/>
                </a:cubicBezTo>
                <a:cubicBezTo>
                  <a:pt x="6822804" y="3851886"/>
                  <a:pt x="6807431" y="3836294"/>
                  <a:pt x="6788464" y="3836294"/>
                </a:cubicBezTo>
                <a:close/>
                <a:moveTo>
                  <a:pt x="6872206" y="3836294"/>
                </a:moveTo>
                <a:cubicBezTo>
                  <a:pt x="6853239" y="3836294"/>
                  <a:pt x="6837853" y="3851886"/>
                  <a:pt x="6837853" y="3871114"/>
                </a:cubicBezTo>
                <a:cubicBezTo>
                  <a:pt x="6837853" y="3890343"/>
                  <a:pt x="6853239" y="3905935"/>
                  <a:pt x="6872206" y="3905935"/>
                </a:cubicBezTo>
                <a:cubicBezTo>
                  <a:pt x="6891173" y="3905935"/>
                  <a:pt x="6906546" y="3890343"/>
                  <a:pt x="6906546" y="3871114"/>
                </a:cubicBezTo>
                <a:cubicBezTo>
                  <a:pt x="6906546" y="3851886"/>
                  <a:pt x="6891173" y="3836294"/>
                  <a:pt x="6872206" y="3836294"/>
                </a:cubicBezTo>
                <a:close/>
                <a:moveTo>
                  <a:pt x="6955947" y="3836294"/>
                </a:moveTo>
                <a:cubicBezTo>
                  <a:pt x="6936980" y="3836294"/>
                  <a:pt x="6921594" y="3851886"/>
                  <a:pt x="6921594" y="3871114"/>
                </a:cubicBezTo>
                <a:cubicBezTo>
                  <a:pt x="6921594" y="3890343"/>
                  <a:pt x="6936980" y="3905935"/>
                  <a:pt x="6955947" y="3905935"/>
                </a:cubicBezTo>
                <a:cubicBezTo>
                  <a:pt x="6974914" y="3905935"/>
                  <a:pt x="6990287" y="3890343"/>
                  <a:pt x="6990287" y="3871114"/>
                </a:cubicBezTo>
                <a:cubicBezTo>
                  <a:pt x="6990287" y="3851886"/>
                  <a:pt x="6974914" y="3836294"/>
                  <a:pt x="6955947" y="3836294"/>
                </a:cubicBezTo>
                <a:close/>
                <a:moveTo>
                  <a:pt x="7039688" y="3836294"/>
                </a:moveTo>
                <a:cubicBezTo>
                  <a:pt x="7020721" y="3836294"/>
                  <a:pt x="7005335" y="3851886"/>
                  <a:pt x="7005335" y="3871114"/>
                </a:cubicBezTo>
                <a:cubicBezTo>
                  <a:pt x="7005335" y="3890343"/>
                  <a:pt x="7020721" y="3905935"/>
                  <a:pt x="7039688" y="3905935"/>
                </a:cubicBezTo>
                <a:cubicBezTo>
                  <a:pt x="7058655" y="3905935"/>
                  <a:pt x="7074029" y="3890343"/>
                  <a:pt x="7074029" y="3871114"/>
                </a:cubicBezTo>
                <a:cubicBezTo>
                  <a:pt x="7074029" y="3851886"/>
                  <a:pt x="7058655" y="3836294"/>
                  <a:pt x="7039688" y="3836294"/>
                </a:cubicBezTo>
                <a:close/>
                <a:moveTo>
                  <a:pt x="7207198" y="3836294"/>
                </a:moveTo>
                <a:cubicBezTo>
                  <a:pt x="7188231" y="3836294"/>
                  <a:pt x="7172845" y="3851886"/>
                  <a:pt x="7172845" y="3871114"/>
                </a:cubicBezTo>
                <a:cubicBezTo>
                  <a:pt x="7172845" y="3890343"/>
                  <a:pt x="7188231" y="3905935"/>
                  <a:pt x="7207198" y="3905935"/>
                </a:cubicBezTo>
                <a:cubicBezTo>
                  <a:pt x="7226165" y="3905935"/>
                  <a:pt x="7241538" y="3890343"/>
                  <a:pt x="7241538" y="3871114"/>
                </a:cubicBezTo>
                <a:cubicBezTo>
                  <a:pt x="7241538" y="3851886"/>
                  <a:pt x="7226165" y="3836294"/>
                  <a:pt x="7207198" y="3836294"/>
                </a:cubicBezTo>
                <a:close/>
                <a:moveTo>
                  <a:pt x="8212097" y="3836294"/>
                </a:moveTo>
                <a:cubicBezTo>
                  <a:pt x="8193130" y="3836294"/>
                  <a:pt x="8177744" y="3851886"/>
                  <a:pt x="8177744" y="3871114"/>
                </a:cubicBezTo>
                <a:cubicBezTo>
                  <a:pt x="8177744" y="3890343"/>
                  <a:pt x="8193130" y="3905935"/>
                  <a:pt x="8212097" y="3905935"/>
                </a:cubicBezTo>
                <a:cubicBezTo>
                  <a:pt x="8231064" y="3905935"/>
                  <a:pt x="8246437" y="3890343"/>
                  <a:pt x="8246437" y="3871114"/>
                </a:cubicBezTo>
                <a:cubicBezTo>
                  <a:pt x="8246437" y="3851886"/>
                  <a:pt x="8231064" y="3836294"/>
                  <a:pt x="8212097" y="3836294"/>
                </a:cubicBezTo>
                <a:close/>
                <a:moveTo>
                  <a:pt x="8295839" y="3836294"/>
                </a:moveTo>
                <a:cubicBezTo>
                  <a:pt x="8276872" y="3836294"/>
                  <a:pt x="8261486" y="3851886"/>
                  <a:pt x="8261486" y="3871114"/>
                </a:cubicBezTo>
                <a:cubicBezTo>
                  <a:pt x="8261486" y="3890343"/>
                  <a:pt x="8276872" y="3905935"/>
                  <a:pt x="8295839" y="3905935"/>
                </a:cubicBezTo>
                <a:cubicBezTo>
                  <a:pt x="8314806" y="3905935"/>
                  <a:pt x="8330179" y="3890343"/>
                  <a:pt x="8330179" y="3871114"/>
                </a:cubicBezTo>
                <a:cubicBezTo>
                  <a:pt x="8330179" y="3851886"/>
                  <a:pt x="8314806" y="3836294"/>
                  <a:pt x="8295839" y="3836294"/>
                </a:cubicBezTo>
                <a:close/>
                <a:moveTo>
                  <a:pt x="9049513" y="3836294"/>
                </a:moveTo>
                <a:cubicBezTo>
                  <a:pt x="9030546" y="3836294"/>
                  <a:pt x="9015160" y="3851886"/>
                  <a:pt x="9015160" y="3871114"/>
                </a:cubicBezTo>
                <a:cubicBezTo>
                  <a:pt x="9015160" y="3890343"/>
                  <a:pt x="9030546" y="3905935"/>
                  <a:pt x="9049513" y="3905935"/>
                </a:cubicBezTo>
                <a:cubicBezTo>
                  <a:pt x="9068480" y="3905935"/>
                  <a:pt x="9083854" y="3890343"/>
                  <a:pt x="9083854" y="3871114"/>
                </a:cubicBezTo>
                <a:cubicBezTo>
                  <a:pt x="9083854" y="3851886"/>
                  <a:pt x="9068480" y="3836294"/>
                  <a:pt x="9049513" y="3836294"/>
                </a:cubicBezTo>
                <a:close/>
                <a:moveTo>
                  <a:pt x="9133256" y="3836294"/>
                </a:moveTo>
                <a:cubicBezTo>
                  <a:pt x="9114289" y="3836294"/>
                  <a:pt x="9098903" y="3851886"/>
                  <a:pt x="9098903" y="3871114"/>
                </a:cubicBezTo>
                <a:cubicBezTo>
                  <a:pt x="9098903" y="3890343"/>
                  <a:pt x="9114289" y="3905935"/>
                  <a:pt x="9133256" y="3905935"/>
                </a:cubicBezTo>
                <a:cubicBezTo>
                  <a:pt x="9152223" y="3905935"/>
                  <a:pt x="9167596" y="3890343"/>
                  <a:pt x="9167596" y="3871114"/>
                </a:cubicBezTo>
                <a:cubicBezTo>
                  <a:pt x="9167596" y="3851886"/>
                  <a:pt x="9152223" y="3836294"/>
                  <a:pt x="9133256" y="3836294"/>
                </a:cubicBezTo>
                <a:close/>
                <a:moveTo>
                  <a:pt x="9216997" y="3836294"/>
                </a:moveTo>
                <a:cubicBezTo>
                  <a:pt x="9198030" y="3836294"/>
                  <a:pt x="9182644" y="3851886"/>
                  <a:pt x="9182644" y="3871114"/>
                </a:cubicBezTo>
                <a:cubicBezTo>
                  <a:pt x="9182644" y="3890343"/>
                  <a:pt x="9198030" y="3905935"/>
                  <a:pt x="9216997" y="3905935"/>
                </a:cubicBezTo>
                <a:cubicBezTo>
                  <a:pt x="9235964" y="3905935"/>
                  <a:pt x="9251337" y="3890343"/>
                  <a:pt x="9251337" y="3871114"/>
                </a:cubicBezTo>
                <a:cubicBezTo>
                  <a:pt x="9251337" y="3851886"/>
                  <a:pt x="9235964" y="3836294"/>
                  <a:pt x="9216997" y="3836294"/>
                </a:cubicBezTo>
                <a:close/>
                <a:moveTo>
                  <a:pt x="9635705" y="3836294"/>
                </a:moveTo>
                <a:cubicBezTo>
                  <a:pt x="9616738" y="3836294"/>
                  <a:pt x="9601352" y="3851886"/>
                  <a:pt x="9601352" y="3871114"/>
                </a:cubicBezTo>
                <a:cubicBezTo>
                  <a:pt x="9601352" y="3890343"/>
                  <a:pt x="9616738" y="3905935"/>
                  <a:pt x="9635705" y="3905935"/>
                </a:cubicBezTo>
                <a:cubicBezTo>
                  <a:pt x="9654672" y="3905935"/>
                  <a:pt x="9670045" y="3890343"/>
                  <a:pt x="9670045" y="3871114"/>
                </a:cubicBezTo>
                <a:cubicBezTo>
                  <a:pt x="9670045" y="3851886"/>
                  <a:pt x="9654672" y="3836294"/>
                  <a:pt x="9635705" y="3836294"/>
                </a:cubicBezTo>
                <a:close/>
                <a:moveTo>
                  <a:pt x="3271309" y="3921158"/>
                </a:moveTo>
                <a:cubicBezTo>
                  <a:pt x="3252342" y="3921158"/>
                  <a:pt x="3236962" y="3936749"/>
                  <a:pt x="3236962" y="3955978"/>
                </a:cubicBezTo>
                <a:cubicBezTo>
                  <a:pt x="3236962" y="3975207"/>
                  <a:pt x="3252342" y="3990798"/>
                  <a:pt x="3271309" y="3990798"/>
                </a:cubicBezTo>
                <a:cubicBezTo>
                  <a:pt x="3290276" y="3990798"/>
                  <a:pt x="3305655" y="3975207"/>
                  <a:pt x="3305655" y="3955978"/>
                </a:cubicBezTo>
                <a:cubicBezTo>
                  <a:pt x="3305655" y="3936749"/>
                  <a:pt x="3290276" y="3921158"/>
                  <a:pt x="3271309" y="3921158"/>
                </a:cubicBezTo>
                <a:close/>
                <a:moveTo>
                  <a:pt x="3606276" y="3921158"/>
                </a:moveTo>
                <a:cubicBezTo>
                  <a:pt x="3587309" y="3921158"/>
                  <a:pt x="3571929" y="3936749"/>
                  <a:pt x="3571929" y="3955978"/>
                </a:cubicBezTo>
                <a:cubicBezTo>
                  <a:pt x="3571929" y="3975207"/>
                  <a:pt x="3587309" y="3990798"/>
                  <a:pt x="3606276" y="3990798"/>
                </a:cubicBezTo>
                <a:cubicBezTo>
                  <a:pt x="3625243" y="3990798"/>
                  <a:pt x="3640622" y="3975207"/>
                  <a:pt x="3640622" y="3955978"/>
                </a:cubicBezTo>
                <a:cubicBezTo>
                  <a:pt x="3640622" y="3936749"/>
                  <a:pt x="3625243" y="3921158"/>
                  <a:pt x="3606276" y="3921158"/>
                </a:cubicBezTo>
                <a:close/>
                <a:moveTo>
                  <a:pt x="5448598" y="3921158"/>
                </a:moveTo>
                <a:cubicBezTo>
                  <a:pt x="5429631" y="3921158"/>
                  <a:pt x="5414244" y="3936749"/>
                  <a:pt x="5414244" y="3955978"/>
                </a:cubicBezTo>
                <a:cubicBezTo>
                  <a:pt x="5414244" y="3975207"/>
                  <a:pt x="5429631" y="3990798"/>
                  <a:pt x="5448598" y="3990798"/>
                </a:cubicBezTo>
                <a:cubicBezTo>
                  <a:pt x="5467565" y="3990798"/>
                  <a:pt x="5482938" y="3975207"/>
                  <a:pt x="5482938" y="3955978"/>
                </a:cubicBezTo>
                <a:cubicBezTo>
                  <a:pt x="5482938" y="3936749"/>
                  <a:pt x="5467565" y="3921158"/>
                  <a:pt x="5448598" y="3921158"/>
                </a:cubicBezTo>
                <a:close/>
                <a:moveTo>
                  <a:pt x="5532340" y="3921158"/>
                </a:moveTo>
                <a:cubicBezTo>
                  <a:pt x="5513373" y="3921158"/>
                  <a:pt x="5497987" y="3936749"/>
                  <a:pt x="5497987" y="3955978"/>
                </a:cubicBezTo>
                <a:cubicBezTo>
                  <a:pt x="5497987" y="3975207"/>
                  <a:pt x="5513373" y="3990798"/>
                  <a:pt x="5532340" y="3990798"/>
                </a:cubicBezTo>
                <a:cubicBezTo>
                  <a:pt x="5551307" y="3990798"/>
                  <a:pt x="5566680" y="3975207"/>
                  <a:pt x="5566680" y="3955978"/>
                </a:cubicBezTo>
                <a:cubicBezTo>
                  <a:pt x="5566680" y="3936749"/>
                  <a:pt x="5551307" y="3921158"/>
                  <a:pt x="5532340" y="3921158"/>
                </a:cubicBezTo>
                <a:close/>
                <a:moveTo>
                  <a:pt x="5616081" y="3921158"/>
                </a:moveTo>
                <a:cubicBezTo>
                  <a:pt x="5597114" y="3921158"/>
                  <a:pt x="5581728" y="3936749"/>
                  <a:pt x="5581728" y="3955978"/>
                </a:cubicBezTo>
                <a:cubicBezTo>
                  <a:pt x="5581728" y="3975207"/>
                  <a:pt x="5597114" y="3990798"/>
                  <a:pt x="5616081" y="3990798"/>
                </a:cubicBezTo>
                <a:cubicBezTo>
                  <a:pt x="5635048" y="3990798"/>
                  <a:pt x="5650421" y="3975207"/>
                  <a:pt x="5650421" y="3955978"/>
                </a:cubicBezTo>
                <a:cubicBezTo>
                  <a:pt x="5650421" y="3936749"/>
                  <a:pt x="5635048" y="3921158"/>
                  <a:pt x="5616081" y="3921158"/>
                </a:cubicBezTo>
                <a:close/>
                <a:moveTo>
                  <a:pt x="5699822" y="3921158"/>
                </a:moveTo>
                <a:cubicBezTo>
                  <a:pt x="5680855" y="3921158"/>
                  <a:pt x="5665469" y="3936749"/>
                  <a:pt x="5665469" y="3955978"/>
                </a:cubicBezTo>
                <a:cubicBezTo>
                  <a:pt x="5665469" y="3975207"/>
                  <a:pt x="5680855" y="3990798"/>
                  <a:pt x="5699822" y="3990798"/>
                </a:cubicBezTo>
                <a:cubicBezTo>
                  <a:pt x="5718789" y="3990798"/>
                  <a:pt x="5734163" y="3975207"/>
                  <a:pt x="5734163" y="3955978"/>
                </a:cubicBezTo>
                <a:cubicBezTo>
                  <a:pt x="5734163" y="3936749"/>
                  <a:pt x="5718789" y="3921158"/>
                  <a:pt x="5699822" y="3921158"/>
                </a:cubicBezTo>
                <a:close/>
                <a:moveTo>
                  <a:pt x="5783565" y="3921158"/>
                </a:moveTo>
                <a:cubicBezTo>
                  <a:pt x="5764598" y="3921158"/>
                  <a:pt x="5749211" y="3936749"/>
                  <a:pt x="5749211" y="3955978"/>
                </a:cubicBezTo>
                <a:cubicBezTo>
                  <a:pt x="5749211" y="3975207"/>
                  <a:pt x="5764598" y="3990798"/>
                  <a:pt x="5783565" y="3990798"/>
                </a:cubicBezTo>
                <a:cubicBezTo>
                  <a:pt x="5802532" y="3990798"/>
                  <a:pt x="5817905" y="3975207"/>
                  <a:pt x="5817905" y="3955978"/>
                </a:cubicBezTo>
                <a:cubicBezTo>
                  <a:pt x="5817905" y="3936749"/>
                  <a:pt x="5802532" y="3921158"/>
                  <a:pt x="5783565" y="3921158"/>
                </a:cubicBezTo>
                <a:close/>
                <a:moveTo>
                  <a:pt x="5867306" y="3921158"/>
                </a:moveTo>
                <a:cubicBezTo>
                  <a:pt x="5848339" y="3921158"/>
                  <a:pt x="5832953" y="3936749"/>
                  <a:pt x="5832953" y="3955978"/>
                </a:cubicBezTo>
                <a:cubicBezTo>
                  <a:pt x="5832953" y="3975207"/>
                  <a:pt x="5848339" y="3990798"/>
                  <a:pt x="5867306" y="3990798"/>
                </a:cubicBezTo>
                <a:cubicBezTo>
                  <a:pt x="5886273" y="3990798"/>
                  <a:pt x="5901646" y="3975207"/>
                  <a:pt x="5901646" y="3955978"/>
                </a:cubicBezTo>
                <a:cubicBezTo>
                  <a:pt x="5901646" y="3936749"/>
                  <a:pt x="5886273" y="3921158"/>
                  <a:pt x="5867306" y="3921158"/>
                </a:cubicBezTo>
                <a:close/>
                <a:moveTo>
                  <a:pt x="5951047" y="3921158"/>
                </a:moveTo>
                <a:cubicBezTo>
                  <a:pt x="5932080" y="3921158"/>
                  <a:pt x="5916694" y="3936749"/>
                  <a:pt x="5916694" y="3955978"/>
                </a:cubicBezTo>
                <a:cubicBezTo>
                  <a:pt x="5916694" y="3975207"/>
                  <a:pt x="5932080" y="3990798"/>
                  <a:pt x="5951047" y="3990798"/>
                </a:cubicBezTo>
                <a:cubicBezTo>
                  <a:pt x="5970014" y="3990798"/>
                  <a:pt x="5985387" y="3975207"/>
                  <a:pt x="5985387" y="3955978"/>
                </a:cubicBezTo>
                <a:cubicBezTo>
                  <a:pt x="5985387" y="3936749"/>
                  <a:pt x="5970014" y="3921158"/>
                  <a:pt x="5951047" y="3921158"/>
                </a:cubicBezTo>
                <a:close/>
                <a:moveTo>
                  <a:pt x="6034789" y="3921158"/>
                </a:moveTo>
                <a:cubicBezTo>
                  <a:pt x="6015822" y="3921158"/>
                  <a:pt x="6000436" y="3936749"/>
                  <a:pt x="6000436" y="3955978"/>
                </a:cubicBezTo>
                <a:cubicBezTo>
                  <a:pt x="6000436" y="3975207"/>
                  <a:pt x="6015822" y="3990798"/>
                  <a:pt x="6034789" y="3990798"/>
                </a:cubicBezTo>
                <a:cubicBezTo>
                  <a:pt x="6053756" y="3990798"/>
                  <a:pt x="6069130" y="3975207"/>
                  <a:pt x="6069130" y="3955978"/>
                </a:cubicBezTo>
                <a:cubicBezTo>
                  <a:pt x="6069130" y="3936749"/>
                  <a:pt x="6053756" y="3921158"/>
                  <a:pt x="6034789" y="3921158"/>
                </a:cubicBezTo>
                <a:close/>
                <a:moveTo>
                  <a:pt x="6118531" y="3921158"/>
                </a:moveTo>
                <a:cubicBezTo>
                  <a:pt x="6099564" y="3921158"/>
                  <a:pt x="6084177" y="3936749"/>
                  <a:pt x="6084177" y="3955978"/>
                </a:cubicBezTo>
                <a:cubicBezTo>
                  <a:pt x="6084177" y="3975207"/>
                  <a:pt x="6099564" y="3990798"/>
                  <a:pt x="6118531" y="3990798"/>
                </a:cubicBezTo>
                <a:cubicBezTo>
                  <a:pt x="6137498" y="3990798"/>
                  <a:pt x="6152871" y="3975207"/>
                  <a:pt x="6152871" y="3955978"/>
                </a:cubicBezTo>
                <a:cubicBezTo>
                  <a:pt x="6152871" y="3936749"/>
                  <a:pt x="6137498" y="3921158"/>
                  <a:pt x="6118531" y="3921158"/>
                </a:cubicBezTo>
                <a:close/>
                <a:moveTo>
                  <a:pt x="6202273" y="3921158"/>
                </a:moveTo>
                <a:cubicBezTo>
                  <a:pt x="6183306" y="3921158"/>
                  <a:pt x="6167920" y="3936749"/>
                  <a:pt x="6167920" y="3955978"/>
                </a:cubicBezTo>
                <a:cubicBezTo>
                  <a:pt x="6167920" y="3975207"/>
                  <a:pt x="6183306" y="3990798"/>
                  <a:pt x="6202273" y="3990798"/>
                </a:cubicBezTo>
                <a:cubicBezTo>
                  <a:pt x="6221240" y="3990798"/>
                  <a:pt x="6236613" y="3975207"/>
                  <a:pt x="6236613" y="3955978"/>
                </a:cubicBezTo>
                <a:cubicBezTo>
                  <a:pt x="6236613" y="3936749"/>
                  <a:pt x="6221240" y="3921158"/>
                  <a:pt x="6202273" y="3921158"/>
                </a:cubicBezTo>
                <a:close/>
                <a:moveTo>
                  <a:pt x="6286014" y="3921158"/>
                </a:moveTo>
                <a:cubicBezTo>
                  <a:pt x="6267047" y="3921158"/>
                  <a:pt x="6251661" y="3936749"/>
                  <a:pt x="6251661" y="3955978"/>
                </a:cubicBezTo>
                <a:cubicBezTo>
                  <a:pt x="6251661" y="3975207"/>
                  <a:pt x="6267047" y="3990798"/>
                  <a:pt x="6286014" y="3990798"/>
                </a:cubicBezTo>
                <a:cubicBezTo>
                  <a:pt x="6304981" y="3990798"/>
                  <a:pt x="6320354" y="3975207"/>
                  <a:pt x="6320354" y="3955978"/>
                </a:cubicBezTo>
                <a:cubicBezTo>
                  <a:pt x="6320354" y="3936749"/>
                  <a:pt x="6304981" y="3921158"/>
                  <a:pt x="6286014" y="3921158"/>
                </a:cubicBezTo>
                <a:close/>
                <a:moveTo>
                  <a:pt x="6369755" y="3921158"/>
                </a:moveTo>
                <a:cubicBezTo>
                  <a:pt x="6350788" y="3921158"/>
                  <a:pt x="6335402" y="3936749"/>
                  <a:pt x="6335402" y="3955978"/>
                </a:cubicBezTo>
                <a:cubicBezTo>
                  <a:pt x="6335402" y="3975207"/>
                  <a:pt x="6350788" y="3990798"/>
                  <a:pt x="6369755" y="3990798"/>
                </a:cubicBezTo>
                <a:cubicBezTo>
                  <a:pt x="6388722" y="3990798"/>
                  <a:pt x="6404096" y="3975207"/>
                  <a:pt x="6404096" y="3955978"/>
                </a:cubicBezTo>
                <a:cubicBezTo>
                  <a:pt x="6404096" y="3936749"/>
                  <a:pt x="6388722" y="3921158"/>
                  <a:pt x="6369755" y="3921158"/>
                </a:cubicBezTo>
                <a:close/>
                <a:moveTo>
                  <a:pt x="6453498" y="3921158"/>
                </a:moveTo>
                <a:cubicBezTo>
                  <a:pt x="6434531" y="3921158"/>
                  <a:pt x="6419144" y="3936749"/>
                  <a:pt x="6419144" y="3955978"/>
                </a:cubicBezTo>
                <a:cubicBezTo>
                  <a:pt x="6419144" y="3975207"/>
                  <a:pt x="6434531" y="3990798"/>
                  <a:pt x="6453498" y="3990798"/>
                </a:cubicBezTo>
                <a:cubicBezTo>
                  <a:pt x="6472465" y="3990798"/>
                  <a:pt x="6487838" y="3975207"/>
                  <a:pt x="6487838" y="3955978"/>
                </a:cubicBezTo>
                <a:cubicBezTo>
                  <a:pt x="6487838" y="3936749"/>
                  <a:pt x="6472465" y="3921158"/>
                  <a:pt x="6453498" y="3921158"/>
                </a:cubicBezTo>
                <a:close/>
                <a:moveTo>
                  <a:pt x="6537239" y="3921158"/>
                </a:moveTo>
                <a:cubicBezTo>
                  <a:pt x="6518272" y="3921158"/>
                  <a:pt x="6502886" y="3936749"/>
                  <a:pt x="6502886" y="3955978"/>
                </a:cubicBezTo>
                <a:cubicBezTo>
                  <a:pt x="6502886" y="3975207"/>
                  <a:pt x="6518272" y="3990798"/>
                  <a:pt x="6537239" y="3990798"/>
                </a:cubicBezTo>
                <a:cubicBezTo>
                  <a:pt x="6556206" y="3990798"/>
                  <a:pt x="6571579" y="3975207"/>
                  <a:pt x="6571579" y="3955978"/>
                </a:cubicBezTo>
                <a:cubicBezTo>
                  <a:pt x="6571579" y="3936749"/>
                  <a:pt x="6556206" y="3921158"/>
                  <a:pt x="6537239" y="3921158"/>
                </a:cubicBezTo>
                <a:close/>
                <a:moveTo>
                  <a:pt x="6620980" y="3921158"/>
                </a:moveTo>
                <a:cubicBezTo>
                  <a:pt x="6602013" y="3921158"/>
                  <a:pt x="6586627" y="3936749"/>
                  <a:pt x="6586627" y="3955978"/>
                </a:cubicBezTo>
                <a:cubicBezTo>
                  <a:pt x="6586627" y="3975207"/>
                  <a:pt x="6602013" y="3990798"/>
                  <a:pt x="6620980" y="3990798"/>
                </a:cubicBezTo>
                <a:cubicBezTo>
                  <a:pt x="6639947" y="3990798"/>
                  <a:pt x="6655320" y="3975207"/>
                  <a:pt x="6655320" y="3955978"/>
                </a:cubicBezTo>
                <a:cubicBezTo>
                  <a:pt x="6655320" y="3936749"/>
                  <a:pt x="6639947" y="3921158"/>
                  <a:pt x="6620980" y="3921158"/>
                </a:cubicBezTo>
                <a:close/>
                <a:moveTo>
                  <a:pt x="6704722" y="3921158"/>
                </a:moveTo>
                <a:cubicBezTo>
                  <a:pt x="6685755" y="3921158"/>
                  <a:pt x="6670369" y="3936749"/>
                  <a:pt x="6670369" y="3955978"/>
                </a:cubicBezTo>
                <a:cubicBezTo>
                  <a:pt x="6670369" y="3975207"/>
                  <a:pt x="6685755" y="3990798"/>
                  <a:pt x="6704722" y="3990798"/>
                </a:cubicBezTo>
                <a:cubicBezTo>
                  <a:pt x="6723689" y="3990798"/>
                  <a:pt x="6739063" y="3975207"/>
                  <a:pt x="6739063" y="3955978"/>
                </a:cubicBezTo>
                <a:cubicBezTo>
                  <a:pt x="6739063" y="3936749"/>
                  <a:pt x="6723689" y="3921158"/>
                  <a:pt x="6704722" y="3921158"/>
                </a:cubicBezTo>
                <a:close/>
                <a:moveTo>
                  <a:pt x="6788464" y="3921158"/>
                </a:moveTo>
                <a:cubicBezTo>
                  <a:pt x="6769497" y="3921158"/>
                  <a:pt x="6754110" y="3936749"/>
                  <a:pt x="6754110" y="3955978"/>
                </a:cubicBezTo>
                <a:cubicBezTo>
                  <a:pt x="6754110" y="3975207"/>
                  <a:pt x="6769497" y="3990798"/>
                  <a:pt x="6788464" y="3990798"/>
                </a:cubicBezTo>
                <a:cubicBezTo>
                  <a:pt x="6807431" y="3990798"/>
                  <a:pt x="6822804" y="3975207"/>
                  <a:pt x="6822804" y="3955978"/>
                </a:cubicBezTo>
                <a:cubicBezTo>
                  <a:pt x="6822804" y="3936749"/>
                  <a:pt x="6807431" y="3921158"/>
                  <a:pt x="6788464" y="3921158"/>
                </a:cubicBezTo>
                <a:close/>
                <a:moveTo>
                  <a:pt x="6872206" y="3921158"/>
                </a:moveTo>
                <a:cubicBezTo>
                  <a:pt x="6853239" y="3921158"/>
                  <a:pt x="6837853" y="3936749"/>
                  <a:pt x="6837853" y="3955978"/>
                </a:cubicBezTo>
                <a:cubicBezTo>
                  <a:pt x="6837853" y="3975207"/>
                  <a:pt x="6853239" y="3990798"/>
                  <a:pt x="6872206" y="3990798"/>
                </a:cubicBezTo>
                <a:cubicBezTo>
                  <a:pt x="6891173" y="3990798"/>
                  <a:pt x="6906546" y="3975207"/>
                  <a:pt x="6906546" y="3955978"/>
                </a:cubicBezTo>
                <a:cubicBezTo>
                  <a:pt x="6906546" y="3936749"/>
                  <a:pt x="6891173" y="3921158"/>
                  <a:pt x="6872206" y="3921158"/>
                </a:cubicBezTo>
                <a:close/>
                <a:moveTo>
                  <a:pt x="6955947" y="3921158"/>
                </a:moveTo>
                <a:cubicBezTo>
                  <a:pt x="6936980" y="3921158"/>
                  <a:pt x="6921594" y="3936749"/>
                  <a:pt x="6921594" y="3955978"/>
                </a:cubicBezTo>
                <a:cubicBezTo>
                  <a:pt x="6921594" y="3975207"/>
                  <a:pt x="6936980" y="3990798"/>
                  <a:pt x="6955947" y="3990798"/>
                </a:cubicBezTo>
                <a:cubicBezTo>
                  <a:pt x="6974914" y="3990798"/>
                  <a:pt x="6990287" y="3975207"/>
                  <a:pt x="6990287" y="3955978"/>
                </a:cubicBezTo>
                <a:cubicBezTo>
                  <a:pt x="6990287" y="3936749"/>
                  <a:pt x="6974914" y="3921158"/>
                  <a:pt x="6955947" y="3921158"/>
                </a:cubicBezTo>
                <a:close/>
                <a:moveTo>
                  <a:pt x="7039688" y="3921158"/>
                </a:moveTo>
                <a:cubicBezTo>
                  <a:pt x="7020721" y="3921158"/>
                  <a:pt x="7005335" y="3936749"/>
                  <a:pt x="7005335" y="3955978"/>
                </a:cubicBezTo>
                <a:cubicBezTo>
                  <a:pt x="7005335" y="3975207"/>
                  <a:pt x="7020721" y="3990798"/>
                  <a:pt x="7039688" y="3990798"/>
                </a:cubicBezTo>
                <a:cubicBezTo>
                  <a:pt x="7058655" y="3990798"/>
                  <a:pt x="7074029" y="3975207"/>
                  <a:pt x="7074029" y="3955978"/>
                </a:cubicBezTo>
                <a:cubicBezTo>
                  <a:pt x="7074029" y="3936749"/>
                  <a:pt x="7058655" y="3921158"/>
                  <a:pt x="7039688" y="3921158"/>
                </a:cubicBezTo>
                <a:close/>
                <a:moveTo>
                  <a:pt x="7123456" y="3921158"/>
                </a:moveTo>
                <a:cubicBezTo>
                  <a:pt x="7104489" y="3921158"/>
                  <a:pt x="7089103" y="3936749"/>
                  <a:pt x="7089103" y="3955978"/>
                </a:cubicBezTo>
                <a:cubicBezTo>
                  <a:pt x="7089103" y="3975207"/>
                  <a:pt x="7104489" y="3990798"/>
                  <a:pt x="7123456" y="3990798"/>
                </a:cubicBezTo>
                <a:cubicBezTo>
                  <a:pt x="7142423" y="3990798"/>
                  <a:pt x="7157796" y="3975207"/>
                  <a:pt x="7157796" y="3955978"/>
                </a:cubicBezTo>
                <a:cubicBezTo>
                  <a:pt x="7157796" y="3936749"/>
                  <a:pt x="7142423" y="3921158"/>
                  <a:pt x="7123456" y="3921158"/>
                </a:cubicBezTo>
                <a:close/>
                <a:moveTo>
                  <a:pt x="7458423" y="3921158"/>
                </a:moveTo>
                <a:cubicBezTo>
                  <a:pt x="7439456" y="3921158"/>
                  <a:pt x="7424070" y="3936749"/>
                  <a:pt x="7424070" y="3955978"/>
                </a:cubicBezTo>
                <a:cubicBezTo>
                  <a:pt x="7424070" y="3975207"/>
                  <a:pt x="7439456" y="3990798"/>
                  <a:pt x="7458423" y="3990798"/>
                </a:cubicBezTo>
                <a:cubicBezTo>
                  <a:pt x="7477390" y="3990798"/>
                  <a:pt x="7492763" y="3975207"/>
                  <a:pt x="7492763" y="3955978"/>
                </a:cubicBezTo>
                <a:cubicBezTo>
                  <a:pt x="7492763" y="3936749"/>
                  <a:pt x="7477390" y="3921158"/>
                  <a:pt x="7458423" y="3921158"/>
                </a:cubicBezTo>
                <a:close/>
                <a:moveTo>
                  <a:pt x="8295839" y="3921158"/>
                </a:moveTo>
                <a:cubicBezTo>
                  <a:pt x="8276872" y="3921158"/>
                  <a:pt x="8261486" y="3936749"/>
                  <a:pt x="8261486" y="3955978"/>
                </a:cubicBezTo>
                <a:cubicBezTo>
                  <a:pt x="8261486" y="3975207"/>
                  <a:pt x="8276872" y="3990798"/>
                  <a:pt x="8295839" y="3990798"/>
                </a:cubicBezTo>
                <a:cubicBezTo>
                  <a:pt x="8314806" y="3990798"/>
                  <a:pt x="8330179" y="3975207"/>
                  <a:pt x="8330179" y="3955978"/>
                </a:cubicBezTo>
                <a:cubicBezTo>
                  <a:pt x="8330179" y="3936749"/>
                  <a:pt x="8314806" y="3921158"/>
                  <a:pt x="8295839" y="3921158"/>
                </a:cubicBezTo>
                <a:close/>
                <a:moveTo>
                  <a:pt x="8965772" y="3921158"/>
                </a:moveTo>
                <a:cubicBezTo>
                  <a:pt x="8946805" y="3921158"/>
                  <a:pt x="8931419" y="3936749"/>
                  <a:pt x="8931419" y="3955978"/>
                </a:cubicBezTo>
                <a:cubicBezTo>
                  <a:pt x="8931419" y="3975207"/>
                  <a:pt x="8946805" y="3990798"/>
                  <a:pt x="8965772" y="3990798"/>
                </a:cubicBezTo>
                <a:cubicBezTo>
                  <a:pt x="8984739" y="3990798"/>
                  <a:pt x="9000112" y="3975207"/>
                  <a:pt x="9000112" y="3955978"/>
                </a:cubicBezTo>
                <a:cubicBezTo>
                  <a:pt x="9000112" y="3936749"/>
                  <a:pt x="8984739" y="3921158"/>
                  <a:pt x="8965772" y="3921158"/>
                </a:cubicBezTo>
                <a:close/>
                <a:moveTo>
                  <a:pt x="9133256" y="3921158"/>
                </a:moveTo>
                <a:cubicBezTo>
                  <a:pt x="9114289" y="3921158"/>
                  <a:pt x="9098903" y="3936749"/>
                  <a:pt x="9098903" y="3955978"/>
                </a:cubicBezTo>
                <a:cubicBezTo>
                  <a:pt x="9098903" y="3975207"/>
                  <a:pt x="9114289" y="3990798"/>
                  <a:pt x="9133256" y="3990798"/>
                </a:cubicBezTo>
                <a:cubicBezTo>
                  <a:pt x="9152223" y="3990798"/>
                  <a:pt x="9167596" y="3975207"/>
                  <a:pt x="9167596" y="3955978"/>
                </a:cubicBezTo>
                <a:cubicBezTo>
                  <a:pt x="9167596" y="3936749"/>
                  <a:pt x="9152223" y="3921158"/>
                  <a:pt x="9133256" y="3921158"/>
                </a:cubicBezTo>
                <a:close/>
                <a:moveTo>
                  <a:pt x="9216997" y="3921158"/>
                </a:moveTo>
                <a:cubicBezTo>
                  <a:pt x="9198030" y="3921158"/>
                  <a:pt x="9182644" y="3936749"/>
                  <a:pt x="9182644" y="3955978"/>
                </a:cubicBezTo>
                <a:cubicBezTo>
                  <a:pt x="9182644" y="3975207"/>
                  <a:pt x="9198030" y="3990798"/>
                  <a:pt x="9216997" y="3990798"/>
                </a:cubicBezTo>
                <a:cubicBezTo>
                  <a:pt x="9235964" y="3990798"/>
                  <a:pt x="9251337" y="3975207"/>
                  <a:pt x="9251337" y="3955978"/>
                </a:cubicBezTo>
                <a:cubicBezTo>
                  <a:pt x="9251337" y="3936749"/>
                  <a:pt x="9235964" y="3921158"/>
                  <a:pt x="9216997" y="3921158"/>
                </a:cubicBezTo>
                <a:close/>
                <a:moveTo>
                  <a:pt x="9719446" y="3921158"/>
                </a:moveTo>
                <a:cubicBezTo>
                  <a:pt x="9700479" y="3921158"/>
                  <a:pt x="9685093" y="3936749"/>
                  <a:pt x="9685093" y="3955978"/>
                </a:cubicBezTo>
                <a:cubicBezTo>
                  <a:pt x="9685093" y="3975207"/>
                  <a:pt x="9700479" y="3990798"/>
                  <a:pt x="9719446" y="3990798"/>
                </a:cubicBezTo>
                <a:cubicBezTo>
                  <a:pt x="9738413" y="3990798"/>
                  <a:pt x="9753787" y="3975207"/>
                  <a:pt x="9753787" y="3955978"/>
                </a:cubicBezTo>
                <a:cubicBezTo>
                  <a:pt x="9753787" y="3936749"/>
                  <a:pt x="9738413" y="3921158"/>
                  <a:pt x="9719446" y="3921158"/>
                </a:cubicBezTo>
                <a:close/>
                <a:moveTo>
                  <a:pt x="3355051" y="4006021"/>
                </a:moveTo>
                <a:cubicBezTo>
                  <a:pt x="3336084" y="4006021"/>
                  <a:pt x="3320704" y="4021613"/>
                  <a:pt x="3320704" y="4040842"/>
                </a:cubicBezTo>
                <a:cubicBezTo>
                  <a:pt x="3320704" y="4060070"/>
                  <a:pt x="3336084" y="4075662"/>
                  <a:pt x="3355051" y="4075662"/>
                </a:cubicBezTo>
                <a:cubicBezTo>
                  <a:pt x="3374018" y="4075662"/>
                  <a:pt x="3389398" y="4060070"/>
                  <a:pt x="3389398" y="4040842"/>
                </a:cubicBezTo>
                <a:cubicBezTo>
                  <a:pt x="3389398" y="4021613"/>
                  <a:pt x="3374018" y="4006021"/>
                  <a:pt x="3355051" y="4006021"/>
                </a:cubicBezTo>
                <a:close/>
                <a:moveTo>
                  <a:pt x="3438792" y="4006021"/>
                </a:moveTo>
                <a:cubicBezTo>
                  <a:pt x="3419825" y="4006021"/>
                  <a:pt x="3404445" y="4021613"/>
                  <a:pt x="3404445" y="4040842"/>
                </a:cubicBezTo>
                <a:cubicBezTo>
                  <a:pt x="3404445" y="4060070"/>
                  <a:pt x="3419825" y="4075662"/>
                  <a:pt x="3438792" y="4075662"/>
                </a:cubicBezTo>
                <a:cubicBezTo>
                  <a:pt x="3457759" y="4075662"/>
                  <a:pt x="3473139" y="4060070"/>
                  <a:pt x="3473139" y="4040842"/>
                </a:cubicBezTo>
                <a:cubicBezTo>
                  <a:pt x="3473139" y="4021613"/>
                  <a:pt x="3457759" y="4006021"/>
                  <a:pt x="3438792" y="4006021"/>
                </a:cubicBezTo>
                <a:close/>
                <a:moveTo>
                  <a:pt x="3522533" y="4006021"/>
                </a:moveTo>
                <a:cubicBezTo>
                  <a:pt x="3503566" y="4006021"/>
                  <a:pt x="3488187" y="4021613"/>
                  <a:pt x="3488187" y="4040842"/>
                </a:cubicBezTo>
                <a:cubicBezTo>
                  <a:pt x="3488187" y="4060070"/>
                  <a:pt x="3503566" y="4075662"/>
                  <a:pt x="3522533" y="4075662"/>
                </a:cubicBezTo>
                <a:cubicBezTo>
                  <a:pt x="3541500" y="4075662"/>
                  <a:pt x="3556880" y="4060070"/>
                  <a:pt x="3556880" y="4040842"/>
                </a:cubicBezTo>
                <a:cubicBezTo>
                  <a:pt x="3556880" y="4021613"/>
                  <a:pt x="3541500" y="4006021"/>
                  <a:pt x="3522533" y="4006021"/>
                </a:cubicBezTo>
                <a:close/>
                <a:moveTo>
                  <a:pt x="3606276" y="4006021"/>
                </a:moveTo>
                <a:cubicBezTo>
                  <a:pt x="3587309" y="4006021"/>
                  <a:pt x="3571929" y="4021613"/>
                  <a:pt x="3571929" y="4040842"/>
                </a:cubicBezTo>
                <a:cubicBezTo>
                  <a:pt x="3571929" y="4060070"/>
                  <a:pt x="3587309" y="4075662"/>
                  <a:pt x="3606276" y="4075662"/>
                </a:cubicBezTo>
                <a:cubicBezTo>
                  <a:pt x="3625243" y="4075662"/>
                  <a:pt x="3640622" y="4060070"/>
                  <a:pt x="3640622" y="4040842"/>
                </a:cubicBezTo>
                <a:cubicBezTo>
                  <a:pt x="3640622" y="4021613"/>
                  <a:pt x="3625243" y="4006021"/>
                  <a:pt x="3606276" y="4006021"/>
                </a:cubicBezTo>
                <a:close/>
                <a:moveTo>
                  <a:pt x="3690017" y="4006021"/>
                </a:moveTo>
                <a:cubicBezTo>
                  <a:pt x="3671050" y="4006021"/>
                  <a:pt x="3655670" y="4021613"/>
                  <a:pt x="3655670" y="4040842"/>
                </a:cubicBezTo>
                <a:cubicBezTo>
                  <a:pt x="3655670" y="4060070"/>
                  <a:pt x="3671050" y="4075662"/>
                  <a:pt x="3690017" y="4075662"/>
                </a:cubicBezTo>
                <a:cubicBezTo>
                  <a:pt x="3708984" y="4075662"/>
                  <a:pt x="3724364" y="4060070"/>
                  <a:pt x="3724364" y="4040842"/>
                </a:cubicBezTo>
                <a:cubicBezTo>
                  <a:pt x="3724364" y="4021613"/>
                  <a:pt x="3708984" y="4006021"/>
                  <a:pt x="3690017" y="4006021"/>
                </a:cubicBezTo>
                <a:close/>
                <a:moveTo>
                  <a:pt x="3773759" y="4006021"/>
                </a:moveTo>
                <a:cubicBezTo>
                  <a:pt x="3754792" y="4006021"/>
                  <a:pt x="3739412" y="4021613"/>
                  <a:pt x="3739412" y="4040842"/>
                </a:cubicBezTo>
                <a:cubicBezTo>
                  <a:pt x="3739412" y="4060070"/>
                  <a:pt x="3754792" y="4075662"/>
                  <a:pt x="3773759" y="4075662"/>
                </a:cubicBezTo>
                <a:cubicBezTo>
                  <a:pt x="3792726" y="4075662"/>
                  <a:pt x="3808106" y="4060070"/>
                  <a:pt x="3808106" y="4040842"/>
                </a:cubicBezTo>
                <a:cubicBezTo>
                  <a:pt x="3808106" y="4021613"/>
                  <a:pt x="3792726" y="4006021"/>
                  <a:pt x="3773759" y="4006021"/>
                </a:cubicBezTo>
                <a:close/>
                <a:moveTo>
                  <a:pt x="3857500" y="4006021"/>
                </a:moveTo>
                <a:cubicBezTo>
                  <a:pt x="3838533" y="4006021"/>
                  <a:pt x="3823154" y="4021613"/>
                  <a:pt x="3823154" y="4040842"/>
                </a:cubicBezTo>
                <a:cubicBezTo>
                  <a:pt x="3823154" y="4060070"/>
                  <a:pt x="3838533" y="4075662"/>
                  <a:pt x="3857500" y="4075662"/>
                </a:cubicBezTo>
                <a:cubicBezTo>
                  <a:pt x="3876467" y="4075662"/>
                  <a:pt x="3891847" y="4060070"/>
                  <a:pt x="3891847" y="4040842"/>
                </a:cubicBezTo>
                <a:cubicBezTo>
                  <a:pt x="3891847" y="4021613"/>
                  <a:pt x="3876467" y="4006021"/>
                  <a:pt x="3857500" y="4006021"/>
                </a:cubicBezTo>
                <a:close/>
                <a:moveTo>
                  <a:pt x="3941242" y="4006021"/>
                </a:moveTo>
                <a:cubicBezTo>
                  <a:pt x="3922275" y="4006021"/>
                  <a:pt x="3906895" y="4021613"/>
                  <a:pt x="3906895" y="4040842"/>
                </a:cubicBezTo>
                <a:cubicBezTo>
                  <a:pt x="3906895" y="4060070"/>
                  <a:pt x="3922275" y="4075662"/>
                  <a:pt x="3941242" y="4075662"/>
                </a:cubicBezTo>
                <a:cubicBezTo>
                  <a:pt x="3960209" y="4075662"/>
                  <a:pt x="3975588" y="4060070"/>
                  <a:pt x="3975588" y="4040842"/>
                </a:cubicBezTo>
                <a:cubicBezTo>
                  <a:pt x="3975588" y="4021613"/>
                  <a:pt x="3960209" y="4006021"/>
                  <a:pt x="3941242" y="4006021"/>
                </a:cubicBezTo>
                <a:close/>
                <a:moveTo>
                  <a:pt x="5532340" y="4006021"/>
                </a:moveTo>
                <a:cubicBezTo>
                  <a:pt x="5513373" y="4006021"/>
                  <a:pt x="5497987" y="4021613"/>
                  <a:pt x="5497987" y="4040842"/>
                </a:cubicBezTo>
                <a:cubicBezTo>
                  <a:pt x="5497987" y="4060070"/>
                  <a:pt x="5513373" y="4075662"/>
                  <a:pt x="5532340" y="4075662"/>
                </a:cubicBezTo>
                <a:cubicBezTo>
                  <a:pt x="5551307" y="4075662"/>
                  <a:pt x="5566680" y="4060070"/>
                  <a:pt x="5566680" y="4040842"/>
                </a:cubicBezTo>
                <a:cubicBezTo>
                  <a:pt x="5566680" y="4021613"/>
                  <a:pt x="5551307" y="4006021"/>
                  <a:pt x="5532340" y="4006021"/>
                </a:cubicBezTo>
                <a:close/>
                <a:moveTo>
                  <a:pt x="5616081" y="4006021"/>
                </a:moveTo>
                <a:cubicBezTo>
                  <a:pt x="5597114" y="4006021"/>
                  <a:pt x="5581728" y="4021613"/>
                  <a:pt x="5581728" y="4040842"/>
                </a:cubicBezTo>
                <a:cubicBezTo>
                  <a:pt x="5581728" y="4060070"/>
                  <a:pt x="5597114" y="4075662"/>
                  <a:pt x="5616081" y="4075662"/>
                </a:cubicBezTo>
                <a:cubicBezTo>
                  <a:pt x="5635048" y="4075662"/>
                  <a:pt x="5650421" y="4060070"/>
                  <a:pt x="5650421" y="4040842"/>
                </a:cubicBezTo>
                <a:cubicBezTo>
                  <a:pt x="5650421" y="4021613"/>
                  <a:pt x="5635048" y="4006021"/>
                  <a:pt x="5616081" y="4006021"/>
                </a:cubicBezTo>
                <a:close/>
                <a:moveTo>
                  <a:pt x="5699822" y="4006021"/>
                </a:moveTo>
                <a:cubicBezTo>
                  <a:pt x="5680855" y="4006021"/>
                  <a:pt x="5665469" y="4021613"/>
                  <a:pt x="5665469" y="4040842"/>
                </a:cubicBezTo>
                <a:cubicBezTo>
                  <a:pt x="5665469" y="4060070"/>
                  <a:pt x="5680855" y="4075662"/>
                  <a:pt x="5699822" y="4075662"/>
                </a:cubicBezTo>
                <a:cubicBezTo>
                  <a:pt x="5718789" y="4075662"/>
                  <a:pt x="5734163" y="4060070"/>
                  <a:pt x="5734163" y="4040842"/>
                </a:cubicBezTo>
                <a:cubicBezTo>
                  <a:pt x="5734163" y="4021613"/>
                  <a:pt x="5718789" y="4006021"/>
                  <a:pt x="5699822" y="4006021"/>
                </a:cubicBezTo>
                <a:close/>
                <a:moveTo>
                  <a:pt x="5783565" y="4006021"/>
                </a:moveTo>
                <a:cubicBezTo>
                  <a:pt x="5764598" y="4006021"/>
                  <a:pt x="5749211" y="4021613"/>
                  <a:pt x="5749211" y="4040842"/>
                </a:cubicBezTo>
                <a:cubicBezTo>
                  <a:pt x="5749211" y="4060070"/>
                  <a:pt x="5764598" y="4075662"/>
                  <a:pt x="5783565" y="4075662"/>
                </a:cubicBezTo>
                <a:cubicBezTo>
                  <a:pt x="5802532" y="4075662"/>
                  <a:pt x="5817905" y="4060070"/>
                  <a:pt x="5817905" y="4040842"/>
                </a:cubicBezTo>
                <a:cubicBezTo>
                  <a:pt x="5817905" y="4021613"/>
                  <a:pt x="5802532" y="4006021"/>
                  <a:pt x="5783565" y="4006021"/>
                </a:cubicBezTo>
                <a:close/>
                <a:moveTo>
                  <a:pt x="5867306" y="4006021"/>
                </a:moveTo>
                <a:cubicBezTo>
                  <a:pt x="5848339" y="4006021"/>
                  <a:pt x="5832953" y="4021613"/>
                  <a:pt x="5832953" y="4040842"/>
                </a:cubicBezTo>
                <a:cubicBezTo>
                  <a:pt x="5832953" y="4060070"/>
                  <a:pt x="5848339" y="4075662"/>
                  <a:pt x="5867306" y="4075662"/>
                </a:cubicBezTo>
                <a:cubicBezTo>
                  <a:pt x="5886273" y="4075662"/>
                  <a:pt x="5901646" y="4060070"/>
                  <a:pt x="5901646" y="4040842"/>
                </a:cubicBezTo>
                <a:cubicBezTo>
                  <a:pt x="5901646" y="4021613"/>
                  <a:pt x="5886273" y="4006021"/>
                  <a:pt x="5867306" y="4006021"/>
                </a:cubicBezTo>
                <a:close/>
                <a:moveTo>
                  <a:pt x="5951047" y="4006021"/>
                </a:moveTo>
                <a:cubicBezTo>
                  <a:pt x="5932080" y="4006021"/>
                  <a:pt x="5916694" y="4021613"/>
                  <a:pt x="5916694" y="4040842"/>
                </a:cubicBezTo>
                <a:cubicBezTo>
                  <a:pt x="5916694" y="4060070"/>
                  <a:pt x="5932080" y="4075662"/>
                  <a:pt x="5951047" y="4075662"/>
                </a:cubicBezTo>
                <a:cubicBezTo>
                  <a:pt x="5970014" y="4075662"/>
                  <a:pt x="5985387" y="4060070"/>
                  <a:pt x="5985387" y="4040842"/>
                </a:cubicBezTo>
                <a:cubicBezTo>
                  <a:pt x="5985387" y="4021613"/>
                  <a:pt x="5970014" y="4006021"/>
                  <a:pt x="5951047" y="4006021"/>
                </a:cubicBezTo>
                <a:close/>
                <a:moveTo>
                  <a:pt x="6034789" y="4006021"/>
                </a:moveTo>
                <a:cubicBezTo>
                  <a:pt x="6015822" y="4006021"/>
                  <a:pt x="6000436" y="4021613"/>
                  <a:pt x="6000436" y="4040842"/>
                </a:cubicBezTo>
                <a:cubicBezTo>
                  <a:pt x="6000436" y="4060070"/>
                  <a:pt x="6015822" y="4075662"/>
                  <a:pt x="6034789" y="4075662"/>
                </a:cubicBezTo>
                <a:cubicBezTo>
                  <a:pt x="6053756" y="4075662"/>
                  <a:pt x="6069130" y="4060070"/>
                  <a:pt x="6069130" y="4040842"/>
                </a:cubicBezTo>
                <a:cubicBezTo>
                  <a:pt x="6069130" y="4021613"/>
                  <a:pt x="6053756" y="4006021"/>
                  <a:pt x="6034789" y="4006021"/>
                </a:cubicBezTo>
                <a:close/>
                <a:moveTo>
                  <a:pt x="6118531" y="4006021"/>
                </a:moveTo>
                <a:cubicBezTo>
                  <a:pt x="6099564" y="4006021"/>
                  <a:pt x="6084177" y="4021613"/>
                  <a:pt x="6084177" y="4040842"/>
                </a:cubicBezTo>
                <a:cubicBezTo>
                  <a:pt x="6084177" y="4060070"/>
                  <a:pt x="6099564" y="4075662"/>
                  <a:pt x="6118531" y="4075662"/>
                </a:cubicBezTo>
                <a:cubicBezTo>
                  <a:pt x="6137498" y="4075662"/>
                  <a:pt x="6152871" y="4060070"/>
                  <a:pt x="6152871" y="4040842"/>
                </a:cubicBezTo>
                <a:cubicBezTo>
                  <a:pt x="6152871" y="4021613"/>
                  <a:pt x="6137498" y="4006021"/>
                  <a:pt x="6118531" y="4006021"/>
                </a:cubicBezTo>
                <a:close/>
                <a:moveTo>
                  <a:pt x="6202273" y="4006021"/>
                </a:moveTo>
                <a:cubicBezTo>
                  <a:pt x="6183306" y="4006021"/>
                  <a:pt x="6167920" y="4021613"/>
                  <a:pt x="6167920" y="4040842"/>
                </a:cubicBezTo>
                <a:cubicBezTo>
                  <a:pt x="6167920" y="4060070"/>
                  <a:pt x="6183306" y="4075662"/>
                  <a:pt x="6202273" y="4075662"/>
                </a:cubicBezTo>
                <a:cubicBezTo>
                  <a:pt x="6221240" y="4075662"/>
                  <a:pt x="6236613" y="4060070"/>
                  <a:pt x="6236613" y="4040842"/>
                </a:cubicBezTo>
                <a:cubicBezTo>
                  <a:pt x="6236613" y="4021613"/>
                  <a:pt x="6221240" y="4006021"/>
                  <a:pt x="6202273" y="4006021"/>
                </a:cubicBezTo>
                <a:close/>
                <a:moveTo>
                  <a:pt x="6286014" y="4006021"/>
                </a:moveTo>
                <a:cubicBezTo>
                  <a:pt x="6267047" y="4006021"/>
                  <a:pt x="6251661" y="4021613"/>
                  <a:pt x="6251661" y="4040842"/>
                </a:cubicBezTo>
                <a:cubicBezTo>
                  <a:pt x="6251661" y="4060070"/>
                  <a:pt x="6267047" y="4075662"/>
                  <a:pt x="6286014" y="4075662"/>
                </a:cubicBezTo>
                <a:cubicBezTo>
                  <a:pt x="6304981" y="4075662"/>
                  <a:pt x="6320354" y="4060070"/>
                  <a:pt x="6320354" y="4040842"/>
                </a:cubicBezTo>
                <a:cubicBezTo>
                  <a:pt x="6320354" y="4021613"/>
                  <a:pt x="6304981" y="4006021"/>
                  <a:pt x="6286014" y="4006021"/>
                </a:cubicBezTo>
                <a:close/>
                <a:moveTo>
                  <a:pt x="6369755" y="4006021"/>
                </a:moveTo>
                <a:cubicBezTo>
                  <a:pt x="6350788" y="4006021"/>
                  <a:pt x="6335402" y="4021613"/>
                  <a:pt x="6335402" y="4040842"/>
                </a:cubicBezTo>
                <a:cubicBezTo>
                  <a:pt x="6335402" y="4060070"/>
                  <a:pt x="6350788" y="4075662"/>
                  <a:pt x="6369755" y="4075662"/>
                </a:cubicBezTo>
                <a:cubicBezTo>
                  <a:pt x="6388722" y="4075662"/>
                  <a:pt x="6404096" y="4060070"/>
                  <a:pt x="6404096" y="4040842"/>
                </a:cubicBezTo>
                <a:cubicBezTo>
                  <a:pt x="6404096" y="4021613"/>
                  <a:pt x="6388722" y="4006021"/>
                  <a:pt x="6369755" y="4006021"/>
                </a:cubicBezTo>
                <a:close/>
                <a:moveTo>
                  <a:pt x="6453498" y="4006021"/>
                </a:moveTo>
                <a:cubicBezTo>
                  <a:pt x="6434531" y="4006021"/>
                  <a:pt x="6419144" y="4021613"/>
                  <a:pt x="6419144" y="4040842"/>
                </a:cubicBezTo>
                <a:cubicBezTo>
                  <a:pt x="6419144" y="4060070"/>
                  <a:pt x="6434531" y="4075662"/>
                  <a:pt x="6453498" y="4075662"/>
                </a:cubicBezTo>
                <a:cubicBezTo>
                  <a:pt x="6472465" y="4075662"/>
                  <a:pt x="6487838" y="4060070"/>
                  <a:pt x="6487838" y="4040842"/>
                </a:cubicBezTo>
                <a:cubicBezTo>
                  <a:pt x="6487838" y="4021613"/>
                  <a:pt x="6472465" y="4006021"/>
                  <a:pt x="6453498" y="4006021"/>
                </a:cubicBezTo>
                <a:close/>
                <a:moveTo>
                  <a:pt x="6537239" y="4006021"/>
                </a:moveTo>
                <a:cubicBezTo>
                  <a:pt x="6518272" y="4006021"/>
                  <a:pt x="6502886" y="4021613"/>
                  <a:pt x="6502886" y="4040842"/>
                </a:cubicBezTo>
                <a:cubicBezTo>
                  <a:pt x="6502886" y="4060070"/>
                  <a:pt x="6518272" y="4075662"/>
                  <a:pt x="6537239" y="4075662"/>
                </a:cubicBezTo>
                <a:cubicBezTo>
                  <a:pt x="6556206" y="4075662"/>
                  <a:pt x="6571579" y="4060070"/>
                  <a:pt x="6571579" y="4040842"/>
                </a:cubicBezTo>
                <a:cubicBezTo>
                  <a:pt x="6571579" y="4021613"/>
                  <a:pt x="6556206" y="4006021"/>
                  <a:pt x="6537239" y="4006021"/>
                </a:cubicBezTo>
                <a:close/>
                <a:moveTo>
                  <a:pt x="6620980" y="4006021"/>
                </a:moveTo>
                <a:cubicBezTo>
                  <a:pt x="6602013" y="4006021"/>
                  <a:pt x="6586627" y="4021613"/>
                  <a:pt x="6586627" y="4040842"/>
                </a:cubicBezTo>
                <a:cubicBezTo>
                  <a:pt x="6586627" y="4060070"/>
                  <a:pt x="6602013" y="4075662"/>
                  <a:pt x="6620980" y="4075662"/>
                </a:cubicBezTo>
                <a:cubicBezTo>
                  <a:pt x="6639947" y="4075662"/>
                  <a:pt x="6655320" y="4060070"/>
                  <a:pt x="6655320" y="4040842"/>
                </a:cubicBezTo>
                <a:cubicBezTo>
                  <a:pt x="6655320" y="4021613"/>
                  <a:pt x="6639947" y="4006021"/>
                  <a:pt x="6620980" y="4006021"/>
                </a:cubicBezTo>
                <a:close/>
                <a:moveTo>
                  <a:pt x="6704722" y="4006021"/>
                </a:moveTo>
                <a:cubicBezTo>
                  <a:pt x="6685755" y="4006021"/>
                  <a:pt x="6670369" y="4021613"/>
                  <a:pt x="6670369" y="4040842"/>
                </a:cubicBezTo>
                <a:cubicBezTo>
                  <a:pt x="6670369" y="4060070"/>
                  <a:pt x="6685755" y="4075662"/>
                  <a:pt x="6704722" y="4075662"/>
                </a:cubicBezTo>
                <a:cubicBezTo>
                  <a:pt x="6723689" y="4075662"/>
                  <a:pt x="6739063" y="4060070"/>
                  <a:pt x="6739063" y="4040842"/>
                </a:cubicBezTo>
                <a:cubicBezTo>
                  <a:pt x="6739063" y="4021613"/>
                  <a:pt x="6723689" y="4006021"/>
                  <a:pt x="6704722" y="4006021"/>
                </a:cubicBezTo>
                <a:close/>
                <a:moveTo>
                  <a:pt x="6788464" y="4006021"/>
                </a:moveTo>
                <a:cubicBezTo>
                  <a:pt x="6769497" y="4006021"/>
                  <a:pt x="6754110" y="4021613"/>
                  <a:pt x="6754110" y="4040842"/>
                </a:cubicBezTo>
                <a:cubicBezTo>
                  <a:pt x="6754110" y="4060070"/>
                  <a:pt x="6769497" y="4075662"/>
                  <a:pt x="6788464" y="4075662"/>
                </a:cubicBezTo>
                <a:cubicBezTo>
                  <a:pt x="6807431" y="4075662"/>
                  <a:pt x="6822804" y="4060070"/>
                  <a:pt x="6822804" y="4040842"/>
                </a:cubicBezTo>
                <a:cubicBezTo>
                  <a:pt x="6822804" y="4021613"/>
                  <a:pt x="6807431" y="4006021"/>
                  <a:pt x="6788464" y="4006021"/>
                </a:cubicBezTo>
                <a:close/>
                <a:moveTo>
                  <a:pt x="6872206" y="4006021"/>
                </a:moveTo>
                <a:cubicBezTo>
                  <a:pt x="6853239" y="4006021"/>
                  <a:pt x="6837853" y="4021613"/>
                  <a:pt x="6837853" y="4040842"/>
                </a:cubicBezTo>
                <a:cubicBezTo>
                  <a:pt x="6837853" y="4060070"/>
                  <a:pt x="6853239" y="4075662"/>
                  <a:pt x="6872206" y="4075662"/>
                </a:cubicBezTo>
                <a:cubicBezTo>
                  <a:pt x="6891173" y="4075662"/>
                  <a:pt x="6906546" y="4060070"/>
                  <a:pt x="6906546" y="4040842"/>
                </a:cubicBezTo>
                <a:cubicBezTo>
                  <a:pt x="6906546" y="4021613"/>
                  <a:pt x="6891173" y="4006021"/>
                  <a:pt x="6872206" y="4006021"/>
                </a:cubicBezTo>
                <a:close/>
                <a:moveTo>
                  <a:pt x="6955947" y="4006021"/>
                </a:moveTo>
                <a:cubicBezTo>
                  <a:pt x="6936980" y="4006021"/>
                  <a:pt x="6921594" y="4021613"/>
                  <a:pt x="6921594" y="4040842"/>
                </a:cubicBezTo>
                <a:cubicBezTo>
                  <a:pt x="6921594" y="4060070"/>
                  <a:pt x="6936980" y="4075662"/>
                  <a:pt x="6955947" y="4075662"/>
                </a:cubicBezTo>
                <a:cubicBezTo>
                  <a:pt x="6974914" y="4075662"/>
                  <a:pt x="6990287" y="4060070"/>
                  <a:pt x="6990287" y="4040842"/>
                </a:cubicBezTo>
                <a:cubicBezTo>
                  <a:pt x="6990287" y="4021613"/>
                  <a:pt x="6974914" y="4006021"/>
                  <a:pt x="6955947" y="4006021"/>
                </a:cubicBezTo>
                <a:close/>
                <a:moveTo>
                  <a:pt x="7039688" y="4006021"/>
                </a:moveTo>
                <a:cubicBezTo>
                  <a:pt x="7020721" y="4006021"/>
                  <a:pt x="7005335" y="4021613"/>
                  <a:pt x="7005335" y="4040842"/>
                </a:cubicBezTo>
                <a:cubicBezTo>
                  <a:pt x="7005335" y="4060070"/>
                  <a:pt x="7020721" y="4075662"/>
                  <a:pt x="7039688" y="4075662"/>
                </a:cubicBezTo>
                <a:cubicBezTo>
                  <a:pt x="7058655" y="4075662"/>
                  <a:pt x="7074029" y="4060070"/>
                  <a:pt x="7074029" y="4040842"/>
                </a:cubicBezTo>
                <a:cubicBezTo>
                  <a:pt x="7074029" y="4021613"/>
                  <a:pt x="7058655" y="4006021"/>
                  <a:pt x="7039688" y="4006021"/>
                </a:cubicBezTo>
                <a:close/>
                <a:moveTo>
                  <a:pt x="7123456" y="4006021"/>
                </a:moveTo>
                <a:cubicBezTo>
                  <a:pt x="7104489" y="4006021"/>
                  <a:pt x="7089103" y="4021613"/>
                  <a:pt x="7089103" y="4040842"/>
                </a:cubicBezTo>
                <a:cubicBezTo>
                  <a:pt x="7089103" y="4060070"/>
                  <a:pt x="7104489" y="4075662"/>
                  <a:pt x="7123456" y="4075662"/>
                </a:cubicBezTo>
                <a:cubicBezTo>
                  <a:pt x="7142423" y="4075662"/>
                  <a:pt x="7157796" y="4060070"/>
                  <a:pt x="7157796" y="4040842"/>
                </a:cubicBezTo>
                <a:cubicBezTo>
                  <a:pt x="7157796" y="4021613"/>
                  <a:pt x="7142423" y="4006021"/>
                  <a:pt x="7123456" y="4006021"/>
                </a:cubicBezTo>
                <a:close/>
                <a:moveTo>
                  <a:pt x="7207198" y="4006021"/>
                </a:moveTo>
                <a:cubicBezTo>
                  <a:pt x="7188231" y="4006021"/>
                  <a:pt x="7172845" y="4021613"/>
                  <a:pt x="7172845" y="4040842"/>
                </a:cubicBezTo>
                <a:cubicBezTo>
                  <a:pt x="7172845" y="4060070"/>
                  <a:pt x="7188231" y="4075662"/>
                  <a:pt x="7207198" y="4075662"/>
                </a:cubicBezTo>
                <a:cubicBezTo>
                  <a:pt x="7226165" y="4075662"/>
                  <a:pt x="7241538" y="4060070"/>
                  <a:pt x="7241538" y="4040842"/>
                </a:cubicBezTo>
                <a:cubicBezTo>
                  <a:pt x="7241538" y="4021613"/>
                  <a:pt x="7226165" y="4006021"/>
                  <a:pt x="7207198" y="4006021"/>
                </a:cubicBezTo>
                <a:close/>
                <a:moveTo>
                  <a:pt x="7290939" y="4006021"/>
                </a:moveTo>
                <a:cubicBezTo>
                  <a:pt x="7271972" y="4006021"/>
                  <a:pt x="7256586" y="4021613"/>
                  <a:pt x="7256586" y="4040842"/>
                </a:cubicBezTo>
                <a:cubicBezTo>
                  <a:pt x="7256586" y="4060070"/>
                  <a:pt x="7271972" y="4075662"/>
                  <a:pt x="7290939" y="4075662"/>
                </a:cubicBezTo>
                <a:cubicBezTo>
                  <a:pt x="7309906" y="4075662"/>
                  <a:pt x="7325279" y="4060070"/>
                  <a:pt x="7325279" y="4040842"/>
                </a:cubicBezTo>
                <a:cubicBezTo>
                  <a:pt x="7325279" y="4021613"/>
                  <a:pt x="7309906" y="4006021"/>
                  <a:pt x="7290939" y="4006021"/>
                </a:cubicBezTo>
                <a:close/>
                <a:moveTo>
                  <a:pt x="7374681" y="4006021"/>
                </a:moveTo>
                <a:cubicBezTo>
                  <a:pt x="7355714" y="4006021"/>
                  <a:pt x="7340328" y="4021613"/>
                  <a:pt x="7340328" y="4040842"/>
                </a:cubicBezTo>
                <a:cubicBezTo>
                  <a:pt x="7340328" y="4060070"/>
                  <a:pt x="7355714" y="4075662"/>
                  <a:pt x="7374681" y="4075662"/>
                </a:cubicBezTo>
                <a:cubicBezTo>
                  <a:pt x="7393648" y="4075662"/>
                  <a:pt x="7409022" y="4060070"/>
                  <a:pt x="7409022" y="4040842"/>
                </a:cubicBezTo>
                <a:cubicBezTo>
                  <a:pt x="7409022" y="4021613"/>
                  <a:pt x="7393648" y="4006021"/>
                  <a:pt x="7374681" y="4006021"/>
                </a:cubicBezTo>
                <a:close/>
                <a:moveTo>
                  <a:pt x="8379580" y="4006021"/>
                </a:moveTo>
                <a:cubicBezTo>
                  <a:pt x="8360613" y="4006021"/>
                  <a:pt x="8345227" y="4021613"/>
                  <a:pt x="8345227" y="4040842"/>
                </a:cubicBezTo>
                <a:cubicBezTo>
                  <a:pt x="8345227" y="4060070"/>
                  <a:pt x="8360613" y="4075662"/>
                  <a:pt x="8379580" y="4075662"/>
                </a:cubicBezTo>
                <a:cubicBezTo>
                  <a:pt x="8398547" y="4075662"/>
                  <a:pt x="8413921" y="4060070"/>
                  <a:pt x="8413921" y="4040842"/>
                </a:cubicBezTo>
                <a:cubicBezTo>
                  <a:pt x="8413921" y="4021613"/>
                  <a:pt x="8398547" y="4006021"/>
                  <a:pt x="8379580" y="4006021"/>
                </a:cubicBezTo>
                <a:close/>
                <a:moveTo>
                  <a:pt x="8965772" y="4006021"/>
                </a:moveTo>
                <a:cubicBezTo>
                  <a:pt x="8946805" y="4006021"/>
                  <a:pt x="8931419" y="4021613"/>
                  <a:pt x="8931419" y="4040842"/>
                </a:cubicBezTo>
                <a:cubicBezTo>
                  <a:pt x="8931419" y="4060070"/>
                  <a:pt x="8946805" y="4075662"/>
                  <a:pt x="8965772" y="4075662"/>
                </a:cubicBezTo>
                <a:cubicBezTo>
                  <a:pt x="8984739" y="4075662"/>
                  <a:pt x="9000112" y="4060070"/>
                  <a:pt x="9000112" y="4040842"/>
                </a:cubicBezTo>
                <a:cubicBezTo>
                  <a:pt x="9000112" y="4021613"/>
                  <a:pt x="8984739" y="4006021"/>
                  <a:pt x="8965772" y="4006021"/>
                </a:cubicBezTo>
                <a:close/>
                <a:moveTo>
                  <a:pt x="9719446" y="4006021"/>
                </a:moveTo>
                <a:cubicBezTo>
                  <a:pt x="9700479" y="4006021"/>
                  <a:pt x="9685093" y="4021613"/>
                  <a:pt x="9685093" y="4040842"/>
                </a:cubicBezTo>
                <a:cubicBezTo>
                  <a:pt x="9685093" y="4060070"/>
                  <a:pt x="9700479" y="4075662"/>
                  <a:pt x="9719446" y="4075662"/>
                </a:cubicBezTo>
                <a:cubicBezTo>
                  <a:pt x="9738413" y="4075662"/>
                  <a:pt x="9753787" y="4060070"/>
                  <a:pt x="9753787" y="4040842"/>
                </a:cubicBezTo>
                <a:cubicBezTo>
                  <a:pt x="9753787" y="4021613"/>
                  <a:pt x="9738413" y="4006021"/>
                  <a:pt x="9719446" y="4006021"/>
                </a:cubicBezTo>
                <a:close/>
                <a:moveTo>
                  <a:pt x="9803189" y="4006021"/>
                </a:moveTo>
                <a:cubicBezTo>
                  <a:pt x="9784222" y="4006021"/>
                  <a:pt x="9768836" y="4021613"/>
                  <a:pt x="9768836" y="4040842"/>
                </a:cubicBezTo>
                <a:cubicBezTo>
                  <a:pt x="9768836" y="4060070"/>
                  <a:pt x="9784222" y="4075662"/>
                  <a:pt x="9803189" y="4075662"/>
                </a:cubicBezTo>
                <a:cubicBezTo>
                  <a:pt x="9822156" y="4075662"/>
                  <a:pt x="9837529" y="4060070"/>
                  <a:pt x="9837529" y="4040842"/>
                </a:cubicBezTo>
                <a:cubicBezTo>
                  <a:pt x="9837529" y="4021613"/>
                  <a:pt x="9822156" y="4006021"/>
                  <a:pt x="9803189" y="4006021"/>
                </a:cubicBezTo>
                <a:close/>
                <a:moveTo>
                  <a:pt x="3522533" y="4090885"/>
                </a:moveTo>
                <a:cubicBezTo>
                  <a:pt x="3503566" y="4090885"/>
                  <a:pt x="3488187" y="4106477"/>
                  <a:pt x="3488187" y="4125706"/>
                </a:cubicBezTo>
                <a:cubicBezTo>
                  <a:pt x="3488187" y="4144934"/>
                  <a:pt x="3503566" y="4160526"/>
                  <a:pt x="3522533" y="4160526"/>
                </a:cubicBezTo>
                <a:cubicBezTo>
                  <a:pt x="3541500" y="4160526"/>
                  <a:pt x="3556880" y="4144934"/>
                  <a:pt x="3556880" y="4125706"/>
                </a:cubicBezTo>
                <a:cubicBezTo>
                  <a:pt x="3556880" y="4106477"/>
                  <a:pt x="3541500" y="4090885"/>
                  <a:pt x="3522533" y="4090885"/>
                </a:cubicBezTo>
                <a:close/>
                <a:moveTo>
                  <a:pt x="3606276" y="4090885"/>
                </a:moveTo>
                <a:cubicBezTo>
                  <a:pt x="3587309" y="4090885"/>
                  <a:pt x="3571929" y="4106477"/>
                  <a:pt x="3571929" y="4125706"/>
                </a:cubicBezTo>
                <a:cubicBezTo>
                  <a:pt x="3571929" y="4144934"/>
                  <a:pt x="3587309" y="4160526"/>
                  <a:pt x="3606276" y="4160526"/>
                </a:cubicBezTo>
                <a:cubicBezTo>
                  <a:pt x="3625243" y="4160526"/>
                  <a:pt x="3640622" y="4144934"/>
                  <a:pt x="3640622" y="4125706"/>
                </a:cubicBezTo>
                <a:cubicBezTo>
                  <a:pt x="3640622" y="4106477"/>
                  <a:pt x="3625243" y="4090885"/>
                  <a:pt x="3606276" y="4090885"/>
                </a:cubicBezTo>
                <a:close/>
                <a:moveTo>
                  <a:pt x="3690017" y="4090885"/>
                </a:moveTo>
                <a:cubicBezTo>
                  <a:pt x="3671050" y="4090885"/>
                  <a:pt x="3655670" y="4106477"/>
                  <a:pt x="3655670" y="4125706"/>
                </a:cubicBezTo>
                <a:cubicBezTo>
                  <a:pt x="3655670" y="4144934"/>
                  <a:pt x="3671050" y="4160526"/>
                  <a:pt x="3690017" y="4160526"/>
                </a:cubicBezTo>
                <a:cubicBezTo>
                  <a:pt x="3708984" y="4160526"/>
                  <a:pt x="3724364" y="4144934"/>
                  <a:pt x="3724364" y="4125706"/>
                </a:cubicBezTo>
                <a:cubicBezTo>
                  <a:pt x="3724364" y="4106477"/>
                  <a:pt x="3708984" y="4090885"/>
                  <a:pt x="3690017" y="4090885"/>
                </a:cubicBezTo>
                <a:close/>
                <a:moveTo>
                  <a:pt x="3773759" y="4090885"/>
                </a:moveTo>
                <a:cubicBezTo>
                  <a:pt x="3754792" y="4090885"/>
                  <a:pt x="3739412" y="4106477"/>
                  <a:pt x="3739412" y="4125706"/>
                </a:cubicBezTo>
                <a:cubicBezTo>
                  <a:pt x="3739412" y="4144934"/>
                  <a:pt x="3754792" y="4160526"/>
                  <a:pt x="3773759" y="4160526"/>
                </a:cubicBezTo>
                <a:cubicBezTo>
                  <a:pt x="3792726" y="4160526"/>
                  <a:pt x="3808106" y="4144934"/>
                  <a:pt x="3808106" y="4125706"/>
                </a:cubicBezTo>
                <a:cubicBezTo>
                  <a:pt x="3808106" y="4106477"/>
                  <a:pt x="3792726" y="4090885"/>
                  <a:pt x="3773759" y="4090885"/>
                </a:cubicBezTo>
                <a:close/>
                <a:moveTo>
                  <a:pt x="3857500" y="4090885"/>
                </a:moveTo>
                <a:cubicBezTo>
                  <a:pt x="3838533" y="4090885"/>
                  <a:pt x="3823154" y="4106477"/>
                  <a:pt x="3823154" y="4125706"/>
                </a:cubicBezTo>
                <a:cubicBezTo>
                  <a:pt x="3823154" y="4144934"/>
                  <a:pt x="3838533" y="4160526"/>
                  <a:pt x="3857500" y="4160526"/>
                </a:cubicBezTo>
                <a:cubicBezTo>
                  <a:pt x="3876467" y="4160526"/>
                  <a:pt x="3891847" y="4144934"/>
                  <a:pt x="3891847" y="4125706"/>
                </a:cubicBezTo>
                <a:cubicBezTo>
                  <a:pt x="3891847" y="4106477"/>
                  <a:pt x="3876467" y="4090885"/>
                  <a:pt x="3857500" y="4090885"/>
                </a:cubicBezTo>
                <a:close/>
                <a:moveTo>
                  <a:pt x="3941242" y="4090885"/>
                </a:moveTo>
                <a:cubicBezTo>
                  <a:pt x="3922275" y="4090885"/>
                  <a:pt x="3906895" y="4106477"/>
                  <a:pt x="3906895" y="4125706"/>
                </a:cubicBezTo>
                <a:cubicBezTo>
                  <a:pt x="3906895" y="4144934"/>
                  <a:pt x="3922275" y="4160526"/>
                  <a:pt x="3941242" y="4160526"/>
                </a:cubicBezTo>
                <a:cubicBezTo>
                  <a:pt x="3960209" y="4160526"/>
                  <a:pt x="3975588" y="4144934"/>
                  <a:pt x="3975588" y="4125706"/>
                </a:cubicBezTo>
                <a:cubicBezTo>
                  <a:pt x="3975588" y="4106477"/>
                  <a:pt x="3960209" y="4090885"/>
                  <a:pt x="3941242" y="4090885"/>
                </a:cubicBezTo>
                <a:close/>
                <a:moveTo>
                  <a:pt x="4024990" y="4090885"/>
                </a:moveTo>
                <a:cubicBezTo>
                  <a:pt x="4006023" y="4090885"/>
                  <a:pt x="3990643" y="4106477"/>
                  <a:pt x="3990643" y="4125706"/>
                </a:cubicBezTo>
                <a:cubicBezTo>
                  <a:pt x="3990643" y="4144934"/>
                  <a:pt x="4006023" y="4160526"/>
                  <a:pt x="4024990" y="4160526"/>
                </a:cubicBezTo>
                <a:cubicBezTo>
                  <a:pt x="4043957" y="4160526"/>
                  <a:pt x="4059337" y="4144934"/>
                  <a:pt x="4059337" y="4125706"/>
                </a:cubicBezTo>
                <a:cubicBezTo>
                  <a:pt x="4059337" y="4106477"/>
                  <a:pt x="4043957" y="4090885"/>
                  <a:pt x="4024990" y="4090885"/>
                </a:cubicBezTo>
                <a:close/>
                <a:moveTo>
                  <a:pt x="5616081" y="4090885"/>
                </a:moveTo>
                <a:cubicBezTo>
                  <a:pt x="5597114" y="4090885"/>
                  <a:pt x="5581728" y="4106477"/>
                  <a:pt x="5581728" y="4125706"/>
                </a:cubicBezTo>
                <a:cubicBezTo>
                  <a:pt x="5581728" y="4144934"/>
                  <a:pt x="5597114" y="4160526"/>
                  <a:pt x="5616081" y="4160526"/>
                </a:cubicBezTo>
                <a:cubicBezTo>
                  <a:pt x="5635048" y="4160526"/>
                  <a:pt x="5650421" y="4144934"/>
                  <a:pt x="5650421" y="4125706"/>
                </a:cubicBezTo>
                <a:cubicBezTo>
                  <a:pt x="5650421" y="4106477"/>
                  <a:pt x="5635048" y="4090885"/>
                  <a:pt x="5616081" y="4090885"/>
                </a:cubicBezTo>
                <a:close/>
                <a:moveTo>
                  <a:pt x="5699822" y="4090885"/>
                </a:moveTo>
                <a:cubicBezTo>
                  <a:pt x="5680855" y="4090885"/>
                  <a:pt x="5665469" y="4106477"/>
                  <a:pt x="5665469" y="4125706"/>
                </a:cubicBezTo>
                <a:cubicBezTo>
                  <a:pt x="5665469" y="4144934"/>
                  <a:pt x="5680855" y="4160526"/>
                  <a:pt x="5699822" y="4160526"/>
                </a:cubicBezTo>
                <a:cubicBezTo>
                  <a:pt x="5718789" y="4160526"/>
                  <a:pt x="5734163" y="4144934"/>
                  <a:pt x="5734163" y="4125706"/>
                </a:cubicBezTo>
                <a:cubicBezTo>
                  <a:pt x="5734163" y="4106477"/>
                  <a:pt x="5718789" y="4090885"/>
                  <a:pt x="5699822" y="4090885"/>
                </a:cubicBezTo>
                <a:close/>
                <a:moveTo>
                  <a:pt x="5783565" y="4090885"/>
                </a:moveTo>
                <a:cubicBezTo>
                  <a:pt x="5764598" y="4090885"/>
                  <a:pt x="5749211" y="4106477"/>
                  <a:pt x="5749211" y="4125706"/>
                </a:cubicBezTo>
                <a:cubicBezTo>
                  <a:pt x="5749211" y="4144934"/>
                  <a:pt x="5764598" y="4160526"/>
                  <a:pt x="5783565" y="4160526"/>
                </a:cubicBezTo>
                <a:cubicBezTo>
                  <a:pt x="5802532" y="4160526"/>
                  <a:pt x="5817905" y="4144934"/>
                  <a:pt x="5817905" y="4125706"/>
                </a:cubicBezTo>
                <a:cubicBezTo>
                  <a:pt x="5817905" y="4106477"/>
                  <a:pt x="5802532" y="4090885"/>
                  <a:pt x="5783565" y="4090885"/>
                </a:cubicBezTo>
                <a:close/>
                <a:moveTo>
                  <a:pt x="6034789" y="4090885"/>
                </a:moveTo>
                <a:cubicBezTo>
                  <a:pt x="6015822" y="4090885"/>
                  <a:pt x="6000436" y="4106477"/>
                  <a:pt x="6000436" y="4125706"/>
                </a:cubicBezTo>
                <a:cubicBezTo>
                  <a:pt x="6000436" y="4144934"/>
                  <a:pt x="6015822" y="4160526"/>
                  <a:pt x="6034789" y="4160526"/>
                </a:cubicBezTo>
                <a:cubicBezTo>
                  <a:pt x="6053756" y="4160526"/>
                  <a:pt x="6069130" y="4144934"/>
                  <a:pt x="6069130" y="4125706"/>
                </a:cubicBezTo>
                <a:cubicBezTo>
                  <a:pt x="6069130" y="4106477"/>
                  <a:pt x="6053756" y="4090885"/>
                  <a:pt x="6034789" y="4090885"/>
                </a:cubicBezTo>
                <a:close/>
                <a:moveTo>
                  <a:pt x="6118531" y="4090885"/>
                </a:moveTo>
                <a:cubicBezTo>
                  <a:pt x="6099564" y="4090885"/>
                  <a:pt x="6084177" y="4106477"/>
                  <a:pt x="6084177" y="4125706"/>
                </a:cubicBezTo>
                <a:cubicBezTo>
                  <a:pt x="6084177" y="4144934"/>
                  <a:pt x="6099564" y="4160526"/>
                  <a:pt x="6118531" y="4160526"/>
                </a:cubicBezTo>
                <a:cubicBezTo>
                  <a:pt x="6137498" y="4160526"/>
                  <a:pt x="6152871" y="4144934"/>
                  <a:pt x="6152871" y="4125706"/>
                </a:cubicBezTo>
                <a:cubicBezTo>
                  <a:pt x="6152871" y="4106477"/>
                  <a:pt x="6137498" y="4090885"/>
                  <a:pt x="6118531" y="4090885"/>
                </a:cubicBezTo>
                <a:close/>
                <a:moveTo>
                  <a:pt x="6202273" y="4090885"/>
                </a:moveTo>
                <a:cubicBezTo>
                  <a:pt x="6183306" y="4090885"/>
                  <a:pt x="6167920" y="4106477"/>
                  <a:pt x="6167920" y="4125706"/>
                </a:cubicBezTo>
                <a:cubicBezTo>
                  <a:pt x="6167920" y="4144934"/>
                  <a:pt x="6183306" y="4160526"/>
                  <a:pt x="6202273" y="4160526"/>
                </a:cubicBezTo>
                <a:cubicBezTo>
                  <a:pt x="6221240" y="4160526"/>
                  <a:pt x="6236613" y="4144934"/>
                  <a:pt x="6236613" y="4125706"/>
                </a:cubicBezTo>
                <a:cubicBezTo>
                  <a:pt x="6236613" y="4106477"/>
                  <a:pt x="6221240" y="4090885"/>
                  <a:pt x="6202273" y="4090885"/>
                </a:cubicBezTo>
                <a:close/>
                <a:moveTo>
                  <a:pt x="6286014" y="4090885"/>
                </a:moveTo>
                <a:cubicBezTo>
                  <a:pt x="6267047" y="4090885"/>
                  <a:pt x="6251661" y="4106477"/>
                  <a:pt x="6251661" y="4125706"/>
                </a:cubicBezTo>
                <a:cubicBezTo>
                  <a:pt x="6251661" y="4144934"/>
                  <a:pt x="6267047" y="4160526"/>
                  <a:pt x="6286014" y="4160526"/>
                </a:cubicBezTo>
                <a:cubicBezTo>
                  <a:pt x="6304981" y="4160526"/>
                  <a:pt x="6320354" y="4144934"/>
                  <a:pt x="6320354" y="4125706"/>
                </a:cubicBezTo>
                <a:cubicBezTo>
                  <a:pt x="6320354" y="4106477"/>
                  <a:pt x="6304981" y="4090885"/>
                  <a:pt x="6286014" y="4090885"/>
                </a:cubicBezTo>
                <a:close/>
                <a:moveTo>
                  <a:pt x="6369755" y="4090885"/>
                </a:moveTo>
                <a:cubicBezTo>
                  <a:pt x="6350788" y="4090885"/>
                  <a:pt x="6335402" y="4106477"/>
                  <a:pt x="6335402" y="4125706"/>
                </a:cubicBezTo>
                <a:cubicBezTo>
                  <a:pt x="6335402" y="4144934"/>
                  <a:pt x="6350788" y="4160526"/>
                  <a:pt x="6369755" y="4160526"/>
                </a:cubicBezTo>
                <a:cubicBezTo>
                  <a:pt x="6388722" y="4160526"/>
                  <a:pt x="6404096" y="4144934"/>
                  <a:pt x="6404096" y="4125706"/>
                </a:cubicBezTo>
                <a:cubicBezTo>
                  <a:pt x="6404096" y="4106477"/>
                  <a:pt x="6388722" y="4090885"/>
                  <a:pt x="6369755" y="4090885"/>
                </a:cubicBezTo>
                <a:close/>
                <a:moveTo>
                  <a:pt x="6453498" y="4090885"/>
                </a:moveTo>
                <a:cubicBezTo>
                  <a:pt x="6434531" y="4090885"/>
                  <a:pt x="6419144" y="4106477"/>
                  <a:pt x="6419144" y="4125706"/>
                </a:cubicBezTo>
                <a:cubicBezTo>
                  <a:pt x="6419144" y="4144934"/>
                  <a:pt x="6434531" y="4160526"/>
                  <a:pt x="6453498" y="4160526"/>
                </a:cubicBezTo>
                <a:cubicBezTo>
                  <a:pt x="6472465" y="4160526"/>
                  <a:pt x="6487838" y="4144934"/>
                  <a:pt x="6487838" y="4125706"/>
                </a:cubicBezTo>
                <a:cubicBezTo>
                  <a:pt x="6487838" y="4106477"/>
                  <a:pt x="6472465" y="4090885"/>
                  <a:pt x="6453498" y="4090885"/>
                </a:cubicBezTo>
                <a:close/>
                <a:moveTo>
                  <a:pt x="6537239" y="4090885"/>
                </a:moveTo>
                <a:cubicBezTo>
                  <a:pt x="6518272" y="4090885"/>
                  <a:pt x="6502886" y="4106477"/>
                  <a:pt x="6502886" y="4125706"/>
                </a:cubicBezTo>
                <a:cubicBezTo>
                  <a:pt x="6502886" y="4144934"/>
                  <a:pt x="6518272" y="4160526"/>
                  <a:pt x="6537239" y="4160526"/>
                </a:cubicBezTo>
                <a:cubicBezTo>
                  <a:pt x="6556206" y="4160526"/>
                  <a:pt x="6571579" y="4144934"/>
                  <a:pt x="6571579" y="4125706"/>
                </a:cubicBezTo>
                <a:cubicBezTo>
                  <a:pt x="6571579" y="4106477"/>
                  <a:pt x="6556206" y="4090885"/>
                  <a:pt x="6537239" y="4090885"/>
                </a:cubicBezTo>
                <a:close/>
                <a:moveTo>
                  <a:pt x="6620980" y="4090885"/>
                </a:moveTo>
                <a:cubicBezTo>
                  <a:pt x="6602013" y="4090885"/>
                  <a:pt x="6586627" y="4106477"/>
                  <a:pt x="6586627" y="4125706"/>
                </a:cubicBezTo>
                <a:cubicBezTo>
                  <a:pt x="6586627" y="4144934"/>
                  <a:pt x="6602013" y="4160526"/>
                  <a:pt x="6620980" y="4160526"/>
                </a:cubicBezTo>
                <a:cubicBezTo>
                  <a:pt x="6639947" y="4160526"/>
                  <a:pt x="6655320" y="4144934"/>
                  <a:pt x="6655320" y="4125706"/>
                </a:cubicBezTo>
                <a:cubicBezTo>
                  <a:pt x="6655320" y="4106477"/>
                  <a:pt x="6639947" y="4090885"/>
                  <a:pt x="6620980" y="4090885"/>
                </a:cubicBezTo>
                <a:close/>
                <a:moveTo>
                  <a:pt x="6704722" y="4090885"/>
                </a:moveTo>
                <a:cubicBezTo>
                  <a:pt x="6685755" y="4090885"/>
                  <a:pt x="6670369" y="4106477"/>
                  <a:pt x="6670369" y="4125706"/>
                </a:cubicBezTo>
                <a:cubicBezTo>
                  <a:pt x="6670369" y="4144934"/>
                  <a:pt x="6685755" y="4160526"/>
                  <a:pt x="6704722" y="4160526"/>
                </a:cubicBezTo>
                <a:cubicBezTo>
                  <a:pt x="6723689" y="4160526"/>
                  <a:pt x="6739063" y="4144934"/>
                  <a:pt x="6739063" y="4125706"/>
                </a:cubicBezTo>
                <a:cubicBezTo>
                  <a:pt x="6739063" y="4106477"/>
                  <a:pt x="6723689" y="4090885"/>
                  <a:pt x="6704722" y="4090885"/>
                </a:cubicBezTo>
                <a:close/>
                <a:moveTo>
                  <a:pt x="6788464" y="4090885"/>
                </a:moveTo>
                <a:cubicBezTo>
                  <a:pt x="6769497" y="4090885"/>
                  <a:pt x="6754110" y="4106477"/>
                  <a:pt x="6754110" y="4125706"/>
                </a:cubicBezTo>
                <a:cubicBezTo>
                  <a:pt x="6754110" y="4144934"/>
                  <a:pt x="6769497" y="4160526"/>
                  <a:pt x="6788464" y="4160526"/>
                </a:cubicBezTo>
                <a:cubicBezTo>
                  <a:pt x="6807431" y="4160526"/>
                  <a:pt x="6822804" y="4144934"/>
                  <a:pt x="6822804" y="4125706"/>
                </a:cubicBezTo>
                <a:cubicBezTo>
                  <a:pt x="6822804" y="4106477"/>
                  <a:pt x="6807431" y="4090885"/>
                  <a:pt x="6788464" y="4090885"/>
                </a:cubicBezTo>
                <a:close/>
                <a:moveTo>
                  <a:pt x="6872206" y="4090885"/>
                </a:moveTo>
                <a:cubicBezTo>
                  <a:pt x="6853239" y="4090885"/>
                  <a:pt x="6837853" y="4106477"/>
                  <a:pt x="6837853" y="4125706"/>
                </a:cubicBezTo>
                <a:cubicBezTo>
                  <a:pt x="6837853" y="4144934"/>
                  <a:pt x="6853239" y="4160526"/>
                  <a:pt x="6872206" y="4160526"/>
                </a:cubicBezTo>
                <a:cubicBezTo>
                  <a:pt x="6891173" y="4160526"/>
                  <a:pt x="6906546" y="4144934"/>
                  <a:pt x="6906546" y="4125706"/>
                </a:cubicBezTo>
                <a:cubicBezTo>
                  <a:pt x="6906546" y="4106477"/>
                  <a:pt x="6891173" y="4090885"/>
                  <a:pt x="6872206" y="4090885"/>
                </a:cubicBezTo>
                <a:close/>
                <a:moveTo>
                  <a:pt x="6955947" y="4090885"/>
                </a:moveTo>
                <a:cubicBezTo>
                  <a:pt x="6936980" y="4090885"/>
                  <a:pt x="6921594" y="4106477"/>
                  <a:pt x="6921594" y="4125706"/>
                </a:cubicBezTo>
                <a:cubicBezTo>
                  <a:pt x="6921594" y="4144934"/>
                  <a:pt x="6936980" y="4160526"/>
                  <a:pt x="6955947" y="4160526"/>
                </a:cubicBezTo>
                <a:cubicBezTo>
                  <a:pt x="6974914" y="4160526"/>
                  <a:pt x="6990287" y="4144934"/>
                  <a:pt x="6990287" y="4125706"/>
                </a:cubicBezTo>
                <a:cubicBezTo>
                  <a:pt x="6990287" y="4106477"/>
                  <a:pt x="6974914" y="4090885"/>
                  <a:pt x="6955947" y="4090885"/>
                </a:cubicBezTo>
                <a:close/>
                <a:moveTo>
                  <a:pt x="7039688" y="4090885"/>
                </a:moveTo>
                <a:cubicBezTo>
                  <a:pt x="7020721" y="4090885"/>
                  <a:pt x="7005335" y="4106477"/>
                  <a:pt x="7005335" y="4125706"/>
                </a:cubicBezTo>
                <a:cubicBezTo>
                  <a:pt x="7005335" y="4144934"/>
                  <a:pt x="7020721" y="4160526"/>
                  <a:pt x="7039688" y="4160526"/>
                </a:cubicBezTo>
                <a:cubicBezTo>
                  <a:pt x="7058655" y="4160526"/>
                  <a:pt x="7074029" y="4144934"/>
                  <a:pt x="7074029" y="4125706"/>
                </a:cubicBezTo>
                <a:cubicBezTo>
                  <a:pt x="7074029" y="4106477"/>
                  <a:pt x="7058655" y="4090885"/>
                  <a:pt x="7039688" y="4090885"/>
                </a:cubicBezTo>
                <a:close/>
                <a:moveTo>
                  <a:pt x="7123456" y="4090885"/>
                </a:moveTo>
                <a:cubicBezTo>
                  <a:pt x="7104489" y="4090885"/>
                  <a:pt x="7089103" y="4106477"/>
                  <a:pt x="7089103" y="4125706"/>
                </a:cubicBezTo>
                <a:cubicBezTo>
                  <a:pt x="7089103" y="4144934"/>
                  <a:pt x="7104489" y="4160526"/>
                  <a:pt x="7123456" y="4160526"/>
                </a:cubicBezTo>
                <a:cubicBezTo>
                  <a:pt x="7142423" y="4160526"/>
                  <a:pt x="7157796" y="4144934"/>
                  <a:pt x="7157796" y="4125706"/>
                </a:cubicBezTo>
                <a:cubicBezTo>
                  <a:pt x="7157796" y="4106477"/>
                  <a:pt x="7142423" y="4090885"/>
                  <a:pt x="7123456" y="4090885"/>
                </a:cubicBezTo>
                <a:close/>
                <a:moveTo>
                  <a:pt x="7207198" y="4090885"/>
                </a:moveTo>
                <a:cubicBezTo>
                  <a:pt x="7188231" y="4090885"/>
                  <a:pt x="7172845" y="4106477"/>
                  <a:pt x="7172845" y="4125706"/>
                </a:cubicBezTo>
                <a:cubicBezTo>
                  <a:pt x="7172845" y="4144934"/>
                  <a:pt x="7188231" y="4160526"/>
                  <a:pt x="7207198" y="4160526"/>
                </a:cubicBezTo>
                <a:cubicBezTo>
                  <a:pt x="7226165" y="4160526"/>
                  <a:pt x="7241538" y="4144934"/>
                  <a:pt x="7241538" y="4125706"/>
                </a:cubicBezTo>
                <a:cubicBezTo>
                  <a:pt x="7241538" y="4106477"/>
                  <a:pt x="7226165" y="4090885"/>
                  <a:pt x="7207198" y="4090885"/>
                </a:cubicBezTo>
                <a:close/>
                <a:moveTo>
                  <a:pt x="7290939" y="4090885"/>
                </a:moveTo>
                <a:cubicBezTo>
                  <a:pt x="7271972" y="4090885"/>
                  <a:pt x="7256586" y="4106477"/>
                  <a:pt x="7256586" y="4125706"/>
                </a:cubicBezTo>
                <a:cubicBezTo>
                  <a:pt x="7256586" y="4144934"/>
                  <a:pt x="7271972" y="4160526"/>
                  <a:pt x="7290939" y="4160526"/>
                </a:cubicBezTo>
                <a:cubicBezTo>
                  <a:pt x="7309906" y="4160526"/>
                  <a:pt x="7325279" y="4144934"/>
                  <a:pt x="7325279" y="4125706"/>
                </a:cubicBezTo>
                <a:cubicBezTo>
                  <a:pt x="7325279" y="4106477"/>
                  <a:pt x="7309906" y="4090885"/>
                  <a:pt x="7290939" y="4090885"/>
                </a:cubicBezTo>
                <a:close/>
                <a:moveTo>
                  <a:pt x="9049513" y="4090885"/>
                </a:moveTo>
                <a:cubicBezTo>
                  <a:pt x="9030546" y="4090885"/>
                  <a:pt x="9015160" y="4106477"/>
                  <a:pt x="9015160" y="4125706"/>
                </a:cubicBezTo>
                <a:cubicBezTo>
                  <a:pt x="9015160" y="4144934"/>
                  <a:pt x="9030546" y="4160526"/>
                  <a:pt x="9049513" y="4160526"/>
                </a:cubicBezTo>
                <a:cubicBezTo>
                  <a:pt x="9068480" y="4160526"/>
                  <a:pt x="9083854" y="4144934"/>
                  <a:pt x="9083854" y="4125706"/>
                </a:cubicBezTo>
                <a:cubicBezTo>
                  <a:pt x="9083854" y="4106477"/>
                  <a:pt x="9068480" y="4090885"/>
                  <a:pt x="9049513" y="4090885"/>
                </a:cubicBezTo>
                <a:close/>
                <a:moveTo>
                  <a:pt x="9551963" y="4090885"/>
                </a:moveTo>
                <a:cubicBezTo>
                  <a:pt x="9532996" y="4090885"/>
                  <a:pt x="9517610" y="4106477"/>
                  <a:pt x="9517610" y="4125706"/>
                </a:cubicBezTo>
                <a:cubicBezTo>
                  <a:pt x="9517610" y="4144934"/>
                  <a:pt x="9532996" y="4160526"/>
                  <a:pt x="9551963" y="4160526"/>
                </a:cubicBezTo>
                <a:cubicBezTo>
                  <a:pt x="9570930" y="4160526"/>
                  <a:pt x="9586303" y="4144934"/>
                  <a:pt x="9586303" y="4125706"/>
                </a:cubicBezTo>
                <a:cubicBezTo>
                  <a:pt x="9586303" y="4106477"/>
                  <a:pt x="9570930" y="4090885"/>
                  <a:pt x="9551963" y="4090885"/>
                </a:cubicBezTo>
                <a:close/>
                <a:moveTo>
                  <a:pt x="3522533" y="4175749"/>
                </a:moveTo>
                <a:cubicBezTo>
                  <a:pt x="3503566" y="4175749"/>
                  <a:pt x="3488187" y="4191341"/>
                  <a:pt x="3488187" y="4210569"/>
                </a:cubicBezTo>
                <a:cubicBezTo>
                  <a:pt x="3488187" y="4229798"/>
                  <a:pt x="3503566" y="4245390"/>
                  <a:pt x="3522533" y="4245390"/>
                </a:cubicBezTo>
                <a:cubicBezTo>
                  <a:pt x="3541500" y="4245390"/>
                  <a:pt x="3556880" y="4229798"/>
                  <a:pt x="3556880" y="4210569"/>
                </a:cubicBezTo>
                <a:cubicBezTo>
                  <a:pt x="3556880" y="4191341"/>
                  <a:pt x="3541500" y="4175749"/>
                  <a:pt x="3522533" y="4175749"/>
                </a:cubicBezTo>
                <a:close/>
                <a:moveTo>
                  <a:pt x="3606276" y="4175749"/>
                </a:moveTo>
                <a:cubicBezTo>
                  <a:pt x="3587309" y="4175749"/>
                  <a:pt x="3571929" y="4191341"/>
                  <a:pt x="3571929" y="4210569"/>
                </a:cubicBezTo>
                <a:cubicBezTo>
                  <a:pt x="3571929" y="4229798"/>
                  <a:pt x="3587309" y="4245390"/>
                  <a:pt x="3606276" y="4245390"/>
                </a:cubicBezTo>
                <a:cubicBezTo>
                  <a:pt x="3625243" y="4245390"/>
                  <a:pt x="3640622" y="4229798"/>
                  <a:pt x="3640622" y="4210569"/>
                </a:cubicBezTo>
                <a:cubicBezTo>
                  <a:pt x="3640622" y="4191341"/>
                  <a:pt x="3625243" y="4175749"/>
                  <a:pt x="3606276" y="4175749"/>
                </a:cubicBezTo>
                <a:close/>
                <a:moveTo>
                  <a:pt x="3690017" y="4175749"/>
                </a:moveTo>
                <a:cubicBezTo>
                  <a:pt x="3671050" y="4175749"/>
                  <a:pt x="3655670" y="4191341"/>
                  <a:pt x="3655670" y="4210569"/>
                </a:cubicBezTo>
                <a:cubicBezTo>
                  <a:pt x="3655670" y="4229798"/>
                  <a:pt x="3671050" y="4245390"/>
                  <a:pt x="3690017" y="4245390"/>
                </a:cubicBezTo>
                <a:cubicBezTo>
                  <a:pt x="3708984" y="4245390"/>
                  <a:pt x="3724364" y="4229798"/>
                  <a:pt x="3724364" y="4210569"/>
                </a:cubicBezTo>
                <a:cubicBezTo>
                  <a:pt x="3724364" y="4191341"/>
                  <a:pt x="3708984" y="4175749"/>
                  <a:pt x="3690017" y="4175749"/>
                </a:cubicBezTo>
                <a:close/>
                <a:moveTo>
                  <a:pt x="3773759" y="4175749"/>
                </a:moveTo>
                <a:cubicBezTo>
                  <a:pt x="3754792" y="4175749"/>
                  <a:pt x="3739412" y="4191341"/>
                  <a:pt x="3739412" y="4210569"/>
                </a:cubicBezTo>
                <a:cubicBezTo>
                  <a:pt x="3739412" y="4229798"/>
                  <a:pt x="3754792" y="4245390"/>
                  <a:pt x="3773759" y="4245390"/>
                </a:cubicBezTo>
                <a:cubicBezTo>
                  <a:pt x="3792726" y="4245390"/>
                  <a:pt x="3808106" y="4229798"/>
                  <a:pt x="3808106" y="4210569"/>
                </a:cubicBezTo>
                <a:cubicBezTo>
                  <a:pt x="3808106" y="4191341"/>
                  <a:pt x="3792726" y="4175749"/>
                  <a:pt x="3773759" y="4175749"/>
                </a:cubicBezTo>
                <a:close/>
                <a:moveTo>
                  <a:pt x="3857500" y="4175749"/>
                </a:moveTo>
                <a:cubicBezTo>
                  <a:pt x="3838533" y="4175749"/>
                  <a:pt x="3823154" y="4191341"/>
                  <a:pt x="3823154" y="4210569"/>
                </a:cubicBezTo>
                <a:cubicBezTo>
                  <a:pt x="3823154" y="4229798"/>
                  <a:pt x="3838533" y="4245390"/>
                  <a:pt x="3857500" y="4245390"/>
                </a:cubicBezTo>
                <a:cubicBezTo>
                  <a:pt x="3876467" y="4245390"/>
                  <a:pt x="3891847" y="4229798"/>
                  <a:pt x="3891847" y="4210569"/>
                </a:cubicBezTo>
                <a:cubicBezTo>
                  <a:pt x="3891847" y="4191341"/>
                  <a:pt x="3876467" y="4175749"/>
                  <a:pt x="3857500" y="4175749"/>
                </a:cubicBezTo>
                <a:close/>
                <a:moveTo>
                  <a:pt x="3941242" y="4175749"/>
                </a:moveTo>
                <a:cubicBezTo>
                  <a:pt x="3922275" y="4175749"/>
                  <a:pt x="3906895" y="4191341"/>
                  <a:pt x="3906895" y="4210569"/>
                </a:cubicBezTo>
                <a:cubicBezTo>
                  <a:pt x="3906895" y="4229798"/>
                  <a:pt x="3922275" y="4245390"/>
                  <a:pt x="3941242" y="4245390"/>
                </a:cubicBezTo>
                <a:cubicBezTo>
                  <a:pt x="3960209" y="4245390"/>
                  <a:pt x="3975588" y="4229798"/>
                  <a:pt x="3975588" y="4210569"/>
                </a:cubicBezTo>
                <a:cubicBezTo>
                  <a:pt x="3975588" y="4191341"/>
                  <a:pt x="3960209" y="4175749"/>
                  <a:pt x="3941242" y="4175749"/>
                </a:cubicBezTo>
                <a:close/>
                <a:moveTo>
                  <a:pt x="4024990" y="4175749"/>
                </a:moveTo>
                <a:cubicBezTo>
                  <a:pt x="4006023" y="4175749"/>
                  <a:pt x="3990643" y="4191341"/>
                  <a:pt x="3990643" y="4210569"/>
                </a:cubicBezTo>
                <a:cubicBezTo>
                  <a:pt x="3990643" y="4229798"/>
                  <a:pt x="4006023" y="4245390"/>
                  <a:pt x="4024990" y="4245390"/>
                </a:cubicBezTo>
                <a:cubicBezTo>
                  <a:pt x="4043957" y="4245390"/>
                  <a:pt x="4059337" y="4229798"/>
                  <a:pt x="4059337" y="4210569"/>
                </a:cubicBezTo>
                <a:cubicBezTo>
                  <a:pt x="4059337" y="4191341"/>
                  <a:pt x="4043957" y="4175749"/>
                  <a:pt x="4024990" y="4175749"/>
                </a:cubicBezTo>
                <a:close/>
                <a:moveTo>
                  <a:pt x="4108732" y="4175749"/>
                </a:moveTo>
                <a:cubicBezTo>
                  <a:pt x="4089765" y="4175749"/>
                  <a:pt x="4074386" y="4191341"/>
                  <a:pt x="4074386" y="4210569"/>
                </a:cubicBezTo>
                <a:cubicBezTo>
                  <a:pt x="4074386" y="4229798"/>
                  <a:pt x="4089765" y="4245390"/>
                  <a:pt x="4108732" y="4245390"/>
                </a:cubicBezTo>
                <a:cubicBezTo>
                  <a:pt x="4127699" y="4245390"/>
                  <a:pt x="4143079" y="4229798"/>
                  <a:pt x="4143079" y="4210569"/>
                </a:cubicBezTo>
                <a:cubicBezTo>
                  <a:pt x="4143079" y="4191341"/>
                  <a:pt x="4127699" y="4175749"/>
                  <a:pt x="4108732" y="4175749"/>
                </a:cubicBezTo>
                <a:close/>
                <a:moveTo>
                  <a:pt x="4192473" y="4175749"/>
                </a:moveTo>
                <a:cubicBezTo>
                  <a:pt x="4173506" y="4175749"/>
                  <a:pt x="4158127" y="4191341"/>
                  <a:pt x="4158127" y="4210569"/>
                </a:cubicBezTo>
                <a:cubicBezTo>
                  <a:pt x="4158127" y="4229798"/>
                  <a:pt x="4173506" y="4245390"/>
                  <a:pt x="4192473" y="4245390"/>
                </a:cubicBezTo>
                <a:cubicBezTo>
                  <a:pt x="4211440" y="4245390"/>
                  <a:pt x="4226820" y="4229798"/>
                  <a:pt x="4226820" y="4210569"/>
                </a:cubicBezTo>
                <a:cubicBezTo>
                  <a:pt x="4226820" y="4191341"/>
                  <a:pt x="4211440" y="4175749"/>
                  <a:pt x="4192473" y="4175749"/>
                </a:cubicBezTo>
                <a:close/>
                <a:moveTo>
                  <a:pt x="4276215" y="4175749"/>
                </a:moveTo>
                <a:cubicBezTo>
                  <a:pt x="4257248" y="4175749"/>
                  <a:pt x="4241868" y="4191341"/>
                  <a:pt x="4241868" y="4210569"/>
                </a:cubicBezTo>
                <a:cubicBezTo>
                  <a:pt x="4241868" y="4229798"/>
                  <a:pt x="4257248" y="4245390"/>
                  <a:pt x="4276215" y="4245390"/>
                </a:cubicBezTo>
                <a:cubicBezTo>
                  <a:pt x="4295182" y="4245390"/>
                  <a:pt x="4310561" y="4229798"/>
                  <a:pt x="4310561" y="4210569"/>
                </a:cubicBezTo>
                <a:cubicBezTo>
                  <a:pt x="4310561" y="4191341"/>
                  <a:pt x="4295182" y="4175749"/>
                  <a:pt x="4276215" y="4175749"/>
                </a:cubicBezTo>
                <a:close/>
                <a:moveTo>
                  <a:pt x="6202273" y="4175749"/>
                </a:moveTo>
                <a:cubicBezTo>
                  <a:pt x="6183306" y="4175749"/>
                  <a:pt x="6167920" y="4191341"/>
                  <a:pt x="6167920" y="4210569"/>
                </a:cubicBezTo>
                <a:cubicBezTo>
                  <a:pt x="6167920" y="4229798"/>
                  <a:pt x="6183306" y="4245390"/>
                  <a:pt x="6202273" y="4245390"/>
                </a:cubicBezTo>
                <a:cubicBezTo>
                  <a:pt x="6221240" y="4245390"/>
                  <a:pt x="6236613" y="4229798"/>
                  <a:pt x="6236613" y="4210569"/>
                </a:cubicBezTo>
                <a:cubicBezTo>
                  <a:pt x="6236613" y="4191341"/>
                  <a:pt x="6221240" y="4175749"/>
                  <a:pt x="6202273" y="4175749"/>
                </a:cubicBezTo>
                <a:close/>
                <a:moveTo>
                  <a:pt x="6286014" y="4175749"/>
                </a:moveTo>
                <a:cubicBezTo>
                  <a:pt x="6267047" y="4175749"/>
                  <a:pt x="6251661" y="4191341"/>
                  <a:pt x="6251661" y="4210569"/>
                </a:cubicBezTo>
                <a:cubicBezTo>
                  <a:pt x="6251661" y="4229798"/>
                  <a:pt x="6267047" y="4245390"/>
                  <a:pt x="6286014" y="4245390"/>
                </a:cubicBezTo>
                <a:cubicBezTo>
                  <a:pt x="6304981" y="4245390"/>
                  <a:pt x="6320354" y="4229798"/>
                  <a:pt x="6320354" y="4210569"/>
                </a:cubicBezTo>
                <a:cubicBezTo>
                  <a:pt x="6320354" y="4191341"/>
                  <a:pt x="6304981" y="4175749"/>
                  <a:pt x="6286014" y="4175749"/>
                </a:cubicBezTo>
                <a:close/>
                <a:moveTo>
                  <a:pt x="6369755" y="4175749"/>
                </a:moveTo>
                <a:cubicBezTo>
                  <a:pt x="6350788" y="4175749"/>
                  <a:pt x="6335402" y="4191341"/>
                  <a:pt x="6335402" y="4210569"/>
                </a:cubicBezTo>
                <a:cubicBezTo>
                  <a:pt x="6335402" y="4229798"/>
                  <a:pt x="6350788" y="4245390"/>
                  <a:pt x="6369755" y="4245390"/>
                </a:cubicBezTo>
                <a:cubicBezTo>
                  <a:pt x="6388722" y="4245390"/>
                  <a:pt x="6404096" y="4229798"/>
                  <a:pt x="6404096" y="4210569"/>
                </a:cubicBezTo>
                <a:cubicBezTo>
                  <a:pt x="6404096" y="4191341"/>
                  <a:pt x="6388722" y="4175749"/>
                  <a:pt x="6369755" y="4175749"/>
                </a:cubicBezTo>
                <a:close/>
                <a:moveTo>
                  <a:pt x="6453498" y="4175749"/>
                </a:moveTo>
                <a:cubicBezTo>
                  <a:pt x="6434531" y="4175749"/>
                  <a:pt x="6419144" y="4191341"/>
                  <a:pt x="6419144" y="4210569"/>
                </a:cubicBezTo>
                <a:cubicBezTo>
                  <a:pt x="6419144" y="4229798"/>
                  <a:pt x="6434531" y="4245390"/>
                  <a:pt x="6453498" y="4245390"/>
                </a:cubicBezTo>
                <a:cubicBezTo>
                  <a:pt x="6472465" y="4245390"/>
                  <a:pt x="6487838" y="4229798"/>
                  <a:pt x="6487838" y="4210569"/>
                </a:cubicBezTo>
                <a:cubicBezTo>
                  <a:pt x="6487838" y="4191341"/>
                  <a:pt x="6472465" y="4175749"/>
                  <a:pt x="6453498" y="4175749"/>
                </a:cubicBezTo>
                <a:close/>
                <a:moveTo>
                  <a:pt x="6537239" y="4175749"/>
                </a:moveTo>
                <a:cubicBezTo>
                  <a:pt x="6518272" y="4175749"/>
                  <a:pt x="6502886" y="4191341"/>
                  <a:pt x="6502886" y="4210569"/>
                </a:cubicBezTo>
                <a:cubicBezTo>
                  <a:pt x="6502886" y="4229798"/>
                  <a:pt x="6518272" y="4245390"/>
                  <a:pt x="6537239" y="4245390"/>
                </a:cubicBezTo>
                <a:cubicBezTo>
                  <a:pt x="6556206" y="4245390"/>
                  <a:pt x="6571579" y="4229798"/>
                  <a:pt x="6571579" y="4210569"/>
                </a:cubicBezTo>
                <a:cubicBezTo>
                  <a:pt x="6571579" y="4191341"/>
                  <a:pt x="6556206" y="4175749"/>
                  <a:pt x="6537239" y="4175749"/>
                </a:cubicBezTo>
                <a:close/>
                <a:moveTo>
                  <a:pt x="6620980" y="4175749"/>
                </a:moveTo>
                <a:cubicBezTo>
                  <a:pt x="6602013" y="4175749"/>
                  <a:pt x="6586627" y="4191341"/>
                  <a:pt x="6586627" y="4210569"/>
                </a:cubicBezTo>
                <a:cubicBezTo>
                  <a:pt x="6586627" y="4229798"/>
                  <a:pt x="6602013" y="4245390"/>
                  <a:pt x="6620980" y="4245390"/>
                </a:cubicBezTo>
                <a:cubicBezTo>
                  <a:pt x="6639947" y="4245390"/>
                  <a:pt x="6655320" y="4229798"/>
                  <a:pt x="6655320" y="4210569"/>
                </a:cubicBezTo>
                <a:cubicBezTo>
                  <a:pt x="6655320" y="4191341"/>
                  <a:pt x="6639947" y="4175749"/>
                  <a:pt x="6620980" y="4175749"/>
                </a:cubicBezTo>
                <a:close/>
                <a:moveTo>
                  <a:pt x="6704722" y="4175749"/>
                </a:moveTo>
                <a:cubicBezTo>
                  <a:pt x="6685755" y="4175749"/>
                  <a:pt x="6670369" y="4191341"/>
                  <a:pt x="6670369" y="4210569"/>
                </a:cubicBezTo>
                <a:cubicBezTo>
                  <a:pt x="6670369" y="4229798"/>
                  <a:pt x="6685755" y="4245390"/>
                  <a:pt x="6704722" y="4245390"/>
                </a:cubicBezTo>
                <a:cubicBezTo>
                  <a:pt x="6723689" y="4245390"/>
                  <a:pt x="6739063" y="4229798"/>
                  <a:pt x="6739063" y="4210569"/>
                </a:cubicBezTo>
                <a:cubicBezTo>
                  <a:pt x="6739063" y="4191341"/>
                  <a:pt x="6723689" y="4175749"/>
                  <a:pt x="6704722" y="4175749"/>
                </a:cubicBezTo>
                <a:close/>
                <a:moveTo>
                  <a:pt x="6788464" y="4175749"/>
                </a:moveTo>
                <a:cubicBezTo>
                  <a:pt x="6769497" y="4175749"/>
                  <a:pt x="6754110" y="4191341"/>
                  <a:pt x="6754110" y="4210569"/>
                </a:cubicBezTo>
                <a:cubicBezTo>
                  <a:pt x="6754110" y="4229798"/>
                  <a:pt x="6769497" y="4245390"/>
                  <a:pt x="6788464" y="4245390"/>
                </a:cubicBezTo>
                <a:cubicBezTo>
                  <a:pt x="6807431" y="4245390"/>
                  <a:pt x="6822804" y="4229798"/>
                  <a:pt x="6822804" y="4210569"/>
                </a:cubicBezTo>
                <a:cubicBezTo>
                  <a:pt x="6822804" y="4191341"/>
                  <a:pt x="6807431" y="4175749"/>
                  <a:pt x="6788464" y="4175749"/>
                </a:cubicBezTo>
                <a:close/>
                <a:moveTo>
                  <a:pt x="6872206" y="4175749"/>
                </a:moveTo>
                <a:cubicBezTo>
                  <a:pt x="6853239" y="4175749"/>
                  <a:pt x="6837853" y="4191341"/>
                  <a:pt x="6837853" y="4210569"/>
                </a:cubicBezTo>
                <a:cubicBezTo>
                  <a:pt x="6837853" y="4229798"/>
                  <a:pt x="6853239" y="4245390"/>
                  <a:pt x="6872206" y="4245390"/>
                </a:cubicBezTo>
                <a:cubicBezTo>
                  <a:pt x="6891173" y="4245390"/>
                  <a:pt x="6906546" y="4229798"/>
                  <a:pt x="6906546" y="4210569"/>
                </a:cubicBezTo>
                <a:cubicBezTo>
                  <a:pt x="6906546" y="4191341"/>
                  <a:pt x="6891173" y="4175749"/>
                  <a:pt x="6872206" y="4175749"/>
                </a:cubicBezTo>
                <a:close/>
                <a:moveTo>
                  <a:pt x="6955947" y="4175749"/>
                </a:moveTo>
                <a:cubicBezTo>
                  <a:pt x="6936980" y="4175749"/>
                  <a:pt x="6921594" y="4191341"/>
                  <a:pt x="6921594" y="4210569"/>
                </a:cubicBezTo>
                <a:cubicBezTo>
                  <a:pt x="6921594" y="4229798"/>
                  <a:pt x="6936980" y="4245390"/>
                  <a:pt x="6955947" y="4245390"/>
                </a:cubicBezTo>
                <a:cubicBezTo>
                  <a:pt x="6974914" y="4245390"/>
                  <a:pt x="6990287" y="4229798"/>
                  <a:pt x="6990287" y="4210569"/>
                </a:cubicBezTo>
                <a:cubicBezTo>
                  <a:pt x="6990287" y="4191341"/>
                  <a:pt x="6974914" y="4175749"/>
                  <a:pt x="6955947" y="4175749"/>
                </a:cubicBezTo>
                <a:close/>
                <a:moveTo>
                  <a:pt x="7039688" y="4175749"/>
                </a:moveTo>
                <a:cubicBezTo>
                  <a:pt x="7020721" y="4175749"/>
                  <a:pt x="7005335" y="4191341"/>
                  <a:pt x="7005335" y="4210569"/>
                </a:cubicBezTo>
                <a:cubicBezTo>
                  <a:pt x="7005335" y="4229798"/>
                  <a:pt x="7020721" y="4245390"/>
                  <a:pt x="7039688" y="4245390"/>
                </a:cubicBezTo>
                <a:cubicBezTo>
                  <a:pt x="7058655" y="4245390"/>
                  <a:pt x="7074029" y="4229798"/>
                  <a:pt x="7074029" y="4210569"/>
                </a:cubicBezTo>
                <a:cubicBezTo>
                  <a:pt x="7074029" y="4191341"/>
                  <a:pt x="7058655" y="4175749"/>
                  <a:pt x="7039688" y="4175749"/>
                </a:cubicBezTo>
                <a:close/>
                <a:moveTo>
                  <a:pt x="7123456" y="4175749"/>
                </a:moveTo>
                <a:cubicBezTo>
                  <a:pt x="7104489" y="4175749"/>
                  <a:pt x="7089103" y="4191341"/>
                  <a:pt x="7089103" y="4210569"/>
                </a:cubicBezTo>
                <a:cubicBezTo>
                  <a:pt x="7089103" y="4229798"/>
                  <a:pt x="7104489" y="4245390"/>
                  <a:pt x="7123456" y="4245390"/>
                </a:cubicBezTo>
                <a:cubicBezTo>
                  <a:pt x="7142423" y="4245390"/>
                  <a:pt x="7157796" y="4229798"/>
                  <a:pt x="7157796" y="4210569"/>
                </a:cubicBezTo>
                <a:cubicBezTo>
                  <a:pt x="7157796" y="4191341"/>
                  <a:pt x="7142423" y="4175749"/>
                  <a:pt x="7123456" y="4175749"/>
                </a:cubicBezTo>
                <a:close/>
                <a:moveTo>
                  <a:pt x="7207198" y="4175749"/>
                </a:moveTo>
                <a:cubicBezTo>
                  <a:pt x="7188231" y="4175749"/>
                  <a:pt x="7172845" y="4191341"/>
                  <a:pt x="7172845" y="4210569"/>
                </a:cubicBezTo>
                <a:cubicBezTo>
                  <a:pt x="7172845" y="4229798"/>
                  <a:pt x="7188231" y="4245390"/>
                  <a:pt x="7207198" y="4245390"/>
                </a:cubicBezTo>
                <a:cubicBezTo>
                  <a:pt x="7226165" y="4245390"/>
                  <a:pt x="7241538" y="4229798"/>
                  <a:pt x="7241538" y="4210569"/>
                </a:cubicBezTo>
                <a:cubicBezTo>
                  <a:pt x="7241538" y="4191341"/>
                  <a:pt x="7226165" y="4175749"/>
                  <a:pt x="7207198" y="4175749"/>
                </a:cubicBezTo>
                <a:close/>
                <a:moveTo>
                  <a:pt x="8882030" y="4175749"/>
                </a:moveTo>
                <a:cubicBezTo>
                  <a:pt x="8863063" y="4175749"/>
                  <a:pt x="8847677" y="4191341"/>
                  <a:pt x="8847677" y="4210569"/>
                </a:cubicBezTo>
                <a:cubicBezTo>
                  <a:pt x="8847677" y="4229798"/>
                  <a:pt x="8863063" y="4245390"/>
                  <a:pt x="8882030" y="4245390"/>
                </a:cubicBezTo>
                <a:cubicBezTo>
                  <a:pt x="8900997" y="4245390"/>
                  <a:pt x="8916370" y="4229798"/>
                  <a:pt x="8916370" y="4210569"/>
                </a:cubicBezTo>
                <a:cubicBezTo>
                  <a:pt x="8916370" y="4191341"/>
                  <a:pt x="8900997" y="4175749"/>
                  <a:pt x="8882030" y="4175749"/>
                </a:cubicBezTo>
                <a:close/>
                <a:moveTo>
                  <a:pt x="9049513" y="4175749"/>
                </a:moveTo>
                <a:cubicBezTo>
                  <a:pt x="9030546" y="4175749"/>
                  <a:pt x="9015160" y="4191341"/>
                  <a:pt x="9015160" y="4210569"/>
                </a:cubicBezTo>
                <a:cubicBezTo>
                  <a:pt x="9015160" y="4229798"/>
                  <a:pt x="9030546" y="4245390"/>
                  <a:pt x="9049513" y="4245390"/>
                </a:cubicBezTo>
                <a:cubicBezTo>
                  <a:pt x="9068480" y="4245390"/>
                  <a:pt x="9083854" y="4229798"/>
                  <a:pt x="9083854" y="4210569"/>
                </a:cubicBezTo>
                <a:cubicBezTo>
                  <a:pt x="9083854" y="4191341"/>
                  <a:pt x="9068480" y="4175749"/>
                  <a:pt x="9049513" y="4175749"/>
                </a:cubicBezTo>
                <a:close/>
                <a:moveTo>
                  <a:pt x="9468222" y="4175749"/>
                </a:moveTo>
                <a:cubicBezTo>
                  <a:pt x="9449255" y="4175749"/>
                  <a:pt x="9433869" y="4191341"/>
                  <a:pt x="9433869" y="4210569"/>
                </a:cubicBezTo>
                <a:cubicBezTo>
                  <a:pt x="9433869" y="4229798"/>
                  <a:pt x="9449255" y="4245390"/>
                  <a:pt x="9468222" y="4245390"/>
                </a:cubicBezTo>
                <a:cubicBezTo>
                  <a:pt x="9487189" y="4245390"/>
                  <a:pt x="9502562" y="4229798"/>
                  <a:pt x="9502562" y="4210569"/>
                </a:cubicBezTo>
                <a:cubicBezTo>
                  <a:pt x="9502562" y="4191341"/>
                  <a:pt x="9487189" y="4175749"/>
                  <a:pt x="9468222" y="4175749"/>
                </a:cubicBezTo>
                <a:close/>
                <a:moveTo>
                  <a:pt x="3020084" y="4260614"/>
                </a:moveTo>
                <a:cubicBezTo>
                  <a:pt x="3001117" y="4260614"/>
                  <a:pt x="2985737" y="4276205"/>
                  <a:pt x="2985737" y="4295434"/>
                </a:cubicBezTo>
                <a:cubicBezTo>
                  <a:pt x="2985737" y="4314663"/>
                  <a:pt x="3001117" y="4330254"/>
                  <a:pt x="3020084" y="4330254"/>
                </a:cubicBezTo>
                <a:cubicBezTo>
                  <a:pt x="3039051" y="4330254"/>
                  <a:pt x="3054431" y="4314663"/>
                  <a:pt x="3054431" y="4295434"/>
                </a:cubicBezTo>
                <a:cubicBezTo>
                  <a:pt x="3054431" y="4276205"/>
                  <a:pt x="3039051" y="4260614"/>
                  <a:pt x="3020084" y="4260614"/>
                </a:cubicBezTo>
                <a:close/>
                <a:moveTo>
                  <a:pt x="3438792" y="4260614"/>
                </a:moveTo>
                <a:cubicBezTo>
                  <a:pt x="3419825" y="4260614"/>
                  <a:pt x="3404445" y="4276205"/>
                  <a:pt x="3404445" y="4295434"/>
                </a:cubicBezTo>
                <a:cubicBezTo>
                  <a:pt x="3404445" y="4314663"/>
                  <a:pt x="3419825" y="4330254"/>
                  <a:pt x="3438792" y="4330254"/>
                </a:cubicBezTo>
                <a:cubicBezTo>
                  <a:pt x="3457759" y="4330254"/>
                  <a:pt x="3473139" y="4314663"/>
                  <a:pt x="3473139" y="4295434"/>
                </a:cubicBezTo>
                <a:cubicBezTo>
                  <a:pt x="3473139" y="4276205"/>
                  <a:pt x="3457759" y="4260614"/>
                  <a:pt x="3438792" y="4260614"/>
                </a:cubicBezTo>
                <a:close/>
                <a:moveTo>
                  <a:pt x="3522533" y="4260614"/>
                </a:moveTo>
                <a:cubicBezTo>
                  <a:pt x="3503566" y="4260614"/>
                  <a:pt x="3488187" y="4276205"/>
                  <a:pt x="3488187" y="4295434"/>
                </a:cubicBezTo>
                <a:cubicBezTo>
                  <a:pt x="3488187" y="4314663"/>
                  <a:pt x="3503566" y="4330254"/>
                  <a:pt x="3522533" y="4330254"/>
                </a:cubicBezTo>
                <a:cubicBezTo>
                  <a:pt x="3541500" y="4330254"/>
                  <a:pt x="3556880" y="4314663"/>
                  <a:pt x="3556880" y="4295434"/>
                </a:cubicBezTo>
                <a:cubicBezTo>
                  <a:pt x="3556880" y="4276205"/>
                  <a:pt x="3541500" y="4260614"/>
                  <a:pt x="3522533" y="4260614"/>
                </a:cubicBezTo>
                <a:close/>
                <a:moveTo>
                  <a:pt x="3606276" y="4260614"/>
                </a:moveTo>
                <a:cubicBezTo>
                  <a:pt x="3587309" y="4260614"/>
                  <a:pt x="3571929" y="4276205"/>
                  <a:pt x="3571929" y="4295434"/>
                </a:cubicBezTo>
                <a:cubicBezTo>
                  <a:pt x="3571929" y="4314663"/>
                  <a:pt x="3587309" y="4330254"/>
                  <a:pt x="3606276" y="4330254"/>
                </a:cubicBezTo>
                <a:cubicBezTo>
                  <a:pt x="3625243" y="4330254"/>
                  <a:pt x="3640622" y="4314663"/>
                  <a:pt x="3640622" y="4295434"/>
                </a:cubicBezTo>
                <a:cubicBezTo>
                  <a:pt x="3640622" y="4276205"/>
                  <a:pt x="3625243" y="4260614"/>
                  <a:pt x="3606276" y="4260614"/>
                </a:cubicBezTo>
                <a:close/>
                <a:moveTo>
                  <a:pt x="3690017" y="4260614"/>
                </a:moveTo>
                <a:cubicBezTo>
                  <a:pt x="3671050" y="4260614"/>
                  <a:pt x="3655670" y="4276205"/>
                  <a:pt x="3655670" y="4295434"/>
                </a:cubicBezTo>
                <a:cubicBezTo>
                  <a:pt x="3655670" y="4314663"/>
                  <a:pt x="3671050" y="4330254"/>
                  <a:pt x="3690017" y="4330254"/>
                </a:cubicBezTo>
                <a:cubicBezTo>
                  <a:pt x="3708984" y="4330254"/>
                  <a:pt x="3724364" y="4314663"/>
                  <a:pt x="3724364" y="4295434"/>
                </a:cubicBezTo>
                <a:cubicBezTo>
                  <a:pt x="3724364" y="4276205"/>
                  <a:pt x="3708984" y="4260614"/>
                  <a:pt x="3690017" y="4260614"/>
                </a:cubicBezTo>
                <a:close/>
                <a:moveTo>
                  <a:pt x="3773759" y="4260614"/>
                </a:moveTo>
                <a:cubicBezTo>
                  <a:pt x="3754792" y="4260614"/>
                  <a:pt x="3739412" y="4276205"/>
                  <a:pt x="3739412" y="4295434"/>
                </a:cubicBezTo>
                <a:cubicBezTo>
                  <a:pt x="3739412" y="4314663"/>
                  <a:pt x="3754792" y="4330254"/>
                  <a:pt x="3773759" y="4330254"/>
                </a:cubicBezTo>
                <a:cubicBezTo>
                  <a:pt x="3792726" y="4330254"/>
                  <a:pt x="3808106" y="4314663"/>
                  <a:pt x="3808106" y="4295434"/>
                </a:cubicBezTo>
                <a:cubicBezTo>
                  <a:pt x="3808106" y="4276205"/>
                  <a:pt x="3792726" y="4260614"/>
                  <a:pt x="3773759" y="4260614"/>
                </a:cubicBezTo>
                <a:close/>
                <a:moveTo>
                  <a:pt x="3857500" y="4260614"/>
                </a:moveTo>
                <a:cubicBezTo>
                  <a:pt x="3838533" y="4260614"/>
                  <a:pt x="3823154" y="4276205"/>
                  <a:pt x="3823154" y="4295434"/>
                </a:cubicBezTo>
                <a:cubicBezTo>
                  <a:pt x="3823154" y="4314663"/>
                  <a:pt x="3838533" y="4330254"/>
                  <a:pt x="3857500" y="4330254"/>
                </a:cubicBezTo>
                <a:cubicBezTo>
                  <a:pt x="3876467" y="4330254"/>
                  <a:pt x="3891847" y="4314663"/>
                  <a:pt x="3891847" y="4295434"/>
                </a:cubicBezTo>
                <a:cubicBezTo>
                  <a:pt x="3891847" y="4276205"/>
                  <a:pt x="3876467" y="4260614"/>
                  <a:pt x="3857500" y="4260614"/>
                </a:cubicBezTo>
                <a:close/>
                <a:moveTo>
                  <a:pt x="3941242" y="4260614"/>
                </a:moveTo>
                <a:cubicBezTo>
                  <a:pt x="3922275" y="4260614"/>
                  <a:pt x="3906895" y="4276205"/>
                  <a:pt x="3906895" y="4295434"/>
                </a:cubicBezTo>
                <a:cubicBezTo>
                  <a:pt x="3906895" y="4314663"/>
                  <a:pt x="3922275" y="4330254"/>
                  <a:pt x="3941242" y="4330254"/>
                </a:cubicBezTo>
                <a:cubicBezTo>
                  <a:pt x="3960209" y="4330254"/>
                  <a:pt x="3975588" y="4314663"/>
                  <a:pt x="3975588" y="4295434"/>
                </a:cubicBezTo>
                <a:cubicBezTo>
                  <a:pt x="3975588" y="4276205"/>
                  <a:pt x="3960209" y="4260614"/>
                  <a:pt x="3941242" y="4260614"/>
                </a:cubicBezTo>
                <a:close/>
                <a:moveTo>
                  <a:pt x="4024990" y="4260614"/>
                </a:moveTo>
                <a:cubicBezTo>
                  <a:pt x="4006023" y="4260614"/>
                  <a:pt x="3990643" y="4276205"/>
                  <a:pt x="3990643" y="4295434"/>
                </a:cubicBezTo>
                <a:cubicBezTo>
                  <a:pt x="3990643" y="4314663"/>
                  <a:pt x="4006023" y="4330254"/>
                  <a:pt x="4024990" y="4330254"/>
                </a:cubicBezTo>
                <a:cubicBezTo>
                  <a:pt x="4043957" y="4330254"/>
                  <a:pt x="4059337" y="4314663"/>
                  <a:pt x="4059337" y="4295434"/>
                </a:cubicBezTo>
                <a:cubicBezTo>
                  <a:pt x="4059337" y="4276205"/>
                  <a:pt x="4043957" y="4260614"/>
                  <a:pt x="4024990" y="4260614"/>
                </a:cubicBezTo>
                <a:close/>
                <a:moveTo>
                  <a:pt x="4108732" y="4260614"/>
                </a:moveTo>
                <a:cubicBezTo>
                  <a:pt x="4089765" y="4260614"/>
                  <a:pt x="4074386" y="4276205"/>
                  <a:pt x="4074386" y="4295434"/>
                </a:cubicBezTo>
                <a:cubicBezTo>
                  <a:pt x="4074386" y="4314663"/>
                  <a:pt x="4089765" y="4330254"/>
                  <a:pt x="4108732" y="4330254"/>
                </a:cubicBezTo>
                <a:cubicBezTo>
                  <a:pt x="4127699" y="4330254"/>
                  <a:pt x="4143079" y="4314663"/>
                  <a:pt x="4143079" y="4295434"/>
                </a:cubicBezTo>
                <a:cubicBezTo>
                  <a:pt x="4143079" y="4276205"/>
                  <a:pt x="4127699" y="4260614"/>
                  <a:pt x="4108732" y="4260614"/>
                </a:cubicBezTo>
                <a:close/>
                <a:moveTo>
                  <a:pt x="4192473" y="4260614"/>
                </a:moveTo>
                <a:cubicBezTo>
                  <a:pt x="4173506" y="4260614"/>
                  <a:pt x="4158127" y="4276205"/>
                  <a:pt x="4158127" y="4295434"/>
                </a:cubicBezTo>
                <a:cubicBezTo>
                  <a:pt x="4158127" y="4314663"/>
                  <a:pt x="4173506" y="4330254"/>
                  <a:pt x="4192473" y="4330254"/>
                </a:cubicBezTo>
                <a:cubicBezTo>
                  <a:pt x="4211440" y="4330254"/>
                  <a:pt x="4226820" y="4314663"/>
                  <a:pt x="4226820" y="4295434"/>
                </a:cubicBezTo>
                <a:cubicBezTo>
                  <a:pt x="4226820" y="4276205"/>
                  <a:pt x="4211440" y="4260614"/>
                  <a:pt x="4192473" y="4260614"/>
                </a:cubicBezTo>
                <a:close/>
                <a:moveTo>
                  <a:pt x="4276215" y="4260614"/>
                </a:moveTo>
                <a:cubicBezTo>
                  <a:pt x="4257248" y="4260614"/>
                  <a:pt x="4241868" y="4276205"/>
                  <a:pt x="4241868" y="4295434"/>
                </a:cubicBezTo>
                <a:cubicBezTo>
                  <a:pt x="4241868" y="4314663"/>
                  <a:pt x="4257248" y="4330254"/>
                  <a:pt x="4276215" y="4330254"/>
                </a:cubicBezTo>
                <a:cubicBezTo>
                  <a:pt x="4295182" y="4330254"/>
                  <a:pt x="4310561" y="4314663"/>
                  <a:pt x="4310561" y="4295434"/>
                </a:cubicBezTo>
                <a:cubicBezTo>
                  <a:pt x="4310561" y="4276205"/>
                  <a:pt x="4295182" y="4260614"/>
                  <a:pt x="4276215" y="4260614"/>
                </a:cubicBezTo>
                <a:close/>
                <a:moveTo>
                  <a:pt x="6202273" y="4260614"/>
                </a:moveTo>
                <a:cubicBezTo>
                  <a:pt x="6183306" y="4260614"/>
                  <a:pt x="6167920" y="4276205"/>
                  <a:pt x="6167920" y="4295434"/>
                </a:cubicBezTo>
                <a:cubicBezTo>
                  <a:pt x="6167920" y="4314663"/>
                  <a:pt x="6183306" y="4330254"/>
                  <a:pt x="6202273" y="4330254"/>
                </a:cubicBezTo>
                <a:cubicBezTo>
                  <a:pt x="6221240" y="4330254"/>
                  <a:pt x="6236613" y="4314663"/>
                  <a:pt x="6236613" y="4295434"/>
                </a:cubicBezTo>
                <a:cubicBezTo>
                  <a:pt x="6236613" y="4276205"/>
                  <a:pt x="6221240" y="4260614"/>
                  <a:pt x="6202273" y="4260614"/>
                </a:cubicBezTo>
                <a:close/>
                <a:moveTo>
                  <a:pt x="6286014" y="4260614"/>
                </a:moveTo>
                <a:cubicBezTo>
                  <a:pt x="6267047" y="4260614"/>
                  <a:pt x="6251661" y="4276205"/>
                  <a:pt x="6251661" y="4295434"/>
                </a:cubicBezTo>
                <a:cubicBezTo>
                  <a:pt x="6251661" y="4314663"/>
                  <a:pt x="6267047" y="4330254"/>
                  <a:pt x="6286014" y="4330254"/>
                </a:cubicBezTo>
                <a:cubicBezTo>
                  <a:pt x="6304981" y="4330254"/>
                  <a:pt x="6320354" y="4314663"/>
                  <a:pt x="6320354" y="4295434"/>
                </a:cubicBezTo>
                <a:cubicBezTo>
                  <a:pt x="6320354" y="4276205"/>
                  <a:pt x="6304981" y="4260614"/>
                  <a:pt x="6286014" y="4260614"/>
                </a:cubicBezTo>
                <a:close/>
                <a:moveTo>
                  <a:pt x="6369755" y="4260614"/>
                </a:moveTo>
                <a:cubicBezTo>
                  <a:pt x="6350788" y="4260614"/>
                  <a:pt x="6335402" y="4276205"/>
                  <a:pt x="6335402" y="4295434"/>
                </a:cubicBezTo>
                <a:cubicBezTo>
                  <a:pt x="6335402" y="4314663"/>
                  <a:pt x="6350788" y="4330254"/>
                  <a:pt x="6369755" y="4330254"/>
                </a:cubicBezTo>
                <a:cubicBezTo>
                  <a:pt x="6388722" y="4330254"/>
                  <a:pt x="6404096" y="4314663"/>
                  <a:pt x="6404096" y="4295434"/>
                </a:cubicBezTo>
                <a:cubicBezTo>
                  <a:pt x="6404096" y="4276205"/>
                  <a:pt x="6388722" y="4260614"/>
                  <a:pt x="6369755" y="4260614"/>
                </a:cubicBezTo>
                <a:close/>
                <a:moveTo>
                  <a:pt x="6453498" y="4260614"/>
                </a:moveTo>
                <a:cubicBezTo>
                  <a:pt x="6434531" y="4260614"/>
                  <a:pt x="6419144" y="4276205"/>
                  <a:pt x="6419144" y="4295434"/>
                </a:cubicBezTo>
                <a:cubicBezTo>
                  <a:pt x="6419144" y="4314663"/>
                  <a:pt x="6434531" y="4330254"/>
                  <a:pt x="6453498" y="4330254"/>
                </a:cubicBezTo>
                <a:cubicBezTo>
                  <a:pt x="6472465" y="4330254"/>
                  <a:pt x="6487838" y="4314663"/>
                  <a:pt x="6487838" y="4295434"/>
                </a:cubicBezTo>
                <a:cubicBezTo>
                  <a:pt x="6487838" y="4276205"/>
                  <a:pt x="6472465" y="4260614"/>
                  <a:pt x="6453498" y="4260614"/>
                </a:cubicBezTo>
                <a:close/>
                <a:moveTo>
                  <a:pt x="6537239" y="4260614"/>
                </a:moveTo>
                <a:cubicBezTo>
                  <a:pt x="6518272" y="4260614"/>
                  <a:pt x="6502886" y="4276205"/>
                  <a:pt x="6502886" y="4295434"/>
                </a:cubicBezTo>
                <a:cubicBezTo>
                  <a:pt x="6502886" y="4314663"/>
                  <a:pt x="6518272" y="4330254"/>
                  <a:pt x="6537239" y="4330254"/>
                </a:cubicBezTo>
                <a:cubicBezTo>
                  <a:pt x="6556206" y="4330254"/>
                  <a:pt x="6571579" y="4314663"/>
                  <a:pt x="6571579" y="4295434"/>
                </a:cubicBezTo>
                <a:cubicBezTo>
                  <a:pt x="6571579" y="4276205"/>
                  <a:pt x="6556206" y="4260614"/>
                  <a:pt x="6537239" y="4260614"/>
                </a:cubicBezTo>
                <a:close/>
                <a:moveTo>
                  <a:pt x="6620980" y="4260614"/>
                </a:moveTo>
                <a:cubicBezTo>
                  <a:pt x="6602013" y="4260614"/>
                  <a:pt x="6586627" y="4276205"/>
                  <a:pt x="6586627" y="4295434"/>
                </a:cubicBezTo>
                <a:cubicBezTo>
                  <a:pt x="6586627" y="4314663"/>
                  <a:pt x="6602013" y="4330254"/>
                  <a:pt x="6620980" y="4330254"/>
                </a:cubicBezTo>
                <a:cubicBezTo>
                  <a:pt x="6639947" y="4330254"/>
                  <a:pt x="6655320" y="4314663"/>
                  <a:pt x="6655320" y="4295434"/>
                </a:cubicBezTo>
                <a:cubicBezTo>
                  <a:pt x="6655320" y="4276205"/>
                  <a:pt x="6639947" y="4260614"/>
                  <a:pt x="6620980" y="4260614"/>
                </a:cubicBezTo>
                <a:close/>
                <a:moveTo>
                  <a:pt x="6704722" y="4260614"/>
                </a:moveTo>
                <a:cubicBezTo>
                  <a:pt x="6685755" y="4260614"/>
                  <a:pt x="6670369" y="4276205"/>
                  <a:pt x="6670369" y="4295434"/>
                </a:cubicBezTo>
                <a:cubicBezTo>
                  <a:pt x="6670369" y="4314663"/>
                  <a:pt x="6685755" y="4330254"/>
                  <a:pt x="6704722" y="4330254"/>
                </a:cubicBezTo>
                <a:cubicBezTo>
                  <a:pt x="6723689" y="4330254"/>
                  <a:pt x="6739063" y="4314663"/>
                  <a:pt x="6739063" y="4295434"/>
                </a:cubicBezTo>
                <a:cubicBezTo>
                  <a:pt x="6739063" y="4276205"/>
                  <a:pt x="6723689" y="4260614"/>
                  <a:pt x="6704722" y="4260614"/>
                </a:cubicBezTo>
                <a:close/>
                <a:moveTo>
                  <a:pt x="6788464" y="4260614"/>
                </a:moveTo>
                <a:cubicBezTo>
                  <a:pt x="6769497" y="4260614"/>
                  <a:pt x="6754110" y="4276205"/>
                  <a:pt x="6754110" y="4295434"/>
                </a:cubicBezTo>
                <a:cubicBezTo>
                  <a:pt x="6754110" y="4314663"/>
                  <a:pt x="6769497" y="4330254"/>
                  <a:pt x="6788464" y="4330254"/>
                </a:cubicBezTo>
                <a:cubicBezTo>
                  <a:pt x="6807431" y="4330254"/>
                  <a:pt x="6822804" y="4314663"/>
                  <a:pt x="6822804" y="4295434"/>
                </a:cubicBezTo>
                <a:cubicBezTo>
                  <a:pt x="6822804" y="4276205"/>
                  <a:pt x="6807431" y="4260614"/>
                  <a:pt x="6788464" y="4260614"/>
                </a:cubicBezTo>
                <a:close/>
                <a:moveTo>
                  <a:pt x="6955947" y="4260614"/>
                </a:moveTo>
                <a:cubicBezTo>
                  <a:pt x="6936980" y="4260614"/>
                  <a:pt x="6921594" y="4276205"/>
                  <a:pt x="6921594" y="4295434"/>
                </a:cubicBezTo>
                <a:cubicBezTo>
                  <a:pt x="6921594" y="4314663"/>
                  <a:pt x="6936980" y="4330254"/>
                  <a:pt x="6955947" y="4330254"/>
                </a:cubicBezTo>
                <a:cubicBezTo>
                  <a:pt x="6974914" y="4330254"/>
                  <a:pt x="6990287" y="4314663"/>
                  <a:pt x="6990287" y="4295434"/>
                </a:cubicBezTo>
                <a:cubicBezTo>
                  <a:pt x="6990287" y="4276205"/>
                  <a:pt x="6974914" y="4260614"/>
                  <a:pt x="6955947" y="4260614"/>
                </a:cubicBezTo>
                <a:close/>
                <a:moveTo>
                  <a:pt x="7039688" y="4260614"/>
                </a:moveTo>
                <a:cubicBezTo>
                  <a:pt x="7020721" y="4260614"/>
                  <a:pt x="7005335" y="4276205"/>
                  <a:pt x="7005335" y="4295434"/>
                </a:cubicBezTo>
                <a:cubicBezTo>
                  <a:pt x="7005335" y="4314663"/>
                  <a:pt x="7020721" y="4330254"/>
                  <a:pt x="7039688" y="4330254"/>
                </a:cubicBezTo>
                <a:cubicBezTo>
                  <a:pt x="7058655" y="4330254"/>
                  <a:pt x="7074029" y="4314663"/>
                  <a:pt x="7074029" y="4295434"/>
                </a:cubicBezTo>
                <a:cubicBezTo>
                  <a:pt x="7074029" y="4276205"/>
                  <a:pt x="7058655" y="4260614"/>
                  <a:pt x="7039688" y="4260614"/>
                </a:cubicBezTo>
                <a:close/>
                <a:moveTo>
                  <a:pt x="7123456" y="4260614"/>
                </a:moveTo>
                <a:cubicBezTo>
                  <a:pt x="7104489" y="4260614"/>
                  <a:pt x="7089103" y="4276205"/>
                  <a:pt x="7089103" y="4295434"/>
                </a:cubicBezTo>
                <a:cubicBezTo>
                  <a:pt x="7089103" y="4314663"/>
                  <a:pt x="7104489" y="4330254"/>
                  <a:pt x="7123456" y="4330254"/>
                </a:cubicBezTo>
                <a:cubicBezTo>
                  <a:pt x="7142423" y="4330254"/>
                  <a:pt x="7157796" y="4314663"/>
                  <a:pt x="7157796" y="4295434"/>
                </a:cubicBezTo>
                <a:cubicBezTo>
                  <a:pt x="7157796" y="4276205"/>
                  <a:pt x="7142423" y="4260614"/>
                  <a:pt x="7123456" y="4260614"/>
                </a:cubicBezTo>
                <a:close/>
                <a:moveTo>
                  <a:pt x="8965772" y="4260614"/>
                </a:moveTo>
                <a:cubicBezTo>
                  <a:pt x="8946805" y="4260614"/>
                  <a:pt x="8931419" y="4276205"/>
                  <a:pt x="8931419" y="4295434"/>
                </a:cubicBezTo>
                <a:cubicBezTo>
                  <a:pt x="8931419" y="4314663"/>
                  <a:pt x="8946805" y="4330254"/>
                  <a:pt x="8965772" y="4330254"/>
                </a:cubicBezTo>
                <a:cubicBezTo>
                  <a:pt x="8984739" y="4330254"/>
                  <a:pt x="9000112" y="4314663"/>
                  <a:pt x="9000112" y="4295434"/>
                </a:cubicBezTo>
                <a:cubicBezTo>
                  <a:pt x="9000112" y="4276205"/>
                  <a:pt x="8984739" y="4260614"/>
                  <a:pt x="8965772" y="4260614"/>
                </a:cubicBezTo>
                <a:close/>
                <a:moveTo>
                  <a:pt x="9049513" y="4260614"/>
                </a:moveTo>
                <a:cubicBezTo>
                  <a:pt x="9030546" y="4260614"/>
                  <a:pt x="9015160" y="4276205"/>
                  <a:pt x="9015160" y="4295434"/>
                </a:cubicBezTo>
                <a:cubicBezTo>
                  <a:pt x="9015160" y="4314663"/>
                  <a:pt x="9030546" y="4330254"/>
                  <a:pt x="9049513" y="4330254"/>
                </a:cubicBezTo>
                <a:cubicBezTo>
                  <a:pt x="9068480" y="4330254"/>
                  <a:pt x="9083854" y="4314663"/>
                  <a:pt x="9083854" y="4295434"/>
                </a:cubicBezTo>
                <a:cubicBezTo>
                  <a:pt x="9083854" y="4276205"/>
                  <a:pt x="9068480" y="4260614"/>
                  <a:pt x="9049513" y="4260614"/>
                </a:cubicBezTo>
                <a:close/>
                <a:moveTo>
                  <a:pt x="9300738" y="4260614"/>
                </a:moveTo>
                <a:cubicBezTo>
                  <a:pt x="9281771" y="4260614"/>
                  <a:pt x="9266385" y="4276205"/>
                  <a:pt x="9266385" y="4295434"/>
                </a:cubicBezTo>
                <a:cubicBezTo>
                  <a:pt x="9266385" y="4314663"/>
                  <a:pt x="9281771" y="4330254"/>
                  <a:pt x="9300738" y="4330254"/>
                </a:cubicBezTo>
                <a:cubicBezTo>
                  <a:pt x="9319705" y="4330254"/>
                  <a:pt x="9335078" y="4314663"/>
                  <a:pt x="9335078" y="4295434"/>
                </a:cubicBezTo>
                <a:cubicBezTo>
                  <a:pt x="9335078" y="4276205"/>
                  <a:pt x="9319705" y="4260614"/>
                  <a:pt x="9300738" y="4260614"/>
                </a:cubicBezTo>
                <a:close/>
                <a:moveTo>
                  <a:pt x="9384480" y="4260614"/>
                </a:moveTo>
                <a:cubicBezTo>
                  <a:pt x="9365513" y="4260614"/>
                  <a:pt x="9350127" y="4276205"/>
                  <a:pt x="9350127" y="4295434"/>
                </a:cubicBezTo>
                <a:cubicBezTo>
                  <a:pt x="9350127" y="4314663"/>
                  <a:pt x="9365513" y="4330254"/>
                  <a:pt x="9384480" y="4330254"/>
                </a:cubicBezTo>
                <a:cubicBezTo>
                  <a:pt x="9403447" y="4330254"/>
                  <a:pt x="9418821" y="4314663"/>
                  <a:pt x="9418821" y="4295434"/>
                </a:cubicBezTo>
                <a:cubicBezTo>
                  <a:pt x="9418821" y="4276205"/>
                  <a:pt x="9403447" y="4260614"/>
                  <a:pt x="9384480" y="4260614"/>
                </a:cubicBezTo>
                <a:close/>
                <a:moveTo>
                  <a:pt x="9468222" y="4260614"/>
                </a:moveTo>
                <a:cubicBezTo>
                  <a:pt x="9449255" y="4260614"/>
                  <a:pt x="9433869" y="4276205"/>
                  <a:pt x="9433869" y="4295434"/>
                </a:cubicBezTo>
                <a:cubicBezTo>
                  <a:pt x="9433869" y="4314663"/>
                  <a:pt x="9449255" y="4330254"/>
                  <a:pt x="9468222" y="4330254"/>
                </a:cubicBezTo>
                <a:cubicBezTo>
                  <a:pt x="9487189" y="4330254"/>
                  <a:pt x="9502562" y="4314663"/>
                  <a:pt x="9502562" y="4295434"/>
                </a:cubicBezTo>
                <a:cubicBezTo>
                  <a:pt x="9502562" y="4276205"/>
                  <a:pt x="9487189" y="4260614"/>
                  <a:pt x="9468222" y="4260614"/>
                </a:cubicBezTo>
                <a:close/>
                <a:moveTo>
                  <a:pt x="9719446" y="4260614"/>
                </a:moveTo>
                <a:cubicBezTo>
                  <a:pt x="9700479" y="4260614"/>
                  <a:pt x="9685093" y="4276205"/>
                  <a:pt x="9685093" y="4295434"/>
                </a:cubicBezTo>
                <a:cubicBezTo>
                  <a:pt x="9685093" y="4314663"/>
                  <a:pt x="9700479" y="4330254"/>
                  <a:pt x="9719446" y="4330254"/>
                </a:cubicBezTo>
                <a:cubicBezTo>
                  <a:pt x="9738413" y="4330254"/>
                  <a:pt x="9753787" y="4314663"/>
                  <a:pt x="9753787" y="4295434"/>
                </a:cubicBezTo>
                <a:cubicBezTo>
                  <a:pt x="9753787" y="4276205"/>
                  <a:pt x="9738413" y="4260614"/>
                  <a:pt x="9719446" y="4260614"/>
                </a:cubicBezTo>
                <a:close/>
                <a:moveTo>
                  <a:pt x="9886930" y="4260614"/>
                </a:moveTo>
                <a:cubicBezTo>
                  <a:pt x="9867963" y="4260614"/>
                  <a:pt x="9852577" y="4276205"/>
                  <a:pt x="9852577" y="4295434"/>
                </a:cubicBezTo>
                <a:cubicBezTo>
                  <a:pt x="9852577" y="4314663"/>
                  <a:pt x="9867963" y="4330254"/>
                  <a:pt x="9886930" y="4330254"/>
                </a:cubicBezTo>
                <a:cubicBezTo>
                  <a:pt x="9905897" y="4330254"/>
                  <a:pt x="9921270" y="4314663"/>
                  <a:pt x="9921270" y="4295434"/>
                </a:cubicBezTo>
                <a:cubicBezTo>
                  <a:pt x="9921270" y="4276205"/>
                  <a:pt x="9905897" y="4260614"/>
                  <a:pt x="9886930" y="4260614"/>
                </a:cubicBezTo>
                <a:close/>
                <a:moveTo>
                  <a:pt x="3438792" y="4345477"/>
                </a:moveTo>
                <a:cubicBezTo>
                  <a:pt x="3419825" y="4345477"/>
                  <a:pt x="3404445" y="4361069"/>
                  <a:pt x="3404445" y="4380298"/>
                </a:cubicBezTo>
                <a:cubicBezTo>
                  <a:pt x="3404445" y="4399526"/>
                  <a:pt x="3419825" y="4415118"/>
                  <a:pt x="3438792" y="4415118"/>
                </a:cubicBezTo>
                <a:cubicBezTo>
                  <a:pt x="3457759" y="4415118"/>
                  <a:pt x="3473139" y="4399526"/>
                  <a:pt x="3473139" y="4380298"/>
                </a:cubicBezTo>
                <a:cubicBezTo>
                  <a:pt x="3473139" y="4361069"/>
                  <a:pt x="3457759" y="4345477"/>
                  <a:pt x="3438792" y="4345477"/>
                </a:cubicBezTo>
                <a:close/>
                <a:moveTo>
                  <a:pt x="3522533" y="4345477"/>
                </a:moveTo>
                <a:cubicBezTo>
                  <a:pt x="3503566" y="4345477"/>
                  <a:pt x="3488187" y="4361069"/>
                  <a:pt x="3488187" y="4380298"/>
                </a:cubicBezTo>
                <a:cubicBezTo>
                  <a:pt x="3488187" y="4399526"/>
                  <a:pt x="3503566" y="4415118"/>
                  <a:pt x="3522533" y="4415118"/>
                </a:cubicBezTo>
                <a:cubicBezTo>
                  <a:pt x="3541500" y="4415118"/>
                  <a:pt x="3556880" y="4399526"/>
                  <a:pt x="3556880" y="4380298"/>
                </a:cubicBezTo>
                <a:cubicBezTo>
                  <a:pt x="3556880" y="4361069"/>
                  <a:pt x="3541500" y="4345477"/>
                  <a:pt x="3522533" y="4345477"/>
                </a:cubicBezTo>
                <a:close/>
                <a:moveTo>
                  <a:pt x="3606276" y="4345477"/>
                </a:moveTo>
                <a:cubicBezTo>
                  <a:pt x="3587309" y="4345477"/>
                  <a:pt x="3571929" y="4361069"/>
                  <a:pt x="3571929" y="4380298"/>
                </a:cubicBezTo>
                <a:cubicBezTo>
                  <a:pt x="3571929" y="4399526"/>
                  <a:pt x="3587309" y="4415118"/>
                  <a:pt x="3606276" y="4415118"/>
                </a:cubicBezTo>
                <a:cubicBezTo>
                  <a:pt x="3625243" y="4415118"/>
                  <a:pt x="3640622" y="4399526"/>
                  <a:pt x="3640622" y="4380298"/>
                </a:cubicBezTo>
                <a:cubicBezTo>
                  <a:pt x="3640622" y="4361069"/>
                  <a:pt x="3625243" y="4345477"/>
                  <a:pt x="3606276" y="4345477"/>
                </a:cubicBezTo>
                <a:close/>
                <a:moveTo>
                  <a:pt x="3690017" y="4345477"/>
                </a:moveTo>
                <a:cubicBezTo>
                  <a:pt x="3671050" y="4345477"/>
                  <a:pt x="3655670" y="4361069"/>
                  <a:pt x="3655670" y="4380298"/>
                </a:cubicBezTo>
                <a:cubicBezTo>
                  <a:pt x="3655670" y="4399526"/>
                  <a:pt x="3671050" y="4415118"/>
                  <a:pt x="3690017" y="4415118"/>
                </a:cubicBezTo>
                <a:cubicBezTo>
                  <a:pt x="3708984" y="4415118"/>
                  <a:pt x="3724364" y="4399526"/>
                  <a:pt x="3724364" y="4380298"/>
                </a:cubicBezTo>
                <a:cubicBezTo>
                  <a:pt x="3724364" y="4361069"/>
                  <a:pt x="3708984" y="4345477"/>
                  <a:pt x="3690017" y="4345477"/>
                </a:cubicBezTo>
                <a:close/>
                <a:moveTo>
                  <a:pt x="3773759" y="4345477"/>
                </a:moveTo>
                <a:cubicBezTo>
                  <a:pt x="3754792" y="4345477"/>
                  <a:pt x="3739412" y="4361069"/>
                  <a:pt x="3739412" y="4380298"/>
                </a:cubicBezTo>
                <a:cubicBezTo>
                  <a:pt x="3739412" y="4399526"/>
                  <a:pt x="3754792" y="4415118"/>
                  <a:pt x="3773759" y="4415118"/>
                </a:cubicBezTo>
                <a:cubicBezTo>
                  <a:pt x="3792726" y="4415118"/>
                  <a:pt x="3808106" y="4399526"/>
                  <a:pt x="3808106" y="4380298"/>
                </a:cubicBezTo>
                <a:cubicBezTo>
                  <a:pt x="3808106" y="4361069"/>
                  <a:pt x="3792726" y="4345477"/>
                  <a:pt x="3773759" y="4345477"/>
                </a:cubicBezTo>
                <a:close/>
                <a:moveTo>
                  <a:pt x="3857500" y="4345477"/>
                </a:moveTo>
                <a:cubicBezTo>
                  <a:pt x="3838533" y="4345477"/>
                  <a:pt x="3823154" y="4361069"/>
                  <a:pt x="3823154" y="4380298"/>
                </a:cubicBezTo>
                <a:cubicBezTo>
                  <a:pt x="3823154" y="4399526"/>
                  <a:pt x="3838533" y="4415118"/>
                  <a:pt x="3857500" y="4415118"/>
                </a:cubicBezTo>
                <a:cubicBezTo>
                  <a:pt x="3876467" y="4415118"/>
                  <a:pt x="3891847" y="4399526"/>
                  <a:pt x="3891847" y="4380298"/>
                </a:cubicBezTo>
                <a:cubicBezTo>
                  <a:pt x="3891847" y="4361069"/>
                  <a:pt x="3876467" y="4345477"/>
                  <a:pt x="3857500" y="4345477"/>
                </a:cubicBezTo>
                <a:close/>
                <a:moveTo>
                  <a:pt x="3941242" y="4345477"/>
                </a:moveTo>
                <a:cubicBezTo>
                  <a:pt x="3922275" y="4345477"/>
                  <a:pt x="3906895" y="4361069"/>
                  <a:pt x="3906895" y="4380298"/>
                </a:cubicBezTo>
                <a:cubicBezTo>
                  <a:pt x="3906895" y="4399526"/>
                  <a:pt x="3922275" y="4415118"/>
                  <a:pt x="3941242" y="4415118"/>
                </a:cubicBezTo>
                <a:cubicBezTo>
                  <a:pt x="3960209" y="4415118"/>
                  <a:pt x="3975588" y="4399526"/>
                  <a:pt x="3975588" y="4380298"/>
                </a:cubicBezTo>
                <a:cubicBezTo>
                  <a:pt x="3975588" y="4361069"/>
                  <a:pt x="3960209" y="4345477"/>
                  <a:pt x="3941242" y="4345477"/>
                </a:cubicBezTo>
                <a:close/>
                <a:moveTo>
                  <a:pt x="4024990" y="4345477"/>
                </a:moveTo>
                <a:cubicBezTo>
                  <a:pt x="4006023" y="4345477"/>
                  <a:pt x="3990643" y="4361069"/>
                  <a:pt x="3990643" y="4380298"/>
                </a:cubicBezTo>
                <a:cubicBezTo>
                  <a:pt x="3990643" y="4399526"/>
                  <a:pt x="4006023" y="4415118"/>
                  <a:pt x="4024990" y="4415118"/>
                </a:cubicBezTo>
                <a:cubicBezTo>
                  <a:pt x="4043957" y="4415118"/>
                  <a:pt x="4059337" y="4399526"/>
                  <a:pt x="4059337" y="4380298"/>
                </a:cubicBezTo>
                <a:cubicBezTo>
                  <a:pt x="4059337" y="4361069"/>
                  <a:pt x="4043957" y="4345477"/>
                  <a:pt x="4024990" y="4345477"/>
                </a:cubicBezTo>
                <a:close/>
                <a:moveTo>
                  <a:pt x="4108732" y="4345477"/>
                </a:moveTo>
                <a:cubicBezTo>
                  <a:pt x="4089765" y="4345477"/>
                  <a:pt x="4074386" y="4361069"/>
                  <a:pt x="4074386" y="4380298"/>
                </a:cubicBezTo>
                <a:cubicBezTo>
                  <a:pt x="4074386" y="4399526"/>
                  <a:pt x="4089765" y="4415118"/>
                  <a:pt x="4108732" y="4415118"/>
                </a:cubicBezTo>
                <a:cubicBezTo>
                  <a:pt x="4127699" y="4415118"/>
                  <a:pt x="4143079" y="4399526"/>
                  <a:pt x="4143079" y="4380298"/>
                </a:cubicBezTo>
                <a:cubicBezTo>
                  <a:pt x="4143079" y="4361069"/>
                  <a:pt x="4127699" y="4345477"/>
                  <a:pt x="4108732" y="4345477"/>
                </a:cubicBezTo>
                <a:close/>
                <a:moveTo>
                  <a:pt x="4192473" y="4345477"/>
                </a:moveTo>
                <a:cubicBezTo>
                  <a:pt x="4173506" y="4345477"/>
                  <a:pt x="4158127" y="4361069"/>
                  <a:pt x="4158127" y="4380298"/>
                </a:cubicBezTo>
                <a:cubicBezTo>
                  <a:pt x="4158127" y="4399526"/>
                  <a:pt x="4173506" y="4415118"/>
                  <a:pt x="4192473" y="4415118"/>
                </a:cubicBezTo>
                <a:cubicBezTo>
                  <a:pt x="4211440" y="4415118"/>
                  <a:pt x="4226820" y="4399526"/>
                  <a:pt x="4226820" y="4380298"/>
                </a:cubicBezTo>
                <a:cubicBezTo>
                  <a:pt x="4226820" y="4361069"/>
                  <a:pt x="4211440" y="4345477"/>
                  <a:pt x="4192473" y="4345477"/>
                </a:cubicBezTo>
                <a:close/>
                <a:moveTo>
                  <a:pt x="4276215" y="4345477"/>
                </a:moveTo>
                <a:cubicBezTo>
                  <a:pt x="4257248" y="4345477"/>
                  <a:pt x="4241868" y="4361069"/>
                  <a:pt x="4241868" y="4380298"/>
                </a:cubicBezTo>
                <a:cubicBezTo>
                  <a:pt x="4241868" y="4399526"/>
                  <a:pt x="4257248" y="4415118"/>
                  <a:pt x="4276215" y="4415118"/>
                </a:cubicBezTo>
                <a:cubicBezTo>
                  <a:pt x="4295182" y="4415118"/>
                  <a:pt x="4310561" y="4399526"/>
                  <a:pt x="4310561" y="4380298"/>
                </a:cubicBezTo>
                <a:cubicBezTo>
                  <a:pt x="4310561" y="4361069"/>
                  <a:pt x="4295182" y="4345477"/>
                  <a:pt x="4276215" y="4345477"/>
                </a:cubicBezTo>
                <a:close/>
                <a:moveTo>
                  <a:pt x="4359957" y="4345477"/>
                </a:moveTo>
                <a:cubicBezTo>
                  <a:pt x="4340990" y="4345477"/>
                  <a:pt x="4325610" y="4361069"/>
                  <a:pt x="4325610" y="4380298"/>
                </a:cubicBezTo>
                <a:cubicBezTo>
                  <a:pt x="4325610" y="4399526"/>
                  <a:pt x="4340990" y="4415118"/>
                  <a:pt x="4359957" y="4415118"/>
                </a:cubicBezTo>
                <a:cubicBezTo>
                  <a:pt x="4378924" y="4415118"/>
                  <a:pt x="4394304" y="4399526"/>
                  <a:pt x="4394304" y="4380298"/>
                </a:cubicBezTo>
                <a:cubicBezTo>
                  <a:pt x="4394304" y="4361069"/>
                  <a:pt x="4378924" y="4345477"/>
                  <a:pt x="4359957" y="4345477"/>
                </a:cubicBezTo>
                <a:close/>
                <a:moveTo>
                  <a:pt x="4443698" y="4345477"/>
                </a:moveTo>
                <a:cubicBezTo>
                  <a:pt x="4424731" y="4345477"/>
                  <a:pt x="4409352" y="4361069"/>
                  <a:pt x="4409352" y="4380298"/>
                </a:cubicBezTo>
                <a:cubicBezTo>
                  <a:pt x="4409352" y="4399526"/>
                  <a:pt x="4424731" y="4415118"/>
                  <a:pt x="4443698" y="4415118"/>
                </a:cubicBezTo>
                <a:cubicBezTo>
                  <a:pt x="4462665" y="4415118"/>
                  <a:pt x="4478045" y="4399526"/>
                  <a:pt x="4478045" y="4380298"/>
                </a:cubicBezTo>
                <a:cubicBezTo>
                  <a:pt x="4478045" y="4361069"/>
                  <a:pt x="4462665" y="4345477"/>
                  <a:pt x="4443698" y="4345477"/>
                </a:cubicBezTo>
                <a:close/>
                <a:moveTo>
                  <a:pt x="6202273" y="4345477"/>
                </a:moveTo>
                <a:cubicBezTo>
                  <a:pt x="6183306" y="4345477"/>
                  <a:pt x="6167920" y="4361069"/>
                  <a:pt x="6167920" y="4380298"/>
                </a:cubicBezTo>
                <a:cubicBezTo>
                  <a:pt x="6167920" y="4399526"/>
                  <a:pt x="6183306" y="4415118"/>
                  <a:pt x="6202273" y="4415118"/>
                </a:cubicBezTo>
                <a:cubicBezTo>
                  <a:pt x="6221240" y="4415118"/>
                  <a:pt x="6236613" y="4399526"/>
                  <a:pt x="6236613" y="4380298"/>
                </a:cubicBezTo>
                <a:cubicBezTo>
                  <a:pt x="6236613" y="4361069"/>
                  <a:pt x="6221240" y="4345477"/>
                  <a:pt x="6202273" y="4345477"/>
                </a:cubicBezTo>
                <a:close/>
                <a:moveTo>
                  <a:pt x="6286014" y="4345477"/>
                </a:moveTo>
                <a:cubicBezTo>
                  <a:pt x="6267047" y="4345477"/>
                  <a:pt x="6251661" y="4361069"/>
                  <a:pt x="6251661" y="4380298"/>
                </a:cubicBezTo>
                <a:cubicBezTo>
                  <a:pt x="6251661" y="4399526"/>
                  <a:pt x="6267047" y="4415118"/>
                  <a:pt x="6286014" y="4415118"/>
                </a:cubicBezTo>
                <a:cubicBezTo>
                  <a:pt x="6304981" y="4415118"/>
                  <a:pt x="6320354" y="4399526"/>
                  <a:pt x="6320354" y="4380298"/>
                </a:cubicBezTo>
                <a:cubicBezTo>
                  <a:pt x="6320354" y="4361069"/>
                  <a:pt x="6304981" y="4345477"/>
                  <a:pt x="6286014" y="4345477"/>
                </a:cubicBezTo>
                <a:close/>
                <a:moveTo>
                  <a:pt x="6369755" y="4345477"/>
                </a:moveTo>
                <a:cubicBezTo>
                  <a:pt x="6350788" y="4345477"/>
                  <a:pt x="6335402" y="4361069"/>
                  <a:pt x="6335402" y="4380298"/>
                </a:cubicBezTo>
                <a:cubicBezTo>
                  <a:pt x="6335402" y="4399526"/>
                  <a:pt x="6350788" y="4415118"/>
                  <a:pt x="6369755" y="4415118"/>
                </a:cubicBezTo>
                <a:cubicBezTo>
                  <a:pt x="6388722" y="4415118"/>
                  <a:pt x="6404096" y="4399526"/>
                  <a:pt x="6404096" y="4380298"/>
                </a:cubicBezTo>
                <a:cubicBezTo>
                  <a:pt x="6404096" y="4361069"/>
                  <a:pt x="6388722" y="4345477"/>
                  <a:pt x="6369755" y="4345477"/>
                </a:cubicBezTo>
                <a:close/>
                <a:moveTo>
                  <a:pt x="6453498" y="4345477"/>
                </a:moveTo>
                <a:cubicBezTo>
                  <a:pt x="6434531" y="4345477"/>
                  <a:pt x="6419144" y="4361069"/>
                  <a:pt x="6419144" y="4380298"/>
                </a:cubicBezTo>
                <a:cubicBezTo>
                  <a:pt x="6419144" y="4399526"/>
                  <a:pt x="6434531" y="4415118"/>
                  <a:pt x="6453498" y="4415118"/>
                </a:cubicBezTo>
                <a:cubicBezTo>
                  <a:pt x="6472465" y="4415118"/>
                  <a:pt x="6487838" y="4399526"/>
                  <a:pt x="6487838" y="4380298"/>
                </a:cubicBezTo>
                <a:cubicBezTo>
                  <a:pt x="6487838" y="4361069"/>
                  <a:pt x="6472465" y="4345477"/>
                  <a:pt x="6453498" y="4345477"/>
                </a:cubicBezTo>
                <a:close/>
                <a:moveTo>
                  <a:pt x="6537239" y="4345477"/>
                </a:moveTo>
                <a:cubicBezTo>
                  <a:pt x="6518272" y="4345477"/>
                  <a:pt x="6502886" y="4361069"/>
                  <a:pt x="6502886" y="4380298"/>
                </a:cubicBezTo>
                <a:cubicBezTo>
                  <a:pt x="6502886" y="4399526"/>
                  <a:pt x="6518272" y="4415118"/>
                  <a:pt x="6537239" y="4415118"/>
                </a:cubicBezTo>
                <a:cubicBezTo>
                  <a:pt x="6556206" y="4415118"/>
                  <a:pt x="6571579" y="4399526"/>
                  <a:pt x="6571579" y="4380298"/>
                </a:cubicBezTo>
                <a:cubicBezTo>
                  <a:pt x="6571579" y="4361069"/>
                  <a:pt x="6556206" y="4345477"/>
                  <a:pt x="6537239" y="4345477"/>
                </a:cubicBezTo>
                <a:close/>
                <a:moveTo>
                  <a:pt x="6620980" y="4345477"/>
                </a:moveTo>
                <a:cubicBezTo>
                  <a:pt x="6602013" y="4345477"/>
                  <a:pt x="6586627" y="4361069"/>
                  <a:pt x="6586627" y="4380298"/>
                </a:cubicBezTo>
                <a:cubicBezTo>
                  <a:pt x="6586627" y="4399526"/>
                  <a:pt x="6602013" y="4415118"/>
                  <a:pt x="6620980" y="4415118"/>
                </a:cubicBezTo>
                <a:cubicBezTo>
                  <a:pt x="6639947" y="4415118"/>
                  <a:pt x="6655320" y="4399526"/>
                  <a:pt x="6655320" y="4380298"/>
                </a:cubicBezTo>
                <a:cubicBezTo>
                  <a:pt x="6655320" y="4361069"/>
                  <a:pt x="6639947" y="4345477"/>
                  <a:pt x="6620980" y="4345477"/>
                </a:cubicBezTo>
                <a:close/>
                <a:moveTo>
                  <a:pt x="6704722" y="4345477"/>
                </a:moveTo>
                <a:cubicBezTo>
                  <a:pt x="6685755" y="4345477"/>
                  <a:pt x="6670369" y="4361069"/>
                  <a:pt x="6670369" y="4380298"/>
                </a:cubicBezTo>
                <a:cubicBezTo>
                  <a:pt x="6670369" y="4399526"/>
                  <a:pt x="6685755" y="4415118"/>
                  <a:pt x="6704722" y="4415118"/>
                </a:cubicBezTo>
                <a:cubicBezTo>
                  <a:pt x="6723689" y="4415118"/>
                  <a:pt x="6739063" y="4399526"/>
                  <a:pt x="6739063" y="4380298"/>
                </a:cubicBezTo>
                <a:cubicBezTo>
                  <a:pt x="6739063" y="4361069"/>
                  <a:pt x="6723689" y="4345477"/>
                  <a:pt x="6704722" y="4345477"/>
                </a:cubicBezTo>
                <a:close/>
                <a:moveTo>
                  <a:pt x="6788464" y="4345477"/>
                </a:moveTo>
                <a:cubicBezTo>
                  <a:pt x="6769497" y="4345477"/>
                  <a:pt x="6754110" y="4361069"/>
                  <a:pt x="6754110" y="4380298"/>
                </a:cubicBezTo>
                <a:cubicBezTo>
                  <a:pt x="6754110" y="4399526"/>
                  <a:pt x="6769497" y="4415118"/>
                  <a:pt x="6788464" y="4415118"/>
                </a:cubicBezTo>
                <a:cubicBezTo>
                  <a:pt x="6807431" y="4415118"/>
                  <a:pt x="6822804" y="4399526"/>
                  <a:pt x="6822804" y="4380298"/>
                </a:cubicBezTo>
                <a:cubicBezTo>
                  <a:pt x="6822804" y="4361069"/>
                  <a:pt x="6807431" y="4345477"/>
                  <a:pt x="6788464" y="4345477"/>
                </a:cubicBezTo>
                <a:close/>
                <a:moveTo>
                  <a:pt x="6955947" y="4345477"/>
                </a:moveTo>
                <a:cubicBezTo>
                  <a:pt x="6936980" y="4345477"/>
                  <a:pt x="6921594" y="4361069"/>
                  <a:pt x="6921594" y="4380298"/>
                </a:cubicBezTo>
                <a:cubicBezTo>
                  <a:pt x="6921594" y="4399526"/>
                  <a:pt x="6936980" y="4415118"/>
                  <a:pt x="6955947" y="4415118"/>
                </a:cubicBezTo>
                <a:cubicBezTo>
                  <a:pt x="6974914" y="4415118"/>
                  <a:pt x="6990287" y="4399526"/>
                  <a:pt x="6990287" y="4380298"/>
                </a:cubicBezTo>
                <a:cubicBezTo>
                  <a:pt x="6990287" y="4361069"/>
                  <a:pt x="6974914" y="4345477"/>
                  <a:pt x="6955947" y="4345477"/>
                </a:cubicBezTo>
                <a:close/>
                <a:moveTo>
                  <a:pt x="7039688" y="4345477"/>
                </a:moveTo>
                <a:cubicBezTo>
                  <a:pt x="7020721" y="4345477"/>
                  <a:pt x="7005335" y="4361069"/>
                  <a:pt x="7005335" y="4380298"/>
                </a:cubicBezTo>
                <a:cubicBezTo>
                  <a:pt x="7005335" y="4399526"/>
                  <a:pt x="7020721" y="4415118"/>
                  <a:pt x="7039688" y="4415118"/>
                </a:cubicBezTo>
                <a:cubicBezTo>
                  <a:pt x="7058655" y="4415118"/>
                  <a:pt x="7074029" y="4399526"/>
                  <a:pt x="7074029" y="4380298"/>
                </a:cubicBezTo>
                <a:cubicBezTo>
                  <a:pt x="7074029" y="4361069"/>
                  <a:pt x="7058655" y="4345477"/>
                  <a:pt x="7039688" y="4345477"/>
                </a:cubicBezTo>
                <a:close/>
                <a:moveTo>
                  <a:pt x="9049513" y="4345477"/>
                </a:moveTo>
                <a:cubicBezTo>
                  <a:pt x="9030546" y="4345477"/>
                  <a:pt x="9015160" y="4361069"/>
                  <a:pt x="9015160" y="4380298"/>
                </a:cubicBezTo>
                <a:cubicBezTo>
                  <a:pt x="9015160" y="4399526"/>
                  <a:pt x="9030546" y="4415118"/>
                  <a:pt x="9049513" y="4415118"/>
                </a:cubicBezTo>
                <a:cubicBezTo>
                  <a:pt x="9068480" y="4415118"/>
                  <a:pt x="9083854" y="4399526"/>
                  <a:pt x="9083854" y="4380298"/>
                </a:cubicBezTo>
                <a:cubicBezTo>
                  <a:pt x="9083854" y="4361069"/>
                  <a:pt x="9068480" y="4345477"/>
                  <a:pt x="9049513" y="4345477"/>
                </a:cubicBezTo>
                <a:close/>
                <a:moveTo>
                  <a:pt x="9133256" y="4345477"/>
                </a:moveTo>
                <a:cubicBezTo>
                  <a:pt x="9114289" y="4345477"/>
                  <a:pt x="9098903" y="4361069"/>
                  <a:pt x="9098903" y="4380298"/>
                </a:cubicBezTo>
                <a:cubicBezTo>
                  <a:pt x="9098903" y="4399526"/>
                  <a:pt x="9114289" y="4415118"/>
                  <a:pt x="9133256" y="4415118"/>
                </a:cubicBezTo>
                <a:cubicBezTo>
                  <a:pt x="9152223" y="4415118"/>
                  <a:pt x="9167596" y="4399526"/>
                  <a:pt x="9167596" y="4380298"/>
                </a:cubicBezTo>
                <a:cubicBezTo>
                  <a:pt x="9167596" y="4361069"/>
                  <a:pt x="9152223" y="4345477"/>
                  <a:pt x="9133256" y="4345477"/>
                </a:cubicBezTo>
                <a:close/>
                <a:moveTo>
                  <a:pt x="9300738" y="4345477"/>
                </a:moveTo>
                <a:cubicBezTo>
                  <a:pt x="9281771" y="4345477"/>
                  <a:pt x="9266385" y="4361069"/>
                  <a:pt x="9266385" y="4380298"/>
                </a:cubicBezTo>
                <a:cubicBezTo>
                  <a:pt x="9266385" y="4399526"/>
                  <a:pt x="9281771" y="4415118"/>
                  <a:pt x="9300738" y="4415118"/>
                </a:cubicBezTo>
                <a:cubicBezTo>
                  <a:pt x="9319705" y="4415118"/>
                  <a:pt x="9335078" y="4399526"/>
                  <a:pt x="9335078" y="4380298"/>
                </a:cubicBezTo>
                <a:cubicBezTo>
                  <a:pt x="9335078" y="4361069"/>
                  <a:pt x="9319705" y="4345477"/>
                  <a:pt x="9300738" y="4345477"/>
                </a:cubicBezTo>
                <a:close/>
                <a:moveTo>
                  <a:pt x="9384480" y="4345477"/>
                </a:moveTo>
                <a:cubicBezTo>
                  <a:pt x="9365513" y="4345477"/>
                  <a:pt x="9350127" y="4361069"/>
                  <a:pt x="9350127" y="4380298"/>
                </a:cubicBezTo>
                <a:cubicBezTo>
                  <a:pt x="9350127" y="4399526"/>
                  <a:pt x="9365513" y="4415118"/>
                  <a:pt x="9384480" y="4415118"/>
                </a:cubicBezTo>
                <a:cubicBezTo>
                  <a:pt x="9403447" y="4415118"/>
                  <a:pt x="9418821" y="4399526"/>
                  <a:pt x="9418821" y="4380298"/>
                </a:cubicBezTo>
                <a:cubicBezTo>
                  <a:pt x="9418821" y="4361069"/>
                  <a:pt x="9403447" y="4345477"/>
                  <a:pt x="9384480" y="4345477"/>
                </a:cubicBezTo>
                <a:close/>
                <a:moveTo>
                  <a:pt x="9468222" y="4345477"/>
                </a:moveTo>
                <a:cubicBezTo>
                  <a:pt x="9449255" y="4345477"/>
                  <a:pt x="9433869" y="4361069"/>
                  <a:pt x="9433869" y="4380298"/>
                </a:cubicBezTo>
                <a:cubicBezTo>
                  <a:pt x="9433869" y="4399526"/>
                  <a:pt x="9449255" y="4415118"/>
                  <a:pt x="9468222" y="4415118"/>
                </a:cubicBezTo>
                <a:cubicBezTo>
                  <a:pt x="9487189" y="4415118"/>
                  <a:pt x="9502562" y="4399526"/>
                  <a:pt x="9502562" y="4380298"/>
                </a:cubicBezTo>
                <a:cubicBezTo>
                  <a:pt x="9502562" y="4361069"/>
                  <a:pt x="9487189" y="4345477"/>
                  <a:pt x="9468222" y="4345477"/>
                </a:cubicBezTo>
                <a:close/>
                <a:moveTo>
                  <a:pt x="9635705" y="4345477"/>
                </a:moveTo>
                <a:cubicBezTo>
                  <a:pt x="9616738" y="4345477"/>
                  <a:pt x="9601352" y="4361069"/>
                  <a:pt x="9601352" y="4380298"/>
                </a:cubicBezTo>
                <a:cubicBezTo>
                  <a:pt x="9601352" y="4399526"/>
                  <a:pt x="9616738" y="4415118"/>
                  <a:pt x="9635705" y="4415118"/>
                </a:cubicBezTo>
                <a:cubicBezTo>
                  <a:pt x="9654672" y="4415118"/>
                  <a:pt x="9670045" y="4399526"/>
                  <a:pt x="9670045" y="4380298"/>
                </a:cubicBezTo>
                <a:cubicBezTo>
                  <a:pt x="9670045" y="4361069"/>
                  <a:pt x="9654672" y="4345477"/>
                  <a:pt x="9635705" y="4345477"/>
                </a:cubicBezTo>
                <a:close/>
                <a:moveTo>
                  <a:pt x="9970671" y="4345477"/>
                </a:moveTo>
                <a:cubicBezTo>
                  <a:pt x="9951704" y="4345477"/>
                  <a:pt x="9936318" y="4361069"/>
                  <a:pt x="9936318" y="4380298"/>
                </a:cubicBezTo>
                <a:cubicBezTo>
                  <a:pt x="9936318" y="4399526"/>
                  <a:pt x="9951704" y="4415118"/>
                  <a:pt x="9970671" y="4415118"/>
                </a:cubicBezTo>
                <a:cubicBezTo>
                  <a:pt x="9989638" y="4415118"/>
                  <a:pt x="10005011" y="4399526"/>
                  <a:pt x="10005011" y="4380298"/>
                </a:cubicBezTo>
                <a:cubicBezTo>
                  <a:pt x="10005011" y="4361069"/>
                  <a:pt x="9989638" y="4345477"/>
                  <a:pt x="9970671" y="4345477"/>
                </a:cubicBezTo>
                <a:close/>
                <a:moveTo>
                  <a:pt x="10054413" y="4345477"/>
                </a:moveTo>
                <a:cubicBezTo>
                  <a:pt x="10035446" y="4345477"/>
                  <a:pt x="10020060" y="4361069"/>
                  <a:pt x="10020060" y="4380298"/>
                </a:cubicBezTo>
                <a:cubicBezTo>
                  <a:pt x="10020060" y="4399526"/>
                  <a:pt x="10035446" y="4415118"/>
                  <a:pt x="10054413" y="4415118"/>
                </a:cubicBezTo>
                <a:cubicBezTo>
                  <a:pt x="10073380" y="4415118"/>
                  <a:pt x="10088754" y="4399526"/>
                  <a:pt x="10088754" y="4380298"/>
                </a:cubicBezTo>
                <a:cubicBezTo>
                  <a:pt x="10088754" y="4361069"/>
                  <a:pt x="10073380" y="4345477"/>
                  <a:pt x="10054413" y="4345477"/>
                </a:cubicBezTo>
                <a:close/>
                <a:moveTo>
                  <a:pt x="10138155" y="4345477"/>
                </a:moveTo>
                <a:cubicBezTo>
                  <a:pt x="10119188" y="4345477"/>
                  <a:pt x="10103802" y="4361069"/>
                  <a:pt x="10103802" y="4380298"/>
                </a:cubicBezTo>
                <a:cubicBezTo>
                  <a:pt x="10103802" y="4399526"/>
                  <a:pt x="10119188" y="4415118"/>
                  <a:pt x="10138155" y="4415118"/>
                </a:cubicBezTo>
                <a:cubicBezTo>
                  <a:pt x="10157122" y="4415118"/>
                  <a:pt x="10172495" y="4399526"/>
                  <a:pt x="10172495" y="4380298"/>
                </a:cubicBezTo>
                <a:cubicBezTo>
                  <a:pt x="10172495" y="4361069"/>
                  <a:pt x="10157122" y="4345477"/>
                  <a:pt x="10138155" y="4345477"/>
                </a:cubicBezTo>
                <a:close/>
                <a:moveTo>
                  <a:pt x="3438792" y="4430341"/>
                </a:moveTo>
                <a:cubicBezTo>
                  <a:pt x="3419825" y="4430341"/>
                  <a:pt x="3404445" y="4445933"/>
                  <a:pt x="3404445" y="4465162"/>
                </a:cubicBezTo>
                <a:cubicBezTo>
                  <a:pt x="3404445" y="4484390"/>
                  <a:pt x="3419825" y="4499982"/>
                  <a:pt x="3438792" y="4499982"/>
                </a:cubicBezTo>
                <a:cubicBezTo>
                  <a:pt x="3457759" y="4499982"/>
                  <a:pt x="3473139" y="4484390"/>
                  <a:pt x="3473139" y="4465162"/>
                </a:cubicBezTo>
                <a:cubicBezTo>
                  <a:pt x="3473139" y="4445933"/>
                  <a:pt x="3457759" y="4430341"/>
                  <a:pt x="3438792" y="4430341"/>
                </a:cubicBezTo>
                <a:close/>
                <a:moveTo>
                  <a:pt x="3522533" y="4430341"/>
                </a:moveTo>
                <a:cubicBezTo>
                  <a:pt x="3503566" y="4430341"/>
                  <a:pt x="3488187" y="4445933"/>
                  <a:pt x="3488187" y="4465162"/>
                </a:cubicBezTo>
                <a:cubicBezTo>
                  <a:pt x="3488187" y="4484390"/>
                  <a:pt x="3503566" y="4499982"/>
                  <a:pt x="3522533" y="4499982"/>
                </a:cubicBezTo>
                <a:cubicBezTo>
                  <a:pt x="3541500" y="4499982"/>
                  <a:pt x="3556880" y="4484390"/>
                  <a:pt x="3556880" y="4465162"/>
                </a:cubicBezTo>
                <a:cubicBezTo>
                  <a:pt x="3556880" y="4445933"/>
                  <a:pt x="3541500" y="4430341"/>
                  <a:pt x="3522533" y="4430341"/>
                </a:cubicBezTo>
                <a:close/>
                <a:moveTo>
                  <a:pt x="3606276" y="4430341"/>
                </a:moveTo>
                <a:cubicBezTo>
                  <a:pt x="3587309" y="4430341"/>
                  <a:pt x="3571929" y="4445933"/>
                  <a:pt x="3571929" y="4465162"/>
                </a:cubicBezTo>
                <a:cubicBezTo>
                  <a:pt x="3571929" y="4484390"/>
                  <a:pt x="3587309" y="4499982"/>
                  <a:pt x="3606276" y="4499982"/>
                </a:cubicBezTo>
                <a:cubicBezTo>
                  <a:pt x="3625243" y="4499982"/>
                  <a:pt x="3640622" y="4484390"/>
                  <a:pt x="3640622" y="4465162"/>
                </a:cubicBezTo>
                <a:cubicBezTo>
                  <a:pt x="3640622" y="4445933"/>
                  <a:pt x="3625243" y="4430341"/>
                  <a:pt x="3606276" y="4430341"/>
                </a:cubicBezTo>
                <a:close/>
                <a:moveTo>
                  <a:pt x="3690017" y="4430341"/>
                </a:moveTo>
                <a:cubicBezTo>
                  <a:pt x="3671050" y="4430341"/>
                  <a:pt x="3655670" y="4445933"/>
                  <a:pt x="3655670" y="4465162"/>
                </a:cubicBezTo>
                <a:cubicBezTo>
                  <a:pt x="3655670" y="4484390"/>
                  <a:pt x="3671050" y="4499982"/>
                  <a:pt x="3690017" y="4499982"/>
                </a:cubicBezTo>
                <a:cubicBezTo>
                  <a:pt x="3708984" y="4499982"/>
                  <a:pt x="3724364" y="4484390"/>
                  <a:pt x="3724364" y="4465162"/>
                </a:cubicBezTo>
                <a:cubicBezTo>
                  <a:pt x="3724364" y="4445933"/>
                  <a:pt x="3708984" y="4430341"/>
                  <a:pt x="3690017" y="4430341"/>
                </a:cubicBezTo>
                <a:close/>
                <a:moveTo>
                  <a:pt x="3773759" y="4430341"/>
                </a:moveTo>
                <a:cubicBezTo>
                  <a:pt x="3754792" y="4430341"/>
                  <a:pt x="3739412" y="4445933"/>
                  <a:pt x="3739412" y="4465162"/>
                </a:cubicBezTo>
                <a:cubicBezTo>
                  <a:pt x="3739412" y="4484390"/>
                  <a:pt x="3754792" y="4499982"/>
                  <a:pt x="3773759" y="4499982"/>
                </a:cubicBezTo>
                <a:cubicBezTo>
                  <a:pt x="3792726" y="4499982"/>
                  <a:pt x="3808106" y="4484390"/>
                  <a:pt x="3808106" y="4465162"/>
                </a:cubicBezTo>
                <a:cubicBezTo>
                  <a:pt x="3808106" y="4445933"/>
                  <a:pt x="3792726" y="4430341"/>
                  <a:pt x="3773759" y="4430341"/>
                </a:cubicBezTo>
                <a:close/>
                <a:moveTo>
                  <a:pt x="3857500" y="4430341"/>
                </a:moveTo>
                <a:cubicBezTo>
                  <a:pt x="3838533" y="4430341"/>
                  <a:pt x="3823154" y="4445933"/>
                  <a:pt x="3823154" y="4465162"/>
                </a:cubicBezTo>
                <a:cubicBezTo>
                  <a:pt x="3823154" y="4484390"/>
                  <a:pt x="3838533" y="4499982"/>
                  <a:pt x="3857500" y="4499982"/>
                </a:cubicBezTo>
                <a:cubicBezTo>
                  <a:pt x="3876467" y="4499982"/>
                  <a:pt x="3891847" y="4484390"/>
                  <a:pt x="3891847" y="4465162"/>
                </a:cubicBezTo>
                <a:cubicBezTo>
                  <a:pt x="3891847" y="4445933"/>
                  <a:pt x="3876467" y="4430341"/>
                  <a:pt x="3857500" y="4430341"/>
                </a:cubicBezTo>
                <a:close/>
                <a:moveTo>
                  <a:pt x="3941242" y="4430341"/>
                </a:moveTo>
                <a:cubicBezTo>
                  <a:pt x="3922275" y="4430341"/>
                  <a:pt x="3906895" y="4445933"/>
                  <a:pt x="3906895" y="4465162"/>
                </a:cubicBezTo>
                <a:cubicBezTo>
                  <a:pt x="3906895" y="4484390"/>
                  <a:pt x="3922275" y="4499982"/>
                  <a:pt x="3941242" y="4499982"/>
                </a:cubicBezTo>
                <a:cubicBezTo>
                  <a:pt x="3960209" y="4499982"/>
                  <a:pt x="3975588" y="4484390"/>
                  <a:pt x="3975588" y="4465162"/>
                </a:cubicBezTo>
                <a:cubicBezTo>
                  <a:pt x="3975588" y="4445933"/>
                  <a:pt x="3960209" y="4430341"/>
                  <a:pt x="3941242" y="4430341"/>
                </a:cubicBezTo>
                <a:close/>
                <a:moveTo>
                  <a:pt x="4024990" y="4430341"/>
                </a:moveTo>
                <a:cubicBezTo>
                  <a:pt x="4006023" y="4430341"/>
                  <a:pt x="3990643" y="4445933"/>
                  <a:pt x="3990643" y="4465162"/>
                </a:cubicBezTo>
                <a:cubicBezTo>
                  <a:pt x="3990643" y="4484390"/>
                  <a:pt x="4006023" y="4499982"/>
                  <a:pt x="4024990" y="4499982"/>
                </a:cubicBezTo>
                <a:cubicBezTo>
                  <a:pt x="4043957" y="4499982"/>
                  <a:pt x="4059337" y="4484390"/>
                  <a:pt x="4059337" y="4465162"/>
                </a:cubicBezTo>
                <a:cubicBezTo>
                  <a:pt x="4059337" y="4445933"/>
                  <a:pt x="4043957" y="4430341"/>
                  <a:pt x="4024990" y="4430341"/>
                </a:cubicBezTo>
                <a:close/>
                <a:moveTo>
                  <a:pt x="4108732" y="4430341"/>
                </a:moveTo>
                <a:cubicBezTo>
                  <a:pt x="4089765" y="4430341"/>
                  <a:pt x="4074386" y="4445933"/>
                  <a:pt x="4074386" y="4465162"/>
                </a:cubicBezTo>
                <a:cubicBezTo>
                  <a:pt x="4074386" y="4484390"/>
                  <a:pt x="4089765" y="4499982"/>
                  <a:pt x="4108732" y="4499982"/>
                </a:cubicBezTo>
                <a:cubicBezTo>
                  <a:pt x="4127699" y="4499982"/>
                  <a:pt x="4143079" y="4484390"/>
                  <a:pt x="4143079" y="4465162"/>
                </a:cubicBezTo>
                <a:cubicBezTo>
                  <a:pt x="4143079" y="4445933"/>
                  <a:pt x="4127699" y="4430341"/>
                  <a:pt x="4108732" y="4430341"/>
                </a:cubicBezTo>
                <a:close/>
                <a:moveTo>
                  <a:pt x="4192473" y="4430341"/>
                </a:moveTo>
                <a:cubicBezTo>
                  <a:pt x="4173506" y="4430341"/>
                  <a:pt x="4158127" y="4445933"/>
                  <a:pt x="4158127" y="4465162"/>
                </a:cubicBezTo>
                <a:cubicBezTo>
                  <a:pt x="4158127" y="4484390"/>
                  <a:pt x="4173506" y="4499982"/>
                  <a:pt x="4192473" y="4499982"/>
                </a:cubicBezTo>
                <a:cubicBezTo>
                  <a:pt x="4211440" y="4499982"/>
                  <a:pt x="4226820" y="4484390"/>
                  <a:pt x="4226820" y="4465162"/>
                </a:cubicBezTo>
                <a:cubicBezTo>
                  <a:pt x="4226820" y="4445933"/>
                  <a:pt x="4211440" y="4430341"/>
                  <a:pt x="4192473" y="4430341"/>
                </a:cubicBezTo>
                <a:close/>
                <a:moveTo>
                  <a:pt x="4276215" y="4430341"/>
                </a:moveTo>
                <a:cubicBezTo>
                  <a:pt x="4257248" y="4430341"/>
                  <a:pt x="4241868" y="4445933"/>
                  <a:pt x="4241868" y="4465162"/>
                </a:cubicBezTo>
                <a:cubicBezTo>
                  <a:pt x="4241868" y="4484390"/>
                  <a:pt x="4257248" y="4499982"/>
                  <a:pt x="4276215" y="4499982"/>
                </a:cubicBezTo>
                <a:cubicBezTo>
                  <a:pt x="4295182" y="4499982"/>
                  <a:pt x="4310561" y="4484390"/>
                  <a:pt x="4310561" y="4465162"/>
                </a:cubicBezTo>
                <a:cubicBezTo>
                  <a:pt x="4310561" y="4445933"/>
                  <a:pt x="4295182" y="4430341"/>
                  <a:pt x="4276215" y="4430341"/>
                </a:cubicBezTo>
                <a:close/>
                <a:moveTo>
                  <a:pt x="4359957" y="4430341"/>
                </a:moveTo>
                <a:cubicBezTo>
                  <a:pt x="4340990" y="4430341"/>
                  <a:pt x="4325610" y="4445933"/>
                  <a:pt x="4325610" y="4465162"/>
                </a:cubicBezTo>
                <a:cubicBezTo>
                  <a:pt x="4325610" y="4484390"/>
                  <a:pt x="4340990" y="4499982"/>
                  <a:pt x="4359957" y="4499982"/>
                </a:cubicBezTo>
                <a:cubicBezTo>
                  <a:pt x="4378924" y="4499982"/>
                  <a:pt x="4394304" y="4484390"/>
                  <a:pt x="4394304" y="4465162"/>
                </a:cubicBezTo>
                <a:cubicBezTo>
                  <a:pt x="4394304" y="4445933"/>
                  <a:pt x="4378924" y="4430341"/>
                  <a:pt x="4359957" y="4430341"/>
                </a:cubicBezTo>
                <a:close/>
                <a:moveTo>
                  <a:pt x="4443698" y="4430341"/>
                </a:moveTo>
                <a:cubicBezTo>
                  <a:pt x="4424731" y="4430341"/>
                  <a:pt x="4409352" y="4445933"/>
                  <a:pt x="4409352" y="4465162"/>
                </a:cubicBezTo>
                <a:cubicBezTo>
                  <a:pt x="4409352" y="4484390"/>
                  <a:pt x="4424731" y="4499982"/>
                  <a:pt x="4443698" y="4499982"/>
                </a:cubicBezTo>
                <a:cubicBezTo>
                  <a:pt x="4462665" y="4499982"/>
                  <a:pt x="4478045" y="4484390"/>
                  <a:pt x="4478045" y="4465162"/>
                </a:cubicBezTo>
                <a:cubicBezTo>
                  <a:pt x="4478045" y="4445933"/>
                  <a:pt x="4462665" y="4430341"/>
                  <a:pt x="4443698" y="4430341"/>
                </a:cubicBezTo>
                <a:close/>
                <a:moveTo>
                  <a:pt x="4527439" y="4430341"/>
                </a:moveTo>
                <a:cubicBezTo>
                  <a:pt x="4508472" y="4430341"/>
                  <a:pt x="4493093" y="4445933"/>
                  <a:pt x="4493093" y="4465162"/>
                </a:cubicBezTo>
                <a:cubicBezTo>
                  <a:pt x="4493093" y="4484390"/>
                  <a:pt x="4508472" y="4499982"/>
                  <a:pt x="4527439" y="4499982"/>
                </a:cubicBezTo>
                <a:cubicBezTo>
                  <a:pt x="4546406" y="4499982"/>
                  <a:pt x="4561786" y="4484390"/>
                  <a:pt x="4561786" y="4465162"/>
                </a:cubicBezTo>
                <a:cubicBezTo>
                  <a:pt x="4561786" y="4445933"/>
                  <a:pt x="4546406" y="4430341"/>
                  <a:pt x="4527439" y="4430341"/>
                </a:cubicBezTo>
                <a:close/>
                <a:moveTo>
                  <a:pt x="4611182" y="4430341"/>
                </a:moveTo>
                <a:cubicBezTo>
                  <a:pt x="4592215" y="4430341"/>
                  <a:pt x="4576835" y="4445933"/>
                  <a:pt x="4576835" y="4465162"/>
                </a:cubicBezTo>
                <a:cubicBezTo>
                  <a:pt x="4576835" y="4484390"/>
                  <a:pt x="4592215" y="4499982"/>
                  <a:pt x="4611182" y="4499982"/>
                </a:cubicBezTo>
                <a:cubicBezTo>
                  <a:pt x="4630149" y="4499982"/>
                  <a:pt x="4645528" y="4484390"/>
                  <a:pt x="4645528" y="4465162"/>
                </a:cubicBezTo>
                <a:cubicBezTo>
                  <a:pt x="4645528" y="4445933"/>
                  <a:pt x="4630149" y="4430341"/>
                  <a:pt x="4611182" y="4430341"/>
                </a:cubicBezTo>
                <a:close/>
                <a:moveTo>
                  <a:pt x="4694923" y="4430341"/>
                </a:moveTo>
                <a:cubicBezTo>
                  <a:pt x="4675956" y="4430341"/>
                  <a:pt x="4660576" y="4445933"/>
                  <a:pt x="4660576" y="4465162"/>
                </a:cubicBezTo>
                <a:cubicBezTo>
                  <a:pt x="4660576" y="4484390"/>
                  <a:pt x="4675956" y="4499982"/>
                  <a:pt x="4694923" y="4499982"/>
                </a:cubicBezTo>
                <a:cubicBezTo>
                  <a:pt x="4713890" y="4499982"/>
                  <a:pt x="4729270" y="4484390"/>
                  <a:pt x="4729270" y="4465162"/>
                </a:cubicBezTo>
                <a:cubicBezTo>
                  <a:pt x="4729270" y="4445933"/>
                  <a:pt x="4713890" y="4430341"/>
                  <a:pt x="4694923" y="4430341"/>
                </a:cubicBezTo>
                <a:close/>
                <a:moveTo>
                  <a:pt x="6286014" y="4430341"/>
                </a:moveTo>
                <a:cubicBezTo>
                  <a:pt x="6267047" y="4430341"/>
                  <a:pt x="6251661" y="4445933"/>
                  <a:pt x="6251661" y="4465162"/>
                </a:cubicBezTo>
                <a:cubicBezTo>
                  <a:pt x="6251661" y="4484390"/>
                  <a:pt x="6267047" y="4499982"/>
                  <a:pt x="6286014" y="4499982"/>
                </a:cubicBezTo>
                <a:cubicBezTo>
                  <a:pt x="6304981" y="4499982"/>
                  <a:pt x="6320354" y="4484390"/>
                  <a:pt x="6320354" y="4465162"/>
                </a:cubicBezTo>
                <a:cubicBezTo>
                  <a:pt x="6320354" y="4445933"/>
                  <a:pt x="6304981" y="4430341"/>
                  <a:pt x="6286014" y="4430341"/>
                </a:cubicBezTo>
                <a:close/>
                <a:moveTo>
                  <a:pt x="6369755" y="4430341"/>
                </a:moveTo>
                <a:cubicBezTo>
                  <a:pt x="6350788" y="4430341"/>
                  <a:pt x="6335402" y="4445933"/>
                  <a:pt x="6335402" y="4465162"/>
                </a:cubicBezTo>
                <a:cubicBezTo>
                  <a:pt x="6335402" y="4484390"/>
                  <a:pt x="6350788" y="4499982"/>
                  <a:pt x="6369755" y="4499982"/>
                </a:cubicBezTo>
                <a:cubicBezTo>
                  <a:pt x="6388722" y="4499982"/>
                  <a:pt x="6404096" y="4484390"/>
                  <a:pt x="6404096" y="4465162"/>
                </a:cubicBezTo>
                <a:cubicBezTo>
                  <a:pt x="6404096" y="4445933"/>
                  <a:pt x="6388722" y="4430341"/>
                  <a:pt x="6369755" y="4430341"/>
                </a:cubicBezTo>
                <a:close/>
                <a:moveTo>
                  <a:pt x="6453498" y="4430341"/>
                </a:moveTo>
                <a:cubicBezTo>
                  <a:pt x="6434531" y="4430341"/>
                  <a:pt x="6419144" y="4445933"/>
                  <a:pt x="6419144" y="4465162"/>
                </a:cubicBezTo>
                <a:cubicBezTo>
                  <a:pt x="6419144" y="4484390"/>
                  <a:pt x="6434531" y="4499982"/>
                  <a:pt x="6453498" y="4499982"/>
                </a:cubicBezTo>
                <a:cubicBezTo>
                  <a:pt x="6472465" y="4499982"/>
                  <a:pt x="6487838" y="4484390"/>
                  <a:pt x="6487838" y="4465162"/>
                </a:cubicBezTo>
                <a:cubicBezTo>
                  <a:pt x="6487838" y="4445933"/>
                  <a:pt x="6472465" y="4430341"/>
                  <a:pt x="6453498" y="4430341"/>
                </a:cubicBezTo>
                <a:close/>
                <a:moveTo>
                  <a:pt x="6537239" y="4430341"/>
                </a:moveTo>
                <a:cubicBezTo>
                  <a:pt x="6518272" y="4430341"/>
                  <a:pt x="6502886" y="4445933"/>
                  <a:pt x="6502886" y="4465162"/>
                </a:cubicBezTo>
                <a:cubicBezTo>
                  <a:pt x="6502886" y="4484390"/>
                  <a:pt x="6518272" y="4499982"/>
                  <a:pt x="6537239" y="4499982"/>
                </a:cubicBezTo>
                <a:cubicBezTo>
                  <a:pt x="6556206" y="4499982"/>
                  <a:pt x="6571579" y="4484390"/>
                  <a:pt x="6571579" y="4465162"/>
                </a:cubicBezTo>
                <a:cubicBezTo>
                  <a:pt x="6571579" y="4445933"/>
                  <a:pt x="6556206" y="4430341"/>
                  <a:pt x="6537239" y="4430341"/>
                </a:cubicBezTo>
                <a:close/>
                <a:moveTo>
                  <a:pt x="6620980" y="4430341"/>
                </a:moveTo>
                <a:cubicBezTo>
                  <a:pt x="6602013" y="4430341"/>
                  <a:pt x="6586627" y="4445933"/>
                  <a:pt x="6586627" y="4465162"/>
                </a:cubicBezTo>
                <a:cubicBezTo>
                  <a:pt x="6586627" y="4484390"/>
                  <a:pt x="6602013" y="4499982"/>
                  <a:pt x="6620980" y="4499982"/>
                </a:cubicBezTo>
                <a:cubicBezTo>
                  <a:pt x="6639947" y="4499982"/>
                  <a:pt x="6655320" y="4484390"/>
                  <a:pt x="6655320" y="4465162"/>
                </a:cubicBezTo>
                <a:cubicBezTo>
                  <a:pt x="6655320" y="4445933"/>
                  <a:pt x="6639947" y="4430341"/>
                  <a:pt x="6620980" y="4430341"/>
                </a:cubicBezTo>
                <a:close/>
                <a:moveTo>
                  <a:pt x="6704722" y="4430341"/>
                </a:moveTo>
                <a:cubicBezTo>
                  <a:pt x="6685755" y="4430341"/>
                  <a:pt x="6670369" y="4445933"/>
                  <a:pt x="6670369" y="4465162"/>
                </a:cubicBezTo>
                <a:cubicBezTo>
                  <a:pt x="6670369" y="4484390"/>
                  <a:pt x="6685755" y="4499982"/>
                  <a:pt x="6704722" y="4499982"/>
                </a:cubicBezTo>
                <a:cubicBezTo>
                  <a:pt x="6723689" y="4499982"/>
                  <a:pt x="6739063" y="4484390"/>
                  <a:pt x="6739063" y="4465162"/>
                </a:cubicBezTo>
                <a:cubicBezTo>
                  <a:pt x="6739063" y="4445933"/>
                  <a:pt x="6723689" y="4430341"/>
                  <a:pt x="6704722" y="4430341"/>
                </a:cubicBezTo>
                <a:close/>
                <a:moveTo>
                  <a:pt x="6872206" y="4430341"/>
                </a:moveTo>
                <a:cubicBezTo>
                  <a:pt x="6853239" y="4430341"/>
                  <a:pt x="6837853" y="4445933"/>
                  <a:pt x="6837853" y="4465162"/>
                </a:cubicBezTo>
                <a:cubicBezTo>
                  <a:pt x="6837853" y="4484390"/>
                  <a:pt x="6853239" y="4499982"/>
                  <a:pt x="6872206" y="4499982"/>
                </a:cubicBezTo>
                <a:cubicBezTo>
                  <a:pt x="6891173" y="4499982"/>
                  <a:pt x="6906546" y="4484390"/>
                  <a:pt x="6906546" y="4465162"/>
                </a:cubicBezTo>
                <a:cubicBezTo>
                  <a:pt x="6906546" y="4445933"/>
                  <a:pt x="6891173" y="4430341"/>
                  <a:pt x="6872206" y="4430341"/>
                </a:cubicBezTo>
                <a:close/>
                <a:moveTo>
                  <a:pt x="6955947" y="4430341"/>
                </a:moveTo>
                <a:cubicBezTo>
                  <a:pt x="6936980" y="4430341"/>
                  <a:pt x="6921594" y="4445933"/>
                  <a:pt x="6921594" y="4465162"/>
                </a:cubicBezTo>
                <a:cubicBezTo>
                  <a:pt x="6921594" y="4484390"/>
                  <a:pt x="6936980" y="4499982"/>
                  <a:pt x="6955947" y="4499982"/>
                </a:cubicBezTo>
                <a:cubicBezTo>
                  <a:pt x="6974914" y="4499982"/>
                  <a:pt x="6990287" y="4484390"/>
                  <a:pt x="6990287" y="4465162"/>
                </a:cubicBezTo>
                <a:cubicBezTo>
                  <a:pt x="6990287" y="4445933"/>
                  <a:pt x="6974914" y="4430341"/>
                  <a:pt x="6955947" y="4430341"/>
                </a:cubicBezTo>
                <a:close/>
                <a:moveTo>
                  <a:pt x="7039688" y="4430341"/>
                </a:moveTo>
                <a:cubicBezTo>
                  <a:pt x="7020721" y="4430341"/>
                  <a:pt x="7005335" y="4445933"/>
                  <a:pt x="7005335" y="4465162"/>
                </a:cubicBezTo>
                <a:cubicBezTo>
                  <a:pt x="7005335" y="4484390"/>
                  <a:pt x="7020721" y="4499982"/>
                  <a:pt x="7039688" y="4499982"/>
                </a:cubicBezTo>
                <a:cubicBezTo>
                  <a:pt x="7058655" y="4499982"/>
                  <a:pt x="7074029" y="4484390"/>
                  <a:pt x="7074029" y="4465162"/>
                </a:cubicBezTo>
                <a:cubicBezTo>
                  <a:pt x="7074029" y="4445933"/>
                  <a:pt x="7058655" y="4430341"/>
                  <a:pt x="7039688" y="4430341"/>
                </a:cubicBezTo>
                <a:close/>
                <a:moveTo>
                  <a:pt x="9133256" y="4430341"/>
                </a:moveTo>
                <a:cubicBezTo>
                  <a:pt x="9114289" y="4430341"/>
                  <a:pt x="9098903" y="4445933"/>
                  <a:pt x="9098903" y="4465162"/>
                </a:cubicBezTo>
                <a:cubicBezTo>
                  <a:pt x="9098903" y="4484390"/>
                  <a:pt x="9114289" y="4499982"/>
                  <a:pt x="9133256" y="4499982"/>
                </a:cubicBezTo>
                <a:cubicBezTo>
                  <a:pt x="9152223" y="4499982"/>
                  <a:pt x="9167596" y="4484390"/>
                  <a:pt x="9167596" y="4465162"/>
                </a:cubicBezTo>
                <a:cubicBezTo>
                  <a:pt x="9167596" y="4445933"/>
                  <a:pt x="9152223" y="4430341"/>
                  <a:pt x="9133256" y="4430341"/>
                </a:cubicBezTo>
                <a:close/>
                <a:moveTo>
                  <a:pt x="9635705" y="4430341"/>
                </a:moveTo>
                <a:cubicBezTo>
                  <a:pt x="9616738" y="4430341"/>
                  <a:pt x="9601352" y="4445933"/>
                  <a:pt x="9601352" y="4465162"/>
                </a:cubicBezTo>
                <a:cubicBezTo>
                  <a:pt x="9601352" y="4484390"/>
                  <a:pt x="9616738" y="4499982"/>
                  <a:pt x="9635705" y="4499982"/>
                </a:cubicBezTo>
                <a:cubicBezTo>
                  <a:pt x="9654672" y="4499982"/>
                  <a:pt x="9670045" y="4484390"/>
                  <a:pt x="9670045" y="4465162"/>
                </a:cubicBezTo>
                <a:cubicBezTo>
                  <a:pt x="9670045" y="4445933"/>
                  <a:pt x="9654672" y="4430341"/>
                  <a:pt x="9635705" y="4430341"/>
                </a:cubicBezTo>
                <a:close/>
                <a:moveTo>
                  <a:pt x="10054413" y="4430341"/>
                </a:moveTo>
                <a:cubicBezTo>
                  <a:pt x="10035446" y="4430341"/>
                  <a:pt x="10020060" y="4445933"/>
                  <a:pt x="10020060" y="4465162"/>
                </a:cubicBezTo>
                <a:cubicBezTo>
                  <a:pt x="10020060" y="4484390"/>
                  <a:pt x="10035446" y="4499982"/>
                  <a:pt x="10054413" y="4499982"/>
                </a:cubicBezTo>
                <a:cubicBezTo>
                  <a:pt x="10073380" y="4499982"/>
                  <a:pt x="10088754" y="4484390"/>
                  <a:pt x="10088754" y="4465162"/>
                </a:cubicBezTo>
                <a:cubicBezTo>
                  <a:pt x="10088754" y="4445933"/>
                  <a:pt x="10073380" y="4430341"/>
                  <a:pt x="10054413" y="4430341"/>
                </a:cubicBezTo>
                <a:close/>
                <a:moveTo>
                  <a:pt x="10138155" y="4430341"/>
                </a:moveTo>
                <a:cubicBezTo>
                  <a:pt x="10119188" y="4430341"/>
                  <a:pt x="10103802" y="4445933"/>
                  <a:pt x="10103802" y="4465162"/>
                </a:cubicBezTo>
                <a:cubicBezTo>
                  <a:pt x="10103802" y="4484390"/>
                  <a:pt x="10119188" y="4499982"/>
                  <a:pt x="10138155" y="4499982"/>
                </a:cubicBezTo>
                <a:cubicBezTo>
                  <a:pt x="10157122" y="4499982"/>
                  <a:pt x="10172495" y="4484390"/>
                  <a:pt x="10172495" y="4465162"/>
                </a:cubicBezTo>
                <a:cubicBezTo>
                  <a:pt x="10172495" y="4445933"/>
                  <a:pt x="10157122" y="4430341"/>
                  <a:pt x="10138155" y="4430341"/>
                </a:cubicBezTo>
                <a:close/>
                <a:moveTo>
                  <a:pt x="10221896" y="4430341"/>
                </a:moveTo>
                <a:cubicBezTo>
                  <a:pt x="10202929" y="4430341"/>
                  <a:pt x="10187543" y="4445933"/>
                  <a:pt x="10187543" y="4465162"/>
                </a:cubicBezTo>
                <a:cubicBezTo>
                  <a:pt x="10187543" y="4484390"/>
                  <a:pt x="10202929" y="4499982"/>
                  <a:pt x="10221896" y="4499982"/>
                </a:cubicBezTo>
                <a:cubicBezTo>
                  <a:pt x="10240863" y="4499982"/>
                  <a:pt x="10256236" y="4484390"/>
                  <a:pt x="10256236" y="4465162"/>
                </a:cubicBezTo>
                <a:cubicBezTo>
                  <a:pt x="10256236" y="4445933"/>
                  <a:pt x="10240863" y="4430341"/>
                  <a:pt x="10221896" y="4430341"/>
                </a:cubicBezTo>
                <a:close/>
                <a:moveTo>
                  <a:pt x="10305638" y="4430341"/>
                </a:moveTo>
                <a:cubicBezTo>
                  <a:pt x="10286671" y="4430341"/>
                  <a:pt x="10271285" y="4445933"/>
                  <a:pt x="10271285" y="4465162"/>
                </a:cubicBezTo>
                <a:cubicBezTo>
                  <a:pt x="10271285" y="4484390"/>
                  <a:pt x="10286671" y="4499982"/>
                  <a:pt x="10305638" y="4499982"/>
                </a:cubicBezTo>
                <a:cubicBezTo>
                  <a:pt x="10324605" y="4499982"/>
                  <a:pt x="10339978" y="4484390"/>
                  <a:pt x="10339978" y="4465162"/>
                </a:cubicBezTo>
                <a:cubicBezTo>
                  <a:pt x="10339978" y="4445933"/>
                  <a:pt x="10324605" y="4430341"/>
                  <a:pt x="10305638" y="4430341"/>
                </a:cubicBezTo>
                <a:close/>
                <a:moveTo>
                  <a:pt x="10556863" y="4430341"/>
                </a:moveTo>
                <a:cubicBezTo>
                  <a:pt x="10537896" y="4430341"/>
                  <a:pt x="10522510" y="4445933"/>
                  <a:pt x="10522510" y="4465162"/>
                </a:cubicBezTo>
                <a:cubicBezTo>
                  <a:pt x="10522510" y="4484390"/>
                  <a:pt x="10537896" y="4499982"/>
                  <a:pt x="10556863" y="4499982"/>
                </a:cubicBezTo>
                <a:cubicBezTo>
                  <a:pt x="10575830" y="4499982"/>
                  <a:pt x="10591203" y="4484390"/>
                  <a:pt x="10591203" y="4465162"/>
                </a:cubicBezTo>
                <a:cubicBezTo>
                  <a:pt x="10591203" y="4445933"/>
                  <a:pt x="10575830" y="4430341"/>
                  <a:pt x="10556863" y="4430341"/>
                </a:cubicBezTo>
                <a:close/>
                <a:moveTo>
                  <a:pt x="3438792" y="4515205"/>
                </a:moveTo>
                <a:cubicBezTo>
                  <a:pt x="3419825" y="4515205"/>
                  <a:pt x="3404445" y="4530797"/>
                  <a:pt x="3404445" y="4550025"/>
                </a:cubicBezTo>
                <a:cubicBezTo>
                  <a:pt x="3404445" y="4569254"/>
                  <a:pt x="3419825" y="4584846"/>
                  <a:pt x="3438792" y="4584846"/>
                </a:cubicBezTo>
                <a:cubicBezTo>
                  <a:pt x="3457759" y="4584846"/>
                  <a:pt x="3473139" y="4569254"/>
                  <a:pt x="3473139" y="4550025"/>
                </a:cubicBezTo>
                <a:cubicBezTo>
                  <a:pt x="3473139" y="4530797"/>
                  <a:pt x="3457759" y="4515205"/>
                  <a:pt x="3438792" y="4515205"/>
                </a:cubicBezTo>
                <a:close/>
                <a:moveTo>
                  <a:pt x="3522533" y="4515205"/>
                </a:moveTo>
                <a:cubicBezTo>
                  <a:pt x="3503566" y="4515205"/>
                  <a:pt x="3488187" y="4530797"/>
                  <a:pt x="3488187" y="4550025"/>
                </a:cubicBezTo>
                <a:cubicBezTo>
                  <a:pt x="3488187" y="4569254"/>
                  <a:pt x="3503566" y="4584846"/>
                  <a:pt x="3522533" y="4584846"/>
                </a:cubicBezTo>
                <a:cubicBezTo>
                  <a:pt x="3541500" y="4584846"/>
                  <a:pt x="3556880" y="4569254"/>
                  <a:pt x="3556880" y="4550025"/>
                </a:cubicBezTo>
                <a:cubicBezTo>
                  <a:pt x="3556880" y="4530797"/>
                  <a:pt x="3541500" y="4515205"/>
                  <a:pt x="3522533" y="4515205"/>
                </a:cubicBezTo>
                <a:close/>
                <a:moveTo>
                  <a:pt x="3606276" y="4515205"/>
                </a:moveTo>
                <a:cubicBezTo>
                  <a:pt x="3587309" y="4515205"/>
                  <a:pt x="3571929" y="4530797"/>
                  <a:pt x="3571929" y="4550025"/>
                </a:cubicBezTo>
                <a:cubicBezTo>
                  <a:pt x="3571929" y="4569254"/>
                  <a:pt x="3587309" y="4584846"/>
                  <a:pt x="3606276" y="4584846"/>
                </a:cubicBezTo>
                <a:cubicBezTo>
                  <a:pt x="3625243" y="4584846"/>
                  <a:pt x="3640622" y="4569254"/>
                  <a:pt x="3640622" y="4550025"/>
                </a:cubicBezTo>
                <a:cubicBezTo>
                  <a:pt x="3640622" y="4530797"/>
                  <a:pt x="3625243" y="4515205"/>
                  <a:pt x="3606276" y="4515205"/>
                </a:cubicBezTo>
                <a:close/>
                <a:moveTo>
                  <a:pt x="3690017" y="4515205"/>
                </a:moveTo>
                <a:cubicBezTo>
                  <a:pt x="3671050" y="4515205"/>
                  <a:pt x="3655670" y="4530797"/>
                  <a:pt x="3655670" y="4550025"/>
                </a:cubicBezTo>
                <a:cubicBezTo>
                  <a:pt x="3655670" y="4569254"/>
                  <a:pt x="3671050" y="4584846"/>
                  <a:pt x="3690017" y="4584846"/>
                </a:cubicBezTo>
                <a:cubicBezTo>
                  <a:pt x="3708984" y="4584846"/>
                  <a:pt x="3724364" y="4569254"/>
                  <a:pt x="3724364" y="4550025"/>
                </a:cubicBezTo>
                <a:cubicBezTo>
                  <a:pt x="3724364" y="4530797"/>
                  <a:pt x="3708984" y="4515205"/>
                  <a:pt x="3690017" y="4515205"/>
                </a:cubicBezTo>
                <a:close/>
                <a:moveTo>
                  <a:pt x="3773759" y="4515205"/>
                </a:moveTo>
                <a:cubicBezTo>
                  <a:pt x="3754792" y="4515205"/>
                  <a:pt x="3739412" y="4530797"/>
                  <a:pt x="3739412" y="4550025"/>
                </a:cubicBezTo>
                <a:cubicBezTo>
                  <a:pt x="3739412" y="4569254"/>
                  <a:pt x="3754792" y="4584846"/>
                  <a:pt x="3773759" y="4584846"/>
                </a:cubicBezTo>
                <a:cubicBezTo>
                  <a:pt x="3792726" y="4584846"/>
                  <a:pt x="3808106" y="4569254"/>
                  <a:pt x="3808106" y="4550025"/>
                </a:cubicBezTo>
                <a:cubicBezTo>
                  <a:pt x="3808106" y="4530797"/>
                  <a:pt x="3792726" y="4515205"/>
                  <a:pt x="3773759" y="4515205"/>
                </a:cubicBezTo>
                <a:close/>
                <a:moveTo>
                  <a:pt x="3857500" y="4515205"/>
                </a:moveTo>
                <a:cubicBezTo>
                  <a:pt x="3838533" y="4515205"/>
                  <a:pt x="3823154" y="4530797"/>
                  <a:pt x="3823154" y="4550025"/>
                </a:cubicBezTo>
                <a:cubicBezTo>
                  <a:pt x="3823154" y="4569254"/>
                  <a:pt x="3838533" y="4584846"/>
                  <a:pt x="3857500" y="4584846"/>
                </a:cubicBezTo>
                <a:cubicBezTo>
                  <a:pt x="3876467" y="4584846"/>
                  <a:pt x="3891847" y="4569254"/>
                  <a:pt x="3891847" y="4550025"/>
                </a:cubicBezTo>
                <a:cubicBezTo>
                  <a:pt x="3891847" y="4530797"/>
                  <a:pt x="3876467" y="4515205"/>
                  <a:pt x="3857500" y="4515205"/>
                </a:cubicBezTo>
                <a:close/>
                <a:moveTo>
                  <a:pt x="3941242" y="4515205"/>
                </a:moveTo>
                <a:cubicBezTo>
                  <a:pt x="3922275" y="4515205"/>
                  <a:pt x="3906895" y="4530797"/>
                  <a:pt x="3906895" y="4550025"/>
                </a:cubicBezTo>
                <a:cubicBezTo>
                  <a:pt x="3906895" y="4569254"/>
                  <a:pt x="3922275" y="4584846"/>
                  <a:pt x="3941242" y="4584846"/>
                </a:cubicBezTo>
                <a:cubicBezTo>
                  <a:pt x="3960209" y="4584846"/>
                  <a:pt x="3975588" y="4569254"/>
                  <a:pt x="3975588" y="4550025"/>
                </a:cubicBezTo>
                <a:cubicBezTo>
                  <a:pt x="3975588" y="4530797"/>
                  <a:pt x="3960209" y="4515205"/>
                  <a:pt x="3941242" y="4515205"/>
                </a:cubicBezTo>
                <a:close/>
                <a:moveTo>
                  <a:pt x="4024990" y="4515205"/>
                </a:moveTo>
                <a:cubicBezTo>
                  <a:pt x="4006023" y="4515205"/>
                  <a:pt x="3990643" y="4530797"/>
                  <a:pt x="3990643" y="4550025"/>
                </a:cubicBezTo>
                <a:cubicBezTo>
                  <a:pt x="3990643" y="4569254"/>
                  <a:pt x="4006023" y="4584846"/>
                  <a:pt x="4024990" y="4584846"/>
                </a:cubicBezTo>
                <a:cubicBezTo>
                  <a:pt x="4043957" y="4584846"/>
                  <a:pt x="4059337" y="4569254"/>
                  <a:pt x="4059337" y="4550025"/>
                </a:cubicBezTo>
                <a:cubicBezTo>
                  <a:pt x="4059337" y="4530797"/>
                  <a:pt x="4043957" y="4515205"/>
                  <a:pt x="4024990" y="4515205"/>
                </a:cubicBezTo>
                <a:close/>
                <a:moveTo>
                  <a:pt x="4108732" y="4515205"/>
                </a:moveTo>
                <a:cubicBezTo>
                  <a:pt x="4089765" y="4515205"/>
                  <a:pt x="4074386" y="4530797"/>
                  <a:pt x="4074386" y="4550025"/>
                </a:cubicBezTo>
                <a:cubicBezTo>
                  <a:pt x="4074386" y="4569254"/>
                  <a:pt x="4089765" y="4584846"/>
                  <a:pt x="4108732" y="4584846"/>
                </a:cubicBezTo>
                <a:cubicBezTo>
                  <a:pt x="4127699" y="4584846"/>
                  <a:pt x="4143079" y="4569254"/>
                  <a:pt x="4143079" y="4550025"/>
                </a:cubicBezTo>
                <a:cubicBezTo>
                  <a:pt x="4143079" y="4530797"/>
                  <a:pt x="4127699" y="4515205"/>
                  <a:pt x="4108732" y="4515205"/>
                </a:cubicBezTo>
                <a:close/>
                <a:moveTo>
                  <a:pt x="4192473" y="4515205"/>
                </a:moveTo>
                <a:cubicBezTo>
                  <a:pt x="4173506" y="4515205"/>
                  <a:pt x="4158127" y="4530797"/>
                  <a:pt x="4158127" y="4550025"/>
                </a:cubicBezTo>
                <a:cubicBezTo>
                  <a:pt x="4158127" y="4569254"/>
                  <a:pt x="4173506" y="4584846"/>
                  <a:pt x="4192473" y="4584846"/>
                </a:cubicBezTo>
                <a:cubicBezTo>
                  <a:pt x="4211440" y="4584846"/>
                  <a:pt x="4226820" y="4569254"/>
                  <a:pt x="4226820" y="4550025"/>
                </a:cubicBezTo>
                <a:cubicBezTo>
                  <a:pt x="4226820" y="4530797"/>
                  <a:pt x="4211440" y="4515205"/>
                  <a:pt x="4192473" y="4515205"/>
                </a:cubicBezTo>
                <a:close/>
                <a:moveTo>
                  <a:pt x="4276215" y="4515205"/>
                </a:moveTo>
                <a:cubicBezTo>
                  <a:pt x="4257248" y="4515205"/>
                  <a:pt x="4241868" y="4530797"/>
                  <a:pt x="4241868" y="4550025"/>
                </a:cubicBezTo>
                <a:cubicBezTo>
                  <a:pt x="4241868" y="4569254"/>
                  <a:pt x="4257248" y="4584846"/>
                  <a:pt x="4276215" y="4584846"/>
                </a:cubicBezTo>
                <a:cubicBezTo>
                  <a:pt x="4295182" y="4584846"/>
                  <a:pt x="4310561" y="4569254"/>
                  <a:pt x="4310561" y="4550025"/>
                </a:cubicBezTo>
                <a:cubicBezTo>
                  <a:pt x="4310561" y="4530797"/>
                  <a:pt x="4295182" y="4515205"/>
                  <a:pt x="4276215" y="4515205"/>
                </a:cubicBezTo>
                <a:close/>
                <a:moveTo>
                  <a:pt x="4359957" y="4515205"/>
                </a:moveTo>
                <a:cubicBezTo>
                  <a:pt x="4340990" y="4515205"/>
                  <a:pt x="4325610" y="4530797"/>
                  <a:pt x="4325610" y="4550025"/>
                </a:cubicBezTo>
                <a:cubicBezTo>
                  <a:pt x="4325610" y="4569254"/>
                  <a:pt x="4340990" y="4584846"/>
                  <a:pt x="4359957" y="4584846"/>
                </a:cubicBezTo>
                <a:cubicBezTo>
                  <a:pt x="4378924" y="4584846"/>
                  <a:pt x="4394304" y="4569254"/>
                  <a:pt x="4394304" y="4550025"/>
                </a:cubicBezTo>
                <a:cubicBezTo>
                  <a:pt x="4394304" y="4530797"/>
                  <a:pt x="4378924" y="4515205"/>
                  <a:pt x="4359957" y="4515205"/>
                </a:cubicBezTo>
                <a:close/>
                <a:moveTo>
                  <a:pt x="4443698" y="4515205"/>
                </a:moveTo>
                <a:cubicBezTo>
                  <a:pt x="4424731" y="4515205"/>
                  <a:pt x="4409352" y="4530797"/>
                  <a:pt x="4409352" y="4550025"/>
                </a:cubicBezTo>
                <a:cubicBezTo>
                  <a:pt x="4409352" y="4569254"/>
                  <a:pt x="4424731" y="4584846"/>
                  <a:pt x="4443698" y="4584846"/>
                </a:cubicBezTo>
                <a:cubicBezTo>
                  <a:pt x="4462665" y="4584846"/>
                  <a:pt x="4478045" y="4569254"/>
                  <a:pt x="4478045" y="4550025"/>
                </a:cubicBezTo>
                <a:cubicBezTo>
                  <a:pt x="4478045" y="4530797"/>
                  <a:pt x="4462665" y="4515205"/>
                  <a:pt x="4443698" y="4515205"/>
                </a:cubicBezTo>
                <a:close/>
                <a:moveTo>
                  <a:pt x="4527439" y="4515205"/>
                </a:moveTo>
                <a:cubicBezTo>
                  <a:pt x="4508472" y="4515205"/>
                  <a:pt x="4493093" y="4530797"/>
                  <a:pt x="4493093" y="4550025"/>
                </a:cubicBezTo>
                <a:cubicBezTo>
                  <a:pt x="4493093" y="4569254"/>
                  <a:pt x="4508472" y="4584846"/>
                  <a:pt x="4527439" y="4584846"/>
                </a:cubicBezTo>
                <a:cubicBezTo>
                  <a:pt x="4546406" y="4584846"/>
                  <a:pt x="4561786" y="4569254"/>
                  <a:pt x="4561786" y="4550025"/>
                </a:cubicBezTo>
                <a:cubicBezTo>
                  <a:pt x="4561786" y="4530797"/>
                  <a:pt x="4546406" y="4515205"/>
                  <a:pt x="4527439" y="4515205"/>
                </a:cubicBezTo>
                <a:close/>
                <a:moveTo>
                  <a:pt x="4611182" y="4515205"/>
                </a:moveTo>
                <a:cubicBezTo>
                  <a:pt x="4592215" y="4515205"/>
                  <a:pt x="4576835" y="4530797"/>
                  <a:pt x="4576835" y="4550025"/>
                </a:cubicBezTo>
                <a:cubicBezTo>
                  <a:pt x="4576835" y="4569254"/>
                  <a:pt x="4592215" y="4584846"/>
                  <a:pt x="4611182" y="4584846"/>
                </a:cubicBezTo>
                <a:cubicBezTo>
                  <a:pt x="4630149" y="4584846"/>
                  <a:pt x="4645528" y="4569254"/>
                  <a:pt x="4645528" y="4550025"/>
                </a:cubicBezTo>
                <a:cubicBezTo>
                  <a:pt x="4645528" y="4530797"/>
                  <a:pt x="4630149" y="4515205"/>
                  <a:pt x="4611182" y="4515205"/>
                </a:cubicBezTo>
                <a:close/>
                <a:moveTo>
                  <a:pt x="4694923" y="4515205"/>
                </a:moveTo>
                <a:cubicBezTo>
                  <a:pt x="4675956" y="4515205"/>
                  <a:pt x="4660576" y="4530797"/>
                  <a:pt x="4660576" y="4550025"/>
                </a:cubicBezTo>
                <a:cubicBezTo>
                  <a:pt x="4660576" y="4569254"/>
                  <a:pt x="4675956" y="4584846"/>
                  <a:pt x="4694923" y="4584846"/>
                </a:cubicBezTo>
                <a:cubicBezTo>
                  <a:pt x="4713890" y="4584846"/>
                  <a:pt x="4729270" y="4569254"/>
                  <a:pt x="4729270" y="4550025"/>
                </a:cubicBezTo>
                <a:cubicBezTo>
                  <a:pt x="4729270" y="4530797"/>
                  <a:pt x="4713890" y="4515205"/>
                  <a:pt x="4694923" y="4515205"/>
                </a:cubicBezTo>
                <a:close/>
                <a:moveTo>
                  <a:pt x="4778665" y="4515205"/>
                </a:moveTo>
                <a:cubicBezTo>
                  <a:pt x="4759698" y="4515205"/>
                  <a:pt x="4744319" y="4530797"/>
                  <a:pt x="4744319" y="4550025"/>
                </a:cubicBezTo>
                <a:cubicBezTo>
                  <a:pt x="4744319" y="4569254"/>
                  <a:pt x="4759698" y="4584846"/>
                  <a:pt x="4778665" y="4584846"/>
                </a:cubicBezTo>
                <a:cubicBezTo>
                  <a:pt x="4797632" y="4584846"/>
                  <a:pt x="4813012" y="4569254"/>
                  <a:pt x="4813012" y="4550025"/>
                </a:cubicBezTo>
                <a:cubicBezTo>
                  <a:pt x="4813012" y="4530797"/>
                  <a:pt x="4797632" y="4515205"/>
                  <a:pt x="4778665" y="4515205"/>
                </a:cubicBezTo>
                <a:close/>
                <a:moveTo>
                  <a:pt x="6286014" y="4515205"/>
                </a:moveTo>
                <a:cubicBezTo>
                  <a:pt x="6267047" y="4515205"/>
                  <a:pt x="6251661" y="4530797"/>
                  <a:pt x="6251661" y="4550025"/>
                </a:cubicBezTo>
                <a:cubicBezTo>
                  <a:pt x="6251661" y="4569254"/>
                  <a:pt x="6267047" y="4584846"/>
                  <a:pt x="6286014" y="4584846"/>
                </a:cubicBezTo>
                <a:cubicBezTo>
                  <a:pt x="6304981" y="4584846"/>
                  <a:pt x="6320354" y="4569254"/>
                  <a:pt x="6320354" y="4550025"/>
                </a:cubicBezTo>
                <a:cubicBezTo>
                  <a:pt x="6320354" y="4530797"/>
                  <a:pt x="6304981" y="4515205"/>
                  <a:pt x="6286014" y="4515205"/>
                </a:cubicBezTo>
                <a:close/>
                <a:moveTo>
                  <a:pt x="6369755" y="4515205"/>
                </a:moveTo>
                <a:cubicBezTo>
                  <a:pt x="6350788" y="4515205"/>
                  <a:pt x="6335402" y="4530797"/>
                  <a:pt x="6335402" y="4550025"/>
                </a:cubicBezTo>
                <a:cubicBezTo>
                  <a:pt x="6335402" y="4569254"/>
                  <a:pt x="6350788" y="4584846"/>
                  <a:pt x="6369755" y="4584846"/>
                </a:cubicBezTo>
                <a:cubicBezTo>
                  <a:pt x="6388722" y="4584846"/>
                  <a:pt x="6404096" y="4569254"/>
                  <a:pt x="6404096" y="4550025"/>
                </a:cubicBezTo>
                <a:cubicBezTo>
                  <a:pt x="6404096" y="4530797"/>
                  <a:pt x="6388722" y="4515205"/>
                  <a:pt x="6369755" y="4515205"/>
                </a:cubicBezTo>
                <a:close/>
                <a:moveTo>
                  <a:pt x="6453498" y="4515205"/>
                </a:moveTo>
                <a:cubicBezTo>
                  <a:pt x="6434531" y="4515205"/>
                  <a:pt x="6419144" y="4530797"/>
                  <a:pt x="6419144" y="4550025"/>
                </a:cubicBezTo>
                <a:cubicBezTo>
                  <a:pt x="6419144" y="4569254"/>
                  <a:pt x="6434531" y="4584846"/>
                  <a:pt x="6453498" y="4584846"/>
                </a:cubicBezTo>
                <a:cubicBezTo>
                  <a:pt x="6472465" y="4584846"/>
                  <a:pt x="6487838" y="4569254"/>
                  <a:pt x="6487838" y="4550025"/>
                </a:cubicBezTo>
                <a:cubicBezTo>
                  <a:pt x="6487838" y="4530797"/>
                  <a:pt x="6472465" y="4515205"/>
                  <a:pt x="6453498" y="4515205"/>
                </a:cubicBezTo>
                <a:close/>
                <a:moveTo>
                  <a:pt x="6537239" y="4515205"/>
                </a:moveTo>
                <a:cubicBezTo>
                  <a:pt x="6518272" y="4515205"/>
                  <a:pt x="6502886" y="4530797"/>
                  <a:pt x="6502886" y="4550025"/>
                </a:cubicBezTo>
                <a:cubicBezTo>
                  <a:pt x="6502886" y="4569254"/>
                  <a:pt x="6518272" y="4584846"/>
                  <a:pt x="6537239" y="4584846"/>
                </a:cubicBezTo>
                <a:cubicBezTo>
                  <a:pt x="6556206" y="4584846"/>
                  <a:pt x="6571579" y="4569254"/>
                  <a:pt x="6571579" y="4550025"/>
                </a:cubicBezTo>
                <a:cubicBezTo>
                  <a:pt x="6571579" y="4530797"/>
                  <a:pt x="6556206" y="4515205"/>
                  <a:pt x="6537239" y="4515205"/>
                </a:cubicBezTo>
                <a:close/>
                <a:moveTo>
                  <a:pt x="6620980" y="4515205"/>
                </a:moveTo>
                <a:cubicBezTo>
                  <a:pt x="6602013" y="4515205"/>
                  <a:pt x="6586627" y="4530797"/>
                  <a:pt x="6586627" y="4550025"/>
                </a:cubicBezTo>
                <a:cubicBezTo>
                  <a:pt x="6586627" y="4569254"/>
                  <a:pt x="6602013" y="4584846"/>
                  <a:pt x="6620980" y="4584846"/>
                </a:cubicBezTo>
                <a:cubicBezTo>
                  <a:pt x="6639947" y="4584846"/>
                  <a:pt x="6655320" y="4569254"/>
                  <a:pt x="6655320" y="4550025"/>
                </a:cubicBezTo>
                <a:cubicBezTo>
                  <a:pt x="6655320" y="4530797"/>
                  <a:pt x="6639947" y="4515205"/>
                  <a:pt x="6620980" y="4515205"/>
                </a:cubicBezTo>
                <a:close/>
                <a:moveTo>
                  <a:pt x="6704722" y="4515205"/>
                </a:moveTo>
                <a:cubicBezTo>
                  <a:pt x="6685755" y="4515205"/>
                  <a:pt x="6670369" y="4530797"/>
                  <a:pt x="6670369" y="4550025"/>
                </a:cubicBezTo>
                <a:cubicBezTo>
                  <a:pt x="6670369" y="4569254"/>
                  <a:pt x="6685755" y="4584846"/>
                  <a:pt x="6704722" y="4584846"/>
                </a:cubicBezTo>
                <a:cubicBezTo>
                  <a:pt x="6723689" y="4584846"/>
                  <a:pt x="6739063" y="4569254"/>
                  <a:pt x="6739063" y="4550025"/>
                </a:cubicBezTo>
                <a:cubicBezTo>
                  <a:pt x="6739063" y="4530797"/>
                  <a:pt x="6723689" y="4515205"/>
                  <a:pt x="6704722" y="4515205"/>
                </a:cubicBezTo>
                <a:close/>
                <a:moveTo>
                  <a:pt x="6872206" y="4515205"/>
                </a:moveTo>
                <a:cubicBezTo>
                  <a:pt x="6853239" y="4515205"/>
                  <a:pt x="6837853" y="4530797"/>
                  <a:pt x="6837853" y="4550025"/>
                </a:cubicBezTo>
                <a:cubicBezTo>
                  <a:pt x="6837853" y="4569254"/>
                  <a:pt x="6853239" y="4584846"/>
                  <a:pt x="6872206" y="4584846"/>
                </a:cubicBezTo>
                <a:cubicBezTo>
                  <a:pt x="6891173" y="4584846"/>
                  <a:pt x="6906546" y="4569254"/>
                  <a:pt x="6906546" y="4550025"/>
                </a:cubicBezTo>
                <a:cubicBezTo>
                  <a:pt x="6906546" y="4530797"/>
                  <a:pt x="6891173" y="4515205"/>
                  <a:pt x="6872206" y="4515205"/>
                </a:cubicBezTo>
                <a:close/>
                <a:moveTo>
                  <a:pt x="6955947" y="4515205"/>
                </a:moveTo>
                <a:cubicBezTo>
                  <a:pt x="6936980" y="4515205"/>
                  <a:pt x="6921594" y="4530797"/>
                  <a:pt x="6921594" y="4550025"/>
                </a:cubicBezTo>
                <a:cubicBezTo>
                  <a:pt x="6921594" y="4569254"/>
                  <a:pt x="6936980" y="4584846"/>
                  <a:pt x="6955947" y="4584846"/>
                </a:cubicBezTo>
                <a:cubicBezTo>
                  <a:pt x="6974914" y="4584846"/>
                  <a:pt x="6990287" y="4569254"/>
                  <a:pt x="6990287" y="4550025"/>
                </a:cubicBezTo>
                <a:cubicBezTo>
                  <a:pt x="6990287" y="4530797"/>
                  <a:pt x="6974914" y="4515205"/>
                  <a:pt x="6955947" y="4515205"/>
                </a:cubicBezTo>
                <a:close/>
                <a:moveTo>
                  <a:pt x="7039688" y="4515205"/>
                </a:moveTo>
                <a:cubicBezTo>
                  <a:pt x="7020721" y="4515205"/>
                  <a:pt x="7005335" y="4530797"/>
                  <a:pt x="7005335" y="4550025"/>
                </a:cubicBezTo>
                <a:cubicBezTo>
                  <a:pt x="7005335" y="4569254"/>
                  <a:pt x="7020721" y="4584846"/>
                  <a:pt x="7039688" y="4584846"/>
                </a:cubicBezTo>
                <a:cubicBezTo>
                  <a:pt x="7058655" y="4584846"/>
                  <a:pt x="7074029" y="4569254"/>
                  <a:pt x="7074029" y="4550025"/>
                </a:cubicBezTo>
                <a:cubicBezTo>
                  <a:pt x="7074029" y="4530797"/>
                  <a:pt x="7058655" y="4515205"/>
                  <a:pt x="7039688" y="4515205"/>
                </a:cubicBezTo>
                <a:close/>
                <a:moveTo>
                  <a:pt x="9216997" y="4515205"/>
                </a:moveTo>
                <a:cubicBezTo>
                  <a:pt x="9198030" y="4515205"/>
                  <a:pt x="9182644" y="4530797"/>
                  <a:pt x="9182644" y="4550025"/>
                </a:cubicBezTo>
                <a:cubicBezTo>
                  <a:pt x="9182644" y="4569254"/>
                  <a:pt x="9198030" y="4584846"/>
                  <a:pt x="9216997" y="4584846"/>
                </a:cubicBezTo>
                <a:cubicBezTo>
                  <a:pt x="9235964" y="4584846"/>
                  <a:pt x="9251337" y="4569254"/>
                  <a:pt x="9251337" y="4550025"/>
                </a:cubicBezTo>
                <a:cubicBezTo>
                  <a:pt x="9251337" y="4530797"/>
                  <a:pt x="9235964" y="4515205"/>
                  <a:pt x="9216997" y="4515205"/>
                </a:cubicBezTo>
                <a:close/>
                <a:moveTo>
                  <a:pt x="9300738" y="4515205"/>
                </a:moveTo>
                <a:cubicBezTo>
                  <a:pt x="9281771" y="4515205"/>
                  <a:pt x="9266385" y="4530797"/>
                  <a:pt x="9266385" y="4550025"/>
                </a:cubicBezTo>
                <a:cubicBezTo>
                  <a:pt x="9266385" y="4569254"/>
                  <a:pt x="9281771" y="4584846"/>
                  <a:pt x="9300738" y="4584846"/>
                </a:cubicBezTo>
                <a:cubicBezTo>
                  <a:pt x="9319705" y="4584846"/>
                  <a:pt x="9335078" y="4569254"/>
                  <a:pt x="9335078" y="4550025"/>
                </a:cubicBezTo>
                <a:cubicBezTo>
                  <a:pt x="9335078" y="4530797"/>
                  <a:pt x="9319705" y="4515205"/>
                  <a:pt x="9300738" y="4515205"/>
                </a:cubicBezTo>
                <a:close/>
                <a:moveTo>
                  <a:pt x="9384480" y="4515205"/>
                </a:moveTo>
                <a:cubicBezTo>
                  <a:pt x="9365513" y="4515205"/>
                  <a:pt x="9350127" y="4530797"/>
                  <a:pt x="9350127" y="4550025"/>
                </a:cubicBezTo>
                <a:cubicBezTo>
                  <a:pt x="9350127" y="4569254"/>
                  <a:pt x="9365513" y="4584846"/>
                  <a:pt x="9384480" y="4584846"/>
                </a:cubicBezTo>
                <a:cubicBezTo>
                  <a:pt x="9403447" y="4584846"/>
                  <a:pt x="9418821" y="4569254"/>
                  <a:pt x="9418821" y="4550025"/>
                </a:cubicBezTo>
                <a:cubicBezTo>
                  <a:pt x="9418821" y="4530797"/>
                  <a:pt x="9403447" y="4515205"/>
                  <a:pt x="9384480" y="4515205"/>
                </a:cubicBezTo>
                <a:close/>
                <a:moveTo>
                  <a:pt x="10221896" y="4515205"/>
                </a:moveTo>
                <a:cubicBezTo>
                  <a:pt x="10202929" y="4515205"/>
                  <a:pt x="10187543" y="4530797"/>
                  <a:pt x="10187543" y="4550025"/>
                </a:cubicBezTo>
                <a:cubicBezTo>
                  <a:pt x="10187543" y="4569254"/>
                  <a:pt x="10202929" y="4584846"/>
                  <a:pt x="10221896" y="4584846"/>
                </a:cubicBezTo>
                <a:cubicBezTo>
                  <a:pt x="10240863" y="4584846"/>
                  <a:pt x="10256236" y="4569254"/>
                  <a:pt x="10256236" y="4550025"/>
                </a:cubicBezTo>
                <a:cubicBezTo>
                  <a:pt x="10256236" y="4530797"/>
                  <a:pt x="10240863" y="4515205"/>
                  <a:pt x="10221896" y="4515205"/>
                </a:cubicBezTo>
                <a:close/>
                <a:moveTo>
                  <a:pt x="10305638" y="4515205"/>
                </a:moveTo>
                <a:cubicBezTo>
                  <a:pt x="10286671" y="4515205"/>
                  <a:pt x="10271285" y="4530797"/>
                  <a:pt x="10271285" y="4550025"/>
                </a:cubicBezTo>
                <a:cubicBezTo>
                  <a:pt x="10271285" y="4569254"/>
                  <a:pt x="10286671" y="4584846"/>
                  <a:pt x="10305638" y="4584846"/>
                </a:cubicBezTo>
                <a:cubicBezTo>
                  <a:pt x="10324605" y="4584846"/>
                  <a:pt x="10339978" y="4569254"/>
                  <a:pt x="10339978" y="4550025"/>
                </a:cubicBezTo>
                <a:cubicBezTo>
                  <a:pt x="10339978" y="4530797"/>
                  <a:pt x="10324605" y="4515205"/>
                  <a:pt x="10305638" y="4515205"/>
                </a:cubicBezTo>
                <a:close/>
                <a:moveTo>
                  <a:pt x="10389379" y="4515205"/>
                </a:moveTo>
                <a:cubicBezTo>
                  <a:pt x="10370412" y="4515205"/>
                  <a:pt x="10355026" y="4530797"/>
                  <a:pt x="10355026" y="4550025"/>
                </a:cubicBezTo>
                <a:cubicBezTo>
                  <a:pt x="10355026" y="4569254"/>
                  <a:pt x="10370412" y="4584846"/>
                  <a:pt x="10389379" y="4584846"/>
                </a:cubicBezTo>
                <a:cubicBezTo>
                  <a:pt x="10408346" y="4584846"/>
                  <a:pt x="10423720" y="4569254"/>
                  <a:pt x="10423720" y="4550025"/>
                </a:cubicBezTo>
                <a:cubicBezTo>
                  <a:pt x="10423720" y="4530797"/>
                  <a:pt x="10408346" y="4515205"/>
                  <a:pt x="10389379" y="4515205"/>
                </a:cubicBezTo>
                <a:close/>
                <a:moveTo>
                  <a:pt x="10724346" y="4515205"/>
                </a:moveTo>
                <a:cubicBezTo>
                  <a:pt x="10705379" y="4515205"/>
                  <a:pt x="10689993" y="4530797"/>
                  <a:pt x="10689993" y="4550025"/>
                </a:cubicBezTo>
                <a:cubicBezTo>
                  <a:pt x="10689993" y="4569254"/>
                  <a:pt x="10705379" y="4584846"/>
                  <a:pt x="10724346" y="4584846"/>
                </a:cubicBezTo>
                <a:cubicBezTo>
                  <a:pt x="10743313" y="4584846"/>
                  <a:pt x="10758687" y="4569254"/>
                  <a:pt x="10758687" y="4550025"/>
                </a:cubicBezTo>
                <a:cubicBezTo>
                  <a:pt x="10758687" y="4530797"/>
                  <a:pt x="10743313" y="4515205"/>
                  <a:pt x="10724346" y="4515205"/>
                </a:cubicBezTo>
                <a:close/>
                <a:moveTo>
                  <a:pt x="10808088" y="4515205"/>
                </a:moveTo>
                <a:cubicBezTo>
                  <a:pt x="10789121" y="4515205"/>
                  <a:pt x="10773735" y="4530797"/>
                  <a:pt x="10773735" y="4550025"/>
                </a:cubicBezTo>
                <a:cubicBezTo>
                  <a:pt x="10773735" y="4569254"/>
                  <a:pt x="10789121" y="4584846"/>
                  <a:pt x="10808088" y="4584846"/>
                </a:cubicBezTo>
                <a:cubicBezTo>
                  <a:pt x="10827055" y="4584846"/>
                  <a:pt x="10842428" y="4569254"/>
                  <a:pt x="10842428" y="4550025"/>
                </a:cubicBezTo>
                <a:cubicBezTo>
                  <a:pt x="10842428" y="4530797"/>
                  <a:pt x="10827055" y="4515205"/>
                  <a:pt x="10808088" y="4515205"/>
                </a:cubicBezTo>
                <a:close/>
                <a:moveTo>
                  <a:pt x="3522533" y="4600069"/>
                </a:moveTo>
                <a:cubicBezTo>
                  <a:pt x="3503566" y="4600069"/>
                  <a:pt x="3488187" y="4615660"/>
                  <a:pt x="3488187" y="4634889"/>
                </a:cubicBezTo>
                <a:cubicBezTo>
                  <a:pt x="3488187" y="4654118"/>
                  <a:pt x="3503566" y="4669709"/>
                  <a:pt x="3522533" y="4669709"/>
                </a:cubicBezTo>
                <a:cubicBezTo>
                  <a:pt x="3541500" y="4669709"/>
                  <a:pt x="3556880" y="4654118"/>
                  <a:pt x="3556880" y="4634889"/>
                </a:cubicBezTo>
                <a:cubicBezTo>
                  <a:pt x="3556880" y="4615660"/>
                  <a:pt x="3541500" y="4600069"/>
                  <a:pt x="3522533" y="4600069"/>
                </a:cubicBezTo>
                <a:close/>
                <a:moveTo>
                  <a:pt x="3606276" y="4600069"/>
                </a:moveTo>
                <a:cubicBezTo>
                  <a:pt x="3587309" y="4600069"/>
                  <a:pt x="3571929" y="4615660"/>
                  <a:pt x="3571929" y="4634889"/>
                </a:cubicBezTo>
                <a:cubicBezTo>
                  <a:pt x="3571929" y="4654118"/>
                  <a:pt x="3587309" y="4669709"/>
                  <a:pt x="3606276" y="4669709"/>
                </a:cubicBezTo>
                <a:cubicBezTo>
                  <a:pt x="3625243" y="4669709"/>
                  <a:pt x="3640622" y="4654118"/>
                  <a:pt x="3640622" y="4634889"/>
                </a:cubicBezTo>
                <a:cubicBezTo>
                  <a:pt x="3640622" y="4615660"/>
                  <a:pt x="3625243" y="4600069"/>
                  <a:pt x="3606276" y="4600069"/>
                </a:cubicBezTo>
                <a:close/>
                <a:moveTo>
                  <a:pt x="3690017" y="4600069"/>
                </a:moveTo>
                <a:cubicBezTo>
                  <a:pt x="3671050" y="4600069"/>
                  <a:pt x="3655670" y="4615660"/>
                  <a:pt x="3655670" y="4634889"/>
                </a:cubicBezTo>
                <a:cubicBezTo>
                  <a:pt x="3655670" y="4654118"/>
                  <a:pt x="3671050" y="4669709"/>
                  <a:pt x="3690017" y="4669709"/>
                </a:cubicBezTo>
                <a:cubicBezTo>
                  <a:pt x="3708984" y="4669709"/>
                  <a:pt x="3724364" y="4654118"/>
                  <a:pt x="3724364" y="4634889"/>
                </a:cubicBezTo>
                <a:cubicBezTo>
                  <a:pt x="3724364" y="4615660"/>
                  <a:pt x="3708984" y="4600069"/>
                  <a:pt x="3690017" y="4600069"/>
                </a:cubicBezTo>
                <a:close/>
                <a:moveTo>
                  <a:pt x="3773759" y="4600069"/>
                </a:moveTo>
                <a:cubicBezTo>
                  <a:pt x="3754792" y="4600069"/>
                  <a:pt x="3739412" y="4615660"/>
                  <a:pt x="3739412" y="4634889"/>
                </a:cubicBezTo>
                <a:cubicBezTo>
                  <a:pt x="3739412" y="4654118"/>
                  <a:pt x="3754792" y="4669709"/>
                  <a:pt x="3773759" y="4669709"/>
                </a:cubicBezTo>
                <a:cubicBezTo>
                  <a:pt x="3792726" y="4669709"/>
                  <a:pt x="3808106" y="4654118"/>
                  <a:pt x="3808106" y="4634889"/>
                </a:cubicBezTo>
                <a:cubicBezTo>
                  <a:pt x="3808106" y="4615660"/>
                  <a:pt x="3792726" y="4600069"/>
                  <a:pt x="3773759" y="4600069"/>
                </a:cubicBezTo>
                <a:close/>
                <a:moveTo>
                  <a:pt x="3857500" y="4600069"/>
                </a:moveTo>
                <a:cubicBezTo>
                  <a:pt x="3838533" y="4600069"/>
                  <a:pt x="3823154" y="4615660"/>
                  <a:pt x="3823154" y="4634889"/>
                </a:cubicBezTo>
                <a:cubicBezTo>
                  <a:pt x="3823154" y="4654118"/>
                  <a:pt x="3838533" y="4669709"/>
                  <a:pt x="3857500" y="4669709"/>
                </a:cubicBezTo>
                <a:cubicBezTo>
                  <a:pt x="3876467" y="4669709"/>
                  <a:pt x="3891847" y="4654118"/>
                  <a:pt x="3891847" y="4634889"/>
                </a:cubicBezTo>
                <a:cubicBezTo>
                  <a:pt x="3891847" y="4615660"/>
                  <a:pt x="3876467" y="4600069"/>
                  <a:pt x="3857500" y="4600069"/>
                </a:cubicBezTo>
                <a:close/>
                <a:moveTo>
                  <a:pt x="3941242" y="4600069"/>
                </a:moveTo>
                <a:cubicBezTo>
                  <a:pt x="3922275" y="4600069"/>
                  <a:pt x="3906895" y="4615660"/>
                  <a:pt x="3906895" y="4634889"/>
                </a:cubicBezTo>
                <a:cubicBezTo>
                  <a:pt x="3906895" y="4654118"/>
                  <a:pt x="3922275" y="4669709"/>
                  <a:pt x="3941242" y="4669709"/>
                </a:cubicBezTo>
                <a:cubicBezTo>
                  <a:pt x="3960209" y="4669709"/>
                  <a:pt x="3975588" y="4654118"/>
                  <a:pt x="3975588" y="4634889"/>
                </a:cubicBezTo>
                <a:cubicBezTo>
                  <a:pt x="3975588" y="4615660"/>
                  <a:pt x="3960209" y="4600069"/>
                  <a:pt x="3941242" y="4600069"/>
                </a:cubicBezTo>
                <a:close/>
                <a:moveTo>
                  <a:pt x="4024990" y="4600069"/>
                </a:moveTo>
                <a:cubicBezTo>
                  <a:pt x="4006023" y="4600069"/>
                  <a:pt x="3990643" y="4615660"/>
                  <a:pt x="3990643" y="4634889"/>
                </a:cubicBezTo>
                <a:cubicBezTo>
                  <a:pt x="3990643" y="4654118"/>
                  <a:pt x="4006023" y="4669709"/>
                  <a:pt x="4024990" y="4669709"/>
                </a:cubicBezTo>
                <a:cubicBezTo>
                  <a:pt x="4043957" y="4669709"/>
                  <a:pt x="4059337" y="4654118"/>
                  <a:pt x="4059337" y="4634889"/>
                </a:cubicBezTo>
                <a:cubicBezTo>
                  <a:pt x="4059337" y="4615660"/>
                  <a:pt x="4043957" y="4600069"/>
                  <a:pt x="4024990" y="4600069"/>
                </a:cubicBezTo>
                <a:close/>
                <a:moveTo>
                  <a:pt x="4108732" y="4600069"/>
                </a:moveTo>
                <a:cubicBezTo>
                  <a:pt x="4089765" y="4600069"/>
                  <a:pt x="4074386" y="4615660"/>
                  <a:pt x="4074386" y="4634889"/>
                </a:cubicBezTo>
                <a:cubicBezTo>
                  <a:pt x="4074386" y="4654118"/>
                  <a:pt x="4089765" y="4669709"/>
                  <a:pt x="4108732" y="4669709"/>
                </a:cubicBezTo>
                <a:cubicBezTo>
                  <a:pt x="4127699" y="4669709"/>
                  <a:pt x="4143079" y="4654118"/>
                  <a:pt x="4143079" y="4634889"/>
                </a:cubicBezTo>
                <a:cubicBezTo>
                  <a:pt x="4143079" y="4615660"/>
                  <a:pt x="4127699" y="4600069"/>
                  <a:pt x="4108732" y="4600069"/>
                </a:cubicBezTo>
                <a:close/>
                <a:moveTo>
                  <a:pt x="4192473" y="4600069"/>
                </a:moveTo>
                <a:cubicBezTo>
                  <a:pt x="4173506" y="4600069"/>
                  <a:pt x="4158127" y="4615660"/>
                  <a:pt x="4158127" y="4634889"/>
                </a:cubicBezTo>
                <a:cubicBezTo>
                  <a:pt x="4158127" y="4654118"/>
                  <a:pt x="4173506" y="4669709"/>
                  <a:pt x="4192473" y="4669709"/>
                </a:cubicBezTo>
                <a:cubicBezTo>
                  <a:pt x="4211440" y="4669709"/>
                  <a:pt x="4226820" y="4654118"/>
                  <a:pt x="4226820" y="4634889"/>
                </a:cubicBezTo>
                <a:cubicBezTo>
                  <a:pt x="4226820" y="4615660"/>
                  <a:pt x="4211440" y="4600069"/>
                  <a:pt x="4192473" y="4600069"/>
                </a:cubicBezTo>
                <a:close/>
                <a:moveTo>
                  <a:pt x="4276215" y="4600069"/>
                </a:moveTo>
                <a:cubicBezTo>
                  <a:pt x="4257248" y="4600069"/>
                  <a:pt x="4241868" y="4615660"/>
                  <a:pt x="4241868" y="4634889"/>
                </a:cubicBezTo>
                <a:cubicBezTo>
                  <a:pt x="4241868" y="4654118"/>
                  <a:pt x="4257248" y="4669709"/>
                  <a:pt x="4276215" y="4669709"/>
                </a:cubicBezTo>
                <a:cubicBezTo>
                  <a:pt x="4295182" y="4669709"/>
                  <a:pt x="4310561" y="4654118"/>
                  <a:pt x="4310561" y="4634889"/>
                </a:cubicBezTo>
                <a:cubicBezTo>
                  <a:pt x="4310561" y="4615660"/>
                  <a:pt x="4295182" y="4600069"/>
                  <a:pt x="4276215" y="4600069"/>
                </a:cubicBezTo>
                <a:close/>
                <a:moveTo>
                  <a:pt x="4359957" y="4600069"/>
                </a:moveTo>
                <a:cubicBezTo>
                  <a:pt x="4340990" y="4600069"/>
                  <a:pt x="4325610" y="4615660"/>
                  <a:pt x="4325610" y="4634889"/>
                </a:cubicBezTo>
                <a:cubicBezTo>
                  <a:pt x="4325610" y="4654118"/>
                  <a:pt x="4340990" y="4669709"/>
                  <a:pt x="4359957" y="4669709"/>
                </a:cubicBezTo>
                <a:cubicBezTo>
                  <a:pt x="4378924" y="4669709"/>
                  <a:pt x="4394304" y="4654118"/>
                  <a:pt x="4394304" y="4634889"/>
                </a:cubicBezTo>
                <a:cubicBezTo>
                  <a:pt x="4394304" y="4615660"/>
                  <a:pt x="4378924" y="4600069"/>
                  <a:pt x="4359957" y="4600069"/>
                </a:cubicBezTo>
                <a:close/>
                <a:moveTo>
                  <a:pt x="4443698" y="4600069"/>
                </a:moveTo>
                <a:cubicBezTo>
                  <a:pt x="4424731" y="4600069"/>
                  <a:pt x="4409352" y="4615660"/>
                  <a:pt x="4409352" y="4634889"/>
                </a:cubicBezTo>
                <a:cubicBezTo>
                  <a:pt x="4409352" y="4654118"/>
                  <a:pt x="4424731" y="4669709"/>
                  <a:pt x="4443698" y="4669709"/>
                </a:cubicBezTo>
                <a:cubicBezTo>
                  <a:pt x="4462665" y="4669709"/>
                  <a:pt x="4478045" y="4654118"/>
                  <a:pt x="4478045" y="4634889"/>
                </a:cubicBezTo>
                <a:cubicBezTo>
                  <a:pt x="4478045" y="4615660"/>
                  <a:pt x="4462665" y="4600069"/>
                  <a:pt x="4443698" y="4600069"/>
                </a:cubicBezTo>
                <a:close/>
                <a:moveTo>
                  <a:pt x="4527439" y="4600069"/>
                </a:moveTo>
                <a:cubicBezTo>
                  <a:pt x="4508472" y="4600069"/>
                  <a:pt x="4493093" y="4615660"/>
                  <a:pt x="4493093" y="4634889"/>
                </a:cubicBezTo>
                <a:cubicBezTo>
                  <a:pt x="4493093" y="4654118"/>
                  <a:pt x="4508472" y="4669709"/>
                  <a:pt x="4527439" y="4669709"/>
                </a:cubicBezTo>
                <a:cubicBezTo>
                  <a:pt x="4546406" y="4669709"/>
                  <a:pt x="4561786" y="4654118"/>
                  <a:pt x="4561786" y="4634889"/>
                </a:cubicBezTo>
                <a:cubicBezTo>
                  <a:pt x="4561786" y="4615660"/>
                  <a:pt x="4546406" y="4600069"/>
                  <a:pt x="4527439" y="4600069"/>
                </a:cubicBezTo>
                <a:close/>
                <a:moveTo>
                  <a:pt x="4611182" y="4600069"/>
                </a:moveTo>
                <a:cubicBezTo>
                  <a:pt x="4592215" y="4600069"/>
                  <a:pt x="4576835" y="4615660"/>
                  <a:pt x="4576835" y="4634889"/>
                </a:cubicBezTo>
                <a:cubicBezTo>
                  <a:pt x="4576835" y="4654118"/>
                  <a:pt x="4592215" y="4669709"/>
                  <a:pt x="4611182" y="4669709"/>
                </a:cubicBezTo>
                <a:cubicBezTo>
                  <a:pt x="4630149" y="4669709"/>
                  <a:pt x="4645528" y="4654118"/>
                  <a:pt x="4645528" y="4634889"/>
                </a:cubicBezTo>
                <a:cubicBezTo>
                  <a:pt x="4645528" y="4615660"/>
                  <a:pt x="4630149" y="4600069"/>
                  <a:pt x="4611182" y="4600069"/>
                </a:cubicBezTo>
                <a:close/>
                <a:moveTo>
                  <a:pt x="4694923" y="4600069"/>
                </a:moveTo>
                <a:cubicBezTo>
                  <a:pt x="4675956" y="4600069"/>
                  <a:pt x="4660576" y="4615660"/>
                  <a:pt x="4660576" y="4634889"/>
                </a:cubicBezTo>
                <a:cubicBezTo>
                  <a:pt x="4660576" y="4654118"/>
                  <a:pt x="4675956" y="4669709"/>
                  <a:pt x="4694923" y="4669709"/>
                </a:cubicBezTo>
                <a:cubicBezTo>
                  <a:pt x="4713890" y="4669709"/>
                  <a:pt x="4729270" y="4654118"/>
                  <a:pt x="4729270" y="4634889"/>
                </a:cubicBezTo>
                <a:cubicBezTo>
                  <a:pt x="4729270" y="4615660"/>
                  <a:pt x="4713890" y="4600069"/>
                  <a:pt x="4694923" y="4600069"/>
                </a:cubicBezTo>
                <a:close/>
                <a:moveTo>
                  <a:pt x="6286014" y="4600069"/>
                </a:moveTo>
                <a:cubicBezTo>
                  <a:pt x="6267047" y="4600069"/>
                  <a:pt x="6251661" y="4615660"/>
                  <a:pt x="6251661" y="4634889"/>
                </a:cubicBezTo>
                <a:cubicBezTo>
                  <a:pt x="6251661" y="4654118"/>
                  <a:pt x="6267047" y="4669709"/>
                  <a:pt x="6286014" y="4669709"/>
                </a:cubicBezTo>
                <a:cubicBezTo>
                  <a:pt x="6304981" y="4669709"/>
                  <a:pt x="6320354" y="4654118"/>
                  <a:pt x="6320354" y="4634889"/>
                </a:cubicBezTo>
                <a:cubicBezTo>
                  <a:pt x="6320354" y="4615660"/>
                  <a:pt x="6304981" y="4600069"/>
                  <a:pt x="6286014" y="4600069"/>
                </a:cubicBezTo>
                <a:close/>
                <a:moveTo>
                  <a:pt x="6369755" y="4600069"/>
                </a:moveTo>
                <a:cubicBezTo>
                  <a:pt x="6350788" y="4600069"/>
                  <a:pt x="6335402" y="4615660"/>
                  <a:pt x="6335402" y="4634889"/>
                </a:cubicBezTo>
                <a:cubicBezTo>
                  <a:pt x="6335402" y="4654118"/>
                  <a:pt x="6350788" y="4669709"/>
                  <a:pt x="6369755" y="4669709"/>
                </a:cubicBezTo>
                <a:cubicBezTo>
                  <a:pt x="6388722" y="4669709"/>
                  <a:pt x="6404096" y="4654118"/>
                  <a:pt x="6404096" y="4634889"/>
                </a:cubicBezTo>
                <a:cubicBezTo>
                  <a:pt x="6404096" y="4615660"/>
                  <a:pt x="6388722" y="4600069"/>
                  <a:pt x="6369755" y="4600069"/>
                </a:cubicBezTo>
                <a:close/>
                <a:moveTo>
                  <a:pt x="6453498" y="4600069"/>
                </a:moveTo>
                <a:cubicBezTo>
                  <a:pt x="6434531" y="4600069"/>
                  <a:pt x="6419144" y="4615660"/>
                  <a:pt x="6419144" y="4634889"/>
                </a:cubicBezTo>
                <a:cubicBezTo>
                  <a:pt x="6419144" y="4654118"/>
                  <a:pt x="6434531" y="4669709"/>
                  <a:pt x="6453498" y="4669709"/>
                </a:cubicBezTo>
                <a:cubicBezTo>
                  <a:pt x="6472465" y="4669709"/>
                  <a:pt x="6487838" y="4654118"/>
                  <a:pt x="6487838" y="4634889"/>
                </a:cubicBezTo>
                <a:cubicBezTo>
                  <a:pt x="6487838" y="4615660"/>
                  <a:pt x="6472465" y="4600069"/>
                  <a:pt x="6453498" y="4600069"/>
                </a:cubicBezTo>
                <a:close/>
                <a:moveTo>
                  <a:pt x="6537239" y="4600069"/>
                </a:moveTo>
                <a:cubicBezTo>
                  <a:pt x="6518272" y="4600069"/>
                  <a:pt x="6502886" y="4615660"/>
                  <a:pt x="6502886" y="4634889"/>
                </a:cubicBezTo>
                <a:cubicBezTo>
                  <a:pt x="6502886" y="4654118"/>
                  <a:pt x="6518272" y="4669709"/>
                  <a:pt x="6537239" y="4669709"/>
                </a:cubicBezTo>
                <a:cubicBezTo>
                  <a:pt x="6556206" y="4669709"/>
                  <a:pt x="6571579" y="4654118"/>
                  <a:pt x="6571579" y="4634889"/>
                </a:cubicBezTo>
                <a:cubicBezTo>
                  <a:pt x="6571579" y="4615660"/>
                  <a:pt x="6556206" y="4600069"/>
                  <a:pt x="6537239" y="4600069"/>
                </a:cubicBezTo>
                <a:close/>
                <a:moveTo>
                  <a:pt x="6620980" y="4600069"/>
                </a:moveTo>
                <a:cubicBezTo>
                  <a:pt x="6602013" y="4600069"/>
                  <a:pt x="6586627" y="4615660"/>
                  <a:pt x="6586627" y="4634889"/>
                </a:cubicBezTo>
                <a:cubicBezTo>
                  <a:pt x="6586627" y="4654118"/>
                  <a:pt x="6602013" y="4669709"/>
                  <a:pt x="6620980" y="4669709"/>
                </a:cubicBezTo>
                <a:cubicBezTo>
                  <a:pt x="6639947" y="4669709"/>
                  <a:pt x="6655320" y="4654118"/>
                  <a:pt x="6655320" y="4634889"/>
                </a:cubicBezTo>
                <a:cubicBezTo>
                  <a:pt x="6655320" y="4615660"/>
                  <a:pt x="6639947" y="4600069"/>
                  <a:pt x="6620980" y="4600069"/>
                </a:cubicBezTo>
                <a:close/>
                <a:moveTo>
                  <a:pt x="6704722" y="4600069"/>
                </a:moveTo>
                <a:cubicBezTo>
                  <a:pt x="6685755" y="4600069"/>
                  <a:pt x="6670369" y="4615660"/>
                  <a:pt x="6670369" y="4634889"/>
                </a:cubicBezTo>
                <a:cubicBezTo>
                  <a:pt x="6670369" y="4654118"/>
                  <a:pt x="6685755" y="4669709"/>
                  <a:pt x="6704722" y="4669709"/>
                </a:cubicBezTo>
                <a:cubicBezTo>
                  <a:pt x="6723689" y="4669709"/>
                  <a:pt x="6739063" y="4654118"/>
                  <a:pt x="6739063" y="4634889"/>
                </a:cubicBezTo>
                <a:cubicBezTo>
                  <a:pt x="6739063" y="4615660"/>
                  <a:pt x="6723689" y="4600069"/>
                  <a:pt x="6704722" y="4600069"/>
                </a:cubicBezTo>
                <a:close/>
                <a:moveTo>
                  <a:pt x="6788464" y="4600069"/>
                </a:moveTo>
                <a:cubicBezTo>
                  <a:pt x="6769497" y="4600069"/>
                  <a:pt x="6754110" y="4615660"/>
                  <a:pt x="6754110" y="4634889"/>
                </a:cubicBezTo>
                <a:cubicBezTo>
                  <a:pt x="6754110" y="4654118"/>
                  <a:pt x="6769497" y="4669709"/>
                  <a:pt x="6788464" y="4669709"/>
                </a:cubicBezTo>
                <a:cubicBezTo>
                  <a:pt x="6807431" y="4669709"/>
                  <a:pt x="6822804" y="4654118"/>
                  <a:pt x="6822804" y="4634889"/>
                </a:cubicBezTo>
                <a:cubicBezTo>
                  <a:pt x="6822804" y="4615660"/>
                  <a:pt x="6807431" y="4600069"/>
                  <a:pt x="6788464" y="4600069"/>
                </a:cubicBezTo>
                <a:close/>
                <a:moveTo>
                  <a:pt x="6872206" y="4600069"/>
                </a:moveTo>
                <a:cubicBezTo>
                  <a:pt x="6853239" y="4600069"/>
                  <a:pt x="6837853" y="4615660"/>
                  <a:pt x="6837853" y="4634889"/>
                </a:cubicBezTo>
                <a:cubicBezTo>
                  <a:pt x="6837853" y="4654118"/>
                  <a:pt x="6853239" y="4669709"/>
                  <a:pt x="6872206" y="4669709"/>
                </a:cubicBezTo>
                <a:cubicBezTo>
                  <a:pt x="6891173" y="4669709"/>
                  <a:pt x="6906546" y="4654118"/>
                  <a:pt x="6906546" y="4634889"/>
                </a:cubicBezTo>
                <a:cubicBezTo>
                  <a:pt x="6906546" y="4615660"/>
                  <a:pt x="6891173" y="4600069"/>
                  <a:pt x="6872206" y="4600069"/>
                </a:cubicBezTo>
                <a:close/>
                <a:moveTo>
                  <a:pt x="6955947" y="4600069"/>
                </a:moveTo>
                <a:cubicBezTo>
                  <a:pt x="6936980" y="4600069"/>
                  <a:pt x="6921594" y="4615660"/>
                  <a:pt x="6921594" y="4634889"/>
                </a:cubicBezTo>
                <a:cubicBezTo>
                  <a:pt x="6921594" y="4654118"/>
                  <a:pt x="6936980" y="4669709"/>
                  <a:pt x="6955947" y="4669709"/>
                </a:cubicBezTo>
                <a:cubicBezTo>
                  <a:pt x="6974914" y="4669709"/>
                  <a:pt x="6990287" y="4654118"/>
                  <a:pt x="6990287" y="4634889"/>
                </a:cubicBezTo>
                <a:cubicBezTo>
                  <a:pt x="6990287" y="4615660"/>
                  <a:pt x="6974914" y="4600069"/>
                  <a:pt x="6955947" y="4600069"/>
                </a:cubicBezTo>
                <a:close/>
                <a:moveTo>
                  <a:pt x="7039688" y="4600069"/>
                </a:moveTo>
                <a:cubicBezTo>
                  <a:pt x="7020721" y="4600069"/>
                  <a:pt x="7005335" y="4615660"/>
                  <a:pt x="7005335" y="4634889"/>
                </a:cubicBezTo>
                <a:cubicBezTo>
                  <a:pt x="7005335" y="4654118"/>
                  <a:pt x="7020721" y="4669709"/>
                  <a:pt x="7039688" y="4669709"/>
                </a:cubicBezTo>
                <a:cubicBezTo>
                  <a:pt x="7058655" y="4669709"/>
                  <a:pt x="7074029" y="4654118"/>
                  <a:pt x="7074029" y="4634889"/>
                </a:cubicBezTo>
                <a:cubicBezTo>
                  <a:pt x="7074029" y="4615660"/>
                  <a:pt x="7058655" y="4600069"/>
                  <a:pt x="7039688" y="4600069"/>
                </a:cubicBezTo>
                <a:close/>
                <a:moveTo>
                  <a:pt x="9551963" y="4600069"/>
                </a:moveTo>
                <a:cubicBezTo>
                  <a:pt x="9532996" y="4600069"/>
                  <a:pt x="9517610" y="4615660"/>
                  <a:pt x="9517610" y="4634889"/>
                </a:cubicBezTo>
                <a:cubicBezTo>
                  <a:pt x="9517610" y="4654118"/>
                  <a:pt x="9532996" y="4669709"/>
                  <a:pt x="9551963" y="4669709"/>
                </a:cubicBezTo>
                <a:cubicBezTo>
                  <a:pt x="9570930" y="4669709"/>
                  <a:pt x="9586303" y="4654118"/>
                  <a:pt x="9586303" y="4634889"/>
                </a:cubicBezTo>
                <a:cubicBezTo>
                  <a:pt x="9586303" y="4615660"/>
                  <a:pt x="9570930" y="4600069"/>
                  <a:pt x="9551963" y="4600069"/>
                </a:cubicBezTo>
                <a:close/>
                <a:moveTo>
                  <a:pt x="9635705" y="4600069"/>
                </a:moveTo>
                <a:cubicBezTo>
                  <a:pt x="9616738" y="4600069"/>
                  <a:pt x="9601352" y="4615660"/>
                  <a:pt x="9601352" y="4634889"/>
                </a:cubicBezTo>
                <a:cubicBezTo>
                  <a:pt x="9601352" y="4654118"/>
                  <a:pt x="9616738" y="4669709"/>
                  <a:pt x="9635705" y="4669709"/>
                </a:cubicBezTo>
                <a:cubicBezTo>
                  <a:pt x="9654672" y="4669709"/>
                  <a:pt x="9670045" y="4654118"/>
                  <a:pt x="9670045" y="4634889"/>
                </a:cubicBezTo>
                <a:cubicBezTo>
                  <a:pt x="9670045" y="4615660"/>
                  <a:pt x="9654672" y="4600069"/>
                  <a:pt x="9635705" y="4600069"/>
                </a:cubicBezTo>
                <a:close/>
                <a:moveTo>
                  <a:pt x="9719446" y="4600069"/>
                </a:moveTo>
                <a:cubicBezTo>
                  <a:pt x="9700479" y="4600069"/>
                  <a:pt x="9685093" y="4615660"/>
                  <a:pt x="9685093" y="4634889"/>
                </a:cubicBezTo>
                <a:cubicBezTo>
                  <a:pt x="9685093" y="4654118"/>
                  <a:pt x="9700479" y="4669709"/>
                  <a:pt x="9719446" y="4669709"/>
                </a:cubicBezTo>
                <a:cubicBezTo>
                  <a:pt x="9738413" y="4669709"/>
                  <a:pt x="9753787" y="4654118"/>
                  <a:pt x="9753787" y="4634889"/>
                </a:cubicBezTo>
                <a:cubicBezTo>
                  <a:pt x="9753787" y="4615660"/>
                  <a:pt x="9738413" y="4600069"/>
                  <a:pt x="9719446" y="4600069"/>
                </a:cubicBezTo>
                <a:close/>
                <a:moveTo>
                  <a:pt x="10473122" y="4600069"/>
                </a:moveTo>
                <a:cubicBezTo>
                  <a:pt x="10454155" y="4600069"/>
                  <a:pt x="10438769" y="4615660"/>
                  <a:pt x="10438769" y="4634889"/>
                </a:cubicBezTo>
                <a:cubicBezTo>
                  <a:pt x="10438769" y="4654118"/>
                  <a:pt x="10454155" y="4669709"/>
                  <a:pt x="10473122" y="4669709"/>
                </a:cubicBezTo>
                <a:cubicBezTo>
                  <a:pt x="10492089" y="4669709"/>
                  <a:pt x="10507462" y="4654118"/>
                  <a:pt x="10507462" y="4634889"/>
                </a:cubicBezTo>
                <a:cubicBezTo>
                  <a:pt x="10507462" y="4615660"/>
                  <a:pt x="10492089" y="4600069"/>
                  <a:pt x="10473122" y="4600069"/>
                </a:cubicBezTo>
                <a:close/>
                <a:moveTo>
                  <a:pt x="10891829" y="4600069"/>
                </a:moveTo>
                <a:cubicBezTo>
                  <a:pt x="10872862" y="4600069"/>
                  <a:pt x="10857476" y="4615660"/>
                  <a:pt x="10857476" y="4634889"/>
                </a:cubicBezTo>
                <a:cubicBezTo>
                  <a:pt x="10857476" y="4654118"/>
                  <a:pt x="10872862" y="4669709"/>
                  <a:pt x="10891829" y="4669709"/>
                </a:cubicBezTo>
                <a:cubicBezTo>
                  <a:pt x="10910796" y="4669709"/>
                  <a:pt x="10926169" y="4654118"/>
                  <a:pt x="10926169" y="4634889"/>
                </a:cubicBezTo>
                <a:cubicBezTo>
                  <a:pt x="10926169" y="4615660"/>
                  <a:pt x="10910796" y="4600069"/>
                  <a:pt x="10891829" y="4600069"/>
                </a:cubicBezTo>
                <a:close/>
                <a:moveTo>
                  <a:pt x="3522533" y="4684933"/>
                </a:moveTo>
                <a:cubicBezTo>
                  <a:pt x="3503566" y="4684933"/>
                  <a:pt x="3488187" y="4700525"/>
                  <a:pt x="3488187" y="4719754"/>
                </a:cubicBezTo>
                <a:cubicBezTo>
                  <a:pt x="3488187" y="4738982"/>
                  <a:pt x="3503566" y="4754574"/>
                  <a:pt x="3522533" y="4754574"/>
                </a:cubicBezTo>
                <a:cubicBezTo>
                  <a:pt x="3541500" y="4754574"/>
                  <a:pt x="3556880" y="4738982"/>
                  <a:pt x="3556880" y="4719754"/>
                </a:cubicBezTo>
                <a:cubicBezTo>
                  <a:pt x="3556880" y="4700525"/>
                  <a:pt x="3541500" y="4684933"/>
                  <a:pt x="3522533" y="4684933"/>
                </a:cubicBezTo>
                <a:close/>
                <a:moveTo>
                  <a:pt x="3606276" y="4684933"/>
                </a:moveTo>
                <a:cubicBezTo>
                  <a:pt x="3587309" y="4684933"/>
                  <a:pt x="3571929" y="4700525"/>
                  <a:pt x="3571929" y="4719754"/>
                </a:cubicBezTo>
                <a:cubicBezTo>
                  <a:pt x="3571929" y="4738982"/>
                  <a:pt x="3587309" y="4754574"/>
                  <a:pt x="3606276" y="4754574"/>
                </a:cubicBezTo>
                <a:cubicBezTo>
                  <a:pt x="3625243" y="4754574"/>
                  <a:pt x="3640622" y="4738982"/>
                  <a:pt x="3640622" y="4719754"/>
                </a:cubicBezTo>
                <a:cubicBezTo>
                  <a:pt x="3640622" y="4700525"/>
                  <a:pt x="3625243" y="4684933"/>
                  <a:pt x="3606276" y="4684933"/>
                </a:cubicBezTo>
                <a:close/>
                <a:moveTo>
                  <a:pt x="3690017" y="4684933"/>
                </a:moveTo>
                <a:cubicBezTo>
                  <a:pt x="3671050" y="4684933"/>
                  <a:pt x="3655670" y="4700525"/>
                  <a:pt x="3655670" y="4719754"/>
                </a:cubicBezTo>
                <a:cubicBezTo>
                  <a:pt x="3655670" y="4738982"/>
                  <a:pt x="3671050" y="4754574"/>
                  <a:pt x="3690017" y="4754574"/>
                </a:cubicBezTo>
                <a:cubicBezTo>
                  <a:pt x="3708984" y="4754574"/>
                  <a:pt x="3724364" y="4738982"/>
                  <a:pt x="3724364" y="4719754"/>
                </a:cubicBezTo>
                <a:cubicBezTo>
                  <a:pt x="3724364" y="4700525"/>
                  <a:pt x="3708984" y="4684933"/>
                  <a:pt x="3690017" y="4684933"/>
                </a:cubicBezTo>
                <a:close/>
                <a:moveTo>
                  <a:pt x="3773759" y="4684933"/>
                </a:moveTo>
                <a:cubicBezTo>
                  <a:pt x="3754792" y="4684933"/>
                  <a:pt x="3739412" y="4700525"/>
                  <a:pt x="3739412" y="4719754"/>
                </a:cubicBezTo>
                <a:cubicBezTo>
                  <a:pt x="3739412" y="4738982"/>
                  <a:pt x="3754792" y="4754574"/>
                  <a:pt x="3773759" y="4754574"/>
                </a:cubicBezTo>
                <a:cubicBezTo>
                  <a:pt x="3792726" y="4754574"/>
                  <a:pt x="3808106" y="4738982"/>
                  <a:pt x="3808106" y="4719754"/>
                </a:cubicBezTo>
                <a:cubicBezTo>
                  <a:pt x="3808106" y="4700525"/>
                  <a:pt x="3792726" y="4684933"/>
                  <a:pt x="3773759" y="4684933"/>
                </a:cubicBezTo>
                <a:close/>
                <a:moveTo>
                  <a:pt x="3857500" y="4684933"/>
                </a:moveTo>
                <a:cubicBezTo>
                  <a:pt x="3838533" y="4684933"/>
                  <a:pt x="3823154" y="4700525"/>
                  <a:pt x="3823154" y="4719754"/>
                </a:cubicBezTo>
                <a:cubicBezTo>
                  <a:pt x="3823154" y="4738982"/>
                  <a:pt x="3838533" y="4754574"/>
                  <a:pt x="3857500" y="4754574"/>
                </a:cubicBezTo>
                <a:cubicBezTo>
                  <a:pt x="3876467" y="4754574"/>
                  <a:pt x="3891847" y="4738982"/>
                  <a:pt x="3891847" y="4719754"/>
                </a:cubicBezTo>
                <a:cubicBezTo>
                  <a:pt x="3891847" y="4700525"/>
                  <a:pt x="3876467" y="4684933"/>
                  <a:pt x="3857500" y="4684933"/>
                </a:cubicBezTo>
                <a:close/>
                <a:moveTo>
                  <a:pt x="3941242" y="4684933"/>
                </a:moveTo>
                <a:cubicBezTo>
                  <a:pt x="3922275" y="4684933"/>
                  <a:pt x="3906895" y="4700525"/>
                  <a:pt x="3906895" y="4719754"/>
                </a:cubicBezTo>
                <a:cubicBezTo>
                  <a:pt x="3906895" y="4738982"/>
                  <a:pt x="3922275" y="4754574"/>
                  <a:pt x="3941242" y="4754574"/>
                </a:cubicBezTo>
                <a:cubicBezTo>
                  <a:pt x="3960209" y="4754574"/>
                  <a:pt x="3975588" y="4738982"/>
                  <a:pt x="3975588" y="4719754"/>
                </a:cubicBezTo>
                <a:cubicBezTo>
                  <a:pt x="3975588" y="4700525"/>
                  <a:pt x="3960209" y="4684933"/>
                  <a:pt x="3941242" y="4684933"/>
                </a:cubicBezTo>
                <a:close/>
                <a:moveTo>
                  <a:pt x="4024990" y="4684933"/>
                </a:moveTo>
                <a:cubicBezTo>
                  <a:pt x="4006023" y="4684933"/>
                  <a:pt x="3990643" y="4700525"/>
                  <a:pt x="3990643" y="4719754"/>
                </a:cubicBezTo>
                <a:cubicBezTo>
                  <a:pt x="3990643" y="4738982"/>
                  <a:pt x="4006023" y="4754574"/>
                  <a:pt x="4024990" y="4754574"/>
                </a:cubicBezTo>
                <a:cubicBezTo>
                  <a:pt x="4043957" y="4754574"/>
                  <a:pt x="4059337" y="4738982"/>
                  <a:pt x="4059337" y="4719754"/>
                </a:cubicBezTo>
                <a:cubicBezTo>
                  <a:pt x="4059337" y="4700525"/>
                  <a:pt x="4043957" y="4684933"/>
                  <a:pt x="4024990" y="4684933"/>
                </a:cubicBezTo>
                <a:close/>
                <a:moveTo>
                  <a:pt x="4108732" y="4684933"/>
                </a:moveTo>
                <a:cubicBezTo>
                  <a:pt x="4089765" y="4684933"/>
                  <a:pt x="4074386" y="4700525"/>
                  <a:pt x="4074386" y="4719754"/>
                </a:cubicBezTo>
                <a:cubicBezTo>
                  <a:pt x="4074386" y="4738982"/>
                  <a:pt x="4089765" y="4754574"/>
                  <a:pt x="4108732" y="4754574"/>
                </a:cubicBezTo>
                <a:cubicBezTo>
                  <a:pt x="4127699" y="4754574"/>
                  <a:pt x="4143079" y="4738982"/>
                  <a:pt x="4143079" y="4719754"/>
                </a:cubicBezTo>
                <a:cubicBezTo>
                  <a:pt x="4143079" y="4700525"/>
                  <a:pt x="4127699" y="4684933"/>
                  <a:pt x="4108732" y="4684933"/>
                </a:cubicBezTo>
                <a:close/>
                <a:moveTo>
                  <a:pt x="4192473" y="4684933"/>
                </a:moveTo>
                <a:cubicBezTo>
                  <a:pt x="4173506" y="4684933"/>
                  <a:pt x="4158127" y="4700525"/>
                  <a:pt x="4158127" y="4719754"/>
                </a:cubicBezTo>
                <a:cubicBezTo>
                  <a:pt x="4158127" y="4738982"/>
                  <a:pt x="4173506" y="4754574"/>
                  <a:pt x="4192473" y="4754574"/>
                </a:cubicBezTo>
                <a:cubicBezTo>
                  <a:pt x="4211440" y="4754574"/>
                  <a:pt x="4226820" y="4738982"/>
                  <a:pt x="4226820" y="4719754"/>
                </a:cubicBezTo>
                <a:cubicBezTo>
                  <a:pt x="4226820" y="4700525"/>
                  <a:pt x="4211440" y="4684933"/>
                  <a:pt x="4192473" y="4684933"/>
                </a:cubicBezTo>
                <a:close/>
                <a:moveTo>
                  <a:pt x="4276215" y="4684933"/>
                </a:moveTo>
                <a:cubicBezTo>
                  <a:pt x="4257248" y="4684933"/>
                  <a:pt x="4241868" y="4700525"/>
                  <a:pt x="4241868" y="4719754"/>
                </a:cubicBezTo>
                <a:cubicBezTo>
                  <a:pt x="4241868" y="4738982"/>
                  <a:pt x="4257248" y="4754574"/>
                  <a:pt x="4276215" y="4754574"/>
                </a:cubicBezTo>
                <a:cubicBezTo>
                  <a:pt x="4295182" y="4754574"/>
                  <a:pt x="4310561" y="4738982"/>
                  <a:pt x="4310561" y="4719754"/>
                </a:cubicBezTo>
                <a:cubicBezTo>
                  <a:pt x="4310561" y="4700525"/>
                  <a:pt x="4295182" y="4684933"/>
                  <a:pt x="4276215" y="4684933"/>
                </a:cubicBezTo>
                <a:close/>
                <a:moveTo>
                  <a:pt x="4359957" y="4684933"/>
                </a:moveTo>
                <a:cubicBezTo>
                  <a:pt x="4340990" y="4684933"/>
                  <a:pt x="4325610" y="4700525"/>
                  <a:pt x="4325610" y="4719754"/>
                </a:cubicBezTo>
                <a:cubicBezTo>
                  <a:pt x="4325610" y="4738982"/>
                  <a:pt x="4340990" y="4754574"/>
                  <a:pt x="4359957" y="4754574"/>
                </a:cubicBezTo>
                <a:cubicBezTo>
                  <a:pt x="4378924" y="4754574"/>
                  <a:pt x="4394304" y="4738982"/>
                  <a:pt x="4394304" y="4719754"/>
                </a:cubicBezTo>
                <a:cubicBezTo>
                  <a:pt x="4394304" y="4700525"/>
                  <a:pt x="4378924" y="4684933"/>
                  <a:pt x="4359957" y="4684933"/>
                </a:cubicBezTo>
                <a:close/>
                <a:moveTo>
                  <a:pt x="4443698" y="4684933"/>
                </a:moveTo>
                <a:cubicBezTo>
                  <a:pt x="4424731" y="4684933"/>
                  <a:pt x="4409352" y="4700525"/>
                  <a:pt x="4409352" y="4719754"/>
                </a:cubicBezTo>
                <a:cubicBezTo>
                  <a:pt x="4409352" y="4738982"/>
                  <a:pt x="4424731" y="4754574"/>
                  <a:pt x="4443698" y="4754574"/>
                </a:cubicBezTo>
                <a:cubicBezTo>
                  <a:pt x="4462665" y="4754574"/>
                  <a:pt x="4478045" y="4738982"/>
                  <a:pt x="4478045" y="4719754"/>
                </a:cubicBezTo>
                <a:cubicBezTo>
                  <a:pt x="4478045" y="4700525"/>
                  <a:pt x="4462665" y="4684933"/>
                  <a:pt x="4443698" y="4684933"/>
                </a:cubicBezTo>
                <a:close/>
                <a:moveTo>
                  <a:pt x="4527439" y="4684933"/>
                </a:moveTo>
                <a:cubicBezTo>
                  <a:pt x="4508472" y="4684933"/>
                  <a:pt x="4493093" y="4700525"/>
                  <a:pt x="4493093" y="4719754"/>
                </a:cubicBezTo>
                <a:cubicBezTo>
                  <a:pt x="4493093" y="4738982"/>
                  <a:pt x="4508472" y="4754574"/>
                  <a:pt x="4527439" y="4754574"/>
                </a:cubicBezTo>
                <a:cubicBezTo>
                  <a:pt x="4546406" y="4754574"/>
                  <a:pt x="4561786" y="4738982"/>
                  <a:pt x="4561786" y="4719754"/>
                </a:cubicBezTo>
                <a:cubicBezTo>
                  <a:pt x="4561786" y="4700525"/>
                  <a:pt x="4546406" y="4684933"/>
                  <a:pt x="4527439" y="4684933"/>
                </a:cubicBezTo>
                <a:close/>
                <a:moveTo>
                  <a:pt x="4611182" y="4684933"/>
                </a:moveTo>
                <a:cubicBezTo>
                  <a:pt x="4592215" y="4684933"/>
                  <a:pt x="4576835" y="4700525"/>
                  <a:pt x="4576835" y="4719754"/>
                </a:cubicBezTo>
                <a:cubicBezTo>
                  <a:pt x="4576835" y="4738982"/>
                  <a:pt x="4592215" y="4754574"/>
                  <a:pt x="4611182" y="4754574"/>
                </a:cubicBezTo>
                <a:cubicBezTo>
                  <a:pt x="4630149" y="4754574"/>
                  <a:pt x="4645528" y="4738982"/>
                  <a:pt x="4645528" y="4719754"/>
                </a:cubicBezTo>
                <a:cubicBezTo>
                  <a:pt x="4645528" y="4700525"/>
                  <a:pt x="4630149" y="4684933"/>
                  <a:pt x="4611182" y="4684933"/>
                </a:cubicBezTo>
                <a:close/>
                <a:moveTo>
                  <a:pt x="6369755" y="4684933"/>
                </a:moveTo>
                <a:cubicBezTo>
                  <a:pt x="6350788" y="4684933"/>
                  <a:pt x="6335402" y="4700525"/>
                  <a:pt x="6335402" y="4719754"/>
                </a:cubicBezTo>
                <a:cubicBezTo>
                  <a:pt x="6335402" y="4738982"/>
                  <a:pt x="6350788" y="4754574"/>
                  <a:pt x="6369755" y="4754574"/>
                </a:cubicBezTo>
                <a:cubicBezTo>
                  <a:pt x="6388722" y="4754574"/>
                  <a:pt x="6404096" y="4738982"/>
                  <a:pt x="6404096" y="4719754"/>
                </a:cubicBezTo>
                <a:cubicBezTo>
                  <a:pt x="6404096" y="4700525"/>
                  <a:pt x="6388722" y="4684933"/>
                  <a:pt x="6369755" y="4684933"/>
                </a:cubicBezTo>
                <a:close/>
                <a:moveTo>
                  <a:pt x="6453498" y="4684933"/>
                </a:moveTo>
                <a:cubicBezTo>
                  <a:pt x="6434531" y="4684933"/>
                  <a:pt x="6419144" y="4700525"/>
                  <a:pt x="6419144" y="4719754"/>
                </a:cubicBezTo>
                <a:cubicBezTo>
                  <a:pt x="6419144" y="4738982"/>
                  <a:pt x="6434531" y="4754574"/>
                  <a:pt x="6453498" y="4754574"/>
                </a:cubicBezTo>
                <a:cubicBezTo>
                  <a:pt x="6472465" y="4754574"/>
                  <a:pt x="6487838" y="4738982"/>
                  <a:pt x="6487838" y="4719754"/>
                </a:cubicBezTo>
                <a:cubicBezTo>
                  <a:pt x="6487838" y="4700525"/>
                  <a:pt x="6472465" y="4684933"/>
                  <a:pt x="6453498" y="4684933"/>
                </a:cubicBezTo>
                <a:close/>
                <a:moveTo>
                  <a:pt x="6537239" y="4684933"/>
                </a:moveTo>
                <a:cubicBezTo>
                  <a:pt x="6518272" y="4684933"/>
                  <a:pt x="6502886" y="4700525"/>
                  <a:pt x="6502886" y="4719754"/>
                </a:cubicBezTo>
                <a:cubicBezTo>
                  <a:pt x="6502886" y="4738982"/>
                  <a:pt x="6518272" y="4754574"/>
                  <a:pt x="6537239" y="4754574"/>
                </a:cubicBezTo>
                <a:cubicBezTo>
                  <a:pt x="6556206" y="4754574"/>
                  <a:pt x="6571579" y="4738982"/>
                  <a:pt x="6571579" y="4719754"/>
                </a:cubicBezTo>
                <a:cubicBezTo>
                  <a:pt x="6571579" y="4700525"/>
                  <a:pt x="6556206" y="4684933"/>
                  <a:pt x="6537239" y="4684933"/>
                </a:cubicBezTo>
                <a:close/>
                <a:moveTo>
                  <a:pt x="6620980" y="4684933"/>
                </a:moveTo>
                <a:cubicBezTo>
                  <a:pt x="6602013" y="4684933"/>
                  <a:pt x="6586627" y="4700525"/>
                  <a:pt x="6586627" y="4719754"/>
                </a:cubicBezTo>
                <a:cubicBezTo>
                  <a:pt x="6586627" y="4738982"/>
                  <a:pt x="6602013" y="4754574"/>
                  <a:pt x="6620980" y="4754574"/>
                </a:cubicBezTo>
                <a:cubicBezTo>
                  <a:pt x="6639947" y="4754574"/>
                  <a:pt x="6655320" y="4738982"/>
                  <a:pt x="6655320" y="4719754"/>
                </a:cubicBezTo>
                <a:cubicBezTo>
                  <a:pt x="6655320" y="4700525"/>
                  <a:pt x="6639947" y="4684933"/>
                  <a:pt x="6620980" y="4684933"/>
                </a:cubicBezTo>
                <a:close/>
                <a:moveTo>
                  <a:pt x="6704722" y="4684933"/>
                </a:moveTo>
                <a:cubicBezTo>
                  <a:pt x="6685755" y="4684933"/>
                  <a:pt x="6670369" y="4700525"/>
                  <a:pt x="6670369" y="4719754"/>
                </a:cubicBezTo>
                <a:cubicBezTo>
                  <a:pt x="6670369" y="4738982"/>
                  <a:pt x="6685755" y="4754574"/>
                  <a:pt x="6704722" y="4754574"/>
                </a:cubicBezTo>
                <a:cubicBezTo>
                  <a:pt x="6723689" y="4754574"/>
                  <a:pt x="6739063" y="4738982"/>
                  <a:pt x="6739063" y="4719754"/>
                </a:cubicBezTo>
                <a:cubicBezTo>
                  <a:pt x="6739063" y="4700525"/>
                  <a:pt x="6723689" y="4684933"/>
                  <a:pt x="6704722" y="4684933"/>
                </a:cubicBezTo>
                <a:close/>
                <a:moveTo>
                  <a:pt x="6788464" y="4684933"/>
                </a:moveTo>
                <a:cubicBezTo>
                  <a:pt x="6769497" y="4684933"/>
                  <a:pt x="6754110" y="4700525"/>
                  <a:pt x="6754110" y="4719754"/>
                </a:cubicBezTo>
                <a:cubicBezTo>
                  <a:pt x="6754110" y="4738982"/>
                  <a:pt x="6769497" y="4754574"/>
                  <a:pt x="6788464" y="4754574"/>
                </a:cubicBezTo>
                <a:cubicBezTo>
                  <a:pt x="6807431" y="4754574"/>
                  <a:pt x="6822804" y="4738982"/>
                  <a:pt x="6822804" y="4719754"/>
                </a:cubicBezTo>
                <a:cubicBezTo>
                  <a:pt x="6822804" y="4700525"/>
                  <a:pt x="6807431" y="4684933"/>
                  <a:pt x="6788464" y="4684933"/>
                </a:cubicBezTo>
                <a:close/>
                <a:moveTo>
                  <a:pt x="6872206" y="4684933"/>
                </a:moveTo>
                <a:cubicBezTo>
                  <a:pt x="6853239" y="4684933"/>
                  <a:pt x="6837853" y="4700525"/>
                  <a:pt x="6837853" y="4719754"/>
                </a:cubicBezTo>
                <a:cubicBezTo>
                  <a:pt x="6837853" y="4738982"/>
                  <a:pt x="6853239" y="4754574"/>
                  <a:pt x="6872206" y="4754574"/>
                </a:cubicBezTo>
                <a:cubicBezTo>
                  <a:pt x="6891173" y="4754574"/>
                  <a:pt x="6906546" y="4738982"/>
                  <a:pt x="6906546" y="4719754"/>
                </a:cubicBezTo>
                <a:cubicBezTo>
                  <a:pt x="6906546" y="4700525"/>
                  <a:pt x="6891173" y="4684933"/>
                  <a:pt x="6872206" y="4684933"/>
                </a:cubicBezTo>
                <a:close/>
                <a:moveTo>
                  <a:pt x="7039688" y="4684933"/>
                </a:moveTo>
                <a:cubicBezTo>
                  <a:pt x="7020721" y="4684933"/>
                  <a:pt x="7005335" y="4700525"/>
                  <a:pt x="7005335" y="4719754"/>
                </a:cubicBezTo>
                <a:cubicBezTo>
                  <a:pt x="7005335" y="4738982"/>
                  <a:pt x="7020721" y="4754574"/>
                  <a:pt x="7039688" y="4754574"/>
                </a:cubicBezTo>
                <a:cubicBezTo>
                  <a:pt x="7058655" y="4754574"/>
                  <a:pt x="7074029" y="4738982"/>
                  <a:pt x="7074029" y="4719754"/>
                </a:cubicBezTo>
                <a:cubicBezTo>
                  <a:pt x="7074029" y="4700525"/>
                  <a:pt x="7058655" y="4684933"/>
                  <a:pt x="7039688" y="4684933"/>
                </a:cubicBezTo>
                <a:close/>
                <a:moveTo>
                  <a:pt x="9970671" y="4684933"/>
                </a:moveTo>
                <a:cubicBezTo>
                  <a:pt x="9951704" y="4684933"/>
                  <a:pt x="9936318" y="4700525"/>
                  <a:pt x="9936318" y="4719754"/>
                </a:cubicBezTo>
                <a:cubicBezTo>
                  <a:pt x="9936318" y="4738982"/>
                  <a:pt x="9951704" y="4754574"/>
                  <a:pt x="9970671" y="4754574"/>
                </a:cubicBezTo>
                <a:cubicBezTo>
                  <a:pt x="9989638" y="4754574"/>
                  <a:pt x="10005011" y="4738982"/>
                  <a:pt x="10005011" y="4719754"/>
                </a:cubicBezTo>
                <a:cubicBezTo>
                  <a:pt x="10005011" y="4700525"/>
                  <a:pt x="9989638" y="4684933"/>
                  <a:pt x="9970671" y="4684933"/>
                </a:cubicBezTo>
                <a:close/>
                <a:moveTo>
                  <a:pt x="10054413" y="4684933"/>
                </a:moveTo>
                <a:cubicBezTo>
                  <a:pt x="10035446" y="4684933"/>
                  <a:pt x="10020060" y="4700525"/>
                  <a:pt x="10020060" y="4719754"/>
                </a:cubicBezTo>
                <a:cubicBezTo>
                  <a:pt x="10020060" y="4738982"/>
                  <a:pt x="10035446" y="4754574"/>
                  <a:pt x="10054413" y="4754574"/>
                </a:cubicBezTo>
                <a:cubicBezTo>
                  <a:pt x="10073380" y="4754574"/>
                  <a:pt x="10088754" y="4738982"/>
                  <a:pt x="10088754" y="4719754"/>
                </a:cubicBezTo>
                <a:cubicBezTo>
                  <a:pt x="10088754" y="4700525"/>
                  <a:pt x="10073380" y="4684933"/>
                  <a:pt x="10054413" y="4684933"/>
                </a:cubicBezTo>
                <a:close/>
                <a:moveTo>
                  <a:pt x="10305638" y="4684933"/>
                </a:moveTo>
                <a:cubicBezTo>
                  <a:pt x="10286671" y="4684933"/>
                  <a:pt x="10271285" y="4700525"/>
                  <a:pt x="10271285" y="4719754"/>
                </a:cubicBezTo>
                <a:cubicBezTo>
                  <a:pt x="10271285" y="4738982"/>
                  <a:pt x="10286671" y="4754574"/>
                  <a:pt x="10305638" y="4754574"/>
                </a:cubicBezTo>
                <a:cubicBezTo>
                  <a:pt x="10324605" y="4754574"/>
                  <a:pt x="10339978" y="4738982"/>
                  <a:pt x="10339978" y="4719754"/>
                </a:cubicBezTo>
                <a:cubicBezTo>
                  <a:pt x="10339978" y="4700525"/>
                  <a:pt x="10324605" y="4684933"/>
                  <a:pt x="10305638" y="4684933"/>
                </a:cubicBezTo>
                <a:close/>
                <a:moveTo>
                  <a:pt x="3606276" y="4769797"/>
                </a:moveTo>
                <a:cubicBezTo>
                  <a:pt x="3587309" y="4769797"/>
                  <a:pt x="3571929" y="4785389"/>
                  <a:pt x="3571929" y="4804618"/>
                </a:cubicBezTo>
                <a:cubicBezTo>
                  <a:pt x="3571929" y="4823846"/>
                  <a:pt x="3587309" y="4839438"/>
                  <a:pt x="3606276" y="4839438"/>
                </a:cubicBezTo>
                <a:cubicBezTo>
                  <a:pt x="3625243" y="4839438"/>
                  <a:pt x="3640622" y="4823846"/>
                  <a:pt x="3640622" y="4804618"/>
                </a:cubicBezTo>
                <a:cubicBezTo>
                  <a:pt x="3640622" y="4785389"/>
                  <a:pt x="3625243" y="4769797"/>
                  <a:pt x="3606276" y="4769797"/>
                </a:cubicBezTo>
                <a:close/>
                <a:moveTo>
                  <a:pt x="3690017" y="4769797"/>
                </a:moveTo>
                <a:cubicBezTo>
                  <a:pt x="3671050" y="4769797"/>
                  <a:pt x="3655670" y="4785389"/>
                  <a:pt x="3655670" y="4804618"/>
                </a:cubicBezTo>
                <a:cubicBezTo>
                  <a:pt x="3655670" y="4823846"/>
                  <a:pt x="3671050" y="4839438"/>
                  <a:pt x="3690017" y="4839438"/>
                </a:cubicBezTo>
                <a:cubicBezTo>
                  <a:pt x="3708984" y="4839438"/>
                  <a:pt x="3724364" y="4823846"/>
                  <a:pt x="3724364" y="4804618"/>
                </a:cubicBezTo>
                <a:cubicBezTo>
                  <a:pt x="3724364" y="4785389"/>
                  <a:pt x="3708984" y="4769797"/>
                  <a:pt x="3690017" y="4769797"/>
                </a:cubicBezTo>
                <a:close/>
                <a:moveTo>
                  <a:pt x="3773759" y="4769797"/>
                </a:moveTo>
                <a:cubicBezTo>
                  <a:pt x="3754792" y="4769797"/>
                  <a:pt x="3739412" y="4785389"/>
                  <a:pt x="3739412" y="4804618"/>
                </a:cubicBezTo>
                <a:cubicBezTo>
                  <a:pt x="3739412" y="4823846"/>
                  <a:pt x="3754792" y="4839438"/>
                  <a:pt x="3773759" y="4839438"/>
                </a:cubicBezTo>
                <a:cubicBezTo>
                  <a:pt x="3792726" y="4839438"/>
                  <a:pt x="3808106" y="4823846"/>
                  <a:pt x="3808106" y="4804618"/>
                </a:cubicBezTo>
                <a:cubicBezTo>
                  <a:pt x="3808106" y="4785389"/>
                  <a:pt x="3792726" y="4769797"/>
                  <a:pt x="3773759" y="4769797"/>
                </a:cubicBezTo>
                <a:close/>
                <a:moveTo>
                  <a:pt x="3857500" y="4769797"/>
                </a:moveTo>
                <a:cubicBezTo>
                  <a:pt x="3838533" y="4769797"/>
                  <a:pt x="3823154" y="4785389"/>
                  <a:pt x="3823154" y="4804618"/>
                </a:cubicBezTo>
                <a:cubicBezTo>
                  <a:pt x="3823154" y="4823846"/>
                  <a:pt x="3838533" y="4839438"/>
                  <a:pt x="3857500" y="4839438"/>
                </a:cubicBezTo>
                <a:cubicBezTo>
                  <a:pt x="3876467" y="4839438"/>
                  <a:pt x="3891847" y="4823846"/>
                  <a:pt x="3891847" y="4804618"/>
                </a:cubicBezTo>
                <a:cubicBezTo>
                  <a:pt x="3891847" y="4785389"/>
                  <a:pt x="3876467" y="4769797"/>
                  <a:pt x="3857500" y="4769797"/>
                </a:cubicBezTo>
                <a:close/>
                <a:moveTo>
                  <a:pt x="3941242" y="4769797"/>
                </a:moveTo>
                <a:cubicBezTo>
                  <a:pt x="3922275" y="4769797"/>
                  <a:pt x="3906895" y="4785389"/>
                  <a:pt x="3906895" y="4804618"/>
                </a:cubicBezTo>
                <a:cubicBezTo>
                  <a:pt x="3906895" y="4823846"/>
                  <a:pt x="3922275" y="4839438"/>
                  <a:pt x="3941242" y="4839438"/>
                </a:cubicBezTo>
                <a:cubicBezTo>
                  <a:pt x="3960209" y="4839438"/>
                  <a:pt x="3975588" y="4823846"/>
                  <a:pt x="3975588" y="4804618"/>
                </a:cubicBezTo>
                <a:cubicBezTo>
                  <a:pt x="3975588" y="4785389"/>
                  <a:pt x="3960209" y="4769797"/>
                  <a:pt x="3941242" y="4769797"/>
                </a:cubicBezTo>
                <a:close/>
                <a:moveTo>
                  <a:pt x="4024990" y="4769797"/>
                </a:moveTo>
                <a:cubicBezTo>
                  <a:pt x="4006023" y="4769797"/>
                  <a:pt x="3990643" y="4785389"/>
                  <a:pt x="3990643" y="4804618"/>
                </a:cubicBezTo>
                <a:cubicBezTo>
                  <a:pt x="3990643" y="4823846"/>
                  <a:pt x="4006023" y="4839438"/>
                  <a:pt x="4024990" y="4839438"/>
                </a:cubicBezTo>
                <a:cubicBezTo>
                  <a:pt x="4043957" y="4839438"/>
                  <a:pt x="4059337" y="4823846"/>
                  <a:pt x="4059337" y="4804618"/>
                </a:cubicBezTo>
                <a:cubicBezTo>
                  <a:pt x="4059337" y="4785389"/>
                  <a:pt x="4043957" y="4769797"/>
                  <a:pt x="4024990" y="4769797"/>
                </a:cubicBezTo>
                <a:close/>
                <a:moveTo>
                  <a:pt x="4108732" y="4769797"/>
                </a:moveTo>
                <a:cubicBezTo>
                  <a:pt x="4089765" y="4769797"/>
                  <a:pt x="4074386" y="4785389"/>
                  <a:pt x="4074386" y="4804618"/>
                </a:cubicBezTo>
                <a:cubicBezTo>
                  <a:pt x="4074386" y="4823846"/>
                  <a:pt x="4089765" y="4839438"/>
                  <a:pt x="4108732" y="4839438"/>
                </a:cubicBezTo>
                <a:cubicBezTo>
                  <a:pt x="4127699" y="4839438"/>
                  <a:pt x="4143079" y="4823846"/>
                  <a:pt x="4143079" y="4804618"/>
                </a:cubicBezTo>
                <a:cubicBezTo>
                  <a:pt x="4143079" y="4785389"/>
                  <a:pt x="4127699" y="4769797"/>
                  <a:pt x="4108732" y="4769797"/>
                </a:cubicBezTo>
                <a:close/>
                <a:moveTo>
                  <a:pt x="4192473" y="4769797"/>
                </a:moveTo>
                <a:cubicBezTo>
                  <a:pt x="4173506" y="4769797"/>
                  <a:pt x="4158127" y="4785389"/>
                  <a:pt x="4158127" y="4804618"/>
                </a:cubicBezTo>
                <a:cubicBezTo>
                  <a:pt x="4158127" y="4823846"/>
                  <a:pt x="4173506" y="4839438"/>
                  <a:pt x="4192473" y="4839438"/>
                </a:cubicBezTo>
                <a:cubicBezTo>
                  <a:pt x="4211440" y="4839438"/>
                  <a:pt x="4226820" y="4823846"/>
                  <a:pt x="4226820" y="4804618"/>
                </a:cubicBezTo>
                <a:cubicBezTo>
                  <a:pt x="4226820" y="4785389"/>
                  <a:pt x="4211440" y="4769797"/>
                  <a:pt x="4192473" y="4769797"/>
                </a:cubicBezTo>
                <a:close/>
                <a:moveTo>
                  <a:pt x="4276215" y="4769797"/>
                </a:moveTo>
                <a:cubicBezTo>
                  <a:pt x="4257248" y="4769797"/>
                  <a:pt x="4241868" y="4785389"/>
                  <a:pt x="4241868" y="4804618"/>
                </a:cubicBezTo>
                <a:cubicBezTo>
                  <a:pt x="4241868" y="4823846"/>
                  <a:pt x="4257248" y="4839438"/>
                  <a:pt x="4276215" y="4839438"/>
                </a:cubicBezTo>
                <a:cubicBezTo>
                  <a:pt x="4295182" y="4839438"/>
                  <a:pt x="4310561" y="4823846"/>
                  <a:pt x="4310561" y="4804618"/>
                </a:cubicBezTo>
                <a:cubicBezTo>
                  <a:pt x="4310561" y="4785389"/>
                  <a:pt x="4295182" y="4769797"/>
                  <a:pt x="4276215" y="4769797"/>
                </a:cubicBezTo>
                <a:close/>
                <a:moveTo>
                  <a:pt x="4359957" y="4769797"/>
                </a:moveTo>
                <a:cubicBezTo>
                  <a:pt x="4340990" y="4769797"/>
                  <a:pt x="4325610" y="4785389"/>
                  <a:pt x="4325610" y="4804618"/>
                </a:cubicBezTo>
                <a:cubicBezTo>
                  <a:pt x="4325610" y="4823846"/>
                  <a:pt x="4340990" y="4839438"/>
                  <a:pt x="4359957" y="4839438"/>
                </a:cubicBezTo>
                <a:cubicBezTo>
                  <a:pt x="4378924" y="4839438"/>
                  <a:pt x="4394304" y="4823846"/>
                  <a:pt x="4394304" y="4804618"/>
                </a:cubicBezTo>
                <a:cubicBezTo>
                  <a:pt x="4394304" y="4785389"/>
                  <a:pt x="4378924" y="4769797"/>
                  <a:pt x="4359957" y="4769797"/>
                </a:cubicBezTo>
                <a:close/>
                <a:moveTo>
                  <a:pt x="4443698" y="4769797"/>
                </a:moveTo>
                <a:cubicBezTo>
                  <a:pt x="4424731" y="4769797"/>
                  <a:pt x="4409352" y="4785389"/>
                  <a:pt x="4409352" y="4804618"/>
                </a:cubicBezTo>
                <a:cubicBezTo>
                  <a:pt x="4409352" y="4823846"/>
                  <a:pt x="4424731" y="4839438"/>
                  <a:pt x="4443698" y="4839438"/>
                </a:cubicBezTo>
                <a:cubicBezTo>
                  <a:pt x="4462665" y="4839438"/>
                  <a:pt x="4478045" y="4823846"/>
                  <a:pt x="4478045" y="4804618"/>
                </a:cubicBezTo>
                <a:cubicBezTo>
                  <a:pt x="4478045" y="4785389"/>
                  <a:pt x="4462665" y="4769797"/>
                  <a:pt x="4443698" y="4769797"/>
                </a:cubicBezTo>
                <a:close/>
                <a:moveTo>
                  <a:pt x="4527439" y="4769797"/>
                </a:moveTo>
                <a:cubicBezTo>
                  <a:pt x="4508472" y="4769797"/>
                  <a:pt x="4493093" y="4785389"/>
                  <a:pt x="4493093" y="4804618"/>
                </a:cubicBezTo>
                <a:cubicBezTo>
                  <a:pt x="4493093" y="4823846"/>
                  <a:pt x="4508472" y="4839438"/>
                  <a:pt x="4527439" y="4839438"/>
                </a:cubicBezTo>
                <a:cubicBezTo>
                  <a:pt x="4546406" y="4839438"/>
                  <a:pt x="4561786" y="4823846"/>
                  <a:pt x="4561786" y="4804618"/>
                </a:cubicBezTo>
                <a:cubicBezTo>
                  <a:pt x="4561786" y="4785389"/>
                  <a:pt x="4546406" y="4769797"/>
                  <a:pt x="4527439" y="4769797"/>
                </a:cubicBezTo>
                <a:close/>
                <a:moveTo>
                  <a:pt x="4611182" y="4769797"/>
                </a:moveTo>
                <a:cubicBezTo>
                  <a:pt x="4592215" y="4769797"/>
                  <a:pt x="4576835" y="4785389"/>
                  <a:pt x="4576835" y="4804618"/>
                </a:cubicBezTo>
                <a:cubicBezTo>
                  <a:pt x="4576835" y="4823846"/>
                  <a:pt x="4592215" y="4839438"/>
                  <a:pt x="4611182" y="4839438"/>
                </a:cubicBezTo>
                <a:cubicBezTo>
                  <a:pt x="4630149" y="4839438"/>
                  <a:pt x="4645528" y="4823846"/>
                  <a:pt x="4645528" y="4804618"/>
                </a:cubicBezTo>
                <a:cubicBezTo>
                  <a:pt x="4645528" y="4785389"/>
                  <a:pt x="4630149" y="4769797"/>
                  <a:pt x="4611182" y="4769797"/>
                </a:cubicBezTo>
                <a:close/>
                <a:moveTo>
                  <a:pt x="6286014" y="4769797"/>
                </a:moveTo>
                <a:cubicBezTo>
                  <a:pt x="6267047" y="4769797"/>
                  <a:pt x="6251661" y="4785389"/>
                  <a:pt x="6251661" y="4804618"/>
                </a:cubicBezTo>
                <a:cubicBezTo>
                  <a:pt x="6251661" y="4823846"/>
                  <a:pt x="6267047" y="4839438"/>
                  <a:pt x="6286014" y="4839438"/>
                </a:cubicBezTo>
                <a:cubicBezTo>
                  <a:pt x="6304981" y="4839438"/>
                  <a:pt x="6320354" y="4823846"/>
                  <a:pt x="6320354" y="4804618"/>
                </a:cubicBezTo>
                <a:cubicBezTo>
                  <a:pt x="6320354" y="4785389"/>
                  <a:pt x="6304981" y="4769797"/>
                  <a:pt x="6286014" y="4769797"/>
                </a:cubicBezTo>
                <a:close/>
                <a:moveTo>
                  <a:pt x="6369755" y="4769797"/>
                </a:moveTo>
                <a:cubicBezTo>
                  <a:pt x="6350788" y="4769797"/>
                  <a:pt x="6335402" y="4785389"/>
                  <a:pt x="6335402" y="4804618"/>
                </a:cubicBezTo>
                <a:cubicBezTo>
                  <a:pt x="6335402" y="4823846"/>
                  <a:pt x="6350788" y="4839438"/>
                  <a:pt x="6369755" y="4839438"/>
                </a:cubicBezTo>
                <a:cubicBezTo>
                  <a:pt x="6388722" y="4839438"/>
                  <a:pt x="6404096" y="4823846"/>
                  <a:pt x="6404096" y="4804618"/>
                </a:cubicBezTo>
                <a:cubicBezTo>
                  <a:pt x="6404096" y="4785389"/>
                  <a:pt x="6388722" y="4769797"/>
                  <a:pt x="6369755" y="4769797"/>
                </a:cubicBezTo>
                <a:close/>
                <a:moveTo>
                  <a:pt x="6453498" y="4769797"/>
                </a:moveTo>
                <a:cubicBezTo>
                  <a:pt x="6434531" y="4769797"/>
                  <a:pt x="6419144" y="4785389"/>
                  <a:pt x="6419144" y="4804618"/>
                </a:cubicBezTo>
                <a:cubicBezTo>
                  <a:pt x="6419144" y="4823846"/>
                  <a:pt x="6434531" y="4839438"/>
                  <a:pt x="6453498" y="4839438"/>
                </a:cubicBezTo>
                <a:cubicBezTo>
                  <a:pt x="6472465" y="4839438"/>
                  <a:pt x="6487838" y="4823846"/>
                  <a:pt x="6487838" y="4804618"/>
                </a:cubicBezTo>
                <a:cubicBezTo>
                  <a:pt x="6487838" y="4785389"/>
                  <a:pt x="6472465" y="4769797"/>
                  <a:pt x="6453498" y="4769797"/>
                </a:cubicBezTo>
                <a:close/>
                <a:moveTo>
                  <a:pt x="6537239" y="4769797"/>
                </a:moveTo>
                <a:cubicBezTo>
                  <a:pt x="6518272" y="4769797"/>
                  <a:pt x="6502886" y="4785389"/>
                  <a:pt x="6502886" y="4804618"/>
                </a:cubicBezTo>
                <a:cubicBezTo>
                  <a:pt x="6502886" y="4823846"/>
                  <a:pt x="6518272" y="4839438"/>
                  <a:pt x="6537239" y="4839438"/>
                </a:cubicBezTo>
                <a:cubicBezTo>
                  <a:pt x="6556206" y="4839438"/>
                  <a:pt x="6571579" y="4823846"/>
                  <a:pt x="6571579" y="4804618"/>
                </a:cubicBezTo>
                <a:cubicBezTo>
                  <a:pt x="6571579" y="4785389"/>
                  <a:pt x="6556206" y="4769797"/>
                  <a:pt x="6537239" y="4769797"/>
                </a:cubicBezTo>
                <a:close/>
                <a:moveTo>
                  <a:pt x="6620980" y="4769797"/>
                </a:moveTo>
                <a:cubicBezTo>
                  <a:pt x="6602013" y="4769797"/>
                  <a:pt x="6586627" y="4785389"/>
                  <a:pt x="6586627" y="4804618"/>
                </a:cubicBezTo>
                <a:cubicBezTo>
                  <a:pt x="6586627" y="4823846"/>
                  <a:pt x="6602013" y="4839438"/>
                  <a:pt x="6620980" y="4839438"/>
                </a:cubicBezTo>
                <a:cubicBezTo>
                  <a:pt x="6639947" y="4839438"/>
                  <a:pt x="6655320" y="4823846"/>
                  <a:pt x="6655320" y="4804618"/>
                </a:cubicBezTo>
                <a:cubicBezTo>
                  <a:pt x="6655320" y="4785389"/>
                  <a:pt x="6639947" y="4769797"/>
                  <a:pt x="6620980" y="4769797"/>
                </a:cubicBezTo>
                <a:close/>
                <a:moveTo>
                  <a:pt x="6704722" y="4769797"/>
                </a:moveTo>
                <a:cubicBezTo>
                  <a:pt x="6685755" y="4769797"/>
                  <a:pt x="6670369" y="4785389"/>
                  <a:pt x="6670369" y="4804618"/>
                </a:cubicBezTo>
                <a:cubicBezTo>
                  <a:pt x="6670369" y="4823846"/>
                  <a:pt x="6685755" y="4839438"/>
                  <a:pt x="6704722" y="4839438"/>
                </a:cubicBezTo>
                <a:cubicBezTo>
                  <a:pt x="6723689" y="4839438"/>
                  <a:pt x="6739063" y="4823846"/>
                  <a:pt x="6739063" y="4804618"/>
                </a:cubicBezTo>
                <a:cubicBezTo>
                  <a:pt x="6739063" y="4785389"/>
                  <a:pt x="6723689" y="4769797"/>
                  <a:pt x="6704722" y="4769797"/>
                </a:cubicBezTo>
                <a:close/>
                <a:moveTo>
                  <a:pt x="6788464" y="4769797"/>
                </a:moveTo>
                <a:cubicBezTo>
                  <a:pt x="6769497" y="4769797"/>
                  <a:pt x="6754110" y="4785389"/>
                  <a:pt x="6754110" y="4804618"/>
                </a:cubicBezTo>
                <a:cubicBezTo>
                  <a:pt x="6754110" y="4823846"/>
                  <a:pt x="6769497" y="4839438"/>
                  <a:pt x="6788464" y="4839438"/>
                </a:cubicBezTo>
                <a:cubicBezTo>
                  <a:pt x="6807431" y="4839438"/>
                  <a:pt x="6822804" y="4823846"/>
                  <a:pt x="6822804" y="4804618"/>
                </a:cubicBezTo>
                <a:cubicBezTo>
                  <a:pt x="6822804" y="4785389"/>
                  <a:pt x="6807431" y="4769797"/>
                  <a:pt x="6788464" y="4769797"/>
                </a:cubicBezTo>
                <a:close/>
                <a:moveTo>
                  <a:pt x="6872206" y="4769797"/>
                </a:moveTo>
                <a:cubicBezTo>
                  <a:pt x="6853239" y="4769797"/>
                  <a:pt x="6837853" y="4785389"/>
                  <a:pt x="6837853" y="4804618"/>
                </a:cubicBezTo>
                <a:cubicBezTo>
                  <a:pt x="6837853" y="4823846"/>
                  <a:pt x="6853239" y="4839438"/>
                  <a:pt x="6872206" y="4839438"/>
                </a:cubicBezTo>
                <a:cubicBezTo>
                  <a:pt x="6891173" y="4839438"/>
                  <a:pt x="6906546" y="4823846"/>
                  <a:pt x="6906546" y="4804618"/>
                </a:cubicBezTo>
                <a:cubicBezTo>
                  <a:pt x="6906546" y="4785389"/>
                  <a:pt x="6891173" y="4769797"/>
                  <a:pt x="6872206" y="4769797"/>
                </a:cubicBezTo>
                <a:close/>
                <a:moveTo>
                  <a:pt x="6955947" y="4769797"/>
                </a:moveTo>
                <a:cubicBezTo>
                  <a:pt x="6936980" y="4769797"/>
                  <a:pt x="6921594" y="4785389"/>
                  <a:pt x="6921594" y="4804618"/>
                </a:cubicBezTo>
                <a:cubicBezTo>
                  <a:pt x="6921594" y="4823846"/>
                  <a:pt x="6936980" y="4839438"/>
                  <a:pt x="6955947" y="4839438"/>
                </a:cubicBezTo>
                <a:cubicBezTo>
                  <a:pt x="6974914" y="4839438"/>
                  <a:pt x="6990287" y="4823846"/>
                  <a:pt x="6990287" y="4804618"/>
                </a:cubicBezTo>
                <a:cubicBezTo>
                  <a:pt x="6990287" y="4785389"/>
                  <a:pt x="6974914" y="4769797"/>
                  <a:pt x="6955947" y="4769797"/>
                </a:cubicBezTo>
                <a:close/>
                <a:moveTo>
                  <a:pt x="7039688" y="4769797"/>
                </a:moveTo>
                <a:cubicBezTo>
                  <a:pt x="7020721" y="4769797"/>
                  <a:pt x="7005335" y="4785389"/>
                  <a:pt x="7005335" y="4804618"/>
                </a:cubicBezTo>
                <a:cubicBezTo>
                  <a:pt x="7005335" y="4823846"/>
                  <a:pt x="7020721" y="4839438"/>
                  <a:pt x="7039688" y="4839438"/>
                </a:cubicBezTo>
                <a:cubicBezTo>
                  <a:pt x="7058655" y="4839438"/>
                  <a:pt x="7074029" y="4823846"/>
                  <a:pt x="7074029" y="4804618"/>
                </a:cubicBezTo>
                <a:cubicBezTo>
                  <a:pt x="7074029" y="4785389"/>
                  <a:pt x="7058655" y="4769797"/>
                  <a:pt x="7039688" y="4769797"/>
                </a:cubicBezTo>
                <a:close/>
                <a:moveTo>
                  <a:pt x="7374681" y="4769797"/>
                </a:moveTo>
                <a:cubicBezTo>
                  <a:pt x="7355714" y="4769797"/>
                  <a:pt x="7340328" y="4785389"/>
                  <a:pt x="7340328" y="4804618"/>
                </a:cubicBezTo>
                <a:cubicBezTo>
                  <a:pt x="7340328" y="4823846"/>
                  <a:pt x="7355714" y="4839438"/>
                  <a:pt x="7374681" y="4839438"/>
                </a:cubicBezTo>
                <a:cubicBezTo>
                  <a:pt x="7393648" y="4839438"/>
                  <a:pt x="7409022" y="4823846"/>
                  <a:pt x="7409022" y="4804618"/>
                </a:cubicBezTo>
                <a:cubicBezTo>
                  <a:pt x="7409022" y="4785389"/>
                  <a:pt x="7393648" y="4769797"/>
                  <a:pt x="7374681" y="4769797"/>
                </a:cubicBezTo>
                <a:close/>
                <a:moveTo>
                  <a:pt x="9803189" y="4769797"/>
                </a:moveTo>
                <a:cubicBezTo>
                  <a:pt x="9784222" y="4769797"/>
                  <a:pt x="9768836" y="4785389"/>
                  <a:pt x="9768836" y="4804618"/>
                </a:cubicBezTo>
                <a:cubicBezTo>
                  <a:pt x="9768836" y="4823846"/>
                  <a:pt x="9784222" y="4839438"/>
                  <a:pt x="9803189" y="4839438"/>
                </a:cubicBezTo>
                <a:cubicBezTo>
                  <a:pt x="9822156" y="4839438"/>
                  <a:pt x="9837529" y="4823846"/>
                  <a:pt x="9837529" y="4804618"/>
                </a:cubicBezTo>
                <a:cubicBezTo>
                  <a:pt x="9837529" y="4785389"/>
                  <a:pt x="9822156" y="4769797"/>
                  <a:pt x="9803189" y="4769797"/>
                </a:cubicBezTo>
                <a:close/>
                <a:moveTo>
                  <a:pt x="9970671" y="4769797"/>
                </a:moveTo>
                <a:cubicBezTo>
                  <a:pt x="9951704" y="4769797"/>
                  <a:pt x="9936318" y="4785389"/>
                  <a:pt x="9936318" y="4804618"/>
                </a:cubicBezTo>
                <a:cubicBezTo>
                  <a:pt x="9936318" y="4823846"/>
                  <a:pt x="9951704" y="4839438"/>
                  <a:pt x="9970671" y="4839438"/>
                </a:cubicBezTo>
                <a:cubicBezTo>
                  <a:pt x="9989638" y="4839438"/>
                  <a:pt x="10005011" y="4823846"/>
                  <a:pt x="10005011" y="4804618"/>
                </a:cubicBezTo>
                <a:cubicBezTo>
                  <a:pt x="10005011" y="4785389"/>
                  <a:pt x="9989638" y="4769797"/>
                  <a:pt x="9970671" y="4769797"/>
                </a:cubicBezTo>
                <a:close/>
                <a:moveTo>
                  <a:pt x="10054413" y="4769797"/>
                </a:moveTo>
                <a:cubicBezTo>
                  <a:pt x="10035446" y="4769797"/>
                  <a:pt x="10020060" y="4785389"/>
                  <a:pt x="10020060" y="4804618"/>
                </a:cubicBezTo>
                <a:cubicBezTo>
                  <a:pt x="10020060" y="4823846"/>
                  <a:pt x="10035446" y="4839438"/>
                  <a:pt x="10054413" y="4839438"/>
                </a:cubicBezTo>
                <a:cubicBezTo>
                  <a:pt x="10073380" y="4839438"/>
                  <a:pt x="10088754" y="4823846"/>
                  <a:pt x="10088754" y="4804618"/>
                </a:cubicBezTo>
                <a:cubicBezTo>
                  <a:pt x="10088754" y="4785389"/>
                  <a:pt x="10073380" y="4769797"/>
                  <a:pt x="10054413" y="4769797"/>
                </a:cubicBezTo>
                <a:close/>
                <a:moveTo>
                  <a:pt x="10305638" y="4769797"/>
                </a:moveTo>
                <a:cubicBezTo>
                  <a:pt x="10286671" y="4769797"/>
                  <a:pt x="10271285" y="4785389"/>
                  <a:pt x="10271285" y="4804618"/>
                </a:cubicBezTo>
                <a:cubicBezTo>
                  <a:pt x="10271285" y="4823846"/>
                  <a:pt x="10286671" y="4839438"/>
                  <a:pt x="10305638" y="4839438"/>
                </a:cubicBezTo>
                <a:cubicBezTo>
                  <a:pt x="10324605" y="4839438"/>
                  <a:pt x="10339978" y="4823846"/>
                  <a:pt x="10339978" y="4804618"/>
                </a:cubicBezTo>
                <a:cubicBezTo>
                  <a:pt x="10339978" y="4785389"/>
                  <a:pt x="10324605" y="4769797"/>
                  <a:pt x="10305638" y="4769797"/>
                </a:cubicBezTo>
                <a:close/>
                <a:moveTo>
                  <a:pt x="3690017" y="4854661"/>
                </a:moveTo>
                <a:cubicBezTo>
                  <a:pt x="3671050" y="4854661"/>
                  <a:pt x="3655670" y="4870253"/>
                  <a:pt x="3655670" y="4889481"/>
                </a:cubicBezTo>
                <a:cubicBezTo>
                  <a:pt x="3655670" y="4908710"/>
                  <a:pt x="3671050" y="4924302"/>
                  <a:pt x="3690017" y="4924302"/>
                </a:cubicBezTo>
                <a:cubicBezTo>
                  <a:pt x="3708984" y="4924302"/>
                  <a:pt x="3724364" y="4908710"/>
                  <a:pt x="3724364" y="4889481"/>
                </a:cubicBezTo>
                <a:cubicBezTo>
                  <a:pt x="3724364" y="4870253"/>
                  <a:pt x="3708984" y="4854661"/>
                  <a:pt x="3690017" y="4854661"/>
                </a:cubicBezTo>
                <a:close/>
                <a:moveTo>
                  <a:pt x="3773759" y="4854661"/>
                </a:moveTo>
                <a:cubicBezTo>
                  <a:pt x="3754792" y="4854661"/>
                  <a:pt x="3739412" y="4870253"/>
                  <a:pt x="3739412" y="4889481"/>
                </a:cubicBezTo>
                <a:cubicBezTo>
                  <a:pt x="3739412" y="4908710"/>
                  <a:pt x="3754792" y="4924302"/>
                  <a:pt x="3773759" y="4924302"/>
                </a:cubicBezTo>
                <a:cubicBezTo>
                  <a:pt x="3792726" y="4924302"/>
                  <a:pt x="3808106" y="4908710"/>
                  <a:pt x="3808106" y="4889481"/>
                </a:cubicBezTo>
                <a:cubicBezTo>
                  <a:pt x="3808106" y="4870253"/>
                  <a:pt x="3792726" y="4854661"/>
                  <a:pt x="3773759" y="4854661"/>
                </a:cubicBezTo>
                <a:close/>
                <a:moveTo>
                  <a:pt x="3857500" y="4854661"/>
                </a:moveTo>
                <a:cubicBezTo>
                  <a:pt x="3838533" y="4854661"/>
                  <a:pt x="3823154" y="4870253"/>
                  <a:pt x="3823154" y="4889481"/>
                </a:cubicBezTo>
                <a:cubicBezTo>
                  <a:pt x="3823154" y="4908710"/>
                  <a:pt x="3838533" y="4924302"/>
                  <a:pt x="3857500" y="4924302"/>
                </a:cubicBezTo>
                <a:cubicBezTo>
                  <a:pt x="3876467" y="4924302"/>
                  <a:pt x="3891847" y="4908710"/>
                  <a:pt x="3891847" y="4889481"/>
                </a:cubicBezTo>
                <a:cubicBezTo>
                  <a:pt x="3891847" y="4870253"/>
                  <a:pt x="3876467" y="4854661"/>
                  <a:pt x="3857500" y="4854661"/>
                </a:cubicBezTo>
                <a:close/>
                <a:moveTo>
                  <a:pt x="3941242" y="4854661"/>
                </a:moveTo>
                <a:cubicBezTo>
                  <a:pt x="3922275" y="4854661"/>
                  <a:pt x="3906895" y="4870253"/>
                  <a:pt x="3906895" y="4889481"/>
                </a:cubicBezTo>
                <a:cubicBezTo>
                  <a:pt x="3906895" y="4908710"/>
                  <a:pt x="3922275" y="4924302"/>
                  <a:pt x="3941242" y="4924302"/>
                </a:cubicBezTo>
                <a:cubicBezTo>
                  <a:pt x="3960209" y="4924302"/>
                  <a:pt x="3975588" y="4908710"/>
                  <a:pt x="3975588" y="4889481"/>
                </a:cubicBezTo>
                <a:cubicBezTo>
                  <a:pt x="3975588" y="4870253"/>
                  <a:pt x="3960209" y="4854661"/>
                  <a:pt x="3941242" y="4854661"/>
                </a:cubicBezTo>
                <a:close/>
                <a:moveTo>
                  <a:pt x="4024990" y="4854661"/>
                </a:moveTo>
                <a:cubicBezTo>
                  <a:pt x="4006023" y="4854661"/>
                  <a:pt x="3990643" y="4870253"/>
                  <a:pt x="3990643" y="4889481"/>
                </a:cubicBezTo>
                <a:cubicBezTo>
                  <a:pt x="3990643" y="4908710"/>
                  <a:pt x="4006023" y="4924302"/>
                  <a:pt x="4024990" y="4924302"/>
                </a:cubicBezTo>
                <a:cubicBezTo>
                  <a:pt x="4043957" y="4924302"/>
                  <a:pt x="4059337" y="4908710"/>
                  <a:pt x="4059337" y="4889481"/>
                </a:cubicBezTo>
                <a:cubicBezTo>
                  <a:pt x="4059337" y="4870253"/>
                  <a:pt x="4043957" y="4854661"/>
                  <a:pt x="4024990" y="4854661"/>
                </a:cubicBezTo>
                <a:close/>
                <a:moveTo>
                  <a:pt x="4108732" y="4854661"/>
                </a:moveTo>
                <a:cubicBezTo>
                  <a:pt x="4089765" y="4854661"/>
                  <a:pt x="4074386" y="4870253"/>
                  <a:pt x="4074386" y="4889481"/>
                </a:cubicBezTo>
                <a:cubicBezTo>
                  <a:pt x="4074386" y="4908710"/>
                  <a:pt x="4089765" y="4924302"/>
                  <a:pt x="4108732" y="4924302"/>
                </a:cubicBezTo>
                <a:cubicBezTo>
                  <a:pt x="4127699" y="4924302"/>
                  <a:pt x="4143079" y="4908710"/>
                  <a:pt x="4143079" y="4889481"/>
                </a:cubicBezTo>
                <a:cubicBezTo>
                  <a:pt x="4143079" y="4870253"/>
                  <a:pt x="4127699" y="4854661"/>
                  <a:pt x="4108732" y="4854661"/>
                </a:cubicBezTo>
                <a:close/>
                <a:moveTo>
                  <a:pt x="4192473" y="4854661"/>
                </a:moveTo>
                <a:cubicBezTo>
                  <a:pt x="4173506" y="4854661"/>
                  <a:pt x="4158127" y="4870253"/>
                  <a:pt x="4158127" y="4889481"/>
                </a:cubicBezTo>
                <a:cubicBezTo>
                  <a:pt x="4158127" y="4908710"/>
                  <a:pt x="4173506" y="4924302"/>
                  <a:pt x="4192473" y="4924302"/>
                </a:cubicBezTo>
                <a:cubicBezTo>
                  <a:pt x="4211440" y="4924302"/>
                  <a:pt x="4226820" y="4908710"/>
                  <a:pt x="4226820" y="4889481"/>
                </a:cubicBezTo>
                <a:cubicBezTo>
                  <a:pt x="4226820" y="4870253"/>
                  <a:pt x="4211440" y="4854661"/>
                  <a:pt x="4192473" y="4854661"/>
                </a:cubicBezTo>
                <a:close/>
                <a:moveTo>
                  <a:pt x="4276215" y="4854661"/>
                </a:moveTo>
                <a:cubicBezTo>
                  <a:pt x="4257248" y="4854661"/>
                  <a:pt x="4241868" y="4870253"/>
                  <a:pt x="4241868" y="4889481"/>
                </a:cubicBezTo>
                <a:cubicBezTo>
                  <a:pt x="4241868" y="4908710"/>
                  <a:pt x="4257248" y="4924302"/>
                  <a:pt x="4276215" y="4924302"/>
                </a:cubicBezTo>
                <a:cubicBezTo>
                  <a:pt x="4295182" y="4924302"/>
                  <a:pt x="4310561" y="4908710"/>
                  <a:pt x="4310561" y="4889481"/>
                </a:cubicBezTo>
                <a:cubicBezTo>
                  <a:pt x="4310561" y="4870253"/>
                  <a:pt x="4295182" y="4854661"/>
                  <a:pt x="4276215" y="4854661"/>
                </a:cubicBezTo>
                <a:close/>
                <a:moveTo>
                  <a:pt x="4359957" y="4854661"/>
                </a:moveTo>
                <a:cubicBezTo>
                  <a:pt x="4340990" y="4854661"/>
                  <a:pt x="4325610" y="4870253"/>
                  <a:pt x="4325610" y="4889481"/>
                </a:cubicBezTo>
                <a:cubicBezTo>
                  <a:pt x="4325610" y="4908710"/>
                  <a:pt x="4340990" y="4924302"/>
                  <a:pt x="4359957" y="4924302"/>
                </a:cubicBezTo>
                <a:cubicBezTo>
                  <a:pt x="4378924" y="4924302"/>
                  <a:pt x="4394304" y="4908710"/>
                  <a:pt x="4394304" y="4889481"/>
                </a:cubicBezTo>
                <a:cubicBezTo>
                  <a:pt x="4394304" y="4870253"/>
                  <a:pt x="4378924" y="4854661"/>
                  <a:pt x="4359957" y="4854661"/>
                </a:cubicBezTo>
                <a:close/>
                <a:moveTo>
                  <a:pt x="4443698" y="4854661"/>
                </a:moveTo>
                <a:cubicBezTo>
                  <a:pt x="4424731" y="4854661"/>
                  <a:pt x="4409352" y="4870253"/>
                  <a:pt x="4409352" y="4889481"/>
                </a:cubicBezTo>
                <a:cubicBezTo>
                  <a:pt x="4409352" y="4908710"/>
                  <a:pt x="4424731" y="4924302"/>
                  <a:pt x="4443698" y="4924302"/>
                </a:cubicBezTo>
                <a:cubicBezTo>
                  <a:pt x="4462665" y="4924302"/>
                  <a:pt x="4478045" y="4908710"/>
                  <a:pt x="4478045" y="4889481"/>
                </a:cubicBezTo>
                <a:cubicBezTo>
                  <a:pt x="4478045" y="4870253"/>
                  <a:pt x="4462665" y="4854661"/>
                  <a:pt x="4443698" y="4854661"/>
                </a:cubicBezTo>
                <a:close/>
                <a:moveTo>
                  <a:pt x="4527439" y="4854661"/>
                </a:moveTo>
                <a:cubicBezTo>
                  <a:pt x="4508472" y="4854661"/>
                  <a:pt x="4493093" y="4870253"/>
                  <a:pt x="4493093" y="4889481"/>
                </a:cubicBezTo>
                <a:cubicBezTo>
                  <a:pt x="4493093" y="4908710"/>
                  <a:pt x="4508472" y="4924302"/>
                  <a:pt x="4527439" y="4924302"/>
                </a:cubicBezTo>
                <a:cubicBezTo>
                  <a:pt x="4546406" y="4924302"/>
                  <a:pt x="4561786" y="4908710"/>
                  <a:pt x="4561786" y="4889481"/>
                </a:cubicBezTo>
                <a:cubicBezTo>
                  <a:pt x="4561786" y="4870253"/>
                  <a:pt x="4546406" y="4854661"/>
                  <a:pt x="4527439" y="4854661"/>
                </a:cubicBezTo>
                <a:close/>
                <a:moveTo>
                  <a:pt x="4611182" y="4854661"/>
                </a:moveTo>
                <a:cubicBezTo>
                  <a:pt x="4592215" y="4854661"/>
                  <a:pt x="4576835" y="4870253"/>
                  <a:pt x="4576835" y="4889481"/>
                </a:cubicBezTo>
                <a:cubicBezTo>
                  <a:pt x="4576835" y="4908710"/>
                  <a:pt x="4592215" y="4924302"/>
                  <a:pt x="4611182" y="4924302"/>
                </a:cubicBezTo>
                <a:cubicBezTo>
                  <a:pt x="4630149" y="4924302"/>
                  <a:pt x="4645528" y="4908710"/>
                  <a:pt x="4645528" y="4889481"/>
                </a:cubicBezTo>
                <a:cubicBezTo>
                  <a:pt x="4645528" y="4870253"/>
                  <a:pt x="4630149" y="4854661"/>
                  <a:pt x="4611182" y="4854661"/>
                </a:cubicBezTo>
                <a:close/>
                <a:moveTo>
                  <a:pt x="6286014" y="4854661"/>
                </a:moveTo>
                <a:cubicBezTo>
                  <a:pt x="6267047" y="4854661"/>
                  <a:pt x="6251661" y="4870253"/>
                  <a:pt x="6251661" y="4889481"/>
                </a:cubicBezTo>
                <a:cubicBezTo>
                  <a:pt x="6251661" y="4908710"/>
                  <a:pt x="6267047" y="4924302"/>
                  <a:pt x="6286014" y="4924302"/>
                </a:cubicBezTo>
                <a:cubicBezTo>
                  <a:pt x="6304981" y="4924302"/>
                  <a:pt x="6320354" y="4908710"/>
                  <a:pt x="6320354" y="4889481"/>
                </a:cubicBezTo>
                <a:cubicBezTo>
                  <a:pt x="6320354" y="4870253"/>
                  <a:pt x="6304981" y="4854661"/>
                  <a:pt x="6286014" y="4854661"/>
                </a:cubicBezTo>
                <a:close/>
                <a:moveTo>
                  <a:pt x="6369755" y="4854661"/>
                </a:moveTo>
                <a:cubicBezTo>
                  <a:pt x="6350788" y="4854661"/>
                  <a:pt x="6335402" y="4870253"/>
                  <a:pt x="6335402" y="4889481"/>
                </a:cubicBezTo>
                <a:cubicBezTo>
                  <a:pt x="6335402" y="4908710"/>
                  <a:pt x="6350788" y="4924302"/>
                  <a:pt x="6369755" y="4924302"/>
                </a:cubicBezTo>
                <a:cubicBezTo>
                  <a:pt x="6388722" y="4924302"/>
                  <a:pt x="6404096" y="4908710"/>
                  <a:pt x="6404096" y="4889481"/>
                </a:cubicBezTo>
                <a:cubicBezTo>
                  <a:pt x="6404096" y="4870253"/>
                  <a:pt x="6388722" y="4854661"/>
                  <a:pt x="6369755" y="4854661"/>
                </a:cubicBezTo>
                <a:close/>
                <a:moveTo>
                  <a:pt x="6453498" y="4854661"/>
                </a:moveTo>
                <a:cubicBezTo>
                  <a:pt x="6434531" y="4854661"/>
                  <a:pt x="6419144" y="4870253"/>
                  <a:pt x="6419144" y="4889481"/>
                </a:cubicBezTo>
                <a:cubicBezTo>
                  <a:pt x="6419144" y="4908710"/>
                  <a:pt x="6434531" y="4924302"/>
                  <a:pt x="6453498" y="4924302"/>
                </a:cubicBezTo>
                <a:cubicBezTo>
                  <a:pt x="6472465" y="4924302"/>
                  <a:pt x="6487838" y="4908710"/>
                  <a:pt x="6487838" y="4889481"/>
                </a:cubicBezTo>
                <a:cubicBezTo>
                  <a:pt x="6487838" y="4870253"/>
                  <a:pt x="6472465" y="4854661"/>
                  <a:pt x="6453498" y="4854661"/>
                </a:cubicBezTo>
                <a:close/>
                <a:moveTo>
                  <a:pt x="6537239" y="4854661"/>
                </a:moveTo>
                <a:cubicBezTo>
                  <a:pt x="6518272" y="4854661"/>
                  <a:pt x="6502886" y="4870253"/>
                  <a:pt x="6502886" y="4889481"/>
                </a:cubicBezTo>
                <a:cubicBezTo>
                  <a:pt x="6502886" y="4908710"/>
                  <a:pt x="6518272" y="4924302"/>
                  <a:pt x="6537239" y="4924302"/>
                </a:cubicBezTo>
                <a:cubicBezTo>
                  <a:pt x="6556206" y="4924302"/>
                  <a:pt x="6571579" y="4908710"/>
                  <a:pt x="6571579" y="4889481"/>
                </a:cubicBezTo>
                <a:cubicBezTo>
                  <a:pt x="6571579" y="4870253"/>
                  <a:pt x="6556206" y="4854661"/>
                  <a:pt x="6537239" y="4854661"/>
                </a:cubicBezTo>
                <a:close/>
                <a:moveTo>
                  <a:pt x="6620980" y="4854661"/>
                </a:moveTo>
                <a:cubicBezTo>
                  <a:pt x="6602013" y="4854661"/>
                  <a:pt x="6586627" y="4870253"/>
                  <a:pt x="6586627" y="4889481"/>
                </a:cubicBezTo>
                <a:cubicBezTo>
                  <a:pt x="6586627" y="4908710"/>
                  <a:pt x="6602013" y="4924302"/>
                  <a:pt x="6620980" y="4924302"/>
                </a:cubicBezTo>
                <a:cubicBezTo>
                  <a:pt x="6639947" y="4924302"/>
                  <a:pt x="6655320" y="4908710"/>
                  <a:pt x="6655320" y="4889481"/>
                </a:cubicBezTo>
                <a:cubicBezTo>
                  <a:pt x="6655320" y="4870253"/>
                  <a:pt x="6639947" y="4854661"/>
                  <a:pt x="6620980" y="4854661"/>
                </a:cubicBezTo>
                <a:close/>
                <a:moveTo>
                  <a:pt x="6704722" y="4854661"/>
                </a:moveTo>
                <a:cubicBezTo>
                  <a:pt x="6685755" y="4854661"/>
                  <a:pt x="6670369" y="4870253"/>
                  <a:pt x="6670369" y="4889481"/>
                </a:cubicBezTo>
                <a:cubicBezTo>
                  <a:pt x="6670369" y="4908710"/>
                  <a:pt x="6685755" y="4924302"/>
                  <a:pt x="6704722" y="4924302"/>
                </a:cubicBezTo>
                <a:cubicBezTo>
                  <a:pt x="6723689" y="4924302"/>
                  <a:pt x="6739063" y="4908710"/>
                  <a:pt x="6739063" y="4889481"/>
                </a:cubicBezTo>
                <a:cubicBezTo>
                  <a:pt x="6739063" y="4870253"/>
                  <a:pt x="6723689" y="4854661"/>
                  <a:pt x="6704722" y="4854661"/>
                </a:cubicBezTo>
                <a:close/>
                <a:moveTo>
                  <a:pt x="6788464" y="4854661"/>
                </a:moveTo>
                <a:cubicBezTo>
                  <a:pt x="6769497" y="4854661"/>
                  <a:pt x="6754110" y="4870253"/>
                  <a:pt x="6754110" y="4889481"/>
                </a:cubicBezTo>
                <a:cubicBezTo>
                  <a:pt x="6754110" y="4908710"/>
                  <a:pt x="6769497" y="4924302"/>
                  <a:pt x="6788464" y="4924302"/>
                </a:cubicBezTo>
                <a:cubicBezTo>
                  <a:pt x="6807431" y="4924302"/>
                  <a:pt x="6822804" y="4908710"/>
                  <a:pt x="6822804" y="4889481"/>
                </a:cubicBezTo>
                <a:cubicBezTo>
                  <a:pt x="6822804" y="4870253"/>
                  <a:pt x="6807431" y="4854661"/>
                  <a:pt x="6788464" y="4854661"/>
                </a:cubicBezTo>
                <a:close/>
                <a:moveTo>
                  <a:pt x="6872206" y="4854661"/>
                </a:moveTo>
                <a:cubicBezTo>
                  <a:pt x="6853239" y="4854661"/>
                  <a:pt x="6837853" y="4870253"/>
                  <a:pt x="6837853" y="4889481"/>
                </a:cubicBezTo>
                <a:cubicBezTo>
                  <a:pt x="6837853" y="4908710"/>
                  <a:pt x="6853239" y="4924302"/>
                  <a:pt x="6872206" y="4924302"/>
                </a:cubicBezTo>
                <a:cubicBezTo>
                  <a:pt x="6891173" y="4924302"/>
                  <a:pt x="6906546" y="4908710"/>
                  <a:pt x="6906546" y="4889481"/>
                </a:cubicBezTo>
                <a:cubicBezTo>
                  <a:pt x="6906546" y="4870253"/>
                  <a:pt x="6891173" y="4854661"/>
                  <a:pt x="6872206" y="4854661"/>
                </a:cubicBezTo>
                <a:close/>
                <a:moveTo>
                  <a:pt x="6955947" y="4854661"/>
                </a:moveTo>
                <a:cubicBezTo>
                  <a:pt x="6936980" y="4854661"/>
                  <a:pt x="6921594" y="4870253"/>
                  <a:pt x="6921594" y="4889481"/>
                </a:cubicBezTo>
                <a:cubicBezTo>
                  <a:pt x="6921594" y="4908710"/>
                  <a:pt x="6936980" y="4924302"/>
                  <a:pt x="6955947" y="4924302"/>
                </a:cubicBezTo>
                <a:cubicBezTo>
                  <a:pt x="6974914" y="4924302"/>
                  <a:pt x="6990287" y="4908710"/>
                  <a:pt x="6990287" y="4889481"/>
                </a:cubicBezTo>
                <a:cubicBezTo>
                  <a:pt x="6990287" y="4870253"/>
                  <a:pt x="6974914" y="4854661"/>
                  <a:pt x="6955947" y="4854661"/>
                </a:cubicBezTo>
                <a:close/>
                <a:moveTo>
                  <a:pt x="7290939" y="4854661"/>
                </a:moveTo>
                <a:cubicBezTo>
                  <a:pt x="7271972" y="4854661"/>
                  <a:pt x="7256586" y="4870253"/>
                  <a:pt x="7256586" y="4889481"/>
                </a:cubicBezTo>
                <a:cubicBezTo>
                  <a:pt x="7256586" y="4908710"/>
                  <a:pt x="7271972" y="4924302"/>
                  <a:pt x="7290939" y="4924302"/>
                </a:cubicBezTo>
                <a:cubicBezTo>
                  <a:pt x="7309906" y="4924302"/>
                  <a:pt x="7325279" y="4908710"/>
                  <a:pt x="7325279" y="4889481"/>
                </a:cubicBezTo>
                <a:cubicBezTo>
                  <a:pt x="7325279" y="4870253"/>
                  <a:pt x="7309906" y="4854661"/>
                  <a:pt x="7290939" y="4854661"/>
                </a:cubicBezTo>
                <a:close/>
                <a:moveTo>
                  <a:pt x="7374681" y="4854661"/>
                </a:moveTo>
                <a:cubicBezTo>
                  <a:pt x="7355714" y="4854661"/>
                  <a:pt x="7340328" y="4870253"/>
                  <a:pt x="7340328" y="4889481"/>
                </a:cubicBezTo>
                <a:cubicBezTo>
                  <a:pt x="7340328" y="4908710"/>
                  <a:pt x="7355714" y="4924302"/>
                  <a:pt x="7374681" y="4924302"/>
                </a:cubicBezTo>
                <a:cubicBezTo>
                  <a:pt x="7393648" y="4924302"/>
                  <a:pt x="7409022" y="4908710"/>
                  <a:pt x="7409022" y="4889481"/>
                </a:cubicBezTo>
                <a:cubicBezTo>
                  <a:pt x="7409022" y="4870253"/>
                  <a:pt x="7393648" y="4854661"/>
                  <a:pt x="7374681" y="4854661"/>
                </a:cubicBezTo>
                <a:close/>
                <a:moveTo>
                  <a:pt x="9719446" y="4854661"/>
                </a:moveTo>
                <a:cubicBezTo>
                  <a:pt x="9700479" y="4854661"/>
                  <a:pt x="9685093" y="4870253"/>
                  <a:pt x="9685093" y="4889481"/>
                </a:cubicBezTo>
                <a:cubicBezTo>
                  <a:pt x="9685093" y="4908710"/>
                  <a:pt x="9700479" y="4924302"/>
                  <a:pt x="9719446" y="4924302"/>
                </a:cubicBezTo>
                <a:cubicBezTo>
                  <a:pt x="9738413" y="4924302"/>
                  <a:pt x="9753787" y="4908710"/>
                  <a:pt x="9753787" y="4889481"/>
                </a:cubicBezTo>
                <a:cubicBezTo>
                  <a:pt x="9753787" y="4870253"/>
                  <a:pt x="9738413" y="4854661"/>
                  <a:pt x="9719446" y="4854661"/>
                </a:cubicBezTo>
                <a:close/>
                <a:moveTo>
                  <a:pt x="9803189" y="4854661"/>
                </a:moveTo>
                <a:cubicBezTo>
                  <a:pt x="9784222" y="4854661"/>
                  <a:pt x="9768836" y="4870253"/>
                  <a:pt x="9768836" y="4889481"/>
                </a:cubicBezTo>
                <a:cubicBezTo>
                  <a:pt x="9768836" y="4908710"/>
                  <a:pt x="9784222" y="4924302"/>
                  <a:pt x="9803189" y="4924302"/>
                </a:cubicBezTo>
                <a:cubicBezTo>
                  <a:pt x="9822156" y="4924302"/>
                  <a:pt x="9837529" y="4908710"/>
                  <a:pt x="9837529" y="4889481"/>
                </a:cubicBezTo>
                <a:cubicBezTo>
                  <a:pt x="9837529" y="4870253"/>
                  <a:pt x="9822156" y="4854661"/>
                  <a:pt x="9803189" y="4854661"/>
                </a:cubicBezTo>
                <a:close/>
                <a:moveTo>
                  <a:pt x="9886930" y="4854661"/>
                </a:moveTo>
                <a:cubicBezTo>
                  <a:pt x="9867963" y="4854661"/>
                  <a:pt x="9852577" y="4870253"/>
                  <a:pt x="9852577" y="4889481"/>
                </a:cubicBezTo>
                <a:cubicBezTo>
                  <a:pt x="9852577" y="4908710"/>
                  <a:pt x="9867963" y="4924302"/>
                  <a:pt x="9886930" y="4924302"/>
                </a:cubicBezTo>
                <a:cubicBezTo>
                  <a:pt x="9905897" y="4924302"/>
                  <a:pt x="9921270" y="4908710"/>
                  <a:pt x="9921270" y="4889481"/>
                </a:cubicBezTo>
                <a:cubicBezTo>
                  <a:pt x="9921270" y="4870253"/>
                  <a:pt x="9905897" y="4854661"/>
                  <a:pt x="9886930" y="4854661"/>
                </a:cubicBezTo>
                <a:close/>
                <a:moveTo>
                  <a:pt x="9970671" y="4854661"/>
                </a:moveTo>
                <a:cubicBezTo>
                  <a:pt x="9951704" y="4854661"/>
                  <a:pt x="9936318" y="4870253"/>
                  <a:pt x="9936318" y="4889481"/>
                </a:cubicBezTo>
                <a:cubicBezTo>
                  <a:pt x="9936318" y="4908710"/>
                  <a:pt x="9951704" y="4924302"/>
                  <a:pt x="9970671" y="4924302"/>
                </a:cubicBezTo>
                <a:cubicBezTo>
                  <a:pt x="9989638" y="4924302"/>
                  <a:pt x="10005011" y="4908710"/>
                  <a:pt x="10005011" y="4889481"/>
                </a:cubicBezTo>
                <a:cubicBezTo>
                  <a:pt x="10005011" y="4870253"/>
                  <a:pt x="9989638" y="4854661"/>
                  <a:pt x="9970671" y="4854661"/>
                </a:cubicBezTo>
                <a:close/>
                <a:moveTo>
                  <a:pt x="10054413" y="4854661"/>
                </a:moveTo>
                <a:cubicBezTo>
                  <a:pt x="10035446" y="4854661"/>
                  <a:pt x="10020060" y="4870253"/>
                  <a:pt x="10020060" y="4889481"/>
                </a:cubicBezTo>
                <a:cubicBezTo>
                  <a:pt x="10020060" y="4908710"/>
                  <a:pt x="10035446" y="4924302"/>
                  <a:pt x="10054413" y="4924302"/>
                </a:cubicBezTo>
                <a:cubicBezTo>
                  <a:pt x="10073380" y="4924302"/>
                  <a:pt x="10088754" y="4908710"/>
                  <a:pt x="10088754" y="4889481"/>
                </a:cubicBezTo>
                <a:cubicBezTo>
                  <a:pt x="10088754" y="4870253"/>
                  <a:pt x="10073380" y="4854661"/>
                  <a:pt x="10054413" y="4854661"/>
                </a:cubicBezTo>
                <a:close/>
                <a:moveTo>
                  <a:pt x="10138155" y="4854661"/>
                </a:moveTo>
                <a:cubicBezTo>
                  <a:pt x="10119188" y="4854661"/>
                  <a:pt x="10103802" y="4870253"/>
                  <a:pt x="10103802" y="4889481"/>
                </a:cubicBezTo>
                <a:cubicBezTo>
                  <a:pt x="10103802" y="4908710"/>
                  <a:pt x="10119188" y="4924302"/>
                  <a:pt x="10138155" y="4924302"/>
                </a:cubicBezTo>
                <a:cubicBezTo>
                  <a:pt x="10157122" y="4924302"/>
                  <a:pt x="10172495" y="4908710"/>
                  <a:pt x="10172495" y="4889481"/>
                </a:cubicBezTo>
                <a:cubicBezTo>
                  <a:pt x="10172495" y="4870253"/>
                  <a:pt x="10157122" y="4854661"/>
                  <a:pt x="10138155" y="4854661"/>
                </a:cubicBezTo>
                <a:close/>
                <a:moveTo>
                  <a:pt x="10305638" y="4854661"/>
                </a:moveTo>
                <a:cubicBezTo>
                  <a:pt x="10286671" y="4854661"/>
                  <a:pt x="10271285" y="4870253"/>
                  <a:pt x="10271285" y="4889481"/>
                </a:cubicBezTo>
                <a:cubicBezTo>
                  <a:pt x="10271285" y="4908710"/>
                  <a:pt x="10286671" y="4924302"/>
                  <a:pt x="10305638" y="4924302"/>
                </a:cubicBezTo>
                <a:cubicBezTo>
                  <a:pt x="10324605" y="4924302"/>
                  <a:pt x="10339978" y="4908710"/>
                  <a:pt x="10339978" y="4889481"/>
                </a:cubicBezTo>
                <a:cubicBezTo>
                  <a:pt x="10339978" y="4870253"/>
                  <a:pt x="10324605" y="4854661"/>
                  <a:pt x="10305638" y="4854661"/>
                </a:cubicBezTo>
                <a:close/>
                <a:moveTo>
                  <a:pt x="11059312" y="4854661"/>
                </a:moveTo>
                <a:cubicBezTo>
                  <a:pt x="11040345" y="4854661"/>
                  <a:pt x="11024959" y="4870253"/>
                  <a:pt x="11024959" y="4889481"/>
                </a:cubicBezTo>
                <a:cubicBezTo>
                  <a:pt x="11024959" y="4908710"/>
                  <a:pt x="11040345" y="4924302"/>
                  <a:pt x="11059312" y="4924302"/>
                </a:cubicBezTo>
                <a:cubicBezTo>
                  <a:pt x="11078279" y="4924302"/>
                  <a:pt x="11093653" y="4908710"/>
                  <a:pt x="11093653" y="4889481"/>
                </a:cubicBezTo>
                <a:cubicBezTo>
                  <a:pt x="11093653" y="4870253"/>
                  <a:pt x="11078279" y="4854661"/>
                  <a:pt x="11059312" y="4854661"/>
                </a:cubicBezTo>
                <a:close/>
                <a:moveTo>
                  <a:pt x="11394279" y="4854661"/>
                </a:moveTo>
                <a:cubicBezTo>
                  <a:pt x="11375312" y="4854661"/>
                  <a:pt x="11359926" y="4870253"/>
                  <a:pt x="11359926" y="4889481"/>
                </a:cubicBezTo>
                <a:cubicBezTo>
                  <a:pt x="11359926" y="4908710"/>
                  <a:pt x="11375312" y="4924302"/>
                  <a:pt x="11394279" y="4924302"/>
                </a:cubicBezTo>
                <a:cubicBezTo>
                  <a:pt x="11413246" y="4924302"/>
                  <a:pt x="11428620" y="4908710"/>
                  <a:pt x="11428620" y="4889481"/>
                </a:cubicBezTo>
                <a:cubicBezTo>
                  <a:pt x="11428620" y="4870253"/>
                  <a:pt x="11413246" y="4854661"/>
                  <a:pt x="11394279" y="4854661"/>
                </a:cubicBezTo>
                <a:close/>
                <a:moveTo>
                  <a:pt x="3773759" y="4939525"/>
                </a:moveTo>
                <a:cubicBezTo>
                  <a:pt x="3754792" y="4939525"/>
                  <a:pt x="3739412" y="4955116"/>
                  <a:pt x="3739412" y="4974345"/>
                </a:cubicBezTo>
                <a:cubicBezTo>
                  <a:pt x="3739412" y="4993574"/>
                  <a:pt x="3754792" y="5009165"/>
                  <a:pt x="3773759" y="5009165"/>
                </a:cubicBezTo>
                <a:cubicBezTo>
                  <a:pt x="3792726" y="5009165"/>
                  <a:pt x="3808106" y="4993574"/>
                  <a:pt x="3808106" y="4974345"/>
                </a:cubicBezTo>
                <a:cubicBezTo>
                  <a:pt x="3808106" y="4955116"/>
                  <a:pt x="3792726" y="4939525"/>
                  <a:pt x="3773759" y="4939525"/>
                </a:cubicBezTo>
                <a:close/>
                <a:moveTo>
                  <a:pt x="3857500" y="4939525"/>
                </a:moveTo>
                <a:cubicBezTo>
                  <a:pt x="3838533" y="4939525"/>
                  <a:pt x="3823154" y="4955116"/>
                  <a:pt x="3823154" y="4974345"/>
                </a:cubicBezTo>
                <a:cubicBezTo>
                  <a:pt x="3823154" y="4993574"/>
                  <a:pt x="3838533" y="5009165"/>
                  <a:pt x="3857500" y="5009165"/>
                </a:cubicBezTo>
                <a:cubicBezTo>
                  <a:pt x="3876467" y="5009165"/>
                  <a:pt x="3891847" y="4993574"/>
                  <a:pt x="3891847" y="4974345"/>
                </a:cubicBezTo>
                <a:cubicBezTo>
                  <a:pt x="3891847" y="4955116"/>
                  <a:pt x="3876467" y="4939525"/>
                  <a:pt x="3857500" y="4939525"/>
                </a:cubicBezTo>
                <a:close/>
                <a:moveTo>
                  <a:pt x="3941242" y="4939525"/>
                </a:moveTo>
                <a:cubicBezTo>
                  <a:pt x="3922275" y="4939525"/>
                  <a:pt x="3906895" y="4955116"/>
                  <a:pt x="3906895" y="4974345"/>
                </a:cubicBezTo>
                <a:cubicBezTo>
                  <a:pt x="3906895" y="4993574"/>
                  <a:pt x="3922275" y="5009165"/>
                  <a:pt x="3941242" y="5009165"/>
                </a:cubicBezTo>
                <a:cubicBezTo>
                  <a:pt x="3960209" y="5009165"/>
                  <a:pt x="3975588" y="4993574"/>
                  <a:pt x="3975588" y="4974345"/>
                </a:cubicBezTo>
                <a:cubicBezTo>
                  <a:pt x="3975588" y="4955116"/>
                  <a:pt x="3960209" y="4939525"/>
                  <a:pt x="3941242" y="4939525"/>
                </a:cubicBezTo>
                <a:close/>
                <a:moveTo>
                  <a:pt x="4024990" y="4939525"/>
                </a:moveTo>
                <a:cubicBezTo>
                  <a:pt x="4006023" y="4939525"/>
                  <a:pt x="3990643" y="4955116"/>
                  <a:pt x="3990643" y="4974345"/>
                </a:cubicBezTo>
                <a:cubicBezTo>
                  <a:pt x="3990643" y="4993574"/>
                  <a:pt x="4006023" y="5009165"/>
                  <a:pt x="4024990" y="5009165"/>
                </a:cubicBezTo>
                <a:cubicBezTo>
                  <a:pt x="4043957" y="5009165"/>
                  <a:pt x="4059337" y="4993574"/>
                  <a:pt x="4059337" y="4974345"/>
                </a:cubicBezTo>
                <a:cubicBezTo>
                  <a:pt x="4059337" y="4955116"/>
                  <a:pt x="4043957" y="4939525"/>
                  <a:pt x="4024990" y="4939525"/>
                </a:cubicBezTo>
                <a:close/>
                <a:moveTo>
                  <a:pt x="4108732" y="4939525"/>
                </a:moveTo>
                <a:cubicBezTo>
                  <a:pt x="4089765" y="4939525"/>
                  <a:pt x="4074386" y="4955116"/>
                  <a:pt x="4074386" y="4974345"/>
                </a:cubicBezTo>
                <a:cubicBezTo>
                  <a:pt x="4074386" y="4993574"/>
                  <a:pt x="4089765" y="5009165"/>
                  <a:pt x="4108732" y="5009165"/>
                </a:cubicBezTo>
                <a:cubicBezTo>
                  <a:pt x="4127699" y="5009165"/>
                  <a:pt x="4143079" y="4993574"/>
                  <a:pt x="4143079" y="4974345"/>
                </a:cubicBezTo>
                <a:cubicBezTo>
                  <a:pt x="4143079" y="4955116"/>
                  <a:pt x="4127699" y="4939525"/>
                  <a:pt x="4108732" y="4939525"/>
                </a:cubicBezTo>
                <a:close/>
                <a:moveTo>
                  <a:pt x="4192473" y="4939525"/>
                </a:moveTo>
                <a:cubicBezTo>
                  <a:pt x="4173506" y="4939525"/>
                  <a:pt x="4158127" y="4955116"/>
                  <a:pt x="4158127" y="4974345"/>
                </a:cubicBezTo>
                <a:cubicBezTo>
                  <a:pt x="4158127" y="4993574"/>
                  <a:pt x="4173506" y="5009165"/>
                  <a:pt x="4192473" y="5009165"/>
                </a:cubicBezTo>
                <a:cubicBezTo>
                  <a:pt x="4211440" y="5009165"/>
                  <a:pt x="4226820" y="4993574"/>
                  <a:pt x="4226820" y="4974345"/>
                </a:cubicBezTo>
                <a:cubicBezTo>
                  <a:pt x="4226820" y="4955116"/>
                  <a:pt x="4211440" y="4939525"/>
                  <a:pt x="4192473" y="4939525"/>
                </a:cubicBezTo>
                <a:close/>
                <a:moveTo>
                  <a:pt x="4276215" y="4939525"/>
                </a:moveTo>
                <a:cubicBezTo>
                  <a:pt x="4257248" y="4939525"/>
                  <a:pt x="4241868" y="4955116"/>
                  <a:pt x="4241868" y="4974345"/>
                </a:cubicBezTo>
                <a:cubicBezTo>
                  <a:pt x="4241868" y="4993574"/>
                  <a:pt x="4257248" y="5009165"/>
                  <a:pt x="4276215" y="5009165"/>
                </a:cubicBezTo>
                <a:cubicBezTo>
                  <a:pt x="4295182" y="5009165"/>
                  <a:pt x="4310561" y="4993574"/>
                  <a:pt x="4310561" y="4974345"/>
                </a:cubicBezTo>
                <a:cubicBezTo>
                  <a:pt x="4310561" y="4955116"/>
                  <a:pt x="4295182" y="4939525"/>
                  <a:pt x="4276215" y="4939525"/>
                </a:cubicBezTo>
                <a:close/>
                <a:moveTo>
                  <a:pt x="4359957" y="4939525"/>
                </a:moveTo>
                <a:cubicBezTo>
                  <a:pt x="4340990" y="4939525"/>
                  <a:pt x="4325610" y="4955116"/>
                  <a:pt x="4325610" y="4974345"/>
                </a:cubicBezTo>
                <a:cubicBezTo>
                  <a:pt x="4325610" y="4993574"/>
                  <a:pt x="4340990" y="5009165"/>
                  <a:pt x="4359957" y="5009165"/>
                </a:cubicBezTo>
                <a:cubicBezTo>
                  <a:pt x="4378924" y="5009165"/>
                  <a:pt x="4394304" y="4993574"/>
                  <a:pt x="4394304" y="4974345"/>
                </a:cubicBezTo>
                <a:cubicBezTo>
                  <a:pt x="4394304" y="4955116"/>
                  <a:pt x="4378924" y="4939525"/>
                  <a:pt x="4359957" y="4939525"/>
                </a:cubicBezTo>
                <a:close/>
                <a:moveTo>
                  <a:pt x="4443698" y="4939525"/>
                </a:moveTo>
                <a:cubicBezTo>
                  <a:pt x="4424731" y="4939525"/>
                  <a:pt x="4409352" y="4955116"/>
                  <a:pt x="4409352" y="4974345"/>
                </a:cubicBezTo>
                <a:cubicBezTo>
                  <a:pt x="4409352" y="4993574"/>
                  <a:pt x="4424731" y="5009165"/>
                  <a:pt x="4443698" y="5009165"/>
                </a:cubicBezTo>
                <a:cubicBezTo>
                  <a:pt x="4462665" y="5009165"/>
                  <a:pt x="4478045" y="4993574"/>
                  <a:pt x="4478045" y="4974345"/>
                </a:cubicBezTo>
                <a:cubicBezTo>
                  <a:pt x="4478045" y="4955116"/>
                  <a:pt x="4462665" y="4939525"/>
                  <a:pt x="4443698" y="4939525"/>
                </a:cubicBezTo>
                <a:close/>
                <a:moveTo>
                  <a:pt x="4527439" y="4939525"/>
                </a:moveTo>
                <a:cubicBezTo>
                  <a:pt x="4508472" y="4939525"/>
                  <a:pt x="4493093" y="4955116"/>
                  <a:pt x="4493093" y="4974345"/>
                </a:cubicBezTo>
                <a:cubicBezTo>
                  <a:pt x="4493093" y="4993574"/>
                  <a:pt x="4508472" y="5009165"/>
                  <a:pt x="4527439" y="5009165"/>
                </a:cubicBezTo>
                <a:cubicBezTo>
                  <a:pt x="4546406" y="5009165"/>
                  <a:pt x="4561786" y="4993574"/>
                  <a:pt x="4561786" y="4974345"/>
                </a:cubicBezTo>
                <a:cubicBezTo>
                  <a:pt x="4561786" y="4955116"/>
                  <a:pt x="4546406" y="4939525"/>
                  <a:pt x="4527439" y="4939525"/>
                </a:cubicBezTo>
                <a:close/>
                <a:moveTo>
                  <a:pt x="4611182" y="4939525"/>
                </a:moveTo>
                <a:cubicBezTo>
                  <a:pt x="4592215" y="4939525"/>
                  <a:pt x="4576835" y="4955116"/>
                  <a:pt x="4576835" y="4974345"/>
                </a:cubicBezTo>
                <a:cubicBezTo>
                  <a:pt x="4576835" y="4993574"/>
                  <a:pt x="4592215" y="5009165"/>
                  <a:pt x="4611182" y="5009165"/>
                </a:cubicBezTo>
                <a:cubicBezTo>
                  <a:pt x="4630149" y="5009165"/>
                  <a:pt x="4645528" y="4993574"/>
                  <a:pt x="4645528" y="4974345"/>
                </a:cubicBezTo>
                <a:cubicBezTo>
                  <a:pt x="4645528" y="4955116"/>
                  <a:pt x="4630149" y="4939525"/>
                  <a:pt x="4611182" y="4939525"/>
                </a:cubicBezTo>
                <a:close/>
                <a:moveTo>
                  <a:pt x="6286014" y="4939525"/>
                </a:moveTo>
                <a:cubicBezTo>
                  <a:pt x="6267047" y="4939525"/>
                  <a:pt x="6251661" y="4955116"/>
                  <a:pt x="6251661" y="4974345"/>
                </a:cubicBezTo>
                <a:cubicBezTo>
                  <a:pt x="6251661" y="4993574"/>
                  <a:pt x="6267047" y="5009165"/>
                  <a:pt x="6286014" y="5009165"/>
                </a:cubicBezTo>
                <a:cubicBezTo>
                  <a:pt x="6304981" y="5009165"/>
                  <a:pt x="6320354" y="4993574"/>
                  <a:pt x="6320354" y="4974345"/>
                </a:cubicBezTo>
                <a:cubicBezTo>
                  <a:pt x="6320354" y="4955116"/>
                  <a:pt x="6304981" y="4939525"/>
                  <a:pt x="6286014" y="4939525"/>
                </a:cubicBezTo>
                <a:close/>
                <a:moveTo>
                  <a:pt x="6369755" y="4939525"/>
                </a:moveTo>
                <a:cubicBezTo>
                  <a:pt x="6350788" y="4939525"/>
                  <a:pt x="6335402" y="4955116"/>
                  <a:pt x="6335402" y="4974345"/>
                </a:cubicBezTo>
                <a:cubicBezTo>
                  <a:pt x="6335402" y="4993574"/>
                  <a:pt x="6350788" y="5009165"/>
                  <a:pt x="6369755" y="5009165"/>
                </a:cubicBezTo>
                <a:cubicBezTo>
                  <a:pt x="6388722" y="5009165"/>
                  <a:pt x="6404096" y="4993574"/>
                  <a:pt x="6404096" y="4974345"/>
                </a:cubicBezTo>
                <a:cubicBezTo>
                  <a:pt x="6404096" y="4955116"/>
                  <a:pt x="6388722" y="4939525"/>
                  <a:pt x="6369755" y="4939525"/>
                </a:cubicBezTo>
                <a:close/>
                <a:moveTo>
                  <a:pt x="6453498" y="4939525"/>
                </a:moveTo>
                <a:cubicBezTo>
                  <a:pt x="6434531" y="4939525"/>
                  <a:pt x="6419144" y="4955116"/>
                  <a:pt x="6419144" y="4974345"/>
                </a:cubicBezTo>
                <a:cubicBezTo>
                  <a:pt x="6419144" y="4993574"/>
                  <a:pt x="6434531" y="5009165"/>
                  <a:pt x="6453498" y="5009165"/>
                </a:cubicBezTo>
                <a:cubicBezTo>
                  <a:pt x="6472465" y="5009165"/>
                  <a:pt x="6487838" y="4993574"/>
                  <a:pt x="6487838" y="4974345"/>
                </a:cubicBezTo>
                <a:cubicBezTo>
                  <a:pt x="6487838" y="4955116"/>
                  <a:pt x="6472465" y="4939525"/>
                  <a:pt x="6453498" y="4939525"/>
                </a:cubicBezTo>
                <a:close/>
                <a:moveTo>
                  <a:pt x="6537239" y="4939525"/>
                </a:moveTo>
                <a:cubicBezTo>
                  <a:pt x="6518272" y="4939525"/>
                  <a:pt x="6502886" y="4955116"/>
                  <a:pt x="6502886" y="4974345"/>
                </a:cubicBezTo>
                <a:cubicBezTo>
                  <a:pt x="6502886" y="4993574"/>
                  <a:pt x="6518272" y="5009165"/>
                  <a:pt x="6537239" y="5009165"/>
                </a:cubicBezTo>
                <a:cubicBezTo>
                  <a:pt x="6556206" y="5009165"/>
                  <a:pt x="6571579" y="4993574"/>
                  <a:pt x="6571579" y="4974345"/>
                </a:cubicBezTo>
                <a:cubicBezTo>
                  <a:pt x="6571579" y="4955116"/>
                  <a:pt x="6556206" y="4939525"/>
                  <a:pt x="6537239" y="4939525"/>
                </a:cubicBezTo>
                <a:close/>
                <a:moveTo>
                  <a:pt x="6620980" y="4939525"/>
                </a:moveTo>
                <a:cubicBezTo>
                  <a:pt x="6602013" y="4939525"/>
                  <a:pt x="6586627" y="4955116"/>
                  <a:pt x="6586627" y="4974345"/>
                </a:cubicBezTo>
                <a:cubicBezTo>
                  <a:pt x="6586627" y="4993574"/>
                  <a:pt x="6602013" y="5009165"/>
                  <a:pt x="6620980" y="5009165"/>
                </a:cubicBezTo>
                <a:cubicBezTo>
                  <a:pt x="6639947" y="5009165"/>
                  <a:pt x="6655320" y="4993574"/>
                  <a:pt x="6655320" y="4974345"/>
                </a:cubicBezTo>
                <a:cubicBezTo>
                  <a:pt x="6655320" y="4955116"/>
                  <a:pt x="6639947" y="4939525"/>
                  <a:pt x="6620980" y="4939525"/>
                </a:cubicBezTo>
                <a:close/>
                <a:moveTo>
                  <a:pt x="6704722" y="4939525"/>
                </a:moveTo>
                <a:cubicBezTo>
                  <a:pt x="6685755" y="4939525"/>
                  <a:pt x="6670369" y="4955116"/>
                  <a:pt x="6670369" y="4974345"/>
                </a:cubicBezTo>
                <a:cubicBezTo>
                  <a:pt x="6670369" y="4993574"/>
                  <a:pt x="6685755" y="5009165"/>
                  <a:pt x="6704722" y="5009165"/>
                </a:cubicBezTo>
                <a:cubicBezTo>
                  <a:pt x="6723689" y="5009165"/>
                  <a:pt x="6739063" y="4993574"/>
                  <a:pt x="6739063" y="4974345"/>
                </a:cubicBezTo>
                <a:cubicBezTo>
                  <a:pt x="6739063" y="4955116"/>
                  <a:pt x="6723689" y="4939525"/>
                  <a:pt x="6704722" y="4939525"/>
                </a:cubicBezTo>
                <a:close/>
                <a:moveTo>
                  <a:pt x="6788464" y="4939525"/>
                </a:moveTo>
                <a:cubicBezTo>
                  <a:pt x="6769497" y="4939525"/>
                  <a:pt x="6754110" y="4955116"/>
                  <a:pt x="6754110" y="4974345"/>
                </a:cubicBezTo>
                <a:cubicBezTo>
                  <a:pt x="6754110" y="4993574"/>
                  <a:pt x="6769497" y="5009165"/>
                  <a:pt x="6788464" y="5009165"/>
                </a:cubicBezTo>
                <a:cubicBezTo>
                  <a:pt x="6807431" y="5009165"/>
                  <a:pt x="6822804" y="4993574"/>
                  <a:pt x="6822804" y="4974345"/>
                </a:cubicBezTo>
                <a:cubicBezTo>
                  <a:pt x="6822804" y="4955116"/>
                  <a:pt x="6807431" y="4939525"/>
                  <a:pt x="6788464" y="4939525"/>
                </a:cubicBezTo>
                <a:close/>
                <a:moveTo>
                  <a:pt x="6872206" y="4939525"/>
                </a:moveTo>
                <a:cubicBezTo>
                  <a:pt x="6853239" y="4939525"/>
                  <a:pt x="6837853" y="4955116"/>
                  <a:pt x="6837853" y="4974345"/>
                </a:cubicBezTo>
                <a:cubicBezTo>
                  <a:pt x="6837853" y="4993574"/>
                  <a:pt x="6853239" y="5009165"/>
                  <a:pt x="6872206" y="5009165"/>
                </a:cubicBezTo>
                <a:cubicBezTo>
                  <a:pt x="6891173" y="5009165"/>
                  <a:pt x="6906546" y="4993574"/>
                  <a:pt x="6906546" y="4974345"/>
                </a:cubicBezTo>
                <a:cubicBezTo>
                  <a:pt x="6906546" y="4955116"/>
                  <a:pt x="6891173" y="4939525"/>
                  <a:pt x="6872206" y="4939525"/>
                </a:cubicBezTo>
                <a:close/>
                <a:moveTo>
                  <a:pt x="7290939" y="4939525"/>
                </a:moveTo>
                <a:cubicBezTo>
                  <a:pt x="7271972" y="4939525"/>
                  <a:pt x="7256586" y="4955116"/>
                  <a:pt x="7256586" y="4974345"/>
                </a:cubicBezTo>
                <a:cubicBezTo>
                  <a:pt x="7256586" y="4993574"/>
                  <a:pt x="7271972" y="5009165"/>
                  <a:pt x="7290939" y="5009165"/>
                </a:cubicBezTo>
                <a:cubicBezTo>
                  <a:pt x="7309906" y="5009165"/>
                  <a:pt x="7325279" y="4993574"/>
                  <a:pt x="7325279" y="4974345"/>
                </a:cubicBezTo>
                <a:cubicBezTo>
                  <a:pt x="7325279" y="4955116"/>
                  <a:pt x="7309906" y="4939525"/>
                  <a:pt x="7290939" y="4939525"/>
                </a:cubicBezTo>
                <a:close/>
                <a:moveTo>
                  <a:pt x="9635705" y="4939525"/>
                </a:moveTo>
                <a:cubicBezTo>
                  <a:pt x="9616738" y="4939525"/>
                  <a:pt x="9601352" y="4955116"/>
                  <a:pt x="9601352" y="4974345"/>
                </a:cubicBezTo>
                <a:cubicBezTo>
                  <a:pt x="9601352" y="4993574"/>
                  <a:pt x="9616738" y="5009165"/>
                  <a:pt x="9635705" y="5009165"/>
                </a:cubicBezTo>
                <a:cubicBezTo>
                  <a:pt x="9654672" y="5009165"/>
                  <a:pt x="9670045" y="4993574"/>
                  <a:pt x="9670045" y="4974345"/>
                </a:cubicBezTo>
                <a:cubicBezTo>
                  <a:pt x="9670045" y="4955116"/>
                  <a:pt x="9654672" y="4939525"/>
                  <a:pt x="9635705" y="4939525"/>
                </a:cubicBezTo>
                <a:close/>
                <a:moveTo>
                  <a:pt x="9719446" y="4939525"/>
                </a:moveTo>
                <a:cubicBezTo>
                  <a:pt x="9700479" y="4939525"/>
                  <a:pt x="9685093" y="4955116"/>
                  <a:pt x="9685093" y="4974345"/>
                </a:cubicBezTo>
                <a:cubicBezTo>
                  <a:pt x="9685093" y="4993574"/>
                  <a:pt x="9700479" y="5009165"/>
                  <a:pt x="9719446" y="5009165"/>
                </a:cubicBezTo>
                <a:cubicBezTo>
                  <a:pt x="9738413" y="5009165"/>
                  <a:pt x="9753787" y="4993574"/>
                  <a:pt x="9753787" y="4974345"/>
                </a:cubicBezTo>
                <a:cubicBezTo>
                  <a:pt x="9753787" y="4955116"/>
                  <a:pt x="9738413" y="4939525"/>
                  <a:pt x="9719446" y="4939525"/>
                </a:cubicBezTo>
                <a:close/>
                <a:moveTo>
                  <a:pt x="9803189" y="4939525"/>
                </a:moveTo>
                <a:cubicBezTo>
                  <a:pt x="9784222" y="4939525"/>
                  <a:pt x="9768836" y="4955116"/>
                  <a:pt x="9768836" y="4974345"/>
                </a:cubicBezTo>
                <a:cubicBezTo>
                  <a:pt x="9768836" y="4993574"/>
                  <a:pt x="9784222" y="5009165"/>
                  <a:pt x="9803189" y="5009165"/>
                </a:cubicBezTo>
                <a:cubicBezTo>
                  <a:pt x="9822156" y="5009165"/>
                  <a:pt x="9837529" y="4993574"/>
                  <a:pt x="9837529" y="4974345"/>
                </a:cubicBezTo>
                <a:cubicBezTo>
                  <a:pt x="9837529" y="4955116"/>
                  <a:pt x="9822156" y="4939525"/>
                  <a:pt x="9803189" y="4939525"/>
                </a:cubicBezTo>
                <a:close/>
                <a:moveTo>
                  <a:pt x="9886930" y="4939525"/>
                </a:moveTo>
                <a:cubicBezTo>
                  <a:pt x="9867963" y="4939525"/>
                  <a:pt x="9852577" y="4955116"/>
                  <a:pt x="9852577" y="4974345"/>
                </a:cubicBezTo>
                <a:cubicBezTo>
                  <a:pt x="9852577" y="4993574"/>
                  <a:pt x="9867963" y="5009165"/>
                  <a:pt x="9886930" y="5009165"/>
                </a:cubicBezTo>
                <a:cubicBezTo>
                  <a:pt x="9905897" y="5009165"/>
                  <a:pt x="9921270" y="4993574"/>
                  <a:pt x="9921270" y="4974345"/>
                </a:cubicBezTo>
                <a:cubicBezTo>
                  <a:pt x="9921270" y="4955116"/>
                  <a:pt x="9905897" y="4939525"/>
                  <a:pt x="9886930" y="4939525"/>
                </a:cubicBezTo>
                <a:close/>
                <a:moveTo>
                  <a:pt x="9970671" y="4939525"/>
                </a:moveTo>
                <a:cubicBezTo>
                  <a:pt x="9951704" y="4939525"/>
                  <a:pt x="9936318" y="4955116"/>
                  <a:pt x="9936318" y="4974345"/>
                </a:cubicBezTo>
                <a:cubicBezTo>
                  <a:pt x="9936318" y="4993574"/>
                  <a:pt x="9951704" y="5009165"/>
                  <a:pt x="9970671" y="5009165"/>
                </a:cubicBezTo>
                <a:cubicBezTo>
                  <a:pt x="9989638" y="5009165"/>
                  <a:pt x="10005011" y="4993574"/>
                  <a:pt x="10005011" y="4974345"/>
                </a:cubicBezTo>
                <a:cubicBezTo>
                  <a:pt x="10005011" y="4955116"/>
                  <a:pt x="9989638" y="4939525"/>
                  <a:pt x="9970671" y="4939525"/>
                </a:cubicBezTo>
                <a:close/>
                <a:moveTo>
                  <a:pt x="10054413" y="4939525"/>
                </a:moveTo>
                <a:cubicBezTo>
                  <a:pt x="10035446" y="4939525"/>
                  <a:pt x="10020060" y="4955116"/>
                  <a:pt x="10020060" y="4974345"/>
                </a:cubicBezTo>
                <a:cubicBezTo>
                  <a:pt x="10020060" y="4993574"/>
                  <a:pt x="10035446" y="5009165"/>
                  <a:pt x="10054413" y="5009165"/>
                </a:cubicBezTo>
                <a:cubicBezTo>
                  <a:pt x="10073380" y="5009165"/>
                  <a:pt x="10088754" y="4993574"/>
                  <a:pt x="10088754" y="4974345"/>
                </a:cubicBezTo>
                <a:cubicBezTo>
                  <a:pt x="10088754" y="4955116"/>
                  <a:pt x="10073380" y="4939525"/>
                  <a:pt x="10054413" y="4939525"/>
                </a:cubicBezTo>
                <a:close/>
                <a:moveTo>
                  <a:pt x="10138155" y="4939525"/>
                </a:moveTo>
                <a:cubicBezTo>
                  <a:pt x="10119188" y="4939525"/>
                  <a:pt x="10103802" y="4955116"/>
                  <a:pt x="10103802" y="4974345"/>
                </a:cubicBezTo>
                <a:cubicBezTo>
                  <a:pt x="10103802" y="4993574"/>
                  <a:pt x="10119188" y="5009165"/>
                  <a:pt x="10138155" y="5009165"/>
                </a:cubicBezTo>
                <a:cubicBezTo>
                  <a:pt x="10157122" y="5009165"/>
                  <a:pt x="10172495" y="4993574"/>
                  <a:pt x="10172495" y="4974345"/>
                </a:cubicBezTo>
                <a:cubicBezTo>
                  <a:pt x="10172495" y="4955116"/>
                  <a:pt x="10157122" y="4939525"/>
                  <a:pt x="10138155" y="4939525"/>
                </a:cubicBezTo>
                <a:close/>
                <a:moveTo>
                  <a:pt x="10221896" y="4939525"/>
                </a:moveTo>
                <a:cubicBezTo>
                  <a:pt x="10202929" y="4939525"/>
                  <a:pt x="10187543" y="4955116"/>
                  <a:pt x="10187543" y="4974345"/>
                </a:cubicBezTo>
                <a:cubicBezTo>
                  <a:pt x="10187543" y="4993574"/>
                  <a:pt x="10202929" y="5009165"/>
                  <a:pt x="10221896" y="5009165"/>
                </a:cubicBezTo>
                <a:cubicBezTo>
                  <a:pt x="10240863" y="5009165"/>
                  <a:pt x="10256236" y="4993574"/>
                  <a:pt x="10256236" y="4974345"/>
                </a:cubicBezTo>
                <a:cubicBezTo>
                  <a:pt x="10256236" y="4955116"/>
                  <a:pt x="10240863" y="4939525"/>
                  <a:pt x="10221896" y="4939525"/>
                </a:cubicBezTo>
                <a:close/>
                <a:moveTo>
                  <a:pt x="10305638" y="4939525"/>
                </a:moveTo>
                <a:cubicBezTo>
                  <a:pt x="10286671" y="4939525"/>
                  <a:pt x="10271285" y="4955116"/>
                  <a:pt x="10271285" y="4974345"/>
                </a:cubicBezTo>
                <a:cubicBezTo>
                  <a:pt x="10271285" y="4993574"/>
                  <a:pt x="10286671" y="5009165"/>
                  <a:pt x="10305638" y="5009165"/>
                </a:cubicBezTo>
                <a:cubicBezTo>
                  <a:pt x="10324605" y="5009165"/>
                  <a:pt x="10339978" y="4993574"/>
                  <a:pt x="10339978" y="4974345"/>
                </a:cubicBezTo>
                <a:cubicBezTo>
                  <a:pt x="10339978" y="4955116"/>
                  <a:pt x="10324605" y="4939525"/>
                  <a:pt x="10305638" y="4939525"/>
                </a:cubicBezTo>
                <a:close/>
                <a:moveTo>
                  <a:pt x="10389379" y="4939525"/>
                </a:moveTo>
                <a:cubicBezTo>
                  <a:pt x="10370412" y="4939525"/>
                  <a:pt x="10355026" y="4955116"/>
                  <a:pt x="10355026" y="4974345"/>
                </a:cubicBezTo>
                <a:cubicBezTo>
                  <a:pt x="10355026" y="4993574"/>
                  <a:pt x="10370412" y="5009165"/>
                  <a:pt x="10389379" y="5009165"/>
                </a:cubicBezTo>
                <a:cubicBezTo>
                  <a:pt x="10408346" y="5009165"/>
                  <a:pt x="10423720" y="4993574"/>
                  <a:pt x="10423720" y="4974345"/>
                </a:cubicBezTo>
                <a:cubicBezTo>
                  <a:pt x="10423720" y="4955116"/>
                  <a:pt x="10408346" y="4939525"/>
                  <a:pt x="10389379" y="4939525"/>
                </a:cubicBezTo>
                <a:close/>
                <a:moveTo>
                  <a:pt x="3773759" y="5024388"/>
                </a:moveTo>
                <a:cubicBezTo>
                  <a:pt x="3754792" y="5024388"/>
                  <a:pt x="3739412" y="5039980"/>
                  <a:pt x="3739412" y="5059209"/>
                </a:cubicBezTo>
                <a:cubicBezTo>
                  <a:pt x="3739412" y="5078437"/>
                  <a:pt x="3754792" y="5094029"/>
                  <a:pt x="3773759" y="5094029"/>
                </a:cubicBezTo>
                <a:cubicBezTo>
                  <a:pt x="3792726" y="5094029"/>
                  <a:pt x="3808106" y="5078437"/>
                  <a:pt x="3808106" y="5059209"/>
                </a:cubicBezTo>
                <a:cubicBezTo>
                  <a:pt x="3808106" y="5039980"/>
                  <a:pt x="3792726" y="5024388"/>
                  <a:pt x="3773759" y="5024388"/>
                </a:cubicBezTo>
                <a:close/>
                <a:moveTo>
                  <a:pt x="3857500" y="5024388"/>
                </a:moveTo>
                <a:cubicBezTo>
                  <a:pt x="3838533" y="5024388"/>
                  <a:pt x="3823154" y="5039980"/>
                  <a:pt x="3823154" y="5059209"/>
                </a:cubicBezTo>
                <a:cubicBezTo>
                  <a:pt x="3823154" y="5078437"/>
                  <a:pt x="3838533" y="5094029"/>
                  <a:pt x="3857500" y="5094029"/>
                </a:cubicBezTo>
                <a:cubicBezTo>
                  <a:pt x="3876467" y="5094029"/>
                  <a:pt x="3891847" y="5078437"/>
                  <a:pt x="3891847" y="5059209"/>
                </a:cubicBezTo>
                <a:cubicBezTo>
                  <a:pt x="3891847" y="5039980"/>
                  <a:pt x="3876467" y="5024388"/>
                  <a:pt x="3857500" y="5024388"/>
                </a:cubicBezTo>
                <a:close/>
                <a:moveTo>
                  <a:pt x="3941242" y="5024388"/>
                </a:moveTo>
                <a:cubicBezTo>
                  <a:pt x="3922275" y="5024388"/>
                  <a:pt x="3906895" y="5039980"/>
                  <a:pt x="3906895" y="5059209"/>
                </a:cubicBezTo>
                <a:cubicBezTo>
                  <a:pt x="3906895" y="5078437"/>
                  <a:pt x="3922275" y="5094029"/>
                  <a:pt x="3941242" y="5094029"/>
                </a:cubicBezTo>
                <a:cubicBezTo>
                  <a:pt x="3960209" y="5094029"/>
                  <a:pt x="3975588" y="5078437"/>
                  <a:pt x="3975588" y="5059209"/>
                </a:cubicBezTo>
                <a:cubicBezTo>
                  <a:pt x="3975588" y="5039980"/>
                  <a:pt x="3960209" y="5024388"/>
                  <a:pt x="3941242" y="5024388"/>
                </a:cubicBezTo>
                <a:close/>
                <a:moveTo>
                  <a:pt x="4024990" y="5024388"/>
                </a:moveTo>
                <a:cubicBezTo>
                  <a:pt x="4006023" y="5024388"/>
                  <a:pt x="3990643" y="5039980"/>
                  <a:pt x="3990643" y="5059209"/>
                </a:cubicBezTo>
                <a:cubicBezTo>
                  <a:pt x="3990643" y="5078437"/>
                  <a:pt x="4006023" y="5094029"/>
                  <a:pt x="4024990" y="5094029"/>
                </a:cubicBezTo>
                <a:cubicBezTo>
                  <a:pt x="4043957" y="5094029"/>
                  <a:pt x="4059337" y="5078437"/>
                  <a:pt x="4059337" y="5059209"/>
                </a:cubicBezTo>
                <a:cubicBezTo>
                  <a:pt x="4059337" y="5039980"/>
                  <a:pt x="4043957" y="5024388"/>
                  <a:pt x="4024990" y="5024388"/>
                </a:cubicBezTo>
                <a:close/>
                <a:moveTo>
                  <a:pt x="4108732" y="5024388"/>
                </a:moveTo>
                <a:cubicBezTo>
                  <a:pt x="4089765" y="5024388"/>
                  <a:pt x="4074386" y="5039980"/>
                  <a:pt x="4074386" y="5059209"/>
                </a:cubicBezTo>
                <a:cubicBezTo>
                  <a:pt x="4074386" y="5078437"/>
                  <a:pt x="4089765" y="5094029"/>
                  <a:pt x="4108732" y="5094029"/>
                </a:cubicBezTo>
                <a:cubicBezTo>
                  <a:pt x="4127699" y="5094029"/>
                  <a:pt x="4143079" y="5078437"/>
                  <a:pt x="4143079" y="5059209"/>
                </a:cubicBezTo>
                <a:cubicBezTo>
                  <a:pt x="4143079" y="5039980"/>
                  <a:pt x="4127699" y="5024388"/>
                  <a:pt x="4108732" y="5024388"/>
                </a:cubicBezTo>
                <a:close/>
                <a:moveTo>
                  <a:pt x="4192473" y="5024388"/>
                </a:moveTo>
                <a:cubicBezTo>
                  <a:pt x="4173506" y="5024388"/>
                  <a:pt x="4158127" y="5039980"/>
                  <a:pt x="4158127" y="5059209"/>
                </a:cubicBezTo>
                <a:cubicBezTo>
                  <a:pt x="4158127" y="5078437"/>
                  <a:pt x="4173506" y="5094029"/>
                  <a:pt x="4192473" y="5094029"/>
                </a:cubicBezTo>
                <a:cubicBezTo>
                  <a:pt x="4211440" y="5094029"/>
                  <a:pt x="4226820" y="5078437"/>
                  <a:pt x="4226820" y="5059209"/>
                </a:cubicBezTo>
                <a:cubicBezTo>
                  <a:pt x="4226820" y="5039980"/>
                  <a:pt x="4211440" y="5024388"/>
                  <a:pt x="4192473" y="5024388"/>
                </a:cubicBezTo>
                <a:close/>
                <a:moveTo>
                  <a:pt x="4276215" y="5024388"/>
                </a:moveTo>
                <a:cubicBezTo>
                  <a:pt x="4257248" y="5024388"/>
                  <a:pt x="4241868" y="5039980"/>
                  <a:pt x="4241868" y="5059209"/>
                </a:cubicBezTo>
                <a:cubicBezTo>
                  <a:pt x="4241868" y="5078437"/>
                  <a:pt x="4257248" y="5094029"/>
                  <a:pt x="4276215" y="5094029"/>
                </a:cubicBezTo>
                <a:cubicBezTo>
                  <a:pt x="4295182" y="5094029"/>
                  <a:pt x="4310561" y="5078437"/>
                  <a:pt x="4310561" y="5059209"/>
                </a:cubicBezTo>
                <a:cubicBezTo>
                  <a:pt x="4310561" y="5039980"/>
                  <a:pt x="4295182" y="5024388"/>
                  <a:pt x="4276215" y="5024388"/>
                </a:cubicBezTo>
                <a:close/>
                <a:moveTo>
                  <a:pt x="4359957" y="5024388"/>
                </a:moveTo>
                <a:cubicBezTo>
                  <a:pt x="4340990" y="5024388"/>
                  <a:pt x="4325610" y="5039980"/>
                  <a:pt x="4325610" y="5059209"/>
                </a:cubicBezTo>
                <a:cubicBezTo>
                  <a:pt x="4325610" y="5078437"/>
                  <a:pt x="4340990" y="5094029"/>
                  <a:pt x="4359957" y="5094029"/>
                </a:cubicBezTo>
                <a:cubicBezTo>
                  <a:pt x="4378924" y="5094029"/>
                  <a:pt x="4394304" y="5078437"/>
                  <a:pt x="4394304" y="5059209"/>
                </a:cubicBezTo>
                <a:cubicBezTo>
                  <a:pt x="4394304" y="5039980"/>
                  <a:pt x="4378924" y="5024388"/>
                  <a:pt x="4359957" y="5024388"/>
                </a:cubicBezTo>
                <a:close/>
                <a:moveTo>
                  <a:pt x="4443698" y="5024388"/>
                </a:moveTo>
                <a:cubicBezTo>
                  <a:pt x="4424731" y="5024388"/>
                  <a:pt x="4409352" y="5039980"/>
                  <a:pt x="4409352" y="5059209"/>
                </a:cubicBezTo>
                <a:cubicBezTo>
                  <a:pt x="4409352" y="5078437"/>
                  <a:pt x="4424731" y="5094029"/>
                  <a:pt x="4443698" y="5094029"/>
                </a:cubicBezTo>
                <a:cubicBezTo>
                  <a:pt x="4462665" y="5094029"/>
                  <a:pt x="4478045" y="5078437"/>
                  <a:pt x="4478045" y="5059209"/>
                </a:cubicBezTo>
                <a:cubicBezTo>
                  <a:pt x="4478045" y="5039980"/>
                  <a:pt x="4462665" y="5024388"/>
                  <a:pt x="4443698" y="5024388"/>
                </a:cubicBezTo>
                <a:close/>
                <a:moveTo>
                  <a:pt x="6369755" y="5024388"/>
                </a:moveTo>
                <a:cubicBezTo>
                  <a:pt x="6350788" y="5024388"/>
                  <a:pt x="6335402" y="5039980"/>
                  <a:pt x="6335402" y="5059209"/>
                </a:cubicBezTo>
                <a:cubicBezTo>
                  <a:pt x="6335402" y="5078437"/>
                  <a:pt x="6350788" y="5094029"/>
                  <a:pt x="6369755" y="5094029"/>
                </a:cubicBezTo>
                <a:cubicBezTo>
                  <a:pt x="6388722" y="5094029"/>
                  <a:pt x="6404096" y="5078437"/>
                  <a:pt x="6404096" y="5059209"/>
                </a:cubicBezTo>
                <a:cubicBezTo>
                  <a:pt x="6404096" y="5039980"/>
                  <a:pt x="6388722" y="5024388"/>
                  <a:pt x="6369755" y="5024388"/>
                </a:cubicBezTo>
                <a:close/>
                <a:moveTo>
                  <a:pt x="6453498" y="5024388"/>
                </a:moveTo>
                <a:cubicBezTo>
                  <a:pt x="6434531" y="5024388"/>
                  <a:pt x="6419144" y="5039980"/>
                  <a:pt x="6419144" y="5059209"/>
                </a:cubicBezTo>
                <a:cubicBezTo>
                  <a:pt x="6419144" y="5078437"/>
                  <a:pt x="6434531" y="5094029"/>
                  <a:pt x="6453498" y="5094029"/>
                </a:cubicBezTo>
                <a:cubicBezTo>
                  <a:pt x="6472465" y="5094029"/>
                  <a:pt x="6487838" y="5078437"/>
                  <a:pt x="6487838" y="5059209"/>
                </a:cubicBezTo>
                <a:cubicBezTo>
                  <a:pt x="6487838" y="5039980"/>
                  <a:pt x="6472465" y="5024388"/>
                  <a:pt x="6453498" y="5024388"/>
                </a:cubicBezTo>
                <a:close/>
                <a:moveTo>
                  <a:pt x="6537239" y="5024388"/>
                </a:moveTo>
                <a:cubicBezTo>
                  <a:pt x="6518272" y="5024388"/>
                  <a:pt x="6502886" y="5039980"/>
                  <a:pt x="6502886" y="5059209"/>
                </a:cubicBezTo>
                <a:cubicBezTo>
                  <a:pt x="6502886" y="5078437"/>
                  <a:pt x="6518272" y="5094029"/>
                  <a:pt x="6537239" y="5094029"/>
                </a:cubicBezTo>
                <a:cubicBezTo>
                  <a:pt x="6556206" y="5094029"/>
                  <a:pt x="6571579" y="5078437"/>
                  <a:pt x="6571579" y="5059209"/>
                </a:cubicBezTo>
                <a:cubicBezTo>
                  <a:pt x="6571579" y="5039980"/>
                  <a:pt x="6556206" y="5024388"/>
                  <a:pt x="6537239" y="5024388"/>
                </a:cubicBezTo>
                <a:close/>
                <a:moveTo>
                  <a:pt x="6620980" y="5024388"/>
                </a:moveTo>
                <a:cubicBezTo>
                  <a:pt x="6602013" y="5024388"/>
                  <a:pt x="6586627" y="5039980"/>
                  <a:pt x="6586627" y="5059209"/>
                </a:cubicBezTo>
                <a:cubicBezTo>
                  <a:pt x="6586627" y="5078437"/>
                  <a:pt x="6602013" y="5094029"/>
                  <a:pt x="6620980" y="5094029"/>
                </a:cubicBezTo>
                <a:cubicBezTo>
                  <a:pt x="6639947" y="5094029"/>
                  <a:pt x="6655320" y="5078437"/>
                  <a:pt x="6655320" y="5059209"/>
                </a:cubicBezTo>
                <a:cubicBezTo>
                  <a:pt x="6655320" y="5039980"/>
                  <a:pt x="6639947" y="5024388"/>
                  <a:pt x="6620980" y="5024388"/>
                </a:cubicBezTo>
                <a:close/>
                <a:moveTo>
                  <a:pt x="6704722" y="5024388"/>
                </a:moveTo>
                <a:cubicBezTo>
                  <a:pt x="6685755" y="5024388"/>
                  <a:pt x="6670369" y="5039980"/>
                  <a:pt x="6670369" y="5059209"/>
                </a:cubicBezTo>
                <a:cubicBezTo>
                  <a:pt x="6670369" y="5078437"/>
                  <a:pt x="6685755" y="5094029"/>
                  <a:pt x="6704722" y="5094029"/>
                </a:cubicBezTo>
                <a:cubicBezTo>
                  <a:pt x="6723689" y="5094029"/>
                  <a:pt x="6739063" y="5078437"/>
                  <a:pt x="6739063" y="5059209"/>
                </a:cubicBezTo>
                <a:cubicBezTo>
                  <a:pt x="6739063" y="5039980"/>
                  <a:pt x="6723689" y="5024388"/>
                  <a:pt x="6704722" y="5024388"/>
                </a:cubicBezTo>
                <a:close/>
                <a:moveTo>
                  <a:pt x="6788464" y="5024388"/>
                </a:moveTo>
                <a:cubicBezTo>
                  <a:pt x="6769497" y="5024388"/>
                  <a:pt x="6754110" y="5039980"/>
                  <a:pt x="6754110" y="5059209"/>
                </a:cubicBezTo>
                <a:cubicBezTo>
                  <a:pt x="6754110" y="5078437"/>
                  <a:pt x="6769497" y="5094029"/>
                  <a:pt x="6788464" y="5094029"/>
                </a:cubicBezTo>
                <a:cubicBezTo>
                  <a:pt x="6807431" y="5094029"/>
                  <a:pt x="6822804" y="5078437"/>
                  <a:pt x="6822804" y="5059209"/>
                </a:cubicBezTo>
                <a:cubicBezTo>
                  <a:pt x="6822804" y="5039980"/>
                  <a:pt x="6807431" y="5024388"/>
                  <a:pt x="6788464" y="5024388"/>
                </a:cubicBezTo>
                <a:close/>
                <a:moveTo>
                  <a:pt x="6872206" y="5024388"/>
                </a:moveTo>
                <a:cubicBezTo>
                  <a:pt x="6853239" y="5024388"/>
                  <a:pt x="6837853" y="5039980"/>
                  <a:pt x="6837853" y="5059209"/>
                </a:cubicBezTo>
                <a:cubicBezTo>
                  <a:pt x="6837853" y="5078437"/>
                  <a:pt x="6853239" y="5094029"/>
                  <a:pt x="6872206" y="5094029"/>
                </a:cubicBezTo>
                <a:cubicBezTo>
                  <a:pt x="6891173" y="5094029"/>
                  <a:pt x="6906546" y="5078437"/>
                  <a:pt x="6906546" y="5059209"/>
                </a:cubicBezTo>
                <a:cubicBezTo>
                  <a:pt x="6906546" y="5039980"/>
                  <a:pt x="6891173" y="5024388"/>
                  <a:pt x="6872206" y="5024388"/>
                </a:cubicBezTo>
                <a:close/>
                <a:moveTo>
                  <a:pt x="7207198" y="5024388"/>
                </a:moveTo>
                <a:cubicBezTo>
                  <a:pt x="7188231" y="5024388"/>
                  <a:pt x="7172845" y="5039980"/>
                  <a:pt x="7172845" y="5059209"/>
                </a:cubicBezTo>
                <a:cubicBezTo>
                  <a:pt x="7172845" y="5078437"/>
                  <a:pt x="7188231" y="5094029"/>
                  <a:pt x="7207198" y="5094029"/>
                </a:cubicBezTo>
                <a:cubicBezTo>
                  <a:pt x="7226165" y="5094029"/>
                  <a:pt x="7241538" y="5078437"/>
                  <a:pt x="7241538" y="5059209"/>
                </a:cubicBezTo>
                <a:cubicBezTo>
                  <a:pt x="7241538" y="5039980"/>
                  <a:pt x="7226165" y="5024388"/>
                  <a:pt x="7207198" y="5024388"/>
                </a:cubicBezTo>
                <a:close/>
                <a:moveTo>
                  <a:pt x="7290939" y="5024388"/>
                </a:moveTo>
                <a:cubicBezTo>
                  <a:pt x="7271972" y="5024388"/>
                  <a:pt x="7256586" y="5039980"/>
                  <a:pt x="7256586" y="5059209"/>
                </a:cubicBezTo>
                <a:cubicBezTo>
                  <a:pt x="7256586" y="5078437"/>
                  <a:pt x="7271972" y="5094029"/>
                  <a:pt x="7290939" y="5094029"/>
                </a:cubicBezTo>
                <a:cubicBezTo>
                  <a:pt x="7309906" y="5094029"/>
                  <a:pt x="7325279" y="5078437"/>
                  <a:pt x="7325279" y="5059209"/>
                </a:cubicBezTo>
                <a:cubicBezTo>
                  <a:pt x="7325279" y="5039980"/>
                  <a:pt x="7309906" y="5024388"/>
                  <a:pt x="7290939" y="5024388"/>
                </a:cubicBezTo>
                <a:close/>
                <a:moveTo>
                  <a:pt x="9468222" y="5024388"/>
                </a:moveTo>
                <a:cubicBezTo>
                  <a:pt x="9449255" y="5024388"/>
                  <a:pt x="9433869" y="5039980"/>
                  <a:pt x="9433869" y="5059209"/>
                </a:cubicBezTo>
                <a:cubicBezTo>
                  <a:pt x="9433869" y="5078437"/>
                  <a:pt x="9449255" y="5094029"/>
                  <a:pt x="9468222" y="5094029"/>
                </a:cubicBezTo>
                <a:cubicBezTo>
                  <a:pt x="9487189" y="5094029"/>
                  <a:pt x="9502562" y="5078437"/>
                  <a:pt x="9502562" y="5059209"/>
                </a:cubicBezTo>
                <a:cubicBezTo>
                  <a:pt x="9502562" y="5039980"/>
                  <a:pt x="9487189" y="5024388"/>
                  <a:pt x="9468222" y="5024388"/>
                </a:cubicBezTo>
                <a:close/>
                <a:moveTo>
                  <a:pt x="9551963" y="5024388"/>
                </a:moveTo>
                <a:cubicBezTo>
                  <a:pt x="9532996" y="5024388"/>
                  <a:pt x="9517610" y="5039980"/>
                  <a:pt x="9517610" y="5059209"/>
                </a:cubicBezTo>
                <a:cubicBezTo>
                  <a:pt x="9517610" y="5078437"/>
                  <a:pt x="9532996" y="5094029"/>
                  <a:pt x="9551963" y="5094029"/>
                </a:cubicBezTo>
                <a:cubicBezTo>
                  <a:pt x="9570930" y="5094029"/>
                  <a:pt x="9586303" y="5078437"/>
                  <a:pt x="9586303" y="5059209"/>
                </a:cubicBezTo>
                <a:cubicBezTo>
                  <a:pt x="9586303" y="5039980"/>
                  <a:pt x="9570930" y="5024388"/>
                  <a:pt x="9551963" y="5024388"/>
                </a:cubicBezTo>
                <a:close/>
                <a:moveTo>
                  <a:pt x="9635705" y="5024388"/>
                </a:moveTo>
                <a:cubicBezTo>
                  <a:pt x="9616738" y="5024388"/>
                  <a:pt x="9601352" y="5039980"/>
                  <a:pt x="9601352" y="5059209"/>
                </a:cubicBezTo>
                <a:cubicBezTo>
                  <a:pt x="9601352" y="5078437"/>
                  <a:pt x="9616738" y="5094029"/>
                  <a:pt x="9635705" y="5094029"/>
                </a:cubicBezTo>
                <a:cubicBezTo>
                  <a:pt x="9654672" y="5094029"/>
                  <a:pt x="9670045" y="5078437"/>
                  <a:pt x="9670045" y="5059209"/>
                </a:cubicBezTo>
                <a:cubicBezTo>
                  <a:pt x="9670045" y="5039980"/>
                  <a:pt x="9654672" y="5024388"/>
                  <a:pt x="9635705" y="5024388"/>
                </a:cubicBezTo>
                <a:close/>
                <a:moveTo>
                  <a:pt x="9719446" y="5024388"/>
                </a:moveTo>
                <a:cubicBezTo>
                  <a:pt x="9700479" y="5024388"/>
                  <a:pt x="9685093" y="5039980"/>
                  <a:pt x="9685093" y="5059209"/>
                </a:cubicBezTo>
                <a:cubicBezTo>
                  <a:pt x="9685093" y="5078437"/>
                  <a:pt x="9700479" y="5094029"/>
                  <a:pt x="9719446" y="5094029"/>
                </a:cubicBezTo>
                <a:cubicBezTo>
                  <a:pt x="9738413" y="5094029"/>
                  <a:pt x="9753787" y="5078437"/>
                  <a:pt x="9753787" y="5059209"/>
                </a:cubicBezTo>
                <a:cubicBezTo>
                  <a:pt x="9753787" y="5039980"/>
                  <a:pt x="9738413" y="5024388"/>
                  <a:pt x="9719446" y="5024388"/>
                </a:cubicBezTo>
                <a:close/>
                <a:moveTo>
                  <a:pt x="9803189" y="5024388"/>
                </a:moveTo>
                <a:cubicBezTo>
                  <a:pt x="9784222" y="5024388"/>
                  <a:pt x="9768836" y="5039980"/>
                  <a:pt x="9768836" y="5059209"/>
                </a:cubicBezTo>
                <a:cubicBezTo>
                  <a:pt x="9768836" y="5078437"/>
                  <a:pt x="9784222" y="5094029"/>
                  <a:pt x="9803189" y="5094029"/>
                </a:cubicBezTo>
                <a:cubicBezTo>
                  <a:pt x="9822156" y="5094029"/>
                  <a:pt x="9837529" y="5078437"/>
                  <a:pt x="9837529" y="5059209"/>
                </a:cubicBezTo>
                <a:cubicBezTo>
                  <a:pt x="9837529" y="5039980"/>
                  <a:pt x="9822156" y="5024388"/>
                  <a:pt x="9803189" y="5024388"/>
                </a:cubicBezTo>
                <a:close/>
                <a:moveTo>
                  <a:pt x="9886930" y="5024388"/>
                </a:moveTo>
                <a:cubicBezTo>
                  <a:pt x="9867963" y="5024388"/>
                  <a:pt x="9852577" y="5039980"/>
                  <a:pt x="9852577" y="5059209"/>
                </a:cubicBezTo>
                <a:cubicBezTo>
                  <a:pt x="9852577" y="5078437"/>
                  <a:pt x="9867963" y="5094029"/>
                  <a:pt x="9886930" y="5094029"/>
                </a:cubicBezTo>
                <a:cubicBezTo>
                  <a:pt x="9905897" y="5094029"/>
                  <a:pt x="9921270" y="5078437"/>
                  <a:pt x="9921270" y="5059209"/>
                </a:cubicBezTo>
                <a:cubicBezTo>
                  <a:pt x="9921270" y="5039980"/>
                  <a:pt x="9905897" y="5024388"/>
                  <a:pt x="9886930" y="5024388"/>
                </a:cubicBezTo>
                <a:close/>
                <a:moveTo>
                  <a:pt x="9970671" y="5024388"/>
                </a:moveTo>
                <a:cubicBezTo>
                  <a:pt x="9951704" y="5024388"/>
                  <a:pt x="9936318" y="5039980"/>
                  <a:pt x="9936318" y="5059209"/>
                </a:cubicBezTo>
                <a:cubicBezTo>
                  <a:pt x="9936318" y="5078437"/>
                  <a:pt x="9951704" y="5094029"/>
                  <a:pt x="9970671" y="5094029"/>
                </a:cubicBezTo>
                <a:cubicBezTo>
                  <a:pt x="9989638" y="5094029"/>
                  <a:pt x="10005011" y="5078437"/>
                  <a:pt x="10005011" y="5059209"/>
                </a:cubicBezTo>
                <a:cubicBezTo>
                  <a:pt x="10005011" y="5039980"/>
                  <a:pt x="9989638" y="5024388"/>
                  <a:pt x="9970671" y="5024388"/>
                </a:cubicBezTo>
                <a:close/>
                <a:moveTo>
                  <a:pt x="10054413" y="5024388"/>
                </a:moveTo>
                <a:cubicBezTo>
                  <a:pt x="10035446" y="5024388"/>
                  <a:pt x="10020060" y="5039980"/>
                  <a:pt x="10020060" y="5059209"/>
                </a:cubicBezTo>
                <a:cubicBezTo>
                  <a:pt x="10020060" y="5078437"/>
                  <a:pt x="10035446" y="5094029"/>
                  <a:pt x="10054413" y="5094029"/>
                </a:cubicBezTo>
                <a:cubicBezTo>
                  <a:pt x="10073380" y="5094029"/>
                  <a:pt x="10088754" y="5078437"/>
                  <a:pt x="10088754" y="5059209"/>
                </a:cubicBezTo>
                <a:cubicBezTo>
                  <a:pt x="10088754" y="5039980"/>
                  <a:pt x="10073380" y="5024388"/>
                  <a:pt x="10054413" y="5024388"/>
                </a:cubicBezTo>
                <a:close/>
                <a:moveTo>
                  <a:pt x="10138155" y="5024388"/>
                </a:moveTo>
                <a:cubicBezTo>
                  <a:pt x="10119188" y="5024388"/>
                  <a:pt x="10103802" y="5039980"/>
                  <a:pt x="10103802" y="5059209"/>
                </a:cubicBezTo>
                <a:cubicBezTo>
                  <a:pt x="10103802" y="5078437"/>
                  <a:pt x="10119188" y="5094029"/>
                  <a:pt x="10138155" y="5094029"/>
                </a:cubicBezTo>
                <a:cubicBezTo>
                  <a:pt x="10157122" y="5094029"/>
                  <a:pt x="10172495" y="5078437"/>
                  <a:pt x="10172495" y="5059209"/>
                </a:cubicBezTo>
                <a:cubicBezTo>
                  <a:pt x="10172495" y="5039980"/>
                  <a:pt x="10157122" y="5024388"/>
                  <a:pt x="10138155" y="5024388"/>
                </a:cubicBezTo>
                <a:close/>
                <a:moveTo>
                  <a:pt x="10221896" y="5024388"/>
                </a:moveTo>
                <a:cubicBezTo>
                  <a:pt x="10202929" y="5024388"/>
                  <a:pt x="10187543" y="5039980"/>
                  <a:pt x="10187543" y="5059209"/>
                </a:cubicBezTo>
                <a:cubicBezTo>
                  <a:pt x="10187543" y="5078437"/>
                  <a:pt x="10202929" y="5094029"/>
                  <a:pt x="10221896" y="5094029"/>
                </a:cubicBezTo>
                <a:cubicBezTo>
                  <a:pt x="10240863" y="5094029"/>
                  <a:pt x="10256236" y="5078437"/>
                  <a:pt x="10256236" y="5059209"/>
                </a:cubicBezTo>
                <a:cubicBezTo>
                  <a:pt x="10256236" y="5039980"/>
                  <a:pt x="10240863" y="5024388"/>
                  <a:pt x="10221896" y="5024388"/>
                </a:cubicBezTo>
                <a:close/>
                <a:moveTo>
                  <a:pt x="10305638" y="5024388"/>
                </a:moveTo>
                <a:cubicBezTo>
                  <a:pt x="10286671" y="5024388"/>
                  <a:pt x="10271285" y="5039980"/>
                  <a:pt x="10271285" y="5059209"/>
                </a:cubicBezTo>
                <a:cubicBezTo>
                  <a:pt x="10271285" y="5078437"/>
                  <a:pt x="10286671" y="5094029"/>
                  <a:pt x="10305638" y="5094029"/>
                </a:cubicBezTo>
                <a:cubicBezTo>
                  <a:pt x="10324605" y="5094029"/>
                  <a:pt x="10339978" y="5078437"/>
                  <a:pt x="10339978" y="5059209"/>
                </a:cubicBezTo>
                <a:cubicBezTo>
                  <a:pt x="10339978" y="5039980"/>
                  <a:pt x="10324605" y="5024388"/>
                  <a:pt x="10305638" y="5024388"/>
                </a:cubicBezTo>
                <a:close/>
                <a:moveTo>
                  <a:pt x="10389379" y="5024388"/>
                </a:moveTo>
                <a:cubicBezTo>
                  <a:pt x="10370412" y="5024388"/>
                  <a:pt x="10355026" y="5039980"/>
                  <a:pt x="10355026" y="5059209"/>
                </a:cubicBezTo>
                <a:cubicBezTo>
                  <a:pt x="10355026" y="5078437"/>
                  <a:pt x="10370412" y="5094029"/>
                  <a:pt x="10389379" y="5094029"/>
                </a:cubicBezTo>
                <a:cubicBezTo>
                  <a:pt x="10408346" y="5094029"/>
                  <a:pt x="10423720" y="5078437"/>
                  <a:pt x="10423720" y="5059209"/>
                </a:cubicBezTo>
                <a:cubicBezTo>
                  <a:pt x="10423720" y="5039980"/>
                  <a:pt x="10408346" y="5024388"/>
                  <a:pt x="10389379" y="5024388"/>
                </a:cubicBezTo>
                <a:close/>
                <a:moveTo>
                  <a:pt x="10975571" y="5024388"/>
                </a:moveTo>
                <a:cubicBezTo>
                  <a:pt x="10956604" y="5024388"/>
                  <a:pt x="10941218" y="5039980"/>
                  <a:pt x="10941218" y="5059209"/>
                </a:cubicBezTo>
                <a:cubicBezTo>
                  <a:pt x="10941218" y="5078437"/>
                  <a:pt x="10956604" y="5094029"/>
                  <a:pt x="10975571" y="5094029"/>
                </a:cubicBezTo>
                <a:cubicBezTo>
                  <a:pt x="10994538" y="5094029"/>
                  <a:pt x="11009911" y="5078437"/>
                  <a:pt x="11009911" y="5059209"/>
                </a:cubicBezTo>
                <a:cubicBezTo>
                  <a:pt x="11009911" y="5039980"/>
                  <a:pt x="10994538" y="5024388"/>
                  <a:pt x="10975571" y="5024388"/>
                </a:cubicBezTo>
                <a:close/>
                <a:moveTo>
                  <a:pt x="3773759" y="5109253"/>
                </a:moveTo>
                <a:cubicBezTo>
                  <a:pt x="3754792" y="5109253"/>
                  <a:pt x="3739412" y="5124845"/>
                  <a:pt x="3739412" y="5144074"/>
                </a:cubicBezTo>
                <a:cubicBezTo>
                  <a:pt x="3739412" y="5163302"/>
                  <a:pt x="3754792" y="5178894"/>
                  <a:pt x="3773759" y="5178894"/>
                </a:cubicBezTo>
                <a:cubicBezTo>
                  <a:pt x="3792726" y="5178894"/>
                  <a:pt x="3808106" y="5163302"/>
                  <a:pt x="3808106" y="5144074"/>
                </a:cubicBezTo>
                <a:cubicBezTo>
                  <a:pt x="3808106" y="5124845"/>
                  <a:pt x="3792726" y="5109253"/>
                  <a:pt x="3773759" y="5109253"/>
                </a:cubicBezTo>
                <a:close/>
                <a:moveTo>
                  <a:pt x="3857500" y="5109253"/>
                </a:moveTo>
                <a:cubicBezTo>
                  <a:pt x="3838533" y="5109253"/>
                  <a:pt x="3823154" y="5124845"/>
                  <a:pt x="3823154" y="5144074"/>
                </a:cubicBezTo>
                <a:cubicBezTo>
                  <a:pt x="3823154" y="5163302"/>
                  <a:pt x="3838533" y="5178894"/>
                  <a:pt x="3857500" y="5178894"/>
                </a:cubicBezTo>
                <a:cubicBezTo>
                  <a:pt x="3876467" y="5178894"/>
                  <a:pt x="3891847" y="5163302"/>
                  <a:pt x="3891847" y="5144074"/>
                </a:cubicBezTo>
                <a:cubicBezTo>
                  <a:pt x="3891847" y="5124845"/>
                  <a:pt x="3876467" y="5109253"/>
                  <a:pt x="3857500" y="5109253"/>
                </a:cubicBezTo>
                <a:close/>
                <a:moveTo>
                  <a:pt x="3941242" y="5109253"/>
                </a:moveTo>
                <a:cubicBezTo>
                  <a:pt x="3922275" y="5109253"/>
                  <a:pt x="3906895" y="5124845"/>
                  <a:pt x="3906895" y="5144074"/>
                </a:cubicBezTo>
                <a:cubicBezTo>
                  <a:pt x="3906895" y="5163302"/>
                  <a:pt x="3922275" y="5178894"/>
                  <a:pt x="3941242" y="5178894"/>
                </a:cubicBezTo>
                <a:cubicBezTo>
                  <a:pt x="3960209" y="5178894"/>
                  <a:pt x="3975588" y="5163302"/>
                  <a:pt x="3975588" y="5144074"/>
                </a:cubicBezTo>
                <a:cubicBezTo>
                  <a:pt x="3975588" y="5124845"/>
                  <a:pt x="3960209" y="5109253"/>
                  <a:pt x="3941242" y="5109253"/>
                </a:cubicBezTo>
                <a:close/>
                <a:moveTo>
                  <a:pt x="4024990" y="5109253"/>
                </a:moveTo>
                <a:cubicBezTo>
                  <a:pt x="4006023" y="5109253"/>
                  <a:pt x="3990643" y="5124845"/>
                  <a:pt x="3990643" y="5144074"/>
                </a:cubicBezTo>
                <a:cubicBezTo>
                  <a:pt x="3990643" y="5163302"/>
                  <a:pt x="4006023" y="5178894"/>
                  <a:pt x="4024990" y="5178894"/>
                </a:cubicBezTo>
                <a:cubicBezTo>
                  <a:pt x="4043957" y="5178894"/>
                  <a:pt x="4059337" y="5163302"/>
                  <a:pt x="4059337" y="5144074"/>
                </a:cubicBezTo>
                <a:cubicBezTo>
                  <a:pt x="4059337" y="5124845"/>
                  <a:pt x="4043957" y="5109253"/>
                  <a:pt x="4024990" y="5109253"/>
                </a:cubicBezTo>
                <a:close/>
                <a:moveTo>
                  <a:pt x="4108732" y="5109253"/>
                </a:moveTo>
                <a:cubicBezTo>
                  <a:pt x="4089765" y="5109253"/>
                  <a:pt x="4074386" y="5124845"/>
                  <a:pt x="4074386" y="5144074"/>
                </a:cubicBezTo>
                <a:cubicBezTo>
                  <a:pt x="4074386" y="5163302"/>
                  <a:pt x="4089765" y="5178894"/>
                  <a:pt x="4108732" y="5178894"/>
                </a:cubicBezTo>
                <a:cubicBezTo>
                  <a:pt x="4127699" y="5178894"/>
                  <a:pt x="4143079" y="5163302"/>
                  <a:pt x="4143079" y="5144074"/>
                </a:cubicBezTo>
                <a:cubicBezTo>
                  <a:pt x="4143079" y="5124845"/>
                  <a:pt x="4127699" y="5109253"/>
                  <a:pt x="4108732" y="5109253"/>
                </a:cubicBezTo>
                <a:close/>
                <a:moveTo>
                  <a:pt x="4192473" y="5109253"/>
                </a:moveTo>
                <a:cubicBezTo>
                  <a:pt x="4173506" y="5109253"/>
                  <a:pt x="4158127" y="5124845"/>
                  <a:pt x="4158127" y="5144074"/>
                </a:cubicBezTo>
                <a:cubicBezTo>
                  <a:pt x="4158127" y="5163302"/>
                  <a:pt x="4173506" y="5178894"/>
                  <a:pt x="4192473" y="5178894"/>
                </a:cubicBezTo>
                <a:cubicBezTo>
                  <a:pt x="4211440" y="5178894"/>
                  <a:pt x="4226820" y="5163302"/>
                  <a:pt x="4226820" y="5144074"/>
                </a:cubicBezTo>
                <a:cubicBezTo>
                  <a:pt x="4226820" y="5124845"/>
                  <a:pt x="4211440" y="5109253"/>
                  <a:pt x="4192473" y="5109253"/>
                </a:cubicBezTo>
                <a:close/>
                <a:moveTo>
                  <a:pt x="4276215" y="5109253"/>
                </a:moveTo>
                <a:cubicBezTo>
                  <a:pt x="4257248" y="5109253"/>
                  <a:pt x="4241868" y="5124845"/>
                  <a:pt x="4241868" y="5144074"/>
                </a:cubicBezTo>
                <a:cubicBezTo>
                  <a:pt x="4241868" y="5163302"/>
                  <a:pt x="4257248" y="5178894"/>
                  <a:pt x="4276215" y="5178894"/>
                </a:cubicBezTo>
                <a:cubicBezTo>
                  <a:pt x="4295182" y="5178894"/>
                  <a:pt x="4310561" y="5163302"/>
                  <a:pt x="4310561" y="5144074"/>
                </a:cubicBezTo>
                <a:cubicBezTo>
                  <a:pt x="4310561" y="5124845"/>
                  <a:pt x="4295182" y="5109253"/>
                  <a:pt x="4276215" y="5109253"/>
                </a:cubicBezTo>
                <a:close/>
                <a:moveTo>
                  <a:pt x="4359957" y="5109253"/>
                </a:moveTo>
                <a:cubicBezTo>
                  <a:pt x="4340990" y="5109253"/>
                  <a:pt x="4325610" y="5124845"/>
                  <a:pt x="4325610" y="5144074"/>
                </a:cubicBezTo>
                <a:cubicBezTo>
                  <a:pt x="4325610" y="5163302"/>
                  <a:pt x="4340990" y="5178894"/>
                  <a:pt x="4359957" y="5178894"/>
                </a:cubicBezTo>
                <a:cubicBezTo>
                  <a:pt x="4378924" y="5178894"/>
                  <a:pt x="4394304" y="5163302"/>
                  <a:pt x="4394304" y="5144074"/>
                </a:cubicBezTo>
                <a:cubicBezTo>
                  <a:pt x="4394304" y="5124845"/>
                  <a:pt x="4378924" y="5109253"/>
                  <a:pt x="4359957" y="5109253"/>
                </a:cubicBezTo>
                <a:close/>
                <a:moveTo>
                  <a:pt x="6369755" y="5109253"/>
                </a:moveTo>
                <a:cubicBezTo>
                  <a:pt x="6350788" y="5109253"/>
                  <a:pt x="6335402" y="5124845"/>
                  <a:pt x="6335402" y="5144074"/>
                </a:cubicBezTo>
                <a:cubicBezTo>
                  <a:pt x="6335402" y="5163302"/>
                  <a:pt x="6350788" y="5178894"/>
                  <a:pt x="6369755" y="5178894"/>
                </a:cubicBezTo>
                <a:cubicBezTo>
                  <a:pt x="6388722" y="5178894"/>
                  <a:pt x="6404096" y="5163302"/>
                  <a:pt x="6404096" y="5144074"/>
                </a:cubicBezTo>
                <a:cubicBezTo>
                  <a:pt x="6404096" y="5124845"/>
                  <a:pt x="6388722" y="5109253"/>
                  <a:pt x="6369755" y="5109253"/>
                </a:cubicBezTo>
                <a:close/>
                <a:moveTo>
                  <a:pt x="6453498" y="5109253"/>
                </a:moveTo>
                <a:cubicBezTo>
                  <a:pt x="6434531" y="5109253"/>
                  <a:pt x="6419144" y="5124845"/>
                  <a:pt x="6419144" y="5144074"/>
                </a:cubicBezTo>
                <a:cubicBezTo>
                  <a:pt x="6419144" y="5163302"/>
                  <a:pt x="6434531" y="5178894"/>
                  <a:pt x="6453498" y="5178894"/>
                </a:cubicBezTo>
                <a:cubicBezTo>
                  <a:pt x="6472465" y="5178894"/>
                  <a:pt x="6487838" y="5163302"/>
                  <a:pt x="6487838" y="5144074"/>
                </a:cubicBezTo>
                <a:cubicBezTo>
                  <a:pt x="6487838" y="5124845"/>
                  <a:pt x="6472465" y="5109253"/>
                  <a:pt x="6453498" y="5109253"/>
                </a:cubicBezTo>
                <a:close/>
                <a:moveTo>
                  <a:pt x="6537239" y="5109253"/>
                </a:moveTo>
                <a:cubicBezTo>
                  <a:pt x="6518272" y="5109253"/>
                  <a:pt x="6502886" y="5124845"/>
                  <a:pt x="6502886" y="5144074"/>
                </a:cubicBezTo>
                <a:cubicBezTo>
                  <a:pt x="6502886" y="5163302"/>
                  <a:pt x="6518272" y="5178894"/>
                  <a:pt x="6537239" y="5178894"/>
                </a:cubicBezTo>
                <a:cubicBezTo>
                  <a:pt x="6556206" y="5178894"/>
                  <a:pt x="6571579" y="5163302"/>
                  <a:pt x="6571579" y="5144074"/>
                </a:cubicBezTo>
                <a:cubicBezTo>
                  <a:pt x="6571579" y="5124845"/>
                  <a:pt x="6556206" y="5109253"/>
                  <a:pt x="6537239" y="5109253"/>
                </a:cubicBezTo>
                <a:close/>
                <a:moveTo>
                  <a:pt x="6620980" y="5109253"/>
                </a:moveTo>
                <a:cubicBezTo>
                  <a:pt x="6602013" y="5109253"/>
                  <a:pt x="6586627" y="5124845"/>
                  <a:pt x="6586627" y="5144074"/>
                </a:cubicBezTo>
                <a:cubicBezTo>
                  <a:pt x="6586627" y="5163302"/>
                  <a:pt x="6602013" y="5178894"/>
                  <a:pt x="6620980" y="5178894"/>
                </a:cubicBezTo>
                <a:cubicBezTo>
                  <a:pt x="6639947" y="5178894"/>
                  <a:pt x="6655320" y="5163302"/>
                  <a:pt x="6655320" y="5144074"/>
                </a:cubicBezTo>
                <a:cubicBezTo>
                  <a:pt x="6655320" y="5124845"/>
                  <a:pt x="6639947" y="5109253"/>
                  <a:pt x="6620980" y="5109253"/>
                </a:cubicBezTo>
                <a:close/>
                <a:moveTo>
                  <a:pt x="6704722" y="5109253"/>
                </a:moveTo>
                <a:cubicBezTo>
                  <a:pt x="6685755" y="5109253"/>
                  <a:pt x="6670369" y="5124845"/>
                  <a:pt x="6670369" y="5144074"/>
                </a:cubicBezTo>
                <a:cubicBezTo>
                  <a:pt x="6670369" y="5163302"/>
                  <a:pt x="6685755" y="5178894"/>
                  <a:pt x="6704722" y="5178894"/>
                </a:cubicBezTo>
                <a:cubicBezTo>
                  <a:pt x="6723689" y="5178894"/>
                  <a:pt x="6739063" y="5163302"/>
                  <a:pt x="6739063" y="5144074"/>
                </a:cubicBezTo>
                <a:cubicBezTo>
                  <a:pt x="6739063" y="5124845"/>
                  <a:pt x="6723689" y="5109253"/>
                  <a:pt x="6704722" y="5109253"/>
                </a:cubicBezTo>
                <a:close/>
                <a:moveTo>
                  <a:pt x="6788464" y="5109253"/>
                </a:moveTo>
                <a:cubicBezTo>
                  <a:pt x="6769497" y="5109253"/>
                  <a:pt x="6754110" y="5124845"/>
                  <a:pt x="6754110" y="5144074"/>
                </a:cubicBezTo>
                <a:cubicBezTo>
                  <a:pt x="6754110" y="5163302"/>
                  <a:pt x="6769497" y="5178894"/>
                  <a:pt x="6788464" y="5178894"/>
                </a:cubicBezTo>
                <a:cubicBezTo>
                  <a:pt x="6807431" y="5178894"/>
                  <a:pt x="6822804" y="5163302"/>
                  <a:pt x="6822804" y="5144074"/>
                </a:cubicBezTo>
                <a:cubicBezTo>
                  <a:pt x="6822804" y="5124845"/>
                  <a:pt x="6807431" y="5109253"/>
                  <a:pt x="6788464" y="5109253"/>
                </a:cubicBezTo>
                <a:close/>
                <a:moveTo>
                  <a:pt x="9384480" y="5109253"/>
                </a:moveTo>
                <a:cubicBezTo>
                  <a:pt x="9365513" y="5109253"/>
                  <a:pt x="9350127" y="5124845"/>
                  <a:pt x="9350127" y="5144074"/>
                </a:cubicBezTo>
                <a:cubicBezTo>
                  <a:pt x="9350127" y="5163302"/>
                  <a:pt x="9365513" y="5178894"/>
                  <a:pt x="9384480" y="5178894"/>
                </a:cubicBezTo>
                <a:cubicBezTo>
                  <a:pt x="9403447" y="5178894"/>
                  <a:pt x="9418821" y="5163302"/>
                  <a:pt x="9418821" y="5144074"/>
                </a:cubicBezTo>
                <a:cubicBezTo>
                  <a:pt x="9418821" y="5124845"/>
                  <a:pt x="9403447" y="5109253"/>
                  <a:pt x="9384480" y="5109253"/>
                </a:cubicBezTo>
                <a:close/>
                <a:moveTo>
                  <a:pt x="9468222" y="5109253"/>
                </a:moveTo>
                <a:cubicBezTo>
                  <a:pt x="9449255" y="5109253"/>
                  <a:pt x="9433869" y="5124845"/>
                  <a:pt x="9433869" y="5144074"/>
                </a:cubicBezTo>
                <a:cubicBezTo>
                  <a:pt x="9433869" y="5163302"/>
                  <a:pt x="9449255" y="5178894"/>
                  <a:pt x="9468222" y="5178894"/>
                </a:cubicBezTo>
                <a:cubicBezTo>
                  <a:pt x="9487189" y="5178894"/>
                  <a:pt x="9502562" y="5163302"/>
                  <a:pt x="9502562" y="5144074"/>
                </a:cubicBezTo>
                <a:cubicBezTo>
                  <a:pt x="9502562" y="5124845"/>
                  <a:pt x="9487189" y="5109253"/>
                  <a:pt x="9468222" y="5109253"/>
                </a:cubicBezTo>
                <a:close/>
                <a:moveTo>
                  <a:pt x="9551963" y="5109253"/>
                </a:moveTo>
                <a:cubicBezTo>
                  <a:pt x="9532996" y="5109253"/>
                  <a:pt x="9517610" y="5124845"/>
                  <a:pt x="9517610" y="5144074"/>
                </a:cubicBezTo>
                <a:cubicBezTo>
                  <a:pt x="9517610" y="5163302"/>
                  <a:pt x="9532996" y="5178894"/>
                  <a:pt x="9551963" y="5178894"/>
                </a:cubicBezTo>
                <a:cubicBezTo>
                  <a:pt x="9570930" y="5178894"/>
                  <a:pt x="9586303" y="5163302"/>
                  <a:pt x="9586303" y="5144074"/>
                </a:cubicBezTo>
                <a:cubicBezTo>
                  <a:pt x="9586303" y="5124845"/>
                  <a:pt x="9570930" y="5109253"/>
                  <a:pt x="9551963" y="5109253"/>
                </a:cubicBezTo>
                <a:close/>
                <a:moveTo>
                  <a:pt x="9635705" y="5109253"/>
                </a:moveTo>
                <a:cubicBezTo>
                  <a:pt x="9616738" y="5109253"/>
                  <a:pt x="9601352" y="5124845"/>
                  <a:pt x="9601352" y="5144074"/>
                </a:cubicBezTo>
                <a:cubicBezTo>
                  <a:pt x="9601352" y="5163302"/>
                  <a:pt x="9616738" y="5178894"/>
                  <a:pt x="9635705" y="5178894"/>
                </a:cubicBezTo>
                <a:cubicBezTo>
                  <a:pt x="9654672" y="5178894"/>
                  <a:pt x="9670045" y="5163302"/>
                  <a:pt x="9670045" y="5144074"/>
                </a:cubicBezTo>
                <a:cubicBezTo>
                  <a:pt x="9670045" y="5124845"/>
                  <a:pt x="9654672" y="5109253"/>
                  <a:pt x="9635705" y="5109253"/>
                </a:cubicBezTo>
                <a:close/>
                <a:moveTo>
                  <a:pt x="9719446" y="5109253"/>
                </a:moveTo>
                <a:cubicBezTo>
                  <a:pt x="9700479" y="5109253"/>
                  <a:pt x="9685093" y="5124845"/>
                  <a:pt x="9685093" y="5144074"/>
                </a:cubicBezTo>
                <a:cubicBezTo>
                  <a:pt x="9685093" y="5163302"/>
                  <a:pt x="9700479" y="5178894"/>
                  <a:pt x="9719446" y="5178894"/>
                </a:cubicBezTo>
                <a:cubicBezTo>
                  <a:pt x="9738413" y="5178894"/>
                  <a:pt x="9753787" y="5163302"/>
                  <a:pt x="9753787" y="5144074"/>
                </a:cubicBezTo>
                <a:cubicBezTo>
                  <a:pt x="9753787" y="5124845"/>
                  <a:pt x="9738413" y="5109253"/>
                  <a:pt x="9719446" y="5109253"/>
                </a:cubicBezTo>
                <a:close/>
                <a:moveTo>
                  <a:pt x="9803189" y="5109253"/>
                </a:moveTo>
                <a:cubicBezTo>
                  <a:pt x="9784222" y="5109253"/>
                  <a:pt x="9768836" y="5124845"/>
                  <a:pt x="9768836" y="5144074"/>
                </a:cubicBezTo>
                <a:cubicBezTo>
                  <a:pt x="9768836" y="5163302"/>
                  <a:pt x="9784222" y="5178894"/>
                  <a:pt x="9803189" y="5178894"/>
                </a:cubicBezTo>
                <a:cubicBezTo>
                  <a:pt x="9822156" y="5178894"/>
                  <a:pt x="9837529" y="5163302"/>
                  <a:pt x="9837529" y="5144074"/>
                </a:cubicBezTo>
                <a:cubicBezTo>
                  <a:pt x="9837529" y="5124845"/>
                  <a:pt x="9822156" y="5109253"/>
                  <a:pt x="9803189" y="5109253"/>
                </a:cubicBezTo>
                <a:close/>
                <a:moveTo>
                  <a:pt x="9886930" y="5109253"/>
                </a:moveTo>
                <a:cubicBezTo>
                  <a:pt x="9867963" y="5109253"/>
                  <a:pt x="9852577" y="5124845"/>
                  <a:pt x="9852577" y="5144074"/>
                </a:cubicBezTo>
                <a:cubicBezTo>
                  <a:pt x="9852577" y="5163302"/>
                  <a:pt x="9867963" y="5178894"/>
                  <a:pt x="9886930" y="5178894"/>
                </a:cubicBezTo>
                <a:cubicBezTo>
                  <a:pt x="9905897" y="5178894"/>
                  <a:pt x="9921270" y="5163302"/>
                  <a:pt x="9921270" y="5144074"/>
                </a:cubicBezTo>
                <a:cubicBezTo>
                  <a:pt x="9921270" y="5124845"/>
                  <a:pt x="9905897" y="5109253"/>
                  <a:pt x="9886930" y="5109253"/>
                </a:cubicBezTo>
                <a:close/>
                <a:moveTo>
                  <a:pt x="9970671" y="5109253"/>
                </a:moveTo>
                <a:cubicBezTo>
                  <a:pt x="9951704" y="5109253"/>
                  <a:pt x="9936318" y="5124845"/>
                  <a:pt x="9936318" y="5144074"/>
                </a:cubicBezTo>
                <a:cubicBezTo>
                  <a:pt x="9936318" y="5163302"/>
                  <a:pt x="9951704" y="5178894"/>
                  <a:pt x="9970671" y="5178894"/>
                </a:cubicBezTo>
                <a:cubicBezTo>
                  <a:pt x="9989638" y="5178894"/>
                  <a:pt x="10005011" y="5163302"/>
                  <a:pt x="10005011" y="5144074"/>
                </a:cubicBezTo>
                <a:cubicBezTo>
                  <a:pt x="10005011" y="5124845"/>
                  <a:pt x="9989638" y="5109253"/>
                  <a:pt x="9970671" y="5109253"/>
                </a:cubicBezTo>
                <a:close/>
                <a:moveTo>
                  <a:pt x="10054413" y="5109253"/>
                </a:moveTo>
                <a:cubicBezTo>
                  <a:pt x="10035446" y="5109253"/>
                  <a:pt x="10020060" y="5124845"/>
                  <a:pt x="10020060" y="5144074"/>
                </a:cubicBezTo>
                <a:cubicBezTo>
                  <a:pt x="10020060" y="5163302"/>
                  <a:pt x="10035446" y="5178894"/>
                  <a:pt x="10054413" y="5178894"/>
                </a:cubicBezTo>
                <a:cubicBezTo>
                  <a:pt x="10073380" y="5178894"/>
                  <a:pt x="10088754" y="5163302"/>
                  <a:pt x="10088754" y="5144074"/>
                </a:cubicBezTo>
                <a:cubicBezTo>
                  <a:pt x="10088754" y="5124845"/>
                  <a:pt x="10073380" y="5109253"/>
                  <a:pt x="10054413" y="5109253"/>
                </a:cubicBezTo>
                <a:close/>
                <a:moveTo>
                  <a:pt x="10138155" y="5109253"/>
                </a:moveTo>
                <a:cubicBezTo>
                  <a:pt x="10119188" y="5109253"/>
                  <a:pt x="10103802" y="5124845"/>
                  <a:pt x="10103802" y="5144074"/>
                </a:cubicBezTo>
                <a:cubicBezTo>
                  <a:pt x="10103802" y="5163302"/>
                  <a:pt x="10119188" y="5178894"/>
                  <a:pt x="10138155" y="5178894"/>
                </a:cubicBezTo>
                <a:cubicBezTo>
                  <a:pt x="10157122" y="5178894"/>
                  <a:pt x="10172495" y="5163302"/>
                  <a:pt x="10172495" y="5144074"/>
                </a:cubicBezTo>
                <a:cubicBezTo>
                  <a:pt x="10172495" y="5124845"/>
                  <a:pt x="10157122" y="5109253"/>
                  <a:pt x="10138155" y="5109253"/>
                </a:cubicBezTo>
                <a:close/>
                <a:moveTo>
                  <a:pt x="10221896" y="5109253"/>
                </a:moveTo>
                <a:cubicBezTo>
                  <a:pt x="10202929" y="5109253"/>
                  <a:pt x="10187543" y="5124845"/>
                  <a:pt x="10187543" y="5144074"/>
                </a:cubicBezTo>
                <a:cubicBezTo>
                  <a:pt x="10187543" y="5163302"/>
                  <a:pt x="10202929" y="5178894"/>
                  <a:pt x="10221896" y="5178894"/>
                </a:cubicBezTo>
                <a:cubicBezTo>
                  <a:pt x="10240863" y="5178894"/>
                  <a:pt x="10256236" y="5163302"/>
                  <a:pt x="10256236" y="5144074"/>
                </a:cubicBezTo>
                <a:cubicBezTo>
                  <a:pt x="10256236" y="5124845"/>
                  <a:pt x="10240863" y="5109253"/>
                  <a:pt x="10221896" y="5109253"/>
                </a:cubicBezTo>
                <a:close/>
                <a:moveTo>
                  <a:pt x="10305638" y="5109253"/>
                </a:moveTo>
                <a:cubicBezTo>
                  <a:pt x="10286671" y="5109253"/>
                  <a:pt x="10271285" y="5124845"/>
                  <a:pt x="10271285" y="5144074"/>
                </a:cubicBezTo>
                <a:cubicBezTo>
                  <a:pt x="10271285" y="5163302"/>
                  <a:pt x="10286671" y="5178894"/>
                  <a:pt x="10305638" y="5178894"/>
                </a:cubicBezTo>
                <a:cubicBezTo>
                  <a:pt x="10324605" y="5178894"/>
                  <a:pt x="10339978" y="5163302"/>
                  <a:pt x="10339978" y="5144074"/>
                </a:cubicBezTo>
                <a:cubicBezTo>
                  <a:pt x="10339978" y="5124845"/>
                  <a:pt x="10324605" y="5109253"/>
                  <a:pt x="10305638" y="5109253"/>
                </a:cubicBezTo>
                <a:close/>
                <a:moveTo>
                  <a:pt x="10389379" y="5109253"/>
                </a:moveTo>
                <a:cubicBezTo>
                  <a:pt x="10370412" y="5109253"/>
                  <a:pt x="10355026" y="5124845"/>
                  <a:pt x="10355026" y="5144074"/>
                </a:cubicBezTo>
                <a:cubicBezTo>
                  <a:pt x="10355026" y="5163302"/>
                  <a:pt x="10370412" y="5178894"/>
                  <a:pt x="10389379" y="5178894"/>
                </a:cubicBezTo>
                <a:cubicBezTo>
                  <a:pt x="10408346" y="5178894"/>
                  <a:pt x="10423720" y="5163302"/>
                  <a:pt x="10423720" y="5144074"/>
                </a:cubicBezTo>
                <a:cubicBezTo>
                  <a:pt x="10423720" y="5124845"/>
                  <a:pt x="10408346" y="5109253"/>
                  <a:pt x="10389379" y="5109253"/>
                </a:cubicBezTo>
                <a:close/>
                <a:moveTo>
                  <a:pt x="10473122" y="5109253"/>
                </a:moveTo>
                <a:cubicBezTo>
                  <a:pt x="10454155" y="5109253"/>
                  <a:pt x="10438769" y="5124845"/>
                  <a:pt x="10438769" y="5144074"/>
                </a:cubicBezTo>
                <a:cubicBezTo>
                  <a:pt x="10438769" y="5163302"/>
                  <a:pt x="10454155" y="5178894"/>
                  <a:pt x="10473122" y="5178894"/>
                </a:cubicBezTo>
                <a:cubicBezTo>
                  <a:pt x="10492089" y="5178894"/>
                  <a:pt x="10507462" y="5163302"/>
                  <a:pt x="10507462" y="5144074"/>
                </a:cubicBezTo>
                <a:cubicBezTo>
                  <a:pt x="10507462" y="5124845"/>
                  <a:pt x="10492089" y="5109253"/>
                  <a:pt x="10473122" y="5109253"/>
                </a:cubicBezTo>
                <a:close/>
                <a:moveTo>
                  <a:pt x="3773759" y="5194117"/>
                </a:moveTo>
                <a:cubicBezTo>
                  <a:pt x="3754792" y="5194117"/>
                  <a:pt x="3739412" y="5209709"/>
                  <a:pt x="3739412" y="5228937"/>
                </a:cubicBezTo>
                <a:cubicBezTo>
                  <a:pt x="3739412" y="5248166"/>
                  <a:pt x="3754792" y="5263758"/>
                  <a:pt x="3773759" y="5263758"/>
                </a:cubicBezTo>
                <a:cubicBezTo>
                  <a:pt x="3792726" y="5263758"/>
                  <a:pt x="3808106" y="5248166"/>
                  <a:pt x="3808106" y="5228937"/>
                </a:cubicBezTo>
                <a:cubicBezTo>
                  <a:pt x="3808106" y="5209709"/>
                  <a:pt x="3792726" y="5194117"/>
                  <a:pt x="3773759" y="5194117"/>
                </a:cubicBezTo>
                <a:close/>
                <a:moveTo>
                  <a:pt x="3857500" y="5194117"/>
                </a:moveTo>
                <a:cubicBezTo>
                  <a:pt x="3838533" y="5194117"/>
                  <a:pt x="3823154" y="5209709"/>
                  <a:pt x="3823154" y="5228937"/>
                </a:cubicBezTo>
                <a:cubicBezTo>
                  <a:pt x="3823154" y="5248166"/>
                  <a:pt x="3838533" y="5263758"/>
                  <a:pt x="3857500" y="5263758"/>
                </a:cubicBezTo>
                <a:cubicBezTo>
                  <a:pt x="3876467" y="5263758"/>
                  <a:pt x="3891847" y="5248166"/>
                  <a:pt x="3891847" y="5228937"/>
                </a:cubicBezTo>
                <a:cubicBezTo>
                  <a:pt x="3891847" y="5209709"/>
                  <a:pt x="3876467" y="5194117"/>
                  <a:pt x="3857500" y="5194117"/>
                </a:cubicBezTo>
                <a:close/>
                <a:moveTo>
                  <a:pt x="3941242" y="5194117"/>
                </a:moveTo>
                <a:cubicBezTo>
                  <a:pt x="3922275" y="5194117"/>
                  <a:pt x="3906895" y="5209709"/>
                  <a:pt x="3906895" y="5228937"/>
                </a:cubicBezTo>
                <a:cubicBezTo>
                  <a:pt x="3906895" y="5248166"/>
                  <a:pt x="3922275" y="5263758"/>
                  <a:pt x="3941242" y="5263758"/>
                </a:cubicBezTo>
                <a:cubicBezTo>
                  <a:pt x="3960209" y="5263758"/>
                  <a:pt x="3975588" y="5248166"/>
                  <a:pt x="3975588" y="5228937"/>
                </a:cubicBezTo>
                <a:cubicBezTo>
                  <a:pt x="3975588" y="5209709"/>
                  <a:pt x="3960209" y="5194117"/>
                  <a:pt x="3941242" y="5194117"/>
                </a:cubicBezTo>
                <a:close/>
                <a:moveTo>
                  <a:pt x="4024990" y="5194117"/>
                </a:moveTo>
                <a:cubicBezTo>
                  <a:pt x="4006023" y="5194117"/>
                  <a:pt x="3990643" y="5209709"/>
                  <a:pt x="3990643" y="5228937"/>
                </a:cubicBezTo>
                <a:cubicBezTo>
                  <a:pt x="3990643" y="5248166"/>
                  <a:pt x="4006023" y="5263758"/>
                  <a:pt x="4024990" y="5263758"/>
                </a:cubicBezTo>
                <a:cubicBezTo>
                  <a:pt x="4043957" y="5263758"/>
                  <a:pt x="4059337" y="5248166"/>
                  <a:pt x="4059337" y="5228937"/>
                </a:cubicBezTo>
                <a:cubicBezTo>
                  <a:pt x="4059337" y="5209709"/>
                  <a:pt x="4043957" y="5194117"/>
                  <a:pt x="4024990" y="5194117"/>
                </a:cubicBezTo>
                <a:close/>
                <a:moveTo>
                  <a:pt x="4108732" y="5194117"/>
                </a:moveTo>
                <a:cubicBezTo>
                  <a:pt x="4089765" y="5194117"/>
                  <a:pt x="4074386" y="5209709"/>
                  <a:pt x="4074386" y="5228937"/>
                </a:cubicBezTo>
                <a:cubicBezTo>
                  <a:pt x="4074386" y="5248166"/>
                  <a:pt x="4089765" y="5263758"/>
                  <a:pt x="4108732" y="5263758"/>
                </a:cubicBezTo>
                <a:cubicBezTo>
                  <a:pt x="4127699" y="5263758"/>
                  <a:pt x="4143079" y="5248166"/>
                  <a:pt x="4143079" y="5228937"/>
                </a:cubicBezTo>
                <a:cubicBezTo>
                  <a:pt x="4143079" y="5209709"/>
                  <a:pt x="4127699" y="5194117"/>
                  <a:pt x="4108732" y="5194117"/>
                </a:cubicBezTo>
                <a:close/>
                <a:moveTo>
                  <a:pt x="4192473" y="5194117"/>
                </a:moveTo>
                <a:cubicBezTo>
                  <a:pt x="4173506" y="5194117"/>
                  <a:pt x="4158127" y="5209709"/>
                  <a:pt x="4158127" y="5228937"/>
                </a:cubicBezTo>
                <a:cubicBezTo>
                  <a:pt x="4158127" y="5248166"/>
                  <a:pt x="4173506" y="5263758"/>
                  <a:pt x="4192473" y="5263758"/>
                </a:cubicBezTo>
                <a:cubicBezTo>
                  <a:pt x="4211440" y="5263758"/>
                  <a:pt x="4226820" y="5248166"/>
                  <a:pt x="4226820" y="5228937"/>
                </a:cubicBezTo>
                <a:cubicBezTo>
                  <a:pt x="4226820" y="5209709"/>
                  <a:pt x="4211440" y="5194117"/>
                  <a:pt x="4192473" y="5194117"/>
                </a:cubicBezTo>
                <a:close/>
                <a:moveTo>
                  <a:pt x="4276215" y="5194117"/>
                </a:moveTo>
                <a:cubicBezTo>
                  <a:pt x="4257248" y="5194117"/>
                  <a:pt x="4241868" y="5209709"/>
                  <a:pt x="4241868" y="5228937"/>
                </a:cubicBezTo>
                <a:cubicBezTo>
                  <a:pt x="4241868" y="5248166"/>
                  <a:pt x="4257248" y="5263758"/>
                  <a:pt x="4276215" y="5263758"/>
                </a:cubicBezTo>
                <a:cubicBezTo>
                  <a:pt x="4295182" y="5263758"/>
                  <a:pt x="4310561" y="5248166"/>
                  <a:pt x="4310561" y="5228937"/>
                </a:cubicBezTo>
                <a:cubicBezTo>
                  <a:pt x="4310561" y="5209709"/>
                  <a:pt x="4295182" y="5194117"/>
                  <a:pt x="4276215" y="5194117"/>
                </a:cubicBezTo>
                <a:close/>
                <a:moveTo>
                  <a:pt x="4359957" y="5194117"/>
                </a:moveTo>
                <a:cubicBezTo>
                  <a:pt x="4340990" y="5194117"/>
                  <a:pt x="4325610" y="5209709"/>
                  <a:pt x="4325610" y="5228937"/>
                </a:cubicBezTo>
                <a:cubicBezTo>
                  <a:pt x="4325610" y="5248166"/>
                  <a:pt x="4340990" y="5263758"/>
                  <a:pt x="4359957" y="5263758"/>
                </a:cubicBezTo>
                <a:cubicBezTo>
                  <a:pt x="4378924" y="5263758"/>
                  <a:pt x="4394304" y="5248166"/>
                  <a:pt x="4394304" y="5228937"/>
                </a:cubicBezTo>
                <a:cubicBezTo>
                  <a:pt x="4394304" y="5209709"/>
                  <a:pt x="4378924" y="5194117"/>
                  <a:pt x="4359957" y="5194117"/>
                </a:cubicBezTo>
                <a:close/>
                <a:moveTo>
                  <a:pt x="6369755" y="5194117"/>
                </a:moveTo>
                <a:cubicBezTo>
                  <a:pt x="6350788" y="5194117"/>
                  <a:pt x="6335402" y="5209709"/>
                  <a:pt x="6335402" y="5228937"/>
                </a:cubicBezTo>
                <a:cubicBezTo>
                  <a:pt x="6335402" y="5248166"/>
                  <a:pt x="6350788" y="5263758"/>
                  <a:pt x="6369755" y="5263758"/>
                </a:cubicBezTo>
                <a:cubicBezTo>
                  <a:pt x="6388722" y="5263758"/>
                  <a:pt x="6404096" y="5248166"/>
                  <a:pt x="6404096" y="5228937"/>
                </a:cubicBezTo>
                <a:cubicBezTo>
                  <a:pt x="6404096" y="5209709"/>
                  <a:pt x="6388722" y="5194117"/>
                  <a:pt x="6369755" y="5194117"/>
                </a:cubicBezTo>
                <a:close/>
                <a:moveTo>
                  <a:pt x="6453498" y="5194117"/>
                </a:moveTo>
                <a:cubicBezTo>
                  <a:pt x="6434531" y="5194117"/>
                  <a:pt x="6419144" y="5209709"/>
                  <a:pt x="6419144" y="5228937"/>
                </a:cubicBezTo>
                <a:cubicBezTo>
                  <a:pt x="6419144" y="5248166"/>
                  <a:pt x="6434531" y="5263758"/>
                  <a:pt x="6453498" y="5263758"/>
                </a:cubicBezTo>
                <a:cubicBezTo>
                  <a:pt x="6472465" y="5263758"/>
                  <a:pt x="6487838" y="5248166"/>
                  <a:pt x="6487838" y="5228937"/>
                </a:cubicBezTo>
                <a:cubicBezTo>
                  <a:pt x="6487838" y="5209709"/>
                  <a:pt x="6472465" y="5194117"/>
                  <a:pt x="6453498" y="5194117"/>
                </a:cubicBezTo>
                <a:close/>
                <a:moveTo>
                  <a:pt x="6537239" y="5194117"/>
                </a:moveTo>
                <a:cubicBezTo>
                  <a:pt x="6518272" y="5194117"/>
                  <a:pt x="6502886" y="5209709"/>
                  <a:pt x="6502886" y="5228937"/>
                </a:cubicBezTo>
                <a:cubicBezTo>
                  <a:pt x="6502886" y="5248166"/>
                  <a:pt x="6518272" y="5263758"/>
                  <a:pt x="6537239" y="5263758"/>
                </a:cubicBezTo>
                <a:cubicBezTo>
                  <a:pt x="6556206" y="5263758"/>
                  <a:pt x="6571579" y="5248166"/>
                  <a:pt x="6571579" y="5228937"/>
                </a:cubicBezTo>
                <a:cubicBezTo>
                  <a:pt x="6571579" y="5209709"/>
                  <a:pt x="6556206" y="5194117"/>
                  <a:pt x="6537239" y="5194117"/>
                </a:cubicBezTo>
                <a:close/>
                <a:moveTo>
                  <a:pt x="6620980" y="5194117"/>
                </a:moveTo>
                <a:cubicBezTo>
                  <a:pt x="6602013" y="5194117"/>
                  <a:pt x="6586627" y="5209709"/>
                  <a:pt x="6586627" y="5228937"/>
                </a:cubicBezTo>
                <a:cubicBezTo>
                  <a:pt x="6586627" y="5248166"/>
                  <a:pt x="6602013" y="5263758"/>
                  <a:pt x="6620980" y="5263758"/>
                </a:cubicBezTo>
                <a:cubicBezTo>
                  <a:pt x="6639947" y="5263758"/>
                  <a:pt x="6655320" y="5248166"/>
                  <a:pt x="6655320" y="5228937"/>
                </a:cubicBezTo>
                <a:cubicBezTo>
                  <a:pt x="6655320" y="5209709"/>
                  <a:pt x="6639947" y="5194117"/>
                  <a:pt x="6620980" y="5194117"/>
                </a:cubicBezTo>
                <a:close/>
                <a:moveTo>
                  <a:pt x="6704722" y="5194117"/>
                </a:moveTo>
                <a:cubicBezTo>
                  <a:pt x="6685755" y="5194117"/>
                  <a:pt x="6670369" y="5209709"/>
                  <a:pt x="6670369" y="5228937"/>
                </a:cubicBezTo>
                <a:cubicBezTo>
                  <a:pt x="6670369" y="5248166"/>
                  <a:pt x="6685755" y="5263758"/>
                  <a:pt x="6704722" y="5263758"/>
                </a:cubicBezTo>
                <a:cubicBezTo>
                  <a:pt x="6723689" y="5263758"/>
                  <a:pt x="6739063" y="5248166"/>
                  <a:pt x="6739063" y="5228937"/>
                </a:cubicBezTo>
                <a:cubicBezTo>
                  <a:pt x="6739063" y="5209709"/>
                  <a:pt x="6723689" y="5194117"/>
                  <a:pt x="6704722" y="5194117"/>
                </a:cubicBezTo>
                <a:close/>
                <a:moveTo>
                  <a:pt x="6788464" y="5194117"/>
                </a:moveTo>
                <a:cubicBezTo>
                  <a:pt x="6769497" y="5194117"/>
                  <a:pt x="6754110" y="5209709"/>
                  <a:pt x="6754110" y="5228937"/>
                </a:cubicBezTo>
                <a:cubicBezTo>
                  <a:pt x="6754110" y="5248166"/>
                  <a:pt x="6769497" y="5263758"/>
                  <a:pt x="6788464" y="5263758"/>
                </a:cubicBezTo>
                <a:cubicBezTo>
                  <a:pt x="6807431" y="5263758"/>
                  <a:pt x="6822804" y="5248166"/>
                  <a:pt x="6822804" y="5228937"/>
                </a:cubicBezTo>
                <a:cubicBezTo>
                  <a:pt x="6822804" y="5209709"/>
                  <a:pt x="6807431" y="5194117"/>
                  <a:pt x="6788464" y="5194117"/>
                </a:cubicBezTo>
                <a:close/>
                <a:moveTo>
                  <a:pt x="9384480" y="5194117"/>
                </a:moveTo>
                <a:cubicBezTo>
                  <a:pt x="9365513" y="5194117"/>
                  <a:pt x="9350127" y="5209709"/>
                  <a:pt x="9350127" y="5228937"/>
                </a:cubicBezTo>
                <a:cubicBezTo>
                  <a:pt x="9350127" y="5248166"/>
                  <a:pt x="9365513" y="5263758"/>
                  <a:pt x="9384480" y="5263758"/>
                </a:cubicBezTo>
                <a:cubicBezTo>
                  <a:pt x="9403447" y="5263758"/>
                  <a:pt x="9418821" y="5248166"/>
                  <a:pt x="9418821" y="5228937"/>
                </a:cubicBezTo>
                <a:cubicBezTo>
                  <a:pt x="9418821" y="5209709"/>
                  <a:pt x="9403447" y="5194117"/>
                  <a:pt x="9384480" y="5194117"/>
                </a:cubicBezTo>
                <a:close/>
                <a:moveTo>
                  <a:pt x="9468222" y="5194117"/>
                </a:moveTo>
                <a:cubicBezTo>
                  <a:pt x="9449255" y="5194117"/>
                  <a:pt x="9433869" y="5209709"/>
                  <a:pt x="9433869" y="5228937"/>
                </a:cubicBezTo>
                <a:cubicBezTo>
                  <a:pt x="9433869" y="5248166"/>
                  <a:pt x="9449255" y="5263758"/>
                  <a:pt x="9468222" y="5263758"/>
                </a:cubicBezTo>
                <a:cubicBezTo>
                  <a:pt x="9487189" y="5263758"/>
                  <a:pt x="9502562" y="5248166"/>
                  <a:pt x="9502562" y="5228937"/>
                </a:cubicBezTo>
                <a:cubicBezTo>
                  <a:pt x="9502562" y="5209709"/>
                  <a:pt x="9487189" y="5194117"/>
                  <a:pt x="9468222" y="5194117"/>
                </a:cubicBezTo>
                <a:close/>
                <a:moveTo>
                  <a:pt x="9551963" y="5194117"/>
                </a:moveTo>
                <a:cubicBezTo>
                  <a:pt x="9532996" y="5194117"/>
                  <a:pt x="9517610" y="5209709"/>
                  <a:pt x="9517610" y="5228937"/>
                </a:cubicBezTo>
                <a:cubicBezTo>
                  <a:pt x="9517610" y="5248166"/>
                  <a:pt x="9532996" y="5263758"/>
                  <a:pt x="9551963" y="5263758"/>
                </a:cubicBezTo>
                <a:cubicBezTo>
                  <a:pt x="9570930" y="5263758"/>
                  <a:pt x="9586303" y="5248166"/>
                  <a:pt x="9586303" y="5228937"/>
                </a:cubicBezTo>
                <a:cubicBezTo>
                  <a:pt x="9586303" y="5209709"/>
                  <a:pt x="9570930" y="5194117"/>
                  <a:pt x="9551963" y="5194117"/>
                </a:cubicBezTo>
                <a:close/>
                <a:moveTo>
                  <a:pt x="9635705" y="5194117"/>
                </a:moveTo>
                <a:cubicBezTo>
                  <a:pt x="9616738" y="5194117"/>
                  <a:pt x="9601352" y="5209709"/>
                  <a:pt x="9601352" y="5228937"/>
                </a:cubicBezTo>
                <a:cubicBezTo>
                  <a:pt x="9601352" y="5248166"/>
                  <a:pt x="9616738" y="5263758"/>
                  <a:pt x="9635705" y="5263758"/>
                </a:cubicBezTo>
                <a:cubicBezTo>
                  <a:pt x="9654672" y="5263758"/>
                  <a:pt x="9670045" y="5248166"/>
                  <a:pt x="9670045" y="5228937"/>
                </a:cubicBezTo>
                <a:cubicBezTo>
                  <a:pt x="9670045" y="5209709"/>
                  <a:pt x="9654672" y="5194117"/>
                  <a:pt x="9635705" y="5194117"/>
                </a:cubicBezTo>
                <a:close/>
                <a:moveTo>
                  <a:pt x="9719446" y="5194117"/>
                </a:moveTo>
                <a:cubicBezTo>
                  <a:pt x="9700479" y="5194117"/>
                  <a:pt x="9685093" y="5209709"/>
                  <a:pt x="9685093" y="5228937"/>
                </a:cubicBezTo>
                <a:cubicBezTo>
                  <a:pt x="9685093" y="5248166"/>
                  <a:pt x="9700479" y="5263758"/>
                  <a:pt x="9719446" y="5263758"/>
                </a:cubicBezTo>
                <a:cubicBezTo>
                  <a:pt x="9738413" y="5263758"/>
                  <a:pt x="9753787" y="5248166"/>
                  <a:pt x="9753787" y="5228937"/>
                </a:cubicBezTo>
                <a:cubicBezTo>
                  <a:pt x="9753787" y="5209709"/>
                  <a:pt x="9738413" y="5194117"/>
                  <a:pt x="9719446" y="5194117"/>
                </a:cubicBezTo>
                <a:close/>
                <a:moveTo>
                  <a:pt x="9803189" y="5194117"/>
                </a:moveTo>
                <a:cubicBezTo>
                  <a:pt x="9784222" y="5194117"/>
                  <a:pt x="9768836" y="5209709"/>
                  <a:pt x="9768836" y="5228937"/>
                </a:cubicBezTo>
                <a:cubicBezTo>
                  <a:pt x="9768836" y="5248166"/>
                  <a:pt x="9784222" y="5263758"/>
                  <a:pt x="9803189" y="5263758"/>
                </a:cubicBezTo>
                <a:cubicBezTo>
                  <a:pt x="9822156" y="5263758"/>
                  <a:pt x="9837529" y="5248166"/>
                  <a:pt x="9837529" y="5228937"/>
                </a:cubicBezTo>
                <a:cubicBezTo>
                  <a:pt x="9837529" y="5209709"/>
                  <a:pt x="9822156" y="5194117"/>
                  <a:pt x="9803189" y="5194117"/>
                </a:cubicBezTo>
                <a:close/>
                <a:moveTo>
                  <a:pt x="9886930" y="5194117"/>
                </a:moveTo>
                <a:cubicBezTo>
                  <a:pt x="9867963" y="5194117"/>
                  <a:pt x="9852577" y="5209709"/>
                  <a:pt x="9852577" y="5228937"/>
                </a:cubicBezTo>
                <a:cubicBezTo>
                  <a:pt x="9852577" y="5248166"/>
                  <a:pt x="9867963" y="5263758"/>
                  <a:pt x="9886930" y="5263758"/>
                </a:cubicBezTo>
                <a:cubicBezTo>
                  <a:pt x="9905897" y="5263758"/>
                  <a:pt x="9921270" y="5248166"/>
                  <a:pt x="9921270" y="5228937"/>
                </a:cubicBezTo>
                <a:cubicBezTo>
                  <a:pt x="9921270" y="5209709"/>
                  <a:pt x="9905897" y="5194117"/>
                  <a:pt x="9886930" y="5194117"/>
                </a:cubicBezTo>
                <a:close/>
                <a:moveTo>
                  <a:pt x="9970671" y="5194117"/>
                </a:moveTo>
                <a:cubicBezTo>
                  <a:pt x="9951704" y="5194117"/>
                  <a:pt x="9936318" y="5209709"/>
                  <a:pt x="9936318" y="5228937"/>
                </a:cubicBezTo>
                <a:cubicBezTo>
                  <a:pt x="9936318" y="5248166"/>
                  <a:pt x="9951704" y="5263758"/>
                  <a:pt x="9970671" y="5263758"/>
                </a:cubicBezTo>
                <a:cubicBezTo>
                  <a:pt x="9989638" y="5263758"/>
                  <a:pt x="10005011" y="5248166"/>
                  <a:pt x="10005011" y="5228937"/>
                </a:cubicBezTo>
                <a:cubicBezTo>
                  <a:pt x="10005011" y="5209709"/>
                  <a:pt x="9989638" y="5194117"/>
                  <a:pt x="9970671" y="5194117"/>
                </a:cubicBezTo>
                <a:close/>
                <a:moveTo>
                  <a:pt x="10054413" y="5194117"/>
                </a:moveTo>
                <a:cubicBezTo>
                  <a:pt x="10035446" y="5194117"/>
                  <a:pt x="10020060" y="5209709"/>
                  <a:pt x="10020060" y="5228937"/>
                </a:cubicBezTo>
                <a:cubicBezTo>
                  <a:pt x="10020060" y="5248166"/>
                  <a:pt x="10035446" y="5263758"/>
                  <a:pt x="10054413" y="5263758"/>
                </a:cubicBezTo>
                <a:cubicBezTo>
                  <a:pt x="10073380" y="5263758"/>
                  <a:pt x="10088754" y="5248166"/>
                  <a:pt x="10088754" y="5228937"/>
                </a:cubicBezTo>
                <a:cubicBezTo>
                  <a:pt x="10088754" y="5209709"/>
                  <a:pt x="10073380" y="5194117"/>
                  <a:pt x="10054413" y="5194117"/>
                </a:cubicBezTo>
                <a:close/>
                <a:moveTo>
                  <a:pt x="10138155" y="5194117"/>
                </a:moveTo>
                <a:cubicBezTo>
                  <a:pt x="10119188" y="5194117"/>
                  <a:pt x="10103802" y="5209709"/>
                  <a:pt x="10103802" y="5228937"/>
                </a:cubicBezTo>
                <a:cubicBezTo>
                  <a:pt x="10103802" y="5248166"/>
                  <a:pt x="10119188" y="5263758"/>
                  <a:pt x="10138155" y="5263758"/>
                </a:cubicBezTo>
                <a:cubicBezTo>
                  <a:pt x="10157122" y="5263758"/>
                  <a:pt x="10172495" y="5248166"/>
                  <a:pt x="10172495" y="5228937"/>
                </a:cubicBezTo>
                <a:cubicBezTo>
                  <a:pt x="10172495" y="5209709"/>
                  <a:pt x="10157122" y="5194117"/>
                  <a:pt x="10138155" y="5194117"/>
                </a:cubicBezTo>
                <a:close/>
                <a:moveTo>
                  <a:pt x="10221896" y="5194117"/>
                </a:moveTo>
                <a:cubicBezTo>
                  <a:pt x="10202929" y="5194117"/>
                  <a:pt x="10187543" y="5209709"/>
                  <a:pt x="10187543" y="5228937"/>
                </a:cubicBezTo>
                <a:cubicBezTo>
                  <a:pt x="10187543" y="5248166"/>
                  <a:pt x="10202929" y="5263758"/>
                  <a:pt x="10221896" y="5263758"/>
                </a:cubicBezTo>
                <a:cubicBezTo>
                  <a:pt x="10240863" y="5263758"/>
                  <a:pt x="10256236" y="5248166"/>
                  <a:pt x="10256236" y="5228937"/>
                </a:cubicBezTo>
                <a:cubicBezTo>
                  <a:pt x="10256236" y="5209709"/>
                  <a:pt x="10240863" y="5194117"/>
                  <a:pt x="10221896" y="5194117"/>
                </a:cubicBezTo>
                <a:close/>
                <a:moveTo>
                  <a:pt x="10305638" y="5194117"/>
                </a:moveTo>
                <a:cubicBezTo>
                  <a:pt x="10286671" y="5194117"/>
                  <a:pt x="10271285" y="5209709"/>
                  <a:pt x="10271285" y="5228937"/>
                </a:cubicBezTo>
                <a:cubicBezTo>
                  <a:pt x="10271285" y="5248166"/>
                  <a:pt x="10286671" y="5263758"/>
                  <a:pt x="10305638" y="5263758"/>
                </a:cubicBezTo>
                <a:cubicBezTo>
                  <a:pt x="10324605" y="5263758"/>
                  <a:pt x="10339978" y="5248166"/>
                  <a:pt x="10339978" y="5228937"/>
                </a:cubicBezTo>
                <a:cubicBezTo>
                  <a:pt x="10339978" y="5209709"/>
                  <a:pt x="10324605" y="5194117"/>
                  <a:pt x="10305638" y="5194117"/>
                </a:cubicBezTo>
                <a:close/>
                <a:moveTo>
                  <a:pt x="10389379" y="5194117"/>
                </a:moveTo>
                <a:cubicBezTo>
                  <a:pt x="10370412" y="5194117"/>
                  <a:pt x="10355026" y="5209709"/>
                  <a:pt x="10355026" y="5228937"/>
                </a:cubicBezTo>
                <a:cubicBezTo>
                  <a:pt x="10355026" y="5248166"/>
                  <a:pt x="10370412" y="5263758"/>
                  <a:pt x="10389379" y="5263758"/>
                </a:cubicBezTo>
                <a:cubicBezTo>
                  <a:pt x="10408346" y="5263758"/>
                  <a:pt x="10423720" y="5248166"/>
                  <a:pt x="10423720" y="5228937"/>
                </a:cubicBezTo>
                <a:cubicBezTo>
                  <a:pt x="10423720" y="5209709"/>
                  <a:pt x="10408346" y="5194117"/>
                  <a:pt x="10389379" y="5194117"/>
                </a:cubicBezTo>
                <a:close/>
                <a:moveTo>
                  <a:pt x="10473122" y="5194117"/>
                </a:moveTo>
                <a:cubicBezTo>
                  <a:pt x="10454155" y="5194117"/>
                  <a:pt x="10438769" y="5209709"/>
                  <a:pt x="10438769" y="5228937"/>
                </a:cubicBezTo>
                <a:cubicBezTo>
                  <a:pt x="10438769" y="5248166"/>
                  <a:pt x="10454155" y="5263758"/>
                  <a:pt x="10473122" y="5263758"/>
                </a:cubicBezTo>
                <a:cubicBezTo>
                  <a:pt x="10492089" y="5263758"/>
                  <a:pt x="10507462" y="5248166"/>
                  <a:pt x="10507462" y="5228937"/>
                </a:cubicBezTo>
                <a:cubicBezTo>
                  <a:pt x="10507462" y="5209709"/>
                  <a:pt x="10492089" y="5194117"/>
                  <a:pt x="10473122" y="5194117"/>
                </a:cubicBezTo>
                <a:close/>
                <a:moveTo>
                  <a:pt x="10556863" y="5194117"/>
                </a:moveTo>
                <a:cubicBezTo>
                  <a:pt x="10537896" y="5194117"/>
                  <a:pt x="10522510" y="5209709"/>
                  <a:pt x="10522510" y="5228937"/>
                </a:cubicBezTo>
                <a:cubicBezTo>
                  <a:pt x="10522510" y="5248166"/>
                  <a:pt x="10537896" y="5263758"/>
                  <a:pt x="10556863" y="5263758"/>
                </a:cubicBezTo>
                <a:cubicBezTo>
                  <a:pt x="10575830" y="5263758"/>
                  <a:pt x="10591203" y="5248166"/>
                  <a:pt x="10591203" y="5228937"/>
                </a:cubicBezTo>
                <a:cubicBezTo>
                  <a:pt x="10591203" y="5209709"/>
                  <a:pt x="10575830" y="5194117"/>
                  <a:pt x="10556863" y="5194117"/>
                </a:cubicBezTo>
                <a:close/>
                <a:moveTo>
                  <a:pt x="3773759" y="5278981"/>
                </a:moveTo>
                <a:cubicBezTo>
                  <a:pt x="3754792" y="5278981"/>
                  <a:pt x="3739412" y="5294572"/>
                  <a:pt x="3739412" y="5313801"/>
                </a:cubicBezTo>
                <a:cubicBezTo>
                  <a:pt x="3739412" y="5333030"/>
                  <a:pt x="3754792" y="5348621"/>
                  <a:pt x="3773759" y="5348621"/>
                </a:cubicBezTo>
                <a:cubicBezTo>
                  <a:pt x="3792726" y="5348621"/>
                  <a:pt x="3808106" y="5333030"/>
                  <a:pt x="3808106" y="5313801"/>
                </a:cubicBezTo>
                <a:cubicBezTo>
                  <a:pt x="3808106" y="5294572"/>
                  <a:pt x="3792726" y="5278981"/>
                  <a:pt x="3773759" y="5278981"/>
                </a:cubicBezTo>
                <a:close/>
                <a:moveTo>
                  <a:pt x="3857500" y="5278981"/>
                </a:moveTo>
                <a:cubicBezTo>
                  <a:pt x="3838533" y="5278981"/>
                  <a:pt x="3823154" y="5294572"/>
                  <a:pt x="3823154" y="5313801"/>
                </a:cubicBezTo>
                <a:cubicBezTo>
                  <a:pt x="3823154" y="5333030"/>
                  <a:pt x="3838533" y="5348621"/>
                  <a:pt x="3857500" y="5348621"/>
                </a:cubicBezTo>
                <a:cubicBezTo>
                  <a:pt x="3876467" y="5348621"/>
                  <a:pt x="3891847" y="5333030"/>
                  <a:pt x="3891847" y="5313801"/>
                </a:cubicBezTo>
                <a:cubicBezTo>
                  <a:pt x="3891847" y="5294572"/>
                  <a:pt x="3876467" y="5278981"/>
                  <a:pt x="3857500" y="5278981"/>
                </a:cubicBezTo>
                <a:close/>
                <a:moveTo>
                  <a:pt x="3941242" y="5278981"/>
                </a:moveTo>
                <a:cubicBezTo>
                  <a:pt x="3922275" y="5278981"/>
                  <a:pt x="3906895" y="5294572"/>
                  <a:pt x="3906895" y="5313801"/>
                </a:cubicBezTo>
                <a:cubicBezTo>
                  <a:pt x="3906895" y="5333030"/>
                  <a:pt x="3922275" y="5348621"/>
                  <a:pt x="3941242" y="5348621"/>
                </a:cubicBezTo>
                <a:cubicBezTo>
                  <a:pt x="3960209" y="5348621"/>
                  <a:pt x="3975588" y="5333030"/>
                  <a:pt x="3975588" y="5313801"/>
                </a:cubicBezTo>
                <a:cubicBezTo>
                  <a:pt x="3975588" y="5294572"/>
                  <a:pt x="3960209" y="5278981"/>
                  <a:pt x="3941242" y="5278981"/>
                </a:cubicBezTo>
                <a:close/>
                <a:moveTo>
                  <a:pt x="4024990" y="5278981"/>
                </a:moveTo>
                <a:cubicBezTo>
                  <a:pt x="4006023" y="5278981"/>
                  <a:pt x="3990643" y="5294572"/>
                  <a:pt x="3990643" y="5313801"/>
                </a:cubicBezTo>
                <a:cubicBezTo>
                  <a:pt x="3990643" y="5333030"/>
                  <a:pt x="4006023" y="5348621"/>
                  <a:pt x="4024990" y="5348621"/>
                </a:cubicBezTo>
                <a:cubicBezTo>
                  <a:pt x="4043957" y="5348621"/>
                  <a:pt x="4059337" y="5333030"/>
                  <a:pt x="4059337" y="5313801"/>
                </a:cubicBezTo>
                <a:cubicBezTo>
                  <a:pt x="4059337" y="5294572"/>
                  <a:pt x="4043957" y="5278981"/>
                  <a:pt x="4024990" y="5278981"/>
                </a:cubicBezTo>
                <a:close/>
                <a:moveTo>
                  <a:pt x="4108732" y="5278981"/>
                </a:moveTo>
                <a:cubicBezTo>
                  <a:pt x="4089765" y="5278981"/>
                  <a:pt x="4074386" y="5294572"/>
                  <a:pt x="4074386" y="5313801"/>
                </a:cubicBezTo>
                <a:cubicBezTo>
                  <a:pt x="4074386" y="5333030"/>
                  <a:pt x="4089765" y="5348621"/>
                  <a:pt x="4108732" y="5348621"/>
                </a:cubicBezTo>
                <a:cubicBezTo>
                  <a:pt x="4127699" y="5348621"/>
                  <a:pt x="4143079" y="5333030"/>
                  <a:pt x="4143079" y="5313801"/>
                </a:cubicBezTo>
                <a:cubicBezTo>
                  <a:pt x="4143079" y="5294572"/>
                  <a:pt x="4127699" y="5278981"/>
                  <a:pt x="4108732" y="5278981"/>
                </a:cubicBezTo>
                <a:close/>
                <a:moveTo>
                  <a:pt x="4192473" y="5278981"/>
                </a:moveTo>
                <a:cubicBezTo>
                  <a:pt x="4173506" y="5278981"/>
                  <a:pt x="4158127" y="5294572"/>
                  <a:pt x="4158127" y="5313801"/>
                </a:cubicBezTo>
                <a:cubicBezTo>
                  <a:pt x="4158127" y="5333030"/>
                  <a:pt x="4173506" y="5348621"/>
                  <a:pt x="4192473" y="5348621"/>
                </a:cubicBezTo>
                <a:cubicBezTo>
                  <a:pt x="4211440" y="5348621"/>
                  <a:pt x="4226820" y="5333030"/>
                  <a:pt x="4226820" y="5313801"/>
                </a:cubicBezTo>
                <a:cubicBezTo>
                  <a:pt x="4226820" y="5294572"/>
                  <a:pt x="4211440" y="5278981"/>
                  <a:pt x="4192473" y="5278981"/>
                </a:cubicBezTo>
                <a:close/>
                <a:moveTo>
                  <a:pt x="4276215" y="5278981"/>
                </a:moveTo>
                <a:cubicBezTo>
                  <a:pt x="4257248" y="5278981"/>
                  <a:pt x="4241868" y="5294572"/>
                  <a:pt x="4241868" y="5313801"/>
                </a:cubicBezTo>
                <a:cubicBezTo>
                  <a:pt x="4241868" y="5333030"/>
                  <a:pt x="4257248" y="5348621"/>
                  <a:pt x="4276215" y="5348621"/>
                </a:cubicBezTo>
                <a:cubicBezTo>
                  <a:pt x="4295182" y="5348621"/>
                  <a:pt x="4310561" y="5333030"/>
                  <a:pt x="4310561" y="5313801"/>
                </a:cubicBezTo>
                <a:cubicBezTo>
                  <a:pt x="4310561" y="5294572"/>
                  <a:pt x="4295182" y="5278981"/>
                  <a:pt x="4276215" y="5278981"/>
                </a:cubicBezTo>
                <a:close/>
                <a:moveTo>
                  <a:pt x="6453498" y="5278981"/>
                </a:moveTo>
                <a:cubicBezTo>
                  <a:pt x="6434531" y="5278981"/>
                  <a:pt x="6419144" y="5294572"/>
                  <a:pt x="6419144" y="5313801"/>
                </a:cubicBezTo>
                <a:cubicBezTo>
                  <a:pt x="6419144" y="5333030"/>
                  <a:pt x="6434531" y="5348621"/>
                  <a:pt x="6453498" y="5348621"/>
                </a:cubicBezTo>
                <a:cubicBezTo>
                  <a:pt x="6472465" y="5348621"/>
                  <a:pt x="6487838" y="5333030"/>
                  <a:pt x="6487838" y="5313801"/>
                </a:cubicBezTo>
                <a:cubicBezTo>
                  <a:pt x="6487838" y="5294572"/>
                  <a:pt x="6472465" y="5278981"/>
                  <a:pt x="6453498" y="5278981"/>
                </a:cubicBezTo>
                <a:close/>
                <a:moveTo>
                  <a:pt x="6537239" y="5278981"/>
                </a:moveTo>
                <a:cubicBezTo>
                  <a:pt x="6518272" y="5278981"/>
                  <a:pt x="6502886" y="5294572"/>
                  <a:pt x="6502886" y="5313801"/>
                </a:cubicBezTo>
                <a:cubicBezTo>
                  <a:pt x="6502886" y="5333030"/>
                  <a:pt x="6518272" y="5348621"/>
                  <a:pt x="6537239" y="5348621"/>
                </a:cubicBezTo>
                <a:cubicBezTo>
                  <a:pt x="6556206" y="5348621"/>
                  <a:pt x="6571579" y="5333030"/>
                  <a:pt x="6571579" y="5313801"/>
                </a:cubicBezTo>
                <a:cubicBezTo>
                  <a:pt x="6571579" y="5294572"/>
                  <a:pt x="6556206" y="5278981"/>
                  <a:pt x="6537239" y="5278981"/>
                </a:cubicBezTo>
                <a:close/>
                <a:moveTo>
                  <a:pt x="6620980" y="5278981"/>
                </a:moveTo>
                <a:cubicBezTo>
                  <a:pt x="6602013" y="5278981"/>
                  <a:pt x="6586627" y="5294572"/>
                  <a:pt x="6586627" y="5313801"/>
                </a:cubicBezTo>
                <a:cubicBezTo>
                  <a:pt x="6586627" y="5333030"/>
                  <a:pt x="6602013" y="5348621"/>
                  <a:pt x="6620980" y="5348621"/>
                </a:cubicBezTo>
                <a:cubicBezTo>
                  <a:pt x="6639947" y="5348621"/>
                  <a:pt x="6655320" y="5333030"/>
                  <a:pt x="6655320" y="5313801"/>
                </a:cubicBezTo>
                <a:cubicBezTo>
                  <a:pt x="6655320" y="5294572"/>
                  <a:pt x="6639947" y="5278981"/>
                  <a:pt x="6620980" y="5278981"/>
                </a:cubicBezTo>
                <a:close/>
                <a:moveTo>
                  <a:pt x="6704722" y="5278981"/>
                </a:moveTo>
                <a:cubicBezTo>
                  <a:pt x="6685755" y="5278981"/>
                  <a:pt x="6670369" y="5294572"/>
                  <a:pt x="6670369" y="5313801"/>
                </a:cubicBezTo>
                <a:cubicBezTo>
                  <a:pt x="6670369" y="5333030"/>
                  <a:pt x="6685755" y="5348621"/>
                  <a:pt x="6704722" y="5348621"/>
                </a:cubicBezTo>
                <a:cubicBezTo>
                  <a:pt x="6723689" y="5348621"/>
                  <a:pt x="6739063" y="5333030"/>
                  <a:pt x="6739063" y="5313801"/>
                </a:cubicBezTo>
                <a:cubicBezTo>
                  <a:pt x="6739063" y="5294572"/>
                  <a:pt x="6723689" y="5278981"/>
                  <a:pt x="6704722" y="5278981"/>
                </a:cubicBezTo>
                <a:close/>
                <a:moveTo>
                  <a:pt x="9384480" y="5278981"/>
                </a:moveTo>
                <a:cubicBezTo>
                  <a:pt x="9365513" y="5278981"/>
                  <a:pt x="9350127" y="5294572"/>
                  <a:pt x="9350127" y="5313801"/>
                </a:cubicBezTo>
                <a:cubicBezTo>
                  <a:pt x="9350127" y="5333030"/>
                  <a:pt x="9365513" y="5348621"/>
                  <a:pt x="9384480" y="5348621"/>
                </a:cubicBezTo>
                <a:cubicBezTo>
                  <a:pt x="9403447" y="5348621"/>
                  <a:pt x="9418821" y="5333030"/>
                  <a:pt x="9418821" y="5313801"/>
                </a:cubicBezTo>
                <a:cubicBezTo>
                  <a:pt x="9418821" y="5294572"/>
                  <a:pt x="9403447" y="5278981"/>
                  <a:pt x="9384480" y="5278981"/>
                </a:cubicBezTo>
                <a:close/>
                <a:moveTo>
                  <a:pt x="9468222" y="5278981"/>
                </a:moveTo>
                <a:cubicBezTo>
                  <a:pt x="9449255" y="5278981"/>
                  <a:pt x="9433869" y="5294572"/>
                  <a:pt x="9433869" y="5313801"/>
                </a:cubicBezTo>
                <a:cubicBezTo>
                  <a:pt x="9433869" y="5333030"/>
                  <a:pt x="9449255" y="5348621"/>
                  <a:pt x="9468222" y="5348621"/>
                </a:cubicBezTo>
                <a:cubicBezTo>
                  <a:pt x="9487189" y="5348621"/>
                  <a:pt x="9502562" y="5333030"/>
                  <a:pt x="9502562" y="5313801"/>
                </a:cubicBezTo>
                <a:cubicBezTo>
                  <a:pt x="9502562" y="5294572"/>
                  <a:pt x="9487189" y="5278981"/>
                  <a:pt x="9468222" y="5278981"/>
                </a:cubicBezTo>
                <a:close/>
                <a:moveTo>
                  <a:pt x="9551963" y="5278981"/>
                </a:moveTo>
                <a:cubicBezTo>
                  <a:pt x="9532996" y="5278981"/>
                  <a:pt x="9517610" y="5294572"/>
                  <a:pt x="9517610" y="5313801"/>
                </a:cubicBezTo>
                <a:cubicBezTo>
                  <a:pt x="9517610" y="5333030"/>
                  <a:pt x="9532996" y="5348621"/>
                  <a:pt x="9551963" y="5348621"/>
                </a:cubicBezTo>
                <a:cubicBezTo>
                  <a:pt x="9570930" y="5348621"/>
                  <a:pt x="9586303" y="5333030"/>
                  <a:pt x="9586303" y="5313801"/>
                </a:cubicBezTo>
                <a:cubicBezTo>
                  <a:pt x="9586303" y="5294572"/>
                  <a:pt x="9570930" y="5278981"/>
                  <a:pt x="9551963" y="5278981"/>
                </a:cubicBezTo>
                <a:close/>
                <a:moveTo>
                  <a:pt x="9635705" y="5278981"/>
                </a:moveTo>
                <a:cubicBezTo>
                  <a:pt x="9616738" y="5278981"/>
                  <a:pt x="9601352" y="5294572"/>
                  <a:pt x="9601352" y="5313801"/>
                </a:cubicBezTo>
                <a:cubicBezTo>
                  <a:pt x="9601352" y="5333030"/>
                  <a:pt x="9616738" y="5348621"/>
                  <a:pt x="9635705" y="5348621"/>
                </a:cubicBezTo>
                <a:cubicBezTo>
                  <a:pt x="9654672" y="5348621"/>
                  <a:pt x="9670045" y="5333030"/>
                  <a:pt x="9670045" y="5313801"/>
                </a:cubicBezTo>
                <a:cubicBezTo>
                  <a:pt x="9670045" y="5294572"/>
                  <a:pt x="9654672" y="5278981"/>
                  <a:pt x="9635705" y="5278981"/>
                </a:cubicBezTo>
                <a:close/>
                <a:moveTo>
                  <a:pt x="9719446" y="5278981"/>
                </a:moveTo>
                <a:cubicBezTo>
                  <a:pt x="9700479" y="5278981"/>
                  <a:pt x="9685093" y="5294572"/>
                  <a:pt x="9685093" y="5313801"/>
                </a:cubicBezTo>
                <a:cubicBezTo>
                  <a:pt x="9685093" y="5333030"/>
                  <a:pt x="9700479" y="5348621"/>
                  <a:pt x="9719446" y="5348621"/>
                </a:cubicBezTo>
                <a:cubicBezTo>
                  <a:pt x="9738413" y="5348621"/>
                  <a:pt x="9753787" y="5333030"/>
                  <a:pt x="9753787" y="5313801"/>
                </a:cubicBezTo>
                <a:cubicBezTo>
                  <a:pt x="9753787" y="5294572"/>
                  <a:pt x="9738413" y="5278981"/>
                  <a:pt x="9719446" y="5278981"/>
                </a:cubicBezTo>
                <a:close/>
                <a:moveTo>
                  <a:pt x="9803189" y="5278981"/>
                </a:moveTo>
                <a:cubicBezTo>
                  <a:pt x="9784222" y="5278981"/>
                  <a:pt x="9768836" y="5294572"/>
                  <a:pt x="9768836" y="5313801"/>
                </a:cubicBezTo>
                <a:cubicBezTo>
                  <a:pt x="9768836" y="5333030"/>
                  <a:pt x="9784222" y="5348621"/>
                  <a:pt x="9803189" y="5348621"/>
                </a:cubicBezTo>
                <a:cubicBezTo>
                  <a:pt x="9822156" y="5348621"/>
                  <a:pt x="9837529" y="5333030"/>
                  <a:pt x="9837529" y="5313801"/>
                </a:cubicBezTo>
                <a:cubicBezTo>
                  <a:pt x="9837529" y="5294572"/>
                  <a:pt x="9822156" y="5278981"/>
                  <a:pt x="9803189" y="5278981"/>
                </a:cubicBezTo>
                <a:close/>
                <a:moveTo>
                  <a:pt x="9886930" y="5278981"/>
                </a:moveTo>
                <a:cubicBezTo>
                  <a:pt x="9867963" y="5278981"/>
                  <a:pt x="9852577" y="5294572"/>
                  <a:pt x="9852577" y="5313801"/>
                </a:cubicBezTo>
                <a:cubicBezTo>
                  <a:pt x="9852577" y="5333030"/>
                  <a:pt x="9867963" y="5348621"/>
                  <a:pt x="9886930" y="5348621"/>
                </a:cubicBezTo>
                <a:cubicBezTo>
                  <a:pt x="9905897" y="5348621"/>
                  <a:pt x="9921270" y="5333030"/>
                  <a:pt x="9921270" y="5313801"/>
                </a:cubicBezTo>
                <a:cubicBezTo>
                  <a:pt x="9921270" y="5294572"/>
                  <a:pt x="9905897" y="5278981"/>
                  <a:pt x="9886930" y="5278981"/>
                </a:cubicBezTo>
                <a:close/>
                <a:moveTo>
                  <a:pt x="9970671" y="5278981"/>
                </a:moveTo>
                <a:cubicBezTo>
                  <a:pt x="9951704" y="5278981"/>
                  <a:pt x="9936318" y="5294572"/>
                  <a:pt x="9936318" y="5313801"/>
                </a:cubicBezTo>
                <a:cubicBezTo>
                  <a:pt x="9936318" y="5333030"/>
                  <a:pt x="9951704" y="5348621"/>
                  <a:pt x="9970671" y="5348621"/>
                </a:cubicBezTo>
                <a:cubicBezTo>
                  <a:pt x="9989638" y="5348621"/>
                  <a:pt x="10005011" y="5333030"/>
                  <a:pt x="10005011" y="5313801"/>
                </a:cubicBezTo>
                <a:cubicBezTo>
                  <a:pt x="10005011" y="5294572"/>
                  <a:pt x="9989638" y="5278981"/>
                  <a:pt x="9970671" y="5278981"/>
                </a:cubicBezTo>
                <a:close/>
                <a:moveTo>
                  <a:pt x="10054413" y="5278981"/>
                </a:moveTo>
                <a:cubicBezTo>
                  <a:pt x="10035446" y="5278981"/>
                  <a:pt x="10020060" y="5294572"/>
                  <a:pt x="10020060" y="5313801"/>
                </a:cubicBezTo>
                <a:cubicBezTo>
                  <a:pt x="10020060" y="5333030"/>
                  <a:pt x="10035446" y="5348621"/>
                  <a:pt x="10054413" y="5348621"/>
                </a:cubicBezTo>
                <a:cubicBezTo>
                  <a:pt x="10073380" y="5348621"/>
                  <a:pt x="10088754" y="5333030"/>
                  <a:pt x="10088754" y="5313801"/>
                </a:cubicBezTo>
                <a:cubicBezTo>
                  <a:pt x="10088754" y="5294572"/>
                  <a:pt x="10073380" y="5278981"/>
                  <a:pt x="10054413" y="5278981"/>
                </a:cubicBezTo>
                <a:close/>
                <a:moveTo>
                  <a:pt x="10138155" y="5278981"/>
                </a:moveTo>
                <a:cubicBezTo>
                  <a:pt x="10119188" y="5278981"/>
                  <a:pt x="10103802" y="5294572"/>
                  <a:pt x="10103802" y="5313801"/>
                </a:cubicBezTo>
                <a:cubicBezTo>
                  <a:pt x="10103802" y="5333030"/>
                  <a:pt x="10119188" y="5348621"/>
                  <a:pt x="10138155" y="5348621"/>
                </a:cubicBezTo>
                <a:cubicBezTo>
                  <a:pt x="10157122" y="5348621"/>
                  <a:pt x="10172495" y="5333030"/>
                  <a:pt x="10172495" y="5313801"/>
                </a:cubicBezTo>
                <a:cubicBezTo>
                  <a:pt x="10172495" y="5294572"/>
                  <a:pt x="10157122" y="5278981"/>
                  <a:pt x="10138155" y="5278981"/>
                </a:cubicBezTo>
                <a:close/>
                <a:moveTo>
                  <a:pt x="10221896" y="5278981"/>
                </a:moveTo>
                <a:cubicBezTo>
                  <a:pt x="10202929" y="5278981"/>
                  <a:pt x="10187543" y="5294572"/>
                  <a:pt x="10187543" y="5313801"/>
                </a:cubicBezTo>
                <a:cubicBezTo>
                  <a:pt x="10187543" y="5333030"/>
                  <a:pt x="10202929" y="5348621"/>
                  <a:pt x="10221896" y="5348621"/>
                </a:cubicBezTo>
                <a:cubicBezTo>
                  <a:pt x="10240863" y="5348621"/>
                  <a:pt x="10256236" y="5333030"/>
                  <a:pt x="10256236" y="5313801"/>
                </a:cubicBezTo>
                <a:cubicBezTo>
                  <a:pt x="10256236" y="5294572"/>
                  <a:pt x="10240863" y="5278981"/>
                  <a:pt x="10221896" y="5278981"/>
                </a:cubicBezTo>
                <a:close/>
                <a:moveTo>
                  <a:pt x="10305638" y="5278981"/>
                </a:moveTo>
                <a:cubicBezTo>
                  <a:pt x="10286671" y="5278981"/>
                  <a:pt x="10271285" y="5294572"/>
                  <a:pt x="10271285" y="5313801"/>
                </a:cubicBezTo>
                <a:cubicBezTo>
                  <a:pt x="10271285" y="5333030"/>
                  <a:pt x="10286671" y="5348621"/>
                  <a:pt x="10305638" y="5348621"/>
                </a:cubicBezTo>
                <a:cubicBezTo>
                  <a:pt x="10324605" y="5348621"/>
                  <a:pt x="10339978" y="5333030"/>
                  <a:pt x="10339978" y="5313801"/>
                </a:cubicBezTo>
                <a:cubicBezTo>
                  <a:pt x="10339978" y="5294572"/>
                  <a:pt x="10324605" y="5278981"/>
                  <a:pt x="10305638" y="5278981"/>
                </a:cubicBezTo>
                <a:close/>
                <a:moveTo>
                  <a:pt x="10389379" y="5278981"/>
                </a:moveTo>
                <a:cubicBezTo>
                  <a:pt x="10370412" y="5278981"/>
                  <a:pt x="10355026" y="5294572"/>
                  <a:pt x="10355026" y="5313801"/>
                </a:cubicBezTo>
                <a:cubicBezTo>
                  <a:pt x="10355026" y="5333030"/>
                  <a:pt x="10370412" y="5348621"/>
                  <a:pt x="10389379" y="5348621"/>
                </a:cubicBezTo>
                <a:cubicBezTo>
                  <a:pt x="10408346" y="5348621"/>
                  <a:pt x="10423720" y="5333030"/>
                  <a:pt x="10423720" y="5313801"/>
                </a:cubicBezTo>
                <a:cubicBezTo>
                  <a:pt x="10423720" y="5294572"/>
                  <a:pt x="10408346" y="5278981"/>
                  <a:pt x="10389379" y="5278981"/>
                </a:cubicBezTo>
                <a:close/>
                <a:moveTo>
                  <a:pt x="10473122" y="5278981"/>
                </a:moveTo>
                <a:cubicBezTo>
                  <a:pt x="10454155" y="5278981"/>
                  <a:pt x="10438769" y="5294572"/>
                  <a:pt x="10438769" y="5313801"/>
                </a:cubicBezTo>
                <a:cubicBezTo>
                  <a:pt x="10438769" y="5333030"/>
                  <a:pt x="10454155" y="5348621"/>
                  <a:pt x="10473122" y="5348621"/>
                </a:cubicBezTo>
                <a:cubicBezTo>
                  <a:pt x="10492089" y="5348621"/>
                  <a:pt x="10507462" y="5333030"/>
                  <a:pt x="10507462" y="5313801"/>
                </a:cubicBezTo>
                <a:cubicBezTo>
                  <a:pt x="10507462" y="5294572"/>
                  <a:pt x="10492089" y="5278981"/>
                  <a:pt x="10473122" y="5278981"/>
                </a:cubicBezTo>
                <a:close/>
                <a:moveTo>
                  <a:pt x="10556863" y="5278981"/>
                </a:moveTo>
                <a:cubicBezTo>
                  <a:pt x="10537896" y="5278981"/>
                  <a:pt x="10522510" y="5294572"/>
                  <a:pt x="10522510" y="5313801"/>
                </a:cubicBezTo>
                <a:cubicBezTo>
                  <a:pt x="10522510" y="5333030"/>
                  <a:pt x="10537896" y="5348621"/>
                  <a:pt x="10556863" y="5348621"/>
                </a:cubicBezTo>
                <a:cubicBezTo>
                  <a:pt x="10575830" y="5348621"/>
                  <a:pt x="10591203" y="5333030"/>
                  <a:pt x="10591203" y="5313801"/>
                </a:cubicBezTo>
                <a:cubicBezTo>
                  <a:pt x="10591203" y="5294572"/>
                  <a:pt x="10575830" y="5278981"/>
                  <a:pt x="10556863" y="5278981"/>
                </a:cubicBezTo>
                <a:close/>
                <a:moveTo>
                  <a:pt x="3773759" y="5363844"/>
                </a:moveTo>
                <a:cubicBezTo>
                  <a:pt x="3754792" y="5363844"/>
                  <a:pt x="3739412" y="5379436"/>
                  <a:pt x="3739412" y="5398665"/>
                </a:cubicBezTo>
                <a:cubicBezTo>
                  <a:pt x="3739412" y="5417893"/>
                  <a:pt x="3754792" y="5433485"/>
                  <a:pt x="3773759" y="5433485"/>
                </a:cubicBezTo>
                <a:cubicBezTo>
                  <a:pt x="3792726" y="5433485"/>
                  <a:pt x="3808106" y="5417893"/>
                  <a:pt x="3808106" y="5398665"/>
                </a:cubicBezTo>
                <a:cubicBezTo>
                  <a:pt x="3808106" y="5379436"/>
                  <a:pt x="3792726" y="5363844"/>
                  <a:pt x="3773759" y="5363844"/>
                </a:cubicBezTo>
                <a:close/>
                <a:moveTo>
                  <a:pt x="3857500" y="5363844"/>
                </a:moveTo>
                <a:cubicBezTo>
                  <a:pt x="3838533" y="5363844"/>
                  <a:pt x="3823154" y="5379436"/>
                  <a:pt x="3823154" y="5398665"/>
                </a:cubicBezTo>
                <a:cubicBezTo>
                  <a:pt x="3823154" y="5417893"/>
                  <a:pt x="3838533" y="5433485"/>
                  <a:pt x="3857500" y="5433485"/>
                </a:cubicBezTo>
                <a:cubicBezTo>
                  <a:pt x="3876467" y="5433485"/>
                  <a:pt x="3891847" y="5417893"/>
                  <a:pt x="3891847" y="5398665"/>
                </a:cubicBezTo>
                <a:cubicBezTo>
                  <a:pt x="3891847" y="5379436"/>
                  <a:pt x="3876467" y="5363844"/>
                  <a:pt x="3857500" y="5363844"/>
                </a:cubicBezTo>
                <a:close/>
                <a:moveTo>
                  <a:pt x="3941242" y="5363844"/>
                </a:moveTo>
                <a:cubicBezTo>
                  <a:pt x="3922275" y="5363844"/>
                  <a:pt x="3906895" y="5379436"/>
                  <a:pt x="3906895" y="5398665"/>
                </a:cubicBezTo>
                <a:cubicBezTo>
                  <a:pt x="3906895" y="5417893"/>
                  <a:pt x="3922275" y="5433485"/>
                  <a:pt x="3941242" y="5433485"/>
                </a:cubicBezTo>
                <a:cubicBezTo>
                  <a:pt x="3960209" y="5433485"/>
                  <a:pt x="3975588" y="5417893"/>
                  <a:pt x="3975588" y="5398665"/>
                </a:cubicBezTo>
                <a:cubicBezTo>
                  <a:pt x="3975588" y="5379436"/>
                  <a:pt x="3960209" y="5363844"/>
                  <a:pt x="3941242" y="5363844"/>
                </a:cubicBezTo>
                <a:close/>
                <a:moveTo>
                  <a:pt x="4024990" y="5363844"/>
                </a:moveTo>
                <a:cubicBezTo>
                  <a:pt x="4006023" y="5363844"/>
                  <a:pt x="3990643" y="5379436"/>
                  <a:pt x="3990643" y="5398665"/>
                </a:cubicBezTo>
                <a:cubicBezTo>
                  <a:pt x="3990643" y="5417893"/>
                  <a:pt x="4006023" y="5433485"/>
                  <a:pt x="4024990" y="5433485"/>
                </a:cubicBezTo>
                <a:cubicBezTo>
                  <a:pt x="4043957" y="5433485"/>
                  <a:pt x="4059337" y="5417893"/>
                  <a:pt x="4059337" y="5398665"/>
                </a:cubicBezTo>
                <a:cubicBezTo>
                  <a:pt x="4059337" y="5379436"/>
                  <a:pt x="4043957" y="5363844"/>
                  <a:pt x="4024990" y="5363844"/>
                </a:cubicBezTo>
                <a:close/>
                <a:moveTo>
                  <a:pt x="4108732" y="5363844"/>
                </a:moveTo>
                <a:cubicBezTo>
                  <a:pt x="4089765" y="5363844"/>
                  <a:pt x="4074386" y="5379436"/>
                  <a:pt x="4074386" y="5398665"/>
                </a:cubicBezTo>
                <a:cubicBezTo>
                  <a:pt x="4074386" y="5417893"/>
                  <a:pt x="4089765" y="5433485"/>
                  <a:pt x="4108732" y="5433485"/>
                </a:cubicBezTo>
                <a:cubicBezTo>
                  <a:pt x="4127699" y="5433485"/>
                  <a:pt x="4143079" y="5417893"/>
                  <a:pt x="4143079" y="5398665"/>
                </a:cubicBezTo>
                <a:cubicBezTo>
                  <a:pt x="4143079" y="5379436"/>
                  <a:pt x="4127699" y="5363844"/>
                  <a:pt x="4108732" y="5363844"/>
                </a:cubicBezTo>
                <a:close/>
                <a:moveTo>
                  <a:pt x="4192473" y="5363844"/>
                </a:moveTo>
                <a:cubicBezTo>
                  <a:pt x="4173506" y="5363844"/>
                  <a:pt x="4158127" y="5379436"/>
                  <a:pt x="4158127" y="5398665"/>
                </a:cubicBezTo>
                <a:cubicBezTo>
                  <a:pt x="4158127" y="5417893"/>
                  <a:pt x="4173506" y="5433485"/>
                  <a:pt x="4192473" y="5433485"/>
                </a:cubicBezTo>
                <a:cubicBezTo>
                  <a:pt x="4211440" y="5433485"/>
                  <a:pt x="4226820" y="5417893"/>
                  <a:pt x="4226820" y="5398665"/>
                </a:cubicBezTo>
                <a:cubicBezTo>
                  <a:pt x="4226820" y="5379436"/>
                  <a:pt x="4211440" y="5363844"/>
                  <a:pt x="4192473" y="5363844"/>
                </a:cubicBezTo>
                <a:close/>
                <a:moveTo>
                  <a:pt x="4276215" y="5363844"/>
                </a:moveTo>
                <a:cubicBezTo>
                  <a:pt x="4257248" y="5363844"/>
                  <a:pt x="4241868" y="5379436"/>
                  <a:pt x="4241868" y="5398665"/>
                </a:cubicBezTo>
                <a:cubicBezTo>
                  <a:pt x="4241868" y="5417893"/>
                  <a:pt x="4257248" y="5433485"/>
                  <a:pt x="4276215" y="5433485"/>
                </a:cubicBezTo>
                <a:cubicBezTo>
                  <a:pt x="4295182" y="5433485"/>
                  <a:pt x="4310561" y="5417893"/>
                  <a:pt x="4310561" y="5398665"/>
                </a:cubicBezTo>
                <a:cubicBezTo>
                  <a:pt x="4310561" y="5379436"/>
                  <a:pt x="4295182" y="5363844"/>
                  <a:pt x="4276215" y="5363844"/>
                </a:cubicBezTo>
                <a:close/>
                <a:moveTo>
                  <a:pt x="6453498" y="5363844"/>
                </a:moveTo>
                <a:cubicBezTo>
                  <a:pt x="6434531" y="5363844"/>
                  <a:pt x="6419144" y="5379436"/>
                  <a:pt x="6419144" y="5398665"/>
                </a:cubicBezTo>
                <a:cubicBezTo>
                  <a:pt x="6419144" y="5417893"/>
                  <a:pt x="6434531" y="5433485"/>
                  <a:pt x="6453498" y="5433485"/>
                </a:cubicBezTo>
                <a:cubicBezTo>
                  <a:pt x="6472465" y="5433485"/>
                  <a:pt x="6487838" y="5417893"/>
                  <a:pt x="6487838" y="5398665"/>
                </a:cubicBezTo>
                <a:cubicBezTo>
                  <a:pt x="6487838" y="5379436"/>
                  <a:pt x="6472465" y="5363844"/>
                  <a:pt x="6453498" y="5363844"/>
                </a:cubicBezTo>
                <a:close/>
                <a:moveTo>
                  <a:pt x="6537239" y="5363844"/>
                </a:moveTo>
                <a:cubicBezTo>
                  <a:pt x="6518272" y="5363844"/>
                  <a:pt x="6502886" y="5379436"/>
                  <a:pt x="6502886" y="5398665"/>
                </a:cubicBezTo>
                <a:cubicBezTo>
                  <a:pt x="6502886" y="5417893"/>
                  <a:pt x="6518272" y="5433485"/>
                  <a:pt x="6537239" y="5433485"/>
                </a:cubicBezTo>
                <a:cubicBezTo>
                  <a:pt x="6556206" y="5433485"/>
                  <a:pt x="6571579" y="5417893"/>
                  <a:pt x="6571579" y="5398665"/>
                </a:cubicBezTo>
                <a:cubicBezTo>
                  <a:pt x="6571579" y="5379436"/>
                  <a:pt x="6556206" y="5363844"/>
                  <a:pt x="6537239" y="5363844"/>
                </a:cubicBezTo>
                <a:close/>
                <a:moveTo>
                  <a:pt x="6620980" y="5363844"/>
                </a:moveTo>
                <a:cubicBezTo>
                  <a:pt x="6602013" y="5363844"/>
                  <a:pt x="6586627" y="5379436"/>
                  <a:pt x="6586627" y="5398665"/>
                </a:cubicBezTo>
                <a:cubicBezTo>
                  <a:pt x="6586627" y="5417893"/>
                  <a:pt x="6602013" y="5433485"/>
                  <a:pt x="6620980" y="5433485"/>
                </a:cubicBezTo>
                <a:cubicBezTo>
                  <a:pt x="6639947" y="5433485"/>
                  <a:pt x="6655320" y="5417893"/>
                  <a:pt x="6655320" y="5398665"/>
                </a:cubicBezTo>
                <a:cubicBezTo>
                  <a:pt x="6655320" y="5379436"/>
                  <a:pt x="6639947" y="5363844"/>
                  <a:pt x="6620980" y="5363844"/>
                </a:cubicBezTo>
                <a:close/>
                <a:moveTo>
                  <a:pt x="9384480" y="5363844"/>
                </a:moveTo>
                <a:cubicBezTo>
                  <a:pt x="9365513" y="5363844"/>
                  <a:pt x="9350127" y="5379436"/>
                  <a:pt x="9350127" y="5398665"/>
                </a:cubicBezTo>
                <a:cubicBezTo>
                  <a:pt x="9350127" y="5417893"/>
                  <a:pt x="9365513" y="5433485"/>
                  <a:pt x="9384480" y="5433485"/>
                </a:cubicBezTo>
                <a:cubicBezTo>
                  <a:pt x="9403447" y="5433485"/>
                  <a:pt x="9418821" y="5417893"/>
                  <a:pt x="9418821" y="5398665"/>
                </a:cubicBezTo>
                <a:cubicBezTo>
                  <a:pt x="9418821" y="5379436"/>
                  <a:pt x="9403447" y="5363844"/>
                  <a:pt x="9384480" y="5363844"/>
                </a:cubicBezTo>
                <a:close/>
                <a:moveTo>
                  <a:pt x="9468222" y="5363844"/>
                </a:moveTo>
                <a:cubicBezTo>
                  <a:pt x="9449255" y="5363844"/>
                  <a:pt x="9433869" y="5379436"/>
                  <a:pt x="9433869" y="5398665"/>
                </a:cubicBezTo>
                <a:cubicBezTo>
                  <a:pt x="9433869" y="5417893"/>
                  <a:pt x="9449255" y="5433485"/>
                  <a:pt x="9468222" y="5433485"/>
                </a:cubicBezTo>
                <a:cubicBezTo>
                  <a:pt x="9487189" y="5433485"/>
                  <a:pt x="9502562" y="5417893"/>
                  <a:pt x="9502562" y="5398665"/>
                </a:cubicBezTo>
                <a:cubicBezTo>
                  <a:pt x="9502562" y="5379436"/>
                  <a:pt x="9487189" y="5363844"/>
                  <a:pt x="9468222" y="5363844"/>
                </a:cubicBezTo>
                <a:close/>
                <a:moveTo>
                  <a:pt x="9551963" y="5363844"/>
                </a:moveTo>
                <a:cubicBezTo>
                  <a:pt x="9532996" y="5363844"/>
                  <a:pt x="9517610" y="5379436"/>
                  <a:pt x="9517610" y="5398665"/>
                </a:cubicBezTo>
                <a:cubicBezTo>
                  <a:pt x="9517610" y="5417893"/>
                  <a:pt x="9532996" y="5433485"/>
                  <a:pt x="9551963" y="5433485"/>
                </a:cubicBezTo>
                <a:cubicBezTo>
                  <a:pt x="9570930" y="5433485"/>
                  <a:pt x="9586303" y="5417893"/>
                  <a:pt x="9586303" y="5398665"/>
                </a:cubicBezTo>
                <a:cubicBezTo>
                  <a:pt x="9586303" y="5379436"/>
                  <a:pt x="9570930" y="5363844"/>
                  <a:pt x="9551963" y="5363844"/>
                </a:cubicBezTo>
                <a:close/>
                <a:moveTo>
                  <a:pt x="9635705" y="5363844"/>
                </a:moveTo>
                <a:cubicBezTo>
                  <a:pt x="9616738" y="5363844"/>
                  <a:pt x="9601352" y="5379436"/>
                  <a:pt x="9601352" y="5398665"/>
                </a:cubicBezTo>
                <a:cubicBezTo>
                  <a:pt x="9601352" y="5417893"/>
                  <a:pt x="9616738" y="5433485"/>
                  <a:pt x="9635705" y="5433485"/>
                </a:cubicBezTo>
                <a:cubicBezTo>
                  <a:pt x="9654672" y="5433485"/>
                  <a:pt x="9670045" y="5417893"/>
                  <a:pt x="9670045" y="5398665"/>
                </a:cubicBezTo>
                <a:cubicBezTo>
                  <a:pt x="9670045" y="5379436"/>
                  <a:pt x="9654672" y="5363844"/>
                  <a:pt x="9635705" y="5363844"/>
                </a:cubicBezTo>
                <a:close/>
                <a:moveTo>
                  <a:pt x="9719446" y="5363844"/>
                </a:moveTo>
                <a:cubicBezTo>
                  <a:pt x="9700479" y="5363844"/>
                  <a:pt x="9685093" y="5379436"/>
                  <a:pt x="9685093" y="5398665"/>
                </a:cubicBezTo>
                <a:cubicBezTo>
                  <a:pt x="9685093" y="5417893"/>
                  <a:pt x="9700479" y="5433485"/>
                  <a:pt x="9719446" y="5433485"/>
                </a:cubicBezTo>
                <a:cubicBezTo>
                  <a:pt x="9738413" y="5433485"/>
                  <a:pt x="9753787" y="5417893"/>
                  <a:pt x="9753787" y="5398665"/>
                </a:cubicBezTo>
                <a:cubicBezTo>
                  <a:pt x="9753787" y="5379436"/>
                  <a:pt x="9738413" y="5363844"/>
                  <a:pt x="9719446" y="5363844"/>
                </a:cubicBezTo>
                <a:close/>
                <a:moveTo>
                  <a:pt x="9803189" y="5363844"/>
                </a:moveTo>
                <a:cubicBezTo>
                  <a:pt x="9784222" y="5363844"/>
                  <a:pt x="9768836" y="5379436"/>
                  <a:pt x="9768836" y="5398665"/>
                </a:cubicBezTo>
                <a:cubicBezTo>
                  <a:pt x="9768836" y="5417893"/>
                  <a:pt x="9784222" y="5433485"/>
                  <a:pt x="9803189" y="5433485"/>
                </a:cubicBezTo>
                <a:cubicBezTo>
                  <a:pt x="9822156" y="5433485"/>
                  <a:pt x="9837529" y="5417893"/>
                  <a:pt x="9837529" y="5398665"/>
                </a:cubicBezTo>
                <a:cubicBezTo>
                  <a:pt x="9837529" y="5379436"/>
                  <a:pt x="9822156" y="5363844"/>
                  <a:pt x="9803189" y="5363844"/>
                </a:cubicBezTo>
                <a:close/>
                <a:moveTo>
                  <a:pt x="9886930" y="5363844"/>
                </a:moveTo>
                <a:cubicBezTo>
                  <a:pt x="9867963" y="5363844"/>
                  <a:pt x="9852577" y="5379436"/>
                  <a:pt x="9852577" y="5398665"/>
                </a:cubicBezTo>
                <a:cubicBezTo>
                  <a:pt x="9852577" y="5417893"/>
                  <a:pt x="9867963" y="5433485"/>
                  <a:pt x="9886930" y="5433485"/>
                </a:cubicBezTo>
                <a:cubicBezTo>
                  <a:pt x="9905897" y="5433485"/>
                  <a:pt x="9921270" y="5417893"/>
                  <a:pt x="9921270" y="5398665"/>
                </a:cubicBezTo>
                <a:cubicBezTo>
                  <a:pt x="9921270" y="5379436"/>
                  <a:pt x="9905897" y="5363844"/>
                  <a:pt x="9886930" y="5363844"/>
                </a:cubicBezTo>
                <a:close/>
                <a:moveTo>
                  <a:pt x="9970671" y="5363844"/>
                </a:moveTo>
                <a:cubicBezTo>
                  <a:pt x="9951704" y="5363844"/>
                  <a:pt x="9936318" y="5379436"/>
                  <a:pt x="9936318" y="5398665"/>
                </a:cubicBezTo>
                <a:cubicBezTo>
                  <a:pt x="9936318" y="5417893"/>
                  <a:pt x="9951704" y="5433485"/>
                  <a:pt x="9970671" y="5433485"/>
                </a:cubicBezTo>
                <a:cubicBezTo>
                  <a:pt x="9989638" y="5433485"/>
                  <a:pt x="10005011" y="5417893"/>
                  <a:pt x="10005011" y="5398665"/>
                </a:cubicBezTo>
                <a:cubicBezTo>
                  <a:pt x="10005011" y="5379436"/>
                  <a:pt x="9989638" y="5363844"/>
                  <a:pt x="9970671" y="5363844"/>
                </a:cubicBezTo>
                <a:close/>
                <a:moveTo>
                  <a:pt x="10054413" y="5363844"/>
                </a:moveTo>
                <a:cubicBezTo>
                  <a:pt x="10035446" y="5363844"/>
                  <a:pt x="10020060" y="5379436"/>
                  <a:pt x="10020060" y="5398665"/>
                </a:cubicBezTo>
                <a:cubicBezTo>
                  <a:pt x="10020060" y="5417893"/>
                  <a:pt x="10035446" y="5433485"/>
                  <a:pt x="10054413" y="5433485"/>
                </a:cubicBezTo>
                <a:cubicBezTo>
                  <a:pt x="10073380" y="5433485"/>
                  <a:pt x="10088754" y="5417893"/>
                  <a:pt x="10088754" y="5398665"/>
                </a:cubicBezTo>
                <a:cubicBezTo>
                  <a:pt x="10088754" y="5379436"/>
                  <a:pt x="10073380" y="5363844"/>
                  <a:pt x="10054413" y="5363844"/>
                </a:cubicBezTo>
                <a:close/>
                <a:moveTo>
                  <a:pt x="10138155" y="5363844"/>
                </a:moveTo>
                <a:cubicBezTo>
                  <a:pt x="10119188" y="5363844"/>
                  <a:pt x="10103802" y="5379436"/>
                  <a:pt x="10103802" y="5398665"/>
                </a:cubicBezTo>
                <a:cubicBezTo>
                  <a:pt x="10103802" y="5417893"/>
                  <a:pt x="10119188" y="5433485"/>
                  <a:pt x="10138155" y="5433485"/>
                </a:cubicBezTo>
                <a:cubicBezTo>
                  <a:pt x="10157122" y="5433485"/>
                  <a:pt x="10172495" y="5417893"/>
                  <a:pt x="10172495" y="5398665"/>
                </a:cubicBezTo>
                <a:cubicBezTo>
                  <a:pt x="10172495" y="5379436"/>
                  <a:pt x="10157122" y="5363844"/>
                  <a:pt x="10138155" y="5363844"/>
                </a:cubicBezTo>
                <a:close/>
                <a:moveTo>
                  <a:pt x="10221896" y="5363844"/>
                </a:moveTo>
                <a:cubicBezTo>
                  <a:pt x="10202929" y="5363844"/>
                  <a:pt x="10187543" y="5379436"/>
                  <a:pt x="10187543" y="5398665"/>
                </a:cubicBezTo>
                <a:cubicBezTo>
                  <a:pt x="10187543" y="5417893"/>
                  <a:pt x="10202929" y="5433485"/>
                  <a:pt x="10221896" y="5433485"/>
                </a:cubicBezTo>
                <a:cubicBezTo>
                  <a:pt x="10240863" y="5433485"/>
                  <a:pt x="10256236" y="5417893"/>
                  <a:pt x="10256236" y="5398665"/>
                </a:cubicBezTo>
                <a:cubicBezTo>
                  <a:pt x="10256236" y="5379436"/>
                  <a:pt x="10240863" y="5363844"/>
                  <a:pt x="10221896" y="5363844"/>
                </a:cubicBezTo>
                <a:close/>
                <a:moveTo>
                  <a:pt x="10305638" y="5363844"/>
                </a:moveTo>
                <a:cubicBezTo>
                  <a:pt x="10286671" y="5363844"/>
                  <a:pt x="10271285" y="5379436"/>
                  <a:pt x="10271285" y="5398665"/>
                </a:cubicBezTo>
                <a:cubicBezTo>
                  <a:pt x="10271285" y="5417893"/>
                  <a:pt x="10286671" y="5433485"/>
                  <a:pt x="10305638" y="5433485"/>
                </a:cubicBezTo>
                <a:cubicBezTo>
                  <a:pt x="10324605" y="5433485"/>
                  <a:pt x="10339978" y="5417893"/>
                  <a:pt x="10339978" y="5398665"/>
                </a:cubicBezTo>
                <a:cubicBezTo>
                  <a:pt x="10339978" y="5379436"/>
                  <a:pt x="10324605" y="5363844"/>
                  <a:pt x="10305638" y="5363844"/>
                </a:cubicBezTo>
                <a:close/>
                <a:moveTo>
                  <a:pt x="10389379" y="5363844"/>
                </a:moveTo>
                <a:cubicBezTo>
                  <a:pt x="10370412" y="5363844"/>
                  <a:pt x="10355026" y="5379436"/>
                  <a:pt x="10355026" y="5398665"/>
                </a:cubicBezTo>
                <a:cubicBezTo>
                  <a:pt x="10355026" y="5417893"/>
                  <a:pt x="10370412" y="5433485"/>
                  <a:pt x="10389379" y="5433485"/>
                </a:cubicBezTo>
                <a:cubicBezTo>
                  <a:pt x="10408346" y="5433485"/>
                  <a:pt x="10423720" y="5417893"/>
                  <a:pt x="10423720" y="5398665"/>
                </a:cubicBezTo>
                <a:cubicBezTo>
                  <a:pt x="10423720" y="5379436"/>
                  <a:pt x="10408346" y="5363844"/>
                  <a:pt x="10389379" y="5363844"/>
                </a:cubicBezTo>
                <a:close/>
                <a:moveTo>
                  <a:pt x="10473122" y="5363844"/>
                </a:moveTo>
                <a:cubicBezTo>
                  <a:pt x="10454155" y="5363844"/>
                  <a:pt x="10438769" y="5379436"/>
                  <a:pt x="10438769" y="5398665"/>
                </a:cubicBezTo>
                <a:cubicBezTo>
                  <a:pt x="10438769" y="5417893"/>
                  <a:pt x="10454155" y="5433485"/>
                  <a:pt x="10473122" y="5433485"/>
                </a:cubicBezTo>
                <a:cubicBezTo>
                  <a:pt x="10492089" y="5433485"/>
                  <a:pt x="10507462" y="5417893"/>
                  <a:pt x="10507462" y="5398665"/>
                </a:cubicBezTo>
                <a:cubicBezTo>
                  <a:pt x="10507462" y="5379436"/>
                  <a:pt x="10492089" y="5363844"/>
                  <a:pt x="10473122" y="5363844"/>
                </a:cubicBezTo>
                <a:close/>
                <a:moveTo>
                  <a:pt x="3773759" y="5448709"/>
                </a:moveTo>
                <a:cubicBezTo>
                  <a:pt x="3754792" y="5448709"/>
                  <a:pt x="3739412" y="5464301"/>
                  <a:pt x="3739412" y="5483530"/>
                </a:cubicBezTo>
                <a:cubicBezTo>
                  <a:pt x="3739412" y="5502758"/>
                  <a:pt x="3754792" y="5518350"/>
                  <a:pt x="3773759" y="5518350"/>
                </a:cubicBezTo>
                <a:cubicBezTo>
                  <a:pt x="3792726" y="5518350"/>
                  <a:pt x="3808106" y="5502758"/>
                  <a:pt x="3808106" y="5483530"/>
                </a:cubicBezTo>
                <a:cubicBezTo>
                  <a:pt x="3808106" y="5464301"/>
                  <a:pt x="3792726" y="5448709"/>
                  <a:pt x="3773759" y="5448709"/>
                </a:cubicBezTo>
                <a:close/>
                <a:moveTo>
                  <a:pt x="3857500" y="5448709"/>
                </a:moveTo>
                <a:cubicBezTo>
                  <a:pt x="3838533" y="5448709"/>
                  <a:pt x="3823154" y="5464301"/>
                  <a:pt x="3823154" y="5483530"/>
                </a:cubicBezTo>
                <a:cubicBezTo>
                  <a:pt x="3823154" y="5502758"/>
                  <a:pt x="3838533" y="5518350"/>
                  <a:pt x="3857500" y="5518350"/>
                </a:cubicBezTo>
                <a:cubicBezTo>
                  <a:pt x="3876467" y="5518350"/>
                  <a:pt x="3891847" y="5502758"/>
                  <a:pt x="3891847" y="5483530"/>
                </a:cubicBezTo>
                <a:cubicBezTo>
                  <a:pt x="3891847" y="5464301"/>
                  <a:pt x="3876467" y="5448709"/>
                  <a:pt x="3857500" y="5448709"/>
                </a:cubicBezTo>
                <a:close/>
                <a:moveTo>
                  <a:pt x="3941242" y="5448709"/>
                </a:moveTo>
                <a:cubicBezTo>
                  <a:pt x="3922275" y="5448709"/>
                  <a:pt x="3906895" y="5464301"/>
                  <a:pt x="3906895" y="5483530"/>
                </a:cubicBezTo>
                <a:cubicBezTo>
                  <a:pt x="3906895" y="5502758"/>
                  <a:pt x="3922275" y="5518350"/>
                  <a:pt x="3941242" y="5518350"/>
                </a:cubicBezTo>
                <a:cubicBezTo>
                  <a:pt x="3960209" y="5518350"/>
                  <a:pt x="3975588" y="5502758"/>
                  <a:pt x="3975588" y="5483530"/>
                </a:cubicBezTo>
                <a:cubicBezTo>
                  <a:pt x="3975588" y="5464301"/>
                  <a:pt x="3960209" y="5448709"/>
                  <a:pt x="3941242" y="5448709"/>
                </a:cubicBezTo>
                <a:close/>
                <a:moveTo>
                  <a:pt x="4024990" y="5448709"/>
                </a:moveTo>
                <a:cubicBezTo>
                  <a:pt x="4006023" y="5448709"/>
                  <a:pt x="3990643" y="5464301"/>
                  <a:pt x="3990643" y="5483530"/>
                </a:cubicBezTo>
                <a:cubicBezTo>
                  <a:pt x="3990643" y="5502758"/>
                  <a:pt x="4006023" y="5518350"/>
                  <a:pt x="4024990" y="5518350"/>
                </a:cubicBezTo>
                <a:cubicBezTo>
                  <a:pt x="4043957" y="5518350"/>
                  <a:pt x="4059337" y="5502758"/>
                  <a:pt x="4059337" y="5483530"/>
                </a:cubicBezTo>
                <a:cubicBezTo>
                  <a:pt x="4059337" y="5464301"/>
                  <a:pt x="4043957" y="5448709"/>
                  <a:pt x="4024990" y="5448709"/>
                </a:cubicBezTo>
                <a:close/>
                <a:moveTo>
                  <a:pt x="4108732" y="5448709"/>
                </a:moveTo>
                <a:cubicBezTo>
                  <a:pt x="4089765" y="5448709"/>
                  <a:pt x="4074386" y="5464301"/>
                  <a:pt x="4074386" y="5483530"/>
                </a:cubicBezTo>
                <a:cubicBezTo>
                  <a:pt x="4074386" y="5502758"/>
                  <a:pt x="4089765" y="5518350"/>
                  <a:pt x="4108732" y="5518350"/>
                </a:cubicBezTo>
                <a:cubicBezTo>
                  <a:pt x="4127699" y="5518350"/>
                  <a:pt x="4143079" y="5502758"/>
                  <a:pt x="4143079" y="5483530"/>
                </a:cubicBezTo>
                <a:cubicBezTo>
                  <a:pt x="4143079" y="5464301"/>
                  <a:pt x="4127699" y="5448709"/>
                  <a:pt x="4108732" y="5448709"/>
                </a:cubicBezTo>
                <a:close/>
                <a:moveTo>
                  <a:pt x="9384480" y="5448709"/>
                </a:moveTo>
                <a:cubicBezTo>
                  <a:pt x="9365513" y="5448709"/>
                  <a:pt x="9350127" y="5464301"/>
                  <a:pt x="9350127" y="5483530"/>
                </a:cubicBezTo>
                <a:cubicBezTo>
                  <a:pt x="9350127" y="5502758"/>
                  <a:pt x="9365513" y="5518350"/>
                  <a:pt x="9384480" y="5518350"/>
                </a:cubicBezTo>
                <a:cubicBezTo>
                  <a:pt x="9403447" y="5518350"/>
                  <a:pt x="9418821" y="5502758"/>
                  <a:pt x="9418821" y="5483530"/>
                </a:cubicBezTo>
                <a:cubicBezTo>
                  <a:pt x="9418821" y="5464301"/>
                  <a:pt x="9403447" y="5448709"/>
                  <a:pt x="9384480" y="5448709"/>
                </a:cubicBezTo>
                <a:close/>
                <a:moveTo>
                  <a:pt x="9468222" y="5448709"/>
                </a:moveTo>
                <a:cubicBezTo>
                  <a:pt x="9449255" y="5448709"/>
                  <a:pt x="9433869" y="5464301"/>
                  <a:pt x="9433869" y="5483530"/>
                </a:cubicBezTo>
                <a:cubicBezTo>
                  <a:pt x="9433869" y="5502758"/>
                  <a:pt x="9449255" y="5518350"/>
                  <a:pt x="9468222" y="5518350"/>
                </a:cubicBezTo>
                <a:cubicBezTo>
                  <a:pt x="9487189" y="5518350"/>
                  <a:pt x="9502562" y="5502758"/>
                  <a:pt x="9502562" y="5483530"/>
                </a:cubicBezTo>
                <a:cubicBezTo>
                  <a:pt x="9502562" y="5464301"/>
                  <a:pt x="9487189" y="5448709"/>
                  <a:pt x="9468222" y="5448709"/>
                </a:cubicBezTo>
                <a:close/>
                <a:moveTo>
                  <a:pt x="9551963" y="5448709"/>
                </a:moveTo>
                <a:cubicBezTo>
                  <a:pt x="9532996" y="5448709"/>
                  <a:pt x="9517610" y="5464301"/>
                  <a:pt x="9517610" y="5483530"/>
                </a:cubicBezTo>
                <a:cubicBezTo>
                  <a:pt x="9517610" y="5502758"/>
                  <a:pt x="9532996" y="5518350"/>
                  <a:pt x="9551963" y="5518350"/>
                </a:cubicBezTo>
                <a:cubicBezTo>
                  <a:pt x="9570930" y="5518350"/>
                  <a:pt x="9586303" y="5502758"/>
                  <a:pt x="9586303" y="5483530"/>
                </a:cubicBezTo>
                <a:cubicBezTo>
                  <a:pt x="9586303" y="5464301"/>
                  <a:pt x="9570930" y="5448709"/>
                  <a:pt x="9551963" y="5448709"/>
                </a:cubicBezTo>
                <a:close/>
                <a:moveTo>
                  <a:pt x="9970671" y="5448709"/>
                </a:moveTo>
                <a:cubicBezTo>
                  <a:pt x="9951704" y="5448709"/>
                  <a:pt x="9936318" y="5464301"/>
                  <a:pt x="9936318" y="5483530"/>
                </a:cubicBezTo>
                <a:cubicBezTo>
                  <a:pt x="9936318" y="5502758"/>
                  <a:pt x="9951704" y="5518350"/>
                  <a:pt x="9970671" y="5518350"/>
                </a:cubicBezTo>
                <a:cubicBezTo>
                  <a:pt x="9989638" y="5518350"/>
                  <a:pt x="10005011" y="5502758"/>
                  <a:pt x="10005011" y="5483530"/>
                </a:cubicBezTo>
                <a:cubicBezTo>
                  <a:pt x="10005011" y="5464301"/>
                  <a:pt x="9989638" y="5448709"/>
                  <a:pt x="9970671" y="5448709"/>
                </a:cubicBezTo>
                <a:close/>
                <a:moveTo>
                  <a:pt x="10054413" y="5448709"/>
                </a:moveTo>
                <a:cubicBezTo>
                  <a:pt x="10035446" y="5448709"/>
                  <a:pt x="10020060" y="5464301"/>
                  <a:pt x="10020060" y="5483530"/>
                </a:cubicBezTo>
                <a:cubicBezTo>
                  <a:pt x="10020060" y="5502758"/>
                  <a:pt x="10035446" y="5518350"/>
                  <a:pt x="10054413" y="5518350"/>
                </a:cubicBezTo>
                <a:cubicBezTo>
                  <a:pt x="10073380" y="5518350"/>
                  <a:pt x="10088754" y="5502758"/>
                  <a:pt x="10088754" y="5483530"/>
                </a:cubicBezTo>
                <a:cubicBezTo>
                  <a:pt x="10088754" y="5464301"/>
                  <a:pt x="10073380" y="5448709"/>
                  <a:pt x="10054413" y="5448709"/>
                </a:cubicBezTo>
                <a:close/>
                <a:moveTo>
                  <a:pt x="10138155" y="5448709"/>
                </a:moveTo>
                <a:cubicBezTo>
                  <a:pt x="10119188" y="5448709"/>
                  <a:pt x="10103802" y="5464301"/>
                  <a:pt x="10103802" y="5483530"/>
                </a:cubicBezTo>
                <a:cubicBezTo>
                  <a:pt x="10103802" y="5502758"/>
                  <a:pt x="10119188" y="5518350"/>
                  <a:pt x="10138155" y="5518350"/>
                </a:cubicBezTo>
                <a:cubicBezTo>
                  <a:pt x="10157122" y="5518350"/>
                  <a:pt x="10172495" y="5502758"/>
                  <a:pt x="10172495" y="5483530"/>
                </a:cubicBezTo>
                <a:cubicBezTo>
                  <a:pt x="10172495" y="5464301"/>
                  <a:pt x="10157122" y="5448709"/>
                  <a:pt x="10138155" y="5448709"/>
                </a:cubicBezTo>
                <a:close/>
                <a:moveTo>
                  <a:pt x="10221896" y="5448709"/>
                </a:moveTo>
                <a:cubicBezTo>
                  <a:pt x="10202929" y="5448709"/>
                  <a:pt x="10187543" y="5464301"/>
                  <a:pt x="10187543" y="5483530"/>
                </a:cubicBezTo>
                <a:cubicBezTo>
                  <a:pt x="10187543" y="5502758"/>
                  <a:pt x="10202929" y="5518350"/>
                  <a:pt x="10221896" y="5518350"/>
                </a:cubicBezTo>
                <a:cubicBezTo>
                  <a:pt x="10240863" y="5518350"/>
                  <a:pt x="10256236" y="5502758"/>
                  <a:pt x="10256236" y="5483530"/>
                </a:cubicBezTo>
                <a:cubicBezTo>
                  <a:pt x="10256236" y="5464301"/>
                  <a:pt x="10240863" y="5448709"/>
                  <a:pt x="10221896" y="5448709"/>
                </a:cubicBezTo>
                <a:close/>
                <a:moveTo>
                  <a:pt x="10305638" y="5448709"/>
                </a:moveTo>
                <a:cubicBezTo>
                  <a:pt x="10286671" y="5448709"/>
                  <a:pt x="10271285" y="5464301"/>
                  <a:pt x="10271285" y="5483530"/>
                </a:cubicBezTo>
                <a:cubicBezTo>
                  <a:pt x="10271285" y="5502758"/>
                  <a:pt x="10286671" y="5518350"/>
                  <a:pt x="10305638" y="5518350"/>
                </a:cubicBezTo>
                <a:cubicBezTo>
                  <a:pt x="10324605" y="5518350"/>
                  <a:pt x="10339978" y="5502758"/>
                  <a:pt x="10339978" y="5483530"/>
                </a:cubicBezTo>
                <a:cubicBezTo>
                  <a:pt x="10339978" y="5464301"/>
                  <a:pt x="10324605" y="5448709"/>
                  <a:pt x="10305638" y="5448709"/>
                </a:cubicBezTo>
                <a:close/>
                <a:moveTo>
                  <a:pt x="10389379" y="5448709"/>
                </a:moveTo>
                <a:cubicBezTo>
                  <a:pt x="10370412" y="5448709"/>
                  <a:pt x="10355026" y="5464301"/>
                  <a:pt x="10355026" y="5483530"/>
                </a:cubicBezTo>
                <a:cubicBezTo>
                  <a:pt x="10355026" y="5502758"/>
                  <a:pt x="10370412" y="5518350"/>
                  <a:pt x="10389379" y="5518350"/>
                </a:cubicBezTo>
                <a:cubicBezTo>
                  <a:pt x="10408346" y="5518350"/>
                  <a:pt x="10423720" y="5502758"/>
                  <a:pt x="10423720" y="5483530"/>
                </a:cubicBezTo>
                <a:cubicBezTo>
                  <a:pt x="10423720" y="5464301"/>
                  <a:pt x="10408346" y="5448709"/>
                  <a:pt x="10389379" y="5448709"/>
                </a:cubicBezTo>
                <a:close/>
                <a:moveTo>
                  <a:pt x="10473122" y="5448709"/>
                </a:moveTo>
                <a:cubicBezTo>
                  <a:pt x="10454155" y="5448709"/>
                  <a:pt x="10438769" y="5464301"/>
                  <a:pt x="10438769" y="5483530"/>
                </a:cubicBezTo>
                <a:cubicBezTo>
                  <a:pt x="10438769" y="5502758"/>
                  <a:pt x="10454155" y="5518350"/>
                  <a:pt x="10473122" y="5518350"/>
                </a:cubicBezTo>
                <a:cubicBezTo>
                  <a:pt x="10492089" y="5518350"/>
                  <a:pt x="10507462" y="5502758"/>
                  <a:pt x="10507462" y="5483530"/>
                </a:cubicBezTo>
                <a:cubicBezTo>
                  <a:pt x="10507462" y="5464301"/>
                  <a:pt x="10492089" y="5448709"/>
                  <a:pt x="10473122" y="5448709"/>
                </a:cubicBezTo>
                <a:close/>
                <a:moveTo>
                  <a:pt x="3690017" y="5533573"/>
                </a:moveTo>
                <a:cubicBezTo>
                  <a:pt x="3671050" y="5533573"/>
                  <a:pt x="3655670" y="5549165"/>
                  <a:pt x="3655670" y="5568393"/>
                </a:cubicBezTo>
                <a:cubicBezTo>
                  <a:pt x="3655670" y="5587622"/>
                  <a:pt x="3671050" y="5603214"/>
                  <a:pt x="3690017" y="5603214"/>
                </a:cubicBezTo>
                <a:cubicBezTo>
                  <a:pt x="3708984" y="5603214"/>
                  <a:pt x="3724364" y="5587622"/>
                  <a:pt x="3724364" y="5568393"/>
                </a:cubicBezTo>
                <a:cubicBezTo>
                  <a:pt x="3724364" y="5549165"/>
                  <a:pt x="3708984" y="5533573"/>
                  <a:pt x="3690017" y="5533573"/>
                </a:cubicBezTo>
                <a:close/>
                <a:moveTo>
                  <a:pt x="3773759" y="5533573"/>
                </a:moveTo>
                <a:cubicBezTo>
                  <a:pt x="3754792" y="5533573"/>
                  <a:pt x="3739412" y="5549165"/>
                  <a:pt x="3739412" y="5568393"/>
                </a:cubicBezTo>
                <a:cubicBezTo>
                  <a:pt x="3739412" y="5587622"/>
                  <a:pt x="3754792" y="5603214"/>
                  <a:pt x="3773759" y="5603214"/>
                </a:cubicBezTo>
                <a:cubicBezTo>
                  <a:pt x="3792726" y="5603214"/>
                  <a:pt x="3808106" y="5587622"/>
                  <a:pt x="3808106" y="5568393"/>
                </a:cubicBezTo>
                <a:cubicBezTo>
                  <a:pt x="3808106" y="5549165"/>
                  <a:pt x="3792726" y="5533573"/>
                  <a:pt x="3773759" y="5533573"/>
                </a:cubicBezTo>
                <a:close/>
                <a:moveTo>
                  <a:pt x="3857500" y="5533573"/>
                </a:moveTo>
                <a:cubicBezTo>
                  <a:pt x="3838533" y="5533573"/>
                  <a:pt x="3823154" y="5549165"/>
                  <a:pt x="3823154" y="5568393"/>
                </a:cubicBezTo>
                <a:cubicBezTo>
                  <a:pt x="3823154" y="5587622"/>
                  <a:pt x="3838533" y="5603214"/>
                  <a:pt x="3857500" y="5603214"/>
                </a:cubicBezTo>
                <a:cubicBezTo>
                  <a:pt x="3876467" y="5603214"/>
                  <a:pt x="3891847" y="5587622"/>
                  <a:pt x="3891847" y="5568393"/>
                </a:cubicBezTo>
                <a:cubicBezTo>
                  <a:pt x="3891847" y="5549165"/>
                  <a:pt x="3876467" y="5533573"/>
                  <a:pt x="3857500" y="5533573"/>
                </a:cubicBezTo>
                <a:close/>
                <a:moveTo>
                  <a:pt x="3941242" y="5533573"/>
                </a:moveTo>
                <a:cubicBezTo>
                  <a:pt x="3922275" y="5533573"/>
                  <a:pt x="3906895" y="5549165"/>
                  <a:pt x="3906895" y="5568393"/>
                </a:cubicBezTo>
                <a:cubicBezTo>
                  <a:pt x="3906895" y="5587622"/>
                  <a:pt x="3922275" y="5603214"/>
                  <a:pt x="3941242" y="5603214"/>
                </a:cubicBezTo>
                <a:cubicBezTo>
                  <a:pt x="3960209" y="5603214"/>
                  <a:pt x="3975588" y="5587622"/>
                  <a:pt x="3975588" y="5568393"/>
                </a:cubicBezTo>
                <a:cubicBezTo>
                  <a:pt x="3975588" y="5549165"/>
                  <a:pt x="3960209" y="5533573"/>
                  <a:pt x="3941242" y="5533573"/>
                </a:cubicBezTo>
                <a:close/>
                <a:moveTo>
                  <a:pt x="4024990" y="5533573"/>
                </a:moveTo>
                <a:cubicBezTo>
                  <a:pt x="4006023" y="5533573"/>
                  <a:pt x="3990643" y="5549165"/>
                  <a:pt x="3990643" y="5568393"/>
                </a:cubicBezTo>
                <a:cubicBezTo>
                  <a:pt x="3990643" y="5587622"/>
                  <a:pt x="4006023" y="5603214"/>
                  <a:pt x="4024990" y="5603214"/>
                </a:cubicBezTo>
                <a:cubicBezTo>
                  <a:pt x="4043957" y="5603214"/>
                  <a:pt x="4059337" y="5587622"/>
                  <a:pt x="4059337" y="5568393"/>
                </a:cubicBezTo>
                <a:cubicBezTo>
                  <a:pt x="4059337" y="5549165"/>
                  <a:pt x="4043957" y="5533573"/>
                  <a:pt x="4024990" y="5533573"/>
                </a:cubicBezTo>
                <a:close/>
                <a:moveTo>
                  <a:pt x="4108732" y="5533573"/>
                </a:moveTo>
                <a:cubicBezTo>
                  <a:pt x="4089765" y="5533573"/>
                  <a:pt x="4074386" y="5549165"/>
                  <a:pt x="4074386" y="5568393"/>
                </a:cubicBezTo>
                <a:cubicBezTo>
                  <a:pt x="4074386" y="5587622"/>
                  <a:pt x="4089765" y="5603214"/>
                  <a:pt x="4108732" y="5603214"/>
                </a:cubicBezTo>
                <a:cubicBezTo>
                  <a:pt x="4127699" y="5603214"/>
                  <a:pt x="4143079" y="5587622"/>
                  <a:pt x="4143079" y="5568393"/>
                </a:cubicBezTo>
                <a:cubicBezTo>
                  <a:pt x="4143079" y="5549165"/>
                  <a:pt x="4127699" y="5533573"/>
                  <a:pt x="4108732" y="5533573"/>
                </a:cubicBezTo>
                <a:close/>
                <a:moveTo>
                  <a:pt x="10054413" y="5533573"/>
                </a:moveTo>
                <a:cubicBezTo>
                  <a:pt x="10035446" y="5533573"/>
                  <a:pt x="10020060" y="5549165"/>
                  <a:pt x="10020060" y="5568393"/>
                </a:cubicBezTo>
                <a:cubicBezTo>
                  <a:pt x="10020060" y="5587622"/>
                  <a:pt x="10035446" y="5603214"/>
                  <a:pt x="10054413" y="5603214"/>
                </a:cubicBezTo>
                <a:cubicBezTo>
                  <a:pt x="10073380" y="5603214"/>
                  <a:pt x="10088754" y="5587622"/>
                  <a:pt x="10088754" y="5568393"/>
                </a:cubicBezTo>
                <a:cubicBezTo>
                  <a:pt x="10088754" y="5549165"/>
                  <a:pt x="10073380" y="5533573"/>
                  <a:pt x="10054413" y="5533573"/>
                </a:cubicBezTo>
                <a:close/>
                <a:moveTo>
                  <a:pt x="10138155" y="5533573"/>
                </a:moveTo>
                <a:cubicBezTo>
                  <a:pt x="10119188" y="5533573"/>
                  <a:pt x="10103802" y="5549165"/>
                  <a:pt x="10103802" y="5568393"/>
                </a:cubicBezTo>
                <a:cubicBezTo>
                  <a:pt x="10103802" y="5587622"/>
                  <a:pt x="10119188" y="5603214"/>
                  <a:pt x="10138155" y="5603214"/>
                </a:cubicBezTo>
                <a:cubicBezTo>
                  <a:pt x="10157122" y="5603214"/>
                  <a:pt x="10172495" y="5587622"/>
                  <a:pt x="10172495" y="5568393"/>
                </a:cubicBezTo>
                <a:cubicBezTo>
                  <a:pt x="10172495" y="5549165"/>
                  <a:pt x="10157122" y="5533573"/>
                  <a:pt x="10138155" y="5533573"/>
                </a:cubicBezTo>
                <a:close/>
                <a:moveTo>
                  <a:pt x="10221896" y="5533573"/>
                </a:moveTo>
                <a:cubicBezTo>
                  <a:pt x="10202929" y="5533573"/>
                  <a:pt x="10187543" y="5549165"/>
                  <a:pt x="10187543" y="5568393"/>
                </a:cubicBezTo>
                <a:cubicBezTo>
                  <a:pt x="10187543" y="5587622"/>
                  <a:pt x="10202929" y="5603214"/>
                  <a:pt x="10221896" y="5603214"/>
                </a:cubicBezTo>
                <a:cubicBezTo>
                  <a:pt x="10240863" y="5603214"/>
                  <a:pt x="10256236" y="5587622"/>
                  <a:pt x="10256236" y="5568393"/>
                </a:cubicBezTo>
                <a:cubicBezTo>
                  <a:pt x="10256236" y="5549165"/>
                  <a:pt x="10240863" y="5533573"/>
                  <a:pt x="10221896" y="5533573"/>
                </a:cubicBezTo>
                <a:close/>
                <a:moveTo>
                  <a:pt x="10305638" y="5533573"/>
                </a:moveTo>
                <a:cubicBezTo>
                  <a:pt x="10286671" y="5533573"/>
                  <a:pt x="10271285" y="5549165"/>
                  <a:pt x="10271285" y="5568393"/>
                </a:cubicBezTo>
                <a:cubicBezTo>
                  <a:pt x="10271285" y="5587622"/>
                  <a:pt x="10286671" y="5603214"/>
                  <a:pt x="10305638" y="5603214"/>
                </a:cubicBezTo>
                <a:cubicBezTo>
                  <a:pt x="10324605" y="5603214"/>
                  <a:pt x="10339978" y="5587622"/>
                  <a:pt x="10339978" y="5568393"/>
                </a:cubicBezTo>
                <a:cubicBezTo>
                  <a:pt x="10339978" y="5549165"/>
                  <a:pt x="10324605" y="5533573"/>
                  <a:pt x="10305638" y="5533573"/>
                </a:cubicBezTo>
                <a:close/>
                <a:moveTo>
                  <a:pt x="10389379" y="5533573"/>
                </a:moveTo>
                <a:cubicBezTo>
                  <a:pt x="10370412" y="5533573"/>
                  <a:pt x="10355026" y="5549165"/>
                  <a:pt x="10355026" y="5568393"/>
                </a:cubicBezTo>
                <a:cubicBezTo>
                  <a:pt x="10355026" y="5587622"/>
                  <a:pt x="10370412" y="5603214"/>
                  <a:pt x="10389379" y="5603214"/>
                </a:cubicBezTo>
                <a:cubicBezTo>
                  <a:pt x="10408346" y="5603214"/>
                  <a:pt x="10423720" y="5587622"/>
                  <a:pt x="10423720" y="5568393"/>
                </a:cubicBezTo>
                <a:cubicBezTo>
                  <a:pt x="10423720" y="5549165"/>
                  <a:pt x="10408346" y="5533573"/>
                  <a:pt x="10389379" y="5533573"/>
                </a:cubicBezTo>
                <a:close/>
                <a:moveTo>
                  <a:pt x="3773759" y="5618437"/>
                </a:moveTo>
                <a:cubicBezTo>
                  <a:pt x="3754792" y="5618437"/>
                  <a:pt x="3739412" y="5634028"/>
                  <a:pt x="3739412" y="5653257"/>
                </a:cubicBezTo>
                <a:cubicBezTo>
                  <a:pt x="3739412" y="5672486"/>
                  <a:pt x="3754792" y="5688077"/>
                  <a:pt x="3773759" y="5688077"/>
                </a:cubicBezTo>
                <a:cubicBezTo>
                  <a:pt x="3792726" y="5688077"/>
                  <a:pt x="3808106" y="5672486"/>
                  <a:pt x="3808106" y="5653257"/>
                </a:cubicBezTo>
                <a:cubicBezTo>
                  <a:pt x="3808106" y="5634028"/>
                  <a:pt x="3792726" y="5618437"/>
                  <a:pt x="3773759" y="5618437"/>
                </a:cubicBezTo>
                <a:close/>
                <a:moveTo>
                  <a:pt x="3857500" y="5618437"/>
                </a:moveTo>
                <a:cubicBezTo>
                  <a:pt x="3838533" y="5618437"/>
                  <a:pt x="3823154" y="5634028"/>
                  <a:pt x="3823154" y="5653257"/>
                </a:cubicBezTo>
                <a:cubicBezTo>
                  <a:pt x="3823154" y="5672486"/>
                  <a:pt x="3838533" y="5688077"/>
                  <a:pt x="3857500" y="5688077"/>
                </a:cubicBezTo>
                <a:cubicBezTo>
                  <a:pt x="3876467" y="5688077"/>
                  <a:pt x="3891847" y="5672486"/>
                  <a:pt x="3891847" y="5653257"/>
                </a:cubicBezTo>
                <a:cubicBezTo>
                  <a:pt x="3891847" y="5634028"/>
                  <a:pt x="3876467" y="5618437"/>
                  <a:pt x="3857500" y="5618437"/>
                </a:cubicBezTo>
                <a:close/>
                <a:moveTo>
                  <a:pt x="3941242" y="5618437"/>
                </a:moveTo>
                <a:cubicBezTo>
                  <a:pt x="3922275" y="5618437"/>
                  <a:pt x="3906895" y="5634028"/>
                  <a:pt x="3906895" y="5653257"/>
                </a:cubicBezTo>
                <a:cubicBezTo>
                  <a:pt x="3906895" y="5672486"/>
                  <a:pt x="3922275" y="5688077"/>
                  <a:pt x="3941242" y="5688077"/>
                </a:cubicBezTo>
                <a:cubicBezTo>
                  <a:pt x="3960209" y="5688077"/>
                  <a:pt x="3975588" y="5672486"/>
                  <a:pt x="3975588" y="5653257"/>
                </a:cubicBezTo>
                <a:cubicBezTo>
                  <a:pt x="3975588" y="5634028"/>
                  <a:pt x="3960209" y="5618437"/>
                  <a:pt x="3941242" y="5618437"/>
                </a:cubicBezTo>
                <a:close/>
                <a:moveTo>
                  <a:pt x="4024990" y="5618437"/>
                </a:moveTo>
                <a:cubicBezTo>
                  <a:pt x="4006023" y="5618437"/>
                  <a:pt x="3990643" y="5634028"/>
                  <a:pt x="3990643" y="5653257"/>
                </a:cubicBezTo>
                <a:cubicBezTo>
                  <a:pt x="3990643" y="5672486"/>
                  <a:pt x="4006023" y="5688077"/>
                  <a:pt x="4024990" y="5688077"/>
                </a:cubicBezTo>
                <a:cubicBezTo>
                  <a:pt x="4043957" y="5688077"/>
                  <a:pt x="4059337" y="5672486"/>
                  <a:pt x="4059337" y="5653257"/>
                </a:cubicBezTo>
                <a:cubicBezTo>
                  <a:pt x="4059337" y="5634028"/>
                  <a:pt x="4043957" y="5618437"/>
                  <a:pt x="4024990" y="5618437"/>
                </a:cubicBezTo>
                <a:close/>
                <a:moveTo>
                  <a:pt x="10138155" y="5618437"/>
                </a:moveTo>
                <a:cubicBezTo>
                  <a:pt x="10119188" y="5618437"/>
                  <a:pt x="10103802" y="5634028"/>
                  <a:pt x="10103802" y="5653257"/>
                </a:cubicBezTo>
                <a:cubicBezTo>
                  <a:pt x="10103802" y="5672486"/>
                  <a:pt x="10119188" y="5688077"/>
                  <a:pt x="10138155" y="5688077"/>
                </a:cubicBezTo>
                <a:cubicBezTo>
                  <a:pt x="10157122" y="5688077"/>
                  <a:pt x="10172495" y="5672486"/>
                  <a:pt x="10172495" y="5653257"/>
                </a:cubicBezTo>
                <a:cubicBezTo>
                  <a:pt x="10172495" y="5634028"/>
                  <a:pt x="10157122" y="5618437"/>
                  <a:pt x="10138155" y="5618437"/>
                </a:cubicBezTo>
                <a:close/>
                <a:moveTo>
                  <a:pt x="10221896" y="5618437"/>
                </a:moveTo>
                <a:cubicBezTo>
                  <a:pt x="10202929" y="5618437"/>
                  <a:pt x="10187543" y="5634028"/>
                  <a:pt x="10187543" y="5653257"/>
                </a:cubicBezTo>
                <a:cubicBezTo>
                  <a:pt x="10187543" y="5672486"/>
                  <a:pt x="10202929" y="5688077"/>
                  <a:pt x="10221896" y="5688077"/>
                </a:cubicBezTo>
                <a:cubicBezTo>
                  <a:pt x="10240863" y="5688077"/>
                  <a:pt x="10256236" y="5672486"/>
                  <a:pt x="10256236" y="5653257"/>
                </a:cubicBezTo>
                <a:cubicBezTo>
                  <a:pt x="10256236" y="5634028"/>
                  <a:pt x="10240863" y="5618437"/>
                  <a:pt x="10221896" y="5618437"/>
                </a:cubicBezTo>
                <a:close/>
                <a:moveTo>
                  <a:pt x="10305638" y="5618437"/>
                </a:moveTo>
                <a:cubicBezTo>
                  <a:pt x="10286671" y="5618437"/>
                  <a:pt x="10271285" y="5634028"/>
                  <a:pt x="10271285" y="5653257"/>
                </a:cubicBezTo>
                <a:cubicBezTo>
                  <a:pt x="10271285" y="5672486"/>
                  <a:pt x="10286671" y="5688077"/>
                  <a:pt x="10305638" y="5688077"/>
                </a:cubicBezTo>
                <a:cubicBezTo>
                  <a:pt x="10324605" y="5688077"/>
                  <a:pt x="10339978" y="5672486"/>
                  <a:pt x="10339978" y="5653257"/>
                </a:cubicBezTo>
                <a:cubicBezTo>
                  <a:pt x="10339978" y="5634028"/>
                  <a:pt x="10324605" y="5618437"/>
                  <a:pt x="10305638" y="5618437"/>
                </a:cubicBezTo>
                <a:close/>
                <a:moveTo>
                  <a:pt x="10389379" y="5618437"/>
                </a:moveTo>
                <a:cubicBezTo>
                  <a:pt x="10370412" y="5618437"/>
                  <a:pt x="10355026" y="5634028"/>
                  <a:pt x="10355026" y="5653257"/>
                </a:cubicBezTo>
                <a:cubicBezTo>
                  <a:pt x="10355026" y="5672486"/>
                  <a:pt x="10370412" y="5688077"/>
                  <a:pt x="10389379" y="5688077"/>
                </a:cubicBezTo>
                <a:cubicBezTo>
                  <a:pt x="10408346" y="5688077"/>
                  <a:pt x="10423720" y="5672486"/>
                  <a:pt x="10423720" y="5653257"/>
                </a:cubicBezTo>
                <a:cubicBezTo>
                  <a:pt x="10423720" y="5634028"/>
                  <a:pt x="10408346" y="5618437"/>
                  <a:pt x="10389379" y="5618437"/>
                </a:cubicBezTo>
                <a:close/>
                <a:moveTo>
                  <a:pt x="3773759" y="5703300"/>
                </a:moveTo>
                <a:cubicBezTo>
                  <a:pt x="3754792" y="5703300"/>
                  <a:pt x="3739412" y="5718892"/>
                  <a:pt x="3739412" y="5738121"/>
                </a:cubicBezTo>
                <a:cubicBezTo>
                  <a:pt x="3739412" y="5757349"/>
                  <a:pt x="3754792" y="5772941"/>
                  <a:pt x="3773759" y="5772941"/>
                </a:cubicBezTo>
                <a:cubicBezTo>
                  <a:pt x="3792726" y="5772941"/>
                  <a:pt x="3808106" y="5757349"/>
                  <a:pt x="3808106" y="5738121"/>
                </a:cubicBezTo>
                <a:cubicBezTo>
                  <a:pt x="3808106" y="5718892"/>
                  <a:pt x="3792726" y="5703300"/>
                  <a:pt x="3773759" y="5703300"/>
                </a:cubicBezTo>
                <a:close/>
                <a:moveTo>
                  <a:pt x="3857500" y="5703300"/>
                </a:moveTo>
                <a:cubicBezTo>
                  <a:pt x="3838533" y="5703300"/>
                  <a:pt x="3823154" y="5718892"/>
                  <a:pt x="3823154" y="5738121"/>
                </a:cubicBezTo>
                <a:cubicBezTo>
                  <a:pt x="3823154" y="5757349"/>
                  <a:pt x="3838533" y="5772941"/>
                  <a:pt x="3857500" y="5772941"/>
                </a:cubicBezTo>
                <a:cubicBezTo>
                  <a:pt x="3876467" y="5772941"/>
                  <a:pt x="3891847" y="5757349"/>
                  <a:pt x="3891847" y="5738121"/>
                </a:cubicBezTo>
                <a:cubicBezTo>
                  <a:pt x="3891847" y="5718892"/>
                  <a:pt x="3876467" y="5703300"/>
                  <a:pt x="3857500" y="5703300"/>
                </a:cubicBezTo>
                <a:close/>
                <a:moveTo>
                  <a:pt x="3941242" y="5703300"/>
                </a:moveTo>
                <a:cubicBezTo>
                  <a:pt x="3922275" y="5703300"/>
                  <a:pt x="3906895" y="5718892"/>
                  <a:pt x="3906895" y="5738121"/>
                </a:cubicBezTo>
                <a:cubicBezTo>
                  <a:pt x="3906895" y="5757349"/>
                  <a:pt x="3922275" y="5772941"/>
                  <a:pt x="3941242" y="5772941"/>
                </a:cubicBezTo>
                <a:cubicBezTo>
                  <a:pt x="3960209" y="5772941"/>
                  <a:pt x="3975588" y="5757349"/>
                  <a:pt x="3975588" y="5738121"/>
                </a:cubicBezTo>
                <a:cubicBezTo>
                  <a:pt x="3975588" y="5718892"/>
                  <a:pt x="3960209" y="5703300"/>
                  <a:pt x="3941242" y="5703300"/>
                </a:cubicBezTo>
                <a:close/>
                <a:moveTo>
                  <a:pt x="10138155" y="5703300"/>
                </a:moveTo>
                <a:cubicBezTo>
                  <a:pt x="10119188" y="5703300"/>
                  <a:pt x="10103802" y="5718892"/>
                  <a:pt x="10103802" y="5738121"/>
                </a:cubicBezTo>
                <a:cubicBezTo>
                  <a:pt x="10103802" y="5757349"/>
                  <a:pt x="10119188" y="5772941"/>
                  <a:pt x="10138155" y="5772941"/>
                </a:cubicBezTo>
                <a:cubicBezTo>
                  <a:pt x="10157122" y="5772941"/>
                  <a:pt x="10172495" y="5757349"/>
                  <a:pt x="10172495" y="5738121"/>
                </a:cubicBezTo>
                <a:cubicBezTo>
                  <a:pt x="10172495" y="5718892"/>
                  <a:pt x="10157122" y="5703300"/>
                  <a:pt x="10138155" y="5703300"/>
                </a:cubicBezTo>
                <a:close/>
                <a:moveTo>
                  <a:pt x="10221896" y="5703300"/>
                </a:moveTo>
                <a:cubicBezTo>
                  <a:pt x="10202929" y="5703300"/>
                  <a:pt x="10187543" y="5718892"/>
                  <a:pt x="10187543" y="5738121"/>
                </a:cubicBezTo>
                <a:cubicBezTo>
                  <a:pt x="10187543" y="5757349"/>
                  <a:pt x="10202929" y="5772941"/>
                  <a:pt x="10221896" y="5772941"/>
                </a:cubicBezTo>
                <a:cubicBezTo>
                  <a:pt x="10240863" y="5772941"/>
                  <a:pt x="10256236" y="5757349"/>
                  <a:pt x="10256236" y="5738121"/>
                </a:cubicBezTo>
                <a:cubicBezTo>
                  <a:pt x="10256236" y="5718892"/>
                  <a:pt x="10240863" y="5703300"/>
                  <a:pt x="10221896" y="5703300"/>
                </a:cubicBezTo>
                <a:close/>
                <a:moveTo>
                  <a:pt x="10305638" y="5703300"/>
                </a:moveTo>
                <a:cubicBezTo>
                  <a:pt x="10286671" y="5703300"/>
                  <a:pt x="10271285" y="5718892"/>
                  <a:pt x="10271285" y="5738121"/>
                </a:cubicBezTo>
                <a:cubicBezTo>
                  <a:pt x="10271285" y="5757349"/>
                  <a:pt x="10286671" y="5772941"/>
                  <a:pt x="10305638" y="5772941"/>
                </a:cubicBezTo>
                <a:cubicBezTo>
                  <a:pt x="10324605" y="5772941"/>
                  <a:pt x="10339978" y="5757349"/>
                  <a:pt x="10339978" y="5738121"/>
                </a:cubicBezTo>
                <a:cubicBezTo>
                  <a:pt x="10339978" y="5718892"/>
                  <a:pt x="10324605" y="5703300"/>
                  <a:pt x="10305638" y="5703300"/>
                </a:cubicBezTo>
                <a:close/>
                <a:moveTo>
                  <a:pt x="11143055" y="5703300"/>
                </a:moveTo>
                <a:cubicBezTo>
                  <a:pt x="11124088" y="5703300"/>
                  <a:pt x="11108702" y="5718892"/>
                  <a:pt x="11108702" y="5738121"/>
                </a:cubicBezTo>
                <a:cubicBezTo>
                  <a:pt x="11108702" y="5757349"/>
                  <a:pt x="11124088" y="5772941"/>
                  <a:pt x="11143055" y="5772941"/>
                </a:cubicBezTo>
                <a:cubicBezTo>
                  <a:pt x="11162022" y="5772941"/>
                  <a:pt x="11177395" y="5757349"/>
                  <a:pt x="11177395" y="5738121"/>
                </a:cubicBezTo>
                <a:cubicBezTo>
                  <a:pt x="11177395" y="5718892"/>
                  <a:pt x="11162022" y="5703300"/>
                  <a:pt x="11143055" y="5703300"/>
                </a:cubicBezTo>
                <a:close/>
                <a:moveTo>
                  <a:pt x="3773759" y="5788164"/>
                </a:moveTo>
                <a:cubicBezTo>
                  <a:pt x="3754792" y="5788164"/>
                  <a:pt x="3739412" y="5803756"/>
                  <a:pt x="3739412" y="5822985"/>
                </a:cubicBezTo>
                <a:cubicBezTo>
                  <a:pt x="3739412" y="5842213"/>
                  <a:pt x="3754792" y="5857805"/>
                  <a:pt x="3773759" y="5857805"/>
                </a:cubicBezTo>
                <a:cubicBezTo>
                  <a:pt x="3792726" y="5857805"/>
                  <a:pt x="3808106" y="5842213"/>
                  <a:pt x="3808106" y="5822985"/>
                </a:cubicBezTo>
                <a:cubicBezTo>
                  <a:pt x="3808106" y="5803756"/>
                  <a:pt x="3792726" y="5788164"/>
                  <a:pt x="3773759" y="5788164"/>
                </a:cubicBezTo>
                <a:close/>
                <a:moveTo>
                  <a:pt x="3857500" y="5788164"/>
                </a:moveTo>
                <a:cubicBezTo>
                  <a:pt x="3838533" y="5788164"/>
                  <a:pt x="3823154" y="5803756"/>
                  <a:pt x="3823154" y="5822985"/>
                </a:cubicBezTo>
                <a:cubicBezTo>
                  <a:pt x="3823154" y="5842213"/>
                  <a:pt x="3838533" y="5857805"/>
                  <a:pt x="3857500" y="5857805"/>
                </a:cubicBezTo>
                <a:cubicBezTo>
                  <a:pt x="3876467" y="5857805"/>
                  <a:pt x="3891847" y="5842213"/>
                  <a:pt x="3891847" y="5822985"/>
                </a:cubicBezTo>
                <a:cubicBezTo>
                  <a:pt x="3891847" y="5803756"/>
                  <a:pt x="3876467" y="5788164"/>
                  <a:pt x="3857500" y="5788164"/>
                </a:cubicBezTo>
                <a:close/>
                <a:moveTo>
                  <a:pt x="3941242" y="5788164"/>
                </a:moveTo>
                <a:cubicBezTo>
                  <a:pt x="3922275" y="5788164"/>
                  <a:pt x="3906895" y="5803756"/>
                  <a:pt x="3906895" y="5822985"/>
                </a:cubicBezTo>
                <a:cubicBezTo>
                  <a:pt x="3906895" y="5842213"/>
                  <a:pt x="3922275" y="5857805"/>
                  <a:pt x="3941242" y="5857805"/>
                </a:cubicBezTo>
                <a:cubicBezTo>
                  <a:pt x="3960209" y="5857805"/>
                  <a:pt x="3975588" y="5842213"/>
                  <a:pt x="3975588" y="5822985"/>
                </a:cubicBezTo>
                <a:cubicBezTo>
                  <a:pt x="3975588" y="5803756"/>
                  <a:pt x="3960209" y="5788164"/>
                  <a:pt x="3941242" y="5788164"/>
                </a:cubicBezTo>
                <a:close/>
                <a:moveTo>
                  <a:pt x="11143055" y="5788164"/>
                </a:moveTo>
                <a:cubicBezTo>
                  <a:pt x="11124088" y="5788164"/>
                  <a:pt x="11108702" y="5803756"/>
                  <a:pt x="11108702" y="5822985"/>
                </a:cubicBezTo>
                <a:cubicBezTo>
                  <a:pt x="11108702" y="5842213"/>
                  <a:pt x="11124088" y="5857805"/>
                  <a:pt x="11143055" y="5857805"/>
                </a:cubicBezTo>
                <a:cubicBezTo>
                  <a:pt x="11162022" y="5857805"/>
                  <a:pt x="11177395" y="5842213"/>
                  <a:pt x="11177395" y="5822985"/>
                </a:cubicBezTo>
                <a:cubicBezTo>
                  <a:pt x="11177395" y="5803756"/>
                  <a:pt x="11162022" y="5788164"/>
                  <a:pt x="11143055" y="5788164"/>
                </a:cubicBezTo>
                <a:close/>
                <a:moveTo>
                  <a:pt x="3773759" y="5873029"/>
                </a:moveTo>
                <a:cubicBezTo>
                  <a:pt x="3754792" y="5873029"/>
                  <a:pt x="3739412" y="5888621"/>
                  <a:pt x="3739412" y="5907849"/>
                </a:cubicBezTo>
                <a:cubicBezTo>
                  <a:pt x="3739412" y="5927078"/>
                  <a:pt x="3754792" y="5942670"/>
                  <a:pt x="3773759" y="5942670"/>
                </a:cubicBezTo>
                <a:cubicBezTo>
                  <a:pt x="3792726" y="5942670"/>
                  <a:pt x="3808106" y="5927078"/>
                  <a:pt x="3808106" y="5907849"/>
                </a:cubicBezTo>
                <a:cubicBezTo>
                  <a:pt x="3808106" y="5888621"/>
                  <a:pt x="3792726" y="5873029"/>
                  <a:pt x="3773759" y="5873029"/>
                </a:cubicBezTo>
                <a:close/>
                <a:moveTo>
                  <a:pt x="3857500" y="5873029"/>
                </a:moveTo>
                <a:cubicBezTo>
                  <a:pt x="3838533" y="5873029"/>
                  <a:pt x="3823154" y="5888621"/>
                  <a:pt x="3823154" y="5907849"/>
                </a:cubicBezTo>
                <a:cubicBezTo>
                  <a:pt x="3823154" y="5927078"/>
                  <a:pt x="3838533" y="5942670"/>
                  <a:pt x="3857500" y="5942670"/>
                </a:cubicBezTo>
                <a:cubicBezTo>
                  <a:pt x="3876467" y="5942670"/>
                  <a:pt x="3891847" y="5927078"/>
                  <a:pt x="3891847" y="5907849"/>
                </a:cubicBezTo>
                <a:cubicBezTo>
                  <a:pt x="3891847" y="5888621"/>
                  <a:pt x="3876467" y="5873029"/>
                  <a:pt x="3857500" y="5873029"/>
                </a:cubicBezTo>
                <a:close/>
                <a:moveTo>
                  <a:pt x="10221896" y="5873029"/>
                </a:moveTo>
                <a:cubicBezTo>
                  <a:pt x="10202929" y="5873029"/>
                  <a:pt x="10187543" y="5888621"/>
                  <a:pt x="10187543" y="5907849"/>
                </a:cubicBezTo>
                <a:cubicBezTo>
                  <a:pt x="10187543" y="5927078"/>
                  <a:pt x="10202929" y="5942670"/>
                  <a:pt x="10221896" y="5942670"/>
                </a:cubicBezTo>
                <a:cubicBezTo>
                  <a:pt x="10240863" y="5942670"/>
                  <a:pt x="10256236" y="5927078"/>
                  <a:pt x="10256236" y="5907849"/>
                </a:cubicBezTo>
                <a:cubicBezTo>
                  <a:pt x="10256236" y="5888621"/>
                  <a:pt x="10240863" y="5873029"/>
                  <a:pt x="10221896" y="5873029"/>
                </a:cubicBezTo>
                <a:close/>
                <a:moveTo>
                  <a:pt x="11143055" y="5873029"/>
                </a:moveTo>
                <a:cubicBezTo>
                  <a:pt x="11124088" y="5873029"/>
                  <a:pt x="11108702" y="5888621"/>
                  <a:pt x="11108702" y="5907849"/>
                </a:cubicBezTo>
                <a:cubicBezTo>
                  <a:pt x="11108702" y="5927078"/>
                  <a:pt x="11124088" y="5942670"/>
                  <a:pt x="11143055" y="5942670"/>
                </a:cubicBezTo>
                <a:cubicBezTo>
                  <a:pt x="11162022" y="5942670"/>
                  <a:pt x="11177395" y="5927078"/>
                  <a:pt x="11177395" y="5907849"/>
                </a:cubicBezTo>
                <a:cubicBezTo>
                  <a:pt x="11177395" y="5888621"/>
                  <a:pt x="11162022" y="5873029"/>
                  <a:pt x="11143055" y="5873029"/>
                </a:cubicBezTo>
                <a:close/>
                <a:moveTo>
                  <a:pt x="3773759" y="5957893"/>
                </a:moveTo>
                <a:cubicBezTo>
                  <a:pt x="3754792" y="5957893"/>
                  <a:pt x="3739412" y="5973484"/>
                  <a:pt x="3739412" y="5992713"/>
                </a:cubicBezTo>
                <a:cubicBezTo>
                  <a:pt x="3739412" y="6011942"/>
                  <a:pt x="3754792" y="6027533"/>
                  <a:pt x="3773759" y="6027533"/>
                </a:cubicBezTo>
                <a:cubicBezTo>
                  <a:pt x="3792726" y="6027533"/>
                  <a:pt x="3808106" y="6011942"/>
                  <a:pt x="3808106" y="5992713"/>
                </a:cubicBezTo>
                <a:cubicBezTo>
                  <a:pt x="3808106" y="5973484"/>
                  <a:pt x="3792726" y="5957893"/>
                  <a:pt x="3773759" y="5957893"/>
                </a:cubicBezTo>
                <a:close/>
                <a:moveTo>
                  <a:pt x="3857500" y="5957893"/>
                </a:moveTo>
                <a:cubicBezTo>
                  <a:pt x="3838533" y="5957893"/>
                  <a:pt x="3823154" y="5973484"/>
                  <a:pt x="3823154" y="5992713"/>
                </a:cubicBezTo>
                <a:cubicBezTo>
                  <a:pt x="3823154" y="6011942"/>
                  <a:pt x="3838533" y="6027533"/>
                  <a:pt x="3857500" y="6027533"/>
                </a:cubicBezTo>
                <a:cubicBezTo>
                  <a:pt x="3876467" y="6027533"/>
                  <a:pt x="3891847" y="6011942"/>
                  <a:pt x="3891847" y="5992713"/>
                </a:cubicBezTo>
                <a:cubicBezTo>
                  <a:pt x="3891847" y="5973484"/>
                  <a:pt x="3876467" y="5957893"/>
                  <a:pt x="3857500" y="5957893"/>
                </a:cubicBezTo>
                <a:close/>
                <a:moveTo>
                  <a:pt x="3941242" y="5957893"/>
                </a:moveTo>
                <a:cubicBezTo>
                  <a:pt x="3922275" y="5957893"/>
                  <a:pt x="3906895" y="5973484"/>
                  <a:pt x="3906895" y="5992713"/>
                </a:cubicBezTo>
                <a:cubicBezTo>
                  <a:pt x="3906895" y="6011942"/>
                  <a:pt x="3922275" y="6027533"/>
                  <a:pt x="3941242" y="6027533"/>
                </a:cubicBezTo>
                <a:cubicBezTo>
                  <a:pt x="3960209" y="6027533"/>
                  <a:pt x="3975588" y="6011942"/>
                  <a:pt x="3975588" y="5992713"/>
                </a:cubicBezTo>
                <a:cubicBezTo>
                  <a:pt x="3975588" y="5973484"/>
                  <a:pt x="3960209" y="5957893"/>
                  <a:pt x="3941242" y="5957893"/>
                </a:cubicBezTo>
                <a:close/>
                <a:moveTo>
                  <a:pt x="10221896" y="5957893"/>
                </a:moveTo>
                <a:cubicBezTo>
                  <a:pt x="10202929" y="5957893"/>
                  <a:pt x="10187543" y="5973484"/>
                  <a:pt x="10187543" y="5992713"/>
                </a:cubicBezTo>
                <a:cubicBezTo>
                  <a:pt x="10187543" y="6011942"/>
                  <a:pt x="10202929" y="6027533"/>
                  <a:pt x="10221896" y="6027533"/>
                </a:cubicBezTo>
                <a:cubicBezTo>
                  <a:pt x="10240863" y="6027533"/>
                  <a:pt x="10256236" y="6011942"/>
                  <a:pt x="10256236" y="5992713"/>
                </a:cubicBezTo>
                <a:cubicBezTo>
                  <a:pt x="10256236" y="5973484"/>
                  <a:pt x="10240863" y="5957893"/>
                  <a:pt x="10221896" y="5957893"/>
                </a:cubicBezTo>
                <a:close/>
                <a:moveTo>
                  <a:pt x="11059312" y="5957893"/>
                </a:moveTo>
                <a:cubicBezTo>
                  <a:pt x="11040345" y="5957893"/>
                  <a:pt x="11024959" y="5973484"/>
                  <a:pt x="11024959" y="5992713"/>
                </a:cubicBezTo>
                <a:cubicBezTo>
                  <a:pt x="11024959" y="6011942"/>
                  <a:pt x="11040345" y="6027533"/>
                  <a:pt x="11059312" y="6027533"/>
                </a:cubicBezTo>
                <a:cubicBezTo>
                  <a:pt x="11078279" y="6027533"/>
                  <a:pt x="11093653" y="6011942"/>
                  <a:pt x="11093653" y="5992713"/>
                </a:cubicBezTo>
                <a:cubicBezTo>
                  <a:pt x="11093653" y="5973484"/>
                  <a:pt x="11078279" y="5957893"/>
                  <a:pt x="11059312" y="5957893"/>
                </a:cubicBezTo>
                <a:close/>
                <a:moveTo>
                  <a:pt x="3773759" y="6042756"/>
                </a:moveTo>
                <a:cubicBezTo>
                  <a:pt x="3754792" y="6042756"/>
                  <a:pt x="3739412" y="6058348"/>
                  <a:pt x="3739412" y="6077577"/>
                </a:cubicBezTo>
                <a:cubicBezTo>
                  <a:pt x="3739412" y="6096805"/>
                  <a:pt x="3754792" y="6112397"/>
                  <a:pt x="3773759" y="6112397"/>
                </a:cubicBezTo>
                <a:cubicBezTo>
                  <a:pt x="3792726" y="6112397"/>
                  <a:pt x="3808106" y="6096805"/>
                  <a:pt x="3808106" y="6077577"/>
                </a:cubicBezTo>
                <a:cubicBezTo>
                  <a:pt x="3808106" y="6058348"/>
                  <a:pt x="3792726" y="6042756"/>
                  <a:pt x="3773759" y="6042756"/>
                </a:cubicBezTo>
                <a:close/>
                <a:moveTo>
                  <a:pt x="3857500" y="6042756"/>
                </a:moveTo>
                <a:cubicBezTo>
                  <a:pt x="3838533" y="6042756"/>
                  <a:pt x="3823154" y="6058348"/>
                  <a:pt x="3823154" y="6077577"/>
                </a:cubicBezTo>
                <a:cubicBezTo>
                  <a:pt x="3823154" y="6096805"/>
                  <a:pt x="3838533" y="6112397"/>
                  <a:pt x="3857500" y="6112397"/>
                </a:cubicBezTo>
                <a:cubicBezTo>
                  <a:pt x="3876467" y="6112397"/>
                  <a:pt x="3891847" y="6096805"/>
                  <a:pt x="3891847" y="6077577"/>
                </a:cubicBezTo>
                <a:cubicBezTo>
                  <a:pt x="3891847" y="6058348"/>
                  <a:pt x="3876467" y="6042756"/>
                  <a:pt x="3857500" y="6042756"/>
                </a:cubicBezTo>
                <a:close/>
                <a:moveTo>
                  <a:pt x="10975571" y="6042756"/>
                </a:moveTo>
                <a:cubicBezTo>
                  <a:pt x="10956604" y="6042756"/>
                  <a:pt x="10941218" y="6058348"/>
                  <a:pt x="10941218" y="6077577"/>
                </a:cubicBezTo>
                <a:cubicBezTo>
                  <a:pt x="10941218" y="6096805"/>
                  <a:pt x="10956604" y="6112397"/>
                  <a:pt x="10975571" y="6112397"/>
                </a:cubicBezTo>
                <a:cubicBezTo>
                  <a:pt x="10994538" y="6112397"/>
                  <a:pt x="11009911" y="6096805"/>
                  <a:pt x="11009911" y="6077577"/>
                </a:cubicBezTo>
                <a:cubicBezTo>
                  <a:pt x="11009911" y="6058348"/>
                  <a:pt x="10994538" y="6042756"/>
                  <a:pt x="10975571" y="6042756"/>
                </a:cubicBezTo>
                <a:close/>
                <a:moveTo>
                  <a:pt x="3773759" y="6127620"/>
                </a:moveTo>
                <a:cubicBezTo>
                  <a:pt x="3754792" y="6127620"/>
                  <a:pt x="3739412" y="6143212"/>
                  <a:pt x="3739412" y="6162441"/>
                </a:cubicBezTo>
                <a:cubicBezTo>
                  <a:pt x="3739412" y="6181669"/>
                  <a:pt x="3754792" y="6197261"/>
                  <a:pt x="3773759" y="6197261"/>
                </a:cubicBezTo>
                <a:cubicBezTo>
                  <a:pt x="3792726" y="6197261"/>
                  <a:pt x="3808106" y="6181669"/>
                  <a:pt x="3808106" y="6162441"/>
                </a:cubicBezTo>
                <a:cubicBezTo>
                  <a:pt x="3808106" y="6143212"/>
                  <a:pt x="3792726" y="6127620"/>
                  <a:pt x="3773759" y="6127620"/>
                </a:cubicBezTo>
                <a:close/>
                <a:moveTo>
                  <a:pt x="3857500" y="6127620"/>
                </a:moveTo>
                <a:cubicBezTo>
                  <a:pt x="3838533" y="6127620"/>
                  <a:pt x="3823154" y="6143212"/>
                  <a:pt x="3823154" y="6162441"/>
                </a:cubicBezTo>
                <a:cubicBezTo>
                  <a:pt x="3823154" y="6181669"/>
                  <a:pt x="3838533" y="6197261"/>
                  <a:pt x="3857500" y="6197261"/>
                </a:cubicBezTo>
                <a:cubicBezTo>
                  <a:pt x="3876467" y="6197261"/>
                  <a:pt x="3891847" y="6181669"/>
                  <a:pt x="3891847" y="6162441"/>
                </a:cubicBezTo>
                <a:cubicBezTo>
                  <a:pt x="3891847" y="6143212"/>
                  <a:pt x="3876467" y="6127620"/>
                  <a:pt x="3857500" y="6127620"/>
                </a:cubicBezTo>
                <a:close/>
                <a:moveTo>
                  <a:pt x="4192473" y="6127620"/>
                </a:moveTo>
                <a:cubicBezTo>
                  <a:pt x="4173506" y="6127620"/>
                  <a:pt x="4158127" y="6143212"/>
                  <a:pt x="4158127" y="6162441"/>
                </a:cubicBezTo>
                <a:cubicBezTo>
                  <a:pt x="4158127" y="6181669"/>
                  <a:pt x="4173506" y="6197261"/>
                  <a:pt x="4192473" y="6197261"/>
                </a:cubicBezTo>
                <a:cubicBezTo>
                  <a:pt x="4211440" y="6197261"/>
                  <a:pt x="4226820" y="6181669"/>
                  <a:pt x="4226820" y="6162441"/>
                </a:cubicBezTo>
                <a:cubicBezTo>
                  <a:pt x="4226820" y="6143212"/>
                  <a:pt x="4211440" y="6127620"/>
                  <a:pt x="4192473" y="6127620"/>
                </a:cubicBezTo>
                <a:close/>
                <a:moveTo>
                  <a:pt x="10808088" y="6127620"/>
                </a:moveTo>
                <a:cubicBezTo>
                  <a:pt x="10789121" y="6127620"/>
                  <a:pt x="10773735" y="6143212"/>
                  <a:pt x="10773735" y="6162441"/>
                </a:cubicBezTo>
                <a:cubicBezTo>
                  <a:pt x="10773735" y="6181669"/>
                  <a:pt x="10789121" y="6197261"/>
                  <a:pt x="10808088" y="6197261"/>
                </a:cubicBezTo>
                <a:cubicBezTo>
                  <a:pt x="10827055" y="6197261"/>
                  <a:pt x="10842428" y="6181669"/>
                  <a:pt x="10842428" y="6162441"/>
                </a:cubicBezTo>
                <a:cubicBezTo>
                  <a:pt x="10842428" y="6143212"/>
                  <a:pt x="10827055" y="6127620"/>
                  <a:pt x="10808088" y="6127620"/>
                </a:cubicBezTo>
                <a:close/>
                <a:moveTo>
                  <a:pt x="10891829" y="6127620"/>
                </a:moveTo>
                <a:cubicBezTo>
                  <a:pt x="10872862" y="6127620"/>
                  <a:pt x="10857476" y="6143212"/>
                  <a:pt x="10857476" y="6162441"/>
                </a:cubicBezTo>
                <a:cubicBezTo>
                  <a:pt x="10857476" y="6181669"/>
                  <a:pt x="10872862" y="6197261"/>
                  <a:pt x="10891829" y="6197261"/>
                </a:cubicBezTo>
                <a:cubicBezTo>
                  <a:pt x="10910796" y="6197261"/>
                  <a:pt x="10926169" y="6181669"/>
                  <a:pt x="10926169" y="6162441"/>
                </a:cubicBezTo>
                <a:cubicBezTo>
                  <a:pt x="10926169" y="6143212"/>
                  <a:pt x="10910796" y="6127620"/>
                  <a:pt x="10891829" y="6127620"/>
                </a:cubicBezTo>
                <a:close/>
                <a:moveTo>
                  <a:pt x="3857500" y="6212484"/>
                </a:moveTo>
                <a:cubicBezTo>
                  <a:pt x="3838533" y="6212484"/>
                  <a:pt x="3823154" y="6228076"/>
                  <a:pt x="3823154" y="6247304"/>
                </a:cubicBezTo>
                <a:cubicBezTo>
                  <a:pt x="3823154" y="6266533"/>
                  <a:pt x="3838533" y="6282125"/>
                  <a:pt x="3857500" y="6282125"/>
                </a:cubicBezTo>
                <a:cubicBezTo>
                  <a:pt x="3876467" y="6282125"/>
                  <a:pt x="3891847" y="6266533"/>
                  <a:pt x="3891847" y="6247304"/>
                </a:cubicBezTo>
                <a:cubicBezTo>
                  <a:pt x="3891847" y="6228076"/>
                  <a:pt x="3876467" y="6212484"/>
                  <a:pt x="3857500" y="6212484"/>
                </a:cubicBezTo>
                <a:close/>
                <a:moveTo>
                  <a:pt x="3941242" y="6212484"/>
                </a:moveTo>
                <a:cubicBezTo>
                  <a:pt x="3922275" y="6212484"/>
                  <a:pt x="3906895" y="6228076"/>
                  <a:pt x="3906895" y="6247304"/>
                </a:cubicBezTo>
                <a:cubicBezTo>
                  <a:pt x="3906895" y="6266533"/>
                  <a:pt x="3922275" y="6282125"/>
                  <a:pt x="3941242" y="6282125"/>
                </a:cubicBezTo>
                <a:cubicBezTo>
                  <a:pt x="3960209" y="6282125"/>
                  <a:pt x="3975588" y="6266533"/>
                  <a:pt x="3975588" y="6247304"/>
                </a:cubicBezTo>
                <a:cubicBezTo>
                  <a:pt x="3975588" y="6228076"/>
                  <a:pt x="3960209" y="6212484"/>
                  <a:pt x="3941242" y="6212484"/>
                </a:cubicBezTo>
                <a:close/>
                <a:moveTo>
                  <a:pt x="10808088" y="6212484"/>
                </a:moveTo>
                <a:cubicBezTo>
                  <a:pt x="10789121" y="6212484"/>
                  <a:pt x="10773735" y="6228076"/>
                  <a:pt x="10773735" y="6247304"/>
                </a:cubicBezTo>
                <a:cubicBezTo>
                  <a:pt x="10773735" y="6266533"/>
                  <a:pt x="10789121" y="6282125"/>
                  <a:pt x="10808088" y="6282125"/>
                </a:cubicBezTo>
                <a:cubicBezTo>
                  <a:pt x="10827055" y="6282125"/>
                  <a:pt x="10842428" y="6266533"/>
                  <a:pt x="10842428" y="6247304"/>
                </a:cubicBezTo>
                <a:cubicBezTo>
                  <a:pt x="10842428" y="6228076"/>
                  <a:pt x="10827055" y="6212484"/>
                  <a:pt x="10808088" y="6212484"/>
                </a:cubicBezTo>
                <a:close/>
                <a:moveTo>
                  <a:pt x="3941242" y="6297349"/>
                </a:moveTo>
                <a:cubicBezTo>
                  <a:pt x="3922275" y="6297349"/>
                  <a:pt x="3906895" y="6312940"/>
                  <a:pt x="3906895" y="6332169"/>
                </a:cubicBezTo>
                <a:cubicBezTo>
                  <a:pt x="3906895" y="6351398"/>
                  <a:pt x="3922275" y="6366989"/>
                  <a:pt x="3941242" y="6366989"/>
                </a:cubicBezTo>
                <a:cubicBezTo>
                  <a:pt x="3960209" y="6366989"/>
                  <a:pt x="3975588" y="6351398"/>
                  <a:pt x="3975588" y="6332169"/>
                </a:cubicBezTo>
                <a:cubicBezTo>
                  <a:pt x="3975588" y="6312940"/>
                  <a:pt x="3960209" y="6297349"/>
                  <a:pt x="3941242" y="6297349"/>
                </a:cubicBezTo>
                <a:close/>
                <a:moveTo>
                  <a:pt x="4024990" y="6297349"/>
                </a:moveTo>
                <a:cubicBezTo>
                  <a:pt x="4006023" y="6297349"/>
                  <a:pt x="3990643" y="6312940"/>
                  <a:pt x="3990643" y="6332169"/>
                </a:cubicBezTo>
                <a:cubicBezTo>
                  <a:pt x="3990643" y="6351398"/>
                  <a:pt x="4006023" y="6366989"/>
                  <a:pt x="4024990" y="6366989"/>
                </a:cubicBezTo>
                <a:cubicBezTo>
                  <a:pt x="4043957" y="6366989"/>
                  <a:pt x="4059337" y="6351398"/>
                  <a:pt x="4059337" y="6332169"/>
                </a:cubicBezTo>
                <a:cubicBezTo>
                  <a:pt x="4059337" y="6312940"/>
                  <a:pt x="4043957" y="6297349"/>
                  <a:pt x="4024990" y="6297349"/>
                </a:cubicBezTo>
                <a:close/>
              </a:path>
            </a:pathLst>
          </a:cu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grpSp>
        <xdr:nvGrpSpPr>
          <xdr:cNvPr id="92" name="Group 91">
            <a:extLst>
              <a:ext uri="{FF2B5EF4-FFF2-40B4-BE49-F238E27FC236}">
                <a16:creationId xmlns:a16="http://schemas.microsoft.com/office/drawing/2014/main" id="{B31356D1-C2A8-5040-B572-4654DB1A98B9}"/>
              </a:ext>
            </a:extLst>
          </xdr:cNvPr>
          <xdr:cNvGrpSpPr/>
        </xdr:nvGrpSpPr>
        <xdr:grpSpPr>
          <a:xfrm>
            <a:off x="6117497" y="1896241"/>
            <a:ext cx="1581454" cy="639223"/>
            <a:chOff x="6400056" y="2569522"/>
            <a:chExt cx="1754805" cy="637068"/>
          </a:xfrm>
        </xdr:grpSpPr>
        <xdr:grpSp>
          <xdr:nvGrpSpPr>
            <xdr:cNvPr id="87" name="Group 86">
              <a:extLst>
                <a:ext uri="{FF2B5EF4-FFF2-40B4-BE49-F238E27FC236}">
                  <a16:creationId xmlns:a16="http://schemas.microsoft.com/office/drawing/2014/main" id="{43CC4FE1-DA91-F37D-630F-3526548F25E3}"/>
                </a:ext>
              </a:extLst>
            </xdr:cNvPr>
            <xdr:cNvGrpSpPr/>
          </xdr:nvGrpSpPr>
          <xdr:grpSpPr>
            <a:xfrm>
              <a:off x="6400056" y="2569522"/>
              <a:ext cx="1754805" cy="637068"/>
              <a:chOff x="6390287" y="2506022"/>
              <a:chExt cx="1751874" cy="622414"/>
            </a:xfrm>
          </xdr:grpSpPr>
          <xdr:sp macro="" textlink="">
            <xdr:nvSpPr>
              <xdr:cNvPr id="83" name="Rectangle: Rounded Corners 82">
                <a:extLst>
                  <a:ext uri="{FF2B5EF4-FFF2-40B4-BE49-F238E27FC236}">
                    <a16:creationId xmlns:a16="http://schemas.microsoft.com/office/drawing/2014/main" id="{0C6F0566-F207-F26C-9BF9-B235D3EDEE68}"/>
                  </a:ext>
                </a:extLst>
              </xdr:cNvPr>
              <xdr:cNvSpPr/>
            </xdr:nvSpPr>
            <xdr:spPr>
              <a:xfrm>
                <a:off x="6390287" y="2506022"/>
                <a:ext cx="1751874" cy="622414"/>
              </a:xfrm>
              <a:prstGeom prst="roundRect">
                <a:avLst/>
              </a:prstGeom>
              <a:solidFill>
                <a:srgbClr val="070E0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84" name="Rectangle: Rounded Corners 83">
                <a:extLst>
                  <a:ext uri="{FF2B5EF4-FFF2-40B4-BE49-F238E27FC236}">
                    <a16:creationId xmlns:a16="http://schemas.microsoft.com/office/drawing/2014/main" id="{DF0E1D84-13CF-4C61-97B0-5204FF01FF70}"/>
                  </a:ext>
                </a:extLst>
              </xdr:cNvPr>
              <xdr:cNvSpPr/>
            </xdr:nvSpPr>
            <xdr:spPr>
              <a:xfrm>
                <a:off x="6476420" y="2636324"/>
                <a:ext cx="363391" cy="361812"/>
              </a:xfrm>
              <a:prstGeom prst="roundRect">
                <a:avLst/>
              </a:prstGeom>
              <a:solidFill>
                <a:srgbClr val="194AF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pic>
            <xdr:nvPicPr>
              <xdr:cNvPr id="86" name="Graphic 85" descr="City">
                <a:extLst>
                  <a:ext uri="{FF2B5EF4-FFF2-40B4-BE49-F238E27FC236}">
                    <a16:creationId xmlns:a16="http://schemas.microsoft.com/office/drawing/2014/main" id="{DA2EF629-42B3-510A-DE5C-B4FBF5DECFB4}"/>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6513460" y="2674163"/>
                <a:ext cx="289312" cy="286131"/>
              </a:xfrm>
              <a:prstGeom prst="rect">
                <a:avLst/>
              </a:prstGeom>
            </xdr:spPr>
          </xdr:pic>
        </xdr:grpSp>
        <xdr:sp macro="" textlink="'Pivot Tables'!BQ9">
          <xdr:nvSpPr>
            <xdr:cNvPr id="88" name="TextBox 87">
              <a:extLst>
                <a:ext uri="{FF2B5EF4-FFF2-40B4-BE49-F238E27FC236}">
                  <a16:creationId xmlns:a16="http://schemas.microsoft.com/office/drawing/2014/main" id="{892D4AB6-DC71-4386-9691-07B384824AED}"/>
                </a:ext>
              </a:extLst>
            </xdr:cNvPr>
            <xdr:cNvSpPr txBox="1"/>
          </xdr:nvSpPr>
          <xdr:spPr>
            <a:xfrm>
              <a:off x="6866101" y="2621373"/>
              <a:ext cx="1019425" cy="2955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C164ABA2-2620-43D7-B1A0-79943DB3DC37}" type="TxLink">
                <a:rPr lang="en-US" sz="1200" b="0" i="0" u="none" strike="noStrike">
                  <a:solidFill>
                    <a:schemeClr val="bg1"/>
                  </a:solidFill>
                  <a:latin typeface="Avenir Light" panose="020B0403020203020204" pitchFamily="34" charset="-78"/>
                  <a:ea typeface="+mn-ea"/>
                  <a:cs typeface="Avenir Light" panose="020B0403020203020204" pitchFamily="34" charset="-78"/>
                </a:rPr>
                <a:pPr marL="0" indent="0" algn="l"/>
                <a:t>Canada</a:t>
              </a:fld>
              <a:endParaRPr lang="en-IN" sz="3200">
                <a:solidFill>
                  <a:schemeClr val="bg1"/>
                </a:solidFill>
                <a:latin typeface="Avenir Light" panose="020B0403020203020204" pitchFamily="34" charset="-78"/>
                <a:ea typeface="+mn-ea"/>
                <a:cs typeface="Avenir Light" panose="020B0403020203020204" pitchFamily="34" charset="-78"/>
              </a:endParaRPr>
            </a:p>
          </xdr:txBody>
        </xdr:sp>
        <xdr:sp macro="" textlink="'Pivot Tables'!BS9">
          <xdr:nvSpPr>
            <xdr:cNvPr id="89" name="TextBox 88">
              <a:extLst>
                <a:ext uri="{FF2B5EF4-FFF2-40B4-BE49-F238E27FC236}">
                  <a16:creationId xmlns:a16="http://schemas.microsoft.com/office/drawing/2014/main" id="{126FE026-F197-803C-17D6-5A472A78B524}"/>
                </a:ext>
              </a:extLst>
            </xdr:cNvPr>
            <xdr:cNvSpPr txBox="1"/>
          </xdr:nvSpPr>
          <xdr:spPr>
            <a:xfrm>
              <a:off x="6868798" y="2778272"/>
              <a:ext cx="1212580" cy="2955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5C71C80C-6006-4BEC-BD33-58D252009CFC}" type="TxLink">
                <a:rPr lang="en-US" sz="1600" b="0" i="0" u="none" strike="noStrike">
                  <a:solidFill>
                    <a:schemeClr val="bg1"/>
                  </a:solidFill>
                  <a:latin typeface="Avenir Light" panose="020B0403020203020204" pitchFamily="34" charset="-78"/>
                  <a:ea typeface="+mn-ea"/>
                  <a:cs typeface="Avenir Light" panose="020B0403020203020204" pitchFamily="34" charset="-78"/>
                </a:rPr>
                <a:pPr marL="0" indent="0" algn="l"/>
                <a:t>$62,256</a:t>
              </a:fld>
              <a:endParaRPr lang="en-IN" sz="4400">
                <a:solidFill>
                  <a:schemeClr val="bg1"/>
                </a:solidFill>
                <a:latin typeface="Avenir Light" panose="020B0403020203020204" pitchFamily="34" charset="-78"/>
                <a:ea typeface="+mn-ea"/>
                <a:cs typeface="Avenir Light" panose="020B0403020203020204" pitchFamily="34" charset="-78"/>
              </a:endParaRPr>
            </a:p>
          </xdr:txBody>
        </xdr:sp>
      </xdr:grpSp>
      <xdr:grpSp>
        <xdr:nvGrpSpPr>
          <xdr:cNvPr id="95" name="Group 94">
            <a:extLst>
              <a:ext uri="{FF2B5EF4-FFF2-40B4-BE49-F238E27FC236}">
                <a16:creationId xmlns:a16="http://schemas.microsoft.com/office/drawing/2014/main" id="{D62B75F5-891A-4C56-91AC-A2E1B92B025B}"/>
              </a:ext>
            </a:extLst>
          </xdr:cNvPr>
          <xdr:cNvGrpSpPr/>
        </xdr:nvGrpSpPr>
        <xdr:grpSpPr>
          <a:xfrm>
            <a:off x="5310385" y="3758257"/>
            <a:ext cx="1772242" cy="639222"/>
            <a:chOff x="6413626" y="2569522"/>
            <a:chExt cx="1754805" cy="637068"/>
          </a:xfrm>
        </xdr:grpSpPr>
        <xdr:grpSp>
          <xdr:nvGrpSpPr>
            <xdr:cNvPr id="96" name="Group 95">
              <a:extLst>
                <a:ext uri="{FF2B5EF4-FFF2-40B4-BE49-F238E27FC236}">
                  <a16:creationId xmlns:a16="http://schemas.microsoft.com/office/drawing/2014/main" id="{AD3C9EBD-5797-4B66-ACF1-D30D996807FD}"/>
                </a:ext>
              </a:extLst>
            </xdr:cNvPr>
            <xdr:cNvGrpSpPr/>
          </xdr:nvGrpSpPr>
          <xdr:grpSpPr>
            <a:xfrm>
              <a:off x="6413626" y="2569522"/>
              <a:ext cx="1754805" cy="637068"/>
              <a:chOff x="6403834" y="2506022"/>
              <a:chExt cx="1751874" cy="622414"/>
            </a:xfrm>
          </xdr:grpSpPr>
          <xdr:sp macro="" textlink="">
            <xdr:nvSpPr>
              <xdr:cNvPr id="99" name="Rectangle: Rounded Corners 98">
                <a:extLst>
                  <a:ext uri="{FF2B5EF4-FFF2-40B4-BE49-F238E27FC236}">
                    <a16:creationId xmlns:a16="http://schemas.microsoft.com/office/drawing/2014/main" id="{A7DC3269-D227-93D2-5298-2FCD89FA49FB}"/>
                  </a:ext>
                </a:extLst>
              </xdr:cNvPr>
              <xdr:cNvSpPr/>
            </xdr:nvSpPr>
            <xdr:spPr>
              <a:xfrm>
                <a:off x="6403834" y="2506022"/>
                <a:ext cx="1751874" cy="622414"/>
              </a:xfrm>
              <a:prstGeom prst="roundRect">
                <a:avLst/>
              </a:prstGeom>
              <a:solidFill>
                <a:srgbClr val="070E0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00" name="Rectangle: Rounded Corners 99">
                <a:extLst>
                  <a:ext uri="{FF2B5EF4-FFF2-40B4-BE49-F238E27FC236}">
                    <a16:creationId xmlns:a16="http://schemas.microsoft.com/office/drawing/2014/main" id="{EB41DF45-71BE-DDE2-D412-F95A93F32768}"/>
                  </a:ext>
                </a:extLst>
              </xdr:cNvPr>
              <xdr:cNvSpPr/>
            </xdr:nvSpPr>
            <xdr:spPr>
              <a:xfrm>
                <a:off x="6476420" y="2636324"/>
                <a:ext cx="363391" cy="361812"/>
              </a:xfrm>
              <a:prstGeom prst="roundRect">
                <a:avLst/>
              </a:prstGeom>
              <a:solidFill>
                <a:srgbClr val="25225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pic>
            <xdr:nvPicPr>
              <xdr:cNvPr id="101" name="Graphic 100" descr="City">
                <a:extLst>
                  <a:ext uri="{FF2B5EF4-FFF2-40B4-BE49-F238E27FC236}">
                    <a16:creationId xmlns:a16="http://schemas.microsoft.com/office/drawing/2014/main" id="{A5AEF0B7-172E-F0BB-83D6-B2F1F0D68A72}"/>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4"/>
                  </a:ext>
                </a:extLst>
              </a:blip>
              <a:stretch>
                <a:fillRect/>
              </a:stretch>
            </xdr:blipFill>
            <xdr:spPr>
              <a:xfrm>
                <a:off x="6513460" y="2674163"/>
                <a:ext cx="289312" cy="286131"/>
              </a:xfrm>
              <a:prstGeom prst="rect">
                <a:avLst/>
              </a:prstGeom>
            </xdr:spPr>
          </xdr:pic>
        </xdr:grpSp>
        <xdr:sp macro="" textlink="'Pivot Tables'!BQ6">
          <xdr:nvSpPr>
            <xdr:cNvPr id="97" name="TextBox 96">
              <a:extLst>
                <a:ext uri="{FF2B5EF4-FFF2-40B4-BE49-F238E27FC236}">
                  <a16:creationId xmlns:a16="http://schemas.microsoft.com/office/drawing/2014/main" id="{C846E25F-1072-7227-9AFB-5F44FECCDD16}"/>
                </a:ext>
              </a:extLst>
            </xdr:cNvPr>
            <xdr:cNvSpPr txBox="1"/>
          </xdr:nvSpPr>
          <xdr:spPr>
            <a:xfrm>
              <a:off x="6866101" y="2621373"/>
              <a:ext cx="1019425" cy="2955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97045FD0-CC1A-43BE-AF9A-68141AB1BD66}" type="TxLink">
                <a:rPr lang="en-US" sz="1200" b="0" i="0" u="none" strike="noStrike">
                  <a:solidFill>
                    <a:schemeClr val="bg1"/>
                  </a:solidFill>
                  <a:latin typeface="Avenir Light" panose="020B0403020203020204" pitchFamily="34" charset="-78"/>
                  <a:ea typeface="+mn-ea"/>
                  <a:cs typeface="Avenir Light" panose="020B0403020203020204" pitchFamily="34" charset="-78"/>
                </a:rPr>
                <a:pPr marL="0" indent="0" algn="l"/>
                <a:t>USA</a:t>
              </a:fld>
              <a:endParaRPr lang="en-IN" sz="3600">
                <a:solidFill>
                  <a:schemeClr val="bg1"/>
                </a:solidFill>
                <a:latin typeface="Avenir Light" panose="020B0403020203020204" pitchFamily="34" charset="-78"/>
                <a:ea typeface="+mn-ea"/>
                <a:cs typeface="Avenir Light" panose="020B0403020203020204" pitchFamily="34" charset="-78"/>
              </a:endParaRPr>
            </a:p>
          </xdr:txBody>
        </xdr:sp>
        <xdr:sp macro="" textlink="'Pivot Tables'!BS6">
          <xdr:nvSpPr>
            <xdr:cNvPr id="98" name="TextBox 97">
              <a:extLst>
                <a:ext uri="{FF2B5EF4-FFF2-40B4-BE49-F238E27FC236}">
                  <a16:creationId xmlns:a16="http://schemas.microsoft.com/office/drawing/2014/main" id="{C43BBB11-8D8C-C481-5968-3BC08E70F98B}"/>
                </a:ext>
              </a:extLst>
            </xdr:cNvPr>
            <xdr:cNvSpPr txBox="1"/>
          </xdr:nvSpPr>
          <xdr:spPr>
            <a:xfrm>
              <a:off x="6861529" y="2778272"/>
              <a:ext cx="1139685" cy="2955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B0D9D930-ED5A-4789-A518-524C47648FE8}" type="TxLink">
                <a:rPr lang="en-US" sz="1600" b="0" i="0" u="none" strike="noStrike">
                  <a:solidFill>
                    <a:schemeClr val="bg1"/>
                  </a:solidFill>
                  <a:latin typeface="Avenir Light" panose="020B0403020203020204" pitchFamily="34" charset="-78"/>
                  <a:ea typeface="+mn-ea"/>
                  <a:cs typeface="Avenir Light" panose="020B0403020203020204" pitchFamily="34" charset="-78"/>
                </a:rPr>
                <a:pPr marL="0" indent="0" algn="l"/>
                <a:t>$1,09,940</a:t>
              </a:fld>
              <a:endParaRPr lang="en-IN" sz="6000">
                <a:solidFill>
                  <a:schemeClr val="bg1"/>
                </a:solidFill>
                <a:latin typeface="Avenir Light" panose="020B0403020203020204" pitchFamily="34" charset="-78"/>
                <a:ea typeface="+mn-ea"/>
                <a:cs typeface="Avenir Light" panose="020B0403020203020204" pitchFamily="34" charset="-78"/>
              </a:endParaRPr>
            </a:p>
          </xdr:txBody>
        </xdr:sp>
      </xdr:grpSp>
      <xdr:grpSp>
        <xdr:nvGrpSpPr>
          <xdr:cNvPr id="102" name="Group 101">
            <a:extLst>
              <a:ext uri="{FF2B5EF4-FFF2-40B4-BE49-F238E27FC236}">
                <a16:creationId xmlns:a16="http://schemas.microsoft.com/office/drawing/2014/main" id="{2E8A5AE6-F3E0-41B2-AC6C-9297622E84AD}"/>
              </a:ext>
            </a:extLst>
          </xdr:cNvPr>
          <xdr:cNvGrpSpPr/>
        </xdr:nvGrpSpPr>
        <xdr:grpSpPr>
          <a:xfrm>
            <a:off x="7825096" y="5016685"/>
            <a:ext cx="1632973" cy="639223"/>
            <a:chOff x="6400056" y="2569522"/>
            <a:chExt cx="1754805" cy="637068"/>
          </a:xfrm>
        </xdr:grpSpPr>
        <xdr:grpSp>
          <xdr:nvGrpSpPr>
            <xdr:cNvPr id="103" name="Group 102">
              <a:extLst>
                <a:ext uri="{FF2B5EF4-FFF2-40B4-BE49-F238E27FC236}">
                  <a16:creationId xmlns:a16="http://schemas.microsoft.com/office/drawing/2014/main" id="{3034F8BF-6159-03B8-3DD1-2D7986117BFF}"/>
                </a:ext>
              </a:extLst>
            </xdr:cNvPr>
            <xdr:cNvGrpSpPr/>
          </xdr:nvGrpSpPr>
          <xdr:grpSpPr>
            <a:xfrm>
              <a:off x="6400056" y="2569522"/>
              <a:ext cx="1754805" cy="637068"/>
              <a:chOff x="6390287" y="2506022"/>
              <a:chExt cx="1751874" cy="622414"/>
            </a:xfrm>
          </xdr:grpSpPr>
          <xdr:sp macro="" textlink="">
            <xdr:nvSpPr>
              <xdr:cNvPr id="106" name="Rectangle: Rounded Corners 105">
                <a:extLst>
                  <a:ext uri="{FF2B5EF4-FFF2-40B4-BE49-F238E27FC236}">
                    <a16:creationId xmlns:a16="http://schemas.microsoft.com/office/drawing/2014/main" id="{DEFDF5D3-9CE2-9DD2-6092-EA76F2B1EB57}"/>
                  </a:ext>
                </a:extLst>
              </xdr:cNvPr>
              <xdr:cNvSpPr/>
            </xdr:nvSpPr>
            <xdr:spPr>
              <a:xfrm>
                <a:off x="6390287" y="2506022"/>
                <a:ext cx="1751874" cy="622414"/>
              </a:xfrm>
              <a:prstGeom prst="roundRect">
                <a:avLst/>
              </a:prstGeom>
              <a:solidFill>
                <a:srgbClr val="070E0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07" name="Rectangle: Rounded Corners 106">
                <a:extLst>
                  <a:ext uri="{FF2B5EF4-FFF2-40B4-BE49-F238E27FC236}">
                    <a16:creationId xmlns:a16="http://schemas.microsoft.com/office/drawing/2014/main" id="{77E2B60D-1EB0-49AE-C21C-6E03F7A41C2B}"/>
                  </a:ext>
                </a:extLst>
              </xdr:cNvPr>
              <xdr:cNvSpPr/>
            </xdr:nvSpPr>
            <xdr:spPr>
              <a:xfrm>
                <a:off x="6476420" y="2636324"/>
                <a:ext cx="363391" cy="361812"/>
              </a:xfrm>
              <a:prstGeom prst="roundRect">
                <a:avLst/>
              </a:prstGeom>
              <a:solidFill>
                <a:srgbClr val="7030A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pic>
            <xdr:nvPicPr>
              <xdr:cNvPr id="108" name="Graphic 107" descr="City">
                <a:extLst>
                  <a:ext uri="{FF2B5EF4-FFF2-40B4-BE49-F238E27FC236}">
                    <a16:creationId xmlns:a16="http://schemas.microsoft.com/office/drawing/2014/main" id="{16D87731-CB5A-236B-3C7D-6A7E4191422F}"/>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6513460" y="2674163"/>
                <a:ext cx="289312" cy="286131"/>
              </a:xfrm>
              <a:prstGeom prst="rect">
                <a:avLst/>
              </a:prstGeom>
            </xdr:spPr>
          </xdr:pic>
        </xdr:grpSp>
        <xdr:sp macro="" textlink="'Pivot Tables'!BQ10">
          <xdr:nvSpPr>
            <xdr:cNvPr id="104" name="TextBox 103">
              <a:extLst>
                <a:ext uri="{FF2B5EF4-FFF2-40B4-BE49-F238E27FC236}">
                  <a16:creationId xmlns:a16="http://schemas.microsoft.com/office/drawing/2014/main" id="{AD8E39CC-434A-E436-FFBC-2F6CBBE1D782}"/>
                </a:ext>
              </a:extLst>
            </xdr:cNvPr>
            <xdr:cNvSpPr txBox="1"/>
          </xdr:nvSpPr>
          <xdr:spPr>
            <a:xfrm>
              <a:off x="6866101" y="2621373"/>
              <a:ext cx="1019425" cy="2955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BF9621E3-2822-4A95-AE2C-290C538AF552}" type="TxLink">
                <a:rPr lang="en-US" sz="1200" b="0" i="0" u="none" strike="noStrike">
                  <a:solidFill>
                    <a:schemeClr val="bg1"/>
                  </a:solidFill>
                  <a:latin typeface="Avenir Light" panose="020B0403020203020204" pitchFamily="34" charset="-78"/>
                  <a:ea typeface="+mn-ea"/>
                  <a:cs typeface="Avenir Light" panose="020B0403020203020204" pitchFamily="34" charset="-78"/>
                </a:rPr>
                <a:pPr marL="0" indent="0" algn="l"/>
                <a:t>Brazil</a:t>
              </a:fld>
              <a:endParaRPr lang="en-IN" sz="3600">
                <a:solidFill>
                  <a:schemeClr val="bg1"/>
                </a:solidFill>
                <a:latin typeface="Avenir Light" panose="020B0403020203020204" pitchFamily="34" charset="-78"/>
                <a:ea typeface="+mn-ea"/>
                <a:cs typeface="Avenir Light" panose="020B0403020203020204" pitchFamily="34" charset="-78"/>
              </a:endParaRPr>
            </a:p>
          </xdr:txBody>
        </xdr:sp>
        <xdr:sp macro="" textlink="'Pivot Tables'!BS10">
          <xdr:nvSpPr>
            <xdr:cNvPr id="105" name="TextBox 104">
              <a:extLst>
                <a:ext uri="{FF2B5EF4-FFF2-40B4-BE49-F238E27FC236}">
                  <a16:creationId xmlns:a16="http://schemas.microsoft.com/office/drawing/2014/main" id="{5D564D5B-D199-EA17-E09D-4A6E66D1F179}"/>
                </a:ext>
              </a:extLst>
            </xdr:cNvPr>
            <xdr:cNvSpPr txBox="1"/>
          </xdr:nvSpPr>
          <xdr:spPr>
            <a:xfrm>
              <a:off x="6868815" y="2778272"/>
              <a:ext cx="1125728" cy="2955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326B12B6-E526-4BDC-8AC3-4E3470078394}" type="TxLink">
                <a:rPr lang="en-US" sz="1600" b="0" i="0" u="none" strike="noStrike">
                  <a:solidFill>
                    <a:schemeClr val="bg1"/>
                  </a:solidFill>
                  <a:latin typeface="Avenir Light" panose="020B0403020203020204" pitchFamily="34" charset="-78"/>
                  <a:ea typeface="+mn-ea"/>
                  <a:cs typeface="Avenir Light" panose="020B0403020203020204" pitchFamily="34" charset="-78"/>
                </a:rPr>
                <a:pPr marL="0" indent="0" algn="l"/>
                <a:t>$62,240</a:t>
              </a:fld>
              <a:endParaRPr lang="en-IN" sz="6000">
                <a:solidFill>
                  <a:schemeClr val="bg1"/>
                </a:solidFill>
                <a:latin typeface="Avenir Light" panose="020B0403020203020204" pitchFamily="34" charset="-78"/>
                <a:ea typeface="+mn-ea"/>
                <a:cs typeface="Avenir Light" panose="020B0403020203020204" pitchFamily="34" charset="-78"/>
              </a:endParaRPr>
            </a:p>
          </xdr:txBody>
        </xdr:sp>
      </xdr:grpSp>
      <xdr:grpSp>
        <xdr:nvGrpSpPr>
          <xdr:cNvPr id="109" name="Group 108">
            <a:extLst>
              <a:ext uri="{FF2B5EF4-FFF2-40B4-BE49-F238E27FC236}">
                <a16:creationId xmlns:a16="http://schemas.microsoft.com/office/drawing/2014/main" id="{1370F74A-59B4-41B6-867B-0A2CBB7890F2}"/>
              </a:ext>
            </a:extLst>
          </xdr:cNvPr>
          <xdr:cNvGrpSpPr/>
        </xdr:nvGrpSpPr>
        <xdr:grpSpPr>
          <a:xfrm>
            <a:off x="10724189" y="3805272"/>
            <a:ext cx="1572112" cy="634793"/>
            <a:chOff x="6400056" y="2569522"/>
            <a:chExt cx="1754805" cy="637068"/>
          </a:xfrm>
        </xdr:grpSpPr>
        <xdr:grpSp>
          <xdr:nvGrpSpPr>
            <xdr:cNvPr id="110" name="Group 109">
              <a:extLst>
                <a:ext uri="{FF2B5EF4-FFF2-40B4-BE49-F238E27FC236}">
                  <a16:creationId xmlns:a16="http://schemas.microsoft.com/office/drawing/2014/main" id="{31C77B0D-5115-5840-43A2-6E76B752D49C}"/>
                </a:ext>
              </a:extLst>
            </xdr:cNvPr>
            <xdr:cNvGrpSpPr/>
          </xdr:nvGrpSpPr>
          <xdr:grpSpPr>
            <a:xfrm>
              <a:off x="6400056" y="2569522"/>
              <a:ext cx="1754805" cy="637068"/>
              <a:chOff x="6390287" y="2506022"/>
              <a:chExt cx="1751874" cy="622414"/>
            </a:xfrm>
          </xdr:grpSpPr>
          <xdr:sp macro="" textlink="">
            <xdr:nvSpPr>
              <xdr:cNvPr id="113" name="Rectangle: Rounded Corners 112">
                <a:extLst>
                  <a:ext uri="{FF2B5EF4-FFF2-40B4-BE49-F238E27FC236}">
                    <a16:creationId xmlns:a16="http://schemas.microsoft.com/office/drawing/2014/main" id="{5F0B053A-F7FD-D31B-CAF3-A4F87C20400F}"/>
                  </a:ext>
                </a:extLst>
              </xdr:cNvPr>
              <xdr:cNvSpPr/>
            </xdr:nvSpPr>
            <xdr:spPr>
              <a:xfrm>
                <a:off x="6390287" y="2506022"/>
                <a:ext cx="1751874" cy="622414"/>
              </a:xfrm>
              <a:prstGeom prst="roundRect">
                <a:avLst/>
              </a:prstGeom>
              <a:solidFill>
                <a:srgbClr val="070E0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14" name="Rectangle: Rounded Corners 113">
                <a:extLst>
                  <a:ext uri="{FF2B5EF4-FFF2-40B4-BE49-F238E27FC236}">
                    <a16:creationId xmlns:a16="http://schemas.microsoft.com/office/drawing/2014/main" id="{83CC3B1C-585B-6995-5681-E49933B70809}"/>
                  </a:ext>
                </a:extLst>
              </xdr:cNvPr>
              <xdr:cNvSpPr/>
            </xdr:nvSpPr>
            <xdr:spPr>
              <a:xfrm>
                <a:off x="6476420" y="2636324"/>
                <a:ext cx="363391" cy="361812"/>
              </a:xfrm>
              <a:prstGeom prst="roundRect">
                <a:avLst/>
              </a:prstGeom>
              <a:solidFill>
                <a:srgbClr val="CC0E6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pic>
            <xdr:nvPicPr>
              <xdr:cNvPr id="115" name="Graphic 114" descr="City">
                <a:extLst>
                  <a:ext uri="{FF2B5EF4-FFF2-40B4-BE49-F238E27FC236}">
                    <a16:creationId xmlns:a16="http://schemas.microsoft.com/office/drawing/2014/main" id="{326B6661-8F48-B2F9-A8F6-524EA8BCC794}"/>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5"/>
                  </a:ext>
                </a:extLst>
              </a:blip>
              <a:stretch>
                <a:fillRect/>
              </a:stretch>
            </xdr:blipFill>
            <xdr:spPr>
              <a:xfrm>
                <a:off x="6513460" y="2674163"/>
                <a:ext cx="289312" cy="286131"/>
              </a:xfrm>
              <a:prstGeom prst="rect">
                <a:avLst/>
              </a:prstGeom>
            </xdr:spPr>
          </xdr:pic>
        </xdr:grpSp>
        <xdr:sp macro="" textlink="'Pivot Tables'!BQ5">
          <xdr:nvSpPr>
            <xdr:cNvPr id="111" name="TextBox 110">
              <a:extLst>
                <a:ext uri="{FF2B5EF4-FFF2-40B4-BE49-F238E27FC236}">
                  <a16:creationId xmlns:a16="http://schemas.microsoft.com/office/drawing/2014/main" id="{427ACF3B-24DA-4C9F-B4AA-F4BC093DD3EE}"/>
                </a:ext>
              </a:extLst>
            </xdr:cNvPr>
            <xdr:cNvSpPr txBox="1"/>
          </xdr:nvSpPr>
          <xdr:spPr>
            <a:xfrm>
              <a:off x="6866101" y="2621373"/>
              <a:ext cx="1019425" cy="2955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E90492BC-49A0-4033-A76C-97456C670CB3}" type="TxLink">
                <a:rPr lang="en-US" sz="1200" b="0" i="0" u="none" strike="noStrike">
                  <a:solidFill>
                    <a:schemeClr val="bg1"/>
                  </a:solidFill>
                  <a:latin typeface="Avenir Light" panose="020B0403020203020204" pitchFamily="34" charset="-78"/>
                  <a:ea typeface="+mn-ea"/>
                  <a:cs typeface="Avenir Light" panose="020B0403020203020204" pitchFamily="34" charset="-78"/>
                </a:rPr>
                <a:pPr marL="0" indent="0" algn="l"/>
                <a:t>Egypt</a:t>
              </a:fld>
              <a:endParaRPr lang="en-IN" sz="3600">
                <a:solidFill>
                  <a:schemeClr val="bg1"/>
                </a:solidFill>
                <a:latin typeface="Avenir Light" panose="020B0403020203020204" pitchFamily="34" charset="-78"/>
                <a:ea typeface="+mn-ea"/>
                <a:cs typeface="Avenir Light" panose="020B0403020203020204" pitchFamily="34" charset="-78"/>
              </a:endParaRPr>
            </a:p>
          </xdr:txBody>
        </xdr:sp>
        <xdr:sp macro="" textlink="'Pivot Tables'!BS5">
          <xdr:nvSpPr>
            <xdr:cNvPr id="112" name="TextBox 111">
              <a:extLst>
                <a:ext uri="{FF2B5EF4-FFF2-40B4-BE49-F238E27FC236}">
                  <a16:creationId xmlns:a16="http://schemas.microsoft.com/office/drawing/2014/main" id="{3A4B6A56-CA13-7C05-8926-BDB2B35B4D9E}"/>
                </a:ext>
              </a:extLst>
            </xdr:cNvPr>
            <xdr:cNvSpPr txBox="1"/>
          </xdr:nvSpPr>
          <xdr:spPr>
            <a:xfrm>
              <a:off x="6876066" y="2778272"/>
              <a:ext cx="1196247" cy="2955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0E832C22-8D02-4F29-A9F8-10EE73D0749E}" type="TxLink">
                <a:rPr lang="en-US" sz="1600" b="0" i="0" u="none" strike="noStrike">
                  <a:solidFill>
                    <a:schemeClr val="bg1"/>
                  </a:solidFill>
                  <a:latin typeface="Avenir Light" panose="020B0403020203020204" pitchFamily="34" charset="-78"/>
                  <a:ea typeface="+mn-ea"/>
                  <a:cs typeface="Avenir Light" panose="020B0403020203020204" pitchFamily="34" charset="-78"/>
                </a:rPr>
                <a:pPr marL="0" indent="0" algn="l"/>
                <a:t>$1,90,380</a:t>
              </a:fld>
              <a:endParaRPr lang="en-IN" sz="6000">
                <a:solidFill>
                  <a:schemeClr val="bg1"/>
                </a:solidFill>
                <a:latin typeface="Avenir Light" panose="020B0403020203020204" pitchFamily="34" charset="-78"/>
                <a:ea typeface="+mn-ea"/>
                <a:cs typeface="Avenir Light" panose="020B0403020203020204" pitchFamily="34" charset="-78"/>
              </a:endParaRPr>
            </a:p>
          </xdr:txBody>
        </xdr:sp>
      </xdr:grpSp>
      <xdr:grpSp>
        <xdr:nvGrpSpPr>
          <xdr:cNvPr id="116" name="Group 115">
            <a:extLst>
              <a:ext uri="{FF2B5EF4-FFF2-40B4-BE49-F238E27FC236}">
                <a16:creationId xmlns:a16="http://schemas.microsoft.com/office/drawing/2014/main" id="{0B4BE010-A723-44AB-AA16-5A546B0B6081}"/>
              </a:ext>
            </a:extLst>
          </xdr:cNvPr>
          <xdr:cNvGrpSpPr/>
        </xdr:nvGrpSpPr>
        <xdr:grpSpPr>
          <a:xfrm>
            <a:off x="10550210" y="2056754"/>
            <a:ext cx="1783529" cy="639224"/>
            <a:chOff x="6400056" y="2569522"/>
            <a:chExt cx="1790807" cy="637068"/>
          </a:xfrm>
        </xdr:grpSpPr>
        <xdr:grpSp>
          <xdr:nvGrpSpPr>
            <xdr:cNvPr id="117" name="Group 116">
              <a:extLst>
                <a:ext uri="{FF2B5EF4-FFF2-40B4-BE49-F238E27FC236}">
                  <a16:creationId xmlns:a16="http://schemas.microsoft.com/office/drawing/2014/main" id="{0C294DCF-1673-0D8D-DDBB-89A9F42021B8}"/>
                </a:ext>
              </a:extLst>
            </xdr:cNvPr>
            <xdr:cNvGrpSpPr/>
          </xdr:nvGrpSpPr>
          <xdr:grpSpPr>
            <a:xfrm>
              <a:off x="6400056" y="2569522"/>
              <a:ext cx="1754805" cy="637068"/>
              <a:chOff x="6390287" y="2506022"/>
              <a:chExt cx="1751874" cy="622414"/>
            </a:xfrm>
          </xdr:grpSpPr>
          <xdr:sp macro="" textlink="">
            <xdr:nvSpPr>
              <xdr:cNvPr id="120" name="Rectangle: Rounded Corners 119">
                <a:extLst>
                  <a:ext uri="{FF2B5EF4-FFF2-40B4-BE49-F238E27FC236}">
                    <a16:creationId xmlns:a16="http://schemas.microsoft.com/office/drawing/2014/main" id="{58D604A1-0FEB-F166-4FAF-71521856719C}"/>
                  </a:ext>
                </a:extLst>
              </xdr:cNvPr>
              <xdr:cNvSpPr/>
            </xdr:nvSpPr>
            <xdr:spPr>
              <a:xfrm>
                <a:off x="6390287" y="2506022"/>
                <a:ext cx="1751874" cy="622414"/>
              </a:xfrm>
              <a:prstGeom prst="roundRect">
                <a:avLst/>
              </a:prstGeom>
              <a:solidFill>
                <a:srgbClr val="070E0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21" name="Rectangle: Rounded Corners 120">
                <a:extLst>
                  <a:ext uri="{FF2B5EF4-FFF2-40B4-BE49-F238E27FC236}">
                    <a16:creationId xmlns:a16="http://schemas.microsoft.com/office/drawing/2014/main" id="{9A57EE7F-075F-CD6B-9A02-BEDB500F5896}"/>
                  </a:ext>
                </a:extLst>
              </xdr:cNvPr>
              <xdr:cNvSpPr/>
            </xdr:nvSpPr>
            <xdr:spPr>
              <a:xfrm>
                <a:off x="6476420" y="2636324"/>
                <a:ext cx="363391" cy="361812"/>
              </a:xfrm>
              <a:prstGeom prst="roundRect">
                <a:avLst/>
              </a:prstGeom>
              <a:solidFill>
                <a:srgbClr val="00B0F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pic>
            <xdr:nvPicPr>
              <xdr:cNvPr id="122" name="Graphic 121" descr="City">
                <a:extLst>
                  <a:ext uri="{FF2B5EF4-FFF2-40B4-BE49-F238E27FC236}">
                    <a16:creationId xmlns:a16="http://schemas.microsoft.com/office/drawing/2014/main" id="{1FD46C87-142A-613B-E1E4-D2BB55E44828}"/>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6"/>
                  </a:ext>
                </a:extLst>
              </a:blip>
              <a:stretch>
                <a:fillRect/>
              </a:stretch>
            </xdr:blipFill>
            <xdr:spPr>
              <a:xfrm>
                <a:off x="6513460" y="2674163"/>
                <a:ext cx="289312" cy="286131"/>
              </a:xfrm>
              <a:prstGeom prst="rect">
                <a:avLst/>
              </a:prstGeom>
            </xdr:spPr>
          </xdr:pic>
        </xdr:grpSp>
        <xdr:sp macro="" textlink="'Pivot Tables'!BQ8">
          <xdr:nvSpPr>
            <xdr:cNvPr id="118" name="TextBox 117">
              <a:extLst>
                <a:ext uri="{FF2B5EF4-FFF2-40B4-BE49-F238E27FC236}">
                  <a16:creationId xmlns:a16="http://schemas.microsoft.com/office/drawing/2014/main" id="{01087B8F-7237-B814-6695-06607C2CF87C}"/>
                </a:ext>
              </a:extLst>
            </xdr:cNvPr>
            <xdr:cNvSpPr txBox="1"/>
          </xdr:nvSpPr>
          <xdr:spPr>
            <a:xfrm>
              <a:off x="6866100" y="2621373"/>
              <a:ext cx="1324763" cy="2955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21610C6B-2971-452A-91CE-DBFA59C5F074}" type="TxLink">
                <a:rPr lang="en-US" sz="1200" b="0" i="0" u="none" strike="noStrike">
                  <a:solidFill>
                    <a:schemeClr val="bg1"/>
                  </a:solidFill>
                  <a:latin typeface="Avenir Light" panose="020B0403020203020204" pitchFamily="34" charset="-78"/>
                  <a:ea typeface="+mn-ea"/>
                  <a:cs typeface="Avenir Light" panose="020B0403020203020204" pitchFamily="34" charset="-78"/>
                </a:rPr>
                <a:pPr marL="0" indent="0" algn="l"/>
                <a:t>United Kingdom</a:t>
              </a:fld>
              <a:endParaRPr lang="en-IN" sz="3600">
                <a:solidFill>
                  <a:schemeClr val="bg1"/>
                </a:solidFill>
                <a:latin typeface="Avenir Light" panose="020B0403020203020204" pitchFamily="34" charset="-78"/>
                <a:ea typeface="+mn-ea"/>
                <a:cs typeface="Avenir Light" panose="020B0403020203020204" pitchFamily="34" charset="-78"/>
              </a:endParaRPr>
            </a:p>
          </xdr:txBody>
        </xdr:sp>
        <xdr:sp macro="" textlink="'Pivot Tables'!BS8">
          <xdr:nvSpPr>
            <xdr:cNvPr id="119" name="TextBox 118">
              <a:extLst>
                <a:ext uri="{FF2B5EF4-FFF2-40B4-BE49-F238E27FC236}">
                  <a16:creationId xmlns:a16="http://schemas.microsoft.com/office/drawing/2014/main" id="{A5CBA2C3-CAD2-9028-1453-A4A4202633A1}"/>
                </a:ext>
              </a:extLst>
            </xdr:cNvPr>
            <xdr:cNvSpPr txBox="1"/>
          </xdr:nvSpPr>
          <xdr:spPr>
            <a:xfrm>
              <a:off x="6876066" y="2778272"/>
              <a:ext cx="995493" cy="2955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B83AC519-0E7A-4DDB-804A-59307D4D7D7A}" type="TxLink">
                <a:rPr lang="en-US" sz="1600" b="0" i="0" u="none" strike="noStrike">
                  <a:solidFill>
                    <a:schemeClr val="bg1"/>
                  </a:solidFill>
                  <a:latin typeface="Avenir Light" panose="020B0403020203020204" pitchFamily="34" charset="-78"/>
                  <a:ea typeface="+mn-ea"/>
                  <a:cs typeface="Avenir Light" panose="020B0403020203020204" pitchFamily="34" charset="-78"/>
                </a:rPr>
                <a:pPr marL="0" indent="0" algn="l"/>
                <a:t>$1,06,948</a:t>
              </a:fld>
              <a:endParaRPr lang="en-IN" sz="6000">
                <a:solidFill>
                  <a:schemeClr val="bg1"/>
                </a:solidFill>
                <a:latin typeface="Avenir Light" panose="020B0403020203020204" pitchFamily="34" charset="-78"/>
                <a:ea typeface="+mn-ea"/>
                <a:cs typeface="Avenir Light" panose="020B0403020203020204" pitchFamily="34" charset="-78"/>
              </a:endParaRPr>
            </a:p>
          </xdr:txBody>
        </xdr:sp>
      </xdr:grpSp>
      <xdr:grpSp>
        <xdr:nvGrpSpPr>
          <xdr:cNvPr id="123" name="Group 122">
            <a:extLst>
              <a:ext uri="{FF2B5EF4-FFF2-40B4-BE49-F238E27FC236}">
                <a16:creationId xmlns:a16="http://schemas.microsoft.com/office/drawing/2014/main" id="{44EB2E9F-D48D-4687-A94C-EC7726610D65}"/>
              </a:ext>
            </a:extLst>
          </xdr:cNvPr>
          <xdr:cNvGrpSpPr/>
        </xdr:nvGrpSpPr>
        <xdr:grpSpPr>
          <a:xfrm>
            <a:off x="13301080" y="1820039"/>
            <a:ext cx="1550217" cy="639223"/>
            <a:chOff x="6400056" y="2569522"/>
            <a:chExt cx="1754805" cy="637068"/>
          </a:xfrm>
        </xdr:grpSpPr>
        <xdr:grpSp>
          <xdr:nvGrpSpPr>
            <xdr:cNvPr id="124" name="Group 123">
              <a:extLst>
                <a:ext uri="{FF2B5EF4-FFF2-40B4-BE49-F238E27FC236}">
                  <a16:creationId xmlns:a16="http://schemas.microsoft.com/office/drawing/2014/main" id="{DDBBAB93-0BB1-377B-0371-195ECB3E52E9}"/>
                </a:ext>
              </a:extLst>
            </xdr:cNvPr>
            <xdr:cNvGrpSpPr/>
          </xdr:nvGrpSpPr>
          <xdr:grpSpPr>
            <a:xfrm>
              <a:off x="6400056" y="2569522"/>
              <a:ext cx="1754805" cy="637068"/>
              <a:chOff x="6390287" y="2506022"/>
              <a:chExt cx="1751874" cy="622414"/>
            </a:xfrm>
          </xdr:grpSpPr>
          <xdr:sp macro="" textlink="">
            <xdr:nvSpPr>
              <xdr:cNvPr id="127" name="Rectangle: Rounded Corners 126">
                <a:extLst>
                  <a:ext uri="{FF2B5EF4-FFF2-40B4-BE49-F238E27FC236}">
                    <a16:creationId xmlns:a16="http://schemas.microsoft.com/office/drawing/2014/main" id="{C92E9B28-A475-2DCB-F5C3-27CF827D8AEA}"/>
                  </a:ext>
                </a:extLst>
              </xdr:cNvPr>
              <xdr:cNvSpPr/>
            </xdr:nvSpPr>
            <xdr:spPr>
              <a:xfrm>
                <a:off x="6390287" y="2506022"/>
                <a:ext cx="1751874" cy="622414"/>
              </a:xfrm>
              <a:prstGeom prst="roundRect">
                <a:avLst/>
              </a:prstGeom>
              <a:solidFill>
                <a:srgbClr val="070E0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28" name="Rectangle: Rounded Corners 127">
                <a:extLst>
                  <a:ext uri="{FF2B5EF4-FFF2-40B4-BE49-F238E27FC236}">
                    <a16:creationId xmlns:a16="http://schemas.microsoft.com/office/drawing/2014/main" id="{5EAF0D6B-DEE0-411C-0DB7-B627A09D9D58}"/>
                  </a:ext>
                </a:extLst>
              </xdr:cNvPr>
              <xdr:cNvSpPr/>
            </xdr:nvSpPr>
            <xdr:spPr>
              <a:xfrm>
                <a:off x="6476420" y="2636324"/>
                <a:ext cx="363391" cy="361812"/>
              </a:xfrm>
              <a:prstGeom prst="roundRect">
                <a:avLst/>
              </a:prstGeom>
              <a:solidFill>
                <a:srgbClr val="D39F0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pic>
            <xdr:nvPicPr>
              <xdr:cNvPr id="129" name="Graphic 128" descr="City">
                <a:extLst>
                  <a:ext uri="{FF2B5EF4-FFF2-40B4-BE49-F238E27FC236}">
                    <a16:creationId xmlns:a16="http://schemas.microsoft.com/office/drawing/2014/main" id="{7734DC8A-A7B5-7147-CB69-D4C89687C7B8}"/>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5"/>
                  </a:ext>
                </a:extLst>
              </a:blip>
              <a:stretch>
                <a:fillRect/>
              </a:stretch>
            </xdr:blipFill>
            <xdr:spPr>
              <a:xfrm>
                <a:off x="6513460" y="2674163"/>
                <a:ext cx="289312" cy="286131"/>
              </a:xfrm>
              <a:prstGeom prst="rect">
                <a:avLst/>
              </a:prstGeom>
            </xdr:spPr>
          </xdr:pic>
        </xdr:grpSp>
        <xdr:sp macro="" textlink="'Pivot Tables'!BQ7">
          <xdr:nvSpPr>
            <xdr:cNvPr id="125" name="TextBox 124">
              <a:extLst>
                <a:ext uri="{FF2B5EF4-FFF2-40B4-BE49-F238E27FC236}">
                  <a16:creationId xmlns:a16="http://schemas.microsoft.com/office/drawing/2014/main" id="{D0116F72-20EF-1A5D-7753-A17DF5D7104C}"/>
                </a:ext>
              </a:extLst>
            </xdr:cNvPr>
            <xdr:cNvSpPr txBox="1"/>
          </xdr:nvSpPr>
          <xdr:spPr>
            <a:xfrm>
              <a:off x="6866101" y="2621373"/>
              <a:ext cx="1019425" cy="2955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FE1A7A3A-F70A-49B9-A1C7-91922F0DE640}" type="TxLink">
                <a:rPr lang="en-US" sz="1200" b="0" i="0" u="none" strike="noStrike">
                  <a:solidFill>
                    <a:schemeClr val="bg1"/>
                  </a:solidFill>
                  <a:latin typeface="Avenir Light" panose="020B0403020203020204" pitchFamily="34" charset="-78"/>
                  <a:ea typeface="+mn-ea"/>
                  <a:cs typeface="Avenir Light" panose="020B0403020203020204" pitchFamily="34" charset="-78"/>
                </a:rPr>
                <a:pPr marL="0" indent="0" algn="l"/>
                <a:t>Russia</a:t>
              </a:fld>
              <a:endParaRPr lang="en-IN" sz="3600">
                <a:solidFill>
                  <a:schemeClr val="bg1"/>
                </a:solidFill>
                <a:latin typeface="Avenir Light" panose="020B0403020203020204" pitchFamily="34" charset="-78"/>
                <a:ea typeface="+mn-ea"/>
                <a:cs typeface="Avenir Light" panose="020B0403020203020204" pitchFamily="34" charset="-78"/>
              </a:endParaRPr>
            </a:p>
          </xdr:txBody>
        </xdr:sp>
        <xdr:sp macro="" textlink="'Pivot Tables'!BS7">
          <xdr:nvSpPr>
            <xdr:cNvPr id="126" name="TextBox 125">
              <a:extLst>
                <a:ext uri="{FF2B5EF4-FFF2-40B4-BE49-F238E27FC236}">
                  <a16:creationId xmlns:a16="http://schemas.microsoft.com/office/drawing/2014/main" id="{205671A3-49ED-39F0-0181-3AAC34EB8C69}"/>
                </a:ext>
              </a:extLst>
            </xdr:cNvPr>
            <xdr:cNvSpPr txBox="1"/>
          </xdr:nvSpPr>
          <xdr:spPr>
            <a:xfrm>
              <a:off x="6861529" y="2778272"/>
              <a:ext cx="1194481" cy="2955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935967B8-4FED-4ACC-9FB5-446EEF65BDE2}" type="TxLink">
                <a:rPr lang="en-US" sz="1600" b="0" i="0" u="none" strike="noStrike">
                  <a:solidFill>
                    <a:schemeClr val="bg1"/>
                  </a:solidFill>
                  <a:latin typeface="Avenir Light" panose="020B0403020203020204" pitchFamily="34" charset="-78"/>
                  <a:ea typeface="+mn-ea"/>
                  <a:cs typeface="Avenir Light" panose="020B0403020203020204" pitchFamily="34" charset="-78"/>
                </a:rPr>
                <a:pPr marL="0" indent="0" algn="l"/>
                <a:t>$1,12,620</a:t>
              </a:fld>
              <a:endParaRPr lang="en-IN" sz="6000">
                <a:solidFill>
                  <a:schemeClr val="bg1"/>
                </a:solidFill>
                <a:latin typeface="Avenir Light" panose="020B0403020203020204" pitchFamily="34" charset="-78"/>
                <a:ea typeface="+mn-ea"/>
                <a:cs typeface="Avenir Light" panose="020B0403020203020204" pitchFamily="34" charset="-78"/>
              </a:endParaRPr>
            </a:p>
          </xdr:txBody>
        </xdr:sp>
      </xdr:grpSp>
    </xdr:grpSp>
    <xdr:clientData/>
  </xdr:twoCellAnchor>
  <xdr:twoCellAnchor>
    <xdr:from>
      <xdr:col>0</xdr:col>
      <xdr:colOff>504542</xdr:colOff>
      <xdr:row>18</xdr:row>
      <xdr:rowOff>77274</xdr:rowOff>
    </xdr:from>
    <xdr:to>
      <xdr:col>6</xdr:col>
      <xdr:colOff>259221</xdr:colOff>
      <xdr:row>25</xdr:row>
      <xdr:rowOff>179382</xdr:rowOff>
    </xdr:to>
    <xdr:grpSp>
      <xdr:nvGrpSpPr>
        <xdr:cNvPr id="57" name="Group 56">
          <a:extLst>
            <a:ext uri="{FF2B5EF4-FFF2-40B4-BE49-F238E27FC236}">
              <a16:creationId xmlns:a16="http://schemas.microsoft.com/office/drawing/2014/main" id="{56B769AC-9306-3701-F2CE-6753FF04FCA4}"/>
            </a:ext>
          </a:extLst>
        </xdr:cNvPr>
        <xdr:cNvGrpSpPr/>
      </xdr:nvGrpSpPr>
      <xdr:grpSpPr>
        <a:xfrm>
          <a:off x="504542" y="3506274"/>
          <a:ext cx="3412279" cy="1435608"/>
          <a:chOff x="549489" y="2919351"/>
          <a:chExt cx="3785492" cy="1496595"/>
        </a:xfrm>
      </xdr:grpSpPr>
      <xdr:grpSp>
        <xdr:nvGrpSpPr>
          <xdr:cNvPr id="32" name="Group 31">
            <a:extLst>
              <a:ext uri="{FF2B5EF4-FFF2-40B4-BE49-F238E27FC236}">
                <a16:creationId xmlns:a16="http://schemas.microsoft.com/office/drawing/2014/main" id="{5A5B0EDF-EA6A-0096-4C28-56EFFED54754}"/>
              </a:ext>
            </a:extLst>
          </xdr:cNvPr>
          <xdr:cNvGrpSpPr/>
        </xdr:nvGrpSpPr>
        <xdr:grpSpPr>
          <a:xfrm>
            <a:off x="549489" y="2919351"/>
            <a:ext cx="3785492" cy="263939"/>
            <a:chOff x="563283" y="2919351"/>
            <a:chExt cx="3032944" cy="263939"/>
          </a:xfrm>
        </xdr:grpSpPr>
        <xdr:sp macro="" textlink="'Pivot Tables'!BB5">
          <xdr:nvSpPr>
            <xdr:cNvPr id="24" name="TextBox 23">
              <a:extLst>
                <a:ext uri="{FF2B5EF4-FFF2-40B4-BE49-F238E27FC236}">
                  <a16:creationId xmlns:a16="http://schemas.microsoft.com/office/drawing/2014/main" id="{A71D7531-0B46-7D4D-AFBE-569CC4A22310}"/>
                </a:ext>
              </a:extLst>
            </xdr:cNvPr>
            <xdr:cNvSpPr txBox="1"/>
          </xdr:nvSpPr>
          <xdr:spPr>
            <a:xfrm>
              <a:off x="563283" y="2919351"/>
              <a:ext cx="1172371" cy="2639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571E6C30-10A6-420F-A673-FF6ED9F57BCE}" type="TxLink">
                <a:rPr lang="en-US" sz="1100" b="0" i="0" u="none" strike="noStrike">
                  <a:solidFill>
                    <a:schemeClr val="bg1"/>
                  </a:solidFill>
                  <a:latin typeface="Avenir Medium" panose="020B0603020203020204" pitchFamily="34" charset="-78"/>
                  <a:ea typeface="Calibri"/>
                  <a:cs typeface="Avenir Medium" panose="020B0603020203020204" pitchFamily="34" charset="-78"/>
                </a:rPr>
                <a:pPr/>
                <a:t>Egypt</a:t>
              </a:fld>
              <a:endParaRPr lang="en-IN" sz="1100">
                <a:solidFill>
                  <a:schemeClr val="bg1"/>
                </a:solidFill>
                <a:latin typeface="Avenir Medium" panose="020B0603020203020204" pitchFamily="34" charset="-78"/>
                <a:cs typeface="Avenir Medium" panose="020B0603020203020204" pitchFamily="34" charset="-78"/>
              </a:endParaRPr>
            </a:p>
          </xdr:txBody>
        </xdr:sp>
        <xdr:sp macro="" textlink="'Pivot Tables'!BC5">
          <xdr:nvSpPr>
            <xdr:cNvPr id="28" name="TextBox 27">
              <a:extLst>
                <a:ext uri="{FF2B5EF4-FFF2-40B4-BE49-F238E27FC236}">
                  <a16:creationId xmlns:a16="http://schemas.microsoft.com/office/drawing/2014/main" id="{03DC0D1C-11C0-FDE7-D502-F3F07C076964}"/>
                </a:ext>
              </a:extLst>
            </xdr:cNvPr>
            <xdr:cNvSpPr txBox="1"/>
          </xdr:nvSpPr>
          <xdr:spPr>
            <a:xfrm>
              <a:off x="1678467" y="2919351"/>
              <a:ext cx="1166348" cy="2639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304676EF-2E8F-4E4E-9FCC-F39C72F3BB81}" type="TxLink">
                <a:rPr lang="en-US" sz="1100" b="0" i="0" u="none" strike="noStrike">
                  <a:solidFill>
                    <a:schemeClr val="bg1"/>
                  </a:solidFill>
                  <a:latin typeface="Avenir Medium" panose="020B0603020203020204" pitchFamily="34" charset="-78"/>
                  <a:ea typeface="Calibri"/>
                  <a:cs typeface="Avenir Medium" panose="020B0603020203020204" pitchFamily="34" charset="-78"/>
                </a:rPr>
                <a:pPr/>
                <a:t>190380</a:t>
              </a:fld>
              <a:endParaRPr lang="en-IN" sz="1100">
                <a:solidFill>
                  <a:schemeClr val="bg1"/>
                </a:solidFill>
                <a:latin typeface="Avenir Medium" panose="020B0603020203020204" pitchFamily="34" charset="-78"/>
                <a:cs typeface="Avenir Medium" panose="020B0603020203020204" pitchFamily="34" charset="-78"/>
              </a:endParaRPr>
            </a:p>
          </xdr:txBody>
        </xdr:sp>
        <xdr:sp macro="" textlink="'Pivot Tables'!BD5">
          <xdr:nvSpPr>
            <xdr:cNvPr id="31" name="TextBox 30">
              <a:extLst>
                <a:ext uri="{FF2B5EF4-FFF2-40B4-BE49-F238E27FC236}">
                  <a16:creationId xmlns:a16="http://schemas.microsoft.com/office/drawing/2014/main" id="{1E77D95C-31C9-413B-9F5A-8CA4691FA4D9}"/>
                </a:ext>
              </a:extLst>
            </xdr:cNvPr>
            <xdr:cNvSpPr txBox="1"/>
          </xdr:nvSpPr>
          <xdr:spPr>
            <a:xfrm>
              <a:off x="2428338" y="2919351"/>
              <a:ext cx="1167889" cy="2639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45E1697A-F367-4749-9B5C-191A6F94BD76}" type="TxLink">
                <a:rPr lang="en-US" sz="1100" b="0" i="0" u="none" strike="noStrike">
                  <a:solidFill>
                    <a:schemeClr val="bg1"/>
                  </a:solidFill>
                  <a:latin typeface="Avenir Medium" panose="020B0603020203020204" pitchFamily="34" charset="-78"/>
                  <a:ea typeface="Calibri"/>
                  <a:cs typeface="Avenir Medium" panose="020B0603020203020204" pitchFamily="34" charset="-78"/>
                </a:rPr>
                <a:pPr/>
                <a:t>29.54%</a:t>
              </a:fld>
              <a:endParaRPr lang="en-IN" sz="1100">
                <a:solidFill>
                  <a:schemeClr val="bg1"/>
                </a:solidFill>
                <a:latin typeface="Avenir Medium" panose="020B0603020203020204" pitchFamily="34" charset="-78"/>
                <a:cs typeface="Avenir Medium" panose="020B0603020203020204" pitchFamily="34" charset="-78"/>
              </a:endParaRPr>
            </a:p>
          </xdr:txBody>
        </xdr:sp>
      </xdr:grpSp>
      <xdr:grpSp>
        <xdr:nvGrpSpPr>
          <xdr:cNvPr id="37" name="Group 36">
            <a:extLst>
              <a:ext uri="{FF2B5EF4-FFF2-40B4-BE49-F238E27FC236}">
                <a16:creationId xmlns:a16="http://schemas.microsoft.com/office/drawing/2014/main" id="{A4C3D6CF-5396-6353-40DA-70C6DFC49283}"/>
              </a:ext>
            </a:extLst>
          </xdr:cNvPr>
          <xdr:cNvGrpSpPr/>
        </xdr:nvGrpSpPr>
        <xdr:grpSpPr>
          <a:xfrm>
            <a:off x="549489" y="3165882"/>
            <a:ext cx="3785492" cy="263939"/>
            <a:chOff x="563283" y="2919351"/>
            <a:chExt cx="3032944" cy="263939"/>
          </a:xfrm>
        </xdr:grpSpPr>
        <xdr:sp macro="" textlink="'Pivot Tables'!BB6">
          <xdr:nvSpPr>
            <xdr:cNvPr id="38" name="TextBox 37">
              <a:extLst>
                <a:ext uri="{FF2B5EF4-FFF2-40B4-BE49-F238E27FC236}">
                  <a16:creationId xmlns:a16="http://schemas.microsoft.com/office/drawing/2014/main" id="{4073D2C6-2DA4-3024-F7BA-857CA0F5FFE7}"/>
                </a:ext>
              </a:extLst>
            </xdr:cNvPr>
            <xdr:cNvSpPr txBox="1"/>
          </xdr:nvSpPr>
          <xdr:spPr>
            <a:xfrm>
              <a:off x="563283" y="2919351"/>
              <a:ext cx="1172371" cy="2639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238E3515-B6A1-43FB-B1C1-93135FD7E9B3}" type="TxLink">
                <a:rPr lang="en-US" sz="1100" b="0" i="0" u="none" strike="noStrike">
                  <a:solidFill>
                    <a:schemeClr val="bg1"/>
                  </a:solidFill>
                  <a:latin typeface="Avenir Medium" panose="020B0603020203020204" pitchFamily="34" charset="-78"/>
                  <a:ea typeface="Calibri"/>
                  <a:cs typeface="Avenir Medium" panose="020B0603020203020204" pitchFamily="34" charset="-78"/>
                </a:rPr>
                <a:pPr/>
                <a:t>Russia</a:t>
              </a:fld>
              <a:endParaRPr lang="en-IN" sz="1100">
                <a:solidFill>
                  <a:schemeClr val="bg1"/>
                </a:solidFill>
                <a:latin typeface="Avenir Medium" panose="020B0603020203020204" pitchFamily="34" charset="-78"/>
                <a:cs typeface="Avenir Medium" panose="020B0603020203020204" pitchFamily="34" charset="-78"/>
              </a:endParaRPr>
            </a:p>
          </xdr:txBody>
        </xdr:sp>
        <xdr:sp macro="" textlink="'Pivot Tables'!BC6">
          <xdr:nvSpPr>
            <xdr:cNvPr id="39" name="TextBox 38">
              <a:extLst>
                <a:ext uri="{FF2B5EF4-FFF2-40B4-BE49-F238E27FC236}">
                  <a16:creationId xmlns:a16="http://schemas.microsoft.com/office/drawing/2014/main" id="{C6CA4E9A-AE3F-6E25-B93C-23871CA66A34}"/>
                </a:ext>
              </a:extLst>
            </xdr:cNvPr>
            <xdr:cNvSpPr txBox="1"/>
          </xdr:nvSpPr>
          <xdr:spPr>
            <a:xfrm>
              <a:off x="1678467" y="2919351"/>
              <a:ext cx="1166348" cy="2639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B2F3DE99-F459-4C4F-A249-21710B884572}" type="TxLink">
                <a:rPr lang="en-US" sz="1100" b="0" i="0" u="none" strike="noStrike">
                  <a:solidFill>
                    <a:schemeClr val="bg1"/>
                  </a:solidFill>
                  <a:latin typeface="Avenir Medium" panose="020B0603020203020204" pitchFamily="34" charset="-78"/>
                  <a:ea typeface="Calibri"/>
                  <a:cs typeface="Avenir Medium" panose="020B0603020203020204" pitchFamily="34" charset="-78"/>
                </a:rPr>
                <a:pPr/>
                <a:t>112620</a:t>
              </a:fld>
              <a:endParaRPr lang="en-IN" sz="1100">
                <a:solidFill>
                  <a:schemeClr val="bg1"/>
                </a:solidFill>
                <a:latin typeface="Avenir Medium" panose="020B0603020203020204" pitchFamily="34" charset="-78"/>
                <a:cs typeface="Avenir Medium" panose="020B0603020203020204" pitchFamily="34" charset="-78"/>
              </a:endParaRPr>
            </a:p>
          </xdr:txBody>
        </xdr:sp>
        <xdr:sp macro="" textlink="'Pivot Tables'!BD6">
          <xdr:nvSpPr>
            <xdr:cNvPr id="40" name="TextBox 39">
              <a:extLst>
                <a:ext uri="{FF2B5EF4-FFF2-40B4-BE49-F238E27FC236}">
                  <a16:creationId xmlns:a16="http://schemas.microsoft.com/office/drawing/2014/main" id="{C8219B4F-B9CE-BE1F-5E24-E557CA38C3F4}"/>
                </a:ext>
              </a:extLst>
            </xdr:cNvPr>
            <xdr:cNvSpPr txBox="1"/>
          </xdr:nvSpPr>
          <xdr:spPr>
            <a:xfrm>
              <a:off x="2428338" y="2919351"/>
              <a:ext cx="1167889" cy="2639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CA8C119-C8C7-4D4E-A100-11F276530827}" type="TxLink">
                <a:rPr lang="en-US" sz="1100" b="0" i="0" u="none" strike="noStrike">
                  <a:solidFill>
                    <a:schemeClr val="bg1"/>
                  </a:solidFill>
                  <a:latin typeface="Avenir Medium" panose="020B0603020203020204" pitchFamily="34" charset="-78"/>
                  <a:ea typeface="Calibri"/>
                  <a:cs typeface="Avenir Medium" panose="020B0603020203020204" pitchFamily="34" charset="-78"/>
                </a:rPr>
                <a:pPr/>
                <a:t>17.48%</a:t>
              </a:fld>
              <a:endParaRPr lang="en-IN" sz="1100">
                <a:solidFill>
                  <a:schemeClr val="bg1"/>
                </a:solidFill>
                <a:latin typeface="Avenir Medium" panose="020B0603020203020204" pitchFamily="34" charset="-78"/>
                <a:cs typeface="Avenir Medium" panose="020B0603020203020204" pitchFamily="34" charset="-78"/>
              </a:endParaRPr>
            </a:p>
          </xdr:txBody>
        </xdr:sp>
      </xdr:grpSp>
      <xdr:grpSp>
        <xdr:nvGrpSpPr>
          <xdr:cNvPr id="41" name="Group 40">
            <a:extLst>
              <a:ext uri="{FF2B5EF4-FFF2-40B4-BE49-F238E27FC236}">
                <a16:creationId xmlns:a16="http://schemas.microsoft.com/office/drawing/2014/main" id="{4B8D5E36-1419-8BBC-5C9A-659354FF11C2}"/>
              </a:ext>
            </a:extLst>
          </xdr:cNvPr>
          <xdr:cNvGrpSpPr/>
        </xdr:nvGrpSpPr>
        <xdr:grpSpPr>
          <a:xfrm>
            <a:off x="549489" y="3412413"/>
            <a:ext cx="3785492" cy="263939"/>
            <a:chOff x="563283" y="2919351"/>
            <a:chExt cx="3032944" cy="263939"/>
          </a:xfrm>
        </xdr:grpSpPr>
        <xdr:sp macro="" textlink="'Pivot Tables'!BB7">
          <xdr:nvSpPr>
            <xdr:cNvPr id="42" name="TextBox 41">
              <a:extLst>
                <a:ext uri="{FF2B5EF4-FFF2-40B4-BE49-F238E27FC236}">
                  <a16:creationId xmlns:a16="http://schemas.microsoft.com/office/drawing/2014/main" id="{246EEFA9-CD70-07A4-342A-70713DB539A3}"/>
                </a:ext>
              </a:extLst>
            </xdr:cNvPr>
            <xdr:cNvSpPr txBox="1"/>
          </xdr:nvSpPr>
          <xdr:spPr>
            <a:xfrm>
              <a:off x="563283" y="2919351"/>
              <a:ext cx="1172371" cy="2639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A5D1CE50-00C0-4F4E-976D-43A1DBDC06D6}" type="TxLink">
                <a:rPr lang="en-US" sz="1100" b="0" i="0" u="none" strike="noStrike">
                  <a:solidFill>
                    <a:schemeClr val="bg1"/>
                  </a:solidFill>
                  <a:latin typeface="Avenir Medium" panose="020B0603020203020204" pitchFamily="34" charset="-78"/>
                  <a:ea typeface="Calibri"/>
                  <a:cs typeface="Avenir Medium" panose="020B0603020203020204" pitchFamily="34" charset="-78"/>
                </a:rPr>
                <a:pPr/>
                <a:t>USA</a:t>
              </a:fld>
              <a:endParaRPr lang="en-IN" sz="1100">
                <a:solidFill>
                  <a:schemeClr val="bg1"/>
                </a:solidFill>
                <a:latin typeface="Avenir Medium" panose="020B0603020203020204" pitchFamily="34" charset="-78"/>
                <a:cs typeface="Avenir Medium" panose="020B0603020203020204" pitchFamily="34" charset="-78"/>
              </a:endParaRPr>
            </a:p>
          </xdr:txBody>
        </xdr:sp>
        <xdr:sp macro="" textlink="'Pivot Tables'!BC7">
          <xdr:nvSpPr>
            <xdr:cNvPr id="43" name="TextBox 42">
              <a:extLst>
                <a:ext uri="{FF2B5EF4-FFF2-40B4-BE49-F238E27FC236}">
                  <a16:creationId xmlns:a16="http://schemas.microsoft.com/office/drawing/2014/main" id="{D5A328CE-3778-91C2-BB36-55D83C5AE44C}"/>
                </a:ext>
              </a:extLst>
            </xdr:cNvPr>
            <xdr:cNvSpPr txBox="1"/>
          </xdr:nvSpPr>
          <xdr:spPr>
            <a:xfrm>
              <a:off x="1678467" y="2919351"/>
              <a:ext cx="1166348" cy="2639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0237B0C5-A651-400B-BBCB-417C7362D3B3}" type="TxLink">
                <a:rPr lang="en-US" sz="1100" b="0" i="0" u="none" strike="noStrike">
                  <a:solidFill>
                    <a:schemeClr val="bg1"/>
                  </a:solidFill>
                  <a:latin typeface="Avenir Medium" panose="020B0603020203020204" pitchFamily="34" charset="-78"/>
                  <a:ea typeface="Calibri"/>
                  <a:cs typeface="Avenir Medium" panose="020B0603020203020204" pitchFamily="34" charset="-78"/>
                </a:rPr>
                <a:pPr/>
                <a:t>109940</a:t>
              </a:fld>
              <a:endParaRPr lang="en-IN" sz="1100">
                <a:solidFill>
                  <a:schemeClr val="bg1"/>
                </a:solidFill>
                <a:latin typeface="Avenir Medium" panose="020B0603020203020204" pitchFamily="34" charset="-78"/>
                <a:cs typeface="Avenir Medium" panose="020B0603020203020204" pitchFamily="34" charset="-78"/>
              </a:endParaRPr>
            </a:p>
          </xdr:txBody>
        </xdr:sp>
        <xdr:sp macro="" textlink="'Pivot Tables'!BD7">
          <xdr:nvSpPr>
            <xdr:cNvPr id="44" name="TextBox 43">
              <a:extLst>
                <a:ext uri="{FF2B5EF4-FFF2-40B4-BE49-F238E27FC236}">
                  <a16:creationId xmlns:a16="http://schemas.microsoft.com/office/drawing/2014/main" id="{5B5ECA9E-728F-F179-5AB3-425CDAF25DD9}"/>
                </a:ext>
              </a:extLst>
            </xdr:cNvPr>
            <xdr:cNvSpPr txBox="1"/>
          </xdr:nvSpPr>
          <xdr:spPr>
            <a:xfrm>
              <a:off x="2428338" y="2919351"/>
              <a:ext cx="1167889" cy="2639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6D3CD8EF-B03B-4ECC-8F61-95CF200443B6}" type="TxLink">
                <a:rPr lang="en-US" sz="1100" b="0" i="0" u="none" strike="noStrike">
                  <a:solidFill>
                    <a:schemeClr val="bg1"/>
                  </a:solidFill>
                  <a:latin typeface="Avenir Medium" panose="020B0603020203020204" pitchFamily="34" charset="-78"/>
                  <a:ea typeface="Calibri"/>
                  <a:cs typeface="Avenir Medium" panose="020B0603020203020204" pitchFamily="34" charset="-78"/>
                </a:rPr>
                <a:pPr/>
                <a:t>17.06%</a:t>
              </a:fld>
              <a:endParaRPr lang="en-IN" sz="1100">
                <a:solidFill>
                  <a:schemeClr val="bg1"/>
                </a:solidFill>
                <a:latin typeface="Avenir Medium" panose="020B0603020203020204" pitchFamily="34" charset="-78"/>
                <a:cs typeface="Avenir Medium" panose="020B0603020203020204" pitchFamily="34" charset="-78"/>
              </a:endParaRPr>
            </a:p>
          </xdr:txBody>
        </xdr:sp>
      </xdr:grpSp>
      <xdr:grpSp>
        <xdr:nvGrpSpPr>
          <xdr:cNvPr id="45" name="Group 44">
            <a:extLst>
              <a:ext uri="{FF2B5EF4-FFF2-40B4-BE49-F238E27FC236}">
                <a16:creationId xmlns:a16="http://schemas.microsoft.com/office/drawing/2014/main" id="{31C12AAD-836A-C5CF-78EE-2B029B5A8BAC}"/>
              </a:ext>
            </a:extLst>
          </xdr:cNvPr>
          <xdr:cNvGrpSpPr/>
        </xdr:nvGrpSpPr>
        <xdr:grpSpPr>
          <a:xfrm>
            <a:off x="549489" y="3658944"/>
            <a:ext cx="3785492" cy="263939"/>
            <a:chOff x="563283" y="2919351"/>
            <a:chExt cx="3032944" cy="263939"/>
          </a:xfrm>
        </xdr:grpSpPr>
        <xdr:sp macro="" textlink="'Pivot Tables'!BB8">
          <xdr:nvSpPr>
            <xdr:cNvPr id="46" name="TextBox 45">
              <a:extLst>
                <a:ext uri="{FF2B5EF4-FFF2-40B4-BE49-F238E27FC236}">
                  <a16:creationId xmlns:a16="http://schemas.microsoft.com/office/drawing/2014/main" id="{99F051F9-3FC0-75AE-3437-76EF3E4DF668}"/>
                </a:ext>
              </a:extLst>
            </xdr:cNvPr>
            <xdr:cNvSpPr txBox="1"/>
          </xdr:nvSpPr>
          <xdr:spPr>
            <a:xfrm>
              <a:off x="563283" y="2919351"/>
              <a:ext cx="1172371" cy="2639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BCB120C9-1496-45BD-B74B-A8F1966C7225}" type="TxLink">
                <a:rPr lang="en-US" sz="1100" b="0" i="0" u="none" strike="noStrike">
                  <a:solidFill>
                    <a:schemeClr val="bg1"/>
                  </a:solidFill>
                  <a:latin typeface="Avenir Medium" panose="020B0603020203020204" pitchFamily="34" charset="-78"/>
                  <a:ea typeface="Calibri"/>
                  <a:cs typeface="Avenir Medium" panose="020B0603020203020204" pitchFamily="34" charset="-78"/>
                </a:rPr>
                <a:pPr/>
                <a:t>United Kingdom</a:t>
              </a:fld>
              <a:endParaRPr lang="en-IN" sz="1100">
                <a:solidFill>
                  <a:schemeClr val="bg1"/>
                </a:solidFill>
                <a:latin typeface="Avenir Medium" panose="020B0603020203020204" pitchFamily="34" charset="-78"/>
                <a:cs typeface="Avenir Medium" panose="020B0603020203020204" pitchFamily="34" charset="-78"/>
              </a:endParaRPr>
            </a:p>
          </xdr:txBody>
        </xdr:sp>
        <xdr:sp macro="" textlink="'Pivot Tables'!BC8">
          <xdr:nvSpPr>
            <xdr:cNvPr id="47" name="TextBox 46">
              <a:extLst>
                <a:ext uri="{FF2B5EF4-FFF2-40B4-BE49-F238E27FC236}">
                  <a16:creationId xmlns:a16="http://schemas.microsoft.com/office/drawing/2014/main" id="{06875FC9-B7ED-D9FC-7353-4CB03BB71FE1}"/>
                </a:ext>
              </a:extLst>
            </xdr:cNvPr>
            <xdr:cNvSpPr txBox="1"/>
          </xdr:nvSpPr>
          <xdr:spPr>
            <a:xfrm>
              <a:off x="1678467" y="2919351"/>
              <a:ext cx="1166348" cy="2639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B5F765A7-189D-4439-9F22-144C4AC0DAAA}" type="TxLink">
                <a:rPr lang="en-US" sz="1100" b="0" i="0" u="none" strike="noStrike">
                  <a:solidFill>
                    <a:schemeClr val="bg1"/>
                  </a:solidFill>
                  <a:latin typeface="Avenir Medium" panose="020B0603020203020204" pitchFamily="34" charset="-78"/>
                  <a:ea typeface="Calibri"/>
                  <a:cs typeface="Avenir Medium" panose="020B0603020203020204" pitchFamily="34" charset="-78"/>
                </a:rPr>
                <a:pPr/>
                <a:t>106948</a:t>
              </a:fld>
              <a:endParaRPr lang="en-IN" sz="1100">
                <a:solidFill>
                  <a:schemeClr val="bg1"/>
                </a:solidFill>
                <a:latin typeface="Avenir Medium" panose="020B0603020203020204" pitchFamily="34" charset="-78"/>
                <a:cs typeface="Avenir Medium" panose="020B0603020203020204" pitchFamily="34" charset="-78"/>
              </a:endParaRPr>
            </a:p>
          </xdr:txBody>
        </xdr:sp>
        <xdr:sp macro="" textlink="'Pivot Tables'!BD8">
          <xdr:nvSpPr>
            <xdr:cNvPr id="48" name="TextBox 47">
              <a:extLst>
                <a:ext uri="{FF2B5EF4-FFF2-40B4-BE49-F238E27FC236}">
                  <a16:creationId xmlns:a16="http://schemas.microsoft.com/office/drawing/2014/main" id="{8E4E390F-F96B-33FA-3659-FF87733FE1AB}"/>
                </a:ext>
              </a:extLst>
            </xdr:cNvPr>
            <xdr:cNvSpPr txBox="1"/>
          </xdr:nvSpPr>
          <xdr:spPr>
            <a:xfrm>
              <a:off x="2428338" y="2919351"/>
              <a:ext cx="1167889" cy="2639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D7DDBD55-C24F-4E04-A36E-56A582ABA00E}" type="TxLink">
                <a:rPr lang="en-US" sz="1100" b="0" i="0" u="none" strike="noStrike">
                  <a:solidFill>
                    <a:schemeClr val="bg1"/>
                  </a:solidFill>
                  <a:latin typeface="Avenir Medium" panose="020B0603020203020204" pitchFamily="34" charset="-78"/>
                  <a:ea typeface="Calibri"/>
                  <a:cs typeface="Avenir Medium" panose="020B0603020203020204" pitchFamily="34" charset="-78"/>
                </a:rPr>
                <a:pPr/>
                <a:t>16.60%</a:t>
              </a:fld>
              <a:endParaRPr lang="en-IN" sz="1100">
                <a:solidFill>
                  <a:schemeClr val="bg1"/>
                </a:solidFill>
                <a:latin typeface="Avenir Medium" panose="020B0603020203020204" pitchFamily="34" charset="-78"/>
                <a:cs typeface="Avenir Medium" panose="020B0603020203020204" pitchFamily="34" charset="-78"/>
              </a:endParaRPr>
            </a:p>
          </xdr:txBody>
        </xdr:sp>
      </xdr:grpSp>
      <xdr:grpSp>
        <xdr:nvGrpSpPr>
          <xdr:cNvPr id="49" name="Group 48">
            <a:extLst>
              <a:ext uri="{FF2B5EF4-FFF2-40B4-BE49-F238E27FC236}">
                <a16:creationId xmlns:a16="http://schemas.microsoft.com/office/drawing/2014/main" id="{CBD4A36D-4519-E0AE-97A3-F02C3A9CA7E2}"/>
              </a:ext>
            </a:extLst>
          </xdr:cNvPr>
          <xdr:cNvGrpSpPr/>
        </xdr:nvGrpSpPr>
        <xdr:grpSpPr>
          <a:xfrm>
            <a:off x="549489" y="3905475"/>
            <a:ext cx="3785492" cy="263939"/>
            <a:chOff x="563283" y="2919351"/>
            <a:chExt cx="3032944" cy="263939"/>
          </a:xfrm>
        </xdr:grpSpPr>
        <xdr:sp macro="" textlink="'Pivot Tables'!BB9">
          <xdr:nvSpPr>
            <xdr:cNvPr id="50" name="TextBox 49">
              <a:extLst>
                <a:ext uri="{FF2B5EF4-FFF2-40B4-BE49-F238E27FC236}">
                  <a16:creationId xmlns:a16="http://schemas.microsoft.com/office/drawing/2014/main" id="{EC120DDA-9294-F191-9244-A6793CC6A193}"/>
                </a:ext>
              </a:extLst>
            </xdr:cNvPr>
            <xdr:cNvSpPr txBox="1"/>
          </xdr:nvSpPr>
          <xdr:spPr>
            <a:xfrm>
              <a:off x="563283" y="2919351"/>
              <a:ext cx="1214233" cy="2639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A9E1DF4E-6DA8-4415-99BA-ACA6D55A7805}" type="TxLink">
                <a:rPr lang="en-US" sz="1100" b="0" i="0" u="none" strike="noStrike">
                  <a:solidFill>
                    <a:schemeClr val="bg1"/>
                  </a:solidFill>
                  <a:latin typeface="Avenir Medium" panose="020B0603020203020204" pitchFamily="34" charset="-78"/>
                  <a:ea typeface="Calibri"/>
                  <a:cs typeface="Avenir Medium" panose="020B0603020203020204" pitchFamily="34" charset="-78"/>
                </a:rPr>
                <a:pPr/>
                <a:t>Canada</a:t>
              </a:fld>
              <a:endParaRPr lang="en-IN" sz="1100">
                <a:solidFill>
                  <a:schemeClr val="bg1"/>
                </a:solidFill>
                <a:latin typeface="Avenir Medium" panose="020B0603020203020204" pitchFamily="34" charset="-78"/>
                <a:cs typeface="Avenir Medium" panose="020B0603020203020204" pitchFamily="34" charset="-78"/>
              </a:endParaRPr>
            </a:p>
          </xdr:txBody>
        </xdr:sp>
        <xdr:sp macro="" textlink="'Pivot Tables'!BC9">
          <xdr:nvSpPr>
            <xdr:cNvPr id="51" name="TextBox 50">
              <a:extLst>
                <a:ext uri="{FF2B5EF4-FFF2-40B4-BE49-F238E27FC236}">
                  <a16:creationId xmlns:a16="http://schemas.microsoft.com/office/drawing/2014/main" id="{304BE367-FE27-F6A3-8593-ECDFD6F62019}"/>
                </a:ext>
              </a:extLst>
            </xdr:cNvPr>
            <xdr:cNvSpPr txBox="1"/>
          </xdr:nvSpPr>
          <xdr:spPr>
            <a:xfrm>
              <a:off x="1678467" y="2919351"/>
              <a:ext cx="1166348" cy="2639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BD22ECAD-C31F-41D4-9748-C8645F9C594F}" type="TxLink">
                <a:rPr lang="en-US" sz="1100" b="0" i="0" u="none" strike="noStrike">
                  <a:solidFill>
                    <a:schemeClr val="bg1"/>
                  </a:solidFill>
                  <a:latin typeface="Avenir Medium" panose="020B0603020203020204" pitchFamily="34" charset="-78"/>
                  <a:ea typeface="Calibri"/>
                  <a:cs typeface="Avenir Medium" panose="020B0603020203020204" pitchFamily="34" charset="-78"/>
                </a:rPr>
                <a:pPr/>
                <a:t>62256</a:t>
              </a:fld>
              <a:endParaRPr lang="en-IN" sz="1100">
                <a:solidFill>
                  <a:schemeClr val="bg1"/>
                </a:solidFill>
                <a:latin typeface="Avenir Medium" panose="020B0603020203020204" pitchFamily="34" charset="-78"/>
                <a:cs typeface="Avenir Medium" panose="020B0603020203020204" pitchFamily="34" charset="-78"/>
              </a:endParaRPr>
            </a:p>
          </xdr:txBody>
        </xdr:sp>
        <xdr:sp macro="" textlink="'Pivot Tables'!BD9">
          <xdr:nvSpPr>
            <xdr:cNvPr id="52" name="TextBox 51">
              <a:extLst>
                <a:ext uri="{FF2B5EF4-FFF2-40B4-BE49-F238E27FC236}">
                  <a16:creationId xmlns:a16="http://schemas.microsoft.com/office/drawing/2014/main" id="{EDFACFB5-BF08-138C-DDD8-B842579147FD}"/>
                </a:ext>
              </a:extLst>
            </xdr:cNvPr>
            <xdr:cNvSpPr txBox="1"/>
          </xdr:nvSpPr>
          <xdr:spPr>
            <a:xfrm>
              <a:off x="2428338" y="2919351"/>
              <a:ext cx="1167889" cy="2639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725EB67C-6E5E-4BE1-A325-F8E389050AAB}" type="TxLink">
                <a:rPr lang="en-US" sz="1100" b="0" i="0" u="none" strike="noStrike">
                  <a:solidFill>
                    <a:schemeClr val="bg1"/>
                  </a:solidFill>
                  <a:latin typeface="Avenir Medium" panose="020B0603020203020204" pitchFamily="34" charset="-78"/>
                  <a:ea typeface="Calibri"/>
                  <a:cs typeface="Avenir Medium" panose="020B0603020203020204" pitchFamily="34" charset="-78"/>
                </a:rPr>
                <a:pPr/>
                <a:t>9.66%</a:t>
              </a:fld>
              <a:endParaRPr lang="en-IN" sz="1100">
                <a:solidFill>
                  <a:schemeClr val="bg1"/>
                </a:solidFill>
                <a:latin typeface="Avenir Medium" panose="020B0603020203020204" pitchFamily="34" charset="-78"/>
                <a:cs typeface="Avenir Medium" panose="020B0603020203020204" pitchFamily="34" charset="-78"/>
              </a:endParaRPr>
            </a:p>
          </xdr:txBody>
        </xdr:sp>
      </xdr:grpSp>
      <xdr:grpSp>
        <xdr:nvGrpSpPr>
          <xdr:cNvPr id="53" name="Group 52">
            <a:extLst>
              <a:ext uri="{FF2B5EF4-FFF2-40B4-BE49-F238E27FC236}">
                <a16:creationId xmlns:a16="http://schemas.microsoft.com/office/drawing/2014/main" id="{6FB9FACD-7A6F-84B9-6A81-DC5A5ACA143F}"/>
              </a:ext>
            </a:extLst>
          </xdr:cNvPr>
          <xdr:cNvGrpSpPr/>
        </xdr:nvGrpSpPr>
        <xdr:grpSpPr>
          <a:xfrm>
            <a:off x="549489" y="4152007"/>
            <a:ext cx="3785492" cy="263939"/>
            <a:chOff x="563283" y="2919351"/>
            <a:chExt cx="3032944" cy="263939"/>
          </a:xfrm>
        </xdr:grpSpPr>
        <xdr:sp macro="" textlink="'Pivot Tables'!BB10">
          <xdr:nvSpPr>
            <xdr:cNvPr id="54" name="TextBox 53">
              <a:extLst>
                <a:ext uri="{FF2B5EF4-FFF2-40B4-BE49-F238E27FC236}">
                  <a16:creationId xmlns:a16="http://schemas.microsoft.com/office/drawing/2014/main" id="{E6C750FF-29DD-4A10-F816-FF1EEC8D6335}"/>
                </a:ext>
              </a:extLst>
            </xdr:cNvPr>
            <xdr:cNvSpPr txBox="1"/>
          </xdr:nvSpPr>
          <xdr:spPr>
            <a:xfrm>
              <a:off x="563283" y="2919351"/>
              <a:ext cx="1172371" cy="2639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CDECAF6-415C-475B-8F88-33758C696C03}" type="TxLink">
                <a:rPr lang="en-US" sz="1100" b="0" i="0" u="none" strike="noStrike">
                  <a:solidFill>
                    <a:schemeClr val="bg1"/>
                  </a:solidFill>
                  <a:latin typeface="Avenir Medium" panose="020B0603020203020204" pitchFamily="34" charset="-78"/>
                  <a:ea typeface="Calibri"/>
                  <a:cs typeface="Avenir Medium" panose="020B0603020203020204" pitchFamily="34" charset="-78"/>
                </a:rPr>
                <a:pPr/>
                <a:t>Brazil</a:t>
              </a:fld>
              <a:endParaRPr lang="en-IN" sz="1100">
                <a:solidFill>
                  <a:schemeClr val="bg1"/>
                </a:solidFill>
                <a:latin typeface="Avenir Medium" panose="020B0603020203020204" pitchFamily="34" charset="-78"/>
                <a:cs typeface="Avenir Medium" panose="020B0603020203020204" pitchFamily="34" charset="-78"/>
              </a:endParaRPr>
            </a:p>
          </xdr:txBody>
        </xdr:sp>
        <xdr:sp macro="" textlink="'Pivot Tables'!BC10">
          <xdr:nvSpPr>
            <xdr:cNvPr id="55" name="TextBox 54">
              <a:extLst>
                <a:ext uri="{FF2B5EF4-FFF2-40B4-BE49-F238E27FC236}">
                  <a16:creationId xmlns:a16="http://schemas.microsoft.com/office/drawing/2014/main" id="{EF314CC1-8D0D-5858-2AE0-EDCAC3968435}"/>
                </a:ext>
              </a:extLst>
            </xdr:cNvPr>
            <xdr:cNvSpPr txBox="1"/>
          </xdr:nvSpPr>
          <xdr:spPr>
            <a:xfrm>
              <a:off x="1678467" y="2919351"/>
              <a:ext cx="1166348" cy="2639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3032E0BC-A6FC-4161-B6C4-BA201DAFB643}" type="TxLink">
                <a:rPr lang="en-US" sz="1100" b="0" i="0" u="none" strike="noStrike">
                  <a:solidFill>
                    <a:schemeClr val="bg1"/>
                  </a:solidFill>
                  <a:latin typeface="Avenir Medium" panose="020B0603020203020204" pitchFamily="34" charset="-78"/>
                  <a:ea typeface="Calibri"/>
                  <a:cs typeface="Avenir Medium" panose="020B0603020203020204" pitchFamily="34" charset="-78"/>
                </a:rPr>
                <a:pPr/>
                <a:t>62240</a:t>
              </a:fld>
              <a:endParaRPr lang="en-IN" sz="1100">
                <a:solidFill>
                  <a:schemeClr val="bg1"/>
                </a:solidFill>
                <a:latin typeface="Avenir Medium" panose="020B0603020203020204" pitchFamily="34" charset="-78"/>
                <a:cs typeface="Avenir Medium" panose="020B0603020203020204" pitchFamily="34" charset="-78"/>
              </a:endParaRPr>
            </a:p>
          </xdr:txBody>
        </xdr:sp>
        <xdr:sp macro="" textlink="'Pivot Tables'!BD10">
          <xdr:nvSpPr>
            <xdr:cNvPr id="56" name="TextBox 55">
              <a:extLst>
                <a:ext uri="{FF2B5EF4-FFF2-40B4-BE49-F238E27FC236}">
                  <a16:creationId xmlns:a16="http://schemas.microsoft.com/office/drawing/2014/main" id="{E381B11B-20B8-6510-0A3C-1EC7B82AD2B2}"/>
                </a:ext>
              </a:extLst>
            </xdr:cNvPr>
            <xdr:cNvSpPr txBox="1"/>
          </xdr:nvSpPr>
          <xdr:spPr>
            <a:xfrm>
              <a:off x="2428338" y="2919351"/>
              <a:ext cx="1167889" cy="2639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A13CE1C2-78CB-4DCF-B3EB-31069B6AA9E6}" type="TxLink">
                <a:rPr lang="en-US" sz="1100" b="0" i="0" u="none" strike="noStrike">
                  <a:solidFill>
                    <a:schemeClr val="bg1"/>
                  </a:solidFill>
                  <a:latin typeface="Avenir Medium" panose="020B0603020203020204" pitchFamily="34" charset="-78"/>
                  <a:ea typeface="Calibri"/>
                  <a:cs typeface="Avenir Medium" panose="020B0603020203020204" pitchFamily="34" charset="-78"/>
                </a:rPr>
                <a:pPr/>
                <a:t>9.66%</a:t>
              </a:fld>
              <a:endParaRPr lang="en-IN" sz="1100">
                <a:solidFill>
                  <a:schemeClr val="bg1"/>
                </a:solidFill>
                <a:latin typeface="Avenir Medium" panose="020B0603020203020204" pitchFamily="34" charset="-78"/>
                <a:cs typeface="Avenir Medium" panose="020B0603020203020204" pitchFamily="34" charset="-78"/>
              </a:endParaRPr>
            </a:p>
          </xdr:txBody>
        </xdr:sp>
      </xdr:grpSp>
    </xdr:grpSp>
    <xdr:clientData/>
  </xdr:twoCellAnchor>
  <xdr:twoCellAnchor>
    <xdr:from>
      <xdr:col>0</xdr:col>
      <xdr:colOff>551608</xdr:colOff>
      <xdr:row>6</xdr:row>
      <xdr:rowOff>8009</xdr:rowOff>
    </xdr:from>
    <xdr:to>
      <xdr:col>6</xdr:col>
      <xdr:colOff>153141</xdr:colOff>
      <xdr:row>9</xdr:row>
      <xdr:rowOff>99825</xdr:rowOff>
    </xdr:to>
    <xdr:sp macro="" textlink="">
      <xdr:nvSpPr>
        <xdr:cNvPr id="62" name="TextBox 61">
          <a:extLst>
            <a:ext uri="{FF2B5EF4-FFF2-40B4-BE49-F238E27FC236}">
              <a16:creationId xmlns:a16="http://schemas.microsoft.com/office/drawing/2014/main" id="{4ADE778C-7041-E069-A69D-CCBC9C31DB9E}"/>
            </a:ext>
          </a:extLst>
        </xdr:cNvPr>
        <xdr:cNvSpPr txBox="1"/>
      </xdr:nvSpPr>
      <xdr:spPr>
        <a:xfrm>
          <a:off x="551608" y="1151009"/>
          <a:ext cx="3259133" cy="6633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r>
            <a:rPr lang="en-IN" sz="2800">
              <a:solidFill>
                <a:schemeClr val="bg1"/>
              </a:solidFill>
              <a:latin typeface="Avenir Book" panose="020B0503020203020204" pitchFamily="34" charset="-78"/>
              <a:ea typeface="+mn-ea"/>
              <a:cs typeface="Avenir Book" panose="020B0503020203020204" pitchFamily="34" charset="-78"/>
            </a:rPr>
            <a:t>Financial Statistics</a:t>
          </a:r>
        </a:p>
      </xdr:txBody>
    </xdr:sp>
    <xdr:clientData/>
  </xdr:twoCellAnchor>
  <xdr:twoCellAnchor>
    <xdr:from>
      <xdr:col>0</xdr:col>
      <xdr:colOff>538193</xdr:colOff>
      <xdr:row>9</xdr:row>
      <xdr:rowOff>16911</xdr:rowOff>
    </xdr:from>
    <xdr:to>
      <xdr:col>7</xdr:col>
      <xdr:colOff>190686</xdr:colOff>
      <xdr:row>12</xdr:row>
      <xdr:rowOff>118623</xdr:rowOff>
    </xdr:to>
    <xdr:sp macro="" textlink="'Pivot Tables'!BO6">
      <xdr:nvSpPr>
        <xdr:cNvPr id="63" name="TextBox 62">
          <a:extLst>
            <a:ext uri="{FF2B5EF4-FFF2-40B4-BE49-F238E27FC236}">
              <a16:creationId xmlns:a16="http://schemas.microsoft.com/office/drawing/2014/main" id="{F007AB8D-7829-490A-8B93-88E837FA661D}"/>
            </a:ext>
          </a:extLst>
        </xdr:cNvPr>
        <xdr:cNvSpPr txBox="1"/>
      </xdr:nvSpPr>
      <xdr:spPr>
        <a:xfrm>
          <a:off x="538193" y="1731411"/>
          <a:ext cx="3919693" cy="6732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3DAB2E52-29C2-4BBC-B15F-5635300D156E}" type="TxLink">
            <a:rPr lang="en-US" sz="4800" b="0" i="0" u="none" strike="noStrike">
              <a:solidFill>
                <a:schemeClr val="bg1"/>
              </a:solidFill>
              <a:latin typeface="Avenir Light" panose="020B0403020203020204" pitchFamily="34" charset="-78"/>
              <a:ea typeface="+mn-ea"/>
              <a:cs typeface="Avenir Light" panose="020B0403020203020204" pitchFamily="34" charset="-78"/>
            </a:rPr>
            <a:pPr marL="0" indent="0" algn="l"/>
            <a:t>$6,44,384</a:t>
          </a:fld>
          <a:endParaRPr lang="en-IN" sz="9600">
            <a:solidFill>
              <a:schemeClr val="bg1"/>
            </a:solidFill>
            <a:latin typeface="Avenir Light" panose="020B0403020203020204" pitchFamily="34" charset="-78"/>
            <a:ea typeface="+mn-ea"/>
            <a:cs typeface="Avenir Light" panose="020B0403020203020204" pitchFamily="34" charset="-78"/>
          </a:endParaRPr>
        </a:p>
      </xdr:txBody>
    </xdr:sp>
    <xdr:clientData/>
  </xdr:twoCellAnchor>
  <xdr:twoCellAnchor editAs="oneCell">
    <xdr:from>
      <xdr:col>0</xdr:col>
      <xdr:colOff>515616</xdr:colOff>
      <xdr:row>13</xdr:row>
      <xdr:rowOff>126757</xdr:rowOff>
    </xdr:from>
    <xdr:to>
      <xdr:col>6</xdr:col>
      <xdr:colOff>255159</xdr:colOff>
      <xdr:row>16</xdr:row>
      <xdr:rowOff>155317</xdr:rowOff>
    </xdr:to>
    <mc:AlternateContent xmlns:mc="http://schemas.openxmlformats.org/markup-compatibility/2006" xmlns:a14="http://schemas.microsoft.com/office/drawing/2010/main">
      <mc:Choice Requires="a14">
        <xdr:graphicFrame macro="">
          <xdr:nvGraphicFramePr>
            <xdr:cNvPr id="64" name="Year">
              <a:extLst>
                <a:ext uri="{FF2B5EF4-FFF2-40B4-BE49-F238E27FC236}">
                  <a16:creationId xmlns:a16="http://schemas.microsoft.com/office/drawing/2014/main" id="{99949088-9F62-408D-A601-F4AA2D30649C}"/>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515616" y="2603257"/>
              <a:ext cx="3397143" cy="6000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475232</xdr:colOff>
      <xdr:row>16</xdr:row>
      <xdr:rowOff>27791</xdr:rowOff>
    </xdr:from>
    <xdr:to>
      <xdr:col>6</xdr:col>
      <xdr:colOff>173106</xdr:colOff>
      <xdr:row>18</xdr:row>
      <xdr:rowOff>40735</xdr:rowOff>
    </xdr:to>
    <xdr:graphicFrame macro="">
      <xdr:nvGraphicFramePr>
        <xdr:cNvPr id="65" name="Chart 64">
          <a:extLst>
            <a:ext uri="{FF2B5EF4-FFF2-40B4-BE49-F238E27FC236}">
              <a16:creationId xmlns:a16="http://schemas.microsoft.com/office/drawing/2014/main" id="{E5CE31D7-7CDE-4518-A412-E82FA6F0FA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11</xdr:col>
      <xdr:colOff>241267</xdr:colOff>
      <xdr:row>16</xdr:row>
      <xdr:rowOff>159718</xdr:rowOff>
    </xdr:from>
    <xdr:to>
      <xdr:col>12</xdr:col>
      <xdr:colOff>216151</xdr:colOff>
      <xdr:row>19</xdr:row>
      <xdr:rowOff>164139</xdr:rowOff>
    </xdr:to>
    <xdr:grpSp>
      <xdr:nvGrpSpPr>
        <xdr:cNvPr id="479" name="Group 478">
          <a:extLst>
            <a:ext uri="{FF2B5EF4-FFF2-40B4-BE49-F238E27FC236}">
              <a16:creationId xmlns:a16="http://schemas.microsoft.com/office/drawing/2014/main" id="{B4EE1DB2-9E4C-5CDA-52F6-D5FCC20375C4}"/>
            </a:ext>
          </a:extLst>
        </xdr:cNvPr>
        <xdr:cNvGrpSpPr/>
      </xdr:nvGrpSpPr>
      <xdr:grpSpPr>
        <a:xfrm>
          <a:off x="6946867" y="3207718"/>
          <a:ext cx="584484" cy="575921"/>
          <a:chOff x="5511021" y="4852033"/>
          <a:chExt cx="585770" cy="579633"/>
        </a:xfrm>
      </xdr:grpSpPr>
      <xdr:sp macro="" textlink="'Pivot Tables'!BG6">
        <xdr:nvSpPr>
          <xdr:cNvPr id="415" name="TextBox 414">
            <a:extLst>
              <a:ext uri="{FF2B5EF4-FFF2-40B4-BE49-F238E27FC236}">
                <a16:creationId xmlns:a16="http://schemas.microsoft.com/office/drawing/2014/main" id="{0045F0D7-18D4-420F-3DF1-1E00C240FE92}"/>
              </a:ext>
            </a:extLst>
          </xdr:cNvPr>
          <xdr:cNvSpPr txBox="1"/>
        </xdr:nvSpPr>
        <xdr:spPr>
          <a:xfrm>
            <a:off x="5511720" y="4852033"/>
            <a:ext cx="584373" cy="5796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77958CF-3E13-4780-BC46-7CD53064CA68}" type="TxLink">
              <a:rPr lang="en-US" sz="1600" b="0" i="0" u="none" strike="noStrike">
                <a:solidFill>
                  <a:srgbClr val="C240DB"/>
                </a:solidFill>
                <a:latin typeface="Calibri"/>
                <a:ea typeface="Calibri"/>
                <a:cs typeface="Calibri"/>
              </a:rPr>
              <a:pPr algn="ctr"/>
              <a:t> </a:t>
            </a:fld>
            <a:endParaRPr lang="en-IN" sz="1100"/>
          </a:p>
        </xdr:txBody>
      </xdr:sp>
      <xdr:sp macro="" textlink="'Pivot Tables'!BI6">
        <xdr:nvSpPr>
          <xdr:cNvPr id="416" name="TextBox 415">
            <a:extLst>
              <a:ext uri="{FF2B5EF4-FFF2-40B4-BE49-F238E27FC236}">
                <a16:creationId xmlns:a16="http://schemas.microsoft.com/office/drawing/2014/main" id="{C85E1C41-D59E-4020-80D3-E24BAC6CD6B6}"/>
              </a:ext>
            </a:extLst>
          </xdr:cNvPr>
          <xdr:cNvSpPr txBox="1"/>
        </xdr:nvSpPr>
        <xdr:spPr>
          <a:xfrm>
            <a:off x="5511021" y="4852033"/>
            <a:ext cx="585770" cy="5796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4606114-254D-4809-82C1-83D0099B2DD9}" type="TxLink">
              <a:rPr lang="en-US" sz="1600" b="0" i="0" u="none" strike="noStrike">
                <a:solidFill>
                  <a:srgbClr val="0F11A7"/>
                </a:solidFill>
                <a:latin typeface="Calibri"/>
                <a:ea typeface="Calibri"/>
                <a:cs typeface="Calibri"/>
              </a:rPr>
              <a:pPr algn="ctr"/>
              <a:t>•</a:t>
            </a:fld>
            <a:endParaRPr lang="en-IN" sz="1100"/>
          </a:p>
        </xdr:txBody>
      </xdr:sp>
    </xdr:grpSp>
    <xdr:clientData/>
  </xdr:twoCellAnchor>
  <xdr:twoCellAnchor>
    <xdr:from>
      <xdr:col>23</xdr:col>
      <xdr:colOff>44310</xdr:colOff>
      <xdr:row>9</xdr:row>
      <xdr:rowOff>176554</xdr:rowOff>
    </xdr:from>
    <xdr:to>
      <xdr:col>24</xdr:col>
      <xdr:colOff>18674</xdr:colOff>
      <xdr:row>12</xdr:row>
      <xdr:rowOff>180975</xdr:rowOff>
    </xdr:to>
    <xdr:grpSp>
      <xdr:nvGrpSpPr>
        <xdr:cNvPr id="535" name="Group 534">
          <a:extLst>
            <a:ext uri="{FF2B5EF4-FFF2-40B4-BE49-F238E27FC236}">
              <a16:creationId xmlns:a16="http://schemas.microsoft.com/office/drawing/2014/main" id="{29AC57FD-83F8-1256-3B7C-79520C80115A}"/>
            </a:ext>
          </a:extLst>
        </xdr:cNvPr>
        <xdr:cNvGrpSpPr/>
      </xdr:nvGrpSpPr>
      <xdr:grpSpPr>
        <a:xfrm>
          <a:off x="14065110" y="1891054"/>
          <a:ext cx="583964" cy="575921"/>
          <a:chOff x="5473700" y="7239991"/>
          <a:chExt cx="581583" cy="575922"/>
        </a:xfrm>
      </xdr:grpSpPr>
      <xdr:sp macro="" textlink="'Pivot Tables'!BH7">
        <xdr:nvSpPr>
          <xdr:cNvPr id="469" name="TextBox 468">
            <a:extLst>
              <a:ext uri="{FF2B5EF4-FFF2-40B4-BE49-F238E27FC236}">
                <a16:creationId xmlns:a16="http://schemas.microsoft.com/office/drawing/2014/main" id="{63DA350D-5B6C-47E5-84EB-C9B9E49264BF}"/>
              </a:ext>
            </a:extLst>
          </xdr:cNvPr>
          <xdr:cNvSpPr txBox="1"/>
        </xdr:nvSpPr>
        <xdr:spPr>
          <a:xfrm>
            <a:off x="5474398" y="7239991"/>
            <a:ext cx="580186" cy="5759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FBBDE73-FB51-4C22-B1C8-C8C40C9FC83A}" type="TxLink">
              <a:rPr lang="en-US" sz="1600" b="0" i="0" u="none" strike="noStrike">
                <a:solidFill>
                  <a:srgbClr val="5A097C"/>
                </a:solidFill>
                <a:latin typeface="Calibri"/>
                <a:ea typeface="Calibri"/>
                <a:cs typeface="Calibri"/>
              </a:rPr>
              <a:pPr algn="ctr"/>
              <a:t> </a:t>
            </a:fld>
            <a:endParaRPr lang="en-IN" sz="1100"/>
          </a:p>
        </xdr:txBody>
      </xdr:sp>
      <xdr:sp macro="" textlink="'Pivot Tables'!BJ7">
        <xdr:nvSpPr>
          <xdr:cNvPr id="470" name="TextBox 469">
            <a:extLst>
              <a:ext uri="{FF2B5EF4-FFF2-40B4-BE49-F238E27FC236}">
                <a16:creationId xmlns:a16="http://schemas.microsoft.com/office/drawing/2014/main" id="{FD4C680E-C8CA-4B58-BE19-5CE52E766401}"/>
              </a:ext>
            </a:extLst>
          </xdr:cNvPr>
          <xdr:cNvSpPr txBox="1"/>
        </xdr:nvSpPr>
        <xdr:spPr>
          <a:xfrm>
            <a:off x="5473700" y="7239991"/>
            <a:ext cx="581583" cy="5759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66AC088-9BA0-40CB-BA2B-AA582DC1539C}" type="TxLink">
              <a:rPr lang="en-US" sz="1600" b="0" i="0" u="none" strike="noStrike">
                <a:solidFill>
                  <a:srgbClr val="296EFC"/>
                </a:solidFill>
                <a:latin typeface="Calibri"/>
                <a:ea typeface="Calibri"/>
                <a:cs typeface="Calibri"/>
              </a:rPr>
              <a:pPr algn="ctr"/>
              <a:t>•</a:t>
            </a:fld>
            <a:endParaRPr lang="en-IN" sz="1100"/>
          </a:p>
        </xdr:txBody>
      </xdr:sp>
    </xdr:grpSp>
    <xdr:clientData/>
  </xdr:twoCellAnchor>
  <xdr:twoCellAnchor>
    <xdr:from>
      <xdr:col>13</xdr:col>
      <xdr:colOff>65593</xdr:colOff>
      <xdr:row>26</xdr:row>
      <xdr:rowOff>143657</xdr:rowOff>
    </xdr:from>
    <xdr:to>
      <xdr:col>14</xdr:col>
      <xdr:colOff>39042</xdr:colOff>
      <xdr:row>29</xdr:row>
      <xdr:rowOff>148079</xdr:rowOff>
    </xdr:to>
    <xdr:grpSp>
      <xdr:nvGrpSpPr>
        <xdr:cNvPr id="569" name="Group 568">
          <a:extLst>
            <a:ext uri="{FF2B5EF4-FFF2-40B4-BE49-F238E27FC236}">
              <a16:creationId xmlns:a16="http://schemas.microsoft.com/office/drawing/2014/main" id="{3010E25A-F724-B48E-AC61-993DEA363319}"/>
            </a:ext>
          </a:extLst>
        </xdr:cNvPr>
        <xdr:cNvGrpSpPr/>
      </xdr:nvGrpSpPr>
      <xdr:grpSpPr>
        <a:xfrm>
          <a:off x="7990393" y="5096657"/>
          <a:ext cx="583049" cy="575922"/>
          <a:chOff x="5500993" y="5725978"/>
          <a:chExt cx="584590" cy="582529"/>
        </a:xfrm>
      </xdr:grpSpPr>
      <xdr:sp macro="" textlink="'Pivot Tables'!BG10">
        <xdr:nvSpPr>
          <xdr:cNvPr id="471" name="TextBox 470">
            <a:extLst>
              <a:ext uri="{FF2B5EF4-FFF2-40B4-BE49-F238E27FC236}">
                <a16:creationId xmlns:a16="http://schemas.microsoft.com/office/drawing/2014/main" id="{9A017516-BE00-48D9-B37D-D536DFF593F9}"/>
              </a:ext>
            </a:extLst>
          </xdr:cNvPr>
          <xdr:cNvSpPr txBox="1"/>
        </xdr:nvSpPr>
        <xdr:spPr>
          <a:xfrm>
            <a:off x="5501692" y="5725978"/>
            <a:ext cx="583193" cy="5825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EBA58C4-DFA6-4024-8421-14965DAB029E}" type="TxLink">
              <a:rPr lang="en-US" sz="1600" b="0" i="0" u="none" strike="noStrike">
                <a:solidFill>
                  <a:srgbClr val="C240DB"/>
                </a:solidFill>
                <a:latin typeface="Calibri"/>
                <a:ea typeface="Calibri"/>
                <a:cs typeface="Calibri"/>
              </a:rPr>
              <a:pPr algn="ctr"/>
              <a:t> </a:t>
            </a:fld>
            <a:endParaRPr lang="en-IN" sz="1100"/>
          </a:p>
        </xdr:txBody>
      </xdr:sp>
      <xdr:sp macro="" textlink="'Pivot Tables'!BI10">
        <xdr:nvSpPr>
          <xdr:cNvPr id="472" name="TextBox 471">
            <a:extLst>
              <a:ext uri="{FF2B5EF4-FFF2-40B4-BE49-F238E27FC236}">
                <a16:creationId xmlns:a16="http://schemas.microsoft.com/office/drawing/2014/main" id="{C4158AA1-8B97-4D60-A035-D61FCA67FA26}"/>
              </a:ext>
            </a:extLst>
          </xdr:cNvPr>
          <xdr:cNvSpPr txBox="1"/>
        </xdr:nvSpPr>
        <xdr:spPr>
          <a:xfrm>
            <a:off x="5500993" y="5725978"/>
            <a:ext cx="584590" cy="5825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5A83A3F-58AC-46C1-B809-333ABDD962E0}" type="TxLink">
              <a:rPr lang="en-US" sz="1600" b="0" i="0" u="none" strike="noStrike">
                <a:solidFill>
                  <a:srgbClr val="0F11A7"/>
                </a:solidFill>
                <a:latin typeface="Calibri"/>
                <a:ea typeface="Calibri"/>
                <a:cs typeface="Calibri"/>
              </a:rPr>
              <a:pPr algn="ctr"/>
              <a:t>•</a:t>
            </a:fld>
            <a:endParaRPr lang="en-IN" sz="1100"/>
          </a:p>
        </xdr:txBody>
      </xdr:sp>
    </xdr:grpSp>
    <xdr:clientData/>
  </xdr:twoCellAnchor>
  <xdr:twoCellAnchor>
    <xdr:from>
      <xdr:col>13</xdr:col>
      <xdr:colOff>65536</xdr:colOff>
      <xdr:row>30</xdr:row>
      <xdr:rowOff>134704</xdr:rowOff>
    </xdr:from>
    <xdr:to>
      <xdr:col>14</xdr:col>
      <xdr:colOff>38985</xdr:colOff>
      <xdr:row>33</xdr:row>
      <xdr:rowOff>139130</xdr:rowOff>
    </xdr:to>
    <xdr:grpSp>
      <xdr:nvGrpSpPr>
        <xdr:cNvPr id="570" name="Group 569">
          <a:extLst>
            <a:ext uri="{FF2B5EF4-FFF2-40B4-BE49-F238E27FC236}">
              <a16:creationId xmlns:a16="http://schemas.microsoft.com/office/drawing/2014/main" id="{6B7A70B9-ECAC-69A2-B432-5DCA140404C9}"/>
            </a:ext>
          </a:extLst>
        </xdr:cNvPr>
        <xdr:cNvGrpSpPr/>
      </xdr:nvGrpSpPr>
      <xdr:grpSpPr>
        <a:xfrm>
          <a:off x="7990336" y="5849704"/>
          <a:ext cx="583049" cy="575926"/>
          <a:chOff x="5480209" y="6322668"/>
          <a:chExt cx="584590" cy="582533"/>
        </a:xfrm>
      </xdr:grpSpPr>
      <xdr:sp macro="" textlink="'Pivot Tables'!BH10">
        <xdr:nvSpPr>
          <xdr:cNvPr id="473" name="TextBox 472">
            <a:extLst>
              <a:ext uri="{FF2B5EF4-FFF2-40B4-BE49-F238E27FC236}">
                <a16:creationId xmlns:a16="http://schemas.microsoft.com/office/drawing/2014/main" id="{8AFC662E-FB64-4173-82B4-55454C6D82E1}"/>
              </a:ext>
            </a:extLst>
          </xdr:cNvPr>
          <xdr:cNvSpPr txBox="1"/>
        </xdr:nvSpPr>
        <xdr:spPr>
          <a:xfrm>
            <a:off x="5480908" y="6322668"/>
            <a:ext cx="583193" cy="5825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DEF8982-02A5-4133-B7D6-273FD2A26C45}" type="TxLink">
              <a:rPr lang="en-US" sz="1600" b="0" i="0" u="none" strike="noStrike">
                <a:solidFill>
                  <a:srgbClr val="5A097C"/>
                </a:solidFill>
                <a:latin typeface="Calibri"/>
                <a:ea typeface="Calibri"/>
                <a:cs typeface="Calibri"/>
              </a:rPr>
              <a:pPr algn="ctr"/>
              <a:t> </a:t>
            </a:fld>
            <a:endParaRPr lang="en-IN" sz="1100"/>
          </a:p>
        </xdr:txBody>
      </xdr:sp>
      <xdr:sp macro="" textlink="'Pivot Tables'!BJ10">
        <xdr:nvSpPr>
          <xdr:cNvPr id="474" name="TextBox 473">
            <a:extLst>
              <a:ext uri="{FF2B5EF4-FFF2-40B4-BE49-F238E27FC236}">
                <a16:creationId xmlns:a16="http://schemas.microsoft.com/office/drawing/2014/main" id="{76D4B57A-A574-4A43-A639-F8C25DEE70FE}"/>
              </a:ext>
            </a:extLst>
          </xdr:cNvPr>
          <xdr:cNvSpPr txBox="1"/>
        </xdr:nvSpPr>
        <xdr:spPr>
          <a:xfrm>
            <a:off x="5480209" y="6322672"/>
            <a:ext cx="584590" cy="5825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DD16F9B-9991-4A80-9102-391FFF707124}" type="TxLink">
              <a:rPr lang="en-US" sz="1600" b="0" i="0" u="none" strike="noStrike">
                <a:solidFill>
                  <a:srgbClr val="296EFC"/>
                </a:solidFill>
                <a:latin typeface="Calibri"/>
                <a:ea typeface="Calibri"/>
                <a:cs typeface="Calibri"/>
              </a:rPr>
              <a:pPr algn="ctr"/>
              <a:t>•</a:t>
            </a:fld>
            <a:endParaRPr lang="en-IN" sz="1100"/>
          </a:p>
        </xdr:txBody>
      </xdr:sp>
    </xdr:grpSp>
    <xdr:clientData/>
  </xdr:twoCellAnchor>
  <xdr:twoCellAnchor>
    <xdr:from>
      <xdr:col>11</xdr:col>
      <xdr:colOff>144740</xdr:colOff>
      <xdr:row>16</xdr:row>
      <xdr:rowOff>68189</xdr:rowOff>
    </xdr:from>
    <xdr:to>
      <xdr:col>12</xdr:col>
      <xdr:colOff>118189</xdr:colOff>
      <xdr:row>19</xdr:row>
      <xdr:rowOff>72611</xdr:rowOff>
    </xdr:to>
    <xdr:grpSp>
      <xdr:nvGrpSpPr>
        <xdr:cNvPr id="483" name="Group 482">
          <a:extLst>
            <a:ext uri="{FF2B5EF4-FFF2-40B4-BE49-F238E27FC236}">
              <a16:creationId xmlns:a16="http://schemas.microsoft.com/office/drawing/2014/main" id="{C7716BEB-6DEA-4DB6-A980-7F0556E29D4F}"/>
            </a:ext>
          </a:extLst>
        </xdr:cNvPr>
        <xdr:cNvGrpSpPr/>
      </xdr:nvGrpSpPr>
      <xdr:grpSpPr>
        <a:xfrm>
          <a:off x="6850340" y="3116189"/>
          <a:ext cx="583049" cy="575922"/>
          <a:chOff x="5490237" y="5445827"/>
          <a:chExt cx="585770" cy="579633"/>
        </a:xfrm>
      </xdr:grpSpPr>
      <xdr:sp macro="" textlink="'Pivot Tables'!BH6">
        <xdr:nvSpPr>
          <xdr:cNvPr id="484" name="TextBox 483">
            <a:extLst>
              <a:ext uri="{FF2B5EF4-FFF2-40B4-BE49-F238E27FC236}">
                <a16:creationId xmlns:a16="http://schemas.microsoft.com/office/drawing/2014/main" id="{09D064AF-76F2-1878-8BD7-30890764023E}"/>
              </a:ext>
            </a:extLst>
          </xdr:cNvPr>
          <xdr:cNvSpPr txBox="1"/>
        </xdr:nvSpPr>
        <xdr:spPr>
          <a:xfrm>
            <a:off x="5490936" y="5445827"/>
            <a:ext cx="584373" cy="5796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0B912BA-81B3-47AE-B72E-05569ED102F3}" type="TxLink">
              <a:rPr lang="en-US" sz="1600" b="0" i="0" u="none" strike="noStrike">
                <a:solidFill>
                  <a:srgbClr val="5A097C"/>
                </a:solidFill>
                <a:latin typeface="Calibri"/>
                <a:ea typeface="Calibri"/>
                <a:cs typeface="Calibri"/>
              </a:rPr>
              <a:pPr algn="ctr"/>
              <a:t> </a:t>
            </a:fld>
            <a:endParaRPr lang="en-IN" sz="1100"/>
          </a:p>
        </xdr:txBody>
      </xdr:sp>
      <xdr:sp macro="" textlink="'Pivot Tables'!BJ6">
        <xdr:nvSpPr>
          <xdr:cNvPr id="485" name="TextBox 484">
            <a:extLst>
              <a:ext uri="{FF2B5EF4-FFF2-40B4-BE49-F238E27FC236}">
                <a16:creationId xmlns:a16="http://schemas.microsoft.com/office/drawing/2014/main" id="{3A05B0D5-1902-562F-DF11-8497F3F18D40}"/>
              </a:ext>
            </a:extLst>
          </xdr:cNvPr>
          <xdr:cNvSpPr txBox="1"/>
        </xdr:nvSpPr>
        <xdr:spPr>
          <a:xfrm>
            <a:off x="5490237" y="5445827"/>
            <a:ext cx="585770" cy="5796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1022572-17E0-4746-90DD-A390454F211C}" type="TxLink">
              <a:rPr lang="en-US" sz="1600" b="0" i="0" u="none" strike="noStrike">
                <a:solidFill>
                  <a:srgbClr val="296EFC"/>
                </a:solidFill>
                <a:latin typeface="Calibri"/>
                <a:ea typeface="Calibri"/>
                <a:cs typeface="Calibri"/>
              </a:rPr>
              <a:pPr algn="ctr"/>
              <a:t>•</a:t>
            </a:fld>
            <a:endParaRPr lang="en-IN" sz="1100"/>
          </a:p>
        </xdr:txBody>
      </xdr:sp>
    </xdr:grpSp>
    <xdr:clientData/>
  </xdr:twoCellAnchor>
  <xdr:twoCellAnchor>
    <xdr:from>
      <xdr:col>11</xdr:col>
      <xdr:colOff>144740</xdr:colOff>
      <xdr:row>17</xdr:row>
      <xdr:rowOff>64170</xdr:rowOff>
    </xdr:from>
    <xdr:to>
      <xdr:col>12</xdr:col>
      <xdr:colOff>118188</xdr:colOff>
      <xdr:row>20</xdr:row>
      <xdr:rowOff>68593</xdr:rowOff>
    </xdr:to>
    <xdr:grpSp>
      <xdr:nvGrpSpPr>
        <xdr:cNvPr id="486" name="Group 485">
          <a:extLst>
            <a:ext uri="{FF2B5EF4-FFF2-40B4-BE49-F238E27FC236}">
              <a16:creationId xmlns:a16="http://schemas.microsoft.com/office/drawing/2014/main" id="{A76AD27D-4845-48C8-9C18-FC52D16AB189}"/>
            </a:ext>
          </a:extLst>
        </xdr:cNvPr>
        <xdr:cNvGrpSpPr/>
      </xdr:nvGrpSpPr>
      <xdr:grpSpPr>
        <a:xfrm>
          <a:off x="6850340" y="3302670"/>
          <a:ext cx="583048" cy="575923"/>
          <a:chOff x="5490237" y="5445827"/>
          <a:chExt cx="585770" cy="579633"/>
        </a:xfrm>
      </xdr:grpSpPr>
      <xdr:sp macro="" textlink="'Pivot Tables'!BH6">
        <xdr:nvSpPr>
          <xdr:cNvPr id="487" name="TextBox 486">
            <a:extLst>
              <a:ext uri="{FF2B5EF4-FFF2-40B4-BE49-F238E27FC236}">
                <a16:creationId xmlns:a16="http://schemas.microsoft.com/office/drawing/2014/main" id="{CE4F8D7C-7759-0DBF-F59F-BC7759E615B2}"/>
              </a:ext>
            </a:extLst>
          </xdr:cNvPr>
          <xdr:cNvSpPr txBox="1"/>
        </xdr:nvSpPr>
        <xdr:spPr>
          <a:xfrm>
            <a:off x="5490936" y="5445827"/>
            <a:ext cx="584373" cy="5796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0B912BA-81B3-47AE-B72E-05569ED102F3}" type="TxLink">
              <a:rPr lang="en-US" sz="1600" b="0" i="0" u="none" strike="noStrike">
                <a:solidFill>
                  <a:srgbClr val="5A097C"/>
                </a:solidFill>
                <a:latin typeface="Calibri"/>
                <a:ea typeface="Calibri"/>
                <a:cs typeface="Calibri"/>
              </a:rPr>
              <a:pPr algn="ctr"/>
              <a:t> </a:t>
            </a:fld>
            <a:endParaRPr lang="en-IN" sz="1100"/>
          </a:p>
        </xdr:txBody>
      </xdr:sp>
      <xdr:sp macro="" textlink="'Pivot Tables'!BJ6">
        <xdr:nvSpPr>
          <xdr:cNvPr id="488" name="TextBox 487">
            <a:extLst>
              <a:ext uri="{FF2B5EF4-FFF2-40B4-BE49-F238E27FC236}">
                <a16:creationId xmlns:a16="http://schemas.microsoft.com/office/drawing/2014/main" id="{AE87A737-FA18-36C4-BFE6-BD84ABF391A7}"/>
              </a:ext>
            </a:extLst>
          </xdr:cNvPr>
          <xdr:cNvSpPr txBox="1"/>
        </xdr:nvSpPr>
        <xdr:spPr>
          <a:xfrm>
            <a:off x="5490237" y="5445827"/>
            <a:ext cx="585770" cy="5796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1022572-17E0-4746-90DD-A390454F211C}" type="TxLink">
              <a:rPr lang="en-US" sz="1600" b="0" i="0" u="none" strike="noStrike">
                <a:solidFill>
                  <a:srgbClr val="296EFC"/>
                </a:solidFill>
                <a:latin typeface="Calibri"/>
                <a:ea typeface="Calibri"/>
                <a:cs typeface="Calibri"/>
              </a:rPr>
              <a:pPr algn="ctr"/>
              <a:t>•</a:t>
            </a:fld>
            <a:endParaRPr lang="en-IN" sz="1100"/>
          </a:p>
        </xdr:txBody>
      </xdr:sp>
    </xdr:grpSp>
    <xdr:clientData/>
  </xdr:twoCellAnchor>
  <xdr:twoCellAnchor>
    <xdr:from>
      <xdr:col>11</xdr:col>
      <xdr:colOff>337330</xdr:colOff>
      <xdr:row>17</xdr:row>
      <xdr:rowOff>152266</xdr:rowOff>
    </xdr:from>
    <xdr:to>
      <xdr:col>12</xdr:col>
      <xdr:colOff>310778</xdr:colOff>
      <xdr:row>20</xdr:row>
      <xdr:rowOff>156689</xdr:rowOff>
    </xdr:to>
    <xdr:grpSp>
      <xdr:nvGrpSpPr>
        <xdr:cNvPr id="489" name="Group 488">
          <a:extLst>
            <a:ext uri="{FF2B5EF4-FFF2-40B4-BE49-F238E27FC236}">
              <a16:creationId xmlns:a16="http://schemas.microsoft.com/office/drawing/2014/main" id="{FEDE0D8F-81CB-43A1-96F4-34A3A0F02874}"/>
            </a:ext>
          </a:extLst>
        </xdr:cNvPr>
        <xdr:cNvGrpSpPr/>
      </xdr:nvGrpSpPr>
      <xdr:grpSpPr>
        <a:xfrm>
          <a:off x="7042930" y="3390766"/>
          <a:ext cx="583048" cy="575923"/>
          <a:chOff x="5490237" y="5445827"/>
          <a:chExt cx="585770" cy="579633"/>
        </a:xfrm>
      </xdr:grpSpPr>
      <xdr:sp macro="" textlink="'Pivot Tables'!BH6">
        <xdr:nvSpPr>
          <xdr:cNvPr id="490" name="TextBox 489">
            <a:extLst>
              <a:ext uri="{FF2B5EF4-FFF2-40B4-BE49-F238E27FC236}">
                <a16:creationId xmlns:a16="http://schemas.microsoft.com/office/drawing/2014/main" id="{59E114CE-A873-8CA1-4933-DA5F811CE0C4}"/>
              </a:ext>
            </a:extLst>
          </xdr:cNvPr>
          <xdr:cNvSpPr txBox="1"/>
        </xdr:nvSpPr>
        <xdr:spPr>
          <a:xfrm>
            <a:off x="5490936" y="5445827"/>
            <a:ext cx="584373" cy="5796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0B912BA-81B3-47AE-B72E-05569ED102F3}" type="TxLink">
              <a:rPr lang="en-US" sz="1600" b="0" i="0" u="none" strike="noStrike">
                <a:solidFill>
                  <a:srgbClr val="5A097C"/>
                </a:solidFill>
                <a:latin typeface="Calibri"/>
                <a:ea typeface="Calibri"/>
                <a:cs typeface="Calibri"/>
              </a:rPr>
              <a:pPr algn="ctr"/>
              <a:t> </a:t>
            </a:fld>
            <a:endParaRPr lang="en-IN" sz="1100"/>
          </a:p>
        </xdr:txBody>
      </xdr:sp>
      <xdr:sp macro="" textlink="'Pivot Tables'!BJ6">
        <xdr:nvSpPr>
          <xdr:cNvPr id="491" name="TextBox 490">
            <a:extLst>
              <a:ext uri="{FF2B5EF4-FFF2-40B4-BE49-F238E27FC236}">
                <a16:creationId xmlns:a16="http://schemas.microsoft.com/office/drawing/2014/main" id="{7DA8F85E-ED9C-05E1-A35F-A808A01CC11D}"/>
              </a:ext>
            </a:extLst>
          </xdr:cNvPr>
          <xdr:cNvSpPr txBox="1"/>
        </xdr:nvSpPr>
        <xdr:spPr>
          <a:xfrm>
            <a:off x="5490237" y="5445827"/>
            <a:ext cx="585770" cy="5796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1022572-17E0-4746-90DD-A390454F211C}" type="TxLink">
              <a:rPr lang="en-US" sz="1600" b="0" i="0" u="none" strike="noStrike">
                <a:solidFill>
                  <a:srgbClr val="296EFC"/>
                </a:solidFill>
                <a:latin typeface="Calibri"/>
                <a:ea typeface="Calibri"/>
                <a:cs typeface="Calibri"/>
              </a:rPr>
              <a:pPr algn="ctr"/>
              <a:t>•</a:t>
            </a:fld>
            <a:endParaRPr lang="en-IN" sz="1100"/>
          </a:p>
        </xdr:txBody>
      </xdr:sp>
    </xdr:grpSp>
    <xdr:clientData/>
  </xdr:twoCellAnchor>
  <xdr:twoCellAnchor>
    <xdr:from>
      <xdr:col>11</xdr:col>
      <xdr:colOff>429766</xdr:colOff>
      <xdr:row>17</xdr:row>
      <xdr:rowOff>152266</xdr:rowOff>
    </xdr:from>
    <xdr:to>
      <xdr:col>12</xdr:col>
      <xdr:colOff>403214</xdr:colOff>
      <xdr:row>20</xdr:row>
      <xdr:rowOff>156689</xdr:rowOff>
    </xdr:to>
    <xdr:grpSp>
      <xdr:nvGrpSpPr>
        <xdr:cNvPr id="492" name="Group 491">
          <a:extLst>
            <a:ext uri="{FF2B5EF4-FFF2-40B4-BE49-F238E27FC236}">
              <a16:creationId xmlns:a16="http://schemas.microsoft.com/office/drawing/2014/main" id="{B7876F81-5DA1-0401-D42E-752641E27997}"/>
            </a:ext>
          </a:extLst>
        </xdr:cNvPr>
        <xdr:cNvGrpSpPr/>
      </xdr:nvGrpSpPr>
      <xdr:grpSpPr>
        <a:xfrm>
          <a:off x="7135366" y="3390766"/>
          <a:ext cx="583048" cy="575923"/>
          <a:chOff x="5490237" y="5445827"/>
          <a:chExt cx="585770" cy="579633"/>
        </a:xfrm>
      </xdr:grpSpPr>
      <xdr:sp macro="" textlink="'Pivot Tables'!BH6">
        <xdr:nvSpPr>
          <xdr:cNvPr id="493" name="TextBox 492">
            <a:extLst>
              <a:ext uri="{FF2B5EF4-FFF2-40B4-BE49-F238E27FC236}">
                <a16:creationId xmlns:a16="http://schemas.microsoft.com/office/drawing/2014/main" id="{687894B1-6F9F-4FC7-5F6D-CA824F61D16B}"/>
              </a:ext>
            </a:extLst>
          </xdr:cNvPr>
          <xdr:cNvSpPr txBox="1"/>
        </xdr:nvSpPr>
        <xdr:spPr>
          <a:xfrm>
            <a:off x="5490936" y="5445827"/>
            <a:ext cx="584373" cy="5796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0B912BA-81B3-47AE-B72E-05569ED102F3}" type="TxLink">
              <a:rPr lang="en-US" sz="1600" b="0" i="0" u="none" strike="noStrike">
                <a:solidFill>
                  <a:srgbClr val="5A097C"/>
                </a:solidFill>
                <a:latin typeface="Calibri"/>
                <a:ea typeface="Calibri"/>
                <a:cs typeface="Calibri"/>
              </a:rPr>
              <a:pPr algn="ctr"/>
              <a:t> </a:t>
            </a:fld>
            <a:endParaRPr lang="en-IN" sz="1100"/>
          </a:p>
        </xdr:txBody>
      </xdr:sp>
      <xdr:sp macro="" textlink="'Pivot Tables'!BJ6">
        <xdr:nvSpPr>
          <xdr:cNvPr id="494" name="TextBox 493">
            <a:extLst>
              <a:ext uri="{FF2B5EF4-FFF2-40B4-BE49-F238E27FC236}">
                <a16:creationId xmlns:a16="http://schemas.microsoft.com/office/drawing/2014/main" id="{80C55BD6-ED76-FC9F-01D5-0346A98D52AC}"/>
              </a:ext>
            </a:extLst>
          </xdr:cNvPr>
          <xdr:cNvSpPr txBox="1"/>
        </xdr:nvSpPr>
        <xdr:spPr>
          <a:xfrm>
            <a:off x="5490237" y="5445827"/>
            <a:ext cx="585770" cy="5796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1022572-17E0-4746-90DD-A390454F211C}" type="TxLink">
              <a:rPr lang="en-US" sz="1600" b="0" i="0" u="none" strike="noStrike">
                <a:solidFill>
                  <a:srgbClr val="296EFC"/>
                </a:solidFill>
                <a:latin typeface="Calibri"/>
                <a:ea typeface="Calibri"/>
                <a:cs typeface="Calibri"/>
              </a:rPr>
              <a:pPr algn="ctr"/>
              <a:t>•</a:t>
            </a:fld>
            <a:endParaRPr lang="en-IN" sz="1100"/>
          </a:p>
        </xdr:txBody>
      </xdr:sp>
    </xdr:grpSp>
    <xdr:clientData/>
  </xdr:twoCellAnchor>
  <xdr:twoCellAnchor>
    <xdr:from>
      <xdr:col>11</xdr:col>
      <xdr:colOff>433785</xdr:colOff>
      <xdr:row>17</xdr:row>
      <xdr:rowOff>63849</xdr:rowOff>
    </xdr:from>
    <xdr:to>
      <xdr:col>12</xdr:col>
      <xdr:colOff>407233</xdr:colOff>
      <xdr:row>20</xdr:row>
      <xdr:rowOff>68272</xdr:rowOff>
    </xdr:to>
    <xdr:grpSp>
      <xdr:nvGrpSpPr>
        <xdr:cNvPr id="495" name="Group 494">
          <a:extLst>
            <a:ext uri="{FF2B5EF4-FFF2-40B4-BE49-F238E27FC236}">
              <a16:creationId xmlns:a16="http://schemas.microsoft.com/office/drawing/2014/main" id="{5AE6180F-C774-4BB8-7A06-D2386F6FD759}"/>
            </a:ext>
          </a:extLst>
        </xdr:cNvPr>
        <xdr:cNvGrpSpPr/>
      </xdr:nvGrpSpPr>
      <xdr:grpSpPr>
        <a:xfrm>
          <a:off x="7139385" y="3302349"/>
          <a:ext cx="583048" cy="575923"/>
          <a:chOff x="5490237" y="5445827"/>
          <a:chExt cx="585770" cy="579633"/>
        </a:xfrm>
      </xdr:grpSpPr>
      <xdr:sp macro="" textlink="'Pivot Tables'!BH6">
        <xdr:nvSpPr>
          <xdr:cNvPr id="496" name="TextBox 495">
            <a:extLst>
              <a:ext uri="{FF2B5EF4-FFF2-40B4-BE49-F238E27FC236}">
                <a16:creationId xmlns:a16="http://schemas.microsoft.com/office/drawing/2014/main" id="{ED743F8C-B082-E5C6-5BA7-D8A257EB6001}"/>
              </a:ext>
            </a:extLst>
          </xdr:cNvPr>
          <xdr:cNvSpPr txBox="1"/>
        </xdr:nvSpPr>
        <xdr:spPr>
          <a:xfrm>
            <a:off x="5490936" y="5445827"/>
            <a:ext cx="584373" cy="5796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0B912BA-81B3-47AE-B72E-05569ED102F3}" type="TxLink">
              <a:rPr lang="en-US" sz="1600" b="0" i="0" u="none" strike="noStrike">
                <a:solidFill>
                  <a:srgbClr val="5A097C"/>
                </a:solidFill>
                <a:latin typeface="Calibri"/>
                <a:ea typeface="Calibri"/>
                <a:cs typeface="Calibri"/>
              </a:rPr>
              <a:pPr algn="ctr"/>
              <a:t> </a:t>
            </a:fld>
            <a:endParaRPr lang="en-IN" sz="1100"/>
          </a:p>
        </xdr:txBody>
      </xdr:sp>
      <xdr:sp macro="" textlink="'Pivot Tables'!BJ6">
        <xdr:nvSpPr>
          <xdr:cNvPr id="497" name="TextBox 496">
            <a:extLst>
              <a:ext uri="{FF2B5EF4-FFF2-40B4-BE49-F238E27FC236}">
                <a16:creationId xmlns:a16="http://schemas.microsoft.com/office/drawing/2014/main" id="{A9FBA78E-64DB-3E95-7294-69D2D21EF81D}"/>
              </a:ext>
            </a:extLst>
          </xdr:cNvPr>
          <xdr:cNvSpPr txBox="1"/>
        </xdr:nvSpPr>
        <xdr:spPr>
          <a:xfrm>
            <a:off x="5490237" y="5445827"/>
            <a:ext cx="585770" cy="5796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1022572-17E0-4746-90DD-A390454F211C}" type="TxLink">
              <a:rPr lang="en-US" sz="1600" b="0" i="0" u="none" strike="noStrike">
                <a:solidFill>
                  <a:srgbClr val="296EFC"/>
                </a:solidFill>
                <a:latin typeface="Calibri"/>
                <a:ea typeface="Calibri"/>
                <a:cs typeface="Calibri"/>
              </a:rPr>
              <a:pPr algn="ctr"/>
              <a:t>•</a:t>
            </a:fld>
            <a:endParaRPr lang="en-IN" sz="1100"/>
          </a:p>
        </xdr:txBody>
      </xdr:sp>
    </xdr:grpSp>
    <xdr:clientData/>
  </xdr:twoCellAnchor>
  <xdr:twoCellAnchor>
    <xdr:from>
      <xdr:col>11</xdr:col>
      <xdr:colOff>526221</xdr:colOff>
      <xdr:row>17</xdr:row>
      <xdr:rowOff>63849</xdr:rowOff>
    </xdr:from>
    <xdr:to>
      <xdr:col>12</xdr:col>
      <xdr:colOff>499669</xdr:colOff>
      <xdr:row>20</xdr:row>
      <xdr:rowOff>68272</xdr:rowOff>
    </xdr:to>
    <xdr:grpSp>
      <xdr:nvGrpSpPr>
        <xdr:cNvPr id="498" name="Group 497">
          <a:extLst>
            <a:ext uri="{FF2B5EF4-FFF2-40B4-BE49-F238E27FC236}">
              <a16:creationId xmlns:a16="http://schemas.microsoft.com/office/drawing/2014/main" id="{84D21D0B-563A-9E70-2235-DBB7162ECFE8}"/>
            </a:ext>
          </a:extLst>
        </xdr:cNvPr>
        <xdr:cNvGrpSpPr/>
      </xdr:nvGrpSpPr>
      <xdr:grpSpPr>
        <a:xfrm>
          <a:off x="7231821" y="3302349"/>
          <a:ext cx="583048" cy="575923"/>
          <a:chOff x="5490237" y="5445827"/>
          <a:chExt cx="585770" cy="579633"/>
        </a:xfrm>
      </xdr:grpSpPr>
      <xdr:sp macro="" textlink="'Pivot Tables'!BH6">
        <xdr:nvSpPr>
          <xdr:cNvPr id="499" name="TextBox 498">
            <a:extLst>
              <a:ext uri="{FF2B5EF4-FFF2-40B4-BE49-F238E27FC236}">
                <a16:creationId xmlns:a16="http://schemas.microsoft.com/office/drawing/2014/main" id="{94EAA667-E9F1-751E-A618-C9EC731687C2}"/>
              </a:ext>
            </a:extLst>
          </xdr:cNvPr>
          <xdr:cNvSpPr txBox="1"/>
        </xdr:nvSpPr>
        <xdr:spPr>
          <a:xfrm>
            <a:off x="5490936" y="5445827"/>
            <a:ext cx="584373" cy="5796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0B912BA-81B3-47AE-B72E-05569ED102F3}" type="TxLink">
              <a:rPr lang="en-US" sz="1600" b="0" i="0" u="none" strike="noStrike">
                <a:solidFill>
                  <a:srgbClr val="5A097C"/>
                </a:solidFill>
                <a:latin typeface="Calibri"/>
                <a:ea typeface="Calibri"/>
                <a:cs typeface="Calibri"/>
              </a:rPr>
              <a:pPr algn="ctr"/>
              <a:t> </a:t>
            </a:fld>
            <a:endParaRPr lang="en-IN" sz="1100"/>
          </a:p>
        </xdr:txBody>
      </xdr:sp>
      <xdr:sp macro="" textlink="'Pivot Tables'!BJ6">
        <xdr:nvSpPr>
          <xdr:cNvPr id="500" name="TextBox 499">
            <a:extLst>
              <a:ext uri="{FF2B5EF4-FFF2-40B4-BE49-F238E27FC236}">
                <a16:creationId xmlns:a16="http://schemas.microsoft.com/office/drawing/2014/main" id="{DEDFC9C8-444B-11F4-C46D-C87A70250789}"/>
              </a:ext>
            </a:extLst>
          </xdr:cNvPr>
          <xdr:cNvSpPr txBox="1"/>
        </xdr:nvSpPr>
        <xdr:spPr>
          <a:xfrm>
            <a:off x="5490237" y="5445827"/>
            <a:ext cx="585770" cy="5796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1022572-17E0-4746-90DD-A390454F211C}" type="TxLink">
              <a:rPr lang="en-US" sz="1600" b="0" i="0" u="none" strike="noStrike">
                <a:solidFill>
                  <a:srgbClr val="296EFC"/>
                </a:solidFill>
                <a:latin typeface="Calibri"/>
                <a:ea typeface="Calibri"/>
                <a:cs typeface="Calibri"/>
              </a:rPr>
              <a:pPr algn="ctr"/>
              <a:t>•</a:t>
            </a:fld>
            <a:endParaRPr lang="en-IN" sz="1100"/>
          </a:p>
        </xdr:txBody>
      </xdr:sp>
    </xdr:grpSp>
    <xdr:clientData/>
  </xdr:twoCellAnchor>
  <xdr:twoCellAnchor>
    <xdr:from>
      <xdr:col>11</xdr:col>
      <xdr:colOff>526221</xdr:colOff>
      <xdr:row>17</xdr:row>
      <xdr:rowOff>160304</xdr:rowOff>
    </xdr:from>
    <xdr:to>
      <xdr:col>12</xdr:col>
      <xdr:colOff>499669</xdr:colOff>
      <xdr:row>20</xdr:row>
      <xdr:rowOff>164727</xdr:rowOff>
    </xdr:to>
    <xdr:grpSp>
      <xdr:nvGrpSpPr>
        <xdr:cNvPr id="501" name="Group 500">
          <a:extLst>
            <a:ext uri="{FF2B5EF4-FFF2-40B4-BE49-F238E27FC236}">
              <a16:creationId xmlns:a16="http://schemas.microsoft.com/office/drawing/2014/main" id="{A53AAA97-6A65-2BA2-7200-A0A7AF9D1B3C}"/>
            </a:ext>
          </a:extLst>
        </xdr:cNvPr>
        <xdr:cNvGrpSpPr/>
      </xdr:nvGrpSpPr>
      <xdr:grpSpPr>
        <a:xfrm>
          <a:off x="7231821" y="3398804"/>
          <a:ext cx="583048" cy="575923"/>
          <a:chOff x="5490237" y="5445827"/>
          <a:chExt cx="585770" cy="579633"/>
        </a:xfrm>
      </xdr:grpSpPr>
      <xdr:sp macro="" textlink="'Pivot Tables'!BH6">
        <xdr:nvSpPr>
          <xdr:cNvPr id="502" name="TextBox 501">
            <a:extLst>
              <a:ext uri="{FF2B5EF4-FFF2-40B4-BE49-F238E27FC236}">
                <a16:creationId xmlns:a16="http://schemas.microsoft.com/office/drawing/2014/main" id="{C3C315B0-DB67-65E2-3050-6833A14AB1FD}"/>
              </a:ext>
            </a:extLst>
          </xdr:cNvPr>
          <xdr:cNvSpPr txBox="1"/>
        </xdr:nvSpPr>
        <xdr:spPr>
          <a:xfrm>
            <a:off x="5490936" y="5445827"/>
            <a:ext cx="584373" cy="5796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0B912BA-81B3-47AE-B72E-05569ED102F3}" type="TxLink">
              <a:rPr lang="en-US" sz="1600" b="0" i="0" u="none" strike="noStrike">
                <a:solidFill>
                  <a:srgbClr val="5A097C"/>
                </a:solidFill>
                <a:latin typeface="Calibri"/>
                <a:ea typeface="Calibri"/>
                <a:cs typeface="Calibri"/>
              </a:rPr>
              <a:pPr algn="ctr"/>
              <a:t> </a:t>
            </a:fld>
            <a:endParaRPr lang="en-IN" sz="1100"/>
          </a:p>
        </xdr:txBody>
      </xdr:sp>
      <xdr:sp macro="" textlink="'Pivot Tables'!BJ6">
        <xdr:nvSpPr>
          <xdr:cNvPr id="503" name="TextBox 502">
            <a:extLst>
              <a:ext uri="{FF2B5EF4-FFF2-40B4-BE49-F238E27FC236}">
                <a16:creationId xmlns:a16="http://schemas.microsoft.com/office/drawing/2014/main" id="{256E1C52-34BD-777F-0FDC-7CF4875B187C}"/>
              </a:ext>
            </a:extLst>
          </xdr:cNvPr>
          <xdr:cNvSpPr txBox="1"/>
        </xdr:nvSpPr>
        <xdr:spPr>
          <a:xfrm>
            <a:off x="5490237" y="5445827"/>
            <a:ext cx="585770" cy="5796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1022572-17E0-4746-90DD-A390454F211C}" type="TxLink">
              <a:rPr lang="en-US" sz="1600" b="0" i="0" u="none" strike="noStrike">
                <a:solidFill>
                  <a:srgbClr val="296EFC"/>
                </a:solidFill>
                <a:latin typeface="Calibri"/>
                <a:ea typeface="Calibri"/>
                <a:cs typeface="Calibri"/>
              </a:rPr>
              <a:pPr algn="ctr"/>
              <a:t>•</a:t>
            </a:fld>
            <a:endParaRPr lang="en-IN" sz="1100"/>
          </a:p>
        </xdr:txBody>
      </xdr:sp>
    </xdr:grpSp>
    <xdr:clientData/>
  </xdr:twoCellAnchor>
  <xdr:twoCellAnchor>
    <xdr:from>
      <xdr:col>12</xdr:col>
      <xdr:colOff>11791</xdr:colOff>
      <xdr:row>16</xdr:row>
      <xdr:rowOff>63849</xdr:rowOff>
    </xdr:from>
    <xdr:to>
      <xdr:col>12</xdr:col>
      <xdr:colOff>596125</xdr:colOff>
      <xdr:row>19</xdr:row>
      <xdr:rowOff>68271</xdr:rowOff>
    </xdr:to>
    <xdr:grpSp>
      <xdr:nvGrpSpPr>
        <xdr:cNvPr id="504" name="Group 503">
          <a:extLst>
            <a:ext uri="{FF2B5EF4-FFF2-40B4-BE49-F238E27FC236}">
              <a16:creationId xmlns:a16="http://schemas.microsoft.com/office/drawing/2014/main" id="{F22232B6-E09D-91B4-4090-E9A471255644}"/>
            </a:ext>
          </a:extLst>
        </xdr:cNvPr>
        <xdr:cNvGrpSpPr/>
      </xdr:nvGrpSpPr>
      <xdr:grpSpPr>
        <a:xfrm>
          <a:off x="7326991" y="3111849"/>
          <a:ext cx="584334" cy="575922"/>
          <a:chOff x="5490237" y="5445827"/>
          <a:chExt cx="585770" cy="579633"/>
        </a:xfrm>
      </xdr:grpSpPr>
      <xdr:sp macro="" textlink="'Pivot Tables'!BH6">
        <xdr:nvSpPr>
          <xdr:cNvPr id="505" name="TextBox 504">
            <a:extLst>
              <a:ext uri="{FF2B5EF4-FFF2-40B4-BE49-F238E27FC236}">
                <a16:creationId xmlns:a16="http://schemas.microsoft.com/office/drawing/2014/main" id="{AC2A0BD8-280D-4E6C-9EAC-DB9DE187F31E}"/>
              </a:ext>
            </a:extLst>
          </xdr:cNvPr>
          <xdr:cNvSpPr txBox="1"/>
        </xdr:nvSpPr>
        <xdr:spPr>
          <a:xfrm>
            <a:off x="5490936" y="5445827"/>
            <a:ext cx="584373" cy="5796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0B912BA-81B3-47AE-B72E-05569ED102F3}" type="TxLink">
              <a:rPr lang="en-US" sz="1600" b="0" i="0" u="none" strike="noStrike">
                <a:solidFill>
                  <a:srgbClr val="5A097C"/>
                </a:solidFill>
                <a:latin typeface="Calibri"/>
                <a:ea typeface="Calibri"/>
                <a:cs typeface="Calibri"/>
              </a:rPr>
              <a:pPr algn="ctr"/>
              <a:t> </a:t>
            </a:fld>
            <a:endParaRPr lang="en-IN" sz="1100"/>
          </a:p>
        </xdr:txBody>
      </xdr:sp>
      <xdr:sp macro="" textlink="'Pivot Tables'!BJ6">
        <xdr:nvSpPr>
          <xdr:cNvPr id="506" name="TextBox 505">
            <a:extLst>
              <a:ext uri="{FF2B5EF4-FFF2-40B4-BE49-F238E27FC236}">
                <a16:creationId xmlns:a16="http://schemas.microsoft.com/office/drawing/2014/main" id="{41E68242-684E-1F07-1E9E-B5B3B600D287}"/>
              </a:ext>
            </a:extLst>
          </xdr:cNvPr>
          <xdr:cNvSpPr txBox="1"/>
        </xdr:nvSpPr>
        <xdr:spPr>
          <a:xfrm>
            <a:off x="5490237" y="5445827"/>
            <a:ext cx="585770" cy="5796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1022572-17E0-4746-90DD-A390454F211C}" type="TxLink">
              <a:rPr lang="en-US" sz="1600" b="0" i="0" u="none" strike="noStrike">
                <a:solidFill>
                  <a:srgbClr val="296EFC"/>
                </a:solidFill>
                <a:latin typeface="Calibri"/>
                <a:ea typeface="Calibri"/>
                <a:cs typeface="Calibri"/>
              </a:rPr>
              <a:pPr algn="ctr"/>
              <a:t>•</a:t>
            </a:fld>
            <a:endParaRPr lang="en-IN" sz="1100"/>
          </a:p>
        </xdr:txBody>
      </xdr:sp>
    </xdr:grpSp>
    <xdr:clientData/>
  </xdr:twoCellAnchor>
  <xdr:twoCellAnchor>
    <xdr:from>
      <xdr:col>12</xdr:col>
      <xdr:colOff>200683</xdr:colOff>
      <xdr:row>17</xdr:row>
      <xdr:rowOff>156285</xdr:rowOff>
    </xdr:from>
    <xdr:to>
      <xdr:col>13</xdr:col>
      <xdr:colOff>174131</xdr:colOff>
      <xdr:row>20</xdr:row>
      <xdr:rowOff>160708</xdr:rowOff>
    </xdr:to>
    <xdr:grpSp>
      <xdr:nvGrpSpPr>
        <xdr:cNvPr id="507" name="Group 506">
          <a:extLst>
            <a:ext uri="{FF2B5EF4-FFF2-40B4-BE49-F238E27FC236}">
              <a16:creationId xmlns:a16="http://schemas.microsoft.com/office/drawing/2014/main" id="{07EF95E9-CC75-E246-BCD1-FBB2DE244E64}"/>
            </a:ext>
          </a:extLst>
        </xdr:cNvPr>
        <xdr:cNvGrpSpPr/>
      </xdr:nvGrpSpPr>
      <xdr:grpSpPr>
        <a:xfrm>
          <a:off x="7515883" y="3394785"/>
          <a:ext cx="583048" cy="575923"/>
          <a:chOff x="5490237" y="5445827"/>
          <a:chExt cx="585770" cy="579633"/>
        </a:xfrm>
      </xdr:grpSpPr>
      <xdr:sp macro="" textlink="'Pivot Tables'!BH6">
        <xdr:nvSpPr>
          <xdr:cNvPr id="508" name="TextBox 507">
            <a:extLst>
              <a:ext uri="{FF2B5EF4-FFF2-40B4-BE49-F238E27FC236}">
                <a16:creationId xmlns:a16="http://schemas.microsoft.com/office/drawing/2014/main" id="{ACF92E80-F479-9DB4-197E-48EF2E45FB0A}"/>
              </a:ext>
            </a:extLst>
          </xdr:cNvPr>
          <xdr:cNvSpPr txBox="1"/>
        </xdr:nvSpPr>
        <xdr:spPr>
          <a:xfrm>
            <a:off x="5490936" y="5445827"/>
            <a:ext cx="584373" cy="5796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0B912BA-81B3-47AE-B72E-05569ED102F3}" type="TxLink">
              <a:rPr lang="en-US" sz="1600" b="0" i="0" u="none" strike="noStrike">
                <a:solidFill>
                  <a:srgbClr val="5A097C"/>
                </a:solidFill>
                <a:latin typeface="Calibri"/>
                <a:ea typeface="Calibri"/>
                <a:cs typeface="Calibri"/>
              </a:rPr>
              <a:pPr algn="ctr"/>
              <a:t> </a:t>
            </a:fld>
            <a:endParaRPr lang="en-IN" sz="1100"/>
          </a:p>
        </xdr:txBody>
      </xdr:sp>
      <xdr:sp macro="" textlink="'Pivot Tables'!BJ6">
        <xdr:nvSpPr>
          <xdr:cNvPr id="509" name="TextBox 508">
            <a:extLst>
              <a:ext uri="{FF2B5EF4-FFF2-40B4-BE49-F238E27FC236}">
                <a16:creationId xmlns:a16="http://schemas.microsoft.com/office/drawing/2014/main" id="{8C253DD3-05D2-7C1C-3D83-834118A86FFB}"/>
              </a:ext>
            </a:extLst>
          </xdr:cNvPr>
          <xdr:cNvSpPr txBox="1"/>
        </xdr:nvSpPr>
        <xdr:spPr>
          <a:xfrm>
            <a:off x="5490237" y="5445827"/>
            <a:ext cx="585770" cy="5796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1022572-17E0-4746-90DD-A390454F211C}" type="TxLink">
              <a:rPr lang="en-US" sz="1600" b="0" i="0" u="none" strike="noStrike">
                <a:solidFill>
                  <a:srgbClr val="296EFC"/>
                </a:solidFill>
                <a:latin typeface="Calibri"/>
                <a:ea typeface="Calibri"/>
                <a:cs typeface="Calibri"/>
              </a:rPr>
              <a:pPr algn="ctr"/>
              <a:t>•</a:t>
            </a:fld>
            <a:endParaRPr lang="en-IN" sz="1100"/>
          </a:p>
        </xdr:txBody>
      </xdr:sp>
    </xdr:grpSp>
    <xdr:clientData/>
  </xdr:twoCellAnchor>
  <xdr:twoCellAnchor>
    <xdr:from>
      <xdr:col>12</xdr:col>
      <xdr:colOff>11468</xdr:colOff>
      <xdr:row>18</xdr:row>
      <xdr:rowOff>151945</xdr:rowOff>
    </xdr:from>
    <xdr:to>
      <xdr:col>12</xdr:col>
      <xdr:colOff>595802</xdr:colOff>
      <xdr:row>21</xdr:row>
      <xdr:rowOff>156368</xdr:rowOff>
    </xdr:to>
    <xdr:grpSp>
      <xdr:nvGrpSpPr>
        <xdr:cNvPr id="510" name="Group 509">
          <a:extLst>
            <a:ext uri="{FF2B5EF4-FFF2-40B4-BE49-F238E27FC236}">
              <a16:creationId xmlns:a16="http://schemas.microsoft.com/office/drawing/2014/main" id="{1BC3A6A9-3442-423C-86A4-796E4CCF743F}"/>
            </a:ext>
          </a:extLst>
        </xdr:cNvPr>
        <xdr:cNvGrpSpPr/>
      </xdr:nvGrpSpPr>
      <xdr:grpSpPr>
        <a:xfrm>
          <a:off x="7326668" y="3580945"/>
          <a:ext cx="584334" cy="575923"/>
          <a:chOff x="5490237" y="5445827"/>
          <a:chExt cx="585770" cy="579633"/>
        </a:xfrm>
      </xdr:grpSpPr>
      <xdr:sp macro="" textlink="'Pivot Tables'!BH6">
        <xdr:nvSpPr>
          <xdr:cNvPr id="511" name="TextBox 510">
            <a:extLst>
              <a:ext uri="{FF2B5EF4-FFF2-40B4-BE49-F238E27FC236}">
                <a16:creationId xmlns:a16="http://schemas.microsoft.com/office/drawing/2014/main" id="{EDE80B77-3144-63E7-11E5-2291B593A9D0}"/>
              </a:ext>
            </a:extLst>
          </xdr:cNvPr>
          <xdr:cNvSpPr txBox="1"/>
        </xdr:nvSpPr>
        <xdr:spPr>
          <a:xfrm>
            <a:off x="5490936" y="5445827"/>
            <a:ext cx="584373" cy="5796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0B912BA-81B3-47AE-B72E-05569ED102F3}" type="TxLink">
              <a:rPr lang="en-US" sz="1600" b="0" i="0" u="none" strike="noStrike">
                <a:solidFill>
                  <a:srgbClr val="5A097C"/>
                </a:solidFill>
                <a:latin typeface="Calibri"/>
                <a:ea typeface="Calibri"/>
                <a:cs typeface="Calibri"/>
              </a:rPr>
              <a:pPr algn="ctr"/>
              <a:t> </a:t>
            </a:fld>
            <a:endParaRPr lang="en-IN" sz="1100"/>
          </a:p>
        </xdr:txBody>
      </xdr:sp>
      <xdr:sp macro="" textlink="'Pivot Tables'!BJ6">
        <xdr:nvSpPr>
          <xdr:cNvPr id="512" name="TextBox 511">
            <a:extLst>
              <a:ext uri="{FF2B5EF4-FFF2-40B4-BE49-F238E27FC236}">
                <a16:creationId xmlns:a16="http://schemas.microsoft.com/office/drawing/2014/main" id="{AA6532B9-C92D-E801-0090-24BA5BD3CA00}"/>
              </a:ext>
            </a:extLst>
          </xdr:cNvPr>
          <xdr:cNvSpPr txBox="1"/>
        </xdr:nvSpPr>
        <xdr:spPr>
          <a:xfrm>
            <a:off x="5490237" y="5445827"/>
            <a:ext cx="585770" cy="5796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1022572-17E0-4746-90DD-A390454F211C}" type="TxLink">
              <a:rPr lang="en-US" sz="1600" b="0" i="0" u="none" strike="noStrike">
                <a:solidFill>
                  <a:srgbClr val="296EFC"/>
                </a:solidFill>
                <a:latin typeface="Calibri"/>
                <a:ea typeface="Calibri"/>
                <a:cs typeface="Calibri"/>
              </a:rPr>
              <a:pPr algn="ctr"/>
              <a:t>•</a:t>
            </a:fld>
            <a:endParaRPr lang="en-IN" sz="1100"/>
          </a:p>
        </xdr:txBody>
      </xdr:sp>
    </xdr:grpSp>
    <xdr:clientData/>
  </xdr:twoCellAnchor>
  <xdr:twoCellAnchor>
    <xdr:from>
      <xdr:col>11</xdr:col>
      <xdr:colOff>429120</xdr:colOff>
      <xdr:row>19</xdr:row>
      <xdr:rowOff>63205</xdr:rowOff>
    </xdr:from>
    <xdr:to>
      <xdr:col>12</xdr:col>
      <xdr:colOff>402568</xdr:colOff>
      <xdr:row>22</xdr:row>
      <xdr:rowOff>67628</xdr:rowOff>
    </xdr:to>
    <xdr:grpSp>
      <xdr:nvGrpSpPr>
        <xdr:cNvPr id="513" name="Group 512">
          <a:extLst>
            <a:ext uri="{FF2B5EF4-FFF2-40B4-BE49-F238E27FC236}">
              <a16:creationId xmlns:a16="http://schemas.microsoft.com/office/drawing/2014/main" id="{412F4204-E89A-419D-80B0-99E4C41FCA01}"/>
            </a:ext>
          </a:extLst>
        </xdr:cNvPr>
        <xdr:cNvGrpSpPr/>
      </xdr:nvGrpSpPr>
      <xdr:grpSpPr>
        <a:xfrm>
          <a:off x="7134720" y="3682705"/>
          <a:ext cx="583048" cy="575923"/>
          <a:chOff x="5490237" y="5445827"/>
          <a:chExt cx="585770" cy="579633"/>
        </a:xfrm>
      </xdr:grpSpPr>
      <xdr:sp macro="" textlink="'Pivot Tables'!BH6">
        <xdr:nvSpPr>
          <xdr:cNvPr id="514" name="TextBox 513">
            <a:extLst>
              <a:ext uri="{FF2B5EF4-FFF2-40B4-BE49-F238E27FC236}">
                <a16:creationId xmlns:a16="http://schemas.microsoft.com/office/drawing/2014/main" id="{2955E8CF-A6A9-299F-4E5A-6D2CF10412C3}"/>
              </a:ext>
            </a:extLst>
          </xdr:cNvPr>
          <xdr:cNvSpPr txBox="1"/>
        </xdr:nvSpPr>
        <xdr:spPr>
          <a:xfrm>
            <a:off x="5490936" y="5445827"/>
            <a:ext cx="584373" cy="5796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0B912BA-81B3-47AE-B72E-05569ED102F3}" type="TxLink">
              <a:rPr lang="en-US" sz="1600" b="0" i="0" u="none" strike="noStrike">
                <a:solidFill>
                  <a:srgbClr val="5A097C"/>
                </a:solidFill>
                <a:latin typeface="Calibri"/>
                <a:ea typeface="Calibri"/>
                <a:cs typeface="Calibri"/>
              </a:rPr>
              <a:pPr algn="ctr"/>
              <a:t> </a:t>
            </a:fld>
            <a:endParaRPr lang="en-IN" sz="1100"/>
          </a:p>
        </xdr:txBody>
      </xdr:sp>
      <xdr:sp macro="" textlink="'Pivot Tables'!BJ6">
        <xdr:nvSpPr>
          <xdr:cNvPr id="515" name="TextBox 514">
            <a:extLst>
              <a:ext uri="{FF2B5EF4-FFF2-40B4-BE49-F238E27FC236}">
                <a16:creationId xmlns:a16="http://schemas.microsoft.com/office/drawing/2014/main" id="{BA07AFC6-A949-3B06-359E-3E66323A0E4D}"/>
              </a:ext>
            </a:extLst>
          </xdr:cNvPr>
          <xdr:cNvSpPr txBox="1"/>
        </xdr:nvSpPr>
        <xdr:spPr>
          <a:xfrm>
            <a:off x="5490237" y="5445827"/>
            <a:ext cx="585770" cy="5796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1022572-17E0-4746-90DD-A390454F211C}" type="TxLink">
              <a:rPr lang="en-US" sz="1600" b="0" i="0" u="none" strike="noStrike">
                <a:solidFill>
                  <a:srgbClr val="296EFC"/>
                </a:solidFill>
                <a:latin typeface="Calibri"/>
                <a:ea typeface="Calibri"/>
                <a:cs typeface="Calibri"/>
              </a:rPr>
              <a:pPr algn="ctr"/>
              <a:t>•</a:t>
            </a:fld>
            <a:endParaRPr lang="en-IN" sz="1100"/>
          </a:p>
        </xdr:txBody>
      </xdr:sp>
    </xdr:grpSp>
    <xdr:clientData/>
  </xdr:twoCellAnchor>
  <xdr:twoCellAnchor>
    <xdr:from>
      <xdr:col>11</xdr:col>
      <xdr:colOff>332664</xdr:colOff>
      <xdr:row>19</xdr:row>
      <xdr:rowOff>155642</xdr:rowOff>
    </xdr:from>
    <xdr:to>
      <xdr:col>12</xdr:col>
      <xdr:colOff>306112</xdr:colOff>
      <xdr:row>22</xdr:row>
      <xdr:rowOff>160065</xdr:rowOff>
    </xdr:to>
    <xdr:grpSp>
      <xdr:nvGrpSpPr>
        <xdr:cNvPr id="516" name="Group 515">
          <a:extLst>
            <a:ext uri="{FF2B5EF4-FFF2-40B4-BE49-F238E27FC236}">
              <a16:creationId xmlns:a16="http://schemas.microsoft.com/office/drawing/2014/main" id="{D3C84F67-3A20-68FB-A38A-FF75EDE1B257}"/>
            </a:ext>
          </a:extLst>
        </xdr:cNvPr>
        <xdr:cNvGrpSpPr/>
      </xdr:nvGrpSpPr>
      <xdr:grpSpPr>
        <a:xfrm>
          <a:off x="7038264" y="3775142"/>
          <a:ext cx="583048" cy="575923"/>
          <a:chOff x="5490237" y="5445827"/>
          <a:chExt cx="585770" cy="579633"/>
        </a:xfrm>
      </xdr:grpSpPr>
      <xdr:sp macro="" textlink="'Pivot Tables'!BH6">
        <xdr:nvSpPr>
          <xdr:cNvPr id="517" name="TextBox 516">
            <a:extLst>
              <a:ext uri="{FF2B5EF4-FFF2-40B4-BE49-F238E27FC236}">
                <a16:creationId xmlns:a16="http://schemas.microsoft.com/office/drawing/2014/main" id="{D5A5D627-FB05-E825-28F5-66EBD8FF2A8D}"/>
              </a:ext>
            </a:extLst>
          </xdr:cNvPr>
          <xdr:cNvSpPr txBox="1"/>
        </xdr:nvSpPr>
        <xdr:spPr>
          <a:xfrm>
            <a:off x="5490936" y="5445827"/>
            <a:ext cx="584373" cy="5796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0B912BA-81B3-47AE-B72E-05569ED102F3}" type="TxLink">
              <a:rPr lang="en-US" sz="1600" b="0" i="0" u="none" strike="noStrike">
                <a:solidFill>
                  <a:srgbClr val="5A097C"/>
                </a:solidFill>
                <a:latin typeface="Calibri"/>
                <a:ea typeface="Calibri"/>
                <a:cs typeface="Calibri"/>
              </a:rPr>
              <a:pPr algn="ctr"/>
              <a:t> </a:t>
            </a:fld>
            <a:endParaRPr lang="en-IN" sz="1100"/>
          </a:p>
        </xdr:txBody>
      </xdr:sp>
      <xdr:sp macro="" textlink="'Pivot Tables'!BJ6">
        <xdr:nvSpPr>
          <xdr:cNvPr id="518" name="TextBox 517">
            <a:extLst>
              <a:ext uri="{FF2B5EF4-FFF2-40B4-BE49-F238E27FC236}">
                <a16:creationId xmlns:a16="http://schemas.microsoft.com/office/drawing/2014/main" id="{DCBA8D97-D127-8680-4F91-2FF3132CE25B}"/>
              </a:ext>
            </a:extLst>
          </xdr:cNvPr>
          <xdr:cNvSpPr txBox="1"/>
        </xdr:nvSpPr>
        <xdr:spPr>
          <a:xfrm>
            <a:off x="5490237" y="5445827"/>
            <a:ext cx="585770" cy="5796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1022572-17E0-4746-90DD-A390454F211C}" type="TxLink">
              <a:rPr lang="en-US" sz="1600" b="0" i="0" u="none" strike="noStrike">
                <a:solidFill>
                  <a:srgbClr val="296EFC"/>
                </a:solidFill>
                <a:latin typeface="Calibri"/>
                <a:ea typeface="Calibri"/>
                <a:cs typeface="Calibri"/>
              </a:rPr>
              <a:pPr algn="ctr"/>
              <a:t>•</a:t>
            </a:fld>
            <a:endParaRPr lang="en-IN" sz="1100"/>
          </a:p>
        </xdr:txBody>
      </xdr:sp>
    </xdr:grpSp>
    <xdr:clientData/>
  </xdr:twoCellAnchor>
  <xdr:twoCellAnchor>
    <xdr:from>
      <xdr:col>11</xdr:col>
      <xdr:colOff>240945</xdr:colOff>
      <xdr:row>17</xdr:row>
      <xdr:rowOff>155377</xdr:rowOff>
    </xdr:from>
    <xdr:to>
      <xdr:col>12</xdr:col>
      <xdr:colOff>215829</xdr:colOff>
      <xdr:row>20</xdr:row>
      <xdr:rowOff>159799</xdr:rowOff>
    </xdr:to>
    <xdr:grpSp>
      <xdr:nvGrpSpPr>
        <xdr:cNvPr id="519" name="Group 518">
          <a:extLst>
            <a:ext uri="{FF2B5EF4-FFF2-40B4-BE49-F238E27FC236}">
              <a16:creationId xmlns:a16="http://schemas.microsoft.com/office/drawing/2014/main" id="{2DC02CA8-101F-4454-ACD9-EC7E137558FF}"/>
            </a:ext>
          </a:extLst>
        </xdr:cNvPr>
        <xdr:cNvGrpSpPr/>
      </xdr:nvGrpSpPr>
      <xdr:grpSpPr>
        <a:xfrm>
          <a:off x="6946545" y="3393877"/>
          <a:ext cx="584484" cy="575922"/>
          <a:chOff x="5511021" y="4852033"/>
          <a:chExt cx="585770" cy="579633"/>
        </a:xfrm>
      </xdr:grpSpPr>
      <xdr:sp macro="" textlink="'Pivot Tables'!BG6">
        <xdr:nvSpPr>
          <xdr:cNvPr id="520" name="TextBox 519">
            <a:extLst>
              <a:ext uri="{FF2B5EF4-FFF2-40B4-BE49-F238E27FC236}">
                <a16:creationId xmlns:a16="http://schemas.microsoft.com/office/drawing/2014/main" id="{C3C4FC27-B8FE-55B4-B933-6B08AFFEBED8}"/>
              </a:ext>
            </a:extLst>
          </xdr:cNvPr>
          <xdr:cNvSpPr txBox="1"/>
        </xdr:nvSpPr>
        <xdr:spPr>
          <a:xfrm>
            <a:off x="5511720" y="4852033"/>
            <a:ext cx="584373" cy="5796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77958CF-3E13-4780-BC46-7CD53064CA68}" type="TxLink">
              <a:rPr lang="en-US" sz="1600" b="0" i="0" u="none" strike="noStrike">
                <a:solidFill>
                  <a:srgbClr val="C240DB"/>
                </a:solidFill>
                <a:latin typeface="Calibri"/>
                <a:ea typeface="Calibri"/>
                <a:cs typeface="Calibri"/>
              </a:rPr>
              <a:pPr algn="ctr"/>
              <a:t> </a:t>
            </a:fld>
            <a:endParaRPr lang="en-IN" sz="1100"/>
          </a:p>
        </xdr:txBody>
      </xdr:sp>
      <xdr:sp macro="" textlink="'Pivot Tables'!BI6">
        <xdr:nvSpPr>
          <xdr:cNvPr id="521" name="TextBox 520">
            <a:extLst>
              <a:ext uri="{FF2B5EF4-FFF2-40B4-BE49-F238E27FC236}">
                <a16:creationId xmlns:a16="http://schemas.microsoft.com/office/drawing/2014/main" id="{43D076C3-B5CE-1264-5CDC-A6E50E76C93E}"/>
              </a:ext>
            </a:extLst>
          </xdr:cNvPr>
          <xdr:cNvSpPr txBox="1"/>
        </xdr:nvSpPr>
        <xdr:spPr>
          <a:xfrm>
            <a:off x="5511021" y="4852033"/>
            <a:ext cx="585770" cy="5796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4606114-254D-4809-82C1-83D0099B2DD9}" type="TxLink">
              <a:rPr lang="en-US" sz="1600" b="0" i="0" u="none" strike="noStrike">
                <a:solidFill>
                  <a:srgbClr val="0F11A7"/>
                </a:solidFill>
                <a:latin typeface="Calibri"/>
                <a:ea typeface="Calibri"/>
                <a:cs typeface="Calibri"/>
              </a:rPr>
              <a:pPr algn="ctr"/>
              <a:t>•</a:t>
            </a:fld>
            <a:endParaRPr lang="en-IN" sz="1100"/>
          </a:p>
        </xdr:txBody>
      </xdr:sp>
    </xdr:grpSp>
    <xdr:clientData/>
  </xdr:twoCellAnchor>
  <xdr:twoCellAnchor>
    <xdr:from>
      <xdr:col>11</xdr:col>
      <xdr:colOff>429516</xdr:colOff>
      <xdr:row>16</xdr:row>
      <xdr:rowOff>159075</xdr:rowOff>
    </xdr:from>
    <xdr:to>
      <xdr:col>12</xdr:col>
      <xdr:colOff>404400</xdr:colOff>
      <xdr:row>19</xdr:row>
      <xdr:rowOff>163496</xdr:rowOff>
    </xdr:to>
    <xdr:grpSp>
      <xdr:nvGrpSpPr>
        <xdr:cNvPr id="522" name="Group 521">
          <a:extLst>
            <a:ext uri="{FF2B5EF4-FFF2-40B4-BE49-F238E27FC236}">
              <a16:creationId xmlns:a16="http://schemas.microsoft.com/office/drawing/2014/main" id="{588BEDBE-B7A2-4020-B59E-30350439B95D}"/>
            </a:ext>
          </a:extLst>
        </xdr:cNvPr>
        <xdr:cNvGrpSpPr/>
      </xdr:nvGrpSpPr>
      <xdr:grpSpPr>
        <a:xfrm>
          <a:off x="7135116" y="3207075"/>
          <a:ext cx="584484" cy="575921"/>
          <a:chOff x="5511021" y="4852033"/>
          <a:chExt cx="585770" cy="579633"/>
        </a:xfrm>
      </xdr:grpSpPr>
      <xdr:sp macro="" textlink="'Pivot Tables'!BG6">
        <xdr:nvSpPr>
          <xdr:cNvPr id="523" name="TextBox 522">
            <a:extLst>
              <a:ext uri="{FF2B5EF4-FFF2-40B4-BE49-F238E27FC236}">
                <a16:creationId xmlns:a16="http://schemas.microsoft.com/office/drawing/2014/main" id="{BC224658-3704-02BB-50FC-E30B1422CB61}"/>
              </a:ext>
            </a:extLst>
          </xdr:cNvPr>
          <xdr:cNvSpPr txBox="1"/>
        </xdr:nvSpPr>
        <xdr:spPr>
          <a:xfrm>
            <a:off x="5511720" y="4852033"/>
            <a:ext cx="584373" cy="5796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77958CF-3E13-4780-BC46-7CD53064CA68}" type="TxLink">
              <a:rPr lang="en-US" sz="1600" b="0" i="0" u="none" strike="noStrike">
                <a:solidFill>
                  <a:srgbClr val="C240DB"/>
                </a:solidFill>
                <a:latin typeface="Calibri"/>
                <a:ea typeface="Calibri"/>
                <a:cs typeface="Calibri"/>
              </a:rPr>
              <a:pPr algn="ctr"/>
              <a:t> </a:t>
            </a:fld>
            <a:endParaRPr lang="en-IN" sz="1100"/>
          </a:p>
        </xdr:txBody>
      </xdr:sp>
      <xdr:sp macro="" textlink="'Pivot Tables'!BI6">
        <xdr:nvSpPr>
          <xdr:cNvPr id="524" name="TextBox 523">
            <a:extLst>
              <a:ext uri="{FF2B5EF4-FFF2-40B4-BE49-F238E27FC236}">
                <a16:creationId xmlns:a16="http://schemas.microsoft.com/office/drawing/2014/main" id="{C88E9499-A7C5-4C68-9F24-D39E282708E5}"/>
              </a:ext>
            </a:extLst>
          </xdr:cNvPr>
          <xdr:cNvSpPr txBox="1"/>
        </xdr:nvSpPr>
        <xdr:spPr>
          <a:xfrm>
            <a:off x="5511021" y="4852033"/>
            <a:ext cx="585770" cy="5796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4606114-254D-4809-82C1-83D0099B2DD9}" type="TxLink">
              <a:rPr lang="en-US" sz="1600" b="0" i="0" u="none" strike="noStrike">
                <a:solidFill>
                  <a:srgbClr val="0F11A7"/>
                </a:solidFill>
                <a:latin typeface="Calibri"/>
                <a:ea typeface="Calibri"/>
                <a:cs typeface="Calibri"/>
              </a:rPr>
              <a:pPr algn="ctr"/>
              <a:t>•</a:t>
            </a:fld>
            <a:endParaRPr lang="en-IN" sz="1100"/>
          </a:p>
        </xdr:txBody>
      </xdr:sp>
    </xdr:grpSp>
    <xdr:clientData/>
  </xdr:twoCellAnchor>
  <xdr:twoCellAnchor>
    <xdr:from>
      <xdr:col>11</xdr:col>
      <xdr:colOff>521631</xdr:colOff>
      <xdr:row>18</xdr:row>
      <xdr:rowOff>66317</xdr:rowOff>
    </xdr:from>
    <xdr:to>
      <xdr:col>12</xdr:col>
      <xdr:colOff>496515</xdr:colOff>
      <xdr:row>21</xdr:row>
      <xdr:rowOff>70739</xdr:rowOff>
    </xdr:to>
    <xdr:grpSp>
      <xdr:nvGrpSpPr>
        <xdr:cNvPr id="525" name="Group 524">
          <a:extLst>
            <a:ext uri="{FF2B5EF4-FFF2-40B4-BE49-F238E27FC236}">
              <a16:creationId xmlns:a16="http://schemas.microsoft.com/office/drawing/2014/main" id="{B00FFE0B-05E3-4B7D-AFB3-2C8F78ECB275}"/>
            </a:ext>
          </a:extLst>
        </xdr:cNvPr>
        <xdr:cNvGrpSpPr/>
      </xdr:nvGrpSpPr>
      <xdr:grpSpPr>
        <a:xfrm>
          <a:off x="7227231" y="3495317"/>
          <a:ext cx="584484" cy="575922"/>
          <a:chOff x="5511021" y="4852033"/>
          <a:chExt cx="585770" cy="579633"/>
        </a:xfrm>
      </xdr:grpSpPr>
      <xdr:sp macro="" textlink="'Pivot Tables'!BG6">
        <xdr:nvSpPr>
          <xdr:cNvPr id="526" name="TextBox 525">
            <a:extLst>
              <a:ext uri="{FF2B5EF4-FFF2-40B4-BE49-F238E27FC236}">
                <a16:creationId xmlns:a16="http://schemas.microsoft.com/office/drawing/2014/main" id="{F84F9A51-EBB8-89BF-7600-D2A1BC1FC4E1}"/>
              </a:ext>
            </a:extLst>
          </xdr:cNvPr>
          <xdr:cNvSpPr txBox="1"/>
        </xdr:nvSpPr>
        <xdr:spPr>
          <a:xfrm>
            <a:off x="5511720" y="4852033"/>
            <a:ext cx="584373" cy="5796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77958CF-3E13-4780-BC46-7CD53064CA68}" type="TxLink">
              <a:rPr lang="en-US" sz="1600" b="0" i="0" u="none" strike="noStrike">
                <a:solidFill>
                  <a:srgbClr val="C240DB"/>
                </a:solidFill>
                <a:latin typeface="Calibri"/>
                <a:ea typeface="Calibri"/>
                <a:cs typeface="Calibri"/>
              </a:rPr>
              <a:pPr algn="ctr"/>
              <a:t> </a:t>
            </a:fld>
            <a:endParaRPr lang="en-IN" sz="1100"/>
          </a:p>
        </xdr:txBody>
      </xdr:sp>
      <xdr:sp macro="" textlink="'Pivot Tables'!BI6">
        <xdr:nvSpPr>
          <xdr:cNvPr id="527" name="TextBox 526">
            <a:extLst>
              <a:ext uri="{FF2B5EF4-FFF2-40B4-BE49-F238E27FC236}">
                <a16:creationId xmlns:a16="http://schemas.microsoft.com/office/drawing/2014/main" id="{839DF435-A152-3860-2594-111F4067DD8C}"/>
              </a:ext>
            </a:extLst>
          </xdr:cNvPr>
          <xdr:cNvSpPr txBox="1"/>
        </xdr:nvSpPr>
        <xdr:spPr>
          <a:xfrm>
            <a:off x="5511021" y="4852033"/>
            <a:ext cx="585770" cy="5796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4606114-254D-4809-82C1-83D0099B2DD9}" type="TxLink">
              <a:rPr lang="en-US" sz="1600" b="0" i="0" u="none" strike="noStrike">
                <a:solidFill>
                  <a:srgbClr val="0F11A7"/>
                </a:solidFill>
                <a:latin typeface="Calibri"/>
                <a:ea typeface="Calibri"/>
                <a:cs typeface="Calibri"/>
              </a:rPr>
              <a:pPr algn="ctr"/>
              <a:t>•</a:t>
            </a:fld>
            <a:endParaRPr lang="en-IN" sz="1100"/>
          </a:p>
        </xdr:txBody>
      </xdr:sp>
    </xdr:grpSp>
    <xdr:clientData/>
  </xdr:twoCellAnchor>
  <xdr:twoCellAnchor>
    <xdr:from>
      <xdr:col>11</xdr:col>
      <xdr:colOff>332739</xdr:colOff>
      <xdr:row>18</xdr:row>
      <xdr:rowOff>158754</xdr:rowOff>
    </xdr:from>
    <xdr:to>
      <xdr:col>12</xdr:col>
      <xdr:colOff>307623</xdr:colOff>
      <xdr:row>21</xdr:row>
      <xdr:rowOff>163176</xdr:rowOff>
    </xdr:to>
    <xdr:grpSp>
      <xdr:nvGrpSpPr>
        <xdr:cNvPr id="528" name="Group 527">
          <a:extLst>
            <a:ext uri="{FF2B5EF4-FFF2-40B4-BE49-F238E27FC236}">
              <a16:creationId xmlns:a16="http://schemas.microsoft.com/office/drawing/2014/main" id="{67FFE4BC-F9CC-15E4-510B-3ABA67B55A14}"/>
            </a:ext>
          </a:extLst>
        </xdr:cNvPr>
        <xdr:cNvGrpSpPr/>
      </xdr:nvGrpSpPr>
      <xdr:grpSpPr>
        <a:xfrm>
          <a:off x="7038339" y="3587754"/>
          <a:ext cx="584484" cy="575922"/>
          <a:chOff x="5511021" y="4852033"/>
          <a:chExt cx="585770" cy="579633"/>
        </a:xfrm>
      </xdr:grpSpPr>
      <xdr:sp macro="" textlink="'Pivot Tables'!BG6">
        <xdr:nvSpPr>
          <xdr:cNvPr id="529" name="TextBox 528">
            <a:extLst>
              <a:ext uri="{FF2B5EF4-FFF2-40B4-BE49-F238E27FC236}">
                <a16:creationId xmlns:a16="http://schemas.microsoft.com/office/drawing/2014/main" id="{1213A6CE-F7EC-30E3-07BC-AE55C3FD6E3A}"/>
              </a:ext>
            </a:extLst>
          </xdr:cNvPr>
          <xdr:cNvSpPr txBox="1"/>
        </xdr:nvSpPr>
        <xdr:spPr>
          <a:xfrm>
            <a:off x="5511720" y="4852033"/>
            <a:ext cx="584373" cy="5796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77958CF-3E13-4780-BC46-7CD53064CA68}" type="TxLink">
              <a:rPr lang="en-US" sz="1600" b="0" i="0" u="none" strike="noStrike">
                <a:solidFill>
                  <a:srgbClr val="C240DB"/>
                </a:solidFill>
                <a:latin typeface="Calibri"/>
                <a:ea typeface="Calibri"/>
                <a:cs typeface="Calibri"/>
              </a:rPr>
              <a:pPr algn="ctr"/>
              <a:t> </a:t>
            </a:fld>
            <a:endParaRPr lang="en-IN" sz="1100"/>
          </a:p>
        </xdr:txBody>
      </xdr:sp>
      <xdr:sp macro="" textlink="'Pivot Tables'!BI6">
        <xdr:nvSpPr>
          <xdr:cNvPr id="530" name="TextBox 529">
            <a:extLst>
              <a:ext uri="{FF2B5EF4-FFF2-40B4-BE49-F238E27FC236}">
                <a16:creationId xmlns:a16="http://schemas.microsoft.com/office/drawing/2014/main" id="{FF96B410-882A-F1A5-73D8-805D9EA0BDFB}"/>
              </a:ext>
            </a:extLst>
          </xdr:cNvPr>
          <xdr:cNvSpPr txBox="1"/>
        </xdr:nvSpPr>
        <xdr:spPr>
          <a:xfrm>
            <a:off x="5511021" y="4852033"/>
            <a:ext cx="585770" cy="5796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4606114-254D-4809-82C1-83D0099B2DD9}" type="TxLink">
              <a:rPr lang="en-US" sz="1600" b="0" i="0" u="none" strike="noStrike">
                <a:solidFill>
                  <a:srgbClr val="0F11A7"/>
                </a:solidFill>
                <a:latin typeface="Calibri"/>
                <a:ea typeface="Calibri"/>
                <a:cs typeface="Calibri"/>
              </a:rPr>
              <a:pPr algn="ctr"/>
              <a:t>•</a:t>
            </a:fld>
            <a:endParaRPr lang="en-IN" sz="1100"/>
          </a:p>
        </xdr:txBody>
      </xdr:sp>
    </xdr:grpSp>
    <xdr:clientData/>
  </xdr:twoCellAnchor>
  <xdr:twoCellAnchor>
    <xdr:from>
      <xdr:col>11</xdr:col>
      <xdr:colOff>143846</xdr:colOff>
      <xdr:row>19</xdr:row>
      <xdr:rowOff>62298</xdr:rowOff>
    </xdr:from>
    <xdr:to>
      <xdr:col>12</xdr:col>
      <xdr:colOff>118730</xdr:colOff>
      <xdr:row>22</xdr:row>
      <xdr:rowOff>66720</xdr:rowOff>
    </xdr:to>
    <xdr:grpSp>
      <xdr:nvGrpSpPr>
        <xdr:cNvPr id="531" name="Group 530">
          <a:extLst>
            <a:ext uri="{FF2B5EF4-FFF2-40B4-BE49-F238E27FC236}">
              <a16:creationId xmlns:a16="http://schemas.microsoft.com/office/drawing/2014/main" id="{72B65DFE-B238-F0ED-36D6-807A0CC6BD2C}"/>
            </a:ext>
          </a:extLst>
        </xdr:cNvPr>
        <xdr:cNvGrpSpPr/>
      </xdr:nvGrpSpPr>
      <xdr:grpSpPr>
        <a:xfrm>
          <a:off x="6849446" y="3681798"/>
          <a:ext cx="584484" cy="575922"/>
          <a:chOff x="5511021" y="4852033"/>
          <a:chExt cx="585770" cy="579633"/>
        </a:xfrm>
      </xdr:grpSpPr>
      <xdr:sp macro="" textlink="'Pivot Tables'!BG6">
        <xdr:nvSpPr>
          <xdr:cNvPr id="532" name="TextBox 531">
            <a:extLst>
              <a:ext uri="{FF2B5EF4-FFF2-40B4-BE49-F238E27FC236}">
                <a16:creationId xmlns:a16="http://schemas.microsoft.com/office/drawing/2014/main" id="{F561BD82-737C-D86D-13C0-7D3F83B5184C}"/>
              </a:ext>
            </a:extLst>
          </xdr:cNvPr>
          <xdr:cNvSpPr txBox="1"/>
        </xdr:nvSpPr>
        <xdr:spPr>
          <a:xfrm>
            <a:off x="5511720" y="4852033"/>
            <a:ext cx="584373" cy="5796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77958CF-3E13-4780-BC46-7CD53064CA68}" type="TxLink">
              <a:rPr lang="en-US" sz="1600" b="0" i="0" u="none" strike="noStrike">
                <a:solidFill>
                  <a:srgbClr val="C240DB"/>
                </a:solidFill>
                <a:latin typeface="Calibri"/>
                <a:ea typeface="Calibri"/>
                <a:cs typeface="Calibri"/>
              </a:rPr>
              <a:pPr algn="ctr"/>
              <a:t> </a:t>
            </a:fld>
            <a:endParaRPr lang="en-IN" sz="1100"/>
          </a:p>
        </xdr:txBody>
      </xdr:sp>
      <xdr:sp macro="" textlink="'Pivot Tables'!BI6">
        <xdr:nvSpPr>
          <xdr:cNvPr id="533" name="TextBox 532">
            <a:extLst>
              <a:ext uri="{FF2B5EF4-FFF2-40B4-BE49-F238E27FC236}">
                <a16:creationId xmlns:a16="http://schemas.microsoft.com/office/drawing/2014/main" id="{686ECE37-03A1-053F-90D8-0042ECA8E90E}"/>
              </a:ext>
            </a:extLst>
          </xdr:cNvPr>
          <xdr:cNvSpPr txBox="1"/>
        </xdr:nvSpPr>
        <xdr:spPr>
          <a:xfrm>
            <a:off x="5511021" y="4852033"/>
            <a:ext cx="585770" cy="5796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4606114-254D-4809-82C1-83D0099B2DD9}" type="TxLink">
              <a:rPr lang="en-US" sz="1600" b="0" i="0" u="none" strike="noStrike">
                <a:solidFill>
                  <a:srgbClr val="0F11A7"/>
                </a:solidFill>
                <a:latin typeface="Calibri"/>
                <a:ea typeface="Calibri"/>
                <a:cs typeface="Calibri"/>
              </a:rPr>
              <a:pPr algn="ctr"/>
              <a:t>•</a:t>
            </a:fld>
            <a:endParaRPr lang="en-IN" sz="1100"/>
          </a:p>
        </xdr:txBody>
      </xdr:sp>
    </xdr:grpSp>
    <xdr:clientData/>
  </xdr:twoCellAnchor>
  <xdr:twoCellAnchor>
    <xdr:from>
      <xdr:col>22</xdr:col>
      <xdr:colOff>367661</xdr:colOff>
      <xdr:row>9</xdr:row>
      <xdr:rowOff>170245</xdr:rowOff>
    </xdr:from>
    <xdr:to>
      <xdr:col>23</xdr:col>
      <xdr:colOff>342025</xdr:colOff>
      <xdr:row>12</xdr:row>
      <xdr:rowOff>174668</xdr:rowOff>
    </xdr:to>
    <xdr:grpSp>
      <xdr:nvGrpSpPr>
        <xdr:cNvPr id="536" name="Group 535">
          <a:extLst>
            <a:ext uri="{FF2B5EF4-FFF2-40B4-BE49-F238E27FC236}">
              <a16:creationId xmlns:a16="http://schemas.microsoft.com/office/drawing/2014/main" id="{789663B2-E7B6-46CA-8BF0-1206ED3EA042}"/>
            </a:ext>
          </a:extLst>
        </xdr:cNvPr>
        <xdr:cNvGrpSpPr/>
      </xdr:nvGrpSpPr>
      <xdr:grpSpPr>
        <a:xfrm>
          <a:off x="13778861" y="1884745"/>
          <a:ext cx="583964" cy="575923"/>
          <a:chOff x="5494484" y="6649908"/>
          <a:chExt cx="581583" cy="575922"/>
        </a:xfrm>
      </xdr:grpSpPr>
      <xdr:sp macro="" textlink="'Pivot Tables'!BG7">
        <xdr:nvSpPr>
          <xdr:cNvPr id="537" name="TextBox 536">
            <a:extLst>
              <a:ext uri="{FF2B5EF4-FFF2-40B4-BE49-F238E27FC236}">
                <a16:creationId xmlns:a16="http://schemas.microsoft.com/office/drawing/2014/main" id="{AD6A8803-E832-53A7-5B1D-2C637C0381E6}"/>
              </a:ext>
            </a:extLst>
          </xdr:cNvPr>
          <xdr:cNvSpPr txBox="1"/>
        </xdr:nvSpPr>
        <xdr:spPr>
          <a:xfrm>
            <a:off x="5495182" y="6649908"/>
            <a:ext cx="580186" cy="5759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B665BE2-DB0B-4669-9B2F-8C18987DF9A3}" type="TxLink">
              <a:rPr lang="en-US" sz="1600" b="0" i="0" u="none" strike="noStrike">
                <a:solidFill>
                  <a:srgbClr val="C240DB"/>
                </a:solidFill>
                <a:latin typeface="Calibri"/>
                <a:ea typeface="Calibri"/>
                <a:cs typeface="Calibri"/>
              </a:rPr>
              <a:pPr algn="ctr"/>
              <a:t> </a:t>
            </a:fld>
            <a:endParaRPr lang="en-IN" sz="1100"/>
          </a:p>
        </xdr:txBody>
      </xdr:sp>
      <xdr:sp macro="" textlink="'Pivot Tables'!BI7">
        <xdr:nvSpPr>
          <xdr:cNvPr id="538" name="TextBox 537">
            <a:extLst>
              <a:ext uri="{FF2B5EF4-FFF2-40B4-BE49-F238E27FC236}">
                <a16:creationId xmlns:a16="http://schemas.microsoft.com/office/drawing/2014/main" id="{A54C4AF7-DD74-3F8D-0F68-4FFA4EF92A9F}"/>
              </a:ext>
            </a:extLst>
          </xdr:cNvPr>
          <xdr:cNvSpPr txBox="1"/>
        </xdr:nvSpPr>
        <xdr:spPr>
          <a:xfrm>
            <a:off x="5494484" y="6649908"/>
            <a:ext cx="581583" cy="5759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A3AB6ED-290D-4ACB-8694-493FC695CFE2}" type="TxLink">
              <a:rPr lang="en-US" sz="1600" b="0" i="0" u="none" strike="noStrike">
                <a:solidFill>
                  <a:srgbClr val="0F11A7"/>
                </a:solidFill>
                <a:latin typeface="Calibri"/>
                <a:ea typeface="Calibri"/>
                <a:cs typeface="Calibri"/>
              </a:rPr>
              <a:pPr algn="ctr"/>
              <a:t>•</a:t>
            </a:fld>
            <a:endParaRPr lang="en-IN" sz="1100"/>
          </a:p>
        </xdr:txBody>
      </xdr:sp>
    </xdr:grpSp>
    <xdr:clientData/>
  </xdr:twoCellAnchor>
  <xdr:twoCellAnchor>
    <xdr:from>
      <xdr:col>22</xdr:col>
      <xdr:colOff>367661</xdr:colOff>
      <xdr:row>11</xdr:row>
      <xdr:rowOff>72079</xdr:rowOff>
    </xdr:from>
    <xdr:to>
      <xdr:col>23</xdr:col>
      <xdr:colOff>342026</xdr:colOff>
      <xdr:row>14</xdr:row>
      <xdr:rowOff>76502</xdr:rowOff>
    </xdr:to>
    <xdr:grpSp>
      <xdr:nvGrpSpPr>
        <xdr:cNvPr id="539" name="Group 538">
          <a:extLst>
            <a:ext uri="{FF2B5EF4-FFF2-40B4-BE49-F238E27FC236}">
              <a16:creationId xmlns:a16="http://schemas.microsoft.com/office/drawing/2014/main" id="{A254FC5A-46DA-4BA8-8862-BC74616749F0}"/>
            </a:ext>
          </a:extLst>
        </xdr:cNvPr>
        <xdr:cNvGrpSpPr/>
      </xdr:nvGrpSpPr>
      <xdr:grpSpPr>
        <a:xfrm>
          <a:off x="13778861" y="2167579"/>
          <a:ext cx="583965" cy="575923"/>
          <a:chOff x="5494484" y="6649908"/>
          <a:chExt cx="581583" cy="575922"/>
        </a:xfrm>
      </xdr:grpSpPr>
      <xdr:sp macro="" textlink="'Pivot Tables'!BG7">
        <xdr:nvSpPr>
          <xdr:cNvPr id="540" name="TextBox 539">
            <a:extLst>
              <a:ext uri="{FF2B5EF4-FFF2-40B4-BE49-F238E27FC236}">
                <a16:creationId xmlns:a16="http://schemas.microsoft.com/office/drawing/2014/main" id="{43AFF323-546C-D896-4ED3-C493220F0833}"/>
              </a:ext>
            </a:extLst>
          </xdr:cNvPr>
          <xdr:cNvSpPr txBox="1"/>
        </xdr:nvSpPr>
        <xdr:spPr>
          <a:xfrm>
            <a:off x="5495182" y="6649908"/>
            <a:ext cx="580186" cy="5759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B665BE2-DB0B-4669-9B2F-8C18987DF9A3}" type="TxLink">
              <a:rPr lang="en-US" sz="1600" b="0" i="0" u="none" strike="noStrike">
                <a:solidFill>
                  <a:srgbClr val="C240DB"/>
                </a:solidFill>
                <a:latin typeface="Calibri"/>
                <a:ea typeface="Calibri"/>
                <a:cs typeface="Calibri"/>
              </a:rPr>
              <a:pPr algn="ctr"/>
              <a:t> </a:t>
            </a:fld>
            <a:endParaRPr lang="en-IN" sz="1100"/>
          </a:p>
        </xdr:txBody>
      </xdr:sp>
      <xdr:sp macro="" textlink="'Pivot Tables'!BI7">
        <xdr:nvSpPr>
          <xdr:cNvPr id="541" name="TextBox 540">
            <a:extLst>
              <a:ext uri="{FF2B5EF4-FFF2-40B4-BE49-F238E27FC236}">
                <a16:creationId xmlns:a16="http://schemas.microsoft.com/office/drawing/2014/main" id="{9086B785-A645-C903-7BB7-6197A815AA25}"/>
              </a:ext>
            </a:extLst>
          </xdr:cNvPr>
          <xdr:cNvSpPr txBox="1"/>
        </xdr:nvSpPr>
        <xdr:spPr>
          <a:xfrm>
            <a:off x="5494484" y="6649908"/>
            <a:ext cx="581583" cy="5759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A3AB6ED-290D-4ACB-8694-493FC695CFE2}" type="TxLink">
              <a:rPr lang="en-US" sz="1600" b="0" i="0" u="none" strike="noStrike">
                <a:solidFill>
                  <a:srgbClr val="0F11A7"/>
                </a:solidFill>
                <a:latin typeface="Calibri"/>
                <a:ea typeface="Calibri"/>
                <a:cs typeface="Calibri"/>
              </a:rPr>
              <a:pPr algn="ctr"/>
              <a:t>•</a:t>
            </a:fld>
            <a:endParaRPr lang="en-IN" sz="1100"/>
          </a:p>
        </xdr:txBody>
      </xdr:sp>
    </xdr:grpSp>
    <xdr:clientData/>
  </xdr:twoCellAnchor>
  <xdr:twoCellAnchor>
    <xdr:from>
      <xdr:col>22</xdr:col>
      <xdr:colOff>461895</xdr:colOff>
      <xdr:row>11</xdr:row>
      <xdr:rowOff>169952</xdr:rowOff>
    </xdr:from>
    <xdr:to>
      <xdr:col>23</xdr:col>
      <xdr:colOff>436260</xdr:colOff>
      <xdr:row>14</xdr:row>
      <xdr:rowOff>174375</xdr:rowOff>
    </xdr:to>
    <xdr:grpSp>
      <xdr:nvGrpSpPr>
        <xdr:cNvPr id="542" name="Group 541">
          <a:extLst>
            <a:ext uri="{FF2B5EF4-FFF2-40B4-BE49-F238E27FC236}">
              <a16:creationId xmlns:a16="http://schemas.microsoft.com/office/drawing/2014/main" id="{B3CA4EFE-D73B-4A5D-93BF-8571F97E68E3}"/>
            </a:ext>
          </a:extLst>
        </xdr:cNvPr>
        <xdr:cNvGrpSpPr/>
      </xdr:nvGrpSpPr>
      <xdr:grpSpPr>
        <a:xfrm>
          <a:off x="13873095" y="2265452"/>
          <a:ext cx="583965" cy="575923"/>
          <a:chOff x="5494484" y="6649908"/>
          <a:chExt cx="581583" cy="575922"/>
        </a:xfrm>
      </xdr:grpSpPr>
      <xdr:sp macro="" textlink="'Pivot Tables'!BG7">
        <xdr:nvSpPr>
          <xdr:cNvPr id="543" name="TextBox 542">
            <a:extLst>
              <a:ext uri="{FF2B5EF4-FFF2-40B4-BE49-F238E27FC236}">
                <a16:creationId xmlns:a16="http://schemas.microsoft.com/office/drawing/2014/main" id="{9FC11013-D53A-8770-E9E6-9D34BDC8A9C1}"/>
              </a:ext>
            </a:extLst>
          </xdr:cNvPr>
          <xdr:cNvSpPr txBox="1"/>
        </xdr:nvSpPr>
        <xdr:spPr>
          <a:xfrm>
            <a:off x="5495182" y="6649908"/>
            <a:ext cx="580186" cy="5759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B665BE2-DB0B-4669-9B2F-8C18987DF9A3}" type="TxLink">
              <a:rPr lang="en-US" sz="1600" b="0" i="0" u="none" strike="noStrike">
                <a:solidFill>
                  <a:srgbClr val="C240DB"/>
                </a:solidFill>
                <a:latin typeface="Calibri"/>
                <a:ea typeface="Calibri"/>
                <a:cs typeface="Calibri"/>
              </a:rPr>
              <a:pPr algn="ctr"/>
              <a:t> </a:t>
            </a:fld>
            <a:endParaRPr lang="en-IN" sz="1100"/>
          </a:p>
        </xdr:txBody>
      </xdr:sp>
      <xdr:sp macro="" textlink="'Pivot Tables'!BI7">
        <xdr:nvSpPr>
          <xdr:cNvPr id="544" name="TextBox 543">
            <a:extLst>
              <a:ext uri="{FF2B5EF4-FFF2-40B4-BE49-F238E27FC236}">
                <a16:creationId xmlns:a16="http://schemas.microsoft.com/office/drawing/2014/main" id="{F9966ABA-5BDD-7DF9-94E9-91B5C7E8B63F}"/>
              </a:ext>
            </a:extLst>
          </xdr:cNvPr>
          <xdr:cNvSpPr txBox="1"/>
        </xdr:nvSpPr>
        <xdr:spPr>
          <a:xfrm>
            <a:off x="5494484" y="6649908"/>
            <a:ext cx="581583" cy="5759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A3AB6ED-290D-4ACB-8694-493FC695CFE2}" type="TxLink">
              <a:rPr lang="en-US" sz="1600" b="0" i="0" u="none" strike="noStrike">
                <a:solidFill>
                  <a:srgbClr val="0F11A7"/>
                </a:solidFill>
                <a:latin typeface="Calibri"/>
                <a:ea typeface="Calibri"/>
                <a:cs typeface="Calibri"/>
              </a:rPr>
              <a:pPr algn="ctr"/>
              <a:t>•</a:t>
            </a:fld>
            <a:endParaRPr lang="en-IN" sz="1100"/>
          </a:p>
        </xdr:txBody>
      </xdr:sp>
    </xdr:grpSp>
    <xdr:clientData/>
  </xdr:twoCellAnchor>
  <xdr:twoCellAnchor>
    <xdr:from>
      <xdr:col>22</xdr:col>
      <xdr:colOff>457973</xdr:colOff>
      <xdr:row>12</xdr:row>
      <xdr:rowOff>71506</xdr:rowOff>
    </xdr:from>
    <xdr:to>
      <xdr:col>23</xdr:col>
      <xdr:colOff>432338</xdr:colOff>
      <xdr:row>15</xdr:row>
      <xdr:rowOff>75929</xdr:rowOff>
    </xdr:to>
    <xdr:grpSp>
      <xdr:nvGrpSpPr>
        <xdr:cNvPr id="545" name="Group 544">
          <a:extLst>
            <a:ext uri="{FF2B5EF4-FFF2-40B4-BE49-F238E27FC236}">
              <a16:creationId xmlns:a16="http://schemas.microsoft.com/office/drawing/2014/main" id="{64A544DB-F47A-4BA2-A1CE-807186C699A4}"/>
            </a:ext>
          </a:extLst>
        </xdr:cNvPr>
        <xdr:cNvGrpSpPr/>
      </xdr:nvGrpSpPr>
      <xdr:grpSpPr>
        <a:xfrm>
          <a:off x="13869173" y="2357506"/>
          <a:ext cx="583965" cy="575923"/>
          <a:chOff x="5494484" y="6649908"/>
          <a:chExt cx="581583" cy="575922"/>
        </a:xfrm>
      </xdr:grpSpPr>
      <xdr:sp macro="" textlink="'Pivot Tables'!BG7">
        <xdr:nvSpPr>
          <xdr:cNvPr id="546" name="TextBox 545">
            <a:extLst>
              <a:ext uri="{FF2B5EF4-FFF2-40B4-BE49-F238E27FC236}">
                <a16:creationId xmlns:a16="http://schemas.microsoft.com/office/drawing/2014/main" id="{70B51625-58C0-F8F4-F319-B0E39BD6F6A8}"/>
              </a:ext>
            </a:extLst>
          </xdr:cNvPr>
          <xdr:cNvSpPr txBox="1"/>
        </xdr:nvSpPr>
        <xdr:spPr>
          <a:xfrm>
            <a:off x="5495182" y="6649908"/>
            <a:ext cx="580186" cy="5759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B665BE2-DB0B-4669-9B2F-8C18987DF9A3}" type="TxLink">
              <a:rPr lang="en-US" sz="1600" b="0" i="0" u="none" strike="noStrike">
                <a:solidFill>
                  <a:srgbClr val="C240DB"/>
                </a:solidFill>
                <a:latin typeface="Calibri"/>
                <a:ea typeface="Calibri"/>
                <a:cs typeface="Calibri"/>
              </a:rPr>
              <a:pPr algn="ctr"/>
              <a:t> </a:t>
            </a:fld>
            <a:endParaRPr lang="en-IN" sz="1100"/>
          </a:p>
        </xdr:txBody>
      </xdr:sp>
      <xdr:sp macro="" textlink="'Pivot Tables'!BI7">
        <xdr:nvSpPr>
          <xdr:cNvPr id="547" name="TextBox 546">
            <a:extLst>
              <a:ext uri="{FF2B5EF4-FFF2-40B4-BE49-F238E27FC236}">
                <a16:creationId xmlns:a16="http://schemas.microsoft.com/office/drawing/2014/main" id="{E392F3EB-8CEE-DFAB-5C2F-5139D8B4C2C4}"/>
              </a:ext>
            </a:extLst>
          </xdr:cNvPr>
          <xdr:cNvSpPr txBox="1"/>
        </xdr:nvSpPr>
        <xdr:spPr>
          <a:xfrm>
            <a:off x="5494484" y="6649908"/>
            <a:ext cx="581583" cy="5759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A3AB6ED-290D-4ACB-8694-493FC695CFE2}" type="TxLink">
              <a:rPr lang="en-US" sz="1600" b="0" i="0" u="none" strike="noStrike">
                <a:solidFill>
                  <a:srgbClr val="0F11A7"/>
                </a:solidFill>
                <a:latin typeface="Calibri"/>
                <a:ea typeface="Calibri"/>
                <a:cs typeface="Calibri"/>
              </a:rPr>
              <a:pPr algn="ctr"/>
              <a:t>•</a:t>
            </a:fld>
            <a:endParaRPr lang="en-IN" sz="1100"/>
          </a:p>
        </xdr:txBody>
      </xdr:sp>
    </xdr:grpSp>
    <xdr:clientData/>
  </xdr:twoCellAnchor>
  <xdr:twoCellAnchor>
    <xdr:from>
      <xdr:col>22</xdr:col>
      <xdr:colOff>464961</xdr:colOff>
      <xdr:row>13</xdr:row>
      <xdr:rowOff>71213</xdr:rowOff>
    </xdr:from>
    <xdr:to>
      <xdr:col>23</xdr:col>
      <xdr:colOff>439326</xdr:colOff>
      <xdr:row>16</xdr:row>
      <xdr:rowOff>75637</xdr:rowOff>
    </xdr:to>
    <xdr:grpSp>
      <xdr:nvGrpSpPr>
        <xdr:cNvPr id="548" name="Group 547">
          <a:extLst>
            <a:ext uri="{FF2B5EF4-FFF2-40B4-BE49-F238E27FC236}">
              <a16:creationId xmlns:a16="http://schemas.microsoft.com/office/drawing/2014/main" id="{A5179D6B-0EC4-4FF0-8E7D-A8642E61F3DB}"/>
            </a:ext>
          </a:extLst>
        </xdr:cNvPr>
        <xdr:cNvGrpSpPr/>
      </xdr:nvGrpSpPr>
      <xdr:grpSpPr>
        <a:xfrm>
          <a:off x="13876161" y="2547713"/>
          <a:ext cx="583965" cy="575924"/>
          <a:chOff x="5494484" y="6649908"/>
          <a:chExt cx="581583" cy="575922"/>
        </a:xfrm>
      </xdr:grpSpPr>
      <xdr:sp macro="" textlink="'Pivot Tables'!BG7">
        <xdr:nvSpPr>
          <xdr:cNvPr id="549" name="TextBox 548">
            <a:extLst>
              <a:ext uri="{FF2B5EF4-FFF2-40B4-BE49-F238E27FC236}">
                <a16:creationId xmlns:a16="http://schemas.microsoft.com/office/drawing/2014/main" id="{FCDC316E-EC5D-FE51-ECFE-8AD95D06B32D}"/>
              </a:ext>
            </a:extLst>
          </xdr:cNvPr>
          <xdr:cNvSpPr txBox="1"/>
        </xdr:nvSpPr>
        <xdr:spPr>
          <a:xfrm>
            <a:off x="5495182" y="6649908"/>
            <a:ext cx="580186" cy="5759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B665BE2-DB0B-4669-9B2F-8C18987DF9A3}" type="TxLink">
              <a:rPr lang="en-US" sz="1600" b="0" i="0" u="none" strike="noStrike">
                <a:solidFill>
                  <a:srgbClr val="C240DB"/>
                </a:solidFill>
                <a:latin typeface="Calibri"/>
                <a:ea typeface="Calibri"/>
                <a:cs typeface="Calibri"/>
              </a:rPr>
              <a:pPr algn="ctr"/>
              <a:t> </a:t>
            </a:fld>
            <a:endParaRPr lang="en-IN" sz="1100"/>
          </a:p>
        </xdr:txBody>
      </xdr:sp>
      <xdr:sp macro="" textlink="'Pivot Tables'!BI7">
        <xdr:nvSpPr>
          <xdr:cNvPr id="550" name="TextBox 549">
            <a:extLst>
              <a:ext uri="{FF2B5EF4-FFF2-40B4-BE49-F238E27FC236}">
                <a16:creationId xmlns:a16="http://schemas.microsoft.com/office/drawing/2014/main" id="{733F3C10-3D94-CF55-C534-530B47719FA3}"/>
              </a:ext>
            </a:extLst>
          </xdr:cNvPr>
          <xdr:cNvSpPr txBox="1"/>
        </xdr:nvSpPr>
        <xdr:spPr>
          <a:xfrm>
            <a:off x="5494484" y="6649908"/>
            <a:ext cx="581583" cy="5759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A3AB6ED-290D-4ACB-8694-493FC695CFE2}" type="TxLink">
              <a:rPr lang="en-US" sz="1600" b="0" i="0" u="none" strike="noStrike">
                <a:solidFill>
                  <a:srgbClr val="0F11A7"/>
                </a:solidFill>
                <a:latin typeface="Calibri"/>
                <a:ea typeface="Calibri"/>
                <a:cs typeface="Calibri"/>
              </a:rPr>
              <a:pPr algn="ctr"/>
              <a:t>•</a:t>
            </a:fld>
            <a:endParaRPr lang="en-IN" sz="1100"/>
          </a:p>
        </xdr:txBody>
      </xdr:sp>
    </xdr:grpSp>
    <xdr:clientData/>
  </xdr:twoCellAnchor>
  <xdr:twoCellAnchor>
    <xdr:from>
      <xdr:col>21</xdr:col>
      <xdr:colOff>503545</xdr:colOff>
      <xdr:row>9</xdr:row>
      <xdr:rowOff>173987</xdr:rowOff>
    </xdr:from>
    <xdr:to>
      <xdr:col>22</xdr:col>
      <xdr:colOff>477908</xdr:colOff>
      <xdr:row>12</xdr:row>
      <xdr:rowOff>178410</xdr:rowOff>
    </xdr:to>
    <xdr:grpSp>
      <xdr:nvGrpSpPr>
        <xdr:cNvPr id="29" name="Group 28">
          <a:extLst>
            <a:ext uri="{FF2B5EF4-FFF2-40B4-BE49-F238E27FC236}">
              <a16:creationId xmlns:a16="http://schemas.microsoft.com/office/drawing/2014/main" id="{7A4FA34D-BCEC-4F5A-8838-72D5419AD7F4}"/>
            </a:ext>
          </a:extLst>
        </xdr:cNvPr>
        <xdr:cNvGrpSpPr/>
      </xdr:nvGrpSpPr>
      <xdr:grpSpPr>
        <a:xfrm>
          <a:off x="13305145" y="1888487"/>
          <a:ext cx="583963" cy="575923"/>
          <a:chOff x="5494484" y="6649908"/>
          <a:chExt cx="581583" cy="575922"/>
        </a:xfrm>
      </xdr:grpSpPr>
      <xdr:sp macro="" textlink="'Pivot Tables'!BG7">
        <xdr:nvSpPr>
          <xdr:cNvPr id="30" name="TextBox 29">
            <a:extLst>
              <a:ext uri="{FF2B5EF4-FFF2-40B4-BE49-F238E27FC236}">
                <a16:creationId xmlns:a16="http://schemas.microsoft.com/office/drawing/2014/main" id="{C63D6E25-E9F6-B642-5479-EB1782AAB440}"/>
              </a:ext>
            </a:extLst>
          </xdr:cNvPr>
          <xdr:cNvSpPr txBox="1"/>
        </xdr:nvSpPr>
        <xdr:spPr>
          <a:xfrm>
            <a:off x="5495182" y="6649908"/>
            <a:ext cx="580186" cy="5759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B665BE2-DB0B-4669-9B2F-8C18987DF9A3}" type="TxLink">
              <a:rPr lang="en-US" sz="1600" b="0" i="0" u="none" strike="noStrike">
                <a:solidFill>
                  <a:srgbClr val="C240DB"/>
                </a:solidFill>
                <a:latin typeface="Calibri"/>
                <a:ea typeface="Calibri"/>
                <a:cs typeface="Calibri"/>
              </a:rPr>
              <a:pPr algn="ctr"/>
              <a:t> </a:t>
            </a:fld>
            <a:endParaRPr lang="en-IN" sz="1100"/>
          </a:p>
        </xdr:txBody>
      </xdr:sp>
      <xdr:sp macro="" textlink="'Pivot Tables'!BI7">
        <xdr:nvSpPr>
          <xdr:cNvPr id="33" name="TextBox 32">
            <a:extLst>
              <a:ext uri="{FF2B5EF4-FFF2-40B4-BE49-F238E27FC236}">
                <a16:creationId xmlns:a16="http://schemas.microsoft.com/office/drawing/2014/main" id="{11CB3A2A-55A8-4881-481B-25A7CFCEE2FB}"/>
              </a:ext>
            </a:extLst>
          </xdr:cNvPr>
          <xdr:cNvSpPr txBox="1"/>
        </xdr:nvSpPr>
        <xdr:spPr>
          <a:xfrm>
            <a:off x="5494484" y="6649908"/>
            <a:ext cx="581583" cy="5759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A3AB6ED-290D-4ACB-8694-493FC695CFE2}" type="TxLink">
              <a:rPr lang="en-US" sz="1600" b="0" i="0" u="none" strike="noStrike">
                <a:solidFill>
                  <a:srgbClr val="0F11A7"/>
                </a:solidFill>
                <a:latin typeface="Calibri"/>
                <a:ea typeface="Calibri"/>
                <a:cs typeface="Calibri"/>
              </a:rPr>
              <a:pPr algn="ctr"/>
              <a:t>•</a:t>
            </a:fld>
            <a:endParaRPr lang="en-IN" sz="1100"/>
          </a:p>
        </xdr:txBody>
      </xdr:sp>
    </xdr:grpSp>
    <xdr:clientData/>
  </xdr:twoCellAnchor>
  <xdr:twoCellAnchor>
    <xdr:from>
      <xdr:col>21</xdr:col>
      <xdr:colOff>595381</xdr:colOff>
      <xdr:row>10</xdr:row>
      <xdr:rowOff>78625</xdr:rowOff>
    </xdr:from>
    <xdr:to>
      <xdr:col>22</xdr:col>
      <xdr:colOff>569744</xdr:colOff>
      <xdr:row>13</xdr:row>
      <xdr:rowOff>83048</xdr:rowOff>
    </xdr:to>
    <xdr:grpSp>
      <xdr:nvGrpSpPr>
        <xdr:cNvPr id="34" name="Group 33">
          <a:extLst>
            <a:ext uri="{FF2B5EF4-FFF2-40B4-BE49-F238E27FC236}">
              <a16:creationId xmlns:a16="http://schemas.microsoft.com/office/drawing/2014/main" id="{57FD77E6-2774-4A0D-AA89-C9A7A1533447}"/>
            </a:ext>
          </a:extLst>
        </xdr:cNvPr>
        <xdr:cNvGrpSpPr/>
      </xdr:nvGrpSpPr>
      <xdr:grpSpPr>
        <a:xfrm>
          <a:off x="13396981" y="1983625"/>
          <a:ext cx="583963" cy="575923"/>
          <a:chOff x="5494484" y="6649908"/>
          <a:chExt cx="581583" cy="575922"/>
        </a:xfrm>
      </xdr:grpSpPr>
      <xdr:sp macro="" textlink="'Pivot Tables'!BG7">
        <xdr:nvSpPr>
          <xdr:cNvPr id="35" name="TextBox 34">
            <a:extLst>
              <a:ext uri="{FF2B5EF4-FFF2-40B4-BE49-F238E27FC236}">
                <a16:creationId xmlns:a16="http://schemas.microsoft.com/office/drawing/2014/main" id="{C0244988-1837-21DD-0640-E9ACE7DB3443}"/>
              </a:ext>
            </a:extLst>
          </xdr:cNvPr>
          <xdr:cNvSpPr txBox="1"/>
        </xdr:nvSpPr>
        <xdr:spPr>
          <a:xfrm>
            <a:off x="5495182" y="6649908"/>
            <a:ext cx="580186" cy="5759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B665BE2-DB0B-4669-9B2F-8C18987DF9A3}" type="TxLink">
              <a:rPr lang="en-US" sz="1600" b="0" i="0" u="none" strike="noStrike">
                <a:solidFill>
                  <a:srgbClr val="C240DB"/>
                </a:solidFill>
                <a:latin typeface="Calibri"/>
                <a:ea typeface="Calibri"/>
                <a:cs typeface="Calibri"/>
              </a:rPr>
              <a:pPr algn="ctr"/>
              <a:t> </a:t>
            </a:fld>
            <a:endParaRPr lang="en-IN" sz="1100"/>
          </a:p>
        </xdr:txBody>
      </xdr:sp>
      <xdr:sp macro="" textlink="'Pivot Tables'!BI7">
        <xdr:nvSpPr>
          <xdr:cNvPr id="36" name="TextBox 35">
            <a:extLst>
              <a:ext uri="{FF2B5EF4-FFF2-40B4-BE49-F238E27FC236}">
                <a16:creationId xmlns:a16="http://schemas.microsoft.com/office/drawing/2014/main" id="{09D6B09F-036F-DE11-9982-43531C692079}"/>
              </a:ext>
            </a:extLst>
          </xdr:cNvPr>
          <xdr:cNvSpPr txBox="1"/>
        </xdr:nvSpPr>
        <xdr:spPr>
          <a:xfrm>
            <a:off x="5494484" y="6649908"/>
            <a:ext cx="581583" cy="5759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A3AB6ED-290D-4ACB-8694-493FC695CFE2}" type="TxLink">
              <a:rPr lang="en-US" sz="1600" b="0" i="0" u="none" strike="noStrike">
                <a:solidFill>
                  <a:srgbClr val="0F11A7"/>
                </a:solidFill>
                <a:latin typeface="Calibri"/>
                <a:ea typeface="Calibri"/>
                <a:cs typeface="Calibri"/>
              </a:rPr>
              <a:pPr algn="ctr"/>
              <a:t>•</a:t>
            </a:fld>
            <a:endParaRPr lang="en-IN" sz="1100"/>
          </a:p>
        </xdr:txBody>
      </xdr:sp>
    </xdr:grpSp>
    <xdr:clientData/>
  </xdr:twoCellAnchor>
  <xdr:twoCellAnchor>
    <xdr:from>
      <xdr:col>21</xdr:col>
      <xdr:colOff>406421</xdr:colOff>
      <xdr:row>11</xdr:row>
      <xdr:rowOff>76864</xdr:rowOff>
    </xdr:from>
    <xdr:to>
      <xdr:col>22</xdr:col>
      <xdr:colOff>380784</xdr:colOff>
      <xdr:row>14</xdr:row>
      <xdr:rowOff>81287</xdr:rowOff>
    </xdr:to>
    <xdr:grpSp>
      <xdr:nvGrpSpPr>
        <xdr:cNvPr id="58" name="Group 57">
          <a:extLst>
            <a:ext uri="{FF2B5EF4-FFF2-40B4-BE49-F238E27FC236}">
              <a16:creationId xmlns:a16="http://schemas.microsoft.com/office/drawing/2014/main" id="{637C6DF4-729A-45E9-80C0-A808AAA11D73}"/>
            </a:ext>
          </a:extLst>
        </xdr:cNvPr>
        <xdr:cNvGrpSpPr/>
      </xdr:nvGrpSpPr>
      <xdr:grpSpPr>
        <a:xfrm>
          <a:off x="13208021" y="2172364"/>
          <a:ext cx="583963" cy="575923"/>
          <a:chOff x="5494484" y="6649908"/>
          <a:chExt cx="581583" cy="575922"/>
        </a:xfrm>
      </xdr:grpSpPr>
      <xdr:sp macro="" textlink="'Pivot Tables'!BG7">
        <xdr:nvSpPr>
          <xdr:cNvPr id="59" name="TextBox 58">
            <a:extLst>
              <a:ext uri="{FF2B5EF4-FFF2-40B4-BE49-F238E27FC236}">
                <a16:creationId xmlns:a16="http://schemas.microsoft.com/office/drawing/2014/main" id="{B69A2B47-736C-1A82-774E-81ADB0E8E8A7}"/>
              </a:ext>
            </a:extLst>
          </xdr:cNvPr>
          <xdr:cNvSpPr txBox="1"/>
        </xdr:nvSpPr>
        <xdr:spPr>
          <a:xfrm>
            <a:off x="5495182" y="6649908"/>
            <a:ext cx="580186" cy="5759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B665BE2-DB0B-4669-9B2F-8C18987DF9A3}" type="TxLink">
              <a:rPr lang="en-US" sz="1600" b="0" i="0" u="none" strike="noStrike">
                <a:solidFill>
                  <a:srgbClr val="C240DB"/>
                </a:solidFill>
                <a:latin typeface="Calibri"/>
                <a:ea typeface="Calibri"/>
                <a:cs typeface="Calibri"/>
              </a:rPr>
              <a:pPr algn="ctr"/>
              <a:t> </a:t>
            </a:fld>
            <a:endParaRPr lang="en-IN" sz="1100"/>
          </a:p>
        </xdr:txBody>
      </xdr:sp>
      <xdr:sp macro="" textlink="'Pivot Tables'!BI7">
        <xdr:nvSpPr>
          <xdr:cNvPr id="60" name="TextBox 59">
            <a:extLst>
              <a:ext uri="{FF2B5EF4-FFF2-40B4-BE49-F238E27FC236}">
                <a16:creationId xmlns:a16="http://schemas.microsoft.com/office/drawing/2014/main" id="{467D2BEC-1844-C021-B1D3-F1A98990C66A}"/>
              </a:ext>
            </a:extLst>
          </xdr:cNvPr>
          <xdr:cNvSpPr txBox="1"/>
        </xdr:nvSpPr>
        <xdr:spPr>
          <a:xfrm>
            <a:off x="5494484" y="6649908"/>
            <a:ext cx="581583" cy="5759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A3AB6ED-290D-4ACB-8694-493FC695CFE2}" type="TxLink">
              <a:rPr lang="en-US" sz="1600" b="0" i="0" u="none" strike="noStrike">
                <a:solidFill>
                  <a:srgbClr val="0F11A7"/>
                </a:solidFill>
                <a:latin typeface="Calibri"/>
                <a:ea typeface="Calibri"/>
                <a:cs typeface="Calibri"/>
              </a:rPr>
              <a:pPr algn="ctr"/>
              <a:t>•</a:t>
            </a:fld>
            <a:endParaRPr lang="en-IN" sz="1100"/>
          </a:p>
        </xdr:txBody>
      </xdr:sp>
    </xdr:grpSp>
    <xdr:clientData/>
  </xdr:twoCellAnchor>
  <xdr:twoCellAnchor>
    <xdr:from>
      <xdr:col>21</xdr:col>
      <xdr:colOff>498256</xdr:colOff>
      <xdr:row>12</xdr:row>
      <xdr:rowOff>168703</xdr:rowOff>
    </xdr:from>
    <xdr:to>
      <xdr:col>22</xdr:col>
      <xdr:colOff>472619</xdr:colOff>
      <xdr:row>15</xdr:row>
      <xdr:rowOff>173126</xdr:rowOff>
    </xdr:to>
    <xdr:grpSp>
      <xdr:nvGrpSpPr>
        <xdr:cNvPr id="61" name="Group 60">
          <a:extLst>
            <a:ext uri="{FF2B5EF4-FFF2-40B4-BE49-F238E27FC236}">
              <a16:creationId xmlns:a16="http://schemas.microsoft.com/office/drawing/2014/main" id="{8364872F-3DDA-4EF6-82EA-4AA29DC88187}"/>
            </a:ext>
          </a:extLst>
        </xdr:cNvPr>
        <xdr:cNvGrpSpPr/>
      </xdr:nvGrpSpPr>
      <xdr:grpSpPr>
        <a:xfrm>
          <a:off x="13299856" y="2454703"/>
          <a:ext cx="583963" cy="575923"/>
          <a:chOff x="5494484" y="6649908"/>
          <a:chExt cx="581583" cy="575922"/>
        </a:xfrm>
      </xdr:grpSpPr>
      <xdr:sp macro="" textlink="'Pivot Tables'!BG7">
        <xdr:nvSpPr>
          <xdr:cNvPr id="448" name="TextBox 447">
            <a:extLst>
              <a:ext uri="{FF2B5EF4-FFF2-40B4-BE49-F238E27FC236}">
                <a16:creationId xmlns:a16="http://schemas.microsoft.com/office/drawing/2014/main" id="{BAB3F75D-BD49-84C0-A718-2AA9149808FC}"/>
              </a:ext>
            </a:extLst>
          </xdr:cNvPr>
          <xdr:cNvSpPr txBox="1"/>
        </xdr:nvSpPr>
        <xdr:spPr>
          <a:xfrm>
            <a:off x="5495182" y="6649908"/>
            <a:ext cx="580186" cy="5759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B665BE2-DB0B-4669-9B2F-8C18987DF9A3}" type="TxLink">
              <a:rPr lang="en-US" sz="1600" b="0" i="0" u="none" strike="noStrike">
                <a:solidFill>
                  <a:srgbClr val="C240DB"/>
                </a:solidFill>
                <a:latin typeface="Calibri"/>
                <a:ea typeface="Calibri"/>
                <a:cs typeface="Calibri"/>
              </a:rPr>
              <a:pPr algn="ctr"/>
              <a:t> </a:t>
            </a:fld>
            <a:endParaRPr lang="en-IN" sz="1100"/>
          </a:p>
        </xdr:txBody>
      </xdr:sp>
      <xdr:sp macro="" textlink="'Pivot Tables'!BI7">
        <xdr:nvSpPr>
          <xdr:cNvPr id="449" name="TextBox 448">
            <a:extLst>
              <a:ext uri="{FF2B5EF4-FFF2-40B4-BE49-F238E27FC236}">
                <a16:creationId xmlns:a16="http://schemas.microsoft.com/office/drawing/2014/main" id="{A0C5691D-CF13-4BAB-CC75-4A4823E54E66}"/>
              </a:ext>
            </a:extLst>
          </xdr:cNvPr>
          <xdr:cNvSpPr txBox="1"/>
        </xdr:nvSpPr>
        <xdr:spPr>
          <a:xfrm>
            <a:off x="5494484" y="6649908"/>
            <a:ext cx="581583" cy="5759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A3AB6ED-290D-4ACB-8694-493FC695CFE2}" type="TxLink">
              <a:rPr lang="en-US" sz="1600" b="0" i="0" u="none" strike="noStrike">
                <a:solidFill>
                  <a:srgbClr val="0F11A7"/>
                </a:solidFill>
                <a:latin typeface="Calibri"/>
                <a:ea typeface="Calibri"/>
                <a:cs typeface="Calibri"/>
              </a:rPr>
              <a:pPr algn="ctr"/>
              <a:t>•</a:t>
            </a:fld>
            <a:endParaRPr lang="en-IN" sz="1100"/>
          </a:p>
        </xdr:txBody>
      </xdr:sp>
    </xdr:grpSp>
    <xdr:clientData/>
  </xdr:twoCellAnchor>
  <xdr:twoCellAnchor>
    <xdr:from>
      <xdr:col>22</xdr:col>
      <xdr:colOff>177170</xdr:colOff>
      <xdr:row>11</xdr:row>
      <xdr:rowOff>78847</xdr:rowOff>
    </xdr:from>
    <xdr:to>
      <xdr:col>23</xdr:col>
      <xdr:colOff>238926</xdr:colOff>
      <xdr:row>14</xdr:row>
      <xdr:rowOff>83270</xdr:rowOff>
    </xdr:to>
    <xdr:grpSp>
      <xdr:nvGrpSpPr>
        <xdr:cNvPr id="450" name="Group 449">
          <a:extLst>
            <a:ext uri="{FF2B5EF4-FFF2-40B4-BE49-F238E27FC236}">
              <a16:creationId xmlns:a16="http://schemas.microsoft.com/office/drawing/2014/main" id="{058B663E-E38A-48F1-9EF6-088978E61338}"/>
            </a:ext>
          </a:extLst>
        </xdr:cNvPr>
        <xdr:cNvGrpSpPr/>
      </xdr:nvGrpSpPr>
      <xdr:grpSpPr>
        <a:xfrm>
          <a:off x="13588370" y="2174347"/>
          <a:ext cx="671356" cy="575923"/>
          <a:chOff x="5406980" y="6649908"/>
          <a:chExt cx="668388" cy="575922"/>
        </a:xfrm>
      </xdr:grpSpPr>
      <xdr:sp macro="" textlink="'Pivot Tables'!BG7">
        <xdr:nvSpPr>
          <xdr:cNvPr id="451" name="TextBox 450">
            <a:extLst>
              <a:ext uri="{FF2B5EF4-FFF2-40B4-BE49-F238E27FC236}">
                <a16:creationId xmlns:a16="http://schemas.microsoft.com/office/drawing/2014/main" id="{BB9D73CA-8C64-8456-F82F-D2A27AEA4266}"/>
              </a:ext>
            </a:extLst>
          </xdr:cNvPr>
          <xdr:cNvSpPr txBox="1"/>
        </xdr:nvSpPr>
        <xdr:spPr>
          <a:xfrm>
            <a:off x="5495182" y="6649908"/>
            <a:ext cx="580186" cy="5759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B665BE2-DB0B-4669-9B2F-8C18987DF9A3}" type="TxLink">
              <a:rPr lang="en-US" sz="1600" b="0" i="0" u="none" strike="noStrike">
                <a:solidFill>
                  <a:srgbClr val="C240DB"/>
                </a:solidFill>
                <a:latin typeface="Calibri"/>
                <a:ea typeface="Calibri"/>
                <a:cs typeface="Calibri"/>
              </a:rPr>
              <a:pPr algn="ctr"/>
              <a:t> </a:t>
            </a:fld>
            <a:endParaRPr lang="en-IN" sz="1100"/>
          </a:p>
        </xdr:txBody>
      </xdr:sp>
      <xdr:sp macro="" textlink="'Pivot Tables'!BI7">
        <xdr:nvSpPr>
          <xdr:cNvPr id="452" name="TextBox 451">
            <a:extLst>
              <a:ext uri="{FF2B5EF4-FFF2-40B4-BE49-F238E27FC236}">
                <a16:creationId xmlns:a16="http://schemas.microsoft.com/office/drawing/2014/main" id="{FFD0B236-A218-CCD9-CAD0-5D0FA94C6208}"/>
              </a:ext>
            </a:extLst>
          </xdr:cNvPr>
          <xdr:cNvSpPr txBox="1"/>
        </xdr:nvSpPr>
        <xdr:spPr>
          <a:xfrm>
            <a:off x="5406980" y="6649908"/>
            <a:ext cx="581583" cy="5759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A3AB6ED-290D-4ACB-8694-493FC695CFE2}" type="TxLink">
              <a:rPr lang="en-US" sz="1600" b="0" i="0" u="none" strike="noStrike">
                <a:solidFill>
                  <a:srgbClr val="0F11A7"/>
                </a:solidFill>
                <a:latin typeface="Calibri"/>
                <a:ea typeface="Calibri"/>
                <a:cs typeface="Calibri"/>
              </a:rPr>
              <a:pPr algn="ctr"/>
              <a:t>•</a:t>
            </a:fld>
            <a:endParaRPr lang="en-IN" sz="1100"/>
          </a:p>
        </xdr:txBody>
      </xdr:sp>
    </xdr:grpSp>
    <xdr:clientData/>
  </xdr:twoCellAnchor>
  <xdr:twoCellAnchor>
    <xdr:from>
      <xdr:col>22</xdr:col>
      <xdr:colOff>177170</xdr:colOff>
      <xdr:row>10</xdr:row>
      <xdr:rowOff>172446</xdr:rowOff>
    </xdr:from>
    <xdr:to>
      <xdr:col>23</xdr:col>
      <xdr:colOff>151534</xdr:colOff>
      <xdr:row>13</xdr:row>
      <xdr:rowOff>176869</xdr:rowOff>
    </xdr:to>
    <xdr:grpSp>
      <xdr:nvGrpSpPr>
        <xdr:cNvPr id="453" name="Group 452">
          <a:extLst>
            <a:ext uri="{FF2B5EF4-FFF2-40B4-BE49-F238E27FC236}">
              <a16:creationId xmlns:a16="http://schemas.microsoft.com/office/drawing/2014/main" id="{4D85F6AD-F45A-4DA6-8F06-4EDC97E015F3}"/>
            </a:ext>
          </a:extLst>
        </xdr:cNvPr>
        <xdr:cNvGrpSpPr/>
      </xdr:nvGrpSpPr>
      <xdr:grpSpPr>
        <a:xfrm>
          <a:off x="13588370" y="2077446"/>
          <a:ext cx="583964" cy="575923"/>
          <a:chOff x="5494484" y="6649908"/>
          <a:chExt cx="581583" cy="575922"/>
        </a:xfrm>
      </xdr:grpSpPr>
      <xdr:sp macro="" textlink="'Pivot Tables'!BG7">
        <xdr:nvSpPr>
          <xdr:cNvPr id="454" name="TextBox 453">
            <a:extLst>
              <a:ext uri="{FF2B5EF4-FFF2-40B4-BE49-F238E27FC236}">
                <a16:creationId xmlns:a16="http://schemas.microsoft.com/office/drawing/2014/main" id="{03293AA9-770B-EF7C-8214-4FC4EA349525}"/>
              </a:ext>
            </a:extLst>
          </xdr:cNvPr>
          <xdr:cNvSpPr txBox="1"/>
        </xdr:nvSpPr>
        <xdr:spPr>
          <a:xfrm>
            <a:off x="5495182" y="6649908"/>
            <a:ext cx="580186" cy="5759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B665BE2-DB0B-4669-9B2F-8C18987DF9A3}" type="TxLink">
              <a:rPr lang="en-US" sz="1600" b="0" i="0" u="none" strike="noStrike">
                <a:solidFill>
                  <a:srgbClr val="C240DB"/>
                </a:solidFill>
                <a:latin typeface="Calibri"/>
                <a:ea typeface="Calibri"/>
                <a:cs typeface="Calibri"/>
              </a:rPr>
              <a:pPr algn="ctr"/>
              <a:t> </a:t>
            </a:fld>
            <a:endParaRPr lang="en-IN" sz="1100"/>
          </a:p>
        </xdr:txBody>
      </xdr:sp>
      <xdr:sp macro="" textlink="'Pivot Tables'!BI7">
        <xdr:nvSpPr>
          <xdr:cNvPr id="455" name="TextBox 454">
            <a:extLst>
              <a:ext uri="{FF2B5EF4-FFF2-40B4-BE49-F238E27FC236}">
                <a16:creationId xmlns:a16="http://schemas.microsoft.com/office/drawing/2014/main" id="{A108B28E-A2DA-6972-4B3A-621686C055B7}"/>
              </a:ext>
            </a:extLst>
          </xdr:cNvPr>
          <xdr:cNvSpPr txBox="1"/>
        </xdr:nvSpPr>
        <xdr:spPr>
          <a:xfrm>
            <a:off x="5494484" y="6649908"/>
            <a:ext cx="581583" cy="5759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A3AB6ED-290D-4ACB-8694-493FC695CFE2}" type="TxLink">
              <a:rPr lang="en-US" sz="1600" b="0" i="0" u="none" strike="noStrike">
                <a:solidFill>
                  <a:srgbClr val="0F11A7"/>
                </a:solidFill>
                <a:latin typeface="Calibri"/>
                <a:ea typeface="Calibri"/>
                <a:cs typeface="Calibri"/>
              </a:rPr>
              <a:pPr algn="ctr"/>
              <a:t>•</a:t>
            </a:fld>
            <a:endParaRPr lang="en-IN" sz="1100"/>
          </a:p>
        </xdr:txBody>
      </xdr:sp>
    </xdr:grpSp>
    <xdr:clientData/>
  </xdr:twoCellAnchor>
  <xdr:twoCellAnchor>
    <xdr:from>
      <xdr:col>22</xdr:col>
      <xdr:colOff>460982</xdr:colOff>
      <xdr:row>10</xdr:row>
      <xdr:rowOff>75686</xdr:rowOff>
    </xdr:from>
    <xdr:to>
      <xdr:col>23</xdr:col>
      <xdr:colOff>435347</xdr:colOff>
      <xdr:row>13</xdr:row>
      <xdr:rowOff>80107</xdr:rowOff>
    </xdr:to>
    <xdr:grpSp>
      <xdr:nvGrpSpPr>
        <xdr:cNvPr id="456" name="Group 455">
          <a:extLst>
            <a:ext uri="{FF2B5EF4-FFF2-40B4-BE49-F238E27FC236}">
              <a16:creationId xmlns:a16="http://schemas.microsoft.com/office/drawing/2014/main" id="{E3C86E81-ABB6-4434-AC11-10D56D4FBDAD}"/>
            </a:ext>
          </a:extLst>
        </xdr:cNvPr>
        <xdr:cNvGrpSpPr/>
      </xdr:nvGrpSpPr>
      <xdr:grpSpPr>
        <a:xfrm>
          <a:off x="13872182" y="1980686"/>
          <a:ext cx="583965" cy="575921"/>
          <a:chOff x="5473700" y="7239991"/>
          <a:chExt cx="581583" cy="575922"/>
        </a:xfrm>
      </xdr:grpSpPr>
      <xdr:sp macro="" textlink="'Pivot Tables'!BH7">
        <xdr:nvSpPr>
          <xdr:cNvPr id="457" name="TextBox 456">
            <a:extLst>
              <a:ext uri="{FF2B5EF4-FFF2-40B4-BE49-F238E27FC236}">
                <a16:creationId xmlns:a16="http://schemas.microsoft.com/office/drawing/2014/main" id="{041D0D1D-A53E-A390-E134-7428E48CB789}"/>
              </a:ext>
            </a:extLst>
          </xdr:cNvPr>
          <xdr:cNvSpPr txBox="1"/>
        </xdr:nvSpPr>
        <xdr:spPr>
          <a:xfrm>
            <a:off x="5474398" y="7239991"/>
            <a:ext cx="580186" cy="5759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FBBDE73-FB51-4C22-B1C8-C8C40C9FC83A}" type="TxLink">
              <a:rPr lang="en-US" sz="1600" b="0" i="0" u="none" strike="noStrike">
                <a:solidFill>
                  <a:srgbClr val="5A097C"/>
                </a:solidFill>
                <a:latin typeface="Calibri"/>
                <a:ea typeface="Calibri"/>
                <a:cs typeface="Calibri"/>
              </a:rPr>
              <a:pPr algn="ctr"/>
              <a:t> </a:t>
            </a:fld>
            <a:endParaRPr lang="en-IN" sz="1100"/>
          </a:p>
        </xdr:txBody>
      </xdr:sp>
      <xdr:sp macro="" textlink="'Pivot Tables'!BJ7">
        <xdr:nvSpPr>
          <xdr:cNvPr id="458" name="TextBox 457">
            <a:extLst>
              <a:ext uri="{FF2B5EF4-FFF2-40B4-BE49-F238E27FC236}">
                <a16:creationId xmlns:a16="http://schemas.microsoft.com/office/drawing/2014/main" id="{EE18E06E-16C5-B3CE-7828-B28E99A4F53F}"/>
              </a:ext>
            </a:extLst>
          </xdr:cNvPr>
          <xdr:cNvSpPr txBox="1"/>
        </xdr:nvSpPr>
        <xdr:spPr>
          <a:xfrm>
            <a:off x="5473700" y="7239991"/>
            <a:ext cx="581583" cy="5759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66AC088-9BA0-40CB-BA2B-AA582DC1539C}" type="TxLink">
              <a:rPr lang="en-US" sz="1600" b="0" i="0" u="none" strike="noStrike">
                <a:solidFill>
                  <a:srgbClr val="296EFC"/>
                </a:solidFill>
                <a:latin typeface="Calibri"/>
                <a:ea typeface="Calibri"/>
                <a:cs typeface="Calibri"/>
              </a:rPr>
              <a:pPr algn="ctr"/>
              <a:t>•</a:t>
            </a:fld>
            <a:endParaRPr lang="en-IN" sz="1100"/>
          </a:p>
        </xdr:txBody>
      </xdr:sp>
    </xdr:grpSp>
    <xdr:clientData/>
  </xdr:twoCellAnchor>
  <xdr:twoCellAnchor>
    <xdr:from>
      <xdr:col>22</xdr:col>
      <xdr:colOff>272021</xdr:colOff>
      <xdr:row>10</xdr:row>
      <xdr:rowOff>79431</xdr:rowOff>
    </xdr:from>
    <xdr:to>
      <xdr:col>23</xdr:col>
      <xdr:colOff>246386</xdr:colOff>
      <xdr:row>13</xdr:row>
      <xdr:rowOff>83852</xdr:rowOff>
    </xdr:to>
    <xdr:grpSp>
      <xdr:nvGrpSpPr>
        <xdr:cNvPr id="459" name="Group 458">
          <a:extLst>
            <a:ext uri="{FF2B5EF4-FFF2-40B4-BE49-F238E27FC236}">
              <a16:creationId xmlns:a16="http://schemas.microsoft.com/office/drawing/2014/main" id="{02F9DC83-4A28-49DF-A183-3182A1917865}"/>
            </a:ext>
          </a:extLst>
        </xdr:cNvPr>
        <xdr:cNvGrpSpPr/>
      </xdr:nvGrpSpPr>
      <xdr:grpSpPr>
        <a:xfrm>
          <a:off x="13683221" y="1984431"/>
          <a:ext cx="583965" cy="575921"/>
          <a:chOff x="5473700" y="7239991"/>
          <a:chExt cx="581583" cy="575922"/>
        </a:xfrm>
      </xdr:grpSpPr>
      <xdr:sp macro="" textlink="'Pivot Tables'!BH7">
        <xdr:nvSpPr>
          <xdr:cNvPr id="460" name="TextBox 459">
            <a:extLst>
              <a:ext uri="{FF2B5EF4-FFF2-40B4-BE49-F238E27FC236}">
                <a16:creationId xmlns:a16="http://schemas.microsoft.com/office/drawing/2014/main" id="{71D7749F-E6EC-01D3-60DC-148E1AA9B1C1}"/>
              </a:ext>
            </a:extLst>
          </xdr:cNvPr>
          <xdr:cNvSpPr txBox="1"/>
        </xdr:nvSpPr>
        <xdr:spPr>
          <a:xfrm>
            <a:off x="5474398" y="7239991"/>
            <a:ext cx="580186" cy="5759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FBBDE73-FB51-4C22-B1C8-C8C40C9FC83A}" type="TxLink">
              <a:rPr lang="en-US" sz="1600" b="0" i="0" u="none" strike="noStrike">
                <a:solidFill>
                  <a:srgbClr val="5A097C"/>
                </a:solidFill>
                <a:latin typeface="Calibri"/>
                <a:ea typeface="Calibri"/>
                <a:cs typeface="Calibri"/>
              </a:rPr>
              <a:pPr algn="ctr"/>
              <a:t> </a:t>
            </a:fld>
            <a:endParaRPr lang="en-IN" sz="1100"/>
          </a:p>
        </xdr:txBody>
      </xdr:sp>
      <xdr:sp macro="" textlink="'Pivot Tables'!BJ7">
        <xdr:nvSpPr>
          <xdr:cNvPr id="461" name="TextBox 460">
            <a:extLst>
              <a:ext uri="{FF2B5EF4-FFF2-40B4-BE49-F238E27FC236}">
                <a16:creationId xmlns:a16="http://schemas.microsoft.com/office/drawing/2014/main" id="{7733301E-269C-3566-A89B-FA82A459EA69}"/>
              </a:ext>
            </a:extLst>
          </xdr:cNvPr>
          <xdr:cNvSpPr txBox="1"/>
        </xdr:nvSpPr>
        <xdr:spPr>
          <a:xfrm>
            <a:off x="5473700" y="7239991"/>
            <a:ext cx="581583" cy="5759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66AC088-9BA0-40CB-BA2B-AA582DC1539C}" type="TxLink">
              <a:rPr lang="en-US" sz="1600" b="0" i="0" u="none" strike="noStrike">
                <a:solidFill>
                  <a:srgbClr val="296EFC"/>
                </a:solidFill>
                <a:latin typeface="Calibri"/>
                <a:ea typeface="Calibri"/>
                <a:cs typeface="Calibri"/>
              </a:rPr>
              <a:pPr algn="ctr"/>
              <a:t>•</a:t>
            </a:fld>
            <a:endParaRPr lang="en-IN" sz="1100"/>
          </a:p>
        </xdr:txBody>
      </xdr:sp>
    </xdr:grpSp>
    <xdr:clientData/>
  </xdr:twoCellAnchor>
  <xdr:twoCellAnchor>
    <xdr:from>
      <xdr:col>22</xdr:col>
      <xdr:colOff>178423</xdr:colOff>
      <xdr:row>10</xdr:row>
      <xdr:rowOff>79431</xdr:rowOff>
    </xdr:from>
    <xdr:to>
      <xdr:col>23</xdr:col>
      <xdr:colOff>152788</xdr:colOff>
      <xdr:row>13</xdr:row>
      <xdr:rowOff>83852</xdr:rowOff>
    </xdr:to>
    <xdr:grpSp>
      <xdr:nvGrpSpPr>
        <xdr:cNvPr id="462" name="Group 461">
          <a:extLst>
            <a:ext uri="{FF2B5EF4-FFF2-40B4-BE49-F238E27FC236}">
              <a16:creationId xmlns:a16="http://schemas.microsoft.com/office/drawing/2014/main" id="{F9E6E7A6-BC8B-C4F7-DDCB-61F4D246FEF2}"/>
            </a:ext>
          </a:extLst>
        </xdr:cNvPr>
        <xdr:cNvGrpSpPr/>
      </xdr:nvGrpSpPr>
      <xdr:grpSpPr>
        <a:xfrm>
          <a:off x="13589623" y="1984431"/>
          <a:ext cx="583965" cy="575921"/>
          <a:chOff x="5473700" y="7239991"/>
          <a:chExt cx="581583" cy="575922"/>
        </a:xfrm>
      </xdr:grpSpPr>
      <xdr:sp macro="" textlink="'Pivot Tables'!BH7">
        <xdr:nvSpPr>
          <xdr:cNvPr id="463" name="TextBox 462">
            <a:extLst>
              <a:ext uri="{FF2B5EF4-FFF2-40B4-BE49-F238E27FC236}">
                <a16:creationId xmlns:a16="http://schemas.microsoft.com/office/drawing/2014/main" id="{F5E68E8E-9806-B9D6-B8CD-D785D72CD95F}"/>
              </a:ext>
            </a:extLst>
          </xdr:cNvPr>
          <xdr:cNvSpPr txBox="1"/>
        </xdr:nvSpPr>
        <xdr:spPr>
          <a:xfrm>
            <a:off x="5474398" y="7239991"/>
            <a:ext cx="580186" cy="5759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FBBDE73-FB51-4C22-B1C8-C8C40C9FC83A}" type="TxLink">
              <a:rPr lang="en-US" sz="1600" b="0" i="0" u="none" strike="noStrike">
                <a:solidFill>
                  <a:srgbClr val="5A097C"/>
                </a:solidFill>
                <a:latin typeface="Calibri"/>
                <a:ea typeface="Calibri"/>
                <a:cs typeface="Calibri"/>
              </a:rPr>
              <a:pPr algn="ctr"/>
              <a:t> </a:t>
            </a:fld>
            <a:endParaRPr lang="en-IN" sz="1100"/>
          </a:p>
        </xdr:txBody>
      </xdr:sp>
      <xdr:sp macro="" textlink="'Pivot Tables'!BJ7">
        <xdr:nvSpPr>
          <xdr:cNvPr id="464" name="TextBox 463">
            <a:extLst>
              <a:ext uri="{FF2B5EF4-FFF2-40B4-BE49-F238E27FC236}">
                <a16:creationId xmlns:a16="http://schemas.microsoft.com/office/drawing/2014/main" id="{5D5F0E77-13CF-D2B4-9B8A-E760C68F65E7}"/>
              </a:ext>
            </a:extLst>
          </xdr:cNvPr>
          <xdr:cNvSpPr txBox="1"/>
        </xdr:nvSpPr>
        <xdr:spPr>
          <a:xfrm>
            <a:off x="5473700" y="7239991"/>
            <a:ext cx="581583" cy="5759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66AC088-9BA0-40CB-BA2B-AA582DC1539C}" type="TxLink">
              <a:rPr lang="en-US" sz="1600" b="0" i="0" u="none" strike="noStrike">
                <a:solidFill>
                  <a:srgbClr val="296EFC"/>
                </a:solidFill>
                <a:latin typeface="Calibri"/>
                <a:ea typeface="Calibri"/>
                <a:cs typeface="Calibri"/>
              </a:rPr>
              <a:pPr algn="ctr"/>
              <a:t>•</a:t>
            </a:fld>
            <a:endParaRPr lang="en-IN" sz="1100"/>
          </a:p>
        </xdr:txBody>
      </xdr:sp>
    </xdr:grpSp>
    <xdr:clientData/>
  </xdr:twoCellAnchor>
  <xdr:twoCellAnchor>
    <xdr:from>
      <xdr:col>22</xdr:col>
      <xdr:colOff>79319</xdr:colOff>
      <xdr:row>9</xdr:row>
      <xdr:rowOff>178535</xdr:rowOff>
    </xdr:from>
    <xdr:to>
      <xdr:col>23</xdr:col>
      <xdr:colOff>53684</xdr:colOff>
      <xdr:row>12</xdr:row>
      <xdr:rowOff>182956</xdr:rowOff>
    </xdr:to>
    <xdr:grpSp>
      <xdr:nvGrpSpPr>
        <xdr:cNvPr id="465" name="Group 464">
          <a:extLst>
            <a:ext uri="{FF2B5EF4-FFF2-40B4-BE49-F238E27FC236}">
              <a16:creationId xmlns:a16="http://schemas.microsoft.com/office/drawing/2014/main" id="{88F8C82F-D978-61C7-FF9A-822FBA4F6107}"/>
            </a:ext>
          </a:extLst>
        </xdr:cNvPr>
        <xdr:cNvGrpSpPr/>
      </xdr:nvGrpSpPr>
      <xdr:grpSpPr>
        <a:xfrm>
          <a:off x="13490519" y="1893035"/>
          <a:ext cx="583965" cy="575921"/>
          <a:chOff x="5473700" y="7239991"/>
          <a:chExt cx="581583" cy="575922"/>
        </a:xfrm>
      </xdr:grpSpPr>
      <xdr:sp macro="" textlink="'Pivot Tables'!BH7">
        <xdr:nvSpPr>
          <xdr:cNvPr id="466" name="TextBox 465">
            <a:extLst>
              <a:ext uri="{FF2B5EF4-FFF2-40B4-BE49-F238E27FC236}">
                <a16:creationId xmlns:a16="http://schemas.microsoft.com/office/drawing/2014/main" id="{48ECCA24-1FE8-F18C-E854-44CAAF43F30E}"/>
              </a:ext>
            </a:extLst>
          </xdr:cNvPr>
          <xdr:cNvSpPr txBox="1"/>
        </xdr:nvSpPr>
        <xdr:spPr>
          <a:xfrm>
            <a:off x="5474398" y="7239991"/>
            <a:ext cx="580186" cy="5759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FBBDE73-FB51-4C22-B1C8-C8C40C9FC83A}" type="TxLink">
              <a:rPr lang="en-US" sz="1600" b="0" i="0" u="none" strike="noStrike">
                <a:solidFill>
                  <a:srgbClr val="5A097C"/>
                </a:solidFill>
                <a:latin typeface="Calibri"/>
                <a:ea typeface="Calibri"/>
                <a:cs typeface="Calibri"/>
              </a:rPr>
              <a:pPr algn="ctr"/>
              <a:t> </a:t>
            </a:fld>
            <a:endParaRPr lang="en-IN" sz="1100"/>
          </a:p>
        </xdr:txBody>
      </xdr:sp>
      <xdr:sp macro="" textlink="'Pivot Tables'!BJ7">
        <xdr:nvSpPr>
          <xdr:cNvPr id="480" name="TextBox 479">
            <a:extLst>
              <a:ext uri="{FF2B5EF4-FFF2-40B4-BE49-F238E27FC236}">
                <a16:creationId xmlns:a16="http://schemas.microsoft.com/office/drawing/2014/main" id="{98AF71E5-09C5-1A3C-47BE-C9B6806B633D}"/>
              </a:ext>
            </a:extLst>
          </xdr:cNvPr>
          <xdr:cNvSpPr txBox="1"/>
        </xdr:nvSpPr>
        <xdr:spPr>
          <a:xfrm>
            <a:off x="5473700" y="7239991"/>
            <a:ext cx="581583" cy="5759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66AC088-9BA0-40CB-BA2B-AA582DC1539C}" type="TxLink">
              <a:rPr lang="en-US" sz="1600" b="0" i="0" u="none" strike="noStrike">
                <a:solidFill>
                  <a:srgbClr val="296EFC"/>
                </a:solidFill>
                <a:latin typeface="Calibri"/>
                <a:ea typeface="Calibri"/>
                <a:cs typeface="Calibri"/>
              </a:rPr>
              <a:pPr algn="ctr"/>
              <a:t>•</a:t>
            </a:fld>
            <a:endParaRPr lang="en-IN" sz="1100"/>
          </a:p>
        </xdr:txBody>
      </xdr:sp>
    </xdr:grpSp>
    <xdr:clientData/>
  </xdr:twoCellAnchor>
  <xdr:twoCellAnchor>
    <xdr:from>
      <xdr:col>22</xdr:col>
      <xdr:colOff>83063</xdr:colOff>
      <xdr:row>10</xdr:row>
      <xdr:rowOff>171268</xdr:rowOff>
    </xdr:from>
    <xdr:to>
      <xdr:col>23</xdr:col>
      <xdr:colOff>57428</xdr:colOff>
      <xdr:row>13</xdr:row>
      <xdr:rowOff>175689</xdr:rowOff>
    </xdr:to>
    <xdr:grpSp>
      <xdr:nvGrpSpPr>
        <xdr:cNvPr id="481" name="Group 480">
          <a:extLst>
            <a:ext uri="{FF2B5EF4-FFF2-40B4-BE49-F238E27FC236}">
              <a16:creationId xmlns:a16="http://schemas.microsoft.com/office/drawing/2014/main" id="{8F4787D6-A6E5-4F7A-BBB3-E6081605A34A}"/>
            </a:ext>
          </a:extLst>
        </xdr:cNvPr>
        <xdr:cNvGrpSpPr/>
      </xdr:nvGrpSpPr>
      <xdr:grpSpPr>
        <a:xfrm>
          <a:off x="13494263" y="2076268"/>
          <a:ext cx="583965" cy="575921"/>
          <a:chOff x="5473700" y="7239991"/>
          <a:chExt cx="581583" cy="575922"/>
        </a:xfrm>
      </xdr:grpSpPr>
      <xdr:sp macro="" textlink="'Pivot Tables'!BH7">
        <xdr:nvSpPr>
          <xdr:cNvPr id="482" name="TextBox 481">
            <a:extLst>
              <a:ext uri="{FF2B5EF4-FFF2-40B4-BE49-F238E27FC236}">
                <a16:creationId xmlns:a16="http://schemas.microsoft.com/office/drawing/2014/main" id="{21DAC8F4-6C49-F3F4-8C61-1FC24132034B}"/>
              </a:ext>
            </a:extLst>
          </xdr:cNvPr>
          <xdr:cNvSpPr txBox="1"/>
        </xdr:nvSpPr>
        <xdr:spPr>
          <a:xfrm>
            <a:off x="5474398" y="7239991"/>
            <a:ext cx="580186" cy="5759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FBBDE73-FB51-4C22-B1C8-C8C40C9FC83A}" type="TxLink">
              <a:rPr lang="en-US" sz="1600" b="0" i="0" u="none" strike="noStrike">
                <a:solidFill>
                  <a:srgbClr val="5A097C"/>
                </a:solidFill>
                <a:latin typeface="Calibri"/>
                <a:ea typeface="Calibri"/>
                <a:cs typeface="Calibri"/>
              </a:rPr>
              <a:pPr algn="ctr"/>
              <a:t> </a:t>
            </a:fld>
            <a:endParaRPr lang="en-IN" sz="1100"/>
          </a:p>
        </xdr:txBody>
      </xdr:sp>
      <xdr:sp macro="" textlink="'Pivot Tables'!BJ7">
        <xdr:nvSpPr>
          <xdr:cNvPr id="73" name="TextBox 72">
            <a:extLst>
              <a:ext uri="{FF2B5EF4-FFF2-40B4-BE49-F238E27FC236}">
                <a16:creationId xmlns:a16="http://schemas.microsoft.com/office/drawing/2014/main" id="{95D07265-D168-D22F-0431-0F5770B47B3B}"/>
              </a:ext>
            </a:extLst>
          </xdr:cNvPr>
          <xdr:cNvSpPr txBox="1"/>
        </xdr:nvSpPr>
        <xdr:spPr>
          <a:xfrm>
            <a:off x="5473700" y="7239991"/>
            <a:ext cx="581583" cy="5759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66AC088-9BA0-40CB-BA2B-AA582DC1539C}" type="TxLink">
              <a:rPr lang="en-US" sz="1600" b="0" i="0" u="none" strike="noStrike">
                <a:solidFill>
                  <a:srgbClr val="296EFC"/>
                </a:solidFill>
                <a:latin typeface="Calibri"/>
                <a:ea typeface="Calibri"/>
                <a:cs typeface="Calibri"/>
              </a:rPr>
              <a:pPr algn="ctr"/>
              <a:t>•</a:t>
            </a:fld>
            <a:endParaRPr lang="en-IN" sz="1100"/>
          </a:p>
        </xdr:txBody>
      </xdr:sp>
    </xdr:grpSp>
    <xdr:clientData/>
  </xdr:twoCellAnchor>
  <xdr:twoCellAnchor>
    <xdr:from>
      <xdr:col>22</xdr:col>
      <xdr:colOff>83063</xdr:colOff>
      <xdr:row>11</xdr:row>
      <xdr:rowOff>72165</xdr:rowOff>
    </xdr:from>
    <xdr:to>
      <xdr:col>23</xdr:col>
      <xdr:colOff>57428</xdr:colOff>
      <xdr:row>14</xdr:row>
      <xdr:rowOff>76586</xdr:rowOff>
    </xdr:to>
    <xdr:grpSp>
      <xdr:nvGrpSpPr>
        <xdr:cNvPr id="74" name="Group 73">
          <a:extLst>
            <a:ext uri="{FF2B5EF4-FFF2-40B4-BE49-F238E27FC236}">
              <a16:creationId xmlns:a16="http://schemas.microsoft.com/office/drawing/2014/main" id="{0A355432-49AF-FD6E-1D5B-8D6D9F61367D}"/>
            </a:ext>
          </a:extLst>
        </xdr:cNvPr>
        <xdr:cNvGrpSpPr/>
      </xdr:nvGrpSpPr>
      <xdr:grpSpPr>
        <a:xfrm>
          <a:off x="13494263" y="2167665"/>
          <a:ext cx="583965" cy="575921"/>
          <a:chOff x="5473700" y="7239991"/>
          <a:chExt cx="581583" cy="575922"/>
        </a:xfrm>
      </xdr:grpSpPr>
      <xdr:sp macro="" textlink="'Pivot Tables'!BH7">
        <xdr:nvSpPr>
          <xdr:cNvPr id="75" name="TextBox 74">
            <a:extLst>
              <a:ext uri="{FF2B5EF4-FFF2-40B4-BE49-F238E27FC236}">
                <a16:creationId xmlns:a16="http://schemas.microsoft.com/office/drawing/2014/main" id="{37A3E44B-C2A4-3D74-F891-9C265A9647C1}"/>
              </a:ext>
            </a:extLst>
          </xdr:cNvPr>
          <xdr:cNvSpPr txBox="1"/>
        </xdr:nvSpPr>
        <xdr:spPr>
          <a:xfrm>
            <a:off x="5474398" y="7239991"/>
            <a:ext cx="580186" cy="5759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FBBDE73-FB51-4C22-B1C8-C8C40C9FC83A}" type="TxLink">
              <a:rPr lang="en-US" sz="1600" b="0" i="0" u="none" strike="noStrike">
                <a:solidFill>
                  <a:srgbClr val="5A097C"/>
                </a:solidFill>
                <a:latin typeface="Calibri"/>
                <a:ea typeface="Calibri"/>
                <a:cs typeface="Calibri"/>
              </a:rPr>
              <a:pPr algn="ctr"/>
              <a:t> </a:t>
            </a:fld>
            <a:endParaRPr lang="en-IN" sz="1100"/>
          </a:p>
        </xdr:txBody>
      </xdr:sp>
      <xdr:sp macro="" textlink="'Pivot Tables'!BJ7">
        <xdr:nvSpPr>
          <xdr:cNvPr id="76" name="TextBox 75">
            <a:extLst>
              <a:ext uri="{FF2B5EF4-FFF2-40B4-BE49-F238E27FC236}">
                <a16:creationId xmlns:a16="http://schemas.microsoft.com/office/drawing/2014/main" id="{78AAE4C2-D641-9DB6-23C3-0F56CA6FB5D5}"/>
              </a:ext>
            </a:extLst>
          </xdr:cNvPr>
          <xdr:cNvSpPr txBox="1"/>
        </xdr:nvSpPr>
        <xdr:spPr>
          <a:xfrm>
            <a:off x="5473700" y="7239991"/>
            <a:ext cx="581583" cy="5759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66AC088-9BA0-40CB-BA2B-AA582DC1539C}" type="TxLink">
              <a:rPr lang="en-US" sz="1600" b="0" i="0" u="none" strike="noStrike">
                <a:solidFill>
                  <a:srgbClr val="296EFC"/>
                </a:solidFill>
                <a:latin typeface="Calibri"/>
                <a:ea typeface="Calibri"/>
                <a:cs typeface="Calibri"/>
              </a:rPr>
              <a:pPr algn="ctr"/>
              <a:t>•</a:t>
            </a:fld>
            <a:endParaRPr lang="en-IN" sz="1100"/>
          </a:p>
        </xdr:txBody>
      </xdr:sp>
    </xdr:grpSp>
    <xdr:clientData/>
  </xdr:twoCellAnchor>
  <xdr:twoCellAnchor>
    <xdr:from>
      <xdr:col>22</xdr:col>
      <xdr:colOff>83063</xdr:colOff>
      <xdr:row>11</xdr:row>
      <xdr:rowOff>171269</xdr:rowOff>
    </xdr:from>
    <xdr:to>
      <xdr:col>23</xdr:col>
      <xdr:colOff>57428</xdr:colOff>
      <xdr:row>14</xdr:row>
      <xdr:rowOff>175690</xdr:rowOff>
    </xdr:to>
    <xdr:grpSp>
      <xdr:nvGrpSpPr>
        <xdr:cNvPr id="77" name="Group 76">
          <a:extLst>
            <a:ext uri="{FF2B5EF4-FFF2-40B4-BE49-F238E27FC236}">
              <a16:creationId xmlns:a16="http://schemas.microsoft.com/office/drawing/2014/main" id="{20FCD49B-EDAC-4334-A138-02947078379B}"/>
            </a:ext>
          </a:extLst>
        </xdr:cNvPr>
        <xdr:cNvGrpSpPr/>
      </xdr:nvGrpSpPr>
      <xdr:grpSpPr>
        <a:xfrm>
          <a:off x="13494263" y="2266769"/>
          <a:ext cx="583965" cy="575921"/>
          <a:chOff x="5473700" y="7239991"/>
          <a:chExt cx="581583" cy="575922"/>
        </a:xfrm>
      </xdr:grpSpPr>
      <xdr:sp macro="" textlink="'Pivot Tables'!BH7">
        <xdr:nvSpPr>
          <xdr:cNvPr id="78" name="TextBox 77">
            <a:extLst>
              <a:ext uri="{FF2B5EF4-FFF2-40B4-BE49-F238E27FC236}">
                <a16:creationId xmlns:a16="http://schemas.microsoft.com/office/drawing/2014/main" id="{99BB449F-29C8-0830-3FA8-9EA348955824}"/>
              </a:ext>
            </a:extLst>
          </xdr:cNvPr>
          <xdr:cNvSpPr txBox="1"/>
        </xdr:nvSpPr>
        <xdr:spPr>
          <a:xfrm>
            <a:off x="5474398" y="7239991"/>
            <a:ext cx="580186" cy="5759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FBBDE73-FB51-4C22-B1C8-C8C40C9FC83A}" type="TxLink">
              <a:rPr lang="en-US" sz="1600" b="0" i="0" u="none" strike="noStrike">
                <a:solidFill>
                  <a:srgbClr val="5A097C"/>
                </a:solidFill>
                <a:latin typeface="Calibri"/>
                <a:ea typeface="Calibri"/>
                <a:cs typeface="Calibri"/>
              </a:rPr>
              <a:pPr algn="ctr"/>
              <a:t> </a:t>
            </a:fld>
            <a:endParaRPr lang="en-IN" sz="1100"/>
          </a:p>
        </xdr:txBody>
      </xdr:sp>
      <xdr:sp macro="" textlink="'Pivot Tables'!BJ7">
        <xdr:nvSpPr>
          <xdr:cNvPr id="79" name="TextBox 78">
            <a:extLst>
              <a:ext uri="{FF2B5EF4-FFF2-40B4-BE49-F238E27FC236}">
                <a16:creationId xmlns:a16="http://schemas.microsoft.com/office/drawing/2014/main" id="{5D09DCDF-38B3-FFF6-612B-F2B0BA01ED76}"/>
              </a:ext>
            </a:extLst>
          </xdr:cNvPr>
          <xdr:cNvSpPr txBox="1"/>
        </xdr:nvSpPr>
        <xdr:spPr>
          <a:xfrm>
            <a:off x="5473700" y="7239991"/>
            <a:ext cx="581583" cy="5759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66AC088-9BA0-40CB-BA2B-AA582DC1539C}" type="TxLink">
              <a:rPr lang="en-US" sz="1600" b="0" i="0" u="none" strike="noStrike">
                <a:solidFill>
                  <a:srgbClr val="296EFC"/>
                </a:solidFill>
                <a:latin typeface="Calibri"/>
                <a:ea typeface="Calibri"/>
                <a:cs typeface="Calibri"/>
              </a:rPr>
              <a:pPr algn="ctr"/>
              <a:t>•</a:t>
            </a:fld>
            <a:endParaRPr lang="en-IN" sz="1100"/>
          </a:p>
        </xdr:txBody>
      </xdr:sp>
    </xdr:grpSp>
    <xdr:clientData/>
  </xdr:twoCellAnchor>
  <xdr:twoCellAnchor>
    <xdr:from>
      <xdr:col>22</xdr:col>
      <xdr:colOff>176661</xdr:colOff>
      <xdr:row>11</xdr:row>
      <xdr:rowOff>171269</xdr:rowOff>
    </xdr:from>
    <xdr:to>
      <xdr:col>23</xdr:col>
      <xdr:colOff>151026</xdr:colOff>
      <xdr:row>14</xdr:row>
      <xdr:rowOff>175690</xdr:rowOff>
    </xdr:to>
    <xdr:grpSp>
      <xdr:nvGrpSpPr>
        <xdr:cNvPr id="80" name="Group 79">
          <a:extLst>
            <a:ext uri="{FF2B5EF4-FFF2-40B4-BE49-F238E27FC236}">
              <a16:creationId xmlns:a16="http://schemas.microsoft.com/office/drawing/2014/main" id="{EC93957E-A369-0B6F-7140-C1EE61791441}"/>
            </a:ext>
          </a:extLst>
        </xdr:cNvPr>
        <xdr:cNvGrpSpPr/>
      </xdr:nvGrpSpPr>
      <xdr:grpSpPr>
        <a:xfrm>
          <a:off x="13587861" y="2266769"/>
          <a:ext cx="583965" cy="575921"/>
          <a:chOff x="5473700" y="7239991"/>
          <a:chExt cx="581583" cy="575922"/>
        </a:xfrm>
      </xdr:grpSpPr>
      <xdr:sp macro="" textlink="'Pivot Tables'!BH7">
        <xdr:nvSpPr>
          <xdr:cNvPr id="81" name="TextBox 80">
            <a:extLst>
              <a:ext uri="{FF2B5EF4-FFF2-40B4-BE49-F238E27FC236}">
                <a16:creationId xmlns:a16="http://schemas.microsoft.com/office/drawing/2014/main" id="{1E7F856F-B0E5-961B-ADB3-8C94BF621C8E}"/>
              </a:ext>
            </a:extLst>
          </xdr:cNvPr>
          <xdr:cNvSpPr txBox="1"/>
        </xdr:nvSpPr>
        <xdr:spPr>
          <a:xfrm>
            <a:off x="5474398" y="7239991"/>
            <a:ext cx="580186" cy="5759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FBBDE73-FB51-4C22-B1C8-C8C40C9FC83A}" type="TxLink">
              <a:rPr lang="en-US" sz="1600" b="0" i="0" u="none" strike="noStrike">
                <a:solidFill>
                  <a:srgbClr val="5A097C"/>
                </a:solidFill>
                <a:latin typeface="Calibri"/>
                <a:ea typeface="Calibri"/>
                <a:cs typeface="Calibri"/>
              </a:rPr>
              <a:pPr algn="ctr"/>
              <a:t> </a:t>
            </a:fld>
            <a:endParaRPr lang="en-IN" sz="1100"/>
          </a:p>
        </xdr:txBody>
      </xdr:sp>
      <xdr:sp macro="" textlink="'Pivot Tables'!BJ7">
        <xdr:nvSpPr>
          <xdr:cNvPr id="85" name="TextBox 84">
            <a:extLst>
              <a:ext uri="{FF2B5EF4-FFF2-40B4-BE49-F238E27FC236}">
                <a16:creationId xmlns:a16="http://schemas.microsoft.com/office/drawing/2014/main" id="{1FE63BEA-A877-7A37-5F73-8CB103940C49}"/>
              </a:ext>
            </a:extLst>
          </xdr:cNvPr>
          <xdr:cNvSpPr txBox="1"/>
        </xdr:nvSpPr>
        <xdr:spPr>
          <a:xfrm>
            <a:off x="5473700" y="7239991"/>
            <a:ext cx="581583" cy="5759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66AC088-9BA0-40CB-BA2B-AA582DC1539C}" type="TxLink">
              <a:rPr lang="en-US" sz="1600" b="0" i="0" u="none" strike="noStrike">
                <a:solidFill>
                  <a:srgbClr val="296EFC"/>
                </a:solidFill>
                <a:latin typeface="Calibri"/>
                <a:ea typeface="Calibri"/>
                <a:cs typeface="Calibri"/>
              </a:rPr>
              <a:pPr algn="ctr"/>
              <a:t>•</a:t>
            </a:fld>
            <a:endParaRPr lang="en-IN" sz="1100"/>
          </a:p>
        </xdr:txBody>
      </xdr:sp>
    </xdr:grpSp>
    <xdr:clientData/>
  </xdr:twoCellAnchor>
  <xdr:twoCellAnchor>
    <xdr:from>
      <xdr:col>21</xdr:col>
      <xdr:colOff>598841</xdr:colOff>
      <xdr:row>12</xdr:row>
      <xdr:rowOff>70402</xdr:rowOff>
    </xdr:from>
    <xdr:to>
      <xdr:col>22</xdr:col>
      <xdr:colOff>573205</xdr:colOff>
      <xdr:row>15</xdr:row>
      <xdr:rowOff>74823</xdr:rowOff>
    </xdr:to>
    <xdr:grpSp>
      <xdr:nvGrpSpPr>
        <xdr:cNvPr id="90" name="Group 89">
          <a:extLst>
            <a:ext uri="{FF2B5EF4-FFF2-40B4-BE49-F238E27FC236}">
              <a16:creationId xmlns:a16="http://schemas.microsoft.com/office/drawing/2014/main" id="{BC901C1B-EE1E-4840-BD4F-A447F7A15A15}"/>
            </a:ext>
          </a:extLst>
        </xdr:cNvPr>
        <xdr:cNvGrpSpPr/>
      </xdr:nvGrpSpPr>
      <xdr:grpSpPr>
        <a:xfrm>
          <a:off x="13400441" y="2356402"/>
          <a:ext cx="583964" cy="575921"/>
          <a:chOff x="5473700" y="7239991"/>
          <a:chExt cx="581583" cy="575922"/>
        </a:xfrm>
      </xdr:grpSpPr>
      <xdr:sp macro="" textlink="'Pivot Tables'!BH7">
        <xdr:nvSpPr>
          <xdr:cNvPr id="91" name="TextBox 90">
            <a:extLst>
              <a:ext uri="{FF2B5EF4-FFF2-40B4-BE49-F238E27FC236}">
                <a16:creationId xmlns:a16="http://schemas.microsoft.com/office/drawing/2014/main" id="{52DB21EE-E1E3-ED80-95DF-605D7F8307BA}"/>
              </a:ext>
            </a:extLst>
          </xdr:cNvPr>
          <xdr:cNvSpPr txBox="1"/>
        </xdr:nvSpPr>
        <xdr:spPr>
          <a:xfrm>
            <a:off x="5474398" y="7239991"/>
            <a:ext cx="580186" cy="5759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FBBDE73-FB51-4C22-B1C8-C8C40C9FC83A}" type="TxLink">
              <a:rPr lang="en-US" sz="1600" b="0" i="0" u="none" strike="noStrike">
                <a:solidFill>
                  <a:srgbClr val="5A097C"/>
                </a:solidFill>
                <a:latin typeface="Calibri"/>
                <a:ea typeface="Calibri"/>
                <a:cs typeface="Calibri"/>
              </a:rPr>
              <a:pPr algn="ctr"/>
              <a:t> </a:t>
            </a:fld>
            <a:endParaRPr lang="en-IN" sz="1100"/>
          </a:p>
        </xdr:txBody>
      </xdr:sp>
      <xdr:sp macro="" textlink="'Pivot Tables'!BJ7">
        <xdr:nvSpPr>
          <xdr:cNvPr id="93" name="TextBox 92">
            <a:extLst>
              <a:ext uri="{FF2B5EF4-FFF2-40B4-BE49-F238E27FC236}">
                <a16:creationId xmlns:a16="http://schemas.microsoft.com/office/drawing/2014/main" id="{8FE28AEF-CB11-49BF-146B-8944CE8CC5CA}"/>
              </a:ext>
            </a:extLst>
          </xdr:cNvPr>
          <xdr:cNvSpPr txBox="1"/>
        </xdr:nvSpPr>
        <xdr:spPr>
          <a:xfrm>
            <a:off x="5473700" y="7239991"/>
            <a:ext cx="581583" cy="5759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66AC088-9BA0-40CB-BA2B-AA582DC1539C}" type="TxLink">
              <a:rPr lang="en-US" sz="1600" b="0" i="0" u="none" strike="noStrike">
                <a:solidFill>
                  <a:srgbClr val="296EFC"/>
                </a:solidFill>
                <a:latin typeface="Calibri"/>
                <a:ea typeface="Calibri"/>
                <a:cs typeface="Calibri"/>
              </a:rPr>
              <a:pPr algn="ctr"/>
              <a:t>•</a:t>
            </a:fld>
            <a:endParaRPr lang="en-IN" sz="1100"/>
          </a:p>
        </xdr:txBody>
      </xdr:sp>
    </xdr:grpSp>
    <xdr:clientData/>
  </xdr:twoCellAnchor>
  <xdr:twoCellAnchor>
    <xdr:from>
      <xdr:col>21</xdr:col>
      <xdr:colOff>310777</xdr:colOff>
      <xdr:row>12</xdr:row>
      <xdr:rowOff>173250</xdr:rowOff>
    </xdr:from>
    <xdr:to>
      <xdr:col>22</xdr:col>
      <xdr:colOff>285141</xdr:colOff>
      <xdr:row>15</xdr:row>
      <xdr:rowOff>177671</xdr:rowOff>
    </xdr:to>
    <xdr:grpSp>
      <xdr:nvGrpSpPr>
        <xdr:cNvPr id="94" name="Group 93">
          <a:extLst>
            <a:ext uri="{FF2B5EF4-FFF2-40B4-BE49-F238E27FC236}">
              <a16:creationId xmlns:a16="http://schemas.microsoft.com/office/drawing/2014/main" id="{F9CB8759-26BE-4722-8306-6480A62C0080}"/>
            </a:ext>
          </a:extLst>
        </xdr:cNvPr>
        <xdr:cNvGrpSpPr/>
      </xdr:nvGrpSpPr>
      <xdr:grpSpPr>
        <a:xfrm>
          <a:off x="13112377" y="2459250"/>
          <a:ext cx="583964" cy="575921"/>
          <a:chOff x="5473700" y="7239991"/>
          <a:chExt cx="581583" cy="575922"/>
        </a:xfrm>
      </xdr:grpSpPr>
      <xdr:sp macro="" textlink="'Pivot Tables'!BH7">
        <xdr:nvSpPr>
          <xdr:cNvPr id="551" name="TextBox 550">
            <a:extLst>
              <a:ext uri="{FF2B5EF4-FFF2-40B4-BE49-F238E27FC236}">
                <a16:creationId xmlns:a16="http://schemas.microsoft.com/office/drawing/2014/main" id="{A6B22C8D-E0A5-B2C8-C196-8AAFB132AEC8}"/>
              </a:ext>
            </a:extLst>
          </xdr:cNvPr>
          <xdr:cNvSpPr txBox="1"/>
        </xdr:nvSpPr>
        <xdr:spPr>
          <a:xfrm>
            <a:off x="5474398" y="7239991"/>
            <a:ext cx="580186" cy="5759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FBBDE73-FB51-4C22-B1C8-C8C40C9FC83A}" type="TxLink">
              <a:rPr lang="en-US" sz="1600" b="0" i="0" u="none" strike="noStrike">
                <a:solidFill>
                  <a:srgbClr val="5A097C"/>
                </a:solidFill>
                <a:latin typeface="Calibri"/>
                <a:ea typeface="Calibri"/>
                <a:cs typeface="Calibri"/>
              </a:rPr>
              <a:pPr algn="ctr"/>
              <a:t> </a:t>
            </a:fld>
            <a:endParaRPr lang="en-IN" sz="1100"/>
          </a:p>
        </xdr:txBody>
      </xdr:sp>
      <xdr:sp macro="" textlink="'Pivot Tables'!BJ7">
        <xdr:nvSpPr>
          <xdr:cNvPr id="552" name="TextBox 551">
            <a:extLst>
              <a:ext uri="{FF2B5EF4-FFF2-40B4-BE49-F238E27FC236}">
                <a16:creationId xmlns:a16="http://schemas.microsoft.com/office/drawing/2014/main" id="{26309EB6-8F26-BBA4-2ADD-32AE6E26FDF4}"/>
              </a:ext>
            </a:extLst>
          </xdr:cNvPr>
          <xdr:cNvSpPr txBox="1"/>
        </xdr:nvSpPr>
        <xdr:spPr>
          <a:xfrm>
            <a:off x="5473700" y="7239991"/>
            <a:ext cx="581583" cy="5759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66AC088-9BA0-40CB-BA2B-AA582DC1539C}" type="TxLink">
              <a:rPr lang="en-US" sz="1600" b="0" i="0" u="none" strike="noStrike">
                <a:solidFill>
                  <a:srgbClr val="296EFC"/>
                </a:solidFill>
                <a:latin typeface="Calibri"/>
                <a:ea typeface="Calibri"/>
                <a:cs typeface="Calibri"/>
              </a:rPr>
              <a:pPr algn="ctr"/>
              <a:t>•</a:t>
            </a:fld>
            <a:endParaRPr lang="en-IN" sz="1100"/>
          </a:p>
        </xdr:txBody>
      </xdr:sp>
    </xdr:grpSp>
    <xdr:clientData/>
  </xdr:twoCellAnchor>
  <xdr:twoCellAnchor>
    <xdr:from>
      <xdr:col>21</xdr:col>
      <xdr:colOff>501717</xdr:colOff>
      <xdr:row>10</xdr:row>
      <xdr:rowOff>176996</xdr:rowOff>
    </xdr:from>
    <xdr:to>
      <xdr:col>22</xdr:col>
      <xdr:colOff>476081</xdr:colOff>
      <xdr:row>13</xdr:row>
      <xdr:rowOff>181417</xdr:rowOff>
    </xdr:to>
    <xdr:grpSp>
      <xdr:nvGrpSpPr>
        <xdr:cNvPr id="553" name="Group 552">
          <a:extLst>
            <a:ext uri="{FF2B5EF4-FFF2-40B4-BE49-F238E27FC236}">
              <a16:creationId xmlns:a16="http://schemas.microsoft.com/office/drawing/2014/main" id="{0B5A9D76-C616-4C2A-877D-0069971ABF1C}"/>
            </a:ext>
          </a:extLst>
        </xdr:cNvPr>
        <xdr:cNvGrpSpPr/>
      </xdr:nvGrpSpPr>
      <xdr:grpSpPr>
        <a:xfrm>
          <a:off x="13303317" y="2081996"/>
          <a:ext cx="583964" cy="575921"/>
          <a:chOff x="5473700" y="7239991"/>
          <a:chExt cx="581583" cy="575922"/>
        </a:xfrm>
      </xdr:grpSpPr>
      <xdr:sp macro="" textlink="'Pivot Tables'!BH7">
        <xdr:nvSpPr>
          <xdr:cNvPr id="554" name="TextBox 553">
            <a:extLst>
              <a:ext uri="{FF2B5EF4-FFF2-40B4-BE49-F238E27FC236}">
                <a16:creationId xmlns:a16="http://schemas.microsoft.com/office/drawing/2014/main" id="{542C9361-0BDB-F3A3-BA38-EDE2AE4E1007}"/>
              </a:ext>
            </a:extLst>
          </xdr:cNvPr>
          <xdr:cNvSpPr txBox="1"/>
        </xdr:nvSpPr>
        <xdr:spPr>
          <a:xfrm>
            <a:off x="5474398" y="7239991"/>
            <a:ext cx="580186" cy="5759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FBBDE73-FB51-4C22-B1C8-C8C40C9FC83A}" type="TxLink">
              <a:rPr lang="en-US" sz="1600" b="0" i="0" u="none" strike="noStrike">
                <a:solidFill>
                  <a:srgbClr val="5A097C"/>
                </a:solidFill>
                <a:latin typeface="Calibri"/>
                <a:ea typeface="Calibri"/>
                <a:cs typeface="Calibri"/>
              </a:rPr>
              <a:pPr algn="ctr"/>
              <a:t> </a:t>
            </a:fld>
            <a:endParaRPr lang="en-IN" sz="1100"/>
          </a:p>
        </xdr:txBody>
      </xdr:sp>
      <xdr:sp macro="" textlink="'Pivot Tables'!BJ7">
        <xdr:nvSpPr>
          <xdr:cNvPr id="555" name="TextBox 554">
            <a:extLst>
              <a:ext uri="{FF2B5EF4-FFF2-40B4-BE49-F238E27FC236}">
                <a16:creationId xmlns:a16="http://schemas.microsoft.com/office/drawing/2014/main" id="{93393FF4-1E69-36BA-F1BA-5F1DC56F19EF}"/>
              </a:ext>
            </a:extLst>
          </xdr:cNvPr>
          <xdr:cNvSpPr txBox="1"/>
        </xdr:nvSpPr>
        <xdr:spPr>
          <a:xfrm>
            <a:off x="5473700" y="7239991"/>
            <a:ext cx="581583" cy="5759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66AC088-9BA0-40CB-BA2B-AA582DC1539C}" type="TxLink">
              <a:rPr lang="en-US" sz="1600" b="0" i="0" u="none" strike="noStrike">
                <a:solidFill>
                  <a:srgbClr val="296EFC"/>
                </a:solidFill>
                <a:latin typeface="Calibri"/>
                <a:ea typeface="Calibri"/>
                <a:cs typeface="Calibri"/>
              </a:rPr>
              <a:pPr algn="ctr"/>
              <a:t>•</a:t>
            </a:fld>
            <a:endParaRPr lang="en-IN" sz="1100"/>
          </a:p>
        </xdr:txBody>
      </xdr:sp>
    </xdr:grpSp>
    <xdr:clientData/>
  </xdr:twoCellAnchor>
  <xdr:twoCellAnchor>
    <xdr:from>
      <xdr:col>22</xdr:col>
      <xdr:colOff>81517</xdr:colOff>
      <xdr:row>13</xdr:row>
      <xdr:rowOff>70626</xdr:rowOff>
    </xdr:from>
    <xdr:to>
      <xdr:col>23</xdr:col>
      <xdr:colOff>55882</xdr:colOff>
      <xdr:row>16</xdr:row>
      <xdr:rowOff>75047</xdr:rowOff>
    </xdr:to>
    <xdr:grpSp>
      <xdr:nvGrpSpPr>
        <xdr:cNvPr id="556" name="Group 555">
          <a:extLst>
            <a:ext uri="{FF2B5EF4-FFF2-40B4-BE49-F238E27FC236}">
              <a16:creationId xmlns:a16="http://schemas.microsoft.com/office/drawing/2014/main" id="{BEF7115D-FF3E-4A96-B669-F40B9A01C2A2}"/>
            </a:ext>
          </a:extLst>
        </xdr:cNvPr>
        <xdr:cNvGrpSpPr/>
      </xdr:nvGrpSpPr>
      <xdr:grpSpPr>
        <a:xfrm>
          <a:off x="13492717" y="2547126"/>
          <a:ext cx="583965" cy="575921"/>
          <a:chOff x="5473700" y="7239991"/>
          <a:chExt cx="581583" cy="575922"/>
        </a:xfrm>
      </xdr:grpSpPr>
      <xdr:sp macro="" textlink="'Pivot Tables'!BH7">
        <xdr:nvSpPr>
          <xdr:cNvPr id="557" name="TextBox 556">
            <a:extLst>
              <a:ext uri="{FF2B5EF4-FFF2-40B4-BE49-F238E27FC236}">
                <a16:creationId xmlns:a16="http://schemas.microsoft.com/office/drawing/2014/main" id="{E8D7B75A-8435-2386-F056-45C6D0A814EB}"/>
              </a:ext>
            </a:extLst>
          </xdr:cNvPr>
          <xdr:cNvSpPr txBox="1"/>
        </xdr:nvSpPr>
        <xdr:spPr>
          <a:xfrm>
            <a:off x="5474398" y="7239991"/>
            <a:ext cx="580186" cy="5759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FBBDE73-FB51-4C22-B1C8-C8C40C9FC83A}" type="TxLink">
              <a:rPr lang="en-US" sz="1600" b="0" i="0" u="none" strike="noStrike">
                <a:solidFill>
                  <a:srgbClr val="5A097C"/>
                </a:solidFill>
                <a:latin typeface="Calibri"/>
                <a:ea typeface="Calibri"/>
                <a:cs typeface="Calibri"/>
              </a:rPr>
              <a:pPr algn="ctr"/>
              <a:t> </a:t>
            </a:fld>
            <a:endParaRPr lang="en-IN" sz="1100"/>
          </a:p>
        </xdr:txBody>
      </xdr:sp>
      <xdr:sp macro="" textlink="'Pivot Tables'!BJ7">
        <xdr:nvSpPr>
          <xdr:cNvPr id="558" name="TextBox 557">
            <a:extLst>
              <a:ext uri="{FF2B5EF4-FFF2-40B4-BE49-F238E27FC236}">
                <a16:creationId xmlns:a16="http://schemas.microsoft.com/office/drawing/2014/main" id="{4D9C98CE-DB1F-6A21-47E5-5110FE7E0232}"/>
              </a:ext>
            </a:extLst>
          </xdr:cNvPr>
          <xdr:cNvSpPr txBox="1"/>
        </xdr:nvSpPr>
        <xdr:spPr>
          <a:xfrm>
            <a:off x="5473700" y="7239991"/>
            <a:ext cx="581583" cy="5759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66AC088-9BA0-40CB-BA2B-AA582DC1539C}" type="TxLink">
              <a:rPr lang="en-US" sz="1600" b="0" i="0" u="none" strike="noStrike">
                <a:solidFill>
                  <a:srgbClr val="296EFC"/>
                </a:solidFill>
                <a:latin typeface="Calibri"/>
                <a:ea typeface="Calibri"/>
                <a:cs typeface="Calibri"/>
              </a:rPr>
              <a:pPr algn="ctr"/>
              <a:t>•</a:t>
            </a:fld>
            <a:endParaRPr lang="en-IN" sz="1100"/>
          </a:p>
        </xdr:txBody>
      </xdr:sp>
    </xdr:grpSp>
    <xdr:clientData/>
  </xdr:twoCellAnchor>
  <xdr:twoCellAnchor>
    <xdr:from>
      <xdr:col>22</xdr:col>
      <xdr:colOff>272458</xdr:colOff>
      <xdr:row>12</xdr:row>
      <xdr:rowOff>167967</xdr:rowOff>
    </xdr:from>
    <xdr:to>
      <xdr:col>23</xdr:col>
      <xdr:colOff>246823</xdr:colOff>
      <xdr:row>15</xdr:row>
      <xdr:rowOff>172388</xdr:rowOff>
    </xdr:to>
    <xdr:grpSp>
      <xdr:nvGrpSpPr>
        <xdr:cNvPr id="559" name="Group 558">
          <a:extLst>
            <a:ext uri="{FF2B5EF4-FFF2-40B4-BE49-F238E27FC236}">
              <a16:creationId xmlns:a16="http://schemas.microsoft.com/office/drawing/2014/main" id="{07A61779-2EF8-45B7-896E-732C7E96025F}"/>
            </a:ext>
          </a:extLst>
        </xdr:cNvPr>
        <xdr:cNvGrpSpPr/>
      </xdr:nvGrpSpPr>
      <xdr:grpSpPr>
        <a:xfrm>
          <a:off x="13683658" y="2453967"/>
          <a:ext cx="583965" cy="575921"/>
          <a:chOff x="5473700" y="7239991"/>
          <a:chExt cx="581583" cy="575922"/>
        </a:xfrm>
      </xdr:grpSpPr>
      <xdr:sp macro="" textlink="'Pivot Tables'!BH7">
        <xdr:nvSpPr>
          <xdr:cNvPr id="560" name="TextBox 559">
            <a:extLst>
              <a:ext uri="{FF2B5EF4-FFF2-40B4-BE49-F238E27FC236}">
                <a16:creationId xmlns:a16="http://schemas.microsoft.com/office/drawing/2014/main" id="{729E5EA1-68A6-592E-00B1-77363A506BAA}"/>
              </a:ext>
            </a:extLst>
          </xdr:cNvPr>
          <xdr:cNvSpPr txBox="1"/>
        </xdr:nvSpPr>
        <xdr:spPr>
          <a:xfrm>
            <a:off x="5474398" y="7239991"/>
            <a:ext cx="580186" cy="5759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FBBDE73-FB51-4C22-B1C8-C8C40C9FC83A}" type="TxLink">
              <a:rPr lang="en-US" sz="1600" b="0" i="0" u="none" strike="noStrike">
                <a:solidFill>
                  <a:srgbClr val="5A097C"/>
                </a:solidFill>
                <a:latin typeface="Calibri"/>
                <a:ea typeface="Calibri"/>
                <a:cs typeface="Calibri"/>
              </a:rPr>
              <a:pPr algn="ctr"/>
              <a:t> </a:t>
            </a:fld>
            <a:endParaRPr lang="en-IN" sz="1100"/>
          </a:p>
        </xdr:txBody>
      </xdr:sp>
      <xdr:sp macro="" textlink="'Pivot Tables'!BJ7">
        <xdr:nvSpPr>
          <xdr:cNvPr id="561" name="TextBox 560">
            <a:extLst>
              <a:ext uri="{FF2B5EF4-FFF2-40B4-BE49-F238E27FC236}">
                <a16:creationId xmlns:a16="http://schemas.microsoft.com/office/drawing/2014/main" id="{A44A8B7C-D2C9-36FE-2CCA-67E7D9D11136}"/>
              </a:ext>
            </a:extLst>
          </xdr:cNvPr>
          <xdr:cNvSpPr txBox="1"/>
        </xdr:nvSpPr>
        <xdr:spPr>
          <a:xfrm>
            <a:off x="5473700" y="7239991"/>
            <a:ext cx="581583" cy="5759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66AC088-9BA0-40CB-BA2B-AA582DC1539C}" type="TxLink">
              <a:rPr lang="en-US" sz="1600" b="0" i="0" u="none" strike="noStrike">
                <a:solidFill>
                  <a:srgbClr val="296EFC"/>
                </a:solidFill>
                <a:latin typeface="Calibri"/>
                <a:ea typeface="Calibri"/>
                <a:cs typeface="Calibri"/>
              </a:rPr>
              <a:pPr algn="ctr"/>
              <a:t>•</a:t>
            </a:fld>
            <a:endParaRPr lang="en-IN" sz="1100"/>
          </a:p>
        </xdr:txBody>
      </xdr:sp>
    </xdr:grpSp>
    <xdr:clientData/>
  </xdr:twoCellAnchor>
  <xdr:twoCellAnchor>
    <xdr:from>
      <xdr:col>23</xdr:col>
      <xdr:colOff>41216</xdr:colOff>
      <xdr:row>12</xdr:row>
      <xdr:rowOff>165055</xdr:rowOff>
    </xdr:from>
    <xdr:to>
      <xdr:col>24</xdr:col>
      <xdr:colOff>15580</xdr:colOff>
      <xdr:row>15</xdr:row>
      <xdr:rowOff>175301</xdr:rowOff>
    </xdr:to>
    <xdr:grpSp>
      <xdr:nvGrpSpPr>
        <xdr:cNvPr id="562" name="Group 561">
          <a:extLst>
            <a:ext uri="{FF2B5EF4-FFF2-40B4-BE49-F238E27FC236}">
              <a16:creationId xmlns:a16="http://schemas.microsoft.com/office/drawing/2014/main" id="{A944FAAC-9E04-9060-5B5E-5007D7392298}"/>
            </a:ext>
          </a:extLst>
        </xdr:cNvPr>
        <xdr:cNvGrpSpPr/>
      </xdr:nvGrpSpPr>
      <xdr:grpSpPr>
        <a:xfrm>
          <a:off x="14062016" y="2451055"/>
          <a:ext cx="583964" cy="581746"/>
          <a:chOff x="5473700" y="7239991"/>
          <a:chExt cx="581583" cy="575922"/>
        </a:xfrm>
      </xdr:grpSpPr>
      <xdr:sp macro="" textlink="'Pivot Tables'!BH7">
        <xdr:nvSpPr>
          <xdr:cNvPr id="563" name="TextBox 562">
            <a:extLst>
              <a:ext uri="{FF2B5EF4-FFF2-40B4-BE49-F238E27FC236}">
                <a16:creationId xmlns:a16="http://schemas.microsoft.com/office/drawing/2014/main" id="{7DF03DFC-F9A1-01C0-06F0-9F2DA8208903}"/>
              </a:ext>
            </a:extLst>
          </xdr:cNvPr>
          <xdr:cNvSpPr txBox="1"/>
        </xdr:nvSpPr>
        <xdr:spPr>
          <a:xfrm>
            <a:off x="5474398" y="7239991"/>
            <a:ext cx="580186" cy="5759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FBBDE73-FB51-4C22-B1C8-C8C40C9FC83A}" type="TxLink">
              <a:rPr lang="en-US" sz="1600" b="0" i="0" u="none" strike="noStrike">
                <a:solidFill>
                  <a:srgbClr val="5A097C"/>
                </a:solidFill>
                <a:latin typeface="Calibri"/>
                <a:ea typeface="Calibri"/>
                <a:cs typeface="Calibri"/>
              </a:rPr>
              <a:pPr algn="ctr"/>
              <a:t> </a:t>
            </a:fld>
            <a:endParaRPr lang="en-IN" sz="1100"/>
          </a:p>
        </xdr:txBody>
      </xdr:sp>
      <xdr:sp macro="" textlink="'Pivot Tables'!BJ7">
        <xdr:nvSpPr>
          <xdr:cNvPr id="564" name="TextBox 563">
            <a:extLst>
              <a:ext uri="{FF2B5EF4-FFF2-40B4-BE49-F238E27FC236}">
                <a16:creationId xmlns:a16="http://schemas.microsoft.com/office/drawing/2014/main" id="{87072059-2994-1624-611C-62C46501D627}"/>
              </a:ext>
            </a:extLst>
          </xdr:cNvPr>
          <xdr:cNvSpPr txBox="1"/>
        </xdr:nvSpPr>
        <xdr:spPr>
          <a:xfrm>
            <a:off x="5473700" y="7239991"/>
            <a:ext cx="581583" cy="5759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66AC088-9BA0-40CB-BA2B-AA582DC1539C}" type="TxLink">
              <a:rPr lang="en-US" sz="1600" b="0" i="0" u="none" strike="noStrike">
                <a:solidFill>
                  <a:srgbClr val="296EFC"/>
                </a:solidFill>
                <a:latin typeface="Calibri"/>
                <a:ea typeface="Calibri"/>
                <a:cs typeface="Calibri"/>
              </a:rPr>
              <a:pPr algn="ctr"/>
              <a:t>•</a:t>
            </a:fld>
            <a:endParaRPr lang="en-IN" sz="1100"/>
          </a:p>
        </xdr:txBody>
      </xdr:sp>
    </xdr:grpSp>
    <xdr:clientData/>
  </xdr:twoCellAnchor>
  <xdr:twoCellAnchor>
    <xdr:from>
      <xdr:col>18</xdr:col>
      <xdr:colOff>144824</xdr:colOff>
      <xdr:row>11</xdr:row>
      <xdr:rowOff>168069</xdr:rowOff>
    </xdr:from>
    <xdr:to>
      <xdr:col>19</xdr:col>
      <xdr:colOff>118271</xdr:colOff>
      <xdr:row>14</xdr:row>
      <xdr:rowOff>172492</xdr:rowOff>
    </xdr:to>
    <xdr:grpSp>
      <xdr:nvGrpSpPr>
        <xdr:cNvPr id="412" name="Group 411">
          <a:extLst>
            <a:ext uri="{FF2B5EF4-FFF2-40B4-BE49-F238E27FC236}">
              <a16:creationId xmlns:a16="http://schemas.microsoft.com/office/drawing/2014/main" id="{C7B7D8DE-941E-CE39-4F92-59EDB5D9D11F}"/>
            </a:ext>
          </a:extLst>
        </xdr:cNvPr>
        <xdr:cNvGrpSpPr/>
      </xdr:nvGrpSpPr>
      <xdr:grpSpPr>
        <a:xfrm>
          <a:off x="11117624" y="2263569"/>
          <a:ext cx="583047" cy="575923"/>
          <a:chOff x="5492265" y="6960816"/>
          <a:chExt cx="586361" cy="575922"/>
        </a:xfrm>
      </xdr:grpSpPr>
      <xdr:sp macro="" textlink="'Pivot Tables'!BG8">
        <xdr:nvSpPr>
          <xdr:cNvPr id="565" name="TextBox 564">
            <a:extLst>
              <a:ext uri="{FF2B5EF4-FFF2-40B4-BE49-F238E27FC236}">
                <a16:creationId xmlns:a16="http://schemas.microsoft.com/office/drawing/2014/main" id="{39348314-8323-4E89-A858-E02EBB4128CD}"/>
              </a:ext>
            </a:extLst>
          </xdr:cNvPr>
          <xdr:cNvSpPr txBox="1"/>
        </xdr:nvSpPr>
        <xdr:spPr>
          <a:xfrm>
            <a:off x="5492963" y="6960816"/>
            <a:ext cx="584965" cy="5759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DE5643F-0578-45FE-902E-6F839C1827CB}" type="TxLink">
              <a:rPr lang="en-US" sz="1600" b="0" i="0" u="none" strike="noStrike">
                <a:solidFill>
                  <a:srgbClr val="C240DB"/>
                </a:solidFill>
                <a:latin typeface="Calibri"/>
                <a:ea typeface="Calibri"/>
                <a:cs typeface="Calibri"/>
              </a:rPr>
              <a:pPr algn="ctr"/>
              <a:t> </a:t>
            </a:fld>
            <a:endParaRPr lang="en-IN" sz="1100"/>
          </a:p>
        </xdr:txBody>
      </xdr:sp>
      <xdr:sp macro="" textlink="'Pivot Tables'!BI8">
        <xdr:nvSpPr>
          <xdr:cNvPr id="566" name="TextBox 565">
            <a:extLst>
              <a:ext uri="{FF2B5EF4-FFF2-40B4-BE49-F238E27FC236}">
                <a16:creationId xmlns:a16="http://schemas.microsoft.com/office/drawing/2014/main" id="{7B52776B-3F52-421B-B225-43DE149B4DFC}"/>
              </a:ext>
            </a:extLst>
          </xdr:cNvPr>
          <xdr:cNvSpPr txBox="1"/>
        </xdr:nvSpPr>
        <xdr:spPr>
          <a:xfrm>
            <a:off x="5492265" y="6960816"/>
            <a:ext cx="586361" cy="5759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2626F72-D825-4A3A-860F-8CDDF0CE28F7}" type="TxLink">
              <a:rPr lang="en-US" sz="1600" b="0" i="0" u="none" strike="noStrike">
                <a:solidFill>
                  <a:srgbClr val="0F11A7"/>
                </a:solidFill>
                <a:latin typeface="Calibri"/>
                <a:ea typeface="Calibri"/>
                <a:cs typeface="Calibri"/>
              </a:rPr>
              <a:pPr algn="ctr"/>
              <a:t>•</a:t>
            </a:fld>
            <a:endParaRPr lang="en-IN" sz="1100"/>
          </a:p>
        </xdr:txBody>
      </xdr:sp>
    </xdr:grpSp>
    <xdr:clientData/>
  </xdr:twoCellAnchor>
  <xdr:twoCellAnchor>
    <xdr:from>
      <xdr:col>18</xdr:col>
      <xdr:colOff>53501</xdr:colOff>
      <xdr:row>12</xdr:row>
      <xdr:rowOff>73442</xdr:rowOff>
    </xdr:from>
    <xdr:to>
      <xdr:col>19</xdr:col>
      <xdr:colOff>26948</xdr:colOff>
      <xdr:row>15</xdr:row>
      <xdr:rowOff>77864</xdr:rowOff>
    </xdr:to>
    <xdr:grpSp>
      <xdr:nvGrpSpPr>
        <xdr:cNvPr id="411" name="Group 410">
          <a:extLst>
            <a:ext uri="{FF2B5EF4-FFF2-40B4-BE49-F238E27FC236}">
              <a16:creationId xmlns:a16="http://schemas.microsoft.com/office/drawing/2014/main" id="{2B7DB556-8582-8A52-9CD3-3C9DD364B88B}"/>
            </a:ext>
          </a:extLst>
        </xdr:cNvPr>
        <xdr:cNvGrpSpPr/>
      </xdr:nvGrpSpPr>
      <xdr:grpSpPr>
        <a:xfrm>
          <a:off x="11026301" y="2359442"/>
          <a:ext cx="583047" cy="575922"/>
          <a:chOff x="5471481" y="7550899"/>
          <a:chExt cx="586361" cy="575922"/>
        </a:xfrm>
      </xdr:grpSpPr>
      <xdr:sp macro="" textlink="'Pivot Tables'!BH8">
        <xdr:nvSpPr>
          <xdr:cNvPr id="567" name="TextBox 566">
            <a:extLst>
              <a:ext uri="{FF2B5EF4-FFF2-40B4-BE49-F238E27FC236}">
                <a16:creationId xmlns:a16="http://schemas.microsoft.com/office/drawing/2014/main" id="{D381A0B8-5927-4C4F-8FC6-2F9128DDA034}"/>
              </a:ext>
            </a:extLst>
          </xdr:cNvPr>
          <xdr:cNvSpPr txBox="1"/>
        </xdr:nvSpPr>
        <xdr:spPr>
          <a:xfrm>
            <a:off x="5472179" y="7550899"/>
            <a:ext cx="584965" cy="5759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AA5ACC0-8E5B-479B-B6DA-31918F57EB1F}" type="TxLink">
              <a:rPr lang="en-US" sz="1600" b="0" i="0" u="none" strike="noStrike">
                <a:solidFill>
                  <a:srgbClr val="5A097C"/>
                </a:solidFill>
                <a:latin typeface="Calibri"/>
                <a:ea typeface="Calibri"/>
                <a:cs typeface="Calibri"/>
              </a:rPr>
              <a:pPr algn="ctr"/>
              <a:t> </a:t>
            </a:fld>
            <a:endParaRPr lang="en-IN" sz="1100"/>
          </a:p>
        </xdr:txBody>
      </xdr:sp>
      <xdr:sp macro="" textlink="'Pivot Tables'!BJ8">
        <xdr:nvSpPr>
          <xdr:cNvPr id="568" name="TextBox 567">
            <a:extLst>
              <a:ext uri="{FF2B5EF4-FFF2-40B4-BE49-F238E27FC236}">
                <a16:creationId xmlns:a16="http://schemas.microsoft.com/office/drawing/2014/main" id="{DBF28AF3-78BC-4D60-90B2-C6F6234091FF}"/>
              </a:ext>
            </a:extLst>
          </xdr:cNvPr>
          <xdr:cNvSpPr txBox="1"/>
        </xdr:nvSpPr>
        <xdr:spPr>
          <a:xfrm>
            <a:off x="5471481" y="7550899"/>
            <a:ext cx="586361" cy="5759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A0C1EF8-AB72-4D43-B4EA-8FEE04B7C328}" type="TxLink">
              <a:rPr lang="en-US" sz="1600" b="0" i="0" u="none" strike="noStrike">
                <a:solidFill>
                  <a:srgbClr val="296EFC"/>
                </a:solidFill>
                <a:latin typeface="Calibri"/>
                <a:ea typeface="Calibri"/>
                <a:cs typeface="Calibri"/>
              </a:rPr>
              <a:pPr algn="ctr"/>
              <a:t>•</a:t>
            </a:fld>
            <a:endParaRPr lang="en-IN" sz="1100"/>
          </a:p>
        </xdr:txBody>
      </xdr:sp>
    </xdr:grpSp>
    <xdr:clientData/>
  </xdr:twoCellAnchor>
  <xdr:twoCellAnchor>
    <xdr:from>
      <xdr:col>13</xdr:col>
      <xdr:colOff>160163</xdr:colOff>
      <xdr:row>27</xdr:row>
      <xdr:rowOff>47727</xdr:rowOff>
    </xdr:from>
    <xdr:to>
      <xdr:col>14</xdr:col>
      <xdr:colOff>133612</xdr:colOff>
      <xdr:row>30</xdr:row>
      <xdr:rowOff>52149</xdr:rowOff>
    </xdr:to>
    <xdr:grpSp>
      <xdr:nvGrpSpPr>
        <xdr:cNvPr id="571" name="Group 570">
          <a:extLst>
            <a:ext uri="{FF2B5EF4-FFF2-40B4-BE49-F238E27FC236}">
              <a16:creationId xmlns:a16="http://schemas.microsoft.com/office/drawing/2014/main" id="{98E9820D-D97C-438D-ACF7-9C919824AEBF}"/>
            </a:ext>
          </a:extLst>
        </xdr:cNvPr>
        <xdr:cNvGrpSpPr/>
      </xdr:nvGrpSpPr>
      <xdr:grpSpPr>
        <a:xfrm>
          <a:off x="8084963" y="5191227"/>
          <a:ext cx="583049" cy="575922"/>
          <a:chOff x="5500993" y="5725978"/>
          <a:chExt cx="584590" cy="582529"/>
        </a:xfrm>
      </xdr:grpSpPr>
      <xdr:sp macro="" textlink="'Pivot Tables'!BG10">
        <xdr:nvSpPr>
          <xdr:cNvPr id="572" name="TextBox 571">
            <a:extLst>
              <a:ext uri="{FF2B5EF4-FFF2-40B4-BE49-F238E27FC236}">
                <a16:creationId xmlns:a16="http://schemas.microsoft.com/office/drawing/2014/main" id="{898755C3-D158-B17F-FB35-EE2361B8F230}"/>
              </a:ext>
            </a:extLst>
          </xdr:cNvPr>
          <xdr:cNvSpPr txBox="1"/>
        </xdr:nvSpPr>
        <xdr:spPr>
          <a:xfrm>
            <a:off x="5501692" y="5725978"/>
            <a:ext cx="583193" cy="5825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EBA58C4-DFA6-4024-8421-14965DAB029E}" type="TxLink">
              <a:rPr lang="en-US" sz="1600" b="0" i="0" u="none" strike="noStrike">
                <a:solidFill>
                  <a:srgbClr val="C240DB"/>
                </a:solidFill>
                <a:latin typeface="Calibri"/>
                <a:ea typeface="Calibri"/>
                <a:cs typeface="Calibri"/>
              </a:rPr>
              <a:pPr algn="ctr"/>
              <a:t> </a:t>
            </a:fld>
            <a:endParaRPr lang="en-IN" sz="1100"/>
          </a:p>
        </xdr:txBody>
      </xdr:sp>
      <xdr:sp macro="" textlink="'Pivot Tables'!BI10">
        <xdr:nvSpPr>
          <xdr:cNvPr id="573" name="TextBox 572">
            <a:extLst>
              <a:ext uri="{FF2B5EF4-FFF2-40B4-BE49-F238E27FC236}">
                <a16:creationId xmlns:a16="http://schemas.microsoft.com/office/drawing/2014/main" id="{3CE5F6E1-023B-BFDA-D086-B83760165677}"/>
              </a:ext>
            </a:extLst>
          </xdr:cNvPr>
          <xdr:cNvSpPr txBox="1"/>
        </xdr:nvSpPr>
        <xdr:spPr>
          <a:xfrm>
            <a:off x="5500993" y="5725978"/>
            <a:ext cx="584590" cy="5825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5A83A3F-58AC-46C1-B809-333ABDD962E0}" type="TxLink">
              <a:rPr lang="en-US" sz="1600" b="0" i="0" u="none" strike="noStrike">
                <a:solidFill>
                  <a:srgbClr val="0F11A7"/>
                </a:solidFill>
                <a:latin typeface="Calibri"/>
                <a:ea typeface="Calibri"/>
                <a:cs typeface="Calibri"/>
              </a:rPr>
              <a:pPr algn="ctr"/>
              <a:t>•</a:t>
            </a:fld>
            <a:endParaRPr lang="en-IN" sz="1100"/>
          </a:p>
        </xdr:txBody>
      </xdr:sp>
    </xdr:grpSp>
    <xdr:clientData/>
  </xdr:twoCellAnchor>
  <xdr:twoCellAnchor>
    <xdr:from>
      <xdr:col>12</xdr:col>
      <xdr:colOff>486052</xdr:colOff>
      <xdr:row>27</xdr:row>
      <xdr:rowOff>47046</xdr:rowOff>
    </xdr:from>
    <xdr:to>
      <xdr:col>13</xdr:col>
      <xdr:colOff>459502</xdr:colOff>
      <xdr:row>30</xdr:row>
      <xdr:rowOff>51468</xdr:rowOff>
    </xdr:to>
    <xdr:grpSp>
      <xdr:nvGrpSpPr>
        <xdr:cNvPr id="574" name="Group 573">
          <a:extLst>
            <a:ext uri="{FF2B5EF4-FFF2-40B4-BE49-F238E27FC236}">
              <a16:creationId xmlns:a16="http://schemas.microsoft.com/office/drawing/2014/main" id="{DDA73197-6CF8-4E7F-A7AC-B9F2B73932FC}"/>
            </a:ext>
          </a:extLst>
        </xdr:cNvPr>
        <xdr:cNvGrpSpPr/>
      </xdr:nvGrpSpPr>
      <xdr:grpSpPr>
        <a:xfrm>
          <a:off x="7801252" y="5190546"/>
          <a:ext cx="583050" cy="575922"/>
          <a:chOff x="5500993" y="5725978"/>
          <a:chExt cx="584590" cy="582529"/>
        </a:xfrm>
      </xdr:grpSpPr>
      <xdr:sp macro="" textlink="'Pivot Tables'!BG10">
        <xdr:nvSpPr>
          <xdr:cNvPr id="575" name="TextBox 574">
            <a:extLst>
              <a:ext uri="{FF2B5EF4-FFF2-40B4-BE49-F238E27FC236}">
                <a16:creationId xmlns:a16="http://schemas.microsoft.com/office/drawing/2014/main" id="{AEB714D6-8CCA-389D-7268-93321C6AB368}"/>
              </a:ext>
            </a:extLst>
          </xdr:cNvPr>
          <xdr:cNvSpPr txBox="1"/>
        </xdr:nvSpPr>
        <xdr:spPr>
          <a:xfrm>
            <a:off x="5501692" y="5725978"/>
            <a:ext cx="583193" cy="5825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EBA58C4-DFA6-4024-8421-14965DAB029E}" type="TxLink">
              <a:rPr lang="en-US" sz="1600" b="0" i="0" u="none" strike="noStrike">
                <a:solidFill>
                  <a:srgbClr val="C240DB"/>
                </a:solidFill>
                <a:latin typeface="Calibri"/>
                <a:ea typeface="Calibri"/>
                <a:cs typeface="Calibri"/>
              </a:rPr>
              <a:pPr algn="ctr"/>
              <a:t> </a:t>
            </a:fld>
            <a:endParaRPr lang="en-IN" sz="1100"/>
          </a:p>
        </xdr:txBody>
      </xdr:sp>
      <xdr:sp macro="" textlink="'Pivot Tables'!BI10">
        <xdr:nvSpPr>
          <xdr:cNvPr id="157" name="TextBox 156">
            <a:extLst>
              <a:ext uri="{FF2B5EF4-FFF2-40B4-BE49-F238E27FC236}">
                <a16:creationId xmlns:a16="http://schemas.microsoft.com/office/drawing/2014/main" id="{B3FD9894-09D4-E074-37B3-2A5B76E54C7D}"/>
              </a:ext>
            </a:extLst>
          </xdr:cNvPr>
          <xdr:cNvSpPr txBox="1"/>
        </xdr:nvSpPr>
        <xdr:spPr>
          <a:xfrm>
            <a:off x="5500993" y="5725978"/>
            <a:ext cx="584590" cy="5825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5A83A3F-58AC-46C1-B809-333ABDD962E0}" type="TxLink">
              <a:rPr lang="en-US" sz="1600" b="0" i="0" u="none" strike="noStrike">
                <a:solidFill>
                  <a:srgbClr val="0F11A7"/>
                </a:solidFill>
                <a:latin typeface="Calibri"/>
                <a:ea typeface="Calibri"/>
                <a:cs typeface="Calibri"/>
              </a:rPr>
              <a:pPr algn="ctr"/>
              <a:t>•</a:t>
            </a:fld>
            <a:endParaRPr lang="en-IN" sz="1100"/>
          </a:p>
        </xdr:txBody>
      </xdr:sp>
    </xdr:grpSp>
    <xdr:clientData/>
  </xdr:twoCellAnchor>
  <xdr:twoCellAnchor>
    <xdr:from>
      <xdr:col>12</xdr:col>
      <xdr:colOff>581303</xdr:colOff>
      <xdr:row>28</xdr:row>
      <xdr:rowOff>47046</xdr:rowOff>
    </xdr:from>
    <xdr:to>
      <xdr:col>13</xdr:col>
      <xdr:colOff>554753</xdr:colOff>
      <xdr:row>31</xdr:row>
      <xdr:rowOff>51468</xdr:rowOff>
    </xdr:to>
    <xdr:grpSp>
      <xdr:nvGrpSpPr>
        <xdr:cNvPr id="158" name="Group 157">
          <a:extLst>
            <a:ext uri="{FF2B5EF4-FFF2-40B4-BE49-F238E27FC236}">
              <a16:creationId xmlns:a16="http://schemas.microsoft.com/office/drawing/2014/main" id="{7BD4EE86-0558-52BD-5B45-4D815570E863}"/>
            </a:ext>
          </a:extLst>
        </xdr:cNvPr>
        <xdr:cNvGrpSpPr/>
      </xdr:nvGrpSpPr>
      <xdr:grpSpPr>
        <a:xfrm>
          <a:off x="7896503" y="5381046"/>
          <a:ext cx="583050" cy="575922"/>
          <a:chOff x="5500993" y="5725978"/>
          <a:chExt cx="584590" cy="582529"/>
        </a:xfrm>
      </xdr:grpSpPr>
      <xdr:sp macro="" textlink="'Pivot Tables'!BG10">
        <xdr:nvSpPr>
          <xdr:cNvPr id="159" name="TextBox 158">
            <a:extLst>
              <a:ext uri="{FF2B5EF4-FFF2-40B4-BE49-F238E27FC236}">
                <a16:creationId xmlns:a16="http://schemas.microsoft.com/office/drawing/2014/main" id="{A837CB53-1B0F-E586-B13E-D0422119362D}"/>
              </a:ext>
            </a:extLst>
          </xdr:cNvPr>
          <xdr:cNvSpPr txBox="1"/>
        </xdr:nvSpPr>
        <xdr:spPr>
          <a:xfrm>
            <a:off x="5501692" y="5725978"/>
            <a:ext cx="583193" cy="5825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EBA58C4-DFA6-4024-8421-14965DAB029E}" type="TxLink">
              <a:rPr lang="en-US" sz="1600" b="0" i="0" u="none" strike="noStrike">
                <a:solidFill>
                  <a:srgbClr val="C240DB"/>
                </a:solidFill>
                <a:latin typeface="Calibri"/>
                <a:ea typeface="Calibri"/>
                <a:cs typeface="Calibri"/>
              </a:rPr>
              <a:pPr algn="ctr"/>
              <a:t> </a:t>
            </a:fld>
            <a:endParaRPr lang="en-IN" sz="1100"/>
          </a:p>
        </xdr:txBody>
      </xdr:sp>
      <xdr:sp macro="" textlink="'Pivot Tables'!BI10">
        <xdr:nvSpPr>
          <xdr:cNvPr id="160" name="TextBox 159">
            <a:extLst>
              <a:ext uri="{FF2B5EF4-FFF2-40B4-BE49-F238E27FC236}">
                <a16:creationId xmlns:a16="http://schemas.microsoft.com/office/drawing/2014/main" id="{316433CA-05CD-0BE1-9EA4-8DB6C7906583}"/>
              </a:ext>
            </a:extLst>
          </xdr:cNvPr>
          <xdr:cNvSpPr txBox="1"/>
        </xdr:nvSpPr>
        <xdr:spPr>
          <a:xfrm>
            <a:off x="5500993" y="5725978"/>
            <a:ext cx="584590" cy="5825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5A83A3F-58AC-46C1-B809-333ABDD962E0}" type="TxLink">
              <a:rPr lang="en-US" sz="1600" b="0" i="0" u="none" strike="noStrike">
                <a:solidFill>
                  <a:srgbClr val="0F11A7"/>
                </a:solidFill>
                <a:latin typeface="Calibri"/>
                <a:ea typeface="Calibri"/>
                <a:cs typeface="Calibri"/>
              </a:rPr>
              <a:pPr algn="ctr"/>
              <a:t>•</a:t>
            </a:fld>
            <a:endParaRPr lang="en-IN" sz="1100"/>
          </a:p>
        </xdr:txBody>
      </xdr:sp>
    </xdr:grpSp>
    <xdr:clientData/>
  </xdr:twoCellAnchor>
  <xdr:twoCellAnchor>
    <xdr:from>
      <xdr:col>12</xdr:col>
      <xdr:colOff>485373</xdr:colOff>
      <xdr:row>28</xdr:row>
      <xdr:rowOff>138215</xdr:rowOff>
    </xdr:from>
    <xdr:to>
      <xdr:col>13</xdr:col>
      <xdr:colOff>458823</xdr:colOff>
      <xdr:row>31</xdr:row>
      <xdr:rowOff>142637</xdr:rowOff>
    </xdr:to>
    <xdr:grpSp>
      <xdr:nvGrpSpPr>
        <xdr:cNvPr id="161" name="Group 160">
          <a:extLst>
            <a:ext uri="{FF2B5EF4-FFF2-40B4-BE49-F238E27FC236}">
              <a16:creationId xmlns:a16="http://schemas.microsoft.com/office/drawing/2014/main" id="{B8B683E6-A627-4850-AF94-72D5EA518975}"/>
            </a:ext>
          </a:extLst>
        </xdr:cNvPr>
        <xdr:cNvGrpSpPr/>
      </xdr:nvGrpSpPr>
      <xdr:grpSpPr>
        <a:xfrm>
          <a:off x="7800573" y="5472215"/>
          <a:ext cx="583050" cy="575922"/>
          <a:chOff x="5500993" y="5725978"/>
          <a:chExt cx="584590" cy="582529"/>
        </a:xfrm>
      </xdr:grpSpPr>
      <xdr:sp macro="" textlink="'Pivot Tables'!BG10">
        <xdr:nvSpPr>
          <xdr:cNvPr id="162" name="TextBox 161">
            <a:extLst>
              <a:ext uri="{FF2B5EF4-FFF2-40B4-BE49-F238E27FC236}">
                <a16:creationId xmlns:a16="http://schemas.microsoft.com/office/drawing/2014/main" id="{95C65D5F-2752-6A37-6B42-6794714F0FD9}"/>
              </a:ext>
            </a:extLst>
          </xdr:cNvPr>
          <xdr:cNvSpPr txBox="1"/>
        </xdr:nvSpPr>
        <xdr:spPr>
          <a:xfrm>
            <a:off x="5501692" y="5725978"/>
            <a:ext cx="583193" cy="5825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EBA58C4-DFA6-4024-8421-14965DAB029E}" type="TxLink">
              <a:rPr lang="en-US" sz="1600" b="0" i="0" u="none" strike="noStrike">
                <a:solidFill>
                  <a:srgbClr val="C240DB"/>
                </a:solidFill>
                <a:latin typeface="Calibri"/>
                <a:ea typeface="Calibri"/>
                <a:cs typeface="Calibri"/>
              </a:rPr>
              <a:pPr algn="ctr"/>
              <a:t> </a:t>
            </a:fld>
            <a:endParaRPr lang="en-IN" sz="1100"/>
          </a:p>
        </xdr:txBody>
      </xdr:sp>
      <xdr:sp macro="" textlink="'Pivot Tables'!BI10">
        <xdr:nvSpPr>
          <xdr:cNvPr id="205" name="TextBox 204">
            <a:extLst>
              <a:ext uri="{FF2B5EF4-FFF2-40B4-BE49-F238E27FC236}">
                <a16:creationId xmlns:a16="http://schemas.microsoft.com/office/drawing/2014/main" id="{EBC4694A-923F-78EC-07B2-6597570D11CC}"/>
              </a:ext>
            </a:extLst>
          </xdr:cNvPr>
          <xdr:cNvSpPr txBox="1"/>
        </xdr:nvSpPr>
        <xdr:spPr>
          <a:xfrm>
            <a:off x="5500993" y="5725978"/>
            <a:ext cx="584590" cy="5825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5A83A3F-58AC-46C1-B809-333ABDD962E0}" type="TxLink">
              <a:rPr lang="en-US" sz="1600" b="0" i="0" u="none" strike="noStrike">
                <a:solidFill>
                  <a:srgbClr val="0F11A7"/>
                </a:solidFill>
                <a:latin typeface="Calibri"/>
                <a:ea typeface="Calibri"/>
                <a:cs typeface="Calibri"/>
              </a:rPr>
              <a:pPr algn="ctr"/>
              <a:t>•</a:t>
            </a:fld>
            <a:endParaRPr lang="en-IN" sz="1100"/>
          </a:p>
        </xdr:txBody>
      </xdr:sp>
    </xdr:grpSp>
    <xdr:clientData/>
  </xdr:twoCellAnchor>
  <xdr:twoCellAnchor>
    <xdr:from>
      <xdr:col>12</xdr:col>
      <xdr:colOff>583342</xdr:colOff>
      <xdr:row>29</xdr:row>
      <xdr:rowOff>134133</xdr:rowOff>
    </xdr:from>
    <xdr:to>
      <xdr:col>13</xdr:col>
      <xdr:colOff>556792</xdr:colOff>
      <xdr:row>32</xdr:row>
      <xdr:rowOff>138555</xdr:rowOff>
    </xdr:to>
    <xdr:grpSp>
      <xdr:nvGrpSpPr>
        <xdr:cNvPr id="206" name="Group 205">
          <a:extLst>
            <a:ext uri="{FF2B5EF4-FFF2-40B4-BE49-F238E27FC236}">
              <a16:creationId xmlns:a16="http://schemas.microsoft.com/office/drawing/2014/main" id="{49178B3F-78ED-4CBE-89F5-AEAEE846601F}"/>
            </a:ext>
          </a:extLst>
        </xdr:cNvPr>
        <xdr:cNvGrpSpPr/>
      </xdr:nvGrpSpPr>
      <xdr:grpSpPr>
        <a:xfrm>
          <a:off x="7898542" y="5658633"/>
          <a:ext cx="583050" cy="575922"/>
          <a:chOff x="5500993" y="5725978"/>
          <a:chExt cx="584590" cy="582529"/>
        </a:xfrm>
      </xdr:grpSpPr>
      <xdr:sp macro="" textlink="'Pivot Tables'!BG10">
        <xdr:nvSpPr>
          <xdr:cNvPr id="207" name="TextBox 206">
            <a:extLst>
              <a:ext uri="{FF2B5EF4-FFF2-40B4-BE49-F238E27FC236}">
                <a16:creationId xmlns:a16="http://schemas.microsoft.com/office/drawing/2014/main" id="{97C5E2A9-5423-E014-97C0-38A383E494D4}"/>
              </a:ext>
            </a:extLst>
          </xdr:cNvPr>
          <xdr:cNvSpPr txBox="1"/>
        </xdr:nvSpPr>
        <xdr:spPr>
          <a:xfrm>
            <a:off x="5501692" y="5725978"/>
            <a:ext cx="583193" cy="5825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EBA58C4-DFA6-4024-8421-14965DAB029E}" type="TxLink">
              <a:rPr lang="en-US" sz="1600" b="0" i="0" u="none" strike="noStrike">
                <a:solidFill>
                  <a:srgbClr val="C240DB"/>
                </a:solidFill>
                <a:latin typeface="Calibri"/>
                <a:ea typeface="Calibri"/>
                <a:cs typeface="Calibri"/>
              </a:rPr>
              <a:pPr algn="ctr"/>
              <a:t> </a:t>
            </a:fld>
            <a:endParaRPr lang="en-IN" sz="1100"/>
          </a:p>
        </xdr:txBody>
      </xdr:sp>
      <xdr:sp macro="" textlink="'Pivot Tables'!BI10">
        <xdr:nvSpPr>
          <xdr:cNvPr id="208" name="TextBox 207">
            <a:extLst>
              <a:ext uri="{FF2B5EF4-FFF2-40B4-BE49-F238E27FC236}">
                <a16:creationId xmlns:a16="http://schemas.microsoft.com/office/drawing/2014/main" id="{903A5177-FB3A-B841-B6DB-4EE9DFC990EF}"/>
              </a:ext>
            </a:extLst>
          </xdr:cNvPr>
          <xdr:cNvSpPr txBox="1"/>
        </xdr:nvSpPr>
        <xdr:spPr>
          <a:xfrm>
            <a:off x="5500993" y="5725978"/>
            <a:ext cx="584590" cy="5825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5A83A3F-58AC-46C1-B809-333ABDD962E0}" type="TxLink">
              <a:rPr lang="en-US" sz="1600" b="0" i="0" u="none" strike="noStrike">
                <a:solidFill>
                  <a:srgbClr val="0F11A7"/>
                </a:solidFill>
                <a:latin typeface="Calibri"/>
                <a:ea typeface="Calibri"/>
                <a:cs typeface="Calibri"/>
              </a:rPr>
              <a:pPr algn="ctr"/>
              <a:t>•</a:t>
            </a:fld>
            <a:endParaRPr lang="en-IN" sz="1100"/>
          </a:p>
        </xdr:txBody>
      </xdr:sp>
    </xdr:grpSp>
    <xdr:clientData/>
  </xdr:twoCellAnchor>
  <xdr:twoCellAnchor>
    <xdr:from>
      <xdr:col>13</xdr:col>
      <xdr:colOff>66271</xdr:colOff>
      <xdr:row>30</xdr:row>
      <xdr:rowOff>38884</xdr:rowOff>
    </xdr:from>
    <xdr:to>
      <xdr:col>14</xdr:col>
      <xdr:colOff>39720</xdr:colOff>
      <xdr:row>33</xdr:row>
      <xdr:rowOff>43306</xdr:rowOff>
    </xdr:to>
    <xdr:grpSp>
      <xdr:nvGrpSpPr>
        <xdr:cNvPr id="209" name="Group 208">
          <a:extLst>
            <a:ext uri="{FF2B5EF4-FFF2-40B4-BE49-F238E27FC236}">
              <a16:creationId xmlns:a16="http://schemas.microsoft.com/office/drawing/2014/main" id="{10B9D478-E860-8320-88DB-8819ED736DFF}"/>
            </a:ext>
          </a:extLst>
        </xdr:cNvPr>
        <xdr:cNvGrpSpPr/>
      </xdr:nvGrpSpPr>
      <xdr:grpSpPr>
        <a:xfrm>
          <a:off x="7991071" y="5753884"/>
          <a:ext cx="583049" cy="575922"/>
          <a:chOff x="5500993" y="5725978"/>
          <a:chExt cx="584590" cy="582529"/>
        </a:xfrm>
      </xdr:grpSpPr>
      <xdr:sp macro="" textlink="'Pivot Tables'!BG10">
        <xdr:nvSpPr>
          <xdr:cNvPr id="210" name="TextBox 209">
            <a:extLst>
              <a:ext uri="{FF2B5EF4-FFF2-40B4-BE49-F238E27FC236}">
                <a16:creationId xmlns:a16="http://schemas.microsoft.com/office/drawing/2014/main" id="{56EF02C1-75A5-7C0F-4E9C-8098341A9BF9}"/>
              </a:ext>
            </a:extLst>
          </xdr:cNvPr>
          <xdr:cNvSpPr txBox="1"/>
        </xdr:nvSpPr>
        <xdr:spPr>
          <a:xfrm>
            <a:off x="5501692" y="5725978"/>
            <a:ext cx="583193" cy="5825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EBA58C4-DFA6-4024-8421-14965DAB029E}" type="TxLink">
              <a:rPr lang="en-US" sz="1600" b="0" i="0" u="none" strike="noStrike">
                <a:solidFill>
                  <a:srgbClr val="C240DB"/>
                </a:solidFill>
                <a:latin typeface="Calibri"/>
                <a:ea typeface="Calibri"/>
                <a:cs typeface="Calibri"/>
              </a:rPr>
              <a:pPr algn="ctr"/>
              <a:t> </a:t>
            </a:fld>
            <a:endParaRPr lang="en-IN" sz="1100"/>
          </a:p>
        </xdr:txBody>
      </xdr:sp>
      <xdr:sp macro="" textlink="'Pivot Tables'!BI10">
        <xdr:nvSpPr>
          <xdr:cNvPr id="211" name="TextBox 210">
            <a:extLst>
              <a:ext uri="{FF2B5EF4-FFF2-40B4-BE49-F238E27FC236}">
                <a16:creationId xmlns:a16="http://schemas.microsoft.com/office/drawing/2014/main" id="{79565F9A-D7E1-3CB0-2CBC-4A3DF5D6E471}"/>
              </a:ext>
            </a:extLst>
          </xdr:cNvPr>
          <xdr:cNvSpPr txBox="1"/>
        </xdr:nvSpPr>
        <xdr:spPr>
          <a:xfrm>
            <a:off x="5500993" y="5725978"/>
            <a:ext cx="584590" cy="5825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5A83A3F-58AC-46C1-B809-333ABDD962E0}" type="TxLink">
              <a:rPr lang="en-US" sz="1600" b="0" i="0" u="none" strike="noStrike">
                <a:solidFill>
                  <a:srgbClr val="0F11A7"/>
                </a:solidFill>
                <a:latin typeface="Calibri"/>
                <a:ea typeface="Calibri"/>
                <a:cs typeface="Calibri"/>
              </a:rPr>
              <a:pPr algn="ctr"/>
              <a:t>•</a:t>
            </a:fld>
            <a:endParaRPr lang="en-IN" sz="1100"/>
          </a:p>
        </xdr:txBody>
      </xdr:sp>
    </xdr:grpSp>
    <xdr:clientData/>
  </xdr:twoCellAnchor>
  <xdr:twoCellAnchor>
    <xdr:from>
      <xdr:col>13</xdr:col>
      <xdr:colOff>164241</xdr:colOff>
      <xdr:row>31</xdr:row>
      <xdr:rowOff>38204</xdr:rowOff>
    </xdr:from>
    <xdr:to>
      <xdr:col>14</xdr:col>
      <xdr:colOff>137690</xdr:colOff>
      <xdr:row>34</xdr:row>
      <xdr:rowOff>42626</xdr:rowOff>
    </xdr:to>
    <xdr:grpSp>
      <xdr:nvGrpSpPr>
        <xdr:cNvPr id="212" name="Group 211">
          <a:extLst>
            <a:ext uri="{FF2B5EF4-FFF2-40B4-BE49-F238E27FC236}">
              <a16:creationId xmlns:a16="http://schemas.microsoft.com/office/drawing/2014/main" id="{F1DB9E86-D31C-42C2-90A7-5E805037E1F6}"/>
            </a:ext>
          </a:extLst>
        </xdr:cNvPr>
        <xdr:cNvGrpSpPr/>
      </xdr:nvGrpSpPr>
      <xdr:grpSpPr>
        <a:xfrm>
          <a:off x="8089041" y="5943704"/>
          <a:ext cx="583049" cy="575922"/>
          <a:chOff x="5500993" y="5725978"/>
          <a:chExt cx="584590" cy="582529"/>
        </a:xfrm>
      </xdr:grpSpPr>
      <xdr:sp macro="" textlink="'Pivot Tables'!BG10">
        <xdr:nvSpPr>
          <xdr:cNvPr id="213" name="TextBox 212">
            <a:extLst>
              <a:ext uri="{FF2B5EF4-FFF2-40B4-BE49-F238E27FC236}">
                <a16:creationId xmlns:a16="http://schemas.microsoft.com/office/drawing/2014/main" id="{8B548970-71C3-D739-8AEF-35689F50F0A6}"/>
              </a:ext>
            </a:extLst>
          </xdr:cNvPr>
          <xdr:cNvSpPr txBox="1"/>
        </xdr:nvSpPr>
        <xdr:spPr>
          <a:xfrm>
            <a:off x="5501692" y="5725978"/>
            <a:ext cx="583193" cy="5825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EBA58C4-DFA6-4024-8421-14965DAB029E}" type="TxLink">
              <a:rPr lang="en-US" sz="1600" b="0" i="0" u="none" strike="noStrike">
                <a:solidFill>
                  <a:srgbClr val="C240DB"/>
                </a:solidFill>
                <a:latin typeface="Calibri"/>
                <a:ea typeface="Calibri"/>
                <a:cs typeface="Calibri"/>
              </a:rPr>
              <a:pPr algn="ctr"/>
              <a:t> </a:t>
            </a:fld>
            <a:endParaRPr lang="en-IN" sz="1100"/>
          </a:p>
        </xdr:txBody>
      </xdr:sp>
      <xdr:sp macro="" textlink="'Pivot Tables'!BI10">
        <xdr:nvSpPr>
          <xdr:cNvPr id="214" name="TextBox 213">
            <a:extLst>
              <a:ext uri="{FF2B5EF4-FFF2-40B4-BE49-F238E27FC236}">
                <a16:creationId xmlns:a16="http://schemas.microsoft.com/office/drawing/2014/main" id="{A1C3CAB9-B5C1-29FE-B716-CC78DDF34A06}"/>
              </a:ext>
            </a:extLst>
          </xdr:cNvPr>
          <xdr:cNvSpPr txBox="1"/>
        </xdr:nvSpPr>
        <xdr:spPr>
          <a:xfrm>
            <a:off x="5500993" y="5725978"/>
            <a:ext cx="584590" cy="5825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5A83A3F-58AC-46C1-B809-333ABDD962E0}" type="TxLink">
              <a:rPr lang="en-US" sz="1600" b="0" i="0" u="none" strike="noStrike">
                <a:solidFill>
                  <a:srgbClr val="0F11A7"/>
                </a:solidFill>
                <a:latin typeface="Calibri"/>
                <a:ea typeface="Calibri"/>
                <a:cs typeface="Calibri"/>
              </a:rPr>
              <a:pPr algn="ctr"/>
              <a:t>•</a:t>
            </a:fld>
            <a:endParaRPr lang="en-IN" sz="1100"/>
          </a:p>
        </xdr:txBody>
      </xdr:sp>
    </xdr:grpSp>
    <xdr:clientData/>
  </xdr:twoCellAnchor>
  <xdr:twoCellAnchor>
    <xdr:from>
      <xdr:col>13</xdr:col>
      <xdr:colOff>160160</xdr:colOff>
      <xdr:row>29</xdr:row>
      <xdr:rowOff>136174</xdr:rowOff>
    </xdr:from>
    <xdr:to>
      <xdr:col>14</xdr:col>
      <xdr:colOff>133609</xdr:colOff>
      <xdr:row>32</xdr:row>
      <xdr:rowOff>140596</xdr:rowOff>
    </xdr:to>
    <xdr:grpSp>
      <xdr:nvGrpSpPr>
        <xdr:cNvPr id="215" name="Group 214">
          <a:extLst>
            <a:ext uri="{FF2B5EF4-FFF2-40B4-BE49-F238E27FC236}">
              <a16:creationId xmlns:a16="http://schemas.microsoft.com/office/drawing/2014/main" id="{E254E9B8-03D0-42C3-B569-84BAAD5C3366}"/>
            </a:ext>
          </a:extLst>
        </xdr:cNvPr>
        <xdr:cNvGrpSpPr/>
      </xdr:nvGrpSpPr>
      <xdr:grpSpPr>
        <a:xfrm>
          <a:off x="8084960" y="5660674"/>
          <a:ext cx="583049" cy="575922"/>
          <a:chOff x="5500993" y="5725978"/>
          <a:chExt cx="584590" cy="582529"/>
        </a:xfrm>
      </xdr:grpSpPr>
      <xdr:sp macro="" textlink="'Pivot Tables'!BG10">
        <xdr:nvSpPr>
          <xdr:cNvPr id="216" name="TextBox 215">
            <a:extLst>
              <a:ext uri="{FF2B5EF4-FFF2-40B4-BE49-F238E27FC236}">
                <a16:creationId xmlns:a16="http://schemas.microsoft.com/office/drawing/2014/main" id="{C5C44C02-CC59-4665-3266-FA7579C8ED84}"/>
              </a:ext>
            </a:extLst>
          </xdr:cNvPr>
          <xdr:cNvSpPr txBox="1"/>
        </xdr:nvSpPr>
        <xdr:spPr>
          <a:xfrm>
            <a:off x="5501692" y="5725978"/>
            <a:ext cx="583193" cy="5825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EBA58C4-DFA6-4024-8421-14965DAB029E}" type="TxLink">
              <a:rPr lang="en-US" sz="1600" b="0" i="0" u="none" strike="noStrike">
                <a:solidFill>
                  <a:srgbClr val="C240DB"/>
                </a:solidFill>
                <a:latin typeface="Calibri"/>
                <a:ea typeface="Calibri"/>
                <a:cs typeface="Calibri"/>
              </a:rPr>
              <a:pPr algn="ctr"/>
              <a:t> </a:t>
            </a:fld>
            <a:endParaRPr lang="en-IN" sz="1100"/>
          </a:p>
        </xdr:txBody>
      </xdr:sp>
      <xdr:sp macro="" textlink="'Pivot Tables'!BI10">
        <xdr:nvSpPr>
          <xdr:cNvPr id="217" name="TextBox 216">
            <a:extLst>
              <a:ext uri="{FF2B5EF4-FFF2-40B4-BE49-F238E27FC236}">
                <a16:creationId xmlns:a16="http://schemas.microsoft.com/office/drawing/2014/main" id="{C2B330FD-A364-178F-B94B-2D21FBE76790}"/>
              </a:ext>
            </a:extLst>
          </xdr:cNvPr>
          <xdr:cNvSpPr txBox="1"/>
        </xdr:nvSpPr>
        <xdr:spPr>
          <a:xfrm>
            <a:off x="5500993" y="5725978"/>
            <a:ext cx="584590" cy="5825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5A83A3F-58AC-46C1-B809-333ABDD962E0}" type="TxLink">
              <a:rPr lang="en-US" sz="1600" b="0" i="0" u="none" strike="noStrike">
                <a:solidFill>
                  <a:srgbClr val="0F11A7"/>
                </a:solidFill>
                <a:latin typeface="Calibri"/>
                <a:ea typeface="Calibri"/>
                <a:cs typeface="Calibri"/>
              </a:rPr>
              <a:pPr algn="ctr"/>
              <a:t>•</a:t>
            </a:fld>
            <a:endParaRPr lang="en-IN" sz="1100"/>
          </a:p>
        </xdr:txBody>
      </xdr:sp>
    </xdr:grpSp>
    <xdr:clientData/>
  </xdr:twoCellAnchor>
  <xdr:twoCellAnchor>
    <xdr:from>
      <xdr:col>13</xdr:col>
      <xdr:colOff>255410</xdr:colOff>
      <xdr:row>29</xdr:row>
      <xdr:rowOff>136174</xdr:rowOff>
    </xdr:from>
    <xdr:to>
      <xdr:col>14</xdr:col>
      <xdr:colOff>228859</xdr:colOff>
      <xdr:row>32</xdr:row>
      <xdr:rowOff>140596</xdr:rowOff>
    </xdr:to>
    <xdr:grpSp>
      <xdr:nvGrpSpPr>
        <xdr:cNvPr id="218" name="Group 217">
          <a:extLst>
            <a:ext uri="{FF2B5EF4-FFF2-40B4-BE49-F238E27FC236}">
              <a16:creationId xmlns:a16="http://schemas.microsoft.com/office/drawing/2014/main" id="{8E0A6F71-CECE-08C8-A019-09C25E99957C}"/>
            </a:ext>
          </a:extLst>
        </xdr:cNvPr>
        <xdr:cNvGrpSpPr/>
      </xdr:nvGrpSpPr>
      <xdr:grpSpPr>
        <a:xfrm>
          <a:off x="8180210" y="5660674"/>
          <a:ext cx="583049" cy="575922"/>
          <a:chOff x="5500993" y="5725978"/>
          <a:chExt cx="584590" cy="582529"/>
        </a:xfrm>
      </xdr:grpSpPr>
      <xdr:sp macro="" textlink="'Pivot Tables'!BG10">
        <xdr:nvSpPr>
          <xdr:cNvPr id="219" name="TextBox 218">
            <a:extLst>
              <a:ext uri="{FF2B5EF4-FFF2-40B4-BE49-F238E27FC236}">
                <a16:creationId xmlns:a16="http://schemas.microsoft.com/office/drawing/2014/main" id="{C0EBB1C9-06DF-12E0-68F8-8B45CD39E0E4}"/>
              </a:ext>
            </a:extLst>
          </xdr:cNvPr>
          <xdr:cNvSpPr txBox="1"/>
        </xdr:nvSpPr>
        <xdr:spPr>
          <a:xfrm>
            <a:off x="5501692" y="5725978"/>
            <a:ext cx="583193" cy="5825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EBA58C4-DFA6-4024-8421-14965DAB029E}" type="TxLink">
              <a:rPr lang="en-US" sz="1600" b="0" i="0" u="none" strike="noStrike">
                <a:solidFill>
                  <a:srgbClr val="C240DB"/>
                </a:solidFill>
                <a:latin typeface="Calibri"/>
                <a:ea typeface="Calibri"/>
                <a:cs typeface="Calibri"/>
              </a:rPr>
              <a:pPr algn="ctr"/>
              <a:t> </a:t>
            </a:fld>
            <a:endParaRPr lang="en-IN" sz="1100"/>
          </a:p>
        </xdr:txBody>
      </xdr:sp>
      <xdr:sp macro="" textlink="'Pivot Tables'!BI10">
        <xdr:nvSpPr>
          <xdr:cNvPr id="220" name="TextBox 219">
            <a:extLst>
              <a:ext uri="{FF2B5EF4-FFF2-40B4-BE49-F238E27FC236}">
                <a16:creationId xmlns:a16="http://schemas.microsoft.com/office/drawing/2014/main" id="{B19E5B10-7171-09E3-139E-788003975A2E}"/>
              </a:ext>
            </a:extLst>
          </xdr:cNvPr>
          <xdr:cNvSpPr txBox="1"/>
        </xdr:nvSpPr>
        <xdr:spPr>
          <a:xfrm>
            <a:off x="5500993" y="5725978"/>
            <a:ext cx="584590" cy="5825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5A83A3F-58AC-46C1-B809-333ABDD962E0}" type="TxLink">
              <a:rPr lang="en-US" sz="1600" b="0" i="0" u="none" strike="noStrike">
                <a:solidFill>
                  <a:srgbClr val="0F11A7"/>
                </a:solidFill>
                <a:latin typeface="Calibri"/>
                <a:ea typeface="Calibri"/>
                <a:cs typeface="Calibri"/>
              </a:rPr>
              <a:pPr algn="ctr"/>
              <a:t>•</a:t>
            </a:fld>
            <a:endParaRPr lang="en-IN" sz="1100"/>
          </a:p>
        </xdr:txBody>
      </xdr:sp>
    </xdr:grpSp>
    <xdr:clientData/>
  </xdr:twoCellAnchor>
  <xdr:twoCellAnchor>
    <xdr:from>
      <xdr:col>13</xdr:col>
      <xdr:colOff>255410</xdr:colOff>
      <xdr:row>30</xdr:row>
      <xdr:rowOff>40924</xdr:rowOff>
    </xdr:from>
    <xdr:to>
      <xdr:col>14</xdr:col>
      <xdr:colOff>228859</xdr:colOff>
      <xdr:row>33</xdr:row>
      <xdr:rowOff>45346</xdr:rowOff>
    </xdr:to>
    <xdr:grpSp>
      <xdr:nvGrpSpPr>
        <xdr:cNvPr id="221" name="Group 220">
          <a:extLst>
            <a:ext uri="{FF2B5EF4-FFF2-40B4-BE49-F238E27FC236}">
              <a16:creationId xmlns:a16="http://schemas.microsoft.com/office/drawing/2014/main" id="{9A4E6D93-5839-7C00-47AB-3BA418E1CEFD}"/>
            </a:ext>
          </a:extLst>
        </xdr:cNvPr>
        <xdr:cNvGrpSpPr/>
      </xdr:nvGrpSpPr>
      <xdr:grpSpPr>
        <a:xfrm>
          <a:off x="8180210" y="5755924"/>
          <a:ext cx="583049" cy="575922"/>
          <a:chOff x="5500993" y="5725978"/>
          <a:chExt cx="584590" cy="582529"/>
        </a:xfrm>
      </xdr:grpSpPr>
      <xdr:sp macro="" textlink="'Pivot Tables'!BG10">
        <xdr:nvSpPr>
          <xdr:cNvPr id="222" name="TextBox 221">
            <a:extLst>
              <a:ext uri="{FF2B5EF4-FFF2-40B4-BE49-F238E27FC236}">
                <a16:creationId xmlns:a16="http://schemas.microsoft.com/office/drawing/2014/main" id="{B06737D2-8089-4788-2109-A25F625AD374}"/>
              </a:ext>
            </a:extLst>
          </xdr:cNvPr>
          <xdr:cNvSpPr txBox="1"/>
        </xdr:nvSpPr>
        <xdr:spPr>
          <a:xfrm>
            <a:off x="5501692" y="5725978"/>
            <a:ext cx="583193" cy="5825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EBA58C4-DFA6-4024-8421-14965DAB029E}" type="TxLink">
              <a:rPr lang="en-US" sz="1600" b="0" i="0" u="none" strike="noStrike">
                <a:solidFill>
                  <a:srgbClr val="C240DB"/>
                </a:solidFill>
                <a:latin typeface="Calibri"/>
                <a:ea typeface="Calibri"/>
                <a:cs typeface="Calibri"/>
              </a:rPr>
              <a:pPr algn="ctr"/>
              <a:t> </a:t>
            </a:fld>
            <a:endParaRPr lang="en-IN" sz="1100"/>
          </a:p>
        </xdr:txBody>
      </xdr:sp>
      <xdr:sp macro="" textlink="'Pivot Tables'!BI10">
        <xdr:nvSpPr>
          <xdr:cNvPr id="223" name="TextBox 222">
            <a:extLst>
              <a:ext uri="{FF2B5EF4-FFF2-40B4-BE49-F238E27FC236}">
                <a16:creationId xmlns:a16="http://schemas.microsoft.com/office/drawing/2014/main" id="{E4B6DBA1-8534-3502-5D0C-F883FD337329}"/>
              </a:ext>
            </a:extLst>
          </xdr:cNvPr>
          <xdr:cNvSpPr txBox="1"/>
        </xdr:nvSpPr>
        <xdr:spPr>
          <a:xfrm>
            <a:off x="5500993" y="5725978"/>
            <a:ext cx="584590" cy="5825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5A83A3F-58AC-46C1-B809-333ABDD962E0}" type="TxLink">
              <a:rPr lang="en-US" sz="1600" b="0" i="0" u="none" strike="noStrike">
                <a:solidFill>
                  <a:srgbClr val="0F11A7"/>
                </a:solidFill>
                <a:latin typeface="Calibri"/>
                <a:ea typeface="Calibri"/>
                <a:cs typeface="Calibri"/>
              </a:rPr>
              <a:pPr algn="ctr"/>
              <a:t>•</a:t>
            </a:fld>
            <a:endParaRPr lang="en-IN" sz="1100"/>
          </a:p>
        </xdr:txBody>
      </xdr:sp>
    </xdr:grpSp>
    <xdr:clientData/>
  </xdr:twoCellAnchor>
  <xdr:twoCellAnchor>
    <xdr:from>
      <xdr:col>13</xdr:col>
      <xdr:colOff>258130</xdr:colOff>
      <xdr:row>28</xdr:row>
      <xdr:rowOff>138892</xdr:rowOff>
    </xdr:from>
    <xdr:to>
      <xdr:col>14</xdr:col>
      <xdr:colOff>231579</xdr:colOff>
      <xdr:row>31</xdr:row>
      <xdr:rowOff>143314</xdr:rowOff>
    </xdr:to>
    <xdr:grpSp>
      <xdr:nvGrpSpPr>
        <xdr:cNvPr id="224" name="Group 223">
          <a:extLst>
            <a:ext uri="{FF2B5EF4-FFF2-40B4-BE49-F238E27FC236}">
              <a16:creationId xmlns:a16="http://schemas.microsoft.com/office/drawing/2014/main" id="{D76D4BE9-552D-4C5B-9F61-0FBC7B6C52B7}"/>
            </a:ext>
          </a:extLst>
        </xdr:cNvPr>
        <xdr:cNvGrpSpPr/>
      </xdr:nvGrpSpPr>
      <xdr:grpSpPr>
        <a:xfrm>
          <a:off x="8182930" y="5472892"/>
          <a:ext cx="583049" cy="575922"/>
          <a:chOff x="5500993" y="5725978"/>
          <a:chExt cx="584590" cy="582529"/>
        </a:xfrm>
      </xdr:grpSpPr>
      <xdr:sp macro="" textlink="'Pivot Tables'!BG10">
        <xdr:nvSpPr>
          <xdr:cNvPr id="225" name="TextBox 224">
            <a:extLst>
              <a:ext uri="{FF2B5EF4-FFF2-40B4-BE49-F238E27FC236}">
                <a16:creationId xmlns:a16="http://schemas.microsoft.com/office/drawing/2014/main" id="{6CB389D9-BDDD-295A-9BB3-69F58E65DB32}"/>
              </a:ext>
            </a:extLst>
          </xdr:cNvPr>
          <xdr:cNvSpPr txBox="1"/>
        </xdr:nvSpPr>
        <xdr:spPr>
          <a:xfrm>
            <a:off x="5501692" y="5725978"/>
            <a:ext cx="583193" cy="5825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EBA58C4-DFA6-4024-8421-14965DAB029E}" type="TxLink">
              <a:rPr lang="en-US" sz="1600" b="0" i="0" u="none" strike="noStrike">
                <a:solidFill>
                  <a:srgbClr val="C240DB"/>
                </a:solidFill>
                <a:latin typeface="Calibri"/>
                <a:ea typeface="Calibri"/>
                <a:cs typeface="Calibri"/>
              </a:rPr>
              <a:pPr algn="ctr"/>
              <a:t> </a:t>
            </a:fld>
            <a:endParaRPr lang="en-IN" sz="1100"/>
          </a:p>
        </xdr:txBody>
      </xdr:sp>
      <xdr:sp macro="" textlink="'Pivot Tables'!BI10">
        <xdr:nvSpPr>
          <xdr:cNvPr id="226" name="TextBox 225">
            <a:extLst>
              <a:ext uri="{FF2B5EF4-FFF2-40B4-BE49-F238E27FC236}">
                <a16:creationId xmlns:a16="http://schemas.microsoft.com/office/drawing/2014/main" id="{E71C6B04-A6F3-2D79-3341-A0A3F5DC27EC}"/>
              </a:ext>
            </a:extLst>
          </xdr:cNvPr>
          <xdr:cNvSpPr txBox="1"/>
        </xdr:nvSpPr>
        <xdr:spPr>
          <a:xfrm>
            <a:off x="5500993" y="5725978"/>
            <a:ext cx="584590" cy="5825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5A83A3F-58AC-46C1-B809-333ABDD962E0}" type="TxLink">
              <a:rPr lang="en-US" sz="1600" b="0" i="0" u="none" strike="noStrike">
                <a:solidFill>
                  <a:srgbClr val="0F11A7"/>
                </a:solidFill>
                <a:latin typeface="Calibri"/>
                <a:ea typeface="Calibri"/>
                <a:cs typeface="Calibri"/>
              </a:rPr>
              <a:pPr algn="ctr"/>
              <a:t>•</a:t>
            </a:fld>
            <a:endParaRPr lang="en-IN" sz="1100"/>
          </a:p>
        </xdr:txBody>
      </xdr:sp>
    </xdr:grpSp>
    <xdr:clientData/>
  </xdr:twoCellAnchor>
  <xdr:twoCellAnchor>
    <xdr:from>
      <xdr:col>13</xdr:col>
      <xdr:colOff>349297</xdr:colOff>
      <xdr:row>28</xdr:row>
      <xdr:rowOff>42960</xdr:rowOff>
    </xdr:from>
    <xdr:to>
      <xdr:col>14</xdr:col>
      <xdr:colOff>322746</xdr:colOff>
      <xdr:row>31</xdr:row>
      <xdr:rowOff>47382</xdr:rowOff>
    </xdr:to>
    <xdr:grpSp>
      <xdr:nvGrpSpPr>
        <xdr:cNvPr id="227" name="Group 226">
          <a:extLst>
            <a:ext uri="{FF2B5EF4-FFF2-40B4-BE49-F238E27FC236}">
              <a16:creationId xmlns:a16="http://schemas.microsoft.com/office/drawing/2014/main" id="{7EB0E663-5481-4607-A0CF-E1F295A4D261}"/>
            </a:ext>
          </a:extLst>
        </xdr:cNvPr>
        <xdr:cNvGrpSpPr/>
      </xdr:nvGrpSpPr>
      <xdr:grpSpPr>
        <a:xfrm>
          <a:off x="8274097" y="5376960"/>
          <a:ext cx="583049" cy="575922"/>
          <a:chOff x="5500993" y="5725978"/>
          <a:chExt cx="584590" cy="582529"/>
        </a:xfrm>
      </xdr:grpSpPr>
      <xdr:sp macro="" textlink="'Pivot Tables'!BG10">
        <xdr:nvSpPr>
          <xdr:cNvPr id="228" name="TextBox 227">
            <a:extLst>
              <a:ext uri="{FF2B5EF4-FFF2-40B4-BE49-F238E27FC236}">
                <a16:creationId xmlns:a16="http://schemas.microsoft.com/office/drawing/2014/main" id="{40BA711A-0066-34E4-8592-6EFF21531918}"/>
              </a:ext>
            </a:extLst>
          </xdr:cNvPr>
          <xdr:cNvSpPr txBox="1"/>
        </xdr:nvSpPr>
        <xdr:spPr>
          <a:xfrm>
            <a:off x="5501692" y="5725978"/>
            <a:ext cx="583193" cy="5825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EBA58C4-DFA6-4024-8421-14965DAB029E}" type="TxLink">
              <a:rPr lang="en-US" sz="1600" b="0" i="0" u="none" strike="noStrike">
                <a:solidFill>
                  <a:srgbClr val="C240DB"/>
                </a:solidFill>
                <a:latin typeface="Calibri"/>
                <a:ea typeface="Calibri"/>
                <a:cs typeface="Calibri"/>
              </a:rPr>
              <a:pPr algn="ctr"/>
              <a:t> </a:t>
            </a:fld>
            <a:endParaRPr lang="en-IN" sz="1100"/>
          </a:p>
        </xdr:txBody>
      </xdr:sp>
      <xdr:sp macro="" textlink="'Pivot Tables'!BI10">
        <xdr:nvSpPr>
          <xdr:cNvPr id="229" name="TextBox 228">
            <a:extLst>
              <a:ext uri="{FF2B5EF4-FFF2-40B4-BE49-F238E27FC236}">
                <a16:creationId xmlns:a16="http://schemas.microsoft.com/office/drawing/2014/main" id="{22B040DE-1E7B-FDFC-F562-23D668351F4B}"/>
              </a:ext>
            </a:extLst>
          </xdr:cNvPr>
          <xdr:cNvSpPr txBox="1"/>
        </xdr:nvSpPr>
        <xdr:spPr>
          <a:xfrm>
            <a:off x="5500993" y="5725978"/>
            <a:ext cx="584590" cy="5825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5A83A3F-58AC-46C1-B809-333ABDD962E0}" type="TxLink">
              <a:rPr lang="en-US" sz="1600" b="0" i="0" u="none" strike="noStrike">
                <a:solidFill>
                  <a:srgbClr val="0F11A7"/>
                </a:solidFill>
                <a:latin typeface="Calibri"/>
                <a:ea typeface="Calibri"/>
                <a:cs typeface="Calibri"/>
              </a:rPr>
              <a:pPr algn="ctr"/>
              <a:t>•</a:t>
            </a:fld>
            <a:endParaRPr lang="en-IN" sz="1100"/>
          </a:p>
        </xdr:txBody>
      </xdr:sp>
    </xdr:grpSp>
    <xdr:clientData/>
  </xdr:twoCellAnchor>
  <xdr:twoCellAnchor>
    <xdr:from>
      <xdr:col>13</xdr:col>
      <xdr:colOff>443866</xdr:colOff>
      <xdr:row>27</xdr:row>
      <xdr:rowOff>140929</xdr:rowOff>
    </xdr:from>
    <xdr:to>
      <xdr:col>14</xdr:col>
      <xdr:colOff>417315</xdr:colOff>
      <xdr:row>30</xdr:row>
      <xdr:rowOff>145351</xdr:rowOff>
    </xdr:to>
    <xdr:grpSp>
      <xdr:nvGrpSpPr>
        <xdr:cNvPr id="230" name="Group 229">
          <a:extLst>
            <a:ext uri="{FF2B5EF4-FFF2-40B4-BE49-F238E27FC236}">
              <a16:creationId xmlns:a16="http://schemas.microsoft.com/office/drawing/2014/main" id="{A88E958B-2C55-428A-8B9F-D4EE068EEFF8}"/>
            </a:ext>
          </a:extLst>
        </xdr:cNvPr>
        <xdr:cNvGrpSpPr/>
      </xdr:nvGrpSpPr>
      <xdr:grpSpPr>
        <a:xfrm>
          <a:off x="8368666" y="5284429"/>
          <a:ext cx="583049" cy="575922"/>
          <a:chOff x="5500993" y="5725978"/>
          <a:chExt cx="584590" cy="582529"/>
        </a:xfrm>
      </xdr:grpSpPr>
      <xdr:sp macro="" textlink="'Pivot Tables'!BG10">
        <xdr:nvSpPr>
          <xdr:cNvPr id="231" name="TextBox 230">
            <a:extLst>
              <a:ext uri="{FF2B5EF4-FFF2-40B4-BE49-F238E27FC236}">
                <a16:creationId xmlns:a16="http://schemas.microsoft.com/office/drawing/2014/main" id="{D18C2E39-4BAC-A3EE-B586-4345229949F8}"/>
              </a:ext>
            </a:extLst>
          </xdr:cNvPr>
          <xdr:cNvSpPr txBox="1"/>
        </xdr:nvSpPr>
        <xdr:spPr>
          <a:xfrm>
            <a:off x="5501692" y="5725978"/>
            <a:ext cx="583193" cy="5825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EBA58C4-DFA6-4024-8421-14965DAB029E}" type="TxLink">
              <a:rPr lang="en-US" sz="1600" b="0" i="0" u="none" strike="noStrike">
                <a:solidFill>
                  <a:srgbClr val="C240DB"/>
                </a:solidFill>
                <a:latin typeface="Calibri"/>
                <a:ea typeface="Calibri"/>
                <a:cs typeface="Calibri"/>
              </a:rPr>
              <a:pPr algn="ctr"/>
              <a:t> </a:t>
            </a:fld>
            <a:endParaRPr lang="en-IN" sz="1100"/>
          </a:p>
        </xdr:txBody>
      </xdr:sp>
      <xdr:sp macro="" textlink="'Pivot Tables'!BI10">
        <xdr:nvSpPr>
          <xdr:cNvPr id="232" name="TextBox 231">
            <a:extLst>
              <a:ext uri="{FF2B5EF4-FFF2-40B4-BE49-F238E27FC236}">
                <a16:creationId xmlns:a16="http://schemas.microsoft.com/office/drawing/2014/main" id="{DFA5246C-B9A5-CEFC-CE9C-FB7B1833F10C}"/>
              </a:ext>
            </a:extLst>
          </xdr:cNvPr>
          <xdr:cNvSpPr txBox="1"/>
        </xdr:nvSpPr>
        <xdr:spPr>
          <a:xfrm>
            <a:off x="5500993" y="5725978"/>
            <a:ext cx="584590" cy="5825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5A83A3F-58AC-46C1-B809-333ABDD962E0}" type="TxLink">
              <a:rPr lang="en-US" sz="1600" b="0" i="0" u="none" strike="noStrike">
                <a:solidFill>
                  <a:srgbClr val="0F11A7"/>
                </a:solidFill>
                <a:latin typeface="Calibri"/>
                <a:ea typeface="Calibri"/>
                <a:cs typeface="Calibri"/>
              </a:rPr>
              <a:pPr algn="ctr"/>
              <a:t>•</a:t>
            </a:fld>
            <a:endParaRPr lang="en-IN" sz="1100"/>
          </a:p>
        </xdr:txBody>
      </xdr:sp>
    </xdr:grpSp>
    <xdr:clientData/>
  </xdr:twoCellAnchor>
  <xdr:twoCellAnchor>
    <xdr:from>
      <xdr:col>13</xdr:col>
      <xdr:colOff>347935</xdr:colOff>
      <xdr:row>27</xdr:row>
      <xdr:rowOff>48398</xdr:rowOff>
    </xdr:from>
    <xdr:to>
      <xdr:col>14</xdr:col>
      <xdr:colOff>321384</xdr:colOff>
      <xdr:row>30</xdr:row>
      <xdr:rowOff>52820</xdr:rowOff>
    </xdr:to>
    <xdr:grpSp>
      <xdr:nvGrpSpPr>
        <xdr:cNvPr id="233" name="Group 232">
          <a:extLst>
            <a:ext uri="{FF2B5EF4-FFF2-40B4-BE49-F238E27FC236}">
              <a16:creationId xmlns:a16="http://schemas.microsoft.com/office/drawing/2014/main" id="{BFB242D0-2397-4D5D-929A-6DF0528B2C33}"/>
            </a:ext>
          </a:extLst>
        </xdr:cNvPr>
        <xdr:cNvGrpSpPr/>
      </xdr:nvGrpSpPr>
      <xdr:grpSpPr>
        <a:xfrm>
          <a:off x="8272735" y="5191898"/>
          <a:ext cx="583049" cy="575922"/>
          <a:chOff x="5500993" y="5725978"/>
          <a:chExt cx="584590" cy="582529"/>
        </a:xfrm>
      </xdr:grpSpPr>
      <xdr:sp macro="" textlink="'Pivot Tables'!BG10">
        <xdr:nvSpPr>
          <xdr:cNvPr id="234" name="TextBox 233">
            <a:extLst>
              <a:ext uri="{FF2B5EF4-FFF2-40B4-BE49-F238E27FC236}">
                <a16:creationId xmlns:a16="http://schemas.microsoft.com/office/drawing/2014/main" id="{3821B425-4505-383F-B78C-A3DF47053D4E}"/>
              </a:ext>
            </a:extLst>
          </xdr:cNvPr>
          <xdr:cNvSpPr txBox="1"/>
        </xdr:nvSpPr>
        <xdr:spPr>
          <a:xfrm>
            <a:off x="5501692" y="5725978"/>
            <a:ext cx="583193" cy="5825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EBA58C4-DFA6-4024-8421-14965DAB029E}" type="TxLink">
              <a:rPr lang="en-US" sz="1600" b="0" i="0" u="none" strike="noStrike">
                <a:solidFill>
                  <a:srgbClr val="C240DB"/>
                </a:solidFill>
                <a:latin typeface="Calibri"/>
                <a:ea typeface="Calibri"/>
                <a:cs typeface="Calibri"/>
              </a:rPr>
              <a:pPr algn="ctr"/>
              <a:t> </a:t>
            </a:fld>
            <a:endParaRPr lang="en-IN" sz="1100"/>
          </a:p>
        </xdr:txBody>
      </xdr:sp>
      <xdr:sp macro="" textlink="'Pivot Tables'!BI10">
        <xdr:nvSpPr>
          <xdr:cNvPr id="235" name="TextBox 234">
            <a:extLst>
              <a:ext uri="{FF2B5EF4-FFF2-40B4-BE49-F238E27FC236}">
                <a16:creationId xmlns:a16="http://schemas.microsoft.com/office/drawing/2014/main" id="{0E79CF48-54BC-0ECA-60C5-381A550B294D}"/>
              </a:ext>
            </a:extLst>
          </xdr:cNvPr>
          <xdr:cNvSpPr txBox="1"/>
        </xdr:nvSpPr>
        <xdr:spPr>
          <a:xfrm>
            <a:off x="5500993" y="5725978"/>
            <a:ext cx="584590" cy="5825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5A83A3F-58AC-46C1-B809-333ABDD962E0}" type="TxLink">
              <a:rPr lang="en-US" sz="1600" b="0" i="0" u="none" strike="noStrike">
                <a:solidFill>
                  <a:srgbClr val="0F11A7"/>
                </a:solidFill>
                <a:latin typeface="Calibri"/>
                <a:ea typeface="Calibri"/>
                <a:cs typeface="Calibri"/>
              </a:rPr>
              <a:pPr algn="ctr"/>
              <a:t>•</a:t>
            </a:fld>
            <a:endParaRPr lang="en-IN" sz="1100"/>
          </a:p>
        </xdr:txBody>
      </xdr:sp>
    </xdr:grpSp>
    <xdr:clientData/>
  </xdr:twoCellAnchor>
  <xdr:twoCellAnchor>
    <xdr:from>
      <xdr:col>13</xdr:col>
      <xdr:colOff>163505</xdr:colOff>
      <xdr:row>30</xdr:row>
      <xdr:rowOff>38770</xdr:rowOff>
    </xdr:from>
    <xdr:to>
      <xdr:col>14</xdr:col>
      <xdr:colOff>136954</xdr:colOff>
      <xdr:row>33</xdr:row>
      <xdr:rowOff>43196</xdr:rowOff>
    </xdr:to>
    <xdr:grpSp>
      <xdr:nvGrpSpPr>
        <xdr:cNvPr id="236" name="Group 235">
          <a:extLst>
            <a:ext uri="{FF2B5EF4-FFF2-40B4-BE49-F238E27FC236}">
              <a16:creationId xmlns:a16="http://schemas.microsoft.com/office/drawing/2014/main" id="{C2A91EFC-236E-43D2-A9D0-91928BCB2CC0}"/>
            </a:ext>
          </a:extLst>
        </xdr:cNvPr>
        <xdr:cNvGrpSpPr/>
      </xdr:nvGrpSpPr>
      <xdr:grpSpPr>
        <a:xfrm>
          <a:off x="8088305" y="5753770"/>
          <a:ext cx="583049" cy="575926"/>
          <a:chOff x="5480209" y="6322668"/>
          <a:chExt cx="584590" cy="582533"/>
        </a:xfrm>
      </xdr:grpSpPr>
      <xdr:sp macro="" textlink="'Pivot Tables'!BH10">
        <xdr:nvSpPr>
          <xdr:cNvPr id="237" name="TextBox 236">
            <a:extLst>
              <a:ext uri="{FF2B5EF4-FFF2-40B4-BE49-F238E27FC236}">
                <a16:creationId xmlns:a16="http://schemas.microsoft.com/office/drawing/2014/main" id="{E9E127E7-44D4-EFD9-DF40-D64CB3FB7BC2}"/>
              </a:ext>
            </a:extLst>
          </xdr:cNvPr>
          <xdr:cNvSpPr txBox="1"/>
        </xdr:nvSpPr>
        <xdr:spPr>
          <a:xfrm>
            <a:off x="5480908" y="6322668"/>
            <a:ext cx="583193" cy="5825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DEF8982-02A5-4133-B7D6-273FD2A26C45}" type="TxLink">
              <a:rPr lang="en-US" sz="1600" b="0" i="0" u="none" strike="noStrike">
                <a:solidFill>
                  <a:srgbClr val="5A097C"/>
                </a:solidFill>
                <a:latin typeface="Calibri"/>
                <a:ea typeface="Calibri"/>
                <a:cs typeface="Calibri"/>
              </a:rPr>
              <a:pPr algn="ctr"/>
              <a:t> </a:t>
            </a:fld>
            <a:endParaRPr lang="en-IN" sz="1100"/>
          </a:p>
        </xdr:txBody>
      </xdr:sp>
      <xdr:sp macro="" textlink="'Pivot Tables'!BJ10">
        <xdr:nvSpPr>
          <xdr:cNvPr id="238" name="TextBox 237">
            <a:extLst>
              <a:ext uri="{FF2B5EF4-FFF2-40B4-BE49-F238E27FC236}">
                <a16:creationId xmlns:a16="http://schemas.microsoft.com/office/drawing/2014/main" id="{A0ED7B0C-6BE0-943B-4D82-9ED774CEEE65}"/>
              </a:ext>
            </a:extLst>
          </xdr:cNvPr>
          <xdr:cNvSpPr txBox="1"/>
        </xdr:nvSpPr>
        <xdr:spPr>
          <a:xfrm>
            <a:off x="5480209" y="6322672"/>
            <a:ext cx="584590" cy="5825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DD16F9B-9991-4A80-9102-391FFF707124}" type="TxLink">
              <a:rPr lang="en-US" sz="1600" b="0" i="0" u="none" strike="noStrike">
                <a:solidFill>
                  <a:srgbClr val="296EFC"/>
                </a:solidFill>
                <a:latin typeface="Calibri"/>
                <a:ea typeface="Calibri"/>
                <a:cs typeface="Calibri"/>
              </a:rPr>
              <a:pPr algn="ctr"/>
              <a:t>•</a:t>
            </a:fld>
            <a:endParaRPr lang="en-IN" sz="1100"/>
          </a:p>
        </xdr:txBody>
      </xdr:sp>
    </xdr:grpSp>
    <xdr:clientData/>
  </xdr:twoCellAnchor>
  <xdr:twoCellAnchor>
    <xdr:from>
      <xdr:col>13</xdr:col>
      <xdr:colOff>349923</xdr:colOff>
      <xdr:row>29</xdr:row>
      <xdr:rowOff>44893</xdr:rowOff>
    </xdr:from>
    <xdr:to>
      <xdr:col>14</xdr:col>
      <xdr:colOff>323372</xdr:colOff>
      <xdr:row>32</xdr:row>
      <xdr:rowOff>49319</xdr:rowOff>
    </xdr:to>
    <xdr:grpSp>
      <xdr:nvGrpSpPr>
        <xdr:cNvPr id="239" name="Group 238">
          <a:extLst>
            <a:ext uri="{FF2B5EF4-FFF2-40B4-BE49-F238E27FC236}">
              <a16:creationId xmlns:a16="http://schemas.microsoft.com/office/drawing/2014/main" id="{6FE01C33-C302-46B9-9407-724564E0876D}"/>
            </a:ext>
          </a:extLst>
        </xdr:cNvPr>
        <xdr:cNvGrpSpPr/>
      </xdr:nvGrpSpPr>
      <xdr:grpSpPr>
        <a:xfrm>
          <a:off x="8274723" y="5569393"/>
          <a:ext cx="583049" cy="575926"/>
          <a:chOff x="5480209" y="6322668"/>
          <a:chExt cx="584590" cy="582533"/>
        </a:xfrm>
      </xdr:grpSpPr>
      <xdr:sp macro="" textlink="'Pivot Tables'!BH10">
        <xdr:nvSpPr>
          <xdr:cNvPr id="240" name="TextBox 239">
            <a:extLst>
              <a:ext uri="{FF2B5EF4-FFF2-40B4-BE49-F238E27FC236}">
                <a16:creationId xmlns:a16="http://schemas.microsoft.com/office/drawing/2014/main" id="{C440AB77-C2E9-54FA-15C6-35EF5B7E6EF5}"/>
              </a:ext>
            </a:extLst>
          </xdr:cNvPr>
          <xdr:cNvSpPr txBox="1"/>
        </xdr:nvSpPr>
        <xdr:spPr>
          <a:xfrm>
            <a:off x="5480908" y="6322668"/>
            <a:ext cx="583193" cy="5825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DEF8982-02A5-4133-B7D6-273FD2A26C45}" type="TxLink">
              <a:rPr lang="en-US" sz="1600" b="0" i="0" u="none" strike="noStrike">
                <a:solidFill>
                  <a:srgbClr val="5A097C"/>
                </a:solidFill>
                <a:latin typeface="Calibri"/>
                <a:ea typeface="Calibri"/>
                <a:cs typeface="Calibri"/>
              </a:rPr>
              <a:pPr algn="ctr"/>
              <a:t> </a:t>
            </a:fld>
            <a:endParaRPr lang="en-IN" sz="1100"/>
          </a:p>
        </xdr:txBody>
      </xdr:sp>
      <xdr:sp macro="" textlink="'Pivot Tables'!BJ10">
        <xdr:nvSpPr>
          <xdr:cNvPr id="241" name="TextBox 240">
            <a:extLst>
              <a:ext uri="{FF2B5EF4-FFF2-40B4-BE49-F238E27FC236}">
                <a16:creationId xmlns:a16="http://schemas.microsoft.com/office/drawing/2014/main" id="{DE549910-AE18-432E-CCEA-9A0A6FD4DE91}"/>
              </a:ext>
            </a:extLst>
          </xdr:cNvPr>
          <xdr:cNvSpPr txBox="1"/>
        </xdr:nvSpPr>
        <xdr:spPr>
          <a:xfrm>
            <a:off x="5480209" y="6322672"/>
            <a:ext cx="584590" cy="5825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DD16F9B-9991-4A80-9102-391FFF707124}" type="TxLink">
              <a:rPr lang="en-US" sz="1600" b="0" i="0" u="none" strike="noStrike">
                <a:solidFill>
                  <a:srgbClr val="296EFC"/>
                </a:solidFill>
                <a:latin typeface="Calibri"/>
                <a:ea typeface="Calibri"/>
                <a:cs typeface="Calibri"/>
              </a:rPr>
              <a:pPr algn="ctr"/>
              <a:t>•</a:t>
            </a:fld>
            <a:endParaRPr lang="en-IN" sz="1100"/>
          </a:p>
        </xdr:txBody>
      </xdr:sp>
    </xdr:grpSp>
    <xdr:clientData/>
  </xdr:twoCellAnchor>
  <xdr:twoCellAnchor>
    <xdr:from>
      <xdr:col>13</xdr:col>
      <xdr:colOff>349242</xdr:colOff>
      <xdr:row>28</xdr:row>
      <xdr:rowOff>139460</xdr:rowOff>
    </xdr:from>
    <xdr:to>
      <xdr:col>14</xdr:col>
      <xdr:colOff>322691</xdr:colOff>
      <xdr:row>31</xdr:row>
      <xdr:rowOff>143886</xdr:rowOff>
    </xdr:to>
    <xdr:grpSp>
      <xdr:nvGrpSpPr>
        <xdr:cNvPr id="242" name="Group 241">
          <a:extLst>
            <a:ext uri="{FF2B5EF4-FFF2-40B4-BE49-F238E27FC236}">
              <a16:creationId xmlns:a16="http://schemas.microsoft.com/office/drawing/2014/main" id="{D33709AE-F659-45D9-9DE9-E3DEEFB5B591}"/>
            </a:ext>
          </a:extLst>
        </xdr:cNvPr>
        <xdr:cNvGrpSpPr/>
      </xdr:nvGrpSpPr>
      <xdr:grpSpPr>
        <a:xfrm>
          <a:off x="8274042" y="5473460"/>
          <a:ext cx="583049" cy="575926"/>
          <a:chOff x="5480209" y="6322668"/>
          <a:chExt cx="584590" cy="582533"/>
        </a:xfrm>
      </xdr:grpSpPr>
      <xdr:sp macro="" textlink="'Pivot Tables'!BH10">
        <xdr:nvSpPr>
          <xdr:cNvPr id="243" name="TextBox 242">
            <a:extLst>
              <a:ext uri="{FF2B5EF4-FFF2-40B4-BE49-F238E27FC236}">
                <a16:creationId xmlns:a16="http://schemas.microsoft.com/office/drawing/2014/main" id="{F6C5A44C-196E-D174-B1CC-8B49192E736C}"/>
              </a:ext>
            </a:extLst>
          </xdr:cNvPr>
          <xdr:cNvSpPr txBox="1"/>
        </xdr:nvSpPr>
        <xdr:spPr>
          <a:xfrm>
            <a:off x="5480908" y="6322668"/>
            <a:ext cx="583193" cy="5825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DEF8982-02A5-4133-B7D6-273FD2A26C45}" type="TxLink">
              <a:rPr lang="en-US" sz="1600" b="0" i="0" u="none" strike="noStrike">
                <a:solidFill>
                  <a:srgbClr val="5A097C"/>
                </a:solidFill>
                <a:latin typeface="Calibri"/>
                <a:ea typeface="Calibri"/>
                <a:cs typeface="Calibri"/>
              </a:rPr>
              <a:pPr algn="ctr"/>
              <a:t> </a:t>
            </a:fld>
            <a:endParaRPr lang="en-IN" sz="1100"/>
          </a:p>
        </xdr:txBody>
      </xdr:sp>
      <xdr:sp macro="" textlink="'Pivot Tables'!BJ10">
        <xdr:nvSpPr>
          <xdr:cNvPr id="244" name="TextBox 243">
            <a:extLst>
              <a:ext uri="{FF2B5EF4-FFF2-40B4-BE49-F238E27FC236}">
                <a16:creationId xmlns:a16="http://schemas.microsoft.com/office/drawing/2014/main" id="{48AD1C32-4F86-B1E3-2490-3EF95A1DF118}"/>
              </a:ext>
            </a:extLst>
          </xdr:cNvPr>
          <xdr:cNvSpPr txBox="1"/>
        </xdr:nvSpPr>
        <xdr:spPr>
          <a:xfrm>
            <a:off x="5480209" y="6322672"/>
            <a:ext cx="584590" cy="5825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DD16F9B-9991-4A80-9102-391FFF707124}" type="TxLink">
              <a:rPr lang="en-US" sz="1600" b="0" i="0" u="none" strike="noStrike">
                <a:solidFill>
                  <a:srgbClr val="296EFC"/>
                </a:solidFill>
                <a:latin typeface="Calibri"/>
                <a:ea typeface="Calibri"/>
                <a:cs typeface="Calibri"/>
              </a:rPr>
              <a:pPr algn="ctr"/>
              <a:t>•</a:t>
            </a:fld>
            <a:endParaRPr lang="en-IN" sz="1100"/>
          </a:p>
        </xdr:txBody>
      </xdr:sp>
    </xdr:grpSp>
    <xdr:clientData/>
  </xdr:twoCellAnchor>
  <xdr:twoCellAnchor>
    <xdr:from>
      <xdr:col>13</xdr:col>
      <xdr:colOff>447212</xdr:colOff>
      <xdr:row>28</xdr:row>
      <xdr:rowOff>138776</xdr:rowOff>
    </xdr:from>
    <xdr:to>
      <xdr:col>14</xdr:col>
      <xdr:colOff>420661</xdr:colOff>
      <xdr:row>31</xdr:row>
      <xdr:rowOff>143202</xdr:rowOff>
    </xdr:to>
    <xdr:grpSp>
      <xdr:nvGrpSpPr>
        <xdr:cNvPr id="245" name="Group 244">
          <a:extLst>
            <a:ext uri="{FF2B5EF4-FFF2-40B4-BE49-F238E27FC236}">
              <a16:creationId xmlns:a16="http://schemas.microsoft.com/office/drawing/2014/main" id="{6950A23B-E4A6-4160-A322-3E3FD8B157BF}"/>
            </a:ext>
          </a:extLst>
        </xdr:cNvPr>
        <xdr:cNvGrpSpPr/>
      </xdr:nvGrpSpPr>
      <xdr:grpSpPr>
        <a:xfrm>
          <a:off x="8372012" y="5472776"/>
          <a:ext cx="583049" cy="575926"/>
          <a:chOff x="5480209" y="6322668"/>
          <a:chExt cx="584590" cy="582533"/>
        </a:xfrm>
      </xdr:grpSpPr>
      <xdr:sp macro="" textlink="'Pivot Tables'!BH10">
        <xdr:nvSpPr>
          <xdr:cNvPr id="246" name="TextBox 245">
            <a:extLst>
              <a:ext uri="{FF2B5EF4-FFF2-40B4-BE49-F238E27FC236}">
                <a16:creationId xmlns:a16="http://schemas.microsoft.com/office/drawing/2014/main" id="{F0045FA2-823B-B481-4524-202463984B67}"/>
              </a:ext>
            </a:extLst>
          </xdr:cNvPr>
          <xdr:cNvSpPr txBox="1"/>
        </xdr:nvSpPr>
        <xdr:spPr>
          <a:xfrm>
            <a:off x="5480908" y="6322668"/>
            <a:ext cx="583193" cy="5825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DEF8982-02A5-4133-B7D6-273FD2A26C45}" type="TxLink">
              <a:rPr lang="en-US" sz="1600" b="0" i="0" u="none" strike="noStrike">
                <a:solidFill>
                  <a:srgbClr val="5A097C"/>
                </a:solidFill>
                <a:latin typeface="Calibri"/>
                <a:ea typeface="Calibri"/>
                <a:cs typeface="Calibri"/>
              </a:rPr>
              <a:pPr algn="ctr"/>
              <a:t> </a:t>
            </a:fld>
            <a:endParaRPr lang="en-IN" sz="1100"/>
          </a:p>
        </xdr:txBody>
      </xdr:sp>
      <xdr:sp macro="" textlink="'Pivot Tables'!BJ10">
        <xdr:nvSpPr>
          <xdr:cNvPr id="247" name="TextBox 246">
            <a:extLst>
              <a:ext uri="{FF2B5EF4-FFF2-40B4-BE49-F238E27FC236}">
                <a16:creationId xmlns:a16="http://schemas.microsoft.com/office/drawing/2014/main" id="{8C33967D-3FDA-154E-3181-B94ABACA167E}"/>
              </a:ext>
            </a:extLst>
          </xdr:cNvPr>
          <xdr:cNvSpPr txBox="1"/>
        </xdr:nvSpPr>
        <xdr:spPr>
          <a:xfrm>
            <a:off x="5480209" y="6322672"/>
            <a:ext cx="584590" cy="5825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DD16F9B-9991-4A80-9102-391FFF707124}" type="TxLink">
              <a:rPr lang="en-US" sz="1600" b="0" i="0" u="none" strike="noStrike">
                <a:solidFill>
                  <a:srgbClr val="296EFC"/>
                </a:solidFill>
                <a:latin typeface="Calibri"/>
                <a:ea typeface="Calibri"/>
                <a:cs typeface="Calibri"/>
              </a:rPr>
              <a:pPr algn="ctr"/>
              <a:t>•</a:t>
            </a:fld>
            <a:endParaRPr lang="en-IN" sz="1100"/>
          </a:p>
        </xdr:txBody>
      </xdr:sp>
    </xdr:grpSp>
    <xdr:clientData/>
  </xdr:twoCellAnchor>
  <xdr:twoCellAnchor>
    <xdr:from>
      <xdr:col>13</xdr:col>
      <xdr:colOff>256713</xdr:colOff>
      <xdr:row>27</xdr:row>
      <xdr:rowOff>142178</xdr:rowOff>
    </xdr:from>
    <xdr:to>
      <xdr:col>14</xdr:col>
      <xdr:colOff>230162</xdr:colOff>
      <xdr:row>30</xdr:row>
      <xdr:rowOff>146604</xdr:rowOff>
    </xdr:to>
    <xdr:grpSp>
      <xdr:nvGrpSpPr>
        <xdr:cNvPr id="248" name="Group 247">
          <a:extLst>
            <a:ext uri="{FF2B5EF4-FFF2-40B4-BE49-F238E27FC236}">
              <a16:creationId xmlns:a16="http://schemas.microsoft.com/office/drawing/2014/main" id="{420D4996-B32F-CBFD-A1F3-F04C3E132DA7}"/>
            </a:ext>
          </a:extLst>
        </xdr:cNvPr>
        <xdr:cNvGrpSpPr/>
      </xdr:nvGrpSpPr>
      <xdr:grpSpPr>
        <a:xfrm>
          <a:off x="8181513" y="5285678"/>
          <a:ext cx="583049" cy="575926"/>
          <a:chOff x="5480209" y="6322668"/>
          <a:chExt cx="584590" cy="582533"/>
        </a:xfrm>
      </xdr:grpSpPr>
      <xdr:sp macro="" textlink="'Pivot Tables'!BH10">
        <xdr:nvSpPr>
          <xdr:cNvPr id="249" name="TextBox 248">
            <a:extLst>
              <a:ext uri="{FF2B5EF4-FFF2-40B4-BE49-F238E27FC236}">
                <a16:creationId xmlns:a16="http://schemas.microsoft.com/office/drawing/2014/main" id="{A382EC97-C134-1030-4583-3B9F293591ED}"/>
              </a:ext>
            </a:extLst>
          </xdr:cNvPr>
          <xdr:cNvSpPr txBox="1"/>
        </xdr:nvSpPr>
        <xdr:spPr>
          <a:xfrm>
            <a:off x="5480908" y="6322668"/>
            <a:ext cx="583193" cy="5825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DEF8982-02A5-4133-B7D6-273FD2A26C45}" type="TxLink">
              <a:rPr lang="en-US" sz="1600" b="0" i="0" u="none" strike="noStrike">
                <a:solidFill>
                  <a:srgbClr val="5A097C"/>
                </a:solidFill>
                <a:latin typeface="Calibri"/>
                <a:ea typeface="Calibri"/>
                <a:cs typeface="Calibri"/>
              </a:rPr>
              <a:pPr algn="ctr"/>
              <a:t> </a:t>
            </a:fld>
            <a:endParaRPr lang="en-IN" sz="1100"/>
          </a:p>
        </xdr:txBody>
      </xdr:sp>
      <xdr:sp macro="" textlink="'Pivot Tables'!BJ10">
        <xdr:nvSpPr>
          <xdr:cNvPr id="250" name="TextBox 249">
            <a:extLst>
              <a:ext uri="{FF2B5EF4-FFF2-40B4-BE49-F238E27FC236}">
                <a16:creationId xmlns:a16="http://schemas.microsoft.com/office/drawing/2014/main" id="{9338D7A0-4F34-95CC-BF67-871ABC40EFDC}"/>
              </a:ext>
            </a:extLst>
          </xdr:cNvPr>
          <xdr:cNvSpPr txBox="1"/>
        </xdr:nvSpPr>
        <xdr:spPr>
          <a:xfrm>
            <a:off x="5480209" y="6322672"/>
            <a:ext cx="584590" cy="5825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DD16F9B-9991-4A80-9102-391FFF707124}" type="TxLink">
              <a:rPr lang="en-US" sz="1600" b="0" i="0" u="none" strike="noStrike">
                <a:solidFill>
                  <a:srgbClr val="296EFC"/>
                </a:solidFill>
                <a:latin typeface="Calibri"/>
                <a:ea typeface="Calibri"/>
                <a:cs typeface="Calibri"/>
              </a:rPr>
              <a:pPr algn="ctr"/>
              <a:t>•</a:t>
            </a:fld>
            <a:endParaRPr lang="en-IN" sz="1100"/>
          </a:p>
        </xdr:txBody>
      </xdr:sp>
    </xdr:grpSp>
    <xdr:clientData/>
  </xdr:twoCellAnchor>
  <xdr:twoCellAnchor>
    <xdr:from>
      <xdr:col>13</xdr:col>
      <xdr:colOff>160784</xdr:colOff>
      <xdr:row>28</xdr:row>
      <xdr:rowOff>42844</xdr:rowOff>
    </xdr:from>
    <xdr:to>
      <xdr:col>14</xdr:col>
      <xdr:colOff>134233</xdr:colOff>
      <xdr:row>31</xdr:row>
      <xdr:rowOff>47270</xdr:rowOff>
    </xdr:to>
    <xdr:grpSp>
      <xdr:nvGrpSpPr>
        <xdr:cNvPr id="251" name="Group 250">
          <a:extLst>
            <a:ext uri="{FF2B5EF4-FFF2-40B4-BE49-F238E27FC236}">
              <a16:creationId xmlns:a16="http://schemas.microsoft.com/office/drawing/2014/main" id="{1FFF39FE-13CB-4D35-B93E-784C55EFF780}"/>
            </a:ext>
          </a:extLst>
        </xdr:cNvPr>
        <xdr:cNvGrpSpPr/>
      </xdr:nvGrpSpPr>
      <xdr:grpSpPr>
        <a:xfrm>
          <a:off x="8085584" y="5376844"/>
          <a:ext cx="583049" cy="575926"/>
          <a:chOff x="5480209" y="6322668"/>
          <a:chExt cx="584590" cy="582533"/>
        </a:xfrm>
      </xdr:grpSpPr>
      <xdr:sp macro="" textlink="'Pivot Tables'!BH10">
        <xdr:nvSpPr>
          <xdr:cNvPr id="252" name="TextBox 251">
            <a:extLst>
              <a:ext uri="{FF2B5EF4-FFF2-40B4-BE49-F238E27FC236}">
                <a16:creationId xmlns:a16="http://schemas.microsoft.com/office/drawing/2014/main" id="{DBCD4EC8-53B6-CC6F-DF6A-7407A6B09E5F}"/>
              </a:ext>
            </a:extLst>
          </xdr:cNvPr>
          <xdr:cNvSpPr txBox="1"/>
        </xdr:nvSpPr>
        <xdr:spPr>
          <a:xfrm>
            <a:off x="5480908" y="6322668"/>
            <a:ext cx="583193" cy="5825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DEF8982-02A5-4133-B7D6-273FD2A26C45}" type="TxLink">
              <a:rPr lang="en-US" sz="1600" b="0" i="0" u="none" strike="noStrike">
                <a:solidFill>
                  <a:srgbClr val="5A097C"/>
                </a:solidFill>
                <a:latin typeface="Calibri"/>
                <a:ea typeface="Calibri"/>
                <a:cs typeface="Calibri"/>
              </a:rPr>
              <a:pPr algn="ctr"/>
              <a:t> </a:t>
            </a:fld>
            <a:endParaRPr lang="en-IN" sz="1100"/>
          </a:p>
        </xdr:txBody>
      </xdr:sp>
      <xdr:sp macro="" textlink="'Pivot Tables'!BJ10">
        <xdr:nvSpPr>
          <xdr:cNvPr id="253" name="TextBox 252">
            <a:extLst>
              <a:ext uri="{FF2B5EF4-FFF2-40B4-BE49-F238E27FC236}">
                <a16:creationId xmlns:a16="http://schemas.microsoft.com/office/drawing/2014/main" id="{6C7127F9-53AF-5B4B-988B-461C44A60B54}"/>
              </a:ext>
            </a:extLst>
          </xdr:cNvPr>
          <xdr:cNvSpPr txBox="1"/>
        </xdr:nvSpPr>
        <xdr:spPr>
          <a:xfrm>
            <a:off x="5480209" y="6322672"/>
            <a:ext cx="584590" cy="5825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DD16F9B-9991-4A80-9102-391FFF707124}" type="TxLink">
              <a:rPr lang="en-US" sz="1600" b="0" i="0" u="none" strike="noStrike">
                <a:solidFill>
                  <a:srgbClr val="296EFC"/>
                </a:solidFill>
                <a:latin typeface="Calibri"/>
                <a:ea typeface="Calibri"/>
                <a:cs typeface="Calibri"/>
              </a:rPr>
              <a:pPr algn="ctr"/>
              <a:t>•</a:t>
            </a:fld>
            <a:endParaRPr lang="en-IN" sz="1100"/>
          </a:p>
        </xdr:txBody>
      </xdr:sp>
    </xdr:grpSp>
    <xdr:clientData/>
  </xdr:twoCellAnchor>
  <xdr:twoCellAnchor>
    <xdr:from>
      <xdr:col>13</xdr:col>
      <xdr:colOff>68252</xdr:colOff>
      <xdr:row>27</xdr:row>
      <xdr:rowOff>137412</xdr:rowOff>
    </xdr:from>
    <xdr:to>
      <xdr:col>14</xdr:col>
      <xdr:colOff>41701</xdr:colOff>
      <xdr:row>30</xdr:row>
      <xdr:rowOff>141838</xdr:rowOff>
    </xdr:to>
    <xdr:grpSp>
      <xdr:nvGrpSpPr>
        <xdr:cNvPr id="254" name="Group 253">
          <a:extLst>
            <a:ext uri="{FF2B5EF4-FFF2-40B4-BE49-F238E27FC236}">
              <a16:creationId xmlns:a16="http://schemas.microsoft.com/office/drawing/2014/main" id="{5B902E4F-F0D8-4077-8363-68E24420F789}"/>
            </a:ext>
          </a:extLst>
        </xdr:cNvPr>
        <xdr:cNvGrpSpPr/>
      </xdr:nvGrpSpPr>
      <xdr:grpSpPr>
        <a:xfrm>
          <a:off x="7993052" y="5280912"/>
          <a:ext cx="583049" cy="575926"/>
          <a:chOff x="5480209" y="6322668"/>
          <a:chExt cx="584590" cy="582533"/>
        </a:xfrm>
      </xdr:grpSpPr>
      <xdr:sp macro="" textlink="'Pivot Tables'!BH10">
        <xdr:nvSpPr>
          <xdr:cNvPr id="255" name="TextBox 254">
            <a:extLst>
              <a:ext uri="{FF2B5EF4-FFF2-40B4-BE49-F238E27FC236}">
                <a16:creationId xmlns:a16="http://schemas.microsoft.com/office/drawing/2014/main" id="{DEABB198-FDB3-9FAB-6271-6DD18285594C}"/>
              </a:ext>
            </a:extLst>
          </xdr:cNvPr>
          <xdr:cNvSpPr txBox="1"/>
        </xdr:nvSpPr>
        <xdr:spPr>
          <a:xfrm>
            <a:off x="5480908" y="6322668"/>
            <a:ext cx="583193" cy="5825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DEF8982-02A5-4133-B7D6-273FD2A26C45}" type="TxLink">
              <a:rPr lang="en-US" sz="1600" b="0" i="0" u="none" strike="noStrike">
                <a:solidFill>
                  <a:srgbClr val="5A097C"/>
                </a:solidFill>
                <a:latin typeface="Calibri"/>
                <a:ea typeface="Calibri"/>
                <a:cs typeface="Calibri"/>
              </a:rPr>
              <a:pPr algn="ctr"/>
              <a:t> </a:t>
            </a:fld>
            <a:endParaRPr lang="en-IN" sz="1100"/>
          </a:p>
        </xdr:txBody>
      </xdr:sp>
      <xdr:sp macro="" textlink="'Pivot Tables'!BJ10">
        <xdr:nvSpPr>
          <xdr:cNvPr id="321" name="TextBox 320">
            <a:extLst>
              <a:ext uri="{FF2B5EF4-FFF2-40B4-BE49-F238E27FC236}">
                <a16:creationId xmlns:a16="http://schemas.microsoft.com/office/drawing/2014/main" id="{C5BCCBB5-B382-5CB6-94B1-B7B96F566C00}"/>
              </a:ext>
            </a:extLst>
          </xdr:cNvPr>
          <xdr:cNvSpPr txBox="1"/>
        </xdr:nvSpPr>
        <xdr:spPr>
          <a:xfrm>
            <a:off x="5480209" y="6322672"/>
            <a:ext cx="584590" cy="5825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DD16F9B-9991-4A80-9102-391FFF707124}" type="TxLink">
              <a:rPr lang="en-US" sz="1600" b="0" i="0" u="none" strike="noStrike">
                <a:solidFill>
                  <a:srgbClr val="296EFC"/>
                </a:solidFill>
                <a:latin typeface="Calibri"/>
                <a:ea typeface="Calibri"/>
                <a:cs typeface="Calibri"/>
              </a:rPr>
              <a:pPr algn="ctr"/>
              <a:t>•</a:t>
            </a:fld>
            <a:endParaRPr lang="en-IN" sz="1100"/>
          </a:p>
        </xdr:txBody>
      </xdr:sp>
    </xdr:grpSp>
    <xdr:clientData/>
  </xdr:twoCellAnchor>
  <xdr:twoCellAnchor>
    <xdr:from>
      <xdr:col>13</xdr:col>
      <xdr:colOff>67569</xdr:colOff>
      <xdr:row>27</xdr:row>
      <xdr:rowOff>48283</xdr:rowOff>
    </xdr:from>
    <xdr:to>
      <xdr:col>14</xdr:col>
      <xdr:colOff>41018</xdr:colOff>
      <xdr:row>30</xdr:row>
      <xdr:rowOff>52709</xdr:rowOff>
    </xdr:to>
    <xdr:grpSp>
      <xdr:nvGrpSpPr>
        <xdr:cNvPr id="322" name="Group 321">
          <a:extLst>
            <a:ext uri="{FF2B5EF4-FFF2-40B4-BE49-F238E27FC236}">
              <a16:creationId xmlns:a16="http://schemas.microsoft.com/office/drawing/2014/main" id="{564934AA-5017-461C-BF72-30DD090287A8}"/>
            </a:ext>
          </a:extLst>
        </xdr:cNvPr>
        <xdr:cNvGrpSpPr/>
      </xdr:nvGrpSpPr>
      <xdr:grpSpPr>
        <a:xfrm>
          <a:off x="7992369" y="5191783"/>
          <a:ext cx="583049" cy="575926"/>
          <a:chOff x="5480209" y="6322668"/>
          <a:chExt cx="584590" cy="582533"/>
        </a:xfrm>
      </xdr:grpSpPr>
      <xdr:sp macro="" textlink="'Pivot Tables'!BH10">
        <xdr:nvSpPr>
          <xdr:cNvPr id="323" name="TextBox 322">
            <a:extLst>
              <a:ext uri="{FF2B5EF4-FFF2-40B4-BE49-F238E27FC236}">
                <a16:creationId xmlns:a16="http://schemas.microsoft.com/office/drawing/2014/main" id="{609F5BEB-C86B-ABB5-1577-4780E403B7B7}"/>
              </a:ext>
            </a:extLst>
          </xdr:cNvPr>
          <xdr:cNvSpPr txBox="1"/>
        </xdr:nvSpPr>
        <xdr:spPr>
          <a:xfrm>
            <a:off x="5480908" y="6322668"/>
            <a:ext cx="583193" cy="5825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DEF8982-02A5-4133-B7D6-273FD2A26C45}" type="TxLink">
              <a:rPr lang="en-US" sz="1600" b="0" i="0" u="none" strike="noStrike">
                <a:solidFill>
                  <a:srgbClr val="5A097C"/>
                </a:solidFill>
                <a:latin typeface="Calibri"/>
                <a:ea typeface="Calibri"/>
                <a:cs typeface="Calibri"/>
              </a:rPr>
              <a:pPr algn="ctr"/>
              <a:t> </a:t>
            </a:fld>
            <a:endParaRPr lang="en-IN" sz="1100"/>
          </a:p>
        </xdr:txBody>
      </xdr:sp>
      <xdr:sp macro="" textlink="'Pivot Tables'!BJ10">
        <xdr:nvSpPr>
          <xdr:cNvPr id="324" name="TextBox 323">
            <a:extLst>
              <a:ext uri="{FF2B5EF4-FFF2-40B4-BE49-F238E27FC236}">
                <a16:creationId xmlns:a16="http://schemas.microsoft.com/office/drawing/2014/main" id="{C1667BDD-56AF-12A6-3FAA-81B13CE72E17}"/>
              </a:ext>
            </a:extLst>
          </xdr:cNvPr>
          <xdr:cNvSpPr txBox="1"/>
        </xdr:nvSpPr>
        <xdr:spPr>
          <a:xfrm>
            <a:off x="5480209" y="6322672"/>
            <a:ext cx="584590" cy="5825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DD16F9B-9991-4A80-9102-391FFF707124}" type="TxLink">
              <a:rPr lang="en-US" sz="1600" b="0" i="0" u="none" strike="noStrike">
                <a:solidFill>
                  <a:srgbClr val="296EFC"/>
                </a:solidFill>
                <a:latin typeface="Calibri"/>
                <a:ea typeface="Calibri"/>
                <a:cs typeface="Calibri"/>
              </a:rPr>
              <a:pPr algn="ctr"/>
              <a:t>•</a:t>
            </a:fld>
            <a:endParaRPr lang="en-IN" sz="1100"/>
          </a:p>
        </xdr:txBody>
      </xdr:sp>
    </xdr:grpSp>
    <xdr:clientData/>
  </xdr:twoCellAnchor>
  <xdr:twoCellAnchor>
    <xdr:from>
      <xdr:col>12</xdr:col>
      <xdr:colOff>580556</xdr:colOff>
      <xdr:row>27</xdr:row>
      <xdr:rowOff>142853</xdr:rowOff>
    </xdr:from>
    <xdr:to>
      <xdr:col>13</xdr:col>
      <xdr:colOff>554006</xdr:colOff>
      <xdr:row>30</xdr:row>
      <xdr:rowOff>147279</xdr:rowOff>
    </xdr:to>
    <xdr:grpSp>
      <xdr:nvGrpSpPr>
        <xdr:cNvPr id="325" name="Group 324">
          <a:extLst>
            <a:ext uri="{FF2B5EF4-FFF2-40B4-BE49-F238E27FC236}">
              <a16:creationId xmlns:a16="http://schemas.microsoft.com/office/drawing/2014/main" id="{0B4D8373-9A06-4BEB-A9B5-AE4A752AF1B3}"/>
            </a:ext>
          </a:extLst>
        </xdr:cNvPr>
        <xdr:cNvGrpSpPr/>
      </xdr:nvGrpSpPr>
      <xdr:grpSpPr>
        <a:xfrm>
          <a:off x="7895756" y="5286353"/>
          <a:ext cx="583050" cy="575926"/>
          <a:chOff x="5480209" y="6322668"/>
          <a:chExt cx="584590" cy="582533"/>
        </a:xfrm>
      </xdr:grpSpPr>
      <xdr:sp macro="" textlink="'Pivot Tables'!BH10">
        <xdr:nvSpPr>
          <xdr:cNvPr id="326" name="TextBox 325">
            <a:extLst>
              <a:ext uri="{FF2B5EF4-FFF2-40B4-BE49-F238E27FC236}">
                <a16:creationId xmlns:a16="http://schemas.microsoft.com/office/drawing/2014/main" id="{4C57E513-B819-D967-AB12-4FC712F105FC}"/>
              </a:ext>
            </a:extLst>
          </xdr:cNvPr>
          <xdr:cNvSpPr txBox="1"/>
        </xdr:nvSpPr>
        <xdr:spPr>
          <a:xfrm>
            <a:off x="5480908" y="6322668"/>
            <a:ext cx="583193" cy="5825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DEF8982-02A5-4133-B7D6-273FD2A26C45}" type="TxLink">
              <a:rPr lang="en-US" sz="1600" b="0" i="0" u="none" strike="noStrike">
                <a:solidFill>
                  <a:srgbClr val="5A097C"/>
                </a:solidFill>
                <a:latin typeface="Calibri"/>
                <a:ea typeface="Calibri"/>
                <a:cs typeface="Calibri"/>
              </a:rPr>
              <a:pPr algn="ctr"/>
              <a:t> </a:t>
            </a:fld>
            <a:endParaRPr lang="en-IN" sz="1100"/>
          </a:p>
        </xdr:txBody>
      </xdr:sp>
      <xdr:sp macro="" textlink="'Pivot Tables'!BJ10">
        <xdr:nvSpPr>
          <xdr:cNvPr id="327" name="TextBox 326">
            <a:extLst>
              <a:ext uri="{FF2B5EF4-FFF2-40B4-BE49-F238E27FC236}">
                <a16:creationId xmlns:a16="http://schemas.microsoft.com/office/drawing/2014/main" id="{08F9349A-6DEF-D7BD-38C1-759E6B31C6AE}"/>
              </a:ext>
            </a:extLst>
          </xdr:cNvPr>
          <xdr:cNvSpPr txBox="1"/>
        </xdr:nvSpPr>
        <xdr:spPr>
          <a:xfrm>
            <a:off x="5480209" y="6322672"/>
            <a:ext cx="584590" cy="5825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DD16F9B-9991-4A80-9102-391FFF707124}" type="TxLink">
              <a:rPr lang="en-US" sz="1600" b="0" i="0" u="none" strike="noStrike">
                <a:solidFill>
                  <a:srgbClr val="296EFC"/>
                </a:solidFill>
                <a:latin typeface="Calibri"/>
                <a:ea typeface="Calibri"/>
                <a:cs typeface="Calibri"/>
              </a:rPr>
              <a:pPr algn="ctr"/>
              <a:t>•</a:t>
            </a:fld>
            <a:endParaRPr lang="en-IN" sz="1100"/>
          </a:p>
        </xdr:txBody>
      </xdr:sp>
    </xdr:grpSp>
    <xdr:clientData/>
  </xdr:twoCellAnchor>
  <xdr:twoCellAnchor>
    <xdr:from>
      <xdr:col>13</xdr:col>
      <xdr:colOff>447212</xdr:colOff>
      <xdr:row>26</xdr:row>
      <xdr:rowOff>142170</xdr:rowOff>
    </xdr:from>
    <xdr:to>
      <xdr:col>14</xdr:col>
      <xdr:colOff>420661</xdr:colOff>
      <xdr:row>29</xdr:row>
      <xdr:rowOff>146596</xdr:rowOff>
    </xdr:to>
    <xdr:grpSp>
      <xdr:nvGrpSpPr>
        <xdr:cNvPr id="328" name="Group 327">
          <a:extLst>
            <a:ext uri="{FF2B5EF4-FFF2-40B4-BE49-F238E27FC236}">
              <a16:creationId xmlns:a16="http://schemas.microsoft.com/office/drawing/2014/main" id="{809866AD-0192-429D-B70B-503D102F3995}"/>
            </a:ext>
          </a:extLst>
        </xdr:cNvPr>
        <xdr:cNvGrpSpPr/>
      </xdr:nvGrpSpPr>
      <xdr:grpSpPr>
        <a:xfrm>
          <a:off x="8372012" y="5095170"/>
          <a:ext cx="583049" cy="575926"/>
          <a:chOff x="5480209" y="6322668"/>
          <a:chExt cx="584590" cy="582533"/>
        </a:xfrm>
      </xdr:grpSpPr>
      <xdr:sp macro="" textlink="'Pivot Tables'!BH10">
        <xdr:nvSpPr>
          <xdr:cNvPr id="329" name="TextBox 328">
            <a:extLst>
              <a:ext uri="{FF2B5EF4-FFF2-40B4-BE49-F238E27FC236}">
                <a16:creationId xmlns:a16="http://schemas.microsoft.com/office/drawing/2014/main" id="{AB007CD6-3411-B792-9521-D42A062EE595}"/>
              </a:ext>
            </a:extLst>
          </xdr:cNvPr>
          <xdr:cNvSpPr txBox="1"/>
        </xdr:nvSpPr>
        <xdr:spPr>
          <a:xfrm>
            <a:off x="5480908" y="6322668"/>
            <a:ext cx="583193" cy="5825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DEF8982-02A5-4133-B7D6-273FD2A26C45}" type="TxLink">
              <a:rPr lang="en-US" sz="1600" b="0" i="0" u="none" strike="noStrike">
                <a:solidFill>
                  <a:srgbClr val="5A097C"/>
                </a:solidFill>
                <a:latin typeface="Calibri"/>
                <a:ea typeface="Calibri"/>
                <a:cs typeface="Calibri"/>
              </a:rPr>
              <a:pPr algn="ctr"/>
              <a:t> </a:t>
            </a:fld>
            <a:endParaRPr lang="en-IN" sz="1100"/>
          </a:p>
        </xdr:txBody>
      </xdr:sp>
      <xdr:sp macro="" textlink="'Pivot Tables'!BJ10">
        <xdr:nvSpPr>
          <xdr:cNvPr id="330" name="TextBox 329">
            <a:extLst>
              <a:ext uri="{FF2B5EF4-FFF2-40B4-BE49-F238E27FC236}">
                <a16:creationId xmlns:a16="http://schemas.microsoft.com/office/drawing/2014/main" id="{3C397B8D-769F-89D4-C1CF-C4A992C01E96}"/>
              </a:ext>
            </a:extLst>
          </xdr:cNvPr>
          <xdr:cNvSpPr txBox="1"/>
        </xdr:nvSpPr>
        <xdr:spPr>
          <a:xfrm>
            <a:off x="5480209" y="6322672"/>
            <a:ext cx="584590" cy="5825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DD16F9B-9991-4A80-9102-391FFF707124}" type="TxLink">
              <a:rPr lang="en-US" sz="1600" b="0" i="0" u="none" strike="noStrike">
                <a:solidFill>
                  <a:srgbClr val="296EFC"/>
                </a:solidFill>
                <a:latin typeface="Calibri"/>
                <a:ea typeface="Calibri"/>
                <a:cs typeface="Calibri"/>
              </a:rPr>
              <a:pPr algn="ctr"/>
              <a:t>•</a:t>
            </a:fld>
            <a:endParaRPr lang="en-IN" sz="1100"/>
          </a:p>
        </xdr:txBody>
      </xdr:sp>
    </xdr:grpSp>
    <xdr:clientData/>
  </xdr:twoCellAnchor>
  <xdr:twoCellAnchor>
    <xdr:from>
      <xdr:col>10</xdr:col>
      <xdr:colOff>567636</xdr:colOff>
      <xdr:row>10</xdr:row>
      <xdr:rowOff>77416</xdr:rowOff>
    </xdr:from>
    <xdr:to>
      <xdr:col>11</xdr:col>
      <xdr:colOff>542001</xdr:colOff>
      <xdr:row>13</xdr:row>
      <xdr:rowOff>81838</xdr:rowOff>
    </xdr:to>
    <xdr:grpSp>
      <xdr:nvGrpSpPr>
        <xdr:cNvPr id="335" name="Group 334">
          <a:extLst>
            <a:ext uri="{FF2B5EF4-FFF2-40B4-BE49-F238E27FC236}">
              <a16:creationId xmlns:a16="http://schemas.microsoft.com/office/drawing/2014/main" id="{3A8E3CF8-308B-0C7B-5F7D-F286C75C78C6}"/>
            </a:ext>
          </a:extLst>
        </xdr:cNvPr>
        <xdr:cNvGrpSpPr/>
      </xdr:nvGrpSpPr>
      <xdr:grpSpPr>
        <a:xfrm>
          <a:off x="6663636" y="1982416"/>
          <a:ext cx="583965" cy="575922"/>
          <a:chOff x="5473629" y="5568701"/>
          <a:chExt cx="581583" cy="575922"/>
        </a:xfrm>
      </xdr:grpSpPr>
      <xdr:sp macro="" textlink="'Pivot Tables'!BG9">
        <xdr:nvSpPr>
          <xdr:cNvPr id="331" name="TextBox 330">
            <a:extLst>
              <a:ext uri="{FF2B5EF4-FFF2-40B4-BE49-F238E27FC236}">
                <a16:creationId xmlns:a16="http://schemas.microsoft.com/office/drawing/2014/main" id="{D46A475E-95CB-A934-5DC7-9D592C1C4F85}"/>
              </a:ext>
            </a:extLst>
          </xdr:cNvPr>
          <xdr:cNvSpPr txBox="1"/>
        </xdr:nvSpPr>
        <xdr:spPr>
          <a:xfrm>
            <a:off x="5474327" y="5568701"/>
            <a:ext cx="580186" cy="5759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77D5D28-7D7C-479E-8F08-28354258BAB6}" type="TxLink">
              <a:rPr lang="en-US" sz="1600" b="0" i="0" u="none" strike="noStrike">
                <a:solidFill>
                  <a:srgbClr val="C240DB"/>
                </a:solidFill>
                <a:latin typeface="Calibri"/>
                <a:ea typeface="Calibri"/>
                <a:cs typeface="Calibri"/>
              </a:rPr>
              <a:pPr algn="ctr"/>
              <a:t> </a:t>
            </a:fld>
            <a:endParaRPr lang="en-IN" sz="1100"/>
          </a:p>
        </xdr:txBody>
      </xdr:sp>
      <xdr:sp macro="" textlink="'Pivot Tables'!BI9">
        <xdr:nvSpPr>
          <xdr:cNvPr id="332" name="TextBox 331">
            <a:extLst>
              <a:ext uri="{FF2B5EF4-FFF2-40B4-BE49-F238E27FC236}">
                <a16:creationId xmlns:a16="http://schemas.microsoft.com/office/drawing/2014/main" id="{C9D4D57B-556F-1A74-EA10-B86B1EF84E2C}"/>
              </a:ext>
            </a:extLst>
          </xdr:cNvPr>
          <xdr:cNvSpPr txBox="1"/>
        </xdr:nvSpPr>
        <xdr:spPr>
          <a:xfrm>
            <a:off x="5473629" y="5568701"/>
            <a:ext cx="581583" cy="5759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80C60DE-1F57-403B-8E39-BD888815A397}" type="TxLink">
              <a:rPr lang="en-US" sz="1600" b="0" i="0" u="none" strike="noStrike">
                <a:solidFill>
                  <a:srgbClr val="0F11A7"/>
                </a:solidFill>
                <a:latin typeface="Calibri"/>
                <a:ea typeface="Calibri"/>
                <a:cs typeface="Calibri"/>
              </a:rPr>
              <a:pPr algn="ctr"/>
              <a:t>•</a:t>
            </a:fld>
            <a:endParaRPr lang="en-IN" sz="1100"/>
          </a:p>
        </xdr:txBody>
      </xdr:sp>
    </xdr:grpSp>
    <xdr:clientData/>
  </xdr:twoCellAnchor>
  <xdr:twoCellAnchor>
    <xdr:from>
      <xdr:col>11</xdr:col>
      <xdr:colOff>55186</xdr:colOff>
      <xdr:row>10</xdr:row>
      <xdr:rowOff>171092</xdr:rowOff>
    </xdr:from>
    <xdr:to>
      <xdr:col>12</xdr:col>
      <xdr:colOff>28634</xdr:colOff>
      <xdr:row>13</xdr:row>
      <xdr:rowOff>175514</xdr:rowOff>
    </xdr:to>
    <xdr:grpSp>
      <xdr:nvGrpSpPr>
        <xdr:cNvPr id="336" name="Group 335">
          <a:extLst>
            <a:ext uri="{FF2B5EF4-FFF2-40B4-BE49-F238E27FC236}">
              <a16:creationId xmlns:a16="http://schemas.microsoft.com/office/drawing/2014/main" id="{4AD222E4-7E91-481F-6D67-BB27BA7AD4C2}"/>
            </a:ext>
          </a:extLst>
        </xdr:cNvPr>
        <xdr:cNvGrpSpPr/>
      </xdr:nvGrpSpPr>
      <xdr:grpSpPr>
        <a:xfrm>
          <a:off x="6760786" y="2076092"/>
          <a:ext cx="583048" cy="575922"/>
          <a:chOff x="5445061" y="6158784"/>
          <a:chExt cx="580667" cy="575922"/>
        </a:xfrm>
      </xdr:grpSpPr>
      <xdr:sp macro="" textlink="'Pivot Tables'!BH9">
        <xdr:nvSpPr>
          <xdr:cNvPr id="333" name="TextBox 332">
            <a:extLst>
              <a:ext uri="{FF2B5EF4-FFF2-40B4-BE49-F238E27FC236}">
                <a16:creationId xmlns:a16="http://schemas.microsoft.com/office/drawing/2014/main" id="{3F161910-E445-B641-D431-F9AE91B3C143}"/>
              </a:ext>
            </a:extLst>
          </xdr:cNvPr>
          <xdr:cNvSpPr txBox="1"/>
        </xdr:nvSpPr>
        <xdr:spPr>
          <a:xfrm>
            <a:off x="5445759" y="6158784"/>
            <a:ext cx="579271" cy="5759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3ABD6F4-EA09-4184-84F2-43C7B60557EA}" type="TxLink">
              <a:rPr lang="en-US" sz="1600" b="0" i="0" u="none" strike="noStrike">
                <a:solidFill>
                  <a:srgbClr val="5A097C"/>
                </a:solidFill>
                <a:latin typeface="Calibri"/>
                <a:ea typeface="Calibri"/>
                <a:cs typeface="Calibri"/>
              </a:rPr>
              <a:pPr algn="ctr"/>
              <a:t> </a:t>
            </a:fld>
            <a:endParaRPr lang="en-IN" sz="1100"/>
          </a:p>
        </xdr:txBody>
      </xdr:sp>
      <xdr:sp macro="" textlink="'Pivot Tables'!BJ9">
        <xdr:nvSpPr>
          <xdr:cNvPr id="334" name="TextBox 333">
            <a:extLst>
              <a:ext uri="{FF2B5EF4-FFF2-40B4-BE49-F238E27FC236}">
                <a16:creationId xmlns:a16="http://schemas.microsoft.com/office/drawing/2014/main" id="{B0FE7E9A-511E-279C-6DF4-9C7D45DA6498}"/>
              </a:ext>
            </a:extLst>
          </xdr:cNvPr>
          <xdr:cNvSpPr txBox="1"/>
        </xdr:nvSpPr>
        <xdr:spPr>
          <a:xfrm>
            <a:off x="5445061" y="6158784"/>
            <a:ext cx="580667" cy="5759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E1A2DEE-EA32-44DF-BED8-9FD855254100}" type="TxLink">
              <a:rPr lang="en-US" sz="1600" b="0" i="0" u="none" strike="noStrike">
                <a:solidFill>
                  <a:srgbClr val="296EFC"/>
                </a:solidFill>
                <a:latin typeface="Calibri"/>
                <a:ea typeface="Calibri"/>
                <a:cs typeface="Calibri"/>
              </a:rPr>
              <a:pPr algn="ctr"/>
              <a:t>•</a:t>
            </a:fld>
            <a:endParaRPr lang="en-IN" sz="1100"/>
          </a:p>
        </xdr:txBody>
      </xdr:sp>
    </xdr:grpSp>
    <xdr:clientData/>
  </xdr:twoCellAnchor>
  <xdr:twoCellAnchor>
    <xdr:from>
      <xdr:col>10</xdr:col>
      <xdr:colOff>377136</xdr:colOff>
      <xdr:row>11</xdr:row>
      <xdr:rowOff>167653</xdr:rowOff>
    </xdr:from>
    <xdr:to>
      <xdr:col>11</xdr:col>
      <xdr:colOff>351501</xdr:colOff>
      <xdr:row>14</xdr:row>
      <xdr:rowOff>172075</xdr:rowOff>
    </xdr:to>
    <xdr:grpSp>
      <xdr:nvGrpSpPr>
        <xdr:cNvPr id="355" name="Group 354">
          <a:extLst>
            <a:ext uri="{FF2B5EF4-FFF2-40B4-BE49-F238E27FC236}">
              <a16:creationId xmlns:a16="http://schemas.microsoft.com/office/drawing/2014/main" id="{669E6F36-B493-FEFB-02FD-A6D9213382E1}"/>
            </a:ext>
          </a:extLst>
        </xdr:cNvPr>
        <xdr:cNvGrpSpPr/>
      </xdr:nvGrpSpPr>
      <xdr:grpSpPr>
        <a:xfrm>
          <a:off x="6473136" y="2263153"/>
          <a:ext cx="583965" cy="575922"/>
          <a:chOff x="5473629" y="5568701"/>
          <a:chExt cx="581583" cy="575922"/>
        </a:xfrm>
      </xdr:grpSpPr>
      <xdr:sp macro="" textlink="'Pivot Tables'!BG9">
        <xdr:nvSpPr>
          <xdr:cNvPr id="356" name="TextBox 355">
            <a:extLst>
              <a:ext uri="{FF2B5EF4-FFF2-40B4-BE49-F238E27FC236}">
                <a16:creationId xmlns:a16="http://schemas.microsoft.com/office/drawing/2014/main" id="{5D871695-44CA-994C-08B4-ED57FE0A6FFF}"/>
              </a:ext>
            </a:extLst>
          </xdr:cNvPr>
          <xdr:cNvSpPr txBox="1"/>
        </xdr:nvSpPr>
        <xdr:spPr>
          <a:xfrm>
            <a:off x="5474327" y="5568701"/>
            <a:ext cx="580186" cy="5759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77D5D28-7D7C-479E-8F08-28354258BAB6}" type="TxLink">
              <a:rPr lang="en-US" sz="1600" b="0" i="0" u="none" strike="noStrike">
                <a:solidFill>
                  <a:srgbClr val="C240DB"/>
                </a:solidFill>
                <a:latin typeface="Calibri"/>
                <a:ea typeface="Calibri"/>
                <a:cs typeface="Calibri"/>
              </a:rPr>
              <a:pPr algn="ctr"/>
              <a:t> </a:t>
            </a:fld>
            <a:endParaRPr lang="en-IN" sz="1100"/>
          </a:p>
        </xdr:txBody>
      </xdr:sp>
      <xdr:sp macro="" textlink="'Pivot Tables'!BI9">
        <xdr:nvSpPr>
          <xdr:cNvPr id="357" name="TextBox 356">
            <a:extLst>
              <a:ext uri="{FF2B5EF4-FFF2-40B4-BE49-F238E27FC236}">
                <a16:creationId xmlns:a16="http://schemas.microsoft.com/office/drawing/2014/main" id="{AB5139A2-EAE2-020B-D0F5-AA4353FFBAD9}"/>
              </a:ext>
            </a:extLst>
          </xdr:cNvPr>
          <xdr:cNvSpPr txBox="1"/>
        </xdr:nvSpPr>
        <xdr:spPr>
          <a:xfrm>
            <a:off x="5473629" y="5568701"/>
            <a:ext cx="581583" cy="5759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80C60DE-1F57-403B-8E39-BD888815A397}" type="TxLink">
              <a:rPr lang="en-US" sz="1600" b="0" i="0" u="none" strike="noStrike">
                <a:solidFill>
                  <a:srgbClr val="0F11A7"/>
                </a:solidFill>
                <a:latin typeface="Calibri"/>
                <a:ea typeface="Calibri"/>
                <a:cs typeface="Calibri"/>
              </a:rPr>
              <a:pPr algn="ctr"/>
              <a:t>•</a:t>
            </a:fld>
            <a:endParaRPr lang="en-IN" sz="1100"/>
          </a:p>
        </xdr:txBody>
      </xdr:sp>
    </xdr:grpSp>
    <xdr:clientData/>
  </xdr:twoCellAnchor>
  <xdr:twoCellAnchor>
    <xdr:from>
      <xdr:col>10</xdr:col>
      <xdr:colOff>566299</xdr:colOff>
      <xdr:row>11</xdr:row>
      <xdr:rowOff>72737</xdr:rowOff>
    </xdr:from>
    <xdr:to>
      <xdr:col>11</xdr:col>
      <xdr:colOff>540664</xdr:colOff>
      <xdr:row>14</xdr:row>
      <xdr:rowOff>77159</xdr:rowOff>
    </xdr:to>
    <xdr:grpSp>
      <xdr:nvGrpSpPr>
        <xdr:cNvPr id="358" name="Group 357">
          <a:extLst>
            <a:ext uri="{FF2B5EF4-FFF2-40B4-BE49-F238E27FC236}">
              <a16:creationId xmlns:a16="http://schemas.microsoft.com/office/drawing/2014/main" id="{2C18D0B5-EF3A-4E48-8F61-95B7F8AC5697}"/>
            </a:ext>
          </a:extLst>
        </xdr:cNvPr>
        <xdr:cNvGrpSpPr/>
      </xdr:nvGrpSpPr>
      <xdr:grpSpPr>
        <a:xfrm>
          <a:off x="6662299" y="2168237"/>
          <a:ext cx="583965" cy="575922"/>
          <a:chOff x="5473629" y="5568701"/>
          <a:chExt cx="581583" cy="575922"/>
        </a:xfrm>
      </xdr:grpSpPr>
      <xdr:sp macro="" textlink="'Pivot Tables'!BG9">
        <xdr:nvSpPr>
          <xdr:cNvPr id="359" name="TextBox 358">
            <a:extLst>
              <a:ext uri="{FF2B5EF4-FFF2-40B4-BE49-F238E27FC236}">
                <a16:creationId xmlns:a16="http://schemas.microsoft.com/office/drawing/2014/main" id="{50EE2A20-6C6F-4E99-2C41-DB956BA098D2}"/>
              </a:ext>
            </a:extLst>
          </xdr:cNvPr>
          <xdr:cNvSpPr txBox="1"/>
        </xdr:nvSpPr>
        <xdr:spPr>
          <a:xfrm>
            <a:off x="5474327" y="5568701"/>
            <a:ext cx="580186" cy="5759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77D5D28-7D7C-479E-8F08-28354258BAB6}" type="TxLink">
              <a:rPr lang="en-US" sz="1600" b="0" i="0" u="none" strike="noStrike">
                <a:solidFill>
                  <a:srgbClr val="C240DB"/>
                </a:solidFill>
                <a:latin typeface="Calibri"/>
                <a:ea typeface="Calibri"/>
                <a:cs typeface="Calibri"/>
              </a:rPr>
              <a:pPr algn="ctr"/>
              <a:t> </a:t>
            </a:fld>
            <a:endParaRPr lang="en-IN" sz="1100"/>
          </a:p>
        </xdr:txBody>
      </xdr:sp>
      <xdr:sp macro="" textlink="'Pivot Tables'!BI9">
        <xdr:nvSpPr>
          <xdr:cNvPr id="360" name="TextBox 359">
            <a:extLst>
              <a:ext uri="{FF2B5EF4-FFF2-40B4-BE49-F238E27FC236}">
                <a16:creationId xmlns:a16="http://schemas.microsoft.com/office/drawing/2014/main" id="{593DA430-301C-0216-0C87-FDA07955A400}"/>
              </a:ext>
            </a:extLst>
          </xdr:cNvPr>
          <xdr:cNvSpPr txBox="1"/>
        </xdr:nvSpPr>
        <xdr:spPr>
          <a:xfrm>
            <a:off x="5473629" y="5568701"/>
            <a:ext cx="581583" cy="5759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80C60DE-1F57-403B-8E39-BD888815A397}" type="TxLink">
              <a:rPr lang="en-US" sz="1600" b="0" i="0" u="none" strike="noStrike">
                <a:solidFill>
                  <a:srgbClr val="0F11A7"/>
                </a:solidFill>
                <a:latin typeface="Calibri"/>
                <a:ea typeface="Calibri"/>
                <a:cs typeface="Calibri"/>
              </a:rPr>
              <a:pPr algn="ctr"/>
              <a:t>•</a:t>
            </a:fld>
            <a:endParaRPr lang="en-IN" sz="1100"/>
          </a:p>
        </xdr:txBody>
      </xdr:sp>
    </xdr:grpSp>
    <xdr:clientData/>
  </xdr:twoCellAnchor>
  <xdr:twoCellAnchor>
    <xdr:from>
      <xdr:col>10</xdr:col>
      <xdr:colOff>187303</xdr:colOff>
      <xdr:row>11</xdr:row>
      <xdr:rowOff>74744</xdr:rowOff>
    </xdr:from>
    <xdr:to>
      <xdr:col>11</xdr:col>
      <xdr:colOff>161668</xdr:colOff>
      <xdr:row>14</xdr:row>
      <xdr:rowOff>79166</xdr:rowOff>
    </xdr:to>
    <xdr:grpSp>
      <xdr:nvGrpSpPr>
        <xdr:cNvPr id="361" name="Group 360">
          <a:extLst>
            <a:ext uri="{FF2B5EF4-FFF2-40B4-BE49-F238E27FC236}">
              <a16:creationId xmlns:a16="http://schemas.microsoft.com/office/drawing/2014/main" id="{D28198D9-DEFD-4960-AFAE-9C191222F83F}"/>
            </a:ext>
          </a:extLst>
        </xdr:cNvPr>
        <xdr:cNvGrpSpPr/>
      </xdr:nvGrpSpPr>
      <xdr:grpSpPr>
        <a:xfrm>
          <a:off x="6283303" y="2170244"/>
          <a:ext cx="583965" cy="575922"/>
          <a:chOff x="5473629" y="5568701"/>
          <a:chExt cx="581583" cy="575922"/>
        </a:xfrm>
      </xdr:grpSpPr>
      <xdr:sp macro="" textlink="'Pivot Tables'!BG9">
        <xdr:nvSpPr>
          <xdr:cNvPr id="362" name="TextBox 361">
            <a:extLst>
              <a:ext uri="{FF2B5EF4-FFF2-40B4-BE49-F238E27FC236}">
                <a16:creationId xmlns:a16="http://schemas.microsoft.com/office/drawing/2014/main" id="{DA0F86EF-5D8E-E30D-D502-5A2124AFD3FC}"/>
              </a:ext>
            </a:extLst>
          </xdr:cNvPr>
          <xdr:cNvSpPr txBox="1"/>
        </xdr:nvSpPr>
        <xdr:spPr>
          <a:xfrm>
            <a:off x="5474327" y="5568701"/>
            <a:ext cx="580186" cy="5759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77D5D28-7D7C-479E-8F08-28354258BAB6}" type="TxLink">
              <a:rPr lang="en-US" sz="1600" b="0" i="0" u="none" strike="noStrike">
                <a:solidFill>
                  <a:srgbClr val="C240DB"/>
                </a:solidFill>
                <a:latin typeface="Calibri"/>
                <a:ea typeface="Calibri"/>
                <a:cs typeface="Calibri"/>
              </a:rPr>
              <a:pPr algn="ctr"/>
              <a:t> </a:t>
            </a:fld>
            <a:endParaRPr lang="en-IN" sz="1100"/>
          </a:p>
        </xdr:txBody>
      </xdr:sp>
      <xdr:sp macro="" textlink="'Pivot Tables'!BI9">
        <xdr:nvSpPr>
          <xdr:cNvPr id="363" name="TextBox 362">
            <a:extLst>
              <a:ext uri="{FF2B5EF4-FFF2-40B4-BE49-F238E27FC236}">
                <a16:creationId xmlns:a16="http://schemas.microsoft.com/office/drawing/2014/main" id="{E52823AA-DE7E-B703-04E3-61FA40F77C83}"/>
              </a:ext>
            </a:extLst>
          </xdr:cNvPr>
          <xdr:cNvSpPr txBox="1"/>
        </xdr:nvSpPr>
        <xdr:spPr>
          <a:xfrm>
            <a:off x="5473629" y="5568701"/>
            <a:ext cx="581583" cy="5759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80C60DE-1F57-403B-8E39-BD888815A397}" type="TxLink">
              <a:rPr lang="en-US" sz="1600" b="0" i="0" u="none" strike="noStrike">
                <a:solidFill>
                  <a:srgbClr val="0F11A7"/>
                </a:solidFill>
                <a:latin typeface="Calibri"/>
                <a:ea typeface="Calibri"/>
                <a:cs typeface="Calibri"/>
              </a:rPr>
              <a:pPr algn="ctr"/>
              <a:t>•</a:t>
            </a:fld>
            <a:endParaRPr lang="en-IN" sz="1100"/>
          </a:p>
        </xdr:txBody>
      </xdr:sp>
    </xdr:grpSp>
    <xdr:clientData/>
  </xdr:twoCellAnchor>
  <xdr:twoCellAnchor>
    <xdr:from>
      <xdr:col>10</xdr:col>
      <xdr:colOff>187303</xdr:colOff>
      <xdr:row>11</xdr:row>
      <xdr:rowOff>74744</xdr:rowOff>
    </xdr:from>
    <xdr:to>
      <xdr:col>11</xdr:col>
      <xdr:colOff>160268</xdr:colOff>
      <xdr:row>14</xdr:row>
      <xdr:rowOff>79166</xdr:rowOff>
    </xdr:to>
    <xdr:sp macro="" textlink="'Pivot Tables'!BG9">
      <xdr:nvSpPr>
        <xdr:cNvPr id="364" name="TextBox 363">
          <a:extLst>
            <a:ext uri="{FF2B5EF4-FFF2-40B4-BE49-F238E27FC236}">
              <a16:creationId xmlns:a16="http://schemas.microsoft.com/office/drawing/2014/main" id="{0A23A78D-12A8-4365-AF0D-EBFCF6AEA10A}"/>
            </a:ext>
          </a:extLst>
        </xdr:cNvPr>
        <xdr:cNvSpPr txBox="1"/>
      </xdr:nvSpPr>
      <xdr:spPr>
        <a:xfrm>
          <a:off x="6310517" y="2170244"/>
          <a:ext cx="585287" cy="5759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77D5D28-7D7C-479E-8F08-28354258BAB6}" type="TxLink">
            <a:rPr lang="en-US" sz="1600" b="0" i="0" u="none" strike="noStrike">
              <a:solidFill>
                <a:srgbClr val="C240DB"/>
              </a:solidFill>
              <a:latin typeface="Calibri"/>
              <a:ea typeface="Calibri"/>
              <a:cs typeface="Calibri"/>
            </a:rPr>
            <a:pPr algn="ctr"/>
            <a:t> </a:t>
          </a:fld>
          <a:endParaRPr lang="en-IN" sz="1100"/>
        </a:p>
      </xdr:txBody>
    </xdr:sp>
    <xdr:clientData/>
  </xdr:twoCellAnchor>
  <xdr:twoCellAnchor>
    <xdr:from>
      <xdr:col>10</xdr:col>
      <xdr:colOff>339703</xdr:colOff>
      <xdr:row>12</xdr:row>
      <xdr:rowOff>36644</xdr:rowOff>
    </xdr:from>
    <xdr:to>
      <xdr:col>11</xdr:col>
      <xdr:colOff>312668</xdr:colOff>
      <xdr:row>15</xdr:row>
      <xdr:rowOff>41066</xdr:rowOff>
    </xdr:to>
    <xdr:sp macro="" textlink="'Pivot Tables'!BG9">
      <xdr:nvSpPr>
        <xdr:cNvPr id="365" name="TextBox 364">
          <a:extLst>
            <a:ext uri="{FF2B5EF4-FFF2-40B4-BE49-F238E27FC236}">
              <a16:creationId xmlns:a16="http://schemas.microsoft.com/office/drawing/2014/main" id="{A8400F3F-6F78-4E63-BF60-CA0E83E615E1}"/>
            </a:ext>
          </a:extLst>
        </xdr:cNvPr>
        <xdr:cNvSpPr txBox="1"/>
      </xdr:nvSpPr>
      <xdr:spPr>
        <a:xfrm>
          <a:off x="6462917" y="2322644"/>
          <a:ext cx="585287" cy="5759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77D5D28-7D7C-479E-8F08-28354258BAB6}" type="TxLink">
            <a:rPr lang="en-US" sz="1600" b="0" i="0" u="none" strike="noStrike">
              <a:solidFill>
                <a:srgbClr val="C240DB"/>
              </a:solidFill>
              <a:latin typeface="Calibri"/>
              <a:ea typeface="Calibri"/>
              <a:cs typeface="Calibri"/>
            </a:rPr>
            <a:pPr algn="ctr"/>
            <a:t> </a:t>
          </a:fld>
          <a:endParaRPr lang="en-IN" sz="1100"/>
        </a:p>
      </xdr:txBody>
    </xdr:sp>
    <xdr:clientData/>
  </xdr:twoCellAnchor>
  <xdr:twoCellAnchor>
    <xdr:from>
      <xdr:col>11</xdr:col>
      <xdr:colOff>240778</xdr:colOff>
      <xdr:row>12</xdr:row>
      <xdr:rowOff>74742</xdr:rowOff>
    </xdr:from>
    <xdr:to>
      <xdr:col>12</xdr:col>
      <xdr:colOff>215143</xdr:colOff>
      <xdr:row>15</xdr:row>
      <xdr:rowOff>79164</xdr:rowOff>
    </xdr:to>
    <xdr:grpSp>
      <xdr:nvGrpSpPr>
        <xdr:cNvPr id="366" name="Group 365">
          <a:extLst>
            <a:ext uri="{FF2B5EF4-FFF2-40B4-BE49-F238E27FC236}">
              <a16:creationId xmlns:a16="http://schemas.microsoft.com/office/drawing/2014/main" id="{CB765314-BDB7-43CE-9497-A3DC41F55D52}"/>
            </a:ext>
          </a:extLst>
        </xdr:cNvPr>
        <xdr:cNvGrpSpPr/>
      </xdr:nvGrpSpPr>
      <xdr:grpSpPr>
        <a:xfrm>
          <a:off x="6946378" y="2360742"/>
          <a:ext cx="583965" cy="575922"/>
          <a:chOff x="5473629" y="5568701"/>
          <a:chExt cx="581583" cy="575922"/>
        </a:xfrm>
      </xdr:grpSpPr>
      <xdr:sp macro="" textlink="'Pivot Tables'!BG9">
        <xdr:nvSpPr>
          <xdr:cNvPr id="367" name="TextBox 366">
            <a:extLst>
              <a:ext uri="{FF2B5EF4-FFF2-40B4-BE49-F238E27FC236}">
                <a16:creationId xmlns:a16="http://schemas.microsoft.com/office/drawing/2014/main" id="{1A37A16A-55A3-D898-FCD3-F14F3158D2F3}"/>
              </a:ext>
            </a:extLst>
          </xdr:cNvPr>
          <xdr:cNvSpPr txBox="1"/>
        </xdr:nvSpPr>
        <xdr:spPr>
          <a:xfrm>
            <a:off x="5474327" y="5568701"/>
            <a:ext cx="580186" cy="5759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77D5D28-7D7C-479E-8F08-28354258BAB6}" type="TxLink">
              <a:rPr lang="en-US" sz="1600" b="0" i="0" u="none" strike="noStrike">
                <a:solidFill>
                  <a:srgbClr val="C240DB"/>
                </a:solidFill>
                <a:latin typeface="Calibri"/>
                <a:ea typeface="Calibri"/>
                <a:cs typeface="Calibri"/>
              </a:rPr>
              <a:pPr algn="ctr"/>
              <a:t> </a:t>
            </a:fld>
            <a:endParaRPr lang="en-IN" sz="1100"/>
          </a:p>
        </xdr:txBody>
      </xdr:sp>
      <xdr:sp macro="" textlink="'Pivot Tables'!BI9">
        <xdr:nvSpPr>
          <xdr:cNvPr id="368" name="TextBox 367">
            <a:extLst>
              <a:ext uri="{FF2B5EF4-FFF2-40B4-BE49-F238E27FC236}">
                <a16:creationId xmlns:a16="http://schemas.microsoft.com/office/drawing/2014/main" id="{898CEC8A-6F7D-C421-0281-703E1492ED20}"/>
              </a:ext>
            </a:extLst>
          </xdr:cNvPr>
          <xdr:cNvSpPr txBox="1"/>
        </xdr:nvSpPr>
        <xdr:spPr>
          <a:xfrm>
            <a:off x="5473629" y="5568701"/>
            <a:ext cx="581583" cy="5759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80C60DE-1F57-403B-8E39-BD888815A397}" type="TxLink">
              <a:rPr lang="en-US" sz="1600" b="0" i="0" u="none" strike="noStrike">
                <a:solidFill>
                  <a:srgbClr val="0F11A7"/>
                </a:solidFill>
                <a:latin typeface="Calibri"/>
                <a:ea typeface="Calibri"/>
                <a:cs typeface="Calibri"/>
              </a:rPr>
              <a:pPr algn="ctr"/>
              <a:t>•</a:t>
            </a:fld>
            <a:endParaRPr lang="en-IN" sz="1100"/>
          </a:p>
        </xdr:txBody>
      </xdr:sp>
    </xdr:grpSp>
    <xdr:clientData/>
  </xdr:twoCellAnchor>
  <xdr:twoCellAnchor>
    <xdr:from>
      <xdr:col>10</xdr:col>
      <xdr:colOff>566967</xdr:colOff>
      <xdr:row>12</xdr:row>
      <xdr:rowOff>166985</xdr:rowOff>
    </xdr:from>
    <xdr:to>
      <xdr:col>11</xdr:col>
      <xdr:colOff>541332</xdr:colOff>
      <xdr:row>15</xdr:row>
      <xdr:rowOff>171407</xdr:rowOff>
    </xdr:to>
    <xdr:grpSp>
      <xdr:nvGrpSpPr>
        <xdr:cNvPr id="369" name="Group 368">
          <a:extLst>
            <a:ext uri="{FF2B5EF4-FFF2-40B4-BE49-F238E27FC236}">
              <a16:creationId xmlns:a16="http://schemas.microsoft.com/office/drawing/2014/main" id="{6CACC657-0389-41B7-86DA-49BEB2D50D65}"/>
            </a:ext>
          </a:extLst>
        </xdr:cNvPr>
        <xdr:cNvGrpSpPr/>
      </xdr:nvGrpSpPr>
      <xdr:grpSpPr>
        <a:xfrm>
          <a:off x="6662967" y="2452985"/>
          <a:ext cx="583965" cy="575922"/>
          <a:chOff x="5473629" y="5568701"/>
          <a:chExt cx="581583" cy="575922"/>
        </a:xfrm>
      </xdr:grpSpPr>
      <xdr:sp macro="" textlink="'Pivot Tables'!BG9">
        <xdr:nvSpPr>
          <xdr:cNvPr id="370" name="TextBox 369">
            <a:extLst>
              <a:ext uri="{FF2B5EF4-FFF2-40B4-BE49-F238E27FC236}">
                <a16:creationId xmlns:a16="http://schemas.microsoft.com/office/drawing/2014/main" id="{2F168254-FEED-F4F9-D035-B36EE631902B}"/>
              </a:ext>
            </a:extLst>
          </xdr:cNvPr>
          <xdr:cNvSpPr txBox="1"/>
        </xdr:nvSpPr>
        <xdr:spPr>
          <a:xfrm>
            <a:off x="5474327" y="5568701"/>
            <a:ext cx="580186" cy="5759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77D5D28-7D7C-479E-8F08-28354258BAB6}" type="TxLink">
              <a:rPr lang="en-US" sz="1600" b="0" i="0" u="none" strike="noStrike">
                <a:solidFill>
                  <a:srgbClr val="C240DB"/>
                </a:solidFill>
                <a:latin typeface="Calibri"/>
                <a:ea typeface="Calibri"/>
                <a:cs typeface="Calibri"/>
              </a:rPr>
              <a:pPr algn="ctr"/>
              <a:t> </a:t>
            </a:fld>
            <a:endParaRPr lang="en-IN" sz="1100"/>
          </a:p>
        </xdr:txBody>
      </xdr:sp>
      <xdr:sp macro="" textlink="'Pivot Tables'!BI9">
        <xdr:nvSpPr>
          <xdr:cNvPr id="371" name="TextBox 370">
            <a:extLst>
              <a:ext uri="{FF2B5EF4-FFF2-40B4-BE49-F238E27FC236}">
                <a16:creationId xmlns:a16="http://schemas.microsoft.com/office/drawing/2014/main" id="{CC309ECE-349F-D9F8-8B92-ED16448F21C6}"/>
              </a:ext>
            </a:extLst>
          </xdr:cNvPr>
          <xdr:cNvSpPr txBox="1"/>
        </xdr:nvSpPr>
        <xdr:spPr>
          <a:xfrm>
            <a:off x="5473629" y="5568701"/>
            <a:ext cx="581583" cy="5759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80C60DE-1F57-403B-8E39-BD888815A397}" type="TxLink">
              <a:rPr lang="en-US" sz="1600" b="0" i="0" u="none" strike="noStrike">
                <a:solidFill>
                  <a:srgbClr val="0F11A7"/>
                </a:solidFill>
                <a:latin typeface="Calibri"/>
                <a:ea typeface="Calibri"/>
                <a:cs typeface="Calibri"/>
              </a:rPr>
              <a:pPr algn="ctr"/>
              <a:t>•</a:t>
            </a:fld>
            <a:endParaRPr lang="en-IN" sz="1100"/>
          </a:p>
        </xdr:txBody>
      </xdr:sp>
    </xdr:grpSp>
    <xdr:clientData/>
  </xdr:twoCellAnchor>
  <xdr:twoCellAnchor>
    <xdr:from>
      <xdr:col>10</xdr:col>
      <xdr:colOff>472054</xdr:colOff>
      <xdr:row>13</xdr:row>
      <xdr:rowOff>165649</xdr:rowOff>
    </xdr:from>
    <xdr:to>
      <xdr:col>11</xdr:col>
      <xdr:colOff>446419</xdr:colOff>
      <xdr:row>16</xdr:row>
      <xdr:rowOff>170071</xdr:rowOff>
    </xdr:to>
    <xdr:grpSp>
      <xdr:nvGrpSpPr>
        <xdr:cNvPr id="372" name="Group 371">
          <a:extLst>
            <a:ext uri="{FF2B5EF4-FFF2-40B4-BE49-F238E27FC236}">
              <a16:creationId xmlns:a16="http://schemas.microsoft.com/office/drawing/2014/main" id="{BDAE6D38-9B17-4530-BFA1-619A6EC1EA2E}"/>
            </a:ext>
          </a:extLst>
        </xdr:cNvPr>
        <xdr:cNvGrpSpPr/>
      </xdr:nvGrpSpPr>
      <xdr:grpSpPr>
        <a:xfrm>
          <a:off x="6568054" y="2642149"/>
          <a:ext cx="583965" cy="575922"/>
          <a:chOff x="5473629" y="5568701"/>
          <a:chExt cx="581583" cy="575922"/>
        </a:xfrm>
      </xdr:grpSpPr>
      <xdr:sp macro="" textlink="'Pivot Tables'!BG9">
        <xdr:nvSpPr>
          <xdr:cNvPr id="373" name="TextBox 372">
            <a:extLst>
              <a:ext uri="{FF2B5EF4-FFF2-40B4-BE49-F238E27FC236}">
                <a16:creationId xmlns:a16="http://schemas.microsoft.com/office/drawing/2014/main" id="{C8A0B1B0-ED1D-80F2-F16D-D47510F9CD1E}"/>
              </a:ext>
            </a:extLst>
          </xdr:cNvPr>
          <xdr:cNvSpPr txBox="1"/>
        </xdr:nvSpPr>
        <xdr:spPr>
          <a:xfrm>
            <a:off x="5474327" y="5568701"/>
            <a:ext cx="580186" cy="5759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77D5D28-7D7C-479E-8F08-28354258BAB6}" type="TxLink">
              <a:rPr lang="en-US" sz="1600" b="0" i="0" u="none" strike="noStrike">
                <a:solidFill>
                  <a:srgbClr val="C240DB"/>
                </a:solidFill>
                <a:latin typeface="Calibri"/>
                <a:ea typeface="Calibri"/>
                <a:cs typeface="Calibri"/>
              </a:rPr>
              <a:pPr algn="ctr"/>
              <a:t> </a:t>
            </a:fld>
            <a:endParaRPr lang="en-IN" sz="1100"/>
          </a:p>
        </xdr:txBody>
      </xdr:sp>
      <xdr:sp macro="" textlink="'Pivot Tables'!BI9">
        <xdr:nvSpPr>
          <xdr:cNvPr id="374" name="TextBox 373">
            <a:extLst>
              <a:ext uri="{FF2B5EF4-FFF2-40B4-BE49-F238E27FC236}">
                <a16:creationId xmlns:a16="http://schemas.microsoft.com/office/drawing/2014/main" id="{697ACACD-E4C8-C0BD-0CC8-3A584A67BDA1}"/>
              </a:ext>
            </a:extLst>
          </xdr:cNvPr>
          <xdr:cNvSpPr txBox="1"/>
        </xdr:nvSpPr>
        <xdr:spPr>
          <a:xfrm>
            <a:off x="5473629" y="5568701"/>
            <a:ext cx="581583" cy="5759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80C60DE-1F57-403B-8E39-BD888815A397}" type="TxLink">
              <a:rPr lang="en-US" sz="1600" b="0" i="0" u="none" strike="noStrike">
                <a:solidFill>
                  <a:srgbClr val="0F11A7"/>
                </a:solidFill>
                <a:latin typeface="Calibri"/>
                <a:ea typeface="Calibri"/>
                <a:cs typeface="Calibri"/>
              </a:rPr>
              <a:pPr algn="ctr"/>
              <a:t>•</a:t>
            </a:fld>
            <a:endParaRPr lang="en-IN" sz="1100"/>
          </a:p>
        </xdr:txBody>
      </xdr:sp>
    </xdr:grpSp>
    <xdr:clientData/>
  </xdr:twoCellAnchor>
  <xdr:twoCellAnchor>
    <xdr:from>
      <xdr:col>10</xdr:col>
      <xdr:colOff>373796</xdr:colOff>
      <xdr:row>12</xdr:row>
      <xdr:rowOff>167654</xdr:rowOff>
    </xdr:from>
    <xdr:to>
      <xdr:col>11</xdr:col>
      <xdr:colOff>348161</xdr:colOff>
      <xdr:row>15</xdr:row>
      <xdr:rowOff>172076</xdr:rowOff>
    </xdr:to>
    <xdr:grpSp>
      <xdr:nvGrpSpPr>
        <xdr:cNvPr id="375" name="Group 374">
          <a:extLst>
            <a:ext uri="{FF2B5EF4-FFF2-40B4-BE49-F238E27FC236}">
              <a16:creationId xmlns:a16="http://schemas.microsoft.com/office/drawing/2014/main" id="{4CF63309-37C0-461D-A627-8B82D14C9A06}"/>
            </a:ext>
          </a:extLst>
        </xdr:cNvPr>
        <xdr:cNvGrpSpPr/>
      </xdr:nvGrpSpPr>
      <xdr:grpSpPr>
        <a:xfrm>
          <a:off x="6469796" y="2453654"/>
          <a:ext cx="583965" cy="575922"/>
          <a:chOff x="5473629" y="5568701"/>
          <a:chExt cx="581583" cy="575922"/>
        </a:xfrm>
      </xdr:grpSpPr>
      <xdr:sp macro="" textlink="'Pivot Tables'!BG9">
        <xdr:nvSpPr>
          <xdr:cNvPr id="376" name="TextBox 375">
            <a:extLst>
              <a:ext uri="{FF2B5EF4-FFF2-40B4-BE49-F238E27FC236}">
                <a16:creationId xmlns:a16="http://schemas.microsoft.com/office/drawing/2014/main" id="{84BB76D4-B1B0-AA74-CB7B-7BBBFCCAEB03}"/>
              </a:ext>
            </a:extLst>
          </xdr:cNvPr>
          <xdr:cNvSpPr txBox="1"/>
        </xdr:nvSpPr>
        <xdr:spPr>
          <a:xfrm>
            <a:off x="5474327" y="5568701"/>
            <a:ext cx="580186" cy="5759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77D5D28-7D7C-479E-8F08-28354258BAB6}" type="TxLink">
              <a:rPr lang="en-US" sz="1600" b="0" i="0" u="none" strike="noStrike">
                <a:solidFill>
                  <a:srgbClr val="C240DB"/>
                </a:solidFill>
                <a:latin typeface="Calibri"/>
                <a:ea typeface="Calibri"/>
                <a:cs typeface="Calibri"/>
              </a:rPr>
              <a:pPr algn="ctr"/>
              <a:t> </a:t>
            </a:fld>
            <a:endParaRPr lang="en-IN" sz="1100"/>
          </a:p>
        </xdr:txBody>
      </xdr:sp>
      <xdr:sp macro="" textlink="'Pivot Tables'!BI9">
        <xdr:nvSpPr>
          <xdr:cNvPr id="377" name="TextBox 376">
            <a:extLst>
              <a:ext uri="{FF2B5EF4-FFF2-40B4-BE49-F238E27FC236}">
                <a16:creationId xmlns:a16="http://schemas.microsoft.com/office/drawing/2014/main" id="{2FE5070E-E9CA-B475-6B1F-6A58DCB2FFA0}"/>
              </a:ext>
            </a:extLst>
          </xdr:cNvPr>
          <xdr:cNvSpPr txBox="1"/>
        </xdr:nvSpPr>
        <xdr:spPr>
          <a:xfrm>
            <a:off x="5473629" y="5568701"/>
            <a:ext cx="581583" cy="5759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80C60DE-1F57-403B-8E39-BD888815A397}" type="TxLink">
              <a:rPr lang="en-US" sz="1600" b="0" i="0" u="none" strike="noStrike">
                <a:solidFill>
                  <a:srgbClr val="0F11A7"/>
                </a:solidFill>
                <a:latin typeface="Calibri"/>
                <a:ea typeface="Calibri"/>
                <a:cs typeface="Calibri"/>
              </a:rPr>
              <a:pPr algn="ctr"/>
              <a:t>•</a:t>
            </a:fld>
            <a:endParaRPr lang="en-IN" sz="1100"/>
          </a:p>
        </xdr:txBody>
      </xdr:sp>
    </xdr:grpSp>
    <xdr:clientData/>
  </xdr:twoCellAnchor>
  <xdr:twoCellAnchor>
    <xdr:from>
      <xdr:col>11</xdr:col>
      <xdr:colOff>53854</xdr:colOff>
      <xdr:row>11</xdr:row>
      <xdr:rowOff>166412</xdr:rowOff>
    </xdr:from>
    <xdr:to>
      <xdr:col>12</xdr:col>
      <xdr:colOff>27302</xdr:colOff>
      <xdr:row>14</xdr:row>
      <xdr:rowOff>170834</xdr:rowOff>
    </xdr:to>
    <xdr:grpSp>
      <xdr:nvGrpSpPr>
        <xdr:cNvPr id="381" name="Group 380">
          <a:extLst>
            <a:ext uri="{FF2B5EF4-FFF2-40B4-BE49-F238E27FC236}">
              <a16:creationId xmlns:a16="http://schemas.microsoft.com/office/drawing/2014/main" id="{40698706-914E-4A6C-811D-BCB7C49EA1EA}"/>
            </a:ext>
          </a:extLst>
        </xdr:cNvPr>
        <xdr:cNvGrpSpPr/>
      </xdr:nvGrpSpPr>
      <xdr:grpSpPr>
        <a:xfrm>
          <a:off x="6759454" y="2261912"/>
          <a:ext cx="583048" cy="575922"/>
          <a:chOff x="5445061" y="6158784"/>
          <a:chExt cx="580667" cy="575922"/>
        </a:xfrm>
      </xdr:grpSpPr>
      <xdr:sp macro="" textlink="'Pivot Tables'!BH9">
        <xdr:nvSpPr>
          <xdr:cNvPr id="382" name="TextBox 381">
            <a:extLst>
              <a:ext uri="{FF2B5EF4-FFF2-40B4-BE49-F238E27FC236}">
                <a16:creationId xmlns:a16="http://schemas.microsoft.com/office/drawing/2014/main" id="{20EFFC80-FD63-5BDE-C34C-6F96A1ED841F}"/>
              </a:ext>
            </a:extLst>
          </xdr:cNvPr>
          <xdr:cNvSpPr txBox="1"/>
        </xdr:nvSpPr>
        <xdr:spPr>
          <a:xfrm>
            <a:off x="5445759" y="6158784"/>
            <a:ext cx="579271" cy="5759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3ABD6F4-EA09-4184-84F2-43C7B60557EA}" type="TxLink">
              <a:rPr lang="en-US" sz="1600" b="0" i="0" u="none" strike="noStrike">
                <a:solidFill>
                  <a:srgbClr val="5A097C"/>
                </a:solidFill>
                <a:latin typeface="Calibri"/>
                <a:ea typeface="Calibri"/>
                <a:cs typeface="Calibri"/>
              </a:rPr>
              <a:pPr algn="ctr"/>
              <a:t> </a:t>
            </a:fld>
            <a:endParaRPr lang="en-IN" sz="1100"/>
          </a:p>
        </xdr:txBody>
      </xdr:sp>
      <xdr:sp macro="" textlink="'Pivot Tables'!BJ9">
        <xdr:nvSpPr>
          <xdr:cNvPr id="383" name="TextBox 382">
            <a:extLst>
              <a:ext uri="{FF2B5EF4-FFF2-40B4-BE49-F238E27FC236}">
                <a16:creationId xmlns:a16="http://schemas.microsoft.com/office/drawing/2014/main" id="{C771C88B-D6B0-4FB5-7B4C-8B715876AD3B}"/>
              </a:ext>
            </a:extLst>
          </xdr:cNvPr>
          <xdr:cNvSpPr txBox="1"/>
        </xdr:nvSpPr>
        <xdr:spPr>
          <a:xfrm>
            <a:off x="5445061" y="6158784"/>
            <a:ext cx="580667" cy="5759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E1A2DEE-EA32-44DF-BED8-9FD855254100}" type="TxLink">
              <a:rPr lang="en-US" sz="1600" b="0" i="0" u="none" strike="noStrike">
                <a:solidFill>
                  <a:srgbClr val="296EFC"/>
                </a:solidFill>
                <a:latin typeface="Calibri"/>
                <a:ea typeface="Calibri"/>
                <a:cs typeface="Calibri"/>
              </a:rPr>
              <a:pPr algn="ctr"/>
              <a:t>•</a:t>
            </a:fld>
            <a:endParaRPr lang="en-IN" sz="1100"/>
          </a:p>
        </xdr:txBody>
      </xdr:sp>
    </xdr:grpSp>
    <xdr:clientData/>
  </xdr:twoCellAnchor>
  <xdr:twoCellAnchor>
    <xdr:from>
      <xdr:col>10</xdr:col>
      <xdr:colOff>567201</xdr:colOff>
      <xdr:row>12</xdr:row>
      <xdr:rowOff>74838</xdr:rowOff>
    </xdr:from>
    <xdr:to>
      <xdr:col>11</xdr:col>
      <xdr:colOff>540649</xdr:colOff>
      <xdr:row>15</xdr:row>
      <xdr:rowOff>79260</xdr:rowOff>
    </xdr:to>
    <xdr:grpSp>
      <xdr:nvGrpSpPr>
        <xdr:cNvPr id="384" name="Group 383">
          <a:extLst>
            <a:ext uri="{FF2B5EF4-FFF2-40B4-BE49-F238E27FC236}">
              <a16:creationId xmlns:a16="http://schemas.microsoft.com/office/drawing/2014/main" id="{F5FAEAB4-906A-4722-9319-B49162B0F453}"/>
            </a:ext>
          </a:extLst>
        </xdr:cNvPr>
        <xdr:cNvGrpSpPr/>
      </xdr:nvGrpSpPr>
      <xdr:grpSpPr>
        <a:xfrm>
          <a:off x="6663201" y="2360838"/>
          <a:ext cx="583048" cy="575922"/>
          <a:chOff x="5445061" y="6158784"/>
          <a:chExt cx="580667" cy="575922"/>
        </a:xfrm>
      </xdr:grpSpPr>
      <xdr:sp macro="" textlink="'Pivot Tables'!BH9">
        <xdr:nvSpPr>
          <xdr:cNvPr id="385" name="TextBox 384">
            <a:extLst>
              <a:ext uri="{FF2B5EF4-FFF2-40B4-BE49-F238E27FC236}">
                <a16:creationId xmlns:a16="http://schemas.microsoft.com/office/drawing/2014/main" id="{83B26D21-E413-58C8-A130-272E66F8554B}"/>
              </a:ext>
            </a:extLst>
          </xdr:cNvPr>
          <xdr:cNvSpPr txBox="1"/>
        </xdr:nvSpPr>
        <xdr:spPr>
          <a:xfrm>
            <a:off x="5445759" y="6158784"/>
            <a:ext cx="579271" cy="5759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3ABD6F4-EA09-4184-84F2-43C7B60557EA}" type="TxLink">
              <a:rPr lang="en-US" sz="1600" b="0" i="0" u="none" strike="noStrike">
                <a:solidFill>
                  <a:srgbClr val="5A097C"/>
                </a:solidFill>
                <a:latin typeface="Calibri"/>
                <a:ea typeface="Calibri"/>
                <a:cs typeface="Calibri"/>
              </a:rPr>
              <a:pPr algn="ctr"/>
              <a:t> </a:t>
            </a:fld>
            <a:endParaRPr lang="en-IN" sz="1100"/>
          </a:p>
        </xdr:txBody>
      </xdr:sp>
      <xdr:sp macro="" textlink="'Pivot Tables'!BJ9">
        <xdr:nvSpPr>
          <xdr:cNvPr id="386" name="TextBox 385">
            <a:extLst>
              <a:ext uri="{FF2B5EF4-FFF2-40B4-BE49-F238E27FC236}">
                <a16:creationId xmlns:a16="http://schemas.microsoft.com/office/drawing/2014/main" id="{425283BE-36EC-4F3A-9D71-AC3718EEEAB1}"/>
              </a:ext>
            </a:extLst>
          </xdr:cNvPr>
          <xdr:cNvSpPr txBox="1"/>
        </xdr:nvSpPr>
        <xdr:spPr>
          <a:xfrm>
            <a:off x="5445061" y="6158784"/>
            <a:ext cx="580667" cy="5759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E1A2DEE-EA32-44DF-BED8-9FD855254100}" type="TxLink">
              <a:rPr lang="en-US" sz="1600" b="0" i="0" u="none" strike="noStrike">
                <a:solidFill>
                  <a:srgbClr val="296EFC"/>
                </a:solidFill>
                <a:latin typeface="Calibri"/>
                <a:ea typeface="Calibri"/>
                <a:cs typeface="Calibri"/>
              </a:rPr>
              <a:pPr algn="ctr"/>
              <a:t>•</a:t>
            </a:fld>
            <a:endParaRPr lang="en-IN" sz="1100"/>
          </a:p>
        </xdr:txBody>
      </xdr:sp>
    </xdr:grpSp>
    <xdr:clientData/>
  </xdr:twoCellAnchor>
  <xdr:twoCellAnchor>
    <xdr:from>
      <xdr:col>10</xdr:col>
      <xdr:colOff>472283</xdr:colOff>
      <xdr:row>12</xdr:row>
      <xdr:rowOff>73505</xdr:rowOff>
    </xdr:from>
    <xdr:to>
      <xdr:col>11</xdr:col>
      <xdr:colOff>445731</xdr:colOff>
      <xdr:row>15</xdr:row>
      <xdr:rowOff>77927</xdr:rowOff>
    </xdr:to>
    <xdr:grpSp>
      <xdr:nvGrpSpPr>
        <xdr:cNvPr id="387" name="Group 386">
          <a:extLst>
            <a:ext uri="{FF2B5EF4-FFF2-40B4-BE49-F238E27FC236}">
              <a16:creationId xmlns:a16="http://schemas.microsoft.com/office/drawing/2014/main" id="{AAC9C7E8-C476-4441-AEA5-7FC8F328B285}"/>
            </a:ext>
          </a:extLst>
        </xdr:cNvPr>
        <xdr:cNvGrpSpPr/>
      </xdr:nvGrpSpPr>
      <xdr:grpSpPr>
        <a:xfrm>
          <a:off x="6568283" y="2359505"/>
          <a:ext cx="583048" cy="575922"/>
          <a:chOff x="5445061" y="6158784"/>
          <a:chExt cx="580667" cy="575922"/>
        </a:xfrm>
      </xdr:grpSpPr>
      <xdr:sp macro="" textlink="'Pivot Tables'!BH9">
        <xdr:nvSpPr>
          <xdr:cNvPr id="388" name="TextBox 387">
            <a:extLst>
              <a:ext uri="{FF2B5EF4-FFF2-40B4-BE49-F238E27FC236}">
                <a16:creationId xmlns:a16="http://schemas.microsoft.com/office/drawing/2014/main" id="{AFC6C8EB-F922-9528-416D-0C3CD508D4BD}"/>
              </a:ext>
            </a:extLst>
          </xdr:cNvPr>
          <xdr:cNvSpPr txBox="1"/>
        </xdr:nvSpPr>
        <xdr:spPr>
          <a:xfrm>
            <a:off x="5445759" y="6158784"/>
            <a:ext cx="579271" cy="5759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3ABD6F4-EA09-4184-84F2-43C7B60557EA}" type="TxLink">
              <a:rPr lang="en-US" sz="1600" b="0" i="0" u="none" strike="noStrike">
                <a:solidFill>
                  <a:srgbClr val="5A097C"/>
                </a:solidFill>
                <a:latin typeface="Calibri"/>
                <a:ea typeface="Calibri"/>
                <a:cs typeface="Calibri"/>
              </a:rPr>
              <a:pPr algn="ctr"/>
              <a:t> </a:t>
            </a:fld>
            <a:endParaRPr lang="en-IN" sz="1100"/>
          </a:p>
        </xdr:txBody>
      </xdr:sp>
      <xdr:sp macro="" textlink="'Pivot Tables'!BJ9">
        <xdr:nvSpPr>
          <xdr:cNvPr id="389" name="TextBox 388">
            <a:extLst>
              <a:ext uri="{FF2B5EF4-FFF2-40B4-BE49-F238E27FC236}">
                <a16:creationId xmlns:a16="http://schemas.microsoft.com/office/drawing/2014/main" id="{D390F3BE-95E5-5B32-C271-030D19AC9F6B}"/>
              </a:ext>
            </a:extLst>
          </xdr:cNvPr>
          <xdr:cNvSpPr txBox="1"/>
        </xdr:nvSpPr>
        <xdr:spPr>
          <a:xfrm>
            <a:off x="5445061" y="6158784"/>
            <a:ext cx="580667" cy="5759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E1A2DEE-EA32-44DF-BED8-9FD855254100}" type="TxLink">
              <a:rPr lang="en-US" sz="1600" b="0" i="0" u="none" strike="noStrike">
                <a:solidFill>
                  <a:srgbClr val="296EFC"/>
                </a:solidFill>
                <a:latin typeface="Calibri"/>
                <a:ea typeface="Calibri"/>
                <a:cs typeface="Calibri"/>
              </a:rPr>
              <a:pPr algn="ctr"/>
              <a:t>•</a:t>
            </a:fld>
            <a:endParaRPr lang="en-IN" sz="1100"/>
          </a:p>
        </xdr:txBody>
      </xdr:sp>
    </xdr:grpSp>
    <xdr:clientData/>
  </xdr:twoCellAnchor>
  <xdr:twoCellAnchor>
    <xdr:from>
      <xdr:col>10</xdr:col>
      <xdr:colOff>285125</xdr:colOff>
      <xdr:row>12</xdr:row>
      <xdr:rowOff>70163</xdr:rowOff>
    </xdr:from>
    <xdr:to>
      <xdr:col>11</xdr:col>
      <xdr:colOff>258573</xdr:colOff>
      <xdr:row>15</xdr:row>
      <xdr:rowOff>74585</xdr:rowOff>
    </xdr:to>
    <xdr:grpSp>
      <xdr:nvGrpSpPr>
        <xdr:cNvPr id="390" name="Group 389">
          <a:extLst>
            <a:ext uri="{FF2B5EF4-FFF2-40B4-BE49-F238E27FC236}">
              <a16:creationId xmlns:a16="http://schemas.microsoft.com/office/drawing/2014/main" id="{FD575BA0-35A0-3A7A-1C44-5BEACB87334F}"/>
            </a:ext>
          </a:extLst>
        </xdr:cNvPr>
        <xdr:cNvGrpSpPr/>
      </xdr:nvGrpSpPr>
      <xdr:grpSpPr>
        <a:xfrm>
          <a:off x="6381125" y="2356163"/>
          <a:ext cx="583048" cy="575922"/>
          <a:chOff x="5445061" y="6158784"/>
          <a:chExt cx="580667" cy="575922"/>
        </a:xfrm>
      </xdr:grpSpPr>
      <xdr:sp macro="" textlink="'Pivot Tables'!BH9">
        <xdr:nvSpPr>
          <xdr:cNvPr id="391" name="TextBox 390">
            <a:extLst>
              <a:ext uri="{FF2B5EF4-FFF2-40B4-BE49-F238E27FC236}">
                <a16:creationId xmlns:a16="http://schemas.microsoft.com/office/drawing/2014/main" id="{C75175AB-7F57-E0DD-4DD0-39C04BDB7FED}"/>
              </a:ext>
            </a:extLst>
          </xdr:cNvPr>
          <xdr:cNvSpPr txBox="1"/>
        </xdr:nvSpPr>
        <xdr:spPr>
          <a:xfrm>
            <a:off x="5445759" y="6158784"/>
            <a:ext cx="579271" cy="5759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3ABD6F4-EA09-4184-84F2-43C7B60557EA}" type="TxLink">
              <a:rPr lang="en-US" sz="1600" b="0" i="0" u="none" strike="noStrike">
                <a:solidFill>
                  <a:srgbClr val="5A097C"/>
                </a:solidFill>
                <a:latin typeface="Calibri"/>
                <a:ea typeface="Calibri"/>
                <a:cs typeface="Calibri"/>
              </a:rPr>
              <a:pPr algn="ctr"/>
              <a:t> </a:t>
            </a:fld>
            <a:endParaRPr lang="en-IN" sz="1100"/>
          </a:p>
        </xdr:txBody>
      </xdr:sp>
      <xdr:sp macro="" textlink="'Pivot Tables'!BJ9">
        <xdr:nvSpPr>
          <xdr:cNvPr id="392" name="TextBox 391">
            <a:extLst>
              <a:ext uri="{FF2B5EF4-FFF2-40B4-BE49-F238E27FC236}">
                <a16:creationId xmlns:a16="http://schemas.microsoft.com/office/drawing/2014/main" id="{18C5667D-0E78-B41C-F9BB-BF9DAA2156B5}"/>
              </a:ext>
            </a:extLst>
          </xdr:cNvPr>
          <xdr:cNvSpPr txBox="1"/>
        </xdr:nvSpPr>
        <xdr:spPr>
          <a:xfrm>
            <a:off x="5445061" y="6158784"/>
            <a:ext cx="580667" cy="5759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E1A2DEE-EA32-44DF-BED8-9FD855254100}" type="TxLink">
              <a:rPr lang="en-US" sz="1600" b="0" i="0" u="none" strike="noStrike">
                <a:solidFill>
                  <a:srgbClr val="296EFC"/>
                </a:solidFill>
                <a:latin typeface="Calibri"/>
                <a:ea typeface="Calibri"/>
                <a:cs typeface="Calibri"/>
              </a:rPr>
              <a:pPr algn="ctr"/>
              <a:t>•</a:t>
            </a:fld>
            <a:endParaRPr lang="en-IN" sz="1100"/>
          </a:p>
        </xdr:txBody>
      </xdr:sp>
    </xdr:grpSp>
    <xdr:clientData/>
  </xdr:twoCellAnchor>
  <xdr:twoCellAnchor>
    <xdr:from>
      <xdr:col>10</xdr:col>
      <xdr:colOff>94625</xdr:colOff>
      <xdr:row>12</xdr:row>
      <xdr:rowOff>167083</xdr:rowOff>
    </xdr:from>
    <xdr:to>
      <xdr:col>11</xdr:col>
      <xdr:colOff>68073</xdr:colOff>
      <xdr:row>15</xdr:row>
      <xdr:rowOff>171505</xdr:rowOff>
    </xdr:to>
    <xdr:grpSp>
      <xdr:nvGrpSpPr>
        <xdr:cNvPr id="393" name="Group 392">
          <a:extLst>
            <a:ext uri="{FF2B5EF4-FFF2-40B4-BE49-F238E27FC236}">
              <a16:creationId xmlns:a16="http://schemas.microsoft.com/office/drawing/2014/main" id="{11A75990-9EB6-21BD-0691-E409854334CE}"/>
            </a:ext>
          </a:extLst>
        </xdr:cNvPr>
        <xdr:cNvGrpSpPr/>
      </xdr:nvGrpSpPr>
      <xdr:grpSpPr>
        <a:xfrm>
          <a:off x="6190625" y="2453083"/>
          <a:ext cx="583048" cy="575922"/>
          <a:chOff x="5445061" y="6158784"/>
          <a:chExt cx="580667" cy="575922"/>
        </a:xfrm>
      </xdr:grpSpPr>
      <xdr:sp macro="" textlink="'Pivot Tables'!BH9">
        <xdr:nvSpPr>
          <xdr:cNvPr id="394" name="TextBox 393">
            <a:extLst>
              <a:ext uri="{FF2B5EF4-FFF2-40B4-BE49-F238E27FC236}">
                <a16:creationId xmlns:a16="http://schemas.microsoft.com/office/drawing/2014/main" id="{E1EEE84B-3A1E-BFBD-12B5-254070187736}"/>
              </a:ext>
            </a:extLst>
          </xdr:cNvPr>
          <xdr:cNvSpPr txBox="1"/>
        </xdr:nvSpPr>
        <xdr:spPr>
          <a:xfrm>
            <a:off x="5445759" y="6158784"/>
            <a:ext cx="579271" cy="5759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3ABD6F4-EA09-4184-84F2-43C7B60557EA}" type="TxLink">
              <a:rPr lang="en-US" sz="1600" b="0" i="0" u="none" strike="noStrike">
                <a:solidFill>
                  <a:srgbClr val="5A097C"/>
                </a:solidFill>
                <a:latin typeface="Calibri"/>
                <a:ea typeface="Calibri"/>
                <a:cs typeface="Calibri"/>
              </a:rPr>
              <a:pPr algn="ctr"/>
              <a:t> </a:t>
            </a:fld>
            <a:endParaRPr lang="en-IN" sz="1100"/>
          </a:p>
        </xdr:txBody>
      </xdr:sp>
      <xdr:sp macro="" textlink="'Pivot Tables'!BJ9">
        <xdr:nvSpPr>
          <xdr:cNvPr id="395" name="TextBox 394">
            <a:extLst>
              <a:ext uri="{FF2B5EF4-FFF2-40B4-BE49-F238E27FC236}">
                <a16:creationId xmlns:a16="http://schemas.microsoft.com/office/drawing/2014/main" id="{37636077-ACE4-B709-4150-CAC3D121FDFB}"/>
              </a:ext>
            </a:extLst>
          </xdr:cNvPr>
          <xdr:cNvSpPr txBox="1"/>
        </xdr:nvSpPr>
        <xdr:spPr>
          <a:xfrm>
            <a:off x="5445061" y="6158784"/>
            <a:ext cx="580667" cy="5759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E1A2DEE-EA32-44DF-BED8-9FD855254100}" type="TxLink">
              <a:rPr lang="en-US" sz="1600" b="0" i="0" u="none" strike="noStrike">
                <a:solidFill>
                  <a:srgbClr val="296EFC"/>
                </a:solidFill>
                <a:latin typeface="Calibri"/>
                <a:ea typeface="Calibri"/>
                <a:cs typeface="Calibri"/>
              </a:rPr>
              <a:pPr algn="ctr"/>
              <a:t>•</a:t>
            </a:fld>
            <a:endParaRPr lang="en-IN" sz="1100"/>
          </a:p>
        </xdr:txBody>
      </xdr:sp>
    </xdr:grpSp>
    <xdr:clientData/>
  </xdr:twoCellAnchor>
  <xdr:twoCellAnchor>
    <xdr:from>
      <xdr:col>10</xdr:col>
      <xdr:colOff>283787</xdr:colOff>
      <xdr:row>13</xdr:row>
      <xdr:rowOff>165745</xdr:rowOff>
    </xdr:from>
    <xdr:to>
      <xdr:col>11</xdr:col>
      <xdr:colOff>257235</xdr:colOff>
      <xdr:row>16</xdr:row>
      <xdr:rowOff>170167</xdr:rowOff>
    </xdr:to>
    <xdr:grpSp>
      <xdr:nvGrpSpPr>
        <xdr:cNvPr id="399" name="Group 398">
          <a:extLst>
            <a:ext uri="{FF2B5EF4-FFF2-40B4-BE49-F238E27FC236}">
              <a16:creationId xmlns:a16="http://schemas.microsoft.com/office/drawing/2014/main" id="{82F2429D-029E-47EE-8007-0D452DEB6323}"/>
            </a:ext>
          </a:extLst>
        </xdr:cNvPr>
        <xdr:cNvGrpSpPr/>
      </xdr:nvGrpSpPr>
      <xdr:grpSpPr>
        <a:xfrm>
          <a:off x="6379787" y="2642245"/>
          <a:ext cx="583048" cy="575922"/>
          <a:chOff x="5445061" y="6158784"/>
          <a:chExt cx="580667" cy="575922"/>
        </a:xfrm>
      </xdr:grpSpPr>
      <xdr:sp macro="" textlink="'Pivot Tables'!BH9">
        <xdr:nvSpPr>
          <xdr:cNvPr id="400" name="TextBox 399">
            <a:extLst>
              <a:ext uri="{FF2B5EF4-FFF2-40B4-BE49-F238E27FC236}">
                <a16:creationId xmlns:a16="http://schemas.microsoft.com/office/drawing/2014/main" id="{7DE0E3BB-DDF1-340D-738F-54BA11C13035}"/>
              </a:ext>
            </a:extLst>
          </xdr:cNvPr>
          <xdr:cNvSpPr txBox="1"/>
        </xdr:nvSpPr>
        <xdr:spPr>
          <a:xfrm>
            <a:off x="5445759" y="6158784"/>
            <a:ext cx="579271" cy="5759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3ABD6F4-EA09-4184-84F2-43C7B60557EA}" type="TxLink">
              <a:rPr lang="en-US" sz="1600" b="0" i="0" u="none" strike="noStrike">
                <a:solidFill>
                  <a:srgbClr val="5A097C"/>
                </a:solidFill>
                <a:latin typeface="Calibri"/>
                <a:ea typeface="Calibri"/>
                <a:cs typeface="Calibri"/>
              </a:rPr>
              <a:pPr algn="ctr"/>
              <a:t> </a:t>
            </a:fld>
            <a:endParaRPr lang="en-IN" sz="1100"/>
          </a:p>
        </xdr:txBody>
      </xdr:sp>
      <xdr:sp macro="" textlink="'Pivot Tables'!BJ9">
        <xdr:nvSpPr>
          <xdr:cNvPr id="401" name="TextBox 400">
            <a:extLst>
              <a:ext uri="{FF2B5EF4-FFF2-40B4-BE49-F238E27FC236}">
                <a16:creationId xmlns:a16="http://schemas.microsoft.com/office/drawing/2014/main" id="{CF753714-13D0-68DB-4675-0147E6596668}"/>
              </a:ext>
            </a:extLst>
          </xdr:cNvPr>
          <xdr:cNvSpPr txBox="1"/>
        </xdr:nvSpPr>
        <xdr:spPr>
          <a:xfrm>
            <a:off x="5445061" y="6158784"/>
            <a:ext cx="580667" cy="5759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E1A2DEE-EA32-44DF-BED8-9FD855254100}" type="TxLink">
              <a:rPr lang="en-US" sz="1600" b="0" i="0" u="none" strike="noStrike">
                <a:solidFill>
                  <a:srgbClr val="296EFC"/>
                </a:solidFill>
                <a:latin typeface="Calibri"/>
                <a:ea typeface="Calibri"/>
                <a:cs typeface="Calibri"/>
              </a:rPr>
              <a:pPr algn="ctr"/>
              <a:t>•</a:t>
            </a:fld>
            <a:endParaRPr lang="en-IN" sz="1100"/>
          </a:p>
        </xdr:txBody>
      </xdr:sp>
    </xdr:grpSp>
    <xdr:clientData/>
  </xdr:twoCellAnchor>
  <xdr:twoCellAnchor>
    <xdr:from>
      <xdr:col>10</xdr:col>
      <xdr:colOff>566526</xdr:colOff>
      <xdr:row>13</xdr:row>
      <xdr:rowOff>70830</xdr:rowOff>
    </xdr:from>
    <xdr:to>
      <xdr:col>11</xdr:col>
      <xdr:colOff>539974</xdr:colOff>
      <xdr:row>16</xdr:row>
      <xdr:rowOff>75252</xdr:rowOff>
    </xdr:to>
    <xdr:grpSp>
      <xdr:nvGrpSpPr>
        <xdr:cNvPr id="402" name="Group 401">
          <a:extLst>
            <a:ext uri="{FF2B5EF4-FFF2-40B4-BE49-F238E27FC236}">
              <a16:creationId xmlns:a16="http://schemas.microsoft.com/office/drawing/2014/main" id="{444FFD57-F6A1-4F77-AB4A-ABA451F3C96F}"/>
            </a:ext>
          </a:extLst>
        </xdr:cNvPr>
        <xdr:cNvGrpSpPr/>
      </xdr:nvGrpSpPr>
      <xdr:grpSpPr>
        <a:xfrm>
          <a:off x="6662526" y="2547330"/>
          <a:ext cx="583048" cy="575922"/>
          <a:chOff x="5445061" y="6158784"/>
          <a:chExt cx="580667" cy="575922"/>
        </a:xfrm>
      </xdr:grpSpPr>
      <xdr:sp macro="" textlink="'Pivot Tables'!BH9">
        <xdr:nvSpPr>
          <xdr:cNvPr id="403" name="TextBox 402">
            <a:extLst>
              <a:ext uri="{FF2B5EF4-FFF2-40B4-BE49-F238E27FC236}">
                <a16:creationId xmlns:a16="http://schemas.microsoft.com/office/drawing/2014/main" id="{3B6D8837-4E38-3472-B79A-BFEC616F1D0A}"/>
              </a:ext>
            </a:extLst>
          </xdr:cNvPr>
          <xdr:cNvSpPr txBox="1"/>
        </xdr:nvSpPr>
        <xdr:spPr>
          <a:xfrm>
            <a:off x="5445759" y="6158784"/>
            <a:ext cx="579271" cy="5759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3ABD6F4-EA09-4184-84F2-43C7B60557EA}" type="TxLink">
              <a:rPr lang="en-US" sz="1600" b="0" i="0" u="none" strike="noStrike">
                <a:solidFill>
                  <a:srgbClr val="5A097C"/>
                </a:solidFill>
                <a:latin typeface="Calibri"/>
                <a:ea typeface="Calibri"/>
                <a:cs typeface="Calibri"/>
              </a:rPr>
              <a:pPr algn="ctr"/>
              <a:t> </a:t>
            </a:fld>
            <a:endParaRPr lang="en-IN" sz="1100"/>
          </a:p>
        </xdr:txBody>
      </xdr:sp>
      <xdr:sp macro="" textlink="'Pivot Tables'!BJ9">
        <xdr:nvSpPr>
          <xdr:cNvPr id="404" name="TextBox 403">
            <a:extLst>
              <a:ext uri="{FF2B5EF4-FFF2-40B4-BE49-F238E27FC236}">
                <a16:creationId xmlns:a16="http://schemas.microsoft.com/office/drawing/2014/main" id="{E75A7D22-37E4-B160-A3B2-EC01602BFC5E}"/>
              </a:ext>
            </a:extLst>
          </xdr:cNvPr>
          <xdr:cNvSpPr txBox="1"/>
        </xdr:nvSpPr>
        <xdr:spPr>
          <a:xfrm>
            <a:off x="5445061" y="6158784"/>
            <a:ext cx="580667" cy="5759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E1A2DEE-EA32-44DF-BED8-9FD855254100}" type="TxLink">
              <a:rPr lang="en-US" sz="1600" b="0" i="0" u="none" strike="noStrike">
                <a:solidFill>
                  <a:srgbClr val="296EFC"/>
                </a:solidFill>
                <a:latin typeface="Calibri"/>
                <a:ea typeface="Calibri"/>
                <a:cs typeface="Calibri"/>
              </a:rPr>
              <a:pPr algn="ctr"/>
              <a:t>•</a:t>
            </a:fld>
            <a:endParaRPr lang="en-IN" sz="1100"/>
          </a:p>
        </xdr:txBody>
      </xdr:sp>
    </xdr:grpSp>
    <xdr:clientData/>
  </xdr:twoCellAnchor>
  <xdr:twoCellAnchor>
    <xdr:from>
      <xdr:col>10</xdr:col>
      <xdr:colOff>471612</xdr:colOff>
      <xdr:row>11</xdr:row>
      <xdr:rowOff>72837</xdr:rowOff>
    </xdr:from>
    <xdr:to>
      <xdr:col>11</xdr:col>
      <xdr:colOff>445060</xdr:colOff>
      <xdr:row>14</xdr:row>
      <xdr:rowOff>77259</xdr:rowOff>
    </xdr:to>
    <xdr:grpSp>
      <xdr:nvGrpSpPr>
        <xdr:cNvPr id="405" name="Group 404">
          <a:extLst>
            <a:ext uri="{FF2B5EF4-FFF2-40B4-BE49-F238E27FC236}">
              <a16:creationId xmlns:a16="http://schemas.microsoft.com/office/drawing/2014/main" id="{54A510CF-2095-406C-8E98-3AE5C22D4610}"/>
            </a:ext>
          </a:extLst>
        </xdr:cNvPr>
        <xdr:cNvGrpSpPr/>
      </xdr:nvGrpSpPr>
      <xdr:grpSpPr>
        <a:xfrm>
          <a:off x="6567612" y="2168337"/>
          <a:ext cx="583048" cy="575922"/>
          <a:chOff x="5445061" y="6158784"/>
          <a:chExt cx="580667" cy="575922"/>
        </a:xfrm>
      </xdr:grpSpPr>
      <xdr:sp macro="" textlink="'Pivot Tables'!BH9">
        <xdr:nvSpPr>
          <xdr:cNvPr id="406" name="TextBox 405">
            <a:extLst>
              <a:ext uri="{FF2B5EF4-FFF2-40B4-BE49-F238E27FC236}">
                <a16:creationId xmlns:a16="http://schemas.microsoft.com/office/drawing/2014/main" id="{BFBBF5F4-9BA5-7FD9-2445-F9410FA50C27}"/>
              </a:ext>
            </a:extLst>
          </xdr:cNvPr>
          <xdr:cNvSpPr txBox="1"/>
        </xdr:nvSpPr>
        <xdr:spPr>
          <a:xfrm>
            <a:off x="5445759" y="6158784"/>
            <a:ext cx="579271" cy="5759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3ABD6F4-EA09-4184-84F2-43C7B60557EA}" type="TxLink">
              <a:rPr lang="en-US" sz="1600" b="0" i="0" u="none" strike="noStrike">
                <a:solidFill>
                  <a:srgbClr val="5A097C"/>
                </a:solidFill>
                <a:latin typeface="Calibri"/>
                <a:ea typeface="Calibri"/>
                <a:cs typeface="Calibri"/>
              </a:rPr>
              <a:pPr algn="ctr"/>
              <a:t> </a:t>
            </a:fld>
            <a:endParaRPr lang="en-IN" sz="1100"/>
          </a:p>
        </xdr:txBody>
      </xdr:sp>
      <xdr:sp macro="" textlink="'Pivot Tables'!BJ9">
        <xdr:nvSpPr>
          <xdr:cNvPr id="407" name="TextBox 406">
            <a:extLst>
              <a:ext uri="{FF2B5EF4-FFF2-40B4-BE49-F238E27FC236}">
                <a16:creationId xmlns:a16="http://schemas.microsoft.com/office/drawing/2014/main" id="{8EFEBA53-B0AE-68A7-4300-AED9E88B6E4A}"/>
              </a:ext>
            </a:extLst>
          </xdr:cNvPr>
          <xdr:cNvSpPr txBox="1"/>
        </xdr:nvSpPr>
        <xdr:spPr>
          <a:xfrm>
            <a:off x="5445061" y="6158784"/>
            <a:ext cx="580667" cy="5759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E1A2DEE-EA32-44DF-BED8-9FD855254100}" type="TxLink">
              <a:rPr lang="en-US" sz="1600" b="0" i="0" u="none" strike="noStrike">
                <a:solidFill>
                  <a:srgbClr val="296EFC"/>
                </a:solidFill>
                <a:latin typeface="Calibri"/>
                <a:ea typeface="Calibri"/>
                <a:cs typeface="Calibri"/>
              </a:rPr>
              <a:pPr algn="ctr"/>
              <a:t>•</a:t>
            </a:fld>
            <a:endParaRPr lang="en-IN" sz="1100"/>
          </a:p>
        </xdr:txBody>
      </xdr:sp>
    </xdr:grpSp>
    <xdr:clientData/>
  </xdr:twoCellAnchor>
  <xdr:twoCellAnchor>
    <xdr:from>
      <xdr:col>10</xdr:col>
      <xdr:colOff>283115</xdr:colOff>
      <xdr:row>10</xdr:row>
      <xdr:rowOff>171764</xdr:rowOff>
    </xdr:from>
    <xdr:to>
      <xdr:col>11</xdr:col>
      <xdr:colOff>256563</xdr:colOff>
      <xdr:row>13</xdr:row>
      <xdr:rowOff>176186</xdr:rowOff>
    </xdr:to>
    <xdr:grpSp>
      <xdr:nvGrpSpPr>
        <xdr:cNvPr id="408" name="Group 407">
          <a:extLst>
            <a:ext uri="{FF2B5EF4-FFF2-40B4-BE49-F238E27FC236}">
              <a16:creationId xmlns:a16="http://schemas.microsoft.com/office/drawing/2014/main" id="{3D02D272-6B5D-491C-A8D8-A7BE2C47D38D}"/>
            </a:ext>
          </a:extLst>
        </xdr:cNvPr>
        <xdr:cNvGrpSpPr/>
      </xdr:nvGrpSpPr>
      <xdr:grpSpPr>
        <a:xfrm>
          <a:off x="6379115" y="2076764"/>
          <a:ext cx="583048" cy="575922"/>
          <a:chOff x="5445061" y="6158784"/>
          <a:chExt cx="580667" cy="575922"/>
        </a:xfrm>
      </xdr:grpSpPr>
      <xdr:sp macro="" textlink="'Pivot Tables'!BH9">
        <xdr:nvSpPr>
          <xdr:cNvPr id="409" name="TextBox 408">
            <a:extLst>
              <a:ext uri="{FF2B5EF4-FFF2-40B4-BE49-F238E27FC236}">
                <a16:creationId xmlns:a16="http://schemas.microsoft.com/office/drawing/2014/main" id="{B010D8D4-6E36-CCA8-AB5A-550568099539}"/>
              </a:ext>
            </a:extLst>
          </xdr:cNvPr>
          <xdr:cNvSpPr txBox="1"/>
        </xdr:nvSpPr>
        <xdr:spPr>
          <a:xfrm>
            <a:off x="5445759" y="6158784"/>
            <a:ext cx="579271" cy="5759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3ABD6F4-EA09-4184-84F2-43C7B60557EA}" type="TxLink">
              <a:rPr lang="en-US" sz="1600" b="0" i="0" u="none" strike="noStrike">
                <a:solidFill>
                  <a:srgbClr val="5A097C"/>
                </a:solidFill>
                <a:latin typeface="Calibri"/>
                <a:ea typeface="Calibri"/>
                <a:cs typeface="Calibri"/>
              </a:rPr>
              <a:pPr algn="ctr"/>
              <a:t> </a:t>
            </a:fld>
            <a:endParaRPr lang="en-IN" sz="1100"/>
          </a:p>
        </xdr:txBody>
      </xdr:sp>
      <xdr:sp macro="" textlink="'Pivot Tables'!BJ9">
        <xdr:nvSpPr>
          <xdr:cNvPr id="410" name="TextBox 409">
            <a:extLst>
              <a:ext uri="{FF2B5EF4-FFF2-40B4-BE49-F238E27FC236}">
                <a16:creationId xmlns:a16="http://schemas.microsoft.com/office/drawing/2014/main" id="{A3434905-94B9-4B3F-155B-BF8B7C4CD9DE}"/>
              </a:ext>
            </a:extLst>
          </xdr:cNvPr>
          <xdr:cNvSpPr txBox="1"/>
        </xdr:nvSpPr>
        <xdr:spPr>
          <a:xfrm>
            <a:off x="5445061" y="6158784"/>
            <a:ext cx="580667" cy="5759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E1A2DEE-EA32-44DF-BED8-9FD855254100}" type="TxLink">
              <a:rPr lang="en-US" sz="1600" b="0" i="0" u="none" strike="noStrike">
                <a:solidFill>
                  <a:srgbClr val="296EFC"/>
                </a:solidFill>
                <a:latin typeface="Calibri"/>
                <a:ea typeface="Calibri"/>
                <a:cs typeface="Calibri"/>
              </a:rPr>
              <a:pPr algn="ctr"/>
              <a:t>•</a:t>
            </a:fld>
            <a:endParaRPr lang="en-IN" sz="1100"/>
          </a:p>
        </xdr:txBody>
      </xdr:sp>
    </xdr:grpSp>
    <xdr:clientData/>
  </xdr:twoCellAnchor>
  <xdr:twoCellAnchor>
    <xdr:from>
      <xdr:col>18</xdr:col>
      <xdr:colOff>145227</xdr:colOff>
      <xdr:row>12</xdr:row>
      <xdr:rowOff>168475</xdr:rowOff>
    </xdr:from>
    <xdr:to>
      <xdr:col>19</xdr:col>
      <xdr:colOff>118674</xdr:colOff>
      <xdr:row>15</xdr:row>
      <xdr:rowOff>172898</xdr:rowOff>
    </xdr:to>
    <xdr:grpSp>
      <xdr:nvGrpSpPr>
        <xdr:cNvPr id="413" name="Group 412">
          <a:extLst>
            <a:ext uri="{FF2B5EF4-FFF2-40B4-BE49-F238E27FC236}">
              <a16:creationId xmlns:a16="http://schemas.microsoft.com/office/drawing/2014/main" id="{585116BC-DE44-4C55-82F4-72ABE775C185}"/>
            </a:ext>
          </a:extLst>
        </xdr:cNvPr>
        <xdr:cNvGrpSpPr/>
      </xdr:nvGrpSpPr>
      <xdr:grpSpPr>
        <a:xfrm>
          <a:off x="11118027" y="2454475"/>
          <a:ext cx="583047" cy="575923"/>
          <a:chOff x="5492265" y="6960816"/>
          <a:chExt cx="586361" cy="575922"/>
        </a:xfrm>
      </xdr:grpSpPr>
      <xdr:sp macro="" textlink="'Pivot Tables'!BG8">
        <xdr:nvSpPr>
          <xdr:cNvPr id="414" name="TextBox 413">
            <a:extLst>
              <a:ext uri="{FF2B5EF4-FFF2-40B4-BE49-F238E27FC236}">
                <a16:creationId xmlns:a16="http://schemas.microsoft.com/office/drawing/2014/main" id="{B16A5B2B-7F97-6934-C96C-CA1CD5E1FD0D}"/>
              </a:ext>
            </a:extLst>
          </xdr:cNvPr>
          <xdr:cNvSpPr txBox="1"/>
        </xdr:nvSpPr>
        <xdr:spPr>
          <a:xfrm>
            <a:off x="5492963" y="6960816"/>
            <a:ext cx="584965" cy="5759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DE5643F-0578-45FE-902E-6F839C1827CB}" type="TxLink">
              <a:rPr lang="en-US" sz="1600" b="0" i="0" u="none" strike="noStrike">
                <a:solidFill>
                  <a:srgbClr val="C240DB"/>
                </a:solidFill>
                <a:latin typeface="Calibri"/>
                <a:ea typeface="Calibri"/>
                <a:cs typeface="Calibri"/>
              </a:rPr>
              <a:pPr algn="ctr"/>
              <a:t> </a:t>
            </a:fld>
            <a:endParaRPr lang="en-IN" sz="1100"/>
          </a:p>
        </xdr:txBody>
      </xdr:sp>
      <xdr:sp macro="" textlink="'Pivot Tables'!BI8">
        <xdr:nvSpPr>
          <xdr:cNvPr id="417" name="TextBox 416">
            <a:extLst>
              <a:ext uri="{FF2B5EF4-FFF2-40B4-BE49-F238E27FC236}">
                <a16:creationId xmlns:a16="http://schemas.microsoft.com/office/drawing/2014/main" id="{974AC198-E525-F2C5-1B7B-7402E88E07B1}"/>
              </a:ext>
            </a:extLst>
          </xdr:cNvPr>
          <xdr:cNvSpPr txBox="1"/>
        </xdr:nvSpPr>
        <xdr:spPr>
          <a:xfrm>
            <a:off x="5492265" y="6960816"/>
            <a:ext cx="586361" cy="5759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2626F72-D825-4A3A-860F-8CDDF0CE28F7}" type="TxLink">
              <a:rPr lang="en-US" sz="1600" b="0" i="0" u="none" strike="noStrike">
                <a:solidFill>
                  <a:srgbClr val="0F11A7"/>
                </a:solidFill>
                <a:latin typeface="Calibri"/>
                <a:ea typeface="Calibri"/>
                <a:cs typeface="Calibri"/>
              </a:rPr>
              <a:pPr algn="ctr"/>
              <a:t>•</a:t>
            </a:fld>
            <a:endParaRPr lang="en-IN" sz="1100"/>
          </a:p>
        </xdr:txBody>
      </xdr:sp>
    </xdr:grpSp>
    <xdr:clientData/>
  </xdr:twoCellAnchor>
  <xdr:twoCellAnchor>
    <xdr:from>
      <xdr:col>18</xdr:col>
      <xdr:colOff>239801</xdr:colOff>
      <xdr:row>12</xdr:row>
      <xdr:rowOff>168474</xdr:rowOff>
    </xdr:from>
    <xdr:to>
      <xdr:col>19</xdr:col>
      <xdr:colOff>213248</xdr:colOff>
      <xdr:row>15</xdr:row>
      <xdr:rowOff>172897</xdr:rowOff>
    </xdr:to>
    <xdr:grpSp>
      <xdr:nvGrpSpPr>
        <xdr:cNvPr id="418" name="Group 417">
          <a:extLst>
            <a:ext uri="{FF2B5EF4-FFF2-40B4-BE49-F238E27FC236}">
              <a16:creationId xmlns:a16="http://schemas.microsoft.com/office/drawing/2014/main" id="{EC85ABBA-9AC7-C13E-4C08-591443A579F6}"/>
            </a:ext>
          </a:extLst>
        </xdr:cNvPr>
        <xdr:cNvGrpSpPr/>
      </xdr:nvGrpSpPr>
      <xdr:grpSpPr>
        <a:xfrm>
          <a:off x="11212601" y="2454474"/>
          <a:ext cx="583047" cy="575923"/>
          <a:chOff x="5492265" y="6960816"/>
          <a:chExt cx="586361" cy="575922"/>
        </a:xfrm>
      </xdr:grpSpPr>
      <xdr:sp macro="" textlink="'Pivot Tables'!BG8">
        <xdr:nvSpPr>
          <xdr:cNvPr id="419" name="TextBox 418">
            <a:extLst>
              <a:ext uri="{FF2B5EF4-FFF2-40B4-BE49-F238E27FC236}">
                <a16:creationId xmlns:a16="http://schemas.microsoft.com/office/drawing/2014/main" id="{F17F5A97-E0E5-171A-65E1-113C3B688DFF}"/>
              </a:ext>
            </a:extLst>
          </xdr:cNvPr>
          <xdr:cNvSpPr txBox="1"/>
        </xdr:nvSpPr>
        <xdr:spPr>
          <a:xfrm>
            <a:off x="5492963" y="6960816"/>
            <a:ext cx="584965" cy="5759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DE5643F-0578-45FE-902E-6F839C1827CB}" type="TxLink">
              <a:rPr lang="en-US" sz="1600" b="0" i="0" u="none" strike="noStrike">
                <a:solidFill>
                  <a:srgbClr val="C240DB"/>
                </a:solidFill>
                <a:latin typeface="Calibri"/>
                <a:ea typeface="Calibri"/>
                <a:cs typeface="Calibri"/>
              </a:rPr>
              <a:pPr algn="ctr"/>
              <a:t> </a:t>
            </a:fld>
            <a:endParaRPr lang="en-IN" sz="1100"/>
          </a:p>
        </xdr:txBody>
      </xdr:sp>
      <xdr:sp macro="" textlink="'Pivot Tables'!BI8">
        <xdr:nvSpPr>
          <xdr:cNvPr id="420" name="TextBox 419">
            <a:extLst>
              <a:ext uri="{FF2B5EF4-FFF2-40B4-BE49-F238E27FC236}">
                <a16:creationId xmlns:a16="http://schemas.microsoft.com/office/drawing/2014/main" id="{B5B9A4BE-D34D-4F03-E7E4-8F028B866CD6}"/>
              </a:ext>
            </a:extLst>
          </xdr:cNvPr>
          <xdr:cNvSpPr txBox="1"/>
        </xdr:nvSpPr>
        <xdr:spPr>
          <a:xfrm>
            <a:off x="5492265" y="6960816"/>
            <a:ext cx="586361" cy="5759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2626F72-D825-4A3A-860F-8CDDF0CE28F7}" type="TxLink">
              <a:rPr lang="en-US" sz="1600" b="0" i="0" u="none" strike="noStrike">
                <a:solidFill>
                  <a:srgbClr val="0F11A7"/>
                </a:solidFill>
                <a:latin typeface="Calibri"/>
                <a:ea typeface="Calibri"/>
                <a:cs typeface="Calibri"/>
              </a:rPr>
              <a:pPr algn="ctr"/>
              <a:t>•</a:t>
            </a:fld>
            <a:endParaRPr lang="en-IN" sz="1100"/>
          </a:p>
        </xdr:txBody>
      </xdr:sp>
    </xdr:grpSp>
    <xdr:clientData/>
  </xdr:twoCellAnchor>
  <xdr:twoCellAnchor>
    <xdr:from>
      <xdr:col>18</xdr:col>
      <xdr:colOff>51056</xdr:colOff>
      <xdr:row>13</xdr:row>
      <xdr:rowOff>165502</xdr:rowOff>
    </xdr:from>
    <xdr:to>
      <xdr:col>19</xdr:col>
      <xdr:colOff>24503</xdr:colOff>
      <xdr:row>16</xdr:row>
      <xdr:rowOff>169925</xdr:rowOff>
    </xdr:to>
    <xdr:grpSp>
      <xdr:nvGrpSpPr>
        <xdr:cNvPr id="421" name="Group 420">
          <a:extLst>
            <a:ext uri="{FF2B5EF4-FFF2-40B4-BE49-F238E27FC236}">
              <a16:creationId xmlns:a16="http://schemas.microsoft.com/office/drawing/2014/main" id="{1EAA05DD-A57F-4AE9-9622-87AAE0F7D240}"/>
            </a:ext>
          </a:extLst>
        </xdr:cNvPr>
        <xdr:cNvGrpSpPr/>
      </xdr:nvGrpSpPr>
      <xdr:grpSpPr>
        <a:xfrm>
          <a:off x="11023856" y="2642002"/>
          <a:ext cx="583047" cy="575923"/>
          <a:chOff x="5492265" y="6960816"/>
          <a:chExt cx="586361" cy="575922"/>
        </a:xfrm>
      </xdr:grpSpPr>
      <xdr:sp macro="" textlink="'Pivot Tables'!BG8">
        <xdr:nvSpPr>
          <xdr:cNvPr id="422" name="TextBox 421">
            <a:extLst>
              <a:ext uri="{FF2B5EF4-FFF2-40B4-BE49-F238E27FC236}">
                <a16:creationId xmlns:a16="http://schemas.microsoft.com/office/drawing/2014/main" id="{136A147A-CC4C-D16F-E993-074163D6FF8C}"/>
              </a:ext>
            </a:extLst>
          </xdr:cNvPr>
          <xdr:cNvSpPr txBox="1"/>
        </xdr:nvSpPr>
        <xdr:spPr>
          <a:xfrm>
            <a:off x="5492963" y="6960816"/>
            <a:ext cx="584965" cy="5759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DE5643F-0578-45FE-902E-6F839C1827CB}" type="TxLink">
              <a:rPr lang="en-US" sz="1600" b="0" i="0" u="none" strike="noStrike">
                <a:solidFill>
                  <a:srgbClr val="C240DB"/>
                </a:solidFill>
                <a:latin typeface="Calibri"/>
                <a:ea typeface="Calibri"/>
                <a:cs typeface="Calibri"/>
              </a:rPr>
              <a:pPr algn="ctr"/>
              <a:t> </a:t>
            </a:fld>
            <a:endParaRPr lang="en-IN" sz="1100"/>
          </a:p>
        </xdr:txBody>
      </xdr:sp>
      <xdr:sp macro="" textlink="'Pivot Tables'!BI8">
        <xdr:nvSpPr>
          <xdr:cNvPr id="423" name="TextBox 422">
            <a:extLst>
              <a:ext uri="{FF2B5EF4-FFF2-40B4-BE49-F238E27FC236}">
                <a16:creationId xmlns:a16="http://schemas.microsoft.com/office/drawing/2014/main" id="{1B268BBB-35C3-2577-0F11-1C81A025D7FD}"/>
              </a:ext>
            </a:extLst>
          </xdr:cNvPr>
          <xdr:cNvSpPr txBox="1"/>
        </xdr:nvSpPr>
        <xdr:spPr>
          <a:xfrm>
            <a:off x="5492265" y="6960816"/>
            <a:ext cx="586361" cy="5759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2626F72-D825-4A3A-860F-8CDDF0CE28F7}" type="TxLink">
              <a:rPr lang="en-US" sz="1600" b="0" i="0" u="none" strike="noStrike">
                <a:solidFill>
                  <a:srgbClr val="0F11A7"/>
                </a:solidFill>
                <a:latin typeface="Calibri"/>
                <a:ea typeface="Calibri"/>
                <a:cs typeface="Calibri"/>
              </a:rPr>
              <a:pPr algn="ctr"/>
              <a:t>•</a:t>
            </a:fld>
            <a:endParaRPr lang="en-IN" sz="1100"/>
          </a:p>
        </xdr:txBody>
      </xdr:sp>
    </xdr:grpSp>
    <xdr:clientData/>
  </xdr:twoCellAnchor>
  <xdr:twoCellAnchor>
    <xdr:from>
      <xdr:col>18</xdr:col>
      <xdr:colOff>51460</xdr:colOff>
      <xdr:row>14</xdr:row>
      <xdr:rowOff>71332</xdr:rowOff>
    </xdr:from>
    <xdr:to>
      <xdr:col>19</xdr:col>
      <xdr:colOff>24907</xdr:colOff>
      <xdr:row>17</xdr:row>
      <xdr:rowOff>75755</xdr:rowOff>
    </xdr:to>
    <xdr:grpSp>
      <xdr:nvGrpSpPr>
        <xdr:cNvPr id="424" name="Group 423">
          <a:extLst>
            <a:ext uri="{FF2B5EF4-FFF2-40B4-BE49-F238E27FC236}">
              <a16:creationId xmlns:a16="http://schemas.microsoft.com/office/drawing/2014/main" id="{C990DE21-66BE-427A-B2D1-58F3E33E6859}"/>
            </a:ext>
          </a:extLst>
        </xdr:cNvPr>
        <xdr:cNvGrpSpPr/>
      </xdr:nvGrpSpPr>
      <xdr:grpSpPr>
        <a:xfrm>
          <a:off x="11024260" y="2738332"/>
          <a:ext cx="583047" cy="575923"/>
          <a:chOff x="5492265" y="6960816"/>
          <a:chExt cx="586361" cy="575922"/>
        </a:xfrm>
      </xdr:grpSpPr>
      <xdr:sp macro="" textlink="'Pivot Tables'!BG8">
        <xdr:nvSpPr>
          <xdr:cNvPr id="425" name="TextBox 424">
            <a:extLst>
              <a:ext uri="{FF2B5EF4-FFF2-40B4-BE49-F238E27FC236}">
                <a16:creationId xmlns:a16="http://schemas.microsoft.com/office/drawing/2014/main" id="{6539B44C-5E07-8D9D-E186-A7F01E45A264}"/>
              </a:ext>
            </a:extLst>
          </xdr:cNvPr>
          <xdr:cNvSpPr txBox="1"/>
        </xdr:nvSpPr>
        <xdr:spPr>
          <a:xfrm>
            <a:off x="5492963" y="6960816"/>
            <a:ext cx="584965" cy="5759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DE5643F-0578-45FE-902E-6F839C1827CB}" type="TxLink">
              <a:rPr lang="en-US" sz="1600" b="0" i="0" u="none" strike="noStrike">
                <a:solidFill>
                  <a:srgbClr val="C240DB"/>
                </a:solidFill>
                <a:latin typeface="Calibri"/>
                <a:ea typeface="Calibri"/>
                <a:cs typeface="Calibri"/>
              </a:rPr>
              <a:pPr algn="ctr"/>
              <a:t> </a:t>
            </a:fld>
            <a:endParaRPr lang="en-IN" sz="1100"/>
          </a:p>
        </xdr:txBody>
      </xdr:sp>
      <xdr:sp macro="" textlink="'Pivot Tables'!BI8">
        <xdr:nvSpPr>
          <xdr:cNvPr id="426" name="TextBox 425">
            <a:extLst>
              <a:ext uri="{FF2B5EF4-FFF2-40B4-BE49-F238E27FC236}">
                <a16:creationId xmlns:a16="http://schemas.microsoft.com/office/drawing/2014/main" id="{45FF6740-C407-A154-2A69-A2B3F09FC7D9}"/>
              </a:ext>
            </a:extLst>
          </xdr:cNvPr>
          <xdr:cNvSpPr txBox="1"/>
        </xdr:nvSpPr>
        <xdr:spPr>
          <a:xfrm>
            <a:off x="5492265" y="6960816"/>
            <a:ext cx="586361" cy="5759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2626F72-D825-4A3A-860F-8CDDF0CE28F7}" type="TxLink">
              <a:rPr lang="en-US" sz="1600" b="0" i="0" u="none" strike="noStrike">
                <a:solidFill>
                  <a:srgbClr val="0F11A7"/>
                </a:solidFill>
                <a:latin typeface="Calibri"/>
                <a:ea typeface="Calibri"/>
                <a:cs typeface="Calibri"/>
              </a:rPr>
              <a:pPr algn="ctr"/>
              <a:t>•</a:t>
            </a:fld>
            <a:endParaRPr lang="en-IN" sz="1100"/>
          </a:p>
        </xdr:txBody>
      </xdr:sp>
    </xdr:grpSp>
    <xdr:clientData/>
  </xdr:twoCellAnchor>
  <xdr:twoCellAnchor>
    <xdr:from>
      <xdr:col>17</xdr:col>
      <xdr:colOff>470694</xdr:colOff>
      <xdr:row>12</xdr:row>
      <xdr:rowOff>75112</xdr:rowOff>
    </xdr:from>
    <xdr:to>
      <xdr:col>18</xdr:col>
      <xdr:colOff>444141</xdr:colOff>
      <xdr:row>15</xdr:row>
      <xdr:rowOff>79535</xdr:rowOff>
    </xdr:to>
    <xdr:grpSp>
      <xdr:nvGrpSpPr>
        <xdr:cNvPr id="427" name="Group 426">
          <a:extLst>
            <a:ext uri="{FF2B5EF4-FFF2-40B4-BE49-F238E27FC236}">
              <a16:creationId xmlns:a16="http://schemas.microsoft.com/office/drawing/2014/main" id="{8EA946F6-B797-47C4-917A-E7F473F7F7E4}"/>
            </a:ext>
          </a:extLst>
        </xdr:cNvPr>
        <xdr:cNvGrpSpPr/>
      </xdr:nvGrpSpPr>
      <xdr:grpSpPr>
        <a:xfrm>
          <a:off x="10833894" y="2361112"/>
          <a:ext cx="583047" cy="575923"/>
          <a:chOff x="5492265" y="6960816"/>
          <a:chExt cx="586361" cy="575922"/>
        </a:xfrm>
      </xdr:grpSpPr>
      <xdr:sp macro="" textlink="'Pivot Tables'!BG8">
        <xdr:nvSpPr>
          <xdr:cNvPr id="428" name="TextBox 427">
            <a:extLst>
              <a:ext uri="{FF2B5EF4-FFF2-40B4-BE49-F238E27FC236}">
                <a16:creationId xmlns:a16="http://schemas.microsoft.com/office/drawing/2014/main" id="{B89D63F2-4F83-D3AE-FFE8-AEBD3D05CBF7}"/>
              </a:ext>
            </a:extLst>
          </xdr:cNvPr>
          <xdr:cNvSpPr txBox="1"/>
        </xdr:nvSpPr>
        <xdr:spPr>
          <a:xfrm>
            <a:off x="5492963" y="6960816"/>
            <a:ext cx="584965" cy="5759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DE5643F-0578-45FE-902E-6F839C1827CB}" type="TxLink">
              <a:rPr lang="en-US" sz="1600" b="0" i="0" u="none" strike="noStrike">
                <a:solidFill>
                  <a:srgbClr val="C240DB"/>
                </a:solidFill>
                <a:latin typeface="Calibri"/>
                <a:ea typeface="Calibri"/>
                <a:cs typeface="Calibri"/>
              </a:rPr>
              <a:pPr algn="ctr"/>
              <a:t> </a:t>
            </a:fld>
            <a:endParaRPr lang="en-IN" sz="1100"/>
          </a:p>
        </xdr:txBody>
      </xdr:sp>
      <xdr:sp macro="" textlink="'Pivot Tables'!BI8">
        <xdr:nvSpPr>
          <xdr:cNvPr id="429" name="TextBox 428">
            <a:extLst>
              <a:ext uri="{FF2B5EF4-FFF2-40B4-BE49-F238E27FC236}">
                <a16:creationId xmlns:a16="http://schemas.microsoft.com/office/drawing/2014/main" id="{E58ACB70-3B6A-EB91-B773-E7708090FC1C}"/>
              </a:ext>
            </a:extLst>
          </xdr:cNvPr>
          <xdr:cNvSpPr txBox="1"/>
        </xdr:nvSpPr>
        <xdr:spPr>
          <a:xfrm>
            <a:off x="5492265" y="6960816"/>
            <a:ext cx="586361" cy="5759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2626F72-D825-4A3A-860F-8CDDF0CE28F7}" type="TxLink">
              <a:rPr lang="en-US" sz="1600" b="0" i="0" u="none" strike="noStrike">
                <a:solidFill>
                  <a:srgbClr val="0F11A7"/>
                </a:solidFill>
                <a:latin typeface="Calibri"/>
                <a:ea typeface="Calibri"/>
                <a:cs typeface="Calibri"/>
              </a:rPr>
              <a:pPr algn="ctr"/>
              <a:t>•</a:t>
            </a:fld>
            <a:endParaRPr lang="en-IN" sz="1100"/>
          </a:p>
        </xdr:txBody>
      </xdr:sp>
    </xdr:grpSp>
    <xdr:clientData/>
  </xdr:twoCellAnchor>
  <xdr:twoCellAnchor>
    <xdr:from>
      <xdr:col>18</xdr:col>
      <xdr:colOff>335993</xdr:colOff>
      <xdr:row>14</xdr:row>
      <xdr:rowOff>166715</xdr:rowOff>
    </xdr:from>
    <xdr:to>
      <xdr:col>19</xdr:col>
      <xdr:colOff>309440</xdr:colOff>
      <xdr:row>17</xdr:row>
      <xdr:rowOff>171138</xdr:rowOff>
    </xdr:to>
    <xdr:grpSp>
      <xdr:nvGrpSpPr>
        <xdr:cNvPr id="430" name="Group 429">
          <a:extLst>
            <a:ext uri="{FF2B5EF4-FFF2-40B4-BE49-F238E27FC236}">
              <a16:creationId xmlns:a16="http://schemas.microsoft.com/office/drawing/2014/main" id="{03BCC650-4E71-4354-98CF-1EF1F5EA6F38}"/>
            </a:ext>
          </a:extLst>
        </xdr:cNvPr>
        <xdr:cNvGrpSpPr/>
      </xdr:nvGrpSpPr>
      <xdr:grpSpPr>
        <a:xfrm>
          <a:off x="11308793" y="2833715"/>
          <a:ext cx="583047" cy="575923"/>
          <a:chOff x="5492265" y="6960816"/>
          <a:chExt cx="586361" cy="575922"/>
        </a:xfrm>
      </xdr:grpSpPr>
      <xdr:sp macro="" textlink="'Pivot Tables'!BG8">
        <xdr:nvSpPr>
          <xdr:cNvPr id="431" name="TextBox 430">
            <a:extLst>
              <a:ext uri="{FF2B5EF4-FFF2-40B4-BE49-F238E27FC236}">
                <a16:creationId xmlns:a16="http://schemas.microsoft.com/office/drawing/2014/main" id="{8E052365-4437-A035-92D3-7307BE156E17}"/>
              </a:ext>
            </a:extLst>
          </xdr:cNvPr>
          <xdr:cNvSpPr txBox="1"/>
        </xdr:nvSpPr>
        <xdr:spPr>
          <a:xfrm>
            <a:off x="5492963" y="6960816"/>
            <a:ext cx="584965" cy="5759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DE5643F-0578-45FE-902E-6F839C1827CB}" type="TxLink">
              <a:rPr lang="en-US" sz="1600" b="0" i="0" u="none" strike="noStrike">
                <a:solidFill>
                  <a:srgbClr val="C240DB"/>
                </a:solidFill>
                <a:latin typeface="Calibri"/>
                <a:ea typeface="Calibri"/>
                <a:cs typeface="Calibri"/>
              </a:rPr>
              <a:pPr algn="ctr"/>
              <a:t> </a:t>
            </a:fld>
            <a:endParaRPr lang="en-IN" sz="1100"/>
          </a:p>
        </xdr:txBody>
      </xdr:sp>
      <xdr:sp macro="" textlink="'Pivot Tables'!BI8">
        <xdr:nvSpPr>
          <xdr:cNvPr id="432" name="TextBox 431">
            <a:extLst>
              <a:ext uri="{FF2B5EF4-FFF2-40B4-BE49-F238E27FC236}">
                <a16:creationId xmlns:a16="http://schemas.microsoft.com/office/drawing/2014/main" id="{5D47A8D4-35EE-61E4-8EC5-BEE3D16E1AE8}"/>
              </a:ext>
            </a:extLst>
          </xdr:cNvPr>
          <xdr:cNvSpPr txBox="1"/>
        </xdr:nvSpPr>
        <xdr:spPr>
          <a:xfrm>
            <a:off x="5492265" y="6960816"/>
            <a:ext cx="586361" cy="5759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2626F72-D825-4A3A-860F-8CDDF0CE28F7}" type="TxLink">
              <a:rPr lang="en-US" sz="1600" b="0" i="0" u="none" strike="noStrike">
                <a:solidFill>
                  <a:srgbClr val="0F11A7"/>
                </a:solidFill>
                <a:latin typeface="Calibri"/>
                <a:ea typeface="Calibri"/>
                <a:cs typeface="Calibri"/>
              </a:rPr>
              <a:pPr algn="ctr"/>
              <a:t>•</a:t>
            </a:fld>
            <a:endParaRPr lang="en-IN" sz="1100"/>
          </a:p>
        </xdr:txBody>
      </xdr:sp>
    </xdr:grpSp>
    <xdr:clientData/>
  </xdr:twoCellAnchor>
  <xdr:twoCellAnchor>
    <xdr:from>
      <xdr:col>17</xdr:col>
      <xdr:colOff>563932</xdr:colOff>
      <xdr:row>13</xdr:row>
      <xdr:rowOff>70470</xdr:rowOff>
    </xdr:from>
    <xdr:to>
      <xdr:col>18</xdr:col>
      <xdr:colOff>537379</xdr:colOff>
      <xdr:row>16</xdr:row>
      <xdr:rowOff>74892</xdr:rowOff>
    </xdr:to>
    <xdr:grpSp>
      <xdr:nvGrpSpPr>
        <xdr:cNvPr id="436" name="Group 435">
          <a:extLst>
            <a:ext uri="{FF2B5EF4-FFF2-40B4-BE49-F238E27FC236}">
              <a16:creationId xmlns:a16="http://schemas.microsoft.com/office/drawing/2014/main" id="{CEC9D405-3FCE-4899-AD37-7BA7C8C17119}"/>
            </a:ext>
          </a:extLst>
        </xdr:cNvPr>
        <xdr:cNvGrpSpPr/>
      </xdr:nvGrpSpPr>
      <xdr:grpSpPr>
        <a:xfrm>
          <a:off x="10927132" y="2546970"/>
          <a:ext cx="583047" cy="575922"/>
          <a:chOff x="5471481" y="7550899"/>
          <a:chExt cx="586361" cy="575922"/>
        </a:xfrm>
      </xdr:grpSpPr>
      <xdr:sp macro="" textlink="'Pivot Tables'!BH8">
        <xdr:nvSpPr>
          <xdr:cNvPr id="437" name="TextBox 436">
            <a:extLst>
              <a:ext uri="{FF2B5EF4-FFF2-40B4-BE49-F238E27FC236}">
                <a16:creationId xmlns:a16="http://schemas.microsoft.com/office/drawing/2014/main" id="{DFBB1CDE-4D7E-2264-A66D-0875CEEACD3F}"/>
              </a:ext>
            </a:extLst>
          </xdr:cNvPr>
          <xdr:cNvSpPr txBox="1"/>
        </xdr:nvSpPr>
        <xdr:spPr>
          <a:xfrm>
            <a:off x="5472179" y="7550899"/>
            <a:ext cx="584965" cy="5759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AA5ACC0-8E5B-479B-B6DA-31918F57EB1F}" type="TxLink">
              <a:rPr lang="en-US" sz="1600" b="0" i="0" u="none" strike="noStrike">
                <a:solidFill>
                  <a:srgbClr val="5A097C"/>
                </a:solidFill>
                <a:latin typeface="Calibri"/>
                <a:ea typeface="Calibri"/>
                <a:cs typeface="Calibri"/>
              </a:rPr>
              <a:pPr algn="ctr"/>
              <a:t> </a:t>
            </a:fld>
            <a:endParaRPr lang="en-IN" sz="1100"/>
          </a:p>
        </xdr:txBody>
      </xdr:sp>
      <xdr:sp macro="" textlink="'Pivot Tables'!BJ8">
        <xdr:nvSpPr>
          <xdr:cNvPr id="438" name="TextBox 437">
            <a:extLst>
              <a:ext uri="{FF2B5EF4-FFF2-40B4-BE49-F238E27FC236}">
                <a16:creationId xmlns:a16="http://schemas.microsoft.com/office/drawing/2014/main" id="{8B32BD56-922E-FFC3-7072-DE27B3A9C8E8}"/>
              </a:ext>
            </a:extLst>
          </xdr:cNvPr>
          <xdr:cNvSpPr txBox="1"/>
        </xdr:nvSpPr>
        <xdr:spPr>
          <a:xfrm>
            <a:off x="5471481" y="7550899"/>
            <a:ext cx="586361" cy="5759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A0C1EF8-AB72-4D43-B4EA-8FEE04B7C328}" type="TxLink">
              <a:rPr lang="en-US" sz="1600" b="0" i="0" u="none" strike="noStrike">
                <a:solidFill>
                  <a:srgbClr val="296EFC"/>
                </a:solidFill>
                <a:latin typeface="Calibri"/>
                <a:ea typeface="Calibri"/>
                <a:cs typeface="Calibri"/>
              </a:rPr>
              <a:pPr algn="ctr"/>
              <a:t>•</a:t>
            </a:fld>
            <a:endParaRPr lang="en-IN" sz="1100"/>
          </a:p>
        </xdr:txBody>
      </xdr:sp>
    </xdr:grpSp>
    <xdr:clientData/>
  </xdr:twoCellAnchor>
  <xdr:twoCellAnchor>
    <xdr:from>
      <xdr:col>17</xdr:col>
      <xdr:colOff>563932</xdr:colOff>
      <xdr:row>13</xdr:row>
      <xdr:rowOff>165044</xdr:rowOff>
    </xdr:from>
    <xdr:to>
      <xdr:col>18</xdr:col>
      <xdr:colOff>537379</xdr:colOff>
      <xdr:row>16</xdr:row>
      <xdr:rowOff>169466</xdr:rowOff>
    </xdr:to>
    <xdr:grpSp>
      <xdr:nvGrpSpPr>
        <xdr:cNvPr id="439" name="Group 438">
          <a:extLst>
            <a:ext uri="{FF2B5EF4-FFF2-40B4-BE49-F238E27FC236}">
              <a16:creationId xmlns:a16="http://schemas.microsoft.com/office/drawing/2014/main" id="{20984B81-6C76-9043-DA03-2F1014DAC02E}"/>
            </a:ext>
          </a:extLst>
        </xdr:cNvPr>
        <xdr:cNvGrpSpPr/>
      </xdr:nvGrpSpPr>
      <xdr:grpSpPr>
        <a:xfrm>
          <a:off x="10927132" y="2641544"/>
          <a:ext cx="583047" cy="575922"/>
          <a:chOff x="5471481" y="7550899"/>
          <a:chExt cx="586361" cy="575922"/>
        </a:xfrm>
      </xdr:grpSpPr>
      <xdr:sp macro="" textlink="'Pivot Tables'!BH8">
        <xdr:nvSpPr>
          <xdr:cNvPr id="440" name="TextBox 439">
            <a:extLst>
              <a:ext uri="{FF2B5EF4-FFF2-40B4-BE49-F238E27FC236}">
                <a16:creationId xmlns:a16="http://schemas.microsoft.com/office/drawing/2014/main" id="{5E15085C-AD87-99B8-340B-DD76378A3C6C}"/>
              </a:ext>
            </a:extLst>
          </xdr:cNvPr>
          <xdr:cNvSpPr txBox="1"/>
        </xdr:nvSpPr>
        <xdr:spPr>
          <a:xfrm>
            <a:off x="5472179" y="7550899"/>
            <a:ext cx="584965" cy="5759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AA5ACC0-8E5B-479B-B6DA-31918F57EB1F}" type="TxLink">
              <a:rPr lang="en-US" sz="1600" b="0" i="0" u="none" strike="noStrike">
                <a:solidFill>
                  <a:srgbClr val="5A097C"/>
                </a:solidFill>
                <a:latin typeface="Calibri"/>
                <a:ea typeface="Calibri"/>
                <a:cs typeface="Calibri"/>
              </a:rPr>
              <a:pPr algn="ctr"/>
              <a:t> </a:t>
            </a:fld>
            <a:endParaRPr lang="en-IN" sz="1100"/>
          </a:p>
        </xdr:txBody>
      </xdr:sp>
      <xdr:sp macro="" textlink="'Pivot Tables'!BJ8">
        <xdr:nvSpPr>
          <xdr:cNvPr id="441" name="TextBox 440">
            <a:extLst>
              <a:ext uri="{FF2B5EF4-FFF2-40B4-BE49-F238E27FC236}">
                <a16:creationId xmlns:a16="http://schemas.microsoft.com/office/drawing/2014/main" id="{5B56E7B0-E52F-F073-A644-A4CF5D60F2CF}"/>
              </a:ext>
            </a:extLst>
          </xdr:cNvPr>
          <xdr:cNvSpPr txBox="1"/>
        </xdr:nvSpPr>
        <xdr:spPr>
          <a:xfrm>
            <a:off x="5471481" y="7550899"/>
            <a:ext cx="586361" cy="5759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A0C1EF8-AB72-4D43-B4EA-8FEE04B7C328}" type="TxLink">
              <a:rPr lang="en-US" sz="1600" b="0" i="0" u="none" strike="noStrike">
                <a:solidFill>
                  <a:srgbClr val="296EFC"/>
                </a:solidFill>
                <a:latin typeface="Calibri"/>
                <a:ea typeface="Calibri"/>
                <a:cs typeface="Calibri"/>
              </a:rPr>
              <a:pPr algn="ctr"/>
              <a:t>•</a:t>
            </a:fld>
            <a:endParaRPr lang="en-IN" sz="1100"/>
          </a:p>
        </xdr:txBody>
      </xdr:sp>
    </xdr:grpSp>
    <xdr:clientData/>
  </xdr:twoCellAnchor>
  <xdr:twoCellAnchor>
    <xdr:from>
      <xdr:col>17</xdr:col>
      <xdr:colOff>567310</xdr:colOff>
      <xdr:row>14</xdr:row>
      <xdr:rowOff>165044</xdr:rowOff>
    </xdr:from>
    <xdr:to>
      <xdr:col>18</xdr:col>
      <xdr:colOff>540757</xdr:colOff>
      <xdr:row>17</xdr:row>
      <xdr:rowOff>169466</xdr:rowOff>
    </xdr:to>
    <xdr:grpSp>
      <xdr:nvGrpSpPr>
        <xdr:cNvPr id="442" name="Group 441">
          <a:extLst>
            <a:ext uri="{FF2B5EF4-FFF2-40B4-BE49-F238E27FC236}">
              <a16:creationId xmlns:a16="http://schemas.microsoft.com/office/drawing/2014/main" id="{10FE533F-6F72-DD84-10D1-D98477194945}"/>
            </a:ext>
          </a:extLst>
        </xdr:cNvPr>
        <xdr:cNvGrpSpPr/>
      </xdr:nvGrpSpPr>
      <xdr:grpSpPr>
        <a:xfrm>
          <a:off x="10930510" y="2832044"/>
          <a:ext cx="583047" cy="575922"/>
          <a:chOff x="5471481" y="7550899"/>
          <a:chExt cx="586361" cy="575922"/>
        </a:xfrm>
      </xdr:grpSpPr>
      <xdr:sp macro="" textlink="'Pivot Tables'!BH8">
        <xdr:nvSpPr>
          <xdr:cNvPr id="443" name="TextBox 442">
            <a:extLst>
              <a:ext uri="{FF2B5EF4-FFF2-40B4-BE49-F238E27FC236}">
                <a16:creationId xmlns:a16="http://schemas.microsoft.com/office/drawing/2014/main" id="{7F7F9155-A7A5-583B-9108-5630005476C3}"/>
              </a:ext>
            </a:extLst>
          </xdr:cNvPr>
          <xdr:cNvSpPr txBox="1"/>
        </xdr:nvSpPr>
        <xdr:spPr>
          <a:xfrm>
            <a:off x="5472179" y="7550899"/>
            <a:ext cx="584965" cy="5759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AA5ACC0-8E5B-479B-B6DA-31918F57EB1F}" type="TxLink">
              <a:rPr lang="en-US" sz="1600" b="0" i="0" u="none" strike="noStrike">
                <a:solidFill>
                  <a:srgbClr val="5A097C"/>
                </a:solidFill>
                <a:latin typeface="Calibri"/>
                <a:ea typeface="Calibri"/>
                <a:cs typeface="Calibri"/>
              </a:rPr>
              <a:pPr algn="ctr"/>
              <a:t> </a:t>
            </a:fld>
            <a:endParaRPr lang="en-IN" sz="1100"/>
          </a:p>
        </xdr:txBody>
      </xdr:sp>
      <xdr:sp macro="" textlink="'Pivot Tables'!BJ8">
        <xdr:nvSpPr>
          <xdr:cNvPr id="444" name="TextBox 443">
            <a:extLst>
              <a:ext uri="{FF2B5EF4-FFF2-40B4-BE49-F238E27FC236}">
                <a16:creationId xmlns:a16="http://schemas.microsoft.com/office/drawing/2014/main" id="{15AFC367-7A65-0D9C-9DA0-BF00270A99F4}"/>
              </a:ext>
            </a:extLst>
          </xdr:cNvPr>
          <xdr:cNvSpPr txBox="1"/>
        </xdr:nvSpPr>
        <xdr:spPr>
          <a:xfrm>
            <a:off x="5471481" y="7550899"/>
            <a:ext cx="586361" cy="5759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A0C1EF8-AB72-4D43-B4EA-8FEE04B7C328}" type="TxLink">
              <a:rPr lang="en-US" sz="1600" b="0" i="0" u="none" strike="noStrike">
                <a:solidFill>
                  <a:srgbClr val="296EFC"/>
                </a:solidFill>
                <a:latin typeface="Calibri"/>
                <a:ea typeface="Calibri"/>
                <a:cs typeface="Calibri"/>
              </a:rPr>
              <a:pPr algn="ctr"/>
              <a:t>•</a:t>
            </a:fld>
            <a:endParaRPr lang="en-IN" sz="1100"/>
          </a:p>
        </xdr:txBody>
      </xdr:sp>
    </xdr:grpSp>
    <xdr:clientData/>
  </xdr:twoCellAnchor>
  <xdr:twoCellAnchor>
    <xdr:from>
      <xdr:col>17</xdr:col>
      <xdr:colOff>375186</xdr:colOff>
      <xdr:row>13</xdr:row>
      <xdr:rowOff>70876</xdr:rowOff>
    </xdr:from>
    <xdr:to>
      <xdr:col>18</xdr:col>
      <xdr:colOff>348633</xdr:colOff>
      <xdr:row>16</xdr:row>
      <xdr:rowOff>75298</xdr:rowOff>
    </xdr:to>
    <xdr:grpSp>
      <xdr:nvGrpSpPr>
        <xdr:cNvPr id="445" name="Group 444">
          <a:extLst>
            <a:ext uri="{FF2B5EF4-FFF2-40B4-BE49-F238E27FC236}">
              <a16:creationId xmlns:a16="http://schemas.microsoft.com/office/drawing/2014/main" id="{965F1C2B-D18C-4D07-A3F2-C78B40921394}"/>
            </a:ext>
          </a:extLst>
        </xdr:cNvPr>
        <xdr:cNvGrpSpPr/>
      </xdr:nvGrpSpPr>
      <xdr:grpSpPr>
        <a:xfrm>
          <a:off x="10738386" y="2547376"/>
          <a:ext cx="583047" cy="575922"/>
          <a:chOff x="5471481" y="7550899"/>
          <a:chExt cx="586361" cy="575922"/>
        </a:xfrm>
      </xdr:grpSpPr>
      <xdr:sp macro="" textlink="'Pivot Tables'!BH8">
        <xdr:nvSpPr>
          <xdr:cNvPr id="446" name="TextBox 445">
            <a:extLst>
              <a:ext uri="{FF2B5EF4-FFF2-40B4-BE49-F238E27FC236}">
                <a16:creationId xmlns:a16="http://schemas.microsoft.com/office/drawing/2014/main" id="{1095B18C-636F-80A1-0086-58F36A0D3F5D}"/>
              </a:ext>
            </a:extLst>
          </xdr:cNvPr>
          <xdr:cNvSpPr txBox="1"/>
        </xdr:nvSpPr>
        <xdr:spPr>
          <a:xfrm>
            <a:off x="5472179" y="7550899"/>
            <a:ext cx="584965" cy="5759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AA5ACC0-8E5B-479B-B6DA-31918F57EB1F}" type="TxLink">
              <a:rPr lang="en-US" sz="1600" b="0" i="0" u="none" strike="noStrike">
                <a:solidFill>
                  <a:srgbClr val="5A097C"/>
                </a:solidFill>
                <a:latin typeface="Calibri"/>
                <a:ea typeface="Calibri"/>
                <a:cs typeface="Calibri"/>
              </a:rPr>
              <a:pPr algn="ctr"/>
              <a:t> </a:t>
            </a:fld>
            <a:endParaRPr lang="en-IN" sz="1100"/>
          </a:p>
        </xdr:txBody>
      </xdr:sp>
      <xdr:sp macro="" textlink="'Pivot Tables'!BJ8">
        <xdr:nvSpPr>
          <xdr:cNvPr id="447" name="TextBox 446">
            <a:extLst>
              <a:ext uri="{FF2B5EF4-FFF2-40B4-BE49-F238E27FC236}">
                <a16:creationId xmlns:a16="http://schemas.microsoft.com/office/drawing/2014/main" id="{015EE10B-706B-3CB9-9E1F-EA7043227705}"/>
              </a:ext>
            </a:extLst>
          </xdr:cNvPr>
          <xdr:cNvSpPr txBox="1"/>
        </xdr:nvSpPr>
        <xdr:spPr>
          <a:xfrm>
            <a:off x="5471481" y="7550899"/>
            <a:ext cx="586361" cy="5759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A0C1EF8-AB72-4D43-B4EA-8FEE04B7C328}" type="TxLink">
              <a:rPr lang="en-US" sz="1600" b="0" i="0" u="none" strike="noStrike">
                <a:solidFill>
                  <a:srgbClr val="296EFC"/>
                </a:solidFill>
                <a:latin typeface="Calibri"/>
                <a:ea typeface="Calibri"/>
                <a:cs typeface="Calibri"/>
              </a:rPr>
              <a:pPr algn="ctr"/>
              <a:t>•</a:t>
            </a:fld>
            <a:endParaRPr lang="en-IN" sz="1100"/>
          </a:p>
        </xdr:txBody>
      </xdr:sp>
    </xdr:grpSp>
    <xdr:clientData/>
  </xdr:twoCellAnchor>
  <xdr:twoCellAnchor>
    <xdr:from>
      <xdr:col>18</xdr:col>
      <xdr:colOff>240079</xdr:colOff>
      <xdr:row>13</xdr:row>
      <xdr:rowOff>70876</xdr:rowOff>
    </xdr:from>
    <xdr:to>
      <xdr:col>19</xdr:col>
      <xdr:colOff>213526</xdr:colOff>
      <xdr:row>16</xdr:row>
      <xdr:rowOff>75298</xdr:rowOff>
    </xdr:to>
    <xdr:grpSp>
      <xdr:nvGrpSpPr>
        <xdr:cNvPr id="576" name="Group 575">
          <a:extLst>
            <a:ext uri="{FF2B5EF4-FFF2-40B4-BE49-F238E27FC236}">
              <a16:creationId xmlns:a16="http://schemas.microsoft.com/office/drawing/2014/main" id="{50CC75D2-784D-1C50-12F7-0B8C2D95FA03}"/>
            </a:ext>
          </a:extLst>
        </xdr:cNvPr>
        <xdr:cNvGrpSpPr/>
      </xdr:nvGrpSpPr>
      <xdr:grpSpPr>
        <a:xfrm>
          <a:off x="11212879" y="2547376"/>
          <a:ext cx="583047" cy="575922"/>
          <a:chOff x="5471481" y="7550899"/>
          <a:chExt cx="586361" cy="575922"/>
        </a:xfrm>
      </xdr:grpSpPr>
      <xdr:sp macro="" textlink="'Pivot Tables'!BH8">
        <xdr:nvSpPr>
          <xdr:cNvPr id="577" name="TextBox 576">
            <a:extLst>
              <a:ext uri="{FF2B5EF4-FFF2-40B4-BE49-F238E27FC236}">
                <a16:creationId xmlns:a16="http://schemas.microsoft.com/office/drawing/2014/main" id="{6BBF7A34-B294-930F-5156-C318D3729B04}"/>
              </a:ext>
            </a:extLst>
          </xdr:cNvPr>
          <xdr:cNvSpPr txBox="1"/>
        </xdr:nvSpPr>
        <xdr:spPr>
          <a:xfrm>
            <a:off x="5472179" y="7550899"/>
            <a:ext cx="584965" cy="5759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AA5ACC0-8E5B-479B-B6DA-31918F57EB1F}" type="TxLink">
              <a:rPr lang="en-US" sz="1600" b="0" i="0" u="none" strike="noStrike">
                <a:solidFill>
                  <a:srgbClr val="5A097C"/>
                </a:solidFill>
                <a:latin typeface="Calibri"/>
                <a:ea typeface="Calibri"/>
                <a:cs typeface="Calibri"/>
              </a:rPr>
              <a:pPr algn="ctr"/>
              <a:t> </a:t>
            </a:fld>
            <a:endParaRPr lang="en-IN" sz="1100"/>
          </a:p>
        </xdr:txBody>
      </xdr:sp>
      <xdr:sp macro="" textlink="'Pivot Tables'!BJ8">
        <xdr:nvSpPr>
          <xdr:cNvPr id="578" name="TextBox 577">
            <a:extLst>
              <a:ext uri="{FF2B5EF4-FFF2-40B4-BE49-F238E27FC236}">
                <a16:creationId xmlns:a16="http://schemas.microsoft.com/office/drawing/2014/main" id="{D3E23120-721B-A949-D679-A09A8D9B4EEE}"/>
              </a:ext>
            </a:extLst>
          </xdr:cNvPr>
          <xdr:cNvSpPr txBox="1"/>
        </xdr:nvSpPr>
        <xdr:spPr>
          <a:xfrm>
            <a:off x="5471481" y="7550899"/>
            <a:ext cx="586361" cy="5759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A0C1EF8-AB72-4D43-B4EA-8FEE04B7C328}" type="TxLink">
              <a:rPr lang="en-US" sz="1600" b="0" i="0" u="none" strike="noStrike">
                <a:solidFill>
                  <a:srgbClr val="296EFC"/>
                </a:solidFill>
                <a:latin typeface="Calibri"/>
                <a:ea typeface="Calibri"/>
                <a:cs typeface="Calibri"/>
              </a:rPr>
              <a:pPr algn="ctr"/>
              <a:t>•</a:t>
            </a:fld>
            <a:endParaRPr lang="en-IN" sz="1100"/>
          </a:p>
        </xdr:txBody>
      </xdr:sp>
    </xdr:grpSp>
    <xdr:clientData/>
  </xdr:twoCellAnchor>
  <xdr:twoCellAnchor>
    <xdr:from>
      <xdr:col>18</xdr:col>
      <xdr:colOff>243858</xdr:colOff>
      <xdr:row>14</xdr:row>
      <xdr:rowOff>67905</xdr:rowOff>
    </xdr:from>
    <xdr:to>
      <xdr:col>19</xdr:col>
      <xdr:colOff>217305</xdr:colOff>
      <xdr:row>17</xdr:row>
      <xdr:rowOff>72327</xdr:rowOff>
    </xdr:to>
    <xdr:grpSp>
      <xdr:nvGrpSpPr>
        <xdr:cNvPr id="579" name="Group 578">
          <a:extLst>
            <a:ext uri="{FF2B5EF4-FFF2-40B4-BE49-F238E27FC236}">
              <a16:creationId xmlns:a16="http://schemas.microsoft.com/office/drawing/2014/main" id="{B4A5AD42-7E3A-4984-9429-70E8E694883B}"/>
            </a:ext>
          </a:extLst>
        </xdr:cNvPr>
        <xdr:cNvGrpSpPr/>
      </xdr:nvGrpSpPr>
      <xdr:grpSpPr>
        <a:xfrm>
          <a:off x="11216658" y="2734905"/>
          <a:ext cx="583047" cy="575922"/>
          <a:chOff x="5471481" y="7550899"/>
          <a:chExt cx="586361" cy="575922"/>
        </a:xfrm>
      </xdr:grpSpPr>
      <xdr:sp macro="" textlink="'Pivot Tables'!BH8">
        <xdr:nvSpPr>
          <xdr:cNvPr id="580" name="TextBox 579">
            <a:extLst>
              <a:ext uri="{FF2B5EF4-FFF2-40B4-BE49-F238E27FC236}">
                <a16:creationId xmlns:a16="http://schemas.microsoft.com/office/drawing/2014/main" id="{15EE56A7-11BF-E0FD-7B26-1048779BA312}"/>
              </a:ext>
            </a:extLst>
          </xdr:cNvPr>
          <xdr:cNvSpPr txBox="1"/>
        </xdr:nvSpPr>
        <xdr:spPr>
          <a:xfrm>
            <a:off x="5472179" y="7550899"/>
            <a:ext cx="584965" cy="5759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AA5ACC0-8E5B-479B-B6DA-31918F57EB1F}" type="TxLink">
              <a:rPr lang="en-US" sz="1600" b="0" i="0" u="none" strike="noStrike">
                <a:solidFill>
                  <a:srgbClr val="5A097C"/>
                </a:solidFill>
                <a:latin typeface="Calibri"/>
                <a:ea typeface="Calibri"/>
                <a:cs typeface="Calibri"/>
              </a:rPr>
              <a:pPr algn="ctr"/>
              <a:t> </a:t>
            </a:fld>
            <a:endParaRPr lang="en-IN" sz="1100"/>
          </a:p>
        </xdr:txBody>
      </xdr:sp>
      <xdr:sp macro="" textlink="'Pivot Tables'!BJ8">
        <xdr:nvSpPr>
          <xdr:cNvPr id="581" name="TextBox 580">
            <a:extLst>
              <a:ext uri="{FF2B5EF4-FFF2-40B4-BE49-F238E27FC236}">
                <a16:creationId xmlns:a16="http://schemas.microsoft.com/office/drawing/2014/main" id="{82EB87DF-829A-57C0-CB33-406B16D11E0B}"/>
              </a:ext>
            </a:extLst>
          </xdr:cNvPr>
          <xdr:cNvSpPr txBox="1"/>
        </xdr:nvSpPr>
        <xdr:spPr>
          <a:xfrm>
            <a:off x="5471481" y="7550899"/>
            <a:ext cx="586361" cy="5759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A0C1EF8-AB72-4D43-B4EA-8FEE04B7C328}" type="TxLink">
              <a:rPr lang="en-US" sz="1600" b="0" i="0" u="none" strike="noStrike">
                <a:solidFill>
                  <a:srgbClr val="296EFC"/>
                </a:solidFill>
                <a:latin typeface="Calibri"/>
                <a:ea typeface="Calibri"/>
                <a:cs typeface="Calibri"/>
              </a:rPr>
              <a:pPr algn="ctr"/>
              <a:t>•</a:t>
            </a:fld>
            <a:endParaRPr lang="en-IN" sz="1100"/>
          </a:p>
        </xdr:txBody>
      </xdr:sp>
    </xdr:grpSp>
    <xdr:clientData/>
  </xdr:twoCellAnchor>
  <xdr:twoCellAnchor>
    <xdr:from>
      <xdr:col>18</xdr:col>
      <xdr:colOff>430036</xdr:colOff>
      <xdr:row>13</xdr:row>
      <xdr:rowOff>166256</xdr:rowOff>
    </xdr:from>
    <xdr:to>
      <xdr:col>19</xdr:col>
      <xdr:colOff>403483</xdr:colOff>
      <xdr:row>16</xdr:row>
      <xdr:rowOff>170678</xdr:rowOff>
    </xdr:to>
    <xdr:grpSp>
      <xdr:nvGrpSpPr>
        <xdr:cNvPr id="582" name="Group 581">
          <a:extLst>
            <a:ext uri="{FF2B5EF4-FFF2-40B4-BE49-F238E27FC236}">
              <a16:creationId xmlns:a16="http://schemas.microsoft.com/office/drawing/2014/main" id="{AEA4A839-B20F-4E4B-9DD3-065D3C328D6D}"/>
            </a:ext>
          </a:extLst>
        </xdr:cNvPr>
        <xdr:cNvGrpSpPr/>
      </xdr:nvGrpSpPr>
      <xdr:grpSpPr>
        <a:xfrm>
          <a:off x="11402836" y="2642756"/>
          <a:ext cx="583047" cy="575922"/>
          <a:chOff x="5471481" y="7550899"/>
          <a:chExt cx="586361" cy="575922"/>
        </a:xfrm>
      </xdr:grpSpPr>
      <xdr:sp macro="" textlink="'Pivot Tables'!BH8">
        <xdr:nvSpPr>
          <xdr:cNvPr id="583" name="TextBox 582">
            <a:extLst>
              <a:ext uri="{FF2B5EF4-FFF2-40B4-BE49-F238E27FC236}">
                <a16:creationId xmlns:a16="http://schemas.microsoft.com/office/drawing/2014/main" id="{2E5C7AD4-BC7C-ACC9-2820-7544A66A8695}"/>
              </a:ext>
            </a:extLst>
          </xdr:cNvPr>
          <xdr:cNvSpPr txBox="1"/>
        </xdr:nvSpPr>
        <xdr:spPr>
          <a:xfrm>
            <a:off x="5472179" y="7550899"/>
            <a:ext cx="584965" cy="5759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AA5ACC0-8E5B-479B-B6DA-31918F57EB1F}" type="TxLink">
              <a:rPr lang="en-US" sz="1600" b="0" i="0" u="none" strike="noStrike">
                <a:solidFill>
                  <a:srgbClr val="5A097C"/>
                </a:solidFill>
                <a:latin typeface="Calibri"/>
                <a:ea typeface="Calibri"/>
                <a:cs typeface="Calibri"/>
              </a:rPr>
              <a:pPr algn="ctr"/>
              <a:t> </a:t>
            </a:fld>
            <a:endParaRPr lang="en-IN" sz="1100"/>
          </a:p>
        </xdr:txBody>
      </xdr:sp>
      <xdr:sp macro="" textlink="'Pivot Tables'!BJ8">
        <xdr:nvSpPr>
          <xdr:cNvPr id="584" name="TextBox 583">
            <a:extLst>
              <a:ext uri="{FF2B5EF4-FFF2-40B4-BE49-F238E27FC236}">
                <a16:creationId xmlns:a16="http://schemas.microsoft.com/office/drawing/2014/main" id="{E7C3BF1D-83EE-4A5F-A60B-C6995FDAB363}"/>
              </a:ext>
            </a:extLst>
          </xdr:cNvPr>
          <xdr:cNvSpPr txBox="1"/>
        </xdr:nvSpPr>
        <xdr:spPr>
          <a:xfrm>
            <a:off x="5471481" y="7550899"/>
            <a:ext cx="586361" cy="5759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A0C1EF8-AB72-4D43-B4EA-8FEE04B7C328}" type="TxLink">
              <a:rPr lang="en-US" sz="1600" b="0" i="0" u="none" strike="noStrike">
                <a:solidFill>
                  <a:srgbClr val="296EFC"/>
                </a:solidFill>
                <a:latin typeface="Calibri"/>
                <a:ea typeface="Calibri"/>
                <a:cs typeface="Calibri"/>
              </a:rPr>
              <a:pPr algn="ctr"/>
              <a:t>•</a:t>
            </a:fld>
            <a:endParaRPr lang="en-IN" sz="1100"/>
          </a:p>
        </xdr:txBody>
      </xdr:sp>
    </xdr:grpSp>
    <xdr:clientData/>
  </xdr:twoCellAnchor>
  <xdr:twoCellAnchor>
    <xdr:from>
      <xdr:col>11</xdr:col>
      <xdr:colOff>274117</xdr:colOff>
      <xdr:row>11</xdr:row>
      <xdr:rowOff>165604</xdr:rowOff>
    </xdr:from>
    <xdr:to>
      <xdr:col>18</xdr:col>
      <xdr:colOff>378032</xdr:colOff>
      <xdr:row>18</xdr:row>
      <xdr:rowOff>186279</xdr:rowOff>
    </xdr:to>
    <xdr:sp macro="" textlink="">
      <xdr:nvSpPr>
        <xdr:cNvPr id="586" name="Arc 585">
          <a:extLst>
            <a:ext uri="{FF2B5EF4-FFF2-40B4-BE49-F238E27FC236}">
              <a16:creationId xmlns:a16="http://schemas.microsoft.com/office/drawing/2014/main" id="{1D4D35FB-5CB0-18DE-C4FA-6DEC272021B9}"/>
            </a:ext>
          </a:extLst>
        </xdr:cNvPr>
        <xdr:cNvSpPr/>
      </xdr:nvSpPr>
      <xdr:spPr>
        <a:xfrm rot="399749">
          <a:off x="7009653" y="2261104"/>
          <a:ext cx="4390165" cy="1354175"/>
        </a:xfrm>
        <a:prstGeom prst="arc">
          <a:avLst>
            <a:gd name="adj1" fmla="val 11035599"/>
            <a:gd name="adj2" fmla="val 21181726"/>
          </a:avLst>
        </a:prstGeom>
        <a:noFill/>
        <a:ln w="22225">
          <a:gradFill flip="none" rotWithShape="1">
            <a:gsLst>
              <a:gs pos="0">
                <a:srgbClr val="5063F3"/>
              </a:gs>
              <a:gs pos="67000">
                <a:srgbClr val="296EFC"/>
              </a:gs>
            </a:gsLst>
            <a:lin ang="0" scaled="1"/>
            <a:tileRect/>
          </a:gra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IN" sz="1100"/>
        </a:p>
      </xdr:txBody>
    </xdr:sp>
    <xdr:clientData/>
  </xdr:twoCellAnchor>
  <xdr:twoCellAnchor>
    <xdr:from>
      <xdr:col>11</xdr:col>
      <xdr:colOff>411693</xdr:colOff>
      <xdr:row>15</xdr:row>
      <xdr:rowOff>158985</xdr:rowOff>
    </xdr:from>
    <xdr:to>
      <xdr:col>19</xdr:col>
      <xdr:colOff>119781</xdr:colOff>
      <xdr:row>22</xdr:row>
      <xdr:rowOff>179660</xdr:rowOff>
    </xdr:to>
    <xdr:sp macro="" textlink="">
      <xdr:nvSpPr>
        <xdr:cNvPr id="588" name="Arc 587">
          <a:extLst>
            <a:ext uri="{FF2B5EF4-FFF2-40B4-BE49-F238E27FC236}">
              <a16:creationId xmlns:a16="http://schemas.microsoft.com/office/drawing/2014/main" id="{2F5DE930-0B46-4D7C-B8F5-E1C1C89F83EE}"/>
            </a:ext>
          </a:extLst>
        </xdr:cNvPr>
        <xdr:cNvSpPr/>
      </xdr:nvSpPr>
      <xdr:spPr>
        <a:xfrm rot="20867672">
          <a:off x="7147229" y="3016485"/>
          <a:ext cx="4606659" cy="1354175"/>
        </a:xfrm>
        <a:prstGeom prst="arc">
          <a:avLst>
            <a:gd name="adj1" fmla="val 11532817"/>
            <a:gd name="adj2" fmla="val 20966815"/>
          </a:avLst>
        </a:prstGeom>
        <a:noFill/>
        <a:ln w="22225">
          <a:gradFill flip="none" rotWithShape="1">
            <a:gsLst>
              <a:gs pos="0">
                <a:srgbClr val="C240DB"/>
              </a:gs>
              <a:gs pos="67000">
                <a:srgbClr val="296EFC"/>
              </a:gs>
            </a:gsLst>
            <a:lin ang="0" scaled="1"/>
            <a:tileRect/>
          </a:gra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IN" sz="1100"/>
        </a:p>
      </xdr:txBody>
    </xdr:sp>
    <xdr:clientData/>
  </xdr:twoCellAnchor>
  <xdr:twoCellAnchor>
    <xdr:from>
      <xdr:col>11</xdr:col>
      <xdr:colOff>488485</xdr:colOff>
      <xdr:row>19</xdr:row>
      <xdr:rowOff>103110</xdr:rowOff>
    </xdr:from>
    <xdr:to>
      <xdr:col>19</xdr:col>
      <xdr:colOff>194167</xdr:colOff>
      <xdr:row>27</xdr:row>
      <xdr:rowOff>158788</xdr:rowOff>
    </xdr:to>
    <xdr:sp macro="" textlink="">
      <xdr:nvSpPr>
        <xdr:cNvPr id="590" name="Arc 589">
          <a:extLst>
            <a:ext uri="{FF2B5EF4-FFF2-40B4-BE49-F238E27FC236}">
              <a16:creationId xmlns:a16="http://schemas.microsoft.com/office/drawing/2014/main" id="{4F7932AE-BEFF-4A4D-9569-4E174F54D919}"/>
            </a:ext>
          </a:extLst>
        </xdr:cNvPr>
        <xdr:cNvSpPr/>
      </xdr:nvSpPr>
      <xdr:spPr>
        <a:xfrm rot="875796">
          <a:off x="7224021" y="3722610"/>
          <a:ext cx="4604253" cy="1579678"/>
        </a:xfrm>
        <a:prstGeom prst="arc">
          <a:avLst>
            <a:gd name="adj1" fmla="val 11312013"/>
            <a:gd name="adj2" fmla="val 20764901"/>
          </a:avLst>
        </a:prstGeom>
        <a:noFill/>
        <a:ln w="22225">
          <a:gradFill flip="none" rotWithShape="1">
            <a:gsLst>
              <a:gs pos="0">
                <a:srgbClr val="C240DB"/>
              </a:gs>
              <a:gs pos="67000">
                <a:srgbClr val="296EFC"/>
              </a:gs>
            </a:gsLst>
            <a:lin ang="0" scaled="1"/>
            <a:tileRect/>
          </a:gra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IN" sz="1100"/>
        </a:p>
      </xdr:txBody>
    </xdr:sp>
    <xdr:clientData/>
  </xdr:twoCellAnchor>
  <xdr:twoCellAnchor>
    <xdr:from>
      <xdr:col>18</xdr:col>
      <xdr:colOff>28656</xdr:colOff>
      <xdr:row>12</xdr:row>
      <xdr:rowOff>98230</xdr:rowOff>
    </xdr:from>
    <xdr:to>
      <xdr:col>23</xdr:col>
      <xdr:colOff>64482</xdr:colOff>
      <xdr:row>18</xdr:row>
      <xdr:rowOff>51018</xdr:rowOff>
    </xdr:to>
    <xdr:sp macro="" textlink="">
      <xdr:nvSpPr>
        <xdr:cNvPr id="591" name="Arc 590">
          <a:extLst>
            <a:ext uri="{FF2B5EF4-FFF2-40B4-BE49-F238E27FC236}">
              <a16:creationId xmlns:a16="http://schemas.microsoft.com/office/drawing/2014/main" id="{6083856C-09F6-4D2F-93E0-ACB95B42AA13}"/>
            </a:ext>
          </a:extLst>
        </xdr:cNvPr>
        <xdr:cNvSpPr/>
      </xdr:nvSpPr>
      <xdr:spPr>
        <a:xfrm rot="20840214">
          <a:off x="11050442" y="2384230"/>
          <a:ext cx="3097433" cy="1095788"/>
        </a:xfrm>
        <a:prstGeom prst="arc">
          <a:avLst>
            <a:gd name="adj1" fmla="val 11581046"/>
            <a:gd name="adj2" fmla="val 20858196"/>
          </a:avLst>
        </a:prstGeom>
        <a:noFill/>
        <a:ln w="22225">
          <a:gradFill flip="none" rotWithShape="1">
            <a:gsLst>
              <a:gs pos="0">
                <a:srgbClr val="C240DB"/>
              </a:gs>
              <a:gs pos="67000">
                <a:srgbClr val="296EFC"/>
              </a:gs>
            </a:gsLst>
            <a:lin ang="0" scaled="1"/>
            <a:tileRect/>
          </a:gra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IN" sz="1100"/>
        </a:p>
      </xdr:txBody>
    </xdr:sp>
    <xdr:clientData/>
  </xdr:twoCellAnchor>
  <xdr:twoCellAnchor>
    <xdr:from>
      <xdr:col>11</xdr:col>
      <xdr:colOff>606509</xdr:colOff>
      <xdr:row>17</xdr:row>
      <xdr:rowOff>40191</xdr:rowOff>
    </xdr:from>
    <xdr:to>
      <xdr:col>13</xdr:col>
      <xdr:colOff>148629</xdr:colOff>
      <xdr:row>30</xdr:row>
      <xdr:rowOff>130965</xdr:rowOff>
    </xdr:to>
    <xdr:sp macro="" textlink="">
      <xdr:nvSpPr>
        <xdr:cNvPr id="592" name="Arc 591">
          <a:extLst>
            <a:ext uri="{FF2B5EF4-FFF2-40B4-BE49-F238E27FC236}">
              <a16:creationId xmlns:a16="http://schemas.microsoft.com/office/drawing/2014/main" id="{BC76030D-033E-4EE0-B398-B337B7A946D7}"/>
            </a:ext>
          </a:extLst>
        </xdr:cNvPr>
        <xdr:cNvSpPr/>
      </xdr:nvSpPr>
      <xdr:spPr>
        <a:xfrm rot="3589988">
          <a:off x="6441790" y="4178946"/>
          <a:ext cx="2567274" cy="766763"/>
        </a:xfrm>
        <a:prstGeom prst="arc">
          <a:avLst>
            <a:gd name="adj1" fmla="val 11909748"/>
            <a:gd name="adj2" fmla="val 21471559"/>
          </a:avLst>
        </a:prstGeom>
        <a:noFill/>
        <a:ln w="22225">
          <a:gradFill flip="none" rotWithShape="1">
            <a:gsLst>
              <a:gs pos="0">
                <a:srgbClr val="C240DB"/>
              </a:gs>
              <a:gs pos="67000">
                <a:srgbClr val="296EFC"/>
              </a:gs>
            </a:gsLst>
            <a:lin ang="0" scaled="1"/>
            <a:tileRect/>
          </a:gra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IN" sz="1100"/>
        </a:p>
      </xdr:txBody>
    </xdr:sp>
    <xdr:clientData/>
  </xdr:twoCellAnchor>
  <xdr:twoCellAnchor>
    <xdr:from>
      <xdr:col>15</xdr:col>
      <xdr:colOff>470221</xdr:colOff>
      <xdr:row>35</xdr:row>
      <xdr:rowOff>125219</xdr:rowOff>
    </xdr:from>
    <xdr:to>
      <xdr:col>17</xdr:col>
      <xdr:colOff>545094</xdr:colOff>
      <xdr:row>39</xdr:row>
      <xdr:rowOff>137282</xdr:rowOff>
    </xdr:to>
    <xdr:grpSp>
      <xdr:nvGrpSpPr>
        <xdr:cNvPr id="603" name="Group 602">
          <a:extLst>
            <a:ext uri="{FF2B5EF4-FFF2-40B4-BE49-F238E27FC236}">
              <a16:creationId xmlns:a16="http://schemas.microsoft.com/office/drawing/2014/main" id="{8A6656CF-CF3E-CCB6-2320-13405981C223}"/>
            </a:ext>
          </a:extLst>
        </xdr:cNvPr>
        <xdr:cNvGrpSpPr/>
      </xdr:nvGrpSpPr>
      <xdr:grpSpPr>
        <a:xfrm>
          <a:off x="9614221" y="6792719"/>
          <a:ext cx="1294073" cy="774063"/>
          <a:chOff x="9838481" y="8873924"/>
          <a:chExt cx="1314208" cy="787797"/>
        </a:xfrm>
      </xdr:grpSpPr>
      <xdr:sp macro="" textlink="'Pivot Tables'!CH5">
        <xdr:nvSpPr>
          <xdr:cNvPr id="600" name="TextBox 599">
            <a:extLst>
              <a:ext uri="{FF2B5EF4-FFF2-40B4-BE49-F238E27FC236}">
                <a16:creationId xmlns:a16="http://schemas.microsoft.com/office/drawing/2014/main" id="{49051D96-46E4-435D-980A-2A3495A78B77}"/>
              </a:ext>
            </a:extLst>
          </xdr:cNvPr>
          <xdr:cNvSpPr txBox="1"/>
        </xdr:nvSpPr>
        <xdr:spPr>
          <a:xfrm>
            <a:off x="9838481" y="9369980"/>
            <a:ext cx="1045123" cy="2917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A00EDCCF-E400-4684-B311-1F51D105DC28}" type="TxLink">
              <a:rPr lang="en-US" sz="1600" b="0" i="0" u="none" strike="noStrike">
                <a:solidFill>
                  <a:schemeClr val="bg1"/>
                </a:solidFill>
                <a:latin typeface="Avenir Light" panose="020B0403020203020204" pitchFamily="34" charset="-78"/>
                <a:ea typeface="+mn-ea"/>
                <a:cs typeface="Avenir Light" panose="020B0403020203020204" pitchFamily="34" charset="-78"/>
              </a:rPr>
              <a:pPr marL="0" indent="0" algn="l"/>
              <a:t>22.8%</a:t>
            </a:fld>
            <a:endParaRPr lang="en-IN" sz="8800">
              <a:solidFill>
                <a:schemeClr val="bg1"/>
              </a:solidFill>
              <a:latin typeface="Avenir Light" panose="020B0403020203020204" pitchFamily="34" charset="-78"/>
              <a:ea typeface="+mn-ea"/>
              <a:cs typeface="Avenir Light" panose="020B0403020203020204" pitchFamily="34" charset="-78"/>
            </a:endParaRPr>
          </a:p>
        </xdr:txBody>
      </xdr:sp>
      <xdr:sp macro="" textlink="'Pivot Tables'!CH6">
        <xdr:nvSpPr>
          <xdr:cNvPr id="601" name="TextBox 600">
            <a:extLst>
              <a:ext uri="{FF2B5EF4-FFF2-40B4-BE49-F238E27FC236}">
                <a16:creationId xmlns:a16="http://schemas.microsoft.com/office/drawing/2014/main" id="{F7320776-515F-4448-9A6F-A1C698E8CDB5}"/>
              </a:ext>
            </a:extLst>
          </xdr:cNvPr>
          <xdr:cNvSpPr txBox="1"/>
        </xdr:nvSpPr>
        <xdr:spPr>
          <a:xfrm>
            <a:off x="9838481" y="9121951"/>
            <a:ext cx="1314208" cy="3017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81F3BE78-A75F-4DCA-9582-ADEE6A59BAC2}" type="TxLink">
              <a:rPr lang="en-US" sz="1800" b="0" i="0" u="none" strike="noStrike">
                <a:solidFill>
                  <a:schemeClr val="bg1"/>
                </a:solidFill>
                <a:latin typeface="Avenir Black" panose="020B0803020203020204" pitchFamily="34" charset="-78"/>
                <a:ea typeface="+mn-ea"/>
                <a:cs typeface="Avenir Black" panose="020B0803020203020204" pitchFamily="34" charset="-78"/>
              </a:rPr>
              <a:pPr marL="0" indent="0" algn="l"/>
              <a:t>$1,46,920</a:t>
            </a:fld>
            <a:endParaRPr lang="en-IN" sz="19900">
              <a:solidFill>
                <a:schemeClr val="bg1"/>
              </a:solidFill>
              <a:latin typeface="Avenir Black" panose="020B0803020203020204" pitchFamily="34" charset="-78"/>
              <a:ea typeface="+mn-ea"/>
              <a:cs typeface="Avenir Black" panose="020B0803020203020204" pitchFamily="34" charset="-78"/>
            </a:endParaRPr>
          </a:p>
        </xdr:txBody>
      </xdr:sp>
      <xdr:sp macro="" textlink="'Pivot Tables'!CH4">
        <xdr:nvSpPr>
          <xdr:cNvPr id="602" name="TextBox 601">
            <a:extLst>
              <a:ext uri="{FF2B5EF4-FFF2-40B4-BE49-F238E27FC236}">
                <a16:creationId xmlns:a16="http://schemas.microsoft.com/office/drawing/2014/main" id="{60F9CB45-D3F9-4FD7-9010-4E826E1845DE}"/>
              </a:ext>
            </a:extLst>
          </xdr:cNvPr>
          <xdr:cNvSpPr txBox="1"/>
        </xdr:nvSpPr>
        <xdr:spPr>
          <a:xfrm>
            <a:off x="9838481" y="8873924"/>
            <a:ext cx="1241866" cy="3017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AA731B7F-1DD5-439C-BA99-36A1749E7496}" type="TxLink">
              <a:rPr lang="en-US" sz="1400" b="1" i="0" u="none" strike="noStrike">
                <a:solidFill>
                  <a:srgbClr val="FFFFFF"/>
                </a:solidFill>
                <a:latin typeface="Avenir Light" panose="020B0403020203020204" pitchFamily="34" charset="-78"/>
                <a:ea typeface="+mn-ea"/>
                <a:cs typeface="Avenir Light" panose="020B0403020203020204" pitchFamily="34" charset="-78"/>
              </a:rPr>
              <a:pPr marL="0" indent="0" algn="l"/>
              <a:t>Total Taxes</a:t>
            </a:fld>
            <a:endParaRPr lang="en-IN" sz="8800">
              <a:solidFill>
                <a:schemeClr val="bg1"/>
              </a:solidFill>
              <a:latin typeface="Avenir Light" panose="020B0403020203020204" pitchFamily="34" charset="-78"/>
              <a:ea typeface="+mn-ea"/>
              <a:cs typeface="Avenir Light" panose="020B0403020203020204" pitchFamily="34" charset="-78"/>
            </a:endParaRPr>
          </a:p>
        </xdr:txBody>
      </xdr:sp>
    </xdr:grpSp>
    <xdr:clientData/>
  </xdr:twoCellAnchor>
  <xdr:twoCellAnchor>
    <xdr:from>
      <xdr:col>18</xdr:col>
      <xdr:colOff>124589</xdr:colOff>
      <xdr:row>35</xdr:row>
      <xdr:rowOff>125219</xdr:rowOff>
    </xdr:from>
    <xdr:to>
      <xdr:col>20</xdr:col>
      <xdr:colOff>217026</xdr:colOff>
      <xdr:row>39</xdr:row>
      <xdr:rowOff>137282</xdr:rowOff>
    </xdr:to>
    <xdr:grpSp>
      <xdr:nvGrpSpPr>
        <xdr:cNvPr id="604" name="Group 603">
          <a:extLst>
            <a:ext uri="{FF2B5EF4-FFF2-40B4-BE49-F238E27FC236}">
              <a16:creationId xmlns:a16="http://schemas.microsoft.com/office/drawing/2014/main" id="{360A474D-CD06-3B0D-CE17-0925D8E7860D}"/>
            </a:ext>
          </a:extLst>
        </xdr:cNvPr>
        <xdr:cNvGrpSpPr/>
      </xdr:nvGrpSpPr>
      <xdr:grpSpPr>
        <a:xfrm>
          <a:off x="11097389" y="6792719"/>
          <a:ext cx="1311637" cy="774063"/>
          <a:chOff x="9838481" y="8873924"/>
          <a:chExt cx="1346360" cy="787797"/>
        </a:xfrm>
      </xdr:grpSpPr>
      <xdr:sp macro="" textlink="'Pivot Tables'!CE5">
        <xdr:nvSpPr>
          <xdr:cNvPr id="605" name="TextBox 604">
            <a:extLst>
              <a:ext uri="{FF2B5EF4-FFF2-40B4-BE49-F238E27FC236}">
                <a16:creationId xmlns:a16="http://schemas.microsoft.com/office/drawing/2014/main" id="{0FBD7733-D492-B523-C395-5DA209939E11}"/>
              </a:ext>
            </a:extLst>
          </xdr:cNvPr>
          <xdr:cNvSpPr txBox="1"/>
        </xdr:nvSpPr>
        <xdr:spPr>
          <a:xfrm>
            <a:off x="9838481" y="9369980"/>
            <a:ext cx="1045123" cy="2917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C8B7689E-FBF2-45B4-B7A5-F62605977D47}" type="TxLink">
              <a:rPr lang="en-US" sz="1200" b="0" i="0" u="none" strike="noStrike">
                <a:solidFill>
                  <a:schemeClr val="bg1"/>
                </a:solidFill>
                <a:latin typeface="Avenir Light" panose="020B0403020203020204" pitchFamily="34" charset="-78"/>
                <a:ea typeface="+mn-ea"/>
                <a:cs typeface="Avenir Light" panose="020B0403020203020204" pitchFamily="34" charset="-78"/>
              </a:rPr>
              <a:pPr marL="0" indent="0" algn="l"/>
              <a:t>9.2%</a:t>
            </a:fld>
            <a:endParaRPr lang="en-IN" sz="6600">
              <a:solidFill>
                <a:schemeClr val="bg1"/>
              </a:solidFill>
              <a:latin typeface="Avenir Light" panose="020B0403020203020204" pitchFamily="34" charset="-78"/>
              <a:ea typeface="+mn-ea"/>
              <a:cs typeface="Avenir Light" panose="020B0403020203020204" pitchFamily="34" charset="-78"/>
            </a:endParaRPr>
          </a:p>
        </xdr:txBody>
      </xdr:sp>
      <xdr:sp macro="" textlink="'Pivot Tables'!CE6">
        <xdr:nvSpPr>
          <xdr:cNvPr id="606" name="TextBox 605">
            <a:extLst>
              <a:ext uri="{FF2B5EF4-FFF2-40B4-BE49-F238E27FC236}">
                <a16:creationId xmlns:a16="http://schemas.microsoft.com/office/drawing/2014/main" id="{F2F82914-3755-0790-9928-BBCFD9A411A8}"/>
              </a:ext>
            </a:extLst>
          </xdr:cNvPr>
          <xdr:cNvSpPr txBox="1"/>
        </xdr:nvSpPr>
        <xdr:spPr>
          <a:xfrm>
            <a:off x="9838481" y="9121951"/>
            <a:ext cx="1298132" cy="3017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9F99B4E8-ACA3-498C-9B0F-9AD67E4E4370}" type="TxLink">
              <a:rPr lang="en-US" sz="1800" b="0" i="0" u="none" strike="noStrike">
                <a:solidFill>
                  <a:schemeClr val="bg1"/>
                </a:solidFill>
                <a:latin typeface="Avenir Black" panose="020B0803020203020204" pitchFamily="34" charset="-78"/>
                <a:ea typeface="+mn-ea"/>
                <a:cs typeface="Avenir Black" panose="020B0803020203020204" pitchFamily="34" charset="-78"/>
              </a:rPr>
              <a:pPr marL="0" indent="0" algn="l"/>
              <a:t>$59,283</a:t>
            </a:fld>
            <a:endParaRPr lang="en-IN" sz="9600">
              <a:solidFill>
                <a:schemeClr val="bg1"/>
              </a:solidFill>
              <a:latin typeface="Avenir Black" panose="020B0803020203020204" pitchFamily="34" charset="-78"/>
              <a:ea typeface="+mn-ea"/>
              <a:cs typeface="Avenir Black" panose="020B0803020203020204" pitchFamily="34" charset="-78"/>
            </a:endParaRPr>
          </a:p>
        </xdr:txBody>
      </xdr:sp>
      <xdr:sp macro="" textlink="'Pivot Tables'!CE4">
        <xdr:nvSpPr>
          <xdr:cNvPr id="607" name="TextBox 606">
            <a:extLst>
              <a:ext uri="{FF2B5EF4-FFF2-40B4-BE49-F238E27FC236}">
                <a16:creationId xmlns:a16="http://schemas.microsoft.com/office/drawing/2014/main" id="{DC69A43A-F022-DDD5-9E38-D34937F4A49A}"/>
              </a:ext>
            </a:extLst>
          </xdr:cNvPr>
          <xdr:cNvSpPr txBox="1"/>
        </xdr:nvSpPr>
        <xdr:spPr>
          <a:xfrm>
            <a:off x="9838481" y="8873924"/>
            <a:ext cx="1346360" cy="3017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8853C404-59D8-4060-B4D5-700ED7746423}" type="TxLink">
              <a:rPr lang="en-US" sz="900" b="1" i="0" u="none" strike="noStrike">
                <a:solidFill>
                  <a:schemeClr val="bg1"/>
                </a:solidFill>
                <a:latin typeface="Avenir Light" panose="020B0403020203020204" pitchFamily="34" charset="-78"/>
                <a:ea typeface="+mn-ea"/>
                <a:cs typeface="Avenir Light" panose="020B0403020203020204" pitchFamily="34" charset="-78"/>
              </a:rPr>
              <a:pPr marL="0" indent="0" algn="l"/>
              <a:t>Payroll Taxes</a:t>
            </a:fld>
            <a:endParaRPr lang="en-IN" sz="7200">
              <a:solidFill>
                <a:schemeClr val="bg1"/>
              </a:solidFill>
              <a:latin typeface="Avenir Light" panose="020B0403020203020204" pitchFamily="34" charset="-78"/>
              <a:ea typeface="+mn-ea"/>
              <a:cs typeface="Avenir Light" panose="020B0403020203020204" pitchFamily="34" charset="-78"/>
            </a:endParaRPr>
          </a:p>
        </xdr:txBody>
      </xdr:sp>
    </xdr:grpSp>
    <xdr:clientData/>
  </xdr:twoCellAnchor>
  <xdr:twoCellAnchor>
    <xdr:from>
      <xdr:col>20</xdr:col>
      <xdr:colOff>309463</xdr:colOff>
      <xdr:row>35</xdr:row>
      <xdr:rowOff>125219</xdr:rowOff>
    </xdr:from>
    <xdr:to>
      <xdr:col>22</xdr:col>
      <xdr:colOff>401899</xdr:colOff>
      <xdr:row>39</xdr:row>
      <xdr:rowOff>137282</xdr:rowOff>
    </xdr:to>
    <xdr:grpSp>
      <xdr:nvGrpSpPr>
        <xdr:cNvPr id="608" name="Group 607">
          <a:extLst>
            <a:ext uri="{FF2B5EF4-FFF2-40B4-BE49-F238E27FC236}">
              <a16:creationId xmlns:a16="http://schemas.microsoft.com/office/drawing/2014/main" id="{3215D0D7-5C31-EF65-0129-FB1466478E46}"/>
            </a:ext>
          </a:extLst>
        </xdr:cNvPr>
        <xdr:cNvGrpSpPr/>
      </xdr:nvGrpSpPr>
      <xdr:grpSpPr>
        <a:xfrm>
          <a:off x="12501463" y="6792719"/>
          <a:ext cx="1311636" cy="774063"/>
          <a:chOff x="9838480" y="8873924"/>
          <a:chExt cx="1426739" cy="787797"/>
        </a:xfrm>
      </xdr:grpSpPr>
      <xdr:sp macro="" textlink="'Pivot Tables'!CF5">
        <xdr:nvSpPr>
          <xdr:cNvPr id="609" name="TextBox 608">
            <a:extLst>
              <a:ext uri="{FF2B5EF4-FFF2-40B4-BE49-F238E27FC236}">
                <a16:creationId xmlns:a16="http://schemas.microsoft.com/office/drawing/2014/main" id="{ABB5794B-5114-F0F6-8FF8-D4DC1C7101FB}"/>
              </a:ext>
            </a:extLst>
          </xdr:cNvPr>
          <xdr:cNvSpPr txBox="1"/>
        </xdr:nvSpPr>
        <xdr:spPr>
          <a:xfrm>
            <a:off x="9838481" y="9369980"/>
            <a:ext cx="1045123" cy="2917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DD5F8A8D-9454-4CB1-B789-DF761E27B134}" type="TxLink">
              <a:rPr lang="en-US" sz="1100" b="0" i="0" u="none" strike="noStrike">
                <a:solidFill>
                  <a:schemeClr val="bg1"/>
                </a:solidFill>
                <a:latin typeface="Arial"/>
                <a:ea typeface="+mn-ea"/>
                <a:cs typeface="Arial"/>
              </a:rPr>
              <a:pPr marL="0" indent="0" algn="l"/>
              <a:t>7.4%</a:t>
            </a:fld>
            <a:endParaRPr lang="en-IN" sz="6600">
              <a:solidFill>
                <a:schemeClr val="bg1"/>
              </a:solidFill>
              <a:latin typeface="Avenir Light" panose="020B0403020203020204" pitchFamily="34" charset="-78"/>
              <a:ea typeface="+mn-ea"/>
              <a:cs typeface="Avenir Light" panose="020B0403020203020204" pitchFamily="34" charset="-78"/>
            </a:endParaRPr>
          </a:p>
        </xdr:txBody>
      </xdr:sp>
      <xdr:sp macro="" textlink="'Pivot Tables'!CF6">
        <xdr:nvSpPr>
          <xdr:cNvPr id="610" name="TextBox 609">
            <a:extLst>
              <a:ext uri="{FF2B5EF4-FFF2-40B4-BE49-F238E27FC236}">
                <a16:creationId xmlns:a16="http://schemas.microsoft.com/office/drawing/2014/main" id="{F8E682EF-172C-82E7-F8B5-6E03A28C21B2}"/>
              </a:ext>
            </a:extLst>
          </xdr:cNvPr>
          <xdr:cNvSpPr txBox="1"/>
        </xdr:nvSpPr>
        <xdr:spPr>
          <a:xfrm>
            <a:off x="9838481" y="9121951"/>
            <a:ext cx="1165504" cy="3017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0EBF38D4-BCC0-429C-AB91-25F5BAF90624}" type="TxLink">
              <a:rPr lang="en-US" sz="1800" b="0" i="0" u="none" strike="noStrike">
                <a:solidFill>
                  <a:schemeClr val="bg1"/>
                </a:solidFill>
                <a:latin typeface="Avenir Black" panose="020B0803020203020204" pitchFamily="34" charset="-78"/>
                <a:ea typeface="+mn-ea"/>
                <a:cs typeface="Avenir Black" panose="020B0803020203020204" pitchFamily="34" charset="-78"/>
              </a:rPr>
              <a:pPr marL="0" indent="0" algn="l"/>
              <a:t>$47,684</a:t>
            </a:fld>
            <a:endParaRPr lang="en-IN" sz="19900">
              <a:solidFill>
                <a:schemeClr val="bg1"/>
              </a:solidFill>
              <a:latin typeface="Avenir Black" panose="020B0803020203020204" pitchFamily="34" charset="-78"/>
              <a:ea typeface="+mn-ea"/>
              <a:cs typeface="Avenir Black" panose="020B0803020203020204" pitchFamily="34" charset="-78"/>
            </a:endParaRPr>
          </a:p>
        </xdr:txBody>
      </xdr:sp>
      <xdr:sp macro="" textlink="'Pivot Tables'!CF4">
        <xdr:nvSpPr>
          <xdr:cNvPr id="611" name="TextBox 610">
            <a:extLst>
              <a:ext uri="{FF2B5EF4-FFF2-40B4-BE49-F238E27FC236}">
                <a16:creationId xmlns:a16="http://schemas.microsoft.com/office/drawing/2014/main" id="{68108C6C-363F-6F48-EEE6-E4937E7D9A58}"/>
              </a:ext>
            </a:extLst>
          </xdr:cNvPr>
          <xdr:cNvSpPr txBox="1"/>
        </xdr:nvSpPr>
        <xdr:spPr>
          <a:xfrm>
            <a:off x="9838480" y="8873924"/>
            <a:ext cx="1426739" cy="3017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C7C6F41F-1394-4B3C-815B-C1713253AA57}" type="TxLink">
              <a:rPr lang="en-US" sz="900" b="1" i="0" u="none" strike="noStrike">
                <a:solidFill>
                  <a:srgbClr val="FFFFFF"/>
                </a:solidFill>
                <a:latin typeface="Avenir Light" panose="020B0403020203020204" pitchFamily="34" charset="-78"/>
                <a:ea typeface="+mn-ea"/>
                <a:cs typeface="Avenir Light" panose="020B0403020203020204" pitchFamily="34" charset="-78"/>
              </a:rPr>
              <a:pPr marL="0" indent="0" algn="l"/>
              <a:t>Property Taxes</a:t>
            </a:fld>
            <a:endParaRPr lang="en-IN" sz="5400">
              <a:solidFill>
                <a:schemeClr val="bg1"/>
              </a:solidFill>
              <a:latin typeface="Avenir Light" panose="020B0403020203020204" pitchFamily="34" charset="-78"/>
              <a:ea typeface="+mn-ea"/>
              <a:cs typeface="Avenir Light" panose="020B0403020203020204" pitchFamily="34" charset="-78"/>
            </a:endParaRPr>
          </a:p>
        </xdr:txBody>
      </xdr:sp>
    </xdr:grpSp>
    <xdr:clientData/>
  </xdr:twoCellAnchor>
  <xdr:twoCellAnchor>
    <xdr:from>
      <xdr:col>22</xdr:col>
      <xdr:colOff>530508</xdr:colOff>
      <xdr:row>35</xdr:row>
      <xdr:rowOff>125219</xdr:rowOff>
    </xdr:from>
    <xdr:to>
      <xdr:col>25</xdr:col>
      <xdr:colOff>11672</xdr:colOff>
      <xdr:row>39</xdr:row>
      <xdr:rowOff>137282</xdr:rowOff>
    </xdr:to>
    <xdr:grpSp>
      <xdr:nvGrpSpPr>
        <xdr:cNvPr id="612" name="Group 611">
          <a:extLst>
            <a:ext uri="{FF2B5EF4-FFF2-40B4-BE49-F238E27FC236}">
              <a16:creationId xmlns:a16="http://schemas.microsoft.com/office/drawing/2014/main" id="{91F65D38-012C-C9FD-BD2B-6F86A3F30EA4}"/>
            </a:ext>
          </a:extLst>
        </xdr:cNvPr>
        <xdr:cNvGrpSpPr/>
      </xdr:nvGrpSpPr>
      <xdr:grpSpPr>
        <a:xfrm>
          <a:off x="13941708" y="6792719"/>
          <a:ext cx="1309964" cy="774063"/>
          <a:chOff x="9838481" y="8873924"/>
          <a:chExt cx="1314208" cy="787797"/>
        </a:xfrm>
      </xdr:grpSpPr>
      <xdr:sp macro="" textlink="'Pivot Tables'!CG5">
        <xdr:nvSpPr>
          <xdr:cNvPr id="613" name="TextBox 612">
            <a:extLst>
              <a:ext uri="{FF2B5EF4-FFF2-40B4-BE49-F238E27FC236}">
                <a16:creationId xmlns:a16="http://schemas.microsoft.com/office/drawing/2014/main" id="{0A59C8FB-C525-6AB1-192F-97DFE267F236}"/>
              </a:ext>
            </a:extLst>
          </xdr:cNvPr>
          <xdr:cNvSpPr txBox="1"/>
        </xdr:nvSpPr>
        <xdr:spPr>
          <a:xfrm>
            <a:off x="9838481" y="9369980"/>
            <a:ext cx="1045123" cy="2917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D18312D9-22AC-4D02-A96D-2F0383A5B1AC}" type="TxLink">
              <a:rPr lang="en-US" sz="1200" b="0" i="0" u="none" strike="noStrike">
                <a:solidFill>
                  <a:schemeClr val="bg1"/>
                </a:solidFill>
                <a:latin typeface="Arial"/>
                <a:ea typeface="+mn-ea"/>
                <a:cs typeface="Arial"/>
              </a:rPr>
              <a:pPr marL="0" indent="0" algn="l"/>
              <a:t>6.2%</a:t>
            </a:fld>
            <a:endParaRPr lang="en-IN" sz="7200">
              <a:solidFill>
                <a:schemeClr val="bg1"/>
              </a:solidFill>
              <a:latin typeface="Avenir Light" panose="020B0403020203020204" pitchFamily="34" charset="-78"/>
              <a:ea typeface="+mn-ea"/>
              <a:cs typeface="Avenir Light" panose="020B0403020203020204" pitchFamily="34" charset="-78"/>
            </a:endParaRPr>
          </a:p>
        </xdr:txBody>
      </xdr:sp>
      <xdr:sp macro="" textlink="'Pivot Tables'!CG6">
        <xdr:nvSpPr>
          <xdr:cNvPr id="614" name="TextBox 613">
            <a:extLst>
              <a:ext uri="{FF2B5EF4-FFF2-40B4-BE49-F238E27FC236}">
                <a16:creationId xmlns:a16="http://schemas.microsoft.com/office/drawing/2014/main" id="{5DF78470-6D7E-5A32-7D8A-127732CC0889}"/>
              </a:ext>
            </a:extLst>
          </xdr:cNvPr>
          <xdr:cNvSpPr txBox="1"/>
        </xdr:nvSpPr>
        <xdr:spPr>
          <a:xfrm>
            <a:off x="9838481" y="9121951"/>
            <a:ext cx="1241866" cy="3017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67D40757-C50C-4DEE-A13D-FE5C3A5FCB78}" type="TxLink">
              <a:rPr lang="en-US" sz="1800" b="0" i="0" u="none" strike="noStrike">
                <a:solidFill>
                  <a:schemeClr val="bg1"/>
                </a:solidFill>
                <a:latin typeface="Avenir Black" panose="020B0803020203020204" pitchFamily="34" charset="-78"/>
                <a:ea typeface="+mn-ea"/>
                <a:cs typeface="Avenir Black" panose="020B0803020203020204" pitchFamily="34" charset="-78"/>
              </a:rPr>
              <a:pPr marL="0" indent="0" algn="l"/>
              <a:t>$39,952</a:t>
            </a:fld>
            <a:endParaRPr lang="en-IN" sz="19900">
              <a:solidFill>
                <a:schemeClr val="bg1"/>
              </a:solidFill>
              <a:latin typeface="Avenir Black" panose="020B0803020203020204" pitchFamily="34" charset="-78"/>
              <a:ea typeface="+mn-ea"/>
              <a:cs typeface="Avenir Black" panose="020B0803020203020204" pitchFamily="34" charset="-78"/>
            </a:endParaRPr>
          </a:p>
        </xdr:txBody>
      </xdr:sp>
      <xdr:sp macro="" textlink="'Pivot Tables'!CG4">
        <xdr:nvSpPr>
          <xdr:cNvPr id="615" name="TextBox 614">
            <a:extLst>
              <a:ext uri="{FF2B5EF4-FFF2-40B4-BE49-F238E27FC236}">
                <a16:creationId xmlns:a16="http://schemas.microsoft.com/office/drawing/2014/main" id="{17B221F2-B7ED-89E3-BAF7-47BE544B9F1B}"/>
              </a:ext>
            </a:extLst>
          </xdr:cNvPr>
          <xdr:cNvSpPr txBox="1"/>
        </xdr:nvSpPr>
        <xdr:spPr>
          <a:xfrm>
            <a:off x="9838481" y="8873924"/>
            <a:ext cx="1314208" cy="3017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FA7EA30E-1B5D-4867-9666-6B80FA035DA8}" type="TxLink">
              <a:rPr lang="en-US" sz="900" b="1" i="0" u="none" strike="noStrike">
                <a:solidFill>
                  <a:srgbClr val="FFFFFF"/>
                </a:solidFill>
                <a:latin typeface="Avenir Light" panose="020B0403020203020204" pitchFamily="34" charset="-78"/>
                <a:ea typeface="+mn-ea"/>
                <a:cs typeface="Avenir Light" panose="020B0403020203020204" pitchFamily="34" charset="-78"/>
              </a:rPr>
              <a:pPr marL="0" indent="0" algn="l"/>
              <a:t>Excise Taxes</a:t>
            </a:fld>
            <a:endParaRPr lang="en-IN" sz="5400">
              <a:solidFill>
                <a:schemeClr val="bg1"/>
              </a:solidFill>
              <a:latin typeface="Avenir Light" panose="020B0403020203020204" pitchFamily="34" charset="-78"/>
              <a:ea typeface="+mn-ea"/>
              <a:cs typeface="Avenir Light" panose="020B0403020203020204" pitchFamily="34" charset="-78"/>
            </a:endParaRPr>
          </a:p>
        </xdr:txBody>
      </xdr:sp>
    </xdr:grpSp>
    <xdr:clientData/>
  </xdr:twoCellAnchor>
  <xdr:twoCellAnchor>
    <xdr:from>
      <xdr:col>17</xdr:col>
      <xdr:colOff>325537</xdr:colOff>
      <xdr:row>33</xdr:row>
      <xdr:rowOff>76988</xdr:rowOff>
    </xdr:from>
    <xdr:to>
      <xdr:col>18</xdr:col>
      <xdr:colOff>167832</xdr:colOff>
      <xdr:row>40</xdr:row>
      <xdr:rowOff>98209</xdr:rowOff>
    </xdr:to>
    <xdr:graphicFrame macro="">
      <xdr:nvGraphicFramePr>
        <xdr:cNvPr id="634" name="Chart 633">
          <a:extLst>
            <a:ext uri="{FF2B5EF4-FFF2-40B4-BE49-F238E27FC236}">
              <a16:creationId xmlns:a16="http://schemas.microsoft.com/office/drawing/2014/main" id="{B9B2664C-A2ED-4BD2-8527-6757C38155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absolute">
    <xdr:from>
      <xdr:col>0</xdr:col>
      <xdr:colOff>0</xdr:colOff>
      <xdr:row>0</xdr:row>
      <xdr:rowOff>0</xdr:rowOff>
    </xdr:from>
    <xdr:to>
      <xdr:col>28</xdr:col>
      <xdr:colOff>195072</xdr:colOff>
      <xdr:row>2</xdr:row>
      <xdr:rowOff>16060</xdr:rowOff>
    </xdr:to>
    <xdr:grpSp>
      <xdr:nvGrpSpPr>
        <xdr:cNvPr id="621" name="Group 620">
          <a:extLst>
            <a:ext uri="{FF2B5EF4-FFF2-40B4-BE49-F238E27FC236}">
              <a16:creationId xmlns:a16="http://schemas.microsoft.com/office/drawing/2014/main" id="{4873B5C3-CF12-461D-8DF6-C298974C473D}"/>
            </a:ext>
          </a:extLst>
        </xdr:cNvPr>
        <xdr:cNvGrpSpPr/>
      </xdr:nvGrpSpPr>
      <xdr:grpSpPr>
        <a:xfrm>
          <a:off x="0" y="0"/>
          <a:ext cx="17263872" cy="397060"/>
          <a:chOff x="0" y="0"/>
          <a:chExt cx="17263872" cy="397060"/>
        </a:xfrm>
      </xdr:grpSpPr>
      <xdr:sp macro="" textlink="">
        <xdr:nvSpPr>
          <xdr:cNvPr id="622" name="Rectangle 621">
            <a:extLst>
              <a:ext uri="{FF2B5EF4-FFF2-40B4-BE49-F238E27FC236}">
                <a16:creationId xmlns:a16="http://schemas.microsoft.com/office/drawing/2014/main" id="{820B26AA-F419-6115-D8BB-433FDB62B57C}"/>
              </a:ext>
            </a:extLst>
          </xdr:cNvPr>
          <xdr:cNvSpPr/>
        </xdr:nvSpPr>
        <xdr:spPr>
          <a:xfrm>
            <a:off x="0" y="0"/>
            <a:ext cx="17263872" cy="393192"/>
          </a:xfrm>
          <a:prstGeom prst="rect">
            <a:avLst/>
          </a:prstGeom>
          <a:solidFill>
            <a:srgbClr val="1D1D3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p>
        </xdr:txBody>
      </xdr:sp>
      <xdr:pic>
        <xdr:nvPicPr>
          <xdr:cNvPr id="623" name="Picture 622">
            <a:extLst>
              <a:ext uri="{FF2B5EF4-FFF2-40B4-BE49-F238E27FC236}">
                <a16:creationId xmlns:a16="http://schemas.microsoft.com/office/drawing/2014/main" id="{B6B06D2B-437C-A85F-ABE4-3F807BA0F277}"/>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0" y="0"/>
            <a:ext cx="527336" cy="397060"/>
          </a:xfrm>
          <a:prstGeom prst="rect">
            <a:avLst/>
          </a:prstGeom>
        </xdr:spPr>
      </xdr:pic>
      <xdr:sp macro="" textlink="">
        <xdr:nvSpPr>
          <xdr:cNvPr id="624" name="TextBox 623">
            <a:extLst>
              <a:ext uri="{FF2B5EF4-FFF2-40B4-BE49-F238E27FC236}">
                <a16:creationId xmlns:a16="http://schemas.microsoft.com/office/drawing/2014/main" id="{7F1C12C0-23EA-46AC-108C-E9DC4532A164}"/>
              </a:ext>
            </a:extLst>
          </xdr:cNvPr>
          <xdr:cNvSpPr txBox="1"/>
        </xdr:nvSpPr>
        <xdr:spPr>
          <a:xfrm>
            <a:off x="492126" y="0"/>
            <a:ext cx="1395290" cy="3956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100">
                <a:solidFill>
                  <a:schemeClr val="bg1"/>
                </a:solidFill>
                <a:latin typeface="Avenir Book" panose="020B0503020203020204" pitchFamily="34" charset="-78"/>
                <a:cs typeface="Avenir Book" panose="020B0503020203020204" pitchFamily="34" charset="-78"/>
              </a:rPr>
              <a:t>Shivam Rastogi</a:t>
            </a:r>
          </a:p>
        </xdr:txBody>
      </xdr:sp>
      <xdr:sp macro="" textlink="">
        <xdr:nvSpPr>
          <xdr:cNvPr id="625" name="TextBox 624">
            <a:hlinkClick xmlns:r="http://schemas.openxmlformats.org/officeDocument/2006/relationships" r:id="rId10" tooltip="www.linkedin.com"/>
            <a:extLst>
              <a:ext uri="{FF2B5EF4-FFF2-40B4-BE49-F238E27FC236}">
                <a16:creationId xmlns:a16="http://schemas.microsoft.com/office/drawing/2014/main" id="{1791F312-69F9-BEF1-CFFC-D9AEF70AD01E}"/>
              </a:ext>
            </a:extLst>
          </xdr:cNvPr>
          <xdr:cNvSpPr txBox="1"/>
        </xdr:nvSpPr>
        <xdr:spPr>
          <a:xfrm>
            <a:off x="3745955" y="0"/>
            <a:ext cx="736593" cy="3905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100">
                <a:solidFill>
                  <a:schemeClr val="bg1"/>
                </a:solidFill>
                <a:latin typeface="Avenir Book" panose="020B0503020203020204" pitchFamily="34" charset="-78"/>
                <a:cs typeface="Avenir Book" panose="020B0503020203020204" pitchFamily="34" charset="-78"/>
              </a:rPr>
              <a:t>Browse</a:t>
            </a:r>
            <a:endParaRPr lang="en-IN" sz="1400">
              <a:solidFill>
                <a:schemeClr val="bg1"/>
              </a:solidFill>
              <a:latin typeface="Avenir Book" panose="020B0503020203020204" pitchFamily="34" charset="-78"/>
              <a:cs typeface="Avenir Book" panose="020B0503020203020204" pitchFamily="34" charset="-78"/>
            </a:endParaRPr>
          </a:p>
        </xdr:txBody>
      </xdr:sp>
      <xdr:sp macro="" textlink="">
        <xdr:nvSpPr>
          <xdr:cNvPr id="626" name="TextBox 625">
            <a:hlinkClick xmlns:r="http://schemas.openxmlformats.org/officeDocument/2006/relationships" r:id="rId11" tooltip="Sales Process"/>
            <a:extLst>
              <a:ext uri="{FF2B5EF4-FFF2-40B4-BE49-F238E27FC236}">
                <a16:creationId xmlns:a16="http://schemas.microsoft.com/office/drawing/2014/main" id="{B2666B4F-C4A0-6869-A609-E28DEFD84130}"/>
              </a:ext>
            </a:extLst>
          </xdr:cNvPr>
          <xdr:cNvSpPr txBox="1"/>
        </xdr:nvSpPr>
        <xdr:spPr>
          <a:xfrm>
            <a:off x="12953541" y="0"/>
            <a:ext cx="1396221" cy="3840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solidFill>
                  <a:schemeClr val="bg1"/>
                </a:solidFill>
                <a:latin typeface="Avenir Book" panose="020B0503020203020204" pitchFamily="34" charset="-78"/>
                <a:cs typeface="Avenir Book" panose="020B0503020203020204" pitchFamily="34" charset="-78"/>
              </a:rPr>
              <a:t>Sales</a:t>
            </a:r>
            <a:r>
              <a:rPr lang="en-IN" sz="1200" baseline="0">
                <a:solidFill>
                  <a:schemeClr val="bg1"/>
                </a:solidFill>
                <a:latin typeface="Avenir Book" panose="020B0503020203020204" pitchFamily="34" charset="-78"/>
                <a:cs typeface="Avenir Book" panose="020B0503020203020204" pitchFamily="34" charset="-78"/>
              </a:rPr>
              <a:t> Process</a:t>
            </a:r>
          </a:p>
        </xdr:txBody>
      </xdr:sp>
      <xdr:sp macro="" textlink="">
        <xdr:nvSpPr>
          <xdr:cNvPr id="628" name="TextBox 627">
            <a:hlinkClick xmlns:r="http://schemas.openxmlformats.org/officeDocument/2006/relationships" r:id="rId12" tooltip="Income Sources"/>
            <a:extLst>
              <a:ext uri="{FF2B5EF4-FFF2-40B4-BE49-F238E27FC236}">
                <a16:creationId xmlns:a16="http://schemas.microsoft.com/office/drawing/2014/main" id="{9C241A49-D960-B3A3-392A-86A6802B9E97}"/>
              </a:ext>
            </a:extLst>
          </xdr:cNvPr>
          <xdr:cNvSpPr txBox="1"/>
        </xdr:nvSpPr>
        <xdr:spPr>
          <a:xfrm>
            <a:off x="10150054" y="0"/>
            <a:ext cx="1392907" cy="3840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solidFill>
                  <a:schemeClr val="bg1"/>
                </a:solidFill>
                <a:latin typeface="Avenir Book" panose="020B0503020203020204" pitchFamily="34" charset="-78"/>
                <a:cs typeface="Avenir Book" panose="020B0503020203020204" pitchFamily="34" charset="-78"/>
              </a:rPr>
              <a:t>Income Sources</a:t>
            </a:r>
          </a:p>
        </xdr:txBody>
      </xdr:sp>
      <xdr:sp macro="" textlink="">
        <xdr:nvSpPr>
          <xdr:cNvPr id="629" name="TextBox 628">
            <a:hlinkClick xmlns:r="http://schemas.openxmlformats.org/officeDocument/2006/relationships" r:id="rId13" tooltip="Geographically"/>
            <a:extLst>
              <a:ext uri="{FF2B5EF4-FFF2-40B4-BE49-F238E27FC236}">
                <a16:creationId xmlns:a16="http://schemas.microsoft.com/office/drawing/2014/main" id="{1716B3F9-719A-04E0-1A17-04344A951D92}"/>
              </a:ext>
            </a:extLst>
          </xdr:cNvPr>
          <xdr:cNvSpPr txBox="1"/>
        </xdr:nvSpPr>
        <xdr:spPr>
          <a:xfrm>
            <a:off x="11542960" y="0"/>
            <a:ext cx="1392573" cy="3840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solidFill>
                  <a:schemeClr val="bg1"/>
                </a:solidFill>
                <a:latin typeface="Avenir Book" panose="020B0503020203020204" pitchFamily="34" charset="-78"/>
                <a:cs typeface="Avenir Book" panose="020B0503020203020204" pitchFamily="34" charset="-78"/>
              </a:rPr>
              <a:t>Geographically</a:t>
            </a:r>
          </a:p>
        </xdr:txBody>
      </xdr:sp>
      <xdr:pic>
        <xdr:nvPicPr>
          <xdr:cNvPr id="630" name="Graphic 629" descr="Compass">
            <a:extLst>
              <a:ext uri="{FF2B5EF4-FFF2-40B4-BE49-F238E27FC236}">
                <a16:creationId xmlns:a16="http://schemas.microsoft.com/office/drawing/2014/main" id="{47BC602B-8169-4933-5EA3-533BCF328AFD}"/>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3580808" y="86591"/>
            <a:ext cx="217893" cy="218051"/>
          </a:xfrm>
          <a:prstGeom prst="rect">
            <a:avLst/>
          </a:prstGeom>
        </xdr:spPr>
      </xdr:pic>
      <xdr:sp macro="" textlink="">
        <xdr:nvSpPr>
          <xdr:cNvPr id="631" name="Rectangle: Rounded Corners 630">
            <a:extLst>
              <a:ext uri="{FF2B5EF4-FFF2-40B4-BE49-F238E27FC236}">
                <a16:creationId xmlns:a16="http://schemas.microsoft.com/office/drawing/2014/main" id="{2D311DF0-EB73-B8A0-E78F-390C6698A3FB}"/>
              </a:ext>
            </a:extLst>
          </xdr:cNvPr>
          <xdr:cNvSpPr/>
        </xdr:nvSpPr>
        <xdr:spPr>
          <a:xfrm>
            <a:off x="11730750" y="276950"/>
            <a:ext cx="271007" cy="45720"/>
          </a:xfrm>
          <a:prstGeom prst="roundRect">
            <a:avLst>
              <a:gd name="adj" fmla="val 50000"/>
            </a:avLst>
          </a:prstGeom>
          <a:solidFill>
            <a:srgbClr val="194AF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0</xdr:col>
      <xdr:colOff>469900</xdr:colOff>
      <xdr:row>2</xdr:row>
      <xdr:rowOff>165100</xdr:rowOff>
    </xdr:from>
    <xdr:to>
      <xdr:col>3</xdr:col>
      <xdr:colOff>195580</xdr:colOff>
      <xdr:row>5</xdr:row>
      <xdr:rowOff>29513</xdr:rowOff>
    </xdr:to>
    <xdr:grpSp>
      <xdr:nvGrpSpPr>
        <xdr:cNvPr id="4" name="Group 3">
          <a:extLst>
            <a:ext uri="{FF2B5EF4-FFF2-40B4-BE49-F238E27FC236}">
              <a16:creationId xmlns:a16="http://schemas.microsoft.com/office/drawing/2014/main" id="{F14B3B47-84BE-FE09-2072-99588623A523}"/>
            </a:ext>
          </a:extLst>
        </xdr:cNvPr>
        <xdr:cNvGrpSpPr/>
      </xdr:nvGrpSpPr>
      <xdr:grpSpPr>
        <a:xfrm>
          <a:off x="469900" y="546100"/>
          <a:ext cx="1554480" cy="435913"/>
          <a:chOff x="609600" y="622300"/>
          <a:chExt cx="1554480" cy="435913"/>
        </a:xfrm>
      </xdr:grpSpPr>
      <xdr:sp macro="" textlink="">
        <xdr:nvSpPr>
          <xdr:cNvPr id="2" name="Rectangle: Rounded Corners 1">
            <a:extLst>
              <a:ext uri="{FF2B5EF4-FFF2-40B4-BE49-F238E27FC236}">
                <a16:creationId xmlns:a16="http://schemas.microsoft.com/office/drawing/2014/main" id="{F5EB8A87-D3D5-4F6F-A4C4-7D41853F9397}"/>
              </a:ext>
            </a:extLst>
          </xdr:cNvPr>
          <xdr:cNvSpPr/>
        </xdr:nvSpPr>
        <xdr:spPr>
          <a:xfrm>
            <a:off x="609600" y="622300"/>
            <a:ext cx="1554480" cy="435913"/>
          </a:xfrm>
          <a:prstGeom prst="roundRect">
            <a:avLst>
              <a:gd name="adj" fmla="val 50000"/>
            </a:avLst>
          </a:prstGeom>
          <a:solidFill>
            <a:srgbClr val="194AF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 name="TextBox 2">
            <a:extLst>
              <a:ext uri="{FF2B5EF4-FFF2-40B4-BE49-F238E27FC236}">
                <a16:creationId xmlns:a16="http://schemas.microsoft.com/office/drawing/2014/main" id="{4BBF522A-F328-48A3-8CE8-FB24815C97F6}"/>
              </a:ext>
            </a:extLst>
          </xdr:cNvPr>
          <xdr:cNvSpPr txBox="1"/>
        </xdr:nvSpPr>
        <xdr:spPr>
          <a:xfrm>
            <a:off x="644366" y="650149"/>
            <a:ext cx="1484948" cy="3910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a:solidFill>
                  <a:schemeClr val="bg1"/>
                </a:solidFill>
                <a:latin typeface="Avenir Book" panose="020B0503020203020204" pitchFamily="34" charset="-78"/>
                <a:cs typeface="Avenir Book" panose="020B0503020203020204" pitchFamily="34" charset="-78"/>
              </a:rPr>
              <a:t>Geographically</a:t>
            </a:r>
          </a:p>
        </xdr:txBody>
      </xdr:sp>
    </xdr:grpSp>
    <xdr:clientData/>
  </xdr:twoCellAnchor>
</xdr:wsDr>
</file>

<file path=xl/drawings/drawing5.xml><?xml version="1.0" encoding="utf-8"?>
<xdr:wsDr xmlns:xdr="http://schemas.openxmlformats.org/drawingml/2006/spreadsheetDrawing" xmlns:a="http://schemas.openxmlformats.org/drawingml/2006/main">
  <xdr:twoCellAnchor editAs="absolute">
    <xdr:from>
      <xdr:col>12</xdr:col>
      <xdr:colOff>537054</xdr:colOff>
      <xdr:row>0</xdr:row>
      <xdr:rowOff>13609</xdr:rowOff>
    </xdr:from>
    <xdr:to>
      <xdr:col>29</xdr:col>
      <xdr:colOff>460311</xdr:colOff>
      <xdr:row>54</xdr:row>
      <xdr:rowOff>59329</xdr:rowOff>
    </xdr:to>
    <xdr:sp macro="" textlink="">
      <xdr:nvSpPr>
        <xdr:cNvPr id="6" name="Oval 5">
          <a:extLst>
            <a:ext uri="{FF2B5EF4-FFF2-40B4-BE49-F238E27FC236}">
              <a16:creationId xmlns:a16="http://schemas.microsoft.com/office/drawing/2014/main" id="{3D7E5549-FD5C-09C7-8AAC-E7008B3A065E}"/>
            </a:ext>
          </a:extLst>
        </xdr:cNvPr>
        <xdr:cNvSpPr>
          <a:spLocks/>
        </xdr:cNvSpPr>
      </xdr:nvSpPr>
      <xdr:spPr>
        <a:xfrm>
          <a:off x="7859398" y="13609"/>
          <a:ext cx="10296577" cy="10493454"/>
        </a:xfrm>
        <a:prstGeom prst="ellipse">
          <a:avLst/>
        </a:prstGeom>
        <a:noFill/>
        <a:ln w="3175">
          <a:solidFill>
            <a:schemeClr val="bg1">
              <a:alpha val="19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0</xdr:col>
      <xdr:colOff>0</xdr:colOff>
      <xdr:row>0</xdr:row>
      <xdr:rowOff>0</xdr:rowOff>
    </xdr:from>
    <xdr:to>
      <xdr:col>28</xdr:col>
      <xdr:colOff>195072</xdr:colOff>
      <xdr:row>2</xdr:row>
      <xdr:rowOff>16060</xdr:rowOff>
    </xdr:to>
    <xdr:grpSp>
      <xdr:nvGrpSpPr>
        <xdr:cNvPr id="24" name="Group 23">
          <a:extLst>
            <a:ext uri="{FF2B5EF4-FFF2-40B4-BE49-F238E27FC236}">
              <a16:creationId xmlns:a16="http://schemas.microsoft.com/office/drawing/2014/main" id="{4F3A273C-A10F-424B-BF32-D5EA2CF3FD17}"/>
            </a:ext>
          </a:extLst>
        </xdr:cNvPr>
        <xdr:cNvGrpSpPr/>
      </xdr:nvGrpSpPr>
      <xdr:grpSpPr>
        <a:xfrm>
          <a:off x="0" y="0"/>
          <a:ext cx="17263872" cy="397060"/>
          <a:chOff x="0" y="0"/>
          <a:chExt cx="17263872" cy="397060"/>
        </a:xfrm>
      </xdr:grpSpPr>
      <xdr:sp macro="" textlink="">
        <xdr:nvSpPr>
          <xdr:cNvPr id="25" name="Rectangle 24">
            <a:extLst>
              <a:ext uri="{FF2B5EF4-FFF2-40B4-BE49-F238E27FC236}">
                <a16:creationId xmlns:a16="http://schemas.microsoft.com/office/drawing/2014/main" id="{43D2125D-0BC3-9129-682C-3337CC5846E7}"/>
              </a:ext>
            </a:extLst>
          </xdr:cNvPr>
          <xdr:cNvSpPr/>
        </xdr:nvSpPr>
        <xdr:spPr>
          <a:xfrm>
            <a:off x="0" y="0"/>
            <a:ext cx="17263872" cy="393192"/>
          </a:xfrm>
          <a:prstGeom prst="rect">
            <a:avLst/>
          </a:prstGeom>
          <a:solidFill>
            <a:srgbClr val="1D1D3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p>
        </xdr:txBody>
      </xdr:sp>
      <xdr:pic>
        <xdr:nvPicPr>
          <xdr:cNvPr id="26" name="Picture 25">
            <a:extLst>
              <a:ext uri="{FF2B5EF4-FFF2-40B4-BE49-F238E27FC236}">
                <a16:creationId xmlns:a16="http://schemas.microsoft.com/office/drawing/2014/main" id="{41103AE9-D83A-0F7C-01B0-566AA50D46A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527336" cy="397060"/>
          </a:xfrm>
          <a:prstGeom prst="rect">
            <a:avLst/>
          </a:prstGeom>
        </xdr:spPr>
      </xdr:pic>
      <xdr:sp macro="" textlink="">
        <xdr:nvSpPr>
          <xdr:cNvPr id="27" name="TextBox 26">
            <a:extLst>
              <a:ext uri="{FF2B5EF4-FFF2-40B4-BE49-F238E27FC236}">
                <a16:creationId xmlns:a16="http://schemas.microsoft.com/office/drawing/2014/main" id="{D8E285A0-6581-C6FD-3BFE-31AAB8FD788D}"/>
              </a:ext>
            </a:extLst>
          </xdr:cNvPr>
          <xdr:cNvSpPr txBox="1"/>
        </xdr:nvSpPr>
        <xdr:spPr>
          <a:xfrm>
            <a:off x="492126" y="0"/>
            <a:ext cx="1395290" cy="3956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100">
                <a:solidFill>
                  <a:schemeClr val="bg1"/>
                </a:solidFill>
                <a:latin typeface="Avenir Book" panose="020B0503020203020204" pitchFamily="34" charset="-78"/>
                <a:cs typeface="Avenir Book" panose="020B0503020203020204" pitchFamily="34" charset="-78"/>
              </a:rPr>
              <a:t>Shivam Rastogi</a:t>
            </a:r>
          </a:p>
        </xdr:txBody>
      </xdr:sp>
      <xdr:sp macro="" textlink="">
        <xdr:nvSpPr>
          <xdr:cNvPr id="28" name="TextBox 27">
            <a:hlinkClick xmlns:r="http://schemas.openxmlformats.org/officeDocument/2006/relationships" r:id="rId2" tooltip="www.linkedin.com"/>
            <a:extLst>
              <a:ext uri="{FF2B5EF4-FFF2-40B4-BE49-F238E27FC236}">
                <a16:creationId xmlns:a16="http://schemas.microsoft.com/office/drawing/2014/main" id="{AAFBE1A9-49C8-99D4-85F1-370CB03885EA}"/>
              </a:ext>
            </a:extLst>
          </xdr:cNvPr>
          <xdr:cNvSpPr txBox="1"/>
        </xdr:nvSpPr>
        <xdr:spPr>
          <a:xfrm>
            <a:off x="3745955" y="0"/>
            <a:ext cx="736593" cy="3905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100">
                <a:solidFill>
                  <a:schemeClr val="bg1"/>
                </a:solidFill>
                <a:latin typeface="Avenir Book" panose="020B0503020203020204" pitchFamily="34" charset="-78"/>
                <a:cs typeface="Avenir Book" panose="020B0503020203020204" pitchFamily="34" charset="-78"/>
              </a:rPr>
              <a:t>Browse</a:t>
            </a:r>
            <a:endParaRPr lang="en-IN" sz="1400">
              <a:solidFill>
                <a:schemeClr val="bg1"/>
              </a:solidFill>
              <a:latin typeface="Avenir Book" panose="020B0503020203020204" pitchFamily="34" charset="-78"/>
              <a:cs typeface="Avenir Book" panose="020B0503020203020204" pitchFamily="34" charset="-78"/>
            </a:endParaRPr>
          </a:p>
        </xdr:txBody>
      </xdr:sp>
      <xdr:sp macro="" textlink="">
        <xdr:nvSpPr>
          <xdr:cNvPr id="29" name="TextBox 28">
            <a:hlinkClick xmlns:r="http://schemas.openxmlformats.org/officeDocument/2006/relationships" r:id="rId3" tooltip="Sales Process"/>
            <a:extLst>
              <a:ext uri="{FF2B5EF4-FFF2-40B4-BE49-F238E27FC236}">
                <a16:creationId xmlns:a16="http://schemas.microsoft.com/office/drawing/2014/main" id="{16597533-405E-2A6D-DEA2-A19CF477C0C3}"/>
              </a:ext>
            </a:extLst>
          </xdr:cNvPr>
          <xdr:cNvSpPr txBox="1"/>
        </xdr:nvSpPr>
        <xdr:spPr>
          <a:xfrm>
            <a:off x="12953541" y="0"/>
            <a:ext cx="1396221" cy="3840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solidFill>
                  <a:schemeClr val="bg1"/>
                </a:solidFill>
                <a:latin typeface="Avenir Book" panose="020B0503020203020204" pitchFamily="34" charset="-78"/>
                <a:cs typeface="Avenir Book" panose="020B0503020203020204" pitchFamily="34" charset="-78"/>
              </a:rPr>
              <a:t>Sales</a:t>
            </a:r>
            <a:r>
              <a:rPr lang="en-IN" sz="1200" baseline="0">
                <a:solidFill>
                  <a:schemeClr val="bg1"/>
                </a:solidFill>
                <a:latin typeface="Avenir Book" panose="020B0503020203020204" pitchFamily="34" charset="-78"/>
                <a:cs typeface="Avenir Book" panose="020B0503020203020204" pitchFamily="34" charset="-78"/>
              </a:rPr>
              <a:t> Process</a:t>
            </a:r>
          </a:p>
        </xdr:txBody>
      </xdr:sp>
      <xdr:sp macro="" textlink="">
        <xdr:nvSpPr>
          <xdr:cNvPr id="31" name="TextBox 30">
            <a:hlinkClick xmlns:r="http://schemas.openxmlformats.org/officeDocument/2006/relationships" r:id="rId4" tooltip="Income Sources"/>
            <a:extLst>
              <a:ext uri="{FF2B5EF4-FFF2-40B4-BE49-F238E27FC236}">
                <a16:creationId xmlns:a16="http://schemas.microsoft.com/office/drawing/2014/main" id="{199B131B-4EA9-10CC-1B27-DFF9A1D72213}"/>
              </a:ext>
            </a:extLst>
          </xdr:cNvPr>
          <xdr:cNvSpPr txBox="1"/>
        </xdr:nvSpPr>
        <xdr:spPr>
          <a:xfrm>
            <a:off x="10150054" y="0"/>
            <a:ext cx="1392907" cy="3840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solidFill>
                  <a:schemeClr val="bg1"/>
                </a:solidFill>
                <a:latin typeface="Avenir Book" panose="020B0503020203020204" pitchFamily="34" charset="-78"/>
                <a:cs typeface="Avenir Book" panose="020B0503020203020204" pitchFamily="34" charset="-78"/>
              </a:rPr>
              <a:t>Income Sources</a:t>
            </a:r>
          </a:p>
        </xdr:txBody>
      </xdr:sp>
      <xdr:sp macro="" textlink="">
        <xdr:nvSpPr>
          <xdr:cNvPr id="32" name="TextBox 31">
            <a:hlinkClick xmlns:r="http://schemas.openxmlformats.org/officeDocument/2006/relationships" r:id="rId5" tooltip="Geographically"/>
            <a:extLst>
              <a:ext uri="{FF2B5EF4-FFF2-40B4-BE49-F238E27FC236}">
                <a16:creationId xmlns:a16="http://schemas.microsoft.com/office/drawing/2014/main" id="{FE0EB461-4A50-76DD-C832-26ABDC21717F}"/>
              </a:ext>
            </a:extLst>
          </xdr:cNvPr>
          <xdr:cNvSpPr txBox="1"/>
        </xdr:nvSpPr>
        <xdr:spPr>
          <a:xfrm>
            <a:off x="11542960" y="0"/>
            <a:ext cx="1392573" cy="3840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solidFill>
                  <a:schemeClr val="bg1"/>
                </a:solidFill>
                <a:latin typeface="Avenir Book" panose="020B0503020203020204" pitchFamily="34" charset="-78"/>
                <a:cs typeface="Avenir Book" panose="020B0503020203020204" pitchFamily="34" charset="-78"/>
              </a:rPr>
              <a:t>Geographically</a:t>
            </a:r>
          </a:p>
        </xdr:txBody>
      </xdr:sp>
      <xdr:pic>
        <xdr:nvPicPr>
          <xdr:cNvPr id="33" name="Graphic 32" descr="Compass">
            <a:extLst>
              <a:ext uri="{FF2B5EF4-FFF2-40B4-BE49-F238E27FC236}">
                <a16:creationId xmlns:a16="http://schemas.microsoft.com/office/drawing/2014/main" id="{56FA114E-37E5-1281-F655-0B492A9A33F2}"/>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3580808" y="86591"/>
            <a:ext cx="217893" cy="218051"/>
          </a:xfrm>
          <a:prstGeom prst="rect">
            <a:avLst/>
          </a:prstGeom>
        </xdr:spPr>
      </xdr:pic>
      <xdr:sp macro="" textlink="">
        <xdr:nvSpPr>
          <xdr:cNvPr id="34" name="Rectangle: Rounded Corners 33">
            <a:extLst>
              <a:ext uri="{FF2B5EF4-FFF2-40B4-BE49-F238E27FC236}">
                <a16:creationId xmlns:a16="http://schemas.microsoft.com/office/drawing/2014/main" id="{74E0FB5C-F264-1B2E-813C-CCA5D8203C19}"/>
              </a:ext>
            </a:extLst>
          </xdr:cNvPr>
          <xdr:cNvSpPr/>
        </xdr:nvSpPr>
        <xdr:spPr>
          <a:xfrm>
            <a:off x="13207907" y="276950"/>
            <a:ext cx="271007" cy="45720"/>
          </a:xfrm>
          <a:prstGeom prst="roundRect">
            <a:avLst>
              <a:gd name="adj" fmla="val 50000"/>
            </a:avLst>
          </a:prstGeom>
          <a:solidFill>
            <a:srgbClr val="194AF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editAs="absolute">
    <xdr:from>
      <xdr:col>16</xdr:col>
      <xdr:colOff>194698</xdr:colOff>
      <xdr:row>15</xdr:row>
      <xdr:rowOff>165441</xdr:rowOff>
    </xdr:from>
    <xdr:to>
      <xdr:col>26</xdr:col>
      <xdr:colOff>190347</xdr:colOff>
      <xdr:row>38</xdr:row>
      <xdr:rowOff>97997</xdr:rowOff>
    </xdr:to>
    <xdr:graphicFrame macro="">
      <xdr:nvGraphicFramePr>
        <xdr:cNvPr id="2" name="Chart 1">
          <a:extLst>
            <a:ext uri="{FF2B5EF4-FFF2-40B4-BE49-F238E27FC236}">
              <a16:creationId xmlns:a16="http://schemas.microsoft.com/office/drawing/2014/main" id="{8D7A3BE4-623C-4E1E-BB93-3E2DCA7C9D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absolute">
    <xdr:from>
      <xdr:col>17</xdr:col>
      <xdr:colOff>218648</xdr:colOff>
      <xdr:row>14</xdr:row>
      <xdr:rowOff>89809</xdr:rowOff>
    </xdr:from>
    <xdr:to>
      <xdr:col>25</xdr:col>
      <xdr:colOff>166397</xdr:colOff>
      <xdr:row>39</xdr:row>
      <xdr:rowOff>173629</xdr:rowOff>
    </xdr:to>
    <xdr:sp macro="" textlink="">
      <xdr:nvSpPr>
        <xdr:cNvPr id="3" name="Circle: Hollow 2">
          <a:extLst>
            <a:ext uri="{FF2B5EF4-FFF2-40B4-BE49-F238E27FC236}">
              <a16:creationId xmlns:a16="http://schemas.microsoft.com/office/drawing/2014/main" id="{B9C1D28A-9E5F-398F-EAF7-4F4451D92CEA}"/>
            </a:ext>
          </a:extLst>
        </xdr:cNvPr>
        <xdr:cNvSpPr>
          <a:spLocks noChangeAspect="1"/>
        </xdr:cNvSpPr>
      </xdr:nvSpPr>
      <xdr:spPr>
        <a:xfrm>
          <a:off x="10591968" y="2798481"/>
          <a:ext cx="4829312" cy="4920734"/>
        </a:xfrm>
        <a:prstGeom prst="donut">
          <a:avLst>
            <a:gd name="adj" fmla="val 3643"/>
          </a:avLst>
        </a:prstGeom>
        <a:solidFill>
          <a:schemeClr val="bg2">
            <a:lumMod val="1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editAs="absolute">
    <xdr:from>
      <xdr:col>15</xdr:col>
      <xdr:colOff>483170</xdr:colOff>
      <xdr:row>9</xdr:row>
      <xdr:rowOff>82189</xdr:rowOff>
    </xdr:from>
    <xdr:to>
      <xdr:col>26</xdr:col>
      <xdr:colOff>514195</xdr:colOff>
      <xdr:row>44</xdr:row>
      <xdr:rowOff>181249</xdr:rowOff>
    </xdr:to>
    <xdr:sp macro="" textlink="">
      <xdr:nvSpPr>
        <xdr:cNvPr id="4" name="Oval 3">
          <a:extLst>
            <a:ext uri="{FF2B5EF4-FFF2-40B4-BE49-F238E27FC236}">
              <a16:creationId xmlns:a16="http://schemas.microsoft.com/office/drawing/2014/main" id="{C50849C3-E8F5-0F94-4E60-88E8E5871D45}"/>
            </a:ext>
          </a:extLst>
        </xdr:cNvPr>
        <xdr:cNvSpPr>
          <a:spLocks/>
        </xdr:cNvSpPr>
      </xdr:nvSpPr>
      <xdr:spPr>
        <a:xfrm>
          <a:off x="9636100" y="1823478"/>
          <a:ext cx="6743173" cy="6870740"/>
        </a:xfrm>
        <a:prstGeom prst="ellipse">
          <a:avLst/>
        </a:prstGeom>
        <a:noFill/>
        <a:ln w="3175">
          <a:solidFill>
            <a:schemeClr val="bg1">
              <a:alpha val="3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13</xdr:col>
      <xdr:colOff>381934</xdr:colOff>
      <xdr:row>2</xdr:row>
      <xdr:rowOff>89809</xdr:rowOff>
    </xdr:from>
    <xdr:to>
      <xdr:col>29</xdr:col>
      <xdr:colOff>5236</xdr:colOff>
      <xdr:row>51</xdr:row>
      <xdr:rowOff>173629</xdr:rowOff>
    </xdr:to>
    <xdr:sp macro="" textlink="">
      <xdr:nvSpPr>
        <xdr:cNvPr id="5" name="Oval 4">
          <a:extLst>
            <a:ext uri="{FF2B5EF4-FFF2-40B4-BE49-F238E27FC236}">
              <a16:creationId xmlns:a16="http://schemas.microsoft.com/office/drawing/2014/main" id="{02835022-6A20-E2A4-FB5D-74C3897554B1}"/>
            </a:ext>
          </a:extLst>
        </xdr:cNvPr>
        <xdr:cNvSpPr>
          <a:spLocks/>
        </xdr:cNvSpPr>
      </xdr:nvSpPr>
      <xdr:spPr>
        <a:xfrm>
          <a:off x="8314473" y="476762"/>
          <a:ext cx="9386427" cy="9564172"/>
        </a:xfrm>
        <a:prstGeom prst="ellipse">
          <a:avLst/>
        </a:prstGeom>
        <a:noFill/>
        <a:ln w="3175">
          <a:solidFill>
            <a:schemeClr val="bg1">
              <a:alpha val="2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3</xdr:col>
      <xdr:colOff>247777</xdr:colOff>
      <xdr:row>5</xdr:row>
      <xdr:rowOff>104764</xdr:rowOff>
    </xdr:from>
    <xdr:to>
      <xdr:col>9</xdr:col>
      <xdr:colOff>156337</xdr:colOff>
      <xdr:row>8</xdr:row>
      <xdr:rowOff>81904</xdr:rowOff>
    </xdr:to>
    <mc:AlternateContent xmlns:mc="http://schemas.openxmlformats.org/markup-compatibility/2006" xmlns:a14="http://schemas.microsoft.com/office/drawing/2010/main">
      <mc:Choice Requires="a14">
        <xdr:graphicFrame macro="">
          <xdr:nvGraphicFramePr>
            <xdr:cNvPr id="102" name="Year 1">
              <a:extLst>
                <a:ext uri="{FF2B5EF4-FFF2-40B4-BE49-F238E27FC236}">
                  <a16:creationId xmlns:a16="http://schemas.microsoft.com/office/drawing/2014/main" id="{30CDE0DA-D739-4E72-B61F-AD4C0CA17B59}"/>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2076577" y="1057264"/>
              <a:ext cx="3566160" cy="5486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19</xdr:col>
      <xdr:colOff>385044</xdr:colOff>
      <xdr:row>25</xdr:row>
      <xdr:rowOff>187843</xdr:rowOff>
    </xdr:from>
    <xdr:to>
      <xdr:col>23</xdr:col>
      <xdr:colOff>0</xdr:colOff>
      <xdr:row>28</xdr:row>
      <xdr:rowOff>75596</xdr:rowOff>
    </xdr:to>
    <xdr:sp macro="" textlink="'Pivot Tables'!EK4">
      <xdr:nvSpPr>
        <xdr:cNvPr id="175" name="TextBox 174">
          <a:extLst>
            <a:ext uri="{FF2B5EF4-FFF2-40B4-BE49-F238E27FC236}">
              <a16:creationId xmlns:a16="http://schemas.microsoft.com/office/drawing/2014/main" id="{25F04F5E-2D0F-441E-93CA-A961CFD92B0B}"/>
            </a:ext>
          </a:extLst>
        </xdr:cNvPr>
        <xdr:cNvSpPr txBox="1"/>
      </xdr:nvSpPr>
      <xdr:spPr>
        <a:xfrm>
          <a:off x="11875520" y="5101533"/>
          <a:ext cx="2034004" cy="4773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0" i="0" u="none" strike="noStrike">
              <a:solidFill>
                <a:schemeClr val="bg1"/>
              </a:solidFill>
              <a:latin typeface="Avenir Book" panose="020B0503020203020204" pitchFamily="34" charset="-78"/>
              <a:ea typeface="Calibri Light"/>
              <a:cs typeface="Avenir Book" panose="020B0503020203020204" pitchFamily="34" charset="-78"/>
            </a:rPr>
            <a:t>Financial Statistics</a:t>
          </a:r>
        </a:p>
      </xdr:txBody>
    </xdr:sp>
    <xdr:clientData/>
  </xdr:twoCellAnchor>
  <xdr:twoCellAnchor editAs="absolute">
    <xdr:from>
      <xdr:col>18</xdr:col>
      <xdr:colOff>312473</xdr:colOff>
      <xdr:row>27</xdr:row>
      <xdr:rowOff>21534</xdr:rowOff>
    </xdr:from>
    <xdr:to>
      <xdr:col>24</xdr:col>
      <xdr:colOff>78619</xdr:colOff>
      <xdr:row>31</xdr:row>
      <xdr:rowOff>105834</xdr:rowOff>
    </xdr:to>
    <xdr:sp macro="" textlink="'Pivot Tables'!FA8">
      <xdr:nvSpPr>
        <xdr:cNvPr id="176" name="TextBox 175">
          <a:extLst>
            <a:ext uri="{FF2B5EF4-FFF2-40B4-BE49-F238E27FC236}">
              <a16:creationId xmlns:a16="http://schemas.microsoft.com/office/drawing/2014/main" id="{2B32F678-7710-923E-27F6-DA0433A40CA9}"/>
            </a:ext>
          </a:extLst>
        </xdr:cNvPr>
        <xdr:cNvSpPr txBox="1"/>
      </xdr:nvSpPr>
      <xdr:spPr>
        <a:xfrm>
          <a:off x="11285273" y="5165034"/>
          <a:ext cx="3423746" cy="846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2E9662C-D003-4BD1-84B9-B2C32FEB7AE3}" type="TxLink">
            <a:rPr lang="en-US" sz="4000" b="0" i="0" u="none" strike="noStrike">
              <a:solidFill>
                <a:schemeClr val="bg1"/>
              </a:solidFill>
              <a:latin typeface="Avenir Book" panose="020B0503020203020204" pitchFamily="34" charset="-78"/>
              <a:ea typeface="Calibri Light"/>
              <a:cs typeface="Avenir Book" panose="020B0503020203020204" pitchFamily="34" charset="-78"/>
            </a:rPr>
            <a:pPr algn="ctr"/>
            <a:t>$1,61,096 </a:t>
          </a:fld>
          <a:endParaRPr lang="en-US" sz="6000" b="0" i="0" u="none" strike="noStrike">
            <a:solidFill>
              <a:schemeClr val="bg1"/>
            </a:solidFill>
            <a:latin typeface="Avenir Book" panose="020B0503020203020204" pitchFamily="34" charset="-78"/>
            <a:ea typeface="Calibri Light"/>
            <a:cs typeface="Avenir Book" panose="020B0503020203020204" pitchFamily="34" charset="-78"/>
          </a:endParaRPr>
        </a:p>
      </xdr:txBody>
    </xdr:sp>
    <xdr:clientData/>
  </xdr:twoCellAnchor>
  <xdr:twoCellAnchor editAs="absolute">
    <xdr:from>
      <xdr:col>20</xdr:col>
      <xdr:colOff>340084</xdr:colOff>
      <xdr:row>21</xdr:row>
      <xdr:rowOff>125674</xdr:rowOff>
    </xdr:from>
    <xdr:to>
      <xdr:col>22</xdr:col>
      <xdr:colOff>44960</xdr:colOff>
      <xdr:row>26</xdr:row>
      <xdr:rowOff>66861</xdr:rowOff>
    </xdr:to>
    <xdr:pic>
      <xdr:nvPicPr>
        <xdr:cNvPr id="184" name="Graphic 183" descr="Connections">
          <a:extLst>
            <a:ext uri="{FF2B5EF4-FFF2-40B4-BE49-F238E27FC236}">
              <a16:creationId xmlns:a16="http://schemas.microsoft.com/office/drawing/2014/main" id="{553266D4-277C-7F31-A8BD-DCCC8282E4C1}"/>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2435322" y="4253174"/>
          <a:ext cx="914400" cy="923925"/>
        </a:xfrm>
        <a:prstGeom prst="rect">
          <a:avLst/>
        </a:prstGeom>
      </xdr:spPr>
    </xdr:pic>
    <xdr:clientData/>
  </xdr:twoCellAnchor>
  <xdr:twoCellAnchor editAs="absolute">
    <xdr:from>
      <xdr:col>20</xdr:col>
      <xdr:colOff>132708</xdr:colOff>
      <xdr:row>11</xdr:row>
      <xdr:rowOff>51773</xdr:rowOff>
    </xdr:from>
    <xdr:to>
      <xdr:col>22</xdr:col>
      <xdr:colOff>186117</xdr:colOff>
      <xdr:row>13</xdr:row>
      <xdr:rowOff>75595</xdr:rowOff>
    </xdr:to>
    <xdr:grpSp>
      <xdr:nvGrpSpPr>
        <xdr:cNvPr id="192" name="Group 191">
          <a:extLst>
            <a:ext uri="{FF2B5EF4-FFF2-40B4-BE49-F238E27FC236}">
              <a16:creationId xmlns:a16="http://schemas.microsoft.com/office/drawing/2014/main" id="{057DEC3A-F19F-5368-F0B4-7495F932C229}"/>
            </a:ext>
          </a:extLst>
        </xdr:cNvPr>
        <xdr:cNvGrpSpPr/>
      </xdr:nvGrpSpPr>
      <xdr:grpSpPr>
        <a:xfrm>
          <a:off x="12324708" y="2147273"/>
          <a:ext cx="1272609" cy="404822"/>
          <a:chOff x="12253496" y="2213797"/>
          <a:chExt cx="1262933" cy="416917"/>
        </a:xfrm>
      </xdr:grpSpPr>
      <xdr:sp macro="" textlink="'Pivot Tables'!EK4">
        <xdr:nvSpPr>
          <xdr:cNvPr id="182" name="TextBox 181">
            <a:extLst>
              <a:ext uri="{FF2B5EF4-FFF2-40B4-BE49-F238E27FC236}">
                <a16:creationId xmlns:a16="http://schemas.microsoft.com/office/drawing/2014/main" id="{45716242-40C6-0B56-BDB3-710EECEDA0A3}"/>
              </a:ext>
            </a:extLst>
          </xdr:cNvPr>
          <xdr:cNvSpPr txBox="1"/>
        </xdr:nvSpPr>
        <xdr:spPr>
          <a:xfrm>
            <a:off x="12268615" y="2213797"/>
            <a:ext cx="1247814" cy="1750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i="0" u="none" strike="noStrike">
                <a:solidFill>
                  <a:schemeClr val="bg1"/>
                </a:solidFill>
                <a:latin typeface="Avenir Book" panose="020B0503020203020204" pitchFamily="34" charset="-78"/>
                <a:ea typeface="Calibri Light"/>
                <a:cs typeface="Avenir Book" panose="020B0503020203020204" pitchFamily="34" charset="-78"/>
              </a:rPr>
              <a:t>Download</a:t>
            </a:r>
          </a:p>
        </xdr:txBody>
      </xdr:sp>
      <xdr:sp macro="" textlink="'Pivot Tables'!FA6">
        <xdr:nvSpPr>
          <xdr:cNvPr id="185" name="TextBox 184">
            <a:extLst>
              <a:ext uri="{FF2B5EF4-FFF2-40B4-BE49-F238E27FC236}">
                <a16:creationId xmlns:a16="http://schemas.microsoft.com/office/drawing/2014/main" id="{FFAEE947-EE0A-D52D-D5ED-4E8A615CE28F}"/>
              </a:ext>
            </a:extLst>
          </xdr:cNvPr>
          <xdr:cNvSpPr txBox="1"/>
        </xdr:nvSpPr>
        <xdr:spPr>
          <a:xfrm>
            <a:off x="12253496" y="2455702"/>
            <a:ext cx="1247814" cy="1750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2D64950-6E44-4ED2-B871-2979C4B8DD3D}" type="TxLink">
              <a:rPr lang="en-US" sz="1600" b="0" i="0" u="none" strike="noStrike">
                <a:solidFill>
                  <a:schemeClr val="bg1"/>
                </a:solidFill>
                <a:latin typeface="Avenir Book" panose="020B0503020203020204" pitchFamily="34" charset="-78"/>
                <a:ea typeface="Calibri Light"/>
                <a:cs typeface="Avenir Book" panose="020B0503020203020204" pitchFamily="34" charset="-78"/>
              </a:rPr>
              <a:pPr algn="ctr"/>
              <a:t> 55,489 </a:t>
            </a:fld>
            <a:endParaRPr lang="en-US" sz="1600" b="0" i="0" u="none" strike="noStrike">
              <a:solidFill>
                <a:schemeClr val="bg1"/>
              </a:solidFill>
              <a:latin typeface="Avenir Book" panose="020B0503020203020204" pitchFamily="34" charset="-78"/>
              <a:ea typeface="Calibri Light"/>
              <a:cs typeface="Avenir Book" panose="020B0503020203020204" pitchFamily="34" charset="-78"/>
            </a:endParaRPr>
          </a:p>
        </xdr:txBody>
      </xdr:sp>
    </xdr:grpSp>
    <xdr:clientData/>
  </xdr:twoCellAnchor>
  <xdr:twoCellAnchor editAs="absolute">
    <xdr:from>
      <xdr:col>25</xdr:col>
      <xdr:colOff>143138</xdr:colOff>
      <xdr:row>34</xdr:row>
      <xdr:rowOff>172720</xdr:rowOff>
    </xdr:from>
    <xdr:to>
      <xdr:col>27</xdr:col>
      <xdr:colOff>196548</xdr:colOff>
      <xdr:row>37</xdr:row>
      <xdr:rowOff>71882</xdr:rowOff>
    </xdr:to>
    <xdr:grpSp>
      <xdr:nvGrpSpPr>
        <xdr:cNvPr id="191" name="Group 190">
          <a:extLst>
            <a:ext uri="{FF2B5EF4-FFF2-40B4-BE49-F238E27FC236}">
              <a16:creationId xmlns:a16="http://schemas.microsoft.com/office/drawing/2014/main" id="{C8B8472C-6AA2-8EA7-8BC4-60F511735AE8}"/>
            </a:ext>
          </a:extLst>
        </xdr:cNvPr>
        <xdr:cNvGrpSpPr/>
      </xdr:nvGrpSpPr>
      <xdr:grpSpPr>
        <a:xfrm>
          <a:off x="15383138" y="6649720"/>
          <a:ext cx="1272610" cy="470662"/>
          <a:chOff x="15262186" y="6855344"/>
          <a:chExt cx="1262933" cy="483907"/>
        </a:xfrm>
      </xdr:grpSpPr>
      <xdr:sp macro="" textlink="">
        <xdr:nvSpPr>
          <xdr:cNvPr id="186" name="TextBox 185">
            <a:extLst>
              <a:ext uri="{FF2B5EF4-FFF2-40B4-BE49-F238E27FC236}">
                <a16:creationId xmlns:a16="http://schemas.microsoft.com/office/drawing/2014/main" id="{829C9869-3F4F-F319-98D3-CCA6829FFA43}"/>
              </a:ext>
            </a:extLst>
          </xdr:cNvPr>
          <xdr:cNvSpPr txBox="1"/>
        </xdr:nvSpPr>
        <xdr:spPr>
          <a:xfrm>
            <a:off x="15277305" y="6855344"/>
            <a:ext cx="1247814" cy="1750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i="0" u="none" strike="noStrike">
                <a:solidFill>
                  <a:schemeClr val="bg1"/>
                </a:solidFill>
                <a:latin typeface="Avenir Book" panose="020B0503020203020204" pitchFamily="34" charset="-78"/>
                <a:ea typeface="Calibri Light"/>
                <a:cs typeface="Avenir Book" panose="020B0503020203020204" pitchFamily="34" charset="-78"/>
              </a:rPr>
              <a:t>Branch</a:t>
            </a:r>
          </a:p>
        </xdr:txBody>
      </xdr:sp>
      <xdr:sp macro="" textlink="'Pivot Tables'!FA5">
        <xdr:nvSpPr>
          <xdr:cNvPr id="187" name="TextBox 186">
            <a:extLst>
              <a:ext uri="{FF2B5EF4-FFF2-40B4-BE49-F238E27FC236}">
                <a16:creationId xmlns:a16="http://schemas.microsoft.com/office/drawing/2014/main" id="{A09647E4-10C2-1713-5516-4391F9D31279}"/>
              </a:ext>
            </a:extLst>
          </xdr:cNvPr>
          <xdr:cNvSpPr txBox="1"/>
        </xdr:nvSpPr>
        <xdr:spPr>
          <a:xfrm>
            <a:off x="15262186" y="7097249"/>
            <a:ext cx="1247814" cy="2420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BC20C6CF-4E50-4547-9B15-7077D0E975CA}" type="TxLink">
              <a:rPr lang="en-US" sz="1600" b="0" i="0" u="none" strike="noStrike">
                <a:solidFill>
                  <a:schemeClr val="bg1"/>
                </a:solidFill>
                <a:latin typeface="Avenir Book" panose="020B0503020203020204" pitchFamily="34" charset="-78"/>
                <a:ea typeface="Calibri Light"/>
                <a:cs typeface="Avenir Book" panose="020B0503020203020204" pitchFamily="34" charset="-78"/>
              </a:rPr>
              <a:pPr marL="0" indent="0" algn="ctr"/>
              <a:t> 51,804 </a:t>
            </a:fld>
            <a:endParaRPr lang="en-US" sz="1600" b="0" i="0" u="none" strike="noStrike">
              <a:solidFill>
                <a:schemeClr val="bg1"/>
              </a:solidFill>
              <a:latin typeface="Avenir Book" panose="020B0503020203020204" pitchFamily="34" charset="-78"/>
              <a:ea typeface="Calibri Light"/>
              <a:cs typeface="Avenir Book" panose="020B0503020203020204" pitchFamily="34" charset="-78"/>
            </a:endParaRPr>
          </a:p>
        </xdr:txBody>
      </xdr:sp>
    </xdr:grpSp>
    <xdr:clientData/>
  </xdr:twoCellAnchor>
  <xdr:twoCellAnchor editAs="absolute">
    <xdr:from>
      <xdr:col>15</xdr:col>
      <xdr:colOff>233852</xdr:colOff>
      <xdr:row>34</xdr:row>
      <xdr:rowOff>172722</xdr:rowOff>
    </xdr:from>
    <xdr:to>
      <xdr:col>17</xdr:col>
      <xdr:colOff>287262</xdr:colOff>
      <xdr:row>37</xdr:row>
      <xdr:rowOff>53912</xdr:rowOff>
    </xdr:to>
    <xdr:grpSp>
      <xdr:nvGrpSpPr>
        <xdr:cNvPr id="190" name="Group 189">
          <a:extLst>
            <a:ext uri="{FF2B5EF4-FFF2-40B4-BE49-F238E27FC236}">
              <a16:creationId xmlns:a16="http://schemas.microsoft.com/office/drawing/2014/main" id="{6F9F15EC-9E6A-5986-C0EF-99A412BC6EE3}"/>
            </a:ext>
          </a:extLst>
        </xdr:cNvPr>
        <xdr:cNvGrpSpPr/>
      </xdr:nvGrpSpPr>
      <xdr:grpSpPr>
        <a:xfrm>
          <a:off x="9377852" y="6649722"/>
          <a:ext cx="1272610" cy="452690"/>
          <a:chOff x="9305281" y="6855344"/>
          <a:chExt cx="1262933" cy="465215"/>
        </a:xfrm>
      </xdr:grpSpPr>
      <xdr:sp macro="" textlink="'Pivot Tables'!EK4">
        <xdr:nvSpPr>
          <xdr:cNvPr id="188" name="TextBox 187">
            <a:extLst>
              <a:ext uri="{FF2B5EF4-FFF2-40B4-BE49-F238E27FC236}">
                <a16:creationId xmlns:a16="http://schemas.microsoft.com/office/drawing/2014/main" id="{19D4B203-04ED-3E9D-5A68-5305183EB5AD}"/>
              </a:ext>
            </a:extLst>
          </xdr:cNvPr>
          <xdr:cNvSpPr txBox="1"/>
        </xdr:nvSpPr>
        <xdr:spPr>
          <a:xfrm>
            <a:off x="9320400" y="6855344"/>
            <a:ext cx="1247814" cy="1750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i="0" u="none" strike="noStrike">
                <a:solidFill>
                  <a:schemeClr val="bg1"/>
                </a:solidFill>
                <a:latin typeface="Avenir Book" panose="020B0503020203020204" pitchFamily="34" charset="-78"/>
                <a:ea typeface="Calibri Light"/>
                <a:cs typeface="Avenir Book" panose="020B0503020203020204" pitchFamily="34" charset="-78"/>
              </a:rPr>
              <a:t>Shipment</a:t>
            </a:r>
          </a:p>
        </xdr:txBody>
      </xdr:sp>
      <xdr:sp macro="" textlink="'Pivot Tables'!FA7">
        <xdr:nvSpPr>
          <xdr:cNvPr id="189" name="TextBox 188">
            <a:extLst>
              <a:ext uri="{FF2B5EF4-FFF2-40B4-BE49-F238E27FC236}">
                <a16:creationId xmlns:a16="http://schemas.microsoft.com/office/drawing/2014/main" id="{9DFC3CD8-1D98-F9C3-9B00-022E4F870A6B}"/>
              </a:ext>
            </a:extLst>
          </xdr:cNvPr>
          <xdr:cNvSpPr txBox="1"/>
        </xdr:nvSpPr>
        <xdr:spPr>
          <a:xfrm>
            <a:off x="9305281" y="7097249"/>
            <a:ext cx="1247814" cy="2233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A1A3F045-487D-4741-B50F-9B11FFDF94C9}" type="TxLink">
              <a:rPr lang="en-US" sz="1600" b="0" i="0" u="none" strike="noStrike">
                <a:solidFill>
                  <a:schemeClr val="bg1"/>
                </a:solidFill>
                <a:latin typeface="Avenir Book" panose="020B0503020203020204" pitchFamily="34" charset="-78"/>
                <a:ea typeface="Calibri Light"/>
                <a:cs typeface="Avenir Book" panose="020B0503020203020204" pitchFamily="34" charset="-78"/>
              </a:rPr>
              <a:pPr marL="0" indent="0" algn="ctr"/>
              <a:t> 53,803 </a:t>
            </a:fld>
            <a:endParaRPr lang="en-US" sz="1600" b="0" i="0" u="none" strike="noStrike">
              <a:solidFill>
                <a:schemeClr val="bg1"/>
              </a:solidFill>
              <a:latin typeface="Avenir Book" panose="020B0503020203020204" pitchFamily="34" charset="-78"/>
              <a:ea typeface="Calibri Light"/>
              <a:cs typeface="Avenir Book" panose="020B0503020203020204" pitchFamily="34" charset="-78"/>
            </a:endParaRPr>
          </a:p>
        </xdr:txBody>
      </xdr:sp>
    </xdr:grpSp>
    <xdr:clientData/>
  </xdr:twoCellAnchor>
  <xdr:twoCellAnchor editAs="absolute">
    <xdr:from>
      <xdr:col>20</xdr:col>
      <xdr:colOff>585347</xdr:colOff>
      <xdr:row>9</xdr:row>
      <xdr:rowOff>15118</xdr:rowOff>
    </xdr:from>
    <xdr:to>
      <xdr:col>21</xdr:col>
      <xdr:colOff>342293</xdr:colOff>
      <xdr:row>10</xdr:row>
      <xdr:rowOff>184331</xdr:rowOff>
    </xdr:to>
    <xdr:sp macro="" textlink="">
      <xdr:nvSpPr>
        <xdr:cNvPr id="193" name="Rectangle: Rounded Corners 192">
          <a:extLst>
            <a:ext uri="{FF2B5EF4-FFF2-40B4-BE49-F238E27FC236}">
              <a16:creationId xmlns:a16="http://schemas.microsoft.com/office/drawing/2014/main" id="{8E9B0B79-2B02-3B43-B42E-6AF5EF8A8377}"/>
            </a:ext>
          </a:extLst>
        </xdr:cNvPr>
        <xdr:cNvSpPr>
          <a:spLocks/>
        </xdr:cNvSpPr>
      </xdr:nvSpPr>
      <xdr:spPr>
        <a:xfrm>
          <a:off x="12742255" y="1707059"/>
          <a:ext cx="364791" cy="357206"/>
        </a:xfrm>
        <a:prstGeom prst="roundRect">
          <a:avLst/>
        </a:prstGeom>
        <a:solidFill>
          <a:schemeClr val="tx1"/>
        </a:solidFill>
        <a:ln w="3175">
          <a:solidFill>
            <a:schemeClr val="bg1">
              <a:alpha val="3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20</xdr:col>
      <xdr:colOff>597275</xdr:colOff>
      <xdr:row>9</xdr:row>
      <xdr:rowOff>28840</xdr:rowOff>
    </xdr:from>
    <xdr:to>
      <xdr:col>21</xdr:col>
      <xdr:colOff>335933</xdr:colOff>
      <xdr:row>10</xdr:row>
      <xdr:rowOff>171120</xdr:rowOff>
    </xdr:to>
    <xdr:pic>
      <xdr:nvPicPr>
        <xdr:cNvPr id="195" name="Graphic 194" descr="Download">
          <a:extLst>
            <a:ext uri="{FF2B5EF4-FFF2-40B4-BE49-F238E27FC236}">
              <a16:creationId xmlns:a16="http://schemas.microsoft.com/office/drawing/2014/main" id="{CC71CC8D-A582-5449-D355-212C29D08B94}"/>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12754183" y="1720781"/>
          <a:ext cx="346503" cy="330273"/>
        </a:xfrm>
        <a:prstGeom prst="rect">
          <a:avLst/>
        </a:prstGeom>
      </xdr:spPr>
    </xdr:pic>
    <xdr:clientData/>
  </xdr:twoCellAnchor>
  <xdr:twoCellAnchor editAs="absolute">
    <xdr:from>
      <xdr:col>25</xdr:col>
      <xdr:colOff>593987</xdr:colOff>
      <xdr:row>32</xdr:row>
      <xdr:rowOff>109636</xdr:rowOff>
    </xdr:from>
    <xdr:to>
      <xdr:col>26</xdr:col>
      <xdr:colOff>350932</xdr:colOff>
      <xdr:row>34</xdr:row>
      <xdr:rowOff>90333</xdr:rowOff>
    </xdr:to>
    <xdr:sp macro="" textlink="">
      <xdr:nvSpPr>
        <xdr:cNvPr id="197" name="Rectangle: Rounded Corners 196">
          <a:extLst>
            <a:ext uri="{FF2B5EF4-FFF2-40B4-BE49-F238E27FC236}">
              <a16:creationId xmlns:a16="http://schemas.microsoft.com/office/drawing/2014/main" id="{79D2AF29-A7CD-DE64-4414-5A9EADA2B4F2}"/>
            </a:ext>
          </a:extLst>
        </xdr:cNvPr>
        <xdr:cNvSpPr>
          <a:spLocks/>
        </xdr:cNvSpPr>
      </xdr:nvSpPr>
      <xdr:spPr>
        <a:xfrm>
          <a:off x="15858410" y="6361944"/>
          <a:ext cx="367522" cy="371466"/>
        </a:xfrm>
        <a:prstGeom prst="roundRect">
          <a:avLst/>
        </a:prstGeom>
        <a:solidFill>
          <a:schemeClr val="tx1"/>
        </a:solidFill>
        <a:ln w="3175">
          <a:solidFill>
            <a:schemeClr val="bg1">
              <a:alpha val="3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16</xdr:col>
      <xdr:colOff>78162</xdr:colOff>
      <xdr:row>32</xdr:row>
      <xdr:rowOff>109636</xdr:rowOff>
    </xdr:from>
    <xdr:to>
      <xdr:col>16</xdr:col>
      <xdr:colOff>442952</xdr:colOff>
      <xdr:row>34</xdr:row>
      <xdr:rowOff>90333</xdr:rowOff>
    </xdr:to>
    <xdr:sp macro="" textlink="">
      <xdr:nvSpPr>
        <xdr:cNvPr id="198" name="Rectangle: Rounded Corners 197">
          <a:extLst>
            <a:ext uri="{FF2B5EF4-FFF2-40B4-BE49-F238E27FC236}">
              <a16:creationId xmlns:a16="http://schemas.microsoft.com/office/drawing/2014/main" id="{FB8CE2D3-E79A-394E-F500-F09F577E65DC}"/>
            </a:ext>
          </a:extLst>
        </xdr:cNvPr>
        <xdr:cNvSpPr>
          <a:spLocks/>
        </xdr:cNvSpPr>
      </xdr:nvSpPr>
      <xdr:spPr>
        <a:xfrm>
          <a:off x="9847393" y="6361944"/>
          <a:ext cx="364790" cy="371466"/>
        </a:xfrm>
        <a:prstGeom prst="roundRect">
          <a:avLst/>
        </a:prstGeom>
        <a:solidFill>
          <a:schemeClr val="tx1"/>
        </a:solidFill>
        <a:ln w="3175">
          <a:solidFill>
            <a:schemeClr val="bg1">
              <a:alpha val="3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25</xdr:col>
      <xdr:colOff>597927</xdr:colOff>
      <xdr:row>32</xdr:row>
      <xdr:rowOff>109560</xdr:rowOff>
    </xdr:from>
    <xdr:to>
      <xdr:col>26</xdr:col>
      <xdr:colOff>350070</xdr:colOff>
      <xdr:row>34</xdr:row>
      <xdr:rowOff>94320</xdr:rowOff>
    </xdr:to>
    <xdr:pic>
      <xdr:nvPicPr>
        <xdr:cNvPr id="200" name="Graphic 199" descr="Store">
          <a:extLst>
            <a:ext uri="{FF2B5EF4-FFF2-40B4-BE49-F238E27FC236}">
              <a16:creationId xmlns:a16="http://schemas.microsoft.com/office/drawing/2014/main" id="{3FF14116-2DF9-A845-6E8F-C4522B8543D6}"/>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15889287" y="6235442"/>
          <a:ext cx="363798" cy="367628"/>
        </a:xfrm>
        <a:prstGeom prst="rect">
          <a:avLst/>
        </a:prstGeom>
      </xdr:spPr>
    </xdr:pic>
    <xdr:clientData/>
  </xdr:twoCellAnchor>
  <xdr:twoCellAnchor editAs="absolute">
    <xdr:from>
      <xdr:col>16</xdr:col>
      <xdr:colOff>88652</xdr:colOff>
      <xdr:row>32</xdr:row>
      <xdr:rowOff>104617</xdr:rowOff>
    </xdr:from>
    <xdr:to>
      <xdr:col>16</xdr:col>
      <xdr:colOff>448227</xdr:colOff>
      <xdr:row>34</xdr:row>
      <xdr:rowOff>96181</xdr:rowOff>
    </xdr:to>
    <xdr:pic>
      <xdr:nvPicPr>
        <xdr:cNvPr id="202" name="Graphic 201" descr="Box">
          <a:extLst>
            <a:ext uri="{FF2B5EF4-FFF2-40B4-BE49-F238E27FC236}">
              <a16:creationId xmlns:a16="http://schemas.microsoft.com/office/drawing/2014/main" id="{1D005835-744B-D744-EA8F-9D66AACB0281}"/>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9786834" y="6042279"/>
          <a:ext cx="359575" cy="362668"/>
        </a:xfrm>
        <a:prstGeom prst="rect">
          <a:avLst/>
        </a:prstGeom>
      </xdr:spPr>
    </xdr:pic>
    <xdr:clientData/>
  </xdr:twoCellAnchor>
  <xdr:twoCellAnchor editAs="absolute">
    <xdr:from>
      <xdr:col>0</xdr:col>
      <xdr:colOff>462570</xdr:colOff>
      <xdr:row>2</xdr:row>
      <xdr:rowOff>159240</xdr:rowOff>
    </xdr:from>
    <xdr:to>
      <xdr:col>3</xdr:col>
      <xdr:colOff>188250</xdr:colOff>
      <xdr:row>5</xdr:row>
      <xdr:rowOff>26652</xdr:rowOff>
    </xdr:to>
    <xdr:grpSp>
      <xdr:nvGrpSpPr>
        <xdr:cNvPr id="53" name="Group 52">
          <a:extLst>
            <a:ext uri="{FF2B5EF4-FFF2-40B4-BE49-F238E27FC236}">
              <a16:creationId xmlns:a16="http://schemas.microsoft.com/office/drawing/2014/main" id="{4B7148FF-023E-4391-5AB7-C1539108AE62}"/>
            </a:ext>
          </a:extLst>
        </xdr:cNvPr>
        <xdr:cNvGrpSpPr/>
      </xdr:nvGrpSpPr>
      <xdr:grpSpPr>
        <a:xfrm>
          <a:off x="462570" y="540240"/>
          <a:ext cx="1554480" cy="438912"/>
          <a:chOff x="6105769" y="1172308"/>
          <a:chExt cx="1535430" cy="429768"/>
        </a:xfrm>
      </xdr:grpSpPr>
      <xdr:sp macro="" textlink="">
        <xdr:nvSpPr>
          <xdr:cNvPr id="16" name="Rectangle: Rounded Corners 15">
            <a:extLst>
              <a:ext uri="{FF2B5EF4-FFF2-40B4-BE49-F238E27FC236}">
                <a16:creationId xmlns:a16="http://schemas.microsoft.com/office/drawing/2014/main" id="{DD9F2C75-2450-4548-88AD-9C0F71224AFE}"/>
              </a:ext>
            </a:extLst>
          </xdr:cNvPr>
          <xdr:cNvSpPr/>
        </xdr:nvSpPr>
        <xdr:spPr>
          <a:xfrm>
            <a:off x="6105769" y="1172308"/>
            <a:ext cx="1535430" cy="429768"/>
          </a:xfrm>
          <a:prstGeom prst="roundRect">
            <a:avLst>
              <a:gd name="adj" fmla="val 50000"/>
            </a:avLst>
          </a:prstGeom>
          <a:solidFill>
            <a:srgbClr val="194AF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8" name="TextBox 37">
            <a:extLst>
              <a:ext uri="{FF2B5EF4-FFF2-40B4-BE49-F238E27FC236}">
                <a16:creationId xmlns:a16="http://schemas.microsoft.com/office/drawing/2014/main" id="{F788744C-C1DF-48F5-93A3-140B0D58C0E5}"/>
              </a:ext>
            </a:extLst>
          </xdr:cNvPr>
          <xdr:cNvSpPr txBox="1"/>
        </xdr:nvSpPr>
        <xdr:spPr>
          <a:xfrm>
            <a:off x="6140535" y="1191688"/>
            <a:ext cx="1465898" cy="3910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r>
              <a:rPr lang="en-IN" sz="1400">
                <a:solidFill>
                  <a:schemeClr val="bg1"/>
                </a:solidFill>
                <a:latin typeface="Avenir Book" panose="020B0503020203020204" pitchFamily="34" charset="-78"/>
                <a:cs typeface="Avenir Book" panose="020B0503020203020204" pitchFamily="34" charset="-78"/>
              </a:rPr>
              <a:t>Sales</a:t>
            </a:r>
            <a:r>
              <a:rPr lang="en-IN" sz="1400" baseline="0">
                <a:solidFill>
                  <a:schemeClr val="bg1"/>
                </a:solidFill>
                <a:latin typeface="Avenir Book" panose="020B0503020203020204" pitchFamily="34" charset="-78"/>
                <a:cs typeface="Avenir Book" panose="020B0503020203020204" pitchFamily="34" charset="-78"/>
              </a:rPr>
              <a:t> Process</a:t>
            </a:r>
            <a:endParaRPr lang="en-IN" sz="1400">
              <a:solidFill>
                <a:schemeClr val="bg1"/>
              </a:solidFill>
              <a:latin typeface="Avenir Book" panose="020B0503020203020204" pitchFamily="34" charset="-78"/>
              <a:cs typeface="Avenir Book" panose="020B0503020203020204" pitchFamily="34" charset="-78"/>
            </a:endParaRPr>
          </a:p>
        </xdr:txBody>
      </xdr:sp>
    </xdr:grpSp>
    <xdr:clientData/>
  </xdr:twoCellAnchor>
  <xdr:twoCellAnchor editAs="absolute">
    <xdr:from>
      <xdr:col>3</xdr:col>
      <xdr:colOff>247778</xdr:colOff>
      <xdr:row>2</xdr:row>
      <xdr:rowOff>147025</xdr:rowOff>
    </xdr:from>
    <xdr:to>
      <xdr:col>10</xdr:col>
      <xdr:colOff>576513</xdr:colOff>
      <xdr:row>6</xdr:row>
      <xdr:rowOff>27596</xdr:rowOff>
    </xdr:to>
    <xdr:sp macro="" textlink="">
      <xdr:nvSpPr>
        <xdr:cNvPr id="55" name="TextBox 54">
          <a:extLst>
            <a:ext uri="{FF2B5EF4-FFF2-40B4-BE49-F238E27FC236}">
              <a16:creationId xmlns:a16="http://schemas.microsoft.com/office/drawing/2014/main" id="{1817A795-7C73-1B22-C0D4-7D33A63201B2}"/>
            </a:ext>
          </a:extLst>
        </xdr:cNvPr>
        <xdr:cNvSpPr txBox="1"/>
      </xdr:nvSpPr>
      <xdr:spPr>
        <a:xfrm>
          <a:off x="2076578" y="528025"/>
          <a:ext cx="4595935" cy="6425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50">
              <a:solidFill>
                <a:schemeClr val="bg1"/>
              </a:solidFill>
              <a:latin typeface="Avenir Book" panose="020B0503020203020204" pitchFamily="34" charset="-78"/>
              <a:cs typeface="Avenir Book" panose="020B0503020203020204" pitchFamily="34" charset="-78"/>
            </a:rPr>
            <a:t>A set of repeatable steps that a salesperson takes to move a prospective buyer from the early stage of awareness to a closed sale.</a:t>
          </a:r>
        </a:p>
      </xdr:txBody>
    </xdr:sp>
    <xdr:clientData/>
  </xdr:twoCellAnchor>
  <xdr:twoCellAnchor editAs="absolute">
    <xdr:from>
      <xdr:col>0</xdr:col>
      <xdr:colOff>76000</xdr:colOff>
      <xdr:row>10</xdr:row>
      <xdr:rowOff>165789</xdr:rowOff>
    </xdr:from>
    <xdr:to>
      <xdr:col>16</xdr:col>
      <xdr:colOff>9687</xdr:colOff>
      <xdr:row>43</xdr:row>
      <xdr:rowOff>167512</xdr:rowOff>
    </xdr:to>
    <xdr:grpSp>
      <xdr:nvGrpSpPr>
        <xdr:cNvPr id="101" name="Group 100">
          <a:extLst>
            <a:ext uri="{FF2B5EF4-FFF2-40B4-BE49-F238E27FC236}">
              <a16:creationId xmlns:a16="http://schemas.microsoft.com/office/drawing/2014/main" id="{310C5DAB-9329-A897-8403-551730482E28}"/>
            </a:ext>
          </a:extLst>
        </xdr:cNvPr>
        <xdr:cNvGrpSpPr/>
      </xdr:nvGrpSpPr>
      <xdr:grpSpPr>
        <a:xfrm>
          <a:off x="76000" y="2070789"/>
          <a:ext cx="9687287" cy="6288223"/>
          <a:chOff x="76000" y="2070789"/>
          <a:chExt cx="9687287" cy="6288223"/>
        </a:xfrm>
      </xdr:grpSpPr>
      <xdr:grpSp>
        <xdr:nvGrpSpPr>
          <xdr:cNvPr id="174" name="Group 173">
            <a:extLst>
              <a:ext uri="{FF2B5EF4-FFF2-40B4-BE49-F238E27FC236}">
                <a16:creationId xmlns:a16="http://schemas.microsoft.com/office/drawing/2014/main" id="{DFCB992A-F130-3A4C-F2D5-2F29222F45DE}"/>
              </a:ext>
            </a:extLst>
          </xdr:cNvPr>
          <xdr:cNvGrpSpPr/>
        </xdr:nvGrpSpPr>
        <xdr:grpSpPr>
          <a:xfrm>
            <a:off x="76000" y="2070789"/>
            <a:ext cx="9687287" cy="6288223"/>
            <a:chOff x="76000" y="2131265"/>
            <a:chExt cx="9609877" cy="6487795"/>
          </a:xfrm>
        </xdr:grpSpPr>
        <xdr:sp macro="" textlink="'Pivot Tables'!EH5">
          <xdr:nvSpPr>
            <xdr:cNvPr id="40" name="TextBox 39">
              <a:extLst>
                <a:ext uri="{FF2B5EF4-FFF2-40B4-BE49-F238E27FC236}">
                  <a16:creationId xmlns:a16="http://schemas.microsoft.com/office/drawing/2014/main" id="{ACF19746-44FB-40FC-B888-A0B36E83A4E4}"/>
                </a:ext>
              </a:extLst>
            </xdr:cNvPr>
            <xdr:cNvSpPr txBox="1"/>
          </xdr:nvSpPr>
          <xdr:spPr>
            <a:xfrm rot="7650641">
              <a:off x="2168774" y="5226428"/>
              <a:ext cx="45720" cy="25663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F1886B7-3593-47DC-9DEA-7292AFE97FBB}" type="TxLink">
                <a:rPr lang="en-US" sz="34400" b="0" i="0" u="none" strike="noStrike">
                  <a:solidFill>
                    <a:schemeClr val="bg1"/>
                  </a:solidFill>
                  <a:latin typeface="Arial"/>
                  <a:cs typeface="Arial"/>
                </a:rPr>
                <a:pPr algn="ctr"/>
                <a:t> </a:t>
              </a:fld>
              <a:endParaRPr lang="en-IN" sz="34400">
                <a:solidFill>
                  <a:schemeClr val="bg1"/>
                </a:solidFill>
                <a:latin typeface="Arial" panose="020B0604020202020204" pitchFamily="34" charset="0"/>
                <a:cs typeface="Arial" panose="020B0604020202020204" pitchFamily="34" charset="0"/>
              </a:endParaRPr>
            </a:p>
          </xdr:txBody>
        </xdr:sp>
        <xdr:sp macro="" textlink="'Pivot Tables'!EH10">
          <xdr:nvSpPr>
            <xdr:cNvPr id="60" name="TextBox 59">
              <a:extLst>
                <a:ext uri="{FF2B5EF4-FFF2-40B4-BE49-F238E27FC236}">
                  <a16:creationId xmlns:a16="http://schemas.microsoft.com/office/drawing/2014/main" id="{2BAC9C66-80D2-417A-98A8-3AB0DE3E678A}"/>
                </a:ext>
              </a:extLst>
            </xdr:cNvPr>
            <xdr:cNvSpPr txBox="1"/>
          </xdr:nvSpPr>
          <xdr:spPr>
            <a:xfrm rot="2978398" flipH="1">
              <a:off x="5109488" y="5513850"/>
              <a:ext cx="42309" cy="8119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691FB41-9414-4BA5-93E4-C4DA989F17D0}" type="TxLink">
                <a:rPr lang="en-US" sz="16600" b="0" i="0" u="none" strike="noStrike">
                  <a:solidFill>
                    <a:schemeClr val="bg1"/>
                  </a:solidFill>
                  <a:latin typeface="Arial"/>
                  <a:cs typeface="Arial"/>
                </a:rPr>
                <a:pPr algn="ctr"/>
                <a:t>│</a:t>
              </a:fld>
              <a:endParaRPr lang="en-IN" sz="16600">
                <a:solidFill>
                  <a:schemeClr val="bg1"/>
                </a:solidFill>
                <a:latin typeface="Arial" panose="020B0604020202020204" pitchFamily="34" charset="0"/>
                <a:cs typeface="Arial" panose="020B0604020202020204" pitchFamily="34" charset="0"/>
              </a:endParaRPr>
            </a:p>
          </xdr:txBody>
        </xdr:sp>
        <xdr:sp macro="" textlink="'Pivot Tables'!EH10">
          <xdr:nvSpPr>
            <xdr:cNvPr id="59" name="TextBox 58">
              <a:extLst>
                <a:ext uri="{FF2B5EF4-FFF2-40B4-BE49-F238E27FC236}">
                  <a16:creationId xmlns:a16="http://schemas.microsoft.com/office/drawing/2014/main" id="{9F3C7D74-0EE6-465E-A167-426539D644F1}"/>
                </a:ext>
              </a:extLst>
            </xdr:cNvPr>
            <xdr:cNvSpPr txBox="1"/>
          </xdr:nvSpPr>
          <xdr:spPr>
            <a:xfrm rot="18648277" flipH="1">
              <a:off x="3999490" y="5487955"/>
              <a:ext cx="50291" cy="8119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691FB41-9414-4BA5-93E4-C4DA989F17D0}" type="TxLink">
                <a:rPr lang="en-US" sz="16600" b="0" i="0" u="none" strike="noStrike">
                  <a:solidFill>
                    <a:schemeClr val="bg1"/>
                  </a:solidFill>
                  <a:latin typeface="Arial"/>
                  <a:cs typeface="Arial"/>
                </a:rPr>
                <a:pPr algn="ctr"/>
                <a:t>│</a:t>
              </a:fld>
              <a:endParaRPr lang="en-IN" sz="16600">
                <a:solidFill>
                  <a:schemeClr val="bg1"/>
                </a:solidFill>
                <a:latin typeface="Arial" panose="020B0604020202020204" pitchFamily="34" charset="0"/>
                <a:cs typeface="Arial" panose="020B0604020202020204" pitchFamily="34" charset="0"/>
              </a:endParaRPr>
            </a:p>
          </xdr:txBody>
        </xdr:sp>
        <xdr:sp macro="" textlink="'Pivot Tables'!EI4">
          <xdr:nvSpPr>
            <xdr:cNvPr id="96" name="TextBox 95">
              <a:extLst>
                <a:ext uri="{FF2B5EF4-FFF2-40B4-BE49-F238E27FC236}">
                  <a16:creationId xmlns:a16="http://schemas.microsoft.com/office/drawing/2014/main" id="{2DB3ED67-0FD9-7C69-0010-5A7793DD6005}"/>
                </a:ext>
              </a:extLst>
            </xdr:cNvPr>
            <xdr:cNvSpPr txBox="1"/>
          </xdr:nvSpPr>
          <xdr:spPr>
            <a:xfrm>
              <a:off x="2765844" y="2186332"/>
              <a:ext cx="1403335" cy="17864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F487E102-FE46-48BB-BC5C-19BE7B92F068}" type="TxLink">
                <a:rPr lang="en-US" sz="13800">
                  <a:solidFill>
                    <a:schemeClr val="bg1"/>
                  </a:solidFill>
                  <a:effectLst>
                    <a:glow rad="63500">
                      <a:srgbClr val="194AFE">
                        <a:alpha val="40000"/>
                      </a:srgbClr>
                    </a:glow>
                    <a:outerShdw blurRad="177800" sx="114000" sy="114000" algn="ctr" rotWithShape="0">
                      <a:srgbClr val="194AFE"/>
                    </a:outerShdw>
                  </a:effectLst>
                  <a:latin typeface="+mj-lt"/>
                  <a:ea typeface="+mn-ea"/>
                  <a:cs typeface="+mn-cs"/>
                </a:rPr>
                <a:pPr marL="0" indent="0" algn="ctr"/>
                <a:t>○</a:t>
              </a:fld>
              <a:endParaRPr lang="en-IN" sz="13800">
                <a:solidFill>
                  <a:schemeClr val="bg1"/>
                </a:solidFill>
                <a:effectLst>
                  <a:glow rad="63500">
                    <a:srgbClr val="194AFE">
                      <a:alpha val="40000"/>
                    </a:srgbClr>
                  </a:glow>
                  <a:outerShdw blurRad="177800" sx="114000" sy="114000" algn="ctr" rotWithShape="0">
                    <a:srgbClr val="194AFE"/>
                  </a:outerShdw>
                </a:effectLst>
                <a:latin typeface="+mj-lt"/>
                <a:ea typeface="+mn-ea"/>
                <a:cs typeface="+mn-cs"/>
              </a:endParaRPr>
            </a:p>
          </xdr:txBody>
        </xdr:sp>
        <xdr:sp macro="" textlink="'Pivot Tables'!EH4">
          <xdr:nvSpPr>
            <xdr:cNvPr id="14" name="TextBox 13">
              <a:extLst>
                <a:ext uri="{FF2B5EF4-FFF2-40B4-BE49-F238E27FC236}">
                  <a16:creationId xmlns:a16="http://schemas.microsoft.com/office/drawing/2014/main" id="{6BE68C5C-5005-0E79-0D9F-D4A42A3C3390}"/>
                </a:ext>
              </a:extLst>
            </xdr:cNvPr>
            <xdr:cNvSpPr txBox="1"/>
          </xdr:nvSpPr>
          <xdr:spPr>
            <a:xfrm>
              <a:off x="3469717" y="3566096"/>
              <a:ext cx="18288" cy="14227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F1E7EB6-98B9-4BB9-B3F5-64188DA3D124}" type="TxLink">
                <a:rPr lang="en-US" sz="16600" b="0" i="0" u="none" strike="noStrike">
                  <a:solidFill>
                    <a:schemeClr val="bg1"/>
                  </a:solidFill>
                  <a:latin typeface="Arial" panose="020B0604020202020204" pitchFamily="34" charset="0"/>
                  <a:cs typeface="Arial" panose="020B0604020202020204" pitchFamily="34" charset="0"/>
                </a:rPr>
                <a:pPr algn="ctr"/>
                <a:t>│</a:t>
              </a:fld>
              <a:endParaRPr lang="en-IN" sz="16600">
                <a:solidFill>
                  <a:schemeClr val="bg1"/>
                </a:solidFill>
                <a:latin typeface="Arial" panose="020B0604020202020204" pitchFamily="34" charset="0"/>
                <a:cs typeface="Arial" panose="020B0604020202020204" pitchFamily="34" charset="0"/>
              </a:endParaRPr>
            </a:p>
          </xdr:txBody>
        </xdr:sp>
        <xdr:sp macro="" textlink="'Pivot Tables'!EH4">
          <xdr:nvSpPr>
            <xdr:cNvPr id="15" name="TextBox 14">
              <a:extLst>
                <a:ext uri="{FF2B5EF4-FFF2-40B4-BE49-F238E27FC236}">
                  <a16:creationId xmlns:a16="http://schemas.microsoft.com/office/drawing/2014/main" id="{B727D4FD-3908-4060-BCD0-BA62AE7606AF}"/>
                </a:ext>
              </a:extLst>
            </xdr:cNvPr>
            <xdr:cNvSpPr txBox="1"/>
          </xdr:nvSpPr>
          <xdr:spPr>
            <a:xfrm rot="3139066">
              <a:off x="2161125" y="3071719"/>
              <a:ext cx="43596" cy="24699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9243C18-5BBB-414A-A06F-CB581AF181D2}" type="TxLink">
                <a:rPr lang="en-US" sz="34400" b="0" i="0" u="none" strike="noStrike">
                  <a:solidFill>
                    <a:schemeClr val="bg1"/>
                  </a:solidFill>
                  <a:latin typeface="Arial"/>
                  <a:cs typeface="Arial"/>
                </a:rPr>
                <a:pPr algn="ctr"/>
                <a:t>│</a:t>
              </a:fld>
              <a:endParaRPr lang="en-IN" sz="34400">
                <a:solidFill>
                  <a:schemeClr val="bg1"/>
                </a:solidFill>
                <a:latin typeface="Arial" panose="020B0604020202020204" pitchFamily="34" charset="0"/>
                <a:cs typeface="Arial" panose="020B0604020202020204" pitchFamily="34" charset="0"/>
              </a:endParaRPr>
            </a:p>
          </xdr:txBody>
        </xdr:sp>
        <xdr:cxnSp macro="">
          <xdr:nvCxnSpPr>
            <xdr:cNvPr id="87" name="Straight Connector 86">
              <a:extLst>
                <a:ext uri="{FF2B5EF4-FFF2-40B4-BE49-F238E27FC236}">
                  <a16:creationId xmlns:a16="http://schemas.microsoft.com/office/drawing/2014/main" id="{5D177D2C-D8DB-BA81-2474-0137374C0F52}"/>
                </a:ext>
              </a:extLst>
            </xdr:cNvPr>
            <xdr:cNvCxnSpPr>
              <a:stCxn id="49" idx="6"/>
            </xdr:cNvCxnSpPr>
          </xdr:nvCxnSpPr>
          <xdr:spPr>
            <a:xfrm>
              <a:off x="6016354" y="5378973"/>
              <a:ext cx="2545563" cy="0"/>
            </a:xfrm>
            <a:prstGeom prst="line">
              <a:avLst/>
            </a:prstGeom>
            <a:ln w="19050">
              <a:solidFill>
                <a:schemeClr val="bg1"/>
              </a:solidFill>
            </a:ln>
          </xdr:spPr>
          <xdr:style>
            <a:lnRef idx="1">
              <a:schemeClr val="accent1"/>
            </a:lnRef>
            <a:fillRef idx="0">
              <a:schemeClr val="accent1"/>
            </a:fillRef>
            <a:effectRef idx="0">
              <a:schemeClr val="accent1"/>
            </a:effectRef>
            <a:fontRef idx="minor">
              <a:schemeClr val="tx1"/>
            </a:fontRef>
          </xdr:style>
        </xdr:cxnSp>
        <xdr:sp macro="" textlink="">
          <xdr:nvSpPr>
            <xdr:cNvPr id="7" name="Oval 6">
              <a:extLst>
                <a:ext uri="{FF2B5EF4-FFF2-40B4-BE49-F238E27FC236}">
                  <a16:creationId xmlns:a16="http://schemas.microsoft.com/office/drawing/2014/main" id="{3D0D31E9-32ED-A4B3-0676-627860CBEF34}"/>
                </a:ext>
              </a:extLst>
            </xdr:cNvPr>
            <xdr:cNvSpPr/>
          </xdr:nvSpPr>
          <xdr:spPr>
            <a:xfrm>
              <a:off x="536780" y="5036530"/>
              <a:ext cx="675283" cy="684882"/>
            </a:xfrm>
            <a:prstGeom prst="ellipse">
              <a:avLst/>
            </a:prstGeom>
            <a:noFill/>
            <a:ln w="6350">
              <a:solidFill>
                <a:schemeClr val="bg1">
                  <a:alpha val="42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8" name="Oval 7">
              <a:extLst>
                <a:ext uri="{FF2B5EF4-FFF2-40B4-BE49-F238E27FC236}">
                  <a16:creationId xmlns:a16="http://schemas.microsoft.com/office/drawing/2014/main" id="{9660B856-E545-59D9-CFD2-EEEF401689ED}"/>
                </a:ext>
              </a:extLst>
            </xdr:cNvPr>
            <xdr:cNvSpPr/>
          </xdr:nvSpPr>
          <xdr:spPr>
            <a:xfrm>
              <a:off x="3118140" y="5036531"/>
              <a:ext cx="682089" cy="684882"/>
            </a:xfrm>
            <a:prstGeom prst="ellipse">
              <a:avLst/>
            </a:prstGeom>
            <a:noFill/>
            <a:ln w="6350">
              <a:solidFill>
                <a:schemeClr val="bg1">
                  <a:alpha val="42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0" name="Oval 9">
              <a:extLst>
                <a:ext uri="{FF2B5EF4-FFF2-40B4-BE49-F238E27FC236}">
                  <a16:creationId xmlns:a16="http://schemas.microsoft.com/office/drawing/2014/main" id="{01A117A2-5D0D-75D1-2983-11E7864824C2}"/>
                </a:ext>
              </a:extLst>
            </xdr:cNvPr>
            <xdr:cNvSpPr/>
          </xdr:nvSpPr>
          <xdr:spPr>
            <a:xfrm>
              <a:off x="3121543" y="2867068"/>
              <a:ext cx="675282" cy="684881"/>
            </a:xfrm>
            <a:prstGeom prst="ellipse">
              <a:avLst/>
            </a:prstGeom>
            <a:noFill/>
            <a:ln w="6350">
              <a:solidFill>
                <a:schemeClr val="bg1">
                  <a:alpha val="42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1" name="Oval 10">
              <a:extLst>
                <a:ext uri="{FF2B5EF4-FFF2-40B4-BE49-F238E27FC236}">
                  <a16:creationId xmlns:a16="http://schemas.microsoft.com/office/drawing/2014/main" id="{3282FEEC-476F-6597-75B5-BF70C66CB2E7}"/>
                </a:ext>
              </a:extLst>
            </xdr:cNvPr>
            <xdr:cNvSpPr/>
          </xdr:nvSpPr>
          <xdr:spPr>
            <a:xfrm>
              <a:off x="3121543" y="7205994"/>
              <a:ext cx="675282" cy="684881"/>
            </a:xfrm>
            <a:prstGeom prst="ellipse">
              <a:avLst/>
            </a:prstGeom>
            <a:noFill/>
            <a:ln w="6350">
              <a:solidFill>
                <a:schemeClr val="bg1">
                  <a:alpha val="42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xnSp macro="">
          <xdr:nvCxnSpPr>
            <xdr:cNvPr id="13" name="Straight Connector 12">
              <a:extLst>
                <a:ext uri="{FF2B5EF4-FFF2-40B4-BE49-F238E27FC236}">
                  <a16:creationId xmlns:a16="http://schemas.microsoft.com/office/drawing/2014/main" id="{46942D87-CEDE-AC37-CFFA-5B927B45E039}"/>
                </a:ext>
              </a:extLst>
            </xdr:cNvPr>
            <xdr:cNvCxnSpPr>
              <a:stCxn id="7" idx="7"/>
              <a:endCxn id="10" idx="3"/>
            </xdr:cNvCxnSpPr>
          </xdr:nvCxnSpPr>
          <xdr:spPr>
            <a:xfrm flipV="1">
              <a:off x="1111964" y="3448365"/>
              <a:ext cx="2109678" cy="1691751"/>
            </a:xfrm>
            <a:prstGeom prst="line">
              <a:avLst/>
            </a:prstGeom>
            <a:ln>
              <a:solidFill>
                <a:schemeClr val="bg1">
                  <a:alpha val="42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18" name="Straight Connector 17">
              <a:extLst>
                <a:ext uri="{FF2B5EF4-FFF2-40B4-BE49-F238E27FC236}">
                  <a16:creationId xmlns:a16="http://schemas.microsoft.com/office/drawing/2014/main" id="{BEB1E002-9E2C-43B6-95C3-F280ACD5B4E7}"/>
                </a:ext>
              </a:extLst>
            </xdr:cNvPr>
            <xdr:cNvCxnSpPr>
              <a:stCxn id="7" idx="5"/>
              <a:endCxn id="11" idx="1"/>
            </xdr:cNvCxnSpPr>
          </xdr:nvCxnSpPr>
          <xdr:spPr>
            <a:xfrm>
              <a:off x="1111964" y="5617827"/>
              <a:ext cx="2109678" cy="1691752"/>
            </a:xfrm>
            <a:prstGeom prst="line">
              <a:avLst/>
            </a:prstGeom>
            <a:ln>
              <a:solidFill>
                <a:schemeClr val="bg1">
                  <a:alpha val="42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36" name="Straight Connector 35">
              <a:extLst>
                <a:ext uri="{FF2B5EF4-FFF2-40B4-BE49-F238E27FC236}">
                  <a16:creationId xmlns:a16="http://schemas.microsoft.com/office/drawing/2014/main" id="{8B4ADE04-DC0E-4743-B202-E4E00758C938}"/>
                </a:ext>
              </a:extLst>
            </xdr:cNvPr>
            <xdr:cNvCxnSpPr>
              <a:stCxn id="8" idx="0"/>
              <a:endCxn id="10" idx="4"/>
            </xdr:cNvCxnSpPr>
          </xdr:nvCxnSpPr>
          <xdr:spPr>
            <a:xfrm flipH="1" flipV="1">
              <a:off x="3463301" y="3551949"/>
              <a:ext cx="1" cy="1484582"/>
            </a:xfrm>
            <a:prstGeom prst="line">
              <a:avLst/>
            </a:prstGeom>
            <a:ln>
              <a:solidFill>
                <a:schemeClr val="bg1">
                  <a:alpha val="42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41" name="Straight Connector 40">
              <a:extLst>
                <a:ext uri="{FF2B5EF4-FFF2-40B4-BE49-F238E27FC236}">
                  <a16:creationId xmlns:a16="http://schemas.microsoft.com/office/drawing/2014/main" id="{D84243D6-9090-4EDE-96DC-40EF84B8806F}"/>
                </a:ext>
              </a:extLst>
            </xdr:cNvPr>
            <xdr:cNvCxnSpPr>
              <a:stCxn id="11" idx="0"/>
              <a:endCxn id="8" idx="4"/>
            </xdr:cNvCxnSpPr>
          </xdr:nvCxnSpPr>
          <xdr:spPr>
            <a:xfrm flipV="1">
              <a:off x="3463301" y="5721413"/>
              <a:ext cx="1" cy="1484581"/>
            </a:xfrm>
            <a:prstGeom prst="line">
              <a:avLst/>
            </a:prstGeom>
            <a:ln>
              <a:solidFill>
                <a:schemeClr val="bg1">
                  <a:alpha val="42000"/>
                </a:schemeClr>
              </a:solidFill>
            </a:ln>
          </xdr:spPr>
          <xdr:style>
            <a:lnRef idx="1">
              <a:schemeClr val="accent1"/>
            </a:lnRef>
            <a:fillRef idx="0">
              <a:schemeClr val="accent1"/>
            </a:fillRef>
            <a:effectRef idx="0">
              <a:schemeClr val="accent1"/>
            </a:effectRef>
            <a:fontRef idx="minor">
              <a:schemeClr val="tx1"/>
            </a:fontRef>
          </xdr:style>
        </xdr:cxnSp>
        <xdr:sp macro="" textlink="">
          <xdr:nvSpPr>
            <xdr:cNvPr id="49" name="Oval 48">
              <a:extLst>
                <a:ext uri="{FF2B5EF4-FFF2-40B4-BE49-F238E27FC236}">
                  <a16:creationId xmlns:a16="http://schemas.microsoft.com/office/drawing/2014/main" id="{EF012A40-A589-6B29-EB3C-98DDBAB47F37}"/>
                </a:ext>
              </a:extLst>
            </xdr:cNvPr>
            <xdr:cNvSpPr/>
          </xdr:nvSpPr>
          <xdr:spPr>
            <a:xfrm>
              <a:off x="5334264" y="5036531"/>
              <a:ext cx="682090" cy="684882"/>
            </a:xfrm>
            <a:prstGeom prst="ellipse">
              <a:avLst/>
            </a:prstGeom>
            <a:noFill/>
            <a:ln w="6350">
              <a:solidFill>
                <a:schemeClr val="bg1">
                  <a:alpha val="42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50" name="Oval 49">
              <a:extLst>
                <a:ext uri="{FF2B5EF4-FFF2-40B4-BE49-F238E27FC236}">
                  <a16:creationId xmlns:a16="http://schemas.microsoft.com/office/drawing/2014/main" id="{5A09ECA4-458E-4B0A-A3F3-DDDDAA740429}"/>
                </a:ext>
              </a:extLst>
            </xdr:cNvPr>
            <xdr:cNvSpPr/>
          </xdr:nvSpPr>
          <xdr:spPr>
            <a:xfrm>
              <a:off x="4234274" y="4012715"/>
              <a:ext cx="665789" cy="681810"/>
            </a:xfrm>
            <a:prstGeom prst="ellipse">
              <a:avLst/>
            </a:prstGeom>
            <a:noFill/>
            <a:ln w="6350">
              <a:solidFill>
                <a:schemeClr val="bg1">
                  <a:alpha val="42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51" name="Oval 50">
              <a:extLst>
                <a:ext uri="{FF2B5EF4-FFF2-40B4-BE49-F238E27FC236}">
                  <a16:creationId xmlns:a16="http://schemas.microsoft.com/office/drawing/2014/main" id="{02104113-A0BD-4C9C-9A1E-223A4954473B}"/>
                </a:ext>
              </a:extLst>
            </xdr:cNvPr>
            <xdr:cNvSpPr/>
          </xdr:nvSpPr>
          <xdr:spPr>
            <a:xfrm>
              <a:off x="4234274" y="6071061"/>
              <a:ext cx="665789" cy="684881"/>
            </a:xfrm>
            <a:prstGeom prst="ellipse">
              <a:avLst/>
            </a:prstGeom>
            <a:noFill/>
            <a:ln w="6350">
              <a:solidFill>
                <a:schemeClr val="bg1">
                  <a:alpha val="42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xnSp macro="">
          <xdr:nvCxnSpPr>
            <xdr:cNvPr id="52" name="Straight Connector 51">
              <a:extLst>
                <a:ext uri="{FF2B5EF4-FFF2-40B4-BE49-F238E27FC236}">
                  <a16:creationId xmlns:a16="http://schemas.microsoft.com/office/drawing/2014/main" id="{80AE1956-BC15-46ED-A327-39F21DCB8294}"/>
                </a:ext>
              </a:extLst>
            </xdr:cNvPr>
            <xdr:cNvCxnSpPr>
              <a:stCxn id="8" idx="7"/>
              <a:endCxn id="50" idx="3"/>
            </xdr:cNvCxnSpPr>
          </xdr:nvCxnSpPr>
          <xdr:spPr>
            <a:xfrm flipV="1">
              <a:off x="3699134" y="4598162"/>
              <a:ext cx="626821" cy="541955"/>
            </a:xfrm>
            <a:prstGeom prst="line">
              <a:avLst/>
            </a:prstGeom>
            <a:ln>
              <a:solidFill>
                <a:schemeClr val="bg1">
                  <a:alpha val="42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56" name="Straight Connector 55">
              <a:extLst>
                <a:ext uri="{FF2B5EF4-FFF2-40B4-BE49-F238E27FC236}">
                  <a16:creationId xmlns:a16="http://schemas.microsoft.com/office/drawing/2014/main" id="{61775075-3591-44D4-BF07-E1E61D05CA0E}"/>
                </a:ext>
              </a:extLst>
            </xdr:cNvPr>
            <xdr:cNvCxnSpPr>
              <a:stCxn id="8" idx="5"/>
              <a:endCxn id="51" idx="1"/>
            </xdr:cNvCxnSpPr>
          </xdr:nvCxnSpPr>
          <xdr:spPr>
            <a:xfrm>
              <a:off x="3699134" y="5617828"/>
              <a:ext cx="626821" cy="556817"/>
            </a:xfrm>
            <a:prstGeom prst="line">
              <a:avLst/>
            </a:prstGeom>
            <a:ln>
              <a:solidFill>
                <a:schemeClr val="bg1">
                  <a:alpha val="42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63" name="Straight Connector 62">
              <a:extLst>
                <a:ext uri="{FF2B5EF4-FFF2-40B4-BE49-F238E27FC236}">
                  <a16:creationId xmlns:a16="http://schemas.microsoft.com/office/drawing/2014/main" id="{81959547-0467-49D0-98B9-D452E8DC7E51}"/>
                </a:ext>
              </a:extLst>
            </xdr:cNvPr>
            <xdr:cNvCxnSpPr>
              <a:stCxn id="8" idx="6"/>
              <a:endCxn id="49" idx="2"/>
            </xdr:cNvCxnSpPr>
          </xdr:nvCxnSpPr>
          <xdr:spPr>
            <a:xfrm>
              <a:off x="3800229" y="5378972"/>
              <a:ext cx="1534035" cy="0"/>
            </a:xfrm>
            <a:prstGeom prst="line">
              <a:avLst/>
            </a:prstGeom>
            <a:ln>
              <a:solidFill>
                <a:schemeClr val="bg1">
                  <a:alpha val="42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66" name="Straight Connector 65">
              <a:extLst>
                <a:ext uri="{FF2B5EF4-FFF2-40B4-BE49-F238E27FC236}">
                  <a16:creationId xmlns:a16="http://schemas.microsoft.com/office/drawing/2014/main" id="{EF255F95-B249-44EC-A137-EA8E850A4250}"/>
                </a:ext>
              </a:extLst>
            </xdr:cNvPr>
            <xdr:cNvCxnSpPr>
              <a:stCxn id="50" idx="5"/>
              <a:endCxn id="49" idx="1"/>
            </xdr:cNvCxnSpPr>
          </xdr:nvCxnSpPr>
          <xdr:spPr>
            <a:xfrm>
              <a:off x="4802038" y="4599375"/>
              <a:ext cx="632008" cy="541884"/>
            </a:xfrm>
            <a:prstGeom prst="line">
              <a:avLst/>
            </a:prstGeom>
            <a:ln>
              <a:solidFill>
                <a:schemeClr val="bg1">
                  <a:alpha val="42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69" name="Straight Connector 68">
              <a:extLst>
                <a:ext uri="{FF2B5EF4-FFF2-40B4-BE49-F238E27FC236}">
                  <a16:creationId xmlns:a16="http://schemas.microsoft.com/office/drawing/2014/main" id="{98C2F65E-8C38-4705-A602-AF4B5635D0DC}"/>
                </a:ext>
              </a:extLst>
            </xdr:cNvPr>
            <xdr:cNvCxnSpPr>
              <a:stCxn id="51" idx="7"/>
              <a:endCxn id="49" idx="3"/>
            </xdr:cNvCxnSpPr>
          </xdr:nvCxnSpPr>
          <xdr:spPr>
            <a:xfrm flipV="1">
              <a:off x="4802038" y="5616685"/>
              <a:ext cx="632008" cy="559104"/>
            </a:xfrm>
            <a:prstGeom prst="line">
              <a:avLst/>
            </a:prstGeom>
            <a:ln>
              <a:solidFill>
                <a:schemeClr val="bg1">
                  <a:alpha val="42000"/>
                </a:schemeClr>
              </a:solidFill>
            </a:ln>
          </xdr:spPr>
          <xdr:style>
            <a:lnRef idx="1">
              <a:schemeClr val="accent1"/>
            </a:lnRef>
            <a:fillRef idx="0">
              <a:schemeClr val="accent1"/>
            </a:fillRef>
            <a:effectRef idx="0">
              <a:schemeClr val="accent1"/>
            </a:effectRef>
            <a:fontRef idx="minor">
              <a:schemeClr val="tx1"/>
            </a:fontRef>
          </xdr:style>
        </xdr:cxnSp>
        <xdr:sp macro="" textlink="">
          <xdr:nvSpPr>
            <xdr:cNvPr id="80" name="Oval 79">
              <a:extLst>
                <a:ext uri="{FF2B5EF4-FFF2-40B4-BE49-F238E27FC236}">
                  <a16:creationId xmlns:a16="http://schemas.microsoft.com/office/drawing/2014/main" id="{89D6C73A-E2E7-5D42-F3CD-CD6E494B3BF4}"/>
                </a:ext>
              </a:extLst>
            </xdr:cNvPr>
            <xdr:cNvSpPr/>
          </xdr:nvSpPr>
          <xdr:spPr>
            <a:xfrm>
              <a:off x="6430080" y="4012715"/>
              <a:ext cx="671223" cy="681810"/>
            </a:xfrm>
            <a:prstGeom prst="ellipse">
              <a:avLst/>
            </a:prstGeom>
            <a:noFill/>
            <a:ln w="6350">
              <a:solidFill>
                <a:schemeClr val="bg1">
                  <a:alpha val="42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81" name="Oval 80">
              <a:extLst>
                <a:ext uri="{FF2B5EF4-FFF2-40B4-BE49-F238E27FC236}">
                  <a16:creationId xmlns:a16="http://schemas.microsoft.com/office/drawing/2014/main" id="{3ECA24EA-FC91-095C-3A7C-C60EDFDA8B8F}"/>
                </a:ext>
              </a:extLst>
            </xdr:cNvPr>
            <xdr:cNvSpPr/>
          </xdr:nvSpPr>
          <xdr:spPr>
            <a:xfrm>
              <a:off x="6430080" y="6071061"/>
              <a:ext cx="671223" cy="684881"/>
            </a:xfrm>
            <a:prstGeom prst="ellipse">
              <a:avLst/>
            </a:prstGeom>
            <a:noFill/>
            <a:ln w="6350">
              <a:solidFill>
                <a:schemeClr val="bg1">
                  <a:alpha val="42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xnSp macro="">
          <xdr:nvCxnSpPr>
            <xdr:cNvPr id="82" name="Straight Connector 81">
              <a:extLst>
                <a:ext uri="{FF2B5EF4-FFF2-40B4-BE49-F238E27FC236}">
                  <a16:creationId xmlns:a16="http://schemas.microsoft.com/office/drawing/2014/main" id="{546AFC93-B70A-0DCA-0243-28A6EA1F16E7}"/>
                </a:ext>
              </a:extLst>
            </xdr:cNvPr>
            <xdr:cNvCxnSpPr>
              <a:stCxn id="49" idx="7"/>
              <a:endCxn id="80" idx="3"/>
            </xdr:cNvCxnSpPr>
          </xdr:nvCxnSpPr>
          <xdr:spPr>
            <a:xfrm flipV="1">
              <a:off x="5916572" y="4599375"/>
              <a:ext cx="611698" cy="541884"/>
            </a:xfrm>
            <a:prstGeom prst="line">
              <a:avLst/>
            </a:prstGeom>
            <a:ln>
              <a:solidFill>
                <a:schemeClr val="bg1">
                  <a:alpha val="42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83" name="Straight Connector 82">
              <a:extLst>
                <a:ext uri="{FF2B5EF4-FFF2-40B4-BE49-F238E27FC236}">
                  <a16:creationId xmlns:a16="http://schemas.microsoft.com/office/drawing/2014/main" id="{80090B11-D751-B46F-11E8-56589A74FF4B}"/>
                </a:ext>
              </a:extLst>
            </xdr:cNvPr>
            <xdr:cNvCxnSpPr>
              <a:stCxn id="49" idx="5"/>
              <a:endCxn id="81" idx="1"/>
            </xdr:cNvCxnSpPr>
          </xdr:nvCxnSpPr>
          <xdr:spPr>
            <a:xfrm>
              <a:off x="5916572" y="5616685"/>
              <a:ext cx="611698" cy="559104"/>
            </a:xfrm>
            <a:prstGeom prst="line">
              <a:avLst/>
            </a:prstGeom>
            <a:ln>
              <a:solidFill>
                <a:schemeClr val="bg1">
                  <a:alpha val="42000"/>
                </a:schemeClr>
              </a:solidFill>
            </a:ln>
          </xdr:spPr>
          <xdr:style>
            <a:lnRef idx="1">
              <a:schemeClr val="accent1"/>
            </a:lnRef>
            <a:fillRef idx="0">
              <a:schemeClr val="accent1"/>
            </a:fillRef>
            <a:effectRef idx="0">
              <a:schemeClr val="accent1"/>
            </a:effectRef>
            <a:fontRef idx="minor">
              <a:schemeClr val="tx1"/>
            </a:fontRef>
          </xdr:style>
        </xdr:cxnSp>
        <xdr:sp macro="" textlink="">
          <xdr:nvSpPr>
            <xdr:cNvPr id="9" name="TextBox 8">
              <a:extLst>
                <a:ext uri="{FF2B5EF4-FFF2-40B4-BE49-F238E27FC236}">
                  <a16:creationId xmlns:a16="http://schemas.microsoft.com/office/drawing/2014/main" id="{A4D73556-A79B-3DA8-8470-373FADD02B73}"/>
                </a:ext>
              </a:extLst>
            </xdr:cNvPr>
            <xdr:cNvSpPr txBox="1"/>
          </xdr:nvSpPr>
          <xdr:spPr>
            <a:xfrm>
              <a:off x="382308" y="5970839"/>
              <a:ext cx="894389" cy="3048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solidFill>
                    <a:schemeClr val="bg1"/>
                  </a:solidFill>
                  <a:latin typeface="Avenir Book" panose="020B0503020203020204" pitchFamily="34" charset="-78"/>
                  <a:cs typeface="Avenir Book" panose="020B0503020203020204" pitchFamily="34" charset="-78"/>
                </a:rPr>
                <a:t>Customers</a:t>
              </a:r>
            </a:p>
          </xdr:txBody>
        </xdr:sp>
        <xdr:sp macro="" textlink="">
          <xdr:nvSpPr>
            <xdr:cNvPr id="17" name="TextBox 16">
              <a:extLst>
                <a:ext uri="{FF2B5EF4-FFF2-40B4-BE49-F238E27FC236}">
                  <a16:creationId xmlns:a16="http://schemas.microsoft.com/office/drawing/2014/main" id="{4376A0E2-EFAA-C634-66CA-F562D1857427}"/>
                </a:ext>
              </a:extLst>
            </xdr:cNvPr>
            <xdr:cNvSpPr txBox="1"/>
          </xdr:nvSpPr>
          <xdr:spPr>
            <a:xfrm>
              <a:off x="3030877" y="2348297"/>
              <a:ext cx="899822" cy="3128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solidFill>
                    <a:schemeClr val="bg1"/>
                  </a:solidFill>
                  <a:latin typeface="Avenir Book" panose="020B0503020203020204" pitchFamily="34" charset="-78"/>
                  <a:cs typeface="Avenir Book" panose="020B0503020203020204" pitchFamily="34" charset="-78"/>
                </a:rPr>
                <a:t>Branches</a:t>
              </a:r>
            </a:p>
          </xdr:txBody>
        </xdr:sp>
        <xdr:sp macro="" textlink="">
          <xdr:nvSpPr>
            <xdr:cNvPr id="19" name="TextBox 18">
              <a:extLst>
                <a:ext uri="{FF2B5EF4-FFF2-40B4-BE49-F238E27FC236}">
                  <a16:creationId xmlns:a16="http://schemas.microsoft.com/office/drawing/2014/main" id="{45E902F6-43F3-29A6-8A6D-863A72403318}"/>
                </a:ext>
              </a:extLst>
            </xdr:cNvPr>
            <xdr:cNvSpPr txBox="1"/>
          </xdr:nvSpPr>
          <xdr:spPr>
            <a:xfrm>
              <a:off x="4084086" y="3507775"/>
              <a:ext cx="988873" cy="2997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solidFill>
                    <a:schemeClr val="bg1"/>
                  </a:solidFill>
                  <a:latin typeface="Avenir Book" panose="020B0503020203020204" pitchFamily="34" charset="-78"/>
                  <a:cs typeface="Avenir Book" panose="020B0503020203020204" pitchFamily="34" charset="-78"/>
                </a:rPr>
                <a:t>Credit Card</a:t>
              </a:r>
            </a:p>
          </xdr:txBody>
        </xdr:sp>
        <xdr:sp macro="" textlink="">
          <xdr:nvSpPr>
            <xdr:cNvPr id="20" name="TextBox 19">
              <a:extLst>
                <a:ext uri="{FF2B5EF4-FFF2-40B4-BE49-F238E27FC236}">
                  <a16:creationId xmlns:a16="http://schemas.microsoft.com/office/drawing/2014/main" id="{756C7691-2B02-1BEE-001D-8CC7221B45E5}"/>
                </a:ext>
              </a:extLst>
            </xdr:cNvPr>
            <xdr:cNvSpPr txBox="1"/>
          </xdr:nvSpPr>
          <xdr:spPr>
            <a:xfrm>
              <a:off x="4052287" y="7015282"/>
              <a:ext cx="988873" cy="2997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solidFill>
                    <a:schemeClr val="bg1"/>
                  </a:solidFill>
                  <a:latin typeface="Avenir Book" panose="020B0503020203020204" pitchFamily="34" charset="-78"/>
                  <a:cs typeface="Avenir Book" panose="020B0503020203020204" pitchFamily="34" charset="-78"/>
                </a:rPr>
                <a:t>Cash</a:t>
              </a:r>
            </a:p>
          </xdr:txBody>
        </xdr:sp>
        <xdr:sp macro="" textlink="">
          <xdr:nvSpPr>
            <xdr:cNvPr id="21" name="TextBox 20">
              <a:extLst>
                <a:ext uri="{FF2B5EF4-FFF2-40B4-BE49-F238E27FC236}">
                  <a16:creationId xmlns:a16="http://schemas.microsoft.com/office/drawing/2014/main" id="{2FDC5991-53FF-B804-26F7-7DA8E850312C}"/>
                </a:ext>
              </a:extLst>
            </xdr:cNvPr>
            <xdr:cNvSpPr txBox="1"/>
          </xdr:nvSpPr>
          <xdr:spPr>
            <a:xfrm>
              <a:off x="5969669" y="3224943"/>
              <a:ext cx="1627654" cy="5940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solidFill>
                    <a:schemeClr val="bg1"/>
                  </a:solidFill>
                  <a:latin typeface="Avenir Book" panose="020B0503020203020204" pitchFamily="34" charset="-78"/>
                  <a:cs typeface="Avenir Book" panose="020B0503020203020204" pitchFamily="34" charset="-78"/>
                </a:rPr>
                <a:t>Register</a:t>
              </a:r>
              <a:br>
                <a:rPr lang="en-IN" sz="1100">
                  <a:solidFill>
                    <a:schemeClr val="bg1"/>
                  </a:solidFill>
                  <a:latin typeface="Avenir Book" panose="020B0503020203020204" pitchFamily="34" charset="-78"/>
                  <a:cs typeface="Avenir Book" panose="020B0503020203020204" pitchFamily="34" charset="-78"/>
                </a:rPr>
              </a:br>
              <a:r>
                <a:rPr lang="en-IN" sz="1100">
                  <a:solidFill>
                    <a:schemeClr val="bg1"/>
                  </a:solidFill>
                  <a:latin typeface="Avenir Book" panose="020B0503020203020204" pitchFamily="34" charset="-78"/>
                  <a:cs typeface="Avenir Book" panose="020B0503020203020204" pitchFamily="34" charset="-78"/>
                </a:rPr>
                <a:t>Customer</a:t>
              </a:r>
              <a:r>
                <a:rPr lang="en-IN" sz="1100" baseline="0">
                  <a:solidFill>
                    <a:schemeClr val="bg1"/>
                  </a:solidFill>
                  <a:latin typeface="Avenir Book" panose="020B0503020203020204" pitchFamily="34" charset="-78"/>
                  <a:cs typeface="Avenir Book" panose="020B0503020203020204" pitchFamily="34" charset="-78"/>
                </a:rPr>
                <a:t> Info</a:t>
              </a:r>
              <a:endParaRPr lang="en-IN" sz="1100">
                <a:solidFill>
                  <a:schemeClr val="bg1"/>
                </a:solidFill>
                <a:latin typeface="Avenir Book" panose="020B0503020203020204" pitchFamily="34" charset="-78"/>
                <a:cs typeface="Avenir Book" panose="020B0503020203020204" pitchFamily="34" charset="-78"/>
              </a:endParaRPr>
            </a:p>
          </xdr:txBody>
        </xdr:sp>
        <xdr:sp macro="" textlink="">
          <xdr:nvSpPr>
            <xdr:cNvPr id="22" name="TextBox 21">
              <a:extLst>
                <a:ext uri="{FF2B5EF4-FFF2-40B4-BE49-F238E27FC236}">
                  <a16:creationId xmlns:a16="http://schemas.microsoft.com/office/drawing/2014/main" id="{BBFAEB97-0C60-F691-26F7-418445E58B3D}"/>
                </a:ext>
              </a:extLst>
            </xdr:cNvPr>
            <xdr:cNvSpPr txBox="1"/>
          </xdr:nvSpPr>
          <xdr:spPr>
            <a:xfrm>
              <a:off x="5969669" y="7015282"/>
              <a:ext cx="1627654" cy="5940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solidFill>
                    <a:schemeClr val="bg1"/>
                  </a:solidFill>
                  <a:latin typeface="Avenir Book" panose="020B0503020203020204" pitchFamily="34" charset="-78"/>
                  <a:cs typeface="Avenir Book" panose="020B0503020203020204" pitchFamily="34" charset="-78"/>
                </a:rPr>
                <a:t>Non-Registered</a:t>
              </a:r>
              <a:br>
                <a:rPr lang="en-IN" sz="1100">
                  <a:solidFill>
                    <a:schemeClr val="bg1"/>
                  </a:solidFill>
                  <a:latin typeface="Avenir Book" panose="020B0503020203020204" pitchFamily="34" charset="-78"/>
                  <a:cs typeface="Avenir Book" panose="020B0503020203020204" pitchFamily="34" charset="-78"/>
                </a:rPr>
              </a:br>
              <a:r>
                <a:rPr lang="en-IN" sz="1100">
                  <a:solidFill>
                    <a:schemeClr val="bg1"/>
                  </a:solidFill>
                  <a:latin typeface="Avenir Book" panose="020B0503020203020204" pitchFamily="34" charset="-78"/>
                  <a:cs typeface="Avenir Book" panose="020B0503020203020204" pitchFamily="34" charset="-78"/>
                </a:rPr>
                <a:t>Customer</a:t>
              </a:r>
              <a:r>
                <a:rPr lang="en-IN" sz="1100" baseline="0">
                  <a:solidFill>
                    <a:schemeClr val="bg1"/>
                  </a:solidFill>
                  <a:latin typeface="Avenir Book" panose="020B0503020203020204" pitchFamily="34" charset="-78"/>
                  <a:cs typeface="Avenir Book" panose="020B0503020203020204" pitchFamily="34" charset="-78"/>
                </a:rPr>
                <a:t> Info</a:t>
              </a:r>
              <a:endParaRPr lang="en-IN" sz="1100">
                <a:solidFill>
                  <a:schemeClr val="bg1"/>
                </a:solidFill>
                <a:latin typeface="Avenir Book" panose="020B0503020203020204" pitchFamily="34" charset="-78"/>
                <a:cs typeface="Avenir Book" panose="020B0503020203020204" pitchFamily="34" charset="-78"/>
              </a:endParaRPr>
            </a:p>
          </xdr:txBody>
        </xdr:sp>
        <xdr:sp macro="" textlink="">
          <xdr:nvSpPr>
            <xdr:cNvPr id="23" name="TextBox 22">
              <a:extLst>
                <a:ext uri="{FF2B5EF4-FFF2-40B4-BE49-F238E27FC236}">
                  <a16:creationId xmlns:a16="http://schemas.microsoft.com/office/drawing/2014/main" id="{EDFF9A90-6D19-B2A4-16C1-96D6A9AD944E}"/>
                </a:ext>
              </a:extLst>
            </xdr:cNvPr>
            <xdr:cNvSpPr txBox="1"/>
          </xdr:nvSpPr>
          <xdr:spPr>
            <a:xfrm>
              <a:off x="3026941" y="8108811"/>
              <a:ext cx="894556" cy="3089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solidFill>
                    <a:schemeClr val="bg1"/>
                  </a:solidFill>
                  <a:latin typeface="Avenir Book" panose="020B0503020203020204" pitchFamily="34" charset="-78"/>
                  <a:cs typeface="Avenir Book" panose="020B0503020203020204" pitchFamily="34" charset="-78"/>
                </a:rPr>
                <a:t>Website</a:t>
              </a:r>
            </a:p>
          </xdr:txBody>
        </xdr:sp>
        <xdr:pic>
          <xdr:nvPicPr>
            <xdr:cNvPr id="37" name="Graphic 36" descr="Target Audience">
              <a:extLst>
                <a:ext uri="{FF2B5EF4-FFF2-40B4-BE49-F238E27FC236}">
                  <a16:creationId xmlns:a16="http://schemas.microsoft.com/office/drawing/2014/main" id="{C4FD43A2-7834-F7CB-70AA-AA0BAA729F47}"/>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687321" y="5188158"/>
              <a:ext cx="365969" cy="381627"/>
            </a:xfrm>
            <a:prstGeom prst="rect">
              <a:avLst/>
            </a:prstGeom>
          </xdr:spPr>
        </xdr:pic>
        <xdr:pic>
          <xdr:nvPicPr>
            <xdr:cNvPr id="39" name="Graphic 38" descr="Store">
              <a:extLst>
                <a:ext uri="{FF2B5EF4-FFF2-40B4-BE49-F238E27FC236}">
                  <a16:creationId xmlns:a16="http://schemas.microsoft.com/office/drawing/2014/main" id="{20AE64C5-48E0-8C6B-CF24-00156766F48B}"/>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3278559" y="3018694"/>
              <a:ext cx="361251" cy="381628"/>
            </a:xfrm>
            <a:prstGeom prst="rect">
              <a:avLst/>
            </a:prstGeom>
          </xdr:spPr>
        </xdr:pic>
        <xdr:pic>
          <xdr:nvPicPr>
            <xdr:cNvPr id="42" name="Graphic 41" descr="Credit card">
              <a:extLst>
                <a:ext uri="{FF2B5EF4-FFF2-40B4-BE49-F238E27FC236}">
                  <a16:creationId xmlns:a16="http://schemas.microsoft.com/office/drawing/2014/main" id="{C3D59277-358B-FDB2-79B9-DB01BFC19F89}"/>
                </a:ext>
              </a:extLst>
            </xdr:cNvPr>
            <xdr:cNvPicPr>
              <a:picLocks noChangeAspect="1"/>
            </xdr:cNvPicPr>
          </xdr:nvPicPr>
          <xdr:blipFill>
            <a:blip xmlns:r="http://schemas.openxmlformats.org/officeDocument/2006/relationships" r:embed="rId19">
              <a:extLst>
                <a:ext uri="{96DAC541-7B7A-43D3-8B79-37D633B846F1}">
                  <asvg:svgBlip xmlns:asvg="http://schemas.microsoft.com/office/drawing/2016/SVG/main" r:embed="rId20"/>
                </a:ext>
              </a:extLst>
            </a:blip>
            <a:stretch>
              <a:fillRect/>
            </a:stretch>
          </xdr:blipFill>
          <xdr:spPr>
            <a:xfrm>
              <a:off x="4384288" y="4166773"/>
              <a:ext cx="365760" cy="381627"/>
            </a:xfrm>
            <a:prstGeom prst="rect">
              <a:avLst/>
            </a:prstGeom>
          </xdr:spPr>
        </xdr:pic>
        <xdr:pic>
          <xdr:nvPicPr>
            <xdr:cNvPr id="44" name="Graphic 43" descr="Internet">
              <a:extLst>
                <a:ext uri="{FF2B5EF4-FFF2-40B4-BE49-F238E27FC236}">
                  <a16:creationId xmlns:a16="http://schemas.microsoft.com/office/drawing/2014/main" id="{35D7B81A-A63A-6921-5455-62D15BCB5EBC}"/>
                </a:ext>
              </a:extLst>
            </xdr:cNvPr>
            <xdr:cNvPicPr>
              <a:picLocks noChangeAspect="1"/>
            </xdr:cNvPicPr>
          </xdr:nvPicPr>
          <xdr:blipFill>
            <a:blip xmlns:r="http://schemas.openxmlformats.org/officeDocument/2006/relationships" r:embed="rId21">
              <a:extLst>
                <a:ext uri="{96DAC541-7B7A-43D3-8B79-37D633B846F1}">
                  <asvg:svgBlip xmlns:asvg="http://schemas.microsoft.com/office/drawing/2016/SVG/main" r:embed="rId22"/>
                </a:ext>
              </a:extLst>
            </a:blip>
            <a:stretch>
              <a:fillRect/>
            </a:stretch>
          </xdr:blipFill>
          <xdr:spPr>
            <a:xfrm>
              <a:off x="3280421" y="7357620"/>
              <a:ext cx="357526" cy="381627"/>
            </a:xfrm>
            <a:prstGeom prst="rect">
              <a:avLst/>
            </a:prstGeom>
          </xdr:spPr>
        </xdr:pic>
        <xdr:pic>
          <xdr:nvPicPr>
            <xdr:cNvPr id="48" name="Graphic 47" descr="Barn">
              <a:extLst>
                <a:ext uri="{FF2B5EF4-FFF2-40B4-BE49-F238E27FC236}">
                  <a16:creationId xmlns:a16="http://schemas.microsoft.com/office/drawing/2014/main" id="{280596D3-AC42-956C-BB9D-2B777AFE5A2E}"/>
                </a:ext>
              </a:extLst>
            </xdr:cNvPr>
            <xdr:cNvPicPr>
              <a:picLocks noChangeAspect="1"/>
            </xdr:cNvPicPr>
          </xdr:nvPicPr>
          <xdr:blipFill>
            <a:blip xmlns:r="http://schemas.openxmlformats.org/officeDocument/2006/relationships" r:embed="rId23">
              <a:extLst>
                <a:ext uri="{96DAC541-7B7A-43D3-8B79-37D633B846F1}">
                  <asvg:svgBlip xmlns:asvg="http://schemas.microsoft.com/office/drawing/2016/SVG/main" r:embed="rId24"/>
                </a:ext>
              </a:extLst>
            </a:blip>
            <a:stretch>
              <a:fillRect/>
            </a:stretch>
          </xdr:blipFill>
          <xdr:spPr>
            <a:xfrm>
              <a:off x="3280421" y="5188159"/>
              <a:ext cx="357526" cy="381627"/>
            </a:xfrm>
            <a:prstGeom prst="rect">
              <a:avLst/>
            </a:prstGeom>
          </xdr:spPr>
        </xdr:pic>
        <xdr:pic>
          <xdr:nvPicPr>
            <xdr:cNvPr id="54" name="Graphic 53" descr="Money">
              <a:extLst>
                <a:ext uri="{FF2B5EF4-FFF2-40B4-BE49-F238E27FC236}">
                  <a16:creationId xmlns:a16="http://schemas.microsoft.com/office/drawing/2014/main" id="{B7E74AA2-27A6-7FFF-F929-D904AF65D140}"/>
                </a:ext>
              </a:extLst>
            </xdr:cNvPr>
            <xdr:cNvPicPr>
              <a:picLocks noChangeAspect="1"/>
            </xdr:cNvPicPr>
          </xdr:nvPicPr>
          <xdr:blipFill>
            <a:blip xmlns:r="http://schemas.openxmlformats.org/officeDocument/2006/relationships" r:embed="rId25">
              <a:extLst>
                <a:ext uri="{96DAC541-7B7A-43D3-8B79-37D633B846F1}">
                  <asvg:svgBlip xmlns:asvg="http://schemas.microsoft.com/office/drawing/2016/SVG/main" r:embed="rId26"/>
                </a:ext>
              </a:extLst>
            </a:blip>
            <a:stretch>
              <a:fillRect/>
            </a:stretch>
          </xdr:blipFill>
          <xdr:spPr>
            <a:xfrm>
              <a:off x="4384288" y="6222687"/>
              <a:ext cx="365760" cy="381628"/>
            </a:xfrm>
            <a:prstGeom prst="rect">
              <a:avLst/>
            </a:prstGeom>
          </xdr:spPr>
        </xdr:pic>
        <xdr:pic>
          <xdr:nvPicPr>
            <xdr:cNvPr id="57" name="Graphic 56" descr="Box trolley">
              <a:extLst>
                <a:ext uri="{FF2B5EF4-FFF2-40B4-BE49-F238E27FC236}">
                  <a16:creationId xmlns:a16="http://schemas.microsoft.com/office/drawing/2014/main" id="{54C06405-0CD9-26A9-4B61-A012DF4E7045}"/>
                </a:ext>
              </a:extLst>
            </xdr:cNvPr>
            <xdr:cNvPicPr>
              <a:picLocks noChangeAspect="1"/>
            </xdr:cNvPicPr>
          </xdr:nvPicPr>
          <xdr:blipFill>
            <a:blip xmlns:r="http://schemas.openxmlformats.org/officeDocument/2006/relationships" r:embed="rId27">
              <a:extLst>
                <a:ext uri="{96DAC541-7B7A-43D3-8B79-37D633B846F1}">
                  <asvg:svgBlip xmlns:asvg="http://schemas.microsoft.com/office/drawing/2016/SVG/main" r:embed="rId28"/>
                </a:ext>
              </a:extLst>
            </a:blip>
            <a:stretch>
              <a:fillRect/>
            </a:stretch>
          </xdr:blipFill>
          <xdr:spPr>
            <a:xfrm>
              <a:off x="5488312" y="5188159"/>
              <a:ext cx="365760" cy="381627"/>
            </a:xfrm>
            <a:prstGeom prst="rect">
              <a:avLst/>
            </a:prstGeom>
          </xdr:spPr>
        </xdr:pic>
        <xdr:pic>
          <xdr:nvPicPr>
            <xdr:cNvPr id="67" name="Graphic 66" descr="Employee badge">
              <a:extLst>
                <a:ext uri="{FF2B5EF4-FFF2-40B4-BE49-F238E27FC236}">
                  <a16:creationId xmlns:a16="http://schemas.microsoft.com/office/drawing/2014/main" id="{B78000F5-8EED-9947-DAD9-277F8F7A2E72}"/>
                </a:ext>
              </a:extLst>
            </xdr:cNvPr>
            <xdr:cNvPicPr>
              <a:picLocks noChangeAspect="1"/>
            </xdr:cNvPicPr>
          </xdr:nvPicPr>
          <xdr:blipFill>
            <a:blip xmlns:r="http://schemas.openxmlformats.org/officeDocument/2006/relationships" r:embed="rId29">
              <a:extLst>
                <a:ext uri="{96DAC541-7B7A-43D3-8B79-37D633B846F1}">
                  <asvg:svgBlip xmlns:asvg="http://schemas.microsoft.com/office/drawing/2016/SVG/main" r:embed="rId30"/>
                </a:ext>
              </a:extLst>
            </a:blip>
            <a:stretch>
              <a:fillRect/>
            </a:stretch>
          </xdr:blipFill>
          <xdr:spPr>
            <a:xfrm>
              <a:off x="6586928" y="4166773"/>
              <a:ext cx="357526" cy="381627"/>
            </a:xfrm>
            <a:prstGeom prst="rect">
              <a:avLst/>
            </a:prstGeom>
          </xdr:spPr>
        </xdr:pic>
        <xdr:pic>
          <xdr:nvPicPr>
            <xdr:cNvPr id="73" name="Graphic 72" descr="Employee badge">
              <a:extLst>
                <a:ext uri="{FF2B5EF4-FFF2-40B4-BE49-F238E27FC236}">
                  <a16:creationId xmlns:a16="http://schemas.microsoft.com/office/drawing/2014/main" id="{21FB1925-68CC-0531-F600-0EC45A20A04F}"/>
                </a:ext>
              </a:extLst>
            </xdr:cNvPr>
            <xdr:cNvPicPr>
              <a:picLocks noChangeAspect="1"/>
            </xdr:cNvPicPr>
          </xdr:nvPicPr>
          <xdr:blipFill>
            <a:blip xmlns:r="http://schemas.openxmlformats.org/officeDocument/2006/relationships" r:embed="rId29">
              <a:extLst>
                <a:ext uri="{96DAC541-7B7A-43D3-8B79-37D633B846F1}">
                  <asvg:svgBlip xmlns:asvg="http://schemas.microsoft.com/office/drawing/2016/SVG/main" r:embed="rId30"/>
                </a:ext>
              </a:extLst>
            </a:blip>
            <a:stretch>
              <a:fillRect/>
            </a:stretch>
          </xdr:blipFill>
          <xdr:spPr>
            <a:xfrm>
              <a:off x="6586928" y="6222687"/>
              <a:ext cx="357526" cy="381628"/>
            </a:xfrm>
            <a:prstGeom prst="rect">
              <a:avLst/>
            </a:prstGeom>
          </xdr:spPr>
        </xdr:pic>
        <xdr:pic>
          <xdr:nvPicPr>
            <xdr:cNvPr id="75" name="Graphic 74" descr="Close">
              <a:extLst>
                <a:ext uri="{FF2B5EF4-FFF2-40B4-BE49-F238E27FC236}">
                  <a16:creationId xmlns:a16="http://schemas.microsoft.com/office/drawing/2014/main" id="{5CFE8CE5-1DFF-3991-6855-0554F30936AC}"/>
                </a:ext>
              </a:extLst>
            </xdr:cNvPr>
            <xdr:cNvPicPr>
              <a:picLocks noChangeAspect="1"/>
            </xdr:cNvPicPr>
          </xdr:nvPicPr>
          <xdr:blipFill>
            <a:blip xmlns:r="http://schemas.openxmlformats.org/officeDocument/2006/relationships" r:embed="rId31">
              <a:extLst>
                <a:ext uri="{96DAC541-7B7A-43D3-8B79-37D633B846F1}">
                  <asvg:svgBlip xmlns:asvg="http://schemas.microsoft.com/office/drawing/2016/SVG/main" r:embed="rId32"/>
                </a:ext>
              </a:extLst>
            </a:blip>
            <a:stretch>
              <a:fillRect/>
            </a:stretch>
          </xdr:blipFill>
          <xdr:spPr>
            <a:xfrm>
              <a:off x="6615064" y="6360457"/>
              <a:ext cx="179663" cy="190278"/>
            </a:xfrm>
            <a:prstGeom prst="rect">
              <a:avLst/>
            </a:prstGeom>
          </xdr:spPr>
        </xdr:pic>
        <xdr:sp macro="" textlink="">
          <xdr:nvSpPr>
            <xdr:cNvPr id="86" name="TextBox 85">
              <a:extLst>
                <a:ext uri="{FF2B5EF4-FFF2-40B4-BE49-F238E27FC236}">
                  <a16:creationId xmlns:a16="http://schemas.microsoft.com/office/drawing/2014/main" id="{C258EB76-6890-9E6E-78F5-21F39C6CDEFD}"/>
                </a:ext>
              </a:extLst>
            </xdr:cNvPr>
            <xdr:cNvSpPr txBox="1"/>
          </xdr:nvSpPr>
          <xdr:spPr>
            <a:xfrm>
              <a:off x="8081092" y="4256206"/>
              <a:ext cx="1604785" cy="19912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3800">
                  <a:solidFill>
                    <a:schemeClr val="bg1"/>
                  </a:solidFill>
                  <a:effectLst>
                    <a:glow rad="63500">
                      <a:srgbClr val="194AFE">
                        <a:alpha val="40000"/>
                      </a:srgbClr>
                    </a:glow>
                    <a:outerShdw blurRad="177800" sx="114000" sy="114000" algn="ctr" rotWithShape="0">
                      <a:srgbClr val="194AFE"/>
                    </a:outerShdw>
                  </a:effectLst>
                  <a:latin typeface="+mj-lt"/>
                </a:rPr>
                <a:t>○</a:t>
              </a:r>
            </a:p>
          </xdr:txBody>
        </xdr:sp>
        <xdr:pic>
          <xdr:nvPicPr>
            <xdr:cNvPr id="77" name="Graphic 76" descr="Register">
              <a:extLst>
                <a:ext uri="{FF2B5EF4-FFF2-40B4-BE49-F238E27FC236}">
                  <a16:creationId xmlns:a16="http://schemas.microsoft.com/office/drawing/2014/main" id="{7DE6266B-24AF-FCA0-62C4-6B724DC0D1C4}"/>
                </a:ext>
              </a:extLst>
            </xdr:cNvPr>
            <xdr:cNvPicPr>
              <a:picLocks noChangeAspect="1"/>
            </xdr:cNvPicPr>
          </xdr:nvPicPr>
          <xdr:blipFill>
            <a:blip xmlns:r="http://schemas.openxmlformats.org/officeDocument/2006/relationships" r:embed="rId33">
              <a:extLst>
                <a:ext uri="{96DAC541-7B7A-43D3-8B79-37D633B846F1}">
                  <asvg:svgBlip xmlns:asvg="http://schemas.microsoft.com/office/drawing/2016/SVG/main" r:embed="rId34"/>
                </a:ext>
              </a:extLst>
            </a:blip>
            <a:stretch>
              <a:fillRect/>
            </a:stretch>
          </xdr:blipFill>
          <xdr:spPr>
            <a:xfrm>
              <a:off x="8703622" y="5176856"/>
              <a:ext cx="365760" cy="387148"/>
            </a:xfrm>
            <a:prstGeom prst="rect">
              <a:avLst/>
            </a:prstGeom>
          </xdr:spPr>
        </xdr:pic>
        <xdr:sp macro="" textlink="">
          <xdr:nvSpPr>
            <xdr:cNvPr id="78" name="TextBox 77">
              <a:extLst>
                <a:ext uri="{FF2B5EF4-FFF2-40B4-BE49-F238E27FC236}">
                  <a16:creationId xmlns:a16="http://schemas.microsoft.com/office/drawing/2014/main" id="{04D482B9-A277-85E5-3648-800EEB886DBB}"/>
                </a:ext>
              </a:extLst>
            </xdr:cNvPr>
            <xdr:cNvSpPr txBox="1"/>
          </xdr:nvSpPr>
          <xdr:spPr>
            <a:xfrm>
              <a:off x="8390377" y="4617109"/>
              <a:ext cx="988873" cy="2997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solidFill>
                    <a:schemeClr val="bg1"/>
                  </a:solidFill>
                  <a:latin typeface="Avenir Book" panose="020B0503020203020204" pitchFamily="34" charset="-78"/>
                  <a:cs typeface="Avenir Book" panose="020B0503020203020204" pitchFamily="34" charset="-78"/>
                </a:rPr>
                <a:t>Paid Orders</a:t>
              </a:r>
            </a:p>
          </xdr:txBody>
        </xdr:sp>
        <xdr:sp macro="" textlink="">
          <xdr:nvSpPr>
            <xdr:cNvPr id="92" name="TextBox 91">
              <a:extLst>
                <a:ext uri="{FF2B5EF4-FFF2-40B4-BE49-F238E27FC236}">
                  <a16:creationId xmlns:a16="http://schemas.microsoft.com/office/drawing/2014/main" id="{CCEBC13F-8313-2863-F002-A869FEDFE291}"/>
                </a:ext>
              </a:extLst>
            </xdr:cNvPr>
            <xdr:cNvSpPr txBox="1"/>
          </xdr:nvSpPr>
          <xdr:spPr>
            <a:xfrm>
              <a:off x="4870261" y="4217592"/>
              <a:ext cx="1612344" cy="20719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3800">
                  <a:solidFill>
                    <a:schemeClr val="bg1"/>
                  </a:solidFill>
                  <a:effectLst>
                    <a:glow rad="63500">
                      <a:srgbClr val="194AFE">
                        <a:alpha val="40000"/>
                      </a:srgbClr>
                    </a:glow>
                    <a:outerShdw blurRad="177800" sx="114000" sy="114000" algn="ctr" rotWithShape="0">
                      <a:srgbClr val="194AFE"/>
                    </a:outerShdw>
                  </a:effectLst>
                  <a:latin typeface="+mj-lt"/>
                </a:rPr>
                <a:t>○</a:t>
              </a:r>
            </a:p>
          </xdr:txBody>
        </xdr:sp>
        <xdr:sp macro="" textlink="'Pivot Tables'!EJ5">
          <xdr:nvSpPr>
            <xdr:cNvPr id="104" name="TextBox 103">
              <a:extLst>
                <a:ext uri="{FF2B5EF4-FFF2-40B4-BE49-F238E27FC236}">
                  <a16:creationId xmlns:a16="http://schemas.microsoft.com/office/drawing/2014/main" id="{9941BDB7-FDA9-C7D7-C085-B84EFCB364A7}"/>
                </a:ext>
              </a:extLst>
            </xdr:cNvPr>
            <xdr:cNvSpPr txBox="1"/>
          </xdr:nvSpPr>
          <xdr:spPr>
            <a:xfrm>
              <a:off x="2974457" y="7061840"/>
              <a:ext cx="988871" cy="827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1793CC2-EC3C-447C-A1F6-4C593ADF6223}" type="TxLink">
                <a:rPr lang="en-US" sz="9600" b="0" i="0" u="none" strike="noStrike">
                  <a:solidFill>
                    <a:schemeClr val="tx1">
                      <a:alpha val="66000"/>
                    </a:schemeClr>
                  </a:solidFill>
                  <a:latin typeface="+mn-lt"/>
                  <a:ea typeface="Calibri Light"/>
                  <a:cs typeface="Calibri Light"/>
                </a:rPr>
                <a:pPr algn="ctr"/>
                <a:t>●</a:t>
              </a:fld>
              <a:endParaRPr lang="en-IN" sz="9600">
                <a:solidFill>
                  <a:schemeClr val="tx1">
                    <a:alpha val="66000"/>
                  </a:schemeClr>
                </a:solidFill>
                <a:latin typeface="+mn-lt"/>
                <a:cs typeface="Avenir Book" panose="020B0503020203020204" pitchFamily="34" charset="-78"/>
              </a:endParaRPr>
            </a:p>
          </xdr:txBody>
        </xdr:sp>
        <xdr:sp macro="" textlink="'Pivot Tables'!EJ4">
          <xdr:nvSpPr>
            <xdr:cNvPr id="105" name="TextBox 104">
              <a:extLst>
                <a:ext uri="{FF2B5EF4-FFF2-40B4-BE49-F238E27FC236}">
                  <a16:creationId xmlns:a16="http://schemas.microsoft.com/office/drawing/2014/main" id="{E52070C0-63FD-8B03-1A42-933B8684EC05}"/>
                </a:ext>
              </a:extLst>
            </xdr:cNvPr>
            <xdr:cNvSpPr txBox="1"/>
          </xdr:nvSpPr>
          <xdr:spPr>
            <a:xfrm>
              <a:off x="2965448" y="2718360"/>
              <a:ext cx="988871" cy="8338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9E6F5B25-8444-4E89-8B0D-A99E4D67FF15}" type="TxLink">
                <a:rPr lang="en-US" sz="9600" b="0" i="0" u="none" strike="noStrike">
                  <a:solidFill>
                    <a:schemeClr val="tx1">
                      <a:alpha val="66000"/>
                    </a:schemeClr>
                  </a:solidFill>
                  <a:latin typeface="+mn-lt"/>
                  <a:ea typeface="Calibri Light"/>
                  <a:cs typeface="Calibri Light"/>
                </a:rPr>
                <a:pPr marL="0" indent="0" algn="ctr"/>
                <a:t> </a:t>
              </a:fld>
              <a:endParaRPr lang="en-IN" sz="9600" b="0" i="0" u="none" strike="noStrike">
                <a:solidFill>
                  <a:schemeClr val="tx1">
                    <a:alpha val="66000"/>
                  </a:schemeClr>
                </a:solidFill>
                <a:latin typeface="+mn-lt"/>
                <a:ea typeface="Calibri Light"/>
                <a:cs typeface="Calibri Light"/>
              </a:endParaRPr>
            </a:p>
          </xdr:txBody>
        </xdr:sp>
        <xdr:sp macro="" textlink="'Pivot Tables'!EK4">
          <xdr:nvSpPr>
            <xdr:cNvPr id="12" name="TextBox 11">
              <a:extLst>
                <a:ext uri="{FF2B5EF4-FFF2-40B4-BE49-F238E27FC236}">
                  <a16:creationId xmlns:a16="http://schemas.microsoft.com/office/drawing/2014/main" id="{987666B4-1751-1987-4902-EA85DEF49353}"/>
                </a:ext>
              </a:extLst>
            </xdr:cNvPr>
            <xdr:cNvSpPr txBox="1"/>
          </xdr:nvSpPr>
          <xdr:spPr>
            <a:xfrm>
              <a:off x="2991042" y="2131265"/>
              <a:ext cx="984758" cy="3098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2B1D7FF-BFBD-45DF-A183-EF7C4A512197}" type="TxLink">
                <a:rPr lang="en-US" sz="1600" b="0" i="0" u="none" strike="noStrike">
                  <a:solidFill>
                    <a:schemeClr val="bg1"/>
                  </a:solidFill>
                  <a:latin typeface="Avenir Book" panose="020B0503020203020204" pitchFamily="34" charset="-78"/>
                  <a:ea typeface="Calibri Light"/>
                  <a:cs typeface="Avenir Book" panose="020B0503020203020204" pitchFamily="34" charset="-78"/>
                </a:rPr>
                <a:pPr algn="ctr"/>
                <a:t>256</a:t>
              </a:fld>
              <a:endParaRPr lang="en-IN" sz="1600">
                <a:solidFill>
                  <a:schemeClr val="bg1"/>
                </a:solidFill>
                <a:latin typeface="Avenir Book" panose="020B0503020203020204" pitchFamily="34" charset="-78"/>
                <a:cs typeface="Avenir Book" panose="020B0503020203020204" pitchFamily="34" charset="-78"/>
              </a:endParaRPr>
            </a:p>
          </xdr:txBody>
        </xdr:sp>
        <xdr:sp macro="" textlink="">
          <xdr:nvSpPr>
            <xdr:cNvPr id="84" name="TextBox 83">
              <a:extLst>
                <a:ext uri="{FF2B5EF4-FFF2-40B4-BE49-F238E27FC236}">
                  <a16:creationId xmlns:a16="http://schemas.microsoft.com/office/drawing/2014/main" id="{816BE668-ADE1-D712-7DE2-EAB1E8BC57CA}"/>
                </a:ext>
              </a:extLst>
            </xdr:cNvPr>
            <xdr:cNvSpPr txBox="1"/>
          </xdr:nvSpPr>
          <xdr:spPr>
            <a:xfrm>
              <a:off x="2669974" y="4360302"/>
              <a:ext cx="1585800" cy="17745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3800">
                  <a:solidFill>
                    <a:schemeClr val="bg1"/>
                  </a:solidFill>
                  <a:effectLst>
                    <a:glow rad="63500">
                      <a:srgbClr val="194AFE">
                        <a:alpha val="40000"/>
                      </a:srgbClr>
                    </a:glow>
                    <a:outerShdw blurRad="177800" sx="114000" sy="114000" algn="ctr" rotWithShape="0">
                      <a:srgbClr val="194AFE"/>
                    </a:outerShdw>
                  </a:effectLst>
                  <a:latin typeface="+mj-lt"/>
                </a:rPr>
                <a:t>○</a:t>
              </a:r>
            </a:p>
          </xdr:txBody>
        </xdr:sp>
        <xdr:sp macro="" textlink="">
          <xdr:nvSpPr>
            <xdr:cNvPr id="79" name="TextBox 78">
              <a:extLst>
                <a:ext uri="{FF2B5EF4-FFF2-40B4-BE49-F238E27FC236}">
                  <a16:creationId xmlns:a16="http://schemas.microsoft.com/office/drawing/2014/main" id="{359D2FAC-773E-55F2-D29D-5D51282E980F}"/>
                </a:ext>
              </a:extLst>
            </xdr:cNvPr>
            <xdr:cNvSpPr txBox="1"/>
          </xdr:nvSpPr>
          <xdr:spPr>
            <a:xfrm>
              <a:off x="76000" y="4415968"/>
              <a:ext cx="1591866" cy="1658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3800">
                  <a:solidFill>
                    <a:schemeClr val="bg1"/>
                  </a:solidFill>
                  <a:effectLst>
                    <a:glow rad="63500">
                      <a:srgbClr val="194AFE">
                        <a:alpha val="40000"/>
                      </a:srgbClr>
                    </a:glow>
                    <a:outerShdw blurRad="177800" sx="114000" sy="114000" algn="ctr" rotWithShape="0">
                      <a:srgbClr val="194AFE"/>
                    </a:outerShdw>
                  </a:effectLst>
                  <a:latin typeface="+mj-lt"/>
                </a:rPr>
                <a:t>○</a:t>
              </a:r>
            </a:p>
          </xdr:txBody>
        </xdr:sp>
        <xdr:sp macro="" textlink="'Pivot Tables'!EI5">
          <xdr:nvSpPr>
            <xdr:cNvPr id="97" name="TextBox 96">
              <a:extLst>
                <a:ext uri="{FF2B5EF4-FFF2-40B4-BE49-F238E27FC236}">
                  <a16:creationId xmlns:a16="http://schemas.microsoft.com/office/drawing/2014/main" id="{34F7ADA0-8229-0DC3-B0FA-C4ACC9166437}"/>
                </a:ext>
              </a:extLst>
            </xdr:cNvPr>
            <xdr:cNvSpPr txBox="1"/>
          </xdr:nvSpPr>
          <xdr:spPr>
            <a:xfrm>
              <a:off x="2695177" y="6551708"/>
              <a:ext cx="1542707" cy="17474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0A54F3C0-123C-43E2-8B50-6FF8BC903941}" type="TxLink">
                <a:rPr lang="en-US" sz="13800">
                  <a:solidFill>
                    <a:schemeClr val="bg1"/>
                  </a:solidFill>
                  <a:effectLst>
                    <a:glow rad="63500">
                      <a:srgbClr val="194AFE">
                        <a:alpha val="40000"/>
                      </a:srgbClr>
                    </a:glow>
                    <a:outerShdw blurRad="177800" sx="114000" sy="114000" algn="ctr" rotWithShape="0">
                      <a:srgbClr val="194AFE"/>
                    </a:outerShdw>
                  </a:effectLst>
                  <a:latin typeface="+mj-lt"/>
                  <a:ea typeface="+mn-ea"/>
                  <a:cs typeface="+mn-cs"/>
                </a:rPr>
                <a:pPr marL="0" indent="0" algn="ctr"/>
                <a:t> </a:t>
              </a:fld>
              <a:endParaRPr lang="en-IN" sz="13800">
                <a:solidFill>
                  <a:schemeClr val="bg1"/>
                </a:solidFill>
                <a:effectLst>
                  <a:glow rad="63500">
                    <a:srgbClr val="194AFE">
                      <a:alpha val="40000"/>
                    </a:srgbClr>
                  </a:glow>
                  <a:outerShdw blurRad="177800" sx="114000" sy="114000" algn="ctr" rotWithShape="0">
                    <a:srgbClr val="194AFE"/>
                  </a:outerShdw>
                </a:effectLst>
                <a:latin typeface="+mj-lt"/>
                <a:ea typeface="+mn-ea"/>
                <a:cs typeface="+mn-cs"/>
              </a:endParaRPr>
            </a:p>
          </xdr:txBody>
        </xdr:sp>
        <xdr:sp macro="" textlink="'Pivot Tables'!EH5">
          <xdr:nvSpPr>
            <xdr:cNvPr id="35" name="TextBox 34">
              <a:extLst>
                <a:ext uri="{FF2B5EF4-FFF2-40B4-BE49-F238E27FC236}">
                  <a16:creationId xmlns:a16="http://schemas.microsoft.com/office/drawing/2014/main" id="{2B1EA7C7-0DA3-483A-BD1B-87B0064BFD01}"/>
                </a:ext>
              </a:extLst>
            </xdr:cNvPr>
            <xdr:cNvSpPr txBox="1"/>
          </xdr:nvSpPr>
          <xdr:spPr>
            <a:xfrm>
              <a:off x="3464001" y="5775248"/>
              <a:ext cx="18288" cy="14308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468EC11-76B9-4DB7-8FAB-49BBB6548893}" type="TxLink">
                <a:rPr lang="en-US" sz="16600" b="0" i="0" u="none" strike="noStrike">
                  <a:solidFill>
                    <a:schemeClr val="bg1"/>
                  </a:solidFill>
                  <a:latin typeface="Arial"/>
                  <a:cs typeface="Arial"/>
                </a:rPr>
                <a:pPr algn="ctr"/>
                <a:t> </a:t>
              </a:fld>
              <a:endParaRPr lang="en-IN" sz="16600">
                <a:solidFill>
                  <a:schemeClr val="bg1"/>
                </a:solidFill>
                <a:latin typeface="Arial" panose="020B0604020202020204" pitchFamily="34" charset="0"/>
                <a:cs typeface="Arial" panose="020B0604020202020204" pitchFamily="34" charset="0"/>
              </a:endParaRPr>
            </a:p>
          </xdr:txBody>
        </xdr:sp>
        <xdr:sp macro="" textlink="'Pivot Tables'!EH11">
          <xdr:nvSpPr>
            <xdr:cNvPr id="43" name="TextBox 42">
              <a:extLst>
                <a:ext uri="{FF2B5EF4-FFF2-40B4-BE49-F238E27FC236}">
                  <a16:creationId xmlns:a16="http://schemas.microsoft.com/office/drawing/2014/main" id="{28109BAE-DF2E-43D4-93AE-AF23AC4343EC}"/>
                </a:ext>
              </a:extLst>
            </xdr:cNvPr>
            <xdr:cNvSpPr txBox="1"/>
          </xdr:nvSpPr>
          <xdr:spPr>
            <a:xfrm rot="3012938" flipH="1">
              <a:off x="4030430" y="4479727"/>
              <a:ext cx="45719" cy="7651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91303EE-93F0-4D8D-9F1D-D5C6C3F7FACD}" type="TxLink">
                <a:rPr lang="en-US" sz="16600" b="0" i="0" u="none" strike="noStrike">
                  <a:solidFill>
                    <a:schemeClr val="bg1"/>
                  </a:solidFill>
                  <a:latin typeface="Arial"/>
                  <a:cs typeface="Arial"/>
                </a:rPr>
                <a:pPr algn="ctr"/>
                <a:t> </a:t>
              </a:fld>
              <a:endParaRPr lang="en-IN" sz="16600">
                <a:solidFill>
                  <a:schemeClr val="bg1"/>
                </a:solidFill>
                <a:latin typeface="Arial" panose="020B0604020202020204" pitchFamily="34" charset="0"/>
                <a:cs typeface="Arial" panose="020B0604020202020204" pitchFamily="34" charset="0"/>
              </a:endParaRPr>
            </a:p>
          </xdr:txBody>
        </xdr:sp>
        <xdr:sp macro="" textlink="'Pivot Tables'!EI11">
          <xdr:nvSpPr>
            <xdr:cNvPr id="45" name="TextBox 44">
              <a:extLst>
                <a:ext uri="{FF2B5EF4-FFF2-40B4-BE49-F238E27FC236}">
                  <a16:creationId xmlns:a16="http://schemas.microsoft.com/office/drawing/2014/main" id="{6D140140-E0AE-4A36-B487-7EBB0F91243D}"/>
                </a:ext>
              </a:extLst>
            </xdr:cNvPr>
            <xdr:cNvSpPr txBox="1"/>
          </xdr:nvSpPr>
          <xdr:spPr>
            <a:xfrm>
              <a:off x="3876705" y="3448490"/>
              <a:ext cx="1403337" cy="15433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C35F2F79-BA7B-4065-A8FA-66952FD5325E}" type="TxLink">
                <a:rPr lang="en-US" sz="13800">
                  <a:solidFill>
                    <a:schemeClr val="bg1"/>
                  </a:solidFill>
                  <a:effectLst>
                    <a:glow rad="63500">
                      <a:srgbClr val="194AFE">
                        <a:alpha val="40000"/>
                      </a:srgbClr>
                    </a:glow>
                    <a:outerShdw blurRad="177800" sx="114000" sy="114000" algn="ctr" rotWithShape="0">
                      <a:srgbClr val="194AFE"/>
                    </a:outerShdw>
                  </a:effectLst>
                  <a:latin typeface="+mj-lt"/>
                  <a:ea typeface="+mn-ea"/>
                  <a:cs typeface="+mn-cs"/>
                </a:rPr>
                <a:pPr marL="0" indent="0" algn="ctr"/>
                <a:t> </a:t>
              </a:fld>
              <a:endParaRPr lang="en-IN" sz="13800">
                <a:solidFill>
                  <a:schemeClr val="bg1"/>
                </a:solidFill>
                <a:effectLst>
                  <a:glow rad="63500">
                    <a:srgbClr val="194AFE">
                      <a:alpha val="40000"/>
                    </a:srgbClr>
                  </a:glow>
                  <a:outerShdw blurRad="177800" sx="114000" sy="114000" algn="ctr" rotWithShape="0">
                    <a:srgbClr val="194AFE"/>
                  </a:outerShdw>
                </a:effectLst>
                <a:latin typeface="+mj-lt"/>
                <a:ea typeface="+mn-ea"/>
                <a:cs typeface="+mn-cs"/>
              </a:endParaRPr>
            </a:p>
          </xdr:txBody>
        </xdr:sp>
        <xdr:sp macro="" textlink="'Pivot Tables'!EJ11">
          <xdr:nvSpPr>
            <xdr:cNvPr id="46" name="TextBox 45">
              <a:extLst>
                <a:ext uri="{FF2B5EF4-FFF2-40B4-BE49-F238E27FC236}">
                  <a16:creationId xmlns:a16="http://schemas.microsoft.com/office/drawing/2014/main" id="{2131E06A-48D5-4996-7174-FC3915FB7E0B}"/>
                </a:ext>
              </a:extLst>
            </xdr:cNvPr>
            <xdr:cNvSpPr txBox="1"/>
          </xdr:nvSpPr>
          <xdr:spPr>
            <a:xfrm>
              <a:off x="4194234" y="4047538"/>
              <a:ext cx="750748" cy="4874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A456A11E-CDA2-4A57-9489-B61FC15EA0AA}" type="TxLink">
                <a:rPr lang="en-US" sz="9600" b="0" i="0" u="none" strike="noStrike">
                  <a:solidFill>
                    <a:schemeClr val="tx1">
                      <a:alpha val="66000"/>
                    </a:schemeClr>
                  </a:solidFill>
                  <a:latin typeface="+mn-lt"/>
                  <a:ea typeface="Calibri Light"/>
                  <a:cs typeface="Calibri Light"/>
                </a:rPr>
                <a:pPr marL="0" indent="0" algn="ctr"/>
                <a:t>●</a:t>
              </a:fld>
              <a:endParaRPr lang="en-IN" sz="9600" b="0" i="0" u="none" strike="noStrike">
                <a:solidFill>
                  <a:schemeClr val="tx1">
                    <a:alpha val="66000"/>
                  </a:schemeClr>
                </a:solidFill>
                <a:latin typeface="+mn-lt"/>
                <a:ea typeface="Calibri Light"/>
                <a:cs typeface="Calibri Light"/>
              </a:endParaRPr>
            </a:p>
          </xdr:txBody>
        </xdr:sp>
        <xdr:sp macro="" textlink="'Pivot Tables'!EH11">
          <xdr:nvSpPr>
            <xdr:cNvPr id="47" name="TextBox 46">
              <a:extLst>
                <a:ext uri="{FF2B5EF4-FFF2-40B4-BE49-F238E27FC236}">
                  <a16:creationId xmlns:a16="http://schemas.microsoft.com/office/drawing/2014/main" id="{661D4D90-FF74-4FCF-98FF-5287C0E0DD54}"/>
                </a:ext>
              </a:extLst>
            </xdr:cNvPr>
            <xdr:cNvSpPr txBox="1"/>
          </xdr:nvSpPr>
          <xdr:spPr>
            <a:xfrm rot="18648277" flipH="1">
              <a:off x="5120208" y="4485674"/>
              <a:ext cx="45719" cy="7562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91303EE-93F0-4D8D-9F1D-D5C6C3F7FACD}" type="TxLink">
                <a:rPr lang="en-US" sz="16600" b="0" i="0" u="none" strike="noStrike">
                  <a:solidFill>
                    <a:schemeClr val="bg1"/>
                  </a:solidFill>
                  <a:latin typeface="Arial"/>
                  <a:cs typeface="Arial"/>
                </a:rPr>
                <a:pPr algn="ctr"/>
                <a:t> </a:t>
              </a:fld>
              <a:endParaRPr lang="en-IN" sz="16600">
                <a:solidFill>
                  <a:schemeClr val="bg1"/>
                </a:solidFill>
                <a:latin typeface="Arial" panose="020B0604020202020204" pitchFamily="34" charset="0"/>
                <a:cs typeface="Arial" panose="020B0604020202020204" pitchFamily="34" charset="0"/>
              </a:endParaRPr>
            </a:p>
          </xdr:txBody>
        </xdr:sp>
        <xdr:sp macro="" textlink="'Pivot Tables'!EJ10">
          <xdr:nvSpPr>
            <xdr:cNvPr id="62" name="TextBox 61">
              <a:extLst>
                <a:ext uri="{FF2B5EF4-FFF2-40B4-BE49-F238E27FC236}">
                  <a16:creationId xmlns:a16="http://schemas.microsoft.com/office/drawing/2014/main" id="{A8EF7271-CF78-4511-B545-65F8692F0035}"/>
                </a:ext>
              </a:extLst>
            </xdr:cNvPr>
            <xdr:cNvSpPr txBox="1"/>
          </xdr:nvSpPr>
          <xdr:spPr>
            <a:xfrm>
              <a:off x="4202792" y="6122505"/>
              <a:ext cx="752096" cy="5940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CEEC7694-7817-4046-BC79-24F0D3790B2D}" type="TxLink">
                <a:rPr lang="en-US" sz="9600" b="0" i="0" u="none" strike="noStrike">
                  <a:solidFill>
                    <a:schemeClr val="tx1">
                      <a:alpha val="66000"/>
                    </a:schemeClr>
                  </a:solidFill>
                  <a:latin typeface="+mn-lt"/>
                  <a:ea typeface="Calibri Light"/>
                  <a:cs typeface="Calibri Light"/>
                </a:rPr>
                <a:pPr marL="0" indent="0" algn="ctr"/>
                <a:t> </a:t>
              </a:fld>
              <a:endParaRPr lang="en-IN" sz="9600" b="0" i="0" u="none" strike="noStrike">
                <a:solidFill>
                  <a:schemeClr val="tx1">
                    <a:alpha val="66000"/>
                  </a:schemeClr>
                </a:solidFill>
                <a:latin typeface="+mn-lt"/>
                <a:ea typeface="Calibri Light"/>
                <a:cs typeface="Calibri Light"/>
              </a:endParaRPr>
            </a:p>
          </xdr:txBody>
        </xdr:sp>
        <xdr:sp macro="" textlink="'Pivot Tables'!EH18">
          <xdr:nvSpPr>
            <xdr:cNvPr id="64" name="TextBox 63">
              <a:extLst>
                <a:ext uri="{FF2B5EF4-FFF2-40B4-BE49-F238E27FC236}">
                  <a16:creationId xmlns:a16="http://schemas.microsoft.com/office/drawing/2014/main" id="{C56BE572-B326-4A2C-993E-8F7E5501D060}"/>
                </a:ext>
              </a:extLst>
            </xdr:cNvPr>
            <xdr:cNvSpPr txBox="1"/>
          </xdr:nvSpPr>
          <xdr:spPr>
            <a:xfrm rot="18648277" flipH="1">
              <a:off x="6233795" y="5523335"/>
              <a:ext cx="53389" cy="7661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E48DE613-6BC3-4DC0-A932-5D764310BA12}" type="TxLink">
                <a:rPr lang="en-US" sz="16600" b="0" i="0" u="none" strike="noStrike">
                  <a:solidFill>
                    <a:schemeClr val="bg1"/>
                  </a:solidFill>
                  <a:latin typeface="Arial"/>
                  <a:ea typeface="+mn-ea"/>
                  <a:cs typeface="Arial"/>
                </a:rPr>
                <a:pPr marL="0" indent="0" algn="ctr"/>
                <a:t>│</a:t>
              </a:fld>
              <a:endParaRPr lang="en-IN" sz="16600" b="0" i="0" u="none" strike="noStrike">
                <a:solidFill>
                  <a:schemeClr val="bg1"/>
                </a:solidFill>
                <a:latin typeface="Arial"/>
                <a:ea typeface="+mn-ea"/>
                <a:cs typeface="Arial"/>
              </a:endParaRPr>
            </a:p>
          </xdr:txBody>
        </xdr:sp>
        <xdr:sp macro="" textlink="'Pivot Tables'!EH19">
          <xdr:nvSpPr>
            <xdr:cNvPr id="65" name="TextBox 64">
              <a:extLst>
                <a:ext uri="{FF2B5EF4-FFF2-40B4-BE49-F238E27FC236}">
                  <a16:creationId xmlns:a16="http://schemas.microsoft.com/office/drawing/2014/main" id="{1B64277E-B64F-427B-8C00-B67F268D49FE}"/>
                </a:ext>
              </a:extLst>
            </xdr:cNvPr>
            <xdr:cNvSpPr txBox="1"/>
          </xdr:nvSpPr>
          <xdr:spPr>
            <a:xfrm rot="13738421" flipH="1">
              <a:off x="6206412" y="4458655"/>
              <a:ext cx="46158" cy="7661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61510339-8027-4FD1-BEE4-B40B3A03877D}" type="TxLink">
                <a:rPr lang="en-US" sz="16600" b="0" i="0" u="none" strike="noStrike">
                  <a:solidFill>
                    <a:schemeClr val="bg1"/>
                  </a:solidFill>
                  <a:latin typeface="Arial"/>
                  <a:ea typeface="+mn-ea"/>
                  <a:cs typeface="Arial"/>
                </a:rPr>
                <a:pPr marL="0" indent="0" algn="ctr"/>
                <a:t> </a:t>
              </a:fld>
              <a:endParaRPr lang="en-IN" sz="16600" b="0" i="0" u="none" strike="noStrike">
                <a:solidFill>
                  <a:schemeClr val="bg1"/>
                </a:solidFill>
                <a:latin typeface="Arial"/>
                <a:ea typeface="+mn-ea"/>
                <a:cs typeface="Arial"/>
              </a:endParaRPr>
            </a:p>
          </xdr:txBody>
        </xdr:sp>
        <xdr:sp macro="" textlink="'Pivot Tables'!EI19">
          <xdr:nvSpPr>
            <xdr:cNvPr id="68" name="TextBox 67">
              <a:extLst>
                <a:ext uri="{FF2B5EF4-FFF2-40B4-BE49-F238E27FC236}">
                  <a16:creationId xmlns:a16="http://schemas.microsoft.com/office/drawing/2014/main" id="{F45872D0-D9C5-481B-B49F-C99BB26DA93A}"/>
                </a:ext>
              </a:extLst>
            </xdr:cNvPr>
            <xdr:cNvSpPr txBox="1"/>
          </xdr:nvSpPr>
          <xdr:spPr>
            <a:xfrm>
              <a:off x="6053644" y="3330066"/>
              <a:ext cx="1407275" cy="17801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D7AA6809-170B-45C8-9908-53A9AD3A7359}" type="TxLink">
                <a:rPr lang="en-US" sz="13800">
                  <a:solidFill>
                    <a:schemeClr val="bg1"/>
                  </a:solidFill>
                  <a:effectLst>
                    <a:glow rad="63500">
                      <a:srgbClr val="194AFE">
                        <a:alpha val="40000"/>
                      </a:srgbClr>
                    </a:glow>
                    <a:outerShdw blurRad="177800" sx="114000" sy="114000" algn="ctr" rotWithShape="0">
                      <a:srgbClr val="194AFE"/>
                    </a:outerShdw>
                  </a:effectLst>
                  <a:latin typeface="+mj-lt"/>
                  <a:ea typeface="+mn-ea"/>
                  <a:cs typeface="+mn-cs"/>
                </a:rPr>
                <a:pPr marL="0" indent="0" algn="ctr"/>
                <a:t> </a:t>
              </a:fld>
              <a:endParaRPr lang="en-IN" sz="13800">
                <a:solidFill>
                  <a:schemeClr val="bg1"/>
                </a:solidFill>
                <a:effectLst>
                  <a:glow rad="63500">
                    <a:srgbClr val="194AFE">
                      <a:alpha val="40000"/>
                    </a:srgbClr>
                  </a:glow>
                  <a:outerShdw blurRad="177800" sx="114000" sy="114000" algn="ctr" rotWithShape="0">
                    <a:srgbClr val="194AFE"/>
                  </a:outerShdw>
                </a:effectLst>
                <a:latin typeface="+mj-lt"/>
                <a:ea typeface="+mn-ea"/>
                <a:cs typeface="+mn-cs"/>
              </a:endParaRPr>
            </a:p>
          </xdr:txBody>
        </xdr:sp>
        <xdr:sp macro="" textlink="'Pivot Tables'!EI18">
          <xdr:nvSpPr>
            <xdr:cNvPr id="70" name="TextBox 69">
              <a:extLst>
                <a:ext uri="{FF2B5EF4-FFF2-40B4-BE49-F238E27FC236}">
                  <a16:creationId xmlns:a16="http://schemas.microsoft.com/office/drawing/2014/main" id="{63B85D58-02DA-4BA9-BFEB-F1586CA8EDCF}"/>
                </a:ext>
              </a:extLst>
            </xdr:cNvPr>
            <xdr:cNvSpPr txBox="1"/>
          </xdr:nvSpPr>
          <xdr:spPr>
            <a:xfrm>
              <a:off x="6064882" y="5527697"/>
              <a:ext cx="1406683" cy="15395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1193DC26-AC26-4511-8317-E42CD1E3E584}" type="TxLink">
                <a:rPr lang="en-US" sz="13800">
                  <a:solidFill>
                    <a:schemeClr val="bg1"/>
                  </a:solidFill>
                  <a:effectLst>
                    <a:glow rad="63500">
                      <a:srgbClr val="194AFE">
                        <a:alpha val="40000"/>
                      </a:srgbClr>
                    </a:glow>
                    <a:outerShdw blurRad="177800" sx="114000" sy="114000" algn="ctr" rotWithShape="0">
                      <a:srgbClr val="194AFE"/>
                    </a:outerShdw>
                  </a:effectLst>
                  <a:latin typeface="+mj-lt"/>
                  <a:ea typeface="+mn-ea"/>
                  <a:cs typeface="+mn-cs"/>
                </a:rPr>
                <a:pPr marL="0" indent="0" algn="ctr"/>
                <a:t>○</a:t>
              </a:fld>
              <a:endParaRPr lang="en-IN" sz="13800">
                <a:solidFill>
                  <a:schemeClr val="bg1"/>
                </a:solidFill>
                <a:effectLst>
                  <a:glow rad="63500">
                    <a:srgbClr val="194AFE">
                      <a:alpha val="40000"/>
                    </a:srgbClr>
                  </a:glow>
                  <a:outerShdw blurRad="177800" sx="114000" sy="114000" algn="ctr" rotWithShape="0">
                    <a:srgbClr val="194AFE"/>
                  </a:outerShdw>
                </a:effectLst>
                <a:latin typeface="+mj-lt"/>
                <a:ea typeface="+mn-ea"/>
                <a:cs typeface="+mn-cs"/>
              </a:endParaRPr>
            </a:p>
          </xdr:txBody>
        </xdr:sp>
        <xdr:sp macro="" textlink="'Pivot Tables'!EJ18">
          <xdr:nvSpPr>
            <xdr:cNvPr id="71" name="TextBox 70">
              <a:extLst>
                <a:ext uri="{FF2B5EF4-FFF2-40B4-BE49-F238E27FC236}">
                  <a16:creationId xmlns:a16="http://schemas.microsoft.com/office/drawing/2014/main" id="{C8837E05-A85E-48E0-8692-1B551C9CB02F}"/>
                </a:ext>
              </a:extLst>
            </xdr:cNvPr>
            <xdr:cNvSpPr txBox="1"/>
          </xdr:nvSpPr>
          <xdr:spPr>
            <a:xfrm>
              <a:off x="6389470" y="6117468"/>
              <a:ext cx="755893" cy="5940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E7222DEA-418F-421E-8E09-0567777003A0}" type="TxLink">
                <a:rPr lang="en-US" sz="9600" b="0" i="0" u="none" strike="noStrike">
                  <a:solidFill>
                    <a:schemeClr val="tx1">
                      <a:alpha val="66000"/>
                    </a:schemeClr>
                  </a:solidFill>
                  <a:latin typeface="+mn-lt"/>
                  <a:ea typeface="Calibri Light"/>
                  <a:cs typeface="Calibri Light"/>
                </a:rPr>
                <a:pPr marL="0" indent="0" algn="ctr"/>
                <a:t> </a:t>
              </a:fld>
              <a:endParaRPr lang="en-IN" sz="9600" b="0" i="0" u="none" strike="noStrike">
                <a:solidFill>
                  <a:schemeClr val="tx1">
                    <a:alpha val="66000"/>
                  </a:schemeClr>
                </a:solidFill>
                <a:latin typeface="+mn-lt"/>
                <a:ea typeface="Calibri Light"/>
                <a:cs typeface="Calibri Light"/>
              </a:endParaRPr>
            </a:p>
          </xdr:txBody>
        </xdr:sp>
        <xdr:sp macro="" textlink="'Pivot Tables'!EI10">
          <xdr:nvSpPr>
            <xdr:cNvPr id="61" name="TextBox 60">
              <a:extLst>
                <a:ext uri="{FF2B5EF4-FFF2-40B4-BE49-F238E27FC236}">
                  <a16:creationId xmlns:a16="http://schemas.microsoft.com/office/drawing/2014/main" id="{97F4AD58-C362-4FD6-A85F-598B99232CD2}"/>
                </a:ext>
              </a:extLst>
            </xdr:cNvPr>
            <xdr:cNvSpPr txBox="1"/>
          </xdr:nvSpPr>
          <xdr:spPr>
            <a:xfrm>
              <a:off x="3873482" y="5146581"/>
              <a:ext cx="1400498" cy="22918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152A5BC5-4914-44C7-BD60-CF7F0F4C9901}" type="TxLink">
                <a:rPr lang="en-US" sz="13800" b="0" i="0" u="none" strike="noStrike">
                  <a:solidFill>
                    <a:schemeClr val="bg1"/>
                  </a:solidFill>
                  <a:effectLst>
                    <a:glow rad="63500">
                      <a:srgbClr val="194AFE">
                        <a:alpha val="40000"/>
                      </a:srgbClr>
                    </a:glow>
                    <a:outerShdw blurRad="177800" sx="114000" sy="114000" algn="ctr" rotWithShape="0">
                      <a:srgbClr val="194AFE"/>
                    </a:outerShdw>
                  </a:effectLst>
                  <a:latin typeface="+mj-lt"/>
                  <a:ea typeface="+mn-ea"/>
                  <a:cs typeface="+mn-cs"/>
                </a:rPr>
                <a:pPr marL="0" indent="0" algn="ctr"/>
                <a:t>○</a:t>
              </a:fld>
              <a:endParaRPr lang="en-IN" sz="13800" b="0" i="0" u="none" strike="noStrike">
                <a:solidFill>
                  <a:schemeClr val="bg1"/>
                </a:solidFill>
                <a:effectLst>
                  <a:glow rad="63500">
                    <a:srgbClr val="194AFE">
                      <a:alpha val="40000"/>
                    </a:srgbClr>
                  </a:glow>
                  <a:outerShdw blurRad="177800" sx="114000" sy="114000" algn="ctr" rotWithShape="0">
                    <a:srgbClr val="194AFE"/>
                  </a:outerShdw>
                </a:effectLst>
                <a:latin typeface="+mj-lt"/>
                <a:ea typeface="+mn-ea"/>
                <a:cs typeface="+mn-cs"/>
              </a:endParaRPr>
            </a:p>
          </xdr:txBody>
        </xdr:sp>
        <xdr:sp macro="" textlink="'Pivot Tables'!EM4">
          <xdr:nvSpPr>
            <xdr:cNvPr id="72" name="TextBox 71">
              <a:extLst>
                <a:ext uri="{FF2B5EF4-FFF2-40B4-BE49-F238E27FC236}">
                  <a16:creationId xmlns:a16="http://schemas.microsoft.com/office/drawing/2014/main" id="{1953BD67-2EC6-46AE-8502-AFEE2B4E3CFD}"/>
                </a:ext>
              </a:extLst>
            </xdr:cNvPr>
            <xdr:cNvSpPr txBox="1"/>
          </xdr:nvSpPr>
          <xdr:spPr>
            <a:xfrm>
              <a:off x="337123" y="6191346"/>
              <a:ext cx="984758" cy="3098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DE0B4E8C-F4AB-4FAC-A10A-F7839F8321DF}" type="TxLink">
                <a:rPr lang="en-US" sz="1600" b="0" i="0" u="none" strike="noStrike">
                  <a:solidFill>
                    <a:schemeClr val="bg1"/>
                  </a:solidFill>
                  <a:latin typeface="Avenir Book" panose="020B0503020203020204" pitchFamily="34" charset="-78"/>
                  <a:ea typeface="Calibri Light"/>
                  <a:cs typeface="Avenir Book" panose="020B0503020203020204" pitchFamily="34" charset="-78"/>
                </a:rPr>
                <a:pPr marL="0" indent="0" algn="ctr"/>
                <a:t>384</a:t>
              </a:fld>
              <a:endParaRPr lang="en-IN" sz="1600" b="0" i="0" u="none" strike="noStrike">
                <a:solidFill>
                  <a:schemeClr val="bg1"/>
                </a:solidFill>
                <a:latin typeface="Avenir Book" panose="020B0503020203020204" pitchFamily="34" charset="-78"/>
                <a:ea typeface="Calibri Light"/>
                <a:cs typeface="Avenir Book" panose="020B0503020203020204" pitchFamily="34" charset="-78"/>
              </a:endParaRPr>
            </a:p>
          </xdr:txBody>
        </xdr:sp>
        <xdr:sp macro="" textlink="'Pivot Tables'!EK11">
          <xdr:nvSpPr>
            <xdr:cNvPr id="74" name="TextBox 73">
              <a:extLst>
                <a:ext uri="{FF2B5EF4-FFF2-40B4-BE49-F238E27FC236}">
                  <a16:creationId xmlns:a16="http://schemas.microsoft.com/office/drawing/2014/main" id="{22F76542-25B8-426F-BDC3-642704DC5E8C}"/>
                </a:ext>
              </a:extLst>
            </xdr:cNvPr>
            <xdr:cNvSpPr txBox="1"/>
          </xdr:nvSpPr>
          <xdr:spPr>
            <a:xfrm>
              <a:off x="4086143" y="3285012"/>
              <a:ext cx="984758" cy="3098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90C161DD-1A1D-4DEE-8F4B-7E1A6A00870E}" type="TxLink">
                <a:rPr lang="en-US" sz="1600" b="0" i="0" u="none" strike="noStrike">
                  <a:solidFill>
                    <a:schemeClr val="bg1"/>
                  </a:solidFill>
                  <a:latin typeface="Avenir Book" panose="020B0503020203020204" pitchFamily="34" charset="-78"/>
                  <a:ea typeface="Calibri Light"/>
                  <a:cs typeface="Avenir Book" panose="020B0503020203020204" pitchFamily="34" charset="-78"/>
                </a:rPr>
                <a:pPr marL="0" indent="0" algn="ctr"/>
                <a:t>256</a:t>
              </a:fld>
              <a:endParaRPr lang="en-IN" sz="1600" b="0" i="0" u="none" strike="noStrike">
                <a:solidFill>
                  <a:schemeClr val="bg1"/>
                </a:solidFill>
                <a:latin typeface="Avenir Book" panose="020B0503020203020204" pitchFamily="34" charset="-78"/>
                <a:ea typeface="Calibri Light"/>
                <a:cs typeface="Avenir Book" panose="020B0503020203020204" pitchFamily="34" charset="-78"/>
              </a:endParaRPr>
            </a:p>
          </xdr:txBody>
        </xdr:sp>
        <xdr:sp macro="" textlink="'Pivot Tables'!EK19">
          <xdr:nvSpPr>
            <xdr:cNvPr id="76" name="TextBox 75">
              <a:extLst>
                <a:ext uri="{FF2B5EF4-FFF2-40B4-BE49-F238E27FC236}">
                  <a16:creationId xmlns:a16="http://schemas.microsoft.com/office/drawing/2014/main" id="{36C18EBB-07E6-40D4-80D2-9F774B3D3B1B}"/>
                </a:ext>
              </a:extLst>
            </xdr:cNvPr>
            <xdr:cNvSpPr txBox="1"/>
          </xdr:nvSpPr>
          <xdr:spPr>
            <a:xfrm>
              <a:off x="6288484" y="3048270"/>
              <a:ext cx="984758" cy="3098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2B02C0F9-D64E-4620-A475-0D2A3975177F}" type="TxLink">
                <a:rPr lang="en-US" sz="1600" b="0" i="0" u="none" strike="noStrike">
                  <a:solidFill>
                    <a:schemeClr val="bg1"/>
                  </a:solidFill>
                  <a:latin typeface="Avenir Book" panose="020B0503020203020204" pitchFamily="34" charset="-78"/>
                  <a:ea typeface="Calibri Light"/>
                  <a:cs typeface="Avenir Book" panose="020B0503020203020204" pitchFamily="34" charset="-78"/>
                </a:rPr>
                <a:pPr marL="0" indent="0" algn="ctr"/>
                <a:t>256</a:t>
              </a:fld>
              <a:endParaRPr lang="en-IN" sz="1600" b="0" i="0" u="none" strike="noStrike">
                <a:solidFill>
                  <a:schemeClr val="bg1"/>
                </a:solidFill>
                <a:latin typeface="Avenir Book" panose="020B0503020203020204" pitchFamily="34" charset="-78"/>
                <a:ea typeface="Calibri Light"/>
                <a:cs typeface="Avenir Book" panose="020B0503020203020204" pitchFamily="34" charset="-78"/>
              </a:endParaRPr>
            </a:p>
          </xdr:txBody>
        </xdr:sp>
        <xdr:sp macro="" textlink="'Pivot Tables'!EK5">
          <xdr:nvSpPr>
            <xdr:cNvPr id="85" name="TextBox 84">
              <a:extLst>
                <a:ext uri="{FF2B5EF4-FFF2-40B4-BE49-F238E27FC236}">
                  <a16:creationId xmlns:a16="http://schemas.microsoft.com/office/drawing/2014/main" id="{C330D9AF-4D3B-4544-8E45-E67175D9E006}"/>
                </a:ext>
              </a:extLst>
            </xdr:cNvPr>
            <xdr:cNvSpPr txBox="1"/>
          </xdr:nvSpPr>
          <xdr:spPr>
            <a:xfrm>
              <a:off x="2981840" y="8317363"/>
              <a:ext cx="984758" cy="3016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B27050FB-FDE0-409E-A61A-0D276F152E8E}" type="TxLink">
                <a:rPr lang="en-US" sz="1600" b="0" i="0" u="none" strike="noStrike">
                  <a:solidFill>
                    <a:schemeClr val="bg1"/>
                  </a:solidFill>
                  <a:latin typeface="Avenir Book" panose="020B0503020203020204" pitchFamily="34" charset="-78"/>
                  <a:ea typeface="Calibri Light"/>
                  <a:cs typeface="Avenir Book" panose="020B0503020203020204" pitchFamily="34" charset="-78"/>
                </a:rPr>
                <a:pPr marL="0" indent="0" algn="ctr"/>
                <a:t>128</a:t>
              </a:fld>
              <a:endParaRPr lang="en-IN" sz="1600" b="0" i="0" u="none" strike="noStrike">
                <a:solidFill>
                  <a:schemeClr val="bg1"/>
                </a:solidFill>
                <a:latin typeface="Avenir Book" panose="020B0503020203020204" pitchFamily="34" charset="-78"/>
                <a:ea typeface="Calibri Light"/>
                <a:cs typeface="Avenir Book" panose="020B0503020203020204" pitchFamily="34" charset="-78"/>
              </a:endParaRPr>
            </a:p>
          </xdr:txBody>
        </xdr:sp>
        <xdr:sp macro="" textlink="'Pivot Tables'!EK10">
          <xdr:nvSpPr>
            <xdr:cNvPr id="88" name="TextBox 87">
              <a:extLst>
                <a:ext uri="{FF2B5EF4-FFF2-40B4-BE49-F238E27FC236}">
                  <a16:creationId xmlns:a16="http://schemas.microsoft.com/office/drawing/2014/main" id="{0396F7D0-5115-4493-8E93-519B8E7E19B9}"/>
                </a:ext>
              </a:extLst>
            </xdr:cNvPr>
            <xdr:cNvSpPr txBox="1"/>
          </xdr:nvSpPr>
          <xdr:spPr>
            <a:xfrm>
              <a:off x="4054344" y="7238607"/>
              <a:ext cx="984758" cy="3098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B6E4413D-E046-4288-B47B-C90A1137895F}" type="TxLink">
                <a:rPr lang="en-US" sz="1600" b="0" i="0" u="none" strike="noStrike">
                  <a:solidFill>
                    <a:schemeClr val="bg1"/>
                  </a:solidFill>
                  <a:latin typeface="Avenir Book" panose="020B0503020203020204" pitchFamily="34" charset="-78"/>
                  <a:ea typeface="Calibri Light"/>
                  <a:cs typeface="Avenir Book" panose="020B0503020203020204" pitchFamily="34" charset="-78"/>
                </a:rPr>
                <a:pPr marL="0" indent="0" algn="ctr"/>
                <a:t>128</a:t>
              </a:fld>
              <a:endParaRPr lang="en-IN" sz="1600" b="0" i="0" u="none" strike="noStrike">
                <a:solidFill>
                  <a:schemeClr val="bg1"/>
                </a:solidFill>
                <a:latin typeface="Avenir Book" panose="020B0503020203020204" pitchFamily="34" charset="-78"/>
                <a:ea typeface="Calibri Light"/>
                <a:cs typeface="Avenir Book" panose="020B0503020203020204" pitchFamily="34" charset="-78"/>
              </a:endParaRPr>
            </a:p>
          </xdr:txBody>
        </xdr:sp>
        <xdr:sp macro="" textlink="'Pivot Tables'!EK18">
          <xdr:nvSpPr>
            <xdr:cNvPr id="89" name="TextBox 88">
              <a:extLst>
                <a:ext uri="{FF2B5EF4-FFF2-40B4-BE49-F238E27FC236}">
                  <a16:creationId xmlns:a16="http://schemas.microsoft.com/office/drawing/2014/main" id="{1A318F10-D07D-4CE1-8891-9476912B786D}"/>
                </a:ext>
              </a:extLst>
            </xdr:cNvPr>
            <xdr:cNvSpPr txBox="1"/>
          </xdr:nvSpPr>
          <xdr:spPr>
            <a:xfrm>
              <a:off x="6289954" y="7505390"/>
              <a:ext cx="981818" cy="3016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178AB3FB-0CB8-4B65-B462-E30C0649EFC2}" type="TxLink">
                <a:rPr lang="en-US" sz="1600" b="0" i="0" u="none" strike="noStrike">
                  <a:solidFill>
                    <a:schemeClr val="bg1"/>
                  </a:solidFill>
                  <a:latin typeface="Avenir Book" panose="020B0503020203020204" pitchFamily="34" charset="-78"/>
                  <a:ea typeface="Calibri Light"/>
                  <a:cs typeface="Avenir Book" panose="020B0503020203020204" pitchFamily="34" charset="-78"/>
                </a:rPr>
                <a:pPr marL="0" indent="0" algn="ctr"/>
                <a:t>128</a:t>
              </a:fld>
              <a:endParaRPr lang="en-IN" sz="1600" b="0" i="0" u="none" strike="noStrike">
                <a:solidFill>
                  <a:schemeClr val="bg1"/>
                </a:solidFill>
                <a:latin typeface="Avenir Book" panose="020B0503020203020204" pitchFamily="34" charset="-78"/>
                <a:ea typeface="Calibri Light"/>
                <a:cs typeface="Avenir Book" panose="020B0503020203020204" pitchFamily="34" charset="-78"/>
              </a:endParaRPr>
            </a:p>
          </xdr:txBody>
        </xdr:sp>
      </xdr:grpSp>
      <xdr:sp macro="" textlink="'Pivot Tables'!EJ19">
        <xdr:nvSpPr>
          <xdr:cNvPr id="58" name="TextBox 57">
            <a:extLst>
              <a:ext uri="{FF2B5EF4-FFF2-40B4-BE49-F238E27FC236}">
                <a16:creationId xmlns:a16="http://schemas.microsoft.com/office/drawing/2014/main" id="{1CB35BAC-5A73-4320-BE03-FC8CAA569AE2}"/>
              </a:ext>
            </a:extLst>
          </xdr:cNvPr>
          <xdr:cNvSpPr txBox="1"/>
        </xdr:nvSpPr>
        <xdr:spPr>
          <a:xfrm>
            <a:off x="6423202" y="3831086"/>
            <a:ext cx="807859" cy="7034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45383077-2662-415C-A77C-720B587A1597}" type="TxLink">
              <a:rPr lang="en-US" sz="9600" b="0" i="0" u="none" strike="noStrike">
                <a:solidFill>
                  <a:schemeClr val="tx1">
                    <a:alpha val="66000"/>
                  </a:schemeClr>
                </a:solidFill>
                <a:latin typeface="+mn-lt"/>
                <a:ea typeface="Calibri Light"/>
                <a:cs typeface="Calibri Light"/>
              </a:rPr>
              <a:pPr marL="0" indent="0" algn="ctr"/>
              <a:t>●</a:t>
            </a:fld>
            <a:endParaRPr lang="en-IN" sz="9600" b="0" i="0" u="none" strike="noStrike">
              <a:solidFill>
                <a:schemeClr val="tx1">
                  <a:alpha val="66000"/>
                </a:schemeClr>
              </a:solidFill>
              <a:latin typeface="+mn-lt"/>
              <a:ea typeface="Calibri Light"/>
              <a:cs typeface="Calibri Light"/>
            </a:endParaRPr>
          </a:p>
        </xdr:txBody>
      </xdr:sp>
    </xdr:grpSp>
    <xdr:clientData/>
  </xdr:twoCellAnchor>
  <xdr:twoCellAnchor editAs="absolute">
    <xdr:from>
      <xdr:col>13</xdr:col>
      <xdr:colOff>73396</xdr:colOff>
      <xdr:row>2</xdr:row>
      <xdr:rowOff>61134</xdr:rowOff>
    </xdr:from>
    <xdr:to>
      <xdr:col>16</xdr:col>
      <xdr:colOff>588250</xdr:colOff>
      <xdr:row>7</xdr:row>
      <xdr:rowOff>10119</xdr:rowOff>
    </xdr:to>
    <xdr:graphicFrame macro="">
      <xdr:nvGraphicFramePr>
        <xdr:cNvPr id="90" name="Chart 89">
          <a:extLst>
            <a:ext uri="{FF2B5EF4-FFF2-40B4-BE49-F238E27FC236}">
              <a16:creationId xmlns:a16="http://schemas.microsoft.com/office/drawing/2014/main" id="{98DC5108-B34B-469E-A111-3F2BB2FDA9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5"/>
        </a:graphicData>
      </a:graphic>
    </xdr:graphicFrame>
    <xdr:clientData/>
  </xdr:twoCellAnchor>
  <xdr:twoCellAnchor editAs="absolute">
    <xdr:from>
      <xdr:col>10</xdr:col>
      <xdr:colOff>482557</xdr:colOff>
      <xdr:row>3</xdr:row>
      <xdr:rowOff>53662</xdr:rowOff>
    </xdr:from>
    <xdr:to>
      <xdr:col>12</xdr:col>
      <xdr:colOff>444328</xdr:colOff>
      <xdr:row>9</xdr:row>
      <xdr:rowOff>80009</xdr:rowOff>
    </xdr:to>
    <xdr:grpSp>
      <xdr:nvGrpSpPr>
        <xdr:cNvPr id="95" name="Group 94">
          <a:extLst>
            <a:ext uri="{FF2B5EF4-FFF2-40B4-BE49-F238E27FC236}">
              <a16:creationId xmlns:a16="http://schemas.microsoft.com/office/drawing/2014/main" id="{2851889D-9A4B-C6DD-02CE-FA47AA1D5983}"/>
            </a:ext>
          </a:extLst>
        </xdr:cNvPr>
        <xdr:cNvGrpSpPr/>
      </xdr:nvGrpSpPr>
      <xdr:grpSpPr>
        <a:xfrm>
          <a:off x="6578557" y="625162"/>
          <a:ext cx="1180971" cy="1169347"/>
          <a:chOff x="6357611" y="569963"/>
          <a:chExt cx="1188720" cy="1188720"/>
        </a:xfrm>
      </xdr:grpSpPr>
      <xdr:sp macro="" textlink="">
        <xdr:nvSpPr>
          <xdr:cNvPr id="93" name="Oval 92">
            <a:extLst>
              <a:ext uri="{FF2B5EF4-FFF2-40B4-BE49-F238E27FC236}">
                <a16:creationId xmlns:a16="http://schemas.microsoft.com/office/drawing/2014/main" id="{BFA2983E-A42B-A5BA-C15A-88B5E2B53605}"/>
              </a:ext>
            </a:extLst>
          </xdr:cNvPr>
          <xdr:cNvSpPr/>
        </xdr:nvSpPr>
        <xdr:spPr>
          <a:xfrm>
            <a:off x="6357611" y="569963"/>
            <a:ext cx="1188720" cy="1188720"/>
          </a:xfrm>
          <a:prstGeom prst="ellipse">
            <a:avLst/>
          </a:prstGeom>
          <a:noFill/>
          <a:ln w="38100">
            <a:solidFill>
              <a:schemeClr val="bg1">
                <a:alpha val="37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94" name="Oval 93">
            <a:extLst>
              <a:ext uri="{FF2B5EF4-FFF2-40B4-BE49-F238E27FC236}">
                <a16:creationId xmlns:a16="http://schemas.microsoft.com/office/drawing/2014/main" id="{9B30C760-5535-675B-E7CB-9B1A5D6583DA}"/>
              </a:ext>
            </a:extLst>
          </xdr:cNvPr>
          <xdr:cNvSpPr>
            <a:spLocks noChangeAspect="1"/>
          </xdr:cNvSpPr>
        </xdr:nvSpPr>
        <xdr:spPr>
          <a:xfrm>
            <a:off x="6631931" y="844283"/>
            <a:ext cx="640080" cy="640080"/>
          </a:xfrm>
          <a:prstGeom prst="ellipse">
            <a:avLst/>
          </a:prstGeom>
          <a:gradFill>
            <a:gsLst>
              <a:gs pos="0">
                <a:srgbClr val="194AFE"/>
              </a:gs>
              <a:gs pos="100000">
                <a:srgbClr val="FF6C8F"/>
              </a:gs>
            </a:gsLst>
            <a:lin ang="108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editAs="absolute">
    <xdr:from>
      <xdr:col>10</xdr:col>
      <xdr:colOff>423121</xdr:colOff>
      <xdr:row>3</xdr:row>
      <xdr:rowOff>103954</xdr:rowOff>
    </xdr:from>
    <xdr:to>
      <xdr:col>12</xdr:col>
      <xdr:colOff>503764</xdr:colOff>
      <xdr:row>9</xdr:row>
      <xdr:rowOff>29717</xdr:rowOff>
    </xdr:to>
    <xdr:graphicFrame macro="">
      <xdr:nvGraphicFramePr>
        <xdr:cNvPr id="91" name="Chart 90">
          <a:extLst>
            <a:ext uri="{FF2B5EF4-FFF2-40B4-BE49-F238E27FC236}">
              <a16:creationId xmlns:a16="http://schemas.microsoft.com/office/drawing/2014/main" id="{F902F4C2-A1F2-41B3-9B80-6636998CD6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6"/>
        </a:graphicData>
      </a:graphic>
    </xdr:graphicFrame>
    <xdr:clientData/>
  </xdr:twoCellAnchor>
  <xdr:twoCellAnchor editAs="absolute">
    <xdr:from>
      <xdr:col>10</xdr:col>
      <xdr:colOff>588981</xdr:colOff>
      <xdr:row>6</xdr:row>
      <xdr:rowOff>131050</xdr:rowOff>
    </xdr:from>
    <xdr:to>
      <xdr:col>12</xdr:col>
      <xdr:colOff>369125</xdr:colOff>
      <xdr:row>8</xdr:row>
      <xdr:rowOff>25977</xdr:rowOff>
    </xdr:to>
    <xdr:sp macro="" textlink="">
      <xdr:nvSpPr>
        <xdr:cNvPr id="98" name="TextBox 97">
          <a:extLst>
            <a:ext uri="{FF2B5EF4-FFF2-40B4-BE49-F238E27FC236}">
              <a16:creationId xmlns:a16="http://schemas.microsoft.com/office/drawing/2014/main" id="{155A699A-C2DA-43E0-9CFD-A3CE095313C2}"/>
            </a:ext>
          </a:extLst>
        </xdr:cNvPr>
        <xdr:cNvSpPr txBox="1"/>
      </xdr:nvSpPr>
      <xdr:spPr>
        <a:xfrm>
          <a:off x="6693640" y="1274050"/>
          <a:ext cx="1001076" cy="2759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800">
              <a:solidFill>
                <a:schemeClr val="tx1"/>
              </a:solidFill>
              <a:latin typeface="Avenir Book" panose="020B0503020203020204" pitchFamily="34" charset="-78"/>
              <a:cs typeface="Avenir Book" panose="020B0503020203020204" pitchFamily="34" charset="-78"/>
            </a:rPr>
            <a:t>Refunded</a:t>
          </a:r>
        </a:p>
      </xdr:txBody>
    </xdr:sp>
    <xdr:clientData/>
  </xdr:twoCellAnchor>
  <xdr:twoCellAnchor editAs="absolute">
    <xdr:from>
      <xdr:col>11</xdr:col>
      <xdr:colOff>157250</xdr:colOff>
      <xdr:row>5</xdr:row>
      <xdr:rowOff>41013</xdr:rowOff>
    </xdr:from>
    <xdr:to>
      <xdr:col>12</xdr:col>
      <xdr:colOff>547860</xdr:colOff>
      <xdr:row>6</xdr:row>
      <xdr:rowOff>142700</xdr:rowOff>
    </xdr:to>
    <xdr:sp macro="" textlink="'Pivot Tables'!FJ6">
      <xdr:nvSpPr>
        <xdr:cNvPr id="99" name="TextBox 98">
          <a:extLst>
            <a:ext uri="{FF2B5EF4-FFF2-40B4-BE49-F238E27FC236}">
              <a16:creationId xmlns:a16="http://schemas.microsoft.com/office/drawing/2014/main" id="{DF75B2E8-B9B2-443A-FBB7-886CDB86DF76}"/>
            </a:ext>
          </a:extLst>
        </xdr:cNvPr>
        <xdr:cNvSpPr txBox="1"/>
      </xdr:nvSpPr>
      <xdr:spPr>
        <a:xfrm>
          <a:off x="6872375" y="993513"/>
          <a:ext cx="1001076" cy="2921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FFE9C90-2FFB-46AA-B035-AC445F1BE9DD}" type="TxLink">
            <a:rPr lang="en-US" sz="1600" b="0" i="0" u="none" strike="noStrike">
              <a:solidFill>
                <a:srgbClr val="000000"/>
              </a:solidFill>
              <a:latin typeface="Avenir Book" panose="020B0503020203020204" pitchFamily="34" charset="-78"/>
              <a:cs typeface="Avenir Book" panose="020B0503020203020204" pitchFamily="34" charset="-78"/>
            </a:rPr>
            <a:pPr algn="ctr"/>
            <a:t>33%</a:t>
          </a:fld>
          <a:endParaRPr lang="en-IN" sz="1050">
            <a:solidFill>
              <a:schemeClr val="tx1"/>
            </a:solidFill>
            <a:latin typeface="Avenir Book" panose="020B0503020203020204" pitchFamily="34" charset="-78"/>
            <a:cs typeface="Avenir Book" panose="020B0503020203020204" pitchFamily="34" charset="-78"/>
          </a:endParaRPr>
        </a:p>
      </xdr:txBody>
    </xdr:sp>
    <xdr:clientData/>
  </xdr:twoCellAnchor>
</xdr:wsDr>
</file>

<file path=xl/drawings/drawing6.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28</xdr:col>
      <xdr:colOff>195072</xdr:colOff>
      <xdr:row>2</xdr:row>
      <xdr:rowOff>16060</xdr:rowOff>
    </xdr:to>
    <xdr:grpSp>
      <xdr:nvGrpSpPr>
        <xdr:cNvPr id="24" name="Group 23">
          <a:extLst>
            <a:ext uri="{FF2B5EF4-FFF2-40B4-BE49-F238E27FC236}">
              <a16:creationId xmlns:a16="http://schemas.microsoft.com/office/drawing/2014/main" id="{FB9EFF3E-7E50-4222-AEBE-579F9E31C5CE}"/>
            </a:ext>
          </a:extLst>
        </xdr:cNvPr>
        <xdr:cNvGrpSpPr/>
      </xdr:nvGrpSpPr>
      <xdr:grpSpPr>
        <a:xfrm>
          <a:off x="0" y="0"/>
          <a:ext cx="17263872" cy="397060"/>
          <a:chOff x="0" y="0"/>
          <a:chExt cx="17263872" cy="397060"/>
        </a:xfrm>
      </xdr:grpSpPr>
      <xdr:sp macro="" textlink="">
        <xdr:nvSpPr>
          <xdr:cNvPr id="25" name="Rectangle 24">
            <a:extLst>
              <a:ext uri="{FF2B5EF4-FFF2-40B4-BE49-F238E27FC236}">
                <a16:creationId xmlns:a16="http://schemas.microsoft.com/office/drawing/2014/main" id="{854403FA-AC3E-81F9-F3FB-8694A7BEA5DA}"/>
              </a:ext>
            </a:extLst>
          </xdr:cNvPr>
          <xdr:cNvSpPr/>
        </xdr:nvSpPr>
        <xdr:spPr>
          <a:xfrm>
            <a:off x="0" y="0"/>
            <a:ext cx="17263872" cy="393192"/>
          </a:xfrm>
          <a:prstGeom prst="rect">
            <a:avLst/>
          </a:prstGeom>
          <a:solidFill>
            <a:srgbClr val="1D1D3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p>
        </xdr:txBody>
      </xdr:sp>
      <xdr:pic>
        <xdr:nvPicPr>
          <xdr:cNvPr id="26" name="Picture 25">
            <a:extLst>
              <a:ext uri="{FF2B5EF4-FFF2-40B4-BE49-F238E27FC236}">
                <a16:creationId xmlns:a16="http://schemas.microsoft.com/office/drawing/2014/main" id="{2B7C90A4-AEAF-34BC-DF40-ECBEC473D0C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527336" cy="397060"/>
          </a:xfrm>
          <a:prstGeom prst="rect">
            <a:avLst/>
          </a:prstGeom>
        </xdr:spPr>
      </xdr:pic>
      <xdr:sp macro="" textlink="">
        <xdr:nvSpPr>
          <xdr:cNvPr id="27" name="TextBox 26">
            <a:extLst>
              <a:ext uri="{FF2B5EF4-FFF2-40B4-BE49-F238E27FC236}">
                <a16:creationId xmlns:a16="http://schemas.microsoft.com/office/drawing/2014/main" id="{7DA91C6C-AA4F-4DBF-0CE2-6ACF5826B290}"/>
              </a:ext>
            </a:extLst>
          </xdr:cNvPr>
          <xdr:cNvSpPr txBox="1"/>
        </xdr:nvSpPr>
        <xdr:spPr>
          <a:xfrm>
            <a:off x="492126" y="0"/>
            <a:ext cx="1395290" cy="3956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100">
                <a:solidFill>
                  <a:schemeClr val="bg1"/>
                </a:solidFill>
                <a:latin typeface="Avenir Book" panose="020B0503020203020204" pitchFamily="34" charset="-78"/>
                <a:cs typeface="Avenir Book" panose="020B0503020203020204" pitchFamily="34" charset="-78"/>
              </a:rPr>
              <a:t>Shivam Analyst</a:t>
            </a:r>
          </a:p>
        </xdr:txBody>
      </xdr:sp>
      <xdr:sp macro="" textlink="">
        <xdr:nvSpPr>
          <xdr:cNvPr id="28" name="TextBox 27">
            <a:hlinkClick xmlns:r="http://schemas.openxmlformats.org/officeDocument/2006/relationships" r:id="rId2" tooltip="www.linkedin.com"/>
            <a:extLst>
              <a:ext uri="{FF2B5EF4-FFF2-40B4-BE49-F238E27FC236}">
                <a16:creationId xmlns:a16="http://schemas.microsoft.com/office/drawing/2014/main" id="{4B639A41-D491-BC25-4A14-ECC05DEF1A15}"/>
              </a:ext>
            </a:extLst>
          </xdr:cNvPr>
          <xdr:cNvSpPr txBox="1"/>
        </xdr:nvSpPr>
        <xdr:spPr>
          <a:xfrm>
            <a:off x="3745955" y="0"/>
            <a:ext cx="736593" cy="3905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100">
                <a:solidFill>
                  <a:schemeClr val="bg1"/>
                </a:solidFill>
                <a:latin typeface="Avenir Book" panose="020B0503020203020204" pitchFamily="34" charset="-78"/>
                <a:cs typeface="Avenir Book" panose="020B0503020203020204" pitchFamily="34" charset="-78"/>
              </a:rPr>
              <a:t>Browse</a:t>
            </a:r>
            <a:endParaRPr lang="en-IN" sz="1400">
              <a:solidFill>
                <a:schemeClr val="bg1"/>
              </a:solidFill>
              <a:latin typeface="Avenir Book" panose="020B0503020203020204" pitchFamily="34" charset="-78"/>
              <a:cs typeface="Avenir Book" panose="020B0503020203020204" pitchFamily="34" charset="-78"/>
            </a:endParaRPr>
          </a:p>
        </xdr:txBody>
      </xdr:sp>
      <xdr:sp macro="" textlink="">
        <xdr:nvSpPr>
          <xdr:cNvPr id="29" name="TextBox 28">
            <a:hlinkClick xmlns:r="http://schemas.openxmlformats.org/officeDocument/2006/relationships" r:id="rId3" tooltip="Sales Process"/>
            <a:extLst>
              <a:ext uri="{FF2B5EF4-FFF2-40B4-BE49-F238E27FC236}">
                <a16:creationId xmlns:a16="http://schemas.microsoft.com/office/drawing/2014/main" id="{2D6D725F-FD40-ECB0-2119-CEDFCBF7D3DC}"/>
              </a:ext>
            </a:extLst>
          </xdr:cNvPr>
          <xdr:cNvSpPr txBox="1"/>
        </xdr:nvSpPr>
        <xdr:spPr>
          <a:xfrm>
            <a:off x="12953541" y="0"/>
            <a:ext cx="1396221" cy="3840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solidFill>
                  <a:schemeClr val="bg1"/>
                </a:solidFill>
                <a:latin typeface="Avenir Book" panose="020B0503020203020204" pitchFamily="34" charset="-78"/>
                <a:cs typeface="Avenir Book" panose="020B0503020203020204" pitchFamily="34" charset="-78"/>
              </a:rPr>
              <a:t>Sales</a:t>
            </a:r>
            <a:r>
              <a:rPr lang="en-IN" sz="1200" baseline="0">
                <a:solidFill>
                  <a:schemeClr val="bg1"/>
                </a:solidFill>
                <a:latin typeface="Avenir Book" panose="020B0503020203020204" pitchFamily="34" charset="-78"/>
                <a:cs typeface="Avenir Book" panose="020B0503020203020204" pitchFamily="34" charset="-78"/>
              </a:rPr>
              <a:t> Process</a:t>
            </a:r>
          </a:p>
        </xdr:txBody>
      </xdr:sp>
      <xdr:sp macro="" textlink="">
        <xdr:nvSpPr>
          <xdr:cNvPr id="30" name="TextBox 29">
            <a:hlinkClick xmlns:r="http://schemas.openxmlformats.org/officeDocument/2006/relationships" r:id="rId4" tooltip="Projects Status"/>
            <a:extLst>
              <a:ext uri="{FF2B5EF4-FFF2-40B4-BE49-F238E27FC236}">
                <a16:creationId xmlns:a16="http://schemas.microsoft.com/office/drawing/2014/main" id="{DFC1B2CB-D259-8C9C-123D-BD8F261CD3C8}"/>
              </a:ext>
            </a:extLst>
          </xdr:cNvPr>
          <xdr:cNvSpPr txBox="1"/>
        </xdr:nvSpPr>
        <xdr:spPr>
          <a:xfrm>
            <a:off x="14349763" y="0"/>
            <a:ext cx="1392013" cy="3840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solidFill>
                  <a:schemeClr val="bg1"/>
                </a:solidFill>
                <a:latin typeface="Avenir Book" panose="020B0503020203020204" pitchFamily="34" charset="-78"/>
                <a:cs typeface="Avenir Book" panose="020B0503020203020204" pitchFamily="34" charset="-78"/>
              </a:rPr>
              <a:t>Projects Status</a:t>
            </a:r>
          </a:p>
        </xdr:txBody>
      </xdr:sp>
      <xdr:sp macro="" textlink="">
        <xdr:nvSpPr>
          <xdr:cNvPr id="31" name="TextBox 30">
            <a:hlinkClick xmlns:r="http://schemas.openxmlformats.org/officeDocument/2006/relationships" r:id="rId5" tooltip="Income Sources"/>
            <a:extLst>
              <a:ext uri="{FF2B5EF4-FFF2-40B4-BE49-F238E27FC236}">
                <a16:creationId xmlns:a16="http://schemas.microsoft.com/office/drawing/2014/main" id="{484ABF69-983F-6DF7-75B0-55A99FE8CFA0}"/>
              </a:ext>
            </a:extLst>
          </xdr:cNvPr>
          <xdr:cNvSpPr txBox="1"/>
        </xdr:nvSpPr>
        <xdr:spPr>
          <a:xfrm>
            <a:off x="10150054" y="0"/>
            <a:ext cx="1392907" cy="3840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solidFill>
                  <a:schemeClr val="bg1"/>
                </a:solidFill>
                <a:latin typeface="Avenir Book" panose="020B0503020203020204" pitchFamily="34" charset="-78"/>
                <a:cs typeface="Avenir Book" panose="020B0503020203020204" pitchFamily="34" charset="-78"/>
              </a:rPr>
              <a:t>Income Sources</a:t>
            </a:r>
          </a:p>
        </xdr:txBody>
      </xdr:sp>
      <xdr:sp macro="" textlink="">
        <xdr:nvSpPr>
          <xdr:cNvPr id="32" name="TextBox 31">
            <a:hlinkClick xmlns:r="http://schemas.openxmlformats.org/officeDocument/2006/relationships" r:id="rId6" tooltip="Geographically"/>
            <a:extLst>
              <a:ext uri="{FF2B5EF4-FFF2-40B4-BE49-F238E27FC236}">
                <a16:creationId xmlns:a16="http://schemas.microsoft.com/office/drawing/2014/main" id="{C4C364E8-8EAF-466A-6B98-48A227F14043}"/>
              </a:ext>
            </a:extLst>
          </xdr:cNvPr>
          <xdr:cNvSpPr txBox="1"/>
        </xdr:nvSpPr>
        <xdr:spPr>
          <a:xfrm>
            <a:off x="11542960" y="0"/>
            <a:ext cx="1392573" cy="3840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solidFill>
                  <a:schemeClr val="bg1"/>
                </a:solidFill>
                <a:latin typeface="Avenir Book" panose="020B0503020203020204" pitchFamily="34" charset="-78"/>
                <a:cs typeface="Avenir Book" panose="020B0503020203020204" pitchFamily="34" charset="-78"/>
              </a:rPr>
              <a:t>Geographically</a:t>
            </a:r>
          </a:p>
        </xdr:txBody>
      </xdr:sp>
      <xdr:pic>
        <xdr:nvPicPr>
          <xdr:cNvPr id="33" name="Graphic 32" descr="Compass">
            <a:extLst>
              <a:ext uri="{FF2B5EF4-FFF2-40B4-BE49-F238E27FC236}">
                <a16:creationId xmlns:a16="http://schemas.microsoft.com/office/drawing/2014/main" id="{9758B145-11EA-4C8F-403E-0A3370881E62}"/>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3580808" y="86591"/>
            <a:ext cx="217893" cy="218051"/>
          </a:xfrm>
          <a:prstGeom prst="rect">
            <a:avLst/>
          </a:prstGeom>
        </xdr:spPr>
      </xdr:pic>
      <xdr:sp macro="" textlink="">
        <xdr:nvSpPr>
          <xdr:cNvPr id="34" name="Rectangle: Rounded Corners 33">
            <a:extLst>
              <a:ext uri="{FF2B5EF4-FFF2-40B4-BE49-F238E27FC236}">
                <a16:creationId xmlns:a16="http://schemas.microsoft.com/office/drawing/2014/main" id="{ED811AC8-C2F5-498B-0AEF-1E45B7FCB5F0}"/>
              </a:ext>
            </a:extLst>
          </xdr:cNvPr>
          <xdr:cNvSpPr/>
        </xdr:nvSpPr>
        <xdr:spPr>
          <a:xfrm>
            <a:off x="14535547" y="276950"/>
            <a:ext cx="271007" cy="45720"/>
          </a:xfrm>
          <a:prstGeom prst="roundRect">
            <a:avLst>
              <a:gd name="adj" fmla="val 50000"/>
            </a:avLst>
          </a:prstGeom>
          <a:solidFill>
            <a:srgbClr val="194AF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ivam Rastogi" refreshedDate="46251.999272800924" createdVersion="8" refreshedVersion="8" minRefreshableVersion="3" recordCount="900" xr:uid="{56284C8D-ED7B-41EA-86FB-A489844C0786}">
  <cacheSource type="worksheet">
    <worksheetSource name="Table3"/>
  </cacheSource>
  <cacheFields count="9">
    <cacheField name="Year" numFmtId="0">
      <sharedItems containsSemiMixedTypes="0" containsString="0" containsNumber="1" containsInteger="1" minValue="2020" maxValue="2024" count="5">
        <n v="2020"/>
        <n v="2021"/>
        <n v="2022"/>
        <n v="2023"/>
        <n v="2024"/>
      </sharedItems>
    </cacheField>
    <cacheField name="Month" numFmtId="0">
      <sharedItems count="12">
        <s v="Jan"/>
        <s v="Feb"/>
        <s v="Mar"/>
        <s v="Apr"/>
        <s v="May"/>
        <s v="Jun"/>
        <s v="Jul"/>
        <s v="Aug"/>
        <s v="Sep"/>
        <s v="Oct"/>
        <s v="Nov"/>
        <s v="Dec"/>
      </sharedItems>
    </cacheField>
    <cacheField name="Income sources" numFmtId="0">
      <sharedItems count="6">
        <s v="Licensing"/>
        <s v="Renting"/>
        <s v="Subscription"/>
        <s v="Usage fees"/>
        <s v="Advertising"/>
        <s v="Asset sale"/>
      </sharedItems>
    </cacheField>
    <cacheField name="Income Breakdowns" numFmtId="0">
      <sharedItems count="15">
        <s v="Software Metered License"/>
        <s v="Floating License"/>
        <s v="Equipments"/>
        <s v="Prime"/>
        <s v="Renewal"/>
        <s v="Premium"/>
        <s v="New "/>
        <s v="Offices"/>
        <s v="Facebook Page"/>
        <s v="Google Ad"/>
        <s v="Company Website"/>
        <s v="Youtube Channel"/>
        <s v="Lands"/>
        <s v="Asset sale"/>
        <s v="Television Ad"/>
      </sharedItems>
    </cacheField>
    <cacheField name="Counts" numFmtId="164">
      <sharedItems containsSemiMixedTypes="0" containsString="0" containsNumber="1" minValue="2" maxValue="10368.4"/>
    </cacheField>
    <cacheField name="Income" numFmtId="164">
      <sharedItems containsSemiMixedTypes="0" containsString="0" containsNumber="1" minValue="100" maxValue="22000"/>
    </cacheField>
    <cacheField name="Target Income" numFmtId="164">
      <sharedItems containsSemiMixedTypes="0" containsString="0" containsNumber="1" minValue="112" maxValue="12480" count="19">
        <n v="5126.576"/>
        <n v="8960"/>
        <n v="5126.4639999999999"/>
        <n v="6432.72"/>
        <n v="7840"/>
        <n v="5128.0320000000002"/>
        <n v="112"/>
        <n v="5126.1279999999997"/>
        <n v="224"/>
        <n v="5126.0160000000005"/>
        <n v="7392"/>
        <n v="10296"/>
        <n v="7140.5879999999997"/>
        <n v="12480"/>
        <n v="7140.4319999999989"/>
        <n v="8959.86"/>
        <n v="10920"/>
        <n v="7142.6160000000009"/>
        <n v="156"/>
      </sharedItems>
    </cacheField>
    <cacheField name="operating profit" numFmtId="164">
      <sharedItems containsSemiMixedTypes="0" containsString="0" containsNumber="1" minValue="20" maxValue="4400"/>
    </cacheField>
    <cacheField name="Marketing Strategies" numFmtId="164">
      <sharedItems count="2">
        <s v="B2B"/>
        <s v="B2C"/>
      </sharedItems>
    </cacheField>
  </cacheFields>
  <extLst>
    <ext xmlns:x14="http://schemas.microsoft.com/office/spreadsheetml/2009/9/main" uri="{725AE2AE-9491-48be-B2B4-4EB974FC3084}">
      <x14:pivotCacheDefinition pivotCacheId="1846869964"/>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ivam Rastogi" refreshedDate="46258.925057870372" createdVersion="8" refreshedVersion="8" minRefreshableVersion="3" recordCount="30" xr:uid="{9961053B-0F12-4894-8707-DB832AC07AF7}">
  <cacheSource type="worksheet">
    <worksheetSource ref="Y1:AB31" sheet="Datasets"/>
  </cacheSource>
  <cacheFields count="4">
    <cacheField name="Year" numFmtId="0">
      <sharedItems containsSemiMixedTypes="0" containsString="0" containsNumber="1" containsInteger="1" minValue="2020" maxValue="2024" count="5">
        <n v="2020"/>
        <n v="2021"/>
        <n v="2022"/>
        <n v="2023"/>
        <n v="2024"/>
      </sharedItems>
    </cacheField>
    <cacheField name="Country" numFmtId="0">
      <sharedItems count="6">
        <s v="Egypt"/>
        <s v="USA"/>
        <s v="Russia"/>
        <s v="United Kingdom"/>
        <s v="Brazil"/>
        <s v="Canada"/>
      </sharedItems>
    </cacheField>
    <cacheField name="Amount" numFmtId="1">
      <sharedItems containsSemiMixedTypes="0" containsString="0" containsNumber="1" containsInteger="1" minValue="62240" maxValue="387584"/>
    </cacheField>
    <cacheField name="Target" numFmtId="1">
      <sharedItems containsSemiMixedTypes="0" containsString="0" containsNumber="1" minValue="90151.200000000041" maxValue="700000"/>
    </cacheField>
  </cacheFields>
  <extLst>
    <ext xmlns:x14="http://schemas.microsoft.com/office/spreadsheetml/2009/9/main" uri="{725AE2AE-9491-48be-B2B4-4EB974FC3084}">
      <x14:pivotCacheDefinition pivotCacheId="1991641643"/>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ivam Rastogi" refreshedDate="46260.919902777779" createdVersion="8" refreshedVersion="8" minRefreshableVersion="3" recordCount="3115" xr:uid="{6D7794E0-6157-42C7-B8A5-9470C2DB440F}">
  <cacheSource type="worksheet">
    <worksheetSource name="Table_1"/>
  </cacheSource>
  <cacheFields count="11">
    <cacheField name="Order Number" numFmtId="0">
      <sharedItems/>
    </cacheField>
    <cacheField name="Year" numFmtId="0">
      <sharedItems containsSemiMixedTypes="0" containsString="0" containsNumber="1" containsInteger="1" minValue="2020" maxValue="2024" count="5">
        <n v="2020"/>
        <n v="2021"/>
        <n v="2022"/>
        <n v="2023"/>
        <n v="2024"/>
      </sharedItems>
    </cacheField>
    <cacheField name="Month" numFmtId="0">
      <sharedItems/>
    </cacheField>
    <cacheField name="POS" numFmtId="0">
      <sharedItems count="2">
        <s v="Website"/>
        <s v="Branches"/>
      </sharedItems>
    </cacheField>
    <cacheField name="Payment Method" numFmtId="0">
      <sharedItems count="2">
        <s v="Credit Card"/>
        <s v="Cash on Delivery"/>
      </sharedItems>
    </cacheField>
    <cacheField name="Assembly Stage" numFmtId="0">
      <sharedItems/>
    </cacheField>
    <cacheField name="Registration Status" numFmtId="0">
      <sharedItems count="2">
        <s v="Register Customer info"/>
        <s v="Non-Registered Customer info"/>
      </sharedItems>
    </cacheField>
    <cacheField name="Sale Status" numFmtId="0">
      <sharedItems count="2">
        <s v="Paid"/>
        <s v="Refunded"/>
      </sharedItems>
    </cacheField>
    <cacheField name="Delivery Type" numFmtId="0">
      <sharedItems count="3">
        <s v="Shipment"/>
        <s v="Download"/>
        <s v="Branch "/>
      </sharedItems>
    </cacheField>
    <cacheField name="Amount" numFmtId="0">
      <sharedItems containsSemiMixedTypes="0" containsString="0" containsNumber="1" containsInteger="1" minValue="127" maxValue="1111"/>
    </cacheField>
    <cacheField name="Target" numFmtId="0">
      <sharedItems containsSemiMixedTypes="0" containsString="0" containsNumber="1" minValue="174.07999999999998" maxValue="1588.73"/>
    </cacheField>
  </cacheFields>
  <extLst>
    <ext xmlns:x14="http://schemas.microsoft.com/office/spreadsheetml/2009/9/main" uri="{725AE2AE-9491-48be-B2B4-4EB974FC3084}">
      <x14:pivotCacheDefinition pivotCacheId="26873073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00">
  <r>
    <x v="0"/>
    <x v="0"/>
    <x v="0"/>
    <x v="0"/>
    <n v="3566"/>
    <n v="5492.76"/>
    <x v="0"/>
    <n v="1098.5520000000001"/>
    <x v="0"/>
  </r>
  <r>
    <x v="0"/>
    <x v="0"/>
    <x v="0"/>
    <x v="1"/>
    <n v="2498"/>
    <n v="9600"/>
    <x v="1"/>
    <n v="1920"/>
    <x v="0"/>
  </r>
  <r>
    <x v="0"/>
    <x v="0"/>
    <x v="1"/>
    <x v="2"/>
    <n v="1245"/>
    <n v="5492.6399999999994"/>
    <x v="2"/>
    <n v="1098.528"/>
    <x v="0"/>
  </r>
  <r>
    <x v="0"/>
    <x v="0"/>
    <x v="2"/>
    <x v="3"/>
    <n v="644"/>
    <n v="6892.2"/>
    <x v="3"/>
    <n v="1378.44"/>
    <x v="0"/>
  </r>
  <r>
    <x v="0"/>
    <x v="0"/>
    <x v="3"/>
    <x v="4"/>
    <n v="643"/>
    <n v="7700"/>
    <x v="4"/>
    <n v="1540"/>
    <x v="0"/>
  </r>
  <r>
    <x v="0"/>
    <x v="0"/>
    <x v="2"/>
    <x v="5"/>
    <n v="455"/>
    <n v="5265.39"/>
    <x v="5"/>
    <n v="1053.0780000000002"/>
    <x v="0"/>
  </r>
  <r>
    <x v="0"/>
    <x v="0"/>
    <x v="3"/>
    <x v="6"/>
    <n v="345"/>
    <n v="9016"/>
    <x v="4"/>
    <n v="1803.2"/>
    <x v="0"/>
  </r>
  <r>
    <x v="0"/>
    <x v="0"/>
    <x v="1"/>
    <x v="7"/>
    <n v="122"/>
    <n v="2696.75"/>
    <x v="6"/>
    <n v="539.35"/>
    <x v="0"/>
  </r>
  <r>
    <x v="0"/>
    <x v="0"/>
    <x v="4"/>
    <x v="8"/>
    <n v="78"/>
    <n v="5492.6399999999994"/>
    <x v="2"/>
    <n v="1098.528"/>
    <x v="0"/>
  </r>
  <r>
    <x v="0"/>
    <x v="0"/>
    <x v="4"/>
    <x v="9"/>
    <n v="76"/>
    <n v="5492.28"/>
    <x v="7"/>
    <n v="1098.4559999999999"/>
    <x v="0"/>
  </r>
  <r>
    <x v="0"/>
    <x v="0"/>
    <x v="4"/>
    <x v="10"/>
    <n v="46"/>
    <n v="240"/>
    <x v="8"/>
    <n v="48"/>
    <x v="0"/>
  </r>
  <r>
    <x v="0"/>
    <x v="0"/>
    <x v="4"/>
    <x v="11"/>
    <n v="34"/>
    <n v="5492.16"/>
    <x v="9"/>
    <n v="1098.432"/>
    <x v="0"/>
  </r>
  <r>
    <x v="0"/>
    <x v="0"/>
    <x v="1"/>
    <x v="12"/>
    <n v="7"/>
    <n v="3666.3"/>
    <x v="8"/>
    <n v="733.2600000000001"/>
    <x v="0"/>
  </r>
  <r>
    <x v="0"/>
    <x v="0"/>
    <x v="5"/>
    <x v="13"/>
    <n v="3"/>
    <n v="7260"/>
    <x v="10"/>
    <n v="1452"/>
    <x v="0"/>
  </r>
  <r>
    <x v="0"/>
    <x v="0"/>
    <x v="4"/>
    <x v="14"/>
    <n v="3"/>
    <n v="5035.0300000000007"/>
    <x v="0"/>
    <n v="1007.0060000000002"/>
    <x v="0"/>
  </r>
  <r>
    <x v="0"/>
    <x v="1"/>
    <x v="0"/>
    <x v="0"/>
    <n v="3566"/>
    <n v="5035.0300000000007"/>
    <x v="0"/>
    <n v="1007.0060000000002"/>
    <x v="0"/>
  </r>
  <r>
    <x v="0"/>
    <x v="1"/>
    <x v="0"/>
    <x v="1"/>
    <n v="2498"/>
    <n v="8800"/>
    <x v="1"/>
    <n v="1760"/>
    <x v="0"/>
  </r>
  <r>
    <x v="0"/>
    <x v="1"/>
    <x v="1"/>
    <x v="2"/>
    <n v="1245"/>
    <n v="5034.92"/>
    <x v="2"/>
    <n v="1006.984"/>
    <x v="0"/>
  </r>
  <r>
    <x v="0"/>
    <x v="1"/>
    <x v="2"/>
    <x v="3"/>
    <n v="644"/>
    <n v="6317.85"/>
    <x v="3"/>
    <n v="1263.5700000000002"/>
    <x v="0"/>
  </r>
  <r>
    <x v="0"/>
    <x v="1"/>
    <x v="3"/>
    <x v="4"/>
    <n v="643"/>
    <n v="7000"/>
    <x v="4"/>
    <n v="1400"/>
    <x v="0"/>
  </r>
  <r>
    <x v="0"/>
    <x v="1"/>
    <x v="2"/>
    <x v="5"/>
    <n v="455"/>
    <n v="4578.6000000000004"/>
    <x v="5"/>
    <n v="915.72000000000014"/>
    <x v="0"/>
  </r>
  <r>
    <x v="0"/>
    <x v="1"/>
    <x v="3"/>
    <x v="6"/>
    <n v="345"/>
    <n v="7000"/>
    <x v="4"/>
    <n v="1400"/>
    <x v="0"/>
  </r>
  <r>
    <x v="0"/>
    <x v="1"/>
    <x v="1"/>
    <x v="7"/>
    <n v="122"/>
    <n v="100"/>
    <x v="6"/>
    <n v="20"/>
    <x v="0"/>
  </r>
  <r>
    <x v="0"/>
    <x v="1"/>
    <x v="4"/>
    <x v="8"/>
    <n v="78"/>
    <n v="4577.2"/>
    <x v="2"/>
    <n v="915.44"/>
    <x v="0"/>
  </r>
  <r>
    <x v="0"/>
    <x v="1"/>
    <x v="4"/>
    <x v="9"/>
    <n v="76"/>
    <n v="4576.8999999999996"/>
    <x v="7"/>
    <n v="915.38"/>
    <x v="0"/>
  </r>
  <r>
    <x v="0"/>
    <x v="1"/>
    <x v="4"/>
    <x v="10"/>
    <n v="46"/>
    <n v="200"/>
    <x v="8"/>
    <n v="40"/>
    <x v="0"/>
  </r>
  <r>
    <x v="0"/>
    <x v="1"/>
    <x v="4"/>
    <x v="11"/>
    <n v="34"/>
    <n v="4576.8"/>
    <x v="9"/>
    <n v="915.36000000000013"/>
    <x v="0"/>
  </r>
  <r>
    <x v="0"/>
    <x v="1"/>
    <x v="1"/>
    <x v="12"/>
    <n v="7"/>
    <n v="200"/>
    <x v="8"/>
    <n v="40"/>
    <x v="0"/>
  </r>
  <r>
    <x v="0"/>
    <x v="1"/>
    <x v="4"/>
    <x v="14"/>
    <n v="3"/>
    <n v="4577.3"/>
    <x v="0"/>
    <n v="915.46"/>
    <x v="0"/>
  </r>
  <r>
    <x v="0"/>
    <x v="1"/>
    <x v="5"/>
    <x v="13"/>
    <n v="2"/>
    <n v="6600"/>
    <x v="10"/>
    <n v="1320"/>
    <x v="0"/>
  </r>
  <r>
    <x v="0"/>
    <x v="2"/>
    <x v="0"/>
    <x v="0"/>
    <n v="3566"/>
    <n v="4577.3"/>
    <x v="0"/>
    <n v="915.46"/>
    <x v="0"/>
  </r>
  <r>
    <x v="0"/>
    <x v="2"/>
    <x v="0"/>
    <x v="1"/>
    <n v="2498"/>
    <n v="8000"/>
    <x v="1"/>
    <n v="1600"/>
    <x v="0"/>
  </r>
  <r>
    <x v="0"/>
    <x v="2"/>
    <x v="1"/>
    <x v="2"/>
    <n v="1245"/>
    <n v="4577.2"/>
    <x v="2"/>
    <n v="915.44"/>
    <x v="0"/>
  </r>
  <r>
    <x v="0"/>
    <x v="2"/>
    <x v="2"/>
    <x v="3"/>
    <n v="644"/>
    <n v="5743.5"/>
    <x v="3"/>
    <n v="1148.7"/>
    <x v="0"/>
  </r>
  <r>
    <x v="0"/>
    <x v="2"/>
    <x v="3"/>
    <x v="4"/>
    <n v="643"/>
    <n v="7000"/>
    <x v="4"/>
    <n v="1400"/>
    <x v="0"/>
  </r>
  <r>
    <x v="0"/>
    <x v="2"/>
    <x v="2"/>
    <x v="5"/>
    <n v="455"/>
    <n v="4578.6000000000004"/>
    <x v="5"/>
    <n v="915.72000000000014"/>
    <x v="0"/>
  </r>
  <r>
    <x v="0"/>
    <x v="2"/>
    <x v="3"/>
    <x v="6"/>
    <n v="345"/>
    <n v="7000"/>
    <x v="4"/>
    <n v="1400"/>
    <x v="0"/>
  </r>
  <r>
    <x v="0"/>
    <x v="2"/>
    <x v="1"/>
    <x v="7"/>
    <n v="122"/>
    <n v="100"/>
    <x v="6"/>
    <n v="20"/>
    <x v="0"/>
  </r>
  <r>
    <x v="0"/>
    <x v="2"/>
    <x v="4"/>
    <x v="8"/>
    <n v="78"/>
    <n v="4577.2"/>
    <x v="2"/>
    <n v="915.44"/>
    <x v="0"/>
  </r>
  <r>
    <x v="0"/>
    <x v="2"/>
    <x v="4"/>
    <x v="9"/>
    <n v="76"/>
    <n v="4576.8999999999996"/>
    <x v="7"/>
    <n v="915.38"/>
    <x v="0"/>
  </r>
  <r>
    <x v="0"/>
    <x v="2"/>
    <x v="4"/>
    <x v="10"/>
    <n v="46"/>
    <n v="200"/>
    <x v="8"/>
    <n v="40"/>
    <x v="0"/>
  </r>
  <r>
    <x v="0"/>
    <x v="2"/>
    <x v="4"/>
    <x v="11"/>
    <n v="34"/>
    <n v="4576.8"/>
    <x v="9"/>
    <n v="915.36000000000013"/>
    <x v="1"/>
  </r>
  <r>
    <x v="0"/>
    <x v="2"/>
    <x v="1"/>
    <x v="12"/>
    <n v="7"/>
    <n v="200"/>
    <x v="8"/>
    <n v="40"/>
    <x v="1"/>
  </r>
  <r>
    <x v="0"/>
    <x v="2"/>
    <x v="4"/>
    <x v="14"/>
    <n v="3"/>
    <n v="3333"/>
    <x v="0"/>
    <n v="666.6"/>
    <x v="1"/>
  </r>
  <r>
    <x v="0"/>
    <x v="2"/>
    <x v="5"/>
    <x v="13"/>
    <n v="2"/>
    <n v="6600"/>
    <x v="10"/>
    <n v="1320"/>
    <x v="1"/>
  </r>
  <r>
    <x v="0"/>
    <x v="3"/>
    <x v="0"/>
    <x v="0"/>
    <n v="3566"/>
    <n v="4577.3"/>
    <x v="0"/>
    <n v="915.46"/>
    <x v="1"/>
  </r>
  <r>
    <x v="0"/>
    <x v="3"/>
    <x v="0"/>
    <x v="1"/>
    <n v="2498"/>
    <n v="8000"/>
    <x v="1"/>
    <n v="1600"/>
    <x v="1"/>
  </r>
  <r>
    <x v="0"/>
    <x v="3"/>
    <x v="1"/>
    <x v="2"/>
    <n v="1245"/>
    <n v="4577.2"/>
    <x v="2"/>
    <n v="915.44"/>
    <x v="1"/>
  </r>
  <r>
    <x v="0"/>
    <x v="3"/>
    <x v="2"/>
    <x v="3"/>
    <n v="644"/>
    <n v="5743.5"/>
    <x v="3"/>
    <n v="1148.7"/>
    <x v="1"/>
  </r>
  <r>
    <x v="0"/>
    <x v="3"/>
    <x v="3"/>
    <x v="4"/>
    <n v="643"/>
    <n v="7000"/>
    <x v="4"/>
    <n v="1400"/>
    <x v="1"/>
  </r>
  <r>
    <x v="0"/>
    <x v="3"/>
    <x v="2"/>
    <x v="5"/>
    <n v="455"/>
    <n v="4578.6000000000004"/>
    <x v="5"/>
    <n v="915.72000000000014"/>
    <x v="1"/>
  </r>
  <r>
    <x v="0"/>
    <x v="3"/>
    <x v="3"/>
    <x v="6"/>
    <n v="345"/>
    <n v="7000"/>
    <x v="4"/>
    <n v="1400"/>
    <x v="1"/>
  </r>
  <r>
    <x v="0"/>
    <x v="3"/>
    <x v="1"/>
    <x v="7"/>
    <n v="122"/>
    <n v="100"/>
    <x v="6"/>
    <n v="20"/>
    <x v="1"/>
  </r>
  <r>
    <x v="0"/>
    <x v="3"/>
    <x v="4"/>
    <x v="8"/>
    <n v="78"/>
    <n v="4577.2"/>
    <x v="2"/>
    <n v="915.44"/>
    <x v="1"/>
  </r>
  <r>
    <x v="0"/>
    <x v="3"/>
    <x v="4"/>
    <x v="9"/>
    <n v="76"/>
    <n v="4576.8999999999996"/>
    <x v="7"/>
    <n v="915.38"/>
    <x v="1"/>
  </r>
  <r>
    <x v="0"/>
    <x v="3"/>
    <x v="4"/>
    <x v="10"/>
    <n v="46"/>
    <n v="200"/>
    <x v="8"/>
    <n v="40"/>
    <x v="1"/>
  </r>
  <r>
    <x v="0"/>
    <x v="3"/>
    <x v="4"/>
    <x v="11"/>
    <n v="34"/>
    <n v="4576.8"/>
    <x v="9"/>
    <n v="915.36000000000013"/>
    <x v="1"/>
  </r>
  <r>
    <x v="0"/>
    <x v="3"/>
    <x v="1"/>
    <x v="12"/>
    <n v="7"/>
    <n v="200"/>
    <x v="8"/>
    <n v="40"/>
    <x v="1"/>
  </r>
  <r>
    <x v="0"/>
    <x v="3"/>
    <x v="4"/>
    <x v="14"/>
    <n v="3"/>
    <n v="4577.3"/>
    <x v="0"/>
    <n v="915.46"/>
    <x v="1"/>
  </r>
  <r>
    <x v="0"/>
    <x v="3"/>
    <x v="5"/>
    <x v="13"/>
    <n v="2"/>
    <n v="6600"/>
    <x v="10"/>
    <n v="1320"/>
    <x v="1"/>
  </r>
  <r>
    <x v="0"/>
    <x v="4"/>
    <x v="0"/>
    <x v="0"/>
    <n v="3566"/>
    <n v="4577.3"/>
    <x v="0"/>
    <n v="915.46"/>
    <x v="1"/>
  </r>
  <r>
    <x v="0"/>
    <x v="4"/>
    <x v="0"/>
    <x v="1"/>
    <n v="2498"/>
    <n v="8000"/>
    <x v="1"/>
    <n v="1600"/>
    <x v="1"/>
  </r>
  <r>
    <x v="0"/>
    <x v="4"/>
    <x v="1"/>
    <x v="2"/>
    <n v="1245"/>
    <n v="4577.2"/>
    <x v="2"/>
    <n v="915.44"/>
    <x v="1"/>
  </r>
  <r>
    <x v="0"/>
    <x v="4"/>
    <x v="2"/>
    <x v="3"/>
    <n v="644"/>
    <n v="5743.5"/>
    <x v="3"/>
    <n v="1148.7"/>
    <x v="1"/>
  </r>
  <r>
    <x v="0"/>
    <x v="4"/>
    <x v="3"/>
    <x v="4"/>
    <n v="643"/>
    <n v="7000"/>
    <x v="4"/>
    <n v="1400"/>
    <x v="0"/>
  </r>
  <r>
    <x v="0"/>
    <x v="4"/>
    <x v="2"/>
    <x v="5"/>
    <n v="455"/>
    <n v="4578.6000000000004"/>
    <x v="5"/>
    <n v="915.72000000000014"/>
    <x v="0"/>
  </r>
  <r>
    <x v="0"/>
    <x v="4"/>
    <x v="3"/>
    <x v="6"/>
    <n v="345"/>
    <n v="7000"/>
    <x v="4"/>
    <n v="1400"/>
    <x v="0"/>
  </r>
  <r>
    <x v="0"/>
    <x v="4"/>
    <x v="1"/>
    <x v="7"/>
    <n v="122"/>
    <n v="100"/>
    <x v="6"/>
    <n v="20"/>
    <x v="0"/>
  </r>
  <r>
    <x v="0"/>
    <x v="4"/>
    <x v="4"/>
    <x v="8"/>
    <n v="78"/>
    <n v="4577.2"/>
    <x v="2"/>
    <n v="915.44"/>
    <x v="0"/>
  </r>
  <r>
    <x v="0"/>
    <x v="4"/>
    <x v="4"/>
    <x v="9"/>
    <n v="76"/>
    <n v="4576.8999999999996"/>
    <x v="7"/>
    <n v="915.38"/>
    <x v="0"/>
  </r>
  <r>
    <x v="0"/>
    <x v="4"/>
    <x v="4"/>
    <x v="10"/>
    <n v="46"/>
    <n v="200"/>
    <x v="8"/>
    <n v="40"/>
    <x v="0"/>
  </r>
  <r>
    <x v="0"/>
    <x v="4"/>
    <x v="4"/>
    <x v="11"/>
    <n v="34"/>
    <n v="4576.8"/>
    <x v="9"/>
    <n v="915.36000000000013"/>
    <x v="0"/>
  </r>
  <r>
    <x v="0"/>
    <x v="4"/>
    <x v="1"/>
    <x v="12"/>
    <n v="7"/>
    <n v="200"/>
    <x v="8"/>
    <n v="40"/>
    <x v="0"/>
  </r>
  <r>
    <x v="0"/>
    <x v="4"/>
    <x v="4"/>
    <x v="14"/>
    <n v="3"/>
    <n v="4577.3"/>
    <x v="0"/>
    <n v="915.46"/>
    <x v="0"/>
  </r>
  <r>
    <x v="0"/>
    <x v="4"/>
    <x v="5"/>
    <x v="13"/>
    <n v="2"/>
    <n v="6600"/>
    <x v="10"/>
    <n v="1320"/>
    <x v="0"/>
  </r>
  <r>
    <x v="0"/>
    <x v="5"/>
    <x v="0"/>
    <x v="0"/>
    <n v="3566"/>
    <n v="4577.3"/>
    <x v="0"/>
    <n v="915.46"/>
    <x v="0"/>
  </r>
  <r>
    <x v="0"/>
    <x v="5"/>
    <x v="0"/>
    <x v="1"/>
    <n v="2498"/>
    <n v="8000"/>
    <x v="1"/>
    <n v="1600"/>
    <x v="0"/>
  </r>
  <r>
    <x v="0"/>
    <x v="5"/>
    <x v="1"/>
    <x v="2"/>
    <n v="1245"/>
    <n v="4577.2"/>
    <x v="2"/>
    <n v="915.44"/>
    <x v="0"/>
  </r>
  <r>
    <x v="0"/>
    <x v="5"/>
    <x v="2"/>
    <x v="3"/>
    <n v="644"/>
    <n v="5743.5"/>
    <x v="3"/>
    <n v="1148.7"/>
    <x v="0"/>
  </r>
  <r>
    <x v="0"/>
    <x v="5"/>
    <x v="3"/>
    <x v="4"/>
    <n v="643"/>
    <n v="7000"/>
    <x v="4"/>
    <n v="1400"/>
    <x v="0"/>
  </r>
  <r>
    <x v="0"/>
    <x v="5"/>
    <x v="2"/>
    <x v="5"/>
    <n v="455"/>
    <n v="4578.6000000000004"/>
    <x v="5"/>
    <n v="915.72000000000014"/>
    <x v="0"/>
  </r>
  <r>
    <x v="0"/>
    <x v="5"/>
    <x v="3"/>
    <x v="6"/>
    <n v="345"/>
    <n v="7000"/>
    <x v="4"/>
    <n v="1400"/>
    <x v="0"/>
  </r>
  <r>
    <x v="0"/>
    <x v="5"/>
    <x v="1"/>
    <x v="7"/>
    <n v="122"/>
    <n v="100"/>
    <x v="6"/>
    <n v="20"/>
    <x v="0"/>
  </r>
  <r>
    <x v="0"/>
    <x v="5"/>
    <x v="4"/>
    <x v="8"/>
    <n v="78"/>
    <n v="4577.2"/>
    <x v="2"/>
    <n v="915.44"/>
    <x v="0"/>
  </r>
  <r>
    <x v="0"/>
    <x v="5"/>
    <x v="4"/>
    <x v="9"/>
    <n v="76"/>
    <n v="4576.8999999999996"/>
    <x v="7"/>
    <n v="915.38"/>
    <x v="0"/>
  </r>
  <r>
    <x v="0"/>
    <x v="5"/>
    <x v="4"/>
    <x v="10"/>
    <n v="46"/>
    <n v="200"/>
    <x v="8"/>
    <n v="40"/>
    <x v="0"/>
  </r>
  <r>
    <x v="0"/>
    <x v="5"/>
    <x v="4"/>
    <x v="11"/>
    <n v="34"/>
    <n v="4576.8"/>
    <x v="9"/>
    <n v="915.36000000000013"/>
    <x v="0"/>
  </r>
  <r>
    <x v="0"/>
    <x v="5"/>
    <x v="1"/>
    <x v="12"/>
    <n v="7"/>
    <n v="200"/>
    <x v="8"/>
    <n v="40"/>
    <x v="0"/>
  </r>
  <r>
    <x v="0"/>
    <x v="5"/>
    <x v="5"/>
    <x v="13"/>
    <n v="3"/>
    <n v="6600"/>
    <x v="10"/>
    <n v="1320"/>
    <x v="0"/>
  </r>
  <r>
    <x v="0"/>
    <x v="5"/>
    <x v="4"/>
    <x v="14"/>
    <n v="3"/>
    <n v="4577.3"/>
    <x v="0"/>
    <n v="915.46"/>
    <x v="0"/>
  </r>
  <r>
    <x v="0"/>
    <x v="6"/>
    <x v="0"/>
    <x v="0"/>
    <n v="3566"/>
    <n v="4577.3"/>
    <x v="0"/>
    <n v="915.46"/>
    <x v="0"/>
  </r>
  <r>
    <x v="0"/>
    <x v="6"/>
    <x v="0"/>
    <x v="1"/>
    <n v="2498"/>
    <n v="8000"/>
    <x v="1"/>
    <n v="1600"/>
    <x v="0"/>
  </r>
  <r>
    <x v="0"/>
    <x v="6"/>
    <x v="1"/>
    <x v="2"/>
    <n v="1245"/>
    <n v="4577.2"/>
    <x v="2"/>
    <n v="915.44"/>
    <x v="0"/>
  </r>
  <r>
    <x v="0"/>
    <x v="6"/>
    <x v="2"/>
    <x v="3"/>
    <n v="644"/>
    <n v="5743.5"/>
    <x v="3"/>
    <n v="1148.7"/>
    <x v="0"/>
  </r>
  <r>
    <x v="0"/>
    <x v="6"/>
    <x v="3"/>
    <x v="4"/>
    <n v="643"/>
    <n v="7000"/>
    <x v="4"/>
    <n v="1400"/>
    <x v="0"/>
  </r>
  <r>
    <x v="0"/>
    <x v="6"/>
    <x v="2"/>
    <x v="5"/>
    <n v="455"/>
    <n v="4578.6000000000004"/>
    <x v="5"/>
    <n v="915.72000000000014"/>
    <x v="0"/>
  </r>
  <r>
    <x v="0"/>
    <x v="6"/>
    <x v="3"/>
    <x v="6"/>
    <n v="345"/>
    <n v="7000"/>
    <x v="4"/>
    <n v="1400"/>
    <x v="0"/>
  </r>
  <r>
    <x v="0"/>
    <x v="6"/>
    <x v="1"/>
    <x v="7"/>
    <n v="122"/>
    <n v="100"/>
    <x v="6"/>
    <n v="20"/>
    <x v="0"/>
  </r>
  <r>
    <x v="0"/>
    <x v="6"/>
    <x v="4"/>
    <x v="8"/>
    <n v="78"/>
    <n v="4577.2"/>
    <x v="2"/>
    <n v="915.44"/>
    <x v="0"/>
  </r>
  <r>
    <x v="0"/>
    <x v="6"/>
    <x v="4"/>
    <x v="9"/>
    <n v="76"/>
    <n v="4576.8999999999996"/>
    <x v="7"/>
    <n v="915.38"/>
    <x v="0"/>
  </r>
  <r>
    <x v="0"/>
    <x v="6"/>
    <x v="4"/>
    <x v="10"/>
    <n v="46"/>
    <n v="200"/>
    <x v="8"/>
    <n v="40"/>
    <x v="0"/>
  </r>
  <r>
    <x v="0"/>
    <x v="6"/>
    <x v="4"/>
    <x v="11"/>
    <n v="34"/>
    <n v="4576.8"/>
    <x v="9"/>
    <n v="915.36000000000013"/>
    <x v="0"/>
  </r>
  <r>
    <x v="0"/>
    <x v="6"/>
    <x v="1"/>
    <x v="12"/>
    <n v="7"/>
    <n v="200"/>
    <x v="8"/>
    <n v="40"/>
    <x v="0"/>
  </r>
  <r>
    <x v="0"/>
    <x v="6"/>
    <x v="4"/>
    <x v="14"/>
    <n v="3"/>
    <n v="4577.3"/>
    <x v="0"/>
    <n v="915.46"/>
    <x v="0"/>
  </r>
  <r>
    <x v="0"/>
    <x v="6"/>
    <x v="5"/>
    <x v="13"/>
    <n v="2"/>
    <n v="6600"/>
    <x v="10"/>
    <n v="1320"/>
    <x v="0"/>
  </r>
  <r>
    <x v="0"/>
    <x v="7"/>
    <x v="0"/>
    <x v="0"/>
    <n v="3566"/>
    <n v="4577.3"/>
    <x v="0"/>
    <n v="915.46"/>
    <x v="0"/>
  </r>
  <r>
    <x v="0"/>
    <x v="7"/>
    <x v="0"/>
    <x v="1"/>
    <n v="2498"/>
    <n v="8000"/>
    <x v="1"/>
    <n v="1600"/>
    <x v="1"/>
  </r>
  <r>
    <x v="0"/>
    <x v="7"/>
    <x v="1"/>
    <x v="2"/>
    <n v="1245"/>
    <n v="4577.2"/>
    <x v="2"/>
    <n v="915.44"/>
    <x v="1"/>
  </r>
  <r>
    <x v="0"/>
    <x v="7"/>
    <x v="2"/>
    <x v="3"/>
    <n v="644"/>
    <n v="5743.5"/>
    <x v="3"/>
    <n v="1148.7"/>
    <x v="1"/>
  </r>
  <r>
    <x v="0"/>
    <x v="7"/>
    <x v="3"/>
    <x v="4"/>
    <n v="643"/>
    <n v="7000"/>
    <x v="4"/>
    <n v="1400"/>
    <x v="1"/>
  </r>
  <r>
    <x v="0"/>
    <x v="7"/>
    <x v="2"/>
    <x v="5"/>
    <n v="455"/>
    <n v="4578.6000000000004"/>
    <x v="5"/>
    <n v="915.72000000000014"/>
    <x v="1"/>
  </r>
  <r>
    <x v="0"/>
    <x v="7"/>
    <x v="3"/>
    <x v="6"/>
    <n v="345"/>
    <n v="7000"/>
    <x v="4"/>
    <n v="1400"/>
    <x v="1"/>
  </r>
  <r>
    <x v="0"/>
    <x v="7"/>
    <x v="1"/>
    <x v="7"/>
    <n v="122"/>
    <n v="100"/>
    <x v="6"/>
    <n v="20"/>
    <x v="1"/>
  </r>
  <r>
    <x v="0"/>
    <x v="7"/>
    <x v="4"/>
    <x v="8"/>
    <n v="78"/>
    <n v="4577.2"/>
    <x v="2"/>
    <n v="915.44"/>
    <x v="1"/>
  </r>
  <r>
    <x v="0"/>
    <x v="7"/>
    <x v="4"/>
    <x v="9"/>
    <n v="76"/>
    <n v="4576.8999999999996"/>
    <x v="7"/>
    <n v="915.38"/>
    <x v="1"/>
  </r>
  <r>
    <x v="0"/>
    <x v="7"/>
    <x v="4"/>
    <x v="10"/>
    <n v="46"/>
    <n v="200"/>
    <x v="8"/>
    <n v="40"/>
    <x v="1"/>
  </r>
  <r>
    <x v="0"/>
    <x v="7"/>
    <x v="4"/>
    <x v="11"/>
    <n v="34"/>
    <n v="4576.8"/>
    <x v="9"/>
    <n v="915.36000000000013"/>
    <x v="1"/>
  </r>
  <r>
    <x v="0"/>
    <x v="7"/>
    <x v="1"/>
    <x v="12"/>
    <n v="7"/>
    <n v="200"/>
    <x v="8"/>
    <n v="40"/>
    <x v="1"/>
  </r>
  <r>
    <x v="0"/>
    <x v="7"/>
    <x v="4"/>
    <x v="14"/>
    <n v="3"/>
    <n v="4577.3"/>
    <x v="0"/>
    <n v="915.46"/>
    <x v="1"/>
  </r>
  <r>
    <x v="0"/>
    <x v="7"/>
    <x v="5"/>
    <x v="13"/>
    <n v="2"/>
    <n v="6600"/>
    <x v="10"/>
    <n v="1320"/>
    <x v="1"/>
  </r>
  <r>
    <x v="0"/>
    <x v="8"/>
    <x v="0"/>
    <x v="0"/>
    <n v="3566"/>
    <n v="4577.3"/>
    <x v="0"/>
    <n v="915.46"/>
    <x v="1"/>
  </r>
  <r>
    <x v="0"/>
    <x v="8"/>
    <x v="0"/>
    <x v="1"/>
    <n v="2498"/>
    <n v="8000"/>
    <x v="1"/>
    <n v="1600"/>
    <x v="1"/>
  </r>
  <r>
    <x v="0"/>
    <x v="8"/>
    <x v="1"/>
    <x v="2"/>
    <n v="1245"/>
    <n v="4577.2"/>
    <x v="2"/>
    <n v="915.44"/>
    <x v="1"/>
  </r>
  <r>
    <x v="0"/>
    <x v="8"/>
    <x v="2"/>
    <x v="3"/>
    <n v="644"/>
    <n v="5743.5"/>
    <x v="3"/>
    <n v="1148.7"/>
    <x v="1"/>
  </r>
  <r>
    <x v="0"/>
    <x v="8"/>
    <x v="3"/>
    <x v="4"/>
    <n v="643"/>
    <n v="7000"/>
    <x v="4"/>
    <n v="1400"/>
    <x v="1"/>
  </r>
  <r>
    <x v="0"/>
    <x v="8"/>
    <x v="2"/>
    <x v="5"/>
    <n v="455"/>
    <n v="4578.6000000000004"/>
    <x v="5"/>
    <n v="915.72000000000014"/>
    <x v="1"/>
  </r>
  <r>
    <x v="0"/>
    <x v="8"/>
    <x v="3"/>
    <x v="6"/>
    <n v="345"/>
    <n v="7000"/>
    <x v="4"/>
    <n v="1400"/>
    <x v="1"/>
  </r>
  <r>
    <x v="0"/>
    <x v="8"/>
    <x v="1"/>
    <x v="7"/>
    <n v="122"/>
    <n v="100"/>
    <x v="6"/>
    <n v="20"/>
    <x v="1"/>
  </r>
  <r>
    <x v="0"/>
    <x v="8"/>
    <x v="4"/>
    <x v="8"/>
    <n v="78"/>
    <n v="4577.2"/>
    <x v="2"/>
    <n v="915.44"/>
    <x v="1"/>
  </r>
  <r>
    <x v="0"/>
    <x v="8"/>
    <x v="4"/>
    <x v="9"/>
    <n v="76"/>
    <n v="4576.8999999999996"/>
    <x v="7"/>
    <n v="915.38"/>
    <x v="1"/>
  </r>
  <r>
    <x v="0"/>
    <x v="8"/>
    <x v="4"/>
    <x v="10"/>
    <n v="46"/>
    <n v="200"/>
    <x v="8"/>
    <n v="40"/>
    <x v="1"/>
  </r>
  <r>
    <x v="0"/>
    <x v="8"/>
    <x v="4"/>
    <x v="11"/>
    <n v="34"/>
    <n v="4576.8"/>
    <x v="9"/>
    <n v="915.36000000000013"/>
    <x v="0"/>
  </r>
  <r>
    <x v="0"/>
    <x v="8"/>
    <x v="1"/>
    <x v="12"/>
    <n v="7"/>
    <n v="200"/>
    <x v="8"/>
    <n v="40"/>
    <x v="0"/>
  </r>
  <r>
    <x v="0"/>
    <x v="8"/>
    <x v="4"/>
    <x v="14"/>
    <n v="3"/>
    <n v="4577.3"/>
    <x v="0"/>
    <n v="915.46"/>
    <x v="0"/>
  </r>
  <r>
    <x v="0"/>
    <x v="8"/>
    <x v="5"/>
    <x v="13"/>
    <n v="2"/>
    <n v="6600"/>
    <x v="10"/>
    <n v="1320"/>
    <x v="0"/>
  </r>
  <r>
    <x v="0"/>
    <x v="9"/>
    <x v="0"/>
    <x v="0"/>
    <n v="3566"/>
    <n v="4577.3"/>
    <x v="0"/>
    <n v="915.46"/>
    <x v="0"/>
  </r>
  <r>
    <x v="0"/>
    <x v="9"/>
    <x v="0"/>
    <x v="1"/>
    <n v="2498"/>
    <n v="8000"/>
    <x v="1"/>
    <n v="1600"/>
    <x v="0"/>
  </r>
  <r>
    <x v="0"/>
    <x v="9"/>
    <x v="1"/>
    <x v="2"/>
    <n v="1245"/>
    <n v="4577.2"/>
    <x v="2"/>
    <n v="915.44"/>
    <x v="0"/>
  </r>
  <r>
    <x v="0"/>
    <x v="9"/>
    <x v="2"/>
    <x v="3"/>
    <n v="644"/>
    <n v="5743.5"/>
    <x v="3"/>
    <n v="1148.7"/>
    <x v="0"/>
  </r>
  <r>
    <x v="0"/>
    <x v="9"/>
    <x v="3"/>
    <x v="4"/>
    <n v="643"/>
    <n v="7000"/>
    <x v="4"/>
    <n v="1400"/>
    <x v="0"/>
  </r>
  <r>
    <x v="0"/>
    <x v="9"/>
    <x v="2"/>
    <x v="5"/>
    <n v="455"/>
    <n v="4578.6000000000004"/>
    <x v="5"/>
    <n v="915.72000000000014"/>
    <x v="0"/>
  </r>
  <r>
    <x v="0"/>
    <x v="9"/>
    <x v="3"/>
    <x v="6"/>
    <n v="345"/>
    <n v="7000"/>
    <x v="4"/>
    <n v="1400"/>
    <x v="0"/>
  </r>
  <r>
    <x v="0"/>
    <x v="9"/>
    <x v="1"/>
    <x v="7"/>
    <n v="122"/>
    <n v="100"/>
    <x v="6"/>
    <n v="20"/>
    <x v="0"/>
  </r>
  <r>
    <x v="0"/>
    <x v="9"/>
    <x v="4"/>
    <x v="8"/>
    <n v="78"/>
    <n v="4577.2"/>
    <x v="2"/>
    <n v="915.44"/>
    <x v="0"/>
  </r>
  <r>
    <x v="0"/>
    <x v="9"/>
    <x v="4"/>
    <x v="9"/>
    <n v="76"/>
    <n v="4576.8999999999996"/>
    <x v="7"/>
    <n v="915.38"/>
    <x v="0"/>
  </r>
  <r>
    <x v="0"/>
    <x v="9"/>
    <x v="4"/>
    <x v="10"/>
    <n v="46"/>
    <n v="200"/>
    <x v="8"/>
    <n v="40"/>
    <x v="0"/>
  </r>
  <r>
    <x v="0"/>
    <x v="9"/>
    <x v="4"/>
    <x v="11"/>
    <n v="34"/>
    <n v="4576.8"/>
    <x v="9"/>
    <n v="915.36000000000013"/>
    <x v="0"/>
  </r>
  <r>
    <x v="0"/>
    <x v="9"/>
    <x v="1"/>
    <x v="12"/>
    <n v="7"/>
    <n v="200"/>
    <x v="8"/>
    <n v="40"/>
    <x v="0"/>
  </r>
  <r>
    <x v="0"/>
    <x v="9"/>
    <x v="4"/>
    <x v="14"/>
    <n v="3"/>
    <n v="4577.3"/>
    <x v="0"/>
    <n v="915.46"/>
    <x v="1"/>
  </r>
  <r>
    <x v="0"/>
    <x v="9"/>
    <x v="5"/>
    <x v="13"/>
    <n v="2"/>
    <n v="6600"/>
    <x v="10"/>
    <n v="1320"/>
    <x v="1"/>
  </r>
  <r>
    <x v="0"/>
    <x v="10"/>
    <x v="0"/>
    <x v="0"/>
    <n v="3566"/>
    <n v="4577.3"/>
    <x v="0"/>
    <n v="915.46"/>
    <x v="1"/>
  </r>
  <r>
    <x v="0"/>
    <x v="10"/>
    <x v="0"/>
    <x v="1"/>
    <n v="2498"/>
    <n v="8000"/>
    <x v="1"/>
    <n v="1600"/>
    <x v="1"/>
  </r>
  <r>
    <x v="0"/>
    <x v="10"/>
    <x v="1"/>
    <x v="2"/>
    <n v="1245"/>
    <n v="4577.2"/>
    <x v="2"/>
    <n v="915.44"/>
    <x v="1"/>
  </r>
  <r>
    <x v="0"/>
    <x v="10"/>
    <x v="2"/>
    <x v="3"/>
    <n v="644"/>
    <n v="5743.5"/>
    <x v="3"/>
    <n v="1148.7"/>
    <x v="1"/>
  </r>
  <r>
    <x v="0"/>
    <x v="10"/>
    <x v="3"/>
    <x v="4"/>
    <n v="643"/>
    <n v="7000"/>
    <x v="4"/>
    <n v="1400"/>
    <x v="1"/>
  </r>
  <r>
    <x v="0"/>
    <x v="10"/>
    <x v="2"/>
    <x v="5"/>
    <n v="455"/>
    <n v="4578.6000000000004"/>
    <x v="5"/>
    <n v="915.72000000000014"/>
    <x v="1"/>
  </r>
  <r>
    <x v="0"/>
    <x v="10"/>
    <x v="3"/>
    <x v="6"/>
    <n v="345"/>
    <n v="7000"/>
    <x v="4"/>
    <n v="1400"/>
    <x v="1"/>
  </r>
  <r>
    <x v="0"/>
    <x v="10"/>
    <x v="1"/>
    <x v="7"/>
    <n v="122"/>
    <n v="100"/>
    <x v="6"/>
    <n v="20"/>
    <x v="1"/>
  </r>
  <r>
    <x v="0"/>
    <x v="10"/>
    <x v="4"/>
    <x v="8"/>
    <n v="78"/>
    <n v="4577.2"/>
    <x v="2"/>
    <n v="915.44"/>
    <x v="1"/>
  </r>
  <r>
    <x v="0"/>
    <x v="10"/>
    <x v="4"/>
    <x v="9"/>
    <n v="76"/>
    <n v="4576.8999999999996"/>
    <x v="7"/>
    <n v="915.38"/>
    <x v="1"/>
  </r>
  <r>
    <x v="0"/>
    <x v="10"/>
    <x v="4"/>
    <x v="10"/>
    <n v="46"/>
    <n v="200"/>
    <x v="8"/>
    <n v="40"/>
    <x v="1"/>
  </r>
  <r>
    <x v="0"/>
    <x v="10"/>
    <x v="4"/>
    <x v="11"/>
    <n v="34"/>
    <n v="4576.8"/>
    <x v="9"/>
    <n v="915.36000000000013"/>
    <x v="1"/>
  </r>
  <r>
    <x v="0"/>
    <x v="10"/>
    <x v="1"/>
    <x v="12"/>
    <n v="7"/>
    <n v="200"/>
    <x v="8"/>
    <n v="40"/>
    <x v="1"/>
  </r>
  <r>
    <x v="0"/>
    <x v="10"/>
    <x v="4"/>
    <x v="14"/>
    <n v="3"/>
    <n v="4577.3"/>
    <x v="0"/>
    <n v="915.46"/>
    <x v="1"/>
  </r>
  <r>
    <x v="0"/>
    <x v="10"/>
    <x v="5"/>
    <x v="13"/>
    <n v="2"/>
    <n v="6600"/>
    <x v="10"/>
    <n v="1320"/>
    <x v="0"/>
  </r>
  <r>
    <x v="0"/>
    <x v="11"/>
    <x v="0"/>
    <x v="0"/>
    <n v="3566"/>
    <n v="4577.3"/>
    <x v="0"/>
    <n v="915.46"/>
    <x v="0"/>
  </r>
  <r>
    <x v="0"/>
    <x v="11"/>
    <x v="0"/>
    <x v="1"/>
    <n v="2498"/>
    <n v="8000"/>
    <x v="1"/>
    <n v="1600"/>
    <x v="0"/>
  </r>
  <r>
    <x v="0"/>
    <x v="11"/>
    <x v="1"/>
    <x v="2"/>
    <n v="1245"/>
    <n v="4577.2"/>
    <x v="2"/>
    <n v="915.44"/>
    <x v="0"/>
  </r>
  <r>
    <x v="0"/>
    <x v="11"/>
    <x v="2"/>
    <x v="3"/>
    <n v="644"/>
    <n v="5743.5"/>
    <x v="3"/>
    <n v="1148.7"/>
    <x v="0"/>
  </r>
  <r>
    <x v="0"/>
    <x v="11"/>
    <x v="3"/>
    <x v="4"/>
    <n v="643"/>
    <n v="7000"/>
    <x v="4"/>
    <n v="1400"/>
    <x v="1"/>
  </r>
  <r>
    <x v="0"/>
    <x v="11"/>
    <x v="2"/>
    <x v="5"/>
    <n v="455"/>
    <n v="4578.6000000000004"/>
    <x v="5"/>
    <n v="915.72000000000014"/>
    <x v="1"/>
  </r>
  <r>
    <x v="0"/>
    <x v="11"/>
    <x v="3"/>
    <x v="6"/>
    <n v="345"/>
    <n v="7000"/>
    <x v="4"/>
    <n v="1400"/>
    <x v="1"/>
  </r>
  <r>
    <x v="0"/>
    <x v="11"/>
    <x v="1"/>
    <x v="7"/>
    <n v="122"/>
    <n v="100"/>
    <x v="6"/>
    <n v="20"/>
    <x v="1"/>
  </r>
  <r>
    <x v="0"/>
    <x v="11"/>
    <x v="4"/>
    <x v="8"/>
    <n v="78"/>
    <n v="4577.2"/>
    <x v="2"/>
    <n v="915.44"/>
    <x v="1"/>
  </r>
  <r>
    <x v="0"/>
    <x v="11"/>
    <x v="4"/>
    <x v="9"/>
    <n v="76"/>
    <n v="4576.8999999999996"/>
    <x v="7"/>
    <n v="915.38"/>
    <x v="1"/>
  </r>
  <r>
    <x v="0"/>
    <x v="11"/>
    <x v="4"/>
    <x v="10"/>
    <n v="46"/>
    <n v="200"/>
    <x v="8"/>
    <n v="40"/>
    <x v="1"/>
  </r>
  <r>
    <x v="0"/>
    <x v="11"/>
    <x v="4"/>
    <x v="11"/>
    <n v="34"/>
    <n v="4576.8"/>
    <x v="9"/>
    <n v="915.36000000000013"/>
    <x v="1"/>
  </r>
  <r>
    <x v="0"/>
    <x v="11"/>
    <x v="1"/>
    <x v="12"/>
    <n v="7"/>
    <n v="200"/>
    <x v="8"/>
    <n v="40"/>
    <x v="1"/>
  </r>
  <r>
    <x v="0"/>
    <x v="11"/>
    <x v="4"/>
    <x v="14"/>
    <n v="3"/>
    <n v="4577.3"/>
    <x v="0"/>
    <n v="915.46"/>
    <x v="0"/>
  </r>
  <r>
    <x v="0"/>
    <x v="11"/>
    <x v="5"/>
    <x v="13"/>
    <n v="2"/>
    <n v="6600"/>
    <x v="10"/>
    <n v="1320"/>
    <x v="1"/>
  </r>
  <r>
    <x v="1"/>
    <x v="0"/>
    <x v="0"/>
    <x v="0"/>
    <n v="6591.1679999999997"/>
    <n v="4577.3"/>
    <x v="0"/>
    <n v="915.46"/>
    <x v="0"/>
  </r>
  <r>
    <x v="1"/>
    <x v="0"/>
    <x v="0"/>
    <x v="1"/>
    <n v="8270.64"/>
    <n v="8800"/>
    <x v="1"/>
    <n v="1760"/>
    <x v="0"/>
  </r>
  <r>
    <x v="1"/>
    <x v="0"/>
    <x v="1"/>
    <x v="2"/>
    <n v="8470"/>
    <n v="5034.92"/>
    <x v="2"/>
    <n v="1006.984"/>
    <x v="0"/>
  </r>
  <r>
    <x v="1"/>
    <x v="0"/>
    <x v="2"/>
    <x v="3"/>
    <n v="6055.1985000000004"/>
    <n v="6317.85"/>
    <x v="3"/>
    <n v="1263.5700000000002"/>
    <x v="0"/>
  </r>
  <r>
    <x v="1"/>
    <x v="0"/>
    <x v="3"/>
    <x v="4"/>
    <n v="10368.4"/>
    <n v="7700"/>
    <x v="4"/>
    <n v="1540"/>
    <x v="0"/>
  </r>
  <r>
    <x v="1"/>
    <x v="0"/>
    <x v="2"/>
    <x v="5"/>
    <n v="3101.2624999999998"/>
    <n v="5036.46"/>
    <x v="5"/>
    <n v="1007.292"/>
    <x v="0"/>
  </r>
  <r>
    <x v="1"/>
    <x v="0"/>
    <x v="3"/>
    <x v="6"/>
    <n v="6591.1679999999997"/>
    <n v="7700"/>
    <x v="4"/>
    <n v="1540"/>
    <x v="0"/>
  </r>
  <r>
    <x v="1"/>
    <x v="0"/>
    <x v="1"/>
    <x v="7"/>
    <n v="6590.7359999999999"/>
    <n v="110"/>
    <x v="6"/>
    <n v="22"/>
    <x v="0"/>
  </r>
  <r>
    <x v="1"/>
    <x v="0"/>
    <x v="4"/>
    <x v="8"/>
    <n v="288"/>
    <n v="5034.92"/>
    <x v="2"/>
    <n v="1006.984"/>
    <x v="0"/>
  </r>
  <r>
    <x v="1"/>
    <x v="0"/>
    <x v="4"/>
    <x v="9"/>
    <n v="6590.5919999999996"/>
    <n v="4576.8999999999996"/>
    <x v="7"/>
    <n v="915.38"/>
    <x v="0"/>
  </r>
  <r>
    <x v="1"/>
    <x v="0"/>
    <x v="4"/>
    <x v="10"/>
    <n v="4032.9300000000003"/>
    <n v="200"/>
    <x v="8"/>
    <n v="40"/>
    <x v="0"/>
  </r>
  <r>
    <x v="1"/>
    <x v="0"/>
    <x v="4"/>
    <x v="11"/>
    <n v="7986"/>
    <n v="4576.8"/>
    <x v="9"/>
    <n v="915.36000000000013"/>
    <x v="0"/>
  </r>
  <r>
    <x v="1"/>
    <x v="0"/>
    <x v="1"/>
    <x v="12"/>
    <n v="5538.5330000000004"/>
    <n v="200"/>
    <x v="8"/>
    <n v="40"/>
    <x v="0"/>
  </r>
  <r>
    <x v="1"/>
    <x v="0"/>
    <x v="5"/>
    <x v="13"/>
    <n v="3"/>
    <n v="6600"/>
    <x v="10"/>
    <n v="1320"/>
    <x v="0"/>
  </r>
  <r>
    <x v="1"/>
    <x v="0"/>
    <x v="4"/>
    <x v="14"/>
    <n v="3"/>
    <n v="4577.3"/>
    <x v="0"/>
    <n v="915.46"/>
    <x v="0"/>
  </r>
  <r>
    <x v="1"/>
    <x v="1"/>
    <x v="0"/>
    <x v="0"/>
    <n v="3566"/>
    <n v="4577.3"/>
    <x v="0"/>
    <n v="915.46"/>
    <x v="0"/>
  </r>
  <r>
    <x v="1"/>
    <x v="1"/>
    <x v="0"/>
    <x v="1"/>
    <n v="2498"/>
    <n v="8000"/>
    <x v="1"/>
    <n v="1600"/>
    <x v="0"/>
  </r>
  <r>
    <x v="1"/>
    <x v="1"/>
    <x v="1"/>
    <x v="2"/>
    <n v="1245"/>
    <n v="4577.2"/>
    <x v="2"/>
    <n v="915.44"/>
    <x v="0"/>
  </r>
  <r>
    <x v="1"/>
    <x v="1"/>
    <x v="2"/>
    <x v="3"/>
    <n v="644"/>
    <n v="5743.5"/>
    <x v="3"/>
    <n v="1148.7"/>
    <x v="0"/>
  </r>
  <r>
    <x v="1"/>
    <x v="1"/>
    <x v="3"/>
    <x v="4"/>
    <n v="643"/>
    <n v="7000"/>
    <x v="4"/>
    <n v="1400"/>
    <x v="0"/>
  </r>
  <r>
    <x v="1"/>
    <x v="1"/>
    <x v="2"/>
    <x v="5"/>
    <n v="455"/>
    <n v="4578.6000000000004"/>
    <x v="5"/>
    <n v="915.72000000000014"/>
    <x v="0"/>
  </r>
  <r>
    <x v="1"/>
    <x v="1"/>
    <x v="3"/>
    <x v="6"/>
    <n v="345"/>
    <n v="7000"/>
    <x v="4"/>
    <n v="1400"/>
    <x v="0"/>
  </r>
  <r>
    <x v="1"/>
    <x v="1"/>
    <x v="1"/>
    <x v="7"/>
    <n v="122"/>
    <n v="100"/>
    <x v="6"/>
    <n v="20"/>
    <x v="0"/>
  </r>
  <r>
    <x v="1"/>
    <x v="1"/>
    <x v="4"/>
    <x v="8"/>
    <n v="78"/>
    <n v="4577.2"/>
    <x v="2"/>
    <n v="915.44"/>
    <x v="0"/>
  </r>
  <r>
    <x v="1"/>
    <x v="1"/>
    <x v="4"/>
    <x v="9"/>
    <n v="240"/>
    <n v="4576.8999999999996"/>
    <x v="7"/>
    <n v="915.38"/>
    <x v="0"/>
  </r>
  <r>
    <x v="1"/>
    <x v="1"/>
    <x v="4"/>
    <x v="10"/>
    <n v="5492.16"/>
    <n v="200"/>
    <x v="8"/>
    <n v="40"/>
    <x v="0"/>
  </r>
  <r>
    <x v="1"/>
    <x v="1"/>
    <x v="4"/>
    <x v="11"/>
    <n v="240"/>
    <n v="4576.8"/>
    <x v="9"/>
    <n v="915.36000000000013"/>
    <x v="0"/>
  </r>
  <r>
    <x v="1"/>
    <x v="1"/>
    <x v="1"/>
    <x v="12"/>
    <n v="5492.76"/>
    <n v="200"/>
    <x v="8"/>
    <n v="40"/>
    <x v="0"/>
  </r>
  <r>
    <x v="1"/>
    <x v="1"/>
    <x v="4"/>
    <x v="14"/>
    <n v="7920"/>
    <n v="4577.3"/>
    <x v="0"/>
    <n v="915.46"/>
    <x v="0"/>
  </r>
  <r>
    <x v="1"/>
    <x v="1"/>
    <x v="5"/>
    <x v="13"/>
    <n v="5492.76"/>
    <n v="6600"/>
    <x v="10"/>
    <n v="1320"/>
    <x v="0"/>
  </r>
  <r>
    <x v="1"/>
    <x v="2"/>
    <x v="0"/>
    <x v="0"/>
    <n v="9600"/>
    <n v="4577.3"/>
    <x v="0"/>
    <n v="915.46"/>
    <x v="0"/>
  </r>
  <r>
    <x v="1"/>
    <x v="2"/>
    <x v="0"/>
    <x v="1"/>
    <n v="5492.6399999999994"/>
    <n v="8000"/>
    <x v="1"/>
    <n v="1600"/>
    <x v="0"/>
  </r>
  <r>
    <x v="1"/>
    <x v="2"/>
    <x v="1"/>
    <x v="2"/>
    <n v="6892.2"/>
    <n v="4577.2"/>
    <x v="2"/>
    <n v="915.44"/>
    <x v="0"/>
  </r>
  <r>
    <x v="1"/>
    <x v="2"/>
    <x v="2"/>
    <x v="3"/>
    <n v="644"/>
    <n v="5743.5"/>
    <x v="3"/>
    <n v="1148.7"/>
    <x v="0"/>
  </r>
  <r>
    <x v="1"/>
    <x v="2"/>
    <x v="3"/>
    <x v="4"/>
    <n v="643"/>
    <n v="7000"/>
    <x v="4"/>
    <n v="1400"/>
    <x v="0"/>
  </r>
  <r>
    <x v="1"/>
    <x v="2"/>
    <x v="2"/>
    <x v="5"/>
    <n v="455"/>
    <n v="4578.6000000000004"/>
    <x v="5"/>
    <n v="915.72000000000014"/>
    <x v="0"/>
  </r>
  <r>
    <x v="1"/>
    <x v="2"/>
    <x v="3"/>
    <x v="6"/>
    <n v="345"/>
    <n v="7000"/>
    <x v="4"/>
    <n v="1400"/>
    <x v="0"/>
  </r>
  <r>
    <x v="1"/>
    <x v="2"/>
    <x v="1"/>
    <x v="7"/>
    <n v="122"/>
    <n v="100"/>
    <x v="6"/>
    <n v="20"/>
    <x v="0"/>
  </r>
  <r>
    <x v="1"/>
    <x v="2"/>
    <x v="4"/>
    <x v="8"/>
    <n v="78"/>
    <n v="4577.2"/>
    <x v="2"/>
    <n v="915.44"/>
    <x v="0"/>
  </r>
  <r>
    <x v="1"/>
    <x v="2"/>
    <x v="4"/>
    <x v="9"/>
    <n v="76"/>
    <n v="4576.8999999999996"/>
    <x v="7"/>
    <n v="915.38"/>
    <x v="0"/>
  </r>
  <r>
    <x v="1"/>
    <x v="2"/>
    <x v="4"/>
    <x v="10"/>
    <n v="46"/>
    <n v="200"/>
    <x v="8"/>
    <n v="40"/>
    <x v="0"/>
  </r>
  <r>
    <x v="1"/>
    <x v="2"/>
    <x v="4"/>
    <x v="11"/>
    <n v="34"/>
    <n v="4576.8"/>
    <x v="9"/>
    <n v="915.36000000000013"/>
    <x v="0"/>
  </r>
  <r>
    <x v="1"/>
    <x v="2"/>
    <x v="1"/>
    <x v="12"/>
    <n v="7"/>
    <n v="200"/>
    <x v="8"/>
    <n v="40"/>
    <x v="0"/>
  </r>
  <r>
    <x v="1"/>
    <x v="2"/>
    <x v="4"/>
    <x v="14"/>
    <n v="3"/>
    <n v="4577.3"/>
    <x v="0"/>
    <n v="915.46"/>
    <x v="0"/>
  </r>
  <r>
    <x v="1"/>
    <x v="2"/>
    <x v="5"/>
    <x v="13"/>
    <n v="2"/>
    <n v="6600"/>
    <x v="10"/>
    <n v="1320"/>
    <x v="0"/>
  </r>
  <r>
    <x v="1"/>
    <x v="3"/>
    <x v="0"/>
    <x v="0"/>
    <n v="3566"/>
    <n v="4577.3"/>
    <x v="0"/>
    <n v="915.46"/>
    <x v="0"/>
  </r>
  <r>
    <x v="1"/>
    <x v="3"/>
    <x v="0"/>
    <x v="1"/>
    <n v="2498"/>
    <n v="8000"/>
    <x v="1"/>
    <n v="1600"/>
    <x v="0"/>
  </r>
  <r>
    <x v="1"/>
    <x v="3"/>
    <x v="1"/>
    <x v="2"/>
    <n v="1245"/>
    <n v="4577.2"/>
    <x v="2"/>
    <n v="915.44"/>
    <x v="0"/>
  </r>
  <r>
    <x v="1"/>
    <x v="3"/>
    <x v="2"/>
    <x v="3"/>
    <n v="644"/>
    <n v="5743.5"/>
    <x v="3"/>
    <n v="1148.7"/>
    <x v="0"/>
  </r>
  <r>
    <x v="1"/>
    <x v="3"/>
    <x v="3"/>
    <x v="4"/>
    <n v="643"/>
    <n v="7000"/>
    <x v="4"/>
    <n v="1400"/>
    <x v="0"/>
  </r>
  <r>
    <x v="1"/>
    <x v="3"/>
    <x v="2"/>
    <x v="5"/>
    <n v="455"/>
    <n v="4578.6000000000004"/>
    <x v="5"/>
    <n v="915.72000000000014"/>
    <x v="0"/>
  </r>
  <r>
    <x v="1"/>
    <x v="3"/>
    <x v="3"/>
    <x v="6"/>
    <n v="345"/>
    <n v="7000"/>
    <x v="4"/>
    <n v="1400"/>
    <x v="0"/>
  </r>
  <r>
    <x v="1"/>
    <x v="3"/>
    <x v="1"/>
    <x v="7"/>
    <n v="122"/>
    <n v="100"/>
    <x v="6"/>
    <n v="20"/>
    <x v="0"/>
  </r>
  <r>
    <x v="1"/>
    <x v="3"/>
    <x v="4"/>
    <x v="8"/>
    <n v="78"/>
    <n v="4577.2"/>
    <x v="2"/>
    <n v="915.44"/>
    <x v="0"/>
  </r>
  <r>
    <x v="1"/>
    <x v="3"/>
    <x v="4"/>
    <x v="9"/>
    <n v="76"/>
    <n v="4576.8999999999996"/>
    <x v="7"/>
    <n v="915.38"/>
    <x v="0"/>
  </r>
  <r>
    <x v="1"/>
    <x v="3"/>
    <x v="4"/>
    <x v="10"/>
    <n v="46"/>
    <n v="200"/>
    <x v="8"/>
    <n v="40"/>
    <x v="0"/>
  </r>
  <r>
    <x v="1"/>
    <x v="3"/>
    <x v="4"/>
    <x v="11"/>
    <n v="34"/>
    <n v="4576.8"/>
    <x v="9"/>
    <n v="915.36000000000013"/>
    <x v="0"/>
  </r>
  <r>
    <x v="1"/>
    <x v="3"/>
    <x v="1"/>
    <x v="12"/>
    <n v="7"/>
    <n v="200"/>
    <x v="8"/>
    <n v="40"/>
    <x v="0"/>
  </r>
  <r>
    <x v="1"/>
    <x v="3"/>
    <x v="4"/>
    <x v="14"/>
    <n v="3"/>
    <n v="4577.3"/>
    <x v="0"/>
    <n v="915.46"/>
    <x v="0"/>
  </r>
  <r>
    <x v="1"/>
    <x v="3"/>
    <x v="5"/>
    <x v="13"/>
    <n v="2"/>
    <n v="7920"/>
    <x v="11"/>
    <n v="1584"/>
    <x v="0"/>
  </r>
  <r>
    <x v="1"/>
    <x v="4"/>
    <x v="0"/>
    <x v="0"/>
    <n v="3566"/>
    <n v="5492.76"/>
    <x v="12"/>
    <n v="1098.5520000000001"/>
    <x v="0"/>
  </r>
  <r>
    <x v="1"/>
    <x v="4"/>
    <x v="0"/>
    <x v="1"/>
    <n v="2498"/>
    <n v="9600"/>
    <x v="13"/>
    <n v="1920"/>
    <x v="0"/>
  </r>
  <r>
    <x v="1"/>
    <x v="4"/>
    <x v="1"/>
    <x v="2"/>
    <n v="1245"/>
    <n v="5492.6399999999994"/>
    <x v="14"/>
    <n v="1098.528"/>
    <x v="0"/>
  </r>
  <r>
    <x v="1"/>
    <x v="4"/>
    <x v="2"/>
    <x v="3"/>
    <n v="644"/>
    <n v="6892.2"/>
    <x v="15"/>
    <n v="1378.44"/>
    <x v="0"/>
  </r>
  <r>
    <x v="1"/>
    <x v="4"/>
    <x v="3"/>
    <x v="4"/>
    <n v="643"/>
    <n v="8400"/>
    <x v="16"/>
    <n v="1680"/>
    <x v="0"/>
  </r>
  <r>
    <x v="1"/>
    <x v="4"/>
    <x v="2"/>
    <x v="5"/>
    <n v="455"/>
    <n v="5494.3200000000006"/>
    <x v="17"/>
    <n v="1098.8640000000003"/>
    <x v="0"/>
  </r>
  <r>
    <x v="1"/>
    <x v="4"/>
    <x v="3"/>
    <x v="6"/>
    <n v="345"/>
    <n v="8400"/>
    <x v="16"/>
    <n v="1680"/>
    <x v="0"/>
  </r>
  <r>
    <x v="1"/>
    <x v="4"/>
    <x v="1"/>
    <x v="7"/>
    <n v="122"/>
    <n v="120"/>
    <x v="18"/>
    <n v="24"/>
    <x v="0"/>
  </r>
  <r>
    <x v="1"/>
    <x v="4"/>
    <x v="4"/>
    <x v="8"/>
    <n v="78"/>
    <n v="4577.2"/>
    <x v="2"/>
    <n v="915.44"/>
    <x v="0"/>
  </r>
  <r>
    <x v="1"/>
    <x v="4"/>
    <x v="4"/>
    <x v="9"/>
    <n v="76"/>
    <n v="4576.8999999999996"/>
    <x v="7"/>
    <n v="915.38"/>
    <x v="0"/>
  </r>
  <r>
    <x v="1"/>
    <x v="4"/>
    <x v="4"/>
    <x v="10"/>
    <n v="46"/>
    <n v="200"/>
    <x v="8"/>
    <n v="40"/>
    <x v="0"/>
  </r>
  <r>
    <x v="1"/>
    <x v="4"/>
    <x v="4"/>
    <x v="11"/>
    <n v="34"/>
    <n v="4576.8"/>
    <x v="9"/>
    <n v="915.36000000000013"/>
    <x v="0"/>
  </r>
  <r>
    <x v="1"/>
    <x v="4"/>
    <x v="1"/>
    <x v="12"/>
    <n v="7"/>
    <n v="200"/>
    <x v="8"/>
    <n v="40"/>
    <x v="0"/>
  </r>
  <r>
    <x v="1"/>
    <x v="4"/>
    <x v="4"/>
    <x v="14"/>
    <n v="3"/>
    <n v="4577.3"/>
    <x v="0"/>
    <n v="915.46"/>
    <x v="0"/>
  </r>
  <r>
    <x v="1"/>
    <x v="4"/>
    <x v="5"/>
    <x v="13"/>
    <n v="2"/>
    <n v="6600"/>
    <x v="10"/>
    <n v="1320"/>
    <x v="0"/>
  </r>
  <r>
    <x v="1"/>
    <x v="5"/>
    <x v="0"/>
    <x v="0"/>
    <n v="3566"/>
    <n v="4577.3"/>
    <x v="0"/>
    <n v="915.46"/>
    <x v="0"/>
  </r>
  <r>
    <x v="1"/>
    <x v="5"/>
    <x v="0"/>
    <x v="1"/>
    <n v="2498"/>
    <n v="8000"/>
    <x v="1"/>
    <n v="1600"/>
    <x v="0"/>
  </r>
  <r>
    <x v="1"/>
    <x v="5"/>
    <x v="1"/>
    <x v="2"/>
    <n v="1245"/>
    <n v="4577.2"/>
    <x v="2"/>
    <n v="915.44"/>
    <x v="0"/>
  </r>
  <r>
    <x v="1"/>
    <x v="5"/>
    <x v="2"/>
    <x v="3"/>
    <n v="644"/>
    <n v="5743.5"/>
    <x v="3"/>
    <n v="1148.7"/>
    <x v="0"/>
  </r>
  <r>
    <x v="1"/>
    <x v="5"/>
    <x v="3"/>
    <x v="4"/>
    <n v="643"/>
    <n v="7000"/>
    <x v="4"/>
    <n v="1400"/>
    <x v="0"/>
  </r>
  <r>
    <x v="1"/>
    <x v="5"/>
    <x v="2"/>
    <x v="5"/>
    <n v="455"/>
    <n v="4578.6000000000004"/>
    <x v="5"/>
    <n v="915.72000000000014"/>
    <x v="0"/>
  </r>
  <r>
    <x v="1"/>
    <x v="5"/>
    <x v="3"/>
    <x v="6"/>
    <n v="345"/>
    <n v="7000"/>
    <x v="4"/>
    <n v="1400"/>
    <x v="0"/>
  </r>
  <r>
    <x v="1"/>
    <x v="5"/>
    <x v="1"/>
    <x v="7"/>
    <n v="122"/>
    <n v="100"/>
    <x v="6"/>
    <n v="20"/>
    <x v="0"/>
  </r>
  <r>
    <x v="1"/>
    <x v="5"/>
    <x v="4"/>
    <x v="8"/>
    <n v="78"/>
    <n v="4577.2"/>
    <x v="2"/>
    <n v="915.44"/>
    <x v="0"/>
  </r>
  <r>
    <x v="1"/>
    <x v="5"/>
    <x v="4"/>
    <x v="9"/>
    <n v="5034.5899999999992"/>
    <n v="4576.8999999999996"/>
    <x v="7"/>
    <n v="915.38"/>
    <x v="0"/>
  </r>
  <r>
    <x v="1"/>
    <x v="5"/>
    <x v="4"/>
    <x v="10"/>
    <n v="220"/>
    <n v="200"/>
    <x v="8"/>
    <n v="40"/>
    <x v="0"/>
  </r>
  <r>
    <x v="1"/>
    <x v="5"/>
    <x v="4"/>
    <x v="11"/>
    <n v="5034.4800000000005"/>
    <n v="4576.8"/>
    <x v="9"/>
    <n v="915.36000000000013"/>
    <x v="0"/>
  </r>
  <r>
    <x v="1"/>
    <x v="5"/>
    <x v="1"/>
    <x v="12"/>
    <n v="220"/>
    <n v="200"/>
    <x v="8"/>
    <n v="40"/>
    <x v="0"/>
  </r>
  <r>
    <x v="1"/>
    <x v="5"/>
    <x v="5"/>
    <x v="13"/>
    <n v="7260"/>
    <n v="6600"/>
    <x v="10"/>
    <n v="1320"/>
    <x v="0"/>
  </r>
  <r>
    <x v="1"/>
    <x v="5"/>
    <x v="4"/>
    <x v="14"/>
    <n v="5035.0300000000007"/>
    <n v="4577.3"/>
    <x v="0"/>
    <n v="915.46"/>
    <x v="0"/>
  </r>
  <r>
    <x v="1"/>
    <x v="6"/>
    <x v="0"/>
    <x v="0"/>
    <n v="5035.0300000000007"/>
    <n v="4577.3"/>
    <x v="0"/>
    <n v="915.46"/>
    <x v="0"/>
  </r>
  <r>
    <x v="1"/>
    <x v="6"/>
    <x v="0"/>
    <x v="1"/>
    <n v="8800"/>
    <n v="8000"/>
    <x v="1"/>
    <n v="1600"/>
    <x v="0"/>
  </r>
  <r>
    <x v="1"/>
    <x v="6"/>
    <x v="1"/>
    <x v="2"/>
    <n v="5034.92"/>
    <n v="4577.2"/>
    <x v="2"/>
    <n v="915.44"/>
    <x v="0"/>
  </r>
  <r>
    <x v="1"/>
    <x v="6"/>
    <x v="2"/>
    <x v="3"/>
    <n v="644"/>
    <n v="5743.5"/>
    <x v="3"/>
    <n v="1148.7"/>
    <x v="0"/>
  </r>
  <r>
    <x v="1"/>
    <x v="6"/>
    <x v="3"/>
    <x v="4"/>
    <n v="643"/>
    <n v="7000"/>
    <x v="4"/>
    <n v="1400"/>
    <x v="0"/>
  </r>
  <r>
    <x v="1"/>
    <x v="6"/>
    <x v="2"/>
    <x v="5"/>
    <n v="455"/>
    <n v="4578.6000000000004"/>
    <x v="5"/>
    <n v="915.72000000000014"/>
    <x v="0"/>
  </r>
  <r>
    <x v="1"/>
    <x v="6"/>
    <x v="3"/>
    <x v="6"/>
    <n v="345"/>
    <n v="7000"/>
    <x v="4"/>
    <n v="1400"/>
    <x v="0"/>
  </r>
  <r>
    <x v="1"/>
    <x v="6"/>
    <x v="1"/>
    <x v="7"/>
    <n v="122"/>
    <n v="100"/>
    <x v="6"/>
    <n v="20"/>
    <x v="0"/>
  </r>
  <r>
    <x v="1"/>
    <x v="6"/>
    <x v="4"/>
    <x v="8"/>
    <n v="78"/>
    <n v="4577.2"/>
    <x v="2"/>
    <n v="915.44"/>
    <x v="0"/>
  </r>
  <r>
    <x v="1"/>
    <x v="6"/>
    <x v="4"/>
    <x v="9"/>
    <n v="76"/>
    <n v="4576.8999999999996"/>
    <x v="7"/>
    <n v="915.38"/>
    <x v="0"/>
  </r>
  <r>
    <x v="1"/>
    <x v="6"/>
    <x v="4"/>
    <x v="10"/>
    <n v="46"/>
    <n v="200"/>
    <x v="8"/>
    <n v="40"/>
    <x v="0"/>
  </r>
  <r>
    <x v="1"/>
    <x v="6"/>
    <x v="4"/>
    <x v="11"/>
    <n v="34"/>
    <n v="4576.8"/>
    <x v="9"/>
    <n v="915.36000000000013"/>
    <x v="0"/>
  </r>
  <r>
    <x v="1"/>
    <x v="6"/>
    <x v="1"/>
    <x v="12"/>
    <n v="7"/>
    <n v="200"/>
    <x v="8"/>
    <n v="40"/>
    <x v="0"/>
  </r>
  <r>
    <x v="1"/>
    <x v="6"/>
    <x v="4"/>
    <x v="14"/>
    <n v="3"/>
    <n v="4577.3"/>
    <x v="0"/>
    <n v="915.46"/>
    <x v="0"/>
  </r>
  <r>
    <x v="1"/>
    <x v="6"/>
    <x v="5"/>
    <x v="13"/>
    <n v="2"/>
    <n v="6600"/>
    <x v="10"/>
    <n v="1320"/>
    <x v="0"/>
  </r>
  <r>
    <x v="1"/>
    <x v="7"/>
    <x v="0"/>
    <x v="0"/>
    <n v="3566"/>
    <n v="4577.3"/>
    <x v="0"/>
    <n v="915.46"/>
    <x v="0"/>
  </r>
  <r>
    <x v="1"/>
    <x v="7"/>
    <x v="0"/>
    <x v="1"/>
    <n v="2498"/>
    <n v="8000"/>
    <x v="1"/>
    <n v="1600"/>
    <x v="0"/>
  </r>
  <r>
    <x v="1"/>
    <x v="7"/>
    <x v="1"/>
    <x v="2"/>
    <n v="1245"/>
    <n v="4577.2"/>
    <x v="2"/>
    <n v="915.44"/>
    <x v="0"/>
  </r>
  <r>
    <x v="1"/>
    <x v="7"/>
    <x v="2"/>
    <x v="3"/>
    <n v="644"/>
    <n v="5743.5"/>
    <x v="3"/>
    <n v="1148.7"/>
    <x v="0"/>
  </r>
  <r>
    <x v="1"/>
    <x v="7"/>
    <x v="3"/>
    <x v="4"/>
    <n v="643"/>
    <n v="7000"/>
    <x v="4"/>
    <n v="1400"/>
    <x v="0"/>
  </r>
  <r>
    <x v="1"/>
    <x v="7"/>
    <x v="2"/>
    <x v="5"/>
    <n v="455"/>
    <n v="5036.46"/>
    <x v="5"/>
    <n v="1007.292"/>
    <x v="0"/>
  </r>
  <r>
    <x v="1"/>
    <x v="7"/>
    <x v="3"/>
    <x v="6"/>
    <n v="345"/>
    <n v="7700"/>
    <x v="4"/>
    <n v="1540"/>
    <x v="0"/>
  </r>
  <r>
    <x v="1"/>
    <x v="7"/>
    <x v="1"/>
    <x v="7"/>
    <n v="122"/>
    <n v="110"/>
    <x v="6"/>
    <n v="22"/>
    <x v="0"/>
  </r>
  <r>
    <x v="1"/>
    <x v="7"/>
    <x v="4"/>
    <x v="8"/>
    <n v="78"/>
    <n v="5034.92"/>
    <x v="2"/>
    <n v="1006.984"/>
    <x v="0"/>
  </r>
  <r>
    <x v="1"/>
    <x v="7"/>
    <x v="4"/>
    <x v="9"/>
    <n v="76"/>
    <n v="5034.5899999999992"/>
    <x v="7"/>
    <n v="1006.9179999999999"/>
    <x v="0"/>
  </r>
  <r>
    <x v="1"/>
    <x v="7"/>
    <x v="4"/>
    <x v="10"/>
    <n v="46"/>
    <n v="230"/>
    <x v="8"/>
    <n v="46"/>
    <x v="0"/>
  </r>
  <r>
    <x v="1"/>
    <x v="7"/>
    <x v="4"/>
    <x v="11"/>
    <n v="34"/>
    <n v="5263.32"/>
    <x v="9"/>
    <n v="1052.664"/>
    <x v="0"/>
  </r>
  <r>
    <x v="1"/>
    <x v="7"/>
    <x v="1"/>
    <x v="12"/>
    <n v="7"/>
    <n v="230"/>
    <x v="8"/>
    <n v="46"/>
    <x v="1"/>
  </r>
  <r>
    <x v="1"/>
    <x v="7"/>
    <x v="4"/>
    <x v="14"/>
    <n v="3"/>
    <n v="5263.8950000000004"/>
    <x v="0"/>
    <n v="1052.7790000000002"/>
    <x v="1"/>
  </r>
  <r>
    <x v="1"/>
    <x v="7"/>
    <x v="5"/>
    <x v="13"/>
    <n v="2"/>
    <n v="7590"/>
    <x v="10"/>
    <n v="1518"/>
    <x v="1"/>
  </r>
  <r>
    <x v="1"/>
    <x v="8"/>
    <x v="0"/>
    <x v="0"/>
    <n v="3566"/>
    <n v="5263.8950000000004"/>
    <x v="0"/>
    <n v="1052.7790000000002"/>
    <x v="1"/>
  </r>
  <r>
    <x v="1"/>
    <x v="8"/>
    <x v="0"/>
    <x v="1"/>
    <n v="2498"/>
    <n v="8800"/>
    <x v="1"/>
    <n v="1760"/>
    <x v="1"/>
  </r>
  <r>
    <x v="1"/>
    <x v="8"/>
    <x v="1"/>
    <x v="2"/>
    <n v="1245"/>
    <n v="5034.92"/>
    <x v="2"/>
    <n v="1006.984"/>
    <x v="1"/>
  </r>
  <r>
    <x v="1"/>
    <x v="8"/>
    <x v="2"/>
    <x v="3"/>
    <n v="644"/>
    <n v="6317.85"/>
    <x v="3"/>
    <n v="1263.5700000000002"/>
    <x v="1"/>
  </r>
  <r>
    <x v="1"/>
    <x v="8"/>
    <x v="3"/>
    <x v="4"/>
    <n v="643"/>
    <n v="7700"/>
    <x v="4"/>
    <n v="1540"/>
    <x v="1"/>
  </r>
  <r>
    <x v="1"/>
    <x v="8"/>
    <x v="2"/>
    <x v="5"/>
    <n v="455"/>
    <n v="5036.46"/>
    <x v="5"/>
    <n v="1007.292"/>
    <x v="1"/>
  </r>
  <r>
    <x v="1"/>
    <x v="8"/>
    <x v="3"/>
    <x v="6"/>
    <n v="345"/>
    <n v="7700"/>
    <x v="4"/>
    <n v="1540"/>
    <x v="1"/>
  </r>
  <r>
    <x v="1"/>
    <x v="8"/>
    <x v="1"/>
    <x v="7"/>
    <n v="122"/>
    <n v="110"/>
    <x v="6"/>
    <n v="22"/>
    <x v="1"/>
  </r>
  <r>
    <x v="1"/>
    <x v="8"/>
    <x v="4"/>
    <x v="8"/>
    <n v="78"/>
    <n v="5034.92"/>
    <x v="2"/>
    <n v="1006.984"/>
    <x v="1"/>
  </r>
  <r>
    <x v="1"/>
    <x v="8"/>
    <x v="4"/>
    <x v="9"/>
    <n v="76"/>
    <n v="4576.8999999999996"/>
    <x v="7"/>
    <n v="915.38"/>
    <x v="1"/>
  </r>
  <r>
    <x v="1"/>
    <x v="8"/>
    <x v="4"/>
    <x v="10"/>
    <n v="46"/>
    <n v="200"/>
    <x v="8"/>
    <n v="40"/>
    <x v="1"/>
  </r>
  <r>
    <x v="1"/>
    <x v="8"/>
    <x v="4"/>
    <x v="11"/>
    <n v="34"/>
    <n v="4576.8"/>
    <x v="9"/>
    <n v="915.36000000000013"/>
    <x v="1"/>
  </r>
  <r>
    <x v="1"/>
    <x v="8"/>
    <x v="1"/>
    <x v="12"/>
    <n v="7"/>
    <n v="200"/>
    <x v="8"/>
    <n v="40"/>
    <x v="1"/>
  </r>
  <r>
    <x v="1"/>
    <x v="8"/>
    <x v="4"/>
    <x v="14"/>
    <n v="3"/>
    <n v="4577.3"/>
    <x v="0"/>
    <n v="915.46"/>
    <x v="1"/>
  </r>
  <r>
    <x v="1"/>
    <x v="8"/>
    <x v="5"/>
    <x v="13"/>
    <n v="2"/>
    <n v="6600"/>
    <x v="10"/>
    <n v="1320"/>
    <x v="1"/>
  </r>
  <r>
    <x v="1"/>
    <x v="9"/>
    <x v="0"/>
    <x v="0"/>
    <n v="3566"/>
    <n v="4577.3"/>
    <x v="0"/>
    <n v="915.46"/>
    <x v="1"/>
  </r>
  <r>
    <x v="1"/>
    <x v="9"/>
    <x v="0"/>
    <x v="1"/>
    <n v="2498"/>
    <n v="8000"/>
    <x v="1"/>
    <n v="1600"/>
    <x v="1"/>
  </r>
  <r>
    <x v="1"/>
    <x v="9"/>
    <x v="1"/>
    <x v="2"/>
    <n v="1245"/>
    <n v="4577.2"/>
    <x v="2"/>
    <n v="915.44"/>
    <x v="1"/>
  </r>
  <r>
    <x v="1"/>
    <x v="9"/>
    <x v="2"/>
    <x v="3"/>
    <n v="644"/>
    <n v="5743.5"/>
    <x v="3"/>
    <n v="1148.7"/>
    <x v="1"/>
  </r>
  <r>
    <x v="1"/>
    <x v="9"/>
    <x v="3"/>
    <x v="4"/>
    <n v="643"/>
    <n v="7000"/>
    <x v="4"/>
    <n v="1400"/>
    <x v="1"/>
  </r>
  <r>
    <x v="1"/>
    <x v="9"/>
    <x v="2"/>
    <x v="5"/>
    <n v="455"/>
    <n v="4578.6000000000004"/>
    <x v="5"/>
    <n v="915.72000000000014"/>
    <x v="0"/>
  </r>
  <r>
    <x v="1"/>
    <x v="9"/>
    <x v="3"/>
    <x v="6"/>
    <n v="345"/>
    <n v="7000"/>
    <x v="4"/>
    <n v="1400"/>
    <x v="0"/>
  </r>
  <r>
    <x v="1"/>
    <x v="9"/>
    <x v="1"/>
    <x v="7"/>
    <n v="122"/>
    <n v="100"/>
    <x v="6"/>
    <n v="20"/>
    <x v="0"/>
  </r>
  <r>
    <x v="1"/>
    <x v="9"/>
    <x v="4"/>
    <x v="8"/>
    <n v="78"/>
    <n v="4577.2"/>
    <x v="2"/>
    <n v="915.44"/>
    <x v="0"/>
  </r>
  <r>
    <x v="1"/>
    <x v="9"/>
    <x v="4"/>
    <x v="9"/>
    <n v="76"/>
    <n v="4576.8999999999996"/>
    <x v="7"/>
    <n v="915.38"/>
    <x v="0"/>
  </r>
  <r>
    <x v="1"/>
    <x v="9"/>
    <x v="4"/>
    <x v="10"/>
    <n v="46"/>
    <n v="200"/>
    <x v="8"/>
    <n v="40"/>
    <x v="0"/>
  </r>
  <r>
    <x v="1"/>
    <x v="9"/>
    <x v="4"/>
    <x v="11"/>
    <n v="34"/>
    <n v="4576.8"/>
    <x v="9"/>
    <n v="915.36000000000013"/>
    <x v="0"/>
  </r>
  <r>
    <x v="1"/>
    <x v="9"/>
    <x v="1"/>
    <x v="12"/>
    <n v="7"/>
    <n v="200"/>
    <x v="8"/>
    <n v="40"/>
    <x v="0"/>
  </r>
  <r>
    <x v="1"/>
    <x v="9"/>
    <x v="4"/>
    <x v="14"/>
    <n v="3"/>
    <n v="4577.3"/>
    <x v="0"/>
    <n v="915.46"/>
    <x v="0"/>
  </r>
  <r>
    <x v="1"/>
    <x v="9"/>
    <x v="5"/>
    <x v="13"/>
    <n v="2"/>
    <n v="6600"/>
    <x v="10"/>
    <n v="1320"/>
    <x v="0"/>
  </r>
  <r>
    <x v="1"/>
    <x v="10"/>
    <x v="0"/>
    <x v="0"/>
    <n v="3566"/>
    <n v="4577.3"/>
    <x v="0"/>
    <n v="915.46"/>
    <x v="0"/>
  </r>
  <r>
    <x v="1"/>
    <x v="10"/>
    <x v="0"/>
    <x v="1"/>
    <n v="2498"/>
    <n v="8000"/>
    <x v="1"/>
    <n v="1600"/>
    <x v="0"/>
  </r>
  <r>
    <x v="1"/>
    <x v="10"/>
    <x v="1"/>
    <x v="2"/>
    <n v="1245"/>
    <n v="4577.2"/>
    <x v="2"/>
    <n v="915.44"/>
    <x v="0"/>
  </r>
  <r>
    <x v="1"/>
    <x v="10"/>
    <x v="2"/>
    <x v="3"/>
    <n v="644"/>
    <n v="5743.5"/>
    <x v="3"/>
    <n v="1148.7"/>
    <x v="0"/>
  </r>
  <r>
    <x v="1"/>
    <x v="10"/>
    <x v="3"/>
    <x v="4"/>
    <n v="643"/>
    <n v="7000"/>
    <x v="4"/>
    <n v="1400"/>
    <x v="0"/>
  </r>
  <r>
    <x v="1"/>
    <x v="10"/>
    <x v="2"/>
    <x v="5"/>
    <n v="455"/>
    <n v="4578.6000000000004"/>
    <x v="5"/>
    <n v="915.72000000000014"/>
    <x v="0"/>
  </r>
  <r>
    <x v="1"/>
    <x v="10"/>
    <x v="3"/>
    <x v="6"/>
    <n v="345"/>
    <n v="7000"/>
    <x v="4"/>
    <n v="1400"/>
    <x v="0"/>
  </r>
  <r>
    <x v="1"/>
    <x v="10"/>
    <x v="1"/>
    <x v="7"/>
    <n v="122"/>
    <n v="100"/>
    <x v="6"/>
    <n v="20"/>
    <x v="0"/>
  </r>
  <r>
    <x v="1"/>
    <x v="10"/>
    <x v="4"/>
    <x v="8"/>
    <n v="78"/>
    <n v="4577.2"/>
    <x v="2"/>
    <n v="915.44"/>
    <x v="0"/>
  </r>
  <r>
    <x v="1"/>
    <x v="10"/>
    <x v="4"/>
    <x v="9"/>
    <n v="76"/>
    <n v="4576.8999999999996"/>
    <x v="7"/>
    <n v="915.38"/>
    <x v="0"/>
  </r>
  <r>
    <x v="1"/>
    <x v="10"/>
    <x v="4"/>
    <x v="10"/>
    <n v="46"/>
    <n v="200"/>
    <x v="8"/>
    <n v="40"/>
    <x v="0"/>
  </r>
  <r>
    <x v="1"/>
    <x v="10"/>
    <x v="4"/>
    <x v="11"/>
    <n v="34"/>
    <n v="5492.16"/>
    <x v="9"/>
    <n v="1098.432"/>
    <x v="0"/>
  </r>
  <r>
    <x v="1"/>
    <x v="10"/>
    <x v="1"/>
    <x v="12"/>
    <n v="7"/>
    <n v="240"/>
    <x v="8"/>
    <n v="48"/>
    <x v="0"/>
  </r>
  <r>
    <x v="1"/>
    <x v="10"/>
    <x v="4"/>
    <x v="14"/>
    <n v="3"/>
    <n v="5492.76"/>
    <x v="0"/>
    <n v="1098.5520000000001"/>
    <x v="0"/>
  </r>
  <r>
    <x v="1"/>
    <x v="10"/>
    <x v="5"/>
    <x v="13"/>
    <n v="2"/>
    <n v="7920"/>
    <x v="10"/>
    <n v="1584"/>
    <x v="0"/>
  </r>
  <r>
    <x v="1"/>
    <x v="11"/>
    <x v="0"/>
    <x v="0"/>
    <n v="3566"/>
    <n v="4577.3"/>
    <x v="0"/>
    <n v="915.46"/>
    <x v="0"/>
  </r>
  <r>
    <x v="1"/>
    <x v="11"/>
    <x v="0"/>
    <x v="1"/>
    <n v="2498"/>
    <n v="8000"/>
    <x v="1"/>
    <n v="1600"/>
    <x v="0"/>
  </r>
  <r>
    <x v="1"/>
    <x v="11"/>
    <x v="1"/>
    <x v="2"/>
    <n v="1245"/>
    <n v="4577.2"/>
    <x v="2"/>
    <n v="915.44"/>
    <x v="0"/>
  </r>
  <r>
    <x v="1"/>
    <x v="11"/>
    <x v="2"/>
    <x v="3"/>
    <n v="644"/>
    <n v="5743.5"/>
    <x v="3"/>
    <n v="1148.7"/>
    <x v="0"/>
  </r>
  <r>
    <x v="1"/>
    <x v="11"/>
    <x v="3"/>
    <x v="4"/>
    <n v="643"/>
    <n v="7000"/>
    <x v="4"/>
    <n v="1400"/>
    <x v="0"/>
  </r>
  <r>
    <x v="1"/>
    <x v="11"/>
    <x v="2"/>
    <x v="5"/>
    <n v="455"/>
    <n v="4578.6000000000004"/>
    <x v="5"/>
    <n v="915.72000000000014"/>
    <x v="0"/>
  </r>
  <r>
    <x v="1"/>
    <x v="11"/>
    <x v="3"/>
    <x v="6"/>
    <n v="345"/>
    <n v="7000"/>
    <x v="4"/>
    <n v="1400"/>
    <x v="0"/>
  </r>
  <r>
    <x v="1"/>
    <x v="11"/>
    <x v="1"/>
    <x v="7"/>
    <n v="122"/>
    <n v="100"/>
    <x v="6"/>
    <n v="20"/>
    <x v="0"/>
  </r>
  <r>
    <x v="1"/>
    <x v="11"/>
    <x v="4"/>
    <x v="8"/>
    <n v="78"/>
    <n v="4577.2"/>
    <x v="2"/>
    <n v="915.44"/>
    <x v="0"/>
  </r>
  <r>
    <x v="1"/>
    <x v="11"/>
    <x v="4"/>
    <x v="9"/>
    <n v="76"/>
    <n v="4576.8999999999996"/>
    <x v="7"/>
    <n v="915.38"/>
    <x v="0"/>
  </r>
  <r>
    <x v="1"/>
    <x v="11"/>
    <x v="4"/>
    <x v="10"/>
    <n v="46"/>
    <n v="200"/>
    <x v="8"/>
    <n v="40"/>
    <x v="0"/>
  </r>
  <r>
    <x v="1"/>
    <x v="11"/>
    <x v="4"/>
    <x v="11"/>
    <n v="34"/>
    <n v="4576.8"/>
    <x v="9"/>
    <n v="915.36000000000013"/>
    <x v="0"/>
  </r>
  <r>
    <x v="1"/>
    <x v="11"/>
    <x v="1"/>
    <x v="12"/>
    <n v="7"/>
    <n v="200"/>
    <x v="8"/>
    <n v="40"/>
    <x v="0"/>
  </r>
  <r>
    <x v="1"/>
    <x v="11"/>
    <x v="4"/>
    <x v="14"/>
    <n v="3"/>
    <n v="4577.3"/>
    <x v="0"/>
    <n v="915.46"/>
    <x v="0"/>
  </r>
  <r>
    <x v="1"/>
    <x v="11"/>
    <x v="5"/>
    <x v="13"/>
    <n v="2"/>
    <n v="6600"/>
    <x v="10"/>
    <n v="1320"/>
    <x v="0"/>
  </r>
  <r>
    <x v="2"/>
    <x v="0"/>
    <x v="0"/>
    <x v="0"/>
    <n v="3566"/>
    <n v="5492.76"/>
    <x v="0"/>
    <n v="1098.5520000000001"/>
    <x v="0"/>
  </r>
  <r>
    <x v="2"/>
    <x v="0"/>
    <x v="0"/>
    <x v="1"/>
    <n v="2498"/>
    <n v="9600"/>
    <x v="1"/>
    <n v="1920"/>
    <x v="0"/>
  </r>
  <r>
    <x v="2"/>
    <x v="0"/>
    <x v="1"/>
    <x v="2"/>
    <n v="1245"/>
    <n v="5492.6399999999994"/>
    <x v="2"/>
    <n v="1098.528"/>
    <x v="1"/>
  </r>
  <r>
    <x v="2"/>
    <x v="0"/>
    <x v="2"/>
    <x v="3"/>
    <n v="644"/>
    <n v="6892.2"/>
    <x v="3"/>
    <n v="1378.44"/>
    <x v="1"/>
  </r>
  <r>
    <x v="2"/>
    <x v="0"/>
    <x v="3"/>
    <x v="4"/>
    <n v="643"/>
    <n v="8400"/>
    <x v="4"/>
    <n v="1680"/>
    <x v="1"/>
  </r>
  <r>
    <x v="2"/>
    <x v="0"/>
    <x v="2"/>
    <x v="5"/>
    <n v="455"/>
    <n v="5494.3200000000006"/>
    <x v="5"/>
    <n v="1098.8640000000003"/>
    <x v="1"/>
  </r>
  <r>
    <x v="2"/>
    <x v="0"/>
    <x v="3"/>
    <x v="6"/>
    <n v="345"/>
    <n v="8400"/>
    <x v="4"/>
    <n v="1680"/>
    <x v="1"/>
  </r>
  <r>
    <x v="2"/>
    <x v="0"/>
    <x v="1"/>
    <x v="7"/>
    <n v="122"/>
    <n v="120"/>
    <x v="6"/>
    <n v="24"/>
    <x v="1"/>
  </r>
  <r>
    <x v="2"/>
    <x v="0"/>
    <x v="4"/>
    <x v="8"/>
    <n v="78"/>
    <n v="2288.6"/>
    <x v="2"/>
    <n v="457.72"/>
    <x v="1"/>
  </r>
  <r>
    <x v="2"/>
    <x v="0"/>
    <x v="4"/>
    <x v="9"/>
    <n v="76"/>
    <n v="2288.4499999999998"/>
    <x v="7"/>
    <n v="457.69"/>
    <x v="1"/>
  </r>
  <r>
    <x v="2"/>
    <x v="0"/>
    <x v="4"/>
    <x v="10"/>
    <n v="46"/>
    <n v="100"/>
    <x v="8"/>
    <n v="20"/>
    <x v="1"/>
  </r>
  <r>
    <x v="2"/>
    <x v="0"/>
    <x v="4"/>
    <x v="11"/>
    <n v="34"/>
    <n v="2288.4"/>
    <x v="9"/>
    <n v="457.68000000000006"/>
    <x v="1"/>
  </r>
  <r>
    <x v="2"/>
    <x v="0"/>
    <x v="1"/>
    <x v="12"/>
    <n v="7"/>
    <n v="200"/>
    <x v="8"/>
    <n v="40"/>
    <x v="1"/>
  </r>
  <r>
    <x v="2"/>
    <x v="0"/>
    <x v="5"/>
    <x v="13"/>
    <n v="3"/>
    <n v="4577.3"/>
    <x v="10"/>
    <n v="915.46"/>
    <x v="1"/>
  </r>
  <r>
    <x v="2"/>
    <x v="0"/>
    <x v="4"/>
    <x v="14"/>
    <n v="3"/>
    <n v="3300"/>
    <x v="0"/>
    <n v="660"/>
    <x v="1"/>
  </r>
  <r>
    <x v="2"/>
    <x v="1"/>
    <x v="0"/>
    <x v="0"/>
    <n v="3566"/>
    <n v="4577.3"/>
    <x v="0"/>
    <n v="915.46"/>
    <x v="1"/>
  </r>
  <r>
    <x v="2"/>
    <x v="1"/>
    <x v="0"/>
    <x v="1"/>
    <n v="2498"/>
    <n v="8000"/>
    <x v="1"/>
    <n v="1600"/>
    <x v="1"/>
  </r>
  <r>
    <x v="2"/>
    <x v="1"/>
    <x v="1"/>
    <x v="2"/>
    <n v="1245"/>
    <n v="4577.2"/>
    <x v="2"/>
    <n v="915.44"/>
    <x v="1"/>
  </r>
  <r>
    <x v="2"/>
    <x v="1"/>
    <x v="2"/>
    <x v="3"/>
    <n v="644"/>
    <n v="5743.5"/>
    <x v="3"/>
    <n v="1148.7"/>
    <x v="1"/>
  </r>
  <r>
    <x v="2"/>
    <x v="1"/>
    <x v="3"/>
    <x v="4"/>
    <n v="643"/>
    <n v="7000"/>
    <x v="4"/>
    <n v="1400"/>
    <x v="1"/>
  </r>
  <r>
    <x v="2"/>
    <x v="1"/>
    <x v="2"/>
    <x v="5"/>
    <n v="455"/>
    <n v="4578.6000000000004"/>
    <x v="5"/>
    <n v="915.72000000000014"/>
    <x v="1"/>
  </r>
  <r>
    <x v="2"/>
    <x v="1"/>
    <x v="3"/>
    <x v="6"/>
    <n v="345"/>
    <n v="7000"/>
    <x v="4"/>
    <n v="1400"/>
    <x v="1"/>
  </r>
  <r>
    <x v="2"/>
    <x v="1"/>
    <x v="1"/>
    <x v="7"/>
    <n v="122"/>
    <n v="100"/>
    <x v="6"/>
    <n v="20"/>
    <x v="1"/>
  </r>
  <r>
    <x v="2"/>
    <x v="1"/>
    <x v="4"/>
    <x v="8"/>
    <n v="78"/>
    <n v="2288.6"/>
    <x v="2"/>
    <n v="457.72"/>
    <x v="1"/>
  </r>
  <r>
    <x v="2"/>
    <x v="1"/>
    <x v="4"/>
    <x v="9"/>
    <n v="76"/>
    <n v="2288.4499999999998"/>
    <x v="7"/>
    <n v="457.69"/>
    <x v="1"/>
  </r>
  <r>
    <x v="2"/>
    <x v="1"/>
    <x v="4"/>
    <x v="10"/>
    <n v="46"/>
    <n v="100"/>
    <x v="8"/>
    <n v="20"/>
    <x v="1"/>
  </r>
  <r>
    <x v="2"/>
    <x v="1"/>
    <x v="4"/>
    <x v="11"/>
    <n v="34"/>
    <n v="2288.4"/>
    <x v="9"/>
    <n v="457.68000000000006"/>
    <x v="1"/>
  </r>
  <r>
    <x v="2"/>
    <x v="1"/>
    <x v="1"/>
    <x v="12"/>
    <n v="7"/>
    <n v="200"/>
    <x v="8"/>
    <n v="40"/>
    <x v="0"/>
  </r>
  <r>
    <x v="2"/>
    <x v="1"/>
    <x v="4"/>
    <x v="14"/>
    <n v="3"/>
    <n v="3300"/>
    <x v="0"/>
    <n v="660"/>
    <x v="0"/>
  </r>
  <r>
    <x v="2"/>
    <x v="1"/>
    <x v="5"/>
    <x v="13"/>
    <n v="2"/>
    <n v="6600"/>
    <x v="10"/>
    <n v="1320"/>
    <x v="0"/>
  </r>
  <r>
    <x v="2"/>
    <x v="2"/>
    <x v="0"/>
    <x v="0"/>
    <n v="3566"/>
    <n v="4577.3"/>
    <x v="0"/>
    <n v="915.46"/>
    <x v="0"/>
  </r>
  <r>
    <x v="2"/>
    <x v="2"/>
    <x v="0"/>
    <x v="1"/>
    <n v="2498"/>
    <n v="8000"/>
    <x v="1"/>
    <n v="1600"/>
    <x v="0"/>
  </r>
  <r>
    <x v="2"/>
    <x v="2"/>
    <x v="1"/>
    <x v="2"/>
    <n v="1245"/>
    <n v="4577.2"/>
    <x v="2"/>
    <n v="915.44"/>
    <x v="0"/>
  </r>
  <r>
    <x v="2"/>
    <x v="2"/>
    <x v="2"/>
    <x v="3"/>
    <n v="644"/>
    <n v="5743.5"/>
    <x v="3"/>
    <n v="1148.7"/>
    <x v="0"/>
  </r>
  <r>
    <x v="2"/>
    <x v="2"/>
    <x v="3"/>
    <x v="4"/>
    <n v="643"/>
    <n v="7000"/>
    <x v="4"/>
    <n v="1400"/>
    <x v="0"/>
  </r>
  <r>
    <x v="2"/>
    <x v="2"/>
    <x v="2"/>
    <x v="5"/>
    <n v="455"/>
    <n v="4578.6000000000004"/>
    <x v="5"/>
    <n v="915.72000000000014"/>
    <x v="0"/>
  </r>
  <r>
    <x v="2"/>
    <x v="2"/>
    <x v="3"/>
    <x v="6"/>
    <n v="345"/>
    <n v="7000"/>
    <x v="4"/>
    <n v="1400"/>
    <x v="0"/>
  </r>
  <r>
    <x v="2"/>
    <x v="2"/>
    <x v="1"/>
    <x v="7"/>
    <n v="122"/>
    <n v="100"/>
    <x v="6"/>
    <n v="20"/>
    <x v="0"/>
  </r>
  <r>
    <x v="2"/>
    <x v="2"/>
    <x v="4"/>
    <x v="8"/>
    <n v="78"/>
    <n v="2288.6"/>
    <x v="2"/>
    <n v="457.72"/>
    <x v="0"/>
  </r>
  <r>
    <x v="2"/>
    <x v="2"/>
    <x v="4"/>
    <x v="9"/>
    <n v="76"/>
    <n v="2288.4499999999998"/>
    <x v="7"/>
    <n v="457.69"/>
    <x v="0"/>
  </r>
  <r>
    <x v="2"/>
    <x v="2"/>
    <x v="4"/>
    <x v="10"/>
    <n v="46"/>
    <n v="100"/>
    <x v="8"/>
    <n v="20"/>
    <x v="0"/>
  </r>
  <r>
    <x v="2"/>
    <x v="2"/>
    <x v="4"/>
    <x v="11"/>
    <n v="34"/>
    <n v="2288.4"/>
    <x v="9"/>
    <n v="457.68000000000006"/>
    <x v="0"/>
  </r>
  <r>
    <x v="2"/>
    <x v="2"/>
    <x v="1"/>
    <x v="12"/>
    <n v="7"/>
    <n v="200"/>
    <x v="8"/>
    <n v="40"/>
    <x v="0"/>
  </r>
  <r>
    <x v="2"/>
    <x v="2"/>
    <x v="4"/>
    <x v="14"/>
    <n v="3"/>
    <n v="2288.65"/>
    <x v="0"/>
    <n v="457.73"/>
    <x v="0"/>
  </r>
  <r>
    <x v="2"/>
    <x v="2"/>
    <x v="5"/>
    <x v="13"/>
    <n v="2"/>
    <n v="6600"/>
    <x v="10"/>
    <n v="1320"/>
    <x v="1"/>
  </r>
  <r>
    <x v="2"/>
    <x v="3"/>
    <x v="0"/>
    <x v="0"/>
    <n v="3566"/>
    <n v="4577.3"/>
    <x v="0"/>
    <n v="915.46"/>
    <x v="1"/>
  </r>
  <r>
    <x v="2"/>
    <x v="3"/>
    <x v="0"/>
    <x v="1"/>
    <n v="2498"/>
    <n v="8000"/>
    <x v="1"/>
    <n v="1600"/>
    <x v="1"/>
  </r>
  <r>
    <x v="2"/>
    <x v="3"/>
    <x v="1"/>
    <x v="2"/>
    <n v="1245"/>
    <n v="4577.2"/>
    <x v="2"/>
    <n v="915.44"/>
    <x v="1"/>
  </r>
  <r>
    <x v="2"/>
    <x v="3"/>
    <x v="2"/>
    <x v="3"/>
    <n v="644"/>
    <n v="5743.5"/>
    <x v="3"/>
    <n v="1148.7"/>
    <x v="1"/>
  </r>
  <r>
    <x v="2"/>
    <x v="3"/>
    <x v="3"/>
    <x v="4"/>
    <n v="643"/>
    <n v="7000"/>
    <x v="4"/>
    <n v="1400"/>
    <x v="1"/>
  </r>
  <r>
    <x v="2"/>
    <x v="3"/>
    <x v="2"/>
    <x v="5"/>
    <n v="455"/>
    <n v="4578.6000000000004"/>
    <x v="5"/>
    <n v="915.72000000000014"/>
    <x v="1"/>
  </r>
  <r>
    <x v="2"/>
    <x v="3"/>
    <x v="3"/>
    <x v="6"/>
    <n v="345"/>
    <n v="7000"/>
    <x v="4"/>
    <n v="1400"/>
    <x v="1"/>
  </r>
  <r>
    <x v="2"/>
    <x v="3"/>
    <x v="1"/>
    <x v="7"/>
    <n v="122"/>
    <n v="100"/>
    <x v="6"/>
    <n v="20"/>
    <x v="1"/>
  </r>
  <r>
    <x v="2"/>
    <x v="3"/>
    <x v="4"/>
    <x v="8"/>
    <n v="78"/>
    <n v="2288.6"/>
    <x v="2"/>
    <n v="457.72"/>
    <x v="1"/>
  </r>
  <r>
    <x v="2"/>
    <x v="3"/>
    <x v="4"/>
    <x v="9"/>
    <n v="76"/>
    <n v="2288.4499999999998"/>
    <x v="7"/>
    <n v="457.69"/>
    <x v="1"/>
  </r>
  <r>
    <x v="2"/>
    <x v="3"/>
    <x v="4"/>
    <x v="10"/>
    <n v="46"/>
    <n v="100"/>
    <x v="8"/>
    <n v="20"/>
    <x v="1"/>
  </r>
  <r>
    <x v="2"/>
    <x v="3"/>
    <x v="4"/>
    <x v="11"/>
    <n v="34"/>
    <n v="2288.4"/>
    <x v="9"/>
    <n v="457.68000000000006"/>
    <x v="1"/>
  </r>
  <r>
    <x v="2"/>
    <x v="3"/>
    <x v="1"/>
    <x v="12"/>
    <n v="7"/>
    <n v="200"/>
    <x v="8"/>
    <n v="40"/>
    <x v="1"/>
  </r>
  <r>
    <x v="2"/>
    <x v="3"/>
    <x v="4"/>
    <x v="14"/>
    <n v="3"/>
    <n v="2288.65"/>
    <x v="0"/>
    <n v="457.73"/>
    <x v="1"/>
  </r>
  <r>
    <x v="2"/>
    <x v="3"/>
    <x v="5"/>
    <x v="13"/>
    <n v="2"/>
    <n v="7920"/>
    <x v="10"/>
    <n v="1584"/>
    <x v="1"/>
  </r>
  <r>
    <x v="2"/>
    <x v="4"/>
    <x v="0"/>
    <x v="0"/>
    <n v="3566"/>
    <n v="4577.3"/>
    <x v="0"/>
    <n v="915.46"/>
    <x v="0"/>
  </r>
  <r>
    <x v="2"/>
    <x v="4"/>
    <x v="0"/>
    <x v="1"/>
    <n v="2498"/>
    <n v="8800"/>
    <x v="1"/>
    <n v="1760"/>
    <x v="0"/>
  </r>
  <r>
    <x v="2"/>
    <x v="4"/>
    <x v="1"/>
    <x v="2"/>
    <n v="1245"/>
    <n v="5034.92"/>
    <x v="2"/>
    <n v="1006.984"/>
    <x v="0"/>
  </r>
  <r>
    <x v="2"/>
    <x v="4"/>
    <x v="2"/>
    <x v="3"/>
    <n v="644"/>
    <n v="6317.85"/>
    <x v="3"/>
    <n v="1263.5700000000002"/>
    <x v="0"/>
  </r>
  <r>
    <x v="2"/>
    <x v="4"/>
    <x v="3"/>
    <x v="4"/>
    <n v="643"/>
    <n v="7700"/>
    <x v="4"/>
    <n v="1540"/>
    <x v="0"/>
  </r>
  <r>
    <x v="2"/>
    <x v="4"/>
    <x v="2"/>
    <x v="5"/>
    <n v="455"/>
    <n v="5036.46"/>
    <x v="5"/>
    <n v="1007.292"/>
    <x v="1"/>
  </r>
  <r>
    <x v="2"/>
    <x v="4"/>
    <x v="3"/>
    <x v="6"/>
    <n v="345"/>
    <n v="7700"/>
    <x v="4"/>
    <n v="1540"/>
    <x v="1"/>
  </r>
  <r>
    <x v="2"/>
    <x v="4"/>
    <x v="1"/>
    <x v="7"/>
    <n v="122"/>
    <n v="110"/>
    <x v="6"/>
    <n v="22"/>
    <x v="1"/>
  </r>
  <r>
    <x v="2"/>
    <x v="4"/>
    <x v="4"/>
    <x v="8"/>
    <n v="78"/>
    <n v="2517.46"/>
    <x v="2"/>
    <n v="503.49200000000002"/>
    <x v="1"/>
  </r>
  <r>
    <x v="2"/>
    <x v="4"/>
    <x v="4"/>
    <x v="9"/>
    <n v="76"/>
    <n v="2288.4499999999998"/>
    <x v="7"/>
    <n v="457.69"/>
    <x v="1"/>
  </r>
  <r>
    <x v="2"/>
    <x v="4"/>
    <x v="4"/>
    <x v="10"/>
    <n v="46"/>
    <n v="100"/>
    <x v="8"/>
    <n v="20"/>
    <x v="1"/>
  </r>
  <r>
    <x v="2"/>
    <x v="4"/>
    <x v="4"/>
    <x v="11"/>
    <n v="34"/>
    <n v="2288.4"/>
    <x v="9"/>
    <n v="457.68000000000006"/>
    <x v="1"/>
  </r>
  <r>
    <x v="2"/>
    <x v="4"/>
    <x v="1"/>
    <x v="12"/>
    <n v="7"/>
    <n v="200"/>
    <x v="8"/>
    <n v="40"/>
    <x v="1"/>
  </r>
  <r>
    <x v="2"/>
    <x v="4"/>
    <x v="4"/>
    <x v="14"/>
    <n v="3"/>
    <n v="3300"/>
    <x v="0"/>
    <n v="660"/>
    <x v="1"/>
  </r>
  <r>
    <x v="2"/>
    <x v="4"/>
    <x v="5"/>
    <x v="13"/>
    <n v="2"/>
    <n v="4577.3"/>
    <x v="10"/>
    <n v="915.46"/>
    <x v="0"/>
  </r>
  <r>
    <x v="2"/>
    <x v="5"/>
    <x v="0"/>
    <x v="0"/>
    <n v="3566"/>
    <n v="4577.3"/>
    <x v="0"/>
    <n v="915.46"/>
    <x v="1"/>
  </r>
  <r>
    <x v="2"/>
    <x v="5"/>
    <x v="0"/>
    <x v="1"/>
    <n v="2498"/>
    <n v="8000"/>
    <x v="1"/>
    <n v="1600"/>
    <x v="0"/>
  </r>
  <r>
    <x v="2"/>
    <x v="5"/>
    <x v="1"/>
    <x v="2"/>
    <n v="1245"/>
    <n v="4577.2"/>
    <x v="2"/>
    <n v="915.44"/>
    <x v="0"/>
  </r>
  <r>
    <x v="2"/>
    <x v="5"/>
    <x v="2"/>
    <x v="3"/>
    <n v="644"/>
    <n v="5743.5"/>
    <x v="3"/>
    <n v="1148.7"/>
    <x v="0"/>
  </r>
  <r>
    <x v="2"/>
    <x v="5"/>
    <x v="3"/>
    <x v="4"/>
    <n v="643"/>
    <n v="7000"/>
    <x v="4"/>
    <n v="1400"/>
    <x v="0"/>
  </r>
  <r>
    <x v="2"/>
    <x v="5"/>
    <x v="2"/>
    <x v="5"/>
    <n v="455"/>
    <n v="4578.6000000000004"/>
    <x v="5"/>
    <n v="915.72000000000014"/>
    <x v="0"/>
  </r>
  <r>
    <x v="2"/>
    <x v="5"/>
    <x v="3"/>
    <x v="6"/>
    <n v="345"/>
    <n v="7000"/>
    <x v="4"/>
    <n v="1400"/>
    <x v="0"/>
  </r>
  <r>
    <x v="2"/>
    <x v="5"/>
    <x v="1"/>
    <x v="7"/>
    <n v="122"/>
    <n v="100"/>
    <x v="6"/>
    <n v="20"/>
    <x v="0"/>
  </r>
  <r>
    <x v="2"/>
    <x v="5"/>
    <x v="4"/>
    <x v="8"/>
    <n v="78"/>
    <n v="2288.6"/>
    <x v="2"/>
    <n v="457.72"/>
    <x v="0"/>
  </r>
  <r>
    <x v="2"/>
    <x v="5"/>
    <x v="4"/>
    <x v="9"/>
    <n v="76"/>
    <n v="2288.4499999999998"/>
    <x v="7"/>
    <n v="457.69"/>
    <x v="0"/>
  </r>
  <r>
    <x v="2"/>
    <x v="5"/>
    <x v="4"/>
    <x v="10"/>
    <n v="46"/>
    <n v="100"/>
    <x v="8"/>
    <n v="20"/>
    <x v="0"/>
  </r>
  <r>
    <x v="2"/>
    <x v="5"/>
    <x v="4"/>
    <x v="11"/>
    <n v="34"/>
    <n v="2288.4"/>
    <x v="9"/>
    <n v="457.68000000000006"/>
    <x v="0"/>
  </r>
  <r>
    <x v="2"/>
    <x v="5"/>
    <x v="1"/>
    <x v="12"/>
    <n v="7"/>
    <n v="200"/>
    <x v="8"/>
    <n v="40"/>
    <x v="0"/>
  </r>
  <r>
    <x v="2"/>
    <x v="5"/>
    <x v="5"/>
    <x v="13"/>
    <n v="3"/>
    <n v="4577.3"/>
    <x v="10"/>
    <n v="915.46"/>
    <x v="0"/>
  </r>
  <r>
    <x v="2"/>
    <x v="5"/>
    <x v="4"/>
    <x v="14"/>
    <n v="3"/>
    <n v="2288.65"/>
    <x v="0"/>
    <n v="457.73"/>
    <x v="0"/>
  </r>
  <r>
    <x v="2"/>
    <x v="6"/>
    <x v="0"/>
    <x v="0"/>
    <n v="3566"/>
    <n v="4577.3"/>
    <x v="0"/>
    <n v="915.46"/>
    <x v="0"/>
  </r>
  <r>
    <x v="2"/>
    <x v="6"/>
    <x v="0"/>
    <x v="1"/>
    <n v="2498"/>
    <n v="8000"/>
    <x v="1"/>
    <n v="1600"/>
    <x v="0"/>
  </r>
  <r>
    <x v="2"/>
    <x v="6"/>
    <x v="1"/>
    <x v="2"/>
    <n v="1245"/>
    <n v="4577.2"/>
    <x v="2"/>
    <n v="915.44"/>
    <x v="0"/>
  </r>
  <r>
    <x v="2"/>
    <x v="6"/>
    <x v="2"/>
    <x v="3"/>
    <n v="644"/>
    <n v="5743.5"/>
    <x v="3"/>
    <n v="1148.7"/>
    <x v="0"/>
  </r>
  <r>
    <x v="2"/>
    <x v="6"/>
    <x v="3"/>
    <x v="4"/>
    <n v="643"/>
    <n v="7000"/>
    <x v="4"/>
    <n v="1400"/>
    <x v="0"/>
  </r>
  <r>
    <x v="2"/>
    <x v="6"/>
    <x v="2"/>
    <x v="5"/>
    <n v="455"/>
    <n v="4578.6000000000004"/>
    <x v="5"/>
    <n v="915.72000000000014"/>
    <x v="0"/>
  </r>
  <r>
    <x v="2"/>
    <x v="6"/>
    <x v="3"/>
    <x v="6"/>
    <n v="345"/>
    <n v="7000"/>
    <x v="4"/>
    <n v="1400"/>
    <x v="0"/>
  </r>
  <r>
    <x v="2"/>
    <x v="6"/>
    <x v="1"/>
    <x v="7"/>
    <n v="122"/>
    <n v="100"/>
    <x v="6"/>
    <n v="20"/>
    <x v="0"/>
  </r>
  <r>
    <x v="2"/>
    <x v="6"/>
    <x v="4"/>
    <x v="8"/>
    <n v="78"/>
    <n v="2288.6"/>
    <x v="2"/>
    <n v="457.72"/>
    <x v="0"/>
  </r>
  <r>
    <x v="2"/>
    <x v="6"/>
    <x v="4"/>
    <x v="9"/>
    <n v="76"/>
    <n v="2288.4499999999998"/>
    <x v="7"/>
    <n v="457.69"/>
    <x v="0"/>
  </r>
  <r>
    <x v="2"/>
    <x v="6"/>
    <x v="4"/>
    <x v="10"/>
    <n v="46"/>
    <n v="100"/>
    <x v="8"/>
    <n v="20"/>
    <x v="0"/>
  </r>
  <r>
    <x v="2"/>
    <x v="6"/>
    <x v="4"/>
    <x v="11"/>
    <n v="34"/>
    <n v="2288.4"/>
    <x v="9"/>
    <n v="457.68000000000006"/>
    <x v="0"/>
  </r>
  <r>
    <x v="2"/>
    <x v="6"/>
    <x v="1"/>
    <x v="12"/>
    <n v="7"/>
    <n v="200"/>
    <x v="8"/>
    <n v="40"/>
    <x v="0"/>
  </r>
  <r>
    <x v="2"/>
    <x v="6"/>
    <x v="4"/>
    <x v="14"/>
    <n v="3"/>
    <n v="2288.65"/>
    <x v="0"/>
    <n v="457.73"/>
    <x v="0"/>
  </r>
  <r>
    <x v="2"/>
    <x v="6"/>
    <x v="5"/>
    <x v="13"/>
    <n v="2"/>
    <n v="6600"/>
    <x v="10"/>
    <n v="1320"/>
    <x v="0"/>
  </r>
  <r>
    <x v="2"/>
    <x v="7"/>
    <x v="0"/>
    <x v="0"/>
    <n v="3566"/>
    <n v="4577.3"/>
    <x v="0"/>
    <n v="915.46"/>
    <x v="0"/>
  </r>
  <r>
    <x v="2"/>
    <x v="7"/>
    <x v="0"/>
    <x v="1"/>
    <n v="2498"/>
    <n v="8000"/>
    <x v="1"/>
    <n v="1600"/>
    <x v="0"/>
  </r>
  <r>
    <x v="2"/>
    <x v="7"/>
    <x v="1"/>
    <x v="2"/>
    <n v="1245"/>
    <n v="4577.2"/>
    <x v="2"/>
    <n v="915.44"/>
    <x v="0"/>
  </r>
  <r>
    <x v="2"/>
    <x v="7"/>
    <x v="2"/>
    <x v="3"/>
    <n v="644"/>
    <n v="5743.5"/>
    <x v="3"/>
    <n v="1148.7"/>
    <x v="0"/>
  </r>
  <r>
    <x v="2"/>
    <x v="7"/>
    <x v="3"/>
    <x v="4"/>
    <n v="643"/>
    <n v="7000"/>
    <x v="4"/>
    <n v="1400"/>
    <x v="0"/>
  </r>
  <r>
    <x v="2"/>
    <x v="7"/>
    <x v="2"/>
    <x v="5"/>
    <n v="455"/>
    <n v="5036.46"/>
    <x v="5"/>
    <n v="1007.292"/>
    <x v="0"/>
  </r>
  <r>
    <x v="2"/>
    <x v="7"/>
    <x v="3"/>
    <x v="6"/>
    <n v="345"/>
    <n v="7700"/>
    <x v="4"/>
    <n v="1540"/>
    <x v="0"/>
  </r>
  <r>
    <x v="2"/>
    <x v="7"/>
    <x v="1"/>
    <x v="7"/>
    <n v="122"/>
    <n v="110"/>
    <x v="6"/>
    <n v="22"/>
    <x v="0"/>
  </r>
  <r>
    <x v="2"/>
    <x v="7"/>
    <x v="4"/>
    <x v="8"/>
    <n v="78"/>
    <n v="2517.46"/>
    <x v="2"/>
    <n v="503.49200000000002"/>
    <x v="0"/>
  </r>
  <r>
    <x v="2"/>
    <x v="7"/>
    <x v="4"/>
    <x v="9"/>
    <n v="76"/>
    <n v="2517.2949999999996"/>
    <x v="7"/>
    <n v="503.45899999999995"/>
    <x v="0"/>
  </r>
  <r>
    <x v="2"/>
    <x v="7"/>
    <x v="4"/>
    <x v="10"/>
    <n v="46"/>
    <n v="115"/>
    <x v="8"/>
    <n v="23"/>
    <x v="0"/>
  </r>
  <r>
    <x v="2"/>
    <x v="7"/>
    <x v="4"/>
    <x v="11"/>
    <n v="34"/>
    <n v="2631.66"/>
    <x v="9"/>
    <n v="526.33199999999999"/>
    <x v="0"/>
  </r>
  <r>
    <x v="2"/>
    <x v="7"/>
    <x v="1"/>
    <x v="12"/>
    <n v="7"/>
    <n v="230"/>
    <x v="8"/>
    <n v="46"/>
    <x v="0"/>
  </r>
  <r>
    <x v="2"/>
    <x v="7"/>
    <x v="4"/>
    <x v="14"/>
    <n v="3"/>
    <n v="2631.9475000000002"/>
    <x v="0"/>
    <n v="526.38950000000011"/>
    <x v="0"/>
  </r>
  <r>
    <x v="2"/>
    <x v="7"/>
    <x v="5"/>
    <x v="13"/>
    <n v="2"/>
    <n v="7590"/>
    <x v="10"/>
    <n v="1518"/>
    <x v="0"/>
  </r>
  <r>
    <x v="2"/>
    <x v="8"/>
    <x v="0"/>
    <x v="0"/>
    <n v="3566"/>
    <n v="4577.3"/>
    <x v="0"/>
    <n v="915.46"/>
    <x v="0"/>
  </r>
  <r>
    <x v="2"/>
    <x v="8"/>
    <x v="0"/>
    <x v="1"/>
    <n v="2498"/>
    <n v="8000"/>
    <x v="1"/>
    <n v="1600"/>
    <x v="0"/>
  </r>
  <r>
    <x v="2"/>
    <x v="8"/>
    <x v="1"/>
    <x v="2"/>
    <n v="1245"/>
    <n v="4577.2"/>
    <x v="2"/>
    <n v="915.44"/>
    <x v="0"/>
  </r>
  <r>
    <x v="2"/>
    <x v="8"/>
    <x v="2"/>
    <x v="3"/>
    <n v="644"/>
    <n v="5743.5"/>
    <x v="3"/>
    <n v="1148.7"/>
    <x v="0"/>
  </r>
  <r>
    <x v="2"/>
    <x v="8"/>
    <x v="3"/>
    <x v="4"/>
    <n v="643"/>
    <n v="7000"/>
    <x v="4"/>
    <n v="1400"/>
    <x v="0"/>
  </r>
  <r>
    <x v="2"/>
    <x v="8"/>
    <x v="2"/>
    <x v="5"/>
    <n v="455"/>
    <n v="4578.6000000000004"/>
    <x v="5"/>
    <n v="915.72000000000014"/>
    <x v="0"/>
  </r>
  <r>
    <x v="2"/>
    <x v="8"/>
    <x v="3"/>
    <x v="6"/>
    <n v="345"/>
    <n v="7000"/>
    <x v="4"/>
    <n v="1400"/>
    <x v="0"/>
  </r>
  <r>
    <x v="2"/>
    <x v="8"/>
    <x v="1"/>
    <x v="7"/>
    <n v="122"/>
    <n v="100"/>
    <x v="6"/>
    <n v="20"/>
    <x v="0"/>
  </r>
  <r>
    <x v="2"/>
    <x v="8"/>
    <x v="4"/>
    <x v="8"/>
    <n v="78"/>
    <n v="2288.6"/>
    <x v="2"/>
    <n v="457.72"/>
    <x v="0"/>
  </r>
  <r>
    <x v="2"/>
    <x v="8"/>
    <x v="4"/>
    <x v="9"/>
    <n v="76"/>
    <n v="2288.4499999999998"/>
    <x v="7"/>
    <n v="457.69"/>
    <x v="0"/>
  </r>
  <r>
    <x v="2"/>
    <x v="8"/>
    <x v="4"/>
    <x v="10"/>
    <n v="46"/>
    <n v="100"/>
    <x v="8"/>
    <n v="20"/>
    <x v="0"/>
  </r>
  <r>
    <x v="2"/>
    <x v="8"/>
    <x v="4"/>
    <x v="11"/>
    <n v="34"/>
    <n v="2746.08"/>
    <x v="9"/>
    <n v="549.21600000000001"/>
    <x v="0"/>
  </r>
  <r>
    <x v="2"/>
    <x v="8"/>
    <x v="1"/>
    <x v="12"/>
    <n v="7"/>
    <n v="240"/>
    <x v="8"/>
    <n v="48"/>
    <x v="0"/>
  </r>
  <r>
    <x v="2"/>
    <x v="8"/>
    <x v="4"/>
    <x v="14"/>
    <n v="3"/>
    <n v="2746.38"/>
    <x v="0"/>
    <n v="549.27600000000007"/>
    <x v="0"/>
  </r>
  <r>
    <x v="2"/>
    <x v="8"/>
    <x v="5"/>
    <x v="13"/>
    <n v="2"/>
    <n v="7920"/>
    <x v="10"/>
    <n v="1584"/>
    <x v="0"/>
  </r>
  <r>
    <x v="2"/>
    <x v="9"/>
    <x v="0"/>
    <x v="0"/>
    <n v="3566"/>
    <n v="5035.0300000000007"/>
    <x v="0"/>
    <n v="1007.0060000000002"/>
    <x v="0"/>
  </r>
  <r>
    <x v="2"/>
    <x v="9"/>
    <x v="0"/>
    <x v="1"/>
    <n v="2498"/>
    <n v="9200"/>
    <x v="1"/>
    <n v="1840"/>
    <x v="0"/>
  </r>
  <r>
    <x v="2"/>
    <x v="9"/>
    <x v="1"/>
    <x v="2"/>
    <n v="1245"/>
    <n v="5263.78"/>
    <x v="2"/>
    <n v="1052.7560000000001"/>
    <x v="0"/>
  </r>
  <r>
    <x v="2"/>
    <x v="9"/>
    <x v="2"/>
    <x v="3"/>
    <n v="644"/>
    <n v="6605.0249999999996"/>
    <x v="3"/>
    <n v="1321.0050000000001"/>
    <x v="0"/>
  </r>
  <r>
    <x v="2"/>
    <x v="9"/>
    <x v="3"/>
    <x v="4"/>
    <n v="643"/>
    <n v="8400"/>
    <x v="4"/>
    <n v="1680"/>
    <x v="0"/>
  </r>
  <r>
    <x v="2"/>
    <x v="9"/>
    <x v="2"/>
    <x v="5"/>
    <n v="455"/>
    <n v="5494.3200000000006"/>
    <x v="5"/>
    <n v="1098.8640000000003"/>
    <x v="0"/>
  </r>
  <r>
    <x v="2"/>
    <x v="9"/>
    <x v="3"/>
    <x v="6"/>
    <n v="345"/>
    <n v="8400"/>
    <x v="4"/>
    <n v="1680"/>
    <x v="0"/>
  </r>
  <r>
    <x v="2"/>
    <x v="9"/>
    <x v="1"/>
    <x v="7"/>
    <n v="122"/>
    <n v="120"/>
    <x v="6"/>
    <n v="24"/>
    <x v="0"/>
  </r>
  <r>
    <x v="2"/>
    <x v="9"/>
    <x v="4"/>
    <x v="8"/>
    <n v="78"/>
    <n v="2517.46"/>
    <x v="2"/>
    <n v="503.49200000000002"/>
    <x v="0"/>
  </r>
  <r>
    <x v="2"/>
    <x v="9"/>
    <x v="4"/>
    <x v="9"/>
    <n v="76"/>
    <n v="2517.2949999999996"/>
    <x v="7"/>
    <n v="503.45899999999995"/>
    <x v="0"/>
  </r>
  <r>
    <x v="2"/>
    <x v="9"/>
    <x v="4"/>
    <x v="10"/>
    <n v="46"/>
    <n v="110"/>
    <x v="8"/>
    <n v="22"/>
    <x v="0"/>
  </r>
  <r>
    <x v="2"/>
    <x v="9"/>
    <x v="4"/>
    <x v="11"/>
    <n v="34"/>
    <n v="2517.2400000000002"/>
    <x v="9"/>
    <n v="503.44800000000009"/>
    <x v="0"/>
  </r>
  <r>
    <x v="2"/>
    <x v="9"/>
    <x v="1"/>
    <x v="12"/>
    <n v="7"/>
    <n v="220"/>
    <x v="8"/>
    <n v="44"/>
    <x v="0"/>
  </r>
  <r>
    <x v="2"/>
    <x v="9"/>
    <x v="4"/>
    <x v="14"/>
    <n v="3"/>
    <n v="2517.5150000000003"/>
    <x v="0"/>
    <n v="503.5030000000001"/>
    <x v="0"/>
  </r>
  <r>
    <x v="2"/>
    <x v="9"/>
    <x v="5"/>
    <x v="13"/>
    <n v="2"/>
    <n v="7260"/>
    <x v="10"/>
    <n v="1452"/>
    <x v="0"/>
  </r>
  <r>
    <x v="2"/>
    <x v="10"/>
    <x v="0"/>
    <x v="0"/>
    <n v="3566"/>
    <n v="5263.8950000000004"/>
    <x v="0"/>
    <n v="1052.7790000000002"/>
    <x v="0"/>
  </r>
  <r>
    <x v="2"/>
    <x v="10"/>
    <x v="0"/>
    <x v="1"/>
    <n v="2498"/>
    <n v="8800"/>
    <x v="1"/>
    <n v="1760"/>
    <x v="0"/>
  </r>
  <r>
    <x v="2"/>
    <x v="10"/>
    <x v="1"/>
    <x v="2"/>
    <n v="1245"/>
    <n v="5034.92"/>
    <x v="2"/>
    <n v="1006.984"/>
    <x v="0"/>
  </r>
  <r>
    <x v="2"/>
    <x v="10"/>
    <x v="2"/>
    <x v="3"/>
    <n v="644"/>
    <n v="6317.85"/>
    <x v="3"/>
    <n v="1263.5700000000002"/>
    <x v="0"/>
  </r>
  <r>
    <x v="2"/>
    <x v="10"/>
    <x v="3"/>
    <x v="4"/>
    <n v="643"/>
    <n v="7700"/>
    <x v="4"/>
    <n v="1540"/>
    <x v="0"/>
  </r>
  <r>
    <x v="2"/>
    <x v="10"/>
    <x v="2"/>
    <x v="5"/>
    <n v="455"/>
    <n v="5036.46"/>
    <x v="5"/>
    <n v="1007.292"/>
    <x v="0"/>
  </r>
  <r>
    <x v="2"/>
    <x v="10"/>
    <x v="3"/>
    <x v="6"/>
    <n v="345"/>
    <n v="7700"/>
    <x v="4"/>
    <n v="1540"/>
    <x v="0"/>
  </r>
  <r>
    <x v="2"/>
    <x v="10"/>
    <x v="1"/>
    <x v="7"/>
    <n v="122"/>
    <n v="110"/>
    <x v="6"/>
    <n v="22"/>
    <x v="0"/>
  </r>
  <r>
    <x v="2"/>
    <x v="10"/>
    <x v="4"/>
    <x v="8"/>
    <n v="78"/>
    <n v="2517.46"/>
    <x v="2"/>
    <n v="503.49200000000002"/>
    <x v="0"/>
  </r>
  <r>
    <x v="2"/>
    <x v="10"/>
    <x v="4"/>
    <x v="9"/>
    <n v="76"/>
    <n v="2288.4499999999998"/>
    <x v="7"/>
    <n v="457.69"/>
    <x v="0"/>
  </r>
  <r>
    <x v="2"/>
    <x v="10"/>
    <x v="4"/>
    <x v="10"/>
    <n v="46"/>
    <n v="100"/>
    <x v="8"/>
    <n v="20"/>
    <x v="0"/>
  </r>
  <r>
    <x v="2"/>
    <x v="10"/>
    <x v="4"/>
    <x v="11"/>
    <n v="34"/>
    <n v="2288.4"/>
    <x v="9"/>
    <n v="457.68000000000006"/>
    <x v="1"/>
  </r>
  <r>
    <x v="2"/>
    <x v="10"/>
    <x v="1"/>
    <x v="12"/>
    <n v="7"/>
    <n v="200"/>
    <x v="8"/>
    <n v="40"/>
    <x v="1"/>
  </r>
  <r>
    <x v="2"/>
    <x v="10"/>
    <x v="4"/>
    <x v="14"/>
    <n v="3"/>
    <n v="2288.65"/>
    <x v="0"/>
    <n v="457.73"/>
    <x v="1"/>
  </r>
  <r>
    <x v="2"/>
    <x v="10"/>
    <x v="5"/>
    <x v="13"/>
    <n v="2"/>
    <n v="6600"/>
    <x v="10"/>
    <n v="1320"/>
    <x v="1"/>
  </r>
  <r>
    <x v="2"/>
    <x v="11"/>
    <x v="0"/>
    <x v="0"/>
    <n v="3566"/>
    <n v="4577.3"/>
    <x v="0"/>
    <n v="915.46"/>
    <x v="1"/>
  </r>
  <r>
    <x v="2"/>
    <x v="11"/>
    <x v="0"/>
    <x v="1"/>
    <n v="2498"/>
    <n v="8000"/>
    <x v="1"/>
    <n v="1600"/>
    <x v="1"/>
  </r>
  <r>
    <x v="2"/>
    <x v="11"/>
    <x v="1"/>
    <x v="2"/>
    <n v="1245"/>
    <n v="4577.2"/>
    <x v="2"/>
    <n v="915.44"/>
    <x v="1"/>
  </r>
  <r>
    <x v="2"/>
    <x v="11"/>
    <x v="2"/>
    <x v="3"/>
    <n v="644"/>
    <n v="5743.5"/>
    <x v="3"/>
    <n v="1148.7"/>
    <x v="1"/>
  </r>
  <r>
    <x v="2"/>
    <x v="11"/>
    <x v="3"/>
    <x v="4"/>
    <n v="643"/>
    <n v="7000"/>
    <x v="4"/>
    <n v="1400"/>
    <x v="1"/>
  </r>
  <r>
    <x v="2"/>
    <x v="11"/>
    <x v="2"/>
    <x v="5"/>
    <n v="455"/>
    <n v="4578.6000000000004"/>
    <x v="5"/>
    <n v="915.72000000000014"/>
    <x v="1"/>
  </r>
  <r>
    <x v="2"/>
    <x v="11"/>
    <x v="3"/>
    <x v="6"/>
    <n v="345"/>
    <n v="7000"/>
    <x v="4"/>
    <n v="1400"/>
    <x v="1"/>
  </r>
  <r>
    <x v="2"/>
    <x v="11"/>
    <x v="1"/>
    <x v="7"/>
    <n v="122"/>
    <n v="100"/>
    <x v="6"/>
    <n v="20"/>
    <x v="1"/>
  </r>
  <r>
    <x v="2"/>
    <x v="11"/>
    <x v="4"/>
    <x v="8"/>
    <n v="78"/>
    <n v="2288.6"/>
    <x v="2"/>
    <n v="457.72"/>
    <x v="1"/>
  </r>
  <r>
    <x v="2"/>
    <x v="11"/>
    <x v="4"/>
    <x v="9"/>
    <n v="76"/>
    <n v="2288.4499999999998"/>
    <x v="7"/>
    <n v="457.69"/>
    <x v="1"/>
  </r>
  <r>
    <x v="2"/>
    <x v="11"/>
    <x v="4"/>
    <x v="10"/>
    <n v="46"/>
    <n v="100"/>
    <x v="8"/>
    <n v="20"/>
    <x v="1"/>
  </r>
  <r>
    <x v="2"/>
    <x v="11"/>
    <x v="4"/>
    <x v="11"/>
    <n v="34"/>
    <n v="2288.4"/>
    <x v="9"/>
    <n v="457.68000000000006"/>
    <x v="1"/>
  </r>
  <r>
    <x v="2"/>
    <x v="11"/>
    <x v="1"/>
    <x v="12"/>
    <n v="7"/>
    <n v="200"/>
    <x v="8"/>
    <n v="40"/>
    <x v="1"/>
  </r>
  <r>
    <x v="2"/>
    <x v="11"/>
    <x v="4"/>
    <x v="14"/>
    <n v="3"/>
    <n v="2288.65"/>
    <x v="0"/>
    <n v="457.73"/>
    <x v="1"/>
  </r>
  <r>
    <x v="2"/>
    <x v="11"/>
    <x v="5"/>
    <x v="13"/>
    <n v="2"/>
    <n v="6600"/>
    <x v="10"/>
    <n v="1320"/>
    <x v="1"/>
  </r>
  <r>
    <x v="3"/>
    <x v="0"/>
    <x v="0"/>
    <x v="0"/>
    <n v="3566"/>
    <n v="5492.76"/>
    <x v="0"/>
    <n v="1098.5520000000001"/>
    <x v="1"/>
  </r>
  <r>
    <x v="3"/>
    <x v="0"/>
    <x v="0"/>
    <x v="1"/>
    <n v="2498"/>
    <n v="9600"/>
    <x v="1"/>
    <n v="1920"/>
    <x v="1"/>
  </r>
  <r>
    <x v="3"/>
    <x v="0"/>
    <x v="1"/>
    <x v="2"/>
    <n v="1245"/>
    <n v="5492.6399999999994"/>
    <x v="2"/>
    <n v="1098.528"/>
    <x v="1"/>
  </r>
  <r>
    <x v="3"/>
    <x v="0"/>
    <x v="2"/>
    <x v="3"/>
    <n v="644"/>
    <n v="6892.2"/>
    <x v="3"/>
    <n v="1378.44"/>
    <x v="1"/>
  </r>
  <r>
    <x v="3"/>
    <x v="0"/>
    <x v="3"/>
    <x v="4"/>
    <n v="643"/>
    <n v="8400"/>
    <x v="4"/>
    <n v="1680"/>
    <x v="0"/>
  </r>
  <r>
    <x v="3"/>
    <x v="0"/>
    <x v="2"/>
    <x v="5"/>
    <n v="455"/>
    <n v="5494.3200000000006"/>
    <x v="5"/>
    <n v="1098.8640000000003"/>
    <x v="0"/>
  </r>
  <r>
    <x v="3"/>
    <x v="0"/>
    <x v="3"/>
    <x v="6"/>
    <n v="345"/>
    <n v="8400"/>
    <x v="4"/>
    <n v="1680"/>
    <x v="0"/>
  </r>
  <r>
    <x v="3"/>
    <x v="0"/>
    <x v="1"/>
    <x v="7"/>
    <n v="122"/>
    <n v="120"/>
    <x v="6"/>
    <n v="24"/>
    <x v="0"/>
  </r>
  <r>
    <x v="3"/>
    <x v="0"/>
    <x v="4"/>
    <x v="8"/>
    <n v="78"/>
    <n v="2288.6"/>
    <x v="2"/>
    <n v="457.72"/>
    <x v="0"/>
  </r>
  <r>
    <x v="3"/>
    <x v="0"/>
    <x v="4"/>
    <x v="9"/>
    <n v="76"/>
    <n v="2288.4499999999998"/>
    <x v="7"/>
    <n v="457.69"/>
    <x v="0"/>
  </r>
  <r>
    <x v="3"/>
    <x v="0"/>
    <x v="4"/>
    <x v="10"/>
    <n v="46"/>
    <n v="100"/>
    <x v="8"/>
    <n v="20"/>
    <x v="0"/>
  </r>
  <r>
    <x v="3"/>
    <x v="0"/>
    <x v="4"/>
    <x v="11"/>
    <n v="34"/>
    <n v="2288.4"/>
    <x v="9"/>
    <n v="457.68000000000006"/>
    <x v="0"/>
  </r>
  <r>
    <x v="3"/>
    <x v="0"/>
    <x v="1"/>
    <x v="12"/>
    <n v="7"/>
    <n v="200"/>
    <x v="8"/>
    <n v="40"/>
    <x v="0"/>
  </r>
  <r>
    <x v="3"/>
    <x v="0"/>
    <x v="5"/>
    <x v="13"/>
    <n v="3"/>
    <n v="4577.3"/>
    <x v="10"/>
    <n v="915.46"/>
    <x v="0"/>
  </r>
  <r>
    <x v="3"/>
    <x v="0"/>
    <x v="4"/>
    <x v="14"/>
    <n v="3"/>
    <n v="3300"/>
    <x v="0"/>
    <n v="660"/>
    <x v="0"/>
  </r>
  <r>
    <x v="3"/>
    <x v="1"/>
    <x v="0"/>
    <x v="0"/>
    <n v="3566"/>
    <n v="4577.3"/>
    <x v="0"/>
    <n v="915.46"/>
    <x v="0"/>
  </r>
  <r>
    <x v="3"/>
    <x v="1"/>
    <x v="0"/>
    <x v="1"/>
    <n v="2498"/>
    <n v="8000"/>
    <x v="1"/>
    <n v="1600"/>
    <x v="0"/>
  </r>
  <r>
    <x v="3"/>
    <x v="1"/>
    <x v="1"/>
    <x v="2"/>
    <n v="1245"/>
    <n v="4577.2"/>
    <x v="2"/>
    <n v="915.44"/>
    <x v="0"/>
  </r>
  <r>
    <x v="3"/>
    <x v="1"/>
    <x v="2"/>
    <x v="3"/>
    <n v="644"/>
    <n v="5743.5"/>
    <x v="3"/>
    <n v="1148.7"/>
    <x v="0"/>
  </r>
  <r>
    <x v="3"/>
    <x v="1"/>
    <x v="3"/>
    <x v="4"/>
    <n v="643"/>
    <n v="7000"/>
    <x v="4"/>
    <n v="1400"/>
    <x v="0"/>
  </r>
  <r>
    <x v="3"/>
    <x v="1"/>
    <x v="2"/>
    <x v="5"/>
    <n v="455"/>
    <n v="4578.6000000000004"/>
    <x v="5"/>
    <n v="915.72000000000014"/>
    <x v="0"/>
  </r>
  <r>
    <x v="3"/>
    <x v="1"/>
    <x v="3"/>
    <x v="6"/>
    <n v="345"/>
    <n v="7000"/>
    <x v="4"/>
    <n v="1400"/>
    <x v="0"/>
  </r>
  <r>
    <x v="3"/>
    <x v="1"/>
    <x v="1"/>
    <x v="7"/>
    <n v="122"/>
    <n v="100"/>
    <x v="6"/>
    <n v="20"/>
    <x v="0"/>
  </r>
  <r>
    <x v="3"/>
    <x v="1"/>
    <x v="4"/>
    <x v="8"/>
    <n v="78"/>
    <n v="2288.6"/>
    <x v="2"/>
    <n v="457.72"/>
    <x v="0"/>
  </r>
  <r>
    <x v="3"/>
    <x v="1"/>
    <x v="4"/>
    <x v="9"/>
    <n v="76"/>
    <n v="2288.4499999999998"/>
    <x v="7"/>
    <n v="457.69"/>
    <x v="0"/>
  </r>
  <r>
    <x v="3"/>
    <x v="1"/>
    <x v="4"/>
    <x v="10"/>
    <n v="46"/>
    <n v="100"/>
    <x v="8"/>
    <n v="20"/>
    <x v="0"/>
  </r>
  <r>
    <x v="3"/>
    <x v="1"/>
    <x v="4"/>
    <x v="11"/>
    <n v="34"/>
    <n v="2288.4"/>
    <x v="9"/>
    <n v="457.68000000000006"/>
    <x v="0"/>
  </r>
  <r>
    <x v="3"/>
    <x v="1"/>
    <x v="1"/>
    <x v="12"/>
    <n v="7"/>
    <n v="200"/>
    <x v="8"/>
    <n v="40"/>
    <x v="0"/>
  </r>
  <r>
    <x v="3"/>
    <x v="1"/>
    <x v="4"/>
    <x v="14"/>
    <n v="3"/>
    <n v="3300"/>
    <x v="0"/>
    <n v="660"/>
    <x v="0"/>
  </r>
  <r>
    <x v="3"/>
    <x v="1"/>
    <x v="5"/>
    <x v="13"/>
    <n v="2"/>
    <n v="6600"/>
    <x v="10"/>
    <n v="1320"/>
    <x v="0"/>
  </r>
  <r>
    <x v="3"/>
    <x v="2"/>
    <x v="0"/>
    <x v="0"/>
    <n v="3566"/>
    <n v="4577.3"/>
    <x v="0"/>
    <n v="915.46"/>
    <x v="0"/>
  </r>
  <r>
    <x v="3"/>
    <x v="2"/>
    <x v="0"/>
    <x v="1"/>
    <n v="2498"/>
    <n v="8000"/>
    <x v="1"/>
    <n v="1600"/>
    <x v="0"/>
  </r>
  <r>
    <x v="3"/>
    <x v="2"/>
    <x v="1"/>
    <x v="2"/>
    <n v="1245"/>
    <n v="4577.2"/>
    <x v="2"/>
    <n v="915.44"/>
    <x v="0"/>
  </r>
  <r>
    <x v="3"/>
    <x v="2"/>
    <x v="2"/>
    <x v="3"/>
    <n v="644"/>
    <n v="10000"/>
    <x v="3"/>
    <n v="2000"/>
    <x v="0"/>
  </r>
  <r>
    <x v="3"/>
    <x v="2"/>
    <x v="3"/>
    <x v="4"/>
    <n v="643"/>
    <n v="7000"/>
    <x v="4"/>
    <n v="1400"/>
    <x v="0"/>
  </r>
  <r>
    <x v="3"/>
    <x v="2"/>
    <x v="2"/>
    <x v="5"/>
    <n v="455"/>
    <n v="4578.6000000000004"/>
    <x v="5"/>
    <n v="915.72000000000014"/>
    <x v="0"/>
  </r>
  <r>
    <x v="3"/>
    <x v="2"/>
    <x v="3"/>
    <x v="6"/>
    <n v="345"/>
    <n v="7000"/>
    <x v="4"/>
    <n v="1400"/>
    <x v="0"/>
  </r>
  <r>
    <x v="3"/>
    <x v="2"/>
    <x v="1"/>
    <x v="7"/>
    <n v="122"/>
    <n v="100"/>
    <x v="6"/>
    <n v="20"/>
    <x v="0"/>
  </r>
  <r>
    <x v="3"/>
    <x v="2"/>
    <x v="4"/>
    <x v="8"/>
    <n v="78"/>
    <n v="2288.6"/>
    <x v="2"/>
    <n v="457.72"/>
    <x v="0"/>
  </r>
  <r>
    <x v="3"/>
    <x v="2"/>
    <x v="4"/>
    <x v="9"/>
    <n v="76"/>
    <n v="2288.4499999999998"/>
    <x v="7"/>
    <n v="457.69"/>
    <x v="0"/>
  </r>
  <r>
    <x v="3"/>
    <x v="2"/>
    <x v="4"/>
    <x v="10"/>
    <n v="46"/>
    <n v="100"/>
    <x v="8"/>
    <n v="20"/>
    <x v="0"/>
  </r>
  <r>
    <x v="3"/>
    <x v="2"/>
    <x v="4"/>
    <x v="11"/>
    <n v="34"/>
    <n v="2288.4"/>
    <x v="9"/>
    <n v="457.68000000000006"/>
    <x v="0"/>
  </r>
  <r>
    <x v="3"/>
    <x v="2"/>
    <x v="1"/>
    <x v="12"/>
    <n v="7"/>
    <n v="200"/>
    <x v="8"/>
    <n v="40"/>
    <x v="0"/>
  </r>
  <r>
    <x v="3"/>
    <x v="2"/>
    <x v="4"/>
    <x v="14"/>
    <n v="3"/>
    <n v="2288.65"/>
    <x v="0"/>
    <n v="457.73"/>
    <x v="0"/>
  </r>
  <r>
    <x v="3"/>
    <x v="2"/>
    <x v="5"/>
    <x v="13"/>
    <n v="2"/>
    <n v="6600"/>
    <x v="10"/>
    <n v="1320"/>
    <x v="0"/>
  </r>
  <r>
    <x v="3"/>
    <x v="3"/>
    <x v="0"/>
    <x v="0"/>
    <n v="3566"/>
    <n v="4577.3"/>
    <x v="0"/>
    <n v="915.46"/>
    <x v="0"/>
  </r>
  <r>
    <x v="3"/>
    <x v="3"/>
    <x v="0"/>
    <x v="1"/>
    <n v="2498"/>
    <n v="8000"/>
    <x v="1"/>
    <n v="1600"/>
    <x v="1"/>
  </r>
  <r>
    <x v="3"/>
    <x v="3"/>
    <x v="1"/>
    <x v="2"/>
    <n v="1245"/>
    <n v="4577.2"/>
    <x v="2"/>
    <n v="915.44"/>
    <x v="1"/>
  </r>
  <r>
    <x v="3"/>
    <x v="3"/>
    <x v="2"/>
    <x v="3"/>
    <n v="644"/>
    <n v="15000"/>
    <x v="3"/>
    <n v="3000"/>
    <x v="1"/>
  </r>
  <r>
    <x v="3"/>
    <x v="3"/>
    <x v="3"/>
    <x v="4"/>
    <n v="643"/>
    <n v="7000"/>
    <x v="4"/>
    <n v="1400"/>
    <x v="1"/>
  </r>
  <r>
    <x v="3"/>
    <x v="3"/>
    <x v="2"/>
    <x v="5"/>
    <n v="455"/>
    <n v="14000"/>
    <x v="5"/>
    <n v="2800"/>
    <x v="1"/>
  </r>
  <r>
    <x v="3"/>
    <x v="3"/>
    <x v="3"/>
    <x v="6"/>
    <n v="345"/>
    <n v="7000"/>
    <x v="4"/>
    <n v="1400"/>
    <x v="1"/>
  </r>
  <r>
    <x v="3"/>
    <x v="3"/>
    <x v="1"/>
    <x v="7"/>
    <n v="122"/>
    <n v="100"/>
    <x v="6"/>
    <n v="20"/>
    <x v="1"/>
  </r>
  <r>
    <x v="3"/>
    <x v="3"/>
    <x v="4"/>
    <x v="8"/>
    <n v="78"/>
    <n v="2288.6"/>
    <x v="2"/>
    <n v="457.72"/>
    <x v="1"/>
  </r>
  <r>
    <x v="3"/>
    <x v="3"/>
    <x v="4"/>
    <x v="9"/>
    <n v="76"/>
    <n v="2288.4499999999998"/>
    <x v="7"/>
    <n v="457.69"/>
    <x v="1"/>
  </r>
  <r>
    <x v="3"/>
    <x v="3"/>
    <x v="4"/>
    <x v="10"/>
    <n v="46"/>
    <n v="100"/>
    <x v="8"/>
    <n v="20"/>
    <x v="1"/>
  </r>
  <r>
    <x v="3"/>
    <x v="3"/>
    <x v="4"/>
    <x v="11"/>
    <n v="34"/>
    <n v="2288.4"/>
    <x v="9"/>
    <n v="457.68000000000006"/>
    <x v="1"/>
  </r>
  <r>
    <x v="3"/>
    <x v="3"/>
    <x v="1"/>
    <x v="12"/>
    <n v="7"/>
    <n v="200"/>
    <x v="8"/>
    <n v="40"/>
    <x v="1"/>
  </r>
  <r>
    <x v="3"/>
    <x v="3"/>
    <x v="4"/>
    <x v="14"/>
    <n v="3"/>
    <n v="2288.65"/>
    <x v="0"/>
    <n v="457.73"/>
    <x v="1"/>
  </r>
  <r>
    <x v="3"/>
    <x v="3"/>
    <x v="5"/>
    <x v="13"/>
    <n v="2"/>
    <n v="7920"/>
    <x v="10"/>
    <n v="1584"/>
    <x v="1"/>
  </r>
  <r>
    <x v="3"/>
    <x v="4"/>
    <x v="0"/>
    <x v="0"/>
    <n v="3566"/>
    <n v="4577.3"/>
    <x v="0"/>
    <n v="915.46"/>
    <x v="1"/>
  </r>
  <r>
    <x v="3"/>
    <x v="4"/>
    <x v="0"/>
    <x v="1"/>
    <n v="2498"/>
    <n v="8800"/>
    <x v="1"/>
    <n v="1760"/>
    <x v="1"/>
  </r>
  <r>
    <x v="3"/>
    <x v="4"/>
    <x v="1"/>
    <x v="2"/>
    <n v="1245"/>
    <n v="5034.92"/>
    <x v="2"/>
    <n v="1006.984"/>
    <x v="1"/>
  </r>
  <r>
    <x v="3"/>
    <x v="4"/>
    <x v="2"/>
    <x v="3"/>
    <n v="644"/>
    <n v="6317.85"/>
    <x v="3"/>
    <n v="1263.5700000000002"/>
    <x v="1"/>
  </r>
  <r>
    <x v="3"/>
    <x v="4"/>
    <x v="3"/>
    <x v="4"/>
    <n v="643"/>
    <n v="7700"/>
    <x v="4"/>
    <n v="1540"/>
    <x v="1"/>
  </r>
  <r>
    <x v="3"/>
    <x v="4"/>
    <x v="2"/>
    <x v="5"/>
    <n v="455"/>
    <n v="5036.46"/>
    <x v="5"/>
    <n v="1007.292"/>
    <x v="1"/>
  </r>
  <r>
    <x v="3"/>
    <x v="4"/>
    <x v="3"/>
    <x v="6"/>
    <n v="345"/>
    <n v="7700"/>
    <x v="4"/>
    <n v="1540"/>
    <x v="1"/>
  </r>
  <r>
    <x v="3"/>
    <x v="4"/>
    <x v="1"/>
    <x v="7"/>
    <n v="122"/>
    <n v="110"/>
    <x v="6"/>
    <n v="22"/>
    <x v="1"/>
  </r>
  <r>
    <x v="3"/>
    <x v="4"/>
    <x v="4"/>
    <x v="8"/>
    <n v="78"/>
    <n v="2517.46"/>
    <x v="2"/>
    <n v="503.49200000000002"/>
    <x v="1"/>
  </r>
  <r>
    <x v="3"/>
    <x v="4"/>
    <x v="4"/>
    <x v="9"/>
    <n v="76"/>
    <n v="2288.4499999999998"/>
    <x v="7"/>
    <n v="457.69"/>
    <x v="1"/>
  </r>
  <r>
    <x v="3"/>
    <x v="4"/>
    <x v="4"/>
    <x v="10"/>
    <n v="46"/>
    <n v="100"/>
    <x v="8"/>
    <n v="20"/>
    <x v="1"/>
  </r>
  <r>
    <x v="3"/>
    <x v="4"/>
    <x v="4"/>
    <x v="11"/>
    <n v="34"/>
    <n v="2288.4"/>
    <x v="9"/>
    <n v="457.68000000000006"/>
    <x v="0"/>
  </r>
  <r>
    <x v="3"/>
    <x v="4"/>
    <x v="1"/>
    <x v="12"/>
    <n v="7"/>
    <n v="200"/>
    <x v="8"/>
    <n v="40"/>
    <x v="0"/>
  </r>
  <r>
    <x v="3"/>
    <x v="4"/>
    <x v="4"/>
    <x v="14"/>
    <n v="3"/>
    <n v="3300"/>
    <x v="0"/>
    <n v="660"/>
    <x v="0"/>
  </r>
  <r>
    <x v="3"/>
    <x v="4"/>
    <x v="5"/>
    <x v="13"/>
    <n v="2"/>
    <n v="4577.3"/>
    <x v="10"/>
    <n v="915.46"/>
    <x v="0"/>
  </r>
  <r>
    <x v="3"/>
    <x v="5"/>
    <x v="0"/>
    <x v="0"/>
    <n v="3566"/>
    <n v="4577.3"/>
    <x v="0"/>
    <n v="915.46"/>
    <x v="0"/>
  </r>
  <r>
    <x v="3"/>
    <x v="5"/>
    <x v="0"/>
    <x v="1"/>
    <n v="2498"/>
    <n v="8000"/>
    <x v="1"/>
    <n v="1600"/>
    <x v="0"/>
  </r>
  <r>
    <x v="3"/>
    <x v="5"/>
    <x v="1"/>
    <x v="2"/>
    <n v="1245"/>
    <n v="4577.2"/>
    <x v="2"/>
    <n v="915.44"/>
    <x v="0"/>
  </r>
  <r>
    <x v="3"/>
    <x v="5"/>
    <x v="2"/>
    <x v="3"/>
    <n v="644"/>
    <n v="10000"/>
    <x v="3"/>
    <n v="2000"/>
    <x v="0"/>
  </r>
  <r>
    <x v="3"/>
    <x v="5"/>
    <x v="3"/>
    <x v="4"/>
    <n v="643"/>
    <n v="7000"/>
    <x v="4"/>
    <n v="1400"/>
    <x v="0"/>
  </r>
  <r>
    <x v="3"/>
    <x v="5"/>
    <x v="2"/>
    <x v="5"/>
    <n v="455"/>
    <n v="8000"/>
    <x v="5"/>
    <n v="1600"/>
    <x v="0"/>
  </r>
  <r>
    <x v="3"/>
    <x v="5"/>
    <x v="3"/>
    <x v="6"/>
    <n v="345"/>
    <n v="7000"/>
    <x v="4"/>
    <n v="1400"/>
    <x v="0"/>
  </r>
  <r>
    <x v="3"/>
    <x v="5"/>
    <x v="1"/>
    <x v="7"/>
    <n v="122"/>
    <n v="100"/>
    <x v="6"/>
    <n v="20"/>
    <x v="0"/>
  </r>
  <r>
    <x v="3"/>
    <x v="5"/>
    <x v="4"/>
    <x v="8"/>
    <n v="78"/>
    <n v="2288.6"/>
    <x v="2"/>
    <n v="457.72"/>
    <x v="0"/>
  </r>
  <r>
    <x v="3"/>
    <x v="5"/>
    <x v="4"/>
    <x v="9"/>
    <n v="76"/>
    <n v="2288.4499999999998"/>
    <x v="7"/>
    <n v="457.69"/>
    <x v="0"/>
  </r>
  <r>
    <x v="3"/>
    <x v="5"/>
    <x v="4"/>
    <x v="10"/>
    <n v="46"/>
    <n v="100"/>
    <x v="8"/>
    <n v="20"/>
    <x v="0"/>
  </r>
  <r>
    <x v="3"/>
    <x v="5"/>
    <x v="4"/>
    <x v="11"/>
    <n v="34"/>
    <n v="2288.4"/>
    <x v="9"/>
    <n v="457.68000000000006"/>
    <x v="0"/>
  </r>
  <r>
    <x v="3"/>
    <x v="5"/>
    <x v="1"/>
    <x v="12"/>
    <n v="7"/>
    <n v="200"/>
    <x v="8"/>
    <n v="40"/>
    <x v="0"/>
  </r>
  <r>
    <x v="3"/>
    <x v="5"/>
    <x v="5"/>
    <x v="13"/>
    <n v="3"/>
    <n v="4577.3"/>
    <x v="10"/>
    <n v="915.46"/>
    <x v="1"/>
  </r>
  <r>
    <x v="3"/>
    <x v="5"/>
    <x v="4"/>
    <x v="14"/>
    <n v="3"/>
    <n v="2288.65"/>
    <x v="0"/>
    <n v="457.73"/>
    <x v="1"/>
  </r>
  <r>
    <x v="3"/>
    <x v="6"/>
    <x v="0"/>
    <x v="0"/>
    <n v="3566"/>
    <n v="4577.3"/>
    <x v="0"/>
    <n v="915.46"/>
    <x v="1"/>
  </r>
  <r>
    <x v="3"/>
    <x v="6"/>
    <x v="0"/>
    <x v="1"/>
    <n v="2498"/>
    <n v="8000"/>
    <x v="1"/>
    <n v="1600"/>
    <x v="1"/>
  </r>
  <r>
    <x v="3"/>
    <x v="6"/>
    <x v="1"/>
    <x v="2"/>
    <n v="1245"/>
    <n v="4577.2"/>
    <x v="2"/>
    <n v="915.44"/>
    <x v="1"/>
  </r>
  <r>
    <x v="3"/>
    <x v="6"/>
    <x v="2"/>
    <x v="3"/>
    <n v="644"/>
    <n v="5743.5"/>
    <x v="3"/>
    <n v="1148.7"/>
    <x v="1"/>
  </r>
  <r>
    <x v="3"/>
    <x v="6"/>
    <x v="3"/>
    <x v="4"/>
    <n v="643"/>
    <n v="7000"/>
    <x v="4"/>
    <n v="1400"/>
    <x v="1"/>
  </r>
  <r>
    <x v="3"/>
    <x v="6"/>
    <x v="2"/>
    <x v="5"/>
    <n v="455"/>
    <n v="4578.6000000000004"/>
    <x v="5"/>
    <n v="915.72000000000014"/>
    <x v="1"/>
  </r>
  <r>
    <x v="3"/>
    <x v="6"/>
    <x v="3"/>
    <x v="6"/>
    <n v="345"/>
    <n v="7000"/>
    <x v="4"/>
    <n v="1400"/>
    <x v="1"/>
  </r>
  <r>
    <x v="3"/>
    <x v="6"/>
    <x v="1"/>
    <x v="7"/>
    <n v="122"/>
    <n v="100"/>
    <x v="6"/>
    <n v="20"/>
    <x v="1"/>
  </r>
  <r>
    <x v="3"/>
    <x v="6"/>
    <x v="4"/>
    <x v="8"/>
    <n v="78"/>
    <n v="2288.6"/>
    <x v="2"/>
    <n v="457.72"/>
    <x v="1"/>
  </r>
  <r>
    <x v="3"/>
    <x v="6"/>
    <x v="4"/>
    <x v="9"/>
    <n v="76"/>
    <n v="2288.4499999999998"/>
    <x v="7"/>
    <n v="457.69"/>
    <x v="1"/>
  </r>
  <r>
    <x v="3"/>
    <x v="6"/>
    <x v="4"/>
    <x v="10"/>
    <n v="46"/>
    <n v="100"/>
    <x v="8"/>
    <n v="20"/>
    <x v="1"/>
  </r>
  <r>
    <x v="3"/>
    <x v="6"/>
    <x v="4"/>
    <x v="11"/>
    <n v="34"/>
    <n v="2288.4"/>
    <x v="9"/>
    <n v="457.68000000000006"/>
    <x v="1"/>
  </r>
  <r>
    <x v="3"/>
    <x v="6"/>
    <x v="1"/>
    <x v="12"/>
    <n v="7"/>
    <n v="200"/>
    <x v="8"/>
    <n v="40"/>
    <x v="1"/>
  </r>
  <r>
    <x v="3"/>
    <x v="6"/>
    <x v="4"/>
    <x v="14"/>
    <n v="3"/>
    <n v="2288.65"/>
    <x v="0"/>
    <n v="457.73"/>
    <x v="1"/>
  </r>
  <r>
    <x v="3"/>
    <x v="6"/>
    <x v="5"/>
    <x v="13"/>
    <n v="2"/>
    <n v="6600"/>
    <x v="10"/>
    <n v="1320"/>
    <x v="0"/>
  </r>
  <r>
    <x v="3"/>
    <x v="7"/>
    <x v="0"/>
    <x v="0"/>
    <n v="3566"/>
    <n v="4577.3"/>
    <x v="0"/>
    <n v="915.46"/>
    <x v="0"/>
  </r>
  <r>
    <x v="3"/>
    <x v="7"/>
    <x v="0"/>
    <x v="1"/>
    <n v="2498"/>
    <n v="8000"/>
    <x v="1"/>
    <n v="1600"/>
    <x v="0"/>
  </r>
  <r>
    <x v="3"/>
    <x v="7"/>
    <x v="1"/>
    <x v="2"/>
    <n v="1245"/>
    <n v="4577.2"/>
    <x v="2"/>
    <n v="915.44"/>
    <x v="0"/>
  </r>
  <r>
    <x v="3"/>
    <x v="7"/>
    <x v="2"/>
    <x v="3"/>
    <n v="644"/>
    <n v="5743.5"/>
    <x v="3"/>
    <n v="1148.7"/>
    <x v="0"/>
  </r>
  <r>
    <x v="3"/>
    <x v="7"/>
    <x v="3"/>
    <x v="4"/>
    <n v="643"/>
    <n v="7000"/>
    <x v="4"/>
    <n v="1400"/>
    <x v="1"/>
  </r>
  <r>
    <x v="3"/>
    <x v="7"/>
    <x v="2"/>
    <x v="5"/>
    <n v="455"/>
    <n v="5036.46"/>
    <x v="5"/>
    <n v="1007.292"/>
    <x v="1"/>
  </r>
  <r>
    <x v="3"/>
    <x v="7"/>
    <x v="3"/>
    <x v="6"/>
    <n v="345"/>
    <n v="7700"/>
    <x v="4"/>
    <n v="1540"/>
    <x v="1"/>
  </r>
  <r>
    <x v="3"/>
    <x v="7"/>
    <x v="1"/>
    <x v="7"/>
    <n v="122"/>
    <n v="110"/>
    <x v="6"/>
    <n v="22"/>
    <x v="1"/>
  </r>
  <r>
    <x v="3"/>
    <x v="7"/>
    <x v="4"/>
    <x v="8"/>
    <n v="78"/>
    <n v="2517.46"/>
    <x v="2"/>
    <n v="503.49200000000002"/>
    <x v="1"/>
  </r>
  <r>
    <x v="3"/>
    <x v="7"/>
    <x v="4"/>
    <x v="9"/>
    <n v="76"/>
    <n v="2517.2949999999996"/>
    <x v="7"/>
    <n v="503.45899999999995"/>
    <x v="1"/>
  </r>
  <r>
    <x v="3"/>
    <x v="7"/>
    <x v="4"/>
    <x v="10"/>
    <n v="46"/>
    <n v="115"/>
    <x v="8"/>
    <n v="23"/>
    <x v="1"/>
  </r>
  <r>
    <x v="3"/>
    <x v="7"/>
    <x v="4"/>
    <x v="11"/>
    <n v="34"/>
    <n v="2631.66"/>
    <x v="9"/>
    <n v="526.33199999999999"/>
    <x v="1"/>
  </r>
  <r>
    <x v="3"/>
    <x v="7"/>
    <x v="1"/>
    <x v="12"/>
    <n v="7"/>
    <n v="230"/>
    <x v="8"/>
    <n v="46"/>
    <x v="1"/>
  </r>
  <r>
    <x v="3"/>
    <x v="7"/>
    <x v="4"/>
    <x v="14"/>
    <n v="3"/>
    <n v="2631.9475000000002"/>
    <x v="0"/>
    <n v="526.38950000000011"/>
    <x v="0"/>
  </r>
  <r>
    <x v="3"/>
    <x v="7"/>
    <x v="5"/>
    <x v="13"/>
    <n v="2"/>
    <n v="7590"/>
    <x v="10"/>
    <n v="1518"/>
    <x v="1"/>
  </r>
  <r>
    <x v="3"/>
    <x v="8"/>
    <x v="0"/>
    <x v="0"/>
    <n v="3566"/>
    <n v="4577.3"/>
    <x v="0"/>
    <n v="915.46"/>
    <x v="1"/>
  </r>
  <r>
    <x v="3"/>
    <x v="8"/>
    <x v="0"/>
    <x v="1"/>
    <n v="2498"/>
    <n v="8000"/>
    <x v="1"/>
    <n v="1600"/>
    <x v="1"/>
  </r>
  <r>
    <x v="3"/>
    <x v="8"/>
    <x v="1"/>
    <x v="2"/>
    <n v="1245"/>
    <n v="4577.2"/>
    <x v="2"/>
    <n v="915.44"/>
    <x v="1"/>
  </r>
  <r>
    <x v="3"/>
    <x v="8"/>
    <x v="2"/>
    <x v="3"/>
    <n v="644"/>
    <n v="5743.5"/>
    <x v="3"/>
    <n v="1148.7"/>
    <x v="1"/>
  </r>
  <r>
    <x v="3"/>
    <x v="8"/>
    <x v="3"/>
    <x v="4"/>
    <n v="643"/>
    <n v="7000"/>
    <x v="4"/>
    <n v="1400"/>
    <x v="1"/>
  </r>
  <r>
    <x v="3"/>
    <x v="8"/>
    <x v="2"/>
    <x v="5"/>
    <n v="455"/>
    <n v="4578.6000000000004"/>
    <x v="5"/>
    <n v="915.72000000000014"/>
    <x v="1"/>
  </r>
  <r>
    <x v="3"/>
    <x v="8"/>
    <x v="3"/>
    <x v="6"/>
    <n v="345"/>
    <n v="7000"/>
    <x v="4"/>
    <n v="1400"/>
    <x v="1"/>
  </r>
  <r>
    <x v="3"/>
    <x v="8"/>
    <x v="1"/>
    <x v="7"/>
    <n v="122"/>
    <n v="100"/>
    <x v="6"/>
    <n v="20"/>
    <x v="1"/>
  </r>
  <r>
    <x v="3"/>
    <x v="8"/>
    <x v="4"/>
    <x v="8"/>
    <n v="78"/>
    <n v="2288.6"/>
    <x v="2"/>
    <n v="457.72"/>
    <x v="1"/>
  </r>
  <r>
    <x v="3"/>
    <x v="8"/>
    <x v="4"/>
    <x v="9"/>
    <n v="76"/>
    <n v="2288.4499999999998"/>
    <x v="7"/>
    <n v="457.69"/>
    <x v="1"/>
  </r>
  <r>
    <x v="3"/>
    <x v="8"/>
    <x v="4"/>
    <x v="10"/>
    <n v="46"/>
    <n v="100"/>
    <x v="8"/>
    <n v="20"/>
    <x v="1"/>
  </r>
  <r>
    <x v="3"/>
    <x v="8"/>
    <x v="4"/>
    <x v="11"/>
    <n v="34"/>
    <n v="2746.08"/>
    <x v="9"/>
    <n v="549.21600000000001"/>
    <x v="1"/>
  </r>
  <r>
    <x v="3"/>
    <x v="8"/>
    <x v="1"/>
    <x v="12"/>
    <n v="7"/>
    <n v="240"/>
    <x v="8"/>
    <n v="48"/>
    <x v="1"/>
  </r>
  <r>
    <x v="3"/>
    <x v="8"/>
    <x v="4"/>
    <x v="14"/>
    <n v="3"/>
    <n v="2746.38"/>
    <x v="0"/>
    <n v="549.27600000000007"/>
    <x v="1"/>
  </r>
  <r>
    <x v="3"/>
    <x v="8"/>
    <x v="5"/>
    <x v="13"/>
    <n v="2"/>
    <n v="7920"/>
    <x v="10"/>
    <n v="1584"/>
    <x v="1"/>
  </r>
  <r>
    <x v="3"/>
    <x v="9"/>
    <x v="0"/>
    <x v="0"/>
    <n v="3566"/>
    <n v="5035.0300000000007"/>
    <x v="0"/>
    <n v="1007.0060000000002"/>
    <x v="1"/>
  </r>
  <r>
    <x v="3"/>
    <x v="9"/>
    <x v="0"/>
    <x v="1"/>
    <n v="2498"/>
    <n v="9200"/>
    <x v="1"/>
    <n v="1840"/>
    <x v="1"/>
  </r>
  <r>
    <x v="3"/>
    <x v="9"/>
    <x v="1"/>
    <x v="2"/>
    <n v="1245"/>
    <n v="5263.78"/>
    <x v="2"/>
    <n v="1052.7560000000001"/>
    <x v="1"/>
  </r>
  <r>
    <x v="3"/>
    <x v="9"/>
    <x v="2"/>
    <x v="3"/>
    <n v="644"/>
    <n v="6605.0249999999996"/>
    <x v="3"/>
    <n v="1321.0050000000001"/>
    <x v="1"/>
  </r>
  <r>
    <x v="3"/>
    <x v="9"/>
    <x v="3"/>
    <x v="4"/>
    <n v="643"/>
    <n v="8400"/>
    <x v="4"/>
    <n v="1680"/>
    <x v="1"/>
  </r>
  <r>
    <x v="3"/>
    <x v="9"/>
    <x v="2"/>
    <x v="5"/>
    <n v="455"/>
    <n v="5494.3200000000006"/>
    <x v="5"/>
    <n v="1098.8640000000003"/>
    <x v="1"/>
  </r>
  <r>
    <x v="3"/>
    <x v="9"/>
    <x v="3"/>
    <x v="6"/>
    <n v="345"/>
    <n v="8400"/>
    <x v="4"/>
    <n v="1680"/>
    <x v="1"/>
  </r>
  <r>
    <x v="3"/>
    <x v="9"/>
    <x v="1"/>
    <x v="7"/>
    <n v="122"/>
    <n v="120"/>
    <x v="6"/>
    <n v="24"/>
    <x v="1"/>
  </r>
  <r>
    <x v="3"/>
    <x v="9"/>
    <x v="4"/>
    <x v="8"/>
    <n v="78"/>
    <n v="2517.46"/>
    <x v="2"/>
    <n v="503.49200000000002"/>
    <x v="1"/>
  </r>
  <r>
    <x v="3"/>
    <x v="9"/>
    <x v="4"/>
    <x v="9"/>
    <n v="76"/>
    <n v="2517.2949999999996"/>
    <x v="7"/>
    <n v="503.45899999999995"/>
    <x v="1"/>
  </r>
  <r>
    <x v="3"/>
    <x v="9"/>
    <x v="4"/>
    <x v="10"/>
    <n v="46"/>
    <n v="110"/>
    <x v="8"/>
    <n v="22"/>
    <x v="1"/>
  </r>
  <r>
    <x v="3"/>
    <x v="9"/>
    <x v="4"/>
    <x v="11"/>
    <n v="34"/>
    <n v="2517.2400000000002"/>
    <x v="9"/>
    <n v="503.44800000000009"/>
    <x v="1"/>
  </r>
  <r>
    <x v="3"/>
    <x v="9"/>
    <x v="1"/>
    <x v="12"/>
    <n v="7"/>
    <n v="220"/>
    <x v="8"/>
    <n v="44"/>
    <x v="1"/>
  </r>
  <r>
    <x v="3"/>
    <x v="9"/>
    <x v="4"/>
    <x v="14"/>
    <n v="3"/>
    <n v="2517.5150000000003"/>
    <x v="0"/>
    <n v="503.5030000000001"/>
    <x v="1"/>
  </r>
  <r>
    <x v="3"/>
    <x v="9"/>
    <x v="5"/>
    <x v="13"/>
    <n v="2"/>
    <n v="7260"/>
    <x v="10"/>
    <n v="1452"/>
    <x v="1"/>
  </r>
  <r>
    <x v="3"/>
    <x v="10"/>
    <x v="0"/>
    <x v="0"/>
    <n v="3566"/>
    <n v="5263.8950000000004"/>
    <x v="0"/>
    <n v="1052.7790000000002"/>
    <x v="1"/>
  </r>
  <r>
    <x v="3"/>
    <x v="10"/>
    <x v="0"/>
    <x v="1"/>
    <n v="2498"/>
    <n v="8800"/>
    <x v="1"/>
    <n v="1760"/>
    <x v="1"/>
  </r>
  <r>
    <x v="3"/>
    <x v="10"/>
    <x v="1"/>
    <x v="2"/>
    <n v="1245"/>
    <n v="5034.92"/>
    <x v="2"/>
    <n v="1006.984"/>
    <x v="1"/>
  </r>
  <r>
    <x v="3"/>
    <x v="10"/>
    <x v="2"/>
    <x v="3"/>
    <n v="644"/>
    <n v="22000"/>
    <x v="3"/>
    <n v="4400"/>
    <x v="1"/>
  </r>
  <r>
    <x v="3"/>
    <x v="10"/>
    <x v="3"/>
    <x v="4"/>
    <n v="643"/>
    <n v="7700"/>
    <x v="4"/>
    <n v="1540"/>
    <x v="1"/>
  </r>
  <r>
    <x v="3"/>
    <x v="10"/>
    <x v="2"/>
    <x v="5"/>
    <n v="455"/>
    <n v="11111"/>
    <x v="5"/>
    <n v="2222.2000000000003"/>
    <x v="1"/>
  </r>
  <r>
    <x v="3"/>
    <x v="10"/>
    <x v="3"/>
    <x v="6"/>
    <n v="345"/>
    <n v="7700"/>
    <x v="4"/>
    <n v="1540"/>
    <x v="1"/>
  </r>
  <r>
    <x v="3"/>
    <x v="10"/>
    <x v="1"/>
    <x v="7"/>
    <n v="122"/>
    <n v="110"/>
    <x v="6"/>
    <n v="22"/>
    <x v="1"/>
  </r>
  <r>
    <x v="3"/>
    <x v="10"/>
    <x v="4"/>
    <x v="8"/>
    <n v="78"/>
    <n v="2517.46"/>
    <x v="2"/>
    <n v="503.49200000000002"/>
    <x v="1"/>
  </r>
  <r>
    <x v="3"/>
    <x v="10"/>
    <x v="4"/>
    <x v="9"/>
    <n v="76"/>
    <n v="2288.4499999999998"/>
    <x v="7"/>
    <n v="457.69"/>
    <x v="1"/>
  </r>
  <r>
    <x v="3"/>
    <x v="10"/>
    <x v="4"/>
    <x v="10"/>
    <n v="46"/>
    <n v="100"/>
    <x v="8"/>
    <n v="20"/>
    <x v="1"/>
  </r>
  <r>
    <x v="3"/>
    <x v="10"/>
    <x v="4"/>
    <x v="11"/>
    <n v="34"/>
    <n v="2288.4"/>
    <x v="9"/>
    <n v="457.68000000000006"/>
    <x v="1"/>
  </r>
  <r>
    <x v="3"/>
    <x v="10"/>
    <x v="1"/>
    <x v="12"/>
    <n v="7"/>
    <n v="200"/>
    <x v="8"/>
    <n v="40"/>
    <x v="1"/>
  </r>
  <r>
    <x v="3"/>
    <x v="10"/>
    <x v="4"/>
    <x v="14"/>
    <n v="3"/>
    <n v="2288.65"/>
    <x v="0"/>
    <n v="457.73"/>
    <x v="1"/>
  </r>
  <r>
    <x v="3"/>
    <x v="10"/>
    <x v="5"/>
    <x v="13"/>
    <n v="2"/>
    <n v="6600"/>
    <x v="10"/>
    <n v="1320"/>
    <x v="1"/>
  </r>
  <r>
    <x v="3"/>
    <x v="11"/>
    <x v="0"/>
    <x v="0"/>
    <n v="3566"/>
    <n v="4577.3"/>
    <x v="0"/>
    <n v="915.46"/>
    <x v="1"/>
  </r>
  <r>
    <x v="3"/>
    <x v="11"/>
    <x v="0"/>
    <x v="1"/>
    <n v="2498"/>
    <n v="8000"/>
    <x v="1"/>
    <n v="1600"/>
    <x v="1"/>
  </r>
  <r>
    <x v="3"/>
    <x v="11"/>
    <x v="1"/>
    <x v="2"/>
    <n v="1245"/>
    <n v="4577.2"/>
    <x v="2"/>
    <n v="915.44"/>
    <x v="1"/>
  </r>
  <r>
    <x v="3"/>
    <x v="11"/>
    <x v="2"/>
    <x v="3"/>
    <n v="644"/>
    <n v="5743.5"/>
    <x v="3"/>
    <n v="1148.7"/>
    <x v="1"/>
  </r>
  <r>
    <x v="3"/>
    <x v="11"/>
    <x v="3"/>
    <x v="4"/>
    <n v="643"/>
    <n v="7000"/>
    <x v="4"/>
    <n v="1400"/>
    <x v="1"/>
  </r>
  <r>
    <x v="3"/>
    <x v="11"/>
    <x v="2"/>
    <x v="5"/>
    <n v="455"/>
    <n v="4578.6000000000004"/>
    <x v="5"/>
    <n v="915.72000000000014"/>
    <x v="1"/>
  </r>
  <r>
    <x v="3"/>
    <x v="11"/>
    <x v="3"/>
    <x v="6"/>
    <n v="345"/>
    <n v="7000"/>
    <x v="4"/>
    <n v="1400"/>
    <x v="1"/>
  </r>
  <r>
    <x v="3"/>
    <x v="11"/>
    <x v="1"/>
    <x v="7"/>
    <n v="122"/>
    <n v="100"/>
    <x v="6"/>
    <n v="20"/>
    <x v="1"/>
  </r>
  <r>
    <x v="3"/>
    <x v="11"/>
    <x v="4"/>
    <x v="8"/>
    <n v="78"/>
    <n v="2288.6"/>
    <x v="2"/>
    <n v="457.72"/>
    <x v="1"/>
  </r>
  <r>
    <x v="3"/>
    <x v="11"/>
    <x v="4"/>
    <x v="9"/>
    <n v="76"/>
    <n v="2288.4499999999998"/>
    <x v="7"/>
    <n v="457.69"/>
    <x v="1"/>
  </r>
  <r>
    <x v="3"/>
    <x v="11"/>
    <x v="4"/>
    <x v="10"/>
    <n v="46"/>
    <n v="100"/>
    <x v="8"/>
    <n v="20"/>
    <x v="1"/>
  </r>
  <r>
    <x v="3"/>
    <x v="11"/>
    <x v="4"/>
    <x v="11"/>
    <n v="34"/>
    <n v="2288.4"/>
    <x v="9"/>
    <n v="457.68000000000006"/>
    <x v="1"/>
  </r>
  <r>
    <x v="3"/>
    <x v="11"/>
    <x v="1"/>
    <x v="12"/>
    <n v="7"/>
    <n v="200"/>
    <x v="8"/>
    <n v="40"/>
    <x v="1"/>
  </r>
  <r>
    <x v="3"/>
    <x v="11"/>
    <x v="4"/>
    <x v="14"/>
    <n v="3"/>
    <n v="2288.65"/>
    <x v="0"/>
    <n v="457.73"/>
    <x v="1"/>
  </r>
  <r>
    <x v="3"/>
    <x v="11"/>
    <x v="5"/>
    <x v="13"/>
    <n v="2"/>
    <n v="6600"/>
    <x v="10"/>
    <n v="1320"/>
    <x v="1"/>
  </r>
  <r>
    <x v="4"/>
    <x v="0"/>
    <x v="0"/>
    <x v="0"/>
    <n v="3566"/>
    <n v="4577.3"/>
    <x v="0"/>
    <n v="915.46"/>
    <x v="1"/>
  </r>
  <r>
    <x v="4"/>
    <x v="0"/>
    <x v="0"/>
    <x v="1"/>
    <n v="2498"/>
    <n v="8000"/>
    <x v="1"/>
    <n v="1600"/>
    <x v="1"/>
  </r>
  <r>
    <x v="4"/>
    <x v="0"/>
    <x v="1"/>
    <x v="2"/>
    <n v="1245"/>
    <n v="4577.2"/>
    <x v="2"/>
    <n v="915.44"/>
    <x v="1"/>
  </r>
  <r>
    <x v="4"/>
    <x v="0"/>
    <x v="2"/>
    <x v="3"/>
    <n v="644"/>
    <n v="5743.5"/>
    <x v="3"/>
    <n v="1148.7"/>
    <x v="1"/>
  </r>
  <r>
    <x v="4"/>
    <x v="0"/>
    <x v="3"/>
    <x v="4"/>
    <n v="643"/>
    <n v="7000"/>
    <x v="4"/>
    <n v="1400"/>
    <x v="1"/>
  </r>
  <r>
    <x v="4"/>
    <x v="0"/>
    <x v="2"/>
    <x v="5"/>
    <n v="455"/>
    <n v="4578.6000000000004"/>
    <x v="5"/>
    <n v="915.72000000000014"/>
    <x v="1"/>
  </r>
  <r>
    <x v="4"/>
    <x v="0"/>
    <x v="3"/>
    <x v="6"/>
    <n v="345"/>
    <n v="7000"/>
    <x v="4"/>
    <n v="1400"/>
    <x v="1"/>
  </r>
  <r>
    <x v="4"/>
    <x v="0"/>
    <x v="1"/>
    <x v="7"/>
    <n v="122"/>
    <n v="100"/>
    <x v="6"/>
    <n v="20"/>
    <x v="1"/>
  </r>
  <r>
    <x v="4"/>
    <x v="0"/>
    <x v="4"/>
    <x v="8"/>
    <n v="78"/>
    <n v="4577.2"/>
    <x v="2"/>
    <n v="915.44"/>
    <x v="1"/>
  </r>
  <r>
    <x v="4"/>
    <x v="0"/>
    <x v="4"/>
    <x v="9"/>
    <n v="76"/>
    <n v="4576.8999999999996"/>
    <x v="7"/>
    <n v="915.38"/>
    <x v="1"/>
  </r>
  <r>
    <x v="4"/>
    <x v="0"/>
    <x v="4"/>
    <x v="10"/>
    <n v="46"/>
    <n v="200"/>
    <x v="8"/>
    <n v="40"/>
    <x v="1"/>
  </r>
  <r>
    <x v="4"/>
    <x v="0"/>
    <x v="4"/>
    <x v="11"/>
    <n v="34"/>
    <n v="4576.8"/>
    <x v="9"/>
    <n v="915.36000000000013"/>
    <x v="1"/>
  </r>
  <r>
    <x v="4"/>
    <x v="0"/>
    <x v="1"/>
    <x v="12"/>
    <n v="7"/>
    <n v="200"/>
    <x v="8"/>
    <n v="40"/>
    <x v="1"/>
  </r>
  <r>
    <x v="4"/>
    <x v="0"/>
    <x v="5"/>
    <x v="13"/>
    <n v="3"/>
    <n v="6600"/>
    <x v="10"/>
    <n v="1320"/>
    <x v="1"/>
  </r>
  <r>
    <x v="4"/>
    <x v="0"/>
    <x v="4"/>
    <x v="14"/>
    <n v="3"/>
    <n v="4577.3"/>
    <x v="0"/>
    <n v="915.46"/>
    <x v="1"/>
  </r>
  <r>
    <x v="4"/>
    <x v="1"/>
    <x v="0"/>
    <x v="0"/>
    <n v="3566"/>
    <n v="4577.3"/>
    <x v="0"/>
    <n v="915.46"/>
    <x v="1"/>
  </r>
  <r>
    <x v="4"/>
    <x v="1"/>
    <x v="0"/>
    <x v="1"/>
    <n v="2498"/>
    <n v="8000"/>
    <x v="1"/>
    <n v="1600"/>
    <x v="1"/>
  </r>
  <r>
    <x v="4"/>
    <x v="1"/>
    <x v="1"/>
    <x v="2"/>
    <n v="1245"/>
    <n v="4577.2"/>
    <x v="2"/>
    <n v="915.44"/>
    <x v="1"/>
  </r>
  <r>
    <x v="4"/>
    <x v="1"/>
    <x v="2"/>
    <x v="3"/>
    <n v="644"/>
    <n v="5743.5"/>
    <x v="3"/>
    <n v="1148.7"/>
    <x v="1"/>
  </r>
  <r>
    <x v="4"/>
    <x v="1"/>
    <x v="3"/>
    <x v="4"/>
    <n v="643"/>
    <n v="7000"/>
    <x v="4"/>
    <n v="1400"/>
    <x v="1"/>
  </r>
  <r>
    <x v="4"/>
    <x v="1"/>
    <x v="2"/>
    <x v="5"/>
    <n v="455"/>
    <n v="4578.6000000000004"/>
    <x v="5"/>
    <n v="915.72000000000014"/>
    <x v="1"/>
  </r>
  <r>
    <x v="4"/>
    <x v="1"/>
    <x v="3"/>
    <x v="6"/>
    <n v="345"/>
    <n v="7000"/>
    <x v="4"/>
    <n v="1400"/>
    <x v="1"/>
  </r>
  <r>
    <x v="4"/>
    <x v="1"/>
    <x v="1"/>
    <x v="7"/>
    <n v="122"/>
    <n v="100"/>
    <x v="6"/>
    <n v="20"/>
    <x v="1"/>
  </r>
  <r>
    <x v="4"/>
    <x v="1"/>
    <x v="4"/>
    <x v="8"/>
    <n v="78"/>
    <n v="4577.2"/>
    <x v="2"/>
    <n v="915.44"/>
    <x v="1"/>
  </r>
  <r>
    <x v="4"/>
    <x v="1"/>
    <x v="4"/>
    <x v="9"/>
    <n v="76"/>
    <n v="4576.8999999999996"/>
    <x v="7"/>
    <n v="915.38"/>
    <x v="1"/>
  </r>
  <r>
    <x v="4"/>
    <x v="1"/>
    <x v="4"/>
    <x v="10"/>
    <n v="46"/>
    <n v="200"/>
    <x v="8"/>
    <n v="40"/>
    <x v="1"/>
  </r>
  <r>
    <x v="4"/>
    <x v="1"/>
    <x v="4"/>
    <x v="11"/>
    <n v="34"/>
    <n v="4576.8"/>
    <x v="9"/>
    <n v="915.36000000000013"/>
    <x v="1"/>
  </r>
  <r>
    <x v="4"/>
    <x v="1"/>
    <x v="1"/>
    <x v="12"/>
    <n v="7"/>
    <n v="200"/>
    <x v="8"/>
    <n v="40"/>
    <x v="1"/>
  </r>
  <r>
    <x v="4"/>
    <x v="1"/>
    <x v="4"/>
    <x v="14"/>
    <n v="3"/>
    <n v="4577.3"/>
    <x v="0"/>
    <n v="915.46"/>
    <x v="1"/>
  </r>
  <r>
    <x v="4"/>
    <x v="1"/>
    <x v="5"/>
    <x v="13"/>
    <n v="2"/>
    <n v="6600"/>
    <x v="10"/>
    <n v="1320"/>
    <x v="1"/>
  </r>
  <r>
    <x v="4"/>
    <x v="2"/>
    <x v="0"/>
    <x v="0"/>
    <n v="3566"/>
    <n v="4577.3"/>
    <x v="0"/>
    <n v="915.46"/>
    <x v="1"/>
  </r>
  <r>
    <x v="4"/>
    <x v="2"/>
    <x v="0"/>
    <x v="1"/>
    <n v="2498"/>
    <n v="8000"/>
    <x v="1"/>
    <n v="1600"/>
    <x v="1"/>
  </r>
  <r>
    <x v="4"/>
    <x v="2"/>
    <x v="1"/>
    <x v="2"/>
    <n v="1245"/>
    <n v="4577.2"/>
    <x v="2"/>
    <n v="915.44"/>
    <x v="1"/>
  </r>
  <r>
    <x v="4"/>
    <x v="2"/>
    <x v="2"/>
    <x v="3"/>
    <n v="644"/>
    <n v="5743.5"/>
    <x v="3"/>
    <n v="1148.7"/>
    <x v="0"/>
  </r>
  <r>
    <x v="4"/>
    <x v="2"/>
    <x v="3"/>
    <x v="4"/>
    <n v="643"/>
    <n v="7000"/>
    <x v="4"/>
    <n v="1400"/>
    <x v="0"/>
  </r>
  <r>
    <x v="4"/>
    <x v="2"/>
    <x v="2"/>
    <x v="5"/>
    <n v="455"/>
    <n v="4578.6000000000004"/>
    <x v="5"/>
    <n v="915.72000000000014"/>
    <x v="0"/>
  </r>
  <r>
    <x v="4"/>
    <x v="2"/>
    <x v="3"/>
    <x v="6"/>
    <n v="345"/>
    <n v="7000"/>
    <x v="4"/>
    <n v="1400"/>
    <x v="0"/>
  </r>
  <r>
    <x v="4"/>
    <x v="2"/>
    <x v="1"/>
    <x v="7"/>
    <n v="122"/>
    <n v="100"/>
    <x v="6"/>
    <n v="20"/>
    <x v="0"/>
  </r>
  <r>
    <x v="4"/>
    <x v="2"/>
    <x v="4"/>
    <x v="8"/>
    <n v="78"/>
    <n v="4577.2"/>
    <x v="2"/>
    <n v="915.44"/>
    <x v="0"/>
  </r>
  <r>
    <x v="4"/>
    <x v="2"/>
    <x v="4"/>
    <x v="9"/>
    <n v="76"/>
    <n v="4576.8999999999996"/>
    <x v="7"/>
    <n v="915.38"/>
    <x v="0"/>
  </r>
  <r>
    <x v="4"/>
    <x v="2"/>
    <x v="4"/>
    <x v="10"/>
    <n v="46"/>
    <n v="200"/>
    <x v="8"/>
    <n v="40"/>
    <x v="0"/>
  </r>
  <r>
    <x v="4"/>
    <x v="2"/>
    <x v="4"/>
    <x v="11"/>
    <n v="34"/>
    <n v="4576.8"/>
    <x v="9"/>
    <n v="915.36000000000013"/>
    <x v="0"/>
  </r>
  <r>
    <x v="4"/>
    <x v="2"/>
    <x v="1"/>
    <x v="12"/>
    <n v="7"/>
    <n v="200"/>
    <x v="8"/>
    <n v="40"/>
    <x v="0"/>
  </r>
  <r>
    <x v="4"/>
    <x v="2"/>
    <x v="4"/>
    <x v="14"/>
    <n v="3"/>
    <n v="4577.3"/>
    <x v="0"/>
    <n v="915.46"/>
    <x v="0"/>
  </r>
  <r>
    <x v="4"/>
    <x v="2"/>
    <x v="5"/>
    <x v="13"/>
    <n v="2"/>
    <n v="6600"/>
    <x v="10"/>
    <n v="1320"/>
    <x v="0"/>
  </r>
  <r>
    <x v="4"/>
    <x v="3"/>
    <x v="0"/>
    <x v="0"/>
    <n v="3566"/>
    <n v="4577.3"/>
    <x v="0"/>
    <n v="915.46"/>
    <x v="0"/>
  </r>
  <r>
    <x v="4"/>
    <x v="3"/>
    <x v="0"/>
    <x v="1"/>
    <n v="2498"/>
    <n v="8000"/>
    <x v="1"/>
    <n v="1600"/>
    <x v="0"/>
  </r>
  <r>
    <x v="4"/>
    <x v="3"/>
    <x v="1"/>
    <x v="2"/>
    <n v="1245"/>
    <n v="4577.2"/>
    <x v="2"/>
    <n v="915.44"/>
    <x v="0"/>
  </r>
  <r>
    <x v="4"/>
    <x v="3"/>
    <x v="2"/>
    <x v="3"/>
    <n v="644"/>
    <n v="5743.5"/>
    <x v="3"/>
    <n v="1148.7"/>
    <x v="0"/>
  </r>
  <r>
    <x v="4"/>
    <x v="3"/>
    <x v="3"/>
    <x v="4"/>
    <n v="643"/>
    <n v="7000"/>
    <x v="4"/>
    <n v="1400"/>
    <x v="0"/>
  </r>
  <r>
    <x v="4"/>
    <x v="3"/>
    <x v="2"/>
    <x v="5"/>
    <n v="455"/>
    <n v="4578.6000000000004"/>
    <x v="5"/>
    <n v="915.72000000000014"/>
    <x v="0"/>
  </r>
  <r>
    <x v="4"/>
    <x v="3"/>
    <x v="3"/>
    <x v="6"/>
    <n v="345"/>
    <n v="7000"/>
    <x v="4"/>
    <n v="1400"/>
    <x v="0"/>
  </r>
  <r>
    <x v="4"/>
    <x v="3"/>
    <x v="1"/>
    <x v="7"/>
    <n v="122"/>
    <n v="100"/>
    <x v="6"/>
    <n v="20"/>
    <x v="0"/>
  </r>
  <r>
    <x v="4"/>
    <x v="3"/>
    <x v="4"/>
    <x v="8"/>
    <n v="78"/>
    <n v="4577.2"/>
    <x v="2"/>
    <n v="915.44"/>
    <x v="0"/>
  </r>
  <r>
    <x v="4"/>
    <x v="3"/>
    <x v="4"/>
    <x v="9"/>
    <n v="76"/>
    <n v="4576.8999999999996"/>
    <x v="7"/>
    <n v="915.38"/>
    <x v="0"/>
  </r>
  <r>
    <x v="4"/>
    <x v="3"/>
    <x v="4"/>
    <x v="10"/>
    <n v="46"/>
    <n v="200"/>
    <x v="8"/>
    <n v="40"/>
    <x v="0"/>
  </r>
  <r>
    <x v="4"/>
    <x v="3"/>
    <x v="4"/>
    <x v="11"/>
    <n v="34"/>
    <n v="4576.8"/>
    <x v="9"/>
    <n v="915.36000000000013"/>
    <x v="0"/>
  </r>
  <r>
    <x v="4"/>
    <x v="3"/>
    <x v="1"/>
    <x v="12"/>
    <n v="7"/>
    <n v="200"/>
    <x v="8"/>
    <n v="40"/>
    <x v="0"/>
  </r>
  <r>
    <x v="4"/>
    <x v="3"/>
    <x v="4"/>
    <x v="14"/>
    <n v="3"/>
    <n v="4577.3"/>
    <x v="0"/>
    <n v="915.46"/>
    <x v="0"/>
  </r>
  <r>
    <x v="4"/>
    <x v="3"/>
    <x v="5"/>
    <x v="13"/>
    <n v="2"/>
    <n v="6600"/>
    <x v="10"/>
    <n v="1320"/>
    <x v="0"/>
  </r>
  <r>
    <x v="4"/>
    <x v="4"/>
    <x v="0"/>
    <x v="0"/>
    <n v="3566"/>
    <n v="4577.3"/>
    <x v="0"/>
    <n v="915.46"/>
    <x v="0"/>
  </r>
  <r>
    <x v="4"/>
    <x v="4"/>
    <x v="0"/>
    <x v="1"/>
    <n v="2498"/>
    <n v="8000"/>
    <x v="1"/>
    <n v="1600"/>
    <x v="0"/>
  </r>
  <r>
    <x v="4"/>
    <x v="4"/>
    <x v="1"/>
    <x v="2"/>
    <n v="1245"/>
    <n v="4577.2"/>
    <x v="2"/>
    <n v="915.44"/>
    <x v="0"/>
  </r>
  <r>
    <x v="4"/>
    <x v="4"/>
    <x v="2"/>
    <x v="3"/>
    <n v="644"/>
    <n v="5743.5"/>
    <x v="3"/>
    <n v="1148.7"/>
    <x v="0"/>
  </r>
  <r>
    <x v="4"/>
    <x v="4"/>
    <x v="3"/>
    <x v="4"/>
    <n v="643"/>
    <n v="7000"/>
    <x v="4"/>
    <n v="1400"/>
    <x v="0"/>
  </r>
  <r>
    <x v="4"/>
    <x v="4"/>
    <x v="2"/>
    <x v="5"/>
    <n v="455"/>
    <n v="4578.6000000000004"/>
    <x v="5"/>
    <n v="915.72000000000014"/>
    <x v="0"/>
  </r>
  <r>
    <x v="4"/>
    <x v="4"/>
    <x v="3"/>
    <x v="6"/>
    <n v="345"/>
    <n v="7000"/>
    <x v="4"/>
    <n v="1400"/>
    <x v="0"/>
  </r>
  <r>
    <x v="4"/>
    <x v="4"/>
    <x v="1"/>
    <x v="7"/>
    <n v="122"/>
    <n v="100"/>
    <x v="6"/>
    <n v="20"/>
    <x v="0"/>
  </r>
  <r>
    <x v="4"/>
    <x v="4"/>
    <x v="4"/>
    <x v="8"/>
    <n v="78"/>
    <n v="4577.2"/>
    <x v="2"/>
    <n v="915.44"/>
    <x v="0"/>
  </r>
  <r>
    <x v="4"/>
    <x v="4"/>
    <x v="4"/>
    <x v="9"/>
    <n v="76"/>
    <n v="4576.8999999999996"/>
    <x v="7"/>
    <n v="915.38"/>
    <x v="0"/>
  </r>
  <r>
    <x v="4"/>
    <x v="4"/>
    <x v="4"/>
    <x v="10"/>
    <n v="46"/>
    <n v="200"/>
    <x v="8"/>
    <n v="40"/>
    <x v="0"/>
  </r>
  <r>
    <x v="4"/>
    <x v="4"/>
    <x v="4"/>
    <x v="11"/>
    <n v="34"/>
    <n v="4576.8"/>
    <x v="9"/>
    <n v="915.36000000000013"/>
    <x v="0"/>
  </r>
  <r>
    <x v="4"/>
    <x v="4"/>
    <x v="1"/>
    <x v="12"/>
    <n v="7"/>
    <n v="200"/>
    <x v="8"/>
    <n v="40"/>
    <x v="0"/>
  </r>
  <r>
    <x v="4"/>
    <x v="4"/>
    <x v="4"/>
    <x v="14"/>
    <n v="3"/>
    <n v="4577.3"/>
    <x v="0"/>
    <n v="915.46"/>
    <x v="0"/>
  </r>
  <r>
    <x v="4"/>
    <x v="4"/>
    <x v="5"/>
    <x v="13"/>
    <n v="2"/>
    <n v="6600"/>
    <x v="10"/>
    <n v="1320"/>
    <x v="1"/>
  </r>
  <r>
    <x v="4"/>
    <x v="5"/>
    <x v="0"/>
    <x v="0"/>
    <n v="3566"/>
    <n v="4577.3"/>
    <x v="0"/>
    <n v="915.46"/>
    <x v="1"/>
  </r>
  <r>
    <x v="4"/>
    <x v="5"/>
    <x v="0"/>
    <x v="1"/>
    <n v="2498"/>
    <n v="8000"/>
    <x v="1"/>
    <n v="1600"/>
    <x v="1"/>
  </r>
  <r>
    <x v="4"/>
    <x v="5"/>
    <x v="1"/>
    <x v="2"/>
    <n v="1245"/>
    <n v="4577.2"/>
    <x v="2"/>
    <n v="915.44"/>
    <x v="1"/>
  </r>
  <r>
    <x v="4"/>
    <x v="5"/>
    <x v="2"/>
    <x v="3"/>
    <n v="644"/>
    <n v="5743.5"/>
    <x v="3"/>
    <n v="1148.7"/>
    <x v="1"/>
  </r>
  <r>
    <x v="4"/>
    <x v="5"/>
    <x v="3"/>
    <x v="4"/>
    <n v="643"/>
    <n v="7000"/>
    <x v="4"/>
    <n v="1400"/>
    <x v="1"/>
  </r>
  <r>
    <x v="4"/>
    <x v="5"/>
    <x v="2"/>
    <x v="5"/>
    <n v="455"/>
    <n v="4578.6000000000004"/>
    <x v="5"/>
    <n v="915.72000000000014"/>
    <x v="1"/>
  </r>
  <r>
    <x v="4"/>
    <x v="5"/>
    <x v="3"/>
    <x v="6"/>
    <n v="345"/>
    <n v="7000"/>
    <x v="4"/>
    <n v="1400"/>
    <x v="1"/>
  </r>
  <r>
    <x v="4"/>
    <x v="5"/>
    <x v="1"/>
    <x v="7"/>
    <n v="122"/>
    <n v="100"/>
    <x v="6"/>
    <n v="20"/>
    <x v="1"/>
  </r>
  <r>
    <x v="4"/>
    <x v="5"/>
    <x v="4"/>
    <x v="8"/>
    <n v="78"/>
    <n v="4577.2"/>
    <x v="2"/>
    <n v="915.44"/>
    <x v="1"/>
  </r>
  <r>
    <x v="4"/>
    <x v="5"/>
    <x v="4"/>
    <x v="9"/>
    <n v="76"/>
    <n v="4576.8999999999996"/>
    <x v="7"/>
    <n v="915.38"/>
    <x v="1"/>
  </r>
  <r>
    <x v="4"/>
    <x v="5"/>
    <x v="4"/>
    <x v="10"/>
    <n v="46"/>
    <n v="200"/>
    <x v="8"/>
    <n v="40"/>
    <x v="1"/>
  </r>
  <r>
    <x v="4"/>
    <x v="5"/>
    <x v="4"/>
    <x v="11"/>
    <n v="34"/>
    <n v="4576.8"/>
    <x v="9"/>
    <n v="915.36000000000013"/>
    <x v="1"/>
  </r>
  <r>
    <x v="4"/>
    <x v="5"/>
    <x v="1"/>
    <x v="12"/>
    <n v="7"/>
    <n v="200"/>
    <x v="8"/>
    <n v="40"/>
    <x v="1"/>
  </r>
  <r>
    <x v="4"/>
    <x v="5"/>
    <x v="5"/>
    <x v="13"/>
    <n v="3"/>
    <n v="6600"/>
    <x v="10"/>
    <n v="1320"/>
    <x v="1"/>
  </r>
  <r>
    <x v="4"/>
    <x v="5"/>
    <x v="4"/>
    <x v="14"/>
    <n v="3"/>
    <n v="4577.3"/>
    <x v="0"/>
    <n v="915.46"/>
    <x v="1"/>
  </r>
  <r>
    <x v="4"/>
    <x v="6"/>
    <x v="0"/>
    <x v="0"/>
    <n v="3566"/>
    <n v="4577.3"/>
    <x v="0"/>
    <n v="915.46"/>
    <x v="1"/>
  </r>
  <r>
    <x v="4"/>
    <x v="6"/>
    <x v="0"/>
    <x v="1"/>
    <n v="2498"/>
    <n v="8000"/>
    <x v="1"/>
    <n v="1600"/>
    <x v="1"/>
  </r>
  <r>
    <x v="4"/>
    <x v="6"/>
    <x v="1"/>
    <x v="2"/>
    <n v="1245"/>
    <n v="4577.2"/>
    <x v="2"/>
    <n v="915.44"/>
    <x v="1"/>
  </r>
  <r>
    <x v="4"/>
    <x v="6"/>
    <x v="2"/>
    <x v="3"/>
    <n v="644"/>
    <n v="5743.5"/>
    <x v="3"/>
    <n v="1148.7"/>
    <x v="1"/>
  </r>
  <r>
    <x v="4"/>
    <x v="6"/>
    <x v="3"/>
    <x v="4"/>
    <n v="643"/>
    <n v="7000"/>
    <x v="4"/>
    <n v="1400"/>
    <x v="1"/>
  </r>
  <r>
    <x v="4"/>
    <x v="6"/>
    <x v="2"/>
    <x v="5"/>
    <n v="455"/>
    <n v="4578.6000000000004"/>
    <x v="5"/>
    <n v="915.72000000000014"/>
    <x v="1"/>
  </r>
  <r>
    <x v="4"/>
    <x v="6"/>
    <x v="3"/>
    <x v="6"/>
    <n v="345"/>
    <n v="7000"/>
    <x v="4"/>
    <n v="1400"/>
    <x v="1"/>
  </r>
  <r>
    <x v="4"/>
    <x v="6"/>
    <x v="1"/>
    <x v="7"/>
    <n v="122"/>
    <n v="100"/>
    <x v="6"/>
    <n v="20"/>
    <x v="0"/>
  </r>
  <r>
    <x v="4"/>
    <x v="6"/>
    <x v="4"/>
    <x v="8"/>
    <n v="78"/>
    <n v="4577.2"/>
    <x v="2"/>
    <n v="915.44"/>
    <x v="0"/>
  </r>
  <r>
    <x v="4"/>
    <x v="6"/>
    <x v="4"/>
    <x v="9"/>
    <n v="76"/>
    <n v="4576.8999999999996"/>
    <x v="7"/>
    <n v="915.38"/>
    <x v="0"/>
  </r>
  <r>
    <x v="4"/>
    <x v="6"/>
    <x v="4"/>
    <x v="10"/>
    <n v="46"/>
    <n v="200"/>
    <x v="8"/>
    <n v="40"/>
    <x v="0"/>
  </r>
  <r>
    <x v="4"/>
    <x v="6"/>
    <x v="4"/>
    <x v="11"/>
    <n v="34"/>
    <n v="4576.8"/>
    <x v="9"/>
    <n v="915.36000000000013"/>
    <x v="0"/>
  </r>
  <r>
    <x v="4"/>
    <x v="6"/>
    <x v="1"/>
    <x v="12"/>
    <n v="7"/>
    <n v="200"/>
    <x v="8"/>
    <n v="40"/>
    <x v="0"/>
  </r>
  <r>
    <x v="4"/>
    <x v="6"/>
    <x v="4"/>
    <x v="14"/>
    <n v="3"/>
    <n v="4577.3"/>
    <x v="0"/>
    <n v="915.46"/>
    <x v="0"/>
  </r>
  <r>
    <x v="4"/>
    <x v="6"/>
    <x v="5"/>
    <x v="13"/>
    <n v="2"/>
    <n v="6600"/>
    <x v="10"/>
    <n v="1320"/>
    <x v="0"/>
  </r>
  <r>
    <x v="4"/>
    <x v="7"/>
    <x v="0"/>
    <x v="0"/>
    <n v="3566"/>
    <n v="4577.3"/>
    <x v="0"/>
    <n v="915.46"/>
    <x v="0"/>
  </r>
  <r>
    <x v="4"/>
    <x v="7"/>
    <x v="0"/>
    <x v="1"/>
    <n v="2498"/>
    <n v="8000"/>
    <x v="1"/>
    <n v="1600"/>
    <x v="0"/>
  </r>
  <r>
    <x v="4"/>
    <x v="7"/>
    <x v="1"/>
    <x v="2"/>
    <n v="1245"/>
    <n v="4577.2"/>
    <x v="2"/>
    <n v="915.44"/>
    <x v="0"/>
  </r>
  <r>
    <x v="4"/>
    <x v="7"/>
    <x v="2"/>
    <x v="3"/>
    <n v="644"/>
    <n v="5743.5"/>
    <x v="3"/>
    <n v="1148.7"/>
    <x v="0"/>
  </r>
  <r>
    <x v="4"/>
    <x v="7"/>
    <x v="3"/>
    <x v="4"/>
    <n v="643"/>
    <n v="7000"/>
    <x v="4"/>
    <n v="1400"/>
    <x v="0"/>
  </r>
  <r>
    <x v="4"/>
    <x v="7"/>
    <x v="2"/>
    <x v="5"/>
    <n v="455"/>
    <n v="4578.6000000000004"/>
    <x v="5"/>
    <n v="915.72000000000014"/>
    <x v="0"/>
  </r>
  <r>
    <x v="4"/>
    <x v="7"/>
    <x v="3"/>
    <x v="6"/>
    <n v="345"/>
    <n v="7000"/>
    <x v="4"/>
    <n v="1400"/>
    <x v="0"/>
  </r>
  <r>
    <x v="4"/>
    <x v="7"/>
    <x v="1"/>
    <x v="7"/>
    <n v="122"/>
    <n v="100"/>
    <x v="6"/>
    <n v="20"/>
    <x v="0"/>
  </r>
  <r>
    <x v="4"/>
    <x v="7"/>
    <x v="4"/>
    <x v="8"/>
    <n v="78"/>
    <n v="4577.2"/>
    <x v="2"/>
    <n v="915.44"/>
    <x v="0"/>
  </r>
  <r>
    <x v="4"/>
    <x v="7"/>
    <x v="4"/>
    <x v="9"/>
    <n v="76"/>
    <n v="4576.8999999999996"/>
    <x v="7"/>
    <n v="915.38"/>
    <x v="0"/>
  </r>
  <r>
    <x v="4"/>
    <x v="7"/>
    <x v="4"/>
    <x v="10"/>
    <n v="46"/>
    <n v="200"/>
    <x v="8"/>
    <n v="40"/>
    <x v="0"/>
  </r>
  <r>
    <x v="4"/>
    <x v="7"/>
    <x v="4"/>
    <x v="11"/>
    <n v="34"/>
    <n v="4576.8"/>
    <x v="9"/>
    <n v="915.36000000000013"/>
    <x v="0"/>
  </r>
  <r>
    <x v="4"/>
    <x v="7"/>
    <x v="1"/>
    <x v="12"/>
    <n v="7"/>
    <n v="200"/>
    <x v="8"/>
    <n v="40"/>
    <x v="0"/>
  </r>
  <r>
    <x v="4"/>
    <x v="7"/>
    <x v="4"/>
    <x v="14"/>
    <n v="3"/>
    <n v="4577.3"/>
    <x v="0"/>
    <n v="915.46"/>
    <x v="0"/>
  </r>
  <r>
    <x v="4"/>
    <x v="7"/>
    <x v="5"/>
    <x v="13"/>
    <n v="2"/>
    <n v="6600"/>
    <x v="10"/>
    <n v="1320"/>
    <x v="0"/>
  </r>
  <r>
    <x v="4"/>
    <x v="8"/>
    <x v="0"/>
    <x v="0"/>
    <n v="3566"/>
    <n v="4577.3"/>
    <x v="0"/>
    <n v="915.46"/>
    <x v="0"/>
  </r>
  <r>
    <x v="4"/>
    <x v="8"/>
    <x v="0"/>
    <x v="1"/>
    <n v="2498"/>
    <n v="8000"/>
    <x v="1"/>
    <n v="1600"/>
    <x v="0"/>
  </r>
  <r>
    <x v="4"/>
    <x v="8"/>
    <x v="1"/>
    <x v="2"/>
    <n v="1245"/>
    <n v="4577.2"/>
    <x v="2"/>
    <n v="915.44"/>
    <x v="0"/>
  </r>
  <r>
    <x v="4"/>
    <x v="8"/>
    <x v="2"/>
    <x v="3"/>
    <n v="644"/>
    <n v="5743.5"/>
    <x v="3"/>
    <n v="1148.7"/>
    <x v="0"/>
  </r>
  <r>
    <x v="4"/>
    <x v="8"/>
    <x v="3"/>
    <x v="4"/>
    <n v="643"/>
    <n v="7000"/>
    <x v="4"/>
    <n v="1400"/>
    <x v="0"/>
  </r>
  <r>
    <x v="4"/>
    <x v="8"/>
    <x v="2"/>
    <x v="5"/>
    <n v="455"/>
    <n v="4578.6000000000004"/>
    <x v="5"/>
    <n v="915.72000000000014"/>
    <x v="0"/>
  </r>
  <r>
    <x v="4"/>
    <x v="8"/>
    <x v="3"/>
    <x v="6"/>
    <n v="345"/>
    <n v="7000"/>
    <x v="4"/>
    <n v="1400"/>
    <x v="0"/>
  </r>
  <r>
    <x v="4"/>
    <x v="8"/>
    <x v="1"/>
    <x v="7"/>
    <n v="122"/>
    <n v="100"/>
    <x v="6"/>
    <n v="20"/>
    <x v="0"/>
  </r>
  <r>
    <x v="4"/>
    <x v="8"/>
    <x v="4"/>
    <x v="8"/>
    <n v="78"/>
    <n v="4577.2"/>
    <x v="2"/>
    <n v="915.44"/>
    <x v="0"/>
  </r>
  <r>
    <x v="4"/>
    <x v="8"/>
    <x v="4"/>
    <x v="9"/>
    <n v="76"/>
    <n v="4576.8999999999996"/>
    <x v="7"/>
    <n v="915.38"/>
    <x v="0"/>
  </r>
  <r>
    <x v="4"/>
    <x v="8"/>
    <x v="4"/>
    <x v="10"/>
    <n v="46"/>
    <n v="200"/>
    <x v="8"/>
    <n v="40"/>
    <x v="0"/>
  </r>
  <r>
    <x v="4"/>
    <x v="8"/>
    <x v="4"/>
    <x v="11"/>
    <n v="34"/>
    <n v="4576.8"/>
    <x v="9"/>
    <n v="915.36000000000013"/>
    <x v="0"/>
  </r>
  <r>
    <x v="4"/>
    <x v="8"/>
    <x v="1"/>
    <x v="12"/>
    <n v="7"/>
    <n v="200"/>
    <x v="8"/>
    <n v="40"/>
    <x v="0"/>
  </r>
  <r>
    <x v="4"/>
    <x v="8"/>
    <x v="4"/>
    <x v="14"/>
    <n v="3"/>
    <n v="4577.3"/>
    <x v="0"/>
    <n v="915.46"/>
    <x v="0"/>
  </r>
  <r>
    <x v="4"/>
    <x v="8"/>
    <x v="5"/>
    <x v="13"/>
    <n v="2"/>
    <n v="6600"/>
    <x v="10"/>
    <n v="1320"/>
    <x v="0"/>
  </r>
  <r>
    <x v="4"/>
    <x v="9"/>
    <x v="0"/>
    <x v="0"/>
    <n v="3566"/>
    <n v="4577.3"/>
    <x v="0"/>
    <n v="915.46"/>
    <x v="0"/>
  </r>
  <r>
    <x v="4"/>
    <x v="9"/>
    <x v="0"/>
    <x v="1"/>
    <n v="2498"/>
    <n v="8000"/>
    <x v="1"/>
    <n v="1600"/>
    <x v="0"/>
  </r>
  <r>
    <x v="4"/>
    <x v="9"/>
    <x v="1"/>
    <x v="2"/>
    <n v="1245"/>
    <n v="4577.2"/>
    <x v="2"/>
    <n v="915.44"/>
    <x v="0"/>
  </r>
  <r>
    <x v="4"/>
    <x v="9"/>
    <x v="2"/>
    <x v="3"/>
    <n v="644"/>
    <n v="5743.5"/>
    <x v="3"/>
    <n v="1148.7"/>
    <x v="0"/>
  </r>
  <r>
    <x v="4"/>
    <x v="9"/>
    <x v="3"/>
    <x v="4"/>
    <n v="643"/>
    <n v="7000"/>
    <x v="4"/>
    <n v="1400"/>
    <x v="1"/>
  </r>
  <r>
    <x v="4"/>
    <x v="9"/>
    <x v="2"/>
    <x v="5"/>
    <n v="455"/>
    <n v="4578.6000000000004"/>
    <x v="5"/>
    <n v="915.72000000000014"/>
    <x v="1"/>
  </r>
  <r>
    <x v="4"/>
    <x v="9"/>
    <x v="3"/>
    <x v="6"/>
    <n v="345"/>
    <n v="7000"/>
    <x v="4"/>
    <n v="1400"/>
    <x v="1"/>
  </r>
  <r>
    <x v="4"/>
    <x v="9"/>
    <x v="1"/>
    <x v="7"/>
    <n v="122"/>
    <n v="100"/>
    <x v="6"/>
    <n v="20"/>
    <x v="1"/>
  </r>
  <r>
    <x v="4"/>
    <x v="9"/>
    <x v="4"/>
    <x v="8"/>
    <n v="78"/>
    <n v="4577.2"/>
    <x v="2"/>
    <n v="915.44"/>
    <x v="1"/>
  </r>
  <r>
    <x v="4"/>
    <x v="9"/>
    <x v="4"/>
    <x v="9"/>
    <n v="76"/>
    <n v="4576.8999999999996"/>
    <x v="7"/>
    <n v="915.38"/>
    <x v="1"/>
  </r>
  <r>
    <x v="4"/>
    <x v="9"/>
    <x v="4"/>
    <x v="10"/>
    <n v="46"/>
    <n v="200"/>
    <x v="8"/>
    <n v="40"/>
    <x v="1"/>
  </r>
  <r>
    <x v="4"/>
    <x v="9"/>
    <x v="4"/>
    <x v="11"/>
    <n v="34"/>
    <n v="4576.8"/>
    <x v="9"/>
    <n v="915.36000000000013"/>
    <x v="1"/>
  </r>
  <r>
    <x v="4"/>
    <x v="9"/>
    <x v="1"/>
    <x v="12"/>
    <n v="7"/>
    <n v="200"/>
    <x v="8"/>
    <n v="40"/>
    <x v="1"/>
  </r>
  <r>
    <x v="4"/>
    <x v="9"/>
    <x v="4"/>
    <x v="14"/>
    <n v="3"/>
    <n v="4577.3"/>
    <x v="0"/>
    <n v="915.46"/>
    <x v="1"/>
  </r>
  <r>
    <x v="4"/>
    <x v="9"/>
    <x v="5"/>
    <x v="13"/>
    <n v="2"/>
    <n v="6600"/>
    <x v="10"/>
    <n v="1320"/>
    <x v="1"/>
  </r>
  <r>
    <x v="4"/>
    <x v="10"/>
    <x v="0"/>
    <x v="0"/>
    <n v="3566"/>
    <n v="4577.3"/>
    <x v="0"/>
    <n v="915.46"/>
    <x v="1"/>
  </r>
  <r>
    <x v="4"/>
    <x v="10"/>
    <x v="0"/>
    <x v="1"/>
    <n v="2498"/>
    <n v="8000"/>
    <x v="1"/>
    <n v="1600"/>
    <x v="1"/>
  </r>
  <r>
    <x v="4"/>
    <x v="10"/>
    <x v="1"/>
    <x v="2"/>
    <n v="1245"/>
    <n v="4577.2"/>
    <x v="2"/>
    <n v="915.44"/>
    <x v="1"/>
  </r>
  <r>
    <x v="4"/>
    <x v="10"/>
    <x v="2"/>
    <x v="3"/>
    <n v="644"/>
    <n v="5743.5"/>
    <x v="3"/>
    <n v="1148.7"/>
    <x v="1"/>
  </r>
  <r>
    <x v="4"/>
    <x v="10"/>
    <x v="3"/>
    <x v="4"/>
    <n v="643"/>
    <n v="7000"/>
    <x v="4"/>
    <n v="1400"/>
    <x v="1"/>
  </r>
  <r>
    <x v="4"/>
    <x v="10"/>
    <x v="2"/>
    <x v="5"/>
    <n v="455"/>
    <n v="4578.6000000000004"/>
    <x v="5"/>
    <n v="915.72000000000014"/>
    <x v="1"/>
  </r>
  <r>
    <x v="4"/>
    <x v="10"/>
    <x v="3"/>
    <x v="6"/>
    <n v="345"/>
    <n v="7000"/>
    <x v="4"/>
    <n v="1400"/>
    <x v="1"/>
  </r>
  <r>
    <x v="4"/>
    <x v="10"/>
    <x v="1"/>
    <x v="7"/>
    <n v="122"/>
    <n v="100"/>
    <x v="6"/>
    <n v="20"/>
    <x v="1"/>
  </r>
  <r>
    <x v="4"/>
    <x v="10"/>
    <x v="4"/>
    <x v="8"/>
    <n v="78"/>
    <n v="4577.2"/>
    <x v="2"/>
    <n v="915.44"/>
    <x v="1"/>
  </r>
  <r>
    <x v="4"/>
    <x v="10"/>
    <x v="4"/>
    <x v="9"/>
    <n v="76"/>
    <n v="4576.8999999999996"/>
    <x v="7"/>
    <n v="915.38"/>
    <x v="1"/>
  </r>
  <r>
    <x v="4"/>
    <x v="10"/>
    <x v="4"/>
    <x v="10"/>
    <n v="46"/>
    <n v="200"/>
    <x v="8"/>
    <n v="40"/>
    <x v="1"/>
  </r>
  <r>
    <x v="4"/>
    <x v="10"/>
    <x v="4"/>
    <x v="11"/>
    <n v="34"/>
    <n v="4576.8"/>
    <x v="9"/>
    <n v="915.36000000000013"/>
    <x v="1"/>
  </r>
  <r>
    <x v="4"/>
    <x v="10"/>
    <x v="1"/>
    <x v="12"/>
    <n v="7"/>
    <n v="200"/>
    <x v="8"/>
    <n v="40"/>
    <x v="1"/>
  </r>
  <r>
    <x v="4"/>
    <x v="10"/>
    <x v="4"/>
    <x v="14"/>
    <n v="3"/>
    <n v="4577.3"/>
    <x v="0"/>
    <n v="915.46"/>
    <x v="1"/>
  </r>
  <r>
    <x v="4"/>
    <x v="10"/>
    <x v="5"/>
    <x v="13"/>
    <n v="2"/>
    <n v="6600"/>
    <x v="10"/>
    <n v="1320"/>
    <x v="0"/>
  </r>
  <r>
    <x v="4"/>
    <x v="11"/>
    <x v="0"/>
    <x v="0"/>
    <n v="3566"/>
    <n v="4577.3"/>
    <x v="0"/>
    <n v="915.46"/>
    <x v="0"/>
  </r>
  <r>
    <x v="4"/>
    <x v="11"/>
    <x v="0"/>
    <x v="1"/>
    <n v="2498"/>
    <n v="8000"/>
    <x v="1"/>
    <n v="1600"/>
    <x v="0"/>
  </r>
  <r>
    <x v="4"/>
    <x v="11"/>
    <x v="1"/>
    <x v="2"/>
    <n v="1245"/>
    <n v="4577.2"/>
    <x v="2"/>
    <n v="915.44"/>
    <x v="0"/>
  </r>
  <r>
    <x v="4"/>
    <x v="11"/>
    <x v="2"/>
    <x v="3"/>
    <n v="644"/>
    <n v="5743.5"/>
    <x v="3"/>
    <n v="1148.7"/>
    <x v="0"/>
  </r>
  <r>
    <x v="4"/>
    <x v="11"/>
    <x v="3"/>
    <x v="4"/>
    <n v="643"/>
    <n v="7000"/>
    <x v="4"/>
    <n v="1400"/>
    <x v="0"/>
  </r>
  <r>
    <x v="4"/>
    <x v="11"/>
    <x v="2"/>
    <x v="5"/>
    <n v="455"/>
    <n v="4578.6000000000004"/>
    <x v="5"/>
    <n v="915.72000000000014"/>
    <x v="0"/>
  </r>
  <r>
    <x v="4"/>
    <x v="11"/>
    <x v="3"/>
    <x v="6"/>
    <n v="345"/>
    <n v="7000"/>
    <x v="4"/>
    <n v="1400"/>
    <x v="0"/>
  </r>
  <r>
    <x v="4"/>
    <x v="11"/>
    <x v="1"/>
    <x v="7"/>
    <n v="122"/>
    <n v="100"/>
    <x v="6"/>
    <n v="20"/>
    <x v="0"/>
  </r>
  <r>
    <x v="4"/>
    <x v="11"/>
    <x v="4"/>
    <x v="8"/>
    <n v="78"/>
    <n v="4577.2"/>
    <x v="2"/>
    <n v="915.44"/>
    <x v="0"/>
  </r>
  <r>
    <x v="4"/>
    <x v="11"/>
    <x v="4"/>
    <x v="9"/>
    <n v="76"/>
    <n v="4576.8999999999996"/>
    <x v="7"/>
    <n v="915.38"/>
    <x v="0"/>
  </r>
  <r>
    <x v="4"/>
    <x v="11"/>
    <x v="4"/>
    <x v="10"/>
    <n v="46"/>
    <n v="200"/>
    <x v="8"/>
    <n v="40"/>
    <x v="0"/>
  </r>
  <r>
    <x v="4"/>
    <x v="11"/>
    <x v="4"/>
    <x v="11"/>
    <n v="34"/>
    <n v="4576.8"/>
    <x v="9"/>
    <n v="915.36000000000013"/>
    <x v="0"/>
  </r>
  <r>
    <x v="4"/>
    <x v="11"/>
    <x v="1"/>
    <x v="12"/>
    <n v="7"/>
    <n v="200"/>
    <x v="8"/>
    <n v="40"/>
    <x v="0"/>
  </r>
  <r>
    <x v="4"/>
    <x v="11"/>
    <x v="4"/>
    <x v="14"/>
    <n v="3"/>
    <n v="4577.3"/>
    <x v="0"/>
    <n v="915.46"/>
    <x v="0"/>
  </r>
  <r>
    <x v="4"/>
    <x v="11"/>
    <x v="5"/>
    <x v="13"/>
    <n v="2"/>
    <n v="6600"/>
    <x v="10"/>
    <n v="1320"/>
    <x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
  <r>
    <x v="0"/>
    <x v="0"/>
    <n v="364236"/>
    <n v="501558.1999999999"/>
  </r>
  <r>
    <x v="0"/>
    <x v="1"/>
    <n v="197480"/>
    <n v="360897.68000000005"/>
  </r>
  <r>
    <x v="0"/>
    <x v="2"/>
    <n v="187412"/>
    <n v="227490.12000000002"/>
  </r>
  <r>
    <x v="0"/>
    <x v="3"/>
    <n v="167840"/>
    <n v="281795.8000000001"/>
  </r>
  <r>
    <x v="0"/>
    <x v="4"/>
    <n v="126472"/>
    <n v="206264.59999999995"/>
  </r>
  <r>
    <x v="0"/>
    <x v="5"/>
    <n v="125960"/>
    <n v="202419.35999999975"/>
  </r>
  <r>
    <x v="1"/>
    <x v="0"/>
    <n v="342724"/>
    <n v="509978.03999999992"/>
  </r>
  <r>
    <x v="1"/>
    <x v="1"/>
    <n v="238460"/>
    <n v="280188.47999999992"/>
  </r>
  <r>
    <x v="1"/>
    <x v="2"/>
    <n v="231288"/>
    <n v="209586.52000000019"/>
  </r>
  <r>
    <x v="1"/>
    <x v="3"/>
    <n v="210228"/>
    <n v="273633.36"/>
  </r>
  <r>
    <x v="1"/>
    <x v="5"/>
    <n v="135984"/>
    <n v="204158.23999999973"/>
  </r>
  <r>
    <x v="1"/>
    <x v="4"/>
    <n v="128888"/>
    <n v="275347.0400000001"/>
  </r>
  <r>
    <x v="2"/>
    <x v="0"/>
    <n v="365892"/>
    <n v="524449.6399999999"/>
  </r>
  <r>
    <x v="2"/>
    <x v="2"/>
    <n v="188312"/>
    <n v="201424.08000000007"/>
  </r>
  <r>
    <x v="2"/>
    <x v="1"/>
    <n v="387584"/>
    <n v="700000"/>
  </r>
  <r>
    <x v="2"/>
    <x v="3"/>
    <n v="178572"/>
    <n v="255357.95999999996"/>
  </r>
  <r>
    <x v="2"/>
    <x v="4"/>
    <n v="127296"/>
    <n v="181256.00000000003"/>
  </r>
  <r>
    <x v="2"/>
    <x v="5"/>
    <n v="125136"/>
    <n v="199811.0399999998"/>
  </r>
  <r>
    <x v="3"/>
    <x v="0"/>
    <n v="204528"/>
    <n v="292475.04000000004"/>
  </r>
  <r>
    <x v="3"/>
    <x v="3"/>
    <n v="129304"/>
    <n v="184904.72"/>
  </r>
  <r>
    <x v="3"/>
    <x v="1"/>
    <n v="127904"/>
    <n v="182902.72000000003"/>
  </r>
  <r>
    <x v="3"/>
    <x v="2"/>
    <n v="219404"/>
    <n v="212626.8"/>
  </r>
  <r>
    <x v="3"/>
    <x v="5"/>
    <n v="73912"/>
    <n v="130072.80000000012"/>
  </r>
  <r>
    <x v="3"/>
    <x v="4"/>
    <n v="71992"/>
    <n v="104238.15999999999"/>
  </r>
  <r>
    <x v="4"/>
    <x v="0"/>
    <n v="190380"/>
    <n v="272243.39999999997"/>
  </r>
  <r>
    <x v="4"/>
    <x v="2"/>
    <n v="112620"/>
    <n v="107044.07999999994"/>
  </r>
  <r>
    <x v="4"/>
    <x v="1"/>
    <n v="109940"/>
    <n v="157214.20000000007"/>
  </r>
  <r>
    <x v="4"/>
    <x v="3"/>
    <n v="106948"/>
    <n v="152935.63999999998"/>
  </r>
  <r>
    <x v="4"/>
    <x v="5"/>
    <n v="62256"/>
    <n v="100660.56000000013"/>
  </r>
  <r>
    <x v="4"/>
    <x v="4"/>
    <n v="62240"/>
    <n v="90151.200000000041"/>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115">
  <r>
    <s v="AD01-9361"/>
    <x v="0"/>
    <s v="Apr"/>
    <x v="0"/>
    <x v="0"/>
    <s v="Order assembled"/>
    <x v="0"/>
    <x v="0"/>
    <x v="0"/>
    <n v="350"/>
    <n v="500.5"/>
  </r>
  <r>
    <s v="AD01-9361"/>
    <x v="0"/>
    <s v="Apr"/>
    <x v="0"/>
    <x v="0"/>
    <s v="Order assembled"/>
    <x v="0"/>
    <x v="0"/>
    <x v="0"/>
    <n v="344"/>
    <n v="491.91999999999996"/>
  </r>
  <r>
    <s v="AD01-9362"/>
    <x v="0"/>
    <s v="Apr"/>
    <x v="0"/>
    <x v="0"/>
    <s v="Order assembled"/>
    <x v="0"/>
    <x v="0"/>
    <x v="1"/>
    <n v="236"/>
    <n v="337.48"/>
  </r>
  <r>
    <s v="AD01-9362"/>
    <x v="0"/>
    <s v="Apr"/>
    <x v="0"/>
    <x v="0"/>
    <s v="Order assembled"/>
    <x v="0"/>
    <x v="0"/>
    <x v="1"/>
    <n v="284"/>
    <n v="406.12"/>
  </r>
  <r>
    <s v="AD01-9364"/>
    <x v="0"/>
    <s v="Apr"/>
    <x v="0"/>
    <x v="0"/>
    <s v="Order assembled"/>
    <x v="0"/>
    <x v="0"/>
    <x v="1"/>
    <n v="238"/>
    <n v="340.34000000000003"/>
  </r>
  <r>
    <s v="AD01-9361"/>
    <x v="0"/>
    <s v="Apr"/>
    <x v="0"/>
    <x v="0"/>
    <s v="Order assembled"/>
    <x v="0"/>
    <x v="0"/>
    <x v="1"/>
    <n v="280"/>
    <n v="400.4"/>
  </r>
  <r>
    <s v="AD01-9361"/>
    <x v="0"/>
    <s v="Apr"/>
    <x v="0"/>
    <x v="0"/>
    <s v="Order assembled"/>
    <x v="0"/>
    <x v="0"/>
    <x v="1"/>
    <n v="208"/>
    <n v="297.44"/>
  </r>
  <r>
    <s v="AD01-9362"/>
    <x v="0"/>
    <s v="Apr"/>
    <x v="0"/>
    <x v="0"/>
    <s v="Order assembled"/>
    <x v="0"/>
    <x v="0"/>
    <x v="0"/>
    <n v="354"/>
    <n v="526.24"/>
  </r>
  <r>
    <s v="AD01-9361"/>
    <x v="0"/>
    <s v="Apr"/>
    <x v="0"/>
    <x v="0"/>
    <s v="Order assembled"/>
    <x v="0"/>
    <x v="0"/>
    <x v="0"/>
    <n v="348"/>
    <n v="526.24"/>
  </r>
  <r>
    <s v="AD01-9364"/>
    <x v="0"/>
    <s v="Apr"/>
    <x v="0"/>
    <x v="0"/>
    <s v="Order assembled"/>
    <x v="0"/>
    <x v="0"/>
    <x v="0"/>
    <n v="342"/>
    <n v="526.24"/>
  </r>
  <r>
    <s v="AD01-9363"/>
    <x v="0"/>
    <s v="Apr"/>
    <x v="0"/>
    <x v="0"/>
    <s v="Order assembled"/>
    <x v="0"/>
    <x v="0"/>
    <x v="1"/>
    <n v="677"/>
    <n v="968.11"/>
  </r>
  <r>
    <s v="AD01-9364"/>
    <x v="0"/>
    <s v="Apr"/>
    <x v="0"/>
    <x v="0"/>
    <s v="Order assembled"/>
    <x v="0"/>
    <x v="0"/>
    <x v="1"/>
    <n v="710"/>
    <n v="1015.3"/>
  </r>
  <r>
    <s v="AD01-9362"/>
    <x v="0"/>
    <s v="Apr"/>
    <x v="0"/>
    <x v="0"/>
    <s v="Order assembled"/>
    <x v="0"/>
    <x v="0"/>
    <x v="1"/>
    <n v="763"/>
    <n v="1091.0899999999999"/>
  </r>
  <r>
    <s v="AD01-9362"/>
    <x v="0"/>
    <s v="Apr"/>
    <x v="0"/>
    <x v="0"/>
    <s v="Order assembled"/>
    <x v="0"/>
    <x v="0"/>
    <x v="0"/>
    <n v="351"/>
    <n v="501.93"/>
  </r>
  <r>
    <s v="AD01-9364"/>
    <x v="0"/>
    <s v="Apr"/>
    <x v="0"/>
    <x v="0"/>
    <s v="Order assembled"/>
    <x v="0"/>
    <x v="0"/>
    <x v="0"/>
    <n v="345"/>
    <n v="493.35"/>
  </r>
  <r>
    <s v="AD01-9361"/>
    <x v="0"/>
    <s v="Apr"/>
    <x v="0"/>
    <x v="0"/>
    <s v="Order assembled"/>
    <x v="0"/>
    <x v="0"/>
    <x v="0"/>
    <n v="339"/>
    <n v="484.77"/>
  </r>
  <r>
    <s v="AD01-9362"/>
    <x v="0"/>
    <s v="Apr"/>
    <x v="0"/>
    <x v="0"/>
    <s v="Order assembled"/>
    <x v="0"/>
    <x v="0"/>
    <x v="1"/>
    <n v="237"/>
    <n v="338.90999999999997"/>
  </r>
  <r>
    <s v="AD01-9362"/>
    <x v="0"/>
    <s v="Apr"/>
    <x v="0"/>
    <x v="0"/>
    <s v="Order assembled"/>
    <x v="0"/>
    <x v="0"/>
    <x v="1"/>
    <n v="749"/>
    <n v="526.24"/>
  </r>
  <r>
    <s v="AD01-9363"/>
    <x v="0"/>
    <s v="Apr"/>
    <x v="0"/>
    <x v="0"/>
    <s v="Order assembled"/>
    <x v="0"/>
    <x v="0"/>
    <x v="1"/>
    <n v="803"/>
    <n v="526.24"/>
  </r>
  <r>
    <s v="AD01-9361"/>
    <x v="0"/>
    <s v="Apr"/>
    <x v="0"/>
    <x v="0"/>
    <s v="Order assembled"/>
    <x v="0"/>
    <x v="0"/>
    <x v="1"/>
    <n v="235"/>
    <n v="336.05"/>
  </r>
  <r>
    <s v="AD01-9361"/>
    <x v="0"/>
    <s v="Apr"/>
    <x v="0"/>
    <x v="0"/>
    <s v="Order assembled"/>
    <x v="0"/>
    <x v="0"/>
    <x v="1"/>
    <n v="283"/>
    <n v="404.69"/>
  </r>
  <r>
    <s v="AD01-9364"/>
    <x v="0"/>
    <s v="Apr"/>
    <x v="0"/>
    <x v="0"/>
    <s v="Order assembled"/>
    <x v="0"/>
    <x v="0"/>
    <x v="1"/>
    <n v="211"/>
    <n v="301.73"/>
  </r>
  <r>
    <s v="AD01-9361"/>
    <x v="0"/>
    <s v="Apr"/>
    <x v="0"/>
    <x v="0"/>
    <s v="Order assembled"/>
    <x v="0"/>
    <x v="0"/>
    <x v="0"/>
    <n v="876"/>
    <n v="1252.68"/>
  </r>
  <r>
    <s v="AD01-9361"/>
    <x v="0"/>
    <s v="Apr"/>
    <x v="0"/>
    <x v="0"/>
    <s v="Order assembled"/>
    <x v="0"/>
    <x v="0"/>
    <x v="0"/>
    <n v="877"/>
    <n v="1254.1100000000001"/>
  </r>
  <r>
    <s v="AD01-9361"/>
    <x v="0"/>
    <s v="Apr"/>
    <x v="0"/>
    <x v="0"/>
    <s v="Order assembled"/>
    <x v="0"/>
    <x v="0"/>
    <x v="0"/>
    <n v="878"/>
    <n v="1255.54"/>
  </r>
  <r>
    <s v="AD01-9364"/>
    <x v="0"/>
    <s v="Apr"/>
    <x v="0"/>
    <x v="0"/>
    <s v="Order assembled"/>
    <x v="0"/>
    <x v="0"/>
    <x v="1"/>
    <n v="281"/>
    <n v="401.83"/>
  </r>
  <r>
    <s v="AD01-9362"/>
    <x v="0"/>
    <s v="Apr"/>
    <x v="0"/>
    <x v="0"/>
    <s v="Order assembled"/>
    <x v="0"/>
    <x v="0"/>
    <x v="1"/>
    <n v="772"/>
    <n v="1103.96"/>
  </r>
  <r>
    <s v="AD01-9361"/>
    <x v="0"/>
    <s v="Aug"/>
    <x v="0"/>
    <x v="0"/>
    <s v="Order assembled"/>
    <x v="0"/>
    <x v="0"/>
    <x v="0"/>
    <n v="290"/>
    <n v="414.7"/>
  </r>
  <r>
    <s v="AD01-9361"/>
    <x v="0"/>
    <s v="Aug"/>
    <x v="0"/>
    <x v="0"/>
    <s v="Order assembled"/>
    <x v="0"/>
    <x v="0"/>
    <x v="0"/>
    <n v="284"/>
    <n v="406.12"/>
  </r>
  <r>
    <s v="AD01-9365"/>
    <x v="0"/>
    <s v="Aug"/>
    <x v="0"/>
    <x v="0"/>
    <s v="Order assembled"/>
    <x v="0"/>
    <x v="0"/>
    <x v="0"/>
    <n v="278"/>
    <n v="397.53999999999996"/>
  </r>
  <r>
    <s v="AD01-9362"/>
    <x v="0"/>
    <s v="Aug"/>
    <x v="0"/>
    <x v="0"/>
    <s v="Order assembled"/>
    <x v="0"/>
    <x v="0"/>
    <x v="1"/>
    <n v="212"/>
    <n v="303.15999999999997"/>
  </r>
  <r>
    <s v="AD01-9361"/>
    <x v="0"/>
    <s v="Aug"/>
    <x v="0"/>
    <x v="0"/>
    <s v="Order assembled"/>
    <x v="0"/>
    <x v="0"/>
    <x v="1"/>
    <n v="260"/>
    <n v="371.8"/>
  </r>
  <r>
    <s v="AD01-9361"/>
    <x v="0"/>
    <s v="Aug"/>
    <x v="0"/>
    <x v="0"/>
    <s v="Order assembled"/>
    <x v="0"/>
    <x v="0"/>
    <x v="1"/>
    <n v="188"/>
    <n v="268.84000000000003"/>
  </r>
  <r>
    <s v="AD01-9364"/>
    <x v="0"/>
    <s v="Aug"/>
    <x v="0"/>
    <x v="0"/>
    <s v="Order assembled"/>
    <x v="0"/>
    <x v="0"/>
    <x v="1"/>
    <n v="214"/>
    <n v="306.02"/>
  </r>
  <r>
    <s v="AD01-9362"/>
    <x v="0"/>
    <s v="Aug"/>
    <x v="0"/>
    <x v="0"/>
    <s v="Order assembled"/>
    <x v="0"/>
    <x v="0"/>
    <x v="1"/>
    <n v="262"/>
    <n v="374.65999999999997"/>
  </r>
  <r>
    <s v="AD01-9364"/>
    <x v="0"/>
    <s v="Aug"/>
    <x v="0"/>
    <x v="0"/>
    <s v="Order assembled"/>
    <x v="0"/>
    <x v="0"/>
    <x v="1"/>
    <n v="190"/>
    <n v="271.7"/>
  </r>
  <r>
    <s v="AD01-9363"/>
    <x v="0"/>
    <s v="Aug"/>
    <x v="0"/>
    <x v="0"/>
    <s v="Order assembled"/>
    <x v="0"/>
    <x v="0"/>
    <x v="1"/>
    <n v="288"/>
    <n v="526.24"/>
  </r>
  <r>
    <s v="AD01-9364"/>
    <x v="0"/>
    <s v="Aug"/>
    <x v="0"/>
    <x v="0"/>
    <s v="Order assembled"/>
    <x v="0"/>
    <x v="0"/>
    <x v="1"/>
    <n v="282"/>
    <n v="526.24"/>
  </r>
  <r>
    <s v="AD01-9361"/>
    <x v="0"/>
    <s v="Aug"/>
    <x v="0"/>
    <x v="0"/>
    <s v="Order assembled"/>
    <x v="0"/>
    <x v="0"/>
    <x v="1"/>
    <n v="276"/>
    <n v="526.24"/>
  </r>
  <r>
    <s v="AD01-9361"/>
    <x v="0"/>
    <s v="Aug"/>
    <x v="0"/>
    <x v="0"/>
    <s v="Order assembled"/>
    <x v="0"/>
    <x v="0"/>
    <x v="1"/>
    <n v="680"/>
    <n v="972.4"/>
  </r>
  <r>
    <s v="AD01-9364"/>
    <x v="0"/>
    <s v="Aug"/>
    <x v="0"/>
    <x v="0"/>
    <s v="Order assembled"/>
    <x v="0"/>
    <x v="0"/>
    <x v="1"/>
    <n v="767"/>
    <n v="1096.81"/>
  </r>
  <r>
    <s v="AD01-9362"/>
    <x v="0"/>
    <s v="Aug"/>
    <x v="0"/>
    <x v="0"/>
    <s v="Order assembled"/>
    <x v="0"/>
    <x v="0"/>
    <x v="1"/>
    <n v="285"/>
    <n v="407.55"/>
  </r>
  <r>
    <s v="AD01-9361"/>
    <x v="0"/>
    <s v="Aug"/>
    <x v="0"/>
    <x v="0"/>
    <s v="Order assembled"/>
    <x v="0"/>
    <x v="0"/>
    <x v="1"/>
    <n v="279"/>
    <n v="398.97"/>
  </r>
  <r>
    <s v="AD01-9364"/>
    <x v="0"/>
    <s v="Aug"/>
    <x v="0"/>
    <x v="0"/>
    <s v="Order assembled"/>
    <x v="0"/>
    <x v="0"/>
    <x v="1"/>
    <n v="213"/>
    <n v="304.59000000000003"/>
  </r>
  <r>
    <s v="AD01-9364"/>
    <x v="0"/>
    <s v="Aug"/>
    <x v="0"/>
    <x v="0"/>
    <s v="Order assembled"/>
    <x v="0"/>
    <x v="0"/>
    <x v="1"/>
    <n v="753"/>
    <n v="526.24"/>
  </r>
  <r>
    <s v="AD01-9361"/>
    <x v="0"/>
    <s v="Aug"/>
    <x v="0"/>
    <x v="0"/>
    <s v="Order assembled"/>
    <x v="0"/>
    <x v="0"/>
    <x v="1"/>
    <n v="806"/>
    <n v="526.24"/>
  </r>
  <r>
    <s v="AD01-9364"/>
    <x v="0"/>
    <s v="Aug"/>
    <x v="0"/>
    <x v="0"/>
    <s v="Order assembled"/>
    <x v="0"/>
    <x v="0"/>
    <x v="1"/>
    <n v="217"/>
    <n v="310.31"/>
  </r>
  <r>
    <s v="AD01-9361"/>
    <x v="0"/>
    <s v="Aug"/>
    <x v="0"/>
    <x v="0"/>
    <s v="Order assembled"/>
    <x v="0"/>
    <x v="0"/>
    <x v="1"/>
    <n v="259"/>
    <n v="370.37"/>
  </r>
  <r>
    <s v="AD01-9364"/>
    <x v="0"/>
    <s v="Aug"/>
    <x v="0"/>
    <x v="0"/>
    <s v="Order assembled"/>
    <x v="0"/>
    <x v="0"/>
    <x v="1"/>
    <n v="187"/>
    <n v="267.40999999999997"/>
  </r>
  <r>
    <s v="AD01-9361"/>
    <x v="0"/>
    <s v="Aug"/>
    <x v="0"/>
    <x v="0"/>
    <s v="Order assembled"/>
    <x v="0"/>
    <x v="0"/>
    <x v="0"/>
    <n v="287"/>
    <n v="410.40999999999997"/>
  </r>
  <r>
    <s v="AD01-9362"/>
    <x v="0"/>
    <s v="Aug"/>
    <x v="0"/>
    <x v="0"/>
    <s v="Order assembled"/>
    <x v="1"/>
    <x v="0"/>
    <x v="0"/>
    <n v="281"/>
    <n v="401.83"/>
  </r>
  <r>
    <s v="AD01-9362"/>
    <x v="0"/>
    <s v="Aug"/>
    <x v="0"/>
    <x v="0"/>
    <s v="Order assembled"/>
    <x v="1"/>
    <x v="0"/>
    <x v="0"/>
    <n v="275"/>
    <n v="393.25"/>
  </r>
  <r>
    <s v="AD01-9361"/>
    <x v="0"/>
    <s v="Aug"/>
    <x v="0"/>
    <x v="0"/>
    <s v="Order assembled"/>
    <x v="1"/>
    <x v="0"/>
    <x v="1"/>
    <n v="215"/>
    <n v="307.45"/>
  </r>
  <r>
    <s v="AD01-9363"/>
    <x v="0"/>
    <s v="Aug"/>
    <x v="0"/>
    <x v="0"/>
    <s v="Order assembled"/>
    <x v="1"/>
    <x v="0"/>
    <x v="1"/>
    <n v="263"/>
    <n v="376.09000000000003"/>
  </r>
  <r>
    <s v="AD01-9362"/>
    <x v="0"/>
    <s v="Aug"/>
    <x v="0"/>
    <x v="0"/>
    <s v="Order assembled"/>
    <x v="1"/>
    <x v="0"/>
    <x v="1"/>
    <n v="776"/>
    <n v="1109.68"/>
  </r>
  <r>
    <s v="AD01-9361"/>
    <x v="0"/>
    <s v="Dec"/>
    <x v="0"/>
    <x v="0"/>
    <s v="Order assembled"/>
    <x v="1"/>
    <x v="0"/>
    <x v="0"/>
    <n v="224"/>
    <n v="526.24"/>
  </r>
  <r>
    <s v="AD01-9361"/>
    <x v="0"/>
    <s v="Dec"/>
    <x v="0"/>
    <x v="0"/>
    <s v="Order assembled"/>
    <x v="1"/>
    <x v="0"/>
    <x v="0"/>
    <n v="218"/>
    <n v="526.24"/>
  </r>
  <r>
    <s v="AD01-9361"/>
    <x v="0"/>
    <s v="Dec"/>
    <x v="0"/>
    <x v="0"/>
    <s v="Order assembled"/>
    <x v="1"/>
    <x v="0"/>
    <x v="0"/>
    <n v="212"/>
    <n v="526.24"/>
  </r>
  <r>
    <s v="AD01-9361"/>
    <x v="0"/>
    <s v="Dec"/>
    <x v="0"/>
    <x v="0"/>
    <s v="Order assembled"/>
    <x v="1"/>
    <x v="0"/>
    <x v="1"/>
    <n v="194"/>
    <n v="277.42"/>
  </r>
  <r>
    <s v="AD01-9362"/>
    <x v="0"/>
    <s v="Dec"/>
    <x v="0"/>
    <x v="0"/>
    <s v="Order assembled"/>
    <x v="1"/>
    <x v="0"/>
    <x v="1"/>
    <n v="242"/>
    <n v="346.06"/>
  </r>
  <r>
    <s v="AD01-9362"/>
    <x v="0"/>
    <s v="Dec"/>
    <x v="0"/>
    <x v="0"/>
    <s v="Order assembled"/>
    <x v="1"/>
    <x v="0"/>
    <x v="1"/>
    <n v="164"/>
    <n v="234.51999999999998"/>
  </r>
  <r>
    <s v="AD01-9364"/>
    <x v="0"/>
    <s v="Dec"/>
    <x v="0"/>
    <x v="0"/>
    <s v="Order assembled"/>
    <x v="1"/>
    <x v="0"/>
    <x v="1"/>
    <n v="238"/>
    <n v="340.34000000000003"/>
  </r>
  <r>
    <s v="AD01-9361"/>
    <x v="0"/>
    <s v="Dec"/>
    <x v="0"/>
    <x v="0"/>
    <s v="Order assembled"/>
    <x v="1"/>
    <x v="0"/>
    <x v="1"/>
    <n v="166"/>
    <n v="237.38"/>
  </r>
  <r>
    <s v="AD01-9364"/>
    <x v="0"/>
    <s v="Dec"/>
    <x v="0"/>
    <x v="0"/>
    <s v="Order assembled"/>
    <x v="1"/>
    <x v="0"/>
    <x v="0"/>
    <n v="222"/>
    <n v="526.24"/>
  </r>
  <r>
    <s v="AD01-9361"/>
    <x v="0"/>
    <s v="Dec"/>
    <x v="0"/>
    <x v="0"/>
    <s v="Order assembled"/>
    <x v="1"/>
    <x v="0"/>
    <x v="0"/>
    <n v="216"/>
    <n v="526.24"/>
  </r>
  <r>
    <s v="AD01-9362"/>
    <x v="0"/>
    <s v="Dec"/>
    <x v="0"/>
    <x v="0"/>
    <s v="Order assembled"/>
    <x v="1"/>
    <x v="0"/>
    <x v="1"/>
    <n v="684"/>
    <n v="978.12"/>
  </r>
  <r>
    <s v="AD01-9363"/>
    <x v="0"/>
    <s v="Dec"/>
    <x v="0"/>
    <x v="0"/>
    <s v="Order assembled"/>
    <x v="1"/>
    <x v="0"/>
    <x v="1"/>
    <n v="717"/>
    <n v="1025.31"/>
  </r>
  <r>
    <s v="AD01-9362"/>
    <x v="0"/>
    <s v="Dec"/>
    <x v="0"/>
    <x v="0"/>
    <s v="Order assembled"/>
    <x v="1"/>
    <x v="0"/>
    <x v="1"/>
    <n v="770"/>
    <n v="1101.0999999999999"/>
  </r>
  <r>
    <s v="AD01-9362"/>
    <x v="0"/>
    <s v="Dec"/>
    <x v="0"/>
    <x v="0"/>
    <s v="Order assembled"/>
    <x v="1"/>
    <x v="0"/>
    <x v="0"/>
    <n v="225"/>
    <n v="321.75"/>
  </r>
  <r>
    <s v="AD01-9363"/>
    <x v="0"/>
    <s v="Dec"/>
    <x v="0"/>
    <x v="0"/>
    <s v="Order assembled"/>
    <x v="1"/>
    <x v="0"/>
    <x v="0"/>
    <n v="219"/>
    <n v="313.17"/>
  </r>
  <r>
    <s v="AD01-9364"/>
    <x v="0"/>
    <s v="Dec"/>
    <x v="0"/>
    <x v="0"/>
    <s v="Order assembled"/>
    <x v="1"/>
    <x v="0"/>
    <x v="0"/>
    <n v="213"/>
    <n v="304.59000000000003"/>
  </r>
  <r>
    <s v="AD01-9362"/>
    <x v="0"/>
    <s v="Dec"/>
    <x v="0"/>
    <x v="0"/>
    <s v="Order assembled"/>
    <x v="1"/>
    <x v="0"/>
    <x v="1"/>
    <n v="195"/>
    <n v="278.85000000000002"/>
  </r>
  <r>
    <s v="AD01-9362"/>
    <x v="0"/>
    <s v="Dec"/>
    <x v="0"/>
    <x v="0"/>
    <s v="Order assembled"/>
    <x v="1"/>
    <x v="0"/>
    <x v="1"/>
    <n v="810"/>
    <n v="526.24"/>
  </r>
  <r>
    <s v="AD01-9361"/>
    <x v="0"/>
    <s v="Dec"/>
    <x v="0"/>
    <x v="0"/>
    <s v="Order assembled"/>
    <x v="1"/>
    <x v="0"/>
    <x v="1"/>
    <n v="193"/>
    <n v="275.99"/>
  </r>
  <r>
    <s v="AD01-9364"/>
    <x v="0"/>
    <s v="Dec"/>
    <x v="0"/>
    <x v="0"/>
    <s v="Order assembled"/>
    <x v="1"/>
    <x v="0"/>
    <x v="1"/>
    <n v="241"/>
    <n v="344.63"/>
  </r>
  <r>
    <s v="AD01-9361"/>
    <x v="0"/>
    <s v="Dec"/>
    <x v="0"/>
    <x v="0"/>
    <s v="Order assembled"/>
    <x v="1"/>
    <x v="0"/>
    <x v="0"/>
    <n v="221"/>
    <n v="316.02999999999997"/>
  </r>
  <r>
    <s v="AD01-9362"/>
    <x v="0"/>
    <s v="Dec"/>
    <x v="0"/>
    <x v="0"/>
    <s v="Order assembled"/>
    <x v="1"/>
    <x v="0"/>
    <x v="0"/>
    <n v="215"/>
    <n v="307.45"/>
  </r>
  <r>
    <s v="AD01-9362"/>
    <x v="0"/>
    <s v="Dec"/>
    <x v="0"/>
    <x v="0"/>
    <s v="Order assembled"/>
    <x v="1"/>
    <x v="0"/>
    <x v="1"/>
    <n v="191"/>
    <n v="273.13"/>
  </r>
  <r>
    <s v="AD01-9361"/>
    <x v="0"/>
    <s v="Dec"/>
    <x v="0"/>
    <x v="0"/>
    <s v="Order assembled"/>
    <x v="1"/>
    <x v="0"/>
    <x v="1"/>
    <n v="239"/>
    <n v="341.77"/>
  </r>
  <r>
    <s v="AD01-9361"/>
    <x v="0"/>
    <s v="Dec"/>
    <x v="0"/>
    <x v="0"/>
    <s v="Order assembled"/>
    <x v="1"/>
    <x v="0"/>
    <x v="1"/>
    <n v="779"/>
    <n v="1113.97"/>
  </r>
  <r>
    <s v="AD01-9362"/>
    <x v="0"/>
    <s v="Feb"/>
    <x v="0"/>
    <x v="0"/>
    <s v="Order assembled"/>
    <x v="1"/>
    <x v="0"/>
    <x v="1"/>
    <n v="248"/>
    <n v="354.64"/>
  </r>
  <r>
    <s v="AD01-9364"/>
    <x v="0"/>
    <s v="Feb"/>
    <x v="0"/>
    <x v="0"/>
    <s v="Order assembled"/>
    <x v="1"/>
    <x v="0"/>
    <x v="1"/>
    <n v="218"/>
    <n v="311.74"/>
  </r>
  <r>
    <s v="AD01-9362"/>
    <x v="0"/>
    <s v="Feb"/>
    <x v="0"/>
    <x v="0"/>
    <s v="Order assembled"/>
    <x v="1"/>
    <x v="0"/>
    <x v="1"/>
    <n v="244"/>
    <n v="348.92"/>
  </r>
  <r>
    <s v="AD01-9364"/>
    <x v="0"/>
    <s v="Feb"/>
    <x v="0"/>
    <x v="0"/>
    <s v="Order assembled"/>
    <x v="1"/>
    <x v="0"/>
    <x v="1"/>
    <n v="292"/>
    <n v="417.56"/>
  </r>
  <r>
    <s v="AD01-9362"/>
    <x v="0"/>
    <s v="Feb"/>
    <x v="0"/>
    <x v="0"/>
    <s v="Order assembled"/>
    <x v="1"/>
    <x v="0"/>
    <x v="1"/>
    <n v="220"/>
    <n v="314.60000000000002"/>
  </r>
  <r>
    <s v="AD01-9364"/>
    <x v="0"/>
    <s v="Feb"/>
    <x v="0"/>
    <x v="0"/>
    <s v="Order assembled"/>
    <x v="1"/>
    <x v="0"/>
    <x v="1"/>
    <n v="675"/>
    <n v="965.25"/>
  </r>
  <r>
    <s v="AD01-9362"/>
    <x v="0"/>
    <s v="Feb"/>
    <x v="0"/>
    <x v="0"/>
    <s v="Order assembled"/>
    <x v="1"/>
    <x v="0"/>
    <x v="1"/>
    <n v="708"/>
    <n v="1012.44"/>
  </r>
  <r>
    <s v="AD01-9361"/>
    <x v="0"/>
    <s v="Feb"/>
    <x v="0"/>
    <x v="0"/>
    <s v="Order assembled"/>
    <x v="1"/>
    <x v="0"/>
    <x v="1"/>
    <n v="761"/>
    <n v="1088.23"/>
  </r>
  <r>
    <s v="AD01-9361"/>
    <x v="0"/>
    <s v="Feb"/>
    <x v="0"/>
    <x v="0"/>
    <s v="Order assembled"/>
    <x v="1"/>
    <x v="0"/>
    <x v="1"/>
    <n v="249"/>
    <n v="356.07"/>
  </r>
  <r>
    <s v="AD01-9362"/>
    <x v="0"/>
    <s v="Feb"/>
    <x v="0"/>
    <x v="0"/>
    <s v="Order assembled"/>
    <x v="1"/>
    <x v="0"/>
    <x v="1"/>
    <n v="748"/>
    <n v="526.24"/>
  </r>
  <r>
    <s v="AD01-9364"/>
    <x v="0"/>
    <s v="Feb"/>
    <x v="0"/>
    <x v="0"/>
    <s v="Order assembled"/>
    <x v="1"/>
    <x v="0"/>
    <x v="1"/>
    <n v="801"/>
    <n v="526.24"/>
  </r>
  <r>
    <s v="AD01-9362"/>
    <x v="0"/>
    <s v="Feb"/>
    <x v="0"/>
    <x v="0"/>
    <s v="Order assembled"/>
    <x v="1"/>
    <x v="0"/>
    <x v="1"/>
    <n v="247"/>
    <n v="353.21"/>
  </r>
  <r>
    <s v="AD01-9362"/>
    <x v="0"/>
    <s v="Feb"/>
    <x v="0"/>
    <x v="0"/>
    <s v="Order assembled"/>
    <x v="1"/>
    <x v="0"/>
    <x v="1"/>
    <n v="295"/>
    <n v="421.85"/>
  </r>
  <r>
    <s v="AD01-9362"/>
    <x v="0"/>
    <s v="Feb"/>
    <x v="0"/>
    <x v="0"/>
    <s v="Order assembled"/>
    <x v="1"/>
    <x v="0"/>
    <x v="1"/>
    <n v="217"/>
    <n v="310.31"/>
  </r>
  <r>
    <s v="AD01-9364"/>
    <x v="0"/>
    <s v="Feb"/>
    <x v="0"/>
    <x v="0"/>
    <s v="Order assembled"/>
    <x v="1"/>
    <x v="0"/>
    <x v="1"/>
    <n v="245"/>
    <n v="350.35"/>
  </r>
  <r>
    <s v="AD01-9361"/>
    <x v="0"/>
    <s v="Feb"/>
    <x v="0"/>
    <x v="0"/>
    <s v="Order assembled"/>
    <x v="1"/>
    <x v="0"/>
    <x v="1"/>
    <n v="293"/>
    <n v="418.99"/>
  </r>
  <r>
    <s v="AD01-9362"/>
    <x v="0"/>
    <s v="Feb"/>
    <x v="0"/>
    <x v="0"/>
    <s v="Order assembled"/>
    <x v="1"/>
    <x v="0"/>
    <x v="1"/>
    <n v="770"/>
    <n v="1101.0999999999999"/>
  </r>
  <r>
    <s v="AD01-9361"/>
    <x v="0"/>
    <s v="Jan"/>
    <x v="0"/>
    <x v="0"/>
    <s v="Order assembled"/>
    <x v="1"/>
    <x v="0"/>
    <x v="1"/>
    <n v="254"/>
    <n v="388.62"/>
  </r>
  <r>
    <s v="AD01-9361"/>
    <x v="0"/>
    <s v="Jan"/>
    <x v="0"/>
    <x v="0"/>
    <s v="Order assembled"/>
    <x v="1"/>
    <x v="0"/>
    <x v="1"/>
    <n v="296"/>
    <n v="423.28"/>
  </r>
  <r>
    <s v="AD01-9364"/>
    <x v="0"/>
    <s v="Jan"/>
    <x v="0"/>
    <x v="0"/>
    <s v="Order assembled"/>
    <x v="1"/>
    <x v="0"/>
    <x v="1"/>
    <n v="224"/>
    <n v="320.32"/>
  </r>
  <r>
    <s v="AD01-9362"/>
    <x v="0"/>
    <s v="Jan"/>
    <x v="0"/>
    <x v="0"/>
    <s v="Order assembled"/>
    <x v="1"/>
    <x v="0"/>
    <x v="0"/>
    <n v="370"/>
    <n v="529.1"/>
  </r>
  <r>
    <s v="AD01-9362"/>
    <x v="0"/>
    <s v="Jan"/>
    <x v="0"/>
    <x v="0"/>
    <s v="Order assembled"/>
    <x v="1"/>
    <x v="0"/>
    <x v="1"/>
    <n v="250"/>
    <n v="357.5"/>
  </r>
  <r>
    <s v="AD01-9362"/>
    <x v="0"/>
    <s v="Jan"/>
    <x v="0"/>
    <x v="0"/>
    <s v="Order assembled"/>
    <x v="1"/>
    <x v="0"/>
    <x v="1"/>
    <n v="298"/>
    <n v="426.14"/>
  </r>
  <r>
    <s v="AD01-9364"/>
    <x v="0"/>
    <s v="Jan"/>
    <x v="0"/>
    <x v="0"/>
    <s v="Order assembled"/>
    <x v="1"/>
    <x v="0"/>
    <x v="1"/>
    <n v="226"/>
    <n v="323.18"/>
  </r>
  <r>
    <s v="AD01-9364"/>
    <x v="0"/>
    <s v="Jan"/>
    <x v="0"/>
    <x v="0"/>
    <s v="Order assembled"/>
    <x v="1"/>
    <x v="0"/>
    <x v="0"/>
    <n v="372"/>
    <n v="526.24"/>
  </r>
  <r>
    <s v="AD01-9363"/>
    <x v="0"/>
    <s v="Jan"/>
    <x v="0"/>
    <x v="0"/>
    <s v="Order assembled"/>
    <x v="1"/>
    <x v="0"/>
    <x v="1"/>
    <n v="674"/>
    <n v="963.81999999999994"/>
  </r>
  <r>
    <s v="AD01-9364"/>
    <x v="0"/>
    <s v="Jan"/>
    <x v="0"/>
    <x v="0"/>
    <s v="Order assembled"/>
    <x v="1"/>
    <x v="0"/>
    <x v="1"/>
    <n v="707"/>
    <n v="1011.01"/>
  </r>
  <r>
    <s v="AD01-9361"/>
    <x v="0"/>
    <s v="Jan"/>
    <x v="0"/>
    <x v="0"/>
    <s v="Order assembled"/>
    <x v="1"/>
    <x v="0"/>
    <x v="1"/>
    <n v="747"/>
    <n v="526.24"/>
  </r>
  <r>
    <s v="AD01-9363"/>
    <x v="0"/>
    <s v="Jan"/>
    <x v="0"/>
    <x v="0"/>
    <s v="Order assembled"/>
    <x v="1"/>
    <x v="0"/>
    <x v="1"/>
    <n v="800"/>
    <n v="526.24"/>
  </r>
  <r>
    <s v="AD01-9364"/>
    <x v="0"/>
    <s v="Jan"/>
    <x v="0"/>
    <x v="0"/>
    <s v="Order assembled"/>
    <x v="1"/>
    <x v="0"/>
    <x v="1"/>
    <n v="253"/>
    <n v="361.78999999999996"/>
  </r>
  <r>
    <s v="AD01-9362"/>
    <x v="0"/>
    <s v="Jan"/>
    <x v="0"/>
    <x v="0"/>
    <s v="Order assembled"/>
    <x v="1"/>
    <x v="0"/>
    <x v="1"/>
    <n v="223"/>
    <n v="318.89"/>
  </r>
  <r>
    <s v="AD01-9361"/>
    <x v="0"/>
    <s v="Jan"/>
    <x v="0"/>
    <x v="0"/>
    <s v="Order assembled"/>
    <x v="1"/>
    <x v="0"/>
    <x v="0"/>
    <n v="873"/>
    <n v="1248.3899999999999"/>
  </r>
  <r>
    <s v="AD01-9364"/>
    <x v="0"/>
    <s v="Jan"/>
    <x v="0"/>
    <x v="0"/>
    <s v="Order assembled"/>
    <x v="1"/>
    <x v="0"/>
    <x v="1"/>
    <n v="251"/>
    <n v="358.93"/>
  </r>
  <r>
    <s v="AD01-9361"/>
    <x v="0"/>
    <s v="Jan"/>
    <x v="0"/>
    <x v="0"/>
    <s v="Order assembled"/>
    <x v="1"/>
    <x v="0"/>
    <x v="1"/>
    <n v="299"/>
    <n v="427.57"/>
  </r>
  <r>
    <s v="AD01-9361"/>
    <x v="0"/>
    <s v="Jan"/>
    <x v="0"/>
    <x v="0"/>
    <s v="Order assembled"/>
    <x v="1"/>
    <x v="0"/>
    <x v="1"/>
    <n v="769"/>
    <n v="1099.67"/>
  </r>
  <r>
    <s v="AD01-9361"/>
    <x v="0"/>
    <s v="Jul"/>
    <x v="0"/>
    <x v="0"/>
    <s v="Order assembled"/>
    <x v="1"/>
    <x v="0"/>
    <x v="0"/>
    <n v="302"/>
    <n v="431.86"/>
  </r>
  <r>
    <s v="AD01-9362"/>
    <x v="0"/>
    <s v="Jul"/>
    <x v="0"/>
    <x v="0"/>
    <s v="Order assembled"/>
    <x v="1"/>
    <x v="0"/>
    <x v="0"/>
    <n v="296"/>
    <n v="423.28"/>
  </r>
  <r>
    <s v="AD01-9362"/>
    <x v="0"/>
    <s v="Jul"/>
    <x v="0"/>
    <x v="0"/>
    <s v="Order assembled"/>
    <x v="1"/>
    <x v="0"/>
    <x v="1"/>
    <n v="218"/>
    <n v="311.74"/>
  </r>
  <r>
    <s v="AD01-9361"/>
    <x v="0"/>
    <s v="Jul"/>
    <x v="0"/>
    <x v="0"/>
    <s v="Order assembled"/>
    <x v="1"/>
    <x v="0"/>
    <x v="1"/>
    <n v="266"/>
    <n v="380.38"/>
  </r>
  <r>
    <s v="AD01-9362"/>
    <x v="0"/>
    <s v="Jul"/>
    <x v="0"/>
    <x v="0"/>
    <s v="Order assembled"/>
    <x v="1"/>
    <x v="0"/>
    <x v="1"/>
    <n v="194"/>
    <n v="277.42"/>
  </r>
  <r>
    <s v="AD01-9361"/>
    <x v="0"/>
    <s v="Jul"/>
    <x v="0"/>
    <x v="0"/>
    <s v="Order assembled"/>
    <x v="1"/>
    <x v="0"/>
    <x v="1"/>
    <n v="220"/>
    <n v="314.60000000000002"/>
  </r>
  <r>
    <s v="AD01-9361"/>
    <x v="0"/>
    <s v="Jul"/>
    <x v="0"/>
    <x v="0"/>
    <s v="Order assembled"/>
    <x v="1"/>
    <x v="0"/>
    <x v="1"/>
    <n v="268"/>
    <n v="383.24"/>
  </r>
  <r>
    <s v="AD01-9362"/>
    <x v="0"/>
    <s v="Jul"/>
    <x v="0"/>
    <x v="0"/>
    <s v="Order assembled"/>
    <x v="1"/>
    <x v="0"/>
    <x v="1"/>
    <n v="306"/>
    <n v="526.24"/>
  </r>
  <r>
    <s v="AD01-9364"/>
    <x v="0"/>
    <s v="Jul"/>
    <x v="0"/>
    <x v="0"/>
    <s v="Order assembled"/>
    <x v="1"/>
    <x v="0"/>
    <x v="1"/>
    <n v="300"/>
    <n v="526.24"/>
  </r>
  <r>
    <s v="AD01-9362"/>
    <x v="0"/>
    <s v="Jul"/>
    <x v="0"/>
    <x v="0"/>
    <s v="Order assembled"/>
    <x v="1"/>
    <x v="0"/>
    <x v="1"/>
    <n v="294"/>
    <n v="526.24"/>
  </r>
  <r>
    <s v="AD01-9362"/>
    <x v="0"/>
    <s v="Jul"/>
    <x v="0"/>
    <x v="0"/>
    <s v="Order assembled"/>
    <x v="1"/>
    <x v="0"/>
    <x v="1"/>
    <n v="679"/>
    <n v="970.97"/>
  </r>
  <r>
    <s v="AD01-9362"/>
    <x v="0"/>
    <s v="Jul"/>
    <x v="0"/>
    <x v="0"/>
    <s v="Order assembled"/>
    <x v="1"/>
    <x v="0"/>
    <x v="1"/>
    <n v="713"/>
    <n v="1019.5899999999999"/>
  </r>
  <r>
    <s v="AD01-9364"/>
    <x v="0"/>
    <s v="Jul"/>
    <x v="0"/>
    <x v="0"/>
    <s v="Order assembled"/>
    <x v="1"/>
    <x v="0"/>
    <x v="1"/>
    <n v="766"/>
    <n v="1095.3800000000001"/>
  </r>
  <r>
    <s v="AD01-9361"/>
    <x v="0"/>
    <s v="Jul"/>
    <x v="0"/>
    <x v="0"/>
    <s v="Order assembled"/>
    <x v="1"/>
    <x v="0"/>
    <x v="1"/>
    <n v="303"/>
    <n v="433.28999999999996"/>
  </r>
  <r>
    <s v="AD01-9361"/>
    <x v="0"/>
    <s v="Jul"/>
    <x v="0"/>
    <x v="0"/>
    <s v="Order assembled"/>
    <x v="1"/>
    <x v="0"/>
    <x v="1"/>
    <n v="297"/>
    <n v="424.71"/>
  </r>
  <r>
    <s v="AD01-9362"/>
    <x v="0"/>
    <s v="Jul"/>
    <x v="0"/>
    <x v="0"/>
    <s v="Order assembled"/>
    <x v="1"/>
    <x v="0"/>
    <x v="1"/>
    <n v="291"/>
    <n v="416.13"/>
  </r>
  <r>
    <s v="AD01-9364"/>
    <x v="0"/>
    <s v="Jul"/>
    <x v="0"/>
    <x v="0"/>
    <s v="Order assembled"/>
    <x v="1"/>
    <x v="0"/>
    <x v="1"/>
    <n v="219"/>
    <n v="313.17"/>
  </r>
  <r>
    <s v="AD01-9364"/>
    <x v="0"/>
    <s v="Jul"/>
    <x v="0"/>
    <x v="0"/>
    <s v="Order assembled"/>
    <x v="1"/>
    <x v="0"/>
    <x v="1"/>
    <n v="752"/>
    <n v="526.24"/>
  </r>
  <r>
    <s v="AD01-9362"/>
    <x v="0"/>
    <s v="Jul"/>
    <x v="0"/>
    <x v="0"/>
    <s v="Order assembled"/>
    <x v="1"/>
    <x v="0"/>
    <x v="1"/>
    <n v="805"/>
    <n v="526.24"/>
  </r>
  <r>
    <s v="AD01-9362"/>
    <x v="0"/>
    <s v="Jul"/>
    <x v="0"/>
    <x v="0"/>
    <s v="Order assembled"/>
    <x v="1"/>
    <x v="0"/>
    <x v="1"/>
    <n v="265"/>
    <n v="378.95"/>
  </r>
  <r>
    <s v="AD01-9361"/>
    <x v="0"/>
    <s v="Jul"/>
    <x v="0"/>
    <x v="0"/>
    <s v="Order assembled"/>
    <x v="1"/>
    <x v="0"/>
    <x v="1"/>
    <n v="193"/>
    <n v="275.99"/>
  </r>
  <r>
    <s v="AD01-9364"/>
    <x v="0"/>
    <s v="Jul"/>
    <x v="0"/>
    <x v="0"/>
    <s v="Order assembled"/>
    <x v="1"/>
    <x v="0"/>
    <x v="0"/>
    <n v="884"/>
    <n v="1264.1199999999999"/>
  </r>
  <r>
    <s v="AD01-9362"/>
    <x v="0"/>
    <s v="Jul"/>
    <x v="0"/>
    <x v="0"/>
    <s v="Order assembled"/>
    <x v="1"/>
    <x v="0"/>
    <x v="0"/>
    <n v="885"/>
    <n v="1265.55"/>
  </r>
  <r>
    <s v="AD01-9362"/>
    <x v="0"/>
    <s v="Jul"/>
    <x v="0"/>
    <x v="0"/>
    <s v="Order assembled"/>
    <x v="1"/>
    <x v="0"/>
    <x v="0"/>
    <n v="886"/>
    <n v="1266.98"/>
  </r>
  <r>
    <s v="AD01-9362"/>
    <x v="0"/>
    <s v="Jul"/>
    <x v="0"/>
    <x v="0"/>
    <s v="Order assembled"/>
    <x v="1"/>
    <x v="0"/>
    <x v="1"/>
    <n v="221"/>
    <n v="316.02999999999997"/>
  </r>
  <r>
    <s v="AD01-9362"/>
    <x v="0"/>
    <s v="Jul"/>
    <x v="0"/>
    <x v="0"/>
    <s v="Order assembled"/>
    <x v="1"/>
    <x v="0"/>
    <x v="1"/>
    <n v="269"/>
    <n v="384.67"/>
  </r>
  <r>
    <s v="AD01-9362"/>
    <x v="0"/>
    <s v="Jul"/>
    <x v="0"/>
    <x v="0"/>
    <s v="Order assembled"/>
    <x v="1"/>
    <x v="0"/>
    <x v="1"/>
    <n v="775"/>
    <n v="1108.25"/>
  </r>
  <r>
    <s v="AD01-9361"/>
    <x v="0"/>
    <s v="Jun"/>
    <x v="0"/>
    <x v="0"/>
    <s v="Order assembled"/>
    <x v="1"/>
    <x v="0"/>
    <x v="0"/>
    <n v="320"/>
    <n v="457.6"/>
  </r>
  <r>
    <s v="AD01-9362"/>
    <x v="0"/>
    <s v="Jun"/>
    <x v="0"/>
    <x v="0"/>
    <s v="Order assembled"/>
    <x v="1"/>
    <x v="0"/>
    <x v="0"/>
    <n v="314"/>
    <n v="449.02"/>
  </r>
  <r>
    <s v="AD01-9361"/>
    <x v="0"/>
    <s v="Jun"/>
    <x v="0"/>
    <x v="0"/>
    <s v="Order assembled"/>
    <x v="1"/>
    <x v="0"/>
    <x v="0"/>
    <n v="308"/>
    <n v="440.44"/>
  </r>
  <r>
    <s v="AD01-9362"/>
    <x v="0"/>
    <s v="Jun"/>
    <x v="0"/>
    <x v="0"/>
    <s v="Order assembled"/>
    <x v="1"/>
    <x v="0"/>
    <x v="1"/>
    <n v="224"/>
    <n v="320.32"/>
  </r>
  <r>
    <s v="AD01-9361"/>
    <x v="0"/>
    <s v="Jun"/>
    <x v="0"/>
    <x v="0"/>
    <s v="Order assembled"/>
    <x v="1"/>
    <x v="0"/>
    <x v="1"/>
    <n v="272"/>
    <n v="388.96"/>
  </r>
  <r>
    <s v="AD01-9364"/>
    <x v="0"/>
    <s v="Jun"/>
    <x v="0"/>
    <x v="0"/>
    <s v="Order assembled"/>
    <x v="1"/>
    <x v="0"/>
    <x v="1"/>
    <n v="200"/>
    <n v="286"/>
  </r>
  <r>
    <s v="AD01-9362"/>
    <x v="0"/>
    <s v="Jun"/>
    <x v="0"/>
    <x v="0"/>
    <s v="Order assembled"/>
    <x v="1"/>
    <x v="0"/>
    <x v="1"/>
    <n v="226"/>
    <n v="323.18"/>
  </r>
  <r>
    <s v="AD01-9362"/>
    <x v="0"/>
    <s v="Jun"/>
    <x v="0"/>
    <x v="0"/>
    <s v="Order assembled"/>
    <x v="1"/>
    <x v="0"/>
    <x v="1"/>
    <n v="274"/>
    <n v="391.82"/>
  </r>
  <r>
    <s v="AD01-9362"/>
    <x v="0"/>
    <s v="Jun"/>
    <x v="0"/>
    <x v="0"/>
    <s v="Order assembled"/>
    <x v="1"/>
    <x v="0"/>
    <x v="1"/>
    <n v="196"/>
    <n v="280.27999999999997"/>
  </r>
  <r>
    <s v="AD01-9361"/>
    <x v="0"/>
    <s v="Jun"/>
    <x v="0"/>
    <x v="0"/>
    <s v="Order assembled"/>
    <x v="1"/>
    <x v="0"/>
    <x v="1"/>
    <n v="318"/>
    <n v="526.24"/>
  </r>
  <r>
    <s v="AD01-9365"/>
    <x v="0"/>
    <s v="Jun"/>
    <x v="0"/>
    <x v="0"/>
    <s v="Order assembled"/>
    <x v="1"/>
    <x v="0"/>
    <x v="1"/>
    <n v="312"/>
    <n v="526.24"/>
  </r>
  <r>
    <s v="AD01-9364"/>
    <x v="0"/>
    <s v="Jun"/>
    <x v="0"/>
    <x v="0"/>
    <s v="Order assembled"/>
    <x v="1"/>
    <x v="0"/>
    <x v="1"/>
    <n v="712"/>
    <n v="1018.16"/>
  </r>
  <r>
    <s v="AD01-9361"/>
    <x v="0"/>
    <s v="Jun"/>
    <x v="0"/>
    <x v="0"/>
    <s v="Order assembled"/>
    <x v="1"/>
    <x v="0"/>
    <x v="1"/>
    <n v="765"/>
    <n v="1093.95"/>
  </r>
  <r>
    <s v="AD01-9362"/>
    <x v="0"/>
    <s v="Jun"/>
    <x v="0"/>
    <x v="0"/>
    <s v="Order assembled"/>
    <x v="1"/>
    <x v="0"/>
    <x v="0"/>
    <n v="321"/>
    <n v="459.03"/>
  </r>
  <r>
    <s v="AD01-9361"/>
    <x v="0"/>
    <s v="Jun"/>
    <x v="0"/>
    <x v="0"/>
    <s v="Order assembled"/>
    <x v="1"/>
    <x v="0"/>
    <x v="1"/>
    <n v="315"/>
    <n v="450.45"/>
  </r>
  <r>
    <s v="AD01-9364"/>
    <x v="0"/>
    <s v="Jun"/>
    <x v="0"/>
    <x v="0"/>
    <s v="Order assembled"/>
    <x v="1"/>
    <x v="0"/>
    <x v="1"/>
    <n v="309"/>
    <n v="441.87"/>
  </r>
  <r>
    <s v="AD01-9361"/>
    <x v="0"/>
    <s v="Jun"/>
    <x v="0"/>
    <x v="0"/>
    <s v="Order assembled"/>
    <x v="1"/>
    <x v="0"/>
    <x v="1"/>
    <n v="225"/>
    <n v="321.75"/>
  </r>
  <r>
    <s v="AD01-9361"/>
    <x v="0"/>
    <s v="Jun"/>
    <x v="0"/>
    <x v="0"/>
    <s v="Order assembled"/>
    <x v="1"/>
    <x v="0"/>
    <x v="1"/>
    <n v="751"/>
    <n v="526.24"/>
  </r>
  <r>
    <s v="AD01-9362"/>
    <x v="0"/>
    <s v="Jun"/>
    <x v="0"/>
    <x v="0"/>
    <s v="Order assembled"/>
    <x v="1"/>
    <x v="0"/>
    <x v="1"/>
    <n v="223"/>
    <n v="318.89"/>
  </r>
  <r>
    <s v="AD01-9365"/>
    <x v="0"/>
    <s v="Jun"/>
    <x v="0"/>
    <x v="0"/>
    <s v="Order assembled"/>
    <x v="1"/>
    <x v="0"/>
    <x v="1"/>
    <n v="271"/>
    <n v="387.53"/>
  </r>
  <r>
    <s v="AD01-9362"/>
    <x v="0"/>
    <s v="Jun"/>
    <x v="0"/>
    <x v="0"/>
    <s v="Order assembled"/>
    <x v="1"/>
    <x v="0"/>
    <x v="1"/>
    <n v="199"/>
    <n v="284.57"/>
  </r>
  <r>
    <s v="AD01-9364"/>
    <x v="0"/>
    <s v="Jun"/>
    <x v="0"/>
    <x v="0"/>
    <s v="Order assembled"/>
    <x v="1"/>
    <x v="0"/>
    <x v="0"/>
    <n v="882"/>
    <n v="1261.26"/>
  </r>
  <r>
    <s v="AD01-9361"/>
    <x v="0"/>
    <s v="Jun"/>
    <x v="0"/>
    <x v="0"/>
    <s v="Order assembled"/>
    <x v="1"/>
    <x v="0"/>
    <x v="0"/>
    <n v="883"/>
    <n v="1262.69"/>
  </r>
  <r>
    <s v="AD01-9364"/>
    <x v="0"/>
    <s v="Jun"/>
    <x v="0"/>
    <x v="0"/>
    <s v="Order assembled"/>
    <x v="1"/>
    <x v="0"/>
    <x v="1"/>
    <n v="227"/>
    <n v="324.61"/>
  </r>
  <r>
    <s v="AD01-9362"/>
    <x v="0"/>
    <s v="Jun"/>
    <x v="0"/>
    <x v="0"/>
    <s v="Order assembled"/>
    <x v="1"/>
    <x v="0"/>
    <x v="1"/>
    <n v="774"/>
    <n v="1106.82"/>
  </r>
  <r>
    <s v="AD01-9364"/>
    <x v="0"/>
    <s v="Mar"/>
    <x v="0"/>
    <x v="0"/>
    <s v="Order assembled"/>
    <x v="1"/>
    <x v="0"/>
    <x v="1"/>
    <n v="368"/>
    <n v="526.24"/>
  </r>
  <r>
    <s v="AD01-9364"/>
    <x v="0"/>
    <s v="Mar"/>
    <x v="0"/>
    <x v="0"/>
    <s v="Order assembled"/>
    <x v="1"/>
    <x v="0"/>
    <x v="0"/>
    <n v="362"/>
    <n v="517.66"/>
  </r>
  <r>
    <s v="AD01-9364"/>
    <x v="0"/>
    <s v="Mar"/>
    <x v="0"/>
    <x v="0"/>
    <s v="Order assembled"/>
    <x v="1"/>
    <x v="0"/>
    <x v="0"/>
    <n v="356"/>
    <n v="509.08"/>
  </r>
  <r>
    <s v="AD01-9363"/>
    <x v="0"/>
    <s v="Mar"/>
    <x v="0"/>
    <x v="0"/>
    <s v="Order assembled"/>
    <x v="1"/>
    <x v="0"/>
    <x v="1"/>
    <n v="242"/>
    <n v="346.06"/>
  </r>
  <r>
    <s v="AD01-9361"/>
    <x v="0"/>
    <s v="Mar"/>
    <x v="0"/>
    <x v="0"/>
    <s v="Order assembled"/>
    <x v="1"/>
    <x v="0"/>
    <x v="1"/>
    <n v="290"/>
    <n v="414.7"/>
  </r>
  <r>
    <s v="AD01-9362"/>
    <x v="0"/>
    <s v="Mar"/>
    <x v="0"/>
    <x v="0"/>
    <s v="Order assembled"/>
    <x v="1"/>
    <x v="0"/>
    <x v="1"/>
    <n v="212"/>
    <n v="303.15999999999997"/>
  </r>
  <r>
    <s v="AD01-9365"/>
    <x v="0"/>
    <s v="Mar"/>
    <x v="0"/>
    <x v="0"/>
    <s v="Order assembled"/>
    <x v="1"/>
    <x v="0"/>
    <x v="1"/>
    <n v="286"/>
    <n v="408.98"/>
  </r>
  <r>
    <s v="AD01-9363"/>
    <x v="0"/>
    <s v="Mar"/>
    <x v="0"/>
    <x v="0"/>
    <s v="Order assembled"/>
    <x v="1"/>
    <x v="0"/>
    <x v="1"/>
    <n v="214"/>
    <n v="306.02"/>
  </r>
  <r>
    <s v="AD01-9362"/>
    <x v="0"/>
    <s v="Mar"/>
    <x v="0"/>
    <x v="0"/>
    <s v="Order assembled"/>
    <x v="1"/>
    <x v="0"/>
    <x v="1"/>
    <n v="366"/>
    <n v="526.24"/>
  </r>
  <r>
    <s v="AD01-9362"/>
    <x v="0"/>
    <s v="Mar"/>
    <x v="0"/>
    <x v="0"/>
    <s v="Order assembled"/>
    <x v="1"/>
    <x v="0"/>
    <x v="0"/>
    <n v="360"/>
    <n v="526.24"/>
  </r>
  <r>
    <s v="AD01-9364"/>
    <x v="0"/>
    <s v="Mar"/>
    <x v="0"/>
    <x v="0"/>
    <s v="Order assembled"/>
    <x v="1"/>
    <x v="0"/>
    <x v="1"/>
    <n v="676"/>
    <n v="966.68000000000006"/>
  </r>
  <r>
    <s v="AD01-9364"/>
    <x v="0"/>
    <s v="Mar"/>
    <x v="0"/>
    <x v="0"/>
    <s v="Order assembled"/>
    <x v="1"/>
    <x v="0"/>
    <x v="1"/>
    <n v="709"/>
    <n v="1013.87"/>
  </r>
  <r>
    <s v="AD01-9361"/>
    <x v="0"/>
    <s v="Mar"/>
    <x v="0"/>
    <x v="0"/>
    <s v="Order assembled"/>
    <x v="1"/>
    <x v="0"/>
    <x v="1"/>
    <n v="762"/>
    <n v="1089.6599999999999"/>
  </r>
  <r>
    <s v="AD01-9361"/>
    <x v="0"/>
    <s v="Mar"/>
    <x v="0"/>
    <x v="0"/>
    <s v="Order assembled"/>
    <x v="1"/>
    <x v="0"/>
    <x v="1"/>
    <n v="369"/>
    <n v="527.66999999999996"/>
  </r>
  <r>
    <s v="AD01-9364"/>
    <x v="0"/>
    <s v="Mar"/>
    <x v="0"/>
    <x v="0"/>
    <s v="Order assembled"/>
    <x v="1"/>
    <x v="0"/>
    <x v="1"/>
    <n v="363"/>
    <n v="519.09"/>
  </r>
  <r>
    <s v="AD01-9365"/>
    <x v="0"/>
    <s v="Mar"/>
    <x v="0"/>
    <x v="0"/>
    <s v="Order assembled"/>
    <x v="1"/>
    <x v="0"/>
    <x v="0"/>
    <n v="357"/>
    <n v="510.51"/>
  </r>
  <r>
    <s v="AD01-9361"/>
    <x v="0"/>
    <s v="Mar"/>
    <x v="0"/>
    <x v="0"/>
    <s v="Order assembled"/>
    <x v="1"/>
    <x v="0"/>
    <x v="1"/>
    <n v="243"/>
    <n v="347.49"/>
  </r>
  <r>
    <s v="AD01-9364"/>
    <x v="0"/>
    <s v="Mar"/>
    <x v="0"/>
    <x v="0"/>
    <s v="Order assembled"/>
    <x v="1"/>
    <x v="0"/>
    <x v="1"/>
    <n v="802"/>
    <n v="526.24"/>
  </r>
  <r>
    <s v="AD01-9363"/>
    <x v="0"/>
    <s v="Mar"/>
    <x v="0"/>
    <x v="0"/>
    <s v="Order assembled"/>
    <x v="1"/>
    <x v="0"/>
    <x v="1"/>
    <n v="241"/>
    <n v="344.63"/>
  </r>
  <r>
    <s v="AD01-9362"/>
    <x v="0"/>
    <s v="Mar"/>
    <x v="0"/>
    <x v="0"/>
    <s v="Order assembled"/>
    <x v="1"/>
    <x v="0"/>
    <x v="1"/>
    <n v="289"/>
    <n v="413.27"/>
  </r>
  <r>
    <s v="AD01-9364"/>
    <x v="0"/>
    <s v="Mar"/>
    <x v="0"/>
    <x v="0"/>
    <s v="Order assembled"/>
    <x v="1"/>
    <x v="0"/>
    <x v="1"/>
    <n v="874"/>
    <n v="1249.82"/>
  </r>
  <r>
    <s v="AD01-9361"/>
    <x v="0"/>
    <s v="Mar"/>
    <x v="0"/>
    <x v="0"/>
    <s v="Order assembled"/>
    <x v="1"/>
    <x v="0"/>
    <x v="0"/>
    <n v="875"/>
    <n v="1251.25"/>
  </r>
  <r>
    <s v="AD01-9362"/>
    <x v="0"/>
    <s v="Mar"/>
    <x v="0"/>
    <x v="0"/>
    <s v="Order assembled"/>
    <x v="1"/>
    <x v="0"/>
    <x v="1"/>
    <n v="239"/>
    <n v="341.77"/>
  </r>
  <r>
    <s v="AD01-9362"/>
    <x v="0"/>
    <s v="Mar"/>
    <x v="0"/>
    <x v="0"/>
    <s v="Order assembled"/>
    <x v="1"/>
    <x v="0"/>
    <x v="1"/>
    <n v="287"/>
    <n v="410.40999999999997"/>
  </r>
  <r>
    <s v="AD01-9363"/>
    <x v="0"/>
    <s v="Mar"/>
    <x v="0"/>
    <x v="0"/>
    <s v="Order assembled"/>
    <x v="1"/>
    <x v="0"/>
    <x v="1"/>
    <n v="771"/>
    <n v="1102.53"/>
  </r>
  <r>
    <s v="AD01-9361"/>
    <x v="0"/>
    <s v="May"/>
    <x v="0"/>
    <x v="0"/>
    <s v="Order assembled"/>
    <x v="1"/>
    <x v="0"/>
    <x v="0"/>
    <n v="338"/>
    <n v="483.34000000000003"/>
  </r>
  <r>
    <s v="AD01-9361"/>
    <x v="0"/>
    <s v="May"/>
    <x v="0"/>
    <x v="0"/>
    <s v="Order assembled"/>
    <x v="1"/>
    <x v="0"/>
    <x v="0"/>
    <n v="332"/>
    <n v="474.76"/>
  </r>
  <r>
    <s v="AD01-9362"/>
    <x v="0"/>
    <s v="May"/>
    <x v="0"/>
    <x v="0"/>
    <s v="Order assembled"/>
    <x v="1"/>
    <x v="0"/>
    <x v="0"/>
    <n v="326"/>
    <n v="466.18"/>
  </r>
  <r>
    <s v="AD01-9362"/>
    <x v="0"/>
    <s v="May"/>
    <x v="0"/>
    <x v="0"/>
    <s v="Order assembled"/>
    <x v="1"/>
    <x v="0"/>
    <x v="1"/>
    <n v="230"/>
    <n v="328.9"/>
  </r>
  <r>
    <s v="AD01-9364"/>
    <x v="0"/>
    <s v="May"/>
    <x v="0"/>
    <x v="0"/>
    <s v="Order assembled"/>
    <x v="1"/>
    <x v="0"/>
    <x v="1"/>
    <n v="278"/>
    <n v="397.53999999999996"/>
  </r>
  <r>
    <s v="AD01-9362"/>
    <x v="0"/>
    <s v="May"/>
    <x v="0"/>
    <x v="0"/>
    <s v="Order assembled"/>
    <x v="1"/>
    <x v="0"/>
    <x v="1"/>
    <n v="206"/>
    <n v="294.58"/>
  </r>
  <r>
    <s v="AD01-9361"/>
    <x v="0"/>
    <s v="May"/>
    <x v="0"/>
    <x v="0"/>
    <s v="Order assembled"/>
    <x v="1"/>
    <x v="0"/>
    <x v="1"/>
    <n v="232"/>
    <n v="331.76"/>
  </r>
  <r>
    <s v="AD01-9361"/>
    <x v="0"/>
    <s v="May"/>
    <x v="0"/>
    <x v="0"/>
    <s v="Order assembled"/>
    <x v="1"/>
    <x v="0"/>
    <x v="1"/>
    <n v="202"/>
    <n v="288.86"/>
  </r>
  <r>
    <s v="AD01-9364"/>
    <x v="0"/>
    <s v="May"/>
    <x v="0"/>
    <x v="0"/>
    <s v="Order assembled"/>
    <x v="1"/>
    <x v="0"/>
    <x v="0"/>
    <n v="336"/>
    <n v="526.24"/>
  </r>
  <r>
    <s v="AD01-9362"/>
    <x v="0"/>
    <s v="May"/>
    <x v="0"/>
    <x v="0"/>
    <s v="Order assembled"/>
    <x v="1"/>
    <x v="0"/>
    <x v="0"/>
    <n v="330"/>
    <n v="526.24"/>
  </r>
  <r>
    <s v="AD01-9361"/>
    <x v="0"/>
    <s v="May"/>
    <x v="0"/>
    <x v="0"/>
    <s v="Order assembled"/>
    <x v="1"/>
    <x v="0"/>
    <x v="0"/>
    <n v="324"/>
    <n v="526.24"/>
  </r>
  <r>
    <s v="AD01-9362"/>
    <x v="0"/>
    <s v="May"/>
    <x v="0"/>
    <x v="0"/>
    <s v="Order assembled"/>
    <x v="1"/>
    <x v="0"/>
    <x v="1"/>
    <n v="678"/>
    <n v="969.54"/>
  </r>
  <r>
    <s v="AD01-9364"/>
    <x v="0"/>
    <s v="May"/>
    <x v="0"/>
    <x v="0"/>
    <s v="Order assembled"/>
    <x v="1"/>
    <x v="0"/>
    <x v="1"/>
    <n v="711"/>
    <n v="1016.73"/>
  </r>
  <r>
    <s v="AD01-9362"/>
    <x v="0"/>
    <s v="May"/>
    <x v="0"/>
    <x v="0"/>
    <s v="Order assembled"/>
    <x v="1"/>
    <x v="0"/>
    <x v="1"/>
    <n v="764"/>
    <n v="1092.52"/>
  </r>
  <r>
    <s v="AD01-9364"/>
    <x v="0"/>
    <s v="May"/>
    <x v="0"/>
    <x v="0"/>
    <s v="Order assembled"/>
    <x v="1"/>
    <x v="0"/>
    <x v="0"/>
    <n v="333"/>
    <n v="476.19"/>
  </r>
  <r>
    <s v="AD01-9364"/>
    <x v="0"/>
    <s v="May"/>
    <x v="0"/>
    <x v="0"/>
    <s v="Order assembled"/>
    <x v="1"/>
    <x v="0"/>
    <x v="0"/>
    <n v="327"/>
    <n v="467.61"/>
  </r>
  <r>
    <s v="AD01-9362"/>
    <x v="0"/>
    <s v="May"/>
    <x v="0"/>
    <x v="0"/>
    <s v="Order assembled"/>
    <x v="1"/>
    <x v="0"/>
    <x v="1"/>
    <n v="231"/>
    <n v="330.33"/>
  </r>
  <r>
    <s v="AD01-9364"/>
    <x v="0"/>
    <s v="May"/>
    <x v="0"/>
    <x v="0"/>
    <s v="Order assembled"/>
    <x v="1"/>
    <x v="0"/>
    <x v="1"/>
    <n v="750"/>
    <n v="526.24"/>
  </r>
  <r>
    <s v="AD01-9362"/>
    <x v="0"/>
    <s v="May"/>
    <x v="0"/>
    <x v="0"/>
    <s v="Order assembled"/>
    <x v="1"/>
    <x v="0"/>
    <x v="1"/>
    <n v="804"/>
    <n v="526.24"/>
  </r>
  <r>
    <s v="AD01-9361"/>
    <x v="0"/>
    <s v="May"/>
    <x v="0"/>
    <x v="0"/>
    <s v="Order assembled"/>
    <x v="1"/>
    <x v="0"/>
    <x v="1"/>
    <n v="229"/>
    <n v="327.47000000000003"/>
  </r>
  <r>
    <s v="AD01-9362"/>
    <x v="0"/>
    <s v="May"/>
    <x v="0"/>
    <x v="0"/>
    <s v="Order assembled"/>
    <x v="1"/>
    <x v="0"/>
    <x v="1"/>
    <n v="277"/>
    <n v="396.11"/>
  </r>
  <r>
    <s v="AD01-9361"/>
    <x v="0"/>
    <s v="May"/>
    <x v="0"/>
    <x v="0"/>
    <s v="Order assembled"/>
    <x v="0"/>
    <x v="0"/>
    <x v="1"/>
    <n v="205"/>
    <n v="293.14999999999998"/>
  </r>
  <r>
    <s v="AD01-9361"/>
    <x v="0"/>
    <s v="May"/>
    <x v="0"/>
    <x v="0"/>
    <s v="Order assembled"/>
    <x v="0"/>
    <x v="0"/>
    <x v="0"/>
    <n v="879"/>
    <n v="1256.97"/>
  </r>
  <r>
    <s v="AD01-9365"/>
    <x v="0"/>
    <s v="May"/>
    <x v="0"/>
    <x v="0"/>
    <s v="Order assembled"/>
    <x v="0"/>
    <x v="0"/>
    <x v="0"/>
    <n v="880"/>
    <n v="1258.4000000000001"/>
  </r>
  <r>
    <s v="AD01-9362"/>
    <x v="0"/>
    <s v="May"/>
    <x v="0"/>
    <x v="0"/>
    <s v="Order assembled"/>
    <x v="0"/>
    <x v="0"/>
    <x v="0"/>
    <n v="881"/>
    <n v="1259.83"/>
  </r>
  <r>
    <s v="AD01-9362"/>
    <x v="0"/>
    <s v="May"/>
    <x v="0"/>
    <x v="0"/>
    <s v="Order assembled"/>
    <x v="0"/>
    <x v="0"/>
    <x v="1"/>
    <n v="233"/>
    <n v="333.19"/>
  </r>
  <r>
    <s v="AD01-9361"/>
    <x v="0"/>
    <s v="May"/>
    <x v="0"/>
    <x v="0"/>
    <s v="Order assembled"/>
    <x v="0"/>
    <x v="0"/>
    <x v="1"/>
    <n v="275"/>
    <n v="393.25"/>
  </r>
  <r>
    <s v="AD01-9362"/>
    <x v="0"/>
    <s v="May"/>
    <x v="0"/>
    <x v="0"/>
    <s v="Order assembled"/>
    <x v="0"/>
    <x v="0"/>
    <x v="1"/>
    <n v="773"/>
    <n v="1105.3899999999999"/>
  </r>
  <r>
    <s v="AD01-9363"/>
    <x v="0"/>
    <s v="Nov"/>
    <x v="0"/>
    <x v="0"/>
    <s v="Order assembled"/>
    <x v="0"/>
    <x v="0"/>
    <x v="0"/>
    <n v="242"/>
    <n v="526.24"/>
  </r>
  <r>
    <s v="AD01-9362"/>
    <x v="0"/>
    <s v="Nov"/>
    <x v="0"/>
    <x v="0"/>
    <s v="Order assembled"/>
    <x v="0"/>
    <x v="0"/>
    <x v="0"/>
    <n v="236"/>
    <n v="526.24"/>
  </r>
  <r>
    <s v="AD01-9364"/>
    <x v="0"/>
    <s v="Nov"/>
    <x v="0"/>
    <x v="0"/>
    <s v="Order assembled"/>
    <x v="0"/>
    <x v="0"/>
    <x v="0"/>
    <n v="230"/>
    <n v="526.24"/>
  </r>
  <r>
    <s v="AD01-9363"/>
    <x v="0"/>
    <s v="Nov"/>
    <x v="0"/>
    <x v="0"/>
    <s v="Order assembled"/>
    <x v="0"/>
    <x v="0"/>
    <x v="1"/>
    <n v="200"/>
    <n v="286"/>
  </r>
  <r>
    <s v="AD01-9364"/>
    <x v="0"/>
    <s v="Nov"/>
    <x v="0"/>
    <x v="0"/>
    <s v="Order assembled"/>
    <x v="0"/>
    <x v="0"/>
    <x v="1"/>
    <n v="170"/>
    <n v="243.1"/>
  </r>
  <r>
    <s v="AD01-9364"/>
    <x v="0"/>
    <s v="Nov"/>
    <x v="0"/>
    <x v="0"/>
    <s v="Order assembled"/>
    <x v="0"/>
    <x v="0"/>
    <x v="1"/>
    <n v="196"/>
    <n v="280.27999999999997"/>
  </r>
  <r>
    <s v="AD01-9362"/>
    <x v="0"/>
    <s v="Nov"/>
    <x v="0"/>
    <x v="0"/>
    <s v="Order assembled"/>
    <x v="0"/>
    <x v="0"/>
    <x v="1"/>
    <n v="244"/>
    <n v="348.92"/>
  </r>
  <r>
    <s v="AD01-9361"/>
    <x v="0"/>
    <s v="Nov"/>
    <x v="0"/>
    <x v="0"/>
    <s v="Order assembled"/>
    <x v="0"/>
    <x v="0"/>
    <x v="1"/>
    <n v="172"/>
    <n v="245.95999999999998"/>
  </r>
  <r>
    <s v="AD01-9361"/>
    <x v="0"/>
    <s v="Nov"/>
    <x v="0"/>
    <x v="0"/>
    <s v="Order assembled"/>
    <x v="0"/>
    <x v="0"/>
    <x v="0"/>
    <n v="240"/>
    <n v="526.24"/>
  </r>
  <r>
    <s v="AD01-9364"/>
    <x v="0"/>
    <s v="Nov"/>
    <x v="0"/>
    <x v="0"/>
    <s v="Order assembled"/>
    <x v="0"/>
    <x v="0"/>
    <x v="0"/>
    <n v="234"/>
    <n v="526.24"/>
  </r>
  <r>
    <s v="AD01-9362"/>
    <x v="0"/>
    <s v="Nov"/>
    <x v="0"/>
    <x v="0"/>
    <s v="Order assembled"/>
    <x v="0"/>
    <x v="0"/>
    <x v="0"/>
    <n v="228"/>
    <n v="526.24"/>
  </r>
  <r>
    <s v="AD01-9361"/>
    <x v="0"/>
    <s v="Nov"/>
    <x v="0"/>
    <x v="0"/>
    <s v="Order assembled"/>
    <x v="0"/>
    <x v="0"/>
    <x v="1"/>
    <n v="683"/>
    <n v="976.69"/>
  </r>
  <r>
    <s v="AD01-9362"/>
    <x v="0"/>
    <s v="Nov"/>
    <x v="0"/>
    <x v="0"/>
    <s v="Order assembled"/>
    <x v="0"/>
    <x v="0"/>
    <x v="1"/>
    <n v="716"/>
    <n v="1023.88"/>
  </r>
  <r>
    <s v="AD01-9364"/>
    <x v="0"/>
    <s v="Nov"/>
    <x v="0"/>
    <x v="0"/>
    <s v="Order assembled"/>
    <x v="0"/>
    <x v="0"/>
    <x v="1"/>
    <n v="769"/>
    <n v="1099.67"/>
  </r>
  <r>
    <s v="AD01-9362"/>
    <x v="0"/>
    <s v="Nov"/>
    <x v="0"/>
    <x v="0"/>
    <s v="Order assembled"/>
    <x v="0"/>
    <x v="0"/>
    <x v="0"/>
    <n v="237"/>
    <n v="338.90999999999997"/>
  </r>
  <r>
    <s v="AD01-9362"/>
    <x v="0"/>
    <s v="Nov"/>
    <x v="0"/>
    <x v="0"/>
    <s v="Order assembled"/>
    <x v="0"/>
    <x v="0"/>
    <x v="0"/>
    <n v="231"/>
    <n v="330.33"/>
  </r>
  <r>
    <s v="AD01-9364"/>
    <x v="0"/>
    <s v="Nov"/>
    <x v="0"/>
    <x v="0"/>
    <s v="Order assembled"/>
    <x v="0"/>
    <x v="0"/>
    <x v="1"/>
    <n v="201"/>
    <n v="287.43"/>
  </r>
  <r>
    <s v="AD01-9362"/>
    <x v="0"/>
    <s v="Nov"/>
    <x v="0"/>
    <x v="0"/>
    <s v="Order assembled"/>
    <x v="0"/>
    <x v="0"/>
    <x v="1"/>
    <n v="756"/>
    <n v="526.24"/>
  </r>
  <r>
    <s v="AD01-9361"/>
    <x v="0"/>
    <s v="Nov"/>
    <x v="0"/>
    <x v="0"/>
    <s v="Order assembled"/>
    <x v="0"/>
    <x v="0"/>
    <x v="1"/>
    <n v="809"/>
    <n v="526.24"/>
  </r>
  <r>
    <s v="AD01-9361"/>
    <x v="0"/>
    <s v="Nov"/>
    <x v="0"/>
    <x v="0"/>
    <s v="Order assembled"/>
    <x v="0"/>
    <x v="0"/>
    <x v="1"/>
    <n v="199"/>
    <n v="284.57"/>
  </r>
  <r>
    <s v="AD01-9361"/>
    <x v="0"/>
    <s v="Nov"/>
    <x v="0"/>
    <x v="0"/>
    <s v="Order assembled"/>
    <x v="0"/>
    <x v="0"/>
    <x v="1"/>
    <n v="247"/>
    <n v="353.21"/>
  </r>
  <r>
    <s v="AD01-9364"/>
    <x v="0"/>
    <s v="Nov"/>
    <x v="0"/>
    <x v="0"/>
    <s v="Order assembled"/>
    <x v="0"/>
    <x v="0"/>
    <x v="1"/>
    <n v="169"/>
    <n v="241.67000000000002"/>
  </r>
  <r>
    <s v="AD01-9361"/>
    <x v="0"/>
    <s v="Nov"/>
    <x v="0"/>
    <x v="0"/>
    <s v="Order assembled"/>
    <x v="0"/>
    <x v="0"/>
    <x v="0"/>
    <n v="239"/>
    <n v="341.77"/>
  </r>
  <r>
    <s v="AD01-9362"/>
    <x v="0"/>
    <s v="Nov"/>
    <x v="0"/>
    <x v="0"/>
    <s v="Order assembled"/>
    <x v="0"/>
    <x v="0"/>
    <x v="0"/>
    <n v="233"/>
    <n v="333.19"/>
  </r>
  <r>
    <s v="AD01-9364"/>
    <x v="0"/>
    <s v="Nov"/>
    <x v="0"/>
    <x v="0"/>
    <s v="Order assembled"/>
    <x v="0"/>
    <x v="0"/>
    <x v="0"/>
    <n v="227"/>
    <n v="324.61"/>
  </r>
  <r>
    <s v="AD01-9364"/>
    <x v="0"/>
    <s v="Nov"/>
    <x v="0"/>
    <x v="0"/>
    <s v="Order assembled"/>
    <x v="0"/>
    <x v="0"/>
    <x v="1"/>
    <n v="197"/>
    <n v="281.70999999999998"/>
  </r>
  <r>
    <s v="AD01-9364"/>
    <x v="0"/>
    <s v="Nov"/>
    <x v="0"/>
    <x v="0"/>
    <s v="Order assembled"/>
    <x v="0"/>
    <x v="0"/>
    <x v="1"/>
    <n v="245"/>
    <n v="350.35"/>
  </r>
  <r>
    <s v="AD01-9363"/>
    <x v="0"/>
    <s v="Nov"/>
    <x v="0"/>
    <x v="0"/>
    <s v="Order assembled"/>
    <x v="0"/>
    <x v="0"/>
    <x v="1"/>
    <n v="778"/>
    <n v="1112.54"/>
  </r>
  <r>
    <s v="AD01-9362"/>
    <x v="0"/>
    <s v="Oct"/>
    <x v="0"/>
    <x v="0"/>
    <s v="Order assembled"/>
    <x v="0"/>
    <x v="0"/>
    <x v="0"/>
    <n v="254"/>
    <n v="526.24"/>
  </r>
  <r>
    <s v="AD01-9362"/>
    <x v="0"/>
    <s v="Oct"/>
    <x v="0"/>
    <x v="0"/>
    <s v="Order assembled"/>
    <x v="0"/>
    <x v="0"/>
    <x v="0"/>
    <n v="248"/>
    <n v="526.24"/>
  </r>
  <r>
    <s v="AD01-9362"/>
    <x v="0"/>
    <s v="Oct"/>
    <x v="0"/>
    <x v="0"/>
    <s v="Order assembled"/>
    <x v="0"/>
    <x v="0"/>
    <x v="1"/>
    <n v="206"/>
    <n v="294.58"/>
  </r>
  <r>
    <s v="AD01-9361"/>
    <x v="0"/>
    <s v="Oct"/>
    <x v="0"/>
    <x v="0"/>
    <s v="Order assembled"/>
    <x v="0"/>
    <x v="0"/>
    <x v="1"/>
    <n v="248"/>
    <n v="354.64"/>
  </r>
  <r>
    <s v="AD01-9364"/>
    <x v="0"/>
    <s v="Oct"/>
    <x v="0"/>
    <x v="0"/>
    <s v="Order assembled"/>
    <x v="0"/>
    <x v="0"/>
    <x v="1"/>
    <n v="176"/>
    <n v="251.68"/>
  </r>
  <r>
    <s v="AD01-9365"/>
    <x v="0"/>
    <s v="Oct"/>
    <x v="0"/>
    <x v="0"/>
    <s v="Order assembled"/>
    <x v="0"/>
    <x v="0"/>
    <x v="1"/>
    <n v="202"/>
    <n v="288.86"/>
  </r>
  <r>
    <s v="AD01-9362"/>
    <x v="0"/>
    <s v="Oct"/>
    <x v="0"/>
    <x v="0"/>
    <s v="Order assembled"/>
    <x v="0"/>
    <x v="0"/>
    <x v="1"/>
    <n v="250"/>
    <n v="357.5"/>
  </r>
  <r>
    <s v="AD01-9361"/>
    <x v="0"/>
    <s v="Oct"/>
    <x v="0"/>
    <x v="0"/>
    <s v="Order assembled"/>
    <x v="0"/>
    <x v="0"/>
    <x v="1"/>
    <n v="178"/>
    <n v="254.54"/>
  </r>
  <r>
    <s v="AD01-9361"/>
    <x v="0"/>
    <s v="Oct"/>
    <x v="0"/>
    <x v="0"/>
    <s v="Order assembled"/>
    <x v="0"/>
    <x v="0"/>
    <x v="1"/>
    <n v="258"/>
    <n v="526.24"/>
  </r>
  <r>
    <s v="AD01-9361"/>
    <x v="0"/>
    <s v="Oct"/>
    <x v="0"/>
    <x v="0"/>
    <s v="Order assembled"/>
    <x v="0"/>
    <x v="0"/>
    <x v="1"/>
    <n v="252"/>
    <n v="526.24"/>
  </r>
  <r>
    <s v="AD01-9361"/>
    <x v="0"/>
    <s v="Oct"/>
    <x v="0"/>
    <x v="0"/>
    <s v="Order assembled"/>
    <x v="0"/>
    <x v="0"/>
    <x v="0"/>
    <n v="246"/>
    <n v="526.24"/>
  </r>
  <r>
    <s v="AD01-9364"/>
    <x v="0"/>
    <s v="Oct"/>
    <x v="0"/>
    <x v="0"/>
    <s v="Order assembled"/>
    <x v="0"/>
    <x v="0"/>
    <x v="1"/>
    <n v="682"/>
    <n v="975.26"/>
  </r>
  <r>
    <s v="AD01-9362"/>
    <x v="0"/>
    <s v="Oct"/>
    <x v="0"/>
    <x v="0"/>
    <s v="Order assembled"/>
    <x v="0"/>
    <x v="0"/>
    <x v="1"/>
    <n v="715"/>
    <n v="1022.45"/>
  </r>
  <r>
    <s v="AD01-9362"/>
    <x v="0"/>
    <s v="Oct"/>
    <x v="0"/>
    <x v="0"/>
    <s v="Order assembled"/>
    <x v="0"/>
    <x v="0"/>
    <x v="1"/>
    <n v="255"/>
    <n v="364.65"/>
  </r>
  <r>
    <s v="AD01-9362"/>
    <x v="0"/>
    <s v="Oct"/>
    <x v="0"/>
    <x v="0"/>
    <s v="Order assembled"/>
    <x v="0"/>
    <x v="0"/>
    <x v="1"/>
    <n v="249"/>
    <n v="356.07"/>
  </r>
  <r>
    <s v="AD01-9361"/>
    <x v="0"/>
    <s v="Oct"/>
    <x v="0"/>
    <x v="0"/>
    <s v="Order assembled"/>
    <x v="0"/>
    <x v="0"/>
    <x v="0"/>
    <n v="243"/>
    <n v="347.49"/>
  </r>
  <r>
    <s v="AD01-9361"/>
    <x v="0"/>
    <s v="Oct"/>
    <x v="0"/>
    <x v="0"/>
    <s v="Order assembled"/>
    <x v="0"/>
    <x v="0"/>
    <x v="1"/>
    <n v="755"/>
    <n v="526.24"/>
  </r>
  <r>
    <s v="AD01-9364"/>
    <x v="0"/>
    <s v="Oct"/>
    <x v="0"/>
    <x v="0"/>
    <s v="Order assembled"/>
    <x v="0"/>
    <x v="0"/>
    <x v="1"/>
    <n v="808"/>
    <n v="526.24"/>
  </r>
  <r>
    <s v="AD01-9361"/>
    <x v="0"/>
    <s v="Oct"/>
    <x v="0"/>
    <x v="0"/>
    <s v="Order assembled"/>
    <x v="0"/>
    <x v="0"/>
    <x v="1"/>
    <n v="205"/>
    <n v="293.14999999999998"/>
  </r>
  <r>
    <s v="AD01-9361"/>
    <x v="0"/>
    <s v="Oct"/>
    <x v="0"/>
    <x v="0"/>
    <s v="Order assembled"/>
    <x v="0"/>
    <x v="0"/>
    <x v="1"/>
    <n v="253"/>
    <n v="361.78999999999996"/>
  </r>
  <r>
    <s v="AD01-9365"/>
    <x v="0"/>
    <s v="Oct"/>
    <x v="0"/>
    <x v="0"/>
    <s v="Order assembled"/>
    <x v="0"/>
    <x v="0"/>
    <x v="1"/>
    <n v="175"/>
    <n v="250.25"/>
  </r>
  <r>
    <s v="AD01-9363"/>
    <x v="0"/>
    <s v="Oct"/>
    <x v="0"/>
    <x v="0"/>
    <s v="Order assembled"/>
    <x v="0"/>
    <x v="0"/>
    <x v="0"/>
    <n v="257"/>
    <n v="367.51"/>
  </r>
  <r>
    <s v="AD01-9363"/>
    <x v="0"/>
    <s v="Oct"/>
    <x v="0"/>
    <x v="0"/>
    <s v="Order assembled"/>
    <x v="0"/>
    <x v="0"/>
    <x v="0"/>
    <n v="251"/>
    <n v="358.93"/>
  </r>
  <r>
    <s v="AD01-9362"/>
    <x v="0"/>
    <s v="Oct"/>
    <x v="0"/>
    <x v="0"/>
    <s v="Order assembled"/>
    <x v="0"/>
    <x v="0"/>
    <x v="0"/>
    <n v="245"/>
    <n v="350.35"/>
  </r>
  <r>
    <s v="AD01-9364"/>
    <x v="0"/>
    <s v="Oct"/>
    <x v="0"/>
    <x v="0"/>
    <s v="Order assembled"/>
    <x v="0"/>
    <x v="0"/>
    <x v="1"/>
    <n v="203"/>
    <n v="290.28999999999996"/>
  </r>
  <r>
    <s v="AD01-9361"/>
    <x v="0"/>
    <s v="Oct"/>
    <x v="0"/>
    <x v="0"/>
    <s v="Order assembled"/>
    <x v="0"/>
    <x v="0"/>
    <x v="1"/>
    <n v="251"/>
    <n v="358.93"/>
  </r>
  <r>
    <s v="AD01-9362"/>
    <x v="0"/>
    <s v="Oct"/>
    <x v="0"/>
    <x v="0"/>
    <s v="Order assembled"/>
    <x v="0"/>
    <x v="0"/>
    <x v="1"/>
    <n v="777"/>
    <n v="1111.1100000000001"/>
  </r>
  <r>
    <s v="AD01-9361"/>
    <x v="0"/>
    <s v="Sep"/>
    <x v="0"/>
    <x v="0"/>
    <s v="Order assembled"/>
    <x v="0"/>
    <x v="0"/>
    <x v="0"/>
    <n v="272"/>
    <n v="526.24"/>
  </r>
  <r>
    <s v="AD01-9361"/>
    <x v="0"/>
    <s v="Sep"/>
    <x v="0"/>
    <x v="0"/>
    <s v="Order assembled"/>
    <x v="0"/>
    <x v="0"/>
    <x v="0"/>
    <n v="266"/>
    <n v="526.24"/>
  </r>
  <r>
    <s v="AD01-9361"/>
    <x v="0"/>
    <s v="Sep"/>
    <x v="0"/>
    <x v="0"/>
    <s v="Order assembled"/>
    <x v="0"/>
    <x v="0"/>
    <x v="0"/>
    <n v="260"/>
    <n v="526.24"/>
  </r>
  <r>
    <s v="AD01-9364"/>
    <x v="0"/>
    <s v="Sep"/>
    <x v="0"/>
    <x v="0"/>
    <s v="Order assembled"/>
    <x v="0"/>
    <x v="0"/>
    <x v="1"/>
    <n v="254"/>
    <n v="363.22"/>
  </r>
  <r>
    <s v="AD01-9361"/>
    <x v="0"/>
    <s v="Sep"/>
    <x v="0"/>
    <x v="0"/>
    <s v="Order assembled"/>
    <x v="0"/>
    <x v="0"/>
    <x v="1"/>
    <n v="182"/>
    <n v="260.26"/>
  </r>
  <r>
    <s v="AD01-9363"/>
    <x v="0"/>
    <s v="Sep"/>
    <x v="0"/>
    <x v="0"/>
    <s v="Order assembled"/>
    <x v="0"/>
    <x v="0"/>
    <x v="1"/>
    <n v="208"/>
    <n v="297.44"/>
  </r>
  <r>
    <s v="AD01-9363"/>
    <x v="0"/>
    <s v="Sep"/>
    <x v="0"/>
    <x v="0"/>
    <s v="Order assembled"/>
    <x v="0"/>
    <x v="0"/>
    <x v="1"/>
    <n v="256"/>
    <n v="366.08"/>
  </r>
  <r>
    <s v="AD01-9364"/>
    <x v="0"/>
    <s v="Sep"/>
    <x v="0"/>
    <x v="0"/>
    <s v="Order assembled"/>
    <x v="0"/>
    <x v="0"/>
    <x v="1"/>
    <n v="184"/>
    <n v="263.12"/>
  </r>
  <r>
    <s v="AD01-9365"/>
    <x v="0"/>
    <s v="Sep"/>
    <x v="0"/>
    <x v="0"/>
    <s v="Order assembled"/>
    <x v="0"/>
    <x v="0"/>
    <x v="1"/>
    <n v="270"/>
    <n v="526.24"/>
  </r>
  <r>
    <s v="AD01-9361"/>
    <x v="0"/>
    <s v="Sep"/>
    <x v="0"/>
    <x v="0"/>
    <s v="Order assembled"/>
    <x v="0"/>
    <x v="0"/>
    <x v="1"/>
    <n v="264"/>
    <n v="526.24"/>
  </r>
  <r>
    <s v="AD01-9363"/>
    <x v="0"/>
    <s v="Sep"/>
    <x v="0"/>
    <x v="0"/>
    <s v="Order assembled"/>
    <x v="0"/>
    <x v="0"/>
    <x v="1"/>
    <n v="681"/>
    <n v="973.82999999999993"/>
  </r>
  <r>
    <s v="AD01-9361"/>
    <x v="0"/>
    <s v="Sep"/>
    <x v="0"/>
    <x v="0"/>
    <s v="Order assembled"/>
    <x v="0"/>
    <x v="0"/>
    <x v="1"/>
    <n v="714"/>
    <n v="1021.02"/>
  </r>
  <r>
    <s v="AD01-9361"/>
    <x v="0"/>
    <s v="Sep"/>
    <x v="0"/>
    <x v="0"/>
    <s v="Order assembled"/>
    <x v="0"/>
    <x v="0"/>
    <x v="1"/>
    <n v="768"/>
    <n v="1098.24"/>
  </r>
  <r>
    <s v="AD01-9361"/>
    <x v="0"/>
    <s v="Sep"/>
    <x v="0"/>
    <x v="0"/>
    <s v="Order assembled"/>
    <x v="0"/>
    <x v="0"/>
    <x v="1"/>
    <n v="273"/>
    <n v="390.39"/>
  </r>
  <r>
    <s v="AD01-9363"/>
    <x v="0"/>
    <s v="Sep"/>
    <x v="0"/>
    <x v="0"/>
    <s v="Order assembled"/>
    <x v="0"/>
    <x v="0"/>
    <x v="1"/>
    <n v="267"/>
    <n v="381.81"/>
  </r>
  <r>
    <s v="AD01-9364"/>
    <x v="0"/>
    <s v="Sep"/>
    <x v="0"/>
    <x v="0"/>
    <s v="Order assembled"/>
    <x v="0"/>
    <x v="0"/>
    <x v="1"/>
    <n v="261"/>
    <n v="373.23"/>
  </r>
  <r>
    <s v="AD01-9361"/>
    <x v="0"/>
    <s v="Sep"/>
    <x v="0"/>
    <x v="0"/>
    <s v="Order assembled"/>
    <x v="0"/>
    <x v="0"/>
    <x v="1"/>
    <n v="207"/>
    <n v="296.01"/>
  </r>
  <r>
    <s v="AD01-9361"/>
    <x v="0"/>
    <s v="Sep"/>
    <x v="0"/>
    <x v="0"/>
    <s v="Order assembled"/>
    <x v="0"/>
    <x v="0"/>
    <x v="1"/>
    <n v="754"/>
    <n v="526.24"/>
  </r>
  <r>
    <s v="AD01-9363"/>
    <x v="0"/>
    <s v="Sep"/>
    <x v="0"/>
    <x v="0"/>
    <s v="Order assembled"/>
    <x v="0"/>
    <x v="0"/>
    <x v="1"/>
    <n v="807"/>
    <n v="526.24"/>
  </r>
  <r>
    <s v="AD01-9364"/>
    <x v="0"/>
    <s v="Sep"/>
    <x v="0"/>
    <x v="0"/>
    <s v="Order assembled"/>
    <x v="0"/>
    <x v="0"/>
    <x v="1"/>
    <n v="211"/>
    <n v="301.73"/>
  </r>
  <r>
    <s v="AD01-9363"/>
    <x v="0"/>
    <s v="Sep"/>
    <x v="0"/>
    <x v="0"/>
    <s v="Order assembled"/>
    <x v="0"/>
    <x v="0"/>
    <x v="1"/>
    <n v="181"/>
    <n v="258.83"/>
  </r>
  <r>
    <s v="AD01-9361"/>
    <x v="0"/>
    <s v="Sep"/>
    <x v="0"/>
    <x v="0"/>
    <s v="Order assembled"/>
    <x v="0"/>
    <x v="0"/>
    <x v="0"/>
    <n v="269"/>
    <n v="384.67"/>
  </r>
  <r>
    <s v="AD01-9362"/>
    <x v="0"/>
    <s v="Sep"/>
    <x v="0"/>
    <x v="0"/>
    <s v="Order assembled"/>
    <x v="0"/>
    <x v="0"/>
    <x v="0"/>
    <n v="263"/>
    <n v="376.09000000000003"/>
  </r>
  <r>
    <s v="AD01-9361"/>
    <x v="0"/>
    <s v="Sep"/>
    <x v="0"/>
    <x v="0"/>
    <s v="Order assembled"/>
    <x v="0"/>
    <x v="0"/>
    <x v="1"/>
    <n v="209"/>
    <n v="298.87"/>
  </r>
  <r>
    <s v="AD01-9365"/>
    <x v="0"/>
    <s v="Sep"/>
    <x v="0"/>
    <x v="0"/>
    <s v="Order assembled"/>
    <x v="0"/>
    <x v="0"/>
    <x v="1"/>
    <n v="257"/>
    <n v="367.51"/>
  </r>
  <r>
    <s v="AD01-9361"/>
    <x v="0"/>
    <s v="Apr"/>
    <x v="1"/>
    <x v="0"/>
    <s v="Order assembled"/>
    <x v="0"/>
    <x v="0"/>
    <x v="0"/>
    <n v="128"/>
    <n v="183.04"/>
  </r>
  <r>
    <s v="AD01-9364"/>
    <x v="0"/>
    <s v="Apr"/>
    <x v="1"/>
    <x v="0"/>
    <s v="Order assembled"/>
    <x v="0"/>
    <x v="0"/>
    <x v="0"/>
    <n v="302"/>
    <n v="431.86"/>
  </r>
  <r>
    <s v="AD01-9362"/>
    <x v="0"/>
    <s v="Apr"/>
    <x v="1"/>
    <x v="0"/>
    <s v="Order assembled"/>
    <x v="0"/>
    <x v="0"/>
    <x v="0"/>
    <n v="328"/>
    <n v="526.24"/>
  </r>
  <r>
    <s v="AD01-9361"/>
    <x v="0"/>
    <s v="Apr"/>
    <x v="1"/>
    <x v="0"/>
    <s v="Order assembled"/>
    <x v="0"/>
    <x v="0"/>
    <x v="0"/>
    <n v="130"/>
    <n v="526.24"/>
  </r>
  <r>
    <s v="AD01-9361"/>
    <x v="0"/>
    <s v="Apr"/>
    <x v="1"/>
    <x v="0"/>
    <s v="Order assembled"/>
    <x v="0"/>
    <x v="0"/>
    <x v="0"/>
    <n v="304"/>
    <n v="526.24"/>
  </r>
  <r>
    <s v="AD01-9362"/>
    <x v="0"/>
    <s v="Apr"/>
    <x v="1"/>
    <x v="0"/>
    <s v="Order assembled"/>
    <x v="0"/>
    <x v="0"/>
    <x v="0"/>
    <n v="989"/>
    <n v="1414.27"/>
  </r>
  <r>
    <s v="AD01-9361"/>
    <x v="0"/>
    <s v="Apr"/>
    <x v="1"/>
    <x v="0"/>
    <s v="Order assembled"/>
    <x v="0"/>
    <x v="0"/>
    <x v="0"/>
    <n v="1022"/>
    <n v="1461.46"/>
  </r>
  <r>
    <s v="AD01-9364"/>
    <x v="0"/>
    <s v="Apr"/>
    <x v="1"/>
    <x v="0"/>
    <s v="Order assembled"/>
    <x v="0"/>
    <x v="0"/>
    <x v="0"/>
    <n v="300"/>
    <n v="429"/>
  </r>
  <r>
    <s v="AD01-9364"/>
    <x v="0"/>
    <s v="Apr"/>
    <x v="1"/>
    <x v="0"/>
    <s v="Order assembled"/>
    <x v="0"/>
    <x v="0"/>
    <x v="0"/>
    <n v="327"/>
    <n v="467.61"/>
  </r>
  <r>
    <s v="AD01-9361"/>
    <x v="0"/>
    <s v="Apr"/>
    <x v="1"/>
    <x v="0"/>
    <s v="Order assembled"/>
    <x v="0"/>
    <x v="0"/>
    <x v="0"/>
    <n v="129"/>
    <n v="184.47"/>
  </r>
  <r>
    <s v="AD01-9362"/>
    <x v="0"/>
    <s v="Apr"/>
    <x v="1"/>
    <x v="0"/>
    <s v="Order assembled"/>
    <x v="0"/>
    <x v="0"/>
    <x v="0"/>
    <n v="303"/>
    <n v="433.28999999999996"/>
  </r>
  <r>
    <s v="AD01-9361"/>
    <x v="0"/>
    <s v="Apr"/>
    <x v="1"/>
    <x v="0"/>
    <s v="Order assembled"/>
    <x v="0"/>
    <x v="0"/>
    <x v="0"/>
    <n v="770"/>
    <n v="1101.0999999999999"/>
  </r>
  <r>
    <s v="AD01-9362"/>
    <x v="0"/>
    <s v="Apr"/>
    <x v="1"/>
    <x v="0"/>
    <s v="Order assembled"/>
    <x v="0"/>
    <x v="0"/>
    <x v="0"/>
    <n v="857"/>
    <n v="1225.51"/>
  </r>
  <r>
    <s v="AD01-9364"/>
    <x v="0"/>
    <s v="Apr"/>
    <x v="1"/>
    <x v="0"/>
    <s v="Order assembled"/>
    <x v="0"/>
    <x v="0"/>
    <x v="0"/>
    <n v="329"/>
    <n v="470.47"/>
  </r>
  <r>
    <s v="AD01-9361"/>
    <x v="0"/>
    <s v="Apr"/>
    <x v="1"/>
    <x v="0"/>
    <s v="Order assembled"/>
    <x v="0"/>
    <x v="0"/>
    <x v="0"/>
    <n v="131"/>
    <n v="187.32999999999998"/>
  </r>
  <r>
    <s v="AD01-9364"/>
    <x v="0"/>
    <s v="Aug"/>
    <x v="1"/>
    <x v="0"/>
    <s v="Order assembled"/>
    <x v="0"/>
    <x v="0"/>
    <x v="0"/>
    <n v="308"/>
    <n v="440.44"/>
  </r>
  <r>
    <s v="AD01-9361"/>
    <x v="0"/>
    <s v="Aug"/>
    <x v="1"/>
    <x v="0"/>
    <s v="Order assembled"/>
    <x v="0"/>
    <x v="0"/>
    <x v="0"/>
    <n v="356"/>
    <n v="509.08"/>
  </r>
  <r>
    <s v="AD01-9362"/>
    <x v="0"/>
    <s v="Aug"/>
    <x v="1"/>
    <x v="0"/>
    <s v="Order assembled"/>
    <x v="0"/>
    <x v="0"/>
    <x v="0"/>
    <n v="310"/>
    <n v="526.24"/>
  </r>
  <r>
    <s v="AD01-9362"/>
    <x v="0"/>
    <s v="Aug"/>
    <x v="1"/>
    <x v="0"/>
    <s v="Order assembled"/>
    <x v="0"/>
    <x v="0"/>
    <x v="0"/>
    <n v="352"/>
    <n v="526.24"/>
  </r>
  <r>
    <s v="AD01-9362"/>
    <x v="0"/>
    <s v="Aug"/>
    <x v="1"/>
    <x v="0"/>
    <s v="Order assembled"/>
    <x v="0"/>
    <x v="0"/>
    <x v="0"/>
    <n v="280"/>
    <n v="526.24"/>
  </r>
  <r>
    <s v="AD01-9362"/>
    <x v="0"/>
    <s v="Aug"/>
    <x v="1"/>
    <x v="0"/>
    <s v="Order assembled"/>
    <x v="0"/>
    <x v="0"/>
    <x v="0"/>
    <n v="993"/>
    <n v="1419.99"/>
  </r>
  <r>
    <s v="AD01-9362"/>
    <x v="0"/>
    <s v="Aug"/>
    <x v="1"/>
    <x v="0"/>
    <s v="Order assembled"/>
    <x v="0"/>
    <x v="0"/>
    <x v="0"/>
    <n v="1026"/>
    <n v="1467.18"/>
  </r>
  <r>
    <s v="AD01-9364"/>
    <x v="0"/>
    <s v="Aug"/>
    <x v="1"/>
    <x v="0"/>
    <s v="Order assembled"/>
    <x v="0"/>
    <x v="0"/>
    <x v="0"/>
    <n v="282"/>
    <n v="403.26"/>
  </r>
  <r>
    <s v="AD01-9364"/>
    <x v="0"/>
    <s v="Aug"/>
    <x v="1"/>
    <x v="0"/>
    <s v="Order assembled"/>
    <x v="0"/>
    <x v="0"/>
    <x v="0"/>
    <n v="309"/>
    <n v="441.87"/>
  </r>
  <r>
    <s v="AD01-9361"/>
    <x v="0"/>
    <s v="Aug"/>
    <x v="1"/>
    <x v="0"/>
    <s v="Order assembled"/>
    <x v="0"/>
    <x v="0"/>
    <x v="0"/>
    <n v="357"/>
    <n v="510.51"/>
  </r>
  <r>
    <s v="AD01-9362"/>
    <x v="0"/>
    <s v="Aug"/>
    <x v="1"/>
    <x v="0"/>
    <s v="Order assembled"/>
    <x v="0"/>
    <x v="0"/>
    <x v="0"/>
    <n v="279"/>
    <n v="398.97"/>
  </r>
  <r>
    <s v="AD01-9362"/>
    <x v="0"/>
    <s v="Aug"/>
    <x v="1"/>
    <x v="0"/>
    <s v="Order assembled"/>
    <x v="0"/>
    <x v="0"/>
    <x v="0"/>
    <n v="774"/>
    <n v="1106.82"/>
  </r>
  <r>
    <s v="AD01-9361"/>
    <x v="0"/>
    <s v="Aug"/>
    <x v="1"/>
    <x v="0"/>
    <s v="Order assembled"/>
    <x v="0"/>
    <x v="0"/>
    <x v="0"/>
    <n v="807"/>
    <n v="1154.01"/>
  </r>
  <r>
    <s v="AD01-9362"/>
    <x v="0"/>
    <s v="Aug"/>
    <x v="1"/>
    <x v="0"/>
    <s v="Order assembled"/>
    <x v="0"/>
    <x v="0"/>
    <x v="0"/>
    <n v="860"/>
    <n v="1229.8"/>
  </r>
  <r>
    <s v="AD01-9365"/>
    <x v="0"/>
    <s v="Aug"/>
    <x v="1"/>
    <x v="0"/>
    <s v="Order assembled"/>
    <x v="0"/>
    <x v="0"/>
    <x v="0"/>
    <n v="353"/>
    <n v="504.78999999999996"/>
  </r>
  <r>
    <s v="AD01-9364"/>
    <x v="0"/>
    <s v="Aug"/>
    <x v="1"/>
    <x v="0"/>
    <s v="Order assembled"/>
    <x v="0"/>
    <x v="0"/>
    <x v="0"/>
    <n v="281"/>
    <n v="401.83"/>
  </r>
  <r>
    <s v="AD01-9364"/>
    <x v="0"/>
    <s v="Dec"/>
    <x v="1"/>
    <x v="0"/>
    <s v="Order assembled"/>
    <x v="0"/>
    <x v="0"/>
    <x v="0"/>
    <n v="284"/>
    <n v="406.12"/>
  </r>
  <r>
    <s v="AD01-9362"/>
    <x v="0"/>
    <s v="Dec"/>
    <x v="1"/>
    <x v="0"/>
    <s v="Order assembled"/>
    <x v="0"/>
    <x v="0"/>
    <x v="0"/>
    <n v="332"/>
    <n v="474.76"/>
  </r>
  <r>
    <s v="AD01-9364"/>
    <x v="0"/>
    <s v="Dec"/>
    <x v="1"/>
    <x v="0"/>
    <s v="Order assembled"/>
    <x v="0"/>
    <x v="0"/>
    <x v="0"/>
    <n v="260"/>
    <n v="371.8"/>
  </r>
  <r>
    <s v="AD01-9362"/>
    <x v="0"/>
    <s v="Dec"/>
    <x v="1"/>
    <x v="0"/>
    <s v="Order assembled"/>
    <x v="0"/>
    <x v="0"/>
    <x v="0"/>
    <n v="286"/>
    <n v="526.24"/>
  </r>
  <r>
    <s v="AD01-9361"/>
    <x v="0"/>
    <s v="Dec"/>
    <x v="1"/>
    <x v="0"/>
    <s v="Order assembled"/>
    <x v="0"/>
    <x v="0"/>
    <x v="0"/>
    <n v="334"/>
    <n v="526.24"/>
  </r>
  <r>
    <s v="AD01-9362"/>
    <x v="0"/>
    <s v="Dec"/>
    <x v="1"/>
    <x v="0"/>
    <s v="Order assembled"/>
    <x v="0"/>
    <x v="0"/>
    <x v="0"/>
    <n v="262"/>
    <n v="526.24"/>
  </r>
  <r>
    <s v="AD01-9361"/>
    <x v="0"/>
    <s v="Dec"/>
    <x v="1"/>
    <x v="0"/>
    <s v="Order assembled"/>
    <x v="0"/>
    <x v="0"/>
    <x v="0"/>
    <n v="996"/>
    <n v="1424.28"/>
  </r>
  <r>
    <s v="AD01-9362"/>
    <x v="0"/>
    <s v="Dec"/>
    <x v="1"/>
    <x v="0"/>
    <s v="Order assembled"/>
    <x v="0"/>
    <x v="0"/>
    <x v="0"/>
    <n v="258"/>
    <n v="368.94"/>
  </r>
  <r>
    <s v="AD01-9362"/>
    <x v="0"/>
    <s v="Dec"/>
    <x v="1"/>
    <x v="0"/>
    <s v="Order assembled"/>
    <x v="0"/>
    <x v="0"/>
    <x v="0"/>
    <n v="285"/>
    <n v="407.55"/>
  </r>
  <r>
    <s v="AD01-9361"/>
    <x v="0"/>
    <s v="Dec"/>
    <x v="1"/>
    <x v="0"/>
    <s v="Order assembled"/>
    <x v="0"/>
    <x v="0"/>
    <x v="0"/>
    <n v="333"/>
    <n v="476.19"/>
  </r>
  <r>
    <s v="AD01-9361"/>
    <x v="0"/>
    <s v="Dec"/>
    <x v="1"/>
    <x v="0"/>
    <s v="Order assembled"/>
    <x v="0"/>
    <x v="0"/>
    <x v="0"/>
    <n v="261"/>
    <n v="373.23"/>
  </r>
  <r>
    <s v="AD01-9362"/>
    <x v="0"/>
    <s v="Dec"/>
    <x v="1"/>
    <x v="0"/>
    <s v="Order assembled"/>
    <x v="0"/>
    <x v="0"/>
    <x v="0"/>
    <n v="777"/>
    <n v="1111.1100000000001"/>
  </r>
  <r>
    <s v="AD01-9361"/>
    <x v="0"/>
    <s v="Dec"/>
    <x v="1"/>
    <x v="0"/>
    <s v="Order assembled"/>
    <x v="0"/>
    <x v="0"/>
    <x v="0"/>
    <n v="811"/>
    <n v="1159.73"/>
  </r>
  <r>
    <s v="AD01-9362"/>
    <x v="0"/>
    <s v="Dec"/>
    <x v="1"/>
    <x v="0"/>
    <s v="Order assembled"/>
    <x v="0"/>
    <x v="0"/>
    <x v="0"/>
    <n v="864"/>
    <n v="1235.52"/>
  </r>
  <r>
    <s v="AD01-9364"/>
    <x v="0"/>
    <s v="Dec"/>
    <x v="1"/>
    <x v="0"/>
    <s v="Order assembled"/>
    <x v="0"/>
    <x v="0"/>
    <x v="0"/>
    <n v="287"/>
    <n v="410.40999999999997"/>
  </r>
  <r>
    <s v="AD01-9361"/>
    <x v="0"/>
    <s v="Dec"/>
    <x v="1"/>
    <x v="0"/>
    <s v="Order assembled"/>
    <x v="0"/>
    <x v="0"/>
    <x v="0"/>
    <n v="335"/>
    <n v="479.05"/>
  </r>
  <r>
    <s v="AD01-9364"/>
    <x v="0"/>
    <s v="Dec"/>
    <x v="1"/>
    <x v="0"/>
    <s v="Order assembled"/>
    <x v="0"/>
    <x v="0"/>
    <x v="0"/>
    <n v="257"/>
    <n v="367.51"/>
  </r>
  <r>
    <s v="AD01-9362"/>
    <x v="0"/>
    <s v="Feb"/>
    <x v="1"/>
    <x v="0"/>
    <s v="Order assembled"/>
    <x v="0"/>
    <x v="0"/>
    <x v="1"/>
    <n v="350"/>
    <n v="500.5"/>
  </r>
  <r>
    <s v="AD01-9364"/>
    <x v="0"/>
    <s v="Feb"/>
    <x v="1"/>
    <x v="0"/>
    <s v="Order assembled"/>
    <x v="0"/>
    <x v="0"/>
    <x v="1"/>
    <n v="344"/>
    <n v="491.91999999999996"/>
  </r>
  <r>
    <s v="AD01-9361"/>
    <x v="0"/>
    <s v="Feb"/>
    <x v="1"/>
    <x v="0"/>
    <s v="Order assembled"/>
    <x v="0"/>
    <x v="0"/>
    <x v="0"/>
    <n v="338"/>
    <n v="483.34000000000003"/>
  </r>
  <r>
    <s v="AD01-9361"/>
    <x v="0"/>
    <s v="Feb"/>
    <x v="1"/>
    <x v="0"/>
    <s v="Order assembled"/>
    <x v="0"/>
    <x v="0"/>
    <x v="0"/>
    <n v="140"/>
    <n v="200.2"/>
  </r>
  <r>
    <s v="AD01-9363"/>
    <x v="0"/>
    <s v="Feb"/>
    <x v="1"/>
    <x v="0"/>
    <s v="Order assembled"/>
    <x v="0"/>
    <x v="0"/>
    <x v="0"/>
    <n v="314"/>
    <n v="449.02"/>
  </r>
  <r>
    <s v="AD01-9361"/>
    <x v="0"/>
    <s v="Feb"/>
    <x v="1"/>
    <x v="0"/>
    <s v="Order assembled"/>
    <x v="0"/>
    <x v="0"/>
    <x v="1"/>
    <n v="352"/>
    <n v="503.36"/>
  </r>
  <r>
    <s v="AD01-9361"/>
    <x v="0"/>
    <s v="Feb"/>
    <x v="1"/>
    <x v="0"/>
    <s v="Order assembled"/>
    <x v="0"/>
    <x v="0"/>
    <x v="1"/>
    <n v="346"/>
    <n v="494.78"/>
  </r>
  <r>
    <s v="AD01-9362"/>
    <x v="0"/>
    <s v="Feb"/>
    <x v="1"/>
    <x v="0"/>
    <s v="Order assembled"/>
    <x v="0"/>
    <x v="0"/>
    <x v="1"/>
    <n v="340"/>
    <n v="486.2"/>
  </r>
  <r>
    <s v="AD01-9362"/>
    <x v="0"/>
    <s v="Feb"/>
    <x v="1"/>
    <x v="0"/>
    <s v="Order assembled"/>
    <x v="0"/>
    <x v="0"/>
    <x v="0"/>
    <n v="340"/>
    <n v="526.24"/>
  </r>
  <r>
    <s v="AD01-9361"/>
    <x v="0"/>
    <s v="Feb"/>
    <x v="1"/>
    <x v="0"/>
    <s v="Order assembled"/>
    <x v="0"/>
    <x v="0"/>
    <x v="0"/>
    <n v="142"/>
    <n v="526.24"/>
  </r>
  <r>
    <s v="AD01-9362"/>
    <x v="0"/>
    <s v="Feb"/>
    <x v="1"/>
    <x v="0"/>
    <s v="Order assembled"/>
    <x v="0"/>
    <x v="0"/>
    <x v="0"/>
    <n v="987"/>
    <n v="1411.4099999999999"/>
  </r>
  <r>
    <s v="AD01-9362"/>
    <x v="0"/>
    <s v="Feb"/>
    <x v="1"/>
    <x v="0"/>
    <s v="Order assembled"/>
    <x v="0"/>
    <x v="0"/>
    <x v="0"/>
    <n v="1021"/>
    <n v="1460.03"/>
  </r>
  <r>
    <s v="AD01-9362"/>
    <x v="0"/>
    <s v="Feb"/>
    <x v="1"/>
    <x v="0"/>
    <s v="Order assembled"/>
    <x v="0"/>
    <x v="0"/>
    <x v="0"/>
    <n v="312"/>
    <n v="446.15999999999997"/>
  </r>
  <r>
    <s v="AD01-9362"/>
    <x v="0"/>
    <s v="Feb"/>
    <x v="1"/>
    <x v="0"/>
    <s v="Order assembled"/>
    <x v="0"/>
    <x v="0"/>
    <x v="0"/>
    <n v="339"/>
    <n v="484.77"/>
  </r>
  <r>
    <s v="AD01-9361"/>
    <x v="0"/>
    <s v="Feb"/>
    <x v="1"/>
    <x v="0"/>
    <s v="Order assembled"/>
    <x v="0"/>
    <x v="0"/>
    <x v="0"/>
    <n v="141"/>
    <n v="201.63"/>
  </r>
  <r>
    <s v="AD01-9362"/>
    <x v="0"/>
    <s v="Feb"/>
    <x v="1"/>
    <x v="0"/>
    <s v="Order assembled"/>
    <x v="0"/>
    <x v="0"/>
    <x v="0"/>
    <n v="315"/>
    <n v="450.45"/>
  </r>
  <r>
    <s v="AD01-9362"/>
    <x v="0"/>
    <s v="Feb"/>
    <x v="1"/>
    <x v="0"/>
    <s v="Order assembled"/>
    <x v="0"/>
    <x v="0"/>
    <x v="0"/>
    <n v="355"/>
    <n v="507.65"/>
  </r>
  <r>
    <s v="AD01-9361"/>
    <x v="0"/>
    <s v="Feb"/>
    <x v="1"/>
    <x v="0"/>
    <s v="Order assembled"/>
    <x v="0"/>
    <x v="0"/>
    <x v="1"/>
    <n v="349"/>
    <n v="499.07"/>
  </r>
  <r>
    <s v="AD01-9362"/>
    <x v="0"/>
    <s v="Feb"/>
    <x v="1"/>
    <x v="0"/>
    <s v="Order assembled"/>
    <x v="0"/>
    <x v="0"/>
    <x v="1"/>
    <n v="343"/>
    <n v="490.49"/>
  </r>
  <r>
    <s v="AD01-9362"/>
    <x v="0"/>
    <s v="Feb"/>
    <x v="1"/>
    <x v="0"/>
    <s v="Order assembled"/>
    <x v="0"/>
    <x v="0"/>
    <x v="0"/>
    <n v="802"/>
    <n v="1146.8600000000001"/>
  </r>
  <r>
    <s v="AD01-9362"/>
    <x v="0"/>
    <s v="Feb"/>
    <x v="1"/>
    <x v="0"/>
    <s v="Order assembled"/>
    <x v="0"/>
    <x v="0"/>
    <x v="0"/>
    <n v="855"/>
    <n v="1222.6500000000001"/>
  </r>
  <r>
    <s v="AD01-9362"/>
    <x v="0"/>
    <s v="Feb"/>
    <x v="1"/>
    <x v="0"/>
    <s v="Order assembled"/>
    <x v="0"/>
    <x v="0"/>
    <x v="1"/>
    <n v="789"/>
    <n v="1128.27"/>
  </r>
  <r>
    <s v="AD01-9361"/>
    <x v="0"/>
    <s v="Feb"/>
    <x v="1"/>
    <x v="0"/>
    <s v="Order assembled"/>
    <x v="0"/>
    <x v="0"/>
    <x v="1"/>
    <n v="790"/>
    <n v="1129.7"/>
  </r>
  <r>
    <s v="AD01-9362"/>
    <x v="0"/>
    <s v="Feb"/>
    <x v="1"/>
    <x v="0"/>
    <s v="Order assembled"/>
    <x v="0"/>
    <x v="0"/>
    <x v="1"/>
    <n v="791"/>
    <n v="1131.1300000000001"/>
  </r>
  <r>
    <s v="AD01-9363"/>
    <x v="0"/>
    <s v="Feb"/>
    <x v="1"/>
    <x v="0"/>
    <s v="Order assembled"/>
    <x v="0"/>
    <x v="0"/>
    <x v="0"/>
    <n v="341"/>
    <n v="487.63"/>
  </r>
  <r>
    <s v="AD01-9362"/>
    <x v="0"/>
    <s v="Feb"/>
    <x v="1"/>
    <x v="0"/>
    <s v="Order assembled"/>
    <x v="0"/>
    <x v="0"/>
    <x v="0"/>
    <n v="143"/>
    <n v="204.49"/>
  </r>
  <r>
    <s v="AD01-9361"/>
    <x v="0"/>
    <s v="Feb"/>
    <x v="1"/>
    <x v="0"/>
    <s v="Order assembled"/>
    <x v="0"/>
    <x v="0"/>
    <x v="0"/>
    <n v="311"/>
    <n v="444.73"/>
  </r>
  <r>
    <s v="AD01-9361"/>
    <x v="0"/>
    <s v="Jan"/>
    <x v="1"/>
    <x v="0"/>
    <s v="Order assembled"/>
    <x v="0"/>
    <x v="0"/>
    <x v="0"/>
    <n v="356"/>
    <n v="509.08"/>
  </r>
  <r>
    <s v="AD01-9364"/>
    <x v="0"/>
    <s v="Jan"/>
    <x v="1"/>
    <x v="0"/>
    <s v="Order assembled"/>
    <x v="0"/>
    <x v="0"/>
    <x v="0"/>
    <n v="344"/>
    <n v="491.91999999999996"/>
  </r>
  <r>
    <s v="AD01-9362"/>
    <x v="0"/>
    <s v="Jan"/>
    <x v="1"/>
    <x v="0"/>
    <s v="Order assembled"/>
    <x v="0"/>
    <x v="0"/>
    <x v="0"/>
    <n v="146"/>
    <n v="208.78"/>
  </r>
  <r>
    <s v="AD01-9362"/>
    <x v="0"/>
    <s v="Jan"/>
    <x v="1"/>
    <x v="0"/>
    <s v="Order assembled"/>
    <x v="0"/>
    <x v="0"/>
    <x v="0"/>
    <n v="320"/>
    <n v="457.6"/>
  </r>
  <r>
    <s v="AD01-9362"/>
    <x v="0"/>
    <s v="Jan"/>
    <x v="1"/>
    <x v="0"/>
    <s v="Order assembled"/>
    <x v="0"/>
    <x v="0"/>
    <x v="0"/>
    <n v="358"/>
    <n v="511.94"/>
  </r>
  <r>
    <s v="AD01-9361"/>
    <x v="0"/>
    <s v="Jan"/>
    <x v="1"/>
    <x v="0"/>
    <s v="Order assembled"/>
    <x v="0"/>
    <x v="0"/>
    <x v="0"/>
    <n v="262"/>
    <n v="374.65999999999997"/>
  </r>
  <r>
    <s v="AD01-9364"/>
    <x v="0"/>
    <s v="Jan"/>
    <x v="1"/>
    <x v="0"/>
    <s v="Order assembled"/>
    <x v="0"/>
    <x v="0"/>
    <x v="0"/>
    <n v="346"/>
    <n v="526.24"/>
  </r>
  <r>
    <s v="AD01-9364"/>
    <x v="0"/>
    <s v="Jan"/>
    <x v="1"/>
    <x v="0"/>
    <s v="Order assembled"/>
    <x v="0"/>
    <x v="0"/>
    <x v="0"/>
    <n v="148"/>
    <n v="526.24"/>
  </r>
  <r>
    <s v="AD01-9362"/>
    <x v="0"/>
    <s v="Jan"/>
    <x v="1"/>
    <x v="0"/>
    <s v="Order assembled"/>
    <x v="0"/>
    <x v="0"/>
    <x v="0"/>
    <n v="316"/>
    <n v="526.24"/>
  </r>
  <r>
    <s v="AD01-9364"/>
    <x v="0"/>
    <s v="Jan"/>
    <x v="1"/>
    <x v="0"/>
    <s v="Order assembled"/>
    <x v="0"/>
    <x v="0"/>
    <x v="0"/>
    <n v="959"/>
    <n v="1371.37"/>
  </r>
  <r>
    <s v="AD01-9362"/>
    <x v="0"/>
    <s v="Jan"/>
    <x v="1"/>
    <x v="0"/>
    <s v="Order assembled"/>
    <x v="0"/>
    <x v="0"/>
    <x v="0"/>
    <n v="1020"/>
    <n v="1458.6"/>
  </r>
  <r>
    <s v="AD01-9362"/>
    <x v="0"/>
    <s v="Jan"/>
    <x v="1"/>
    <x v="0"/>
    <s v="Order assembled"/>
    <x v="0"/>
    <x v="0"/>
    <x v="0"/>
    <n v="318"/>
    <n v="454.74"/>
  </r>
  <r>
    <s v="AD01-9362"/>
    <x v="0"/>
    <s v="Jan"/>
    <x v="1"/>
    <x v="0"/>
    <s v="Order assembled"/>
    <x v="0"/>
    <x v="0"/>
    <x v="0"/>
    <n v="345"/>
    <n v="493.35"/>
  </r>
  <r>
    <s v="AD01-9364"/>
    <x v="0"/>
    <s v="Jan"/>
    <x v="1"/>
    <x v="0"/>
    <s v="Order assembled"/>
    <x v="0"/>
    <x v="0"/>
    <x v="0"/>
    <n v="147"/>
    <n v="210.21"/>
  </r>
  <r>
    <s v="AD01-9364"/>
    <x v="0"/>
    <s v="Jan"/>
    <x v="1"/>
    <x v="0"/>
    <s v="Order assembled"/>
    <x v="0"/>
    <x v="0"/>
    <x v="0"/>
    <n v="265"/>
    <n v="378.95"/>
  </r>
  <r>
    <s v="AD01-9362"/>
    <x v="0"/>
    <s v="Jan"/>
    <x v="1"/>
    <x v="0"/>
    <s v="Order assembled"/>
    <x v="0"/>
    <x v="0"/>
    <x v="0"/>
    <n v="768"/>
    <n v="1098.24"/>
  </r>
  <r>
    <s v="AD01-9361"/>
    <x v="0"/>
    <s v="Jan"/>
    <x v="1"/>
    <x v="0"/>
    <s v="Order assembled"/>
    <x v="0"/>
    <x v="0"/>
    <x v="0"/>
    <n v="801"/>
    <n v="1145.43"/>
  </r>
  <r>
    <s v="AD01-9364"/>
    <x v="0"/>
    <s v="Jan"/>
    <x v="1"/>
    <x v="0"/>
    <s v="Order assembled"/>
    <x v="0"/>
    <x v="0"/>
    <x v="0"/>
    <n v="854"/>
    <n v="1221.22"/>
  </r>
  <r>
    <s v="AD01-9361"/>
    <x v="0"/>
    <s v="Jan"/>
    <x v="1"/>
    <x v="0"/>
    <s v="Order assembled"/>
    <x v="0"/>
    <x v="0"/>
    <x v="0"/>
    <n v="788"/>
    <n v="1126.8399999999999"/>
  </r>
  <r>
    <s v="AD01-9362"/>
    <x v="0"/>
    <s v="Jan"/>
    <x v="1"/>
    <x v="0"/>
    <s v="Order assembled"/>
    <x v="0"/>
    <x v="0"/>
    <x v="0"/>
    <n v="263"/>
    <n v="376.09000000000003"/>
  </r>
  <r>
    <s v="AD01-9362"/>
    <x v="0"/>
    <s v="Jan"/>
    <x v="1"/>
    <x v="0"/>
    <s v="Order assembled"/>
    <x v="0"/>
    <x v="0"/>
    <x v="0"/>
    <n v="347"/>
    <n v="496.21000000000004"/>
  </r>
  <r>
    <s v="AD01-9364"/>
    <x v="0"/>
    <s v="Jan"/>
    <x v="1"/>
    <x v="0"/>
    <s v="Order assembled"/>
    <x v="0"/>
    <x v="0"/>
    <x v="0"/>
    <n v="317"/>
    <n v="453.31"/>
  </r>
  <r>
    <s v="AD01-9362"/>
    <x v="0"/>
    <s v="Jul"/>
    <x v="1"/>
    <x v="0"/>
    <s v="Order assembled"/>
    <x v="0"/>
    <x v="0"/>
    <x v="0"/>
    <n v="314"/>
    <n v="449.02"/>
  </r>
  <r>
    <s v="AD01-9364"/>
    <x v="0"/>
    <s v="Jul"/>
    <x v="1"/>
    <x v="0"/>
    <s v="Order assembled"/>
    <x v="0"/>
    <x v="0"/>
    <x v="0"/>
    <n v="362"/>
    <n v="517.66"/>
  </r>
  <r>
    <s v="AD01-9362"/>
    <x v="0"/>
    <s v="Jul"/>
    <x v="1"/>
    <x v="0"/>
    <s v="Order assembled"/>
    <x v="0"/>
    <x v="0"/>
    <x v="0"/>
    <n v="284"/>
    <n v="406.12"/>
  </r>
  <r>
    <s v="AD01-9362"/>
    <x v="0"/>
    <s v="Jul"/>
    <x v="1"/>
    <x v="0"/>
    <s v="Order assembled"/>
    <x v="0"/>
    <x v="0"/>
    <x v="0"/>
    <n v="358"/>
    <n v="526.24"/>
  </r>
  <r>
    <s v="AD01-9362"/>
    <x v="0"/>
    <s v="Jul"/>
    <x v="1"/>
    <x v="0"/>
    <s v="Order assembled"/>
    <x v="0"/>
    <x v="0"/>
    <x v="0"/>
    <n v="286"/>
    <n v="526.24"/>
  </r>
  <r>
    <s v="AD01-9362"/>
    <x v="0"/>
    <s v="Jul"/>
    <x v="1"/>
    <x v="0"/>
    <s v="Order assembled"/>
    <x v="0"/>
    <x v="0"/>
    <x v="0"/>
    <n v="992"/>
    <n v="1418.56"/>
  </r>
  <r>
    <s v="AD01-9362"/>
    <x v="0"/>
    <s v="Jul"/>
    <x v="1"/>
    <x v="0"/>
    <s v="Order assembled"/>
    <x v="0"/>
    <x v="0"/>
    <x v="0"/>
    <n v="1025"/>
    <n v="1465.75"/>
  </r>
  <r>
    <s v="AD01-9361"/>
    <x v="0"/>
    <s v="Jul"/>
    <x v="1"/>
    <x v="0"/>
    <s v="Order assembled"/>
    <x v="0"/>
    <x v="0"/>
    <x v="0"/>
    <n v="288"/>
    <n v="411.84000000000003"/>
  </r>
  <r>
    <s v="AD01-9361"/>
    <x v="0"/>
    <s v="Jul"/>
    <x v="1"/>
    <x v="0"/>
    <s v="Order assembled"/>
    <x v="0"/>
    <x v="0"/>
    <x v="0"/>
    <n v="315"/>
    <n v="450.45"/>
  </r>
  <r>
    <s v="AD01-9362"/>
    <x v="0"/>
    <s v="Jul"/>
    <x v="1"/>
    <x v="0"/>
    <s v="Order assembled"/>
    <x v="0"/>
    <x v="0"/>
    <x v="0"/>
    <n v="285"/>
    <n v="407.55"/>
  </r>
  <r>
    <s v="AD01-9362"/>
    <x v="0"/>
    <s v="Jul"/>
    <x v="1"/>
    <x v="0"/>
    <s v="Order assembled"/>
    <x v="0"/>
    <x v="0"/>
    <x v="0"/>
    <n v="773"/>
    <n v="1105.3899999999999"/>
  </r>
  <r>
    <s v="AD01-9361"/>
    <x v="0"/>
    <s v="Jul"/>
    <x v="1"/>
    <x v="0"/>
    <s v="Order assembled"/>
    <x v="0"/>
    <x v="0"/>
    <x v="0"/>
    <n v="806"/>
    <n v="1152.58"/>
  </r>
  <r>
    <s v="AD01-9362"/>
    <x v="0"/>
    <s v="Jul"/>
    <x v="1"/>
    <x v="0"/>
    <s v="Order assembled"/>
    <x v="0"/>
    <x v="0"/>
    <x v="0"/>
    <n v="311"/>
    <n v="444.73"/>
  </r>
  <r>
    <s v="AD01-9362"/>
    <x v="0"/>
    <s v="Jul"/>
    <x v="1"/>
    <x v="0"/>
    <s v="Order assembled"/>
    <x v="0"/>
    <x v="0"/>
    <x v="0"/>
    <n v="359"/>
    <n v="513.37"/>
  </r>
  <r>
    <s v="AD01-9362"/>
    <x v="0"/>
    <s v="Jul"/>
    <x v="1"/>
    <x v="0"/>
    <s v="Order assembled"/>
    <x v="0"/>
    <x v="0"/>
    <x v="0"/>
    <n v="287"/>
    <n v="410.40999999999997"/>
  </r>
  <r>
    <s v="AD01-9362"/>
    <x v="0"/>
    <s v="Jun"/>
    <x v="1"/>
    <x v="0"/>
    <s v="Order assembled"/>
    <x v="0"/>
    <x v="0"/>
    <x v="0"/>
    <n v="320"/>
    <n v="457.6"/>
  </r>
  <r>
    <s v="AD01-9362"/>
    <x v="0"/>
    <s v="Jun"/>
    <x v="1"/>
    <x v="0"/>
    <s v="Order assembled"/>
    <x v="0"/>
    <x v="0"/>
    <x v="0"/>
    <n v="290"/>
    <n v="414.7"/>
  </r>
  <r>
    <s v="AD01-9365"/>
    <x v="0"/>
    <s v="Jun"/>
    <x v="1"/>
    <x v="0"/>
    <s v="Order assembled"/>
    <x v="0"/>
    <x v="0"/>
    <x v="0"/>
    <n v="316"/>
    <n v="526.24"/>
  </r>
  <r>
    <s v="AD01-9361"/>
    <x v="0"/>
    <s v="Jun"/>
    <x v="1"/>
    <x v="0"/>
    <s v="Order assembled"/>
    <x v="0"/>
    <x v="0"/>
    <x v="0"/>
    <n v="364"/>
    <n v="526.24"/>
  </r>
  <r>
    <s v="AD01-9365"/>
    <x v="0"/>
    <s v="Jun"/>
    <x v="1"/>
    <x v="0"/>
    <s v="Order assembled"/>
    <x v="0"/>
    <x v="0"/>
    <x v="0"/>
    <n v="292"/>
    <n v="526.24"/>
  </r>
  <r>
    <s v="AD01-9362"/>
    <x v="0"/>
    <s v="Jun"/>
    <x v="1"/>
    <x v="0"/>
    <s v="Order assembled"/>
    <x v="0"/>
    <x v="0"/>
    <x v="0"/>
    <n v="991"/>
    <n v="1417.13"/>
  </r>
  <r>
    <s v="AD01-9364"/>
    <x v="0"/>
    <s v="Jun"/>
    <x v="1"/>
    <x v="0"/>
    <s v="Order assembled"/>
    <x v="0"/>
    <x v="0"/>
    <x v="0"/>
    <n v="1024"/>
    <n v="1464.32"/>
  </r>
  <r>
    <s v="AD01-9361"/>
    <x v="0"/>
    <s v="Jun"/>
    <x v="1"/>
    <x v="0"/>
    <s v="Order assembled"/>
    <x v="0"/>
    <x v="0"/>
    <x v="0"/>
    <n v="294"/>
    <n v="420.42"/>
  </r>
  <r>
    <s v="AD01-9361"/>
    <x v="0"/>
    <s v="Jun"/>
    <x v="1"/>
    <x v="0"/>
    <s v="Order assembled"/>
    <x v="0"/>
    <x v="0"/>
    <x v="0"/>
    <n v="321"/>
    <n v="459.03"/>
  </r>
  <r>
    <s v="AD01-9361"/>
    <x v="0"/>
    <s v="Jun"/>
    <x v="1"/>
    <x v="0"/>
    <s v="Order assembled"/>
    <x v="0"/>
    <x v="0"/>
    <x v="0"/>
    <n v="363"/>
    <n v="519.09"/>
  </r>
  <r>
    <s v="AD01-9362"/>
    <x v="0"/>
    <s v="Jun"/>
    <x v="1"/>
    <x v="0"/>
    <s v="Order assembled"/>
    <x v="0"/>
    <x v="0"/>
    <x v="0"/>
    <n v="291"/>
    <n v="416.13"/>
  </r>
  <r>
    <s v="AD01-9365"/>
    <x v="0"/>
    <s v="Jun"/>
    <x v="1"/>
    <x v="0"/>
    <s v="Order assembled"/>
    <x v="0"/>
    <x v="0"/>
    <x v="0"/>
    <n v="772"/>
    <n v="1103.96"/>
  </r>
  <r>
    <s v="AD01-9361"/>
    <x v="0"/>
    <s v="Jun"/>
    <x v="1"/>
    <x v="0"/>
    <s v="Order assembled"/>
    <x v="0"/>
    <x v="0"/>
    <x v="0"/>
    <n v="805"/>
    <n v="1151.1500000000001"/>
  </r>
  <r>
    <s v="AD01-9365"/>
    <x v="0"/>
    <s v="Jun"/>
    <x v="1"/>
    <x v="0"/>
    <s v="Order assembled"/>
    <x v="0"/>
    <x v="0"/>
    <x v="0"/>
    <n v="859"/>
    <n v="1228.3699999999999"/>
  </r>
  <r>
    <s v="AD01-9362"/>
    <x v="0"/>
    <s v="Jun"/>
    <x v="1"/>
    <x v="0"/>
    <s v="Order assembled"/>
    <x v="0"/>
    <x v="0"/>
    <x v="0"/>
    <n v="317"/>
    <n v="453.31"/>
  </r>
  <r>
    <s v="AD01-9362"/>
    <x v="0"/>
    <s v="Jun"/>
    <x v="1"/>
    <x v="0"/>
    <s v="Order assembled"/>
    <x v="0"/>
    <x v="0"/>
    <x v="0"/>
    <n v="365"/>
    <n v="521.95000000000005"/>
  </r>
  <r>
    <s v="AD01-9362"/>
    <x v="0"/>
    <s v="Jun"/>
    <x v="1"/>
    <x v="0"/>
    <s v="Order assembled"/>
    <x v="0"/>
    <x v="0"/>
    <x v="0"/>
    <n v="293"/>
    <n v="418.99"/>
  </r>
  <r>
    <s v="AD01-9364"/>
    <x v="0"/>
    <s v="Mar"/>
    <x v="1"/>
    <x v="0"/>
    <s v="Order assembled"/>
    <x v="0"/>
    <x v="0"/>
    <x v="0"/>
    <n v="332"/>
    <n v="474.76"/>
  </r>
  <r>
    <s v="AD01-9361"/>
    <x v="0"/>
    <s v="Mar"/>
    <x v="1"/>
    <x v="0"/>
    <s v="Order assembled"/>
    <x v="0"/>
    <x v="0"/>
    <x v="0"/>
    <n v="134"/>
    <n v="191.62"/>
  </r>
  <r>
    <s v="AD01-9362"/>
    <x v="0"/>
    <s v="Mar"/>
    <x v="1"/>
    <x v="0"/>
    <s v="Order assembled"/>
    <x v="0"/>
    <x v="0"/>
    <x v="0"/>
    <n v="308"/>
    <n v="440.44"/>
  </r>
  <r>
    <s v="AD01-9364"/>
    <x v="0"/>
    <s v="Mar"/>
    <x v="1"/>
    <x v="0"/>
    <s v="Order assembled"/>
    <x v="0"/>
    <x v="0"/>
    <x v="0"/>
    <n v="334"/>
    <n v="526.24"/>
  </r>
  <r>
    <s v="AD01-9364"/>
    <x v="0"/>
    <s v="Mar"/>
    <x v="1"/>
    <x v="0"/>
    <s v="Order assembled"/>
    <x v="0"/>
    <x v="0"/>
    <x v="0"/>
    <n v="136"/>
    <n v="526.24"/>
  </r>
  <r>
    <s v="AD01-9362"/>
    <x v="0"/>
    <s v="Mar"/>
    <x v="1"/>
    <x v="0"/>
    <s v="Order assembled"/>
    <x v="0"/>
    <x v="0"/>
    <x v="0"/>
    <n v="310"/>
    <n v="526.24"/>
  </r>
  <r>
    <s v="AD01-9362"/>
    <x v="0"/>
    <s v="Mar"/>
    <x v="1"/>
    <x v="0"/>
    <s v="Order assembled"/>
    <x v="0"/>
    <x v="0"/>
    <x v="0"/>
    <n v="988"/>
    <n v="1412.84"/>
  </r>
  <r>
    <s v="AD01-9361"/>
    <x v="0"/>
    <s v="Mar"/>
    <x v="1"/>
    <x v="0"/>
    <s v="Order assembled"/>
    <x v="0"/>
    <x v="0"/>
    <x v="0"/>
    <n v="306"/>
    <n v="437.58"/>
  </r>
  <r>
    <s v="AD01-9361"/>
    <x v="0"/>
    <s v="Mar"/>
    <x v="1"/>
    <x v="0"/>
    <s v="Order assembled"/>
    <x v="0"/>
    <x v="0"/>
    <x v="0"/>
    <n v="333"/>
    <n v="476.19"/>
  </r>
  <r>
    <s v="AD01-9364"/>
    <x v="0"/>
    <s v="Mar"/>
    <x v="1"/>
    <x v="0"/>
    <s v="Order assembled"/>
    <x v="0"/>
    <x v="0"/>
    <x v="0"/>
    <n v="135"/>
    <n v="193.05"/>
  </r>
  <r>
    <s v="AD01-9362"/>
    <x v="0"/>
    <s v="Mar"/>
    <x v="1"/>
    <x v="0"/>
    <s v="Order assembled"/>
    <x v="0"/>
    <x v="0"/>
    <x v="0"/>
    <n v="309"/>
    <n v="441.87"/>
  </r>
  <r>
    <s v="AD01-9362"/>
    <x v="0"/>
    <s v="Mar"/>
    <x v="1"/>
    <x v="0"/>
    <s v="Order assembled"/>
    <x v="0"/>
    <x v="0"/>
    <x v="0"/>
    <n v="769"/>
    <n v="1099.67"/>
  </r>
  <r>
    <s v="AD01-9364"/>
    <x v="0"/>
    <s v="Mar"/>
    <x v="1"/>
    <x v="0"/>
    <s v="Order assembled"/>
    <x v="0"/>
    <x v="0"/>
    <x v="0"/>
    <n v="803"/>
    <n v="1148.29"/>
  </r>
  <r>
    <s v="AD01-9364"/>
    <x v="0"/>
    <s v="Mar"/>
    <x v="1"/>
    <x v="0"/>
    <s v="Order assembled"/>
    <x v="0"/>
    <x v="0"/>
    <x v="0"/>
    <n v="856"/>
    <n v="1224.08"/>
  </r>
  <r>
    <s v="AD01-9362"/>
    <x v="0"/>
    <s v="Mar"/>
    <x v="1"/>
    <x v="0"/>
    <s v="Order assembled"/>
    <x v="0"/>
    <x v="0"/>
    <x v="0"/>
    <n v="335"/>
    <n v="479.05"/>
  </r>
  <r>
    <s v="AD01-9364"/>
    <x v="0"/>
    <s v="Mar"/>
    <x v="1"/>
    <x v="0"/>
    <s v="Order assembled"/>
    <x v="0"/>
    <x v="0"/>
    <x v="0"/>
    <n v="137"/>
    <n v="195.91"/>
  </r>
  <r>
    <s v="AD01-9364"/>
    <x v="0"/>
    <s v="Mar"/>
    <x v="1"/>
    <x v="0"/>
    <s v="Order assembled"/>
    <x v="0"/>
    <x v="0"/>
    <x v="0"/>
    <n v="305"/>
    <n v="436.15"/>
  </r>
  <r>
    <s v="AD01-9361"/>
    <x v="0"/>
    <s v="May"/>
    <x v="1"/>
    <x v="0"/>
    <s v="Order assembled"/>
    <x v="0"/>
    <x v="0"/>
    <x v="0"/>
    <n v="326"/>
    <n v="466.18"/>
  </r>
  <r>
    <s v="AD01-9362"/>
    <x v="0"/>
    <s v="May"/>
    <x v="1"/>
    <x v="0"/>
    <s v="Order assembled"/>
    <x v="0"/>
    <x v="0"/>
    <x v="0"/>
    <n v="368"/>
    <n v="526.24"/>
  </r>
  <r>
    <s v="AD01-9362"/>
    <x v="0"/>
    <s v="May"/>
    <x v="1"/>
    <x v="0"/>
    <s v="Order assembled"/>
    <x v="0"/>
    <x v="0"/>
    <x v="0"/>
    <n v="296"/>
    <n v="423.28"/>
  </r>
  <r>
    <s v="AD01-9362"/>
    <x v="0"/>
    <s v="May"/>
    <x v="1"/>
    <x v="0"/>
    <s v="Order assembled"/>
    <x v="0"/>
    <x v="0"/>
    <x v="0"/>
    <n v="322"/>
    <n v="526.24"/>
  </r>
  <r>
    <s v="AD01-9365"/>
    <x v="0"/>
    <s v="May"/>
    <x v="1"/>
    <x v="0"/>
    <s v="Order assembled"/>
    <x v="0"/>
    <x v="0"/>
    <x v="0"/>
    <n v="370"/>
    <n v="526.24"/>
  </r>
  <r>
    <s v="AD01-9364"/>
    <x v="0"/>
    <s v="May"/>
    <x v="1"/>
    <x v="0"/>
    <s v="Order assembled"/>
    <x v="0"/>
    <x v="0"/>
    <x v="0"/>
    <n v="298"/>
    <n v="526.24"/>
  </r>
  <r>
    <s v="AD01-9364"/>
    <x v="0"/>
    <s v="May"/>
    <x v="1"/>
    <x v="0"/>
    <s v="Order assembled"/>
    <x v="0"/>
    <x v="0"/>
    <x v="0"/>
    <n v="990"/>
    <n v="1415.7"/>
  </r>
  <r>
    <s v="AD01-9361"/>
    <x v="0"/>
    <s v="May"/>
    <x v="1"/>
    <x v="0"/>
    <s v="Order assembled"/>
    <x v="0"/>
    <x v="0"/>
    <x v="0"/>
    <n v="1023"/>
    <n v="1462.8899999999999"/>
  </r>
  <r>
    <s v="AD01-9362"/>
    <x v="0"/>
    <s v="May"/>
    <x v="1"/>
    <x v="0"/>
    <s v="Order assembled"/>
    <x v="0"/>
    <x v="0"/>
    <x v="0"/>
    <n v="369"/>
    <n v="527.66999999999996"/>
  </r>
  <r>
    <s v="AD01-9364"/>
    <x v="0"/>
    <s v="May"/>
    <x v="1"/>
    <x v="0"/>
    <s v="Order assembled"/>
    <x v="0"/>
    <x v="0"/>
    <x v="0"/>
    <n v="297"/>
    <n v="424.71"/>
  </r>
  <r>
    <s v="AD01-9364"/>
    <x v="0"/>
    <s v="May"/>
    <x v="1"/>
    <x v="0"/>
    <s v="Order assembled"/>
    <x v="0"/>
    <x v="0"/>
    <x v="0"/>
    <n v="771"/>
    <n v="1102.53"/>
  </r>
  <r>
    <s v="AD01-9361"/>
    <x v="0"/>
    <s v="May"/>
    <x v="1"/>
    <x v="0"/>
    <s v="Order assembled"/>
    <x v="0"/>
    <x v="0"/>
    <x v="0"/>
    <n v="804"/>
    <n v="1149.72"/>
  </r>
  <r>
    <s v="AD01-9362"/>
    <x v="0"/>
    <s v="May"/>
    <x v="1"/>
    <x v="0"/>
    <s v="Order assembled"/>
    <x v="0"/>
    <x v="0"/>
    <x v="0"/>
    <n v="858"/>
    <n v="1226.94"/>
  </r>
  <r>
    <s v="AD01-9362"/>
    <x v="0"/>
    <s v="May"/>
    <x v="1"/>
    <x v="0"/>
    <s v="Order assembled"/>
    <x v="0"/>
    <x v="0"/>
    <x v="0"/>
    <n v="323"/>
    <n v="461.89"/>
  </r>
  <r>
    <s v="AD01-9361"/>
    <x v="0"/>
    <s v="May"/>
    <x v="1"/>
    <x v="0"/>
    <s v="Order assembled"/>
    <x v="0"/>
    <x v="0"/>
    <x v="0"/>
    <n v="371"/>
    <n v="530.53"/>
  </r>
  <r>
    <s v="AD01-9361"/>
    <x v="0"/>
    <s v="May"/>
    <x v="1"/>
    <x v="0"/>
    <s v="Order assembled"/>
    <x v="0"/>
    <x v="0"/>
    <x v="0"/>
    <n v="299"/>
    <n v="427.57"/>
  </r>
  <r>
    <s v="AD01-9361"/>
    <x v="0"/>
    <s v="Nov"/>
    <x v="1"/>
    <x v="0"/>
    <s v="Order assembled"/>
    <x v="0"/>
    <x v="0"/>
    <x v="0"/>
    <n v="290"/>
    <n v="414.7"/>
  </r>
  <r>
    <s v="AD01-9362"/>
    <x v="0"/>
    <s v="Nov"/>
    <x v="1"/>
    <x v="0"/>
    <s v="Order assembled"/>
    <x v="0"/>
    <x v="0"/>
    <x v="0"/>
    <n v="338"/>
    <n v="483.34000000000003"/>
  </r>
  <r>
    <s v="AD01-9362"/>
    <x v="0"/>
    <s v="Nov"/>
    <x v="1"/>
    <x v="0"/>
    <s v="Order assembled"/>
    <x v="0"/>
    <x v="0"/>
    <x v="0"/>
    <n v="266"/>
    <n v="380.38"/>
  </r>
  <r>
    <s v="AD01-9361"/>
    <x v="0"/>
    <s v="Nov"/>
    <x v="1"/>
    <x v="0"/>
    <s v="Order assembled"/>
    <x v="0"/>
    <x v="0"/>
    <x v="0"/>
    <n v="292"/>
    <n v="526.24"/>
  </r>
  <r>
    <s v="AD01-9361"/>
    <x v="0"/>
    <s v="Nov"/>
    <x v="1"/>
    <x v="0"/>
    <s v="Order assembled"/>
    <x v="0"/>
    <x v="0"/>
    <x v="0"/>
    <n v="340"/>
    <n v="526.24"/>
  </r>
  <r>
    <s v="AD01-9362"/>
    <x v="0"/>
    <s v="Nov"/>
    <x v="1"/>
    <x v="0"/>
    <s v="Order assembled"/>
    <x v="0"/>
    <x v="0"/>
    <x v="0"/>
    <n v="995"/>
    <n v="1422.85"/>
  </r>
  <r>
    <s v="AD01-9364"/>
    <x v="0"/>
    <s v="Nov"/>
    <x v="1"/>
    <x v="0"/>
    <s v="Order assembled"/>
    <x v="0"/>
    <x v="0"/>
    <x v="0"/>
    <n v="1029"/>
    <n v="1471.47"/>
  </r>
  <r>
    <s v="AD01-9362"/>
    <x v="0"/>
    <s v="Nov"/>
    <x v="1"/>
    <x v="0"/>
    <s v="Order assembled"/>
    <x v="0"/>
    <x v="0"/>
    <x v="0"/>
    <n v="264"/>
    <n v="377.52"/>
  </r>
  <r>
    <s v="AD01-9362"/>
    <x v="0"/>
    <s v="Nov"/>
    <x v="1"/>
    <x v="0"/>
    <s v="Order assembled"/>
    <x v="0"/>
    <x v="0"/>
    <x v="0"/>
    <n v="291"/>
    <n v="416.13"/>
  </r>
  <r>
    <s v="AD01-9362"/>
    <x v="0"/>
    <s v="Nov"/>
    <x v="1"/>
    <x v="0"/>
    <s v="Order assembled"/>
    <x v="0"/>
    <x v="0"/>
    <x v="0"/>
    <n v="339"/>
    <n v="484.77"/>
  </r>
  <r>
    <s v="AD01-9362"/>
    <x v="0"/>
    <s v="Nov"/>
    <x v="1"/>
    <x v="0"/>
    <s v="Order assembled"/>
    <x v="0"/>
    <x v="0"/>
    <x v="0"/>
    <n v="267"/>
    <n v="381.81"/>
  </r>
  <r>
    <s v="AD01-9364"/>
    <x v="0"/>
    <s v="Nov"/>
    <x v="1"/>
    <x v="0"/>
    <s v="Order assembled"/>
    <x v="0"/>
    <x v="0"/>
    <x v="0"/>
    <n v="810"/>
    <n v="1158.3"/>
  </r>
  <r>
    <s v="AD01-9361"/>
    <x v="0"/>
    <s v="Nov"/>
    <x v="1"/>
    <x v="0"/>
    <s v="Order assembled"/>
    <x v="0"/>
    <x v="0"/>
    <x v="0"/>
    <n v="863"/>
    <n v="1234.0899999999999"/>
  </r>
  <r>
    <s v="AD01-9362"/>
    <x v="0"/>
    <s v="Nov"/>
    <x v="1"/>
    <x v="0"/>
    <s v="Order assembled"/>
    <x v="0"/>
    <x v="1"/>
    <x v="0"/>
    <n v="293"/>
    <n v="418.99"/>
  </r>
  <r>
    <s v="AD01-9363"/>
    <x v="0"/>
    <s v="Nov"/>
    <x v="1"/>
    <x v="0"/>
    <s v="Order assembled"/>
    <x v="0"/>
    <x v="1"/>
    <x v="0"/>
    <n v="341"/>
    <n v="487.63"/>
  </r>
  <r>
    <s v="AD01-9361"/>
    <x v="0"/>
    <s v="Nov"/>
    <x v="1"/>
    <x v="0"/>
    <s v="Order assembled"/>
    <x v="0"/>
    <x v="1"/>
    <x v="0"/>
    <n v="263"/>
    <n v="376.09000000000003"/>
  </r>
  <r>
    <s v="AD01-9362"/>
    <x v="0"/>
    <s v="Oct"/>
    <x v="1"/>
    <x v="0"/>
    <s v="Order assembled"/>
    <x v="0"/>
    <x v="1"/>
    <x v="0"/>
    <n v="296"/>
    <n v="423.28"/>
  </r>
  <r>
    <s v="AD01-9363"/>
    <x v="0"/>
    <s v="Oct"/>
    <x v="1"/>
    <x v="0"/>
    <s v="Order assembled"/>
    <x v="0"/>
    <x v="1"/>
    <x v="0"/>
    <n v="344"/>
    <n v="491.91999999999996"/>
  </r>
  <r>
    <s v="AD01-9362"/>
    <x v="0"/>
    <s v="Oct"/>
    <x v="1"/>
    <x v="0"/>
    <s v="Order assembled"/>
    <x v="0"/>
    <x v="1"/>
    <x v="0"/>
    <n v="272"/>
    <n v="388.96"/>
  </r>
  <r>
    <s v="AD01-9361"/>
    <x v="0"/>
    <s v="Oct"/>
    <x v="1"/>
    <x v="0"/>
    <s v="Order assembled"/>
    <x v="0"/>
    <x v="1"/>
    <x v="0"/>
    <n v="298"/>
    <n v="526.24"/>
  </r>
  <r>
    <s v="AD01-9363"/>
    <x v="0"/>
    <s v="Oct"/>
    <x v="1"/>
    <x v="0"/>
    <s v="Order assembled"/>
    <x v="0"/>
    <x v="1"/>
    <x v="0"/>
    <n v="346"/>
    <n v="526.24"/>
  </r>
  <r>
    <s v="AD01-9365"/>
    <x v="0"/>
    <s v="Oct"/>
    <x v="1"/>
    <x v="0"/>
    <s v="Order assembled"/>
    <x v="0"/>
    <x v="1"/>
    <x v="0"/>
    <n v="268"/>
    <n v="526.24"/>
  </r>
  <r>
    <s v="AD01-9362"/>
    <x v="0"/>
    <s v="Oct"/>
    <x v="1"/>
    <x v="0"/>
    <s v="Order assembled"/>
    <x v="0"/>
    <x v="1"/>
    <x v="0"/>
    <n v="1028"/>
    <n v="1470.04"/>
  </r>
  <r>
    <s v="AD01-9364"/>
    <x v="0"/>
    <s v="Oct"/>
    <x v="1"/>
    <x v="0"/>
    <s v="Order assembled"/>
    <x v="0"/>
    <x v="1"/>
    <x v="0"/>
    <n v="270"/>
    <n v="386.1"/>
  </r>
  <r>
    <s v="AD01-9364"/>
    <x v="0"/>
    <s v="Oct"/>
    <x v="1"/>
    <x v="0"/>
    <s v="Order assembled"/>
    <x v="0"/>
    <x v="1"/>
    <x v="0"/>
    <n v="297"/>
    <n v="424.71"/>
  </r>
  <r>
    <s v="AD01-9362"/>
    <x v="0"/>
    <s v="Oct"/>
    <x v="1"/>
    <x v="0"/>
    <s v="Order assembled"/>
    <x v="0"/>
    <x v="1"/>
    <x v="0"/>
    <n v="345"/>
    <n v="493.35"/>
  </r>
  <r>
    <s v="AD01-9365"/>
    <x v="0"/>
    <s v="Oct"/>
    <x v="1"/>
    <x v="0"/>
    <s v="Order assembled"/>
    <x v="0"/>
    <x v="1"/>
    <x v="0"/>
    <n v="776"/>
    <n v="1109.68"/>
  </r>
  <r>
    <s v="AD01-9362"/>
    <x v="0"/>
    <s v="Oct"/>
    <x v="1"/>
    <x v="0"/>
    <s v="Order assembled"/>
    <x v="0"/>
    <x v="1"/>
    <x v="0"/>
    <n v="809"/>
    <n v="1156.8699999999999"/>
  </r>
  <r>
    <s v="AD01-9361"/>
    <x v="0"/>
    <s v="Oct"/>
    <x v="1"/>
    <x v="0"/>
    <s v="Order assembled"/>
    <x v="0"/>
    <x v="1"/>
    <x v="0"/>
    <n v="862"/>
    <n v="1232.6599999999999"/>
  </r>
  <r>
    <s v="AD01-9362"/>
    <x v="0"/>
    <s v="Oct"/>
    <x v="1"/>
    <x v="0"/>
    <s v="Order assembled"/>
    <x v="0"/>
    <x v="1"/>
    <x v="0"/>
    <n v="299"/>
    <n v="427.57"/>
  </r>
  <r>
    <s v="AD01-9362"/>
    <x v="0"/>
    <s v="Oct"/>
    <x v="1"/>
    <x v="0"/>
    <s v="Order assembled"/>
    <x v="0"/>
    <x v="1"/>
    <x v="0"/>
    <n v="269"/>
    <n v="384.67"/>
  </r>
  <r>
    <s v="AD01-9362"/>
    <x v="0"/>
    <s v="Sep"/>
    <x v="1"/>
    <x v="0"/>
    <s v="Order assembled"/>
    <x v="0"/>
    <x v="1"/>
    <x v="0"/>
    <n v="302"/>
    <n v="431.86"/>
  </r>
  <r>
    <s v="AD01-9361"/>
    <x v="0"/>
    <s v="Sep"/>
    <x v="1"/>
    <x v="0"/>
    <s v="Order assembled"/>
    <x v="0"/>
    <x v="1"/>
    <x v="0"/>
    <n v="350"/>
    <n v="500.5"/>
  </r>
  <r>
    <s v="AD01-9361"/>
    <x v="0"/>
    <s v="Sep"/>
    <x v="1"/>
    <x v="0"/>
    <s v="Order assembled"/>
    <x v="0"/>
    <x v="1"/>
    <x v="0"/>
    <n v="278"/>
    <n v="397.53999999999996"/>
  </r>
  <r>
    <s v="AD01-9362"/>
    <x v="0"/>
    <s v="Sep"/>
    <x v="1"/>
    <x v="0"/>
    <s v="Order assembled"/>
    <x v="0"/>
    <x v="1"/>
    <x v="0"/>
    <n v="304"/>
    <n v="526.24"/>
  </r>
  <r>
    <s v="AD01-9361"/>
    <x v="0"/>
    <s v="Sep"/>
    <x v="1"/>
    <x v="0"/>
    <s v="Order assembled"/>
    <x v="0"/>
    <x v="1"/>
    <x v="0"/>
    <n v="274"/>
    <n v="526.24"/>
  </r>
  <r>
    <s v="AD01-9363"/>
    <x v="0"/>
    <s v="Sep"/>
    <x v="1"/>
    <x v="0"/>
    <s v="Order assembled"/>
    <x v="0"/>
    <x v="1"/>
    <x v="0"/>
    <n v="994"/>
    <n v="1421.42"/>
  </r>
  <r>
    <s v="AD01-9362"/>
    <x v="0"/>
    <s v="Sep"/>
    <x v="1"/>
    <x v="0"/>
    <s v="Order assembled"/>
    <x v="0"/>
    <x v="1"/>
    <x v="0"/>
    <n v="1027"/>
    <n v="1468.6100000000001"/>
  </r>
  <r>
    <s v="AD01-9361"/>
    <x v="0"/>
    <s v="Sep"/>
    <x v="1"/>
    <x v="0"/>
    <s v="Order assembled"/>
    <x v="0"/>
    <x v="1"/>
    <x v="0"/>
    <n v="276"/>
    <n v="394.68"/>
  </r>
  <r>
    <s v="AD01-9361"/>
    <x v="0"/>
    <s v="Sep"/>
    <x v="1"/>
    <x v="0"/>
    <s v="Order assembled"/>
    <x v="0"/>
    <x v="1"/>
    <x v="0"/>
    <n v="303"/>
    <n v="433.28999999999996"/>
  </r>
  <r>
    <s v="AD01-9361"/>
    <x v="0"/>
    <s v="Sep"/>
    <x v="1"/>
    <x v="0"/>
    <s v="Order assembled"/>
    <x v="0"/>
    <x v="1"/>
    <x v="0"/>
    <n v="351"/>
    <n v="501.93"/>
  </r>
  <r>
    <s v="AD01-9363"/>
    <x v="0"/>
    <s v="Sep"/>
    <x v="1"/>
    <x v="0"/>
    <s v="Order assembled"/>
    <x v="0"/>
    <x v="1"/>
    <x v="0"/>
    <n v="273"/>
    <n v="390.39"/>
  </r>
  <r>
    <s v="AD01-9361"/>
    <x v="0"/>
    <s v="Sep"/>
    <x v="1"/>
    <x v="0"/>
    <s v="Order assembled"/>
    <x v="0"/>
    <x v="1"/>
    <x v="0"/>
    <n v="775"/>
    <n v="1108.25"/>
  </r>
  <r>
    <s v="AD01-9361"/>
    <x v="0"/>
    <s v="Sep"/>
    <x v="1"/>
    <x v="0"/>
    <s v="Order assembled"/>
    <x v="0"/>
    <x v="1"/>
    <x v="0"/>
    <n v="808"/>
    <n v="1155.44"/>
  </r>
  <r>
    <s v="AD01-9362"/>
    <x v="0"/>
    <s v="Sep"/>
    <x v="1"/>
    <x v="0"/>
    <s v="Order assembled"/>
    <x v="0"/>
    <x v="1"/>
    <x v="0"/>
    <n v="861"/>
    <n v="1231.23"/>
  </r>
  <r>
    <s v="AD01-9361"/>
    <x v="0"/>
    <s v="Sep"/>
    <x v="1"/>
    <x v="0"/>
    <s v="Order assembled"/>
    <x v="0"/>
    <x v="1"/>
    <x v="0"/>
    <n v="305"/>
    <n v="436.15"/>
  </r>
  <r>
    <s v="AD01-9361"/>
    <x v="0"/>
    <s v="Sep"/>
    <x v="1"/>
    <x v="0"/>
    <s v="Order assembled"/>
    <x v="0"/>
    <x v="1"/>
    <x v="0"/>
    <n v="347"/>
    <n v="496.21000000000004"/>
  </r>
  <r>
    <s v="AD01-9362"/>
    <x v="0"/>
    <s v="Sep"/>
    <x v="1"/>
    <x v="0"/>
    <s v="Order assembled"/>
    <x v="0"/>
    <x v="1"/>
    <x v="0"/>
    <n v="1111"/>
    <n v="1588.73"/>
  </r>
  <r>
    <s v="AD01-9362"/>
    <x v="0"/>
    <s v="Apr"/>
    <x v="0"/>
    <x v="1"/>
    <s v="Cancelld"/>
    <x v="1"/>
    <x v="1"/>
    <x v="0"/>
    <n v="352"/>
    <n v="503.36"/>
  </r>
  <r>
    <s v="AD01-9362"/>
    <x v="0"/>
    <s v="Apr"/>
    <x v="0"/>
    <x v="1"/>
    <s v="Cancelld"/>
    <x v="1"/>
    <x v="1"/>
    <x v="0"/>
    <n v="346"/>
    <n v="494.78"/>
  </r>
  <r>
    <s v="AD01-9362"/>
    <x v="0"/>
    <s v="Apr"/>
    <x v="0"/>
    <x v="1"/>
    <s v="Cancelld"/>
    <x v="1"/>
    <x v="1"/>
    <x v="0"/>
    <n v="340"/>
    <n v="486.2"/>
  </r>
  <r>
    <s v="AD01-9364"/>
    <x v="0"/>
    <s v="Apr"/>
    <x v="0"/>
    <x v="1"/>
    <s v="Cancelld"/>
    <x v="1"/>
    <x v="1"/>
    <x v="0"/>
    <n v="349"/>
    <n v="499.07"/>
  </r>
  <r>
    <s v="AD01-9361"/>
    <x v="0"/>
    <s v="Apr"/>
    <x v="0"/>
    <x v="1"/>
    <s v="Cancelld"/>
    <x v="1"/>
    <x v="1"/>
    <x v="0"/>
    <n v="343"/>
    <n v="490.49"/>
  </r>
  <r>
    <s v="AD01-9363"/>
    <x v="0"/>
    <s v="Aug"/>
    <x v="0"/>
    <x v="1"/>
    <s v="Cancelld"/>
    <x v="1"/>
    <x v="1"/>
    <x v="2"/>
    <n v="286"/>
    <n v="408.98"/>
  </r>
  <r>
    <s v="AD01-9362"/>
    <x v="0"/>
    <s v="Aug"/>
    <x v="0"/>
    <x v="1"/>
    <s v="Cancelld"/>
    <x v="1"/>
    <x v="1"/>
    <x v="2"/>
    <n v="280"/>
    <n v="400.4"/>
  </r>
  <r>
    <s v="AD01-9361"/>
    <x v="0"/>
    <s v="Aug"/>
    <x v="0"/>
    <x v="1"/>
    <s v="Cancelld"/>
    <x v="1"/>
    <x v="1"/>
    <x v="2"/>
    <n v="289"/>
    <n v="413.27"/>
  </r>
  <r>
    <s v="AD01-9364"/>
    <x v="0"/>
    <s v="Aug"/>
    <x v="0"/>
    <x v="1"/>
    <s v="Cancelld"/>
    <x v="1"/>
    <x v="1"/>
    <x v="2"/>
    <n v="283"/>
    <n v="404.69"/>
  </r>
  <r>
    <s v="AD01-9361"/>
    <x v="0"/>
    <s v="Aug"/>
    <x v="0"/>
    <x v="1"/>
    <s v="Cancelld"/>
    <x v="1"/>
    <x v="1"/>
    <x v="2"/>
    <n v="277"/>
    <n v="396.11"/>
  </r>
  <r>
    <s v="AD01-9362"/>
    <x v="0"/>
    <s v="Dec"/>
    <x v="0"/>
    <x v="1"/>
    <s v="Cancelld"/>
    <x v="1"/>
    <x v="1"/>
    <x v="0"/>
    <n v="226"/>
    <n v="323.18"/>
  </r>
  <r>
    <s v="AD01-9361"/>
    <x v="0"/>
    <s v="Dec"/>
    <x v="0"/>
    <x v="1"/>
    <s v="Cancelld"/>
    <x v="1"/>
    <x v="0"/>
    <x v="0"/>
    <n v="220"/>
    <n v="314.60000000000002"/>
  </r>
  <r>
    <s v="AD01-9364"/>
    <x v="0"/>
    <s v="Dec"/>
    <x v="0"/>
    <x v="1"/>
    <s v="Cancelld"/>
    <x v="1"/>
    <x v="0"/>
    <x v="0"/>
    <n v="214"/>
    <n v="306.02"/>
  </r>
  <r>
    <s v="AD01-9361"/>
    <x v="0"/>
    <s v="Dec"/>
    <x v="0"/>
    <x v="1"/>
    <s v="Cancelld"/>
    <x v="1"/>
    <x v="0"/>
    <x v="0"/>
    <n v="223"/>
    <n v="318.89"/>
  </r>
  <r>
    <s v="AD01-9364"/>
    <x v="0"/>
    <s v="Dec"/>
    <x v="0"/>
    <x v="1"/>
    <s v="Cancelld"/>
    <x v="1"/>
    <x v="0"/>
    <x v="0"/>
    <n v="217"/>
    <n v="310.31"/>
  </r>
  <r>
    <s v="AD01-9361"/>
    <x v="0"/>
    <s v="Dec"/>
    <x v="0"/>
    <x v="1"/>
    <s v="Cancelld"/>
    <x v="1"/>
    <x v="0"/>
    <x v="0"/>
    <n v="211"/>
    <n v="301.73"/>
  </r>
  <r>
    <s v="AD01-9361"/>
    <x v="0"/>
    <s v="Jul"/>
    <x v="0"/>
    <x v="1"/>
    <s v="Cancelld"/>
    <x v="1"/>
    <x v="0"/>
    <x v="2"/>
    <n v="304"/>
    <n v="434.72"/>
  </r>
  <r>
    <s v="AD01-9362"/>
    <x v="0"/>
    <s v="Jul"/>
    <x v="0"/>
    <x v="1"/>
    <s v="Cancelld"/>
    <x v="1"/>
    <x v="0"/>
    <x v="2"/>
    <n v="298"/>
    <n v="426.14"/>
  </r>
  <r>
    <s v="AD01-9362"/>
    <x v="0"/>
    <s v="Jul"/>
    <x v="0"/>
    <x v="1"/>
    <s v="Cancelld"/>
    <x v="1"/>
    <x v="0"/>
    <x v="2"/>
    <n v="292"/>
    <n v="417.56"/>
  </r>
  <r>
    <s v="AD01-9364"/>
    <x v="0"/>
    <s v="Jul"/>
    <x v="0"/>
    <x v="1"/>
    <s v="Cancelld"/>
    <x v="1"/>
    <x v="0"/>
    <x v="2"/>
    <n v="301"/>
    <n v="430.43"/>
  </r>
  <r>
    <s v="AD01-9362"/>
    <x v="0"/>
    <s v="Jul"/>
    <x v="0"/>
    <x v="1"/>
    <s v="Cancelld"/>
    <x v="1"/>
    <x v="0"/>
    <x v="2"/>
    <n v="295"/>
    <n v="421.85"/>
  </r>
  <r>
    <s v="AD01-9362"/>
    <x v="0"/>
    <s v="Jun"/>
    <x v="0"/>
    <x v="1"/>
    <s v="Cancelld"/>
    <x v="1"/>
    <x v="0"/>
    <x v="0"/>
    <n v="322"/>
    <n v="460.46000000000004"/>
  </r>
  <r>
    <s v="AD01-9361"/>
    <x v="0"/>
    <s v="Jun"/>
    <x v="0"/>
    <x v="1"/>
    <s v="Cancelld"/>
    <x v="1"/>
    <x v="0"/>
    <x v="2"/>
    <n v="316"/>
    <n v="451.88"/>
  </r>
  <r>
    <s v="AD01-9364"/>
    <x v="0"/>
    <s v="Jun"/>
    <x v="0"/>
    <x v="1"/>
    <s v="Cancelld"/>
    <x v="1"/>
    <x v="0"/>
    <x v="2"/>
    <n v="310"/>
    <n v="443.3"/>
  </r>
  <r>
    <s v="AD01-9361"/>
    <x v="0"/>
    <s v="Jun"/>
    <x v="0"/>
    <x v="1"/>
    <s v="Cancelld"/>
    <x v="1"/>
    <x v="0"/>
    <x v="2"/>
    <n v="319"/>
    <n v="456.16999999999996"/>
  </r>
  <r>
    <s v="AD01-9362"/>
    <x v="0"/>
    <s v="Jun"/>
    <x v="0"/>
    <x v="1"/>
    <s v="Cancelld"/>
    <x v="1"/>
    <x v="0"/>
    <x v="2"/>
    <n v="313"/>
    <n v="447.59000000000003"/>
  </r>
  <r>
    <s v="AD01-9362"/>
    <x v="0"/>
    <s v="Jun"/>
    <x v="0"/>
    <x v="1"/>
    <s v="Cancelld"/>
    <x v="1"/>
    <x v="0"/>
    <x v="2"/>
    <n v="307"/>
    <n v="439.01"/>
  </r>
  <r>
    <s v="AD01-9361"/>
    <x v="0"/>
    <s v="May"/>
    <x v="0"/>
    <x v="1"/>
    <s v="Cancelld"/>
    <x v="1"/>
    <x v="0"/>
    <x v="0"/>
    <n v="334"/>
    <n v="477.62"/>
  </r>
  <r>
    <s v="AD01-9362"/>
    <x v="0"/>
    <s v="May"/>
    <x v="0"/>
    <x v="1"/>
    <s v="Cancelld"/>
    <x v="1"/>
    <x v="0"/>
    <x v="0"/>
    <n v="328"/>
    <n v="469.03999999999996"/>
  </r>
  <r>
    <s v="AD01-9364"/>
    <x v="0"/>
    <s v="May"/>
    <x v="0"/>
    <x v="1"/>
    <s v="Cancelld"/>
    <x v="1"/>
    <x v="0"/>
    <x v="0"/>
    <n v="337"/>
    <n v="481.90999999999997"/>
  </r>
  <r>
    <s v="AD01-9362"/>
    <x v="0"/>
    <s v="May"/>
    <x v="0"/>
    <x v="1"/>
    <s v="Cancelld"/>
    <x v="1"/>
    <x v="0"/>
    <x v="0"/>
    <n v="331"/>
    <n v="473.33"/>
  </r>
  <r>
    <s v="AD01-9363"/>
    <x v="0"/>
    <s v="May"/>
    <x v="0"/>
    <x v="1"/>
    <s v="Cancelld"/>
    <x v="1"/>
    <x v="0"/>
    <x v="0"/>
    <n v="325"/>
    <n v="464.75"/>
  </r>
  <r>
    <s v="AD01-9361"/>
    <x v="0"/>
    <s v="Nov"/>
    <x v="0"/>
    <x v="1"/>
    <s v="Cancelld"/>
    <x v="1"/>
    <x v="0"/>
    <x v="0"/>
    <n v="238"/>
    <n v="340.34000000000003"/>
  </r>
  <r>
    <s v="AD01-9361"/>
    <x v="0"/>
    <s v="Nov"/>
    <x v="0"/>
    <x v="1"/>
    <s v="Cancelld"/>
    <x v="1"/>
    <x v="0"/>
    <x v="0"/>
    <n v="232"/>
    <n v="331.76"/>
  </r>
  <r>
    <s v="AD01-9365"/>
    <x v="0"/>
    <s v="Nov"/>
    <x v="0"/>
    <x v="1"/>
    <s v="Cancelld"/>
    <x v="1"/>
    <x v="0"/>
    <x v="0"/>
    <n v="241"/>
    <n v="344.63"/>
  </r>
  <r>
    <s v="AD01-9361"/>
    <x v="0"/>
    <s v="Nov"/>
    <x v="0"/>
    <x v="1"/>
    <s v="Cancelld"/>
    <x v="1"/>
    <x v="0"/>
    <x v="0"/>
    <n v="235"/>
    <n v="336.05"/>
  </r>
  <r>
    <s v="AD01-9362"/>
    <x v="0"/>
    <s v="Nov"/>
    <x v="0"/>
    <x v="1"/>
    <s v="Cancelld"/>
    <x v="1"/>
    <x v="0"/>
    <x v="0"/>
    <n v="229"/>
    <n v="327.47000000000003"/>
  </r>
  <r>
    <s v="AD01-9362"/>
    <x v="0"/>
    <s v="Oct"/>
    <x v="0"/>
    <x v="1"/>
    <s v="Cancelld"/>
    <x v="1"/>
    <x v="0"/>
    <x v="2"/>
    <n v="256"/>
    <n v="366.08"/>
  </r>
  <r>
    <s v="AD01-9364"/>
    <x v="0"/>
    <s v="Oct"/>
    <x v="0"/>
    <x v="1"/>
    <s v="Cancelld"/>
    <x v="1"/>
    <x v="0"/>
    <x v="2"/>
    <n v="250"/>
    <n v="357.5"/>
  </r>
  <r>
    <s v="AD01-9361"/>
    <x v="0"/>
    <s v="Oct"/>
    <x v="0"/>
    <x v="1"/>
    <s v="Cancelld"/>
    <x v="1"/>
    <x v="0"/>
    <x v="0"/>
    <n v="244"/>
    <n v="348.92"/>
  </r>
  <r>
    <s v="AD01-9362"/>
    <x v="0"/>
    <s v="Oct"/>
    <x v="0"/>
    <x v="1"/>
    <s v="Cancelld"/>
    <x v="1"/>
    <x v="0"/>
    <x v="2"/>
    <n v="253"/>
    <n v="361.78999999999996"/>
  </r>
  <r>
    <s v="AD01-9361"/>
    <x v="0"/>
    <s v="Oct"/>
    <x v="0"/>
    <x v="1"/>
    <s v="Cancelld"/>
    <x v="1"/>
    <x v="0"/>
    <x v="2"/>
    <n v="247"/>
    <n v="353.21"/>
  </r>
  <r>
    <s v="AD01-9362"/>
    <x v="0"/>
    <s v="Sep"/>
    <x v="0"/>
    <x v="1"/>
    <s v="Cancelld"/>
    <x v="1"/>
    <x v="0"/>
    <x v="2"/>
    <n v="274"/>
    <n v="391.82"/>
  </r>
  <r>
    <s v="AD01-9361"/>
    <x v="0"/>
    <s v="Sep"/>
    <x v="0"/>
    <x v="1"/>
    <s v="Cancelld"/>
    <x v="1"/>
    <x v="0"/>
    <x v="2"/>
    <n v="268"/>
    <n v="383.24"/>
  </r>
  <r>
    <s v="AD01-9364"/>
    <x v="0"/>
    <s v="Sep"/>
    <x v="0"/>
    <x v="1"/>
    <s v="Cancelld"/>
    <x v="1"/>
    <x v="0"/>
    <x v="2"/>
    <n v="262"/>
    <n v="374.65999999999997"/>
  </r>
  <r>
    <s v="AD01-9362"/>
    <x v="0"/>
    <s v="Sep"/>
    <x v="0"/>
    <x v="1"/>
    <s v="Cancelld"/>
    <x v="1"/>
    <x v="0"/>
    <x v="2"/>
    <n v="271"/>
    <n v="387.53"/>
  </r>
  <r>
    <s v="AD01-9364"/>
    <x v="0"/>
    <s v="Sep"/>
    <x v="0"/>
    <x v="1"/>
    <s v="Cancelld"/>
    <x v="1"/>
    <x v="0"/>
    <x v="2"/>
    <n v="265"/>
    <n v="378.95"/>
  </r>
  <r>
    <s v="AD01-9361"/>
    <x v="0"/>
    <s v="Sep"/>
    <x v="0"/>
    <x v="1"/>
    <s v="Cancelld"/>
    <x v="1"/>
    <x v="0"/>
    <x v="2"/>
    <n v="259"/>
    <n v="370.37"/>
  </r>
  <r>
    <s v="AD01-9364"/>
    <x v="0"/>
    <s v="Apr"/>
    <x v="1"/>
    <x v="1"/>
    <s v="Cancelld"/>
    <x v="1"/>
    <x v="0"/>
    <x v="2"/>
    <n v="158"/>
    <n v="225.94"/>
  </r>
  <r>
    <s v="AD01-9361"/>
    <x v="0"/>
    <s v="Apr"/>
    <x v="1"/>
    <x v="1"/>
    <s v="Cancelld"/>
    <x v="1"/>
    <x v="0"/>
    <x v="2"/>
    <n v="206"/>
    <n v="294.58"/>
  </r>
  <r>
    <s v="AD01-9362"/>
    <x v="0"/>
    <s v="Apr"/>
    <x v="1"/>
    <x v="1"/>
    <s v="Cancelld"/>
    <x v="1"/>
    <x v="0"/>
    <x v="2"/>
    <n v="134"/>
    <n v="191.62"/>
  </r>
  <r>
    <s v="AD01-9364"/>
    <x v="0"/>
    <s v="Apr"/>
    <x v="1"/>
    <x v="1"/>
    <s v="Cancelld"/>
    <x v="1"/>
    <x v="0"/>
    <x v="2"/>
    <n v="160"/>
    <n v="228.8"/>
  </r>
  <r>
    <s v="AD01-9364"/>
    <x v="0"/>
    <s v="Apr"/>
    <x v="1"/>
    <x v="1"/>
    <s v="Cancelld"/>
    <x v="1"/>
    <x v="0"/>
    <x v="2"/>
    <n v="208"/>
    <n v="297.44"/>
  </r>
  <r>
    <s v="AD01-9364"/>
    <x v="0"/>
    <s v="Apr"/>
    <x v="1"/>
    <x v="1"/>
    <s v="Cancelld"/>
    <x v="1"/>
    <x v="0"/>
    <x v="2"/>
    <n v="136"/>
    <n v="194.48"/>
  </r>
  <r>
    <s v="AD01-9361"/>
    <x v="0"/>
    <s v="Apr"/>
    <x v="1"/>
    <x v="1"/>
    <s v="Cancelld"/>
    <x v="1"/>
    <x v="0"/>
    <x v="2"/>
    <n v="812"/>
    <n v="1161.1599999999999"/>
  </r>
  <r>
    <s v="AD01-9362"/>
    <x v="0"/>
    <s v="Apr"/>
    <x v="1"/>
    <x v="1"/>
    <s v="Cancelld"/>
    <x v="1"/>
    <x v="0"/>
    <x v="2"/>
    <n v="899"/>
    <n v="1285.57"/>
  </r>
  <r>
    <s v="AD01-9362"/>
    <x v="0"/>
    <s v="Apr"/>
    <x v="1"/>
    <x v="1"/>
    <s v="Cancelld"/>
    <x v="1"/>
    <x v="0"/>
    <x v="2"/>
    <n v="852"/>
    <n v="526.24"/>
  </r>
  <r>
    <s v="AD01-9362"/>
    <x v="0"/>
    <s v="Apr"/>
    <x v="1"/>
    <x v="1"/>
    <s v="Cancelld"/>
    <x v="1"/>
    <x v="0"/>
    <x v="2"/>
    <n v="885"/>
    <n v="526.24"/>
  </r>
  <r>
    <s v="AD01-9361"/>
    <x v="0"/>
    <s v="Apr"/>
    <x v="1"/>
    <x v="1"/>
    <s v="Cancelld"/>
    <x v="1"/>
    <x v="0"/>
    <x v="2"/>
    <n v="135"/>
    <n v="193.05"/>
  </r>
  <r>
    <s v="AD01-9364"/>
    <x v="0"/>
    <s v="Apr"/>
    <x v="1"/>
    <x v="1"/>
    <s v="Cancelld"/>
    <x v="1"/>
    <x v="0"/>
    <x v="2"/>
    <n v="163"/>
    <n v="233.09"/>
  </r>
  <r>
    <s v="AD01-9362"/>
    <x v="0"/>
    <s v="Apr"/>
    <x v="1"/>
    <x v="1"/>
    <s v="Cancelld"/>
    <x v="1"/>
    <x v="0"/>
    <x v="2"/>
    <n v="205"/>
    <n v="293.14999999999998"/>
  </r>
  <r>
    <s v="AD01-9364"/>
    <x v="0"/>
    <s v="Apr"/>
    <x v="1"/>
    <x v="1"/>
    <s v="Cancelld"/>
    <x v="1"/>
    <x v="0"/>
    <x v="2"/>
    <n v="133"/>
    <n v="190.19"/>
  </r>
  <r>
    <s v="AD01-9362"/>
    <x v="0"/>
    <s v="Apr"/>
    <x v="1"/>
    <x v="1"/>
    <s v="Cancelld"/>
    <x v="1"/>
    <x v="0"/>
    <x v="2"/>
    <n v="821"/>
    <n v="1174.03"/>
  </r>
  <r>
    <s v="AD01-9362"/>
    <x v="0"/>
    <s v="Apr"/>
    <x v="1"/>
    <x v="1"/>
    <s v="Cancelld"/>
    <x v="1"/>
    <x v="0"/>
    <x v="2"/>
    <n v="854"/>
    <n v="1221.22"/>
  </r>
  <r>
    <s v="AD01-9364"/>
    <x v="0"/>
    <s v="Apr"/>
    <x v="1"/>
    <x v="1"/>
    <s v="Cancelld"/>
    <x v="1"/>
    <x v="0"/>
    <x v="2"/>
    <n v="131"/>
    <n v="187.32999999999998"/>
  </r>
  <r>
    <s v="AD01-9361"/>
    <x v="0"/>
    <s v="Aug"/>
    <x v="1"/>
    <x v="1"/>
    <s v="Cancelld"/>
    <x v="1"/>
    <x v="0"/>
    <x v="2"/>
    <n v="140"/>
    <n v="200.2"/>
  </r>
  <r>
    <s v="AD01-9361"/>
    <x v="0"/>
    <s v="Aug"/>
    <x v="1"/>
    <x v="1"/>
    <s v="Cancelld"/>
    <x v="1"/>
    <x v="0"/>
    <x v="2"/>
    <n v="188"/>
    <n v="268.84000000000003"/>
  </r>
  <r>
    <s v="AD01-9364"/>
    <x v="0"/>
    <s v="Aug"/>
    <x v="1"/>
    <x v="1"/>
    <s v="Cancelld"/>
    <x v="1"/>
    <x v="0"/>
    <x v="2"/>
    <n v="356"/>
    <n v="509.08"/>
  </r>
  <r>
    <s v="AD01-9361"/>
    <x v="0"/>
    <s v="Aug"/>
    <x v="1"/>
    <x v="1"/>
    <s v="Cancelld"/>
    <x v="1"/>
    <x v="0"/>
    <x v="2"/>
    <n v="184"/>
    <n v="263.12"/>
  </r>
  <r>
    <s v="AD01-9362"/>
    <x v="0"/>
    <s v="Aug"/>
    <x v="1"/>
    <x v="1"/>
    <s v="Cancelld"/>
    <x v="1"/>
    <x v="0"/>
    <x v="2"/>
    <n v="358"/>
    <n v="511.94"/>
  </r>
  <r>
    <s v="AD01-9365"/>
    <x v="0"/>
    <s v="Aug"/>
    <x v="1"/>
    <x v="1"/>
    <s v="Cancelld"/>
    <x v="1"/>
    <x v="0"/>
    <x v="2"/>
    <n v="816"/>
    <n v="1166.8800000000001"/>
  </r>
  <r>
    <s v="AD01-9364"/>
    <x v="0"/>
    <s v="Aug"/>
    <x v="1"/>
    <x v="1"/>
    <s v="Cancelld"/>
    <x v="1"/>
    <x v="0"/>
    <x v="2"/>
    <n v="849"/>
    <n v="1214.07"/>
  </r>
  <r>
    <s v="AD01-9361"/>
    <x v="0"/>
    <s v="Aug"/>
    <x v="1"/>
    <x v="1"/>
    <s v="Cancelld"/>
    <x v="1"/>
    <x v="0"/>
    <x v="2"/>
    <n v="902"/>
    <n v="1289.8600000000001"/>
  </r>
  <r>
    <s v="AD01-9361"/>
    <x v="0"/>
    <s v="Aug"/>
    <x v="1"/>
    <x v="1"/>
    <s v="Cancelld"/>
    <x v="1"/>
    <x v="0"/>
    <x v="2"/>
    <n v="855"/>
    <n v="526.24"/>
  </r>
  <r>
    <s v="AD01-9365"/>
    <x v="0"/>
    <s v="Aug"/>
    <x v="1"/>
    <x v="1"/>
    <s v="Cancelld"/>
    <x v="1"/>
    <x v="0"/>
    <x v="2"/>
    <n v="357"/>
    <n v="510.51"/>
  </r>
  <r>
    <s v="AD01-9362"/>
    <x v="0"/>
    <s v="Aug"/>
    <x v="1"/>
    <x v="1"/>
    <s v="Cancelld"/>
    <x v="1"/>
    <x v="0"/>
    <x v="2"/>
    <n v="139"/>
    <n v="198.76999999999998"/>
  </r>
  <r>
    <s v="AD01-9363"/>
    <x v="0"/>
    <s v="Aug"/>
    <x v="1"/>
    <x v="1"/>
    <s v="Cancelld"/>
    <x v="1"/>
    <x v="0"/>
    <x v="2"/>
    <n v="187"/>
    <n v="267.40999999999997"/>
  </r>
  <r>
    <s v="AD01-9364"/>
    <x v="0"/>
    <s v="Aug"/>
    <x v="1"/>
    <x v="1"/>
    <s v="Cancelld"/>
    <x v="1"/>
    <x v="0"/>
    <x v="2"/>
    <n v="825"/>
    <n v="1179.75"/>
  </r>
  <r>
    <s v="AD01-9362"/>
    <x v="0"/>
    <s v="Aug"/>
    <x v="1"/>
    <x v="1"/>
    <s v="Cancelld"/>
    <x v="1"/>
    <x v="0"/>
    <x v="2"/>
    <n v="858"/>
    <n v="1226.94"/>
  </r>
  <r>
    <s v="AD01-9361"/>
    <x v="0"/>
    <s v="Aug"/>
    <x v="1"/>
    <x v="1"/>
    <s v="Cancelld"/>
    <x v="1"/>
    <x v="0"/>
    <x v="2"/>
    <n v="359"/>
    <n v="513.37"/>
  </r>
  <r>
    <s v="AD01-9365"/>
    <x v="0"/>
    <s v="Dec"/>
    <x v="1"/>
    <x v="1"/>
    <s v="Cancelld"/>
    <x v="1"/>
    <x v="0"/>
    <x v="2"/>
    <n v="362"/>
    <n v="517.66"/>
  </r>
  <r>
    <s v="AD01-9364"/>
    <x v="0"/>
    <s v="Dec"/>
    <x v="1"/>
    <x v="1"/>
    <s v="Cancelld"/>
    <x v="1"/>
    <x v="0"/>
    <x v="2"/>
    <n v="164"/>
    <n v="234.51999999999998"/>
  </r>
  <r>
    <s v="AD01-9362"/>
    <x v="0"/>
    <s v="Dec"/>
    <x v="1"/>
    <x v="1"/>
    <s v="Cancelld"/>
    <x v="1"/>
    <x v="0"/>
    <x v="2"/>
    <n v="338"/>
    <n v="483.34000000000003"/>
  </r>
  <r>
    <s v="AD01-9363"/>
    <x v="0"/>
    <s v="Dec"/>
    <x v="1"/>
    <x v="1"/>
    <s v="Cancelld"/>
    <x v="1"/>
    <x v="0"/>
    <x v="2"/>
    <n v="364"/>
    <n v="520.52"/>
  </r>
  <r>
    <s v="AD01-9361"/>
    <x v="0"/>
    <s v="Dec"/>
    <x v="1"/>
    <x v="1"/>
    <s v="Cancelld"/>
    <x v="1"/>
    <x v="0"/>
    <x v="2"/>
    <n v="166"/>
    <n v="237.38"/>
  </r>
  <r>
    <s v="AD01-9361"/>
    <x v="0"/>
    <s v="Dec"/>
    <x v="1"/>
    <x v="1"/>
    <s v="Cancelld"/>
    <x v="1"/>
    <x v="0"/>
    <x v="2"/>
    <n v="819"/>
    <n v="1171.17"/>
  </r>
  <r>
    <s v="AD01-9361"/>
    <x v="0"/>
    <s v="Dec"/>
    <x v="1"/>
    <x v="1"/>
    <s v="Cancelld"/>
    <x v="1"/>
    <x v="0"/>
    <x v="2"/>
    <n v="853"/>
    <n v="1219.79"/>
  </r>
  <r>
    <s v="AD01-9363"/>
    <x v="0"/>
    <s v="Dec"/>
    <x v="1"/>
    <x v="1"/>
    <s v="Cancelld"/>
    <x v="1"/>
    <x v="0"/>
    <x v="2"/>
    <n v="906"/>
    <n v="1295.58"/>
  </r>
  <r>
    <s v="AD01-9363"/>
    <x v="0"/>
    <s v="Dec"/>
    <x v="1"/>
    <x v="1"/>
    <s v="Cancelld"/>
    <x v="1"/>
    <x v="0"/>
    <x v="2"/>
    <n v="859"/>
    <n v="526.24"/>
  </r>
  <r>
    <s v="AD01-9361"/>
    <x v="0"/>
    <s v="Dec"/>
    <x v="1"/>
    <x v="1"/>
    <s v="Cancelld"/>
    <x v="1"/>
    <x v="0"/>
    <x v="2"/>
    <n v="165"/>
    <n v="526.24"/>
  </r>
  <r>
    <s v="AD01-9361"/>
    <x v="0"/>
    <s v="Dec"/>
    <x v="1"/>
    <x v="1"/>
    <s v="Cancelld"/>
    <x v="1"/>
    <x v="0"/>
    <x v="2"/>
    <n v="339"/>
    <n v="484.77"/>
  </r>
  <r>
    <s v="AD01-9364"/>
    <x v="0"/>
    <s v="Dec"/>
    <x v="1"/>
    <x v="1"/>
    <s v="Cancelld"/>
    <x v="1"/>
    <x v="0"/>
    <x v="2"/>
    <n v="163"/>
    <n v="233.09"/>
  </r>
  <r>
    <s v="AD01-9363"/>
    <x v="0"/>
    <s v="Dec"/>
    <x v="1"/>
    <x v="1"/>
    <s v="Cancelld"/>
    <x v="1"/>
    <x v="0"/>
    <x v="2"/>
    <n v="337"/>
    <n v="481.90999999999997"/>
  </r>
  <r>
    <s v="AD01-9362"/>
    <x v="0"/>
    <s v="Dec"/>
    <x v="1"/>
    <x v="1"/>
    <s v="Cancelld"/>
    <x v="1"/>
    <x v="0"/>
    <x v="2"/>
    <n v="828"/>
    <n v="1184.04"/>
  </r>
  <r>
    <s v="AD01-9362"/>
    <x v="0"/>
    <s v="Dec"/>
    <x v="1"/>
    <x v="1"/>
    <s v="Cancelld"/>
    <x v="1"/>
    <x v="0"/>
    <x v="2"/>
    <n v="861"/>
    <n v="1231.23"/>
  </r>
  <r>
    <s v="AD01-9365"/>
    <x v="0"/>
    <s v="Dec"/>
    <x v="1"/>
    <x v="1"/>
    <s v="Cancelld"/>
    <x v="1"/>
    <x v="0"/>
    <x v="2"/>
    <n v="335"/>
    <n v="479.05"/>
  </r>
  <r>
    <s v="AD01-9361"/>
    <x v="0"/>
    <s v="Feb"/>
    <x v="1"/>
    <x v="1"/>
    <s v="Cancelld"/>
    <x v="1"/>
    <x v="0"/>
    <x v="2"/>
    <n v="170"/>
    <n v="243.1"/>
  </r>
  <r>
    <s v="AD01-9364"/>
    <x v="0"/>
    <s v="Feb"/>
    <x v="1"/>
    <x v="1"/>
    <s v="Cancelld"/>
    <x v="1"/>
    <x v="0"/>
    <x v="2"/>
    <n v="218"/>
    <n v="311.74"/>
  </r>
  <r>
    <s v="AD01-9362"/>
    <x v="0"/>
    <s v="Feb"/>
    <x v="1"/>
    <x v="1"/>
    <s v="Cancelld"/>
    <x v="1"/>
    <x v="0"/>
    <x v="2"/>
    <n v="146"/>
    <n v="208.78"/>
  </r>
  <r>
    <s v="AD01-9364"/>
    <x v="0"/>
    <s v="Feb"/>
    <x v="1"/>
    <x v="1"/>
    <s v="Cancelld"/>
    <x v="1"/>
    <x v="0"/>
    <x v="2"/>
    <n v="172"/>
    <n v="245.95999999999998"/>
  </r>
  <r>
    <s v="AD01-9363"/>
    <x v="0"/>
    <s v="Feb"/>
    <x v="1"/>
    <x v="1"/>
    <s v="Cancelld"/>
    <x v="1"/>
    <x v="0"/>
    <x v="2"/>
    <n v="220"/>
    <n v="314.60000000000002"/>
  </r>
  <r>
    <s v="AD01-9361"/>
    <x v="0"/>
    <s v="Feb"/>
    <x v="1"/>
    <x v="1"/>
    <s v="Cancelld"/>
    <x v="1"/>
    <x v="0"/>
    <x v="2"/>
    <n v="142"/>
    <n v="203.06"/>
  </r>
  <r>
    <s v="AD01-9361"/>
    <x v="0"/>
    <s v="Feb"/>
    <x v="1"/>
    <x v="1"/>
    <s v="Cancelld"/>
    <x v="1"/>
    <x v="0"/>
    <x v="2"/>
    <n v="844"/>
    <n v="1206.92"/>
  </r>
  <r>
    <s v="AD01-9361"/>
    <x v="0"/>
    <s v="Feb"/>
    <x v="1"/>
    <x v="1"/>
    <s v="Cancelld"/>
    <x v="1"/>
    <x v="0"/>
    <x v="2"/>
    <n v="897"/>
    <n v="1282.71"/>
  </r>
  <r>
    <s v="AD01-9361"/>
    <x v="0"/>
    <s v="Feb"/>
    <x v="1"/>
    <x v="1"/>
    <s v="Cancelld"/>
    <x v="1"/>
    <x v="0"/>
    <x v="2"/>
    <n v="850"/>
    <n v="526.24"/>
  </r>
  <r>
    <s v="AD01-9362"/>
    <x v="0"/>
    <s v="Feb"/>
    <x v="1"/>
    <x v="1"/>
    <s v="Cancelld"/>
    <x v="1"/>
    <x v="0"/>
    <x v="2"/>
    <n v="883"/>
    <n v="526.24"/>
  </r>
  <r>
    <s v="AD01-9361"/>
    <x v="0"/>
    <s v="Feb"/>
    <x v="1"/>
    <x v="1"/>
    <s v="Cancelld"/>
    <x v="1"/>
    <x v="0"/>
    <x v="2"/>
    <n v="169"/>
    <n v="241.67000000000002"/>
  </r>
  <r>
    <s v="AD01-9362"/>
    <x v="0"/>
    <s v="Feb"/>
    <x v="1"/>
    <x v="1"/>
    <s v="Cancelld"/>
    <x v="1"/>
    <x v="0"/>
    <x v="2"/>
    <n v="217"/>
    <n v="310.31"/>
  </r>
  <r>
    <s v="AD01-9364"/>
    <x v="0"/>
    <s v="Feb"/>
    <x v="1"/>
    <x v="1"/>
    <s v="Cancelld"/>
    <x v="1"/>
    <x v="0"/>
    <x v="2"/>
    <n v="145"/>
    <n v="207.35"/>
  </r>
  <r>
    <s v="AD01-9362"/>
    <x v="0"/>
    <s v="Feb"/>
    <x v="1"/>
    <x v="1"/>
    <s v="Cancelld"/>
    <x v="1"/>
    <x v="0"/>
    <x v="2"/>
    <n v="819"/>
    <n v="1171.17"/>
  </r>
  <r>
    <s v="AD01-9361"/>
    <x v="0"/>
    <s v="Feb"/>
    <x v="1"/>
    <x v="1"/>
    <s v="Cancelld"/>
    <x v="1"/>
    <x v="0"/>
    <x v="2"/>
    <n v="143"/>
    <n v="204.49"/>
  </r>
  <r>
    <s v="AD01-9365"/>
    <x v="0"/>
    <s v="Jan"/>
    <x v="1"/>
    <x v="1"/>
    <s v="Cancelld"/>
    <x v="1"/>
    <x v="0"/>
    <x v="2"/>
    <n v="176"/>
    <n v="251.68"/>
  </r>
  <r>
    <s v="AD01-9364"/>
    <x v="0"/>
    <s v="Jan"/>
    <x v="1"/>
    <x v="1"/>
    <s v="Cancelld"/>
    <x v="1"/>
    <x v="0"/>
    <x v="2"/>
    <n v="224"/>
    <n v="320.32"/>
  </r>
  <r>
    <s v="AD01-9362"/>
    <x v="0"/>
    <s v="Jan"/>
    <x v="1"/>
    <x v="1"/>
    <s v="Cancelld"/>
    <x v="1"/>
    <x v="0"/>
    <x v="2"/>
    <n v="178"/>
    <n v="254.54"/>
  </r>
  <r>
    <s v="AD01-9361"/>
    <x v="0"/>
    <s v="Jan"/>
    <x v="1"/>
    <x v="1"/>
    <s v="Cancelld"/>
    <x v="1"/>
    <x v="0"/>
    <x v="2"/>
    <n v="148"/>
    <n v="211.64"/>
  </r>
  <r>
    <s v="AD01-9362"/>
    <x v="0"/>
    <s v="Jan"/>
    <x v="1"/>
    <x v="1"/>
    <s v="Cancelld"/>
    <x v="1"/>
    <x v="0"/>
    <x v="2"/>
    <n v="810"/>
    <n v="1158.3"/>
  </r>
  <r>
    <s v="AD01-9364"/>
    <x v="0"/>
    <s v="Jan"/>
    <x v="1"/>
    <x v="1"/>
    <s v="Cancelld"/>
    <x v="1"/>
    <x v="0"/>
    <x v="2"/>
    <n v="843"/>
    <n v="1205.49"/>
  </r>
  <r>
    <s v="AD01-9364"/>
    <x v="0"/>
    <s v="Jan"/>
    <x v="1"/>
    <x v="1"/>
    <s v="Cancelld"/>
    <x v="1"/>
    <x v="0"/>
    <x v="2"/>
    <n v="896"/>
    <n v="1281.28"/>
  </r>
  <r>
    <s v="AD01-9361"/>
    <x v="0"/>
    <s v="Jan"/>
    <x v="1"/>
    <x v="1"/>
    <s v="Order assembled"/>
    <x v="1"/>
    <x v="0"/>
    <x v="0"/>
    <n v="818"/>
    <n v="526.24"/>
  </r>
  <r>
    <s v="AD01-9364"/>
    <x v="0"/>
    <s v="Jan"/>
    <x v="1"/>
    <x v="1"/>
    <s v="Cancelld"/>
    <x v="1"/>
    <x v="0"/>
    <x v="2"/>
    <n v="849"/>
    <n v="526.24"/>
  </r>
  <r>
    <s v="AD01-9361"/>
    <x v="0"/>
    <s v="Jan"/>
    <x v="1"/>
    <x v="1"/>
    <s v="Cancelld"/>
    <x v="1"/>
    <x v="0"/>
    <x v="2"/>
    <n v="882"/>
    <n v="526.24"/>
  </r>
  <r>
    <s v="AD01-9362"/>
    <x v="0"/>
    <s v="Jan"/>
    <x v="1"/>
    <x v="1"/>
    <s v="Cancelld"/>
    <x v="1"/>
    <x v="0"/>
    <x v="2"/>
    <n v="147"/>
    <n v="210.21"/>
  </r>
  <r>
    <s v="AD01-9361"/>
    <x v="0"/>
    <s v="Jan"/>
    <x v="1"/>
    <x v="1"/>
    <s v="Cancelld"/>
    <x v="1"/>
    <x v="0"/>
    <x v="2"/>
    <n v="175"/>
    <n v="250.25"/>
  </r>
  <r>
    <s v="AD01-9363"/>
    <x v="0"/>
    <s v="Jan"/>
    <x v="1"/>
    <x v="1"/>
    <s v="Cancelld"/>
    <x v="1"/>
    <x v="0"/>
    <x v="2"/>
    <n v="223"/>
    <n v="318.89"/>
  </r>
  <r>
    <s v="AD01-9362"/>
    <x v="0"/>
    <s v="Jan"/>
    <x v="1"/>
    <x v="1"/>
    <s v="Cancelld"/>
    <x v="1"/>
    <x v="0"/>
    <x v="2"/>
    <n v="151"/>
    <n v="215.93"/>
  </r>
  <r>
    <s v="AD01-9363"/>
    <x v="0"/>
    <s v="Jan"/>
    <x v="1"/>
    <x v="1"/>
    <s v="Cancelld"/>
    <x v="1"/>
    <x v="0"/>
    <x v="2"/>
    <n v="852"/>
    <n v="1218.3600000000001"/>
  </r>
  <r>
    <s v="AD01-9365"/>
    <x v="0"/>
    <s v="Jan"/>
    <x v="1"/>
    <x v="1"/>
    <s v="Cancelld"/>
    <x v="1"/>
    <x v="0"/>
    <x v="2"/>
    <n v="149"/>
    <n v="213.07"/>
  </r>
  <r>
    <s v="AD01-9362"/>
    <x v="0"/>
    <s v="Jul"/>
    <x v="1"/>
    <x v="1"/>
    <s v="Cancelld"/>
    <x v="1"/>
    <x v="0"/>
    <x v="2"/>
    <n v="146"/>
    <n v="208.78"/>
  </r>
  <r>
    <s v="AD01-9361"/>
    <x v="0"/>
    <s v="Jul"/>
    <x v="1"/>
    <x v="1"/>
    <s v="Cancelld"/>
    <x v="1"/>
    <x v="0"/>
    <x v="2"/>
    <n v="362"/>
    <n v="517.66"/>
  </r>
  <r>
    <s v="AD01-9362"/>
    <x v="0"/>
    <s v="Jul"/>
    <x v="1"/>
    <x v="1"/>
    <s v="Cancelld"/>
    <x v="1"/>
    <x v="0"/>
    <x v="2"/>
    <n v="142"/>
    <n v="203.06"/>
  </r>
  <r>
    <s v="AD01-9362"/>
    <x v="0"/>
    <s v="Jul"/>
    <x v="1"/>
    <x v="1"/>
    <s v="Cancelld"/>
    <x v="1"/>
    <x v="0"/>
    <x v="2"/>
    <n v="190"/>
    <n v="271.7"/>
  </r>
  <r>
    <s v="AD01-9361"/>
    <x v="0"/>
    <s v="Jul"/>
    <x v="1"/>
    <x v="1"/>
    <s v="Cancelld"/>
    <x v="1"/>
    <x v="0"/>
    <x v="2"/>
    <n v="364"/>
    <n v="520.52"/>
  </r>
  <r>
    <s v="AD01-9361"/>
    <x v="0"/>
    <s v="Jul"/>
    <x v="1"/>
    <x v="1"/>
    <s v="Cancelld"/>
    <x v="1"/>
    <x v="0"/>
    <x v="2"/>
    <n v="815"/>
    <n v="1165.45"/>
  </r>
  <r>
    <s v="AD01-9364"/>
    <x v="0"/>
    <s v="Jul"/>
    <x v="1"/>
    <x v="1"/>
    <s v="Cancelld"/>
    <x v="1"/>
    <x v="0"/>
    <x v="2"/>
    <n v="848"/>
    <n v="1212.6399999999999"/>
  </r>
  <r>
    <s v="AD01-9361"/>
    <x v="0"/>
    <s v="Jul"/>
    <x v="1"/>
    <x v="1"/>
    <s v="Cancelld"/>
    <x v="1"/>
    <x v="0"/>
    <x v="2"/>
    <n v="901"/>
    <n v="1288.43"/>
  </r>
  <r>
    <s v="AD01-9361"/>
    <x v="0"/>
    <s v="Jul"/>
    <x v="1"/>
    <x v="1"/>
    <s v="Cancelld"/>
    <x v="1"/>
    <x v="0"/>
    <x v="2"/>
    <n v="854"/>
    <n v="526.24"/>
  </r>
  <r>
    <s v="AD01-9362"/>
    <x v="0"/>
    <s v="Jul"/>
    <x v="1"/>
    <x v="1"/>
    <s v="Cancelld"/>
    <x v="1"/>
    <x v="0"/>
    <x v="2"/>
    <n v="189"/>
    <n v="526.24"/>
  </r>
  <r>
    <s v="AD01-9361"/>
    <x v="0"/>
    <s v="Jul"/>
    <x v="1"/>
    <x v="1"/>
    <s v="Cancelld"/>
    <x v="1"/>
    <x v="0"/>
    <x v="2"/>
    <n v="363"/>
    <n v="519.09"/>
  </r>
  <r>
    <s v="AD01-9361"/>
    <x v="0"/>
    <s v="Jul"/>
    <x v="1"/>
    <x v="1"/>
    <s v="Cancelld"/>
    <x v="1"/>
    <x v="0"/>
    <x v="2"/>
    <n v="145"/>
    <n v="207.35"/>
  </r>
  <r>
    <s v="AD01-9361"/>
    <x v="0"/>
    <s v="Jul"/>
    <x v="1"/>
    <x v="1"/>
    <s v="Cancelld"/>
    <x v="1"/>
    <x v="0"/>
    <x v="2"/>
    <n v="193"/>
    <n v="275.99"/>
  </r>
  <r>
    <s v="AD01-9362"/>
    <x v="0"/>
    <s v="Jul"/>
    <x v="1"/>
    <x v="1"/>
    <s v="Cancelld"/>
    <x v="1"/>
    <x v="0"/>
    <x v="2"/>
    <n v="361"/>
    <n v="516.23"/>
  </r>
  <r>
    <s v="AD01-9361"/>
    <x v="0"/>
    <s v="Jul"/>
    <x v="1"/>
    <x v="1"/>
    <s v="Cancelld"/>
    <x v="1"/>
    <x v="0"/>
    <x v="2"/>
    <n v="824"/>
    <n v="1178.32"/>
  </r>
  <r>
    <s v="AD01-9362"/>
    <x v="0"/>
    <s v="Jul"/>
    <x v="1"/>
    <x v="1"/>
    <s v="Cancelld"/>
    <x v="1"/>
    <x v="0"/>
    <x v="2"/>
    <n v="857"/>
    <n v="1225.51"/>
  </r>
  <r>
    <s v="AD01-9362"/>
    <x v="0"/>
    <s v="Jul"/>
    <x v="1"/>
    <x v="1"/>
    <s v="Cancelld"/>
    <x v="1"/>
    <x v="0"/>
    <x v="2"/>
    <n v="365"/>
    <n v="521.95000000000005"/>
  </r>
  <r>
    <s v="AD01-9362"/>
    <x v="0"/>
    <s v="Jun"/>
    <x v="1"/>
    <x v="1"/>
    <s v="Cancelld"/>
    <x v="1"/>
    <x v="0"/>
    <x v="2"/>
    <n v="152"/>
    <n v="217.36"/>
  </r>
  <r>
    <s v="AD01-9362"/>
    <x v="0"/>
    <s v="Jun"/>
    <x v="1"/>
    <x v="1"/>
    <s v="Cancelld"/>
    <x v="1"/>
    <x v="0"/>
    <x v="2"/>
    <n v="194"/>
    <n v="277.42"/>
  </r>
  <r>
    <s v="AD01-9365"/>
    <x v="0"/>
    <s v="Jun"/>
    <x v="1"/>
    <x v="1"/>
    <s v="Cancelld"/>
    <x v="1"/>
    <x v="0"/>
    <x v="2"/>
    <n v="368"/>
    <n v="526.24"/>
  </r>
  <r>
    <s v="AD01-9364"/>
    <x v="0"/>
    <s v="Jun"/>
    <x v="1"/>
    <x v="1"/>
    <s v="Cancelld"/>
    <x v="1"/>
    <x v="0"/>
    <x v="2"/>
    <n v="148"/>
    <n v="211.64"/>
  </r>
  <r>
    <s v="AD01-9362"/>
    <x v="0"/>
    <s v="Jun"/>
    <x v="1"/>
    <x v="1"/>
    <s v="Cancelld"/>
    <x v="1"/>
    <x v="0"/>
    <x v="2"/>
    <n v="196"/>
    <n v="280.27999999999997"/>
  </r>
  <r>
    <s v="AD01-9365"/>
    <x v="0"/>
    <s v="Jun"/>
    <x v="1"/>
    <x v="1"/>
    <s v="Cancelld"/>
    <x v="1"/>
    <x v="0"/>
    <x v="2"/>
    <n v="370"/>
    <n v="529.1"/>
  </r>
  <r>
    <s v="AD01-9362"/>
    <x v="0"/>
    <s v="Jun"/>
    <x v="1"/>
    <x v="1"/>
    <s v="Cancelld"/>
    <x v="1"/>
    <x v="0"/>
    <x v="2"/>
    <n v="814"/>
    <n v="1164.02"/>
  </r>
  <r>
    <s v="AD01-9361"/>
    <x v="0"/>
    <s v="Jun"/>
    <x v="1"/>
    <x v="1"/>
    <s v="Cancelld"/>
    <x v="1"/>
    <x v="0"/>
    <x v="2"/>
    <n v="847"/>
    <n v="1211.21"/>
  </r>
  <r>
    <s v="AD01-9364"/>
    <x v="0"/>
    <s v="Jun"/>
    <x v="1"/>
    <x v="1"/>
    <s v="Cancelld"/>
    <x v="1"/>
    <x v="0"/>
    <x v="2"/>
    <n v="195"/>
    <n v="526.24"/>
  </r>
  <r>
    <s v="AD01-9362"/>
    <x v="0"/>
    <s v="Jun"/>
    <x v="1"/>
    <x v="1"/>
    <s v="Cancelld"/>
    <x v="1"/>
    <x v="0"/>
    <x v="2"/>
    <n v="369"/>
    <n v="527.66999999999996"/>
  </r>
  <r>
    <s v="AD01-9365"/>
    <x v="0"/>
    <s v="Jun"/>
    <x v="1"/>
    <x v="1"/>
    <s v="Cancelld"/>
    <x v="1"/>
    <x v="0"/>
    <x v="2"/>
    <n v="151"/>
    <n v="215.93"/>
  </r>
  <r>
    <s v="AD01-9362"/>
    <x v="0"/>
    <s v="Jun"/>
    <x v="1"/>
    <x v="1"/>
    <s v="Cancelld"/>
    <x v="1"/>
    <x v="0"/>
    <x v="2"/>
    <n v="199"/>
    <n v="284.57"/>
  </r>
  <r>
    <s v="AD01-9364"/>
    <x v="0"/>
    <s v="Jun"/>
    <x v="1"/>
    <x v="1"/>
    <s v="Cancelld"/>
    <x v="1"/>
    <x v="0"/>
    <x v="2"/>
    <n v="367"/>
    <n v="524.80999999999995"/>
  </r>
  <r>
    <s v="AD01-9365"/>
    <x v="0"/>
    <s v="Jun"/>
    <x v="1"/>
    <x v="1"/>
    <s v="Cancelld"/>
    <x v="1"/>
    <x v="0"/>
    <x v="2"/>
    <n v="823"/>
    <n v="1176.8899999999999"/>
  </r>
  <r>
    <s v="AD01-9361"/>
    <x v="0"/>
    <s v="Jun"/>
    <x v="1"/>
    <x v="1"/>
    <s v="Cancelld"/>
    <x v="1"/>
    <x v="0"/>
    <x v="2"/>
    <n v="856"/>
    <n v="1224.08"/>
  </r>
  <r>
    <s v="AD01-9362"/>
    <x v="0"/>
    <s v="Jun"/>
    <x v="1"/>
    <x v="1"/>
    <s v="Cancelld"/>
    <x v="1"/>
    <x v="0"/>
    <x v="2"/>
    <n v="371"/>
    <n v="530.53"/>
  </r>
  <r>
    <s v="AD01-9362"/>
    <x v="0"/>
    <s v="Mar"/>
    <x v="1"/>
    <x v="1"/>
    <s v="Cancelld"/>
    <x v="1"/>
    <x v="0"/>
    <x v="2"/>
    <n v="164"/>
    <n v="234.51999999999998"/>
  </r>
  <r>
    <s v="AD01-9365"/>
    <x v="0"/>
    <s v="Mar"/>
    <x v="1"/>
    <x v="1"/>
    <s v="Cancelld"/>
    <x v="1"/>
    <x v="0"/>
    <x v="2"/>
    <n v="212"/>
    <n v="303.15999999999997"/>
  </r>
  <r>
    <s v="AD01-9362"/>
    <x v="0"/>
    <s v="Mar"/>
    <x v="1"/>
    <x v="1"/>
    <s v="Cancelld"/>
    <x v="1"/>
    <x v="0"/>
    <x v="2"/>
    <n v="140"/>
    <n v="200.2"/>
  </r>
  <r>
    <s v="AD01-9362"/>
    <x v="0"/>
    <s v="Mar"/>
    <x v="1"/>
    <x v="1"/>
    <s v="Cancelld"/>
    <x v="1"/>
    <x v="0"/>
    <x v="2"/>
    <n v="166"/>
    <n v="237.38"/>
  </r>
  <r>
    <s v="AD01-9361"/>
    <x v="0"/>
    <s v="Mar"/>
    <x v="1"/>
    <x v="1"/>
    <s v="Cancelld"/>
    <x v="1"/>
    <x v="0"/>
    <x v="2"/>
    <n v="214"/>
    <n v="306.02"/>
  </r>
  <r>
    <s v="AD01-9361"/>
    <x v="0"/>
    <s v="Mar"/>
    <x v="1"/>
    <x v="1"/>
    <s v="Cancelld"/>
    <x v="1"/>
    <x v="0"/>
    <x v="2"/>
    <n v="811"/>
    <n v="1159.73"/>
  </r>
  <r>
    <s v="AD01-9361"/>
    <x v="0"/>
    <s v="Mar"/>
    <x v="1"/>
    <x v="1"/>
    <s v="Cancelld"/>
    <x v="1"/>
    <x v="0"/>
    <x v="2"/>
    <n v="845"/>
    <n v="1208.3499999999999"/>
  </r>
  <r>
    <s v="AD01-9362"/>
    <x v="0"/>
    <s v="Mar"/>
    <x v="1"/>
    <x v="1"/>
    <s v="Cancelld"/>
    <x v="1"/>
    <x v="0"/>
    <x v="2"/>
    <n v="898"/>
    <n v="1284.1399999999999"/>
  </r>
  <r>
    <s v="AD01-9362"/>
    <x v="0"/>
    <s v="Mar"/>
    <x v="1"/>
    <x v="1"/>
    <s v="Cancelld"/>
    <x v="1"/>
    <x v="0"/>
    <x v="2"/>
    <n v="851"/>
    <n v="526.24"/>
  </r>
  <r>
    <s v="AD01-9361"/>
    <x v="0"/>
    <s v="Mar"/>
    <x v="1"/>
    <x v="1"/>
    <s v="Cancelld"/>
    <x v="1"/>
    <x v="0"/>
    <x v="2"/>
    <n v="884"/>
    <n v="526.24"/>
  </r>
  <r>
    <s v="AD01-9361"/>
    <x v="0"/>
    <s v="Mar"/>
    <x v="1"/>
    <x v="1"/>
    <s v="Cancelld"/>
    <x v="1"/>
    <x v="0"/>
    <x v="2"/>
    <n v="141"/>
    <n v="201.63"/>
  </r>
  <r>
    <s v="AD01-9362"/>
    <x v="0"/>
    <s v="Mar"/>
    <x v="1"/>
    <x v="1"/>
    <s v="Cancelld"/>
    <x v="1"/>
    <x v="0"/>
    <x v="2"/>
    <n v="211"/>
    <n v="301.73"/>
  </r>
  <r>
    <s v="AD01-9362"/>
    <x v="0"/>
    <s v="Mar"/>
    <x v="1"/>
    <x v="1"/>
    <s v="Cancelld"/>
    <x v="1"/>
    <x v="0"/>
    <x v="2"/>
    <n v="139"/>
    <n v="198.76999999999998"/>
  </r>
  <r>
    <s v="AD01-9362"/>
    <x v="0"/>
    <s v="Mar"/>
    <x v="1"/>
    <x v="1"/>
    <s v="Cancelld"/>
    <x v="1"/>
    <x v="0"/>
    <x v="2"/>
    <n v="820"/>
    <n v="1172.5999999999999"/>
  </r>
  <r>
    <s v="AD01-9362"/>
    <x v="0"/>
    <s v="Mar"/>
    <x v="1"/>
    <x v="1"/>
    <s v="Cancelld"/>
    <x v="1"/>
    <x v="0"/>
    <x v="2"/>
    <n v="853"/>
    <n v="1219.79"/>
  </r>
  <r>
    <s v="AD01-9362"/>
    <x v="0"/>
    <s v="Mar"/>
    <x v="1"/>
    <x v="1"/>
    <s v="Cancelld"/>
    <x v="1"/>
    <x v="0"/>
    <x v="2"/>
    <n v="137"/>
    <n v="195.91"/>
  </r>
  <r>
    <s v="AD01-9363"/>
    <x v="0"/>
    <s v="May"/>
    <x v="1"/>
    <x v="1"/>
    <s v="Cancelld"/>
    <x v="1"/>
    <x v="0"/>
    <x v="2"/>
    <n v="200"/>
    <n v="286"/>
  </r>
  <r>
    <s v="AD01-9362"/>
    <x v="0"/>
    <s v="May"/>
    <x v="1"/>
    <x v="1"/>
    <s v="Cancelld"/>
    <x v="1"/>
    <x v="0"/>
    <x v="2"/>
    <n v="128"/>
    <n v="183.04"/>
  </r>
  <r>
    <s v="AD01-9362"/>
    <x v="0"/>
    <s v="May"/>
    <x v="1"/>
    <x v="1"/>
    <s v="Cancelld"/>
    <x v="1"/>
    <x v="0"/>
    <x v="2"/>
    <n v="154"/>
    <n v="220.22"/>
  </r>
  <r>
    <s v="AD01-9362"/>
    <x v="0"/>
    <s v="May"/>
    <x v="1"/>
    <x v="1"/>
    <s v="Cancelld"/>
    <x v="1"/>
    <x v="0"/>
    <x v="2"/>
    <n v="202"/>
    <n v="288.86"/>
  </r>
  <r>
    <s v="AD01-9362"/>
    <x v="0"/>
    <s v="May"/>
    <x v="1"/>
    <x v="1"/>
    <s v="Cancelld"/>
    <x v="1"/>
    <x v="0"/>
    <x v="2"/>
    <n v="130"/>
    <n v="185.9"/>
  </r>
  <r>
    <s v="AD01-9363"/>
    <x v="0"/>
    <s v="May"/>
    <x v="1"/>
    <x v="1"/>
    <s v="Cancelld"/>
    <x v="1"/>
    <x v="0"/>
    <x v="2"/>
    <n v="813"/>
    <n v="1162.5899999999999"/>
  </r>
  <r>
    <s v="AD01-9364"/>
    <x v="0"/>
    <s v="May"/>
    <x v="1"/>
    <x v="1"/>
    <s v="Cancelld"/>
    <x v="1"/>
    <x v="0"/>
    <x v="2"/>
    <n v="846"/>
    <n v="1209.78"/>
  </r>
  <r>
    <s v="AD01-9361"/>
    <x v="0"/>
    <s v="May"/>
    <x v="1"/>
    <x v="1"/>
    <s v="Cancelld"/>
    <x v="1"/>
    <x v="0"/>
    <x v="2"/>
    <n v="900"/>
    <n v="1287"/>
  </r>
  <r>
    <s v="AD01-9361"/>
    <x v="0"/>
    <s v="May"/>
    <x v="1"/>
    <x v="1"/>
    <s v="Cancelld"/>
    <x v="1"/>
    <x v="1"/>
    <x v="2"/>
    <n v="853"/>
    <n v="526.24"/>
  </r>
  <r>
    <s v="AD01-9362"/>
    <x v="0"/>
    <s v="May"/>
    <x v="1"/>
    <x v="1"/>
    <s v="Cancelld"/>
    <x v="1"/>
    <x v="1"/>
    <x v="2"/>
    <n v="886"/>
    <n v="526.24"/>
  </r>
  <r>
    <s v="AD01-9363"/>
    <x v="0"/>
    <s v="May"/>
    <x v="1"/>
    <x v="1"/>
    <s v="Cancelld"/>
    <x v="1"/>
    <x v="1"/>
    <x v="2"/>
    <n v="129"/>
    <n v="184.47"/>
  </r>
  <r>
    <s v="AD01-9362"/>
    <x v="0"/>
    <s v="May"/>
    <x v="1"/>
    <x v="1"/>
    <s v="Cancelld"/>
    <x v="1"/>
    <x v="1"/>
    <x v="2"/>
    <n v="157"/>
    <n v="224.51"/>
  </r>
  <r>
    <s v="AD01-9362"/>
    <x v="0"/>
    <s v="May"/>
    <x v="1"/>
    <x v="1"/>
    <s v="Cancelld"/>
    <x v="1"/>
    <x v="1"/>
    <x v="2"/>
    <n v="127"/>
    <n v="181.61"/>
  </r>
  <r>
    <s v="AD01-9362"/>
    <x v="0"/>
    <s v="May"/>
    <x v="1"/>
    <x v="1"/>
    <s v="Cancelld"/>
    <x v="1"/>
    <x v="1"/>
    <x v="2"/>
    <n v="822"/>
    <n v="1175.46"/>
  </r>
  <r>
    <s v="AD01-9361"/>
    <x v="0"/>
    <s v="May"/>
    <x v="1"/>
    <x v="1"/>
    <s v="Cancelld"/>
    <x v="1"/>
    <x v="1"/>
    <x v="2"/>
    <n v="855"/>
    <n v="1222.6500000000001"/>
  </r>
  <r>
    <s v="AD01-9361"/>
    <x v="0"/>
    <s v="Nov"/>
    <x v="1"/>
    <x v="1"/>
    <s v="Cancelld"/>
    <x v="1"/>
    <x v="1"/>
    <x v="2"/>
    <n v="368"/>
    <n v="526.24"/>
  </r>
  <r>
    <s v="AD01-9361"/>
    <x v="0"/>
    <s v="Nov"/>
    <x v="1"/>
    <x v="1"/>
    <s v="Cancelld"/>
    <x v="1"/>
    <x v="1"/>
    <x v="2"/>
    <n v="170"/>
    <n v="243.1"/>
  </r>
  <r>
    <s v="AD01-9362"/>
    <x v="0"/>
    <s v="Nov"/>
    <x v="1"/>
    <x v="1"/>
    <s v="Cancelld"/>
    <x v="1"/>
    <x v="1"/>
    <x v="2"/>
    <n v="344"/>
    <n v="491.91999999999996"/>
  </r>
  <r>
    <s v="AD01-9362"/>
    <x v="0"/>
    <s v="Nov"/>
    <x v="1"/>
    <x v="1"/>
    <s v="Cancelld"/>
    <x v="1"/>
    <x v="1"/>
    <x v="2"/>
    <n v="370"/>
    <n v="529.1"/>
  </r>
  <r>
    <s v="AD01-9365"/>
    <x v="0"/>
    <s v="Nov"/>
    <x v="1"/>
    <x v="1"/>
    <s v="Cancelld"/>
    <x v="1"/>
    <x v="1"/>
    <x v="2"/>
    <n v="172"/>
    <n v="245.95999999999998"/>
  </r>
  <r>
    <s v="AD01-9364"/>
    <x v="0"/>
    <s v="Nov"/>
    <x v="1"/>
    <x v="1"/>
    <s v="Cancelld"/>
    <x v="1"/>
    <x v="1"/>
    <x v="2"/>
    <n v="340"/>
    <n v="486.2"/>
  </r>
  <r>
    <s v="AD01-9362"/>
    <x v="0"/>
    <s v="Nov"/>
    <x v="1"/>
    <x v="1"/>
    <s v="Cancelld"/>
    <x v="1"/>
    <x v="1"/>
    <x v="2"/>
    <n v="852"/>
    <n v="1218.3600000000001"/>
  </r>
  <r>
    <s v="AD01-9362"/>
    <x v="0"/>
    <s v="Nov"/>
    <x v="1"/>
    <x v="1"/>
    <s v="Cancelld"/>
    <x v="1"/>
    <x v="1"/>
    <x v="2"/>
    <n v="905"/>
    <n v="1294.1500000000001"/>
  </r>
  <r>
    <s v="AD01-9362"/>
    <x v="0"/>
    <s v="Nov"/>
    <x v="1"/>
    <x v="1"/>
    <s v="Cancelld"/>
    <x v="1"/>
    <x v="1"/>
    <x v="2"/>
    <n v="858"/>
    <n v="526.24"/>
  </r>
  <r>
    <s v="AD01-9361"/>
    <x v="0"/>
    <s v="Nov"/>
    <x v="1"/>
    <x v="1"/>
    <s v="Cancelld"/>
    <x v="1"/>
    <x v="1"/>
    <x v="2"/>
    <n v="171"/>
    <n v="526.24"/>
  </r>
  <r>
    <s v="AD01-9364"/>
    <x v="0"/>
    <s v="Nov"/>
    <x v="1"/>
    <x v="1"/>
    <s v="Cancelld"/>
    <x v="1"/>
    <x v="1"/>
    <x v="2"/>
    <n v="367"/>
    <n v="524.80999999999995"/>
  </r>
  <r>
    <s v="AD01-9361"/>
    <x v="0"/>
    <s v="Nov"/>
    <x v="1"/>
    <x v="1"/>
    <s v="Cancelld"/>
    <x v="1"/>
    <x v="1"/>
    <x v="2"/>
    <n v="169"/>
    <n v="241.67000000000002"/>
  </r>
  <r>
    <s v="AD01-9362"/>
    <x v="0"/>
    <s v="Nov"/>
    <x v="1"/>
    <x v="1"/>
    <s v="Cancelld"/>
    <x v="1"/>
    <x v="1"/>
    <x v="2"/>
    <n v="343"/>
    <n v="490.49"/>
  </r>
  <r>
    <s v="AD01-9362"/>
    <x v="0"/>
    <s v="Nov"/>
    <x v="1"/>
    <x v="1"/>
    <s v="Cancelld"/>
    <x v="1"/>
    <x v="1"/>
    <x v="2"/>
    <n v="827"/>
    <n v="1182.6100000000001"/>
  </r>
  <r>
    <s v="AD01-9361"/>
    <x v="0"/>
    <s v="Nov"/>
    <x v="1"/>
    <x v="1"/>
    <s v="Cancelld"/>
    <x v="1"/>
    <x v="1"/>
    <x v="2"/>
    <n v="341"/>
    <n v="487.63"/>
  </r>
  <r>
    <s v="AD01-9362"/>
    <x v="0"/>
    <s v="Oct"/>
    <x v="1"/>
    <x v="1"/>
    <s v="Cancelld"/>
    <x v="1"/>
    <x v="1"/>
    <x v="2"/>
    <n v="128"/>
    <n v="183.04"/>
  </r>
  <r>
    <s v="AD01-9362"/>
    <x v="0"/>
    <s v="Oct"/>
    <x v="1"/>
    <x v="1"/>
    <s v="Cancelld"/>
    <x v="1"/>
    <x v="1"/>
    <x v="2"/>
    <n v="176"/>
    <n v="251.68"/>
  </r>
  <r>
    <s v="AD01-9362"/>
    <x v="0"/>
    <s v="Oct"/>
    <x v="1"/>
    <x v="1"/>
    <s v="Cancelld"/>
    <x v="1"/>
    <x v="1"/>
    <x v="2"/>
    <n v="350"/>
    <n v="500.5"/>
  </r>
  <r>
    <s v="AD01-9362"/>
    <x v="0"/>
    <s v="Oct"/>
    <x v="1"/>
    <x v="1"/>
    <s v="Cancelld"/>
    <x v="1"/>
    <x v="1"/>
    <x v="2"/>
    <n v="130"/>
    <n v="185.9"/>
  </r>
  <r>
    <s v="AD01-9363"/>
    <x v="0"/>
    <s v="Oct"/>
    <x v="1"/>
    <x v="1"/>
    <s v="Cancelld"/>
    <x v="1"/>
    <x v="1"/>
    <x v="2"/>
    <n v="346"/>
    <n v="494.78"/>
  </r>
  <r>
    <s v="AD01-9362"/>
    <x v="0"/>
    <s v="Oct"/>
    <x v="1"/>
    <x v="1"/>
    <s v="Cancelld"/>
    <x v="1"/>
    <x v="1"/>
    <x v="2"/>
    <n v="818"/>
    <n v="1169.74"/>
  </r>
  <r>
    <s v="AD01-9361"/>
    <x v="0"/>
    <s v="Oct"/>
    <x v="1"/>
    <x v="1"/>
    <s v="Cancelld"/>
    <x v="1"/>
    <x v="1"/>
    <x v="2"/>
    <n v="851"/>
    <n v="1216.93"/>
  </r>
  <r>
    <s v="AD01-9364"/>
    <x v="0"/>
    <s v="Oct"/>
    <x v="1"/>
    <x v="1"/>
    <s v="Cancelld"/>
    <x v="1"/>
    <x v="1"/>
    <x v="2"/>
    <n v="904"/>
    <n v="1292.72"/>
  </r>
  <r>
    <s v="AD01-9364"/>
    <x v="0"/>
    <s v="Oct"/>
    <x v="1"/>
    <x v="1"/>
    <s v="Cancelld"/>
    <x v="1"/>
    <x v="1"/>
    <x v="2"/>
    <n v="857"/>
    <n v="526.24"/>
  </r>
  <r>
    <s v="AD01-9362"/>
    <x v="0"/>
    <s v="Oct"/>
    <x v="1"/>
    <x v="1"/>
    <s v="Cancelld"/>
    <x v="1"/>
    <x v="1"/>
    <x v="2"/>
    <n v="177"/>
    <n v="526.24"/>
  </r>
  <r>
    <s v="AD01-9362"/>
    <x v="0"/>
    <s v="Oct"/>
    <x v="1"/>
    <x v="1"/>
    <s v="Cancelld"/>
    <x v="1"/>
    <x v="1"/>
    <x v="2"/>
    <n v="345"/>
    <n v="493.35"/>
  </r>
  <r>
    <s v="AD01-9363"/>
    <x v="0"/>
    <s v="Oct"/>
    <x v="1"/>
    <x v="1"/>
    <s v="Cancelld"/>
    <x v="1"/>
    <x v="1"/>
    <x v="2"/>
    <n v="127"/>
    <n v="181.61"/>
  </r>
  <r>
    <s v="AD01-9364"/>
    <x v="0"/>
    <s v="Oct"/>
    <x v="1"/>
    <x v="1"/>
    <s v="Cancelld"/>
    <x v="1"/>
    <x v="1"/>
    <x v="2"/>
    <n v="175"/>
    <n v="250.25"/>
  </r>
  <r>
    <s v="AD01-9362"/>
    <x v="0"/>
    <s v="Oct"/>
    <x v="1"/>
    <x v="1"/>
    <s v="Cancelld"/>
    <x v="1"/>
    <x v="1"/>
    <x v="2"/>
    <n v="349"/>
    <n v="499.07"/>
  </r>
  <r>
    <s v="AD01-9362"/>
    <x v="0"/>
    <s v="Oct"/>
    <x v="1"/>
    <x v="1"/>
    <s v="Cancelld"/>
    <x v="1"/>
    <x v="1"/>
    <x v="2"/>
    <n v="826"/>
    <n v="1181.18"/>
  </r>
  <r>
    <s v="AD01-9361"/>
    <x v="0"/>
    <s v="Oct"/>
    <x v="1"/>
    <x v="1"/>
    <s v="Cancelld"/>
    <x v="1"/>
    <x v="1"/>
    <x v="2"/>
    <n v="860"/>
    <n v="1229.8"/>
  </r>
  <r>
    <s v="AD01-9362"/>
    <x v="0"/>
    <s v="Oct"/>
    <x v="1"/>
    <x v="1"/>
    <s v="Cancelld"/>
    <x v="1"/>
    <x v="1"/>
    <x v="2"/>
    <n v="347"/>
    <n v="496.21000000000004"/>
  </r>
  <r>
    <s v="AD01-9363"/>
    <x v="0"/>
    <s v="Sep"/>
    <x v="1"/>
    <x v="1"/>
    <s v="Cancelld"/>
    <x v="1"/>
    <x v="1"/>
    <x v="2"/>
    <n v="134"/>
    <n v="191.62"/>
  </r>
  <r>
    <s v="AD01-9362"/>
    <x v="0"/>
    <s v="Sep"/>
    <x v="1"/>
    <x v="1"/>
    <s v="Cancelld"/>
    <x v="1"/>
    <x v="1"/>
    <x v="2"/>
    <n v="182"/>
    <n v="260.26"/>
  </r>
  <r>
    <s v="AD01-9362"/>
    <x v="0"/>
    <s v="Sep"/>
    <x v="1"/>
    <x v="1"/>
    <s v="Cancelld"/>
    <x v="1"/>
    <x v="1"/>
    <x v="2"/>
    <n v="136"/>
    <n v="194.48"/>
  </r>
  <r>
    <s v="AD01-9361"/>
    <x v="0"/>
    <s v="Sep"/>
    <x v="1"/>
    <x v="1"/>
    <s v="Cancelld"/>
    <x v="1"/>
    <x v="1"/>
    <x v="2"/>
    <n v="178"/>
    <n v="254.54"/>
  </r>
  <r>
    <s v="AD01-9364"/>
    <x v="0"/>
    <s v="Sep"/>
    <x v="1"/>
    <x v="1"/>
    <s v="Cancelld"/>
    <x v="1"/>
    <x v="1"/>
    <x v="2"/>
    <n v="352"/>
    <n v="503.36"/>
  </r>
  <r>
    <s v="AD01-9362"/>
    <x v="0"/>
    <s v="Sep"/>
    <x v="1"/>
    <x v="1"/>
    <s v="Cancelld"/>
    <x v="1"/>
    <x v="1"/>
    <x v="2"/>
    <n v="817"/>
    <n v="1168.31"/>
  </r>
  <r>
    <s v="AD01-9364"/>
    <x v="0"/>
    <s v="Sep"/>
    <x v="1"/>
    <x v="1"/>
    <s v="Cancelld"/>
    <x v="1"/>
    <x v="1"/>
    <x v="2"/>
    <n v="850"/>
    <n v="1215.5"/>
  </r>
  <r>
    <s v="AD01-9364"/>
    <x v="0"/>
    <s v="Sep"/>
    <x v="1"/>
    <x v="1"/>
    <s v="Cancelld"/>
    <x v="1"/>
    <x v="1"/>
    <x v="2"/>
    <n v="903"/>
    <n v="1291.29"/>
  </r>
  <r>
    <s v="AD01-9364"/>
    <x v="0"/>
    <s v="Sep"/>
    <x v="1"/>
    <x v="1"/>
    <s v="Cancelld"/>
    <x v="1"/>
    <x v="1"/>
    <x v="2"/>
    <n v="856"/>
    <n v="526.24"/>
  </r>
  <r>
    <s v="AD01-9362"/>
    <x v="0"/>
    <s v="Sep"/>
    <x v="1"/>
    <x v="1"/>
    <s v="Cancelld"/>
    <x v="1"/>
    <x v="1"/>
    <x v="2"/>
    <n v="183"/>
    <n v="526.24"/>
  </r>
  <r>
    <s v="AD01-9362"/>
    <x v="0"/>
    <s v="Sep"/>
    <x v="1"/>
    <x v="1"/>
    <s v="Cancelld"/>
    <x v="1"/>
    <x v="1"/>
    <x v="2"/>
    <n v="351"/>
    <n v="501.93"/>
  </r>
  <r>
    <s v="AD01-9364"/>
    <x v="0"/>
    <s v="Sep"/>
    <x v="1"/>
    <x v="1"/>
    <s v="Cancelld"/>
    <x v="1"/>
    <x v="1"/>
    <x v="2"/>
    <n v="133"/>
    <n v="190.19"/>
  </r>
  <r>
    <s v="AD01-9361"/>
    <x v="0"/>
    <s v="Sep"/>
    <x v="1"/>
    <x v="1"/>
    <s v="Cancelld"/>
    <x v="1"/>
    <x v="1"/>
    <x v="2"/>
    <n v="181"/>
    <n v="258.83"/>
  </r>
  <r>
    <s v="AD01-9362"/>
    <x v="0"/>
    <s v="Sep"/>
    <x v="1"/>
    <x v="1"/>
    <s v="Cancelld"/>
    <x v="1"/>
    <x v="1"/>
    <x v="2"/>
    <n v="355"/>
    <n v="507.65"/>
  </r>
  <r>
    <s v="AD01-9364"/>
    <x v="0"/>
    <s v="Sep"/>
    <x v="1"/>
    <x v="1"/>
    <s v="Cancelld"/>
    <x v="1"/>
    <x v="1"/>
    <x v="2"/>
    <n v="859"/>
    <n v="1228.3699999999999"/>
  </r>
  <r>
    <s v="AD01-9363"/>
    <x v="0"/>
    <s v="Sep"/>
    <x v="1"/>
    <x v="1"/>
    <s v="Cancelld"/>
    <x v="1"/>
    <x v="1"/>
    <x v="2"/>
    <n v="353"/>
    <n v="504.78999999999996"/>
  </r>
  <r>
    <s v="AD01-9361"/>
    <x v="0"/>
    <s v="Mar"/>
    <x v="0"/>
    <x v="1"/>
    <s v="Order assembled"/>
    <x v="1"/>
    <x v="1"/>
    <x v="1"/>
    <n v="364"/>
    <n v="520.52"/>
  </r>
  <r>
    <s v="AD01-9362"/>
    <x v="0"/>
    <s v="Mar"/>
    <x v="0"/>
    <x v="1"/>
    <s v="Order assembled"/>
    <x v="1"/>
    <x v="1"/>
    <x v="0"/>
    <n v="358"/>
    <n v="511.94"/>
  </r>
  <r>
    <s v="AD01-9361"/>
    <x v="0"/>
    <s v="Mar"/>
    <x v="0"/>
    <x v="1"/>
    <s v="Order assembled"/>
    <x v="1"/>
    <x v="1"/>
    <x v="1"/>
    <n v="367"/>
    <n v="524.80999999999995"/>
  </r>
  <r>
    <s v="AD01-9365"/>
    <x v="0"/>
    <s v="Mar"/>
    <x v="0"/>
    <x v="1"/>
    <s v="Order assembled"/>
    <x v="1"/>
    <x v="1"/>
    <x v="0"/>
    <n v="361"/>
    <n v="516.23"/>
  </r>
  <r>
    <s v="AD01-9361"/>
    <x v="0"/>
    <s v="Mar"/>
    <x v="0"/>
    <x v="1"/>
    <s v="Cancelld"/>
    <x v="1"/>
    <x v="1"/>
    <x v="0"/>
    <n v="355"/>
    <n v="507.65"/>
  </r>
  <r>
    <s v="AD01-9363"/>
    <x v="0"/>
    <s v="Feb"/>
    <x v="1"/>
    <x v="1"/>
    <s v="Order assembled"/>
    <x v="0"/>
    <x v="1"/>
    <x v="1"/>
    <n v="780"/>
    <n v="1115.4000000000001"/>
  </r>
  <r>
    <s v="AD01-9364"/>
    <x v="0"/>
    <s v="Feb"/>
    <x v="1"/>
    <x v="1"/>
    <s v="Order assembled"/>
    <x v="0"/>
    <x v="1"/>
    <x v="1"/>
    <n v="781"/>
    <n v="1116.83"/>
  </r>
  <r>
    <s v="AD01-9361"/>
    <x v="0"/>
    <s v="Feb"/>
    <x v="1"/>
    <x v="1"/>
    <s v="Order assembled"/>
    <x v="0"/>
    <x v="1"/>
    <x v="1"/>
    <n v="782"/>
    <n v="1118.26"/>
  </r>
  <r>
    <s v="AD01-9362"/>
    <x v="0"/>
    <s v="Feb"/>
    <x v="1"/>
    <x v="1"/>
    <s v="Order assembled"/>
    <x v="0"/>
    <x v="1"/>
    <x v="1"/>
    <n v="820"/>
    <n v="526.24"/>
  </r>
  <r>
    <s v="AD01-9362"/>
    <x v="0"/>
    <s v="Feb"/>
    <x v="1"/>
    <x v="1"/>
    <s v="Order assembled"/>
    <x v="0"/>
    <x v="1"/>
    <x v="1"/>
    <n v="821"/>
    <n v="526.24"/>
  </r>
  <r>
    <s v="AD01-9364"/>
    <x v="0"/>
    <s v="Jan"/>
    <x v="1"/>
    <x v="1"/>
    <s v="Order assembled"/>
    <x v="0"/>
    <x v="1"/>
    <x v="0"/>
    <n v="362"/>
    <n v="517.66"/>
  </r>
  <r>
    <s v="AD01-9364"/>
    <x v="0"/>
    <s v="Jan"/>
    <x v="1"/>
    <x v="1"/>
    <s v="Order assembled"/>
    <x v="0"/>
    <x v="1"/>
    <x v="0"/>
    <n v="779"/>
    <n v="1113.97"/>
  </r>
  <r>
    <s v="AD01-9363"/>
    <x v="0"/>
    <s v="Jan"/>
    <x v="1"/>
    <x v="1"/>
    <s v="Order assembled"/>
    <x v="0"/>
    <x v="1"/>
    <x v="0"/>
    <n v="819"/>
    <n v="526.24"/>
  </r>
  <r>
    <s v="AD01-9363"/>
    <x v="0"/>
    <s v="Jan"/>
    <x v="1"/>
    <x v="1"/>
    <s v="Order assembled"/>
    <x v="0"/>
    <x v="1"/>
    <x v="0"/>
    <n v="361"/>
    <n v="516.23"/>
  </r>
  <r>
    <s v="AD01-9362"/>
    <x v="0"/>
    <s v="Mar"/>
    <x v="1"/>
    <x v="1"/>
    <s v="Order assembled"/>
    <x v="0"/>
    <x v="1"/>
    <x v="1"/>
    <n v="822"/>
    <n v="526.24"/>
  </r>
  <r>
    <s v="AD01-9362"/>
    <x v="1"/>
    <s v="Dec"/>
    <x v="0"/>
    <x v="0"/>
    <s v="Order assembled"/>
    <x v="1"/>
    <x v="0"/>
    <x v="0"/>
    <n v="278"/>
    <n v="397.53999999999996"/>
  </r>
  <r>
    <s v="AD01-9361"/>
    <x v="1"/>
    <s v="Dec"/>
    <x v="0"/>
    <x v="0"/>
    <s v="Order assembled"/>
    <x v="1"/>
    <x v="0"/>
    <x v="0"/>
    <n v="272"/>
    <n v="388.96"/>
  </r>
  <r>
    <s v="AD01-9361"/>
    <x v="1"/>
    <s v="Dec"/>
    <x v="0"/>
    <x v="0"/>
    <s v="Order assembled"/>
    <x v="1"/>
    <x v="0"/>
    <x v="0"/>
    <n v="266"/>
    <n v="380.38"/>
  </r>
  <r>
    <s v="AD01-9364"/>
    <x v="1"/>
    <s v="Dec"/>
    <x v="0"/>
    <x v="0"/>
    <s v="Order assembled"/>
    <x v="1"/>
    <x v="0"/>
    <x v="0"/>
    <n v="276"/>
    <n v="526.24"/>
  </r>
  <r>
    <s v="AD01-9362"/>
    <x v="1"/>
    <s v="Dec"/>
    <x v="0"/>
    <x v="0"/>
    <s v="Order assembled"/>
    <x v="1"/>
    <x v="0"/>
    <x v="0"/>
    <n v="270"/>
    <n v="526.24"/>
  </r>
  <r>
    <s v="AD01-9362"/>
    <x v="1"/>
    <s v="Dec"/>
    <x v="0"/>
    <x v="0"/>
    <s v="Order assembled"/>
    <x v="1"/>
    <x v="0"/>
    <x v="0"/>
    <n v="279"/>
    <n v="398.97"/>
  </r>
  <r>
    <s v="AD01-9362"/>
    <x v="1"/>
    <s v="Dec"/>
    <x v="0"/>
    <x v="0"/>
    <s v="Order assembled"/>
    <x v="1"/>
    <x v="0"/>
    <x v="0"/>
    <n v="273"/>
    <n v="390.39"/>
  </r>
  <r>
    <s v="AD01-9361"/>
    <x v="1"/>
    <s v="Dec"/>
    <x v="0"/>
    <x v="0"/>
    <s v="Order assembled"/>
    <x v="1"/>
    <x v="0"/>
    <x v="0"/>
    <n v="267"/>
    <n v="381.81"/>
  </r>
  <r>
    <s v="AD01-9362"/>
    <x v="1"/>
    <s v="Dec"/>
    <x v="0"/>
    <x v="0"/>
    <s v="Order assembled"/>
    <x v="1"/>
    <x v="0"/>
    <x v="0"/>
    <n v="275"/>
    <n v="393.25"/>
  </r>
  <r>
    <s v="AD01-9362"/>
    <x v="1"/>
    <s v="Dec"/>
    <x v="0"/>
    <x v="0"/>
    <s v="Order assembled"/>
    <x v="1"/>
    <x v="0"/>
    <x v="0"/>
    <n v="269"/>
    <n v="384.67"/>
  </r>
  <r>
    <s v="AD01-9364"/>
    <x v="1"/>
    <s v="Nov"/>
    <x v="0"/>
    <x v="0"/>
    <s v="Order assembled"/>
    <x v="1"/>
    <x v="0"/>
    <x v="0"/>
    <n v="296"/>
    <n v="423.28"/>
  </r>
  <r>
    <s v="AD01-9362"/>
    <x v="1"/>
    <s v="Nov"/>
    <x v="0"/>
    <x v="0"/>
    <s v="Order assembled"/>
    <x v="1"/>
    <x v="0"/>
    <x v="0"/>
    <n v="290"/>
    <n v="414.7"/>
  </r>
  <r>
    <s v="AD01-9363"/>
    <x v="1"/>
    <s v="Nov"/>
    <x v="0"/>
    <x v="0"/>
    <s v="Order assembled"/>
    <x v="1"/>
    <x v="0"/>
    <x v="0"/>
    <n v="284"/>
    <n v="406.12"/>
  </r>
  <r>
    <s v="AD01-9365"/>
    <x v="1"/>
    <s v="Nov"/>
    <x v="0"/>
    <x v="0"/>
    <s v="Order assembled"/>
    <x v="1"/>
    <x v="0"/>
    <x v="0"/>
    <n v="294"/>
    <n v="526.24"/>
  </r>
  <r>
    <s v="AD01-9361"/>
    <x v="1"/>
    <s v="Nov"/>
    <x v="0"/>
    <x v="0"/>
    <s v="Order assembled"/>
    <x v="1"/>
    <x v="0"/>
    <x v="0"/>
    <n v="288"/>
    <n v="526.24"/>
  </r>
  <r>
    <s v="AD01-9361"/>
    <x v="1"/>
    <s v="Nov"/>
    <x v="0"/>
    <x v="0"/>
    <s v="Order assembled"/>
    <x v="1"/>
    <x v="0"/>
    <x v="0"/>
    <n v="282"/>
    <n v="526.24"/>
  </r>
  <r>
    <s v="AD01-9361"/>
    <x v="1"/>
    <s v="Nov"/>
    <x v="0"/>
    <x v="0"/>
    <s v="Order assembled"/>
    <x v="1"/>
    <x v="0"/>
    <x v="0"/>
    <n v="291"/>
    <n v="416.13"/>
  </r>
  <r>
    <s v="AD01-9365"/>
    <x v="1"/>
    <s v="Nov"/>
    <x v="0"/>
    <x v="0"/>
    <s v="Order assembled"/>
    <x v="1"/>
    <x v="0"/>
    <x v="0"/>
    <n v="285"/>
    <n v="407.55"/>
  </r>
  <r>
    <s v="AD01-9363"/>
    <x v="1"/>
    <s v="Nov"/>
    <x v="0"/>
    <x v="0"/>
    <s v="Order assembled"/>
    <x v="1"/>
    <x v="0"/>
    <x v="0"/>
    <n v="293"/>
    <n v="418.99"/>
  </r>
  <r>
    <s v="AD01-9364"/>
    <x v="1"/>
    <s v="Nov"/>
    <x v="0"/>
    <x v="0"/>
    <s v="Order assembled"/>
    <x v="1"/>
    <x v="0"/>
    <x v="0"/>
    <n v="287"/>
    <n v="410.40999999999997"/>
  </r>
  <r>
    <s v="AD01-9361"/>
    <x v="1"/>
    <s v="Nov"/>
    <x v="0"/>
    <x v="0"/>
    <s v="Order assembled"/>
    <x v="1"/>
    <x v="0"/>
    <x v="0"/>
    <n v="281"/>
    <n v="401.83"/>
  </r>
  <r>
    <s v="AD01-9364"/>
    <x v="1"/>
    <s v="Oct"/>
    <x v="0"/>
    <x v="0"/>
    <s v="Order assembled"/>
    <x v="1"/>
    <x v="0"/>
    <x v="0"/>
    <n v="308"/>
    <n v="440.44"/>
  </r>
  <r>
    <s v="AD01-9362"/>
    <x v="1"/>
    <s v="Oct"/>
    <x v="0"/>
    <x v="0"/>
    <s v="Order assembled"/>
    <x v="1"/>
    <x v="0"/>
    <x v="0"/>
    <n v="302"/>
    <n v="431.86"/>
  </r>
  <r>
    <s v="AD01-9362"/>
    <x v="1"/>
    <s v="Oct"/>
    <x v="0"/>
    <x v="0"/>
    <s v="Order assembled"/>
    <x v="1"/>
    <x v="0"/>
    <x v="0"/>
    <n v="306"/>
    <n v="526.24"/>
  </r>
  <r>
    <s v="AD01-9363"/>
    <x v="1"/>
    <s v="Oct"/>
    <x v="0"/>
    <x v="0"/>
    <s v="Order assembled"/>
    <x v="1"/>
    <x v="0"/>
    <x v="0"/>
    <n v="300"/>
    <n v="526.24"/>
  </r>
  <r>
    <s v="AD01-9364"/>
    <x v="1"/>
    <s v="Oct"/>
    <x v="0"/>
    <x v="0"/>
    <s v="Order assembled"/>
    <x v="1"/>
    <x v="0"/>
    <x v="0"/>
    <n v="309"/>
    <n v="441.87"/>
  </r>
  <r>
    <s v="AD01-9364"/>
    <x v="1"/>
    <s v="Oct"/>
    <x v="0"/>
    <x v="0"/>
    <s v="Order assembled"/>
    <x v="1"/>
    <x v="0"/>
    <x v="0"/>
    <n v="303"/>
    <n v="433.28999999999996"/>
  </r>
  <r>
    <s v="AD01-9364"/>
    <x v="1"/>
    <s v="Oct"/>
    <x v="0"/>
    <x v="0"/>
    <s v="Order assembled"/>
    <x v="1"/>
    <x v="0"/>
    <x v="0"/>
    <n v="297"/>
    <n v="424.71"/>
  </r>
  <r>
    <s v="AD01-9361"/>
    <x v="1"/>
    <s v="Oct"/>
    <x v="0"/>
    <x v="0"/>
    <s v="Order assembled"/>
    <x v="1"/>
    <x v="0"/>
    <x v="0"/>
    <n v="305"/>
    <n v="436.15"/>
  </r>
  <r>
    <s v="AD01-9361"/>
    <x v="1"/>
    <s v="Oct"/>
    <x v="0"/>
    <x v="0"/>
    <s v="Order assembled"/>
    <x v="1"/>
    <x v="0"/>
    <x v="0"/>
    <n v="299"/>
    <n v="427.57"/>
  </r>
  <r>
    <s v="AD01-9361"/>
    <x v="1"/>
    <s v="Apr"/>
    <x v="0"/>
    <x v="0"/>
    <s v="Order assembled"/>
    <x v="0"/>
    <x v="0"/>
    <x v="0"/>
    <n v="158"/>
    <n v="526.24"/>
  </r>
  <r>
    <s v="AD01-9361"/>
    <x v="1"/>
    <s v="Apr"/>
    <x v="0"/>
    <x v="0"/>
    <s v="Order assembled"/>
    <x v="0"/>
    <x v="0"/>
    <x v="0"/>
    <n v="152"/>
    <n v="526.24"/>
  </r>
  <r>
    <s v="AD01-9362"/>
    <x v="1"/>
    <s v="Apr"/>
    <x v="0"/>
    <x v="0"/>
    <s v="Order assembled"/>
    <x v="0"/>
    <x v="0"/>
    <x v="1"/>
    <n v="170"/>
    <n v="243.1"/>
  </r>
  <r>
    <s v="AD01-9362"/>
    <x v="1"/>
    <s v="Apr"/>
    <x v="0"/>
    <x v="0"/>
    <s v="Order assembled"/>
    <x v="0"/>
    <x v="0"/>
    <x v="1"/>
    <n v="218"/>
    <n v="311.74"/>
  </r>
  <r>
    <s v="AD01-9361"/>
    <x v="1"/>
    <s v="Apr"/>
    <x v="0"/>
    <x v="0"/>
    <s v="Order assembled"/>
    <x v="0"/>
    <x v="0"/>
    <x v="1"/>
    <n v="146"/>
    <n v="208.78"/>
  </r>
  <r>
    <s v="AD01-9364"/>
    <x v="1"/>
    <s v="Apr"/>
    <x v="0"/>
    <x v="0"/>
    <s v="Order assembled"/>
    <x v="0"/>
    <x v="0"/>
    <x v="1"/>
    <n v="172"/>
    <n v="245.95999999999998"/>
  </r>
  <r>
    <s v="AD01-9361"/>
    <x v="1"/>
    <s v="Apr"/>
    <x v="0"/>
    <x v="0"/>
    <s v="Order assembled"/>
    <x v="0"/>
    <x v="0"/>
    <x v="1"/>
    <n v="220"/>
    <n v="314.60000000000002"/>
  </r>
  <r>
    <s v="AD01-9361"/>
    <x v="1"/>
    <s v="Apr"/>
    <x v="0"/>
    <x v="0"/>
    <s v="Order assembled"/>
    <x v="0"/>
    <x v="0"/>
    <x v="1"/>
    <n v="162"/>
    <n v="526.24"/>
  </r>
  <r>
    <s v="AD01-9362"/>
    <x v="1"/>
    <s v="Apr"/>
    <x v="0"/>
    <x v="0"/>
    <s v="Order assembled"/>
    <x v="0"/>
    <x v="0"/>
    <x v="1"/>
    <n v="156"/>
    <n v="526.24"/>
  </r>
  <r>
    <s v="AD01-9362"/>
    <x v="1"/>
    <s v="Apr"/>
    <x v="0"/>
    <x v="0"/>
    <s v="Order assembled"/>
    <x v="0"/>
    <x v="0"/>
    <x v="1"/>
    <n v="150"/>
    <n v="526.24"/>
  </r>
  <r>
    <s v="AD01-9362"/>
    <x v="1"/>
    <s v="Apr"/>
    <x v="0"/>
    <x v="0"/>
    <s v="Order assembled"/>
    <x v="0"/>
    <x v="0"/>
    <x v="1"/>
    <n v="687"/>
    <n v="982.41"/>
  </r>
  <r>
    <s v="AD01-9361"/>
    <x v="1"/>
    <s v="Apr"/>
    <x v="0"/>
    <x v="0"/>
    <s v="Order assembled"/>
    <x v="0"/>
    <x v="0"/>
    <x v="1"/>
    <n v="721"/>
    <n v="1031.03"/>
  </r>
  <r>
    <s v="AD01-9362"/>
    <x v="1"/>
    <s v="Apr"/>
    <x v="0"/>
    <x v="0"/>
    <s v="Order assembled"/>
    <x v="0"/>
    <x v="0"/>
    <x v="1"/>
    <n v="774"/>
    <n v="1106.82"/>
  </r>
  <r>
    <s v="AD01-9361"/>
    <x v="1"/>
    <s v="Apr"/>
    <x v="0"/>
    <x v="0"/>
    <s v="Order assembled"/>
    <x v="0"/>
    <x v="0"/>
    <x v="1"/>
    <n v="159"/>
    <n v="227.37"/>
  </r>
  <r>
    <s v="AD01-9362"/>
    <x v="1"/>
    <s v="Apr"/>
    <x v="0"/>
    <x v="0"/>
    <s v="Order assembled"/>
    <x v="0"/>
    <x v="0"/>
    <x v="1"/>
    <n v="153"/>
    <n v="218.79"/>
  </r>
  <r>
    <s v="AD01-9361"/>
    <x v="1"/>
    <s v="Apr"/>
    <x v="0"/>
    <x v="0"/>
    <s v="Order assembled"/>
    <x v="0"/>
    <x v="0"/>
    <x v="1"/>
    <n v="147"/>
    <n v="210.21"/>
  </r>
  <r>
    <s v="AD01-9362"/>
    <x v="1"/>
    <s v="Apr"/>
    <x v="0"/>
    <x v="0"/>
    <s v="Order assembled"/>
    <x v="0"/>
    <x v="0"/>
    <x v="1"/>
    <n v="171"/>
    <n v="244.53"/>
  </r>
  <r>
    <s v="AD01-9362"/>
    <x v="1"/>
    <s v="Apr"/>
    <x v="0"/>
    <x v="0"/>
    <s v="Order assembled"/>
    <x v="0"/>
    <x v="0"/>
    <x v="1"/>
    <n v="760"/>
    <n v="526.24"/>
  </r>
  <r>
    <s v="AD01-9362"/>
    <x v="1"/>
    <s v="Apr"/>
    <x v="0"/>
    <x v="0"/>
    <s v="Order assembled"/>
    <x v="0"/>
    <x v="0"/>
    <x v="1"/>
    <n v="813"/>
    <n v="526.24"/>
  </r>
  <r>
    <s v="AD01-9362"/>
    <x v="1"/>
    <s v="Apr"/>
    <x v="0"/>
    <x v="0"/>
    <s v="Order assembled"/>
    <x v="0"/>
    <x v="0"/>
    <x v="1"/>
    <n v="217"/>
    <n v="310.31"/>
  </r>
  <r>
    <s v="AD01-9364"/>
    <x v="1"/>
    <s v="Apr"/>
    <x v="0"/>
    <x v="0"/>
    <s v="Order assembled"/>
    <x v="0"/>
    <x v="0"/>
    <x v="1"/>
    <n v="145"/>
    <n v="207.35"/>
  </r>
  <r>
    <s v="AD01-9362"/>
    <x v="1"/>
    <s v="Apr"/>
    <x v="0"/>
    <x v="0"/>
    <s v="Order assembled"/>
    <x v="0"/>
    <x v="0"/>
    <x v="0"/>
    <n v="161"/>
    <n v="230.23000000000002"/>
  </r>
  <r>
    <s v="AD01-9363"/>
    <x v="1"/>
    <s v="Apr"/>
    <x v="0"/>
    <x v="0"/>
    <s v="Order assembled"/>
    <x v="0"/>
    <x v="0"/>
    <x v="0"/>
    <n v="155"/>
    <n v="221.65"/>
  </r>
  <r>
    <s v="AD01-9362"/>
    <x v="1"/>
    <s v="Apr"/>
    <x v="0"/>
    <x v="0"/>
    <s v="Order assembled"/>
    <x v="0"/>
    <x v="0"/>
    <x v="0"/>
    <n v="149"/>
    <n v="213.07"/>
  </r>
  <r>
    <s v="AD01-9361"/>
    <x v="1"/>
    <s v="Apr"/>
    <x v="0"/>
    <x v="0"/>
    <s v="Order assembled"/>
    <x v="0"/>
    <x v="0"/>
    <x v="1"/>
    <n v="173"/>
    <n v="247.39"/>
  </r>
  <r>
    <s v="AD01-9361"/>
    <x v="1"/>
    <s v="Apr"/>
    <x v="0"/>
    <x v="0"/>
    <s v="Order assembled"/>
    <x v="0"/>
    <x v="0"/>
    <x v="1"/>
    <n v="221"/>
    <n v="316.02999999999997"/>
  </r>
  <r>
    <s v="AD01-9362"/>
    <x v="1"/>
    <s v="Apr"/>
    <x v="0"/>
    <x v="0"/>
    <s v="Order assembled"/>
    <x v="0"/>
    <x v="0"/>
    <x v="1"/>
    <n v="783"/>
    <n v="1119.69"/>
  </r>
  <r>
    <s v="AD01-9361"/>
    <x v="1"/>
    <s v="Aug"/>
    <x v="0"/>
    <x v="0"/>
    <s v="Order assembled"/>
    <x v="0"/>
    <x v="0"/>
    <x v="0"/>
    <n v="344"/>
    <n v="491.91999999999996"/>
  </r>
  <r>
    <s v="AD01-9361"/>
    <x v="1"/>
    <s v="Aug"/>
    <x v="0"/>
    <x v="0"/>
    <s v="Order assembled"/>
    <x v="0"/>
    <x v="0"/>
    <x v="0"/>
    <n v="338"/>
    <n v="483.34000000000003"/>
  </r>
  <r>
    <s v="AD01-9361"/>
    <x v="1"/>
    <s v="Aug"/>
    <x v="0"/>
    <x v="0"/>
    <s v="Order assembled"/>
    <x v="0"/>
    <x v="0"/>
    <x v="0"/>
    <n v="332"/>
    <n v="474.76"/>
  </r>
  <r>
    <s v="AD01-9364"/>
    <x v="1"/>
    <s v="Aug"/>
    <x v="0"/>
    <x v="0"/>
    <s v="Order assembled"/>
    <x v="0"/>
    <x v="0"/>
    <x v="1"/>
    <n v="152"/>
    <n v="206.72"/>
  </r>
  <r>
    <s v="AD01-9364"/>
    <x v="1"/>
    <s v="Aug"/>
    <x v="0"/>
    <x v="0"/>
    <s v="Order assembled"/>
    <x v="0"/>
    <x v="0"/>
    <x v="1"/>
    <n v="368"/>
    <n v="526.24"/>
  </r>
  <r>
    <s v="AD01-9365"/>
    <x v="1"/>
    <s v="Aug"/>
    <x v="0"/>
    <x v="0"/>
    <s v="Order assembled"/>
    <x v="0"/>
    <x v="0"/>
    <x v="1"/>
    <n v="148"/>
    <n v="211.64"/>
  </r>
  <r>
    <s v="AD01-9361"/>
    <x v="1"/>
    <s v="Aug"/>
    <x v="0"/>
    <x v="0"/>
    <s v="Order assembled"/>
    <x v="0"/>
    <x v="0"/>
    <x v="1"/>
    <n v="196"/>
    <n v="280.27999999999997"/>
  </r>
  <r>
    <s v="AD01-9361"/>
    <x v="1"/>
    <s v="Aug"/>
    <x v="0"/>
    <x v="0"/>
    <s v="Order assembled"/>
    <x v="0"/>
    <x v="0"/>
    <x v="1"/>
    <n v="370"/>
    <n v="529.1"/>
  </r>
  <r>
    <s v="AD01-9364"/>
    <x v="1"/>
    <s v="Aug"/>
    <x v="0"/>
    <x v="0"/>
    <s v="Order assembled"/>
    <x v="0"/>
    <x v="0"/>
    <x v="0"/>
    <n v="342"/>
    <n v="526.24"/>
  </r>
  <r>
    <s v="AD01-9362"/>
    <x v="1"/>
    <s v="Aug"/>
    <x v="0"/>
    <x v="0"/>
    <s v="Order assembled"/>
    <x v="0"/>
    <x v="0"/>
    <x v="0"/>
    <n v="336"/>
    <n v="526.24"/>
  </r>
  <r>
    <s v="AD01-9361"/>
    <x v="1"/>
    <s v="Aug"/>
    <x v="0"/>
    <x v="0"/>
    <s v="Order assembled"/>
    <x v="0"/>
    <x v="0"/>
    <x v="0"/>
    <n v="330"/>
    <n v="526.24"/>
  </r>
  <r>
    <s v="AD01-9361"/>
    <x v="1"/>
    <s v="Aug"/>
    <x v="0"/>
    <x v="0"/>
    <s v="Order assembled"/>
    <x v="0"/>
    <x v="0"/>
    <x v="1"/>
    <n v="691"/>
    <n v="988.13"/>
  </r>
  <r>
    <s v="AD01-9361"/>
    <x v="1"/>
    <s v="Aug"/>
    <x v="0"/>
    <x v="0"/>
    <s v="Order assembled"/>
    <x v="0"/>
    <x v="0"/>
    <x v="1"/>
    <n v="724"/>
    <n v="1035.32"/>
  </r>
  <r>
    <s v="AD01-9362"/>
    <x v="1"/>
    <s v="Aug"/>
    <x v="0"/>
    <x v="0"/>
    <s v="Order assembled"/>
    <x v="0"/>
    <x v="0"/>
    <x v="1"/>
    <n v="777"/>
    <n v="1111.1100000000001"/>
  </r>
  <r>
    <s v="AD01-9361"/>
    <x v="1"/>
    <s v="Aug"/>
    <x v="0"/>
    <x v="0"/>
    <s v="Order assembled"/>
    <x v="0"/>
    <x v="0"/>
    <x v="0"/>
    <n v="339"/>
    <n v="484.77"/>
  </r>
  <r>
    <s v="AD01-9361"/>
    <x v="1"/>
    <s v="Aug"/>
    <x v="0"/>
    <x v="0"/>
    <s v="Order assembled"/>
    <x v="0"/>
    <x v="0"/>
    <x v="0"/>
    <n v="333"/>
    <n v="476.19"/>
  </r>
  <r>
    <s v="AD01-9362"/>
    <x v="1"/>
    <s v="Aug"/>
    <x v="0"/>
    <x v="0"/>
    <s v="Order assembled"/>
    <x v="0"/>
    <x v="0"/>
    <x v="1"/>
    <n v="153"/>
    <n v="218.79"/>
  </r>
  <r>
    <s v="AD01-9361"/>
    <x v="1"/>
    <s v="Aug"/>
    <x v="0"/>
    <x v="0"/>
    <s v="Order assembled"/>
    <x v="0"/>
    <x v="0"/>
    <x v="1"/>
    <n v="764"/>
    <n v="526.24"/>
  </r>
  <r>
    <s v="AD01-9361"/>
    <x v="1"/>
    <s v="Aug"/>
    <x v="0"/>
    <x v="0"/>
    <s v="Order assembled"/>
    <x v="0"/>
    <x v="0"/>
    <x v="1"/>
    <n v="817"/>
    <n v="526.24"/>
  </r>
  <r>
    <s v="AD01-9361"/>
    <x v="1"/>
    <s v="Aug"/>
    <x v="0"/>
    <x v="0"/>
    <s v="Order assembled"/>
    <x v="0"/>
    <x v="0"/>
    <x v="1"/>
    <n v="151"/>
    <n v="215.93"/>
  </r>
  <r>
    <s v="AD01-9364"/>
    <x v="1"/>
    <s v="Aug"/>
    <x v="0"/>
    <x v="0"/>
    <s v="Order assembled"/>
    <x v="0"/>
    <x v="0"/>
    <x v="1"/>
    <n v="199"/>
    <n v="284.57"/>
  </r>
  <r>
    <s v="AD01-9365"/>
    <x v="1"/>
    <s v="Aug"/>
    <x v="0"/>
    <x v="0"/>
    <s v="Order assembled"/>
    <x v="0"/>
    <x v="0"/>
    <x v="1"/>
    <n v="367"/>
    <n v="524.80999999999995"/>
  </r>
  <r>
    <s v="AD01-9361"/>
    <x v="1"/>
    <s v="Aug"/>
    <x v="0"/>
    <x v="0"/>
    <s v="Order assembled"/>
    <x v="0"/>
    <x v="0"/>
    <x v="0"/>
    <n v="341"/>
    <n v="487.63"/>
  </r>
  <r>
    <s v="AD01-9365"/>
    <x v="1"/>
    <s v="Aug"/>
    <x v="0"/>
    <x v="0"/>
    <s v="Order assembled"/>
    <x v="0"/>
    <x v="0"/>
    <x v="0"/>
    <n v="335"/>
    <n v="479.05"/>
  </r>
  <r>
    <s v="AD01-9362"/>
    <x v="1"/>
    <s v="Aug"/>
    <x v="0"/>
    <x v="0"/>
    <s v="Order assembled"/>
    <x v="0"/>
    <x v="0"/>
    <x v="0"/>
    <n v="329"/>
    <n v="470.47"/>
  </r>
  <r>
    <s v="AD01-9364"/>
    <x v="1"/>
    <s v="Aug"/>
    <x v="0"/>
    <x v="0"/>
    <s v="Order assembled"/>
    <x v="0"/>
    <x v="0"/>
    <x v="1"/>
    <n v="149"/>
    <n v="213.07"/>
  </r>
  <r>
    <s v="AD01-9362"/>
    <x v="1"/>
    <s v="Aug"/>
    <x v="0"/>
    <x v="0"/>
    <s v="Order assembled"/>
    <x v="0"/>
    <x v="0"/>
    <x v="1"/>
    <n v="197"/>
    <n v="281.70999999999998"/>
  </r>
  <r>
    <s v="AD01-9364"/>
    <x v="1"/>
    <s v="Aug"/>
    <x v="0"/>
    <x v="0"/>
    <s v="Order assembled"/>
    <x v="0"/>
    <x v="0"/>
    <x v="1"/>
    <n v="786"/>
    <n v="1123.98"/>
  </r>
  <r>
    <s v="AD01-9361"/>
    <x v="1"/>
    <s v="Dec"/>
    <x v="0"/>
    <x v="0"/>
    <s v="Order assembled"/>
    <x v="0"/>
    <x v="0"/>
    <x v="1"/>
    <n v="128"/>
    <n v="174.07999999999998"/>
  </r>
  <r>
    <s v="AD01-9362"/>
    <x v="1"/>
    <s v="Dec"/>
    <x v="0"/>
    <x v="0"/>
    <s v="Order assembled"/>
    <x v="0"/>
    <x v="0"/>
    <x v="1"/>
    <n v="176"/>
    <n v="251.68"/>
  </r>
  <r>
    <s v="AD01-9361"/>
    <x v="1"/>
    <s v="Dec"/>
    <x v="0"/>
    <x v="0"/>
    <s v="Order assembled"/>
    <x v="0"/>
    <x v="0"/>
    <x v="1"/>
    <n v="130"/>
    <n v="185.9"/>
  </r>
  <r>
    <s v="AD01-9362"/>
    <x v="1"/>
    <s v="Dec"/>
    <x v="0"/>
    <x v="0"/>
    <s v="Order assembled"/>
    <x v="0"/>
    <x v="0"/>
    <x v="1"/>
    <n v="178"/>
    <n v="254.54"/>
  </r>
  <r>
    <s v="AD01-9361"/>
    <x v="1"/>
    <s v="Dec"/>
    <x v="0"/>
    <x v="0"/>
    <s v="Order assembled"/>
    <x v="0"/>
    <x v="0"/>
    <x v="1"/>
    <n v="728"/>
    <n v="1041.04"/>
  </r>
  <r>
    <s v="AD01-9363"/>
    <x v="1"/>
    <s v="Dec"/>
    <x v="0"/>
    <x v="0"/>
    <s v="Order assembled"/>
    <x v="0"/>
    <x v="0"/>
    <x v="1"/>
    <n v="129"/>
    <n v="184.47"/>
  </r>
  <r>
    <s v="AD01-9364"/>
    <x v="1"/>
    <s v="Dec"/>
    <x v="0"/>
    <x v="0"/>
    <s v="Order assembled"/>
    <x v="0"/>
    <x v="0"/>
    <x v="1"/>
    <n v="767"/>
    <n v="526.24"/>
  </r>
  <r>
    <s v="AD01-9362"/>
    <x v="1"/>
    <s v="Dec"/>
    <x v="0"/>
    <x v="0"/>
    <s v="Order assembled"/>
    <x v="0"/>
    <x v="0"/>
    <x v="1"/>
    <n v="127"/>
    <n v="181.61"/>
  </r>
  <r>
    <s v="AD01-9362"/>
    <x v="1"/>
    <s v="Dec"/>
    <x v="0"/>
    <x v="0"/>
    <s v="Order assembled"/>
    <x v="0"/>
    <x v="0"/>
    <x v="1"/>
    <n v="175"/>
    <n v="250.25"/>
  </r>
  <r>
    <s v="AD01-9361"/>
    <x v="1"/>
    <s v="Dec"/>
    <x v="0"/>
    <x v="0"/>
    <s v="Order assembled"/>
    <x v="0"/>
    <x v="0"/>
    <x v="1"/>
    <n v="131"/>
    <n v="187.32999999999998"/>
  </r>
  <r>
    <s v="AD01-9361"/>
    <x v="1"/>
    <s v="Feb"/>
    <x v="0"/>
    <x v="0"/>
    <s v="Order assembled"/>
    <x v="0"/>
    <x v="0"/>
    <x v="0"/>
    <n v="194"/>
    <n v="526.24"/>
  </r>
  <r>
    <s v="AD01-9362"/>
    <x v="1"/>
    <s v="Feb"/>
    <x v="0"/>
    <x v="0"/>
    <s v="Order assembled"/>
    <x v="0"/>
    <x v="0"/>
    <x v="0"/>
    <n v="188"/>
    <n v="526.24"/>
  </r>
  <r>
    <s v="AD01-9361"/>
    <x v="1"/>
    <s v="Feb"/>
    <x v="0"/>
    <x v="0"/>
    <s v="Order assembled"/>
    <x v="0"/>
    <x v="0"/>
    <x v="0"/>
    <n v="182"/>
    <n v="526.24"/>
  </r>
  <r>
    <s v="AD01-9361"/>
    <x v="1"/>
    <s v="Feb"/>
    <x v="0"/>
    <x v="0"/>
    <s v="Order assembled"/>
    <x v="0"/>
    <x v="0"/>
    <x v="1"/>
    <n v="182"/>
    <n v="260.26"/>
  </r>
  <r>
    <s v="AD01-9364"/>
    <x v="1"/>
    <s v="Feb"/>
    <x v="0"/>
    <x v="0"/>
    <s v="Order assembled"/>
    <x v="0"/>
    <x v="0"/>
    <x v="1"/>
    <n v="230"/>
    <n v="328.9"/>
  </r>
  <r>
    <s v="AD01-9365"/>
    <x v="1"/>
    <s v="Feb"/>
    <x v="0"/>
    <x v="0"/>
    <s v="Order assembled"/>
    <x v="0"/>
    <x v="0"/>
    <x v="1"/>
    <n v="158"/>
    <n v="225.94"/>
  </r>
  <r>
    <s v="AD01-9362"/>
    <x v="1"/>
    <s v="Feb"/>
    <x v="0"/>
    <x v="0"/>
    <s v="Order assembled"/>
    <x v="0"/>
    <x v="0"/>
    <x v="1"/>
    <n v="184"/>
    <n v="263.12"/>
  </r>
  <r>
    <s v="AD01-9361"/>
    <x v="1"/>
    <s v="Feb"/>
    <x v="0"/>
    <x v="0"/>
    <s v="Order assembled"/>
    <x v="0"/>
    <x v="0"/>
    <x v="1"/>
    <n v="154"/>
    <n v="220.22"/>
  </r>
  <r>
    <s v="AD01-9362"/>
    <x v="1"/>
    <s v="Feb"/>
    <x v="0"/>
    <x v="0"/>
    <s v="Order assembled"/>
    <x v="0"/>
    <x v="0"/>
    <x v="0"/>
    <n v="192"/>
    <n v="526.24"/>
  </r>
  <r>
    <s v="AD01-9365"/>
    <x v="1"/>
    <s v="Feb"/>
    <x v="0"/>
    <x v="0"/>
    <s v="Order assembled"/>
    <x v="0"/>
    <x v="0"/>
    <x v="0"/>
    <n v="186"/>
    <n v="526.24"/>
  </r>
  <r>
    <s v="AD01-9363"/>
    <x v="1"/>
    <s v="Feb"/>
    <x v="0"/>
    <x v="0"/>
    <s v="Order assembled"/>
    <x v="0"/>
    <x v="0"/>
    <x v="0"/>
    <n v="180"/>
    <n v="526.24"/>
  </r>
  <r>
    <s v="AD01-9361"/>
    <x v="1"/>
    <s v="Feb"/>
    <x v="0"/>
    <x v="0"/>
    <s v="Order assembled"/>
    <x v="0"/>
    <x v="0"/>
    <x v="1"/>
    <n v="686"/>
    <n v="980.98"/>
  </r>
  <r>
    <s v="AD01-9363"/>
    <x v="1"/>
    <s v="Feb"/>
    <x v="0"/>
    <x v="0"/>
    <s v="Order assembled"/>
    <x v="0"/>
    <x v="0"/>
    <x v="1"/>
    <n v="719"/>
    <n v="1028.17"/>
  </r>
  <r>
    <s v="AD01-9362"/>
    <x v="1"/>
    <s v="Feb"/>
    <x v="0"/>
    <x v="0"/>
    <s v="Order assembled"/>
    <x v="0"/>
    <x v="0"/>
    <x v="1"/>
    <n v="772"/>
    <n v="1103.96"/>
  </r>
  <r>
    <s v="AD01-9364"/>
    <x v="1"/>
    <s v="Feb"/>
    <x v="0"/>
    <x v="0"/>
    <s v="Order assembled"/>
    <x v="0"/>
    <x v="0"/>
    <x v="0"/>
    <n v="189"/>
    <n v="270.27"/>
  </r>
  <r>
    <s v="AD01-9363"/>
    <x v="1"/>
    <s v="Feb"/>
    <x v="0"/>
    <x v="0"/>
    <s v="Order assembled"/>
    <x v="0"/>
    <x v="0"/>
    <x v="0"/>
    <n v="183"/>
    <n v="261.69"/>
  </r>
  <r>
    <s v="AD01-9362"/>
    <x v="1"/>
    <s v="Feb"/>
    <x v="0"/>
    <x v="0"/>
    <s v="Order assembled"/>
    <x v="0"/>
    <x v="0"/>
    <x v="1"/>
    <n v="183"/>
    <n v="261.69"/>
  </r>
  <r>
    <s v="AD01-9362"/>
    <x v="1"/>
    <s v="Feb"/>
    <x v="0"/>
    <x v="0"/>
    <s v="Order assembled"/>
    <x v="0"/>
    <x v="0"/>
    <x v="1"/>
    <n v="758"/>
    <n v="526.24"/>
  </r>
  <r>
    <s v="AD01-9361"/>
    <x v="1"/>
    <s v="Feb"/>
    <x v="0"/>
    <x v="0"/>
    <s v="Order assembled"/>
    <x v="0"/>
    <x v="0"/>
    <x v="1"/>
    <n v="812"/>
    <n v="526.24"/>
  </r>
  <r>
    <s v="AD01-9361"/>
    <x v="1"/>
    <s v="Feb"/>
    <x v="0"/>
    <x v="0"/>
    <s v="Order assembled"/>
    <x v="0"/>
    <x v="0"/>
    <x v="1"/>
    <n v="181"/>
    <n v="258.83"/>
  </r>
  <r>
    <s v="AD01-9365"/>
    <x v="1"/>
    <s v="Feb"/>
    <x v="0"/>
    <x v="0"/>
    <s v="Order assembled"/>
    <x v="0"/>
    <x v="0"/>
    <x v="1"/>
    <n v="229"/>
    <n v="327.47000000000003"/>
  </r>
  <r>
    <s v="AD01-9362"/>
    <x v="1"/>
    <s v="Feb"/>
    <x v="0"/>
    <x v="0"/>
    <s v="Order assembled"/>
    <x v="0"/>
    <x v="0"/>
    <x v="1"/>
    <n v="157"/>
    <n v="224.51"/>
  </r>
  <r>
    <s v="AD01-9362"/>
    <x v="1"/>
    <s v="Feb"/>
    <x v="0"/>
    <x v="0"/>
    <s v="Order assembled"/>
    <x v="0"/>
    <x v="0"/>
    <x v="0"/>
    <n v="191"/>
    <n v="273.13"/>
  </r>
  <r>
    <s v="AD01-9362"/>
    <x v="1"/>
    <s v="Feb"/>
    <x v="0"/>
    <x v="0"/>
    <s v="Order assembled"/>
    <x v="0"/>
    <x v="0"/>
    <x v="0"/>
    <n v="185"/>
    <n v="264.55"/>
  </r>
  <r>
    <s v="AD01-9362"/>
    <x v="1"/>
    <s v="Feb"/>
    <x v="0"/>
    <x v="0"/>
    <s v="Order assembled"/>
    <x v="0"/>
    <x v="0"/>
    <x v="0"/>
    <n v="179"/>
    <n v="255.97"/>
  </r>
  <r>
    <s v="AD01-9365"/>
    <x v="1"/>
    <s v="Feb"/>
    <x v="0"/>
    <x v="0"/>
    <s v="Order assembled"/>
    <x v="0"/>
    <x v="0"/>
    <x v="1"/>
    <n v="185"/>
    <n v="264.55"/>
  </r>
  <r>
    <s v="AD01-9363"/>
    <x v="1"/>
    <s v="Feb"/>
    <x v="0"/>
    <x v="0"/>
    <s v="Order assembled"/>
    <x v="0"/>
    <x v="0"/>
    <x v="1"/>
    <n v="227"/>
    <n v="324.61"/>
  </r>
  <r>
    <s v="AD01-9361"/>
    <x v="1"/>
    <s v="Feb"/>
    <x v="0"/>
    <x v="0"/>
    <s v="Order assembled"/>
    <x v="0"/>
    <x v="0"/>
    <x v="1"/>
    <n v="781"/>
    <n v="1116.83"/>
  </r>
  <r>
    <s v="AD01-9364"/>
    <x v="1"/>
    <s v="Jan"/>
    <x v="0"/>
    <x v="0"/>
    <s v="Order assembled"/>
    <x v="0"/>
    <x v="0"/>
    <x v="0"/>
    <n v="206"/>
    <n v="526.24"/>
  </r>
  <r>
    <s v="AD01-9362"/>
    <x v="1"/>
    <s v="Jan"/>
    <x v="0"/>
    <x v="0"/>
    <s v="Order assembled"/>
    <x v="0"/>
    <x v="0"/>
    <x v="0"/>
    <n v="200"/>
    <n v="526.24"/>
  </r>
  <r>
    <s v="AD01-9364"/>
    <x v="1"/>
    <s v="Jan"/>
    <x v="0"/>
    <x v="0"/>
    <s v="Order assembled"/>
    <x v="0"/>
    <x v="0"/>
    <x v="1"/>
    <n v="188"/>
    <n v="268.84000000000003"/>
  </r>
  <r>
    <s v="AD01-9362"/>
    <x v="1"/>
    <s v="Jan"/>
    <x v="0"/>
    <x v="0"/>
    <s v="Order assembled"/>
    <x v="0"/>
    <x v="0"/>
    <x v="1"/>
    <n v="236"/>
    <n v="337.48"/>
  </r>
  <r>
    <s v="AD01-9364"/>
    <x v="1"/>
    <s v="Jan"/>
    <x v="0"/>
    <x v="0"/>
    <s v="Order assembled"/>
    <x v="0"/>
    <x v="0"/>
    <x v="1"/>
    <n v="190"/>
    <n v="271.7"/>
  </r>
  <r>
    <s v="AD01-9361"/>
    <x v="1"/>
    <s v="Jan"/>
    <x v="0"/>
    <x v="0"/>
    <s v="Order assembled"/>
    <x v="0"/>
    <x v="0"/>
    <x v="1"/>
    <n v="232"/>
    <n v="331.76"/>
  </r>
  <r>
    <s v="AD01-9362"/>
    <x v="1"/>
    <s v="Jan"/>
    <x v="0"/>
    <x v="0"/>
    <s v="Order assembled"/>
    <x v="0"/>
    <x v="0"/>
    <x v="1"/>
    <n v="160"/>
    <n v="228.8"/>
  </r>
  <r>
    <s v="AD01-9361"/>
    <x v="1"/>
    <s v="Jan"/>
    <x v="0"/>
    <x v="0"/>
    <s v="Order assembled"/>
    <x v="0"/>
    <x v="0"/>
    <x v="0"/>
    <n v="210"/>
    <n v="526.24"/>
  </r>
  <r>
    <s v="AD01-9362"/>
    <x v="1"/>
    <s v="Jan"/>
    <x v="0"/>
    <x v="0"/>
    <s v="Order assembled"/>
    <x v="0"/>
    <x v="0"/>
    <x v="0"/>
    <n v="204"/>
    <n v="526.24"/>
  </r>
  <r>
    <s v="AD01-9364"/>
    <x v="1"/>
    <s v="Jan"/>
    <x v="0"/>
    <x v="0"/>
    <s v="Order assembled"/>
    <x v="0"/>
    <x v="0"/>
    <x v="0"/>
    <n v="198"/>
    <n v="526.24"/>
  </r>
  <r>
    <s v="AD01-9361"/>
    <x v="1"/>
    <s v="Jan"/>
    <x v="0"/>
    <x v="0"/>
    <s v="Order assembled"/>
    <x v="0"/>
    <x v="0"/>
    <x v="1"/>
    <n v="685"/>
    <n v="979.55"/>
  </r>
  <r>
    <s v="AD01-9361"/>
    <x v="1"/>
    <s v="Jan"/>
    <x v="0"/>
    <x v="0"/>
    <s v="Order assembled"/>
    <x v="0"/>
    <x v="0"/>
    <x v="1"/>
    <n v="718"/>
    <n v="1026.74"/>
  </r>
  <r>
    <s v="AD01-9362"/>
    <x v="1"/>
    <s v="Jan"/>
    <x v="0"/>
    <x v="0"/>
    <s v="Order assembled"/>
    <x v="0"/>
    <x v="0"/>
    <x v="1"/>
    <n v="771"/>
    <n v="1102.53"/>
  </r>
  <r>
    <s v="AD01-9362"/>
    <x v="1"/>
    <s v="Jan"/>
    <x v="0"/>
    <x v="0"/>
    <s v="Order assembled"/>
    <x v="0"/>
    <x v="0"/>
    <x v="0"/>
    <n v="207"/>
    <n v="296.01"/>
  </r>
  <r>
    <s v="AD01-9361"/>
    <x v="1"/>
    <s v="Jan"/>
    <x v="0"/>
    <x v="0"/>
    <s v="Order assembled"/>
    <x v="0"/>
    <x v="0"/>
    <x v="0"/>
    <n v="201"/>
    <n v="287.43"/>
  </r>
  <r>
    <s v="AD01-9361"/>
    <x v="1"/>
    <s v="Jan"/>
    <x v="0"/>
    <x v="0"/>
    <s v="Order assembled"/>
    <x v="0"/>
    <x v="0"/>
    <x v="0"/>
    <n v="195"/>
    <n v="278.85000000000002"/>
  </r>
  <r>
    <s v="AD01-9362"/>
    <x v="1"/>
    <s v="Jan"/>
    <x v="0"/>
    <x v="0"/>
    <s v="Order assembled"/>
    <x v="0"/>
    <x v="0"/>
    <x v="1"/>
    <n v="189"/>
    <n v="270.27"/>
  </r>
  <r>
    <s v="AD01-9361"/>
    <x v="1"/>
    <s v="Jan"/>
    <x v="0"/>
    <x v="0"/>
    <s v="Order assembled"/>
    <x v="0"/>
    <x v="0"/>
    <x v="1"/>
    <n v="757"/>
    <n v="526.24"/>
  </r>
  <r>
    <s v="AD01-9361"/>
    <x v="1"/>
    <s v="Jan"/>
    <x v="0"/>
    <x v="0"/>
    <s v="Order assembled"/>
    <x v="0"/>
    <x v="0"/>
    <x v="1"/>
    <n v="811"/>
    <n v="526.24"/>
  </r>
  <r>
    <s v="AD01-9362"/>
    <x v="1"/>
    <s v="Jan"/>
    <x v="0"/>
    <x v="0"/>
    <s v="Order assembled"/>
    <x v="0"/>
    <x v="0"/>
    <x v="1"/>
    <n v="187"/>
    <n v="267.40999999999997"/>
  </r>
  <r>
    <s v="AD01-9362"/>
    <x v="1"/>
    <s v="Jan"/>
    <x v="0"/>
    <x v="0"/>
    <s v="Order assembled"/>
    <x v="0"/>
    <x v="0"/>
    <x v="1"/>
    <n v="235"/>
    <n v="336.05"/>
  </r>
  <r>
    <s v="AD01-9364"/>
    <x v="1"/>
    <s v="Jan"/>
    <x v="0"/>
    <x v="0"/>
    <s v="Order assembled"/>
    <x v="0"/>
    <x v="0"/>
    <x v="1"/>
    <n v="163"/>
    <n v="233.09"/>
  </r>
  <r>
    <s v="AD01-9363"/>
    <x v="1"/>
    <s v="Jan"/>
    <x v="0"/>
    <x v="0"/>
    <s v="Order assembled"/>
    <x v="0"/>
    <x v="0"/>
    <x v="0"/>
    <n v="209"/>
    <n v="298.87"/>
  </r>
  <r>
    <s v="AD01-9362"/>
    <x v="1"/>
    <s v="Jan"/>
    <x v="0"/>
    <x v="0"/>
    <s v="Order assembled"/>
    <x v="0"/>
    <x v="0"/>
    <x v="0"/>
    <n v="203"/>
    <n v="290.28999999999996"/>
  </r>
  <r>
    <s v="AD01-9361"/>
    <x v="1"/>
    <s v="Jan"/>
    <x v="0"/>
    <x v="0"/>
    <s v="Order assembled"/>
    <x v="0"/>
    <x v="0"/>
    <x v="0"/>
    <n v="197"/>
    <n v="281.70999999999998"/>
  </r>
  <r>
    <s v="AD01-9364"/>
    <x v="1"/>
    <s v="Jan"/>
    <x v="0"/>
    <x v="0"/>
    <s v="Order assembled"/>
    <x v="0"/>
    <x v="0"/>
    <x v="1"/>
    <n v="233"/>
    <n v="333.19"/>
  </r>
  <r>
    <s v="AD01-9364"/>
    <x v="1"/>
    <s v="Jan"/>
    <x v="0"/>
    <x v="0"/>
    <s v="Order assembled"/>
    <x v="0"/>
    <x v="0"/>
    <x v="1"/>
    <n v="780"/>
    <n v="1115.4000000000001"/>
  </r>
  <r>
    <s v="AD01-9361"/>
    <x v="1"/>
    <s v="Jul"/>
    <x v="0"/>
    <x v="0"/>
    <s v="Order assembled"/>
    <x v="0"/>
    <x v="0"/>
    <x v="0"/>
    <n v="356"/>
    <n v="509.08"/>
  </r>
  <r>
    <s v="AD01-9361"/>
    <x v="1"/>
    <s v="Jul"/>
    <x v="0"/>
    <x v="0"/>
    <s v="Order assembled"/>
    <x v="0"/>
    <x v="0"/>
    <x v="0"/>
    <n v="350"/>
    <n v="500.5"/>
  </r>
  <r>
    <s v="AD01-9364"/>
    <x v="1"/>
    <s v="Jul"/>
    <x v="0"/>
    <x v="0"/>
    <s v="Order assembled"/>
    <x v="0"/>
    <x v="0"/>
    <x v="1"/>
    <n v="158"/>
    <n v="214.88"/>
  </r>
  <r>
    <s v="AD01-9362"/>
    <x v="1"/>
    <s v="Jul"/>
    <x v="0"/>
    <x v="0"/>
    <s v="Order assembled"/>
    <x v="0"/>
    <x v="0"/>
    <x v="1"/>
    <n v="200"/>
    <n v="286"/>
  </r>
  <r>
    <s v="AD01-9362"/>
    <x v="1"/>
    <s v="Jul"/>
    <x v="0"/>
    <x v="0"/>
    <s v="Order assembled"/>
    <x v="0"/>
    <x v="0"/>
    <x v="1"/>
    <n v="128"/>
    <n v="183.04"/>
  </r>
  <r>
    <s v="AD01-9363"/>
    <x v="1"/>
    <s v="Jul"/>
    <x v="0"/>
    <x v="0"/>
    <s v="Order assembled"/>
    <x v="0"/>
    <x v="0"/>
    <x v="1"/>
    <n v="154"/>
    <n v="220.22"/>
  </r>
  <r>
    <s v="AD01-9362"/>
    <x v="1"/>
    <s v="Jul"/>
    <x v="0"/>
    <x v="0"/>
    <s v="Order assembled"/>
    <x v="0"/>
    <x v="0"/>
    <x v="1"/>
    <n v="202"/>
    <n v="288.86"/>
  </r>
  <r>
    <s v="AD01-9364"/>
    <x v="1"/>
    <s v="Jul"/>
    <x v="0"/>
    <x v="0"/>
    <s v="Order assembled"/>
    <x v="0"/>
    <x v="0"/>
    <x v="1"/>
    <n v="130"/>
    <n v="185.9"/>
  </r>
  <r>
    <s v="AD01-9362"/>
    <x v="1"/>
    <s v="Jul"/>
    <x v="0"/>
    <x v="0"/>
    <s v="Order assembled"/>
    <x v="0"/>
    <x v="0"/>
    <x v="1"/>
    <n v="360"/>
    <n v="526.24"/>
  </r>
  <r>
    <s v="AD01-9361"/>
    <x v="1"/>
    <s v="Jul"/>
    <x v="0"/>
    <x v="0"/>
    <s v="Order assembled"/>
    <x v="0"/>
    <x v="0"/>
    <x v="1"/>
    <n v="354"/>
    <n v="526.24"/>
  </r>
  <r>
    <s v="AD01-9361"/>
    <x v="1"/>
    <s v="Jul"/>
    <x v="0"/>
    <x v="0"/>
    <s v="Order assembled"/>
    <x v="0"/>
    <x v="0"/>
    <x v="1"/>
    <n v="348"/>
    <n v="526.24"/>
  </r>
  <r>
    <s v="AD01-9361"/>
    <x v="1"/>
    <s v="Jul"/>
    <x v="0"/>
    <x v="0"/>
    <s v="Order assembled"/>
    <x v="0"/>
    <x v="0"/>
    <x v="1"/>
    <n v="690"/>
    <n v="986.7"/>
  </r>
  <r>
    <s v="AD01-9362"/>
    <x v="1"/>
    <s v="Jul"/>
    <x v="0"/>
    <x v="0"/>
    <s v="Order assembled"/>
    <x v="0"/>
    <x v="0"/>
    <x v="1"/>
    <n v="723"/>
    <n v="1033.8899999999999"/>
  </r>
  <r>
    <s v="AD01-9362"/>
    <x v="1"/>
    <s v="Jul"/>
    <x v="0"/>
    <x v="0"/>
    <s v="Order assembled"/>
    <x v="0"/>
    <x v="0"/>
    <x v="1"/>
    <n v="357"/>
    <n v="510.51"/>
  </r>
  <r>
    <s v="AD01-9362"/>
    <x v="1"/>
    <s v="Jul"/>
    <x v="0"/>
    <x v="0"/>
    <s v="Order assembled"/>
    <x v="0"/>
    <x v="0"/>
    <x v="1"/>
    <n v="351"/>
    <n v="501.93"/>
  </r>
  <r>
    <s v="AD01-9362"/>
    <x v="1"/>
    <s v="Jul"/>
    <x v="0"/>
    <x v="0"/>
    <s v="Order assembled"/>
    <x v="0"/>
    <x v="0"/>
    <x v="1"/>
    <n v="345"/>
    <n v="493.35"/>
  </r>
  <r>
    <s v="AD01-9361"/>
    <x v="1"/>
    <s v="Jul"/>
    <x v="0"/>
    <x v="0"/>
    <s v="Order assembled"/>
    <x v="0"/>
    <x v="0"/>
    <x v="1"/>
    <n v="763"/>
    <n v="526.24"/>
  </r>
  <r>
    <s v="AD01-9361"/>
    <x v="1"/>
    <s v="Jul"/>
    <x v="0"/>
    <x v="0"/>
    <s v="Order assembled"/>
    <x v="0"/>
    <x v="0"/>
    <x v="1"/>
    <n v="816"/>
    <n v="526.24"/>
  </r>
  <r>
    <s v="AD01-9364"/>
    <x v="1"/>
    <s v="Jul"/>
    <x v="0"/>
    <x v="0"/>
    <s v="Order assembled"/>
    <x v="0"/>
    <x v="0"/>
    <x v="1"/>
    <n v="157"/>
    <n v="224.51"/>
  </r>
  <r>
    <s v="AD01-9362"/>
    <x v="1"/>
    <s v="Jul"/>
    <x v="0"/>
    <x v="0"/>
    <s v="Order assembled"/>
    <x v="0"/>
    <x v="0"/>
    <x v="1"/>
    <n v="205"/>
    <n v="293.14999999999998"/>
  </r>
  <r>
    <s v="AD01-9363"/>
    <x v="1"/>
    <s v="Jul"/>
    <x v="0"/>
    <x v="0"/>
    <s v="Order assembled"/>
    <x v="0"/>
    <x v="0"/>
    <x v="1"/>
    <n v="127"/>
    <n v="181.61"/>
  </r>
  <r>
    <s v="AD01-9361"/>
    <x v="1"/>
    <s v="Jul"/>
    <x v="0"/>
    <x v="0"/>
    <s v="Order assembled"/>
    <x v="0"/>
    <x v="0"/>
    <x v="0"/>
    <n v="359"/>
    <n v="513.37"/>
  </r>
  <r>
    <s v="AD01-9361"/>
    <x v="1"/>
    <s v="Jul"/>
    <x v="0"/>
    <x v="0"/>
    <s v="Order assembled"/>
    <x v="0"/>
    <x v="0"/>
    <x v="0"/>
    <n v="353"/>
    <n v="504.78999999999996"/>
  </r>
  <r>
    <s v="AD01-9365"/>
    <x v="1"/>
    <s v="Jul"/>
    <x v="0"/>
    <x v="0"/>
    <s v="Order assembled"/>
    <x v="0"/>
    <x v="0"/>
    <x v="0"/>
    <n v="347"/>
    <n v="496.21000000000004"/>
  </r>
  <r>
    <s v="AD01-9362"/>
    <x v="1"/>
    <s v="Jul"/>
    <x v="0"/>
    <x v="0"/>
    <s v="Order assembled"/>
    <x v="0"/>
    <x v="0"/>
    <x v="1"/>
    <n v="155"/>
    <n v="221.65"/>
  </r>
  <r>
    <s v="AD01-9361"/>
    <x v="1"/>
    <s v="Jul"/>
    <x v="0"/>
    <x v="0"/>
    <s v="Order assembled"/>
    <x v="0"/>
    <x v="0"/>
    <x v="1"/>
    <n v="203"/>
    <n v="290.28999999999996"/>
  </r>
  <r>
    <s v="AD01-9364"/>
    <x v="1"/>
    <s v="Jul"/>
    <x v="0"/>
    <x v="0"/>
    <s v="Order assembled"/>
    <x v="0"/>
    <x v="0"/>
    <x v="1"/>
    <n v="785"/>
    <n v="1122.55"/>
  </r>
  <r>
    <s v="AD01-9362"/>
    <x v="1"/>
    <s v="Jun"/>
    <x v="0"/>
    <x v="0"/>
    <s v="Order assembled"/>
    <x v="0"/>
    <x v="0"/>
    <x v="0"/>
    <n v="128"/>
    <n v="526.24"/>
  </r>
  <r>
    <s v="AD01-9364"/>
    <x v="1"/>
    <s v="Jun"/>
    <x v="0"/>
    <x v="0"/>
    <s v="Order assembled"/>
    <x v="0"/>
    <x v="0"/>
    <x v="0"/>
    <n v="368"/>
    <n v="526.24"/>
  </r>
  <r>
    <s v="AD01-9362"/>
    <x v="1"/>
    <s v="Jun"/>
    <x v="0"/>
    <x v="0"/>
    <s v="Order assembled"/>
    <x v="0"/>
    <x v="0"/>
    <x v="0"/>
    <n v="362"/>
    <n v="517.66"/>
  </r>
  <r>
    <s v="AD01-9361"/>
    <x v="1"/>
    <s v="Jun"/>
    <x v="0"/>
    <x v="0"/>
    <s v="Order assembled"/>
    <x v="0"/>
    <x v="0"/>
    <x v="1"/>
    <n v="206"/>
    <n v="294.58"/>
  </r>
  <r>
    <s v="AD01-9361"/>
    <x v="1"/>
    <s v="Jun"/>
    <x v="0"/>
    <x v="0"/>
    <s v="Order assembled"/>
    <x v="0"/>
    <x v="0"/>
    <x v="1"/>
    <n v="134"/>
    <n v="191.62"/>
  </r>
  <r>
    <s v="AD01-9361"/>
    <x v="1"/>
    <s v="Jun"/>
    <x v="0"/>
    <x v="0"/>
    <s v="Order assembled"/>
    <x v="0"/>
    <x v="0"/>
    <x v="1"/>
    <n v="160"/>
    <n v="228.8"/>
  </r>
  <r>
    <s v="AD01-9362"/>
    <x v="1"/>
    <s v="Jun"/>
    <x v="0"/>
    <x v="0"/>
    <s v="Order assembled"/>
    <x v="0"/>
    <x v="0"/>
    <x v="1"/>
    <n v="208"/>
    <n v="297.44"/>
  </r>
  <r>
    <s v="AD01-9361"/>
    <x v="1"/>
    <s v="Jun"/>
    <x v="0"/>
    <x v="0"/>
    <s v="Order assembled"/>
    <x v="0"/>
    <x v="0"/>
    <x v="1"/>
    <n v="136"/>
    <n v="194.48"/>
  </r>
  <r>
    <s v="AD01-9362"/>
    <x v="1"/>
    <s v="Jun"/>
    <x v="0"/>
    <x v="0"/>
    <s v="Order assembled"/>
    <x v="0"/>
    <x v="0"/>
    <x v="1"/>
    <n v="372"/>
    <n v="526.24"/>
  </r>
  <r>
    <s v="AD01-9362"/>
    <x v="1"/>
    <s v="Jun"/>
    <x v="0"/>
    <x v="0"/>
    <s v="Order assembled"/>
    <x v="0"/>
    <x v="0"/>
    <x v="1"/>
    <n v="366"/>
    <n v="526.24"/>
  </r>
  <r>
    <s v="AD01-9361"/>
    <x v="1"/>
    <s v="Jun"/>
    <x v="0"/>
    <x v="0"/>
    <s v="Order assembled"/>
    <x v="0"/>
    <x v="0"/>
    <x v="1"/>
    <n v="689"/>
    <n v="985.27"/>
  </r>
  <r>
    <s v="AD01-9364"/>
    <x v="1"/>
    <s v="Jun"/>
    <x v="0"/>
    <x v="0"/>
    <s v="Order assembled"/>
    <x v="0"/>
    <x v="0"/>
    <x v="1"/>
    <n v="722"/>
    <n v="1032.46"/>
  </r>
  <r>
    <s v="AD01-9362"/>
    <x v="1"/>
    <s v="Jun"/>
    <x v="0"/>
    <x v="0"/>
    <s v="Order assembled"/>
    <x v="0"/>
    <x v="0"/>
    <x v="1"/>
    <n v="776"/>
    <n v="1109.68"/>
  </r>
  <r>
    <s v="AD01-9364"/>
    <x v="1"/>
    <s v="Jun"/>
    <x v="0"/>
    <x v="0"/>
    <s v="Order assembled"/>
    <x v="0"/>
    <x v="0"/>
    <x v="1"/>
    <n v="129"/>
    <n v="184.47"/>
  </r>
  <r>
    <s v="AD01-9362"/>
    <x v="1"/>
    <s v="Jun"/>
    <x v="0"/>
    <x v="0"/>
    <s v="Order assembled"/>
    <x v="0"/>
    <x v="0"/>
    <x v="1"/>
    <n v="369"/>
    <n v="527.66999999999996"/>
  </r>
  <r>
    <s v="AD01-9361"/>
    <x v="1"/>
    <s v="Jun"/>
    <x v="0"/>
    <x v="0"/>
    <s v="Order assembled"/>
    <x v="0"/>
    <x v="0"/>
    <x v="1"/>
    <n v="363"/>
    <n v="519.09"/>
  </r>
  <r>
    <s v="AD01-9362"/>
    <x v="1"/>
    <s v="Jun"/>
    <x v="0"/>
    <x v="0"/>
    <s v="Order assembled"/>
    <x v="0"/>
    <x v="0"/>
    <x v="1"/>
    <n v="159"/>
    <n v="227.37"/>
  </r>
  <r>
    <s v="AD01-9362"/>
    <x v="1"/>
    <s v="Jun"/>
    <x v="0"/>
    <x v="0"/>
    <s v="Order assembled"/>
    <x v="0"/>
    <x v="0"/>
    <x v="1"/>
    <n v="762"/>
    <n v="526.24"/>
  </r>
  <r>
    <s v="AD01-9361"/>
    <x v="1"/>
    <s v="Jun"/>
    <x v="0"/>
    <x v="0"/>
    <s v="Order assembled"/>
    <x v="0"/>
    <x v="0"/>
    <x v="1"/>
    <n v="815"/>
    <n v="526.24"/>
  </r>
  <r>
    <s v="AD01-9361"/>
    <x v="1"/>
    <s v="Jun"/>
    <x v="0"/>
    <x v="0"/>
    <s v="Order assembled"/>
    <x v="0"/>
    <x v="0"/>
    <x v="1"/>
    <n v="163"/>
    <n v="233.09"/>
  </r>
  <r>
    <s v="AD01-9361"/>
    <x v="1"/>
    <s v="Jun"/>
    <x v="0"/>
    <x v="0"/>
    <s v="Order assembled"/>
    <x v="0"/>
    <x v="0"/>
    <x v="1"/>
    <n v="133"/>
    <n v="190.19"/>
  </r>
  <r>
    <s v="AD01-9361"/>
    <x v="1"/>
    <s v="Jun"/>
    <x v="0"/>
    <x v="0"/>
    <s v="Order assembled"/>
    <x v="0"/>
    <x v="0"/>
    <x v="0"/>
    <n v="371"/>
    <n v="530.53"/>
  </r>
  <r>
    <s v="AD01-9364"/>
    <x v="1"/>
    <s v="Jun"/>
    <x v="0"/>
    <x v="0"/>
    <s v="Order assembled"/>
    <x v="0"/>
    <x v="0"/>
    <x v="0"/>
    <n v="365"/>
    <n v="521.95000000000005"/>
  </r>
  <r>
    <s v="AD01-9361"/>
    <x v="1"/>
    <s v="Jun"/>
    <x v="0"/>
    <x v="0"/>
    <s v="Order assembled"/>
    <x v="0"/>
    <x v="0"/>
    <x v="1"/>
    <n v="161"/>
    <n v="230.23000000000002"/>
  </r>
  <r>
    <s v="AD01-9362"/>
    <x v="1"/>
    <s v="Jun"/>
    <x v="0"/>
    <x v="0"/>
    <s v="Order assembled"/>
    <x v="0"/>
    <x v="0"/>
    <x v="1"/>
    <n v="209"/>
    <n v="298.87"/>
  </r>
  <r>
    <s v="AD01-9364"/>
    <x v="1"/>
    <s v="Mar"/>
    <x v="0"/>
    <x v="0"/>
    <s v="Order assembled"/>
    <x v="0"/>
    <x v="0"/>
    <x v="0"/>
    <n v="176"/>
    <n v="526.24"/>
  </r>
  <r>
    <s v="AD01-9361"/>
    <x v="1"/>
    <s v="Mar"/>
    <x v="0"/>
    <x v="0"/>
    <s v="Order assembled"/>
    <x v="0"/>
    <x v="0"/>
    <x v="0"/>
    <n v="170"/>
    <n v="526.24"/>
  </r>
  <r>
    <s v="AD01-9364"/>
    <x v="1"/>
    <s v="Mar"/>
    <x v="0"/>
    <x v="0"/>
    <s v="Order assembled"/>
    <x v="0"/>
    <x v="0"/>
    <x v="0"/>
    <n v="164"/>
    <n v="526.24"/>
  </r>
  <r>
    <s v="AD01-9361"/>
    <x v="1"/>
    <s v="Mar"/>
    <x v="0"/>
    <x v="0"/>
    <s v="Order assembled"/>
    <x v="0"/>
    <x v="0"/>
    <x v="1"/>
    <n v="176"/>
    <n v="251.68"/>
  </r>
  <r>
    <s v="AD01-9361"/>
    <x v="1"/>
    <s v="Mar"/>
    <x v="0"/>
    <x v="0"/>
    <s v="Order assembled"/>
    <x v="0"/>
    <x v="0"/>
    <x v="1"/>
    <n v="224"/>
    <n v="320.32"/>
  </r>
  <r>
    <s v="AD01-9361"/>
    <x v="1"/>
    <s v="Mar"/>
    <x v="0"/>
    <x v="0"/>
    <s v="Order assembled"/>
    <x v="0"/>
    <x v="0"/>
    <x v="1"/>
    <n v="152"/>
    <n v="217.36"/>
  </r>
  <r>
    <s v="AD01-9362"/>
    <x v="1"/>
    <s v="Mar"/>
    <x v="0"/>
    <x v="0"/>
    <s v="Order assembled"/>
    <x v="0"/>
    <x v="0"/>
    <x v="1"/>
    <n v="178"/>
    <n v="254.54"/>
  </r>
  <r>
    <s v="AD01-9361"/>
    <x v="1"/>
    <s v="Mar"/>
    <x v="0"/>
    <x v="0"/>
    <s v="Order assembled"/>
    <x v="0"/>
    <x v="0"/>
    <x v="1"/>
    <n v="226"/>
    <n v="323.18"/>
  </r>
  <r>
    <s v="AD01-9364"/>
    <x v="1"/>
    <s v="Mar"/>
    <x v="0"/>
    <x v="0"/>
    <s v="Order assembled"/>
    <x v="0"/>
    <x v="0"/>
    <x v="1"/>
    <n v="148"/>
    <n v="211.64"/>
  </r>
  <r>
    <s v="AD01-9362"/>
    <x v="1"/>
    <s v="Mar"/>
    <x v="0"/>
    <x v="0"/>
    <s v="Order assembled"/>
    <x v="0"/>
    <x v="0"/>
    <x v="0"/>
    <n v="174"/>
    <n v="526.24"/>
  </r>
  <r>
    <s v="AD01-9362"/>
    <x v="1"/>
    <s v="Mar"/>
    <x v="0"/>
    <x v="0"/>
    <s v="Order assembled"/>
    <x v="0"/>
    <x v="0"/>
    <x v="0"/>
    <n v="168"/>
    <n v="526.24"/>
  </r>
  <r>
    <s v="AD01-9362"/>
    <x v="1"/>
    <s v="Mar"/>
    <x v="0"/>
    <x v="0"/>
    <s v="Order assembled"/>
    <x v="0"/>
    <x v="0"/>
    <x v="1"/>
    <n v="720"/>
    <n v="1029.5999999999999"/>
  </r>
  <r>
    <s v="AD01-9362"/>
    <x v="1"/>
    <s v="Mar"/>
    <x v="0"/>
    <x v="0"/>
    <s v="Order assembled"/>
    <x v="0"/>
    <x v="0"/>
    <x v="1"/>
    <n v="773"/>
    <n v="1105.3899999999999"/>
  </r>
  <r>
    <s v="AD01-9361"/>
    <x v="1"/>
    <s v="Mar"/>
    <x v="0"/>
    <x v="0"/>
    <s v="Order assembled"/>
    <x v="0"/>
    <x v="0"/>
    <x v="0"/>
    <n v="177"/>
    <n v="253.11"/>
  </r>
  <r>
    <s v="AD01-9361"/>
    <x v="1"/>
    <s v="Mar"/>
    <x v="0"/>
    <x v="0"/>
    <s v="Order assembled"/>
    <x v="0"/>
    <x v="0"/>
    <x v="0"/>
    <n v="171"/>
    <n v="244.53"/>
  </r>
  <r>
    <s v="AD01-9362"/>
    <x v="1"/>
    <s v="Mar"/>
    <x v="0"/>
    <x v="0"/>
    <s v="Order assembled"/>
    <x v="0"/>
    <x v="0"/>
    <x v="0"/>
    <n v="165"/>
    <n v="235.95"/>
  </r>
  <r>
    <s v="AD01-9362"/>
    <x v="1"/>
    <s v="Mar"/>
    <x v="0"/>
    <x v="0"/>
    <s v="Order assembled"/>
    <x v="0"/>
    <x v="0"/>
    <x v="1"/>
    <n v="177"/>
    <n v="253.11"/>
  </r>
  <r>
    <s v="AD01-9362"/>
    <x v="1"/>
    <s v="Mar"/>
    <x v="0"/>
    <x v="0"/>
    <s v="Order assembled"/>
    <x v="0"/>
    <x v="0"/>
    <x v="1"/>
    <n v="759"/>
    <n v="526.24"/>
  </r>
  <r>
    <s v="AD01-9364"/>
    <x v="1"/>
    <s v="Mar"/>
    <x v="0"/>
    <x v="0"/>
    <s v="Order assembled"/>
    <x v="0"/>
    <x v="0"/>
    <x v="1"/>
    <n v="175"/>
    <n v="250.25"/>
  </r>
  <r>
    <s v="AD01-9362"/>
    <x v="1"/>
    <s v="Mar"/>
    <x v="0"/>
    <x v="0"/>
    <s v="Order assembled"/>
    <x v="0"/>
    <x v="0"/>
    <x v="1"/>
    <n v="223"/>
    <n v="318.89"/>
  </r>
  <r>
    <s v="AD01-9362"/>
    <x v="1"/>
    <s v="Mar"/>
    <x v="0"/>
    <x v="0"/>
    <s v="Order assembled"/>
    <x v="0"/>
    <x v="0"/>
    <x v="1"/>
    <n v="151"/>
    <n v="215.93"/>
  </r>
  <r>
    <s v="AD01-9364"/>
    <x v="1"/>
    <s v="Mar"/>
    <x v="0"/>
    <x v="0"/>
    <s v="Order assembled"/>
    <x v="0"/>
    <x v="0"/>
    <x v="0"/>
    <n v="173"/>
    <n v="247.39"/>
  </r>
  <r>
    <s v="AD01-9362"/>
    <x v="1"/>
    <s v="Mar"/>
    <x v="0"/>
    <x v="0"/>
    <s v="Order assembled"/>
    <x v="0"/>
    <x v="0"/>
    <x v="0"/>
    <n v="167"/>
    <n v="238.81"/>
  </r>
  <r>
    <s v="AD01-9361"/>
    <x v="1"/>
    <s v="Mar"/>
    <x v="0"/>
    <x v="0"/>
    <s v="Order assembled"/>
    <x v="0"/>
    <x v="0"/>
    <x v="1"/>
    <n v="179"/>
    <n v="255.97"/>
  </r>
  <r>
    <s v="AD01-9361"/>
    <x v="1"/>
    <s v="Mar"/>
    <x v="0"/>
    <x v="0"/>
    <s v="Order assembled"/>
    <x v="0"/>
    <x v="0"/>
    <x v="1"/>
    <n v="782"/>
    <n v="1118.26"/>
  </r>
  <r>
    <s v="AD01-9364"/>
    <x v="1"/>
    <s v="May"/>
    <x v="0"/>
    <x v="0"/>
    <s v="Order assembled"/>
    <x v="0"/>
    <x v="0"/>
    <x v="0"/>
    <n v="146"/>
    <n v="526.24"/>
  </r>
  <r>
    <s v="AD01-9361"/>
    <x v="1"/>
    <s v="May"/>
    <x v="0"/>
    <x v="0"/>
    <s v="Order assembled"/>
    <x v="0"/>
    <x v="0"/>
    <x v="0"/>
    <n v="140"/>
    <n v="526.24"/>
  </r>
  <r>
    <s v="AD01-9361"/>
    <x v="1"/>
    <s v="May"/>
    <x v="0"/>
    <x v="0"/>
    <s v="Order assembled"/>
    <x v="0"/>
    <x v="0"/>
    <x v="0"/>
    <n v="134"/>
    <n v="526.24"/>
  </r>
  <r>
    <s v="AD01-9361"/>
    <x v="1"/>
    <s v="May"/>
    <x v="0"/>
    <x v="0"/>
    <s v="Order assembled"/>
    <x v="0"/>
    <x v="0"/>
    <x v="1"/>
    <n v="164"/>
    <n v="234.51999999999998"/>
  </r>
  <r>
    <s v="AD01-9363"/>
    <x v="1"/>
    <s v="May"/>
    <x v="0"/>
    <x v="0"/>
    <s v="Order assembled"/>
    <x v="0"/>
    <x v="0"/>
    <x v="1"/>
    <n v="212"/>
    <n v="303.15999999999997"/>
  </r>
  <r>
    <s v="AD01-9362"/>
    <x v="1"/>
    <s v="May"/>
    <x v="0"/>
    <x v="0"/>
    <s v="Order assembled"/>
    <x v="0"/>
    <x v="0"/>
    <x v="1"/>
    <n v="140"/>
    <n v="200.2"/>
  </r>
  <r>
    <s v="AD01-9362"/>
    <x v="1"/>
    <s v="May"/>
    <x v="0"/>
    <x v="0"/>
    <s v="Order assembled"/>
    <x v="0"/>
    <x v="0"/>
    <x v="1"/>
    <n v="166"/>
    <n v="237.38"/>
  </r>
  <r>
    <s v="AD01-9362"/>
    <x v="1"/>
    <s v="May"/>
    <x v="0"/>
    <x v="0"/>
    <s v="Order assembled"/>
    <x v="0"/>
    <x v="0"/>
    <x v="1"/>
    <n v="214"/>
    <n v="306.02"/>
  </r>
  <r>
    <s v="AD01-9363"/>
    <x v="1"/>
    <s v="May"/>
    <x v="0"/>
    <x v="0"/>
    <s v="Order assembled"/>
    <x v="0"/>
    <x v="0"/>
    <x v="1"/>
    <n v="142"/>
    <n v="203.06"/>
  </r>
  <r>
    <s v="AD01-9362"/>
    <x v="1"/>
    <s v="May"/>
    <x v="0"/>
    <x v="0"/>
    <s v="Order assembled"/>
    <x v="0"/>
    <x v="0"/>
    <x v="1"/>
    <n v="144"/>
    <n v="526.24"/>
  </r>
  <r>
    <s v="AD01-9362"/>
    <x v="1"/>
    <s v="May"/>
    <x v="0"/>
    <x v="0"/>
    <s v="Order assembled"/>
    <x v="0"/>
    <x v="0"/>
    <x v="1"/>
    <n v="138"/>
    <n v="526.24"/>
  </r>
  <r>
    <s v="AD01-9365"/>
    <x v="1"/>
    <s v="May"/>
    <x v="0"/>
    <x v="0"/>
    <s v="Order assembled"/>
    <x v="0"/>
    <x v="0"/>
    <x v="1"/>
    <n v="132"/>
    <n v="526.24"/>
  </r>
  <r>
    <s v="AD01-9361"/>
    <x v="1"/>
    <s v="May"/>
    <x v="0"/>
    <x v="0"/>
    <s v="Order assembled"/>
    <x v="0"/>
    <x v="0"/>
    <x v="1"/>
    <n v="688"/>
    <n v="983.83999999999992"/>
  </r>
  <r>
    <s v="AD01-9364"/>
    <x v="1"/>
    <s v="May"/>
    <x v="0"/>
    <x v="0"/>
    <s v="Order assembled"/>
    <x v="0"/>
    <x v="0"/>
    <x v="1"/>
    <n v="775"/>
    <n v="1108.25"/>
  </r>
  <r>
    <s v="AD01-9362"/>
    <x v="1"/>
    <s v="May"/>
    <x v="0"/>
    <x v="0"/>
    <s v="Order assembled"/>
    <x v="0"/>
    <x v="0"/>
    <x v="1"/>
    <n v="141"/>
    <n v="201.63"/>
  </r>
  <r>
    <s v="AD01-9363"/>
    <x v="1"/>
    <s v="May"/>
    <x v="0"/>
    <x v="0"/>
    <s v="Order assembled"/>
    <x v="0"/>
    <x v="0"/>
    <x v="1"/>
    <n v="135"/>
    <n v="193.05"/>
  </r>
  <r>
    <s v="AD01-9364"/>
    <x v="1"/>
    <s v="May"/>
    <x v="0"/>
    <x v="0"/>
    <s v="Order assembled"/>
    <x v="0"/>
    <x v="0"/>
    <x v="1"/>
    <n v="165"/>
    <n v="235.95"/>
  </r>
  <r>
    <s v="AD01-9362"/>
    <x v="1"/>
    <s v="May"/>
    <x v="0"/>
    <x v="0"/>
    <s v="Order assembled"/>
    <x v="0"/>
    <x v="0"/>
    <x v="1"/>
    <n v="761"/>
    <n v="526.24"/>
  </r>
  <r>
    <s v="AD01-9361"/>
    <x v="1"/>
    <s v="May"/>
    <x v="0"/>
    <x v="0"/>
    <s v="Order assembled"/>
    <x v="0"/>
    <x v="0"/>
    <x v="1"/>
    <n v="814"/>
    <n v="526.24"/>
  </r>
  <r>
    <s v="AD01-9363"/>
    <x v="1"/>
    <s v="May"/>
    <x v="0"/>
    <x v="0"/>
    <s v="Order assembled"/>
    <x v="0"/>
    <x v="0"/>
    <x v="1"/>
    <n v="169"/>
    <n v="241.67000000000002"/>
  </r>
  <r>
    <s v="AD01-9365"/>
    <x v="1"/>
    <s v="May"/>
    <x v="0"/>
    <x v="0"/>
    <s v="Order assembled"/>
    <x v="0"/>
    <x v="0"/>
    <x v="1"/>
    <n v="211"/>
    <n v="301.73"/>
  </r>
  <r>
    <s v="AD01-9362"/>
    <x v="1"/>
    <s v="May"/>
    <x v="0"/>
    <x v="0"/>
    <s v="Order assembled"/>
    <x v="0"/>
    <x v="0"/>
    <x v="1"/>
    <n v="139"/>
    <n v="198.76999999999998"/>
  </r>
  <r>
    <s v="AD01-9361"/>
    <x v="1"/>
    <s v="May"/>
    <x v="0"/>
    <x v="0"/>
    <s v="Order assembled"/>
    <x v="0"/>
    <x v="0"/>
    <x v="0"/>
    <n v="143"/>
    <n v="204.49"/>
  </r>
  <r>
    <s v="AD01-9362"/>
    <x v="1"/>
    <s v="May"/>
    <x v="0"/>
    <x v="0"/>
    <s v="Order assembled"/>
    <x v="0"/>
    <x v="0"/>
    <x v="0"/>
    <n v="137"/>
    <n v="195.91"/>
  </r>
  <r>
    <s v="AD01-9363"/>
    <x v="1"/>
    <s v="May"/>
    <x v="0"/>
    <x v="0"/>
    <s v="Order assembled"/>
    <x v="0"/>
    <x v="0"/>
    <x v="0"/>
    <n v="131"/>
    <n v="187.32999999999998"/>
  </r>
  <r>
    <s v="AD01-9362"/>
    <x v="1"/>
    <s v="May"/>
    <x v="0"/>
    <x v="0"/>
    <s v="Order assembled"/>
    <x v="0"/>
    <x v="0"/>
    <x v="1"/>
    <n v="167"/>
    <n v="238.81"/>
  </r>
  <r>
    <s v="AD01-9362"/>
    <x v="1"/>
    <s v="May"/>
    <x v="0"/>
    <x v="0"/>
    <s v="Order assembled"/>
    <x v="0"/>
    <x v="0"/>
    <x v="1"/>
    <n v="215"/>
    <n v="307.45"/>
  </r>
  <r>
    <s v="AD01-9361"/>
    <x v="1"/>
    <s v="May"/>
    <x v="0"/>
    <x v="0"/>
    <s v="Order assembled"/>
    <x v="0"/>
    <x v="0"/>
    <x v="1"/>
    <n v="784"/>
    <n v="1121.1199999999999"/>
  </r>
  <r>
    <s v="AD01-9362"/>
    <x v="1"/>
    <s v="Nov"/>
    <x v="0"/>
    <x v="0"/>
    <s v="Order assembled"/>
    <x v="0"/>
    <x v="0"/>
    <x v="1"/>
    <n v="134"/>
    <n v="182.24"/>
  </r>
  <r>
    <s v="AD01-9361"/>
    <x v="1"/>
    <s v="Nov"/>
    <x v="0"/>
    <x v="0"/>
    <s v="Order assembled"/>
    <x v="0"/>
    <x v="0"/>
    <x v="1"/>
    <n v="182"/>
    <n v="260.26"/>
  </r>
  <r>
    <s v="AD01-9361"/>
    <x v="1"/>
    <s v="Nov"/>
    <x v="0"/>
    <x v="0"/>
    <s v="Order assembled"/>
    <x v="0"/>
    <x v="0"/>
    <x v="1"/>
    <n v="136"/>
    <n v="194.48"/>
  </r>
  <r>
    <s v="AD01-9361"/>
    <x v="1"/>
    <s v="Nov"/>
    <x v="0"/>
    <x v="0"/>
    <s v="Order assembled"/>
    <x v="0"/>
    <x v="0"/>
    <x v="1"/>
    <n v="694"/>
    <n v="992.42000000000007"/>
  </r>
  <r>
    <s v="AD01-9365"/>
    <x v="1"/>
    <s v="Nov"/>
    <x v="0"/>
    <x v="0"/>
    <s v="Order assembled"/>
    <x v="0"/>
    <x v="0"/>
    <x v="1"/>
    <n v="727"/>
    <n v="1039.6100000000001"/>
  </r>
  <r>
    <s v="AD01-9362"/>
    <x v="1"/>
    <s v="Nov"/>
    <x v="0"/>
    <x v="0"/>
    <s v="Order assembled"/>
    <x v="0"/>
    <x v="0"/>
    <x v="1"/>
    <n v="135"/>
    <n v="193.05"/>
  </r>
  <r>
    <s v="AD01-9365"/>
    <x v="1"/>
    <s v="Nov"/>
    <x v="0"/>
    <x v="0"/>
    <s v="Order assembled"/>
    <x v="0"/>
    <x v="0"/>
    <x v="1"/>
    <n v="766"/>
    <n v="526.24"/>
  </r>
  <r>
    <s v="AD01-9361"/>
    <x v="1"/>
    <s v="Nov"/>
    <x v="0"/>
    <x v="0"/>
    <s v="Order assembled"/>
    <x v="0"/>
    <x v="0"/>
    <x v="1"/>
    <n v="133"/>
    <n v="190.19"/>
  </r>
  <r>
    <s v="AD01-9361"/>
    <x v="1"/>
    <s v="Nov"/>
    <x v="0"/>
    <x v="0"/>
    <s v="Order assembled"/>
    <x v="0"/>
    <x v="0"/>
    <x v="1"/>
    <n v="181"/>
    <n v="258.83"/>
  </r>
  <r>
    <s v="AD01-9362"/>
    <x v="1"/>
    <s v="Nov"/>
    <x v="0"/>
    <x v="0"/>
    <s v="Order assembled"/>
    <x v="0"/>
    <x v="0"/>
    <x v="1"/>
    <n v="137"/>
    <n v="195.91"/>
  </r>
  <r>
    <s v="AD01-9361"/>
    <x v="1"/>
    <s v="Nov"/>
    <x v="0"/>
    <x v="0"/>
    <s v="Order assembled"/>
    <x v="0"/>
    <x v="0"/>
    <x v="1"/>
    <n v="179"/>
    <n v="255.97"/>
  </r>
  <r>
    <s v="AD01-9362"/>
    <x v="1"/>
    <s v="Oct"/>
    <x v="0"/>
    <x v="0"/>
    <s v="Order assembled"/>
    <x v="0"/>
    <x v="0"/>
    <x v="1"/>
    <n v="140"/>
    <n v="190.4"/>
  </r>
  <r>
    <s v="AD01-9364"/>
    <x v="1"/>
    <s v="Oct"/>
    <x v="0"/>
    <x v="0"/>
    <s v="Order assembled"/>
    <x v="0"/>
    <x v="0"/>
    <x v="1"/>
    <n v="188"/>
    <n v="268.84000000000003"/>
  </r>
  <r>
    <s v="AD01-9362"/>
    <x v="1"/>
    <s v="Oct"/>
    <x v="0"/>
    <x v="0"/>
    <s v="Order assembled"/>
    <x v="0"/>
    <x v="0"/>
    <x v="1"/>
    <n v="142"/>
    <n v="203.06"/>
  </r>
  <r>
    <s v="AD01-9364"/>
    <x v="1"/>
    <s v="Oct"/>
    <x v="0"/>
    <x v="0"/>
    <s v="Order assembled"/>
    <x v="0"/>
    <x v="0"/>
    <x v="1"/>
    <n v="184"/>
    <n v="263.12"/>
  </r>
  <r>
    <s v="AD01-9362"/>
    <x v="1"/>
    <s v="Oct"/>
    <x v="0"/>
    <x v="0"/>
    <s v="Order assembled"/>
    <x v="0"/>
    <x v="0"/>
    <x v="0"/>
    <n v="312"/>
    <n v="526.24"/>
  </r>
  <r>
    <s v="AD01-9365"/>
    <x v="1"/>
    <s v="Oct"/>
    <x v="0"/>
    <x v="0"/>
    <s v="Order assembled"/>
    <x v="0"/>
    <x v="0"/>
    <x v="1"/>
    <n v="693"/>
    <n v="990.99"/>
  </r>
  <r>
    <s v="AD01-9364"/>
    <x v="1"/>
    <s v="Oct"/>
    <x v="0"/>
    <x v="0"/>
    <s v="Order assembled"/>
    <x v="0"/>
    <x v="0"/>
    <x v="1"/>
    <n v="726"/>
    <n v="1038.18"/>
  </r>
  <r>
    <s v="AD01-9364"/>
    <x v="1"/>
    <s v="Oct"/>
    <x v="0"/>
    <x v="0"/>
    <s v="Order assembled"/>
    <x v="0"/>
    <x v="0"/>
    <x v="1"/>
    <n v="141"/>
    <n v="201.63"/>
  </r>
  <r>
    <s v="AD01-9362"/>
    <x v="1"/>
    <s v="Oct"/>
    <x v="0"/>
    <x v="0"/>
    <s v="Order assembled"/>
    <x v="0"/>
    <x v="0"/>
    <x v="1"/>
    <n v="765"/>
    <n v="526.24"/>
  </r>
  <r>
    <s v="AD01-9362"/>
    <x v="1"/>
    <s v="Oct"/>
    <x v="0"/>
    <x v="0"/>
    <s v="Order assembled"/>
    <x v="0"/>
    <x v="0"/>
    <x v="1"/>
    <n v="139"/>
    <n v="198.76999999999998"/>
  </r>
  <r>
    <s v="AD01-9362"/>
    <x v="1"/>
    <s v="Oct"/>
    <x v="0"/>
    <x v="0"/>
    <s v="Order assembled"/>
    <x v="0"/>
    <x v="0"/>
    <x v="1"/>
    <n v="187"/>
    <n v="267.40999999999997"/>
  </r>
  <r>
    <s v="AD01-9362"/>
    <x v="1"/>
    <s v="Oct"/>
    <x v="0"/>
    <x v="0"/>
    <s v="Order assembled"/>
    <x v="0"/>
    <x v="0"/>
    <x v="0"/>
    <n v="311"/>
    <n v="444.73"/>
  </r>
  <r>
    <s v="AD01-9363"/>
    <x v="1"/>
    <s v="Oct"/>
    <x v="0"/>
    <x v="0"/>
    <s v="Order assembled"/>
    <x v="0"/>
    <x v="0"/>
    <x v="1"/>
    <n v="185"/>
    <n v="264.55"/>
  </r>
  <r>
    <s v="AD01-9361"/>
    <x v="1"/>
    <s v="Sep"/>
    <x v="0"/>
    <x v="0"/>
    <s v="Order assembled"/>
    <x v="0"/>
    <x v="0"/>
    <x v="0"/>
    <n v="326"/>
    <n v="466.18"/>
  </r>
  <r>
    <s v="AD01-9364"/>
    <x v="1"/>
    <s v="Sep"/>
    <x v="0"/>
    <x v="0"/>
    <s v="Order assembled"/>
    <x v="0"/>
    <x v="0"/>
    <x v="0"/>
    <n v="320"/>
    <n v="457.6"/>
  </r>
  <r>
    <s v="AD01-9361"/>
    <x v="1"/>
    <s v="Sep"/>
    <x v="0"/>
    <x v="0"/>
    <s v="Order assembled"/>
    <x v="0"/>
    <x v="0"/>
    <x v="0"/>
    <n v="314"/>
    <n v="449.02"/>
  </r>
  <r>
    <s v="AD01-9364"/>
    <x v="1"/>
    <s v="Sep"/>
    <x v="0"/>
    <x v="0"/>
    <s v="Order assembled"/>
    <x v="0"/>
    <x v="0"/>
    <x v="1"/>
    <n v="146"/>
    <n v="198.56"/>
  </r>
  <r>
    <s v="AD01-9361"/>
    <x v="1"/>
    <s v="Sep"/>
    <x v="0"/>
    <x v="0"/>
    <s v="Order assembled"/>
    <x v="0"/>
    <x v="0"/>
    <x v="1"/>
    <n v="194"/>
    <n v="277.42"/>
  </r>
  <r>
    <s v="AD01-9361"/>
    <x v="1"/>
    <s v="Sep"/>
    <x v="0"/>
    <x v="0"/>
    <s v="Order assembled"/>
    <x v="0"/>
    <x v="0"/>
    <x v="1"/>
    <n v="190"/>
    <n v="271.7"/>
  </r>
  <r>
    <s v="AD01-9361"/>
    <x v="1"/>
    <s v="Sep"/>
    <x v="0"/>
    <x v="0"/>
    <s v="Order assembled"/>
    <x v="0"/>
    <x v="0"/>
    <x v="1"/>
    <n v="364"/>
    <n v="520.52"/>
  </r>
  <r>
    <s v="AD01-9361"/>
    <x v="1"/>
    <s v="Sep"/>
    <x v="0"/>
    <x v="0"/>
    <s v="Order assembled"/>
    <x v="0"/>
    <x v="0"/>
    <x v="0"/>
    <n v="324"/>
    <n v="526.24"/>
  </r>
  <r>
    <s v="AD01-9361"/>
    <x v="1"/>
    <s v="Sep"/>
    <x v="0"/>
    <x v="0"/>
    <s v="Order assembled"/>
    <x v="0"/>
    <x v="0"/>
    <x v="0"/>
    <n v="318"/>
    <n v="526.24"/>
  </r>
  <r>
    <s v="AD01-9362"/>
    <x v="1"/>
    <s v="Sep"/>
    <x v="0"/>
    <x v="0"/>
    <s v="Order assembled"/>
    <x v="0"/>
    <x v="0"/>
    <x v="1"/>
    <n v="692"/>
    <n v="989.56"/>
  </r>
  <r>
    <s v="AD01-9364"/>
    <x v="1"/>
    <s v="Sep"/>
    <x v="0"/>
    <x v="0"/>
    <s v="Order assembled"/>
    <x v="0"/>
    <x v="0"/>
    <x v="1"/>
    <n v="725"/>
    <n v="1036.75"/>
  </r>
  <r>
    <s v="AD01-9362"/>
    <x v="1"/>
    <s v="Sep"/>
    <x v="0"/>
    <x v="0"/>
    <s v="Order assembled"/>
    <x v="0"/>
    <x v="0"/>
    <x v="1"/>
    <n v="778"/>
    <n v="1112.54"/>
  </r>
  <r>
    <s v="AD01-9361"/>
    <x v="1"/>
    <s v="Sep"/>
    <x v="0"/>
    <x v="0"/>
    <s v="Order assembled"/>
    <x v="0"/>
    <x v="0"/>
    <x v="0"/>
    <n v="327"/>
    <n v="467.61"/>
  </r>
  <r>
    <s v="AD01-9364"/>
    <x v="1"/>
    <s v="Sep"/>
    <x v="0"/>
    <x v="0"/>
    <s v="Order assembled"/>
    <x v="0"/>
    <x v="0"/>
    <x v="0"/>
    <n v="321"/>
    <n v="459.03"/>
  </r>
  <r>
    <s v="AD01-9361"/>
    <x v="1"/>
    <s v="Sep"/>
    <x v="0"/>
    <x v="0"/>
    <s v="Order assembled"/>
    <x v="0"/>
    <x v="0"/>
    <x v="0"/>
    <n v="315"/>
    <n v="450.45"/>
  </r>
  <r>
    <s v="AD01-9362"/>
    <x v="1"/>
    <s v="Sep"/>
    <x v="0"/>
    <x v="0"/>
    <s v="Order assembled"/>
    <x v="0"/>
    <x v="0"/>
    <x v="1"/>
    <n v="147"/>
    <n v="210.21"/>
  </r>
  <r>
    <s v="AD01-9361"/>
    <x v="1"/>
    <s v="Sep"/>
    <x v="0"/>
    <x v="0"/>
    <s v="Order assembled"/>
    <x v="0"/>
    <x v="0"/>
    <x v="1"/>
    <n v="145"/>
    <n v="207.35"/>
  </r>
  <r>
    <s v="AD01-9361"/>
    <x v="1"/>
    <s v="Sep"/>
    <x v="0"/>
    <x v="0"/>
    <s v="Order assembled"/>
    <x v="0"/>
    <x v="0"/>
    <x v="1"/>
    <n v="193"/>
    <n v="275.99"/>
  </r>
  <r>
    <s v="AD01-9364"/>
    <x v="1"/>
    <s v="Sep"/>
    <x v="0"/>
    <x v="0"/>
    <s v="Order assembled"/>
    <x v="0"/>
    <x v="0"/>
    <x v="0"/>
    <n v="323"/>
    <n v="461.89"/>
  </r>
  <r>
    <s v="AD01-9361"/>
    <x v="1"/>
    <s v="Sep"/>
    <x v="0"/>
    <x v="0"/>
    <s v="Order assembled"/>
    <x v="0"/>
    <x v="0"/>
    <x v="0"/>
    <n v="317"/>
    <n v="453.31"/>
  </r>
  <r>
    <s v="AD01-9364"/>
    <x v="1"/>
    <s v="Sep"/>
    <x v="0"/>
    <x v="0"/>
    <s v="Order assembled"/>
    <x v="0"/>
    <x v="0"/>
    <x v="1"/>
    <n v="143"/>
    <n v="204.49"/>
  </r>
  <r>
    <s v="AD01-9361"/>
    <x v="1"/>
    <s v="Sep"/>
    <x v="0"/>
    <x v="0"/>
    <s v="Order assembled"/>
    <x v="0"/>
    <x v="0"/>
    <x v="1"/>
    <n v="191"/>
    <n v="273.13"/>
  </r>
  <r>
    <s v="AD01-9364"/>
    <x v="1"/>
    <s v="Sep"/>
    <x v="0"/>
    <x v="0"/>
    <s v="Order assembled"/>
    <x v="0"/>
    <x v="0"/>
    <x v="1"/>
    <n v="787"/>
    <n v="1125.4099999999999"/>
  </r>
  <r>
    <s v="AD01-9362"/>
    <x v="1"/>
    <s v="Apr"/>
    <x v="1"/>
    <x v="0"/>
    <s v="Order assembled"/>
    <x v="0"/>
    <x v="0"/>
    <x v="0"/>
    <n v="266"/>
    <n v="380.38"/>
  </r>
  <r>
    <s v="AD01-9362"/>
    <x v="1"/>
    <s v="Apr"/>
    <x v="1"/>
    <x v="0"/>
    <s v="Order assembled"/>
    <x v="0"/>
    <x v="0"/>
    <x v="0"/>
    <n v="314"/>
    <n v="449.02"/>
  </r>
  <r>
    <s v="AD01-9361"/>
    <x v="1"/>
    <s v="Apr"/>
    <x v="1"/>
    <x v="0"/>
    <s v="Order assembled"/>
    <x v="0"/>
    <x v="0"/>
    <x v="0"/>
    <n v="236"/>
    <n v="337.48"/>
  </r>
  <r>
    <s v="AD01-9362"/>
    <x v="1"/>
    <s v="Apr"/>
    <x v="1"/>
    <x v="0"/>
    <s v="Order assembled"/>
    <x v="0"/>
    <x v="0"/>
    <x v="0"/>
    <n v="310"/>
    <n v="526.24"/>
  </r>
  <r>
    <s v="AD01-9364"/>
    <x v="1"/>
    <s v="Apr"/>
    <x v="1"/>
    <x v="0"/>
    <s v="Order assembled"/>
    <x v="0"/>
    <x v="0"/>
    <x v="0"/>
    <n v="238"/>
    <n v="526.24"/>
  </r>
  <r>
    <s v="AD01-9361"/>
    <x v="1"/>
    <s v="Apr"/>
    <x v="1"/>
    <x v="0"/>
    <s v="Order assembled"/>
    <x v="0"/>
    <x v="0"/>
    <x v="0"/>
    <n v="1000"/>
    <n v="1430"/>
  </r>
  <r>
    <s v="AD01-9363"/>
    <x v="1"/>
    <s v="Apr"/>
    <x v="1"/>
    <x v="0"/>
    <s v="Order assembled"/>
    <x v="0"/>
    <x v="0"/>
    <x v="0"/>
    <n v="1033"/>
    <n v="1477.19"/>
  </r>
  <r>
    <s v="AD01-9364"/>
    <x v="1"/>
    <s v="Apr"/>
    <x v="1"/>
    <x v="0"/>
    <s v="Order assembled"/>
    <x v="0"/>
    <x v="0"/>
    <x v="0"/>
    <n v="240"/>
    <n v="343.2"/>
  </r>
  <r>
    <s v="AD01-9364"/>
    <x v="1"/>
    <s v="Apr"/>
    <x v="1"/>
    <x v="0"/>
    <s v="Order assembled"/>
    <x v="0"/>
    <x v="0"/>
    <x v="0"/>
    <n v="267"/>
    <n v="381.81"/>
  </r>
  <r>
    <s v="AD01-9361"/>
    <x v="1"/>
    <s v="Apr"/>
    <x v="1"/>
    <x v="0"/>
    <s v="Order assembled"/>
    <x v="0"/>
    <x v="0"/>
    <x v="0"/>
    <n v="237"/>
    <n v="338.90999999999997"/>
  </r>
  <r>
    <s v="AD01-9364"/>
    <x v="1"/>
    <s v="Apr"/>
    <x v="1"/>
    <x v="0"/>
    <s v="Order assembled"/>
    <x v="0"/>
    <x v="0"/>
    <x v="0"/>
    <n v="781"/>
    <n v="1116.83"/>
  </r>
  <r>
    <s v="AD01-9361"/>
    <x v="1"/>
    <s v="Apr"/>
    <x v="1"/>
    <x v="0"/>
    <s v="Order assembled"/>
    <x v="0"/>
    <x v="0"/>
    <x v="0"/>
    <n v="814"/>
    <n v="1164.02"/>
  </r>
  <r>
    <s v="AD01-9361"/>
    <x v="1"/>
    <s v="Apr"/>
    <x v="1"/>
    <x v="0"/>
    <s v="Order assembled"/>
    <x v="0"/>
    <x v="0"/>
    <x v="0"/>
    <n v="263"/>
    <n v="376.09000000000003"/>
  </r>
  <r>
    <s v="AD01-9361"/>
    <x v="1"/>
    <s v="Apr"/>
    <x v="1"/>
    <x v="0"/>
    <s v="Order assembled"/>
    <x v="0"/>
    <x v="0"/>
    <x v="0"/>
    <n v="311"/>
    <n v="444.73"/>
  </r>
  <r>
    <s v="AD01-9362"/>
    <x v="1"/>
    <s v="Apr"/>
    <x v="1"/>
    <x v="0"/>
    <s v="Order assembled"/>
    <x v="0"/>
    <x v="0"/>
    <x v="0"/>
    <n v="239"/>
    <n v="341.77"/>
  </r>
  <r>
    <s v="AD01-9361"/>
    <x v="1"/>
    <s v="Aug"/>
    <x v="1"/>
    <x v="0"/>
    <s v="Order assembled"/>
    <x v="0"/>
    <x v="0"/>
    <x v="0"/>
    <n v="242"/>
    <n v="346.06"/>
  </r>
  <r>
    <s v="AD01-9365"/>
    <x v="1"/>
    <s v="Aug"/>
    <x v="1"/>
    <x v="0"/>
    <s v="Order assembled"/>
    <x v="0"/>
    <x v="0"/>
    <x v="0"/>
    <n v="290"/>
    <n v="414.7"/>
  </r>
  <r>
    <s v="AD01-9362"/>
    <x v="1"/>
    <s v="Aug"/>
    <x v="0"/>
    <x v="0"/>
    <s v="Order assembled"/>
    <x v="0"/>
    <x v="0"/>
    <x v="0"/>
    <n v="218"/>
    <n v="311.74"/>
  </r>
  <r>
    <s v="AD01-9362"/>
    <x v="1"/>
    <s v="Aug"/>
    <x v="0"/>
    <x v="0"/>
    <s v="Order assembled"/>
    <x v="0"/>
    <x v="0"/>
    <x v="0"/>
    <n v="244"/>
    <n v="526.24"/>
  </r>
  <r>
    <s v="AD01-9361"/>
    <x v="1"/>
    <s v="Aug"/>
    <x v="0"/>
    <x v="0"/>
    <s v="Order assembled"/>
    <x v="0"/>
    <x v="0"/>
    <x v="0"/>
    <n v="292"/>
    <n v="526.24"/>
  </r>
  <r>
    <s v="AD01-9362"/>
    <x v="1"/>
    <s v="Aug"/>
    <x v="0"/>
    <x v="0"/>
    <s v="Order assembled"/>
    <x v="0"/>
    <x v="0"/>
    <x v="0"/>
    <n v="1003"/>
    <n v="1434.29"/>
  </r>
  <r>
    <s v="AD01-9362"/>
    <x v="1"/>
    <s v="Aug"/>
    <x v="0"/>
    <x v="0"/>
    <s v="Order assembled"/>
    <x v="0"/>
    <x v="0"/>
    <x v="0"/>
    <n v="1037"/>
    <n v="1482.9099999999999"/>
  </r>
  <r>
    <s v="AD01-9361"/>
    <x v="1"/>
    <s v="Aug"/>
    <x v="0"/>
    <x v="0"/>
    <s v="Order assembled"/>
    <x v="0"/>
    <x v="0"/>
    <x v="0"/>
    <n v="216"/>
    <n v="308.88"/>
  </r>
  <r>
    <s v="AD01-9361"/>
    <x v="1"/>
    <s v="Aug"/>
    <x v="0"/>
    <x v="0"/>
    <s v="Order assembled"/>
    <x v="0"/>
    <x v="0"/>
    <x v="0"/>
    <n v="243"/>
    <n v="347.49"/>
  </r>
  <r>
    <s v="AD01-9361"/>
    <x v="1"/>
    <s v="Aug"/>
    <x v="0"/>
    <x v="0"/>
    <s v="Order assembled"/>
    <x v="0"/>
    <x v="0"/>
    <x v="0"/>
    <n v="291"/>
    <n v="416.13"/>
  </r>
  <r>
    <s v="AD01-9362"/>
    <x v="1"/>
    <s v="Aug"/>
    <x v="0"/>
    <x v="0"/>
    <s v="Order assembled"/>
    <x v="0"/>
    <x v="0"/>
    <x v="0"/>
    <n v="219"/>
    <n v="313.17"/>
  </r>
  <r>
    <s v="AD01-9361"/>
    <x v="1"/>
    <s v="Aug"/>
    <x v="0"/>
    <x v="0"/>
    <s v="Order assembled"/>
    <x v="0"/>
    <x v="0"/>
    <x v="0"/>
    <n v="818"/>
    <n v="1169.74"/>
  </r>
  <r>
    <s v="AD01-9362"/>
    <x v="1"/>
    <s v="Aug"/>
    <x v="0"/>
    <x v="0"/>
    <s v="Order assembled"/>
    <x v="0"/>
    <x v="0"/>
    <x v="0"/>
    <n v="871"/>
    <n v="1245.53"/>
  </r>
  <r>
    <s v="AD01-9362"/>
    <x v="1"/>
    <s v="Aug"/>
    <x v="0"/>
    <x v="0"/>
    <s v="Order assembled"/>
    <x v="0"/>
    <x v="0"/>
    <x v="0"/>
    <n v="245"/>
    <n v="350.35"/>
  </r>
  <r>
    <s v="AD01-9361"/>
    <x v="1"/>
    <s v="Aug"/>
    <x v="0"/>
    <x v="0"/>
    <s v="Order assembled"/>
    <x v="0"/>
    <x v="0"/>
    <x v="0"/>
    <n v="293"/>
    <n v="418.99"/>
  </r>
  <r>
    <s v="AD01-9361"/>
    <x v="1"/>
    <s v="Aug"/>
    <x v="0"/>
    <x v="0"/>
    <s v="Order assembled"/>
    <x v="0"/>
    <x v="0"/>
    <x v="0"/>
    <n v="215"/>
    <n v="307.45"/>
  </r>
  <r>
    <s v="AD01-9361"/>
    <x v="1"/>
    <s v="Dec"/>
    <x v="0"/>
    <x v="0"/>
    <s v="Order assembled"/>
    <x v="0"/>
    <x v="0"/>
    <x v="1"/>
    <n v="248"/>
    <n v="354.64"/>
  </r>
  <r>
    <s v="AD01-9363"/>
    <x v="1"/>
    <s v="Dec"/>
    <x v="0"/>
    <x v="0"/>
    <s v="Order assembled"/>
    <x v="0"/>
    <x v="0"/>
    <x v="1"/>
    <n v="242"/>
    <n v="346.06"/>
  </r>
  <r>
    <s v="AD01-9362"/>
    <x v="1"/>
    <s v="Dec"/>
    <x v="0"/>
    <x v="0"/>
    <s v="Order assembled"/>
    <x v="0"/>
    <x v="0"/>
    <x v="1"/>
    <n v="236"/>
    <n v="337.48"/>
  </r>
  <r>
    <s v="AD01-9362"/>
    <x v="1"/>
    <s v="Dec"/>
    <x v="0"/>
    <x v="0"/>
    <s v="Order assembled"/>
    <x v="0"/>
    <x v="0"/>
    <x v="0"/>
    <n v="224"/>
    <n v="320.32"/>
  </r>
  <r>
    <s v="AD01-9361"/>
    <x v="1"/>
    <s v="Dec"/>
    <x v="0"/>
    <x v="0"/>
    <s v="Order assembled"/>
    <x v="0"/>
    <x v="0"/>
    <x v="0"/>
    <n v="250"/>
    <n v="357.5"/>
  </r>
  <r>
    <s v="AD01-9364"/>
    <x v="1"/>
    <s v="Dec"/>
    <x v="0"/>
    <x v="0"/>
    <s v="Order assembled"/>
    <x v="0"/>
    <x v="0"/>
    <x v="0"/>
    <n v="244"/>
    <n v="348.92"/>
  </r>
  <r>
    <s v="AD01-9364"/>
    <x v="1"/>
    <s v="Dec"/>
    <x v="0"/>
    <x v="0"/>
    <s v="Order assembled"/>
    <x v="0"/>
    <x v="0"/>
    <x v="0"/>
    <n v="238"/>
    <n v="340.34000000000003"/>
  </r>
  <r>
    <s v="AD01-9362"/>
    <x v="1"/>
    <s v="Dec"/>
    <x v="0"/>
    <x v="0"/>
    <s v="Order assembled"/>
    <x v="0"/>
    <x v="0"/>
    <x v="0"/>
    <n v="220"/>
    <n v="526.24"/>
  </r>
  <r>
    <s v="AD01-9362"/>
    <x v="1"/>
    <s v="Dec"/>
    <x v="0"/>
    <x v="0"/>
    <s v="Order assembled"/>
    <x v="0"/>
    <x v="0"/>
    <x v="0"/>
    <n v="268"/>
    <n v="526.24"/>
  </r>
  <r>
    <s v="AD01-9362"/>
    <x v="1"/>
    <s v="Dec"/>
    <x v="0"/>
    <x v="0"/>
    <s v="Order assembled"/>
    <x v="0"/>
    <x v="0"/>
    <x v="0"/>
    <n v="1007"/>
    <n v="1440.01"/>
  </r>
  <r>
    <s v="AD01-9362"/>
    <x v="1"/>
    <s v="Dec"/>
    <x v="0"/>
    <x v="0"/>
    <s v="Order assembled"/>
    <x v="0"/>
    <x v="0"/>
    <x v="0"/>
    <n v="1040"/>
    <n v="1487.2"/>
  </r>
  <r>
    <s v="AD01-9361"/>
    <x v="1"/>
    <s v="Dec"/>
    <x v="0"/>
    <x v="0"/>
    <s v="Order assembled"/>
    <x v="0"/>
    <x v="0"/>
    <x v="0"/>
    <n v="225"/>
    <n v="321.75"/>
  </r>
  <r>
    <s v="AD01-9361"/>
    <x v="1"/>
    <s v="Dec"/>
    <x v="0"/>
    <x v="0"/>
    <s v="Order assembled"/>
    <x v="0"/>
    <x v="0"/>
    <x v="0"/>
    <n v="267"/>
    <n v="381.81"/>
  </r>
  <r>
    <s v="AD01-9362"/>
    <x v="1"/>
    <s v="Dec"/>
    <x v="0"/>
    <x v="0"/>
    <s v="Order assembled"/>
    <x v="0"/>
    <x v="0"/>
    <x v="0"/>
    <n v="247"/>
    <n v="353.21"/>
  </r>
  <r>
    <s v="AD01-9362"/>
    <x v="1"/>
    <s v="Dec"/>
    <x v="0"/>
    <x v="0"/>
    <s v="Order assembled"/>
    <x v="0"/>
    <x v="0"/>
    <x v="0"/>
    <n v="241"/>
    <n v="344.63"/>
  </r>
  <r>
    <s v="AD01-9362"/>
    <x v="1"/>
    <s v="Dec"/>
    <x v="0"/>
    <x v="0"/>
    <s v="Order assembled"/>
    <x v="0"/>
    <x v="0"/>
    <x v="0"/>
    <n v="235"/>
    <n v="336.05"/>
  </r>
  <r>
    <s v="AD01-9364"/>
    <x v="1"/>
    <s v="Dec"/>
    <x v="0"/>
    <x v="0"/>
    <s v="Order assembled"/>
    <x v="0"/>
    <x v="0"/>
    <x v="0"/>
    <n v="788"/>
    <n v="1126.8399999999999"/>
  </r>
  <r>
    <s v="AD01-9362"/>
    <x v="1"/>
    <s v="Dec"/>
    <x v="0"/>
    <x v="0"/>
    <s v="Order assembled"/>
    <x v="0"/>
    <x v="0"/>
    <x v="0"/>
    <n v="821"/>
    <n v="1174.03"/>
  </r>
  <r>
    <s v="AD01-9361"/>
    <x v="1"/>
    <s v="Dec"/>
    <x v="0"/>
    <x v="0"/>
    <s v="Order assembled"/>
    <x v="0"/>
    <x v="0"/>
    <x v="1"/>
    <n v="245"/>
    <n v="350.35"/>
  </r>
  <r>
    <s v="AD01-9361"/>
    <x v="1"/>
    <s v="Dec"/>
    <x v="0"/>
    <x v="0"/>
    <s v="Order assembled"/>
    <x v="0"/>
    <x v="0"/>
    <x v="1"/>
    <n v="239"/>
    <n v="341.77"/>
  </r>
  <r>
    <s v="AD01-9364"/>
    <x v="1"/>
    <s v="Dec"/>
    <x v="0"/>
    <x v="0"/>
    <s v="Order assembled"/>
    <x v="0"/>
    <x v="0"/>
    <x v="0"/>
    <n v="221"/>
    <n v="316.02999999999997"/>
  </r>
  <r>
    <s v="AD01-9361"/>
    <x v="1"/>
    <s v="Dec"/>
    <x v="0"/>
    <x v="0"/>
    <s v="Order assembled"/>
    <x v="0"/>
    <x v="0"/>
    <x v="0"/>
    <n v="269"/>
    <n v="384.67"/>
  </r>
  <r>
    <s v="AD01-9361"/>
    <x v="1"/>
    <s v="Feb"/>
    <x v="0"/>
    <x v="0"/>
    <s v="Order assembled"/>
    <x v="0"/>
    <x v="0"/>
    <x v="0"/>
    <n v="278"/>
    <n v="397.53999999999996"/>
  </r>
  <r>
    <s v="AD01-9362"/>
    <x v="1"/>
    <s v="Feb"/>
    <x v="0"/>
    <x v="0"/>
    <s v="Order assembled"/>
    <x v="0"/>
    <x v="0"/>
    <x v="0"/>
    <n v="320"/>
    <n v="457.6"/>
  </r>
  <r>
    <s v="AD01-9362"/>
    <x v="1"/>
    <s v="Feb"/>
    <x v="0"/>
    <x v="0"/>
    <s v="Order assembled"/>
    <x v="0"/>
    <x v="0"/>
    <x v="0"/>
    <n v="248"/>
    <n v="354.64"/>
  </r>
  <r>
    <s v="AD01-9361"/>
    <x v="1"/>
    <s v="Feb"/>
    <x v="0"/>
    <x v="0"/>
    <s v="Order assembled"/>
    <x v="0"/>
    <x v="0"/>
    <x v="0"/>
    <n v="274"/>
    <n v="526.24"/>
  </r>
  <r>
    <s v="AD01-9362"/>
    <x v="1"/>
    <s v="Feb"/>
    <x v="0"/>
    <x v="0"/>
    <s v="Order assembled"/>
    <x v="0"/>
    <x v="0"/>
    <x v="0"/>
    <n v="322"/>
    <n v="526.24"/>
  </r>
  <r>
    <s v="AD01-9362"/>
    <x v="1"/>
    <s v="Feb"/>
    <x v="0"/>
    <x v="0"/>
    <s v="Order assembled"/>
    <x v="0"/>
    <x v="0"/>
    <x v="0"/>
    <n v="250"/>
    <n v="526.24"/>
  </r>
  <r>
    <s v="AD01-9365"/>
    <x v="1"/>
    <s v="Feb"/>
    <x v="0"/>
    <x v="0"/>
    <s v="Order assembled"/>
    <x v="0"/>
    <x v="0"/>
    <x v="0"/>
    <n v="998"/>
    <n v="1427.1399999999999"/>
  </r>
  <r>
    <s v="AD01-9362"/>
    <x v="1"/>
    <s v="Feb"/>
    <x v="0"/>
    <x v="0"/>
    <s v="Order assembled"/>
    <x v="0"/>
    <x v="0"/>
    <x v="0"/>
    <n v="1031"/>
    <n v="1474.33"/>
  </r>
  <r>
    <s v="AD01-9361"/>
    <x v="1"/>
    <s v="Feb"/>
    <x v="0"/>
    <x v="0"/>
    <s v="Order assembled"/>
    <x v="0"/>
    <x v="0"/>
    <x v="0"/>
    <n v="321"/>
    <n v="459.03"/>
  </r>
  <r>
    <s v="AD01-9365"/>
    <x v="1"/>
    <s v="Feb"/>
    <x v="0"/>
    <x v="0"/>
    <s v="Order assembled"/>
    <x v="0"/>
    <x v="0"/>
    <x v="0"/>
    <n v="249"/>
    <n v="356.07"/>
  </r>
  <r>
    <s v="AD01-9362"/>
    <x v="1"/>
    <s v="Feb"/>
    <x v="0"/>
    <x v="0"/>
    <s v="Order assembled"/>
    <x v="0"/>
    <x v="0"/>
    <x v="0"/>
    <n v="779"/>
    <n v="1113.97"/>
  </r>
  <r>
    <s v="AD01-9361"/>
    <x v="1"/>
    <s v="Feb"/>
    <x v="0"/>
    <x v="0"/>
    <s v="Order assembled"/>
    <x v="0"/>
    <x v="0"/>
    <x v="0"/>
    <n v="812"/>
    <n v="1161.1599999999999"/>
  </r>
  <r>
    <s v="AD01-9361"/>
    <x v="1"/>
    <s v="Feb"/>
    <x v="0"/>
    <x v="0"/>
    <s v="Order assembled"/>
    <x v="0"/>
    <x v="0"/>
    <x v="0"/>
    <n v="866"/>
    <n v="1238.3800000000001"/>
  </r>
  <r>
    <s v="AD01-9362"/>
    <x v="1"/>
    <s v="Feb"/>
    <x v="0"/>
    <x v="0"/>
    <s v="Order assembled"/>
    <x v="0"/>
    <x v="0"/>
    <x v="0"/>
    <n v="275"/>
    <n v="393.25"/>
  </r>
  <r>
    <s v="AD01-9362"/>
    <x v="1"/>
    <s v="Feb"/>
    <x v="0"/>
    <x v="0"/>
    <s v="Order assembled"/>
    <x v="0"/>
    <x v="0"/>
    <x v="0"/>
    <n v="323"/>
    <n v="461.89"/>
  </r>
  <r>
    <s v="AD01-9361"/>
    <x v="1"/>
    <s v="Feb"/>
    <x v="0"/>
    <x v="0"/>
    <s v="Order assembled"/>
    <x v="0"/>
    <x v="0"/>
    <x v="0"/>
    <n v="251"/>
    <n v="358.93"/>
  </r>
  <r>
    <s v="AD01-9361"/>
    <x v="1"/>
    <s v="Jan"/>
    <x v="0"/>
    <x v="0"/>
    <s v="Order assembled"/>
    <x v="0"/>
    <x v="0"/>
    <x v="0"/>
    <n v="326"/>
    <n v="466.18"/>
  </r>
  <r>
    <s v="AD01-9361"/>
    <x v="1"/>
    <s v="Jan"/>
    <x v="0"/>
    <x v="0"/>
    <s v="Order assembled"/>
    <x v="0"/>
    <x v="0"/>
    <x v="0"/>
    <n v="254"/>
    <n v="363.22"/>
  </r>
  <r>
    <s v="AD01-9364"/>
    <x v="1"/>
    <s v="Jan"/>
    <x v="0"/>
    <x v="0"/>
    <s v="Order assembled"/>
    <x v="0"/>
    <x v="0"/>
    <x v="0"/>
    <n v="280"/>
    <n v="526.24"/>
  </r>
  <r>
    <s v="AD01-9362"/>
    <x v="1"/>
    <s v="Jan"/>
    <x v="0"/>
    <x v="0"/>
    <s v="Order assembled"/>
    <x v="0"/>
    <x v="0"/>
    <x v="0"/>
    <n v="328"/>
    <n v="526.24"/>
  </r>
  <r>
    <s v="AD01-9364"/>
    <x v="1"/>
    <s v="Jan"/>
    <x v="0"/>
    <x v="0"/>
    <s v="Order assembled"/>
    <x v="0"/>
    <x v="0"/>
    <x v="0"/>
    <n v="256"/>
    <n v="526.24"/>
  </r>
  <r>
    <s v="AD01-9364"/>
    <x v="1"/>
    <s v="Jan"/>
    <x v="0"/>
    <x v="0"/>
    <s v="Order assembled"/>
    <x v="0"/>
    <x v="0"/>
    <x v="0"/>
    <n v="997"/>
    <n v="1425.71"/>
  </r>
  <r>
    <s v="AD01-9363"/>
    <x v="1"/>
    <s v="Jan"/>
    <x v="0"/>
    <x v="0"/>
    <s v="Order assembled"/>
    <x v="0"/>
    <x v="0"/>
    <x v="0"/>
    <n v="1030"/>
    <n v="1472.9"/>
  </r>
  <r>
    <s v="AD01-9363"/>
    <x v="1"/>
    <s v="Jan"/>
    <x v="0"/>
    <x v="0"/>
    <s v="Order assembled"/>
    <x v="0"/>
    <x v="0"/>
    <x v="0"/>
    <n v="252"/>
    <n v="360.36"/>
  </r>
  <r>
    <s v="AD01-9363"/>
    <x v="1"/>
    <s v="Jan"/>
    <x v="0"/>
    <x v="0"/>
    <s v="Order assembled"/>
    <x v="0"/>
    <x v="0"/>
    <x v="0"/>
    <n v="279"/>
    <n v="398.97"/>
  </r>
  <r>
    <s v="AD01-9362"/>
    <x v="1"/>
    <s v="Jan"/>
    <x v="0"/>
    <x v="0"/>
    <s v="Order assembled"/>
    <x v="0"/>
    <x v="0"/>
    <x v="0"/>
    <n v="327"/>
    <n v="467.61"/>
  </r>
  <r>
    <s v="AD01-9364"/>
    <x v="1"/>
    <s v="Jan"/>
    <x v="0"/>
    <x v="0"/>
    <s v="Order assembled"/>
    <x v="0"/>
    <x v="0"/>
    <x v="0"/>
    <n v="255"/>
    <n v="364.65"/>
  </r>
  <r>
    <s v="AD01-9364"/>
    <x v="1"/>
    <s v="Jan"/>
    <x v="0"/>
    <x v="0"/>
    <s v="Order assembled"/>
    <x v="0"/>
    <x v="0"/>
    <x v="0"/>
    <n v="778"/>
    <n v="1112.54"/>
  </r>
  <r>
    <s v="AD01-9364"/>
    <x v="1"/>
    <s v="Jan"/>
    <x v="0"/>
    <x v="0"/>
    <s v="Order assembled"/>
    <x v="0"/>
    <x v="0"/>
    <x v="0"/>
    <n v="865"/>
    <n v="1236.95"/>
  </r>
  <r>
    <s v="AD01-9361"/>
    <x v="1"/>
    <s v="Jan"/>
    <x v="0"/>
    <x v="0"/>
    <s v="Order assembled"/>
    <x v="0"/>
    <x v="0"/>
    <x v="0"/>
    <n v="281"/>
    <n v="401.83"/>
  </r>
  <r>
    <s v="AD01-9364"/>
    <x v="1"/>
    <s v="Jan"/>
    <x v="0"/>
    <x v="0"/>
    <s v="Order assembled"/>
    <x v="0"/>
    <x v="0"/>
    <x v="0"/>
    <n v="329"/>
    <n v="470.47"/>
  </r>
  <r>
    <s v="AD01-9361"/>
    <x v="1"/>
    <s v="Jul"/>
    <x v="0"/>
    <x v="0"/>
    <s v="Order assembled"/>
    <x v="0"/>
    <x v="0"/>
    <x v="0"/>
    <n v="248"/>
    <n v="354.64"/>
  </r>
  <r>
    <s v="AD01-9361"/>
    <x v="1"/>
    <s v="Jul"/>
    <x v="0"/>
    <x v="0"/>
    <s v="Order assembled"/>
    <x v="0"/>
    <x v="0"/>
    <x v="0"/>
    <n v="296"/>
    <n v="423.28"/>
  </r>
  <r>
    <s v="AD01-9361"/>
    <x v="1"/>
    <s v="Jul"/>
    <x v="0"/>
    <x v="0"/>
    <s v="Order assembled"/>
    <x v="0"/>
    <x v="0"/>
    <x v="0"/>
    <n v="224"/>
    <n v="320.32"/>
  </r>
  <r>
    <s v="AD01-9361"/>
    <x v="1"/>
    <s v="Jul"/>
    <x v="0"/>
    <x v="0"/>
    <s v="Order assembled"/>
    <x v="0"/>
    <x v="0"/>
    <x v="0"/>
    <n v="250"/>
    <n v="526.24"/>
  </r>
  <r>
    <s v="AD01-9361"/>
    <x v="1"/>
    <s v="Jul"/>
    <x v="0"/>
    <x v="0"/>
    <s v="Order assembled"/>
    <x v="0"/>
    <x v="0"/>
    <x v="0"/>
    <n v="298"/>
    <n v="526.24"/>
  </r>
  <r>
    <s v="AD01-9362"/>
    <x v="1"/>
    <s v="Jul"/>
    <x v="0"/>
    <x v="0"/>
    <s v="Order assembled"/>
    <x v="0"/>
    <x v="0"/>
    <x v="0"/>
    <n v="220"/>
    <n v="526.24"/>
  </r>
  <r>
    <s v="AD01-9365"/>
    <x v="1"/>
    <s v="Jul"/>
    <x v="0"/>
    <x v="0"/>
    <s v="Order assembled"/>
    <x v="0"/>
    <x v="0"/>
    <x v="0"/>
    <n v="1036"/>
    <n v="1481.48"/>
  </r>
  <r>
    <s v="AD01-9363"/>
    <x v="1"/>
    <s v="Jul"/>
    <x v="0"/>
    <x v="0"/>
    <s v="Order assembled"/>
    <x v="0"/>
    <x v="0"/>
    <x v="0"/>
    <n v="222"/>
    <n v="317.45999999999998"/>
  </r>
  <r>
    <s v="AD01-9363"/>
    <x v="1"/>
    <s v="Jul"/>
    <x v="0"/>
    <x v="0"/>
    <s v="Order assembled"/>
    <x v="0"/>
    <x v="0"/>
    <x v="0"/>
    <n v="249"/>
    <n v="356.07"/>
  </r>
  <r>
    <s v="AD01-9361"/>
    <x v="1"/>
    <s v="Jul"/>
    <x v="0"/>
    <x v="0"/>
    <s v="Order assembled"/>
    <x v="0"/>
    <x v="0"/>
    <x v="0"/>
    <n v="297"/>
    <n v="424.71"/>
  </r>
  <r>
    <s v="AD01-9362"/>
    <x v="1"/>
    <s v="Jul"/>
    <x v="0"/>
    <x v="0"/>
    <s v="Order assembled"/>
    <x v="0"/>
    <x v="0"/>
    <x v="0"/>
    <n v="784"/>
    <n v="1121.1199999999999"/>
  </r>
  <r>
    <s v="AD01-9361"/>
    <x v="1"/>
    <s v="Jul"/>
    <x v="0"/>
    <x v="0"/>
    <s v="Order assembled"/>
    <x v="0"/>
    <x v="0"/>
    <x v="0"/>
    <n v="817"/>
    <n v="1168.31"/>
  </r>
  <r>
    <s v="AD01-9361"/>
    <x v="1"/>
    <s v="Jul"/>
    <x v="0"/>
    <x v="0"/>
    <s v="Order assembled"/>
    <x v="0"/>
    <x v="0"/>
    <x v="0"/>
    <n v="870"/>
    <n v="1244.0999999999999"/>
  </r>
  <r>
    <s v="AD01-9361"/>
    <x v="1"/>
    <s v="Jul"/>
    <x v="0"/>
    <x v="0"/>
    <s v="Order assembled"/>
    <x v="0"/>
    <x v="0"/>
    <x v="0"/>
    <n v="251"/>
    <n v="358.93"/>
  </r>
  <r>
    <s v="AD01-9361"/>
    <x v="1"/>
    <s v="Jul"/>
    <x v="0"/>
    <x v="0"/>
    <s v="Order assembled"/>
    <x v="0"/>
    <x v="0"/>
    <x v="0"/>
    <n v="221"/>
    <n v="316.02999999999997"/>
  </r>
  <r>
    <s v="AD01-9362"/>
    <x v="1"/>
    <s v="Jun"/>
    <x v="0"/>
    <x v="0"/>
    <s v="Order assembled"/>
    <x v="0"/>
    <x v="0"/>
    <x v="0"/>
    <n v="254"/>
    <n v="363.22"/>
  </r>
  <r>
    <s v="AD01-9361"/>
    <x v="1"/>
    <s v="Jun"/>
    <x v="0"/>
    <x v="0"/>
    <s v="Order assembled"/>
    <x v="0"/>
    <x v="0"/>
    <x v="0"/>
    <n v="302"/>
    <n v="431.86"/>
  </r>
  <r>
    <s v="AD01-9365"/>
    <x v="1"/>
    <s v="Jun"/>
    <x v="0"/>
    <x v="0"/>
    <s v="Order assembled"/>
    <x v="0"/>
    <x v="0"/>
    <x v="0"/>
    <n v="230"/>
    <n v="328.9"/>
  </r>
  <r>
    <s v="AD01-9362"/>
    <x v="1"/>
    <s v="Jun"/>
    <x v="0"/>
    <x v="0"/>
    <s v="Order assembled"/>
    <x v="0"/>
    <x v="0"/>
    <x v="0"/>
    <n v="256"/>
    <n v="526.24"/>
  </r>
  <r>
    <s v="AD01-9361"/>
    <x v="1"/>
    <s v="Jun"/>
    <x v="0"/>
    <x v="0"/>
    <s v="Order assembled"/>
    <x v="0"/>
    <x v="0"/>
    <x v="0"/>
    <n v="226"/>
    <n v="526.24"/>
  </r>
  <r>
    <s v="AD01-9361"/>
    <x v="1"/>
    <s v="Jun"/>
    <x v="0"/>
    <x v="0"/>
    <s v="Order assembled"/>
    <x v="0"/>
    <x v="0"/>
    <x v="0"/>
    <n v="1002"/>
    <n v="1432.8600000000001"/>
  </r>
  <r>
    <s v="AD01-9364"/>
    <x v="1"/>
    <s v="Jun"/>
    <x v="0"/>
    <x v="0"/>
    <s v="Order assembled"/>
    <x v="0"/>
    <x v="0"/>
    <x v="0"/>
    <n v="1035"/>
    <n v="1480.05"/>
  </r>
  <r>
    <s v="AD01-9361"/>
    <x v="1"/>
    <s v="Jun"/>
    <x v="0"/>
    <x v="0"/>
    <s v="Order assembled"/>
    <x v="0"/>
    <x v="0"/>
    <x v="0"/>
    <n v="228"/>
    <n v="326.03999999999996"/>
  </r>
  <r>
    <s v="AD01-9361"/>
    <x v="1"/>
    <s v="Jun"/>
    <x v="0"/>
    <x v="0"/>
    <s v="Order assembled"/>
    <x v="0"/>
    <x v="0"/>
    <x v="0"/>
    <n v="255"/>
    <n v="364.65"/>
  </r>
  <r>
    <s v="AD01-9362"/>
    <x v="1"/>
    <s v="Jun"/>
    <x v="0"/>
    <x v="0"/>
    <s v="Order assembled"/>
    <x v="0"/>
    <x v="0"/>
    <x v="0"/>
    <n v="303"/>
    <n v="433.28999999999996"/>
  </r>
  <r>
    <s v="AD01-9361"/>
    <x v="1"/>
    <s v="Jun"/>
    <x v="0"/>
    <x v="0"/>
    <s v="Order assembled"/>
    <x v="0"/>
    <x v="0"/>
    <x v="0"/>
    <n v="225"/>
    <n v="321.75"/>
  </r>
  <r>
    <s v="AD01-9361"/>
    <x v="1"/>
    <s v="Jun"/>
    <x v="0"/>
    <x v="0"/>
    <s v="Order assembled"/>
    <x v="0"/>
    <x v="0"/>
    <x v="0"/>
    <n v="783"/>
    <n v="1119.69"/>
  </r>
  <r>
    <s v="AD01-9364"/>
    <x v="1"/>
    <s v="Jun"/>
    <x v="0"/>
    <x v="0"/>
    <s v="Order assembled"/>
    <x v="0"/>
    <x v="0"/>
    <x v="0"/>
    <n v="816"/>
    <n v="1166.8800000000001"/>
  </r>
  <r>
    <s v="AD01-9362"/>
    <x v="1"/>
    <s v="Jun"/>
    <x v="0"/>
    <x v="0"/>
    <s v="Order assembled"/>
    <x v="0"/>
    <x v="0"/>
    <x v="0"/>
    <n v="869"/>
    <n v="1242.67"/>
  </r>
  <r>
    <s v="AD01-9365"/>
    <x v="1"/>
    <s v="Jun"/>
    <x v="0"/>
    <x v="0"/>
    <s v="Order assembled"/>
    <x v="0"/>
    <x v="0"/>
    <x v="0"/>
    <n v="257"/>
    <n v="367.51"/>
  </r>
  <r>
    <s v="AD01-9362"/>
    <x v="1"/>
    <s v="Jun"/>
    <x v="0"/>
    <x v="0"/>
    <s v="Order assembled"/>
    <x v="0"/>
    <x v="0"/>
    <x v="0"/>
    <n v="299"/>
    <n v="427.57"/>
  </r>
  <r>
    <s v="AD01-9362"/>
    <x v="1"/>
    <s v="Jun"/>
    <x v="0"/>
    <x v="0"/>
    <s v="Order assembled"/>
    <x v="0"/>
    <x v="0"/>
    <x v="0"/>
    <n v="227"/>
    <n v="324.61"/>
  </r>
  <r>
    <s v="AD01-9361"/>
    <x v="1"/>
    <s v="Mar"/>
    <x v="0"/>
    <x v="0"/>
    <s v="Order assembled"/>
    <x v="0"/>
    <x v="0"/>
    <x v="0"/>
    <n v="272"/>
    <n v="388.96"/>
  </r>
  <r>
    <s v="AD01-9362"/>
    <x v="1"/>
    <s v="Mar"/>
    <x v="0"/>
    <x v="0"/>
    <s v="Order assembled"/>
    <x v="0"/>
    <x v="0"/>
    <x v="0"/>
    <n v="242"/>
    <n v="346.06"/>
  </r>
  <r>
    <s v="AD01-9362"/>
    <x v="1"/>
    <s v="Mar"/>
    <x v="0"/>
    <x v="0"/>
    <s v="Order assembled"/>
    <x v="0"/>
    <x v="0"/>
    <x v="0"/>
    <n v="268"/>
    <n v="526.24"/>
  </r>
  <r>
    <s v="AD01-9362"/>
    <x v="1"/>
    <s v="Mar"/>
    <x v="0"/>
    <x v="0"/>
    <s v="Order assembled"/>
    <x v="0"/>
    <x v="0"/>
    <x v="0"/>
    <n v="316"/>
    <n v="526.24"/>
  </r>
  <r>
    <s v="AD01-9361"/>
    <x v="1"/>
    <s v="Mar"/>
    <x v="0"/>
    <x v="0"/>
    <s v="Order assembled"/>
    <x v="0"/>
    <x v="0"/>
    <x v="0"/>
    <n v="244"/>
    <n v="526.24"/>
  </r>
  <r>
    <s v="AD01-9362"/>
    <x v="1"/>
    <s v="Mar"/>
    <x v="0"/>
    <x v="0"/>
    <s v="Order assembled"/>
    <x v="0"/>
    <x v="0"/>
    <x v="0"/>
    <n v="999"/>
    <n v="1428.57"/>
  </r>
  <r>
    <s v="AD01-9364"/>
    <x v="1"/>
    <s v="Mar"/>
    <x v="0"/>
    <x v="0"/>
    <s v="Order assembled"/>
    <x v="0"/>
    <x v="0"/>
    <x v="0"/>
    <n v="1032"/>
    <n v="1475.76"/>
  </r>
  <r>
    <s v="AD01-9362"/>
    <x v="1"/>
    <s v="Mar"/>
    <x v="0"/>
    <x v="0"/>
    <s v="Order assembled"/>
    <x v="0"/>
    <x v="0"/>
    <x v="0"/>
    <n v="246"/>
    <n v="351.78"/>
  </r>
  <r>
    <s v="AD01-9362"/>
    <x v="1"/>
    <s v="Mar"/>
    <x v="0"/>
    <x v="0"/>
    <s v="Order assembled"/>
    <x v="0"/>
    <x v="0"/>
    <x v="0"/>
    <n v="273"/>
    <n v="390.39"/>
  </r>
  <r>
    <s v="AD01-9364"/>
    <x v="1"/>
    <s v="Mar"/>
    <x v="0"/>
    <x v="0"/>
    <s v="Order assembled"/>
    <x v="0"/>
    <x v="0"/>
    <x v="0"/>
    <n v="315"/>
    <n v="450.45"/>
  </r>
  <r>
    <s v="AD01-9362"/>
    <x v="1"/>
    <s v="Mar"/>
    <x v="0"/>
    <x v="0"/>
    <s v="Order assembled"/>
    <x v="0"/>
    <x v="0"/>
    <x v="0"/>
    <n v="243"/>
    <n v="347.49"/>
  </r>
  <r>
    <s v="AD01-9361"/>
    <x v="1"/>
    <s v="Mar"/>
    <x v="0"/>
    <x v="0"/>
    <s v="Order assembled"/>
    <x v="0"/>
    <x v="0"/>
    <x v="0"/>
    <n v="780"/>
    <n v="1115.4000000000001"/>
  </r>
  <r>
    <s v="AD01-9364"/>
    <x v="1"/>
    <s v="Mar"/>
    <x v="0"/>
    <x v="0"/>
    <s v="Order assembled"/>
    <x v="0"/>
    <x v="0"/>
    <x v="0"/>
    <n v="813"/>
    <n v="1162.5899999999999"/>
  </r>
  <r>
    <s v="AD01-9362"/>
    <x v="1"/>
    <s v="Mar"/>
    <x v="0"/>
    <x v="0"/>
    <s v="Order assembled"/>
    <x v="0"/>
    <x v="0"/>
    <x v="0"/>
    <n v="867"/>
    <n v="1239.81"/>
  </r>
  <r>
    <s v="AD01-9362"/>
    <x v="1"/>
    <s v="Mar"/>
    <x v="0"/>
    <x v="0"/>
    <s v="Order assembled"/>
    <x v="0"/>
    <x v="0"/>
    <x v="0"/>
    <n v="269"/>
    <n v="384.67"/>
  </r>
  <r>
    <s v="AD01-9361"/>
    <x v="1"/>
    <s v="Mar"/>
    <x v="0"/>
    <x v="0"/>
    <s v="Order assembled"/>
    <x v="0"/>
    <x v="0"/>
    <x v="0"/>
    <n v="317"/>
    <n v="453.31"/>
  </r>
  <r>
    <s v="AD01-9361"/>
    <x v="1"/>
    <s v="Mar"/>
    <x v="0"/>
    <x v="0"/>
    <s v="Order assembled"/>
    <x v="0"/>
    <x v="0"/>
    <x v="0"/>
    <n v="245"/>
    <n v="350.35"/>
  </r>
  <r>
    <s v="AD01-9361"/>
    <x v="1"/>
    <s v="May"/>
    <x v="0"/>
    <x v="0"/>
    <s v="Order assembled"/>
    <x v="0"/>
    <x v="0"/>
    <x v="0"/>
    <n v="260"/>
    <n v="371.8"/>
  </r>
  <r>
    <s v="AD01-9361"/>
    <x v="1"/>
    <s v="May"/>
    <x v="0"/>
    <x v="0"/>
    <s v="Order assembled"/>
    <x v="0"/>
    <x v="0"/>
    <x v="0"/>
    <n v="308"/>
    <n v="440.44"/>
  </r>
  <r>
    <s v="AD01-9364"/>
    <x v="1"/>
    <s v="May"/>
    <x v="0"/>
    <x v="0"/>
    <s v="Order assembled"/>
    <x v="0"/>
    <x v="0"/>
    <x v="0"/>
    <n v="262"/>
    <n v="526.24"/>
  </r>
  <r>
    <s v="AD01-9363"/>
    <x v="1"/>
    <s v="May"/>
    <x v="0"/>
    <x v="0"/>
    <s v="Order assembled"/>
    <x v="0"/>
    <x v="0"/>
    <x v="0"/>
    <n v="304"/>
    <n v="526.24"/>
  </r>
  <r>
    <s v="AD01-9362"/>
    <x v="1"/>
    <s v="May"/>
    <x v="0"/>
    <x v="0"/>
    <s v="Order assembled"/>
    <x v="0"/>
    <x v="0"/>
    <x v="0"/>
    <n v="232"/>
    <n v="526.24"/>
  </r>
  <r>
    <s v="AD01-9362"/>
    <x v="1"/>
    <s v="May"/>
    <x v="0"/>
    <x v="0"/>
    <s v="Order assembled"/>
    <x v="0"/>
    <x v="0"/>
    <x v="0"/>
    <n v="1001"/>
    <n v="1431.43"/>
  </r>
  <r>
    <s v="AD01-9362"/>
    <x v="1"/>
    <s v="May"/>
    <x v="0"/>
    <x v="0"/>
    <s v="Order assembled"/>
    <x v="0"/>
    <x v="0"/>
    <x v="0"/>
    <n v="1034"/>
    <n v="1478.62"/>
  </r>
  <r>
    <s v="AD01-9361"/>
    <x v="1"/>
    <s v="May"/>
    <x v="0"/>
    <x v="0"/>
    <s v="Order assembled"/>
    <x v="0"/>
    <x v="0"/>
    <x v="0"/>
    <n v="234"/>
    <n v="334.62"/>
  </r>
  <r>
    <s v="AD01-9361"/>
    <x v="1"/>
    <s v="May"/>
    <x v="0"/>
    <x v="0"/>
    <s v="Order assembled"/>
    <x v="0"/>
    <x v="0"/>
    <x v="0"/>
    <n v="261"/>
    <n v="373.23"/>
  </r>
  <r>
    <s v="AD01-9364"/>
    <x v="1"/>
    <s v="May"/>
    <x v="0"/>
    <x v="0"/>
    <s v="Order assembled"/>
    <x v="0"/>
    <x v="0"/>
    <x v="0"/>
    <n v="309"/>
    <n v="441.87"/>
  </r>
  <r>
    <s v="AD01-9362"/>
    <x v="1"/>
    <s v="May"/>
    <x v="0"/>
    <x v="0"/>
    <s v="Order assembled"/>
    <x v="0"/>
    <x v="0"/>
    <x v="0"/>
    <n v="231"/>
    <n v="330.33"/>
  </r>
  <r>
    <s v="AD01-9362"/>
    <x v="1"/>
    <s v="May"/>
    <x v="0"/>
    <x v="0"/>
    <s v="Order assembled"/>
    <x v="0"/>
    <x v="0"/>
    <x v="0"/>
    <n v="782"/>
    <n v="1118.26"/>
  </r>
  <r>
    <s v="AD01-9361"/>
    <x v="1"/>
    <s v="May"/>
    <x v="0"/>
    <x v="0"/>
    <s v="Order assembled"/>
    <x v="0"/>
    <x v="0"/>
    <x v="0"/>
    <n v="815"/>
    <n v="1165.45"/>
  </r>
  <r>
    <s v="AD01-9364"/>
    <x v="1"/>
    <s v="May"/>
    <x v="0"/>
    <x v="0"/>
    <s v="Order assembled"/>
    <x v="0"/>
    <x v="0"/>
    <x v="0"/>
    <n v="868"/>
    <n v="1241.24"/>
  </r>
  <r>
    <s v="AD01-9361"/>
    <x v="1"/>
    <s v="May"/>
    <x v="0"/>
    <x v="0"/>
    <s v="Order assembled"/>
    <x v="0"/>
    <x v="0"/>
    <x v="0"/>
    <n v="305"/>
    <n v="436.15"/>
  </r>
  <r>
    <s v="AD01-9361"/>
    <x v="1"/>
    <s v="May"/>
    <x v="0"/>
    <x v="0"/>
    <s v="Order assembled"/>
    <x v="0"/>
    <x v="0"/>
    <x v="0"/>
    <n v="233"/>
    <n v="333.19"/>
  </r>
  <r>
    <s v="AD01-9362"/>
    <x v="1"/>
    <s v="Nov"/>
    <x v="1"/>
    <x v="0"/>
    <s v="Order assembled"/>
    <x v="0"/>
    <x v="0"/>
    <x v="1"/>
    <n v="266"/>
    <n v="380.38"/>
  </r>
  <r>
    <s v="AD01-9362"/>
    <x v="1"/>
    <s v="Nov"/>
    <x v="1"/>
    <x v="0"/>
    <s v="Order assembled"/>
    <x v="0"/>
    <x v="0"/>
    <x v="1"/>
    <n v="260"/>
    <n v="371.8"/>
  </r>
  <r>
    <s v="AD01-9361"/>
    <x v="1"/>
    <s v="Nov"/>
    <x v="1"/>
    <x v="0"/>
    <s v="Order assembled"/>
    <x v="0"/>
    <x v="0"/>
    <x v="1"/>
    <n v="254"/>
    <n v="363.22"/>
  </r>
  <r>
    <s v="AD01-9361"/>
    <x v="1"/>
    <s v="Nov"/>
    <x v="1"/>
    <x v="0"/>
    <s v="Order assembled"/>
    <x v="0"/>
    <x v="0"/>
    <x v="0"/>
    <n v="230"/>
    <n v="328.9"/>
  </r>
  <r>
    <s v="AD01-9361"/>
    <x v="1"/>
    <s v="Nov"/>
    <x v="1"/>
    <x v="0"/>
    <s v="Order assembled"/>
    <x v="0"/>
    <x v="0"/>
    <x v="0"/>
    <n v="272"/>
    <n v="388.96"/>
  </r>
  <r>
    <s v="AD01-9364"/>
    <x v="1"/>
    <s v="Nov"/>
    <x v="1"/>
    <x v="0"/>
    <s v="Order assembled"/>
    <x v="0"/>
    <x v="0"/>
    <x v="0"/>
    <n v="262"/>
    <n v="374.65999999999997"/>
  </r>
  <r>
    <s v="AD01-9362"/>
    <x v="1"/>
    <s v="Nov"/>
    <x v="1"/>
    <x v="0"/>
    <s v="Order assembled"/>
    <x v="0"/>
    <x v="0"/>
    <x v="0"/>
    <n v="256"/>
    <n v="366.08"/>
  </r>
  <r>
    <s v="AD01-9364"/>
    <x v="1"/>
    <s v="Nov"/>
    <x v="1"/>
    <x v="0"/>
    <s v="Order assembled"/>
    <x v="0"/>
    <x v="0"/>
    <x v="0"/>
    <n v="226"/>
    <n v="526.24"/>
  </r>
  <r>
    <s v="AD01-9364"/>
    <x v="1"/>
    <s v="Nov"/>
    <x v="1"/>
    <x v="0"/>
    <s v="Order assembled"/>
    <x v="0"/>
    <x v="0"/>
    <x v="0"/>
    <n v="274"/>
    <n v="526.24"/>
  </r>
  <r>
    <s v="AD01-9365"/>
    <x v="1"/>
    <s v="Nov"/>
    <x v="1"/>
    <x v="0"/>
    <s v="Order assembled"/>
    <x v="0"/>
    <x v="0"/>
    <x v="0"/>
    <n v="1006"/>
    <n v="1438.58"/>
  </r>
  <r>
    <s v="AD01-9363"/>
    <x v="1"/>
    <s v="Nov"/>
    <x v="1"/>
    <x v="0"/>
    <s v="Order assembled"/>
    <x v="0"/>
    <x v="0"/>
    <x v="0"/>
    <n v="1039"/>
    <n v="1485.77"/>
  </r>
  <r>
    <s v="AD01-9363"/>
    <x v="1"/>
    <s v="Nov"/>
    <x v="1"/>
    <x v="0"/>
    <s v="Order assembled"/>
    <x v="0"/>
    <x v="0"/>
    <x v="0"/>
    <n v="273"/>
    <n v="390.39"/>
  </r>
  <r>
    <s v="AD01-9361"/>
    <x v="1"/>
    <s v="Nov"/>
    <x v="1"/>
    <x v="0"/>
    <s v="Order assembled"/>
    <x v="0"/>
    <x v="0"/>
    <x v="0"/>
    <n v="265"/>
    <n v="378.95"/>
  </r>
  <r>
    <s v="AD01-9365"/>
    <x v="1"/>
    <s v="Nov"/>
    <x v="1"/>
    <x v="0"/>
    <s v="Order assembled"/>
    <x v="0"/>
    <x v="0"/>
    <x v="0"/>
    <n v="259"/>
    <n v="370.37"/>
  </r>
  <r>
    <s v="AD01-9364"/>
    <x v="1"/>
    <s v="Nov"/>
    <x v="1"/>
    <x v="0"/>
    <s v="Order assembled"/>
    <x v="0"/>
    <x v="0"/>
    <x v="0"/>
    <n v="253"/>
    <n v="361.78999999999996"/>
  </r>
  <r>
    <s v="AD01-9364"/>
    <x v="1"/>
    <s v="Nov"/>
    <x v="1"/>
    <x v="0"/>
    <s v="Order assembled"/>
    <x v="0"/>
    <x v="0"/>
    <x v="0"/>
    <n v="787"/>
    <n v="1125.4099999999999"/>
  </r>
  <r>
    <s v="AD01-9364"/>
    <x v="1"/>
    <s v="Nov"/>
    <x v="1"/>
    <x v="0"/>
    <s v="Order assembled"/>
    <x v="0"/>
    <x v="0"/>
    <x v="0"/>
    <n v="820"/>
    <n v="1172.5999999999999"/>
  </r>
  <r>
    <s v="AD01-9361"/>
    <x v="1"/>
    <s v="Nov"/>
    <x v="1"/>
    <x v="0"/>
    <s v="Order assembled"/>
    <x v="0"/>
    <x v="0"/>
    <x v="1"/>
    <n v="263"/>
    <n v="376.09000000000003"/>
  </r>
  <r>
    <s v="AD01-9362"/>
    <x v="1"/>
    <s v="Nov"/>
    <x v="1"/>
    <x v="0"/>
    <s v="Order assembled"/>
    <x v="0"/>
    <x v="0"/>
    <x v="1"/>
    <n v="257"/>
    <n v="367.51"/>
  </r>
  <r>
    <s v="AD01-9361"/>
    <x v="1"/>
    <s v="Nov"/>
    <x v="1"/>
    <x v="0"/>
    <s v="Order assembled"/>
    <x v="0"/>
    <x v="0"/>
    <x v="1"/>
    <n v="251"/>
    <n v="358.93"/>
  </r>
  <r>
    <s v="AD01-9362"/>
    <x v="1"/>
    <s v="Nov"/>
    <x v="1"/>
    <x v="0"/>
    <s v="Order assembled"/>
    <x v="0"/>
    <x v="0"/>
    <x v="0"/>
    <n v="227"/>
    <n v="324.61"/>
  </r>
  <r>
    <s v="AD01-9362"/>
    <x v="1"/>
    <s v="Nov"/>
    <x v="1"/>
    <x v="0"/>
    <s v="Order assembled"/>
    <x v="0"/>
    <x v="0"/>
    <x v="0"/>
    <n v="275"/>
    <n v="393.25"/>
  </r>
  <r>
    <s v="AD01-9364"/>
    <x v="1"/>
    <s v="Oct"/>
    <x v="1"/>
    <x v="0"/>
    <s v="Order assembled"/>
    <x v="0"/>
    <x v="0"/>
    <x v="1"/>
    <n v="278"/>
    <n v="397.53999999999996"/>
  </r>
  <r>
    <s v="AD01-9362"/>
    <x v="1"/>
    <s v="Oct"/>
    <x v="1"/>
    <x v="0"/>
    <s v="Order assembled"/>
    <x v="0"/>
    <x v="0"/>
    <x v="1"/>
    <n v="272"/>
    <n v="388.96"/>
  </r>
  <r>
    <s v="AD01-9361"/>
    <x v="1"/>
    <s v="Oct"/>
    <x v="1"/>
    <x v="0"/>
    <s v="Order assembled"/>
    <x v="0"/>
    <x v="0"/>
    <x v="0"/>
    <n v="278"/>
    <n v="397.53999999999996"/>
  </r>
  <r>
    <s v="AD01-9362"/>
    <x v="1"/>
    <s v="Oct"/>
    <x v="1"/>
    <x v="0"/>
    <s v="Order assembled"/>
    <x v="0"/>
    <x v="0"/>
    <x v="0"/>
    <n v="280"/>
    <n v="400.4"/>
  </r>
  <r>
    <s v="AD01-9362"/>
    <x v="1"/>
    <s v="Oct"/>
    <x v="1"/>
    <x v="0"/>
    <s v="Order assembled"/>
    <x v="0"/>
    <x v="0"/>
    <x v="0"/>
    <n v="274"/>
    <n v="391.82"/>
  </r>
  <r>
    <s v="AD01-9361"/>
    <x v="1"/>
    <s v="Oct"/>
    <x v="1"/>
    <x v="0"/>
    <s v="Order assembled"/>
    <x v="0"/>
    <x v="0"/>
    <x v="0"/>
    <n v="268"/>
    <n v="383.24"/>
  </r>
  <r>
    <s v="AD01-9364"/>
    <x v="1"/>
    <s v="Oct"/>
    <x v="1"/>
    <x v="0"/>
    <s v="Order assembled"/>
    <x v="0"/>
    <x v="0"/>
    <x v="0"/>
    <n v="232"/>
    <n v="526.24"/>
  </r>
  <r>
    <s v="AD01-9361"/>
    <x v="1"/>
    <s v="Oct"/>
    <x v="1"/>
    <x v="0"/>
    <s v="Order assembled"/>
    <x v="0"/>
    <x v="0"/>
    <x v="0"/>
    <n v="280"/>
    <n v="526.24"/>
  </r>
  <r>
    <s v="AD01-9363"/>
    <x v="1"/>
    <s v="Oct"/>
    <x v="1"/>
    <x v="0"/>
    <s v="Order assembled"/>
    <x v="0"/>
    <x v="0"/>
    <x v="0"/>
    <n v="1005"/>
    <n v="1437.15"/>
  </r>
  <r>
    <s v="AD01-9362"/>
    <x v="1"/>
    <s v="Oct"/>
    <x v="1"/>
    <x v="0"/>
    <s v="Order assembled"/>
    <x v="0"/>
    <x v="0"/>
    <x v="0"/>
    <n v="1038"/>
    <n v="1484.34"/>
  </r>
  <r>
    <s v="AD01-9361"/>
    <x v="1"/>
    <s v="Oct"/>
    <x v="1"/>
    <x v="0"/>
    <s v="Order assembled"/>
    <x v="0"/>
    <x v="0"/>
    <x v="0"/>
    <n v="231"/>
    <n v="330.33"/>
  </r>
  <r>
    <s v="AD01-9362"/>
    <x v="1"/>
    <s v="Oct"/>
    <x v="1"/>
    <x v="0"/>
    <s v="Order assembled"/>
    <x v="0"/>
    <x v="0"/>
    <x v="0"/>
    <n v="279"/>
    <n v="398.97"/>
  </r>
  <r>
    <s v="AD01-9363"/>
    <x v="1"/>
    <s v="Oct"/>
    <x v="1"/>
    <x v="0"/>
    <s v="Order assembled"/>
    <x v="0"/>
    <x v="0"/>
    <x v="0"/>
    <n v="277"/>
    <n v="396.11"/>
  </r>
  <r>
    <s v="AD01-9364"/>
    <x v="1"/>
    <s v="Oct"/>
    <x v="1"/>
    <x v="0"/>
    <s v="Order assembled"/>
    <x v="0"/>
    <x v="0"/>
    <x v="0"/>
    <n v="271"/>
    <n v="387.53"/>
  </r>
  <r>
    <s v="AD01-9362"/>
    <x v="1"/>
    <s v="Oct"/>
    <x v="1"/>
    <x v="0"/>
    <s v="Order assembled"/>
    <x v="0"/>
    <x v="0"/>
    <x v="0"/>
    <n v="786"/>
    <n v="1123.98"/>
  </r>
  <r>
    <s v="AD01-9362"/>
    <x v="1"/>
    <s v="Oct"/>
    <x v="1"/>
    <x v="0"/>
    <s v="Order assembled"/>
    <x v="0"/>
    <x v="0"/>
    <x v="1"/>
    <n v="281"/>
    <n v="401.83"/>
  </r>
  <r>
    <s v="AD01-9362"/>
    <x v="1"/>
    <s v="Oct"/>
    <x v="1"/>
    <x v="0"/>
    <s v="Order assembled"/>
    <x v="0"/>
    <x v="0"/>
    <x v="1"/>
    <n v="275"/>
    <n v="393.25"/>
  </r>
  <r>
    <s v="AD01-9365"/>
    <x v="1"/>
    <s v="Oct"/>
    <x v="1"/>
    <x v="0"/>
    <s v="Order assembled"/>
    <x v="0"/>
    <x v="0"/>
    <x v="1"/>
    <n v="269"/>
    <n v="384.67"/>
  </r>
  <r>
    <s v="AD01-9362"/>
    <x v="1"/>
    <s v="Oct"/>
    <x v="1"/>
    <x v="0"/>
    <s v="Order assembled"/>
    <x v="0"/>
    <x v="0"/>
    <x v="0"/>
    <n v="233"/>
    <n v="333.19"/>
  </r>
  <r>
    <s v="AD01-9364"/>
    <x v="1"/>
    <s v="Oct"/>
    <x v="1"/>
    <x v="0"/>
    <s v="Order assembled"/>
    <x v="0"/>
    <x v="0"/>
    <x v="0"/>
    <n v="281"/>
    <n v="401.83"/>
  </r>
  <r>
    <s v="AD01-9364"/>
    <x v="1"/>
    <s v="Sep"/>
    <x v="1"/>
    <x v="0"/>
    <s v="Order assembled"/>
    <x v="0"/>
    <x v="0"/>
    <x v="1"/>
    <n v="284"/>
    <n v="406.12"/>
  </r>
  <r>
    <s v="AD01-9361"/>
    <x v="1"/>
    <s v="Sep"/>
    <x v="1"/>
    <x v="0"/>
    <s v="Order assembled"/>
    <x v="0"/>
    <x v="0"/>
    <x v="0"/>
    <n v="236"/>
    <n v="337.48"/>
  </r>
  <r>
    <s v="AD01-9361"/>
    <x v="1"/>
    <s v="Sep"/>
    <x v="1"/>
    <x v="0"/>
    <s v="Order assembled"/>
    <x v="0"/>
    <x v="0"/>
    <x v="0"/>
    <n v="284"/>
    <n v="406.12"/>
  </r>
  <r>
    <s v="AD01-9362"/>
    <x v="1"/>
    <s v="Sep"/>
    <x v="1"/>
    <x v="0"/>
    <s v="Order assembled"/>
    <x v="0"/>
    <x v="0"/>
    <x v="0"/>
    <n v="212"/>
    <n v="303.15999999999997"/>
  </r>
  <r>
    <s v="AD01-9364"/>
    <x v="1"/>
    <s v="Sep"/>
    <x v="1"/>
    <x v="0"/>
    <s v="Order assembled"/>
    <x v="0"/>
    <x v="0"/>
    <x v="0"/>
    <n v="286"/>
    <n v="408.98"/>
  </r>
  <r>
    <s v="AD01-9364"/>
    <x v="1"/>
    <s v="Sep"/>
    <x v="1"/>
    <x v="0"/>
    <s v="Order assembled"/>
    <x v="0"/>
    <x v="0"/>
    <x v="0"/>
    <n v="238"/>
    <n v="526.24"/>
  </r>
  <r>
    <s v="AD01-9364"/>
    <x v="1"/>
    <s v="Sep"/>
    <x v="1"/>
    <x v="0"/>
    <s v="Order assembled"/>
    <x v="0"/>
    <x v="0"/>
    <x v="0"/>
    <n v="286"/>
    <n v="526.24"/>
  </r>
  <r>
    <s v="AD01-9361"/>
    <x v="1"/>
    <s v="Sep"/>
    <x v="1"/>
    <x v="0"/>
    <s v="Order assembled"/>
    <x v="0"/>
    <x v="0"/>
    <x v="0"/>
    <n v="214"/>
    <n v="526.24"/>
  </r>
  <r>
    <s v="AD01-9361"/>
    <x v="1"/>
    <s v="Sep"/>
    <x v="1"/>
    <x v="0"/>
    <s v="Order assembled"/>
    <x v="0"/>
    <x v="0"/>
    <x v="0"/>
    <n v="1004"/>
    <n v="1435.72"/>
  </r>
  <r>
    <s v="AD01-9364"/>
    <x v="1"/>
    <s v="Sep"/>
    <x v="1"/>
    <x v="0"/>
    <s v="Order assembled"/>
    <x v="0"/>
    <x v="0"/>
    <x v="0"/>
    <n v="237"/>
    <n v="338.90999999999997"/>
  </r>
  <r>
    <s v="AD01-9364"/>
    <x v="1"/>
    <s v="Sep"/>
    <x v="1"/>
    <x v="0"/>
    <s v="Order assembled"/>
    <x v="0"/>
    <x v="1"/>
    <x v="0"/>
    <n v="285"/>
    <n v="407.55"/>
  </r>
  <r>
    <s v="AD01-9361"/>
    <x v="1"/>
    <s v="Sep"/>
    <x v="1"/>
    <x v="0"/>
    <s v="Order assembled"/>
    <x v="0"/>
    <x v="1"/>
    <x v="0"/>
    <n v="213"/>
    <n v="304.59000000000003"/>
  </r>
  <r>
    <s v="AD01-9361"/>
    <x v="1"/>
    <s v="Sep"/>
    <x v="1"/>
    <x v="0"/>
    <s v="Order assembled"/>
    <x v="0"/>
    <x v="1"/>
    <x v="0"/>
    <n v="283"/>
    <n v="404.69"/>
  </r>
  <r>
    <s v="AD01-9361"/>
    <x v="1"/>
    <s v="Sep"/>
    <x v="1"/>
    <x v="0"/>
    <s v="Order assembled"/>
    <x v="0"/>
    <x v="1"/>
    <x v="0"/>
    <n v="785"/>
    <n v="1122.55"/>
  </r>
  <r>
    <s v="AD01-9361"/>
    <x v="1"/>
    <s v="Sep"/>
    <x v="1"/>
    <x v="0"/>
    <s v="Order assembled"/>
    <x v="0"/>
    <x v="1"/>
    <x v="0"/>
    <n v="819"/>
    <n v="1171.17"/>
  </r>
  <r>
    <s v="AD01-9364"/>
    <x v="1"/>
    <s v="Sep"/>
    <x v="1"/>
    <x v="0"/>
    <s v="Order assembled"/>
    <x v="0"/>
    <x v="1"/>
    <x v="0"/>
    <n v="872"/>
    <n v="1246.96"/>
  </r>
  <r>
    <s v="AD01-9362"/>
    <x v="1"/>
    <s v="Sep"/>
    <x v="1"/>
    <x v="0"/>
    <s v="Order assembled"/>
    <x v="0"/>
    <x v="1"/>
    <x v="1"/>
    <n v="287"/>
    <n v="410.40999999999997"/>
  </r>
  <r>
    <s v="AD01-9362"/>
    <x v="1"/>
    <s v="Sep"/>
    <x v="1"/>
    <x v="0"/>
    <s v="Order assembled"/>
    <x v="0"/>
    <x v="1"/>
    <x v="0"/>
    <n v="239"/>
    <n v="341.77"/>
  </r>
  <r>
    <s v="AD01-9361"/>
    <x v="1"/>
    <s v="Sep"/>
    <x v="1"/>
    <x v="0"/>
    <s v="Order assembled"/>
    <x v="0"/>
    <x v="1"/>
    <x v="0"/>
    <n v="287"/>
    <n v="410.40999999999997"/>
  </r>
  <r>
    <s v="AD01-9362"/>
    <x v="1"/>
    <s v="Apr"/>
    <x v="0"/>
    <x v="1"/>
    <s v="Cancelld"/>
    <x v="1"/>
    <x v="1"/>
    <x v="2"/>
    <n v="160"/>
    <n v="228.8"/>
  </r>
  <r>
    <s v="AD01-9361"/>
    <x v="1"/>
    <s v="Apr"/>
    <x v="0"/>
    <x v="1"/>
    <s v="Cancelld"/>
    <x v="1"/>
    <x v="1"/>
    <x v="2"/>
    <n v="154"/>
    <n v="220.22"/>
  </r>
  <r>
    <s v="AD01-9362"/>
    <x v="1"/>
    <s v="Apr"/>
    <x v="0"/>
    <x v="1"/>
    <s v="Cancelld"/>
    <x v="1"/>
    <x v="1"/>
    <x v="2"/>
    <n v="148"/>
    <n v="211.64"/>
  </r>
  <r>
    <s v="AD01-9362"/>
    <x v="1"/>
    <s v="Apr"/>
    <x v="0"/>
    <x v="1"/>
    <s v="Cancelld"/>
    <x v="1"/>
    <x v="1"/>
    <x v="2"/>
    <n v="157"/>
    <n v="224.51"/>
  </r>
  <r>
    <s v="AD01-9362"/>
    <x v="1"/>
    <s v="Apr"/>
    <x v="0"/>
    <x v="1"/>
    <s v="Cancelld"/>
    <x v="1"/>
    <x v="1"/>
    <x v="2"/>
    <n v="151"/>
    <n v="215.93"/>
  </r>
  <r>
    <s v="AD01-9362"/>
    <x v="1"/>
    <s v="Aug"/>
    <x v="0"/>
    <x v="1"/>
    <s v="Cancelld"/>
    <x v="1"/>
    <x v="1"/>
    <x v="2"/>
    <n v="343"/>
    <n v="490.49"/>
  </r>
  <r>
    <s v="AD01-9364"/>
    <x v="1"/>
    <s v="Dec"/>
    <x v="0"/>
    <x v="1"/>
    <s v="Cancelld"/>
    <x v="1"/>
    <x v="1"/>
    <x v="0"/>
    <n v="280"/>
    <n v="400.4"/>
  </r>
  <r>
    <s v="AD01-9362"/>
    <x v="1"/>
    <s v="Dec"/>
    <x v="0"/>
    <x v="1"/>
    <s v="Cancelld"/>
    <x v="1"/>
    <x v="1"/>
    <x v="0"/>
    <n v="274"/>
    <n v="391.82"/>
  </r>
  <r>
    <s v="AD01-9362"/>
    <x v="1"/>
    <s v="Dec"/>
    <x v="0"/>
    <x v="1"/>
    <s v="Cancelld"/>
    <x v="1"/>
    <x v="1"/>
    <x v="0"/>
    <n v="268"/>
    <n v="383.24"/>
  </r>
  <r>
    <s v="AD01-9362"/>
    <x v="1"/>
    <s v="Dec"/>
    <x v="0"/>
    <x v="1"/>
    <s v="Cancelld"/>
    <x v="1"/>
    <x v="1"/>
    <x v="0"/>
    <n v="277"/>
    <n v="396.11"/>
  </r>
  <r>
    <s v="AD01-9362"/>
    <x v="1"/>
    <s v="Dec"/>
    <x v="0"/>
    <x v="1"/>
    <s v="Cancelld"/>
    <x v="1"/>
    <x v="1"/>
    <x v="0"/>
    <n v="271"/>
    <n v="387.53"/>
  </r>
  <r>
    <s v="AD01-9361"/>
    <x v="1"/>
    <s v="Dec"/>
    <x v="0"/>
    <x v="1"/>
    <s v="Cancelld"/>
    <x v="1"/>
    <x v="0"/>
    <x v="0"/>
    <n v="265"/>
    <n v="378.95"/>
  </r>
  <r>
    <s v="AD01-9364"/>
    <x v="1"/>
    <s v="Feb"/>
    <x v="0"/>
    <x v="1"/>
    <s v="Cancelld"/>
    <x v="1"/>
    <x v="0"/>
    <x v="0"/>
    <n v="190"/>
    <n v="271.7"/>
  </r>
  <r>
    <s v="AD01-9361"/>
    <x v="1"/>
    <s v="Feb"/>
    <x v="0"/>
    <x v="1"/>
    <s v="Cancelld"/>
    <x v="1"/>
    <x v="0"/>
    <x v="0"/>
    <n v="184"/>
    <n v="263.12"/>
  </r>
  <r>
    <s v="AD01-9364"/>
    <x v="1"/>
    <s v="Feb"/>
    <x v="0"/>
    <x v="1"/>
    <s v="Cancelld"/>
    <x v="1"/>
    <x v="0"/>
    <x v="0"/>
    <n v="193"/>
    <n v="275.99"/>
  </r>
  <r>
    <s v="AD01-9364"/>
    <x v="1"/>
    <s v="Feb"/>
    <x v="0"/>
    <x v="1"/>
    <s v="Cancelld"/>
    <x v="1"/>
    <x v="0"/>
    <x v="0"/>
    <n v="187"/>
    <n v="267.40999999999997"/>
  </r>
  <r>
    <s v="AD01-9361"/>
    <x v="1"/>
    <s v="Feb"/>
    <x v="0"/>
    <x v="1"/>
    <s v="Cancelld"/>
    <x v="1"/>
    <x v="0"/>
    <x v="0"/>
    <n v="181"/>
    <n v="258.83"/>
  </r>
  <r>
    <s v="AD01-9362"/>
    <x v="1"/>
    <s v="Jan"/>
    <x v="0"/>
    <x v="1"/>
    <s v="Cancelld"/>
    <x v="1"/>
    <x v="0"/>
    <x v="0"/>
    <n v="208"/>
    <n v="297.44"/>
  </r>
  <r>
    <s v="AD01-9361"/>
    <x v="1"/>
    <s v="Jan"/>
    <x v="0"/>
    <x v="1"/>
    <s v="Cancelld"/>
    <x v="1"/>
    <x v="0"/>
    <x v="0"/>
    <n v="202"/>
    <n v="288.86"/>
  </r>
  <r>
    <s v="AD01-9364"/>
    <x v="1"/>
    <s v="Jan"/>
    <x v="0"/>
    <x v="1"/>
    <s v="Cancelld"/>
    <x v="1"/>
    <x v="0"/>
    <x v="0"/>
    <n v="196"/>
    <n v="280.27999999999997"/>
  </r>
  <r>
    <s v="AD01-9362"/>
    <x v="1"/>
    <s v="Jan"/>
    <x v="0"/>
    <x v="1"/>
    <s v="Cancelld"/>
    <x v="1"/>
    <x v="0"/>
    <x v="0"/>
    <n v="205"/>
    <n v="293.14999999999998"/>
  </r>
  <r>
    <s v="AD01-9361"/>
    <x v="1"/>
    <s v="Jan"/>
    <x v="0"/>
    <x v="1"/>
    <s v="Cancelld"/>
    <x v="1"/>
    <x v="0"/>
    <x v="0"/>
    <n v="199"/>
    <n v="284.57"/>
  </r>
  <r>
    <s v="AD01-9363"/>
    <x v="1"/>
    <s v="Jul"/>
    <x v="0"/>
    <x v="1"/>
    <s v="Cancelld"/>
    <x v="1"/>
    <x v="0"/>
    <x v="2"/>
    <n v="358"/>
    <n v="511.94"/>
  </r>
  <r>
    <s v="AD01-9361"/>
    <x v="1"/>
    <s v="Jul"/>
    <x v="0"/>
    <x v="1"/>
    <s v="Cancelld"/>
    <x v="1"/>
    <x v="0"/>
    <x v="2"/>
    <n v="352"/>
    <n v="503.36"/>
  </r>
  <r>
    <s v="AD01-9362"/>
    <x v="1"/>
    <s v="Jul"/>
    <x v="0"/>
    <x v="1"/>
    <s v="Cancelld"/>
    <x v="1"/>
    <x v="0"/>
    <x v="2"/>
    <n v="346"/>
    <n v="494.78"/>
  </r>
  <r>
    <s v="AD01-9362"/>
    <x v="1"/>
    <s v="Jul"/>
    <x v="0"/>
    <x v="1"/>
    <s v="Cancelld"/>
    <x v="1"/>
    <x v="0"/>
    <x v="2"/>
    <n v="355"/>
    <n v="507.65"/>
  </r>
  <r>
    <s v="AD01-9364"/>
    <x v="1"/>
    <s v="Jul"/>
    <x v="0"/>
    <x v="1"/>
    <s v="Cancelld"/>
    <x v="1"/>
    <x v="0"/>
    <x v="2"/>
    <n v="349"/>
    <n v="499.07"/>
  </r>
  <r>
    <s v="AD01-9362"/>
    <x v="1"/>
    <s v="Jun"/>
    <x v="0"/>
    <x v="1"/>
    <s v="Cancelld"/>
    <x v="1"/>
    <x v="0"/>
    <x v="2"/>
    <n v="130"/>
    <n v="185.9"/>
  </r>
  <r>
    <s v="AD01-9362"/>
    <x v="1"/>
    <s v="Jun"/>
    <x v="0"/>
    <x v="1"/>
    <s v="Cancelld"/>
    <x v="1"/>
    <x v="0"/>
    <x v="2"/>
    <n v="370"/>
    <n v="529.1"/>
  </r>
  <r>
    <s v="AD01-9361"/>
    <x v="1"/>
    <s v="Jun"/>
    <x v="0"/>
    <x v="1"/>
    <s v="Cancelld"/>
    <x v="1"/>
    <x v="0"/>
    <x v="2"/>
    <n v="364"/>
    <n v="520.52"/>
  </r>
  <r>
    <s v="AD01-9361"/>
    <x v="1"/>
    <s v="Jun"/>
    <x v="0"/>
    <x v="1"/>
    <s v="Cancelld"/>
    <x v="1"/>
    <x v="0"/>
    <x v="2"/>
    <n v="127"/>
    <n v="181.61"/>
  </r>
  <r>
    <s v="AD01-9362"/>
    <x v="1"/>
    <s v="Jun"/>
    <x v="0"/>
    <x v="1"/>
    <s v="Cancelld"/>
    <x v="1"/>
    <x v="0"/>
    <x v="2"/>
    <n v="367"/>
    <n v="524.80999999999995"/>
  </r>
  <r>
    <s v="AD01-9361"/>
    <x v="1"/>
    <s v="Jun"/>
    <x v="0"/>
    <x v="1"/>
    <s v="Cancelld"/>
    <x v="1"/>
    <x v="0"/>
    <x v="2"/>
    <n v="361"/>
    <n v="516.23"/>
  </r>
  <r>
    <s v="AD01-9362"/>
    <x v="1"/>
    <s v="Mar"/>
    <x v="0"/>
    <x v="1"/>
    <s v="Cancelld"/>
    <x v="1"/>
    <x v="0"/>
    <x v="0"/>
    <n v="178"/>
    <n v="254.54"/>
  </r>
  <r>
    <s v="AD01-9362"/>
    <x v="1"/>
    <s v="Mar"/>
    <x v="0"/>
    <x v="1"/>
    <s v="Cancelld"/>
    <x v="1"/>
    <x v="0"/>
    <x v="0"/>
    <n v="172"/>
    <n v="245.95999999999998"/>
  </r>
  <r>
    <s v="AD01-9363"/>
    <x v="1"/>
    <s v="Mar"/>
    <x v="0"/>
    <x v="1"/>
    <s v="Cancelld"/>
    <x v="1"/>
    <x v="0"/>
    <x v="0"/>
    <n v="166"/>
    <n v="237.38"/>
  </r>
  <r>
    <s v="AD01-9362"/>
    <x v="1"/>
    <s v="Mar"/>
    <x v="0"/>
    <x v="1"/>
    <s v="Cancelld"/>
    <x v="1"/>
    <x v="0"/>
    <x v="0"/>
    <n v="175"/>
    <n v="250.25"/>
  </r>
  <r>
    <s v="AD01-9361"/>
    <x v="1"/>
    <s v="Mar"/>
    <x v="0"/>
    <x v="1"/>
    <s v="Cancelld"/>
    <x v="1"/>
    <x v="0"/>
    <x v="0"/>
    <n v="169"/>
    <n v="241.67000000000002"/>
  </r>
  <r>
    <s v="AD01-9362"/>
    <x v="1"/>
    <s v="Mar"/>
    <x v="0"/>
    <x v="1"/>
    <s v="Cancelld"/>
    <x v="1"/>
    <x v="0"/>
    <x v="2"/>
    <n v="163"/>
    <n v="233.09"/>
  </r>
  <r>
    <s v="AD01-9363"/>
    <x v="1"/>
    <s v="May"/>
    <x v="0"/>
    <x v="1"/>
    <s v="Cancelld"/>
    <x v="1"/>
    <x v="0"/>
    <x v="2"/>
    <n v="142"/>
    <n v="203.06"/>
  </r>
  <r>
    <s v="AD01-9362"/>
    <x v="1"/>
    <s v="May"/>
    <x v="0"/>
    <x v="1"/>
    <s v="Cancelld"/>
    <x v="1"/>
    <x v="0"/>
    <x v="2"/>
    <n v="136"/>
    <n v="194.48"/>
  </r>
  <r>
    <s v="AD01-9361"/>
    <x v="1"/>
    <s v="May"/>
    <x v="0"/>
    <x v="1"/>
    <s v="Cancelld"/>
    <x v="1"/>
    <x v="0"/>
    <x v="2"/>
    <n v="145"/>
    <n v="207.35"/>
  </r>
  <r>
    <s v="AD01-9361"/>
    <x v="1"/>
    <s v="May"/>
    <x v="0"/>
    <x v="1"/>
    <s v="Cancelld"/>
    <x v="1"/>
    <x v="0"/>
    <x v="2"/>
    <n v="139"/>
    <n v="198.76999999999998"/>
  </r>
  <r>
    <s v="AD01-9361"/>
    <x v="1"/>
    <s v="May"/>
    <x v="0"/>
    <x v="1"/>
    <s v="Cancelld"/>
    <x v="1"/>
    <x v="0"/>
    <x v="2"/>
    <n v="133"/>
    <n v="190.19"/>
  </r>
  <r>
    <s v="AD01-9362"/>
    <x v="1"/>
    <s v="Nov"/>
    <x v="0"/>
    <x v="1"/>
    <s v="Cancelld"/>
    <x v="1"/>
    <x v="0"/>
    <x v="0"/>
    <n v="292"/>
    <n v="417.56"/>
  </r>
  <r>
    <s v="AD01-9362"/>
    <x v="1"/>
    <s v="Nov"/>
    <x v="0"/>
    <x v="1"/>
    <s v="Cancelld"/>
    <x v="1"/>
    <x v="0"/>
    <x v="0"/>
    <n v="286"/>
    <n v="408.98"/>
  </r>
  <r>
    <s v="AD01-9362"/>
    <x v="1"/>
    <s v="Nov"/>
    <x v="0"/>
    <x v="1"/>
    <s v="Cancelld"/>
    <x v="1"/>
    <x v="0"/>
    <x v="0"/>
    <n v="295"/>
    <n v="421.85"/>
  </r>
  <r>
    <s v="AD01-9361"/>
    <x v="1"/>
    <s v="Nov"/>
    <x v="0"/>
    <x v="1"/>
    <s v="Cancelld"/>
    <x v="1"/>
    <x v="0"/>
    <x v="0"/>
    <n v="289"/>
    <n v="413.27"/>
  </r>
  <r>
    <s v="AD01-9362"/>
    <x v="1"/>
    <s v="Nov"/>
    <x v="0"/>
    <x v="1"/>
    <s v="Cancelld"/>
    <x v="1"/>
    <x v="0"/>
    <x v="0"/>
    <n v="283"/>
    <n v="404.69"/>
  </r>
  <r>
    <s v="AD01-9362"/>
    <x v="1"/>
    <s v="Oct"/>
    <x v="0"/>
    <x v="1"/>
    <s v="Cancelld"/>
    <x v="1"/>
    <x v="0"/>
    <x v="0"/>
    <n v="310"/>
    <n v="443.3"/>
  </r>
  <r>
    <s v="AD01-9364"/>
    <x v="1"/>
    <s v="Oct"/>
    <x v="0"/>
    <x v="1"/>
    <s v="Cancelld"/>
    <x v="1"/>
    <x v="0"/>
    <x v="0"/>
    <n v="304"/>
    <n v="434.72"/>
  </r>
  <r>
    <s v="AD01-9361"/>
    <x v="1"/>
    <s v="Oct"/>
    <x v="0"/>
    <x v="1"/>
    <s v="Cancelld"/>
    <x v="1"/>
    <x v="0"/>
    <x v="0"/>
    <n v="298"/>
    <n v="426.14"/>
  </r>
  <r>
    <s v="AD01-9361"/>
    <x v="1"/>
    <s v="Oct"/>
    <x v="0"/>
    <x v="1"/>
    <s v="Cancelld"/>
    <x v="1"/>
    <x v="0"/>
    <x v="0"/>
    <n v="307"/>
    <n v="439.01"/>
  </r>
  <r>
    <s v="AD01-9365"/>
    <x v="1"/>
    <s v="Oct"/>
    <x v="0"/>
    <x v="1"/>
    <s v="Cancelld"/>
    <x v="1"/>
    <x v="0"/>
    <x v="0"/>
    <n v="301"/>
    <n v="430.43"/>
  </r>
  <r>
    <s v="AD01-9361"/>
    <x v="1"/>
    <s v="Apr"/>
    <x v="1"/>
    <x v="1"/>
    <s v="Cancelld"/>
    <x v="1"/>
    <x v="0"/>
    <x v="2"/>
    <n v="344"/>
    <n v="491.91999999999996"/>
  </r>
  <r>
    <s v="AD01-9362"/>
    <x v="1"/>
    <s v="Apr"/>
    <x v="1"/>
    <x v="1"/>
    <s v="Cancelld"/>
    <x v="1"/>
    <x v="0"/>
    <x v="2"/>
    <n v="314"/>
    <n v="449.02"/>
  </r>
  <r>
    <s v="AD01-9361"/>
    <x v="1"/>
    <s v="Apr"/>
    <x v="1"/>
    <x v="1"/>
    <s v="Cancelld"/>
    <x v="1"/>
    <x v="0"/>
    <x v="2"/>
    <n v="340"/>
    <n v="486.2"/>
  </r>
  <r>
    <s v="AD01-9362"/>
    <x v="1"/>
    <s v="Apr"/>
    <x v="1"/>
    <x v="1"/>
    <s v="Cancelld"/>
    <x v="1"/>
    <x v="0"/>
    <x v="2"/>
    <n v="142"/>
    <n v="203.06"/>
  </r>
  <r>
    <s v="AD01-9362"/>
    <x v="1"/>
    <s v="Apr"/>
    <x v="1"/>
    <x v="1"/>
    <s v="Cancelld"/>
    <x v="1"/>
    <x v="0"/>
    <x v="2"/>
    <n v="316"/>
    <n v="451.88"/>
  </r>
  <r>
    <s v="AD01-9364"/>
    <x v="1"/>
    <s v="Apr"/>
    <x v="1"/>
    <x v="1"/>
    <s v="Cancelld"/>
    <x v="1"/>
    <x v="0"/>
    <x v="2"/>
    <n v="823"/>
    <n v="1176.8899999999999"/>
  </r>
  <r>
    <s v="AD01-9362"/>
    <x v="1"/>
    <s v="Apr"/>
    <x v="1"/>
    <x v="1"/>
    <s v="Cancelld"/>
    <x v="1"/>
    <x v="0"/>
    <x v="2"/>
    <n v="856"/>
    <n v="1224.08"/>
  </r>
  <r>
    <s v="AD01-9362"/>
    <x v="1"/>
    <s v="Apr"/>
    <x v="1"/>
    <x v="1"/>
    <s v="Cancelld"/>
    <x v="1"/>
    <x v="0"/>
    <x v="2"/>
    <n v="909"/>
    <n v="1299.8699999999999"/>
  </r>
  <r>
    <s v="AD01-9362"/>
    <x v="1"/>
    <s v="Apr"/>
    <x v="1"/>
    <x v="1"/>
    <s v="Cancelld"/>
    <x v="1"/>
    <x v="0"/>
    <x v="2"/>
    <n v="862"/>
    <n v="526.24"/>
  </r>
  <r>
    <s v="AD01-9362"/>
    <x v="1"/>
    <s v="Apr"/>
    <x v="1"/>
    <x v="1"/>
    <s v="Cancelld"/>
    <x v="1"/>
    <x v="0"/>
    <x v="2"/>
    <n v="141"/>
    <n v="526.24"/>
  </r>
  <r>
    <s v="AD01-9364"/>
    <x v="1"/>
    <s v="Apr"/>
    <x v="1"/>
    <x v="1"/>
    <s v="Cancelld"/>
    <x v="1"/>
    <x v="0"/>
    <x v="2"/>
    <n v="315"/>
    <n v="450.45"/>
  </r>
  <r>
    <s v="AD01-9362"/>
    <x v="1"/>
    <s v="Apr"/>
    <x v="1"/>
    <x v="1"/>
    <s v="Cancelld"/>
    <x v="1"/>
    <x v="0"/>
    <x v="2"/>
    <n v="343"/>
    <n v="490.49"/>
  </r>
  <r>
    <s v="AD01-9362"/>
    <x v="1"/>
    <s v="Apr"/>
    <x v="1"/>
    <x v="1"/>
    <s v="Cancelld"/>
    <x v="1"/>
    <x v="0"/>
    <x v="2"/>
    <n v="145"/>
    <n v="207.35"/>
  </r>
  <r>
    <s v="AD01-9361"/>
    <x v="1"/>
    <s v="Apr"/>
    <x v="1"/>
    <x v="1"/>
    <s v="Cancelld"/>
    <x v="1"/>
    <x v="0"/>
    <x v="2"/>
    <n v="313"/>
    <n v="447.59000000000003"/>
  </r>
  <r>
    <s v="AD01-9362"/>
    <x v="1"/>
    <s v="Apr"/>
    <x v="1"/>
    <x v="1"/>
    <s v="Cancelld"/>
    <x v="1"/>
    <x v="0"/>
    <x v="2"/>
    <n v="832"/>
    <n v="1189.76"/>
  </r>
  <r>
    <s v="AD01-9361"/>
    <x v="1"/>
    <s v="Apr"/>
    <x v="1"/>
    <x v="1"/>
    <s v="Cancelld"/>
    <x v="1"/>
    <x v="0"/>
    <x v="2"/>
    <n v="865"/>
    <n v="1236.95"/>
  </r>
  <r>
    <s v="AD01-9361"/>
    <x v="1"/>
    <s v="Apr"/>
    <x v="1"/>
    <x v="1"/>
    <s v="Cancelld"/>
    <x v="1"/>
    <x v="0"/>
    <x v="2"/>
    <n v="317"/>
    <n v="453.31"/>
  </r>
  <r>
    <s v="AD01-9361"/>
    <x v="1"/>
    <s v="Aug"/>
    <x v="1"/>
    <x v="1"/>
    <s v="Cancelld"/>
    <x v="1"/>
    <x v="0"/>
    <x v="2"/>
    <n v="320"/>
    <n v="457.6"/>
  </r>
  <r>
    <s v="AD01-9362"/>
    <x v="1"/>
    <s v="Aug"/>
    <x v="1"/>
    <x v="1"/>
    <s v="Cancelld"/>
    <x v="1"/>
    <x v="0"/>
    <x v="2"/>
    <n v="368"/>
    <n v="526.24"/>
  </r>
  <r>
    <s v="AD01-9362"/>
    <x v="1"/>
    <s v="Aug"/>
    <x v="1"/>
    <x v="1"/>
    <s v="Cancelld"/>
    <x v="1"/>
    <x v="0"/>
    <x v="2"/>
    <n v="296"/>
    <n v="423.28"/>
  </r>
  <r>
    <s v="AD01-9365"/>
    <x v="1"/>
    <s v="Aug"/>
    <x v="0"/>
    <x v="1"/>
    <s v="Cancelld"/>
    <x v="1"/>
    <x v="0"/>
    <x v="2"/>
    <n v="322"/>
    <n v="460.46000000000004"/>
  </r>
  <r>
    <s v="AD01-9362"/>
    <x v="1"/>
    <s v="Aug"/>
    <x v="0"/>
    <x v="1"/>
    <s v="Cancelld"/>
    <x v="1"/>
    <x v="0"/>
    <x v="2"/>
    <n v="370"/>
    <n v="529.1"/>
  </r>
  <r>
    <s v="AD01-9362"/>
    <x v="1"/>
    <s v="Aug"/>
    <x v="0"/>
    <x v="1"/>
    <s v="Cancelld"/>
    <x v="1"/>
    <x v="0"/>
    <x v="2"/>
    <n v="292"/>
    <n v="417.56"/>
  </r>
  <r>
    <s v="AD01-9364"/>
    <x v="1"/>
    <s v="Aug"/>
    <x v="0"/>
    <x v="1"/>
    <s v="Cancelld"/>
    <x v="1"/>
    <x v="1"/>
    <x v="2"/>
    <n v="860"/>
    <n v="1229.8"/>
  </r>
  <r>
    <s v="AD01-9362"/>
    <x v="1"/>
    <s v="Aug"/>
    <x v="0"/>
    <x v="1"/>
    <s v="Cancelld"/>
    <x v="1"/>
    <x v="1"/>
    <x v="2"/>
    <n v="913"/>
    <n v="1305.5899999999999"/>
  </r>
  <r>
    <s v="AD01-9362"/>
    <x v="1"/>
    <s v="Aug"/>
    <x v="0"/>
    <x v="1"/>
    <s v="Cancelld"/>
    <x v="1"/>
    <x v="1"/>
    <x v="2"/>
    <n v="866"/>
    <n v="526.24"/>
  </r>
  <r>
    <s v="AD01-9364"/>
    <x v="1"/>
    <s v="Aug"/>
    <x v="0"/>
    <x v="1"/>
    <s v="Cancelld"/>
    <x v="1"/>
    <x v="1"/>
    <x v="2"/>
    <n v="369"/>
    <n v="526.24"/>
  </r>
  <r>
    <s v="AD01-9362"/>
    <x v="1"/>
    <s v="Aug"/>
    <x v="0"/>
    <x v="1"/>
    <s v="Cancelld"/>
    <x v="1"/>
    <x v="1"/>
    <x v="2"/>
    <n v="319"/>
    <n v="456.16999999999996"/>
  </r>
  <r>
    <s v="AD01-9362"/>
    <x v="1"/>
    <s v="Aug"/>
    <x v="0"/>
    <x v="1"/>
    <s v="Cancelld"/>
    <x v="1"/>
    <x v="1"/>
    <x v="2"/>
    <n v="367"/>
    <n v="524.80999999999995"/>
  </r>
  <r>
    <s v="AD01-9365"/>
    <x v="1"/>
    <s v="Aug"/>
    <x v="0"/>
    <x v="1"/>
    <s v="Cancelld"/>
    <x v="1"/>
    <x v="1"/>
    <x v="2"/>
    <n v="295"/>
    <n v="421.85"/>
  </r>
  <r>
    <s v="AD01-9362"/>
    <x v="1"/>
    <s v="Aug"/>
    <x v="0"/>
    <x v="1"/>
    <s v="Cancelld"/>
    <x v="1"/>
    <x v="1"/>
    <x v="2"/>
    <n v="835"/>
    <n v="1194.05"/>
  </r>
  <r>
    <s v="AD01-9361"/>
    <x v="1"/>
    <s v="Aug"/>
    <x v="0"/>
    <x v="1"/>
    <s v="Cancelld"/>
    <x v="1"/>
    <x v="1"/>
    <x v="2"/>
    <n v="293"/>
    <n v="418.99"/>
  </r>
  <r>
    <s v="AD01-9364"/>
    <x v="1"/>
    <s v="Dec"/>
    <x v="0"/>
    <x v="1"/>
    <s v="Cancelld"/>
    <x v="1"/>
    <x v="1"/>
    <x v="2"/>
    <n v="302"/>
    <n v="431.86"/>
  </r>
  <r>
    <s v="AD01-9361"/>
    <x v="1"/>
    <s v="Dec"/>
    <x v="0"/>
    <x v="1"/>
    <s v="Cancelld"/>
    <x v="1"/>
    <x v="1"/>
    <x v="2"/>
    <n v="344"/>
    <n v="491.91999999999996"/>
  </r>
  <r>
    <s v="AD01-9363"/>
    <x v="1"/>
    <s v="Dec"/>
    <x v="0"/>
    <x v="1"/>
    <s v="Cancelld"/>
    <x v="1"/>
    <x v="1"/>
    <x v="2"/>
    <n v="298"/>
    <n v="426.14"/>
  </r>
  <r>
    <s v="AD01-9362"/>
    <x v="1"/>
    <s v="Dec"/>
    <x v="0"/>
    <x v="1"/>
    <s v="Cancelld"/>
    <x v="1"/>
    <x v="1"/>
    <x v="2"/>
    <n v="346"/>
    <n v="494.78"/>
  </r>
  <r>
    <s v="AD01-9361"/>
    <x v="1"/>
    <s v="Dec"/>
    <x v="0"/>
    <x v="1"/>
    <s v="Cancelld"/>
    <x v="1"/>
    <x v="1"/>
    <x v="2"/>
    <n v="830"/>
    <n v="1186.9000000000001"/>
  </r>
  <r>
    <s v="AD01-9362"/>
    <x v="1"/>
    <s v="Dec"/>
    <x v="0"/>
    <x v="1"/>
    <s v="Cancelld"/>
    <x v="1"/>
    <x v="1"/>
    <x v="2"/>
    <n v="863"/>
    <n v="1234.0899999999999"/>
  </r>
  <r>
    <s v="AD01-9364"/>
    <x v="1"/>
    <s v="Dec"/>
    <x v="0"/>
    <x v="1"/>
    <s v="Cancelld"/>
    <x v="1"/>
    <x v="1"/>
    <x v="2"/>
    <n v="921"/>
    <n v="1317.03"/>
  </r>
  <r>
    <s v="AD01-9362"/>
    <x v="1"/>
    <s v="Dec"/>
    <x v="0"/>
    <x v="1"/>
    <s v="Cancelld"/>
    <x v="1"/>
    <x v="1"/>
    <x v="2"/>
    <n v="922"/>
    <n v="1318.46"/>
  </r>
  <r>
    <s v="AD01-9362"/>
    <x v="1"/>
    <s v="Dec"/>
    <x v="0"/>
    <x v="1"/>
    <s v="Cancelld"/>
    <x v="1"/>
    <x v="1"/>
    <x v="2"/>
    <n v="345"/>
    <n v="493.35"/>
  </r>
  <r>
    <s v="AD01-9364"/>
    <x v="1"/>
    <s v="Dec"/>
    <x v="0"/>
    <x v="1"/>
    <s v="Cancelld"/>
    <x v="1"/>
    <x v="1"/>
    <x v="2"/>
    <n v="249"/>
    <n v="356.07"/>
  </r>
  <r>
    <s v="AD01-9361"/>
    <x v="1"/>
    <s v="Dec"/>
    <x v="0"/>
    <x v="1"/>
    <s v="Cancelld"/>
    <x v="1"/>
    <x v="1"/>
    <x v="2"/>
    <n v="243"/>
    <n v="347.49"/>
  </r>
  <r>
    <s v="AD01-9363"/>
    <x v="1"/>
    <s v="Dec"/>
    <x v="0"/>
    <x v="1"/>
    <s v="Cancelld"/>
    <x v="1"/>
    <x v="1"/>
    <x v="2"/>
    <n v="237"/>
    <n v="338.90999999999997"/>
  </r>
  <r>
    <s v="AD01-9364"/>
    <x v="1"/>
    <s v="Dec"/>
    <x v="0"/>
    <x v="1"/>
    <s v="Cancelld"/>
    <x v="1"/>
    <x v="1"/>
    <x v="2"/>
    <n v="301"/>
    <n v="430.43"/>
  </r>
  <r>
    <s v="AD01-9364"/>
    <x v="1"/>
    <s v="Dec"/>
    <x v="0"/>
    <x v="1"/>
    <s v="Cancelld"/>
    <x v="1"/>
    <x v="1"/>
    <x v="2"/>
    <n v="349"/>
    <n v="499.07"/>
  </r>
  <r>
    <s v="AD01-9362"/>
    <x v="1"/>
    <s v="Dec"/>
    <x v="0"/>
    <x v="1"/>
    <s v="Cancelld"/>
    <x v="1"/>
    <x v="1"/>
    <x v="2"/>
    <n v="839"/>
    <n v="1199.77"/>
  </r>
  <r>
    <s v="AD01-9362"/>
    <x v="1"/>
    <s v="Dec"/>
    <x v="0"/>
    <x v="1"/>
    <s v="Cancelld"/>
    <x v="1"/>
    <x v="1"/>
    <x v="2"/>
    <n v="872"/>
    <n v="1246.96"/>
  </r>
  <r>
    <s v="AD01-9361"/>
    <x v="1"/>
    <s v="Feb"/>
    <x v="0"/>
    <x v="1"/>
    <s v="Cancelld"/>
    <x v="1"/>
    <x v="1"/>
    <x v="2"/>
    <n v="152"/>
    <n v="217.36"/>
  </r>
  <r>
    <s v="AD01-9361"/>
    <x v="1"/>
    <s v="Feb"/>
    <x v="0"/>
    <x v="1"/>
    <s v="Cancelld"/>
    <x v="1"/>
    <x v="1"/>
    <x v="2"/>
    <n v="326"/>
    <n v="466.18"/>
  </r>
  <r>
    <s v="AD01-9362"/>
    <x v="1"/>
    <s v="Feb"/>
    <x v="0"/>
    <x v="1"/>
    <s v="Cancelld"/>
    <x v="1"/>
    <x v="1"/>
    <x v="2"/>
    <n v="352"/>
    <n v="503.36"/>
  </r>
  <r>
    <s v="AD01-9364"/>
    <x v="1"/>
    <s v="Feb"/>
    <x v="0"/>
    <x v="1"/>
    <s v="Cancelld"/>
    <x v="1"/>
    <x v="1"/>
    <x v="2"/>
    <n v="154"/>
    <n v="220.22"/>
  </r>
  <r>
    <s v="AD01-9361"/>
    <x v="1"/>
    <s v="Feb"/>
    <x v="0"/>
    <x v="1"/>
    <s v="Cancelld"/>
    <x v="1"/>
    <x v="1"/>
    <x v="2"/>
    <n v="328"/>
    <n v="469.03999999999996"/>
  </r>
  <r>
    <s v="AD01-9362"/>
    <x v="1"/>
    <s v="Feb"/>
    <x v="0"/>
    <x v="1"/>
    <s v="Cancelld"/>
    <x v="1"/>
    <x v="1"/>
    <x v="2"/>
    <n v="821"/>
    <n v="1174.03"/>
  </r>
  <r>
    <s v="AD01-9364"/>
    <x v="1"/>
    <s v="Feb"/>
    <x v="0"/>
    <x v="1"/>
    <s v="Cancelld"/>
    <x v="1"/>
    <x v="1"/>
    <x v="2"/>
    <n v="854"/>
    <n v="1221.22"/>
  </r>
  <r>
    <s v="AD01-9363"/>
    <x v="1"/>
    <s v="Feb"/>
    <x v="0"/>
    <x v="1"/>
    <s v="Cancelld"/>
    <x v="1"/>
    <x v="1"/>
    <x v="2"/>
    <n v="908"/>
    <n v="1298.44"/>
  </r>
  <r>
    <s v="AD01-9363"/>
    <x v="1"/>
    <s v="Feb"/>
    <x v="0"/>
    <x v="1"/>
    <s v="Cancelld"/>
    <x v="1"/>
    <x v="1"/>
    <x v="2"/>
    <n v="861"/>
    <n v="526.24"/>
  </r>
  <r>
    <s v="AD01-9361"/>
    <x v="1"/>
    <s v="Feb"/>
    <x v="0"/>
    <x v="1"/>
    <s v="Cancelld"/>
    <x v="1"/>
    <x v="1"/>
    <x v="2"/>
    <n v="153"/>
    <n v="526.24"/>
  </r>
  <r>
    <s v="AD01-9362"/>
    <x v="1"/>
    <s v="Feb"/>
    <x v="0"/>
    <x v="1"/>
    <s v="Cancelld"/>
    <x v="1"/>
    <x v="1"/>
    <x v="2"/>
    <n v="327"/>
    <n v="467.61"/>
  </r>
  <r>
    <s v="AD01-9361"/>
    <x v="1"/>
    <s v="Feb"/>
    <x v="0"/>
    <x v="1"/>
    <s v="Cancelld"/>
    <x v="1"/>
    <x v="1"/>
    <x v="2"/>
    <n v="355"/>
    <n v="507.65"/>
  </r>
  <r>
    <s v="AD01-9362"/>
    <x v="1"/>
    <s v="Feb"/>
    <x v="0"/>
    <x v="1"/>
    <s v="Cancelld"/>
    <x v="1"/>
    <x v="0"/>
    <x v="2"/>
    <n v="325"/>
    <n v="464.75"/>
  </r>
  <r>
    <s v="AD01-9361"/>
    <x v="1"/>
    <s v="Feb"/>
    <x v="0"/>
    <x v="1"/>
    <s v="Cancelld"/>
    <x v="1"/>
    <x v="0"/>
    <x v="2"/>
    <n v="830"/>
    <n v="1186.9000000000001"/>
  </r>
  <r>
    <s v="AD01-9364"/>
    <x v="1"/>
    <s v="Feb"/>
    <x v="0"/>
    <x v="1"/>
    <s v="Cancelld"/>
    <x v="1"/>
    <x v="0"/>
    <x v="2"/>
    <n v="863"/>
    <n v="1234.0899999999999"/>
  </r>
  <r>
    <s v="AD01-9362"/>
    <x v="1"/>
    <s v="Jan"/>
    <x v="0"/>
    <x v="1"/>
    <s v="Cancelld"/>
    <x v="1"/>
    <x v="0"/>
    <x v="2"/>
    <n v="356"/>
    <n v="509.08"/>
  </r>
  <r>
    <s v="AD01-9361"/>
    <x v="1"/>
    <s v="Jan"/>
    <x v="0"/>
    <x v="1"/>
    <s v="Cancelld"/>
    <x v="1"/>
    <x v="0"/>
    <x v="2"/>
    <n v="158"/>
    <n v="225.94"/>
  </r>
  <r>
    <s v="AD01-9362"/>
    <x v="1"/>
    <s v="Jan"/>
    <x v="0"/>
    <x v="1"/>
    <s v="Cancelld"/>
    <x v="1"/>
    <x v="0"/>
    <x v="2"/>
    <n v="332"/>
    <n v="474.76"/>
  </r>
  <r>
    <s v="AD01-9362"/>
    <x v="1"/>
    <s v="Jan"/>
    <x v="0"/>
    <x v="1"/>
    <s v="Cancelld"/>
    <x v="1"/>
    <x v="0"/>
    <x v="2"/>
    <n v="358"/>
    <n v="511.94"/>
  </r>
  <r>
    <s v="AD01-9362"/>
    <x v="1"/>
    <s v="Jan"/>
    <x v="0"/>
    <x v="1"/>
    <s v="Cancelld"/>
    <x v="1"/>
    <x v="0"/>
    <x v="2"/>
    <n v="160"/>
    <n v="228.8"/>
  </r>
  <r>
    <s v="AD01-9363"/>
    <x v="1"/>
    <s v="Jan"/>
    <x v="0"/>
    <x v="1"/>
    <s v="Cancelld"/>
    <x v="1"/>
    <x v="0"/>
    <x v="2"/>
    <n v="334"/>
    <n v="477.62"/>
  </r>
  <r>
    <s v="AD01-9362"/>
    <x v="1"/>
    <s v="Jan"/>
    <x v="0"/>
    <x v="1"/>
    <s v="Cancelld"/>
    <x v="1"/>
    <x v="0"/>
    <x v="2"/>
    <n v="820"/>
    <n v="1172.5999999999999"/>
  </r>
  <r>
    <s v="AD01-9362"/>
    <x v="1"/>
    <s v="Jan"/>
    <x v="0"/>
    <x v="1"/>
    <s v="Cancelld"/>
    <x v="1"/>
    <x v="0"/>
    <x v="2"/>
    <n v="907"/>
    <n v="1297.01"/>
  </r>
  <r>
    <s v="AD01-9362"/>
    <x v="1"/>
    <s v="Jan"/>
    <x v="0"/>
    <x v="1"/>
    <s v="Cancelld"/>
    <x v="1"/>
    <x v="0"/>
    <x v="2"/>
    <n v="860"/>
    <n v="526.24"/>
  </r>
  <r>
    <s v="AD01-9361"/>
    <x v="1"/>
    <s v="Jan"/>
    <x v="0"/>
    <x v="1"/>
    <s v="Cancelld"/>
    <x v="1"/>
    <x v="0"/>
    <x v="2"/>
    <n v="159"/>
    <n v="526.24"/>
  </r>
  <r>
    <s v="AD01-9362"/>
    <x v="1"/>
    <s v="Jan"/>
    <x v="0"/>
    <x v="1"/>
    <s v="Cancelld"/>
    <x v="1"/>
    <x v="0"/>
    <x v="2"/>
    <n v="333"/>
    <n v="476.19"/>
  </r>
  <r>
    <s v="AD01-9363"/>
    <x v="1"/>
    <s v="Jan"/>
    <x v="0"/>
    <x v="1"/>
    <s v="Cancelld"/>
    <x v="1"/>
    <x v="0"/>
    <x v="2"/>
    <n v="361"/>
    <n v="516.23"/>
  </r>
  <r>
    <s v="AD01-9364"/>
    <x v="1"/>
    <s v="Jan"/>
    <x v="0"/>
    <x v="1"/>
    <s v="Cancelld"/>
    <x v="1"/>
    <x v="0"/>
    <x v="2"/>
    <n v="157"/>
    <n v="224.51"/>
  </r>
  <r>
    <s v="AD01-9362"/>
    <x v="1"/>
    <s v="Jan"/>
    <x v="0"/>
    <x v="1"/>
    <s v="Cancelld"/>
    <x v="1"/>
    <x v="0"/>
    <x v="2"/>
    <n v="331"/>
    <n v="473.33"/>
  </r>
  <r>
    <s v="AD01-9362"/>
    <x v="1"/>
    <s v="Jan"/>
    <x v="0"/>
    <x v="1"/>
    <s v="Cancelld"/>
    <x v="1"/>
    <x v="0"/>
    <x v="2"/>
    <n v="829"/>
    <n v="1185.47"/>
  </r>
  <r>
    <s v="AD01-9362"/>
    <x v="1"/>
    <s v="Jan"/>
    <x v="0"/>
    <x v="1"/>
    <s v="Cancelld"/>
    <x v="1"/>
    <x v="0"/>
    <x v="2"/>
    <n v="862"/>
    <n v="1232.6599999999999"/>
  </r>
  <r>
    <s v="AD01-9362"/>
    <x v="1"/>
    <s v="Jan"/>
    <x v="0"/>
    <x v="1"/>
    <s v="Cancelld"/>
    <x v="1"/>
    <x v="0"/>
    <x v="2"/>
    <n v="329"/>
    <n v="470.47"/>
  </r>
  <r>
    <s v="AD01-9362"/>
    <x v="1"/>
    <s v="Jul"/>
    <x v="0"/>
    <x v="1"/>
    <s v="Cancelld"/>
    <x v="1"/>
    <x v="0"/>
    <x v="2"/>
    <n v="326"/>
    <n v="466.18"/>
  </r>
  <r>
    <s v="AD01-9362"/>
    <x v="1"/>
    <s v="Jul"/>
    <x v="0"/>
    <x v="1"/>
    <s v="Cancelld"/>
    <x v="1"/>
    <x v="0"/>
    <x v="2"/>
    <n v="128"/>
    <n v="183.04"/>
  </r>
  <r>
    <s v="AD01-9361"/>
    <x v="1"/>
    <s v="Jul"/>
    <x v="0"/>
    <x v="1"/>
    <s v="Cancelld"/>
    <x v="1"/>
    <x v="0"/>
    <x v="2"/>
    <n v="302"/>
    <n v="431.86"/>
  </r>
  <r>
    <s v="AD01-9362"/>
    <x v="1"/>
    <s v="Jul"/>
    <x v="0"/>
    <x v="1"/>
    <s v="Cancelld"/>
    <x v="1"/>
    <x v="0"/>
    <x v="2"/>
    <n v="328"/>
    <n v="469.03999999999996"/>
  </r>
  <r>
    <s v="AD01-9364"/>
    <x v="1"/>
    <s v="Jul"/>
    <x v="0"/>
    <x v="1"/>
    <s v="Cancelld"/>
    <x v="1"/>
    <x v="0"/>
    <x v="2"/>
    <n v="298"/>
    <n v="426.14"/>
  </r>
  <r>
    <s v="AD01-9362"/>
    <x v="1"/>
    <s v="Jul"/>
    <x v="0"/>
    <x v="1"/>
    <s v="Cancelld"/>
    <x v="1"/>
    <x v="0"/>
    <x v="2"/>
    <n v="826"/>
    <n v="1181.18"/>
  </r>
  <r>
    <s v="AD01-9364"/>
    <x v="1"/>
    <s v="Jul"/>
    <x v="0"/>
    <x v="1"/>
    <s v="Cancelld"/>
    <x v="1"/>
    <x v="0"/>
    <x v="2"/>
    <n v="859"/>
    <n v="1228.3699999999999"/>
  </r>
  <r>
    <s v="AD01-9364"/>
    <x v="1"/>
    <s v="Jul"/>
    <x v="0"/>
    <x v="1"/>
    <s v="Cancelld"/>
    <x v="1"/>
    <x v="0"/>
    <x v="2"/>
    <n v="912"/>
    <n v="1304.1599999999999"/>
  </r>
  <r>
    <s v="AD01-9364"/>
    <x v="1"/>
    <s v="Jul"/>
    <x v="0"/>
    <x v="1"/>
    <s v="Cancelld"/>
    <x v="1"/>
    <x v="0"/>
    <x v="2"/>
    <n v="865"/>
    <n v="526.24"/>
  </r>
  <r>
    <s v="AD01-9363"/>
    <x v="1"/>
    <s v="Jul"/>
    <x v="0"/>
    <x v="1"/>
    <s v="Cancelld"/>
    <x v="1"/>
    <x v="0"/>
    <x v="2"/>
    <n v="129"/>
    <n v="526.24"/>
  </r>
  <r>
    <s v="AD01-9362"/>
    <x v="1"/>
    <s v="Jul"/>
    <x v="0"/>
    <x v="1"/>
    <s v="Cancelld"/>
    <x v="1"/>
    <x v="0"/>
    <x v="2"/>
    <n v="297"/>
    <n v="424.71"/>
  </r>
  <r>
    <s v="AD01-9364"/>
    <x v="1"/>
    <s v="Jul"/>
    <x v="0"/>
    <x v="1"/>
    <s v="Cancelld"/>
    <x v="1"/>
    <x v="0"/>
    <x v="2"/>
    <n v="325"/>
    <n v="464.75"/>
  </r>
  <r>
    <s v="AD01-9361"/>
    <x v="1"/>
    <s v="Jul"/>
    <x v="0"/>
    <x v="1"/>
    <s v="Cancelld"/>
    <x v="1"/>
    <x v="0"/>
    <x v="2"/>
    <n v="127"/>
    <n v="181.61"/>
  </r>
  <r>
    <s v="AD01-9362"/>
    <x v="1"/>
    <s v="Jul"/>
    <x v="0"/>
    <x v="1"/>
    <s v="Cancelld"/>
    <x v="1"/>
    <x v="0"/>
    <x v="2"/>
    <n v="301"/>
    <n v="430.43"/>
  </r>
  <r>
    <s v="AD01-9361"/>
    <x v="1"/>
    <s v="Jul"/>
    <x v="0"/>
    <x v="1"/>
    <s v="Cancelld"/>
    <x v="1"/>
    <x v="0"/>
    <x v="2"/>
    <n v="834"/>
    <n v="1192.6199999999999"/>
  </r>
  <r>
    <s v="AD01-9362"/>
    <x v="1"/>
    <s v="Jul"/>
    <x v="0"/>
    <x v="1"/>
    <s v="Cancelld"/>
    <x v="1"/>
    <x v="0"/>
    <x v="2"/>
    <n v="868"/>
    <n v="1241.24"/>
  </r>
  <r>
    <s v="AD01-9362"/>
    <x v="1"/>
    <s v="Jul"/>
    <x v="0"/>
    <x v="1"/>
    <s v="Cancelld"/>
    <x v="1"/>
    <x v="0"/>
    <x v="2"/>
    <n v="299"/>
    <n v="427.57"/>
  </r>
  <r>
    <s v="AD01-9365"/>
    <x v="1"/>
    <s v="Jun"/>
    <x v="0"/>
    <x v="1"/>
    <s v="Cancelld"/>
    <x v="1"/>
    <x v="0"/>
    <x v="2"/>
    <n v="332"/>
    <n v="474.76"/>
  </r>
  <r>
    <s v="AD01-9361"/>
    <x v="1"/>
    <s v="Jun"/>
    <x v="0"/>
    <x v="1"/>
    <s v="Cancelld"/>
    <x v="1"/>
    <x v="0"/>
    <x v="2"/>
    <n v="134"/>
    <n v="191.62"/>
  </r>
  <r>
    <s v="AD01-9363"/>
    <x v="1"/>
    <s v="Jun"/>
    <x v="0"/>
    <x v="1"/>
    <s v="Cancelld"/>
    <x v="1"/>
    <x v="0"/>
    <x v="2"/>
    <n v="334"/>
    <n v="477.62"/>
  </r>
  <r>
    <s v="AD01-9361"/>
    <x v="1"/>
    <s v="Jun"/>
    <x v="0"/>
    <x v="1"/>
    <s v="Cancelld"/>
    <x v="1"/>
    <x v="0"/>
    <x v="2"/>
    <n v="130"/>
    <n v="185.9"/>
  </r>
  <r>
    <s v="AD01-9362"/>
    <x v="1"/>
    <s v="Jun"/>
    <x v="0"/>
    <x v="1"/>
    <s v="Cancelld"/>
    <x v="1"/>
    <x v="0"/>
    <x v="2"/>
    <n v="304"/>
    <n v="434.72"/>
  </r>
  <r>
    <s v="AD01-9364"/>
    <x v="1"/>
    <s v="Jun"/>
    <x v="0"/>
    <x v="1"/>
    <s v="Cancelld"/>
    <x v="1"/>
    <x v="0"/>
    <x v="2"/>
    <n v="825"/>
    <n v="1179.75"/>
  </r>
  <r>
    <s v="AD01-9362"/>
    <x v="1"/>
    <s v="Jun"/>
    <x v="0"/>
    <x v="1"/>
    <s v="Cancelld"/>
    <x v="1"/>
    <x v="0"/>
    <x v="2"/>
    <n v="858"/>
    <n v="1226.94"/>
  </r>
  <r>
    <s v="AD01-9361"/>
    <x v="1"/>
    <s v="Jun"/>
    <x v="0"/>
    <x v="1"/>
    <s v="Cancelld"/>
    <x v="1"/>
    <x v="0"/>
    <x v="2"/>
    <n v="911"/>
    <n v="1302.73"/>
  </r>
  <r>
    <s v="AD01-9361"/>
    <x v="1"/>
    <s v="Jun"/>
    <x v="0"/>
    <x v="1"/>
    <s v="Cancelld"/>
    <x v="1"/>
    <x v="0"/>
    <x v="2"/>
    <n v="864"/>
    <n v="526.24"/>
  </r>
  <r>
    <s v="AD01-9362"/>
    <x v="1"/>
    <s v="Jun"/>
    <x v="0"/>
    <x v="1"/>
    <s v="Cancelld"/>
    <x v="1"/>
    <x v="0"/>
    <x v="2"/>
    <n v="135"/>
    <n v="526.24"/>
  </r>
  <r>
    <s v="AD01-9364"/>
    <x v="1"/>
    <s v="Jun"/>
    <x v="0"/>
    <x v="1"/>
    <s v="Cancelld"/>
    <x v="1"/>
    <x v="0"/>
    <x v="2"/>
    <n v="303"/>
    <n v="433.28999999999996"/>
  </r>
  <r>
    <s v="AD01-9362"/>
    <x v="1"/>
    <s v="Jun"/>
    <x v="0"/>
    <x v="1"/>
    <s v="Cancelld"/>
    <x v="1"/>
    <x v="0"/>
    <x v="2"/>
    <n v="331"/>
    <n v="473.33"/>
  </r>
  <r>
    <s v="AD01-9362"/>
    <x v="1"/>
    <s v="Jun"/>
    <x v="0"/>
    <x v="1"/>
    <s v="Cancelld"/>
    <x v="1"/>
    <x v="0"/>
    <x v="2"/>
    <n v="133"/>
    <n v="190.19"/>
  </r>
  <r>
    <s v="AD01-9363"/>
    <x v="1"/>
    <s v="Jun"/>
    <x v="0"/>
    <x v="1"/>
    <s v="Cancelld"/>
    <x v="1"/>
    <x v="0"/>
    <x v="2"/>
    <n v="307"/>
    <n v="439.01"/>
  </r>
  <r>
    <s v="AD01-9361"/>
    <x v="1"/>
    <s v="Jun"/>
    <x v="0"/>
    <x v="1"/>
    <s v="Cancelld"/>
    <x v="1"/>
    <x v="0"/>
    <x v="2"/>
    <n v="867"/>
    <n v="1239.81"/>
  </r>
  <r>
    <s v="AD01-9365"/>
    <x v="1"/>
    <s v="Jun"/>
    <x v="0"/>
    <x v="1"/>
    <s v="Cancelld"/>
    <x v="1"/>
    <x v="0"/>
    <x v="2"/>
    <n v="305"/>
    <n v="436.15"/>
  </r>
  <r>
    <s v="AD01-9365"/>
    <x v="1"/>
    <s v="Mar"/>
    <x v="0"/>
    <x v="1"/>
    <s v="Cancelld"/>
    <x v="1"/>
    <x v="0"/>
    <x v="2"/>
    <n v="350"/>
    <n v="500.5"/>
  </r>
  <r>
    <s v="AD01-9362"/>
    <x v="1"/>
    <s v="Mar"/>
    <x v="0"/>
    <x v="1"/>
    <s v="Cancelld"/>
    <x v="1"/>
    <x v="0"/>
    <x v="2"/>
    <n v="146"/>
    <n v="208.78"/>
  </r>
  <r>
    <s v="AD01-9364"/>
    <x v="1"/>
    <s v="Mar"/>
    <x v="0"/>
    <x v="1"/>
    <s v="Cancelld"/>
    <x v="1"/>
    <x v="0"/>
    <x v="2"/>
    <n v="320"/>
    <n v="457.6"/>
  </r>
  <r>
    <s v="AD01-9361"/>
    <x v="1"/>
    <s v="Mar"/>
    <x v="0"/>
    <x v="1"/>
    <s v="Cancelld"/>
    <x v="1"/>
    <x v="0"/>
    <x v="2"/>
    <n v="346"/>
    <n v="494.78"/>
  </r>
  <r>
    <s v="AD01-9361"/>
    <x v="1"/>
    <s v="Mar"/>
    <x v="0"/>
    <x v="1"/>
    <s v="Cancelld"/>
    <x v="1"/>
    <x v="0"/>
    <x v="2"/>
    <n v="148"/>
    <n v="211.64"/>
  </r>
  <r>
    <s v="AD01-9362"/>
    <x v="1"/>
    <s v="Mar"/>
    <x v="0"/>
    <x v="1"/>
    <s v="Cancelld"/>
    <x v="1"/>
    <x v="0"/>
    <x v="2"/>
    <n v="322"/>
    <n v="460.46000000000004"/>
  </r>
  <r>
    <s v="AD01-9362"/>
    <x v="1"/>
    <s v="Mar"/>
    <x v="0"/>
    <x v="1"/>
    <s v="Cancelld"/>
    <x v="1"/>
    <x v="1"/>
    <x v="2"/>
    <n v="822"/>
    <n v="1175.46"/>
  </r>
  <r>
    <s v="AD01-9362"/>
    <x v="1"/>
    <s v="Mar"/>
    <x v="0"/>
    <x v="1"/>
    <s v="Cancelld"/>
    <x v="1"/>
    <x v="1"/>
    <x v="2"/>
    <n v="855"/>
    <n v="1222.6500000000001"/>
  </r>
  <r>
    <s v="AD01-9363"/>
    <x v="1"/>
    <s v="Mar"/>
    <x v="0"/>
    <x v="1"/>
    <s v="Cancelld"/>
    <x v="1"/>
    <x v="1"/>
    <x v="2"/>
    <n v="147"/>
    <n v="526.24"/>
  </r>
  <r>
    <s v="AD01-9362"/>
    <x v="1"/>
    <s v="Mar"/>
    <x v="0"/>
    <x v="1"/>
    <s v="Cancelld"/>
    <x v="1"/>
    <x v="1"/>
    <x v="2"/>
    <n v="321"/>
    <n v="459.03"/>
  </r>
  <r>
    <s v="AD01-9362"/>
    <x v="1"/>
    <s v="Mar"/>
    <x v="0"/>
    <x v="1"/>
    <s v="Cancelld"/>
    <x v="1"/>
    <x v="1"/>
    <x v="2"/>
    <n v="349"/>
    <n v="499.07"/>
  </r>
  <r>
    <s v="AD01-9362"/>
    <x v="1"/>
    <s v="Mar"/>
    <x v="0"/>
    <x v="1"/>
    <s v="Cancelld"/>
    <x v="1"/>
    <x v="1"/>
    <x v="2"/>
    <n v="151"/>
    <n v="215.93"/>
  </r>
  <r>
    <s v="AD01-9361"/>
    <x v="1"/>
    <s v="Mar"/>
    <x v="0"/>
    <x v="1"/>
    <s v="Cancelld"/>
    <x v="1"/>
    <x v="1"/>
    <x v="2"/>
    <n v="319"/>
    <n v="456.16999999999996"/>
  </r>
  <r>
    <s v="AD01-9364"/>
    <x v="1"/>
    <s v="Mar"/>
    <x v="0"/>
    <x v="1"/>
    <s v="Cancelld"/>
    <x v="1"/>
    <x v="1"/>
    <x v="2"/>
    <n v="831"/>
    <n v="1188.33"/>
  </r>
  <r>
    <s v="AD01-9362"/>
    <x v="1"/>
    <s v="Mar"/>
    <x v="0"/>
    <x v="1"/>
    <s v="Cancelld"/>
    <x v="1"/>
    <x v="1"/>
    <x v="2"/>
    <n v="864"/>
    <n v="1235.52"/>
  </r>
  <r>
    <s v="AD01-9365"/>
    <x v="1"/>
    <s v="Mar"/>
    <x v="0"/>
    <x v="1"/>
    <s v="Cancelld"/>
    <x v="1"/>
    <x v="1"/>
    <x v="2"/>
    <n v="323"/>
    <n v="461.89"/>
  </r>
  <r>
    <s v="AD01-9362"/>
    <x v="1"/>
    <s v="May"/>
    <x v="0"/>
    <x v="1"/>
    <s v="Cancelld"/>
    <x v="1"/>
    <x v="1"/>
    <x v="2"/>
    <n v="338"/>
    <n v="483.34000000000003"/>
  </r>
  <r>
    <s v="AD01-9361"/>
    <x v="1"/>
    <s v="May"/>
    <x v="0"/>
    <x v="1"/>
    <s v="Cancelld"/>
    <x v="1"/>
    <x v="1"/>
    <x v="2"/>
    <n v="140"/>
    <n v="200.2"/>
  </r>
  <r>
    <s v="AD01-9361"/>
    <x v="1"/>
    <s v="May"/>
    <x v="0"/>
    <x v="1"/>
    <s v="Cancelld"/>
    <x v="1"/>
    <x v="1"/>
    <x v="2"/>
    <n v="308"/>
    <n v="440.44"/>
  </r>
  <r>
    <s v="AD01-9361"/>
    <x v="1"/>
    <s v="May"/>
    <x v="0"/>
    <x v="1"/>
    <s v="Cancelld"/>
    <x v="1"/>
    <x v="1"/>
    <x v="2"/>
    <n v="136"/>
    <n v="194.48"/>
  </r>
  <r>
    <s v="AD01-9364"/>
    <x v="1"/>
    <s v="May"/>
    <x v="0"/>
    <x v="1"/>
    <s v="Cancelld"/>
    <x v="1"/>
    <x v="1"/>
    <x v="2"/>
    <n v="310"/>
    <n v="443.3"/>
  </r>
  <r>
    <s v="AD01-9364"/>
    <x v="1"/>
    <s v="May"/>
    <x v="0"/>
    <x v="1"/>
    <s v="Cancelld"/>
    <x v="1"/>
    <x v="1"/>
    <x v="2"/>
    <n v="824"/>
    <n v="1178.32"/>
  </r>
  <r>
    <s v="AD01-9361"/>
    <x v="1"/>
    <s v="May"/>
    <x v="0"/>
    <x v="1"/>
    <s v="Cancelld"/>
    <x v="1"/>
    <x v="1"/>
    <x v="2"/>
    <n v="857"/>
    <n v="1225.51"/>
  </r>
  <r>
    <s v="AD01-9362"/>
    <x v="1"/>
    <s v="May"/>
    <x v="0"/>
    <x v="1"/>
    <s v="Cancelld"/>
    <x v="1"/>
    <x v="1"/>
    <x v="2"/>
    <n v="910"/>
    <n v="1301.3"/>
  </r>
  <r>
    <s v="AD01-9362"/>
    <x v="1"/>
    <s v="May"/>
    <x v="0"/>
    <x v="1"/>
    <s v="Cancelld"/>
    <x v="1"/>
    <x v="1"/>
    <x v="2"/>
    <n v="863"/>
    <n v="526.24"/>
  </r>
  <r>
    <s v="AD01-9364"/>
    <x v="1"/>
    <s v="May"/>
    <x v="0"/>
    <x v="1"/>
    <s v="Cancelld"/>
    <x v="1"/>
    <x v="1"/>
    <x v="2"/>
    <n v="309"/>
    <n v="441.87"/>
  </r>
  <r>
    <s v="AD01-9364"/>
    <x v="1"/>
    <s v="May"/>
    <x v="0"/>
    <x v="1"/>
    <s v="Cancelld"/>
    <x v="1"/>
    <x v="1"/>
    <x v="2"/>
    <n v="337"/>
    <n v="481.90999999999997"/>
  </r>
  <r>
    <s v="AD01-9363"/>
    <x v="1"/>
    <s v="May"/>
    <x v="0"/>
    <x v="1"/>
    <s v="Cancelld"/>
    <x v="1"/>
    <x v="1"/>
    <x v="2"/>
    <n v="139"/>
    <n v="198.76999999999998"/>
  </r>
  <r>
    <s v="AD01-9361"/>
    <x v="1"/>
    <s v="May"/>
    <x v="0"/>
    <x v="1"/>
    <s v="Cancelld"/>
    <x v="1"/>
    <x v="1"/>
    <x v="2"/>
    <n v="833"/>
    <n v="1191.19"/>
  </r>
  <r>
    <s v="AD01-9362"/>
    <x v="1"/>
    <s v="May"/>
    <x v="0"/>
    <x v="1"/>
    <s v="Cancelld"/>
    <x v="1"/>
    <x v="1"/>
    <x v="2"/>
    <n v="866"/>
    <n v="1238.3800000000001"/>
  </r>
  <r>
    <s v="AD01-9362"/>
    <x v="1"/>
    <s v="May"/>
    <x v="0"/>
    <x v="1"/>
    <s v="Cancelld"/>
    <x v="1"/>
    <x v="1"/>
    <x v="2"/>
    <n v="311"/>
    <n v="444.73"/>
  </r>
  <r>
    <s v="AD01-9362"/>
    <x v="1"/>
    <s v="Nov"/>
    <x v="1"/>
    <x v="1"/>
    <s v="Cancelld"/>
    <x v="1"/>
    <x v="1"/>
    <x v="2"/>
    <n v="350"/>
    <n v="500.5"/>
  </r>
  <r>
    <s v="AD01-9361"/>
    <x v="1"/>
    <s v="Nov"/>
    <x v="1"/>
    <x v="1"/>
    <s v="Cancelld"/>
    <x v="1"/>
    <x v="1"/>
    <x v="2"/>
    <n v="304"/>
    <n v="434.72"/>
  </r>
  <r>
    <s v="AD01-9361"/>
    <x v="1"/>
    <s v="Nov"/>
    <x v="1"/>
    <x v="1"/>
    <s v="Cancelld"/>
    <x v="1"/>
    <x v="1"/>
    <x v="2"/>
    <n v="352"/>
    <n v="503.36"/>
  </r>
  <r>
    <s v="AD01-9361"/>
    <x v="1"/>
    <s v="Nov"/>
    <x v="1"/>
    <x v="1"/>
    <s v="Cancelld"/>
    <x v="1"/>
    <x v="1"/>
    <x v="2"/>
    <n v="829"/>
    <n v="1185.47"/>
  </r>
  <r>
    <s v="AD01-9362"/>
    <x v="1"/>
    <s v="Nov"/>
    <x v="1"/>
    <x v="1"/>
    <s v="Cancelld"/>
    <x v="1"/>
    <x v="1"/>
    <x v="2"/>
    <n v="862"/>
    <n v="1232.6599999999999"/>
  </r>
  <r>
    <s v="AD01-9361"/>
    <x v="1"/>
    <s v="Nov"/>
    <x v="1"/>
    <x v="1"/>
    <s v="Cancelld"/>
    <x v="1"/>
    <x v="1"/>
    <x v="2"/>
    <n v="918"/>
    <n v="1312.74"/>
  </r>
  <r>
    <s v="AD01-9361"/>
    <x v="1"/>
    <s v="Nov"/>
    <x v="1"/>
    <x v="1"/>
    <s v="Cancelld"/>
    <x v="1"/>
    <x v="1"/>
    <x v="2"/>
    <n v="919"/>
    <n v="1314.17"/>
  </r>
  <r>
    <s v="AD01-9362"/>
    <x v="1"/>
    <s v="Nov"/>
    <x v="1"/>
    <x v="1"/>
    <s v="Cancelld"/>
    <x v="1"/>
    <x v="1"/>
    <x v="2"/>
    <n v="920"/>
    <n v="1315.6"/>
  </r>
  <r>
    <s v="AD01-9362"/>
    <x v="1"/>
    <s v="Nov"/>
    <x v="1"/>
    <x v="1"/>
    <s v="Cancelld"/>
    <x v="1"/>
    <x v="1"/>
    <x v="2"/>
    <n v="869"/>
    <n v="526.24"/>
  </r>
  <r>
    <s v="AD01-9362"/>
    <x v="1"/>
    <s v="Nov"/>
    <x v="1"/>
    <x v="1"/>
    <s v="Cancelld"/>
    <x v="1"/>
    <x v="1"/>
    <x v="2"/>
    <n v="351"/>
    <n v="501.93"/>
  </r>
  <r>
    <s v="AD01-9361"/>
    <x v="1"/>
    <s v="Nov"/>
    <x v="1"/>
    <x v="1"/>
    <s v="Cancelld"/>
    <x v="1"/>
    <x v="1"/>
    <x v="2"/>
    <n v="261"/>
    <n v="373.23"/>
  </r>
  <r>
    <s v="AD01-9361"/>
    <x v="1"/>
    <s v="Nov"/>
    <x v="1"/>
    <x v="1"/>
    <s v="Cancelld"/>
    <x v="1"/>
    <x v="1"/>
    <x v="2"/>
    <n v="255"/>
    <n v="364.65"/>
  </r>
  <r>
    <s v="AD01-9361"/>
    <x v="1"/>
    <s v="Nov"/>
    <x v="1"/>
    <x v="1"/>
    <s v="Cancelld"/>
    <x v="1"/>
    <x v="1"/>
    <x v="2"/>
    <n v="307"/>
    <n v="439.01"/>
  </r>
  <r>
    <s v="AD01-9361"/>
    <x v="1"/>
    <s v="Nov"/>
    <x v="1"/>
    <x v="1"/>
    <s v="Cancelld"/>
    <x v="1"/>
    <x v="1"/>
    <x v="2"/>
    <n v="838"/>
    <n v="1198.3399999999999"/>
  </r>
  <r>
    <s v="AD01-9362"/>
    <x v="1"/>
    <s v="Nov"/>
    <x v="1"/>
    <x v="1"/>
    <s v="Cancelld"/>
    <x v="1"/>
    <x v="1"/>
    <x v="2"/>
    <n v="871"/>
    <n v="1245.53"/>
  </r>
  <r>
    <s v="AD01-9362"/>
    <x v="1"/>
    <s v="Oct"/>
    <x v="1"/>
    <x v="1"/>
    <s v="Cancelld"/>
    <x v="1"/>
    <x v="1"/>
    <x v="2"/>
    <n v="308"/>
    <n v="440.44"/>
  </r>
  <r>
    <s v="AD01-9365"/>
    <x v="1"/>
    <s v="Oct"/>
    <x v="1"/>
    <x v="1"/>
    <s v="Cancelld"/>
    <x v="1"/>
    <x v="1"/>
    <x v="2"/>
    <n v="356"/>
    <n v="509.08"/>
  </r>
  <r>
    <s v="AD01-9362"/>
    <x v="1"/>
    <s v="Oct"/>
    <x v="1"/>
    <x v="1"/>
    <s v="Cancelld"/>
    <x v="1"/>
    <x v="1"/>
    <x v="2"/>
    <n v="310"/>
    <n v="443.3"/>
  </r>
  <r>
    <s v="AD01-9361"/>
    <x v="1"/>
    <s v="Oct"/>
    <x v="1"/>
    <x v="1"/>
    <s v="Cancelld"/>
    <x v="1"/>
    <x v="1"/>
    <x v="2"/>
    <n v="358"/>
    <n v="511.94"/>
  </r>
  <r>
    <s v="AD01-9361"/>
    <x v="1"/>
    <s v="Oct"/>
    <x v="1"/>
    <x v="1"/>
    <s v="Cancelld"/>
    <x v="1"/>
    <x v="1"/>
    <x v="2"/>
    <n v="828"/>
    <n v="1184.04"/>
  </r>
  <r>
    <s v="AD01-9363"/>
    <x v="1"/>
    <s v="Oct"/>
    <x v="1"/>
    <x v="1"/>
    <s v="Cancelld"/>
    <x v="1"/>
    <x v="1"/>
    <x v="2"/>
    <n v="915"/>
    <n v="1308.45"/>
  </r>
  <r>
    <s v="AD01-9362"/>
    <x v="1"/>
    <s v="Oct"/>
    <x v="1"/>
    <x v="1"/>
    <s v="Cancelld"/>
    <x v="1"/>
    <x v="1"/>
    <x v="2"/>
    <n v="916"/>
    <n v="1309.8800000000001"/>
  </r>
  <r>
    <s v="AD01-9362"/>
    <x v="1"/>
    <s v="Oct"/>
    <x v="1"/>
    <x v="1"/>
    <s v="Cancelld"/>
    <x v="1"/>
    <x v="1"/>
    <x v="2"/>
    <n v="917"/>
    <n v="1311.31"/>
  </r>
  <r>
    <s v="AD01-9362"/>
    <x v="1"/>
    <s v="Oct"/>
    <x v="1"/>
    <x v="1"/>
    <s v="Cancelld"/>
    <x v="1"/>
    <x v="1"/>
    <x v="2"/>
    <n v="868"/>
    <n v="526.24"/>
  </r>
  <r>
    <s v="AD01-9364"/>
    <x v="1"/>
    <s v="Oct"/>
    <x v="1"/>
    <x v="1"/>
    <s v="Cancelld"/>
    <x v="1"/>
    <x v="1"/>
    <x v="2"/>
    <n v="357"/>
    <n v="526.24"/>
  </r>
  <r>
    <s v="AD01-9361"/>
    <x v="1"/>
    <s v="Oct"/>
    <x v="1"/>
    <x v="1"/>
    <s v="Cancelld"/>
    <x v="1"/>
    <x v="1"/>
    <x v="2"/>
    <n v="279"/>
    <n v="398.97"/>
  </r>
  <r>
    <s v="AD01-9362"/>
    <x v="1"/>
    <s v="Oct"/>
    <x v="1"/>
    <x v="1"/>
    <s v="Cancelld"/>
    <x v="1"/>
    <x v="1"/>
    <x v="2"/>
    <n v="273"/>
    <n v="390.39"/>
  </r>
  <r>
    <s v="AD01-9362"/>
    <x v="1"/>
    <s v="Oct"/>
    <x v="1"/>
    <x v="1"/>
    <s v="Cancelld"/>
    <x v="1"/>
    <x v="1"/>
    <x v="2"/>
    <n v="267"/>
    <n v="381.81"/>
  </r>
  <r>
    <s v="AD01-9363"/>
    <x v="1"/>
    <s v="Oct"/>
    <x v="1"/>
    <x v="1"/>
    <s v="Cancelld"/>
    <x v="1"/>
    <x v="1"/>
    <x v="2"/>
    <n v="313"/>
    <n v="447.59000000000003"/>
  </r>
  <r>
    <s v="AD01-9361"/>
    <x v="1"/>
    <s v="Oct"/>
    <x v="1"/>
    <x v="1"/>
    <s v="Cancelld"/>
    <x v="1"/>
    <x v="1"/>
    <x v="2"/>
    <n v="355"/>
    <n v="507.65"/>
  </r>
  <r>
    <s v="AD01-9362"/>
    <x v="1"/>
    <s v="Oct"/>
    <x v="1"/>
    <x v="1"/>
    <s v="Cancelld"/>
    <x v="1"/>
    <x v="1"/>
    <x v="2"/>
    <n v="837"/>
    <n v="1196.9099999999999"/>
  </r>
  <r>
    <s v="AD01-9362"/>
    <x v="1"/>
    <s v="Oct"/>
    <x v="1"/>
    <x v="1"/>
    <s v="Cancelld"/>
    <x v="1"/>
    <x v="1"/>
    <x v="2"/>
    <n v="870"/>
    <n v="1244.0999999999999"/>
  </r>
  <r>
    <s v="AD01-9361"/>
    <x v="1"/>
    <s v="Sep"/>
    <x v="1"/>
    <x v="1"/>
    <s v="Cancelld"/>
    <x v="1"/>
    <x v="1"/>
    <x v="2"/>
    <n v="314"/>
    <n v="449.02"/>
  </r>
  <r>
    <s v="AD01-9364"/>
    <x v="1"/>
    <s v="Sep"/>
    <x v="1"/>
    <x v="1"/>
    <s v="Cancelld"/>
    <x v="1"/>
    <x v="1"/>
    <x v="2"/>
    <n v="362"/>
    <n v="517.66"/>
  </r>
  <r>
    <s v="AD01-9361"/>
    <x v="1"/>
    <s v="Sep"/>
    <x v="1"/>
    <x v="1"/>
    <s v="Cancelld"/>
    <x v="1"/>
    <x v="1"/>
    <x v="2"/>
    <n v="290"/>
    <n v="414.7"/>
  </r>
  <r>
    <s v="AD01-9361"/>
    <x v="1"/>
    <s v="Sep"/>
    <x v="1"/>
    <x v="1"/>
    <s v="Cancelld"/>
    <x v="1"/>
    <x v="1"/>
    <x v="2"/>
    <n v="316"/>
    <n v="451.88"/>
  </r>
  <r>
    <s v="AD01-9362"/>
    <x v="1"/>
    <s v="Sep"/>
    <x v="1"/>
    <x v="1"/>
    <s v="Cancelld"/>
    <x v="1"/>
    <x v="1"/>
    <x v="2"/>
    <n v="364"/>
    <n v="520.52"/>
  </r>
  <r>
    <s v="AD01-9362"/>
    <x v="1"/>
    <s v="Sep"/>
    <x v="1"/>
    <x v="1"/>
    <s v="Cancelld"/>
    <x v="1"/>
    <x v="1"/>
    <x v="2"/>
    <n v="827"/>
    <n v="1182.6100000000001"/>
  </r>
  <r>
    <s v="AD01-9361"/>
    <x v="1"/>
    <s v="Sep"/>
    <x v="1"/>
    <x v="1"/>
    <s v="Cancelld"/>
    <x v="1"/>
    <x v="1"/>
    <x v="2"/>
    <n v="861"/>
    <n v="1231.23"/>
  </r>
  <r>
    <s v="AD01-9361"/>
    <x v="1"/>
    <s v="Sep"/>
    <x v="1"/>
    <x v="1"/>
    <s v="Cancelld"/>
    <x v="1"/>
    <x v="1"/>
    <x v="2"/>
    <n v="914"/>
    <n v="1307.02"/>
  </r>
  <r>
    <s v="AD01-9361"/>
    <x v="1"/>
    <s v="Sep"/>
    <x v="1"/>
    <x v="1"/>
    <s v="Cancelld"/>
    <x v="1"/>
    <x v="1"/>
    <x v="2"/>
    <n v="867"/>
    <n v="526.24"/>
  </r>
  <r>
    <s v="AD01-9362"/>
    <x v="1"/>
    <s v="Sep"/>
    <x v="1"/>
    <x v="1"/>
    <s v="Cancelld"/>
    <x v="1"/>
    <x v="1"/>
    <x v="2"/>
    <n v="363"/>
    <n v="526.24"/>
  </r>
  <r>
    <s v="AD01-9362"/>
    <x v="1"/>
    <s v="Sep"/>
    <x v="1"/>
    <x v="1"/>
    <s v="Cancelld"/>
    <x v="1"/>
    <x v="1"/>
    <x v="2"/>
    <n v="291"/>
    <n v="416.13"/>
  </r>
  <r>
    <s v="AD01-9361"/>
    <x v="1"/>
    <s v="Sep"/>
    <x v="1"/>
    <x v="1"/>
    <s v="Cancelld"/>
    <x v="1"/>
    <x v="1"/>
    <x v="2"/>
    <n v="285"/>
    <n v="407.55"/>
  </r>
  <r>
    <s v="AD01-9361"/>
    <x v="1"/>
    <s v="Sep"/>
    <x v="1"/>
    <x v="1"/>
    <s v="Cancelld"/>
    <x v="1"/>
    <x v="1"/>
    <x v="2"/>
    <n v="361"/>
    <n v="516.23"/>
  </r>
  <r>
    <s v="AD01-9361"/>
    <x v="1"/>
    <s v="Sep"/>
    <x v="1"/>
    <x v="1"/>
    <s v="Cancelld"/>
    <x v="1"/>
    <x v="1"/>
    <x v="2"/>
    <n v="289"/>
    <n v="413.27"/>
  </r>
  <r>
    <s v="AD01-9361"/>
    <x v="1"/>
    <s v="Sep"/>
    <x v="1"/>
    <x v="1"/>
    <s v="Cancelld"/>
    <x v="1"/>
    <x v="1"/>
    <x v="2"/>
    <n v="836"/>
    <n v="1195.48"/>
  </r>
  <r>
    <s v="AD01-9361"/>
    <x v="1"/>
    <s v="Sep"/>
    <x v="1"/>
    <x v="1"/>
    <s v="Cancelld"/>
    <x v="1"/>
    <x v="1"/>
    <x v="2"/>
    <n v="869"/>
    <n v="1242.67"/>
  </r>
  <r>
    <s v="AD01-9364"/>
    <x v="1"/>
    <s v="Aug"/>
    <x v="0"/>
    <x v="1"/>
    <s v="Cancelld"/>
    <x v="0"/>
    <x v="1"/>
    <x v="0"/>
    <n v="340"/>
    <n v="486.2"/>
  </r>
  <r>
    <s v="AD01-9362"/>
    <x v="1"/>
    <s v="Aug"/>
    <x v="0"/>
    <x v="1"/>
    <s v="Cancelld"/>
    <x v="0"/>
    <x v="1"/>
    <x v="0"/>
    <n v="334"/>
    <n v="477.62"/>
  </r>
  <r>
    <s v="AD01-9362"/>
    <x v="1"/>
    <s v="Aug"/>
    <x v="0"/>
    <x v="1"/>
    <s v="Cancelld"/>
    <x v="0"/>
    <x v="1"/>
    <x v="0"/>
    <n v="337"/>
    <n v="481.90999999999997"/>
  </r>
  <r>
    <s v="AD01-9364"/>
    <x v="1"/>
    <s v="Aug"/>
    <x v="0"/>
    <x v="1"/>
    <s v="Cancelld"/>
    <x v="0"/>
    <x v="1"/>
    <x v="0"/>
    <n v="331"/>
    <n v="473.33"/>
  </r>
  <r>
    <s v="AD01-9361"/>
    <x v="1"/>
    <s v="Sep"/>
    <x v="0"/>
    <x v="1"/>
    <s v="Cancelld"/>
    <x v="0"/>
    <x v="1"/>
    <x v="0"/>
    <n v="328"/>
    <n v="469.03999999999996"/>
  </r>
  <r>
    <s v="AD01-9362"/>
    <x v="1"/>
    <s v="Sep"/>
    <x v="0"/>
    <x v="1"/>
    <s v="Cancelld"/>
    <x v="0"/>
    <x v="1"/>
    <x v="0"/>
    <n v="322"/>
    <n v="460.46000000000004"/>
  </r>
  <r>
    <s v="AD01-9361"/>
    <x v="1"/>
    <s v="Sep"/>
    <x v="0"/>
    <x v="1"/>
    <s v="Cancelld"/>
    <x v="0"/>
    <x v="1"/>
    <x v="0"/>
    <n v="316"/>
    <n v="451.88"/>
  </r>
  <r>
    <s v="AD01-9362"/>
    <x v="1"/>
    <s v="Sep"/>
    <x v="0"/>
    <x v="1"/>
    <s v="Cancelld"/>
    <x v="0"/>
    <x v="1"/>
    <x v="0"/>
    <n v="325"/>
    <n v="464.75"/>
  </r>
  <r>
    <s v="AD01-9364"/>
    <x v="1"/>
    <s v="Sep"/>
    <x v="0"/>
    <x v="1"/>
    <s v="Cancelld"/>
    <x v="0"/>
    <x v="1"/>
    <x v="0"/>
    <n v="319"/>
    <n v="456.16999999999996"/>
  </r>
  <r>
    <s v="AD01-9361"/>
    <x v="1"/>
    <s v="Sep"/>
    <x v="0"/>
    <x v="1"/>
    <s v="Cancelld"/>
    <x v="0"/>
    <x v="1"/>
    <x v="0"/>
    <n v="313"/>
    <n v="447.59000000000003"/>
  </r>
  <r>
    <s v="AD01-9364"/>
    <x v="2"/>
    <s v="Apr"/>
    <x v="0"/>
    <x v="0"/>
    <s v="Order assembled"/>
    <x v="1"/>
    <x v="0"/>
    <x v="0"/>
    <n v="212"/>
    <n v="303.15999999999997"/>
  </r>
  <r>
    <s v="AD01-9362"/>
    <x v="2"/>
    <s v="Apr"/>
    <x v="0"/>
    <x v="0"/>
    <s v="Order assembled"/>
    <x v="1"/>
    <x v="0"/>
    <x v="0"/>
    <n v="206"/>
    <n v="294.58"/>
  </r>
  <r>
    <s v="AD01-9364"/>
    <x v="2"/>
    <s v="Apr"/>
    <x v="0"/>
    <x v="0"/>
    <s v="Order assembled"/>
    <x v="1"/>
    <x v="0"/>
    <x v="1"/>
    <n v="216"/>
    <n v="308.88"/>
  </r>
  <r>
    <s v="AD01-9362"/>
    <x v="2"/>
    <s v="Apr"/>
    <x v="0"/>
    <x v="0"/>
    <s v="Order assembled"/>
    <x v="1"/>
    <x v="0"/>
    <x v="1"/>
    <n v="210"/>
    <n v="300.3"/>
  </r>
  <r>
    <s v="AD01-9364"/>
    <x v="2"/>
    <s v="Apr"/>
    <x v="0"/>
    <x v="0"/>
    <s v="Order assembled"/>
    <x v="1"/>
    <x v="0"/>
    <x v="1"/>
    <n v="204"/>
    <n v="291.72000000000003"/>
  </r>
  <r>
    <s v="AD01-9364"/>
    <x v="2"/>
    <s v="Apr"/>
    <x v="0"/>
    <x v="0"/>
    <s v="Order assembled"/>
    <x v="1"/>
    <x v="0"/>
    <x v="1"/>
    <n v="213"/>
    <n v="304.59000000000003"/>
  </r>
  <r>
    <s v="AD01-9361"/>
    <x v="2"/>
    <s v="Apr"/>
    <x v="0"/>
    <x v="0"/>
    <s v="Order assembled"/>
    <x v="1"/>
    <x v="0"/>
    <x v="1"/>
    <n v="207"/>
    <n v="296.01"/>
  </r>
  <r>
    <s v="AD01-9362"/>
    <x v="2"/>
    <s v="Apr"/>
    <x v="0"/>
    <x v="0"/>
    <s v="Order assembled"/>
    <x v="1"/>
    <x v="0"/>
    <x v="1"/>
    <n v="201"/>
    <n v="287.43"/>
  </r>
  <r>
    <s v="AD01-9362"/>
    <x v="2"/>
    <s v="Apr"/>
    <x v="0"/>
    <x v="0"/>
    <s v="Order assembled"/>
    <x v="1"/>
    <x v="0"/>
    <x v="0"/>
    <n v="215"/>
    <n v="307.45"/>
  </r>
  <r>
    <s v="AD01-9362"/>
    <x v="2"/>
    <s v="Apr"/>
    <x v="0"/>
    <x v="0"/>
    <s v="Order assembled"/>
    <x v="1"/>
    <x v="0"/>
    <x v="0"/>
    <n v="209"/>
    <n v="298.87"/>
  </r>
  <r>
    <s v="AD01-9363"/>
    <x v="2"/>
    <s v="Apr"/>
    <x v="0"/>
    <x v="0"/>
    <s v="Order assembled"/>
    <x v="1"/>
    <x v="0"/>
    <x v="0"/>
    <n v="203"/>
    <n v="290.28999999999996"/>
  </r>
  <r>
    <s v="AD01-9362"/>
    <x v="2"/>
    <s v="Aug"/>
    <x v="0"/>
    <x v="0"/>
    <s v="Order assembled"/>
    <x v="1"/>
    <x v="0"/>
    <x v="1"/>
    <n v="158"/>
    <n v="225.94"/>
  </r>
  <r>
    <s v="AD01-9362"/>
    <x v="2"/>
    <s v="Aug"/>
    <x v="0"/>
    <x v="0"/>
    <s v="Order assembled"/>
    <x v="1"/>
    <x v="0"/>
    <x v="1"/>
    <n v="160"/>
    <n v="228.8"/>
  </r>
  <r>
    <s v="AD01-9365"/>
    <x v="2"/>
    <s v="Aug"/>
    <x v="0"/>
    <x v="0"/>
    <s v="Order assembled"/>
    <x v="1"/>
    <x v="0"/>
    <x v="1"/>
    <n v="162"/>
    <n v="231.66"/>
  </r>
  <r>
    <s v="AD01-9361"/>
    <x v="2"/>
    <s v="Aug"/>
    <x v="0"/>
    <x v="0"/>
    <s v="Order assembled"/>
    <x v="1"/>
    <x v="0"/>
    <x v="1"/>
    <n v="159"/>
    <n v="227.37"/>
  </r>
  <r>
    <s v="AD01-9362"/>
    <x v="2"/>
    <s v="Aug"/>
    <x v="0"/>
    <x v="0"/>
    <s v="Order assembled"/>
    <x v="1"/>
    <x v="0"/>
    <x v="1"/>
    <n v="161"/>
    <n v="230.23000000000002"/>
  </r>
  <r>
    <s v="AD01-9363"/>
    <x v="2"/>
    <s v="Feb"/>
    <x v="0"/>
    <x v="0"/>
    <s v="Order assembled"/>
    <x v="1"/>
    <x v="0"/>
    <x v="0"/>
    <n v="248"/>
    <n v="354.64"/>
  </r>
  <r>
    <s v="AD01-9362"/>
    <x v="2"/>
    <s v="Feb"/>
    <x v="0"/>
    <x v="0"/>
    <s v="Order assembled"/>
    <x v="1"/>
    <x v="0"/>
    <x v="0"/>
    <n v="242"/>
    <n v="346.06"/>
  </r>
  <r>
    <s v="AD01-9364"/>
    <x v="2"/>
    <s v="Feb"/>
    <x v="0"/>
    <x v="0"/>
    <s v="Order assembled"/>
    <x v="1"/>
    <x v="0"/>
    <x v="0"/>
    <n v="236"/>
    <n v="337.48"/>
  </r>
  <r>
    <s v="AD01-9364"/>
    <x v="2"/>
    <s v="Feb"/>
    <x v="0"/>
    <x v="0"/>
    <s v="Order assembled"/>
    <x v="1"/>
    <x v="0"/>
    <x v="1"/>
    <n v="246"/>
    <n v="351.78"/>
  </r>
  <r>
    <s v="AD01-9361"/>
    <x v="2"/>
    <s v="Feb"/>
    <x v="0"/>
    <x v="0"/>
    <s v="Order assembled"/>
    <x v="1"/>
    <x v="0"/>
    <x v="1"/>
    <n v="240"/>
    <n v="343.2"/>
  </r>
  <r>
    <s v="AD01-9364"/>
    <x v="2"/>
    <s v="Feb"/>
    <x v="0"/>
    <x v="0"/>
    <s v="Order assembled"/>
    <x v="1"/>
    <x v="0"/>
    <x v="1"/>
    <n v="234"/>
    <n v="334.62"/>
  </r>
  <r>
    <s v="AD01-9361"/>
    <x v="2"/>
    <s v="Feb"/>
    <x v="0"/>
    <x v="0"/>
    <s v="Order assembled"/>
    <x v="1"/>
    <x v="0"/>
    <x v="1"/>
    <n v="243"/>
    <n v="347.49"/>
  </r>
  <r>
    <s v="AD01-9362"/>
    <x v="2"/>
    <s v="Feb"/>
    <x v="0"/>
    <x v="0"/>
    <s v="Order assembled"/>
    <x v="1"/>
    <x v="0"/>
    <x v="1"/>
    <n v="237"/>
    <n v="338.90999999999997"/>
  </r>
  <r>
    <s v="AD01-9364"/>
    <x v="2"/>
    <s v="Feb"/>
    <x v="0"/>
    <x v="0"/>
    <s v="Order assembled"/>
    <x v="1"/>
    <x v="0"/>
    <x v="0"/>
    <n v="245"/>
    <n v="350.35"/>
  </r>
  <r>
    <s v="AD01-9362"/>
    <x v="2"/>
    <s v="Feb"/>
    <x v="0"/>
    <x v="0"/>
    <s v="Order assembled"/>
    <x v="1"/>
    <x v="0"/>
    <x v="0"/>
    <n v="239"/>
    <n v="341.77"/>
  </r>
  <r>
    <s v="AD01-9362"/>
    <x v="2"/>
    <s v="Feb"/>
    <x v="0"/>
    <x v="0"/>
    <s v="Order assembled"/>
    <x v="1"/>
    <x v="0"/>
    <x v="0"/>
    <n v="233"/>
    <n v="333.19"/>
  </r>
  <r>
    <s v="AD01-9362"/>
    <x v="2"/>
    <s v="Jan"/>
    <x v="0"/>
    <x v="0"/>
    <s v="Order assembled"/>
    <x v="1"/>
    <x v="0"/>
    <x v="0"/>
    <n v="260"/>
    <n v="371.8"/>
  </r>
  <r>
    <s v="AD01-9364"/>
    <x v="2"/>
    <s v="Jan"/>
    <x v="0"/>
    <x v="0"/>
    <s v="Order assembled"/>
    <x v="1"/>
    <x v="0"/>
    <x v="0"/>
    <n v="254"/>
    <n v="363.22"/>
  </r>
  <r>
    <s v="AD01-9361"/>
    <x v="2"/>
    <s v="Jan"/>
    <x v="0"/>
    <x v="0"/>
    <s v="Order assembled"/>
    <x v="1"/>
    <x v="0"/>
    <x v="0"/>
    <n v="264"/>
    <n v="526.24"/>
  </r>
  <r>
    <s v="AD01-9364"/>
    <x v="2"/>
    <s v="Jan"/>
    <x v="0"/>
    <x v="0"/>
    <s v="Order assembled"/>
    <x v="1"/>
    <x v="0"/>
    <x v="1"/>
    <n v="258"/>
    <n v="526.24"/>
  </r>
  <r>
    <s v="AD01-9362"/>
    <x v="2"/>
    <s v="Jan"/>
    <x v="0"/>
    <x v="0"/>
    <s v="Order assembled"/>
    <x v="1"/>
    <x v="0"/>
    <x v="1"/>
    <n v="252"/>
    <n v="360.36"/>
  </r>
  <r>
    <s v="AD01-9361"/>
    <x v="2"/>
    <s v="Jan"/>
    <x v="0"/>
    <x v="0"/>
    <s v="Order assembled"/>
    <x v="1"/>
    <x v="0"/>
    <x v="0"/>
    <n v="261"/>
    <n v="373.23"/>
  </r>
  <r>
    <s v="AD01-9362"/>
    <x v="2"/>
    <s v="Jan"/>
    <x v="0"/>
    <x v="0"/>
    <s v="Order assembled"/>
    <x v="1"/>
    <x v="0"/>
    <x v="1"/>
    <n v="255"/>
    <n v="364.65"/>
  </r>
  <r>
    <s v="AD01-9361"/>
    <x v="2"/>
    <s v="Jan"/>
    <x v="0"/>
    <x v="0"/>
    <s v="Order assembled"/>
    <x v="1"/>
    <x v="0"/>
    <x v="1"/>
    <n v="249"/>
    <n v="356.07"/>
  </r>
  <r>
    <s v="AD01-9363"/>
    <x v="2"/>
    <s v="Jan"/>
    <x v="0"/>
    <x v="0"/>
    <s v="Order assembled"/>
    <x v="1"/>
    <x v="0"/>
    <x v="0"/>
    <n v="263"/>
    <n v="376.09000000000003"/>
  </r>
  <r>
    <s v="AD01-9362"/>
    <x v="2"/>
    <s v="Jan"/>
    <x v="0"/>
    <x v="0"/>
    <s v="Order assembled"/>
    <x v="1"/>
    <x v="0"/>
    <x v="0"/>
    <n v="257"/>
    <n v="367.51"/>
  </r>
  <r>
    <s v="AD01-9361"/>
    <x v="2"/>
    <s v="Jan"/>
    <x v="0"/>
    <x v="0"/>
    <s v="Order assembled"/>
    <x v="1"/>
    <x v="0"/>
    <x v="0"/>
    <n v="251"/>
    <n v="358.93"/>
  </r>
  <r>
    <s v="AD01-9365"/>
    <x v="2"/>
    <s v="Jul"/>
    <x v="0"/>
    <x v="0"/>
    <s v="Order assembled"/>
    <x v="1"/>
    <x v="0"/>
    <x v="1"/>
    <n v="164"/>
    <n v="234.51999999999998"/>
  </r>
  <r>
    <s v="AD01-9362"/>
    <x v="2"/>
    <s v="Jul"/>
    <x v="0"/>
    <x v="0"/>
    <s v="Order assembled"/>
    <x v="1"/>
    <x v="0"/>
    <x v="1"/>
    <n v="166"/>
    <n v="237.38"/>
  </r>
  <r>
    <s v="AD01-9362"/>
    <x v="2"/>
    <s v="Jul"/>
    <x v="0"/>
    <x v="0"/>
    <s v="Order assembled"/>
    <x v="1"/>
    <x v="0"/>
    <x v="1"/>
    <n v="168"/>
    <n v="240.24"/>
  </r>
  <r>
    <s v="AD01-9364"/>
    <x v="2"/>
    <s v="Jul"/>
    <x v="0"/>
    <x v="0"/>
    <s v="Order assembled"/>
    <x v="1"/>
    <x v="0"/>
    <x v="1"/>
    <n v="165"/>
    <n v="235.95"/>
  </r>
  <r>
    <s v="AD01-9362"/>
    <x v="2"/>
    <s v="Jul"/>
    <x v="0"/>
    <x v="0"/>
    <s v="Order assembled"/>
    <x v="1"/>
    <x v="0"/>
    <x v="1"/>
    <n v="163"/>
    <n v="233.09"/>
  </r>
  <r>
    <s v="AD01-9365"/>
    <x v="2"/>
    <s v="Jul"/>
    <x v="0"/>
    <x v="0"/>
    <s v="Order assembled"/>
    <x v="1"/>
    <x v="0"/>
    <x v="1"/>
    <n v="167"/>
    <n v="238.81"/>
  </r>
  <r>
    <s v="AD01-9362"/>
    <x v="2"/>
    <s v="Jun"/>
    <x v="0"/>
    <x v="0"/>
    <s v="Order assembled"/>
    <x v="1"/>
    <x v="0"/>
    <x v="0"/>
    <n v="182"/>
    <n v="260.26"/>
  </r>
  <r>
    <s v="AD01-9362"/>
    <x v="2"/>
    <s v="Jun"/>
    <x v="0"/>
    <x v="0"/>
    <s v="Order assembled"/>
    <x v="1"/>
    <x v="0"/>
    <x v="0"/>
    <n v="176"/>
    <n v="251.68"/>
  </r>
  <r>
    <s v="AD01-9362"/>
    <x v="2"/>
    <s v="Jun"/>
    <x v="0"/>
    <x v="0"/>
    <s v="Order assembled"/>
    <x v="1"/>
    <x v="0"/>
    <x v="0"/>
    <n v="170"/>
    <n v="243.1"/>
  </r>
  <r>
    <s v="AD01-9362"/>
    <x v="2"/>
    <s v="Jun"/>
    <x v="0"/>
    <x v="0"/>
    <s v="Order assembled"/>
    <x v="1"/>
    <x v="0"/>
    <x v="1"/>
    <n v="180"/>
    <n v="257.39999999999998"/>
  </r>
  <r>
    <s v="AD01-9361"/>
    <x v="2"/>
    <s v="Jun"/>
    <x v="0"/>
    <x v="0"/>
    <s v="Order assembled"/>
    <x v="1"/>
    <x v="0"/>
    <x v="1"/>
    <n v="174"/>
    <n v="248.82"/>
  </r>
  <r>
    <s v="AD01-9361"/>
    <x v="2"/>
    <s v="Jun"/>
    <x v="0"/>
    <x v="0"/>
    <s v="Order assembled"/>
    <x v="1"/>
    <x v="0"/>
    <x v="1"/>
    <n v="183"/>
    <n v="261.69"/>
  </r>
  <r>
    <s v="AD01-9362"/>
    <x v="2"/>
    <s v="Jun"/>
    <x v="0"/>
    <x v="0"/>
    <s v="Order assembled"/>
    <x v="1"/>
    <x v="0"/>
    <x v="1"/>
    <n v="177"/>
    <n v="253.11"/>
  </r>
  <r>
    <s v="AD01-9362"/>
    <x v="2"/>
    <s v="Jun"/>
    <x v="0"/>
    <x v="0"/>
    <s v="Order assembled"/>
    <x v="1"/>
    <x v="0"/>
    <x v="1"/>
    <n v="171"/>
    <n v="244.53"/>
  </r>
  <r>
    <s v="AD01-9363"/>
    <x v="2"/>
    <s v="Jun"/>
    <x v="0"/>
    <x v="0"/>
    <s v="Order assembled"/>
    <x v="1"/>
    <x v="0"/>
    <x v="0"/>
    <n v="179"/>
    <n v="255.97"/>
  </r>
  <r>
    <s v="AD01-9361"/>
    <x v="2"/>
    <s v="Jun"/>
    <x v="0"/>
    <x v="0"/>
    <s v="Order assembled"/>
    <x v="1"/>
    <x v="0"/>
    <x v="0"/>
    <n v="173"/>
    <n v="247.39"/>
  </r>
  <r>
    <s v="AD01-9361"/>
    <x v="2"/>
    <s v="Mar"/>
    <x v="0"/>
    <x v="0"/>
    <s v="Order assembled"/>
    <x v="1"/>
    <x v="0"/>
    <x v="0"/>
    <n v="230"/>
    <n v="328.9"/>
  </r>
  <r>
    <s v="AD01-9362"/>
    <x v="2"/>
    <s v="Mar"/>
    <x v="0"/>
    <x v="0"/>
    <s v="Order assembled"/>
    <x v="1"/>
    <x v="0"/>
    <x v="0"/>
    <n v="224"/>
    <n v="320.32"/>
  </r>
  <r>
    <s v="AD01-9363"/>
    <x v="2"/>
    <s v="Mar"/>
    <x v="0"/>
    <x v="0"/>
    <s v="Order assembled"/>
    <x v="1"/>
    <x v="0"/>
    <x v="0"/>
    <n v="218"/>
    <n v="311.74"/>
  </r>
  <r>
    <s v="AD01-9362"/>
    <x v="2"/>
    <s v="Mar"/>
    <x v="0"/>
    <x v="0"/>
    <s v="Order assembled"/>
    <x v="1"/>
    <x v="0"/>
    <x v="1"/>
    <n v="228"/>
    <n v="326.03999999999996"/>
  </r>
  <r>
    <s v="AD01-9362"/>
    <x v="2"/>
    <s v="Mar"/>
    <x v="0"/>
    <x v="0"/>
    <s v="Order assembled"/>
    <x v="1"/>
    <x v="0"/>
    <x v="1"/>
    <n v="222"/>
    <n v="317.45999999999998"/>
  </r>
  <r>
    <s v="AD01-9363"/>
    <x v="2"/>
    <s v="Mar"/>
    <x v="0"/>
    <x v="0"/>
    <s v="Order assembled"/>
    <x v="1"/>
    <x v="0"/>
    <x v="1"/>
    <n v="231"/>
    <n v="330.33"/>
  </r>
  <r>
    <s v="AD01-9364"/>
    <x v="2"/>
    <s v="Mar"/>
    <x v="0"/>
    <x v="0"/>
    <s v="Order assembled"/>
    <x v="1"/>
    <x v="0"/>
    <x v="1"/>
    <n v="225"/>
    <n v="321.75"/>
  </r>
  <r>
    <s v="AD01-9365"/>
    <x v="2"/>
    <s v="Mar"/>
    <x v="0"/>
    <x v="0"/>
    <s v="Order assembled"/>
    <x v="1"/>
    <x v="0"/>
    <x v="1"/>
    <n v="219"/>
    <n v="526.24"/>
  </r>
  <r>
    <s v="AD01-9361"/>
    <x v="2"/>
    <s v="Mar"/>
    <x v="0"/>
    <x v="0"/>
    <s v="Order assembled"/>
    <x v="1"/>
    <x v="0"/>
    <x v="0"/>
    <n v="227"/>
    <n v="324.61"/>
  </r>
  <r>
    <s v="AD01-9361"/>
    <x v="2"/>
    <s v="Mar"/>
    <x v="0"/>
    <x v="0"/>
    <s v="Order assembled"/>
    <x v="1"/>
    <x v="0"/>
    <x v="0"/>
    <n v="221"/>
    <n v="316.02999999999997"/>
  </r>
  <r>
    <s v="AD01-9361"/>
    <x v="2"/>
    <s v="May"/>
    <x v="0"/>
    <x v="0"/>
    <s v="Order assembled"/>
    <x v="1"/>
    <x v="0"/>
    <x v="0"/>
    <n v="200"/>
    <n v="286"/>
  </r>
  <r>
    <s v="AD01-9362"/>
    <x v="2"/>
    <s v="May"/>
    <x v="0"/>
    <x v="0"/>
    <s v="Order assembled"/>
    <x v="1"/>
    <x v="0"/>
    <x v="0"/>
    <n v="194"/>
    <n v="277.42"/>
  </r>
  <r>
    <s v="AD01-9362"/>
    <x v="2"/>
    <s v="May"/>
    <x v="0"/>
    <x v="0"/>
    <s v="Order assembled"/>
    <x v="1"/>
    <x v="0"/>
    <x v="0"/>
    <n v="188"/>
    <n v="268.84000000000003"/>
  </r>
  <r>
    <s v="AD01-9362"/>
    <x v="2"/>
    <s v="May"/>
    <x v="0"/>
    <x v="0"/>
    <s v="Order assembled"/>
    <x v="1"/>
    <x v="0"/>
    <x v="1"/>
    <n v="198"/>
    <n v="283.14"/>
  </r>
  <r>
    <s v="AD01-9362"/>
    <x v="2"/>
    <s v="May"/>
    <x v="0"/>
    <x v="0"/>
    <s v="Order assembled"/>
    <x v="1"/>
    <x v="0"/>
    <x v="1"/>
    <n v="192"/>
    <n v="274.56"/>
  </r>
  <r>
    <s v="AD01-9362"/>
    <x v="2"/>
    <s v="May"/>
    <x v="0"/>
    <x v="0"/>
    <s v="Order assembled"/>
    <x v="1"/>
    <x v="0"/>
    <x v="1"/>
    <n v="186"/>
    <n v="265.98"/>
  </r>
  <r>
    <s v="AD01-9361"/>
    <x v="2"/>
    <s v="May"/>
    <x v="0"/>
    <x v="0"/>
    <s v="Order assembled"/>
    <x v="1"/>
    <x v="0"/>
    <x v="1"/>
    <n v="195"/>
    <n v="278.85000000000002"/>
  </r>
  <r>
    <s v="AD01-9364"/>
    <x v="2"/>
    <s v="May"/>
    <x v="0"/>
    <x v="0"/>
    <s v="Order assembled"/>
    <x v="1"/>
    <x v="0"/>
    <x v="1"/>
    <n v="189"/>
    <n v="270.27"/>
  </r>
  <r>
    <s v="AD01-9364"/>
    <x v="2"/>
    <s v="May"/>
    <x v="0"/>
    <x v="0"/>
    <s v="Order assembled"/>
    <x v="1"/>
    <x v="0"/>
    <x v="0"/>
    <n v="197"/>
    <n v="281.70999999999998"/>
  </r>
  <r>
    <s v="AD01-9364"/>
    <x v="2"/>
    <s v="May"/>
    <x v="0"/>
    <x v="0"/>
    <s v="Order assembled"/>
    <x v="1"/>
    <x v="0"/>
    <x v="0"/>
    <n v="191"/>
    <n v="273.13"/>
  </r>
  <r>
    <s v="AD01-9364"/>
    <x v="2"/>
    <s v="May"/>
    <x v="0"/>
    <x v="0"/>
    <s v="Order assembled"/>
    <x v="1"/>
    <x v="0"/>
    <x v="0"/>
    <n v="185"/>
    <n v="264.55"/>
  </r>
  <r>
    <s v="AD01-9361"/>
    <x v="2"/>
    <s v="Sep"/>
    <x v="0"/>
    <x v="0"/>
    <s v="Order assembled"/>
    <x v="1"/>
    <x v="0"/>
    <x v="1"/>
    <n v="154"/>
    <n v="220.22"/>
  </r>
  <r>
    <s v="AD01-9362"/>
    <x v="2"/>
    <s v="Sep"/>
    <x v="0"/>
    <x v="0"/>
    <s v="Order assembled"/>
    <x v="1"/>
    <x v="0"/>
    <x v="1"/>
    <n v="156"/>
    <n v="223.07999999999998"/>
  </r>
  <r>
    <s v="AD01-9362"/>
    <x v="2"/>
    <s v="Sep"/>
    <x v="0"/>
    <x v="0"/>
    <s v="Order assembled"/>
    <x v="1"/>
    <x v="0"/>
    <x v="1"/>
    <n v="153"/>
    <n v="218.79"/>
  </r>
  <r>
    <s v="AD01-9361"/>
    <x v="2"/>
    <s v="Sep"/>
    <x v="0"/>
    <x v="0"/>
    <s v="Order assembled"/>
    <x v="1"/>
    <x v="0"/>
    <x v="1"/>
    <n v="157"/>
    <n v="224.51"/>
  </r>
  <r>
    <s v="AD01-9363"/>
    <x v="2"/>
    <s v="Sep"/>
    <x v="0"/>
    <x v="0"/>
    <s v="Order assembled"/>
    <x v="1"/>
    <x v="0"/>
    <x v="1"/>
    <n v="155"/>
    <n v="221.65"/>
  </r>
  <r>
    <s v="AD01-9361"/>
    <x v="2"/>
    <s v="Sep"/>
    <x v="0"/>
    <x v="0"/>
    <s v="Order assembled"/>
    <x v="1"/>
    <x v="0"/>
    <x v="0"/>
    <n v="341"/>
    <n v="487.63"/>
  </r>
  <r>
    <s v="AD01-9361"/>
    <x v="2"/>
    <s v="Aug"/>
    <x v="1"/>
    <x v="0"/>
    <s v="Order assembled"/>
    <x v="1"/>
    <x v="0"/>
    <x v="0"/>
    <n v="254"/>
    <n v="363.22"/>
  </r>
  <r>
    <s v="AD01-9362"/>
    <x v="2"/>
    <s v="Aug"/>
    <x v="1"/>
    <x v="0"/>
    <s v="Order assembled"/>
    <x v="1"/>
    <x v="0"/>
    <x v="0"/>
    <n v="256"/>
    <n v="366.08"/>
  </r>
  <r>
    <s v="AD01-9362"/>
    <x v="2"/>
    <s v="Aug"/>
    <x v="1"/>
    <x v="0"/>
    <s v="Order assembled"/>
    <x v="1"/>
    <x v="0"/>
    <x v="0"/>
    <n v="961"/>
    <n v="1374.23"/>
  </r>
  <r>
    <s v="AD01-9362"/>
    <x v="2"/>
    <s v="Aug"/>
    <x v="1"/>
    <x v="0"/>
    <s v="Order assembled"/>
    <x v="1"/>
    <x v="0"/>
    <x v="0"/>
    <n v="255"/>
    <n v="364.65"/>
  </r>
  <r>
    <s v="AD01-9364"/>
    <x v="2"/>
    <s v="Aug"/>
    <x v="1"/>
    <x v="0"/>
    <s v="Order assembled"/>
    <x v="1"/>
    <x v="0"/>
    <x v="0"/>
    <n v="253"/>
    <n v="361.78999999999996"/>
  </r>
  <r>
    <s v="AD01-9364"/>
    <x v="2"/>
    <s v="Aug"/>
    <x v="1"/>
    <x v="0"/>
    <s v="Order assembled"/>
    <x v="1"/>
    <x v="0"/>
    <x v="0"/>
    <n v="251"/>
    <n v="358.93"/>
  </r>
  <r>
    <s v="AD01-9362"/>
    <x v="2"/>
    <s v="Jul"/>
    <x v="1"/>
    <x v="0"/>
    <s v="Order assembled"/>
    <x v="1"/>
    <x v="0"/>
    <x v="0"/>
    <n v="260"/>
    <n v="371.8"/>
  </r>
  <r>
    <s v="AD01-9362"/>
    <x v="2"/>
    <s v="Jul"/>
    <x v="1"/>
    <x v="0"/>
    <s v="Order assembled"/>
    <x v="1"/>
    <x v="0"/>
    <x v="0"/>
    <n v="960"/>
    <n v="1372.8"/>
  </r>
  <r>
    <s v="AD01-9363"/>
    <x v="2"/>
    <s v="Jul"/>
    <x v="1"/>
    <x v="0"/>
    <s v="Order assembled"/>
    <x v="1"/>
    <x v="0"/>
    <x v="0"/>
    <n v="261"/>
    <n v="373.23"/>
  </r>
  <r>
    <s v="AD01-9362"/>
    <x v="2"/>
    <s v="Jul"/>
    <x v="1"/>
    <x v="0"/>
    <s v="Order assembled"/>
    <x v="1"/>
    <x v="0"/>
    <x v="0"/>
    <n v="259"/>
    <n v="370.37"/>
  </r>
  <r>
    <s v="AD01-9362"/>
    <x v="2"/>
    <s v="Jul"/>
    <x v="1"/>
    <x v="0"/>
    <s v="Order assembled"/>
    <x v="1"/>
    <x v="0"/>
    <x v="0"/>
    <n v="257"/>
    <n v="367.51"/>
  </r>
  <r>
    <s v="AD01-9361"/>
    <x v="2"/>
    <s v="Sep"/>
    <x v="1"/>
    <x v="0"/>
    <s v="Order assembled"/>
    <x v="1"/>
    <x v="0"/>
    <x v="0"/>
    <n v="248"/>
    <n v="354.64"/>
  </r>
  <r>
    <s v="AD01-9364"/>
    <x v="2"/>
    <s v="Sep"/>
    <x v="1"/>
    <x v="0"/>
    <s v="Order assembled"/>
    <x v="1"/>
    <x v="0"/>
    <x v="0"/>
    <n v="250"/>
    <n v="526.24"/>
  </r>
  <r>
    <s v="AD01-9362"/>
    <x v="2"/>
    <s v="Sep"/>
    <x v="1"/>
    <x v="0"/>
    <s v="Order assembled"/>
    <x v="1"/>
    <x v="0"/>
    <x v="0"/>
    <n v="249"/>
    <n v="356.07"/>
  </r>
  <r>
    <s v="AD01-9361"/>
    <x v="2"/>
    <s v="Sep"/>
    <x v="1"/>
    <x v="0"/>
    <s v="Order assembled"/>
    <x v="1"/>
    <x v="0"/>
    <x v="0"/>
    <n v="247"/>
    <n v="353.21"/>
  </r>
  <r>
    <s v="AD01-9361"/>
    <x v="2"/>
    <s v="Apr"/>
    <x v="0"/>
    <x v="0"/>
    <s v="Order assembled"/>
    <x v="0"/>
    <x v="0"/>
    <x v="1"/>
    <n v="356"/>
    <n v="484.15999999999997"/>
  </r>
  <r>
    <s v="AD01-9362"/>
    <x v="2"/>
    <s v="Apr"/>
    <x v="0"/>
    <x v="0"/>
    <s v="Order assembled"/>
    <x v="0"/>
    <x v="0"/>
    <x v="1"/>
    <n v="152"/>
    <n v="217.36"/>
  </r>
  <r>
    <s v="AD01-9364"/>
    <x v="2"/>
    <s v="Apr"/>
    <x v="0"/>
    <x v="1"/>
    <s v="Order assembled"/>
    <x v="0"/>
    <x v="0"/>
    <x v="1"/>
    <n v="352"/>
    <n v="503.36"/>
  </r>
  <r>
    <s v="AD01-9361"/>
    <x v="2"/>
    <s v="Apr"/>
    <x v="0"/>
    <x v="1"/>
    <s v="Order assembled"/>
    <x v="0"/>
    <x v="0"/>
    <x v="1"/>
    <n v="154"/>
    <n v="220.22"/>
  </r>
  <r>
    <s v="AD01-9365"/>
    <x v="2"/>
    <s v="Apr"/>
    <x v="0"/>
    <x v="1"/>
    <s v="Order assembled"/>
    <x v="0"/>
    <x v="0"/>
    <x v="1"/>
    <n v="698"/>
    <n v="998.14"/>
  </r>
  <r>
    <s v="AD01-9364"/>
    <x v="2"/>
    <s v="Apr"/>
    <x v="0"/>
    <x v="1"/>
    <s v="Order assembled"/>
    <x v="0"/>
    <x v="0"/>
    <x v="1"/>
    <n v="731"/>
    <n v="1045.33"/>
  </r>
  <r>
    <s v="AD01-9364"/>
    <x v="2"/>
    <s v="Apr"/>
    <x v="0"/>
    <x v="1"/>
    <s v="Order assembled"/>
    <x v="0"/>
    <x v="0"/>
    <x v="1"/>
    <n v="771"/>
    <n v="526.24"/>
  </r>
  <r>
    <s v="AD01-9364"/>
    <x v="2"/>
    <s v="Apr"/>
    <x v="0"/>
    <x v="1"/>
    <s v="Order assembled"/>
    <x v="0"/>
    <x v="0"/>
    <x v="1"/>
    <n v="355"/>
    <n v="507.65"/>
  </r>
  <r>
    <s v="AD01-9364"/>
    <x v="2"/>
    <s v="Apr"/>
    <x v="0"/>
    <x v="1"/>
    <s v="Order assembled"/>
    <x v="0"/>
    <x v="0"/>
    <x v="1"/>
    <n v="157"/>
    <n v="224.51"/>
  </r>
  <r>
    <s v="AD01-9362"/>
    <x v="2"/>
    <s v="Apr"/>
    <x v="0"/>
    <x v="1"/>
    <s v="Order assembled"/>
    <x v="0"/>
    <x v="0"/>
    <x v="1"/>
    <n v="353"/>
    <n v="504.78999999999996"/>
  </r>
  <r>
    <s v="AD01-9362"/>
    <x v="2"/>
    <s v="Apr"/>
    <x v="0"/>
    <x v="1"/>
    <s v="Order assembled"/>
    <x v="0"/>
    <x v="0"/>
    <x v="1"/>
    <n v="155"/>
    <n v="221.65"/>
  </r>
  <r>
    <s v="AD01-9362"/>
    <x v="2"/>
    <s v="Aug"/>
    <x v="0"/>
    <x v="1"/>
    <s v="Order assembled"/>
    <x v="0"/>
    <x v="0"/>
    <x v="1"/>
    <n v="332"/>
    <n v="451.52"/>
  </r>
  <r>
    <s v="AD01-9362"/>
    <x v="2"/>
    <s v="Aug"/>
    <x v="0"/>
    <x v="1"/>
    <s v="Order assembled"/>
    <x v="0"/>
    <x v="0"/>
    <x v="1"/>
    <n v="134"/>
    <n v="191.62"/>
  </r>
  <r>
    <s v="AD01-9361"/>
    <x v="2"/>
    <s v="Aug"/>
    <x v="0"/>
    <x v="1"/>
    <s v="Order assembled"/>
    <x v="0"/>
    <x v="0"/>
    <x v="1"/>
    <n v="334"/>
    <n v="477.62"/>
  </r>
  <r>
    <s v="AD01-9362"/>
    <x v="2"/>
    <s v="Aug"/>
    <x v="0"/>
    <x v="1"/>
    <s v="Order assembled"/>
    <x v="0"/>
    <x v="0"/>
    <x v="1"/>
    <n v="702"/>
    <n v="1003.86"/>
  </r>
  <r>
    <s v="AD01-9361"/>
    <x v="2"/>
    <s v="Aug"/>
    <x v="0"/>
    <x v="1"/>
    <s v="Order assembled"/>
    <x v="0"/>
    <x v="0"/>
    <x v="1"/>
    <n v="735"/>
    <n v="1051.05"/>
  </r>
  <r>
    <s v="AD01-9362"/>
    <x v="2"/>
    <s v="Aug"/>
    <x v="0"/>
    <x v="1"/>
    <s v="Order assembled"/>
    <x v="0"/>
    <x v="0"/>
    <x v="1"/>
    <n v="333"/>
    <n v="526.24"/>
  </r>
  <r>
    <s v="AD01-9365"/>
    <x v="2"/>
    <s v="Aug"/>
    <x v="0"/>
    <x v="1"/>
    <s v="Order assembled"/>
    <x v="0"/>
    <x v="0"/>
    <x v="1"/>
    <n v="774"/>
    <n v="526.24"/>
  </r>
  <r>
    <s v="AD01-9362"/>
    <x v="2"/>
    <s v="Aug"/>
    <x v="0"/>
    <x v="1"/>
    <s v="Order assembled"/>
    <x v="0"/>
    <x v="0"/>
    <x v="1"/>
    <n v="331"/>
    <n v="473.33"/>
  </r>
  <r>
    <s v="AD01-9362"/>
    <x v="2"/>
    <s v="Aug"/>
    <x v="0"/>
    <x v="1"/>
    <s v="Order assembled"/>
    <x v="0"/>
    <x v="0"/>
    <x v="1"/>
    <n v="133"/>
    <n v="190.19"/>
  </r>
  <r>
    <s v="AD01-9363"/>
    <x v="2"/>
    <s v="Aug"/>
    <x v="0"/>
    <x v="1"/>
    <s v="Order assembled"/>
    <x v="0"/>
    <x v="0"/>
    <x v="1"/>
    <n v="335"/>
    <n v="479.05"/>
  </r>
  <r>
    <s v="AD01-9362"/>
    <x v="2"/>
    <s v="Aug"/>
    <x v="0"/>
    <x v="1"/>
    <s v="Order assembled"/>
    <x v="0"/>
    <x v="0"/>
    <x v="1"/>
    <n v="131"/>
    <n v="187.32999999999998"/>
  </r>
  <r>
    <s v="AD01-9363"/>
    <x v="2"/>
    <s v="Dec"/>
    <x v="0"/>
    <x v="1"/>
    <s v="Order assembled"/>
    <x v="0"/>
    <x v="0"/>
    <x v="1"/>
    <n v="140"/>
    <n v="200.2"/>
  </r>
  <r>
    <s v="AD01-9362"/>
    <x v="2"/>
    <s v="Dec"/>
    <x v="0"/>
    <x v="1"/>
    <s v="Order assembled"/>
    <x v="0"/>
    <x v="0"/>
    <x v="1"/>
    <n v="356"/>
    <n v="509.08"/>
  </r>
  <r>
    <s v="AD01-9362"/>
    <x v="2"/>
    <s v="Dec"/>
    <x v="0"/>
    <x v="1"/>
    <s v="Order assembled"/>
    <x v="0"/>
    <x v="0"/>
    <x v="1"/>
    <n v="310"/>
    <n v="443.3"/>
  </r>
  <r>
    <s v="AD01-9361"/>
    <x v="2"/>
    <s v="Dec"/>
    <x v="0"/>
    <x v="1"/>
    <s v="Order assembled"/>
    <x v="0"/>
    <x v="0"/>
    <x v="1"/>
    <n v="358"/>
    <n v="511.94"/>
  </r>
  <r>
    <s v="AD01-9365"/>
    <x v="2"/>
    <s v="Dec"/>
    <x v="0"/>
    <x v="1"/>
    <s v="Order assembled"/>
    <x v="0"/>
    <x v="0"/>
    <x v="1"/>
    <n v="138"/>
    <n v="197.34"/>
  </r>
  <r>
    <s v="AD01-9364"/>
    <x v="2"/>
    <s v="Dec"/>
    <x v="0"/>
    <x v="1"/>
    <s v="Order assembled"/>
    <x v="0"/>
    <x v="0"/>
    <x v="1"/>
    <n v="705"/>
    <n v="1008.15"/>
  </r>
  <r>
    <s v="AD01-9361"/>
    <x v="2"/>
    <s v="Dec"/>
    <x v="0"/>
    <x v="1"/>
    <s v="Order assembled"/>
    <x v="0"/>
    <x v="0"/>
    <x v="1"/>
    <n v="738"/>
    <n v="1055.3399999999999"/>
  </r>
  <r>
    <s v="AD01-9361"/>
    <x v="2"/>
    <s v="Dec"/>
    <x v="0"/>
    <x v="1"/>
    <s v="Order assembled"/>
    <x v="0"/>
    <x v="0"/>
    <x v="1"/>
    <n v="141"/>
    <n v="201.63"/>
  </r>
  <r>
    <s v="AD01-9364"/>
    <x v="2"/>
    <s v="Dec"/>
    <x v="0"/>
    <x v="1"/>
    <s v="Order assembled"/>
    <x v="0"/>
    <x v="0"/>
    <x v="1"/>
    <n v="309"/>
    <n v="526.24"/>
  </r>
  <r>
    <s v="AD01-9365"/>
    <x v="2"/>
    <s v="Dec"/>
    <x v="0"/>
    <x v="1"/>
    <s v="Order assembled"/>
    <x v="0"/>
    <x v="0"/>
    <x v="1"/>
    <n v="778"/>
    <n v="526.24"/>
  </r>
  <r>
    <s v="AD01-9361"/>
    <x v="2"/>
    <s v="Dec"/>
    <x v="0"/>
    <x v="1"/>
    <s v="Order assembled"/>
    <x v="0"/>
    <x v="0"/>
    <x v="1"/>
    <n v="139"/>
    <n v="198.76999999999998"/>
  </r>
  <r>
    <s v="AD01-9362"/>
    <x v="2"/>
    <s v="Dec"/>
    <x v="0"/>
    <x v="1"/>
    <s v="Order assembled"/>
    <x v="0"/>
    <x v="0"/>
    <x v="1"/>
    <n v="313"/>
    <n v="447.59000000000003"/>
  </r>
  <r>
    <s v="AD01-9362"/>
    <x v="2"/>
    <s v="Dec"/>
    <x v="0"/>
    <x v="1"/>
    <s v="Order assembled"/>
    <x v="0"/>
    <x v="0"/>
    <x v="1"/>
    <n v="137"/>
    <n v="195.91"/>
  </r>
  <r>
    <s v="AD01-9361"/>
    <x v="2"/>
    <s v="Dec"/>
    <x v="0"/>
    <x v="1"/>
    <s v="Order assembled"/>
    <x v="0"/>
    <x v="0"/>
    <x v="1"/>
    <n v="311"/>
    <n v="444.73"/>
  </r>
  <r>
    <s v="AD01-9363"/>
    <x v="2"/>
    <s v="Dec"/>
    <x v="0"/>
    <x v="1"/>
    <s v="Order assembled"/>
    <x v="0"/>
    <x v="0"/>
    <x v="1"/>
    <n v="747"/>
    <n v="1068.21"/>
  </r>
  <r>
    <s v="AD01-9361"/>
    <x v="2"/>
    <s v="Feb"/>
    <x v="0"/>
    <x v="1"/>
    <s v="Order assembled"/>
    <x v="0"/>
    <x v="0"/>
    <x v="1"/>
    <n v="362"/>
    <n v="492.32"/>
  </r>
  <r>
    <s v="AD01-9362"/>
    <x v="2"/>
    <s v="Feb"/>
    <x v="0"/>
    <x v="1"/>
    <s v="Order assembled"/>
    <x v="0"/>
    <x v="0"/>
    <x v="1"/>
    <n v="164"/>
    <n v="234.51999999999998"/>
  </r>
  <r>
    <s v="AD01-9364"/>
    <x v="2"/>
    <s v="Feb"/>
    <x v="0"/>
    <x v="1"/>
    <s v="Order assembled"/>
    <x v="0"/>
    <x v="0"/>
    <x v="1"/>
    <n v="364"/>
    <n v="520.52"/>
  </r>
  <r>
    <s v="AD01-9361"/>
    <x v="2"/>
    <s v="Feb"/>
    <x v="0"/>
    <x v="1"/>
    <s v="Order assembled"/>
    <x v="0"/>
    <x v="0"/>
    <x v="1"/>
    <n v="166"/>
    <n v="237.38"/>
  </r>
  <r>
    <s v="AD01-9361"/>
    <x v="2"/>
    <s v="Feb"/>
    <x v="0"/>
    <x v="1"/>
    <s v="Order assembled"/>
    <x v="0"/>
    <x v="0"/>
    <x v="1"/>
    <n v="696"/>
    <n v="995.28"/>
  </r>
  <r>
    <s v="AD01-9364"/>
    <x v="2"/>
    <s v="Feb"/>
    <x v="0"/>
    <x v="1"/>
    <s v="Order assembled"/>
    <x v="0"/>
    <x v="0"/>
    <x v="1"/>
    <n v="363"/>
    <n v="519.09"/>
  </r>
  <r>
    <s v="AD01-9361"/>
    <x v="2"/>
    <s v="Feb"/>
    <x v="0"/>
    <x v="1"/>
    <s v="Order assembled"/>
    <x v="0"/>
    <x v="0"/>
    <x v="1"/>
    <n v="769"/>
    <n v="526.24"/>
  </r>
  <r>
    <s v="AD01-9361"/>
    <x v="2"/>
    <s v="Feb"/>
    <x v="0"/>
    <x v="1"/>
    <s v="Order assembled"/>
    <x v="0"/>
    <x v="0"/>
    <x v="1"/>
    <n v="367"/>
    <n v="524.80999999999995"/>
  </r>
  <r>
    <s v="AD01-9364"/>
    <x v="2"/>
    <s v="Feb"/>
    <x v="0"/>
    <x v="1"/>
    <s v="Order assembled"/>
    <x v="0"/>
    <x v="0"/>
    <x v="1"/>
    <n v="163"/>
    <n v="233.09"/>
  </r>
  <r>
    <s v="AD01-9362"/>
    <x v="2"/>
    <s v="Feb"/>
    <x v="0"/>
    <x v="1"/>
    <s v="Order assembled"/>
    <x v="0"/>
    <x v="0"/>
    <x v="1"/>
    <n v="365"/>
    <n v="521.95000000000005"/>
  </r>
  <r>
    <s v="AD01-9364"/>
    <x v="2"/>
    <s v="Feb"/>
    <x v="0"/>
    <x v="1"/>
    <s v="Order assembled"/>
    <x v="0"/>
    <x v="0"/>
    <x v="1"/>
    <n v="167"/>
    <n v="238.81"/>
  </r>
  <r>
    <s v="AD01-9361"/>
    <x v="2"/>
    <s v="Jan"/>
    <x v="0"/>
    <x v="1"/>
    <s v="Order assembled"/>
    <x v="0"/>
    <x v="0"/>
    <x v="1"/>
    <n v="368"/>
    <n v="500.48"/>
  </r>
  <r>
    <s v="AD01-9362"/>
    <x v="2"/>
    <s v="Jan"/>
    <x v="0"/>
    <x v="1"/>
    <s v="Order assembled"/>
    <x v="0"/>
    <x v="0"/>
    <x v="1"/>
    <n v="170"/>
    <n v="243.1"/>
  </r>
  <r>
    <s v="AD01-9362"/>
    <x v="2"/>
    <s v="Jan"/>
    <x v="0"/>
    <x v="1"/>
    <s v="Order assembled"/>
    <x v="0"/>
    <x v="0"/>
    <x v="1"/>
    <n v="370"/>
    <n v="529.1"/>
  </r>
  <r>
    <s v="AD01-9361"/>
    <x v="2"/>
    <s v="Jan"/>
    <x v="0"/>
    <x v="1"/>
    <s v="Order assembled"/>
    <x v="0"/>
    <x v="0"/>
    <x v="1"/>
    <n v="172"/>
    <n v="245.95999999999998"/>
  </r>
  <r>
    <s v="AD01-9362"/>
    <x v="2"/>
    <s v="Jan"/>
    <x v="0"/>
    <x v="1"/>
    <s v="Order assembled"/>
    <x v="0"/>
    <x v="0"/>
    <x v="1"/>
    <n v="695"/>
    <n v="993.85"/>
  </r>
  <r>
    <s v="AD01-9361"/>
    <x v="2"/>
    <s v="Jan"/>
    <x v="0"/>
    <x v="1"/>
    <s v="Order assembled"/>
    <x v="0"/>
    <x v="0"/>
    <x v="1"/>
    <n v="729"/>
    <n v="1042.47"/>
  </r>
  <r>
    <s v="AD01-9361"/>
    <x v="2"/>
    <s v="Jan"/>
    <x v="0"/>
    <x v="1"/>
    <s v="Order assembled"/>
    <x v="0"/>
    <x v="0"/>
    <x v="1"/>
    <n v="369"/>
    <n v="527.66999999999996"/>
  </r>
  <r>
    <s v="AD01-9364"/>
    <x v="2"/>
    <s v="Jan"/>
    <x v="0"/>
    <x v="1"/>
    <s v="Order assembled"/>
    <x v="0"/>
    <x v="0"/>
    <x v="1"/>
    <n v="768"/>
    <n v="526.24"/>
  </r>
  <r>
    <s v="AD01-9362"/>
    <x v="2"/>
    <s v="Jan"/>
    <x v="0"/>
    <x v="1"/>
    <s v="Order assembled"/>
    <x v="0"/>
    <x v="0"/>
    <x v="1"/>
    <n v="169"/>
    <n v="241.67000000000002"/>
  </r>
  <r>
    <s v="AD01-9362"/>
    <x v="2"/>
    <s v="Jan"/>
    <x v="0"/>
    <x v="1"/>
    <s v="Order assembled"/>
    <x v="0"/>
    <x v="0"/>
    <x v="1"/>
    <n v="371"/>
    <n v="530.53"/>
  </r>
  <r>
    <s v="AD01-9361"/>
    <x v="2"/>
    <s v="Jan"/>
    <x v="0"/>
    <x v="1"/>
    <s v="Order assembled"/>
    <x v="0"/>
    <x v="0"/>
    <x v="1"/>
    <n v="173"/>
    <n v="247.39"/>
  </r>
  <r>
    <s v="AD01-9361"/>
    <x v="2"/>
    <s v="Jul"/>
    <x v="0"/>
    <x v="1"/>
    <s v="Order assembled"/>
    <x v="0"/>
    <x v="0"/>
    <x v="1"/>
    <n v="338"/>
    <n v="459.68"/>
  </r>
  <r>
    <s v="AD01-9365"/>
    <x v="2"/>
    <s v="Jul"/>
    <x v="0"/>
    <x v="1"/>
    <s v="Order assembled"/>
    <x v="0"/>
    <x v="0"/>
    <x v="1"/>
    <n v="140"/>
    <n v="200.2"/>
  </r>
  <r>
    <s v="AD01-9362"/>
    <x v="2"/>
    <s v="Jul"/>
    <x v="0"/>
    <x v="1"/>
    <s v="Order assembled"/>
    <x v="0"/>
    <x v="0"/>
    <x v="1"/>
    <n v="340"/>
    <n v="486.2"/>
  </r>
  <r>
    <s v="AD01-9362"/>
    <x v="2"/>
    <s v="Jul"/>
    <x v="0"/>
    <x v="1"/>
    <s v="Order assembled"/>
    <x v="0"/>
    <x v="0"/>
    <x v="1"/>
    <n v="136"/>
    <n v="194.48"/>
  </r>
  <r>
    <s v="AD01-9361"/>
    <x v="2"/>
    <s v="Jul"/>
    <x v="0"/>
    <x v="1"/>
    <s v="Order assembled"/>
    <x v="0"/>
    <x v="0"/>
    <x v="1"/>
    <n v="701"/>
    <n v="1002.4300000000001"/>
  </r>
  <r>
    <s v="AD01-9364"/>
    <x v="2"/>
    <s v="Jul"/>
    <x v="0"/>
    <x v="1"/>
    <s v="Order assembled"/>
    <x v="0"/>
    <x v="0"/>
    <x v="1"/>
    <n v="734"/>
    <n v="1049.6199999999999"/>
  </r>
  <r>
    <s v="AD01-9361"/>
    <x v="2"/>
    <s v="Jul"/>
    <x v="0"/>
    <x v="1"/>
    <s v="Order assembled"/>
    <x v="0"/>
    <x v="0"/>
    <x v="1"/>
    <n v="339"/>
    <n v="526.24"/>
  </r>
  <r>
    <s v="AD01-9362"/>
    <x v="2"/>
    <s v="Jul"/>
    <x v="0"/>
    <x v="1"/>
    <s v="Order assembled"/>
    <x v="0"/>
    <x v="0"/>
    <x v="1"/>
    <n v="773"/>
    <n v="526.24"/>
  </r>
  <r>
    <s v="AD01-9361"/>
    <x v="2"/>
    <s v="Jul"/>
    <x v="0"/>
    <x v="1"/>
    <s v="Order assembled"/>
    <x v="0"/>
    <x v="0"/>
    <x v="1"/>
    <n v="337"/>
    <n v="481.90999999999997"/>
  </r>
  <r>
    <s v="AD01-9362"/>
    <x v="2"/>
    <s v="Jul"/>
    <x v="0"/>
    <x v="1"/>
    <s v="Order assembled"/>
    <x v="0"/>
    <x v="0"/>
    <x v="1"/>
    <n v="139"/>
    <n v="198.76999999999998"/>
  </r>
  <r>
    <s v="AD01-9365"/>
    <x v="2"/>
    <s v="Jul"/>
    <x v="0"/>
    <x v="1"/>
    <s v="Order assembled"/>
    <x v="0"/>
    <x v="0"/>
    <x v="1"/>
    <n v="137"/>
    <n v="195.91"/>
  </r>
  <r>
    <s v="AD01-9365"/>
    <x v="2"/>
    <s v="Jun"/>
    <x v="0"/>
    <x v="1"/>
    <s v="Order assembled"/>
    <x v="0"/>
    <x v="0"/>
    <x v="1"/>
    <n v="344"/>
    <n v="467.84"/>
  </r>
  <r>
    <s v="AD01-9361"/>
    <x v="2"/>
    <s v="Jun"/>
    <x v="0"/>
    <x v="1"/>
    <s v="Order assembled"/>
    <x v="0"/>
    <x v="0"/>
    <x v="1"/>
    <n v="146"/>
    <n v="208.78"/>
  </r>
  <r>
    <s v="AD01-9362"/>
    <x v="2"/>
    <s v="Jun"/>
    <x v="0"/>
    <x v="1"/>
    <s v="Order assembled"/>
    <x v="0"/>
    <x v="0"/>
    <x v="1"/>
    <n v="142"/>
    <n v="203.06"/>
  </r>
  <r>
    <s v="AD01-9361"/>
    <x v="2"/>
    <s v="Jun"/>
    <x v="0"/>
    <x v="1"/>
    <s v="Order assembled"/>
    <x v="0"/>
    <x v="0"/>
    <x v="1"/>
    <n v="700"/>
    <n v="1001"/>
  </r>
  <r>
    <s v="AD01-9362"/>
    <x v="2"/>
    <s v="Jun"/>
    <x v="0"/>
    <x v="1"/>
    <s v="Order assembled"/>
    <x v="0"/>
    <x v="0"/>
    <x v="1"/>
    <n v="733"/>
    <n v="1048.19"/>
  </r>
  <r>
    <s v="AD01-9362"/>
    <x v="2"/>
    <s v="Jun"/>
    <x v="0"/>
    <x v="1"/>
    <s v="Order assembled"/>
    <x v="0"/>
    <x v="0"/>
    <x v="1"/>
    <n v="345"/>
    <n v="526.24"/>
  </r>
  <r>
    <s v="AD01-9362"/>
    <x v="2"/>
    <s v="Jun"/>
    <x v="0"/>
    <x v="1"/>
    <s v="Order assembled"/>
    <x v="0"/>
    <x v="0"/>
    <x v="1"/>
    <n v="343"/>
    <n v="490.49"/>
  </r>
  <r>
    <s v="AD01-9362"/>
    <x v="2"/>
    <s v="Jun"/>
    <x v="0"/>
    <x v="1"/>
    <s v="Order assembled"/>
    <x v="0"/>
    <x v="0"/>
    <x v="1"/>
    <n v="145"/>
    <n v="207.35"/>
  </r>
  <r>
    <s v="AD01-9362"/>
    <x v="2"/>
    <s v="Jun"/>
    <x v="0"/>
    <x v="1"/>
    <s v="Order assembled"/>
    <x v="0"/>
    <x v="0"/>
    <x v="1"/>
    <n v="341"/>
    <n v="487.63"/>
  </r>
  <r>
    <s v="AD01-9361"/>
    <x v="2"/>
    <s v="Jun"/>
    <x v="0"/>
    <x v="1"/>
    <s v="Order assembled"/>
    <x v="0"/>
    <x v="0"/>
    <x v="1"/>
    <n v="143"/>
    <n v="204.49"/>
  </r>
  <r>
    <s v="AD01-9365"/>
    <x v="2"/>
    <s v="Mar"/>
    <x v="0"/>
    <x v="1"/>
    <s v="Order assembled"/>
    <x v="0"/>
    <x v="0"/>
    <x v="1"/>
    <n v="158"/>
    <n v="225.94"/>
  </r>
  <r>
    <s v="AD01-9364"/>
    <x v="2"/>
    <s v="Mar"/>
    <x v="0"/>
    <x v="1"/>
    <s v="Order assembled"/>
    <x v="0"/>
    <x v="0"/>
    <x v="1"/>
    <n v="358"/>
    <n v="511.94"/>
  </r>
  <r>
    <s v="AD01-9364"/>
    <x v="2"/>
    <s v="Mar"/>
    <x v="0"/>
    <x v="1"/>
    <s v="Order assembled"/>
    <x v="0"/>
    <x v="0"/>
    <x v="1"/>
    <n v="160"/>
    <n v="228.8"/>
  </r>
  <r>
    <s v="AD01-9363"/>
    <x v="2"/>
    <s v="Mar"/>
    <x v="0"/>
    <x v="1"/>
    <s v="Order assembled"/>
    <x v="0"/>
    <x v="0"/>
    <x v="1"/>
    <n v="697"/>
    <n v="996.71"/>
  </r>
  <r>
    <s v="AD01-9363"/>
    <x v="2"/>
    <s v="Mar"/>
    <x v="0"/>
    <x v="1"/>
    <s v="Order assembled"/>
    <x v="0"/>
    <x v="0"/>
    <x v="1"/>
    <n v="730"/>
    <n v="1043.9000000000001"/>
  </r>
  <r>
    <s v="AD01-9361"/>
    <x v="2"/>
    <s v="Mar"/>
    <x v="0"/>
    <x v="1"/>
    <s v="Order assembled"/>
    <x v="0"/>
    <x v="0"/>
    <x v="1"/>
    <n v="357"/>
    <n v="510.51"/>
  </r>
  <r>
    <s v="AD01-9362"/>
    <x v="2"/>
    <s v="Mar"/>
    <x v="0"/>
    <x v="1"/>
    <s v="Order assembled"/>
    <x v="0"/>
    <x v="0"/>
    <x v="1"/>
    <n v="770"/>
    <n v="526.24"/>
  </r>
  <r>
    <s v="AD01-9362"/>
    <x v="2"/>
    <s v="Mar"/>
    <x v="0"/>
    <x v="1"/>
    <s v="Order assembled"/>
    <x v="0"/>
    <x v="0"/>
    <x v="1"/>
    <n v="361"/>
    <n v="516.23"/>
  </r>
  <r>
    <s v="AD01-9362"/>
    <x v="2"/>
    <s v="Mar"/>
    <x v="0"/>
    <x v="1"/>
    <s v="Order assembled"/>
    <x v="0"/>
    <x v="0"/>
    <x v="1"/>
    <n v="359"/>
    <n v="513.37"/>
  </r>
  <r>
    <s v="AD01-9362"/>
    <x v="2"/>
    <s v="Mar"/>
    <x v="0"/>
    <x v="1"/>
    <s v="Order assembled"/>
    <x v="0"/>
    <x v="0"/>
    <x v="1"/>
    <n v="161"/>
    <n v="230.23000000000002"/>
  </r>
  <r>
    <s v="AD01-9362"/>
    <x v="2"/>
    <s v="May"/>
    <x v="0"/>
    <x v="1"/>
    <s v="Order assembled"/>
    <x v="0"/>
    <x v="0"/>
    <x v="1"/>
    <n v="350"/>
    <n v="476"/>
  </r>
  <r>
    <s v="AD01-9362"/>
    <x v="2"/>
    <s v="May"/>
    <x v="0"/>
    <x v="1"/>
    <s v="Order assembled"/>
    <x v="0"/>
    <x v="0"/>
    <x v="1"/>
    <n v="346"/>
    <n v="494.78"/>
  </r>
  <r>
    <s v="AD01-9364"/>
    <x v="2"/>
    <s v="May"/>
    <x v="0"/>
    <x v="1"/>
    <s v="Order assembled"/>
    <x v="0"/>
    <x v="0"/>
    <x v="1"/>
    <n v="148"/>
    <n v="211.64"/>
  </r>
  <r>
    <s v="AD01-9362"/>
    <x v="2"/>
    <s v="May"/>
    <x v="0"/>
    <x v="1"/>
    <s v="Order assembled"/>
    <x v="0"/>
    <x v="0"/>
    <x v="1"/>
    <n v="699"/>
    <n v="999.56999999999994"/>
  </r>
  <r>
    <s v="AD01-9361"/>
    <x v="2"/>
    <s v="May"/>
    <x v="0"/>
    <x v="1"/>
    <s v="Order assembled"/>
    <x v="0"/>
    <x v="0"/>
    <x v="1"/>
    <n v="732"/>
    <n v="1046.76"/>
  </r>
  <r>
    <s v="AD01-9361"/>
    <x v="2"/>
    <s v="May"/>
    <x v="0"/>
    <x v="1"/>
    <s v="Order assembled"/>
    <x v="0"/>
    <x v="0"/>
    <x v="1"/>
    <n v="351"/>
    <n v="526.24"/>
  </r>
  <r>
    <s v="AD01-9362"/>
    <x v="2"/>
    <s v="May"/>
    <x v="0"/>
    <x v="1"/>
    <s v="Order assembled"/>
    <x v="0"/>
    <x v="0"/>
    <x v="1"/>
    <n v="772"/>
    <n v="526.24"/>
  </r>
  <r>
    <s v="AD01-9364"/>
    <x v="2"/>
    <s v="May"/>
    <x v="0"/>
    <x v="1"/>
    <s v="Order assembled"/>
    <x v="0"/>
    <x v="0"/>
    <x v="1"/>
    <n v="349"/>
    <n v="499.07"/>
  </r>
  <r>
    <s v="AD01-9362"/>
    <x v="2"/>
    <s v="May"/>
    <x v="0"/>
    <x v="1"/>
    <s v="Order assembled"/>
    <x v="0"/>
    <x v="0"/>
    <x v="1"/>
    <n v="151"/>
    <n v="215.93"/>
  </r>
  <r>
    <s v="AD01-9364"/>
    <x v="2"/>
    <s v="May"/>
    <x v="0"/>
    <x v="1"/>
    <s v="Order assembled"/>
    <x v="0"/>
    <x v="0"/>
    <x v="1"/>
    <n v="347"/>
    <n v="496.21000000000004"/>
  </r>
  <r>
    <s v="AD01-9362"/>
    <x v="2"/>
    <s v="May"/>
    <x v="0"/>
    <x v="1"/>
    <s v="Order assembled"/>
    <x v="0"/>
    <x v="0"/>
    <x v="1"/>
    <n v="149"/>
    <n v="213.07"/>
  </r>
  <r>
    <s v="AD01-9364"/>
    <x v="2"/>
    <s v="Nov"/>
    <x v="0"/>
    <x v="1"/>
    <s v="Order assembled"/>
    <x v="0"/>
    <x v="0"/>
    <x v="1"/>
    <n v="146"/>
    <n v="208.78"/>
  </r>
  <r>
    <s v="AD01-9365"/>
    <x v="2"/>
    <s v="Nov"/>
    <x v="0"/>
    <x v="1"/>
    <s v="Order assembled"/>
    <x v="0"/>
    <x v="0"/>
    <x v="1"/>
    <n v="314"/>
    <n v="449.02"/>
  </r>
  <r>
    <s v="AD01-9361"/>
    <x v="2"/>
    <s v="Nov"/>
    <x v="0"/>
    <x v="1"/>
    <s v="Order assembled"/>
    <x v="0"/>
    <x v="0"/>
    <x v="1"/>
    <n v="362"/>
    <n v="517.66"/>
  </r>
  <r>
    <s v="AD01-9364"/>
    <x v="2"/>
    <s v="Nov"/>
    <x v="0"/>
    <x v="1"/>
    <s v="Order assembled"/>
    <x v="0"/>
    <x v="0"/>
    <x v="1"/>
    <n v="142"/>
    <n v="203.06"/>
  </r>
  <r>
    <s v="AD01-9361"/>
    <x v="2"/>
    <s v="Nov"/>
    <x v="0"/>
    <x v="1"/>
    <s v="Order assembled"/>
    <x v="0"/>
    <x v="0"/>
    <x v="1"/>
    <n v="316"/>
    <n v="451.88"/>
  </r>
  <r>
    <s v="AD01-9362"/>
    <x v="2"/>
    <s v="Nov"/>
    <x v="0"/>
    <x v="1"/>
    <s v="Order assembled"/>
    <x v="0"/>
    <x v="0"/>
    <x v="1"/>
    <n v="364"/>
    <n v="520.52"/>
  </r>
  <r>
    <s v="AD01-9361"/>
    <x v="2"/>
    <s v="Nov"/>
    <x v="0"/>
    <x v="1"/>
    <s v="Order assembled"/>
    <x v="0"/>
    <x v="0"/>
    <x v="1"/>
    <n v="144"/>
    <n v="205.92000000000002"/>
  </r>
  <r>
    <s v="AD01-9364"/>
    <x v="2"/>
    <s v="Nov"/>
    <x v="0"/>
    <x v="1"/>
    <s v="Order assembled"/>
    <x v="0"/>
    <x v="0"/>
    <x v="1"/>
    <n v="704"/>
    <n v="1006.72"/>
  </r>
  <r>
    <s v="AD01-9364"/>
    <x v="2"/>
    <s v="Nov"/>
    <x v="0"/>
    <x v="1"/>
    <s v="Order assembled"/>
    <x v="0"/>
    <x v="0"/>
    <x v="1"/>
    <n v="315"/>
    <n v="526.24"/>
  </r>
  <r>
    <s v="AD01-9361"/>
    <x v="2"/>
    <s v="Nov"/>
    <x v="0"/>
    <x v="1"/>
    <s v="Order assembled"/>
    <x v="0"/>
    <x v="0"/>
    <x v="1"/>
    <n v="777"/>
    <n v="526.24"/>
  </r>
  <r>
    <s v="AD01-9362"/>
    <x v="2"/>
    <s v="Nov"/>
    <x v="0"/>
    <x v="1"/>
    <s v="Order assembled"/>
    <x v="0"/>
    <x v="0"/>
    <x v="1"/>
    <n v="145"/>
    <n v="207.35"/>
  </r>
  <r>
    <s v="AD01-9362"/>
    <x v="2"/>
    <s v="Nov"/>
    <x v="0"/>
    <x v="1"/>
    <s v="Order assembled"/>
    <x v="0"/>
    <x v="0"/>
    <x v="1"/>
    <n v="319"/>
    <n v="456.16999999999996"/>
  </r>
  <r>
    <s v="AD01-9364"/>
    <x v="2"/>
    <s v="Nov"/>
    <x v="0"/>
    <x v="1"/>
    <s v="Order assembled"/>
    <x v="0"/>
    <x v="0"/>
    <x v="1"/>
    <n v="361"/>
    <n v="516.23"/>
  </r>
  <r>
    <s v="AD01-9361"/>
    <x v="2"/>
    <s v="Nov"/>
    <x v="0"/>
    <x v="1"/>
    <s v="Order assembled"/>
    <x v="0"/>
    <x v="0"/>
    <x v="1"/>
    <n v="143"/>
    <n v="204.49"/>
  </r>
  <r>
    <s v="AD01-9361"/>
    <x v="2"/>
    <s v="Nov"/>
    <x v="0"/>
    <x v="1"/>
    <s v="Order assembled"/>
    <x v="0"/>
    <x v="0"/>
    <x v="1"/>
    <n v="317"/>
    <n v="453.31"/>
  </r>
  <r>
    <s v="AD01-9364"/>
    <x v="2"/>
    <s v="Nov"/>
    <x v="0"/>
    <x v="1"/>
    <s v="Order assembled"/>
    <x v="0"/>
    <x v="0"/>
    <x v="1"/>
    <n v="746"/>
    <n v="1066.78"/>
  </r>
  <r>
    <s v="AD01-9362"/>
    <x v="2"/>
    <s v="Oct"/>
    <x v="0"/>
    <x v="1"/>
    <s v="Order assembled"/>
    <x v="0"/>
    <x v="0"/>
    <x v="1"/>
    <n v="152"/>
    <n v="217.36"/>
  </r>
  <r>
    <s v="AD01-9363"/>
    <x v="2"/>
    <s v="Oct"/>
    <x v="0"/>
    <x v="1"/>
    <s v="Order assembled"/>
    <x v="0"/>
    <x v="0"/>
    <x v="1"/>
    <n v="320"/>
    <n v="457.6"/>
  </r>
  <r>
    <s v="AD01-9364"/>
    <x v="2"/>
    <s v="Oct"/>
    <x v="0"/>
    <x v="1"/>
    <s v="Order assembled"/>
    <x v="0"/>
    <x v="0"/>
    <x v="1"/>
    <n v="368"/>
    <n v="526.24"/>
  </r>
  <r>
    <s v="AD01-9361"/>
    <x v="2"/>
    <s v="Oct"/>
    <x v="0"/>
    <x v="1"/>
    <s v="Order assembled"/>
    <x v="0"/>
    <x v="0"/>
    <x v="1"/>
    <n v="148"/>
    <n v="211.64"/>
  </r>
  <r>
    <s v="AD01-9361"/>
    <x v="2"/>
    <s v="Oct"/>
    <x v="0"/>
    <x v="1"/>
    <s v="Order assembled"/>
    <x v="0"/>
    <x v="0"/>
    <x v="1"/>
    <n v="322"/>
    <n v="460.46000000000004"/>
  </r>
  <r>
    <s v="AD01-9362"/>
    <x v="2"/>
    <s v="Oct"/>
    <x v="0"/>
    <x v="1"/>
    <s v="Order assembled"/>
    <x v="0"/>
    <x v="0"/>
    <x v="1"/>
    <n v="370"/>
    <n v="529.1"/>
  </r>
  <r>
    <s v="AD01-9361"/>
    <x v="2"/>
    <s v="Oct"/>
    <x v="0"/>
    <x v="1"/>
    <s v="Order assembled"/>
    <x v="0"/>
    <x v="0"/>
    <x v="1"/>
    <n v="150"/>
    <n v="214.5"/>
  </r>
  <r>
    <s v="AD01-9364"/>
    <x v="2"/>
    <s v="Oct"/>
    <x v="0"/>
    <x v="1"/>
    <s v="Order assembled"/>
    <x v="0"/>
    <x v="0"/>
    <x v="1"/>
    <n v="703"/>
    <n v="1005.29"/>
  </r>
  <r>
    <s v="AD01-9365"/>
    <x v="2"/>
    <s v="Oct"/>
    <x v="0"/>
    <x v="1"/>
    <s v="Order assembled"/>
    <x v="0"/>
    <x v="0"/>
    <x v="1"/>
    <n v="737"/>
    <n v="1053.9099999999999"/>
  </r>
  <r>
    <s v="AD01-9365"/>
    <x v="2"/>
    <s v="Oct"/>
    <x v="0"/>
    <x v="1"/>
    <s v="Order assembled"/>
    <x v="0"/>
    <x v="0"/>
    <x v="1"/>
    <n v="147"/>
    <n v="210.21"/>
  </r>
  <r>
    <s v="AD01-9362"/>
    <x v="2"/>
    <s v="Oct"/>
    <x v="0"/>
    <x v="1"/>
    <s v="Order assembled"/>
    <x v="0"/>
    <x v="0"/>
    <x v="1"/>
    <n v="321"/>
    <n v="526.24"/>
  </r>
  <r>
    <s v="AD01-9361"/>
    <x v="2"/>
    <s v="Oct"/>
    <x v="0"/>
    <x v="1"/>
    <s v="Order assembled"/>
    <x v="0"/>
    <x v="0"/>
    <x v="1"/>
    <n v="776"/>
    <n v="526.24"/>
  </r>
  <r>
    <s v="AD01-9362"/>
    <x v="2"/>
    <s v="Oct"/>
    <x v="0"/>
    <x v="1"/>
    <s v="Order assembled"/>
    <x v="0"/>
    <x v="0"/>
    <x v="1"/>
    <n v="151"/>
    <n v="215.93"/>
  </r>
  <r>
    <s v="AD01-9361"/>
    <x v="2"/>
    <s v="Oct"/>
    <x v="0"/>
    <x v="1"/>
    <s v="Order assembled"/>
    <x v="0"/>
    <x v="0"/>
    <x v="1"/>
    <n v="367"/>
    <n v="524.80999999999995"/>
  </r>
  <r>
    <s v="AD01-9364"/>
    <x v="2"/>
    <s v="Oct"/>
    <x v="0"/>
    <x v="1"/>
    <s v="Order assembled"/>
    <x v="0"/>
    <x v="0"/>
    <x v="1"/>
    <n v="149"/>
    <n v="213.07"/>
  </r>
  <r>
    <s v="AD01-9364"/>
    <x v="2"/>
    <s v="Oct"/>
    <x v="0"/>
    <x v="1"/>
    <s v="Order assembled"/>
    <x v="0"/>
    <x v="0"/>
    <x v="1"/>
    <n v="323"/>
    <n v="461.89"/>
  </r>
  <r>
    <s v="AD01-9362"/>
    <x v="2"/>
    <s v="Oct"/>
    <x v="0"/>
    <x v="1"/>
    <s v="Order assembled"/>
    <x v="0"/>
    <x v="0"/>
    <x v="1"/>
    <n v="371"/>
    <n v="530.53"/>
  </r>
  <r>
    <s v="AD01-9361"/>
    <x v="2"/>
    <s v="Sep"/>
    <x v="0"/>
    <x v="1"/>
    <s v="Order assembled"/>
    <x v="0"/>
    <x v="0"/>
    <x v="1"/>
    <n v="326"/>
    <n v="443.36"/>
  </r>
  <r>
    <s v="AD01-9363"/>
    <x v="2"/>
    <s v="Sep"/>
    <x v="0"/>
    <x v="1"/>
    <s v="Order assembled"/>
    <x v="0"/>
    <x v="0"/>
    <x v="1"/>
    <n v="128"/>
    <n v="183.04"/>
  </r>
  <r>
    <s v="AD01-9361"/>
    <x v="2"/>
    <s v="Sep"/>
    <x v="0"/>
    <x v="1"/>
    <s v="Order assembled"/>
    <x v="0"/>
    <x v="0"/>
    <x v="1"/>
    <n v="328"/>
    <n v="469.03999999999996"/>
  </r>
  <r>
    <s v="AD01-9361"/>
    <x v="2"/>
    <s v="Sep"/>
    <x v="0"/>
    <x v="1"/>
    <s v="Order assembled"/>
    <x v="0"/>
    <x v="0"/>
    <x v="1"/>
    <n v="130"/>
    <n v="185.9"/>
  </r>
  <r>
    <s v="AD01-9362"/>
    <x v="2"/>
    <s v="Sep"/>
    <x v="0"/>
    <x v="1"/>
    <s v="Order assembled"/>
    <x v="0"/>
    <x v="0"/>
    <x v="1"/>
    <n v="736"/>
    <n v="1052.48"/>
  </r>
  <r>
    <s v="AD01-9361"/>
    <x v="2"/>
    <s v="Sep"/>
    <x v="0"/>
    <x v="1"/>
    <s v="Order assembled"/>
    <x v="0"/>
    <x v="0"/>
    <x v="1"/>
    <n v="327"/>
    <n v="526.24"/>
  </r>
  <r>
    <s v="AD01-9362"/>
    <x v="2"/>
    <s v="Sep"/>
    <x v="0"/>
    <x v="1"/>
    <s v="Order assembled"/>
    <x v="0"/>
    <x v="0"/>
    <x v="1"/>
    <n v="775"/>
    <n v="526.24"/>
  </r>
  <r>
    <s v="AD01-9362"/>
    <x v="2"/>
    <s v="Sep"/>
    <x v="0"/>
    <x v="1"/>
    <s v="Order assembled"/>
    <x v="0"/>
    <x v="0"/>
    <x v="1"/>
    <n v="325"/>
    <n v="464.75"/>
  </r>
  <r>
    <s v="AD01-9361"/>
    <x v="2"/>
    <s v="Sep"/>
    <x v="0"/>
    <x v="1"/>
    <s v="Order assembled"/>
    <x v="0"/>
    <x v="0"/>
    <x v="1"/>
    <n v="127"/>
    <n v="181.61"/>
  </r>
  <r>
    <s v="AD01-9361"/>
    <x v="2"/>
    <s v="Sep"/>
    <x v="0"/>
    <x v="1"/>
    <s v="Order assembled"/>
    <x v="0"/>
    <x v="0"/>
    <x v="1"/>
    <n v="329"/>
    <n v="470.47"/>
  </r>
  <r>
    <s v="AD01-9364"/>
    <x v="2"/>
    <s v="Apr"/>
    <x v="1"/>
    <x v="0"/>
    <s v="Order assembled"/>
    <x v="0"/>
    <x v="0"/>
    <x v="1"/>
    <n v="182"/>
    <n v="260.26"/>
  </r>
  <r>
    <s v="AD01-9362"/>
    <x v="2"/>
    <s v="Apr"/>
    <x v="1"/>
    <x v="0"/>
    <s v="Order assembled"/>
    <x v="0"/>
    <x v="0"/>
    <x v="1"/>
    <n v="176"/>
    <n v="251.68"/>
  </r>
  <r>
    <s v="AD01-9361"/>
    <x v="2"/>
    <s v="Apr"/>
    <x v="1"/>
    <x v="0"/>
    <s v="Order assembled"/>
    <x v="0"/>
    <x v="0"/>
    <x v="0"/>
    <n v="200"/>
    <n v="286"/>
  </r>
  <r>
    <s v="AD01-9362"/>
    <x v="2"/>
    <s v="Apr"/>
    <x v="1"/>
    <x v="0"/>
    <s v="Order assembled"/>
    <x v="0"/>
    <x v="0"/>
    <x v="0"/>
    <n v="248"/>
    <n v="354.64"/>
  </r>
  <r>
    <s v="AD01-9361"/>
    <x v="2"/>
    <s v="Apr"/>
    <x v="1"/>
    <x v="0"/>
    <s v="Order assembled"/>
    <x v="0"/>
    <x v="0"/>
    <x v="0"/>
    <n v="184"/>
    <n v="263.12"/>
  </r>
  <r>
    <s v="AD01-9361"/>
    <x v="2"/>
    <s v="Apr"/>
    <x v="1"/>
    <x v="0"/>
    <s v="Order assembled"/>
    <x v="0"/>
    <x v="0"/>
    <x v="0"/>
    <n v="178"/>
    <n v="254.54"/>
  </r>
  <r>
    <s v="AD01-9362"/>
    <x v="2"/>
    <s v="Apr"/>
    <x v="1"/>
    <x v="0"/>
    <s v="Order assembled"/>
    <x v="0"/>
    <x v="0"/>
    <x v="0"/>
    <n v="172"/>
    <n v="245.95999999999998"/>
  </r>
  <r>
    <s v="AD01-9361"/>
    <x v="2"/>
    <s v="Apr"/>
    <x v="1"/>
    <x v="0"/>
    <s v="Order assembled"/>
    <x v="0"/>
    <x v="0"/>
    <x v="0"/>
    <n v="202"/>
    <n v="526.24"/>
  </r>
  <r>
    <s v="AD01-9362"/>
    <x v="2"/>
    <s v="Apr"/>
    <x v="1"/>
    <x v="0"/>
    <s v="Order assembled"/>
    <x v="0"/>
    <x v="0"/>
    <x v="0"/>
    <n v="250"/>
    <n v="526.24"/>
  </r>
  <r>
    <s v="AD01-9363"/>
    <x v="2"/>
    <s v="Apr"/>
    <x v="1"/>
    <x v="0"/>
    <s v="Order assembled"/>
    <x v="0"/>
    <x v="0"/>
    <x v="0"/>
    <n v="246"/>
    <n v="351.78"/>
  </r>
  <r>
    <s v="AD01-9361"/>
    <x v="2"/>
    <s v="Apr"/>
    <x v="1"/>
    <x v="0"/>
    <s v="Order assembled"/>
    <x v="0"/>
    <x v="0"/>
    <x v="0"/>
    <n v="201"/>
    <n v="287.43"/>
  </r>
  <r>
    <s v="AD01-9364"/>
    <x v="2"/>
    <s v="Apr"/>
    <x v="1"/>
    <x v="0"/>
    <s v="Order assembled"/>
    <x v="0"/>
    <x v="0"/>
    <x v="0"/>
    <n v="249"/>
    <n v="356.07"/>
  </r>
  <r>
    <s v="AD01-9361"/>
    <x v="2"/>
    <s v="Apr"/>
    <x v="1"/>
    <x v="0"/>
    <s v="Order assembled"/>
    <x v="0"/>
    <x v="0"/>
    <x v="0"/>
    <n v="181"/>
    <n v="258.83"/>
  </r>
  <r>
    <s v="AD01-9361"/>
    <x v="2"/>
    <s v="Apr"/>
    <x v="1"/>
    <x v="0"/>
    <s v="Order assembled"/>
    <x v="0"/>
    <x v="0"/>
    <x v="0"/>
    <n v="175"/>
    <n v="250.25"/>
  </r>
  <r>
    <s v="AD01-9362"/>
    <x v="2"/>
    <s v="Apr"/>
    <x v="1"/>
    <x v="0"/>
    <s v="Order assembled"/>
    <x v="0"/>
    <x v="0"/>
    <x v="0"/>
    <n v="792"/>
    <n v="1132.56"/>
  </r>
  <r>
    <s v="AD01-9362"/>
    <x v="2"/>
    <s v="Apr"/>
    <x v="1"/>
    <x v="0"/>
    <s v="Order assembled"/>
    <x v="0"/>
    <x v="0"/>
    <x v="0"/>
    <n v="825"/>
    <n v="1179.75"/>
  </r>
  <r>
    <s v="AD01-9361"/>
    <x v="2"/>
    <s v="Apr"/>
    <x v="1"/>
    <x v="0"/>
    <s v="Order assembled"/>
    <x v="0"/>
    <x v="0"/>
    <x v="1"/>
    <n v="185"/>
    <n v="264.55"/>
  </r>
  <r>
    <s v="AD01-9365"/>
    <x v="2"/>
    <s v="Apr"/>
    <x v="1"/>
    <x v="0"/>
    <s v="Order assembled"/>
    <x v="0"/>
    <x v="0"/>
    <x v="1"/>
    <n v="179"/>
    <n v="255.97"/>
  </r>
  <r>
    <s v="AD01-9364"/>
    <x v="2"/>
    <s v="Apr"/>
    <x v="1"/>
    <x v="0"/>
    <s v="Order assembled"/>
    <x v="0"/>
    <x v="0"/>
    <x v="1"/>
    <n v="173"/>
    <n v="247.39"/>
  </r>
  <r>
    <s v="AD01-9361"/>
    <x v="2"/>
    <s v="Apr"/>
    <x v="1"/>
    <x v="0"/>
    <s v="Order assembled"/>
    <x v="0"/>
    <x v="0"/>
    <x v="0"/>
    <n v="203"/>
    <n v="290.28999999999996"/>
  </r>
  <r>
    <s v="AD01-9363"/>
    <x v="2"/>
    <s v="Aug"/>
    <x v="1"/>
    <x v="0"/>
    <s v="Order assembled"/>
    <x v="0"/>
    <x v="0"/>
    <x v="1"/>
    <n v="368"/>
    <n v="526.24"/>
  </r>
  <r>
    <s v="AD01-9362"/>
    <x v="2"/>
    <s v="Aug"/>
    <x v="1"/>
    <x v="0"/>
    <s v="Order assembled"/>
    <x v="0"/>
    <x v="0"/>
    <x v="1"/>
    <n v="362"/>
    <n v="517.66"/>
  </r>
  <r>
    <s v="AD01-9362"/>
    <x v="2"/>
    <s v="Aug"/>
    <x v="1"/>
    <x v="0"/>
    <s v="Order assembled"/>
    <x v="0"/>
    <x v="0"/>
    <x v="1"/>
    <n v="356"/>
    <n v="509.08"/>
  </r>
  <r>
    <s v="AD01-9362"/>
    <x v="2"/>
    <s v="Aug"/>
    <x v="1"/>
    <x v="0"/>
    <s v="Order assembled"/>
    <x v="0"/>
    <x v="0"/>
    <x v="0"/>
    <n v="182"/>
    <n v="260.26"/>
  </r>
  <r>
    <s v="AD01-9364"/>
    <x v="2"/>
    <s v="Aug"/>
    <x v="1"/>
    <x v="0"/>
    <s v="Order assembled"/>
    <x v="0"/>
    <x v="0"/>
    <x v="0"/>
    <n v="224"/>
    <n v="320.32"/>
  </r>
  <r>
    <s v="AD01-9364"/>
    <x v="2"/>
    <s v="Aug"/>
    <x v="1"/>
    <x v="0"/>
    <s v="Order assembled"/>
    <x v="0"/>
    <x v="0"/>
    <x v="0"/>
    <n v="364"/>
    <n v="520.52"/>
  </r>
  <r>
    <s v="AD01-9362"/>
    <x v="2"/>
    <s v="Aug"/>
    <x v="1"/>
    <x v="0"/>
    <s v="Order assembled"/>
    <x v="0"/>
    <x v="0"/>
    <x v="0"/>
    <n v="358"/>
    <n v="511.94"/>
  </r>
  <r>
    <s v="AD01-9365"/>
    <x v="2"/>
    <s v="Aug"/>
    <x v="1"/>
    <x v="0"/>
    <s v="Order assembled"/>
    <x v="0"/>
    <x v="0"/>
    <x v="0"/>
    <n v="178"/>
    <n v="526.24"/>
  </r>
  <r>
    <s v="AD01-9364"/>
    <x v="2"/>
    <s v="Aug"/>
    <x v="1"/>
    <x v="0"/>
    <s v="Order assembled"/>
    <x v="0"/>
    <x v="0"/>
    <x v="0"/>
    <n v="226"/>
    <n v="526.24"/>
  </r>
  <r>
    <s v="AD01-9362"/>
    <x v="2"/>
    <s v="Aug"/>
    <x v="1"/>
    <x v="0"/>
    <s v="Order assembled"/>
    <x v="0"/>
    <x v="0"/>
    <x v="0"/>
    <n v="1014"/>
    <n v="1450.02"/>
  </r>
  <r>
    <s v="AD01-9362"/>
    <x v="2"/>
    <s v="Aug"/>
    <x v="1"/>
    <x v="0"/>
    <s v="Order assembled"/>
    <x v="0"/>
    <x v="0"/>
    <x v="0"/>
    <n v="228"/>
    <n v="326.03999999999996"/>
  </r>
  <r>
    <s v="AD01-9362"/>
    <x v="2"/>
    <s v="Aug"/>
    <x v="1"/>
    <x v="0"/>
    <s v="Order assembled"/>
    <x v="0"/>
    <x v="0"/>
    <x v="0"/>
    <n v="225"/>
    <n v="321.75"/>
  </r>
  <r>
    <s v="AD01-9362"/>
    <x v="2"/>
    <s v="Aug"/>
    <x v="1"/>
    <x v="0"/>
    <s v="Order assembled"/>
    <x v="0"/>
    <x v="0"/>
    <x v="0"/>
    <n v="367"/>
    <n v="524.80999999999995"/>
  </r>
  <r>
    <s v="AD01-9362"/>
    <x v="2"/>
    <s v="Aug"/>
    <x v="1"/>
    <x v="0"/>
    <s v="Order assembled"/>
    <x v="0"/>
    <x v="0"/>
    <x v="0"/>
    <n v="361"/>
    <n v="516.23"/>
  </r>
  <r>
    <s v="AD01-9365"/>
    <x v="2"/>
    <s v="Aug"/>
    <x v="1"/>
    <x v="0"/>
    <s v="Order assembled"/>
    <x v="0"/>
    <x v="0"/>
    <x v="0"/>
    <n v="355"/>
    <n v="507.65"/>
  </r>
  <r>
    <s v="AD01-9364"/>
    <x v="2"/>
    <s v="Aug"/>
    <x v="1"/>
    <x v="0"/>
    <s v="Order assembled"/>
    <x v="0"/>
    <x v="0"/>
    <x v="0"/>
    <n v="795"/>
    <n v="1136.8499999999999"/>
  </r>
  <r>
    <s v="AD01-9362"/>
    <x v="2"/>
    <s v="Aug"/>
    <x v="1"/>
    <x v="0"/>
    <s v="Order assembled"/>
    <x v="0"/>
    <x v="0"/>
    <x v="0"/>
    <n v="828"/>
    <n v="1184.04"/>
  </r>
  <r>
    <s v="AD01-9361"/>
    <x v="2"/>
    <s v="Aug"/>
    <x v="1"/>
    <x v="0"/>
    <s v="Order assembled"/>
    <x v="0"/>
    <x v="0"/>
    <x v="1"/>
    <n v="365"/>
    <n v="521.95000000000005"/>
  </r>
  <r>
    <s v="AD01-9362"/>
    <x v="2"/>
    <s v="Aug"/>
    <x v="1"/>
    <x v="0"/>
    <s v="Order assembled"/>
    <x v="0"/>
    <x v="0"/>
    <x v="1"/>
    <n v="359"/>
    <n v="513.37"/>
  </r>
  <r>
    <s v="AD01-9362"/>
    <x v="2"/>
    <s v="Aug"/>
    <x v="1"/>
    <x v="0"/>
    <s v="Order assembled"/>
    <x v="0"/>
    <x v="0"/>
    <x v="1"/>
    <n v="353"/>
    <n v="504.78999999999996"/>
  </r>
  <r>
    <s v="AD01-9362"/>
    <x v="2"/>
    <s v="Aug"/>
    <x v="1"/>
    <x v="0"/>
    <s v="Order assembled"/>
    <x v="0"/>
    <x v="0"/>
    <x v="0"/>
    <n v="179"/>
    <n v="255.97"/>
  </r>
  <r>
    <s v="AD01-9361"/>
    <x v="2"/>
    <s v="Aug"/>
    <x v="1"/>
    <x v="0"/>
    <s v="Order assembled"/>
    <x v="0"/>
    <x v="0"/>
    <x v="0"/>
    <n v="227"/>
    <n v="324.61"/>
  </r>
  <r>
    <s v="AD01-9362"/>
    <x v="2"/>
    <s v="Dec"/>
    <x v="1"/>
    <x v="0"/>
    <s v="Order assembled"/>
    <x v="0"/>
    <x v="0"/>
    <x v="1"/>
    <n v="302"/>
    <n v="431.86"/>
  </r>
  <r>
    <s v="AD01-9361"/>
    <x v="2"/>
    <s v="Dec"/>
    <x v="1"/>
    <x v="0"/>
    <s v="Order assembled"/>
    <x v="0"/>
    <x v="0"/>
    <x v="1"/>
    <n v="296"/>
    <n v="423.28"/>
  </r>
  <r>
    <s v="AD01-9364"/>
    <x v="2"/>
    <s v="Dec"/>
    <x v="1"/>
    <x v="0"/>
    <s v="Order assembled"/>
    <x v="0"/>
    <x v="0"/>
    <x v="1"/>
    <n v="290"/>
    <n v="414.7"/>
  </r>
  <r>
    <s v="AD01-9362"/>
    <x v="2"/>
    <s v="Dec"/>
    <x v="1"/>
    <x v="0"/>
    <s v="Order assembled"/>
    <x v="0"/>
    <x v="0"/>
    <x v="0"/>
    <n v="230"/>
    <n v="328.9"/>
  </r>
  <r>
    <s v="AD01-9364"/>
    <x v="2"/>
    <s v="Dec"/>
    <x v="1"/>
    <x v="0"/>
    <s v="Order assembled"/>
    <x v="0"/>
    <x v="0"/>
    <x v="0"/>
    <n v="158"/>
    <n v="225.94"/>
  </r>
  <r>
    <s v="AD01-9361"/>
    <x v="2"/>
    <s v="Dec"/>
    <x v="1"/>
    <x v="0"/>
    <s v="Order assembled"/>
    <x v="0"/>
    <x v="0"/>
    <x v="0"/>
    <n v="206"/>
    <n v="294.58"/>
  </r>
  <r>
    <s v="AD01-9361"/>
    <x v="2"/>
    <s v="Dec"/>
    <x v="1"/>
    <x v="0"/>
    <s v="Order assembled"/>
    <x v="0"/>
    <x v="0"/>
    <x v="0"/>
    <n v="304"/>
    <n v="434.72"/>
  </r>
  <r>
    <s v="AD01-9362"/>
    <x v="2"/>
    <s v="Dec"/>
    <x v="1"/>
    <x v="0"/>
    <s v="Order assembled"/>
    <x v="0"/>
    <x v="0"/>
    <x v="0"/>
    <n v="298"/>
    <n v="426.14"/>
  </r>
  <r>
    <s v="AD01-9364"/>
    <x v="2"/>
    <s v="Dec"/>
    <x v="1"/>
    <x v="0"/>
    <s v="Order assembled"/>
    <x v="0"/>
    <x v="0"/>
    <x v="0"/>
    <n v="292"/>
    <n v="417.56"/>
  </r>
  <r>
    <s v="AD01-9362"/>
    <x v="2"/>
    <s v="Dec"/>
    <x v="1"/>
    <x v="0"/>
    <s v="Order assembled"/>
    <x v="0"/>
    <x v="0"/>
    <x v="0"/>
    <n v="232"/>
    <n v="526.24"/>
  </r>
  <r>
    <s v="AD01-9361"/>
    <x v="2"/>
    <s v="Dec"/>
    <x v="1"/>
    <x v="0"/>
    <s v="Order assembled"/>
    <x v="0"/>
    <x v="0"/>
    <x v="0"/>
    <n v="160"/>
    <n v="526.24"/>
  </r>
  <r>
    <s v="AD01-9362"/>
    <x v="2"/>
    <s v="Dec"/>
    <x v="1"/>
    <x v="0"/>
    <s v="Order assembled"/>
    <x v="0"/>
    <x v="0"/>
    <x v="0"/>
    <n v="964"/>
    <n v="1378.52"/>
  </r>
  <r>
    <s v="AD01-9361"/>
    <x v="2"/>
    <s v="Dec"/>
    <x v="1"/>
    <x v="0"/>
    <s v="Order assembled"/>
    <x v="0"/>
    <x v="0"/>
    <x v="0"/>
    <n v="1018"/>
    <n v="1455.74"/>
  </r>
  <r>
    <s v="AD01-9364"/>
    <x v="2"/>
    <s v="Dec"/>
    <x v="1"/>
    <x v="0"/>
    <s v="Order assembled"/>
    <x v="0"/>
    <x v="0"/>
    <x v="0"/>
    <n v="204"/>
    <n v="291.72000000000003"/>
  </r>
  <r>
    <s v="AD01-9364"/>
    <x v="2"/>
    <s v="Dec"/>
    <x v="1"/>
    <x v="0"/>
    <s v="Order assembled"/>
    <x v="0"/>
    <x v="0"/>
    <x v="0"/>
    <n v="231"/>
    <n v="330.33"/>
  </r>
  <r>
    <s v="AD01-9362"/>
    <x v="2"/>
    <s v="Dec"/>
    <x v="1"/>
    <x v="0"/>
    <s v="Order assembled"/>
    <x v="0"/>
    <x v="0"/>
    <x v="0"/>
    <n v="159"/>
    <n v="227.37"/>
  </r>
  <r>
    <s v="AD01-9362"/>
    <x v="2"/>
    <s v="Dec"/>
    <x v="1"/>
    <x v="0"/>
    <s v="Order assembled"/>
    <x v="0"/>
    <x v="0"/>
    <x v="0"/>
    <n v="207"/>
    <n v="296.01"/>
  </r>
  <r>
    <s v="AD01-9361"/>
    <x v="2"/>
    <s v="Dec"/>
    <x v="1"/>
    <x v="0"/>
    <s v="Order assembled"/>
    <x v="0"/>
    <x v="0"/>
    <x v="0"/>
    <n v="301"/>
    <n v="430.43"/>
  </r>
  <r>
    <s v="AD01-9364"/>
    <x v="2"/>
    <s v="Dec"/>
    <x v="1"/>
    <x v="0"/>
    <s v="Order assembled"/>
    <x v="0"/>
    <x v="0"/>
    <x v="0"/>
    <n v="295"/>
    <n v="421.85"/>
  </r>
  <r>
    <s v="AD01-9361"/>
    <x v="2"/>
    <s v="Dec"/>
    <x v="1"/>
    <x v="0"/>
    <s v="Order assembled"/>
    <x v="0"/>
    <x v="0"/>
    <x v="0"/>
    <n v="289"/>
    <n v="413.27"/>
  </r>
  <r>
    <s v="AD01-9364"/>
    <x v="2"/>
    <s v="Dec"/>
    <x v="1"/>
    <x v="0"/>
    <s v="Order assembled"/>
    <x v="0"/>
    <x v="0"/>
    <x v="0"/>
    <n v="799"/>
    <n v="1142.57"/>
  </r>
  <r>
    <s v="AD01-9362"/>
    <x v="2"/>
    <s v="Dec"/>
    <x v="1"/>
    <x v="0"/>
    <s v="Order assembled"/>
    <x v="0"/>
    <x v="0"/>
    <x v="0"/>
    <n v="832"/>
    <n v="1189.76"/>
  </r>
  <r>
    <s v="AD01-9364"/>
    <x v="2"/>
    <s v="Dec"/>
    <x v="1"/>
    <x v="0"/>
    <s v="Order assembled"/>
    <x v="0"/>
    <x v="0"/>
    <x v="1"/>
    <n v="299"/>
    <n v="427.57"/>
  </r>
  <r>
    <s v="AD01-9362"/>
    <x v="2"/>
    <s v="Dec"/>
    <x v="1"/>
    <x v="0"/>
    <s v="Order assembled"/>
    <x v="0"/>
    <x v="0"/>
    <x v="1"/>
    <n v="293"/>
    <n v="418.99"/>
  </r>
  <r>
    <s v="AD01-9361"/>
    <x v="2"/>
    <s v="Dec"/>
    <x v="1"/>
    <x v="0"/>
    <s v="Order assembled"/>
    <x v="0"/>
    <x v="0"/>
    <x v="0"/>
    <n v="233"/>
    <n v="333.19"/>
  </r>
  <r>
    <s v="AD01-9361"/>
    <x v="2"/>
    <s v="Dec"/>
    <x v="1"/>
    <x v="0"/>
    <s v="Order assembled"/>
    <x v="0"/>
    <x v="0"/>
    <x v="0"/>
    <n v="161"/>
    <n v="230.23000000000002"/>
  </r>
  <r>
    <s v="AD01-9362"/>
    <x v="2"/>
    <s v="Dec"/>
    <x v="1"/>
    <x v="0"/>
    <s v="Order assembled"/>
    <x v="0"/>
    <x v="0"/>
    <x v="0"/>
    <n v="203"/>
    <n v="290.28999999999996"/>
  </r>
  <r>
    <s v="AD01-9361"/>
    <x v="2"/>
    <s v="Feb"/>
    <x v="1"/>
    <x v="0"/>
    <s v="Order assembled"/>
    <x v="0"/>
    <x v="0"/>
    <x v="1"/>
    <n v="218"/>
    <n v="311.74"/>
  </r>
  <r>
    <s v="AD01-9362"/>
    <x v="2"/>
    <s v="Feb"/>
    <x v="1"/>
    <x v="0"/>
    <s v="Order assembled"/>
    <x v="0"/>
    <x v="0"/>
    <x v="1"/>
    <n v="212"/>
    <n v="303.15999999999997"/>
  </r>
  <r>
    <s v="AD01-9364"/>
    <x v="2"/>
    <s v="Feb"/>
    <x v="1"/>
    <x v="0"/>
    <s v="Order assembled"/>
    <x v="0"/>
    <x v="0"/>
    <x v="1"/>
    <n v="206"/>
    <n v="294.58"/>
  </r>
  <r>
    <s v="AD01-9361"/>
    <x v="2"/>
    <s v="Feb"/>
    <x v="1"/>
    <x v="0"/>
    <s v="Order assembled"/>
    <x v="0"/>
    <x v="0"/>
    <x v="0"/>
    <n v="212"/>
    <n v="303.15999999999997"/>
  </r>
  <r>
    <s v="AD01-9364"/>
    <x v="2"/>
    <s v="Feb"/>
    <x v="1"/>
    <x v="0"/>
    <s v="Order assembled"/>
    <x v="0"/>
    <x v="0"/>
    <x v="0"/>
    <n v="260"/>
    <n v="371.8"/>
  </r>
  <r>
    <s v="AD01-9361"/>
    <x v="2"/>
    <s v="Feb"/>
    <x v="1"/>
    <x v="0"/>
    <s v="Order assembled"/>
    <x v="0"/>
    <x v="0"/>
    <x v="0"/>
    <n v="214"/>
    <n v="306.02"/>
  </r>
  <r>
    <s v="AD01-9361"/>
    <x v="2"/>
    <s v="Feb"/>
    <x v="1"/>
    <x v="0"/>
    <s v="Order assembled"/>
    <x v="0"/>
    <x v="0"/>
    <x v="0"/>
    <n v="208"/>
    <n v="297.44"/>
  </r>
  <r>
    <s v="AD01-9362"/>
    <x v="2"/>
    <s v="Feb"/>
    <x v="1"/>
    <x v="0"/>
    <s v="Order assembled"/>
    <x v="0"/>
    <x v="0"/>
    <x v="0"/>
    <n v="214"/>
    <n v="526.24"/>
  </r>
  <r>
    <s v="AD01-9362"/>
    <x v="2"/>
    <s v="Feb"/>
    <x v="1"/>
    <x v="0"/>
    <s v="Order assembled"/>
    <x v="0"/>
    <x v="0"/>
    <x v="0"/>
    <n v="256"/>
    <n v="526.24"/>
  </r>
  <r>
    <s v="AD01-9361"/>
    <x v="2"/>
    <s v="Feb"/>
    <x v="1"/>
    <x v="0"/>
    <s v="Order assembled"/>
    <x v="0"/>
    <x v="0"/>
    <x v="0"/>
    <n v="1009"/>
    <n v="1442.87"/>
  </r>
  <r>
    <s v="AD01-9362"/>
    <x v="2"/>
    <s v="Feb"/>
    <x v="1"/>
    <x v="0"/>
    <s v="Order assembled"/>
    <x v="0"/>
    <x v="0"/>
    <x v="0"/>
    <n v="258"/>
    <n v="368.94"/>
  </r>
  <r>
    <s v="AD01-9361"/>
    <x v="2"/>
    <s v="Feb"/>
    <x v="1"/>
    <x v="0"/>
    <s v="Order assembled"/>
    <x v="0"/>
    <x v="0"/>
    <x v="0"/>
    <n v="213"/>
    <n v="304.59000000000003"/>
  </r>
  <r>
    <s v="AD01-9363"/>
    <x v="2"/>
    <s v="Feb"/>
    <x v="1"/>
    <x v="0"/>
    <s v="Order assembled"/>
    <x v="0"/>
    <x v="0"/>
    <x v="0"/>
    <n v="261"/>
    <n v="373.23"/>
  </r>
  <r>
    <s v="AD01-9362"/>
    <x v="2"/>
    <s v="Feb"/>
    <x v="1"/>
    <x v="0"/>
    <s v="Order assembled"/>
    <x v="0"/>
    <x v="0"/>
    <x v="0"/>
    <n v="217"/>
    <n v="310.31"/>
  </r>
  <r>
    <s v="AD01-9361"/>
    <x v="2"/>
    <s v="Feb"/>
    <x v="1"/>
    <x v="0"/>
    <s v="Order assembled"/>
    <x v="0"/>
    <x v="0"/>
    <x v="0"/>
    <n v="211"/>
    <n v="301.73"/>
  </r>
  <r>
    <s v="AD01-9361"/>
    <x v="2"/>
    <s v="Feb"/>
    <x v="1"/>
    <x v="0"/>
    <s v="Order assembled"/>
    <x v="0"/>
    <x v="0"/>
    <x v="0"/>
    <n v="205"/>
    <n v="293.14999999999998"/>
  </r>
  <r>
    <s v="AD01-9361"/>
    <x v="2"/>
    <s v="Feb"/>
    <x v="1"/>
    <x v="0"/>
    <s v="Order assembled"/>
    <x v="0"/>
    <x v="0"/>
    <x v="0"/>
    <n v="790"/>
    <n v="1129.7"/>
  </r>
  <r>
    <s v="AD01-9362"/>
    <x v="2"/>
    <s v="Feb"/>
    <x v="1"/>
    <x v="0"/>
    <s v="Order assembled"/>
    <x v="0"/>
    <x v="0"/>
    <x v="0"/>
    <n v="823"/>
    <n v="1176.8899999999999"/>
  </r>
  <r>
    <s v="AD01-9361"/>
    <x v="2"/>
    <s v="Feb"/>
    <x v="1"/>
    <x v="0"/>
    <s v="Order assembled"/>
    <x v="0"/>
    <x v="0"/>
    <x v="1"/>
    <n v="215"/>
    <n v="307.45"/>
  </r>
  <r>
    <s v="AD01-9364"/>
    <x v="2"/>
    <s v="Feb"/>
    <x v="1"/>
    <x v="0"/>
    <s v="Order assembled"/>
    <x v="0"/>
    <x v="0"/>
    <x v="1"/>
    <n v="209"/>
    <n v="298.87"/>
  </r>
  <r>
    <s v="AD01-9361"/>
    <x v="2"/>
    <s v="Feb"/>
    <x v="1"/>
    <x v="0"/>
    <s v="Order assembled"/>
    <x v="0"/>
    <x v="0"/>
    <x v="1"/>
    <n v="203"/>
    <n v="290.28999999999996"/>
  </r>
  <r>
    <s v="AD01-9364"/>
    <x v="2"/>
    <s v="Feb"/>
    <x v="1"/>
    <x v="0"/>
    <s v="Order assembled"/>
    <x v="0"/>
    <x v="0"/>
    <x v="0"/>
    <n v="257"/>
    <n v="367.51"/>
  </r>
  <r>
    <s v="AD01-9362"/>
    <x v="2"/>
    <s v="Jan"/>
    <x v="1"/>
    <x v="0"/>
    <s v="Order assembled"/>
    <x v="0"/>
    <x v="0"/>
    <x v="1"/>
    <n v="230"/>
    <n v="328.9"/>
  </r>
  <r>
    <s v="AD01-9361"/>
    <x v="2"/>
    <s v="Jan"/>
    <x v="1"/>
    <x v="0"/>
    <s v="Order assembled"/>
    <x v="0"/>
    <x v="0"/>
    <x v="1"/>
    <n v="224"/>
    <n v="320.32"/>
  </r>
  <r>
    <s v="AD01-9365"/>
    <x v="2"/>
    <s v="Jan"/>
    <x v="1"/>
    <x v="0"/>
    <s v="Order assembled"/>
    <x v="0"/>
    <x v="0"/>
    <x v="0"/>
    <n v="218"/>
    <n v="311.74"/>
  </r>
  <r>
    <s v="AD01-9363"/>
    <x v="2"/>
    <s v="Jan"/>
    <x v="1"/>
    <x v="0"/>
    <s v="Order assembled"/>
    <x v="0"/>
    <x v="0"/>
    <x v="0"/>
    <n v="266"/>
    <n v="380.38"/>
  </r>
  <r>
    <s v="AD01-9362"/>
    <x v="2"/>
    <s v="Jan"/>
    <x v="1"/>
    <x v="0"/>
    <s v="Order assembled"/>
    <x v="0"/>
    <x v="0"/>
    <x v="0"/>
    <n v="232"/>
    <n v="331.76"/>
  </r>
  <r>
    <s v="AD01-9362"/>
    <x v="2"/>
    <s v="Jan"/>
    <x v="1"/>
    <x v="0"/>
    <s v="Order assembled"/>
    <x v="0"/>
    <x v="0"/>
    <x v="0"/>
    <n v="226"/>
    <n v="323.18"/>
  </r>
  <r>
    <s v="AD01-9362"/>
    <x v="2"/>
    <s v="Jan"/>
    <x v="1"/>
    <x v="0"/>
    <s v="Order assembled"/>
    <x v="0"/>
    <x v="0"/>
    <x v="0"/>
    <n v="220"/>
    <n v="314.60000000000002"/>
  </r>
  <r>
    <s v="AD01-9361"/>
    <x v="2"/>
    <s v="Jan"/>
    <x v="1"/>
    <x v="0"/>
    <s v="Order assembled"/>
    <x v="0"/>
    <x v="0"/>
    <x v="0"/>
    <n v="262"/>
    <n v="526.24"/>
  </r>
  <r>
    <s v="AD01-9361"/>
    <x v="2"/>
    <s v="Jan"/>
    <x v="1"/>
    <x v="0"/>
    <s v="Order assembled"/>
    <x v="0"/>
    <x v="0"/>
    <x v="0"/>
    <n v="1008"/>
    <n v="1441.44"/>
  </r>
  <r>
    <s v="AD01-9362"/>
    <x v="2"/>
    <s v="Jan"/>
    <x v="1"/>
    <x v="0"/>
    <s v="Order assembled"/>
    <x v="0"/>
    <x v="0"/>
    <x v="0"/>
    <n v="1041"/>
    <n v="1488.63"/>
  </r>
  <r>
    <s v="AD01-9362"/>
    <x v="2"/>
    <s v="Jan"/>
    <x v="1"/>
    <x v="0"/>
    <s v="Order assembled"/>
    <x v="0"/>
    <x v="0"/>
    <x v="0"/>
    <n v="219"/>
    <n v="313.17"/>
  </r>
  <r>
    <s v="AD01-9365"/>
    <x v="2"/>
    <s v="Jan"/>
    <x v="1"/>
    <x v="0"/>
    <s v="Order assembled"/>
    <x v="0"/>
    <x v="0"/>
    <x v="0"/>
    <n v="229"/>
    <n v="327.47000000000003"/>
  </r>
  <r>
    <s v="AD01-9361"/>
    <x v="2"/>
    <s v="Jan"/>
    <x v="1"/>
    <x v="0"/>
    <s v="Order assembled"/>
    <x v="0"/>
    <x v="0"/>
    <x v="0"/>
    <n v="223"/>
    <n v="318.89"/>
  </r>
  <r>
    <s v="AD01-9362"/>
    <x v="2"/>
    <s v="Jan"/>
    <x v="1"/>
    <x v="0"/>
    <s v="Order assembled"/>
    <x v="0"/>
    <x v="0"/>
    <x v="0"/>
    <n v="789"/>
    <n v="1128.27"/>
  </r>
  <r>
    <s v="AD01-9362"/>
    <x v="2"/>
    <s v="Jan"/>
    <x v="1"/>
    <x v="0"/>
    <s v="Order assembled"/>
    <x v="0"/>
    <x v="0"/>
    <x v="0"/>
    <n v="822"/>
    <n v="1175.46"/>
  </r>
  <r>
    <s v="AD01-9362"/>
    <x v="2"/>
    <s v="Jan"/>
    <x v="1"/>
    <x v="0"/>
    <s v="Order assembled"/>
    <x v="0"/>
    <x v="0"/>
    <x v="1"/>
    <n v="233"/>
    <n v="333.19"/>
  </r>
  <r>
    <s v="AD01-9362"/>
    <x v="2"/>
    <s v="Jan"/>
    <x v="1"/>
    <x v="0"/>
    <s v="Order assembled"/>
    <x v="0"/>
    <x v="0"/>
    <x v="1"/>
    <n v="227"/>
    <n v="324.61"/>
  </r>
  <r>
    <s v="AD01-9361"/>
    <x v="2"/>
    <s v="Jan"/>
    <x v="1"/>
    <x v="0"/>
    <s v="Order assembled"/>
    <x v="0"/>
    <x v="0"/>
    <x v="1"/>
    <n v="221"/>
    <n v="316.02999999999997"/>
  </r>
  <r>
    <s v="AD01-9362"/>
    <x v="2"/>
    <s v="Jan"/>
    <x v="1"/>
    <x v="0"/>
    <s v="Order assembled"/>
    <x v="0"/>
    <x v="0"/>
    <x v="0"/>
    <n v="215"/>
    <n v="307.45"/>
  </r>
  <r>
    <s v="AD01-9364"/>
    <x v="2"/>
    <s v="Jan"/>
    <x v="1"/>
    <x v="0"/>
    <s v="Order assembled"/>
    <x v="0"/>
    <x v="0"/>
    <x v="0"/>
    <n v="263"/>
    <n v="376.09000000000003"/>
  </r>
  <r>
    <s v="AD01-9361"/>
    <x v="2"/>
    <s v="Jul"/>
    <x v="1"/>
    <x v="0"/>
    <s v="Order assembled"/>
    <x v="0"/>
    <x v="0"/>
    <x v="1"/>
    <n v="134"/>
    <n v="191.62"/>
  </r>
  <r>
    <s v="AD01-9361"/>
    <x v="2"/>
    <s v="Jul"/>
    <x v="1"/>
    <x v="0"/>
    <s v="Order assembled"/>
    <x v="0"/>
    <x v="0"/>
    <x v="1"/>
    <n v="128"/>
    <n v="183.04"/>
  </r>
  <r>
    <s v="AD01-9362"/>
    <x v="2"/>
    <s v="Jul"/>
    <x v="1"/>
    <x v="0"/>
    <s v="Order assembled"/>
    <x v="0"/>
    <x v="0"/>
    <x v="0"/>
    <n v="230"/>
    <n v="328.9"/>
  </r>
  <r>
    <s v="AD01-9362"/>
    <x v="2"/>
    <s v="Jul"/>
    <x v="1"/>
    <x v="0"/>
    <s v="Order assembled"/>
    <x v="0"/>
    <x v="0"/>
    <x v="0"/>
    <n v="136"/>
    <n v="194.48"/>
  </r>
  <r>
    <s v="AD01-9361"/>
    <x v="2"/>
    <s v="Jul"/>
    <x v="1"/>
    <x v="0"/>
    <s v="Order assembled"/>
    <x v="0"/>
    <x v="0"/>
    <x v="0"/>
    <n v="130"/>
    <n v="185.9"/>
  </r>
  <r>
    <s v="AD01-9364"/>
    <x v="2"/>
    <s v="Jul"/>
    <x v="1"/>
    <x v="0"/>
    <s v="Order assembled"/>
    <x v="0"/>
    <x v="0"/>
    <x v="0"/>
    <n v="370"/>
    <n v="529.1"/>
  </r>
  <r>
    <s v="AD01-9362"/>
    <x v="2"/>
    <s v="Jul"/>
    <x v="1"/>
    <x v="0"/>
    <s v="Order assembled"/>
    <x v="0"/>
    <x v="0"/>
    <x v="0"/>
    <n v="184"/>
    <n v="526.24"/>
  </r>
  <r>
    <s v="AD01-9362"/>
    <x v="2"/>
    <s v="Jul"/>
    <x v="1"/>
    <x v="0"/>
    <s v="Order assembled"/>
    <x v="0"/>
    <x v="0"/>
    <x v="0"/>
    <n v="232"/>
    <n v="526.24"/>
  </r>
  <r>
    <s v="AD01-9364"/>
    <x v="2"/>
    <s v="Jul"/>
    <x v="1"/>
    <x v="0"/>
    <s v="Order assembled"/>
    <x v="0"/>
    <x v="0"/>
    <x v="0"/>
    <n v="1013"/>
    <n v="1448.59"/>
  </r>
  <r>
    <s v="AD01-9363"/>
    <x v="2"/>
    <s v="Jul"/>
    <x v="1"/>
    <x v="0"/>
    <s v="Order assembled"/>
    <x v="0"/>
    <x v="0"/>
    <x v="0"/>
    <n v="234"/>
    <n v="334.62"/>
  </r>
  <r>
    <s v="AD01-9364"/>
    <x v="2"/>
    <s v="Jul"/>
    <x v="1"/>
    <x v="0"/>
    <s v="Order assembled"/>
    <x v="0"/>
    <x v="0"/>
    <x v="0"/>
    <n v="183"/>
    <n v="261.69"/>
  </r>
  <r>
    <s v="AD01-9362"/>
    <x v="2"/>
    <s v="Jul"/>
    <x v="1"/>
    <x v="0"/>
    <s v="Order assembled"/>
    <x v="0"/>
    <x v="0"/>
    <x v="0"/>
    <n v="231"/>
    <n v="330.33"/>
  </r>
  <r>
    <s v="AD01-9364"/>
    <x v="2"/>
    <s v="Jul"/>
    <x v="1"/>
    <x v="0"/>
    <s v="Order assembled"/>
    <x v="0"/>
    <x v="0"/>
    <x v="0"/>
    <n v="133"/>
    <n v="190.19"/>
  </r>
  <r>
    <s v="AD01-9362"/>
    <x v="2"/>
    <s v="Jul"/>
    <x v="1"/>
    <x v="0"/>
    <s v="Order assembled"/>
    <x v="0"/>
    <x v="0"/>
    <x v="0"/>
    <n v="127"/>
    <n v="181.61"/>
  </r>
  <r>
    <s v="AD01-9362"/>
    <x v="2"/>
    <s v="Jul"/>
    <x v="1"/>
    <x v="0"/>
    <s v="Order assembled"/>
    <x v="0"/>
    <x v="0"/>
    <x v="0"/>
    <n v="794"/>
    <n v="1135.42"/>
  </r>
  <r>
    <s v="AD01-9362"/>
    <x v="2"/>
    <s v="Jul"/>
    <x v="1"/>
    <x v="0"/>
    <s v="Order assembled"/>
    <x v="0"/>
    <x v="0"/>
    <x v="1"/>
    <n v="137"/>
    <n v="195.91"/>
  </r>
  <r>
    <s v="AD01-9361"/>
    <x v="2"/>
    <s v="Jul"/>
    <x v="1"/>
    <x v="0"/>
    <s v="Order assembled"/>
    <x v="0"/>
    <x v="0"/>
    <x v="1"/>
    <n v="131"/>
    <n v="187.32999999999998"/>
  </r>
  <r>
    <s v="AD01-9361"/>
    <x v="2"/>
    <s v="Jul"/>
    <x v="1"/>
    <x v="0"/>
    <s v="Order assembled"/>
    <x v="0"/>
    <x v="0"/>
    <x v="1"/>
    <n v="371"/>
    <n v="530.53"/>
  </r>
  <r>
    <s v="AD01-9361"/>
    <x v="2"/>
    <s v="Jul"/>
    <x v="1"/>
    <x v="0"/>
    <s v="Order assembled"/>
    <x v="0"/>
    <x v="0"/>
    <x v="0"/>
    <n v="185"/>
    <n v="264.55"/>
  </r>
  <r>
    <s v="AD01-9362"/>
    <x v="2"/>
    <s v="Jul"/>
    <x v="1"/>
    <x v="0"/>
    <s v="Order assembled"/>
    <x v="0"/>
    <x v="0"/>
    <x v="0"/>
    <n v="233"/>
    <n v="333.19"/>
  </r>
  <r>
    <s v="AD01-9362"/>
    <x v="2"/>
    <s v="Jun"/>
    <x v="1"/>
    <x v="0"/>
    <s v="Order assembled"/>
    <x v="0"/>
    <x v="0"/>
    <x v="1"/>
    <n v="152"/>
    <n v="217.36"/>
  </r>
  <r>
    <s v="AD01-9362"/>
    <x v="2"/>
    <s v="Jun"/>
    <x v="1"/>
    <x v="0"/>
    <s v="Order assembled"/>
    <x v="0"/>
    <x v="0"/>
    <x v="1"/>
    <n v="146"/>
    <n v="208.78"/>
  </r>
  <r>
    <s v="AD01-9362"/>
    <x v="2"/>
    <s v="Jun"/>
    <x v="1"/>
    <x v="0"/>
    <s v="Order assembled"/>
    <x v="0"/>
    <x v="0"/>
    <x v="1"/>
    <n v="140"/>
    <n v="200.2"/>
  </r>
  <r>
    <s v="AD01-9365"/>
    <x v="2"/>
    <s v="Jun"/>
    <x v="1"/>
    <x v="0"/>
    <s v="Order assembled"/>
    <x v="0"/>
    <x v="0"/>
    <x v="0"/>
    <n v="188"/>
    <n v="268.84000000000003"/>
  </r>
  <r>
    <s v="AD01-9361"/>
    <x v="2"/>
    <s v="Jun"/>
    <x v="1"/>
    <x v="0"/>
    <s v="Order assembled"/>
    <x v="0"/>
    <x v="0"/>
    <x v="0"/>
    <n v="236"/>
    <n v="337.48"/>
  </r>
  <r>
    <s v="AD01-9362"/>
    <x v="2"/>
    <s v="Jun"/>
    <x v="1"/>
    <x v="0"/>
    <s v="Order assembled"/>
    <x v="0"/>
    <x v="0"/>
    <x v="0"/>
    <n v="154"/>
    <n v="220.22"/>
  </r>
  <r>
    <s v="AD01-9361"/>
    <x v="2"/>
    <s v="Jun"/>
    <x v="1"/>
    <x v="0"/>
    <s v="Order assembled"/>
    <x v="0"/>
    <x v="0"/>
    <x v="0"/>
    <n v="148"/>
    <n v="211.64"/>
  </r>
  <r>
    <s v="AD01-9364"/>
    <x v="2"/>
    <s v="Jun"/>
    <x v="1"/>
    <x v="0"/>
    <s v="Order assembled"/>
    <x v="0"/>
    <x v="0"/>
    <x v="0"/>
    <n v="142"/>
    <n v="203.06"/>
  </r>
  <r>
    <s v="AD01-9361"/>
    <x v="2"/>
    <s v="Jun"/>
    <x v="1"/>
    <x v="0"/>
    <s v="Order assembled"/>
    <x v="0"/>
    <x v="0"/>
    <x v="0"/>
    <n v="190"/>
    <n v="526.24"/>
  </r>
  <r>
    <s v="AD01-9363"/>
    <x v="2"/>
    <s v="Jun"/>
    <x v="1"/>
    <x v="0"/>
    <s v="Order assembled"/>
    <x v="0"/>
    <x v="0"/>
    <x v="0"/>
    <n v="238"/>
    <n v="526.24"/>
  </r>
  <r>
    <s v="AD01-9364"/>
    <x v="2"/>
    <s v="Jun"/>
    <x v="1"/>
    <x v="0"/>
    <s v="Order assembled"/>
    <x v="0"/>
    <x v="0"/>
    <x v="0"/>
    <n v="1012"/>
    <n v="1447.1599999999999"/>
  </r>
  <r>
    <s v="AD01-9364"/>
    <x v="2"/>
    <s v="Jun"/>
    <x v="1"/>
    <x v="0"/>
    <s v="Order assembled"/>
    <x v="0"/>
    <x v="0"/>
    <x v="0"/>
    <n v="189"/>
    <n v="270.27"/>
  </r>
  <r>
    <s v="AD01-9362"/>
    <x v="2"/>
    <s v="Jun"/>
    <x v="1"/>
    <x v="0"/>
    <s v="Order assembled"/>
    <x v="0"/>
    <x v="0"/>
    <x v="0"/>
    <n v="237"/>
    <n v="338.90999999999997"/>
  </r>
  <r>
    <s v="AD01-9364"/>
    <x v="2"/>
    <s v="Jun"/>
    <x v="1"/>
    <x v="0"/>
    <s v="Order assembled"/>
    <x v="0"/>
    <x v="0"/>
    <x v="0"/>
    <n v="151"/>
    <n v="215.93"/>
  </r>
  <r>
    <s v="AD01-9361"/>
    <x v="2"/>
    <s v="Jun"/>
    <x v="1"/>
    <x v="0"/>
    <s v="Order assembled"/>
    <x v="0"/>
    <x v="0"/>
    <x v="0"/>
    <n v="145"/>
    <n v="207.35"/>
  </r>
  <r>
    <s v="AD01-9365"/>
    <x v="2"/>
    <s v="Jun"/>
    <x v="1"/>
    <x v="0"/>
    <s v="Order assembled"/>
    <x v="0"/>
    <x v="0"/>
    <x v="0"/>
    <n v="139"/>
    <n v="198.76999999999998"/>
  </r>
  <r>
    <s v="AD01-9362"/>
    <x v="2"/>
    <s v="Jun"/>
    <x v="1"/>
    <x v="0"/>
    <s v="Order assembled"/>
    <x v="0"/>
    <x v="0"/>
    <x v="0"/>
    <n v="793"/>
    <n v="1133.99"/>
  </r>
  <r>
    <s v="AD01-9362"/>
    <x v="2"/>
    <s v="Jun"/>
    <x v="1"/>
    <x v="0"/>
    <s v="Order assembled"/>
    <x v="0"/>
    <x v="0"/>
    <x v="0"/>
    <n v="827"/>
    <n v="1182.6100000000001"/>
  </r>
  <r>
    <s v="AD01-9365"/>
    <x v="2"/>
    <s v="Jun"/>
    <x v="1"/>
    <x v="0"/>
    <s v="Order assembled"/>
    <x v="0"/>
    <x v="0"/>
    <x v="1"/>
    <n v="149"/>
    <n v="213.07"/>
  </r>
  <r>
    <s v="AD01-9361"/>
    <x v="2"/>
    <s v="Jun"/>
    <x v="1"/>
    <x v="0"/>
    <s v="Order assembled"/>
    <x v="0"/>
    <x v="0"/>
    <x v="1"/>
    <n v="143"/>
    <n v="204.49"/>
  </r>
  <r>
    <s v="AD01-9361"/>
    <x v="2"/>
    <s v="Jun"/>
    <x v="1"/>
    <x v="0"/>
    <s v="Order assembled"/>
    <x v="0"/>
    <x v="0"/>
    <x v="0"/>
    <n v="191"/>
    <n v="273.13"/>
  </r>
  <r>
    <s v="AD01-9362"/>
    <x v="2"/>
    <s v="Jun"/>
    <x v="1"/>
    <x v="0"/>
    <s v="Order assembled"/>
    <x v="0"/>
    <x v="0"/>
    <x v="0"/>
    <n v="239"/>
    <n v="341.77"/>
  </r>
  <r>
    <s v="AD01-9362"/>
    <x v="2"/>
    <s v="Mar"/>
    <x v="1"/>
    <x v="0"/>
    <s v="Order assembled"/>
    <x v="0"/>
    <x v="0"/>
    <x v="1"/>
    <n v="200"/>
    <n v="286"/>
  </r>
  <r>
    <s v="AD01-9362"/>
    <x v="2"/>
    <s v="Mar"/>
    <x v="1"/>
    <x v="0"/>
    <s v="Order assembled"/>
    <x v="0"/>
    <x v="0"/>
    <x v="1"/>
    <n v="194"/>
    <n v="277.42"/>
  </r>
  <r>
    <s v="AD01-9361"/>
    <x v="2"/>
    <s v="Mar"/>
    <x v="1"/>
    <x v="0"/>
    <s v="Order assembled"/>
    <x v="0"/>
    <x v="0"/>
    <x v="1"/>
    <n v="188"/>
    <n v="268.84000000000003"/>
  </r>
  <r>
    <s v="AD01-9362"/>
    <x v="2"/>
    <s v="Mar"/>
    <x v="1"/>
    <x v="0"/>
    <s v="Order assembled"/>
    <x v="0"/>
    <x v="0"/>
    <x v="0"/>
    <n v="206"/>
    <n v="294.58"/>
  </r>
  <r>
    <s v="AD01-9361"/>
    <x v="2"/>
    <s v="Mar"/>
    <x v="1"/>
    <x v="0"/>
    <s v="Order assembled"/>
    <x v="0"/>
    <x v="0"/>
    <x v="0"/>
    <n v="254"/>
    <n v="363.22"/>
  </r>
  <r>
    <s v="AD01-9363"/>
    <x v="2"/>
    <s v="Mar"/>
    <x v="1"/>
    <x v="0"/>
    <s v="Order assembled"/>
    <x v="0"/>
    <x v="0"/>
    <x v="0"/>
    <n v="202"/>
    <n v="288.86"/>
  </r>
  <r>
    <s v="AD01-9362"/>
    <x v="2"/>
    <s v="Mar"/>
    <x v="1"/>
    <x v="0"/>
    <s v="Order assembled"/>
    <x v="0"/>
    <x v="0"/>
    <x v="0"/>
    <n v="196"/>
    <n v="280.27999999999997"/>
  </r>
  <r>
    <s v="AD01-9362"/>
    <x v="2"/>
    <s v="Mar"/>
    <x v="1"/>
    <x v="0"/>
    <s v="Order assembled"/>
    <x v="0"/>
    <x v="0"/>
    <x v="0"/>
    <n v="190"/>
    <n v="271.7"/>
  </r>
  <r>
    <s v="AD01-9361"/>
    <x v="2"/>
    <s v="Mar"/>
    <x v="1"/>
    <x v="0"/>
    <s v="Order assembled"/>
    <x v="0"/>
    <x v="0"/>
    <x v="0"/>
    <n v="208"/>
    <n v="526.24"/>
  </r>
  <r>
    <s v="AD01-9362"/>
    <x v="2"/>
    <s v="Mar"/>
    <x v="1"/>
    <x v="0"/>
    <s v="Order assembled"/>
    <x v="0"/>
    <x v="0"/>
    <x v="0"/>
    <n v="1010"/>
    <n v="1444.3"/>
  </r>
  <r>
    <s v="AD01-9361"/>
    <x v="2"/>
    <s v="Mar"/>
    <x v="1"/>
    <x v="0"/>
    <s v="Order assembled"/>
    <x v="0"/>
    <x v="0"/>
    <x v="0"/>
    <n v="252"/>
    <n v="360.36"/>
  </r>
  <r>
    <s v="AD01-9362"/>
    <x v="2"/>
    <s v="Mar"/>
    <x v="1"/>
    <x v="0"/>
    <s v="Order assembled"/>
    <x v="0"/>
    <x v="0"/>
    <x v="0"/>
    <n v="207"/>
    <n v="296.01"/>
  </r>
  <r>
    <s v="AD01-9361"/>
    <x v="2"/>
    <s v="Mar"/>
    <x v="1"/>
    <x v="0"/>
    <s v="Order assembled"/>
    <x v="0"/>
    <x v="0"/>
    <x v="0"/>
    <n v="255"/>
    <n v="364.65"/>
  </r>
  <r>
    <s v="AD01-9361"/>
    <x v="2"/>
    <s v="Mar"/>
    <x v="1"/>
    <x v="0"/>
    <s v="Order assembled"/>
    <x v="0"/>
    <x v="0"/>
    <x v="0"/>
    <n v="199"/>
    <n v="284.57"/>
  </r>
  <r>
    <s v="AD01-9362"/>
    <x v="2"/>
    <s v="Mar"/>
    <x v="1"/>
    <x v="0"/>
    <s v="Order assembled"/>
    <x v="0"/>
    <x v="0"/>
    <x v="0"/>
    <n v="193"/>
    <n v="275.99"/>
  </r>
  <r>
    <s v="AD01-9362"/>
    <x v="2"/>
    <s v="Mar"/>
    <x v="1"/>
    <x v="0"/>
    <s v="Order assembled"/>
    <x v="0"/>
    <x v="0"/>
    <x v="0"/>
    <n v="187"/>
    <n v="267.40999999999997"/>
  </r>
  <r>
    <s v="AD01-9362"/>
    <x v="2"/>
    <s v="Mar"/>
    <x v="1"/>
    <x v="0"/>
    <s v="Order assembled"/>
    <x v="0"/>
    <x v="0"/>
    <x v="0"/>
    <n v="791"/>
    <n v="1131.1300000000001"/>
  </r>
  <r>
    <s v="AD01-9362"/>
    <x v="2"/>
    <s v="Mar"/>
    <x v="1"/>
    <x v="0"/>
    <s v="Order assembled"/>
    <x v="0"/>
    <x v="0"/>
    <x v="0"/>
    <n v="824"/>
    <n v="1178.32"/>
  </r>
  <r>
    <s v="AD01-9363"/>
    <x v="2"/>
    <s v="Mar"/>
    <x v="1"/>
    <x v="0"/>
    <s v="Order assembled"/>
    <x v="0"/>
    <x v="0"/>
    <x v="1"/>
    <n v="197"/>
    <n v="281.70999999999998"/>
  </r>
  <r>
    <s v="AD01-9364"/>
    <x v="2"/>
    <s v="Mar"/>
    <x v="1"/>
    <x v="0"/>
    <s v="Order assembled"/>
    <x v="0"/>
    <x v="0"/>
    <x v="1"/>
    <n v="191"/>
    <n v="273.13"/>
  </r>
  <r>
    <s v="AD01-9363"/>
    <x v="2"/>
    <s v="Mar"/>
    <x v="1"/>
    <x v="0"/>
    <s v="Order assembled"/>
    <x v="0"/>
    <x v="0"/>
    <x v="0"/>
    <n v="209"/>
    <n v="298.87"/>
  </r>
  <r>
    <s v="AD01-9363"/>
    <x v="2"/>
    <s v="Mar"/>
    <x v="1"/>
    <x v="0"/>
    <s v="Order assembled"/>
    <x v="0"/>
    <x v="0"/>
    <x v="0"/>
    <n v="251"/>
    <n v="358.93"/>
  </r>
  <r>
    <s v="AD01-9361"/>
    <x v="2"/>
    <s v="May"/>
    <x v="1"/>
    <x v="0"/>
    <s v="Order assembled"/>
    <x v="0"/>
    <x v="0"/>
    <x v="1"/>
    <n v="170"/>
    <n v="243.1"/>
  </r>
  <r>
    <s v="AD01-9364"/>
    <x v="2"/>
    <s v="May"/>
    <x v="1"/>
    <x v="0"/>
    <s v="Order assembled"/>
    <x v="0"/>
    <x v="0"/>
    <x v="1"/>
    <n v="164"/>
    <n v="234.51999999999998"/>
  </r>
  <r>
    <s v="AD01-9364"/>
    <x v="2"/>
    <s v="May"/>
    <x v="1"/>
    <x v="0"/>
    <s v="Order assembled"/>
    <x v="0"/>
    <x v="0"/>
    <x v="1"/>
    <n v="158"/>
    <n v="225.94"/>
  </r>
  <r>
    <s v="AD01-9363"/>
    <x v="2"/>
    <s v="May"/>
    <x v="1"/>
    <x v="0"/>
    <s v="Order assembled"/>
    <x v="0"/>
    <x v="0"/>
    <x v="0"/>
    <n v="194"/>
    <n v="277.42"/>
  </r>
  <r>
    <s v="AD01-9364"/>
    <x v="2"/>
    <s v="May"/>
    <x v="1"/>
    <x v="0"/>
    <s v="Order assembled"/>
    <x v="0"/>
    <x v="0"/>
    <x v="0"/>
    <n v="242"/>
    <n v="346.06"/>
  </r>
  <r>
    <s v="AD01-9364"/>
    <x v="2"/>
    <s v="May"/>
    <x v="1"/>
    <x v="0"/>
    <s v="Order assembled"/>
    <x v="0"/>
    <x v="0"/>
    <x v="0"/>
    <n v="166"/>
    <n v="237.38"/>
  </r>
  <r>
    <s v="AD01-9362"/>
    <x v="2"/>
    <s v="May"/>
    <x v="1"/>
    <x v="0"/>
    <s v="Order assembled"/>
    <x v="0"/>
    <x v="0"/>
    <x v="0"/>
    <n v="160"/>
    <n v="228.8"/>
  </r>
  <r>
    <s v="AD01-9361"/>
    <x v="2"/>
    <s v="May"/>
    <x v="1"/>
    <x v="0"/>
    <s v="Order assembled"/>
    <x v="0"/>
    <x v="0"/>
    <x v="0"/>
    <n v="196"/>
    <n v="526.24"/>
  </r>
  <r>
    <s v="AD01-9364"/>
    <x v="2"/>
    <s v="May"/>
    <x v="1"/>
    <x v="0"/>
    <s v="Order assembled"/>
    <x v="0"/>
    <x v="0"/>
    <x v="0"/>
    <n v="244"/>
    <n v="526.24"/>
  </r>
  <r>
    <s v="AD01-9364"/>
    <x v="2"/>
    <s v="May"/>
    <x v="1"/>
    <x v="0"/>
    <s v="Order assembled"/>
    <x v="0"/>
    <x v="0"/>
    <x v="0"/>
    <n v="1011"/>
    <n v="1445.73"/>
  </r>
  <r>
    <s v="AD01-9364"/>
    <x v="2"/>
    <s v="May"/>
    <x v="1"/>
    <x v="0"/>
    <s v="Order assembled"/>
    <x v="0"/>
    <x v="0"/>
    <x v="0"/>
    <n v="240"/>
    <n v="343.2"/>
  </r>
  <r>
    <s v="AD01-9362"/>
    <x v="2"/>
    <s v="May"/>
    <x v="1"/>
    <x v="0"/>
    <s v="Order assembled"/>
    <x v="0"/>
    <x v="0"/>
    <x v="0"/>
    <n v="195"/>
    <n v="278.85000000000002"/>
  </r>
  <r>
    <s v="AD01-9362"/>
    <x v="2"/>
    <s v="May"/>
    <x v="1"/>
    <x v="0"/>
    <s v="Order assembled"/>
    <x v="0"/>
    <x v="0"/>
    <x v="0"/>
    <n v="243"/>
    <n v="347.49"/>
  </r>
  <r>
    <s v="AD01-9364"/>
    <x v="2"/>
    <s v="May"/>
    <x v="1"/>
    <x v="0"/>
    <s v="Order assembled"/>
    <x v="0"/>
    <x v="0"/>
    <x v="0"/>
    <n v="169"/>
    <n v="241.67000000000002"/>
  </r>
  <r>
    <s v="AD01-9361"/>
    <x v="2"/>
    <s v="May"/>
    <x v="1"/>
    <x v="0"/>
    <s v="Order assembled"/>
    <x v="0"/>
    <x v="0"/>
    <x v="0"/>
    <n v="163"/>
    <n v="233.09"/>
  </r>
  <r>
    <s v="AD01-9363"/>
    <x v="2"/>
    <s v="May"/>
    <x v="1"/>
    <x v="0"/>
    <s v="Order assembled"/>
    <x v="0"/>
    <x v="0"/>
    <x v="0"/>
    <n v="157"/>
    <n v="224.51"/>
  </r>
  <r>
    <s v="AD01-9362"/>
    <x v="2"/>
    <s v="May"/>
    <x v="1"/>
    <x v="0"/>
    <s v="Order assembled"/>
    <x v="0"/>
    <x v="0"/>
    <x v="0"/>
    <n v="826"/>
    <n v="1181.18"/>
  </r>
  <r>
    <s v="AD01-9362"/>
    <x v="2"/>
    <s v="May"/>
    <x v="1"/>
    <x v="0"/>
    <s v="Order assembled"/>
    <x v="0"/>
    <x v="0"/>
    <x v="1"/>
    <n v="167"/>
    <n v="238.81"/>
  </r>
  <r>
    <s v="AD01-9362"/>
    <x v="2"/>
    <s v="May"/>
    <x v="1"/>
    <x v="0"/>
    <s v="Order assembled"/>
    <x v="0"/>
    <x v="0"/>
    <x v="1"/>
    <n v="161"/>
    <n v="230.23000000000002"/>
  </r>
  <r>
    <s v="AD01-9362"/>
    <x v="2"/>
    <s v="May"/>
    <x v="1"/>
    <x v="0"/>
    <s v="Order assembled"/>
    <x v="0"/>
    <x v="0"/>
    <x v="1"/>
    <n v="155"/>
    <n v="221.65"/>
  </r>
  <r>
    <s v="AD01-9364"/>
    <x v="2"/>
    <s v="May"/>
    <x v="1"/>
    <x v="0"/>
    <s v="Order assembled"/>
    <x v="0"/>
    <x v="0"/>
    <x v="0"/>
    <n v="197"/>
    <n v="281.70999999999998"/>
  </r>
  <r>
    <s v="AD01-9361"/>
    <x v="2"/>
    <s v="May"/>
    <x v="1"/>
    <x v="0"/>
    <s v="Order assembled"/>
    <x v="0"/>
    <x v="0"/>
    <x v="0"/>
    <n v="245"/>
    <n v="350.35"/>
  </r>
  <r>
    <s v="AD01-9362"/>
    <x v="2"/>
    <s v="Nov"/>
    <x v="1"/>
    <x v="0"/>
    <s v="Order assembled"/>
    <x v="0"/>
    <x v="0"/>
    <x v="1"/>
    <n v="320"/>
    <n v="457.6"/>
  </r>
  <r>
    <s v="AD01-9361"/>
    <x v="2"/>
    <s v="Nov"/>
    <x v="1"/>
    <x v="0"/>
    <s v="Order assembled"/>
    <x v="0"/>
    <x v="0"/>
    <x v="1"/>
    <n v="314"/>
    <n v="449.02"/>
  </r>
  <r>
    <s v="AD01-9364"/>
    <x v="2"/>
    <s v="Nov"/>
    <x v="1"/>
    <x v="0"/>
    <s v="Order assembled"/>
    <x v="0"/>
    <x v="0"/>
    <x v="1"/>
    <n v="308"/>
    <n v="440.44"/>
  </r>
  <r>
    <s v="AD01-9361"/>
    <x v="2"/>
    <s v="Nov"/>
    <x v="1"/>
    <x v="0"/>
    <s v="Order assembled"/>
    <x v="0"/>
    <x v="0"/>
    <x v="0"/>
    <n v="236"/>
    <n v="337.48"/>
  </r>
  <r>
    <s v="AD01-9362"/>
    <x v="2"/>
    <s v="Nov"/>
    <x v="1"/>
    <x v="0"/>
    <s v="Order assembled"/>
    <x v="0"/>
    <x v="0"/>
    <x v="0"/>
    <n v="164"/>
    <n v="234.51999999999998"/>
  </r>
  <r>
    <s v="AD01-9361"/>
    <x v="2"/>
    <s v="Nov"/>
    <x v="1"/>
    <x v="0"/>
    <s v="Order assembled"/>
    <x v="0"/>
    <x v="0"/>
    <x v="0"/>
    <n v="212"/>
    <n v="303.15999999999997"/>
  </r>
  <r>
    <s v="AD01-9362"/>
    <x v="2"/>
    <s v="Nov"/>
    <x v="1"/>
    <x v="0"/>
    <s v="Order assembled"/>
    <x v="0"/>
    <x v="0"/>
    <x v="0"/>
    <n v="316"/>
    <n v="451.88"/>
  </r>
  <r>
    <s v="AD01-9361"/>
    <x v="2"/>
    <s v="Nov"/>
    <x v="1"/>
    <x v="0"/>
    <s v="Order assembled"/>
    <x v="0"/>
    <x v="0"/>
    <x v="0"/>
    <n v="310"/>
    <n v="443.3"/>
  </r>
  <r>
    <s v="AD01-9362"/>
    <x v="2"/>
    <s v="Nov"/>
    <x v="1"/>
    <x v="0"/>
    <s v="Order assembled"/>
    <x v="0"/>
    <x v="0"/>
    <x v="0"/>
    <n v="238"/>
    <n v="526.24"/>
  </r>
  <r>
    <s v="AD01-9362"/>
    <x v="2"/>
    <s v="Nov"/>
    <x v="1"/>
    <x v="0"/>
    <s v="Order assembled"/>
    <x v="0"/>
    <x v="0"/>
    <x v="0"/>
    <n v="166"/>
    <n v="526.24"/>
  </r>
  <r>
    <s v="AD01-9361"/>
    <x v="2"/>
    <s v="Nov"/>
    <x v="1"/>
    <x v="0"/>
    <s v="Order assembled"/>
    <x v="0"/>
    <x v="0"/>
    <x v="0"/>
    <n v="208"/>
    <n v="526.24"/>
  </r>
  <r>
    <s v="AD01-9364"/>
    <x v="2"/>
    <s v="Nov"/>
    <x v="1"/>
    <x v="0"/>
    <s v="Order assembled"/>
    <x v="0"/>
    <x v="0"/>
    <x v="0"/>
    <n v="963"/>
    <n v="1377.09"/>
  </r>
  <r>
    <s v="AD01-9361"/>
    <x v="2"/>
    <s v="Nov"/>
    <x v="1"/>
    <x v="0"/>
    <s v="Order assembled"/>
    <x v="0"/>
    <x v="0"/>
    <x v="0"/>
    <n v="1017"/>
    <n v="1454.31"/>
  </r>
  <r>
    <s v="AD01-9361"/>
    <x v="2"/>
    <s v="Nov"/>
    <x v="1"/>
    <x v="0"/>
    <s v="Order assembled"/>
    <x v="0"/>
    <x v="0"/>
    <x v="0"/>
    <n v="210"/>
    <n v="300.3"/>
  </r>
  <r>
    <s v="AD01-9361"/>
    <x v="2"/>
    <s v="Nov"/>
    <x v="1"/>
    <x v="0"/>
    <s v="Order assembled"/>
    <x v="0"/>
    <x v="0"/>
    <x v="0"/>
    <n v="237"/>
    <n v="338.90999999999997"/>
  </r>
  <r>
    <s v="AD01-9362"/>
    <x v="2"/>
    <s v="Nov"/>
    <x v="1"/>
    <x v="0"/>
    <s v="Order assembled"/>
    <x v="0"/>
    <x v="0"/>
    <x v="0"/>
    <n v="165"/>
    <n v="235.95"/>
  </r>
  <r>
    <s v="AD01-9364"/>
    <x v="2"/>
    <s v="Nov"/>
    <x v="1"/>
    <x v="0"/>
    <s v="Order assembled"/>
    <x v="0"/>
    <x v="0"/>
    <x v="0"/>
    <n v="213"/>
    <n v="304.59000000000003"/>
  </r>
  <r>
    <s v="AD01-9362"/>
    <x v="2"/>
    <s v="Nov"/>
    <x v="1"/>
    <x v="0"/>
    <s v="Order assembled"/>
    <x v="0"/>
    <x v="0"/>
    <x v="0"/>
    <n v="319"/>
    <n v="456.16999999999996"/>
  </r>
  <r>
    <s v="AD01-9362"/>
    <x v="2"/>
    <s v="Nov"/>
    <x v="1"/>
    <x v="0"/>
    <s v="Order assembled"/>
    <x v="0"/>
    <x v="0"/>
    <x v="0"/>
    <n v="313"/>
    <n v="447.59000000000003"/>
  </r>
  <r>
    <s v="AD01-9361"/>
    <x v="2"/>
    <s v="Nov"/>
    <x v="1"/>
    <x v="0"/>
    <s v="Order assembled"/>
    <x v="0"/>
    <x v="0"/>
    <x v="0"/>
    <n v="307"/>
    <n v="439.01"/>
  </r>
  <r>
    <s v="AD01-9361"/>
    <x v="2"/>
    <s v="Nov"/>
    <x v="1"/>
    <x v="0"/>
    <s v="Order assembled"/>
    <x v="0"/>
    <x v="0"/>
    <x v="0"/>
    <n v="235"/>
    <n v="336.05"/>
  </r>
  <r>
    <s v="AD01-9361"/>
    <x v="2"/>
    <s v="Nov"/>
    <x v="1"/>
    <x v="0"/>
    <s v="Order assembled"/>
    <x v="0"/>
    <x v="0"/>
    <x v="0"/>
    <n v="798"/>
    <n v="1141.1399999999999"/>
  </r>
  <r>
    <s v="AD01-9362"/>
    <x v="2"/>
    <s v="Nov"/>
    <x v="1"/>
    <x v="0"/>
    <s v="Order assembled"/>
    <x v="0"/>
    <x v="0"/>
    <x v="0"/>
    <n v="831"/>
    <n v="1188.33"/>
  </r>
  <r>
    <s v="AD01-9364"/>
    <x v="2"/>
    <s v="Nov"/>
    <x v="1"/>
    <x v="0"/>
    <s v="Order assembled"/>
    <x v="0"/>
    <x v="0"/>
    <x v="1"/>
    <n v="317"/>
    <n v="453.31"/>
  </r>
  <r>
    <s v="AD01-9361"/>
    <x v="2"/>
    <s v="Nov"/>
    <x v="1"/>
    <x v="0"/>
    <s v="Order assembled"/>
    <x v="0"/>
    <x v="0"/>
    <x v="1"/>
    <n v="311"/>
    <n v="444.73"/>
  </r>
  <r>
    <s v="AD01-9365"/>
    <x v="2"/>
    <s v="Nov"/>
    <x v="1"/>
    <x v="0"/>
    <s v="Order assembled"/>
    <x v="0"/>
    <x v="0"/>
    <x v="1"/>
    <n v="305"/>
    <n v="436.15"/>
  </r>
  <r>
    <s v="AD01-9361"/>
    <x v="2"/>
    <s v="Nov"/>
    <x v="1"/>
    <x v="0"/>
    <s v="Order assembled"/>
    <x v="0"/>
    <x v="0"/>
    <x v="0"/>
    <n v="239"/>
    <n v="341.77"/>
  </r>
  <r>
    <s v="AD01-9361"/>
    <x v="2"/>
    <s v="Nov"/>
    <x v="1"/>
    <x v="0"/>
    <s v="Order assembled"/>
    <x v="0"/>
    <x v="0"/>
    <x v="0"/>
    <n v="209"/>
    <n v="298.87"/>
  </r>
  <r>
    <s v="AD01-9364"/>
    <x v="2"/>
    <s v="Oct"/>
    <x v="1"/>
    <x v="0"/>
    <s v="Order assembled"/>
    <x v="0"/>
    <x v="0"/>
    <x v="1"/>
    <n v="332"/>
    <n v="474.76"/>
  </r>
  <r>
    <s v="AD01-9362"/>
    <x v="2"/>
    <s v="Oct"/>
    <x v="1"/>
    <x v="0"/>
    <s v="Order assembled"/>
    <x v="0"/>
    <x v="0"/>
    <x v="1"/>
    <n v="326"/>
    <n v="466.18"/>
  </r>
  <r>
    <s v="AD01-9361"/>
    <x v="2"/>
    <s v="Oct"/>
    <x v="1"/>
    <x v="0"/>
    <s v="Order assembled"/>
    <x v="0"/>
    <x v="0"/>
    <x v="0"/>
    <n v="242"/>
    <n v="346.06"/>
  </r>
  <r>
    <s v="AD01-9361"/>
    <x v="2"/>
    <s v="Oct"/>
    <x v="1"/>
    <x v="0"/>
    <s v="Order assembled"/>
    <x v="0"/>
    <x v="0"/>
    <x v="0"/>
    <n v="170"/>
    <n v="243.1"/>
  </r>
  <r>
    <s v="AD01-9361"/>
    <x v="2"/>
    <s v="Oct"/>
    <x v="1"/>
    <x v="0"/>
    <s v="Order assembled"/>
    <x v="0"/>
    <x v="0"/>
    <x v="0"/>
    <n v="218"/>
    <n v="311.74"/>
  </r>
  <r>
    <s v="AD01-9361"/>
    <x v="2"/>
    <s v="Oct"/>
    <x v="1"/>
    <x v="0"/>
    <s v="Order assembled"/>
    <x v="0"/>
    <x v="0"/>
    <x v="0"/>
    <n v="334"/>
    <n v="477.62"/>
  </r>
  <r>
    <s v="AD01-9363"/>
    <x v="2"/>
    <s v="Oct"/>
    <x v="1"/>
    <x v="0"/>
    <s v="Order assembled"/>
    <x v="0"/>
    <x v="0"/>
    <x v="0"/>
    <n v="328"/>
    <n v="469.03999999999996"/>
  </r>
  <r>
    <s v="AD01-9362"/>
    <x v="2"/>
    <s v="Oct"/>
    <x v="1"/>
    <x v="0"/>
    <s v="Order assembled"/>
    <x v="0"/>
    <x v="0"/>
    <x v="0"/>
    <n v="322"/>
    <n v="460.46000000000004"/>
  </r>
  <r>
    <s v="AD01-9362"/>
    <x v="2"/>
    <s v="Oct"/>
    <x v="1"/>
    <x v="0"/>
    <s v="Order assembled"/>
    <x v="0"/>
    <x v="0"/>
    <x v="0"/>
    <n v="244"/>
    <n v="526.24"/>
  </r>
  <r>
    <s v="AD01-9362"/>
    <x v="2"/>
    <s v="Oct"/>
    <x v="1"/>
    <x v="0"/>
    <s v="Order assembled"/>
    <x v="0"/>
    <x v="0"/>
    <x v="0"/>
    <n v="214"/>
    <n v="526.24"/>
  </r>
  <r>
    <s v="AD01-9361"/>
    <x v="2"/>
    <s v="Oct"/>
    <x v="1"/>
    <x v="0"/>
    <s v="Order assembled"/>
    <x v="0"/>
    <x v="0"/>
    <x v="0"/>
    <n v="1016"/>
    <n v="1452.88"/>
  </r>
  <r>
    <s v="AD01-9362"/>
    <x v="2"/>
    <s v="Oct"/>
    <x v="1"/>
    <x v="0"/>
    <s v="Order assembled"/>
    <x v="0"/>
    <x v="0"/>
    <x v="0"/>
    <n v="216"/>
    <n v="308.88"/>
  </r>
  <r>
    <s v="AD01-9362"/>
    <x v="2"/>
    <s v="Oct"/>
    <x v="1"/>
    <x v="0"/>
    <s v="Order assembled"/>
    <x v="0"/>
    <x v="0"/>
    <x v="0"/>
    <n v="243"/>
    <n v="347.49"/>
  </r>
  <r>
    <s v="AD01-9361"/>
    <x v="2"/>
    <s v="Oct"/>
    <x v="1"/>
    <x v="0"/>
    <s v="Order assembled"/>
    <x v="0"/>
    <x v="0"/>
    <x v="0"/>
    <n v="171"/>
    <n v="244.53"/>
  </r>
  <r>
    <s v="AD01-9361"/>
    <x v="2"/>
    <s v="Oct"/>
    <x v="1"/>
    <x v="0"/>
    <s v="Order assembled"/>
    <x v="0"/>
    <x v="0"/>
    <x v="0"/>
    <n v="331"/>
    <n v="473.33"/>
  </r>
  <r>
    <s v="AD01-9361"/>
    <x v="2"/>
    <s v="Oct"/>
    <x v="1"/>
    <x v="0"/>
    <s v="Order assembled"/>
    <x v="0"/>
    <x v="0"/>
    <x v="0"/>
    <n v="325"/>
    <n v="464.75"/>
  </r>
  <r>
    <s v="AD01-9362"/>
    <x v="2"/>
    <s v="Oct"/>
    <x v="1"/>
    <x v="0"/>
    <s v="Order assembled"/>
    <x v="0"/>
    <x v="0"/>
    <x v="0"/>
    <n v="241"/>
    <n v="344.63"/>
  </r>
  <r>
    <s v="AD01-9363"/>
    <x v="2"/>
    <s v="Oct"/>
    <x v="1"/>
    <x v="0"/>
    <s v="Order assembled"/>
    <x v="0"/>
    <x v="0"/>
    <x v="0"/>
    <n v="797"/>
    <n v="1139.71"/>
  </r>
  <r>
    <s v="AD01-9362"/>
    <x v="2"/>
    <s v="Oct"/>
    <x v="1"/>
    <x v="0"/>
    <s v="Order assembled"/>
    <x v="0"/>
    <x v="0"/>
    <x v="0"/>
    <n v="830"/>
    <n v="1186.9000000000001"/>
  </r>
  <r>
    <s v="AD01-9364"/>
    <x v="2"/>
    <s v="Oct"/>
    <x v="1"/>
    <x v="0"/>
    <s v="Order assembled"/>
    <x v="0"/>
    <x v="0"/>
    <x v="1"/>
    <n v="335"/>
    <n v="479.05"/>
  </r>
  <r>
    <s v="AD01-9361"/>
    <x v="2"/>
    <s v="Oct"/>
    <x v="1"/>
    <x v="0"/>
    <s v="Order assembled"/>
    <x v="0"/>
    <x v="0"/>
    <x v="1"/>
    <n v="329"/>
    <n v="470.47"/>
  </r>
  <r>
    <s v="AD01-9363"/>
    <x v="2"/>
    <s v="Oct"/>
    <x v="1"/>
    <x v="0"/>
    <s v="Order assembled"/>
    <x v="0"/>
    <x v="0"/>
    <x v="1"/>
    <n v="323"/>
    <n v="461.89"/>
  </r>
  <r>
    <s v="AD01-9361"/>
    <x v="2"/>
    <s v="Oct"/>
    <x v="1"/>
    <x v="0"/>
    <s v="Order assembled"/>
    <x v="0"/>
    <x v="0"/>
    <x v="0"/>
    <n v="245"/>
    <n v="350.35"/>
  </r>
  <r>
    <s v="AD01-9362"/>
    <x v="2"/>
    <s v="Oct"/>
    <x v="1"/>
    <x v="0"/>
    <s v="Order assembled"/>
    <x v="0"/>
    <x v="0"/>
    <x v="0"/>
    <n v="167"/>
    <n v="238.81"/>
  </r>
  <r>
    <s v="AD01-9361"/>
    <x v="2"/>
    <s v="Oct"/>
    <x v="1"/>
    <x v="0"/>
    <s v="Order assembled"/>
    <x v="0"/>
    <x v="0"/>
    <x v="0"/>
    <n v="215"/>
    <n v="307.45"/>
  </r>
  <r>
    <s v="AD01-9361"/>
    <x v="2"/>
    <s v="Sep"/>
    <x v="1"/>
    <x v="0"/>
    <s v="Order assembled"/>
    <x v="0"/>
    <x v="0"/>
    <x v="1"/>
    <n v="350"/>
    <n v="500.5"/>
  </r>
  <r>
    <s v="AD01-9361"/>
    <x v="2"/>
    <s v="Sep"/>
    <x v="1"/>
    <x v="0"/>
    <s v="Order assembled"/>
    <x v="0"/>
    <x v="0"/>
    <x v="1"/>
    <n v="344"/>
    <n v="491.91999999999996"/>
  </r>
  <r>
    <s v="AD01-9362"/>
    <x v="2"/>
    <s v="Sep"/>
    <x v="1"/>
    <x v="0"/>
    <s v="Order assembled"/>
    <x v="0"/>
    <x v="0"/>
    <x v="1"/>
    <n v="338"/>
    <n v="483.34000000000003"/>
  </r>
  <r>
    <s v="AD01-9361"/>
    <x v="2"/>
    <s v="Sep"/>
    <x v="1"/>
    <x v="0"/>
    <s v="Order assembled"/>
    <x v="0"/>
    <x v="0"/>
    <x v="0"/>
    <n v="176"/>
    <n v="251.68"/>
  </r>
  <r>
    <s v="AD01-9362"/>
    <x v="2"/>
    <s v="Sep"/>
    <x v="1"/>
    <x v="0"/>
    <s v="Order assembled"/>
    <x v="0"/>
    <x v="0"/>
    <x v="0"/>
    <n v="352"/>
    <n v="503.36"/>
  </r>
  <r>
    <s v="AD01-9362"/>
    <x v="2"/>
    <s v="Sep"/>
    <x v="1"/>
    <x v="0"/>
    <s v="Order assembled"/>
    <x v="0"/>
    <x v="0"/>
    <x v="0"/>
    <n v="346"/>
    <n v="494.78"/>
  </r>
  <r>
    <s v="AD01-9361"/>
    <x v="2"/>
    <s v="Sep"/>
    <x v="1"/>
    <x v="0"/>
    <s v="Order assembled"/>
    <x v="0"/>
    <x v="0"/>
    <x v="0"/>
    <n v="340"/>
    <n v="486.2"/>
  </r>
  <r>
    <s v="AD01-9361"/>
    <x v="2"/>
    <s v="Sep"/>
    <x v="1"/>
    <x v="0"/>
    <s v="Order assembled"/>
    <x v="0"/>
    <x v="0"/>
    <x v="0"/>
    <n v="172"/>
    <n v="526.24"/>
  </r>
  <r>
    <s v="AD01-9361"/>
    <x v="2"/>
    <s v="Sep"/>
    <x v="1"/>
    <x v="0"/>
    <s v="Order assembled"/>
    <x v="0"/>
    <x v="0"/>
    <x v="0"/>
    <n v="220"/>
    <n v="526.24"/>
  </r>
  <r>
    <s v="AD01-9362"/>
    <x v="2"/>
    <s v="Sep"/>
    <x v="1"/>
    <x v="0"/>
    <s v="Order assembled"/>
    <x v="0"/>
    <x v="0"/>
    <x v="0"/>
    <n v="962"/>
    <n v="1375.6599999999999"/>
  </r>
  <r>
    <s v="AD01-9362"/>
    <x v="2"/>
    <s v="Sep"/>
    <x v="1"/>
    <x v="0"/>
    <s v="Order assembled"/>
    <x v="0"/>
    <x v="0"/>
    <x v="0"/>
    <n v="1015"/>
    <n v="1451.45"/>
  </r>
  <r>
    <s v="AD01-9362"/>
    <x v="2"/>
    <s v="Sep"/>
    <x v="1"/>
    <x v="0"/>
    <s v="Order assembled"/>
    <x v="0"/>
    <x v="0"/>
    <x v="0"/>
    <n v="222"/>
    <n v="317.45999999999998"/>
  </r>
  <r>
    <s v="AD01-9362"/>
    <x v="2"/>
    <s v="Sep"/>
    <x v="1"/>
    <x v="0"/>
    <s v="Order assembled"/>
    <x v="0"/>
    <x v="0"/>
    <x v="0"/>
    <n v="177"/>
    <n v="253.11"/>
  </r>
  <r>
    <s v="AD01-9362"/>
    <x v="2"/>
    <s v="Sep"/>
    <x v="1"/>
    <x v="0"/>
    <s v="Order assembled"/>
    <x v="0"/>
    <x v="0"/>
    <x v="0"/>
    <n v="219"/>
    <n v="313.17"/>
  </r>
  <r>
    <s v="AD01-9361"/>
    <x v="2"/>
    <s v="Sep"/>
    <x v="1"/>
    <x v="0"/>
    <s v="Order assembled"/>
    <x v="0"/>
    <x v="0"/>
    <x v="0"/>
    <n v="349"/>
    <n v="499.07"/>
  </r>
  <r>
    <s v="AD01-9362"/>
    <x v="2"/>
    <s v="Sep"/>
    <x v="1"/>
    <x v="0"/>
    <s v="Order assembled"/>
    <x v="0"/>
    <x v="0"/>
    <x v="0"/>
    <n v="343"/>
    <n v="490.49"/>
  </r>
  <r>
    <s v="AD01-9361"/>
    <x v="2"/>
    <s v="Sep"/>
    <x v="1"/>
    <x v="0"/>
    <s v="Order assembled"/>
    <x v="0"/>
    <x v="0"/>
    <x v="0"/>
    <n v="337"/>
    <n v="481.90999999999997"/>
  </r>
  <r>
    <s v="AD01-9362"/>
    <x v="2"/>
    <s v="Sep"/>
    <x v="1"/>
    <x v="0"/>
    <s v="Order assembled"/>
    <x v="0"/>
    <x v="0"/>
    <x v="0"/>
    <n v="796"/>
    <n v="1138.28"/>
  </r>
  <r>
    <s v="AD01-9364"/>
    <x v="2"/>
    <s v="Sep"/>
    <x v="1"/>
    <x v="0"/>
    <s v="Order assembled"/>
    <x v="0"/>
    <x v="0"/>
    <x v="0"/>
    <n v="829"/>
    <n v="1185.47"/>
  </r>
  <r>
    <s v="AD01-9361"/>
    <x v="2"/>
    <s v="Sep"/>
    <x v="1"/>
    <x v="0"/>
    <s v="Order assembled"/>
    <x v="0"/>
    <x v="0"/>
    <x v="1"/>
    <n v="347"/>
    <n v="496.21000000000004"/>
  </r>
  <r>
    <s v="AD01-9361"/>
    <x v="2"/>
    <s v="Sep"/>
    <x v="1"/>
    <x v="0"/>
    <s v="Order assembled"/>
    <x v="0"/>
    <x v="0"/>
    <x v="1"/>
    <n v="341"/>
    <n v="487.63"/>
  </r>
  <r>
    <s v="AD01-9361"/>
    <x v="2"/>
    <s v="Sep"/>
    <x v="1"/>
    <x v="0"/>
    <s v="Order assembled"/>
    <x v="0"/>
    <x v="0"/>
    <x v="0"/>
    <n v="173"/>
    <n v="247.39"/>
  </r>
  <r>
    <s v="AD01-9361"/>
    <x v="2"/>
    <s v="Sep"/>
    <x v="1"/>
    <x v="0"/>
    <s v="Order assembled"/>
    <x v="0"/>
    <x v="0"/>
    <x v="0"/>
    <n v="221"/>
    <n v="316.02999999999997"/>
  </r>
  <r>
    <s v="AD01-9361"/>
    <x v="2"/>
    <s v="Apr"/>
    <x v="0"/>
    <x v="1"/>
    <s v="Cancelld"/>
    <x v="1"/>
    <x v="0"/>
    <x v="2"/>
    <n v="214"/>
    <n v="306.02"/>
  </r>
  <r>
    <s v="AD01-9364"/>
    <x v="2"/>
    <s v="Apr"/>
    <x v="0"/>
    <x v="1"/>
    <s v="Cancelld"/>
    <x v="1"/>
    <x v="0"/>
    <x v="2"/>
    <n v="208"/>
    <n v="297.44"/>
  </r>
  <r>
    <s v="AD01-9362"/>
    <x v="2"/>
    <s v="Apr"/>
    <x v="0"/>
    <x v="1"/>
    <s v="Cancelld"/>
    <x v="1"/>
    <x v="0"/>
    <x v="2"/>
    <n v="202"/>
    <n v="288.86"/>
  </r>
  <r>
    <s v="AD01-9365"/>
    <x v="2"/>
    <s v="Apr"/>
    <x v="0"/>
    <x v="1"/>
    <s v="Cancelld"/>
    <x v="1"/>
    <x v="0"/>
    <x v="2"/>
    <n v="211"/>
    <n v="301.73"/>
  </r>
  <r>
    <s v="AD01-9361"/>
    <x v="2"/>
    <s v="Apr"/>
    <x v="0"/>
    <x v="1"/>
    <s v="Cancelld"/>
    <x v="1"/>
    <x v="0"/>
    <x v="2"/>
    <n v="205"/>
    <n v="293.14999999999998"/>
  </r>
  <r>
    <s v="AD01-9362"/>
    <x v="2"/>
    <s v="Feb"/>
    <x v="0"/>
    <x v="1"/>
    <s v="Cancelld"/>
    <x v="1"/>
    <x v="0"/>
    <x v="2"/>
    <n v="244"/>
    <n v="348.92"/>
  </r>
  <r>
    <s v="AD01-9361"/>
    <x v="2"/>
    <s v="Feb"/>
    <x v="0"/>
    <x v="1"/>
    <s v="Cancelld"/>
    <x v="1"/>
    <x v="0"/>
    <x v="2"/>
    <n v="238"/>
    <n v="340.34000000000003"/>
  </r>
  <r>
    <s v="AD01-9361"/>
    <x v="2"/>
    <s v="Feb"/>
    <x v="0"/>
    <x v="1"/>
    <s v="Cancelld"/>
    <x v="1"/>
    <x v="0"/>
    <x v="2"/>
    <n v="247"/>
    <n v="353.21"/>
  </r>
  <r>
    <s v="AD01-9362"/>
    <x v="2"/>
    <s v="Feb"/>
    <x v="0"/>
    <x v="1"/>
    <s v="Cancelld"/>
    <x v="1"/>
    <x v="0"/>
    <x v="2"/>
    <n v="241"/>
    <n v="344.63"/>
  </r>
  <r>
    <s v="AD01-9364"/>
    <x v="2"/>
    <s v="Feb"/>
    <x v="0"/>
    <x v="1"/>
    <s v="Cancelld"/>
    <x v="1"/>
    <x v="0"/>
    <x v="2"/>
    <n v="235"/>
    <n v="336.05"/>
  </r>
  <r>
    <s v="AD01-9362"/>
    <x v="2"/>
    <s v="Jan"/>
    <x v="0"/>
    <x v="1"/>
    <s v="Cancelld"/>
    <x v="1"/>
    <x v="0"/>
    <x v="0"/>
    <n v="262"/>
    <n v="374.65999999999997"/>
  </r>
  <r>
    <s v="AD01-9362"/>
    <x v="2"/>
    <s v="Jan"/>
    <x v="0"/>
    <x v="1"/>
    <s v="Cancelld"/>
    <x v="1"/>
    <x v="0"/>
    <x v="2"/>
    <n v="256"/>
    <n v="366.08"/>
  </r>
  <r>
    <s v="AD01-9362"/>
    <x v="2"/>
    <s v="Jan"/>
    <x v="0"/>
    <x v="1"/>
    <s v="Cancelld"/>
    <x v="1"/>
    <x v="0"/>
    <x v="2"/>
    <n v="250"/>
    <n v="357.5"/>
  </r>
  <r>
    <s v="AD01-9362"/>
    <x v="2"/>
    <s v="Jan"/>
    <x v="0"/>
    <x v="1"/>
    <s v="Cancelld"/>
    <x v="1"/>
    <x v="0"/>
    <x v="2"/>
    <n v="259"/>
    <n v="370.37"/>
  </r>
  <r>
    <s v="AD01-9364"/>
    <x v="2"/>
    <s v="Jan"/>
    <x v="0"/>
    <x v="1"/>
    <s v="Cancelld"/>
    <x v="1"/>
    <x v="0"/>
    <x v="2"/>
    <n v="253"/>
    <n v="361.78999999999996"/>
  </r>
  <r>
    <s v="AD01-9362"/>
    <x v="2"/>
    <s v="Jun"/>
    <x v="0"/>
    <x v="1"/>
    <s v="Cancelld"/>
    <x v="1"/>
    <x v="0"/>
    <x v="2"/>
    <n v="184"/>
    <n v="263.12"/>
  </r>
  <r>
    <s v="AD01-9363"/>
    <x v="2"/>
    <s v="Jun"/>
    <x v="0"/>
    <x v="1"/>
    <s v="Cancelld"/>
    <x v="1"/>
    <x v="0"/>
    <x v="2"/>
    <n v="178"/>
    <n v="254.54"/>
  </r>
  <r>
    <s v="AD01-9364"/>
    <x v="2"/>
    <s v="Jun"/>
    <x v="0"/>
    <x v="1"/>
    <s v="Cancelld"/>
    <x v="1"/>
    <x v="0"/>
    <x v="2"/>
    <n v="172"/>
    <n v="245.95999999999998"/>
  </r>
  <r>
    <s v="AD01-9361"/>
    <x v="2"/>
    <s v="Jun"/>
    <x v="0"/>
    <x v="1"/>
    <s v="Cancelld"/>
    <x v="1"/>
    <x v="0"/>
    <x v="2"/>
    <n v="181"/>
    <n v="258.83"/>
  </r>
  <r>
    <s v="AD01-9363"/>
    <x v="2"/>
    <s v="Jun"/>
    <x v="0"/>
    <x v="1"/>
    <s v="Cancelld"/>
    <x v="1"/>
    <x v="0"/>
    <x v="2"/>
    <n v="175"/>
    <n v="250.25"/>
  </r>
  <r>
    <s v="AD01-9362"/>
    <x v="2"/>
    <s v="Jun"/>
    <x v="0"/>
    <x v="1"/>
    <s v="Cancelld"/>
    <x v="1"/>
    <x v="0"/>
    <x v="2"/>
    <n v="169"/>
    <n v="241.67000000000002"/>
  </r>
  <r>
    <s v="AD01-9361"/>
    <x v="2"/>
    <s v="Mar"/>
    <x v="0"/>
    <x v="1"/>
    <s v="Cancelld"/>
    <x v="1"/>
    <x v="0"/>
    <x v="2"/>
    <n v="232"/>
    <n v="331.76"/>
  </r>
  <r>
    <s v="AD01-9362"/>
    <x v="2"/>
    <s v="Mar"/>
    <x v="0"/>
    <x v="1"/>
    <s v="Cancelld"/>
    <x v="1"/>
    <x v="0"/>
    <x v="2"/>
    <n v="226"/>
    <n v="323.18"/>
  </r>
  <r>
    <s v="AD01-9362"/>
    <x v="2"/>
    <s v="Mar"/>
    <x v="0"/>
    <x v="1"/>
    <s v="Cancelld"/>
    <x v="1"/>
    <x v="0"/>
    <x v="2"/>
    <n v="220"/>
    <n v="314.60000000000002"/>
  </r>
  <r>
    <s v="AD01-9364"/>
    <x v="2"/>
    <s v="Mar"/>
    <x v="0"/>
    <x v="1"/>
    <s v="Cancelld"/>
    <x v="1"/>
    <x v="0"/>
    <x v="2"/>
    <n v="229"/>
    <n v="327.47000000000003"/>
  </r>
  <r>
    <s v="AD01-9361"/>
    <x v="2"/>
    <s v="Mar"/>
    <x v="0"/>
    <x v="1"/>
    <s v="Cancelld"/>
    <x v="1"/>
    <x v="0"/>
    <x v="2"/>
    <n v="223"/>
    <n v="318.89"/>
  </r>
  <r>
    <s v="AD01-9361"/>
    <x v="2"/>
    <s v="Mar"/>
    <x v="0"/>
    <x v="1"/>
    <s v="Cancelld"/>
    <x v="1"/>
    <x v="0"/>
    <x v="2"/>
    <n v="217"/>
    <n v="310.31"/>
  </r>
  <r>
    <s v="AD01-9362"/>
    <x v="2"/>
    <s v="May"/>
    <x v="0"/>
    <x v="1"/>
    <s v="Cancelld"/>
    <x v="1"/>
    <x v="0"/>
    <x v="2"/>
    <n v="196"/>
    <n v="280.27999999999997"/>
  </r>
  <r>
    <s v="AD01-9361"/>
    <x v="2"/>
    <s v="May"/>
    <x v="0"/>
    <x v="1"/>
    <s v="Cancelld"/>
    <x v="1"/>
    <x v="0"/>
    <x v="2"/>
    <n v="190"/>
    <n v="271.7"/>
  </r>
  <r>
    <s v="AD01-9361"/>
    <x v="2"/>
    <s v="May"/>
    <x v="0"/>
    <x v="1"/>
    <s v="Cancelld"/>
    <x v="1"/>
    <x v="0"/>
    <x v="2"/>
    <n v="199"/>
    <n v="284.57"/>
  </r>
  <r>
    <s v="AD01-9361"/>
    <x v="2"/>
    <s v="May"/>
    <x v="0"/>
    <x v="1"/>
    <s v="Cancelld"/>
    <x v="1"/>
    <x v="0"/>
    <x v="2"/>
    <n v="193"/>
    <n v="275.99"/>
  </r>
  <r>
    <s v="AD01-9361"/>
    <x v="2"/>
    <s v="May"/>
    <x v="0"/>
    <x v="1"/>
    <s v="Cancelld"/>
    <x v="1"/>
    <x v="0"/>
    <x v="2"/>
    <n v="187"/>
    <n v="267.40999999999997"/>
  </r>
  <r>
    <s v="AD01-9362"/>
    <x v="2"/>
    <s v="Apr"/>
    <x v="1"/>
    <x v="1"/>
    <s v="Cancelld"/>
    <x v="1"/>
    <x v="0"/>
    <x v="2"/>
    <n v="278"/>
    <n v="397.53999999999996"/>
  </r>
  <r>
    <s v="AD01-9365"/>
    <x v="2"/>
    <s v="Apr"/>
    <x v="1"/>
    <x v="1"/>
    <s v="Cancelld"/>
    <x v="1"/>
    <x v="0"/>
    <x v="2"/>
    <n v="326"/>
    <n v="466.18"/>
  </r>
  <r>
    <s v="AD01-9361"/>
    <x v="2"/>
    <s v="Apr"/>
    <x v="1"/>
    <x v="1"/>
    <s v="Cancelld"/>
    <x v="1"/>
    <x v="0"/>
    <x v="2"/>
    <n v="280"/>
    <n v="400.4"/>
  </r>
  <r>
    <s v="AD01-9361"/>
    <x v="2"/>
    <s v="Apr"/>
    <x v="1"/>
    <x v="1"/>
    <s v="Cancelld"/>
    <x v="1"/>
    <x v="0"/>
    <x v="2"/>
    <n v="834"/>
    <n v="1192.6199999999999"/>
  </r>
  <r>
    <s v="AD01-9361"/>
    <x v="2"/>
    <s v="Apr"/>
    <x v="1"/>
    <x v="1"/>
    <s v="Cancelld"/>
    <x v="1"/>
    <x v="0"/>
    <x v="2"/>
    <n v="867"/>
    <n v="1239.81"/>
  </r>
  <r>
    <s v="AD01-9362"/>
    <x v="2"/>
    <s v="Apr"/>
    <x v="1"/>
    <x v="1"/>
    <s v="Cancelld"/>
    <x v="1"/>
    <x v="0"/>
    <x v="2"/>
    <n v="931"/>
    <n v="1331.33"/>
  </r>
  <r>
    <s v="AD01-9362"/>
    <x v="2"/>
    <s v="Apr"/>
    <x v="1"/>
    <x v="1"/>
    <s v="Cancelld"/>
    <x v="1"/>
    <x v="0"/>
    <x v="2"/>
    <n v="932"/>
    <n v="1332.76"/>
  </r>
  <r>
    <s v="AD01-9361"/>
    <x v="2"/>
    <s v="Apr"/>
    <x v="1"/>
    <x v="1"/>
    <s v="Cancelld"/>
    <x v="1"/>
    <x v="0"/>
    <x v="2"/>
    <n v="933"/>
    <n v="1334.19"/>
  </r>
  <r>
    <s v="AD01-9362"/>
    <x v="2"/>
    <s v="Apr"/>
    <x v="1"/>
    <x v="1"/>
    <s v="Cancelld"/>
    <x v="1"/>
    <x v="0"/>
    <x v="2"/>
    <n v="873"/>
    <n v="526.24"/>
  </r>
  <r>
    <s v="AD01-9361"/>
    <x v="2"/>
    <s v="Apr"/>
    <x v="1"/>
    <x v="1"/>
    <s v="Cancelld"/>
    <x v="1"/>
    <x v="0"/>
    <x v="2"/>
    <n v="327"/>
    <n v="467.61"/>
  </r>
  <r>
    <s v="AD01-9361"/>
    <x v="2"/>
    <s v="Apr"/>
    <x v="1"/>
    <x v="1"/>
    <s v="Cancelld"/>
    <x v="1"/>
    <x v="0"/>
    <x v="2"/>
    <n v="183"/>
    <n v="261.69"/>
  </r>
  <r>
    <s v="AD01-9362"/>
    <x v="2"/>
    <s v="Apr"/>
    <x v="1"/>
    <x v="1"/>
    <s v="Cancelld"/>
    <x v="1"/>
    <x v="0"/>
    <x v="2"/>
    <n v="177"/>
    <n v="253.11"/>
  </r>
  <r>
    <s v="AD01-9361"/>
    <x v="2"/>
    <s v="Apr"/>
    <x v="1"/>
    <x v="1"/>
    <s v="Cancelld"/>
    <x v="1"/>
    <x v="0"/>
    <x v="2"/>
    <n v="171"/>
    <n v="244.53"/>
  </r>
  <r>
    <s v="AD01-9361"/>
    <x v="2"/>
    <s v="Apr"/>
    <x v="1"/>
    <x v="1"/>
    <s v="Cancelld"/>
    <x v="1"/>
    <x v="0"/>
    <x v="2"/>
    <n v="277"/>
    <n v="396.11"/>
  </r>
  <r>
    <s v="AD01-9364"/>
    <x v="2"/>
    <s v="Apr"/>
    <x v="1"/>
    <x v="1"/>
    <s v="Cancelld"/>
    <x v="1"/>
    <x v="0"/>
    <x v="2"/>
    <n v="325"/>
    <n v="464.75"/>
  </r>
  <r>
    <s v="AD01-9362"/>
    <x v="2"/>
    <s v="Apr"/>
    <x v="1"/>
    <x v="1"/>
    <s v="Cancelld"/>
    <x v="1"/>
    <x v="0"/>
    <x v="2"/>
    <n v="842"/>
    <n v="1204.06"/>
  </r>
  <r>
    <s v="AD01-9362"/>
    <x v="2"/>
    <s v="Apr"/>
    <x v="1"/>
    <x v="1"/>
    <s v="Cancelld"/>
    <x v="1"/>
    <x v="0"/>
    <x v="2"/>
    <n v="876"/>
    <n v="1252.68"/>
  </r>
  <r>
    <s v="AD01-9362"/>
    <x v="2"/>
    <s v="Aug"/>
    <x v="1"/>
    <x v="1"/>
    <s v="Cancelld"/>
    <x v="1"/>
    <x v="0"/>
    <x v="2"/>
    <n v="332"/>
    <n v="474.76"/>
  </r>
  <r>
    <s v="AD01-9362"/>
    <x v="2"/>
    <s v="Aug"/>
    <x v="1"/>
    <x v="1"/>
    <s v="Cancelld"/>
    <x v="1"/>
    <x v="0"/>
    <x v="2"/>
    <n v="302"/>
    <n v="431.86"/>
  </r>
  <r>
    <s v="AD01-9364"/>
    <x v="2"/>
    <s v="Aug"/>
    <x v="1"/>
    <x v="1"/>
    <s v="Cancelld"/>
    <x v="1"/>
    <x v="0"/>
    <x v="2"/>
    <n v="256"/>
    <n v="366.08"/>
  </r>
  <r>
    <s v="AD01-9363"/>
    <x v="2"/>
    <s v="Aug"/>
    <x v="1"/>
    <x v="1"/>
    <s v="Cancelld"/>
    <x v="1"/>
    <x v="0"/>
    <x v="2"/>
    <n v="304"/>
    <n v="434.72"/>
  </r>
  <r>
    <s v="AD01-9361"/>
    <x v="2"/>
    <s v="Aug"/>
    <x v="1"/>
    <x v="1"/>
    <s v="Cancelld"/>
    <x v="1"/>
    <x v="0"/>
    <x v="2"/>
    <n v="784"/>
    <n v="1121.1199999999999"/>
  </r>
  <r>
    <s v="AD01-9363"/>
    <x v="2"/>
    <s v="Aug"/>
    <x v="1"/>
    <x v="1"/>
    <s v="Cancelld"/>
    <x v="1"/>
    <x v="0"/>
    <x v="2"/>
    <n v="837"/>
    <n v="1196.9099999999999"/>
  </r>
  <r>
    <s v="AD01-9362"/>
    <x v="2"/>
    <s v="Aug"/>
    <x v="1"/>
    <x v="1"/>
    <s v="Cancelld"/>
    <x v="1"/>
    <x v="0"/>
    <x v="2"/>
    <n v="870"/>
    <n v="1244.0999999999999"/>
  </r>
  <r>
    <s v="AD01-9362"/>
    <x v="2"/>
    <s v="Aug"/>
    <x v="1"/>
    <x v="1"/>
    <s v="Cancelld"/>
    <x v="1"/>
    <x v="0"/>
    <x v="2"/>
    <n v="942"/>
    <n v="1347.06"/>
  </r>
  <r>
    <s v="AD01-9362"/>
    <x v="2"/>
    <s v="Aug"/>
    <x v="1"/>
    <x v="1"/>
    <s v="Cancelld"/>
    <x v="1"/>
    <x v="0"/>
    <x v="2"/>
    <n v="943"/>
    <n v="1348.49"/>
  </r>
  <r>
    <s v="AD01-9361"/>
    <x v="2"/>
    <s v="Aug"/>
    <x v="1"/>
    <x v="1"/>
    <s v="Cancelld"/>
    <x v="1"/>
    <x v="0"/>
    <x v="2"/>
    <n v="944"/>
    <n v="1349.92"/>
  </r>
  <r>
    <s v="AD01-9362"/>
    <x v="2"/>
    <s v="Aug"/>
    <x v="1"/>
    <x v="1"/>
    <s v="Cancelld"/>
    <x v="1"/>
    <x v="0"/>
    <x v="2"/>
    <n v="823"/>
    <n v="526.24"/>
  </r>
  <r>
    <s v="AD01-9361"/>
    <x v="2"/>
    <s v="Aug"/>
    <x v="1"/>
    <x v="1"/>
    <s v="Cancelld"/>
    <x v="1"/>
    <x v="0"/>
    <x v="2"/>
    <n v="877"/>
    <n v="526.24"/>
  </r>
  <r>
    <s v="AD01-9361"/>
    <x v="2"/>
    <s v="Aug"/>
    <x v="1"/>
    <x v="1"/>
    <s v="Cancelld"/>
    <x v="1"/>
    <x v="0"/>
    <x v="2"/>
    <n v="303"/>
    <n v="433.28999999999996"/>
  </r>
  <r>
    <s v="AD01-9363"/>
    <x v="2"/>
    <s v="Aug"/>
    <x v="1"/>
    <x v="1"/>
    <s v="Cancelld"/>
    <x v="1"/>
    <x v="0"/>
    <x v="2"/>
    <n v="363"/>
    <n v="519.09"/>
  </r>
  <r>
    <s v="AD01-9364"/>
    <x v="2"/>
    <s v="Aug"/>
    <x v="1"/>
    <x v="1"/>
    <s v="Cancelld"/>
    <x v="1"/>
    <x v="0"/>
    <x v="2"/>
    <n v="357"/>
    <n v="510.51"/>
  </r>
  <r>
    <s v="AD01-9363"/>
    <x v="2"/>
    <s v="Aug"/>
    <x v="1"/>
    <x v="1"/>
    <s v="Cancelld"/>
    <x v="1"/>
    <x v="0"/>
    <x v="2"/>
    <n v="331"/>
    <n v="473.33"/>
  </r>
  <r>
    <s v="AD01-9362"/>
    <x v="2"/>
    <s v="Aug"/>
    <x v="1"/>
    <x v="1"/>
    <s v="Cancelld"/>
    <x v="1"/>
    <x v="0"/>
    <x v="2"/>
    <n v="259"/>
    <n v="370.37"/>
  </r>
  <r>
    <s v="AD01-9362"/>
    <x v="2"/>
    <s v="Aug"/>
    <x v="1"/>
    <x v="1"/>
    <s v="Cancelld"/>
    <x v="1"/>
    <x v="0"/>
    <x v="2"/>
    <n v="793"/>
    <n v="1133.99"/>
  </r>
  <r>
    <s v="AD01-9362"/>
    <x v="2"/>
    <s v="Aug"/>
    <x v="1"/>
    <x v="1"/>
    <s v="Cancelld"/>
    <x v="1"/>
    <x v="0"/>
    <x v="2"/>
    <n v="846"/>
    <n v="1209.78"/>
  </r>
  <r>
    <s v="AD01-9362"/>
    <x v="2"/>
    <s v="Aug"/>
    <x v="1"/>
    <x v="1"/>
    <s v="Cancelld"/>
    <x v="1"/>
    <x v="0"/>
    <x v="2"/>
    <n v="879"/>
    <n v="1256.97"/>
  </r>
  <r>
    <s v="AD01-9362"/>
    <x v="2"/>
    <s v="Dec"/>
    <x v="1"/>
    <x v="1"/>
    <s v="Cancelld"/>
    <x v="1"/>
    <x v="0"/>
    <x v="2"/>
    <n v="308"/>
    <n v="440.44"/>
  </r>
  <r>
    <s v="AD01-9361"/>
    <x v="2"/>
    <s v="Dec"/>
    <x v="1"/>
    <x v="1"/>
    <s v="Cancelld"/>
    <x v="1"/>
    <x v="0"/>
    <x v="2"/>
    <n v="236"/>
    <n v="337.48"/>
  </r>
  <r>
    <s v="AD01-9362"/>
    <x v="2"/>
    <s v="Dec"/>
    <x v="1"/>
    <x v="1"/>
    <s v="Cancelld"/>
    <x v="1"/>
    <x v="0"/>
    <x v="2"/>
    <n v="284"/>
    <n v="406.12"/>
  </r>
  <r>
    <s v="AD01-9362"/>
    <x v="2"/>
    <s v="Dec"/>
    <x v="1"/>
    <x v="1"/>
    <s v="Cancelld"/>
    <x v="1"/>
    <x v="0"/>
    <x v="2"/>
    <n v="310"/>
    <n v="443.3"/>
  </r>
  <r>
    <s v="AD01-9362"/>
    <x v="2"/>
    <s v="Dec"/>
    <x v="1"/>
    <x v="1"/>
    <s v="Cancelld"/>
    <x v="1"/>
    <x v="0"/>
    <x v="2"/>
    <n v="238"/>
    <n v="340.34000000000003"/>
  </r>
  <r>
    <s v="AD01-9362"/>
    <x v="2"/>
    <s v="Dec"/>
    <x v="1"/>
    <x v="1"/>
    <s v="Cancelld"/>
    <x v="1"/>
    <x v="0"/>
    <x v="2"/>
    <n v="280"/>
    <n v="400.4"/>
  </r>
  <r>
    <s v="AD01-9361"/>
    <x v="2"/>
    <s v="Dec"/>
    <x v="1"/>
    <x v="1"/>
    <s v="Cancelld"/>
    <x v="1"/>
    <x v="0"/>
    <x v="2"/>
    <n v="787"/>
    <n v="1125.4099999999999"/>
  </r>
  <r>
    <s v="AD01-9361"/>
    <x v="2"/>
    <s v="Dec"/>
    <x v="1"/>
    <x v="1"/>
    <s v="Cancelld"/>
    <x v="1"/>
    <x v="0"/>
    <x v="2"/>
    <n v="841"/>
    <n v="1202.6300000000001"/>
  </r>
  <r>
    <s v="AD01-9364"/>
    <x v="2"/>
    <s v="Dec"/>
    <x v="1"/>
    <x v="1"/>
    <s v="Cancelld"/>
    <x v="1"/>
    <x v="0"/>
    <x v="2"/>
    <n v="874"/>
    <n v="1249.82"/>
  </r>
  <r>
    <s v="AD01-9361"/>
    <x v="2"/>
    <s v="Dec"/>
    <x v="1"/>
    <x v="1"/>
    <s v="Cancelld"/>
    <x v="1"/>
    <x v="0"/>
    <x v="2"/>
    <n v="953"/>
    <n v="1362.79"/>
  </r>
  <r>
    <s v="AD01-9361"/>
    <x v="2"/>
    <s v="Dec"/>
    <x v="1"/>
    <x v="1"/>
    <s v="Cancelld"/>
    <x v="1"/>
    <x v="0"/>
    <x v="2"/>
    <n v="954"/>
    <n v="1364.22"/>
  </r>
  <r>
    <s v="AD01-9364"/>
    <x v="2"/>
    <s v="Dec"/>
    <x v="1"/>
    <x v="1"/>
    <s v="Cancelld"/>
    <x v="1"/>
    <x v="0"/>
    <x v="2"/>
    <n v="827"/>
    <n v="526.24"/>
  </r>
  <r>
    <s v="AD01-9361"/>
    <x v="2"/>
    <s v="Dec"/>
    <x v="1"/>
    <x v="1"/>
    <s v="Cancelld"/>
    <x v="1"/>
    <x v="0"/>
    <x v="2"/>
    <n v="880"/>
    <n v="526.24"/>
  </r>
  <r>
    <s v="AD01-9361"/>
    <x v="2"/>
    <s v="Dec"/>
    <x v="1"/>
    <x v="1"/>
    <s v="Cancelld"/>
    <x v="1"/>
    <x v="0"/>
    <x v="2"/>
    <n v="285"/>
    <n v="407.55"/>
  </r>
  <r>
    <s v="AD01-9362"/>
    <x v="2"/>
    <s v="Dec"/>
    <x v="1"/>
    <x v="1"/>
    <s v="Cancelld"/>
    <x v="1"/>
    <x v="0"/>
    <x v="2"/>
    <n v="303"/>
    <n v="433.28999999999996"/>
  </r>
  <r>
    <s v="AD01-9361"/>
    <x v="2"/>
    <s v="Dec"/>
    <x v="1"/>
    <x v="1"/>
    <s v="Cancelld"/>
    <x v="1"/>
    <x v="0"/>
    <x v="2"/>
    <n v="297"/>
    <n v="424.71"/>
  </r>
  <r>
    <s v="AD01-9361"/>
    <x v="2"/>
    <s v="Dec"/>
    <x v="1"/>
    <x v="1"/>
    <s v="Cancelld"/>
    <x v="1"/>
    <x v="0"/>
    <x v="2"/>
    <n v="291"/>
    <n v="416.13"/>
  </r>
  <r>
    <s v="AD01-9362"/>
    <x v="2"/>
    <s v="Dec"/>
    <x v="1"/>
    <x v="1"/>
    <s v="Cancelld"/>
    <x v="1"/>
    <x v="0"/>
    <x v="2"/>
    <n v="307"/>
    <n v="439.01"/>
  </r>
  <r>
    <s v="AD01-9361"/>
    <x v="2"/>
    <s v="Dec"/>
    <x v="1"/>
    <x v="1"/>
    <s v="Cancelld"/>
    <x v="1"/>
    <x v="0"/>
    <x v="2"/>
    <n v="235"/>
    <n v="336.05"/>
  </r>
  <r>
    <s v="AD01-9362"/>
    <x v="2"/>
    <s v="Dec"/>
    <x v="1"/>
    <x v="1"/>
    <s v="Cancelld"/>
    <x v="1"/>
    <x v="0"/>
    <x v="2"/>
    <n v="283"/>
    <n v="404.69"/>
  </r>
  <r>
    <s v="AD01-9362"/>
    <x v="2"/>
    <s v="Dec"/>
    <x v="1"/>
    <x v="1"/>
    <s v="Cancelld"/>
    <x v="1"/>
    <x v="0"/>
    <x v="2"/>
    <n v="796"/>
    <n v="1138.28"/>
  </r>
  <r>
    <s v="AD01-9362"/>
    <x v="2"/>
    <s v="Dec"/>
    <x v="1"/>
    <x v="1"/>
    <s v="Cancelld"/>
    <x v="1"/>
    <x v="0"/>
    <x v="2"/>
    <n v="883"/>
    <n v="1262.69"/>
  </r>
  <r>
    <s v="AD01-9364"/>
    <x v="2"/>
    <s v="Feb"/>
    <x v="1"/>
    <x v="1"/>
    <s v="Cancelld"/>
    <x v="1"/>
    <x v="0"/>
    <x v="2"/>
    <n v="290"/>
    <n v="414.7"/>
  </r>
  <r>
    <s v="AD01-9361"/>
    <x v="2"/>
    <s v="Feb"/>
    <x v="1"/>
    <x v="1"/>
    <s v="Cancelld"/>
    <x v="1"/>
    <x v="0"/>
    <x v="2"/>
    <n v="338"/>
    <n v="483.34000000000003"/>
  </r>
  <r>
    <s v="AD01-9364"/>
    <x v="2"/>
    <s v="Feb"/>
    <x v="1"/>
    <x v="1"/>
    <s v="Cancelld"/>
    <x v="1"/>
    <x v="0"/>
    <x v="2"/>
    <n v="334"/>
    <n v="477.62"/>
  </r>
  <r>
    <s v="AD01-9362"/>
    <x v="2"/>
    <s v="Feb"/>
    <x v="1"/>
    <x v="1"/>
    <s v="Cancelld"/>
    <x v="1"/>
    <x v="0"/>
    <x v="2"/>
    <n v="832"/>
    <n v="1189.76"/>
  </r>
  <r>
    <s v="AD01-9362"/>
    <x v="2"/>
    <s v="Feb"/>
    <x v="1"/>
    <x v="1"/>
    <s v="Cancelld"/>
    <x v="1"/>
    <x v="0"/>
    <x v="2"/>
    <n v="865"/>
    <n v="1236.95"/>
  </r>
  <r>
    <s v="AD01-9362"/>
    <x v="2"/>
    <s v="Feb"/>
    <x v="1"/>
    <x v="1"/>
    <s v="Cancelld"/>
    <x v="1"/>
    <x v="0"/>
    <x v="2"/>
    <n v="926"/>
    <n v="1324.18"/>
  </r>
  <r>
    <s v="AD01-9361"/>
    <x v="2"/>
    <s v="Feb"/>
    <x v="1"/>
    <x v="1"/>
    <s v="Cancelld"/>
    <x v="1"/>
    <x v="0"/>
    <x v="2"/>
    <n v="927"/>
    <n v="1325.6100000000001"/>
  </r>
  <r>
    <s v="AD01-9364"/>
    <x v="2"/>
    <s v="Feb"/>
    <x v="1"/>
    <x v="1"/>
    <s v="Cancelld"/>
    <x v="1"/>
    <x v="0"/>
    <x v="2"/>
    <n v="928"/>
    <n v="1327.04"/>
  </r>
  <r>
    <s v="AD01-9362"/>
    <x v="2"/>
    <s v="Feb"/>
    <x v="1"/>
    <x v="1"/>
    <s v="Cancelld"/>
    <x v="1"/>
    <x v="0"/>
    <x v="2"/>
    <n v="871"/>
    <n v="526.24"/>
  </r>
  <r>
    <s v="AD01-9364"/>
    <x v="2"/>
    <s v="Feb"/>
    <x v="1"/>
    <x v="1"/>
    <s v="Cancelld"/>
    <x v="1"/>
    <x v="0"/>
    <x v="2"/>
    <n v="213"/>
    <n v="304.59000000000003"/>
  </r>
  <r>
    <s v="AD01-9362"/>
    <x v="2"/>
    <s v="Feb"/>
    <x v="1"/>
    <x v="1"/>
    <s v="Cancelld"/>
    <x v="1"/>
    <x v="0"/>
    <x v="2"/>
    <n v="207"/>
    <n v="296.01"/>
  </r>
  <r>
    <s v="AD01-9361"/>
    <x v="2"/>
    <s v="Feb"/>
    <x v="1"/>
    <x v="1"/>
    <s v="Cancelld"/>
    <x v="1"/>
    <x v="0"/>
    <x v="2"/>
    <n v="289"/>
    <n v="413.27"/>
  </r>
  <r>
    <s v="AD01-9362"/>
    <x v="2"/>
    <s v="Feb"/>
    <x v="1"/>
    <x v="1"/>
    <s v="Cancelld"/>
    <x v="1"/>
    <x v="0"/>
    <x v="2"/>
    <n v="337"/>
    <n v="481.90999999999997"/>
  </r>
  <r>
    <s v="AD01-9364"/>
    <x v="2"/>
    <s v="Feb"/>
    <x v="1"/>
    <x v="1"/>
    <s v="Cancelld"/>
    <x v="1"/>
    <x v="0"/>
    <x v="2"/>
    <n v="841"/>
    <n v="1202.6300000000001"/>
  </r>
  <r>
    <s v="AD01-9361"/>
    <x v="2"/>
    <s v="Feb"/>
    <x v="1"/>
    <x v="1"/>
    <s v="Cancelld"/>
    <x v="1"/>
    <x v="0"/>
    <x v="2"/>
    <n v="874"/>
    <n v="1249.82"/>
  </r>
  <r>
    <s v="AD01-9364"/>
    <x v="2"/>
    <s v="Jan"/>
    <x v="1"/>
    <x v="1"/>
    <s v="Cancelld"/>
    <x v="1"/>
    <x v="0"/>
    <x v="2"/>
    <n v="296"/>
    <n v="423.28"/>
  </r>
  <r>
    <s v="AD01-9365"/>
    <x v="2"/>
    <s v="Jan"/>
    <x v="1"/>
    <x v="1"/>
    <s v="Cancelld"/>
    <x v="1"/>
    <x v="0"/>
    <x v="2"/>
    <n v="292"/>
    <n v="417.56"/>
  </r>
  <r>
    <s v="AD01-9364"/>
    <x v="2"/>
    <s v="Jan"/>
    <x v="1"/>
    <x v="1"/>
    <s v="Cancelld"/>
    <x v="1"/>
    <x v="0"/>
    <x v="2"/>
    <n v="340"/>
    <n v="486.2"/>
  </r>
  <r>
    <s v="AD01-9361"/>
    <x v="2"/>
    <s v="Jan"/>
    <x v="1"/>
    <x v="1"/>
    <s v="Cancelld"/>
    <x v="1"/>
    <x v="0"/>
    <x v="2"/>
    <n v="831"/>
    <n v="1188.33"/>
  </r>
  <r>
    <s v="AD01-9362"/>
    <x v="2"/>
    <s v="Jan"/>
    <x v="1"/>
    <x v="1"/>
    <s v="Cancelld"/>
    <x v="1"/>
    <x v="0"/>
    <x v="2"/>
    <n v="864"/>
    <n v="1235.52"/>
  </r>
  <r>
    <s v="AD01-9362"/>
    <x v="2"/>
    <s v="Jan"/>
    <x v="1"/>
    <x v="1"/>
    <s v="Cancelld"/>
    <x v="1"/>
    <x v="0"/>
    <x v="2"/>
    <n v="923"/>
    <n v="1319.8899999999999"/>
  </r>
  <r>
    <s v="AD01-9361"/>
    <x v="2"/>
    <s v="Jan"/>
    <x v="1"/>
    <x v="1"/>
    <s v="Cancelld"/>
    <x v="1"/>
    <x v="0"/>
    <x v="2"/>
    <n v="924"/>
    <n v="1321.32"/>
  </r>
  <r>
    <s v="AD01-9364"/>
    <x v="2"/>
    <s v="Jan"/>
    <x v="1"/>
    <x v="1"/>
    <s v="Cancelld"/>
    <x v="1"/>
    <x v="0"/>
    <x v="2"/>
    <n v="925"/>
    <n v="1322.75"/>
  </r>
  <r>
    <s v="AD01-9362"/>
    <x v="2"/>
    <s v="Jan"/>
    <x v="1"/>
    <x v="1"/>
    <s v="Cancelld"/>
    <x v="1"/>
    <x v="0"/>
    <x v="2"/>
    <n v="870"/>
    <n v="526.24"/>
  </r>
  <r>
    <s v="AD01-9362"/>
    <x v="2"/>
    <s v="Jan"/>
    <x v="1"/>
    <x v="1"/>
    <s v="Cancelld"/>
    <x v="1"/>
    <x v="0"/>
    <x v="2"/>
    <n v="339"/>
    <n v="484.77"/>
  </r>
  <r>
    <s v="AD01-9364"/>
    <x v="2"/>
    <s v="Jan"/>
    <x v="1"/>
    <x v="1"/>
    <s v="Cancelld"/>
    <x v="1"/>
    <x v="0"/>
    <x v="2"/>
    <n v="231"/>
    <n v="330.33"/>
  </r>
  <r>
    <s v="AD01-9361"/>
    <x v="2"/>
    <s v="Jan"/>
    <x v="1"/>
    <x v="1"/>
    <s v="Cancelld"/>
    <x v="1"/>
    <x v="0"/>
    <x v="2"/>
    <n v="225"/>
    <n v="321.75"/>
  </r>
  <r>
    <s v="AD01-9365"/>
    <x v="2"/>
    <s v="Jan"/>
    <x v="1"/>
    <x v="1"/>
    <s v="Cancelld"/>
    <x v="1"/>
    <x v="0"/>
    <x v="2"/>
    <n v="219"/>
    <n v="313.17"/>
  </r>
  <r>
    <s v="AD01-9361"/>
    <x v="2"/>
    <s v="Jan"/>
    <x v="1"/>
    <x v="1"/>
    <s v="Cancelld"/>
    <x v="1"/>
    <x v="0"/>
    <x v="2"/>
    <n v="295"/>
    <n v="421.85"/>
  </r>
  <r>
    <s v="AD01-9362"/>
    <x v="2"/>
    <s v="Jan"/>
    <x v="1"/>
    <x v="1"/>
    <s v="Cancelld"/>
    <x v="1"/>
    <x v="0"/>
    <x v="2"/>
    <n v="343"/>
    <n v="490.49"/>
  </r>
  <r>
    <s v="AD01-9364"/>
    <x v="2"/>
    <s v="Jan"/>
    <x v="1"/>
    <x v="1"/>
    <s v="Cancelld"/>
    <x v="1"/>
    <x v="0"/>
    <x v="2"/>
    <n v="840"/>
    <n v="1201.2"/>
  </r>
  <r>
    <s v="AD01-9362"/>
    <x v="2"/>
    <s v="Jan"/>
    <x v="1"/>
    <x v="1"/>
    <s v="Cancelld"/>
    <x v="1"/>
    <x v="1"/>
    <x v="2"/>
    <n v="873"/>
    <n v="1248.3899999999999"/>
  </r>
  <r>
    <s v="AD01-9363"/>
    <x v="2"/>
    <s v="Jul"/>
    <x v="1"/>
    <x v="1"/>
    <s v="Cancelld"/>
    <x v="1"/>
    <x v="1"/>
    <x v="2"/>
    <n v="338"/>
    <n v="483.34000000000003"/>
  </r>
  <r>
    <s v="AD01-9361"/>
    <x v="2"/>
    <s v="Jul"/>
    <x v="1"/>
    <x v="1"/>
    <s v="Cancelld"/>
    <x v="1"/>
    <x v="1"/>
    <x v="2"/>
    <n v="260"/>
    <n v="371.8"/>
  </r>
  <r>
    <s v="AD01-9364"/>
    <x v="2"/>
    <s v="Jul"/>
    <x v="1"/>
    <x v="1"/>
    <s v="Cancelld"/>
    <x v="1"/>
    <x v="1"/>
    <x v="2"/>
    <n v="308"/>
    <n v="440.44"/>
  </r>
  <r>
    <s v="AD01-9365"/>
    <x v="2"/>
    <s v="Jul"/>
    <x v="1"/>
    <x v="1"/>
    <s v="Cancelld"/>
    <x v="1"/>
    <x v="1"/>
    <x v="2"/>
    <n v="334"/>
    <n v="477.62"/>
  </r>
  <r>
    <s v="AD01-9364"/>
    <x v="2"/>
    <s v="Jul"/>
    <x v="1"/>
    <x v="1"/>
    <s v="Cancelld"/>
    <x v="1"/>
    <x v="1"/>
    <x v="2"/>
    <n v="262"/>
    <n v="374.65999999999997"/>
  </r>
  <r>
    <s v="AD01-9362"/>
    <x v="2"/>
    <s v="Jul"/>
    <x v="1"/>
    <x v="1"/>
    <s v="Cancelld"/>
    <x v="1"/>
    <x v="1"/>
    <x v="2"/>
    <n v="310"/>
    <n v="443.3"/>
  </r>
  <r>
    <s v="AD01-9362"/>
    <x v="2"/>
    <s v="Jul"/>
    <x v="1"/>
    <x v="1"/>
    <s v="Cancelld"/>
    <x v="1"/>
    <x v="1"/>
    <x v="2"/>
    <n v="783"/>
    <n v="1119.69"/>
  </r>
  <r>
    <s v="AD01-9361"/>
    <x v="2"/>
    <s v="Jul"/>
    <x v="1"/>
    <x v="1"/>
    <s v="Cancelld"/>
    <x v="1"/>
    <x v="1"/>
    <x v="2"/>
    <n v="836"/>
    <n v="1195.48"/>
  </r>
  <r>
    <s v="AD01-9361"/>
    <x v="2"/>
    <s v="Jul"/>
    <x v="1"/>
    <x v="1"/>
    <s v="Cancelld"/>
    <x v="1"/>
    <x v="1"/>
    <x v="2"/>
    <n v="939"/>
    <n v="1342.77"/>
  </r>
  <r>
    <s v="AD01-9362"/>
    <x v="2"/>
    <s v="Jul"/>
    <x v="1"/>
    <x v="1"/>
    <s v="Cancelld"/>
    <x v="1"/>
    <x v="1"/>
    <x v="2"/>
    <n v="940"/>
    <n v="1344.2"/>
  </r>
  <r>
    <s v="AD01-9364"/>
    <x v="2"/>
    <s v="Jul"/>
    <x v="1"/>
    <x v="1"/>
    <s v="Cancelld"/>
    <x v="1"/>
    <x v="1"/>
    <x v="2"/>
    <n v="941"/>
    <n v="1345.63"/>
  </r>
  <r>
    <s v="AD01-9364"/>
    <x v="2"/>
    <s v="Jul"/>
    <x v="1"/>
    <x v="1"/>
    <s v="Cancelld"/>
    <x v="1"/>
    <x v="1"/>
    <x v="2"/>
    <n v="876"/>
    <n v="526.24"/>
  </r>
  <r>
    <s v="AD01-9362"/>
    <x v="2"/>
    <s v="Jul"/>
    <x v="1"/>
    <x v="1"/>
    <s v="Cancelld"/>
    <x v="1"/>
    <x v="1"/>
    <x v="2"/>
    <n v="309"/>
    <n v="441.87"/>
  </r>
  <r>
    <s v="AD01-9361"/>
    <x v="2"/>
    <s v="Jul"/>
    <x v="1"/>
    <x v="1"/>
    <s v="Cancelld"/>
    <x v="1"/>
    <x v="1"/>
    <x v="2"/>
    <n v="135"/>
    <n v="193.05"/>
  </r>
  <r>
    <s v="AD01-9364"/>
    <x v="2"/>
    <s v="Jul"/>
    <x v="1"/>
    <x v="1"/>
    <s v="Cancelld"/>
    <x v="1"/>
    <x v="1"/>
    <x v="2"/>
    <n v="129"/>
    <n v="184.47"/>
  </r>
  <r>
    <s v="AD01-9361"/>
    <x v="2"/>
    <s v="Jul"/>
    <x v="1"/>
    <x v="1"/>
    <s v="Cancelld"/>
    <x v="1"/>
    <x v="1"/>
    <x v="2"/>
    <n v="369"/>
    <n v="527.66999999999996"/>
  </r>
  <r>
    <s v="AD01-9362"/>
    <x v="2"/>
    <s v="Jul"/>
    <x v="1"/>
    <x v="1"/>
    <s v="Cancelld"/>
    <x v="1"/>
    <x v="1"/>
    <x v="2"/>
    <n v="337"/>
    <n v="481.90999999999997"/>
  </r>
  <r>
    <s v="AD01-9361"/>
    <x v="2"/>
    <s v="Jul"/>
    <x v="1"/>
    <x v="1"/>
    <s v="Cancelld"/>
    <x v="1"/>
    <x v="1"/>
    <x v="2"/>
    <n v="265"/>
    <n v="378.95"/>
  </r>
  <r>
    <s v="AD01-9365"/>
    <x v="2"/>
    <s v="Jul"/>
    <x v="1"/>
    <x v="1"/>
    <s v="Cancelld"/>
    <x v="1"/>
    <x v="1"/>
    <x v="2"/>
    <n v="307"/>
    <n v="439.01"/>
  </r>
  <r>
    <s v="AD01-9364"/>
    <x v="2"/>
    <s v="Jul"/>
    <x v="1"/>
    <x v="1"/>
    <s v="Cancelld"/>
    <x v="1"/>
    <x v="1"/>
    <x v="2"/>
    <n v="792"/>
    <n v="1132.56"/>
  </r>
  <r>
    <s v="AD01-9362"/>
    <x v="2"/>
    <s v="Jul"/>
    <x v="1"/>
    <x v="1"/>
    <s v="Cancelld"/>
    <x v="1"/>
    <x v="1"/>
    <x v="2"/>
    <n v="845"/>
    <n v="1208.3499999999999"/>
  </r>
  <r>
    <s v="AD01-9363"/>
    <x v="2"/>
    <s v="Jul"/>
    <x v="1"/>
    <x v="1"/>
    <s v="Cancelld"/>
    <x v="1"/>
    <x v="1"/>
    <x v="2"/>
    <n v="878"/>
    <n v="1255.54"/>
  </r>
  <r>
    <s v="AD01-9361"/>
    <x v="2"/>
    <s v="Jun"/>
    <x v="1"/>
    <x v="1"/>
    <s v="Cancelld"/>
    <x v="1"/>
    <x v="1"/>
    <x v="2"/>
    <n v="266"/>
    <n v="380.38"/>
  </r>
  <r>
    <s v="AD01-9363"/>
    <x v="2"/>
    <s v="Jun"/>
    <x v="1"/>
    <x v="1"/>
    <s v="Cancelld"/>
    <x v="1"/>
    <x v="1"/>
    <x v="2"/>
    <n v="314"/>
    <n v="449.02"/>
  </r>
  <r>
    <s v="AD01-9362"/>
    <x v="2"/>
    <s v="Jun"/>
    <x v="1"/>
    <x v="1"/>
    <s v="Cancelld"/>
    <x v="1"/>
    <x v="1"/>
    <x v="2"/>
    <n v="268"/>
    <n v="383.24"/>
  </r>
  <r>
    <s v="AD01-9361"/>
    <x v="2"/>
    <s v="Jun"/>
    <x v="1"/>
    <x v="1"/>
    <s v="Cancelld"/>
    <x v="1"/>
    <x v="1"/>
    <x v="2"/>
    <n v="316"/>
    <n v="451.88"/>
  </r>
  <r>
    <s v="AD01-9362"/>
    <x v="2"/>
    <s v="Jun"/>
    <x v="1"/>
    <x v="1"/>
    <s v="Cancelld"/>
    <x v="1"/>
    <x v="1"/>
    <x v="2"/>
    <n v="835"/>
    <n v="1194.05"/>
  </r>
  <r>
    <s v="AD01-9362"/>
    <x v="2"/>
    <s v="Jun"/>
    <x v="1"/>
    <x v="1"/>
    <s v="Cancelld"/>
    <x v="1"/>
    <x v="1"/>
    <x v="2"/>
    <n v="869"/>
    <n v="1242.67"/>
  </r>
  <r>
    <s v="AD01-9362"/>
    <x v="2"/>
    <s v="Jun"/>
    <x v="1"/>
    <x v="1"/>
    <s v="Cancelld"/>
    <x v="1"/>
    <x v="1"/>
    <x v="2"/>
    <n v="937"/>
    <n v="1339.9099999999999"/>
  </r>
  <r>
    <s v="AD01-9361"/>
    <x v="2"/>
    <s v="Jun"/>
    <x v="1"/>
    <x v="1"/>
    <s v="Cancelld"/>
    <x v="1"/>
    <x v="1"/>
    <x v="2"/>
    <n v="938"/>
    <n v="1341.34"/>
  </r>
  <r>
    <s v="AD01-9361"/>
    <x v="2"/>
    <s v="Jun"/>
    <x v="1"/>
    <x v="1"/>
    <s v="Cancelld"/>
    <x v="1"/>
    <x v="1"/>
    <x v="2"/>
    <n v="875"/>
    <n v="526.24"/>
  </r>
  <r>
    <s v="AD01-9363"/>
    <x v="2"/>
    <s v="Jun"/>
    <x v="1"/>
    <x v="1"/>
    <s v="Cancelld"/>
    <x v="1"/>
    <x v="1"/>
    <x v="2"/>
    <n v="315"/>
    <n v="450.45"/>
  </r>
  <r>
    <s v="AD01-9362"/>
    <x v="2"/>
    <s v="Jun"/>
    <x v="1"/>
    <x v="1"/>
    <s v="Cancelld"/>
    <x v="1"/>
    <x v="1"/>
    <x v="2"/>
    <n v="153"/>
    <n v="218.79"/>
  </r>
  <r>
    <s v="AD01-9362"/>
    <x v="2"/>
    <s v="Jun"/>
    <x v="1"/>
    <x v="1"/>
    <s v="Cancelld"/>
    <x v="1"/>
    <x v="1"/>
    <x v="2"/>
    <n v="147"/>
    <n v="210.21"/>
  </r>
  <r>
    <s v="AD01-9361"/>
    <x v="2"/>
    <s v="Jun"/>
    <x v="1"/>
    <x v="1"/>
    <s v="Cancelld"/>
    <x v="1"/>
    <x v="1"/>
    <x v="2"/>
    <n v="141"/>
    <n v="201.63"/>
  </r>
  <r>
    <s v="AD01-9364"/>
    <x v="2"/>
    <s v="Jun"/>
    <x v="1"/>
    <x v="1"/>
    <s v="Cancelld"/>
    <x v="1"/>
    <x v="1"/>
    <x v="2"/>
    <n v="313"/>
    <n v="447.59000000000003"/>
  </r>
  <r>
    <s v="AD01-9362"/>
    <x v="2"/>
    <s v="Jun"/>
    <x v="1"/>
    <x v="1"/>
    <s v="Cancelld"/>
    <x v="1"/>
    <x v="1"/>
    <x v="2"/>
    <n v="844"/>
    <n v="1206.92"/>
  </r>
  <r>
    <s v="AD01-9362"/>
    <x v="2"/>
    <s v="Jun"/>
    <x v="1"/>
    <x v="1"/>
    <s v="Cancelld"/>
    <x v="1"/>
    <x v="1"/>
    <x v="2"/>
    <n v="877"/>
    <n v="1254.1100000000001"/>
  </r>
  <r>
    <s v="AD01-9362"/>
    <x v="2"/>
    <s v="Mar"/>
    <x v="1"/>
    <x v="1"/>
    <s v="Cancelld"/>
    <x v="1"/>
    <x v="1"/>
    <x v="2"/>
    <n v="284"/>
    <n v="406.12"/>
  </r>
  <r>
    <s v="AD01-9364"/>
    <x v="2"/>
    <s v="Mar"/>
    <x v="1"/>
    <x v="1"/>
    <s v="Cancelld"/>
    <x v="1"/>
    <x v="1"/>
    <x v="2"/>
    <n v="332"/>
    <n v="474.76"/>
  </r>
  <r>
    <s v="AD01-9362"/>
    <x v="2"/>
    <s v="Mar"/>
    <x v="1"/>
    <x v="1"/>
    <s v="Cancelld"/>
    <x v="1"/>
    <x v="1"/>
    <x v="2"/>
    <n v="286"/>
    <n v="408.98"/>
  </r>
  <r>
    <s v="AD01-9361"/>
    <x v="2"/>
    <s v="Mar"/>
    <x v="1"/>
    <x v="1"/>
    <s v="Cancelld"/>
    <x v="1"/>
    <x v="1"/>
    <x v="2"/>
    <n v="328"/>
    <n v="469.03999999999996"/>
  </r>
  <r>
    <s v="AD01-9365"/>
    <x v="2"/>
    <s v="Mar"/>
    <x v="1"/>
    <x v="1"/>
    <s v="Cancelld"/>
    <x v="1"/>
    <x v="1"/>
    <x v="2"/>
    <n v="833"/>
    <n v="1191.19"/>
  </r>
  <r>
    <s v="AD01-9361"/>
    <x v="2"/>
    <s v="Mar"/>
    <x v="1"/>
    <x v="1"/>
    <s v="Cancelld"/>
    <x v="1"/>
    <x v="1"/>
    <x v="2"/>
    <n v="866"/>
    <n v="1238.3800000000001"/>
  </r>
  <r>
    <s v="AD01-9364"/>
    <x v="2"/>
    <s v="Mar"/>
    <x v="1"/>
    <x v="1"/>
    <s v="Cancelld"/>
    <x v="1"/>
    <x v="1"/>
    <x v="2"/>
    <n v="929"/>
    <n v="1328.47"/>
  </r>
  <r>
    <s v="AD01-9362"/>
    <x v="2"/>
    <s v="Mar"/>
    <x v="1"/>
    <x v="1"/>
    <s v="Cancelld"/>
    <x v="1"/>
    <x v="1"/>
    <x v="2"/>
    <n v="930"/>
    <n v="1329.9"/>
  </r>
  <r>
    <s v="AD01-9364"/>
    <x v="2"/>
    <s v="Mar"/>
    <x v="1"/>
    <x v="1"/>
    <s v="Cancelld"/>
    <x v="1"/>
    <x v="1"/>
    <x v="2"/>
    <n v="872"/>
    <n v="526.24"/>
  </r>
  <r>
    <s v="AD01-9361"/>
    <x v="2"/>
    <s v="Mar"/>
    <x v="1"/>
    <x v="1"/>
    <s v="Cancelld"/>
    <x v="1"/>
    <x v="1"/>
    <x v="2"/>
    <n v="333"/>
    <n v="476.19"/>
  </r>
  <r>
    <s v="AD01-9362"/>
    <x v="2"/>
    <s v="Mar"/>
    <x v="1"/>
    <x v="1"/>
    <s v="Cancelld"/>
    <x v="1"/>
    <x v="1"/>
    <x v="2"/>
    <n v="201"/>
    <n v="287.43"/>
  </r>
  <r>
    <s v="AD01-9362"/>
    <x v="2"/>
    <s v="Mar"/>
    <x v="1"/>
    <x v="1"/>
    <s v="Cancelld"/>
    <x v="1"/>
    <x v="1"/>
    <x v="2"/>
    <n v="195"/>
    <n v="278.85000000000002"/>
  </r>
  <r>
    <s v="AD01-9365"/>
    <x v="2"/>
    <s v="Mar"/>
    <x v="1"/>
    <x v="1"/>
    <s v="Cancelld"/>
    <x v="1"/>
    <x v="1"/>
    <x v="2"/>
    <n v="189"/>
    <n v="270.27"/>
  </r>
  <r>
    <s v="AD01-9362"/>
    <x v="2"/>
    <s v="Mar"/>
    <x v="1"/>
    <x v="1"/>
    <s v="Cancelld"/>
    <x v="1"/>
    <x v="1"/>
    <x v="2"/>
    <n v="283"/>
    <n v="404.69"/>
  </r>
  <r>
    <s v="AD01-9362"/>
    <x v="2"/>
    <s v="Mar"/>
    <x v="1"/>
    <x v="1"/>
    <s v="Cancelld"/>
    <x v="1"/>
    <x v="1"/>
    <x v="2"/>
    <n v="331"/>
    <n v="473.33"/>
  </r>
  <r>
    <s v="AD01-9362"/>
    <x v="2"/>
    <s v="Mar"/>
    <x v="1"/>
    <x v="1"/>
    <s v="Cancelld"/>
    <x v="1"/>
    <x v="1"/>
    <x v="2"/>
    <n v="875"/>
    <n v="1251.25"/>
  </r>
  <r>
    <s v="AD01-9361"/>
    <x v="2"/>
    <s v="May"/>
    <x v="1"/>
    <x v="1"/>
    <s v="Cancelld"/>
    <x v="1"/>
    <x v="1"/>
    <x v="2"/>
    <n v="272"/>
    <n v="388.96"/>
  </r>
  <r>
    <s v="AD01-9361"/>
    <x v="2"/>
    <s v="May"/>
    <x v="1"/>
    <x v="1"/>
    <s v="Cancelld"/>
    <x v="1"/>
    <x v="1"/>
    <x v="2"/>
    <n v="320"/>
    <n v="457.6"/>
  </r>
  <r>
    <s v="AD01-9361"/>
    <x v="2"/>
    <s v="May"/>
    <x v="1"/>
    <x v="1"/>
    <s v="Cancelld"/>
    <x v="1"/>
    <x v="1"/>
    <x v="2"/>
    <n v="274"/>
    <n v="391.82"/>
  </r>
  <r>
    <s v="AD01-9361"/>
    <x v="2"/>
    <s v="May"/>
    <x v="1"/>
    <x v="1"/>
    <s v="Cancelld"/>
    <x v="1"/>
    <x v="1"/>
    <x v="2"/>
    <n v="322"/>
    <n v="460.46000000000004"/>
  </r>
  <r>
    <s v="AD01-9361"/>
    <x v="2"/>
    <s v="May"/>
    <x v="1"/>
    <x v="1"/>
    <s v="Cancelld"/>
    <x v="1"/>
    <x v="1"/>
    <x v="2"/>
    <n v="868"/>
    <n v="1241.24"/>
  </r>
  <r>
    <s v="AD01-9361"/>
    <x v="2"/>
    <s v="May"/>
    <x v="1"/>
    <x v="1"/>
    <s v="Cancelld"/>
    <x v="1"/>
    <x v="1"/>
    <x v="2"/>
    <n v="934"/>
    <n v="1335.62"/>
  </r>
  <r>
    <s v="AD01-9363"/>
    <x v="2"/>
    <s v="May"/>
    <x v="1"/>
    <x v="1"/>
    <s v="Cancelld"/>
    <x v="1"/>
    <x v="1"/>
    <x v="2"/>
    <n v="935"/>
    <n v="1337.05"/>
  </r>
  <r>
    <s v="AD01-9362"/>
    <x v="2"/>
    <s v="May"/>
    <x v="1"/>
    <x v="1"/>
    <s v="Cancelld"/>
    <x v="1"/>
    <x v="1"/>
    <x v="2"/>
    <n v="936"/>
    <n v="1338.48"/>
  </r>
  <r>
    <s v="AD01-9363"/>
    <x v="2"/>
    <s v="May"/>
    <x v="1"/>
    <x v="1"/>
    <s v="Cancelld"/>
    <x v="1"/>
    <x v="1"/>
    <x v="2"/>
    <n v="874"/>
    <n v="526.24"/>
  </r>
  <r>
    <s v="AD01-9362"/>
    <x v="2"/>
    <s v="May"/>
    <x v="1"/>
    <x v="1"/>
    <s v="Cancelld"/>
    <x v="1"/>
    <x v="1"/>
    <x v="2"/>
    <n v="321"/>
    <n v="459.03"/>
  </r>
  <r>
    <s v="AD01-9361"/>
    <x v="2"/>
    <s v="May"/>
    <x v="1"/>
    <x v="1"/>
    <s v="Cancelld"/>
    <x v="1"/>
    <x v="1"/>
    <x v="2"/>
    <n v="165"/>
    <n v="235.95"/>
  </r>
  <r>
    <s v="AD01-9361"/>
    <x v="2"/>
    <s v="May"/>
    <x v="1"/>
    <x v="1"/>
    <s v="Cancelld"/>
    <x v="1"/>
    <x v="1"/>
    <x v="2"/>
    <n v="159"/>
    <n v="227.37"/>
  </r>
  <r>
    <s v="AD01-9362"/>
    <x v="2"/>
    <s v="May"/>
    <x v="1"/>
    <x v="1"/>
    <s v="Cancelld"/>
    <x v="1"/>
    <x v="1"/>
    <x v="2"/>
    <n v="271"/>
    <n v="387.53"/>
  </r>
  <r>
    <s v="AD01-9361"/>
    <x v="2"/>
    <s v="May"/>
    <x v="1"/>
    <x v="1"/>
    <s v="Cancelld"/>
    <x v="1"/>
    <x v="1"/>
    <x v="2"/>
    <n v="319"/>
    <n v="456.16999999999996"/>
  </r>
  <r>
    <s v="AD01-9361"/>
    <x v="2"/>
    <s v="May"/>
    <x v="1"/>
    <x v="1"/>
    <s v="Cancelld"/>
    <x v="1"/>
    <x v="1"/>
    <x v="2"/>
    <n v="843"/>
    <n v="1205.49"/>
  </r>
  <r>
    <s v="AD01-9362"/>
    <x v="2"/>
    <s v="Nov"/>
    <x v="1"/>
    <x v="1"/>
    <s v="Cancelld"/>
    <x v="1"/>
    <x v="1"/>
    <x v="2"/>
    <n v="314"/>
    <n v="449.02"/>
  </r>
  <r>
    <s v="AD01-9365"/>
    <x v="2"/>
    <s v="Nov"/>
    <x v="1"/>
    <x v="1"/>
    <s v="Cancelld"/>
    <x v="1"/>
    <x v="1"/>
    <x v="2"/>
    <n v="242"/>
    <n v="346.06"/>
  </r>
  <r>
    <s v="AD01-9362"/>
    <x v="2"/>
    <s v="Nov"/>
    <x v="1"/>
    <x v="1"/>
    <s v="Cancelld"/>
    <x v="1"/>
    <x v="1"/>
    <x v="2"/>
    <n v="290"/>
    <n v="414.7"/>
  </r>
  <r>
    <s v="AD01-9362"/>
    <x v="2"/>
    <s v="Nov"/>
    <x v="1"/>
    <x v="1"/>
    <s v="Cancelld"/>
    <x v="1"/>
    <x v="1"/>
    <x v="2"/>
    <n v="316"/>
    <n v="451.88"/>
  </r>
  <r>
    <s v="AD01-9362"/>
    <x v="2"/>
    <s v="Nov"/>
    <x v="1"/>
    <x v="1"/>
    <s v="Cancelld"/>
    <x v="1"/>
    <x v="1"/>
    <x v="2"/>
    <n v="286"/>
    <n v="408.98"/>
  </r>
  <r>
    <s v="AD01-9361"/>
    <x v="2"/>
    <s v="Nov"/>
    <x v="1"/>
    <x v="1"/>
    <s v="Cancelld"/>
    <x v="1"/>
    <x v="1"/>
    <x v="2"/>
    <n v="840"/>
    <n v="1201.2"/>
  </r>
  <r>
    <s v="AD01-9361"/>
    <x v="2"/>
    <s v="Nov"/>
    <x v="1"/>
    <x v="1"/>
    <s v="Cancelld"/>
    <x v="1"/>
    <x v="1"/>
    <x v="2"/>
    <n v="873"/>
    <n v="1248.3899999999999"/>
  </r>
  <r>
    <s v="AD01-9362"/>
    <x v="2"/>
    <s v="Nov"/>
    <x v="1"/>
    <x v="1"/>
    <s v="Cancelld"/>
    <x v="1"/>
    <x v="1"/>
    <x v="2"/>
    <n v="950"/>
    <n v="1358.5"/>
  </r>
  <r>
    <s v="AD01-9362"/>
    <x v="2"/>
    <s v="Nov"/>
    <x v="1"/>
    <x v="1"/>
    <s v="Cancelld"/>
    <x v="1"/>
    <x v="1"/>
    <x v="2"/>
    <n v="951"/>
    <n v="1359.93"/>
  </r>
  <r>
    <s v="AD01-9362"/>
    <x v="2"/>
    <s v="Nov"/>
    <x v="1"/>
    <x v="1"/>
    <s v="Cancelld"/>
    <x v="1"/>
    <x v="1"/>
    <x v="2"/>
    <n v="952"/>
    <n v="1361.3600000000001"/>
  </r>
  <r>
    <s v="AD01-9361"/>
    <x v="2"/>
    <s v="Nov"/>
    <x v="1"/>
    <x v="1"/>
    <s v="Cancelld"/>
    <x v="1"/>
    <x v="1"/>
    <x v="2"/>
    <n v="826"/>
    <n v="526.24"/>
  </r>
  <r>
    <s v="AD01-9362"/>
    <x v="2"/>
    <s v="Nov"/>
    <x v="1"/>
    <x v="1"/>
    <s v="Cancelld"/>
    <x v="1"/>
    <x v="1"/>
    <x v="2"/>
    <n v="879"/>
    <n v="526.24"/>
  </r>
  <r>
    <s v="AD01-9365"/>
    <x v="2"/>
    <s v="Nov"/>
    <x v="1"/>
    <x v="1"/>
    <s v="Cancelld"/>
    <x v="1"/>
    <x v="1"/>
    <x v="2"/>
    <n v="315"/>
    <n v="450.45"/>
  </r>
  <r>
    <s v="AD01-9361"/>
    <x v="2"/>
    <s v="Nov"/>
    <x v="1"/>
    <x v="1"/>
    <s v="Cancelld"/>
    <x v="1"/>
    <x v="1"/>
    <x v="2"/>
    <n v="309"/>
    <n v="441.87"/>
  </r>
  <r>
    <s v="AD01-9362"/>
    <x v="2"/>
    <s v="Nov"/>
    <x v="1"/>
    <x v="1"/>
    <s v="Cancelld"/>
    <x v="1"/>
    <x v="1"/>
    <x v="2"/>
    <n v="313"/>
    <n v="447.59000000000003"/>
  </r>
  <r>
    <s v="AD01-9362"/>
    <x v="2"/>
    <s v="Nov"/>
    <x v="1"/>
    <x v="1"/>
    <s v="Cancelld"/>
    <x v="1"/>
    <x v="1"/>
    <x v="2"/>
    <n v="241"/>
    <n v="344.63"/>
  </r>
  <r>
    <s v="AD01-9362"/>
    <x v="2"/>
    <s v="Nov"/>
    <x v="1"/>
    <x v="1"/>
    <s v="Cancelld"/>
    <x v="1"/>
    <x v="1"/>
    <x v="2"/>
    <n v="289"/>
    <n v="413.27"/>
  </r>
  <r>
    <s v="AD01-9362"/>
    <x v="2"/>
    <s v="Nov"/>
    <x v="1"/>
    <x v="1"/>
    <s v="Cancelld"/>
    <x v="1"/>
    <x v="1"/>
    <x v="2"/>
    <n v="795"/>
    <n v="1136.8499999999999"/>
  </r>
  <r>
    <s v="AD01-9362"/>
    <x v="2"/>
    <s v="Nov"/>
    <x v="1"/>
    <x v="1"/>
    <s v="Cancelld"/>
    <x v="1"/>
    <x v="1"/>
    <x v="2"/>
    <n v="849"/>
    <n v="1214.07"/>
  </r>
  <r>
    <s v="AD01-9362"/>
    <x v="2"/>
    <s v="Nov"/>
    <x v="1"/>
    <x v="1"/>
    <s v="Cancelld"/>
    <x v="1"/>
    <x v="1"/>
    <x v="2"/>
    <n v="882"/>
    <n v="1261.26"/>
  </r>
  <r>
    <s v="AD01-9362"/>
    <x v="2"/>
    <s v="Oct"/>
    <x v="1"/>
    <x v="1"/>
    <s v="Cancelld"/>
    <x v="1"/>
    <x v="1"/>
    <x v="2"/>
    <n v="320"/>
    <n v="457.6"/>
  </r>
  <r>
    <s v="AD01-9362"/>
    <x v="2"/>
    <s v="Oct"/>
    <x v="1"/>
    <x v="1"/>
    <s v="Cancelld"/>
    <x v="1"/>
    <x v="1"/>
    <x v="2"/>
    <n v="248"/>
    <n v="354.64"/>
  </r>
  <r>
    <s v="AD01-9362"/>
    <x v="2"/>
    <s v="Oct"/>
    <x v="1"/>
    <x v="1"/>
    <s v="Cancelld"/>
    <x v="1"/>
    <x v="1"/>
    <x v="2"/>
    <n v="322"/>
    <n v="460.46000000000004"/>
  </r>
  <r>
    <s v="AD01-9362"/>
    <x v="2"/>
    <s v="Oct"/>
    <x v="1"/>
    <x v="1"/>
    <s v="Cancelld"/>
    <x v="1"/>
    <x v="1"/>
    <x v="2"/>
    <n v="244"/>
    <n v="348.92"/>
  </r>
  <r>
    <s v="AD01-9364"/>
    <x v="2"/>
    <s v="Oct"/>
    <x v="1"/>
    <x v="1"/>
    <s v="Cancelld"/>
    <x v="1"/>
    <x v="1"/>
    <x v="2"/>
    <n v="292"/>
    <n v="417.56"/>
  </r>
  <r>
    <s v="AD01-9362"/>
    <x v="2"/>
    <s v="Oct"/>
    <x v="1"/>
    <x v="1"/>
    <s v="Cancelld"/>
    <x v="1"/>
    <x v="1"/>
    <x v="2"/>
    <n v="786"/>
    <n v="1123.98"/>
  </r>
  <r>
    <s v="AD01-9362"/>
    <x v="2"/>
    <s v="Oct"/>
    <x v="1"/>
    <x v="1"/>
    <s v="Cancelld"/>
    <x v="1"/>
    <x v="1"/>
    <x v="2"/>
    <n v="839"/>
    <n v="1199.77"/>
  </r>
  <r>
    <s v="AD01-9361"/>
    <x v="2"/>
    <s v="Oct"/>
    <x v="1"/>
    <x v="1"/>
    <s v="Cancelld"/>
    <x v="1"/>
    <x v="1"/>
    <x v="2"/>
    <n v="872"/>
    <n v="1246.96"/>
  </r>
  <r>
    <s v="AD01-9361"/>
    <x v="2"/>
    <s v="Oct"/>
    <x v="1"/>
    <x v="1"/>
    <s v="Cancelld"/>
    <x v="1"/>
    <x v="1"/>
    <x v="2"/>
    <n v="947"/>
    <n v="1354.21"/>
  </r>
  <r>
    <s v="AD01-9364"/>
    <x v="2"/>
    <s v="Oct"/>
    <x v="1"/>
    <x v="1"/>
    <s v="Cancelld"/>
    <x v="1"/>
    <x v="1"/>
    <x v="2"/>
    <n v="948"/>
    <n v="1355.6399999999999"/>
  </r>
  <r>
    <s v="AD01-9364"/>
    <x v="2"/>
    <s v="Oct"/>
    <x v="1"/>
    <x v="1"/>
    <s v="Cancelld"/>
    <x v="1"/>
    <x v="1"/>
    <x v="2"/>
    <n v="949"/>
    <n v="1357.07"/>
  </r>
  <r>
    <s v="AD01-9361"/>
    <x v="2"/>
    <s v="Oct"/>
    <x v="1"/>
    <x v="1"/>
    <s v="Cancelld"/>
    <x v="1"/>
    <x v="1"/>
    <x v="2"/>
    <n v="825"/>
    <n v="526.24"/>
  </r>
  <r>
    <s v="AD01-9361"/>
    <x v="2"/>
    <s v="Oct"/>
    <x v="1"/>
    <x v="1"/>
    <s v="Cancelld"/>
    <x v="1"/>
    <x v="1"/>
    <x v="2"/>
    <n v="878"/>
    <n v="526.24"/>
  </r>
  <r>
    <s v="AD01-9362"/>
    <x v="2"/>
    <s v="Oct"/>
    <x v="1"/>
    <x v="1"/>
    <s v="Cancelld"/>
    <x v="1"/>
    <x v="1"/>
    <x v="2"/>
    <n v="291"/>
    <n v="416.13"/>
  </r>
  <r>
    <s v="AD01-9362"/>
    <x v="2"/>
    <s v="Oct"/>
    <x v="1"/>
    <x v="1"/>
    <s v="Cancelld"/>
    <x v="1"/>
    <x v="1"/>
    <x v="2"/>
    <n v="333"/>
    <n v="476.19"/>
  </r>
  <r>
    <s v="AD01-9362"/>
    <x v="2"/>
    <s v="Oct"/>
    <x v="1"/>
    <x v="1"/>
    <s v="Cancelld"/>
    <x v="1"/>
    <x v="1"/>
    <x v="2"/>
    <n v="327"/>
    <n v="467.61"/>
  </r>
  <r>
    <s v="AD01-9362"/>
    <x v="2"/>
    <s v="Oct"/>
    <x v="1"/>
    <x v="1"/>
    <s v="Cancelld"/>
    <x v="1"/>
    <x v="1"/>
    <x v="2"/>
    <n v="321"/>
    <n v="459.03"/>
  </r>
  <r>
    <s v="AD01-9364"/>
    <x v="2"/>
    <s v="Oct"/>
    <x v="1"/>
    <x v="1"/>
    <s v="Cancelld"/>
    <x v="1"/>
    <x v="1"/>
    <x v="2"/>
    <n v="319"/>
    <n v="456.16999999999996"/>
  </r>
  <r>
    <s v="AD01-9364"/>
    <x v="2"/>
    <s v="Oct"/>
    <x v="1"/>
    <x v="1"/>
    <s v="Cancelld"/>
    <x v="1"/>
    <x v="1"/>
    <x v="2"/>
    <n v="247"/>
    <n v="353.21"/>
  </r>
  <r>
    <s v="AD01-9362"/>
    <x v="2"/>
    <s v="Oct"/>
    <x v="1"/>
    <x v="1"/>
    <s v="Cancelld"/>
    <x v="1"/>
    <x v="1"/>
    <x v="2"/>
    <n v="295"/>
    <n v="421.85"/>
  </r>
  <r>
    <s v="AD01-9364"/>
    <x v="2"/>
    <s v="Oct"/>
    <x v="1"/>
    <x v="1"/>
    <s v="Cancelld"/>
    <x v="1"/>
    <x v="1"/>
    <x v="2"/>
    <n v="848"/>
    <n v="1212.6399999999999"/>
  </r>
  <r>
    <s v="AD01-9362"/>
    <x v="2"/>
    <s v="Oct"/>
    <x v="1"/>
    <x v="1"/>
    <s v="Cancelld"/>
    <x v="1"/>
    <x v="1"/>
    <x v="2"/>
    <n v="881"/>
    <n v="1259.83"/>
  </r>
  <r>
    <s v="AD01-9361"/>
    <x v="2"/>
    <s v="Sep"/>
    <x v="1"/>
    <x v="1"/>
    <s v="Cancelld"/>
    <x v="1"/>
    <x v="1"/>
    <x v="2"/>
    <n v="326"/>
    <n v="466.18"/>
  </r>
  <r>
    <s v="AD01-9361"/>
    <x v="2"/>
    <s v="Sep"/>
    <x v="1"/>
    <x v="1"/>
    <s v="Cancelld"/>
    <x v="1"/>
    <x v="1"/>
    <x v="2"/>
    <n v="254"/>
    <n v="363.22"/>
  </r>
  <r>
    <s v="AD01-9362"/>
    <x v="2"/>
    <s v="Sep"/>
    <x v="1"/>
    <x v="1"/>
    <s v="Cancelld"/>
    <x v="1"/>
    <x v="1"/>
    <x v="2"/>
    <n v="296"/>
    <n v="423.28"/>
  </r>
  <r>
    <s v="AD01-9361"/>
    <x v="2"/>
    <s v="Sep"/>
    <x v="1"/>
    <x v="1"/>
    <s v="Cancelld"/>
    <x v="1"/>
    <x v="1"/>
    <x v="2"/>
    <n v="328"/>
    <n v="469.03999999999996"/>
  </r>
  <r>
    <s v="AD01-9364"/>
    <x v="2"/>
    <s v="Sep"/>
    <x v="1"/>
    <x v="1"/>
    <s v="Cancelld"/>
    <x v="1"/>
    <x v="1"/>
    <x v="2"/>
    <n v="250"/>
    <n v="357.5"/>
  </r>
  <r>
    <s v="AD01-9362"/>
    <x v="2"/>
    <s v="Sep"/>
    <x v="1"/>
    <x v="1"/>
    <s v="Cancelld"/>
    <x v="1"/>
    <x v="1"/>
    <x v="2"/>
    <n v="298"/>
    <n v="426.14"/>
  </r>
  <r>
    <s v="AD01-9361"/>
    <x v="2"/>
    <s v="Sep"/>
    <x v="1"/>
    <x v="1"/>
    <s v="Cancelld"/>
    <x v="1"/>
    <x v="1"/>
    <x v="2"/>
    <n v="785"/>
    <n v="1122.55"/>
  </r>
  <r>
    <s v="AD01-9365"/>
    <x v="2"/>
    <s v="Sep"/>
    <x v="1"/>
    <x v="1"/>
    <s v="Cancelld"/>
    <x v="1"/>
    <x v="1"/>
    <x v="2"/>
    <n v="838"/>
    <n v="1198.3399999999999"/>
  </r>
  <r>
    <s v="AD01-9365"/>
    <x v="2"/>
    <s v="Sep"/>
    <x v="1"/>
    <x v="1"/>
    <s v="Cancelld"/>
    <x v="1"/>
    <x v="1"/>
    <x v="2"/>
    <n v="871"/>
    <n v="1245.53"/>
  </r>
  <r>
    <s v="AD01-9364"/>
    <x v="2"/>
    <s v="Sep"/>
    <x v="1"/>
    <x v="1"/>
    <s v="Cancelld"/>
    <x v="1"/>
    <x v="1"/>
    <x v="2"/>
    <n v="945"/>
    <n v="1351.35"/>
  </r>
  <r>
    <s v="AD01-9362"/>
    <x v="2"/>
    <s v="Sep"/>
    <x v="1"/>
    <x v="1"/>
    <s v="Cancelld"/>
    <x v="1"/>
    <x v="1"/>
    <x v="2"/>
    <n v="946"/>
    <n v="1352.78"/>
  </r>
  <r>
    <s v="AD01-9365"/>
    <x v="2"/>
    <s v="Sep"/>
    <x v="1"/>
    <x v="1"/>
    <s v="Cancelld"/>
    <x v="1"/>
    <x v="1"/>
    <x v="2"/>
    <n v="824"/>
    <n v="526.24"/>
  </r>
  <r>
    <s v="AD01-9361"/>
    <x v="2"/>
    <s v="Sep"/>
    <x v="1"/>
    <x v="1"/>
    <s v="Cancelld"/>
    <x v="1"/>
    <x v="1"/>
    <x v="2"/>
    <n v="297"/>
    <n v="424.71"/>
  </r>
  <r>
    <s v="AD01-9361"/>
    <x v="2"/>
    <s v="Sep"/>
    <x v="1"/>
    <x v="1"/>
    <s v="Cancelld"/>
    <x v="1"/>
    <x v="1"/>
    <x v="2"/>
    <n v="351"/>
    <n v="501.93"/>
  </r>
  <r>
    <s v="AD01-9365"/>
    <x v="2"/>
    <s v="Sep"/>
    <x v="1"/>
    <x v="1"/>
    <s v="Cancelld"/>
    <x v="1"/>
    <x v="1"/>
    <x v="2"/>
    <n v="345"/>
    <n v="493.35"/>
  </r>
  <r>
    <s v="AD01-9364"/>
    <x v="2"/>
    <s v="Sep"/>
    <x v="1"/>
    <x v="1"/>
    <s v="Cancelld"/>
    <x v="1"/>
    <x v="1"/>
    <x v="2"/>
    <n v="339"/>
    <n v="484.77"/>
  </r>
  <r>
    <s v="AD01-9362"/>
    <x v="2"/>
    <s v="Sep"/>
    <x v="1"/>
    <x v="1"/>
    <s v="Cancelld"/>
    <x v="1"/>
    <x v="1"/>
    <x v="2"/>
    <n v="325"/>
    <n v="464.75"/>
  </r>
  <r>
    <s v="AD01-9364"/>
    <x v="2"/>
    <s v="Sep"/>
    <x v="1"/>
    <x v="1"/>
    <s v="Cancelld"/>
    <x v="1"/>
    <x v="1"/>
    <x v="2"/>
    <n v="253"/>
    <n v="361.78999999999996"/>
  </r>
  <r>
    <s v="AD01-9361"/>
    <x v="2"/>
    <s v="Sep"/>
    <x v="1"/>
    <x v="1"/>
    <s v="Cancelld"/>
    <x v="1"/>
    <x v="1"/>
    <x v="2"/>
    <n v="301"/>
    <n v="430.43"/>
  </r>
  <r>
    <s v="AD01-9362"/>
    <x v="2"/>
    <s v="Sep"/>
    <x v="1"/>
    <x v="1"/>
    <s v="Cancelld"/>
    <x v="1"/>
    <x v="1"/>
    <x v="2"/>
    <n v="794"/>
    <n v="1135.42"/>
  </r>
  <r>
    <s v="AD01-9362"/>
    <x v="2"/>
    <s v="Sep"/>
    <x v="1"/>
    <x v="1"/>
    <s v="Cancelld"/>
    <x v="1"/>
    <x v="1"/>
    <x v="2"/>
    <n v="847"/>
    <n v="1211.21"/>
  </r>
  <r>
    <s v="AD01-9361"/>
    <x v="2"/>
    <s v="Sep"/>
    <x v="1"/>
    <x v="1"/>
    <s v="Cancelld"/>
    <x v="1"/>
    <x v="1"/>
    <x v="2"/>
    <n v="880"/>
    <n v="1258.4000000000001"/>
  </r>
  <r>
    <s v="AD01-9361"/>
    <x v="3"/>
    <s v="Apr"/>
    <x v="0"/>
    <x v="1"/>
    <s v="Order assembled"/>
    <x v="0"/>
    <x v="0"/>
    <x v="1"/>
    <n v="362"/>
    <n v="553.86"/>
  </r>
  <r>
    <s v="AD01-9362"/>
    <x v="3"/>
    <s v="Apr"/>
    <x v="0"/>
    <x v="1"/>
    <s v="Order assembled"/>
    <x v="0"/>
    <x v="0"/>
    <x v="1"/>
    <n v="338"/>
    <n v="483.34000000000003"/>
  </r>
  <r>
    <s v="AD01-9363"/>
    <x v="3"/>
    <s v="Apr"/>
    <x v="0"/>
    <x v="1"/>
    <s v="Order assembled"/>
    <x v="0"/>
    <x v="0"/>
    <x v="1"/>
    <n v="364"/>
    <n v="520.52"/>
  </r>
  <r>
    <s v="AD01-9362"/>
    <x v="3"/>
    <s v="Apr"/>
    <x v="0"/>
    <x v="1"/>
    <s v="Order assembled"/>
    <x v="0"/>
    <x v="0"/>
    <x v="1"/>
    <n v="334"/>
    <n v="477.62"/>
  </r>
  <r>
    <s v="AD01-9362"/>
    <x v="3"/>
    <s v="Apr"/>
    <x v="0"/>
    <x v="1"/>
    <s v="Order assembled"/>
    <x v="0"/>
    <x v="0"/>
    <x v="1"/>
    <n v="655"/>
    <n v="936.65"/>
  </r>
  <r>
    <s v="AD01-9361"/>
    <x v="3"/>
    <s v="Apr"/>
    <x v="0"/>
    <x v="1"/>
    <s v="Order assembled"/>
    <x v="0"/>
    <x v="0"/>
    <x v="1"/>
    <n v="742"/>
    <n v="1061.06"/>
  </r>
  <r>
    <s v="AD01-9361"/>
    <x v="3"/>
    <s v="Apr"/>
    <x v="0"/>
    <x v="1"/>
    <s v="Order assembled"/>
    <x v="0"/>
    <x v="0"/>
    <x v="1"/>
    <n v="363"/>
    <n v="519.09"/>
  </r>
  <r>
    <s v="AD01-9362"/>
    <x v="3"/>
    <s v="Apr"/>
    <x v="0"/>
    <x v="1"/>
    <s v="Order assembled"/>
    <x v="0"/>
    <x v="0"/>
    <x v="1"/>
    <n v="781"/>
    <n v="526.24"/>
  </r>
  <r>
    <s v="AD01-9362"/>
    <x v="3"/>
    <s v="Apr"/>
    <x v="0"/>
    <x v="1"/>
    <s v="Order assembled"/>
    <x v="0"/>
    <x v="0"/>
    <x v="1"/>
    <n v="361"/>
    <n v="516.23"/>
  </r>
  <r>
    <s v="AD01-9363"/>
    <x v="3"/>
    <s v="Apr"/>
    <x v="0"/>
    <x v="1"/>
    <s v="Order assembled"/>
    <x v="0"/>
    <x v="0"/>
    <x v="1"/>
    <n v="337"/>
    <n v="481.90999999999997"/>
  </r>
  <r>
    <s v="AD01-9362"/>
    <x v="3"/>
    <s v="Apr"/>
    <x v="0"/>
    <x v="1"/>
    <s v="Order assembled"/>
    <x v="0"/>
    <x v="0"/>
    <x v="1"/>
    <n v="365"/>
    <n v="521.95000000000005"/>
  </r>
  <r>
    <s v="AD01-9361"/>
    <x v="3"/>
    <s v="Apr"/>
    <x v="0"/>
    <x v="1"/>
    <s v="Order assembled"/>
    <x v="0"/>
    <x v="0"/>
    <x v="1"/>
    <n v="751"/>
    <n v="1073.93"/>
  </r>
  <r>
    <s v="AD01-9363"/>
    <x v="3"/>
    <s v="Aug"/>
    <x v="0"/>
    <x v="1"/>
    <s v="Order assembled"/>
    <x v="0"/>
    <x v="0"/>
    <x v="1"/>
    <n v="344"/>
    <n v="526.32000000000005"/>
  </r>
  <r>
    <s v="AD01-9361"/>
    <x v="3"/>
    <s v="Aug"/>
    <x v="0"/>
    <x v="1"/>
    <s v="Order assembled"/>
    <x v="0"/>
    <x v="0"/>
    <x v="1"/>
    <n v="314"/>
    <n v="449.02"/>
  </r>
  <r>
    <s v="AD01-9362"/>
    <x v="3"/>
    <s v="Aug"/>
    <x v="0"/>
    <x v="0"/>
    <s v="Order assembled"/>
    <x v="0"/>
    <x v="0"/>
    <x v="1"/>
    <n v="340"/>
    <n v="486.2"/>
  </r>
  <r>
    <s v="AD01-9361"/>
    <x v="3"/>
    <s v="Aug"/>
    <x v="0"/>
    <x v="0"/>
    <s v="Order assembled"/>
    <x v="0"/>
    <x v="0"/>
    <x v="1"/>
    <n v="316"/>
    <n v="451.88"/>
  </r>
  <r>
    <s v="AD01-9362"/>
    <x v="3"/>
    <s v="Aug"/>
    <x v="0"/>
    <x v="0"/>
    <s v="Order assembled"/>
    <x v="0"/>
    <x v="0"/>
    <x v="1"/>
    <n v="659"/>
    <n v="942.37"/>
  </r>
  <r>
    <s v="AD01-9362"/>
    <x v="3"/>
    <s v="Aug"/>
    <x v="0"/>
    <x v="0"/>
    <s v="Order assembled"/>
    <x v="0"/>
    <x v="0"/>
    <x v="1"/>
    <n v="785"/>
    <n v="526.24"/>
  </r>
  <r>
    <s v="AD01-9361"/>
    <x v="3"/>
    <s v="Aug"/>
    <x v="0"/>
    <x v="0"/>
    <s v="Order assembled"/>
    <x v="0"/>
    <x v="0"/>
    <x v="1"/>
    <n v="343"/>
    <n v="490.49"/>
  </r>
  <r>
    <s v="AD01-9362"/>
    <x v="3"/>
    <s v="Aug"/>
    <x v="0"/>
    <x v="0"/>
    <s v="Order assembled"/>
    <x v="0"/>
    <x v="0"/>
    <x v="1"/>
    <n v="313"/>
    <n v="447.59000000000003"/>
  </r>
  <r>
    <s v="AD01-9361"/>
    <x v="3"/>
    <s v="Aug"/>
    <x v="0"/>
    <x v="0"/>
    <s v="Order assembled"/>
    <x v="0"/>
    <x v="0"/>
    <x v="1"/>
    <n v="341"/>
    <n v="487.63"/>
  </r>
  <r>
    <s v="AD01-9363"/>
    <x v="3"/>
    <s v="Aug"/>
    <x v="0"/>
    <x v="0"/>
    <s v="Order assembled"/>
    <x v="0"/>
    <x v="0"/>
    <x v="1"/>
    <n v="754"/>
    <n v="1078.22"/>
  </r>
  <r>
    <s v="AD01-9363"/>
    <x v="3"/>
    <s v="Dec"/>
    <x v="0"/>
    <x v="0"/>
    <s v="Order assembled"/>
    <x v="0"/>
    <x v="0"/>
    <x v="1"/>
    <n v="320"/>
    <n v="489.6"/>
  </r>
  <r>
    <s v="AD01-9361"/>
    <x v="3"/>
    <s v="Dec"/>
    <x v="0"/>
    <x v="0"/>
    <s v="Order assembled"/>
    <x v="0"/>
    <x v="0"/>
    <x v="1"/>
    <n v="296"/>
    <n v="423.28"/>
  </r>
  <r>
    <s v="AD01-9362"/>
    <x v="3"/>
    <s v="Dec"/>
    <x v="0"/>
    <x v="0"/>
    <s v="Order assembled"/>
    <x v="0"/>
    <x v="0"/>
    <x v="1"/>
    <n v="322"/>
    <n v="460.46000000000004"/>
  </r>
  <r>
    <s v="AD01-9362"/>
    <x v="3"/>
    <s v="Dec"/>
    <x v="0"/>
    <x v="0"/>
    <s v="Order assembled"/>
    <x v="0"/>
    <x v="0"/>
    <x v="1"/>
    <n v="292"/>
    <n v="417.56"/>
  </r>
  <r>
    <s v="AD01-9362"/>
    <x v="3"/>
    <s v="Dec"/>
    <x v="0"/>
    <x v="0"/>
    <s v="Order assembled"/>
    <x v="0"/>
    <x v="0"/>
    <x v="1"/>
    <n v="749"/>
    <n v="1071.07"/>
  </r>
  <r>
    <s v="AD01-9362"/>
    <x v="3"/>
    <s v="Dec"/>
    <x v="0"/>
    <x v="0"/>
    <s v="Order assembled"/>
    <x v="0"/>
    <x v="0"/>
    <x v="1"/>
    <n v="321"/>
    <n v="459.03"/>
  </r>
  <r>
    <s v="AD01-9362"/>
    <x v="3"/>
    <s v="Dec"/>
    <x v="0"/>
    <x v="0"/>
    <s v="Order assembled"/>
    <x v="0"/>
    <x v="0"/>
    <x v="1"/>
    <n v="319"/>
    <n v="456.16999999999996"/>
  </r>
  <r>
    <s v="AD01-9362"/>
    <x v="3"/>
    <s v="Dec"/>
    <x v="0"/>
    <x v="0"/>
    <s v="Order assembled"/>
    <x v="0"/>
    <x v="0"/>
    <x v="1"/>
    <n v="295"/>
    <n v="421.85"/>
  </r>
  <r>
    <s v="AD01-9361"/>
    <x v="3"/>
    <s v="Dec"/>
    <x v="0"/>
    <x v="0"/>
    <s v="Order assembled"/>
    <x v="0"/>
    <x v="0"/>
    <x v="1"/>
    <n v="323"/>
    <n v="461.89"/>
  </r>
  <r>
    <s v="AD01-9363"/>
    <x v="3"/>
    <s v="Dec"/>
    <x v="0"/>
    <x v="0"/>
    <s v="Order assembled"/>
    <x v="0"/>
    <x v="0"/>
    <x v="1"/>
    <n v="758"/>
    <n v="1083.94"/>
  </r>
  <r>
    <s v="AD01-9365"/>
    <x v="3"/>
    <s v="Feb"/>
    <x v="0"/>
    <x v="0"/>
    <s v="Order assembled"/>
    <x v="0"/>
    <x v="0"/>
    <x v="1"/>
    <n v="128"/>
    <n v="195.84"/>
  </r>
  <r>
    <s v="AD01-9361"/>
    <x v="3"/>
    <s v="Feb"/>
    <x v="0"/>
    <x v="0"/>
    <s v="Order assembled"/>
    <x v="0"/>
    <x v="0"/>
    <x v="1"/>
    <n v="302"/>
    <n v="431.86"/>
  </r>
  <r>
    <s v="AD01-9361"/>
    <x v="3"/>
    <s v="Feb"/>
    <x v="0"/>
    <x v="0"/>
    <s v="Order assembled"/>
    <x v="0"/>
    <x v="0"/>
    <x v="1"/>
    <n v="130"/>
    <n v="185.9"/>
  </r>
  <r>
    <s v="AD01-9361"/>
    <x v="3"/>
    <s v="Feb"/>
    <x v="0"/>
    <x v="0"/>
    <s v="Order assembled"/>
    <x v="0"/>
    <x v="0"/>
    <x v="1"/>
    <n v="346"/>
    <n v="494.78"/>
  </r>
  <r>
    <s v="AD01-9362"/>
    <x v="3"/>
    <s v="Feb"/>
    <x v="0"/>
    <x v="0"/>
    <s v="Order assembled"/>
    <x v="0"/>
    <x v="0"/>
    <x v="1"/>
    <n v="372"/>
    <n v="531.96"/>
  </r>
  <r>
    <s v="AD01-9364"/>
    <x v="3"/>
    <s v="Feb"/>
    <x v="0"/>
    <x v="0"/>
    <s v="Order assembled"/>
    <x v="0"/>
    <x v="0"/>
    <x v="1"/>
    <n v="740"/>
    <n v="1058.2"/>
  </r>
  <r>
    <s v="AD01-9364"/>
    <x v="3"/>
    <s v="Feb"/>
    <x v="0"/>
    <x v="0"/>
    <s v="Order assembled"/>
    <x v="0"/>
    <x v="0"/>
    <x v="1"/>
    <n v="129"/>
    <n v="184.47"/>
  </r>
  <r>
    <s v="AD01-9362"/>
    <x v="3"/>
    <s v="Feb"/>
    <x v="0"/>
    <x v="0"/>
    <s v="Order assembled"/>
    <x v="0"/>
    <x v="0"/>
    <x v="1"/>
    <n v="746"/>
    <n v="526.24"/>
  </r>
  <r>
    <s v="AD01-9362"/>
    <x v="3"/>
    <s v="Feb"/>
    <x v="0"/>
    <x v="0"/>
    <s v="Order assembled"/>
    <x v="0"/>
    <x v="0"/>
    <x v="1"/>
    <n v="780"/>
    <n v="526.24"/>
  </r>
  <r>
    <s v="AD01-9361"/>
    <x v="3"/>
    <s v="Feb"/>
    <x v="0"/>
    <x v="0"/>
    <s v="Order assembled"/>
    <x v="0"/>
    <x v="0"/>
    <x v="1"/>
    <n v="127"/>
    <n v="181.61"/>
  </r>
  <r>
    <s v="AD01-9362"/>
    <x v="3"/>
    <s v="Feb"/>
    <x v="0"/>
    <x v="0"/>
    <s v="Order assembled"/>
    <x v="0"/>
    <x v="0"/>
    <x v="1"/>
    <n v="301"/>
    <n v="430.43"/>
  </r>
  <r>
    <s v="AD01-9361"/>
    <x v="3"/>
    <s v="Feb"/>
    <x v="0"/>
    <x v="0"/>
    <s v="Order assembled"/>
    <x v="0"/>
    <x v="0"/>
    <x v="1"/>
    <n v="349"/>
    <n v="499.07"/>
  </r>
  <r>
    <s v="AD01-9365"/>
    <x v="3"/>
    <s v="Feb"/>
    <x v="0"/>
    <x v="0"/>
    <s v="Order assembled"/>
    <x v="0"/>
    <x v="0"/>
    <x v="1"/>
    <n v="749"/>
    <n v="1071.07"/>
  </r>
  <r>
    <s v="AD01-9364"/>
    <x v="3"/>
    <s v="Jan"/>
    <x v="0"/>
    <x v="0"/>
    <s v="Order assembled"/>
    <x v="0"/>
    <x v="0"/>
    <x v="1"/>
    <n v="134"/>
    <n v="191.62"/>
  </r>
  <r>
    <s v="AD01-9362"/>
    <x v="3"/>
    <s v="Jan"/>
    <x v="0"/>
    <x v="0"/>
    <s v="Order assembled"/>
    <x v="0"/>
    <x v="0"/>
    <x v="1"/>
    <n v="308"/>
    <n v="440.44"/>
  </r>
  <r>
    <s v="AD01-9361"/>
    <x v="3"/>
    <s v="Jan"/>
    <x v="0"/>
    <x v="0"/>
    <s v="Order assembled"/>
    <x v="0"/>
    <x v="0"/>
    <x v="1"/>
    <n v="350"/>
    <n v="500.5"/>
  </r>
  <r>
    <s v="AD01-9361"/>
    <x v="3"/>
    <s v="Jan"/>
    <x v="0"/>
    <x v="0"/>
    <s v="Order assembled"/>
    <x v="0"/>
    <x v="0"/>
    <x v="1"/>
    <n v="136"/>
    <n v="194.48"/>
  </r>
  <r>
    <s v="AD01-9365"/>
    <x v="3"/>
    <s v="Jan"/>
    <x v="0"/>
    <x v="0"/>
    <s v="Order assembled"/>
    <x v="0"/>
    <x v="0"/>
    <x v="1"/>
    <n v="304"/>
    <n v="434.72"/>
  </r>
  <r>
    <s v="AD01-9361"/>
    <x v="3"/>
    <s v="Jan"/>
    <x v="0"/>
    <x v="0"/>
    <s v="Order assembled"/>
    <x v="0"/>
    <x v="0"/>
    <x v="1"/>
    <n v="352"/>
    <n v="503.36"/>
  </r>
  <r>
    <s v="AD01-9361"/>
    <x v="3"/>
    <s v="Jan"/>
    <x v="0"/>
    <x v="0"/>
    <s v="Order assembled"/>
    <x v="0"/>
    <x v="0"/>
    <x v="1"/>
    <n v="132"/>
    <n v="188.76"/>
  </r>
  <r>
    <s v="AD01-9362"/>
    <x v="3"/>
    <s v="Jan"/>
    <x v="0"/>
    <x v="0"/>
    <s v="Order assembled"/>
    <x v="0"/>
    <x v="0"/>
    <x v="1"/>
    <n v="706"/>
    <n v="1009.5799999999999"/>
  </r>
  <r>
    <s v="AD01-9361"/>
    <x v="3"/>
    <s v="Jan"/>
    <x v="0"/>
    <x v="0"/>
    <s v="Order assembled"/>
    <x v="0"/>
    <x v="0"/>
    <x v="1"/>
    <n v="739"/>
    <n v="1056.77"/>
  </r>
  <r>
    <s v="AD01-9361"/>
    <x v="3"/>
    <s v="Jan"/>
    <x v="0"/>
    <x v="0"/>
    <s v="Order assembled"/>
    <x v="0"/>
    <x v="0"/>
    <x v="1"/>
    <n v="135"/>
    <n v="193.05"/>
  </r>
  <r>
    <s v="AD01-9361"/>
    <x v="3"/>
    <s v="Jan"/>
    <x v="0"/>
    <x v="0"/>
    <s v="Order assembled"/>
    <x v="0"/>
    <x v="0"/>
    <x v="1"/>
    <n v="779"/>
    <n v="526.24"/>
  </r>
  <r>
    <s v="AD01-9361"/>
    <x v="3"/>
    <s v="Jan"/>
    <x v="0"/>
    <x v="0"/>
    <s v="Order assembled"/>
    <x v="0"/>
    <x v="0"/>
    <x v="1"/>
    <n v="133"/>
    <n v="190.19"/>
  </r>
  <r>
    <s v="AD01-9364"/>
    <x v="3"/>
    <s v="Jan"/>
    <x v="0"/>
    <x v="0"/>
    <s v="Order assembled"/>
    <x v="0"/>
    <x v="0"/>
    <x v="1"/>
    <n v="307"/>
    <n v="439.01"/>
  </r>
  <r>
    <s v="AD01-9361"/>
    <x v="3"/>
    <s v="Jan"/>
    <x v="0"/>
    <x v="0"/>
    <s v="Order assembled"/>
    <x v="0"/>
    <x v="0"/>
    <x v="1"/>
    <n v="355"/>
    <n v="507.65"/>
  </r>
  <r>
    <s v="AD01-9361"/>
    <x v="3"/>
    <s v="Jan"/>
    <x v="0"/>
    <x v="0"/>
    <s v="Order assembled"/>
    <x v="0"/>
    <x v="0"/>
    <x v="1"/>
    <n v="131"/>
    <n v="187.32999999999998"/>
  </r>
  <r>
    <s v="AD01-9362"/>
    <x v="3"/>
    <s v="Jan"/>
    <x v="0"/>
    <x v="0"/>
    <s v="Order assembled"/>
    <x v="0"/>
    <x v="0"/>
    <x v="1"/>
    <n v="305"/>
    <n v="436.15"/>
  </r>
  <r>
    <s v="AD01-9364"/>
    <x v="3"/>
    <s v="Jan"/>
    <x v="0"/>
    <x v="0"/>
    <s v="Order assembled"/>
    <x v="0"/>
    <x v="0"/>
    <x v="1"/>
    <n v="748"/>
    <n v="1069.6399999999999"/>
  </r>
  <r>
    <s v="AD01-9361"/>
    <x v="3"/>
    <s v="Jul"/>
    <x v="0"/>
    <x v="0"/>
    <s v="Order assembled"/>
    <x v="0"/>
    <x v="0"/>
    <x v="1"/>
    <n v="350"/>
    <n v="535.5"/>
  </r>
  <r>
    <s v="AD01-9361"/>
    <x v="3"/>
    <s v="Jul"/>
    <x v="0"/>
    <x v="0"/>
    <s v="Order assembled"/>
    <x v="0"/>
    <x v="0"/>
    <x v="1"/>
    <n v="320"/>
    <n v="457.6"/>
  </r>
  <r>
    <s v="AD01-9364"/>
    <x v="3"/>
    <s v="Jul"/>
    <x v="0"/>
    <x v="0"/>
    <s v="Order assembled"/>
    <x v="0"/>
    <x v="0"/>
    <x v="1"/>
    <n v="346"/>
    <n v="494.78"/>
  </r>
  <r>
    <s v="AD01-9363"/>
    <x v="3"/>
    <s v="Jul"/>
    <x v="0"/>
    <x v="0"/>
    <s v="Order assembled"/>
    <x v="0"/>
    <x v="0"/>
    <x v="1"/>
    <n v="322"/>
    <n v="460.46000000000004"/>
  </r>
  <r>
    <s v="AD01-9361"/>
    <x v="3"/>
    <s v="Jul"/>
    <x v="0"/>
    <x v="0"/>
    <s v="Order assembled"/>
    <x v="0"/>
    <x v="0"/>
    <x v="1"/>
    <n v="658"/>
    <n v="940.94"/>
  </r>
  <r>
    <s v="AD01-9364"/>
    <x v="3"/>
    <s v="Jul"/>
    <x v="0"/>
    <x v="0"/>
    <s v="Order assembled"/>
    <x v="0"/>
    <x v="0"/>
    <x v="1"/>
    <n v="745"/>
    <n v="1065.3499999999999"/>
  </r>
  <r>
    <s v="AD01-9364"/>
    <x v="3"/>
    <s v="Jul"/>
    <x v="0"/>
    <x v="0"/>
    <s v="Order assembled"/>
    <x v="0"/>
    <x v="0"/>
    <x v="1"/>
    <n v="345"/>
    <n v="493.35"/>
  </r>
  <r>
    <s v="AD01-9361"/>
    <x v="3"/>
    <s v="Jul"/>
    <x v="0"/>
    <x v="0"/>
    <s v="Order assembled"/>
    <x v="0"/>
    <x v="0"/>
    <x v="1"/>
    <n v="784"/>
    <n v="526.24"/>
  </r>
  <r>
    <s v="AD01-9363"/>
    <x v="3"/>
    <s v="Jul"/>
    <x v="0"/>
    <x v="0"/>
    <s v="Order assembled"/>
    <x v="0"/>
    <x v="0"/>
    <x v="1"/>
    <n v="349"/>
    <n v="499.07"/>
  </r>
  <r>
    <s v="AD01-9364"/>
    <x v="3"/>
    <s v="Jul"/>
    <x v="0"/>
    <x v="0"/>
    <s v="Order assembled"/>
    <x v="0"/>
    <x v="0"/>
    <x v="1"/>
    <n v="319"/>
    <n v="456.16999999999996"/>
  </r>
  <r>
    <s v="AD01-9361"/>
    <x v="3"/>
    <s v="Jul"/>
    <x v="0"/>
    <x v="0"/>
    <s v="Order assembled"/>
    <x v="0"/>
    <x v="0"/>
    <x v="1"/>
    <n v="347"/>
    <n v="496.21000000000004"/>
  </r>
  <r>
    <s v="AD01-9361"/>
    <x v="3"/>
    <s v="Jul"/>
    <x v="0"/>
    <x v="0"/>
    <s v="Order assembled"/>
    <x v="0"/>
    <x v="0"/>
    <x v="1"/>
    <n v="753"/>
    <n v="1076.79"/>
  </r>
  <r>
    <s v="AD01-9361"/>
    <x v="3"/>
    <s v="Jun"/>
    <x v="0"/>
    <x v="0"/>
    <s v="Order assembled"/>
    <x v="0"/>
    <x v="0"/>
    <x v="1"/>
    <n v="326"/>
    <n v="466.18"/>
  </r>
  <r>
    <s v="AD01-9362"/>
    <x v="3"/>
    <s v="Jun"/>
    <x v="0"/>
    <x v="0"/>
    <s v="Order assembled"/>
    <x v="0"/>
    <x v="0"/>
    <x v="1"/>
    <n v="352"/>
    <n v="503.36"/>
  </r>
  <r>
    <s v="AD01-9361"/>
    <x v="3"/>
    <s v="Jun"/>
    <x v="0"/>
    <x v="0"/>
    <s v="Order assembled"/>
    <x v="0"/>
    <x v="0"/>
    <x v="1"/>
    <n v="328"/>
    <n v="469.03999999999996"/>
  </r>
  <r>
    <s v="AD01-9362"/>
    <x v="3"/>
    <s v="Jun"/>
    <x v="0"/>
    <x v="0"/>
    <s v="Order assembled"/>
    <x v="0"/>
    <x v="0"/>
    <x v="1"/>
    <n v="657"/>
    <n v="939.51"/>
  </r>
  <r>
    <s v="AD01-9361"/>
    <x v="3"/>
    <s v="Jun"/>
    <x v="0"/>
    <x v="0"/>
    <s v="Order assembled"/>
    <x v="0"/>
    <x v="0"/>
    <x v="1"/>
    <n v="744"/>
    <n v="1063.92"/>
  </r>
  <r>
    <s v="AD01-9361"/>
    <x v="3"/>
    <s v="Jun"/>
    <x v="0"/>
    <x v="0"/>
    <s v="Order assembled"/>
    <x v="0"/>
    <x v="0"/>
    <x v="1"/>
    <n v="351"/>
    <n v="501.93"/>
  </r>
  <r>
    <s v="AD01-9362"/>
    <x v="3"/>
    <s v="Jun"/>
    <x v="0"/>
    <x v="0"/>
    <s v="Order assembled"/>
    <x v="0"/>
    <x v="0"/>
    <x v="1"/>
    <n v="783"/>
    <n v="526.24"/>
  </r>
  <r>
    <s v="AD01-9361"/>
    <x v="3"/>
    <s v="Jun"/>
    <x v="0"/>
    <x v="0"/>
    <s v="Order assembled"/>
    <x v="0"/>
    <x v="0"/>
    <x v="1"/>
    <n v="355"/>
    <n v="507.65"/>
  </r>
  <r>
    <s v="AD01-9362"/>
    <x v="3"/>
    <s v="Jun"/>
    <x v="0"/>
    <x v="0"/>
    <s v="Order assembled"/>
    <x v="0"/>
    <x v="0"/>
    <x v="1"/>
    <n v="325"/>
    <n v="464.75"/>
  </r>
  <r>
    <s v="AD01-9361"/>
    <x v="3"/>
    <s v="Jun"/>
    <x v="0"/>
    <x v="0"/>
    <s v="Order assembled"/>
    <x v="0"/>
    <x v="0"/>
    <x v="1"/>
    <n v="353"/>
    <n v="504.78999999999996"/>
  </r>
  <r>
    <s v="AD01-9362"/>
    <x v="3"/>
    <s v="Mar"/>
    <x v="0"/>
    <x v="0"/>
    <s v="Order assembled"/>
    <x v="0"/>
    <x v="0"/>
    <x v="1"/>
    <n v="368"/>
    <n v="563.04"/>
  </r>
  <r>
    <s v="AD01-9362"/>
    <x v="3"/>
    <s v="Mar"/>
    <x v="0"/>
    <x v="0"/>
    <s v="Order assembled"/>
    <x v="0"/>
    <x v="0"/>
    <x v="1"/>
    <n v="344"/>
    <n v="491.91999999999996"/>
  </r>
  <r>
    <s v="AD01-9362"/>
    <x v="3"/>
    <s v="Mar"/>
    <x v="0"/>
    <x v="0"/>
    <s v="Order assembled"/>
    <x v="0"/>
    <x v="0"/>
    <x v="1"/>
    <n v="370"/>
    <n v="529.1"/>
  </r>
  <r>
    <s v="AD01-9362"/>
    <x v="3"/>
    <s v="Mar"/>
    <x v="0"/>
    <x v="0"/>
    <s v="Order assembled"/>
    <x v="0"/>
    <x v="0"/>
    <x v="1"/>
    <n v="340"/>
    <n v="486.2"/>
  </r>
  <r>
    <s v="AD01-9361"/>
    <x v="3"/>
    <s v="Mar"/>
    <x v="0"/>
    <x v="0"/>
    <s v="Order assembled"/>
    <x v="0"/>
    <x v="0"/>
    <x v="1"/>
    <n v="741"/>
    <n v="1059.6300000000001"/>
  </r>
  <r>
    <s v="AD01-9361"/>
    <x v="3"/>
    <s v="Mar"/>
    <x v="0"/>
    <x v="0"/>
    <s v="Order assembled"/>
    <x v="0"/>
    <x v="0"/>
    <x v="1"/>
    <n v="369"/>
    <n v="527.66999999999996"/>
  </r>
  <r>
    <s v="AD01-9362"/>
    <x v="3"/>
    <s v="Mar"/>
    <x v="0"/>
    <x v="0"/>
    <s v="Order assembled"/>
    <x v="0"/>
    <x v="0"/>
    <x v="1"/>
    <n v="367"/>
    <n v="524.80999999999995"/>
  </r>
  <r>
    <s v="AD01-9362"/>
    <x v="3"/>
    <s v="Mar"/>
    <x v="0"/>
    <x v="0"/>
    <s v="Order assembled"/>
    <x v="0"/>
    <x v="0"/>
    <x v="1"/>
    <n v="343"/>
    <n v="490.49"/>
  </r>
  <r>
    <s v="AD01-9362"/>
    <x v="3"/>
    <s v="Mar"/>
    <x v="0"/>
    <x v="0"/>
    <s v="Order assembled"/>
    <x v="0"/>
    <x v="0"/>
    <x v="1"/>
    <n v="371"/>
    <n v="530.53"/>
  </r>
  <r>
    <s v="AD01-9362"/>
    <x v="3"/>
    <s v="Mar"/>
    <x v="0"/>
    <x v="0"/>
    <s v="Order assembled"/>
    <x v="0"/>
    <x v="0"/>
    <x v="1"/>
    <n v="750"/>
    <n v="1072.5"/>
  </r>
  <r>
    <s v="AD01-9362"/>
    <x v="3"/>
    <s v="May"/>
    <x v="0"/>
    <x v="0"/>
    <s v="Order assembled"/>
    <x v="0"/>
    <x v="0"/>
    <x v="1"/>
    <n v="356"/>
    <n v="544.68000000000006"/>
  </r>
  <r>
    <s v="AD01-9361"/>
    <x v="3"/>
    <s v="May"/>
    <x v="0"/>
    <x v="0"/>
    <s v="Order assembled"/>
    <x v="0"/>
    <x v="0"/>
    <x v="1"/>
    <n v="332"/>
    <n v="474.76"/>
  </r>
  <r>
    <s v="AD01-9362"/>
    <x v="3"/>
    <s v="May"/>
    <x v="0"/>
    <x v="0"/>
    <s v="Order assembled"/>
    <x v="0"/>
    <x v="0"/>
    <x v="1"/>
    <n v="358"/>
    <n v="511.94"/>
  </r>
  <r>
    <s v="AD01-9361"/>
    <x v="3"/>
    <s v="May"/>
    <x v="0"/>
    <x v="0"/>
    <s v="Order assembled"/>
    <x v="0"/>
    <x v="0"/>
    <x v="1"/>
    <n v="656"/>
    <n v="938.07999999999993"/>
  </r>
  <r>
    <s v="AD01-9364"/>
    <x v="3"/>
    <s v="May"/>
    <x v="0"/>
    <x v="0"/>
    <s v="Order assembled"/>
    <x v="0"/>
    <x v="0"/>
    <x v="1"/>
    <n v="743"/>
    <n v="1062.49"/>
  </r>
  <r>
    <s v="AD01-9364"/>
    <x v="3"/>
    <s v="May"/>
    <x v="0"/>
    <x v="0"/>
    <s v="Order assembled"/>
    <x v="0"/>
    <x v="0"/>
    <x v="1"/>
    <n v="357"/>
    <n v="510.51"/>
  </r>
  <r>
    <s v="AD01-9361"/>
    <x v="3"/>
    <s v="May"/>
    <x v="0"/>
    <x v="0"/>
    <s v="Order assembled"/>
    <x v="0"/>
    <x v="0"/>
    <x v="1"/>
    <n v="782"/>
    <n v="526.24"/>
  </r>
  <r>
    <s v="AD01-9362"/>
    <x v="3"/>
    <s v="May"/>
    <x v="0"/>
    <x v="0"/>
    <s v="Order assembled"/>
    <x v="0"/>
    <x v="0"/>
    <x v="1"/>
    <n v="331"/>
    <n v="473.33"/>
  </r>
  <r>
    <s v="AD01-9361"/>
    <x v="3"/>
    <s v="May"/>
    <x v="0"/>
    <x v="0"/>
    <s v="Order assembled"/>
    <x v="0"/>
    <x v="0"/>
    <x v="1"/>
    <n v="359"/>
    <n v="513.37"/>
  </r>
  <r>
    <s v="AD01-9362"/>
    <x v="3"/>
    <s v="May"/>
    <x v="0"/>
    <x v="0"/>
    <s v="Order assembled"/>
    <x v="0"/>
    <x v="0"/>
    <x v="1"/>
    <n v="752"/>
    <n v="1075.3600000000001"/>
  </r>
  <r>
    <s v="AD01-9361"/>
    <x v="3"/>
    <s v="Nov"/>
    <x v="0"/>
    <x v="0"/>
    <s v="Order assembled"/>
    <x v="0"/>
    <x v="0"/>
    <x v="1"/>
    <n v="326"/>
    <n v="498.78"/>
  </r>
  <r>
    <s v="AD01-9364"/>
    <x v="3"/>
    <s v="Nov"/>
    <x v="0"/>
    <x v="0"/>
    <s v="Order assembled"/>
    <x v="0"/>
    <x v="0"/>
    <x v="1"/>
    <n v="328"/>
    <n v="469.03999999999996"/>
  </r>
  <r>
    <s v="AD01-9362"/>
    <x v="3"/>
    <s v="Nov"/>
    <x v="0"/>
    <x v="0"/>
    <s v="Order assembled"/>
    <x v="0"/>
    <x v="0"/>
    <x v="1"/>
    <n v="298"/>
    <n v="426.14"/>
  </r>
  <r>
    <s v="AD01-9364"/>
    <x v="3"/>
    <s v="Nov"/>
    <x v="0"/>
    <x v="0"/>
    <s v="Order assembled"/>
    <x v="0"/>
    <x v="0"/>
    <x v="1"/>
    <n v="662"/>
    <n v="946.66"/>
  </r>
  <r>
    <s v="AD01-9364"/>
    <x v="3"/>
    <s v="Nov"/>
    <x v="0"/>
    <x v="0"/>
    <s v="Order assembled"/>
    <x v="0"/>
    <x v="0"/>
    <x v="1"/>
    <n v="748"/>
    <n v="1069.6399999999999"/>
  </r>
  <r>
    <s v="AD01-9364"/>
    <x v="3"/>
    <s v="Nov"/>
    <x v="0"/>
    <x v="0"/>
    <s v="Order assembled"/>
    <x v="0"/>
    <x v="0"/>
    <x v="1"/>
    <n v="327"/>
    <n v="467.61"/>
  </r>
  <r>
    <s v="AD01-9364"/>
    <x v="3"/>
    <s v="Nov"/>
    <x v="0"/>
    <x v="0"/>
    <s v="Order assembled"/>
    <x v="0"/>
    <x v="0"/>
    <x v="1"/>
    <n v="788"/>
    <n v="526.24"/>
  </r>
  <r>
    <s v="AD01-9362"/>
    <x v="3"/>
    <s v="Nov"/>
    <x v="0"/>
    <x v="0"/>
    <s v="Order assembled"/>
    <x v="0"/>
    <x v="0"/>
    <x v="1"/>
    <n v="325"/>
    <n v="464.75"/>
  </r>
  <r>
    <s v="AD01-9364"/>
    <x v="3"/>
    <s v="Nov"/>
    <x v="0"/>
    <x v="0"/>
    <s v="Order assembled"/>
    <x v="0"/>
    <x v="0"/>
    <x v="1"/>
    <n v="301"/>
    <n v="430.43"/>
  </r>
  <r>
    <s v="AD01-9361"/>
    <x v="3"/>
    <s v="Nov"/>
    <x v="0"/>
    <x v="0"/>
    <s v="Order assembled"/>
    <x v="0"/>
    <x v="0"/>
    <x v="1"/>
    <n v="757"/>
    <n v="1082.51"/>
  </r>
  <r>
    <s v="AD01-9364"/>
    <x v="3"/>
    <s v="Oct"/>
    <x v="0"/>
    <x v="0"/>
    <s v="Order assembled"/>
    <x v="0"/>
    <x v="0"/>
    <x v="1"/>
    <n v="332"/>
    <n v="507.96000000000004"/>
  </r>
  <r>
    <s v="AD01-9362"/>
    <x v="3"/>
    <s v="Oct"/>
    <x v="0"/>
    <x v="0"/>
    <s v="Order assembled"/>
    <x v="0"/>
    <x v="0"/>
    <x v="1"/>
    <n v="302"/>
    <n v="431.86"/>
  </r>
  <r>
    <s v="AD01-9361"/>
    <x v="3"/>
    <s v="Oct"/>
    <x v="0"/>
    <x v="0"/>
    <s v="Order assembled"/>
    <x v="0"/>
    <x v="0"/>
    <x v="1"/>
    <n v="334"/>
    <n v="477.62"/>
  </r>
  <r>
    <s v="AD01-9365"/>
    <x v="3"/>
    <s v="Oct"/>
    <x v="0"/>
    <x v="0"/>
    <s v="Order assembled"/>
    <x v="0"/>
    <x v="0"/>
    <x v="1"/>
    <n v="304"/>
    <n v="434.72"/>
  </r>
  <r>
    <s v="AD01-9362"/>
    <x v="3"/>
    <s v="Oct"/>
    <x v="0"/>
    <x v="0"/>
    <s v="Order assembled"/>
    <x v="0"/>
    <x v="0"/>
    <x v="1"/>
    <n v="661"/>
    <n v="945.23"/>
  </r>
  <r>
    <s v="AD01-9361"/>
    <x v="3"/>
    <s v="Oct"/>
    <x v="0"/>
    <x v="0"/>
    <s v="Order assembled"/>
    <x v="0"/>
    <x v="0"/>
    <x v="1"/>
    <n v="747"/>
    <n v="1068.21"/>
  </r>
  <r>
    <s v="AD01-9361"/>
    <x v="3"/>
    <s v="Oct"/>
    <x v="0"/>
    <x v="0"/>
    <s v="Order assembled"/>
    <x v="0"/>
    <x v="0"/>
    <x v="1"/>
    <n v="333"/>
    <n v="476.19"/>
  </r>
  <r>
    <s v="AD01-9362"/>
    <x v="3"/>
    <s v="Oct"/>
    <x v="0"/>
    <x v="0"/>
    <s v="Order assembled"/>
    <x v="0"/>
    <x v="0"/>
    <x v="1"/>
    <n v="787"/>
    <n v="526.24"/>
  </r>
  <r>
    <s v="AD01-9365"/>
    <x v="3"/>
    <s v="Oct"/>
    <x v="0"/>
    <x v="0"/>
    <s v="Order assembled"/>
    <x v="0"/>
    <x v="0"/>
    <x v="1"/>
    <n v="331"/>
    <n v="473.33"/>
  </r>
  <r>
    <s v="AD01-9361"/>
    <x v="3"/>
    <s v="Oct"/>
    <x v="0"/>
    <x v="0"/>
    <s v="Order assembled"/>
    <x v="0"/>
    <x v="0"/>
    <x v="1"/>
    <n v="307"/>
    <n v="439.01"/>
  </r>
  <r>
    <s v="AD01-9362"/>
    <x v="3"/>
    <s v="Oct"/>
    <x v="0"/>
    <x v="0"/>
    <s v="Order assembled"/>
    <x v="0"/>
    <x v="0"/>
    <x v="1"/>
    <n v="329"/>
    <n v="470.47"/>
  </r>
  <r>
    <s v="AD01-9364"/>
    <x v="3"/>
    <s v="Oct"/>
    <x v="0"/>
    <x v="0"/>
    <s v="Order assembled"/>
    <x v="0"/>
    <x v="0"/>
    <x v="1"/>
    <n v="756"/>
    <n v="1081.08"/>
  </r>
  <r>
    <s v="AD01-9362"/>
    <x v="3"/>
    <s v="Sep"/>
    <x v="0"/>
    <x v="0"/>
    <s v="Order assembled"/>
    <x v="0"/>
    <x v="0"/>
    <x v="1"/>
    <n v="338"/>
    <n v="517.14"/>
  </r>
  <r>
    <s v="AD01-9362"/>
    <x v="3"/>
    <s v="Sep"/>
    <x v="0"/>
    <x v="0"/>
    <s v="Order assembled"/>
    <x v="0"/>
    <x v="0"/>
    <x v="1"/>
    <n v="308"/>
    <n v="440.44"/>
  </r>
  <r>
    <s v="AD01-9365"/>
    <x v="3"/>
    <s v="Sep"/>
    <x v="0"/>
    <x v="0"/>
    <s v="Order assembled"/>
    <x v="0"/>
    <x v="0"/>
    <x v="1"/>
    <n v="310"/>
    <n v="443.3"/>
  </r>
  <r>
    <s v="AD01-9361"/>
    <x v="3"/>
    <s v="Sep"/>
    <x v="0"/>
    <x v="0"/>
    <s v="Order assembled"/>
    <x v="0"/>
    <x v="0"/>
    <x v="1"/>
    <n v="660"/>
    <n v="943.8"/>
  </r>
  <r>
    <s v="AD01-9364"/>
    <x v="3"/>
    <s v="Sep"/>
    <x v="0"/>
    <x v="0"/>
    <s v="Order assembled"/>
    <x v="0"/>
    <x v="0"/>
    <x v="1"/>
    <n v="746"/>
    <n v="1066.78"/>
  </r>
  <r>
    <s v="AD01-9364"/>
    <x v="3"/>
    <s v="Sep"/>
    <x v="0"/>
    <x v="0"/>
    <s v="Order assembled"/>
    <x v="0"/>
    <x v="0"/>
    <x v="1"/>
    <n v="339"/>
    <n v="484.77"/>
  </r>
  <r>
    <s v="AD01-9361"/>
    <x v="3"/>
    <s v="Sep"/>
    <x v="0"/>
    <x v="0"/>
    <s v="Order assembled"/>
    <x v="0"/>
    <x v="0"/>
    <x v="1"/>
    <n v="786"/>
    <n v="526.24"/>
  </r>
  <r>
    <s v="AD01-9365"/>
    <x v="3"/>
    <s v="Sep"/>
    <x v="0"/>
    <x v="0"/>
    <s v="Order assembled"/>
    <x v="0"/>
    <x v="0"/>
    <x v="1"/>
    <n v="337"/>
    <n v="481.90999999999997"/>
  </r>
  <r>
    <s v="AD01-9362"/>
    <x v="3"/>
    <s v="Sep"/>
    <x v="0"/>
    <x v="0"/>
    <s v="Order assembled"/>
    <x v="0"/>
    <x v="0"/>
    <x v="1"/>
    <n v="335"/>
    <n v="479.05"/>
  </r>
  <r>
    <s v="AD01-9362"/>
    <x v="3"/>
    <s v="Sep"/>
    <x v="0"/>
    <x v="0"/>
    <s v="Order assembled"/>
    <x v="0"/>
    <x v="0"/>
    <x v="1"/>
    <n v="755"/>
    <n v="1079.6500000000001"/>
  </r>
  <r>
    <s v="AD01-9362"/>
    <x v="3"/>
    <s v="Apr"/>
    <x v="1"/>
    <x v="0"/>
    <s v="Order assembled"/>
    <x v="0"/>
    <x v="0"/>
    <x v="0"/>
    <n v="212"/>
    <n v="303.15999999999997"/>
  </r>
  <r>
    <s v="AD01-9361"/>
    <x v="3"/>
    <s v="Apr"/>
    <x v="1"/>
    <x v="0"/>
    <s v="Order assembled"/>
    <x v="0"/>
    <x v="0"/>
    <x v="0"/>
    <n v="182"/>
    <n v="260.26"/>
  </r>
  <r>
    <s v="AD01-9362"/>
    <x v="3"/>
    <s v="Apr"/>
    <x v="1"/>
    <x v="0"/>
    <s v="Order assembled"/>
    <x v="0"/>
    <x v="0"/>
    <x v="0"/>
    <n v="184"/>
    <n v="526.24"/>
  </r>
  <r>
    <s v="AD01-9362"/>
    <x v="3"/>
    <s v="Apr"/>
    <x v="1"/>
    <x v="0"/>
    <s v="Order assembled"/>
    <x v="0"/>
    <x v="0"/>
    <x v="0"/>
    <n v="968"/>
    <n v="1384.24"/>
  </r>
  <r>
    <s v="AD01-9365"/>
    <x v="3"/>
    <s v="Apr"/>
    <x v="1"/>
    <x v="0"/>
    <s v="Order assembled"/>
    <x v="0"/>
    <x v="0"/>
    <x v="0"/>
    <n v="186"/>
    <n v="265.98"/>
  </r>
  <r>
    <s v="AD01-9365"/>
    <x v="3"/>
    <s v="Apr"/>
    <x v="1"/>
    <x v="0"/>
    <s v="Order assembled"/>
    <x v="0"/>
    <x v="0"/>
    <x v="0"/>
    <n v="213"/>
    <n v="304.59000000000003"/>
  </r>
  <r>
    <s v="AD01-9362"/>
    <x v="3"/>
    <s v="Apr"/>
    <x v="1"/>
    <x v="0"/>
    <s v="Order assembled"/>
    <x v="0"/>
    <x v="0"/>
    <x v="0"/>
    <n v="183"/>
    <n v="261.69"/>
  </r>
  <r>
    <s v="AD01-9362"/>
    <x v="3"/>
    <s v="Apr"/>
    <x v="1"/>
    <x v="0"/>
    <s v="Order assembled"/>
    <x v="0"/>
    <x v="0"/>
    <x v="0"/>
    <n v="749"/>
    <n v="1071.07"/>
  </r>
  <r>
    <s v="AD01-9361"/>
    <x v="3"/>
    <s v="Apr"/>
    <x v="1"/>
    <x v="0"/>
    <s v="Order assembled"/>
    <x v="0"/>
    <x v="0"/>
    <x v="0"/>
    <n v="209"/>
    <n v="298.87"/>
  </r>
  <r>
    <s v="AD01-9362"/>
    <x v="3"/>
    <s v="Apr"/>
    <x v="1"/>
    <x v="0"/>
    <s v="Order assembled"/>
    <x v="0"/>
    <x v="0"/>
    <x v="0"/>
    <n v="185"/>
    <n v="264.55"/>
  </r>
  <r>
    <s v="AD01-9362"/>
    <x v="3"/>
    <s v="Aug"/>
    <x v="1"/>
    <x v="0"/>
    <s v="Order assembled"/>
    <x v="0"/>
    <x v="0"/>
    <x v="0"/>
    <n v="188"/>
    <n v="268.84000000000003"/>
  </r>
  <r>
    <s v="AD01-9361"/>
    <x v="3"/>
    <s v="Aug"/>
    <x v="1"/>
    <x v="0"/>
    <s v="Order assembled"/>
    <x v="0"/>
    <x v="0"/>
    <x v="0"/>
    <n v="164"/>
    <n v="234.51999999999998"/>
  </r>
  <r>
    <s v="AD01-9364"/>
    <x v="3"/>
    <s v="Aug"/>
    <x v="1"/>
    <x v="0"/>
    <s v="Order assembled"/>
    <x v="0"/>
    <x v="0"/>
    <x v="0"/>
    <n v="190"/>
    <n v="526.24"/>
  </r>
  <r>
    <s v="AD01-9361"/>
    <x v="3"/>
    <s v="Aug"/>
    <x v="1"/>
    <x v="0"/>
    <s v="Order assembled"/>
    <x v="0"/>
    <x v="0"/>
    <x v="0"/>
    <n v="160"/>
    <n v="526.24"/>
  </r>
  <r>
    <s v="AD01-9362"/>
    <x v="3"/>
    <s v="Aug"/>
    <x v="1"/>
    <x v="0"/>
    <s v="Order assembled"/>
    <x v="0"/>
    <x v="0"/>
    <x v="0"/>
    <n v="971"/>
    <n v="1388.53"/>
  </r>
  <r>
    <s v="AD01-9361"/>
    <x v="3"/>
    <s v="Aug"/>
    <x v="1"/>
    <x v="0"/>
    <s v="Order assembled"/>
    <x v="0"/>
    <x v="0"/>
    <x v="0"/>
    <n v="162"/>
    <n v="231.66"/>
  </r>
  <r>
    <s v="AD01-9361"/>
    <x v="3"/>
    <s v="Aug"/>
    <x v="1"/>
    <x v="0"/>
    <s v="Order assembled"/>
    <x v="0"/>
    <x v="0"/>
    <x v="0"/>
    <n v="189"/>
    <n v="270.27"/>
  </r>
  <r>
    <s v="AD01-9362"/>
    <x v="3"/>
    <s v="Aug"/>
    <x v="1"/>
    <x v="0"/>
    <s v="Order assembled"/>
    <x v="0"/>
    <x v="0"/>
    <x v="0"/>
    <n v="165"/>
    <n v="235.95"/>
  </r>
  <r>
    <s v="AD01-9361"/>
    <x v="3"/>
    <s v="Aug"/>
    <x v="1"/>
    <x v="0"/>
    <s v="Order assembled"/>
    <x v="0"/>
    <x v="0"/>
    <x v="0"/>
    <n v="753"/>
    <n v="1076.79"/>
  </r>
  <r>
    <s v="AD01-9364"/>
    <x v="3"/>
    <s v="Aug"/>
    <x v="1"/>
    <x v="0"/>
    <s v="Order assembled"/>
    <x v="0"/>
    <x v="0"/>
    <x v="0"/>
    <n v="839"/>
    <n v="1199.77"/>
  </r>
  <r>
    <s v="AD01-9361"/>
    <x v="3"/>
    <s v="Aug"/>
    <x v="1"/>
    <x v="0"/>
    <s v="Order assembled"/>
    <x v="0"/>
    <x v="0"/>
    <x v="0"/>
    <n v="191"/>
    <n v="273.13"/>
  </r>
  <r>
    <s v="AD01-9362"/>
    <x v="3"/>
    <s v="Aug"/>
    <x v="1"/>
    <x v="0"/>
    <s v="Order assembled"/>
    <x v="0"/>
    <x v="0"/>
    <x v="0"/>
    <n v="161"/>
    <n v="230.23000000000002"/>
  </r>
  <r>
    <s v="AD01-9361"/>
    <x v="3"/>
    <s v="Dec"/>
    <x v="1"/>
    <x v="0"/>
    <s v="Order assembled"/>
    <x v="0"/>
    <x v="0"/>
    <x v="0"/>
    <n v="170"/>
    <n v="243.1"/>
  </r>
  <r>
    <s v="AD01-9361"/>
    <x v="3"/>
    <s v="Dec"/>
    <x v="1"/>
    <x v="0"/>
    <s v="Order assembled"/>
    <x v="0"/>
    <x v="0"/>
    <x v="0"/>
    <n v="140"/>
    <n v="200.2"/>
  </r>
  <r>
    <s v="AD01-9361"/>
    <x v="3"/>
    <s v="Dec"/>
    <x v="1"/>
    <x v="0"/>
    <s v="Order assembled"/>
    <x v="0"/>
    <x v="0"/>
    <x v="0"/>
    <n v="166"/>
    <n v="526.24"/>
  </r>
  <r>
    <s v="AD01-9361"/>
    <x v="3"/>
    <s v="Dec"/>
    <x v="1"/>
    <x v="0"/>
    <s v="Order assembled"/>
    <x v="0"/>
    <x v="0"/>
    <x v="0"/>
    <n v="142"/>
    <n v="526.24"/>
  </r>
  <r>
    <s v="AD01-9362"/>
    <x v="3"/>
    <s v="Dec"/>
    <x v="1"/>
    <x v="0"/>
    <s v="Order assembled"/>
    <x v="0"/>
    <x v="0"/>
    <x v="0"/>
    <n v="975"/>
    <n v="1394.25"/>
  </r>
  <r>
    <s v="AD01-9362"/>
    <x v="3"/>
    <s v="Dec"/>
    <x v="1"/>
    <x v="0"/>
    <s v="Order assembled"/>
    <x v="0"/>
    <x v="0"/>
    <x v="0"/>
    <n v="141"/>
    <n v="201.63"/>
  </r>
  <r>
    <s v="AD01-9361"/>
    <x v="3"/>
    <s v="Dec"/>
    <x v="1"/>
    <x v="0"/>
    <s v="Order assembled"/>
    <x v="0"/>
    <x v="0"/>
    <x v="0"/>
    <n v="756"/>
    <n v="1081.08"/>
  </r>
  <r>
    <s v="AD01-9361"/>
    <x v="3"/>
    <s v="Dec"/>
    <x v="1"/>
    <x v="0"/>
    <s v="Order assembled"/>
    <x v="0"/>
    <x v="0"/>
    <x v="0"/>
    <n v="843"/>
    <n v="1205.49"/>
  </r>
  <r>
    <s v="AD01-9361"/>
    <x v="3"/>
    <s v="Dec"/>
    <x v="1"/>
    <x v="0"/>
    <s v="Order assembled"/>
    <x v="0"/>
    <x v="0"/>
    <x v="0"/>
    <n v="167"/>
    <n v="238.81"/>
  </r>
  <r>
    <s v="AD01-9361"/>
    <x v="3"/>
    <s v="Dec"/>
    <x v="1"/>
    <x v="0"/>
    <s v="Order assembled"/>
    <x v="0"/>
    <x v="0"/>
    <x v="0"/>
    <n v="143"/>
    <n v="204.49"/>
  </r>
  <r>
    <s v="AD01-9362"/>
    <x v="3"/>
    <s v="Feb"/>
    <x v="1"/>
    <x v="0"/>
    <s v="Order assembled"/>
    <x v="0"/>
    <x v="0"/>
    <x v="1"/>
    <n v="272"/>
    <n v="388.96"/>
  </r>
  <r>
    <s v="AD01-9362"/>
    <x v="3"/>
    <s v="Feb"/>
    <x v="1"/>
    <x v="0"/>
    <s v="Order assembled"/>
    <x v="0"/>
    <x v="0"/>
    <x v="1"/>
    <n v="266"/>
    <n v="380.38"/>
  </r>
  <r>
    <s v="AD01-9361"/>
    <x v="3"/>
    <s v="Feb"/>
    <x v="1"/>
    <x v="0"/>
    <s v="Order assembled"/>
    <x v="0"/>
    <x v="0"/>
    <x v="0"/>
    <n v="224"/>
    <n v="320.32"/>
  </r>
  <r>
    <s v="AD01-9361"/>
    <x v="3"/>
    <s v="Feb"/>
    <x v="1"/>
    <x v="0"/>
    <s v="Order assembled"/>
    <x v="0"/>
    <x v="0"/>
    <x v="0"/>
    <n v="194"/>
    <n v="277.42"/>
  </r>
  <r>
    <s v="AD01-9364"/>
    <x v="3"/>
    <s v="Feb"/>
    <x v="1"/>
    <x v="0"/>
    <s v="Order assembled"/>
    <x v="0"/>
    <x v="0"/>
    <x v="0"/>
    <n v="268"/>
    <n v="383.24"/>
  </r>
  <r>
    <s v="AD01-9364"/>
    <x v="3"/>
    <s v="Feb"/>
    <x v="1"/>
    <x v="0"/>
    <s v="Order assembled"/>
    <x v="0"/>
    <x v="0"/>
    <x v="0"/>
    <n v="220"/>
    <n v="526.24"/>
  </r>
  <r>
    <s v="AD01-9364"/>
    <x v="3"/>
    <s v="Feb"/>
    <x v="1"/>
    <x v="0"/>
    <s v="Order assembled"/>
    <x v="0"/>
    <x v="0"/>
    <x v="0"/>
    <n v="196"/>
    <n v="526.24"/>
  </r>
  <r>
    <s v="AD01-9365"/>
    <x v="3"/>
    <s v="Feb"/>
    <x v="1"/>
    <x v="0"/>
    <s v="Order assembled"/>
    <x v="0"/>
    <x v="0"/>
    <x v="0"/>
    <n v="966"/>
    <n v="1381.38"/>
  </r>
  <r>
    <s v="AD01-9361"/>
    <x v="3"/>
    <s v="Feb"/>
    <x v="1"/>
    <x v="0"/>
    <s v="Order assembled"/>
    <x v="0"/>
    <x v="0"/>
    <x v="0"/>
    <n v="1019"/>
    <n v="1457.17"/>
  </r>
  <r>
    <s v="AD01-9361"/>
    <x v="3"/>
    <s v="Feb"/>
    <x v="1"/>
    <x v="0"/>
    <s v="Order assembled"/>
    <x v="0"/>
    <x v="0"/>
    <x v="0"/>
    <n v="192"/>
    <n v="274.56"/>
  </r>
  <r>
    <s v="AD01-9361"/>
    <x v="3"/>
    <s v="Feb"/>
    <x v="1"/>
    <x v="0"/>
    <s v="Order assembled"/>
    <x v="0"/>
    <x v="0"/>
    <x v="0"/>
    <n v="219"/>
    <n v="313.17"/>
  </r>
  <r>
    <s v="AD01-9365"/>
    <x v="3"/>
    <s v="Feb"/>
    <x v="1"/>
    <x v="0"/>
    <s v="Order assembled"/>
    <x v="0"/>
    <x v="0"/>
    <x v="0"/>
    <n v="195"/>
    <n v="278.85000000000002"/>
  </r>
  <r>
    <s v="AD01-9361"/>
    <x v="3"/>
    <s v="Feb"/>
    <x v="1"/>
    <x v="0"/>
    <s v="Order assembled"/>
    <x v="0"/>
    <x v="0"/>
    <x v="0"/>
    <n v="271"/>
    <n v="387.53"/>
  </r>
  <r>
    <s v="AD01-9364"/>
    <x v="3"/>
    <s v="Feb"/>
    <x v="1"/>
    <x v="0"/>
    <s v="Order assembled"/>
    <x v="0"/>
    <x v="0"/>
    <x v="0"/>
    <n v="747"/>
    <n v="1068.21"/>
  </r>
  <r>
    <s v="AD01-9364"/>
    <x v="3"/>
    <s v="Feb"/>
    <x v="1"/>
    <x v="0"/>
    <s v="Order assembled"/>
    <x v="0"/>
    <x v="0"/>
    <x v="0"/>
    <n v="834"/>
    <n v="1192.6199999999999"/>
  </r>
  <r>
    <s v="AD01-9361"/>
    <x v="3"/>
    <s v="Feb"/>
    <x v="1"/>
    <x v="0"/>
    <s v="Order assembled"/>
    <x v="0"/>
    <x v="0"/>
    <x v="1"/>
    <n v="269"/>
    <n v="384.67"/>
  </r>
  <r>
    <s v="AD01-9361"/>
    <x v="3"/>
    <s v="Feb"/>
    <x v="1"/>
    <x v="0"/>
    <s v="Order assembled"/>
    <x v="0"/>
    <x v="0"/>
    <x v="0"/>
    <n v="221"/>
    <n v="316.02999999999997"/>
  </r>
  <r>
    <s v="AD01-9364"/>
    <x v="3"/>
    <s v="Feb"/>
    <x v="1"/>
    <x v="0"/>
    <s v="Order assembled"/>
    <x v="0"/>
    <x v="0"/>
    <x v="0"/>
    <n v="149"/>
    <n v="213.07"/>
  </r>
  <r>
    <s v="AD01-9361"/>
    <x v="3"/>
    <s v="Feb"/>
    <x v="1"/>
    <x v="0"/>
    <s v="Order assembled"/>
    <x v="0"/>
    <x v="0"/>
    <x v="0"/>
    <n v="197"/>
    <n v="281.70999999999998"/>
  </r>
  <r>
    <s v="AD01-9364"/>
    <x v="3"/>
    <s v="Jan"/>
    <x v="1"/>
    <x v="0"/>
    <s v="Order assembled"/>
    <x v="0"/>
    <x v="0"/>
    <x v="1"/>
    <n v="284"/>
    <n v="406.12"/>
  </r>
  <r>
    <s v="AD01-9362"/>
    <x v="3"/>
    <s v="Jan"/>
    <x v="1"/>
    <x v="0"/>
    <s v="Order assembled"/>
    <x v="0"/>
    <x v="0"/>
    <x v="1"/>
    <n v="278"/>
    <n v="397.53999999999996"/>
  </r>
  <r>
    <s v="AD01-9364"/>
    <x v="3"/>
    <s v="Jan"/>
    <x v="1"/>
    <x v="0"/>
    <s v="Order assembled"/>
    <x v="0"/>
    <x v="0"/>
    <x v="0"/>
    <n v="152"/>
    <n v="217.36"/>
  </r>
  <r>
    <s v="AD01-9361"/>
    <x v="3"/>
    <s v="Jan"/>
    <x v="1"/>
    <x v="0"/>
    <s v="Order assembled"/>
    <x v="0"/>
    <x v="0"/>
    <x v="0"/>
    <n v="200"/>
    <n v="286"/>
  </r>
  <r>
    <s v="AD01-9362"/>
    <x v="3"/>
    <s v="Jan"/>
    <x v="1"/>
    <x v="0"/>
    <s v="Order assembled"/>
    <x v="0"/>
    <x v="0"/>
    <x v="0"/>
    <n v="286"/>
    <n v="408.98"/>
  </r>
  <r>
    <s v="AD01-9362"/>
    <x v="3"/>
    <s v="Jan"/>
    <x v="1"/>
    <x v="0"/>
    <s v="Order assembled"/>
    <x v="0"/>
    <x v="0"/>
    <x v="0"/>
    <n v="280"/>
    <n v="400.4"/>
  </r>
  <r>
    <s v="AD01-9361"/>
    <x v="3"/>
    <s v="Jan"/>
    <x v="1"/>
    <x v="0"/>
    <s v="Order assembled"/>
    <x v="0"/>
    <x v="0"/>
    <x v="0"/>
    <n v="274"/>
    <n v="391.82"/>
  </r>
  <r>
    <s v="AD01-9362"/>
    <x v="3"/>
    <s v="Jan"/>
    <x v="1"/>
    <x v="0"/>
    <s v="Order assembled"/>
    <x v="0"/>
    <x v="0"/>
    <x v="0"/>
    <n v="226"/>
    <n v="526.24"/>
  </r>
  <r>
    <s v="AD01-9363"/>
    <x v="3"/>
    <s v="Jan"/>
    <x v="1"/>
    <x v="0"/>
    <s v="Order assembled"/>
    <x v="0"/>
    <x v="0"/>
    <x v="0"/>
    <n v="154"/>
    <n v="526.24"/>
  </r>
  <r>
    <s v="AD01-9361"/>
    <x v="3"/>
    <s v="Jan"/>
    <x v="1"/>
    <x v="0"/>
    <s v="Order assembled"/>
    <x v="0"/>
    <x v="0"/>
    <x v="0"/>
    <n v="202"/>
    <n v="526.24"/>
  </r>
  <r>
    <s v="AD01-9364"/>
    <x v="3"/>
    <s v="Jan"/>
    <x v="1"/>
    <x v="0"/>
    <s v="Order assembled"/>
    <x v="0"/>
    <x v="0"/>
    <x v="0"/>
    <n v="965"/>
    <n v="1379.95"/>
  </r>
  <r>
    <s v="AD01-9362"/>
    <x v="3"/>
    <s v="Jan"/>
    <x v="1"/>
    <x v="0"/>
    <s v="Order assembled"/>
    <x v="0"/>
    <x v="0"/>
    <x v="0"/>
    <n v="198"/>
    <n v="283.14"/>
  </r>
  <r>
    <s v="AD01-9362"/>
    <x v="3"/>
    <s v="Jan"/>
    <x v="1"/>
    <x v="0"/>
    <s v="Order assembled"/>
    <x v="0"/>
    <x v="0"/>
    <x v="0"/>
    <n v="225"/>
    <n v="321.75"/>
  </r>
  <r>
    <s v="AD01-9362"/>
    <x v="3"/>
    <s v="Jan"/>
    <x v="1"/>
    <x v="0"/>
    <s v="Order assembled"/>
    <x v="0"/>
    <x v="0"/>
    <x v="0"/>
    <n v="153"/>
    <n v="218.79"/>
  </r>
  <r>
    <s v="AD01-9364"/>
    <x v="3"/>
    <s v="Jan"/>
    <x v="1"/>
    <x v="0"/>
    <s v="Order assembled"/>
    <x v="0"/>
    <x v="0"/>
    <x v="0"/>
    <n v="201"/>
    <n v="287.43"/>
  </r>
  <r>
    <s v="AD01-9363"/>
    <x v="3"/>
    <s v="Jan"/>
    <x v="1"/>
    <x v="0"/>
    <s v="Order assembled"/>
    <x v="0"/>
    <x v="0"/>
    <x v="0"/>
    <n v="283"/>
    <n v="404.69"/>
  </r>
  <r>
    <s v="AD01-9364"/>
    <x v="3"/>
    <s v="Jan"/>
    <x v="1"/>
    <x v="0"/>
    <s v="Order assembled"/>
    <x v="0"/>
    <x v="0"/>
    <x v="0"/>
    <n v="277"/>
    <n v="396.11"/>
  </r>
  <r>
    <s v="AD01-9361"/>
    <x v="3"/>
    <s v="Jan"/>
    <x v="1"/>
    <x v="0"/>
    <s v="Order assembled"/>
    <x v="0"/>
    <x v="0"/>
    <x v="0"/>
    <n v="746"/>
    <n v="1066.78"/>
  </r>
  <r>
    <s v="AD01-9361"/>
    <x v="3"/>
    <s v="Jan"/>
    <x v="1"/>
    <x v="0"/>
    <s v="Order assembled"/>
    <x v="0"/>
    <x v="0"/>
    <x v="0"/>
    <n v="800"/>
    <n v="1144"/>
  </r>
  <r>
    <s v="AD01-9362"/>
    <x v="3"/>
    <s v="Jan"/>
    <x v="1"/>
    <x v="0"/>
    <s v="Order assembled"/>
    <x v="0"/>
    <x v="0"/>
    <x v="0"/>
    <n v="833"/>
    <n v="1191.19"/>
  </r>
  <r>
    <s v="AD01-9362"/>
    <x v="3"/>
    <s v="Jan"/>
    <x v="1"/>
    <x v="0"/>
    <s v="Order assembled"/>
    <x v="0"/>
    <x v="0"/>
    <x v="1"/>
    <n v="287"/>
    <n v="410.40999999999997"/>
  </r>
  <r>
    <s v="AD01-9362"/>
    <x v="3"/>
    <s v="Jan"/>
    <x v="1"/>
    <x v="0"/>
    <s v="Order assembled"/>
    <x v="0"/>
    <x v="0"/>
    <x v="1"/>
    <n v="281"/>
    <n v="401.83"/>
  </r>
  <r>
    <s v="AD01-9365"/>
    <x v="3"/>
    <s v="Jan"/>
    <x v="1"/>
    <x v="0"/>
    <s v="Order assembled"/>
    <x v="0"/>
    <x v="0"/>
    <x v="1"/>
    <n v="275"/>
    <n v="393.25"/>
  </r>
  <r>
    <s v="AD01-9361"/>
    <x v="3"/>
    <s v="Jan"/>
    <x v="1"/>
    <x v="0"/>
    <s v="Order assembled"/>
    <x v="0"/>
    <x v="0"/>
    <x v="0"/>
    <n v="227"/>
    <n v="324.61"/>
  </r>
  <r>
    <s v="AD01-9362"/>
    <x v="3"/>
    <s v="Jan"/>
    <x v="1"/>
    <x v="0"/>
    <s v="Order assembled"/>
    <x v="0"/>
    <x v="0"/>
    <x v="0"/>
    <n v="155"/>
    <n v="221.65"/>
  </r>
  <r>
    <s v="AD01-9361"/>
    <x v="3"/>
    <s v="Jul"/>
    <x v="1"/>
    <x v="0"/>
    <s v="Order assembled"/>
    <x v="0"/>
    <x v="0"/>
    <x v="0"/>
    <n v="194"/>
    <n v="277.42"/>
  </r>
  <r>
    <s v="AD01-9364"/>
    <x v="3"/>
    <s v="Jul"/>
    <x v="1"/>
    <x v="0"/>
    <s v="Order assembled"/>
    <x v="0"/>
    <x v="0"/>
    <x v="0"/>
    <n v="170"/>
    <n v="243.1"/>
  </r>
  <r>
    <s v="AD01-9364"/>
    <x v="3"/>
    <s v="Jul"/>
    <x v="1"/>
    <x v="0"/>
    <s v="Order assembled"/>
    <x v="0"/>
    <x v="0"/>
    <x v="0"/>
    <n v="196"/>
    <n v="526.24"/>
  </r>
  <r>
    <s v="AD01-9364"/>
    <x v="3"/>
    <s v="Jul"/>
    <x v="1"/>
    <x v="0"/>
    <s v="Order assembled"/>
    <x v="0"/>
    <x v="0"/>
    <x v="0"/>
    <n v="166"/>
    <n v="526.24"/>
  </r>
  <r>
    <s v="AD01-9365"/>
    <x v="3"/>
    <s v="Jul"/>
    <x v="1"/>
    <x v="0"/>
    <s v="Order assembled"/>
    <x v="0"/>
    <x v="0"/>
    <x v="0"/>
    <n v="168"/>
    <n v="240.24"/>
  </r>
  <r>
    <s v="AD01-9365"/>
    <x v="3"/>
    <s v="Jul"/>
    <x v="1"/>
    <x v="0"/>
    <s v="Order assembled"/>
    <x v="0"/>
    <x v="0"/>
    <x v="0"/>
    <n v="195"/>
    <n v="278.85000000000002"/>
  </r>
  <r>
    <s v="AD01-9364"/>
    <x v="3"/>
    <s v="Jul"/>
    <x v="1"/>
    <x v="0"/>
    <s v="Order assembled"/>
    <x v="0"/>
    <x v="0"/>
    <x v="0"/>
    <n v="752"/>
    <n v="1075.3600000000001"/>
  </r>
  <r>
    <s v="AD01-9364"/>
    <x v="3"/>
    <s v="Jul"/>
    <x v="1"/>
    <x v="0"/>
    <s v="Order assembled"/>
    <x v="0"/>
    <x v="0"/>
    <x v="0"/>
    <n v="838"/>
    <n v="1198.3399999999999"/>
  </r>
  <r>
    <s v="AD01-9364"/>
    <x v="3"/>
    <s v="Jul"/>
    <x v="1"/>
    <x v="0"/>
    <s v="Order assembled"/>
    <x v="0"/>
    <x v="0"/>
    <x v="0"/>
    <n v="197"/>
    <n v="281.70999999999998"/>
  </r>
  <r>
    <s v="AD01-9361"/>
    <x v="3"/>
    <s v="Jul"/>
    <x v="1"/>
    <x v="0"/>
    <s v="Order assembled"/>
    <x v="0"/>
    <x v="0"/>
    <x v="0"/>
    <n v="167"/>
    <n v="238.81"/>
  </r>
  <r>
    <s v="AD01-9363"/>
    <x v="3"/>
    <s v="Jun"/>
    <x v="1"/>
    <x v="0"/>
    <s v="Order assembled"/>
    <x v="0"/>
    <x v="0"/>
    <x v="0"/>
    <n v="200"/>
    <n v="286"/>
  </r>
  <r>
    <s v="AD01-9361"/>
    <x v="3"/>
    <s v="Jun"/>
    <x v="1"/>
    <x v="0"/>
    <s v="Order assembled"/>
    <x v="0"/>
    <x v="0"/>
    <x v="0"/>
    <n v="202"/>
    <n v="526.24"/>
  </r>
  <r>
    <s v="AD01-9361"/>
    <x v="3"/>
    <s v="Jun"/>
    <x v="1"/>
    <x v="0"/>
    <s v="Order assembled"/>
    <x v="0"/>
    <x v="0"/>
    <x v="0"/>
    <n v="172"/>
    <n v="526.24"/>
  </r>
  <r>
    <s v="AD01-9361"/>
    <x v="3"/>
    <s v="Jun"/>
    <x v="1"/>
    <x v="0"/>
    <s v="Order assembled"/>
    <x v="0"/>
    <x v="0"/>
    <x v="0"/>
    <n v="970"/>
    <n v="1387.1"/>
  </r>
  <r>
    <s v="AD01-9361"/>
    <x v="3"/>
    <s v="Jun"/>
    <x v="1"/>
    <x v="0"/>
    <s v="Order assembled"/>
    <x v="0"/>
    <x v="0"/>
    <x v="0"/>
    <n v="174"/>
    <n v="248.82"/>
  </r>
  <r>
    <s v="AD01-9361"/>
    <x v="3"/>
    <s v="Jun"/>
    <x v="1"/>
    <x v="0"/>
    <s v="Order assembled"/>
    <x v="0"/>
    <x v="0"/>
    <x v="0"/>
    <n v="201"/>
    <n v="287.43"/>
  </r>
  <r>
    <s v="AD01-9361"/>
    <x v="3"/>
    <s v="Jun"/>
    <x v="1"/>
    <x v="0"/>
    <s v="Order assembled"/>
    <x v="0"/>
    <x v="0"/>
    <x v="0"/>
    <n v="171"/>
    <n v="244.53"/>
  </r>
  <r>
    <s v="AD01-9361"/>
    <x v="3"/>
    <s v="Jun"/>
    <x v="1"/>
    <x v="0"/>
    <s v="Order assembled"/>
    <x v="0"/>
    <x v="0"/>
    <x v="0"/>
    <n v="751"/>
    <n v="1073.93"/>
  </r>
  <r>
    <s v="AD01-9361"/>
    <x v="3"/>
    <s v="Jun"/>
    <x v="1"/>
    <x v="0"/>
    <s v="Order assembled"/>
    <x v="0"/>
    <x v="0"/>
    <x v="0"/>
    <n v="837"/>
    <n v="1196.9099999999999"/>
  </r>
  <r>
    <s v="AD01-9363"/>
    <x v="3"/>
    <s v="Jun"/>
    <x v="1"/>
    <x v="0"/>
    <s v="Order assembled"/>
    <x v="0"/>
    <x v="0"/>
    <x v="0"/>
    <n v="173"/>
    <n v="247.39"/>
  </r>
  <r>
    <s v="AD01-9362"/>
    <x v="3"/>
    <s v="Mar"/>
    <x v="1"/>
    <x v="0"/>
    <s v="Order assembled"/>
    <x v="0"/>
    <x v="0"/>
    <x v="0"/>
    <n v="218"/>
    <n v="311.74"/>
  </r>
  <r>
    <s v="AD01-9362"/>
    <x v="3"/>
    <s v="Mar"/>
    <x v="1"/>
    <x v="0"/>
    <s v="Order assembled"/>
    <x v="0"/>
    <x v="0"/>
    <x v="0"/>
    <n v="188"/>
    <n v="268.84000000000003"/>
  </r>
  <r>
    <s v="AD01-9362"/>
    <x v="3"/>
    <s v="Mar"/>
    <x v="1"/>
    <x v="0"/>
    <s v="Order assembled"/>
    <x v="0"/>
    <x v="0"/>
    <x v="0"/>
    <n v="214"/>
    <n v="526.24"/>
  </r>
  <r>
    <s v="AD01-9362"/>
    <x v="3"/>
    <s v="Mar"/>
    <x v="1"/>
    <x v="0"/>
    <s v="Order assembled"/>
    <x v="0"/>
    <x v="0"/>
    <x v="0"/>
    <n v="190"/>
    <n v="526.24"/>
  </r>
  <r>
    <s v="AD01-9362"/>
    <x v="3"/>
    <s v="Mar"/>
    <x v="1"/>
    <x v="0"/>
    <s v="Order assembled"/>
    <x v="0"/>
    <x v="0"/>
    <x v="0"/>
    <n v="967"/>
    <n v="1382.81"/>
  </r>
  <r>
    <s v="AD01-9362"/>
    <x v="3"/>
    <s v="Mar"/>
    <x v="1"/>
    <x v="0"/>
    <s v="Order assembled"/>
    <x v="0"/>
    <x v="0"/>
    <x v="0"/>
    <n v="189"/>
    <n v="270.27"/>
  </r>
  <r>
    <s v="AD01-9362"/>
    <x v="3"/>
    <s v="Mar"/>
    <x v="1"/>
    <x v="0"/>
    <s v="Order assembled"/>
    <x v="0"/>
    <x v="0"/>
    <x v="0"/>
    <n v="748"/>
    <n v="1069.6399999999999"/>
  </r>
  <r>
    <s v="AD01-9362"/>
    <x v="3"/>
    <s v="Mar"/>
    <x v="1"/>
    <x v="0"/>
    <s v="Order assembled"/>
    <x v="0"/>
    <x v="0"/>
    <x v="0"/>
    <n v="835"/>
    <n v="1194.05"/>
  </r>
  <r>
    <s v="AD01-9362"/>
    <x v="3"/>
    <s v="Mar"/>
    <x v="1"/>
    <x v="0"/>
    <s v="Order assembled"/>
    <x v="0"/>
    <x v="0"/>
    <x v="0"/>
    <n v="215"/>
    <n v="307.45"/>
  </r>
  <r>
    <s v="AD01-9362"/>
    <x v="3"/>
    <s v="Mar"/>
    <x v="1"/>
    <x v="0"/>
    <s v="Order assembled"/>
    <x v="0"/>
    <x v="0"/>
    <x v="0"/>
    <n v="191"/>
    <n v="273.13"/>
  </r>
  <r>
    <s v="AD01-9365"/>
    <x v="3"/>
    <s v="May"/>
    <x v="1"/>
    <x v="0"/>
    <s v="Order assembled"/>
    <x v="0"/>
    <x v="0"/>
    <x v="0"/>
    <n v="206"/>
    <n v="294.58"/>
  </r>
  <r>
    <s v="AD01-9362"/>
    <x v="3"/>
    <s v="May"/>
    <x v="1"/>
    <x v="0"/>
    <s v="Order assembled"/>
    <x v="0"/>
    <x v="0"/>
    <x v="0"/>
    <n v="176"/>
    <n v="251.68"/>
  </r>
  <r>
    <s v="AD01-9362"/>
    <x v="3"/>
    <s v="May"/>
    <x v="1"/>
    <x v="0"/>
    <s v="Order assembled"/>
    <x v="0"/>
    <x v="0"/>
    <x v="0"/>
    <n v="208"/>
    <n v="526.24"/>
  </r>
  <r>
    <s v="AD01-9362"/>
    <x v="3"/>
    <s v="May"/>
    <x v="1"/>
    <x v="0"/>
    <s v="Order assembled"/>
    <x v="0"/>
    <x v="0"/>
    <x v="0"/>
    <n v="178"/>
    <n v="526.24"/>
  </r>
  <r>
    <s v="AD01-9362"/>
    <x v="3"/>
    <s v="May"/>
    <x v="1"/>
    <x v="0"/>
    <s v="Order assembled"/>
    <x v="0"/>
    <x v="0"/>
    <x v="0"/>
    <n v="969"/>
    <n v="1385.67"/>
  </r>
  <r>
    <s v="AD01-9362"/>
    <x v="3"/>
    <s v="May"/>
    <x v="1"/>
    <x v="0"/>
    <s v="Order assembled"/>
    <x v="0"/>
    <x v="0"/>
    <x v="0"/>
    <n v="180"/>
    <n v="257.39999999999998"/>
  </r>
  <r>
    <s v="AD01-9362"/>
    <x v="3"/>
    <s v="May"/>
    <x v="1"/>
    <x v="0"/>
    <s v="Order assembled"/>
    <x v="0"/>
    <x v="0"/>
    <x v="0"/>
    <n v="207"/>
    <n v="296.01"/>
  </r>
  <r>
    <s v="AD01-9362"/>
    <x v="3"/>
    <s v="May"/>
    <x v="1"/>
    <x v="0"/>
    <s v="Order assembled"/>
    <x v="0"/>
    <x v="0"/>
    <x v="0"/>
    <n v="177"/>
    <n v="253.11"/>
  </r>
  <r>
    <s v="AD01-9362"/>
    <x v="3"/>
    <s v="May"/>
    <x v="1"/>
    <x v="0"/>
    <s v="Order assembled"/>
    <x v="0"/>
    <x v="0"/>
    <x v="0"/>
    <n v="750"/>
    <n v="1072.5"/>
  </r>
  <r>
    <s v="AD01-9362"/>
    <x v="3"/>
    <s v="May"/>
    <x v="1"/>
    <x v="0"/>
    <s v="Order assembled"/>
    <x v="0"/>
    <x v="0"/>
    <x v="0"/>
    <n v="836"/>
    <n v="1195.48"/>
  </r>
  <r>
    <s v="AD01-9362"/>
    <x v="3"/>
    <s v="May"/>
    <x v="1"/>
    <x v="0"/>
    <s v="Order assembled"/>
    <x v="0"/>
    <x v="0"/>
    <x v="0"/>
    <n v="203"/>
    <n v="290.28999999999996"/>
  </r>
  <r>
    <s v="AD01-9365"/>
    <x v="3"/>
    <s v="May"/>
    <x v="1"/>
    <x v="0"/>
    <s v="Order assembled"/>
    <x v="0"/>
    <x v="0"/>
    <x v="0"/>
    <n v="179"/>
    <n v="255.97"/>
  </r>
  <r>
    <s v="AD01-9361"/>
    <x v="3"/>
    <s v="Nov"/>
    <x v="1"/>
    <x v="0"/>
    <s v="Order assembled"/>
    <x v="0"/>
    <x v="0"/>
    <x v="0"/>
    <n v="176"/>
    <n v="251.68"/>
  </r>
  <r>
    <s v="AD01-9361"/>
    <x v="3"/>
    <s v="Nov"/>
    <x v="1"/>
    <x v="0"/>
    <s v="Order assembled"/>
    <x v="0"/>
    <x v="0"/>
    <x v="0"/>
    <n v="146"/>
    <n v="208.78"/>
  </r>
  <r>
    <s v="AD01-9361"/>
    <x v="3"/>
    <s v="Nov"/>
    <x v="1"/>
    <x v="0"/>
    <s v="Order assembled"/>
    <x v="0"/>
    <x v="0"/>
    <x v="0"/>
    <n v="172"/>
    <n v="526.24"/>
  </r>
  <r>
    <s v="AD01-9364"/>
    <x v="3"/>
    <s v="Nov"/>
    <x v="1"/>
    <x v="0"/>
    <s v="Order assembled"/>
    <x v="0"/>
    <x v="0"/>
    <x v="0"/>
    <n v="148"/>
    <n v="526.24"/>
  </r>
  <r>
    <s v="AD01-9364"/>
    <x v="3"/>
    <s v="Nov"/>
    <x v="1"/>
    <x v="0"/>
    <s v="Order assembled"/>
    <x v="0"/>
    <x v="0"/>
    <x v="0"/>
    <n v="974"/>
    <n v="1392.82"/>
  </r>
  <r>
    <s v="AD01-9361"/>
    <x v="3"/>
    <s v="Nov"/>
    <x v="1"/>
    <x v="0"/>
    <s v="Order assembled"/>
    <x v="0"/>
    <x v="0"/>
    <x v="0"/>
    <n v="144"/>
    <n v="205.92000000000002"/>
  </r>
  <r>
    <s v="AD01-9361"/>
    <x v="3"/>
    <s v="Nov"/>
    <x v="1"/>
    <x v="0"/>
    <s v="Order assembled"/>
    <x v="0"/>
    <x v="0"/>
    <x v="0"/>
    <n v="171"/>
    <n v="244.53"/>
  </r>
  <r>
    <s v="AD01-9364"/>
    <x v="3"/>
    <s v="Nov"/>
    <x v="1"/>
    <x v="0"/>
    <s v="Order assembled"/>
    <x v="0"/>
    <x v="0"/>
    <x v="0"/>
    <n v="147"/>
    <n v="210.21"/>
  </r>
  <r>
    <s v="AD01-9364"/>
    <x v="3"/>
    <s v="Nov"/>
    <x v="1"/>
    <x v="0"/>
    <s v="Order assembled"/>
    <x v="0"/>
    <x v="0"/>
    <x v="0"/>
    <n v="755"/>
    <n v="1079.6500000000001"/>
  </r>
  <r>
    <s v="AD01-9361"/>
    <x v="3"/>
    <s v="Nov"/>
    <x v="1"/>
    <x v="0"/>
    <s v="Order assembled"/>
    <x v="0"/>
    <x v="0"/>
    <x v="0"/>
    <n v="842"/>
    <n v="1204.06"/>
  </r>
  <r>
    <s v="AD01-9361"/>
    <x v="3"/>
    <s v="Nov"/>
    <x v="1"/>
    <x v="0"/>
    <s v="Order assembled"/>
    <x v="0"/>
    <x v="0"/>
    <x v="0"/>
    <n v="173"/>
    <n v="247.39"/>
  </r>
  <r>
    <s v="AD01-9361"/>
    <x v="3"/>
    <s v="Nov"/>
    <x v="1"/>
    <x v="0"/>
    <s v="Order assembled"/>
    <x v="0"/>
    <x v="0"/>
    <x v="0"/>
    <n v="149"/>
    <n v="213.07"/>
  </r>
  <r>
    <s v="AD01-9365"/>
    <x v="3"/>
    <s v="Oct"/>
    <x v="1"/>
    <x v="0"/>
    <s v="Order assembled"/>
    <x v="0"/>
    <x v="0"/>
    <x v="0"/>
    <n v="152"/>
    <n v="217.36"/>
  </r>
  <r>
    <s v="AD01-9361"/>
    <x v="3"/>
    <s v="Oct"/>
    <x v="1"/>
    <x v="0"/>
    <s v="Order assembled"/>
    <x v="0"/>
    <x v="0"/>
    <x v="0"/>
    <n v="178"/>
    <n v="526.24"/>
  </r>
  <r>
    <s v="AD01-9361"/>
    <x v="3"/>
    <s v="Oct"/>
    <x v="1"/>
    <x v="0"/>
    <s v="Order assembled"/>
    <x v="0"/>
    <x v="0"/>
    <x v="0"/>
    <n v="154"/>
    <n v="526.24"/>
  </r>
  <r>
    <s v="AD01-9364"/>
    <x v="3"/>
    <s v="Oct"/>
    <x v="1"/>
    <x v="0"/>
    <s v="Order assembled"/>
    <x v="0"/>
    <x v="0"/>
    <x v="0"/>
    <n v="973"/>
    <n v="1391.3899999999999"/>
  </r>
  <r>
    <s v="AD01-9362"/>
    <x v="3"/>
    <s v="Oct"/>
    <x v="1"/>
    <x v="0"/>
    <s v="Order assembled"/>
    <x v="0"/>
    <x v="0"/>
    <x v="0"/>
    <n v="150"/>
    <n v="214.5"/>
  </r>
  <r>
    <s v="AD01-9362"/>
    <x v="3"/>
    <s v="Oct"/>
    <x v="1"/>
    <x v="0"/>
    <s v="Order assembled"/>
    <x v="0"/>
    <x v="0"/>
    <x v="0"/>
    <n v="177"/>
    <n v="253.11"/>
  </r>
  <r>
    <s v="AD01-9364"/>
    <x v="3"/>
    <s v="Oct"/>
    <x v="1"/>
    <x v="0"/>
    <s v="Order assembled"/>
    <x v="0"/>
    <x v="0"/>
    <x v="0"/>
    <n v="153"/>
    <n v="218.79"/>
  </r>
  <r>
    <s v="AD01-9361"/>
    <x v="3"/>
    <s v="Oct"/>
    <x v="1"/>
    <x v="0"/>
    <s v="Order assembled"/>
    <x v="0"/>
    <x v="0"/>
    <x v="0"/>
    <n v="754"/>
    <n v="1078.22"/>
  </r>
  <r>
    <s v="AD01-9361"/>
    <x v="3"/>
    <s v="Oct"/>
    <x v="1"/>
    <x v="0"/>
    <s v="Order assembled"/>
    <x v="0"/>
    <x v="0"/>
    <x v="0"/>
    <n v="841"/>
    <n v="1202.6300000000001"/>
  </r>
  <r>
    <s v="AD01-9365"/>
    <x v="3"/>
    <s v="Oct"/>
    <x v="1"/>
    <x v="0"/>
    <s v="Order assembled"/>
    <x v="0"/>
    <x v="0"/>
    <x v="0"/>
    <n v="179"/>
    <n v="255.97"/>
  </r>
  <r>
    <s v="AD01-9361"/>
    <x v="3"/>
    <s v="Sep"/>
    <x v="1"/>
    <x v="0"/>
    <s v="Order assembled"/>
    <x v="0"/>
    <x v="0"/>
    <x v="0"/>
    <n v="182"/>
    <n v="260.26"/>
  </r>
  <r>
    <s v="AD01-9362"/>
    <x v="3"/>
    <s v="Sep"/>
    <x v="1"/>
    <x v="0"/>
    <s v="Order assembled"/>
    <x v="0"/>
    <x v="0"/>
    <x v="0"/>
    <n v="158"/>
    <n v="225.94"/>
  </r>
  <r>
    <s v="AD01-9362"/>
    <x v="3"/>
    <s v="Sep"/>
    <x v="1"/>
    <x v="0"/>
    <s v="Order assembled"/>
    <x v="0"/>
    <x v="0"/>
    <x v="0"/>
    <n v="184"/>
    <n v="526.24"/>
  </r>
  <r>
    <s v="AD01-9364"/>
    <x v="3"/>
    <s v="Sep"/>
    <x v="1"/>
    <x v="0"/>
    <s v="Order assembled"/>
    <x v="0"/>
    <x v="0"/>
    <x v="0"/>
    <n v="972"/>
    <n v="1389.96"/>
  </r>
  <r>
    <s v="AD01-9361"/>
    <x v="3"/>
    <s v="Sep"/>
    <x v="1"/>
    <x v="0"/>
    <s v="Order assembled"/>
    <x v="0"/>
    <x v="0"/>
    <x v="0"/>
    <n v="156"/>
    <n v="223.07999999999998"/>
  </r>
  <r>
    <s v="AD01-9361"/>
    <x v="3"/>
    <s v="Sep"/>
    <x v="1"/>
    <x v="0"/>
    <s v="Order assembled"/>
    <x v="0"/>
    <x v="0"/>
    <x v="0"/>
    <n v="183"/>
    <n v="261.69"/>
  </r>
  <r>
    <s v="AD01-9364"/>
    <x v="3"/>
    <s v="Sep"/>
    <x v="1"/>
    <x v="0"/>
    <s v="Order assembled"/>
    <x v="0"/>
    <x v="0"/>
    <x v="0"/>
    <n v="159"/>
    <n v="227.37"/>
  </r>
  <r>
    <s v="AD01-9362"/>
    <x v="3"/>
    <s v="Sep"/>
    <x v="1"/>
    <x v="0"/>
    <s v="Order assembled"/>
    <x v="0"/>
    <x v="0"/>
    <x v="0"/>
    <n v="840"/>
    <n v="1201.2"/>
  </r>
  <r>
    <s v="AD01-9362"/>
    <x v="3"/>
    <s v="Sep"/>
    <x v="1"/>
    <x v="0"/>
    <s v="Order assembled"/>
    <x v="0"/>
    <x v="0"/>
    <x v="0"/>
    <n v="185"/>
    <n v="264.55"/>
  </r>
  <r>
    <s v="AD01-9361"/>
    <x v="3"/>
    <s v="Sep"/>
    <x v="1"/>
    <x v="0"/>
    <s v="Order assembled"/>
    <x v="0"/>
    <x v="0"/>
    <x v="0"/>
    <n v="155"/>
    <n v="221.65"/>
  </r>
  <r>
    <s v="AD01-9362"/>
    <x v="3"/>
    <s v="Apr"/>
    <x v="1"/>
    <x v="1"/>
    <s v="Cancelld"/>
    <x v="1"/>
    <x v="1"/>
    <x v="2"/>
    <n v="290"/>
    <n v="414.7"/>
  </r>
  <r>
    <s v="AD01-9364"/>
    <x v="3"/>
    <s v="Apr"/>
    <x v="1"/>
    <x v="1"/>
    <s v="Cancelld"/>
    <x v="1"/>
    <x v="1"/>
    <x v="2"/>
    <n v="260"/>
    <n v="371.8"/>
  </r>
  <r>
    <s v="AD01-9362"/>
    <x v="3"/>
    <s v="Apr"/>
    <x v="1"/>
    <x v="1"/>
    <s v="Cancelld"/>
    <x v="1"/>
    <x v="1"/>
    <x v="2"/>
    <n v="286"/>
    <n v="408.98"/>
  </r>
  <r>
    <s v="AD01-9362"/>
    <x v="3"/>
    <s v="Apr"/>
    <x v="1"/>
    <x v="1"/>
    <s v="Cancelld"/>
    <x v="1"/>
    <x v="1"/>
    <x v="2"/>
    <n v="262"/>
    <n v="374.65999999999997"/>
  </r>
  <r>
    <s v="AD01-9364"/>
    <x v="3"/>
    <s v="Apr"/>
    <x v="1"/>
    <x v="1"/>
    <s v="Cancelld"/>
    <x v="1"/>
    <x v="1"/>
    <x v="2"/>
    <n v="791"/>
    <n v="1131.1300000000001"/>
  </r>
  <r>
    <s v="AD01-9364"/>
    <x v="3"/>
    <s v="Apr"/>
    <x v="1"/>
    <x v="1"/>
    <s v="Cancelld"/>
    <x v="1"/>
    <x v="1"/>
    <x v="2"/>
    <n v="261"/>
    <n v="373.23"/>
  </r>
  <r>
    <s v="AD01-9362"/>
    <x v="3"/>
    <s v="Apr"/>
    <x v="1"/>
    <x v="1"/>
    <s v="Cancelld"/>
    <x v="1"/>
    <x v="1"/>
    <x v="2"/>
    <n v="289"/>
    <n v="413.27"/>
  </r>
  <r>
    <s v="AD01-9362"/>
    <x v="3"/>
    <s v="Apr"/>
    <x v="1"/>
    <x v="1"/>
    <s v="Cancelld"/>
    <x v="1"/>
    <x v="1"/>
    <x v="2"/>
    <n v="259"/>
    <n v="370.37"/>
  </r>
  <r>
    <s v="AD01-9364"/>
    <x v="3"/>
    <s v="Apr"/>
    <x v="1"/>
    <x v="1"/>
    <s v="Cancelld"/>
    <x v="1"/>
    <x v="1"/>
    <x v="2"/>
    <n v="800"/>
    <n v="1144"/>
  </r>
  <r>
    <s v="AD01-9362"/>
    <x v="3"/>
    <s v="Apr"/>
    <x v="1"/>
    <x v="1"/>
    <s v="Cancelld"/>
    <x v="1"/>
    <x v="1"/>
    <x v="2"/>
    <n v="886"/>
    <n v="1266.98"/>
  </r>
  <r>
    <s v="AD01-9362"/>
    <x v="3"/>
    <s v="Aug"/>
    <x v="1"/>
    <x v="1"/>
    <s v="Cancelld"/>
    <x v="1"/>
    <x v="1"/>
    <x v="2"/>
    <n v="266"/>
    <n v="380.38"/>
  </r>
  <r>
    <s v="AD01-9361"/>
    <x v="3"/>
    <s v="Aug"/>
    <x v="1"/>
    <x v="1"/>
    <s v="Cancelld"/>
    <x v="1"/>
    <x v="1"/>
    <x v="2"/>
    <n v="242"/>
    <n v="346.06"/>
  </r>
  <r>
    <s v="AD01-9361"/>
    <x v="3"/>
    <s v="Aug"/>
    <x v="1"/>
    <x v="1"/>
    <s v="Cancelld"/>
    <x v="1"/>
    <x v="1"/>
    <x v="2"/>
    <n v="268"/>
    <n v="383.24"/>
  </r>
  <r>
    <s v="AD01-9361"/>
    <x v="3"/>
    <s v="Aug"/>
    <x v="1"/>
    <x v="1"/>
    <s v="Cancelld"/>
    <x v="1"/>
    <x v="1"/>
    <x v="2"/>
    <n v="238"/>
    <n v="340.34000000000003"/>
  </r>
  <r>
    <s v="AD01-9361"/>
    <x v="3"/>
    <s v="Aug"/>
    <x v="1"/>
    <x v="1"/>
    <s v="Cancelld"/>
    <x v="1"/>
    <x v="1"/>
    <x v="2"/>
    <n v="881"/>
    <n v="1259.83"/>
  </r>
  <r>
    <s v="AD01-9361"/>
    <x v="3"/>
    <s v="Aug"/>
    <x v="1"/>
    <x v="1"/>
    <s v="Cancelld"/>
    <x v="1"/>
    <x v="1"/>
    <x v="2"/>
    <n v="834"/>
    <n v="526.24"/>
  </r>
  <r>
    <s v="AD01-9361"/>
    <x v="3"/>
    <s v="Aug"/>
    <x v="1"/>
    <x v="1"/>
    <s v="Cancelld"/>
    <x v="1"/>
    <x v="1"/>
    <x v="2"/>
    <n v="265"/>
    <n v="378.95"/>
  </r>
  <r>
    <s v="AD01-9361"/>
    <x v="3"/>
    <s v="Aug"/>
    <x v="1"/>
    <x v="1"/>
    <s v="Cancelld"/>
    <x v="1"/>
    <x v="1"/>
    <x v="2"/>
    <n v="241"/>
    <n v="344.63"/>
  </r>
  <r>
    <s v="AD01-9361"/>
    <x v="3"/>
    <s v="Aug"/>
    <x v="1"/>
    <x v="1"/>
    <s v="Cancelld"/>
    <x v="1"/>
    <x v="1"/>
    <x v="2"/>
    <n v="803"/>
    <n v="1148.29"/>
  </r>
  <r>
    <s v="AD01-9362"/>
    <x v="3"/>
    <s v="Aug"/>
    <x v="1"/>
    <x v="1"/>
    <s v="Cancelld"/>
    <x v="1"/>
    <x v="1"/>
    <x v="2"/>
    <n v="239"/>
    <n v="341.77"/>
  </r>
  <r>
    <s v="AD01-9362"/>
    <x v="3"/>
    <s v="Dec"/>
    <x v="1"/>
    <x v="1"/>
    <s v="Cancelld"/>
    <x v="1"/>
    <x v="1"/>
    <x v="2"/>
    <n v="248"/>
    <n v="354.64"/>
  </r>
  <r>
    <s v="AD01-9363"/>
    <x v="3"/>
    <s v="Dec"/>
    <x v="1"/>
    <x v="1"/>
    <s v="Cancelld"/>
    <x v="1"/>
    <x v="1"/>
    <x v="2"/>
    <n v="218"/>
    <n v="311.74"/>
  </r>
  <r>
    <s v="AD01-9362"/>
    <x v="3"/>
    <s v="Dec"/>
    <x v="1"/>
    <x v="1"/>
    <s v="Cancelld"/>
    <x v="1"/>
    <x v="1"/>
    <x v="2"/>
    <n v="244"/>
    <n v="348.92"/>
  </r>
  <r>
    <s v="AD01-9362"/>
    <x v="3"/>
    <s v="Dec"/>
    <x v="1"/>
    <x v="1"/>
    <s v="Cancelld"/>
    <x v="1"/>
    <x v="1"/>
    <x v="2"/>
    <n v="220"/>
    <n v="314.60000000000002"/>
  </r>
  <r>
    <s v="AD01-9364"/>
    <x v="3"/>
    <s v="Dec"/>
    <x v="1"/>
    <x v="1"/>
    <s v="Cancelld"/>
    <x v="1"/>
    <x v="1"/>
    <x v="2"/>
    <n v="798"/>
    <n v="1141.1399999999999"/>
  </r>
  <r>
    <s v="AD01-9362"/>
    <x v="3"/>
    <s v="Dec"/>
    <x v="1"/>
    <x v="1"/>
    <s v="Cancelld"/>
    <x v="1"/>
    <x v="1"/>
    <x v="2"/>
    <n v="885"/>
    <n v="1265.55"/>
  </r>
  <r>
    <s v="AD01-9362"/>
    <x v="3"/>
    <s v="Dec"/>
    <x v="1"/>
    <x v="1"/>
    <s v="Cancelld"/>
    <x v="1"/>
    <x v="1"/>
    <x v="2"/>
    <n v="838"/>
    <n v="526.24"/>
  </r>
  <r>
    <s v="AD01-9364"/>
    <x v="3"/>
    <s v="Dec"/>
    <x v="1"/>
    <x v="1"/>
    <s v="Cancelld"/>
    <x v="1"/>
    <x v="1"/>
    <x v="2"/>
    <n v="219"/>
    <n v="313.17"/>
  </r>
  <r>
    <s v="AD01-9362"/>
    <x v="3"/>
    <s v="Dec"/>
    <x v="1"/>
    <x v="1"/>
    <s v="Cancelld"/>
    <x v="1"/>
    <x v="1"/>
    <x v="2"/>
    <n v="247"/>
    <n v="353.21"/>
  </r>
  <r>
    <s v="AD01-9362"/>
    <x v="3"/>
    <s v="Dec"/>
    <x v="1"/>
    <x v="1"/>
    <s v="Cancelld"/>
    <x v="1"/>
    <x v="1"/>
    <x v="2"/>
    <n v="217"/>
    <n v="310.31"/>
  </r>
  <r>
    <s v="AD01-9363"/>
    <x v="3"/>
    <s v="Dec"/>
    <x v="1"/>
    <x v="1"/>
    <s v="Cancelld"/>
    <x v="1"/>
    <x v="1"/>
    <x v="2"/>
    <n v="807"/>
    <n v="1154.01"/>
  </r>
  <r>
    <s v="AD01-9362"/>
    <x v="3"/>
    <s v="Dec"/>
    <x v="1"/>
    <x v="1"/>
    <s v="Cancelld"/>
    <x v="1"/>
    <x v="1"/>
    <x v="2"/>
    <n v="221"/>
    <n v="316.02999999999997"/>
  </r>
  <r>
    <s v="AD01-9362"/>
    <x v="3"/>
    <s v="Feb"/>
    <x v="1"/>
    <x v="1"/>
    <s v="Cancelld"/>
    <x v="1"/>
    <x v="1"/>
    <x v="2"/>
    <n v="272"/>
    <n v="388.96"/>
  </r>
  <r>
    <s v="AD01-9362"/>
    <x v="3"/>
    <s v="Feb"/>
    <x v="1"/>
    <x v="1"/>
    <s v="Cancelld"/>
    <x v="1"/>
    <x v="1"/>
    <x v="2"/>
    <n v="298"/>
    <n v="426.14"/>
  </r>
  <r>
    <s v="AD01-9361"/>
    <x v="3"/>
    <s v="Feb"/>
    <x v="1"/>
    <x v="1"/>
    <s v="Cancelld"/>
    <x v="1"/>
    <x v="1"/>
    <x v="2"/>
    <n v="226"/>
    <n v="323.18"/>
  </r>
  <r>
    <s v="AD01-9362"/>
    <x v="3"/>
    <s v="Feb"/>
    <x v="1"/>
    <x v="1"/>
    <s v="Cancelld"/>
    <x v="1"/>
    <x v="1"/>
    <x v="2"/>
    <n v="274"/>
    <n v="391.82"/>
  </r>
  <r>
    <s v="AD01-9362"/>
    <x v="3"/>
    <s v="Feb"/>
    <x v="1"/>
    <x v="1"/>
    <s v="Cancelld"/>
    <x v="1"/>
    <x v="1"/>
    <x v="2"/>
    <n v="789"/>
    <n v="1128.27"/>
  </r>
  <r>
    <s v="AD01-9364"/>
    <x v="3"/>
    <s v="Feb"/>
    <x v="1"/>
    <x v="1"/>
    <s v="Cancelld"/>
    <x v="1"/>
    <x v="1"/>
    <x v="2"/>
    <n v="876"/>
    <n v="1252.68"/>
  </r>
  <r>
    <s v="AD01-9361"/>
    <x v="3"/>
    <s v="Feb"/>
    <x v="1"/>
    <x v="1"/>
    <s v="Cancelld"/>
    <x v="1"/>
    <x v="1"/>
    <x v="2"/>
    <n v="958"/>
    <n v="1369.94"/>
  </r>
  <r>
    <s v="AD01-9364"/>
    <x v="3"/>
    <s v="Feb"/>
    <x v="1"/>
    <x v="1"/>
    <s v="Cancelld"/>
    <x v="1"/>
    <x v="1"/>
    <x v="2"/>
    <n v="829"/>
    <n v="526.24"/>
  </r>
  <r>
    <s v="AD01-9362"/>
    <x v="3"/>
    <s v="Feb"/>
    <x v="1"/>
    <x v="1"/>
    <s v="Cancelld"/>
    <x v="1"/>
    <x v="1"/>
    <x v="2"/>
    <n v="273"/>
    <n v="390.39"/>
  </r>
  <r>
    <s v="AD01-9361"/>
    <x v="3"/>
    <s v="Feb"/>
    <x v="1"/>
    <x v="1"/>
    <s v="Cancelld"/>
    <x v="1"/>
    <x v="1"/>
    <x v="2"/>
    <n v="267"/>
    <n v="381.81"/>
  </r>
  <r>
    <s v="AD01-9362"/>
    <x v="3"/>
    <s v="Feb"/>
    <x v="1"/>
    <x v="1"/>
    <s v="Cancelld"/>
    <x v="1"/>
    <x v="1"/>
    <x v="2"/>
    <n v="301"/>
    <n v="430.43"/>
  </r>
  <r>
    <s v="AD01-9362"/>
    <x v="3"/>
    <s v="Feb"/>
    <x v="1"/>
    <x v="1"/>
    <s v="Cancelld"/>
    <x v="1"/>
    <x v="1"/>
    <x v="2"/>
    <n v="271"/>
    <n v="387.53"/>
  </r>
  <r>
    <s v="AD01-9362"/>
    <x v="3"/>
    <s v="Feb"/>
    <x v="1"/>
    <x v="1"/>
    <s v="Cancelld"/>
    <x v="1"/>
    <x v="1"/>
    <x v="2"/>
    <n v="798"/>
    <n v="1141.1399999999999"/>
  </r>
  <r>
    <s v="AD01-9361"/>
    <x v="3"/>
    <s v="Feb"/>
    <x v="1"/>
    <x v="1"/>
    <s v="Cancelld"/>
    <x v="1"/>
    <x v="1"/>
    <x v="2"/>
    <n v="851"/>
    <n v="1216.93"/>
  </r>
  <r>
    <s v="AD01-9361"/>
    <x v="3"/>
    <s v="Jan"/>
    <x v="1"/>
    <x v="1"/>
    <s v="Cancelld"/>
    <x v="1"/>
    <x v="1"/>
    <x v="2"/>
    <n v="302"/>
    <n v="431.86"/>
  </r>
  <r>
    <s v="AD01-9362"/>
    <x v="3"/>
    <s v="Jan"/>
    <x v="1"/>
    <x v="1"/>
    <s v="Cancelld"/>
    <x v="1"/>
    <x v="1"/>
    <x v="2"/>
    <n v="230"/>
    <n v="328.9"/>
  </r>
  <r>
    <s v="AD01-9364"/>
    <x v="3"/>
    <s v="Jan"/>
    <x v="1"/>
    <x v="1"/>
    <s v="Cancelld"/>
    <x v="1"/>
    <x v="1"/>
    <x v="2"/>
    <n v="278"/>
    <n v="397.53999999999996"/>
  </r>
  <r>
    <s v="AD01-9361"/>
    <x v="3"/>
    <s v="Jan"/>
    <x v="1"/>
    <x v="1"/>
    <s v="Cancelld"/>
    <x v="1"/>
    <x v="1"/>
    <x v="2"/>
    <n v="304"/>
    <n v="434.72"/>
  </r>
  <r>
    <s v="AD01-9361"/>
    <x v="3"/>
    <s v="Jan"/>
    <x v="1"/>
    <x v="1"/>
    <s v="Cancelld"/>
    <x v="1"/>
    <x v="1"/>
    <x v="2"/>
    <n v="232"/>
    <n v="331.76"/>
  </r>
  <r>
    <s v="AD01-9362"/>
    <x v="3"/>
    <s v="Jan"/>
    <x v="1"/>
    <x v="1"/>
    <s v="Cancelld"/>
    <x v="1"/>
    <x v="1"/>
    <x v="2"/>
    <n v="788"/>
    <n v="1126.8399999999999"/>
  </r>
  <r>
    <s v="AD01-9362"/>
    <x v="3"/>
    <s v="Jan"/>
    <x v="1"/>
    <x v="1"/>
    <s v="Cancelld"/>
    <x v="1"/>
    <x v="1"/>
    <x v="2"/>
    <n v="842"/>
    <n v="1204.06"/>
  </r>
  <r>
    <s v="AD01-9361"/>
    <x v="3"/>
    <s v="Jan"/>
    <x v="1"/>
    <x v="1"/>
    <s v="Cancelld"/>
    <x v="1"/>
    <x v="1"/>
    <x v="2"/>
    <n v="875"/>
    <n v="1251.25"/>
  </r>
  <r>
    <s v="AD01-9363"/>
    <x v="3"/>
    <s v="Jan"/>
    <x v="1"/>
    <x v="1"/>
    <s v="Cancelld"/>
    <x v="1"/>
    <x v="1"/>
    <x v="2"/>
    <n v="955"/>
    <n v="1365.65"/>
  </r>
  <r>
    <s v="AD01-9362"/>
    <x v="3"/>
    <s v="Jan"/>
    <x v="1"/>
    <x v="1"/>
    <s v="Cancelld"/>
    <x v="1"/>
    <x v="1"/>
    <x v="2"/>
    <n v="956"/>
    <n v="1367.08"/>
  </r>
  <r>
    <s v="AD01-9362"/>
    <x v="3"/>
    <s v="Jan"/>
    <x v="1"/>
    <x v="1"/>
    <s v="Cancelld"/>
    <x v="1"/>
    <x v="1"/>
    <x v="2"/>
    <n v="957"/>
    <n v="1368.51"/>
  </r>
  <r>
    <s v="AD01-9361"/>
    <x v="3"/>
    <s v="Jan"/>
    <x v="1"/>
    <x v="1"/>
    <s v="Cancelld"/>
    <x v="1"/>
    <x v="1"/>
    <x v="2"/>
    <n v="828"/>
    <n v="526.24"/>
  </r>
  <r>
    <s v="AD01-9362"/>
    <x v="3"/>
    <s v="Jan"/>
    <x v="1"/>
    <x v="1"/>
    <s v="Cancelld"/>
    <x v="1"/>
    <x v="1"/>
    <x v="2"/>
    <n v="881"/>
    <n v="526.24"/>
  </r>
  <r>
    <s v="AD01-9362"/>
    <x v="3"/>
    <s v="Jan"/>
    <x v="1"/>
    <x v="1"/>
    <s v="Cancelld"/>
    <x v="1"/>
    <x v="1"/>
    <x v="2"/>
    <n v="279"/>
    <n v="398.97"/>
  </r>
  <r>
    <s v="AD01-9361"/>
    <x v="3"/>
    <s v="Jan"/>
    <x v="1"/>
    <x v="1"/>
    <s v="Cancelld"/>
    <x v="1"/>
    <x v="1"/>
    <x v="2"/>
    <n v="285"/>
    <n v="407.55"/>
  </r>
  <r>
    <s v="AD01-9362"/>
    <x v="3"/>
    <s v="Jan"/>
    <x v="1"/>
    <x v="1"/>
    <s v="Cancelld"/>
    <x v="1"/>
    <x v="1"/>
    <x v="2"/>
    <n v="279"/>
    <n v="398.97"/>
  </r>
  <r>
    <s v="AD01-9362"/>
    <x v="3"/>
    <s v="Jan"/>
    <x v="1"/>
    <x v="1"/>
    <s v="Cancelld"/>
    <x v="1"/>
    <x v="1"/>
    <x v="2"/>
    <n v="273"/>
    <n v="390.39"/>
  </r>
  <r>
    <s v="AD01-9362"/>
    <x v="3"/>
    <s v="Jan"/>
    <x v="1"/>
    <x v="1"/>
    <s v="Cancelld"/>
    <x v="1"/>
    <x v="1"/>
    <x v="2"/>
    <n v="229"/>
    <n v="327.47000000000003"/>
  </r>
  <r>
    <s v="AD01-9361"/>
    <x v="3"/>
    <s v="Jan"/>
    <x v="1"/>
    <x v="1"/>
    <s v="Cancelld"/>
    <x v="1"/>
    <x v="1"/>
    <x v="2"/>
    <n v="277"/>
    <n v="396.11"/>
  </r>
  <r>
    <s v="AD01-9364"/>
    <x v="3"/>
    <s v="Jan"/>
    <x v="1"/>
    <x v="1"/>
    <s v="Cancelld"/>
    <x v="1"/>
    <x v="1"/>
    <x v="2"/>
    <n v="797"/>
    <n v="1139.71"/>
  </r>
  <r>
    <s v="AD01-9363"/>
    <x v="3"/>
    <s v="Jan"/>
    <x v="1"/>
    <x v="1"/>
    <s v="Cancelld"/>
    <x v="1"/>
    <x v="1"/>
    <x v="2"/>
    <n v="850"/>
    <n v="1215.5"/>
  </r>
  <r>
    <s v="AD01-9361"/>
    <x v="3"/>
    <s v="Jan"/>
    <x v="1"/>
    <x v="1"/>
    <s v="Cancelld"/>
    <x v="1"/>
    <x v="1"/>
    <x v="2"/>
    <n v="884"/>
    <n v="1264.1199999999999"/>
  </r>
  <r>
    <s v="AD01-9364"/>
    <x v="3"/>
    <s v="Jul"/>
    <x v="1"/>
    <x v="1"/>
    <s v="Cancelld"/>
    <x v="1"/>
    <x v="1"/>
    <x v="2"/>
    <n v="272"/>
    <n v="388.96"/>
  </r>
  <r>
    <s v="AD01-9364"/>
    <x v="3"/>
    <s v="Jul"/>
    <x v="1"/>
    <x v="1"/>
    <s v="Cancelld"/>
    <x v="1"/>
    <x v="1"/>
    <x v="2"/>
    <n v="274"/>
    <n v="391.82"/>
  </r>
  <r>
    <s v="AD01-9364"/>
    <x v="3"/>
    <s v="Jul"/>
    <x v="1"/>
    <x v="1"/>
    <s v="Cancelld"/>
    <x v="1"/>
    <x v="1"/>
    <x v="2"/>
    <n v="244"/>
    <n v="348.92"/>
  </r>
  <r>
    <s v="AD01-9362"/>
    <x v="3"/>
    <s v="Jul"/>
    <x v="1"/>
    <x v="1"/>
    <s v="Cancelld"/>
    <x v="1"/>
    <x v="1"/>
    <x v="2"/>
    <n v="794"/>
    <n v="1135.42"/>
  </r>
  <r>
    <s v="AD01-9362"/>
    <x v="3"/>
    <s v="Jul"/>
    <x v="1"/>
    <x v="1"/>
    <s v="Cancelld"/>
    <x v="1"/>
    <x v="1"/>
    <x v="2"/>
    <n v="880"/>
    <n v="1258.4000000000001"/>
  </r>
  <r>
    <s v="AD01-9362"/>
    <x v="3"/>
    <s v="Jul"/>
    <x v="1"/>
    <x v="1"/>
    <s v="Cancelld"/>
    <x v="1"/>
    <x v="1"/>
    <x v="2"/>
    <n v="833"/>
    <n v="526.24"/>
  </r>
  <r>
    <s v="AD01-9362"/>
    <x v="3"/>
    <s v="Jul"/>
    <x v="1"/>
    <x v="1"/>
    <s v="Cancelld"/>
    <x v="1"/>
    <x v="1"/>
    <x v="2"/>
    <n v="243"/>
    <n v="347.49"/>
  </r>
  <r>
    <s v="AD01-9364"/>
    <x v="3"/>
    <s v="Jul"/>
    <x v="1"/>
    <x v="1"/>
    <s v="Cancelld"/>
    <x v="1"/>
    <x v="1"/>
    <x v="2"/>
    <n v="271"/>
    <n v="387.53"/>
  </r>
  <r>
    <s v="AD01-9364"/>
    <x v="3"/>
    <s v="Jul"/>
    <x v="1"/>
    <x v="1"/>
    <s v="Cancelld"/>
    <x v="1"/>
    <x v="1"/>
    <x v="2"/>
    <n v="247"/>
    <n v="353.21"/>
  </r>
  <r>
    <s v="AD01-9364"/>
    <x v="3"/>
    <s v="Jul"/>
    <x v="1"/>
    <x v="1"/>
    <s v="Cancelld"/>
    <x v="1"/>
    <x v="1"/>
    <x v="2"/>
    <n v="245"/>
    <n v="350.35"/>
  </r>
  <r>
    <s v="AD01-9365"/>
    <x v="3"/>
    <s v="Jun"/>
    <x v="1"/>
    <x v="1"/>
    <s v="Cancelld"/>
    <x v="1"/>
    <x v="1"/>
    <x v="2"/>
    <n v="278"/>
    <n v="397.53999999999996"/>
  </r>
  <r>
    <s v="AD01-9361"/>
    <x v="3"/>
    <s v="Jun"/>
    <x v="1"/>
    <x v="1"/>
    <s v="Cancelld"/>
    <x v="1"/>
    <x v="1"/>
    <x v="2"/>
    <n v="248"/>
    <n v="354.64"/>
  </r>
  <r>
    <s v="AD01-9364"/>
    <x v="3"/>
    <s v="Jun"/>
    <x v="1"/>
    <x v="1"/>
    <s v="Cancelld"/>
    <x v="1"/>
    <x v="1"/>
    <x v="2"/>
    <n v="280"/>
    <n v="400.4"/>
  </r>
  <r>
    <s v="AD01-9361"/>
    <x v="3"/>
    <s v="Jun"/>
    <x v="1"/>
    <x v="1"/>
    <s v="Cancelld"/>
    <x v="1"/>
    <x v="1"/>
    <x v="2"/>
    <n v="250"/>
    <n v="357.5"/>
  </r>
  <r>
    <s v="AD01-9362"/>
    <x v="3"/>
    <s v="Jun"/>
    <x v="1"/>
    <x v="1"/>
    <s v="Cancelld"/>
    <x v="1"/>
    <x v="1"/>
    <x v="2"/>
    <n v="793"/>
    <n v="1133.99"/>
  </r>
  <r>
    <s v="AD01-9361"/>
    <x v="3"/>
    <s v="Jun"/>
    <x v="1"/>
    <x v="1"/>
    <s v="Cancelld"/>
    <x v="1"/>
    <x v="1"/>
    <x v="2"/>
    <n v="879"/>
    <n v="1256.97"/>
  </r>
  <r>
    <s v="AD01-9361"/>
    <x v="3"/>
    <s v="Jun"/>
    <x v="1"/>
    <x v="1"/>
    <s v="Cancelld"/>
    <x v="1"/>
    <x v="1"/>
    <x v="2"/>
    <n v="832"/>
    <n v="526.24"/>
  </r>
  <r>
    <s v="AD01-9362"/>
    <x v="3"/>
    <s v="Jun"/>
    <x v="1"/>
    <x v="1"/>
    <s v="Cancelld"/>
    <x v="1"/>
    <x v="1"/>
    <x v="2"/>
    <n v="249"/>
    <n v="356.07"/>
  </r>
  <r>
    <s v="AD01-9361"/>
    <x v="3"/>
    <s v="Jun"/>
    <x v="1"/>
    <x v="1"/>
    <s v="Cancelld"/>
    <x v="1"/>
    <x v="1"/>
    <x v="2"/>
    <n v="277"/>
    <n v="396.11"/>
  </r>
  <r>
    <s v="AD01-9364"/>
    <x v="3"/>
    <s v="Jun"/>
    <x v="1"/>
    <x v="1"/>
    <s v="Cancelld"/>
    <x v="1"/>
    <x v="1"/>
    <x v="2"/>
    <n v="253"/>
    <n v="361.78999999999996"/>
  </r>
  <r>
    <s v="AD01-9361"/>
    <x v="3"/>
    <s v="Jun"/>
    <x v="1"/>
    <x v="1"/>
    <s v="Cancelld"/>
    <x v="1"/>
    <x v="1"/>
    <x v="2"/>
    <n v="802"/>
    <n v="1146.8600000000001"/>
  </r>
  <r>
    <s v="AD01-9365"/>
    <x v="3"/>
    <s v="Jun"/>
    <x v="1"/>
    <x v="1"/>
    <s v="Cancelld"/>
    <x v="1"/>
    <x v="1"/>
    <x v="2"/>
    <n v="251"/>
    <n v="358.93"/>
  </r>
  <r>
    <s v="AD01-9364"/>
    <x v="3"/>
    <s v="Mar"/>
    <x v="1"/>
    <x v="1"/>
    <s v="Cancelld"/>
    <x v="1"/>
    <x v="1"/>
    <x v="2"/>
    <n v="296"/>
    <n v="423.28"/>
  </r>
  <r>
    <s v="AD01-9364"/>
    <x v="3"/>
    <s v="Mar"/>
    <x v="1"/>
    <x v="1"/>
    <s v="Cancelld"/>
    <x v="1"/>
    <x v="1"/>
    <x v="2"/>
    <n v="266"/>
    <n v="380.38"/>
  </r>
  <r>
    <s v="AD01-9362"/>
    <x v="3"/>
    <s v="Mar"/>
    <x v="1"/>
    <x v="1"/>
    <s v="Cancelld"/>
    <x v="1"/>
    <x v="1"/>
    <x v="2"/>
    <n v="292"/>
    <n v="417.56"/>
  </r>
  <r>
    <s v="AD01-9364"/>
    <x v="3"/>
    <s v="Mar"/>
    <x v="1"/>
    <x v="1"/>
    <s v="Cancelld"/>
    <x v="1"/>
    <x v="1"/>
    <x v="2"/>
    <n v="268"/>
    <n v="383.24"/>
  </r>
  <r>
    <s v="AD01-9364"/>
    <x v="3"/>
    <s v="Mar"/>
    <x v="1"/>
    <x v="1"/>
    <s v="Cancelld"/>
    <x v="1"/>
    <x v="1"/>
    <x v="2"/>
    <n v="790"/>
    <n v="1129.7"/>
  </r>
  <r>
    <s v="AD01-9362"/>
    <x v="3"/>
    <s v="Mar"/>
    <x v="1"/>
    <x v="1"/>
    <s v="Cancelld"/>
    <x v="1"/>
    <x v="1"/>
    <x v="2"/>
    <n v="877"/>
    <n v="1254.1100000000001"/>
  </r>
  <r>
    <s v="AD01-9362"/>
    <x v="3"/>
    <s v="Mar"/>
    <x v="1"/>
    <x v="1"/>
    <s v="Cancelld"/>
    <x v="1"/>
    <x v="1"/>
    <x v="2"/>
    <n v="830"/>
    <n v="526.24"/>
  </r>
  <r>
    <s v="AD01-9364"/>
    <x v="3"/>
    <s v="Mar"/>
    <x v="1"/>
    <x v="1"/>
    <s v="Cancelld"/>
    <x v="1"/>
    <x v="1"/>
    <x v="2"/>
    <n v="267"/>
    <n v="381.81"/>
  </r>
  <r>
    <s v="AD01-9364"/>
    <x v="3"/>
    <s v="Mar"/>
    <x v="1"/>
    <x v="1"/>
    <s v="Cancelld"/>
    <x v="1"/>
    <x v="1"/>
    <x v="2"/>
    <n v="295"/>
    <n v="421.85"/>
  </r>
  <r>
    <s v="AD01-9362"/>
    <x v="3"/>
    <s v="Mar"/>
    <x v="1"/>
    <x v="1"/>
    <s v="Cancelld"/>
    <x v="1"/>
    <x v="1"/>
    <x v="2"/>
    <n v="265"/>
    <n v="378.95"/>
  </r>
  <r>
    <s v="AD01-9364"/>
    <x v="3"/>
    <s v="Mar"/>
    <x v="1"/>
    <x v="1"/>
    <s v="Cancelld"/>
    <x v="1"/>
    <x v="1"/>
    <x v="2"/>
    <n v="799"/>
    <n v="1142.57"/>
  </r>
  <r>
    <s v="AD01-9364"/>
    <x v="3"/>
    <s v="Mar"/>
    <x v="1"/>
    <x v="1"/>
    <s v="Cancelld"/>
    <x v="1"/>
    <x v="1"/>
    <x v="2"/>
    <n v="885"/>
    <n v="1265.55"/>
  </r>
  <r>
    <s v="AD01-9362"/>
    <x v="3"/>
    <s v="May"/>
    <x v="1"/>
    <x v="1"/>
    <s v="Cancelld"/>
    <x v="1"/>
    <x v="1"/>
    <x v="2"/>
    <n v="284"/>
    <n v="406.12"/>
  </r>
  <r>
    <s v="AD01-9364"/>
    <x v="3"/>
    <s v="May"/>
    <x v="1"/>
    <x v="1"/>
    <s v="Cancelld"/>
    <x v="1"/>
    <x v="1"/>
    <x v="2"/>
    <n v="254"/>
    <n v="363.22"/>
  </r>
  <r>
    <s v="AD01-9362"/>
    <x v="3"/>
    <s v="May"/>
    <x v="1"/>
    <x v="1"/>
    <s v="Cancelld"/>
    <x v="1"/>
    <x v="1"/>
    <x v="2"/>
    <n v="256"/>
    <n v="366.08"/>
  </r>
  <r>
    <s v="AD01-9362"/>
    <x v="3"/>
    <s v="May"/>
    <x v="1"/>
    <x v="1"/>
    <s v="Cancelld"/>
    <x v="1"/>
    <x v="1"/>
    <x v="2"/>
    <n v="792"/>
    <n v="1132.56"/>
  </r>
  <r>
    <s v="AD01-9362"/>
    <x v="3"/>
    <s v="May"/>
    <x v="1"/>
    <x v="1"/>
    <s v="Cancelld"/>
    <x v="1"/>
    <x v="1"/>
    <x v="2"/>
    <n v="878"/>
    <n v="1255.54"/>
  </r>
  <r>
    <s v="AD01-9362"/>
    <x v="3"/>
    <s v="May"/>
    <x v="1"/>
    <x v="1"/>
    <s v="Cancelld"/>
    <x v="1"/>
    <x v="1"/>
    <x v="2"/>
    <n v="831"/>
    <n v="526.24"/>
  </r>
  <r>
    <s v="AD01-9362"/>
    <x v="3"/>
    <s v="May"/>
    <x v="1"/>
    <x v="1"/>
    <s v="Cancelld"/>
    <x v="1"/>
    <x v="1"/>
    <x v="2"/>
    <n v="255"/>
    <n v="364.65"/>
  </r>
  <r>
    <s v="AD01-9362"/>
    <x v="3"/>
    <s v="May"/>
    <x v="1"/>
    <x v="1"/>
    <s v="Cancelld"/>
    <x v="1"/>
    <x v="1"/>
    <x v="2"/>
    <n v="283"/>
    <n v="404.69"/>
  </r>
  <r>
    <s v="AD01-9364"/>
    <x v="3"/>
    <s v="May"/>
    <x v="1"/>
    <x v="1"/>
    <s v="Cancelld"/>
    <x v="1"/>
    <x v="1"/>
    <x v="2"/>
    <n v="801"/>
    <n v="1145.43"/>
  </r>
  <r>
    <s v="AD01-9362"/>
    <x v="3"/>
    <s v="May"/>
    <x v="1"/>
    <x v="1"/>
    <s v="Cancelld"/>
    <x v="1"/>
    <x v="1"/>
    <x v="2"/>
    <n v="257"/>
    <n v="367.51"/>
  </r>
  <r>
    <s v="AD01-9361"/>
    <x v="3"/>
    <s v="Nov"/>
    <x v="1"/>
    <x v="1"/>
    <s v="Cancelld"/>
    <x v="1"/>
    <x v="1"/>
    <x v="2"/>
    <n v="224"/>
    <n v="320.32"/>
  </r>
  <r>
    <s v="AD01-9361"/>
    <x v="3"/>
    <s v="Nov"/>
    <x v="1"/>
    <x v="1"/>
    <s v="Cancelld"/>
    <x v="1"/>
    <x v="1"/>
    <x v="2"/>
    <n v="250"/>
    <n v="357.5"/>
  </r>
  <r>
    <s v="AD01-9361"/>
    <x v="3"/>
    <s v="Nov"/>
    <x v="1"/>
    <x v="1"/>
    <s v="Cancelld"/>
    <x v="1"/>
    <x v="1"/>
    <x v="2"/>
    <n v="226"/>
    <n v="323.18"/>
  </r>
  <r>
    <s v="AD01-9361"/>
    <x v="3"/>
    <s v="Nov"/>
    <x v="1"/>
    <x v="1"/>
    <s v="Cancelld"/>
    <x v="1"/>
    <x v="1"/>
    <x v="2"/>
    <n v="797"/>
    <n v="1139.71"/>
  </r>
  <r>
    <s v="AD01-9361"/>
    <x v="3"/>
    <s v="Nov"/>
    <x v="1"/>
    <x v="1"/>
    <s v="Cancelld"/>
    <x v="1"/>
    <x v="1"/>
    <x v="2"/>
    <n v="884"/>
    <n v="1264.1199999999999"/>
  </r>
  <r>
    <s v="AD01-9361"/>
    <x v="3"/>
    <s v="Nov"/>
    <x v="1"/>
    <x v="1"/>
    <s v="Cancelld"/>
    <x v="1"/>
    <x v="1"/>
    <x v="2"/>
    <n v="837"/>
    <n v="526.24"/>
  </r>
  <r>
    <s v="AD01-9361"/>
    <x v="3"/>
    <s v="Nov"/>
    <x v="1"/>
    <x v="1"/>
    <s v="Cancelld"/>
    <x v="1"/>
    <x v="1"/>
    <x v="2"/>
    <n v="225"/>
    <n v="321.75"/>
  </r>
  <r>
    <s v="AD01-9361"/>
    <x v="3"/>
    <s v="Nov"/>
    <x v="1"/>
    <x v="1"/>
    <s v="Cancelld"/>
    <x v="1"/>
    <x v="1"/>
    <x v="2"/>
    <n v="253"/>
    <n v="361.78999999999996"/>
  </r>
  <r>
    <s v="AD01-9361"/>
    <x v="3"/>
    <s v="Nov"/>
    <x v="1"/>
    <x v="1"/>
    <s v="Cancelld"/>
    <x v="1"/>
    <x v="1"/>
    <x v="2"/>
    <n v="223"/>
    <n v="318.89"/>
  </r>
  <r>
    <s v="AD01-9361"/>
    <x v="3"/>
    <s v="Nov"/>
    <x v="1"/>
    <x v="1"/>
    <s v="Cancelld"/>
    <x v="1"/>
    <x v="1"/>
    <x v="2"/>
    <n v="806"/>
    <n v="1152.58"/>
  </r>
  <r>
    <s v="AD01-9362"/>
    <x v="3"/>
    <s v="Oct"/>
    <x v="1"/>
    <x v="1"/>
    <s v="Cancelld"/>
    <x v="1"/>
    <x v="1"/>
    <x v="2"/>
    <n v="254"/>
    <n v="363.22"/>
  </r>
  <r>
    <s v="AD01-9362"/>
    <x v="3"/>
    <s v="Oct"/>
    <x v="1"/>
    <x v="1"/>
    <s v="Cancelld"/>
    <x v="1"/>
    <x v="1"/>
    <x v="2"/>
    <n v="230"/>
    <n v="328.9"/>
  </r>
  <r>
    <s v="AD01-9362"/>
    <x v="3"/>
    <s v="Oct"/>
    <x v="1"/>
    <x v="1"/>
    <s v="Cancelld"/>
    <x v="1"/>
    <x v="1"/>
    <x v="2"/>
    <n v="256"/>
    <n v="366.08"/>
  </r>
  <r>
    <s v="AD01-9362"/>
    <x v="3"/>
    <s v="Oct"/>
    <x v="1"/>
    <x v="1"/>
    <s v="Cancelld"/>
    <x v="1"/>
    <x v="1"/>
    <x v="2"/>
    <n v="796"/>
    <n v="1138.28"/>
  </r>
  <r>
    <s v="AD01-9361"/>
    <x v="3"/>
    <s v="Oct"/>
    <x v="1"/>
    <x v="1"/>
    <s v="Cancelld"/>
    <x v="1"/>
    <x v="1"/>
    <x v="2"/>
    <n v="883"/>
    <n v="1262.69"/>
  </r>
  <r>
    <s v="AD01-9361"/>
    <x v="3"/>
    <s v="Oct"/>
    <x v="1"/>
    <x v="1"/>
    <s v="Cancelld"/>
    <x v="1"/>
    <x v="1"/>
    <x v="2"/>
    <n v="836"/>
    <n v="526.24"/>
  </r>
  <r>
    <s v="AD01-9362"/>
    <x v="3"/>
    <s v="Oct"/>
    <x v="1"/>
    <x v="1"/>
    <s v="Cancelld"/>
    <x v="1"/>
    <x v="1"/>
    <x v="2"/>
    <n v="231"/>
    <n v="330.33"/>
  </r>
  <r>
    <s v="AD01-9362"/>
    <x v="3"/>
    <s v="Oct"/>
    <x v="1"/>
    <x v="1"/>
    <s v="Cancelld"/>
    <x v="1"/>
    <x v="1"/>
    <x v="2"/>
    <n v="229"/>
    <n v="327.47000000000003"/>
  </r>
  <r>
    <s v="AD01-9362"/>
    <x v="3"/>
    <s v="Oct"/>
    <x v="1"/>
    <x v="1"/>
    <s v="Cancelld"/>
    <x v="1"/>
    <x v="1"/>
    <x v="2"/>
    <n v="805"/>
    <n v="1151.1500000000001"/>
  </r>
  <r>
    <s v="AD01-9362"/>
    <x v="3"/>
    <s v="Oct"/>
    <x v="1"/>
    <x v="1"/>
    <s v="Cancelld"/>
    <x v="1"/>
    <x v="1"/>
    <x v="2"/>
    <n v="227"/>
    <n v="324.61"/>
  </r>
  <r>
    <s v="AD01-9364"/>
    <x v="3"/>
    <s v="Sep"/>
    <x v="1"/>
    <x v="1"/>
    <s v="Cancelld"/>
    <x v="1"/>
    <x v="1"/>
    <x v="2"/>
    <n v="260"/>
    <n v="371.8"/>
  </r>
  <r>
    <s v="AD01-9361"/>
    <x v="3"/>
    <s v="Sep"/>
    <x v="1"/>
    <x v="1"/>
    <s v="Cancelld"/>
    <x v="1"/>
    <x v="1"/>
    <x v="2"/>
    <n v="236"/>
    <n v="337.48"/>
  </r>
  <r>
    <s v="AD01-9362"/>
    <x v="3"/>
    <s v="Sep"/>
    <x v="1"/>
    <x v="1"/>
    <s v="Cancelld"/>
    <x v="1"/>
    <x v="1"/>
    <x v="2"/>
    <n v="262"/>
    <n v="374.65999999999997"/>
  </r>
  <r>
    <s v="AD01-9365"/>
    <x v="3"/>
    <s v="Sep"/>
    <x v="1"/>
    <x v="1"/>
    <s v="Cancelld"/>
    <x v="1"/>
    <x v="1"/>
    <x v="2"/>
    <n v="232"/>
    <n v="331.76"/>
  </r>
  <r>
    <s v="AD01-9361"/>
    <x v="3"/>
    <s v="Sep"/>
    <x v="1"/>
    <x v="1"/>
    <s v="Cancelld"/>
    <x v="1"/>
    <x v="1"/>
    <x v="2"/>
    <n v="795"/>
    <n v="1136.8499999999999"/>
  </r>
  <r>
    <s v="AD01-9362"/>
    <x v="3"/>
    <s v="Sep"/>
    <x v="1"/>
    <x v="1"/>
    <s v="Cancelld"/>
    <x v="1"/>
    <x v="1"/>
    <x v="2"/>
    <n v="882"/>
    <n v="1261.26"/>
  </r>
  <r>
    <s v="AD01-9362"/>
    <x v="3"/>
    <s v="Sep"/>
    <x v="1"/>
    <x v="1"/>
    <s v="Cancelld"/>
    <x v="1"/>
    <x v="1"/>
    <x v="2"/>
    <n v="835"/>
    <n v="526.24"/>
  </r>
  <r>
    <s v="AD01-9361"/>
    <x v="3"/>
    <s v="Sep"/>
    <x v="1"/>
    <x v="1"/>
    <s v="Cancelld"/>
    <x v="1"/>
    <x v="1"/>
    <x v="2"/>
    <n v="237"/>
    <n v="338.90999999999997"/>
  </r>
  <r>
    <s v="AD01-9365"/>
    <x v="3"/>
    <s v="Sep"/>
    <x v="1"/>
    <x v="1"/>
    <s v="Cancelld"/>
    <x v="1"/>
    <x v="1"/>
    <x v="2"/>
    <n v="259"/>
    <n v="370.37"/>
  </r>
  <r>
    <s v="AD01-9362"/>
    <x v="3"/>
    <s v="Sep"/>
    <x v="1"/>
    <x v="1"/>
    <s v="Cancelld"/>
    <x v="1"/>
    <x v="1"/>
    <x v="2"/>
    <n v="235"/>
    <n v="336.05"/>
  </r>
  <r>
    <s v="AD01-9361"/>
    <x v="3"/>
    <s v="Sep"/>
    <x v="1"/>
    <x v="1"/>
    <s v="Cancelld"/>
    <x v="1"/>
    <x v="1"/>
    <x v="2"/>
    <n v="804"/>
    <n v="1149.72"/>
  </r>
  <r>
    <s v="AD01-9364"/>
    <x v="3"/>
    <s v="Sep"/>
    <x v="1"/>
    <x v="1"/>
    <s v="Cancelld"/>
    <x v="1"/>
    <x v="1"/>
    <x v="2"/>
    <n v="233"/>
    <n v="333.19"/>
  </r>
  <r>
    <s v="AD01-9362"/>
    <x v="4"/>
    <s v="Apr"/>
    <x v="0"/>
    <x v="0"/>
    <s v="Order assembled"/>
    <x v="0"/>
    <x v="0"/>
    <x v="1"/>
    <n v="302"/>
    <n v="462.06"/>
  </r>
  <r>
    <s v="AD01-9361"/>
    <x v="4"/>
    <s v="Apr"/>
    <x v="0"/>
    <x v="0"/>
    <s v="Order assembled"/>
    <x v="0"/>
    <x v="0"/>
    <x v="1"/>
    <n v="272"/>
    <n v="388.96"/>
  </r>
  <r>
    <s v="AD01-9362"/>
    <x v="4"/>
    <s v="Apr"/>
    <x v="0"/>
    <x v="0"/>
    <s v="Order assembled"/>
    <x v="0"/>
    <x v="0"/>
    <x v="1"/>
    <n v="298"/>
    <n v="426.14"/>
  </r>
  <r>
    <s v="AD01-9362"/>
    <x v="4"/>
    <s v="Apr"/>
    <x v="0"/>
    <x v="0"/>
    <s v="Order assembled"/>
    <x v="0"/>
    <x v="0"/>
    <x v="1"/>
    <n v="274"/>
    <n v="391.82"/>
  </r>
  <r>
    <s v="AD01-9361"/>
    <x v="4"/>
    <s v="Apr"/>
    <x v="0"/>
    <x v="0"/>
    <s v="Order assembled"/>
    <x v="0"/>
    <x v="0"/>
    <x v="1"/>
    <n v="666"/>
    <n v="952.38"/>
  </r>
  <r>
    <s v="AD01-9364"/>
    <x v="4"/>
    <s v="Apr"/>
    <x v="0"/>
    <x v="0"/>
    <s v="Order assembled"/>
    <x v="0"/>
    <x v="0"/>
    <x v="1"/>
    <n v="753"/>
    <n v="1076.79"/>
  </r>
  <r>
    <s v="AD01-9364"/>
    <x v="4"/>
    <s v="Apr"/>
    <x v="0"/>
    <x v="0"/>
    <s v="Order assembled"/>
    <x v="0"/>
    <x v="0"/>
    <x v="1"/>
    <n v="297"/>
    <n v="424.71"/>
  </r>
  <r>
    <s v="AD01-9361"/>
    <x v="4"/>
    <s v="Apr"/>
    <x v="0"/>
    <x v="0"/>
    <s v="Order assembled"/>
    <x v="0"/>
    <x v="0"/>
    <x v="1"/>
    <n v="792"/>
    <n v="526.24"/>
  </r>
  <r>
    <s v="AD01-9362"/>
    <x v="4"/>
    <s v="Apr"/>
    <x v="0"/>
    <x v="0"/>
    <s v="Order assembled"/>
    <x v="0"/>
    <x v="0"/>
    <x v="1"/>
    <n v="301"/>
    <n v="430.43"/>
  </r>
  <r>
    <s v="AD01-9362"/>
    <x v="4"/>
    <s v="Apr"/>
    <x v="0"/>
    <x v="0"/>
    <s v="Order assembled"/>
    <x v="0"/>
    <x v="0"/>
    <x v="1"/>
    <n v="271"/>
    <n v="387.53"/>
  </r>
  <r>
    <s v="AD01-9361"/>
    <x v="4"/>
    <s v="Apr"/>
    <x v="0"/>
    <x v="0"/>
    <s v="Order assembled"/>
    <x v="0"/>
    <x v="0"/>
    <x v="1"/>
    <n v="299"/>
    <n v="427.57"/>
  </r>
  <r>
    <s v="AD01-9362"/>
    <x v="4"/>
    <s v="Apr"/>
    <x v="0"/>
    <x v="0"/>
    <s v="Order assembled"/>
    <x v="0"/>
    <x v="0"/>
    <x v="1"/>
    <n v="761"/>
    <n v="1088.23"/>
  </r>
  <r>
    <s v="AD01-9361"/>
    <x v="4"/>
    <s v="Aug"/>
    <x v="0"/>
    <x v="0"/>
    <s v="Order assembled"/>
    <x v="0"/>
    <x v="0"/>
    <x v="1"/>
    <n v="278"/>
    <n v="425.34000000000003"/>
  </r>
  <r>
    <s v="AD01-9362"/>
    <x v="4"/>
    <s v="Aug"/>
    <x v="0"/>
    <x v="0"/>
    <s v="Order assembled"/>
    <x v="0"/>
    <x v="0"/>
    <x v="1"/>
    <n v="280"/>
    <n v="400.4"/>
  </r>
  <r>
    <s v="AD01-9361"/>
    <x v="4"/>
    <s v="Aug"/>
    <x v="0"/>
    <x v="0"/>
    <s v="Order assembled"/>
    <x v="0"/>
    <x v="0"/>
    <x v="1"/>
    <n v="250"/>
    <n v="357.5"/>
  </r>
  <r>
    <s v="AD01-9362"/>
    <x v="4"/>
    <s v="Aug"/>
    <x v="0"/>
    <x v="0"/>
    <s v="Order assembled"/>
    <x v="0"/>
    <x v="0"/>
    <x v="1"/>
    <n v="670"/>
    <n v="958.1"/>
  </r>
  <r>
    <s v="AD01-9361"/>
    <x v="4"/>
    <s v="Aug"/>
    <x v="0"/>
    <x v="0"/>
    <s v="Order assembled"/>
    <x v="0"/>
    <x v="0"/>
    <x v="1"/>
    <n v="756"/>
    <n v="1081.08"/>
  </r>
  <r>
    <s v="AD01-9361"/>
    <x v="4"/>
    <s v="Aug"/>
    <x v="0"/>
    <x v="0"/>
    <s v="Order assembled"/>
    <x v="0"/>
    <x v="0"/>
    <x v="1"/>
    <n v="279"/>
    <n v="398.97"/>
  </r>
  <r>
    <s v="AD01-9362"/>
    <x v="4"/>
    <s v="Aug"/>
    <x v="0"/>
    <x v="0"/>
    <s v="Order assembled"/>
    <x v="0"/>
    <x v="0"/>
    <x v="1"/>
    <n v="796"/>
    <n v="526.24"/>
  </r>
  <r>
    <s v="AD01-9361"/>
    <x v="4"/>
    <s v="Aug"/>
    <x v="0"/>
    <x v="0"/>
    <s v="Order assembled"/>
    <x v="0"/>
    <x v="0"/>
    <x v="1"/>
    <n v="277"/>
    <n v="396.11"/>
  </r>
  <r>
    <s v="AD01-9362"/>
    <x v="4"/>
    <s v="Aug"/>
    <x v="0"/>
    <x v="0"/>
    <s v="Order assembled"/>
    <x v="0"/>
    <x v="0"/>
    <x v="1"/>
    <n v="253"/>
    <n v="361.78999999999996"/>
  </r>
  <r>
    <s v="AD01-9361"/>
    <x v="4"/>
    <s v="Aug"/>
    <x v="0"/>
    <x v="0"/>
    <s v="Order assembled"/>
    <x v="0"/>
    <x v="0"/>
    <x v="1"/>
    <n v="765"/>
    <n v="1093.95"/>
  </r>
  <r>
    <s v="AD01-9361"/>
    <x v="4"/>
    <s v="Dec"/>
    <x v="0"/>
    <x v="0"/>
    <s v="Order assembled"/>
    <x v="0"/>
    <x v="0"/>
    <x v="1"/>
    <n v="230"/>
    <n v="328.9"/>
  </r>
  <r>
    <s v="AD01-9362"/>
    <x v="4"/>
    <s v="Dec"/>
    <x v="0"/>
    <x v="0"/>
    <s v="Order assembled"/>
    <x v="0"/>
    <x v="0"/>
    <x v="1"/>
    <n v="256"/>
    <n v="366.08"/>
  </r>
  <r>
    <s v="AD01-9363"/>
    <x v="4"/>
    <s v="Dec"/>
    <x v="0"/>
    <x v="0"/>
    <s v="Order assembled"/>
    <x v="0"/>
    <x v="0"/>
    <x v="1"/>
    <n v="232"/>
    <n v="331.76"/>
  </r>
  <r>
    <s v="AD01-9364"/>
    <x v="4"/>
    <s v="Dec"/>
    <x v="0"/>
    <x v="0"/>
    <s v="Order assembled"/>
    <x v="0"/>
    <x v="0"/>
    <x v="1"/>
    <n v="673"/>
    <n v="962.39"/>
  </r>
  <r>
    <s v="AD01-9362"/>
    <x v="4"/>
    <s v="Dec"/>
    <x v="0"/>
    <x v="0"/>
    <s v="Order assembled"/>
    <x v="0"/>
    <x v="0"/>
    <x v="1"/>
    <n v="760"/>
    <n v="1086.8"/>
  </r>
  <r>
    <s v="AD01-9362"/>
    <x v="4"/>
    <s v="Dec"/>
    <x v="0"/>
    <x v="0"/>
    <s v="Order assembled"/>
    <x v="0"/>
    <x v="0"/>
    <x v="1"/>
    <n v="255"/>
    <n v="364.65"/>
  </r>
  <r>
    <s v="AD01-9364"/>
    <x v="4"/>
    <s v="Dec"/>
    <x v="0"/>
    <x v="0"/>
    <s v="Order assembled"/>
    <x v="0"/>
    <x v="0"/>
    <x v="1"/>
    <n v="799"/>
    <n v="526.24"/>
  </r>
  <r>
    <s v="AD01-9363"/>
    <x v="4"/>
    <s v="Dec"/>
    <x v="0"/>
    <x v="0"/>
    <s v="Order assembled"/>
    <x v="0"/>
    <x v="0"/>
    <x v="1"/>
    <n v="259"/>
    <n v="370.37"/>
  </r>
  <r>
    <s v="AD01-9362"/>
    <x v="4"/>
    <s v="Dec"/>
    <x v="0"/>
    <x v="0"/>
    <s v="Order assembled"/>
    <x v="0"/>
    <x v="0"/>
    <x v="1"/>
    <n v="229"/>
    <n v="327.47000000000003"/>
  </r>
  <r>
    <s v="AD01-9361"/>
    <x v="4"/>
    <s v="Dec"/>
    <x v="0"/>
    <x v="0"/>
    <s v="Order assembled"/>
    <x v="0"/>
    <x v="0"/>
    <x v="1"/>
    <n v="257"/>
    <n v="367.51"/>
  </r>
  <r>
    <s v="AD01-9364"/>
    <x v="4"/>
    <s v="Feb"/>
    <x v="0"/>
    <x v="0"/>
    <s v="Order assembled"/>
    <x v="0"/>
    <x v="0"/>
    <x v="1"/>
    <n v="308"/>
    <n v="471.24"/>
  </r>
  <r>
    <s v="AD01-9361"/>
    <x v="4"/>
    <s v="Feb"/>
    <x v="0"/>
    <x v="0"/>
    <s v="Order assembled"/>
    <x v="0"/>
    <x v="0"/>
    <x v="1"/>
    <n v="284"/>
    <n v="406.12"/>
  </r>
  <r>
    <s v="AD01-9361"/>
    <x v="4"/>
    <s v="Feb"/>
    <x v="0"/>
    <x v="0"/>
    <s v="Order assembled"/>
    <x v="0"/>
    <x v="0"/>
    <x v="1"/>
    <n v="310"/>
    <n v="443.3"/>
  </r>
  <r>
    <s v="AD01-9362"/>
    <x v="4"/>
    <s v="Feb"/>
    <x v="0"/>
    <x v="0"/>
    <s v="Order assembled"/>
    <x v="0"/>
    <x v="0"/>
    <x v="1"/>
    <n v="664"/>
    <n v="949.52"/>
  </r>
  <r>
    <s v="AD01-9361"/>
    <x v="4"/>
    <s v="Feb"/>
    <x v="0"/>
    <x v="0"/>
    <s v="Order assembled"/>
    <x v="0"/>
    <x v="0"/>
    <x v="1"/>
    <n v="751"/>
    <n v="1073.93"/>
  </r>
  <r>
    <s v="AD01-9361"/>
    <x v="4"/>
    <s v="Feb"/>
    <x v="0"/>
    <x v="0"/>
    <s v="Order assembled"/>
    <x v="0"/>
    <x v="0"/>
    <x v="1"/>
    <n v="309"/>
    <n v="441.87"/>
  </r>
  <r>
    <s v="AD01-9362"/>
    <x v="4"/>
    <s v="Feb"/>
    <x v="0"/>
    <x v="0"/>
    <s v="Order assembled"/>
    <x v="0"/>
    <x v="0"/>
    <x v="1"/>
    <n v="790"/>
    <n v="526.24"/>
  </r>
  <r>
    <s v="AD01-9361"/>
    <x v="4"/>
    <s v="Feb"/>
    <x v="0"/>
    <x v="0"/>
    <s v="Order assembled"/>
    <x v="0"/>
    <x v="0"/>
    <x v="1"/>
    <n v="283"/>
    <n v="404.69"/>
  </r>
  <r>
    <s v="AD01-9361"/>
    <x v="4"/>
    <s v="Feb"/>
    <x v="0"/>
    <x v="0"/>
    <s v="Order assembled"/>
    <x v="0"/>
    <x v="0"/>
    <x v="1"/>
    <n v="311"/>
    <n v="444.73"/>
  </r>
  <r>
    <s v="AD01-9364"/>
    <x v="4"/>
    <s v="Feb"/>
    <x v="0"/>
    <x v="0"/>
    <s v="Order assembled"/>
    <x v="0"/>
    <x v="0"/>
    <x v="1"/>
    <n v="760"/>
    <n v="1086.8"/>
  </r>
  <r>
    <s v="AD01-9362"/>
    <x v="4"/>
    <s v="Jan"/>
    <x v="0"/>
    <x v="0"/>
    <s v="Order assembled"/>
    <x v="0"/>
    <x v="0"/>
    <x v="1"/>
    <n v="314"/>
    <n v="480.42"/>
  </r>
  <r>
    <s v="AD01-9362"/>
    <x v="4"/>
    <s v="Jan"/>
    <x v="0"/>
    <x v="0"/>
    <s v="Order assembled"/>
    <x v="0"/>
    <x v="0"/>
    <x v="1"/>
    <n v="290"/>
    <n v="414.7"/>
  </r>
  <r>
    <s v="AD01-9362"/>
    <x v="4"/>
    <s v="Jan"/>
    <x v="0"/>
    <x v="0"/>
    <s v="Order assembled"/>
    <x v="0"/>
    <x v="0"/>
    <x v="1"/>
    <n v="316"/>
    <n v="451.88"/>
  </r>
  <r>
    <s v="AD01-9363"/>
    <x v="4"/>
    <s v="Jan"/>
    <x v="0"/>
    <x v="0"/>
    <s v="Order assembled"/>
    <x v="0"/>
    <x v="0"/>
    <x v="1"/>
    <n v="286"/>
    <n v="408.98"/>
  </r>
  <r>
    <s v="AD01-9362"/>
    <x v="4"/>
    <s v="Jan"/>
    <x v="0"/>
    <x v="0"/>
    <s v="Order assembled"/>
    <x v="0"/>
    <x v="0"/>
    <x v="1"/>
    <n v="663"/>
    <n v="948.08999999999992"/>
  </r>
  <r>
    <s v="AD01-9362"/>
    <x v="4"/>
    <s v="Jan"/>
    <x v="0"/>
    <x v="0"/>
    <s v="Order assembled"/>
    <x v="0"/>
    <x v="0"/>
    <x v="1"/>
    <n v="750"/>
    <n v="1072.5"/>
  </r>
  <r>
    <s v="AD01-9362"/>
    <x v="4"/>
    <s v="Jan"/>
    <x v="0"/>
    <x v="0"/>
    <s v="Order assembled"/>
    <x v="0"/>
    <x v="0"/>
    <x v="1"/>
    <n v="315"/>
    <n v="450.45"/>
  </r>
  <r>
    <s v="AD01-9362"/>
    <x v="4"/>
    <s v="Jan"/>
    <x v="0"/>
    <x v="0"/>
    <s v="Order assembled"/>
    <x v="0"/>
    <x v="0"/>
    <x v="1"/>
    <n v="789"/>
    <n v="526.24"/>
  </r>
  <r>
    <s v="AD01-9363"/>
    <x v="4"/>
    <s v="Jan"/>
    <x v="0"/>
    <x v="0"/>
    <s v="Order assembled"/>
    <x v="0"/>
    <x v="0"/>
    <x v="1"/>
    <n v="313"/>
    <n v="447.59000000000003"/>
  </r>
  <r>
    <s v="AD01-9362"/>
    <x v="4"/>
    <s v="Jan"/>
    <x v="0"/>
    <x v="0"/>
    <s v="Order assembled"/>
    <x v="0"/>
    <x v="0"/>
    <x v="1"/>
    <n v="289"/>
    <n v="413.27"/>
  </r>
  <r>
    <s v="AD01-9362"/>
    <x v="4"/>
    <s v="Jan"/>
    <x v="0"/>
    <x v="0"/>
    <s v="Order assembled"/>
    <x v="0"/>
    <x v="0"/>
    <x v="1"/>
    <n v="317"/>
    <n v="453.31"/>
  </r>
  <r>
    <s v="AD01-9362"/>
    <x v="4"/>
    <s v="Jan"/>
    <x v="0"/>
    <x v="0"/>
    <s v="Order assembled"/>
    <x v="0"/>
    <x v="0"/>
    <x v="1"/>
    <n v="759"/>
    <n v="1085.3699999999999"/>
  </r>
  <r>
    <s v="AD01-9362"/>
    <x v="4"/>
    <s v="Jul"/>
    <x v="0"/>
    <x v="0"/>
    <s v="Order assembled"/>
    <x v="0"/>
    <x v="0"/>
    <x v="1"/>
    <n v="284"/>
    <n v="434.52"/>
  </r>
  <r>
    <s v="AD01-9362"/>
    <x v="4"/>
    <s v="Jul"/>
    <x v="0"/>
    <x v="0"/>
    <s v="Order assembled"/>
    <x v="0"/>
    <x v="0"/>
    <x v="1"/>
    <n v="254"/>
    <n v="363.22"/>
  </r>
  <r>
    <s v="AD01-9362"/>
    <x v="4"/>
    <s v="Jul"/>
    <x v="0"/>
    <x v="0"/>
    <s v="Order assembled"/>
    <x v="0"/>
    <x v="0"/>
    <x v="1"/>
    <n v="286"/>
    <n v="408.98"/>
  </r>
  <r>
    <s v="AD01-9361"/>
    <x v="4"/>
    <s v="Jul"/>
    <x v="0"/>
    <x v="0"/>
    <s v="Order assembled"/>
    <x v="0"/>
    <x v="0"/>
    <x v="1"/>
    <n v="256"/>
    <n v="366.08"/>
  </r>
  <r>
    <s v="AD01-9362"/>
    <x v="4"/>
    <s v="Jul"/>
    <x v="0"/>
    <x v="0"/>
    <s v="Order assembled"/>
    <x v="0"/>
    <x v="0"/>
    <x v="1"/>
    <n v="669"/>
    <n v="956.67000000000007"/>
  </r>
  <r>
    <s v="AD01-9361"/>
    <x v="4"/>
    <s v="Jul"/>
    <x v="0"/>
    <x v="0"/>
    <s v="Order assembled"/>
    <x v="0"/>
    <x v="0"/>
    <x v="1"/>
    <n v="755"/>
    <n v="1079.6500000000001"/>
  </r>
  <r>
    <s v="AD01-9361"/>
    <x v="4"/>
    <s v="Jul"/>
    <x v="0"/>
    <x v="0"/>
    <s v="Order assembled"/>
    <x v="0"/>
    <x v="0"/>
    <x v="1"/>
    <n v="285"/>
    <n v="407.55"/>
  </r>
  <r>
    <s v="AD01-9362"/>
    <x v="4"/>
    <s v="Jul"/>
    <x v="0"/>
    <x v="0"/>
    <s v="Order assembled"/>
    <x v="0"/>
    <x v="0"/>
    <x v="1"/>
    <n v="795"/>
    <n v="526.24"/>
  </r>
  <r>
    <s v="AD01-9361"/>
    <x v="4"/>
    <s v="Jul"/>
    <x v="0"/>
    <x v="0"/>
    <s v="Order assembled"/>
    <x v="0"/>
    <x v="0"/>
    <x v="1"/>
    <n v="283"/>
    <n v="404.69"/>
  </r>
  <r>
    <s v="AD01-9362"/>
    <x v="4"/>
    <s v="Jul"/>
    <x v="0"/>
    <x v="0"/>
    <s v="Order assembled"/>
    <x v="0"/>
    <x v="0"/>
    <x v="1"/>
    <n v="259"/>
    <n v="370.37"/>
  </r>
  <r>
    <s v="AD01-9362"/>
    <x v="4"/>
    <s v="Jul"/>
    <x v="0"/>
    <x v="0"/>
    <s v="Order assembled"/>
    <x v="0"/>
    <x v="0"/>
    <x v="1"/>
    <n v="281"/>
    <n v="401.83"/>
  </r>
  <r>
    <s v="AD01-9362"/>
    <x v="4"/>
    <s v="Jul"/>
    <x v="0"/>
    <x v="0"/>
    <s v="Order assembled"/>
    <x v="0"/>
    <x v="0"/>
    <x v="1"/>
    <n v="764"/>
    <n v="1092.52"/>
  </r>
  <r>
    <s v="AD01-9364"/>
    <x v="4"/>
    <s v="Jun"/>
    <x v="0"/>
    <x v="0"/>
    <s v="Order assembled"/>
    <x v="0"/>
    <x v="0"/>
    <x v="1"/>
    <n v="290"/>
    <n v="443.70000000000005"/>
  </r>
  <r>
    <s v="AD01-9364"/>
    <x v="4"/>
    <s v="Jun"/>
    <x v="0"/>
    <x v="0"/>
    <s v="Order assembled"/>
    <x v="0"/>
    <x v="0"/>
    <x v="1"/>
    <n v="260"/>
    <n v="371.8"/>
  </r>
  <r>
    <s v="AD01-9362"/>
    <x v="4"/>
    <s v="Jun"/>
    <x v="0"/>
    <x v="0"/>
    <s v="Order assembled"/>
    <x v="0"/>
    <x v="0"/>
    <x v="1"/>
    <n v="262"/>
    <n v="374.65999999999997"/>
  </r>
  <r>
    <s v="AD01-9364"/>
    <x v="4"/>
    <s v="Jun"/>
    <x v="0"/>
    <x v="0"/>
    <s v="Order assembled"/>
    <x v="0"/>
    <x v="0"/>
    <x v="1"/>
    <n v="668"/>
    <n v="955.24"/>
  </r>
  <r>
    <s v="AD01-9364"/>
    <x v="4"/>
    <s v="Jun"/>
    <x v="0"/>
    <x v="0"/>
    <s v="Order assembled"/>
    <x v="0"/>
    <x v="0"/>
    <x v="1"/>
    <n v="754"/>
    <n v="1078.22"/>
  </r>
  <r>
    <s v="AD01-9364"/>
    <x v="4"/>
    <s v="Jun"/>
    <x v="0"/>
    <x v="0"/>
    <s v="Order assembled"/>
    <x v="0"/>
    <x v="0"/>
    <x v="1"/>
    <n v="291"/>
    <n v="416.13"/>
  </r>
  <r>
    <s v="AD01-9364"/>
    <x v="4"/>
    <s v="Jun"/>
    <x v="0"/>
    <x v="0"/>
    <s v="Order assembled"/>
    <x v="0"/>
    <x v="0"/>
    <x v="1"/>
    <n v="794"/>
    <n v="526.24"/>
  </r>
  <r>
    <s v="AD01-9362"/>
    <x v="4"/>
    <s v="Jun"/>
    <x v="0"/>
    <x v="0"/>
    <s v="Order assembled"/>
    <x v="0"/>
    <x v="0"/>
    <x v="1"/>
    <n v="289"/>
    <n v="413.27"/>
  </r>
  <r>
    <s v="AD01-9364"/>
    <x v="4"/>
    <s v="Jun"/>
    <x v="0"/>
    <x v="0"/>
    <s v="Order assembled"/>
    <x v="0"/>
    <x v="0"/>
    <x v="1"/>
    <n v="287"/>
    <n v="410.40999999999997"/>
  </r>
  <r>
    <s v="AD01-9364"/>
    <x v="4"/>
    <s v="Jun"/>
    <x v="0"/>
    <x v="0"/>
    <s v="Order assembled"/>
    <x v="0"/>
    <x v="0"/>
    <x v="1"/>
    <n v="763"/>
    <n v="1091.0899999999999"/>
  </r>
  <r>
    <s v="AD01-9361"/>
    <x v="4"/>
    <s v="Mar"/>
    <x v="0"/>
    <x v="0"/>
    <s v="Order assembled"/>
    <x v="0"/>
    <x v="0"/>
    <x v="1"/>
    <n v="278"/>
    <n v="397.53999999999996"/>
  </r>
  <r>
    <s v="AD01-9362"/>
    <x v="4"/>
    <s v="Mar"/>
    <x v="0"/>
    <x v="0"/>
    <s v="Order assembled"/>
    <x v="0"/>
    <x v="0"/>
    <x v="1"/>
    <n v="304"/>
    <n v="434.72"/>
  </r>
  <r>
    <s v="AD01-9362"/>
    <x v="4"/>
    <s v="Mar"/>
    <x v="0"/>
    <x v="0"/>
    <s v="Order assembled"/>
    <x v="0"/>
    <x v="0"/>
    <x v="1"/>
    <n v="280"/>
    <n v="400.4"/>
  </r>
  <r>
    <s v="AD01-9362"/>
    <x v="4"/>
    <s v="Mar"/>
    <x v="0"/>
    <x v="0"/>
    <s v="Order assembled"/>
    <x v="0"/>
    <x v="0"/>
    <x v="1"/>
    <n v="665"/>
    <n v="950.95"/>
  </r>
  <r>
    <s v="AD01-9364"/>
    <x v="4"/>
    <s v="Mar"/>
    <x v="0"/>
    <x v="0"/>
    <s v="Order assembled"/>
    <x v="0"/>
    <x v="0"/>
    <x v="1"/>
    <n v="752"/>
    <n v="1075.3600000000001"/>
  </r>
  <r>
    <s v="AD01-9364"/>
    <x v="4"/>
    <s v="Mar"/>
    <x v="0"/>
    <x v="0"/>
    <s v="Order assembled"/>
    <x v="0"/>
    <x v="0"/>
    <x v="1"/>
    <n v="303"/>
    <n v="433.28999999999996"/>
  </r>
  <r>
    <s v="AD01-9362"/>
    <x v="4"/>
    <s v="Mar"/>
    <x v="0"/>
    <x v="0"/>
    <s v="Order assembled"/>
    <x v="0"/>
    <x v="0"/>
    <x v="1"/>
    <n v="791"/>
    <n v="526.24"/>
  </r>
  <r>
    <s v="AD01-9362"/>
    <x v="4"/>
    <s v="Mar"/>
    <x v="0"/>
    <x v="0"/>
    <s v="Order assembled"/>
    <x v="0"/>
    <x v="0"/>
    <x v="1"/>
    <n v="307"/>
    <n v="439.01"/>
  </r>
  <r>
    <s v="AD01-9362"/>
    <x v="4"/>
    <s v="Mar"/>
    <x v="0"/>
    <x v="0"/>
    <s v="Order assembled"/>
    <x v="0"/>
    <x v="0"/>
    <x v="1"/>
    <n v="277"/>
    <n v="396.11"/>
  </r>
  <r>
    <s v="AD01-9361"/>
    <x v="4"/>
    <s v="Mar"/>
    <x v="0"/>
    <x v="0"/>
    <s v="Order assembled"/>
    <x v="0"/>
    <x v="0"/>
    <x v="1"/>
    <n v="305"/>
    <n v="436.15"/>
  </r>
  <r>
    <s v="AD01-9362"/>
    <x v="4"/>
    <s v="May"/>
    <x v="0"/>
    <x v="0"/>
    <s v="Order assembled"/>
    <x v="0"/>
    <x v="0"/>
    <x v="1"/>
    <n v="296"/>
    <n v="452.88"/>
  </r>
  <r>
    <s v="AD01-9362"/>
    <x v="4"/>
    <s v="May"/>
    <x v="0"/>
    <x v="0"/>
    <s v="Order assembled"/>
    <x v="0"/>
    <x v="0"/>
    <x v="1"/>
    <n v="266"/>
    <n v="380.38"/>
  </r>
  <r>
    <s v="AD01-9362"/>
    <x v="4"/>
    <s v="May"/>
    <x v="0"/>
    <x v="0"/>
    <s v="Order assembled"/>
    <x v="0"/>
    <x v="0"/>
    <x v="1"/>
    <n v="292"/>
    <n v="417.56"/>
  </r>
  <r>
    <s v="AD01-9362"/>
    <x v="4"/>
    <s v="May"/>
    <x v="0"/>
    <x v="0"/>
    <s v="Order assembled"/>
    <x v="0"/>
    <x v="0"/>
    <x v="1"/>
    <n v="268"/>
    <n v="383.24"/>
  </r>
  <r>
    <s v="AD01-9361"/>
    <x v="4"/>
    <s v="May"/>
    <x v="0"/>
    <x v="0"/>
    <s v="Order assembled"/>
    <x v="0"/>
    <x v="0"/>
    <x v="1"/>
    <n v="667"/>
    <n v="953.81"/>
  </r>
  <r>
    <s v="AD01-9361"/>
    <x v="4"/>
    <s v="May"/>
    <x v="0"/>
    <x v="0"/>
    <s v="Order assembled"/>
    <x v="0"/>
    <x v="0"/>
    <x v="1"/>
    <n v="793"/>
    <n v="526.24"/>
  </r>
  <r>
    <s v="AD01-9362"/>
    <x v="4"/>
    <s v="May"/>
    <x v="0"/>
    <x v="0"/>
    <s v="Order assembled"/>
    <x v="0"/>
    <x v="0"/>
    <x v="1"/>
    <n v="295"/>
    <n v="421.85"/>
  </r>
  <r>
    <s v="AD01-9362"/>
    <x v="4"/>
    <s v="May"/>
    <x v="0"/>
    <x v="0"/>
    <s v="Order assembled"/>
    <x v="0"/>
    <x v="0"/>
    <x v="1"/>
    <n v="265"/>
    <n v="378.95"/>
  </r>
  <r>
    <s v="AD01-9362"/>
    <x v="4"/>
    <s v="May"/>
    <x v="0"/>
    <x v="0"/>
    <s v="Order assembled"/>
    <x v="0"/>
    <x v="0"/>
    <x v="1"/>
    <n v="293"/>
    <n v="418.99"/>
  </r>
  <r>
    <s v="AD01-9362"/>
    <x v="4"/>
    <s v="May"/>
    <x v="0"/>
    <x v="0"/>
    <s v="Order assembled"/>
    <x v="0"/>
    <x v="0"/>
    <x v="1"/>
    <n v="762"/>
    <n v="1089.6599999999999"/>
  </r>
  <r>
    <s v="AD01-9361"/>
    <x v="4"/>
    <s v="Nov"/>
    <x v="0"/>
    <x v="0"/>
    <s v="Order assembled"/>
    <x v="0"/>
    <x v="0"/>
    <x v="1"/>
    <n v="260"/>
    <n v="397.8"/>
  </r>
  <r>
    <s v="AD01-9362"/>
    <x v="4"/>
    <s v="Nov"/>
    <x v="0"/>
    <x v="0"/>
    <s v="Order assembled"/>
    <x v="0"/>
    <x v="0"/>
    <x v="1"/>
    <n v="236"/>
    <n v="337.48"/>
  </r>
  <r>
    <s v="AD01-9361"/>
    <x v="4"/>
    <s v="Nov"/>
    <x v="0"/>
    <x v="0"/>
    <s v="Order assembled"/>
    <x v="0"/>
    <x v="0"/>
    <x v="1"/>
    <n v="262"/>
    <n v="374.65999999999997"/>
  </r>
  <r>
    <s v="AD01-9365"/>
    <x v="4"/>
    <s v="Nov"/>
    <x v="0"/>
    <x v="0"/>
    <s v="Order assembled"/>
    <x v="0"/>
    <x v="0"/>
    <x v="1"/>
    <n v="672"/>
    <n v="960.96"/>
  </r>
  <r>
    <s v="AD01-9362"/>
    <x v="4"/>
    <s v="Nov"/>
    <x v="0"/>
    <x v="0"/>
    <s v="Order assembled"/>
    <x v="0"/>
    <x v="0"/>
    <x v="1"/>
    <n v="759"/>
    <n v="1085.3699999999999"/>
  </r>
  <r>
    <s v="AD01-9362"/>
    <x v="4"/>
    <s v="Nov"/>
    <x v="0"/>
    <x v="0"/>
    <s v="Order assembled"/>
    <x v="0"/>
    <x v="0"/>
    <x v="1"/>
    <n v="261"/>
    <n v="373.23"/>
  </r>
  <r>
    <s v="AD01-9365"/>
    <x v="4"/>
    <s v="Nov"/>
    <x v="0"/>
    <x v="0"/>
    <s v="Order assembled"/>
    <x v="0"/>
    <x v="0"/>
    <x v="1"/>
    <n v="798"/>
    <n v="526.24"/>
  </r>
  <r>
    <s v="AD01-9361"/>
    <x v="4"/>
    <s v="Nov"/>
    <x v="0"/>
    <x v="0"/>
    <s v="Order assembled"/>
    <x v="0"/>
    <x v="0"/>
    <x v="1"/>
    <n v="235"/>
    <n v="336.05"/>
  </r>
  <r>
    <s v="AD01-9362"/>
    <x v="4"/>
    <s v="Nov"/>
    <x v="0"/>
    <x v="0"/>
    <s v="Order assembled"/>
    <x v="0"/>
    <x v="0"/>
    <x v="1"/>
    <n v="263"/>
    <n v="376.09000000000003"/>
  </r>
  <r>
    <s v="AD01-9361"/>
    <x v="4"/>
    <s v="Nov"/>
    <x v="0"/>
    <x v="0"/>
    <s v="Order assembled"/>
    <x v="0"/>
    <x v="0"/>
    <x v="1"/>
    <n v="768"/>
    <n v="1098.24"/>
  </r>
  <r>
    <s v="AD01-9362"/>
    <x v="4"/>
    <s v="Oct"/>
    <x v="0"/>
    <x v="0"/>
    <s v="Order assembled"/>
    <x v="0"/>
    <x v="0"/>
    <x v="1"/>
    <n v="266"/>
    <n v="406.98"/>
  </r>
  <r>
    <s v="AD01-9364"/>
    <x v="4"/>
    <s v="Oct"/>
    <x v="0"/>
    <x v="0"/>
    <s v="Order assembled"/>
    <x v="0"/>
    <x v="0"/>
    <x v="1"/>
    <n v="242"/>
    <n v="346.06"/>
  </r>
  <r>
    <s v="AD01-9362"/>
    <x v="4"/>
    <s v="Oct"/>
    <x v="0"/>
    <x v="0"/>
    <s v="Order assembled"/>
    <x v="0"/>
    <x v="0"/>
    <x v="1"/>
    <n v="268"/>
    <n v="383.24"/>
  </r>
  <r>
    <s v="AD01-9362"/>
    <x v="4"/>
    <s v="Oct"/>
    <x v="0"/>
    <x v="0"/>
    <s v="Order assembled"/>
    <x v="0"/>
    <x v="0"/>
    <x v="1"/>
    <n v="238"/>
    <n v="340.34000000000003"/>
  </r>
  <r>
    <s v="AD01-9362"/>
    <x v="4"/>
    <s v="Oct"/>
    <x v="0"/>
    <x v="0"/>
    <s v="Order assembled"/>
    <x v="0"/>
    <x v="0"/>
    <x v="1"/>
    <n v="671"/>
    <n v="959.53"/>
  </r>
  <r>
    <s v="AD01-9364"/>
    <x v="4"/>
    <s v="Oct"/>
    <x v="0"/>
    <x v="0"/>
    <s v="Order assembled"/>
    <x v="0"/>
    <x v="0"/>
    <x v="1"/>
    <n v="758"/>
    <n v="1083.94"/>
  </r>
  <r>
    <s v="AD01-9364"/>
    <x v="4"/>
    <s v="Oct"/>
    <x v="0"/>
    <x v="0"/>
    <s v="Order assembled"/>
    <x v="0"/>
    <x v="0"/>
    <x v="1"/>
    <n v="267"/>
    <n v="381.81"/>
  </r>
  <r>
    <s v="AD01-9362"/>
    <x v="4"/>
    <s v="Oct"/>
    <x v="0"/>
    <x v="0"/>
    <s v="Order assembled"/>
    <x v="0"/>
    <x v="0"/>
    <x v="1"/>
    <n v="797"/>
    <n v="526.24"/>
  </r>
  <r>
    <s v="AD01-9362"/>
    <x v="4"/>
    <s v="Oct"/>
    <x v="0"/>
    <x v="0"/>
    <s v="Order assembled"/>
    <x v="0"/>
    <x v="0"/>
    <x v="1"/>
    <n v="265"/>
    <n v="378.95"/>
  </r>
  <r>
    <s v="AD01-9362"/>
    <x v="4"/>
    <s v="Oct"/>
    <x v="0"/>
    <x v="0"/>
    <s v="Order assembled"/>
    <x v="0"/>
    <x v="0"/>
    <x v="1"/>
    <n v="241"/>
    <n v="344.63"/>
  </r>
  <r>
    <s v="AD01-9364"/>
    <x v="4"/>
    <s v="Oct"/>
    <x v="0"/>
    <x v="0"/>
    <s v="Order assembled"/>
    <x v="0"/>
    <x v="0"/>
    <x v="1"/>
    <n v="269"/>
    <n v="384.67"/>
  </r>
  <r>
    <s v="AD01-9362"/>
    <x v="4"/>
    <s v="Oct"/>
    <x v="0"/>
    <x v="0"/>
    <s v="Order assembled"/>
    <x v="0"/>
    <x v="0"/>
    <x v="1"/>
    <n v="767"/>
    <n v="1096.81"/>
  </r>
  <r>
    <s v="AD01-9364"/>
    <x v="4"/>
    <s v="Sep"/>
    <x v="0"/>
    <x v="0"/>
    <s v="Order assembled"/>
    <x v="0"/>
    <x v="0"/>
    <x v="1"/>
    <n v="272"/>
    <n v="416.15999999999997"/>
  </r>
  <r>
    <s v="AD01-9364"/>
    <x v="4"/>
    <s v="Sep"/>
    <x v="0"/>
    <x v="0"/>
    <s v="Order assembled"/>
    <x v="0"/>
    <x v="0"/>
    <x v="1"/>
    <n v="248"/>
    <n v="354.64"/>
  </r>
  <r>
    <s v="AD01-9365"/>
    <x v="4"/>
    <s v="Sep"/>
    <x v="0"/>
    <x v="0"/>
    <s v="Order assembled"/>
    <x v="0"/>
    <x v="0"/>
    <x v="1"/>
    <n v="274"/>
    <n v="391.82"/>
  </r>
  <r>
    <s v="AD01-9361"/>
    <x v="4"/>
    <s v="Sep"/>
    <x v="0"/>
    <x v="0"/>
    <s v="Order assembled"/>
    <x v="0"/>
    <x v="0"/>
    <x v="1"/>
    <n v="244"/>
    <n v="348.92"/>
  </r>
  <r>
    <s v="AD01-9362"/>
    <x v="4"/>
    <s v="Sep"/>
    <x v="0"/>
    <x v="0"/>
    <s v="Order assembled"/>
    <x v="0"/>
    <x v="0"/>
    <x v="1"/>
    <n v="757"/>
    <n v="1082.51"/>
  </r>
  <r>
    <s v="AD01-9362"/>
    <x v="4"/>
    <s v="Sep"/>
    <x v="0"/>
    <x v="0"/>
    <s v="Order assembled"/>
    <x v="0"/>
    <x v="0"/>
    <x v="1"/>
    <n v="273"/>
    <n v="390.39"/>
  </r>
  <r>
    <s v="AD01-9361"/>
    <x v="4"/>
    <s v="Sep"/>
    <x v="0"/>
    <x v="0"/>
    <s v="Order assembled"/>
    <x v="0"/>
    <x v="0"/>
    <x v="1"/>
    <n v="271"/>
    <n v="387.53"/>
  </r>
  <r>
    <s v="AD01-9365"/>
    <x v="4"/>
    <s v="Sep"/>
    <x v="0"/>
    <x v="0"/>
    <s v="Order assembled"/>
    <x v="0"/>
    <x v="0"/>
    <x v="1"/>
    <n v="247"/>
    <n v="353.21"/>
  </r>
  <r>
    <s v="AD01-9364"/>
    <x v="4"/>
    <s v="Sep"/>
    <x v="0"/>
    <x v="0"/>
    <s v="Order assembled"/>
    <x v="0"/>
    <x v="0"/>
    <x v="1"/>
    <n v="275"/>
    <n v="393.25"/>
  </r>
  <r>
    <s v="AD01-9364"/>
    <x v="4"/>
    <s v="Sep"/>
    <x v="0"/>
    <x v="0"/>
    <s v="Order assembled"/>
    <x v="0"/>
    <x v="0"/>
    <x v="1"/>
    <n v="766"/>
    <n v="1095.3800000000001"/>
  </r>
  <r>
    <s v="AD01-9362"/>
    <x v="4"/>
    <s v="Apr"/>
    <x v="1"/>
    <x v="0"/>
    <s v="Order assembled"/>
    <x v="0"/>
    <x v="0"/>
    <x v="0"/>
    <n v="146"/>
    <n v="208.78"/>
  </r>
  <r>
    <s v="AD01-9364"/>
    <x v="4"/>
    <s v="Apr"/>
    <x v="1"/>
    <x v="0"/>
    <s v="Order assembled"/>
    <x v="0"/>
    <x v="0"/>
    <x v="0"/>
    <n v="368"/>
    <n v="526.24"/>
  </r>
  <r>
    <s v="AD01-9361"/>
    <x v="4"/>
    <s v="Apr"/>
    <x v="1"/>
    <x v="0"/>
    <s v="Order assembled"/>
    <x v="0"/>
    <x v="0"/>
    <x v="0"/>
    <n v="148"/>
    <n v="526.24"/>
  </r>
  <r>
    <s v="AD01-9363"/>
    <x v="4"/>
    <s v="Apr"/>
    <x v="1"/>
    <x v="0"/>
    <s v="Order assembled"/>
    <x v="0"/>
    <x v="0"/>
    <x v="0"/>
    <n v="364"/>
    <n v="526.24"/>
  </r>
  <r>
    <s v="AD01-9363"/>
    <x v="4"/>
    <s v="Apr"/>
    <x v="1"/>
    <x v="0"/>
    <s v="Order assembled"/>
    <x v="0"/>
    <x v="0"/>
    <x v="0"/>
    <n v="366"/>
    <n v="523.38"/>
  </r>
  <r>
    <s v="AD01-9363"/>
    <x v="4"/>
    <s v="Apr"/>
    <x v="1"/>
    <x v="0"/>
    <s v="Order assembled"/>
    <x v="0"/>
    <x v="0"/>
    <x v="0"/>
    <n v="147"/>
    <n v="210.21"/>
  </r>
  <r>
    <s v="AD01-9363"/>
    <x v="4"/>
    <s v="Apr"/>
    <x v="1"/>
    <x v="0"/>
    <s v="Order assembled"/>
    <x v="0"/>
    <x v="0"/>
    <x v="0"/>
    <n v="760"/>
    <n v="1086.8"/>
  </r>
  <r>
    <s v="AD01-9361"/>
    <x v="4"/>
    <s v="Apr"/>
    <x v="1"/>
    <x v="0"/>
    <s v="Order assembled"/>
    <x v="0"/>
    <x v="0"/>
    <x v="0"/>
    <n v="846"/>
    <n v="1209.78"/>
  </r>
  <r>
    <s v="AD01-9364"/>
    <x v="4"/>
    <s v="Apr"/>
    <x v="1"/>
    <x v="0"/>
    <s v="Order assembled"/>
    <x v="0"/>
    <x v="0"/>
    <x v="0"/>
    <n v="149"/>
    <n v="213.07"/>
  </r>
  <r>
    <s v="AD01-9362"/>
    <x v="4"/>
    <s v="Apr"/>
    <x v="1"/>
    <x v="0"/>
    <s v="Order assembled"/>
    <x v="0"/>
    <x v="0"/>
    <x v="0"/>
    <n v="365"/>
    <n v="521.95000000000005"/>
  </r>
  <r>
    <s v="AD01-9361"/>
    <x v="4"/>
    <s v="Aug"/>
    <x v="1"/>
    <x v="0"/>
    <s v="Order assembled"/>
    <x v="0"/>
    <x v="0"/>
    <x v="0"/>
    <n v="128"/>
    <n v="183.04"/>
  </r>
  <r>
    <s v="AD01-9361"/>
    <x v="4"/>
    <s v="Aug"/>
    <x v="1"/>
    <x v="0"/>
    <s v="Order assembled"/>
    <x v="0"/>
    <x v="0"/>
    <x v="0"/>
    <n v="344"/>
    <n v="491.91999999999996"/>
  </r>
  <r>
    <s v="AD01-9361"/>
    <x v="4"/>
    <s v="Aug"/>
    <x v="1"/>
    <x v="0"/>
    <s v="Order assembled"/>
    <x v="0"/>
    <x v="0"/>
    <x v="0"/>
    <n v="370"/>
    <n v="526.24"/>
  </r>
  <r>
    <s v="AD01-9361"/>
    <x v="4"/>
    <s v="Aug"/>
    <x v="1"/>
    <x v="0"/>
    <s v="Order assembled"/>
    <x v="0"/>
    <x v="0"/>
    <x v="0"/>
    <n v="346"/>
    <n v="526.24"/>
  </r>
  <r>
    <s v="AD01-9362"/>
    <x v="4"/>
    <s v="Aug"/>
    <x v="1"/>
    <x v="0"/>
    <s v="Order assembled"/>
    <x v="0"/>
    <x v="0"/>
    <x v="0"/>
    <n v="982"/>
    <n v="1404.26"/>
  </r>
  <r>
    <s v="AD01-9361"/>
    <x v="4"/>
    <s v="Aug"/>
    <x v="1"/>
    <x v="0"/>
    <s v="Order assembled"/>
    <x v="0"/>
    <x v="0"/>
    <x v="0"/>
    <n v="342"/>
    <n v="489.06"/>
  </r>
  <r>
    <s v="AD01-9361"/>
    <x v="4"/>
    <s v="Aug"/>
    <x v="1"/>
    <x v="0"/>
    <s v="Order assembled"/>
    <x v="0"/>
    <x v="0"/>
    <x v="0"/>
    <n v="369"/>
    <n v="527.66999999999996"/>
  </r>
  <r>
    <s v="AD01-9362"/>
    <x v="4"/>
    <s v="Aug"/>
    <x v="1"/>
    <x v="0"/>
    <s v="Order assembled"/>
    <x v="0"/>
    <x v="0"/>
    <x v="0"/>
    <n v="345"/>
    <n v="493.35"/>
  </r>
  <r>
    <s v="AD01-9361"/>
    <x v="4"/>
    <s v="Aug"/>
    <x v="1"/>
    <x v="0"/>
    <s v="Order assembled"/>
    <x v="0"/>
    <x v="0"/>
    <x v="0"/>
    <n v="763"/>
    <n v="1091.0899999999999"/>
  </r>
  <r>
    <s v="AD01-9361"/>
    <x v="4"/>
    <s v="Aug"/>
    <x v="1"/>
    <x v="0"/>
    <s v="Order assembled"/>
    <x v="0"/>
    <x v="0"/>
    <x v="0"/>
    <n v="850"/>
    <n v="1215.5"/>
  </r>
  <r>
    <s v="AD01-9361"/>
    <x v="4"/>
    <s v="Aug"/>
    <x v="1"/>
    <x v="0"/>
    <s v="Order assembled"/>
    <x v="0"/>
    <x v="0"/>
    <x v="0"/>
    <n v="371"/>
    <n v="530.53"/>
  </r>
  <r>
    <s v="AD01-9361"/>
    <x v="4"/>
    <s v="Aug"/>
    <x v="1"/>
    <x v="0"/>
    <s v="Order assembled"/>
    <x v="0"/>
    <x v="0"/>
    <x v="0"/>
    <n v="347"/>
    <n v="496.21000000000004"/>
  </r>
  <r>
    <s v="AD01-9361"/>
    <x v="4"/>
    <s v="Dec"/>
    <x v="1"/>
    <x v="0"/>
    <s v="Order assembled"/>
    <x v="0"/>
    <x v="0"/>
    <x v="0"/>
    <n v="350"/>
    <n v="500.5"/>
  </r>
  <r>
    <s v="AD01-9364"/>
    <x v="4"/>
    <s v="Dec"/>
    <x v="1"/>
    <x v="0"/>
    <s v="Order assembled"/>
    <x v="0"/>
    <x v="0"/>
    <x v="0"/>
    <n v="352"/>
    <n v="526.24"/>
  </r>
  <r>
    <s v="AD01-9362"/>
    <x v="4"/>
    <s v="Dec"/>
    <x v="1"/>
    <x v="0"/>
    <s v="Order assembled"/>
    <x v="0"/>
    <x v="0"/>
    <x v="0"/>
    <n v="322"/>
    <n v="526.24"/>
  </r>
  <r>
    <s v="AD01-9362"/>
    <x v="4"/>
    <s v="Dec"/>
    <x v="1"/>
    <x v="0"/>
    <s v="Order assembled"/>
    <x v="0"/>
    <x v="0"/>
    <x v="0"/>
    <n v="986"/>
    <n v="1409.98"/>
  </r>
  <r>
    <s v="AD01-9361"/>
    <x v="4"/>
    <s v="Dec"/>
    <x v="1"/>
    <x v="0"/>
    <s v="Order assembled"/>
    <x v="0"/>
    <x v="0"/>
    <x v="0"/>
    <n v="324"/>
    <n v="463.32"/>
  </r>
  <r>
    <s v="AD01-9361"/>
    <x v="4"/>
    <s v="Dec"/>
    <x v="1"/>
    <x v="0"/>
    <s v="Order assembled"/>
    <x v="0"/>
    <x v="0"/>
    <x v="0"/>
    <n v="351"/>
    <n v="501.93"/>
  </r>
  <r>
    <s v="AD01-9362"/>
    <x v="4"/>
    <s v="Dec"/>
    <x v="1"/>
    <x v="0"/>
    <s v="Order assembled"/>
    <x v="0"/>
    <x v="0"/>
    <x v="0"/>
    <n v="321"/>
    <n v="459.03"/>
  </r>
  <r>
    <s v="AD01-9362"/>
    <x v="4"/>
    <s v="Dec"/>
    <x v="1"/>
    <x v="0"/>
    <s v="Order assembled"/>
    <x v="0"/>
    <x v="0"/>
    <x v="0"/>
    <n v="767"/>
    <n v="1096.81"/>
  </r>
  <r>
    <s v="AD01-9364"/>
    <x v="4"/>
    <s v="Dec"/>
    <x v="1"/>
    <x v="0"/>
    <s v="Order assembled"/>
    <x v="0"/>
    <x v="0"/>
    <x v="0"/>
    <n v="853"/>
    <n v="1219.79"/>
  </r>
  <r>
    <s v="AD01-9361"/>
    <x v="4"/>
    <s v="Dec"/>
    <x v="1"/>
    <x v="0"/>
    <s v="Order assembled"/>
    <x v="0"/>
    <x v="0"/>
    <x v="0"/>
    <n v="323"/>
    <n v="461.89"/>
  </r>
  <r>
    <s v="AD01-9364"/>
    <x v="4"/>
    <s v="Feb"/>
    <x v="1"/>
    <x v="0"/>
    <s v="Order assembled"/>
    <x v="0"/>
    <x v="0"/>
    <x v="0"/>
    <n v="158"/>
    <n v="225.94"/>
  </r>
  <r>
    <s v="AD01-9361"/>
    <x v="4"/>
    <s v="Feb"/>
    <x v="1"/>
    <x v="0"/>
    <s v="Order assembled"/>
    <x v="0"/>
    <x v="0"/>
    <x v="0"/>
    <n v="128"/>
    <n v="183.04"/>
  </r>
  <r>
    <s v="AD01-9364"/>
    <x v="4"/>
    <s v="Feb"/>
    <x v="1"/>
    <x v="0"/>
    <s v="Order assembled"/>
    <x v="0"/>
    <x v="0"/>
    <x v="0"/>
    <n v="160"/>
    <n v="526.24"/>
  </r>
  <r>
    <s v="AD01-9362"/>
    <x v="4"/>
    <s v="Feb"/>
    <x v="1"/>
    <x v="0"/>
    <s v="Order assembled"/>
    <x v="0"/>
    <x v="0"/>
    <x v="0"/>
    <n v="130"/>
    <n v="526.24"/>
  </r>
  <r>
    <s v="AD01-9362"/>
    <x v="4"/>
    <s v="Feb"/>
    <x v="1"/>
    <x v="0"/>
    <s v="Order assembled"/>
    <x v="0"/>
    <x v="0"/>
    <x v="0"/>
    <n v="977"/>
    <n v="1397.1100000000001"/>
  </r>
  <r>
    <s v="AD01-9361"/>
    <x v="4"/>
    <s v="Feb"/>
    <x v="1"/>
    <x v="0"/>
    <s v="Order assembled"/>
    <x v="0"/>
    <x v="0"/>
    <x v="0"/>
    <n v="132"/>
    <n v="188.76"/>
  </r>
  <r>
    <s v="AD01-9361"/>
    <x v="4"/>
    <s v="Feb"/>
    <x v="1"/>
    <x v="0"/>
    <s v="Order assembled"/>
    <x v="0"/>
    <x v="0"/>
    <x v="0"/>
    <n v="159"/>
    <n v="227.37"/>
  </r>
  <r>
    <s v="AD01-9362"/>
    <x v="4"/>
    <s v="Feb"/>
    <x v="1"/>
    <x v="0"/>
    <s v="Order assembled"/>
    <x v="0"/>
    <x v="0"/>
    <x v="0"/>
    <n v="129"/>
    <n v="184.47"/>
  </r>
  <r>
    <s v="AD01-9362"/>
    <x v="4"/>
    <s v="Feb"/>
    <x v="1"/>
    <x v="0"/>
    <s v="Order assembled"/>
    <x v="0"/>
    <x v="0"/>
    <x v="0"/>
    <n v="758"/>
    <n v="1083.94"/>
  </r>
  <r>
    <s v="AD01-9364"/>
    <x v="4"/>
    <s v="Feb"/>
    <x v="1"/>
    <x v="0"/>
    <s v="Order assembled"/>
    <x v="0"/>
    <x v="0"/>
    <x v="0"/>
    <n v="844"/>
    <n v="1206.92"/>
  </r>
  <r>
    <s v="AD01-9361"/>
    <x v="4"/>
    <s v="Feb"/>
    <x v="1"/>
    <x v="0"/>
    <s v="Order assembled"/>
    <x v="0"/>
    <x v="0"/>
    <x v="0"/>
    <n v="155"/>
    <n v="221.65"/>
  </r>
  <r>
    <s v="AD01-9364"/>
    <x v="4"/>
    <s v="Feb"/>
    <x v="1"/>
    <x v="0"/>
    <s v="Order assembled"/>
    <x v="0"/>
    <x v="0"/>
    <x v="0"/>
    <n v="131"/>
    <n v="187.32999999999998"/>
  </r>
  <r>
    <s v="AD01-9361"/>
    <x v="4"/>
    <s v="Jan"/>
    <x v="1"/>
    <x v="0"/>
    <s v="Order assembled"/>
    <x v="0"/>
    <x v="0"/>
    <x v="0"/>
    <n v="164"/>
    <n v="234.51999999999998"/>
  </r>
  <r>
    <s v="AD01-9363"/>
    <x v="4"/>
    <s v="Jan"/>
    <x v="1"/>
    <x v="0"/>
    <s v="Order assembled"/>
    <x v="0"/>
    <x v="0"/>
    <x v="0"/>
    <n v="134"/>
    <n v="191.62"/>
  </r>
  <r>
    <s v="AD01-9362"/>
    <x v="4"/>
    <s v="Jan"/>
    <x v="1"/>
    <x v="0"/>
    <s v="Order assembled"/>
    <x v="0"/>
    <x v="0"/>
    <x v="0"/>
    <n v="136"/>
    <n v="526.24"/>
  </r>
  <r>
    <s v="AD01-9362"/>
    <x v="4"/>
    <s v="Jan"/>
    <x v="1"/>
    <x v="0"/>
    <s v="Order assembled"/>
    <x v="0"/>
    <x v="0"/>
    <x v="0"/>
    <n v="976"/>
    <n v="1395.68"/>
  </r>
  <r>
    <s v="AD01-9362"/>
    <x v="4"/>
    <s v="Jan"/>
    <x v="1"/>
    <x v="0"/>
    <s v="Order assembled"/>
    <x v="0"/>
    <x v="0"/>
    <x v="0"/>
    <n v="138"/>
    <n v="197.34"/>
  </r>
  <r>
    <s v="AD01-9362"/>
    <x v="4"/>
    <s v="Jan"/>
    <x v="1"/>
    <x v="0"/>
    <s v="Order assembled"/>
    <x v="0"/>
    <x v="0"/>
    <x v="0"/>
    <n v="165"/>
    <n v="235.95"/>
  </r>
  <r>
    <s v="AD01-9362"/>
    <x v="4"/>
    <s v="Jan"/>
    <x v="1"/>
    <x v="0"/>
    <s v="Order assembled"/>
    <x v="0"/>
    <x v="0"/>
    <x v="0"/>
    <n v="135"/>
    <n v="193.05"/>
  </r>
  <r>
    <s v="AD01-9362"/>
    <x v="4"/>
    <s v="Jan"/>
    <x v="1"/>
    <x v="0"/>
    <s v="Order assembled"/>
    <x v="0"/>
    <x v="0"/>
    <x v="0"/>
    <n v="757"/>
    <n v="1082.51"/>
  </r>
  <r>
    <s v="AD01-9363"/>
    <x v="4"/>
    <s v="Jan"/>
    <x v="1"/>
    <x v="0"/>
    <s v="Order assembled"/>
    <x v="0"/>
    <x v="0"/>
    <x v="0"/>
    <n v="161"/>
    <n v="230.23000000000002"/>
  </r>
  <r>
    <s v="AD01-9361"/>
    <x v="4"/>
    <s v="Jan"/>
    <x v="1"/>
    <x v="0"/>
    <s v="Order assembled"/>
    <x v="0"/>
    <x v="0"/>
    <x v="0"/>
    <n v="137"/>
    <n v="195.91"/>
  </r>
  <r>
    <s v="AD01-9362"/>
    <x v="4"/>
    <s v="Jul"/>
    <x v="1"/>
    <x v="0"/>
    <s v="Order assembled"/>
    <x v="0"/>
    <x v="0"/>
    <x v="0"/>
    <n v="350"/>
    <n v="500.5"/>
  </r>
  <r>
    <s v="AD01-9361"/>
    <x v="4"/>
    <s v="Jul"/>
    <x v="1"/>
    <x v="0"/>
    <s v="Order assembled"/>
    <x v="0"/>
    <x v="0"/>
    <x v="0"/>
    <n v="130"/>
    <n v="526.24"/>
  </r>
  <r>
    <s v="AD01-9362"/>
    <x v="4"/>
    <s v="Jul"/>
    <x v="1"/>
    <x v="0"/>
    <s v="Order assembled"/>
    <x v="0"/>
    <x v="0"/>
    <x v="0"/>
    <n v="352"/>
    <n v="526.24"/>
  </r>
  <r>
    <s v="AD01-9364"/>
    <x v="4"/>
    <s v="Jul"/>
    <x v="1"/>
    <x v="0"/>
    <s v="Order assembled"/>
    <x v="0"/>
    <x v="0"/>
    <x v="0"/>
    <n v="981"/>
    <n v="1402.83"/>
  </r>
  <r>
    <s v="AD01-9362"/>
    <x v="4"/>
    <s v="Jul"/>
    <x v="1"/>
    <x v="0"/>
    <s v="Order assembled"/>
    <x v="0"/>
    <x v="0"/>
    <x v="0"/>
    <n v="348"/>
    <n v="497.64"/>
  </r>
  <r>
    <s v="AD01-9362"/>
    <x v="4"/>
    <s v="Jul"/>
    <x v="1"/>
    <x v="0"/>
    <s v="Order assembled"/>
    <x v="0"/>
    <x v="0"/>
    <x v="0"/>
    <n v="129"/>
    <n v="184.47"/>
  </r>
  <r>
    <s v="AD01-9364"/>
    <x v="4"/>
    <s v="Jul"/>
    <x v="1"/>
    <x v="0"/>
    <s v="Order assembled"/>
    <x v="0"/>
    <x v="0"/>
    <x v="0"/>
    <n v="351"/>
    <n v="501.93"/>
  </r>
  <r>
    <s v="AD01-9362"/>
    <x v="4"/>
    <s v="Jul"/>
    <x v="1"/>
    <x v="0"/>
    <s v="Order assembled"/>
    <x v="0"/>
    <x v="0"/>
    <x v="0"/>
    <n v="762"/>
    <n v="1089.6599999999999"/>
  </r>
  <r>
    <s v="AD01-9361"/>
    <x v="4"/>
    <s v="Jul"/>
    <x v="1"/>
    <x v="0"/>
    <s v="Order assembled"/>
    <x v="0"/>
    <x v="0"/>
    <x v="0"/>
    <n v="849"/>
    <n v="1214.07"/>
  </r>
  <r>
    <s v="AD01-9362"/>
    <x v="4"/>
    <s v="Jul"/>
    <x v="1"/>
    <x v="0"/>
    <s v="Order assembled"/>
    <x v="0"/>
    <x v="0"/>
    <x v="0"/>
    <n v="131"/>
    <n v="187.32999999999998"/>
  </r>
  <r>
    <s v="AD01-9364"/>
    <x v="4"/>
    <s v="Jun"/>
    <x v="1"/>
    <x v="0"/>
    <s v="Order assembled"/>
    <x v="0"/>
    <x v="0"/>
    <x v="0"/>
    <n v="134"/>
    <n v="191.62"/>
  </r>
  <r>
    <s v="AD01-9364"/>
    <x v="4"/>
    <s v="Jun"/>
    <x v="1"/>
    <x v="0"/>
    <s v="Order assembled"/>
    <x v="0"/>
    <x v="0"/>
    <x v="0"/>
    <n v="356"/>
    <n v="509.08"/>
  </r>
  <r>
    <s v="AD01-9364"/>
    <x v="4"/>
    <s v="Jun"/>
    <x v="1"/>
    <x v="0"/>
    <s v="Order assembled"/>
    <x v="0"/>
    <x v="0"/>
    <x v="0"/>
    <n v="136"/>
    <n v="526.24"/>
  </r>
  <r>
    <s v="AD01-9364"/>
    <x v="4"/>
    <s v="Jun"/>
    <x v="1"/>
    <x v="0"/>
    <s v="Order assembled"/>
    <x v="0"/>
    <x v="0"/>
    <x v="0"/>
    <n v="980"/>
    <n v="1401.4"/>
  </r>
  <r>
    <s v="AD01-9362"/>
    <x v="4"/>
    <s v="Jun"/>
    <x v="1"/>
    <x v="0"/>
    <s v="Order assembled"/>
    <x v="0"/>
    <x v="0"/>
    <x v="0"/>
    <n v="354"/>
    <n v="506.22"/>
  </r>
  <r>
    <s v="AD01-9362"/>
    <x v="4"/>
    <s v="Jun"/>
    <x v="1"/>
    <x v="0"/>
    <s v="Order assembled"/>
    <x v="0"/>
    <x v="0"/>
    <x v="0"/>
    <n v="135"/>
    <n v="193.05"/>
  </r>
  <r>
    <s v="AD01-9364"/>
    <x v="4"/>
    <s v="Jun"/>
    <x v="1"/>
    <x v="0"/>
    <s v="Order assembled"/>
    <x v="0"/>
    <x v="0"/>
    <x v="0"/>
    <n v="357"/>
    <n v="510.51"/>
  </r>
  <r>
    <s v="AD01-9364"/>
    <x v="4"/>
    <s v="Jun"/>
    <x v="1"/>
    <x v="0"/>
    <s v="Order assembled"/>
    <x v="0"/>
    <x v="0"/>
    <x v="0"/>
    <n v="848"/>
    <n v="1212.6399999999999"/>
  </r>
  <r>
    <s v="AD01-9364"/>
    <x v="4"/>
    <s v="Jun"/>
    <x v="1"/>
    <x v="0"/>
    <s v="Order assembled"/>
    <x v="0"/>
    <x v="0"/>
    <x v="0"/>
    <n v="137"/>
    <n v="195.91"/>
  </r>
  <r>
    <s v="AD01-9364"/>
    <x v="4"/>
    <s v="Jun"/>
    <x v="1"/>
    <x v="0"/>
    <s v="Order assembled"/>
    <x v="0"/>
    <x v="0"/>
    <x v="0"/>
    <n v="353"/>
    <n v="504.78999999999996"/>
  </r>
  <r>
    <s v="AD01-9362"/>
    <x v="4"/>
    <s v="Mar"/>
    <x v="1"/>
    <x v="0"/>
    <s v="Order assembled"/>
    <x v="0"/>
    <x v="0"/>
    <x v="0"/>
    <n v="152"/>
    <n v="217.36"/>
  </r>
  <r>
    <s v="AD01-9362"/>
    <x v="4"/>
    <s v="Mar"/>
    <x v="1"/>
    <x v="0"/>
    <s v="Order assembled"/>
    <x v="0"/>
    <x v="0"/>
    <x v="0"/>
    <n v="154"/>
    <n v="526.24"/>
  </r>
  <r>
    <s v="AD01-9362"/>
    <x v="4"/>
    <s v="Mar"/>
    <x v="1"/>
    <x v="0"/>
    <s v="Order assembled"/>
    <x v="0"/>
    <x v="0"/>
    <x v="0"/>
    <n v="370"/>
    <n v="526.24"/>
  </r>
  <r>
    <s v="AD01-9362"/>
    <x v="4"/>
    <s v="Mar"/>
    <x v="1"/>
    <x v="0"/>
    <s v="Order assembled"/>
    <x v="0"/>
    <x v="0"/>
    <x v="0"/>
    <n v="978"/>
    <n v="1398.54"/>
  </r>
  <r>
    <s v="AD01-9361"/>
    <x v="4"/>
    <s v="Mar"/>
    <x v="1"/>
    <x v="0"/>
    <s v="Order assembled"/>
    <x v="0"/>
    <x v="0"/>
    <x v="0"/>
    <n v="372"/>
    <n v="531.96"/>
  </r>
  <r>
    <s v="AD01-9361"/>
    <x v="4"/>
    <s v="Mar"/>
    <x v="1"/>
    <x v="0"/>
    <s v="Order assembled"/>
    <x v="0"/>
    <x v="0"/>
    <x v="0"/>
    <n v="153"/>
    <n v="218.79"/>
  </r>
  <r>
    <s v="AD01-9362"/>
    <x v="4"/>
    <s v="Mar"/>
    <x v="1"/>
    <x v="0"/>
    <s v="Order assembled"/>
    <x v="0"/>
    <x v="0"/>
    <x v="0"/>
    <n v="369"/>
    <n v="527.66999999999996"/>
  </r>
  <r>
    <s v="AD01-9362"/>
    <x v="4"/>
    <s v="Mar"/>
    <x v="1"/>
    <x v="0"/>
    <s v="Order assembled"/>
    <x v="0"/>
    <x v="0"/>
    <x v="0"/>
    <n v="759"/>
    <n v="1085.3699999999999"/>
  </r>
  <r>
    <s v="AD01-9362"/>
    <x v="4"/>
    <s v="Mar"/>
    <x v="1"/>
    <x v="0"/>
    <s v="Order assembled"/>
    <x v="0"/>
    <x v="0"/>
    <x v="0"/>
    <n v="845"/>
    <n v="1208.3499999999999"/>
  </r>
  <r>
    <s v="AD01-9362"/>
    <x v="4"/>
    <s v="Mar"/>
    <x v="1"/>
    <x v="0"/>
    <s v="Order assembled"/>
    <x v="0"/>
    <x v="0"/>
    <x v="0"/>
    <n v="371"/>
    <n v="530.53"/>
  </r>
  <r>
    <s v="AD01-9364"/>
    <x v="4"/>
    <s v="May"/>
    <x v="1"/>
    <x v="0"/>
    <s v="Order assembled"/>
    <x v="0"/>
    <x v="0"/>
    <x v="0"/>
    <n v="140"/>
    <n v="200.2"/>
  </r>
  <r>
    <s v="AD01-9361"/>
    <x v="4"/>
    <s v="May"/>
    <x v="1"/>
    <x v="0"/>
    <s v="Order assembled"/>
    <x v="0"/>
    <x v="0"/>
    <x v="0"/>
    <n v="362"/>
    <n v="517.66"/>
  </r>
  <r>
    <s v="AD01-9364"/>
    <x v="4"/>
    <s v="May"/>
    <x v="1"/>
    <x v="0"/>
    <s v="Order assembled"/>
    <x v="0"/>
    <x v="0"/>
    <x v="0"/>
    <n v="142"/>
    <n v="526.24"/>
  </r>
  <r>
    <s v="AD01-9361"/>
    <x v="4"/>
    <s v="May"/>
    <x v="1"/>
    <x v="0"/>
    <s v="Order assembled"/>
    <x v="0"/>
    <x v="0"/>
    <x v="0"/>
    <n v="358"/>
    <n v="526.24"/>
  </r>
  <r>
    <s v="AD01-9362"/>
    <x v="4"/>
    <s v="May"/>
    <x v="1"/>
    <x v="0"/>
    <s v="Order assembled"/>
    <x v="0"/>
    <x v="0"/>
    <x v="0"/>
    <n v="979"/>
    <n v="1399.97"/>
  </r>
  <r>
    <s v="AD01-9364"/>
    <x v="4"/>
    <s v="May"/>
    <x v="1"/>
    <x v="0"/>
    <s v="Order assembled"/>
    <x v="0"/>
    <x v="0"/>
    <x v="0"/>
    <n v="360"/>
    <n v="514.79999999999995"/>
  </r>
  <r>
    <s v="AD01-9364"/>
    <x v="4"/>
    <s v="May"/>
    <x v="1"/>
    <x v="0"/>
    <s v="Order assembled"/>
    <x v="0"/>
    <x v="0"/>
    <x v="0"/>
    <n v="141"/>
    <n v="201.63"/>
  </r>
  <r>
    <s v="AD01-9362"/>
    <x v="4"/>
    <s v="May"/>
    <x v="1"/>
    <x v="0"/>
    <s v="Order assembled"/>
    <x v="0"/>
    <x v="0"/>
    <x v="0"/>
    <n v="363"/>
    <n v="519.09"/>
  </r>
  <r>
    <s v="AD01-9361"/>
    <x v="4"/>
    <s v="May"/>
    <x v="1"/>
    <x v="0"/>
    <s v="Order assembled"/>
    <x v="0"/>
    <x v="0"/>
    <x v="0"/>
    <n v="761"/>
    <n v="1088.23"/>
  </r>
  <r>
    <s v="AD01-9364"/>
    <x v="4"/>
    <s v="May"/>
    <x v="1"/>
    <x v="0"/>
    <s v="Order assembled"/>
    <x v="0"/>
    <x v="0"/>
    <x v="0"/>
    <n v="847"/>
    <n v="1211.21"/>
  </r>
  <r>
    <s v="AD01-9361"/>
    <x v="4"/>
    <s v="May"/>
    <x v="1"/>
    <x v="0"/>
    <s v="Order assembled"/>
    <x v="0"/>
    <x v="0"/>
    <x v="0"/>
    <n v="143"/>
    <n v="204.49"/>
  </r>
  <r>
    <s v="AD01-9364"/>
    <x v="4"/>
    <s v="May"/>
    <x v="1"/>
    <x v="0"/>
    <s v="Order assembled"/>
    <x v="0"/>
    <x v="0"/>
    <x v="0"/>
    <n v="359"/>
    <n v="513.37"/>
  </r>
  <r>
    <s v="AD01-9361"/>
    <x v="4"/>
    <s v="Nov"/>
    <x v="1"/>
    <x v="0"/>
    <s v="Order assembled"/>
    <x v="0"/>
    <x v="0"/>
    <x v="0"/>
    <n v="356"/>
    <n v="509.08"/>
  </r>
  <r>
    <s v="AD01-9361"/>
    <x v="4"/>
    <s v="Nov"/>
    <x v="1"/>
    <x v="0"/>
    <s v="Order assembled"/>
    <x v="0"/>
    <x v="0"/>
    <x v="0"/>
    <n v="326"/>
    <n v="466.18"/>
  </r>
  <r>
    <s v="AD01-9364"/>
    <x v="4"/>
    <s v="Nov"/>
    <x v="1"/>
    <x v="0"/>
    <s v="Order assembled"/>
    <x v="0"/>
    <x v="0"/>
    <x v="0"/>
    <n v="358"/>
    <n v="526.24"/>
  </r>
  <r>
    <s v="AD01-9364"/>
    <x v="4"/>
    <s v="Nov"/>
    <x v="1"/>
    <x v="0"/>
    <s v="Order assembled"/>
    <x v="0"/>
    <x v="0"/>
    <x v="0"/>
    <n v="328"/>
    <n v="526.24"/>
  </r>
  <r>
    <s v="AD01-9362"/>
    <x v="4"/>
    <s v="Nov"/>
    <x v="1"/>
    <x v="0"/>
    <s v="Order assembled"/>
    <x v="0"/>
    <x v="0"/>
    <x v="0"/>
    <n v="985"/>
    <n v="1408.55"/>
  </r>
  <r>
    <s v="AD01-9361"/>
    <x v="4"/>
    <s v="Nov"/>
    <x v="1"/>
    <x v="0"/>
    <s v="Order assembled"/>
    <x v="0"/>
    <x v="0"/>
    <x v="0"/>
    <n v="330"/>
    <n v="471.9"/>
  </r>
  <r>
    <s v="AD01-9361"/>
    <x v="4"/>
    <s v="Nov"/>
    <x v="1"/>
    <x v="0"/>
    <s v="Order assembled"/>
    <x v="0"/>
    <x v="0"/>
    <x v="0"/>
    <n v="357"/>
    <n v="510.51"/>
  </r>
  <r>
    <s v="AD01-9362"/>
    <x v="4"/>
    <s v="Nov"/>
    <x v="1"/>
    <x v="0"/>
    <s v="Order assembled"/>
    <x v="0"/>
    <x v="0"/>
    <x v="0"/>
    <n v="327"/>
    <n v="467.61"/>
  </r>
  <r>
    <s v="AD01-9364"/>
    <x v="4"/>
    <s v="Nov"/>
    <x v="1"/>
    <x v="0"/>
    <s v="Order assembled"/>
    <x v="0"/>
    <x v="0"/>
    <x v="0"/>
    <n v="766"/>
    <n v="1095.3800000000001"/>
  </r>
  <r>
    <s v="AD01-9364"/>
    <x v="4"/>
    <s v="Nov"/>
    <x v="1"/>
    <x v="0"/>
    <s v="Order assembled"/>
    <x v="0"/>
    <x v="0"/>
    <x v="0"/>
    <n v="852"/>
    <n v="1218.3600000000001"/>
  </r>
  <r>
    <s v="AD01-9361"/>
    <x v="4"/>
    <s v="Nov"/>
    <x v="1"/>
    <x v="0"/>
    <s v="Order assembled"/>
    <x v="0"/>
    <x v="0"/>
    <x v="0"/>
    <n v="353"/>
    <n v="504.78999999999996"/>
  </r>
  <r>
    <s v="AD01-9361"/>
    <x v="4"/>
    <s v="Nov"/>
    <x v="1"/>
    <x v="0"/>
    <s v="Order assembled"/>
    <x v="0"/>
    <x v="0"/>
    <x v="0"/>
    <n v="329"/>
    <n v="470.47"/>
  </r>
  <r>
    <s v="AD01-9361"/>
    <x v="4"/>
    <s v="Oct"/>
    <x v="1"/>
    <x v="0"/>
    <s v="Order assembled"/>
    <x v="0"/>
    <x v="0"/>
    <x v="0"/>
    <n v="362"/>
    <n v="517.66"/>
  </r>
  <r>
    <s v="AD01-9362"/>
    <x v="4"/>
    <s v="Oct"/>
    <x v="1"/>
    <x v="0"/>
    <s v="Order assembled"/>
    <x v="0"/>
    <x v="0"/>
    <x v="0"/>
    <n v="332"/>
    <n v="474.76"/>
  </r>
  <r>
    <s v="AD01-9362"/>
    <x v="4"/>
    <s v="Oct"/>
    <x v="1"/>
    <x v="0"/>
    <s v="Order assembled"/>
    <x v="0"/>
    <x v="0"/>
    <x v="0"/>
    <n v="334"/>
    <n v="526.24"/>
  </r>
  <r>
    <s v="AD01-9363"/>
    <x v="4"/>
    <s v="Oct"/>
    <x v="1"/>
    <x v="0"/>
    <s v="Order assembled"/>
    <x v="0"/>
    <x v="0"/>
    <x v="0"/>
    <n v="984"/>
    <n v="1407.12"/>
  </r>
  <r>
    <s v="AD01-9364"/>
    <x v="4"/>
    <s v="Oct"/>
    <x v="1"/>
    <x v="0"/>
    <s v="Order assembled"/>
    <x v="0"/>
    <x v="0"/>
    <x v="0"/>
    <n v="336"/>
    <n v="480.48"/>
  </r>
  <r>
    <s v="AD01-9364"/>
    <x v="4"/>
    <s v="Oct"/>
    <x v="1"/>
    <x v="0"/>
    <s v="Order assembled"/>
    <x v="0"/>
    <x v="0"/>
    <x v="0"/>
    <n v="363"/>
    <n v="519.09"/>
  </r>
  <r>
    <s v="AD01-9363"/>
    <x v="4"/>
    <s v="Oct"/>
    <x v="1"/>
    <x v="0"/>
    <s v="Order assembled"/>
    <x v="0"/>
    <x v="0"/>
    <x v="0"/>
    <n v="333"/>
    <n v="476.19"/>
  </r>
  <r>
    <s v="AD01-9362"/>
    <x v="4"/>
    <s v="Oct"/>
    <x v="1"/>
    <x v="0"/>
    <s v="Order assembled"/>
    <x v="0"/>
    <x v="0"/>
    <x v="0"/>
    <n v="765"/>
    <n v="1093.95"/>
  </r>
  <r>
    <s v="AD01-9362"/>
    <x v="4"/>
    <s v="Oct"/>
    <x v="1"/>
    <x v="0"/>
    <s v="Order assembled"/>
    <x v="0"/>
    <x v="0"/>
    <x v="0"/>
    <n v="359"/>
    <n v="513.37"/>
  </r>
  <r>
    <s v="AD01-9361"/>
    <x v="4"/>
    <s v="Oct"/>
    <x v="1"/>
    <x v="0"/>
    <s v="Order assembled"/>
    <x v="0"/>
    <x v="0"/>
    <x v="0"/>
    <n v="335"/>
    <n v="479.05"/>
  </r>
  <r>
    <s v="AD01-9361"/>
    <x v="4"/>
    <s v="Sep"/>
    <x v="1"/>
    <x v="0"/>
    <s v="Order assembled"/>
    <x v="0"/>
    <x v="0"/>
    <x v="0"/>
    <n v="368"/>
    <n v="526.24"/>
  </r>
  <r>
    <s v="AD01-9362"/>
    <x v="4"/>
    <s v="Sep"/>
    <x v="1"/>
    <x v="0"/>
    <s v="Order assembled"/>
    <x v="0"/>
    <x v="0"/>
    <x v="0"/>
    <n v="338"/>
    <n v="483.34000000000003"/>
  </r>
  <r>
    <s v="AD01-9364"/>
    <x v="4"/>
    <s v="Sep"/>
    <x v="1"/>
    <x v="0"/>
    <s v="Order assembled"/>
    <x v="0"/>
    <x v="0"/>
    <x v="0"/>
    <n v="364"/>
    <n v="526.24"/>
  </r>
  <r>
    <s v="AD01-9361"/>
    <x v="4"/>
    <s v="Sep"/>
    <x v="1"/>
    <x v="0"/>
    <s v="Order assembled"/>
    <x v="0"/>
    <x v="0"/>
    <x v="0"/>
    <n v="340"/>
    <n v="526.24"/>
  </r>
  <r>
    <s v="AD01-9361"/>
    <x v="4"/>
    <s v="Sep"/>
    <x v="1"/>
    <x v="0"/>
    <s v="Order assembled"/>
    <x v="0"/>
    <x v="0"/>
    <x v="0"/>
    <n v="983"/>
    <n v="1405.69"/>
  </r>
  <r>
    <s v="AD01-9361"/>
    <x v="4"/>
    <s v="Sep"/>
    <x v="1"/>
    <x v="0"/>
    <s v="Order assembled"/>
    <x v="0"/>
    <x v="0"/>
    <x v="0"/>
    <n v="339"/>
    <n v="484.77"/>
  </r>
  <r>
    <s v="AD01-9361"/>
    <x v="4"/>
    <s v="Sep"/>
    <x v="1"/>
    <x v="0"/>
    <s v="Order assembled"/>
    <x v="0"/>
    <x v="0"/>
    <x v="0"/>
    <n v="764"/>
    <n v="1092.52"/>
  </r>
  <r>
    <s v="AD01-9364"/>
    <x v="4"/>
    <s v="Sep"/>
    <x v="1"/>
    <x v="0"/>
    <s v="Order assembled"/>
    <x v="0"/>
    <x v="0"/>
    <x v="0"/>
    <n v="851"/>
    <n v="1216.93"/>
  </r>
  <r>
    <s v="AD01-9362"/>
    <x v="4"/>
    <s v="Sep"/>
    <x v="1"/>
    <x v="0"/>
    <s v="Order assembled"/>
    <x v="0"/>
    <x v="0"/>
    <x v="0"/>
    <n v="365"/>
    <n v="521.95000000000005"/>
  </r>
  <r>
    <s v="AD01-9361"/>
    <x v="4"/>
    <s v="Sep"/>
    <x v="1"/>
    <x v="0"/>
    <s v="Order assembled"/>
    <x v="0"/>
    <x v="0"/>
    <x v="0"/>
    <n v="341"/>
    <n v="487.63"/>
  </r>
  <r>
    <s v="AD01-9361"/>
    <x v="4"/>
    <s v="Apr"/>
    <x v="1"/>
    <x v="1"/>
    <s v="Cancelld"/>
    <x v="1"/>
    <x v="1"/>
    <x v="2"/>
    <n v="224"/>
    <n v="320.32"/>
  </r>
  <r>
    <s v="AD01-9361"/>
    <x v="4"/>
    <s v="Apr"/>
    <x v="1"/>
    <x v="1"/>
    <s v="Cancelld"/>
    <x v="1"/>
    <x v="1"/>
    <x v="2"/>
    <n v="226"/>
    <n v="323.18"/>
  </r>
  <r>
    <s v="AD01-9362"/>
    <x v="4"/>
    <s v="Apr"/>
    <x v="1"/>
    <x v="1"/>
    <s v="Cancelld"/>
    <x v="1"/>
    <x v="1"/>
    <x v="2"/>
    <n v="196"/>
    <n v="280.27999999999997"/>
  </r>
  <r>
    <s v="AD01-9362"/>
    <x v="4"/>
    <s v="Apr"/>
    <x v="1"/>
    <x v="1"/>
    <s v="Cancelld"/>
    <x v="1"/>
    <x v="1"/>
    <x v="2"/>
    <n v="802"/>
    <n v="1146.8600000000001"/>
  </r>
  <r>
    <s v="AD01-9365"/>
    <x v="4"/>
    <s v="Apr"/>
    <x v="1"/>
    <x v="1"/>
    <s v="Cancelld"/>
    <x v="1"/>
    <x v="1"/>
    <x v="2"/>
    <n v="888"/>
    <n v="1269.8399999999999"/>
  </r>
  <r>
    <s v="AD01-9365"/>
    <x v="4"/>
    <s v="Apr"/>
    <x v="1"/>
    <x v="1"/>
    <s v="Cancelld"/>
    <x v="1"/>
    <x v="1"/>
    <x v="2"/>
    <n v="841"/>
    <n v="526.24"/>
  </r>
  <r>
    <s v="AD01-9362"/>
    <x v="4"/>
    <s v="Apr"/>
    <x v="1"/>
    <x v="1"/>
    <s v="Cancelld"/>
    <x v="1"/>
    <x v="1"/>
    <x v="2"/>
    <n v="195"/>
    <n v="278.85000000000002"/>
  </r>
  <r>
    <s v="AD01-9362"/>
    <x v="4"/>
    <s v="Apr"/>
    <x v="1"/>
    <x v="1"/>
    <s v="Cancelld"/>
    <x v="1"/>
    <x v="1"/>
    <x v="2"/>
    <n v="223"/>
    <n v="318.89"/>
  </r>
  <r>
    <s v="AD01-9361"/>
    <x v="4"/>
    <s v="Apr"/>
    <x v="1"/>
    <x v="1"/>
    <s v="Cancelld"/>
    <x v="1"/>
    <x v="1"/>
    <x v="2"/>
    <n v="199"/>
    <n v="284.57"/>
  </r>
  <r>
    <s v="AD01-9361"/>
    <x v="4"/>
    <s v="Apr"/>
    <x v="1"/>
    <x v="1"/>
    <s v="Cancelld"/>
    <x v="1"/>
    <x v="1"/>
    <x v="2"/>
    <n v="197"/>
    <n v="281.70999999999998"/>
  </r>
  <r>
    <s v="AD01-9362"/>
    <x v="4"/>
    <s v="Aug"/>
    <x v="1"/>
    <x v="1"/>
    <s v="Cancelld"/>
    <x v="1"/>
    <x v="1"/>
    <x v="2"/>
    <n v="176"/>
    <n v="251.68"/>
  </r>
  <r>
    <s v="AD01-9361"/>
    <x v="4"/>
    <s v="Aug"/>
    <x v="1"/>
    <x v="1"/>
    <s v="Cancelld"/>
    <x v="1"/>
    <x v="1"/>
    <x v="2"/>
    <n v="202"/>
    <n v="288.86"/>
  </r>
  <r>
    <s v="AD01-9362"/>
    <x v="4"/>
    <s v="Aug"/>
    <x v="1"/>
    <x v="1"/>
    <s v="Cancelld"/>
    <x v="1"/>
    <x v="1"/>
    <x v="2"/>
    <n v="178"/>
    <n v="254.54"/>
  </r>
  <r>
    <s v="AD01-9364"/>
    <x v="4"/>
    <s v="Aug"/>
    <x v="1"/>
    <x v="1"/>
    <s v="Cancelld"/>
    <x v="1"/>
    <x v="1"/>
    <x v="2"/>
    <n v="805"/>
    <n v="1151.1500000000001"/>
  </r>
  <r>
    <s v="AD01-9363"/>
    <x v="4"/>
    <s v="Aug"/>
    <x v="1"/>
    <x v="1"/>
    <s v="Cancelld"/>
    <x v="1"/>
    <x v="1"/>
    <x v="2"/>
    <n v="892"/>
    <n v="1275.56"/>
  </r>
  <r>
    <s v="AD01-9363"/>
    <x v="4"/>
    <s v="Aug"/>
    <x v="1"/>
    <x v="1"/>
    <s v="Cancelld"/>
    <x v="1"/>
    <x v="1"/>
    <x v="2"/>
    <n v="845"/>
    <n v="526.24"/>
  </r>
  <r>
    <s v="AD01-9364"/>
    <x v="4"/>
    <s v="Aug"/>
    <x v="1"/>
    <x v="1"/>
    <s v="Cancelld"/>
    <x v="1"/>
    <x v="1"/>
    <x v="2"/>
    <n v="177"/>
    <n v="253.11"/>
  </r>
  <r>
    <s v="AD01-9362"/>
    <x v="4"/>
    <s v="Aug"/>
    <x v="1"/>
    <x v="1"/>
    <s v="Cancelld"/>
    <x v="1"/>
    <x v="1"/>
    <x v="2"/>
    <n v="205"/>
    <n v="293.14999999999998"/>
  </r>
  <r>
    <s v="AD01-9361"/>
    <x v="4"/>
    <s v="Aug"/>
    <x v="1"/>
    <x v="1"/>
    <s v="Cancelld"/>
    <x v="1"/>
    <x v="1"/>
    <x v="2"/>
    <n v="175"/>
    <n v="250.25"/>
  </r>
  <r>
    <s v="AD01-9362"/>
    <x v="4"/>
    <s v="Aug"/>
    <x v="1"/>
    <x v="1"/>
    <s v="Cancelld"/>
    <x v="1"/>
    <x v="1"/>
    <x v="2"/>
    <n v="814"/>
    <n v="1164.02"/>
  </r>
  <r>
    <s v="AD01-9365"/>
    <x v="4"/>
    <s v="Dec"/>
    <x v="1"/>
    <x v="1"/>
    <s v="Cancelld"/>
    <x v="1"/>
    <x v="1"/>
    <x v="2"/>
    <n v="182"/>
    <n v="260.26"/>
  </r>
  <r>
    <s v="AD01-9364"/>
    <x v="4"/>
    <s v="Dec"/>
    <x v="1"/>
    <x v="1"/>
    <s v="Cancelld"/>
    <x v="1"/>
    <x v="1"/>
    <x v="2"/>
    <n v="152"/>
    <n v="217.36"/>
  </r>
  <r>
    <s v="AD01-9361"/>
    <x v="4"/>
    <s v="Dec"/>
    <x v="1"/>
    <x v="1"/>
    <s v="Cancelld"/>
    <x v="1"/>
    <x v="1"/>
    <x v="2"/>
    <n v="184"/>
    <n v="263.12"/>
  </r>
  <r>
    <s v="AD01-9363"/>
    <x v="4"/>
    <s v="Dec"/>
    <x v="1"/>
    <x v="1"/>
    <s v="Cancelld"/>
    <x v="1"/>
    <x v="1"/>
    <x v="2"/>
    <n v="154"/>
    <n v="220.22"/>
  </r>
  <r>
    <s v="AD01-9363"/>
    <x v="4"/>
    <s v="Dec"/>
    <x v="1"/>
    <x v="1"/>
    <s v="Cancelld"/>
    <x v="1"/>
    <x v="1"/>
    <x v="2"/>
    <n v="809"/>
    <n v="1156.8699999999999"/>
  </r>
  <r>
    <s v="AD01-9362"/>
    <x v="4"/>
    <s v="Dec"/>
    <x v="1"/>
    <x v="1"/>
    <s v="Cancelld"/>
    <x v="1"/>
    <x v="1"/>
    <x v="2"/>
    <n v="895"/>
    <n v="1279.8499999999999"/>
  </r>
  <r>
    <s v="AD01-9362"/>
    <x v="4"/>
    <s v="Dec"/>
    <x v="1"/>
    <x v="1"/>
    <s v="Cancelld"/>
    <x v="1"/>
    <x v="1"/>
    <x v="2"/>
    <n v="848"/>
    <n v="526.24"/>
  </r>
  <r>
    <s v="AD01-9363"/>
    <x v="4"/>
    <s v="Dec"/>
    <x v="1"/>
    <x v="1"/>
    <s v="Cancelld"/>
    <x v="1"/>
    <x v="1"/>
    <x v="2"/>
    <n v="153"/>
    <n v="218.79"/>
  </r>
  <r>
    <s v="AD01-9363"/>
    <x v="4"/>
    <s v="Dec"/>
    <x v="1"/>
    <x v="1"/>
    <s v="Cancelld"/>
    <x v="1"/>
    <x v="1"/>
    <x v="2"/>
    <n v="181"/>
    <n v="258.83"/>
  </r>
  <r>
    <s v="AD01-9361"/>
    <x v="4"/>
    <s v="Dec"/>
    <x v="1"/>
    <x v="1"/>
    <s v="Cancelld"/>
    <x v="1"/>
    <x v="1"/>
    <x v="2"/>
    <n v="157"/>
    <n v="224.51"/>
  </r>
  <r>
    <s v="AD01-9364"/>
    <x v="4"/>
    <s v="Dec"/>
    <x v="1"/>
    <x v="1"/>
    <s v="Cancelld"/>
    <x v="1"/>
    <x v="1"/>
    <x v="2"/>
    <n v="818"/>
    <n v="1169.74"/>
  </r>
  <r>
    <s v="AD01-9365"/>
    <x v="4"/>
    <s v="Dec"/>
    <x v="1"/>
    <x v="1"/>
    <s v="Cancelld"/>
    <x v="1"/>
    <x v="1"/>
    <x v="2"/>
    <n v="155"/>
    <n v="221.65"/>
  </r>
  <r>
    <s v="AD01-9361"/>
    <x v="4"/>
    <s v="Feb"/>
    <x v="1"/>
    <x v="1"/>
    <s v="Cancelld"/>
    <x v="1"/>
    <x v="1"/>
    <x v="2"/>
    <n v="236"/>
    <n v="337.48"/>
  </r>
  <r>
    <s v="AD01-9361"/>
    <x v="4"/>
    <s v="Feb"/>
    <x v="1"/>
    <x v="1"/>
    <s v="Cancelld"/>
    <x v="1"/>
    <x v="1"/>
    <x v="2"/>
    <n v="206"/>
    <n v="294.58"/>
  </r>
  <r>
    <s v="AD01-9363"/>
    <x v="4"/>
    <s v="Feb"/>
    <x v="1"/>
    <x v="1"/>
    <s v="Cancelld"/>
    <x v="1"/>
    <x v="1"/>
    <x v="2"/>
    <n v="208"/>
    <n v="297.44"/>
  </r>
  <r>
    <s v="AD01-9362"/>
    <x v="4"/>
    <s v="Feb"/>
    <x v="1"/>
    <x v="1"/>
    <s v="Cancelld"/>
    <x v="1"/>
    <x v="1"/>
    <x v="2"/>
    <n v="800"/>
    <n v="1144"/>
  </r>
  <r>
    <s v="AD01-9364"/>
    <x v="4"/>
    <s v="Feb"/>
    <x v="1"/>
    <x v="1"/>
    <s v="Cancelld"/>
    <x v="1"/>
    <x v="1"/>
    <x v="2"/>
    <n v="886"/>
    <n v="1266.98"/>
  </r>
  <r>
    <s v="AD01-9364"/>
    <x v="4"/>
    <s v="Feb"/>
    <x v="1"/>
    <x v="1"/>
    <s v="Cancelld"/>
    <x v="1"/>
    <x v="1"/>
    <x v="2"/>
    <n v="839"/>
    <n v="526.24"/>
  </r>
  <r>
    <s v="AD01-9362"/>
    <x v="4"/>
    <s v="Feb"/>
    <x v="1"/>
    <x v="1"/>
    <s v="Cancelld"/>
    <x v="1"/>
    <x v="1"/>
    <x v="2"/>
    <n v="207"/>
    <n v="296.01"/>
  </r>
  <r>
    <s v="AD01-9363"/>
    <x v="4"/>
    <s v="Feb"/>
    <x v="1"/>
    <x v="1"/>
    <s v="Cancelld"/>
    <x v="1"/>
    <x v="1"/>
    <x v="2"/>
    <n v="235"/>
    <n v="336.05"/>
  </r>
  <r>
    <s v="AD01-9361"/>
    <x v="4"/>
    <s v="Feb"/>
    <x v="1"/>
    <x v="1"/>
    <s v="Cancelld"/>
    <x v="1"/>
    <x v="1"/>
    <x v="2"/>
    <n v="809"/>
    <n v="1156.8699999999999"/>
  </r>
  <r>
    <s v="AD01-9361"/>
    <x v="4"/>
    <s v="Feb"/>
    <x v="1"/>
    <x v="1"/>
    <s v="Cancelld"/>
    <x v="1"/>
    <x v="1"/>
    <x v="2"/>
    <n v="209"/>
    <n v="298.87"/>
  </r>
  <r>
    <s v="AD01-9361"/>
    <x v="4"/>
    <s v="Jan"/>
    <x v="1"/>
    <x v="1"/>
    <s v="Cancelld"/>
    <x v="1"/>
    <x v="1"/>
    <x v="2"/>
    <n v="242"/>
    <n v="346.06"/>
  </r>
  <r>
    <s v="AD01-9364"/>
    <x v="4"/>
    <s v="Jan"/>
    <x v="1"/>
    <x v="1"/>
    <s v="Cancelld"/>
    <x v="1"/>
    <x v="1"/>
    <x v="2"/>
    <n v="212"/>
    <n v="303.15999999999997"/>
  </r>
  <r>
    <s v="AD01-9362"/>
    <x v="4"/>
    <s v="Jan"/>
    <x v="1"/>
    <x v="1"/>
    <s v="Cancelld"/>
    <x v="1"/>
    <x v="1"/>
    <x v="2"/>
    <n v="238"/>
    <n v="340.34000000000003"/>
  </r>
  <r>
    <s v="AD01-9364"/>
    <x v="4"/>
    <s v="Jan"/>
    <x v="1"/>
    <x v="1"/>
    <s v="Cancelld"/>
    <x v="1"/>
    <x v="1"/>
    <x v="2"/>
    <n v="214"/>
    <n v="306.02"/>
  </r>
  <r>
    <s v="AD01-9362"/>
    <x v="4"/>
    <s v="Jan"/>
    <x v="1"/>
    <x v="1"/>
    <s v="Cancelld"/>
    <x v="1"/>
    <x v="1"/>
    <x v="2"/>
    <n v="799"/>
    <n v="1142.57"/>
  </r>
  <r>
    <s v="AD01-9362"/>
    <x v="4"/>
    <s v="Jan"/>
    <x v="1"/>
    <x v="1"/>
    <s v="Cancelld"/>
    <x v="1"/>
    <x v="1"/>
    <x v="2"/>
    <n v="213"/>
    <n v="304.59000000000003"/>
  </r>
  <r>
    <s v="AD01-9364"/>
    <x v="4"/>
    <s v="Jan"/>
    <x v="1"/>
    <x v="1"/>
    <s v="Cancelld"/>
    <x v="1"/>
    <x v="1"/>
    <x v="2"/>
    <n v="241"/>
    <n v="344.63"/>
  </r>
  <r>
    <s v="AD01-9362"/>
    <x v="4"/>
    <s v="Jan"/>
    <x v="1"/>
    <x v="1"/>
    <s v="Cancelld"/>
    <x v="1"/>
    <x v="1"/>
    <x v="2"/>
    <n v="211"/>
    <n v="301.73"/>
  </r>
  <r>
    <s v="AD01-9364"/>
    <x v="4"/>
    <s v="Jan"/>
    <x v="1"/>
    <x v="1"/>
    <s v="Cancelld"/>
    <x v="1"/>
    <x v="1"/>
    <x v="2"/>
    <n v="808"/>
    <n v="1155.44"/>
  </r>
  <r>
    <s v="AD01-9361"/>
    <x v="4"/>
    <s v="Jan"/>
    <x v="1"/>
    <x v="1"/>
    <s v="Cancelld"/>
    <x v="1"/>
    <x v="1"/>
    <x v="2"/>
    <n v="215"/>
    <n v="307.45"/>
  </r>
  <r>
    <s v="AD01-9361"/>
    <x v="4"/>
    <s v="Jul"/>
    <x v="1"/>
    <x v="1"/>
    <s v="Cancelld"/>
    <x v="1"/>
    <x v="1"/>
    <x v="2"/>
    <n v="206"/>
    <n v="294.58"/>
  </r>
  <r>
    <s v="AD01-9362"/>
    <x v="4"/>
    <s v="Jul"/>
    <x v="1"/>
    <x v="1"/>
    <s v="Cancelld"/>
    <x v="1"/>
    <x v="1"/>
    <x v="2"/>
    <n v="182"/>
    <n v="260.26"/>
  </r>
  <r>
    <s v="AD01-9362"/>
    <x v="4"/>
    <s v="Jul"/>
    <x v="1"/>
    <x v="1"/>
    <s v="Cancelld"/>
    <x v="1"/>
    <x v="1"/>
    <x v="2"/>
    <n v="208"/>
    <n v="297.44"/>
  </r>
  <r>
    <s v="AD01-9362"/>
    <x v="4"/>
    <s v="Jul"/>
    <x v="1"/>
    <x v="1"/>
    <s v="Cancelld"/>
    <x v="1"/>
    <x v="1"/>
    <x v="2"/>
    <n v="804"/>
    <n v="1149.72"/>
  </r>
  <r>
    <s v="AD01-9361"/>
    <x v="4"/>
    <s v="Jul"/>
    <x v="1"/>
    <x v="1"/>
    <s v="Cancelld"/>
    <x v="1"/>
    <x v="1"/>
    <x v="2"/>
    <n v="891"/>
    <n v="1274.1300000000001"/>
  </r>
  <r>
    <s v="AD01-9361"/>
    <x v="4"/>
    <s v="Jul"/>
    <x v="1"/>
    <x v="1"/>
    <s v="Cancelld"/>
    <x v="1"/>
    <x v="1"/>
    <x v="2"/>
    <n v="844"/>
    <n v="526.24"/>
  </r>
  <r>
    <s v="AD01-9362"/>
    <x v="4"/>
    <s v="Jul"/>
    <x v="1"/>
    <x v="1"/>
    <s v="Cancelld"/>
    <x v="1"/>
    <x v="1"/>
    <x v="2"/>
    <n v="183"/>
    <n v="261.69"/>
  </r>
  <r>
    <s v="AD01-9362"/>
    <x v="4"/>
    <s v="Jul"/>
    <x v="1"/>
    <x v="1"/>
    <s v="Cancelld"/>
    <x v="1"/>
    <x v="1"/>
    <x v="2"/>
    <n v="181"/>
    <n v="258.83"/>
  </r>
  <r>
    <s v="AD01-9362"/>
    <x v="4"/>
    <s v="Jul"/>
    <x v="1"/>
    <x v="1"/>
    <s v="Cancelld"/>
    <x v="1"/>
    <x v="1"/>
    <x v="2"/>
    <n v="813"/>
    <n v="1162.5899999999999"/>
  </r>
  <r>
    <s v="AD01-9361"/>
    <x v="4"/>
    <s v="Jul"/>
    <x v="1"/>
    <x v="1"/>
    <s v="Cancelld"/>
    <x v="1"/>
    <x v="1"/>
    <x v="2"/>
    <n v="179"/>
    <n v="255.97"/>
  </r>
  <r>
    <s v="AD01-9362"/>
    <x v="4"/>
    <s v="Jun"/>
    <x v="1"/>
    <x v="1"/>
    <s v="Cancelld"/>
    <x v="1"/>
    <x v="1"/>
    <x v="2"/>
    <n v="212"/>
    <n v="303.15999999999997"/>
  </r>
  <r>
    <s v="AD01-9364"/>
    <x v="4"/>
    <s v="Jun"/>
    <x v="1"/>
    <x v="1"/>
    <s v="Cancelld"/>
    <x v="1"/>
    <x v="1"/>
    <x v="2"/>
    <n v="188"/>
    <n v="268.84000000000003"/>
  </r>
  <r>
    <s v="AD01-9363"/>
    <x v="4"/>
    <s v="Jun"/>
    <x v="1"/>
    <x v="1"/>
    <s v="Cancelld"/>
    <x v="1"/>
    <x v="1"/>
    <x v="2"/>
    <n v="214"/>
    <n v="306.02"/>
  </r>
  <r>
    <s v="AD01-9364"/>
    <x v="4"/>
    <s v="Jun"/>
    <x v="1"/>
    <x v="1"/>
    <s v="Cancelld"/>
    <x v="1"/>
    <x v="1"/>
    <x v="2"/>
    <n v="184"/>
    <n v="263.12"/>
  </r>
  <r>
    <s v="AD01-9363"/>
    <x v="4"/>
    <s v="Jun"/>
    <x v="1"/>
    <x v="1"/>
    <s v="Cancelld"/>
    <x v="1"/>
    <x v="1"/>
    <x v="2"/>
    <n v="803"/>
    <n v="1148.29"/>
  </r>
  <r>
    <s v="AD01-9364"/>
    <x v="4"/>
    <s v="Jun"/>
    <x v="1"/>
    <x v="1"/>
    <s v="Cancelld"/>
    <x v="1"/>
    <x v="1"/>
    <x v="2"/>
    <n v="890"/>
    <n v="1272.7"/>
  </r>
  <r>
    <s v="AD01-9364"/>
    <x v="4"/>
    <s v="Jun"/>
    <x v="1"/>
    <x v="1"/>
    <s v="Cancelld"/>
    <x v="1"/>
    <x v="1"/>
    <x v="2"/>
    <n v="843"/>
    <n v="526.24"/>
  </r>
  <r>
    <s v="AD01-9363"/>
    <x v="4"/>
    <s v="Jun"/>
    <x v="1"/>
    <x v="1"/>
    <s v="Cancelld"/>
    <x v="1"/>
    <x v="1"/>
    <x v="2"/>
    <n v="189"/>
    <n v="270.27"/>
  </r>
  <r>
    <s v="AD01-9364"/>
    <x v="4"/>
    <s v="Jun"/>
    <x v="1"/>
    <x v="1"/>
    <s v="Cancelld"/>
    <x v="1"/>
    <x v="1"/>
    <x v="2"/>
    <n v="211"/>
    <n v="301.73"/>
  </r>
  <r>
    <s v="AD01-9363"/>
    <x v="4"/>
    <s v="Jun"/>
    <x v="1"/>
    <x v="1"/>
    <s v="Cancelld"/>
    <x v="1"/>
    <x v="1"/>
    <x v="2"/>
    <n v="187"/>
    <n v="267.40999999999997"/>
  </r>
  <r>
    <s v="AD01-9364"/>
    <x v="4"/>
    <s v="Jun"/>
    <x v="1"/>
    <x v="1"/>
    <s v="Cancelld"/>
    <x v="1"/>
    <x v="1"/>
    <x v="2"/>
    <n v="812"/>
    <n v="1161.1599999999999"/>
  </r>
  <r>
    <s v="AD01-9362"/>
    <x v="4"/>
    <s v="Jun"/>
    <x v="1"/>
    <x v="1"/>
    <s v="Cancelld"/>
    <x v="1"/>
    <x v="1"/>
    <x v="2"/>
    <n v="185"/>
    <n v="264.55"/>
  </r>
  <r>
    <s v="AD01-9362"/>
    <x v="4"/>
    <s v="Mar"/>
    <x v="1"/>
    <x v="1"/>
    <s v="Cancelld"/>
    <x v="1"/>
    <x v="1"/>
    <x v="2"/>
    <n v="230"/>
    <n v="328.9"/>
  </r>
  <r>
    <s v="AD01-9361"/>
    <x v="4"/>
    <s v="Mar"/>
    <x v="1"/>
    <x v="1"/>
    <s v="Cancelld"/>
    <x v="1"/>
    <x v="1"/>
    <x v="2"/>
    <n v="200"/>
    <n v="286"/>
  </r>
  <r>
    <s v="AD01-9361"/>
    <x v="4"/>
    <s v="Mar"/>
    <x v="1"/>
    <x v="1"/>
    <s v="Cancelld"/>
    <x v="1"/>
    <x v="1"/>
    <x v="2"/>
    <n v="232"/>
    <n v="331.76"/>
  </r>
  <r>
    <s v="AD01-9364"/>
    <x v="4"/>
    <s v="Mar"/>
    <x v="1"/>
    <x v="1"/>
    <s v="Cancelld"/>
    <x v="1"/>
    <x v="1"/>
    <x v="2"/>
    <n v="202"/>
    <n v="288.86"/>
  </r>
  <r>
    <s v="AD01-9361"/>
    <x v="4"/>
    <s v="Mar"/>
    <x v="1"/>
    <x v="1"/>
    <s v="Cancelld"/>
    <x v="1"/>
    <x v="1"/>
    <x v="2"/>
    <n v="801"/>
    <n v="1145.43"/>
  </r>
  <r>
    <s v="AD01-9361"/>
    <x v="4"/>
    <s v="Mar"/>
    <x v="1"/>
    <x v="1"/>
    <s v="Cancelld"/>
    <x v="1"/>
    <x v="1"/>
    <x v="2"/>
    <n v="887"/>
    <n v="1268.4099999999999"/>
  </r>
  <r>
    <s v="AD01-9361"/>
    <x v="4"/>
    <s v="Mar"/>
    <x v="1"/>
    <x v="1"/>
    <s v="Cancelld"/>
    <x v="1"/>
    <x v="1"/>
    <x v="2"/>
    <n v="840"/>
    <n v="526.24"/>
  </r>
  <r>
    <s v="AD01-9361"/>
    <x v="4"/>
    <s v="Mar"/>
    <x v="1"/>
    <x v="1"/>
    <s v="Cancelld"/>
    <x v="1"/>
    <x v="1"/>
    <x v="2"/>
    <n v="201"/>
    <n v="287.43"/>
  </r>
  <r>
    <s v="AD01-9364"/>
    <x v="4"/>
    <s v="Mar"/>
    <x v="1"/>
    <x v="1"/>
    <s v="Cancelld"/>
    <x v="1"/>
    <x v="1"/>
    <x v="2"/>
    <n v="229"/>
    <n v="327.47000000000003"/>
  </r>
  <r>
    <s v="AD01-9361"/>
    <x v="4"/>
    <s v="Mar"/>
    <x v="1"/>
    <x v="1"/>
    <s v="Cancelld"/>
    <x v="1"/>
    <x v="1"/>
    <x v="2"/>
    <n v="205"/>
    <n v="293.14999999999998"/>
  </r>
  <r>
    <s v="AD01-9361"/>
    <x v="4"/>
    <s v="Mar"/>
    <x v="1"/>
    <x v="1"/>
    <s v="Cancelld"/>
    <x v="1"/>
    <x v="1"/>
    <x v="2"/>
    <n v="810"/>
    <n v="1158.3"/>
  </r>
  <r>
    <s v="AD01-9362"/>
    <x v="4"/>
    <s v="Mar"/>
    <x v="1"/>
    <x v="1"/>
    <s v="Cancelld"/>
    <x v="1"/>
    <x v="1"/>
    <x v="2"/>
    <n v="203"/>
    <n v="290.28999999999996"/>
  </r>
  <r>
    <s v="AD01-9364"/>
    <x v="4"/>
    <s v="May"/>
    <x v="1"/>
    <x v="1"/>
    <s v="Cancelld"/>
    <x v="1"/>
    <x v="1"/>
    <x v="2"/>
    <n v="218"/>
    <n v="311.74"/>
  </r>
  <r>
    <s v="AD01-9364"/>
    <x v="4"/>
    <s v="May"/>
    <x v="1"/>
    <x v="1"/>
    <s v="Cancelld"/>
    <x v="1"/>
    <x v="1"/>
    <x v="2"/>
    <n v="194"/>
    <n v="277.42"/>
  </r>
  <r>
    <s v="AD01-9362"/>
    <x v="4"/>
    <s v="May"/>
    <x v="1"/>
    <x v="1"/>
    <s v="Cancelld"/>
    <x v="1"/>
    <x v="1"/>
    <x v="2"/>
    <n v="220"/>
    <n v="314.60000000000002"/>
  </r>
  <r>
    <s v="AD01-9362"/>
    <x v="4"/>
    <s v="May"/>
    <x v="1"/>
    <x v="1"/>
    <s v="Cancelld"/>
    <x v="1"/>
    <x v="1"/>
    <x v="2"/>
    <n v="190"/>
    <n v="271.7"/>
  </r>
  <r>
    <s v="AD01-9362"/>
    <x v="4"/>
    <s v="May"/>
    <x v="1"/>
    <x v="1"/>
    <s v="Cancelld"/>
    <x v="1"/>
    <x v="1"/>
    <x v="2"/>
    <n v="889"/>
    <n v="1271.27"/>
  </r>
  <r>
    <s v="AD01-9362"/>
    <x v="4"/>
    <s v="May"/>
    <x v="1"/>
    <x v="1"/>
    <s v="Cancelld"/>
    <x v="1"/>
    <x v="1"/>
    <x v="2"/>
    <n v="842"/>
    <n v="526.24"/>
  </r>
  <r>
    <s v="AD01-9362"/>
    <x v="4"/>
    <s v="May"/>
    <x v="1"/>
    <x v="1"/>
    <s v="Cancelld"/>
    <x v="1"/>
    <x v="1"/>
    <x v="2"/>
    <n v="217"/>
    <n v="310.31"/>
  </r>
  <r>
    <s v="AD01-9362"/>
    <x v="4"/>
    <s v="May"/>
    <x v="1"/>
    <x v="1"/>
    <s v="Cancelld"/>
    <x v="1"/>
    <x v="1"/>
    <x v="2"/>
    <n v="193"/>
    <n v="275.99"/>
  </r>
  <r>
    <s v="AD01-9364"/>
    <x v="4"/>
    <s v="May"/>
    <x v="1"/>
    <x v="1"/>
    <s v="Cancelld"/>
    <x v="1"/>
    <x v="1"/>
    <x v="2"/>
    <n v="811"/>
    <n v="1159.73"/>
  </r>
  <r>
    <s v="AD01-9364"/>
    <x v="4"/>
    <s v="May"/>
    <x v="1"/>
    <x v="1"/>
    <s v="Cancelld"/>
    <x v="1"/>
    <x v="1"/>
    <x v="2"/>
    <n v="191"/>
    <n v="273.13"/>
  </r>
  <r>
    <s v="AD01-9362"/>
    <x v="4"/>
    <s v="Nov"/>
    <x v="1"/>
    <x v="1"/>
    <s v="Cancelld"/>
    <x v="1"/>
    <x v="1"/>
    <x v="2"/>
    <n v="188"/>
    <n v="268.84000000000003"/>
  </r>
  <r>
    <s v="AD01-9365"/>
    <x v="4"/>
    <s v="Nov"/>
    <x v="1"/>
    <x v="1"/>
    <s v="Cancelld"/>
    <x v="1"/>
    <x v="1"/>
    <x v="2"/>
    <n v="158"/>
    <n v="225.94"/>
  </r>
  <r>
    <s v="AD01-9361"/>
    <x v="4"/>
    <s v="Nov"/>
    <x v="1"/>
    <x v="1"/>
    <s v="Cancelld"/>
    <x v="1"/>
    <x v="1"/>
    <x v="2"/>
    <n v="160"/>
    <n v="228.8"/>
  </r>
  <r>
    <s v="AD01-9361"/>
    <x v="4"/>
    <s v="Nov"/>
    <x v="1"/>
    <x v="1"/>
    <s v="Cancelld"/>
    <x v="1"/>
    <x v="1"/>
    <x v="2"/>
    <n v="808"/>
    <n v="1155.44"/>
  </r>
  <r>
    <s v="AD01-9362"/>
    <x v="4"/>
    <s v="Nov"/>
    <x v="1"/>
    <x v="1"/>
    <s v="Cancelld"/>
    <x v="1"/>
    <x v="1"/>
    <x v="2"/>
    <n v="894"/>
    <n v="1278.42"/>
  </r>
  <r>
    <s v="AD01-9362"/>
    <x v="4"/>
    <s v="Nov"/>
    <x v="1"/>
    <x v="1"/>
    <s v="Cancelld"/>
    <x v="1"/>
    <x v="1"/>
    <x v="2"/>
    <n v="847"/>
    <n v="526.24"/>
  </r>
  <r>
    <s v="AD01-9361"/>
    <x v="4"/>
    <s v="Nov"/>
    <x v="1"/>
    <x v="1"/>
    <s v="Cancelld"/>
    <x v="1"/>
    <x v="1"/>
    <x v="2"/>
    <n v="159"/>
    <n v="227.37"/>
  </r>
  <r>
    <s v="AD01-9361"/>
    <x v="4"/>
    <s v="Nov"/>
    <x v="1"/>
    <x v="1"/>
    <s v="Cancelld"/>
    <x v="1"/>
    <x v="1"/>
    <x v="2"/>
    <n v="187"/>
    <n v="267.40999999999997"/>
  </r>
  <r>
    <s v="AD01-9365"/>
    <x v="4"/>
    <s v="Nov"/>
    <x v="1"/>
    <x v="1"/>
    <s v="Cancelld"/>
    <x v="1"/>
    <x v="1"/>
    <x v="2"/>
    <n v="817"/>
    <n v="1168.31"/>
  </r>
  <r>
    <s v="AD01-9362"/>
    <x v="4"/>
    <s v="Nov"/>
    <x v="1"/>
    <x v="1"/>
    <s v="Cancelld"/>
    <x v="1"/>
    <x v="1"/>
    <x v="2"/>
    <n v="161"/>
    <n v="230.23000000000002"/>
  </r>
  <r>
    <s v="AD01-9361"/>
    <x v="4"/>
    <s v="Oct"/>
    <x v="1"/>
    <x v="1"/>
    <s v="Cancelld"/>
    <x v="1"/>
    <x v="1"/>
    <x v="2"/>
    <n v="194"/>
    <n v="277.42"/>
  </r>
  <r>
    <s v="AD01-9362"/>
    <x v="4"/>
    <s v="Oct"/>
    <x v="1"/>
    <x v="1"/>
    <s v="Cancelld"/>
    <x v="1"/>
    <x v="1"/>
    <x v="2"/>
    <n v="164"/>
    <n v="234.51999999999998"/>
  </r>
  <r>
    <s v="AD01-9362"/>
    <x v="4"/>
    <s v="Oct"/>
    <x v="1"/>
    <x v="1"/>
    <s v="Cancelld"/>
    <x v="1"/>
    <x v="1"/>
    <x v="2"/>
    <n v="190"/>
    <n v="271.7"/>
  </r>
  <r>
    <s v="AD01-9363"/>
    <x v="4"/>
    <s v="Oct"/>
    <x v="1"/>
    <x v="1"/>
    <s v="Cancelld"/>
    <x v="1"/>
    <x v="1"/>
    <x v="2"/>
    <n v="166"/>
    <n v="237.38"/>
  </r>
  <r>
    <s v="AD01-9361"/>
    <x v="4"/>
    <s v="Oct"/>
    <x v="1"/>
    <x v="1"/>
    <s v="Cancelld"/>
    <x v="1"/>
    <x v="1"/>
    <x v="2"/>
    <n v="807"/>
    <n v="1154.01"/>
  </r>
  <r>
    <s v="AD01-9361"/>
    <x v="4"/>
    <s v="Oct"/>
    <x v="1"/>
    <x v="1"/>
    <s v="Cancelld"/>
    <x v="1"/>
    <x v="1"/>
    <x v="2"/>
    <n v="165"/>
    <n v="235.95"/>
  </r>
  <r>
    <s v="AD01-9363"/>
    <x v="4"/>
    <s v="Oct"/>
    <x v="1"/>
    <x v="1"/>
    <s v="Cancelld"/>
    <x v="1"/>
    <x v="1"/>
    <x v="2"/>
    <n v="193"/>
    <n v="275.99"/>
  </r>
  <r>
    <s v="AD01-9362"/>
    <x v="4"/>
    <s v="Oct"/>
    <x v="1"/>
    <x v="1"/>
    <s v="Cancelld"/>
    <x v="1"/>
    <x v="1"/>
    <x v="2"/>
    <n v="163"/>
    <n v="233.09"/>
  </r>
  <r>
    <s v="AD01-9362"/>
    <x v="4"/>
    <s v="Oct"/>
    <x v="1"/>
    <x v="1"/>
    <s v="Cancelld"/>
    <x v="1"/>
    <x v="1"/>
    <x v="2"/>
    <n v="816"/>
    <n v="1166.8800000000001"/>
  </r>
  <r>
    <s v="AD01-9361"/>
    <x v="4"/>
    <s v="Oct"/>
    <x v="1"/>
    <x v="1"/>
    <s v="Cancelld"/>
    <x v="1"/>
    <x v="1"/>
    <x v="2"/>
    <n v="167"/>
    <n v="238.81"/>
  </r>
  <r>
    <s v="AD01-9362"/>
    <x v="4"/>
    <s v="Sep"/>
    <x v="1"/>
    <x v="1"/>
    <s v="Cancelld"/>
    <x v="1"/>
    <x v="1"/>
    <x v="2"/>
    <n v="200"/>
    <n v="286"/>
  </r>
  <r>
    <s v="AD01-9361"/>
    <x v="4"/>
    <s v="Sep"/>
    <x v="1"/>
    <x v="1"/>
    <s v="Cancelld"/>
    <x v="1"/>
    <x v="1"/>
    <x v="2"/>
    <n v="170"/>
    <n v="243.1"/>
  </r>
  <r>
    <s v="AD01-9361"/>
    <x v="4"/>
    <s v="Sep"/>
    <x v="1"/>
    <x v="1"/>
    <s v="Cancelld"/>
    <x v="1"/>
    <x v="1"/>
    <x v="2"/>
    <n v="196"/>
    <n v="280.27999999999997"/>
  </r>
  <r>
    <s v="AD01-9362"/>
    <x v="4"/>
    <s v="Sep"/>
    <x v="1"/>
    <x v="1"/>
    <s v="Cancelld"/>
    <x v="1"/>
    <x v="1"/>
    <x v="2"/>
    <n v="172"/>
    <n v="245.95999999999998"/>
  </r>
  <r>
    <s v="AD01-9362"/>
    <x v="4"/>
    <s v="Sep"/>
    <x v="1"/>
    <x v="1"/>
    <s v="Cancelld"/>
    <x v="1"/>
    <x v="1"/>
    <x v="2"/>
    <n v="806"/>
    <n v="1152.58"/>
  </r>
  <r>
    <s v="AD01-9361"/>
    <x v="4"/>
    <s v="Sep"/>
    <x v="1"/>
    <x v="1"/>
    <s v="Cancelld"/>
    <x v="1"/>
    <x v="1"/>
    <x v="2"/>
    <n v="893"/>
    <n v="1276.99"/>
  </r>
  <r>
    <s v="AD01-9361"/>
    <x v="4"/>
    <s v="Sep"/>
    <x v="1"/>
    <x v="1"/>
    <s v="Cancelld"/>
    <x v="1"/>
    <x v="1"/>
    <x v="2"/>
    <n v="846"/>
    <n v="526.24"/>
  </r>
  <r>
    <s v="AD01-9362"/>
    <x v="4"/>
    <s v="Sep"/>
    <x v="1"/>
    <x v="1"/>
    <s v="Cancelld"/>
    <x v="1"/>
    <x v="1"/>
    <x v="2"/>
    <n v="171"/>
    <n v="244.53"/>
  </r>
  <r>
    <s v="AD01-9362"/>
    <x v="4"/>
    <s v="Sep"/>
    <x v="1"/>
    <x v="1"/>
    <s v="Cancelld"/>
    <x v="1"/>
    <x v="1"/>
    <x v="2"/>
    <n v="199"/>
    <n v="284.57"/>
  </r>
  <r>
    <s v="AD01-9361"/>
    <x v="4"/>
    <s v="Sep"/>
    <x v="1"/>
    <x v="1"/>
    <s v="Cancelld"/>
    <x v="1"/>
    <x v="1"/>
    <x v="2"/>
    <n v="169"/>
    <n v="241.67000000000002"/>
  </r>
  <r>
    <s v="AD01-9361"/>
    <x v="4"/>
    <s v="Sep"/>
    <x v="1"/>
    <x v="1"/>
    <s v="Cancelld"/>
    <x v="1"/>
    <x v="1"/>
    <x v="2"/>
    <n v="815"/>
    <n v="1165.45"/>
  </r>
  <r>
    <s v="AD01-9362"/>
    <x v="4"/>
    <s v="Sep"/>
    <x v="1"/>
    <x v="1"/>
    <s v="Cancelld"/>
    <x v="1"/>
    <x v="1"/>
    <x v="2"/>
    <n v="173"/>
    <n v="247.3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38CB217-CF6F-4E46-AD96-CB6B5AF672C7}"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X6:Z19" firstHeaderRow="0" firstDataRow="1" firstDataCol="1"/>
  <pivotFields count="9">
    <pivotField showAll="0">
      <items count="6">
        <item x="0"/>
        <item h="1" x="1"/>
        <item h="1" x="2"/>
        <item h="1" x="3"/>
        <item h="1" x="4"/>
        <item t="default"/>
      </items>
    </pivotField>
    <pivotField axis="axisRow" showAll="0">
      <items count="13">
        <item x="0"/>
        <item x="1"/>
        <item x="2"/>
        <item x="3"/>
        <item x="4"/>
        <item x="5"/>
        <item x="6"/>
        <item x="7"/>
        <item x="8"/>
        <item x="9"/>
        <item x="10"/>
        <item x="11"/>
        <item t="default"/>
      </items>
    </pivotField>
    <pivotField showAll="0" sortType="descending">
      <items count="7">
        <item x="3"/>
        <item x="2"/>
        <item x="1"/>
        <item x="0"/>
        <item x="5"/>
        <item x="4"/>
        <item t="default"/>
      </items>
    </pivotField>
    <pivotField showAll="0"/>
    <pivotField numFmtId="164" showAll="0"/>
    <pivotField dataField="1" numFmtId="164" showAll="0"/>
    <pivotField numFmtId="164" showAll="0">
      <items count="20">
        <item x="6"/>
        <item x="18"/>
        <item x="8"/>
        <item x="9"/>
        <item x="7"/>
        <item x="2"/>
        <item x="0"/>
        <item x="5"/>
        <item x="3"/>
        <item x="14"/>
        <item x="12"/>
        <item x="17"/>
        <item x="10"/>
        <item x="4"/>
        <item x="15"/>
        <item x="1"/>
        <item x="11"/>
        <item x="16"/>
        <item x="13"/>
        <item t="default"/>
      </items>
    </pivotField>
    <pivotField numFmtId="164" showAll="0"/>
    <pivotField showAll="0"/>
  </pivotFields>
  <rowFields count="1">
    <field x="1"/>
  </rowFields>
  <rowItems count="13">
    <i>
      <x/>
    </i>
    <i>
      <x v="1"/>
    </i>
    <i>
      <x v="2"/>
    </i>
    <i>
      <x v="3"/>
    </i>
    <i>
      <x v="4"/>
    </i>
    <i>
      <x v="5"/>
    </i>
    <i>
      <x v="6"/>
    </i>
    <i>
      <x v="7"/>
    </i>
    <i>
      <x v="8"/>
    </i>
    <i>
      <x v="9"/>
    </i>
    <i>
      <x v="10"/>
    </i>
    <i>
      <x v="11"/>
    </i>
    <i t="grand">
      <x/>
    </i>
  </rowItems>
  <colFields count="1">
    <field x="-2"/>
  </colFields>
  <colItems count="2">
    <i>
      <x/>
    </i>
    <i i="1">
      <x v="1"/>
    </i>
  </colItems>
  <dataFields count="2">
    <dataField name="Sum of Income" fld="5" baseField="0" baseItem="0" numFmtId="164"/>
    <dataField name="Sum of Income2" fld="5" baseField="0" baseItem="0" numFmtId="164"/>
  </dataFields>
  <formats count="12">
    <format dxfId="11">
      <pivotArea type="all" dataOnly="0" outline="0" fieldPosition="0"/>
    </format>
    <format dxfId="10">
      <pivotArea outline="0" collapsedLevelsAreSubtotals="1" fieldPosition="0"/>
    </format>
    <format dxfId="9">
      <pivotArea field="2" type="button" dataOnly="0" labelOnly="1" outline="0"/>
    </format>
    <format dxfId="8">
      <pivotArea dataOnly="0" labelOnly="1" grandRow="1" outline="0" fieldPosition="0"/>
    </format>
    <format dxfId="7">
      <pivotArea dataOnly="0" labelOnly="1" outline="0" fieldPosition="0">
        <references count="1">
          <reference field="4294967294" count="1">
            <x v="0"/>
          </reference>
        </references>
      </pivotArea>
    </format>
    <format dxfId="6">
      <pivotArea type="all" dataOnly="0" outline="0" fieldPosition="0"/>
    </format>
    <format dxfId="5">
      <pivotArea outline="0" collapsedLevelsAreSubtotals="1" fieldPosition="0"/>
    </format>
    <format dxfId="4">
      <pivotArea field="2" type="button" dataOnly="0" labelOnly="1" outline="0"/>
    </format>
    <format dxfId="3">
      <pivotArea dataOnly="0" labelOnly="1" grandRow="1" outline="0" fieldPosition="0"/>
    </format>
    <format dxfId="2">
      <pivotArea dataOnly="0" labelOnly="1" outline="0" fieldPosition="0">
        <references count="1">
          <reference field="4294967294" count="1">
            <x v="0"/>
          </reference>
        </references>
      </pivotArea>
    </format>
    <format dxfId="1">
      <pivotArea outline="0" collapsedLevelsAreSubtotals="1" fieldPosition="0"/>
    </format>
    <format dxfId="0">
      <pivotArea dataOnly="0" labelOnly="1" grandRow="1" outline="0" fieldPosition="0"/>
    </format>
  </formats>
  <chartFormats count="6">
    <chartFormat chart="7" format="2" series="1">
      <pivotArea type="data" outline="0" fieldPosition="0">
        <references count="1">
          <reference field="4294967294" count="1" selected="0">
            <x v="0"/>
          </reference>
        </references>
      </pivotArea>
    </chartFormat>
    <chartFormat chart="7" format="3" series="1">
      <pivotArea type="data" outline="0" fieldPosition="0">
        <references count="1">
          <reference field="4294967294" count="1" selected="0">
            <x v="1"/>
          </reference>
        </references>
      </pivotArea>
    </chartFormat>
    <chartFormat chart="8" format="4"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1"/>
          </reference>
        </references>
      </pivotArea>
    </chartFormat>
    <chartFormat chart="9" format="4"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1"/>
          </reference>
        </references>
      </pivotArea>
    </chartFormat>
  </chartFormats>
  <pivotTableStyleInfo name="PivotStyleMedium1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8BB78C8-9487-4421-9DD7-B525B176390F}" name="PivotTable12" cacheId="2"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ED17:EE19" firstHeaderRow="1" firstDataRow="1" firstDataCol="1"/>
  <pivotFields count="11">
    <pivotField showAll="0"/>
    <pivotField showAll="0">
      <items count="6">
        <item h="1" x="0"/>
        <item h="1" x="1"/>
        <item h="1" x="2"/>
        <item h="1" x="3"/>
        <item x="4"/>
        <item t="default"/>
      </items>
    </pivotField>
    <pivotField showAll="0"/>
    <pivotField showAll="0">
      <items count="3">
        <item x="1"/>
        <item x="0"/>
        <item t="default"/>
      </items>
    </pivotField>
    <pivotField showAll="0">
      <items count="3">
        <item x="1"/>
        <item x="0"/>
        <item t="default"/>
      </items>
    </pivotField>
    <pivotField showAll="0"/>
    <pivotField axis="axisRow" dataField="1" showAll="0" sortType="descending">
      <items count="3">
        <item x="1"/>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s>
  <rowFields count="1">
    <field x="6"/>
  </rowFields>
  <rowItems count="2">
    <i>
      <x v="1"/>
    </i>
    <i>
      <x/>
    </i>
  </rowItems>
  <colItems count="1">
    <i/>
  </colItems>
  <dataFields count="1">
    <dataField name="Count of Registration Status" fld="6" subtotal="count" baseField="0" baseItem="0"/>
  </dataFields>
  <pivotTableStyleInfo name="PivotStyleMedium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1BACEF4-F235-4779-8517-AAE321F68FDD}"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6:F13" firstHeaderRow="0" firstDataRow="1" firstDataCol="1"/>
  <pivotFields count="9">
    <pivotField showAll="0">
      <items count="6">
        <item x="0"/>
        <item h="1" x="1"/>
        <item h="1" x="2"/>
        <item h="1" x="3"/>
        <item h="1" x="4"/>
        <item t="default"/>
      </items>
    </pivotField>
    <pivotField showAll="0"/>
    <pivotField axis="axisRow" showAll="0" sortType="descending">
      <items count="7">
        <item x="3"/>
        <item x="2"/>
        <item x="1"/>
        <item x="0"/>
        <item x="5"/>
        <item x="4"/>
        <item t="default"/>
      </items>
    </pivotField>
    <pivotField showAll="0"/>
    <pivotField dataField="1" numFmtId="164" showAll="0"/>
    <pivotField dataField="1" numFmtId="164" showAll="0"/>
    <pivotField numFmtId="164" showAll="0"/>
    <pivotField numFmtId="164" showAll="0"/>
    <pivotField showAll="0"/>
  </pivotFields>
  <rowFields count="1">
    <field x="2"/>
  </rowFields>
  <rowItems count="7">
    <i>
      <x/>
    </i>
    <i>
      <x v="1"/>
    </i>
    <i>
      <x v="2"/>
    </i>
    <i>
      <x v="3"/>
    </i>
    <i>
      <x v="4"/>
    </i>
    <i>
      <x v="5"/>
    </i>
    <i t="grand">
      <x/>
    </i>
  </rowItems>
  <colFields count="1">
    <field x="-2"/>
  </colFields>
  <colItems count="3">
    <i>
      <x/>
    </i>
    <i i="1">
      <x v="1"/>
    </i>
    <i i="2">
      <x v="2"/>
    </i>
  </colItems>
  <dataFields count="3">
    <dataField name="Sum of Income" fld="5" baseField="0" baseItem="0" numFmtId="164"/>
    <dataField name="Sum of Counts" fld="4" baseField="0" baseItem="0" numFmtId="164"/>
    <dataField name="Sum of Counts2" fld="4" showDataAs="percentOfCol" baseField="2" baseItem="0" numFmtId="10"/>
  </dataFields>
  <formats count="16">
    <format dxfId="27">
      <pivotArea type="all" dataOnly="0" outline="0" fieldPosition="0"/>
    </format>
    <format dxfId="26">
      <pivotArea outline="0" collapsedLevelsAreSubtotals="1" fieldPosition="0"/>
    </format>
    <format dxfId="25">
      <pivotArea field="2" type="button" dataOnly="0" labelOnly="1" outline="0" axis="axisRow" fieldPosition="0"/>
    </format>
    <format dxfId="24">
      <pivotArea dataOnly="0" labelOnly="1" fieldPosition="0">
        <references count="1">
          <reference field="2" count="0"/>
        </references>
      </pivotArea>
    </format>
    <format dxfId="23">
      <pivotArea dataOnly="0" labelOnly="1" grandRow="1" outline="0" fieldPosition="0"/>
    </format>
    <format dxfId="22">
      <pivotArea dataOnly="0" labelOnly="1" outline="0" fieldPosition="0">
        <references count="1">
          <reference field="4294967294" count="1">
            <x v="0"/>
          </reference>
        </references>
      </pivotArea>
    </format>
    <format dxfId="21">
      <pivotArea type="all" dataOnly="0" outline="0" fieldPosition="0"/>
    </format>
    <format dxfId="20">
      <pivotArea outline="0" collapsedLevelsAreSubtotals="1" fieldPosition="0"/>
    </format>
    <format dxfId="19">
      <pivotArea field="2" type="button" dataOnly="0" labelOnly="1" outline="0" axis="axisRow" fieldPosition="0"/>
    </format>
    <format dxfId="18">
      <pivotArea dataOnly="0" labelOnly="1" fieldPosition="0">
        <references count="1">
          <reference field="2" count="0"/>
        </references>
      </pivotArea>
    </format>
    <format dxfId="17">
      <pivotArea dataOnly="0" labelOnly="1" grandRow="1" outline="0" fieldPosition="0"/>
    </format>
    <format dxfId="16">
      <pivotArea dataOnly="0" labelOnly="1" outline="0" fieldPosition="0">
        <references count="1">
          <reference field="4294967294" count="1">
            <x v="0"/>
          </reference>
        </references>
      </pivotArea>
    </format>
    <format dxfId="15">
      <pivotArea outline="0" collapsedLevelsAreSubtotals="1" fieldPosition="0"/>
    </format>
    <format dxfId="14">
      <pivotArea dataOnly="0" labelOnly="1" fieldPosition="0">
        <references count="1">
          <reference field="2" count="0"/>
        </references>
      </pivotArea>
    </format>
    <format dxfId="13">
      <pivotArea dataOnly="0" labelOnly="1" grandRow="1" outline="0" fieldPosition="0"/>
    </format>
    <format dxfId="12">
      <pivotArea outline="0" fieldPosition="0">
        <references count="1">
          <reference field="4294967294" count="1">
            <x v="2"/>
          </reference>
        </references>
      </pivotArea>
    </format>
  </formats>
  <pivotTableStyleInfo name="PivotStyleMedium1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0069CF8-090B-4956-9D60-C9585D5C451B}"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6">
  <location ref="AK6:AM9" firstHeaderRow="0" firstDataRow="1" firstDataCol="1"/>
  <pivotFields count="9">
    <pivotField showAll="0">
      <items count="6">
        <item x="0"/>
        <item h="1" x="1"/>
        <item h="1" x="2"/>
        <item h="1" x="3"/>
        <item h="1" x="4"/>
        <item t="default"/>
      </items>
    </pivotField>
    <pivotField showAll="0">
      <items count="13">
        <item x="0"/>
        <item x="1"/>
        <item x="2"/>
        <item x="3"/>
        <item x="4"/>
        <item x="5"/>
        <item x="6"/>
        <item x="7"/>
        <item x="8"/>
        <item x="9"/>
        <item x="10"/>
        <item x="11"/>
        <item t="default"/>
      </items>
    </pivotField>
    <pivotField showAll="0" sortType="descending">
      <items count="7">
        <item x="3"/>
        <item x="2"/>
        <item x="1"/>
        <item x="0"/>
        <item x="5"/>
        <item x="4"/>
        <item t="default"/>
      </items>
    </pivotField>
    <pivotField showAll="0"/>
    <pivotField numFmtId="164" showAll="0"/>
    <pivotField dataField="1" numFmtId="164" showAll="0"/>
    <pivotField numFmtId="164" showAll="0">
      <items count="20">
        <item x="6"/>
        <item x="18"/>
        <item x="8"/>
        <item x="9"/>
        <item x="7"/>
        <item x="2"/>
        <item x="0"/>
        <item x="5"/>
        <item x="3"/>
        <item x="14"/>
        <item x="12"/>
        <item x="17"/>
        <item x="10"/>
        <item x="4"/>
        <item x="15"/>
        <item x="1"/>
        <item x="11"/>
        <item x="16"/>
        <item x="13"/>
        <item t="default"/>
      </items>
    </pivotField>
    <pivotField numFmtId="164" showAll="0"/>
    <pivotField axis="axisRow" showAll="0">
      <items count="3">
        <item x="0"/>
        <item x="1"/>
        <item t="default"/>
      </items>
    </pivotField>
  </pivotFields>
  <rowFields count="1">
    <field x="8"/>
  </rowFields>
  <rowItems count="3">
    <i>
      <x/>
    </i>
    <i>
      <x v="1"/>
    </i>
    <i t="grand">
      <x/>
    </i>
  </rowItems>
  <colFields count="1">
    <field x="-2"/>
  </colFields>
  <colItems count="2">
    <i>
      <x/>
    </i>
    <i i="1">
      <x v="1"/>
    </i>
  </colItems>
  <dataFields count="2">
    <dataField name="Sum of Income" fld="5" baseField="0" baseItem="0" numFmtId="164"/>
    <dataField name="Sum of Income2" fld="5" showDataAs="percentOfCol" baseField="8" baseItem="0" numFmtId="10"/>
  </dataFields>
  <formats count="11">
    <format dxfId="38">
      <pivotArea type="all" dataOnly="0" outline="0" fieldPosition="0"/>
    </format>
    <format dxfId="37">
      <pivotArea outline="0" collapsedLevelsAreSubtotals="1" fieldPosition="0"/>
    </format>
    <format dxfId="36">
      <pivotArea field="2" type="button" dataOnly="0" labelOnly="1" outline="0"/>
    </format>
    <format dxfId="35">
      <pivotArea dataOnly="0" labelOnly="1" grandRow="1" outline="0" fieldPosition="0"/>
    </format>
    <format dxfId="34">
      <pivotArea type="all" dataOnly="0" outline="0" fieldPosition="0"/>
    </format>
    <format dxfId="33">
      <pivotArea outline="0" collapsedLevelsAreSubtotals="1" fieldPosition="0"/>
    </format>
    <format dxfId="32">
      <pivotArea field="2" type="button" dataOnly="0" labelOnly="1" outline="0"/>
    </format>
    <format dxfId="31">
      <pivotArea dataOnly="0" labelOnly="1" grandRow="1" outline="0" fieldPosition="0"/>
    </format>
    <format dxfId="30">
      <pivotArea outline="0" collapsedLevelsAreSubtotals="1" fieldPosition="0"/>
    </format>
    <format dxfId="29">
      <pivotArea dataOnly="0" labelOnly="1" grandRow="1" outline="0" fieldPosition="0"/>
    </format>
    <format dxfId="28">
      <pivotArea outline="0" fieldPosition="0">
        <references count="1">
          <reference field="4294967294" count="1">
            <x v="1"/>
          </reference>
        </references>
      </pivotArea>
    </format>
  </formats>
  <chartFormats count="6">
    <chartFormat chart="35" format="42" series="1">
      <pivotArea type="data" outline="0" fieldPosition="0">
        <references count="1">
          <reference field="4294967294" count="1" selected="0">
            <x v="0"/>
          </reference>
        </references>
      </pivotArea>
    </chartFormat>
    <chartFormat chart="35" format="43">
      <pivotArea type="data" outline="0" fieldPosition="0">
        <references count="2">
          <reference field="4294967294" count="1" selected="0">
            <x v="0"/>
          </reference>
          <reference field="8" count="1" selected="0">
            <x v="0"/>
          </reference>
        </references>
      </pivotArea>
    </chartFormat>
    <chartFormat chart="35" format="44">
      <pivotArea type="data" outline="0" fieldPosition="0">
        <references count="2">
          <reference field="4294967294" count="1" selected="0">
            <x v="0"/>
          </reference>
          <reference field="8" count="1" selected="0">
            <x v="1"/>
          </reference>
        </references>
      </pivotArea>
    </chartFormat>
    <chartFormat chart="35" format="45" series="1">
      <pivotArea type="data" outline="0" fieldPosition="0">
        <references count="1">
          <reference field="4294967294" count="1" selected="0">
            <x v="1"/>
          </reference>
        </references>
      </pivotArea>
    </chartFormat>
    <chartFormat chart="35" format="46">
      <pivotArea type="data" outline="0" fieldPosition="0">
        <references count="2">
          <reference field="4294967294" count="1" selected="0">
            <x v="1"/>
          </reference>
          <reference field="8" count="1" selected="0">
            <x v="0"/>
          </reference>
        </references>
      </pivotArea>
    </chartFormat>
    <chartFormat chart="35" format="47">
      <pivotArea type="data" outline="0" fieldPosition="0">
        <references count="2">
          <reference field="4294967294" count="1" selected="0">
            <x v="1"/>
          </reference>
          <reference field="8" count="1" selected="0">
            <x v="1"/>
          </reference>
        </references>
      </pivotArea>
    </chartFormat>
  </chartFormats>
  <pivotTableStyleInfo name="PivotStyleMedium1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4DD2186-136F-47B5-B710-70C2E4326A1B}" name="PivotTable9" cacheId="2" applyNumberFormats="0" applyBorderFormats="0" applyFontFormats="0" applyPatternFormats="0" applyAlignmentFormats="0" applyWidthHeightFormats="1" dataCaption="Values" updatedVersion="8" minRefreshableVersion="3" showDrill="0" useAutoFormatting="1" itemPrintTitles="1" createdVersion="8" indent="0" outline="1" outlineData="1" multipleFieldFilters="0">
  <location ref="CZ3:DA4" firstHeaderRow="0" firstDataRow="1" firstDataCol="0"/>
  <pivotFields count="11">
    <pivotField showAll="0"/>
    <pivotField showAll="0"/>
    <pivotField showAll="0"/>
    <pivotField showAll="0"/>
    <pivotField showAll="0"/>
    <pivotField showAll="0"/>
    <pivotField showAll="0"/>
    <pivotField showAll="0"/>
    <pivotField showAll="0"/>
    <pivotField dataField="1" showAll="0"/>
    <pivotField dataField="1" showAll="0"/>
  </pivotFields>
  <rowItems count="1">
    <i/>
  </rowItems>
  <colFields count="1">
    <field x="-2"/>
  </colFields>
  <colItems count="2">
    <i>
      <x/>
    </i>
    <i i="1">
      <x v="1"/>
    </i>
  </colItems>
  <dataFields count="2">
    <dataField name="Sum of Target" fld="10" baseField="0" baseItem="0"/>
    <dataField name="Sum of Amount" fld="9" baseField="0" baseItem="0"/>
  </dataFields>
  <formats count="3">
    <format dxfId="41">
      <pivotArea dataOnly="0" labelOnly="1" outline="0" fieldPosition="0">
        <references count="1">
          <reference field="4294967294" count="2">
            <x v="0"/>
            <x v="1"/>
          </reference>
        </references>
      </pivotArea>
    </format>
    <format dxfId="40">
      <pivotArea dataOnly="0" labelOnly="1" outline="0" fieldPosition="0">
        <references count="1">
          <reference field="4294967294" count="2">
            <x v="0"/>
            <x v="1"/>
          </reference>
        </references>
      </pivotArea>
    </format>
    <format dxfId="3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B69C171-8A97-480D-965C-EB63F0DF1E05}" name="PivotTable10" cacheId="2"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ED3:EE5" firstHeaderRow="1" firstDataRow="1" firstDataCol="1"/>
  <pivotFields count="11">
    <pivotField showAll="0"/>
    <pivotField showAll="0">
      <items count="6">
        <item h="1" x="0"/>
        <item h="1" x="1"/>
        <item h="1" x="2"/>
        <item h="1" x="3"/>
        <item x="4"/>
        <item t="default"/>
      </items>
    </pivotField>
    <pivotField showAll="0"/>
    <pivotField axis="axisRow" dataField="1" showAll="0" sortType="descending">
      <items count="3">
        <item x="1"/>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s>
  <rowFields count="1">
    <field x="3"/>
  </rowFields>
  <rowItems count="2">
    <i>
      <x/>
    </i>
    <i>
      <x v="1"/>
    </i>
  </rowItems>
  <colItems count="1">
    <i/>
  </colItems>
  <dataFields count="1">
    <dataField name="Count of POS" fld="3" subtotal="count" baseField="0" baseItem="0"/>
  </dataFields>
  <pivotTableStyleInfo name="PivotStyleMedium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9AA0343-D386-45AF-A197-FEB977B8E73C}" name="PivotTable13" cacheId="2" applyNumberFormats="0" applyBorderFormats="0" applyFontFormats="0" applyPatternFormats="0" applyAlignmentFormats="0" applyWidthHeightFormats="1" dataCaption="Values" updatedVersion="8" minRefreshableVersion="3" showDrill="0" useAutoFormatting="1" itemPrintTitles="1" createdVersion="8" indent="0" outline="1" outlineData="1" multipleFieldFilters="0">
  <location ref="EW4:EX8" firstHeaderRow="1" firstDataRow="1" firstDataCol="1"/>
  <pivotFields count="11">
    <pivotField showAll="0"/>
    <pivotField showAll="0">
      <items count="6">
        <item h="1" x="0"/>
        <item h="1" x="1"/>
        <item h="1" x="2"/>
        <item h="1" x="3"/>
        <item x="4"/>
        <item t="default"/>
      </items>
    </pivotField>
    <pivotField showAll="0"/>
    <pivotField showAll="0"/>
    <pivotField showAll="0"/>
    <pivotField showAll="0"/>
    <pivotField showAll="0"/>
    <pivotField showAll="0"/>
    <pivotField axis="axisRow" showAll="0">
      <items count="4">
        <item x="2"/>
        <item x="1"/>
        <item x="0"/>
        <item t="default"/>
      </items>
    </pivotField>
    <pivotField dataField="1" showAll="0"/>
    <pivotField showAll="0"/>
  </pivotFields>
  <rowFields count="1">
    <field x="8"/>
  </rowFields>
  <rowItems count="4">
    <i>
      <x/>
    </i>
    <i>
      <x v="1"/>
    </i>
    <i>
      <x v="2"/>
    </i>
    <i t="grand">
      <x/>
    </i>
  </rowItems>
  <colItems count="1">
    <i/>
  </colItems>
  <dataFields count="1">
    <dataField name="Sum of Amount" fld="9" baseField="0" baseItem="0"/>
  </dataFields>
  <formats count="1">
    <format dxfId="4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7C6D492-1840-4E72-9E32-E14F6E4AAE10}" name="PivotTable11" cacheId="2"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ED9:EE11" firstHeaderRow="1" firstDataRow="1" firstDataCol="1"/>
  <pivotFields count="11">
    <pivotField showAll="0"/>
    <pivotField showAll="0">
      <items count="6">
        <item h="1" x="0"/>
        <item h="1" x="1"/>
        <item h="1" x="2"/>
        <item h="1" x="3"/>
        <item x="4"/>
        <item t="default"/>
      </items>
    </pivotField>
    <pivotField showAll="0"/>
    <pivotField showAll="0">
      <items count="3">
        <item x="1"/>
        <item x="0"/>
        <item t="default"/>
      </items>
    </pivotField>
    <pivotField axis="axisRow" dataField="1" showAll="0" sortType="descending">
      <items count="3">
        <item x="1"/>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s>
  <rowFields count="1">
    <field x="4"/>
  </rowFields>
  <rowItems count="2">
    <i>
      <x v="1"/>
    </i>
    <i>
      <x/>
    </i>
  </rowItems>
  <colItems count="1">
    <i/>
  </colItems>
  <dataFields count="1">
    <dataField name="Count of Payment Method" fld="4" subtotal="count" baseField="0" baseItem="0"/>
  </dataFields>
  <pivotTableStyleInfo name="PivotStyleMedium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2909746-A6A0-49A9-B0BA-7C903A021608}" name="PivotTable16" cacheId="2" applyNumberFormats="0" applyBorderFormats="0" applyFontFormats="0" applyPatternFormats="0" applyAlignmentFormats="0" applyWidthHeightFormats="1" dataCaption="Values" updatedVersion="8" minRefreshableVersion="3" showDrill="0" useAutoFormatting="1" itemPrintTitles="1" createdVersion="8" indent="0" outline="1" outlineData="1" multipleFieldFilters="0" chartFormat="21">
  <location ref="FG4:FH7" firstHeaderRow="1" firstDataRow="1" firstDataCol="1"/>
  <pivotFields count="11">
    <pivotField showAll="0"/>
    <pivotField showAll="0">
      <items count="6">
        <item h="1" x="0"/>
        <item h="1" x="1"/>
        <item h="1" x="2"/>
        <item h="1" x="3"/>
        <item x="4"/>
        <item t="default"/>
      </items>
    </pivotField>
    <pivotField showAll="0"/>
    <pivotField showAll="0"/>
    <pivotField showAll="0"/>
    <pivotField showAll="0"/>
    <pivotField showAll="0"/>
    <pivotField axis="axisRow" dataField="1" showAll="0">
      <items count="3">
        <item x="0"/>
        <item x="1"/>
        <item t="default"/>
      </items>
    </pivotField>
    <pivotField showAll="0">
      <items count="4">
        <item x="2"/>
        <item x="1"/>
        <item x="0"/>
        <item t="default"/>
      </items>
    </pivotField>
    <pivotField showAll="0"/>
    <pivotField showAll="0"/>
  </pivotFields>
  <rowFields count="1">
    <field x="7"/>
  </rowFields>
  <rowItems count="3">
    <i>
      <x/>
    </i>
    <i>
      <x v="1"/>
    </i>
    <i t="grand">
      <x/>
    </i>
  </rowItems>
  <colItems count="1">
    <i/>
  </colItems>
  <dataFields count="1">
    <dataField name="Count of Sale Status" fld="7" subtotal="count" showDataAs="percentOfCol" baseField="7" baseItem="0" numFmtId="10"/>
  </dataFields>
  <formats count="3">
    <format dxfId="45">
      <pivotArea outline="0" collapsedLevelsAreSubtotals="1" fieldPosition="0"/>
    </format>
    <format dxfId="44">
      <pivotArea outline="0" fieldPosition="0">
        <references count="1">
          <reference field="4294967294" count="1">
            <x v="0"/>
          </reference>
        </references>
      </pivotArea>
    </format>
    <format dxfId="43">
      <pivotArea collapsedLevelsAreSubtotals="1" fieldPosition="0">
        <references count="1">
          <reference field="7" count="0"/>
        </references>
      </pivotArea>
    </format>
  </formats>
  <chartFormats count="3">
    <chartFormat chart="19" format="4" series="1">
      <pivotArea type="data" outline="0" fieldPosition="0">
        <references count="1">
          <reference field="4294967294" count="1" selected="0">
            <x v="0"/>
          </reference>
        </references>
      </pivotArea>
    </chartFormat>
    <chartFormat chart="19" format="5">
      <pivotArea type="data" outline="0" fieldPosition="0">
        <references count="2">
          <reference field="4294967294" count="1" selected="0">
            <x v="0"/>
          </reference>
          <reference field="7" count="1" selected="0">
            <x v="0"/>
          </reference>
        </references>
      </pivotArea>
    </chartFormat>
    <chartFormat chart="19" format="6">
      <pivotArea type="data" outline="0" fieldPosition="0">
        <references count="2">
          <reference field="4294967294" count="1" selected="0">
            <x v="0"/>
          </reference>
          <reference field="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D8ABD59-87E1-4965-BCB3-2930057DF5C3}"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6">
  <location ref="AT6:AV28" firstHeaderRow="0" firstDataRow="1" firstDataCol="1"/>
  <pivotFields count="9">
    <pivotField showAll="0">
      <items count="6">
        <item x="0"/>
        <item h="1" x="1"/>
        <item h="1" x="2"/>
        <item h="1" x="3"/>
        <item h="1" x="4"/>
        <item t="default"/>
      </items>
    </pivotField>
    <pivotField showAll="0">
      <items count="13">
        <item x="0"/>
        <item x="1"/>
        <item x="2"/>
        <item x="3"/>
        <item x="4"/>
        <item x="5"/>
        <item x="6"/>
        <item x="7"/>
        <item x="8"/>
        <item x="9"/>
        <item x="10"/>
        <item x="11"/>
        <item t="default"/>
      </items>
    </pivotField>
    <pivotField axis="axisRow" showAll="0" sortType="descending">
      <items count="7">
        <item x="3"/>
        <item x="2"/>
        <item x="1"/>
        <item x="0"/>
        <item x="5"/>
        <item x="4"/>
        <item t="default"/>
      </items>
    </pivotField>
    <pivotField axis="axisRow" showAll="0">
      <items count="16">
        <item x="13"/>
        <item x="10"/>
        <item x="2"/>
        <item x="8"/>
        <item x="1"/>
        <item x="9"/>
        <item x="12"/>
        <item x="6"/>
        <item x="7"/>
        <item x="5"/>
        <item x="3"/>
        <item x="4"/>
        <item x="0"/>
        <item x="14"/>
        <item x="11"/>
        <item t="default"/>
      </items>
    </pivotField>
    <pivotField numFmtId="164" showAll="0"/>
    <pivotField dataField="1" numFmtId="164" showAll="0"/>
    <pivotField numFmtId="164" showAll="0">
      <items count="20">
        <item x="6"/>
        <item x="18"/>
        <item x="8"/>
        <item x="9"/>
        <item x="7"/>
        <item x="2"/>
        <item x="0"/>
        <item x="5"/>
        <item x="3"/>
        <item x="14"/>
        <item x="12"/>
        <item x="17"/>
        <item x="10"/>
        <item x="4"/>
        <item x="15"/>
        <item x="1"/>
        <item x="11"/>
        <item x="16"/>
        <item x="13"/>
        <item t="default"/>
      </items>
    </pivotField>
    <pivotField numFmtId="164" showAll="0"/>
    <pivotField showAll="0">
      <items count="3">
        <item x="0"/>
        <item x="1"/>
        <item t="default"/>
      </items>
    </pivotField>
  </pivotFields>
  <rowFields count="2">
    <field x="2"/>
    <field x="3"/>
  </rowFields>
  <rowItems count="22">
    <i>
      <x/>
    </i>
    <i r="1">
      <x v="7"/>
    </i>
    <i r="1">
      <x v="11"/>
    </i>
    <i>
      <x v="1"/>
    </i>
    <i r="1">
      <x v="9"/>
    </i>
    <i r="1">
      <x v="10"/>
    </i>
    <i>
      <x v="2"/>
    </i>
    <i r="1">
      <x v="2"/>
    </i>
    <i r="1">
      <x v="6"/>
    </i>
    <i r="1">
      <x v="8"/>
    </i>
    <i>
      <x v="3"/>
    </i>
    <i r="1">
      <x v="4"/>
    </i>
    <i r="1">
      <x v="12"/>
    </i>
    <i>
      <x v="4"/>
    </i>
    <i r="1">
      <x/>
    </i>
    <i>
      <x v="5"/>
    </i>
    <i r="1">
      <x v="1"/>
    </i>
    <i r="1">
      <x v="3"/>
    </i>
    <i r="1">
      <x v="5"/>
    </i>
    <i r="1">
      <x v="13"/>
    </i>
    <i r="1">
      <x v="14"/>
    </i>
    <i t="grand">
      <x/>
    </i>
  </rowItems>
  <colFields count="1">
    <field x="-2"/>
  </colFields>
  <colItems count="2">
    <i>
      <x/>
    </i>
    <i i="1">
      <x v="1"/>
    </i>
  </colItems>
  <dataFields count="2">
    <dataField name="Sum of Income" fld="5" baseField="0" baseItem="0" numFmtId="164"/>
    <dataField name="Sum of Income2" fld="5" showDataAs="percentOfCol" baseField="8" baseItem="0" numFmtId="10"/>
  </dataFields>
  <formats count="11">
    <format dxfId="56">
      <pivotArea type="all" dataOnly="0" outline="0" fieldPosition="0"/>
    </format>
    <format dxfId="55">
      <pivotArea outline="0" collapsedLevelsAreSubtotals="1" fieldPosition="0"/>
    </format>
    <format dxfId="54">
      <pivotArea field="2" type="button" dataOnly="0" labelOnly="1" outline="0" axis="axisRow" fieldPosition="0"/>
    </format>
    <format dxfId="53">
      <pivotArea dataOnly="0" labelOnly="1" grandRow="1" outline="0" fieldPosition="0"/>
    </format>
    <format dxfId="52">
      <pivotArea type="all" dataOnly="0" outline="0" fieldPosition="0"/>
    </format>
    <format dxfId="51">
      <pivotArea outline="0" collapsedLevelsAreSubtotals="1" fieldPosition="0"/>
    </format>
    <format dxfId="50">
      <pivotArea field="2" type="button" dataOnly="0" labelOnly="1" outline="0" axis="axisRow" fieldPosition="0"/>
    </format>
    <format dxfId="49">
      <pivotArea dataOnly="0" labelOnly="1" grandRow="1" outline="0" fieldPosition="0"/>
    </format>
    <format dxfId="48">
      <pivotArea outline="0" collapsedLevelsAreSubtotals="1" fieldPosition="0"/>
    </format>
    <format dxfId="47">
      <pivotArea dataOnly="0" labelOnly="1" grandRow="1" outline="0" fieldPosition="0"/>
    </format>
    <format dxfId="46">
      <pivotArea outline="0" fieldPosition="0">
        <references count="1">
          <reference field="4294967294" count="1">
            <x v="1"/>
          </reference>
        </references>
      </pivotArea>
    </format>
  </formats>
  <chartFormats count="2">
    <chartFormat chart="35" format="42" series="1">
      <pivotArea type="data" outline="0" fieldPosition="0">
        <references count="1">
          <reference field="4294967294" count="1" selected="0">
            <x v="0"/>
          </reference>
        </references>
      </pivotArea>
    </chartFormat>
    <chartFormat chart="35" format="45" series="1">
      <pivotArea type="data" outline="0" fieldPosition="0">
        <references count="1">
          <reference field="4294967294" count="1" selected="0">
            <x v="1"/>
          </reference>
        </references>
      </pivotArea>
    </chartFormat>
  </chartFormats>
  <pivotTableStyleInfo name="PivotStyleMedium1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56158D0-DC9A-4E52-8AB7-F053747446E2}"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U4:BV5" firstHeaderRow="0" firstDataRow="1" firstDataCol="0"/>
  <pivotFields count="4">
    <pivotField showAll="0">
      <items count="6">
        <item h="1" x="0"/>
        <item h="1" x="1"/>
        <item h="1" x="2"/>
        <item h="1" x="3"/>
        <item x="4"/>
        <item t="default"/>
      </items>
    </pivotField>
    <pivotField showAll="0" sortType="descending">
      <items count="7">
        <item x="1"/>
        <item x="3"/>
        <item x="2"/>
        <item x="0"/>
        <item x="5"/>
        <item x="4"/>
        <item t="default"/>
      </items>
      <autoSortScope>
        <pivotArea dataOnly="0" outline="0" fieldPosition="0">
          <references count="1">
            <reference field="4294967294" count="1" selected="0">
              <x v="0"/>
            </reference>
          </references>
        </pivotArea>
      </autoSortScope>
    </pivotField>
    <pivotField dataField="1" numFmtId="1" showAll="0"/>
    <pivotField dataField="1" numFmtId="1" showAll="0"/>
  </pivotFields>
  <rowItems count="1">
    <i/>
  </rowItems>
  <colFields count="1">
    <field x="-2"/>
  </colFields>
  <colItems count="2">
    <i>
      <x/>
    </i>
    <i i="1">
      <x v="1"/>
    </i>
  </colItems>
  <dataFields count="2">
    <dataField name="Sum of Amount" fld="2" baseField="0" baseItem="0" numFmtId="1"/>
    <dataField name="Sum of Target" fld="3" baseField="0" baseItem="0" numFmtId="1"/>
  </dataFields>
  <pivotTableStyleInfo name="PivotStyleMedium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F58954AB-94FD-44CF-80C2-987068F42FE4}"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Q6:R7" firstHeaderRow="0" firstDataRow="1" firstDataCol="0"/>
  <pivotFields count="9">
    <pivotField showAll="0">
      <items count="6">
        <item x="0"/>
        <item h="1" x="1"/>
        <item h="1" x="2"/>
        <item h="1" x="3"/>
        <item h="1" x="4"/>
        <item t="default"/>
      </items>
    </pivotField>
    <pivotField showAll="0"/>
    <pivotField showAll="0" sortType="descending">
      <items count="7">
        <item x="3"/>
        <item x="2"/>
        <item x="1"/>
        <item x="0"/>
        <item x="5"/>
        <item x="4"/>
        <item t="default"/>
      </items>
    </pivotField>
    <pivotField showAll="0"/>
    <pivotField numFmtId="164" showAll="0"/>
    <pivotField dataField="1" numFmtId="164" showAll="0"/>
    <pivotField dataField="1" numFmtId="164" showAll="0"/>
    <pivotField numFmtId="164" showAll="0"/>
    <pivotField showAll="0"/>
  </pivotFields>
  <rowItems count="1">
    <i/>
  </rowItems>
  <colFields count="1">
    <field x="-2"/>
  </colFields>
  <colItems count="2">
    <i>
      <x/>
    </i>
    <i i="1">
      <x v="1"/>
    </i>
  </colItems>
  <dataFields count="2">
    <dataField name="Sum of Income" fld="5" baseField="0" baseItem="0" numFmtId="164"/>
    <dataField name="Sum of Target Income" fld="6" baseField="0" baseItem="0" numFmtId="164"/>
  </dataFields>
  <formats count="12">
    <format dxfId="68">
      <pivotArea type="all" dataOnly="0" outline="0" fieldPosition="0"/>
    </format>
    <format dxfId="67">
      <pivotArea outline="0" collapsedLevelsAreSubtotals="1" fieldPosition="0"/>
    </format>
    <format dxfId="66">
      <pivotArea field="2" type="button" dataOnly="0" labelOnly="1" outline="0"/>
    </format>
    <format dxfId="65">
      <pivotArea dataOnly="0" labelOnly="1" grandRow="1" outline="0" fieldPosition="0"/>
    </format>
    <format dxfId="64">
      <pivotArea dataOnly="0" labelOnly="1" outline="0" fieldPosition="0">
        <references count="1">
          <reference field="4294967294" count="1">
            <x v="0"/>
          </reference>
        </references>
      </pivotArea>
    </format>
    <format dxfId="63">
      <pivotArea type="all" dataOnly="0" outline="0" fieldPosition="0"/>
    </format>
    <format dxfId="62">
      <pivotArea outline="0" collapsedLevelsAreSubtotals="1" fieldPosition="0"/>
    </format>
    <format dxfId="61">
      <pivotArea field="2" type="button" dataOnly="0" labelOnly="1" outline="0"/>
    </format>
    <format dxfId="60">
      <pivotArea dataOnly="0" labelOnly="1" grandRow="1" outline="0" fieldPosition="0"/>
    </format>
    <format dxfId="59">
      <pivotArea dataOnly="0" labelOnly="1" outline="0" fieldPosition="0">
        <references count="1">
          <reference field="4294967294" count="1">
            <x v="0"/>
          </reference>
        </references>
      </pivotArea>
    </format>
    <format dxfId="58">
      <pivotArea outline="0" collapsedLevelsAreSubtotals="1" fieldPosition="0"/>
    </format>
    <format dxfId="57">
      <pivotArea dataOnly="0" labelOnly="1" grandRow="1" outline="0" fieldPosition="0"/>
    </format>
  </formats>
  <pivotTableStyleInfo name="PivotStyleMedium1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A84B3DB7-0AA1-45B7-9DB2-3A22EB90D5D0}" name="PivotTable14" cacheId="2" applyNumberFormats="0" applyBorderFormats="0" applyFontFormats="0" applyPatternFormats="0" applyAlignmentFormats="0" applyWidthHeightFormats="1" dataCaption="Values" updatedVersion="8" minRefreshableVersion="3" showDrill="0" useAutoFormatting="1" itemPrintTitles="1" createdVersion="8" indent="0" outline="1" outlineData="1" multipleFieldFilters="0" chartFormat="15">
  <location ref="FC4:FD8" firstHeaderRow="1" firstDataRow="1" firstDataCol="1"/>
  <pivotFields count="11">
    <pivotField showAll="0"/>
    <pivotField showAll="0">
      <items count="6">
        <item h="1" x="0"/>
        <item h="1" x="1"/>
        <item h="1" x="2"/>
        <item h="1" x="3"/>
        <item x="4"/>
        <item t="default"/>
      </items>
    </pivotField>
    <pivotField showAll="0"/>
    <pivotField showAll="0"/>
    <pivotField showAll="0"/>
    <pivotField showAll="0"/>
    <pivotField showAll="0"/>
    <pivotField showAll="0"/>
    <pivotField axis="axisRow" dataField="1" showAll="0">
      <items count="4">
        <item x="2"/>
        <item x="1"/>
        <item x="0"/>
        <item t="default"/>
      </items>
    </pivotField>
    <pivotField showAll="0"/>
    <pivotField showAll="0"/>
  </pivotFields>
  <rowFields count="1">
    <field x="8"/>
  </rowFields>
  <rowItems count="4">
    <i>
      <x/>
    </i>
    <i>
      <x v="1"/>
    </i>
    <i>
      <x v="2"/>
    </i>
    <i t="grand">
      <x/>
    </i>
  </rowItems>
  <colItems count="1">
    <i/>
  </colItems>
  <dataFields count="1">
    <dataField name="Count of Delivery Type" fld="8" subtotal="count" baseField="0" baseItem="0"/>
  </dataFields>
  <formats count="1">
    <format dxfId="69">
      <pivotArea outline="0" collapsedLevelsAreSubtotals="1" fieldPosition="0"/>
    </format>
  </formats>
  <chartFormats count="1">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66025440-F368-4108-B675-29E59642597E}"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B4:BD11" firstHeaderRow="0" firstDataRow="1" firstDataCol="1"/>
  <pivotFields count="4">
    <pivotField showAll="0">
      <items count="6">
        <item h="1" x="0"/>
        <item h="1" x="1"/>
        <item h="1" x="2"/>
        <item h="1" x="3"/>
        <item x="4"/>
        <item t="default"/>
      </items>
    </pivotField>
    <pivotField axis="axisRow" showAll="0" sortType="descending">
      <items count="7">
        <item x="1"/>
        <item x="3"/>
        <item x="2"/>
        <item x="0"/>
        <item x="5"/>
        <item x="4"/>
        <item t="default"/>
      </items>
      <autoSortScope>
        <pivotArea dataOnly="0" outline="0" fieldPosition="0">
          <references count="1">
            <reference field="4294967294" count="1" selected="0">
              <x v="0"/>
            </reference>
          </references>
        </pivotArea>
      </autoSortScope>
    </pivotField>
    <pivotField dataField="1" numFmtId="1" showAll="0"/>
    <pivotField numFmtId="1" showAll="0"/>
  </pivotFields>
  <rowFields count="1">
    <field x="1"/>
  </rowFields>
  <rowItems count="7">
    <i>
      <x v="3"/>
    </i>
    <i>
      <x v="2"/>
    </i>
    <i>
      <x/>
    </i>
    <i>
      <x v="1"/>
    </i>
    <i>
      <x v="4"/>
    </i>
    <i>
      <x v="5"/>
    </i>
    <i t="grand">
      <x/>
    </i>
  </rowItems>
  <colFields count="1">
    <field x="-2"/>
  </colFields>
  <colItems count="2">
    <i>
      <x/>
    </i>
    <i i="1">
      <x v="1"/>
    </i>
  </colItems>
  <dataFields count="2">
    <dataField name="Sum of Amount" fld="2" baseField="0" baseItem="0" numFmtId="1"/>
    <dataField name="Sum of Amount2" fld="2" showDataAs="percentOfCol" baseField="1" baseItem="0" numFmtId="10"/>
  </dataFields>
  <formats count="6">
    <format dxfId="75">
      <pivotArea outline="0" collapsedLevelsAreSubtotals="1" fieldPosition="0"/>
    </format>
    <format dxfId="74">
      <pivotArea dataOnly="0" labelOnly="1" fieldPosition="0">
        <references count="1">
          <reference field="1" count="0"/>
        </references>
      </pivotArea>
    </format>
    <format dxfId="73">
      <pivotArea dataOnly="0" labelOnly="1" grandRow="1" outline="0" fieldPosition="0"/>
    </format>
    <format dxfId="72">
      <pivotArea outline="0" collapsedLevelsAreSubtotals="1" fieldPosition="0"/>
    </format>
    <format dxfId="71">
      <pivotArea dataOnly="0" labelOnly="1" fieldPosition="0">
        <references count="1">
          <reference field="1" count="0"/>
        </references>
      </pivotArea>
    </format>
    <format dxfId="70">
      <pivotArea dataOnly="0" labelOnly="1" grandRow="1" outline="0" fieldPosition="0"/>
    </format>
  </formats>
  <pivotTableStyleInfo name="PivotStyleMedium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DCBA385A-BF9C-46D0-AB7A-066F7C4CF800}"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AE6:AF19" firstHeaderRow="1" firstDataRow="1" firstDataCol="1"/>
  <pivotFields count="9">
    <pivotField showAll="0">
      <items count="6">
        <item x="0"/>
        <item h="1" x="1"/>
        <item h="1" x="2"/>
        <item h="1" x="3"/>
        <item h="1" x="4"/>
        <item t="default"/>
      </items>
    </pivotField>
    <pivotField axis="axisRow" showAll="0">
      <items count="13">
        <item x="0"/>
        <item x="1"/>
        <item x="2"/>
        <item x="3"/>
        <item x="4"/>
        <item x="5"/>
        <item x="6"/>
        <item x="7"/>
        <item x="8"/>
        <item x="9"/>
        <item x="10"/>
        <item x="11"/>
        <item t="default"/>
      </items>
    </pivotField>
    <pivotField showAll="0" sortType="descending">
      <items count="7">
        <item x="3"/>
        <item x="2"/>
        <item x="1"/>
        <item x="0"/>
        <item x="5"/>
        <item x="4"/>
        <item t="default"/>
      </items>
    </pivotField>
    <pivotField showAll="0"/>
    <pivotField numFmtId="164" showAll="0"/>
    <pivotField numFmtId="164" showAll="0"/>
    <pivotField numFmtId="164" showAll="0">
      <items count="20">
        <item x="6"/>
        <item x="18"/>
        <item x="8"/>
        <item x="9"/>
        <item x="7"/>
        <item x="2"/>
        <item x="0"/>
        <item x="5"/>
        <item x="3"/>
        <item x="14"/>
        <item x="12"/>
        <item x="17"/>
        <item x="10"/>
        <item x="4"/>
        <item x="15"/>
        <item x="1"/>
        <item x="11"/>
        <item x="16"/>
        <item x="13"/>
        <item t="default"/>
      </items>
    </pivotField>
    <pivotField dataField="1" numFmtId="164" showAll="0"/>
    <pivotField showAll="0"/>
  </pivotFields>
  <rowFields count="1">
    <field x="1"/>
  </rowFields>
  <rowItems count="13">
    <i>
      <x/>
    </i>
    <i>
      <x v="1"/>
    </i>
    <i>
      <x v="2"/>
    </i>
    <i>
      <x v="3"/>
    </i>
    <i>
      <x v="4"/>
    </i>
    <i>
      <x v="5"/>
    </i>
    <i>
      <x v="6"/>
    </i>
    <i>
      <x v="7"/>
    </i>
    <i>
      <x v="8"/>
    </i>
    <i>
      <x v="9"/>
    </i>
    <i>
      <x v="10"/>
    </i>
    <i>
      <x v="11"/>
    </i>
    <i t="grand">
      <x/>
    </i>
  </rowItems>
  <colItems count="1">
    <i/>
  </colItems>
  <dataFields count="1">
    <dataField name="Sum of operating profit" fld="7" baseField="0" baseItem="0" numFmtId="164"/>
  </dataFields>
  <formats count="10">
    <format dxfId="85">
      <pivotArea type="all" dataOnly="0" outline="0" fieldPosition="0"/>
    </format>
    <format dxfId="84">
      <pivotArea outline="0" collapsedLevelsAreSubtotals="1" fieldPosition="0"/>
    </format>
    <format dxfId="83">
      <pivotArea field="2" type="button" dataOnly="0" labelOnly="1" outline="0"/>
    </format>
    <format dxfId="82">
      <pivotArea dataOnly="0" labelOnly="1" grandRow="1" outline="0" fieldPosition="0"/>
    </format>
    <format dxfId="81">
      <pivotArea type="all" dataOnly="0" outline="0" fieldPosition="0"/>
    </format>
    <format dxfId="80">
      <pivotArea outline="0" collapsedLevelsAreSubtotals="1" fieldPosition="0"/>
    </format>
    <format dxfId="79">
      <pivotArea field="2" type="button" dataOnly="0" labelOnly="1" outline="0"/>
    </format>
    <format dxfId="78">
      <pivotArea dataOnly="0" labelOnly="1" grandRow="1" outline="0" fieldPosition="0"/>
    </format>
    <format dxfId="77">
      <pivotArea outline="0" collapsedLevelsAreSubtotals="1" fieldPosition="0"/>
    </format>
    <format dxfId="76">
      <pivotArea dataOnly="0" labelOnly="1" grandRow="1" outline="0" fieldPosition="0"/>
    </format>
  </formats>
  <chartFormats count="3">
    <chartFormat chart="17" format="3" series="1">
      <pivotArea type="data" outline="0" fieldPosition="0">
        <references count="1">
          <reference field="4294967294" count="1" selected="0">
            <x v="0"/>
          </reference>
        </references>
      </pivotArea>
    </chartFormat>
    <chartFormat chart="16" format="3"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TableStyleInfo name="PivotStyleMedium1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AFD05106-C27C-4626-AE7B-A56F6FB075B5}" sourceName="Year">
  <pivotTables>
    <pivotTable tabId="6" name="PivotTable1"/>
    <pivotTable tabId="6" name="PivotTable2"/>
    <pivotTable tabId="6" name="PivotTable3"/>
    <pivotTable tabId="6" name="PivotTable4"/>
    <pivotTable tabId="6" name="PivotTable5"/>
    <pivotTable tabId="6" name="PivotTable6"/>
  </pivotTables>
  <data>
    <tabular pivotCacheId="1846869964">
      <items count="5">
        <i x="0" s="1"/>
        <i x="1"/>
        <i x="2"/>
        <i x="3"/>
        <i x="4"/>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1" xr10:uid="{18D068AB-F268-4329-855D-5DAF5D65C6F2}" sourceName="Year">
  <pivotTables>
    <pivotTable tabId="6" name="PivotTable7"/>
    <pivotTable tabId="6" name="PivotTable8"/>
  </pivotTables>
  <data>
    <tabular pivotCacheId="1991641643">
      <items count="5">
        <i x="0"/>
        <i x="1"/>
        <i x="2"/>
        <i x="3"/>
        <i x="4" s="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2" xr10:uid="{51B5B82A-7F60-4B7B-85C2-72982EE89FE8}" sourceName="Year">
  <pivotTables>
    <pivotTable tabId="6" name="PivotTable10"/>
    <pivotTable tabId="6" name="PivotTable11"/>
    <pivotTable tabId="6" name="PivotTable12"/>
    <pivotTable tabId="6" name="PivotTable13"/>
    <pivotTable tabId="6" name="PivotTable14"/>
    <pivotTable tabId="6" name="PivotTable16"/>
  </pivotTables>
  <data>
    <tabular pivotCacheId="268730730">
      <items count="5">
        <i x="0"/>
        <i x="1"/>
        <i x="2"/>
        <i x="3"/>
        <i x="4" s="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2" xr10:uid="{6CCF9279-7692-4C38-B4A0-513C5BC2D383}" cache="Slicer_Year2" caption="Year" columnCount="5" showCaption="0" style="SlicerStyleDark1 2" rowHeight="27432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1" xr10:uid="{451307B5-1ADD-4EFA-82DE-8B3F40D87C6A}" cache="Slicer_Year" caption="Year" columnCount="5" showCaption="0" style="SlicerStyleDark1 2" lockedPosition="1" rowHeight="27432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54ADBA3F-95F8-4F8D-8E1F-2511DBF6E5DB}" cache="Slicer_Year1" caption="Year" columnCount="5" showCaption="0" style="SlicerStyleDark1 2" rowHeight="27432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227E4C90-267D-4984-B2EB-83DF2DFDB40C}" cache="Slicer_Year2" caption="Year" columnCount="5" showCaption="0" style="SlicerStyleDark1 2" lockedPosition="1" rowHeight="27432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BB541BE-05E9-4EF9-BADA-9800E696BC1F}" name="Table_1" displayName="Table_1" ref="A1:K3098">
  <tableColumns count="11">
    <tableColumn id="1" xr3:uid="{C216DCEC-46DC-4DC6-9950-22062E1E475A}" name="Order Number"/>
    <tableColumn id="2" xr3:uid="{2838B552-BC70-4C00-828E-91B5CBA4EE67}" name="Year"/>
    <tableColumn id="3" xr3:uid="{09C19D45-127B-4568-9503-5F2DCCDC4015}" name="Month"/>
    <tableColumn id="4" xr3:uid="{B5A5E11B-496A-47E4-A08E-BC17E0464EF3}" name="POS"/>
    <tableColumn id="5" xr3:uid="{7C467A69-662C-48DA-9468-284E650037DA}" name="Payment Method"/>
    <tableColumn id="6" xr3:uid="{EA61B7A2-B440-4642-91FD-2A2F39C18A19}" name="Assembly Stage"/>
    <tableColumn id="7" xr3:uid="{58A9BFDF-5AE7-4558-A692-9B6908D3CA94}" name="Registration Status"/>
    <tableColumn id="8" xr3:uid="{E965F9B9-29ED-48C9-A02F-8F64FCE59AA8}" name="Sale Status"/>
    <tableColumn id="9" xr3:uid="{5BC37995-F1A6-463F-BB69-C7F31565B7FC}" name="Delivery Type"/>
    <tableColumn id="10" xr3:uid="{EA5CC3CD-EC62-4AD6-A8C9-A6EE48D919AC}" name="Amount"/>
    <tableColumn id="11" xr3:uid="{9F8AEC68-6E67-45AD-A9F1-D44603C5BC25}" name="Target"/>
  </tableColumns>
  <tableStyleInfo name="Data Tables-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99E05B0-EEF4-4623-9D70-D586AEFAF1C0}" name="Table3" displayName="Table3" ref="N1:V901" totalsRowShown="0" headerRowDxfId="98" dataDxfId="96" headerRowBorderDxfId="97" tableBorderDxfId="95">
  <autoFilter ref="N1:V901" xr:uid="{C99E05B0-EEF4-4623-9D70-D586AEFAF1C0}"/>
  <sortState xmlns:xlrd2="http://schemas.microsoft.com/office/spreadsheetml/2017/richdata2" ref="N2:V901">
    <sortCondition ref="N2:N901" customList="Jan,Feb,Mar,Apr,May,Jun,Jul,Aug,Sep,Oct,Nov,Dec"/>
  </sortState>
  <tableColumns count="9">
    <tableColumn id="1" xr3:uid="{3D8E1F39-9C90-4920-8BA2-3DB077DB584F}" name="Year" dataDxfId="94"/>
    <tableColumn id="2" xr3:uid="{324256ED-E96C-405A-B235-F2C69D31FB1E}" name="Month" dataDxfId="93"/>
    <tableColumn id="3" xr3:uid="{2CC65200-C568-4301-80E0-6250C26A2CF8}" name="Income sources" dataDxfId="92"/>
    <tableColumn id="4" xr3:uid="{8FBF21E5-7948-4AB4-A278-82B313A5A74A}" name="Income Breakdowns" dataDxfId="91"/>
    <tableColumn id="5" xr3:uid="{2CC13A49-D5AB-4931-A72F-D05E8DDCED0C}" name="Counts" dataDxfId="90"/>
    <tableColumn id="6" xr3:uid="{0A2F3418-F742-4803-9D5B-7FCCF8DC5B71}" name="Income" dataDxfId="89"/>
    <tableColumn id="7" xr3:uid="{51FBB4DB-9DD4-49EE-B996-E5E1B6505046}" name="Target Income" dataDxfId="88"/>
    <tableColumn id="8" xr3:uid="{C171FCD0-3440-4709-9500-87EF8C31C0CD}" name="operating profit" dataDxfId="87"/>
    <tableColumn id="9" xr3:uid="{F925CD43-EABA-4711-B1CD-F3D0FB35410B}" name="Marketing Strategies" dataDxfId="86"/>
  </tableColumns>
  <tableStyleInfo name="TableStyleLight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7">
    <wetp:webextensionref xmlns:r="http://schemas.openxmlformats.org/officeDocument/2006/relationships" r:id="rId1"/>
  </wetp:taskpane>
  <wetp:taskpane dockstate="right" visibility="0" width="350" row="8">
    <wetp:webextensionref xmlns:r="http://schemas.openxmlformats.org/officeDocument/2006/relationships" r:id="rId2"/>
  </wetp:taskpane>
</wetp:taskpanes>
</file>

<file path=xl/webextensions/webextension1.xml><?xml version="1.0" encoding="utf-8"?>
<we:webextension xmlns:we="http://schemas.microsoft.com/office/webextensions/webextension/2010/11" id="{EE7194AE-6BE0-48BD-80FE-70B373CB2595}">
  <we:reference id="wa200005271" version="3.0.0.4" store="en-US" storeType="OMEX"/>
  <we:alternateReferences>
    <we:reference id="WA200005271" version="3.0.0.4" store="" storeType="OMEX"/>
  </we:alternateReferences>
  <we:properties/>
  <we:bindings/>
  <we:snapshot xmlns:r="http://schemas.openxmlformats.org/officeDocument/2006/relationships"/>
</we:webextension>
</file>

<file path=xl/webextensions/webextension2.xml><?xml version="1.0" encoding="utf-8"?>
<we:webextension xmlns:we="http://schemas.microsoft.com/office/webextensions/webextension/2010/11" id="{6673E2B1-882F-4E0B-B783-A3DC78D69747}">
  <we:reference id="wa200005502" version="1.0.0.13" store="en-US" storeType="OMEX"/>
  <we:alternateReferences>
    <we:reference id="WA200005502" version="1.0.0.13" store="" storeType="OMEX"/>
  </we:alternateReferences>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drawing" Target="../drawings/drawing1.xml"/><Relationship Id="rId2" Type="http://schemas.openxmlformats.org/officeDocument/2006/relationships/pivotTable" Target="../pivotTables/pivotTable2.xml"/><Relationship Id="rId16" Type="http://schemas.openxmlformats.org/officeDocument/2006/relationships/printerSettings" Target="../printerSettings/printerSettings1.bin"/><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 Type="http://schemas.microsoft.com/office/2007/relationships/slicer" Target="../slicers/slicer4.xml"/><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652532-4CC7-4D48-82CA-C83DD7E39654}">
  <sheetPr codeName="Sheet1"/>
  <dimension ref="A1:AB3116"/>
  <sheetViews>
    <sheetView topLeftCell="W1" zoomScale="90" workbookViewId="0">
      <selection activeCell="L6" sqref="L6"/>
    </sheetView>
  </sheetViews>
  <sheetFormatPr defaultColWidth="14.42578125" defaultRowHeight="15" x14ac:dyDescent="0.25"/>
  <cols>
    <col min="1" max="1" width="18.7109375" customWidth="1"/>
    <col min="2" max="2" width="10" customWidth="1"/>
    <col min="3" max="3" width="11.85546875" customWidth="1"/>
    <col min="4" max="4" width="10" customWidth="1"/>
    <col min="5" max="5" width="21" customWidth="1"/>
    <col min="6" max="6" width="20.28515625" customWidth="1"/>
    <col min="7" max="7" width="26.140625" customWidth="1"/>
    <col min="8" max="8" width="16" customWidth="1"/>
    <col min="9" max="9" width="18" customWidth="1"/>
    <col min="10" max="10" width="13.28515625" customWidth="1"/>
    <col min="11" max="11" width="11.85546875" customWidth="1"/>
    <col min="12" max="13" width="14.42578125" style="2"/>
    <col min="15" max="15" width="14" bestFit="1" customWidth="1"/>
    <col min="16" max="16" width="23.5703125" bestFit="1" customWidth="1"/>
    <col min="17" max="17" width="27.85546875" bestFit="1" customWidth="1"/>
    <col min="18" max="19" width="14.85546875" bestFit="1" customWidth="1"/>
    <col min="20" max="20" width="22" bestFit="1" customWidth="1"/>
    <col min="21" max="21" width="23.140625" bestFit="1" customWidth="1"/>
    <col min="22" max="22" width="28.5703125" bestFit="1" customWidth="1"/>
    <col min="23" max="24" width="14.42578125" style="4"/>
  </cols>
  <sheetData>
    <row r="1" spans="1:28" ht="28.5" customHeight="1" x14ac:dyDescent="0.25">
      <c r="A1" s="1" t="s">
        <v>0</v>
      </c>
      <c r="B1" s="1" t="s">
        <v>1</v>
      </c>
      <c r="C1" s="1" t="s">
        <v>2</v>
      </c>
      <c r="D1" s="1" t="s">
        <v>3</v>
      </c>
      <c r="E1" s="1" t="s">
        <v>4</v>
      </c>
      <c r="F1" s="1" t="s">
        <v>5</v>
      </c>
      <c r="G1" s="1" t="s">
        <v>6</v>
      </c>
      <c r="H1" s="1" t="s">
        <v>7</v>
      </c>
      <c r="I1" s="1" t="s">
        <v>8</v>
      </c>
      <c r="J1" s="1" t="s">
        <v>9</v>
      </c>
      <c r="K1" s="1" t="s">
        <v>10</v>
      </c>
      <c r="N1" s="3" t="s">
        <v>1</v>
      </c>
      <c r="O1" s="3" t="s">
        <v>2</v>
      </c>
      <c r="P1" s="3" t="s">
        <v>11</v>
      </c>
      <c r="Q1" s="3" t="s">
        <v>12</v>
      </c>
      <c r="R1" s="3" t="s">
        <v>13</v>
      </c>
      <c r="S1" s="3" t="s">
        <v>14</v>
      </c>
      <c r="T1" s="3" t="s">
        <v>15</v>
      </c>
      <c r="U1" s="3" t="s">
        <v>16</v>
      </c>
      <c r="V1" s="3" t="s">
        <v>17</v>
      </c>
      <c r="Y1" s="5" t="s">
        <v>1</v>
      </c>
      <c r="Z1" s="6" t="s">
        <v>18</v>
      </c>
      <c r="AA1" s="5" t="s">
        <v>9</v>
      </c>
      <c r="AB1" s="5" t="s">
        <v>10</v>
      </c>
    </row>
    <row r="2" spans="1:28" ht="18" customHeight="1" x14ac:dyDescent="0.25">
      <c r="A2" s="7" t="s">
        <v>53</v>
      </c>
      <c r="B2" s="7">
        <v>2020</v>
      </c>
      <c r="C2" s="7" t="s">
        <v>20</v>
      </c>
      <c r="D2" s="7" t="s">
        <v>21</v>
      </c>
      <c r="E2" s="7" t="s">
        <v>22</v>
      </c>
      <c r="F2" s="7" t="s">
        <v>23</v>
      </c>
      <c r="G2" s="7" t="s">
        <v>24</v>
      </c>
      <c r="H2" s="7" t="s">
        <v>25</v>
      </c>
      <c r="I2" s="7" t="s">
        <v>35</v>
      </c>
      <c r="J2" s="7">
        <v>803</v>
      </c>
      <c r="K2" s="7">
        <v>526.24</v>
      </c>
      <c r="N2" s="4">
        <v>2020</v>
      </c>
      <c r="O2" s="4" t="s">
        <v>27</v>
      </c>
      <c r="P2" s="4" t="s">
        <v>28</v>
      </c>
      <c r="Q2" s="8" t="s">
        <v>29</v>
      </c>
      <c r="R2" s="9">
        <v>3566</v>
      </c>
      <c r="S2" s="9">
        <v>5492.76</v>
      </c>
      <c r="T2" s="9">
        <v>5126.576</v>
      </c>
      <c r="U2" s="9">
        <v>1098.5520000000001</v>
      </c>
      <c r="V2" s="10" t="s">
        <v>30</v>
      </c>
      <c r="Y2" s="7">
        <v>2020</v>
      </c>
      <c r="Z2" s="7" t="s">
        <v>31</v>
      </c>
      <c r="AA2" s="11">
        <v>364236</v>
      </c>
      <c r="AB2" s="12">
        <v>501558.1999999999</v>
      </c>
    </row>
    <row r="3" spans="1:28" ht="18" customHeight="1" x14ac:dyDescent="0.25">
      <c r="A3" s="7" t="s">
        <v>19</v>
      </c>
      <c r="B3" s="7">
        <v>2020</v>
      </c>
      <c r="C3" s="7" t="s">
        <v>20</v>
      </c>
      <c r="D3" s="7" t="s">
        <v>21</v>
      </c>
      <c r="E3" s="7" t="s">
        <v>22</v>
      </c>
      <c r="F3" s="7" t="s">
        <v>23</v>
      </c>
      <c r="G3" s="7" t="s">
        <v>24</v>
      </c>
      <c r="H3" s="7" t="s">
        <v>25</v>
      </c>
      <c r="I3" s="7" t="s">
        <v>35</v>
      </c>
      <c r="J3" s="7">
        <v>235</v>
      </c>
      <c r="K3" s="7">
        <v>336.05</v>
      </c>
      <c r="N3" s="4">
        <v>2020</v>
      </c>
      <c r="O3" s="4" t="s">
        <v>27</v>
      </c>
      <c r="P3" s="4" t="s">
        <v>28</v>
      </c>
      <c r="Q3" s="8" t="s">
        <v>32</v>
      </c>
      <c r="R3" s="9">
        <v>2498</v>
      </c>
      <c r="S3" s="9">
        <v>9600</v>
      </c>
      <c r="T3" s="9">
        <v>8960</v>
      </c>
      <c r="U3" s="9">
        <v>1920</v>
      </c>
      <c r="V3" s="10" t="s">
        <v>30</v>
      </c>
      <c r="Y3" s="7">
        <v>2020</v>
      </c>
      <c r="Z3" s="7" t="s">
        <v>33</v>
      </c>
      <c r="AA3" s="11">
        <v>197480</v>
      </c>
      <c r="AB3" s="12">
        <v>360897.68000000005</v>
      </c>
    </row>
    <row r="4" spans="1:28" ht="18" customHeight="1" x14ac:dyDescent="0.25">
      <c r="A4" s="7" t="s">
        <v>19</v>
      </c>
      <c r="B4" s="7">
        <v>2020</v>
      </c>
      <c r="C4" s="7" t="s">
        <v>20</v>
      </c>
      <c r="D4" s="7" t="s">
        <v>21</v>
      </c>
      <c r="E4" s="7" t="s">
        <v>22</v>
      </c>
      <c r="F4" s="7" t="s">
        <v>23</v>
      </c>
      <c r="G4" s="7" t="s">
        <v>24</v>
      </c>
      <c r="H4" s="7" t="s">
        <v>25</v>
      </c>
      <c r="I4" s="7" t="s">
        <v>35</v>
      </c>
      <c r="J4" s="7">
        <v>283</v>
      </c>
      <c r="K4" s="7">
        <v>404.69</v>
      </c>
      <c r="N4" s="4">
        <v>2020</v>
      </c>
      <c r="O4" s="4" t="s">
        <v>27</v>
      </c>
      <c r="P4" s="4" t="s">
        <v>36</v>
      </c>
      <c r="Q4" s="8" t="s">
        <v>37</v>
      </c>
      <c r="R4" s="9">
        <v>1245</v>
      </c>
      <c r="S4" s="9">
        <v>5492.6399999999994</v>
      </c>
      <c r="T4" s="9">
        <v>5126.4639999999999</v>
      </c>
      <c r="U4" s="9">
        <v>1098.528</v>
      </c>
      <c r="V4" s="10" t="s">
        <v>30</v>
      </c>
      <c r="Y4" s="7">
        <v>2020</v>
      </c>
      <c r="Z4" s="7" t="s">
        <v>38</v>
      </c>
      <c r="AA4" s="11">
        <v>187412</v>
      </c>
      <c r="AB4" s="12">
        <v>227490.12000000002</v>
      </c>
    </row>
    <row r="5" spans="1:28" ht="18" customHeight="1" x14ac:dyDescent="0.25">
      <c r="A5" s="7" t="s">
        <v>42</v>
      </c>
      <c r="B5" s="7">
        <v>2020</v>
      </c>
      <c r="C5" s="7" t="s">
        <v>20</v>
      </c>
      <c r="D5" s="7" t="s">
        <v>21</v>
      </c>
      <c r="E5" s="7" t="s">
        <v>22</v>
      </c>
      <c r="F5" s="7" t="s">
        <v>23</v>
      </c>
      <c r="G5" s="7" t="s">
        <v>24</v>
      </c>
      <c r="H5" s="7" t="s">
        <v>25</v>
      </c>
      <c r="I5" s="7" t="s">
        <v>35</v>
      </c>
      <c r="J5" s="7">
        <v>211</v>
      </c>
      <c r="K5" s="7">
        <v>301.73</v>
      </c>
      <c r="N5" s="4">
        <v>2020</v>
      </c>
      <c r="O5" s="4" t="s">
        <v>27</v>
      </c>
      <c r="P5" s="4" t="s">
        <v>39</v>
      </c>
      <c r="Q5" s="13" t="s">
        <v>40</v>
      </c>
      <c r="R5" s="14">
        <v>644</v>
      </c>
      <c r="S5" s="14">
        <v>6892.2</v>
      </c>
      <c r="T5" s="14">
        <v>6432.72</v>
      </c>
      <c r="U5" s="9">
        <v>1378.44</v>
      </c>
      <c r="V5" s="10" t="s">
        <v>30</v>
      </c>
      <c r="Y5" s="7">
        <v>2020</v>
      </c>
      <c r="Z5" s="7" t="s">
        <v>41</v>
      </c>
      <c r="AA5" s="11">
        <v>167840</v>
      </c>
      <c r="AB5" s="12">
        <v>281795.8000000001</v>
      </c>
    </row>
    <row r="6" spans="1:28" ht="18" customHeight="1" x14ac:dyDescent="0.25">
      <c r="A6" s="7" t="s">
        <v>19</v>
      </c>
      <c r="B6" s="7">
        <v>2020</v>
      </c>
      <c r="C6" s="7" t="s">
        <v>20</v>
      </c>
      <c r="D6" s="7" t="s">
        <v>21</v>
      </c>
      <c r="E6" s="7" t="s">
        <v>22</v>
      </c>
      <c r="F6" s="7" t="s">
        <v>23</v>
      </c>
      <c r="G6" s="7" t="s">
        <v>24</v>
      </c>
      <c r="H6" s="7" t="s">
        <v>25</v>
      </c>
      <c r="I6" s="7" t="s">
        <v>26</v>
      </c>
      <c r="J6" s="7">
        <v>876</v>
      </c>
      <c r="K6" s="7">
        <v>1252.68</v>
      </c>
      <c r="N6" s="4">
        <v>2020</v>
      </c>
      <c r="O6" s="4" t="s">
        <v>27</v>
      </c>
      <c r="P6" s="4" t="s">
        <v>43</v>
      </c>
      <c r="Q6" s="13" t="s">
        <v>44</v>
      </c>
      <c r="R6" s="14">
        <v>643</v>
      </c>
      <c r="S6" s="14">
        <v>7700</v>
      </c>
      <c r="T6" s="14">
        <v>7840</v>
      </c>
      <c r="U6" s="9">
        <v>1540</v>
      </c>
      <c r="V6" s="10" t="s">
        <v>30</v>
      </c>
      <c r="Y6" s="7">
        <v>2020</v>
      </c>
      <c r="Z6" s="7" t="s">
        <v>45</v>
      </c>
      <c r="AA6" s="11">
        <v>126472</v>
      </c>
      <c r="AB6" s="12">
        <v>206264.59999999995</v>
      </c>
    </row>
    <row r="7" spans="1:28" ht="18" customHeight="1" x14ac:dyDescent="0.25">
      <c r="A7" s="7" t="s">
        <v>19</v>
      </c>
      <c r="B7" s="7">
        <v>2020</v>
      </c>
      <c r="C7" s="7" t="s">
        <v>20</v>
      </c>
      <c r="D7" s="7" t="s">
        <v>21</v>
      </c>
      <c r="E7" s="7" t="s">
        <v>22</v>
      </c>
      <c r="F7" s="7" t="s">
        <v>23</v>
      </c>
      <c r="G7" s="7" t="s">
        <v>24</v>
      </c>
      <c r="H7" s="7" t="s">
        <v>25</v>
      </c>
      <c r="I7" s="7" t="s">
        <v>26</v>
      </c>
      <c r="J7" s="7">
        <v>877</v>
      </c>
      <c r="K7" s="7">
        <v>1254.1100000000001</v>
      </c>
      <c r="N7" s="4">
        <v>2020</v>
      </c>
      <c r="O7" s="4" t="s">
        <v>27</v>
      </c>
      <c r="P7" s="4" t="s">
        <v>39</v>
      </c>
      <c r="Q7" s="13" t="s">
        <v>46</v>
      </c>
      <c r="R7" s="14">
        <v>455</v>
      </c>
      <c r="S7" s="14">
        <v>5265.39</v>
      </c>
      <c r="T7" s="14">
        <v>5128.0320000000002</v>
      </c>
      <c r="U7" s="9">
        <v>1053.0780000000002</v>
      </c>
      <c r="V7" s="10" t="s">
        <v>30</v>
      </c>
      <c r="Y7" s="7">
        <v>2020</v>
      </c>
      <c r="Z7" s="7" t="s">
        <v>47</v>
      </c>
      <c r="AA7" s="11">
        <v>125960</v>
      </c>
      <c r="AB7" s="12">
        <v>202419.35999999975</v>
      </c>
    </row>
    <row r="8" spans="1:28" ht="18" customHeight="1" x14ac:dyDescent="0.25">
      <c r="A8" s="7" t="s">
        <v>19</v>
      </c>
      <c r="B8" s="7">
        <v>2020</v>
      </c>
      <c r="C8" s="7" t="s">
        <v>20</v>
      </c>
      <c r="D8" s="7" t="s">
        <v>21</v>
      </c>
      <c r="E8" s="7" t="s">
        <v>22</v>
      </c>
      <c r="F8" s="7" t="s">
        <v>23</v>
      </c>
      <c r="G8" s="7" t="s">
        <v>24</v>
      </c>
      <c r="H8" s="7" t="s">
        <v>25</v>
      </c>
      <c r="I8" s="7" t="s">
        <v>26</v>
      </c>
      <c r="J8" s="7">
        <v>878</v>
      </c>
      <c r="K8" s="7">
        <v>1255.54</v>
      </c>
      <c r="N8" s="4">
        <v>2020</v>
      </c>
      <c r="O8" s="4" t="s">
        <v>27</v>
      </c>
      <c r="P8" s="4" t="s">
        <v>43</v>
      </c>
      <c r="Q8" s="13" t="s">
        <v>48</v>
      </c>
      <c r="R8" s="15">
        <v>345</v>
      </c>
      <c r="S8" s="15">
        <v>9016</v>
      </c>
      <c r="T8" s="15">
        <v>7840</v>
      </c>
      <c r="U8" s="9">
        <v>1803.2</v>
      </c>
      <c r="V8" s="10" t="s">
        <v>30</v>
      </c>
      <c r="Y8" s="7">
        <v>2021</v>
      </c>
      <c r="Z8" s="7" t="s">
        <v>31</v>
      </c>
      <c r="AA8" s="11">
        <v>342724</v>
      </c>
      <c r="AB8" s="12">
        <v>509978.03999999992</v>
      </c>
    </row>
    <row r="9" spans="1:28" ht="18" customHeight="1" x14ac:dyDescent="0.25">
      <c r="A9" s="7" t="s">
        <v>42</v>
      </c>
      <c r="B9" s="7">
        <v>2020</v>
      </c>
      <c r="C9" s="7" t="s">
        <v>20</v>
      </c>
      <c r="D9" s="7" t="s">
        <v>21</v>
      </c>
      <c r="E9" s="7" t="s">
        <v>22</v>
      </c>
      <c r="F9" s="7" t="s">
        <v>23</v>
      </c>
      <c r="G9" s="7" t="s">
        <v>24</v>
      </c>
      <c r="H9" s="7" t="s">
        <v>25</v>
      </c>
      <c r="I9" s="7" t="s">
        <v>35</v>
      </c>
      <c r="J9" s="7">
        <v>281</v>
      </c>
      <c r="K9" s="7">
        <v>401.83</v>
      </c>
      <c r="N9" s="4">
        <v>2020</v>
      </c>
      <c r="O9" s="4" t="s">
        <v>27</v>
      </c>
      <c r="P9" s="4" t="s">
        <v>36</v>
      </c>
      <c r="Q9" s="8" t="s">
        <v>49</v>
      </c>
      <c r="R9" s="9">
        <v>122</v>
      </c>
      <c r="S9" s="9">
        <v>2696.75</v>
      </c>
      <c r="T9" s="9">
        <v>112</v>
      </c>
      <c r="U9" s="9">
        <v>539.35</v>
      </c>
      <c r="V9" s="10" t="s">
        <v>30</v>
      </c>
      <c r="Y9" s="7">
        <v>2021</v>
      </c>
      <c r="Z9" s="7" t="s">
        <v>33</v>
      </c>
      <c r="AA9" s="11">
        <v>238460</v>
      </c>
      <c r="AB9" s="12">
        <v>280188.47999999992</v>
      </c>
    </row>
    <row r="10" spans="1:28" ht="18" customHeight="1" x14ac:dyDescent="0.25">
      <c r="A10" s="7" t="s">
        <v>34</v>
      </c>
      <c r="B10" s="7">
        <v>2020</v>
      </c>
      <c r="C10" s="7" t="s">
        <v>20</v>
      </c>
      <c r="D10" s="7" t="s">
        <v>21</v>
      </c>
      <c r="E10" s="7" t="s">
        <v>22</v>
      </c>
      <c r="F10" s="7" t="s">
        <v>23</v>
      </c>
      <c r="G10" s="7" t="s">
        <v>24</v>
      </c>
      <c r="H10" s="7" t="s">
        <v>25</v>
      </c>
      <c r="I10" s="7" t="s">
        <v>35</v>
      </c>
      <c r="J10" s="7">
        <v>772</v>
      </c>
      <c r="K10" s="7">
        <v>1103.96</v>
      </c>
      <c r="N10" s="4">
        <v>2020</v>
      </c>
      <c r="O10" s="4" t="s">
        <v>27</v>
      </c>
      <c r="P10" s="4" t="s">
        <v>50</v>
      </c>
      <c r="Q10" s="13" t="s">
        <v>51</v>
      </c>
      <c r="R10" s="14">
        <v>78</v>
      </c>
      <c r="S10" s="14">
        <v>5492.6399999999994</v>
      </c>
      <c r="T10" s="14">
        <v>5126.4639999999999</v>
      </c>
      <c r="U10" s="9">
        <v>1098.528</v>
      </c>
      <c r="V10" s="10" t="s">
        <v>30</v>
      </c>
      <c r="Y10" s="7">
        <v>2021</v>
      </c>
      <c r="Z10" s="7" t="s">
        <v>38</v>
      </c>
      <c r="AA10" s="11">
        <v>231288</v>
      </c>
      <c r="AB10" s="12">
        <v>209586.52000000019</v>
      </c>
    </row>
    <row r="11" spans="1:28" ht="18" customHeight="1" x14ac:dyDescent="0.25">
      <c r="A11" s="7" t="s">
        <v>19</v>
      </c>
      <c r="B11" s="7">
        <v>2020</v>
      </c>
      <c r="C11" s="7" t="s">
        <v>60</v>
      </c>
      <c r="D11" s="7" t="s">
        <v>21</v>
      </c>
      <c r="E11" s="7" t="s">
        <v>22</v>
      </c>
      <c r="F11" s="7" t="s">
        <v>23</v>
      </c>
      <c r="G11" s="7" t="s">
        <v>24</v>
      </c>
      <c r="H11" s="7" t="s">
        <v>25</v>
      </c>
      <c r="I11" s="7" t="s">
        <v>26</v>
      </c>
      <c r="J11" s="7">
        <v>290</v>
      </c>
      <c r="K11" s="7">
        <v>414.7</v>
      </c>
      <c r="N11" s="4">
        <v>2020</v>
      </c>
      <c r="O11" s="4" t="s">
        <v>27</v>
      </c>
      <c r="P11" s="4" t="s">
        <v>50</v>
      </c>
      <c r="Q11" s="13" t="s">
        <v>52</v>
      </c>
      <c r="R11" s="14">
        <v>76</v>
      </c>
      <c r="S11" s="14">
        <v>5492.28</v>
      </c>
      <c r="T11" s="14">
        <v>5126.1279999999997</v>
      </c>
      <c r="U11" s="9">
        <v>1098.4559999999999</v>
      </c>
      <c r="V11" s="10" t="s">
        <v>30</v>
      </c>
      <c r="Y11" s="7">
        <v>2021</v>
      </c>
      <c r="Z11" s="7" t="s">
        <v>41</v>
      </c>
      <c r="AA11" s="11">
        <v>210228</v>
      </c>
      <c r="AB11" s="12">
        <v>273633.36</v>
      </c>
    </row>
    <row r="12" spans="1:28" ht="18" customHeight="1" x14ac:dyDescent="0.25">
      <c r="A12" s="7" t="s">
        <v>19</v>
      </c>
      <c r="B12" s="7">
        <v>2020</v>
      </c>
      <c r="C12" s="7" t="s">
        <v>60</v>
      </c>
      <c r="D12" s="7" t="s">
        <v>21</v>
      </c>
      <c r="E12" s="7" t="s">
        <v>22</v>
      </c>
      <c r="F12" s="7" t="s">
        <v>23</v>
      </c>
      <c r="G12" s="7" t="s">
        <v>24</v>
      </c>
      <c r="H12" s="7" t="s">
        <v>25</v>
      </c>
      <c r="I12" s="7" t="s">
        <v>26</v>
      </c>
      <c r="J12" s="7">
        <v>284</v>
      </c>
      <c r="K12" s="7">
        <v>406.12</v>
      </c>
      <c r="N12" s="4">
        <v>2020</v>
      </c>
      <c r="O12" s="4" t="s">
        <v>27</v>
      </c>
      <c r="P12" s="4" t="s">
        <v>50</v>
      </c>
      <c r="Q12" s="13" t="s">
        <v>54</v>
      </c>
      <c r="R12" s="14">
        <v>46</v>
      </c>
      <c r="S12" s="14">
        <v>240</v>
      </c>
      <c r="T12" s="14">
        <v>224</v>
      </c>
      <c r="U12" s="9">
        <v>48</v>
      </c>
      <c r="V12" s="10" t="s">
        <v>30</v>
      </c>
      <c r="Y12" s="7">
        <v>2021</v>
      </c>
      <c r="Z12" s="7" t="s">
        <v>47</v>
      </c>
      <c r="AA12" s="11">
        <v>135984</v>
      </c>
      <c r="AB12" s="12">
        <v>204158.23999999973</v>
      </c>
    </row>
    <row r="13" spans="1:28" ht="18" customHeight="1" x14ac:dyDescent="0.25">
      <c r="A13" s="7" t="s">
        <v>61</v>
      </c>
      <c r="B13" s="7">
        <v>2020</v>
      </c>
      <c r="C13" s="7" t="s">
        <v>60</v>
      </c>
      <c r="D13" s="7" t="s">
        <v>21</v>
      </c>
      <c r="E13" s="7" t="s">
        <v>22</v>
      </c>
      <c r="F13" s="7" t="s">
        <v>23</v>
      </c>
      <c r="G13" s="7" t="s">
        <v>24</v>
      </c>
      <c r="H13" s="7" t="s">
        <v>25</v>
      </c>
      <c r="I13" s="7" t="s">
        <v>26</v>
      </c>
      <c r="J13" s="7">
        <v>278</v>
      </c>
      <c r="K13" s="7">
        <v>397.53999999999996</v>
      </c>
      <c r="N13" s="4">
        <v>2020</v>
      </c>
      <c r="O13" s="4" t="s">
        <v>27</v>
      </c>
      <c r="P13" s="4" t="s">
        <v>50</v>
      </c>
      <c r="Q13" s="13" t="s">
        <v>55</v>
      </c>
      <c r="R13" s="14">
        <v>34</v>
      </c>
      <c r="S13" s="14">
        <v>5492.16</v>
      </c>
      <c r="T13" s="14">
        <v>5126.0160000000005</v>
      </c>
      <c r="U13" s="9">
        <v>1098.432</v>
      </c>
      <c r="V13" s="10" t="s">
        <v>30</v>
      </c>
      <c r="Y13" s="7">
        <v>2021</v>
      </c>
      <c r="Z13" s="7" t="s">
        <v>45</v>
      </c>
      <c r="AA13" s="11">
        <v>128888</v>
      </c>
      <c r="AB13" s="12">
        <v>275347.0400000001</v>
      </c>
    </row>
    <row r="14" spans="1:28" ht="18" customHeight="1" x14ac:dyDescent="0.25">
      <c r="A14" s="7" t="s">
        <v>34</v>
      </c>
      <c r="B14" s="7">
        <v>2020</v>
      </c>
      <c r="C14" s="7" t="s">
        <v>60</v>
      </c>
      <c r="D14" s="7" t="s">
        <v>21</v>
      </c>
      <c r="E14" s="7" t="s">
        <v>22</v>
      </c>
      <c r="F14" s="7" t="s">
        <v>23</v>
      </c>
      <c r="G14" s="7" t="s">
        <v>24</v>
      </c>
      <c r="H14" s="7" t="s">
        <v>25</v>
      </c>
      <c r="I14" s="7" t="s">
        <v>35</v>
      </c>
      <c r="J14" s="7">
        <v>212</v>
      </c>
      <c r="K14" s="7">
        <v>303.15999999999997</v>
      </c>
      <c r="N14" s="4">
        <v>2020</v>
      </c>
      <c r="O14" s="4" t="s">
        <v>27</v>
      </c>
      <c r="P14" s="4" t="s">
        <v>36</v>
      </c>
      <c r="Q14" s="8" t="s">
        <v>56</v>
      </c>
      <c r="R14" s="9">
        <v>7</v>
      </c>
      <c r="S14" s="9">
        <v>3666.3</v>
      </c>
      <c r="T14" s="9">
        <v>224</v>
      </c>
      <c r="U14" s="9">
        <v>733.2600000000001</v>
      </c>
      <c r="V14" s="10" t="s">
        <v>30</v>
      </c>
      <c r="Y14" s="7">
        <v>2022</v>
      </c>
      <c r="Z14" s="7" t="s">
        <v>31</v>
      </c>
      <c r="AA14" s="11">
        <v>365892</v>
      </c>
      <c r="AB14" s="12">
        <v>524449.6399999999</v>
      </c>
    </row>
    <row r="15" spans="1:28" ht="18" customHeight="1" x14ac:dyDescent="0.25">
      <c r="A15" s="7" t="s">
        <v>19</v>
      </c>
      <c r="B15" s="7">
        <v>2020</v>
      </c>
      <c r="C15" s="7" t="s">
        <v>60</v>
      </c>
      <c r="D15" s="7" t="s">
        <v>21</v>
      </c>
      <c r="E15" s="7" t="s">
        <v>22</v>
      </c>
      <c r="F15" s="7" t="s">
        <v>23</v>
      </c>
      <c r="G15" s="7" t="s">
        <v>24</v>
      </c>
      <c r="H15" s="7" t="s">
        <v>25</v>
      </c>
      <c r="I15" s="7" t="s">
        <v>35</v>
      </c>
      <c r="J15" s="7">
        <v>260</v>
      </c>
      <c r="K15" s="7">
        <v>371.8</v>
      </c>
      <c r="N15" s="4">
        <v>2020</v>
      </c>
      <c r="O15" s="4" t="s">
        <v>27</v>
      </c>
      <c r="P15" s="4" t="s">
        <v>57</v>
      </c>
      <c r="Q15" s="13" t="s">
        <v>57</v>
      </c>
      <c r="R15" s="14">
        <v>3</v>
      </c>
      <c r="S15" s="14">
        <v>7260</v>
      </c>
      <c r="T15" s="14">
        <v>7392</v>
      </c>
      <c r="U15" s="9">
        <v>1452</v>
      </c>
      <c r="V15" s="10" t="s">
        <v>30</v>
      </c>
      <c r="Y15" s="7">
        <v>2022</v>
      </c>
      <c r="Z15" s="7" t="s">
        <v>38</v>
      </c>
      <c r="AA15" s="11">
        <v>188312</v>
      </c>
      <c r="AB15" s="12">
        <v>201424.08000000007</v>
      </c>
    </row>
    <row r="16" spans="1:28" ht="18" customHeight="1" x14ac:dyDescent="0.25">
      <c r="A16" s="7" t="s">
        <v>19</v>
      </c>
      <c r="B16" s="7">
        <v>2020</v>
      </c>
      <c r="C16" s="7" t="s">
        <v>60</v>
      </c>
      <c r="D16" s="7" t="s">
        <v>21</v>
      </c>
      <c r="E16" s="7" t="s">
        <v>22</v>
      </c>
      <c r="F16" s="7" t="s">
        <v>23</v>
      </c>
      <c r="G16" s="7" t="s">
        <v>24</v>
      </c>
      <c r="H16" s="7" t="s">
        <v>25</v>
      </c>
      <c r="I16" s="7" t="s">
        <v>35</v>
      </c>
      <c r="J16" s="7">
        <v>188</v>
      </c>
      <c r="K16" s="7">
        <v>268.84000000000003</v>
      </c>
      <c r="N16" s="4">
        <v>2020</v>
      </c>
      <c r="O16" s="4" t="s">
        <v>27</v>
      </c>
      <c r="P16" s="4" t="s">
        <v>50</v>
      </c>
      <c r="Q16" s="13" t="s">
        <v>58</v>
      </c>
      <c r="R16" s="14">
        <v>3</v>
      </c>
      <c r="S16" s="14">
        <v>5035.0300000000007</v>
      </c>
      <c r="T16" s="14">
        <v>5126.576</v>
      </c>
      <c r="U16" s="9">
        <v>1007.0060000000002</v>
      </c>
      <c r="V16" s="10" t="s">
        <v>30</v>
      </c>
      <c r="Y16" s="7">
        <v>2022</v>
      </c>
      <c r="Z16" s="7" t="s">
        <v>33</v>
      </c>
      <c r="AA16" s="11">
        <v>387584</v>
      </c>
      <c r="AB16" s="12">
        <v>700000</v>
      </c>
    </row>
    <row r="17" spans="1:28" ht="18" customHeight="1" x14ac:dyDescent="0.25">
      <c r="A17" s="7" t="s">
        <v>42</v>
      </c>
      <c r="B17" s="7">
        <v>2020</v>
      </c>
      <c r="C17" s="7" t="s">
        <v>60</v>
      </c>
      <c r="D17" s="7" t="s">
        <v>21</v>
      </c>
      <c r="E17" s="7" t="s">
        <v>22</v>
      </c>
      <c r="F17" s="7" t="s">
        <v>23</v>
      </c>
      <c r="G17" s="7" t="s">
        <v>24</v>
      </c>
      <c r="H17" s="7" t="s">
        <v>25</v>
      </c>
      <c r="I17" s="7" t="s">
        <v>35</v>
      </c>
      <c r="J17" s="7">
        <v>214</v>
      </c>
      <c r="K17" s="7">
        <v>306.02</v>
      </c>
      <c r="N17" s="4">
        <v>2020</v>
      </c>
      <c r="O17" s="4" t="s">
        <v>59</v>
      </c>
      <c r="P17" s="4" t="s">
        <v>28</v>
      </c>
      <c r="Q17" s="8" t="s">
        <v>29</v>
      </c>
      <c r="R17" s="9">
        <v>3566</v>
      </c>
      <c r="S17" s="9">
        <v>5035.0300000000007</v>
      </c>
      <c r="T17" s="9">
        <v>5126.576</v>
      </c>
      <c r="U17" s="9">
        <v>1007.0060000000002</v>
      </c>
      <c r="V17" s="10" t="s">
        <v>30</v>
      </c>
      <c r="Y17" s="7">
        <v>2022</v>
      </c>
      <c r="Z17" s="7" t="s">
        <v>41</v>
      </c>
      <c r="AA17" s="11">
        <v>178572</v>
      </c>
      <c r="AB17" s="12">
        <v>255357.95999999996</v>
      </c>
    </row>
    <row r="18" spans="1:28" ht="18" customHeight="1" x14ac:dyDescent="0.25">
      <c r="A18" s="7" t="s">
        <v>34</v>
      </c>
      <c r="B18" s="7">
        <v>2020</v>
      </c>
      <c r="C18" s="7" t="s">
        <v>60</v>
      </c>
      <c r="D18" s="7" t="s">
        <v>21</v>
      </c>
      <c r="E18" s="7" t="s">
        <v>22</v>
      </c>
      <c r="F18" s="7" t="s">
        <v>23</v>
      </c>
      <c r="G18" s="7" t="s">
        <v>24</v>
      </c>
      <c r="H18" s="7" t="s">
        <v>25</v>
      </c>
      <c r="I18" s="7" t="s">
        <v>35</v>
      </c>
      <c r="J18" s="7">
        <v>262</v>
      </c>
      <c r="K18" s="7">
        <v>374.65999999999997</v>
      </c>
      <c r="N18" s="4">
        <v>2020</v>
      </c>
      <c r="O18" s="4" t="s">
        <v>59</v>
      </c>
      <c r="P18" s="4" t="s">
        <v>28</v>
      </c>
      <c r="Q18" s="8" t="s">
        <v>32</v>
      </c>
      <c r="R18" s="9">
        <v>2498</v>
      </c>
      <c r="S18" s="9">
        <v>8800</v>
      </c>
      <c r="T18" s="9">
        <v>8960</v>
      </c>
      <c r="U18" s="9">
        <v>1760</v>
      </c>
      <c r="V18" s="10" t="s">
        <v>30</v>
      </c>
      <c r="Y18" s="7">
        <v>2022</v>
      </c>
      <c r="Z18" s="7" t="s">
        <v>45</v>
      </c>
      <c r="AA18" s="11">
        <v>127296</v>
      </c>
      <c r="AB18" s="12">
        <v>181256.00000000003</v>
      </c>
    </row>
    <row r="19" spans="1:28" ht="18" customHeight="1" x14ac:dyDescent="0.25">
      <c r="A19" s="7" t="s">
        <v>42</v>
      </c>
      <c r="B19" s="7">
        <v>2020</v>
      </c>
      <c r="C19" s="7" t="s">
        <v>60</v>
      </c>
      <c r="D19" s="7" t="s">
        <v>21</v>
      </c>
      <c r="E19" s="7" t="s">
        <v>22</v>
      </c>
      <c r="F19" s="7" t="s">
        <v>23</v>
      </c>
      <c r="G19" s="7" t="s">
        <v>24</v>
      </c>
      <c r="H19" s="7" t="s">
        <v>25</v>
      </c>
      <c r="I19" s="7" t="s">
        <v>35</v>
      </c>
      <c r="J19" s="7">
        <v>190</v>
      </c>
      <c r="K19" s="7">
        <v>271.7</v>
      </c>
      <c r="N19" s="4">
        <v>2020</v>
      </c>
      <c r="O19" s="4" t="s">
        <v>59</v>
      </c>
      <c r="P19" s="4" t="s">
        <v>36</v>
      </c>
      <c r="Q19" s="8" t="s">
        <v>37</v>
      </c>
      <c r="R19" s="9">
        <v>1245</v>
      </c>
      <c r="S19" s="9">
        <v>5034.92</v>
      </c>
      <c r="T19" s="9">
        <v>5126.4639999999999</v>
      </c>
      <c r="U19" s="9">
        <v>1006.984</v>
      </c>
      <c r="V19" s="10" t="s">
        <v>30</v>
      </c>
      <c r="Y19" s="7">
        <v>2022</v>
      </c>
      <c r="Z19" s="7" t="s">
        <v>47</v>
      </c>
      <c r="AA19" s="11">
        <v>125136</v>
      </c>
      <c r="AB19" s="12">
        <v>199811.0399999998</v>
      </c>
    </row>
    <row r="20" spans="1:28" ht="18" customHeight="1" x14ac:dyDescent="0.25">
      <c r="A20" s="7" t="s">
        <v>53</v>
      </c>
      <c r="B20" s="7">
        <v>2020</v>
      </c>
      <c r="C20" s="7" t="s">
        <v>60</v>
      </c>
      <c r="D20" s="7" t="s">
        <v>21</v>
      </c>
      <c r="E20" s="7" t="s">
        <v>22</v>
      </c>
      <c r="F20" s="7" t="s">
        <v>23</v>
      </c>
      <c r="G20" s="7" t="s">
        <v>24</v>
      </c>
      <c r="H20" s="7" t="s">
        <v>25</v>
      </c>
      <c r="I20" s="7" t="s">
        <v>35</v>
      </c>
      <c r="J20" s="7">
        <v>288</v>
      </c>
      <c r="K20" s="7">
        <v>526.24</v>
      </c>
      <c r="N20" s="4">
        <v>2020</v>
      </c>
      <c r="O20" s="4" t="s">
        <v>59</v>
      </c>
      <c r="P20" s="4" t="s">
        <v>39</v>
      </c>
      <c r="Q20" s="13" t="s">
        <v>40</v>
      </c>
      <c r="R20" s="14">
        <v>644</v>
      </c>
      <c r="S20" s="14">
        <v>6317.85</v>
      </c>
      <c r="T20" s="14">
        <v>6432.72</v>
      </c>
      <c r="U20" s="9">
        <v>1263.5700000000002</v>
      </c>
      <c r="V20" s="10" t="s">
        <v>30</v>
      </c>
      <c r="Y20" s="7">
        <v>2023</v>
      </c>
      <c r="Z20" s="7" t="s">
        <v>31</v>
      </c>
      <c r="AA20" s="11">
        <v>204528</v>
      </c>
      <c r="AB20" s="12">
        <v>292475.04000000004</v>
      </c>
    </row>
    <row r="21" spans="1:28" ht="18" customHeight="1" x14ac:dyDescent="0.25">
      <c r="A21" s="7" t="s">
        <v>42</v>
      </c>
      <c r="B21" s="7">
        <v>2020</v>
      </c>
      <c r="C21" s="7" t="s">
        <v>60</v>
      </c>
      <c r="D21" s="7" t="s">
        <v>21</v>
      </c>
      <c r="E21" s="7" t="s">
        <v>22</v>
      </c>
      <c r="F21" s="7" t="s">
        <v>23</v>
      </c>
      <c r="G21" s="7" t="s">
        <v>24</v>
      </c>
      <c r="H21" s="7" t="s">
        <v>25</v>
      </c>
      <c r="I21" s="7" t="s">
        <v>35</v>
      </c>
      <c r="J21" s="7">
        <v>282</v>
      </c>
      <c r="K21" s="7">
        <v>526.24</v>
      </c>
      <c r="N21" s="4">
        <v>2020</v>
      </c>
      <c r="O21" s="4" t="s">
        <v>59</v>
      </c>
      <c r="P21" s="4" t="s">
        <v>43</v>
      </c>
      <c r="Q21" s="13" t="s">
        <v>44</v>
      </c>
      <c r="R21" s="14">
        <v>643</v>
      </c>
      <c r="S21" s="14">
        <v>7000</v>
      </c>
      <c r="T21" s="14">
        <v>7840</v>
      </c>
      <c r="U21" s="9">
        <v>1400</v>
      </c>
      <c r="V21" s="10" t="s">
        <v>30</v>
      </c>
      <c r="Y21" s="7">
        <v>2023</v>
      </c>
      <c r="Z21" s="7" t="s">
        <v>41</v>
      </c>
      <c r="AA21" s="11">
        <v>129304</v>
      </c>
      <c r="AB21" s="12">
        <v>184904.72</v>
      </c>
    </row>
    <row r="22" spans="1:28" ht="18" customHeight="1" x14ac:dyDescent="0.25">
      <c r="A22" s="7" t="s">
        <v>19</v>
      </c>
      <c r="B22" s="7">
        <v>2020</v>
      </c>
      <c r="C22" s="7" t="s">
        <v>60</v>
      </c>
      <c r="D22" s="7" t="s">
        <v>21</v>
      </c>
      <c r="E22" s="7" t="s">
        <v>22</v>
      </c>
      <c r="F22" s="7" t="s">
        <v>23</v>
      </c>
      <c r="G22" s="7" t="s">
        <v>24</v>
      </c>
      <c r="H22" s="7" t="s">
        <v>25</v>
      </c>
      <c r="I22" s="7" t="s">
        <v>35</v>
      </c>
      <c r="J22" s="7">
        <v>276</v>
      </c>
      <c r="K22" s="7">
        <v>526.24</v>
      </c>
      <c r="N22" s="4">
        <v>2020</v>
      </c>
      <c r="O22" s="4" t="s">
        <v>59</v>
      </c>
      <c r="P22" s="4" t="s">
        <v>39</v>
      </c>
      <c r="Q22" s="13" t="s">
        <v>46</v>
      </c>
      <c r="R22" s="14">
        <v>455</v>
      </c>
      <c r="S22" s="14">
        <v>4578.6000000000004</v>
      </c>
      <c r="T22" s="14">
        <v>5128.0320000000002</v>
      </c>
      <c r="U22" s="9">
        <v>915.72000000000014</v>
      </c>
      <c r="V22" s="10" t="s">
        <v>30</v>
      </c>
      <c r="Y22" s="7">
        <v>2023</v>
      </c>
      <c r="Z22" s="7" t="s">
        <v>33</v>
      </c>
      <c r="AA22" s="11">
        <v>127904</v>
      </c>
      <c r="AB22" s="12">
        <v>182902.72000000003</v>
      </c>
    </row>
    <row r="23" spans="1:28" ht="18" customHeight="1" x14ac:dyDescent="0.25">
      <c r="A23" s="7" t="s">
        <v>19</v>
      </c>
      <c r="B23" s="7">
        <v>2020</v>
      </c>
      <c r="C23" s="7" t="s">
        <v>60</v>
      </c>
      <c r="D23" s="7" t="s">
        <v>21</v>
      </c>
      <c r="E23" s="7" t="s">
        <v>22</v>
      </c>
      <c r="F23" s="7" t="s">
        <v>23</v>
      </c>
      <c r="G23" s="7" t="s">
        <v>24</v>
      </c>
      <c r="H23" s="7" t="s">
        <v>25</v>
      </c>
      <c r="I23" s="7" t="s">
        <v>35</v>
      </c>
      <c r="J23" s="7">
        <v>680</v>
      </c>
      <c r="K23" s="7">
        <v>972.4</v>
      </c>
      <c r="N23" s="4">
        <v>2020</v>
      </c>
      <c r="O23" s="4" t="s">
        <v>59</v>
      </c>
      <c r="P23" s="4" t="s">
        <v>43</v>
      </c>
      <c r="Q23" s="13" t="s">
        <v>48</v>
      </c>
      <c r="R23" s="15">
        <v>345</v>
      </c>
      <c r="S23" s="15">
        <v>7000</v>
      </c>
      <c r="T23" s="15">
        <v>7840</v>
      </c>
      <c r="U23" s="9">
        <v>1400</v>
      </c>
      <c r="V23" s="10" t="s">
        <v>30</v>
      </c>
      <c r="Y23" s="7">
        <v>2023</v>
      </c>
      <c r="Z23" s="7" t="s">
        <v>38</v>
      </c>
      <c r="AA23" s="11">
        <v>219404</v>
      </c>
      <c r="AB23" s="12">
        <v>212626.8</v>
      </c>
    </row>
    <row r="24" spans="1:28" ht="18" customHeight="1" x14ac:dyDescent="0.25">
      <c r="A24" s="7" t="s">
        <v>42</v>
      </c>
      <c r="B24" s="7">
        <v>2020</v>
      </c>
      <c r="C24" s="7" t="s">
        <v>60</v>
      </c>
      <c r="D24" s="7" t="s">
        <v>21</v>
      </c>
      <c r="E24" s="7" t="s">
        <v>22</v>
      </c>
      <c r="F24" s="7" t="s">
        <v>23</v>
      </c>
      <c r="G24" s="7" t="s">
        <v>24</v>
      </c>
      <c r="H24" s="7" t="s">
        <v>25</v>
      </c>
      <c r="I24" s="7" t="s">
        <v>35</v>
      </c>
      <c r="J24" s="7">
        <v>767</v>
      </c>
      <c r="K24" s="7">
        <v>1096.81</v>
      </c>
      <c r="N24" s="4">
        <v>2020</v>
      </c>
      <c r="O24" s="4" t="s">
        <v>59</v>
      </c>
      <c r="P24" s="4" t="s">
        <v>36</v>
      </c>
      <c r="Q24" s="8" t="s">
        <v>49</v>
      </c>
      <c r="R24" s="9">
        <v>122</v>
      </c>
      <c r="S24" s="9">
        <v>100</v>
      </c>
      <c r="T24" s="9">
        <v>112</v>
      </c>
      <c r="U24" s="9">
        <v>20</v>
      </c>
      <c r="V24" s="10" t="s">
        <v>30</v>
      </c>
      <c r="Y24" s="7">
        <v>2023</v>
      </c>
      <c r="Z24" s="7" t="s">
        <v>47</v>
      </c>
      <c r="AA24" s="11">
        <v>73912</v>
      </c>
      <c r="AB24" s="12">
        <v>130072.80000000012</v>
      </c>
    </row>
    <row r="25" spans="1:28" ht="18" customHeight="1" x14ac:dyDescent="0.25">
      <c r="A25" s="7" t="s">
        <v>34</v>
      </c>
      <c r="B25" s="7">
        <v>2020</v>
      </c>
      <c r="C25" s="7" t="s">
        <v>60</v>
      </c>
      <c r="D25" s="7" t="s">
        <v>21</v>
      </c>
      <c r="E25" s="7" t="s">
        <v>22</v>
      </c>
      <c r="F25" s="7" t="s">
        <v>23</v>
      </c>
      <c r="G25" s="7" t="s">
        <v>24</v>
      </c>
      <c r="H25" s="7" t="s">
        <v>25</v>
      </c>
      <c r="I25" s="7" t="s">
        <v>35</v>
      </c>
      <c r="J25" s="7">
        <v>285</v>
      </c>
      <c r="K25" s="7">
        <v>407.55</v>
      </c>
      <c r="N25" s="4">
        <v>2020</v>
      </c>
      <c r="O25" s="4" t="s">
        <v>59</v>
      </c>
      <c r="P25" s="4" t="s">
        <v>50</v>
      </c>
      <c r="Q25" s="13" t="s">
        <v>51</v>
      </c>
      <c r="R25" s="14">
        <v>78</v>
      </c>
      <c r="S25" s="14">
        <v>4577.2</v>
      </c>
      <c r="T25" s="14">
        <v>5126.4639999999999</v>
      </c>
      <c r="U25" s="9">
        <v>915.44</v>
      </c>
      <c r="V25" s="10" t="s">
        <v>30</v>
      </c>
      <c r="Y25" s="7">
        <v>2023</v>
      </c>
      <c r="Z25" s="7" t="s">
        <v>45</v>
      </c>
      <c r="AA25" s="11">
        <v>71992</v>
      </c>
      <c r="AB25" s="12">
        <v>104238.15999999999</v>
      </c>
    </row>
    <row r="26" spans="1:28" ht="18" customHeight="1" x14ac:dyDescent="0.25">
      <c r="A26" s="7" t="s">
        <v>19</v>
      </c>
      <c r="B26" s="7">
        <v>2020</v>
      </c>
      <c r="C26" s="7" t="s">
        <v>60</v>
      </c>
      <c r="D26" s="7" t="s">
        <v>21</v>
      </c>
      <c r="E26" s="7" t="s">
        <v>22</v>
      </c>
      <c r="F26" s="7" t="s">
        <v>23</v>
      </c>
      <c r="G26" s="7" t="s">
        <v>24</v>
      </c>
      <c r="H26" s="7" t="s">
        <v>25</v>
      </c>
      <c r="I26" s="7" t="s">
        <v>35</v>
      </c>
      <c r="J26" s="7">
        <v>279</v>
      </c>
      <c r="K26" s="7">
        <v>398.97</v>
      </c>
      <c r="N26" s="4">
        <v>2020</v>
      </c>
      <c r="O26" s="4" t="s">
        <v>59</v>
      </c>
      <c r="P26" s="4" t="s">
        <v>50</v>
      </c>
      <c r="Q26" s="13" t="s">
        <v>52</v>
      </c>
      <c r="R26" s="14">
        <v>76</v>
      </c>
      <c r="S26" s="14">
        <v>4576.8999999999996</v>
      </c>
      <c r="T26" s="14">
        <v>5126.1279999999997</v>
      </c>
      <c r="U26" s="9">
        <v>915.38</v>
      </c>
      <c r="V26" s="10" t="s">
        <v>30</v>
      </c>
      <c r="Y26" s="7">
        <v>2024</v>
      </c>
      <c r="Z26" s="7" t="s">
        <v>31</v>
      </c>
      <c r="AA26" s="11">
        <v>190380</v>
      </c>
      <c r="AB26" s="12">
        <v>272243.39999999997</v>
      </c>
    </row>
    <row r="27" spans="1:28" ht="18" customHeight="1" x14ac:dyDescent="0.25">
      <c r="A27" s="7" t="s">
        <v>42</v>
      </c>
      <c r="B27" s="7">
        <v>2020</v>
      </c>
      <c r="C27" s="7" t="s">
        <v>60</v>
      </c>
      <c r="D27" s="7" t="s">
        <v>21</v>
      </c>
      <c r="E27" s="7" t="s">
        <v>22</v>
      </c>
      <c r="F27" s="7" t="s">
        <v>23</v>
      </c>
      <c r="G27" s="7" t="s">
        <v>24</v>
      </c>
      <c r="H27" s="7" t="s">
        <v>25</v>
      </c>
      <c r="I27" s="7" t="s">
        <v>35</v>
      </c>
      <c r="J27" s="7">
        <v>213</v>
      </c>
      <c r="K27" s="7">
        <v>304.59000000000003</v>
      </c>
      <c r="N27" s="4">
        <v>2020</v>
      </c>
      <c r="O27" s="4" t="s">
        <v>59</v>
      </c>
      <c r="P27" s="4" t="s">
        <v>50</v>
      </c>
      <c r="Q27" s="13" t="s">
        <v>54</v>
      </c>
      <c r="R27" s="14">
        <v>46</v>
      </c>
      <c r="S27" s="14">
        <v>200</v>
      </c>
      <c r="T27" s="14">
        <v>224</v>
      </c>
      <c r="U27" s="9">
        <v>40</v>
      </c>
      <c r="V27" s="10" t="s">
        <v>30</v>
      </c>
      <c r="Y27" s="7">
        <v>2024</v>
      </c>
      <c r="Z27" s="7" t="s">
        <v>38</v>
      </c>
      <c r="AA27" s="11">
        <v>112620</v>
      </c>
      <c r="AB27" s="12">
        <v>107044.07999999994</v>
      </c>
    </row>
    <row r="28" spans="1:28" ht="18" customHeight="1" x14ac:dyDescent="0.25">
      <c r="A28" s="7" t="s">
        <v>42</v>
      </c>
      <c r="B28" s="7">
        <v>2020</v>
      </c>
      <c r="C28" s="7" t="s">
        <v>60</v>
      </c>
      <c r="D28" s="7" t="s">
        <v>21</v>
      </c>
      <c r="E28" s="7" t="s">
        <v>22</v>
      </c>
      <c r="F28" s="7" t="s">
        <v>23</v>
      </c>
      <c r="G28" s="7" t="s">
        <v>24</v>
      </c>
      <c r="H28" s="7" t="s">
        <v>25</v>
      </c>
      <c r="I28" s="7" t="s">
        <v>35</v>
      </c>
      <c r="J28" s="7">
        <v>753</v>
      </c>
      <c r="K28" s="7">
        <v>526.24</v>
      </c>
      <c r="N28" s="4">
        <v>2020</v>
      </c>
      <c r="O28" s="4" t="s">
        <v>59</v>
      </c>
      <c r="P28" s="4" t="s">
        <v>50</v>
      </c>
      <c r="Q28" s="13" t="s">
        <v>55</v>
      </c>
      <c r="R28" s="14">
        <v>34</v>
      </c>
      <c r="S28" s="14">
        <v>4576.8</v>
      </c>
      <c r="T28" s="14">
        <v>5126.0160000000005</v>
      </c>
      <c r="U28" s="9">
        <v>915.36000000000013</v>
      </c>
      <c r="V28" s="10" t="s">
        <v>30</v>
      </c>
      <c r="Y28" s="7">
        <v>2024</v>
      </c>
      <c r="Z28" s="7" t="s">
        <v>33</v>
      </c>
      <c r="AA28" s="11">
        <v>109940</v>
      </c>
      <c r="AB28" s="12">
        <v>157214.20000000007</v>
      </c>
    </row>
    <row r="29" spans="1:28" ht="18" customHeight="1" x14ac:dyDescent="0.25">
      <c r="A29" s="7" t="s">
        <v>19</v>
      </c>
      <c r="B29" s="7">
        <v>2020</v>
      </c>
      <c r="C29" s="7" t="s">
        <v>60</v>
      </c>
      <c r="D29" s="7" t="s">
        <v>21</v>
      </c>
      <c r="E29" s="7" t="s">
        <v>22</v>
      </c>
      <c r="F29" s="7" t="s">
        <v>23</v>
      </c>
      <c r="G29" s="7" t="s">
        <v>24</v>
      </c>
      <c r="H29" s="7" t="s">
        <v>25</v>
      </c>
      <c r="I29" s="7" t="s">
        <v>35</v>
      </c>
      <c r="J29" s="7">
        <v>806</v>
      </c>
      <c r="K29" s="7">
        <v>526.24</v>
      </c>
      <c r="N29" s="4">
        <v>2020</v>
      </c>
      <c r="O29" s="4" t="s">
        <v>59</v>
      </c>
      <c r="P29" s="4" t="s">
        <v>36</v>
      </c>
      <c r="Q29" s="8" t="s">
        <v>56</v>
      </c>
      <c r="R29" s="9">
        <v>7</v>
      </c>
      <c r="S29" s="9">
        <v>200</v>
      </c>
      <c r="T29" s="9">
        <v>224</v>
      </c>
      <c r="U29" s="9">
        <v>40</v>
      </c>
      <c r="V29" s="10" t="s">
        <v>30</v>
      </c>
      <c r="Y29" s="7">
        <v>2024</v>
      </c>
      <c r="Z29" s="7" t="s">
        <v>41</v>
      </c>
      <c r="AA29" s="11">
        <v>106948</v>
      </c>
      <c r="AB29" s="12">
        <v>152935.63999999998</v>
      </c>
    </row>
    <row r="30" spans="1:28" ht="18" customHeight="1" x14ac:dyDescent="0.25">
      <c r="A30" s="7" t="s">
        <v>42</v>
      </c>
      <c r="B30" s="7">
        <v>2020</v>
      </c>
      <c r="C30" s="7" t="s">
        <v>60</v>
      </c>
      <c r="D30" s="7" t="s">
        <v>21</v>
      </c>
      <c r="E30" s="7" t="s">
        <v>22</v>
      </c>
      <c r="F30" s="7" t="s">
        <v>23</v>
      </c>
      <c r="G30" s="7" t="s">
        <v>24</v>
      </c>
      <c r="H30" s="7" t="s">
        <v>25</v>
      </c>
      <c r="I30" s="7" t="s">
        <v>35</v>
      </c>
      <c r="J30" s="7">
        <v>217</v>
      </c>
      <c r="K30" s="7">
        <v>310.31</v>
      </c>
      <c r="N30" s="4">
        <v>2020</v>
      </c>
      <c r="O30" s="4" t="s">
        <v>59</v>
      </c>
      <c r="P30" s="4" t="s">
        <v>50</v>
      </c>
      <c r="Q30" s="13" t="s">
        <v>58</v>
      </c>
      <c r="R30" s="14">
        <v>3</v>
      </c>
      <c r="S30" s="14">
        <v>4577.3</v>
      </c>
      <c r="T30" s="14">
        <v>5126.576</v>
      </c>
      <c r="U30" s="9">
        <v>915.46</v>
      </c>
      <c r="V30" s="10" t="s">
        <v>30</v>
      </c>
      <c r="Y30" s="7">
        <v>2024</v>
      </c>
      <c r="Z30" s="7" t="s">
        <v>47</v>
      </c>
      <c r="AA30" s="11">
        <v>62256</v>
      </c>
      <c r="AB30" s="12">
        <v>100660.56000000013</v>
      </c>
    </row>
    <row r="31" spans="1:28" ht="18" customHeight="1" x14ac:dyDescent="0.25">
      <c r="A31" s="7" t="s">
        <v>19</v>
      </c>
      <c r="B31" s="7">
        <v>2020</v>
      </c>
      <c r="C31" s="7" t="s">
        <v>60</v>
      </c>
      <c r="D31" s="7" t="s">
        <v>21</v>
      </c>
      <c r="E31" s="7" t="s">
        <v>22</v>
      </c>
      <c r="F31" s="7" t="s">
        <v>23</v>
      </c>
      <c r="G31" s="7" t="s">
        <v>24</v>
      </c>
      <c r="H31" s="7" t="s">
        <v>25</v>
      </c>
      <c r="I31" s="7" t="s">
        <v>35</v>
      </c>
      <c r="J31" s="7">
        <v>259</v>
      </c>
      <c r="K31" s="7">
        <v>370.37</v>
      </c>
      <c r="N31" s="4">
        <v>2020</v>
      </c>
      <c r="O31" s="4" t="s">
        <v>59</v>
      </c>
      <c r="P31" s="4" t="s">
        <v>57</v>
      </c>
      <c r="Q31" s="13" t="s">
        <v>57</v>
      </c>
      <c r="R31" s="14">
        <v>2</v>
      </c>
      <c r="S31" s="14">
        <v>6600</v>
      </c>
      <c r="T31" s="14">
        <v>7392</v>
      </c>
      <c r="U31" s="9">
        <v>1320</v>
      </c>
      <c r="V31" s="10" t="s">
        <v>30</v>
      </c>
      <c r="Y31" s="7">
        <v>2024</v>
      </c>
      <c r="Z31" s="7" t="s">
        <v>45</v>
      </c>
      <c r="AA31" s="11">
        <v>62240</v>
      </c>
      <c r="AB31" s="12">
        <v>90151.200000000041</v>
      </c>
    </row>
    <row r="32" spans="1:28" ht="18" customHeight="1" x14ac:dyDescent="0.25">
      <c r="A32" s="7" t="s">
        <v>42</v>
      </c>
      <c r="B32" s="7">
        <v>2020</v>
      </c>
      <c r="C32" s="7" t="s">
        <v>60</v>
      </c>
      <c r="D32" s="7" t="s">
        <v>21</v>
      </c>
      <c r="E32" s="7" t="s">
        <v>22</v>
      </c>
      <c r="F32" s="7" t="s">
        <v>23</v>
      </c>
      <c r="G32" s="7" t="s">
        <v>24</v>
      </c>
      <c r="H32" s="7" t="s">
        <v>25</v>
      </c>
      <c r="I32" s="7" t="s">
        <v>35</v>
      </c>
      <c r="J32" s="7">
        <v>187</v>
      </c>
      <c r="K32" s="7">
        <v>267.40999999999997</v>
      </c>
      <c r="N32" s="4">
        <v>2020</v>
      </c>
      <c r="O32" s="4" t="s">
        <v>62</v>
      </c>
      <c r="P32" s="4" t="s">
        <v>28</v>
      </c>
      <c r="Q32" s="8" t="s">
        <v>29</v>
      </c>
      <c r="R32" s="9">
        <v>3566</v>
      </c>
      <c r="S32" s="9">
        <v>4577.3</v>
      </c>
      <c r="T32" s="9">
        <v>5126.576</v>
      </c>
      <c r="U32" s="9">
        <v>915.46</v>
      </c>
      <c r="V32" s="10" t="s">
        <v>30</v>
      </c>
    </row>
    <row r="33" spans="1:22" ht="18" customHeight="1" x14ac:dyDescent="0.25">
      <c r="A33" s="7" t="s">
        <v>19</v>
      </c>
      <c r="B33" s="7">
        <v>2020</v>
      </c>
      <c r="C33" s="7" t="s">
        <v>60</v>
      </c>
      <c r="D33" s="7" t="s">
        <v>21</v>
      </c>
      <c r="E33" s="7" t="s">
        <v>22</v>
      </c>
      <c r="F33" s="7" t="s">
        <v>23</v>
      </c>
      <c r="G33" s="7" t="s">
        <v>24</v>
      </c>
      <c r="H33" s="7" t="s">
        <v>25</v>
      </c>
      <c r="I33" s="7" t="s">
        <v>26</v>
      </c>
      <c r="J33" s="7">
        <v>287</v>
      </c>
      <c r="K33" s="7">
        <v>410.40999999999997</v>
      </c>
      <c r="N33" s="4">
        <v>2020</v>
      </c>
      <c r="O33" s="4" t="s">
        <v>62</v>
      </c>
      <c r="P33" s="4" t="s">
        <v>28</v>
      </c>
      <c r="Q33" s="8" t="s">
        <v>32</v>
      </c>
      <c r="R33" s="9">
        <v>2498</v>
      </c>
      <c r="S33" s="9">
        <v>8000</v>
      </c>
      <c r="T33" s="9">
        <v>8960</v>
      </c>
      <c r="U33" s="9">
        <v>1600</v>
      </c>
      <c r="V33" s="10" t="s">
        <v>30</v>
      </c>
    </row>
    <row r="34" spans="1:22" ht="18" customHeight="1" x14ac:dyDescent="0.25">
      <c r="A34" s="7" t="s">
        <v>34</v>
      </c>
      <c r="B34" s="7">
        <v>2020</v>
      </c>
      <c r="C34" s="7" t="s">
        <v>60</v>
      </c>
      <c r="D34" s="7" t="s">
        <v>21</v>
      </c>
      <c r="E34" s="7" t="s">
        <v>22</v>
      </c>
      <c r="F34" s="7" t="s">
        <v>23</v>
      </c>
      <c r="G34" s="7" t="s">
        <v>64</v>
      </c>
      <c r="H34" s="7" t="s">
        <v>25</v>
      </c>
      <c r="I34" s="7" t="s">
        <v>26</v>
      </c>
      <c r="J34" s="7">
        <v>281</v>
      </c>
      <c r="K34" s="7">
        <v>401.83</v>
      </c>
      <c r="N34" s="4">
        <v>2020</v>
      </c>
      <c r="O34" s="4" t="s">
        <v>62</v>
      </c>
      <c r="P34" s="4" t="s">
        <v>36</v>
      </c>
      <c r="Q34" s="8" t="s">
        <v>37</v>
      </c>
      <c r="R34" s="9">
        <v>1245</v>
      </c>
      <c r="S34" s="9">
        <v>4577.2</v>
      </c>
      <c r="T34" s="9">
        <v>5126.4639999999999</v>
      </c>
      <c r="U34" s="9">
        <v>915.44</v>
      </c>
      <c r="V34" s="10" t="s">
        <v>30</v>
      </c>
    </row>
    <row r="35" spans="1:22" ht="18" customHeight="1" x14ac:dyDescent="0.25">
      <c r="A35" s="7" t="s">
        <v>34</v>
      </c>
      <c r="B35" s="7">
        <v>2020</v>
      </c>
      <c r="C35" s="7" t="s">
        <v>60</v>
      </c>
      <c r="D35" s="7" t="s">
        <v>21</v>
      </c>
      <c r="E35" s="7" t="s">
        <v>22</v>
      </c>
      <c r="F35" s="7" t="s">
        <v>23</v>
      </c>
      <c r="G35" s="7" t="s">
        <v>64</v>
      </c>
      <c r="H35" s="7" t="s">
        <v>25</v>
      </c>
      <c r="I35" s="7" t="s">
        <v>26</v>
      </c>
      <c r="J35" s="7">
        <v>275</v>
      </c>
      <c r="K35" s="7">
        <v>393.25</v>
      </c>
      <c r="N35" s="4">
        <v>2020</v>
      </c>
      <c r="O35" s="4" t="s">
        <v>62</v>
      </c>
      <c r="P35" s="4" t="s">
        <v>39</v>
      </c>
      <c r="Q35" s="13" t="s">
        <v>40</v>
      </c>
      <c r="R35" s="14">
        <v>644</v>
      </c>
      <c r="S35" s="14">
        <v>5743.5</v>
      </c>
      <c r="T35" s="14">
        <v>6432.72</v>
      </c>
      <c r="U35" s="9">
        <v>1148.7</v>
      </c>
      <c r="V35" s="10" t="s">
        <v>30</v>
      </c>
    </row>
    <row r="36" spans="1:22" ht="18" customHeight="1" x14ac:dyDescent="0.25">
      <c r="A36" s="7" t="s">
        <v>19</v>
      </c>
      <c r="B36" s="7">
        <v>2020</v>
      </c>
      <c r="C36" s="7" t="s">
        <v>60</v>
      </c>
      <c r="D36" s="7" t="s">
        <v>21</v>
      </c>
      <c r="E36" s="7" t="s">
        <v>22</v>
      </c>
      <c r="F36" s="7" t="s">
        <v>23</v>
      </c>
      <c r="G36" s="7" t="s">
        <v>64</v>
      </c>
      <c r="H36" s="7" t="s">
        <v>25</v>
      </c>
      <c r="I36" s="7" t="s">
        <v>35</v>
      </c>
      <c r="J36" s="7">
        <v>215</v>
      </c>
      <c r="K36" s="7">
        <v>307.45</v>
      </c>
      <c r="N36" s="4">
        <v>2020</v>
      </c>
      <c r="O36" s="4" t="s">
        <v>62</v>
      </c>
      <c r="P36" s="4" t="s">
        <v>43</v>
      </c>
      <c r="Q36" s="13" t="s">
        <v>44</v>
      </c>
      <c r="R36" s="14">
        <v>643</v>
      </c>
      <c r="S36" s="14">
        <v>7000</v>
      </c>
      <c r="T36" s="14">
        <v>7840</v>
      </c>
      <c r="U36" s="9">
        <v>1400</v>
      </c>
      <c r="V36" s="10" t="s">
        <v>30</v>
      </c>
    </row>
    <row r="37" spans="1:22" ht="18" customHeight="1" x14ac:dyDescent="0.25">
      <c r="A37" s="7" t="s">
        <v>53</v>
      </c>
      <c r="B37" s="7">
        <v>2020</v>
      </c>
      <c r="C37" s="7" t="s">
        <v>60</v>
      </c>
      <c r="D37" s="7" t="s">
        <v>21</v>
      </c>
      <c r="E37" s="7" t="s">
        <v>22</v>
      </c>
      <c r="F37" s="7" t="s">
        <v>23</v>
      </c>
      <c r="G37" s="7" t="s">
        <v>64</v>
      </c>
      <c r="H37" s="7" t="s">
        <v>25</v>
      </c>
      <c r="I37" s="7" t="s">
        <v>35</v>
      </c>
      <c r="J37" s="7">
        <v>263</v>
      </c>
      <c r="K37" s="7">
        <v>376.09000000000003</v>
      </c>
      <c r="N37" s="4">
        <v>2020</v>
      </c>
      <c r="O37" s="4" t="s">
        <v>62</v>
      </c>
      <c r="P37" s="4" t="s">
        <v>39</v>
      </c>
      <c r="Q37" s="13" t="s">
        <v>46</v>
      </c>
      <c r="R37" s="14">
        <v>455</v>
      </c>
      <c r="S37" s="14">
        <v>4578.6000000000004</v>
      </c>
      <c r="T37" s="14">
        <v>5128.0320000000002</v>
      </c>
      <c r="U37" s="9">
        <v>915.72000000000014</v>
      </c>
      <c r="V37" s="10" t="s">
        <v>30</v>
      </c>
    </row>
    <row r="38" spans="1:22" ht="18" customHeight="1" x14ac:dyDescent="0.25">
      <c r="A38" s="7" t="s">
        <v>34</v>
      </c>
      <c r="B38" s="7">
        <v>2020</v>
      </c>
      <c r="C38" s="7" t="s">
        <v>60</v>
      </c>
      <c r="D38" s="7" t="s">
        <v>21</v>
      </c>
      <c r="E38" s="7" t="s">
        <v>22</v>
      </c>
      <c r="F38" s="7" t="s">
        <v>23</v>
      </c>
      <c r="G38" s="7" t="s">
        <v>64</v>
      </c>
      <c r="H38" s="7" t="s">
        <v>25</v>
      </c>
      <c r="I38" s="7" t="s">
        <v>35</v>
      </c>
      <c r="J38" s="7">
        <v>776</v>
      </c>
      <c r="K38" s="7">
        <v>1109.68</v>
      </c>
      <c r="N38" s="4">
        <v>2020</v>
      </c>
      <c r="O38" s="4" t="s">
        <v>62</v>
      </c>
      <c r="P38" s="4" t="s">
        <v>43</v>
      </c>
      <c r="Q38" s="13" t="s">
        <v>48</v>
      </c>
      <c r="R38" s="15">
        <v>345</v>
      </c>
      <c r="S38" s="15">
        <v>7000</v>
      </c>
      <c r="T38" s="15">
        <v>7840</v>
      </c>
      <c r="U38" s="9">
        <v>1400</v>
      </c>
      <c r="V38" s="10" t="s">
        <v>30</v>
      </c>
    </row>
    <row r="39" spans="1:22" ht="18" customHeight="1" x14ac:dyDescent="0.25">
      <c r="A39" s="7" t="s">
        <v>19</v>
      </c>
      <c r="B39" s="7">
        <v>2020</v>
      </c>
      <c r="C39" s="7" t="s">
        <v>65</v>
      </c>
      <c r="D39" s="7" t="s">
        <v>21</v>
      </c>
      <c r="E39" s="7" t="s">
        <v>22</v>
      </c>
      <c r="F39" s="7" t="s">
        <v>23</v>
      </c>
      <c r="G39" s="7" t="s">
        <v>64</v>
      </c>
      <c r="H39" s="7" t="s">
        <v>25</v>
      </c>
      <c r="I39" s="7" t="s">
        <v>26</v>
      </c>
      <c r="J39" s="7">
        <v>224</v>
      </c>
      <c r="K39" s="7">
        <v>526.24</v>
      </c>
      <c r="N39" s="4">
        <v>2020</v>
      </c>
      <c r="O39" s="4" t="s">
        <v>62</v>
      </c>
      <c r="P39" s="4" t="s">
        <v>36</v>
      </c>
      <c r="Q39" s="8" t="s">
        <v>49</v>
      </c>
      <c r="R39" s="9">
        <v>122</v>
      </c>
      <c r="S39" s="9">
        <v>100</v>
      </c>
      <c r="T39" s="9">
        <v>112</v>
      </c>
      <c r="U39" s="9">
        <v>20</v>
      </c>
      <c r="V39" s="10" t="s">
        <v>30</v>
      </c>
    </row>
    <row r="40" spans="1:22" ht="18" customHeight="1" x14ac:dyDescent="0.25">
      <c r="A40" s="7" t="s">
        <v>19</v>
      </c>
      <c r="B40" s="7">
        <v>2020</v>
      </c>
      <c r="C40" s="7" t="s">
        <v>65</v>
      </c>
      <c r="D40" s="7" t="s">
        <v>21</v>
      </c>
      <c r="E40" s="7" t="s">
        <v>22</v>
      </c>
      <c r="F40" s="7" t="s">
        <v>23</v>
      </c>
      <c r="G40" s="7" t="s">
        <v>64</v>
      </c>
      <c r="H40" s="7" t="s">
        <v>25</v>
      </c>
      <c r="I40" s="7" t="s">
        <v>26</v>
      </c>
      <c r="J40" s="7">
        <v>218</v>
      </c>
      <c r="K40" s="7">
        <v>526.24</v>
      </c>
      <c r="N40" s="4">
        <v>2020</v>
      </c>
      <c r="O40" s="4" t="s">
        <v>62</v>
      </c>
      <c r="P40" s="4" t="s">
        <v>50</v>
      </c>
      <c r="Q40" s="13" t="s">
        <v>51</v>
      </c>
      <c r="R40" s="14">
        <v>78</v>
      </c>
      <c r="S40" s="14">
        <v>4577.2</v>
      </c>
      <c r="T40" s="14">
        <v>5126.4639999999999</v>
      </c>
      <c r="U40" s="9">
        <v>915.44</v>
      </c>
      <c r="V40" s="10" t="s">
        <v>30</v>
      </c>
    </row>
    <row r="41" spans="1:22" ht="18" customHeight="1" x14ac:dyDescent="0.25">
      <c r="A41" s="7" t="s">
        <v>19</v>
      </c>
      <c r="B41" s="7">
        <v>2020</v>
      </c>
      <c r="C41" s="7" t="s">
        <v>65</v>
      </c>
      <c r="D41" s="7" t="s">
        <v>21</v>
      </c>
      <c r="E41" s="7" t="s">
        <v>22</v>
      </c>
      <c r="F41" s="7" t="s">
        <v>23</v>
      </c>
      <c r="G41" s="7" t="s">
        <v>64</v>
      </c>
      <c r="H41" s="7" t="s">
        <v>25</v>
      </c>
      <c r="I41" s="7" t="s">
        <v>26</v>
      </c>
      <c r="J41" s="7">
        <v>212</v>
      </c>
      <c r="K41" s="7">
        <v>526.24</v>
      </c>
      <c r="N41" s="4">
        <v>2020</v>
      </c>
      <c r="O41" s="4" t="s">
        <v>62</v>
      </c>
      <c r="P41" s="4" t="s">
        <v>50</v>
      </c>
      <c r="Q41" s="13" t="s">
        <v>52</v>
      </c>
      <c r="R41" s="14">
        <v>76</v>
      </c>
      <c r="S41" s="14">
        <v>4576.8999999999996</v>
      </c>
      <c r="T41" s="14">
        <v>5126.1279999999997</v>
      </c>
      <c r="U41" s="9">
        <v>915.38</v>
      </c>
      <c r="V41" s="10" t="s">
        <v>30</v>
      </c>
    </row>
    <row r="42" spans="1:22" ht="18" customHeight="1" x14ac:dyDescent="0.25">
      <c r="A42" s="7" t="s">
        <v>19</v>
      </c>
      <c r="B42" s="7">
        <v>2020</v>
      </c>
      <c r="C42" s="7" t="s">
        <v>65</v>
      </c>
      <c r="D42" s="7" t="s">
        <v>21</v>
      </c>
      <c r="E42" s="7" t="s">
        <v>22</v>
      </c>
      <c r="F42" s="7" t="s">
        <v>23</v>
      </c>
      <c r="G42" s="7" t="s">
        <v>64</v>
      </c>
      <c r="H42" s="7" t="s">
        <v>25</v>
      </c>
      <c r="I42" s="7" t="s">
        <v>35</v>
      </c>
      <c r="J42" s="7">
        <v>194</v>
      </c>
      <c r="K42" s="7">
        <v>277.42</v>
      </c>
      <c r="N42" s="4">
        <v>2020</v>
      </c>
      <c r="O42" s="4" t="s">
        <v>62</v>
      </c>
      <c r="P42" s="4" t="s">
        <v>50</v>
      </c>
      <c r="Q42" s="13" t="s">
        <v>54</v>
      </c>
      <c r="R42" s="14">
        <v>46</v>
      </c>
      <c r="S42" s="14">
        <v>200</v>
      </c>
      <c r="T42" s="14">
        <v>224</v>
      </c>
      <c r="U42" s="9">
        <v>40</v>
      </c>
      <c r="V42" s="10" t="s">
        <v>30</v>
      </c>
    </row>
    <row r="43" spans="1:22" ht="18" customHeight="1" x14ac:dyDescent="0.25">
      <c r="A43" s="7" t="s">
        <v>34</v>
      </c>
      <c r="B43" s="7">
        <v>2020</v>
      </c>
      <c r="C43" s="7" t="s">
        <v>65</v>
      </c>
      <c r="D43" s="7" t="s">
        <v>21</v>
      </c>
      <c r="E43" s="7" t="s">
        <v>22</v>
      </c>
      <c r="F43" s="7" t="s">
        <v>23</v>
      </c>
      <c r="G43" s="7" t="s">
        <v>64</v>
      </c>
      <c r="H43" s="7" t="s">
        <v>25</v>
      </c>
      <c r="I43" s="7" t="s">
        <v>35</v>
      </c>
      <c r="J43" s="7">
        <v>242</v>
      </c>
      <c r="K43" s="7">
        <v>346.06</v>
      </c>
      <c r="N43" s="4">
        <v>2020</v>
      </c>
      <c r="O43" s="4" t="s">
        <v>62</v>
      </c>
      <c r="P43" s="4" t="s">
        <v>50</v>
      </c>
      <c r="Q43" s="13" t="s">
        <v>55</v>
      </c>
      <c r="R43" s="14">
        <v>34</v>
      </c>
      <c r="S43" s="14">
        <v>4576.8</v>
      </c>
      <c r="T43" s="14">
        <v>5126.0160000000005</v>
      </c>
      <c r="U43" s="9">
        <v>915.36000000000013</v>
      </c>
      <c r="V43" s="10" t="s">
        <v>63</v>
      </c>
    </row>
    <row r="44" spans="1:22" ht="18" customHeight="1" x14ac:dyDescent="0.25">
      <c r="A44" s="7" t="s">
        <v>34</v>
      </c>
      <c r="B44" s="7">
        <v>2020</v>
      </c>
      <c r="C44" s="7" t="s">
        <v>65</v>
      </c>
      <c r="D44" s="7" t="s">
        <v>21</v>
      </c>
      <c r="E44" s="7" t="s">
        <v>22</v>
      </c>
      <c r="F44" s="7" t="s">
        <v>23</v>
      </c>
      <c r="G44" s="7" t="s">
        <v>64</v>
      </c>
      <c r="H44" s="7" t="s">
        <v>25</v>
      </c>
      <c r="I44" s="7" t="s">
        <v>35</v>
      </c>
      <c r="J44" s="7">
        <v>164</v>
      </c>
      <c r="K44" s="7">
        <v>234.51999999999998</v>
      </c>
      <c r="N44" s="4">
        <v>2020</v>
      </c>
      <c r="O44" s="4" t="s">
        <v>62</v>
      </c>
      <c r="P44" s="4" t="s">
        <v>36</v>
      </c>
      <c r="Q44" s="8" t="s">
        <v>56</v>
      </c>
      <c r="R44" s="9">
        <v>7</v>
      </c>
      <c r="S44" s="9">
        <v>200</v>
      </c>
      <c r="T44" s="9">
        <v>224</v>
      </c>
      <c r="U44" s="9">
        <v>40</v>
      </c>
      <c r="V44" s="10" t="s">
        <v>63</v>
      </c>
    </row>
    <row r="45" spans="1:22" ht="18" customHeight="1" x14ac:dyDescent="0.25">
      <c r="A45" s="7" t="s">
        <v>42</v>
      </c>
      <c r="B45" s="7">
        <v>2020</v>
      </c>
      <c r="C45" s="7" t="s">
        <v>65</v>
      </c>
      <c r="D45" s="7" t="s">
        <v>21</v>
      </c>
      <c r="E45" s="7" t="s">
        <v>22</v>
      </c>
      <c r="F45" s="7" t="s">
        <v>23</v>
      </c>
      <c r="G45" s="7" t="s">
        <v>64</v>
      </c>
      <c r="H45" s="7" t="s">
        <v>25</v>
      </c>
      <c r="I45" s="7" t="s">
        <v>35</v>
      </c>
      <c r="J45" s="7">
        <v>238</v>
      </c>
      <c r="K45" s="7">
        <v>340.34000000000003</v>
      </c>
      <c r="N45" s="4">
        <v>2020</v>
      </c>
      <c r="O45" s="4" t="s">
        <v>62</v>
      </c>
      <c r="P45" s="4" t="s">
        <v>50</v>
      </c>
      <c r="Q45" s="13" t="s">
        <v>58</v>
      </c>
      <c r="R45" s="14">
        <v>3</v>
      </c>
      <c r="S45" s="14">
        <v>3333</v>
      </c>
      <c r="T45" s="14">
        <v>5126.576</v>
      </c>
      <c r="U45" s="9">
        <v>666.6</v>
      </c>
      <c r="V45" s="10" t="s">
        <v>63</v>
      </c>
    </row>
    <row r="46" spans="1:22" ht="18" customHeight="1" x14ac:dyDescent="0.25">
      <c r="A46" s="7" t="s">
        <v>19</v>
      </c>
      <c r="B46" s="7">
        <v>2020</v>
      </c>
      <c r="C46" s="7" t="s">
        <v>65</v>
      </c>
      <c r="D46" s="7" t="s">
        <v>21</v>
      </c>
      <c r="E46" s="7" t="s">
        <v>22</v>
      </c>
      <c r="F46" s="7" t="s">
        <v>23</v>
      </c>
      <c r="G46" s="7" t="s">
        <v>64</v>
      </c>
      <c r="H46" s="7" t="s">
        <v>25</v>
      </c>
      <c r="I46" s="7" t="s">
        <v>35</v>
      </c>
      <c r="J46" s="7">
        <v>166</v>
      </c>
      <c r="K46" s="7">
        <v>237.38</v>
      </c>
      <c r="N46" s="4">
        <v>2020</v>
      </c>
      <c r="O46" s="4" t="s">
        <v>62</v>
      </c>
      <c r="P46" s="4" t="s">
        <v>57</v>
      </c>
      <c r="Q46" s="13" t="s">
        <v>57</v>
      </c>
      <c r="R46" s="14">
        <v>2</v>
      </c>
      <c r="S46" s="14">
        <v>6600</v>
      </c>
      <c r="T46" s="14">
        <v>7392</v>
      </c>
      <c r="U46" s="9">
        <v>1320</v>
      </c>
      <c r="V46" s="10" t="s">
        <v>63</v>
      </c>
    </row>
    <row r="47" spans="1:22" ht="18" customHeight="1" x14ac:dyDescent="0.25">
      <c r="A47" s="7" t="s">
        <v>42</v>
      </c>
      <c r="B47" s="7">
        <v>2020</v>
      </c>
      <c r="C47" s="7" t="s">
        <v>65</v>
      </c>
      <c r="D47" s="7" t="s">
        <v>21</v>
      </c>
      <c r="E47" s="7" t="s">
        <v>22</v>
      </c>
      <c r="F47" s="7" t="s">
        <v>23</v>
      </c>
      <c r="G47" s="7" t="s">
        <v>64</v>
      </c>
      <c r="H47" s="7" t="s">
        <v>25</v>
      </c>
      <c r="I47" s="7" t="s">
        <v>26</v>
      </c>
      <c r="J47" s="7">
        <v>222</v>
      </c>
      <c r="K47" s="7">
        <v>526.24</v>
      </c>
      <c r="N47" s="4">
        <v>2020</v>
      </c>
      <c r="O47" s="4" t="s">
        <v>20</v>
      </c>
      <c r="P47" s="4" t="s">
        <v>28</v>
      </c>
      <c r="Q47" s="8" t="s">
        <v>29</v>
      </c>
      <c r="R47" s="9">
        <v>3566</v>
      </c>
      <c r="S47" s="9">
        <v>4577.3</v>
      </c>
      <c r="T47" s="9">
        <v>5126.576</v>
      </c>
      <c r="U47" s="9">
        <v>915.46</v>
      </c>
      <c r="V47" s="10" t="s">
        <v>63</v>
      </c>
    </row>
    <row r="48" spans="1:22" ht="18" customHeight="1" x14ac:dyDescent="0.25">
      <c r="A48" s="7" t="s">
        <v>19</v>
      </c>
      <c r="B48" s="7">
        <v>2020</v>
      </c>
      <c r="C48" s="7" t="s">
        <v>65</v>
      </c>
      <c r="D48" s="7" t="s">
        <v>21</v>
      </c>
      <c r="E48" s="7" t="s">
        <v>22</v>
      </c>
      <c r="F48" s="7" t="s">
        <v>23</v>
      </c>
      <c r="G48" s="7" t="s">
        <v>64</v>
      </c>
      <c r="H48" s="7" t="s">
        <v>25</v>
      </c>
      <c r="I48" s="7" t="s">
        <v>26</v>
      </c>
      <c r="J48" s="7">
        <v>216</v>
      </c>
      <c r="K48" s="7">
        <v>526.24</v>
      </c>
      <c r="N48" s="4">
        <v>2020</v>
      </c>
      <c r="O48" s="4" t="s">
        <v>20</v>
      </c>
      <c r="P48" s="4" t="s">
        <v>28</v>
      </c>
      <c r="Q48" s="8" t="s">
        <v>32</v>
      </c>
      <c r="R48" s="9">
        <v>2498</v>
      </c>
      <c r="S48" s="9">
        <v>8000</v>
      </c>
      <c r="T48" s="9">
        <v>8960</v>
      </c>
      <c r="U48" s="9">
        <v>1600</v>
      </c>
      <c r="V48" s="10" t="s">
        <v>63</v>
      </c>
    </row>
    <row r="49" spans="1:22" ht="18" customHeight="1" x14ac:dyDescent="0.25">
      <c r="A49" s="7" t="s">
        <v>34</v>
      </c>
      <c r="B49" s="7">
        <v>2020</v>
      </c>
      <c r="C49" s="7" t="s">
        <v>65</v>
      </c>
      <c r="D49" s="7" t="s">
        <v>21</v>
      </c>
      <c r="E49" s="7" t="s">
        <v>22</v>
      </c>
      <c r="F49" s="7" t="s">
        <v>23</v>
      </c>
      <c r="G49" s="7" t="s">
        <v>64</v>
      </c>
      <c r="H49" s="7" t="s">
        <v>25</v>
      </c>
      <c r="I49" s="7" t="s">
        <v>35</v>
      </c>
      <c r="J49" s="7">
        <v>684</v>
      </c>
      <c r="K49" s="7">
        <v>978.12</v>
      </c>
      <c r="N49" s="4">
        <v>2020</v>
      </c>
      <c r="O49" s="4" t="s">
        <v>20</v>
      </c>
      <c r="P49" s="4" t="s">
        <v>36</v>
      </c>
      <c r="Q49" s="8" t="s">
        <v>37</v>
      </c>
      <c r="R49" s="9">
        <v>1245</v>
      </c>
      <c r="S49" s="9">
        <v>4577.2</v>
      </c>
      <c r="T49" s="9">
        <v>5126.4639999999999</v>
      </c>
      <c r="U49" s="9">
        <v>915.44</v>
      </c>
      <c r="V49" s="10" t="s">
        <v>63</v>
      </c>
    </row>
    <row r="50" spans="1:22" ht="18" customHeight="1" x14ac:dyDescent="0.25">
      <c r="A50" s="7" t="s">
        <v>53</v>
      </c>
      <c r="B50" s="7">
        <v>2020</v>
      </c>
      <c r="C50" s="7" t="s">
        <v>65</v>
      </c>
      <c r="D50" s="7" t="s">
        <v>21</v>
      </c>
      <c r="E50" s="7" t="s">
        <v>22</v>
      </c>
      <c r="F50" s="7" t="s">
        <v>23</v>
      </c>
      <c r="G50" s="7" t="s">
        <v>64</v>
      </c>
      <c r="H50" s="7" t="s">
        <v>25</v>
      </c>
      <c r="I50" s="7" t="s">
        <v>35</v>
      </c>
      <c r="J50" s="7">
        <v>717</v>
      </c>
      <c r="K50" s="7">
        <v>1025.31</v>
      </c>
      <c r="N50" s="4">
        <v>2020</v>
      </c>
      <c r="O50" s="4" t="s">
        <v>20</v>
      </c>
      <c r="P50" s="4" t="s">
        <v>39</v>
      </c>
      <c r="Q50" s="13" t="s">
        <v>40</v>
      </c>
      <c r="R50" s="14">
        <v>644</v>
      </c>
      <c r="S50" s="14">
        <v>5743.5</v>
      </c>
      <c r="T50" s="14">
        <v>6432.72</v>
      </c>
      <c r="U50" s="9">
        <v>1148.7</v>
      </c>
      <c r="V50" s="10" t="s">
        <v>63</v>
      </c>
    </row>
    <row r="51" spans="1:22" ht="18" customHeight="1" x14ac:dyDescent="0.25">
      <c r="A51" s="7" t="s">
        <v>34</v>
      </c>
      <c r="B51" s="7">
        <v>2020</v>
      </c>
      <c r="C51" s="7" t="s">
        <v>65</v>
      </c>
      <c r="D51" s="7" t="s">
        <v>21</v>
      </c>
      <c r="E51" s="7" t="s">
        <v>22</v>
      </c>
      <c r="F51" s="7" t="s">
        <v>23</v>
      </c>
      <c r="G51" s="7" t="s">
        <v>64</v>
      </c>
      <c r="H51" s="7" t="s">
        <v>25</v>
      </c>
      <c r="I51" s="7" t="s">
        <v>35</v>
      </c>
      <c r="J51" s="7">
        <v>770</v>
      </c>
      <c r="K51" s="7">
        <v>1101.0999999999999</v>
      </c>
      <c r="N51" s="4">
        <v>2020</v>
      </c>
      <c r="O51" s="4" t="s">
        <v>20</v>
      </c>
      <c r="P51" s="4" t="s">
        <v>43</v>
      </c>
      <c r="Q51" s="13" t="s">
        <v>44</v>
      </c>
      <c r="R51" s="14">
        <v>643</v>
      </c>
      <c r="S51" s="14">
        <v>7000</v>
      </c>
      <c r="T51" s="14">
        <v>7840</v>
      </c>
      <c r="U51" s="9">
        <v>1400</v>
      </c>
      <c r="V51" s="10" t="s">
        <v>63</v>
      </c>
    </row>
    <row r="52" spans="1:22" ht="18" customHeight="1" x14ac:dyDescent="0.25">
      <c r="A52" s="7" t="s">
        <v>34</v>
      </c>
      <c r="B52" s="7">
        <v>2020</v>
      </c>
      <c r="C52" s="7" t="s">
        <v>65</v>
      </c>
      <c r="D52" s="7" t="s">
        <v>21</v>
      </c>
      <c r="E52" s="7" t="s">
        <v>22</v>
      </c>
      <c r="F52" s="7" t="s">
        <v>23</v>
      </c>
      <c r="G52" s="7" t="s">
        <v>64</v>
      </c>
      <c r="H52" s="7" t="s">
        <v>25</v>
      </c>
      <c r="I52" s="7" t="s">
        <v>26</v>
      </c>
      <c r="J52" s="7">
        <v>225</v>
      </c>
      <c r="K52" s="7">
        <v>321.75</v>
      </c>
      <c r="N52" s="4">
        <v>2020</v>
      </c>
      <c r="O52" s="4" t="s">
        <v>20</v>
      </c>
      <c r="P52" s="4" t="s">
        <v>39</v>
      </c>
      <c r="Q52" s="13" t="s">
        <v>46</v>
      </c>
      <c r="R52" s="14">
        <v>455</v>
      </c>
      <c r="S52" s="14">
        <v>4578.6000000000004</v>
      </c>
      <c r="T52" s="14">
        <v>5128.0320000000002</v>
      </c>
      <c r="U52" s="9">
        <v>915.72000000000014</v>
      </c>
      <c r="V52" s="10" t="s">
        <v>63</v>
      </c>
    </row>
    <row r="53" spans="1:22" ht="18" customHeight="1" x14ac:dyDescent="0.25">
      <c r="A53" s="7" t="s">
        <v>53</v>
      </c>
      <c r="B53" s="7">
        <v>2020</v>
      </c>
      <c r="C53" s="7" t="s">
        <v>65</v>
      </c>
      <c r="D53" s="7" t="s">
        <v>21</v>
      </c>
      <c r="E53" s="7" t="s">
        <v>22</v>
      </c>
      <c r="F53" s="7" t="s">
        <v>23</v>
      </c>
      <c r="G53" s="7" t="s">
        <v>64</v>
      </c>
      <c r="H53" s="7" t="s">
        <v>25</v>
      </c>
      <c r="I53" s="7" t="s">
        <v>26</v>
      </c>
      <c r="J53" s="7">
        <v>219</v>
      </c>
      <c r="K53" s="7">
        <v>313.17</v>
      </c>
      <c r="N53" s="4">
        <v>2020</v>
      </c>
      <c r="O53" s="4" t="s">
        <v>20</v>
      </c>
      <c r="P53" s="4" t="s">
        <v>43</v>
      </c>
      <c r="Q53" s="13" t="s">
        <v>48</v>
      </c>
      <c r="R53" s="15">
        <v>345</v>
      </c>
      <c r="S53" s="15">
        <v>7000</v>
      </c>
      <c r="T53" s="15">
        <v>7840</v>
      </c>
      <c r="U53" s="9">
        <v>1400</v>
      </c>
      <c r="V53" s="10" t="s">
        <v>63</v>
      </c>
    </row>
    <row r="54" spans="1:22" ht="18" customHeight="1" x14ac:dyDescent="0.25">
      <c r="A54" s="7" t="s">
        <v>42</v>
      </c>
      <c r="B54" s="7">
        <v>2020</v>
      </c>
      <c r="C54" s="7" t="s">
        <v>65</v>
      </c>
      <c r="D54" s="7" t="s">
        <v>21</v>
      </c>
      <c r="E54" s="7" t="s">
        <v>22</v>
      </c>
      <c r="F54" s="7" t="s">
        <v>23</v>
      </c>
      <c r="G54" s="7" t="s">
        <v>64</v>
      </c>
      <c r="H54" s="7" t="s">
        <v>25</v>
      </c>
      <c r="I54" s="7" t="s">
        <v>26</v>
      </c>
      <c r="J54" s="7">
        <v>213</v>
      </c>
      <c r="K54" s="7">
        <v>304.59000000000003</v>
      </c>
      <c r="N54" s="4">
        <v>2020</v>
      </c>
      <c r="O54" s="4" t="s">
        <v>20</v>
      </c>
      <c r="P54" s="4" t="s">
        <v>36</v>
      </c>
      <c r="Q54" s="8" t="s">
        <v>49</v>
      </c>
      <c r="R54" s="9">
        <v>122</v>
      </c>
      <c r="S54" s="9">
        <v>100</v>
      </c>
      <c r="T54" s="9">
        <v>112</v>
      </c>
      <c r="U54" s="9">
        <v>20</v>
      </c>
      <c r="V54" s="10" t="s">
        <v>63</v>
      </c>
    </row>
    <row r="55" spans="1:22" ht="18" customHeight="1" x14ac:dyDescent="0.25">
      <c r="A55" s="7" t="s">
        <v>34</v>
      </c>
      <c r="B55" s="7">
        <v>2020</v>
      </c>
      <c r="C55" s="7" t="s">
        <v>65</v>
      </c>
      <c r="D55" s="7" t="s">
        <v>21</v>
      </c>
      <c r="E55" s="7" t="s">
        <v>22</v>
      </c>
      <c r="F55" s="7" t="s">
        <v>23</v>
      </c>
      <c r="G55" s="7" t="s">
        <v>64</v>
      </c>
      <c r="H55" s="7" t="s">
        <v>25</v>
      </c>
      <c r="I55" s="7" t="s">
        <v>35</v>
      </c>
      <c r="J55" s="7">
        <v>195</v>
      </c>
      <c r="K55" s="7">
        <v>278.85000000000002</v>
      </c>
      <c r="N55" s="4">
        <v>2020</v>
      </c>
      <c r="O55" s="4" t="s">
        <v>20</v>
      </c>
      <c r="P55" s="4" t="s">
        <v>50</v>
      </c>
      <c r="Q55" s="13" t="s">
        <v>51</v>
      </c>
      <c r="R55" s="14">
        <v>78</v>
      </c>
      <c r="S55" s="14">
        <v>4577.2</v>
      </c>
      <c r="T55" s="14">
        <v>5126.4639999999999</v>
      </c>
      <c r="U55" s="9">
        <v>915.44</v>
      </c>
      <c r="V55" s="10" t="s">
        <v>63</v>
      </c>
    </row>
    <row r="56" spans="1:22" ht="18" customHeight="1" x14ac:dyDescent="0.25">
      <c r="A56" s="7" t="s">
        <v>34</v>
      </c>
      <c r="B56" s="7">
        <v>2020</v>
      </c>
      <c r="C56" s="7" t="s">
        <v>65</v>
      </c>
      <c r="D56" s="7" t="s">
        <v>21</v>
      </c>
      <c r="E56" s="7" t="s">
        <v>22</v>
      </c>
      <c r="F56" s="7" t="s">
        <v>23</v>
      </c>
      <c r="G56" s="7" t="s">
        <v>64</v>
      </c>
      <c r="H56" s="7" t="s">
        <v>25</v>
      </c>
      <c r="I56" s="7" t="s">
        <v>35</v>
      </c>
      <c r="J56" s="7">
        <v>810</v>
      </c>
      <c r="K56" s="7">
        <v>526.24</v>
      </c>
      <c r="N56" s="4">
        <v>2020</v>
      </c>
      <c r="O56" s="4" t="s">
        <v>20</v>
      </c>
      <c r="P56" s="4" t="s">
        <v>50</v>
      </c>
      <c r="Q56" s="13" t="s">
        <v>52</v>
      </c>
      <c r="R56" s="14">
        <v>76</v>
      </c>
      <c r="S56" s="14">
        <v>4576.8999999999996</v>
      </c>
      <c r="T56" s="14">
        <v>5126.1279999999997</v>
      </c>
      <c r="U56" s="9">
        <v>915.38</v>
      </c>
      <c r="V56" s="10" t="s">
        <v>63</v>
      </c>
    </row>
    <row r="57" spans="1:22" ht="18" customHeight="1" x14ac:dyDescent="0.25">
      <c r="A57" s="7" t="s">
        <v>19</v>
      </c>
      <c r="B57" s="7">
        <v>2020</v>
      </c>
      <c r="C57" s="7" t="s">
        <v>65</v>
      </c>
      <c r="D57" s="7" t="s">
        <v>21</v>
      </c>
      <c r="E57" s="7" t="s">
        <v>22</v>
      </c>
      <c r="F57" s="7" t="s">
        <v>23</v>
      </c>
      <c r="G57" s="7" t="s">
        <v>64</v>
      </c>
      <c r="H57" s="7" t="s">
        <v>25</v>
      </c>
      <c r="I57" s="7" t="s">
        <v>35</v>
      </c>
      <c r="J57" s="7">
        <v>193</v>
      </c>
      <c r="K57" s="7">
        <v>275.99</v>
      </c>
      <c r="N57" s="4">
        <v>2020</v>
      </c>
      <c r="O57" s="4" t="s">
        <v>20</v>
      </c>
      <c r="P57" s="4" t="s">
        <v>50</v>
      </c>
      <c r="Q57" s="13" t="s">
        <v>54</v>
      </c>
      <c r="R57" s="14">
        <v>46</v>
      </c>
      <c r="S57" s="14">
        <v>200</v>
      </c>
      <c r="T57" s="14">
        <v>224</v>
      </c>
      <c r="U57" s="9">
        <v>40</v>
      </c>
      <c r="V57" s="10" t="s">
        <v>63</v>
      </c>
    </row>
    <row r="58" spans="1:22" ht="18" customHeight="1" x14ac:dyDescent="0.25">
      <c r="A58" s="7" t="s">
        <v>42</v>
      </c>
      <c r="B58" s="7">
        <v>2020</v>
      </c>
      <c r="C58" s="7" t="s">
        <v>65</v>
      </c>
      <c r="D58" s="7" t="s">
        <v>21</v>
      </c>
      <c r="E58" s="7" t="s">
        <v>22</v>
      </c>
      <c r="F58" s="7" t="s">
        <v>23</v>
      </c>
      <c r="G58" s="7" t="s">
        <v>64</v>
      </c>
      <c r="H58" s="7" t="s">
        <v>25</v>
      </c>
      <c r="I58" s="7" t="s">
        <v>35</v>
      </c>
      <c r="J58" s="7">
        <v>241</v>
      </c>
      <c r="K58" s="7">
        <v>344.63</v>
      </c>
      <c r="N58" s="4">
        <v>2020</v>
      </c>
      <c r="O58" s="4" t="s">
        <v>20</v>
      </c>
      <c r="P58" s="4" t="s">
        <v>50</v>
      </c>
      <c r="Q58" s="13" t="s">
        <v>55</v>
      </c>
      <c r="R58" s="14">
        <v>34</v>
      </c>
      <c r="S58" s="14">
        <v>4576.8</v>
      </c>
      <c r="T58" s="14">
        <v>5126.0160000000005</v>
      </c>
      <c r="U58" s="9">
        <v>915.36000000000013</v>
      </c>
      <c r="V58" s="10" t="s">
        <v>63</v>
      </c>
    </row>
    <row r="59" spans="1:22" ht="18" customHeight="1" x14ac:dyDescent="0.25">
      <c r="A59" s="7" t="s">
        <v>19</v>
      </c>
      <c r="B59" s="7">
        <v>2020</v>
      </c>
      <c r="C59" s="7" t="s">
        <v>65</v>
      </c>
      <c r="D59" s="7" t="s">
        <v>21</v>
      </c>
      <c r="E59" s="7" t="s">
        <v>22</v>
      </c>
      <c r="F59" s="7" t="s">
        <v>23</v>
      </c>
      <c r="G59" s="7" t="s">
        <v>64</v>
      </c>
      <c r="H59" s="7" t="s">
        <v>25</v>
      </c>
      <c r="I59" s="7" t="s">
        <v>26</v>
      </c>
      <c r="J59" s="7">
        <v>221</v>
      </c>
      <c r="K59" s="7">
        <v>316.02999999999997</v>
      </c>
      <c r="N59" s="4">
        <v>2020</v>
      </c>
      <c r="O59" s="4" t="s">
        <v>20</v>
      </c>
      <c r="P59" s="4" t="s">
        <v>36</v>
      </c>
      <c r="Q59" s="8" t="s">
        <v>56</v>
      </c>
      <c r="R59" s="9">
        <v>7</v>
      </c>
      <c r="S59" s="9">
        <v>200</v>
      </c>
      <c r="T59" s="9">
        <v>224</v>
      </c>
      <c r="U59" s="9">
        <v>40</v>
      </c>
      <c r="V59" s="10" t="s">
        <v>63</v>
      </c>
    </row>
    <row r="60" spans="1:22" ht="18" customHeight="1" x14ac:dyDescent="0.25">
      <c r="A60" s="7" t="s">
        <v>34</v>
      </c>
      <c r="B60" s="7">
        <v>2020</v>
      </c>
      <c r="C60" s="7" t="s">
        <v>65</v>
      </c>
      <c r="D60" s="7" t="s">
        <v>21</v>
      </c>
      <c r="E60" s="7" t="s">
        <v>22</v>
      </c>
      <c r="F60" s="7" t="s">
        <v>23</v>
      </c>
      <c r="G60" s="7" t="s">
        <v>64</v>
      </c>
      <c r="H60" s="7" t="s">
        <v>25</v>
      </c>
      <c r="I60" s="7" t="s">
        <v>26</v>
      </c>
      <c r="J60" s="7">
        <v>215</v>
      </c>
      <c r="K60" s="7">
        <v>307.45</v>
      </c>
      <c r="N60" s="4">
        <v>2020</v>
      </c>
      <c r="O60" s="4" t="s">
        <v>20</v>
      </c>
      <c r="P60" s="4" t="s">
        <v>50</v>
      </c>
      <c r="Q60" s="13" t="s">
        <v>58</v>
      </c>
      <c r="R60" s="14">
        <v>3</v>
      </c>
      <c r="S60" s="14">
        <v>4577.3</v>
      </c>
      <c r="T60" s="14">
        <v>5126.576</v>
      </c>
      <c r="U60" s="9">
        <v>915.46</v>
      </c>
      <c r="V60" s="10" t="s">
        <v>63</v>
      </c>
    </row>
    <row r="61" spans="1:22" ht="18" customHeight="1" x14ac:dyDescent="0.25">
      <c r="A61" s="7" t="s">
        <v>34</v>
      </c>
      <c r="B61" s="7">
        <v>2020</v>
      </c>
      <c r="C61" s="7" t="s">
        <v>65</v>
      </c>
      <c r="D61" s="7" t="s">
        <v>21</v>
      </c>
      <c r="E61" s="7" t="s">
        <v>22</v>
      </c>
      <c r="F61" s="7" t="s">
        <v>23</v>
      </c>
      <c r="G61" s="7" t="s">
        <v>64</v>
      </c>
      <c r="H61" s="7" t="s">
        <v>25</v>
      </c>
      <c r="I61" s="7" t="s">
        <v>35</v>
      </c>
      <c r="J61" s="7">
        <v>191</v>
      </c>
      <c r="K61" s="7">
        <v>273.13</v>
      </c>
      <c r="N61" s="4">
        <v>2020</v>
      </c>
      <c r="O61" s="4" t="s">
        <v>20</v>
      </c>
      <c r="P61" s="4" t="s">
        <v>57</v>
      </c>
      <c r="Q61" s="13" t="s">
        <v>57</v>
      </c>
      <c r="R61" s="14">
        <v>2</v>
      </c>
      <c r="S61" s="14">
        <v>6600</v>
      </c>
      <c r="T61" s="14">
        <v>7392</v>
      </c>
      <c r="U61" s="9">
        <v>1320</v>
      </c>
      <c r="V61" s="10" t="s">
        <v>63</v>
      </c>
    </row>
    <row r="62" spans="1:22" ht="18" customHeight="1" x14ac:dyDescent="0.25">
      <c r="A62" s="7" t="s">
        <v>19</v>
      </c>
      <c r="B62" s="7">
        <v>2020</v>
      </c>
      <c r="C62" s="7" t="s">
        <v>65</v>
      </c>
      <c r="D62" s="7" t="s">
        <v>21</v>
      </c>
      <c r="E62" s="7" t="s">
        <v>22</v>
      </c>
      <c r="F62" s="7" t="s">
        <v>23</v>
      </c>
      <c r="G62" s="7" t="s">
        <v>64</v>
      </c>
      <c r="H62" s="7" t="s">
        <v>25</v>
      </c>
      <c r="I62" s="7" t="s">
        <v>35</v>
      </c>
      <c r="J62" s="7">
        <v>239</v>
      </c>
      <c r="K62" s="7">
        <v>341.77</v>
      </c>
      <c r="N62" s="4">
        <v>2020</v>
      </c>
      <c r="O62" s="4" t="s">
        <v>66</v>
      </c>
      <c r="P62" s="4" t="s">
        <v>28</v>
      </c>
      <c r="Q62" s="8" t="s">
        <v>29</v>
      </c>
      <c r="R62" s="9">
        <v>3566</v>
      </c>
      <c r="S62" s="9">
        <v>4577.3</v>
      </c>
      <c r="T62" s="9">
        <v>5126.576</v>
      </c>
      <c r="U62" s="9">
        <v>915.46</v>
      </c>
      <c r="V62" s="10" t="s">
        <v>63</v>
      </c>
    </row>
    <row r="63" spans="1:22" ht="18" customHeight="1" x14ac:dyDescent="0.25">
      <c r="A63" s="7" t="s">
        <v>19</v>
      </c>
      <c r="B63" s="7">
        <v>2020</v>
      </c>
      <c r="C63" s="7" t="s">
        <v>65</v>
      </c>
      <c r="D63" s="7" t="s">
        <v>21</v>
      </c>
      <c r="E63" s="7" t="s">
        <v>22</v>
      </c>
      <c r="F63" s="7" t="s">
        <v>23</v>
      </c>
      <c r="G63" s="7" t="s">
        <v>64</v>
      </c>
      <c r="H63" s="7" t="s">
        <v>25</v>
      </c>
      <c r="I63" s="7" t="s">
        <v>35</v>
      </c>
      <c r="J63" s="7">
        <v>779</v>
      </c>
      <c r="K63" s="7">
        <v>1113.97</v>
      </c>
      <c r="N63" s="4">
        <v>2020</v>
      </c>
      <c r="O63" s="4" t="s">
        <v>66</v>
      </c>
      <c r="P63" s="4" t="s">
        <v>28</v>
      </c>
      <c r="Q63" s="8" t="s">
        <v>32</v>
      </c>
      <c r="R63" s="9">
        <v>2498</v>
      </c>
      <c r="S63" s="9">
        <v>8000</v>
      </c>
      <c r="T63" s="9">
        <v>8960</v>
      </c>
      <c r="U63" s="9">
        <v>1600</v>
      </c>
      <c r="V63" s="10" t="s">
        <v>63</v>
      </c>
    </row>
    <row r="64" spans="1:22" ht="18" customHeight="1" x14ac:dyDescent="0.25">
      <c r="A64" s="7" t="s">
        <v>34</v>
      </c>
      <c r="B64" s="7">
        <v>2020</v>
      </c>
      <c r="C64" s="7" t="s">
        <v>59</v>
      </c>
      <c r="D64" s="7" t="s">
        <v>21</v>
      </c>
      <c r="E64" s="7" t="s">
        <v>22</v>
      </c>
      <c r="F64" s="7" t="s">
        <v>23</v>
      </c>
      <c r="G64" s="7" t="s">
        <v>64</v>
      </c>
      <c r="H64" s="7" t="s">
        <v>25</v>
      </c>
      <c r="I64" s="7" t="s">
        <v>35</v>
      </c>
      <c r="J64" s="7">
        <v>248</v>
      </c>
      <c r="K64" s="7">
        <v>354.64</v>
      </c>
      <c r="N64" s="4">
        <v>2020</v>
      </c>
      <c r="O64" s="4" t="s">
        <v>66</v>
      </c>
      <c r="P64" s="4" t="s">
        <v>36</v>
      </c>
      <c r="Q64" s="8" t="s">
        <v>37</v>
      </c>
      <c r="R64" s="9">
        <v>1245</v>
      </c>
      <c r="S64" s="9">
        <v>4577.2</v>
      </c>
      <c r="T64" s="9">
        <v>5126.4639999999999</v>
      </c>
      <c r="U64" s="9">
        <v>915.44</v>
      </c>
      <c r="V64" s="10" t="s">
        <v>63</v>
      </c>
    </row>
    <row r="65" spans="1:22" ht="18" customHeight="1" x14ac:dyDescent="0.25">
      <c r="A65" s="7" t="s">
        <v>42</v>
      </c>
      <c r="B65" s="7">
        <v>2020</v>
      </c>
      <c r="C65" s="7" t="s">
        <v>59</v>
      </c>
      <c r="D65" s="7" t="s">
        <v>21</v>
      </c>
      <c r="E65" s="7" t="s">
        <v>22</v>
      </c>
      <c r="F65" s="7" t="s">
        <v>23</v>
      </c>
      <c r="G65" s="7" t="s">
        <v>64</v>
      </c>
      <c r="H65" s="7" t="s">
        <v>25</v>
      </c>
      <c r="I65" s="7" t="s">
        <v>35</v>
      </c>
      <c r="J65" s="7">
        <v>218</v>
      </c>
      <c r="K65" s="7">
        <v>311.74</v>
      </c>
      <c r="N65" s="4">
        <v>2020</v>
      </c>
      <c r="O65" s="4" t="s">
        <v>66</v>
      </c>
      <c r="P65" s="4" t="s">
        <v>39</v>
      </c>
      <c r="Q65" s="13" t="s">
        <v>40</v>
      </c>
      <c r="R65" s="14">
        <v>644</v>
      </c>
      <c r="S65" s="14">
        <v>5743.5</v>
      </c>
      <c r="T65" s="14">
        <v>6432.72</v>
      </c>
      <c r="U65" s="9">
        <v>1148.7</v>
      </c>
      <c r="V65" s="10" t="s">
        <v>63</v>
      </c>
    </row>
    <row r="66" spans="1:22" ht="18" customHeight="1" x14ac:dyDescent="0.25">
      <c r="A66" s="7" t="s">
        <v>34</v>
      </c>
      <c r="B66" s="7">
        <v>2020</v>
      </c>
      <c r="C66" s="7" t="s">
        <v>59</v>
      </c>
      <c r="D66" s="7" t="s">
        <v>21</v>
      </c>
      <c r="E66" s="7" t="s">
        <v>22</v>
      </c>
      <c r="F66" s="7" t="s">
        <v>23</v>
      </c>
      <c r="G66" s="7" t="s">
        <v>64</v>
      </c>
      <c r="H66" s="7" t="s">
        <v>25</v>
      </c>
      <c r="I66" s="7" t="s">
        <v>35</v>
      </c>
      <c r="J66" s="7">
        <v>244</v>
      </c>
      <c r="K66" s="7">
        <v>348.92</v>
      </c>
      <c r="N66" s="4">
        <v>2020</v>
      </c>
      <c r="O66" s="4" t="s">
        <v>66</v>
      </c>
      <c r="P66" s="4" t="s">
        <v>43</v>
      </c>
      <c r="Q66" s="13" t="s">
        <v>44</v>
      </c>
      <c r="R66" s="14">
        <v>643</v>
      </c>
      <c r="S66" s="14">
        <v>7000</v>
      </c>
      <c r="T66" s="14">
        <v>7840</v>
      </c>
      <c r="U66" s="9">
        <v>1400</v>
      </c>
      <c r="V66" s="10" t="s">
        <v>30</v>
      </c>
    </row>
    <row r="67" spans="1:22" ht="18" customHeight="1" x14ac:dyDescent="0.25">
      <c r="A67" s="7" t="s">
        <v>42</v>
      </c>
      <c r="B67" s="7">
        <v>2020</v>
      </c>
      <c r="C67" s="7" t="s">
        <v>59</v>
      </c>
      <c r="D67" s="7" t="s">
        <v>21</v>
      </c>
      <c r="E67" s="7" t="s">
        <v>22</v>
      </c>
      <c r="F67" s="7" t="s">
        <v>23</v>
      </c>
      <c r="G67" s="7" t="s">
        <v>64</v>
      </c>
      <c r="H67" s="7" t="s">
        <v>25</v>
      </c>
      <c r="I67" s="7" t="s">
        <v>35</v>
      </c>
      <c r="J67" s="7">
        <v>292</v>
      </c>
      <c r="K67" s="7">
        <v>417.56</v>
      </c>
      <c r="N67" s="4">
        <v>2020</v>
      </c>
      <c r="O67" s="4" t="s">
        <v>66</v>
      </c>
      <c r="P67" s="4" t="s">
        <v>39</v>
      </c>
      <c r="Q67" s="13" t="s">
        <v>46</v>
      </c>
      <c r="R67" s="14">
        <v>455</v>
      </c>
      <c r="S67" s="14">
        <v>4578.6000000000004</v>
      </c>
      <c r="T67" s="14">
        <v>5128.0320000000002</v>
      </c>
      <c r="U67" s="9">
        <v>915.72000000000014</v>
      </c>
      <c r="V67" s="10" t="s">
        <v>30</v>
      </c>
    </row>
    <row r="68" spans="1:22" ht="18" customHeight="1" x14ac:dyDescent="0.25">
      <c r="A68" s="7" t="s">
        <v>34</v>
      </c>
      <c r="B68" s="7">
        <v>2020</v>
      </c>
      <c r="C68" s="7" t="s">
        <v>59</v>
      </c>
      <c r="D68" s="7" t="s">
        <v>21</v>
      </c>
      <c r="E68" s="7" t="s">
        <v>22</v>
      </c>
      <c r="F68" s="7" t="s">
        <v>23</v>
      </c>
      <c r="G68" s="7" t="s">
        <v>64</v>
      </c>
      <c r="H68" s="7" t="s">
        <v>25</v>
      </c>
      <c r="I68" s="7" t="s">
        <v>35</v>
      </c>
      <c r="J68" s="7">
        <v>220</v>
      </c>
      <c r="K68" s="7">
        <v>314.60000000000002</v>
      </c>
      <c r="N68" s="4">
        <v>2020</v>
      </c>
      <c r="O68" s="4" t="s">
        <v>66</v>
      </c>
      <c r="P68" s="4" t="s">
        <v>43</v>
      </c>
      <c r="Q68" s="13" t="s">
        <v>48</v>
      </c>
      <c r="R68" s="15">
        <v>345</v>
      </c>
      <c r="S68" s="15">
        <v>7000</v>
      </c>
      <c r="T68" s="15">
        <v>7840</v>
      </c>
      <c r="U68" s="9">
        <v>1400</v>
      </c>
      <c r="V68" s="10" t="s">
        <v>30</v>
      </c>
    </row>
    <row r="69" spans="1:22" ht="18" customHeight="1" x14ac:dyDescent="0.25">
      <c r="A69" s="7" t="s">
        <v>42</v>
      </c>
      <c r="B69" s="7">
        <v>2020</v>
      </c>
      <c r="C69" s="7" t="s">
        <v>59</v>
      </c>
      <c r="D69" s="7" t="s">
        <v>21</v>
      </c>
      <c r="E69" s="7" t="s">
        <v>22</v>
      </c>
      <c r="F69" s="7" t="s">
        <v>23</v>
      </c>
      <c r="G69" s="7" t="s">
        <v>64</v>
      </c>
      <c r="H69" s="7" t="s">
        <v>25</v>
      </c>
      <c r="I69" s="7" t="s">
        <v>35</v>
      </c>
      <c r="J69" s="7">
        <v>675</v>
      </c>
      <c r="K69" s="7">
        <v>965.25</v>
      </c>
      <c r="N69" s="4">
        <v>2020</v>
      </c>
      <c r="O69" s="4" t="s">
        <v>66</v>
      </c>
      <c r="P69" s="4" t="s">
        <v>36</v>
      </c>
      <c r="Q69" s="8" t="s">
        <v>49</v>
      </c>
      <c r="R69" s="9">
        <v>122</v>
      </c>
      <c r="S69" s="9">
        <v>100</v>
      </c>
      <c r="T69" s="9">
        <v>112</v>
      </c>
      <c r="U69" s="9">
        <v>20</v>
      </c>
      <c r="V69" s="10" t="s">
        <v>30</v>
      </c>
    </row>
    <row r="70" spans="1:22" ht="18" customHeight="1" x14ac:dyDescent="0.25">
      <c r="A70" s="7" t="s">
        <v>34</v>
      </c>
      <c r="B70" s="7">
        <v>2020</v>
      </c>
      <c r="C70" s="7" t="s">
        <v>59</v>
      </c>
      <c r="D70" s="7" t="s">
        <v>21</v>
      </c>
      <c r="E70" s="7" t="s">
        <v>22</v>
      </c>
      <c r="F70" s="7" t="s">
        <v>23</v>
      </c>
      <c r="G70" s="7" t="s">
        <v>64</v>
      </c>
      <c r="H70" s="7" t="s">
        <v>25</v>
      </c>
      <c r="I70" s="7" t="s">
        <v>35</v>
      </c>
      <c r="J70" s="7">
        <v>708</v>
      </c>
      <c r="K70" s="7">
        <v>1012.44</v>
      </c>
      <c r="N70" s="4">
        <v>2020</v>
      </c>
      <c r="O70" s="4" t="s">
        <v>66</v>
      </c>
      <c r="P70" s="4" t="s">
        <v>50</v>
      </c>
      <c r="Q70" s="13" t="s">
        <v>51</v>
      </c>
      <c r="R70" s="14">
        <v>78</v>
      </c>
      <c r="S70" s="14">
        <v>4577.2</v>
      </c>
      <c r="T70" s="14">
        <v>5126.4639999999999</v>
      </c>
      <c r="U70" s="9">
        <v>915.44</v>
      </c>
      <c r="V70" s="10" t="s">
        <v>30</v>
      </c>
    </row>
    <row r="71" spans="1:22" ht="18" customHeight="1" x14ac:dyDescent="0.25">
      <c r="A71" s="7" t="s">
        <v>19</v>
      </c>
      <c r="B71" s="7">
        <v>2020</v>
      </c>
      <c r="C71" s="7" t="s">
        <v>59</v>
      </c>
      <c r="D71" s="7" t="s">
        <v>21</v>
      </c>
      <c r="E71" s="7" t="s">
        <v>22</v>
      </c>
      <c r="F71" s="7" t="s">
        <v>23</v>
      </c>
      <c r="G71" s="7" t="s">
        <v>64</v>
      </c>
      <c r="H71" s="7" t="s">
        <v>25</v>
      </c>
      <c r="I71" s="7" t="s">
        <v>35</v>
      </c>
      <c r="J71" s="7">
        <v>761</v>
      </c>
      <c r="K71" s="7">
        <v>1088.23</v>
      </c>
      <c r="N71" s="4">
        <v>2020</v>
      </c>
      <c r="O71" s="4" t="s">
        <v>66</v>
      </c>
      <c r="P71" s="4" t="s">
        <v>50</v>
      </c>
      <c r="Q71" s="13" t="s">
        <v>52</v>
      </c>
      <c r="R71" s="14">
        <v>76</v>
      </c>
      <c r="S71" s="14">
        <v>4576.8999999999996</v>
      </c>
      <c r="T71" s="14">
        <v>5126.1279999999997</v>
      </c>
      <c r="U71" s="9">
        <v>915.38</v>
      </c>
      <c r="V71" s="10" t="s">
        <v>30</v>
      </c>
    </row>
    <row r="72" spans="1:22" ht="18" customHeight="1" x14ac:dyDescent="0.25">
      <c r="A72" s="7" t="s">
        <v>19</v>
      </c>
      <c r="B72" s="7">
        <v>2020</v>
      </c>
      <c r="C72" s="7" t="s">
        <v>59</v>
      </c>
      <c r="D72" s="7" t="s">
        <v>21</v>
      </c>
      <c r="E72" s="7" t="s">
        <v>22</v>
      </c>
      <c r="F72" s="7" t="s">
        <v>23</v>
      </c>
      <c r="G72" s="7" t="s">
        <v>64</v>
      </c>
      <c r="H72" s="7" t="s">
        <v>25</v>
      </c>
      <c r="I72" s="7" t="s">
        <v>35</v>
      </c>
      <c r="J72" s="7">
        <v>249</v>
      </c>
      <c r="K72" s="7">
        <v>356.07</v>
      </c>
      <c r="N72" s="4">
        <v>2020</v>
      </c>
      <c r="O72" s="4" t="s">
        <v>66</v>
      </c>
      <c r="P72" s="4" t="s">
        <v>50</v>
      </c>
      <c r="Q72" s="13" t="s">
        <v>54</v>
      </c>
      <c r="R72" s="14">
        <v>46</v>
      </c>
      <c r="S72" s="14">
        <v>200</v>
      </c>
      <c r="T72" s="14">
        <v>224</v>
      </c>
      <c r="U72" s="9">
        <v>40</v>
      </c>
      <c r="V72" s="10" t="s">
        <v>30</v>
      </c>
    </row>
    <row r="73" spans="1:22" ht="18" customHeight="1" x14ac:dyDescent="0.25">
      <c r="A73" s="7" t="s">
        <v>34</v>
      </c>
      <c r="B73" s="7">
        <v>2020</v>
      </c>
      <c r="C73" s="7" t="s">
        <v>59</v>
      </c>
      <c r="D73" s="7" t="s">
        <v>21</v>
      </c>
      <c r="E73" s="7" t="s">
        <v>22</v>
      </c>
      <c r="F73" s="7" t="s">
        <v>23</v>
      </c>
      <c r="G73" s="7" t="s">
        <v>64</v>
      </c>
      <c r="H73" s="7" t="s">
        <v>25</v>
      </c>
      <c r="I73" s="7" t="s">
        <v>35</v>
      </c>
      <c r="J73" s="7">
        <v>748</v>
      </c>
      <c r="K73" s="7">
        <v>526.24</v>
      </c>
      <c r="N73" s="4">
        <v>2020</v>
      </c>
      <c r="O73" s="4" t="s">
        <v>66</v>
      </c>
      <c r="P73" s="4" t="s">
        <v>50</v>
      </c>
      <c r="Q73" s="13" t="s">
        <v>55</v>
      </c>
      <c r="R73" s="14">
        <v>34</v>
      </c>
      <c r="S73" s="14">
        <v>4576.8</v>
      </c>
      <c r="T73" s="14">
        <v>5126.0160000000005</v>
      </c>
      <c r="U73" s="9">
        <v>915.36000000000013</v>
      </c>
      <c r="V73" s="10" t="s">
        <v>30</v>
      </c>
    </row>
    <row r="74" spans="1:22" ht="18" customHeight="1" x14ac:dyDescent="0.25">
      <c r="A74" s="7" t="s">
        <v>42</v>
      </c>
      <c r="B74" s="7">
        <v>2020</v>
      </c>
      <c r="C74" s="7" t="s">
        <v>59</v>
      </c>
      <c r="D74" s="7" t="s">
        <v>21</v>
      </c>
      <c r="E74" s="7" t="s">
        <v>22</v>
      </c>
      <c r="F74" s="7" t="s">
        <v>23</v>
      </c>
      <c r="G74" s="7" t="s">
        <v>64</v>
      </c>
      <c r="H74" s="7" t="s">
        <v>25</v>
      </c>
      <c r="I74" s="7" t="s">
        <v>35</v>
      </c>
      <c r="J74" s="7">
        <v>801</v>
      </c>
      <c r="K74" s="7">
        <v>526.24</v>
      </c>
      <c r="N74" s="4">
        <v>2020</v>
      </c>
      <c r="O74" s="4" t="s">
        <v>66</v>
      </c>
      <c r="P74" s="4" t="s">
        <v>36</v>
      </c>
      <c r="Q74" s="8" t="s">
        <v>56</v>
      </c>
      <c r="R74" s="9">
        <v>7</v>
      </c>
      <c r="S74" s="9">
        <v>200</v>
      </c>
      <c r="T74" s="9">
        <v>224</v>
      </c>
      <c r="U74" s="9">
        <v>40</v>
      </c>
      <c r="V74" s="10" t="s">
        <v>30</v>
      </c>
    </row>
    <row r="75" spans="1:22" ht="18" customHeight="1" x14ac:dyDescent="0.25">
      <c r="A75" s="7" t="s">
        <v>34</v>
      </c>
      <c r="B75" s="7">
        <v>2020</v>
      </c>
      <c r="C75" s="7" t="s">
        <v>59</v>
      </c>
      <c r="D75" s="7" t="s">
        <v>21</v>
      </c>
      <c r="E75" s="7" t="s">
        <v>22</v>
      </c>
      <c r="F75" s="7" t="s">
        <v>23</v>
      </c>
      <c r="G75" s="7" t="s">
        <v>64</v>
      </c>
      <c r="H75" s="7" t="s">
        <v>25</v>
      </c>
      <c r="I75" s="7" t="s">
        <v>35</v>
      </c>
      <c r="J75" s="7">
        <v>247</v>
      </c>
      <c r="K75" s="7">
        <v>353.21</v>
      </c>
      <c r="N75" s="4">
        <v>2020</v>
      </c>
      <c r="O75" s="4" t="s">
        <v>66</v>
      </c>
      <c r="P75" s="4" t="s">
        <v>50</v>
      </c>
      <c r="Q75" s="13" t="s">
        <v>58</v>
      </c>
      <c r="R75" s="14">
        <v>3</v>
      </c>
      <c r="S75" s="14">
        <v>4577.3</v>
      </c>
      <c r="T75" s="14">
        <v>5126.576</v>
      </c>
      <c r="U75" s="9">
        <v>915.46</v>
      </c>
      <c r="V75" s="10" t="s">
        <v>30</v>
      </c>
    </row>
    <row r="76" spans="1:22" ht="18" customHeight="1" x14ac:dyDescent="0.25">
      <c r="A76" s="7" t="s">
        <v>34</v>
      </c>
      <c r="B76" s="7">
        <v>2020</v>
      </c>
      <c r="C76" s="7" t="s">
        <v>59</v>
      </c>
      <c r="D76" s="7" t="s">
        <v>21</v>
      </c>
      <c r="E76" s="7" t="s">
        <v>22</v>
      </c>
      <c r="F76" s="7" t="s">
        <v>23</v>
      </c>
      <c r="G76" s="7" t="s">
        <v>64</v>
      </c>
      <c r="H76" s="7" t="s">
        <v>25</v>
      </c>
      <c r="I76" s="7" t="s">
        <v>35</v>
      </c>
      <c r="J76" s="7">
        <v>295</v>
      </c>
      <c r="K76" s="7">
        <v>421.85</v>
      </c>
      <c r="N76" s="4">
        <v>2020</v>
      </c>
      <c r="O76" s="4" t="s">
        <v>66</v>
      </c>
      <c r="P76" s="4" t="s">
        <v>57</v>
      </c>
      <c r="Q76" s="13" t="s">
        <v>57</v>
      </c>
      <c r="R76" s="14">
        <v>2</v>
      </c>
      <c r="S76" s="14">
        <v>6600</v>
      </c>
      <c r="T76" s="14">
        <v>7392</v>
      </c>
      <c r="U76" s="9">
        <v>1320</v>
      </c>
      <c r="V76" s="10" t="s">
        <v>30</v>
      </c>
    </row>
    <row r="77" spans="1:22" ht="18" customHeight="1" x14ac:dyDescent="0.25">
      <c r="A77" s="7" t="s">
        <v>34</v>
      </c>
      <c r="B77" s="7">
        <v>2020</v>
      </c>
      <c r="C77" s="7" t="s">
        <v>59</v>
      </c>
      <c r="D77" s="7" t="s">
        <v>21</v>
      </c>
      <c r="E77" s="7" t="s">
        <v>22</v>
      </c>
      <c r="F77" s="7" t="s">
        <v>23</v>
      </c>
      <c r="G77" s="7" t="s">
        <v>64</v>
      </c>
      <c r="H77" s="7" t="s">
        <v>25</v>
      </c>
      <c r="I77" s="7" t="s">
        <v>35</v>
      </c>
      <c r="J77" s="7">
        <v>217</v>
      </c>
      <c r="K77" s="7">
        <v>310.31</v>
      </c>
      <c r="N77" s="4">
        <v>2020</v>
      </c>
      <c r="O77" s="4" t="s">
        <v>67</v>
      </c>
      <c r="P77" s="4" t="s">
        <v>28</v>
      </c>
      <c r="Q77" s="8" t="s">
        <v>29</v>
      </c>
      <c r="R77" s="9">
        <v>3566</v>
      </c>
      <c r="S77" s="9">
        <v>4577.3</v>
      </c>
      <c r="T77" s="9">
        <v>5126.576</v>
      </c>
      <c r="U77" s="9">
        <v>915.46</v>
      </c>
      <c r="V77" s="10" t="s">
        <v>30</v>
      </c>
    </row>
    <row r="78" spans="1:22" ht="18" customHeight="1" x14ac:dyDescent="0.25">
      <c r="A78" s="7" t="s">
        <v>42</v>
      </c>
      <c r="B78" s="7">
        <v>2020</v>
      </c>
      <c r="C78" s="7" t="s">
        <v>59</v>
      </c>
      <c r="D78" s="7" t="s">
        <v>21</v>
      </c>
      <c r="E78" s="7" t="s">
        <v>22</v>
      </c>
      <c r="F78" s="7" t="s">
        <v>23</v>
      </c>
      <c r="G78" s="7" t="s">
        <v>64</v>
      </c>
      <c r="H78" s="7" t="s">
        <v>25</v>
      </c>
      <c r="I78" s="7" t="s">
        <v>35</v>
      </c>
      <c r="J78" s="7">
        <v>245</v>
      </c>
      <c r="K78" s="7">
        <v>350.35</v>
      </c>
      <c r="N78" s="4">
        <v>2020</v>
      </c>
      <c r="O78" s="4" t="s">
        <v>67</v>
      </c>
      <c r="P78" s="4" t="s">
        <v>28</v>
      </c>
      <c r="Q78" s="8" t="s">
        <v>32</v>
      </c>
      <c r="R78" s="9">
        <v>2498</v>
      </c>
      <c r="S78" s="9">
        <v>8000</v>
      </c>
      <c r="T78" s="9">
        <v>8960</v>
      </c>
      <c r="U78" s="9">
        <v>1600</v>
      </c>
      <c r="V78" s="10" t="s">
        <v>30</v>
      </c>
    </row>
    <row r="79" spans="1:22" ht="18" customHeight="1" x14ac:dyDescent="0.25">
      <c r="A79" s="7" t="s">
        <v>19</v>
      </c>
      <c r="B79" s="7">
        <v>2020</v>
      </c>
      <c r="C79" s="7" t="s">
        <v>59</v>
      </c>
      <c r="D79" s="7" t="s">
        <v>21</v>
      </c>
      <c r="E79" s="7" t="s">
        <v>22</v>
      </c>
      <c r="F79" s="7" t="s">
        <v>23</v>
      </c>
      <c r="G79" s="7" t="s">
        <v>64</v>
      </c>
      <c r="H79" s="7" t="s">
        <v>25</v>
      </c>
      <c r="I79" s="7" t="s">
        <v>35</v>
      </c>
      <c r="J79" s="7">
        <v>293</v>
      </c>
      <c r="K79" s="7">
        <v>418.99</v>
      </c>
      <c r="N79" s="4">
        <v>2020</v>
      </c>
      <c r="O79" s="4" t="s">
        <v>67</v>
      </c>
      <c r="P79" s="4" t="s">
        <v>36</v>
      </c>
      <c r="Q79" s="8" t="s">
        <v>37</v>
      </c>
      <c r="R79" s="9">
        <v>1245</v>
      </c>
      <c r="S79" s="9">
        <v>4577.2</v>
      </c>
      <c r="T79" s="9">
        <v>5126.4639999999999</v>
      </c>
      <c r="U79" s="9">
        <v>915.44</v>
      </c>
      <c r="V79" s="10" t="s">
        <v>30</v>
      </c>
    </row>
    <row r="80" spans="1:22" ht="18" customHeight="1" x14ac:dyDescent="0.25">
      <c r="A80" s="7" t="s">
        <v>34</v>
      </c>
      <c r="B80" s="7">
        <v>2020</v>
      </c>
      <c r="C80" s="7" t="s">
        <v>59</v>
      </c>
      <c r="D80" s="7" t="s">
        <v>21</v>
      </c>
      <c r="E80" s="7" t="s">
        <v>22</v>
      </c>
      <c r="F80" s="7" t="s">
        <v>23</v>
      </c>
      <c r="G80" s="7" t="s">
        <v>64</v>
      </c>
      <c r="H80" s="7" t="s">
        <v>25</v>
      </c>
      <c r="I80" s="7" t="s">
        <v>35</v>
      </c>
      <c r="J80" s="7">
        <v>770</v>
      </c>
      <c r="K80" s="7">
        <v>1101.0999999999999</v>
      </c>
      <c r="N80" s="4">
        <v>2020</v>
      </c>
      <c r="O80" s="4" t="s">
        <v>67</v>
      </c>
      <c r="P80" s="4" t="s">
        <v>39</v>
      </c>
      <c r="Q80" s="13" t="s">
        <v>40</v>
      </c>
      <c r="R80" s="14">
        <v>644</v>
      </c>
      <c r="S80" s="14">
        <v>5743.5</v>
      </c>
      <c r="T80" s="14">
        <v>6432.72</v>
      </c>
      <c r="U80" s="9">
        <v>1148.7</v>
      </c>
      <c r="V80" s="10" t="s">
        <v>30</v>
      </c>
    </row>
    <row r="81" spans="1:22" ht="18" customHeight="1" x14ac:dyDescent="0.25">
      <c r="A81" s="7" t="s">
        <v>19</v>
      </c>
      <c r="B81" s="7">
        <v>2020</v>
      </c>
      <c r="C81" s="7" t="s">
        <v>27</v>
      </c>
      <c r="D81" s="7" t="s">
        <v>21</v>
      </c>
      <c r="E81" s="7" t="s">
        <v>22</v>
      </c>
      <c r="F81" s="7" t="s">
        <v>23</v>
      </c>
      <c r="G81" s="7" t="s">
        <v>64</v>
      </c>
      <c r="H81" s="7" t="s">
        <v>25</v>
      </c>
      <c r="I81" s="7" t="s">
        <v>35</v>
      </c>
      <c r="J81" s="7">
        <v>254</v>
      </c>
      <c r="K81" s="7">
        <v>388.62</v>
      </c>
      <c r="N81" s="4">
        <v>2020</v>
      </c>
      <c r="O81" s="4" t="s">
        <v>67</v>
      </c>
      <c r="P81" s="4" t="s">
        <v>43</v>
      </c>
      <c r="Q81" s="13" t="s">
        <v>44</v>
      </c>
      <c r="R81" s="14">
        <v>643</v>
      </c>
      <c r="S81" s="14">
        <v>7000</v>
      </c>
      <c r="T81" s="14">
        <v>7840</v>
      </c>
      <c r="U81" s="9">
        <v>1400</v>
      </c>
      <c r="V81" s="10" t="s">
        <v>30</v>
      </c>
    </row>
    <row r="82" spans="1:22" ht="18" customHeight="1" x14ac:dyDescent="0.25">
      <c r="A82" s="7" t="s">
        <v>19</v>
      </c>
      <c r="B82" s="7">
        <v>2020</v>
      </c>
      <c r="C82" s="7" t="s">
        <v>27</v>
      </c>
      <c r="D82" s="7" t="s">
        <v>21</v>
      </c>
      <c r="E82" s="7" t="s">
        <v>22</v>
      </c>
      <c r="F82" s="7" t="s">
        <v>23</v>
      </c>
      <c r="G82" s="7" t="s">
        <v>64</v>
      </c>
      <c r="H82" s="7" t="s">
        <v>25</v>
      </c>
      <c r="I82" s="7" t="s">
        <v>35</v>
      </c>
      <c r="J82" s="7">
        <v>296</v>
      </c>
      <c r="K82" s="7">
        <v>423.28</v>
      </c>
      <c r="N82" s="4">
        <v>2020</v>
      </c>
      <c r="O82" s="4" t="s">
        <v>67</v>
      </c>
      <c r="P82" s="4" t="s">
        <v>39</v>
      </c>
      <c r="Q82" s="13" t="s">
        <v>46</v>
      </c>
      <c r="R82" s="14">
        <v>455</v>
      </c>
      <c r="S82" s="14">
        <v>4578.6000000000004</v>
      </c>
      <c r="T82" s="14">
        <v>5128.0320000000002</v>
      </c>
      <c r="U82" s="9">
        <v>915.72000000000014</v>
      </c>
      <c r="V82" s="10" t="s">
        <v>30</v>
      </c>
    </row>
    <row r="83" spans="1:22" ht="18" customHeight="1" x14ac:dyDescent="0.25">
      <c r="A83" s="7" t="s">
        <v>42</v>
      </c>
      <c r="B83" s="7">
        <v>2020</v>
      </c>
      <c r="C83" s="7" t="s">
        <v>27</v>
      </c>
      <c r="D83" s="7" t="s">
        <v>21</v>
      </c>
      <c r="E83" s="7" t="s">
        <v>22</v>
      </c>
      <c r="F83" s="7" t="s">
        <v>23</v>
      </c>
      <c r="G83" s="7" t="s">
        <v>64</v>
      </c>
      <c r="H83" s="7" t="s">
        <v>25</v>
      </c>
      <c r="I83" s="7" t="s">
        <v>35</v>
      </c>
      <c r="J83" s="7">
        <v>224</v>
      </c>
      <c r="K83" s="7">
        <v>320.32</v>
      </c>
      <c r="N83" s="4">
        <v>2020</v>
      </c>
      <c r="O83" s="4" t="s">
        <v>67</v>
      </c>
      <c r="P83" s="4" t="s">
        <v>43</v>
      </c>
      <c r="Q83" s="13" t="s">
        <v>48</v>
      </c>
      <c r="R83" s="15">
        <v>345</v>
      </c>
      <c r="S83" s="15">
        <v>7000</v>
      </c>
      <c r="T83" s="15">
        <v>7840</v>
      </c>
      <c r="U83" s="9">
        <v>1400</v>
      </c>
      <c r="V83" s="10" t="s">
        <v>30</v>
      </c>
    </row>
    <row r="84" spans="1:22" ht="18" customHeight="1" x14ac:dyDescent="0.25">
      <c r="A84" s="7" t="s">
        <v>34</v>
      </c>
      <c r="B84" s="7">
        <v>2020</v>
      </c>
      <c r="C84" s="7" t="s">
        <v>27</v>
      </c>
      <c r="D84" s="7" t="s">
        <v>21</v>
      </c>
      <c r="E84" s="7" t="s">
        <v>22</v>
      </c>
      <c r="F84" s="7" t="s">
        <v>23</v>
      </c>
      <c r="G84" s="7" t="s">
        <v>64</v>
      </c>
      <c r="H84" s="7" t="s">
        <v>25</v>
      </c>
      <c r="I84" s="7" t="s">
        <v>26</v>
      </c>
      <c r="J84" s="7">
        <v>370</v>
      </c>
      <c r="K84" s="7">
        <v>529.1</v>
      </c>
      <c r="N84" s="4">
        <v>2020</v>
      </c>
      <c r="O84" s="4" t="s">
        <v>67</v>
      </c>
      <c r="P84" s="4" t="s">
        <v>36</v>
      </c>
      <c r="Q84" s="8" t="s">
        <v>49</v>
      </c>
      <c r="R84" s="9">
        <v>122</v>
      </c>
      <c r="S84" s="9">
        <v>100</v>
      </c>
      <c r="T84" s="9">
        <v>112</v>
      </c>
      <c r="U84" s="9">
        <v>20</v>
      </c>
      <c r="V84" s="10" t="s">
        <v>30</v>
      </c>
    </row>
    <row r="85" spans="1:22" ht="18" customHeight="1" x14ac:dyDescent="0.25">
      <c r="A85" s="7" t="s">
        <v>34</v>
      </c>
      <c r="B85" s="7">
        <v>2020</v>
      </c>
      <c r="C85" s="7" t="s">
        <v>27</v>
      </c>
      <c r="D85" s="7" t="s">
        <v>21</v>
      </c>
      <c r="E85" s="7" t="s">
        <v>22</v>
      </c>
      <c r="F85" s="7" t="s">
        <v>23</v>
      </c>
      <c r="G85" s="7" t="s">
        <v>64</v>
      </c>
      <c r="H85" s="7" t="s">
        <v>25</v>
      </c>
      <c r="I85" s="7" t="s">
        <v>35</v>
      </c>
      <c r="J85" s="7">
        <v>250</v>
      </c>
      <c r="K85" s="7">
        <v>357.5</v>
      </c>
      <c r="N85" s="4">
        <v>2020</v>
      </c>
      <c r="O85" s="4" t="s">
        <v>67</v>
      </c>
      <c r="P85" s="4" t="s">
        <v>50</v>
      </c>
      <c r="Q85" s="13" t="s">
        <v>51</v>
      </c>
      <c r="R85" s="14">
        <v>78</v>
      </c>
      <c r="S85" s="14">
        <v>4577.2</v>
      </c>
      <c r="T85" s="14">
        <v>5126.4639999999999</v>
      </c>
      <c r="U85" s="9">
        <v>915.44</v>
      </c>
      <c r="V85" s="10" t="s">
        <v>30</v>
      </c>
    </row>
    <row r="86" spans="1:22" ht="18" customHeight="1" x14ac:dyDescent="0.25">
      <c r="A86" s="7" t="s">
        <v>34</v>
      </c>
      <c r="B86" s="7">
        <v>2020</v>
      </c>
      <c r="C86" s="7" t="s">
        <v>27</v>
      </c>
      <c r="D86" s="7" t="s">
        <v>21</v>
      </c>
      <c r="E86" s="7" t="s">
        <v>22</v>
      </c>
      <c r="F86" s="7" t="s">
        <v>23</v>
      </c>
      <c r="G86" s="7" t="s">
        <v>64</v>
      </c>
      <c r="H86" s="7" t="s">
        <v>25</v>
      </c>
      <c r="I86" s="7" t="s">
        <v>35</v>
      </c>
      <c r="J86" s="7">
        <v>298</v>
      </c>
      <c r="K86" s="7">
        <v>426.14</v>
      </c>
      <c r="N86" s="4">
        <v>2020</v>
      </c>
      <c r="O86" s="4" t="s">
        <v>67</v>
      </c>
      <c r="P86" s="4" t="s">
        <v>50</v>
      </c>
      <c r="Q86" s="13" t="s">
        <v>52</v>
      </c>
      <c r="R86" s="14">
        <v>76</v>
      </c>
      <c r="S86" s="14">
        <v>4576.8999999999996</v>
      </c>
      <c r="T86" s="14">
        <v>5126.1279999999997</v>
      </c>
      <c r="U86" s="9">
        <v>915.38</v>
      </c>
      <c r="V86" s="10" t="s">
        <v>30</v>
      </c>
    </row>
    <row r="87" spans="1:22" ht="18" customHeight="1" x14ac:dyDescent="0.25">
      <c r="A87" s="7" t="s">
        <v>42</v>
      </c>
      <c r="B87" s="7">
        <v>2020</v>
      </c>
      <c r="C87" s="7" t="s">
        <v>27</v>
      </c>
      <c r="D87" s="7" t="s">
        <v>21</v>
      </c>
      <c r="E87" s="7" t="s">
        <v>22</v>
      </c>
      <c r="F87" s="7" t="s">
        <v>23</v>
      </c>
      <c r="G87" s="7" t="s">
        <v>64</v>
      </c>
      <c r="H87" s="7" t="s">
        <v>25</v>
      </c>
      <c r="I87" s="7" t="s">
        <v>35</v>
      </c>
      <c r="J87" s="7">
        <v>226</v>
      </c>
      <c r="K87" s="7">
        <v>323.18</v>
      </c>
      <c r="N87" s="4">
        <v>2020</v>
      </c>
      <c r="O87" s="4" t="s">
        <v>67</v>
      </c>
      <c r="P87" s="4" t="s">
        <v>50</v>
      </c>
      <c r="Q87" s="13" t="s">
        <v>54</v>
      </c>
      <c r="R87" s="14">
        <v>46</v>
      </c>
      <c r="S87" s="14">
        <v>200</v>
      </c>
      <c r="T87" s="14">
        <v>224</v>
      </c>
      <c r="U87" s="9">
        <v>40</v>
      </c>
      <c r="V87" s="10" t="s">
        <v>30</v>
      </c>
    </row>
    <row r="88" spans="1:22" ht="18" customHeight="1" x14ac:dyDescent="0.25">
      <c r="A88" s="7" t="s">
        <v>42</v>
      </c>
      <c r="B88" s="7">
        <v>2020</v>
      </c>
      <c r="C88" s="7" t="s">
        <v>27</v>
      </c>
      <c r="D88" s="7" t="s">
        <v>21</v>
      </c>
      <c r="E88" s="7" t="s">
        <v>22</v>
      </c>
      <c r="F88" s="7" t="s">
        <v>23</v>
      </c>
      <c r="G88" s="7" t="s">
        <v>64</v>
      </c>
      <c r="H88" s="7" t="s">
        <v>25</v>
      </c>
      <c r="I88" s="7" t="s">
        <v>26</v>
      </c>
      <c r="J88" s="7">
        <v>372</v>
      </c>
      <c r="K88" s="7">
        <v>526.24</v>
      </c>
      <c r="N88" s="4">
        <v>2020</v>
      </c>
      <c r="O88" s="4" t="s">
        <v>67</v>
      </c>
      <c r="P88" s="4" t="s">
        <v>50</v>
      </c>
      <c r="Q88" s="13" t="s">
        <v>55</v>
      </c>
      <c r="R88" s="14">
        <v>34</v>
      </c>
      <c r="S88" s="14">
        <v>4576.8</v>
      </c>
      <c r="T88" s="14">
        <v>5126.0160000000005</v>
      </c>
      <c r="U88" s="9">
        <v>915.36000000000013</v>
      </c>
      <c r="V88" s="10" t="s">
        <v>30</v>
      </c>
    </row>
    <row r="89" spans="1:22" ht="18" customHeight="1" x14ac:dyDescent="0.25">
      <c r="A89" s="7" t="s">
        <v>53</v>
      </c>
      <c r="B89" s="7">
        <v>2020</v>
      </c>
      <c r="C89" s="7" t="s">
        <v>27</v>
      </c>
      <c r="D89" s="7" t="s">
        <v>21</v>
      </c>
      <c r="E89" s="7" t="s">
        <v>22</v>
      </c>
      <c r="F89" s="7" t="s">
        <v>23</v>
      </c>
      <c r="G89" s="7" t="s">
        <v>64</v>
      </c>
      <c r="H89" s="7" t="s">
        <v>25</v>
      </c>
      <c r="I89" s="7" t="s">
        <v>35</v>
      </c>
      <c r="J89" s="7">
        <v>674</v>
      </c>
      <c r="K89" s="7">
        <v>963.81999999999994</v>
      </c>
      <c r="N89" s="4">
        <v>2020</v>
      </c>
      <c r="O89" s="4" t="s">
        <v>67</v>
      </c>
      <c r="P89" s="4" t="s">
        <v>36</v>
      </c>
      <c r="Q89" s="8" t="s">
        <v>56</v>
      </c>
      <c r="R89" s="9">
        <v>7</v>
      </c>
      <c r="S89" s="9">
        <v>200</v>
      </c>
      <c r="T89" s="9">
        <v>224</v>
      </c>
      <c r="U89" s="9">
        <v>40</v>
      </c>
      <c r="V89" s="10" t="s">
        <v>30</v>
      </c>
    </row>
    <row r="90" spans="1:22" ht="18" customHeight="1" x14ac:dyDescent="0.25">
      <c r="A90" s="7" t="s">
        <v>42</v>
      </c>
      <c r="B90" s="7">
        <v>2020</v>
      </c>
      <c r="C90" s="7" t="s">
        <v>27</v>
      </c>
      <c r="D90" s="7" t="s">
        <v>21</v>
      </c>
      <c r="E90" s="7" t="s">
        <v>22</v>
      </c>
      <c r="F90" s="7" t="s">
        <v>23</v>
      </c>
      <c r="G90" s="7" t="s">
        <v>64</v>
      </c>
      <c r="H90" s="7" t="s">
        <v>25</v>
      </c>
      <c r="I90" s="7" t="s">
        <v>35</v>
      </c>
      <c r="J90" s="7">
        <v>707</v>
      </c>
      <c r="K90" s="7">
        <v>1011.01</v>
      </c>
      <c r="N90" s="4">
        <v>2020</v>
      </c>
      <c r="O90" s="4" t="s">
        <v>67</v>
      </c>
      <c r="P90" s="4" t="s">
        <v>57</v>
      </c>
      <c r="Q90" s="13" t="s">
        <v>57</v>
      </c>
      <c r="R90" s="14">
        <v>3</v>
      </c>
      <c r="S90" s="14">
        <v>6600</v>
      </c>
      <c r="T90" s="14">
        <v>7392</v>
      </c>
      <c r="U90" s="9">
        <v>1320</v>
      </c>
      <c r="V90" s="10" t="s">
        <v>30</v>
      </c>
    </row>
    <row r="91" spans="1:22" ht="18" customHeight="1" x14ac:dyDescent="0.25">
      <c r="A91" s="7" t="s">
        <v>19</v>
      </c>
      <c r="B91" s="7">
        <v>2020</v>
      </c>
      <c r="C91" s="7" t="s">
        <v>27</v>
      </c>
      <c r="D91" s="7" t="s">
        <v>21</v>
      </c>
      <c r="E91" s="7" t="s">
        <v>22</v>
      </c>
      <c r="F91" s="7" t="s">
        <v>23</v>
      </c>
      <c r="G91" s="7" t="s">
        <v>64</v>
      </c>
      <c r="H91" s="7" t="s">
        <v>25</v>
      </c>
      <c r="I91" s="7" t="s">
        <v>35</v>
      </c>
      <c r="J91" s="7">
        <v>747</v>
      </c>
      <c r="K91" s="7">
        <v>526.24</v>
      </c>
      <c r="N91" s="4">
        <v>2020</v>
      </c>
      <c r="O91" s="4" t="s">
        <v>67</v>
      </c>
      <c r="P91" s="4" t="s">
        <v>50</v>
      </c>
      <c r="Q91" s="13" t="s">
        <v>58</v>
      </c>
      <c r="R91" s="14">
        <v>3</v>
      </c>
      <c r="S91" s="14">
        <v>4577.3</v>
      </c>
      <c r="T91" s="14">
        <v>5126.576</v>
      </c>
      <c r="U91" s="9">
        <v>915.46</v>
      </c>
      <c r="V91" s="10" t="s">
        <v>30</v>
      </c>
    </row>
    <row r="92" spans="1:22" ht="18" customHeight="1" x14ac:dyDescent="0.25">
      <c r="A92" s="7" t="s">
        <v>53</v>
      </c>
      <c r="B92" s="7">
        <v>2020</v>
      </c>
      <c r="C92" s="7" t="s">
        <v>27</v>
      </c>
      <c r="D92" s="7" t="s">
        <v>21</v>
      </c>
      <c r="E92" s="7" t="s">
        <v>22</v>
      </c>
      <c r="F92" s="7" t="s">
        <v>23</v>
      </c>
      <c r="G92" s="7" t="s">
        <v>64</v>
      </c>
      <c r="H92" s="7" t="s">
        <v>25</v>
      </c>
      <c r="I92" s="7" t="s">
        <v>35</v>
      </c>
      <c r="J92" s="7">
        <v>800</v>
      </c>
      <c r="K92" s="7">
        <v>526.24</v>
      </c>
      <c r="N92" s="4">
        <v>2020</v>
      </c>
      <c r="O92" s="4" t="s">
        <v>68</v>
      </c>
      <c r="P92" s="4" t="s">
        <v>28</v>
      </c>
      <c r="Q92" s="8" t="s">
        <v>29</v>
      </c>
      <c r="R92" s="9">
        <v>3566</v>
      </c>
      <c r="S92" s="9">
        <v>4577.3</v>
      </c>
      <c r="T92" s="9">
        <v>5126.576</v>
      </c>
      <c r="U92" s="9">
        <v>915.46</v>
      </c>
      <c r="V92" s="10" t="s">
        <v>30</v>
      </c>
    </row>
    <row r="93" spans="1:22" ht="18" customHeight="1" x14ac:dyDescent="0.25">
      <c r="A93" s="7" t="s">
        <v>42</v>
      </c>
      <c r="B93" s="7">
        <v>2020</v>
      </c>
      <c r="C93" s="7" t="s">
        <v>27</v>
      </c>
      <c r="D93" s="7" t="s">
        <v>21</v>
      </c>
      <c r="E93" s="7" t="s">
        <v>22</v>
      </c>
      <c r="F93" s="7" t="s">
        <v>23</v>
      </c>
      <c r="G93" s="7" t="s">
        <v>64</v>
      </c>
      <c r="H93" s="7" t="s">
        <v>25</v>
      </c>
      <c r="I93" s="7" t="s">
        <v>35</v>
      </c>
      <c r="J93" s="7">
        <v>253</v>
      </c>
      <c r="K93" s="7">
        <v>361.78999999999996</v>
      </c>
      <c r="N93" s="4">
        <v>2020</v>
      </c>
      <c r="O93" s="4" t="s">
        <v>68</v>
      </c>
      <c r="P93" s="4" t="s">
        <v>28</v>
      </c>
      <c r="Q93" s="8" t="s">
        <v>32</v>
      </c>
      <c r="R93" s="9">
        <v>2498</v>
      </c>
      <c r="S93" s="9">
        <v>8000</v>
      </c>
      <c r="T93" s="9">
        <v>8960</v>
      </c>
      <c r="U93" s="9">
        <v>1600</v>
      </c>
      <c r="V93" s="10" t="s">
        <v>30</v>
      </c>
    </row>
    <row r="94" spans="1:22" ht="18" customHeight="1" x14ac:dyDescent="0.25">
      <c r="A94" s="7" t="s">
        <v>34</v>
      </c>
      <c r="B94" s="7">
        <v>2020</v>
      </c>
      <c r="C94" s="7" t="s">
        <v>27</v>
      </c>
      <c r="D94" s="7" t="s">
        <v>21</v>
      </c>
      <c r="E94" s="7" t="s">
        <v>22</v>
      </c>
      <c r="F94" s="7" t="s">
        <v>23</v>
      </c>
      <c r="G94" s="7" t="s">
        <v>64</v>
      </c>
      <c r="H94" s="7" t="s">
        <v>25</v>
      </c>
      <c r="I94" s="7" t="s">
        <v>35</v>
      </c>
      <c r="J94" s="7">
        <v>223</v>
      </c>
      <c r="K94" s="7">
        <v>318.89</v>
      </c>
      <c r="N94" s="4">
        <v>2020</v>
      </c>
      <c r="O94" s="4" t="s">
        <v>68</v>
      </c>
      <c r="P94" s="4" t="s">
        <v>36</v>
      </c>
      <c r="Q94" s="8" t="s">
        <v>37</v>
      </c>
      <c r="R94" s="9">
        <v>1245</v>
      </c>
      <c r="S94" s="9">
        <v>4577.2</v>
      </c>
      <c r="T94" s="9">
        <v>5126.4639999999999</v>
      </c>
      <c r="U94" s="9">
        <v>915.44</v>
      </c>
      <c r="V94" s="10" t="s">
        <v>30</v>
      </c>
    </row>
    <row r="95" spans="1:22" ht="18" customHeight="1" x14ac:dyDescent="0.25">
      <c r="A95" s="7" t="s">
        <v>19</v>
      </c>
      <c r="B95" s="7">
        <v>2020</v>
      </c>
      <c r="C95" s="7" t="s">
        <v>27</v>
      </c>
      <c r="D95" s="7" t="s">
        <v>21</v>
      </c>
      <c r="E95" s="7" t="s">
        <v>22</v>
      </c>
      <c r="F95" s="7" t="s">
        <v>23</v>
      </c>
      <c r="G95" s="7" t="s">
        <v>64</v>
      </c>
      <c r="H95" s="7" t="s">
        <v>25</v>
      </c>
      <c r="I95" s="7" t="s">
        <v>26</v>
      </c>
      <c r="J95" s="7">
        <v>873</v>
      </c>
      <c r="K95" s="7">
        <v>1248.3899999999999</v>
      </c>
      <c r="N95" s="4">
        <v>2020</v>
      </c>
      <c r="O95" s="4" t="s">
        <v>68</v>
      </c>
      <c r="P95" s="4" t="s">
        <v>39</v>
      </c>
      <c r="Q95" s="13" t="s">
        <v>40</v>
      </c>
      <c r="R95" s="14">
        <v>644</v>
      </c>
      <c r="S95" s="14">
        <v>5743.5</v>
      </c>
      <c r="T95" s="14">
        <v>6432.72</v>
      </c>
      <c r="U95" s="9">
        <v>1148.7</v>
      </c>
      <c r="V95" s="10" t="s">
        <v>30</v>
      </c>
    </row>
    <row r="96" spans="1:22" ht="18" customHeight="1" x14ac:dyDescent="0.25">
      <c r="A96" s="7" t="s">
        <v>42</v>
      </c>
      <c r="B96" s="7">
        <v>2020</v>
      </c>
      <c r="C96" s="7" t="s">
        <v>27</v>
      </c>
      <c r="D96" s="7" t="s">
        <v>21</v>
      </c>
      <c r="E96" s="7" t="s">
        <v>22</v>
      </c>
      <c r="F96" s="7" t="s">
        <v>23</v>
      </c>
      <c r="G96" s="7" t="s">
        <v>64</v>
      </c>
      <c r="H96" s="7" t="s">
        <v>25</v>
      </c>
      <c r="I96" s="7" t="s">
        <v>35</v>
      </c>
      <c r="J96" s="7">
        <v>251</v>
      </c>
      <c r="K96" s="7">
        <v>358.93</v>
      </c>
      <c r="N96" s="4">
        <v>2020</v>
      </c>
      <c r="O96" s="4" t="s">
        <v>68</v>
      </c>
      <c r="P96" s="4" t="s">
        <v>43</v>
      </c>
      <c r="Q96" s="13" t="s">
        <v>44</v>
      </c>
      <c r="R96" s="14">
        <v>643</v>
      </c>
      <c r="S96" s="14">
        <v>7000</v>
      </c>
      <c r="T96" s="14">
        <v>7840</v>
      </c>
      <c r="U96" s="9">
        <v>1400</v>
      </c>
      <c r="V96" s="10" t="s">
        <v>30</v>
      </c>
    </row>
    <row r="97" spans="1:22" ht="18" customHeight="1" x14ac:dyDescent="0.25">
      <c r="A97" s="7" t="s">
        <v>19</v>
      </c>
      <c r="B97" s="7">
        <v>2020</v>
      </c>
      <c r="C97" s="7" t="s">
        <v>27</v>
      </c>
      <c r="D97" s="7" t="s">
        <v>21</v>
      </c>
      <c r="E97" s="7" t="s">
        <v>22</v>
      </c>
      <c r="F97" s="7" t="s">
        <v>23</v>
      </c>
      <c r="G97" s="7" t="s">
        <v>64</v>
      </c>
      <c r="H97" s="7" t="s">
        <v>25</v>
      </c>
      <c r="I97" s="7" t="s">
        <v>35</v>
      </c>
      <c r="J97" s="7">
        <v>299</v>
      </c>
      <c r="K97" s="7">
        <v>427.57</v>
      </c>
      <c r="N97" s="4">
        <v>2020</v>
      </c>
      <c r="O97" s="4" t="s">
        <v>68</v>
      </c>
      <c r="P97" s="4" t="s">
        <v>39</v>
      </c>
      <c r="Q97" s="13" t="s">
        <v>46</v>
      </c>
      <c r="R97" s="14">
        <v>455</v>
      </c>
      <c r="S97" s="14">
        <v>4578.6000000000004</v>
      </c>
      <c r="T97" s="14">
        <v>5128.0320000000002</v>
      </c>
      <c r="U97" s="9">
        <v>915.72000000000014</v>
      </c>
      <c r="V97" s="10" t="s">
        <v>30</v>
      </c>
    </row>
    <row r="98" spans="1:22" ht="18" customHeight="1" x14ac:dyDescent="0.25">
      <c r="A98" s="7" t="s">
        <v>19</v>
      </c>
      <c r="B98" s="7">
        <v>2020</v>
      </c>
      <c r="C98" s="7" t="s">
        <v>27</v>
      </c>
      <c r="D98" s="7" t="s">
        <v>21</v>
      </c>
      <c r="E98" s="7" t="s">
        <v>22</v>
      </c>
      <c r="F98" s="7" t="s">
        <v>23</v>
      </c>
      <c r="G98" s="7" t="s">
        <v>64</v>
      </c>
      <c r="H98" s="7" t="s">
        <v>25</v>
      </c>
      <c r="I98" s="7" t="s">
        <v>35</v>
      </c>
      <c r="J98" s="7">
        <v>769</v>
      </c>
      <c r="K98" s="7">
        <v>1099.67</v>
      </c>
      <c r="N98" s="4">
        <v>2020</v>
      </c>
      <c r="O98" s="4" t="s">
        <v>68</v>
      </c>
      <c r="P98" s="4" t="s">
        <v>43</v>
      </c>
      <c r="Q98" s="13" t="s">
        <v>48</v>
      </c>
      <c r="R98" s="15">
        <v>345</v>
      </c>
      <c r="S98" s="15">
        <v>7000</v>
      </c>
      <c r="T98" s="15">
        <v>7840</v>
      </c>
      <c r="U98" s="9">
        <v>1400</v>
      </c>
      <c r="V98" s="10" t="s">
        <v>30</v>
      </c>
    </row>
    <row r="99" spans="1:22" ht="18" customHeight="1" x14ac:dyDescent="0.25">
      <c r="A99" s="7" t="s">
        <v>19</v>
      </c>
      <c r="B99" s="7">
        <v>2020</v>
      </c>
      <c r="C99" s="7" t="s">
        <v>68</v>
      </c>
      <c r="D99" s="7" t="s">
        <v>21</v>
      </c>
      <c r="E99" s="7" t="s">
        <v>22</v>
      </c>
      <c r="F99" s="7" t="s">
        <v>23</v>
      </c>
      <c r="G99" s="7" t="s">
        <v>64</v>
      </c>
      <c r="H99" s="7" t="s">
        <v>25</v>
      </c>
      <c r="I99" s="7" t="s">
        <v>26</v>
      </c>
      <c r="J99" s="7">
        <v>302</v>
      </c>
      <c r="K99" s="7">
        <v>431.86</v>
      </c>
      <c r="N99" s="4">
        <v>2020</v>
      </c>
      <c r="O99" s="4" t="s">
        <v>68</v>
      </c>
      <c r="P99" s="4" t="s">
        <v>36</v>
      </c>
      <c r="Q99" s="8" t="s">
        <v>49</v>
      </c>
      <c r="R99" s="9">
        <v>122</v>
      </c>
      <c r="S99" s="9">
        <v>100</v>
      </c>
      <c r="T99" s="9">
        <v>112</v>
      </c>
      <c r="U99" s="9">
        <v>20</v>
      </c>
      <c r="V99" s="10" t="s">
        <v>30</v>
      </c>
    </row>
    <row r="100" spans="1:22" ht="18" customHeight="1" x14ac:dyDescent="0.25">
      <c r="A100" s="7" t="s">
        <v>34</v>
      </c>
      <c r="B100" s="7">
        <v>2020</v>
      </c>
      <c r="C100" s="7" t="s">
        <v>68</v>
      </c>
      <c r="D100" s="7" t="s">
        <v>21</v>
      </c>
      <c r="E100" s="7" t="s">
        <v>22</v>
      </c>
      <c r="F100" s="7" t="s">
        <v>23</v>
      </c>
      <c r="G100" s="7" t="s">
        <v>64</v>
      </c>
      <c r="H100" s="7" t="s">
        <v>25</v>
      </c>
      <c r="I100" s="7" t="s">
        <v>26</v>
      </c>
      <c r="J100" s="7">
        <v>296</v>
      </c>
      <c r="K100" s="7">
        <v>423.28</v>
      </c>
      <c r="N100" s="4">
        <v>2020</v>
      </c>
      <c r="O100" s="4" t="s">
        <v>68</v>
      </c>
      <c r="P100" s="4" t="s">
        <v>50</v>
      </c>
      <c r="Q100" s="13" t="s">
        <v>51</v>
      </c>
      <c r="R100" s="14">
        <v>78</v>
      </c>
      <c r="S100" s="14">
        <v>4577.2</v>
      </c>
      <c r="T100" s="14">
        <v>5126.4639999999999</v>
      </c>
      <c r="U100" s="9">
        <v>915.44</v>
      </c>
      <c r="V100" s="10" t="s">
        <v>30</v>
      </c>
    </row>
    <row r="101" spans="1:22" ht="18" customHeight="1" x14ac:dyDescent="0.25">
      <c r="A101" s="7" t="s">
        <v>34</v>
      </c>
      <c r="B101" s="7">
        <v>2020</v>
      </c>
      <c r="C101" s="7" t="s">
        <v>68</v>
      </c>
      <c r="D101" s="7" t="s">
        <v>21</v>
      </c>
      <c r="E101" s="7" t="s">
        <v>22</v>
      </c>
      <c r="F101" s="7" t="s">
        <v>23</v>
      </c>
      <c r="G101" s="7" t="s">
        <v>64</v>
      </c>
      <c r="H101" s="7" t="s">
        <v>25</v>
      </c>
      <c r="I101" s="7" t="s">
        <v>35</v>
      </c>
      <c r="J101" s="7">
        <v>218</v>
      </c>
      <c r="K101" s="7">
        <v>311.74</v>
      </c>
      <c r="N101" s="4">
        <v>2020</v>
      </c>
      <c r="O101" s="4" t="s">
        <v>68</v>
      </c>
      <c r="P101" s="4" t="s">
        <v>50</v>
      </c>
      <c r="Q101" s="13" t="s">
        <v>52</v>
      </c>
      <c r="R101" s="14">
        <v>76</v>
      </c>
      <c r="S101" s="14">
        <v>4576.8999999999996</v>
      </c>
      <c r="T101" s="14">
        <v>5126.1279999999997</v>
      </c>
      <c r="U101" s="9">
        <v>915.38</v>
      </c>
      <c r="V101" s="10" t="s">
        <v>30</v>
      </c>
    </row>
    <row r="102" spans="1:22" ht="18" customHeight="1" x14ac:dyDescent="0.25">
      <c r="A102" s="7" t="s">
        <v>19</v>
      </c>
      <c r="B102" s="7">
        <v>2020</v>
      </c>
      <c r="C102" s="7" t="s">
        <v>68</v>
      </c>
      <c r="D102" s="7" t="s">
        <v>21</v>
      </c>
      <c r="E102" s="7" t="s">
        <v>22</v>
      </c>
      <c r="F102" s="7" t="s">
        <v>23</v>
      </c>
      <c r="G102" s="7" t="s">
        <v>64</v>
      </c>
      <c r="H102" s="7" t="s">
        <v>25</v>
      </c>
      <c r="I102" s="7" t="s">
        <v>35</v>
      </c>
      <c r="J102" s="7">
        <v>266</v>
      </c>
      <c r="K102" s="7">
        <v>380.38</v>
      </c>
      <c r="N102" s="4">
        <v>2020</v>
      </c>
      <c r="O102" s="4" t="s">
        <v>68</v>
      </c>
      <c r="P102" s="4" t="s">
        <v>50</v>
      </c>
      <c r="Q102" s="13" t="s">
        <v>54</v>
      </c>
      <c r="R102" s="14">
        <v>46</v>
      </c>
      <c r="S102" s="14">
        <v>200</v>
      </c>
      <c r="T102" s="14">
        <v>224</v>
      </c>
      <c r="U102" s="9">
        <v>40</v>
      </c>
      <c r="V102" s="10" t="s">
        <v>30</v>
      </c>
    </row>
    <row r="103" spans="1:22" ht="18" customHeight="1" x14ac:dyDescent="0.25">
      <c r="A103" s="7" t="s">
        <v>34</v>
      </c>
      <c r="B103" s="7">
        <v>2020</v>
      </c>
      <c r="C103" s="7" t="s">
        <v>68</v>
      </c>
      <c r="D103" s="7" t="s">
        <v>21</v>
      </c>
      <c r="E103" s="7" t="s">
        <v>22</v>
      </c>
      <c r="F103" s="7" t="s">
        <v>23</v>
      </c>
      <c r="G103" s="7" t="s">
        <v>64</v>
      </c>
      <c r="H103" s="7" t="s">
        <v>25</v>
      </c>
      <c r="I103" s="7" t="s">
        <v>35</v>
      </c>
      <c r="J103" s="7">
        <v>194</v>
      </c>
      <c r="K103" s="7">
        <v>277.42</v>
      </c>
      <c r="N103" s="4">
        <v>2020</v>
      </c>
      <c r="O103" s="4" t="s">
        <v>68</v>
      </c>
      <c r="P103" s="4" t="s">
        <v>50</v>
      </c>
      <c r="Q103" s="13" t="s">
        <v>55</v>
      </c>
      <c r="R103" s="14">
        <v>34</v>
      </c>
      <c r="S103" s="14">
        <v>4576.8</v>
      </c>
      <c r="T103" s="14">
        <v>5126.0160000000005</v>
      </c>
      <c r="U103" s="9">
        <v>915.36000000000013</v>
      </c>
      <c r="V103" s="10" t="s">
        <v>30</v>
      </c>
    </row>
    <row r="104" spans="1:22" ht="18" customHeight="1" x14ac:dyDescent="0.25">
      <c r="A104" s="7" t="s">
        <v>19</v>
      </c>
      <c r="B104" s="7">
        <v>2020</v>
      </c>
      <c r="C104" s="7" t="s">
        <v>68</v>
      </c>
      <c r="D104" s="7" t="s">
        <v>21</v>
      </c>
      <c r="E104" s="7" t="s">
        <v>22</v>
      </c>
      <c r="F104" s="7" t="s">
        <v>23</v>
      </c>
      <c r="G104" s="7" t="s">
        <v>64</v>
      </c>
      <c r="H104" s="7" t="s">
        <v>25</v>
      </c>
      <c r="I104" s="7" t="s">
        <v>35</v>
      </c>
      <c r="J104" s="7">
        <v>220</v>
      </c>
      <c r="K104" s="7">
        <v>314.60000000000002</v>
      </c>
      <c r="N104" s="4">
        <v>2020</v>
      </c>
      <c r="O104" s="4" t="s">
        <v>68</v>
      </c>
      <c r="P104" s="4" t="s">
        <v>36</v>
      </c>
      <c r="Q104" s="8" t="s">
        <v>56</v>
      </c>
      <c r="R104" s="9">
        <v>7</v>
      </c>
      <c r="S104" s="9">
        <v>200</v>
      </c>
      <c r="T104" s="9">
        <v>224</v>
      </c>
      <c r="U104" s="9">
        <v>40</v>
      </c>
      <c r="V104" s="10" t="s">
        <v>30</v>
      </c>
    </row>
    <row r="105" spans="1:22" ht="18" customHeight="1" x14ac:dyDescent="0.25">
      <c r="A105" s="7" t="s">
        <v>19</v>
      </c>
      <c r="B105" s="7">
        <v>2020</v>
      </c>
      <c r="C105" s="7" t="s">
        <v>68</v>
      </c>
      <c r="D105" s="7" t="s">
        <v>21</v>
      </c>
      <c r="E105" s="7" t="s">
        <v>22</v>
      </c>
      <c r="F105" s="7" t="s">
        <v>23</v>
      </c>
      <c r="G105" s="7" t="s">
        <v>64</v>
      </c>
      <c r="H105" s="7" t="s">
        <v>25</v>
      </c>
      <c r="I105" s="7" t="s">
        <v>35</v>
      </c>
      <c r="J105" s="7">
        <v>268</v>
      </c>
      <c r="K105" s="7">
        <v>383.24</v>
      </c>
      <c r="N105" s="4">
        <v>2020</v>
      </c>
      <c r="O105" s="4" t="s">
        <v>68</v>
      </c>
      <c r="P105" s="4" t="s">
        <v>50</v>
      </c>
      <c r="Q105" s="13" t="s">
        <v>58</v>
      </c>
      <c r="R105" s="14">
        <v>3</v>
      </c>
      <c r="S105" s="14">
        <v>4577.3</v>
      </c>
      <c r="T105" s="14">
        <v>5126.576</v>
      </c>
      <c r="U105" s="9">
        <v>915.46</v>
      </c>
      <c r="V105" s="10" t="s">
        <v>30</v>
      </c>
    </row>
    <row r="106" spans="1:22" ht="18" customHeight="1" x14ac:dyDescent="0.25">
      <c r="A106" s="7" t="s">
        <v>34</v>
      </c>
      <c r="B106" s="7">
        <v>2020</v>
      </c>
      <c r="C106" s="7" t="s">
        <v>68</v>
      </c>
      <c r="D106" s="7" t="s">
        <v>21</v>
      </c>
      <c r="E106" s="7" t="s">
        <v>22</v>
      </c>
      <c r="F106" s="7" t="s">
        <v>23</v>
      </c>
      <c r="G106" s="7" t="s">
        <v>64</v>
      </c>
      <c r="H106" s="7" t="s">
        <v>25</v>
      </c>
      <c r="I106" s="7" t="s">
        <v>35</v>
      </c>
      <c r="J106" s="7">
        <v>306</v>
      </c>
      <c r="K106" s="7">
        <v>526.24</v>
      </c>
      <c r="N106" s="4">
        <v>2020</v>
      </c>
      <c r="O106" s="4" t="s">
        <v>68</v>
      </c>
      <c r="P106" s="4" t="s">
        <v>57</v>
      </c>
      <c r="Q106" s="13" t="s">
        <v>57</v>
      </c>
      <c r="R106" s="14">
        <v>2</v>
      </c>
      <c r="S106" s="14">
        <v>6600</v>
      </c>
      <c r="T106" s="14">
        <v>7392</v>
      </c>
      <c r="U106" s="9">
        <v>1320</v>
      </c>
      <c r="V106" s="10" t="s">
        <v>30</v>
      </c>
    </row>
    <row r="107" spans="1:22" ht="18" customHeight="1" x14ac:dyDescent="0.25">
      <c r="A107" s="7" t="s">
        <v>42</v>
      </c>
      <c r="B107" s="7">
        <v>2020</v>
      </c>
      <c r="C107" s="7" t="s">
        <v>68</v>
      </c>
      <c r="D107" s="7" t="s">
        <v>21</v>
      </c>
      <c r="E107" s="7" t="s">
        <v>22</v>
      </c>
      <c r="F107" s="7" t="s">
        <v>23</v>
      </c>
      <c r="G107" s="7" t="s">
        <v>64</v>
      </c>
      <c r="H107" s="7" t="s">
        <v>25</v>
      </c>
      <c r="I107" s="7" t="s">
        <v>35</v>
      </c>
      <c r="J107" s="7">
        <v>300</v>
      </c>
      <c r="K107" s="7">
        <v>526.24</v>
      </c>
      <c r="N107" s="4">
        <v>2020</v>
      </c>
      <c r="O107" s="4" t="s">
        <v>60</v>
      </c>
      <c r="P107" s="4" t="s">
        <v>28</v>
      </c>
      <c r="Q107" s="8" t="s">
        <v>29</v>
      </c>
      <c r="R107" s="9">
        <v>3566</v>
      </c>
      <c r="S107" s="9">
        <v>4577.3</v>
      </c>
      <c r="T107" s="9">
        <v>5126.576</v>
      </c>
      <c r="U107" s="9">
        <v>915.46</v>
      </c>
      <c r="V107" s="10" t="s">
        <v>30</v>
      </c>
    </row>
    <row r="108" spans="1:22" ht="18" customHeight="1" x14ac:dyDescent="0.25">
      <c r="A108" s="7" t="s">
        <v>34</v>
      </c>
      <c r="B108" s="7">
        <v>2020</v>
      </c>
      <c r="C108" s="7" t="s">
        <v>68</v>
      </c>
      <c r="D108" s="7" t="s">
        <v>21</v>
      </c>
      <c r="E108" s="7" t="s">
        <v>22</v>
      </c>
      <c r="F108" s="7" t="s">
        <v>23</v>
      </c>
      <c r="G108" s="7" t="s">
        <v>64</v>
      </c>
      <c r="H108" s="7" t="s">
        <v>25</v>
      </c>
      <c r="I108" s="7" t="s">
        <v>35</v>
      </c>
      <c r="J108" s="7">
        <v>294</v>
      </c>
      <c r="K108" s="7">
        <v>526.24</v>
      </c>
      <c r="N108" s="4">
        <v>2020</v>
      </c>
      <c r="O108" s="4" t="s">
        <v>60</v>
      </c>
      <c r="P108" s="4" t="s">
        <v>28</v>
      </c>
      <c r="Q108" s="8" t="s">
        <v>32</v>
      </c>
      <c r="R108" s="9">
        <v>2498</v>
      </c>
      <c r="S108" s="9">
        <v>8000</v>
      </c>
      <c r="T108" s="9">
        <v>8960</v>
      </c>
      <c r="U108" s="9">
        <v>1600</v>
      </c>
      <c r="V108" s="10" t="s">
        <v>63</v>
      </c>
    </row>
    <row r="109" spans="1:22" ht="18" customHeight="1" x14ac:dyDescent="0.25">
      <c r="A109" s="7" t="s">
        <v>34</v>
      </c>
      <c r="B109" s="7">
        <v>2020</v>
      </c>
      <c r="C109" s="7" t="s">
        <v>68</v>
      </c>
      <c r="D109" s="7" t="s">
        <v>21</v>
      </c>
      <c r="E109" s="7" t="s">
        <v>22</v>
      </c>
      <c r="F109" s="7" t="s">
        <v>23</v>
      </c>
      <c r="G109" s="7" t="s">
        <v>64</v>
      </c>
      <c r="H109" s="7" t="s">
        <v>25</v>
      </c>
      <c r="I109" s="7" t="s">
        <v>35</v>
      </c>
      <c r="J109" s="7">
        <v>679</v>
      </c>
      <c r="K109" s="7">
        <v>970.97</v>
      </c>
      <c r="N109" s="4">
        <v>2020</v>
      </c>
      <c r="O109" s="4" t="s">
        <v>60</v>
      </c>
      <c r="P109" s="4" t="s">
        <v>36</v>
      </c>
      <c r="Q109" s="8" t="s">
        <v>37</v>
      </c>
      <c r="R109" s="9">
        <v>1245</v>
      </c>
      <c r="S109" s="9">
        <v>4577.2</v>
      </c>
      <c r="T109" s="9">
        <v>5126.4639999999999</v>
      </c>
      <c r="U109" s="9">
        <v>915.44</v>
      </c>
      <c r="V109" s="10" t="s">
        <v>63</v>
      </c>
    </row>
    <row r="110" spans="1:22" ht="18" customHeight="1" x14ac:dyDescent="0.25">
      <c r="A110" s="7" t="s">
        <v>34</v>
      </c>
      <c r="B110" s="7">
        <v>2020</v>
      </c>
      <c r="C110" s="7" t="s">
        <v>68</v>
      </c>
      <c r="D110" s="7" t="s">
        <v>21</v>
      </c>
      <c r="E110" s="7" t="s">
        <v>22</v>
      </c>
      <c r="F110" s="7" t="s">
        <v>23</v>
      </c>
      <c r="G110" s="7" t="s">
        <v>64</v>
      </c>
      <c r="H110" s="7" t="s">
        <v>25</v>
      </c>
      <c r="I110" s="7" t="s">
        <v>35</v>
      </c>
      <c r="J110" s="7">
        <v>713</v>
      </c>
      <c r="K110" s="7">
        <v>1019.5899999999999</v>
      </c>
      <c r="N110" s="4">
        <v>2020</v>
      </c>
      <c r="O110" s="4" t="s">
        <v>60</v>
      </c>
      <c r="P110" s="4" t="s">
        <v>39</v>
      </c>
      <c r="Q110" s="13" t="s">
        <v>40</v>
      </c>
      <c r="R110" s="14">
        <v>644</v>
      </c>
      <c r="S110" s="14">
        <v>5743.5</v>
      </c>
      <c r="T110" s="14">
        <v>6432.72</v>
      </c>
      <c r="U110" s="9">
        <v>1148.7</v>
      </c>
      <c r="V110" s="10" t="s">
        <v>63</v>
      </c>
    </row>
    <row r="111" spans="1:22" ht="18" customHeight="1" x14ac:dyDescent="0.25">
      <c r="A111" s="7" t="s">
        <v>42</v>
      </c>
      <c r="B111" s="7">
        <v>2020</v>
      </c>
      <c r="C111" s="7" t="s">
        <v>68</v>
      </c>
      <c r="D111" s="7" t="s">
        <v>21</v>
      </c>
      <c r="E111" s="7" t="s">
        <v>22</v>
      </c>
      <c r="F111" s="7" t="s">
        <v>23</v>
      </c>
      <c r="G111" s="7" t="s">
        <v>64</v>
      </c>
      <c r="H111" s="7" t="s">
        <v>25</v>
      </c>
      <c r="I111" s="7" t="s">
        <v>35</v>
      </c>
      <c r="J111" s="7">
        <v>766</v>
      </c>
      <c r="K111" s="7">
        <v>1095.3800000000001</v>
      </c>
      <c r="N111" s="4">
        <v>2020</v>
      </c>
      <c r="O111" s="4" t="s">
        <v>60</v>
      </c>
      <c r="P111" s="4" t="s">
        <v>43</v>
      </c>
      <c r="Q111" s="13" t="s">
        <v>44</v>
      </c>
      <c r="R111" s="14">
        <v>643</v>
      </c>
      <c r="S111" s="14">
        <v>7000</v>
      </c>
      <c r="T111" s="14">
        <v>7840</v>
      </c>
      <c r="U111" s="9">
        <v>1400</v>
      </c>
      <c r="V111" s="10" t="s">
        <v>63</v>
      </c>
    </row>
    <row r="112" spans="1:22" ht="18" customHeight="1" x14ac:dyDescent="0.25">
      <c r="A112" s="7" t="s">
        <v>19</v>
      </c>
      <c r="B112" s="7">
        <v>2020</v>
      </c>
      <c r="C112" s="7" t="s">
        <v>68</v>
      </c>
      <c r="D112" s="7" t="s">
        <v>21</v>
      </c>
      <c r="E112" s="7" t="s">
        <v>22</v>
      </c>
      <c r="F112" s="7" t="s">
        <v>23</v>
      </c>
      <c r="G112" s="7" t="s">
        <v>64</v>
      </c>
      <c r="H112" s="7" t="s">
        <v>25</v>
      </c>
      <c r="I112" s="7" t="s">
        <v>35</v>
      </c>
      <c r="J112" s="7">
        <v>303</v>
      </c>
      <c r="K112" s="7">
        <v>433.28999999999996</v>
      </c>
      <c r="N112" s="4">
        <v>2020</v>
      </c>
      <c r="O112" s="4" t="s">
        <v>60</v>
      </c>
      <c r="P112" s="4" t="s">
        <v>39</v>
      </c>
      <c r="Q112" s="13" t="s">
        <v>46</v>
      </c>
      <c r="R112" s="14">
        <v>455</v>
      </c>
      <c r="S112" s="14">
        <v>4578.6000000000004</v>
      </c>
      <c r="T112" s="14">
        <v>5128.0320000000002</v>
      </c>
      <c r="U112" s="9">
        <v>915.72000000000014</v>
      </c>
      <c r="V112" s="10" t="s">
        <v>63</v>
      </c>
    </row>
    <row r="113" spans="1:22" ht="18" customHeight="1" x14ac:dyDescent="0.25">
      <c r="A113" s="7" t="s">
        <v>19</v>
      </c>
      <c r="B113" s="7">
        <v>2020</v>
      </c>
      <c r="C113" s="7" t="s">
        <v>68</v>
      </c>
      <c r="D113" s="7" t="s">
        <v>21</v>
      </c>
      <c r="E113" s="7" t="s">
        <v>22</v>
      </c>
      <c r="F113" s="7" t="s">
        <v>23</v>
      </c>
      <c r="G113" s="7" t="s">
        <v>64</v>
      </c>
      <c r="H113" s="7" t="s">
        <v>25</v>
      </c>
      <c r="I113" s="7" t="s">
        <v>35</v>
      </c>
      <c r="J113" s="7">
        <v>297</v>
      </c>
      <c r="K113" s="7">
        <v>424.71</v>
      </c>
      <c r="N113" s="4">
        <v>2020</v>
      </c>
      <c r="O113" s="4" t="s">
        <v>60</v>
      </c>
      <c r="P113" s="4" t="s">
        <v>43</v>
      </c>
      <c r="Q113" s="13" t="s">
        <v>48</v>
      </c>
      <c r="R113" s="15">
        <v>345</v>
      </c>
      <c r="S113" s="15">
        <v>7000</v>
      </c>
      <c r="T113" s="15">
        <v>7840</v>
      </c>
      <c r="U113" s="9">
        <v>1400</v>
      </c>
      <c r="V113" s="10" t="s">
        <v>63</v>
      </c>
    </row>
    <row r="114" spans="1:22" ht="18" customHeight="1" x14ac:dyDescent="0.25">
      <c r="A114" s="7" t="s">
        <v>34</v>
      </c>
      <c r="B114" s="7">
        <v>2020</v>
      </c>
      <c r="C114" s="7" t="s">
        <v>68</v>
      </c>
      <c r="D114" s="7" t="s">
        <v>21</v>
      </c>
      <c r="E114" s="7" t="s">
        <v>22</v>
      </c>
      <c r="F114" s="7" t="s">
        <v>23</v>
      </c>
      <c r="G114" s="7" t="s">
        <v>64</v>
      </c>
      <c r="H114" s="7" t="s">
        <v>25</v>
      </c>
      <c r="I114" s="7" t="s">
        <v>35</v>
      </c>
      <c r="J114" s="7">
        <v>291</v>
      </c>
      <c r="K114" s="7">
        <v>416.13</v>
      </c>
      <c r="N114" s="4">
        <v>2020</v>
      </c>
      <c r="O114" s="4" t="s">
        <v>60</v>
      </c>
      <c r="P114" s="4" t="s">
        <v>36</v>
      </c>
      <c r="Q114" s="8" t="s">
        <v>49</v>
      </c>
      <c r="R114" s="9">
        <v>122</v>
      </c>
      <c r="S114" s="9">
        <v>100</v>
      </c>
      <c r="T114" s="9">
        <v>112</v>
      </c>
      <c r="U114" s="9">
        <v>20</v>
      </c>
      <c r="V114" s="10" t="s">
        <v>63</v>
      </c>
    </row>
    <row r="115" spans="1:22" ht="18" customHeight="1" x14ac:dyDescent="0.25">
      <c r="A115" s="7" t="s">
        <v>42</v>
      </c>
      <c r="B115" s="7">
        <v>2020</v>
      </c>
      <c r="C115" s="7" t="s">
        <v>68</v>
      </c>
      <c r="D115" s="7" t="s">
        <v>21</v>
      </c>
      <c r="E115" s="7" t="s">
        <v>22</v>
      </c>
      <c r="F115" s="7" t="s">
        <v>23</v>
      </c>
      <c r="G115" s="7" t="s">
        <v>64</v>
      </c>
      <c r="H115" s="7" t="s">
        <v>25</v>
      </c>
      <c r="I115" s="7" t="s">
        <v>35</v>
      </c>
      <c r="J115" s="7">
        <v>219</v>
      </c>
      <c r="K115" s="7">
        <v>313.17</v>
      </c>
      <c r="N115" s="4">
        <v>2020</v>
      </c>
      <c r="O115" s="4" t="s">
        <v>60</v>
      </c>
      <c r="P115" s="4" t="s">
        <v>50</v>
      </c>
      <c r="Q115" s="13" t="s">
        <v>51</v>
      </c>
      <c r="R115" s="14">
        <v>78</v>
      </c>
      <c r="S115" s="14">
        <v>4577.2</v>
      </c>
      <c r="T115" s="14">
        <v>5126.4639999999999</v>
      </c>
      <c r="U115" s="9">
        <v>915.44</v>
      </c>
      <c r="V115" s="10" t="s">
        <v>63</v>
      </c>
    </row>
    <row r="116" spans="1:22" ht="18" customHeight="1" x14ac:dyDescent="0.25">
      <c r="A116" s="7" t="s">
        <v>42</v>
      </c>
      <c r="B116" s="7">
        <v>2020</v>
      </c>
      <c r="C116" s="7" t="s">
        <v>68</v>
      </c>
      <c r="D116" s="7" t="s">
        <v>21</v>
      </c>
      <c r="E116" s="7" t="s">
        <v>22</v>
      </c>
      <c r="F116" s="7" t="s">
        <v>23</v>
      </c>
      <c r="G116" s="7" t="s">
        <v>64</v>
      </c>
      <c r="H116" s="7" t="s">
        <v>25</v>
      </c>
      <c r="I116" s="7" t="s">
        <v>35</v>
      </c>
      <c r="J116" s="7">
        <v>752</v>
      </c>
      <c r="K116" s="7">
        <v>526.24</v>
      </c>
      <c r="N116" s="4">
        <v>2020</v>
      </c>
      <c r="O116" s="4" t="s">
        <v>60</v>
      </c>
      <c r="P116" s="4" t="s">
        <v>50</v>
      </c>
      <c r="Q116" s="13" t="s">
        <v>52</v>
      </c>
      <c r="R116" s="14">
        <v>76</v>
      </c>
      <c r="S116" s="14">
        <v>4576.8999999999996</v>
      </c>
      <c r="T116" s="14">
        <v>5126.1279999999997</v>
      </c>
      <c r="U116" s="9">
        <v>915.38</v>
      </c>
      <c r="V116" s="10" t="s">
        <v>63</v>
      </c>
    </row>
    <row r="117" spans="1:22" ht="18" customHeight="1" x14ac:dyDescent="0.25">
      <c r="A117" s="7" t="s">
        <v>34</v>
      </c>
      <c r="B117" s="7">
        <v>2020</v>
      </c>
      <c r="C117" s="7" t="s">
        <v>68</v>
      </c>
      <c r="D117" s="7" t="s">
        <v>21</v>
      </c>
      <c r="E117" s="7" t="s">
        <v>22</v>
      </c>
      <c r="F117" s="7" t="s">
        <v>23</v>
      </c>
      <c r="G117" s="7" t="s">
        <v>64</v>
      </c>
      <c r="H117" s="7" t="s">
        <v>25</v>
      </c>
      <c r="I117" s="7" t="s">
        <v>35</v>
      </c>
      <c r="J117" s="7">
        <v>805</v>
      </c>
      <c r="K117" s="7">
        <v>526.24</v>
      </c>
      <c r="N117" s="4">
        <v>2020</v>
      </c>
      <c r="O117" s="4" t="s">
        <v>60</v>
      </c>
      <c r="P117" s="4" t="s">
        <v>50</v>
      </c>
      <c r="Q117" s="13" t="s">
        <v>54</v>
      </c>
      <c r="R117" s="14">
        <v>46</v>
      </c>
      <c r="S117" s="14">
        <v>200</v>
      </c>
      <c r="T117" s="14">
        <v>224</v>
      </c>
      <c r="U117" s="9">
        <v>40</v>
      </c>
      <c r="V117" s="10" t="s">
        <v>63</v>
      </c>
    </row>
    <row r="118" spans="1:22" ht="18" customHeight="1" x14ac:dyDescent="0.25">
      <c r="A118" s="7" t="s">
        <v>34</v>
      </c>
      <c r="B118" s="7">
        <v>2020</v>
      </c>
      <c r="C118" s="7" t="s">
        <v>68</v>
      </c>
      <c r="D118" s="7" t="s">
        <v>21</v>
      </c>
      <c r="E118" s="7" t="s">
        <v>22</v>
      </c>
      <c r="F118" s="7" t="s">
        <v>23</v>
      </c>
      <c r="G118" s="7" t="s">
        <v>64</v>
      </c>
      <c r="H118" s="7" t="s">
        <v>25</v>
      </c>
      <c r="I118" s="7" t="s">
        <v>35</v>
      </c>
      <c r="J118" s="7">
        <v>265</v>
      </c>
      <c r="K118" s="7">
        <v>378.95</v>
      </c>
      <c r="N118" s="4">
        <v>2020</v>
      </c>
      <c r="O118" s="4" t="s">
        <v>60</v>
      </c>
      <c r="P118" s="4" t="s">
        <v>50</v>
      </c>
      <c r="Q118" s="13" t="s">
        <v>55</v>
      </c>
      <c r="R118" s="14">
        <v>34</v>
      </c>
      <c r="S118" s="14">
        <v>4576.8</v>
      </c>
      <c r="T118" s="14">
        <v>5126.0160000000005</v>
      </c>
      <c r="U118" s="9">
        <v>915.36000000000013</v>
      </c>
      <c r="V118" s="10" t="s">
        <v>63</v>
      </c>
    </row>
    <row r="119" spans="1:22" ht="18" customHeight="1" x14ac:dyDescent="0.25">
      <c r="A119" s="7" t="s">
        <v>19</v>
      </c>
      <c r="B119" s="7">
        <v>2020</v>
      </c>
      <c r="C119" s="7" t="s">
        <v>68</v>
      </c>
      <c r="D119" s="7" t="s">
        <v>21</v>
      </c>
      <c r="E119" s="7" t="s">
        <v>22</v>
      </c>
      <c r="F119" s="7" t="s">
        <v>23</v>
      </c>
      <c r="G119" s="7" t="s">
        <v>64</v>
      </c>
      <c r="H119" s="7" t="s">
        <v>25</v>
      </c>
      <c r="I119" s="7" t="s">
        <v>35</v>
      </c>
      <c r="J119" s="7">
        <v>193</v>
      </c>
      <c r="K119" s="7">
        <v>275.99</v>
      </c>
      <c r="N119" s="4">
        <v>2020</v>
      </c>
      <c r="O119" s="4" t="s">
        <v>60</v>
      </c>
      <c r="P119" s="4" t="s">
        <v>36</v>
      </c>
      <c r="Q119" s="8" t="s">
        <v>56</v>
      </c>
      <c r="R119" s="9">
        <v>7</v>
      </c>
      <c r="S119" s="9">
        <v>200</v>
      </c>
      <c r="T119" s="9">
        <v>224</v>
      </c>
      <c r="U119" s="9">
        <v>40</v>
      </c>
      <c r="V119" s="10" t="s">
        <v>63</v>
      </c>
    </row>
    <row r="120" spans="1:22" ht="18" customHeight="1" x14ac:dyDescent="0.25">
      <c r="A120" s="7" t="s">
        <v>42</v>
      </c>
      <c r="B120" s="7">
        <v>2020</v>
      </c>
      <c r="C120" s="7" t="s">
        <v>68</v>
      </c>
      <c r="D120" s="7" t="s">
        <v>21</v>
      </c>
      <c r="E120" s="7" t="s">
        <v>22</v>
      </c>
      <c r="F120" s="7" t="s">
        <v>23</v>
      </c>
      <c r="G120" s="7" t="s">
        <v>64</v>
      </c>
      <c r="H120" s="7" t="s">
        <v>25</v>
      </c>
      <c r="I120" s="7" t="s">
        <v>26</v>
      </c>
      <c r="J120" s="7">
        <v>884</v>
      </c>
      <c r="K120" s="7">
        <v>1264.1199999999999</v>
      </c>
      <c r="N120" s="4">
        <v>2020</v>
      </c>
      <c r="O120" s="4" t="s">
        <v>60</v>
      </c>
      <c r="P120" s="4" t="s">
        <v>50</v>
      </c>
      <c r="Q120" s="13" t="s">
        <v>58</v>
      </c>
      <c r="R120" s="14">
        <v>3</v>
      </c>
      <c r="S120" s="14">
        <v>4577.3</v>
      </c>
      <c r="T120" s="14">
        <v>5126.576</v>
      </c>
      <c r="U120" s="9">
        <v>915.46</v>
      </c>
      <c r="V120" s="10" t="s">
        <v>63</v>
      </c>
    </row>
    <row r="121" spans="1:22" ht="18" customHeight="1" x14ac:dyDescent="0.25">
      <c r="A121" s="7" t="s">
        <v>34</v>
      </c>
      <c r="B121" s="7">
        <v>2020</v>
      </c>
      <c r="C121" s="7" t="s">
        <v>68</v>
      </c>
      <c r="D121" s="7" t="s">
        <v>21</v>
      </c>
      <c r="E121" s="7" t="s">
        <v>22</v>
      </c>
      <c r="F121" s="7" t="s">
        <v>23</v>
      </c>
      <c r="G121" s="7" t="s">
        <v>64</v>
      </c>
      <c r="H121" s="7" t="s">
        <v>25</v>
      </c>
      <c r="I121" s="7" t="s">
        <v>26</v>
      </c>
      <c r="J121" s="7">
        <v>885</v>
      </c>
      <c r="K121" s="7">
        <v>1265.55</v>
      </c>
      <c r="N121" s="4">
        <v>2020</v>
      </c>
      <c r="O121" s="4" t="s">
        <v>60</v>
      </c>
      <c r="P121" s="4" t="s">
        <v>57</v>
      </c>
      <c r="Q121" s="13" t="s">
        <v>57</v>
      </c>
      <c r="R121" s="14">
        <v>2</v>
      </c>
      <c r="S121" s="14">
        <v>6600</v>
      </c>
      <c r="T121" s="14">
        <v>7392</v>
      </c>
      <c r="U121" s="9">
        <v>1320</v>
      </c>
      <c r="V121" s="10" t="s">
        <v>63</v>
      </c>
    </row>
    <row r="122" spans="1:22" ht="18" customHeight="1" x14ac:dyDescent="0.25">
      <c r="A122" s="7" t="s">
        <v>34</v>
      </c>
      <c r="B122" s="7">
        <v>2020</v>
      </c>
      <c r="C122" s="7" t="s">
        <v>68</v>
      </c>
      <c r="D122" s="7" t="s">
        <v>21</v>
      </c>
      <c r="E122" s="7" t="s">
        <v>22</v>
      </c>
      <c r="F122" s="7" t="s">
        <v>23</v>
      </c>
      <c r="G122" s="7" t="s">
        <v>64</v>
      </c>
      <c r="H122" s="7" t="s">
        <v>25</v>
      </c>
      <c r="I122" s="7" t="s">
        <v>26</v>
      </c>
      <c r="J122" s="7">
        <v>886</v>
      </c>
      <c r="K122" s="7">
        <v>1266.98</v>
      </c>
      <c r="N122" s="4">
        <v>2020</v>
      </c>
      <c r="O122" s="4" t="s">
        <v>69</v>
      </c>
      <c r="P122" s="4" t="s">
        <v>28</v>
      </c>
      <c r="Q122" s="8" t="s">
        <v>29</v>
      </c>
      <c r="R122" s="9">
        <v>3566</v>
      </c>
      <c r="S122" s="9">
        <v>4577.3</v>
      </c>
      <c r="T122" s="9">
        <v>5126.576</v>
      </c>
      <c r="U122" s="9">
        <v>915.46</v>
      </c>
      <c r="V122" s="10" t="s">
        <v>63</v>
      </c>
    </row>
    <row r="123" spans="1:22" ht="18" customHeight="1" x14ac:dyDescent="0.25">
      <c r="A123" s="7" t="s">
        <v>34</v>
      </c>
      <c r="B123" s="7">
        <v>2020</v>
      </c>
      <c r="C123" s="7" t="s">
        <v>68</v>
      </c>
      <c r="D123" s="7" t="s">
        <v>21</v>
      </c>
      <c r="E123" s="7" t="s">
        <v>22</v>
      </c>
      <c r="F123" s="7" t="s">
        <v>23</v>
      </c>
      <c r="G123" s="7" t="s">
        <v>64</v>
      </c>
      <c r="H123" s="7" t="s">
        <v>25</v>
      </c>
      <c r="I123" s="7" t="s">
        <v>35</v>
      </c>
      <c r="J123" s="7">
        <v>221</v>
      </c>
      <c r="K123" s="7">
        <v>316.02999999999997</v>
      </c>
      <c r="N123" s="4">
        <v>2020</v>
      </c>
      <c r="O123" s="4" t="s">
        <v>69</v>
      </c>
      <c r="P123" s="4" t="s">
        <v>28</v>
      </c>
      <c r="Q123" s="8" t="s">
        <v>32</v>
      </c>
      <c r="R123" s="9">
        <v>2498</v>
      </c>
      <c r="S123" s="9">
        <v>8000</v>
      </c>
      <c r="T123" s="9">
        <v>8960</v>
      </c>
      <c r="U123" s="9">
        <v>1600</v>
      </c>
      <c r="V123" s="10" t="s">
        <v>63</v>
      </c>
    </row>
    <row r="124" spans="1:22" ht="18" customHeight="1" x14ac:dyDescent="0.25">
      <c r="A124" s="7" t="s">
        <v>34</v>
      </c>
      <c r="B124" s="7">
        <v>2020</v>
      </c>
      <c r="C124" s="7" t="s">
        <v>68</v>
      </c>
      <c r="D124" s="7" t="s">
        <v>21</v>
      </c>
      <c r="E124" s="7" t="s">
        <v>22</v>
      </c>
      <c r="F124" s="7" t="s">
        <v>23</v>
      </c>
      <c r="G124" s="7" t="s">
        <v>64</v>
      </c>
      <c r="H124" s="7" t="s">
        <v>25</v>
      </c>
      <c r="I124" s="7" t="s">
        <v>35</v>
      </c>
      <c r="J124" s="7">
        <v>269</v>
      </c>
      <c r="K124" s="7">
        <v>384.67</v>
      </c>
      <c r="N124" s="4">
        <v>2020</v>
      </c>
      <c r="O124" s="4" t="s">
        <v>69</v>
      </c>
      <c r="P124" s="4" t="s">
        <v>36</v>
      </c>
      <c r="Q124" s="8" t="s">
        <v>37</v>
      </c>
      <c r="R124" s="9">
        <v>1245</v>
      </c>
      <c r="S124" s="9">
        <v>4577.2</v>
      </c>
      <c r="T124" s="9">
        <v>5126.4639999999999</v>
      </c>
      <c r="U124" s="9">
        <v>915.44</v>
      </c>
      <c r="V124" s="10" t="s">
        <v>63</v>
      </c>
    </row>
    <row r="125" spans="1:22" ht="18" customHeight="1" x14ac:dyDescent="0.25">
      <c r="A125" s="7" t="s">
        <v>34</v>
      </c>
      <c r="B125" s="7">
        <v>2020</v>
      </c>
      <c r="C125" s="7" t="s">
        <v>68</v>
      </c>
      <c r="D125" s="7" t="s">
        <v>21</v>
      </c>
      <c r="E125" s="7" t="s">
        <v>22</v>
      </c>
      <c r="F125" s="7" t="s">
        <v>23</v>
      </c>
      <c r="G125" s="7" t="s">
        <v>64</v>
      </c>
      <c r="H125" s="7" t="s">
        <v>25</v>
      </c>
      <c r="I125" s="7" t="s">
        <v>35</v>
      </c>
      <c r="J125" s="7">
        <v>775</v>
      </c>
      <c r="K125" s="7">
        <v>1108.25</v>
      </c>
      <c r="N125" s="4">
        <v>2020</v>
      </c>
      <c r="O125" s="4" t="s">
        <v>69</v>
      </c>
      <c r="P125" s="4" t="s">
        <v>39</v>
      </c>
      <c r="Q125" s="13" t="s">
        <v>40</v>
      </c>
      <c r="R125" s="14">
        <v>644</v>
      </c>
      <c r="S125" s="14">
        <v>5743.5</v>
      </c>
      <c r="T125" s="14">
        <v>6432.72</v>
      </c>
      <c r="U125" s="9">
        <v>1148.7</v>
      </c>
      <c r="V125" s="10" t="s">
        <v>63</v>
      </c>
    </row>
    <row r="126" spans="1:22" ht="18" customHeight="1" x14ac:dyDescent="0.25">
      <c r="A126" s="7" t="s">
        <v>19</v>
      </c>
      <c r="B126" s="7">
        <v>2020</v>
      </c>
      <c r="C126" s="7" t="s">
        <v>67</v>
      </c>
      <c r="D126" s="7" t="s">
        <v>21</v>
      </c>
      <c r="E126" s="7" t="s">
        <v>22</v>
      </c>
      <c r="F126" s="7" t="s">
        <v>23</v>
      </c>
      <c r="G126" s="7" t="s">
        <v>64</v>
      </c>
      <c r="H126" s="7" t="s">
        <v>25</v>
      </c>
      <c r="I126" s="7" t="s">
        <v>26</v>
      </c>
      <c r="J126" s="7">
        <v>320</v>
      </c>
      <c r="K126" s="7">
        <v>457.6</v>
      </c>
      <c r="N126" s="4">
        <v>2020</v>
      </c>
      <c r="O126" s="4" t="s">
        <v>69</v>
      </c>
      <c r="P126" s="4" t="s">
        <v>43</v>
      </c>
      <c r="Q126" s="13" t="s">
        <v>44</v>
      </c>
      <c r="R126" s="14">
        <v>643</v>
      </c>
      <c r="S126" s="14">
        <v>7000</v>
      </c>
      <c r="T126" s="14">
        <v>7840</v>
      </c>
      <c r="U126" s="9">
        <v>1400</v>
      </c>
      <c r="V126" s="10" t="s">
        <v>63</v>
      </c>
    </row>
    <row r="127" spans="1:22" ht="18" customHeight="1" x14ac:dyDescent="0.25">
      <c r="A127" s="7" t="s">
        <v>34</v>
      </c>
      <c r="B127" s="7">
        <v>2020</v>
      </c>
      <c r="C127" s="7" t="s">
        <v>67</v>
      </c>
      <c r="D127" s="7" t="s">
        <v>21</v>
      </c>
      <c r="E127" s="7" t="s">
        <v>22</v>
      </c>
      <c r="F127" s="7" t="s">
        <v>23</v>
      </c>
      <c r="G127" s="7" t="s">
        <v>64</v>
      </c>
      <c r="H127" s="7" t="s">
        <v>25</v>
      </c>
      <c r="I127" s="7" t="s">
        <v>26</v>
      </c>
      <c r="J127" s="7">
        <v>314</v>
      </c>
      <c r="K127" s="7">
        <v>449.02</v>
      </c>
      <c r="N127" s="4">
        <v>2020</v>
      </c>
      <c r="O127" s="4" t="s">
        <v>69</v>
      </c>
      <c r="P127" s="4" t="s">
        <v>39</v>
      </c>
      <c r="Q127" s="13" t="s">
        <v>46</v>
      </c>
      <c r="R127" s="14">
        <v>455</v>
      </c>
      <c r="S127" s="14">
        <v>4578.6000000000004</v>
      </c>
      <c r="T127" s="14">
        <v>5128.0320000000002</v>
      </c>
      <c r="U127" s="9">
        <v>915.72000000000014</v>
      </c>
      <c r="V127" s="10" t="s">
        <v>63</v>
      </c>
    </row>
    <row r="128" spans="1:22" ht="18" customHeight="1" x14ac:dyDescent="0.25">
      <c r="A128" s="7" t="s">
        <v>19</v>
      </c>
      <c r="B128" s="7">
        <v>2020</v>
      </c>
      <c r="C128" s="7" t="s">
        <v>67</v>
      </c>
      <c r="D128" s="7" t="s">
        <v>21</v>
      </c>
      <c r="E128" s="7" t="s">
        <v>22</v>
      </c>
      <c r="F128" s="7" t="s">
        <v>23</v>
      </c>
      <c r="G128" s="7" t="s">
        <v>64</v>
      </c>
      <c r="H128" s="7" t="s">
        <v>25</v>
      </c>
      <c r="I128" s="7" t="s">
        <v>26</v>
      </c>
      <c r="J128" s="7">
        <v>308</v>
      </c>
      <c r="K128" s="7">
        <v>440.44</v>
      </c>
      <c r="N128" s="4">
        <v>2020</v>
      </c>
      <c r="O128" s="4" t="s">
        <v>69</v>
      </c>
      <c r="P128" s="4" t="s">
        <v>43</v>
      </c>
      <c r="Q128" s="13" t="s">
        <v>48</v>
      </c>
      <c r="R128" s="15">
        <v>345</v>
      </c>
      <c r="S128" s="15">
        <v>7000</v>
      </c>
      <c r="T128" s="15">
        <v>7840</v>
      </c>
      <c r="U128" s="9">
        <v>1400</v>
      </c>
      <c r="V128" s="10" t="s">
        <v>63</v>
      </c>
    </row>
    <row r="129" spans="1:22" ht="18" customHeight="1" x14ac:dyDescent="0.25">
      <c r="A129" s="7" t="s">
        <v>34</v>
      </c>
      <c r="B129" s="7">
        <v>2020</v>
      </c>
      <c r="C129" s="7" t="s">
        <v>67</v>
      </c>
      <c r="D129" s="7" t="s">
        <v>21</v>
      </c>
      <c r="E129" s="7" t="s">
        <v>22</v>
      </c>
      <c r="F129" s="7" t="s">
        <v>23</v>
      </c>
      <c r="G129" s="7" t="s">
        <v>64</v>
      </c>
      <c r="H129" s="7" t="s">
        <v>25</v>
      </c>
      <c r="I129" s="7" t="s">
        <v>35</v>
      </c>
      <c r="J129" s="7">
        <v>224</v>
      </c>
      <c r="K129" s="7">
        <v>320.32</v>
      </c>
      <c r="N129" s="4">
        <v>2020</v>
      </c>
      <c r="O129" s="4" t="s">
        <v>69</v>
      </c>
      <c r="P129" s="4" t="s">
        <v>36</v>
      </c>
      <c r="Q129" s="8" t="s">
        <v>49</v>
      </c>
      <c r="R129" s="9">
        <v>122</v>
      </c>
      <c r="S129" s="9">
        <v>100</v>
      </c>
      <c r="T129" s="9">
        <v>112</v>
      </c>
      <c r="U129" s="9">
        <v>20</v>
      </c>
      <c r="V129" s="10" t="s">
        <v>63</v>
      </c>
    </row>
    <row r="130" spans="1:22" ht="18" customHeight="1" x14ac:dyDescent="0.25">
      <c r="A130" s="7" t="s">
        <v>19</v>
      </c>
      <c r="B130" s="7">
        <v>2020</v>
      </c>
      <c r="C130" s="7" t="s">
        <v>67</v>
      </c>
      <c r="D130" s="7" t="s">
        <v>21</v>
      </c>
      <c r="E130" s="7" t="s">
        <v>22</v>
      </c>
      <c r="F130" s="7" t="s">
        <v>23</v>
      </c>
      <c r="G130" s="7" t="s">
        <v>64</v>
      </c>
      <c r="H130" s="7" t="s">
        <v>25</v>
      </c>
      <c r="I130" s="7" t="s">
        <v>35</v>
      </c>
      <c r="J130" s="7">
        <v>272</v>
      </c>
      <c r="K130" s="7">
        <v>388.96</v>
      </c>
      <c r="N130" s="4">
        <v>2020</v>
      </c>
      <c r="O130" s="4" t="s">
        <v>69</v>
      </c>
      <c r="P130" s="4" t="s">
        <v>50</v>
      </c>
      <c r="Q130" s="13" t="s">
        <v>51</v>
      </c>
      <c r="R130" s="14">
        <v>78</v>
      </c>
      <c r="S130" s="14">
        <v>4577.2</v>
      </c>
      <c r="T130" s="14">
        <v>5126.4639999999999</v>
      </c>
      <c r="U130" s="9">
        <v>915.44</v>
      </c>
      <c r="V130" s="10" t="s">
        <v>63</v>
      </c>
    </row>
    <row r="131" spans="1:22" ht="18" customHeight="1" x14ac:dyDescent="0.25">
      <c r="A131" s="7" t="s">
        <v>42</v>
      </c>
      <c r="B131" s="7">
        <v>2020</v>
      </c>
      <c r="C131" s="7" t="s">
        <v>67</v>
      </c>
      <c r="D131" s="7" t="s">
        <v>21</v>
      </c>
      <c r="E131" s="7" t="s">
        <v>22</v>
      </c>
      <c r="F131" s="7" t="s">
        <v>23</v>
      </c>
      <c r="G131" s="7" t="s">
        <v>64</v>
      </c>
      <c r="H131" s="7" t="s">
        <v>25</v>
      </c>
      <c r="I131" s="7" t="s">
        <v>35</v>
      </c>
      <c r="J131" s="7">
        <v>200</v>
      </c>
      <c r="K131" s="7">
        <v>286</v>
      </c>
      <c r="N131" s="4">
        <v>2020</v>
      </c>
      <c r="O131" s="4" t="s">
        <v>69</v>
      </c>
      <c r="P131" s="4" t="s">
        <v>50</v>
      </c>
      <c r="Q131" s="13" t="s">
        <v>52</v>
      </c>
      <c r="R131" s="14">
        <v>76</v>
      </c>
      <c r="S131" s="14">
        <v>4576.8999999999996</v>
      </c>
      <c r="T131" s="14">
        <v>5126.1279999999997</v>
      </c>
      <c r="U131" s="9">
        <v>915.38</v>
      </c>
      <c r="V131" s="10" t="s">
        <v>63</v>
      </c>
    </row>
    <row r="132" spans="1:22" ht="18" customHeight="1" x14ac:dyDescent="0.25">
      <c r="A132" s="7" t="s">
        <v>34</v>
      </c>
      <c r="B132" s="7">
        <v>2020</v>
      </c>
      <c r="C132" s="7" t="s">
        <v>67</v>
      </c>
      <c r="D132" s="7" t="s">
        <v>21</v>
      </c>
      <c r="E132" s="7" t="s">
        <v>22</v>
      </c>
      <c r="F132" s="7" t="s">
        <v>23</v>
      </c>
      <c r="G132" s="7" t="s">
        <v>64</v>
      </c>
      <c r="H132" s="7" t="s">
        <v>25</v>
      </c>
      <c r="I132" s="7" t="s">
        <v>35</v>
      </c>
      <c r="J132" s="7">
        <v>226</v>
      </c>
      <c r="K132" s="7">
        <v>323.18</v>
      </c>
      <c r="N132" s="4">
        <v>2020</v>
      </c>
      <c r="O132" s="4" t="s">
        <v>69</v>
      </c>
      <c r="P132" s="4" t="s">
        <v>50</v>
      </c>
      <c r="Q132" s="13" t="s">
        <v>54</v>
      </c>
      <c r="R132" s="14">
        <v>46</v>
      </c>
      <c r="S132" s="14">
        <v>200</v>
      </c>
      <c r="T132" s="14">
        <v>224</v>
      </c>
      <c r="U132" s="9">
        <v>40</v>
      </c>
      <c r="V132" s="10" t="s">
        <v>63</v>
      </c>
    </row>
    <row r="133" spans="1:22" ht="18" customHeight="1" x14ac:dyDescent="0.25">
      <c r="A133" s="7" t="s">
        <v>34</v>
      </c>
      <c r="B133" s="7">
        <v>2020</v>
      </c>
      <c r="C133" s="7" t="s">
        <v>67</v>
      </c>
      <c r="D133" s="7" t="s">
        <v>21</v>
      </c>
      <c r="E133" s="7" t="s">
        <v>22</v>
      </c>
      <c r="F133" s="7" t="s">
        <v>23</v>
      </c>
      <c r="G133" s="7" t="s">
        <v>64</v>
      </c>
      <c r="H133" s="7" t="s">
        <v>25</v>
      </c>
      <c r="I133" s="7" t="s">
        <v>35</v>
      </c>
      <c r="J133" s="7">
        <v>274</v>
      </c>
      <c r="K133" s="7">
        <v>391.82</v>
      </c>
      <c r="N133" s="4">
        <v>2020</v>
      </c>
      <c r="O133" s="4" t="s">
        <v>69</v>
      </c>
      <c r="P133" s="4" t="s">
        <v>50</v>
      </c>
      <c r="Q133" s="13" t="s">
        <v>55</v>
      </c>
      <c r="R133" s="14">
        <v>34</v>
      </c>
      <c r="S133" s="14">
        <v>4576.8</v>
      </c>
      <c r="T133" s="14">
        <v>5126.0160000000005</v>
      </c>
      <c r="U133" s="9">
        <v>915.36000000000013</v>
      </c>
      <c r="V133" s="10" t="s">
        <v>30</v>
      </c>
    </row>
    <row r="134" spans="1:22" ht="18" customHeight="1" x14ac:dyDescent="0.25">
      <c r="A134" s="7" t="s">
        <v>34</v>
      </c>
      <c r="B134" s="7">
        <v>2020</v>
      </c>
      <c r="C134" s="7" t="s">
        <v>67</v>
      </c>
      <c r="D134" s="7" t="s">
        <v>21</v>
      </c>
      <c r="E134" s="7" t="s">
        <v>22</v>
      </c>
      <c r="F134" s="7" t="s">
        <v>23</v>
      </c>
      <c r="G134" s="7" t="s">
        <v>64</v>
      </c>
      <c r="H134" s="7" t="s">
        <v>25</v>
      </c>
      <c r="I134" s="7" t="s">
        <v>35</v>
      </c>
      <c r="J134" s="7">
        <v>196</v>
      </c>
      <c r="K134" s="7">
        <v>280.27999999999997</v>
      </c>
      <c r="N134" s="4">
        <v>2020</v>
      </c>
      <c r="O134" s="4" t="s">
        <v>69</v>
      </c>
      <c r="P134" s="4" t="s">
        <v>36</v>
      </c>
      <c r="Q134" s="8" t="s">
        <v>56</v>
      </c>
      <c r="R134" s="9">
        <v>7</v>
      </c>
      <c r="S134" s="9">
        <v>200</v>
      </c>
      <c r="T134" s="9">
        <v>224</v>
      </c>
      <c r="U134" s="9">
        <v>40</v>
      </c>
      <c r="V134" s="10" t="s">
        <v>30</v>
      </c>
    </row>
    <row r="135" spans="1:22" ht="18" customHeight="1" x14ac:dyDescent="0.25">
      <c r="A135" s="7" t="s">
        <v>19</v>
      </c>
      <c r="B135" s="7">
        <v>2020</v>
      </c>
      <c r="C135" s="7" t="s">
        <v>67</v>
      </c>
      <c r="D135" s="7" t="s">
        <v>21</v>
      </c>
      <c r="E135" s="7" t="s">
        <v>22</v>
      </c>
      <c r="F135" s="7" t="s">
        <v>23</v>
      </c>
      <c r="G135" s="7" t="s">
        <v>64</v>
      </c>
      <c r="H135" s="7" t="s">
        <v>25</v>
      </c>
      <c r="I135" s="7" t="s">
        <v>35</v>
      </c>
      <c r="J135" s="7">
        <v>318</v>
      </c>
      <c r="K135" s="7">
        <v>526.24</v>
      </c>
      <c r="N135" s="4">
        <v>2020</v>
      </c>
      <c r="O135" s="4" t="s">
        <v>69</v>
      </c>
      <c r="P135" s="4" t="s">
        <v>50</v>
      </c>
      <c r="Q135" s="13" t="s">
        <v>58</v>
      </c>
      <c r="R135" s="14">
        <v>3</v>
      </c>
      <c r="S135" s="14">
        <v>4577.3</v>
      </c>
      <c r="T135" s="14">
        <v>5126.576</v>
      </c>
      <c r="U135" s="9">
        <v>915.46</v>
      </c>
      <c r="V135" s="10" t="s">
        <v>30</v>
      </c>
    </row>
    <row r="136" spans="1:22" ht="18" customHeight="1" x14ac:dyDescent="0.25">
      <c r="A136" s="7" t="s">
        <v>61</v>
      </c>
      <c r="B136" s="7">
        <v>2020</v>
      </c>
      <c r="C136" s="7" t="s">
        <v>67</v>
      </c>
      <c r="D136" s="7" t="s">
        <v>21</v>
      </c>
      <c r="E136" s="7" t="s">
        <v>22</v>
      </c>
      <c r="F136" s="7" t="s">
        <v>23</v>
      </c>
      <c r="G136" s="7" t="s">
        <v>64</v>
      </c>
      <c r="H136" s="7" t="s">
        <v>25</v>
      </c>
      <c r="I136" s="7" t="s">
        <v>35</v>
      </c>
      <c r="J136" s="7">
        <v>312</v>
      </c>
      <c r="K136" s="7">
        <v>526.24</v>
      </c>
      <c r="N136" s="4">
        <v>2020</v>
      </c>
      <c r="O136" s="4" t="s">
        <v>69</v>
      </c>
      <c r="P136" s="4" t="s">
        <v>57</v>
      </c>
      <c r="Q136" s="13" t="s">
        <v>57</v>
      </c>
      <c r="R136" s="14">
        <v>2</v>
      </c>
      <c r="S136" s="14">
        <v>6600</v>
      </c>
      <c r="T136" s="14">
        <v>7392</v>
      </c>
      <c r="U136" s="9">
        <v>1320</v>
      </c>
      <c r="V136" s="10" t="s">
        <v>30</v>
      </c>
    </row>
    <row r="137" spans="1:22" ht="18" customHeight="1" x14ac:dyDescent="0.25">
      <c r="A137" s="7" t="s">
        <v>42</v>
      </c>
      <c r="B137" s="7">
        <v>2020</v>
      </c>
      <c r="C137" s="7" t="s">
        <v>67</v>
      </c>
      <c r="D137" s="7" t="s">
        <v>21</v>
      </c>
      <c r="E137" s="7" t="s">
        <v>22</v>
      </c>
      <c r="F137" s="7" t="s">
        <v>23</v>
      </c>
      <c r="G137" s="7" t="s">
        <v>64</v>
      </c>
      <c r="H137" s="7" t="s">
        <v>25</v>
      </c>
      <c r="I137" s="7" t="s">
        <v>35</v>
      </c>
      <c r="J137" s="7">
        <v>712</v>
      </c>
      <c r="K137" s="7">
        <v>1018.16</v>
      </c>
      <c r="N137" s="4">
        <v>2020</v>
      </c>
      <c r="O137" s="4" t="s">
        <v>70</v>
      </c>
      <c r="P137" s="4" t="s">
        <v>28</v>
      </c>
      <c r="Q137" s="8" t="s">
        <v>29</v>
      </c>
      <c r="R137" s="9">
        <v>3566</v>
      </c>
      <c r="S137" s="9">
        <v>4577.3</v>
      </c>
      <c r="T137" s="9">
        <v>5126.576</v>
      </c>
      <c r="U137" s="9">
        <v>915.46</v>
      </c>
      <c r="V137" s="10" t="s">
        <v>30</v>
      </c>
    </row>
    <row r="138" spans="1:22" ht="18" customHeight="1" x14ac:dyDescent="0.25">
      <c r="A138" s="7" t="s">
        <v>19</v>
      </c>
      <c r="B138" s="7">
        <v>2020</v>
      </c>
      <c r="C138" s="7" t="s">
        <v>67</v>
      </c>
      <c r="D138" s="7" t="s">
        <v>21</v>
      </c>
      <c r="E138" s="7" t="s">
        <v>22</v>
      </c>
      <c r="F138" s="7" t="s">
        <v>23</v>
      </c>
      <c r="G138" s="7" t="s">
        <v>64</v>
      </c>
      <c r="H138" s="7" t="s">
        <v>25</v>
      </c>
      <c r="I138" s="7" t="s">
        <v>35</v>
      </c>
      <c r="J138" s="7">
        <v>765</v>
      </c>
      <c r="K138" s="7">
        <v>1093.95</v>
      </c>
      <c r="N138" s="4">
        <v>2020</v>
      </c>
      <c r="O138" s="4" t="s">
        <v>70</v>
      </c>
      <c r="P138" s="4" t="s">
        <v>28</v>
      </c>
      <c r="Q138" s="8" t="s">
        <v>32</v>
      </c>
      <c r="R138" s="9">
        <v>2498</v>
      </c>
      <c r="S138" s="9">
        <v>8000</v>
      </c>
      <c r="T138" s="9">
        <v>8960</v>
      </c>
      <c r="U138" s="9">
        <v>1600</v>
      </c>
      <c r="V138" s="10" t="s">
        <v>30</v>
      </c>
    </row>
    <row r="139" spans="1:22" ht="18" customHeight="1" x14ac:dyDescent="0.25">
      <c r="A139" s="7" t="s">
        <v>34</v>
      </c>
      <c r="B139" s="7">
        <v>2020</v>
      </c>
      <c r="C139" s="7" t="s">
        <v>67</v>
      </c>
      <c r="D139" s="7" t="s">
        <v>21</v>
      </c>
      <c r="E139" s="7" t="s">
        <v>22</v>
      </c>
      <c r="F139" s="7" t="s">
        <v>23</v>
      </c>
      <c r="G139" s="7" t="s">
        <v>64</v>
      </c>
      <c r="H139" s="7" t="s">
        <v>25</v>
      </c>
      <c r="I139" s="7" t="s">
        <v>26</v>
      </c>
      <c r="J139" s="7">
        <v>321</v>
      </c>
      <c r="K139" s="7">
        <v>459.03</v>
      </c>
      <c r="N139" s="4">
        <v>2020</v>
      </c>
      <c r="O139" s="4" t="s">
        <v>70</v>
      </c>
      <c r="P139" s="4" t="s">
        <v>36</v>
      </c>
      <c r="Q139" s="8" t="s">
        <v>37</v>
      </c>
      <c r="R139" s="9">
        <v>1245</v>
      </c>
      <c r="S139" s="9">
        <v>4577.2</v>
      </c>
      <c r="T139" s="9">
        <v>5126.4639999999999</v>
      </c>
      <c r="U139" s="9">
        <v>915.44</v>
      </c>
      <c r="V139" s="10" t="s">
        <v>30</v>
      </c>
    </row>
    <row r="140" spans="1:22" ht="18" customHeight="1" x14ac:dyDescent="0.25">
      <c r="A140" s="7" t="s">
        <v>19</v>
      </c>
      <c r="B140" s="7">
        <v>2020</v>
      </c>
      <c r="C140" s="7" t="s">
        <v>67</v>
      </c>
      <c r="D140" s="7" t="s">
        <v>21</v>
      </c>
      <c r="E140" s="7" t="s">
        <v>22</v>
      </c>
      <c r="F140" s="7" t="s">
        <v>23</v>
      </c>
      <c r="G140" s="7" t="s">
        <v>64</v>
      </c>
      <c r="H140" s="7" t="s">
        <v>25</v>
      </c>
      <c r="I140" s="7" t="s">
        <v>35</v>
      </c>
      <c r="J140" s="7">
        <v>315</v>
      </c>
      <c r="K140" s="7">
        <v>450.45</v>
      </c>
      <c r="N140" s="4">
        <v>2020</v>
      </c>
      <c r="O140" s="4" t="s">
        <v>70</v>
      </c>
      <c r="P140" s="4" t="s">
        <v>39</v>
      </c>
      <c r="Q140" s="13" t="s">
        <v>40</v>
      </c>
      <c r="R140" s="14">
        <v>644</v>
      </c>
      <c r="S140" s="14">
        <v>5743.5</v>
      </c>
      <c r="T140" s="14">
        <v>6432.72</v>
      </c>
      <c r="U140" s="9">
        <v>1148.7</v>
      </c>
      <c r="V140" s="10" t="s">
        <v>30</v>
      </c>
    </row>
    <row r="141" spans="1:22" ht="18" customHeight="1" x14ac:dyDescent="0.25">
      <c r="A141" s="7" t="s">
        <v>42</v>
      </c>
      <c r="B141" s="7">
        <v>2020</v>
      </c>
      <c r="C141" s="7" t="s">
        <v>67</v>
      </c>
      <c r="D141" s="7" t="s">
        <v>21</v>
      </c>
      <c r="E141" s="7" t="s">
        <v>22</v>
      </c>
      <c r="F141" s="7" t="s">
        <v>23</v>
      </c>
      <c r="G141" s="7" t="s">
        <v>64</v>
      </c>
      <c r="H141" s="7" t="s">
        <v>25</v>
      </c>
      <c r="I141" s="7" t="s">
        <v>35</v>
      </c>
      <c r="J141" s="7">
        <v>309</v>
      </c>
      <c r="K141" s="7">
        <v>441.87</v>
      </c>
      <c r="N141" s="4">
        <v>2020</v>
      </c>
      <c r="O141" s="4" t="s">
        <v>70</v>
      </c>
      <c r="P141" s="4" t="s">
        <v>43</v>
      </c>
      <c r="Q141" s="13" t="s">
        <v>44</v>
      </c>
      <c r="R141" s="14">
        <v>643</v>
      </c>
      <c r="S141" s="14">
        <v>7000</v>
      </c>
      <c r="T141" s="14">
        <v>7840</v>
      </c>
      <c r="U141" s="9">
        <v>1400</v>
      </c>
      <c r="V141" s="10" t="s">
        <v>30</v>
      </c>
    </row>
    <row r="142" spans="1:22" ht="18" customHeight="1" x14ac:dyDescent="0.25">
      <c r="A142" s="7" t="s">
        <v>19</v>
      </c>
      <c r="B142" s="7">
        <v>2020</v>
      </c>
      <c r="C142" s="7" t="s">
        <v>67</v>
      </c>
      <c r="D142" s="7" t="s">
        <v>21</v>
      </c>
      <c r="E142" s="7" t="s">
        <v>22</v>
      </c>
      <c r="F142" s="7" t="s">
        <v>23</v>
      </c>
      <c r="G142" s="7" t="s">
        <v>64</v>
      </c>
      <c r="H142" s="7" t="s">
        <v>25</v>
      </c>
      <c r="I142" s="7" t="s">
        <v>35</v>
      </c>
      <c r="J142" s="7">
        <v>225</v>
      </c>
      <c r="K142" s="7">
        <v>321.75</v>
      </c>
      <c r="N142" s="4">
        <v>2020</v>
      </c>
      <c r="O142" s="4" t="s">
        <v>70</v>
      </c>
      <c r="P142" s="4" t="s">
        <v>39</v>
      </c>
      <c r="Q142" s="13" t="s">
        <v>46</v>
      </c>
      <c r="R142" s="14">
        <v>455</v>
      </c>
      <c r="S142" s="14">
        <v>4578.6000000000004</v>
      </c>
      <c r="T142" s="14">
        <v>5128.0320000000002</v>
      </c>
      <c r="U142" s="9">
        <v>915.72000000000014</v>
      </c>
      <c r="V142" s="10" t="s">
        <v>30</v>
      </c>
    </row>
    <row r="143" spans="1:22" ht="18" customHeight="1" x14ac:dyDescent="0.25">
      <c r="A143" s="7" t="s">
        <v>19</v>
      </c>
      <c r="B143" s="7">
        <v>2020</v>
      </c>
      <c r="C143" s="7" t="s">
        <v>67</v>
      </c>
      <c r="D143" s="7" t="s">
        <v>21</v>
      </c>
      <c r="E143" s="7" t="s">
        <v>22</v>
      </c>
      <c r="F143" s="7" t="s">
        <v>23</v>
      </c>
      <c r="G143" s="7" t="s">
        <v>64</v>
      </c>
      <c r="H143" s="7" t="s">
        <v>25</v>
      </c>
      <c r="I143" s="7" t="s">
        <v>35</v>
      </c>
      <c r="J143" s="7">
        <v>751</v>
      </c>
      <c r="K143" s="7">
        <v>526.24</v>
      </c>
      <c r="N143" s="4">
        <v>2020</v>
      </c>
      <c r="O143" s="4" t="s">
        <v>70</v>
      </c>
      <c r="P143" s="4" t="s">
        <v>43</v>
      </c>
      <c r="Q143" s="13" t="s">
        <v>48</v>
      </c>
      <c r="R143" s="15">
        <v>345</v>
      </c>
      <c r="S143" s="15">
        <v>7000</v>
      </c>
      <c r="T143" s="15">
        <v>7840</v>
      </c>
      <c r="U143" s="9">
        <v>1400</v>
      </c>
      <c r="V143" s="10" t="s">
        <v>30</v>
      </c>
    </row>
    <row r="144" spans="1:22" ht="18" customHeight="1" x14ac:dyDescent="0.25">
      <c r="A144" s="7" t="s">
        <v>34</v>
      </c>
      <c r="B144" s="7">
        <v>2020</v>
      </c>
      <c r="C144" s="7" t="s">
        <v>67</v>
      </c>
      <c r="D144" s="7" t="s">
        <v>21</v>
      </c>
      <c r="E144" s="7" t="s">
        <v>22</v>
      </c>
      <c r="F144" s="7" t="s">
        <v>23</v>
      </c>
      <c r="G144" s="7" t="s">
        <v>64</v>
      </c>
      <c r="H144" s="7" t="s">
        <v>25</v>
      </c>
      <c r="I144" s="7" t="s">
        <v>35</v>
      </c>
      <c r="J144" s="7">
        <v>223</v>
      </c>
      <c r="K144" s="7">
        <v>318.89</v>
      </c>
      <c r="N144" s="4">
        <v>2020</v>
      </c>
      <c r="O144" s="4" t="s">
        <v>70</v>
      </c>
      <c r="P144" s="4" t="s">
        <v>36</v>
      </c>
      <c r="Q144" s="8" t="s">
        <v>49</v>
      </c>
      <c r="R144" s="9">
        <v>122</v>
      </c>
      <c r="S144" s="9">
        <v>100</v>
      </c>
      <c r="T144" s="9">
        <v>112</v>
      </c>
      <c r="U144" s="9">
        <v>20</v>
      </c>
      <c r="V144" s="10" t="s">
        <v>30</v>
      </c>
    </row>
    <row r="145" spans="1:22" ht="18" customHeight="1" x14ac:dyDescent="0.25">
      <c r="A145" s="7" t="s">
        <v>61</v>
      </c>
      <c r="B145" s="7">
        <v>2020</v>
      </c>
      <c r="C145" s="7" t="s">
        <v>67</v>
      </c>
      <c r="D145" s="7" t="s">
        <v>21</v>
      </c>
      <c r="E145" s="7" t="s">
        <v>22</v>
      </c>
      <c r="F145" s="7" t="s">
        <v>23</v>
      </c>
      <c r="G145" s="7" t="s">
        <v>64</v>
      </c>
      <c r="H145" s="7" t="s">
        <v>25</v>
      </c>
      <c r="I145" s="7" t="s">
        <v>35</v>
      </c>
      <c r="J145" s="7">
        <v>271</v>
      </c>
      <c r="K145" s="7">
        <v>387.53</v>
      </c>
      <c r="N145" s="4">
        <v>2020</v>
      </c>
      <c r="O145" s="4" t="s">
        <v>70</v>
      </c>
      <c r="P145" s="4" t="s">
        <v>50</v>
      </c>
      <c r="Q145" s="13" t="s">
        <v>51</v>
      </c>
      <c r="R145" s="14">
        <v>78</v>
      </c>
      <c r="S145" s="14">
        <v>4577.2</v>
      </c>
      <c r="T145" s="14">
        <v>5126.4639999999999</v>
      </c>
      <c r="U145" s="9">
        <v>915.44</v>
      </c>
      <c r="V145" s="10" t="s">
        <v>30</v>
      </c>
    </row>
    <row r="146" spans="1:22" ht="18" customHeight="1" x14ac:dyDescent="0.25">
      <c r="A146" s="7" t="s">
        <v>34</v>
      </c>
      <c r="B146" s="7">
        <v>2020</v>
      </c>
      <c r="C146" s="7" t="s">
        <v>67</v>
      </c>
      <c r="D146" s="7" t="s">
        <v>21</v>
      </c>
      <c r="E146" s="7" t="s">
        <v>22</v>
      </c>
      <c r="F146" s="7" t="s">
        <v>23</v>
      </c>
      <c r="G146" s="7" t="s">
        <v>64</v>
      </c>
      <c r="H146" s="7" t="s">
        <v>25</v>
      </c>
      <c r="I146" s="7" t="s">
        <v>35</v>
      </c>
      <c r="J146" s="7">
        <v>199</v>
      </c>
      <c r="K146" s="7">
        <v>284.57</v>
      </c>
      <c r="N146" s="4">
        <v>2020</v>
      </c>
      <c r="O146" s="4" t="s">
        <v>70</v>
      </c>
      <c r="P146" s="4" t="s">
        <v>50</v>
      </c>
      <c r="Q146" s="13" t="s">
        <v>52</v>
      </c>
      <c r="R146" s="14">
        <v>76</v>
      </c>
      <c r="S146" s="14">
        <v>4576.8999999999996</v>
      </c>
      <c r="T146" s="14">
        <v>5126.1279999999997</v>
      </c>
      <c r="U146" s="9">
        <v>915.38</v>
      </c>
      <c r="V146" s="10" t="s">
        <v>30</v>
      </c>
    </row>
    <row r="147" spans="1:22" ht="18" customHeight="1" x14ac:dyDescent="0.25">
      <c r="A147" s="7" t="s">
        <v>42</v>
      </c>
      <c r="B147" s="7">
        <v>2020</v>
      </c>
      <c r="C147" s="7" t="s">
        <v>67</v>
      </c>
      <c r="D147" s="7" t="s">
        <v>21</v>
      </c>
      <c r="E147" s="7" t="s">
        <v>22</v>
      </c>
      <c r="F147" s="7" t="s">
        <v>23</v>
      </c>
      <c r="G147" s="7" t="s">
        <v>64</v>
      </c>
      <c r="H147" s="7" t="s">
        <v>25</v>
      </c>
      <c r="I147" s="7" t="s">
        <v>26</v>
      </c>
      <c r="J147" s="7">
        <v>882</v>
      </c>
      <c r="K147" s="7">
        <v>1261.26</v>
      </c>
      <c r="N147" s="4">
        <v>2020</v>
      </c>
      <c r="O147" s="4" t="s">
        <v>70</v>
      </c>
      <c r="P147" s="4" t="s">
        <v>50</v>
      </c>
      <c r="Q147" s="13" t="s">
        <v>54</v>
      </c>
      <c r="R147" s="14">
        <v>46</v>
      </c>
      <c r="S147" s="14">
        <v>200</v>
      </c>
      <c r="T147" s="14">
        <v>224</v>
      </c>
      <c r="U147" s="9">
        <v>40</v>
      </c>
      <c r="V147" s="10" t="s">
        <v>30</v>
      </c>
    </row>
    <row r="148" spans="1:22" ht="18" customHeight="1" x14ac:dyDescent="0.25">
      <c r="A148" s="7" t="s">
        <v>19</v>
      </c>
      <c r="B148" s="7">
        <v>2020</v>
      </c>
      <c r="C148" s="7" t="s">
        <v>67</v>
      </c>
      <c r="D148" s="7" t="s">
        <v>21</v>
      </c>
      <c r="E148" s="7" t="s">
        <v>22</v>
      </c>
      <c r="F148" s="7" t="s">
        <v>23</v>
      </c>
      <c r="G148" s="7" t="s">
        <v>64</v>
      </c>
      <c r="H148" s="7" t="s">
        <v>25</v>
      </c>
      <c r="I148" s="7" t="s">
        <v>26</v>
      </c>
      <c r="J148" s="7">
        <v>883</v>
      </c>
      <c r="K148" s="7">
        <v>1262.69</v>
      </c>
      <c r="N148" s="4">
        <v>2020</v>
      </c>
      <c r="O148" s="4" t="s">
        <v>70</v>
      </c>
      <c r="P148" s="4" t="s">
        <v>50</v>
      </c>
      <c r="Q148" s="13" t="s">
        <v>55</v>
      </c>
      <c r="R148" s="14">
        <v>34</v>
      </c>
      <c r="S148" s="14">
        <v>4576.8</v>
      </c>
      <c r="T148" s="14">
        <v>5126.0160000000005</v>
      </c>
      <c r="U148" s="9">
        <v>915.36000000000013</v>
      </c>
      <c r="V148" s="10" t="s">
        <v>30</v>
      </c>
    </row>
    <row r="149" spans="1:22" ht="18" customHeight="1" x14ac:dyDescent="0.25">
      <c r="A149" s="7" t="s">
        <v>42</v>
      </c>
      <c r="B149" s="7">
        <v>2020</v>
      </c>
      <c r="C149" s="7" t="s">
        <v>67</v>
      </c>
      <c r="D149" s="7" t="s">
        <v>21</v>
      </c>
      <c r="E149" s="7" t="s">
        <v>22</v>
      </c>
      <c r="F149" s="7" t="s">
        <v>23</v>
      </c>
      <c r="G149" s="7" t="s">
        <v>64</v>
      </c>
      <c r="H149" s="7" t="s">
        <v>25</v>
      </c>
      <c r="I149" s="7" t="s">
        <v>35</v>
      </c>
      <c r="J149" s="7">
        <v>227</v>
      </c>
      <c r="K149" s="7">
        <v>324.61</v>
      </c>
      <c r="N149" s="4">
        <v>2020</v>
      </c>
      <c r="O149" s="4" t="s">
        <v>70</v>
      </c>
      <c r="P149" s="4" t="s">
        <v>36</v>
      </c>
      <c r="Q149" s="8" t="s">
        <v>56</v>
      </c>
      <c r="R149" s="9">
        <v>7</v>
      </c>
      <c r="S149" s="9">
        <v>200</v>
      </c>
      <c r="T149" s="9">
        <v>224</v>
      </c>
      <c r="U149" s="9">
        <v>40</v>
      </c>
      <c r="V149" s="10" t="s">
        <v>30</v>
      </c>
    </row>
    <row r="150" spans="1:22" ht="18" customHeight="1" x14ac:dyDescent="0.25">
      <c r="A150" s="7" t="s">
        <v>34</v>
      </c>
      <c r="B150" s="7">
        <v>2020</v>
      </c>
      <c r="C150" s="7" t="s">
        <v>67</v>
      </c>
      <c r="D150" s="7" t="s">
        <v>21</v>
      </c>
      <c r="E150" s="7" t="s">
        <v>22</v>
      </c>
      <c r="F150" s="7" t="s">
        <v>23</v>
      </c>
      <c r="G150" s="7" t="s">
        <v>64</v>
      </c>
      <c r="H150" s="7" t="s">
        <v>25</v>
      </c>
      <c r="I150" s="7" t="s">
        <v>35</v>
      </c>
      <c r="J150" s="7">
        <v>774</v>
      </c>
      <c r="K150" s="7">
        <v>1106.82</v>
      </c>
      <c r="N150" s="4">
        <v>2020</v>
      </c>
      <c r="O150" s="4" t="s">
        <v>70</v>
      </c>
      <c r="P150" s="4" t="s">
        <v>50</v>
      </c>
      <c r="Q150" s="13" t="s">
        <v>58</v>
      </c>
      <c r="R150" s="14">
        <v>3</v>
      </c>
      <c r="S150" s="14">
        <v>4577.3</v>
      </c>
      <c r="T150" s="14">
        <v>5126.576</v>
      </c>
      <c r="U150" s="9">
        <v>915.46</v>
      </c>
      <c r="V150" s="10" t="s">
        <v>63</v>
      </c>
    </row>
    <row r="151" spans="1:22" ht="18" customHeight="1" x14ac:dyDescent="0.25">
      <c r="A151" s="7" t="s">
        <v>42</v>
      </c>
      <c r="B151" s="7">
        <v>2020</v>
      </c>
      <c r="C151" s="7" t="s">
        <v>62</v>
      </c>
      <c r="D151" s="7" t="s">
        <v>21</v>
      </c>
      <c r="E151" s="7" t="s">
        <v>22</v>
      </c>
      <c r="F151" s="7" t="s">
        <v>23</v>
      </c>
      <c r="G151" s="7" t="s">
        <v>64</v>
      </c>
      <c r="H151" s="7" t="s">
        <v>25</v>
      </c>
      <c r="I151" s="7" t="s">
        <v>35</v>
      </c>
      <c r="J151" s="7">
        <v>368</v>
      </c>
      <c r="K151" s="7">
        <v>526.24</v>
      </c>
      <c r="N151" s="4">
        <v>2020</v>
      </c>
      <c r="O151" s="4" t="s">
        <v>70</v>
      </c>
      <c r="P151" s="4" t="s">
        <v>57</v>
      </c>
      <c r="Q151" s="13" t="s">
        <v>57</v>
      </c>
      <c r="R151" s="14">
        <v>2</v>
      </c>
      <c r="S151" s="14">
        <v>6600</v>
      </c>
      <c r="T151" s="14">
        <v>7392</v>
      </c>
      <c r="U151" s="9">
        <v>1320</v>
      </c>
      <c r="V151" s="10" t="s">
        <v>63</v>
      </c>
    </row>
    <row r="152" spans="1:22" ht="18" customHeight="1" x14ac:dyDescent="0.25">
      <c r="A152" s="7" t="s">
        <v>42</v>
      </c>
      <c r="B152" s="7">
        <v>2020</v>
      </c>
      <c r="C152" s="7" t="s">
        <v>62</v>
      </c>
      <c r="D152" s="7" t="s">
        <v>21</v>
      </c>
      <c r="E152" s="7" t="s">
        <v>22</v>
      </c>
      <c r="F152" s="7" t="s">
        <v>23</v>
      </c>
      <c r="G152" s="7" t="s">
        <v>64</v>
      </c>
      <c r="H152" s="7" t="s">
        <v>25</v>
      </c>
      <c r="I152" s="7" t="s">
        <v>26</v>
      </c>
      <c r="J152" s="7">
        <v>362</v>
      </c>
      <c r="K152" s="7">
        <v>517.66</v>
      </c>
      <c r="N152" s="4">
        <v>2020</v>
      </c>
      <c r="O152" s="4" t="s">
        <v>71</v>
      </c>
      <c r="P152" s="4" t="s">
        <v>28</v>
      </c>
      <c r="Q152" s="8" t="s">
        <v>29</v>
      </c>
      <c r="R152" s="9">
        <v>3566</v>
      </c>
      <c r="S152" s="9">
        <v>4577.3</v>
      </c>
      <c r="T152" s="9">
        <v>5126.576</v>
      </c>
      <c r="U152" s="9">
        <v>915.46</v>
      </c>
      <c r="V152" s="10" t="s">
        <v>63</v>
      </c>
    </row>
    <row r="153" spans="1:22" ht="18" customHeight="1" x14ac:dyDescent="0.25">
      <c r="A153" s="7" t="s">
        <v>42</v>
      </c>
      <c r="B153" s="7">
        <v>2020</v>
      </c>
      <c r="C153" s="7" t="s">
        <v>62</v>
      </c>
      <c r="D153" s="7" t="s">
        <v>21</v>
      </c>
      <c r="E153" s="7" t="s">
        <v>22</v>
      </c>
      <c r="F153" s="7" t="s">
        <v>23</v>
      </c>
      <c r="G153" s="7" t="s">
        <v>64</v>
      </c>
      <c r="H153" s="7" t="s">
        <v>25</v>
      </c>
      <c r="I153" s="7" t="s">
        <v>26</v>
      </c>
      <c r="J153" s="7">
        <v>356</v>
      </c>
      <c r="K153" s="7">
        <v>509.08</v>
      </c>
      <c r="N153" s="4">
        <v>2020</v>
      </c>
      <c r="O153" s="4" t="s">
        <v>71</v>
      </c>
      <c r="P153" s="4" t="s">
        <v>28</v>
      </c>
      <c r="Q153" s="8" t="s">
        <v>32</v>
      </c>
      <c r="R153" s="9">
        <v>2498</v>
      </c>
      <c r="S153" s="9">
        <v>8000</v>
      </c>
      <c r="T153" s="9">
        <v>8960</v>
      </c>
      <c r="U153" s="9">
        <v>1600</v>
      </c>
      <c r="V153" s="10" t="s">
        <v>63</v>
      </c>
    </row>
    <row r="154" spans="1:22" ht="18" customHeight="1" x14ac:dyDescent="0.25">
      <c r="A154" s="7" t="s">
        <v>53</v>
      </c>
      <c r="B154" s="7">
        <v>2020</v>
      </c>
      <c r="C154" s="7" t="s">
        <v>62</v>
      </c>
      <c r="D154" s="7" t="s">
        <v>21</v>
      </c>
      <c r="E154" s="7" t="s">
        <v>22</v>
      </c>
      <c r="F154" s="7" t="s">
        <v>23</v>
      </c>
      <c r="G154" s="7" t="s">
        <v>64</v>
      </c>
      <c r="H154" s="7" t="s">
        <v>25</v>
      </c>
      <c r="I154" s="7" t="s">
        <v>35</v>
      </c>
      <c r="J154" s="7">
        <v>242</v>
      </c>
      <c r="K154" s="7">
        <v>346.06</v>
      </c>
      <c r="N154" s="4">
        <v>2020</v>
      </c>
      <c r="O154" s="4" t="s">
        <v>71</v>
      </c>
      <c r="P154" s="4" t="s">
        <v>36</v>
      </c>
      <c r="Q154" s="8" t="s">
        <v>37</v>
      </c>
      <c r="R154" s="9">
        <v>1245</v>
      </c>
      <c r="S154" s="9">
        <v>4577.2</v>
      </c>
      <c r="T154" s="9">
        <v>5126.4639999999999</v>
      </c>
      <c r="U154" s="9">
        <v>915.44</v>
      </c>
      <c r="V154" s="10" t="s">
        <v>63</v>
      </c>
    </row>
    <row r="155" spans="1:22" ht="18" customHeight="1" x14ac:dyDescent="0.25">
      <c r="A155" s="7" t="s">
        <v>19</v>
      </c>
      <c r="B155" s="7">
        <v>2020</v>
      </c>
      <c r="C155" s="7" t="s">
        <v>62</v>
      </c>
      <c r="D155" s="7" t="s">
        <v>21</v>
      </c>
      <c r="E155" s="7" t="s">
        <v>22</v>
      </c>
      <c r="F155" s="7" t="s">
        <v>23</v>
      </c>
      <c r="G155" s="7" t="s">
        <v>64</v>
      </c>
      <c r="H155" s="7" t="s">
        <v>25</v>
      </c>
      <c r="I155" s="7" t="s">
        <v>35</v>
      </c>
      <c r="J155" s="7">
        <v>290</v>
      </c>
      <c r="K155" s="7">
        <v>414.7</v>
      </c>
      <c r="N155" s="4">
        <v>2020</v>
      </c>
      <c r="O155" s="4" t="s">
        <v>71</v>
      </c>
      <c r="P155" s="4" t="s">
        <v>39</v>
      </c>
      <c r="Q155" s="13" t="s">
        <v>40</v>
      </c>
      <c r="R155" s="14">
        <v>644</v>
      </c>
      <c r="S155" s="14">
        <v>5743.5</v>
      </c>
      <c r="T155" s="14">
        <v>6432.72</v>
      </c>
      <c r="U155" s="9">
        <v>1148.7</v>
      </c>
      <c r="V155" s="10" t="s">
        <v>63</v>
      </c>
    </row>
    <row r="156" spans="1:22" ht="18" customHeight="1" x14ac:dyDescent="0.25">
      <c r="A156" s="7" t="s">
        <v>34</v>
      </c>
      <c r="B156" s="7">
        <v>2020</v>
      </c>
      <c r="C156" s="7" t="s">
        <v>62</v>
      </c>
      <c r="D156" s="7" t="s">
        <v>21</v>
      </c>
      <c r="E156" s="7" t="s">
        <v>22</v>
      </c>
      <c r="F156" s="7" t="s">
        <v>23</v>
      </c>
      <c r="G156" s="7" t="s">
        <v>64</v>
      </c>
      <c r="H156" s="7" t="s">
        <v>25</v>
      </c>
      <c r="I156" s="7" t="s">
        <v>35</v>
      </c>
      <c r="J156" s="7">
        <v>212</v>
      </c>
      <c r="K156" s="7">
        <v>303.15999999999997</v>
      </c>
      <c r="N156" s="4">
        <v>2020</v>
      </c>
      <c r="O156" s="4" t="s">
        <v>71</v>
      </c>
      <c r="P156" s="4" t="s">
        <v>43</v>
      </c>
      <c r="Q156" s="13" t="s">
        <v>44</v>
      </c>
      <c r="R156" s="14">
        <v>643</v>
      </c>
      <c r="S156" s="14">
        <v>7000</v>
      </c>
      <c r="T156" s="14">
        <v>7840</v>
      </c>
      <c r="U156" s="9">
        <v>1400</v>
      </c>
      <c r="V156" s="10" t="s">
        <v>63</v>
      </c>
    </row>
    <row r="157" spans="1:22" ht="18" customHeight="1" x14ac:dyDescent="0.25">
      <c r="A157" s="7" t="s">
        <v>61</v>
      </c>
      <c r="B157" s="7">
        <v>2020</v>
      </c>
      <c r="C157" s="7" t="s">
        <v>62</v>
      </c>
      <c r="D157" s="7" t="s">
        <v>21</v>
      </c>
      <c r="E157" s="7" t="s">
        <v>22</v>
      </c>
      <c r="F157" s="7" t="s">
        <v>23</v>
      </c>
      <c r="G157" s="7" t="s">
        <v>64</v>
      </c>
      <c r="H157" s="7" t="s">
        <v>25</v>
      </c>
      <c r="I157" s="7" t="s">
        <v>35</v>
      </c>
      <c r="J157" s="7">
        <v>286</v>
      </c>
      <c r="K157" s="7">
        <v>408.98</v>
      </c>
      <c r="N157" s="4">
        <v>2020</v>
      </c>
      <c r="O157" s="4" t="s">
        <v>71</v>
      </c>
      <c r="P157" s="4" t="s">
        <v>39</v>
      </c>
      <c r="Q157" s="13" t="s">
        <v>46</v>
      </c>
      <c r="R157" s="14">
        <v>455</v>
      </c>
      <c r="S157" s="14">
        <v>4578.6000000000004</v>
      </c>
      <c r="T157" s="14">
        <v>5128.0320000000002</v>
      </c>
      <c r="U157" s="9">
        <v>915.72000000000014</v>
      </c>
      <c r="V157" s="10" t="s">
        <v>63</v>
      </c>
    </row>
    <row r="158" spans="1:22" ht="18" customHeight="1" x14ac:dyDescent="0.25">
      <c r="A158" s="7" t="s">
        <v>53</v>
      </c>
      <c r="B158" s="7">
        <v>2020</v>
      </c>
      <c r="C158" s="7" t="s">
        <v>62</v>
      </c>
      <c r="D158" s="7" t="s">
        <v>21</v>
      </c>
      <c r="E158" s="7" t="s">
        <v>22</v>
      </c>
      <c r="F158" s="7" t="s">
        <v>23</v>
      </c>
      <c r="G158" s="7" t="s">
        <v>64</v>
      </c>
      <c r="H158" s="7" t="s">
        <v>25</v>
      </c>
      <c r="I158" s="7" t="s">
        <v>35</v>
      </c>
      <c r="J158" s="7">
        <v>214</v>
      </c>
      <c r="K158" s="7">
        <v>306.02</v>
      </c>
      <c r="N158" s="4">
        <v>2020</v>
      </c>
      <c r="O158" s="4" t="s">
        <v>71</v>
      </c>
      <c r="P158" s="4" t="s">
        <v>43</v>
      </c>
      <c r="Q158" s="13" t="s">
        <v>48</v>
      </c>
      <c r="R158" s="15">
        <v>345</v>
      </c>
      <c r="S158" s="15">
        <v>7000</v>
      </c>
      <c r="T158" s="15">
        <v>7840</v>
      </c>
      <c r="U158" s="9">
        <v>1400</v>
      </c>
      <c r="V158" s="10" t="s">
        <v>63</v>
      </c>
    </row>
    <row r="159" spans="1:22" ht="18" customHeight="1" x14ac:dyDescent="0.25">
      <c r="A159" s="7" t="s">
        <v>34</v>
      </c>
      <c r="B159" s="7">
        <v>2020</v>
      </c>
      <c r="C159" s="7" t="s">
        <v>62</v>
      </c>
      <c r="D159" s="7" t="s">
        <v>21</v>
      </c>
      <c r="E159" s="7" t="s">
        <v>22</v>
      </c>
      <c r="F159" s="7" t="s">
        <v>23</v>
      </c>
      <c r="G159" s="7" t="s">
        <v>64</v>
      </c>
      <c r="H159" s="7" t="s">
        <v>25</v>
      </c>
      <c r="I159" s="7" t="s">
        <v>35</v>
      </c>
      <c r="J159" s="7">
        <v>366</v>
      </c>
      <c r="K159" s="7">
        <v>526.24</v>
      </c>
      <c r="N159" s="4">
        <v>2020</v>
      </c>
      <c r="O159" s="4" t="s">
        <v>71</v>
      </c>
      <c r="P159" s="4" t="s">
        <v>36</v>
      </c>
      <c r="Q159" s="8" t="s">
        <v>49</v>
      </c>
      <c r="R159" s="9">
        <v>122</v>
      </c>
      <c r="S159" s="9">
        <v>100</v>
      </c>
      <c r="T159" s="9">
        <v>112</v>
      </c>
      <c r="U159" s="9">
        <v>20</v>
      </c>
      <c r="V159" s="10" t="s">
        <v>63</v>
      </c>
    </row>
    <row r="160" spans="1:22" ht="18" customHeight="1" x14ac:dyDescent="0.25">
      <c r="A160" s="7" t="s">
        <v>34</v>
      </c>
      <c r="B160" s="7">
        <v>2020</v>
      </c>
      <c r="C160" s="7" t="s">
        <v>62</v>
      </c>
      <c r="D160" s="7" t="s">
        <v>21</v>
      </c>
      <c r="E160" s="7" t="s">
        <v>22</v>
      </c>
      <c r="F160" s="7" t="s">
        <v>23</v>
      </c>
      <c r="G160" s="7" t="s">
        <v>64</v>
      </c>
      <c r="H160" s="7" t="s">
        <v>25</v>
      </c>
      <c r="I160" s="7" t="s">
        <v>26</v>
      </c>
      <c r="J160" s="7">
        <v>360</v>
      </c>
      <c r="K160" s="7">
        <v>526.24</v>
      </c>
      <c r="N160" s="4">
        <v>2020</v>
      </c>
      <c r="O160" s="4" t="s">
        <v>71</v>
      </c>
      <c r="P160" s="4" t="s">
        <v>50</v>
      </c>
      <c r="Q160" s="13" t="s">
        <v>51</v>
      </c>
      <c r="R160" s="14">
        <v>78</v>
      </c>
      <c r="S160" s="14">
        <v>4577.2</v>
      </c>
      <c r="T160" s="14">
        <v>5126.4639999999999</v>
      </c>
      <c r="U160" s="9">
        <v>915.44</v>
      </c>
      <c r="V160" s="10" t="s">
        <v>63</v>
      </c>
    </row>
    <row r="161" spans="1:22" ht="18" customHeight="1" x14ac:dyDescent="0.25">
      <c r="A161" s="7" t="s">
        <v>42</v>
      </c>
      <c r="B161" s="7">
        <v>2020</v>
      </c>
      <c r="C161" s="7" t="s">
        <v>62</v>
      </c>
      <c r="D161" s="7" t="s">
        <v>21</v>
      </c>
      <c r="E161" s="7" t="s">
        <v>22</v>
      </c>
      <c r="F161" s="7" t="s">
        <v>23</v>
      </c>
      <c r="G161" s="7" t="s">
        <v>64</v>
      </c>
      <c r="H161" s="7" t="s">
        <v>25</v>
      </c>
      <c r="I161" s="7" t="s">
        <v>35</v>
      </c>
      <c r="J161" s="7">
        <v>676</v>
      </c>
      <c r="K161" s="7">
        <v>966.68000000000006</v>
      </c>
      <c r="N161" s="4">
        <v>2020</v>
      </c>
      <c r="O161" s="4" t="s">
        <v>71</v>
      </c>
      <c r="P161" s="4" t="s">
        <v>50</v>
      </c>
      <c r="Q161" s="13" t="s">
        <v>52</v>
      </c>
      <c r="R161" s="14">
        <v>76</v>
      </c>
      <c r="S161" s="14">
        <v>4576.8999999999996</v>
      </c>
      <c r="T161" s="14">
        <v>5126.1279999999997</v>
      </c>
      <c r="U161" s="9">
        <v>915.38</v>
      </c>
      <c r="V161" s="10" t="s">
        <v>63</v>
      </c>
    </row>
    <row r="162" spans="1:22" ht="18" customHeight="1" x14ac:dyDescent="0.25">
      <c r="A162" s="7" t="s">
        <v>42</v>
      </c>
      <c r="B162" s="7">
        <v>2020</v>
      </c>
      <c r="C162" s="7" t="s">
        <v>62</v>
      </c>
      <c r="D162" s="7" t="s">
        <v>21</v>
      </c>
      <c r="E162" s="7" t="s">
        <v>22</v>
      </c>
      <c r="F162" s="7" t="s">
        <v>23</v>
      </c>
      <c r="G162" s="7" t="s">
        <v>64</v>
      </c>
      <c r="H162" s="7" t="s">
        <v>25</v>
      </c>
      <c r="I162" s="7" t="s">
        <v>35</v>
      </c>
      <c r="J162" s="7">
        <v>709</v>
      </c>
      <c r="K162" s="7">
        <v>1013.87</v>
      </c>
      <c r="N162" s="4">
        <v>2020</v>
      </c>
      <c r="O162" s="4" t="s">
        <v>71</v>
      </c>
      <c r="P162" s="4" t="s">
        <v>50</v>
      </c>
      <c r="Q162" s="13" t="s">
        <v>54</v>
      </c>
      <c r="R162" s="14">
        <v>46</v>
      </c>
      <c r="S162" s="14">
        <v>200</v>
      </c>
      <c r="T162" s="14">
        <v>224</v>
      </c>
      <c r="U162" s="9">
        <v>40</v>
      </c>
      <c r="V162" s="10" t="s">
        <v>63</v>
      </c>
    </row>
    <row r="163" spans="1:22" ht="18" customHeight="1" x14ac:dyDescent="0.25">
      <c r="A163" s="7" t="s">
        <v>19</v>
      </c>
      <c r="B163" s="7">
        <v>2020</v>
      </c>
      <c r="C163" s="7" t="s">
        <v>62</v>
      </c>
      <c r="D163" s="7" t="s">
        <v>21</v>
      </c>
      <c r="E163" s="7" t="s">
        <v>22</v>
      </c>
      <c r="F163" s="7" t="s">
        <v>23</v>
      </c>
      <c r="G163" s="7" t="s">
        <v>64</v>
      </c>
      <c r="H163" s="7" t="s">
        <v>25</v>
      </c>
      <c r="I163" s="7" t="s">
        <v>35</v>
      </c>
      <c r="J163" s="7">
        <v>762</v>
      </c>
      <c r="K163" s="7">
        <v>1089.6599999999999</v>
      </c>
      <c r="N163" s="4">
        <v>2020</v>
      </c>
      <c r="O163" s="4" t="s">
        <v>71</v>
      </c>
      <c r="P163" s="4" t="s">
        <v>50</v>
      </c>
      <c r="Q163" s="13" t="s">
        <v>55</v>
      </c>
      <c r="R163" s="14">
        <v>34</v>
      </c>
      <c r="S163" s="14">
        <v>4576.8</v>
      </c>
      <c r="T163" s="14">
        <v>5126.0160000000005</v>
      </c>
      <c r="U163" s="9">
        <v>915.36000000000013</v>
      </c>
      <c r="V163" s="10" t="s">
        <v>63</v>
      </c>
    </row>
    <row r="164" spans="1:22" ht="18" customHeight="1" x14ac:dyDescent="0.25">
      <c r="A164" s="7" t="s">
        <v>19</v>
      </c>
      <c r="B164" s="7">
        <v>2020</v>
      </c>
      <c r="C164" s="7" t="s">
        <v>62</v>
      </c>
      <c r="D164" s="7" t="s">
        <v>21</v>
      </c>
      <c r="E164" s="7" t="s">
        <v>22</v>
      </c>
      <c r="F164" s="7" t="s">
        <v>23</v>
      </c>
      <c r="G164" s="7" t="s">
        <v>64</v>
      </c>
      <c r="H164" s="7" t="s">
        <v>25</v>
      </c>
      <c r="I164" s="7" t="s">
        <v>35</v>
      </c>
      <c r="J164" s="7">
        <v>369</v>
      </c>
      <c r="K164" s="7">
        <v>527.66999999999996</v>
      </c>
      <c r="N164" s="4">
        <v>2020</v>
      </c>
      <c r="O164" s="4" t="s">
        <v>71</v>
      </c>
      <c r="P164" s="4" t="s">
        <v>36</v>
      </c>
      <c r="Q164" s="8" t="s">
        <v>56</v>
      </c>
      <c r="R164" s="9">
        <v>7</v>
      </c>
      <c r="S164" s="9">
        <v>200</v>
      </c>
      <c r="T164" s="9">
        <v>224</v>
      </c>
      <c r="U164" s="9">
        <v>40</v>
      </c>
      <c r="V164" s="10" t="s">
        <v>63</v>
      </c>
    </row>
    <row r="165" spans="1:22" ht="18" customHeight="1" x14ac:dyDescent="0.25">
      <c r="A165" s="7" t="s">
        <v>42</v>
      </c>
      <c r="B165" s="7">
        <v>2020</v>
      </c>
      <c r="C165" s="7" t="s">
        <v>62</v>
      </c>
      <c r="D165" s="7" t="s">
        <v>21</v>
      </c>
      <c r="E165" s="7" t="s">
        <v>22</v>
      </c>
      <c r="F165" s="7" t="s">
        <v>23</v>
      </c>
      <c r="G165" s="7" t="s">
        <v>64</v>
      </c>
      <c r="H165" s="7" t="s">
        <v>25</v>
      </c>
      <c r="I165" s="7" t="s">
        <v>35</v>
      </c>
      <c r="J165" s="7">
        <v>363</v>
      </c>
      <c r="K165" s="7">
        <v>519.09</v>
      </c>
      <c r="N165" s="4">
        <v>2020</v>
      </c>
      <c r="O165" s="4" t="s">
        <v>71</v>
      </c>
      <c r="P165" s="4" t="s">
        <v>50</v>
      </c>
      <c r="Q165" s="13" t="s">
        <v>58</v>
      </c>
      <c r="R165" s="14">
        <v>3</v>
      </c>
      <c r="S165" s="14">
        <v>4577.3</v>
      </c>
      <c r="T165" s="14">
        <v>5126.576</v>
      </c>
      <c r="U165" s="9">
        <v>915.46</v>
      </c>
      <c r="V165" s="10" t="s">
        <v>63</v>
      </c>
    </row>
    <row r="166" spans="1:22" ht="18" customHeight="1" x14ac:dyDescent="0.25">
      <c r="A166" s="7" t="s">
        <v>61</v>
      </c>
      <c r="B166" s="7">
        <v>2020</v>
      </c>
      <c r="C166" s="7" t="s">
        <v>62</v>
      </c>
      <c r="D166" s="7" t="s">
        <v>21</v>
      </c>
      <c r="E166" s="7" t="s">
        <v>22</v>
      </c>
      <c r="F166" s="7" t="s">
        <v>23</v>
      </c>
      <c r="G166" s="7" t="s">
        <v>64</v>
      </c>
      <c r="H166" s="7" t="s">
        <v>25</v>
      </c>
      <c r="I166" s="7" t="s">
        <v>26</v>
      </c>
      <c r="J166" s="7">
        <v>357</v>
      </c>
      <c r="K166" s="7">
        <v>510.51</v>
      </c>
      <c r="N166" s="4">
        <v>2020</v>
      </c>
      <c r="O166" s="4" t="s">
        <v>71</v>
      </c>
      <c r="P166" s="4" t="s">
        <v>57</v>
      </c>
      <c r="Q166" s="13" t="s">
        <v>57</v>
      </c>
      <c r="R166" s="14">
        <v>2</v>
      </c>
      <c r="S166" s="14">
        <v>6600</v>
      </c>
      <c r="T166" s="14">
        <v>7392</v>
      </c>
      <c r="U166" s="9">
        <v>1320</v>
      </c>
      <c r="V166" s="10" t="s">
        <v>30</v>
      </c>
    </row>
    <row r="167" spans="1:22" ht="18" customHeight="1" x14ac:dyDescent="0.25">
      <c r="A167" s="7" t="s">
        <v>19</v>
      </c>
      <c r="B167" s="7">
        <v>2020</v>
      </c>
      <c r="C167" s="7" t="s">
        <v>62</v>
      </c>
      <c r="D167" s="7" t="s">
        <v>21</v>
      </c>
      <c r="E167" s="7" t="s">
        <v>22</v>
      </c>
      <c r="F167" s="7" t="s">
        <v>23</v>
      </c>
      <c r="G167" s="7" t="s">
        <v>64</v>
      </c>
      <c r="H167" s="7" t="s">
        <v>25</v>
      </c>
      <c r="I167" s="7" t="s">
        <v>35</v>
      </c>
      <c r="J167" s="7">
        <v>243</v>
      </c>
      <c r="K167" s="7">
        <v>347.49</v>
      </c>
      <c r="N167" s="4">
        <v>2020</v>
      </c>
      <c r="O167" s="4" t="s">
        <v>65</v>
      </c>
      <c r="P167" s="4" t="s">
        <v>28</v>
      </c>
      <c r="Q167" s="8" t="s">
        <v>29</v>
      </c>
      <c r="R167" s="9">
        <v>3566</v>
      </c>
      <c r="S167" s="9">
        <v>4577.3</v>
      </c>
      <c r="T167" s="9">
        <v>5126.576</v>
      </c>
      <c r="U167" s="9">
        <v>915.46</v>
      </c>
      <c r="V167" s="10" t="s">
        <v>30</v>
      </c>
    </row>
    <row r="168" spans="1:22" ht="18" customHeight="1" x14ac:dyDescent="0.25">
      <c r="A168" s="7" t="s">
        <v>42</v>
      </c>
      <c r="B168" s="7">
        <v>2020</v>
      </c>
      <c r="C168" s="7" t="s">
        <v>62</v>
      </c>
      <c r="D168" s="7" t="s">
        <v>21</v>
      </c>
      <c r="E168" s="7" t="s">
        <v>22</v>
      </c>
      <c r="F168" s="7" t="s">
        <v>23</v>
      </c>
      <c r="G168" s="7" t="s">
        <v>64</v>
      </c>
      <c r="H168" s="7" t="s">
        <v>25</v>
      </c>
      <c r="I168" s="7" t="s">
        <v>35</v>
      </c>
      <c r="J168" s="7">
        <v>802</v>
      </c>
      <c r="K168" s="7">
        <v>526.24</v>
      </c>
      <c r="N168" s="4">
        <v>2020</v>
      </c>
      <c r="O168" s="4" t="s">
        <v>65</v>
      </c>
      <c r="P168" s="4" t="s">
        <v>28</v>
      </c>
      <c r="Q168" s="8" t="s">
        <v>32</v>
      </c>
      <c r="R168" s="9">
        <v>2498</v>
      </c>
      <c r="S168" s="9">
        <v>8000</v>
      </c>
      <c r="T168" s="9">
        <v>8960</v>
      </c>
      <c r="U168" s="9">
        <v>1600</v>
      </c>
      <c r="V168" s="10" t="s">
        <v>30</v>
      </c>
    </row>
    <row r="169" spans="1:22" ht="18" customHeight="1" x14ac:dyDescent="0.25">
      <c r="A169" s="7" t="s">
        <v>53</v>
      </c>
      <c r="B169" s="7">
        <v>2020</v>
      </c>
      <c r="C169" s="7" t="s">
        <v>62</v>
      </c>
      <c r="D169" s="7" t="s">
        <v>21</v>
      </c>
      <c r="E169" s="7" t="s">
        <v>22</v>
      </c>
      <c r="F169" s="7" t="s">
        <v>23</v>
      </c>
      <c r="G169" s="7" t="s">
        <v>64</v>
      </c>
      <c r="H169" s="7" t="s">
        <v>25</v>
      </c>
      <c r="I169" s="7" t="s">
        <v>35</v>
      </c>
      <c r="J169" s="7">
        <v>241</v>
      </c>
      <c r="K169" s="7">
        <v>344.63</v>
      </c>
      <c r="N169" s="4">
        <v>2020</v>
      </c>
      <c r="O169" s="4" t="s">
        <v>65</v>
      </c>
      <c r="P169" s="4" t="s">
        <v>36</v>
      </c>
      <c r="Q169" s="8" t="s">
        <v>37</v>
      </c>
      <c r="R169" s="9">
        <v>1245</v>
      </c>
      <c r="S169" s="9">
        <v>4577.2</v>
      </c>
      <c r="T169" s="9">
        <v>5126.4639999999999</v>
      </c>
      <c r="U169" s="9">
        <v>915.44</v>
      </c>
      <c r="V169" s="10" t="s">
        <v>30</v>
      </c>
    </row>
    <row r="170" spans="1:22" ht="18" customHeight="1" x14ac:dyDescent="0.25">
      <c r="A170" s="7" t="s">
        <v>34</v>
      </c>
      <c r="B170" s="7">
        <v>2020</v>
      </c>
      <c r="C170" s="7" t="s">
        <v>62</v>
      </c>
      <c r="D170" s="7" t="s">
        <v>21</v>
      </c>
      <c r="E170" s="7" t="s">
        <v>22</v>
      </c>
      <c r="F170" s="7" t="s">
        <v>23</v>
      </c>
      <c r="G170" s="7" t="s">
        <v>64</v>
      </c>
      <c r="H170" s="7" t="s">
        <v>25</v>
      </c>
      <c r="I170" s="7" t="s">
        <v>35</v>
      </c>
      <c r="J170" s="7">
        <v>289</v>
      </c>
      <c r="K170" s="7">
        <v>413.27</v>
      </c>
      <c r="N170" s="4">
        <v>2020</v>
      </c>
      <c r="O170" s="4" t="s">
        <v>65</v>
      </c>
      <c r="P170" s="4" t="s">
        <v>39</v>
      </c>
      <c r="Q170" s="13" t="s">
        <v>40</v>
      </c>
      <c r="R170" s="14">
        <v>644</v>
      </c>
      <c r="S170" s="14">
        <v>5743.5</v>
      </c>
      <c r="T170" s="14">
        <v>6432.72</v>
      </c>
      <c r="U170" s="9">
        <v>1148.7</v>
      </c>
      <c r="V170" s="10" t="s">
        <v>30</v>
      </c>
    </row>
    <row r="171" spans="1:22" ht="18" customHeight="1" x14ac:dyDescent="0.25">
      <c r="A171" s="7" t="s">
        <v>42</v>
      </c>
      <c r="B171" s="7">
        <v>2020</v>
      </c>
      <c r="C171" s="7" t="s">
        <v>62</v>
      </c>
      <c r="D171" s="7" t="s">
        <v>21</v>
      </c>
      <c r="E171" s="7" t="s">
        <v>22</v>
      </c>
      <c r="F171" s="7" t="s">
        <v>23</v>
      </c>
      <c r="G171" s="7" t="s">
        <v>64</v>
      </c>
      <c r="H171" s="7" t="s">
        <v>25</v>
      </c>
      <c r="I171" s="7" t="s">
        <v>35</v>
      </c>
      <c r="J171" s="7">
        <v>874</v>
      </c>
      <c r="K171" s="7">
        <v>1249.82</v>
      </c>
      <c r="N171" s="4">
        <v>2020</v>
      </c>
      <c r="O171" s="4" t="s">
        <v>65</v>
      </c>
      <c r="P171" s="4" t="s">
        <v>43</v>
      </c>
      <c r="Q171" s="13" t="s">
        <v>44</v>
      </c>
      <c r="R171" s="14">
        <v>643</v>
      </c>
      <c r="S171" s="14">
        <v>7000</v>
      </c>
      <c r="T171" s="14">
        <v>7840</v>
      </c>
      <c r="U171" s="9">
        <v>1400</v>
      </c>
      <c r="V171" s="10" t="s">
        <v>63</v>
      </c>
    </row>
    <row r="172" spans="1:22" ht="18" customHeight="1" x14ac:dyDescent="0.25">
      <c r="A172" s="7" t="s">
        <v>19</v>
      </c>
      <c r="B172" s="7">
        <v>2020</v>
      </c>
      <c r="C172" s="7" t="s">
        <v>62</v>
      </c>
      <c r="D172" s="7" t="s">
        <v>21</v>
      </c>
      <c r="E172" s="7" t="s">
        <v>22</v>
      </c>
      <c r="F172" s="7" t="s">
        <v>23</v>
      </c>
      <c r="G172" s="7" t="s">
        <v>64</v>
      </c>
      <c r="H172" s="7" t="s">
        <v>25</v>
      </c>
      <c r="I172" s="7" t="s">
        <v>26</v>
      </c>
      <c r="J172" s="7">
        <v>875</v>
      </c>
      <c r="K172" s="7">
        <v>1251.25</v>
      </c>
      <c r="N172" s="4">
        <v>2020</v>
      </c>
      <c r="O172" s="4" t="s">
        <v>65</v>
      </c>
      <c r="P172" s="4" t="s">
        <v>39</v>
      </c>
      <c r="Q172" s="13" t="s">
        <v>46</v>
      </c>
      <c r="R172" s="14">
        <v>455</v>
      </c>
      <c r="S172" s="14">
        <v>4578.6000000000004</v>
      </c>
      <c r="T172" s="14">
        <v>5128.0320000000002</v>
      </c>
      <c r="U172" s="9">
        <v>915.72000000000014</v>
      </c>
      <c r="V172" s="10" t="s">
        <v>63</v>
      </c>
    </row>
    <row r="173" spans="1:22" ht="18" customHeight="1" x14ac:dyDescent="0.25">
      <c r="A173" s="7" t="s">
        <v>34</v>
      </c>
      <c r="B173" s="7">
        <v>2020</v>
      </c>
      <c r="C173" s="7" t="s">
        <v>62</v>
      </c>
      <c r="D173" s="7" t="s">
        <v>21</v>
      </c>
      <c r="E173" s="7" t="s">
        <v>22</v>
      </c>
      <c r="F173" s="7" t="s">
        <v>23</v>
      </c>
      <c r="G173" s="7" t="s">
        <v>64</v>
      </c>
      <c r="H173" s="7" t="s">
        <v>25</v>
      </c>
      <c r="I173" s="7" t="s">
        <v>35</v>
      </c>
      <c r="J173" s="7">
        <v>239</v>
      </c>
      <c r="K173" s="7">
        <v>341.77</v>
      </c>
      <c r="N173" s="4">
        <v>2020</v>
      </c>
      <c r="O173" s="4" t="s">
        <v>65</v>
      </c>
      <c r="P173" s="4" t="s">
        <v>43</v>
      </c>
      <c r="Q173" s="13" t="s">
        <v>48</v>
      </c>
      <c r="R173" s="15">
        <v>345</v>
      </c>
      <c r="S173" s="15">
        <v>7000</v>
      </c>
      <c r="T173" s="15">
        <v>7840</v>
      </c>
      <c r="U173" s="9">
        <v>1400</v>
      </c>
      <c r="V173" s="10" t="s">
        <v>63</v>
      </c>
    </row>
    <row r="174" spans="1:22" ht="18" customHeight="1" x14ac:dyDescent="0.25">
      <c r="A174" s="7" t="s">
        <v>34</v>
      </c>
      <c r="B174" s="7">
        <v>2020</v>
      </c>
      <c r="C174" s="7" t="s">
        <v>62</v>
      </c>
      <c r="D174" s="7" t="s">
        <v>21</v>
      </c>
      <c r="E174" s="7" t="s">
        <v>22</v>
      </c>
      <c r="F174" s="7" t="s">
        <v>23</v>
      </c>
      <c r="G174" s="7" t="s">
        <v>64</v>
      </c>
      <c r="H174" s="7" t="s">
        <v>25</v>
      </c>
      <c r="I174" s="7" t="s">
        <v>35</v>
      </c>
      <c r="J174" s="7">
        <v>287</v>
      </c>
      <c r="K174" s="7">
        <v>410.40999999999997</v>
      </c>
      <c r="N174" s="4">
        <v>2020</v>
      </c>
      <c r="O174" s="4" t="s">
        <v>65</v>
      </c>
      <c r="P174" s="4" t="s">
        <v>36</v>
      </c>
      <c r="Q174" s="8" t="s">
        <v>49</v>
      </c>
      <c r="R174" s="9">
        <v>122</v>
      </c>
      <c r="S174" s="9">
        <v>100</v>
      </c>
      <c r="T174" s="9">
        <v>112</v>
      </c>
      <c r="U174" s="9">
        <v>20</v>
      </c>
      <c r="V174" s="10" t="s">
        <v>63</v>
      </c>
    </row>
    <row r="175" spans="1:22" ht="18" customHeight="1" x14ac:dyDescent="0.25">
      <c r="A175" s="7" t="s">
        <v>53</v>
      </c>
      <c r="B175" s="7">
        <v>2020</v>
      </c>
      <c r="C175" s="7" t="s">
        <v>62</v>
      </c>
      <c r="D175" s="7" t="s">
        <v>21</v>
      </c>
      <c r="E175" s="7" t="s">
        <v>22</v>
      </c>
      <c r="F175" s="7" t="s">
        <v>23</v>
      </c>
      <c r="G175" s="7" t="s">
        <v>64</v>
      </c>
      <c r="H175" s="7" t="s">
        <v>25</v>
      </c>
      <c r="I175" s="7" t="s">
        <v>35</v>
      </c>
      <c r="J175" s="7">
        <v>771</v>
      </c>
      <c r="K175" s="7">
        <v>1102.53</v>
      </c>
      <c r="N175" s="4">
        <v>2020</v>
      </c>
      <c r="O175" s="4" t="s">
        <v>65</v>
      </c>
      <c r="P175" s="4" t="s">
        <v>50</v>
      </c>
      <c r="Q175" s="13" t="s">
        <v>51</v>
      </c>
      <c r="R175" s="14">
        <v>78</v>
      </c>
      <c r="S175" s="14">
        <v>4577.2</v>
      </c>
      <c r="T175" s="14">
        <v>5126.4639999999999</v>
      </c>
      <c r="U175" s="9">
        <v>915.44</v>
      </c>
      <c r="V175" s="10" t="s">
        <v>63</v>
      </c>
    </row>
    <row r="176" spans="1:22" ht="18" customHeight="1" x14ac:dyDescent="0.25">
      <c r="A176" s="7" t="s">
        <v>19</v>
      </c>
      <c r="B176" s="7">
        <v>2020</v>
      </c>
      <c r="C176" s="7" t="s">
        <v>66</v>
      </c>
      <c r="D176" s="7" t="s">
        <v>21</v>
      </c>
      <c r="E176" s="7" t="s">
        <v>22</v>
      </c>
      <c r="F176" s="7" t="s">
        <v>23</v>
      </c>
      <c r="G176" s="7" t="s">
        <v>64</v>
      </c>
      <c r="H176" s="7" t="s">
        <v>25</v>
      </c>
      <c r="I176" s="7" t="s">
        <v>26</v>
      </c>
      <c r="J176" s="7">
        <v>338</v>
      </c>
      <c r="K176" s="7">
        <v>483.34000000000003</v>
      </c>
      <c r="N176" s="4">
        <v>2020</v>
      </c>
      <c r="O176" s="4" t="s">
        <v>65</v>
      </c>
      <c r="P176" s="4" t="s">
        <v>50</v>
      </c>
      <c r="Q176" s="13" t="s">
        <v>52</v>
      </c>
      <c r="R176" s="14">
        <v>76</v>
      </c>
      <c r="S176" s="14">
        <v>4576.8999999999996</v>
      </c>
      <c r="T176" s="14">
        <v>5126.1279999999997</v>
      </c>
      <c r="U176" s="9">
        <v>915.38</v>
      </c>
      <c r="V176" s="10" t="s">
        <v>63</v>
      </c>
    </row>
    <row r="177" spans="1:22" ht="18" customHeight="1" x14ac:dyDescent="0.25">
      <c r="A177" s="7" t="s">
        <v>19</v>
      </c>
      <c r="B177" s="7">
        <v>2020</v>
      </c>
      <c r="C177" s="7" t="s">
        <v>66</v>
      </c>
      <c r="D177" s="7" t="s">
        <v>21</v>
      </c>
      <c r="E177" s="7" t="s">
        <v>22</v>
      </c>
      <c r="F177" s="7" t="s">
        <v>23</v>
      </c>
      <c r="G177" s="7" t="s">
        <v>64</v>
      </c>
      <c r="H177" s="7" t="s">
        <v>25</v>
      </c>
      <c r="I177" s="7" t="s">
        <v>26</v>
      </c>
      <c r="J177" s="7">
        <v>332</v>
      </c>
      <c r="K177" s="7">
        <v>474.76</v>
      </c>
      <c r="N177" s="4">
        <v>2020</v>
      </c>
      <c r="O177" s="4" t="s">
        <v>65</v>
      </c>
      <c r="P177" s="4" t="s">
        <v>50</v>
      </c>
      <c r="Q177" s="13" t="s">
        <v>54</v>
      </c>
      <c r="R177" s="14">
        <v>46</v>
      </c>
      <c r="S177" s="14">
        <v>200</v>
      </c>
      <c r="T177" s="14">
        <v>224</v>
      </c>
      <c r="U177" s="9">
        <v>40</v>
      </c>
      <c r="V177" s="10" t="s">
        <v>63</v>
      </c>
    </row>
    <row r="178" spans="1:22" ht="18" customHeight="1" x14ac:dyDescent="0.25">
      <c r="A178" s="7" t="s">
        <v>34</v>
      </c>
      <c r="B178" s="7">
        <v>2020</v>
      </c>
      <c r="C178" s="7" t="s">
        <v>66</v>
      </c>
      <c r="D178" s="7" t="s">
        <v>21</v>
      </c>
      <c r="E178" s="7" t="s">
        <v>22</v>
      </c>
      <c r="F178" s="7" t="s">
        <v>23</v>
      </c>
      <c r="G178" s="7" t="s">
        <v>64</v>
      </c>
      <c r="H178" s="7" t="s">
        <v>25</v>
      </c>
      <c r="I178" s="7" t="s">
        <v>26</v>
      </c>
      <c r="J178" s="7">
        <v>326</v>
      </c>
      <c r="K178" s="7">
        <v>466.18</v>
      </c>
      <c r="N178" s="4">
        <v>2020</v>
      </c>
      <c r="O178" s="4" t="s">
        <v>65</v>
      </c>
      <c r="P178" s="4" t="s">
        <v>50</v>
      </c>
      <c r="Q178" s="13" t="s">
        <v>55</v>
      </c>
      <c r="R178" s="14">
        <v>34</v>
      </c>
      <c r="S178" s="14">
        <v>4576.8</v>
      </c>
      <c r="T178" s="14">
        <v>5126.0160000000005</v>
      </c>
      <c r="U178" s="9">
        <v>915.36000000000013</v>
      </c>
      <c r="V178" s="10" t="s">
        <v>63</v>
      </c>
    </row>
    <row r="179" spans="1:22" ht="18" customHeight="1" x14ac:dyDescent="0.25">
      <c r="A179" s="7" t="s">
        <v>34</v>
      </c>
      <c r="B179" s="7">
        <v>2020</v>
      </c>
      <c r="C179" s="7" t="s">
        <v>66</v>
      </c>
      <c r="D179" s="7" t="s">
        <v>21</v>
      </c>
      <c r="E179" s="7" t="s">
        <v>22</v>
      </c>
      <c r="F179" s="7" t="s">
        <v>23</v>
      </c>
      <c r="G179" s="7" t="s">
        <v>64</v>
      </c>
      <c r="H179" s="7" t="s">
        <v>25</v>
      </c>
      <c r="I179" s="7" t="s">
        <v>35</v>
      </c>
      <c r="J179" s="7">
        <v>230</v>
      </c>
      <c r="K179" s="7">
        <v>328.9</v>
      </c>
      <c r="N179" s="4">
        <v>2020</v>
      </c>
      <c r="O179" s="4" t="s">
        <v>65</v>
      </c>
      <c r="P179" s="4" t="s">
        <v>36</v>
      </c>
      <c r="Q179" s="8" t="s">
        <v>56</v>
      </c>
      <c r="R179" s="9">
        <v>7</v>
      </c>
      <c r="S179" s="9">
        <v>200</v>
      </c>
      <c r="T179" s="9">
        <v>224</v>
      </c>
      <c r="U179" s="9">
        <v>40</v>
      </c>
      <c r="V179" s="10" t="s">
        <v>63</v>
      </c>
    </row>
    <row r="180" spans="1:22" ht="18" customHeight="1" x14ac:dyDescent="0.25">
      <c r="A180" s="7" t="s">
        <v>42</v>
      </c>
      <c r="B180" s="7">
        <v>2020</v>
      </c>
      <c r="C180" s="7" t="s">
        <v>66</v>
      </c>
      <c r="D180" s="7" t="s">
        <v>21</v>
      </c>
      <c r="E180" s="7" t="s">
        <v>22</v>
      </c>
      <c r="F180" s="7" t="s">
        <v>23</v>
      </c>
      <c r="G180" s="7" t="s">
        <v>64</v>
      </c>
      <c r="H180" s="7" t="s">
        <v>25</v>
      </c>
      <c r="I180" s="7" t="s">
        <v>35</v>
      </c>
      <c r="J180" s="7">
        <v>278</v>
      </c>
      <c r="K180" s="7">
        <v>397.53999999999996</v>
      </c>
      <c r="N180" s="4">
        <v>2020</v>
      </c>
      <c r="O180" s="4" t="s">
        <v>65</v>
      </c>
      <c r="P180" s="4" t="s">
        <v>50</v>
      </c>
      <c r="Q180" s="13" t="s">
        <v>58</v>
      </c>
      <c r="R180" s="14">
        <v>3</v>
      </c>
      <c r="S180" s="14">
        <v>4577.3</v>
      </c>
      <c r="T180" s="14">
        <v>5126.576</v>
      </c>
      <c r="U180" s="9">
        <v>915.46</v>
      </c>
      <c r="V180" s="10" t="s">
        <v>30</v>
      </c>
    </row>
    <row r="181" spans="1:22" ht="18" customHeight="1" x14ac:dyDescent="0.25">
      <c r="A181" s="7" t="s">
        <v>34</v>
      </c>
      <c r="B181" s="7">
        <v>2020</v>
      </c>
      <c r="C181" s="7" t="s">
        <v>66</v>
      </c>
      <c r="D181" s="7" t="s">
        <v>21</v>
      </c>
      <c r="E181" s="7" t="s">
        <v>22</v>
      </c>
      <c r="F181" s="7" t="s">
        <v>23</v>
      </c>
      <c r="G181" s="7" t="s">
        <v>64</v>
      </c>
      <c r="H181" s="7" t="s">
        <v>25</v>
      </c>
      <c r="I181" s="7" t="s">
        <v>35</v>
      </c>
      <c r="J181" s="7">
        <v>206</v>
      </c>
      <c r="K181" s="7">
        <v>294.58</v>
      </c>
      <c r="N181" s="4">
        <v>2020</v>
      </c>
      <c r="O181" s="4" t="s">
        <v>65</v>
      </c>
      <c r="P181" s="4" t="s">
        <v>57</v>
      </c>
      <c r="Q181" s="13" t="s">
        <v>57</v>
      </c>
      <c r="R181" s="14">
        <v>2</v>
      </c>
      <c r="S181" s="14">
        <v>6600</v>
      </c>
      <c r="T181" s="14">
        <v>7392</v>
      </c>
      <c r="U181" s="9">
        <v>1320</v>
      </c>
      <c r="V181" s="10" t="s">
        <v>63</v>
      </c>
    </row>
    <row r="182" spans="1:22" ht="18" customHeight="1" x14ac:dyDescent="0.25">
      <c r="A182" s="7" t="s">
        <v>19</v>
      </c>
      <c r="B182" s="7">
        <v>2020</v>
      </c>
      <c r="C182" s="7" t="s">
        <v>66</v>
      </c>
      <c r="D182" s="7" t="s">
        <v>21</v>
      </c>
      <c r="E182" s="7" t="s">
        <v>22</v>
      </c>
      <c r="F182" s="7" t="s">
        <v>23</v>
      </c>
      <c r="G182" s="7" t="s">
        <v>64</v>
      </c>
      <c r="H182" s="7" t="s">
        <v>25</v>
      </c>
      <c r="I182" s="7" t="s">
        <v>35</v>
      </c>
      <c r="J182" s="7">
        <v>232</v>
      </c>
      <c r="K182" s="7">
        <v>331.76</v>
      </c>
      <c r="N182" s="4">
        <v>2021</v>
      </c>
      <c r="O182" s="4" t="s">
        <v>27</v>
      </c>
      <c r="P182" s="4" t="s">
        <v>28</v>
      </c>
      <c r="Q182" s="8" t="s">
        <v>29</v>
      </c>
      <c r="R182" s="9">
        <v>6591.1679999999997</v>
      </c>
      <c r="S182" s="9">
        <v>4577.3</v>
      </c>
      <c r="T182" s="9">
        <v>5126.576</v>
      </c>
      <c r="U182" s="9">
        <v>915.46</v>
      </c>
      <c r="V182" s="10" t="s">
        <v>30</v>
      </c>
    </row>
    <row r="183" spans="1:22" ht="18" customHeight="1" x14ac:dyDescent="0.25">
      <c r="A183" s="7" t="s">
        <v>19</v>
      </c>
      <c r="B183" s="7">
        <v>2020</v>
      </c>
      <c r="C183" s="7" t="s">
        <v>66</v>
      </c>
      <c r="D183" s="7" t="s">
        <v>21</v>
      </c>
      <c r="E183" s="7" t="s">
        <v>22</v>
      </c>
      <c r="F183" s="7" t="s">
        <v>23</v>
      </c>
      <c r="G183" s="7" t="s">
        <v>64</v>
      </c>
      <c r="H183" s="7" t="s">
        <v>25</v>
      </c>
      <c r="I183" s="7" t="s">
        <v>35</v>
      </c>
      <c r="J183" s="7">
        <v>202</v>
      </c>
      <c r="K183" s="7">
        <v>288.86</v>
      </c>
      <c r="N183" s="4">
        <v>2021</v>
      </c>
      <c r="O183" s="4" t="s">
        <v>27</v>
      </c>
      <c r="P183" s="4" t="s">
        <v>28</v>
      </c>
      <c r="Q183" s="8" t="s">
        <v>32</v>
      </c>
      <c r="R183" s="9">
        <v>8270.64</v>
      </c>
      <c r="S183" s="9">
        <v>8800</v>
      </c>
      <c r="T183" s="9">
        <v>8960</v>
      </c>
      <c r="U183" s="9">
        <v>1760</v>
      </c>
      <c r="V183" s="10" t="s">
        <v>30</v>
      </c>
    </row>
    <row r="184" spans="1:22" ht="18" customHeight="1" x14ac:dyDescent="0.25">
      <c r="A184" s="7" t="s">
        <v>42</v>
      </c>
      <c r="B184" s="7">
        <v>2020</v>
      </c>
      <c r="C184" s="7" t="s">
        <v>66</v>
      </c>
      <c r="D184" s="7" t="s">
        <v>21</v>
      </c>
      <c r="E184" s="7" t="s">
        <v>22</v>
      </c>
      <c r="F184" s="7" t="s">
        <v>23</v>
      </c>
      <c r="G184" s="7" t="s">
        <v>64</v>
      </c>
      <c r="H184" s="7" t="s">
        <v>25</v>
      </c>
      <c r="I184" s="7" t="s">
        <v>26</v>
      </c>
      <c r="J184" s="7">
        <v>336</v>
      </c>
      <c r="K184" s="7">
        <v>526.24</v>
      </c>
      <c r="N184" s="4">
        <v>2021</v>
      </c>
      <c r="O184" s="4" t="s">
        <v>27</v>
      </c>
      <c r="P184" s="4" t="s">
        <v>36</v>
      </c>
      <c r="Q184" s="8" t="s">
        <v>37</v>
      </c>
      <c r="R184" s="9">
        <v>8470</v>
      </c>
      <c r="S184" s="9">
        <v>5034.92</v>
      </c>
      <c r="T184" s="9">
        <v>5126.4639999999999</v>
      </c>
      <c r="U184" s="9">
        <v>1006.984</v>
      </c>
      <c r="V184" s="10" t="s">
        <v>30</v>
      </c>
    </row>
    <row r="185" spans="1:22" ht="18" customHeight="1" x14ac:dyDescent="0.25">
      <c r="A185" s="7" t="s">
        <v>34</v>
      </c>
      <c r="B185" s="7">
        <v>2020</v>
      </c>
      <c r="C185" s="7" t="s">
        <v>66</v>
      </c>
      <c r="D185" s="7" t="s">
        <v>21</v>
      </c>
      <c r="E185" s="7" t="s">
        <v>22</v>
      </c>
      <c r="F185" s="7" t="s">
        <v>23</v>
      </c>
      <c r="G185" s="7" t="s">
        <v>64</v>
      </c>
      <c r="H185" s="7" t="s">
        <v>25</v>
      </c>
      <c r="I185" s="7" t="s">
        <v>26</v>
      </c>
      <c r="J185" s="7">
        <v>330</v>
      </c>
      <c r="K185" s="7">
        <v>526.24</v>
      </c>
      <c r="N185" s="4">
        <v>2021</v>
      </c>
      <c r="O185" s="4" t="s">
        <v>27</v>
      </c>
      <c r="P185" s="4" t="s">
        <v>39</v>
      </c>
      <c r="Q185" s="13" t="s">
        <v>40</v>
      </c>
      <c r="R185" s="14">
        <v>6055.1985000000004</v>
      </c>
      <c r="S185" s="14">
        <v>6317.85</v>
      </c>
      <c r="T185" s="14">
        <v>6432.72</v>
      </c>
      <c r="U185" s="9">
        <v>1263.5700000000002</v>
      </c>
      <c r="V185" s="10" t="s">
        <v>30</v>
      </c>
    </row>
    <row r="186" spans="1:22" ht="18" customHeight="1" x14ac:dyDescent="0.25">
      <c r="A186" s="7" t="s">
        <v>19</v>
      </c>
      <c r="B186" s="7">
        <v>2020</v>
      </c>
      <c r="C186" s="7" t="s">
        <v>66</v>
      </c>
      <c r="D186" s="7" t="s">
        <v>21</v>
      </c>
      <c r="E186" s="7" t="s">
        <v>22</v>
      </c>
      <c r="F186" s="7" t="s">
        <v>23</v>
      </c>
      <c r="G186" s="7" t="s">
        <v>64</v>
      </c>
      <c r="H186" s="7" t="s">
        <v>25</v>
      </c>
      <c r="I186" s="7" t="s">
        <v>26</v>
      </c>
      <c r="J186" s="7">
        <v>324</v>
      </c>
      <c r="K186" s="7">
        <v>526.24</v>
      </c>
      <c r="N186" s="4">
        <v>2021</v>
      </c>
      <c r="O186" s="4" t="s">
        <v>27</v>
      </c>
      <c r="P186" s="4" t="s">
        <v>43</v>
      </c>
      <c r="Q186" s="13" t="s">
        <v>44</v>
      </c>
      <c r="R186" s="14">
        <v>10368.4</v>
      </c>
      <c r="S186" s="14">
        <v>7700</v>
      </c>
      <c r="T186" s="14">
        <v>7840</v>
      </c>
      <c r="U186" s="9">
        <v>1540</v>
      </c>
      <c r="V186" s="10" t="s">
        <v>30</v>
      </c>
    </row>
    <row r="187" spans="1:22" ht="18" customHeight="1" x14ac:dyDescent="0.25">
      <c r="A187" s="7" t="s">
        <v>34</v>
      </c>
      <c r="B187" s="7">
        <v>2020</v>
      </c>
      <c r="C187" s="7" t="s">
        <v>66</v>
      </c>
      <c r="D187" s="7" t="s">
        <v>21</v>
      </c>
      <c r="E187" s="7" t="s">
        <v>22</v>
      </c>
      <c r="F187" s="7" t="s">
        <v>23</v>
      </c>
      <c r="G187" s="7" t="s">
        <v>64</v>
      </c>
      <c r="H187" s="7" t="s">
        <v>25</v>
      </c>
      <c r="I187" s="7" t="s">
        <v>35</v>
      </c>
      <c r="J187" s="7">
        <v>678</v>
      </c>
      <c r="K187" s="7">
        <v>969.54</v>
      </c>
      <c r="N187" s="4">
        <v>2021</v>
      </c>
      <c r="O187" s="4" t="s">
        <v>27</v>
      </c>
      <c r="P187" s="4" t="s">
        <v>39</v>
      </c>
      <c r="Q187" s="13" t="s">
        <v>46</v>
      </c>
      <c r="R187" s="14">
        <v>3101.2624999999998</v>
      </c>
      <c r="S187" s="14">
        <v>5036.46</v>
      </c>
      <c r="T187" s="14">
        <v>5128.0320000000002</v>
      </c>
      <c r="U187" s="9">
        <v>1007.292</v>
      </c>
      <c r="V187" s="10" t="s">
        <v>30</v>
      </c>
    </row>
    <row r="188" spans="1:22" ht="18" customHeight="1" x14ac:dyDescent="0.25">
      <c r="A188" s="7" t="s">
        <v>42</v>
      </c>
      <c r="B188" s="7">
        <v>2020</v>
      </c>
      <c r="C188" s="7" t="s">
        <v>66</v>
      </c>
      <c r="D188" s="7" t="s">
        <v>21</v>
      </c>
      <c r="E188" s="7" t="s">
        <v>22</v>
      </c>
      <c r="F188" s="7" t="s">
        <v>23</v>
      </c>
      <c r="G188" s="7" t="s">
        <v>64</v>
      </c>
      <c r="H188" s="7" t="s">
        <v>25</v>
      </c>
      <c r="I188" s="7" t="s">
        <v>35</v>
      </c>
      <c r="J188" s="7">
        <v>711</v>
      </c>
      <c r="K188" s="7">
        <v>1016.73</v>
      </c>
      <c r="N188" s="4">
        <v>2021</v>
      </c>
      <c r="O188" s="4" t="s">
        <v>27</v>
      </c>
      <c r="P188" s="4" t="s">
        <v>43</v>
      </c>
      <c r="Q188" s="13" t="s">
        <v>48</v>
      </c>
      <c r="R188" s="15">
        <v>6591.1679999999997</v>
      </c>
      <c r="S188" s="15">
        <v>7700</v>
      </c>
      <c r="T188" s="15">
        <v>7840</v>
      </c>
      <c r="U188" s="9">
        <v>1540</v>
      </c>
      <c r="V188" s="10" t="s">
        <v>30</v>
      </c>
    </row>
    <row r="189" spans="1:22" ht="18" customHeight="1" x14ac:dyDescent="0.25">
      <c r="A189" s="7" t="s">
        <v>34</v>
      </c>
      <c r="B189" s="7">
        <v>2020</v>
      </c>
      <c r="C189" s="7" t="s">
        <v>66</v>
      </c>
      <c r="D189" s="7" t="s">
        <v>21</v>
      </c>
      <c r="E189" s="7" t="s">
        <v>22</v>
      </c>
      <c r="F189" s="7" t="s">
        <v>23</v>
      </c>
      <c r="G189" s="7" t="s">
        <v>64</v>
      </c>
      <c r="H189" s="7" t="s">
        <v>25</v>
      </c>
      <c r="I189" s="7" t="s">
        <v>35</v>
      </c>
      <c r="J189" s="7">
        <v>764</v>
      </c>
      <c r="K189" s="7">
        <v>1092.52</v>
      </c>
      <c r="N189" s="4">
        <v>2021</v>
      </c>
      <c r="O189" s="4" t="s">
        <v>27</v>
      </c>
      <c r="P189" s="4" t="s">
        <v>36</v>
      </c>
      <c r="Q189" s="8" t="s">
        <v>49</v>
      </c>
      <c r="R189" s="9">
        <v>6590.7359999999999</v>
      </c>
      <c r="S189" s="9">
        <v>110</v>
      </c>
      <c r="T189" s="9">
        <v>112</v>
      </c>
      <c r="U189" s="9">
        <v>22</v>
      </c>
      <c r="V189" s="10" t="s">
        <v>30</v>
      </c>
    </row>
    <row r="190" spans="1:22" ht="18" customHeight="1" x14ac:dyDescent="0.25">
      <c r="A190" s="7" t="s">
        <v>42</v>
      </c>
      <c r="B190" s="7">
        <v>2020</v>
      </c>
      <c r="C190" s="7" t="s">
        <v>66</v>
      </c>
      <c r="D190" s="7" t="s">
        <v>21</v>
      </c>
      <c r="E190" s="7" t="s">
        <v>22</v>
      </c>
      <c r="F190" s="7" t="s">
        <v>23</v>
      </c>
      <c r="G190" s="7" t="s">
        <v>64</v>
      </c>
      <c r="H190" s="7" t="s">
        <v>25</v>
      </c>
      <c r="I190" s="7" t="s">
        <v>26</v>
      </c>
      <c r="J190" s="7">
        <v>333</v>
      </c>
      <c r="K190" s="7">
        <v>476.19</v>
      </c>
      <c r="N190" s="4">
        <v>2021</v>
      </c>
      <c r="O190" s="4" t="s">
        <v>27</v>
      </c>
      <c r="P190" s="4" t="s">
        <v>50</v>
      </c>
      <c r="Q190" s="13" t="s">
        <v>51</v>
      </c>
      <c r="R190" s="14">
        <v>288</v>
      </c>
      <c r="S190" s="14">
        <v>5034.92</v>
      </c>
      <c r="T190" s="14">
        <v>5126.4639999999999</v>
      </c>
      <c r="U190" s="9">
        <v>1006.984</v>
      </c>
      <c r="V190" s="10" t="s">
        <v>30</v>
      </c>
    </row>
    <row r="191" spans="1:22" ht="18" customHeight="1" x14ac:dyDescent="0.25">
      <c r="A191" s="7" t="s">
        <v>42</v>
      </c>
      <c r="B191" s="7">
        <v>2020</v>
      </c>
      <c r="C191" s="7" t="s">
        <v>66</v>
      </c>
      <c r="D191" s="7" t="s">
        <v>21</v>
      </c>
      <c r="E191" s="7" t="s">
        <v>22</v>
      </c>
      <c r="F191" s="7" t="s">
        <v>23</v>
      </c>
      <c r="G191" s="7" t="s">
        <v>64</v>
      </c>
      <c r="H191" s="7" t="s">
        <v>25</v>
      </c>
      <c r="I191" s="7" t="s">
        <v>26</v>
      </c>
      <c r="J191" s="7">
        <v>327</v>
      </c>
      <c r="K191" s="7">
        <v>467.61</v>
      </c>
      <c r="N191" s="4">
        <v>2021</v>
      </c>
      <c r="O191" s="4" t="s">
        <v>27</v>
      </c>
      <c r="P191" s="4" t="s">
        <v>50</v>
      </c>
      <c r="Q191" s="13" t="s">
        <v>52</v>
      </c>
      <c r="R191" s="14">
        <v>6590.5919999999996</v>
      </c>
      <c r="S191" s="14">
        <v>4576.8999999999996</v>
      </c>
      <c r="T191" s="14">
        <v>5126.1279999999997</v>
      </c>
      <c r="U191" s="9">
        <v>915.38</v>
      </c>
      <c r="V191" s="10" t="s">
        <v>30</v>
      </c>
    </row>
    <row r="192" spans="1:22" ht="18" customHeight="1" x14ac:dyDescent="0.25">
      <c r="A192" s="7" t="s">
        <v>34</v>
      </c>
      <c r="B192" s="7">
        <v>2020</v>
      </c>
      <c r="C192" s="7" t="s">
        <v>66</v>
      </c>
      <c r="D192" s="7" t="s">
        <v>21</v>
      </c>
      <c r="E192" s="7" t="s">
        <v>22</v>
      </c>
      <c r="F192" s="7" t="s">
        <v>23</v>
      </c>
      <c r="G192" s="7" t="s">
        <v>64</v>
      </c>
      <c r="H192" s="7" t="s">
        <v>25</v>
      </c>
      <c r="I192" s="7" t="s">
        <v>35</v>
      </c>
      <c r="J192" s="7">
        <v>231</v>
      </c>
      <c r="K192" s="7">
        <v>330.33</v>
      </c>
      <c r="N192" s="4">
        <v>2021</v>
      </c>
      <c r="O192" s="4" t="s">
        <v>27</v>
      </c>
      <c r="P192" s="4" t="s">
        <v>50</v>
      </c>
      <c r="Q192" s="13" t="s">
        <v>54</v>
      </c>
      <c r="R192" s="14">
        <v>4032.9300000000003</v>
      </c>
      <c r="S192" s="14">
        <v>200</v>
      </c>
      <c r="T192" s="14">
        <v>224</v>
      </c>
      <c r="U192" s="9">
        <v>40</v>
      </c>
      <c r="V192" s="10" t="s">
        <v>30</v>
      </c>
    </row>
    <row r="193" spans="1:22" ht="18" customHeight="1" x14ac:dyDescent="0.25">
      <c r="A193" s="7" t="s">
        <v>42</v>
      </c>
      <c r="B193" s="7">
        <v>2020</v>
      </c>
      <c r="C193" s="7" t="s">
        <v>66</v>
      </c>
      <c r="D193" s="7" t="s">
        <v>21</v>
      </c>
      <c r="E193" s="7" t="s">
        <v>22</v>
      </c>
      <c r="F193" s="7" t="s">
        <v>23</v>
      </c>
      <c r="G193" s="7" t="s">
        <v>64</v>
      </c>
      <c r="H193" s="7" t="s">
        <v>25</v>
      </c>
      <c r="I193" s="7" t="s">
        <v>35</v>
      </c>
      <c r="J193" s="7">
        <v>750</v>
      </c>
      <c r="K193" s="7">
        <v>526.24</v>
      </c>
      <c r="N193" s="4">
        <v>2021</v>
      </c>
      <c r="O193" s="4" t="s">
        <v>27</v>
      </c>
      <c r="P193" s="4" t="s">
        <v>50</v>
      </c>
      <c r="Q193" s="13" t="s">
        <v>55</v>
      </c>
      <c r="R193" s="14">
        <v>7986</v>
      </c>
      <c r="S193" s="14">
        <v>4576.8</v>
      </c>
      <c r="T193" s="14">
        <v>5126.0160000000005</v>
      </c>
      <c r="U193" s="9">
        <v>915.36000000000013</v>
      </c>
      <c r="V193" s="10" t="s">
        <v>30</v>
      </c>
    </row>
    <row r="194" spans="1:22" ht="18" customHeight="1" x14ac:dyDescent="0.25">
      <c r="A194" s="7" t="s">
        <v>34</v>
      </c>
      <c r="B194" s="7">
        <v>2020</v>
      </c>
      <c r="C194" s="7" t="s">
        <v>66</v>
      </c>
      <c r="D194" s="7" t="s">
        <v>21</v>
      </c>
      <c r="E194" s="7" t="s">
        <v>22</v>
      </c>
      <c r="F194" s="7" t="s">
        <v>23</v>
      </c>
      <c r="G194" s="7" t="s">
        <v>64</v>
      </c>
      <c r="H194" s="7" t="s">
        <v>25</v>
      </c>
      <c r="I194" s="7" t="s">
        <v>35</v>
      </c>
      <c r="J194" s="7">
        <v>804</v>
      </c>
      <c r="K194" s="7">
        <v>526.24</v>
      </c>
      <c r="N194" s="4">
        <v>2021</v>
      </c>
      <c r="O194" s="4" t="s">
        <v>27</v>
      </c>
      <c r="P194" s="4" t="s">
        <v>36</v>
      </c>
      <c r="Q194" s="8" t="s">
        <v>56</v>
      </c>
      <c r="R194" s="9">
        <v>5538.5330000000004</v>
      </c>
      <c r="S194" s="9">
        <v>200</v>
      </c>
      <c r="T194" s="9">
        <v>224</v>
      </c>
      <c r="U194" s="9">
        <v>40</v>
      </c>
      <c r="V194" s="10" t="s">
        <v>30</v>
      </c>
    </row>
    <row r="195" spans="1:22" ht="18" customHeight="1" x14ac:dyDescent="0.25">
      <c r="A195" s="7" t="s">
        <v>19</v>
      </c>
      <c r="B195" s="7">
        <v>2020</v>
      </c>
      <c r="C195" s="7" t="s">
        <v>66</v>
      </c>
      <c r="D195" s="7" t="s">
        <v>21</v>
      </c>
      <c r="E195" s="7" t="s">
        <v>22</v>
      </c>
      <c r="F195" s="7" t="s">
        <v>23</v>
      </c>
      <c r="G195" s="7" t="s">
        <v>64</v>
      </c>
      <c r="H195" s="7" t="s">
        <v>25</v>
      </c>
      <c r="I195" s="7" t="s">
        <v>35</v>
      </c>
      <c r="J195" s="7">
        <v>229</v>
      </c>
      <c r="K195" s="7">
        <v>327.47000000000003</v>
      </c>
      <c r="N195" s="4">
        <v>2021</v>
      </c>
      <c r="O195" s="4" t="s">
        <v>27</v>
      </c>
      <c r="P195" s="4" t="s">
        <v>57</v>
      </c>
      <c r="Q195" s="13" t="s">
        <v>57</v>
      </c>
      <c r="R195" s="14">
        <v>3</v>
      </c>
      <c r="S195" s="14">
        <v>6600</v>
      </c>
      <c r="T195" s="14">
        <v>7392</v>
      </c>
      <c r="U195" s="9">
        <v>1320</v>
      </c>
      <c r="V195" s="10" t="s">
        <v>30</v>
      </c>
    </row>
    <row r="196" spans="1:22" ht="18" customHeight="1" x14ac:dyDescent="0.25">
      <c r="A196" s="7" t="s">
        <v>34</v>
      </c>
      <c r="B196" s="7">
        <v>2020</v>
      </c>
      <c r="C196" s="7" t="s">
        <v>66</v>
      </c>
      <c r="D196" s="7" t="s">
        <v>21</v>
      </c>
      <c r="E196" s="7" t="s">
        <v>22</v>
      </c>
      <c r="F196" s="7" t="s">
        <v>23</v>
      </c>
      <c r="G196" s="7" t="s">
        <v>64</v>
      </c>
      <c r="H196" s="7" t="s">
        <v>25</v>
      </c>
      <c r="I196" s="7" t="s">
        <v>35</v>
      </c>
      <c r="J196" s="7">
        <v>277</v>
      </c>
      <c r="K196" s="7">
        <v>396.11</v>
      </c>
      <c r="N196" s="4">
        <v>2021</v>
      </c>
      <c r="O196" s="4" t="s">
        <v>27</v>
      </c>
      <c r="P196" s="4" t="s">
        <v>50</v>
      </c>
      <c r="Q196" s="13" t="s">
        <v>58</v>
      </c>
      <c r="R196" s="14">
        <v>3</v>
      </c>
      <c r="S196" s="14">
        <v>4577.3</v>
      </c>
      <c r="T196" s="14">
        <v>5126.576</v>
      </c>
      <c r="U196" s="9">
        <v>915.46</v>
      </c>
      <c r="V196" s="10" t="s">
        <v>30</v>
      </c>
    </row>
    <row r="197" spans="1:22" ht="18" customHeight="1" x14ac:dyDescent="0.25">
      <c r="A197" s="7" t="s">
        <v>19</v>
      </c>
      <c r="B197" s="7">
        <v>2020</v>
      </c>
      <c r="C197" s="7" t="s">
        <v>66</v>
      </c>
      <c r="D197" s="7" t="s">
        <v>21</v>
      </c>
      <c r="E197" s="7" t="s">
        <v>22</v>
      </c>
      <c r="F197" s="7" t="s">
        <v>23</v>
      </c>
      <c r="G197" s="7" t="s">
        <v>24</v>
      </c>
      <c r="H197" s="7" t="s">
        <v>25</v>
      </c>
      <c r="I197" s="7" t="s">
        <v>35</v>
      </c>
      <c r="J197" s="7">
        <v>205</v>
      </c>
      <c r="K197" s="7">
        <v>293.14999999999998</v>
      </c>
      <c r="N197" s="4">
        <v>2021</v>
      </c>
      <c r="O197" s="4" t="s">
        <v>59</v>
      </c>
      <c r="P197" s="4" t="s">
        <v>28</v>
      </c>
      <c r="Q197" s="8" t="s">
        <v>29</v>
      </c>
      <c r="R197" s="9">
        <v>3566</v>
      </c>
      <c r="S197" s="9">
        <v>4577.3</v>
      </c>
      <c r="T197" s="9">
        <v>5126.576</v>
      </c>
      <c r="U197" s="9">
        <v>915.46</v>
      </c>
      <c r="V197" s="10" t="s">
        <v>30</v>
      </c>
    </row>
    <row r="198" spans="1:22" ht="18" customHeight="1" x14ac:dyDescent="0.25">
      <c r="A198" s="7" t="s">
        <v>19</v>
      </c>
      <c r="B198" s="7">
        <v>2020</v>
      </c>
      <c r="C198" s="7" t="s">
        <v>66</v>
      </c>
      <c r="D198" s="7" t="s">
        <v>21</v>
      </c>
      <c r="E198" s="7" t="s">
        <v>22</v>
      </c>
      <c r="F198" s="7" t="s">
        <v>23</v>
      </c>
      <c r="G198" s="7" t="s">
        <v>24</v>
      </c>
      <c r="H198" s="7" t="s">
        <v>25</v>
      </c>
      <c r="I198" s="7" t="s">
        <v>26</v>
      </c>
      <c r="J198" s="7">
        <v>879</v>
      </c>
      <c r="K198" s="7">
        <v>1256.97</v>
      </c>
      <c r="N198" s="4">
        <v>2021</v>
      </c>
      <c r="O198" s="4" t="s">
        <v>59</v>
      </c>
      <c r="P198" s="4" t="s">
        <v>28</v>
      </c>
      <c r="Q198" s="8" t="s">
        <v>32</v>
      </c>
      <c r="R198" s="9">
        <v>2498</v>
      </c>
      <c r="S198" s="9">
        <v>8000</v>
      </c>
      <c r="T198" s="9">
        <v>8960</v>
      </c>
      <c r="U198" s="9">
        <v>1600</v>
      </c>
      <c r="V198" s="10" t="s">
        <v>30</v>
      </c>
    </row>
    <row r="199" spans="1:22" ht="18" customHeight="1" x14ac:dyDescent="0.25">
      <c r="A199" s="7" t="s">
        <v>61</v>
      </c>
      <c r="B199" s="7">
        <v>2020</v>
      </c>
      <c r="C199" s="7" t="s">
        <v>66</v>
      </c>
      <c r="D199" s="7" t="s">
        <v>21</v>
      </c>
      <c r="E199" s="7" t="s">
        <v>22</v>
      </c>
      <c r="F199" s="7" t="s">
        <v>23</v>
      </c>
      <c r="G199" s="7" t="s">
        <v>24</v>
      </c>
      <c r="H199" s="7" t="s">
        <v>25</v>
      </c>
      <c r="I199" s="7" t="s">
        <v>26</v>
      </c>
      <c r="J199" s="7">
        <v>880</v>
      </c>
      <c r="K199" s="7">
        <v>1258.4000000000001</v>
      </c>
      <c r="N199" s="4">
        <v>2021</v>
      </c>
      <c r="O199" s="4" t="s">
        <v>59</v>
      </c>
      <c r="P199" s="4" t="s">
        <v>36</v>
      </c>
      <c r="Q199" s="8" t="s">
        <v>37</v>
      </c>
      <c r="R199" s="9">
        <v>1245</v>
      </c>
      <c r="S199" s="9">
        <v>4577.2</v>
      </c>
      <c r="T199" s="9">
        <v>5126.4639999999999</v>
      </c>
      <c r="U199" s="9">
        <v>915.44</v>
      </c>
      <c r="V199" s="10" t="s">
        <v>30</v>
      </c>
    </row>
    <row r="200" spans="1:22" ht="18" customHeight="1" x14ac:dyDescent="0.25">
      <c r="A200" s="7" t="s">
        <v>34</v>
      </c>
      <c r="B200" s="7">
        <v>2020</v>
      </c>
      <c r="C200" s="7" t="s">
        <v>66</v>
      </c>
      <c r="D200" s="7" t="s">
        <v>21</v>
      </c>
      <c r="E200" s="7" t="s">
        <v>22</v>
      </c>
      <c r="F200" s="7" t="s">
        <v>23</v>
      </c>
      <c r="G200" s="7" t="s">
        <v>24</v>
      </c>
      <c r="H200" s="7" t="s">
        <v>25</v>
      </c>
      <c r="I200" s="7" t="s">
        <v>26</v>
      </c>
      <c r="J200" s="7">
        <v>881</v>
      </c>
      <c r="K200" s="7">
        <v>1259.83</v>
      </c>
      <c r="N200" s="4">
        <v>2021</v>
      </c>
      <c r="O200" s="4" t="s">
        <v>59</v>
      </c>
      <c r="P200" s="4" t="s">
        <v>39</v>
      </c>
      <c r="Q200" s="13" t="s">
        <v>40</v>
      </c>
      <c r="R200" s="14">
        <v>644</v>
      </c>
      <c r="S200" s="14">
        <v>5743.5</v>
      </c>
      <c r="T200" s="14">
        <v>6432.72</v>
      </c>
      <c r="U200" s="9">
        <v>1148.7</v>
      </c>
      <c r="V200" s="10" t="s">
        <v>30</v>
      </c>
    </row>
    <row r="201" spans="1:22" ht="18" customHeight="1" x14ac:dyDescent="0.25">
      <c r="A201" s="7" t="s">
        <v>34</v>
      </c>
      <c r="B201" s="7">
        <v>2020</v>
      </c>
      <c r="C201" s="7" t="s">
        <v>66</v>
      </c>
      <c r="D201" s="7" t="s">
        <v>21</v>
      </c>
      <c r="E201" s="7" t="s">
        <v>22</v>
      </c>
      <c r="F201" s="7" t="s">
        <v>23</v>
      </c>
      <c r="G201" s="7" t="s">
        <v>24</v>
      </c>
      <c r="H201" s="7" t="s">
        <v>25</v>
      </c>
      <c r="I201" s="7" t="s">
        <v>35</v>
      </c>
      <c r="J201" s="7">
        <v>233</v>
      </c>
      <c r="K201" s="7">
        <v>333.19</v>
      </c>
      <c r="N201" s="4">
        <v>2021</v>
      </c>
      <c r="O201" s="4" t="s">
        <v>59</v>
      </c>
      <c r="P201" s="4" t="s">
        <v>43</v>
      </c>
      <c r="Q201" s="13" t="s">
        <v>44</v>
      </c>
      <c r="R201" s="14">
        <v>643</v>
      </c>
      <c r="S201" s="14">
        <v>7000</v>
      </c>
      <c r="T201" s="14">
        <v>7840</v>
      </c>
      <c r="U201" s="9">
        <v>1400</v>
      </c>
      <c r="V201" s="10" t="s">
        <v>30</v>
      </c>
    </row>
    <row r="202" spans="1:22" ht="18" customHeight="1" x14ac:dyDescent="0.25">
      <c r="A202" s="7" t="s">
        <v>19</v>
      </c>
      <c r="B202" s="7">
        <v>2020</v>
      </c>
      <c r="C202" s="7" t="s">
        <v>66</v>
      </c>
      <c r="D202" s="7" t="s">
        <v>21</v>
      </c>
      <c r="E202" s="7" t="s">
        <v>22</v>
      </c>
      <c r="F202" s="7" t="s">
        <v>23</v>
      </c>
      <c r="G202" s="7" t="s">
        <v>24</v>
      </c>
      <c r="H202" s="7" t="s">
        <v>25</v>
      </c>
      <c r="I202" s="7" t="s">
        <v>35</v>
      </c>
      <c r="J202" s="7">
        <v>275</v>
      </c>
      <c r="K202" s="7">
        <v>393.25</v>
      </c>
      <c r="N202" s="4">
        <v>2021</v>
      </c>
      <c r="O202" s="4" t="s">
        <v>59</v>
      </c>
      <c r="P202" s="4" t="s">
        <v>39</v>
      </c>
      <c r="Q202" s="13" t="s">
        <v>46</v>
      </c>
      <c r="R202" s="14">
        <v>455</v>
      </c>
      <c r="S202" s="14">
        <v>4578.6000000000004</v>
      </c>
      <c r="T202" s="14">
        <v>5128.0320000000002</v>
      </c>
      <c r="U202" s="9">
        <v>915.72000000000014</v>
      </c>
      <c r="V202" s="10" t="s">
        <v>30</v>
      </c>
    </row>
    <row r="203" spans="1:22" ht="18" customHeight="1" x14ac:dyDescent="0.25">
      <c r="A203" s="7" t="s">
        <v>34</v>
      </c>
      <c r="B203" s="7">
        <v>2020</v>
      </c>
      <c r="C203" s="7" t="s">
        <v>66</v>
      </c>
      <c r="D203" s="7" t="s">
        <v>21</v>
      </c>
      <c r="E203" s="7" t="s">
        <v>22</v>
      </c>
      <c r="F203" s="7" t="s">
        <v>23</v>
      </c>
      <c r="G203" s="7" t="s">
        <v>24</v>
      </c>
      <c r="H203" s="7" t="s">
        <v>25</v>
      </c>
      <c r="I203" s="7" t="s">
        <v>35</v>
      </c>
      <c r="J203" s="7">
        <v>773</v>
      </c>
      <c r="K203" s="7">
        <v>1105.3899999999999</v>
      </c>
      <c r="N203" s="4">
        <v>2021</v>
      </c>
      <c r="O203" s="4" t="s">
        <v>59</v>
      </c>
      <c r="P203" s="4" t="s">
        <v>43</v>
      </c>
      <c r="Q203" s="13" t="s">
        <v>48</v>
      </c>
      <c r="R203" s="15">
        <v>345</v>
      </c>
      <c r="S203" s="15">
        <v>7000</v>
      </c>
      <c r="T203" s="15">
        <v>7840</v>
      </c>
      <c r="U203" s="9">
        <v>1400</v>
      </c>
      <c r="V203" s="10" t="s">
        <v>30</v>
      </c>
    </row>
    <row r="204" spans="1:22" ht="18" customHeight="1" x14ac:dyDescent="0.25">
      <c r="A204" s="7" t="s">
        <v>53</v>
      </c>
      <c r="B204" s="7">
        <v>2020</v>
      </c>
      <c r="C204" s="7" t="s">
        <v>71</v>
      </c>
      <c r="D204" s="7" t="s">
        <v>21</v>
      </c>
      <c r="E204" s="7" t="s">
        <v>22</v>
      </c>
      <c r="F204" s="7" t="s">
        <v>23</v>
      </c>
      <c r="G204" s="7" t="s">
        <v>24</v>
      </c>
      <c r="H204" s="7" t="s">
        <v>25</v>
      </c>
      <c r="I204" s="7" t="s">
        <v>26</v>
      </c>
      <c r="J204" s="7">
        <v>242</v>
      </c>
      <c r="K204" s="7">
        <v>526.24</v>
      </c>
      <c r="N204" s="4">
        <v>2021</v>
      </c>
      <c r="O204" s="4" t="s">
        <v>59</v>
      </c>
      <c r="P204" s="4" t="s">
        <v>36</v>
      </c>
      <c r="Q204" s="8" t="s">
        <v>49</v>
      </c>
      <c r="R204" s="9">
        <v>122</v>
      </c>
      <c r="S204" s="9">
        <v>100</v>
      </c>
      <c r="T204" s="9">
        <v>112</v>
      </c>
      <c r="U204" s="9">
        <v>20</v>
      </c>
      <c r="V204" s="10" t="s">
        <v>30</v>
      </c>
    </row>
    <row r="205" spans="1:22" ht="18" customHeight="1" x14ac:dyDescent="0.25">
      <c r="A205" s="7" t="s">
        <v>34</v>
      </c>
      <c r="B205" s="7">
        <v>2020</v>
      </c>
      <c r="C205" s="7" t="s">
        <v>71</v>
      </c>
      <c r="D205" s="7" t="s">
        <v>21</v>
      </c>
      <c r="E205" s="7" t="s">
        <v>22</v>
      </c>
      <c r="F205" s="7" t="s">
        <v>23</v>
      </c>
      <c r="G205" s="7" t="s">
        <v>24</v>
      </c>
      <c r="H205" s="7" t="s">
        <v>25</v>
      </c>
      <c r="I205" s="7" t="s">
        <v>26</v>
      </c>
      <c r="J205" s="7">
        <v>236</v>
      </c>
      <c r="K205" s="7">
        <v>526.24</v>
      </c>
      <c r="N205" s="4">
        <v>2021</v>
      </c>
      <c r="O205" s="4" t="s">
        <v>59</v>
      </c>
      <c r="P205" s="4" t="s">
        <v>50</v>
      </c>
      <c r="Q205" s="13" t="s">
        <v>51</v>
      </c>
      <c r="R205" s="14">
        <v>78</v>
      </c>
      <c r="S205" s="14">
        <v>4577.2</v>
      </c>
      <c r="T205" s="14">
        <v>5126.4639999999999</v>
      </c>
      <c r="U205" s="9">
        <v>915.44</v>
      </c>
      <c r="V205" s="10" t="s">
        <v>30</v>
      </c>
    </row>
    <row r="206" spans="1:22" ht="18" customHeight="1" x14ac:dyDescent="0.25">
      <c r="A206" s="7" t="s">
        <v>42</v>
      </c>
      <c r="B206" s="7">
        <v>2020</v>
      </c>
      <c r="C206" s="7" t="s">
        <v>71</v>
      </c>
      <c r="D206" s="7" t="s">
        <v>21</v>
      </c>
      <c r="E206" s="7" t="s">
        <v>22</v>
      </c>
      <c r="F206" s="7" t="s">
        <v>23</v>
      </c>
      <c r="G206" s="7" t="s">
        <v>24</v>
      </c>
      <c r="H206" s="7" t="s">
        <v>25</v>
      </c>
      <c r="I206" s="7" t="s">
        <v>26</v>
      </c>
      <c r="J206" s="7">
        <v>230</v>
      </c>
      <c r="K206" s="7">
        <v>526.24</v>
      </c>
      <c r="N206" s="4">
        <v>2021</v>
      </c>
      <c r="O206" s="4" t="s">
        <v>59</v>
      </c>
      <c r="P206" s="4" t="s">
        <v>50</v>
      </c>
      <c r="Q206" s="13" t="s">
        <v>52</v>
      </c>
      <c r="R206" s="14">
        <v>240</v>
      </c>
      <c r="S206" s="14">
        <v>4576.8999999999996</v>
      </c>
      <c r="T206" s="14">
        <v>5126.1279999999997</v>
      </c>
      <c r="U206" s="9">
        <v>915.38</v>
      </c>
      <c r="V206" s="10" t="s">
        <v>30</v>
      </c>
    </row>
    <row r="207" spans="1:22" ht="18" customHeight="1" x14ac:dyDescent="0.25">
      <c r="A207" s="7" t="s">
        <v>53</v>
      </c>
      <c r="B207" s="7">
        <v>2020</v>
      </c>
      <c r="C207" s="7" t="s">
        <v>71</v>
      </c>
      <c r="D207" s="7" t="s">
        <v>21</v>
      </c>
      <c r="E207" s="7" t="s">
        <v>22</v>
      </c>
      <c r="F207" s="7" t="s">
        <v>23</v>
      </c>
      <c r="G207" s="7" t="s">
        <v>24</v>
      </c>
      <c r="H207" s="7" t="s">
        <v>25</v>
      </c>
      <c r="I207" s="7" t="s">
        <v>35</v>
      </c>
      <c r="J207" s="7">
        <v>200</v>
      </c>
      <c r="K207" s="7">
        <v>286</v>
      </c>
      <c r="N207" s="4">
        <v>2021</v>
      </c>
      <c r="O207" s="4" t="s">
        <v>59</v>
      </c>
      <c r="P207" s="4" t="s">
        <v>50</v>
      </c>
      <c r="Q207" s="13" t="s">
        <v>54</v>
      </c>
      <c r="R207" s="14">
        <v>5492.16</v>
      </c>
      <c r="S207" s="14">
        <v>200</v>
      </c>
      <c r="T207" s="14">
        <v>224</v>
      </c>
      <c r="U207" s="9">
        <v>40</v>
      </c>
      <c r="V207" s="10" t="s">
        <v>30</v>
      </c>
    </row>
    <row r="208" spans="1:22" ht="18" customHeight="1" x14ac:dyDescent="0.25">
      <c r="A208" s="7" t="s">
        <v>42</v>
      </c>
      <c r="B208" s="7">
        <v>2020</v>
      </c>
      <c r="C208" s="7" t="s">
        <v>71</v>
      </c>
      <c r="D208" s="7" t="s">
        <v>21</v>
      </c>
      <c r="E208" s="7" t="s">
        <v>22</v>
      </c>
      <c r="F208" s="7" t="s">
        <v>23</v>
      </c>
      <c r="G208" s="7" t="s">
        <v>24</v>
      </c>
      <c r="H208" s="7" t="s">
        <v>25</v>
      </c>
      <c r="I208" s="7" t="s">
        <v>35</v>
      </c>
      <c r="J208" s="7">
        <v>170</v>
      </c>
      <c r="K208" s="7">
        <v>243.1</v>
      </c>
      <c r="N208" s="4">
        <v>2021</v>
      </c>
      <c r="O208" s="4" t="s">
        <v>59</v>
      </c>
      <c r="P208" s="4" t="s">
        <v>50</v>
      </c>
      <c r="Q208" s="13" t="s">
        <v>55</v>
      </c>
      <c r="R208" s="14">
        <v>240</v>
      </c>
      <c r="S208" s="14">
        <v>4576.8</v>
      </c>
      <c r="T208" s="14">
        <v>5126.0160000000005</v>
      </c>
      <c r="U208" s="9">
        <v>915.36000000000013</v>
      </c>
      <c r="V208" s="10" t="s">
        <v>30</v>
      </c>
    </row>
    <row r="209" spans="1:22" ht="18" customHeight="1" x14ac:dyDescent="0.25">
      <c r="A209" s="7" t="s">
        <v>42</v>
      </c>
      <c r="B209" s="7">
        <v>2020</v>
      </c>
      <c r="C209" s="7" t="s">
        <v>71</v>
      </c>
      <c r="D209" s="7" t="s">
        <v>21</v>
      </c>
      <c r="E209" s="7" t="s">
        <v>22</v>
      </c>
      <c r="F209" s="7" t="s">
        <v>23</v>
      </c>
      <c r="G209" s="7" t="s">
        <v>24</v>
      </c>
      <c r="H209" s="7" t="s">
        <v>25</v>
      </c>
      <c r="I209" s="7" t="s">
        <v>35</v>
      </c>
      <c r="J209" s="7">
        <v>196</v>
      </c>
      <c r="K209" s="7">
        <v>280.27999999999997</v>
      </c>
      <c r="N209" s="4">
        <v>2021</v>
      </c>
      <c r="O209" s="4" t="s">
        <v>59</v>
      </c>
      <c r="P209" s="4" t="s">
        <v>36</v>
      </c>
      <c r="Q209" s="8" t="s">
        <v>56</v>
      </c>
      <c r="R209" s="9">
        <v>5492.76</v>
      </c>
      <c r="S209" s="9">
        <v>200</v>
      </c>
      <c r="T209" s="9">
        <v>224</v>
      </c>
      <c r="U209" s="9">
        <v>40</v>
      </c>
      <c r="V209" s="10" t="s">
        <v>30</v>
      </c>
    </row>
    <row r="210" spans="1:22" ht="18" customHeight="1" x14ac:dyDescent="0.25">
      <c r="A210" s="7" t="s">
        <v>34</v>
      </c>
      <c r="B210" s="7">
        <v>2020</v>
      </c>
      <c r="C210" s="7" t="s">
        <v>71</v>
      </c>
      <c r="D210" s="7" t="s">
        <v>21</v>
      </c>
      <c r="E210" s="7" t="s">
        <v>22</v>
      </c>
      <c r="F210" s="7" t="s">
        <v>23</v>
      </c>
      <c r="G210" s="7" t="s">
        <v>24</v>
      </c>
      <c r="H210" s="7" t="s">
        <v>25</v>
      </c>
      <c r="I210" s="7" t="s">
        <v>35</v>
      </c>
      <c r="J210" s="7">
        <v>244</v>
      </c>
      <c r="K210" s="7">
        <v>348.92</v>
      </c>
      <c r="N210" s="4">
        <v>2021</v>
      </c>
      <c r="O210" s="4" t="s">
        <v>59</v>
      </c>
      <c r="P210" s="4" t="s">
        <v>50</v>
      </c>
      <c r="Q210" s="13" t="s">
        <v>58</v>
      </c>
      <c r="R210" s="14">
        <v>7920</v>
      </c>
      <c r="S210" s="14">
        <v>4577.3</v>
      </c>
      <c r="T210" s="14">
        <v>5126.576</v>
      </c>
      <c r="U210" s="9">
        <v>915.46</v>
      </c>
      <c r="V210" s="10" t="s">
        <v>30</v>
      </c>
    </row>
    <row r="211" spans="1:22" ht="18" customHeight="1" x14ac:dyDescent="0.25">
      <c r="A211" s="7" t="s">
        <v>19</v>
      </c>
      <c r="B211" s="7">
        <v>2020</v>
      </c>
      <c r="C211" s="7" t="s">
        <v>71</v>
      </c>
      <c r="D211" s="7" t="s">
        <v>21</v>
      </c>
      <c r="E211" s="7" t="s">
        <v>22</v>
      </c>
      <c r="F211" s="7" t="s">
        <v>23</v>
      </c>
      <c r="G211" s="7" t="s">
        <v>24</v>
      </c>
      <c r="H211" s="7" t="s">
        <v>25</v>
      </c>
      <c r="I211" s="7" t="s">
        <v>35</v>
      </c>
      <c r="J211" s="7">
        <v>172</v>
      </c>
      <c r="K211" s="7">
        <v>245.95999999999998</v>
      </c>
      <c r="N211" s="4">
        <v>2021</v>
      </c>
      <c r="O211" s="4" t="s">
        <v>59</v>
      </c>
      <c r="P211" s="4" t="s">
        <v>57</v>
      </c>
      <c r="Q211" s="13" t="s">
        <v>57</v>
      </c>
      <c r="R211" s="14">
        <v>5492.76</v>
      </c>
      <c r="S211" s="14">
        <v>6600</v>
      </c>
      <c r="T211" s="14">
        <v>7392</v>
      </c>
      <c r="U211" s="9">
        <v>1320</v>
      </c>
      <c r="V211" s="10" t="s">
        <v>30</v>
      </c>
    </row>
    <row r="212" spans="1:22" ht="18" customHeight="1" x14ac:dyDescent="0.25">
      <c r="A212" s="7" t="s">
        <v>19</v>
      </c>
      <c r="B212" s="7">
        <v>2020</v>
      </c>
      <c r="C212" s="7" t="s">
        <v>71</v>
      </c>
      <c r="D212" s="7" t="s">
        <v>21</v>
      </c>
      <c r="E212" s="7" t="s">
        <v>22</v>
      </c>
      <c r="F212" s="7" t="s">
        <v>23</v>
      </c>
      <c r="G212" s="7" t="s">
        <v>24</v>
      </c>
      <c r="H212" s="7" t="s">
        <v>25</v>
      </c>
      <c r="I212" s="7" t="s">
        <v>26</v>
      </c>
      <c r="J212" s="7">
        <v>240</v>
      </c>
      <c r="K212" s="7">
        <v>526.24</v>
      </c>
      <c r="N212" s="4">
        <v>2021</v>
      </c>
      <c r="O212" s="4" t="s">
        <v>62</v>
      </c>
      <c r="P212" s="4" t="s">
        <v>28</v>
      </c>
      <c r="Q212" s="8" t="s">
        <v>29</v>
      </c>
      <c r="R212" s="9">
        <v>9600</v>
      </c>
      <c r="S212" s="9">
        <v>4577.3</v>
      </c>
      <c r="T212" s="9">
        <v>5126.576</v>
      </c>
      <c r="U212" s="9">
        <v>915.46</v>
      </c>
      <c r="V212" s="10" t="s">
        <v>30</v>
      </c>
    </row>
    <row r="213" spans="1:22" ht="18" customHeight="1" x14ac:dyDescent="0.25">
      <c r="A213" s="7" t="s">
        <v>42</v>
      </c>
      <c r="B213" s="7">
        <v>2020</v>
      </c>
      <c r="C213" s="7" t="s">
        <v>71</v>
      </c>
      <c r="D213" s="7" t="s">
        <v>21</v>
      </c>
      <c r="E213" s="7" t="s">
        <v>22</v>
      </c>
      <c r="F213" s="7" t="s">
        <v>23</v>
      </c>
      <c r="G213" s="7" t="s">
        <v>24</v>
      </c>
      <c r="H213" s="7" t="s">
        <v>25</v>
      </c>
      <c r="I213" s="7" t="s">
        <v>26</v>
      </c>
      <c r="J213" s="7">
        <v>234</v>
      </c>
      <c r="K213" s="7">
        <v>526.24</v>
      </c>
      <c r="N213" s="4">
        <v>2021</v>
      </c>
      <c r="O213" s="4" t="s">
        <v>62</v>
      </c>
      <c r="P213" s="4" t="s">
        <v>28</v>
      </c>
      <c r="Q213" s="8" t="s">
        <v>32</v>
      </c>
      <c r="R213" s="9">
        <v>5492.6399999999994</v>
      </c>
      <c r="S213" s="9">
        <v>8000</v>
      </c>
      <c r="T213" s="9">
        <v>8960</v>
      </c>
      <c r="U213" s="9">
        <v>1600</v>
      </c>
      <c r="V213" s="10" t="s">
        <v>30</v>
      </c>
    </row>
    <row r="214" spans="1:22" ht="18" customHeight="1" x14ac:dyDescent="0.25">
      <c r="A214" s="7" t="s">
        <v>34</v>
      </c>
      <c r="B214" s="7">
        <v>2020</v>
      </c>
      <c r="C214" s="7" t="s">
        <v>71</v>
      </c>
      <c r="D214" s="7" t="s">
        <v>21</v>
      </c>
      <c r="E214" s="7" t="s">
        <v>22</v>
      </c>
      <c r="F214" s="7" t="s">
        <v>23</v>
      </c>
      <c r="G214" s="7" t="s">
        <v>24</v>
      </c>
      <c r="H214" s="7" t="s">
        <v>25</v>
      </c>
      <c r="I214" s="7" t="s">
        <v>26</v>
      </c>
      <c r="J214" s="7">
        <v>228</v>
      </c>
      <c r="K214" s="7">
        <v>526.24</v>
      </c>
      <c r="N214" s="4">
        <v>2021</v>
      </c>
      <c r="O214" s="4" t="s">
        <v>62</v>
      </c>
      <c r="P214" s="4" t="s">
        <v>36</v>
      </c>
      <c r="Q214" s="8" t="s">
        <v>37</v>
      </c>
      <c r="R214" s="9">
        <v>6892.2</v>
      </c>
      <c r="S214" s="9">
        <v>4577.2</v>
      </c>
      <c r="T214" s="9">
        <v>5126.4639999999999</v>
      </c>
      <c r="U214" s="9">
        <v>915.44</v>
      </c>
      <c r="V214" s="10" t="s">
        <v>30</v>
      </c>
    </row>
    <row r="215" spans="1:22" ht="18" customHeight="1" x14ac:dyDescent="0.25">
      <c r="A215" s="7" t="s">
        <v>19</v>
      </c>
      <c r="B215" s="7">
        <v>2020</v>
      </c>
      <c r="C215" s="7" t="s">
        <v>71</v>
      </c>
      <c r="D215" s="7" t="s">
        <v>21</v>
      </c>
      <c r="E215" s="7" t="s">
        <v>22</v>
      </c>
      <c r="F215" s="7" t="s">
        <v>23</v>
      </c>
      <c r="G215" s="7" t="s">
        <v>24</v>
      </c>
      <c r="H215" s="7" t="s">
        <v>25</v>
      </c>
      <c r="I215" s="7" t="s">
        <v>35</v>
      </c>
      <c r="J215" s="7">
        <v>683</v>
      </c>
      <c r="K215" s="7">
        <v>976.69</v>
      </c>
      <c r="N215" s="4">
        <v>2021</v>
      </c>
      <c r="O215" s="4" t="s">
        <v>62</v>
      </c>
      <c r="P215" s="4" t="s">
        <v>39</v>
      </c>
      <c r="Q215" s="13" t="s">
        <v>40</v>
      </c>
      <c r="R215" s="14">
        <v>644</v>
      </c>
      <c r="S215" s="14">
        <v>5743.5</v>
      </c>
      <c r="T215" s="14">
        <v>6432.72</v>
      </c>
      <c r="U215" s="9">
        <v>1148.7</v>
      </c>
      <c r="V215" s="10" t="s">
        <v>30</v>
      </c>
    </row>
    <row r="216" spans="1:22" ht="18" customHeight="1" x14ac:dyDescent="0.25">
      <c r="A216" s="7" t="s">
        <v>34</v>
      </c>
      <c r="B216" s="7">
        <v>2020</v>
      </c>
      <c r="C216" s="7" t="s">
        <v>71</v>
      </c>
      <c r="D216" s="7" t="s">
        <v>21</v>
      </c>
      <c r="E216" s="7" t="s">
        <v>22</v>
      </c>
      <c r="F216" s="7" t="s">
        <v>23</v>
      </c>
      <c r="G216" s="7" t="s">
        <v>24</v>
      </c>
      <c r="H216" s="7" t="s">
        <v>25</v>
      </c>
      <c r="I216" s="7" t="s">
        <v>35</v>
      </c>
      <c r="J216" s="7">
        <v>716</v>
      </c>
      <c r="K216" s="7">
        <v>1023.88</v>
      </c>
      <c r="N216" s="4">
        <v>2021</v>
      </c>
      <c r="O216" s="4" t="s">
        <v>62</v>
      </c>
      <c r="P216" s="4" t="s">
        <v>43</v>
      </c>
      <c r="Q216" s="13" t="s">
        <v>44</v>
      </c>
      <c r="R216" s="14">
        <v>643</v>
      </c>
      <c r="S216" s="14">
        <v>7000</v>
      </c>
      <c r="T216" s="14">
        <v>7840</v>
      </c>
      <c r="U216" s="9">
        <v>1400</v>
      </c>
      <c r="V216" s="10" t="s">
        <v>30</v>
      </c>
    </row>
    <row r="217" spans="1:22" ht="18" customHeight="1" x14ac:dyDescent="0.25">
      <c r="A217" s="7" t="s">
        <v>42</v>
      </c>
      <c r="B217" s="7">
        <v>2020</v>
      </c>
      <c r="C217" s="7" t="s">
        <v>71</v>
      </c>
      <c r="D217" s="7" t="s">
        <v>21</v>
      </c>
      <c r="E217" s="7" t="s">
        <v>22</v>
      </c>
      <c r="F217" s="7" t="s">
        <v>23</v>
      </c>
      <c r="G217" s="7" t="s">
        <v>24</v>
      </c>
      <c r="H217" s="7" t="s">
        <v>25</v>
      </c>
      <c r="I217" s="7" t="s">
        <v>35</v>
      </c>
      <c r="J217" s="7">
        <v>769</v>
      </c>
      <c r="K217" s="7">
        <v>1099.67</v>
      </c>
      <c r="N217" s="4">
        <v>2021</v>
      </c>
      <c r="O217" s="4" t="s">
        <v>62</v>
      </c>
      <c r="P217" s="4" t="s">
        <v>39</v>
      </c>
      <c r="Q217" s="13" t="s">
        <v>46</v>
      </c>
      <c r="R217" s="14">
        <v>455</v>
      </c>
      <c r="S217" s="14">
        <v>4578.6000000000004</v>
      </c>
      <c r="T217" s="14">
        <v>5128.0320000000002</v>
      </c>
      <c r="U217" s="9">
        <v>915.72000000000014</v>
      </c>
      <c r="V217" s="10" t="s">
        <v>30</v>
      </c>
    </row>
    <row r="218" spans="1:22" ht="18" customHeight="1" x14ac:dyDescent="0.25">
      <c r="A218" s="7" t="s">
        <v>34</v>
      </c>
      <c r="B218" s="7">
        <v>2020</v>
      </c>
      <c r="C218" s="7" t="s">
        <v>71</v>
      </c>
      <c r="D218" s="7" t="s">
        <v>21</v>
      </c>
      <c r="E218" s="7" t="s">
        <v>22</v>
      </c>
      <c r="F218" s="7" t="s">
        <v>23</v>
      </c>
      <c r="G218" s="7" t="s">
        <v>24</v>
      </c>
      <c r="H218" s="7" t="s">
        <v>25</v>
      </c>
      <c r="I218" s="7" t="s">
        <v>26</v>
      </c>
      <c r="J218" s="7">
        <v>237</v>
      </c>
      <c r="K218" s="7">
        <v>338.90999999999997</v>
      </c>
      <c r="N218" s="4">
        <v>2021</v>
      </c>
      <c r="O218" s="4" t="s">
        <v>62</v>
      </c>
      <c r="P218" s="4" t="s">
        <v>43</v>
      </c>
      <c r="Q218" s="13" t="s">
        <v>48</v>
      </c>
      <c r="R218" s="15">
        <v>345</v>
      </c>
      <c r="S218" s="15">
        <v>7000</v>
      </c>
      <c r="T218" s="15">
        <v>7840</v>
      </c>
      <c r="U218" s="9">
        <v>1400</v>
      </c>
      <c r="V218" s="10" t="s">
        <v>30</v>
      </c>
    </row>
    <row r="219" spans="1:22" ht="18" customHeight="1" x14ac:dyDescent="0.25">
      <c r="A219" s="7" t="s">
        <v>34</v>
      </c>
      <c r="B219" s="7">
        <v>2020</v>
      </c>
      <c r="C219" s="7" t="s">
        <v>71</v>
      </c>
      <c r="D219" s="7" t="s">
        <v>21</v>
      </c>
      <c r="E219" s="7" t="s">
        <v>22</v>
      </c>
      <c r="F219" s="7" t="s">
        <v>23</v>
      </c>
      <c r="G219" s="7" t="s">
        <v>24</v>
      </c>
      <c r="H219" s="7" t="s">
        <v>25</v>
      </c>
      <c r="I219" s="7" t="s">
        <v>26</v>
      </c>
      <c r="J219" s="7">
        <v>231</v>
      </c>
      <c r="K219" s="7">
        <v>330.33</v>
      </c>
      <c r="N219" s="4">
        <v>2021</v>
      </c>
      <c r="O219" s="4" t="s">
        <v>62</v>
      </c>
      <c r="P219" s="4" t="s">
        <v>36</v>
      </c>
      <c r="Q219" s="8" t="s">
        <v>49</v>
      </c>
      <c r="R219" s="9">
        <v>122</v>
      </c>
      <c r="S219" s="9">
        <v>100</v>
      </c>
      <c r="T219" s="9">
        <v>112</v>
      </c>
      <c r="U219" s="9">
        <v>20</v>
      </c>
      <c r="V219" s="10" t="s">
        <v>30</v>
      </c>
    </row>
    <row r="220" spans="1:22" ht="18" customHeight="1" x14ac:dyDescent="0.25">
      <c r="A220" s="7" t="s">
        <v>42</v>
      </c>
      <c r="B220" s="7">
        <v>2020</v>
      </c>
      <c r="C220" s="7" t="s">
        <v>71</v>
      </c>
      <c r="D220" s="7" t="s">
        <v>21</v>
      </c>
      <c r="E220" s="7" t="s">
        <v>22</v>
      </c>
      <c r="F220" s="7" t="s">
        <v>23</v>
      </c>
      <c r="G220" s="7" t="s">
        <v>24</v>
      </c>
      <c r="H220" s="7" t="s">
        <v>25</v>
      </c>
      <c r="I220" s="7" t="s">
        <v>35</v>
      </c>
      <c r="J220" s="7">
        <v>201</v>
      </c>
      <c r="K220" s="7">
        <v>287.43</v>
      </c>
      <c r="N220" s="4">
        <v>2021</v>
      </c>
      <c r="O220" s="4" t="s">
        <v>62</v>
      </c>
      <c r="P220" s="4" t="s">
        <v>50</v>
      </c>
      <c r="Q220" s="13" t="s">
        <v>51</v>
      </c>
      <c r="R220" s="14">
        <v>78</v>
      </c>
      <c r="S220" s="14">
        <v>4577.2</v>
      </c>
      <c r="T220" s="14">
        <v>5126.4639999999999</v>
      </c>
      <c r="U220" s="9">
        <v>915.44</v>
      </c>
      <c r="V220" s="10" t="s">
        <v>30</v>
      </c>
    </row>
    <row r="221" spans="1:22" ht="18" customHeight="1" x14ac:dyDescent="0.25">
      <c r="A221" s="7" t="s">
        <v>34</v>
      </c>
      <c r="B221" s="7">
        <v>2020</v>
      </c>
      <c r="C221" s="7" t="s">
        <v>71</v>
      </c>
      <c r="D221" s="7" t="s">
        <v>21</v>
      </c>
      <c r="E221" s="7" t="s">
        <v>22</v>
      </c>
      <c r="F221" s="7" t="s">
        <v>23</v>
      </c>
      <c r="G221" s="7" t="s">
        <v>24</v>
      </c>
      <c r="H221" s="7" t="s">
        <v>25</v>
      </c>
      <c r="I221" s="7" t="s">
        <v>35</v>
      </c>
      <c r="J221" s="7">
        <v>756</v>
      </c>
      <c r="K221" s="7">
        <v>526.24</v>
      </c>
      <c r="N221" s="4">
        <v>2021</v>
      </c>
      <c r="O221" s="4" t="s">
        <v>62</v>
      </c>
      <c r="P221" s="4" t="s">
        <v>50</v>
      </c>
      <c r="Q221" s="13" t="s">
        <v>52</v>
      </c>
      <c r="R221" s="14">
        <v>76</v>
      </c>
      <c r="S221" s="14">
        <v>4576.8999999999996</v>
      </c>
      <c r="T221" s="14">
        <v>5126.1279999999997</v>
      </c>
      <c r="U221" s="9">
        <v>915.38</v>
      </c>
      <c r="V221" s="10" t="s">
        <v>30</v>
      </c>
    </row>
    <row r="222" spans="1:22" ht="18" customHeight="1" x14ac:dyDescent="0.25">
      <c r="A222" s="7" t="s">
        <v>19</v>
      </c>
      <c r="B222" s="7">
        <v>2020</v>
      </c>
      <c r="C222" s="7" t="s">
        <v>71</v>
      </c>
      <c r="D222" s="7" t="s">
        <v>21</v>
      </c>
      <c r="E222" s="7" t="s">
        <v>22</v>
      </c>
      <c r="F222" s="7" t="s">
        <v>23</v>
      </c>
      <c r="G222" s="7" t="s">
        <v>24</v>
      </c>
      <c r="H222" s="7" t="s">
        <v>25</v>
      </c>
      <c r="I222" s="7" t="s">
        <v>35</v>
      </c>
      <c r="J222" s="7">
        <v>809</v>
      </c>
      <c r="K222" s="7">
        <v>526.24</v>
      </c>
      <c r="N222" s="4">
        <v>2021</v>
      </c>
      <c r="O222" s="4" t="s">
        <v>62</v>
      </c>
      <c r="P222" s="4" t="s">
        <v>50</v>
      </c>
      <c r="Q222" s="13" t="s">
        <v>54</v>
      </c>
      <c r="R222" s="14">
        <v>46</v>
      </c>
      <c r="S222" s="14">
        <v>200</v>
      </c>
      <c r="T222" s="14">
        <v>224</v>
      </c>
      <c r="U222" s="9">
        <v>40</v>
      </c>
      <c r="V222" s="10" t="s">
        <v>30</v>
      </c>
    </row>
    <row r="223" spans="1:22" ht="18" customHeight="1" x14ac:dyDescent="0.25">
      <c r="A223" s="7" t="s">
        <v>19</v>
      </c>
      <c r="B223" s="7">
        <v>2020</v>
      </c>
      <c r="C223" s="7" t="s">
        <v>71</v>
      </c>
      <c r="D223" s="7" t="s">
        <v>21</v>
      </c>
      <c r="E223" s="7" t="s">
        <v>22</v>
      </c>
      <c r="F223" s="7" t="s">
        <v>23</v>
      </c>
      <c r="G223" s="7" t="s">
        <v>24</v>
      </c>
      <c r="H223" s="7" t="s">
        <v>25</v>
      </c>
      <c r="I223" s="7" t="s">
        <v>35</v>
      </c>
      <c r="J223" s="7">
        <v>199</v>
      </c>
      <c r="K223" s="7">
        <v>284.57</v>
      </c>
      <c r="N223" s="4">
        <v>2021</v>
      </c>
      <c r="O223" s="4" t="s">
        <v>62</v>
      </c>
      <c r="P223" s="4" t="s">
        <v>50</v>
      </c>
      <c r="Q223" s="13" t="s">
        <v>55</v>
      </c>
      <c r="R223" s="14">
        <v>34</v>
      </c>
      <c r="S223" s="14">
        <v>4576.8</v>
      </c>
      <c r="T223" s="14">
        <v>5126.0160000000005</v>
      </c>
      <c r="U223" s="9">
        <v>915.36000000000013</v>
      </c>
      <c r="V223" s="10" t="s">
        <v>30</v>
      </c>
    </row>
    <row r="224" spans="1:22" ht="18" customHeight="1" x14ac:dyDescent="0.25">
      <c r="A224" s="7" t="s">
        <v>19</v>
      </c>
      <c r="B224" s="7">
        <v>2020</v>
      </c>
      <c r="C224" s="7" t="s">
        <v>71</v>
      </c>
      <c r="D224" s="7" t="s">
        <v>21</v>
      </c>
      <c r="E224" s="7" t="s">
        <v>22</v>
      </c>
      <c r="F224" s="7" t="s">
        <v>23</v>
      </c>
      <c r="G224" s="7" t="s">
        <v>24</v>
      </c>
      <c r="H224" s="7" t="s">
        <v>25</v>
      </c>
      <c r="I224" s="7" t="s">
        <v>35</v>
      </c>
      <c r="J224" s="7">
        <v>247</v>
      </c>
      <c r="K224" s="7">
        <v>353.21</v>
      </c>
      <c r="N224" s="4">
        <v>2021</v>
      </c>
      <c r="O224" s="4" t="s">
        <v>62</v>
      </c>
      <c r="P224" s="4" t="s">
        <v>36</v>
      </c>
      <c r="Q224" s="8" t="s">
        <v>56</v>
      </c>
      <c r="R224" s="9">
        <v>7</v>
      </c>
      <c r="S224" s="9">
        <v>200</v>
      </c>
      <c r="T224" s="9">
        <v>224</v>
      </c>
      <c r="U224" s="9">
        <v>40</v>
      </c>
      <c r="V224" s="10" t="s">
        <v>30</v>
      </c>
    </row>
    <row r="225" spans="1:22" ht="18" customHeight="1" x14ac:dyDescent="0.25">
      <c r="A225" s="7" t="s">
        <v>42</v>
      </c>
      <c r="B225" s="7">
        <v>2020</v>
      </c>
      <c r="C225" s="7" t="s">
        <v>71</v>
      </c>
      <c r="D225" s="7" t="s">
        <v>21</v>
      </c>
      <c r="E225" s="7" t="s">
        <v>22</v>
      </c>
      <c r="F225" s="7" t="s">
        <v>23</v>
      </c>
      <c r="G225" s="7" t="s">
        <v>24</v>
      </c>
      <c r="H225" s="7" t="s">
        <v>25</v>
      </c>
      <c r="I225" s="7" t="s">
        <v>35</v>
      </c>
      <c r="J225" s="7">
        <v>169</v>
      </c>
      <c r="K225" s="7">
        <v>241.67000000000002</v>
      </c>
      <c r="N225" s="4">
        <v>2021</v>
      </c>
      <c r="O225" s="4" t="s">
        <v>62</v>
      </c>
      <c r="P225" s="4" t="s">
        <v>50</v>
      </c>
      <c r="Q225" s="13" t="s">
        <v>58</v>
      </c>
      <c r="R225" s="14">
        <v>3</v>
      </c>
      <c r="S225" s="14">
        <v>4577.3</v>
      </c>
      <c r="T225" s="14">
        <v>5126.576</v>
      </c>
      <c r="U225" s="9">
        <v>915.46</v>
      </c>
      <c r="V225" s="10" t="s">
        <v>30</v>
      </c>
    </row>
    <row r="226" spans="1:22" ht="18" customHeight="1" x14ac:dyDescent="0.25">
      <c r="A226" s="7" t="s">
        <v>19</v>
      </c>
      <c r="B226" s="7">
        <v>2020</v>
      </c>
      <c r="C226" s="7" t="s">
        <v>71</v>
      </c>
      <c r="D226" s="7" t="s">
        <v>21</v>
      </c>
      <c r="E226" s="7" t="s">
        <v>22</v>
      </c>
      <c r="F226" s="7" t="s">
        <v>23</v>
      </c>
      <c r="G226" s="7" t="s">
        <v>24</v>
      </c>
      <c r="H226" s="7" t="s">
        <v>25</v>
      </c>
      <c r="I226" s="7" t="s">
        <v>26</v>
      </c>
      <c r="J226" s="7">
        <v>239</v>
      </c>
      <c r="K226" s="7">
        <v>341.77</v>
      </c>
      <c r="N226" s="4">
        <v>2021</v>
      </c>
      <c r="O226" s="4" t="s">
        <v>62</v>
      </c>
      <c r="P226" s="4" t="s">
        <v>57</v>
      </c>
      <c r="Q226" s="13" t="s">
        <v>57</v>
      </c>
      <c r="R226" s="14">
        <v>2</v>
      </c>
      <c r="S226" s="14">
        <v>6600</v>
      </c>
      <c r="T226" s="14">
        <v>7392</v>
      </c>
      <c r="U226" s="9">
        <v>1320</v>
      </c>
      <c r="V226" s="10" t="s">
        <v>30</v>
      </c>
    </row>
    <row r="227" spans="1:22" ht="18" customHeight="1" x14ac:dyDescent="0.25">
      <c r="A227" s="7" t="s">
        <v>34</v>
      </c>
      <c r="B227" s="7">
        <v>2020</v>
      </c>
      <c r="C227" s="7" t="s">
        <v>71</v>
      </c>
      <c r="D227" s="7" t="s">
        <v>21</v>
      </c>
      <c r="E227" s="7" t="s">
        <v>22</v>
      </c>
      <c r="F227" s="7" t="s">
        <v>23</v>
      </c>
      <c r="G227" s="7" t="s">
        <v>24</v>
      </c>
      <c r="H227" s="7" t="s">
        <v>25</v>
      </c>
      <c r="I227" s="7" t="s">
        <v>26</v>
      </c>
      <c r="J227" s="7">
        <v>233</v>
      </c>
      <c r="K227" s="7">
        <v>333.19</v>
      </c>
      <c r="N227" s="4">
        <v>2021</v>
      </c>
      <c r="O227" s="4" t="s">
        <v>20</v>
      </c>
      <c r="P227" s="4" t="s">
        <v>28</v>
      </c>
      <c r="Q227" s="8" t="s">
        <v>29</v>
      </c>
      <c r="R227" s="9">
        <v>3566</v>
      </c>
      <c r="S227" s="9">
        <v>4577.3</v>
      </c>
      <c r="T227" s="9">
        <v>5126.576</v>
      </c>
      <c r="U227" s="9">
        <v>915.46</v>
      </c>
      <c r="V227" s="10" t="s">
        <v>30</v>
      </c>
    </row>
    <row r="228" spans="1:22" ht="18" customHeight="1" x14ac:dyDescent="0.25">
      <c r="A228" s="7" t="s">
        <v>42</v>
      </c>
      <c r="B228" s="7">
        <v>2020</v>
      </c>
      <c r="C228" s="7" t="s">
        <v>71</v>
      </c>
      <c r="D228" s="7" t="s">
        <v>21</v>
      </c>
      <c r="E228" s="7" t="s">
        <v>22</v>
      </c>
      <c r="F228" s="7" t="s">
        <v>23</v>
      </c>
      <c r="G228" s="7" t="s">
        <v>24</v>
      </c>
      <c r="H228" s="7" t="s">
        <v>25</v>
      </c>
      <c r="I228" s="7" t="s">
        <v>26</v>
      </c>
      <c r="J228" s="7">
        <v>227</v>
      </c>
      <c r="K228" s="7">
        <v>324.61</v>
      </c>
      <c r="N228" s="4">
        <v>2021</v>
      </c>
      <c r="O228" s="4" t="s">
        <v>20</v>
      </c>
      <c r="P228" s="4" t="s">
        <v>28</v>
      </c>
      <c r="Q228" s="8" t="s">
        <v>32</v>
      </c>
      <c r="R228" s="9">
        <v>2498</v>
      </c>
      <c r="S228" s="9">
        <v>8000</v>
      </c>
      <c r="T228" s="9">
        <v>8960</v>
      </c>
      <c r="U228" s="9">
        <v>1600</v>
      </c>
      <c r="V228" s="10" t="s">
        <v>30</v>
      </c>
    </row>
    <row r="229" spans="1:22" ht="18" customHeight="1" x14ac:dyDescent="0.25">
      <c r="A229" s="7" t="s">
        <v>42</v>
      </c>
      <c r="B229" s="7">
        <v>2020</v>
      </c>
      <c r="C229" s="7" t="s">
        <v>71</v>
      </c>
      <c r="D229" s="7" t="s">
        <v>21</v>
      </c>
      <c r="E229" s="7" t="s">
        <v>22</v>
      </c>
      <c r="F229" s="7" t="s">
        <v>23</v>
      </c>
      <c r="G229" s="7" t="s">
        <v>24</v>
      </c>
      <c r="H229" s="7" t="s">
        <v>25</v>
      </c>
      <c r="I229" s="7" t="s">
        <v>35</v>
      </c>
      <c r="J229" s="7">
        <v>197</v>
      </c>
      <c r="K229" s="7">
        <v>281.70999999999998</v>
      </c>
      <c r="N229" s="4">
        <v>2021</v>
      </c>
      <c r="O229" s="4" t="s">
        <v>20</v>
      </c>
      <c r="P229" s="4" t="s">
        <v>36</v>
      </c>
      <c r="Q229" s="8" t="s">
        <v>37</v>
      </c>
      <c r="R229" s="9">
        <v>1245</v>
      </c>
      <c r="S229" s="9">
        <v>4577.2</v>
      </c>
      <c r="T229" s="9">
        <v>5126.4639999999999</v>
      </c>
      <c r="U229" s="9">
        <v>915.44</v>
      </c>
      <c r="V229" s="10" t="s">
        <v>30</v>
      </c>
    </row>
    <row r="230" spans="1:22" ht="18" customHeight="1" x14ac:dyDescent="0.25">
      <c r="A230" s="7" t="s">
        <v>42</v>
      </c>
      <c r="B230" s="7">
        <v>2020</v>
      </c>
      <c r="C230" s="7" t="s">
        <v>71</v>
      </c>
      <c r="D230" s="7" t="s">
        <v>21</v>
      </c>
      <c r="E230" s="7" t="s">
        <v>22</v>
      </c>
      <c r="F230" s="7" t="s">
        <v>23</v>
      </c>
      <c r="G230" s="7" t="s">
        <v>24</v>
      </c>
      <c r="H230" s="7" t="s">
        <v>25</v>
      </c>
      <c r="I230" s="7" t="s">
        <v>35</v>
      </c>
      <c r="J230" s="7">
        <v>245</v>
      </c>
      <c r="K230" s="7">
        <v>350.35</v>
      </c>
      <c r="N230" s="4">
        <v>2021</v>
      </c>
      <c r="O230" s="4" t="s">
        <v>20</v>
      </c>
      <c r="P230" s="4" t="s">
        <v>39</v>
      </c>
      <c r="Q230" s="13" t="s">
        <v>40</v>
      </c>
      <c r="R230" s="14">
        <v>644</v>
      </c>
      <c r="S230" s="14">
        <v>5743.5</v>
      </c>
      <c r="T230" s="14">
        <v>6432.72</v>
      </c>
      <c r="U230" s="9">
        <v>1148.7</v>
      </c>
      <c r="V230" s="10" t="s">
        <v>30</v>
      </c>
    </row>
    <row r="231" spans="1:22" ht="18" customHeight="1" x14ac:dyDescent="0.25">
      <c r="A231" s="7" t="s">
        <v>53</v>
      </c>
      <c r="B231" s="7">
        <v>2020</v>
      </c>
      <c r="C231" s="7" t="s">
        <v>71</v>
      </c>
      <c r="D231" s="7" t="s">
        <v>21</v>
      </c>
      <c r="E231" s="7" t="s">
        <v>22</v>
      </c>
      <c r="F231" s="7" t="s">
        <v>23</v>
      </c>
      <c r="G231" s="7" t="s">
        <v>24</v>
      </c>
      <c r="H231" s="7" t="s">
        <v>25</v>
      </c>
      <c r="I231" s="7" t="s">
        <v>35</v>
      </c>
      <c r="J231" s="7">
        <v>778</v>
      </c>
      <c r="K231" s="7">
        <v>1112.54</v>
      </c>
      <c r="N231" s="4">
        <v>2021</v>
      </c>
      <c r="O231" s="4" t="s">
        <v>20</v>
      </c>
      <c r="P231" s="4" t="s">
        <v>43</v>
      </c>
      <c r="Q231" s="13" t="s">
        <v>44</v>
      </c>
      <c r="R231" s="14">
        <v>643</v>
      </c>
      <c r="S231" s="14">
        <v>7000</v>
      </c>
      <c r="T231" s="14">
        <v>7840</v>
      </c>
      <c r="U231" s="9">
        <v>1400</v>
      </c>
      <c r="V231" s="10" t="s">
        <v>30</v>
      </c>
    </row>
    <row r="232" spans="1:22" ht="18" customHeight="1" x14ac:dyDescent="0.25">
      <c r="A232" s="7" t="s">
        <v>34</v>
      </c>
      <c r="B232" s="7">
        <v>2020</v>
      </c>
      <c r="C232" s="7" t="s">
        <v>70</v>
      </c>
      <c r="D232" s="7" t="s">
        <v>21</v>
      </c>
      <c r="E232" s="7" t="s">
        <v>22</v>
      </c>
      <c r="F232" s="7" t="s">
        <v>23</v>
      </c>
      <c r="G232" s="7" t="s">
        <v>24</v>
      </c>
      <c r="H232" s="7" t="s">
        <v>25</v>
      </c>
      <c r="I232" s="7" t="s">
        <v>26</v>
      </c>
      <c r="J232" s="7">
        <v>254</v>
      </c>
      <c r="K232" s="7">
        <v>526.24</v>
      </c>
      <c r="N232" s="4">
        <v>2021</v>
      </c>
      <c r="O232" s="4" t="s">
        <v>20</v>
      </c>
      <c r="P232" s="4" t="s">
        <v>39</v>
      </c>
      <c r="Q232" s="13" t="s">
        <v>46</v>
      </c>
      <c r="R232" s="14">
        <v>455</v>
      </c>
      <c r="S232" s="14">
        <v>4578.6000000000004</v>
      </c>
      <c r="T232" s="14">
        <v>5128.0320000000002</v>
      </c>
      <c r="U232" s="9">
        <v>915.72000000000014</v>
      </c>
      <c r="V232" s="10" t="s">
        <v>30</v>
      </c>
    </row>
    <row r="233" spans="1:22" ht="18" customHeight="1" x14ac:dyDescent="0.25">
      <c r="A233" s="7" t="s">
        <v>34</v>
      </c>
      <c r="B233" s="7">
        <v>2020</v>
      </c>
      <c r="C233" s="7" t="s">
        <v>70</v>
      </c>
      <c r="D233" s="7" t="s">
        <v>21</v>
      </c>
      <c r="E233" s="7" t="s">
        <v>22</v>
      </c>
      <c r="F233" s="7" t="s">
        <v>23</v>
      </c>
      <c r="G233" s="7" t="s">
        <v>24</v>
      </c>
      <c r="H233" s="7" t="s">
        <v>25</v>
      </c>
      <c r="I233" s="7" t="s">
        <v>26</v>
      </c>
      <c r="J233" s="7">
        <v>248</v>
      </c>
      <c r="K233" s="7">
        <v>526.24</v>
      </c>
      <c r="N233" s="4">
        <v>2021</v>
      </c>
      <c r="O233" s="4" t="s">
        <v>20</v>
      </c>
      <c r="P233" s="4" t="s">
        <v>43</v>
      </c>
      <c r="Q233" s="13" t="s">
        <v>48</v>
      </c>
      <c r="R233" s="15">
        <v>345</v>
      </c>
      <c r="S233" s="15">
        <v>7000</v>
      </c>
      <c r="T233" s="15">
        <v>7840</v>
      </c>
      <c r="U233" s="9">
        <v>1400</v>
      </c>
      <c r="V233" s="10" t="s">
        <v>30</v>
      </c>
    </row>
    <row r="234" spans="1:22" ht="18" customHeight="1" x14ac:dyDescent="0.25">
      <c r="A234" s="7" t="s">
        <v>34</v>
      </c>
      <c r="B234" s="7">
        <v>2020</v>
      </c>
      <c r="C234" s="7" t="s">
        <v>70</v>
      </c>
      <c r="D234" s="7" t="s">
        <v>21</v>
      </c>
      <c r="E234" s="7" t="s">
        <v>22</v>
      </c>
      <c r="F234" s="7" t="s">
        <v>23</v>
      </c>
      <c r="G234" s="7" t="s">
        <v>24</v>
      </c>
      <c r="H234" s="7" t="s">
        <v>25</v>
      </c>
      <c r="I234" s="7" t="s">
        <v>35</v>
      </c>
      <c r="J234" s="7">
        <v>206</v>
      </c>
      <c r="K234" s="7">
        <v>294.58</v>
      </c>
      <c r="N234" s="4">
        <v>2021</v>
      </c>
      <c r="O234" s="4" t="s">
        <v>20</v>
      </c>
      <c r="P234" s="4" t="s">
        <v>36</v>
      </c>
      <c r="Q234" s="8" t="s">
        <v>49</v>
      </c>
      <c r="R234" s="9">
        <v>122</v>
      </c>
      <c r="S234" s="9">
        <v>100</v>
      </c>
      <c r="T234" s="9">
        <v>112</v>
      </c>
      <c r="U234" s="9">
        <v>20</v>
      </c>
      <c r="V234" s="10" t="s">
        <v>30</v>
      </c>
    </row>
    <row r="235" spans="1:22" ht="18" customHeight="1" x14ac:dyDescent="0.25">
      <c r="A235" s="7" t="s">
        <v>19</v>
      </c>
      <c r="B235" s="7">
        <v>2020</v>
      </c>
      <c r="C235" s="7" t="s">
        <v>70</v>
      </c>
      <c r="D235" s="7" t="s">
        <v>21</v>
      </c>
      <c r="E235" s="7" t="s">
        <v>22</v>
      </c>
      <c r="F235" s="7" t="s">
        <v>23</v>
      </c>
      <c r="G235" s="7" t="s">
        <v>24</v>
      </c>
      <c r="H235" s="7" t="s">
        <v>25</v>
      </c>
      <c r="I235" s="7" t="s">
        <v>35</v>
      </c>
      <c r="J235" s="7">
        <v>248</v>
      </c>
      <c r="K235" s="7">
        <v>354.64</v>
      </c>
      <c r="N235" s="4">
        <v>2021</v>
      </c>
      <c r="O235" s="4" t="s">
        <v>20</v>
      </c>
      <c r="P235" s="4" t="s">
        <v>50</v>
      </c>
      <c r="Q235" s="13" t="s">
        <v>51</v>
      </c>
      <c r="R235" s="14">
        <v>78</v>
      </c>
      <c r="S235" s="14">
        <v>4577.2</v>
      </c>
      <c r="T235" s="14">
        <v>5126.4639999999999</v>
      </c>
      <c r="U235" s="9">
        <v>915.44</v>
      </c>
      <c r="V235" s="10" t="s">
        <v>30</v>
      </c>
    </row>
    <row r="236" spans="1:22" ht="18" customHeight="1" x14ac:dyDescent="0.25">
      <c r="A236" s="7" t="s">
        <v>42</v>
      </c>
      <c r="B236" s="7">
        <v>2020</v>
      </c>
      <c r="C236" s="7" t="s">
        <v>70</v>
      </c>
      <c r="D236" s="7" t="s">
        <v>21</v>
      </c>
      <c r="E236" s="7" t="s">
        <v>22</v>
      </c>
      <c r="F236" s="7" t="s">
        <v>23</v>
      </c>
      <c r="G236" s="7" t="s">
        <v>24</v>
      </c>
      <c r="H236" s="7" t="s">
        <v>25</v>
      </c>
      <c r="I236" s="7" t="s">
        <v>35</v>
      </c>
      <c r="J236" s="7">
        <v>176</v>
      </c>
      <c r="K236" s="7">
        <v>251.68</v>
      </c>
      <c r="N236" s="4">
        <v>2021</v>
      </c>
      <c r="O236" s="4" t="s">
        <v>20</v>
      </c>
      <c r="P236" s="4" t="s">
        <v>50</v>
      </c>
      <c r="Q236" s="13" t="s">
        <v>52</v>
      </c>
      <c r="R236" s="14">
        <v>76</v>
      </c>
      <c r="S236" s="14">
        <v>4576.8999999999996</v>
      </c>
      <c r="T236" s="14">
        <v>5126.1279999999997</v>
      </c>
      <c r="U236" s="9">
        <v>915.38</v>
      </c>
      <c r="V236" s="10" t="s">
        <v>30</v>
      </c>
    </row>
    <row r="237" spans="1:22" ht="18" customHeight="1" x14ac:dyDescent="0.25">
      <c r="A237" s="7" t="s">
        <v>61</v>
      </c>
      <c r="B237" s="7">
        <v>2020</v>
      </c>
      <c r="C237" s="7" t="s">
        <v>70</v>
      </c>
      <c r="D237" s="7" t="s">
        <v>21</v>
      </c>
      <c r="E237" s="7" t="s">
        <v>22</v>
      </c>
      <c r="F237" s="7" t="s">
        <v>23</v>
      </c>
      <c r="G237" s="7" t="s">
        <v>24</v>
      </c>
      <c r="H237" s="7" t="s">
        <v>25</v>
      </c>
      <c r="I237" s="7" t="s">
        <v>35</v>
      </c>
      <c r="J237" s="7">
        <v>202</v>
      </c>
      <c r="K237" s="7">
        <v>288.86</v>
      </c>
      <c r="N237" s="4">
        <v>2021</v>
      </c>
      <c r="O237" s="4" t="s">
        <v>20</v>
      </c>
      <c r="P237" s="4" t="s">
        <v>50</v>
      </c>
      <c r="Q237" s="13" t="s">
        <v>54</v>
      </c>
      <c r="R237" s="14">
        <v>46</v>
      </c>
      <c r="S237" s="14">
        <v>200</v>
      </c>
      <c r="T237" s="14">
        <v>224</v>
      </c>
      <c r="U237" s="9">
        <v>40</v>
      </c>
      <c r="V237" s="10" t="s">
        <v>30</v>
      </c>
    </row>
    <row r="238" spans="1:22" ht="18" customHeight="1" x14ac:dyDescent="0.25">
      <c r="A238" s="7" t="s">
        <v>34</v>
      </c>
      <c r="B238" s="7">
        <v>2020</v>
      </c>
      <c r="C238" s="7" t="s">
        <v>70</v>
      </c>
      <c r="D238" s="7" t="s">
        <v>21</v>
      </c>
      <c r="E238" s="7" t="s">
        <v>22</v>
      </c>
      <c r="F238" s="7" t="s">
        <v>23</v>
      </c>
      <c r="G238" s="7" t="s">
        <v>24</v>
      </c>
      <c r="H238" s="7" t="s">
        <v>25</v>
      </c>
      <c r="I238" s="7" t="s">
        <v>35</v>
      </c>
      <c r="J238" s="7">
        <v>250</v>
      </c>
      <c r="K238" s="7">
        <v>357.5</v>
      </c>
      <c r="N238" s="4">
        <v>2021</v>
      </c>
      <c r="O238" s="4" t="s">
        <v>20</v>
      </c>
      <c r="P238" s="4" t="s">
        <v>50</v>
      </c>
      <c r="Q238" s="13" t="s">
        <v>55</v>
      </c>
      <c r="R238" s="14">
        <v>34</v>
      </c>
      <c r="S238" s="14">
        <v>4576.8</v>
      </c>
      <c r="T238" s="14">
        <v>5126.0160000000005</v>
      </c>
      <c r="U238" s="9">
        <v>915.36000000000013</v>
      </c>
      <c r="V238" s="10" t="s">
        <v>30</v>
      </c>
    </row>
    <row r="239" spans="1:22" ht="18" customHeight="1" x14ac:dyDescent="0.25">
      <c r="A239" s="7" t="s">
        <v>19</v>
      </c>
      <c r="B239" s="7">
        <v>2020</v>
      </c>
      <c r="C239" s="7" t="s">
        <v>70</v>
      </c>
      <c r="D239" s="7" t="s">
        <v>21</v>
      </c>
      <c r="E239" s="7" t="s">
        <v>22</v>
      </c>
      <c r="F239" s="7" t="s">
        <v>23</v>
      </c>
      <c r="G239" s="7" t="s">
        <v>24</v>
      </c>
      <c r="H239" s="7" t="s">
        <v>25</v>
      </c>
      <c r="I239" s="7" t="s">
        <v>35</v>
      </c>
      <c r="J239" s="7">
        <v>178</v>
      </c>
      <c r="K239" s="7">
        <v>254.54</v>
      </c>
      <c r="N239" s="4">
        <v>2021</v>
      </c>
      <c r="O239" s="4" t="s">
        <v>20</v>
      </c>
      <c r="P239" s="4" t="s">
        <v>36</v>
      </c>
      <c r="Q239" s="8" t="s">
        <v>56</v>
      </c>
      <c r="R239" s="9">
        <v>7</v>
      </c>
      <c r="S239" s="9">
        <v>200</v>
      </c>
      <c r="T239" s="9">
        <v>224</v>
      </c>
      <c r="U239" s="9">
        <v>40</v>
      </c>
      <c r="V239" s="10" t="s">
        <v>30</v>
      </c>
    </row>
    <row r="240" spans="1:22" ht="18" customHeight="1" x14ac:dyDescent="0.25">
      <c r="A240" s="7" t="s">
        <v>19</v>
      </c>
      <c r="B240" s="7">
        <v>2020</v>
      </c>
      <c r="C240" s="7" t="s">
        <v>70</v>
      </c>
      <c r="D240" s="7" t="s">
        <v>21</v>
      </c>
      <c r="E240" s="7" t="s">
        <v>22</v>
      </c>
      <c r="F240" s="7" t="s">
        <v>23</v>
      </c>
      <c r="G240" s="7" t="s">
        <v>24</v>
      </c>
      <c r="H240" s="7" t="s">
        <v>25</v>
      </c>
      <c r="I240" s="7" t="s">
        <v>35</v>
      </c>
      <c r="J240" s="7">
        <v>258</v>
      </c>
      <c r="K240" s="7">
        <v>526.24</v>
      </c>
      <c r="N240" s="4">
        <v>2021</v>
      </c>
      <c r="O240" s="4" t="s">
        <v>20</v>
      </c>
      <c r="P240" s="4" t="s">
        <v>50</v>
      </c>
      <c r="Q240" s="13" t="s">
        <v>58</v>
      </c>
      <c r="R240" s="14">
        <v>3</v>
      </c>
      <c r="S240" s="14">
        <v>4577.3</v>
      </c>
      <c r="T240" s="14">
        <v>5126.576</v>
      </c>
      <c r="U240" s="9">
        <v>915.46</v>
      </c>
      <c r="V240" s="10" t="s">
        <v>30</v>
      </c>
    </row>
    <row r="241" spans="1:22" ht="18" customHeight="1" x14ac:dyDescent="0.25">
      <c r="A241" s="7" t="s">
        <v>19</v>
      </c>
      <c r="B241" s="7">
        <v>2020</v>
      </c>
      <c r="C241" s="7" t="s">
        <v>70</v>
      </c>
      <c r="D241" s="7" t="s">
        <v>21</v>
      </c>
      <c r="E241" s="7" t="s">
        <v>22</v>
      </c>
      <c r="F241" s="7" t="s">
        <v>23</v>
      </c>
      <c r="G241" s="7" t="s">
        <v>24</v>
      </c>
      <c r="H241" s="7" t="s">
        <v>25</v>
      </c>
      <c r="I241" s="7" t="s">
        <v>35</v>
      </c>
      <c r="J241" s="7">
        <v>252</v>
      </c>
      <c r="K241" s="7">
        <v>526.24</v>
      </c>
      <c r="N241" s="4">
        <v>2021</v>
      </c>
      <c r="O241" s="4" t="s">
        <v>20</v>
      </c>
      <c r="P241" s="4" t="s">
        <v>57</v>
      </c>
      <c r="Q241" s="13" t="s">
        <v>57</v>
      </c>
      <c r="R241" s="14">
        <v>2</v>
      </c>
      <c r="S241" s="14">
        <v>7920</v>
      </c>
      <c r="T241" s="14">
        <v>10296</v>
      </c>
      <c r="U241" s="9">
        <v>1584</v>
      </c>
      <c r="V241" s="10" t="s">
        <v>30</v>
      </c>
    </row>
    <row r="242" spans="1:22" ht="18" customHeight="1" x14ac:dyDescent="0.25">
      <c r="A242" s="7" t="s">
        <v>19</v>
      </c>
      <c r="B242" s="7">
        <v>2020</v>
      </c>
      <c r="C242" s="7" t="s">
        <v>70</v>
      </c>
      <c r="D242" s="7" t="s">
        <v>21</v>
      </c>
      <c r="E242" s="7" t="s">
        <v>22</v>
      </c>
      <c r="F242" s="7" t="s">
        <v>23</v>
      </c>
      <c r="G242" s="7" t="s">
        <v>24</v>
      </c>
      <c r="H242" s="7" t="s">
        <v>25</v>
      </c>
      <c r="I242" s="7" t="s">
        <v>26</v>
      </c>
      <c r="J242" s="7">
        <v>246</v>
      </c>
      <c r="K242" s="7">
        <v>526.24</v>
      </c>
      <c r="N242" s="4">
        <v>2021</v>
      </c>
      <c r="O242" s="4" t="s">
        <v>66</v>
      </c>
      <c r="P242" s="4" t="s">
        <v>28</v>
      </c>
      <c r="Q242" s="8" t="s">
        <v>29</v>
      </c>
      <c r="R242" s="9">
        <v>3566</v>
      </c>
      <c r="S242" s="9">
        <v>5492.76</v>
      </c>
      <c r="T242" s="9">
        <v>7140.5879999999997</v>
      </c>
      <c r="U242" s="9">
        <v>1098.5520000000001</v>
      </c>
      <c r="V242" s="10" t="s">
        <v>30</v>
      </c>
    </row>
    <row r="243" spans="1:22" ht="18" customHeight="1" x14ac:dyDescent="0.25">
      <c r="A243" s="7" t="s">
        <v>42</v>
      </c>
      <c r="B243" s="7">
        <v>2020</v>
      </c>
      <c r="C243" s="7" t="s">
        <v>70</v>
      </c>
      <c r="D243" s="7" t="s">
        <v>21</v>
      </c>
      <c r="E243" s="7" t="s">
        <v>22</v>
      </c>
      <c r="F243" s="7" t="s">
        <v>23</v>
      </c>
      <c r="G243" s="7" t="s">
        <v>24</v>
      </c>
      <c r="H243" s="7" t="s">
        <v>25</v>
      </c>
      <c r="I243" s="7" t="s">
        <v>35</v>
      </c>
      <c r="J243" s="7">
        <v>682</v>
      </c>
      <c r="K243" s="7">
        <v>975.26</v>
      </c>
      <c r="N243" s="4">
        <v>2021</v>
      </c>
      <c r="O243" s="4" t="s">
        <v>66</v>
      </c>
      <c r="P243" s="4" t="s">
        <v>28</v>
      </c>
      <c r="Q243" s="8" t="s">
        <v>32</v>
      </c>
      <c r="R243" s="9">
        <v>2498</v>
      </c>
      <c r="S243" s="9">
        <v>9600</v>
      </c>
      <c r="T243" s="9">
        <v>12480</v>
      </c>
      <c r="U243" s="9">
        <v>1920</v>
      </c>
      <c r="V243" s="10" t="s">
        <v>30</v>
      </c>
    </row>
    <row r="244" spans="1:22" ht="18" customHeight="1" x14ac:dyDescent="0.25">
      <c r="A244" s="7" t="s">
        <v>34</v>
      </c>
      <c r="B244" s="7">
        <v>2020</v>
      </c>
      <c r="C244" s="7" t="s">
        <v>70</v>
      </c>
      <c r="D244" s="7" t="s">
        <v>21</v>
      </c>
      <c r="E244" s="7" t="s">
        <v>22</v>
      </c>
      <c r="F244" s="7" t="s">
        <v>23</v>
      </c>
      <c r="G244" s="7" t="s">
        <v>24</v>
      </c>
      <c r="H244" s="7" t="s">
        <v>25</v>
      </c>
      <c r="I244" s="7" t="s">
        <v>35</v>
      </c>
      <c r="J244" s="7">
        <v>715</v>
      </c>
      <c r="K244" s="7">
        <v>1022.45</v>
      </c>
      <c r="N244" s="4">
        <v>2021</v>
      </c>
      <c r="O244" s="4" t="s">
        <v>66</v>
      </c>
      <c r="P244" s="4" t="s">
        <v>36</v>
      </c>
      <c r="Q244" s="8" t="s">
        <v>37</v>
      </c>
      <c r="R244" s="9">
        <v>1245</v>
      </c>
      <c r="S244" s="9">
        <v>5492.6399999999994</v>
      </c>
      <c r="T244" s="9">
        <v>7140.4319999999989</v>
      </c>
      <c r="U244" s="9">
        <v>1098.528</v>
      </c>
      <c r="V244" s="10" t="s">
        <v>30</v>
      </c>
    </row>
    <row r="245" spans="1:22" ht="18" customHeight="1" x14ac:dyDescent="0.25">
      <c r="A245" s="7" t="s">
        <v>34</v>
      </c>
      <c r="B245" s="7">
        <v>2020</v>
      </c>
      <c r="C245" s="7" t="s">
        <v>70</v>
      </c>
      <c r="D245" s="7" t="s">
        <v>21</v>
      </c>
      <c r="E245" s="7" t="s">
        <v>22</v>
      </c>
      <c r="F245" s="7" t="s">
        <v>23</v>
      </c>
      <c r="G245" s="7" t="s">
        <v>24</v>
      </c>
      <c r="H245" s="7" t="s">
        <v>25</v>
      </c>
      <c r="I245" s="7" t="s">
        <v>35</v>
      </c>
      <c r="J245" s="7">
        <v>255</v>
      </c>
      <c r="K245" s="7">
        <v>364.65</v>
      </c>
      <c r="N245" s="4">
        <v>2021</v>
      </c>
      <c r="O245" s="4" t="s">
        <v>66</v>
      </c>
      <c r="P245" s="4" t="s">
        <v>39</v>
      </c>
      <c r="Q245" s="13" t="s">
        <v>40</v>
      </c>
      <c r="R245" s="14">
        <v>644</v>
      </c>
      <c r="S245" s="14">
        <v>6892.2</v>
      </c>
      <c r="T245" s="14">
        <v>8959.86</v>
      </c>
      <c r="U245" s="9">
        <v>1378.44</v>
      </c>
      <c r="V245" s="10" t="s">
        <v>30</v>
      </c>
    </row>
    <row r="246" spans="1:22" ht="18" customHeight="1" x14ac:dyDescent="0.25">
      <c r="A246" s="7" t="s">
        <v>34</v>
      </c>
      <c r="B246" s="7">
        <v>2020</v>
      </c>
      <c r="C246" s="7" t="s">
        <v>70</v>
      </c>
      <c r="D246" s="7" t="s">
        <v>21</v>
      </c>
      <c r="E246" s="7" t="s">
        <v>22</v>
      </c>
      <c r="F246" s="7" t="s">
        <v>23</v>
      </c>
      <c r="G246" s="7" t="s">
        <v>24</v>
      </c>
      <c r="H246" s="7" t="s">
        <v>25</v>
      </c>
      <c r="I246" s="7" t="s">
        <v>35</v>
      </c>
      <c r="J246" s="7">
        <v>249</v>
      </c>
      <c r="K246" s="7">
        <v>356.07</v>
      </c>
      <c r="N246" s="4">
        <v>2021</v>
      </c>
      <c r="O246" s="4" t="s">
        <v>66</v>
      </c>
      <c r="P246" s="4" t="s">
        <v>43</v>
      </c>
      <c r="Q246" s="13" t="s">
        <v>44</v>
      </c>
      <c r="R246" s="14">
        <v>643</v>
      </c>
      <c r="S246" s="14">
        <v>8400</v>
      </c>
      <c r="T246" s="14">
        <v>10920</v>
      </c>
      <c r="U246" s="9">
        <v>1680</v>
      </c>
      <c r="V246" s="10" t="s">
        <v>30</v>
      </c>
    </row>
    <row r="247" spans="1:22" ht="18" customHeight="1" x14ac:dyDescent="0.25">
      <c r="A247" s="7" t="s">
        <v>19</v>
      </c>
      <c r="B247" s="7">
        <v>2020</v>
      </c>
      <c r="C247" s="7" t="s">
        <v>70</v>
      </c>
      <c r="D247" s="7" t="s">
        <v>21</v>
      </c>
      <c r="E247" s="7" t="s">
        <v>22</v>
      </c>
      <c r="F247" s="7" t="s">
        <v>23</v>
      </c>
      <c r="G247" s="7" t="s">
        <v>24</v>
      </c>
      <c r="H247" s="7" t="s">
        <v>25</v>
      </c>
      <c r="I247" s="7" t="s">
        <v>26</v>
      </c>
      <c r="J247" s="7">
        <v>243</v>
      </c>
      <c r="K247" s="7">
        <v>347.49</v>
      </c>
      <c r="N247" s="4">
        <v>2021</v>
      </c>
      <c r="O247" s="4" t="s">
        <v>66</v>
      </c>
      <c r="P247" s="4" t="s">
        <v>39</v>
      </c>
      <c r="Q247" s="13" t="s">
        <v>46</v>
      </c>
      <c r="R247" s="14">
        <v>455</v>
      </c>
      <c r="S247" s="14">
        <v>5494.3200000000006</v>
      </c>
      <c r="T247" s="14">
        <v>7142.6160000000009</v>
      </c>
      <c r="U247" s="9">
        <v>1098.8640000000003</v>
      </c>
      <c r="V247" s="10" t="s">
        <v>30</v>
      </c>
    </row>
    <row r="248" spans="1:22" ht="18" customHeight="1" x14ac:dyDescent="0.25">
      <c r="A248" s="7" t="s">
        <v>19</v>
      </c>
      <c r="B248" s="7">
        <v>2020</v>
      </c>
      <c r="C248" s="7" t="s">
        <v>70</v>
      </c>
      <c r="D248" s="7" t="s">
        <v>21</v>
      </c>
      <c r="E248" s="7" t="s">
        <v>22</v>
      </c>
      <c r="F248" s="7" t="s">
        <v>23</v>
      </c>
      <c r="G248" s="7" t="s">
        <v>24</v>
      </c>
      <c r="H248" s="7" t="s">
        <v>25</v>
      </c>
      <c r="I248" s="7" t="s">
        <v>35</v>
      </c>
      <c r="J248" s="7">
        <v>755</v>
      </c>
      <c r="K248" s="7">
        <v>526.24</v>
      </c>
      <c r="N248" s="4">
        <v>2021</v>
      </c>
      <c r="O248" s="4" t="s">
        <v>66</v>
      </c>
      <c r="P248" s="4" t="s">
        <v>43</v>
      </c>
      <c r="Q248" s="13" t="s">
        <v>48</v>
      </c>
      <c r="R248" s="15">
        <v>345</v>
      </c>
      <c r="S248" s="15">
        <v>8400</v>
      </c>
      <c r="T248" s="15">
        <v>10920</v>
      </c>
      <c r="U248" s="9">
        <v>1680</v>
      </c>
      <c r="V248" s="10" t="s">
        <v>30</v>
      </c>
    </row>
    <row r="249" spans="1:22" ht="18" customHeight="1" x14ac:dyDescent="0.25">
      <c r="A249" s="7" t="s">
        <v>42</v>
      </c>
      <c r="B249" s="7">
        <v>2020</v>
      </c>
      <c r="C249" s="7" t="s">
        <v>70</v>
      </c>
      <c r="D249" s="7" t="s">
        <v>21</v>
      </c>
      <c r="E249" s="7" t="s">
        <v>22</v>
      </c>
      <c r="F249" s="7" t="s">
        <v>23</v>
      </c>
      <c r="G249" s="7" t="s">
        <v>24</v>
      </c>
      <c r="H249" s="7" t="s">
        <v>25</v>
      </c>
      <c r="I249" s="7" t="s">
        <v>35</v>
      </c>
      <c r="J249" s="7">
        <v>808</v>
      </c>
      <c r="K249" s="7">
        <v>526.24</v>
      </c>
      <c r="N249" s="4">
        <v>2021</v>
      </c>
      <c r="O249" s="4" t="s">
        <v>66</v>
      </c>
      <c r="P249" s="4" t="s">
        <v>36</v>
      </c>
      <c r="Q249" s="8" t="s">
        <v>49</v>
      </c>
      <c r="R249" s="9">
        <v>122</v>
      </c>
      <c r="S249" s="9">
        <v>120</v>
      </c>
      <c r="T249" s="9">
        <v>156</v>
      </c>
      <c r="U249" s="9">
        <v>24</v>
      </c>
      <c r="V249" s="10" t="s">
        <v>30</v>
      </c>
    </row>
    <row r="250" spans="1:22" ht="18" customHeight="1" x14ac:dyDescent="0.25">
      <c r="A250" s="7" t="s">
        <v>19</v>
      </c>
      <c r="B250" s="7">
        <v>2020</v>
      </c>
      <c r="C250" s="7" t="s">
        <v>70</v>
      </c>
      <c r="D250" s="7" t="s">
        <v>21</v>
      </c>
      <c r="E250" s="7" t="s">
        <v>22</v>
      </c>
      <c r="F250" s="7" t="s">
        <v>23</v>
      </c>
      <c r="G250" s="7" t="s">
        <v>24</v>
      </c>
      <c r="H250" s="7" t="s">
        <v>25</v>
      </c>
      <c r="I250" s="7" t="s">
        <v>35</v>
      </c>
      <c r="J250" s="7">
        <v>205</v>
      </c>
      <c r="K250" s="7">
        <v>293.14999999999998</v>
      </c>
      <c r="N250" s="4">
        <v>2021</v>
      </c>
      <c r="O250" s="4" t="s">
        <v>66</v>
      </c>
      <c r="P250" s="4" t="s">
        <v>50</v>
      </c>
      <c r="Q250" s="13" t="s">
        <v>51</v>
      </c>
      <c r="R250" s="14">
        <v>78</v>
      </c>
      <c r="S250" s="14">
        <v>4577.2</v>
      </c>
      <c r="T250" s="14">
        <v>5126.4639999999999</v>
      </c>
      <c r="U250" s="9">
        <v>915.44</v>
      </c>
      <c r="V250" s="10" t="s">
        <v>30</v>
      </c>
    </row>
    <row r="251" spans="1:22" ht="18" customHeight="1" x14ac:dyDescent="0.25">
      <c r="A251" s="7" t="s">
        <v>19</v>
      </c>
      <c r="B251" s="7">
        <v>2020</v>
      </c>
      <c r="C251" s="7" t="s">
        <v>70</v>
      </c>
      <c r="D251" s="7" t="s">
        <v>21</v>
      </c>
      <c r="E251" s="7" t="s">
        <v>22</v>
      </c>
      <c r="F251" s="7" t="s">
        <v>23</v>
      </c>
      <c r="G251" s="7" t="s">
        <v>24</v>
      </c>
      <c r="H251" s="7" t="s">
        <v>25</v>
      </c>
      <c r="I251" s="7" t="s">
        <v>35</v>
      </c>
      <c r="J251" s="7">
        <v>253</v>
      </c>
      <c r="K251" s="7">
        <v>361.78999999999996</v>
      </c>
      <c r="N251" s="4">
        <v>2021</v>
      </c>
      <c r="O251" s="4" t="s">
        <v>66</v>
      </c>
      <c r="P251" s="4" t="s">
        <v>50</v>
      </c>
      <c r="Q251" s="13" t="s">
        <v>52</v>
      </c>
      <c r="R251" s="14">
        <v>76</v>
      </c>
      <c r="S251" s="14">
        <v>4576.8999999999996</v>
      </c>
      <c r="T251" s="14">
        <v>5126.1279999999997</v>
      </c>
      <c r="U251" s="9">
        <v>915.38</v>
      </c>
      <c r="V251" s="10" t="s">
        <v>30</v>
      </c>
    </row>
    <row r="252" spans="1:22" ht="18" customHeight="1" x14ac:dyDescent="0.25">
      <c r="A252" s="7" t="s">
        <v>61</v>
      </c>
      <c r="B252" s="7">
        <v>2020</v>
      </c>
      <c r="C252" s="7" t="s">
        <v>70</v>
      </c>
      <c r="D252" s="7" t="s">
        <v>21</v>
      </c>
      <c r="E252" s="7" t="s">
        <v>22</v>
      </c>
      <c r="F252" s="7" t="s">
        <v>23</v>
      </c>
      <c r="G252" s="7" t="s">
        <v>24</v>
      </c>
      <c r="H252" s="7" t="s">
        <v>25</v>
      </c>
      <c r="I252" s="7" t="s">
        <v>35</v>
      </c>
      <c r="J252" s="7">
        <v>175</v>
      </c>
      <c r="K252" s="7">
        <v>250.25</v>
      </c>
      <c r="N252" s="4">
        <v>2021</v>
      </c>
      <c r="O252" s="4" t="s">
        <v>66</v>
      </c>
      <c r="P252" s="4" t="s">
        <v>50</v>
      </c>
      <c r="Q252" s="13" t="s">
        <v>54</v>
      </c>
      <c r="R252" s="14">
        <v>46</v>
      </c>
      <c r="S252" s="14">
        <v>200</v>
      </c>
      <c r="T252" s="14">
        <v>224</v>
      </c>
      <c r="U252" s="9">
        <v>40</v>
      </c>
      <c r="V252" s="10" t="s">
        <v>30</v>
      </c>
    </row>
    <row r="253" spans="1:22" ht="18" customHeight="1" x14ac:dyDescent="0.25">
      <c r="A253" s="7" t="s">
        <v>53</v>
      </c>
      <c r="B253" s="7">
        <v>2020</v>
      </c>
      <c r="C253" s="7" t="s">
        <v>70</v>
      </c>
      <c r="D253" s="7" t="s">
        <v>21</v>
      </c>
      <c r="E253" s="7" t="s">
        <v>22</v>
      </c>
      <c r="F253" s="7" t="s">
        <v>23</v>
      </c>
      <c r="G253" s="7" t="s">
        <v>24</v>
      </c>
      <c r="H253" s="7" t="s">
        <v>25</v>
      </c>
      <c r="I253" s="7" t="s">
        <v>26</v>
      </c>
      <c r="J253" s="7">
        <v>257</v>
      </c>
      <c r="K253" s="7">
        <v>367.51</v>
      </c>
      <c r="N253" s="4">
        <v>2021</v>
      </c>
      <c r="O253" s="4" t="s">
        <v>66</v>
      </c>
      <c r="P253" s="4" t="s">
        <v>50</v>
      </c>
      <c r="Q253" s="13" t="s">
        <v>55</v>
      </c>
      <c r="R253" s="14">
        <v>34</v>
      </c>
      <c r="S253" s="14">
        <v>4576.8</v>
      </c>
      <c r="T253" s="14">
        <v>5126.0160000000005</v>
      </c>
      <c r="U253" s="9">
        <v>915.36000000000013</v>
      </c>
      <c r="V253" s="10" t="s">
        <v>30</v>
      </c>
    </row>
    <row r="254" spans="1:22" ht="18" customHeight="1" x14ac:dyDescent="0.25">
      <c r="A254" s="7" t="s">
        <v>53</v>
      </c>
      <c r="B254" s="7">
        <v>2020</v>
      </c>
      <c r="C254" s="7" t="s">
        <v>70</v>
      </c>
      <c r="D254" s="7" t="s">
        <v>21</v>
      </c>
      <c r="E254" s="7" t="s">
        <v>22</v>
      </c>
      <c r="F254" s="7" t="s">
        <v>23</v>
      </c>
      <c r="G254" s="7" t="s">
        <v>24</v>
      </c>
      <c r="H254" s="7" t="s">
        <v>25</v>
      </c>
      <c r="I254" s="7" t="s">
        <v>26</v>
      </c>
      <c r="J254" s="7">
        <v>251</v>
      </c>
      <c r="K254" s="7">
        <v>358.93</v>
      </c>
      <c r="N254" s="4">
        <v>2021</v>
      </c>
      <c r="O254" s="4" t="s">
        <v>66</v>
      </c>
      <c r="P254" s="4" t="s">
        <v>36</v>
      </c>
      <c r="Q254" s="8" t="s">
        <v>56</v>
      </c>
      <c r="R254" s="9">
        <v>7</v>
      </c>
      <c r="S254" s="9">
        <v>200</v>
      </c>
      <c r="T254" s="9">
        <v>224</v>
      </c>
      <c r="U254" s="9">
        <v>40</v>
      </c>
      <c r="V254" s="10" t="s">
        <v>30</v>
      </c>
    </row>
    <row r="255" spans="1:22" ht="18" customHeight="1" x14ac:dyDescent="0.25">
      <c r="A255" s="7" t="s">
        <v>34</v>
      </c>
      <c r="B255" s="7">
        <v>2020</v>
      </c>
      <c r="C255" s="7" t="s">
        <v>70</v>
      </c>
      <c r="D255" s="7" t="s">
        <v>21</v>
      </c>
      <c r="E255" s="7" t="s">
        <v>22</v>
      </c>
      <c r="F255" s="7" t="s">
        <v>23</v>
      </c>
      <c r="G255" s="7" t="s">
        <v>24</v>
      </c>
      <c r="H255" s="7" t="s">
        <v>25</v>
      </c>
      <c r="I255" s="7" t="s">
        <v>26</v>
      </c>
      <c r="J255" s="7">
        <v>245</v>
      </c>
      <c r="K255" s="7">
        <v>350.35</v>
      </c>
      <c r="N255" s="4">
        <v>2021</v>
      </c>
      <c r="O255" s="4" t="s">
        <v>66</v>
      </c>
      <c r="P255" s="4" t="s">
        <v>50</v>
      </c>
      <c r="Q255" s="13" t="s">
        <v>58</v>
      </c>
      <c r="R255" s="14">
        <v>3</v>
      </c>
      <c r="S255" s="14">
        <v>4577.3</v>
      </c>
      <c r="T255" s="14">
        <v>5126.576</v>
      </c>
      <c r="U255" s="9">
        <v>915.46</v>
      </c>
      <c r="V255" s="10" t="s">
        <v>30</v>
      </c>
    </row>
    <row r="256" spans="1:22" ht="18" customHeight="1" x14ac:dyDescent="0.25">
      <c r="A256" s="7" t="s">
        <v>42</v>
      </c>
      <c r="B256" s="7">
        <v>2020</v>
      </c>
      <c r="C256" s="7" t="s">
        <v>70</v>
      </c>
      <c r="D256" s="7" t="s">
        <v>21</v>
      </c>
      <c r="E256" s="7" t="s">
        <v>22</v>
      </c>
      <c r="F256" s="7" t="s">
        <v>23</v>
      </c>
      <c r="G256" s="7" t="s">
        <v>24</v>
      </c>
      <c r="H256" s="7" t="s">
        <v>25</v>
      </c>
      <c r="I256" s="7" t="s">
        <v>35</v>
      </c>
      <c r="J256" s="7">
        <v>203</v>
      </c>
      <c r="K256" s="7">
        <v>290.28999999999996</v>
      </c>
      <c r="N256" s="4">
        <v>2021</v>
      </c>
      <c r="O256" s="4" t="s">
        <v>66</v>
      </c>
      <c r="P256" s="4" t="s">
        <v>57</v>
      </c>
      <c r="Q256" s="13" t="s">
        <v>57</v>
      </c>
      <c r="R256" s="14">
        <v>2</v>
      </c>
      <c r="S256" s="14">
        <v>6600</v>
      </c>
      <c r="T256" s="14">
        <v>7392</v>
      </c>
      <c r="U256" s="9">
        <v>1320</v>
      </c>
      <c r="V256" s="10" t="s">
        <v>30</v>
      </c>
    </row>
    <row r="257" spans="1:22" ht="18" customHeight="1" x14ac:dyDescent="0.25">
      <c r="A257" s="7" t="s">
        <v>19</v>
      </c>
      <c r="B257" s="7">
        <v>2020</v>
      </c>
      <c r="C257" s="7" t="s">
        <v>70</v>
      </c>
      <c r="D257" s="7" t="s">
        <v>21</v>
      </c>
      <c r="E257" s="7" t="s">
        <v>22</v>
      </c>
      <c r="F257" s="7" t="s">
        <v>23</v>
      </c>
      <c r="G257" s="7" t="s">
        <v>24</v>
      </c>
      <c r="H257" s="7" t="s">
        <v>25</v>
      </c>
      <c r="I257" s="7" t="s">
        <v>35</v>
      </c>
      <c r="J257" s="7">
        <v>251</v>
      </c>
      <c r="K257" s="7">
        <v>358.93</v>
      </c>
      <c r="N257" s="4">
        <v>2021</v>
      </c>
      <c r="O257" s="4" t="s">
        <v>67</v>
      </c>
      <c r="P257" s="4" t="s">
        <v>28</v>
      </c>
      <c r="Q257" s="8" t="s">
        <v>29</v>
      </c>
      <c r="R257" s="9">
        <v>3566</v>
      </c>
      <c r="S257" s="9">
        <v>4577.3</v>
      </c>
      <c r="T257" s="9">
        <v>5126.576</v>
      </c>
      <c r="U257" s="9">
        <v>915.46</v>
      </c>
      <c r="V257" s="10" t="s">
        <v>30</v>
      </c>
    </row>
    <row r="258" spans="1:22" ht="18" customHeight="1" x14ac:dyDescent="0.25">
      <c r="A258" s="7" t="s">
        <v>34</v>
      </c>
      <c r="B258" s="7">
        <v>2020</v>
      </c>
      <c r="C258" s="7" t="s">
        <v>70</v>
      </c>
      <c r="D258" s="7" t="s">
        <v>21</v>
      </c>
      <c r="E258" s="7" t="s">
        <v>22</v>
      </c>
      <c r="F258" s="7" t="s">
        <v>23</v>
      </c>
      <c r="G258" s="7" t="s">
        <v>24</v>
      </c>
      <c r="H258" s="7" t="s">
        <v>25</v>
      </c>
      <c r="I258" s="7" t="s">
        <v>35</v>
      </c>
      <c r="J258" s="7">
        <v>777</v>
      </c>
      <c r="K258" s="7">
        <v>1111.1100000000001</v>
      </c>
      <c r="N258" s="4">
        <v>2021</v>
      </c>
      <c r="O258" s="4" t="s">
        <v>67</v>
      </c>
      <c r="P258" s="4" t="s">
        <v>28</v>
      </c>
      <c r="Q258" s="8" t="s">
        <v>32</v>
      </c>
      <c r="R258" s="9">
        <v>2498</v>
      </c>
      <c r="S258" s="9">
        <v>8000</v>
      </c>
      <c r="T258" s="9">
        <v>8960</v>
      </c>
      <c r="U258" s="9">
        <v>1600</v>
      </c>
      <c r="V258" s="10" t="s">
        <v>30</v>
      </c>
    </row>
    <row r="259" spans="1:22" ht="18" customHeight="1" x14ac:dyDescent="0.25">
      <c r="A259" s="7" t="s">
        <v>19</v>
      </c>
      <c r="B259" s="7">
        <v>2020</v>
      </c>
      <c r="C259" s="7" t="s">
        <v>69</v>
      </c>
      <c r="D259" s="7" t="s">
        <v>21</v>
      </c>
      <c r="E259" s="7" t="s">
        <v>22</v>
      </c>
      <c r="F259" s="7" t="s">
        <v>23</v>
      </c>
      <c r="G259" s="7" t="s">
        <v>24</v>
      </c>
      <c r="H259" s="7" t="s">
        <v>25</v>
      </c>
      <c r="I259" s="7" t="s">
        <v>26</v>
      </c>
      <c r="J259" s="7">
        <v>272</v>
      </c>
      <c r="K259" s="7">
        <v>526.24</v>
      </c>
      <c r="N259" s="4">
        <v>2021</v>
      </c>
      <c r="O259" s="4" t="s">
        <v>67</v>
      </c>
      <c r="P259" s="4" t="s">
        <v>36</v>
      </c>
      <c r="Q259" s="8" t="s">
        <v>37</v>
      </c>
      <c r="R259" s="9">
        <v>1245</v>
      </c>
      <c r="S259" s="9">
        <v>4577.2</v>
      </c>
      <c r="T259" s="9">
        <v>5126.4639999999999</v>
      </c>
      <c r="U259" s="9">
        <v>915.44</v>
      </c>
      <c r="V259" s="10" t="s">
        <v>30</v>
      </c>
    </row>
    <row r="260" spans="1:22" ht="18" customHeight="1" x14ac:dyDescent="0.25">
      <c r="A260" s="7" t="s">
        <v>19</v>
      </c>
      <c r="B260" s="7">
        <v>2020</v>
      </c>
      <c r="C260" s="7" t="s">
        <v>69</v>
      </c>
      <c r="D260" s="7" t="s">
        <v>21</v>
      </c>
      <c r="E260" s="7" t="s">
        <v>22</v>
      </c>
      <c r="F260" s="7" t="s">
        <v>23</v>
      </c>
      <c r="G260" s="7" t="s">
        <v>24</v>
      </c>
      <c r="H260" s="7" t="s">
        <v>25</v>
      </c>
      <c r="I260" s="7" t="s">
        <v>26</v>
      </c>
      <c r="J260" s="7">
        <v>266</v>
      </c>
      <c r="K260" s="7">
        <v>526.24</v>
      </c>
      <c r="N260" s="4">
        <v>2021</v>
      </c>
      <c r="O260" s="4" t="s">
        <v>67</v>
      </c>
      <c r="P260" s="4" t="s">
        <v>39</v>
      </c>
      <c r="Q260" s="13" t="s">
        <v>40</v>
      </c>
      <c r="R260" s="14">
        <v>644</v>
      </c>
      <c r="S260" s="14">
        <v>5743.5</v>
      </c>
      <c r="T260" s="14">
        <v>6432.72</v>
      </c>
      <c r="U260" s="9">
        <v>1148.7</v>
      </c>
      <c r="V260" s="10" t="s">
        <v>30</v>
      </c>
    </row>
    <row r="261" spans="1:22" ht="18" customHeight="1" x14ac:dyDescent="0.25">
      <c r="A261" s="7" t="s">
        <v>19</v>
      </c>
      <c r="B261" s="7">
        <v>2020</v>
      </c>
      <c r="C261" s="7" t="s">
        <v>69</v>
      </c>
      <c r="D261" s="7" t="s">
        <v>21</v>
      </c>
      <c r="E261" s="7" t="s">
        <v>22</v>
      </c>
      <c r="F261" s="7" t="s">
        <v>23</v>
      </c>
      <c r="G261" s="7" t="s">
        <v>24</v>
      </c>
      <c r="H261" s="7" t="s">
        <v>25</v>
      </c>
      <c r="I261" s="7" t="s">
        <v>26</v>
      </c>
      <c r="J261" s="7">
        <v>260</v>
      </c>
      <c r="K261" s="7">
        <v>526.24</v>
      </c>
      <c r="N261" s="4">
        <v>2021</v>
      </c>
      <c r="O261" s="4" t="s">
        <v>67</v>
      </c>
      <c r="P261" s="4" t="s">
        <v>43</v>
      </c>
      <c r="Q261" s="13" t="s">
        <v>44</v>
      </c>
      <c r="R261" s="14">
        <v>643</v>
      </c>
      <c r="S261" s="14">
        <v>7000</v>
      </c>
      <c r="T261" s="14">
        <v>7840</v>
      </c>
      <c r="U261" s="9">
        <v>1400</v>
      </c>
      <c r="V261" s="10" t="s">
        <v>30</v>
      </c>
    </row>
    <row r="262" spans="1:22" ht="18" customHeight="1" x14ac:dyDescent="0.25">
      <c r="A262" s="7" t="s">
        <v>42</v>
      </c>
      <c r="B262" s="7">
        <v>2020</v>
      </c>
      <c r="C262" s="7" t="s">
        <v>69</v>
      </c>
      <c r="D262" s="7" t="s">
        <v>21</v>
      </c>
      <c r="E262" s="7" t="s">
        <v>22</v>
      </c>
      <c r="F262" s="7" t="s">
        <v>23</v>
      </c>
      <c r="G262" s="7" t="s">
        <v>24</v>
      </c>
      <c r="H262" s="7" t="s">
        <v>25</v>
      </c>
      <c r="I262" s="7" t="s">
        <v>35</v>
      </c>
      <c r="J262" s="7">
        <v>254</v>
      </c>
      <c r="K262" s="7">
        <v>363.22</v>
      </c>
      <c r="N262" s="4">
        <v>2021</v>
      </c>
      <c r="O262" s="4" t="s">
        <v>67</v>
      </c>
      <c r="P262" s="4" t="s">
        <v>39</v>
      </c>
      <c r="Q262" s="13" t="s">
        <v>46</v>
      </c>
      <c r="R262" s="14">
        <v>455</v>
      </c>
      <c r="S262" s="14">
        <v>4578.6000000000004</v>
      </c>
      <c r="T262" s="14">
        <v>5128.0320000000002</v>
      </c>
      <c r="U262" s="9">
        <v>915.72000000000014</v>
      </c>
      <c r="V262" s="10" t="s">
        <v>30</v>
      </c>
    </row>
    <row r="263" spans="1:22" ht="18" customHeight="1" x14ac:dyDescent="0.25">
      <c r="A263" s="7" t="s">
        <v>19</v>
      </c>
      <c r="B263" s="7">
        <v>2020</v>
      </c>
      <c r="C263" s="7" t="s">
        <v>69</v>
      </c>
      <c r="D263" s="7" t="s">
        <v>21</v>
      </c>
      <c r="E263" s="7" t="s">
        <v>22</v>
      </c>
      <c r="F263" s="7" t="s">
        <v>23</v>
      </c>
      <c r="G263" s="7" t="s">
        <v>24</v>
      </c>
      <c r="H263" s="7" t="s">
        <v>25</v>
      </c>
      <c r="I263" s="7" t="s">
        <v>35</v>
      </c>
      <c r="J263" s="7">
        <v>182</v>
      </c>
      <c r="K263" s="7">
        <v>260.26</v>
      </c>
      <c r="N263" s="4">
        <v>2021</v>
      </c>
      <c r="O263" s="4" t="s">
        <v>67</v>
      </c>
      <c r="P263" s="4" t="s">
        <v>43</v>
      </c>
      <c r="Q263" s="13" t="s">
        <v>48</v>
      </c>
      <c r="R263" s="15">
        <v>345</v>
      </c>
      <c r="S263" s="15">
        <v>7000</v>
      </c>
      <c r="T263" s="15">
        <v>7840</v>
      </c>
      <c r="U263" s="9">
        <v>1400</v>
      </c>
      <c r="V263" s="10" t="s">
        <v>30</v>
      </c>
    </row>
    <row r="264" spans="1:22" ht="18" customHeight="1" x14ac:dyDescent="0.25">
      <c r="A264" s="7" t="s">
        <v>53</v>
      </c>
      <c r="B264" s="7">
        <v>2020</v>
      </c>
      <c r="C264" s="7" t="s">
        <v>69</v>
      </c>
      <c r="D264" s="7" t="s">
        <v>21</v>
      </c>
      <c r="E264" s="7" t="s">
        <v>22</v>
      </c>
      <c r="F264" s="7" t="s">
        <v>23</v>
      </c>
      <c r="G264" s="7" t="s">
        <v>24</v>
      </c>
      <c r="H264" s="7" t="s">
        <v>25</v>
      </c>
      <c r="I264" s="7" t="s">
        <v>35</v>
      </c>
      <c r="J264" s="7">
        <v>208</v>
      </c>
      <c r="K264" s="7">
        <v>297.44</v>
      </c>
      <c r="N264" s="4">
        <v>2021</v>
      </c>
      <c r="O264" s="4" t="s">
        <v>67</v>
      </c>
      <c r="P264" s="4" t="s">
        <v>36</v>
      </c>
      <c r="Q264" s="8" t="s">
        <v>49</v>
      </c>
      <c r="R264" s="9">
        <v>122</v>
      </c>
      <c r="S264" s="9">
        <v>100</v>
      </c>
      <c r="T264" s="9">
        <v>112</v>
      </c>
      <c r="U264" s="9">
        <v>20</v>
      </c>
      <c r="V264" s="10" t="s">
        <v>30</v>
      </c>
    </row>
    <row r="265" spans="1:22" ht="18" customHeight="1" x14ac:dyDescent="0.25">
      <c r="A265" s="7" t="s">
        <v>53</v>
      </c>
      <c r="B265" s="7">
        <v>2020</v>
      </c>
      <c r="C265" s="7" t="s">
        <v>69</v>
      </c>
      <c r="D265" s="7" t="s">
        <v>21</v>
      </c>
      <c r="E265" s="7" t="s">
        <v>22</v>
      </c>
      <c r="F265" s="7" t="s">
        <v>23</v>
      </c>
      <c r="G265" s="7" t="s">
        <v>24</v>
      </c>
      <c r="H265" s="7" t="s">
        <v>25</v>
      </c>
      <c r="I265" s="7" t="s">
        <v>35</v>
      </c>
      <c r="J265" s="7">
        <v>256</v>
      </c>
      <c r="K265" s="7">
        <v>366.08</v>
      </c>
      <c r="N265" s="4">
        <v>2021</v>
      </c>
      <c r="O265" s="4" t="s">
        <v>67</v>
      </c>
      <c r="P265" s="4" t="s">
        <v>50</v>
      </c>
      <c r="Q265" s="13" t="s">
        <v>51</v>
      </c>
      <c r="R265" s="14">
        <v>78</v>
      </c>
      <c r="S265" s="14">
        <v>4577.2</v>
      </c>
      <c r="T265" s="14">
        <v>5126.4639999999999</v>
      </c>
      <c r="U265" s="9">
        <v>915.44</v>
      </c>
      <c r="V265" s="10" t="s">
        <v>30</v>
      </c>
    </row>
    <row r="266" spans="1:22" ht="18" customHeight="1" x14ac:dyDescent="0.25">
      <c r="A266" s="7" t="s">
        <v>42</v>
      </c>
      <c r="B266" s="7">
        <v>2020</v>
      </c>
      <c r="C266" s="7" t="s">
        <v>69</v>
      </c>
      <c r="D266" s="7" t="s">
        <v>21</v>
      </c>
      <c r="E266" s="7" t="s">
        <v>22</v>
      </c>
      <c r="F266" s="7" t="s">
        <v>23</v>
      </c>
      <c r="G266" s="7" t="s">
        <v>24</v>
      </c>
      <c r="H266" s="7" t="s">
        <v>25</v>
      </c>
      <c r="I266" s="7" t="s">
        <v>35</v>
      </c>
      <c r="J266" s="7">
        <v>184</v>
      </c>
      <c r="K266" s="7">
        <v>263.12</v>
      </c>
      <c r="N266" s="4">
        <v>2021</v>
      </c>
      <c r="O266" s="4" t="s">
        <v>67</v>
      </c>
      <c r="P266" s="4" t="s">
        <v>50</v>
      </c>
      <c r="Q266" s="13" t="s">
        <v>52</v>
      </c>
      <c r="R266" s="14">
        <v>5034.5899999999992</v>
      </c>
      <c r="S266" s="14">
        <v>4576.8999999999996</v>
      </c>
      <c r="T266" s="14">
        <v>5126.1279999999997</v>
      </c>
      <c r="U266" s="9">
        <v>915.38</v>
      </c>
      <c r="V266" s="10" t="s">
        <v>30</v>
      </c>
    </row>
    <row r="267" spans="1:22" ht="18" customHeight="1" x14ac:dyDescent="0.25">
      <c r="A267" s="7" t="s">
        <v>61</v>
      </c>
      <c r="B267" s="7">
        <v>2020</v>
      </c>
      <c r="C267" s="7" t="s">
        <v>69</v>
      </c>
      <c r="D267" s="7" t="s">
        <v>21</v>
      </c>
      <c r="E267" s="7" t="s">
        <v>22</v>
      </c>
      <c r="F267" s="7" t="s">
        <v>23</v>
      </c>
      <c r="G267" s="7" t="s">
        <v>24</v>
      </c>
      <c r="H267" s="7" t="s">
        <v>25</v>
      </c>
      <c r="I267" s="7" t="s">
        <v>35</v>
      </c>
      <c r="J267" s="7">
        <v>270</v>
      </c>
      <c r="K267" s="7">
        <v>526.24</v>
      </c>
      <c r="N267" s="4">
        <v>2021</v>
      </c>
      <c r="O267" s="4" t="s">
        <v>67</v>
      </c>
      <c r="P267" s="4" t="s">
        <v>50</v>
      </c>
      <c r="Q267" s="13" t="s">
        <v>54</v>
      </c>
      <c r="R267" s="14">
        <v>220</v>
      </c>
      <c r="S267" s="14">
        <v>200</v>
      </c>
      <c r="T267" s="14">
        <v>224</v>
      </c>
      <c r="U267" s="9">
        <v>40</v>
      </c>
      <c r="V267" s="10" t="s">
        <v>30</v>
      </c>
    </row>
    <row r="268" spans="1:22" ht="18" customHeight="1" x14ac:dyDescent="0.25">
      <c r="A268" s="7" t="s">
        <v>19</v>
      </c>
      <c r="B268" s="7">
        <v>2020</v>
      </c>
      <c r="C268" s="7" t="s">
        <v>69</v>
      </c>
      <c r="D268" s="7" t="s">
        <v>21</v>
      </c>
      <c r="E268" s="7" t="s">
        <v>22</v>
      </c>
      <c r="F268" s="7" t="s">
        <v>23</v>
      </c>
      <c r="G268" s="7" t="s">
        <v>24</v>
      </c>
      <c r="H268" s="7" t="s">
        <v>25</v>
      </c>
      <c r="I268" s="7" t="s">
        <v>35</v>
      </c>
      <c r="J268" s="7">
        <v>264</v>
      </c>
      <c r="K268" s="7">
        <v>526.24</v>
      </c>
      <c r="N268" s="4">
        <v>2021</v>
      </c>
      <c r="O268" s="4" t="s">
        <v>67</v>
      </c>
      <c r="P268" s="4" t="s">
        <v>50</v>
      </c>
      <c r="Q268" s="13" t="s">
        <v>55</v>
      </c>
      <c r="R268" s="14">
        <v>5034.4800000000005</v>
      </c>
      <c r="S268" s="14">
        <v>4576.8</v>
      </c>
      <c r="T268" s="14">
        <v>5126.0160000000005</v>
      </c>
      <c r="U268" s="9">
        <v>915.36000000000013</v>
      </c>
      <c r="V268" s="10" t="s">
        <v>30</v>
      </c>
    </row>
    <row r="269" spans="1:22" ht="18" customHeight="1" x14ac:dyDescent="0.25">
      <c r="A269" s="7" t="s">
        <v>53</v>
      </c>
      <c r="B269" s="7">
        <v>2020</v>
      </c>
      <c r="C269" s="7" t="s">
        <v>69</v>
      </c>
      <c r="D269" s="7" t="s">
        <v>21</v>
      </c>
      <c r="E269" s="7" t="s">
        <v>22</v>
      </c>
      <c r="F269" s="7" t="s">
        <v>23</v>
      </c>
      <c r="G269" s="7" t="s">
        <v>24</v>
      </c>
      <c r="H269" s="7" t="s">
        <v>25</v>
      </c>
      <c r="I269" s="7" t="s">
        <v>35</v>
      </c>
      <c r="J269" s="7">
        <v>681</v>
      </c>
      <c r="K269" s="7">
        <v>973.82999999999993</v>
      </c>
      <c r="N269" s="4">
        <v>2021</v>
      </c>
      <c r="O269" s="4" t="s">
        <v>67</v>
      </c>
      <c r="P269" s="4" t="s">
        <v>36</v>
      </c>
      <c r="Q269" s="8" t="s">
        <v>56</v>
      </c>
      <c r="R269" s="9">
        <v>220</v>
      </c>
      <c r="S269" s="9">
        <v>200</v>
      </c>
      <c r="T269" s="9">
        <v>224</v>
      </c>
      <c r="U269" s="9">
        <v>40</v>
      </c>
      <c r="V269" s="10" t="s">
        <v>30</v>
      </c>
    </row>
    <row r="270" spans="1:22" ht="18" customHeight="1" x14ac:dyDescent="0.25">
      <c r="A270" s="7" t="s">
        <v>19</v>
      </c>
      <c r="B270" s="7">
        <v>2020</v>
      </c>
      <c r="C270" s="7" t="s">
        <v>69</v>
      </c>
      <c r="D270" s="7" t="s">
        <v>21</v>
      </c>
      <c r="E270" s="7" t="s">
        <v>22</v>
      </c>
      <c r="F270" s="7" t="s">
        <v>23</v>
      </c>
      <c r="G270" s="7" t="s">
        <v>24</v>
      </c>
      <c r="H270" s="7" t="s">
        <v>25</v>
      </c>
      <c r="I270" s="7" t="s">
        <v>35</v>
      </c>
      <c r="J270" s="7">
        <v>714</v>
      </c>
      <c r="K270" s="7">
        <v>1021.02</v>
      </c>
      <c r="N270" s="4">
        <v>2021</v>
      </c>
      <c r="O270" s="4" t="s">
        <v>67</v>
      </c>
      <c r="P270" s="4" t="s">
        <v>57</v>
      </c>
      <c r="Q270" s="13" t="s">
        <v>57</v>
      </c>
      <c r="R270" s="14">
        <v>7260</v>
      </c>
      <c r="S270" s="14">
        <v>6600</v>
      </c>
      <c r="T270" s="14">
        <v>7392</v>
      </c>
      <c r="U270" s="9">
        <v>1320</v>
      </c>
      <c r="V270" s="10" t="s">
        <v>30</v>
      </c>
    </row>
    <row r="271" spans="1:22" ht="18" customHeight="1" x14ac:dyDescent="0.25">
      <c r="A271" s="7" t="s">
        <v>19</v>
      </c>
      <c r="B271" s="7">
        <v>2020</v>
      </c>
      <c r="C271" s="7" t="s">
        <v>69</v>
      </c>
      <c r="D271" s="7" t="s">
        <v>21</v>
      </c>
      <c r="E271" s="7" t="s">
        <v>22</v>
      </c>
      <c r="F271" s="7" t="s">
        <v>23</v>
      </c>
      <c r="G271" s="7" t="s">
        <v>24</v>
      </c>
      <c r="H271" s="7" t="s">
        <v>25</v>
      </c>
      <c r="I271" s="7" t="s">
        <v>35</v>
      </c>
      <c r="J271" s="7">
        <v>768</v>
      </c>
      <c r="K271" s="7">
        <v>1098.24</v>
      </c>
      <c r="N271" s="4">
        <v>2021</v>
      </c>
      <c r="O271" s="4" t="s">
        <v>67</v>
      </c>
      <c r="P271" s="4" t="s">
        <v>50</v>
      </c>
      <c r="Q271" s="13" t="s">
        <v>58</v>
      </c>
      <c r="R271" s="14">
        <v>5035.0300000000007</v>
      </c>
      <c r="S271" s="14">
        <v>4577.3</v>
      </c>
      <c r="T271" s="14">
        <v>5126.576</v>
      </c>
      <c r="U271" s="9">
        <v>915.46</v>
      </c>
      <c r="V271" s="10" t="s">
        <v>30</v>
      </c>
    </row>
    <row r="272" spans="1:22" ht="18" customHeight="1" x14ac:dyDescent="0.25">
      <c r="A272" s="7" t="s">
        <v>19</v>
      </c>
      <c r="B272" s="7">
        <v>2020</v>
      </c>
      <c r="C272" s="7" t="s">
        <v>69</v>
      </c>
      <c r="D272" s="7" t="s">
        <v>21</v>
      </c>
      <c r="E272" s="7" t="s">
        <v>22</v>
      </c>
      <c r="F272" s="7" t="s">
        <v>23</v>
      </c>
      <c r="G272" s="7" t="s">
        <v>24</v>
      </c>
      <c r="H272" s="7" t="s">
        <v>25</v>
      </c>
      <c r="I272" s="7" t="s">
        <v>35</v>
      </c>
      <c r="J272" s="7">
        <v>273</v>
      </c>
      <c r="K272" s="7">
        <v>390.39</v>
      </c>
      <c r="N272" s="4">
        <v>2021</v>
      </c>
      <c r="O272" s="4" t="s">
        <v>68</v>
      </c>
      <c r="P272" s="4" t="s">
        <v>28</v>
      </c>
      <c r="Q272" s="8" t="s">
        <v>29</v>
      </c>
      <c r="R272" s="9">
        <v>5035.0300000000007</v>
      </c>
      <c r="S272" s="9">
        <v>4577.3</v>
      </c>
      <c r="T272" s="9">
        <v>5126.576</v>
      </c>
      <c r="U272" s="9">
        <v>915.46</v>
      </c>
      <c r="V272" s="10" t="s">
        <v>30</v>
      </c>
    </row>
    <row r="273" spans="1:22" ht="18" customHeight="1" x14ac:dyDescent="0.25">
      <c r="A273" s="7" t="s">
        <v>53</v>
      </c>
      <c r="B273" s="7">
        <v>2020</v>
      </c>
      <c r="C273" s="7" t="s">
        <v>69</v>
      </c>
      <c r="D273" s="7" t="s">
        <v>21</v>
      </c>
      <c r="E273" s="7" t="s">
        <v>22</v>
      </c>
      <c r="F273" s="7" t="s">
        <v>23</v>
      </c>
      <c r="G273" s="7" t="s">
        <v>24</v>
      </c>
      <c r="H273" s="7" t="s">
        <v>25</v>
      </c>
      <c r="I273" s="7" t="s">
        <v>35</v>
      </c>
      <c r="J273" s="7">
        <v>267</v>
      </c>
      <c r="K273" s="7">
        <v>381.81</v>
      </c>
      <c r="N273" s="4">
        <v>2021</v>
      </c>
      <c r="O273" s="4" t="s">
        <v>68</v>
      </c>
      <c r="P273" s="4" t="s">
        <v>28</v>
      </c>
      <c r="Q273" s="8" t="s">
        <v>32</v>
      </c>
      <c r="R273" s="9">
        <v>8800</v>
      </c>
      <c r="S273" s="9">
        <v>8000</v>
      </c>
      <c r="T273" s="9">
        <v>8960</v>
      </c>
      <c r="U273" s="9">
        <v>1600</v>
      </c>
      <c r="V273" s="10" t="s">
        <v>30</v>
      </c>
    </row>
    <row r="274" spans="1:22" ht="18" customHeight="1" x14ac:dyDescent="0.25">
      <c r="A274" s="7" t="s">
        <v>42</v>
      </c>
      <c r="B274" s="7">
        <v>2020</v>
      </c>
      <c r="C274" s="7" t="s">
        <v>69</v>
      </c>
      <c r="D274" s="7" t="s">
        <v>21</v>
      </c>
      <c r="E274" s="7" t="s">
        <v>22</v>
      </c>
      <c r="F274" s="7" t="s">
        <v>23</v>
      </c>
      <c r="G274" s="7" t="s">
        <v>24</v>
      </c>
      <c r="H274" s="7" t="s">
        <v>25</v>
      </c>
      <c r="I274" s="7" t="s">
        <v>35</v>
      </c>
      <c r="J274" s="7">
        <v>261</v>
      </c>
      <c r="K274" s="7">
        <v>373.23</v>
      </c>
      <c r="N274" s="4">
        <v>2021</v>
      </c>
      <c r="O274" s="4" t="s">
        <v>68</v>
      </c>
      <c r="P274" s="4" t="s">
        <v>36</v>
      </c>
      <c r="Q274" s="8" t="s">
        <v>37</v>
      </c>
      <c r="R274" s="9">
        <v>5034.92</v>
      </c>
      <c r="S274" s="9">
        <v>4577.2</v>
      </c>
      <c r="T274" s="9">
        <v>5126.4639999999999</v>
      </c>
      <c r="U274" s="9">
        <v>915.44</v>
      </c>
      <c r="V274" s="10" t="s">
        <v>30</v>
      </c>
    </row>
    <row r="275" spans="1:22" ht="18" customHeight="1" x14ac:dyDescent="0.25">
      <c r="A275" s="7" t="s">
        <v>19</v>
      </c>
      <c r="B275" s="7">
        <v>2020</v>
      </c>
      <c r="C275" s="7" t="s">
        <v>69</v>
      </c>
      <c r="D275" s="7" t="s">
        <v>21</v>
      </c>
      <c r="E275" s="7" t="s">
        <v>22</v>
      </c>
      <c r="F275" s="7" t="s">
        <v>23</v>
      </c>
      <c r="G275" s="7" t="s">
        <v>24</v>
      </c>
      <c r="H275" s="7" t="s">
        <v>25</v>
      </c>
      <c r="I275" s="7" t="s">
        <v>35</v>
      </c>
      <c r="J275" s="7">
        <v>207</v>
      </c>
      <c r="K275" s="7">
        <v>296.01</v>
      </c>
      <c r="N275" s="4">
        <v>2021</v>
      </c>
      <c r="O275" s="4" t="s">
        <v>68</v>
      </c>
      <c r="P275" s="4" t="s">
        <v>39</v>
      </c>
      <c r="Q275" s="13" t="s">
        <v>40</v>
      </c>
      <c r="R275" s="14">
        <v>644</v>
      </c>
      <c r="S275" s="14">
        <v>5743.5</v>
      </c>
      <c r="T275" s="14">
        <v>6432.72</v>
      </c>
      <c r="U275" s="9">
        <v>1148.7</v>
      </c>
      <c r="V275" s="10" t="s">
        <v>30</v>
      </c>
    </row>
    <row r="276" spans="1:22" ht="18" customHeight="1" x14ac:dyDescent="0.25">
      <c r="A276" s="7" t="s">
        <v>19</v>
      </c>
      <c r="B276" s="7">
        <v>2020</v>
      </c>
      <c r="C276" s="7" t="s">
        <v>69</v>
      </c>
      <c r="D276" s="7" t="s">
        <v>21</v>
      </c>
      <c r="E276" s="7" t="s">
        <v>22</v>
      </c>
      <c r="F276" s="7" t="s">
        <v>23</v>
      </c>
      <c r="G276" s="7" t="s">
        <v>24</v>
      </c>
      <c r="H276" s="7" t="s">
        <v>25</v>
      </c>
      <c r="I276" s="7" t="s">
        <v>35</v>
      </c>
      <c r="J276" s="7">
        <v>754</v>
      </c>
      <c r="K276" s="7">
        <v>526.24</v>
      </c>
      <c r="N276" s="4">
        <v>2021</v>
      </c>
      <c r="O276" s="4" t="s">
        <v>68</v>
      </c>
      <c r="P276" s="4" t="s">
        <v>43</v>
      </c>
      <c r="Q276" s="13" t="s">
        <v>44</v>
      </c>
      <c r="R276" s="14">
        <v>643</v>
      </c>
      <c r="S276" s="14">
        <v>7000</v>
      </c>
      <c r="T276" s="14">
        <v>7840</v>
      </c>
      <c r="U276" s="9">
        <v>1400</v>
      </c>
      <c r="V276" s="10" t="s">
        <v>30</v>
      </c>
    </row>
    <row r="277" spans="1:22" ht="18" customHeight="1" x14ac:dyDescent="0.25">
      <c r="A277" s="7" t="s">
        <v>53</v>
      </c>
      <c r="B277" s="7">
        <v>2020</v>
      </c>
      <c r="C277" s="7" t="s">
        <v>69</v>
      </c>
      <c r="D277" s="7" t="s">
        <v>21</v>
      </c>
      <c r="E277" s="7" t="s">
        <v>22</v>
      </c>
      <c r="F277" s="7" t="s">
        <v>23</v>
      </c>
      <c r="G277" s="7" t="s">
        <v>24</v>
      </c>
      <c r="H277" s="7" t="s">
        <v>25</v>
      </c>
      <c r="I277" s="7" t="s">
        <v>35</v>
      </c>
      <c r="J277" s="7">
        <v>807</v>
      </c>
      <c r="K277" s="7">
        <v>526.24</v>
      </c>
      <c r="N277" s="4">
        <v>2021</v>
      </c>
      <c r="O277" s="4" t="s">
        <v>68</v>
      </c>
      <c r="P277" s="4" t="s">
        <v>39</v>
      </c>
      <c r="Q277" s="13" t="s">
        <v>46</v>
      </c>
      <c r="R277" s="14">
        <v>455</v>
      </c>
      <c r="S277" s="14">
        <v>4578.6000000000004</v>
      </c>
      <c r="T277" s="14">
        <v>5128.0320000000002</v>
      </c>
      <c r="U277" s="9">
        <v>915.72000000000014</v>
      </c>
      <c r="V277" s="10" t="s">
        <v>30</v>
      </c>
    </row>
    <row r="278" spans="1:22" ht="18" customHeight="1" x14ac:dyDescent="0.25">
      <c r="A278" s="7" t="s">
        <v>42</v>
      </c>
      <c r="B278" s="7">
        <v>2020</v>
      </c>
      <c r="C278" s="7" t="s">
        <v>69</v>
      </c>
      <c r="D278" s="7" t="s">
        <v>21</v>
      </c>
      <c r="E278" s="7" t="s">
        <v>22</v>
      </c>
      <c r="F278" s="7" t="s">
        <v>23</v>
      </c>
      <c r="G278" s="7" t="s">
        <v>24</v>
      </c>
      <c r="H278" s="7" t="s">
        <v>25</v>
      </c>
      <c r="I278" s="7" t="s">
        <v>35</v>
      </c>
      <c r="J278" s="7">
        <v>211</v>
      </c>
      <c r="K278" s="7">
        <v>301.73</v>
      </c>
      <c r="N278" s="4">
        <v>2021</v>
      </c>
      <c r="O278" s="4" t="s">
        <v>68</v>
      </c>
      <c r="P278" s="4" t="s">
        <v>43</v>
      </c>
      <c r="Q278" s="13" t="s">
        <v>48</v>
      </c>
      <c r="R278" s="15">
        <v>345</v>
      </c>
      <c r="S278" s="15">
        <v>7000</v>
      </c>
      <c r="T278" s="15">
        <v>7840</v>
      </c>
      <c r="U278" s="9">
        <v>1400</v>
      </c>
      <c r="V278" s="10" t="s">
        <v>30</v>
      </c>
    </row>
    <row r="279" spans="1:22" ht="18" customHeight="1" x14ac:dyDescent="0.25">
      <c r="A279" s="7" t="s">
        <v>53</v>
      </c>
      <c r="B279" s="7">
        <v>2020</v>
      </c>
      <c r="C279" s="7" t="s">
        <v>69</v>
      </c>
      <c r="D279" s="7" t="s">
        <v>21</v>
      </c>
      <c r="E279" s="7" t="s">
        <v>22</v>
      </c>
      <c r="F279" s="7" t="s">
        <v>23</v>
      </c>
      <c r="G279" s="7" t="s">
        <v>24</v>
      </c>
      <c r="H279" s="7" t="s">
        <v>25</v>
      </c>
      <c r="I279" s="7" t="s">
        <v>35</v>
      </c>
      <c r="J279" s="7">
        <v>181</v>
      </c>
      <c r="K279" s="7">
        <v>258.83</v>
      </c>
      <c r="N279" s="4">
        <v>2021</v>
      </c>
      <c r="O279" s="4" t="s">
        <v>68</v>
      </c>
      <c r="P279" s="4" t="s">
        <v>36</v>
      </c>
      <c r="Q279" s="8" t="s">
        <v>49</v>
      </c>
      <c r="R279" s="9">
        <v>122</v>
      </c>
      <c r="S279" s="9">
        <v>100</v>
      </c>
      <c r="T279" s="9">
        <v>112</v>
      </c>
      <c r="U279" s="9">
        <v>20</v>
      </c>
      <c r="V279" s="10" t="s">
        <v>30</v>
      </c>
    </row>
    <row r="280" spans="1:22" ht="18" customHeight="1" x14ac:dyDescent="0.25">
      <c r="A280" s="7" t="s">
        <v>19</v>
      </c>
      <c r="B280" s="7">
        <v>2020</v>
      </c>
      <c r="C280" s="7" t="s">
        <v>69</v>
      </c>
      <c r="D280" s="7" t="s">
        <v>21</v>
      </c>
      <c r="E280" s="7" t="s">
        <v>22</v>
      </c>
      <c r="F280" s="7" t="s">
        <v>23</v>
      </c>
      <c r="G280" s="7" t="s">
        <v>24</v>
      </c>
      <c r="H280" s="7" t="s">
        <v>25</v>
      </c>
      <c r="I280" s="7" t="s">
        <v>26</v>
      </c>
      <c r="J280" s="7">
        <v>269</v>
      </c>
      <c r="K280" s="7">
        <v>384.67</v>
      </c>
      <c r="N280" s="4">
        <v>2021</v>
      </c>
      <c r="O280" s="4" t="s">
        <v>68</v>
      </c>
      <c r="P280" s="4" t="s">
        <v>50</v>
      </c>
      <c r="Q280" s="13" t="s">
        <v>51</v>
      </c>
      <c r="R280" s="14">
        <v>78</v>
      </c>
      <c r="S280" s="14">
        <v>4577.2</v>
      </c>
      <c r="T280" s="14">
        <v>5126.4639999999999</v>
      </c>
      <c r="U280" s="9">
        <v>915.44</v>
      </c>
      <c r="V280" s="10" t="s">
        <v>30</v>
      </c>
    </row>
    <row r="281" spans="1:22" ht="18" customHeight="1" x14ac:dyDescent="0.25">
      <c r="A281" s="7" t="s">
        <v>34</v>
      </c>
      <c r="B281" s="7">
        <v>2020</v>
      </c>
      <c r="C281" s="7" t="s">
        <v>69</v>
      </c>
      <c r="D281" s="7" t="s">
        <v>21</v>
      </c>
      <c r="E281" s="7" t="s">
        <v>22</v>
      </c>
      <c r="F281" s="7" t="s">
        <v>23</v>
      </c>
      <c r="G281" s="7" t="s">
        <v>24</v>
      </c>
      <c r="H281" s="7" t="s">
        <v>25</v>
      </c>
      <c r="I281" s="7" t="s">
        <v>26</v>
      </c>
      <c r="J281" s="7">
        <v>263</v>
      </c>
      <c r="K281" s="7">
        <v>376.09000000000003</v>
      </c>
      <c r="N281" s="4">
        <v>2021</v>
      </c>
      <c r="O281" s="4" t="s">
        <v>68</v>
      </c>
      <c r="P281" s="4" t="s">
        <v>50</v>
      </c>
      <c r="Q281" s="13" t="s">
        <v>52</v>
      </c>
      <c r="R281" s="14">
        <v>76</v>
      </c>
      <c r="S281" s="14">
        <v>4576.8999999999996</v>
      </c>
      <c r="T281" s="14">
        <v>5126.1279999999997</v>
      </c>
      <c r="U281" s="9">
        <v>915.38</v>
      </c>
      <c r="V281" s="10" t="s">
        <v>30</v>
      </c>
    </row>
    <row r="282" spans="1:22" ht="18" customHeight="1" x14ac:dyDescent="0.25">
      <c r="A282" s="7" t="s">
        <v>19</v>
      </c>
      <c r="B282" s="7">
        <v>2020</v>
      </c>
      <c r="C282" s="7" t="s">
        <v>69</v>
      </c>
      <c r="D282" s="7" t="s">
        <v>21</v>
      </c>
      <c r="E282" s="7" t="s">
        <v>22</v>
      </c>
      <c r="F282" s="7" t="s">
        <v>23</v>
      </c>
      <c r="G282" s="7" t="s">
        <v>24</v>
      </c>
      <c r="H282" s="7" t="s">
        <v>25</v>
      </c>
      <c r="I282" s="7" t="s">
        <v>35</v>
      </c>
      <c r="J282" s="7">
        <v>209</v>
      </c>
      <c r="K282" s="7">
        <v>298.87</v>
      </c>
      <c r="N282" s="4">
        <v>2021</v>
      </c>
      <c r="O282" s="4" t="s">
        <v>68</v>
      </c>
      <c r="P282" s="4" t="s">
        <v>50</v>
      </c>
      <c r="Q282" s="13" t="s">
        <v>54</v>
      </c>
      <c r="R282" s="14">
        <v>46</v>
      </c>
      <c r="S282" s="14">
        <v>200</v>
      </c>
      <c r="T282" s="14">
        <v>224</v>
      </c>
      <c r="U282" s="9">
        <v>40</v>
      </c>
      <c r="V282" s="10" t="s">
        <v>30</v>
      </c>
    </row>
    <row r="283" spans="1:22" ht="18" customHeight="1" x14ac:dyDescent="0.25">
      <c r="A283" s="7" t="s">
        <v>61</v>
      </c>
      <c r="B283" s="7">
        <v>2020</v>
      </c>
      <c r="C283" s="7" t="s">
        <v>69</v>
      </c>
      <c r="D283" s="7" t="s">
        <v>21</v>
      </c>
      <c r="E283" s="7" t="s">
        <v>22</v>
      </c>
      <c r="F283" s="7" t="s">
        <v>23</v>
      </c>
      <c r="G283" s="7" t="s">
        <v>24</v>
      </c>
      <c r="H283" s="7" t="s">
        <v>25</v>
      </c>
      <c r="I283" s="7" t="s">
        <v>35</v>
      </c>
      <c r="J283" s="7">
        <v>257</v>
      </c>
      <c r="K283" s="7">
        <v>367.51</v>
      </c>
      <c r="N283" s="4">
        <v>2021</v>
      </c>
      <c r="O283" s="4" t="s">
        <v>68</v>
      </c>
      <c r="P283" s="4" t="s">
        <v>50</v>
      </c>
      <c r="Q283" s="13" t="s">
        <v>55</v>
      </c>
      <c r="R283" s="14">
        <v>34</v>
      </c>
      <c r="S283" s="14">
        <v>4576.8</v>
      </c>
      <c r="T283" s="14">
        <v>5126.0160000000005</v>
      </c>
      <c r="U283" s="9">
        <v>915.36000000000013</v>
      </c>
      <c r="V283" s="10" t="s">
        <v>30</v>
      </c>
    </row>
    <row r="284" spans="1:22" ht="18" customHeight="1" x14ac:dyDescent="0.25">
      <c r="A284" s="7" t="s">
        <v>19</v>
      </c>
      <c r="B284" s="7">
        <v>2020</v>
      </c>
      <c r="C284" s="7" t="s">
        <v>20</v>
      </c>
      <c r="D284" s="7" t="s">
        <v>72</v>
      </c>
      <c r="E284" s="7" t="s">
        <v>22</v>
      </c>
      <c r="F284" s="7" t="s">
        <v>23</v>
      </c>
      <c r="G284" s="7" t="s">
        <v>24</v>
      </c>
      <c r="H284" s="7" t="s">
        <v>25</v>
      </c>
      <c r="I284" s="7" t="s">
        <v>26</v>
      </c>
      <c r="J284" s="7">
        <v>128</v>
      </c>
      <c r="K284" s="7">
        <v>183.04</v>
      </c>
      <c r="N284" s="4">
        <v>2021</v>
      </c>
      <c r="O284" s="4" t="s">
        <v>68</v>
      </c>
      <c r="P284" s="4" t="s">
        <v>36</v>
      </c>
      <c r="Q284" s="8" t="s">
        <v>56</v>
      </c>
      <c r="R284" s="9">
        <v>7</v>
      </c>
      <c r="S284" s="9">
        <v>200</v>
      </c>
      <c r="T284" s="9">
        <v>224</v>
      </c>
      <c r="U284" s="9">
        <v>40</v>
      </c>
      <c r="V284" s="10" t="s">
        <v>30</v>
      </c>
    </row>
    <row r="285" spans="1:22" ht="18" customHeight="1" x14ac:dyDescent="0.25">
      <c r="A285" s="7" t="s">
        <v>42</v>
      </c>
      <c r="B285" s="7">
        <v>2020</v>
      </c>
      <c r="C285" s="7" t="s">
        <v>20</v>
      </c>
      <c r="D285" s="7" t="s">
        <v>72</v>
      </c>
      <c r="E285" s="7" t="s">
        <v>22</v>
      </c>
      <c r="F285" s="7" t="s">
        <v>23</v>
      </c>
      <c r="G285" s="7" t="s">
        <v>24</v>
      </c>
      <c r="H285" s="7" t="s">
        <v>25</v>
      </c>
      <c r="I285" s="7" t="s">
        <v>26</v>
      </c>
      <c r="J285" s="7">
        <v>302</v>
      </c>
      <c r="K285" s="7">
        <v>431.86</v>
      </c>
      <c r="N285" s="4">
        <v>2021</v>
      </c>
      <c r="O285" s="4" t="s">
        <v>68</v>
      </c>
      <c r="P285" s="4" t="s">
        <v>50</v>
      </c>
      <c r="Q285" s="13" t="s">
        <v>58</v>
      </c>
      <c r="R285" s="14">
        <v>3</v>
      </c>
      <c r="S285" s="14">
        <v>4577.3</v>
      </c>
      <c r="T285" s="14">
        <v>5126.576</v>
      </c>
      <c r="U285" s="9">
        <v>915.46</v>
      </c>
      <c r="V285" s="10" t="s">
        <v>30</v>
      </c>
    </row>
    <row r="286" spans="1:22" ht="18" customHeight="1" x14ac:dyDescent="0.25">
      <c r="A286" s="7" t="s">
        <v>34</v>
      </c>
      <c r="B286" s="7">
        <v>2020</v>
      </c>
      <c r="C286" s="7" t="s">
        <v>20</v>
      </c>
      <c r="D286" s="7" t="s">
        <v>72</v>
      </c>
      <c r="E286" s="7" t="s">
        <v>22</v>
      </c>
      <c r="F286" s="7" t="s">
        <v>23</v>
      </c>
      <c r="G286" s="7" t="s">
        <v>24</v>
      </c>
      <c r="H286" s="7" t="s">
        <v>25</v>
      </c>
      <c r="I286" s="7" t="s">
        <v>26</v>
      </c>
      <c r="J286" s="7">
        <v>328</v>
      </c>
      <c r="K286" s="7">
        <v>526.24</v>
      </c>
      <c r="N286" s="4">
        <v>2021</v>
      </c>
      <c r="O286" s="4" t="s">
        <v>68</v>
      </c>
      <c r="P286" s="4" t="s">
        <v>57</v>
      </c>
      <c r="Q286" s="13" t="s">
        <v>57</v>
      </c>
      <c r="R286" s="14">
        <v>2</v>
      </c>
      <c r="S286" s="14">
        <v>6600</v>
      </c>
      <c r="T286" s="14">
        <v>7392</v>
      </c>
      <c r="U286" s="9">
        <v>1320</v>
      </c>
      <c r="V286" s="10" t="s">
        <v>30</v>
      </c>
    </row>
    <row r="287" spans="1:22" ht="18" customHeight="1" x14ac:dyDescent="0.25">
      <c r="A287" s="7" t="s">
        <v>19</v>
      </c>
      <c r="B287" s="7">
        <v>2020</v>
      </c>
      <c r="C287" s="7" t="s">
        <v>20</v>
      </c>
      <c r="D287" s="7" t="s">
        <v>72</v>
      </c>
      <c r="E287" s="7" t="s">
        <v>22</v>
      </c>
      <c r="F287" s="7" t="s">
        <v>23</v>
      </c>
      <c r="G287" s="7" t="s">
        <v>24</v>
      </c>
      <c r="H287" s="7" t="s">
        <v>25</v>
      </c>
      <c r="I287" s="7" t="s">
        <v>26</v>
      </c>
      <c r="J287" s="7">
        <v>130</v>
      </c>
      <c r="K287" s="7">
        <v>526.24</v>
      </c>
      <c r="N287" s="4">
        <v>2021</v>
      </c>
      <c r="O287" s="4" t="s">
        <v>60</v>
      </c>
      <c r="P287" s="4" t="s">
        <v>28</v>
      </c>
      <c r="Q287" s="8" t="s">
        <v>29</v>
      </c>
      <c r="R287" s="9">
        <v>3566</v>
      </c>
      <c r="S287" s="9">
        <v>4577.3</v>
      </c>
      <c r="T287" s="9">
        <v>5126.576</v>
      </c>
      <c r="U287" s="9">
        <v>915.46</v>
      </c>
      <c r="V287" s="10" t="s">
        <v>30</v>
      </c>
    </row>
    <row r="288" spans="1:22" ht="18" customHeight="1" x14ac:dyDescent="0.25">
      <c r="A288" s="7" t="s">
        <v>19</v>
      </c>
      <c r="B288" s="7">
        <v>2020</v>
      </c>
      <c r="C288" s="7" t="s">
        <v>20</v>
      </c>
      <c r="D288" s="7" t="s">
        <v>72</v>
      </c>
      <c r="E288" s="7" t="s">
        <v>22</v>
      </c>
      <c r="F288" s="7" t="s">
        <v>23</v>
      </c>
      <c r="G288" s="7" t="s">
        <v>24</v>
      </c>
      <c r="H288" s="7" t="s">
        <v>25</v>
      </c>
      <c r="I288" s="7" t="s">
        <v>26</v>
      </c>
      <c r="J288" s="7">
        <v>304</v>
      </c>
      <c r="K288" s="7">
        <v>526.24</v>
      </c>
      <c r="N288" s="4">
        <v>2021</v>
      </c>
      <c r="O288" s="4" t="s">
        <v>60</v>
      </c>
      <c r="P288" s="4" t="s">
        <v>28</v>
      </c>
      <c r="Q288" s="8" t="s">
        <v>32</v>
      </c>
      <c r="R288" s="9">
        <v>2498</v>
      </c>
      <c r="S288" s="9">
        <v>8000</v>
      </c>
      <c r="T288" s="9">
        <v>8960</v>
      </c>
      <c r="U288" s="9">
        <v>1600</v>
      </c>
      <c r="V288" s="10" t="s">
        <v>30</v>
      </c>
    </row>
    <row r="289" spans="1:22" ht="18" customHeight="1" x14ac:dyDescent="0.25">
      <c r="A289" s="7" t="s">
        <v>34</v>
      </c>
      <c r="B289" s="7">
        <v>2020</v>
      </c>
      <c r="C289" s="7" t="s">
        <v>20</v>
      </c>
      <c r="D289" s="7" t="s">
        <v>72</v>
      </c>
      <c r="E289" s="7" t="s">
        <v>22</v>
      </c>
      <c r="F289" s="7" t="s">
        <v>23</v>
      </c>
      <c r="G289" s="7" t="s">
        <v>24</v>
      </c>
      <c r="H289" s="7" t="s">
        <v>25</v>
      </c>
      <c r="I289" s="7" t="s">
        <v>26</v>
      </c>
      <c r="J289" s="7">
        <v>989</v>
      </c>
      <c r="K289" s="7">
        <v>1414.27</v>
      </c>
      <c r="N289" s="4">
        <v>2021</v>
      </c>
      <c r="O289" s="4" t="s">
        <v>60</v>
      </c>
      <c r="P289" s="4" t="s">
        <v>36</v>
      </c>
      <c r="Q289" s="8" t="s">
        <v>37</v>
      </c>
      <c r="R289" s="9">
        <v>1245</v>
      </c>
      <c r="S289" s="9">
        <v>4577.2</v>
      </c>
      <c r="T289" s="9">
        <v>5126.4639999999999</v>
      </c>
      <c r="U289" s="9">
        <v>915.44</v>
      </c>
      <c r="V289" s="10" t="s">
        <v>30</v>
      </c>
    </row>
    <row r="290" spans="1:22" ht="18" customHeight="1" x14ac:dyDescent="0.25">
      <c r="A290" s="7" t="s">
        <v>19</v>
      </c>
      <c r="B290" s="7">
        <v>2020</v>
      </c>
      <c r="C290" s="7" t="s">
        <v>20</v>
      </c>
      <c r="D290" s="7" t="s">
        <v>72</v>
      </c>
      <c r="E290" s="7" t="s">
        <v>22</v>
      </c>
      <c r="F290" s="7" t="s">
        <v>23</v>
      </c>
      <c r="G290" s="7" t="s">
        <v>24</v>
      </c>
      <c r="H290" s="7" t="s">
        <v>25</v>
      </c>
      <c r="I290" s="7" t="s">
        <v>26</v>
      </c>
      <c r="J290" s="7">
        <v>1022</v>
      </c>
      <c r="K290" s="7">
        <v>1461.46</v>
      </c>
      <c r="N290" s="4">
        <v>2021</v>
      </c>
      <c r="O290" s="4" t="s">
        <v>60</v>
      </c>
      <c r="P290" s="4" t="s">
        <v>39</v>
      </c>
      <c r="Q290" s="13" t="s">
        <v>40</v>
      </c>
      <c r="R290" s="14">
        <v>644</v>
      </c>
      <c r="S290" s="14">
        <v>5743.5</v>
      </c>
      <c r="T290" s="14">
        <v>6432.72</v>
      </c>
      <c r="U290" s="9">
        <v>1148.7</v>
      </c>
      <c r="V290" s="10" t="s">
        <v>30</v>
      </c>
    </row>
    <row r="291" spans="1:22" ht="18" customHeight="1" x14ac:dyDescent="0.25">
      <c r="A291" s="7" t="s">
        <v>42</v>
      </c>
      <c r="B291" s="7">
        <v>2020</v>
      </c>
      <c r="C291" s="7" t="s">
        <v>20</v>
      </c>
      <c r="D291" s="7" t="s">
        <v>72</v>
      </c>
      <c r="E291" s="7" t="s">
        <v>22</v>
      </c>
      <c r="F291" s="7" t="s">
        <v>23</v>
      </c>
      <c r="G291" s="7" t="s">
        <v>24</v>
      </c>
      <c r="H291" s="7" t="s">
        <v>25</v>
      </c>
      <c r="I291" s="7" t="s">
        <v>26</v>
      </c>
      <c r="J291" s="7">
        <v>300</v>
      </c>
      <c r="K291" s="7">
        <v>429</v>
      </c>
      <c r="N291" s="4">
        <v>2021</v>
      </c>
      <c r="O291" s="4" t="s">
        <v>60</v>
      </c>
      <c r="P291" s="4" t="s">
        <v>43</v>
      </c>
      <c r="Q291" s="13" t="s">
        <v>44</v>
      </c>
      <c r="R291" s="14">
        <v>643</v>
      </c>
      <c r="S291" s="14">
        <v>7000</v>
      </c>
      <c r="T291" s="14">
        <v>7840</v>
      </c>
      <c r="U291" s="9">
        <v>1400</v>
      </c>
      <c r="V291" s="10" t="s">
        <v>30</v>
      </c>
    </row>
    <row r="292" spans="1:22" ht="18" customHeight="1" x14ac:dyDescent="0.25">
      <c r="A292" s="7" t="s">
        <v>42</v>
      </c>
      <c r="B292" s="7">
        <v>2020</v>
      </c>
      <c r="C292" s="7" t="s">
        <v>20</v>
      </c>
      <c r="D292" s="7" t="s">
        <v>72</v>
      </c>
      <c r="E292" s="7" t="s">
        <v>22</v>
      </c>
      <c r="F292" s="7" t="s">
        <v>23</v>
      </c>
      <c r="G292" s="7" t="s">
        <v>24</v>
      </c>
      <c r="H292" s="7" t="s">
        <v>25</v>
      </c>
      <c r="I292" s="7" t="s">
        <v>26</v>
      </c>
      <c r="J292" s="7">
        <v>327</v>
      </c>
      <c r="K292" s="7">
        <v>467.61</v>
      </c>
      <c r="N292" s="4">
        <v>2021</v>
      </c>
      <c r="O292" s="4" t="s">
        <v>60</v>
      </c>
      <c r="P292" s="4" t="s">
        <v>39</v>
      </c>
      <c r="Q292" s="13" t="s">
        <v>46</v>
      </c>
      <c r="R292" s="14">
        <v>455</v>
      </c>
      <c r="S292" s="14">
        <v>5036.46</v>
      </c>
      <c r="T292" s="14">
        <v>5128.0320000000002</v>
      </c>
      <c r="U292" s="9">
        <v>1007.292</v>
      </c>
      <c r="V292" s="10" t="s">
        <v>30</v>
      </c>
    </row>
    <row r="293" spans="1:22" ht="18" customHeight="1" x14ac:dyDescent="0.25">
      <c r="A293" s="7" t="s">
        <v>19</v>
      </c>
      <c r="B293" s="7">
        <v>2020</v>
      </c>
      <c r="C293" s="7" t="s">
        <v>20</v>
      </c>
      <c r="D293" s="7" t="s">
        <v>72</v>
      </c>
      <c r="E293" s="7" t="s">
        <v>22</v>
      </c>
      <c r="F293" s="7" t="s">
        <v>23</v>
      </c>
      <c r="G293" s="7" t="s">
        <v>24</v>
      </c>
      <c r="H293" s="7" t="s">
        <v>25</v>
      </c>
      <c r="I293" s="7" t="s">
        <v>26</v>
      </c>
      <c r="J293" s="7">
        <v>129</v>
      </c>
      <c r="K293" s="7">
        <v>184.47</v>
      </c>
      <c r="N293" s="4">
        <v>2021</v>
      </c>
      <c r="O293" s="4" t="s">
        <v>60</v>
      </c>
      <c r="P293" s="4" t="s">
        <v>43</v>
      </c>
      <c r="Q293" s="13" t="s">
        <v>48</v>
      </c>
      <c r="R293" s="15">
        <v>345</v>
      </c>
      <c r="S293" s="15">
        <v>7700</v>
      </c>
      <c r="T293" s="15">
        <v>7840</v>
      </c>
      <c r="U293" s="9">
        <v>1540</v>
      </c>
      <c r="V293" s="10" t="s">
        <v>30</v>
      </c>
    </row>
    <row r="294" spans="1:22" ht="18" customHeight="1" x14ac:dyDescent="0.25">
      <c r="A294" s="7" t="s">
        <v>34</v>
      </c>
      <c r="B294" s="7">
        <v>2020</v>
      </c>
      <c r="C294" s="7" t="s">
        <v>20</v>
      </c>
      <c r="D294" s="7" t="s">
        <v>72</v>
      </c>
      <c r="E294" s="7" t="s">
        <v>22</v>
      </c>
      <c r="F294" s="7" t="s">
        <v>23</v>
      </c>
      <c r="G294" s="7" t="s">
        <v>24</v>
      </c>
      <c r="H294" s="7" t="s">
        <v>25</v>
      </c>
      <c r="I294" s="7" t="s">
        <v>26</v>
      </c>
      <c r="J294" s="7">
        <v>303</v>
      </c>
      <c r="K294" s="7">
        <v>433.28999999999996</v>
      </c>
      <c r="N294" s="4">
        <v>2021</v>
      </c>
      <c r="O294" s="4" t="s">
        <v>60</v>
      </c>
      <c r="P294" s="4" t="s">
        <v>36</v>
      </c>
      <c r="Q294" s="8" t="s">
        <v>49</v>
      </c>
      <c r="R294" s="9">
        <v>122</v>
      </c>
      <c r="S294" s="9">
        <v>110</v>
      </c>
      <c r="T294" s="9">
        <v>112</v>
      </c>
      <c r="U294" s="9">
        <v>22</v>
      </c>
      <c r="V294" s="10" t="s">
        <v>30</v>
      </c>
    </row>
    <row r="295" spans="1:22" ht="18" customHeight="1" x14ac:dyDescent="0.25">
      <c r="A295" s="7" t="s">
        <v>19</v>
      </c>
      <c r="B295" s="7">
        <v>2020</v>
      </c>
      <c r="C295" s="7" t="s">
        <v>20</v>
      </c>
      <c r="D295" s="7" t="s">
        <v>72</v>
      </c>
      <c r="E295" s="7" t="s">
        <v>22</v>
      </c>
      <c r="F295" s="7" t="s">
        <v>23</v>
      </c>
      <c r="G295" s="7" t="s">
        <v>24</v>
      </c>
      <c r="H295" s="7" t="s">
        <v>25</v>
      </c>
      <c r="I295" s="7" t="s">
        <v>26</v>
      </c>
      <c r="J295" s="7">
        <v>770</v>
      </c>
      <c r="K295" s="7">
        <v>1101.0999999999999</v>
      </c>
      <c r="N295" s="4">
        <v>2021</v>
      </c>
      <c r="O295" s="4" t="s">
        <v>60</v>
      </c>
      <c r="P295" s="4" t="s">
        <v>50</v>
      </c>
      <c r="Q295" s="13" t="s">
        <v>51</v>
      </c>
      <c r="R295" s="14">
        <v>78</v>
      </c>
      <c r="S295" s="14">
        <v>5034.92</v>
      </c>
      <c r="T295" s="14">
        <v>5126.4639999999999</v>
      </c>
      <c r="U295" s="9">
        <v>1006.984</v>
      </c>
      <c r="V295" s="10" t="s">
        <v>30</v>
      </c>
    </row>
    <row r="296" spans="1:22" ht="18" customHeight="1" x14ac:dyDescent="0.25">
      <c r="A296" s="7" t="s">
        <v>34</v>
      </c>
      <c r="B296" s="7">
        <v>2020</v>
      </c>
      <c r="C296" s="7" t="s">
        <v>20</v>
      </c>
      <c r="D296" s="7" t="s">
        <v>72</v>
      </c>
      <c r="E296" s="7" t="s">
        <v>22</v>
      </c>
      <c r="F296" s="7" t="s">
        <v>23</v>
      </c>
      <c r="G296" s="7" t="s">
        <v>24</v>
      </c>
      <c r="H296" s="7" t="s">
        <v>25</v>
      </c>
      <c r="I296" s="7" t="s">
        <v>26</v>
      </c>
      <c r="J296" s="7">
        <v>857</v>
      </c>
      <c r="K296" s="7">
        <v>1225.51</v>
      </c>
      <c r="N296" s="4">
        <v>2021</v>
      </c>
      <c r="O296" s="4" t="s">
        <v>60</v>
      </c>
      <c r="P296" s="4" t="s">
        <v>50</v>
      </c>
      <c r="Q296" s="13" t="s">
        <v>52</v>
      </c>
      <c r="R296" s="14">
        <v>76</v>
      </c>
      <c r="S296" s="14">
        <v>5034.5899999999992</v>
      </c>
      <c r="T296" s="14">
        <v>5126.1279999999997</v>
      </c>
      <c r="U296" s="9">
        <v>1006.9179999999999</v>
      </c>
      <c r="V296" s="10" t="s">
        <v>30</v>
      </c>
    </row>
    <row r="297" spans="1:22" ht="18" customHeight="1" x14ac:dyDescent="0.25">
      <c r="A297" s="7" t="s">
        <v>42</v>
      </c>
      <c r="B297" s="7">
        <v>2020</v>
      </c>
      <c r="C297" s="7" t="s">
        <v>20</v>
      </c>
      <c r="D297" s="7" t="s">
        <v>72</v>
      </c>
      <c r="E297" s="7" t="s">
        <v>22</v>
      </c>
      <c r="F297" s="7" t="s">
        <v>23</v>
      </c>
      <c r="G297" s="7" t="s">
        <v>24</v>
      </c>
      <c r="H297" s="7" t="s">
        <v>25</v>
      </c>
      <c r="I297" s="7" t="s">
        <v>26</v>
      </c>
      <c r="J297" s="7">
        <v>329</v>
      </c>
      <c r="K297" s="7">
        <v>470.47</v>
      </c>
      <c r="N297" s="4">
        <v>2021</v>
      </c>
      <c r="O297" s="4" t="s">
        <v>60</v>
      </c>
      <c r="P297" s="4" t="s">
        <v>50</v>
      </c>
      <c r="Q297" s="13" t="s">
        <v>54</v>
      </c>
      <c r="R297" s="14">
        <v>46</v>
      </c>
      <c r="S297" s="14">
        <v>230</v>
      </c>
      <c r="T297" s="14">
        <v>224</v>
      </c>
      <c r="U297" s="9">
        <v>46</v>
      </c>
      <c r="V297" s="10" t="s">
        <v>30</v>
      </c>
    </row>
    <row r="298" spans="1:22" ht="18" customHeight="1" x14ac:dyDescent="0.25">
      <c r="A298" s="7" t="s">
        <v>19</v>
      </c>
      <c r="B298" s="7">
        <v>2020</v>
      </c>
      <c r="C298" s="7" t="s">
        <v>20</v>
      </c>
      <c r="D298" s="7" t="s">
        <v>72</v>
      </c>
      <c r="E298" s="7" t="s">
        <v>22</v>
      </c>
      <c r="F298" s="7" t="s">
        <v>23</v>
      </c>
      <c r="G298" s="7" t="s">
        <v>24</v>
      </c>
      <c r="H298" s="7" t="s">
        <v>25</v>
      </c>
      <c r="I298" s="7" t="s">
        <v>26</v>
      </c>
      <c r="J298" s="7">
        <v>131</v>
      </c>
      <c r="K298" s="7">
        <v>187.32999999999998</v>
      </c>
      <c r="N298" s="4">
        <v>2021</v>
      </c>
      <c r="O298" s="4" t="s">
        <v>60</v>
      </c>
      <c r="P298" s="4" t="s">
        <v>50</v>
      </c>
      <c r="Q298" s="13" t="s">
        <v>55</v>
      </c>
      <c r="R298" s="14">
        <v>34</v>
      </c>
      <c r="S298" s="14">
        <v>5263.32</v>
      </c>
      <c r="T298" s="14">
        <v>5126.0160000000005</v>
      </c>
      <c r="U298" s="9">
        <v>1052.664</v>
      </c>
      <c r="V298" s="10" t="s">
        <v>30</v>
      </c>
    </row>
    <row r="299" spans="1:22" ht="18" customHeight="1" x14ac:dyDescent="0.25">
      <c r="A299" s="7" t="s">
        <v>42</v>
      </c>
      <c r="B299" s="7">
        <v>2020</v>
      </c>
      <c r="C299" s="7" t="s">
        <v>60</v>
      </c>
      <c r="D299" s="7" t="s">
        <v>72</v>
      </c>
      <c r="E299" s="7" t="s">
        <v>22</v>
      </c>
      <c r="F299" s="7" t="s">
        <v>23</v>
      </c>
      <c r="G299" s="7" t="s">
        <v>24</v>
      </c>
      <c r="H299" s="7" t="s">
        <v>25</v>
      </c>
      <c r="I299" s="7" t="s">
        <v>26</v>
      </c>
      <c r="J299" s="7">
        <v>308</v>
      </c>
      <c r="K299" s="7">
        <v>440.44</v>
      </c>
      <c r="N299" s="4">
        <v>2021</v>
      </c>
      <c r="O299" s="4" t="s">
        <v>60</v>
      </c>
      <c r="P299" s="4" t="s">
        <v>36</v>
      </c>
      <c r="Q299" s="8" t="s">
        <v>56</v>
      </c>
      <c r="R299" s="9">
        <v>7</v>
      </c>
      <c r="S299" s="9">
        <v>230</v>
      </c>
      <c r="T299" s="9">
        <v>224</v>
      </c>
      <c r="U299" s="9">
        <v>46</v>
      </c>
      <c r="V299" s="10" t="s">
        <v>63</v>
      </c>
    </row>
    <row r="300" spans="1:22" ht="18" customHeight="1" x14ac:dyDescent="0.25">
      <c r="A300" s="7" t="s">
        <v>19</v>
      </c>
      <c r="B300" s="7">
        <v>2020</v>
      </c>
      <c r="C300" s="7" t="s">
        <v>60</v>
      </c>
      <c r="D300" s="7" t="s">
        <v>72</v>
      </c>
      <c r="E300" s="7" t="s">
        <v>22</v>
      </c>
      <c r="F300" s="7" t="s">
        <v>23</v>
      </c>
      <c r="G300" s="7" t="s">
        <v>24</v>
      </c>
      <c r="H300" s="7" t="s">
        <v>25</v>
      </c>
      <c r="I300" s="7" t="s">
        <v>26</v>
      </c>
      <c r="J300" s="7">
        <v>356</v>
      </c>
      <c r="K300" s="7">
        <v>509.08</v>
      </c>
      <c r="N300" s="4">
        <v>2021</v>
      </c>
      <c r="O300" s="4" t="s">
        <v>60</v>
      </c>
      <c r="P300" s="4" t="s">
        <v>50</v>
      </c>
      <c r="Q300" s="13" t="s">
        <v>58</v>
      </c>
      <c r="R300" s="14">
        <v>3</v>
      </c>
      <c r="S300" s="14">
        <v>5263.8950000000004</v>
      </c>
      <c r="T300" s="14">
        <v>5126.576</v>
      </c>
      <c r="U300" s="9">
        <v>1052.7790000000002</v>
      </c>
      <c r="V300" s="10" t="s">
        <v>63</v>
      </c>
    </row>
    <row r="301" spans="1:22" ht="18" customHeight="1" x14ac:dyDescent="0.25">
      <c r="A301" s="7" t="s">
        <v>34</v>
      </c>
      <c r="B301" s="7">
        <v>2020</v>
      </c>
      <c r="C301" s="7" t="s">
        <v>60</v>
      </c>
      <c r="D301" s="7" t="s">
        <v>72</v>
      </c>
      <c r="E301" s="7" t="s">
        <v>22</v>
      </c>
      <c r="F301" s="7" t="s">
        <v>23</v>
      </c>
      <c r="G301" s="7" t="s">
        <v>24</v>
      </c>
      <c r="H301" s="7" t="s">
        <v>25</v>
      </c>
      <c r="I301" s="7" t="s">
        <v>26</v>
      </c>
      <c r="J301" s="7">
        <v>310</v>
      </c>
      <c r="K301" s="7">
        <v>526.24</v>
      </c>
      <c r="N301" s="4">
        <v>2021</v>
      </c>
      <c r="O301" s="4" t="s">
        <v>60</v>
      </c>
      <c r="P301" s="4" t="s">
        <v>57</v>
      </c>
      <c r="Q301" s="13" t="s">
        <v>57</v>
      </c>
      <c r="R301" s="14">
        <v>2</v>
      </c>
      <c r="S301" s="14">
        <v>7590</v>
      </c>
      <c r="T301" s="14">
        <v>7392</v>
      </c>
      <c r="U301" s="9">
        <v>1518</v>
      </c>
      <c r="V301" s="10" t="s">
        <v>63</v>
      </c>
    </row>
    <row r="302" spans="1:22" ht="18" customHeight="1" x14ac:dyDescent="0.25">
      <c r="A302" s="7" t="s">
        <v>34</v>
      </c>
      <c r="B302" s="7">
        <v>2020</v>
      </c>
      <c r="C302" s="7" t="s">
        <v>60</v>
      </c>
      <c r="D302" s="7" t="s">
        <v>72</v>
      </c>
      <c r="E302" s="7" t="s">
        <v>22</v>
      </c>
      <c r="F302" s="7" t="s">
        <v>23</v>
      </c>
      <c r="G302" s="7" t="s">
        <v>24</v>
      </c>
      <c r="H302" s="7" t="s">
        <v>25</v>
      </c>
      <c r="I302" s="7" t="s">
        <v>26</v>
      </c>
      <c r="J302" s="7">
        <v>352</v>
      </c>
      <c r="K302" s="7">
        <v>526.24</v>
      </c>
      <c r="N302" s="4">
        <v>2021</v>
      </c>
      <c r="O302" s="4" t="s">
        <v>69</v>
      </c>
      <c r="P302" s="4" t="s">
        <v>28</v>
      </c>
      <c r="Q302" s="8" t="s">
        <v>29</v>
      </c>
      <c r="R302" s="9">
        <v>3566</v>
      </c>
      <c r="S302" s="9">
        <v>5263.8950000000004</v>
      </c>
      <c r="T302" s="9">
        <v>5126.576</v>
      </c>
      <c r="U302" s="9">
        <v>1052.7790000000002</v>
      </c>
      <c r="V302" s="10" t="s">
        <v>63</v>
      </c>
    </row>
    <row r="303" spans="1:22" ht="18" customHeight="1" x14ac:dyDescent="0.25">
      <c r="A303" s="7" t="s">
        <v>34</v>
      </c>
      <c r="B303" s="7">
        <v>2020</v>
      </c>
      <c r="C303" s="7" t="s">
        <v>60</v>
      </c>
      <c r="D303" s="7" t="s">
        <v>72</v>
      </c>
      <c r="E303" s="7" t="s">
        <v>22</v>
      </c>
      <c r="F303" s="7" t="s">
        <v>23</v>
      </c>
      <c r="G303" s="7" t="s">
        <v>24</v>
      </c>
      <c r="H303" s="7" t="s">
        <v>25</v>
      </c>
      <c r="I303" s="7" t="s">
        <v>26</v>
      </c>
      <c r="J303" s="7">
        <v>280</v>
      </c>
      <c r="K303" s="7">
        <v>526.24</v>
      </c>
      <c r="N303" s="4">
        <v>2021</v>
      </c>
      <c r="O303" s="4" t="s">
        <v>69</v>
      </c>
      <c r="P303" s="4" t="s">
        <v>28</v>
      </c>
      <c r="Q303" s="8" t="s">
        <v>32</v>
      </c>
      <c r="R303" s="9">
        <v>2498</v>
      </c>
      <c r="S303" s="9">
        <v>8800</v>
      </c>
      <c r="T303" s="9">
        <v>8960</v>
      </c>
      <c r="U303" s="9">
        <v>1760</v>
      </c>
      <c r="V303" s="10" t="s">
        <v>63</v>
      </c>
    </row>
    <row r="304" spans="1:22" ht="18" customHeight="1" x14ac:dyDescent="0.25">
      <c r="A304" s="7" t="s">
        <v>34</v>
      </c>
      <c r="B304" s="7">
        <v>2020</v>
      </c>
      <c r="C304" s="7" t="s">
        <v>60</v>
      </c>
      <c r="D304" s="7" t="s">
        <v>72</v>
      </c>
      <c r="E304" s="7" t="s">
        <v>22</v>
      </c>
      <c r="F304" s="7" t="s">
        <v>23</v>
      </c>
      <c r="G304" s="7" t="s">
        <v>24</v>
      </c>
      <c r="H304" s="7" t="s">
        <v>25</v>
      </c>
      <c r="I304" s="7" t="s">
        <v>26</v>
      </c>
      <c r="J304" s="7">
        <v>993</v>
      </c>
      <c r="K304" s="7">
        <v>1419.99</v>
      </c>
      <c r="N304" s="4">
        <v>2021</v>
      </c>
      <c r="O304" s="4" t="s">
        <v>69</v>
      </c>
      <c r="P304" s="4" t="s">
        <v>36</v>
      </c>
      <c r="Q304" s="8" t="s">
        <v>37</v>
      </c>
      <c r="R304" s="9">
        <v>1245</v>
      </c>
      <c r="S304" s="9">
        <v>5034.92</v>
      </c>
      <c r="T304" s="9">
        <v>5126.4639999999999</v>
      </c>
      <c r="U304" s="9">
        <v>1006.984</v>
      </c>
      <c r="V304" s="10" t="s">
        <v>63</v>
      </c>
    </row>
    <row r="305" spans="1:22" ht="18" customHeight="1" x14ac:dyDescent="0.25">
      <c r="A305" s="7" t="s">
        <v>34</v>
      </c>
      <c r="B305" s="7">
        <v>2020</v>
      </c>
      <c r="C305" s="7" t="s">
        <v>60</v>
      </c>
      <c r="D305" s="7" t="s">
        <v>72</v>
      </c>
      <c r="E305" s="7" t="s">
        <v>22</v>
      </c>
      <c r="F305" s="7" t="s">
        <v>23</v>
      </c>
      <c r="G305" s="7" t="s">
        <v>24</v>
      </c>
      <c r="H305" s="7" t="s">
        <v>25</v>
      </c>
      <c r="I305" s="7" t="s">
        <v>26</v>
      </c>
      <c r="J305" s="7">
        <v>1026</v>
      </c>
      <c r="K305" s="7">
        <v>1467.18</v>
      </c>
      <c r="N305" s="4">
        <v>2021</v>
      </c>
      <c r="O305" s="4" t="s">
        <v>69</v>
      </c>
      <c r="P305" s="4" t="s">
        <v>39</v>
      </c>
      <c r="Q305" s="13" t="s">
        <v>40</v>
      </c>
      <c r="R305" s="14">
        <v>644</v>
      </c>
      <c r="S305" s="14">
        <v>6317.85</v>
      </c>
      <c r="T305" s="14">
        <v>6432.72</v>
      </c>
      <c r="U305" s="9">
        <v>1263.5700000000002</v>
      </c>
      <c r="V305" s="10" t="s">
        <v>63</v>
      </c>
    </row>
    <row r="306" spans="1:22" ht="18" customHeight="1" x14ac:dyDescent="0.25">
      <c r="A306" s="7" t="s">
        <v>42</v>
      </c>
      <c r="B306" s="7">
        <v>2020</v>
      </c>
      <c r="C306" s="7" t="s">
        <v>60</v>
      </c>
      <c r="D306" s="7" t="s">
        <v>72</v>
      </c>
      <c r="E306" s="7" t="s">
        <v>22</v>
      </c>
      <c r="F306" s="7" t="s">
        <v>23</v>
      </c>
      <c r="G306" s="7" t="s">
        <v>24</v>
      </c>
      <c r="H306" s="7" t="s">
        <v>25</v>
      </c>
      <c r="I306" s="7" t="s">
        <v>26</v>
      </c>
      <c r="J306" s="7">
        <v>282</v>
      </c>
      <c r="K306" s="7">
        <v>403.26</v>
      </c>
      <c r="N306" s="4">
        <v>2021</v>
      </c>
      <c r="O306" s="4" t="s">
        <v>69</v>
      </c>
      <c r="P306" s="4" t="s">
        <v>43</v>
      </c>
      <c r="Q306" s="13" t="s">
        <v>44</v>
      </c>
      <c r="R306" s="14">
        <v>643</v>
      </c>
      <c r="S306" s="14">
        <v>7700</v>
      </c>
      <c r="T306" s="14">
        <v>7840</v>
      </c>
      <c r="U306" s="9">
        <v>1540</v>
      </c>
      <c r="V306" s="10" t="s">
        <v>63</v>
      </c>
    </row>
    <row r="307" spans="1:22" ht="18" customHeight="1" x14ac:dyDescent="0.25">
      <c r="A307" s="7" t="s">
        <v>42</v>
      </c>
      <c r="B307" s="7">
        <v>2020</v>
      </c>
      <c r="C307" s="7" t="s">
        <v>60</v>
      </c>
      <c r="D307" s="7" t="s">
        <v>72</v>
      </c>
      <c r="E307" s="7" t="s">
        <v>22</v>
      </c>
      <c r="F307" s="7" t="s">
        <v>23</v>
      </c>
      <c r="G307" s="7" t="s">
        <v>24</v>
      </c>
      <c r="H307" s="7" t="s">
        <v>25</v>
      </c>
      <c r="I307" s="7" t="s">
        <v>26</v>
      </c>
      <c r="J307" s="7">
        <v>309</v>
      </c>
      <c r="K307" s="7">
        <v>441.87</v>
      </c>
      <c r="N307" s="4">
        <v>2021</v>
      </c>
      <c r="O307" s="4" t="s">
        <v>69</v>
      </c>
      <c r="P307" s="4" t="s">
        <v>39</v>
      </c>
      <c r="Q307" s="13" t="s">
        <v>46</v>
      </c>
      <c r="R307" s="14">
        <v>455</v>
      </c>
      <c r="S307" s="14">
        <v>5036.46</v>
      </c>
      <c r="T307" s="14">
        <v>5128.0320000000002</v>
      </c>
      <c r="U307" s="9">
        <v>1007.292</v>
      </c>
      <c r="V307" s="10" t="s">
        <v>63</v>
      </c>
    </row>
    <row r="308" spans="1:22" ht="18" customHeight="1" x14ac:dyDescent="0.25">
      <c r="A308" s="7" t="s">
        <v>19</v>
      </c>
      <c r="B308" s="7">
        <v>2020</v>
      </c>
      <c r="C308" s="7" t="s">
        <v>60</v>
      </c>
      <c r="D308" s="7" t="s">
        <v>72</v>
      </c>
      <c r="E308" s="7" t="s">
        <v>22</v>
      </c>
      <c r="F308" s="7" t="s">
        <v>23</v>
      </c>
      <c r="G308" s="7" t="s">
        <v>24</v>
      </c>
      <c r="H308" s="7" t="s">
        <v>25</v>
      </c>
      <c r="I308" s="7" t="s">
        <v>26</v>
      </c>
      <c r="J308" s="7">
        <v>357</v>
      </c>
      <c r="K308" s="7">
        <v>510.51</v>
      </c>
      <c r="N308" s="4">
        <v>2021</v>
      </c>
      <c r="O308" s="4" t="s">
        <v>69</v>
      </c>
      <c r="P308" s="4" t="s">
        <v>43</v>
      </c>
      <c r="Q308" s="13" t="s">
        <v>48</v>
      </c>
      <c r="R308" s="15">
        <v>345</v>
      </c>
      <c r="S308" s="15">
        <v>7700</v>
      </c>
      <c r="T308" s="15">
        <v>7840</v>
      </c>
      <c r="U308" s="9">
        <v>1540</v>
      </c>
      <c r="V308" s="10" t="s">
        <v>63</v>
      </c>
    </row>
    <row r="309" spans="1:22" ht="18" customHeight="1" x14ac:dyDescent="0.25">
      <c r="A309" s="7" t="s">
        <v>34</v>
      </c>
      <c r="B309" s="7">
        <v>2020</v>
      </c>
      <c r="C309" s="7" t="s">
        <v>60</v>
      </c>
      <c r="D309" s="7" t="s">
        <v>72</v>
      </c>
      <c r="E309" s="7" t="s">
        <v>22</v>
      </c>
      <c r="F309" s="7" t="s">
        <v>23</v>
      </c>
      <c r="G309" s="7" t="s">
        <v>24</v>
      </c>
      <c r="H309" s="7" t="s">
        <v>25</v>
      </c>
      <c r="I309" s="7" t="s">
        <v>26</v>
      </c>
      <c r="J309" s="7">
        <v>279</v>
      </c>
      <c r="K309" s="7">
        <v>398.97</v>
      </c>
      <c r="N309" s="4">
        <v>2021</v>
      </c>
      <c r="O309" s="4" t="s">
        <v>69</v>
      </c>
      <c r="P309" s="4" t="s">
        <v>36</v>
      </c>
      <c r="Q309" s="8" t="s">
        <v>49</v>
      </c>
      <c r="R309" s="9">
        <v>122</v>
      </c>
      <c r="S309" s="9">
        <v>110</v>
      </c>
      <c r="T309" s="9">
        <v>112</v>
      </c>
      <c r="U309" s="9">
        <v>22</v>
      </c>
      <c r="V309" s="10" t="s">
        <v>63</v>
      </c>
    </row>
    <row r="310" spans="1:22" ht="18" customHeight="1" x14ac:dyDescent="0.25">
      <c r="A310" s="7" t="s">
        <v>34</v>
      </c>
      <c r="B310" s="7">
        <v>2020</v>
      </c>
      <c r="C310" s="7" t="s">
        <v>60</v>
      </c>
      <c r="D310" s="7" t="s">
        <v>72</v>
      </c>
      <c r="E310" s="7" t="s">
        <v>22</v>
      </c>
      <c r="F310" s="7" t="s">
        <v>23</v>
      </c>
      <c r="G310" s="7" t="s">
        <v>24</v>
      </c>
      <c r="H310" s="7" t="s">
        <v>25</v>
      </c>
      <c r="I310" s="7" t="s">
        <v>26</v>
      </c>
      <c r="J310" s="7">
        <v>774</v>
      </c>
      <c r="K310" s="7">
        <v>1106.82</v>
      </c>
      <c r="N310" s="4">
        <v>2021</v>
      </c>
      <c r="O310" s="4" t="s">
        <v>69</v>
      </c>
      <c r="P310" s="4" t="s">
        <v>50</v>
      </c>
      <c r="Q310" s="13" t="s">
        <v>51</v>
      </c>
      <c r="R310" s="14">
        <v>78</v>
      </c>
      <c r="S310" s="14">
        <v>5034.92</v>
      </c>
      <c r="T310" s="14">
        <v>5126.4639999999999</v>
      </c>
      <c r="U310" s="9">
        <v>1006.984</v>
      </c>
      <c r="V310" s="10" t="s">
        <v>63</v>
      </c>
    </row>
    <row r="311" spans="1:22" ht="18" customHeight="1" x14ac:dyDescent="0.25">
      <c r="A311" s="7" t="s">
        <v>19</v>
      </c>
      <c r="B311" s="7">
        <v>2020</v>
      </c>
      <c r="C311" s="7" t="s">
        <v>60</v>
      </c>
      <c r="D311" s="7" t="s">
        <v>72</v>
      </c>
      <c r="E311" s="7" t="s">
        <v>22</v>
      </c>
      <c r="F311" s="7" t="s">
        <v>23</v>
      </c>
      <c r="G311" s="7" t="s">
        <v>24</v>
      </c>
      <c r="H311" s="7" t="s">
        <v>25</v>
      </c>
      <c r="I311" s="7" t="s">
        <v>26</v>
      </c>
      <c r="J311" s="7">
        <v>807</v>
      </c>
      <c r="K311" s="7">
        <v>1154.01</v>
      </c>
      <c r="N311" s="4">
        <v>2021</v>
      </c>
      <c r="O311" s="4" t="s">
        <v>69</v>
      </c>
      <c r="P311" s="4" t="s">
        <v>50</v>
      </c>
      <c r="Q311" s="13" t="s">
        <v>52</v>
      </c>
      <c r="R311" s="14">
        <v>76</v>
      </c>
      <c r="S311" s="14">
        <v>4576.8999999999996</v>
      </c>
      <c r="T311" s="14">
        <v>5126.1279999999997</v>
      </c>
      <c r="U311" s="9">
        <v>915.38</v>
      </c>
      <c r="V311" s="10" t="s">
        <v>63</v>
      </c>
    </row>
    <row r="312" spans="1:22" ht="18" customHeight="1" x14ac:dyDescent="0.25">
      <c r="A312" s="7" t="s">
        <v>34</v>
      </c>
      <c r="B312" s="7">
        <v>2020</v>
      </c>
      <c r="C312" s="7" t="s">
        <v>60</v>
      </c>
      <c r="D312" s="7" t="s">
        <v>72</v>
      </c>
      <c r="E312" s="7" t="s">
        <v>22</v>
      </c>
      <c r="F312" s="7" t="s">
        <v>23</v>
      </c>
      <c r="G312" s="7" t="s">
        <v>24</v>
      </c>
      <c r="H312" s="7" t="s">
        <v>25</v>
      </c>
      <c r="I312" s="7" t="s">
        <v>26</v>
      </c>
      <c r="J312" s="7">
        <v>860</v>
      </c>
      <c r="K312" s="7">
        <v>1229.8</v>
      </c>
      <c r="N312" s="4">
        <v>2021</v>
      </c>
      <c r="O312" s="4" t="s">
        <v>69</v>
      </c>
      <c r="P312" s="4" t="s">
        <v>50</v>
      </c>
      <c r="Q312" s="13" t="s">
        <v>54</v>
      </c>
      <c r="R312" s="14">
        <v>46</v>
      </c>
      <c r="S312" s="14">
        <v>200</v>
      </c>
      <c r="T312" s="14">
        <v>224</v>
      </c>
      <c r="U312" s="9">
        <v>40</v>
      </c>
      <c r="V312" s="10" t="s">
        <v>63</v>
      </c>
    </row>
    <row r="313" spans="1:22" ht="18" customHeight="1" x14ac:dyDescent="0.25">
      <c r="A313" s="7" t="s">
        <v>61</v>
      </c>
      <c r="B313" s="7">
        <v>2020</v>
      </c>
      <c r="C313" s="7" t="s">
        <v>60</v>
      </c>
      <c r="D313" s="7" t="s">
        <v>72</v>
      </c>
      <c r="E313" s="7" t="s">
        <v>22</v>
      </c>
      <c r="F313" s="7" t="s">
        <v>23</v>
      </c>
      <c r="G313" s="7" t="s">
        <v>24</v>
      </c>
      <c r="H313" s="7" t="s">
        <v>25</v>
      </c>
      <c r="I313" s="7" t="s">
        <v>26</v>
      </c>
      <c r="J313" s="7">
        <v>353</v>
      </c>
      <c r="K313" s="7">
        <v>504.78999999999996</v>
      </c>
      <c r="N313" s="4">
        <v>2021</v>
      </c>
      <c r="O313" s="4" t="s">
        <v>69</v>
      </c>
      <c r="P313" s="4" t="s">
        <v>50</v>
      </c>
      <c r="Q313" s="13" t="s">
        <v>55</v>
      </c>
      <c r="R313" s="14">
        <v>34</v>
      </c>
      <c r="S313" s="14">
        <v>4576.8</v>
      </c>
      <c r="T313" s="14">
        <v>5126.0160000000005</v>
      </c>
      <c r="U313" s="9">
        <v>915.36000000000013</v>
      </c>
      <c r="V313" s="10" t="s">
        <v>63</v>
      </c>
    </row>
    <row r="314" spans="1:22" ht="18" customHeight="1" x14ac:dyDescent="0.25">
      <c r="A314" s="7" t="s">
        <v>42</v>
      </c>
      <c r="B314" s="7">
        <v>2020</v>
      </c>
      <c r="C314" s="7" t="s">
        <v>60</v>
      </c>
      <c r="D314" s="7" t="s">
        <v>72</v>
      </c>
      <c r="E314" s="7" t="s">
        <v>22</v>
      </c>
      <c r="F314" s="7" t="s">
        <v>23</v>
      </c>
      <c r="G314" s="7" t="s">
        <v>24</v>
      </c>
      <c r="H314" s="7" t="s">
        <v>25</v>
      </c>
      <c r="I314" s="7" t="s">
        <v>26</v>
      </c>
      <c r="J314" s="7">
        <v>281</v>
      </c>
      <c r="K314" s="7">
        <v>401.83</v>
      </c>
      <c r="N314" s="4">
        <v>2021</v>
      </c>
      <c r="O314" s="4" t="s">
        <v>69</v>
      </c>
      <c r="P314" s="4" t="s">
        <v>36</v>
      </c>
      <c r="Q314" s="8" t="s">
        <v>56</v>
      </c>
      <c r="R314" s="9">
        <v>7</v>
      </c>
      <c r="S314" s="9">
        <v>200</v>
      </c>
      <c r="T314" s="9">
        <v>224</v>
      </c>
      <c r="U314" s="9">
        <v>40</v>
      </c>
      <c r="V314" s="10" t="s">
        <v>63</v>
      </c>
    </row>
    <row r="315" spans="1:22" ht="18" customHeight="1" x14ac:dyDescent="0.25">
      <c r="A315" s="7" t="s">
        <v>42</v>
      </c>
      <c r="B315" s="7">
        <v>2020</v>
      </c>
      <c r="C315" s="7" t="s">
        <v>65</v>
      </c>
      <c r="D315" s="7" t="s">
        <v>72</v>
      </c>
      <c r="E315" s="7" t="s">
        <v>22</v>
      </c>
      <c r="F315" s="7" t="s">
        <v>23</v>
      </c>
      <c r="G315" s="7" t="s">
        <v>24</v>
      </c>
      <c r="H315" s="7" t="s">
        <v>25</v>
      </c>
      <c r="I315" s="7" t="s">
        <v>26</v>
      </c>
      <c r="J315" s="7">
        <v>284</v>
      </c>
      <c r="K315" s="7">
        <v>406.12</v>
      </c>
      <c r="N315" s="4">
        <v>2021</v>
      </c>
      <c r="O315" s="4" t="s">
        <v>69</v>
      </c>
      <c r="P315" s="4" t="s">
        <v>50</v>
      </c>
      <c r="Q315" s="13" t="s">
        <v>58</v>
      </c>
      <c r="R315" s="14">
        <v>3</v>
      </c>
      <c r="S315" s="14">
        <v>4577.3</v>
      </c>
      <c r="T315" s="14">
        <v>5126.576</v>
      </c>
      <c r="U315" s="9">
        <v>915.46</v>
      </c>
      <c r="V315" s="10" t="s">
        <v>63</v>
      </c>
    </row>
    <row r="316" spans="1:22" ht="18" customHeight="1" x14ac:dyDescent="0.25">
      <c r="A316" s="7" t="s">
        <v>34</v>
      </c>
      <c r="B316" s="7">
        <v>2020</v>
      </c>
      <c r="C316" s="7" t="s">
        <v>65</v>
      </c>
      <c r="D316" s="7" t="s">
        <v>72</v>
      </c>
      <c r="E316" s="7" t="s">
        <v>22</v>
      </c>
      <c r="F316" s="7" t="s">
        <v>23</v>
      </c>
      <c r="G316" s="7" t="s">
        <v>24</v>
      </c>
      <c r="H316" s="7" t="s">
        <v>25</v>
      </c>
      <c r="I316" s="7" t="s">
        <v>26</v>
      </c>
      <c r="J316" s="7">
        <v>332</v>
      </c>
      <c r="K316" s="7">
        <v>474.76</v>
      </c>
      <c r="N316" s="4">
        <v>2021</v>
      </c>
      <c r="O316" s="4" t="s">
        <v>69</v>
      </c>
      <c r="P316" s="4" t="s">
        <v>57</v>
      </c>
      <c r="Q316" s="13" t="s">
        <v>57</v>
      </c>
      <c r="R316" s="14">
        <v>2</v>
      </c>
      <c r="S316" s="14">
        <v>6600</v>
      </c>
      <c r="T316" s="14">
        <v>7392</v>
      </c>
      <c r="U316" s="9">
        <v>1320</v>
      </c>
      <c r="V316" s="10" t="s">
        <v>63</v>
      </c>
    </row>
    <row r="317" spans="1:22" ht="18" customHeight="1" x14ac:dyDescent="0.25">
      <c r="A317" s="7" t="s">
        <v>42</v>
      </c>
      <c r="B317" s="7">
        <v>2020</v>
      </c>
      <c r="C317" s="7" t="s">
        <v>65</v>
      </c>
      <c r="D317" s="7" t="s">
        <v>72</v>
      </c>
      <c r="E317" s="7" t="s">
        <v>22</v>
      </c>
      <c r="F317" s="7" t="s">
        <v>23</v>
      </c>
      <c r="G317" s="7" t="s">
        <v>24</v>
      </c>
      <c r="H317" s="7" t="s">
        <v>25</v>
      </c>
      <c r="I317" s="7" t="s">
        <v>26</v>
      </c>
      <c r="J317" s="7">
        <v>260</v>
      </c>
      <c r="K317" s="7">
        <v>371.8</v>
      </c>
      <c r="N317" s="4">
        <v>2021</v>
      </c>
      <c r="O317" s="4" t="s">
        <v>70</v>
      </c>
      <c r="P317" s="4" t="s">
        <v>28</v>
      </c>
      <c r="Q317" s="8" t="s">
        <v>29</v>
      </c>
      <c r="R317" s="9">
        <v>3566</v>
      </c>
      <c r="S317" s="9">
        <v>4577.3</v>
      </c>
      <c r="T317" s="9">
        <v>5126.576</v>
      </c>
      <c r="U317" s="9">
        <v>915.46</v>
      </c>
      <c r="V317" s="10" t="s">
        <v>63</v>
      </c>
    </row>
    <row r="318" spans="1:22" ht="18" customHeight="1" x14ac:dyDescent="0.25">
      <c r="A318" s="7" t="s">
        <v>34</v>
      </c>
      <c r="B318" s="7">
        <v>2020</v>
      </c>
      <c r="C318" s="7" t="s">
        <v>65</v>
      </c>
      <c r="D318" s="7" t="s">
        <v>72</v>
      </c>
      <c r="E318" s="7" t="s">
        <v>22</v>
      </c>
      <c r="F318" s="7" t="s">
        <v>23</v>
      </c>
      <c r="G318" s="7" t="s">
        <v>24</v>
      </c>
      <c r="H318" s="7" t="s">
        <v>25</v>
      </c>
      <c r="I318" s="7" t="s">
        <v>26</v>
      </c>
      <c r="J318" s="7">
        <v>286</v>
      </c>
      <c r="K318" s="7">
        <v>526.24</v>
      </c>
      <c r="N318" s="4">
        <v>2021</v>
      </c>
      <c r="O318" s="4" t="s">
        <v>70</v>
      </c>
      <c r="P318" s="4" t="s">
        <v>28</v>
      </c>
      <c r="Q318" s="8" t="s">
        <v>32</v>
      </c>
      <c r="R318" s="9">
        <v>2498</v>
      </c>
      <c r="S318" s="9">
        <v>8000</v>
      </c>
      <c r="T318" s="9">
        <v>8960</v>
      </c>
      <c r="U318" s="9">
        <v>1600</v>
      </c>
      <c r="V318" s="10" t="s">
        <v>63</v>
      </c>
    </row>
    <row r="319" spans="1:22" ht="18" customHeight="1" x14ac:dyDescent="0.25">
      <c r="A319" s="7" t="s">
        <v>19</v>
      </c>
      <c r="B319" s="7">
        <v>2020</v>
      </c>
      <c r="C319" s="7" t="s">
        <v>65</v>
      </c>
      <c r="D319" s="7" t="s">
        <v>72</v>
      </c>
      <c r="E319" s="7" t="s">
        <v>22</v>
      </c>
      <c r="F319" s="7" t="s">
        <v>23</v>
      </c>
      <c r="G319" s="7" t="s">
        <v>24</v>
      </c>
      <c r="H319" s="7" t="s">
        <v>25</v>
      </c>
      <c r="I319" s="7" t="s">
        <v>26</v>
      </c>
      <c r="J319" s="7">
        <v>334</v>
      </c>
      <c r="K319" s="7">
        <v>526.24</v>
      </c>
      <c r="N319" s="4">
        <v>2021</v>
      </c>
      <c r="O319" s="4" t="s">
        <v>70</v>
      </c>
      <c r="P319" s="4" t="s">
        <v>36</v>
      </c>
      <c r="Q319" s="8" t="s">
        <v>37</v>
      </c>
      <c r="R319" s="9">
        <v>1245</v>
      </c>
      <c r="S319" s="9">
        <v>4577.2</v>
      </c>
      <c r="T319" s="9">
        <v>5126.4639999999999</v>
      </c>
      <c r="U319" s="9">
        <v>915.44</v>
      </c>
      <c r="V319" s="10" t="s">
        <v>63</v>
      </c>
    </row>
    <row r="320" spans="1:22" ht="18" customHeight="1" x14ac:dyDescent="0.25">
      <c r="A320" s="7" t="s">
        <v>34</v>
      </c>
      <c r="B320" s="7">
        <v>2020</v>
      </c>
      <c r="C320" s="7" t="s">
        <v>65</v>
      </c>
      <c r="D320" s="7" t="s">
        <v>72</v>
      </c>
      <c r="E320" s="7" t="s">
        <v>22</v>
      </c>
      <c r="F320" s="7" t="s">
        <v>23</v>
      </c>
      <c r="G320" s="7" t="s">
        <v>24</v>
      </c>
      <c r="H320" s="7" t="s">
        <v>25</v>
      </c>
      <c r="I320" s="7" t="s">
        <v>26</v>
      </c>
      <c r="J320" s="7">
        <v>262</v>
      </c>
      <c r="K320" s="7">
        <v>526.24</v>
      </c>
      <c r="N320" s="4">
        <v>2021</v>
      </c>
      <c r="O320" s="4" t="s">
        <v>70</v>
      </c>
      <c r="P320" s="4" t="s">
        <v>39</v>
      </c>
      <c r="Q320" s="13" t="s">
        <v>40</v>
      </c>
      <c r="R320" s="14">
        <v>644</v>
      </c>
      <c r="S320" s="14">
        <v>5743.5</v>
      </c>
      <c r="T320" s="14">
        <v>6432.72</v>
      </c>
      <c r="U320" s="9">
        <v>1148.7</v>
      </c>
      <c r="V320" s="10" t="s">
        <v>63</v>
      </c>
    </row>
    <row r="321" spans="1:22" ht="18" customHeight="1" x14ac:dyDescent="0.25">
      <c r="A321" s="7" t="s">
        <v>19</v>
      </c>
      <c r="B321" s="7">
        <v>2020</v>
      </c>
      <c r="C321" s="7" t="s">
        <v>65</v>
      </c>
      <c r="D321" s="7" t="s">
        <v>72</v>
      </c>
      <c r="E321" s="7" t="s">
        <v>22</v>
      </c>
      <c r="F321" s="7" t="s">
        <v>23</v>
      </c>
      <c r="G321" s="7" t="s">
        <v>24</v>
      </c>
      <c r="H321" s="7" t="s">
        <v>25</v>
      </c>
      <c r="I321" s="7" t="s">
        <v>26</v>
      </c>
      <c r="J321" s="7">
        <v>996</v>
      </c>
      <c r="K321" s="7">
        <v>1424.28</v>
      </c>
      <c r="N321" s="4">
        <v>2021</v>
      </c>
      <c r="O321" s="4" t="s">
        <v>70</v>
      </c>
      <c r="P321" s="4" t="s">
        <v>43</v>
      </c>
      <c r="Q321" s="13" t="s">
        <v>44</v>
      </c>
      <c r="R321" s="14">
        <v>643</v>
      </c>
      <c r="S321" s="14">
        <v>7000</v>
      </c>
      <c r="T321" s="14">
        <v>7840</v>
      </c>
      <c r="U321" s="9">
        <v>1400</v>
      </c>
      <c r="V321" s="10" t="s">
        <v>63</v>
      </c>
    </row>
    <row r="322" spans="1:22" ht="18" customHeight="1" x14ac:dyDescent="0.25">
      <c r="A322" s="7" t="s">
        <v>34</v>
      </c>
      <c r="B322" s="7">
        <v>2020</v>
      </c>
      <c r="C322" s="7" t="s">
        <v>65</v>
      </c>
      <c r="D322" s="7" t="s">
        <v>72</v>
      </c>
      <c r="E322" s="7" t="s">
        <v>22</v>
      </c>
      <c r="F322" s="7" t="s">
        <v>23</v>
      </c>
      <c r="G322" s="7" t="s">
        <v>24</v>
      </c>
      <c r="H322" s="7" t="s">
        <v>25</v>
      </c>
      <c r="I322" s="7" t="s">
        <v>26</v>
      </c>
      <c r="J322" s="7">
        <v>258</v>
      </c>
      <c r="K322" s="7">
        <v>368.94</v>
      </c>
      <c r="N322" s="4">
        <v>2021</v>
      </c>
      <c r="O322" s="4" t="s">
        <v>70</v>
      </c>
      <c r="P322" s="4" t="s">
        <v>39</v>
      </c>
      <c r="Q322" s="13" t="s">
        <v>46</v>
      </c>
      <c r="R322" s="14">
        <v>455</v>
      </c>
      <c r="S322" s="14">
        <v>4578.6000000000004</v>
      </c>
      <c r="T322" s="14">
        <v>5128.0320000000002</v>
      </c>
      <c r="U322" s="9">
        <v>915.72000000000014</v>
      </c>
      <c r="V322" s="10" t="s">
        <v>30</v>
      </c>
    </row>
    <row r="323" spans="1:22" ht="18" customHeight="1" x14ac:dyDescent="0.25">
      <c r="A323" s="7" t="s">
        <v>34</v>
      </c>
      <c r="B323" s="7">
        <v>2020</v>
      </c>
      <c r="C323" s="7" t="s">
        <v>65</v>
      </c>
      <c r="D323" s="7" t="s">
        <v>72</v>
      </c>
      <c r="E323" s="7" t="s">
        <v>22</v>
      </c>
      <c r="F323" s="7" t="s">
        <v>23</v>
      </c>
      <c r="G323" s="7" t="s">
        <v>24</v>
      </c>
      <c r="H323" s="7" t="s">
        <v>25</v>
      </c>
      <c r="I323" s="7" t="s">
        <v>26</v>
      </c>
      <c r="J323" s="7">
        <v>285</v>
      </c>
      <c r="K323" s="7">
        <v>407.55</v>
      </c>
      <c r="N323" s="4">
        <v>2021</v>
      </c>
      <c r="O323" s="4" t="s">
        <v>70</v>
      </c>
      <c r="P323" s="4" t="s">
        <v>43</v>
      </c>
      <c r="Q323" s="13" t="s">
        <v>48</v>
      </c>
      <c r="R323" s="15">
        <v>345</v>
      </c>
      <c r="S323" s="15">
        <v>7000</v>
      </c>
      <c r="T323" s="15">
        <v>7840</v>
      </c>
      <c r="U323" s="9">
        <v>1400</v>
      </c>
      <c r="V323" s="10" t="s">
        <v>30</v>
      </c>
    </row>
    <row r="324" spans="1:22" ht="18" customHeight="1" x14ac:dyDescent="0.25">
      <c r="A324" s="7" t="s">
        <v>19</v>
      </c>
      <c r="B324" s="7">
        <v>2020</v>
      </c>
      <c r="C324" s="7" t="s">
        <v>65</v>
      </c>
      <c r="D324" s="7" t="s">
        <v>72</v>
      </c>
      <c r="E324" s="7" t="s">
        <v>22</v>
      </c>
      <c r="F324" s="7" t="s">
        <v>23</v>
      </c>
      <c r="G324" s="7" t="s">
        <v>24</v>
      </c>
      <c r="H324" s="7" t="s">
        <v>25</v>
      </c>
      <c r="I324" s="7" t="s">
        <v>26</v>
      </c>
      <c r="J324" s="7">
        <v>333</v>
      </c>
      <c r="K324" s="7">
        <v>476.19</v>
      </c>
      <c r="N324" s="4">
        <v>2021</v>
      </c>
      <c r="O324" s="4" t="s">
        <v>70</v>
      </c>
      <c r="P324" s="4" t="s">
        <v>36</v>
      </c>
      <c r="Q324" s="8" t="s">
        <v>49</v>
      </c>
      <c r="R324" s="9">
        <v>122</v>
      </c>
      <c r="S324" s="9">
        <v>100</v>
      </c>
      <c r="T324" s="9">
        <v>112</v>
      </c>
      <c r="U324" s="9">
        <v>20</v>
      </c>
      <c r="V324" s="10" t="s">
        <v>30</v>
      </c>
    </row>
    <row r="325" spans="1:22" ht="18" customHeight="1" x14ac:dyDescent="0.25">
      <c r="A325" s="7" t="s">
        <v>19</v>
      </c>
      <c r="B325" s="7">
        <v>2020</v>
      </c>
      <c r="C325" s="7" t="s">
        <v>65</v>
      </c>
      <c r="D325" s="7" t="s">
        <v>72</v>
      </c>
      <c r="E325" s="7" t="s">
        <v>22</v>
      </c>
      <c r="F325" s="7" t="s">
        <v>23</v>
      </c>
      <c r="G325" s="7" t="s">
        <v>24</v>
      </c>
      <c r="H325" s="7" t="s">
        <v>25</v>
      </c>
      <c r="I325" s="7" t="s">
        <v>26</v>
      </c>
      <c r="J325" s="7">
        <v>261</v>
      </c>
      <c r="K325" s="7">
        <v>373.23</v>
      </c>
      <c r="N325" s="4">
        <v>2021</v>
      </c>
      <c r="O325" s="4" t="s">
        <v>70</v>
      </c>
      <c r="P325" s="4" t="s">
        <v>50</v>
      </c>
      <c r="Q325" s="13" t="s">
        <v>51</v>
      </c>
      <c r="R325" s="14">
        <v>78</v>
      </c>
      <c r="S325" s="14">
        <v>4577.2</v>
      </c>
      <c r="T325" s="14">
        <v>5126.4639999999999</v>
      </c>
      <c r="U325" s="9">
        <v>915.44</v>
      </c>
      <c r="V325" s="10" t="s">
        <v>30</v>
      </c>
    </row>
    <row r="326" spans="1:22" ht="18" customHeight="1" x14ac:dyDescent="0.25">
      <c r="A326" s="7" t="s">
        <v>34</v>
      </c>
      <c r="B326" s="7">
        <v>2020</v>
      </c>
      <c r="C326" s="7" t="s">
        <v>65</v>
      </c>
      <c r="D326" s="7" t="s">
        <v>72</v>
      </c>
      <c r="E326" s="7" t="s">
        <v>22</v>
      </c>
      <c r="F326" s="7" t="s">
        <v>23</v>
      </c>
      <c r="G326" s="7" t="s">
        <v>24</v>
      </c>
      <c r="H326" s="7" t="s">
        <v>25</v>
      </c>
      <c r="I326" s="7" t="s">
        <v>26</v>
      </c>
      <c r="J326" s="7">
        <v>777</v>
      </c>
      <c r="K326" s="7">
        <v>1111.1100000000001</v>
      </c>
      <c r="N326" s="4">
        <v>2021</v>
      </c>
      <c r="O326" s="4" t="s">
        <v>70</v>
      </c>
      <c r="P326" s="4" t="s">
        <v>50</v>
      </c>
      <c r="Q326" s="13" t="s">
        <v>52</v>
      </c>
      <c r="R326" s="14">
        <v>76</v>
      </c>
      <c r="S326" s="14">
        <v>4576.8999999999996</v>
      </c>
      <c r="T326" s="14">
        <v>5126.1279999999997</v>
      </c>
      <c r="U326" s="9">
        <v>915.38</v>
      </c>
      <c r="V326" s="10" t="s">
        <v>30</v>
      </c>
    </row>
    <row r="327" spans="1:22" ht="18" customHeight="1" x14ac:dyDescent="0.25">
      <c r="A327" s="7" t="s">
        <v>19</v>
      </c>
      <c r="B327" s="7">
        <v>2020</v>
      </c>
      <c r="C327" s="7" t="s">
        <v>65</v>
      </c>
      <c r="D327" s="7" t="s">
        <v>72</v>
      </c>
      <c r="E327" s="7" t="s">
        <v>22</v>
      </c>
      <c r="F327" s="7" t="s">
        <v>23</v>
      </c>
      <c r="G327" s="7" t="s">
        <v>24</v>
      </c>
      <c r="H327" s="7" t="s">
        <v>25</v>
      </c>
      <c r="I327" s="7" t="s">
        <v>26</v>
      </c>
      <c r="J327" s="7">
        <v>811</v>
      </c>
      <c r="K327" s="7">
        <v>1159.73</v>
      </c>
      <c r="N327" s="4">
        <v>2021</v>
      </c>
      <c r="O327" s="4" t="s">
        <v>70</v>
      </c>
      <c r="P327" s="4" t="s">
        <v>50</v>
      </c>
      <c r="Q327" s="13" t="s">
        <v>54</v>
      </c>
      <c r="R327" s="14">
        <v>46</v>
      </c>
      <c r="S327" s="14">
        <v>200</v>
      </c>
      <c r="T327" s="14">
        <v>224</v>
      </c>
      <c r="U327" s="9">
        <v>40</v>
      </c>
      <c r="V327" s="10" t="s">
        <v>30</v>
      </c>
    </row>
    <row r="328" spans="1:22" ht="18" customHeight="1" x14ac:dyDescent="0.25">
      <c r="A328" s="7" t="s">
        <v>34</v>
      </c>
      <c r="B328" s="7">
        <v>2020</v>
      </c>
      <c r="C328" s="7" t="s">
        <v>65</v>
      </c>
      <c r="D328" s="7" t="s">
        <v>72</v>
      </c>
      <c r="E328" s="7" t="s">
        <v>22</v>
      </c>
      <c r="F328" s="7" t="s">
        <v>23</v>
      </c>
      <c r="G328" s="7" t="s">
        <v>24</v>
      </c>
      <c r="H328" s="7" t="s">
        <v>25</v>
      </c>
      <c r="I328" s="7" t="s">
        <v>26</v>
      </c>
      <c r="J328" s="7">
        <v>864</v>
      </c>
      <c r="K328" s="7">
        <v>1235.52</v>
      </c>
      <c r="N328" s="4">
        <v>2021</v>
      </c>
      <c r="O328" s="4" t="s">
        <v>70</v>
      </c>
      <c r="P328" s="4" t="s">
        <v>50</v>
      </c>
      <c r="Q328" s="13" t="s">
        <v>55</v>
      </c>
      <c r="R328" s="14">
        <v>34</v>
      </c>
      <c r="S328" s="14">
        <v>4576.8</v>
      </c>
      <c r="T328" s="14">
        <v>5126.0160000000005</v>
      </c>
      <c r="U328" s="9">
        <v>915.36000000000013</v>
      </c>
      <c r="V328" s="10" t="s">
        <v>30</v>
      </c>
    </row>
    <row r="329" spans="1:22" ht="18" customHeight="1" x14ac:dyDescent="0.25">
      <c r="A329" s="7" t="s">
        <v>42</v>
      </c>
      <c r="B329" s="7">
        <v>2020</v>
      </c>
      <c r="C329" s="7" t="s">
        <v>65</v>
      </c>
      <c r="D329" s="7" t="s">
        <v>72</v>
      </c>
      <c r="E329" s="7" t="s">
        <v>22</v>
      </c>
      <c r="F329" s="7" t="s">
        <v>23</v>
      </c>
      <c r="G329" s="7" t="s">
        <v>24</v>
      </c>
      <c r="H329" s="7" t="s">
        <v>25</v>
      </c>
      <c r="I329" s="7" t="s">
        <v>26</v>
      </c>
      <c r="J329" s="7">
        <v>287</v>
      </c>
      <c r="K329" s="7">
        <v>410.40999999999997</v>
      </c>
      <c r="N329" s="4">
        <v>2021</v>
      </c>
      <c r="O329" s="4" t="s">
        <v>70</v>
      </c>
      <c r="P329" s="4" t="s">
        <v>36</v>
      </c>
      <c r="Q329" s="8" t="s">
        <v>56</v>
      </c>
      <c r="R329" s="9">
        <v>7</v>
      </c>
      <c r="S329" s="9">
        <v>200</v>
      </c>
      <c r="T329" s="9">
        <v>224</v>
      </c>
      <c r="U329" s="9">
        <v>40</v>
      </c>
      <c r="V329" s="10" t="s">
        <v>30</v>
      </c>
    </row>
    <row r="330" spans="1:22" ht="18" customHeight="1" x14ac:dyDescent="0.25">
      <c r="A330" s="7" t="s">
        <v>19</v>
      </c>
      <c r="B330" s="7">
        <v>2020</v>
      </c>
      <c r="C330" s="7" t="s">
        <v>65</v>
      </c>
      <c r="D330" s="7" t="s">
        <v>72</v>
      </c>
      <c r="E330" s="7" t="s">
        <v>22</v>
      </c>
      <c r="F330" s="7" t="s">
        <v>23</v>
      </c>
      <c r="G330" s="7" t="s">
        <v>24</v>
      </c>
      <c r="H330" s="7" t="s">
        <v>25</v>
      </c>
      <c r="I330" s="7" t="s">
        <v>26</v>
      </c>
      <c r="J330" s="7">
        <v>335</v>
      </c>
      <c r="K330" s="7">
        <v>479.05</v>
      </c>
      <c r="N330" s="4">
        <v>2021</v>
      </c>
      <c r="O330" s="4" t="s">
        <v>70</v>
      </c>
      <c r="P330" s="4" t="s">
        <v>50</v>
      </c>
      <c r="Q330" s="13" t="s">
        <v>58</v>
      </c>
      <c r="R330" s="14">
        <v>3</v>
      </c>
      <c r="S330" s="14">
        <v>4577.3</v>
      </c>
      <c r="T330" s="14">
        <v>5126.576</v>
      </c>
      <c r="U330" s="9">
        <v>915.46</v>
      </c>
      <c r="V330" s="10" t="s">
        <v>30</v>
      </c>
    </row>
    <row r="331" spans="1:22" ht="18" customHeight="1" x14ac:dyDescent="0.25">
      <c r="A331" s="7" t="s">
        <v>42</v>
      </c>
      <c r="B331" s="7">
        <v>2020</v>
      </c>
      <c r="C331" s="7" t="s">
        <v>65</v>
      </c>
      <c r="D331" s="7" t="s">
        <v>72</v>
      </c>
      <c r="E331" s="7" t="s">
        <v>22</v>
      </c>
      <c r="F331" s="7" t="s">
        <v>23</v>
      </c>
      <c r="G331" s="7" t="s">
        <v>24</v>
      </c>
      <c r="H331" s="7" t="s">
        <v>25</v>
      </c>
      <c r="I331" s="7" t="s">
        <v>26</v>
      </c>
      <c r="J331" s="7">
        <v>257</v>
      </c>
      <c r="K331" s="7">
        <v>367.51</v>
      </c>
      <c r="N331" s="4">
        <v>2021</v>
      </c>
      <c r="O331" s="4" t="s">
        <v>70</v>
      </c>
      <c r="P331" s="4" t="s">
        <v>57</v>
      </c>
      <c r="Q331" s="13" t="s">
        <v>57</v>
      </c>
      <c r="R331" s="14">
        <v>2</v>
      </c>
      <c r="S331" s="14">
        <v>6600</v>
      </c>
      <c r="T331" s="14">
        <v>7392</v>
      </c>
      <c r="U331" s="9">
        <v>1320</v>
      </c>
      <c r="V331" s="10" t="s">
        <v>30</v>
      </c>
    </row>
    <row r="332" spans="1:22" ht="18" customHeight="1" x14ac:dyDescent="0.25">
      <c r="A332" s="7" t="s">
        <v>34</v>
      </c>
      <c r="B332" s="7">
        <v>2020</v>
      </c>
      <c r="C332" s="7" t="s">
        <v>59</v>
      </c>
      <c r="D332" s="7" t="s">
        <v>72</v>
      </c>
      <c r="E332" s="7" t="s">
        <v>22</v>
      </c>
      <c r="F332" s="7" t="s">
        <v>23</v>
      </c>
      <c r="G332" s="7" t="s">
        <v>24</v>
      </c>
      <c r="H332" s="7" t="s">
        <v>25</v>
      </c>
      <c r="I332" s="7" t="s">
        <v>35</v>
      </c>
      <c r="J332" s="7">
        <v>350</v>
      </c>
      <c r="K332" s="7">
        <v>500.5</v>
      </c>
      <c r="N332" s="4">
        <v>2021</v>
      </c>
      <c r="O332" s="4" t="s">
        <v>71</v>
      </c>
      <c r="P332" s="4" t="s">
        <v>28</v>
      </c>
      <c r="Q332" s="8" t="s">
        <v>29</v>
      </c>
      <c r="R332" s="9">
        <v>3566</v>
      </c>
      <c r="S332" s="9">
        <v>4577.3</v>
      </c>
      <c r="T332" s="9">
        <v>5126.576</v>
      </c>
      <c r="U332" s="9">
        <v>915.46</v>
      </c>
      <c r="V332" s="10" t="s">
        <v>30</v>
      </c>
    </row>
    <row r="333" spans="1:22" ht="18" customHeight="1" x14ac:dyDescent="0.25">
      <c r="A333" s="7" t="s">
        <v>42</v>
      </c>
      <c r="B333" s="7">
        <v>2020</v>
      </c>
      <c r="C333" s="7" t="s">
        <v>59</v>
      </c>
      <c r="D333" s="7" t="s">
        <v>72</v>
      </c>
      <c r="E333" s="7" t="s">
        <v>22</v>
      </c>
      <c r="F333" s="7" t="s">
        <v>23</v>
      </c>
      <c r="G333" s="7" t="s">
        <v>24</v>
      </c>
      <c r="H333" s="7" t="s">
        <v>25</v>
      </c>
      <c r="I333" s="7" t="s">
        <v>35</v>
      </c>
      <c r="J333" s="7">
        <v>344</v>
      </c>
      <c r="K333" s="7">
        <v>491.91999999999996</v>
      </c>
      <c r="N333" s="4">
        <v>2021</v>
      </c>
      <c r="O333" s="4" t="s">
        <v>71</v>
      </c>
      <c r="P333" s="4" t="s">
        <v>28</v>
      </c>
      <c r="Q333" s="8" t="s">
        <v>32</v>
      </c>
      <c r="R333" s="9">
        <v>2498</v>
      </c>
      <c r="S333" s="9">
        <v>8000</v>
      </c>
      <c r="T333" s="9">
        <v>8960</v>
      </c>
      <c r="U333" s="9">
        <v>1600</v>
      </c>
      <c r="V333" s="10" t="s">
        <v>30</v>
      </c>
    </row>
    <row r="334" spans="1:22" ht="18" customHeight="1" x14ac:dyDescent="0.25">
      <c r="A334" s="7" t="s">
        <v>19</v>
      </c>
      <c r="B334" s="7">
        <v>2020</v>
      </c>
      <c r="C334" s="7" t="s">
        <v>59</v>
      </c>
      <c r="D334" s="7" t="s">
        <v>72</v>
      </c>
      <c r="E334" s="7" t="s">
        <v>22</v>
      </c>
      <c r="F334" s="7" t="s">
        <v>23</v>
      </c>
      <c r="G334" s="7" t="s">
        <v>24</v>
      </c>
      <c r="H334" s="7" t="s">
        <v>25</v>
      </c>
      <c r="I334" s="7" t="s">
        <v>26</v>
      </c>
      <c r="J334" s="7">
        <v>338</v>
      </c>
      <c r="K334" s="7">
        <v>483.34000000000003</v>
      </c>
      <c r="N334" s="4">
        <v>2021</v>
      </c>
      <c r="O334" s="4" t="s">
        <v>71</v>
      </c>
      <c r="P334" s="4" t="s">
        <v>36</v>
      </c>
      <c r="Q334" s="8" t="s">
        <v>37</v>
      </c>
      <c r="R334" s="9">
        <v>1245</v>
      </c>
      <c r="S334" s="9">
        <v>4577.2</v>
      </c>
      <c r="T334" s="9">
        <v>5126.4639999999999</v>
      </c>
      <c r="U334" s="9">
        <v>915.44</v>
      </c>
      <c r="V334" s="10" t="s">
        <v>30</v>
      </c>
    </row>
    <row r="335" spans="1:22" ht="18" customHeight="1" x14ac:dyDescent="0.25">
      <c r="A335" s="7" t="s">
        <v>19</v>
      </c>
      <c r="B335" s="7">
        <v>2020</v>
      </c>
      <c r="C335" s="7" t="s">
        <v>59</v>
      </c>
      <c r="D335" s="7" t="s">
        <v>72</v>
      </c>
      <c r="E335" s="7" t="s">
        <v>22</v>
      </c>
      <c r="F335" s="7" t="s">
        <v>23</v>
      </c>
      <c r="G335" s="7" t="s">
        <v>24</v>
      </c>
      <c r="H335" s="7" t="s">
        <v>25</v>
      </c>
      <c r="I335" s="7" t="s">
        <v>26</v>
      </c>
      <c r="J335" s="7">
        <v>140</v>
      </c>
      <c r="K335" s="7">
        <v>200.2</v>
      </c>
      <c r="N335" s="4">
        <v>2021</v>
      </c>
      <c r="O335" s="4" t="s">
        <v>71</v>
      </c>
      <c r="P335" s="4" t="s">
        <v>39</v>
      </c>
      <c r="Q335" s="13" t="s">
        <v>40</v>
      </c>
      <c r="R335" s="14">
        <v>644</v>
      </c>
      <c r="S335" s="14">
        <v>5743.5</v>
      </c>
      <c r="T335" s="14">
        <v>6432.72</v>
      </c>
      <c r="U335" s="9">
        <v>1148.7</v>
      </c>
      <c r="V335" s="10" t="s">
        <v>30</v>
      </c>
    </row>
    <row r="336" spans="1:22" ht="18" customHeight="1" x14ac:dyDescent="0.25">
      <c r="A336" s="7" t="s">
        <v>53</v>
      </c>
      <c r="B336" s="7">
        <v>2020</v>
      </c>
      <c r="C336" s="7" t="s">
        <v>59</v>
      </c>
      <c r="D336" s="7" t="s">
        <v>72</v>
      </c>
      <c r="E336" s="7" t="s">
        <v>22</v>
      </c>
      <c r="F336" s="7" t="s">
        <v>23</v>
      </c>
      <c r="G336" s="7" t="s">
        <v>24</v>
      </c>
      <c r="H336" s="7" t="s">
        <v>25</v>
      </c>
      <c r="I336" s="7" t="s">
        <v>26</v>
      </c>
      <c r="J336" s="7">
        <v>314</v>
      </c>
      <c r="K336" s="7">
        <v>449.02</v>
      </c>
      <c r="N336" s="4">
        <v>2021</v>
      </c>
      <c r="O336" s="4" t="s">
        <v>71</v>
      </c>
      <c r="P336" s="4" t="s">
        <v>43</v>
      </c>
      <c r="Q336" s="13" t="s">
        <v>44</v>
      </c>
      <c r="R336" s="14">
        <v>643</v>
      </c>
      <c r="S336" s="14">
        <v>7000</v>
      </c>
      <c r="T336" s="14">
        <v>7840</v>
      </c>
      <c r="U336" s="9">
        <v>1400</v>
      </c>
      <c r="V336" s="10" t="s">
        <v>30</v>
      </c>
    </row>
    <row r="337" spans="1:22" ht="18" customHeight="1" x14ac:dyDescent="0.25">
      <c r="A337" s="7" t="s">
        <v>19</v>
      </c>
      <c r="B337" s="7">
        <v>2020</v>
      </c>
      <c r="C337" s="7" t="s">
        <v>59</v>
      </c>
      <c r="D337" s="7" t="s">
        <v>72</v>
      </c>
      <c r="E337" s="7" t="s">
        <v>22</v>
      </c>
      <c r="F337" s="7" t="s">
        <v>23</v>
      </c>
      <c r="G337" s="7" t="s">
        <v>24</v>
      </c>
      <c r="H337" s="7" t="s">
        <v>25</v>
      </c>
      <c r="I337" s="7" t="s">
        <v>35</v>
      </c>
      <c r="J337" s="7">
        <v>352</v>
      </c>
      <c r="K337" s="7">
        <v>503.36</v>
      </c>
      <c r="N337" s="4">
        <v>2021</v>
      </c>
      <c r="O337" s="4" t="s">
        <v>71</v>
      </c>
      <c r="P337" s="4" t="s">
        <v>39</v>
      </c>
      <c r="Q337" s="13" t="s">
        <v>46</v>
      </c>
      <c r="R337" s="14">
        <v>455</v>
      </c>
      <c r="S337" s="14">
        <v>4578.6000000000004</v>
      </c>
      <c r="T337" s="14">
        <v>5128.0320000000002</v>
      </c>
      <c r="U337" s="9">
        <v>915.72000000000014</v>
      </c>
      <c r="V337" s="10" t="s">
        <v>30</v>
      </c>
    </row>
    <row r="338" spans="1:22" ht="18" customHeight="1" x14ac:dyDescent="0.25">
      <c r="A338" s="7" t="s">
        <v>19</v>
      </c>
      <c r="B338" s="7">
        <v>2020</v>
      </c>
      <c r="C338" s="7" t="s">
        <v>59</v>
      </c>
      <c r="D338" s="7" t="s">
        <v>72</v>
      </c>
      <c r="E338" s="7" t="s">
        <v>22</v>
      </c>
      <c r="F338" s="7" t="s">
        <v>23</v>
      </c>
      <c r="G338" s="7" t="s">
        <v>24</v>
      </c>
      <c r="H338" s="7" t="s">
        <v>25</v>
      </c>
      <c r="I338" s="7" t="s">
        <v>35</v>
      </c>
      <c r="J338" s="7">
        <v>346</v>
      </c>
      <c r="K338" s="7">
        <v>494.78</v>
      </c>
      <c r="N338" s="4">
        <v>2021</v>
      </c>
      <c r="O338" s="4" t="s">
        <v>71</v>
      </c>
      <c r="P338" s="4" t="s">
        <v>43</v>
      </c>
      <c r="Q338" s="13" t="s">
        <v>48</v>
      </c>
      <c r="R338" s="15">
        <v>345</v>
      </c>
      <c r="S338" s="15">
        <v>7000</v>
      </c>
      <c r="T338" s="15">
        <v>7840</v>
      </c>
      <c r="U338" s="9">
        <v>1400</v>
      </c>
      <c r="V338" s="10" t="s">
        <v>30</v>
      </c>
    </row>
    <row r="339" spans="1:22" ht="18" customHeight="1" x14ac:dyDescent="0.25">
      <c r="A339" s="7" t="s">
        <v>34</v>
      </c>
      <c r="B339" s="7">
        <v>2020</v>
      </c>
      <c r="C339" s="7" t="s">
        <v>59</v>
      </c>
      <c r="D339" s="7" t="s">
        <v>72</v>
      </c>
      <c r="E339" s="7" t="s">
        <v>22</v>
      </c>
      <c r="F339" s="7" t="s">
        <v>23</v>
      </c>
      <c r="G339" s="7" t="s">
        <v>24</v>
      </c>
      <c r="H339" s="7" t="s">
        <v>25</v>
      </c>
      <c r="I339" s="7" t="s">
        <v>35</v>
      </c>
      <c r="J339" s="7">
        <v>340</v>
      </c>
      <c r="K339" s="7">
        <v>486.2</v>
      </c>
      <c r="N339" s="4">
        <v>2021</v>
      </c>
      <c r="O339" s="4" t="s">
        <v>71</v>
      </c>
      <c r="P339" s="4" t="s">
        <v>36</v>
      </c>
      <c r="Q339" s="8" t="s">
        <v>49</v>
      </c>
      <c r="R339" s="9">
        <v>122</v>
      </c>
      <c r="S339" s="9">
        <v>100</v>
      </c>
      <c r="T339" s="9">
        <v>112</v>
      </c>
      <c r="U339" s="9">
        <v>20</v>
      </c>
      <c r="V339" s="10" t="s">
        <v>30</v>
      </c>
    </row>
    <row r="340" spans="1:22" ht="18" customHeight="1" x14ac:dyDescent="0.25">
      <c r="A340" s="7" t="s">
        <v>34</v>
      </c>
      <c r="B340" s="7">
        <v>2020</v>
      </c>
      <c r="C340" s="7" t="s">
        <v>59</v>
      </c>
      <c r="D340" s="7" t="s">
        <v>72</v>
      </c>
      <c r="E340" s="7" t="s">
        <v>22</v>
      </c>
      <c r="F340" s="7" t="s">
        <v>23</v>
      </c>
      <c r="G340" s="7" t="s">
        <v>24</v>
      </c>
      <c r="H340" s="7" t="s">
        <v>25</v>
      </c>
      <c r="I340" s="7" t="s">
        <v>26</v>
      </c>
      <c r="J340" s="7">
        <v>340</v>
      </c>
      <c r="K340" s="7">
        <v>526.24</v>
      </c>
      <c r="N340" s="4">
        <v>2021</v>
      </c>
      <c r="O340" s="4" t="s">
        <v>71</v>
      </c>
      <c r="P340" s="4" t="s">
        <v>50</v>
      </c>
      <c r="Q340" s="13" t="s">
        <v>51</v>
      </c>
      <c r="R340" s="14">
        <v>78</v>
      </c>
      <c r="S340" s="14">
        <v>4577.2</v>
      </c>
      <c r="T340" s="14">
        <v>5126.4639999999999</v>
      </c>
      <c r="U340" s="9">
        <v>915.44</v>
      </c>
      <c r="V340" s="10" t="s">
        <v>30</v>
      </c>
    </row>
    <row r="341" spans="1:22" ht="18" customHeight="1" x14ac:dyDescent="0.25">
      <c r="A341" s="7" t="s">
        <v>19</v>
      </c>
      <c r="B341" s="7">
        <v>2020</v>
      </c>
      <c r="C341" s="7" t="s">
        <v>59</v>
      </c>
      <c r="D341" s="7" t="s">
        <v>72</v>
      </c>
      <c r="E341" s="7" t="s">
        <v>22</v>
      </c>
      <c r="F341" s="7" t="s">
        <v>23</v>
      </c>
      <c r="G341" s="7" t="s">
        <v>24</v>
      </c>
      <c r="H341" s="7" t="s">
        <v>25</v>
      </c>
      <c r="I341" s="7" t="s">
        <v>26</v>
      </c>
      <c r="J341" s="7">
        <v>142</v>
      </c>
      <c r="K341" s="7">
        <v>526.24</v>
      </c>
      <c r="N341" s="4">
        <v>2021</v>
      </c>
      <c r="O341" s="4" t="s">
        <v>71</v>
      </c>
      <c r="P341" s="4" t="s">
        <v>50</v>
      </c>
      <c r="Q341" s="13" t="s">
        <v>52</v>
      </c>
      <c r="R341" s="14">
        <v>76</v>
      </c>
      <c r="S341" s="14">
        <v>4576.8999999999996</v>
      </c>
      <c r="T341" s="14">
        <v>5126.1279999999997</v>
      </c>
      <c r="U341" s="9">
        <v>915.38</v>
      </c>
      <c r="V341" s="10" t="s">
        <v>30</v>
      </c>
    </row>
    <row r="342" spans="1:22" ht="18" customHeight="1" x14ac:dyDescent="0.25">
      <c r="A342" s="7" t="s">
        <v>34</v>
      </c>
      <c r="B342" s="7">
        <v>2020</v>
      </c>
      <c r="C342" s="7" t="s">
        <v>59</v>
      </c>
      <c r="D342" s="7" t="s">
        <v>72</v>
      </c>
      <c r="E342" s="7" t="s">
        <v>22</v>
      </c>
      <c r="F342" s="7" t="s">
        <v>23</v>
      </c>
      <c r="G342" s="7" t="s">
        <v>24</v>
      </c>
      <c r="H342" s="7" t="s">
        <v>25</v>
      </c>
      <c r="I342" s="7" t="s">
        <v>26</v>
      </c>
      <c r="J342" s="7">
        <v>987</v>
      </c>
      <c r="K342" s="7">
        <v>1411.4099999999999</v>
      </c>
      <c r="N342" s="4">
        <v>2021</v>
      </c>
      <c r="O342" s="4" t="s">
        <v>71</v>
      </c>
      <c r="P342" s="4" t="s">
        <v>50</v>
      </c>
      <c r="Q342" s="13" t="s">
        <v>54</v>
      </c>
      <c r="R342" s="14">
        <v>46</v>
      </c>
      <c r="S342" s="14">
        <v>200</v>
      </c>
      <c r="T342" s="14">
        <v>224</v>
      </c>
      <c r="U342" s="9">
        <v>40</v>
      </c>
      <c r="V342" s="10" t="s">
        <v>30</v>
      </c>
    </row>
    <row r="343" spans="1:22" ht="18" customHeight="1" x14ac:dyDescent="0.25">
      <c r="A343" s="7" t="s">
        <v>34</v>
      </c>
      <c r="B343" s="7">
        <v>2020</v>
      </c>
      <c r="C343" s="7" t="s">
        <v>59</v>
      </c>
      <c r="D343" s="7" t="s">
        <v>72</v>
      </c>
      <c r="E343" s="7" t="s">
        <v>22</v>
      </c>
      <c r="F343" s="7" t="s">
        <v>23</v>
      </c>
      <c r="G343" s="7" t="s">
        <v>24</v>
      </c>
      <c r="H343" s="7" t="s">
        <v>25</v>
      </c>
      <c r="I343" s="7" t="s">
        <v>26</v>
      </c>
      <c r="J343" s="7">
        <v>1021</v>
      </c>
      <c r="K343" s="7">
        <v>1460.03</v>
      </c>
      <c r="N343" s="4">
        <v>2021</v>
      </c>
      <c r="O343" s="4" t="s">
        <v>71</v>
      </c>
      <c r="P343" s="4" t="s">
        <v>50</v>
      </c>
      <c r="Q343" s="13" t="s">
        <v>55</v>
      </c>
      <c r="R343" s="14">
        <v>34</v>
      </c>
      <c r="S343" s="14">
        <v>5492.16</v>
      </c>
      <c r="T343" s="14">
        <v>5126.0160000000005</v>
      </c>
      <c r="U343" s="9">
        <v>1098.432</v>
      </c>
      <c r="V343" s="10" t="s">
        <v>30</v>
      </c>
    </row>
    <row r="344" spans="1:22" ht="18" customHeight="1" x14ac:dyDescent="0.25">
      <c r="A344" s="7" t="s">
        <v>34</v>
      </c>
      <c r="B344" s="7">
        <v>2020</v>
      </c>
      <c r="C344" s="7" t="s">
        <v>59</v>
      </c>
      <c r="D344" s="7" t="s">
        <v>72</v>
      </c>
      <c r="E344" s="7" t="s">
        <v>22</v>
      </c>
      <c r="F344" s="7" t="s">
        <v>23</v>
      </c>
      <c r="G344" s="7" t="s">
        <v>24</v>
      </c>
      <c r="H344" s="7" t="s">
        <v>25</v>
      </c>
      <c r="I344" s="7" t="s">
        <v>26</v>
      </c>
      <c r="J344" s="7">
        <v>312</v>
      </c>
      <c r="K344" s="7">
        <v>446.15999999999997</v>
      </c>
      <c r="N344" s="4">
        <v>2021</v>
      </c>
      <c r="O344" s="4" t="s">
        <v>71</v>
      </c>
      <c r="P344" s="4" t="s">
        <v>36</v>
      </c>
      <c r="Q344" s="8" t="s">
        <v>56</v>
      </c>
      <c r="R344" s="9">
        <v>7</v>
      </c>
      <c r="S344" s="9">
        <v>240</v>
      </c>
      <c r="T344" s="9">
        <v>224</v>
      </c>
      <c r="U344" s="9">
        <v>48</v>
      </c>
      <c r="V344" s="10" t="s">
        <v>30</v>
      </c>
    </row>
    <row r="345" spans="1:22" ht="18" customHeight="1" x14ac:dyDescent="0.25">
      <c r="A345" s="7" t="s">
        <v>34</v>
      </c>
      <c r="B345" s="7">
        <v>2020</v>
      </c>
      <c r="C345" s="7" t="s">
        <v>59</v>
      </c>
      <c r="D345" s="7" t="s">
        <v>72</v>
      </c>
      <c r="E345" s="7" t="s">
        <v>22</v>
      </c>
      <c r="F345" s="7" t="s">
        <v>23</v>
      </c>
      <c r="G345" s="7" t="s">
        <v>24</v>
      </c>
      <c r="H345" s="7" t="s">
        <v>25</v>
      </c>
      <c r="I345" s="7" t="s">
        <v>26</v>
      </c>
      <c r="J345" s="7">
        <v>339</v>
      </c>
      <c r="K345" s="7">
        <v>484.77</v>
      </c>
      <c r="N345" s="4">
        <v>2021</v>
      </c>
      <c r="O345" s="4" t="s">
        <v>71</v>
      </c>
      <c r="P345" s="4" t="s">
        <v>50</v>
      </c>
      <c r="Q345" s="13" t="s">
        <v>58</v>
      </c>
      <c r="R345" s="14">
        <v>3</v>
      </c>
      <c r="S345" s="14">
        <v>5492.76</v>
      </c>
      <c r="T345" s="14">
        <v>5126.576</v>
      </c>
      <c r="U345" s="9">
        <v>1098.5520000000001</v>
      </c>
      <c r="V345" s="10" t="s">
        <v>30</v>
      </c>
    </row>
    <row r="346" spans="1:22" ht="18" customHeight="1" x14ac:dyDescent="0.25">
      <c r="A346" s="7" t="s">
        <v>19</v>
      </c>
      <c r="B346" s="7">
        <v>2020</v>
      </c>
      <c r="C346" s="7" t="s">
        <v>59</v>
      </c>
      <c r="D346" s="7" t="s">
        <v>72</v>
      </c>
      <c r="E346" s="7" t="s">
        <v>22</v>
      </c>
      <c r="F346" s="7" t="s">
        <v>23</v>
      </c>
      <c r="G346" s="7" t="s">
        <v>24</v>
      </c>
      <c r="H346" s="7" t="s">
        <v>25</v>
      </c>
      <c r="I346" s="7" t="s">
        <v>26</v>
      </c>
      <c r="J346" s="7">
        <v>141</v>
      </c>
      <c r="K346" s="7">
        <v>201.63</v>
      </c>
      <c r="N346" s="4">
        <v>2021</v>
      </c>
      <c r="O346" s="4" t="s">
        <v>71</v>
      </c>
      <c r="P346" s="4" t="s">
        <v>57</v>
      </c>
      <c r="Q346" s="13" t="s">
        <v>57</v>
      </c>
      <c r="R346" s="14">
        <v>2</v>
      </c>
      <c r="S346" s="14">
        <v>7920</v>
      </c>
      <c r="T346" s="14">
        <v>7392</v>
      </c>
      <c r="U346" s="9">
        <v>1584</v>
      </c>
      <c r="V346" s="10" t="s">
        <v>30</v>
      </c>
    </row>
    <row r="347" spans="1:22" ht="18" customHeight="1" x14ac:dyDescent="0.25">
      <c r="A347" s="7" t="s">
        <v>34</v>
      </c>
      <c r="B347" s="7">
        <v>2020</v>
      </c>
      <c r="C347" s="7" t="s">
        <v>59</v>
      </c>
      <c r="D347" s="7" t="s">
        <v>72</v>
      </c>
      <c r="E347" s="7" t="s">
        <v>22</v>
      </c>
      <c r="F347" s="7" t="s">
        <v>23</v>
      </c>
      <c r="G347" s="7" t="s">
        <v>24</v>
      </c>
      <c r="H347" s="7" t="s">
        <v>25</v>
      </c>
      <c r="I347" s="7" t="s">
        <v>26</v>
      </c>
      <c r="J347" s="7">
        <v>315</v>
      </c>
      <c r="K347" s="7">
        <v>450.45</v>
      </c>
      <c r="N347" s="4">
        <v>2021</v>
      </c>
      <c r="O347" s="4" t="s">
        <v>65</v>
      </c>
      <c r="P347" s="4" t="s">
        <v>28</v>
      </c>
      <c r="Q347" s="8" t="s">
        <v>29</v>
      </c>
      <c r="R347" s="9">
        <v>3566</v>
      </c>
      <c r="S347" s="9">
        <v>4577.3</v>
      </c>
      <c r="T347" s="9">
        <v>5126.576</v>
      </c>
      <c r="U347" s="9">
        <v>915.46</v>
      </c>
      <c r="V347" s="10" t="s">
        <v>30</v>
      </c>
    </row>
    <row r="348" spans="1:22" ht="18" customHeight="1" x14ac:dyDescent="0.25">
      <c r="A348" s="7" t="s">
        <v>34</v>
      </c>
      <c r="B348" s="7">
        <v>2020</v>
      </c>
      <c r="C348" s="7" t="s">
        <v>59</v>
      </c>
      <c r="D348" s="7" t="s">
        <v>72</v>
      </c>
      <c r="E348" s="7" t="s">
        <v>22</v>
      </c>
      <c r="F348" s="7" t="s">
        <v>23</v>
      </c>
      <c r="G348" s="7" t="s">
        <v>24</v>
      </c>
      <c r="H348" s="7" t="s">
        <v>25</v>
      </c>
      <c r="I348" s="7" t="s">
        <v>26</v>
      </c>
      <c r="J348" s="7">
        <v>355</v>
      </c>
      <c r="K348" s="7">
        <v>507.65</v>
      </c>
      <c r="N348" s="4">
        <v>2021</v>
      </c>
      <c r="O348" s="4" t="s">
        <v>65</v>
      </c>
      <c r="P348" s="4" t="s">
        <v>28</v>
      </c>
      <c r="Q348" s="8" t="s">
        <v>32</v>
      </c>
      <c r="R348" s="9">
        <v>2498</v>
      </c>
      <c r="S348" s="9">
        <v>8000</v>
      </c>
      <c r="T348" s="9">
        <v>8960</v>
      </c>
      <c r="U348" s="9">
        <v>1600</v>
      </c>
      <c r="V348" s="10" t="s">
        <v>30</v>
      </c>
    </row>
    <row r="349" spans="1:22" ht="18" customHeight="1" x14ac:dyDescent="0.25">
      <c r="A349" s="7" t="s">
        <v>19</v>
      </c>
      <c r="B349" s="7">
        <v>2020</v>
      </c>
      <c r="C349" s="7" t="s">
        <v>59</v>
      </c>
      <c r="D349" s="7" t="s">
        <v>72</v>
      </c>
      <c r="E349" s="7" t="s">
        <v>22</v>
      </c>
      <c r="F349" s="7" t="s">
        <v>23</v>
      </c>
      <c r="G349" s="7" t="s">
        <v>24</v>
      </c>
      <c r="H349" s="7" t="s">
        <v>25</v>
      </c>
      <c r="I349" s="7" t="s">
        <v>35</v>
      </c>
      <c r="J349" s="7">
        <v>349</v>
      </c>
      <c r="K349" s="7">
        <v>499.07</v>
      </c>
      <c r="N349" s="4">
        <v>2021</v>
      </c>
      <c r="O349" s="4" t="s">
        <v>65</v>
      </c>
      <c r="P349" s="4" t="s">
        <v>36</v>
      </c>
      <c r="Q349" s="8" t="s">
        <v>37</v>
      </c>
      <c r="R349" s="9">
        <v>1245</v>
      </c>
      <c r="S349" s="9">
        <v>4577.2</v>
      </c>
      <c r="T349" s="9">
        <v>5126.4639999999999</v>
      </c>
      <c r="U349" s="9">
        <v>915.44</v>
      </c>
      <c r="V349" s="10" t="s">
        <v>30</v>
      </c>
    </row>
    <row r="350" spans="1:22" ht="18" customHeight="1" x14ac:dyDescent="0.25">
      <c r="A350" s="7" t="s">
        <v>34</v>
      </c>
      <c r="B350" s="7">
        <v>2020</v>
      </c>
      <c r="C350" s="7" t="s">
        <v>59</v>
      </c>
      <c r="D350" s="7" t="s">
        <v>72</v>
      </c>
      <c r="E350" s="7" t="s">
        <v>22</v>
      </c>
      <c r="F350" s="7" t="s">
        <v>23</v>
      </c>
      <c r="G350" s="7" t="s">
        <v>24</v>
      </c>
      <c r="H350" s="7" t="s">
        <v>25</v>
      </c>
      <c r="I350" s="7" t="s">
        <v>35</v>
      </c>
      <c r="J350" s="7">
        <v>343</v>
      </c>
      <c r="K350" s="7">
        <v>490.49</v>
      </c>
      <c r="N350" s="4">
        <v>2021</v>
      </c>
      <c r="O350" s="4" t="s">
        <v>65</v>
      </c>
      <c r="P350" s="4" t="s">
        <v>39</v>
      </c>
      <c r="Q350" s="13" t="s">
        <v>40</v>
      </c>
      <c r="R350" s="14">
        <v>644</v>
      </c>
      <c r="S350" s="14">
        <v>5743.5</v>
      </c>
      <c r="T350" s="14">
        <v>6432.72</v>
      </c>
      <c r="U350" s="9">
        <v>1148.7</v>
      </c>
      <c r="V350" s="10" t="s">
        <v>30</v>
      </c>
    </row>
    <row r="351" spans="1:22" ht="18" customHeight="1" x14ac:dyDescent="0.25">
      <c r="A351" s="7" t="s">
        <v>34</v>
      </c>
      <c r="B351" s="7">
        <v>2020</v>
      </c>
      <c r="C351" s="7" t="s">
        <v>59</v>
      </c>
      <c r="D351" s="7" t="s">
        <v>72</v>
      </c>
      <c r="E351" s="7" t="s">
        <v>22</v>
      </c>
      <c r="F351" s="7" t="s">
        <v>23</v>
      </c>
      <c r="G351" s="7" t="s">
        <v>24</v>
      </c>
      <c r="H351" s="7" t="s">
        <v>25</v>
      </c>
      <c r="I351" s="7" t="s">
        <v>26</v>
      </c>
      <c r="J351" s="7">
        <v>802</v>
      </c>
      <c r="K351" s="7">
        <v>1146.8600000000001</v>
      </c>
      <c r="N351" s="4">
        <v>2021</v>
      </c>
      <c r="O351" s="4" t="s">
        <v>65</v>
      </c>
      <c r="P351" s="4" t="s">
        <v>43</v>
      </c>
      <c r="Q351" s="13" t="s">
        <v>44</v>
      </c>
      <c r="R351" s="14">
        <v>643</v>
      </c>
      <c r="S351" s="14">
        <v>7000</v>
      </c>
      <c r="T351" s="14">
        <v>7840</v>
      </c>
      <c r="U351" s="9">
        <v>1400</v>
      </c>
      <c r="V351" s="10" t="s">
        <v>30</v>
      </c>
    </row>
    <row r="352" spans="1:22" ht="18" customHeight="1" x14ac:dyDescent="0.25">
      <c r="A352" s="7" t="s">
        <v>34</v>
      </c>
      <c r="B352" s="7">
        <v>2020</v>
      </c>
      <c r="C352" s="7" t="s">
        <v>59</v>
      </c>
      <c r="D352" s="7" t="s">
        <v>72</v>
      </c>
      <c r="E352" s="7" t="s">
        <v>22</v>
      </c>
      <c r="F352" s="7" t="s">
        <v>23</v>
      </c>
      <c r="G352" s="7" t="s">
        <v>24</v>
      </c>
      <c r="H352" s="7" t="s">
        <v>25</v>
      </c>
      <c r="I352" s="7" t="s">
        <v>26</v>
      </c>
      <c r="J352" s="7">
        <v>855</v>
      </c>
      <c r="K352" s="7">
        <v>1222.6500000000001</v>
      </c>
      <c r="N352" s="4">
        <v>2021</v>
      </c>
      <c r="O352" s="4" t="s">
        <v>65</v>
      </c>
      <c r="P352" s="4" t="s">
        <v>39</v>
      </c>
      <c r="Q352" s="13" t="s">
        <v>46</v>
      </c>
      <c r="R352" s="14">
        <v>455</v>
      </c>
      <c r="S352" s="14">
        <v>4578.6000000000004</v>
      </c>
      <c r="T352" s="14">
        <v>5128.0320000000002</v>
      </c>
      <c r="U352" s="9">
        <v>915.72000000000014</v>
      </c>
      <c r="V352" s="10" t="s">
        <v>30</v>
      </c>
    </row>
    <row r="353" spans="1:22" ht="18" customHeight="1" x14ac:dyDescent="0.25">
      <c r="A353" s="7" t="s">
        <v>34</v>
      </c>
      <c r="B353" s="7">
        <v>2020</v>
      </c>
      <c r="C353" s="7" t="s">
        <v>59</v>
      </c>
      <c r="D353" s="7" t="s">
        <v>72</v>
      </c>
      <c r="E353" s="7" t="s">
        <v>22</v>
      </c>
      <c r="F353" s="7" t="s">
        <v>23</v>
      </c>
      <c r="G353" s="7" t="s">
        <v>24</v>
      </c>
      <c r="H353" s="7" t="s">
        <v>25</v>
      </c>
      <c r="I353" s="7" t="s">
        <v>35</v>
      </c>
      <c r="J353" s="7">
        <v>789</v>
      </c>
      <c r="K353" s="7">
        <v>1128.27</v>
      </c>
      <c r="N353" s="4">
        <v>2021</v>
      </c>
      <c r="O353" s="4" t="s">
        <v>65</v>
      </c>
      <c r="P353" s="4" t="s">
        <v>43</v>
      </c>
      <c r="Q353" s="13" t="s">
        <v>48</v>
      </c>
      <c r="R353" s="15">
        <v>345</v>
      </c>
      <c r="S353" s="15">
        <v>7000</v>
      </c>
      <c r="T353" s="15">
        <v>7840</v>
      </c>
      <c r="U353" s="9">
        <v>1400</v>
      </c>
      <c r="V353" s="10" t="s">
        <v>30</v>
      </c>
    </row>
    <row r="354" spans="1:22" ht="18" customHeight="1" x14ac:dyDescent="0.25">
      <c r="A354" s="7" t="s">
        <v>19</v>
      </c>
      <c r="B354" s="7">
        <v>2020</v>
      </c>
      <c r="C354" s="7" t="s">
        <v>59</v>
      </c>
      <c r="D354" s="7" t="s">
        <v>72</v>
      </c>
      <c r="E354" s="7" t="s">
        <v>22</v>
      </c>
      <c r="F354" s="7" t="s">
        <v>23</v>
      </c>
      <c r="G354" s="7" t="s">
        <v>24</v>
      </c>
      <c r="H354" s="7" t="s">
        <v>25</v>
      </c>
      <c r="I354" s="7" t="s">
        <v>35</v>
      </c>
      <c r="J354" s="7">
        <v>790</v>
      </c>
      <c r="K354" s="7">
        <v>1129.7</v>
      </c>
      <c r="N354" s="4">
        <v>2021</v>
      </c>
      <c r="O354" s="4" t="s">
        <v>65</v>
      </c>
      <c r="P354" s="4" t="s">
        <v>36</v>
      </c>
      <c r="Q354" s="8" t="s">
        <v>49</v>
      </c>
      <c r="R354" s="9">
        <v>122</v>
      </c>
      <c r="S354" s="9">
        <v>100</v>
      </c>
      <c r="T354" s="9">
        <v>112</v>
      </c>
      <c r="U354" s="9">
        <v>20</v>
      </c>
      <c r="V354" s="10" t="s">
        <v>30</v>
      </c>
    </row>
    <row r="355" spans="1:22" ht="18" customHeight="1" x14ac:dyDescent="0.25">
      <c r="A355" s="7" t="s">
        <v>34</v>
      </c>
      <c r="B355" s="7">
        <v>2020</v>
      </c>
      <c r="C355" s="7" t="s">
        <v>59</v>
      </c>
      <c r="D355" s="7" t="s">
        <v>72</v>
      </c>
      <c r="E355" s="7" t="s">
        <v>22</v>
      </c>
      <c r="F355" s="7" t="s">
        <v>23</v>
      </c>
      <c r="G355" s="7" t="s">
        <v>24</v>
      </c>
      <c r="H355" s="7" t="s">
        <v>25</v>
      </c>
      <c r="I355" s="7" t="s">
        <v>35</v>
      </c>
      <c r="J355" s="7">
        <v>791</v>
      </c>
      <c r="K355" s="7">
        <v>1131.1300000000001</v>
      </c>
      <c r="N355" s="4">
        <v>2021</v>
      </c>
      <c r="O355" s="4" t="s">
        <v>65</v>
      </c>
      <c r="P355" s="4" t="s">
        <v>50</v>
      </c>
      <c r="Q355" s="13" t="s">
        <v>51</v>
      </c>
      <c r="R355" s="14">
        <v>78</v>
      </c>
      <c r="S355" s="14">
        <v>4577.2</v>
      </c>
      <c r="T355" s="14">
        <v>5126.4639999999999</v>
      </c>
      <c r="U355" s="9">
        <v>915.44</v>
      </c>
      <c r="V355" s="10" t="s">
        <v>30</v>
      </c>
    </row>
    <row r="356" spans="1:22" ht="18" customHeight="1" x14ac:dyDescent="0.25">
      <c r="A356" s="7" t="s">
        <v>53</v>
      </c>
      <c r="B356" s="7">
        <v>2020</v>
      </c>
      <c r="C356" s="7" t="s">
        <v>59</v>
      </c>
      <c r="D356" s="7" t="s">
        <v>72</v>
      </c>
      <c r="E356" s="7" t="s">
        <v>22</v>
      </c>
      <c r="F356" s="7" t="s">
        <v>23</v>
      </c>
      <c r="G356" s="7" t="s">
        <v>24</v>
      </c>
      <c r="H356" s="7" t="s">
        <v>25</v>
      </c>
      <c r="I356" s="7" t="s">
        <v>26</v>
      </c>
      <c r="J356" s="7">
        <v>341</v>
      </c>
      <c r="K356" s="7">
        <v>487.63</v>
      </c>
      <c r="N356" s="4">
        <v>2021</v>
      </c>
      <c r="O356" s="4" t="s">
        <v>65</v>
      </c>
      <c r="P356" s="4" t="s">
        <v>50</v>
      </c>
      <c r="Q356" s="13" t="s">
        <v>52</v>
      </c>
      <c r="R356" s="14">
        <v>76</v>
      </c>
      <c r="S356" s="14">
        <v>4576.8999999999996</v>
      </c>
      <c r="T356" s="14">
        <v>5126.1279999999997</v>
      </c>
      <c r="U356" s="9">
        <v>915.38</v>
      </c>
      <c r="V356" s="10" t="s">
        <v>30</v>
      </c>
    </row>
    <row r="357" spans="1:22" ht="18" customHeight="1" x14ac:dyDescent="0.25">
      <c r="A357" s="7" t="s">
        <v>34</v>
      </c>
      <c r="B357" s="7">
        <v>2020</v>
      </c>
      <c r="C357" s="7" t="s">
        <v>59</v>
      </c>
      <c r="D357" s="7" t="s">
        <v>72</v>
      </c>
      <c r="E357" s="7" t="s">
        <v>22</v>
      </c>
      <c r="F357" s="7" t="s">
        <v>23</v>
      </c>
      <c r="G357" s="7" t="s">
        <v>24</v>
      </c>
      <c r="H357" s="7" t="s">
        <v>25</v>
      </c>
      <c r="I357" s="7" t="s">
        <v>26</v>
      </c>
      <c r="J357" s="7">
        <v>143</v>
      </c>
      <c r="K357" s="7">
        <v>204.49</v>
      </c>
      <c r="N357" s="4">
        <v>2021</v>
      </c>
      <c r="O357" s="4" t="s">
        <v>65</v>
      </c>
      <c r="P357" s="4" t="s">
        <v>50</v>
      </c>
      <c r="Q357" s="13" t="s">
        <v>54</v>
      </c>
      <c r="R357" s="14">
        <v>46</v>
      </c>
      <c r="S357" s="14">
        <v>200</v>
      </c>
      <c r="T357" s="14">
        <v>224</v>
      </c>
      <c r="U357" s="9">
        <v>40</v>
      </c>
      <c r="V357" s="10" t="s">
        <v>30</v>
      </c>
    </row>
    <row r="358" spans="1:22" ht="18" customHeight="1" x14ac:dyDescent="0.25">
      <c r="A358" s="7" t="s">
        <v>19</v>
      </c>
      <c r="B358" s="7">
        <v>2020</v>
      </c>
      <c r="C358" s="7" t="s">
        <v>59</v>
      </c>
      <c r="D358" s="7" t="s">
        <v>72</v>
      </c>
      <c r="E358" s="7" t="s">
        <v>22</v>
      </c>
      <c r="F358" s="7" t="s">
        <v>23</v>
      </c>
      <c r="G358" s="7" t="s">
        <v>24</v>
      </c>
      <c r="H358" s="7" t="s">
        <v>25</v>
      </c>
      <c r="I358" s="7" t="s">
        <v>26</v>
      </c>
      <c r="J358" s="7">
        <v>311</v>
      </c>
      <c r="K358" s="7">
        <v>444.73</v>
      </c>
      <c r="N358" s="4">
        <v>2021</v>
      </c>
      <c r="O358" s="4" t="s">
        <v>65</v>
      </c>
      <c r="P358" s="4" t="s">
        <v>50</v>
      </c>
      <c r="Q358" s="13" t="s">
        <v>55</v>
      </c>
      <c r="R358" s="14">
        <v>34</v>
      </c>
      <c r="S358" s="14">
        <v>4576.8</v>
      </c>
      <c r="T358" s="14">
        <v>5126.0160000000005</v>
      </c>
      <c r="U358" s="9">
        <v>915.36000000000013</v>
      </c>
      <c r="V358" s="10" t="s">
        <v>30</v>
      </c>
    </row>
    <row r="359" spans="1:22" ht="18" customHeight="1" x14ac:dyDescent="0.25">
      <c r="A359" s="7" t="s">
        <v>19</v>
      </c>
      <c r="B359" s="7">
        <v>2020</v>
      </c>
      <c r="C359" s="7" t="s">
        <v>27</v>
      </c>
      <c r="D359" s="7" t="s">
        <v>72</v>
      </c>
      <c r="E359" s="7" t="s">
        <v>22</v>
      </c>
      <c r="F359" s="7" t="s">
        <v>23</v>
      </c>
      <c r="G359" s="7" t="s">
        <v>24</v>
      </c>
      <c r="H359" s="7" t="s">
        <v>25</v>
      </c>
      <c r="I359" s="7" t="s">
        <v>26</v>
      </c>
      <c r="J359" s="7">
        <v>356</v>
      </c>
      <c r="K359" s="7">
        <v>509.08</v>
      </c>
      <c r="N359" s="4">
        <v>2021</v>
      </c>
      <c r="O359" s="4" t="s">
        <v>65</v>
      </c>
      <c r="P359" s="4" t="s">
        <v>36</v>
      </c>
      <c r="Q359" s="8" t="s">
        <v>56</v>
      </c>
      <c r="R359" s="9">
        <v>7</v>
      </c>
      <c r="S359" s="9">
        <v>200</v>
      </c>
      <c r="T359" s="9">
        <v>224</v>
      </c>
      <c r="U359" s="9">
        <v>40</v>
      </c>
      <c r="V359" s="10" t="s">
        <v>30</v>
      </c>
    </row>
    <row r="360" spans="1:22" ht="18" customHeight="1" x14ac:dyDescent="0.25">
      <c r="A360" s="7" t="s">
        <v>42</v>
      </c>
      <c r="B360" s="7">
        <v>2020</v>
      </c>
      <c r="C360" s="7" t="s">
        <v>27</v>
      </c>
      <c r="D360" s="7" t="s">
        <v>72</v>
      </c>
      <c r="E360" s="7" t="s">
        <v>22</v>
      </c>
      <c r="F360" s="7" t="s">
        <v>23</v>
      </c>
      <c r="G360" s="7" t="s">
        <v>24</v>
      </c>
      <c r="H360" s="7" t="s">
        <v>25</v>
      </c>
      <c r="I360" s="7" t="s">
        <v>26</v>
      </c>
      <c r="J360" s="7">
        <v>344</v>
      </c>
      <c r="K360" s="7">
        <v>491.91999999999996</v>
      </c>
      <c r="N360" s="4">
        <v>2021</v>
      </c>
      <c r="O360" s="4" t="s">
        <v>65</v>
      </c>
      <c r="P360" s="4" t="s">
        <v>50</v>
      </c>
      <c r="Q360" s="13" t="s">
        <v>58</v>
      </c>
      <c r="R360" s="14">
        <v>3</v>
      </c>
      <c r="S360" s="14">
        <v>4577.3</v>
      </c>
      <c r="T360" s="14">
        <v>5126.576</v>
      </c>
      <c r="U360" s="9">
        <v>915.46</v>
      </c>
      <c r="V360" s="10" t="s">
        <v>30</v>
      </c>
    </row>
    <row r="361" spans="1:22" ht="18" customHeight="1" x14ac:dyDescent="0.25">
      <c r="A361" s="7" t="s">
        <v>34</v>
      </c>
      <c r="B361" s="7">
        <v>2020</v>
      </c>
      <c r="C361" s="7" t="s">
        <v>27</v>
      </c>
      <c r="D361" s="7" t="s">
        <v>72</v>
      </c>
      <c r="E361" s="7" t="s">
        <v>22</v>
      </c>
      <c r="F361" s="7" t="s">
        <v>23</v>
      </c>
      <c r="G361" s="7" t="s">
        <v>24</v>
      </c>
      <c r="H361" s="7" t="s">
        <v>25</v>
      </c>
      <c r="I361" s="7" t="s">
        <v>26</v>
      </c>
      <c r="J361" s="7">
        <v>146</v>
      </c>
      <c r="K361" s="7">
        <v>208.78</v>
      </c>
      <c r="N361" s="4">
        <v>2021</v>
      </c>
      <c r="O361" s="4" t="s">
        <v>65</v>
      </c>
      <c r="P361" s="4" t="s">
        <v>57</v>
      </c>
      <c r="Q361" s="13" t="s">
        <v>57</v>
      </c>
      <c r="R361" s="14">
        <v>2</v>
      </c>
      <c r="S361" s="14">
        <v>6600</v>
      </c>
      <c r="T361" s="14">
        <v>7392</v>
      </c>
      <c r="U361" s="9">
        <v>1320</v>
      </c>
      <c r="V361" s="10" t="s">
        <v>30</v>
      </c>
    </row>
    <row r="362" spans="1:22" ht="18" customHeight="1" x14ac:dyDescent="0.25">
      <c r="A362" s="7" t="s">
        <v>34</v>
      </c>
      <c r="B362" s="7">
        <v>2020</v>
      </c>
      <c r="C362" s="7" t="s">
        <v>27</v>
      </c>
      <c r="D362" s="7" t="s">
        <v>72</v>
      </c>
      <c r="E362" s="7" t="s">
        <v>22</v>
      </c>
      <c r="F362" s="7" t="s">
        <v>23</v>
      </c>
      <c r="G362" s="7" t="s">
        <v>24</v>
      </c>
      <c r="H362" s="7" t="s">
        <v>25</v>
      </c>
      <c r="I362" s="7" t="s">
        <v>26</v>
      </c>
      <c r="J362" s="7">
        <v>320</v>
      </c>
      <c r="K362" s="7">
        <v>457.6</v>
      </c>
      <c r="N362" s="4">
        <v>2022</v>
      </c>
      <c r="O362" s="4" t="s">
        <v>27</v>
      </c>
      <c r="P362" s="4" t="s">
        <v>28</v>
      </c>
      <c r="Q362" s="8" t="s">
        <v>29</v>
      </c>
      <c r="R362" s="9">
        <v>3566</v>
      </c>
      <c r="S362" s="9">
        <v>5492.76</v>
      </c>
      <c r="T362" s="9">
        <v>5126.576</v>
      </c>
      <c r="U362" s="9">
        <v>1098.5520000000001</v>
      </c>
      <c r="V362" s="10" t="s">
        <v>30</v>
      </c>
    </row>
    <row r="363" spans="1:22" ht="18" customHeight="1" x14ac:dyDescent="0.25">
      <c r="A363" s="7" t="s">
        <v>34</v>
      </c>
      <c r="B363" s="7">
        <v>2020</v>
      </c>
      <c r="C363" s="7" t="s">
        <v>27</v>
      </c>
      <c r="D363" s="7" t="s">
        <v>72</v>
      </c>
      <c r="E363" s="7" t="s">
        <v>22</v>
      </c>
      <c r="F363" s="7" t="s">
        <v>23</v>
      </c>
      <c r="G363" s="7" t="s">
        <v>24</v>
      </c>
      <c r="H363" s="7" t="s">
        <v>25</v>
      </c>
      <c r="I363" s="7" t="s">
        <v>26</v>
      </c>
      <c r="J363" s="7">
        <v>358</v>
      </c>
      <c r="K363" s="7">
        <v>511.94</v>
      </c>
      <c r="N363" s="4">
        <v>2022</v>
      </c>
      <c r="O363" s="4" t="s">
        <v>27</v>
      </c>
      <c r="P363" s="4" t="s">
        <v>28</v>
      </c>
      <c r="Q363" s="8" t="s">
        <v>32</v>
      </c>
      <c r="R363" s="9">
        <v>2498</v>
      </c>
      <c r="S363" s="9">
        <v>9600</v>
      </c>
      <c r="T363" s="9">
        <v>8960</v>
      </c>
      <c r="U363" s="9">
        <v>1920</v>
      </c>
      <c r="V363" s="10" t="s">
        <v>30</v>
      </c>
    </row>
    <row r="364" spans="1:22" ht="18" customHeight="1" x14ac:dyDescent="0.25">
      <c r="A364" s="7" t="s">
        <v>19</v>
      </c>
      <c r="B364" s="7">
        <v>2020</v>
      </c>
      <c r="C364" s="7" t="s">
        <v>27</v>
      </c>
      <c r="D364" s="7" t="s">
        <v>72</v>
      </c>
      <c r="E364" s="7" t="s">
        <v>22</v>
      </c>
      <c r="F364" s="7" t="s">
        <v>23</v>
      </c>
      <c r="G364" s="7" t="s">
        <v>24</v>
      </c>
      <c r="H364" s="7" t="s">
        <v>25</v>
      </c>
      <c r="I364" s="7" t="s">
        <v>26</v>
      </c>
      <c r="J364" s="7">
        <v>262</v>
      </c>
      <c r="K364" s="7">
        <v>374.65999999999997</v>
      </c>
      <c r="N364" s="4">
        <v>2022</v>
      </c>
      <c r="O364" s="4" t="s">
        <v>27</v>
      </c>
      <c r="P364" s="4" t="s">
        <v>36</v>
      </c>
      <c r="Q364" s="8" t="s">
        <v>37</v>
      </c>
      <c r="R364" s="9">
        <v>1245</v>
      </c>
      <c r="S364" s="9">
        <v>5492.6399999999994</v>
      </c>
      <c r="T364" s="9">
        <v>5126.4639999999999</v>
      </c>
      <c r="U364" s="9">
        <v>1098.528</v>
      </c>
      <c r="V364" s="10" t="s">
        <v>63</v>
      </c>
    </row>
    <row r="365" spans="1:22" ht="18" customHeight="1" x14ac:dyDescent="0.25">
      <c r="A365" s="7" t="s">
        <v>42</v>
      </c>
      <c r="B365" s="7">
        <v>2020</v>
      </c>
      <c r="C365" s="7" t="s">
        <v>27</v>
      </c>
      <c r="D365" s="7" t="s">
        <v>72</v>
      </c>
      <c r="E365" s="7" t="s">
        <v>22</v>
      </c>
      <c r="F365" s="7" t="s">
        <v>23</v>
      </c>
      <c r="G365" s="7" t="s">
        <v>24</v>
      </c>
      <c r="H365" s="7" t="s">
        <v>25</v>
      </c>
      <c r="I365" s="7" t="s">
        <v>26</v>
      </c>
      <c r="J365" s="7">
        <v>346</v>
      </c>
      <c r="K365" s="7">
        <v>526.24</v>
      </c>
      <c r="N365" s="4">
        <v>2022</v>
      </c>
      <c r="O365" s="4" t="s">
        <v>27</v>
      </c>
      <c r="P365" s="4" t="s">
        <v>39</v>
      </c>
      <c r="Q365" s="13" t="s">
        <v>40</v>
      </c>
      <c r="R365" s="14">
        <v>644</v>
      </c>
      <c r="S365" s="14">
        <v>6892.2</v>
      </c>
      <c r="T365" s="14">
        <v>6432.72</v>
      </c>
      <c r="U365" s="9">
        <v>1378.44</v>
      </c>
      <c r="V365" s="10" t="s">
        <v>63</v>
      </c>
    </row>
    <row r="366" spans="1:22" ht="18" customHeight="1" x14ac:dyDescent="0.25">
      <c r="A366" s="7" t="s">
        <v>42</v>
      </c>
      <c r="B366" s="7">
        <v>2020</v>
      </c>
      <c r="C366" s="7" t="s">
        <v>27</v>
      </c>
      <c r="D366" s="7" t="s">
        <v>72</v>
      </c>
      <c r="E366" s="7" t="s">
        <v>22</v>
      </c>
      <c r="F366" s="7" t="s">
        <v>23</v>
      </c>
      <c r="G366" s="7" t="s">
        <v>24</v>
      </c>
      <c r="H366" s="7" t="s">
        <v>25</v>
      </c>
      <c r="I366" s="7" t="s">
        <v>26</v>
      </c>
      <c r="J366" s="7">
        <v>148</v>
      </c>
      <c r="K366" s="7">
        <v>526.24</v>
      </c>
      <c r="N366" s="4">
        <v>2022</v>
      </c>
      <c r="O366" s="4" t="s">
        <v>27</v>
      </c>
      <c r="P366" s="4" t="s">
        <v>43</v>
      </c>
      <c r="Q366" s="13" t="s">
        <v>44</v>
      </c>
      <c r="R366" s="14">
        <v>643</v>
      </c>
      <c r="S366" s="14">
        <v>8400</v>
      </c>
      <c r="T366" s="14">
        <v>7840</v>
      </c>
      <c r="U366" s="9">
        <v>1680</v>
      </c>
      <c r="V366" s="10" t="s">
        <v>63</v>
      </c>
    </row>
    <row r="367" spans="1:22" ht="18" customHeight="1" x14ac:dyDescent="0.25">
      <c r="A367" s="7" t="s">
        <v>34</v>
      </c>
      <c r="B367" s="7">
        <v>2020</v>
      </c>
      <c r="C367" s="7" t="s">
        <v>27</v>
      </c>
      <c r="D367" s="7" t="s">
        <v>72</v>
      </c>
      <c r="E367" s="7" t="s">
        <v>22</v>
      </c>
      <c r="F367" s="7" t="s">
        <v>23</v>
      </c>
      <c r="G367" s="7" t="s">
        <v>24</v>
      </c>
      <c r="H367" s="7" t="s">
        <v>25</v>
      </c>
      <c r="I367" s="7" t="s">
        <v>26</v>
      </c>
      <c r="J367" s="7">
        <v>316</v>
      </c>
      <c r="K367" s="7">
        <v>526.24</v>
      </c>
      <c r="N367" s="4">
        <v>2022</v>
      </c>
      <c r="O367" s="4" t="s">
        <v>27</v>
      </c>
      <c r="P367" s="4" t="s">
        <v>39</v>
      </c>
      <c r="Q367" s="13" t="s">
        <v>46</v>
      </c>
      <c r="R367" s="14">
        <v>455</v>
      </c>
      <c r="S367" s="14">
        <v>5494.3200000000006</v>
      </c>
      <c r="T367" s="14">
        <v>5128.0320000000002</v>
      </c>
      <c r="U367" s="9">
        <v>1098.8640000000003</v>
      </c>
      <c r="V367" s="10" t="s">
        <v>63</v>
      </c>
    </row>
    <row r="368" spans="1:22" ht="18" customHeight="1" x14ac:dyDescent="0.25">
      <c r="A368" s="7" t="s">
        <v>42</v>
      </c>
      <c r="B368" s="7">
        <v>2020</v>
      </c>
      <c r="C368" s="7" t="s">
        <v>27</v>
      </c>
      <c r="D368" s="7" t="s">
        <v>72</v>
      </c>
      <c r="E368" s="7" t="s">
        <v>22</v>
      </c>
      <c r="F368" s="7" t="s">
        <v>23</v>
      </c>
      <c r="G368" s="7" t="s">
        <v>24</v>
      </c>
      <c r="H368" s="7" t="s">
        <v>25</v>
      </c>
      <c r="I368" s="7" t="s">
        <v>26</v>
      </c>
      <c r="J368" s="7">
        <v>959</v>
      </c>
      <c r="K368" s="7">
        <v>1371.37</v>
      </c>
      <c r="N368" s="4">
        <v>2022</v>
      </c>
      <c r="O368" s="4" t="s">
        <v>27</v>
      </c>
      <c r="P368" s="4" t="s">
        <v>43</v>
      </c>
      <c r="Q368" s="13" t="s">
        <v>48</v>
      </c>
      <c r="R368" s="15">
        <v>345</v>
      </c>
      <c r="S368" s="15">
        <v>8400</v>
      </c>
      <c r="T368" s="15">
        <v>7840</v>
      </c>
      <c r="U368" s="9">
        <v>1680</v>
      </c>
      <c r="V368" s="10" t="s">
        <v>63</v>
      </c>
    </row>
    <row r="369" spans="1:22" ht="18" customHeight="1" x14ac:dyDescent="0.25">
      <c r="A369" s="7" t="s">
        <v>34</v>
      </c>
      <c r="B369" s="7">
        <v>2020</v>
      </c>
      <c r="C369" s="7" t="s">
        <v>27</v>
      </c>
      <c r="D369" s="7" t="s">
        <v>72</v>
      </c>
      <c r="E369" s="7" t="s">
        <v>22</v>
      </c>
      <c r="F369" s="7" t="s">
        <v>23</v>
      </c>
      <c r="G369" s="7" t="s">
        <v>24</v>
      </c>
      <c r="H369" s="7" t="s">
        <v>25</v>
      </c>
      <c r="I369" s="7" t="s">
        <v>26</v>
      </c>
      <c r="J369" s="7">
        <v>1020</v>
      </c>
      <c r="K369" s="7">
        <v>1458.6</v>
      </c>
      <c r="N369" s="4">
        <v>2022</v>
      </c>
      <c r="O369" s="4" t="s">
        <v>27</v>
      </c>
      <c r="P369" s="4" t="s">
        <v>36</v>
      </c>
      <c r="Q369" s="8" t="s">
        <v>49</v>
      </c>
      <c r="R369" s="9">
        <v>122</v>
      </c>
      <c r="S369" s="9">
        <v>120</v>
      </c>
      <c r="T369" s="9">
        <v>112</v>
      </c>
      <c r="U369" s="9">
        <v>24</v>
      </c>
      <c r="V369" s="10" t="s">
        <v>63</v>
      </c>
    </row>
    <row r="370" spans="1:22" ht="18" customHeight="1" x14ac:dyDescent="0.25">
      <c r="A370" s="7" t="s">
        <v>34</v>
      </c>
      <c r="B370" s="7">
        <v>2020</v>
      </c>
      <c r="C370" s="7" t="s">
        <v>27</v>
      </c>
      <c r="D370" s="7" t="s">
        <v>72</v>
      </c>
      <c r="E370" s="7" t="s">
        <v>22</v>
      </c>
      <c r="F370" s="7" t="s">
        <v>23</v>
      </c>
      <c r="G370" s="7" t="s">
        <v>24</v>
      </c>
      <c r="H370" s="7" t="s">
        <v>25</v>
      </c>
      <c r="I370" s="7" t="s">
        <v>26</v>
      </c>
      <c r="J370" s="7">
        <v>318</v>
      </c>
      <c r="K370" s="7">
        <v>454.74</v>
      </c>
      <c r="N370" s="4">
        <v>2022</v>
      </c>
      <c r="O370" s="4" t="s">
        <v>27</v>
      </c>
      <c r="P370" s="4" t="s">
        <v>50</v>
      </c>
      <c r="Q370" s="13" t="s">
        <v>51</v>
      </c>
      <c r="R370" s="14">
        <v>78</v>
      </c>
      <c r="S370" s="14">
        <v>2288.6</v>
      </c>
      <c r="T370" s="14">
        <v>5126.4639999999999</v>
      </c>
      <c r="U370" s="9">
        <v>457.72</v>
      </c>
      <c r="V370" s="10" t="s">
        <v>63</v>
      </c>
    </row>
    <row r="371" spans="1:22" ht="18" customHeight="1" x14ac:dyDescent="0.25">
      <c r="A371" s="7" t="s">
        <v>34</v>
      </c>
      <c r="B371" s="7">
        <v>2020</v>
      </c>
      <c r="C371" s="7" t="s">
        <v>27</v>
      </c>
      <c r="D371" s="7" t="s">
        <v>72</v>
      </c>
      <c r="E371" s="7" t="s">
        <v>22</v>
      </c>
      <c r="F371" s="7" t="s">
        <v>23</v>
      </c>
      <c r="G371" s="7" t="s">
        <v>24</v>
      </c>
      <c r="H371" s="7" t="s">
        <v>25</v>
      </c>
      <c r="I371" s="7" t="s">
        <v>26</v>
      </c>
      <c r="J371" s="7">
        <v>345</v>
      </c>
      <c r="K371" s="7">
        <v>493.35</v>
      </c>
      <c r="N371" s="4">
        <v>2022</v>
      </c>
      <c r="O371" s="4" t="s">
        <v>27</v>
      </c>
      <c r="P371" s="4" t="s">
        <v>50</v>
      </c>
      <c r="Q371" s="13" t="s">
        <v>52</v>
      </c>
      <c r="R371" s="14">
        <v>76</v>
      </c>
      <c r="S371" s="14">
        <v>2288.4499999999998</v>
      </c>
      <c r="T371" s="14">
        <v>5126.1279999999997</v>
      </c>
      <c r="U371" s="9">
        <v>457.69</v>
      </c>
      <c r="V371" s="10" t="s">
        <v>63</v>
      </c>
    </row>
    <row r="372" spans="1:22" ht="18" customHeight="1" x14ac:dyDescent="0.25">
      <c r="A372" s="7" t="s">
        <v>42</v>
      </c>
      <c r="B372" s="7">
        <v>2020</v>
      </c>
      <c r="C372" s="7" t="s">
        <v>27</v>
      </c>
      <c r="D372" s="7" t="s">
        <v>72</v>
      </c>
      <c r="E372" s="7" t="s">
        <v>22</v>
      </c>
      <c r="F372" s="7" t="s">
        <v>23</v>
      </c>
      <c r="G372" s="7" t="s">
        <v>24</v>
      </c>
      <c r="H372" s="7" t="s">
        <v>25</v>
      </c>
      <c r="I372" s="7" t="s">
        <v>26</v>
      </c>
      <c r="J372" s="7">
        <v>147</v>
      </c>
      <c r="K372" s="7">
        <v>210.21</v>
      </c>
      <c r="N372" s="4">
        <v>2022</v>
      </c>
      <c r="O372" s="4" t="s">
        <v>27</v>
      </c>
      <c r="P372" s="4" t="s">
        <v>50</v>
      </c>
      <c r="Q372" s="13" t="s">
        <v>54</v>
      </c>
      <c r="R372" s="14">
        <v>46</v>
      </c>
      <c r="S372" s="14">
        <v>100</v>
      </c>
      <c r="T372" s="14">
        <v>224</v>
      </c>
      <c r="U372" s="9">
        <v>20</v>
      </c>
      <c r="V372" s="10" t="s">
        <v>63</v>
      </c>
    </row>
    <row r="373" spans="1:22" ht="18" customHeight="1" x14ac:dyDescent="0.25">
      <c r="A373" s="7" t="s">
        <v>42</v>
      </c>
      <c r="B373" s="7">
        <v>2020</v>
      </c>
      <c r="C373" s="7" t="s">
        <v>27</v>
      </c>
      <c r="D373" s="7" t="s">
        <v>72</v>
      </c>
      <c r="E373" s="7" t="s">
        <v>22</v>
      </c>
      <c r="F373" s="7" t="s">
        <v>23</v>
      </c>
      <c r="G373" s="7" t="s">
        <v>24</v>
      </c>
      <c r="H373" s="7" t="s">
        <v>25</v>
      </c>
      <c r="I373" s="7" t="s">
        <v>26</v>
      </c>
      <c r="J373" s="7">
        <v>265</v>
      </c>
      <c r="K373" s="7">
        <v>378.95</v>
      </c>
      <c r="N373" s="4">
        <v>2022</v>
      </c>
      <c r="O373" s="4" t="s">
        <v>27</v>
      </c>
      <c r="P373" s="4" t="s">
        <v>50</v>
      </c>
      <c r="Q373" s="13" t="s">
        <v>55</v>
      </c>
      <c r="R373" s="14">
        <v>34</v>
      </c>
      <c r="S373" s="14">
        <v>2288.4</v>
      </c>
      <c r="T373" s="14">
        <v>5126.0160000000005</v>
      </c>
      <c r="U373" s="9">
        <v>457.68000000000006</v>
      </c>
      <c r="V373" s="10" t="s">
        <v>63</v>
      </c>
    </row>
    <row r="374" spans="1:22" ht="18" customHeight="1" x14ac:dyDescent="0.25">
      <c r="A374" s="7" t="s">
        <v>34</v>
      </c>
      <c r="B374" s="7">
        <v>2020</v>
      </c>
      <c r="C374" s="7" t="s">
        <v>27</v>
      </c>
      <c r="D374" s="7" t="s">
        <v>72</v>
      </c>
      <c r="E374" s="7" t="s">
        <v>22</v>
      </c>
      <c r="F374" s="7" t="s">
        <v>23</v>
      </c>
      <c r="G374" s="7" t="s">
        <v>24</v>
      </c>
      <c r="H374" s="7" t="s">
        <v>25</v>
      </c>
      <c r="I374" s="7" t="s">
        <v>26</v>
      </c>
      <c r="J374" s="7">
        <v>768</v>
      </c>
      <c r="K374" s="7">
        <v>1098.24</v>
      </c>
      <c r="N374" s="4">
        <v>2022</v>
      </c>
      <c r="O374" s="4" t="s">
        <v>27</v>
      </c>
      <c r="P374" s="4" t="s">
        <v>36</v>
      </c>
      <c r="Q374" s="8" t="s">
        <v>56</v>
      </c>
      <c r="R374" s="9">
        <v>7</v>
      </c>
      <c r="S374" s="9">
        <v>200</v>
      </c>
      <c r="T374" s="9">
        <v>224</v>
      </c>
      <c r="U374" s="9">
        <v>40</v>
      </c>
      <c r="V374" s="10" t="s">
        <v>63</v>
      </c>
    </row>
    <row r="375" spans="1:22" ht="18" customHeight="1" x14ac:dyDescent="0.25">
      <c r="A375" s="7" t="s">
        <v>19</v>
      </c>
      <c r="B375" s="7">
        <v>2020</v>
      </c>
      <c r="C375" s="7" t="s">
        <v>27</v>
      </c>
      <c r="D375" s="7" t="s">
        <v>72</v>
      </c>
      <c r="E375" s="7" t="s">
        <v>22</v>
      </c>
      <c r="F375" s="7" t="s">
        <v>23</v>
      </c>
      <c r="G375" s="7" t="s">
        <v>24</v>
      </c>
      <c r="H375" s="7" t="s">
        <v>25</v>
      </c>
      <c r="I375" s="7" t="s">
        <v>26</v>
      </c>
      <c r="J375" s="7">
        <v>801</v>
      </c>
      <c r="K375" s="7">
        <v>1145.43</v>
      </c>
      <c r="N375" s="4">
        <v>2022</v>
      </c>
      <c r="O375" s="4" t="s">
        <v>27</v>
      </c>
      <c r="P375" s="4" t="s">
        <v>57</v>
      </c>
      <c r="Q375" s="13" t="s">
        <v>57</v>
      </c>
      <c r="R375" s="14">
        <v>3</v>
      </c>
      <c r="S375" s="14">
        <v>4577.3</v>
      </c>
      <c r="T375" s="14">
        <v>7392</v>
      </c>
      <c r="U375" s="9">
        <v>915.46</v>
      </c>
      <c r="V375" s="10" t="s">
        <v>63</v>
      </c>
    </row>
    <row r="376" spans="1:22" ht="18" customHeight="1" x14ac:dyDescent="0.25">
      <c r="A376" s="7" t="s">
        <v>42</v>
      </c>
      <c r="B376" s="7">
        <v>2020</v>
      </c>
      <c r="C376" s="7" t="s">
        <v>27</v>
      </c>
      <c r="D376" s="7" t="s">
        <v>72</v>
      </c>
      <c r="E376" s="7" t="s">
        <v>22</v>
      </c>
      <c r="F376" s="7" t="s">
        <v>23</v>
      </c>
      <c r="G376" s="7" t="s">
        <v>24</v>
      </c>
      <c r="H376" s="7" t="s">
        <v>25</v>
      </c>
      <c r="I376" s="7" t="s">
        <v>26</v>
      </c>
      <c r="J376" s="7">
        <v>854</v>
      </c>
      <c r="K376" s="7">
        <v>1221.22</v>
      </c>
      <c r="N376" s="4">
        <v>2022</v>
      </c>
      <c r="O376" s="4" t="s">
        <v>27</v>
      </c>
      <c r="P376" s="4" t="s">
        <v>50</v>
      </c>
      <c r="Q376" s="13" t="s">
        <v>58</v>
      </c>
      <c r="R376" s="14">
        <v>3</v>
      </c>
      <c r="S376" s="14">
        <v>3300</v>
      </c>
      <c r="T376" s="14">
        <v>5126.576</v>
      </c>
      <c r="U376" s="9">
        <v>660</v>
      </c>
      <c r="V376" s="10" t="s">
        <v>63</v>
      </c>
    </row>
    <row r="377" spans="1:22" ht="18" customHeight="1" x14ac:dyDescent="0.25">
      <c r="A377" s="7" t="s">
        <v>19</v>
      </c>
      <c r="B377" s="7">
        <v>2020</v>
      </c>
      <c r="C377" s="7" t="s">
        <v>27</v>
      </c>
      <c r="D377" s="7" t="s">
        <v>72</v>
      </c>
      <c r="E377" s="7" t="s">
        <v>22</v>
      </c>
      <c r="F377" s="7" t="s">
        <v>23</v>
      </c>
      <c r="G377" s="7" t="s">
        <v>24</v>
      </c>
      <c r="H377" s="7" t="s">
        <v>25</v>
      </c>
      <c r="I377" s="7" t="s">
        <v>26</v>
      </c>
      <c r="J377" s="7">
        <v>788</v>
      </c>
      <c r="K377" s="7">
        <v>1126.8399999999999</v>
      </c>
      <c r="N377" s="4">
        <v>2022</v>
      </c>
      <c r="O377" s="4" t="s">
        <v>59</v>
      </c>
      <c r="P377" s="4" t="s">
        <v>28</v>
      </c>
      <c r="Q377" s="8" t="s">
        <v>29</v>
      </c>
      <c r="R377" s="9">
        <v>3566</v>
      </c>
      <c r="S377" s="9">
        <v>4577.3</v>
      </c>
      <c r="T377" s="9">
        <v>5126.576</v>
      </c>
      <c r="U377" s="9">
        <v>915.46</v>
      </c>
      <c r="V377" s="10" t="s">
        <v>63</v>
      </c>
    </row>
    <row r="378" spans="1:22" ht="18" customHeight="1" x14ac:dyDescent="0.25">
      <c r="A378" s="7" t="s">
        <v>34</v>
      </c>
      <c r="B378" s="7">
        <v>2020</v>
      </c>
      <c r="C378" s="7" t="s">
        <v>27</v>
      </c>
      <c r="D378" s="7" t="s">
        <v>72</v>
      </c>
      <c r="E378" s="7" t="s">
        <v>22</v>
      </c>
      <c r="F378" s="7" t="s">
        <v>23</v>
      </c>
      <c r="G378" s="7" t="s">
        <v>24</v>
      </c>
      <c r="H378" s="7" t="s">
        <v>25</v>
      </c>
      <c r="I378" s="7" t="s">
        <v>26</v>
      </c>
      <c r="J378" s="7">
        <v>263</v>
      </c>
      <c r="K378" s="7">
        <v>376.09000000000003</v>
      </c>
      <c r="N378" s="4">
        <v>2022</v>
      </c>
      <c r="O378" s="4" t="s">
        <v>59</v>
      </c>
      <c r="P378" s="4" t="s">
        <v>28</v>
      </c>
      <c r="Q378" s="8" t="s">
        <v>32</v>
      </c>
      <c r="R378" s="9">
        <v>2498</v>
      </c>
      <c r="S378" s="9">
        <v>8000</v>
      </c>
      <c r="T378" s="9">
        <v>8960</v>
      </c>
      <c r="U378" s="9">
        <v>1600</v>
      </c>
      <c r="V378" s="10" t="s">
        <v>63</v>
      </c>
    </row>
    <row r="379" spans="1:22" ht="18" customHeight="1" x14ac:dyDescent="0.25">
      <c r="A379" s="7" t="s">
        <v>34</v>
      </c>
      <c r="B379" s="7">
        <v>2020</v>
      </c>
      <c r="C379" s="7" t="s">
        <v>27</v>
      </c>
      <c r="D379" s="7" t="s">
        <v>72</v>
      </c>
      <c r="E379" s="7" t="s">
        <v>22</v>
      </c>
      <c r="F379" s="7" t="s">
        <v>23</v>
      </c>
      <c r="G379" s="7" t="s">
        <v>24</v>
      </c>
      <c r="H379" s="7" t="s">
        <v>25</v>
      </c>
      <c r="I379" s="7" t="s">
        <v>26</v>
      </c>
      <c r="J379" s="7">
        <v>347</v>
      </c>
      <c r="K379" s="7">
        <v>496.21000000000004</v>
      </c>
      <c r="N379" s="4">
        <v>2022</v>
      </c>
      <c r="O379" s="4" t="s">
        <v>59</v>
      </c>
      <c r="P379" s="4" t="s">
        <v>36</v>
      </c>
      <c r="Q379" s="8" t="s">
        <v>37</v>
      </c>
      <c r="R379" s="9">
        <v>1245</v>
      </c>
      <c r="S379" s="9">
        <v>4577.2</v>
      </c>
      <c r="T379" s="9">
        <v>5126.4639999999999</v>
      </c>
      <c r="U379" s="9">
        <v>915.44</v>
      </c>
      <c r="V379" s="10" t="s">
        <v>63</v>
      </c>
    </row>
    <row r="380" spans="1:22" ht="18" customHeight="1" x14ac:dyDescent="0.25">
      <c r="A380" s="7" t="s">
        <v>42</v>
      </c>
      <c r="B380" s="7">
        <v>2020</v>
      </c>
      <c r="C380" s="7" t="s">
        <v>27</v>
      </c>
      <c r="D380" s="7" t="s">
        <v>72</v>
      </c>
      <c r="E380" s="7" t="s">
        <v>22</v>
      </c>
      <c r="F380" s="7" t="s">
        <v>23</v>
      </c>
      <c r="G380" s="7" t="s">
        <v>24</v>
      </c>
      <c r="H380" s="7" t="s">
        <v>25</v>
      </c>
      <c r="I380" s="7" t="s">
        <v>26</v>
      </c>
      <c r="J380" s="7">
        <v>317</v>
      </c>
      <c r="K380" s="7">
        <v>453.31</v>
      </c>
      <c r="N380" s="4">
        <v>2022</v>
      </c>
      <c r="O380" s="4" t="s">
        <v>59</v>
      </c>
      <c r="P380" s="4" t="s">
        <v>39</v>
      </c>
      <c r="Q380" s="13" t="s">
        <v>40</v>
      </c>
      <c r="R380" s="14">
        <v>644</v>
      </c>
      <c r="S380" s="14">
        <v>5743.5</v>
      </c>
      <c r="T380" s="14">
        <v>6432.72</v>
      </c>
      <c r="U380" s="9">
        <v>1148.7</v>
      </c>
      <c r="V380" s="10" t="s">
        <v>63</v>
      </c>
    </row>
    <row r="381" spans="1:22" ht="18" customHeight="1" x14ac:dyDescent="0.25">
      <c r="A381" s="7" t="s">
        <v>34</v>
      </c>
      <c r="B381" s="7">
        <v>2020</v>
      </c>
      <c r="C381" s="7" t="s">
        <v>68</v>
      </c>
      <c r="D381" s="7" t="s">
        <v>72</v>
      </c>
      <c r="E381" s="7" t="s">
        <v>22</v>
      </c>
      <c r="F381" s="7" t="s">
        <v>23</v>
      </c>
      <c r="G381" s="7" t="s">
        <v>24</v>
      </c>
      <c r="H381" s="7" t="s">
        <v>25</v>
      </c>
      <c r="I381" s="7" t="s">
        <v>26</v>
      </c>
      <c r="J381" s="7">
        <v>314</v>
      </c>
      <c r="K381" s="7">
        <v>449.02</v>
      </c>
      <c r="N381" s="4">
        <v>2022</v>
      </c>
      <c r="O381" s="4" t="s">
        <v>59</v>
      </c>
      <c r="P381" s="4" t="s">
        <v>43</v>
      </c>
      <c r="Q381" s="13" t="s">
        <v>44</v>
      </c>
      <c r="R381" s="14">
        <v>643</v>
      </c>
      <c r="S381" s="14">
        <v>7000</v>
      </c>
      <c r="T381" s="14">
        <v>7840</v>
      </c>
      <c r="U381" s="9">
        <v>1400</v>
      </c>
      <c r="V381" s="10" t="s">
        <v>63</v>
      </c>
    </row>
    <row r="382" spans="1:22" ht="18" customHeight="1" x14ac:dyDescent="0.25">
      <c r="A382" s="7" t="s">
        <v>42</v>
      </c>
      <c r="B382" s="7">
        <v>2020</v>
      </c>
      <c r="C382" s="7" t="s">
        <v>68</v>
      </c>
      <c r="D382" s="7" t="s">
        <v>72</v>
      </c>
      <c r="E382" s="7" t="s">
        <v>22</v>
      </c>
      <c r="F382" s="7" t="s">
        <v>23</v>
      </c>
      <c r="G382" s="7" t="s">
        <v>24</v>
      </c>
      <c r="H382" s="7" t="s">
        <v>25</v>
      </c>
      <c r="I382" s="7" t="s">
        <v>26</v>
      </c>
      <c r="J382" s="7">
        <v>362</v>
      </c>
      <c r="K382" s="7">
        <v>517.66</v>
      </c>
      <c r="N382" s="4">
        <v>2022</v>
      </c>
      <c r="O382" s="4" t="s">
        <v>59</v>
      </c>
      <c r="P382" s="4" t="s">
        <v>39</v>
      </c>
      <c r="Q382" s="13" t="s">
        <v>46</v>
      </c>
      <c r="R382" s="14">
        <v>455</v>
      </c>
      <c r="S382" s="14">
        <v>4578.6000000000004</v>
      </c>
      <c r="T382" s="14">
        <v>5128.0320000000002</v>
      </c>
      <c r="U382" s="9">
        <v>915.72000000000014</v>
      </c>
      <c r="V382" s="10" t="s">
        <v>63</v>
      </c>
    </row>
    <row r="383" spans="1:22" ht="18" customHeight="1" x14ac:dyDescent="0.25">
      <c r="A383" s="7" t="s">
        <v>34</v>
      </c>
      <c r="B383" s="7">
        <v>2020</v>
      </c>
      <c r="C383" s="7" t="s">
        <v>68</v>
      </c>
      <c r="D383" s="7" t="s">
        <v>72</v>
      </c>
      <c r="E383" s="7" t="s">
        <v>22</v>
      </c>
      <c r="F383" s="7" t="s">
        <v>23</v>
      </c>
      <c r="G383" s="7" t="s">
        <v>24</v>
      </c>
      <c r="H383" s="7" t="s">
        <v>25</v>
      </c>
      <c r="I383" s="7" t="s">
        <v>26</v>
      </c>
      <c r="J383" s="7">
        <v>284</v>
      </c>
      <c r="K383" s="7">
        <v>406.12</v>
      </c>
      <c r="N383" s="4">
        <v>2022</v>
      </c>
      <c r="O383" s="4" t="s">
        <v>59</v>
      </c>
      <c r="P383" s="4" t="s">
        <v>43</v>
      </c>
      <c r="Q383" s="13" t="s">
        <v>48</v>
      </c>
      <c r="R383" s="15">
        <v>345</v>
      </c>
      <c r="S383" s="15">
        <v>7000</v>
      </c>
      <c r="T383" s="15">
        <v>7840</v>
      </c>
      <c r="U383" s="9">
        <v>1400</v>
      </c>
      <c r="V383" s="10" t="s">
        <v>63</v>
      </c>
    </row>
    <row r="384" spans="1:22" ht="18" customHeight="1" x14ac:dyDescent="0.25">
      <c r="A384" s="7" t="s">
        <v>34</v>
      </c>
      <c r="B384" s="7">
        <v>2020</v>
      </c>
      <c r="C384" s="7" t="s">
        <v>68</v>
      </c>
      <c r="D384" s="7" t="s">
        <v>72</v>
      </c>
      <c r="E384" s="7" t="s">
        <v>22</v>
      </c>
      <c r="F384" s="7" t="s">
        <v>23</v>
      </c>
      <c r="G384" s="7" t="s">
        <v>24</v>
      </c>
      <c r="H384" s="7" t="s">
        <v>25</v>
      </c>
      <c r="I384" s="7" t="s">
        <v>26</v>
      </c>
      <c r="J384" s="7">
        <v>358</v>
      </c>
      <c r="K384" s="7">
        <v>526.24</v>
      </c>
      <c r="N384" s="4">
        <v>2022</v>
      </c>
      <c r="O384" s="4" t="s">
        <v>59</v>
      </c>
      <c r="P384" s="4" t="s">
        <v>36</v>
      </c>
      <c r="Q384" s="8" t="s">
        <v>49</v>
      </c>
      <c r="R384" s="9">
        <v>122</v>
      </c>
      <c r="S384" s="9">
        <v>100</v>
      </c>
      <c r="T384" s="9">
        <v>112</v>
      </c>
      <c r="U384" s="9">
        <v>20</v>
      </c>
      <c r="V384" s="10" t="s">
        <v>63</v>
      </c>
    </row>
    <row r="385" spans="1:22" ht="18" customHeight="1" x14ac:dyDescent="0.25">
      <c r="A385" s="7" t="s">
        <v>34</v>
      </c>
      <c r="B385" s="7">
        <v>2020</v>
      </c>
      <c r="C385" s="7" t="s">
        <v>68</v>
      </c>
      <c r="D385" s="7" t="s">
        <v>72</v>
      </c>
      <c r="E385" s="7" t="s">
        <v>22</v>
      </c>
      <c r="F385" s="7" t="s">
        <v>23</v>
      </c>
      <c r="G385" s="7" t="s">
        <v>24</v>
      </c>
      <c r="H385" s="7" t="s">
        <v>25</v>
      </c>
      <c r="I385" s="7" t="s">
        <v>26</v>
      </c>
      <c r="J385" s="7">
        <v>286</v>
      </c>
      <c r="K385" s="7">
        <v>526.24</v>
      </c>
      <c r="N385" s="4">
        <v>2022</v>
      </c>
      <c r="O385" s="4" t="s">
        <v>59</v>
      </c>
      <c r="P385" s="4" t="s">
        <v>50</v>
      </c>
      <c r="Q385" s="13" t="s">
        <v>51</v>
      </c>
      <c r="R385" s="14">
        <v>78</v>
      </c>
      <c r="S385" s="14">
        <v>2288.6</v>
      </c>
      <c r="T385" s="14">
        <v>5126.4639999999999</v>
      </c>
      <c r="U385" s="9">
        <v>457.72</v>
      </c>
      <c r="V385" s="10" t="s">
        <v>63</v>
      </c>
    </row>
    <row r="386" spans="1:22" ht="18" customHeight="1" x14ac:dyDescent="0.25">
      <c r="A386" s="7" t="s">
        <v>34</v>
      </c>
      <c r="B386" s="7">
        <v>2020</v>
      </c>
      <c r="C386" s="7" t="s">
        <v>68</v>
      </c>
      <c r="D386" s="7" t="s">
        <v>72</v>
      </c>
      <c r="E386" s="7" t="s">
        <v>22</v>
      </c>
      <c r="F386" s="7" t="s">
        <v>23</v>
      </c>
      <c r="G386" s="7" t="s">
        <v>24</v>
      </c>
      <c r="H386" s="7" t="s">
        <v>25</v>
      </c>
      <c r="I386" s="7" t="s">
        <v>26</v>
      </c>
      <c r="J386" s="7">
        <v>992</v>
      </c>
      <c r="K386" s="7">
        <v>1418.56</v>
      </c>
      <c r="N386" s="4">
        <v>2022</v>
      </c>
      <c r="O386" s="4" t="s">
        <v>59</v>
      </c>
      <c r="P386" s="4" t="s">
        <v>50</v>
      </c>
      <c r="Q386" s="13" t="s">
        <v>52</v>
      </c>
      <c r="R386" s="14">
        <v>76</v>
      </c>
      <c r="S386" s="14">
        <v>2288.4499999999998</v>
      </c>
      <c r="T386" s="14">
        <v>5126.1279999999997</v>
      </c>
      <c r="U386" s="9">
        <v>457.69</v>
      </c>
      <c r="V386" s="10" t="s">
        <v>63</v>
      </c>
    </row>
    <row r="387" spans="1:22" ht="18" customHeight="1" x14ac:dyDescent="0.25">
      <c r="A387" s="7" t="s">
        <v>34</v>
      </c>
      <c r="B387" s="7">
        <v>2020</v>
      </c>
      <c r="C387" s="7" t="s">
        <v>68</v>
      </c>
      <c r="D387" s="7" t="s">
        <v>72</v>
      </c>
      <c r="E387" s="7" t="s">
        <v>22</v>
      </c>
      <c r="F387" s="7" t="s">
        <v>23</v>
      </c>
      <c r="G387" s="7" t="s">
        <v>24</v>
      </c>
      <c r="H387" s="7" t="s">
        <v>25</v>
      </c>
      <c r="I387" s="7" t="s">
        <v>26</v>
      </c>
      <c r="J387" s="7">
        <v>1025</v>
      </c>
      <c r="K387" s="7">
        <v>1465.75</v>
      </c>
      <c r="N387" s="4">
        <v>2022</v>
      </c>
      <c r="O387" s="4" t="s">
        <v>59</v>
      </c>
      <c r="P387" s="4" t="s">
        <v>50</v>
      </c>
      <c r="Q387" s="13" t="s">
        <v>54</v>
      </c>
      <c r="R387" s="14">
        <v>46</v>
      </c>
      <c r="S387" s="14">
        <v>100</v>
      </c>
      <c r="T387" s="14">
        <v>224</v>
      </c>
      <c r="U387" s="9">
        <v>20</v>
      </c>
      <c r="V387" s="10" t="s">
        <v>63</v>
      </c>
    </row>
    <row r="388" spans="1:22" ht="18" customHeight="1" x14ac:dyDescent="0.25">
      <c r="A388" s="7" t="s">
        <v>19</v>
      </c>
      <c r="B388" s="7">
        <v>2020</v>
      </c>
      <c r="C388" s="7" t="s">
        <v>68</v>
      </c>
      <c r="D388" s="7" t="s">
        <v>72</v>
      </c>
      <c r="E388" s="7" t="s">
        <v>22</v>
      </c>
      <c r="F388" s="7" t="s">
        <v>23</v>
      </c>
      <c r="G388" s="7" t="s">
        <v>24</v>
      </c>
      <c r="H388" s="7" t="s">
        <v>25</v>
      </c>
      <c r="I388" s="7" t="s">
        <v>26</v>
      </c>
      <c r="J388" s="7">
        <v>288</v>
      </c>
      <c r="K388" s="7">
        <v>411.84000000000003</v>
      </c>
      <c r="N388" s="4">
        <v>2022</v>
      </c>
      <c r="O388" s="4" t="s">
        <v>59</v>
      </c>
      <c r="P388" s="4" t="s">
        <v>50</v>
      </c>
      <c r="Q388" s="13" t="s">
        <v>55</v>
      </c>
      <c r="R388" s="14">
        <v>34</v>
      </c>
      <c r="S388" s="14">
        <v>2288.4</v>
      </c>
      <c r="T388" s="14">
        <v>5126.0160000000005</v>
      </c>
      <c r="U388" s="9">
        <v>457.68000000000006</v>
      </c>
      <c r="V388" s="10" t="s">
        <v>63</v>
      </c>
    </row>
    <row r="389" spans="1:22" ht="18" customHeight="1" x14ac:dyDescent="0.25">
      <c r="A389" s="7" t="s">
        <v>19</v>
      </c>
      <c r="B389" s="7">
        <v>2020</v>
      </c>
      <c r="C389" s="7" t="s">
        <v>68</v>
      </c>
      <c r="D389" s="7" t="s">
        <v>72</v>
      </c>
      <c r="E389" s="7" t="s">
        <v>22</v>
      </c>
      <c r="F389" s="7" t="s">
        <v>23</v>
      </c>
      <c r="G389" s="7" t="s">
        <v>24</v>
      </c>
      <c r="H389" s="7" t="s">
        <v>25</v>
      </c>
      <c r="I389" s="7" t="s">
        <v>26</v>
      </c>
      <c r="J389" s="7">
        <v>315</v>
      </c>
      <c r="K389" s="7">
        <v>450.45</v>
      </c>
      <c r="N389" s="4">
        <v>2022</v>
      </c>
      <c r="O389" s="4" t="s">
        <v>59</v>
      </c>
      <c r="P389" s="4" t="s">
        <v>36</v>
      </c>
      <c r="Q389" s="8" t="s">
        <v>56</v>
      </c>
      <c r="R389" s="9">
        <v>7</v>
      </c>
      <c r="S389" s="9">
        <v>200</v>
      </c>
      <c r="T389" s="9">
        <v>224</v>
      </c>
      <c r="U389" s="9">
        <v>40</v>
      </c>
      <c r="V389" s="10" t="s">
        <v>30</v>
      </c>
    </row>
    <row r="390" spans="1:22" ht="18" customHeight="1" x14ac:dyDescent="0.25">
      <c r="A390" s="7" t="s">
        <v>34</v>
      </c>
      <c r="B390" s="7">
        <v>2020</v>
      </c>
      <c r="C390" s="7" t="s">
        <v>68</v>
      </c>
      <c r="D390" s="7" t="s">
        <v>72</v>
      </c>
      <c r="E390" s="7" t="s">
        <v>22</v>
      </c>
      <c r="F390" s="7" t="s">
        <v>23</v>
      </c>
      <c r="G390" s="7" t="s">
        <v>24</v>
      </c>
      <c r="H390" s="7" t="s">
        <v>25</v>
      </c>
      <c r="I390" s="7" t="s">
        <v>26</v>
      </c>
      <c r="J390" s="7">
        <v>285</v>
      </c>
      <c r="K390" s="7">
        <v>407.55</v>
      </c>
      <c r="N390" s="4">
        <v>2022</v>
      </c>
      <c r="O390" s="4" t="s">
        <v>59</v>
      </c>
      <c r="P390" s="4" t="s">
        <v>50</v>
      </c>
      <c r="Q390" s="13" t="s">
        <v>58</v>
      </c>
      <c r="R390" s="14">
        <v>3</v>
      </c>
      <c r="S390" s="14">
        <v>3300</v>
      </c>
      <c r="T390" s="14">
        <v>5126.576</v>
      </c>
      <c r="U390" s="9">
        <v>660</v>
      </c>
      <c r="V390" s="10" t="s">
        <v>30</v>
      </c>
    </row>
    <row r="391" spans="1:22" ht="18" customHeight="1" x14ac:dyDescent="0.25">
      <c r="A391" s="7" t="s">
        <v>34</v>
      </c>
      <c r="B391" s="7">
        <v>2020</v>
      </c>
      <c r="C391" s="7" t="s">
        <v>68</v>
      </c>
      <c r="D391" s="7" t="s">
        <v>72</v>
      </c>
      <c r="E391" s="7" t="s">
        <v>22</v>
      </c>
      <c r="F391" s="7" t="s">
        <v>23</v>
      </c>
      <c r="G391" s="7" t="s">
        <v>24</v>
      </c>
      <c r="H391" s="7" t="s">
        <v>25</v>
      </c>
      <c r="I391" s="7" t="s">
        <v>26</v>
      </c>
      <c r="J391" s="7">
        <v>773</v>
      </c>
      <c r="K391" s="7">
        <v>1105.3899999999999</v>
      </c>
      <c r="N391" s="4">
        <v>2022</v>
      </c>
      <c r="O391" s="4" t="s">
        <v>59</v>
      </c>
      <c r="P391" s="4" t="s">
        <v>57</v>
      </c>
      <c r="Q391" s="13" t="s">
        <v>57</v>
      </c>
      <c r="R391" s="14">
        <v>2</v>
      </c>
      <c r="S391" s="14">
        <v>6600</v>
      </c>
      <c r="T391" s="14">
        <v>7392</v>
      </c>
      <c r="U391" s="9">
        <v>1320</v>
      </c>
      <c r="V391" s="10" t="s">
        <v>30</v>
      </c>
    </row>
    <row r="392" spans="1:22" ht="18" customHeight="1" x14ac:dyDescent="0.25">
      <c r="A392" s="7" t="s">
        <v>19</v>
      </c>
      <c r="B392" s="7">
        <v>2020</v>
      </c>
      <c r="C392" s="7" t="s">
        <v>68</v>
      </c>
      <c r="D392" s="7" t="s">
        <v>72</v>
      </c>
      <c r="E392" s="7" t="s">
        <v>22</v>
      </c>
      <c r="F392" s="7" t="s">
        <v>23</v>
      </c>
      <c r="G392" s="7" t="s">
        <v>24</v>
      </c>
      <c r="H392" s="7" t="s">
        <v>25</v>
      </c>
      <c r="I392" s="7" t="s">
        <v>26</v>
      </c>
      <c r="J392" s="7">
        <v>806</v>
      </c>
      <c r="K392" s="7">
        <v>1152.58</v>
      </c>
      <c r="N392" s="4">
        <v>2022</v>
      </c>
      <c r="O392" s="4" t="s">
        <v>62</v>
      </c>
      <c r="P392" s="4" t="s">
        <v>28</v>
      </c>
      <c r="Q392" s="8" t="s">
        <v>29</v>
      </c>
      <c r="R392" s="9">
        <v>3566</v>
      </c>
      <c r="S392" s="9">
        <v>4577.3</v>
      </c>
      <c r="T392" s="9">
        <v>5126.576</v>
      </c>
      <c r="U392" s="9">
        <v>915.46</v>
      </c>
      <c r="V392" s="10" t="s">
        <v>30</v>
      </c>
    </row>
    <row r="393" spans="1:22" ht="18" customHeight="1" x14ac:dyDescent="0.25">
      <c r="A393" s="7" t="s">
        <v>34</v>
      </c>
      <c r="B393" s="7">
        <v>2020</v>
      </c>
      <c r="C393" s="7" t="s">
        <v>68</v>
      </c>
      <c r="D393" s="7" t="s">
        <v>72</v>
      </c>
      <c r="E393" s="7" t="s">
        <v>22</v>
      </c>
      <c r="F393" s="7" t="s">
        <v>23</v>
      </c>
      <c r="G393" s="7" t="s">
        <v>24</v>
      </c>
      <c r="H393" s="7" t="s">
        <v>25</v>
      </c>
      <c r="I393" s="7" t="s">
        <v>26</v>
      </c>
      <c r="J393" s="7">
        <v>311</v>
      </c>
      <c r="K393" s="7">
        <v>444.73</v>
      </c>
      <c r="N393" s="4">
        <v>2022</v>
      </c>
      <c r="O393" s="4" t="s">
        <v>62</v>
      </c>
      <c r="P393" s="4" t="s">
        <v>28</v>
      </c>
      <c r="Q393" s="8" t="s">
        <v>32</v>
      </c>
      <c r="R393" s="9">
        <v>2498</v>
      </c>
      <c r="S393" s="9">
        <v>8000</v>
      </c>
      <c r="T393" s="9">
        <v>8960</v>
      </c>
      <c r="U393" s="9">
        <v>1600</v>
      </c>
      <c r="V393" s="10" t="s">
        <v>30</v>
      </c>
    </row>
    <row r="394" spans="1:22" ht="18" customHeight="1" x14ac:dyDescent="0.25">
      <c r="A394" s="7" t="s">
        <v>34</v>
      </c>
      <c r="B394" s="7">
        <v>2020</v>
      </c>
      <c r="C394" s="7" t="s">
        <v>68</v>
      </c>
      <c r="D394" s="7" t="s">
        <v>72</v>
      </c>
      <c r="E394" s="7" t="s">
        <v>22</v>
      </c>
      <c r="F394" s="7" t="s">
        <v>23</v>
      </c>
      <c r="G394" s="7" t="s">
        <v>24</v>
      </c>
      <c r="H394" s="7" t="s">
        <v>25</v>
      </c>
      <c r="I394" s="7" t="s">
        <v>26</v>
      </c>
      <c r="J394" s="7">
        <v>359</v>
      </c>
      <c r="K394" s="7">
        <v>513.37</v>
      </c>
      <c r="N394" s="4">
        <v>2022</v>
      </c>
      <c r="O394" s="4" t="s">
        <v>62</v>
      </c>
      <c r="P394" s="4" t="s">
        <v>36</v>
      </c>
      <c r="Q394" s="8" t="s">
        <v>37</v>
      </c>
      <c r="R394" s="9">
        <v>1245</v>
      </c>
      <c r="S394" s="9">
        <v>4577.2</v>
      </c>
      <c r="T394" s="9">
        <v>5126.4639999999999</v>
      </c>
      <c r="U394" s="9">
        <v>915.44</v>
      </c>
      <c r="V394" s="10" t="s">
        <v>30</v>
      </c>
    </row>
    <row r="395" spans="1:22" ht="18" customHeight="1" x14ac:dyDescent="0.25">
      <c r="A395" s="7" t="s">
        <v>34</v>
      </c>
      <c r="B395" s="7">
        <v>2020</v>
      </c>
      <c r="C395" s="7" t="s">
        <v>68</v>
      </c>
      <c r="D395" s="7" t="s">
        <v>72</v>
      </c>
      <c r="E395" s="7" t="s">
        <v>22</v>
      </c>
      <c r="F395" s="7" t="s">
        <v>23</v>
      </c>
      <c r="G395" s="7" t="s">
        <v>24</v>
      </c>
      <c r="H395" s="7" t="s">
        <v>25</v>
      </c>
      <c r="I395" s="7" t="s">
        <v>26</v>
      </c>
      <c r="J395" s="7">
        <v>287</v>
      </c>
      <c r="K395" s="7">
        <v>410.40999999999997</v>
      </c>
      <c r="N395" s="4">
        <v>2022</v>
      </c>
      <c r="O395" s="4" t="s">
        <v>62</v>
      </c>
      <c r="P395" s="4" t="s">
        <v>39</v>
      </c>
      <c r="Q395" s="13" t="s">
        <v>40</v>
      </c>
      <c r="R395" s="14">
        <v>644</v>
      </c>
      <c r="S395" s="14">
        <v>5743.5</v>
      </c>
      <c r="T395" s="14">
        <v>6432.72</v>
      </c>
      <c r="U395" s="9">
        <v>1148.7</v>
      </c>
      <c r="V395" s="10" t="s">
        <v>30</v>
      </c>
    </row>
    <row r="396" spans="1:22" ht="18" customHeight="1" x14ac:dyDescent="0.25">
      <c r="A396" s="7" t="s">
        <v>34</v>
      </c>
      <c r="B396" s="7">
        <v>2020</v>
      </c>
      <c r="C396" s="7" t="s">
        <v>67</v>
      </c>
      <c r="D396" s="7" t="s">
        <v>72</v>
      </c>
      <c r="E396" s="7" t="s">
        <v>22</v>
      </c>
      <c r="F396" s="7" t="s">
        <v>23</v>
      </c>
      <c r="G396" s="7" t="s">
        <v>24</v>
      </c>
      <c r="H396" s="7" t="s">
        <v>25</v>
      </c>
      <c r="I396" s="7" t="s">
        <v>26</v>
      </c>
      <c r="J396" s="7">
        <v>320</v>
      </c>
      <c r="K396" s="7">
        <v>457.6</v>
      </c>
      <c r="N396" s="4">
        <v>2022</v>
      </c>
      <c r="O396" s="4" t="s">
        <v>62</v>
      </c>
      <c r="P396" s="4" t="s">
        <v>43</v>
      </c>
      <c r="Q396" s="13" t="s">
        <v>44</v>
      </c>
      <c r="R396" s="14">
        <v>643</v>
      </c>
      <c r="S396" s="14">
        <v>7000</v>
      </c>
      <c r="T396" s="14">
        <v>7840</v>
      </c>
      <c r="U396" s="9">
        <v>1400</v>
      </c>
      <c r="V396" s="10" t="s">
        <v>30</v>
      </c>
    </row>
    <row r="397" spans="1:22" ht="18" customHeight="1" x14ac:dyDescent="0.25">
      <c r="A397" s="7" t="s">
        <v>34</v>
      </c>
      <c r="B397" s="7">
        <v>2020</v>
      </c>
      <c r="C397" s="7" t="s">
        <v>67</v>
      </c>
      <c r="D397" s="7" t="s">
        <v>72</v>
      </c>
      <c r="E397" s="7" t="s">
        <v>22</v>
      </c>
      <c r="F397" s="7" t="s">
        <v>23</v>
      </c>
      <c r="G397" s="7" t="s">
        <v>24</v>
      </c>
      <c r="H397" s="7" t="s">
        <v>25</v>
      </c>
      <c r="I397" s="7" t="s">
        <v>26</v>
      </c>
      <c r="J397" s="7">
        <v>290</v>
      </c>
      <c r="K397" s="7">
        <v>414.7</v>
      </c>
      <c r="N397" s="4">
        <v>2022</v>
      </c>
      <c r="O397" s="4" t="s">
        <v>62</v>
      </c>
      <c r="P397" s="4" t="s">
        <v>39</v>
      </c>
      <c r="Q397" s="13" t="s">
        <v>46</v>
      </c>
      <c r="R397" s="14">
        <v>455</v>
      </c>
      <c r="S397" s="14">
        <v>4578.6000000000004</v>
      </c>
      <c r="T397" s="14">
        <v>5128.0320000000002</v>
      </c>
      <c r="U397" s="9">
        <v>915.72000000000014</v>
      </c>
      <c r="V397" s="10" t="s">
        <v>30</v>
      </c>
    </row>
    <row r="398" spans="1:22" ht="18" customHeight="1" x14ac:dyDescent="0.25">
      <c r="A398" s="7" t="s">
        <v>61</v>
      </c>
      <c r="B398" s="7">
        <v>2020</v>
      </c>
      <c r="C398" s="7" t="s">
        <v>67</v>
      </c>
      <c r="D398" s="7" t="s">
        <v>72</v>
      </c>
      <c r="E398" s="7" t="s">
        <v>22</v>
      </c>
      <c r="F398" s="7" t="s">
        <v>23</v>
      </c>
      <c r="G398" s="7" t="s">
        <v>24</v>
      </c>
      <c r="H398" s="7" t="s">
        <v>25</v>
      </c>
      <c r="I398" s="7" t="s">
        <v>26</v>
      </c>
      <c r="J398" s="7">
        <v>316</v>
      </c>
      <c r="K398" s="7">
        <v>526.24</v>
      </c>
      <c r="N398" s="4">
        <v>2022</v>
      </c>
      <c r="O398" s="4" t="s">
        <v>62</v>
      </c>
      <c r="P398" s="4" t="s">
        <v>43</v>
      </c>
      <c r="Q398" s="13" t="s">
        <v>48</v>
      </c>
      <c r="R398" s="15">
        <v>345</v>
      </c>
      <c r="S398" s="15">
        <v>7000</v>
      </c>
      <c r="T398" s="15">
        <v>7840</v>
      </c>
      <c r="U398" s="9">
        <v>1400</v>
      </c>
      <c r="V398" s="10" t="s">
        <v>30</v>
      </c>
    </row>
    <row r="399" spans="1:22" ht="18" customHeight="1" x14ac:dyDescent="0.25">
      <c r="A399" s="7" t="s">
        <v>19</v>
      </c>
      <c r="B399" s="7">
        <v>2020</v>
      </c>
      <c r="C399" s="7" t="s">
        <v>67</v>
      </c>
      <c r="D399" s="7" t="s">
        <v>72</v>
      </c>
      <c r="E399" s="7" t="s">
        <v>22</v>
      </c>
      <c r="F399" s="7" t="s">
        <v>23</v>
      </c>
      <c r="G399" s="7" t="s">
        <v>24</v>
      </c>
      <c r="H399" s="7" t="s">
        <v>25</v>
      </c>
      <c r="I399" s="7" t="s">
        <v>26</v>
      </c>
      <c r="J399" s="7">
        <v>364</v>
      </c>
      <c r="K399" s="7">
        <v>526.24</v>
      </c>
      <c r="N399" s="4">
        <v>2022</v>
      </c>
      <c r="O399" s="4" t="s">
        <v>62</v>
      </c>
      <c r="P399" s="4" t="s">
        <v>36</v>
      </c>
      <c r="Q399" s="8" t="s">
        <v>49</v>
      </c>
      <c r="R399" s="9">
        <v>122</v>
      </c>
      <c r="S399" s="9">
        <v>100</v>
      </c>
      <c r="T399" s="9">
        <v>112</v>
      </c>
      <c r="U399" s="9">
        <v>20</v>
      </c>
      <c r="V399" s="10" t="s">
        <v>30</v>
      </c>
    </row>
    <row r="400" spans="1:22" ht="18" customHeight="1" x14ac:dyDescent="0.25">
      <c r="A400" s="7" t="s">
        <v>61</v>
      </c>
      <c r="B400" s="7">
        <v>2020</v>
      </c>
      <c r="C400" s="7" t="s">
        <v>67</v>
      </c>
      <c r="D400" s="7" t="s">
        <v>72</v>
      </c>
      <c r="E400" s="7" t="s">
        <v>22</v>
      </c>
      <c r="F400" s="7" t="s">
        <v>23</v>
      </c>
      <c r="G400" s="7" t="s">
        <v>24</v>
      </c>
      <c r="H400" s="7" t="s">
        <v>25</v>
      </c>
      <c r="I400" s="7" t="s">
        <v>26</v>
      </c>
      <c r="J400" s="7">
        <v>292</v>
      </c>
      <c r="K400" s="7">
        <v>526.24</v>
      </c>
      <c r="N400" s="4">
        <v>2022</v>
      </c>
      <c r="O400" s="4" t="s">
        <v>62</v>
      </c>
      <c r="P400" s="4" t="s">
        <v>50</v>
      </c>
      <c r="Q400" s="13" t="s">
        <v>51</v>
      </c>
      <c r="R400" s="14">
        <v>78</v>
      </c>
      <c r="S400" s="14">
        <v>2288.6</v>
      </c>
      <c r="T400" s="14">
        <v>5126.4639999999999</v>
      </c>
      <c r="U400" s="9">
        <v>457.72</v>
      </c>
      <c r="V400" s="10" t="s">
        <v>30</v>
      </c>
    </row>
    <row r="401" spans="1:22" ht="18" customHeight="1" x14ac:dyDescent="0.25">
      <c r="A401" s="7" t="s">
        <v>34</v>
      </c>
      <c r="B401" s="7">
        <v>2020</v>
      </c>
      <c r="C401" s="7" t="s">
        <v>67</v>
      </c>
      <c r="D401" s="7" t="s">
        <v>72</v>
      </c>
      <c r="E401" s="7" t="s">
        <v>22</v>
      </c>
      <c r="F401" s="7" t="s">
        <v>23</v>
      </c>
      <c r="G401" s="7" t="s">
        <v>24</v>
      </c>
      <c r="H401" s="7" t="s">
        <v>25</v>
      </c>
      <c r="I401" s="7" t="s">
        <v>26</v>
      </c>
      <c r="J401" s="7">
        <v>991</v>
      </c>
      <c r="K401" s="7">
        <v>1417.13</v>
      </c>
      <c r="N401" s="4">
        <v>2022</v>
      </c>
      <c r="O401" s="4" t="s">
        <v>62</v>
      </c>
      <c r="P401" s="4" t="s">
        <v>50</v>
      </c>
      <c r="Q401" s="13" t="s">
        <v>52</v>
      </c>
      <c r="R401" s="14">
        <v>76</v>
      </c>
      <c r="S401" s="14">
        <v>2288.4499999999998</v>
      </c>
      <c r="T401" s="14">
        <v>5126.1279999999997</v>
      </c>
      <c r="U401" s="9">
        <v>457.69</v>
      </c>
      <c r="V401" s="10" t="s">
        <v>30</v>
      </c>
    </row>
    <row r="402" spans="1:22" ht="18" customHeight="1" x14ac:dyDescent="0.25">
      <c r="A402" s="7" t="s">
        <v>42</v>
      </c>
      <c r="B402" s="7">
        <v>2020</v>
      </c>
      <c r="C402" s="7" t="s">
        <v>67</v>
      </c>
      <c r="D402" s="7" t="s">
        <v>72</v>
      </c>
      <c r="E402" s="7" t="s">
        <v>22</v>
      </c>
      <c r="F402" s="7" t="s">
        <v>23</v>
      </c>
      <c r="G402" s="7" t="s">
        <v>24</v>
      </c>
      <c r="H402" s="7" t="s">
        <v>25</v>
      </c>
      <c r="I402" s="7" t="s">
        <v>26</v>
      </c>
      <c r="J402" s="7">
        <v>1024</v>
      </c>
      <c r="K402" s="7">
        <v>1464.32</v>
      </c>
      <c r="N402" s="4">
        <v>2022</v>
      </c>
      <c r="O402" s="4" t="s">
        <v>62</v>
      </c>
      <c r="P402" s="4" t="s">
        <v>50</v>
      </c>
      <c r="Q402" s="13" t="s">
        <v>54</v>
      </c>
      <c r="R402" s="14">
        <v>46</v>
      </c>
      <c r="S402" s="14">
        <v>100</v>
      </c>
      <c r="T402" s="14">
        <v>224</v>
      </c>
      <c r="U402" s="9">
        <v>20</v>
      </c>
      <c r="V402" s="10" t="s">
        <v>30</v>
      </c>
    </row>
    <row r="403" spans="1:22" ht="18" customHeight="1" x14ac:dyDescent="0.25">
      <c r="A403" s="7" t="s">
        <v>19</v>
      </c>
      <c r="B403" s="7">
        <v>2020</v>
      </c>
      <c r="C403" s="7" t="s">
        <v>67</v>
      </c>
      <c r="D403" s="7" t="s">
        <v>72</v>
      </c>
      <c r="E403" s="7" t="s">
        <v>22</v>
      </c>
      <c r="F403" s="7" t="s">
        <v>23</v>
      </c>
      <c r="G403" s="7" t="s">
        <v>24</v>
      </c>
      <c r="H403" s="7" t="s">
        <v>25</v>
      </c>
      <c r="I403" s="7" t="s">
        <v>26</v>
      </c>
      <c r="J403" s="7">
        <v>294</v>
      </c>
      <c r="K403" s="7">
        <v>420.42</v>
      </c>
      <c r="N403" s="4">
        <v>2022</v>
      </c>
      <c r="O403" s="4" t="s">
        <v>62</v>
      </c>
      <c r="P403" s="4" t="s">
        <v>50</v>
      </c>
      <c r="Q403" s="13" t="s">
        <v>55</v>
      </c>
      <c r="R403" s="14">
        <v>34</v>
      </c>
      <c r="S403" s="14">
        <v>2288.4</v>
      </c>
      <c r="T403" s="14">
        <v>5126.0160000000005</v>
      </c>
      <c r="U403" s="9">
        <v>457.68000000000006</v>
      </c>
      <c r="V403" s="10" t="s">
        <v>30</v>
      </c>
    </row>
    <row r="404" spans="1:22" ht="18" customHeight="1" x14ac:dyDescent="0.25">
      <c r="A404" s="7" t="s">
        <v>19</v>
      </c>
      <c r="B404" s="7">
        <v>2020</v>
      </c>
      <c r="C404" s="7" t="s">
        <v>67</v>
      </c>
      <c r="D404" s="7" t="s">
        <v>72</v>
      </c>
      <c r="E404" s="7" t="s">
        <v>22</v>
      </c>
      <c r="F404" s="7" t="s">
        <v>23</v>
      </c>
      <c r="G404" s="7" t="s">
        <v>24</v>
      </c>
      <c r="H404" s="7" t="s">
        <v>25</v>
      </c>
      <c r="I404" s="7" t="s">
        <v>26</v>
      </c>
      <c r="J404" s="7">
        <v>321</v>
      </c>
      <c r="K404" s="7">
        <v>459.03</v>
      </c>
      <c r="N404" s="4">
        <v>2022</v>
      </c>
      <c r="O404" s="4" t="s">
        <v>62</v>
      </c>
      <c r="P404" s="4" t="s">
        <v>36</v>
      </c>
      <c r="Q404" s="8" t="s">
        <v>56</v>
      </c>
      <c r="R404" s="9">
        <v>7</v>
      </c>
      <c r="S404" s="9">
        <v>200</v>
      </c>
      <c r="T404" s="9">
        <v>224</v>
      </c>
      <c r="U404" s="9">
        <v>40</v>
      </c>
      <c r="V404" s="10" t="s">
        <v>30</v>
      </c>
    </row>
    <row r="405" spans="1:22" ht="18" customHeight="1" x14ac:dyDescent="0.25">
      <c r="A405" s="7" t="s">
        <v>19</v>
      </c>
      <c r="B405" s="7">
        <v>2020</v>
      </c>
      <c r="C405" s="7" t="s">
        <v>67</v>
      </c>
      <c r="D405" s="7" t="s">
        <v>72</v>
      </c>
      <c r="E405" s="7" t="s">
        <v>22</v>
      </c>
      <c r="F405" s="7" t="s">
        <v>23</v>
      </c>
      <c r="G405" s="7" t="s">
        <v>24</v>
      </c>
      <c r="H405" s="7" t="s">
        <v>25</v>
      </c>
      <c r="I405" s="7" t="s">
        <v>26</v>
      </c>
      <c r="J405" s="7">
        <v>363</v>
      </c>
      <c r="K405" s="7">
        <v>519.09</v>
      </c>
      <c r="N405" s="4">
        <v>2022</v>
      </c>
      <c r="O405" s="4" t="s">
        <v>62</v>
      </c>
      <c r="P405" s="4" t="s">
        <v>50</v>
      </c>
      <c r="Q405" s="13" t="s">
        <v>58</v>
      </c>
      <c r="R405" s="14">
        <v>3</v>
      </c>
      <c r="S405" s="14">
        <v>2288.65</v>
      </c>
      <c r="T405" s="14">
        <v>5126.576</v>
      </c>
      <c r="U405" s="9">
        <v>457.73</v>
      </c>
      <c r="V405" s="10" t="s">
        <v>30</v>
      </c>
    </row>
    <row r="406" spans="1:22" ht="18" customHeight="1" x14ac:dyDescent="0.25">
      <c r="A406" s="7" t="s">
        <v>34</v>
      </c>
      <c r="B406" s="7">
        <v>2020</v>
      </c>
      <c r="C406" s="7" t="s">
        <v>67</v>
      </c>
      <c r="D406" s="7" t="s">
        <v>72</v>
      </c>
      <c r="E406" s="7" t="s">
        <v>22</v>
      </c>
      <c r="F406" s="7" t="s">
        <v>23</v>
      </c>
      <c r="G406" s="7" t="s">
        <v>24</v>
      </c>
      <c r="H406" s="7" t="s">
        <v>25</v>
      </c>
      <c r="I406" s="7" t="s">
        <v>26</v>
      </c>
      <c r="J406" s="7">
        <v>291</v>
      </c>
      <c r="K406" s="7">
        <v>416.13</v>
      </c>
      <c r="N406" s="4">
        <v>2022</v>
      </c>
      <c r="O406" s="4" t="s">
        <v>62</v>
      </c>
      <c r="P406" s="4" t="s">
        <v>57</v>
      </c>
      <c r="Q406" s="13" t="s">
        <v>57</v>
      </c>
      <c r="R406" s="14">
        <v>2</v>
      </c>
      <c r="S406" s="14">
        <v>6600</v>
      </c>
      <c r="T406" s="14">
        <v>7392</v>
      </c>
      <c r="U406" s="9">
        <v>1320</v>
      </c>
      <c r="V406" s="10" t="s">
        <v>63</v>
      </c>
    </row>
    <row r="407" spans="1:22" ht="18" customHeight="1" x14ac:dyDescent="0.25">
      <c r="A407" s="7" t="s">
        <v>61</v>
      </c>
      <c r="B407" s="7">
        <v>2020</v>
      </c>
      <c r="C407" s="7" t="s">
        <v>67</v>
      </c>
      <c r="D407" s="7" t="s">
        <v>72</v>
      </c>
      <c r="E407" s="7" t="s">
        <v>22</v>
      </c>
      <c r="F407" s="7" t="s">
        <v>23</v>
      </c>
      <c r="G407" s="7" t="s">
        <v>24</v>
      </c>
      <c r="H407" s="7" t="s">
        <v>25</v>
      </c>
      <c r="I407" s="7" t="s">
        <v>26</v>
      </c>
      <c r="J407" s="7">
        <v>772</v>
      </c>
      <c r="K407" s="7">
        <v>1103.96</v>
      </c>
      <c r="N407" s="4">
        <v>2022</v>
      </c>
      <c r="O407" s="4" t="s">
        <v>20</v>
      </c>
      <c r="P407" s="4" t="s">
        <v>28</v>
      </c>
      <c r="Q407" s="8" t="s">
        <v>29</v>
      </c>
      <c r="R407" s="9">
        <v>3566</v>
      </c>
      <c r="S407" s="9">
        <v>4577.3</v>
      </c>
      <c r="T407" s="9">
        <v>5126.576</v>
      </c>
      <c r="U407" s="9">
        <v>915.46</v>
      </c>
      <c r="V407" s="10" t="s">
        <v>63</v>
      </c>
    </row>
    <row r="408" spans="1:22" ht="18" customHeight="1" x14ac:dyDescent="0.25">
      <c r="A408" s="7" t="s">
        <v>19</v>
      </c>
      <c r="B408" s="7">
        <v>2020</v>
      </c>
      <c r="C408" s="7" t="s">
        <v>67</v>
      </c>
      <c r="D408" s="7" t="s">
        <v>72</v>
      </c>
      <c r="E408" s="7" t="s">
        <v>22</v>
      </c>
      <c r="F408" s="7" t="s">
        <v>23</v>
      </c>
      <c r="G408" s="7" t="s">
        <v>24</v>
      </c>
      <c r="H408" s="7" t="s">
        <v>25</v>
      </c>
      <c r="I408" s="7" t="s">
        <v>26</v>
      </c>
      <c r="J408" s="7">
        <v>805</v>
      </c>
      <c r="K408" s="7">
        <v>1151.1500000000001</v>
      </c>
      <c r="N408" s="4">
        <v>2022</v>
      </c>
      <c r="O408" s="4" t="s">
        <v>20</v>
      </c>
      <c r="P408" s="4" t="s">
        <v>28</v>
      </c>
      <c r="Q408" s="8" t="s">
        <v>32</v>
      </c>
      <c r="R408" s="9">
        <v>2498</v>
      </c>
      <c r="S408" s="9">
        <v>8000</v>
      </c>
      <c r="T408" s="9">
        <v>8960</v>
      </c>
      <c r="U408" s="9">
        <v>1600</v>
      </c>
      <c r="V408" s="10" t="s">
        <v>63</v>
      </c>
    </row>
    <row r="409" spans="1:22" ht="18" customHeight="1" x14ac:dyDescent="0.25">
      <c r="A409" s="7" t="s">
        <v>61</v>
      </c>
      <c r="B409" s="7">
        <v>2020</v>
      </c>
      <c r="C409" s="7" t="s">
        <v>67</v>
      </c>
      <c r="D409" s="7" t="s">
        <v>72</v>
      </c>
      <c r="E409" s="7" t="s">
        <v>22</v>
      </c>
      <c r="F409" s="7" t="s">
        <v>23</v>
      </c>
      <c r="G409" s="7" t="s">
        <v>24</v>
      </c>
      <c r="H409" s="7" t="s">
        <v>25</v>
      </c>
      <c r="I409" s="7" t="s">
        <v>26</v>
      </c>
      <c r="J409" s="7">
        <v>859</v>
      </c>
      <c r="K409" s="7">
        <v>1228.3699999999999</v>
      </c>
      <c r="N409" s="4">
        <v>2022</v>
      </c>
      <c r="O409" s="4" t="s">
        <v>20</v>
      </c>
      <c r="P409" s="4" t="s">
        <v>36</v>
      </c>
      <c r="Q409" s="8" t="s">
        <v>37</v>
      </c>
      <c r="R409" s="9">
        <v>1245</v>
      </c>
      <c r="S409" s="9">
        <v>4577.2</v>
      </c>
      <c r="T409" s="9">
        <v>5126.4639999999999</v>
      </c>
      <c r="U409" s="9">
        <v>915.44</v>
      </c>
      <c r="V409" s="10" t="s">
        <v>63</v>
      </c>
    </row>
    <row r="410" spans="1:22" ht="18" customHeight="1" x14ac:dyDescent="0.25">
      <c r="A410" s="7" t="s">
        <v>34</v>
      </c>
      <c r="B410" s="7">
        <v>2020</v>
      </c>
      <c r="C410" s="7" t="s">
        <v>67</v>
      </c>
      <c r="D410" s="7" t="s">
        <v>72</v>
      </c>
      <c r="E410" s="7" t="s">
        <v>22</v>
      </c>
      <c r="F410" s="7" t="s">
        <v>23</v>
      </c>
      <c r="G410" s="7" t="s">
        <v>24</v>
      </c>
      <c r="H410" s="7" t="s">
        <v>25</v>
      </c>
      <c r="I410" s="7" t="s">
        <v>26</v>
      </c>
      <c r="J410" s="7">
        <v>317</v>
      </c>
      <c r="K410" s="7">
        <v>453.31</v>
      </c>
      <c r="N410" s="4">
        <v>2022</v>
      </c>
      <c r="O410" s="4" t="s">
        <v>20</v>
      </c>
      <c r="P410" s="4" t="s">
        <v>39</v>
      </c>
      <c r="Q410" s="13" t="s">
        <v>40</v>
      </c>
      <c r="R410" s="14">
        <v>644</v>
      </c>
      <c r="S410" s="14">
        <v>5743.5</v>
      </c>
      <c r="T410" s="14">
        <v>6432.72</v>
      </c>
      <c r="U410" s="9">
        <v>1148.7</v>
      </c>
      <c r="V410" s="10" t="s">
        <v>63</v>
      </c>
    </row>
    <row r="411" spans="1:22" ht="18" customHeight="1" x14ac:dyDescent="0.25">
      <c r="A411" s="7" t="s">
        <v>34</v>
      </c>
      <c r="B411" s="7">
        <v>2020</v>
      </c>
      <c r="C411" s="7" t="s">
        <v>67</v>
      </c>
      <c r="D411" s="7" t="s">
        <v>72</v>
      </c>
      <c r="E411" s="7" t="s">
        <v>22</v>
      </c>
      <c r="F411" s="7" t="s">
        <v>23</v>
      </c>
      <c r="G411" s="7" t="s">
        <v>24</v>
      </c>
      <c r="H411" s="7" t="s">
        <v>25</v>
      </c>
      <c r="I411" s="7" t="s">
        <v>26</v>
      </c>
      <c r="J411" s="7">
        <v>365</v>
      </c>
      <c r="K411" s="7">
        <v>521.95000000000005</v>
      </c>
      <c r="N411" s="4">
        <v>2022</v>
      </c>
      <c r="O411" s="4" t="s">
        <v>20</v>
      </c>
      <c r="P411" s="4" t="s">
        <v>43</v>
      </c>
      <c r="Q411" s="13" t="s">
        <v>44</v>
      </c>
      <c r="R411" s="14">
        <v>643</v>
      </c>
      <c r="S411" s="14">
        <v>7000</v>
      </c>
      <c r="T411" s="14">
        <v>7840</v>
      </c>
      <c r="U411" s="9">
        <v>1400</v>
      </c>
      <c r="V411" s="10" t="s">
        <v>63</v>
      </c>
    </row>
    <row r="412" spans="1:22" ht="18" customHeight="1" x14ac:dyDescent="0.25">
      <c r="A412" s="7" t="s">
        <v>34</v>
      </c>
      <c r="B412" s="7">
        <v>2020</v>
      </c>
      <c r="C412" s="7" t="s">
        <v>67</v>
      </c>
      <c r="D412" s="7" t="s">
        <v>72</v>
      </c>
      <c r="E412" s="7" t="s">
        <v>22</v>
      </c>
      <c r="F412" s="7" t="s">
        <v>23</v>
      </c>
      <c r="G412" s="7" t="s">
        <v>24</v>
      </c>
      <c r="H412" s="7" t="s">
        <v>25</v>
      </c>
      <c r="I412" s="7" t="s">
        <v>26</v>
      </c>
      <c r="J412" s="7">
        <v>293</v>
      </c>
      <c r="K412" s="7">
        <v>418.99</v>
      </c>
      <c r="N412" s="4">
        <v>2022</v>
      </c>
      <c r="O412" s="4" t="s">
        <v>20</v>
      </c>
      <c r="P412" s="4" t="s">
        <v>39</v>
      </c>
      <c r="Q412" s="13" t="s">
        <v>46</v>
      </c>
      <c r="R412" s="14">
        <v>455</v>
      </c>
      <c r="S412" s="14">
        <v>4578.6000000000004</v>
      </c>
      <c r="T412" s="14">
        <v>5128.0320000000002</v>
      </c>
      <c r="U412" s="9">
        <v>915.72000000000014</v>
      </c>
      <c r="V412" s="10" t="s">
        <v>63</v>
      </c>
    </row>
    <row r="413" spans="1:22" ht="18" customHeight="1" x14ac:dyDescent="0.25">
      <c r="A413" s="7" t="s">
        <v>42</v>
      </c>
      <c r="B413" s="7">
        <v>2020</v>
      </c>
      <c r="C413" s="7" t="s">
        <v>62</v>
      </c>
      <c r="D413" s="7" t="s">
        <v>72</v>
      </c>
      <c r="E413" s="7" t="s">
        <v>22</v>
      </c>
      <c r="F413" s="7" t="s">
        <v>23</v>
      </c>
      <c r="G413" s="7" t="s">
        <v>24</v>
      </c>
      <c r="H413" s="7" t="s">
        <v>25</v>
      </c>
      <c r="I413" s="7" t="s">
        <v>26</v>
      </c>
      <c r="J413" s="7">
        <v>332</v>
      </c>
      <c r="K413" s="7">
        <v>474.76</v>
      </c>
      <c r="N413" s="4">
        <v>2022</v>
      </c>
      <c r="O413" s="4" t="s">
        <v>20</v>
      </c>
      <c r="P413" s="4" t="s">
        <v>43</v>
      </c>
      <c r="Q413" s="13" t="s">
        <v>48</v>
      </c>
      <c r="R413" s="15">
        <v>345</v>
      </c>
      <c r="S413" s="15">
        <v>7000</v>
      </c>
      <c r="T413" s="15">
        <v>7840</v>
      </c>
      <c r="U413" s="9">
        <v>1400</v>
      </c>
      <c r="V413" s="10" t="s">
        <v>63</v>
      </c>
    </row>
    <row r="414" spans="1:22" ht="18" customHeight="1" x14ac:dyDescent="0.25">
      <c r="A414" s="7" t="s">
        <v>19</v>
      </c>
      <c r="B414" s="7">
        <v>2020</v>
      </c>
      <c r="C414" s="7" t="s">
        <v>62</v>
      </c>
      <c r="D414" s="7" t="s">
        <v>72</v>
      </c>
      <c r="E414" s="7" t="s">
        <v>22</v>
      </c>
      <c r="F414" s="7" t="s">
        <v>23</v>
      </c>
      <c r="G414" s="7" t="s">
        <v>24</v>
      </c>
      <c r="H414" s="7" t="s">
        <v>25</v>
      </c>
      <c r="I414" s="7" t="s">
        <v>26</v>
      </c>
      <c r="J414" s="7">
        <v>134</v>
      </c>
      <c r="K414" s="7">
        <v>191.62</v>
      </c>
      <c r="N414" s="4">
        <v>2022</v>
      </c>
      <c r="O414" s="4" t="s">
        <v>20</v>
      </c>
      <c r="P414" s="4" t="s">
        <v>36</v>
      </c>
      <c r="Q414" s="8" t="s">
        <v>49</v>
      </c>
      <c r="R414" s="9">
        <v>122</v>
      </c>
      <c r="S414" s="9">
        <v>100</v>
      </c>
      <c r="T414" s="9">
        <v>112</v>
      </c>
      <c r="U414" s="9">
        <v>20</v>
      </c>
      <c r="V414" s="10" t="s">
        <v>63</v>
      </c>
    </row>
    <row r="415" spans="1:22" ht="18" customHeight="1" x14ac:dyDescent="0.25">
      <c r="A415" s="7" t="s">
        <v>34</v>
      </c>
      <c r="B415" s="7">
        <v>2020</v>
      </c>
      <c r="C415" s="7" t="s">
        <v>62</v>
      </c>
      <c r="D415" s="7" t="s">
        <v>72</v>
      </c>
      <c r="E415" s="7" t="s">
        <v>22</v>
      </c>
      <c r="F415" s="7" t="s">
        <v>23</v>
      </c>
      <c r="G415" s="7" t="s">
        <v>24</v>
      </c>
      <c r="H415" s="7" t="s">
        <v>25</v>
      </c>
      <c r="I415" s="7" t="s">
        <v>26</v>
      </c>
      <c r="J415" s="7">
        <v>308</v>
      </c>
      <c r="K415" s="7">
        <v>440.44</v>
      </c>
      <c r="N415" s="4">
        <v>2022</v>
      </c>
      <c r="O415" s="4" t="s">
        <v>20</v>
      </c>
      <c r="P415" s="4" t="s">
        <v>50</v>
      </c>
      <c r="Q415" s="13" t="s">
        <v>51</v>
      </c>
      <c r="R415" s="14">
        <v>78</v>
      </c>
      <c r="S415" s="14">
        <v>2288.6</v>
      </c>
      <c r="T415" s="14">
        <v>5126.4639999999999</v>
      </c>
      <c r="U415" s="9">
        <v>457.72</v>
      </c>
      <c r="V415" s="10" t="s">
        <v>63</v>
      </c>
    </row>
    <row r="416" spans="1:22" ht="18" customHeight="1" x14ac:dyDescent="0.25">
      <c r="A416" s="7" t="s">
        <v>42</v>
      </c>
      <c r="B416" s="7">
        <v>2020</v>
      </c>
      <c r="C416" s="7" t="s">
        <v>62</v>
      </c>
      <c r="D416" s="7" t="s">
        <v>72</v>
      </c>
      <c r="E416" s="7" t="s">
        <v>22</v>
      </c>
      <c r="F416" s="7" t="s">
        <v>23</v>
      </c>
      <c r="G416" s="7" t="s">
        <v>24</v>
      </c>
      <c r="H416" s="7" t="s">
        <v>25</v>
      </c>
      <c r="I416" s="7" t="s">
        <v>26</v>
      </c>
      <c r="J416" s="7">
        <v>334</v>
      </c>
      <c r="K416" s="7">
        <v>526.24</v>
      </c>
      <c r="N416" s="4">
        <v>2022</v>
      </c>
      <c r="O416" s="4" t="s">
        <v>20</v>
      </c>
      <c r="P416" s="4" t="s">
        <v>50</v>
      </c>
      <c r="Q416" s="13" t="s">
        <v>52</v>
      </c>
      <c r="R416" s="14">
        <v>76</v>
      </c>
      <c r="S416" s="14">
        <v>2288.4499999999998</v>
      </c>
      <c r="T416" s="14">
        <v>5126.1279999999997</v>
      </c>
      <c r="U416" s="9">
        <v>457.69</v>
      </c>
      <c r="V416" s="10" t="s">
        <v>63</v>
      </c>
    </row>
    <row r="417" spans="1:22" ht="18" customHeight="1" x14ac:dyDescent="0.25">
      <c r="A417" s="7" t="s">
        <v>42</v>
      </c>
      <c r="B417" s="7">
        <v>2020</v>
      </c>
      <c r="C417" s="7" t="s">
        <v>62</v>
      </c>
      <c r="D417" s="7" t="s">
        <v>72</v>
      </c>
      <c r="E417" s="7" t="s">
        <v>22</v>
      </c>
      <c r="F417" s="7" t="s">
        <v>23</v>
      </c>
      <c r="G417" s="7" t="s">
        <v>24</v>
      </c>
      <c r="H417" s="7" t="s">
        <v>25</v>
      </c>
      <c r="I417" s="7" t="s">
        <v>26</v>
      </c>
      <c r="J417" s="7">
        <v>136</v>
      </c>
      <c r="K417" s="7">
        <v>526.24</v>
      </c>
      <c r="N417" s="4">
        <v>2022</v>
      </c>
      <c r="O417" s="4" t="s">
        <v>20</v>
      </c>
      <c r="P417" s="4" t="s">
        <v>50</v>
      </c>
      <c r="Q417" s="13" t="s">
        <v>54</v>
      </c>
      <c r="R417" s="14">
        <v>46</v>
      </c>
      <c r="S417" s="14">
        <v>100</v>
      </c>
      <c r="T417" s="14">
        <v>224</v>
      </c>
      <c r="U417" s="9">
        <v>20</v>
      </c>
      <c r="V417" s="10" t="s">
        <v>63</v>
      </c>
    </row>
    <row r="418" spans="1:22" ht="18" customHeight="1" x14ac:dyDescent="0.25">
      <c r="A418" s="7" t="s">
        <v>34</v>
      </c>
      <c r="B418" s="7">
        <v>2020</v>
      </c>
      <c r="C418" s="7" t="s">
        <v>62</v>
      </c>
      <c r="D418" s="7" t="s">
        <v>72</v>
      </c>
      <c r="E418" s="7" t="s">
        <v>22</v>
      </c>
      <c r="F418" s="7" t="s">
        <v>23</v>
      </c>
      <c r="G418" s="7" t="s">
        <v>24</v>
      </c>
      <c r="H418" s="7" t="s">
        <v>25</v>
      </c>
      <c r="I418" s="7" t="s">
        <v>26</v>
      </c>
      <c r="J418" s="7">
        <v>310</v>
      </c>
      <c r="K418" s="7">
        <v>526.24</v>
      </c>
      <c r="N418" s="4">
        <v>2022</v>
      </c>
      <c r="O418" s="4" t="s">
        <v>20</v>
      </c>
      <c r="P418" s="4" t="s">
        <v>50</v>
      </c>
      <c r="Q418" s="13" t="s">
        <v>55</v>
      </c>
      <c r="R418" s="14">
        <v>34</v>
      </c>
      <c r="S418" s="14">
        <v>2288.4</v>
      </c>
      <c r="T418" s="14">
        <v>5126.0160000000005</v>
      </c>
      <c r="U418" s="9">
        <v>457.68000000000006</v>
      </c>
      <c r="V418" s="10" t="s">
        <v>63</v>
      </c>
    </row>
    <row r="419" spans="1:22" ht="18" customHeight="1" x14ac:dyDescent="0.25">
      <c r="A419" s="7" t="s">
        <v>34</v>
      </c>
      <c r="B419" s="7">
        <v>2020</v>
      </c>
      <c r="C419" s="7" t="s">
        <v>62</v>
      </c>
      <c r="D419" s="7" t="s">
        <v>72</v>
      </c>
      <c r="E419" s="7" t="s">
        <v>22</v>
      </c>
      <c r="F419" s="7" t="s">
        <v>23</v>
      </c>
      <c r="G419" s="7" t="s">
        <v>24</v>
      </c>
      <c r="H419" s="7" t="s">
        <v>25</v>
      </c>
      <c r="I419" s="7" t="s">
        <v>26</v>
      </c>
      <c r="J419" s="7">
        <v>988</v>
      </c>
      <c r="K419" s="7">
        <v>1412.84</v>
      </c>
      <c r="N419" s="4">
        <v>2022</v>
      </c>
      <c r="O419" s="4" t="s">
        <v>20</v>
      </c>
      <c r="P419" s="4" t="s">
        <v>36</v>
      </c>
      <c r="Q419" s="8" t="s">
        <v>56</v>
      </c>
      <c r="R419" s="9">
        <v>7</v>
      </c>
      <c r="S419" s="9">
        <v>200</v>
      </c>
      <c r="T419" s="9">
        <v>224</v>
      </c>
      <c r="U419" s="9">
        <v>40</v>
      </c>
      <c r="V419" s="10" t="s">
        <v>63</v>
      </c>
    </row>
    <row r="420" spans="1:22" ht="18" customHeight="1" x14ac:dyDescent="0.25">
      <c r="A420" s="7" t="s">
        <v>19</v>
      </c>
      <c r="B420" s="7">
        <v>2020</v>
      </c>
      <c r="C420" s="7" t="s">
        <v>62</v>
      </c>
      <c r="D420" s="7" t="s">
        <v>72</v>
      </c>
      <c r="E420" s="7" t="s">
        <v>22</v>
      </c>
      <c r="F420" s="7" t="s">
        <v>23</v>
      </c>
      <c r="G420" s="7" t="s">
        <v>24</v>
      </c>
      <c r="H420" s="7" t="s">
        <v>25</v>
      </c>
      <c r="I420" s="7" t="s">
        <v>26</v>
      </c>
      <c r="J420" s="7">
        <v>306</v>
      </c>
      <c r="K420" s="7">
        <v>437.58</v>
      </c>
      <c r="N420" s="4">
        <v>2022</v>
      </c>
      <c r="O420" s="4" t="s">
        <v>20</v>
      </c>
      <c r="P420" s="4" t="s">
        <v>50</v>
      </c>
      <c r="Q420" s="13" t="s">
        <v>58</v>
      </c>
      <c r="R420" s="14">
        <v>3</v>
      </c>
      <c r="S420" s="14">
        <v>2288.65</v>
      </c>
      <c r="T420" s="14">
        <v>5126.576</v>
      </c>
      <c r="U420" s="9">
        <v>457.73</v>
      </c>
      <c r="V420" s="10" t="s">
        <v>63</v>
      </c>
    </row>
    <row r="421" spans="1:22" ht="18" customHeight="1" x14ac:dyDescent="0.25">
      <c r="A421" s="7" t="s">
        <v>19</v>
      </c>
      <c r="B421" s="7">
        <v>2020</v>
      </c>
      <c r="C421" s="7" t="s">
        <v>62</v>
      </c>
      <c r="D421" s="7" t="s">
        <v>72</v>
      </c>
      <c r="E421" s="7" t="s">
        <v>22</v>
      </c>
      <c r="F421" s="7" t="s">
        <v>23</v>
      </c>
      <c r="G421" s="7" t="s">
        <v>24</v>
      </c>
      <c r="H421" s="7" t="s">
        <v>25</v>
      </c>
      <c r="I421" s="7" t="s">
        <v>26</v>
      </c>
      <c r="J421" s="7">
        <v>333</v>
      </c>
      <c r="K421" s="7">
        <v>476.19</v>
      </c>
      <c r="N421" s="4">
        <v>2022</v>
      </c>
      <c r="O421" s="4" t="s">
        <v>20</v>
      </c>
      <c r="P421" s="4" t="s">
        <v>57</v>
      </c>
      <c r="Q421" s="13" t="s">
        <v>57</v>
      </c>
      <c r="R421" s="14">
        <v>2</v>
      </c>
      <c r="S421" s="14">
        <v>7920</v>
      </c>
      <c r="T421" s="14">
        <v>7392</v>
      </c>
      <c r="U421" s="9">
        <v>1584</v>
      </c>
      <c r="V421" s="10" t="s">
        <v>63</v>
      </c>
    </row>
    <row r="422" spans="1:22" ht="18" customHeight="1" x14ac:dyDescent="0.25">
      <c r="A422" s="7" t="s">
        <v>42</v>
      </c>
      <c r="B422" s="7">
        <v>2020</v>
      </c>
      <c r="C422" s="7" t="s">
        <v>62</v>
      </c>
      <c r="D422" s="7" t="s">
        <v>72</v>
      </c>
      <c r="E422" s="7" t="s">
        <v>22</v>
      </c>
      <c r="F422" s="7" t="s">
        <v>23</v>
      </c>
      <c r="G422" s="7" t="s">
        <v>24</v>
      </c>
      <c r="H422" s="7" t="s">
        <v>25</v>
      </c>
      <c r="I422" s="7" t="s">
        <v>26</v>
      </c>
      <c r="J422" s="7">
        <v>135</v>
      </c>
      <c r="K422" s="7">
        <v>193.05</v>
      </c>
      <c r="N422" s="4">
        <v>2022</v>
      </c>
      <c r="O422" s="4" t="s">
        <v>66</v>
      </c>
      <c r="P422" s="4" t="s">
        <v>28</v>
      </c>
      <c r="Q422" s="8" t="s">
        <v>29</v>
      </c>
      <c r="R422" s="9">
        <v>3566</v>
      </c>
      <c r="S422" s="9">
        <v>4577.3</v>
      </c>
      <c r="T422" s="9">
        <v>5126.576</v>
      </c>
      <c r="U422" s="9">
        <v>915.46</v>
      </c>
      <c r="V422" s="10" t="s">
        <v>30</v>
      </c>
    </row>
    <row r="423" spans="1:22" ht="18" customHeight="1" x14ac:dyDescent="0.25">
      <c r="A423" s="7" t="s">
        <v>34</v>
      </c>
      <c r="B423" s="7">
        <v>2020</v>
      </c>
      <c r="C423" s="7" t="s">
        <v>62</v>
      </c>
      <c r="D423" s="7" t="s">
        <v>72</v>
      </c>
      <c r="E423" s="7" t="s">
        <v>22</v>
      </c>
      <c r="F423" s="7" t="s">
        <v>23</v>
      </c>
      <c r="G423" s="7" t="s">
        <v>24</v>
      </c>
      <c r="H423" s="7" t="s">
        <v>25</v>
      </c>
      <c r="I423" s="7" t="s">
        <v>26</v>
      </c>
      <c r="J423" s="7">
        <v>309</v>
      </c>
      <c r="K423" s="7">
        <v>441.87</v>
      </c>
      <c r="N423" s="4">
        <v>2022</v>
      </c>
      <c r="O423" s="4" t="s">
        <v>66</v>
      </c>
      <c r="P423" s="4" t="s">
        <v>28</v>
      </c>
      <c r="Q423" s="8" t="s">
        <v>32</v>
      </c>
      <c r="R423" s="9">
        <v>2498</v>
      </c>
      <c r="S423" s="9">
        <v>8800</v>
      </c>
      <c r="T423" s="9">
        <v>8960</v>
      </c>
      <c r="U423" s="9">
        <v>1760</v>
      </c>
      <c r="V423" s="10" t="s">
        <v>30</v>
      </c>
    </row>
    <row r="424" spans="1:22" ht="18" customHeight="1" x14ac:dyDescent="0.25">
      <c r="A424" s="7" t="s">
        <v>34</v>
      </c>
      <c r="B424" s="7">
        <v>2020</v>
      </c>
      <c r="C424" s="7" t="s">
        <v>62</v>
      </c>
      <c r="D424" s="7" t="s">
        <v>72</v>
      </c>
      <c r="E424" s="7" t="s">
        <v>22</v>
      </c>
      <c r="F424" s="7" t="s">
        <v>23</v>
      </c>
      <c r="G424" s="7" t="s">
        <v>24</v>
      </c>
      <c r="H424" s="7" t="s">
        <v>25</v>
      </c>
      <c r="I424" s="7" t="s">
        <v>26</v>
      </c>
      <c r="J424" s="7">
        <v>769</v>
      </c>
      <c r="K424" s="7">
        <v>1099.67</v>
      </c>
      <c r="N424" s="4">
        <v>2022</v>
      </c>
      <c r="O424" s="4" t="s">
        <v>66</v>
      </c>
      <c r="P424" s="4" t="s">
        <v>36</v>
      </c>
      <c r="Q424" s="8" t="s">
        <v>37</v>
      </c>
      <c r="R424" s="9">
        <v>1245</v>
      </c>
      <c r="S424" s="9">
        <v>5034.92</v>
      </c>
      <c r="T424" s="9">
        <v>5126.4639999999999</v>
      </c>
      <c r="U424" s="9">
        <v>1006.984</v>
      </c>
      <c r="V424" s="10" t="s">
        <v>30</v>
      </c>
    </row>
    <row r="425" spans="1:22" ht="18" customHeight="1" x14ac:dyDescent="0.25">
      <c r="A425" s="7" t="s">
        <v>42</v>
      </c>
      <c r="B425" s="7">
        <v>2020</v>
      </c>
      <c r="C425" s="7" t="s">
        <v>62</v>
      </c>
      <c r="D425" s="7" t="s">
        <v>72</v>
      </c>
      <c r="E425" s="7" t="s">
        <v>22</v>
      </c>
      <c r="F425" s="7" t="s">
        <v>23</v>
      </c>
      <c r="G425" s="7" t="s">
        <v>24</v>
      </c>
      <c r="H425" s="7" t="s">
        <v>25</v>
      </c>
      <c r="I425" s="7" t="s">
        <v>26</v>
      </c>
      <c r="J425" s="7">
        <v>803</v>
      </c>
      <c r="K425" s="7">
        <v>1148.29</v>
      </c>
      <c r="N425" s="4">
        <v>2022</v>
      </c>
      <c r="O425" s="4" t="s">
        <v>66</v>
      </c>
      <c r="P425" s="4" t="s">
        <v>39</v>
      </c>
      <c r="Q425" s="13" t="s">
        <v>40</v>
      </c>
      <c r="R425" s="14">
        <v>644</v>
      </c>
      <c r="S425" s="14">
        <v>6317.85</v>
      </c>
      <c r="T425" s="14">
        <v>6432.72</v>
      </c>
      <c r="U425" s="9">
        <v>1263.5700000000002</v>
      </c>
      <c r="V425" s="10" t="s">
        <v>30</v>
      </c>
    </row>
    <row r="426" spans="1:22" ht="18" customHeight="1" x14ac:dyDescent="0.25">
      <c r="A426" s="7" t="s">
        <v>42</v>
      </c>
      <c r="B426" s="7">
        <v>2020</v>
      </c>
      <c r="C426" s="7" t="s">
        <v>62</v>
      </c>
      <c r="D426" s="7" t="s">
        <v>72</v>
      </c>
      <c r="E426" s="7" t="s">
        <v>22</v>
      </c>
      <c r="F426" s="7" t="s">
        <v>23</v>
      </c>
      <c r="G426" s="7" t="s">
        <v>24</v>
      </c>
      <c r="H426" s="7" t="s">
        <v>25</v>
      </c>
      <c r="I426" s="7" t="s">
        <v>26</v>
      </c>
      <c r="J426" s="7">
        <v>856</v>
      </c>
      <c r="K426" s="7">
        <v>1224.08</v>
      </c>
      <c r="N426" s="4">
        <v>2022</v>
      </c>
      <c r="O426" s="4" t="s">
        <v>66</v>
      </c>
      <c r="P426" s="4" t="s">
        <v>43</v>
      </c>
      <c r="Q426" s="13" t="s">
        <v>44</v>
      </c>
      <c r="R426" s="14">
        <v>643</v>
      </c>
      <c r="S426" s="14">
        <v>7700</v>
      </c>
      <c r="T426" s="14">
        <v>7840</v>
      </c>
      <c r="U426" s="9">
        <v>1540</v>
      </c>
      <c r="V426" s="10" t="s">
        <v>30</v>
      </c>
    </row>
    <row r="427" spans="1:22" ht="18" customHeight="1" x14ac:dyDescent="0.25">
      <c r="A427" s="7" t="s">
        <v>34</v>
      </c>
      <c r="B427" s="7">
        <v>2020</v>
      </c>
      <c r="C427" s="7" t="s">
        <v>62</v>
      </c>
      <c r="D427" s="7" t="s">
        <v>72</v>
      </c>
      <c r="E427" s="7" t="s">
        <v>22</v>
      </c>
      <c r="F427" s="7" t="s">
        <v>23</v>
      </c>
      <c r="G427" s="7" t="s">
        <v>24</v>
      </c>
      <c r="H427" s="7" t="s">
        <v>25</v>
      </c>
      <c r="I427" s="7" t="s">
        <v>26</v>
      </c>
      <c r="J427" s="7">
        <v>335</v>
      </c>
      <c r="K427" s="7">
        <v>479.05</v>
      </c>
      <c r="N427" s="4">
        <v>2022</v>
      </c>
      <c r="O427" s="4" t="s">
        <v>66</v>
      </c>
      <c r="P427" s="4" t="s">
        <v>39</v>
      </c>
      <c r="Q427" s="13" t="s">
        <v>46</v>
      </c>
      <c r="R427" s="14">
        <v>455</v>
      </c>
      <c r="S427" s="14">
        <v>5036.46</v>
      </c>
      <c r="T427" s="14">
        <v>5128.0320000000002</v>
      </c>
      <c r="U427" s="9">
        <v>1007.292</v>
      </c>
      <c r="V427" s="10" t="s">
        <v>63</v>
      </c>
    </row>
    <row r="428" spans="1:22" ht="18" customHeight="1" x14ac:dyDescent="0.25">
      <c r="A428" s="7" t="s">
        <v>42</v>
      </c>
      <c r="B428" s="7">
        <v>2020</v>
      </c>
      <c r="C428" s="7" t="s">
        <v>62</v>
      </c>
      <c r="D428" s="7" t="s">
        <v>72</v>
      </c>
      <c r="E428" s="7" t="s">
        <v>22</v>
      </c>
      <c r="F428" s="7" t="s">
        <v>23</v>
      </c>
      <c r="G428" s="7" t="s">
        <v>24</v>
      </c>
      <c r="H428" s="7" t="s">
        <v>25</v>
      </c>
      <c r="I428" s="7" t="s">
        <v>26</v>
      </c>
      <c r="J428" s="7">
        <v>137</v>
      </c>
      <c r="K428" s="7">
        <v>195.91</v>
      </c>
      <c r="N428" s="4">
        <v>2022</v>
      </c>
      <c r="O428" s="4" t="s">
        <v>66</v>
      </c>
      <c r="P428" s="4" t="s">
        <v>43</v>
      </c>
      <c r="Q428" s="13" t="s">
        <v>48</v>
      </c>
      <c r="R428" s="15">
        <v>345</v>
      </c>
      <c r="S428" s="15">
        <v>7700</v>
      </c>
      <c r="T428" s="15">
        <v>7840</v>
      </c>
      <c r="U428" s="9">
        <v>1540</v>
      </c>
      <c r="V428" s="10" t="s">
        <v>63</v>
      </c>
    </row>
    <row r="429" spans="1:22" ht="18" customHeight="1" x14ac:dyDescent="0.25">
      <c r="A429" s="7" t="s">
        <v>42</v>
      </c>
      <c r="B429" s="7">
        <v>2020</v>
      </c>
      <c r="C429" s="7" t="s">
        <v>62</v>
      </c>
      <c r="D429" s="7" t="s">
        <v>72</v>
      </c>
      <c r="E429" s="7" t="s">
        <v>22</v>
      </c>
      <c r="F429" s="7" t="s">
        <v>23</v>
      </c>
      <c r="G429" s="7" t="s">
        <v>24</v>
      </c>
      <c r="H429" s="7" t="s">
        <v>25</v>
      </c>
      <c r="I429" s="7" t="s">
        <v>26</v>
      </c>
      <c r="J429" s="7">
        <v>305</v>
      </c>
      <c r="K429" s="7">
        <v>436.15</v>
      </c>
      <c r="N429" s="4">
        <v>2022</v>
      </c>
      <c r="O429" s="4" t="s">
        <v>66</v>
      </c>
      <c r="P429" s="4" t="s">
        <v>36</v>
      </c>
      <c r="Q429" s="8" t="s">
        <v>49</v>
      </c>
      <c r="R429" s="9">
        <v>122</v>
      </c>
      <c r="S429" s="9">
        <v>110</v>
      </c>
      <c r="T429" s="9">
        <v>112</v>
      </c>
      <c r="U429" s="9">
        <v>22</v>
      </c>
      <c r="V429" s="10" t="s">
        <v>63</v>
      </c>
    </row>
    <row r="430" spans="1:22" ht="18" customHeight="1" x14ac:dyDescent="0.25">
      <c r="A430" s="7" t="s">
        <v>19</v>
      </c>
      <c r="B430" s="7">
        <v>2020</v>
      </c>
      <c r="C430" s="7" t="s">
        <v>66</v>
      </c>
      <c r="D430" s="7" t="s">
        <v>72</v>
      </c>
      <c r="E430" s="7" t="s">
        <v>22</v>
      </c>
      <c r="F430" s="7" t="s">
        <v>23</v>
      </c>
      <c r="G430" s="7" t="s">
        <v>24</v>
      </c>
      <c r="H430" s="7" t="s">
        <v>25</v>
      </c>
      <c r="I430" s="7" t="s">
        <v>26</v>
      </c>
      <c r="J430" s="7">
        <v>326</v>
      </c>
      <c r="K430" s="7">
        <v>466.18</v>
      </c>
      <c r="N430" s="4">
        <v>2022</v>
      </c>
      <c r="O430" s="4" t="s">
        <v>66</v>
      </c>
      <c r="P430" s="4" t="s">
        <v>50</v>
      </c>
      <c r="Q430" s="13" t="s">
        <v>51</v>
      </c>
      <c r="R430" s="14">
        <v>78</v>
      </c>
      <c r="S430" s="14">
        <v>2517.46</v>
      </c>
      <c r="T430" s="14">
        <v>5126.4639999999999</v>
      </c>
      <c r="U430" s="9">
        <v>503.49200000000002</v>
      </c>
      <c r="V430" s="10" t="s">
        <v>63</v>
      </c>
    </row>
    <row r="431" spans="1:22" ht="18" customHeight="1" x14ac:dyDescent="0.25">
      <c r="A431" s="7" t="s">
        <v>34</v>
      </c>
      <c r="B431" s="7">
        <v>2020</v>
      </c>
      <c r="C431" s="7" t="s">
        <v>66</v>
      </c>
      <c r="D431" s="7" t="s">
        <v>72</v>
      </c>
      <c r="E431" s="7" t="s">
        <v>22</v>
      </c>
      <c r="F431" s="7" t="s">
        <v>23</v>
      </c>
      <c r="G431" s="7" t="s">
        <v>24</v>
      </c>
      <c r="H431" s="7" t="s">
        <v>25</v>
      </c>
      <c r="I431" s="7" t="s">
        <v>26</v>
      </c>
      <c r="J431" s="7">
        <v>368</v>
      </c>
      <c r="K431" s="7">
        <v>526.24</v>
      </c>
      <c r="N431" s="4">
        <v>2022</v>
      </c>
      <c r="O431" s="4" t="s">
        <v>66</v>
      </c>
      <c r="P431" s="4" t="s">
        <v>50</v>
      </c>
      <c r="Q431" s="13" t="s">
        <v>52</v>
      </c>
      <c r="R431" s="14">
        <v>76</v>
      </c>
      <c r="S431" s="14">
        <v>2288.4499999999998</v>
      </c>
      <c r="T431" s="14">
        <v>5126.1279999999997</v>
      </c>
      <c r="U431" s="9">
        <v>457.69</v>
      </c>
      <c r="V431" s="10" t="s">
        <v>63</v>
      </c>
    </row>
    <row r="432" spans="1:22" ht="18" customHeight="1" x14ac:dyDescent="0.25">
      <c r="A432" s="7" t="s">
        <v>34</v>
      </c>
      <c r="B432" s="7">
        <v>2020</v>
      </c>
      <c r="C432" s="7" t="s">
        <v>66</v>
      </c>
      <c r="D432" s="7" t="s">
        <v>72</v>
      </c>
      <c r="E432" s="7" t="s">
        <v>22</v>
      </c>
      <c r="F432" s="7" t="s">
        <v>23</v>
      </c>
      <c r="G432" s="7" t="s">
        <v>24</v>
      </c>
      <c r="H432" s="7" t="s">
        <v>25</v>
      </c>
      <c r="I432" s="7" t="s">
        <v>26</v>
      </c>
      <c r="J432" s="7">
        <v>296</v>
      </c>
      <c r="K432" s="7">
        <v>423.28</v>
      </c>
      <c r="N432" s="4">
        <v>2022</v>
      </c>
      <c r="O432" s="4" t="s">
        <v>66</v>
      </c>
      <c r="P432" s="4" t="s">
        <v>50</v>
      </c>
      <c r="Q432" s="13" t="s">
        <v>54</v>
      </c>
      <c r="R432" s="14">
        <v>46</v>
      </c>
      <c r="S432" s="14">
        <v>100</v>
      </c>
      <c r="T432" s="14">
        <v>224</v>
      </c>
      <c r="U432" s="9">
        <v>20</v>
      </c>
      <c r="V432" s="10" t="s">
        <v>63</v>
      </c>
    </row>
    <row r="433" spans="1:22" ht="18" customHeight="1" x14ac:dyDescent="0.25">
      <c r="A433" s="7" t="s">
        <v>34</v>
      </c>
      <c r="B433" s="7">
        <v>2020</v>
      </c>
      <c r="C433" s="7" t="s">
        <v>66</v>
      </c>
      <c r="D433" s="7" t="s">
        <v>72</v>
      </c>
      <c r="E433" s="7" t="s">
        <v>22</v>
      </c>
      <c r="F433" s="7" t="s">
        <v>23</v>
      </c>
      <c r="G433" s="7" t="s">
        <v>24</v>
      </c>
      <c r="H433" s="7" t="s">
        <v>25</v>
      </c>
      <c r="I433" s="7" t="s">
        <v>26</v>
      </c>
      <c r="J433" s="7">
        <v>322</v>
      </c>
      <c r="K433" s="7">
        <v>526.24</v>
      </c>
      <c r="N433" s="4">
        <v>2022</v>
      </c>
      <c r="O433" s="4" t="s">
        <v>66</v>
      </c>
      <c r="P433" s="4" t="s">
        <v>50</v>
      </c>
      <c r="Q433" s="13" t="s">
        <v>55</v>
      </c>
      <c r="R433" s="14">
        <v>34</v>
      </c>
      <c r="S433" s="14">
        <v>2288.4</v>
      </c>
      <c r="T433" s="14">
        <v>5126.0160000000005</v>
      </c>
      <c r="U433" s="9">
        <v>457.68000000000006</v>
      </c>
      <c r="V433" s="10" t="s">
        <v>63</v>
      </c>
    </row>
    <row r="434" spans="1:22" ht="18" customHeight="1" x14ac:dyDescent="0.25">
      <c r="A434" s="7" t="s">
        <v>61</v>
      </c>
      <c r="B434" s="7">
        <v>2020</v>
      </c>
      <c r="C434" s="7" t="s">
        <v>66</v>
      </c>
      <c r="D434" s="7" t="s">
        <v>72</v>
      </c>
      <c r="E434" s="7" t="s">
        <v>22</v>
      </c>
      <c r="F434" s="7" t="s">
        <v>23</v>
      </c>
      <c r="G434" s="7" t="s">
        <v>24</v>
      </c>
      <c r="H434" s="7" t="s">
        <v>25</v>
      </c>
      <c r="I434" s="7" t="s">
        <v>26</v>
      </c>
      <c r="J434" s="7">
        <v>370</v>
      </c>
      <c r="K434" s="7">
        <v>526.24</v>
      </c>
      <c r="N434" s="4">
        <v>2022</v>
      </c>
      <c r="O434" s="4" t="s">
        <v>66</v>
      </c>
      <c r="P434" s="4" t="s">
        <v>36</v>
      </c>
      <c r="Q434" s="8" t="s">
        <v>56</v>
      </c>
      <c r="R434" s="9">
        <v>7</v>
      </c>
      <c r="S434" s="9">
        <v>200</v>
      </c>
      <c r="T434" s="9">
        <v>224</v>
      </c>
      <c r="U434" s="9">
        <v>40</v>
      </c>
      <c r="V434" s="10" t="s">
        <v>63</v>
      </c>
    </row>
    <row r="435" spans="1:22" ht="18" customHeight="1" x14ac:dyDescent="0.25">
      <c r="A435" s="7" t="s">
        <v>42</v>
      </c>
      <c r="B435" s="7">
        <v>2020</v>
      </c>
      <c r="C435" s="7" t="s">
        <v>66</v>
      </c>
      <c r="D435" s="7" t="s">
        <v>72</v>
      </c>
      <c r="E435" s="7" t="s">
        <v>22</v>
      </c>
      <c r="F435" s="7" t="s">
        <v>23</v>
      </c>
      <c r="G435" s="7" t="s">
        <v>24</v>
      </c>
      <c r="H435" s="7" t="s">
        <v>25</v>
      </c>
      <c r="I435" s="7" t="s">
        <v>26</v>
      </c>
      <c r="J435" s="7">
        <v>298</v>
      </c>
      <c r="K435" s="7">
        <v>526.24</v>
      </c>
      <c r="N435" s="4">
        <v>2022</v>
      </c>
      <c r="O435" s="4" t="s">
        <v>66</v>
      </c>
      <c r="P435" s="4" t="s">
        <v>50</v>
      </c>
      <c r="Q435" s="13" t="s">
        <v>58</v>
      </c>
      <c r="R435" s="14">
        <v>3</v>
      </c>
      <c r="S435" s="14">
        <v>3300</v>
      </c>
      <c r="T435" s="14">
        <v>5126.576</v>
      </c>
      <c r="U435" s="9">
        <v>660</v>
      </c>
      <c r="V435" s="10" t="s">
        <v>63</v>
      </c>
    </row>
    <row r="436" spans="1:22" ht="18" customHeight="1" x14ac:dyDescent="0.25">
      <c r="A436" s="7" t="s">
        <v>42</v>
      </c>
      <c r="B436" s="7">
        <v>2020</v>
      </c>
      <c r="C436" s="7" t="s">
        <v>66</v>
      </c>
      <c r="D436" s="7" t="s">
        <v>72</v>
      </c>
      <c r="E436" s="7" t="s">
        <v>22</v>
      </c>
      <c r="F436" s="7" t="s">
        <v>23</v>
      </c>
      <c r="G436" s="7" t="s">
        <v>24</v>
      </c>
      <c r="H436" s="7" t="s">
        <v>25</v>
      </c>
      <c r="I436" s="7" t="s">
        <v>26</v>
      </c>
      <c r="J436" s="7">
        <v>990</v>
      </c>
      <c r="K436" s="7">
        <v>1415.7</v>
      </c>
      <c r="N436" s="4">
        <v>2022</v>
      </c>
      <c r="O436" s="4" t="s">
        <v>66</v>
      </c>
      <c r="P436" s="4" t="s">
        <v>57</v>
      </c>
      <c r="Q436" s="13" t="s">
        <v>57</v>
      </c>
      <c r="R436" s="14">
        <v>2</v>
      </c>
      <c r="S436" s="14">
        <v>4577.3</v>
      </c>
      <c r="T436" s="14">
        <v>7392</v>
      </c>
      <c r="U436" s="9">
        <v>915.46</v>
      </c>
      <c r="V436" s="10" t="s">
        <v>30</v>
      </c>
    </row>
    <row r="437" spans="1:22" ht="18" customHeight="1" x14ac:dyDescent="0.25">
      <c r="A437" s="7" t="s">
        <v>19</v>
      </c>
      <c r="B437" s="7">
        <v>2020</v>
      </c>
      <c r="C437" s="7" t="s">
        <v>66</v>
      </c>
      <c r="D437" s="7" t="s">
        <v>72</v>
      </c>
      <c r="E437" s="7" t="s">
        <v>22</v>
      </c>
      <c r="F437" s="7" t="s">
        <v>23</v>
      </c>
      <c r="G437" s="7" t="s">
        <v>24</v>
      </c>
      <c r="H437" s="7" t="s">
        <v>25</v>
      </c>
      <c r="I437" s="7" t="s">
        <v>26</v>
      </c>
      <c r="J437" s="7">
        <v>1023</v>
      </c>
      <c r="K437" s="7">
        <v>1462.8899999999999</v>
      </c>
      <c r="N437" s="4">
        <v>2022</v>
      </c>
      <c r="O437" s="4" t="s">
        <v>67</v>
      </c>
      <c r="P437" s="4" t="s">
        <v>28</v>
      </c>
      <c r="Q437" s="8" t="s">
        <v>29</v>
      </c>
      <c r="R437" s="9">
        <v>3566</v>
      </c>
      <c r="S437" s="9">
        <v>4577.3</v>
      </c>
      <c r="T437" s="9">
        <v>5126.576</v>
      </c>
      <c r="U437" s="9">
        <v>915.46</v>
      </c>
      <c r="V437" s="10" t="s">
        <v>63</v>
      </c>
    </row>
    <row r="438" spans="1:22" ht="18" customHeight="1" x14ac:dyDescent="0.25">
      <c r="A438" s="7" t="s">
        <v>34</v>
      </c>
      <c r="B438" s="7">
        <v>2020</v>
      </c>
      <c r="C438" s="7" t="s">
        <v>66</v>
      </c>
      <c r="D438" s="7" t="s">
        <v>72</v>
      </c>
      <c r="E438" s="7" t="s">
        <v>22</v>
      </c>
      <c r="F438" s="7" t="s">
        <v>23</v>
      </c>
      <c r="G438" s="7" t="s">
        <v>24</v>
      </c>
      <c r="H438" s="7" t="s">
        <v>25</v>
      </c>
      <c r="I438" s="7" t="s">
        <v>26</v>
      </c>
      <c r="J438" s="7">
        <v>369</v>
      </c>
      <c r="K438" s="7">
        <v>527.66999999999996</v>
      </c>
      <c r="N438" s="4">
        <v>2022</v>
      </c>
      <c r="O438" s="4" t="s">
        <v>67</v>
      </c>
      <c r="P438" s="4" t="s">
        <v>28</v>
      </c>
      <c r="Q438" s="8" t="s">
        <v>32</v>
      </c>
      <c r="R438" s="9">
        <v>2498</v>
      </c>
      <c r="S438" s="9">
        <v>8000</v>
      </c>
      <c r="T438" s="9">
        <v>8960</v>
      </c>
      <c r="U438" s="9">
        <v>1600</v>
      </c>
      <c r="V438" s="10" t="s">
        <v>30</v>
      </c>
    </row>
    <row r="439" spans="1:22" ht="18" customHeight="1" x14ac:dyDescent="0.25">
      <c r="A439" s="7" t="s">
        <v>42</v>
      </c>
      <c r="B439" s="7">
        <v>2020</v>
      </c>
      <c r="C439" s="7" t="s">
        <v>66</v>
      </c>
      <c r="D439" s="7" t="s">
        <v>72</v>
      </c>
      <c r="E439" s="7" t="s">
        <v>22</v>
      </c>
      <c r="F439" s="7" t="s">
        <v>23</v>
      </c>
      <c r="G439" s="7" t="s">
        <v>24</v>
      </c>
      <c r="H439" s="7" t="s">
        <v>25</v>
      </c>
      <c r="I439" s="7" t="s">
        <v>26</v>
      </c>
      <c r="J439" s="7">
        <v>297</v>
      </c>
      <c r="K439" s="7">
        <v>424.71</v>
      </c>
      <c r="N439" s="4">
        <v>2022</v>
      </c>
      <c r="O439" s="4" t="s">
        <v>67</v>
      </c>
      <c r="P439" s="4" t="s">
        <v>36</v>
      </c>
      <c r="Q439" s="8" t="s">
        <v>37</v>
      </c>
      <c r="R439" s="9">
        <v>1245</v>
      </c>
      <c r="S439" s="9">
        <v>4577.2</v>
      </c>
      <c r="T439" s="9">
        <v>5126.4639999999999</v>
      </c>
      <c r="U439" s="9">
        <v>915.44</v>
      </c>
      <c r="V439" s="10" t="s">
        <v>30</v>
      </c>
    </row>
    <row r="440" spans="1:22" ht="18" customHeight="1" x14ac:dyDescent="0.25">
      <c r="A440" s="7" t="s">
        <v>42</v>
      </c>
      <c r="B440" s="7">
        <v>2020</v>
      </c>
      <c r="C440" s="7" t="s">
        <v>66</v>
      </c>
      <c r="D440" s="7" t="s">
        <v>72</v>
      </c>
      <c r="E440" s="7" t="s">
        <v>22</v>
      </c>
      <c r="F440" s="7" t="s">
        <v>23</v>
      </c>
      <c r="G440" s="7" t="s">
        <v>24</v>
      </c>
      <c r="H440" s="7" t="s">
        <v>25</v>
      </c>
      <c r="I440" s="7" t="s">
        <v>26</v>
      </c>
      <c r="J440" s="7">
        <v>771</v>
      </c>
      <c r="K440" s="7">
        <v>1102.53</v>
      </c>
      <c r="N440" s="4">
        <v>2022</v>
      </c>
      <c r="O440" s="4" t="s">
        <v>67</v>
      </c>
      <c r="P440" s="4" t="s">
        <v>39</v>
      </c>
      <c r="Q440" s="13" t="s">
        <v>40</v>
      </c>
      <c r="R440" s="14">
        <v>644</v>
      </c>
      <c r="S440" s="14">
        <v>5743.5</v>
      </c>
      <c r="T440" s="14">
        <v>6432.72</v>
      </c>
      <c r="U440" s="9">
        <v>1148.7</v>
      </c>
      <c r="V440" s="10" t="s">
        <v>30</v>
      </c>
    </row>
    <row r="441" spans="1:22" ht="18" customHeight="1" x14ac:dyDescent="0.25">
      <c r="A441" s="7" t="s">
        <v>19</v>
      </c>
      <c r="B441" s="7">
        <v>2020</v>
      </c>
      <c r="C441" s="7" t="s">
        <v>66</v>
      </c>
      <c r="D441" s="7" t="s">
        <v>72</v>
      </c>
      <c r="E441" s="7" t="s">
        <v>22</v>
      </c>
      <c r="F441" s="7" t="s">
        <v>23</v>
      </c>
      <c r="G441" s="7" t="s">
        <v>24</v>
      </c>
      <c r="H441" s="7" t="s">
        <v>25</v>
      </c>
      <c r="I441" s="7" t="s">
        <v>26</v>
      </c>
      <c r="J441" s="7">
        <v>804</v>
      </c>
      <c r="K441" s="7">
        <v>1149.72</v>
      </c>
      <c r="N441" s="4">
        <v>2022</v>
      </c>
      <c r="O441" s="4" t="s">
        <v>67</v>
      </c>
      <c r="P441" s="4" t="s">
        <v>43</v>
      </c>
      <c r="Q441" s="13" t="s">
        <v>44</v>
      </c>
      <c r="R441" s="14">
        <v>643</v>
      </c>
      <c r="S441" s="14">
        <v>7000</v>
      </c>
      <c r="T441" s="14">
        <v>7840</v>
      </c>
      <c r="U441" s="9">
        <v>1400</v>
      </c>
      <c r="V441" s="10" t="s">
        <v>30</v>
      </c>
    </row>
    <row r="442" spans="1:22" ht="18" customHeight="1" x14ac:dyDescent="0.25">
      <c r="A442" s="7" t="s">
        <v>34</v>
      </c>
      <c r="B442" s="7">
        <v>2020</v>
      </c>
      <c r="C442" s="7" t="s">
        <v>66</v>
      </c>
      <c r="D442" s="7" t="s">
        <v>72</v>
      </c>
      <c r="E442" s="7" t="s">
        <v>22</v>
      </c>
      <c r="F442" s="7" t="s">
        <v>23</v>
      </c>
      <c r="G442" s="7" t="s">
        <v>24</v>
      </c>
      <c r="H442" s="7" t="s">
        <v>25</v>
      </c>
      <c r="I442" s="7" t="s">
        <v>26</v>
      </c>
      <c r="J442" s="7">
        <v>858</v>
      </c>
      <c r="K442" s="7">
        <v>1226.94</v>
      </c>
      <c r="N442" s="4">
        <v>2022</v>
      </c>
      <c r="O442" s="4" t="s">
        <v>67</v>
      </c>
      <c r="P442" s="4" t="s">
        <v>39</v>
      </c>
      <c r="Q442" s="13" t="s">
        <v>46</v>
      </c>
      <c r="R442" s="14">
        <v>455</v>
      </c>
      <c r="S442" s="14">
        <v>4578.6000000000004</v>
      </c>
      <c r="T442" s="14">
        <v>5128.0320000000002</v>
      </c>
      <c r="U442" s="9">
        <v>915.72000000000014</v>
      </c>
      <c r="V442" s="10" t="s">
        <v>30</v>
      </c>
    </row>
    <row r="443" spans="1:22" ht="18" customHeight="1" x14ac:dyDescent="0.25">
      <c r="A443" s="7" t="s">
        <v>34</v>
      </c>
      <c r="B443" s="7">
        <v>2020</v>
      </c>
      <c r="C443" s="7" t="s">
        <v>66</v>
      </c>
      <c r="D443" s="7" t="s">
        <v>72</v>
      </c>
      <c r="E443" s="7" t="s">
        <v>22</v>
      </c>
      <c r="F443" s="7" t="s">
        <v>23</v>
      </c>
      <c r="G443" s="7" t="s">
        <v>24</v>
      </c>
      <c r="H443" s="7" t="s">
        <v>25</v>
      </c>
      <c r="I443" s="7" t="s">
        <v>26</v>
      </c>
      <c r="J443" s="7">
        <v>323</v>
      </c>
      <c r="K443" s="7">
        <v>461.89</v>
      </c>
      <c r="N443" s="4">
        <v>2022</v>
      </c>
      <c r="O443" s="4" t="s">
        <v>67</v>
      </c>
      <c r="P443" s="4" t="s">
        <v>43</v>
      </c>
      <c r="Q443" s="13" t="s">
        <v>48</v>
      </c>
      <c r="R443" s="15">
        <v>345</v>
      </c>
      <c r="S443" s="15">
        <v>7000</v>
      </c>
      <c r="T443" s="15">
        <v>7840</v>
      </c>
      <c r="U443" s="9">
        <v>1400</v>
      </c>
      <c r="V443" s="10" t="s">
        <v>30</v>
      </c>
    </row>
    <row r="444" spans="1:22" ht="18" customHeight="1" x14ac:dyDescent="0.25">
      <c r="A444" s="7" t="s">
        <v>19</v>
      </c>
      <c r="B444" s="7">
        <v>2020</v>
      </c>
      <c r="C444" s="7" t="s">
        <v>66</v>
      </c>
      <c r="D444" s="7" t="s">
        <v>72</v>
      </c>
      <c r="E444" s="7" t="s">
        <v>22</v>
      </c>
      <c r="F444" s="7" t="s">
        <v>23</v>
      </c>
      <c r="G444" s="7" t="s">
        <v>24</v>
      </c>
      <c r="H444" s="7" t="s">
        <v>25</v>
      </c>
      <c r="I444" s="7" t="s">
        <v>26</v>
      </c>
      <c r="J444" s="7">
        <v>371</v>
      </c>
      <c r="K444" s="7">
        <v>530.53</v>
      </c>
      <c r="N444" s="4">
        <v>2022</v>
      </c>
      <c r="O444" s="4" t="s">
        <v>67</v>
      </c>
      <c r="P444" s="4" t="s">
        <v>36</v>
      </c>
      <c r="Q444" s="8" t="s">
        <v>49</v>
      </c>
      <c r="R444" s="9">
        <v>122</v>
      </c>
      <c r="S444" s="9">
        <v>100</v>
      </c>
      <c r="T444" s="9">
        <v>112</v>
      </c>
      <c r="U444" s="9">
        <v>20</v>
      </c>
      <c r="V444" s="10" t="s">
        <v>30</v>
      </c>
    </row>
    <row r="445" spans="1:22" ht="18" customHeight="1" x14ac:dyDescent="0.25">
      <c r="A445" s="7" t="s">
        <v>19</v>
      </c>
      <c r="B445" s="7">
        <v>2020</v>
      </c>
      <c r="C445" s="7" t="s">
        <v>66</v>
      </c>
      <c r="D445" s="7" t="s">
        <v>72</v>
      </c>
      <c r="E445" s="7" t="s">
        <v>22</v>
      </c>
      <c r="F445" s="7" t="s">
        <v>23</v>
      </c>
      <c r="G445" s="7" t="s">
        <v>24</v>
      </c>
      <c r="H445" s="7" t="s">
        <v>25</v>
      </c>
      <c r="I445" s="7" t="s">
        <v>26</v>
      </c>
      <c r="J445" s="7">
        <v>299</v>
      </c>
      <c r="K445" s="7">
        <v>427.57</v>
      </c>
      <c r="N445" s="4">
        <v>2022</v>
      </c>
      <c r="O445" s="4" t="s">
        <v>67</v>
      </c>
      <c r="P445" s="4" t="s">
        <v>50</v>
      </c>
      <c r="Q445" s="13" t="s">
        <v>51</v>
      </c>
      <c r="R445" s="14">
        <v>78</v>
      </c>
      <c r="S445" s="14">
        <v>2288.6</v>
      </c>
      <c r="T445" s="14">
        <v>5126.4639999999999</v>
      </c>
      <c r="U445" s="9">
        <v>457.72</v>
      </c>
      <c r="V445" s="10" t="s">
        <v>30</v>
      </c>
    </row>
    <row r="446" spans="1:22" ht="18" customHeight="1" x14ac:dyDescent="0.25">
      <c r="A446" s="7" t="s">
        <v>19</v>
      </c>
      <c r="B446" s="7">
        <v>2020</v>
      </c>
      <c r="C446" s="7" t="s">
        <v>71</v>
      </c>
      <c r="D446" s="7" t="s">
        <v>72</v>
      </c>
      <c r="E446" s="7" t="s">
        <v>22</v>
      </c>
      <c r="F446" s="7" t="s">
        <v>23</v>
      </c>
      <c r="G446" s="7" t="s">
        <v>24</v>
      </c>
      <c r="H446" s="7" t="s">
        <v>25</v>
      </c>
      <c r="I446" s="7" t="s">
        <v>26</v>
      </c>
      <c r="J446" s="7">
        <v>290</v>
      </c>
      <c r="K446" s="7">
        <v>414.7</v>
      </c>
      <c r="N446" s="4">
        <v>2022</v>
      </c>
      <c r="O446" s="4" t="s">
        <v>67</v>
      </c>
      <c r="P446" s="4" t="s">
        <v>50</v>
      </c>
      <c r="Q446" s="13" t="s">
        <v>52</v>
      </c>
      <c r="R446" s="14">
        <v>76</v>
      </c>
      <c r="S446" s="14">
        <v>2288.4499999999998</v>
      </c>
      <c r="T446" s="14">
        <v>5126.1279999999997</v>
      </c>
      <c r="U446" s="9">
        <v>457.69</v>
      </c>
      <c r="V446" s="10" t="s">
        <v>30</v>
      </c>
    </row>
    <row r="447" spans="1:22" ht="18" customHeight="1" x14ac:dyDescent="0.25">
      <c r="A447" s="7" t="s">
        <v>34</v>
      </c>
      <c r="B447" s="7">
        <v>2020</v>
      </c>
      <c r="C447" s="7" t="s">
        <v>71</v>
      </c>
      <c r="D447" s="7" t="s">
        <v>72</v>
      </c>
      <c r="E447" s="7" t="s">
        <v>22</v>
      </c>
      <c r="F447" s="7" t="s">
        <v>23</v>
      </c>
      <c r="G447" s="7" t="s">
        <v>24</v>
      </c>
      <c r="H447" s="7" t="s">
        <v>25</v>
      </c>
      <c r="I447" s="7" t="s">
        <v>26</v>
      </c>
      <c r="J447" s="7">
        <v>338</v>
      </c>
      <c r="K447" s="7">
        <v>483.34000000000003</v>
      </c>
      <c r="N447" s="4">
        <v>2022</v>
      </c>
      <c r="O447" s="4" t="s">
        <v>67</v>
      </c>
      <c r="P447" s="4" t="s">
        <v>50</v>
      </c>
      <c r="Q447" s="13" t="s">
        <v>54</v>
      </c>
      <c r="R447" s="14">
        <v>46</v>
      </c>
      <c r="S447" s="14">
        <v>100</v>
      </c>
      <c r="T447" s="14">
        <v>224</v>
      </c>
      <c r="U447" s="9">
        <v>20</v>
      </c>
      <c r="V447" s="10" t="s">
        <v>30</v>
      </c>
    </row>
    <row r="448" spans="1:22" ht="18" customHeight="1" x14ac:dyDescent="0.25">
      <c r="A448" s="7" t="s">
        <v>34</v>
      </c>
      <c r="B448" s="7">
        <v>2020</v>
      </c>
      <c r="C448" s="7" t="s">
        <v>71</v>
      </c>
      <c r="D448" s="7" t="s">
        <v>72</v>
      </c>
      <c r="E448" s="7" t="s">
        <v>22</v>
      </c>
      <c r="F448" s="7" t="s">
        <v>23</v>
      </c>
      <c r="G448" s="7" t="s">
        <v>24</v>
      </c>
      <c r="H448" s="7" t="s">
        <v>25</v>
      </c>
      <c r="I448" s="7" t="s">
        <v>26</v>
      </c>
      <c r="J448" s="7">
        <v>266</v>
      </c>
      <c r="K448" s="7">
        <v>380.38</v>
      </c>
      <c r="N448" s="4">
        <v>2022</v>
      </c>
      <c r="O448" s="4" t="s">
        <v>67</v>
      </c>
      <c r="P448" s="4" t="s">
        <v>50</v>
      </c>
      <c r="Q448" s="13" t="s">
        <v>55</v>
      </c>
      <c r="R448" s="14">
        <v>34</v>
      </c>
      <c r="S448" s="14">
        <v>2288.4</v>
      </c>
      <c r="T448" s="14">
        <v>5126.0160000000005</v>
      </c>
      <c r="U448" s="9">
        <v>457.68000000000006</v>
      </c>
      <c r="V448" s="10" t="s">
        <v>30</v>
      </c>
    </row>
    <row r="449" spans="1:22" ht="18" customHeight="1" x14ac:dyDescent="0.25">
      <c r="A449" s="7" t="s">
        <v>19</v>
      </c>
      <c r="B449" s="7">
        <v>2020</v>
      </c>
      <c r="C449" s="7" t="s">
        <v>71</v>
      </c>
      <c r="D449" s="7" t="s">
        <v>72</v>
      </c>
      <c r="E449" s="7" t="s">
        <v>22</v>
      </c>
      <c r="F449" s="7" t="s">
        <v>23</v>
      </c>
      <c r="G449" s="7" t="s">
        <v>24</v>
      </c>
      <c r="H449" s="7" t="s">
        <v>25</v>
      </c>
      <c r="I449" s="7" t="s">
        <v>26</v>
      </c>
      <c r="J449" s="7">
        <v>292</v>
      </c>
      <c r="K449" s="7">
        <v>526.24</v>
      </c>
      <c r="N449" s="4">
        <v>2022</v>
      </c>
      <c r="O449" s="4" t="s">
        <v>67</v>
      </c>
      <c r="P449" s="4" t="s">
        <v>36</v>
      </c>
      <c r="Q449" s="8" t="s">
        <v>56</v>
      </c>
      <c r="R449" s="9">
        <v>7</v>
      </c>
      <c r="S449" s="9">
        <v>200</v>
      </c>
      <c r="T449" s="9">
        <v>224</v>
      </c>
      <c r="U449" s="9">
        <v>40</v>
      </c>
      <c r="V449" s="10" t="s">
        <v>30</v>
      </c>
    </row>
    <row r="450" spans="1:22" ht="18" customHeight="1" x14ac:dyDescent="0.25">
      <c r="A450" s="7" t="s">
        <v>19</v>
      </c>
      <c r="B450" s="7">
        <v>2020</v>
      </c>
      <c r="C450" s="7" t="s">
        <v>71</v>
      </c>
      <c r="D450" s="7" t="s">
        <v>72</v>
      </c>
      <c r="E450" s="7" t="s">
        <v>22</v>
      </c>
      <c r="F450" s="7" t="s">
        <v>23</v>
      </c>
      <c r="G450" s="7" t="s">
        <v>24</v>
      </c>
      <c r="H450" s="7" t="s">
        <v>25</v>
      </c>
      <c r="I450" s="7" t="s">
        <v>26</v>
      </c>
      <c r="J450" s="7">
        <v>340</v>
      </c>
      <c r="K450" s="7">
        <v>526.24</v>
      </c>
      <c r="N450" s="4">
        <v>2022</v>
      </c>
      <c r="O450" s="4" t="s">
        <v>67</v>
      </c>
      <c r="P450" s="4" t="s">
        <v>57</v>
      </c>
      <c r="Q450" s="13" t="s">
        <v>57</v>
      </c>
      <c r="R450" s="14">
        <v>3</v>
      </c>
      <c r="S450" s="14">
        <v>4577.3</v>
      </c>
      <c r="T450" s="14">
        <v>7392</v>
      </c>
      <c r="U450" s="9">
        <v>915.46</v>
      </c>
      <c r="V450" s="10" t="s">
        <v>30</v>
      </c>
    </row>
    <row r="451" spans="1:22" ht="18" customHeight="1" x14ac:dyDescent="0.25">
      <c r="A451" s="7" t="s">
        <v>34</v>
      </c>
      <c r="B451" s="7">
        <v>2020</v>
      </c>
      <c r="C451" s="7" t="s">
        <v>71</v>
      </c>
      <c r="D451" s="7" t="s">
        <v>72</v>
      </c>
      <c r="E451" s="7" t="s">
        <v>22</v>
      </c>
      <c r="F451" s="7" t="s">
        <v>23</v>
      </c>
      <c r="G451" s="7" t="s">
        <v>24</v>
      </c>
      <c r="H451" s="7" t="s">
        <v>25</v>
      </c>
      <c r="I451" s="7" t="s">
        <v>26</v>
      </c>
      <c r="J451" s="7">
        <v>995</v>
      </c>
      <c r="K451" s="7">
        <v>1422.85</v>
      </c>
      <c r="N451" s="4">
        <v>2022</v>
      </c>
      <c r="O451" s="4" t="s">
        <v>67</v>
      </c>
      <c r="P451" s="4" t="s">
        <v>50</v>
      </c>
      <c r="Q451" s="13" t="s">
        <v>58</v>
      </c>
      <c r="R451" s="14">
        <v>3</v>
      </c>
      <c r="S451" s="14">
        <v>2288.65</v>
      </c>
      <c r="T451" s="14">
        <v>5126.576</v>
      </c>
      <c r="U451" s="9">
        <v>457.73</v>
      </c>
      <c r="V451" s="10" t="s">
        <v>30</v>
      </c>
    </row>
    <row r="452" spans="1:22" ht="18" customHeight="1" x14ac:dyDescent="0.25">
      <c r="A452" s="7" t="s">
        <v>42</v>
      </c>
      <c r="B452" s="7">
        <v>2020</v>
      </c>
      <c r="C452" s="7" t="s">
        <v>71</v>
      </c>
      <c r="D452" s="7" t="s">
        <v>72</v>
      </c>
      <c r="E452" s="7" t="s">
        <v>22</v>
      </c>
      <c r="F452" s="7" t="s">
        <v>23</v>
      </c>
      <c r="G452" s="7" t="s">
        <v>24</v>
      </c>
      <c r="H452" s="7" t="s">
        <v>25</v>
      </c>
      <c r="I452" s="7" t="s">
        <v>26</v>
      </c>
      <c r="J452" s="7">
        <v>1029</v>
      </c>
      <c r="K452" s="7">
        <v>1471.47</v>
      </c>
      <c r="N452" s="4">
        <v>2022</v>
      </c>
      <c r="O452" s="4" t="s">
        <v>68</v>
      </c>
      <c r="P452" s="4" t="s">
        <v>28</v>
      </c>
      <c r="Q452" s="8" t="s">
        <v>29</v>
      </c>
      <c r="R452" s="9">
        <v>3566</v>
      </c>
      <c r="S452" s="9">
        <v>4577.3</v>
      </c>
      <c r="T452" s="9">
        <v>5126.576</v>
      </c>
      <c r="U452" s="9">
        <v>915.46</v>
      </c>
      <c r="V452" s="10" t="s">
        <v>30</v>
      </c>
    </row>
    <row r="453" spans="1:22" ht="18" customHeight="1" x14ac:dyDescent="0.25">
      <c r="A453" s="7" t="s">
        <v>34</v>
      </c>
      <c r="B453" s="7">
        <v>2020</v>
      </c>
      <c r="C453" s="7" t="s">
        <v>71</v>
      </c>
      <c r="D453" s="7" t="s">
        <v>72</v>
      </c>
      <c r="E453" s="7" t="s">
        <v>22</v>
      </c>
      <c r="F453" s="7" t="s">
        <v>23</v>
      </c>
      <c r="G453" s="7" t="s">
        <v>24</v>
      </c>
      <c r="H453" s="7" t="s">
        <v>25</v>
      </c>
      <c r="I453" s="7" t="s">
        <v>26</v>
      </c>
      <c r="J453" s="7">
        <v>264</v>
      </c>
      <c r="K453" s="7">
        <v>377.52</v>
      </c>
      <c r="N453" s="4">
        <v>2022</v>
      </c>
      <c r="O453" s="4" t="s">
        <v>68</v>
      </c>
      <c r="P453" s="4" t="s">
        <v>28</v>
      </c>
      <c r="Q453" s="8" t="s">
        <v>32</v>
      </c>
      <c r="R453" s="9">
        <v>2498</v>
      </c>
      <c r="S453" s="9">
        <v>8000</v>
      </c>
      <c r="T453" s="9">
        <v>8960</v>
      </c>
      <c r="U453" s="9">
        <v>1600</v>
      </c>
      <c r="V453" s="10" t="s">
        <v>30</v>
      </c>
    </row>
    <row r="454" spans="1:22" ht="18" customHeight="1" x14ac:dyDescent="0.25">
      <c r="A454" s="7" t="s">
        <v>34</v>
      </c>
      <c r="B454" s="7">
        <v>2020</v>
      </c>
      <c r="C454" s="7" t="s">
        <v>71</v>
      </c>
      <c r="D454" s="7" t="s">
        <v>72</v>
      </c>
      <c r="E454" s="7" t="s">
        <v>22</v>
      </c>
      <c r="F454" s="7" t="s">
        <v>23</v>
      </c>
      <c r="G454" s="7" t="s">
        <v>24</v>
      </c>
      <c r="H454" s="7" t="s">
        <v>25</v>
      </c>
      <c r="I454" s="7" t="s">
        <v>26</v>
      </c>
      <c r="J454" s="7">
        <v>291</v>
      </c>
      <c r="K454" s="7">
        <v>416.13</v>
      </c>
      <c r="N454" s="4">
        <v>2022</v>
      </c>
      <c r="O454" s="4" t="s">
        <v>68</v>
      </c>
      <c r="P454" s="4" t="s">
        <v>36</v>
      </c>
      <c r="Q454" s="8" t="s">
        <v>37</v>
      </c>
      <c r="R454" s="9">
        <v>1245</v>
      </c>
      <c r="S454" s="9">
        <v>4577.2</v>
      </c>
      <c r="T454" s="9">
        <v>5126.4639999999999</v>
      </c>
      <c r="U454" s="9">
        <v>915.44</v>
      </c>
      <c r="V454" s="10" t="s">
        <v>30</v>
      </c>
    </row>
    <row r="455" spans="1:22" ht="18" customHeight="1" x14ac:dyDescent="0.25">
      <c r="A455" s="7" t="s">
        <v>34</v>
      </c>
      <c r="B455" s="7">
        <v>2020</v>
      </c>
      <c r="C455" s="7" t="s">
        <v>71</v>
      </c>
      <c r="D455" s="7" t="s">
        <v>72</v>
      </c>
      <c r="E455" s="7" t="s">
        <v>22</v>
      </c>
      <c r="F455" s="7" t="s">
        <v>23</v>
      </c>
      <c r="G455" s="7" t="s">
        <v>24</v>
      </c>
      <c r="H455" s="7" t="s">
        <v>25</v>
      </c>
      <c r="I455" s="7" t="s">
        <v>26</v>
      </c>
      <c r="J455" s="7">
        <v>339</v>
      </c>
      <c r="K455" s="7">
        <v>484.77</v>
      </c>
      <c r="N455" s="4">
        <v>2022</v>
      </c>
      <c r="O455" s="4" t="s">
        <v>68</v>
      </c>
      <c r="P455" s="4" t="s">
        <v>39</v>
      </c>
      <c r="Q455" s="13" t="s">
        <v>40</v>
      </c>
      <c r="R455" s="14">
        <v>644</v>
      </c>
      <c r="S455" s="14">
        <v>5743.5</v>
      </c>
      <c r="T455" s="14">
        <v>6432.72</v>
      </c>
      <c r="U455" s="9">
        <v>1148.7</v>
      </c>
      <c r="V455" s="10" t="s">
        <v>30</v>
      </c>
    </row>
    <row r="456" spans="1:22" ht="18" customHeight="1" x14ac:dyDescent="0.25">
      <c r="A456" s="7" t="s">
        <v>34</v>
      </c>
      <c r="B456" s="7">
        <v>2020</v>
      </c>
      <c r="C456" s="7" t="s">
        <v>71</v>
      </c>
      <c r="D456" s="7" t="s">
        <v>72</v>
      </c>
      <c r="E456" s="7" t="s">
        <v>22</v>
      </c>
      <c r="F456" s="7" t="s">
        <v>23</v>
      </c>
      <c r="G456" s="7" t="s">
        <v>24</v>
      </c>
      <c r="H456" s="7" t="s">
        <v>25</v>
      </c>
      <c r="I456" s="7" t="s">
        <v>26</v>
      </c>
      <c r="J456" s="7">
        <v>267</v>
      </c>
      <c r="K456" s="7">
        <v>381.81</v>
      </c>
      <c r="N456" s="4">
        <v>2022</v>
      </c>
      <c r="O456" s="4" t="s">
        <v>68</v>
      </c>
      <c r="P456" s="4" t="s">
        <v>43</v>
      </c>
      <c r="Q456" s="13" t="s">
        <v>44</v>
      </c>
      <c r="R456" s="14">
        <v>643</v>
      </c>
      <c r="S456" s="14">
        <v>7000</v>
      </c>
      <c r="T456" s="14">
        <v>7840</v>
      </c>
      <c r="U456" s="9">
        <v>1400</v>
      </c>
      <c r="V456" s="10" t="s">
        <v>30</v>
      </c>
    </row>
    <row r="457" spans="1:22" ht="18" customHeight="1" x14ac:dyDescent="0.25">
      <c r="A457" s="7" t="s">
        <v>42</v>
      </c>
      <c r="B457" s="7">
        <v>2020</v>
      </c>
      <c r="C457" s="7" t="s">
        <v>71</v>
      </c>
      <c r="D457" s="7" t="s">
        <v>72</v>
      </c>
      <c r="E457" s="7" t="s">
        <v>22</v>
      </c>
      <c r="F457" s="7" t="s">
        <v>23</v>
      </c>
      <c r="G457" s="7" t="s">
        <v>24</v>
      </c>
      <c r="H457" s="7" t="s">
        <v>25</v>
      </c>
      <c r="I457" s="7" t="s">
        <v>26</v>
      </c>
      <c r="J457" s="7">
        <v>810</v>
      </c>
      <c r="K457" s="7">
        <v>1158.3</v>
      </c>
      <c r="N457" s="4">
        <v>2022</v>
      </c>
      <c r="O457" s="4" t="s">
        <v>68</v>
      </c>
      <c r="P457" s="4" t="s">
        <v>39</v>
      </c>
      <c r="Q457" s="13" t="s">
        <v>46</v>
      </c>
      <c r="R457" s="14">
        <v>455</v>
      </c>
      <c r="S457" s="14">
        <v>4578.6000000000004</v>
      </c>
      <c r="T457" s="14">
        <v>5128.0320000000002</v>
      </c>
      <c r="U457" s="9">
        <v>915.72000000000014</v>
      </c>
      <c r="V457" s="10" t="s">
        <v>30</v>
      </c>
    </row>
    <row r="458" spans="1:22" ht="18" customHeight="1" x14ac:dyDescent="0.25">
      <c r="A458" s="7" t="s">
        <v>19</v>
      </c>
      <c r="B458" s="7">
        <v>2020</v>
      </c>
      <c r="C458" s="7" t="s">
        <v>71</v>
      </c>
      <c r="D458" s="7" t="s">
        <v>72</v>
      </c>
      <c r="E458" s="7" t="s">
        <v>22</v>
      </c>
      <c r="F458" s="7" t="s">
        <v>23</v>
      </c>
      <c r="G458" s="7" t="s">
        <v>24</v>
      </c>
      <c r="H458" s="7" t="s">
        <v>25</v>
      </c>
      <c r="I458" s="7" t="s">
        <v>26</v>
      </c>
      <c r="J458" s="7">
        <v>863</v>
      </c>
      <c r="K458" s="7">
        <v>1234.0899999999999</v>
      </c>
      <c r="N458" s="4">
        <v>2022</v>
      </c>
      <c r="O458" s="4" t="s">
        <v>68</v>
      </c>
      <c r="P458" s="4" t="s">
        <v>43</v>
      </c>
      <c r="Q458" s="13" t="s">
        <v>48</v>
      </c>
      <c r="R458" s="15">
        <v>345</v>
      </c>
      <c r="S458" s="15">
        <v>7000</v>
      </c>
      <c r="T458" s="15">
        <v>7840</v>
      </c>
      <c r="U458" s="9">
        <v>1400</v>
      </c>
      <c r="V458" s="10" t="s">
        <v>30</v>
      </c>
    </row>
    <row r="459" spans="1:22" ht="18" customHeight="1" x14ac:dyDescent="0.25">
      <c r="A459" s="7" t="s">
        <v>34</v>
      </c>
      <c r="B459" s="7">
        <v>2020</v>
      </c>
      <c r="C459" s="7" t="s">
        <v>71</v>
      </c>
      <c r="D459" s="7" t="s">
        <v>72</v>
      </c>
      <c r="E459" s="7" t="s">
        <v>22</v>
      </c>
      <c r="F459" s="7" t="s">
        <v>23</v>
      </c>
      <c r="G459" s="7" t="s">
        <v>24</v>
      </c>
      <c r="H459" s="7" t="s">
        <v>73</v>
      </c>
      <c r="I459" s="7" t="s">
        <v>26</v>
      </c>
      <c r="J459" s="7">
        <v>293</v>
      </c>
      <c r="K459" s="7">
        <v>418.99</v>
      </c>
      <c r="N459" s="4">
        <v>2022</v>
      </c>
      <c r="O459" s="4" t="s">
        <v>68</v>
      </c>
      <c r="P459" s="4" t="s">
        <v>36</v>
      </c>
      <c r="Q459" s="8" t="s">
        <v>49</v>
      </c>
      <c r="R459" s="9">
        <v>122</v>
      </c>
      <c r="S459" s="9">
        <v>100</v>
      </c>
      <c r="T459" s="9">
        <v>112</v>
      </c>
      <c r="U459" s="9">
        <v>20</v>
      </c>
      <c r="V459" s="10" t="s">
        <v>30</v>
      </c>
    </row>
    <row r="460" spans="1:22" ht="18" customHeight="1" x14ac:dyDescent="0.25">
      <c r="A460" s="7" t="s">
        <v>53</v>
      </c>
      <c r="B460" s="7">
        <v>2020</v>
      </c>
      <c r="C460" s="7" t="s">
        <v>71</v>
      </c>
      <c r="D460" s="7" t="s">
        <v>72</v>
      </c>
      <c r="E460" s="7" t="s">
        <v>22</v>
      </c>
      <c r="F460" s="7" t="s">
        <v>23</v>
      </c>
      <c r="G460" s="7" t="s">
        <v>24</v>
      </c>
      <c r="H460" s="7" t="s">
        <v>73</v>
      </c>
      <c r="I460" s="7" t="s">
        <v>26</v>
      </c>
      <c r="J460" s="7">
        <v>341</v>
      </c>
      <c r="K460" s="7">
        <v>487.63</v>
      </c>
      <c r="N460" s="4">
        <v>2022</v>
      </c>
      <c r="O460" s="4" t="s">
        <v>68</v>
      </c>
      <c r="P460" s="4" t="s">
        <v>50</v>
      </c>
      <c r="Q460" s="13" t="s">
        <v>51</v>
      </c>
      <c r="R460" s="14">
        <v>78</v>
      </c>
      <c r="S460" s="14">
        <v>2288.6</v>
      </c>
      <c r="T460" s="14">
        <v>5126.4639999999999</v>
      </c>
      <c r="U460" s="9">
        <v>457.72</v>
      </c>
      <c r="V460" s="10" t="s">
        <v>30</v>
      </c>
    </row>
    <row r="461" spans="1:22" ht="18" customHeight="1" x14ac:dyDescent="0.25">
      <c r="A461" s="7" t="s">
        <v>19</v>
      </c>
      <c r="B461" s="7">
        <v>2020</v>
      </c>
      <c r="C461" s="7" t="s">
        <v>71</v>
      </c>
      <c r="D461" s="7" t="s">
        <v>72</v>
      </c>
      <c r="E461" s="7" t="s">
        <v>22</v>
      </c>
      <c r="F461" s="7" t="s">
        <v>23</v>
      </c>
      <c r="G461" s="7" t="s">
        <v>24</v>
      </c>
      <c r="H461" s="7" t="s">
        <v>73</v>
      </c>
      <c r="I461" s="7" t="s">
        <v>26</v>
      </c>
      <c r="J461" s="7">
        <v>263</v>
      </c>
      <c r="K461" s="7">
        <v>376.09000000000003</v>
      </c>
      <c r="N461" s="4">
        <v>2022</v>
      </c>
      <c r="O461" s="4" t="s">
        <v>68</v>
      </c>
      <c r="P461" s="4" t="s">
        <v>50</v>
      </c>
      <c r="Q461" s="13" t="s">
        <v>52</v>
      </c>
      <c r="R461" s="14">
        <v>76</v>
      </c>
      <c r="S461" s="14">
        <v>2288.4499999999998</v>
      </c>
      <c r="T461" s="14">
        <v>5126.1279999999997</v>
      </c>
      <c r="U461" s="9">
        <v>457.69</v>
      </c>
      <c r="V461" s="10" t="s">
        <v>30</v>
      </c>
    </row>
    <row r="462" spans="1:22" ht="18" customHeight="1" x14ac:dyDescent="0.25">
      <c r="A462" s="7" t="s">
        <v>34</v>
      </c>
      <c r="B462" s="7">
        <v>2020</v>
      </c>
      <c r="C462" s="7" t="s">
        <v>70</v>
      </c>
      <c r="D462" s="7" t="s">
        <v>72</v>
      </c>
      <c r="E462" s="7" t="s">
        <v>22</v>
      </c>
      <c r="F462" s="7" t="s">
        <v>23</v>
      </c>
      <c r="G462" s="7" t="s">
        <v>24</v>
      </c>
      <c r="H462" s="7" t="s">
        <v>73</v>
      </c>
      <c r="I462" s="7" t="s">
        <v>26</v>
      </c>
      <c r="J462" s="7">
        <v>296</v>
      </c>
      <c r="K462" s="7">
        <v>423.28</v>
      </c>
      <c r="N462" s="4">
        <v>2022</v>
      </c>
      <c r="O462" s="4" t="s">
        <v>68</v>
      </c>
      <c r="P462" s="4" t="s">
        <v>50</v>
      </c>
      <c r="Q462" s="13" t="s">
        <v>54</v>
      </c>
      <c r="R462" s="14">
        <v>46</v>
      </c>
      <c r="S462" s="14">
        <v>100</v>
      </c>
      <c r="T462" s="14">
        <v>224</v>
      </c>
      <c r="U462" s="9">
        <v>20</v>
      </c>
      <c r="V462" s="10" t="s">
        <v>30</v>
      </c>
    </row>
    <row r="463" spans="1:22" ht="18" customHeight="1" x14ac:dyDescent="0.25">
      <c r="A463" s="7" t="s">
        <v>53</v>
      </c>
      <c r="B463" s="7">
        <v>2020</v>
      </c>
      <c r="C463" s="7" t="s">
        <v>70</v>
      </c>
      <c r="D463" s="7" t="s">
        <v>72</v>
      </c>
      <c r="E463" s="7" t="s">
        <v>22</v>
      </c>
      <c r="F463" s="7" t="s">
        <v>23</v>
      </c>
      <c r="G463" s="7" t="s">
        <v>24</v>
      </c>
      <c r="H463" s="7" t="s">
        <v>73</v>
      </c>
      <c r="I463" s="7" t="s">
        <v>26</v>
      </c>
      <c r="J463" s="7">
        <v>344</v>
      </c>
      <c r="K463" s="7">
        <v>491.91999999999996</v>
      </c>
      <c r="N463" s="4">
        <v>2022</v>
      </c>
      <c r="O463" s="4" t="s">
        <v>68</v>
      </c>
      <c r="P463" s="4" t="s">
        <v>50</v>
      </c>
      <c r="Q463" s="13" t="s">
        <v>55</v>
      </c>
      <c r="R463" s="14">
        <v>34</v>
      </c>
      <c r="S463" s="14">
        <v>2288.4</v>
      </c>
      <c r="T463" s="14">
        <v>5126.0160000000005</v>
      </c>
      <c r="U463" s="9">
        <v>457.68000000000006</v>
      </c>
      <c r="V463" s="10" t="s">
        <v>30</v>
      </c>
    </row>
    <row r="464" spans="1:22" ht="18" customHeight="1" x14ac:dyDescent="0.25">
      <c r="A464" s="7" t="s">
        <v>34</v>
      </c>
      <c r="B464" s="7">
        <v>2020</v>
      </c>
      <c r="C464" s="7" t="s">
        <v>70</v>
      </c>
      <c r="D464" s="7" t="s">
        <v>72</v>
      </c>
      <c r="E464" s="7" t="s">
        <v>22</v>
      </c>
      <c r="F464" s="7" t="s">
        <v>23</v>
      </c>
      <c r="G464" s="7" t="s">
        <v>24</v>
      </c>
      <c r="H464" s="7" t="s">
        <v>73</v>
      </c>
      <c r="I464" s="7" t="s">
        <v>26</v>
      </c>
      <c r="J464" s="7">
        <v>272</v>
      </c>
      <c r="K464" s="7">
        <v>388.96</v>
      </c>
      <c r="N464" s="4">
        <v>2022</v>
      </c>
      <c r="O464" s="4" t="s">
        <v>68</v>
      </c>
      <c r="P464" s="4" t="s">
        <v>36</v>
      </c>
      <c r="Q464" s="8" t="s">
        <v>56</v>
      </c>
      <c r="R464" s="9">
        <v>7</v>
      </c>
      <c r="S464" s="9">
        <v>200</v>
      </c>
      <c r="T464" s="9">
        <v>224</v>
      </c>
      <c r="U464" s="9">
        <v>40</v>
      </c>
      <c r="V464" s="10" t="s">
        <v>30</v>
      </c>
    </row>
    <row r="465" spans="1:22" ht="18" customHeight="1" x14ac:dyDescent="0.25">
      <c r="A465" s="7" t="s">
        <v>19</v>
      </c>
      <c r="B465" s="7">
        <v>2020</v>
      </c>
      <c r="C465" s="7" t="s">
        <v>70</v>
      </c>
      <c r="D465" s="7" t="s">
        <v>72</v>
      </c>
      <c r="E465" s="7" t="s">
        <v>22</v>
      </c>
      <c r="F465" s="7" t="s">
        <v>23</v>
      </c>
      <c r="G465" s="7" t="s">
        <v>24</v>
      </c>
      <c r="H465" s="7" t="s">
        <v>73</v>
      </c>
      <c r="I465" s="7" t="s">
        <v>26</v>
      </c>
      <c r="J465" s="7">
        <v>298</v>
      </c>
      <c r="K465" s="7">
        <v>526.24</v>
      </c>
      <c r="N465" s="4">
        <v>2022</v>
      </c>
      <c r="O465" s="4" t="s">
        <v>68</v>
      </c>
      <c r="P465" s="4" t="s">
        <v>50</v>
      </c>
      <c r="Q465" s="13" t="s">
        <v>58</v>
      </c>
      <c r="R465" s="14">
        <v>3</v>
      </c>
      <c r="S465" s="14">
        <v>2288.65</v>
      </c>
      <c r="T465" s="14">
        <v>5126.576</v>
      </c>
      <c r="U465" s="9">
        <v>457.73</v>
      </c>
      <c r="V465" s="10" t="s">
        <v>30</v>
      </c>
    </row>
    <row r="466" spans="1:22" ht="18" customHeight="1" x14ac:dyDescent="0.25">
      <c r="A466" s="7" t="s">
        <v>53</v>
      </c>
      <c r="B466" s="7">
        <v>2020</v>
      </c>
      <c r="C466" s="7" t="s">
        <v>70</v>
      </c>
      <c r="D466" s="7" t="s">
        <v>72</v>
      </c>
      <c r="E466" s="7" t="s">
        <v>22</v>
      </c>
      <c r="F466" s="7" t="s">
        <v>23</v>
      </c>
      <c r="G466" s="7" t="s">
        <v>24</v>
      </c>
      <c r="H466" s="7" t="s">
        <v>73</v>
      </c>
      <c r="I466" s="7" t="s">
        <v>26</v>
      </c>
      <c r="J466" s="7">
        <v>346</v>
      </c>
      <c r="K466" s="7">
        <v>526.24</v>
      </c>
      <c r="N466" s="4">
        <v>2022</v>
      </c>
      <c r="O466" s="4" t="s">
        <v>68</v>
      </c>
      <c r="P466" s="4" t="s">
        <v>57</v>
      </c>
      <c r="Q466" s="13" t="s">
        <v>57</v>
      </c>
      <c r="R466" s="14">
        <v>2</v>
      </c>
      <c r="S466" s="14">
        <v>6600</v>
      </c>
      <c r="T466" s="14">
        <v>7392</v>
      </c>
      <c r="U466" s="9">
        <v>1320</v>
      </c>
      <c r="V466" s="10" t="s">
        <v>30</v>
      </c>
    </row>
    <row r="467" spans="1:22" ht="18" customHeight="1" x14ac:dyDescent="0.25">
      <c r="A467" s="7" t="s">
        <v>61</v>
      </c>
      <c r="B467" s="7">
        <v>2020</v>
      </c>
      <c r="C467" s="7" t="s">
        <v>70</v>
      </c>
      <c r="D467" s="7" t="s">
        <v>72</v>
      </c>
      <c r="E467" s="7" t="s">
        <v>22</v>
      </c>
      <c r="F467" s="7" t="s">
        <v>23</v>
      </c>
      <c r="G467" s="7" t="s">
        <v>24</v>
      </c>
      <c r="H467" s="7" t="s">
        <v>73</v>
      </c>
      <c r="I467" s="7" t="s">
        <v>26</v>
      </c>
      <c r="J467" s="7">
        <v>268</v>
      </c>
      <c r="K467" s="7">
        <v>526.24</v>
      </c>
      <c r="N467" s="4">
        <v>2022</v>
      </c>
      <c r="O467" s="4" t="s">
        <v>60</v>
      </c>
      <c r="P467" s="4" t="s">
        <v>28</v>
      </c>
      <c r="Q467" s="8" t="s">
        <v>29</v>
      </c>
      <c r="R467" s="9">
        <v>3566</v>
      </c>
      <c r="S467" s="9">
        <v>4577.3</v>
      </c>
      <c r="T467" s="9">
        <v>5126.576</v>
      </c>
      <c r="U467" s="9">
        <v>915.46</v>
      </c>
      <c r="V467" s="10" t="s">
        <v>30</v>
      </c>
    </row>
    <row r="468" spans="1:22" ht="18" customHeight="1" x14ac:dyDescent="0.25">
      <c r="A468" s="7" t="s">
        <v>34</v>
      </c>
      <c r="B468" s="7">
        <v>2020</v>
      </c>
      <c r="C468" s="7" t="s">
        <v>70</v>
      </c>
      <c r="D468" s="7" t="s">
        <v>72</v>
      </c>
      <c r="E468" s="7" t="s">
        <v>22</v>
      </c>
      <c r="F468" s="7" t="s">
        <v>23</v>
      </c>
      <c r="G468" s="7" t="s">
        <v>24</v>
      </c>
      <c r="H468" s="7" t="s">
        <v>73</v>
      </c>
      <c r="I468" s="7" t="s">
        <v>26</v>
      </c>
      <c r="J468" s="7">
        <v>1028</v>
      </c>
      <c r="K468" s="7">
        <v>1470.04</v>
      </c>
      <c r="N468" s="4">
        <v>2022</v>
      </c>
      <c r="O468" s="4" t="s">
        <v>60</v>
      </c>
      <c r="P468" s="4" t="s">
        <v>28</v>
      </c>
      <c r="Q468" s="8" t="s">
        <v>32</v>
      </c>
      <c r="R468" s="9">
        <v>2498</v>
      </c>
      <c r="S468" s="9">
        <v>8000</v>
      </c>
      <c r="T468" s="9">
        <v>8960</v>
      </c>
      <c r="U468" s="9">
        <v>1600</v>
      </c>
      <c r="V468" s="10" t="s">
        <v>30</v>
      </c>
    </row>
    <row r="469" spans="1:22" ht="18" customHeight="1" x14ac:dyDescent="0.25">
      <c r="A469" s="7" t="s">
        <v>42</v>
      </c>
      <c r="B469" s="7">
        <v>2020</v>
      </c>
      <c r="C469" s="7" t="s">
        <v>70</v>
      </c>
      <c r="D469" s="7" t="s">
        <v>72</v>
      </c>
      <c r="E469" s="7" t="s">
        <v>22</v>
      </c>
      <c r="F469" s="7" t="s">
        <v>23</v>
      </c>
      <c r="G469" s="7" t="s">
        <v>24</v>
      </c>
      <c r="H469" s="7" t="s">
        <v>73</v>
      </c>
      <c r="I469" s="7" t="s">
        <v>26</v>
      </c>
      <c r="J469" s="7">
        <v>270</v>
      </c>
      <c r="K469" s="7">
        <v>386.1</v>
      </c>
      <c r="N469" s="4">
        <v>2022</v>
      </c>
      <c r="O469" s="4" t="s">
        <v>60</v>
      </c>
      <c r="P469" s="4" t="s">
        <v>36</v>
      </c>
      <c r="Q469" s="8" t="s">
        <v>37</v>
      </c>
      <c r="R469" s="9">
        <v>1245</v>
      </c>
      <c r="S469" s="9">
        <v>4577.2</v>
      </c>
      <c r="T469" s="9">
        <v>5126.4639999999999</v>
      </c>
      <c r="U469" s="9">
        <v>915.44</v>
      </c>
      <c r="V469" s="10" t="s">
        <v>30</v>
      </c>
    </row>
    <row r="470" spans="1:22" ht="18" customHeight="1" x14ac:dyDescent="0.25">
      <c r="A470" s="7" t="s">
        <v>42</v>
      </c>
      <c r="B470" s="7">
        <v>2020</v>
      </c>
      <c r="C470" s="7" t="s">
        <v>70</v>
      </c>
      <c r="D470" s="7" t="s">
        <v>72</v>
      </c>
      <c r="E470" s="7" t="s">
        <v>22</v>
      </c>
      <c r="F470" s="7" t="s">
        <v>23</v>
      </c>
      <c r="G470" s="7" t="s">
        <v>24</v>
      </c>
      <c r="H470" s="7" t="s">
        <v>73</v>
      </c>
      <c r="I470" s="7" t="s">
        <v>26</v>
      </c>
      <c r="J470" s="7">
        <v>297</v>
      </c>
      <c r="K470" s="7">
        <v>424.71</v>
      </c>
      <c r="N470" s="4">
        <v>2022</v>
      </c>
      <c r="O470" s="4" t="s">
        <v>60</v>
      </c>
      <c r="P470" s="4" t="s">
        <v>39</v>
      </c>
      <c r="Q470" s="13" t="s">
        <v>40</v>
      </c>
      <c r="R470" s="14">
        <v>644</v>
      </c>
      <c r="S470" s="14">
        <v>5743.5</v>
      </c>
      <c r="T470" s="14">
        <v>6432.72</v>
      </c>
      <c r="U470" s="9">
        <v>1148.7</v>
      </c>
      <c r="V470" s="10" t="s">
        <v>30</v>
      </c>
    </row>
    <row r="471" spans="1:22" ht="18" customHeight="1" x14ac:dyDescent="0.25">
      <c r="A471" s="7" t="s">
        <v>34</v>
      </c>
      <c r="B471" s="7">
        <v>2020</v>
      </c>
      <c r="C471" s="7" t="s">
        <v>70</v>
      </c>
      <c r="D471" s="7" t="s">
        <v>72</v>
      </c>
      <c r="E471" s="7" t="s">
        <v>22</v>
      </c>
      <c r="F471" s="7" t="s">
        <v>23</v>
      </c>
      <c r="G471" s="7" t="s">
        <v>24</v>
      </c>
      <c r="H471" s="7" t="s">
        <v>73</v>
      </c>
      <c r="I471" s="7" t="s">
        <v>26</v>
      </c>
      <c r="J471" s="7">
        <v>345</v>
      </c>
      <c r="K471" s="7">
        <v>493.35</v>
      </c>
      <c r="N471" s="4">
        <v>2022</v>
      </c>
      <c r="O471" s="4" t="s">
        <v>60</v>
      </c>
      <c r="P471" s="4" t="s">
        <v>43</v>
      </c>
      <c r="Q471" s="13" t="s">
        <v>44</v>
      </c>
      <c r="R471" s="14">
        <v>643</v>
      </c>
      <c r="S471" s="14">
        <v>7000</v>
      </c>
      <c r="T471" s="14">
        <v>7840</v>
      </c>
      <c r="U471" s="9">
        <v>1400</v>
      </c>
      <c r="V471" s="10" t="s">
        <v>30</v>
      </c>
    </row>
    <row r="472" spans="1:22" ht="18" customHeight="1" x14ac:dyDescent="0.25">
      <c r="A472" s="7" t="s">
        <v>61</v>
      </c>
      <c r="B472" s="7">
        <v>2020</v>
      </c>
      <c r="C472" s="7" t="s">
        <v>70</v>
      </c>
      <c r="D472" s="7" t="s">
        <v>72</v>
      </c>
      <c r="E472" s="7" t="s">
        <v>22</v>
      </c>
      <c r="F472" s="7" t="s">
        <v>23</v>
      </c>
      <c r="G472" s="7" t="s">
        <v>24</v>
      </c>
      <c r="H472" s="7" t="s">
        <v>73</v>
      </c>
      <c r="I472" s="7" t="s">
        <v>26</v>
      </c>
      <c r="J472" s="7">
        <v>776</v>
      </c>
      <c r="K472" s="7">
        <v>1109.68</v>
      </c>
      <c r="N472" s="4">
        <v>2022</v>
      </c>
      <c r="O472" s="4" t="s">
        <v>60</v>
      </c>
      <c r="P472" s="4" t="s">
        <v>39</v>
      </c>
      <c r="Q472" s="13" t="s">
        <v>46</v>
      </c>
      <c r="R472" s="14">
        <v>455</v>
      </c>
      <c r="S472" s="14">
        <v>5036.46</v>
      </c>
      <c r="T472" s="14">
        <v>5128.0320000000002</v>
      </c>
      <c r="U472" s="9">
        <v>1007.292</v>
      </c>
      <c r="V472" s="10" t="s">
        <v>30</v>
      </c>
    </row>
    <row r="473" spans="1:22" ht="18" customHeight="1" x14ac:dyDescent="0.25">
      <c r="A473" s="7" t="s">
        <v>34</v>
      </c>
      <c r="B473" s="7">
        <v>2020</v>
      </c>
      <c r="C473" s="7" t="s">
        <v>70</v>
      </c>
      <c r="D473" s="7" t="s">
        <v>72</v>
      </c>
      <c r="E473" s="7" t="s">
        <v>22</v>
      </c>
      <c r="F473" s="7" t="s">
        <v>23</v>
      </c>
      <c r="G473" s="7" t="s">
        <v>24</v>
      </c>
      <c r="H473" s="7" t="s">
        <v>73</v>
      </c>
      <c r="I473" s="7" t="s">
        <v>26</v>
      </c>
      <c r="J473" s="7">
        <v>809</v>
      </c>
      <c r="K473" s="7">
        <v>1156.8699999999999</v>
      </c>
      <c r="N473" s="4">
        <v>2022</v>
      </c>
      <c r="O473" s="4" t="s">
        <v>60</v>
      </c>
      <c r="P473" s="4" t="s">
        <v>43</v>
      </c>
      <c r="Q473" s="13" t="s">
        <v>48</v>
      </c>
      <c r="R473" s="15">
        <v>345</v>
      </c>
      <c r="S473" s="15">
        <v>7700</v>
      </c>
      <c r="T473" s="15">
        <v>7840</v>
      </c>
      <c r="U473" s="9">
        <v>1540</v>
      </c>
      <c r="V473" s="10" t="s">
        <v>30</v>
      </c>
    </row>
    <row r="474" spans="1:22" ht="18" customHeight="1" x14ac:dyDescent="0.25">
      <c r="A474" s="7" t="s">
        <v>19</v>
      </c>
      <c r="B474" s="7">
        <v>2020</v>
      </c>
      <c r="C474" s="7" t="s">
        <v>70</v>
      </c>
      <c r="D474" s="7" t="s">
        <v>72</v>
      </c>
      <c r="E474" s="7" t="s">
        <v>22</v>
      </c>
      <c r="F474" s="7" t="s">
        <v>23</v>
      </c>
      <c r="G474" s="7" t="s">
        <v>24</v>
      </c>
      <c r="H474" s="7" t="s">
        <v>73</v>
      </c>
      <c r="I474" s="7" t="s">
        <v>26</v>
      </c>
      <c r="J474" s="7">
        <v>862</v>
      </c>
      <c r="K474" s="7">
        <v>1232.6599999999999</v>
      </c>
      <c r="N474" s="4">
        <v>2022</v>
      </c>
      <c r="O474" s="4" t="s">
        <v>60</v>
      </c>
      <c r="P474" s="4" t="s">
        <v>36</v>
      </c>
      <c r="Q474" s="8" t="s">
        <v>49</v>
      </c>
      <c r="R474" s="9">
        <v>122</v>
      </c>
      <c r="S474" s="9">
        <v>110</v>
      </c>
      <c r="T474" s="9">
        <v>112</v>
      </c>
      <c r="U474" s="9">
        <v>22</v>
      </c>
      <c r="V474" s="10" t="s">
        <v>30</v>
      </c>
    </row>
    <row r="475" spans="1:22" ht="18" customHeight="1" x14ac:dyDescent="0.25">
      <c r="A475" s="7" t="s">
        <v>34</v>
      </c>
      <c r="B475" s="7">
        <v>2020</v>
      </c>
      <c r="C475" s="7" t="s">
        <v>70</v>
      </c>
      <c r="D475" s="7" t="s">
        <v>72</v>
      </c>
      <c r="E475" s="7" t="s">
        <v>22</v>
      </c>
      <c r="F475" s="7" t="s">
        <v>23</v>
      </c>
      <c r="G475" s="7" t="s">
        <v>24</v>
      </c>
      <c r="H475" s="7" t="s">
        <v>73</v>
      </c>
      <c r="I475" s="7" t="s">
        <v>26</v>
      </c>
      <c r="J475" s="7">
        <v>299</v>
      </c>
      <c r="K475" s="7">
        <v>427.57</v>
      </c>
      <c r="N475" s="4">
        <v>2022</v>
      </c>
      <c r="O475" s="4" t="s">
        <v>60</v>
      </c>
      <c r="P475" s="4" t="s">
        <v>50</v>
      </c>
      <c r="Q475" s="13" t="s">
        <v>51</v>
      </c>
      <c r="R475" s="14">
        <v>78</v>
      </c>
      <c r="S475" s="14">
        <v>2517.46</v>
      </c>
      <c r="T475" s="14">
        <v>5126.4639999999999</v>
      </c>
      <c r="U475" s="9">
        <v>503.49200000000002</v>
      </c>
      <c r="V475" s="10" t="s">
        <v>30</v>
      </c>
    </row>
    <row r="476" spans="1:22" ht="18" customHeight="1" x14ac:dyDescent="0.25">
      <c r="A476" s="7" t="s">
        <v>34</v>
      </c>
      <c r="B476" s="7">
        <v>2020</v>
      </c>
      <c r="C476" s="7" t="s">
        <v>70</v>
      </c>
      <c r="D476" s="7" t="s">
        <v>72</v>
      </c>
      <c r="E476" s="7" t="s">
        <v>22</v>
      </c>
      <c r="F476" s="7" t="s">
        <v>23</v>
      </c>
      <c r="G476" s="7" t="s">
        <v>24</v>
      </c>
      <c r="H476" s="7" t="s">
        <v>73</v>
      </c>
      <c r="I476" s="7" t="s">
        <v>26</v>
      </c>
      <c r="J476" s="7">
        <v>269</v>
      </c>
      <c r="K476" s="7">
        <v>384.67</v>
      </c>
      <c r="N476" s="4">
        <v>2022</v>
      </c>
      <c r="O476" s="4" t="s">
        <v>60</v>
      </c>
      <c r="P476" s="4" t="s">
        <v>50</v>
      </c>
      <c r="Q476" s="13" t="s">
        <v>52</v>
      </c>
      <c r="R476" s="14">
        <v>76</v>
      </c>
      <c r="S476" s="14">
        <v>2517.2949999999996</v>
      </c>
      <c r="T476" s="14">
        <v>5126.1279999999997</v>
      </c>
      <c r="U476" s="9">
        <v>503.45899999999995</v>
      </c>
      <c r="V476" s="10" t="s">
        <v>30</v>
      </c>
    </row>
    <row r="477" spans="1:22" ht="18" customHeight="1" x14ac:dyDescent="0.25">
      <c r="A477" s="7" t="s">
        <v>34</v>
      </c>
      <c r="B477" s="7">
        <v>2020</v>
      </c>
      <c r="C477" s="7" t="s">
        <v>69</v>
      </c>
      <c r="D477" s="7" t="s">
        <v>72</v>
      </c>
      <c r="E477" s="7" t="s">
        <v>22</v>
      </c>
      <c r="F477" s="7" t="s">
        <v>23</v>
      </c>
      <c r="G477" s="7" t="s">
        <v>24</v>
      </c>
      <c r="H477" s="7" t="s">
        <v>73</v>
      </c>
      <c r="I477" s="7" t="s">
        <v>26</v>
      </c>
      <c r="J477" s="7">
        <v>302</v>
      </c>
      <c r="K477" s="7">
        <v>431.86</v>
      </c>
      <c r="N477" s="4">
        <v>2022</v>
      </c>
      <c r="O477" s="4" t="s">
        <v>60</v>
      </c>
      <c r="P477" s="4" t="s">
        <v>50</v>
      </c>
      <c r="Q477" s="13" t="s">
        <v>54</v>
      </c>
      <c r="R477" s="14">
        <v>46</v>
      </c>
      <c r="S477" s="14">
        <v>115</v>
      </c>
      <c r="T477" s="14">
        <v>224</v>
      </c>
      <c r="U477" s="9">
        <v>23</v>
      </c>
      <c r="V477" s="10" t="s">
        <v>30</v>
      </c>
    </row>
    <row r="478" spans="1:22" ht="18" customHeight="1" x14ac:dyDescent="0.25">
      <c r="A478" s="7" t="s">
        <v>19</v>
      </c>
      <c r="B478" s="7">
        <v>2020</v>
      </c>
      <c r="C478" s="7" t="s">
        <v>69</v>
      </c>
      <c r="D478" s="7" t="s">
        <v>72</v>
      </c>
      <c r="E478" s="7" t="s">
        <v>22</v>
      </c>
      <c r="F478" s="7" t="s">
        <v>23</v>
      </c>
      <c r="G478" s="7" t="s">
        <v>24</v>
      </c>
      <c r="H478" s="7" t="s">
        <v>73</v>
      </c>
      <c r="I478" s="7" t="s">
        <v>26</v>
      </c>
      <c r="J478" s="7">
        <v>350</v>
      </c>
      <c r="K478" s="7">
        <v>500.5</v>
      </c>
      <c r="N478" s="4">
        <v>2022</v>
      </c>
      <c r="O478" s="4" t="s">
        <v>60</v>
      </c>
      <c r="P478" s="4" t="s">
        <v>50</v>
      </c>
      <c r="Q478" s="13" t="s">
        <v>55</v>
      </c>
      <c r="R478" s="14">
        <v>34</v>
      </c>
      <c r="S478" s="14">
        <v>2631.66</v>
      </c>
      <c r="T478" s="14">
        <v>5126.0160000000005</v>
      </c>
      <c r="U478" s="9">
        <v>526.33199999999999</v>
      </c>
      <c r="V478" s="10" t="s">
        <v>30</v>
      </c>
    </row>
    <row r="479" spans="1:22" ht="18" customHeight="1" x14ac:dyDescent="0.25">
      <c r="A479" s="7" t="s">
        <v>19</v>
      </c>
      <c r="B479" s="7">
        <v>2020</v>
      </c>
      <c r="C479" s="7" t="s">
        <v>69</v>
      </c>
      <c r="D479" s="7" t="s">
        <v>72</v>
      </c>
      <c r="E479" s="7" t="s">
        <v>22</v>
      </c>
      <c r="F479" s="7" t="s">
        <v>23</v>
      </c>
      <c r="G479" s="7" t="s">
        <v>24</v>
      </c>
      <c r="H479" s="7" t="s">
        <v>73</v>
      </c>
      <c r="I479" s="7" t="s">
        <v>26</v>
      </c>
      <c r="J479" s="7">
        <v>278</v>
      </c>
      <c r="K479" s="7">
        <v>397.53999999999996</v>
      </c>
      <c r="N479" s="4">
        <v>2022</v>
      </c>
      <c r="O479" s="4" t="s">
        <v>60</v>
      </c>
      <c r="P479" s="4" t="s">
        <v>36</v>
      </c>
      <c r="Q479" s="8" t="s">
        <v>56</v>
      </c>
      <c r="R479" s="9">
        <v>7</v>
      </c>
      <c r="S479" s="9">
        <v>230</v>
      </c>
      <c r="T479" s="9">
        <v>224</v>
      </c>
      <c r="U479" s="9">
        <v>46</v>
      </c>
      <c r="V479" s="10" t="s">
        <v>30</v>
      </c>
    </row>
    <row r="480" spans="1:22" ht="18" customHeight="1" x14ac:dyDescent="0.25">
      <c r="A480" s="7" t="s">
        <v>34</v>
      </c>
      <c r="B480" s="7">
        <v>2020</v>
      </c>
      <c r="C480" s="7" t="s">
        <v>69</v>
      </c>
      <c r="D480" s="7" t="s">
        <v>72</v>
      </c>
      <c r="E480" s="7" t="s">
        <v>22</v>
      </c>
      <c r="F480" s="7" t="s">
        <v>23</v>
      </c>
      <c r="G480" s="7" t="s">
        <v>24</v>
      </c>
      <c r="H480" s="7" t="s">
        <v>73</v>
      </c>
      <c r="I480" s="7" t="s">
        <v>26</v>
      </c>
      <c r="J480" s="7">
        <v>304</v>
      </c>
      <c r="K480" s="7">
        <v>526.24</v>
      </c>
      <c r="N480" s="4">
        <v>2022</v>
      </c>
      <c r="O480" s="4" t="s">
        <v>60</v>
      </c>
      <c r="P480" s="4" t="s">
        <v>50</v>
      </c>
      <c r="Q480" s="13" t="s">
        <v>58</v>
      </c>
      <c r="R480" s="14">
        <v>3</v>
      </c>
      <c r="S480" s="14">
        <v>2631.9475000000002</v>
      </c>
      <c r="T480" s="14">
        <v>5126.576</v>
      </c>
      <c r="U480" s="9">
        <v>526.38950000000011</v>
      </c>
      <c r="V480" s="10" t="s">
        <v>30</v>
      </c>
    </row>
    <row r="481" spans="1:22" ht="18" customHeight="1" x14ac:dyDescent="0.25">
      <c r="A481" s="7" t="s">
        <v>19</v>
      </c>
      <c r="B481" s="7">
        <v>2020</v>
      </c>
      <c r="C481" s="7" t="s">
        <v>69</v>
      </c>
      <c r="D481" s="7" t="s">
        <v>72</v>
      </c>
      <c r="E481" s="7" t="s">
        <v>22</v>
      </c>
      <c r="F481" s="7" t="s">
        <v>23</v>
      </c>
      <c r="G481" s="7" t="s">
        <v>24</v>
      </c>
      <c r="H481" s="7" t="s">
        <v>73</v>
      </c>
      <c r="I481" s="7" t="s">
        <v>26</v>
      </c>
      <c r="J481" s="7">
        <v>274</v>
      </c>
      <c r="K481" s="7">
        <v>526.24</v>
      </c>
      <c r="N481" s="4">
        <v>2022</v>
      </c>
      <c r="O481" s="4" t="s">
        <v>60</v>
      </c>
      <c r="P481" s="4" t="s">
        <v>57</v>
      </c>
      <c r="Q481" s="13" t="s">
        <v>57</v>
      </c>
      <c r="R481" s="14">
        <v>2</v>
      </c>
      <c r="S481" s="14">
        <v>7590</v>
      </c>
      <c r="T481" s="14">
        <v>7392</v>
      </c>
      <c r="U481" s="9">
        <v>1518</v>
      </c>
      <c r="V481" s="10" t="s">
        <v>30</v>
      </c>
    </row>
    <row r="482" spans="1:22" ht="18" customHeight="1" x14ac:dyDescent="0.25">
      <c r="A482" s="7" t="s">
        <v>53</v>
      </c>
      <c r="B482" s="7">
        <v>2020</v>
      </c>
      <c r="C482" s="7" t="s">
        <v>69</v>
      </c>
      <c r="D482" s="7" t="s">
        <v>72</v>
      </c>
      <c r="E482" s="7" t="s">
        <v>22</v>
      </c>
      <c r="F482" s="7" t="s">
        <v>23</v>
      </c>
      <c r="G482" s="7" t="s">
        <v>24</v>
      </c>
      <c r="H482" s="7" t="s">
        <v>73</v>
      </c>
      <c r="I482" s="7" t="s">
        <v>26</v>
      </c>
      <c r="J482" s="7">
        <v>994</v>
      </c>
      <c r="K482" s="7">
        <v>1421.42</v>
      </c>
      <c r="N482" s="4">
        <v>2022</v>
      </c>
      <c r="O482" s="4" t="s">
        <v>69</v>
      </c>
      <c r="P482" s="4" t="s">
        <v>28</v>
      </c>
      <c r="Q482" s="8" t="s">
        <v>29</v>
      </c>
      <c r="R482" s="9">
        <v>3566</v>
      </c>
      <c r="S482" s="9">
        <v>4577.3</v>
      </c>
      <c r="T482" s="9">
        <v>5126.576</v>
      </c>
      <c r="U482" s="9">
        <v>915.46</v>
      </c>
      <c r="V482" s="10" t="s">
        <v>30</v>
      </c>
    </row>
    <row r="483" spans="1:22" ht="18" customHeight="1" x14ac:dyDescent="0.25">
      <c r="A483" s="7" t="s">
        <v>34</v>
      </c>
      <c r="B483" s="7">
        <v>2020</v>
      </c>
      <c r="C483" s="7" t="s">
        <v>69</v>
      </c>
      <c r="D483" s="7" t="s">
        <v>72</v>
      </c>
      <c r="E483" s="7" t="s">
        <v>22</v>
      </c>
      <c r="F483" s="7" t="s">
        <v>23</v>
      </c>
      <c r="G483" s="7" t="s">
        <v>24</v>
      </c>
      <c r="H483" s="7" t="s">
        <v>73</v>
      </c>
      <c r="I483" s="7" t="s">
        <v>26</v>
      </c>
      <c r="J483" s="7">
        <v>1027</v>
      </c>
      <c r="K483" s="7">
        <v>1468.6100000000001</v>
      </c>
      <c r="N483" s="4">
        <v>2022</v>
      </c>
      <c r="O483" s="4" t="s">
        <v>69</v>
      </c>
      <c r="P483" s="4" t="s">
        <v>28</v>
      </c>
      <c r="Q483" s="8" t="s">
        <v>32</v>
      </c>
      <c r="R483" s="9">
        <v>2498</v>
      </c>
      <c r="S483" s="9">
        <v>8000</v>
      </c>
      <c r="T483" s="9">
        <v>8960</v>
      </c>
      <c r="U483" s="9">
        <v>1600</v>
      </c>
      <c r="V483" s="10" t="s">
        <v>30</v>
      </c>
    </row>
    <row r="484" spans="1:22" ht="18" customHeight="1" x14ac:dyDescent="0.25">
      <c r="A484" s="7" t="s">
        <v>19</v>
      </c>
      <c r="B484" s="7">
        <v>2020</v>
      </c>
      <c r="C484" s="7" t="s">
        <v>69</v>
      </c>
      <c r="D484" s="7" t="s">
        <v>72</v>
      </c>
      <c r="E484" s="7" t="s">
        <v>22</v>
      </c>
      <c r="F484" s="7" t="s">
        <v>23</v>
      </c>
      <c r="G484" s="7" t="s">
        <v>24</v>
      </c>
      <c r="H484" s="7" t="s">
        <v>73</v>
      </c>
      <c r="I484" s="7" t="s">
        <v>26</v>
      </c>
      <c r="J484" s="7">
        <v>276</v>
      </c>
      <c r="K484" s="7">
        <v>394.68</v>
      </c>
      <c r="N484" s="4">
        <v>2022</v>
      </c>
      <c r="O484" s="4" t="s">
        <v>69</v>
      </c>
      <c r="P484" s="4" t="s">
        <v>36</v>
      </c>
      <c r="Q484" s="8" t="s">
        <v>37</v>
      </c>
      <c r="R484" s="9">
        <v>1245</v>
      </c>
      <c r="S484" s="9">
        <v>4577.2</v>
      </c>
      <c r="T484" s="9">
        <v>5126.4639999999999</v>
      </c>
      <c r="U484" s="9">
        <v>915.44</v>
      </c>
      <c r="V484" s="10" t="s">
        <v>30</v>
      </c>
    </row>
    <row r="485" spans="1:22" ht="18" customHeight="1" x14ac:dyDescent="0.25">
      <c r="A485" s="7" t="s">
        <v>19</v>
      </c>
      <c r="B485" s="7">
        <v>2020</v>
      </c>
      <c r="C485" s="7" t="s">
        <v>69</v>
      </c>
      <c r="D485" s="7" t="s">
        <v>72</v>
      </c>
      <c r="E485" s="7" t="s">
        <v>22</v>
      </c>
      <c r="F485" s="7" t="s">
        <v>23</v>
      </c>
      <c r="G485" s="7" t="s">
        <v>24</v>
      </c>
      <c r="H485" s="7" t="s">
        <v>73</v>
      </c>
      <c r="I485" s="7" t="s">
        <v>26</v>
      </c>
      <c r="J485" s="7">
        <v>303</v>
      </c>
      <c r="K485" s="7">
        <v>433.28999999999996</v>
      </c>
      <c r="N485" s="4">
        <v>2022</v>
      </c>
      <c r="O485" s="4" t="s">
        <v>69</v>
      </c>
      <c r="P485" s="4" t="s">
        <v>39</v>
      </c>
      <c r="Q485" s="13" t="s">
        <v>40</v>
      </c>
      <c r="R485" s="14">
        <v>644</v>
      </c>
      <c r="S485" s="14">
        <v>5743.5</v>
      </c>
      <c r="T485" s="14">
        <v>6432.72</v>
      </c>
      <c r="U485" s="9">
        <v>1148.7</v>
      </c>
      <c r="V485" s="10" t="s">
        <v>30</v>
      </c>
    </row>
    <row r="486" spans="1:22" ht="18" customHeight="1" x14ac:dyDescent="0.25">
      <c r="A486" s="7" t="s">
        <v>19</v>
      </c>
      <c r="B486" s="7">
        <v>2020</v>
      </c>
      <c r="C486" s="7" t="s">
        <v>69</v>
      </c>
      <c r="D486" s="7" t="s">
        <v>72</v>
      </c>
      <c r="E486" s="7" t="s">
        <v>22</v>
      </c>
      <c r="F486" s="7" t="s">
        <v>23</v>
      </c>
      <c r="G486" s="7" t="s">
        <v>24</v>
      </c>
      <c r="H486" s="7" t="s">
        <v>73</v>
      </c>
      <c r="I486" s="7" t="s">
        <v>26</v>
      </c>
      <c r="J486" s="7">
        <v>351</v>
      </c>
      <c r="K486" s="7">
        <v>501.93</v>
      </c>
      <c r="N486" s="4">
        <v>2022</v>
      </c>
      <c r="O486" s="4" t="s">
        <v>69</v>
      </c>
      <c r="P486" s="4" t="s">
        <v>43</v>
      </c>
      <c r="Q486" s="13" t="s">
        <v>44</v>
      </c>
      <c r="R486" s="14">
        <v>643</v>
      </c>
      <c r="S486" s="14">
        <v>7000</v>
      </c>
      <c r="T486" s="14">
        <v>7840</v>
      </c>
      <c r="U486" s="9">
        <v>1400</v>
      </c>
      <c r="V486" s="10" t="s">
        <v>30</v>
      </c>
    </row>
    <row r="487" spans="1:22" ht="18" customHeight="1" x14ac:dyDescent="0.25">
      <c r="A487" s="7" t="s">
        <v>53</v>
      </c>
      <c r="B487" s="7">
        <v>2020</v>
      </c>
      <c r="C487" s="7" t="s">
        <v>69</v>
      </c>
      <c r="D487" s="7" t="s">
        <v>72</v>
      </c>
      <c r="E487" s="7" t="s">
        <v>22</v>
      </c>
      <c r="F487" s="7" t="s">
        <v>23</v>
      </c>
      <c r="G487" s="7" t="s">
        <v>24</v>
      </c>
      <c r="H487" s="7" t="s">
        <v>73</v>
      </c>
      <c r="I487" s="7" t="s">
        <v>26</v>
      </c>
      <c r="J487" s="7">
        <v>273</v>
      </c>
      <c r="K487" s="7">
        <v>390.39</v>
      </c>
      <c r="N487" s="4">
        <v>2022</v>
      </c>
      <c r="O487" s="4" t="s">
        <v>69</v>
      </c>
      <c r="P487" s="4" t="s">
        <v>39</v>
      </c>
      <c r="Q487" s="13" t="s">
        <v>46</v>
      </c>
      <c r="R487" s="14">
        <v>455</v>
      </c>
      <c r="S487" s="14">
        <v>4578.6000000000004</v>
      </c>
      <c r="T487" s="14">
        <v>5128.0320000000002</v>
      </c>
      <c r="U487" s="9">
        <v>915.72000000000014</v>
      </c>
      <c r="V487" s="10" t="s">
        <v>30</v>
      </c>
    </row>
    <row r="488" spans="1:22" ht="18" customHeight="1" x14ac:dyDescent="0.25">
      <c r="A488" s="7" t="s">
        <v>19</v>
      </c>
      <c r="B488" s="7">
        <v>2020</v>
      </c>
      <c r="C488" s="7" t="s">
        <v>69</v>
      </c>
      <c r="D488" s="7" t="s">
        <v>72</v>
      </c>
      <c r="E488" s="7" t="s">
        <v>22</v>
      </c>
      <c r="F488" s="7" t="s">
        <v>23</v>
      </c>
      <c r="G488" s="7" t="s">
        <v>24</v>
      </c>
      <c r="H488" s="7" t="s">
        <v>73</v>
      </c>
      <c r="I488" s="7" t="s">
        <v>26</v>
      </c>
      <c r="J488" s="7">
        <v>775</v>
      </c>
      <c r="K488" s="7">
        <v>1108.25</v>
      </c>
      <c r="N488" s="4">
        <v>2022</v>
      </c>
      <c r="O488" s="4" t="s">
        <v>69</v>
      </c>
      <c r="P488" s="4" t="s">
        <v>43</v>
      </c>
      <c r="Q488" s="13" t="s">
        <v>48</v>
      </c>
      <c r="R488" s="15">
        <v>345</v>
      </c>
      <c r="S488" s="15">
        <v>7000</v>
      </c>
      <c r="T488" s="15">
        <v>7840</v>
      </c>
      <c r="U488" s="9">
        <v>1400</v>
      </c>
      <c r="V488" s="10" t="s">
        <v>30</v>
      </c>
    </row>
    <row r="489" spans="1:22" ht="18" customHeight="1" x14ac:dyDescent="0.25">
      <c r="A489" s="7" t="s">
        <v>19</v>
      </c>
      <c r="B489" s="7">
        <v>2020</v>
      </c>
      <c r="C489" s="7" t="s">
        <v>69</v>
      </c>
      <c r="D489" s="7" t="s">
        <v>72</v>
      </c>
      <c r="E489" s="7" t="s">
        <v>22</v>
      </c>
      <c r="F489" s="7" t="s">
        <v>23</v>
      </c>
      <c r="G489" s="7" t="s">
        <v>24</v>
      </c>
      <c r="H489" s="7" t="s">
        <v>73</v>
      </c>
      <c r="I489" s="7" t="s">
        <v>26</v>
      </c>
      <c r="J489" s="7">
        <v>808</v>
      </c>
      <c r="K489" s="7">
        <v>1155.44</v>
      </c>
      <c r="N489" s="4">
        <v>2022</v>
      </c>
      <c r="O489" s="4" t="s">
        <v>69</v>
      </c>
      <c r="P489" s="4" t="s">
        <v>36</v>
      </c>
      <c r="Q489" s="8" t="s">
        <v>49</v>
      </c>
      <c r="R489" s="9">
        <v>122</v>
      </c>
      <c r="S489" s="9">
        <v>100</v>
      </c>
      <c r="T489" s="9">
        <v>112</v>
      </c>
      <c r="U489" s="9">
        <v>20</v>
      </c>
      <c r="V489" s="10" t="s">
        <v>30</v>
      </c>
    </row>
    <row r="490" spans="1:22" ht="18" customHeight="1" x14ac:dyDescent="0.25">
      <c r="A490" s="7" t="s">
        <v>34</v>
      </c>
      <c r="B490" s="7">
        <v>2020</v>
      </c>
      <c r="C490" s="7" t="s">
        <v>69</v>
      </c>
      <c r="D490" s="7" t="s">
        <v>72</v>
      </c>
      <c r="E490" s="7" t="s">
        <v>22</v>
      </c>
      <c r="F490" s="7" t="s">
        <v>23</v>
      </c>
      <c r="G490" s="7" t="s">
        <v>24</v>
      </c>
      <c r="H490" s="7" t="s">
        <v>73</v>
      </c>
      <c r="I490" s="7" t="s">
        <v>26</v>
      </c>
      <c r="J490" s="7">
        <v>861</v>
      </c>
      <c r="K490" s="7">
        <v>1231.23</v>
      </c>
      <c r="N490" s="4">
        <v>2022</v>
      </c>
      <c r="O490" s="4" t="s">
        <v>69</v>
      </c>
      <c r="P490" s="4" t="s">
        <v>50</v>
      </c>
      <c r="Q490" s="13" t="s">
        <v>51</v>
      </c>
      <c r="R490" s="14">
        <v>78</v>
      </c>
      <c r="S490" s="14">
        <v>2288.6</v>
      </c>
      <c r="T490" s="14">
        <v>5126.4639999999999</v>
      </c>
      <c r="U490" s="9">
        <v>457.72</v>
      </c>
      <c r="V490" s="10" t="s">
        <v>30</v>
      </c>
    </row>
    <row r="491" spans="1:22" ht="18" customHeight="1" x14ac:dyDescent="0.25">
      <c r="A491" s="7" t="s">
        <v>19</v>
      </c>
      <c r="B491" s="7">
        <v>2020</v>
      </c>
      <c r="C491" s="7" t="s">
        <v>69</v>
      </c>
      <c r="D491" s="7" t="s">
        <v>72</v>
      </c>
      <c r="E491" s="7" t="s">
        <v>22</v>
      </c>
      <c r="F491" s="7" t="s">
        <v>23</v>
      </c>
      <c r="G491" s="7" t="s">
        <v>24</v>
      </c>
      <c r="H491" s="7" t="s">
        <v>73</v>
      </c>
      <c r="I491" s="7" t="s">
        <v>26</v>
      </c>
      <c r="J491" s="7">
        <v>305</v>
      </c>
      <c r="K491" s="7">
        <v>436.15</v>
      </c>
      <c r="N491" s="4">
        <v>2022</v>
      </c>
      <c r="O491" s="4" t="s">
        <v>69</v>
      </c>
      <c r="P491" s="4" t="s">
        <v>50</v>
      </c>
      <c r="Q491" s="13" t="s">
        <v>52</v>
      </c>
      <c r="R491" s="14">
        <v>76</v>
      </c>
      <c r="S491" s="14">
        <v>2288.4499999999998</v>
      </c>
      <c r="T491" s="14">
        <v>5126.1279999999997</v>
      </c>
      <c r="U491" s="9">
        <v>457.69</v>
      </c>
      <c r="V491" s="10" t="s">
        <v>30</v>
      </c>
    </row>
    <row r="492" spans="1:22" ht="18" customHeight="1" x14ac:dyDescent="0.25">
      <c r="A492" s="7" t="s">
        <v>19</v>
      </c>
      <c r="B492" s="7">
        <v>2020</v>
      </c>
      <c r="C492" s="7" t="s">
        <v>69</v>
      </c>
      <c r="D492" s="7" t="s">
        <v>72</v>
      </c>
      <c r="E492" s="7" t="s">
        <v>22</v>
      </c>
      <c r="F492" s="7" t="s">
        <v>23</v>
      </c>
      <c r="G492" s="7" t="s">
        <v>24</v>
      </c>
      <c r="H492" s="7" t="s">
        <v>73</v>
      </c>
      <c r="I492" s="7" t="s">
        <v>26</v>
      </c>
      <c r="J492" s="7">
        <v>347</v>
      </c>
      <c r="K492" s="7">
        <v>496.21000000000004</v>
      </c>
      <c r="N492" s="4">
        <v>2022</v>
      </c>
      <c r="O492" s="4" t="s">
        <v>69</v>
      </c>
      <c r="P492" s="4" t="s">
        <v>50</v>
      </c>
      <c r="Q492" s="13" t="s">
        <v>54</v>
      </c>
      <c r="R492" s="14">
        <v>46</v>
      </c>
      <c r="S492" s="14">
        <v>100</v>
      </c>
      <c r="T492" s="14">
        <v>224</v>
      </c>
      <c r="U492" s="9">
        <v>20</v>
      </c>
      <c r="V492" s="10" t="s">
        <v>30</v>
      </c>
    </row>
    <row r="493" spans="1:22" ht="18" customHeight="1" x14ac:dyDescent="0.25">
      <c r="A493" s="7" t="s">
        <v>34</v>
      </c>
      <c r="B493" s="7">
        <v>2020</v>
      </c>
      <c r="C493" s="7" t="s">
        <v>69</v>
      </c>
      <c r="D493" s="7" t="s">
        <v>72</v>
      </c>
      <c r="E493" s="7" t="s">
        <v>22</v>
      </c>
      <c r="F493" s="7" t="s">
        <v>23</v>
      </c>
      <c r="G493" s="7" t="s">
        <v>24</v>
      </c>
      <c r="H493" s="7" t="s">
        <v>73</v>
      </c>
      <c r="I493" s="7" t="s">
        <v>26</v>
      </c>
      <c r="J493" s="7">
        <v>1111</v>
      </c>
      <c r="K493" s="7">
        <v>1588.73</v>
      </c>
      <c r="N493" s="4">
        <v>2022</v>
      </c>
      <c r="O493" s="4" t="s">
        <v>69</v>
      </c>
      <c r="P493" s="4" t="s">
        <v>50</v>
      </c>
      <c r="Q493" s="13" t="s">
        <v>55</v>
      </c>
      <c r="R493" s="14">
        <v>34</v>
      </c>
      <c r="S493" s="14">
        <v>2746.08</v>
      </c>
      <c r="T493" s="14">
        <v>5126.0160000000005</v>
      </c>
      <c r="U493" s="9">
        <v>549.21600000000001</v>
      </c>
      <c r="V493" s="10" t="s">
        <v>30</v>
      </c>
    </row>
    <row r="494" spans="1:22" ht="18" customHeight="1" x14ac:dyDescent="0.25">
      <c r="A494" s="7" t="s">
        <v>34</v>
      </c>
      <c r="B494" s="7">
        <v>2020</v>
      </c>
      <c r="C494" s="7" t="s">
        <v>20</v>
      </c>
      <c r="D494" s="7" t="s">
        <v>21</v>
      </c>
      <c r="E494" s="7" t="s">
        <v>74</v>
      </c>
      <c r="F494" s="7" t="s">
        <v>75</v>
      </c>
      <c r="G494" s="7" t="s">
        <v>64</v>
      </c>
      <c r="H494" s="7" t="s">
        <v>73</v>
      </c>
      <c r="I494" s="7" t="s">
        <v>26</v>
      </c>
      <c r="J494" s="7">
        <v>352</v>
      </c>
      <c r="K494" s="7">
        <v>503.36</v>
      </c>
      <c r="N494" s="4">
        <v>2022</v>
      </c>
      <c r="O494" s="4" t="s">
        <v>69</v>
      </c>
      <c r="P494" s="4" t="s">
        <v>36</v>
      </c>
      <c r="Q494" s="8" t="s">
        <v>56</v>
      </c>
      <c r="R494" s="9">
        <v>7</v>
      </c>
      <c r="S494" s="9">
        <v>240</v>
      </c>
      <c r="T494" s="9">
        <v>224</v>
      </c>
      <c r="U494" s="9">
        <v>48</v>
      </c>
      <c r="V494" s="10" t="s">
        <v>30</v>
      </c>
    </row>
    <row r="495" spans="1:22" ht="18" customHeight="1" x14ac:dyDescent="0.25">
      <c r="A495" s="7" t="s">
        <v>34</v>
      </c>
      <c r="B495" s="7">
        <v>2020</v>
      </c>
      <c r="C495" s="7" t="s">
        <v>20</v>
      </c>
      <c r="D495" s="7" t="s">
        <v>21</v>
      </c>
      <c r="E495" s="7" t="s">
        <v>74</v>
      </c>
      <c r="F495" s="7" t="s">
        <v>75</v>
      </c>
      <c r="G495" s="7" t="s">
        <v>64</v>
      </c>
      <c r="H495" s="7" t="s">
        <v>73</v>
      </c>
      <c r="I495" s="7" t="s">
        <v>26</v>
      </c>
      <c r="J495" s="7">
        <v>346</v>
      </c>
      <c r="K495" s="7">
        <v>494.78</v>
      </c>
      <c r="N495" s="4">
        <v>2022</v>
      </c>
      <c r="O495" s="4" t="s">
        <v>69</v>
      </c>
      <c r="P495" s="4" t="s">
        <v>50</v>
      </c>
      <c r="Q495" s="13" t="s">
        <v>58</v>
      </c>
      <c r="R495" s="14">
        <v>3</v>
      </c>
      <c r="S495" s="14">
        <v>2746.38</v>
      </c>
      <c r="T495" s="14">
        <v>5126.576</v>
      </c>
      <c r="U495" s="9">
        <v>549.27600000000007</v>
      </c>
      <c r="V495" s="10" t="s">
        <v>30</v>
      </c>
    </row>
    <row r="496" spans="1:22" ht="18" customHeight="1" x14ac:dyDescent="0.25">
      <c r="A496" s="7" t="s">
        <v>34</v>
      </c>
      <c r="B496" s="7">
        <v>2020</v>
      </c>
      <c r="C496" s="7" t="s">
        <v>20</v>
      </c>
      <c r="D496" s="7" t="s">
        <v>21</v>
      </c>
      <c r="E496" s="7" t="s">
        <v>74</v>
      </c>
      <c r="F496" s="7" t="s">
        <v>75</v>
      </c>
      <c r="G496" s="7" t="s">
        <v>64</v>
      </c>
      <c r="H496" s="7" t="s">
        <v>73</v>
      </c>
      <c r="I496" s="7" t="s">
        <v>26</v>
      </c>
      <c r="J496" s="7">
        <v>340</v>
      </c>
      <c r="K496" s="7">
        <v>486.2</v>
      </c>
      <c r="N496" s="4">
        <v>2022</v>
      </c>
      <c r="O496" s="4" t="s">
        <v>69</v>
      </c>
      <c r="P496" s="4" t="s">
        <v>57</v>
      </c>
      <c r="Q496" s="13" t="s">
        <v>57</v>
      </c>
      <c r="R496" s="14">
        <v>2</v>
      </c>
      <c r="S496" s="14">
        <v>7920</v>
      </c>
      <c r="T496" s="14">
        <v>7392</v>
      </c>
      <c r="U496" s="9">
        <v>1584</v>
      </c>
      <c r="V496" s="10" t="s">
        <v>30</v>
      </c>
    </row>
    <row r="497" spans="1:22" ht="18" customHeight="1" x14ac:dyDescent="0.25">
      <c r="A497" s="7" t="s">
        <v>42</v>
      </c>
      <c r="B497" s="7">
        <v>2020</v>
      </c>
      <c r="C497" s="7" t="s">
        <v>20</v>
      </c>
      <c r="D497" s="7" t="s">
        <v>21</v>
      </c>
      <c r="E497" s="7" t="s">
        <v>74</v>
      </c>
      <c r="F497" s="7" t="s">
        <v>75</v>
      </c>
      <c r="G497" s="7" t="s">
        <v>64</v>
      </c>
      <c r="H497" s="7" t="s">
        <v>73</v>
      </c>
      <c r="I497" s="7" t="s">
        <v>26</v>
      </c>
      <c r="J497" s="7">
        <v>349</v>
      </c>
      <c r="K497" s="7">
        <v>499.07</v>
      </c>
      <c r="N497" s="4">
        <v>2022</v>
      </c>
      <c r="O497" s="4" t="s">
        <v>70</v>
      </c>
      <c r="P497" s="4" t="s">
        <v>28</v>
      </c>
      <c r="Q497" s="8" t="s">
        <v>29</v>
      </c>
      <c r="R497" s="9">
        <v>3566</v>
      </c>
      <c r="S497" s="9">
        <v>5035.0300000000007</v>
      </c>
      <c r="T497" s="9">
        <v>5126.576</v>
      </c>
      <c r="U497" s="9">
        <v>1007.0060000000002</v>
      </c>
      <c r="V497" s="10" t="s">
        <v>30</v>
      </c>
    </row>
    <row r="498" spans="1:22" ht="18" customHeight="1" x14ac:dyDescent="0.25">
      <c r="A498" s="7" t="s">
        <v>19</v>
      </c>
      <c r="B498" s="7">
        <v>2020</v>
      </c>
      <c r="C498" s="7" t="s">
        <v>20</v>
      </c>
      <c r="D498" s="7" t="s">
        <v>21</v>
      </c>
      <c r="E498" s="7" t="s">
        <v>74</v>
      </c>
      <c r="F498" s="7" t="s">
        <v>75</v>
      </c>
      <c r="G498" s="7" t="s">
        <v>64</v>
      </c>
      <c r="H498" s="7" t="s">
        <v>73</v>
      </c>
      <c r="I498" s="7" t="s">
        <v>26</v>
      </c>
      <c r="J498" s="7">
        <v>343</v>
      </c>
      <c r="K498" s="7">
        <v>490.49</v>
      </c>
      <c r="N498" s="4">
        <v>2022</v>
      </c>
      <c r="O498" s="4" t="s">
        <v>70</v>
      </c>
      <c r="P498" s="4" t="s">
        <v>28</v>
      </c>
      <c r="Q498" s="8" t="s">
        <v>32</v>
      </c>
      <c r="R498" s="9">
        <v>2498</v>
      </c>
      <c r="S498" s="9">
        <v>9200</v>
      </c>
      <c r="T498" s="9">
        <v>8960</v>
      </c>
      <c r="U498" s="9">
        <v>1840</v>
      </c>
      <c r="V498" s="10" t="s">
        <v>30</v>
      </c>
    </row>
    <row r="499" spans="1:22" ht="18" customHeight="1" x14ac:dyDescent="0.25">
      <c r="A499" s="7" t="s">
        <v>53</v>
      </c>
      <c r="B499" s="7">
        <v>2020</v>
      </c>
      <c r="C499" s="7" t="s">
        <v>60</v>
      </c>
      <c r="D499" s="7" t="s">
        <v>21</v>
      </c>
      <c r="E499" s="7" t="s">
        <v>74</v>
      </c>
      <c r="F499" s="7" t="s">
        <v>75</v>
      </c>
      <c r="G499" s="7" t="s">
        <v>64</v>
      </c>
      <c r="H499" s="7" t="s">
        <v>73</v>
      </c>
      <c r="I499" s="7" t="s">
        <v>76</v>
      </c>
      <c r="J499" s="7">
        <v>286</v>
      </c>
      <c r="K499" s="7">
        <v>408.98</v>
      </c>
      <c r="N499" s="4">
        <v>2022</v>
      </c>
      <c r="O499" s="4" t="s">
        <v>70</v>
      </c>
      <c r="P499" s="4" t="s">
        <v>36</v>
      </c>
      <c r="Q499" s="8" t="s">
        <v>37</v>
      </c>
      <c r="R499" s="9">
        <v>1245</v>
      </c>
      <c r="S499" s="9">
        <v>5263.78</v>
      </c>
      <c r="T499" s="9">
        <v>5126.4639999999999</v>
      </c>
      <c r="U499" s="9">
        <v>1052.7560000000001</v>
      </c>
      <c r="V499" s="10" t="s">
        <v>30</v>
      </c>
    </row>
    <row r="500" spans="1:22" ht="18" customHeight="1" x14ac:dyDescent="0.25">
      <c r="A500" s="7" t="s">
        <v>34</v>
      </c>
      <c r="B500" s="7">
        <v>2020</v>
      </c>
      <c r="C500" s="7" t="s">
        <v>60</v>
      </c>
      <c r="D500" s="7" t="s">
        <v>21</v>
      </c>
      <c r="E500" s="7" t="s">
        <v>74</v>
      </c>
      <c r="F500" s="7" t="s">
        <v>75</v>
      </c>
      <c r="G500" s="7" t="s">
        <v>64</v>
      </c>
      <c r="H500" s="7" t="s">
        <v>73</v>
      </c>
      <c r="I500" s="7" t="s">
        <v>76</v>
      </c>
      <c r="J500" s="7">
        <v>280</v>
      </c>
      <c r="K500" s="7">
        <v>400.4</v>
      </c>
      <c r="N500" s="4">
        <v>2022</v>
      </c>
      <c r="O500" s="4" t="s">
        <v>70</v>
      </c>
      <c r="P500" s="4" t="s">
        <v>39</v>
      </c>
      <c r="Q500" s="13" t="s">
        <v>40</v>
      </c>
      <c r="R500" s="14">
        <v>644</v>
      </c>
      <c r="S500" s="14">
        <v>6605.0249999999996</v>
      </c>
      <c r="T500" s="14">
        <v>6432.72</v>
      </c>
      <c r="U500" s="9">
        <v>1321.0050000000001</v>
      </c>
      <c r="V500" s="10" t="s">
        <v>30</v>
      </c>
    </row>
    <row r="501" spans="1:22" ht="18" customHeight="1" x14ac:dyDescent="0.25">
      <c r="A501" s="7" t="s">
        <v>19</v>
      </c>
      <c r="B501" s="7">
        <v>2020</v>
      </c>
      <c r="C501" s="7" t="s">
        <v>60</v>
      </c>
      <c r="D501" s="7" t="s">
        <v>21</v>
      </c>
      <c r="E501" s="7" t="s">
        <v>74</v>
      </c>
      <c r="F501" s="7" t="s">
        <v>75</v>
      </c>
      <c r="G501" s="7" t="s">
        <v>64</v>
      </c>
      <c r="H501" s="7" t="s">
        <v>73</v>
      </c>
      <c r="I501" s="7" t="s">
        <v>76</v>
      </c>
      <c r="J501" s="7">
        <v>289</v>
      </c>
      <c r="K501" s="7">
        <v>413.27</v>
      </c>
      <c r="N501" s="4">
        <v>2022</v>
      </c>
      <c r="O501" s="4" t="s">
        <v>70</v>
      </c>
      <c r="P501" s="4" t="s">
        <v>43</v>
      </c>
      <c r="Q501" s="13" t="s">
        <v>44</v>
      </c>
      <c r="R501" s="14">
        <v>643</v>
      </c>
      <c r="S501" s="14">
        <v>8400</v>
      </c>
      <c r="T501" s="14">
        <v>7840</v>
      </c>
      <c r="U501" s="9">
        <v>1680</v>
      </c>
      <c r="V501" s="10" t="s">
        <v>30</v>
      </c>
    </row>
    <row r="502" spans="1:22" ht="18" customHeight="1" x14ac:dyDescent="0.25">
      <c r="A502" s="7" t="s">
        <v>42</v>
      </c>
      <c r="B502" s="7">
        <v>2020</v>
      </c>
      <c r="C502" s="7" t="s">
        <v>60</v>
      </c>
      <c r="D502" s="7" t="s">
        <v>21</v>
      </c>
      <c r="E502" s="7" t="s">
        <v>74</v>
      </c>
      <c r="F502" s="7" t="s">
        <v>75</v>
      </c>
      <c r="G502" s="7" t="s">
        <v>64</v>
      </c>
      <c r="H502" s="7" t="s">
        <v>73</v>
      </c>
      <c r="I502" s="7" t="s">
        <v>76</v>
      </c>
      <c r="J502" s="7">
        <v>283</v>
      </c>
      <c r="K502" s="7">
        <v>404.69</v>
      </c>
      <c r="N502" s="4">
        <v>2022</v>
      </c>
      <c r="O502" s="4" t="s">
        <v>70</v>
      </c>
      <c r="P502" s="4" t="s">
        <v>39</v>
      </c>
      <c r="Q502" s="13" t="s">
        <v>46</v>
      </c>
      <c r="R502" s="14">
        <v>455</v>
      </c>
      <c r="S502" s="14">
        <v>5494.3200000000006</v>
      </c>
      <c r="T502" s="14">
        <v>5128.0320000000002</v>
      </c>
      <c r="U502" s="9">
        <v>1098.8640000000003</v>
      </c>
      <c r="V502" s="10" t="s">
        <v>30</v>
      </c>
    </row>
    <row r="503" spans="1:22" ht="18" customHeight="1" x14ac:dyDescent="0.25">
      <c r="A503" s="7" t="s">
        <v>19</v>
      </c>
      <c r="B503" s="7">
        <v>2020</v>
      </c>
      <c r="C503" s="7" t="s">
        <v>60</v>
      </c>
      <c r="D503" s="7" t="s">
        <v>21</v>
      </c>
      <c r="E503" s="7" t="s">
        <v>74</v>
      </c>
      <c r="F503" s="7" t="s">
        <v>75</v>
      </c>
      <c r="G503" s="7" t="s">
        <v>64</v>
      </c>
      <c r="H503" s="7" t="s">
        <v>73</v>
      </c>
      <c r="I503" s="7" t="s">
        <v>76</v>
      </c>
      <c r="J503" s="7">
        <v>277</v>
      </c>
      <c r="K503" s="7">
        <v>396.11</v>
      </c>
      <c r="N503" s="4">
        <v>2022</v>
      </c>
      <c r="O503" s="4" t="s">
        <v>70</v>
      </c>
      <c r="P503" s="4" t="s">
        <v>43</v>
      </c>
      <c r="Q503" s="13" t="s">
        <v>48</v>
      </c>
      <c r="R503" s="15">
        <v>345</v>
      </c>
      <c r="S503" s="15">
        <v>8400</v>
      </c>
      <c r="T503" s="15">
        <v>7840</v>
      </c>
      <c r="U503" s="9">
        <v>1680</v>
      </c>
      <c r="V503" s="10" t="s">
        <v>30</v>
      </c>
    </row>
    <row r="504" spans="1:22" ht="18" customHeight="1" x14ac:dyDescent="0.25">
      <c r="A504" s="7" t="s">
        <v>34</v>
      </c>
      <c r="B504" s="7">
        <v>2020</v>
      </c>
      <c r="C504" s="7" t="s">
        <v>65</v>
      </c>
      <c r="D504" s="7" t="s">
        <v>21</v>
      </c>
      <c r="E504" s="7" t="s">
        <v>74</v>
      </c>
      <c r="F504" s="7" t="s">
        <v>75</v>
      </c>
      <c r="G504" s="7" t="s">
        <v>64</v>
      </c>
      <c r="H504" s="7" t="s">
        <v>73</v>
      </c>
      <c r="I504" s="7" t="s">
        <v>26</v>
      </c>
      <c r="J504" s="7">
        <v>226</v>
      </c>
      <c r="K504" s="7">
        <v>323.18</v>
      </c>
      <c r="N504" s="4">
        <v>2022</v>
      </c>
      <c r="O504" s="4" t="s">
        <v>70</v>
      </c>
      <c r="P504" s="4" t="s">
        <v>36</v>
      </c>
      <c r="Q504" s="8" t="s">
        <v>49</v>
      </c>
      <c r="R504" s="9">
        <v>122</v>
      </c>
      <c r="S504" s="9">
        <v>120</v>
      </c>
      <c r="T504" s="9">
        <v>112</v>
      </c>
      <c r="U504" s="9">
        <v>24</v>
      </c>
      <c r="V504" s="10" t="s">
        <v>30</v>
      </c>
    </row>
    <row r="505" spans="1:22" ht="18" customHeight="1" x14ac:dyDescent="0.25">
      <c r="A505" s="7" t="s">
        <v>19</v>
      </c>
      <c r="B505" s="7">
        <v>2020</v>
      </c>
      <c r="C505" s="7" t="s">
        <v>65</v>
      </c>
      <c r="D505" s="7" t="s">
        <v>21</v>
      </c>
      <c r="E505" s="7" t="s">
        <v>74</v>
      </c>
      <c r="F505" s="7" t="s">
        <v>75</v>
      </c>
      <c r="G505" s="7" t="s">
        <v>64</v>
      </c>
      <c r="H505" s="7" t="s">
        <v>25</v>
      </c>
      <c r="I505" s="7" t="s">
        <v>26</v>
      </c>
      <c r="J505" s="7">
        <v>220</v>
      </c>
      <c r="K505" s="7">
        <v>314.60000000000002</v>
      </c>
      <c r="N505" s="4">
        <v>2022</v>
      </c>
      <c r="O505" s="4" t="s">
        <v>70</v>
      </c>
      <c r="P505" s="4" t="s">
        <v>50</v>
      </c>
      <c r="Q505" s="13" t="s">
        <v>51</v>
      </c>
      <c r="R505" s="14">
        <v>78</v>
      </c>
      <c r="S505" s="14">
        <v>2517.46</v>
      </c>
      <c r="T505" s="14">
        <v>5126.4639999999999</v>
      </c>
      <c r="U505" s="9">
        <v>503.49200000000002</v>
      </c>
      <c r="V505" s="10" t="s">
        <v>30</v>
      </c>
    </row>
    <row r="506" spans="1:22" ht="18" customHeight="1" x14ac:dyDescent="0.25">
      <c r="A506" s="7" t="s">
        <v>42</v>
      </c>
      <c r="B506" s="7">
        <v>2020</v>
      </c>
      <c r="C506" s="7" t="s">
        <v>65</v>
      </c>
      <c r="D506" s="7" t="s">
        <v>21</v>
      </c>
      <c r="E506" s="7" t="s">
        <v>74</v>
      </c>
      <c r="F506" s="7" t="s">
        <v>75</v>
      </c>
      <c r="G506" s="7" t="s">
        <v>64</v>
      </c>
      <c r="H506" s="7" t="s">
        <v>25</v>
      </c>
      <c r="I506" s="7" t="s">
        <v>26</v>
      </c>
      <c r="J506" s="7">
        <v>214</v>
      </c>
      <c r="K506" s="7">
        <v>306.02</v>
      </c>
      <c r="N506" s="4">
        <v>2022</v>
      </c>
      <c r="O506" s="4" t="s">
        <v>70</v>
      </c>
      <c r="P506" s="4" t="s">
        <v>50</v>
      </c>
      <c r="Q506" s="13" t="s">
        <v>52</v>
      </c>
      <c r="R506" s="14">
        <v>76</v>
      </c>
      <c r="S506" s="14">
        <v>2517.2949999999996</v>
      </c>
      <c r="T506" s="14">
        <v>5126.1279999999997</v>
      </c>
      <c r="U506" s="9">
        <v>503.45899999999995</v>
      </c>
      <c r="V506" s="10" t="s">
        <v>30</v>
      </c>
    </row>
    <row r="507" spans="1:22" ht="18" customHeight="1" x14ac:dyDescent="0.25">
      <c r="A507" s="7" t="s">
        <v>19</v>
      </c>
      <c r="B507" s="7">
        <v>2020</v>
      </c>
      <c r="C507" s="7" t="s">
        <v>65</v>
      </c>
      <c r="D507" s="7" t="s">
        <v>21</v>
      </c>
      <c r="E507" s="7" t="s">
        <v>74</v>
      </c>
      <c r="F507" s="7" t="s">
        <v>75</v>
      </c>
      <c r="G507" s="7" t="s">
        <v>64</v>
      </c>
      <c r="H507" s="7" t="s">
        <v>25</v>
      </c>
      <c r="I507" s="7" t="s">
        <v>26</v>
      </c>
      <c r="J507" s="7">
        <v>223</v>
      </c>
      <c r="K507" s="7">
        <v>318.89</v>
      </c>
      <c r="N507" s="4">
        <v>2022</v>
      </c>
      <c r="O507" s="4" t="s">
        <v>70</v>
      </c>
      <c r="P507" s="4" t="s">
        <v>50</v>
      </c>
      <c r="Q507" s="13" t="s">
        <v>54</v>
      </c>
      <c r="R507" s="14">
        <v>46</v>
      </c>
      <c r="S507" s="14">
        <v>110</v>
      </c>
      <c r="T507" s="14">
        <v>224</v>
      </c>
      <c r="U507" s="9">
        <v>22</v>
      </c>
      <c r="V507" s="10" t="s">
        <v>30</v>
      </c>
    </row>
    <row r="508" spans="1:22" ht="18" customHeight="1" x14ac:dyDescent="0.25">
      <c r="A508" s="7" t="s">
        <v>42</v>
      </c>
      <c r="B508" s="7">
        <v>2020</v>
      </c>
      <c r="C508" s="7" t="s">
        <v>65</v>
      </c>
      <c r="D508" s="7" t="s">
        <v>21</v>
      </c>
      <c r="E508" s="7" t="s">
        <v>74</v>
      </c>
      <c r="F508" s="7" t="s">
        <v>75</v>
      </c>
      <c r="G508" s="7" t="s">
        <v>64</v>
      </c>
      <c r="H508" s="7" t="s">
        <v>25</v>
      </c>
      <c r="I508" s="7" t="s">
        <v>26</v>
      </c>
      <c r="J508" s="7">
        <v>217</v>
      </c>
      <c r="K508" s="7">
        <v>310.31</v>
      </c>
      <c r="N508" s="4">
        <v>2022</v>
      </c>
      <c r="O508" s="4" t="s">
        <v>70</v>
      </c>
      <c r="P508" s="4" t="s">
        <v>50</v>
      </c>
      <c r="Q508" s="13" t="s">
        <v>55</v>
      </c>
      <c r="R508" s="14">
        <v>34</v>
      </c>
      <c r="S508" s="14">
        <v>2517.2400000000002</v>
      </c>
      <c r="T508" s="14">
        <v>5126.0160000000005</v>
      </c>
      <c r="U508" s="9">
        <v>503.44800000000009</v>
      </c>
      <c r="V508" s="10" t="s">
        <v>30</v>
      </c>
    </row>
    <row r="509" spans="1:22" ht="18" customHeight="1" x14ac:dyDescent="0.25">
      <c r="A509" s="7" t="s">
        <v>19</v>
      </c>
      <c r="B509" s="7">
        <v>2020</v>
      </c>
      <c r="C509" s="7" t="s">
        <v>65</v>
      </c>
      <c r="D509" s="7" t="s">
        <v>21</v>
      </c>
      <c r="E509" s="7" t="s">
        <v>74</v>
      </c>
      <c r="F509" s="7" t="s">
        <v>75</v>
      </c>
      <c r="G509" s="7" t="s">
        <v>64</v>
      </c>
      <c r="H509" s="7" t="s">
        <v>25</v>
      </c>
      <c r="I509" s="7" t="s">
        <v>26</v>
      </c>
      <c r="J509" s="7">
        <v>211</v>
      </c>
      <c r="K509" s="7">
        <v>301.73</v>
      </c>
      <c r="N509" s="4">
        <v>2022</v>
      </c>
      <c r="O509" s="4" t="s">
        <v>70</v>
      </c>
      <c r="P509" s="4" t="s">
        <v>36</v>
      </c>
      <c r="Q509" s="8" t="s">
        <v>56</v>
      </c>
      <c r="R509" s="9">
        <v>7</v>
      </c>
      <c r="S509" s="9">
        <v>220</v>
      </c>
      <c r="T509" s="9">
        <v>224</v>
      </c>
      <c r="U509" s="9">
        <v>44</v>
      </c>
      <c r="V509" s="10" t="s">
        <v>30</v>
      </c>
    </row>
    <row r="510" spans="1:22" ht="18" customHeight="1" x14ac:dyDescent="0.25">
      <c r="A510" s="7" t="s">
        <v>19</v>
      </c>
      <c r="B510" s="7">
        <v>2020</v>
      </c>
      <c r="C510" s="7" t="s">
        <v>68</v>
      </c>
      <c r="D510" s="7" t="s">
        <v>21</v>
      </c>
      <c r="E510" s="7" t="s">
        <v>74</v>
      </c>
      <c r="F510" s="7" t="s">
        <v>75</v>
      </c>
      <c r="G510" s="7" t="s">
        <v>64</v>
      </c>
      <c r="H510" s="7" t="s">
        <v>25</v>
      </c>
      <c r="I510" s="7" t="s">
        <v>76</v>
      </c>
      <c r="J510" s="7">
        <v>304</v>
      </c>
      <c r="K510" s="7">
        <v>434.72</v>
      </c>
      <c r="N510" s="4">
        <v>2022</v>
      </c>
      <c r="O510" s="4" t="s">
        <v>70</v>
      </c>
      <c r="P510" s="4" t="s">
        <v>50</v>
      </c>
      <c r="Q510" s="13" t="s">
        <v>58</v>
      </c>
      <c r="R510" s="14">
        <v>3</v>
      </c>
      <c r="S510" s="14">
        <v>2517.5150000000003</v>
      </c>
      <c r="T510" s="14">
        <v>5126.576</v>
      </c>
      <c r="U510" s="9">
        <v>503.5030000000001</v>
      </c>
      <c r="V510" s="10" t="s">
        <v>30</v>
      </c>
    </row>
    <row r="511" spans="1:22" ht="18" customHeight="1" x14ac:dyDescent="0.25">
      <c r="A511" s="7" t="s">
        <v>34</v>
      </c>
      <c r="B511" s="7">
        <v>2020</v>
      </c>
      <c r="C511" s="7" t="s">
        <v>68</v>
      </c>
      <c r="D511" s="7" t="s">
        <v>21</v>
      </c>
      <c r="E511" s="7" t="s">
        <v>74</v>
      </c>
      <c r="F511" s="7" t="s">
        <v>75</v>
      </c>
      <c r="G511" s="7" t="s">
        <v>64</v>
      </c>
      <c r="H511" s="7" t="s">
        <v>25</v>
      </c>
      <c r="I511" s="7" t="s">
        <v>76</v>
      </c>
      <c r="J511" s="7">
        <v>298</v>
      </c>
      <c r="K511" s="7">
        <v>426.14</v>
      </c>
      <c r="N511" s="4">
        <v>2022</v>
      </c>
      <c r="O511" s="4" t="s">
        <v>70</v>
      </c>
      <c r="P511" s="4" t="s">
        <v>57</v>
      </c>
      <c r="Q511" s="13" t="s">
        <v>57</v>
      </c>
      <c r="R511" s="14">
        <v>2</v>
      </c>
      <c r="S511" s="14">
        <v>7260</v>
      </c>
      <c r="T511" s="14">
        <v>7392</v>
      </c>
      <c r="U511" s="9">
        <v>1452</v>
      </c>
      <c r="V511" s="10" t="s">
        <v>30</v>
      </c>
    </row>
    <row r="512" spans="1:22" ht="18" customHeight="1" x14ac:dyDescent="0.25">
      <c r="A512" s="7" t="s">
        <v>34</v>
      </c>
      <c r="B512" s="7">
        <v>2020</v>
      </c>
      <c r="C512" s="7" t="s">
        <v>68</v>
      </c>
      <c r="D512" s="7" t="s">
        <v>21</v>
      </c>
      <c r="E512" s="7" t="s">
        <v>74</v>
      </c>
      <c r="F512" s="7" t="s">
        <v>75</v>
      </c>
      <c r="G512" s="7" t="s">
        <v>64</v>
      </c>
      <c r="H512" s="7" t="s">
        <v>25</v>
      </c>
      <c r="I512" s="7" t="s">
        <v>76</v>
      </c>
      <c r="J512" s="7">
        <v>292</v>
      </c>
      <c r="K512" s="7">
        <v>417.56</v>
      </c>
      <c r="N512" s="4">
        <v>2022</v>
      </c>
      <c r="O512" s="4" t="s">
        <v>71</v>
      </c>
      <c r="P512" s="4" t="s">
        <v>28</v>
      </c>
      <c r="Q512" s="8" t="s">
        <v>29</v>
      </c>
      <c r="R512" s="9">
        <v>3566</v>
      </c>
      <c r="S512" s="9">
        <v>5263.8950000000004</v>
      </c>
      <c r="T512" s="9">
        <v>5126.576</v>
      </c>
      <c r="U512" s="9">
        <v>1052.7790000000002</v>
      </c>
      <c r="V512" s="10" t="s">
        <v>30</v>
      </c>
    </row>
    <row r="513" spans="1:22" ht="18" customHeight="1" x14ac:dyDescent="0.25">
      <c r="A513" s="7" t="s">
        <v>42</v>
      </c>
      <c r="B513" s="7">
        <v>2020</v>
      </c>
      <c r="C513" s="7" t="s">
        <v>68</v>
      </c>
      <c r="D513" s="7" t="s">
        <v>21</v>
      </c>
      <c r="E513" s="7" t="s">
        <v>74</v>
      </c>
      <c r="F513" s="7" t="s">
        <v>75</v>
      </c>
      <c r="G513" s="7" t="s">
        <v>64</v>
      </c>
      <c r="H513" s="7" t="s">
        <v>25</v>
      </c>
      <c r="I513" s="7" t="s">
        <v>76</v>
      </c>
      <c r="J513" s="7">
        <v>301</v>
      </c>
      <c r="K513" s="7">
        <v>430.43</v>
      </c>
      <c r="N513" s="4">
        <v>2022</v>
      </c>
      <c r="O513" s="4" t="s">
        <v>71</v>
      </c>
      <c r="P513" s="4" t="s">
        <v>28</v>
      </c>
      <c r="Q513" s="8" t="s">
        <v>32</v>
      </c>
      <c r="R513" s="9">
        <v>2498</v>
      </c>
      <c r="S513" s="9">
        <v>8800</v>
      </c>
      <c r="T513" s="9">
        <v>8960</v>
      </c>
      <c r="U513" s="9">
        <v>1760</v>
      </c>
      <c r="V513" s="10" t="s">
        <v>30</v>
      </c>
    </row>
    <row r="514" spans="1:22" ht="18" customHeight="1" x14ac:dyDescent="0.25">
      <c r="A514" s="7" t="s">
        <v>34</v>
      </c>
      <c r="B514" s="7">
        <v>2020</v>
      </c>
      <c r="C514" s="7" t="s">
        <v>68</v>
      </c>
      <c r="D514" s="7" t="s">
        <v>21</v>
      </c>
      <c r="E514" s="7" t="s">
        <v>74</v>
      </c>
      <c r="F514" s="7" t="s">
        <v>75</v>
      </c>
      <c r="G514" s="7" t="s">
        <v>64</v>
      </c>
      <c r="H514" s="7" t="s">
        <v>25</v>
      </c>
      <c r="I514" s="7" t="s">
        <v>76</v>
      </c>
      <c r="J514" s="7">
        <v>295</v>
      </c>
      <c r="K514" s="7">
        <v>421.85</v>
      </c>
      <c r="N514" s="4">
        <v>2022</v>
      </c>
      <c r="O514" s="4" t="s">
        <v>71</v>
      </c>
      <c r="P514" s="4" t="s">
        <v>36</v>
      </c>
      <c r="Q514" s="8" t="s">
        <v>37</v>
      </c>
      <c r="R514" s="9">
        <v>1245</v>
      </c>
      <c r="S514" s="9">
        <v>5034.92</v>
      </c>
      <c r="T514" s="9">
        <v>5126.4639999999999</v>
      </c>
      <c r="U514" s="9">
        <v>1006.984</v>
      </c>
      <c r="V514" s="10" t="s">
        <v>30</v>
      </c>
    </row>
    <row r="515" spans="1:22" ht="18" customHeight="1" x14ac:dyDescent="0.25">
      <c r="A515" s="7" t="s">
        <v>34</v>
      </c>
      <c r="B515" s="7">
        <v>2020</v>
      </c>
      <c r="C515" s="7" t="s">
        <v>67</v>
      </c>
      <c r="D515" s="7" t="s">
        <v>21</v>
      </c>
      <c r="E515" s="7" t="s">
        <v>74</v>
      </c>
      <c r="F515" s="7" t="s">
        <v>75</v>
      </c>
      <c r="G515" s="7" t="s">
        <v>64</v>
      </c>
      <c r="H515" s="7" t="s">
        <v>25</v>
      </c>
      <c r="I515" s="7" t="s">
        <v>26</v>
      </c>
      <c r="J515" s="7">
        <v>322</v>
      </c>
      <c r="K515" s="7">
        <v>460.46000000000004</v>
      </c>
      <c r="N515" s="4">
        <v>2022</v>
      </c>
      <c r="O515" s="4" t="s">
        <v>71</v>
      </c>
      <c r="P515" s="4" t="s">
        <v>39</v>
      </c>
      <c r="Q515" s="13" t="s">
        <v>40</v>
      </c>
      <c r="R515" s="14">
        <v>644</v>
      </c>
      <c r="S515" s="14">
        <v>6317.85</v>
      </c>
      <c r="T515" s="14">
        <v>6432.72</v>
      </c>
      <c r="U515" s="9">
        <v>1263.5700000000002</v>
      </c>
      <c r="V515" s="10" t="s">
        <v>30</v>
      </c>
    </row>
    <row r="516" spans="1:22" ht="18" customHeight="1" x14ac:dyDescent="0.25">
      <c r="A516" s="7" t="s">
        <v>19</v>
      </c>
      <c r="B516" s="7">
        <v>2020</v>
      </c>
      <c r="C516" s="7" t="s">
        <v>67</v>
      </c>
      <c r="D516" s="7" t="s">
        <v>21</v>
      </c>
      <c r="E516" s="7" t="s">
        <v>74</v>
      </c>
      <c r="F516" s="7" t="s">
        <v>75</v>
      </c>
      <c r="G516" s="7" t="s">
        <v>64</v>
      </c>
      <c r="H516" s="7" t="s">
        <v>25</v>
      </c>
      <c r="I516" s="7" t="s">
        <v>76</v>
      </c>
      <c r="J516" s="7">
        <v>316</v>
      </c>
      <c r="K516" s="7">
        <v>451.88</v>
      </c>
      <c r="N516" s="4">
        <v>2022</v>
      </c>
      <c r="O516" s="4" t="s">
        <v>71</v>
      </c>
      <c r="P516" s="4" t="s">
        <v>43</v>
      </c>
      <c r="Q516" s="13" t="s">
        <v>44</v>
      </c>
      <c r="R516" s="14">
        <v>643</v>
      </c>
      <c r="S516" s="14">
        <v>7700</v>
      </c>
      <c r="T516" s="14">
        <v>7840</v>
      </c>
      <c r="U516" s="9">
        <v>1540</v>
      </c>
      <c r="V516" s="10" t="s">
        <v>30</v>
      </c>
    </row>
    <row r="517" spans="1:22" ht="18" customHeight="1" x14ac:dyDescent="0.25">
      <c r="A517" s="7" t="s">
        <v>42</v>
      </c>
      <c r="B517" s="7">
        <v>2020</v>
      </c>
      <c r="C517" s="7" t="s">
        <v>67</v>
      </c>
      <c r="D517" s="7" t="s">
        <v>21</v>
      </c>
      <c r="E517" s="7" t="s">
        <v>74</v>
      </c>
      <c r="F517" s="7" t="s">
        <v>75</v>
      </c>
      <c r="G517" s="7" t="s">
        <v>64</v>
      </c>
      <c r="H517" s="7" t="s">
        <v>25</v>
      </c>
      <c r="I517" s="7" t="s">
        <v>76</v>
      </c>
      <c r="J517" s="7">
        <v>310</v>
      </c>
      <c r="K517" s="7">
        <v>443.3</v>
      </c>
      <c r="N517" s="4">
        <v>2022</v>
      </c>
      <c r="O517" s="4" t="s">
        <v>71</v>
      </c>
      <c r="P517" s="4" t="s">
        <v>39</v>
      </c>
      <c r="Q517" s="13" t="s">
        <v>46</v>
      </c>
      <c r="R517" s="14">
        <v>455</v>
      </c>
      <c r="S517" s="14">
        <v>5036.46</v>
      </c>
      <c r="T517" s="14">
        <v>5128.0320000000002</v>
      </c>
      <c r="U517" s="9">
        <v>1007.292</v>
      </c>
      <c r="V517" s="10" t="s">
        <v>30</v>
      </c>
    </row>
    <row r="518" spans="1:22" ht="18" customHeight="1" x14ac:dyDescent="0.25">
      <c r="A518" s="7" t="s">
        <v>19</v>
      </c>
      <c r="B518" s="7">
        <v>2020</v>
      </c>
      <c r="C518" s="7" t="s">
        <v>67</v>
      </c>
      <c r="D518" s="7" t="s">
        <v>21</v>
      </c>
      <c r="E518" s="7" t="s">
        <v>74</v>
      </c>
      <c r="F518" s="7" t="s">
        <v>75</v>
      </c>
      <c r="G518" s="7" t="s">
        <v>64</v>
      </c>
      <c r="H518" s="7" t="s">
        <v>25</v>
      </c>
      <c r="I518" s="7" t="s">
        <v>76</v>
      </c>
      <c r="J518" s="7">
        <v>319</v>
      </c>
      <c r="K518" s="7">
        <v>456.16999999999996</v>
      </c>
      <c r="N518" s="4">
        <v>2022</v>
      </c>
      <c r="O518" s="4" t="s">
        <v>71</v>
      </c>
      <c r="P518" s="4" t="s">
        <v>43</v>
      </c>
      <c r="Q518" s="13" t="s">
        <v>48</v>
      </c>
      <c r="R518" s="15">
        <v>345</v>
      </c>
      <c r="S518" s="15">
        <v>7700</v>
      </c>
      <c r="T518" s="15">
        <v>7840</v>
      </c>
      <c r="U518" s="9">
        <v>1540</v>
      </c>
      <c r="V518" s="10" t="s">
        <v>30</v>
      </c>
    </row>
    <row r="519" spans="1:22" ht="18" customHeight="1" x14ac:dyDescent="0.25">
      <c r="A519" s="7" t="s">
        <v>34</v>
      </c>
      <c r="B519" s="7">
        <v>2020</v>
      </c>
      <c r="C519" s="7" t="s">
        <v>67</v>
      </c>
      <c r="D519" s="7" t="s">
        <v>21</v>
      </c>
      <c r="E519" s="7" t="s">
        <v>74</v>
      </c>
      <c r="F519" s="7" t="s">
        <v>75</v>
      </c>
      <c r="G519" s="7" t="s">
        <v>64</v>
      </c>
      <c r="H519" s="7" t="s">
        <v>25</v>
      </c>
      <c r="I519" s="7" t="s">
        <v>76</v>
      </c>
      <c r="J519" s="7">
        <v>313</v>
      </c>
      <c r="K519" s="7">
        <v>447.59000000000003</v>
      </c>
      <c r="N519" s="4">
        <v>2022</v>
      </c>
      <c r="O519" s="4" t="s">
        <v>71</v>
      </c>
      <c r="P519" s="4" t="s">
        <v>36</v>
      </c>
      <c r="Q519" s="8" t="s">
        <v>49</v>
      </c>
      <c r="R519" s="9">
        <v>122</v>
      </c>
      <c r="S519" s="9">
        <v>110</v>
      </c>
      <c r="T519" s="9">
        <v>112</v>
      </c>
      <c r="U519" s="9">
        <v>22</v>
      </c>
      <c r="V519" s="10" t="s">
        <v>30</v>
      </c>
    </row>
    <row r="520" spans="1:22" ht="18" customHeight="1" x14ac:dyDescent="0.25">
      <c r="A520" s="7" t="s">
        <v>34</v>
      </c>
      <c r="B520" s="7">
        <v>2020</v>
      </c>
      <c r="C520" s="7" t="s">
        <v>67</v>
      </c>
      <c r="D520" s="7" t="s">
        <v>21</v>
      </c>
      <c r="E520" s="7" t="s">
        <v>74</v>
      </c>
      <c r="F520" s="7" t="s">
        <v>75</v>
      </c>
      <c r="G520" s="7" t="s">
        <v>64</v>
      </c>
      <c r="H520" s="7" t="s">
        <v>25</v>
      </c>
      <c r="I520" s="7" t="s">
        <v>76</v>
      </c>
      <c r="J520" s="7">
        <v>307</v>
      </c>
      <c r="K520" s="7">
        <v>439.01</v>
      </c>
      <c r="N520" s="4">
        <v>2022</v>
      </c>
      <c r="O520" s="4" t="s">
        <v>71</v>
      </c>
      <c r="P520" s="4" t="s">
        <v>50</v>
      </c>
      <c r="Q520" s="13" t="s">
        <v>51</v>
      </c>
      <c r="R520" s="14">
        <v>78</v>
      </c>
      <c r="S520" s="14">
        <v>2517.46</v>
      </c>
      <c r="T520" s="14">
        <v>5126.4639999999999</v>
      </c>
      <c r="U520" s="9">
        <v>503.49200000000002</v>
      </c>
      <c r="V520" s="10" t="s">
        <v>30</v>
      </c>
    </row>
    <row r="521" spans="1:22" ht="18" customHeight="1" x14ac:dyDescent="0.25">
      <c r="A521" s="7" t="s">
        <v>19</v>
      </c>
      <c r="B521" s="7">
        <v>2020</v>
      </c>
      <c r="C521" s="7" t="s">
        <v>66</v>
      </c>
      <c r="D521" s="7" t="s">
        <v>21</v>
      </c>
      <c r="E521" s="7" t="s">
        <v>74</v>
      </c>
      <c r="F521" s="7" t="s">
        <v>75</v>
      </c>
      <c r="G521" s="7" t="s">
        <v>64</v>
      </c>
      <c r="H521" s="7" t="s">
        <v>25</v>
      </c>
      <c r="I521" s="7" t="s">
        <v>26</v>
      </c>
      <c r="J521" s="7">
        <v>334</v>
      </c>
      <c r="K521" s="7">
        <v>477.62</v>
      </c>
      <c r="N521" s="4">
        <v>2022</v>
      </c>
      <c r="O521" s="4" t="s">
        <v>71</v>
      </c>
      <c r="P521" s="4" t="s">
        <v>50</v>
      </c>
      <c r="Q521" s="13" t="s">
        <v>52</v>
      </c>
      <c r="R521" s="14">
        <v>76</v>
      </c>
      <c r="S521" s="14">
        <v>2288.4499999999998</v>
      </c>
      <c r="T521" s="14">
        <v>5126.1279999999997</v>
      </c>
      <c r="U521" s="9">
        <v>457.69</v>
      </c>
      <c r="V521" s="10" t="s">
        <v>30</v>
      </c>
    </row>
    <row r="522" spans="1:22" ht="18" customHeight="1" x14ac:dyDescent="0.25">
      <c r="A522" s="7" t="s">
        <v>34</v>
      </c>
      <c r="B522" s="7">
        <v>2020</v>
      </c>
      <c r="C522" s="7" t="s">
        <v>66</v>
      </c>
      <c r="D522" s="7" t="s">
        <v>21</v>
      </c>
      <c r="E522" s="7" t="s">
        <v>74</v>
      </c>
      <c r="F522" s="7" t="s">
        <v>75</v>
      </c>
      <c r="G522" s="7" t="s">
        <v>64</v>
      </c>
      <c r="H522" s="7" t="s">
        <v>25</v>
      </c>
      <c r="I522" s="7" t="s">
        <v>26</v>
      </c>
      <c r="J522" s="7">
        <v>328</v>
      </c>
      <c r="K522" s="7">
        <v>469.03999999999996</v>
      </c>
      <c r="N522" s="4">
        <v>2022</v>
      </c>
      <c r="O522" s="4" t="s">
        <v>71</v>
      </c>
      <c r="P522" s="4" t="s">
        <v>50</v>
      </c>
      <c r="Q522" s="13" t="s">
        <v>54</v>
      </c>
      <c r="R522" s="14">
        <v>46</v>
      </c>
      <c r="S522" s="14">
        <v>100</v>
      </c>
      <c r="T522" s="14">
        <v>224</v>
      </c>
      <c r="U522" s="9">
        <v>20</v>
      </c>
      <c r="V522" s="10" t="s">
        <v>30</v>
      </c>
    </row>
    <row r="523" spans="1:22" ht="18" customHeight="1" x14ac:dyDescent="0.25">
      <c r="A523" s="7" t="s">
        <v>42</v>
      </c>
      <c r="B523" s="7">
        <v>2020</v>
      </c>
      <c r="C523" s="7" t="s">
        <v>66</v>
      </c>
      <c r="D523" s="7" t="s">
        <v>21</v>
      </c>
      <c r="E523" s="7" t="s">
        <v>74</v>
      </c>
      <c r="F523" s="7" t="s">
        <v>75</v>
      </c>
      <c r="G523" s="7" t="s">
        <v>64</v>
      </c>
      <c r="H523" s="7" t="s">
        <v>25</v>
      </c>
      <c r="I523" s="7" t="s">
        <v>26</v>
      </c>
      <c r="J523" s="7">
        <v>337</v>
      </c>
      <c r="K523" s="7">
        <v>481.90999999999997</v>
      </c>
      <c r="N523" s="4">
        <v>2022</v>
      </c>
      <c r="O523" s="4" t="s">
        <v>71</v>
      </c>
      <c r="P523" s="4" t="s">
        <v>50</v>
      </c>
      <c r="Q523" s="13" t="s">
        <v>55</v>
      </c>
      <c r="R523" s="14">
        <v>34</v>
      </c>
      <c r="S523" s="14">
        <v>2288.4</v>
      </c>
      <c r="T523" s="14">
        <v>5126.0160000000005</v>
      </c>
      <c r="U523" s="9">
        <v>457.68000000000006</v>
      </c>
      <c r="V523" s="10" t="s">
        <v>63</v>
      </c>
    </row>
    <row r="524" spans="1:22" ht="18" customHeight="1" x14ac:dyDescent="0.25">
      <c r="A524" s="7" t="s">
        <v>34</v>
      </c>
      <c r="B524" s="7">
        <v>2020</v>
      </c>
      <c r="C524" s="7" t="s">
        <v>66</v>
      </c>
      <c r="D524" s="7" t="s">
        <v>21</v>
      </c>
      <c r="E524" s="7" t="s">
        <v>74</v>
      </c>
      <c r="F524" s="7" t="s">
        <v>75</v>
      </c>
      <c r="G524" s="7" t="s">
        <v>64</v>
      </c>
      <c r="H524" s="7" t="s">
        <v>25</v>
      </c>
      <c r="I524" s="7" t="s">
        <v>26</v>
      </c>
      <c r="J524" s="7">
        <v>331</v>
      </c>
      <c r="K524" s="7">
        <v>473.33</v>
      </c>
      <c r="N524" s="4">
        <v>2022</v>
      </c>
      <c r="O524" s="4" t="s">
        <v>71</v>
      </c>
      <c r="P524" s="4" t="s">
        <v>36</v>
      </c>
      <c r="Q524" s="8" t="s">
        <v>56</v>
      </c>
      <c r="R524" s="9">
        <v>7</v>
      </c>
      <c r="S524" s="9">
        <v>200</v>
      </c>
      <c r="T524" s="9">
        <v>224</v>
      </c>
      <c r="U524" s="9">
        <v>40</v>
      </c>
      <c r="V524" s="10" t="s">
        <v>63</v>
      </c>
    </row>
    <row r="525" spans="1:22" ht="18" customHeight="1" x14ac:dyDescent="0.25">
      <c r="A525" s="7" t="s">
        <v>53</v>
      </c>
      <c r="B525" s="7">
        <v>2020</v>
      </c>
      <c r="C525" s="7" t="s">
        <v>66</v>
      </c>
      <c r="D525" s="7" t="s">
        <v>21</v>
      </c>
      <c r="E525" s="7" t="s">
        <v>74</v>
      </c>
      <c r="F525" s="7" t="s">
        <v>75</v>
      </c>
      <c r="G525" s="7" t="s">
        <v>64</v>
      </c>
      <c r="H525" s="7" t="s">
        <v>25</v>
      </c>
      <c r="I525" s="7" t="s">
        <v>26</v>
      </c>
      <c r="J525" s="7">
        <v>325</v>
      </c>
      <c r="K525" s="7">
        <v>464.75</v>
      </c>
      <c r="N525" s="4">
        <v>2022</v>
      </c>
      <c r="O525" s="4" t="s">
        <v>71</v>
      </c>
      <c r="P525" s="4" t="s">
        <v>50</v>
      </c>
      <c r="Q525" s="13" t="s">
        <v>58</v>
      </c>
      <c r="R525" s="14">
        <v>3</v>
      </c>
      <c r="S525" s="14">
        <v>2288.65</v>
      </c>
      <c r="T525" s="14">
        <v>5126.576</v>
      </c>
      <c r="U525" s="9">
        <v>457.73</v>
      </c>
      <c r="V525" s="10" t="s">
        <v>63</v>
      </c>
    </row>
    <row r="526" spans="1:22" ht="18" customHeight="1" x14ac:dyDescent="0.25">
      <c r="A526" s="7" t="s">
        <v>19</v>
      </c>
      <c r="B526" s="7">
        <v>2020</v>
      </c>
      <c r="C526" s="7" t="s">
        <v>71</v>
      </c>
      <c r="D526" s="7" t="s">
        <v>21</v>
      </c>
      <c r="E526" s="7" t="s">
        <v>74</v>
      </c>
      <c r="F526" s="7" t="s">
        <v>75</v>
      </c>
      <c r="G526" s="7" t="s">
        <v>64</v>
      </c>
      <c r="H526" s="7" t="s">
        <v>25</v>
      </c>
      <c r="I526" s="7" t="s">
        <v>26</v>
      </c>
      <c r="J526" s="7">
        <v>238</v>
      </c>
      <c r="K526" s="7">
        <v>340.34000000000003</v>
      </c>
      <c r="N526" s="4">
        <v>2022</v>
      </c>
      <c r="O526" s="4" t="s">
        <v>71</v>
      </c>
      <c r="P526" s="4" t="s">
        <v>57</v>
      </c>
      <c r="Q526" s="13" t="s">
        <v>57</v>
      </c>
      <c r="R526" s="14">
        <v>2</v>
      </c>
      <c r="S526" s="14">
        <v>6600</v>
      </c>
      <c r="T526" s="14">
        <v>7392</v>
      </c>
      <c r="U526" s="9">
        <v>1320</v>
      </c>
      <c r="V526" s="10" t="s">
        <v>63</v>
      </c>
    </row>
    <row r="527" spans="1:22" ht="18" customHeight="1" x14ac:dyDescent="0.25">
      <c r="A527" s="7" t="s">
        <v>19</v>
      </c>
      <c r="B527" s="7">
        <v>2020</v>
      </c>
      <c r="C527" s="7" t="s">
        <v>71</v>
      </c>
      <c r="D527" s="7" t="s">
        <v>21</v>
      </c>
      <c r="E527" s="7" t="s">
        <v>74</v>
      </c>
      <c r="F527" s="7" t="s">
        <v>75</v>
      </c>
      <c r="G527" s="7" t="s">
        <v>64</v>
      </c>
      <c r="H527" s="7" t="s">
        <v>25</v>
      </c>
      <c r="I527" s="7" t="s">
        <v>26</v>
      </c>
      <c r="J527" s="7">
        <v>232</v>
      </c>
      <c r="K527" s="7">
        <v>331.76</v>
      </c>
      <c r="N527" s="4">
        <v>2022</v>
      </c>
      <c r="O527" s="4" t="s">
        <v>65</v>
      </c>
      <c r="P527" s="4" t="s">
        <v>28</v>
      </c>
      <c r="Q527" s="8" t="s">
        <v>29</v>
      </c>
      <c r="R527" s="9">
        <v>3566</v>
      </c>
      <c r="S527" s="9">
        <v>4577.3</v>
      </c>
      <c r="T527" s="9">
        <v>5126.576</v>
      </c>
      <c r="U527" s="9">
        <v>915.46</v>
      </c>
      <c r="V527" s="10" t="s">
        <v>63</v>
      </c>
    </row>
    <row r="528" spans="1:22" ht="18" customHeight="1" x14ac:dyDescent="0.25">
      <c r="A528" s="7" t="s">
        <v>61</v>
      </c>
      <c r="B528" s="7">
        <v>2020</v>
      </c>
      <c r="C528" s="7" t="s">
        <v>71</v>
      </c>
      <c r="D528" s="7" t="s">
        <v>21</v>
      </c>
      <c r="E528" s="7" t="s">
        <v>74</v>
      </c>
      <c r="F528" s="7" t="s">
        <v>75</v>
      </c>
      <c r="G528" s="7" t="s">
        <v>64</v>
      </c>
      <c r="H528" s="7" t="s">
        <v>25</v>
      </c>
      <c r="I528" s="7" t="s">
        <v>26</v>
      </c>
      <c r="J528" s="7">
        <v>241</v>
      </c>
      <c r="K528" s="7">
        <v>344.63</v>
      </c>
      <c r="N528" s="4">
        <v>2022</v>
      </c>
      <c r="O528" s="4" t="s">
        <v>65</v>
      </c>
      <c r="P528" s="4" t="s">
        <v>28</v>
      </c>
      <c r="Q528" s="8" t="s">
        <v>32</v>
      </c>
      <c r="R528" s="9">
        <v>2498</v>
      </c>
      <c r="S528" s="9">
        <v>8000</v>
      </c>
      <c r="T528" s="9">
        <v>8960</v>
      </c>
      <c r="U528" s="9">
        <v>1600</v>
      </c>
      <c r="V528" s="10" t="s">
        <v>63</v>
      </c>
    </row>
    <row r="529" spans="1:22" ht="18" customHeight="1" x14ac:dyDescent="0.25">
      <c r="A529" s="7" t="s">
        <v>19</v>
      </c>
      <c r="B529" s="7">
        <v>2020</v>
      </c>
      <c r="C529" s="7" t="s">
        <v>71</v>
      </c>
      <c r="D529" s="7" t="s">
        <v>21</v>
      </c>
      <c r="E529" s="7" t="s">
        <v>74</v>
      </c>
      <c r="F529" s="7" t="s">
        <v>75</v>
      </c>
      <c r="G529" s="7" t="s">
        <v>64</v>
      </c>
      <c r="H529" s="7" t="s">
        <v>25</v>
      </c>
      <c r="I529" s="7" t="s">
        <v>26</v>
      </c>
      <c r="J529" s="7">
        <v>235</v>
      </c>
      <c r="K529" s="7">
        <v>336.05</v>
      </c>
      <c r="N529" s="4">
        <v>2022</v>
      </c>
      <c r="O529" s="4" t="s">
        <v>65</v>
      </c>
      <c r="P529" s="4" t="s">
        <v>36</v>
      </c>
      <c r="Q529" s="8" t="s">
        <v>37</v>
      </c>
      <c r="R529" s="9">
        <v>1245</v>
      </c>
      <c r="S529" s="9">
        <v>4577.2</v>
      </c>
      <c r="T529" s="9">
        <v>5126.4639999999999</v>
      </c>
      <c r="U529" s="9">
        <v>915.44</v>
      </c>
      <c r="V529" s="10" t="s">
        <v>63</v>
      </c>
    </row>
    <row r="530" spans="1:22" ht="18" customHeight="1" x14ac:dyDescent="0.25">
      <c r="A530" s="7" t="s">
        <v>34</v>
      </c>
      <c r="B530" s="7">
        <v>2020</v>
      </c>
      <c r="C530" s="7" t="s">
        <v>71</v>
      </c>
      <c r="D530" s="7" t="s">
        <v>21</v>
      </c>
      <c r="E530" s="7" t="s">
        <v>74</v>
      </c>
      <c r="F530" s="7" t="s">
        <v>75</v>
      </c>
      <c r="G530" s="7" t="s">
        <v>64</v>
      </c>
      <c r="H530" s="7" t="s">
        <v>25</v>
      </c>
      <c r="I530" s="7" t="s">
        <v>26</v>
      </c>
      <c r="J530" s="7">
        <v>229</v>
      </c>
      <c r="K530" s="7">
        <v>327.47000000000003</v>
      </c>
      <c r="N530" s="4">
        <v>2022</v>
      </c>
      <c r="O530" s="4" t="s">
        <v>65</v>
      </c>
      <c r="P530" s="4" t="s">
        <v>39</v>
      </c>
      <c r="Q530" s="13" t="s">
        <v>40</v>
      </c>
      <c r="R530" s="14">
        <v>644</v>
      </c>
      <c r="S530" s="14">
        <v>5743.5</v>
      </c>
      <c r="T530" s="14">
        <v>6432.72</v>
      </c>
      <c r="U530" s="9">
        <v>1148.7</v>
      </c>
      <c r="V530" s="10" t="s">
        <v>63</v>
      </c>
    </row>
    <row r="531" spans="1:22" ht="18" customHeight="1" x14ac:dyDescent="0.25">
      <c r="A531" s="7" t="s">
        <v>34</v>
      </c>
      <c r="B531" s="7">
        <v>2020</v>
      </c>
      <c r="C531" s="7" t="s">
        <v>70</v>
      </c>
      <c r="D531" s="7" t="s">
        <v>21</v>
      </c>
      <c r="E531" s="7" t="s">
        <v>74</v>
      </c>
      <c r="F531" s="7" t="s">
        <v>75</v>
      </c>
      <c r="G531" s="7" t="s">
        <v>64</v>
      </c>
      <c r="H531" s="7" t="s">
        <v>25</v>
      </c>
      <c r="I531" s="7" t="s">
        <v>76</v>
      </c>
      <c r="J531" s="7">
        <v>256</v>
      </c>
      <c r="K531" s="7">
        <v>366.08</v>
      </c>
      <c r="N531" s="4">
        <v>2022</v>
      </c>
      <c r="O531" s="4" t="s">
        <v>65</v>
      </c>
      <c r="P531" s="4" t="s">
        <v>43</v>
      </c>
      <c r="Q531" s="13" t="s">
        <v>44</v>
      </c>
      <c r="R531" s="14">
        <v>643</v>
      </c>
      <c r="S531" s="14">
        <v>7000</v>
      </c>
      <c r="T531" s="14">
        <v>7840</v>
      </c>
      <c r="U531" s="9">
        <v>1400</v>
      </c>
      <c r="V531" s="10" t="s">
        <v>63</v>
      </c>
    </row>
    <row r="532" spans="1:22" ht="18" customHeight="1" x14ac:dyDescent="0.25">
      <c r="A532" s="7" t="s">
        <v>42</v>
      </c>
      <c r="B532" s="7">
        <v>2020</v>
      </c>
      <c r="C532" s="7" t="s">
        <v>70</v>
      </c>
      <c r="D532" s="7" t="s">
        <v>21</v>
      </c>
      <c r="E532" s="7" t="s">
        <v>74</v>
      </c>
      <c r="F532" s="7" t="s">
        <v>75</v>
      </c>
      <c r="G532" s="7" t="s">
        <v>64</v>
      </c>
      <c r="H532" s="7" t="s">
        <v>25</v>
      </c>
      <c r="I532" s="7" t="s">
        <v>76</v>
      </c>
      <c r="J532" s="7">
        <v>250</v>
      </c>
      <c r="K532" s="7">
        <v>357.5</v>
      </c>
      <c r="N532" s="4">
        <v>2022</v>
      </c>
      <c r="O532" s="4" t="s">
        <v>65</v>
      </c>
      <c r="P532" s="4" t="s">
        <v>39</v>
      </c>
      <c r="Q532" s="13" t="s">
        <v>46</v>
      </c>
      <c r="R532" s="14">
        <v>455</v>
      </c>
      <c r="S532" s="14">
        <v>4578.6000000000004</v>
      </c>
      <c r="T532" s="14">
        <v>5128.0320000000002</v>
      </c>
      <c r="U532" s="9">
        <v>915.72000000000014</v>
      </c>
      <c r="V532" s="10" t="s">
        <v>63</v>
      </c>
    </row>
    <row r="533" spans="1:22" ht="18" customHeight="1" x14ac:dyDescent="0.25">
      <c r="A533" s="7" t="s">
        <v>19</v>
      </c>
      <c r="B533" s="7">
        <v>2020</v>
      </c>
      <c r="C533" s="7" t="s">
        <v>70</v>
      </c>
      <c r="D533" s="7" t="s">
        <v>21</v>
      </c>
      <c r="E533" s="7" t="s">
        <v>74</v>
      </c>
      <c r="F533" s="7" t="s">
        <v>75</v>
      </c>
      <c r="G533" s="7" t="s">
        <v>64</v>
      </c>
      <c r="H533" s="7" t="s">
        <v>25</v>
      </c>
      <c r="I533" s="7" t="s">
        <v>26</v>
      </c>
      <c r="J533" s="7">
        <v>244</v>
      </c>
      <c r="K533" s="7">
        <v>348.92</v>
      </c>
      <c r="N533" s="4">
        <v>2022</v>
      </c>
      <c r="O533" s="4" t="s">
        <v>65</v>
      </c>
      <c r="P533" s="4" t="s">
        <v>43</v>
      </c>
      <c r="Q533" s="13" t="s">
        <v>48</v>
      </c>
      <c r="R533" s="15">
        <v>345</v>
      </c>
      <c r="S533" s="15">
        <v>7000</v>
      </c>
      <c r="T533" s="15">
        <v>7840</v>
      </c>
      <c r="U533" s="9">
        <v>1400</v>
      </c>
      <c r="V533" s="10" t="s">
        <v>63</v>
      </c>
    </row>
    <row r="534" spans="1:22" ht="18" customHeight="1" x14ac:dyDescent="0.25">
      <c r="A534" s="7" t="s">
        <v>34</v>
      </c>
      <c r="B534" s="7">
        <v>2020</v>
      </c>
      <c r="C534" s="7" t="s">
        <v>70</v>
      </c>
      <c r="D534" s="7" t="s">
        <v>21</v>
      </c>
      <c r="E534" s="7" t="s">
        <v>74</v>
      </c>
      <c r="F534" s="7" t="s">
        <v>75</v>
      </c>
      <c r="G534" s="7" t="s">
        <v>64</v>
      </c>
      <c r="H534" s="7" t="s">
        <v>25</v>
      </c>
      <c r="I534" s="7" t="s">
        <v>76</v>
      </c>
      <c r="J534" s="7">
        <v>253</v>
      </c>
      <c r="K534" s="7">
        <v>361.78999999999996</v>
      </c>
      <c r="N534" s="4">
        <v>2022</v>
      </c>
      <c r="O534" s="4" t="s">
        <v>65</v>
      </c>
      <c r="P534" s="4" t="s">
        <v>36</v>
      </c>
      <c r="Q534" s="8" t="s">
        <v>49</v>
      </c>
      <c r="R534" s="9">
        <v>122</v>
      </c>
      <c r="S534" s="9">
        <v>100</v>
      </c>
      <c r="T534" s="9">
        <v>112</v>
      </c>
      <c r="U534" s="9">
        <v>20</v>
      </c>
      <c r="V534" s="10" t="s">
        <v>63</v>
      </c>
    </row>
    <row r="535" spans="1:22" ht="18" customHeight="1" x14ac:dyDescent="0.25">
      <c r="A535" s="7" t="s">
        <v>19</v>
      </c>
      <c r="B535" s="7">
        <v>2020</v>
      </c>
      <c r="C535" s="7" t="s">
        <v>70</v>
      </c>
      <c r="D535" s="7" t="s">
        <v>21</v>
      </c>
      <c r="E535" s="7" t="s">
        <v>74</v>
      </c>
      <c r="F535" s="7" t="s">
        <v>75</v>
      </c>
      <c r="G535" s="7" t="s">
        <v>64</v>
      </c>
      <c r="H535" s="7" t="s">
        <v>25</v>
      </c>
      <c r="I535" s="7" t="s">
        <v>76</v>
      </c>
      <c r="J535" s="7">
        <v>247</v>
      </c>
      <c r="K535" s="7">
        <v>353.21</v>
      </c>
      <c r="N535" s="4">
        <v>2022</v>
      </c>
      <c r="O535" s="4" t="s">
        <v>65</v>
      </c>
      <c r="P535" s="4" t="s">
        <v>50</v>
      </c>
      <c r="Q535" s="13" t="s">
        <v>51</v>
      </c>
      <c r="R535" s="14">
        <v>78</v>
      </c>
      <c r="S535" s="14">
        <v>2288.6</v>
      </c>
      <c r="T535" s="14">
        <v>5126.4639999999999</v>
      </c>
      <c r="U535" s="9">
        <v>457.72</v>
      </c>
      <c r="V535" s="10" t="s">
        <v>63</v>
      </c>
    </row>
    <row r="536" spans="1:22" ht="18" customHeight="1" x14ac:dyDescent="0.25">
      <c r="A536" s="7" t="s">
        <v>34</v>
      </c>
      <c r="B536" s="7">
        <v>2020</v>
      </c>
      <c r="C536" s="7" t="s">
        <v>69</v>
      </c>
      <c r="D536" s="7" t="s">
        <v>21</v>
      </c>
      <c r="E536" s="7" t="s">
        <v>74</v>
      </c>
      <c r="F536" s="7" t="s">
        <v>75</v>
      </c>
      <c r="G536" s="7" t="s">
        <v>64</v>
      </c>
      <c r="H536" s="7" t="s">
        <v>25</v>
      </c>
      <c r="I536" s="7" t="s">
        <v>76</v>
      </c>
      <c r="J536" s="7">
        <v>274</v>
      </c>
      <c r="K536" s="7">
        <v>391.82</v>
      </c>
      <c r="N536" s="4">
        <v>2022</v>
      </c>
      <c r="O536" s="4" t="s">
        <v>65</v>
      </c>
      <c r="P536" s="4" t="s">
        <v>50</v>
      </c>
      <c r="Q536" s="13" t="s">
        <v>52</v>
      </c>
      <c r="R536" s="14">
        <v>76</v>
      </c>
      <c r="S536" s="14">
        <v>2288.4499999999998</v>
      </c>
      <c r="T536" s="14">
        <v>5126.1279999999997</v>
      </c>
      <c r="U536" s="9">
        <v>457.69</v>
      </c>
      <c r="V536" s="10" t="s">
        <v>63</v>
      </c>
    </row>
    <row r="537" spans="1:22" ht="18" customHeight="1" x14ac:dyDescent="0.25">
      <c r="A537" s="7" t="s">
        <v>19</v>
      </c>
      <c r="B537" s="7">
        <v>2020</v>
      </c>
      <c r="C537" s="7" t="s">
        <v>69</v>
      </c>
      <c r="D537" s="7" t="s">
        <v>21</v>
      </c>
      <c r="E537" s="7" t="s">
        <v>74</v>
      </c>
      <c r="F537" s="7" t="s">
        <v>75</v>
      </c>
      <c r="G537" s="7" t="s">
        <v>64</v>
      </c>
      <c r="H537" s="7" t="s">
        <v>25</v>
      </c>
      <c r="I537" s="7" t="s">
        <v>76</v>
      </c>
      <c r="J537" s="7">
        <v>268</v>
      </c>
      <c r="K537" s="7">
        <v>383.24</v>
      </c>
      <c r="N537" s="4">
        <v>2022</v>
      </c>
      <c r="O537" s="4" t="s">
        <v>65</v>
      </c>
      <c r="P537" s="4" t="s">
        <v>50</v>
      </c>
      <c r="Q537" s="13" t="s">
        <v>54</v>
      </c>
      <c r="R537" s="14">
        <v>46</v>
      </c>
      <c r="S537" s="14">
        <v>100</v>
      </c>
      <c r="T537" s="14">
        <v>224</v>
      </c>
      <c r="U537" s="9">
        <v>20</v>
      </c>
      <c r="V537" s="10" t="s">
        <v>63</v>
      </c>
    </row>
    <row r="538" spans="1:22" ht="18" customHeight="1" x14ac:dyDescent="0.25">
      <c r="A538" s="7" t="s">
        <v>42</v>
      </c>
      <c r="B538" s="7">
        <v>2020</v>
      </c>
      <c r="C538" s="7" t="s">
        <v>69</v>
      </c>
      <c r="D538" s="7" t="s">
        <v>21</v>
      </c>
      <c r="E538" s="7" t="s">
        <v>74</v>
      </c>
      <c r="F538" s="7" t="s">
        <v>75</v>
      </c>
      <c r="G538" s="7" t="s">
        <v>64</v>
      </c>
      <c r="H538" s="7" t="s">
        <v>25</v>
      </c>
      <c r="I538" s="7" t="s">
        <v>76</v>
      </c>
      <c r="J538" s="7">
        <v>262</v>
      </c>
      <c r="K538" s="7">
        <v>374.65999999999997</v>
      </c>
      <c r="N538" s="4">
        <v>2022</v>
      </c>
      <c r="O538" s="4" t="s">
        <v>65</v>
      </c>
      <c r="P538" s="4" t="s">
        <v>50</v>
      </c>
      <c r="Q538" s="13" t="s">
        <v>55</v>
      </c>
      <c r="R538" s="14">
        <v>34</v>
      </c>
      <c r="S538" s="14">
        <v>2288.4</v>
      </c>
      <c r="T538" s="14">
        <v>5126.0160000000005</v>
      </c>
      <c r="U538" s="9">
        <v>457.68000000000006</v>
      </c>
      <c r="V538" s="10" t="s">
        <v>63</v>
      </c>
    </row>
    <row r="539" spans="1:22" ht="18" customHeight="1" x14ac:dyDescent="0.25">
      <c r="A539" s="7" t="s">
        <v>34</v>
      </c>
      <c r="B539" s="7">
        <v>2020</v>
      </c>
      <c r="C539" s="7" t="s">
        <v>69</v>
      </c>
      <c r="D539" s="7" t="s">
        <v>21</v>
      </c>
      <c r="E539" s="7" t="s">
        <v>74</v>
      </c>
      <c r="F539" s="7" t="s">
        <v>75</v>
      </c>
      <c r="G539" s="7" t="s">
        <v>64</v>
      </c>
      <c r="H539" s="7" t="s">
        <v>25</v>
      </c>
      <c r="I539" s="7" t="s">
        <v>76</v>
      </c>
      <c r="J539" s="7">
        <v>271</v>
      </c>
      <c r="K539" s="7">
        <v>387.53</v>
      </c>
      <c r="N539" s="4">
        <v>2022</v>
      </c>
      <c r="O539" s="4" t="s">
        <v>65</v>
      </c>
      <c r="P539" s="4" t="s">
        <v>36</v>
      </c>
      <c r="Q539" s="8" t="s">
        <v>56</v>
      </c>
      <c r="R539" s="9">
        <v>7</v>
      </c>
      <c r="S539" s="9">
        <v>200</v>
      </c>
      <c r="T539" s="9">
        <v>224</v>
      </c>
      <c r="U539" s="9">
        <v>40</v>
      </c>
      <c r="V539" s="10" t="s">
        <v>63</v>
      </c>
    </row>
    <row r="540" spans="1:22" ht="18" customHeight="1" x14ac:dyDescent="0.25">
      <c r="A540" s="7" t="s">
        <v>42</v>
      </c>
      <c r="B540" s="7">
        <v>2020</v>
      </c>
      <c r="C540" s="7" t="s">
        <v>69</v>
      </c>
      <c r="D540" s="7" t="s">
        <v>21</v>
      </c>
      <c r="E540" s="7" t="s">
        <v>74</v>
      </c>
      <c r="F540" s="7" t="s">
        <v>75</v>
      </c>
      <c r="G540" s="7" t="s">
        <v>64</v>
      </c>
      <c r="H540" s="7" t="s">
        <v>25</v>
      </c>
      <c r="I540" s="7" t="s">
        <v>76</v>
      </c>
      <c r="J540" s="7">
        <v>265</v>
      </c>
      <c r="K540" s="7">
        <v>378.95</v>
      </c>
      <c r="N540" s="4">
        <v>2022</v>
      </c>
      <c r="O540" s="4" t="s">
        <v>65</v>
      </c>
      <c r="P540" s="4" t="s">
        <v>50</v>
      </c>
      <c r="Q540" s="13" t="s">
        <v>58</v>
      </c>
      <c r="R540" s="14">
        <v>3</v>
      </c>
      <c r="S540" s="14">
        <v>2288.65</v>
      </c>
      <c r="T540" s="14">
        <v>5126.576</v>
      </c>
      <c r="U540" s="9">
        <v>457.73</v>
      </c>
      <c r="V540" s="10" t="s">
        <v>63</v>
      </c>
    </row>
    <row r="541" spans="1:22" ht="18" customHeight="1" x14ac:dyDescent="0.25">
      <c r="A541" s="7" t="s">
        <v>19</v>
      </c>
      <c r="B541" s="7">
        <v>2020</v>
      </c>
      <c r="C541" s="7" t="s">
        <v>69</v>
      </c>
      <c r="D541" s="7" t="s">
        <v>21</v>
      </c>
      <c r="E541" s="7" t="s">
        <v>74</v>
      </c>
      <c r="F541" s="7" t="s">
        <v>75</v>
      </c>
      <c r="G541" s="7" t="s">
        <v>64</v>
      </c>
      <c r="H541" s="7" t="s">
        <v>25</v>
      </c>
      <c r="I541" s="7" t="s">
        <v>76</v>
      </c>
      <c r="J541" s="7">
        <v>259</v>
      </c>
      <c r="K541" s="7">
        <v>370.37</v>
      </c>
      <c r="N541" s="4">
        <v>2022</v>
      </c>
      <c r="O541" s="4" t="s">
        <v>65</v>
      </c>
      <c r="P541" s="4" t="s">
        <v>57</v>
      </c>
      <c r="Q541" s="13" t="s">
        <v>57</v>
      </c>
      <c r="R541" s="14">
        <v>2</v>
      </c>
      <c r="S541" s="14">
        <v>6600</v>
      </c>
      <c r="T541" s="14">
        <v>7392</v>
      </c>
      <c r="U541" s="9">
        <v>1320</v>
      </c>
      <c r="V541" s="10" t="s">
        <v>63</v>
      </c>
    </row>
    <row r="542" spans="1:22" ht="18" customHeight="1" x14ac:dyDescent="0.25">
      <c r="A542" s="7" t="s">
        <v>42</v>
      </c>
      <c r="B542" s="7">
        <v>2020</v>
      </c>
      <c r="C542" s="7" t="s">
        <v>20</v>
      </c>
      <c r="D542" s="7" t="s">
        <v>72</v>
      </c>
      <c r="E542" s="7" t="s">
        <v>74</v>
      </c>
      <c r="F542" s="7" t="s">
        <v>75</v>
      </c>
      <c r="G542" s="7" t="s">
        <v>64</v>
      </c>
      <c r="H542" s="7" t="s">
        <v>25</v>
      </c>
      <c r="I542" s="7" t="s">
        <v>76</v>
      </c>
      <c r="J542" s="7">
        <v>158</v>
      </c>
      <c r="K542" s="7">
        <v>225.94</v>
      </c>
      <c r="N542" s="4">
        <v>2023</v>
      </c>
      <c r="O542" s="4" t="s">
        <v>27</v>
      </c>
      <c r="P542" s="4" t="s">
        <v>28</v>
      </c>
      <c r="Q542" s="8" t="s">
        <v>29</v>
      </c>
      <c r="R542" s="9">
        <v>3566</v>
      </c>
      <c r="S542" s="9">
        <v>5492.76</v>
      </c>
      <c r="T542" s="9">
        <v>5126.576</v>
      </c>
      <c r="U542" s="9">
        <v>1098.5520000000001</v>
      </c>
      <c r="V542" s="10" t="s">
        <v>63</v>
      </c>
    </row>
    <row r="543" spans="1:22" ht="18" customHeight="1" x14ac:dyDescent="0.25">
      <c r="A543" s="7" t="s">
        <v>19</v>
      </c>
      <c r="B543" s="7">
        <v>2020</v>
      </c>
      <c r="C543" s="7" t="s">
        <v>20</v>
      </c>
      <c r="D543" s="7" t="s">
        <v>72</v>
      </c>
      <c r="E543" s="7" t="s">
        <v>74</v>
      </c>
      <c r="F543" s="7" t="s">
        <v>75</v>
      </c>
      <c r="G543" s="7" t="s">
        <v>64</v>
      </c>
      <c r="H543" s="7" t="s">
        <v>25</v>
      </c>
      <c r="I543" s="7" t="s">
        <v>76</v>
      </c>
      <c r="J543" s="7">
        <v>206</v>
      </c>
      <c r="K543" s="7">
        <v>294.58</v>
      </c>
      <c r="N543" s="4">
        <v>2023</v>
      </c>
      <c r="O543" s="4" t="s">
        <v>27</v>
      </c>
      <c r="P543" s="4" t="s">
        <v>28</v>
      </c>
      <c r="Q543" s="8" t="s">
        <v>32</v>
      </c>
      <c r="R543" s="9">
        <v>2498</v>
      </c>
      <c r="S543" s="9">
        <v>9600</v>
      </c>
      <c r="T543" s="9">
        <v>8960</v>
      </c>
      <c r="U543" s="9">
        <v>1920</v>
      </c>
      <c r="V543" s="10" t="s">
        <v>63</v>
      </c>
    </row>
    <row r="544" spans="1:22" ht="18" customHeight="1" x14ac:dyDescent="0.25">
      <c r="A544" s="7" t="s">
        <v>34</v>
      </c>
      <c r="B544" s="7">
        <v>2020</v>
      </c>
      <c r="C544" s="7" t="s">
        <v>20</v>
      </c>
      <c r="D544" s="7" t="s">
        <v>72</v>
      </c>
      <c r="E544" s="7" t="s">
        <v>74</v>
      </c>
      <c r="F544" s="7" t="s">
        <v>75</v>
      </c>
      <c r="G544" s="7" t="s">
        <v>64</v>
      </c>
      <c r="H544" s="7" t="s">
        <v>25</v>
      </c>
      <c r="I544" s="7" t="s">
        <v>76</v>
      </c>
      <c r="J544" s="7">
        <v>134</v>
      </c>
      <c r="K544" s="7">
        <v>191.62</v>
      </c>
      <c r="N544" s="4">
        <v>2023</v>
      </c>
      <c r="O544" s="4" t="s">
        <v>27</v>
      </c>
      <c r="P544" s="4" t="s">
        <v>36</v>
      </c>
      <c r="Q544" s="8" t="s">
        <v>37</v>
      </c>
      <c r="R544" s="9">
        <v>1245</v>
      </c>
      <c r="S544" s="9">
        <v>5492.6399999999994</v>
      </c>
      <c r="T544" s="9">
        <v>5126.4639999999999</v>
      </c>
      <c r="U544" s="9">
        <v>1098.528</v>
      </c>
      <c r="V544" s="10" t="s">
        <v>63</v>
      </c>
    </row>
    <row r="545" spans="1:22" ht="18" customHeight="1" x14ac:dyDescent="0.25">
      <c r="A545" s="7" t="s">
        <v>42</v>
      </c>
      <c r="B545" s="7">
        <v>2020</v>
      </c>
      <c r="C545" s="7" t="s">
        <v>20</v>
      </c>
      <c r="D545" s="7" t="s">
        <v>72</v>
      </c>
      <c r="E545" s="7" t="s">
        <v>74</v>
      </c>
      <c r="F545" s="7" t="s">
        <v>75</v>
      </c>
      <c r="G545" s="7" t="s">
        <v>64</v>
      </c>
      <c r="H545" s="7" t="s">
        <v>25</v>
      </c>
      <c r="I545" s="7" t="s">
        <v>76</v>
      </c>
      <c r="J545" s="7">
        <v>160</v>
      </c>
      <c r="K545" s="7">
        <v>228.8</v>
      </c>
      <c r="N545" s="4">
        <v>2023</v>
      </c>
      <c r="O545" s="4" t="s">
        <v>27</v>
      </c>
      <c r="P545" s="4" t="s">
        <v>39</v>
      </c>
      <c r="Q545" s="13" t="s">
        <v>40</v>
      </c>
      <c r="R545" s="14">
        <v>644</v>
      </c>
      <c r="S545" s="14">
        <v>6892.2</v>
      </c>
      <c r="T545" s="14">
        <v>6432.72</v>
      </c>
      <c r="U545" s="9">
        <v>1378.44</v>
      </c>
      <c r="V545" s="10" t="s">
        <v>63</v>
      </c>
    </row>
    <row r="546" spans="1:22" ht="18" customHeight="1" x14ac:dyDescent="0.25">
      <c r="A546" s="7" t="s">
        <v>42</v>
      </c>
      <c r="B546" s="7">
        <v>2020</v>
      </c>
      <c r="C546" s="7" t="s">
        <v>20</v>
      </c>
      <c r="D546" s="7" t="s">
        <v>72</v>
      </c>
      <c r="E546" s="7" t="s">
        <v>74</v>
      </c>
      <c r="F546" s="7" t="s">
        <v>75</v>
      </c>
      <c r="G546" s="7" t="s">
        <v>64</v>
      </c>
      <c r="H546" s="7" t="s">
        <v>25</v>
      </c>
      <c r="I546" s="7" t="s">
        <v>76</v>
      </c>
      <c r="J546" s="7">
        <v>208</v>
      </c>
      <c r="K546" s="7">
        <v>297.44</v>
      </c>
      <c r="N546" s="4">
        <v>2023</v>
      </c>
      <c r="O546" s="4" t="s">
        <v>27</v>
      </c>
      <c r="P546" s="4" t="s">
        <v>43</v>
      </c>
      <c r="Q546" s="13" t="s">
        <v>44</v>
      </c>
      <c r="R546" s="14">
        <v>643</v>
      </c>
      <c r="S546" s="14">
        <v>8400</v>
      </c>
      <c r="T546" s="14">
        <v>7840</v>
      </c>
      <c r="U546" s="9">
        <v>1680</v>
      </c>
      <c r="V546" s="10" t="s">
        <v>30</v>
      </c>
    </row>
    <row r="547" spans="1:22" ht="18" customHeight="1" x14ac:dyDescent="0.25">
      <c r="A547" s="7" t="s">
        <v>42</v>
      </c>
      <c r="B547" s="7">
        <v>2020</v>
      </c>
      <c r="C547" s="7" t="s">
        <v>20</v>
      </c>
      <c r="D547" s="7" t="s">
        <v>72</v>
      </c>
      <c r="E547" s="7" t="s">
        <v>74</v>
      </c>
      <c r="F547" s="7" t="s">
        <v>75</v>
      </c>
      <c r="G547" s="7" t="s">
        <v>64</v>
      </c>
      <c r="H547" s="7" t="s">
        <v>25</v>
      </c>
      <c r="I547" s="7" t="s">
        <v>76</v>
      </c>
      <c r="J547" s="7">
        <v>136</v>
      </c>
      <c r="K547" s="7">
        <v>194.48</v>
      </c>
      <c r="N547" s="4">
        <v>2023</v>
      </c>
      <c r="O547" s="4" t="s">
        <v>27</v>
      </c>
      <c r="P547" s="4" t="s">
        <v>39</v>
      </c>
      <c r="Q547" s="13" t="s">
        <v>46</v>
      </c>
      <c r="R547" s="14">
        <v>455</v>
      </c>
      <c r="S547" s="14">
        <v>5494.3200000000006</v>
      </c>
      <c r="T547" s="14">
        <v>5128.0320000000002</v>
      </c>
      <c r="U547" s="9">
        <v>1098.8640000000003</v>
      </c>
      <c r="V547" s="10" t="s">
        <v>30</v>
      </c>
    </row>
    <row r="548" spans="1:22" ht="18" customHeight="1" x14ac:dyDescent="0.25">
      <c r="A548" s="7" t="s">
        <v>19</v>
      </c>
      <c r="B548" s="7">
        <v>2020</v>
      </c>
      <c r="C548" s="7" t="s">
        <v>20</v>
      </c>
      <c r="D548" s="7" t="s">
        <v>72</v>
      </c>
      <c r="E548" s="7" t="s">
        <v>74</v>
      </c>
      <c r="F548" s="7" t="s">
        <v>75</v>
      </c>
      <c r="G548" s="7" t="s">
        <v>64</v>
      </c>
      <c r="H548" s="7" t="s">
        <v>25</v>
      </c>
      <c r="I548" s="7" t="s">
        <v>76</v>
      </c>
      <c r="J548" s="7">
        <v>812</v>
      </c>
      <c r="K548" s="7">
        <v>1161.1599999999999</v>
      </c>
      <c r="N548" s="4">
        <v>2023</v>
      </c>
      <c r="O548" s="4" t="s">
        <v>27</v>
      </c>
      <c r="P548" s="4" t="s">
        <v>43</v>
      </c>
      <c r="Q548" s="13" t="s">
        <v>48</v>
      </c>
      <c r="R548" s="15">
        <v>345</v>
      </c>
      <c r="S548" s="15">
        <v>8400</v>
      </c>
      <c r="T548" s="15">
        <v>7840</v>
      </c>
      <c r="U548" s="9">
        <v>1680</v>
      </c>
      <c r="V548" s="10" t="s">
        <v>30</v>
      </c>
    </row>
    <row r="549" spans="1:22" ht="18" customHeight="1" x14ac:dyDescent="0.25">
      <c r="A549" s="7" t="s">
        <v>34</v>
      </c>
      <c r="B549" s="7">
        <v>2020</v>
      </c>
      <c r="C549" s="7" t="s">
        <v>20</v>
      </c>
      <c r="D549" s="7" t="s">
        <v>72</v>
      </c>
      <c r="E549" s="7" t="s">
        <v>74</v>
      </c>
      <c r="F549" s="7" t="s">
        <v>75</v>
      </c>
      <c r="G549" s="7" t="s">
        <v>64</v>
      </c>
      <c r="H549" s="7" t="s">
        <v>25</v>
      </c>
      <c r="I549" s="7" t="s">
        <v>76</v>
      </c>
      <c r="J549" s="7">
        <v>899</v>
      </c>
      <c r="K549" s="7">
        <v>1285.57</v>
      </c>
      <c r="N549" s="4">
        <v>2023</v>
      </c>
      <c r="O549" s="4" t="s">
        <v>27</v>
      </c>
      <c r="P549" s="4" t="s">
        <v>36</v>
      </c>
      <c r="Q549" s="8" t="s">
        <v>49</v>
      </c>
      <c r="R549" s="9">
        <v>122</v>
      </c>
      <c r="S549" s="9">
        <v>120</v>
      </c>
      <c r="T549" s="9">
        <v>112</v>
      </c>
      <c r="U549" s="9">
        <v>24</v>
      </c>
      <c r="V549" s="10" t="s">
        <v>30</v>
      </c>
    </row>
    <row r="550" spans="1:22" ht="18" customHeight="1" x14ac:dyDescent="0.25">
      <c r="A550" s="7" t="s">
        <v>34</v>
      </c>
      <c r="B550" s="7">
        <v>2020</v>
      </c>
      <c r="C550" s="7" t="s">
        <v>20</v>
      </c>
      <c r="D550" s="7" t="s">
        <v>72</v>
      </c>
      <c r="E550" s="7" t="s">
        <v>74</v>
      </c>
      <c r="F550" s="7" t="s">
        <v>75</v>
      </c>
      <c r="G550" s="7" t="s">
        <v>64</v>
      </c>
      <c r="H550" s="7" t="s">
        <v>25</v>
      </c>
      <c r="I550" s="7" t="s">
        <v>76</v>
      </c>
      <c r="J550" s="7">
        <v>852</v>
      </c>
      <c r="K550" s="7">
        <v>526.24</v>
      </c>
      <c r="N550" s="4">
        <v>2023</v>
      </c>
      <c r="O550" s="4" t="s">
        <v>27</v>
      </c>
      <c r="P550" s="4" t="s">
        <v>50</v>
      </c>
      <c r="Q550" s="13" t="s">
        <v>51</v>
      </c>
      <c r="R550" s="14">
        <v>78</v>
      </c>
      <c r="S550" s="14">
        <v>2288.6</v>
      </c>
      <c r="T550" s="14">
        <v>5126.4639999999999</v>
      </c>
      <c r="U550" s="9">
        <v>457.72</v>
      </c>
      <c r="V550" s="10" t="s">
        <v>30</v>
      </c>
    </row>
    <row r="551" spans="1:22" ht="18" customHeight="1" x14ac:dyDescent="0.25">
      <c r="A551" s="7" t="s">
        <v>34</v>
      </c>
      <c r="B551" s="7">
        <v>2020</v>
      </c>
      <c r="C551" s="7" t="s">
        <v>20</v>
      </c>
      <c r="D551" s="7" t="s">
        <v>72</v>
      </c>
      <c r="E551" s="7" t="s">
        <v>74</v>
      </c>
      <c r="F551" s="7" t="s">
        <v>75</v>
      </c>
      <c r="G551" s="7" t="s">
        <v>64</v>
      </c>
      <c r="H551" s="7" t="s">
        <v>25</v>
      </c>
      <c r="I551" s="7" t="s">
        <v>76</v>
      </c>
      <c r="J551" s="7">
        <v>885</v>
      </c>
      <c r="K551" s="7">
        <v>526.24</v>
      </c>
      <c r="N551" s="4">
        <v>2023</v>
      </c>
      <c r="O551" s="4" t="s">
        <v>27</v>
      </c>
      <c r="P551" s="4" t="s">
        <v>50</v>
      </c>
      <c r="Q551" s="13" t="s">
        <v>52</v>
      </c>
      <c r="R551" s="14">
        <v>76</v>
      </c>
      <c r="S551" s="14">
        <v>2288.4499999999998</v>
      </c>
      <c r="T551" s="14">
        <v>5126.1279999999997</v>
      </c>
      <c r="U551" s="9">
        <v>457.69</v>
      </c>
      <c r="V551" s="10" t="s">
        <v>30</v>
      </c>
    </row>
    <row r="552" spans="1:22" ht="18" customHeight="1" x14ac:dyDescent="0.25">
      <c r="A552" s="7" t="s">
        <v>19</v>
      </c>
      <c r="B552" s="7">
        <v>2020</v>
      </c>
      <c r="C552" s="7" t="s">
        <v>20</v>
      </c>
      <c r="D552" s="7" t="s">
        <v>72</v>
      </c>
      <c r="E552" s="7" t="s">
        <v>74</v>
      </c>
      <c r="F552" s="7" t="s">
        <v>75</v>
      </c>
      <c r="G552" s="7" t="s">
        <v>64</v>
      </c>
      <c r="H552" s="7" t="s">
        <v>25</v>
      </c>
      <c r="I552" s="7" t="s">
        <v>76</v>
      </c>
      <c r="J552" s="7">
        <v>135</v>
      </c>
      <c r="K552" s="7">
        <v>193.05</v>
      </c>
      <c r="N552" s="4">
        <v>2023</v>
      </c>
      <c r="O552" s="4" t="s">
        <v>27</v>
      </c>
      <c r="P552" s="4" t="s">
        <v>50</v>
      </c>
      <c r="Q552" s="13" t="s">
        <v>54</v>
      </c>
      <c r="R552" s="14">
        <v>46</v>
      </c>
      <c r="S552" s="14">
        <v>100</v>
      </c>
      <c r="T552" s="14">
        <v>224</v>
      </c>
      <c r="U552" s="9">
        <v>20</v>
      </c>
      <c r="V552" s="10" t="s">
        <v>30</v>
      </c>
    </row>
    <row r="553" spans="1:22" ht="18" customHeight="1" x14ac:dyDescent="0.25">
      <c r="A553" s="7" t="s">
        <v>42</v>
      </c>
      <c r="B553" s="7">
        <v>2020</v>
      </c>
      <c r="C553" s="7" t="s">
        <v>20</v>
      </c>
      <c r="D553" s="7" t="s">
        <v>72</v>
      </c>
      <c r="E553" s="7" t="s">
        <v>74</v>
      </c>
      <c r="F553" s="7" t="s">
        <v>75</v>
      </c>
      <c r="G553" s="7" t="s">
        <v>64</v>
      </c>
      <c r="H553" s="7" t="s">
        <v>25</v>
      </c>
      <c r="I553" s="7" t="s">
        <v>76</v>
      </c>
      <c r="J553" s="7">
        <v>163</v>
      </c>
      <c r="K553" s="7">
        <v>233.09</v>
      </c>
      <c r="N553" s="4">
        <v>2023</v>
      </c>
      <c r="O553" s="4" t="s">
        <v>27</v>
      </c>
      <c r="P553" s="4" t="s">
        <v>50</v>
      </c>
      <c r="Q553" s="13" t="s">
        <v>55</v>
      </c>
      <c r="R553" s="14">
        <v>34</v>
      </c>
      <c r="S553" s="14">
        <v>2288.4</v>
      </c>
      <c r="T553" s="14">
        <v>5126.0160000000005</v>
      </c>
      <c r="U553" s="9">
        <v>457.68000000000006</v>
      </c>
      <c r="V553" s="10" t="s">
        <v>30</v>
      </c>
    </row>
    <row r="554" spans="1:22" ht="18" customHeight="1" x14ac:dyDescent="0.25">
      <c r="A554" s="7" t="s">
        <v>34</v>
      </c>
      <c r="B554" s="7">
        <v>2020</v>
      </c>
      <c r="C554" s="7" t="s">
        <v>20</v>
      </c>
      <c r="D554" s="7" t="s">
        <v>72</v>
      </c>
      <c r="E554" s="7" t="s">
        <v>74</v>
      </c>
      <c r="F554" s="7" t="s">
        <v>75</v>
      </c>
      <c r="G554" s="7" t="s">
        <v>64</v>
      </c>
      <c r="H554" s="7" t="s">
        <v>25</v>
      </c>
      <c r="I554" s="7" t="s">
        <v>76</v>
      </c>
      <c r="J554" s="7">
        <v>205</v>
      </c>
      <c r="K554" s="7">
        <v>293.14999999999998</v>
      </c>
      <c r="N554" s="4">
        <v>2023</v>
      </c>
      <c r="O554" s="4" t="s">
        <v>27</v>
      </c>
      <c r="P554" s="4" t="s">
        <v>36</v>
      </c>
      <c r="Q554" s="8" t="s">
        <v>56</v>
      </c>
      <c r="R554" s="9">
        <v>7</v>
      </c>
      <c r="S554" s="9">
        <v>200</v>
      </c>
      <c r="T554" s="9">
        <v>224</v>
      </c>
      <c r="U554" s="9">
        <v>40</v>
      </c>
      <c r="V554" s="10" t="s">
        <v>30</v>
      </c>
    </row>
    <row r="555" spans="1:22" ht="18" customHeight="1" x14ac:dyDescent="0.25">
      <c r="A555" s="7" t="s">
        <v>42</v>
      </c>
      <c r="B555" s="7">
        <v>2020</v>
      </c>
      <c r="C555" s="7" t="s">
        <v>20</v>
      </c>
      <c r="D555" s="7" t="s">
        <v>72</v>
      </c>
      <c r="E555" s="7" t="s">
        <v>74</v>
      </c>
      <c r="F555" s="7" t="s">
        <v>75</v>
      </c>
      <c r="G555" s="7" t="s">
        <v>64</v>
      </c>
      <c r="H555" s="7" t="s">
        <v>25</v>
      </c>
      <c r="I555" s="7" t="s">
        <v>76</v>
      </c>
      <c r="J555" s="7">
        <v>133</v>
      </c>
      <c r="K555" s="7">
        <v>190.19</v>
      </c>
      <c r="N555" s="4">
        <v>2023</v>
      </c>
      <c r="O555" s="4" t="s">
        <v>27</v>
      </c>
      <c r="P555" s="4" t="s">
        <v>57</v>
      </c>
      <c r="Q555" s="13" t="s">
        <v>57</v>
      </c>
      <c r="R555" s="14">
        <v>3</v>
      </c>
      <c r="S555" s="14">
        <v>4577.3</v>
      </c>
      <c r="T555" s="14">
        <v>7392</v>
      </c>
      <c r="U555" s="9">
        <v>915.46</v>
      </c>
      <c r="V555" s="10" t="s">
        <v>30</v>
      </c>
    </row>
    <row r="556" spans="1:22" ht="18" customHeight="1" x14ac:dyDescent="0.25">
      <c r="A556" s="7" t="s">
        <v>34</v>
      </c>
      <c r="B556" s="7">
        <v>2020</v>
      </c>
      <c r="C556" s="7" t="s">
        <v>20</v>
      </c>
      <c r="D556" s="7" t="s">
        <v>72</v>
      </c>
      <c r="E556" s="7" t="s">
        <v>74</v>
      </c>
      <c r="F556" s="7" t="s">
        <v>75</v>
      </c>
      <c r="G556" s="7" t="s">
        <v>64</v>
      </c>
      <c r="H556" s="7" t="s">
        <v>25</v>
      </c>
      <c r="I556" s="7" t="s">
        <v>76</v>
      </c>
      <c r="J556" s="7">
        <v>821</v>
      </c>
      <c r="K556" s="7">
        <v>1174.03</v>
      </c>
      <c r="N556" s="4">
        <v>2023</v>
      </c>
      <c r="O556" s="4" t="s">
        <v>27</v>
      </c>
      <c r="P556" s="4" t="s">
        <v>50</v>
      </c>
      <c r="Q556" s="13" t="s">
        <v>58</v>
      </c>
      <c r="R556" s="14">
        <v>3</v>
      </c>
      <c r="S556" s="14">
        <v>3300</v>
      </c>
      <c r="T556" s="14">
        <v>5126.576</v>
      </c>
      <c r="U556" s="9">
        <v>660</v>
      </c>
      <c r="V556" s="10" t="s">
        <v>30</v>
      </c>
    </row>
    <row r="557" spans="1:22" ht="18" customHeight="1" x14ac:dyDescent="0.25">
      <c r="A557" s="7" t="s">
        <v>34</v>
      </c>
      <c r="B557" s="7">
        <v>2020</v>
      </c>
      <c r="C557" s="7" t="s">
        <v>20</v>
      </c>
      <c r="D557" s="7" t="s">
        <v>72</v>
      </c>
      <c r="E557" s="7" t="s">
        <v>74</v>
      </c>
      <c r="F557" s="7" t="s">
        <v>75</v>
      </c>
      <c r="G557" s="7" t="s">
        <v>64</v>
      </c>
      <c r="H557" s="7" t="s">
        <v>25</v>
      </c>
      <c r="I557" s="7" t="s">
        <v>76</v>
      </c>
      <c r="J557" s="7">
        <v>854</v>
      </c>
      <c r="K557" s="7">
        <v>1221.22</v>
      </c>
      <c r="N557" s="4">
        <v>2023</v>
      </c>
      <c r="O557" s="4" t="s">
        <v>59</v>
      </c>
      <c r="P557" s="4" t="s">
        <v>28</v>
      </c>
      <c r="Q557" s="8" t="s">
        <v>29</v>
      </c>
      <c r="R557" s="9">
        <v>3566</v>
      </c>
      <c r="S557" s="9">
        <v>4577.3</v>
      </c>
      <c r="T557" s="9">
        <v>5126.576</v>
      </c>
      <c r="U557" s="9">
        <v>915.46</v>
      </c>
      <c r="V557" s="10" t="s">
        <v>30</v>
      </c>
    </row>
    <row r="558" spans="1:22" ht="18" customHeight="1" x14ac:dyDescent="0.25">
      <c r="A558" s="7" t="s">
        <v>42</v>
      </c>
      <c r="B558" s="7">
        <v>2020</v>
      </c>
      <c r="C558" s="7" t="s">
        <v>20</v>
      </c>
      <c r="D558" s="7" t="s">
        <v>72</v>
      </c>
      <c r="E558" s="7" t="s">
        <v>74</v>
      </c>
      <c r="F558" s="7" t="s">
        <v>75</v>
      </c>
      <c r="G558" s="7" t="s">
        <v>64</v>
      </c>
      <c r="H558" s="7" t="s">
        <v>25</v>
      </c>
      <c r="I558" s="7" t="s">
        <v>76</v>
      </c>
      <c r="J558" s="7">
        <v>131</v>
      </c>
      <c r="K558" s="7">
        <v>187.32999999999998</v>
      </c>
      <c r="N558" s="4">
        <v>2023</v>
      </c>
      <c r="O558" s="4" t="s">
        <v>59</v>
      </c>
      <c r="P558" s="4" t="s">
        <v>28</v>
      </c>
      <c r="Q558" s="8" t="s">
        <v>32</v>
      </c>
      <c r="R558" s="9">
        <v>2498</v>
      </c>
      <c r="S558" s="9">
        <v>8000</v>
      </c>
      <c r="T558" s="9">
        <v>8960</v>
      </c>
      <c r="U558" s="9">
        <v>1600</v>
      </c>
      <c r="V558" s="10" t="s">
        <v>30</v>
      </c>
    </row>
    <row r="559" spans="1:22" ht="18" customHeight="1" x14ac:dyDescent="0.25">
      <c r="A559" s="7" t="s">
        <v>19</v>
      </c>
      <c r="B559" s="7">
        <v>2020</v>
      </c>
      <c r="C559" s="7" t="s">
        <v>60</v>
      </c>
      <c r="D559" s="7" t="s">
        <v>72</v>
      </c>
      <c r="E559" s="7" t="s">
        <v>74</v>
      </c>
      <c r="F559" s="7" t="s">
        <v>75</v>
      </c>
      <c r="G559" s="7" t="s">
        <v>64</v>
      </c>
      <c r="H559" s="7" t="s">
        <v>25</v>
      </c>
      <c r="I559" s="7" t="s">
        <v>76</v>
      </c>
      <c r="J559" s="7">
        <v>140</v>
      </c>
      <c r="K559" s="7">
        <v>200.2</v>
      </c>
      <c r="N559" s="4">
        <v>2023</v>
      </c>
      <c r="O559" s="4" t="s">
        <v>59</v>
      </c>
      <c r="P559" s="4" t="s">
        <v>36</v>
      </c>
      <c r="Q559" s="8" t="s">
        <v>37</v>
      </c>
      <c r="R559" s="9">
        <v>1245</v>
      </c>
      <c r="S559" s="9">
        <v>4577.2</v>
      </c>
      <c r="T559" s="9">
        <v>5126.4639999999999</v>
      </c>
      <c r="U559" s="9">
        <v>915.44</v>
      </c>
      <c r="V559" s="10" t="s">
        <v>30</v>
      </c>
    </row>
    <row r="560" spans="1:22" ht="18" customHeight="1" x14ac:dyDescent="0.25">
      <c r="A560" s="7" t="s">
        <v>19</v>
      </c>
      <c r="B560" s="7">
        <v>2020</v>
      </c>
      <c r="C560" s="7" t="s">
        <v>60</v>
      </c>
      <c r="D560" s="7" t="s">
        <v>72</v>
      </c>
      <c r="E560" s="7" t="s">
        <v>74</v>
      </c>
      <c r="F560" s="7" t="s">
        <v>75</v>
      </c>
      <c r="G560" s="7" t="s">
        <v>64</v>
      </c>
      <c r="H560" s="7" t="s">
        <v>25</v>
      </c>
      <c r="I560" s="7" t="s">
        <v>76</v>
      </c>
      <c r="J560" s="7">
        <v>188</v>
      </c>
      <c r="K560" s="7">
        <v>268.84000000000003</v>
      </c>
      <c r="N560" s="4">
        <v>2023</v>
      </c>
      <c r="O560" s="4" t="s">
        <v>59</v>
      </c>
      <c r="P560" s="4" t="s">
        <v>39</v>
      </c>
      <c r="Q560" s="13" t="s">
        <v>40</v>
      </c>
      <c r="R560" s="14">
        <v>644</v>
      </c>
      <c r="S560" s="14">
        <v>5743.5</v>
      </c>
      <c r="T560" s="14">
        <v>6432.72</v>
      </c>
      <c r="U560" s="9">
        <v>1148.7</v>
      </c>
      <c r="V560" s="10" t="s">
        <v>30</v>
      </c>
    </row>
    <row r="561" spans="1:22" ht="18" customHeight="1" x14ac:dyDescent="0.25">
      <c r="A561" s="7" t="s">
        <v>42</v>
      </c>
      <c r="B561" s="7">
        <v>2020</v>
      </c>
      <c r="C561" s="7" t="s">
        <v>60</v>
      </c>
      <c r="D561" s="7" t="s">
        <v>72</v>
      </c>
      <c r="E561" s="7" t="s">
        <v>74</v>
      </c>
      <c r="F561" s="7" t="s">
        <v>75</v>
      </c>
      <c r="G561" s="7" t="s">
        <v>64</v>
      </c>
      <c r="H561" s="7" t="s">
        <v>25</v>
      </c>
      <c r="I561" s="7" t="s">
        <v>76</v>
      </c>
      <c r="J561" s="7">
        <v>356</v>
      </c>
      <c r="K561" s="7">
        <v>509.08</v>
      </c>
      <c r="N561" s="4">
        <v>2023</v>
      </c>
      <c r="O561" s="4" t="s">
        <v>59</v>
      </c>
      <c r="P561" s="4" t="s">
        <v>43</v>
      </c>
      <c r="Q561" s="13" t="s">
        <v>44</v>
      </c>
      <c r="R561" s="14">
        <v>643</v>
      </c>
      <c r="S561" s="14">
        <v>7000</v>
      </c>
      <c r="T561" s="14">
        <v>7840</v>
      </c>
      <c r="U561" s="9">
        <v>1400</v>
      </c>
      <c r="V561" s="10" t="s">
        <v>30</v>
      </c>
    </row>
    <row r="562" spans="1:22" ht="18" customHeight="1" x14ac:dyDescent="0.25">
      <c r="A562" s="7" t="s">
        <v>19</v>
      </c>
      <c r="B562" s="7">
        <v>2020</v>
      </c>
      <c r="C562" s="7" t="s">
        <v>60</v>
      </c>
      <c r="D562" s="7" t="s">
        <v>72</v>
      </c>
      <c r="E562" s="7" t="s">
        <v>74</v>
      </c>
      <c r="F562" s="7" t="s">
        <v>75</v>
      </c>
      <c r="G562" s="7" t="s">
        <v>64</v>
      </c>
      <c r="H562" s="7" t="s">
        <v>25</v>
      </c>
      <c r="I562" s="7" t="s">
        <v>76</v>
      </c>
      <c r="J562" s="7">
        <v>184</v>
      </c>
      <c r="K562" s="7">
        <v>263.12</v>
      </c>
      <c r="N562" s="4">
        <v>2023</v>
      </c>
      <c r="O562" s="4" t="s">
        <v>59</v>
      </c>
      <c r="P562" s="4" t="s">
        <v>39</v>
      </c>
      <c r="Q562" s="13" t="s">
        <v>46</v>
      </c>
      <c r="R562" s="14">
        <v>455</v>
      </c>
      <c r="S562" s="14">
        <v>4578.6000000000004</v>
      </c>
      <c r="T562" s="14">
        <v>5128.0320000000002</v>
      </c>
      <c r="U562" s="9">
        <v>915.72000000000014</v>
      </c>
      <c r="V562" s="10" t="s">
        <v>30</v>
      </c>
    </row>
    <row r="563" spans="1:22" ht="18" customHeight="1" x14ac:dyDescent="0.25">
      <c r="A563" s="7" t="s">
        <v>34</v>
      </c>
      <c r="B563" s="7">
        <v>2020</v>
      </c>
      <c r="C563" s="7" t="s">
        <v>60</v>
      </c>
      <c r="D563" s="7" t="s">
        <v>72</v>
      </c>
      <c r="E563" s="7" t="s">
        <v>74</v>
      </c>
      <c r="F563" s="7" t="s">
        <v>75</v>
      </c>
      <c r="G563" s="7" t="s">
        <v>64</v>
      </c>
      <c r="H563" s="7" t="s">
        <v>25</v>
      </c>
      <c r="I563" s="7" t="s">
        <v>76</v>
      </c>
      <c r="J563" s="7">
        <v>358</v>
      </c>
      <c r="K563" s="7">
        <v>511.94</v>
      </c>
      <c r="N563" s="4">
        <v>2023</v>
      </c>
      <c r="O563" s="4" t="s">
        <v>59</v>
      </c>
      <c r="P563" s="4" t="s">
        <v>43</v>
      </c>
      <c r="Q563" s="13" t="s">
        <v>48</v>
      </c>
      <c r="R563" s="15">
        <v>345</v>
      </c>
      <c r="S563" s="15">
        <v>7000</v>
      </c>
      <c r="T563" s="15">
        <v>7840</v>
      </c>
      <c r="U563" s="9">
        <v>1400</v>
      </c>
      <c r="V563" s="10" t="s">
        <v>30</v>
      </c>
    </row>
    <row r="564" spans="1:22" ht="18" customHeight="1" x14ac:dyDescent="0.25">
      <c r="A564" s="7" t="s">
        <v>61</v>
      </c>
      <c r="B564" s="7">
        <v>2020</v>
      </c>
      <c r="C564" s="7" t="s">
        <v>60</v>
      </c>
      <c r="D564" s="7" t="s">
        <v>72</v>
      </c>
      <c r="E564" s="7" t="s">
        <v>74</v>
      </c>
      <c r="F564" s="7" t="s">
        <v>75</v>
      </c>
      <c r="G564" s="7" t="s">
        <v>64</v>
      </c>
      <c r="H564" s="7" t="s">
        <v>25</v>
      </c>
      <c r="I564" s="7" t="s">
        <v>76</v>
      </c>
      <c r="J564" s="7">
        <v>816</v>
      </c>
      <c r="K564" s="7">
        <v>1166.8800000000001</v>
      </c>
      <c r="N564" s="4">
        <v>2023</v>
      </c>
      <c r="O564" s="4" t="s">
        <v>59</v>
      </c>
      <c r="P564" s="4" t="s">
        <v>36</v>
      </c>
      <c r="Q564" s="8" t="s">
        <v>49</v>
      </c>
      <c r="R564" s="9">
        <v>122</v>
      </c>
      <c r="S564" s="9">
        <v>100</v>
      </c>
      <c r="T564" s="9">
        <v>112</v>
      </c>
      <c r="U564" s="9">
        <v>20</v>
      </c>
      <c r="V564" s="10" t="s">
        <v>30</v>
      </c>
    </row>
    <row r="565" spans="1:22" ht="18" customHeight="1" x14ac:dyDescent="0.25">
      <c r="A565" s="7" t="s">
        <v>42</v>
      </c>
      <c r="B565" s="7">
        <v>2020</v>
      </c>
      <c r="C565" s="7" t="s">
        <v>60</v>
      </c>
      <c r="D565" s="7" t="s">
        <v>72</v>
      </c>
      <c r="E565" s="7" t="s">
        <v>74</v>
      </c>
      <c r="F565" s="7" t="s">
        <v>75</v>
      </c>
      <c r="G565" s="7" t="s">
        <v>64</v>
      </c>
      <c r="H565" s="7" t="s">
        <v>25</v>
      </c>
      <c r="I565" s="7" t="s">
        <v>76</v>
      </c>
      <c r="J565" s="7">
        <v>849</v>
      </c>
      <c r="K565" s="7">
        <v>1214.07</v>
      </c>
      <c r="N565" s="4">
        <v>2023</v>
      </c>
      <c r="O565" s="4" t="s">
        <v>59</v>
      </c>
      <c r="P565" s="4" t="s">
        <v>50</v>
      </c>
      <c r="Q565" s="13" t="s">
        <v>51</v>
      </c>
      <c r="R565" s="14">
        <v>78</v>
      </c>
      <c r="S565" s="14">
        <v>2288.6</v>
      </c>
      <c r="T565" s="14">
        <v>5126.4639999999999</v>
      </c>
      <c r="U565" s="9">
        <v>457.72</v>
      </c>
      <c r="V565" s="10" t="s">
        <v>30</v>
      </c>
    </row>
    <row r="566" spans="1:22" ht="18" customHeight="1" x14ac:dyDescent="0.25">
      <c r="A566" s="7" t="s">
        <v>19</v>
      </c>
      <c r="B566" s="7">
        <v>2020</v>
      </c>
      <c r="C566" s="7" t="s">
        <v>60</v>
      </c>
      <c r="D566" s="7" t="s">
        <v>72</v>
      </c>
      <c r="E566" s="7" t="s">
        <v>74</v>
      </c>
      <c r="F566" s="7" t="s">
        <v>75</v>
      </c>
      <c r="G566" s="7" t="s">
        <v>64</v>
      </c>
      <c r="H566" s="7" t="s">
        <v>25</v>
      </c>
      <c r="I566" s="7" t="s">
        <v>76</v>
      </c>
      <c r="J566" s="7">
        <v>902</v>
      </c>
      <c r="K566" s="7">
        <v>1289.8600000000001</v>
      </c>
      <c r="N566" s="4">
        <v>2023</v>
      </c>
      <c r="O566" s="4" t="s">
        <v>59</v>
      </c>
      <c r="P566" s="4" t="s">
        <v>50</v>
      </c>
      <c r="Q566" s="13" t="s">
        <v>52</v>
      </c>
      <c r="R566" s="14">
        <v>76</v>
      </c>
      <c r="S566" s="14">
        <v>2288.4499999999998</v>
      </c>
      <c r="T566" s="14">
        <v>5126.1279999999997</v>
      </c>
      <c r="U566" s="9">
        <v>457.69</v>
      </c>
      <c r="V566" s="10" t="s">
        <v>30</v>
      </c>
    </row>
    <row r="567" spans="1:22" ht="18" customHeight="1" x14ac:dyDescent="0.25">
      <c r="A567" s="7" t="s">
        <v>19</v>
      </c>
      <c r="B567" s="7">
        <v>2020</v>
      </c>
      <c r="C567" s="7" t="s">
        <v>60</v>
      </c>
      <c r="D567" s="7" t="s">
        <v>72</v>
      </c>
      <c r="E567" s="7" t="s">
        <v>74</v>
      </c>
      <c r="F567" s="7" t="s">
        <v>75</v>
      </c>
      <c r="G567" s="7" t="s">
        <v>64</v>
      </c>
      <c r="H567" s="7" t="s">
        <v>25</v>
      </c>
      <c r="I567" s="7" t="s">
        <v>76</v>
      </c>
      <c r="J567" s="7">
        <v>855</v>
      </c>
      <c r="K567" s="7">
        <v>526.24</v>
      </c>
      <c r="N567" s="4">
        <v>2023</v>
      </c>
      <c r="O567" s="4" t="s">
        <v>59</v>
      </c>
      <c r="P567" s="4" t="s">
        <v>50</v>
      </c>
      <c r="Q567" s="13" t="s">
        <v>54</v>
      </c>
      <c r="R567" s="14">
        <v>46</v>
      </c>
      <c r="S567" s="14">
        <v>100</v>
      </c>
      <c r="T567" s="14">
        <v>224</v>
      </c>
      <c r="U567" s="9">
        <v>20</v>
      </c>
      <c r="V567" s="10" t="s">
        <v>30</v>
      </c>
    </row>
    <row r="568" spans="1:22" ht="18" customHeight="1" x14ac:dyDescent="0.25">
      <c r="A568" s="7" t="s">
        <v>61</v>
      </c>
      <c r="B568" s="7">
        <v>2020</v>
      </c>
      <c r="C568" s="7" t="s">
        <v>60</v>
      </c>
      <c r="D568" s="7" t="s">
        <v>72</v>
      </c>
      <c r="E568" s="7" t="s">
        <v>74</v>
      </c>
      <c r="F568" s="7" t="s">
        <v>75</v>
      </c>
      <c r="G568" s="7" t="s">
        <v>64</v>
      </c>
      <c r="H568" s="7" t="s">
        <v>25</v>
      </c>
      <c r="I568" s="7" t="s">
        <v>76</v>
      </c>
      <c r="J568" s="7">
        <v>357</v>
      </c>
      <c r="K568" s="7">
        <v>510.51</v>
      </c>
      <c r="N568" s="4">
        <v>2023</v>
      </c>
      <c r="O568" s="4" t="s">
        <v>59</v>
      </c>
      <c r="P568" s="4" t="s">
        <v>50</v>
      </c>
      <c r="Q568" s="13" t="s">
        <v>55</v>
      </c>
      <c r="R568" s="14">
        <v>34</v>
      </c>
      <c r="S568" s="14">
        <v>2288.4</v>
      </c>
      <c r="T568" s="14">
        <v>5126.0160000000005</v>
      </c>
      <c r="U568" s="9">
        <v>457.68000000000006</v>
      </c>
      <c r="V568" s="10" t="s">
        <v>30</v>
      </c>
    </row>
    <row r="569" spans="1:22" ht="18" customHeight="1" x14ac:dyDescent="0.25">
      <c r="A569" s="7" t="s">
        <v>34</v>
      </c>
      <c r="B569" s="7">
        <v>2020</v>
      </c>
      <c r="C569" s="7" t="s">
        <v>60</v>
      </c>
      <c r="D569" s="7" t="s">
        <v>72</v>
      </c>
      <c r="E569" s="7" t="s">
        <v>74</v>
      </c>
      <c r="F569" s="7" t="s">
        <v>75</v>
      </c>
      <c r="G569" s="7" t="s">
        <v>64</v>
      </c>
      <c r="H569" s="7" t="s">
        <v>25</v>
      </c>
      <c r="I569" s="7" t="s">
        <v>76</v>
      </c>
      <c r="J569" s="7">
        <v>139</v>
      </c>
      <c r="K569" s="7">
        <v>198.76999999999998</v>
      </c>
      <c r="N569" s="4">
        <v>2023</v>
      </c>
      <c r="O569" s="4" t="s">
        <v>59</v>
      </c>
      <c r="P569" s="4" t="s">
        <v>36</v>
      </c>
      <c r="Q569" s="8" t="s">
        <v>56</v>
      </c>
      <c r="R569" s="9">
        <v>7</v>
      </c>
      <c r="S569" s="9">
        <v>200</v>
      </c>
      <c r="T569" s="9">
        <v>224</v>
      </c>
      <c r="U569" s="9">
        <v>40</v>
      </c>
      <c r="V569" s="10" t="s">
        <v>30</v>
      </c>
    </row>
    <row r="570" spans="1:22" ht="18" customHeight="1" x14ac:dyDescent="0.25">
      <c r="A570" s="7" t="s">
        <v>53</v>
      </c>
      <c r="B570" s="7">
        <v>2020</v>
      </c>
      <c r="C570" s="7" t="s">
        <v>60</v>
      </c>
      <c r="D570" s="7" t="s">
        <v>72</v>
      </c>
      <c r="E570" s="7" t="s">
        <v>74</v>
      </c>
      <c r="F570" s="7" t="s">
        <v>75</v>
      </c>
      <c r="G570" s="7" t="s">
        <v>64</v>
      </c>
      <c r="H570" s="7" t="s">
        <v>25</v>
      </c>
      <c r="I570" s="7" t="s">
        <v>76</v>
      </c>
      <c r="J570" s="7">
        <v>187</v>
      </c>
      <c r="K570" s="7">
        <v>267.40999999999997</v>
      </c>
      <c r="N570" s="4">
        <v>2023</v>
      </c>
      <c r="O570" s="4" t="s">
        <v>59</v>
      </c>
      <c r="P570" s="4" t="s">
        <v>50</v>
      </c>
      <c r="Q570" s="13" t="s">
        <v>58</v>
      </c>
      <c r="R570" s="14">
        <v>3</v>
      </c>
      <c r="S570" s="14">
        <v>3300</v>
      </c>
      <c r="T570" s="14">
        <v>5126.576</v>
      </c>
      <c r="U570" s="9">
        <v>660</v>
      </c>
      <c r="V570" s="10" t="s">
        <v>30</v>
      </c>
    </row>
    <row r="571" spans="1:22" ht="18" customHeight="1" x14ac:dyDescent="0.25">
      <c r="A571" s="7" t="s">
        <v>42</v>
      </c>
      <c r="B571" s="7">
        <v>2020</v>
      </c>
      <c r="C571" s="7" t="s">
        <v>60</v>
      </c>
      <c r="D571" s="7" t="s">
        <v>72</v>
      </c>
      <c r="E571" s="7" t="s">
        <v>74</v>
      </c>
      <c r="F571" s="7" t="s">
        <v>75</v>
      </c>
      <c r="G571" s="7" t="s">
        <v>64</v>
      </c>
      <c r="H571" s="7" t="s">
        <v>25</v>
      </c>
      <c r="I571" s="7" t="s">
        <v>76</v>
      </c>
      <c r="J571" s="7">
        <v>825</v>
      </c>
      <c r="K571" s="7">
        <v>1179.75</v>
      </c>
      <c r="N571" s="4">
        <v>2023</v>
      </c>
      <c r="O571" s="4" t="s">
        <v>59</v>
      </c>
      <c r="P571" s="4" t="s">
        <v>57</v>
      </c>
      <c r="Q571" s="13" t="s">
        <v>57</v>
      </c>
      <c r="R571" s="14">
        <v>2</v>
      </c>
      <c r="S571" s="14">
        <v>6600</v>
      </c>
      <c r="T571" s="14">
        <v>7392</v>
      </c>
      <c r="U571" s="9">
        <v>1320</v>
      </c>
      <c r="V571" s="10" t="s">
        <v>30</v>
      </c>
    </row>
    <row r="572" spans="1:22" ht="18" customHeight="1" x14ac:dyDescent="0.25">
      <c r="A572" s="7" t="s">
        <v>34</v>
      </c>
      <c r="B572" s="7">
        <v>2020</v>
      </c>
      <c r="C572" s="7" t="s">
        <v>60</v>
      </c>
      <c r="D572" s="7" t="s">
        <v>72</v>
      </c>
      <c r="E572" s="7" t="s">
        <v>74</v>
      </c>
      <c r="F572" s="7" t="s">
        <v>75</v>
      </c>
      <c r="G572" s="7" t="s">
        <v>64</v>
      </c>
      <c r="H572" s="7" t="s">
        <v>25</v>
      </c>
      <c r="I572" s="7" t="s">
        <v>76</v>
      </c>
      <c r="J572" s="7">
        <v>858</v>
      </c>
      <c r="K572" s="7">
        <v>1226.94</v>
      </c>
      <c r="N572" s="4">
        <v>2023</v>
      </c>
      <c r="O572" s="4" t="s">
        <v>62</v>
      </c>
      <c r="P572" s="4" t="s">
        <v>28</v>
      </c>
      <c r="Q572" s="8" t="s">
        <v>29</v>
      </c>
      <c r="R572" s="9">
        <v>3566</v>
      </c>
      <c r="S572" s="9">
        <v>4577.3</v>
      </c>
      <c r="T572" s="9">
        <v>5126.576</v>
      </c>
      <c r="U572" s="9">
        <v>915.46</v>
      </c>
      <c r="V572" s="10" t="s">
        <v>30</v>
      </c>
    </row>
    <row r="573" spans="1:22" ht="18" customHeight="1" x14ac:dyDescent="0.25">
      <c r="A573" s="7" t="s">
        <v>19</v>
      </c>
      <c r="B573" s="7">
        <v>2020</v>
      </c>
      <c r="C573" s="7" t="s">
        <v>60</v>
      </c>
      <c r="D573" s="7" t="s">
        <v>72</v>
      </c>
      <c r="E573" s="7" t="s">
        <v>74</v>
      </c>
      <c r="F573" s="7" t="s">
        <v>75</v>
      </c>
      <c r="G573" s="7" t="s">
        <v>64</v>
      </c>
      <c r="H573" s="7" t="s">
        <v>25</v>
      </c>
      <c r="I573" s="7" t="s">
        <v>76</v>
      </c>
      <c r="J573" s="7">
        <v>359</v>
      </c>
      <c r="K573" s="7">
        <v>513.37</v>
      </c>
      <c r="N573" s="4">
        <v>2023</v>
      </c>
      <c r="O573" s="4" t="s">
        <v>62</v>
      </c>
      <c r="P573" s="4" t="s">
        <v>28</v>
      </c>
      <c r="Q573" s="8" t="s">
        <v>32</v>
      </c>
      <c r="R573" s="9">
        <v>2498</v>
      </c>
      <c r="S573" s="9">
        <v>8000</v>
      </c>
      <c r="T573" s="9">
        <v>8960</v>
      </c>
      <c r="U573" s="9">
        <v>1600</v>
      </c>
      <c r="V573" s="10" t="s">
        <v>30</v>
      </c>
    </row>
    <row r="574" spans="1:22" ht="18" customHeight="1" x14ac:dyDescent="0.25">
      <c r="A574" s="7" t="s">
        <v>61</v>
      </c>
      <c r="B574" s="7">
        <v>2020</v>
      </c>
      <c r="C574" s="7" t="s">
        <v>65</v>
      </c>
      <c r="D574" s="7" t="s">
        <v>72</v>
      </c>
      <c r="E574" s="7" t="s">
        <v>74</v>
      </c>
      <c r="F574" s="7" t="s">
        <v>75</v>
      </c>
      <c r="G574" s="7" t="s">
        <v>64</v>
      </c>
      <c r="H574" s="7" t="s">
        <v>25</v>
      </c>
      <c r="I574" s="7" t="s">
        <v>76</v>
      </c>
      <c r="J574" s="7">
        <v>362</v>
      </c>
      <c r="K574" s="7">
        <v>517.66</v>
      </c>
      <c r="N574" s="4">
        <v>2023</v>
      </c>
      <c r="O574" s="4" t="s">
        <v>62</v>
      </c>
      <c r="P574" s="4" t="s">
        <v>36</v>
      </c>
      <c r="Q574" s="8" t="s">
        <v>37</v>
      </c>
      <c r="R574" s="9">
        <v>1245</v>
      </c>
      <c r="S574" s="9">
        <v>4577.2</v>
      </c>
      <c r="T574" s="9">
        <v>5126.4639999999999</v>
      </c>
      <c r="U574" s="9">
        <v>915.44</v>
      </c>
      <c r="V574" s="10" t="s">
        <v>30</v>
      </c>
    </row>
    <row r="575" spans="1:22" ht="18" customHeight="1" x14ac:dyDescent="0.25">
      <c r="A575" s="7" t="s">
        <v>42</v>
      </c>
      <c r="B575" s="7">
        <v>2020</v>
      </c>
      <c r="C575" s="7" t="s">
        <v>65</v>
      </c>
      <c r="D575" s="7" t="s">
        <v>72</v>
      </c>
      <c r="E575" s="7" t="s">
        <v>74</v>
      </c>
      <c r="F575" s="7" t="s">
        <v>75</v>
      </c>
      <c r="G575" s="7" t="s">
        <v>64</v>
      </c>
      <c r="H575" s="7" t="s">
        <v>25</v>
      </c>
      <c r="I575" s="7" t="s">
        <v>76</v>
      </c>
      <c r="J575" s="7">
        <v>164</v>
      </c>
      <c r="K575" s="7">
        <v>234.51999999999998</v>
      </c>
      <c r="N575" s="4">
        <v>2023</v>
      </c>
      <c r="O575" s="4" t="s">
        <v>62</v>
      </c>
      <c r="P575" s="4" t="s">
        <v>39</v>
      </c>
      <c r="Q575" s="13" t="s">
        <v>40</v>
      </c>
      <c r="R575" s="14">
        <v>644</v>
      </c>
      <c r="S575" s="14">
        <v>10000</v>
      </c>
      <c r="T575" s="14">
        <v>6432.72</v>
      </c>
      <c r="U575" s="9">
        <v>2000</v>
      </c>
      <c r="V575" s="10" t="s">
        <v>30</v>
      </c>
    </row>
    <row r="576" spans="1:22" ht="18" customHeight="1" x14ac:dyDescent="0.25">
      <c r="A576" s="7" t="s">
        <v>34</v>
      </c>
      <c r="B576" s="7">
        <v>2020</v>
      </c>
      <c r="C576" s="7" t="s">
        <v>65</v>
      </c>
      <c r="D576" s="7" t="s">
        <v>72</v>
      </c>
      <c r="E576" s="7" t="s">
        <v>74</v>
      </c>
      <c r="F576" s="7" t="s">
        <v>75</v>
      </c>
      <c r="G576" s="7" t="s">
        <v>64</v>
      </c>
      <c r="H576" s="7" t="s">
        <v>25</v>
      </c>
      <c r="I576" s="7" t="s">
        <v>76</v>
      </c>
      <c r="J576" s="7">
        <v>338</v>
      </c>
      <c r="K576" s="7">
        <v>483.34000000000003</v>
      </c>
      <c r="N576" s="4">
        <v>2023</v>
      </c>
      <c r="O576" s="4" t="s">
        <v>62</v>
      </c>
      <c r="P576" s="4" t="s">
        <v>43</v>
      </c>
      <c r="Q576" s="13" t="s">
        <v>44</v>
      </c>
      <c r="R576" s="14">
        <v>643</v>
      </c>
      <c r="S576" s="14">
        <v>7000</v>
      </c>
      <c r="T576" s="14">
        <v>7840</v>
      </c>
      <c r="U576" s="9">
        <v>1400</v>
      </c>
      <c r="V576" s="10" t="s">
        <v>30</v>
      </c>
    </row>
    <row r="577" spans="1:22" ht="18" customHeight="1" x14ac:dyDescent="0.25">
      <c r="A577" s="7" t="s">
        <v>53</v>
      </c>
      <c r="B577" s="7">
        <v>2020</v>
      </c>
      <c r="C577" s="7" t="s">
        <v>65</v>
      </c>
      <c r="D577" s="7" t="s">
        <v>72</v>
      </c>
      <c r="E577" s="7" t="s">
        <v>74</v>
      </c>
      <c r="F577" s="7" t="s">
        <v>75</v>
      </c>
      <c r="G577" s="7" t="s">
        <v>64</v>
      </c>
      <c r="H577" s="7" t="s">
        <v>25</v>
      </c>
      <c r="I577" s="7" t="s">
        <v>76</v>
      </c>
      <c r="J577" s="7">
        <v>364</v>
      </c>
      <c r="K577" s="7">
        <v>520.52</v>
      </c>
      <c r="N577" s="4">
        <v>2023</v>
      </c>
      <c r="O577" s="4" t="s">
        <v>62</v>
      </c>
      <c r="P577" s="4" t="s">
        <v>39</v>
      </c>
      <c r="Q577" s="13" t="s">
        <v>46</v>
      </c>
      <c r="R577" s="14">
        <v>455</v>
      </c>
      <c r="S577" s="14">
        <v>4578.6000000000004</v>
      </c>
      <c r="T577" s="14">
        <v>5128.0320000000002</v>
      </c>
      <c r="U577" s="9">
        <v>915.72000000000014</v>
      </c>
      <c r="V577" s="10" t="s">
        <v>30</v>
      </c>
    </row>
    <row r="578" spans="1:22" ht="18" customHeight="1" x14ac:dyDescent="0.25">
      <c r="A578" s="7" t="s">
        <v>19</v>
      </c>
      <c r="B578" s="7">
        <v>2020</v>
      </c>
      <c r="C578" s="7" t="s">
        <v>65</v>
      </c>
      <c r="D578" s="7" t="s">
        <v>72</v>
      </c>
      <c r="E578" s="7" t="s">
        <v>74</v>
      </c>
      <c r="F578" s="7" t="s">
        <v>75</v>
      </c>
      <c r="G578" s="7" t="s">
        <v>64</v>
      </c>
      <c r="H578" s="7" t="s">
        <v>25</v>
      </c>
      <c r="I578" s="7" t="s">
        <v>76</v>
      </c>
      <c r="J578" s="7">
        <v>166</v>
      </c>
      <c r="K578" s="7">
        <v>237.38</v>
      </c>
      <c r="N578" s="4">
        <v>2023</v>
      </c>
      <c r="O578" s="4" t="s">
        <v>62</v>
      </c>
      <c r="P578" s="4" t="s">
        <v>43</v>
      </c>
      <c r="Q578" s="13" t="s">
        <v>48</v>
      </c>
      <c r="R578" s="15">
        <v>345</v>
      </c>
      <c r="S578" s="15">
        <v>7000</v>
      </c>
      <c r="T578" s="15">
        <v>7840</v>
      </c>
      <c r="U578" s="9">
        <v>1400</v>
      </c>
      <c r="V578" s="10" t="s">
        <v>30</v>
      </c>
    </row>
    <row r="579" spans="1:22" ht="18" customHeight="1" x14ac:dyDescent="0.25">
      <c r="A579" s="7" t="s">
        <v>19</v>
      </c>
      <c r="B579" s="7">
        <v>2020</v>
      </c>
      <c r="C579" s="7" t="s">
        <v>65</v>
      </c>
      <c r="D579" s="7" t="s">
        <v>72</v>
      </c>
      <c r="E579" s="7" t="s">
        <v>74</v>
      </c>
      <c r="F579" s="7" t="s">
        <v>75</v>
      </c>
      <c r="G579" s="7" t="s">
        <v>64</v>
      </c>
      <c r="H579" s="7" t="s">
        <v>25</v>
      </c>
      <c r="I579" s="7" t="s">
        <v>76</v>
      </c>
      <c r="J579" s="7">
        <v>819</v>
      </c>
      <c r="K579" s="7">
        <v>1171.17</v>
      </c>
      <c r="N579" s="4">
        <v>2023</v>
      </c>
      <c r="O579" s="4" t="s">
        <v>62</v>
      </c>
      <c r="P579" s="4" t="s">
        <v>36</v>
      </c>
      <c r="Q579" s="8" t="s">
        <v>49</v>
      </c>
      <c r="R579" s="9">
        <v>122</v>
      </c>
      <c r="S579" s="9">
        <v>100</v>
      </c>
      <c r="T579" s="9">
        <v>112</v>
      </c>
      <c r="U579" s="9">
        <v>20</v>
      </c>
      <c r="V579" s="10" t="s">
        <v>30</v>
      </c>
    </row>
    <row r="580" spans="1:22" ht="18" customHeight="1" x14ac:dyDescent="0.25">
      <c r="A580" s="7" t="s">
        <v>19</v>
      </c>
      <c r="B580" s="7">
        <v>2020</v>
      </c>
      <c r="C580" s="7" t="s">
        <v>65</v>
      </c>
      <c r="D580" s="7" t="s">
        <v>72</v>
      </c>
      <c r="E580" s="7" t="s">
        <v>74</v>
      </c>
      <c r="F580" s="7" t="s">
        <v>75</v>
      </c>
      <c r="G580" s="7" t="s">
        <v>64</v>
      </c>
      <c r="H580" s="7" t="s">
        <v>25</v>
      </c>
      <c r="I580" s="7" t="s">
        <v>76</v>
      </c>
      <c r="J580" s="7">
        <v>853</v>
      </c>
      <c r="K580" s="7">
        <v>1219.79</v>
      </c>
      <c r="N580" s="4">
        <v>2023</v>
      </c>
      <c r="O580" s="4" t="s">
        <v>62</v>
      </c>
      <c r="P580" s="4" t="s">
        <v>50</v>
      </c>
      <c r="Q580" s="13" t="s">
        <v>51</v>
      </c>
      <c r="R580" s="14">
        <v>78</v>
      </c>
      <c r="S580" s="14">
        <v>2288.6</v>
      </c>
      <c r="T580" s="14">
        <v>5126.4639999999999</v>
      </c>
      <c r="U580" s="9">
        <v>457.72</v>
      </c>
      <c r="V580" s="10" t="s">
        <v>30</v>
      </c>
    </row>
    <row r="581" spans="1:22" ht="18" customHeight="1" x14ac:dyDescent="0.25">
      <c r="A581" s="7" t="s">
        <v>53</v>
      </c>
      <c r="B581" s="7">
        <v>2020</v>
      </c>
      <c r="C581" s="7" t="s">
        <v>65</v>
      </c>
      <c r="D581" s="7" t="s">
        <v>72</v>
      </c>
      <c r="E581" s="7" t="s">
        <v>74</v>
      </c>
      <c r="F581" s="7" t="s">
        <v>75</v>
      </c>
      <c r="G581" s="7" t="s">
        <v>64</v>
      </c>
      <c r="H581" s="7" t="s">
        <v>25</v>
      </c>
      <c r="I581" s="7" t="s">
        <v>76</v>
      </c>
      <c r="J581" s="7">
        <v>906</v>
      </c>
      <c r="K581" s="7">
        <v>1295.58</v>
      </c>
      <c r="N581" s="4">
        <v>2023</v>
      </c>
      <c r="O581" s="4" t="s">
        <v>62</v>
      </c>
      <c r="P581" s="4" t="s">
        <v>50</v>
      </c>
      <c r="Q581" s="13" t="s">
        <v>52</v>
      </c>
      <c r="R581" s="14">
        <v>76</v>
      </c>
      <c r="S581" s="14">
        <v>2288.4499999999998</v>
      </c>
      <c r="T581" s="14">
        <v>5126.1279999999997</v>
      </c>
      <c r="U581" s="9">
        <v>457.69</v>
      </c>
      <c r="V581" s="10" t="s">
        <v>30</v>
      </c>
    </row>
    <row r="582" spans="1:22" ht="18" customHeight="1" x14ac:dyDescent="0.25">
      <c r="A582" s="7" t="s">
        <v>53</v>
      </c>
      <c r="B582" s="7">
        <v>2020</v>
      </c>
      <c r="C582" s="7" t="s">
        <v>65</v>
      </c>
      <c r="D582" s="7" t="s">
        <v>72</v>
      </c>
      <c r="E582" s="7" t="s">
        <v>74</v>
      </c>
      <c r="F582" s="7" t="s">
        <v>75</v>
      </c>
      <c r="G582" s="7" t="s">
        <v>64</v>
      </c>
      <c r="H582" s="7" t="s">
        <v>25</v>
      </c>
      <c r="I582" s="7" t="s">
        <v>76</v>
      </c>
      <c r="J582" s="7">
        <v>859</v>
      </c>
      <c r="K582" s="7">
        <v>526.24</v>
      </c>
      <c r="N582" s="4">
        <v>2023</v>
      </c>
      <c r="O582" s="4" t="s">
        <v>62</v>
      </c>
      <c r="P582" s="4" t="s">
        <v>50</v>
      </c>
      <c r="Q582" s="13" t="s">
        <v>54</v>
      </c>
      <c r="R582" s="14">
        <v>46</v>
      </c>
      <c r="S582" s="14">
        <v>100</v>
      </c>
      <c r="T582" s="14">
        <v>224</v>
      </c>
      <c r="U582" s="9">
        <v>20</v>
      </c>
      <c r="V582" s="10" t="s">
        <v>30</v>
      </c>
    </row>
    <row r="583" spans="1:22" ht="18" customHeight="1" x14ac:dyDescent="0.25">
      <c r="A583" s="7" t="s">
        <v>19</v>
      </c>
      <c r="B583" s="7">
        <v>2020</v>
      </c>
      <c r="C583" s="7" t="s">
        <v>65</v>
      </c>
      <c r="D583" s="7" t="s">
        <v>72</v>
      </c>
      <c r="E583" s="7" t="s">
        <v>74</v>
      </c>
      <c r="F583" s="7" t="s">
        <v>75</v>
      </c>
      <c r="G583" s="7" t="s">
        <v>64</v>
      </c>
      <c r="H583" s="7" t="s">
        <v>25</v>
      </c>
      <c r="I583" s="7" t="s">
        <v>76</v>
      </c>
      <c r="J583" s="7">
        <v>165</v>
      </c>
      <c r="K583" s="7">
        <v>526.24</v>
      </c>
      <c r="N583" s="4">
        <v>2023</v>
      </c>
      <c r="O583" s="4" t="s">
        <v>62</v>
      </c>
      <c r="P583" s="4" t="s">
        <v>50</v>
      </c>
      <c r="Q583" s="13" t="s">
        <v>55</v>
      </c>
      <c r="R583" s="14">
        <v>34</v>
      </c>
      <c r="S583" s="14">
        <v>2288.4</v>
      </c>
      <c r="T583" s="14">
        <v>5126.0160000000005</v>
      </c>
      <c r="U583" s="9">
        <v>457.68000000000006</v>
      </c>
      <c r="V583" s="10" t="s">
        <v>30</v>
      </c>
    </row>
    <row r="584" spans="1:22" ht="18" customHeight="1" x14ac:dyDescent="0.25">
      <c r="A584" s="7" t="s">
        <v>19</v>
      </c>
      <c r="B584" s="7">
        <v>2020</v>
      </c>
      <c r="C584" s="7" t="s">
        <v>65</v>
      </c>
      <c r="D584" s="7" t="s">
        <v>72</v>
      </c>
      <c r="E584" s="7" t="s">
        <v>74</v>
      </c>
      <c r="F584" s="7" t="s">
        <v>75</v>
      </c>
      <c r="G584" s="7" t="s">
        <v>64</v>
      </c>
      <c r="H584" s="7" t="s">
        <v>25</v>
      </c>
      <c r="I584" s="7" t="s">
        <v>76</v>
      </c>
      <c r="J584" s="7">
        <v>339</v>
      </c>
      <c r="K584" s="7">
        <v>484.77</v>
      </c>
      <c r="N584" s="4">
        <v>2023</v>
      </c>
      <c r="O584" s="4" t="s">
        <v>62</v>
      </c>
      <c r="P584" s="4" t="s">
        <v>36</v>
      </c>
      <c r="Q584" s="8" t="s">
        <v>56</v>
      </c>
      <c r="R584" s="9">
        <v>7</v>
      </c>
      <c r="S584" s="9">
        <v>200</v>
      </c>
      <c r="T584" s="9">
        <v>224</v>
      </c>
      <c r="U584" s="9">
        <v>40</v>
      </c>
      <c r="V584" s="10" t="s">
        <v>30</v>
      </c>
    </row>
    <row r="585" spans="1:22" ht="18" customHeight="1" x14ac:dyDescent="0.25">
      <c r="A585" s="7" t="s">
        <v>42</v>
      </c>
      <c r="B585" s="7">
        <v>2020</v>
      </c>
      <c r="C585" s="7" t="s">
        <v>65</v>
      </c>
      <c r="D585" s="7" t="s">
        <v>72</v>
      </c>
      <c r="E585" s="7" t="s">
        <v>74</v>
      </c>
      <c r="F585" s="7" t="s">
        <v>75</v>
      </c>
      <c r="G585" s="7" t="s">
        <v>64</v>
      </c>
      <c r="H585" s="7" t="s">
        <v>25</v>
      </c>
      <c r="I585" s="7" t="s">
        <v>76</v>
      </c>
      <c r="J585" s="7">
        <v>163</v>
      </c>
      <c r="K585" s="7">
        <v>233.09</v>
      </c>
      <c r="N585" s="4">
        <v>2023</v>
      </c>
      <c r="O585" s="4" t="s">
        <v>62</v>
      </c>
      <c r="P585" s="4" t="s">
        <v>50</v>
      </c>
      <c r="Q585" s="13" t="s">
        <v>58</v>
      </c>
      <c r="R585" s="14">
        <v>3</v>
      </c>
      <c r="S585" s="14">
        <v>2288.65</v>
      </c>
      <c r="T585" s="14">
        <v>5126.576</v>
      </c>
      <c r="U585" s="9">
        <v>457.73</v>
      </c>
      <c r="V585" s="10" t="s">
        <v>30</v>
      </c>
    </row>
    <row r="586" spans="1:22" ht="18" customHeight="1" x14ac:dyDescent="0.25">
      <c r="A586" s="7" t="s">
        <v>53</v>
      </c>
      <c r="B586" s="7">
        <v>2020</v>
      </c>
      <c r="C586" s="7" t="s">
        <v>65</v>
      </c>
      <c r="D586" s="7" t="s">
        <v>72</v>
      </c>
      <c r="E586" s="7" t="s">
        <v>74</v>
      </c>
      <c r="F586" s="7" t="s">
        <v>75</v>
      </c>
      <c r="G586" s="7" t="s">
        <v>64</v>
      </c>
      <c r="H586" s="7" t="s">
        <v>25</v>
      </c>
      <c r="I586" s="7" t="s">
        <v>76</v>
      </c>
      <c r="J586" s="7">
        <v>337</v>
      </c>
      <c r="K586" s="7">
        <v>481.90999999999997</v>
      </c>
      <c r="N586" s="4">
        <v>2023</v>
      </c>
      <c r="O586" s="4" t="s">
        <v>62</v>
      </c>
      <c r="P586" s="4" t="s">
        <v>57</v>
      </c>
      <c r="Q586" s="13" t="s">
        <v>57</v>
      </c>
      <c r="R586" s="14">
        <v>2</v>
      </c>
      <c r="S586" s="14">
        <v>6600</v>
      </c>
      <c r="T586" s="14">
        <v>7392</v>
      </c>
      <c r="U586" s="9">
        <v>1320</v>
      </c>
      <c r="V586" s="10" t="s">
        <v>30</v>
      </c>
    </row>
    <row r="587" spans="1:22" ht="18" customHeight="1" x14ac:dyDescent="0.25">
      <c r="A587" s="7" t="s">
        <v>34</v>
      </c>
      <c r="B587" s="7">
        <v>2020</v>
      </c>
      <c r="C587" s="7" t="s">
        <v>65</v>
      </c>
      <c r="D587" s="7" t="s">
        <v>72</v>
      </c>
      <c r="E587" s="7" t="s">
        <v>74</v>
      </c>
      <c r="F587" s="7" t="s">
        <v>75</v>
      </c>
      <c r="G587" s="7" t="s">
        <v>64</v>
      </c>
      <c r="H587" s="7" t="s">
        <v>25</v>
      </c>
      <c r="I587" s="7" t="s">
        <v>76</v>
      </c>
      <c r="J587" s="7">
        <v>828</v>
      </c>
      <c r="K587" s="7">
        <v>1184.04</v>
      </c>
      <c r="N587" s="4">
        <v>2023</v>
      </c>
      <c r="O587" s="4" t="s">
        <v>20</v>
      </c>
      <c r="P587" s="4" t="s">
        <v>28</v>
      </c>
      <c r="Q587" s="8" t="s">
        <v>29</v>
      </c>
      <c r="R587" s="9">
        <v>3566</v>
      </c>
      <c r="S587" s="9">
        <v>4577.3</v>
      </c>
      <c r="T587" s="9">
        <v>5126.576</v>
      </c>
      <c r="U587" s="9">
        <v>915.46</v>
      </c>
      <c r="V587" s="10" t="s">
        <v>30</v>
      </c>
    </row>
    <row r="588" spans="1:22" ht="18" customHeight="1" x14ac:dyDescent="0.25">
      <c r="A588" s="7" t="s">
        <v>34</v>
      </c>
      <c r="B588" s="7">
        <v>2020</v>
      </c>
      <c r="C588" s="7" t="s">
        <v>65</v>
      </c>
      <c r="D588" s="7" t="s">
        <v>72</v>
      </c>
      <c r="E588" s="7" t="s">
        <v>74</v>
      </c>
      <c r="F588" s="7" t="s">
        <v>75</v>
      </c>
      <c r="G588" s="7" t="s">
        <v>64</v>
      </c>
      <c r="H588" s="7" t="s">
        <v>25</v>
      </c>
      <c r="I588" s="7" t="s">
        <v>76</v>
      </c>
      <c r="J588" s="7">
        <v>861</v>
      </c>
      <c r="K588" s="7">
        <v>1231.23</v>
      </c>
      <c r="N588" s="4">
        <v>2023</v>
      </c>
      <c r="O588" s="4" t="s">
        <v>20</v>
      </c>
      <c r="P588" s="4" t="s">
        <v>28</v>
      </c>
      <c r="Q588" s="8" t="s">
        <v>32</v>
      </c>
      <c r="R588" s="9">
        <v>2498</v>
      </c>
      <c r="S588" s="9">
        <v>8000</v>
      </c>
      <c r="T588" s="9">
        <v>8960</v>
      </c>
      <c r="U588" s="9">
        <v>1600</v>
      </c>
      <c r="V588" s="10" t="s">
        <v>63</v>
      </c>
    </row>
    <row r="589" spans="1:22" ht="18" customHeight="1" x14ac:dyDescent="0.25">
      <c r="A589" s="7" t="s">
        <v>61</v>
      </c>
      <c r="B589" s="7">
        <v>2020</v>
      </c>
      <c r="C589" s="7" t="s">
        <v>65</v>
      </c>
      <c r="D589" s="7" t="s">
        <v>72</v>
      </c>
      <c r="E589" s="7" t="s">
        <v>74</v>
      </c>
      <c r="F589" s="7" t="s">
        <v>75</v>
      </c>
      <c r="G589" s="7" t="s">
        <v>64</v>
      </c>
      <c r="H589" s="7" t="s">
        <v>25</v>
      </c>
      <c r="I589" s="7" t="s">
        <v>76</v>
      </c>
      <c r="J589" s="7">
        <v>335</v>
      </c>
      <c r="K589" s="7">
        <v>479.05</v>
      </c>
      <c r="N589" s="4">
        <v>2023</v>
      </c>
      <c r="O589" s="4" t="s">
        <v>20</v>
      </c>
      <c r="P589" s="4" t="s">
        <v>36</v>
      </c>
      <c r="Q589" s="8" t="s">
        <v>37</v>
      </c>
      <c r="R589" s="9">
        <v>1245</v>
      </c>
      <c r="S589" s="9">
        <v>4577.2</v>
      </c>
      <c r="T589" s="9">
        <v>5126.4639999999999</v>
      </c>
      <c r="U589" s="9">
        <v>915.44</v>
      </c>
      <c r="V589" s="10" t="s">
        <v>63</v>
      </c>
    </row>
    <row r="590" spans="1:22" ht="18" customHeight="1" x14ac:dyDescent="0.25">
      <c r="A590" s="7" t="s">
        <v>19</v>
      </c>
      <c r="B590" s="7">
        <v>2020</v>
      </c>
      <c r="C590" s="7" t="s">
        <v>59</v>
      </c>
      <c r="D590" s="7" t="s">
        <v>72</v>
      </c>
      <c r="E590" s="7" t="s">
        <v>74</v>
      </c>
      <c r="F590" s="7" t="s">
        <v>75</v>
      </c>
      <c r="G590" s="7" t="s">
        <v>64</v>
      </c>
      <c r="H590" s="7" t="s">
        <v>25</v>
      </c>
      <c r="I590" s="7" t="s">
        <v>76</v>
      </c>
      <c r="J590" s="7">
        <v>170</v>
      </c>
      <c r="K590" s="7">
        <v>243.1</v>
      </c>
      <c r="N590" s="4">
        <v>2023</v>
      </c>
      <c r="O590" s="4" t="s">
        <v>20</v>
      </c>
      <c r="P590" s="4" t="s">
        <v>39</v>
      </c>
      <c r="Q590" s="13" t="s">
        <v>40</v>
      </c>
      <c r="R590" s="14">
        <v>644</v>
      </c>
      <c r="S590" s="14">
        <v>15000</v>
      </c>
      <c r="T590" s="14">
        <v>6432.72</v>
      </c>
      <c r="U590" s="9">
        <v>3000</v>
      </c>
      <c r="V590" s="10" t="s">
        <v>63</v>
      </c>
    </row>
    <row r="591" spans="1:22" ht="18" customHeight="1" x14ac:dyDescent="0.25">
      <c r="A591" s="7" t="s">
        <v>42</v>
      </c>
      <c r="B591" s="7">
        <v>2020</v>
      </c>
      <c r="C591" s="7" t="s">
        <v>59</v>
      </c>
      <c r="D591" s="7" t="s">
        <v>72</v>
      </c>
      <c r="E591" s="7" t="s">
        <v>74</v>
      </c>
      <c r="F591" s="7" t="s">
        <v>75</v>
      </c>
      <c r="G591" s="7" t="s">
        <v>64</v>
      </c>
      <c r="H591" s="7" t="s">
        <v>25</v>
      </c>
      <c r="I591" s="7" t="s">
        <v>76</v>
      </c>
      <c r="J591" s="7">
        <v>218</v>
      </c>
      <c r="K591" s="7">
        <v>311.74</v>
      </c>
      <c r="N591" s="4">
        <v>2023</v>
      </c>
      <c r="O591" s="4" t="s">
        <v>20</v>
      </c>
      <c r="P591" s="4" t="s">
        <v>43</v>
      </c>
      <c r="Q591" s="13" t="s">
        <v>44</v>
      </c>
      <c r="R591" s="14">
        <v>643</v>
      </c>
      <c r="S591" s="14">
        <v>7000</v>
      </c>
      <c r="T591" s="14">
        <v>7840</v>
      </c>
      <c r="U591" s="9">
        <v>1400</v>
      </c>
      <c r="V591" s="10" t="s">
        <v>63</v>
      </c>
    </row>
    <row r="592" spans="1:22" ht="18" customHeight="1" x14ac:dyDescent="0.25">
      <c r="A592" s="7" t="s">
        <v>34</v>
      </c>
      <c r="B592" s="7">
        <v>2020</v>
      </c>
      <c r="C592" s="7" t="s">
        <v>59</v>
      </c>
      <c r="D592" s="7" t="s">
        <v>72</v>
      </c>
      <c r="E592" s="7" t="s">
        <v>74</v>
      </c>
      <c r="F592" s="7" t="s">
        <v>75</v>
      </c>
      <c r="G592" s="7" t="s">
        <v>64</v>
      </c>
      <c r="H592" s="7" t="s">
        <v>25</v>
      </c>
      <c r="I592" s="7" t="s">
        <v>76</v>
      </c>
      <c r="J592" s="7">
        <v>146</v>
      </c>
      <c r="K592" s="7">
        <v>208.78</v>
      </c>
      <c r="N592" s="4">
        <v>2023</v>
      </c>
      <c r="O592" s="4" t="s">
        <v>20</v>
      </c>
      <c r="P592" s="4" t="s">
        <v>39</v>
      </c>
      <c r="Q592" s="13" t="s">
        <v>46</v>
      </c>
      <c r="R592" s="14">
        <v>455</v>
      </c>
      <c r="S592" s="14">
        <v>14000</v>
      </c>
      <c r="T592" s="14">
        <v>5128.0320000000002</v>
      </c>
      <c r="U592" s="9">
        <v>2800</v>
      </c>
      <c r="V592" s="10" t="s">
        <v>63</v>
      </c>
    </row>
    <row r="593" spans="1:22" ht="18" customHeight="1" x14ac:dyDescent="0.25">
      <c r="A593" s="7" t="s">
        <v>42</v>
      </c>
      <c r="B593" s="7">
        <v>2020</v>
      </c>
      <c r="C593" s="7" t="s">
        <v>59</v>
      </c>
      <c r="D593" s="7" t="s">
        <v>72</v>
      </c>
      <c r="E593" s="7" t="s">
        <v>74</v>
      </c>
      <c r="F593" s="7" t="s">
        <v>75</v>
      </c>
      <c r="G593" s="7" t="s">
        <v>64</v>
      </c>
      <c r="H593" s="7" t="s">
        <v>25</v>
      </c>
      <c r="I593" s="7" t="s">
        <v>76</v>
      </c>
      <c r="J593" s="7">
        <v>172</v>
      </c>
      <c r="K593" s="7">
        <v>245.95999999999998</v>
      </c>
      <c r="N593" s="4">
        <v>2023</v>
      </c>
      <c r="O593" s="4" t="s">
        <v>20</v>
      </c>
      <c r="P593" s="4" t="s">
        <v>43</v>
      </c>
      <c r="Q593" s="13" t="s">
        <v>48</v>
      </c>
      <c r="R593" s="15">
        <v>345</v>
      </c>
      <c r="S593" s="15">
        <v>7000</v>
      </c>
      <c r="T593" s="15">
        <v>7840</v>
      </c>
      <c r="U593" s="9">
        <v>1400</v>
      </c>
      <c r="V593" s="10" t="s">
        <v>63</v>
      </c>
    </row>
    <row r="594" spans="1:22" ht="18" customHeight="1" x14ac:dyDescent="0.25">
      <c r="A594" s="7" t="s">
        <v>53</v>
      </c>
      <c r="B594" s="7">
        <v>2020</v>
      </c>
      <c r="C594" s="7" t="s">
        <v>59</v>
      </c>
      <c r="D594" s="7" t="s">
        <v>72</v>
      </c>
      <c r="E594" s="7" t="s">
        <v>74</v>
      </c>
      <c r="F594" s="7" t="s">
        <v>75</v>
      </c>
      <c r="G594" s="7" t="s">
        <v>64</v>
      </c>
      <c r="H594" s="7" t="s">
        <v>25</v>
      </c>
      <c r="I594" s="7" t="s">
        <v>76</v>
      </c>
      <c r="J594" s="7">
        <v>220</v>
      </c>
      <c r="K594" s="7">
        <v>314.60000000000002</v>
      </c>
      <c r="N594" s="4">
        <v>2023</v>
      </c>
      <c r="O594" s="4" t="s">
        <v>20</v>
      </c>
      <c r="P594" s="4" t="s">
        <v>36</v>
      </c>
      <c r="Q594" s="8" t="s">
        <v>49</v>
      </c>
      <c r="R594" s="9">
        <v>122</v>
      </c>
      <c r="S594" s="9">
        <v>100</v>
      </c>
      <c r="T594" s="9">
        <v>112</v>
      </c>
      <c r="U594" s="9">
        <v>20</v>
      </c>
      <c r="V594" s="10" t="s">
        <v>63</v>
      </c>
    </row>
    <row r="595" spans="1:22" ht="18" customHeight="1" x14ac:dyDescent="0.25">
      <c r="A595" s="7" t="s">
        <v>19</v>
      </c>
      <c r="B595" s="7">
        <v>2020</v>
      </c>
      <c r="C595" s="7" t="s">
        <v>59</v>
      </c>
      <c r="D595" s="7" t="s">
        <v>72</v>
      </c>
      <c r="E595" s="7" t="s">
        <v>74</v>
      </c>
      <c r="F595" s="7" t="s">
        <v>75</v>
      </c>
      <c r="G595" s="7" t="s">
        <v>64</v>
      </c>
      <c r="H595" s="7" t="s">
        <v>25</v>
      </c>
      <c r="I595" s="7" t="s">
        <v>76</v>
      </c>
      <c r="J595" s="7">
        <v>142</v>
      </c>
      <c r="K595" s="7">
        <v>203.06</v>
      </c>
      <c r="N595" s="4">
        <v>2023</v>
      </c>
      <c r="O595" s="4" t="s">
        <v>20</v>
      </c>
      <c r="P595" s="4" t="s">
        <v>50</v>
      </c>
      <c r="Q595" s="13" t="s">
        <v>51</v>
      </c>
      <c r="R595" s="14">
        <v>78</v>
      </c>
      <c r="S595" s="14">
        <v>2288.6</v>
      </c>
      <c r="T595" s="14">
        <v>5126.4639999999999</v>
      </c>
      <c r="U595" s="9">
        <v>457.72</v>
      </c>
      <c r="V595" s="10" t="s">
        <v>63</v>
      </c>
    </row>
    <row r="596" spans="1:22" ht="18" customHeight="1" x14ac:dyDescent="0.25">
      <c r="A596" s="7" t="s">
        <v>19</v>
      </c>
      <c r="B596" s="7">
        <v>2020</v>
      </c>
      <c r="C596" s="7" t="s">
        <v>59</v>
      </c>
      <c r="D596" s="7" t="s">
        <v>72</v>
      </c>
      <c r="E596" s="7" t="s">
        <v>74</v>
      </c>
      <c r="F596" s="7" t="s">
        <v>75</v>
      </c>
      <c r="G596" s="7" t="s">
        <v>64</v>
      </c>
      <c r="H596" s="7" t="s">
        <v>25</v>
      </c>
      <c r="I596" s="7" t="s">
        <v>76</v>
      </c>
      <c r="J596" s="7">
        <v>844</v>
      </c>
      <c r="K596" s="7">
        <v>1206.92</v>
      </c>
      <c r="N596" s="4">
        <v>2023</v>
      </c>
      <c r="O596" s="4" t="s">
        <v>20</v>
      </c>
      <c r="P596" s="4" t="s">
        <v>50</v>
      </c>
      <c r="Q596" s="13" t="s">
        <v>52</v>
      </c>
      <c r="R596" s="14">
        <v>76</v>
      </c>
      <c r="S596" s="14">
        <v>2288.4499999999998</v>
      </c>
      <c r="T596" s="14">
        <v>5126.1279999999997</v>
      </c>
      <c r="U596" s="9">
        <v>457.69</v>
      </c>
      <c r="V596" s="10" t="s">
        <v>63</v>
      </c>
    </row>
    <row r="597" spans="1:22" ht="18" customHeight="1" x14ac:dyDescent="0.25">
      <c r="A597" s="7" t="s">
        <v>19</v>
      </c>
      <c r="B597" s="7">
        <v>2020</v>
      </c>
      <c r="C597" s="7" t="s">
        <v>59</v>
      </c>
      <c r="D597" s="7" t="s">
        <v>72</v>
      </c>
      <c r="E597" s="7" t="s">
        <v>74</v>
      </c>
      <c r="F597" s="7" t="s">
        <v>75</v>
      </c>
      <c r="G597" s="7" t="s">
        <v>64</v>
      </c>
      <c r="H597" s="7" t="s">
        <v>25</v>
      </c>
      <c r="I597" s="7" t="s">
        <v>76</v>
      </c>
      <c r="J597" s="7">
        <v>897</v>
      </c>
      <c r="K597" s="7">
        <v>1282.71</v>
      </c>
      <c r="N597" s="4">
        <v>2023</v>
      </c>
      <c r="O597" s="4" t="s">
        <v>20</v>
      </c>
      <c r="P597" s="4" t="s">
        <v>50</v>
      </c>
      <c r="Q597" s="13" t="s">
        <v>54</v>
      </c>
      <c r="R597" s="14">
        <v>46</v>
      </c>
      <c r="S597" s="14">
        <v>100</v>
      </c>
      <c r="T597" s="14">
        <v>224</v>
      </c>
      <c r="U597" s="9">
        <v>20</v>
      </c>
      <c r="V597" s="10" t="s">
        <v>63</v>
      </c>
    </row>
    <row r="598" spans="1:22" ht="18" customHeight="1" x14ac:dyDescent="0.25">
      <c r="A598" s="7" t="s">
        <v>19</v>
      </c>
      <c r="B598" s="7">
        <v>2020</v>
      </c>
      <c r="C598" s="7" t="s">
        <v>59</v>
      </c>
      <c r="D598" s="7" t="s">
        <v>72</v>
      </c>
      <c r="E598" s="7" t="s">
        <v>74</v>
      </c>
      <c r="F598" s="7" t="s">
        <v>75</v>
      </c>
      <c r="G598" s="7" t="s">
        <v>64</v>
      </c>
      <c r="H598" s="7" t="s">
        <v>25</v>
      </c>
      <c r="I598" s="7" t="s">
        <v>76</v>
      </c>
      <c r="J598" s="7">
        <v>850</v>
      </c>
      <c r="K598" s="7">
        <v>526.24</v>
      </c>
      <c r="N598" s="4">
        <v>2023</v>
      </c>
      <c r="O598" s="4" t="s">
        <v>20</v>
      </c>
      <c r="P598" s="4" t="s">
        <v>50</v>
      </c>
      <c r="Q598" s="13" t="s">
        <v>55</v>
      </c>
      <c r="R598" s="14">
        <v>34</v>
      </c>
      <c r="S598" s="14">
        <v>2288.4</v>
      </c>
      <c r="T598" s="14">
        <v>5126.0160000000005</v>
      </c>
      <c r="U598" s="9">
        <v>457.68000000000006</v>
      </c>
      <c r="V598" s="10" t="s">
        <v>63</v>
      </c>
    </row>
    <row r="599" spans="1:22" ht="18" customHeight="1" x14ac:dyDescent="0.25">
      <c r="A599" s="7" t="s">
        <v>34</v>
      </c>
      <c r="B599" s="7">
        <v>2020</v>
      </c>
      <c r="C599" s="7" t="s">
        <v>59</v>
      </c>
      <c r="D599" s="7" t="s">
        <v>72</v>
      </c>
      <c r="E599" s="7" t="s">
        <v>74</v>
      </c>
      <c r="F599" s="7" t="s">
        <v>75</v>
      </c>
      <c r="G599" s="7" t="s">
        <v>64</v>
      </c>
      <c r="H599" s="7" t="s">
        <v>25</v>
      </c>
      <c r="I599" s="7" t="s">
        <v>76</v>
      </c>
      <c r="J599" s="7">
        <v>883</v>
      </c>
      <c r="K599" s="7">
        <v>526.24</v>
      </c>
      <c r="N599" s="4">
        <v>2023</v>
      </c>
      <c r="O599" s="4" t="s">
        <v>20</v>
      </c>
      <c r="P599" s="4" t="s">
        <v>36</v>
      </c>
      <c r="Q599" s="8" t="s">
        <v>56</v>
      </c>
      <c r="R599" s="9">
        <v>7</v>
      </c>
      <c r="S599" s="9">
        <v>200</v>
      </c>
      <c r="T599" s="9">
        <v>224</v>
      </c>
      <c r="U599" s="9">
        <v>40</v>
      </c>
      <c r="V599" s="10" t="s">
        <v>63</v>
      </c>
    </row>
    <row r="600" spans="1:22" ht="18" customHeight="1" x14ac:dyDescent="0.25">
      <c r="A600" s="7" t="s">
        <v>19</v>
      </c>
      <c r="B600" s="7">
        <v>2020</v>
      </c>
      <c r="C600" s="7" t="s">
        <v>59</v>
      </c>
      <c r="D600" s="7" t="s">
        <v>72</v>
      </c>
      <c r="E600" s="7" t="s">
        <v>74</v>
      </c>
      <c r="F600" s="7" t="s">
        <v>75</v>
      </c>
      <c r="G600" s="7" t="s">
        <v>64</v>
      </c>
      <c r="H600" s="7" t="s">
        <v>25</v>
      </c>
      <c r="I600" s="7" t="s">
        <v>76</v>
      </c>
      <c r="J600" s="7">
        <v>169</v>
      </c>
      <c r="K600" s="7">
        <v>241.67000000000002</v>
      </c>
      <c r="N600" s="4">
        <v>2023</v>
      </c>
      <c r="O600" s="4" t="s">
        <v>20</v>
      </c>
      <c r="P600" s="4" t="s">
        <v>50</v>
      </c>
      <c r="Q600" s="13" t="s">
        <v>58</v>
      </c>
      <c r="R600" s="14">
        <v>3</v>
      </c>
      <c r="S600" s="14">
        <v>2288.65</v>
      </c>
      <c r="T600" s="14">
        <v>5126.576</v>
      </c>
      <c r="U600" s="9">
        <v>457.73</v>
      </c>
      <c r="V600" s="10" t="s">
        <v>63</v>
      </c>
    </row>
    <row r="601" spans="1:22" ht="18" customHeight="1" x14ac:dyDescent="0.25">
      <c r="A601" s="7" t="s">
        <v>34</v>
      </c>
      <c r="B601" s="7">
        <v>2020</v>
      </c>
      <c r="C601" s="7" t="s">
        <v>59</v>
      </c>
      <c r="D601" s="7" t="s">
        <v>72</v>
      </c>
      <c r="E601" s="7" t="s">
        <v>74</v>
      </c>
      <c r="F601" s="7" t="s">
        <v>75</v>
      </c>
      <c r="G601" s="7" t="s">
        <v>64</v>
      </c>
      <c r="H601" s="7" t="s">
        <v>25</v>
      </c>
      <c r="I601" s="7" t="s">
        <v>76</v>
      </c>
      <c r="J601" s="7">
        <v>217</v>
      </c>
      <c r="K601" s="7">
        <v>310.31</v>
      </c>
      <c r="N601" s="4">
        <v>2023</v>
      </c>
      <c r="O601" s="4" t="s">
        <v>20</v>
      </c>
      <c r="P601" s="4" t="s">
        <v>57</v>
      </c>
      <c r="Q601" s="13" t="s">
        <v>57</v>
      </c>
      <c r="R601" s="14">
        <v>2</v>
      </c>
      <c r="S601" s="14">
        <v>7920</v>
      </c>
      <c r="T601" s="14">
        <v>7392</v>
      </c>
      <c r="U601" s="9">
        <v>1584</v>
      </c>
      <c r="V601" s="10" t="s">
        <v>63</v>
      </c>
    </row>
    <row r="602" spans="1:22" ht="18" customHeight="1" x14ac:dyDescent="0.25">
      <c r="A602" s="7" t="s">
        <v>42</v>
      </c>
      <c r="B602" s="7">
        <v>2020</v>
      </c>
      <c r="C602" s="7" t="s">
        <v>59</v>
      </c>
      <c r="D602" s="7" t="s">
        <v>72</v>
      </c>
      <c r="E602" s="7" t="s">
        <v>74</v>
      </c>
      <c r="F602" s="7" t="s">
        <v>75</v>
      </c>
      <c r="G602" s="7" t="s">
        <v>64</v>
      </c>
      <c r="H602" s="7" t="s">
        <v>25</v>
      </c>
      <c r="I602" s="7" t="s">
        <v>76</v>
      </c>
      <c r="J602" s="7">
        <v>145</v>
      </c>
      <c r="K602" s="7">
        <v>207.35</v>
      </c>
      <c r="N602" s="4">
        <v>2023</v>
      </c>
      <c r="O602" s="4" t="s">
        <v>66</v>
      </c>
      <c r="P602" s="4" t="s">
        <v>28</v>
      </c>
      <c r="Q602" s="8" t="s">
        <v>29</v>
      </c>
      <c r="R602" s="9">
        <v>3566</v>
      </c>
      <c r="S602" s="9">
        <v>4577.3</v>
      </c>
      <c r="T602" s="9">
        <v>5126.576</v>
      </c>
      <c r="U602" s="9">
        <v>915.46</v>
      </c>
      <c r="V602" s="10" t="s">
        <v>63</v>
      </c>
    </row>
    <row r="603" spans="1:22" ht="18" customHeight="1" x14ac:dyDescent="0.25">
      <c r="A603" s="7" t="s">
        <v>34</v>
      </c>
      <c r="B603" s="7">
        <v>2020</v>
      </c>
      <c r="C603" s="7" t="s">
        <v>59</v>
      </c>
      <c r="D603" s="7" t="s">
        <v>72</v>
      </c>
      <c r="E603" s="7" t="s">
        <v>74</v>
      </c>
      <c r="F603" s="7" t="s">
        <v>75</v>
      </c>
      <c r="G603" s="7" t="s">
        <v>64</v>
      </c>
      <c r="H603" s="7" t="s">
        <v>25</v>
      </c>
      <c r="I603" s="7" t="s">
        <v>76</v>
      </c>
      <c r="J603" s="7">
        <v>819</v>
      </c>
      <c r="K603" s="7">
        <v>1171.17</v>
      </c>
      <c r="N603" s="4">
        <v>2023</v>
      </c>
      <c r="O603" s="4" t="s">
        <v>66</v>
      </c>
      <c r="P603" s="4" t="s">
        <v>28</v>
      </c>
      <c r="Q603" s="8" t="s">
        <v>32</v>
      </c>
      <c r="R603" s="9">
        <v>2498</v>
      </c>
      <c r="S603" s="9">
        <v>8800</v>
      </c>
      <c r="T603" s="9">
        <v>8960</v>
      </c>
      <c r="U603" s="9">
        <v>1760</v>
      </c>
      <c r="V603" s="10" t="s">
        <v>63</v>
      </c>
    </row>
    <row r="604" spans="1:22" ht="18" customHeight="1" x14ac:dyDescent="0.25">
      <c r="A604" s="7" t="s">
        <v>19</v>
      </c>
      <c r="B604" s="7">
        <v>2020</v>
      </c>
      <c r="C604" s="7" t="s">
        <v>59</v>
      </c>
      <c r="D604" s="7" t="s">
        <v>72</v>
      </c>
      <c r="E604" s="7" t="s">
        <v>74</v>
      </c>
      <c r="F604" s="7" t="s">
        <v>75</v>
      </c>
      <c r="G604" s="7" t="s">
        <v>64</v>
      </c>
      <c r="H604" s="7" t="s">
        <v>25</v>
      </c>
      <c r="I604" s="7" t="s">
        <v>76</v>
      </c>
      <c r="J604" s="7">
        <v>143</v>
      </c>
      <c r="K604" s="7">
        <v>204.49</v>
      </c>
      <c r="N604" s="4">
        <v>2023</v>
      </c>
      <c r="O604" s="4" t="s">
        <v>66</v>
      </c>
      <c r="P604" s="4" t="s">
        <v>36</v>
      </c>
      <c r="Q604" s="8" t="s">
        <v>37</v>
      </c>
      <c r="R604" s="9">
        <v>1245</v>
      </c>
      <c r="S604" s="9">
        <v>5034.92</v>
      </c>
      <c r="T604" s="9">
        <v>5126.4639999999999</v>
      </c>
      <c r="U604" s="9">
        <v>1006.984</v>
      </c>
      <c r="V604" s="10" t="s">
        <v>63</v>
      </c>
    </row>
    <row r="605" spans="1:22" ht="18" customHeight="1" x14ac:dyDescent="0.25">
      <c r="A605" s="7" t="s">
        <v>61</v>
      </c>
      <c r="B605" s="7">
        <v>2020</v>
      </c>
      <c r="C605" s="7" t="s">
        <v>27</v>
      </c>
      <c r="D605" s="7" t="s">
        <v>72</v>
      </c>
      <c r="E605" s="7" t="s">
        <v>74</v>
      </c>
      <c r="F605" s="7" t="s">
        <v>75</v>
      </c>
      <c r="G605" s="7" t="s">
        <v>64</v>
      </c>
      <c r="H605" s="7" t="s">
        <v>25</v>
      </c>
      <c r="I605" s="7" t="s">
        <v>76</v>
      </c>
      <c r="J605" s="7">
        <v>176</v>
      </c>
      <c r="K605" s="7">
        <v>251.68</v>
      </c>
      <c r="N605" s="4">
        <v>2023</v>
      </c>
      <c r="O605" s="4" t="s">
        <v>66</v>
      </c>
      <c r="P605" s="4" t="s">
        <v>39</v>
      </c>
      <c r="Q605" s="13" t="s">
        <v>40</v>
      </c>
      <c r="R605" s="14">
        <v>644</v>
      </c>
      <c r="S605" s="14">
        <v>6317.85</v>
      </c>
      <c r="T605" s="14">
        <v>6432.72</v>
      </c>
      <c r="U605" s="9">
        <v>1263.5700000000002</v>
      </c>
      <c r="V605" s="10" t="s">
        <v>63</v>
      </c>
    </row>
    <row r="606" spans="1:22" ht="18" customHeight="1" x14ac:dyDescent="0.25">
      <c r="A606" s="7" t="s">
        <v>42</v>
      </c>
      <c r="B606" s="7">
        <v>2020</v>
      </c>
      <c r="C606" s="7" t="s">
        <v>27</v>
      </c>
      <c r="D606" s="7" t="s">
        <v>72</v>
      </c>
      <c r="E606" s="7" t="s">
        <v>74</v>
      </c>
      <c r="F606" s="7" t="s">
        <v>75</v>
      </c>
      <c r="G606" s="7" t="s">
        <v>64</v>
      </c>
      <c r="H606" s="7" t="s">
        <v>25</v>
      </c>
      <c r="I606" s="7" t="s">
        <v>76</v>
      </c>
      <c r="J606" s="7">
        <v>224</v>
      </c>
      <c r="K606" s="7">
        <v>320.32</v>
      </c>
      <c r="N606" s="4">
        <v>2023</v>
      </c>
      <c r="O606" s="4" t="s">
        <v>66</v>
      </c>
      <c r="P606" s="4" t="s">
        <v>43</v>
      </c>
      <c r="Q606" s="13" t="s">
        <v>44</v>
      </c>
      <c r="R606" s="14">
        <v>643</v>
      </c>
      <c r="S606" s="14">
        <v>7700</v>
      </c>
      <c r="T606" s="14">
        <v>7840</v>
      </c>
      <c r="U606" s="9">
        <v>1540</v>
      </c>
      <c r="V606" s="10" t="s">
        <v>63</v>
      </c>
    </row>
    <row r="607" spans="1:22" ht="18" customHeight="1" x14ac:dyDescent="0.25">
      <c r="A607" s="7" t="s">
        <v>34</v>
      </c>
      <c r="B607" s="7">
        <v>2020</v>
      </c>
      <c r="C607" s="7" t="s">
        <v>27</v>
      </c>
      <c r="D607" s="7" t="s">
        <v>72</v>
      </c>
      <c r="E607" s="7" t="s">
        <v>74</v>
      </c>
      <c r="F607" s="7" t="s">
        <v>75</v>
      </c>
      <c r="G607" s="7" t="s">
        <v>64</v>
      </c>
      <c r="H607" s="7" t="s">
        <v>25</v>
      </c>
      <c r="I607" s="7" t="s">
        <v>76</v>
      </c>
      <c r="J607" s="7">
        <v>178</v>
      </c>
      <c r="K607" s="7">
        <v>254.54</v>
      </c>
      <c r="N607" s="4">
        <v>2023</v>
      </c>
      <c r="O607" s="4" t="s">
        <v>66</v>
      </c>
      <c r="P607" s="4" t="s">
        <v>39</v>
      </c>
      <c r="Q607" s="13" t="s">
        <v>46</v>
      </c>
      <c r="R607" s="14">
        <v>455</v>
      </c>
      <c r="S607" s="14">
        <v>5036.46</v>
      </c>
      <c r="T607" s="14">
        <v>5128.0320000000002</v>
      </c>
      <c r="U607" s="9">
        <v>1007.292</v>
      </c>
      <c r="V607" s="10" t="s">
        <v>63</v>
      </c>
    </row>
    <row r="608" spans="1:22" ht="18" customHeight="1" x14ac:dyDescent="0.25">
      <c r="A608" s="7" t="s">
        <v>19</v>
      </c>
      <c r="B608" s="7">
        <v>2020</v>
      </c>
      <c r="C608" s="7" t="s">
        <v>27</v>
      </c>
      <c r="D608" s="7" t="s">
        <v>72</v>
      </c>
      <c r="E608" s="7" t="s">
        <v>74</v>
      </c>
      <c r="F608" s="7" t="s">
        <v>75</v>
      </c>
      <c r="G608" s="7" t="s">
        <v>64</v>
      </c>
      <c r="H608" s="7" t="s">
        <v>25</v>
      </c>
      <c r="I608" s="7" t="s">
        <v>76</v>
      </c>
      <c r="J608" s="7">
        <v>148</v>
      </c>
      <c r="K608" s="7">
        <v>211.64</v>
      </c>
      <c r="N608" s="4">
        <v>2023</v>
      </c>
      <c r="O608" s="4" t="s">
        <v>66</v>
      </c>
      <c r="P608" s="4" t="s">
        <v>43</v>
      </c>
      <c r="Q608" s="13" t="s">
        <v>48</v>
      </c>
      <c r="R608" s="15">
        <v>345</v>
      </c>
      <c r="S608" s="15">
        <v>7700</v>
      </c>
      <c r="T608" s="15">
        <v>7840</v>
      </c>
      <c r="U608" s="9">
        <v>1540</v>
      </c>
      <c r="V608" s="10" t="s">
        <v>63</v>
      </c>
    </row>
    <row r="609" spans="1:22" ht="18" customHeight="1" x14ac:dyDescent="0.25">
      <c r="A609" s="7" t="s">
        <v>34</v>
      </c>
      <c r="B609" s="7">
        <v>2020</v>
      </c>
      <c r="C609" s="7" t="s">
        <v>27</v>
      </c>
      <c r="D609" s="7" t="s">
        <v>72</v>
      </c>
      <c r="E609" s="7" t="s">
        <v>74</v>
      </c>
      <c r="F609" s="7" t="s">
        <v>75</v>
      </c>
      <c r="G609" s="7" t="s">
        <v>64</v>
      </c>
      <c r="H609" s="7" t="s">
        <v>25</v>
      </c>
      <c r="I609" s="7" t="s">
        <v>76</v>
      </c>
      <c r="J609" s="7">
        <v>810</v>
      </c>
      <c r="K609" s="7">
        <v>1158.3</v>
      </c>
      <c r="N609" s="4">
        <v>2023</v>
      </c>
      <c r="O609" s="4" t="s">
        <v>66</v>
      </c>
      <c r="P609" s="4" t="s">
        <v>36</v>
      </c>
      <c r="Q609" s="8" t="s">
        <v>49</v>
      </c>
      <c r="R609" s="9">
        <v>122</v>
      </c>
      <c r="S609" s="9">
        <v>110</v>
      </c>
      <c r="T609" s="9">
        <v>112</v>
      </c>
      <c r="U609" s="9">
        <v>22</v>
      </c>
      <c r="V609" s="10" t="s">
        <v>63</v>
      </c>
    </row>
    <row r="610" spans="1:22" ht="18" customHeight="1" x14ac:dyDescent="0.25">
      <c r="A610" s="7" t="s">
        <v>42</v>
      </c>
      <c r="B610" s="7">
        <v>2020</v>
      </c>
      <c r="C610" s="7" t="s">
        <v>27</v>
      </c>
      <c r="D610" s="7" t="s">
        <v>72</v>
      </c>
      <c r="E610" s="7" t="s">
        <v>74</v>
      </c>
      <c r="F610" s="7" t="s">
        <v>75</v>
      </c>
      <c r="G610" s="7" t="s">
        <v>64</v>
      </c>
      <c r="H610" s="7" t="s">
        <v>25</v>
      </c>
      <c r="I610" s="7" t="s">
        <v>76</v>
      </c>
      <c r="J610" s="7">
        <v>843</v>
      </c>
      <c r="K610" s="7">
        <v>1205.49</v>
      </c>
      <c r="N610" s="4">
        <v>2023</v>
      </c>
      <c r="O610" s="4" t="s">
        <v>66</v>
      </c>
      <c r="P610" s="4" t="s">
        <v>50</v>
      </c>
      <c r="Q610" s="13" t="s">
        <v>51</v>
      </c>
      <c r="R610" s="14">
        <v>78</v>
      </c>
      <c r="S610" s="14">
        <v>2517.46</v>
      </c>
      <c r="T610" s="14">
        <v>5126.4639999999999</v>
      </c>
      <c r="U610" s="9">
        <v>503.49200000000002</v>
      </c>
      <c r="V610" s="10" t="s">
        <v>63</v>
      </c>
    </row>
    <row r="611" spans="1:22" ht="18" customHeight="1" x14ac:dyDescent="0.25">
      <c r="A611" s="7" t="s">
        <v>42</v>
      </c>
      <c r="B611" s="7">
        <v>2020</v>
      </c>
      <c r="C611" s="7" t="s">
        <v>27</v>
      </c>
      <c r="D611" s="7" t="s">
        <v>72</v>
      </c>
      <c r="E611" s="7" t="s">
        <v>74</v>
      </c>
      <c r="F611" s="7" t="s">
        <v>75</v>
      </c>
      <c r="G611" s="7" t="s">
        <v>64</v>
      </c>
      <c r="H611" s="7" t="s">
        <v>25</v>
      </c>
      <c r="I611" s="7" t="s">
        <v>76</v>
      </c>
      <c r="J611" s="7">
        <v>896</v>
      </c>
      <c r="K611" s="7">
        <v>1281.28</v>
      </c>
      <c r="N611" s="4">
        <v>2023</v>
      </c>
      <c r="O611" s="4" t="s">
        <v>66</v>
      </c>
      <c r="P611" s="4" t="s">
        <v>50</v>
      </c>
      <c r="Q611" s="13" t="s">
        <v>52</v>
      </c>
      <c r="R611" s="14">
        <v>76</v>
      </c>
      <c r="S611" s="14">
        <v>2288.4499999999998</v>
      </c>
      <c r="T611" s="14">
        <v>5126.1279999999997</v>
      </c>
      <c r="U611" s="9">
        <v>457.69</v>
      </c>
      <c r="V611" s="10" t="s">
        <v>63</v>
      </c>
    </row>
    <row r="612" spans="1:22" ht="18" customHeight="1" x14ac:dyDescent="0.25">
      <c r="A612" s="7" t="s">
        <v>19</v>
      </c>
      <c r="B612" s="7">
        <v>2020</v>
      </c>
      <c r="C612" s="7" t="s">
        <v>27</v>
      </c>
      <c r="D612" s="7" t="s">
        <v>72</v>
      </c>
      <c r="E612" s="7" t="s">
        <v>74</v>
      </c>
      <c r="F612" s="7" t="s">
        <v>23</v>
      </c>
      <c r="G612" s="7" t="s">
        <v>64</v>
      </c>
      <c r="H612" s="7" t="s">
        <v>25</v>
      </c>
      <c r="I612" s="7" t="s">
        <v>26</v>
      </c>
      <c r="J612" s="7">
        <v>818</v>
      </c>
      <c r="K612" s="7">
        <v>526.24</v>
      </c>
      <c r="N612" s="4">
        <v>2023</v>
      </c>
      <c r="O612" s="4" t="s">
        <v>66</v>
      </c>
      <c r="P612" s="4" t="s">
        <v>50</v>
      </c>
      <c r="Q612" s="13" t="s">
        <v>54</v>
      </c>
      <c r="R612" s="14">
        <v>46</v>
      </c>
      <c r="S612" s="14">
        <v>100</v>
      </c>
      <c r="T612" s="14">
        <v>224</v>
      </c>
      <c r="U612" s="9">
        <v>20</v>
      </c>
      <c r="V612" s="10" t="s">
        <v>63</v>
      </c>
    </row>
    <row r="613" spans="1:22" ht="18" customHeight="1" x14ac:dyDescent="0.25">
      <c r="A613" s="7" t="s">
        <v>42</v>
      </c>
      <c r="B613" s="7">
        <v>2020</v>
      </c>
      <c r="C613" s="7" t="s">
        <v>27</v>
      </c>
      <c r="D613" s="7" t="s">
        <v>72</v>
      </c>
      <c r="E613" s="7" t="s">
        <v>74</v>
      </c>
      <c r="F613" s="7" t="s">
        <v>75</v>
      </c>
      <c r="G613" s="7" t="s">
        <v>64</v>
      </c>
      <c r="H613" s="7" t="s">
        <v>25</v>
      </c>
      <c r="I613" s="7" t="s">
        <v>76</v>
      </c>
      <c r="J613" s="7">
        <v>849</v>
      </c>
      <c r="K613" s="7">
        <v>526.24</v>
      </c>
      <c r="N613" s="4">
        <v>2023</v>
      </c>
      <c r="O613" s="4" t="s">
        <v>66</v>
      </c>
      <c r="P613" s="4" t="s">
        <v>50</v>
      </c>
      <c r="Q613" s="13" t="s">
        <v>55</v>
      </c>
      <c r="R613" s="14">
        <v>34</v>
      </c>
      <c r="S613" s="14">
        <v>2288.4</v>
      </c>
      <c r="T613" s="14">
        <v>5126.0160000000005</v>
      </c>
      <c r="U613" s="9">
        <v>457.68000000000006</v>
      </c>
      <c r="V613" s="10" t="s">
        <v>30</v>
      </c>
    </row>
    <row r="614" spans="1:22" ht="18" customHeight="1" x14ac:dyDescent="0.25">
      <c r="A614" s="7" t="s">
        <v>19</v>
      </c>
      <c r="B614" s="7">
        <v>2020</v>
      </c>
      <c r="C614" s="7" t="s">
        <v>27</v>
      </c>
      <c r="D614" s="7" t="s">
        <v>72</v>
      </c>
      <c r="E614" s="7" t="s">
        <v>74</v>
      </c>
      <c r="F614" s="7" t="s">
        <v>75</v>
      </c>
      <c r="G614" s="7" t="s">
        <v>64</v>
      </c>
      <c r="H614" s="7" t="s">
        <v>25</v>
      </c>
      <c r="I614" s="7" t="s">
        <v>76</v>
      </c>
      <c r="J614" s="7">
        <v>882</v>
      </c>
      <c r="K614" s="7">
        <v>526.24</v>
      </c>
      <c r="N614" s="4">
        <v>2023</v>
      </c>
      <c r="O614" s="4" t="s">
        <v>66</v>
      </c>
      <c r="P614" s="4" t="s">
        <v>36</v>
      </c>
      <c r="Q614" s="8" t="s">
        <v>56</v>
      </c>
      <c r="R614" s="9">
        <v>7</v>
      </c>
      <c r="S614" s="9">
        <v>200</v>
      </c>
      <c r="T614" s="9">
        <v>224</v>
      </c>
      <c r="U614" s="9">
        <v>40</v>
      </c>
      <c r="V614" s="10" t="s">
        <v>30</v>
      </c>
    </row>
    <row r="615" spans="1:22" ht="18" customHeight="1" x14ac:dyDescent="0.25">
      <c r="A615" s="7" t="s">
        <v>34</v>
      </c>
      <c r="B615" s="7">
        <v>2020</v>
      </c>
      <c r="C615" s="7" t="s">
        <v>27</v>
      </c>
      <c r="D615" s="7" t="s">
        <v>72</v>
      </c>
      <c r="E615" s="7" t="s">
        <v>74</v>
      </c>
      <c r="F615" s="7" t="s">
        <v>75</v>
      </c>
      <c r="G615" s="7" t="s">
        <v>64</v>
      </c>
      <c r="H615" s="7" t="s">
        <v>25</v>
      </c>
      <c r="I615" s="7" t="s">
        <v>76</v>
      </c>
      <c r="J615" s="7">
        <v>147</v>
      </c>
      <c r="K615" s="7">
        <v>210.21</v>
      </c>
      <c r="N615" s="4">
        <v>2023</v>
      </c>
      <c r="O615" s="4" t="s">
        <v>66</v>
      </c>
      <c r="P615" s="4" t="s">
        <v>50</v>
      </c>
      <c r="Q615" s="13" t="s">
        <v>58</v>
      </c>
      <c r="R615" s="14">
        <v>3</v>
      </c>
      <c r="S615" s="14">
        <v>3300</v>
      </c>
      <c r="T615" s="14">
        <v>5126.576</v>
      </c>
      <c r="U615" s="9">
        <v>660</v>
      </c>
      <c r="V615" s="10" t="s">
        <v>30</v>
      </c>
    </row>
    <row r="616" spans="1:22" ht="18" customHeight="1" x14ac:dyDescent="0.25">
      <c r="A616" s="7" t="s">
        <v>19</v>
      </c>
      <c r="B616" s="7">
        <v>2020</v>
      </c>
      <c r="C616" s="7" t="s">
        <v>27</v>
      </c>
      <c r="D616" s="7" t="s">
        <v>72</v>
      </c>
      <c r="E616" s="7" t="s">
        <v>74</v>
      </c>
      <c r="F616" s="7" t="s">
        <v>75</v>
      </c>
      <c r="G616" s="7" t="s">
        <v>64</v>
      </c>
      <c r="H616" s="7" t="s">
        <v>25</v>
      </c>
      <c r="I616" s="7" t="s">
        <v>76</v>
      </c>
      <c r="J616" s="7">
        <v>175</v>
      </c>
      <c r="K616" s="7">
        <v>250.25</v>
      </c>
      <c r="N616" s="4">
        <v>2023</v>
      </c>
      <c r="O616" s="4" t="s">
        <v>66</v>
      </c>
      <c r="P616" s="4" t="s">
        <v>57</v>
      </c>
      <c r="Q616" s="13" t="s">
        <v>57</v>
      </c>
      <c r="R616" s="14">
        <v>2</v>
      </c>
      <c r="S616" s="14">
        <v>4577.3</v>
      </c>
      <c r="T616" s="14">
        <v>7392</v>
      </c>
      <c r="U616" s="9">
        <v>915.46</v>
      </c>
      <c r="V616" s="10" t="s">
        <v>30</v>
      </c>
    </row>
    <row r="617" spans="1:22" ht="18" customHeight="1" x14ac:dyDescent="0.25">
      <c r="A617" s="7" t="s">
        <v>53</v>
      </c>
      <c r="B617" s="7">
        <v>2020</v>
      </c>
      <c r="C617" s="7" t="s">
        <v>27</v>
      </c>
      <c r="D617" s="7" t="s">
        <v>72</v>
      </c>
      <c r="E617" s="7" t="s">
        <v>74</v>
      </c>
      <c r="F617" s="7" t="s">
        <v>75</v>
      </c>
      <c r="G617" s="7" t="s">
        <v>64</v>
      </c>
      <c r="H617" s="7" t="s">
        <v>25</v>
      </c>
      <c r="I617" s="7" t="s">
        <v>76</v>
      </c>
      <c r="J617" s="7">
        <v>223</v>
      </c>
      <c r="K617" s="7">
        <v>318.89</v>
      </c>
      <c r="N617" s="4">
        <v>2023</v>
      </c>
      <c r="O617" s="4" t="s">
        <v>67</v>
      </c>
      <c r="P617" s="4" t="s">
        <v>28</v>
      </c>
      <c r="Q617" s="8" t="s">
        <v>29</v>
      </c>
      <c r="R617" s="9">
        <v>3566</v>
      </c>
      <c r="S617" s="9">
        <v>4577.3</v>
      </c>
      <c r="T617" s="9">
        <v>5126.576</v>
      </c>
      <c r="U617" s="9">
        <v>915.46</v>
      </c>
      <c r="V617" s="10" t="s">
        <v>30</v>
      </c>
    </row>
    <row r="618" spans="1:22" ht="18" customHeight="1" x14ac:dyDescent="0.25">
      <c r="A618" s="7" t="s">
        <v>34</v>
      </c>
      <c r="B618" s="7">
        <v>2020</v>
      </c>
      <c r="C618" s="7" t="s">
        <v>27</v>
      </c>
      <c r="D618" s="7" t="s">
        <v>72</v>
      </c>
      <c r="E618" s="7" t="s">
        <v>74</v>
      </c>
      <c r="F618" s="7" t="s">
        <v>75</v>
      </c>
      <c r="G618" s="7" t="s">
        <v>64</v>
      </c>
      <c r="H618" s="7" t="s">
        <v>25</v>
      </c>
      <c r="I618" s="7" t="s">
        <v>76</v>
      </c>
      <c r="J618" s="7">
        <v>151</v>
      </c>
      <c r="K618" s="7">
        <v>215.93</v>
      </c>
      <c r="N618" s="4">
        <v>2023</v>
      </c>
      <c r="O618" s="4" t="s">
        <v>67</v>
      </c>
      <c r="P618" s="4" t="s">
        <v>28</v>
      </c>
      <c r="Q618" s="8" t="s">
        <v>32</v>
      </c>
      <c r="R618" s="9">
        <v>2498</v>
      </c>
      <c r="S618" s="9">
        <v>8000</v>
      </c>
      <c r="T618" s="9">
        <v>8960</v>
      </c>
      <c r="U618" s="9">
        <v>1600</v>
      </c>
      <c r="V618" s="10" t="s">
        <v>30</v>
      </c>
    </row>
    <row r="619" spans="1:22" ht="18" customHeight="1" x14ac:dyDescent="0.25">
      <c r="A619" s="7" t="s">
        <v>53</v>
      </c>
      <c r="B619" s="7">
        <v>2020</v>
      </c>
      <c r="C619" s="7" t="s">
        <v>27</v>
      </c>
      <c r="D619" s="7" t="s">
        <v>72</v>
      </c>
      <c r="E619" s="7" t="s">
        <v>74</v>
      </c>
      <c r="F619" s="7" t="s">
        <v>75</v>
      </c>
      <c r="G619" s="7" t="s">
        <v>64</v>
      </c>
      <c r="H619" s="7" t="s">
        <v>25</v>
      </c>
      <c r="I619" s="7" t="s">
        <v>76</v>
      </c>
      <c r="J619" s="7">
        <v>852</v>
      </c>
      <c r="K619" s="7">
        <v>1218.3600000000001</v>
      </c>
      <c r="N619" s="4">
        <v>2023</v>
      </c>
      <c r="O619" s="4" t="s">
        <v>67</v>
      </c>
      <c r="P619" s="4" t="s">
        <v>36</v>
      </c>
      <c r="Q619" s="8" t="s">
        <v>37</v>
      </c>
      <c r="R619" s="9">
        <v>1245</v>
      </c>
      <c r="S619" s="9">
        <v>4577.2</v>
      </c>
      <c r="T619" s="9">
        <v>5126.4639999999999</v>
      </c>
      <c r="U619" s="9">
        <v>915.44</v>
      </c>
      <c r="V619" s="10" t="s">
        <v>30</v>
      </c>
    </row>
    <row r="620" spans="1:22" ht="18" customHeight="1" x14ac:dyDescent="0.25">
      <c r="A620" s="7" t="s">
        <v>61</v>
      </c>
      <c r="B620" s="7">
        <v>2020</v>
      </c>
      <c r="C620" s="7" t="s">
        <v>27</v>
      </c>
      <c r="D620" s="7" t="s">
        <v>72</v>
      </c>
      <c r="E620" s="7" t="s">
        <v>74</v>
      </c>
      <c r="F620" s="7" t="s">
        <v>75</v>
      </c>
      <c r="G620" s="7" t="s">
        <v>64</v>
      </c>
      <c r="H620" s="7" t="s">
        <v>25</v>
      </c>
      <c r="I620" s="7" t="s">
        <v>76</v>
      </c>
      <c r="J620" s="7">
        <v>149</v>
      </c>
      <c r="K620" s="7">
        <v>213.07</v>
      </c>
      <c r="N620" s="4">
        <v>2023</v>
      </c>
      <c r="O620" s="4" t="s">
        <v>67</v>
      </c>
      <c r="P620" s="4" t="s">
        <v>39</v>
      </c>
      <c r="Q620" s="13" t="s">
        <v>40</v>
      </c>
      <c r="R620" s="14">
        <v>644</v>
      </c>
      <c r="S620" s="14">
        <v>10000</v>
      </c>
      <c r="T620" s="14">
        <v>6432.72</v>
      </c>
      <c r="U620" s="9">
        <v>2000</v>
      </c>
      <c r="V620" s="10" t="s">
        <v>30</v>
      </c>
    </row>
    <row r="621" spans="1:22" ht="18" customHeight="1" x14ac:dyDescent="0.25">
      <c r="A621" s="7" t="s">
        <v>34</v>
      </c>
      <c r="B621" s="7">
        <v>2020</v>
      </c>
      <c r="C621" s="7" t="s">
        <v>68</v>
      </c>
      <c r="D621" s="7" t="s">
        <v>72</v>
      </c>
      <c r="E621" s="7" t="s">
        <v>74</v>
      </c>
      <c r="F621" s="7" t="s">
        <v>75</v>
      </c>
      <c r="G621" s="7" t="s">
        <v>64</v>
      </c>
      <c r="H621" s="7" t="s">
        <v>25</v>
      </c>
      <c r="I621" s="7" t="s">
        <v>76</v>
      </c>
      <c r="J621" s="7">
        <v>146</v>
      </c>
      <c r="K621" s="7">
        <v>208.78</v>
      </c>
      <c r="N621" s="4">
        <v>2023</v>
      </c>
      <c r="O621" s="4" t="s">
        <v>67</v>
      </c>
      <c r="P621" s="4" t="s">
        <v>43</v>
      </c>
      <c r="Q621" s="13" t="s">
        <v>44</v>
      </c>
      <c r="R621" s="14">
        <v>643</v>
      </c>
      <c r="S621" s="14">
        <v>7000</v>
      </c>
      <c r="T621" s="14">
        <v>7840</v>
      </c>
      <c r="U621" s="9">
        <v>1400</v>
      </c>
      <c r="V621" s="10" t="s">
        <v>30</v>
      </c>
    </row>
    <row r="622" spans="1:22" ht="18" customHeight="1" x14ac:dyDescent="0.25">
      <c r="A622" s="7" t="s">
        <v>19</v>
      </c>
      <c r="B622" s="7">
        <v>2020</v>
      </c>
      <c r="C622" s="7" t="s">
        <v>68</v>
      </c>
      <c r="D622" s="7" t="s">
        <v>72</v>
      </c>
      <c r="E622" s="7" t="s">
        <v>74</v>
      </c>
      <c r="F622" s="7" t="s">
        <v>75</v>
      </c>
      <c r="G622" s="7" t="s">
        <v>64</v>
      </c>
      <c r="H622" s="7" t="s">
        <v>25</v>
      </c>
      <c r="I622" s="7" t="s">
        <v>76</v>
      </c>
      <c r="J622" s="7">
        <v>362</v>
      </c>
      <c r="K622" s="7">
        <v>517.66</v>
      </c>
      <c r="N622" s="4">
        <v>2023</v>
      </c>
      <c r="O622" s="4" t="s">
        <v>67</v>
      </c>
      <c r="P622" s="4" t="s">
        <v>39</v>
      </c>
      <c r="Q622" s="13" t="s">
        <v>46</v>
      </c>
      <c r="R622" s="14">
        <v>455</v>
      </c>
      <c r="S622" s="14">
        <v>8000</v>
      </c>
      <c r="T622" s="14">
        <v>5128.0320000000002</v>
      </c>
      <c r="U622" s="9">
        <v>1600</v>
      </c>
      <c r="V622" s="10" t="s">
        <v>30</v>
      </c>
    </row>
    <row r="623" spans="1:22" ht="18" customHeight="1" x14ac:dyDescent="0.25">
      <c r="A623" s="7" t="s">
        <v>34</v>
      </c>
      <c r="B623" s="7">
        <v>2020</v>
      </c>
      <c r="C623" s="7" t="s">
        <v>68</v>
      </c>
      <c r="D623" s="7" t="s">
        <v>72</v>
      </c>
      <c r="E623" s="7" t="s">
        <v>74</v>
      </c>
      <c r="F623" s="7" t="s">
        <v>75</v>
      </c>
      <c r="G623" s="7" t="s">
        <v>64</v>
      </c>
      <c r="H623" s="7" t="s">
        <v>25</v>
      </c>
      <c r="I623" s="7" t="s">
        <v>76</v>
      </c>
      <c r="J623" s="7">
        <v>142</v>
      </c>
      <c r="K623" s="7">
        <v>203.06</v>
      </c>
      <c r="N623" s="4">
        <v>2023</v>
      </c>
      <c r="O623" s="4" t="s">
        <v>67</v>
      </c>
      <c r="P623" s="4" t="s">
        <v>43</v>
      </c>
      <c r="Q623" s="13" t="s">
        <v>48</v>
      </c>
      <c r="R623" s="15">
        <v>345</v>
      </c>
      <c r="S623" s="15">
        <v>7000</v>
      </c>
      <c r="T623" s="15">
        <v>7840</v>
      </c>
      <c r="U623" s="9">
        <v>1400</v>
      </c>
      <c r="V623" s="10" t="s">
        <v>30</v>
      </c>
    </row>
    <row r="624" spans="1:22" ht="18" customHeight="1" x14ac:dyDescent="0.25">
      <c r="A624" s="7" t="s">
        <v>34</v>
      </c>
      <c r="B624" s="7">
        <v>2020</v>
      </c>
      <c r="C624" s="7" t="s">
        <v>68</v>
      </c>
      <c r="D624" s="7" t="s">
        <v>72</v>
      </c>
      <c r="E624" s="7" t="s">
        <v>74</v>
      </c>
      <c r="F624" s="7" t="s">
        <v>75</v>
      </c>
      <c r="G624" s="7" t="s">
        <v>64</v>
      </c>
      <c r="H624" s="7" t="s">
        <v>25</v>
      </c>
      <c r="I624" s="7" t="s">
        <v>76</v>
      </c>
      <c r="J624" s="7">
        <v>190</v>
      </c>
      <c r="K624" s="7">
        <v>271.7</v>
      </c>
      <c r="N624" s="4">
        <v>2023</v>
      </c>
      <c r="O624" s="4" t="s">
        <v>67</v>
      </c>
      <c r="P624" s="4" t="s">
        <v>36</v>
      </c>
      <c r="Q624" s="8" t="s">
        <v>49</v>
      </c>
      <c r="R624" s="9">
        <v>122</v>
      </c>
      <c r="S624" s="9">
        <v>100</v>
      </c>
      <c r="T624" s="9">
        <v>112</v>
      </c>
      <c r="U624" s="9">
        <v>20</v>
      </c>
      <c r="V624" s="10" t="s">
        <v>30</v>
      </c>
    </row>
    <row r="625" spans="1:22" ht="18" customHeight="1" x14ac:dyDescent="0.25">
      <c r="A625" s="7" t="s">
        <v>19</v>
      </c>
      <c r="B625" s="7">
        <v>2020</v>
      </c>
      <c r="C625" s="7" t="s">
        <v>68</v>
      </c>
      <c r="D625" s="7" t="s">
        <v>72</v>
      </c>
      <c r="E625" s="7" t="s">
        <v>74</v>
      </c>
      <c r="F625" s="7" t="s">
        <v>75</v>
      </c>
      <c r="G625" s="7" t="s">
        <v>64</v>
      </c>
      <c r="H625" s="7" t="s">
        <v>25</v>
      </c>
      <c r="I625" s="7" t="s">
        <v>76</v>
      </c>
      <c r="J625" s="7">
        <v>364</v>
      </c>
      <c r="K625" s="7">
        <v>520.52</v>
      </c>
      <c r="N625" s="4">
        <v>2023</v>
      </c>
      <c r="O625" s="4" t="s">
        <v>67</v>
      </c>
      <c r="P625" s="4" t="s">
        <v>50</v>
      </c>
      <c r="Q625" s="13" t="s">
        <v>51</v>
      </c>
      <c r="R625" s="14">
        <v>78</v>
      </c>
      <c r="S625" s="14">
        <v>2288.6</v>
      </c>
      <c r="T625" s="14">
        <v>5126.4639999999999</v>
      </c>
      <c r="U625" s="9">
        <v>457.72</v>
      </c>
      <c r="V625" s="10" t="s">
        <v>30</v>
      </c>
    </row>
    <row r="626" spans="1:22" ht="18" customHeight="1" x14ac:dyDescent="0.25">
      <c r="A626" s="7" t="s">
        <v>19</v>
      </c>
      <c r="B626" s="7">
        <v>2020</v>
      </c>
      <c r="C626" s="7" t="s">
        <v>68</v>
      </c>
      <c r="D626" s="7" t="s">
        <v>72</v>
      </c>
      <c r="E626" s="7" t="s">
        <v>74</v>
      </c>
      <c r="F626" s="7" t="s">
        <v>75</v>
      </c>
      <c r="G626" s="7" t="s">
        <v>64</v>
      </c>
      <c r="H626" s="7" t="s">
        <v>25</v>
      </c>
      <c r="I626" s="7" t="s">
        <v>76</v>
      </c>
      <c r="J626" s="7">
        <v>815</v>
      </c>
      <c r="K626" s="7">
        <v>1165.45</v>
      </c>
      <c r="N626" s="4">
        <v>2023</v>
      </c>
      <c r="O626" s="4" t="s">
        <v>67</v>
      </c>
      <c r="P626" s="4" t="s">
        <v>50</v>
      </c>
      <c r="Q626" s="13" t="s">
        <v>52</v>
      </c>
      <c r="R626" s="14">
        <v>76</v>
      </c>
      <c r="S626" s="14">
        <v>2288.4499999999998</v>
      </c>
      <c r="T626" s="14">
        <v>5126.1279999999997</v>
      </c>
      <c r="U626" s="9">
        <v>457.69</v>
      </c>
      <c r="V626" s="10" t="s">
        <v>30</v>
      </c>
    </row>
    <row r="627" spans="1:22" ht="18" customHeight="1" x14ac:dyDescent="0.25">
      <c r="A627" s="7" t="s">
        <v>42</v>
      </c>
      <c r="B627" s="7">
        <v>2020</v>
      </c>
      <c r="C627" s="7" t="s">
        <v>68</v>
      </c>
      <c r="D627" s="7" t="s">
        <v>72</v>
      </c>
      <c r="E627" s="7" t="s">
        <v>74</v>
      </c>
      <c r="F627" s="7" t="s">
        <v>75</v>
      </c>
      <c r="G627" s="7" t="s">
        <v>64</v>
      </c>
      <c r="H627" s="7" t="s">
        <v>25</v>
      </c>
      <c r="I627" s="7" t="s">
        <v>76</v>
      </c>
      <c r="J627" s="7">
        <v>848</v>
      </c>
      <c r="K627" s="7">
        <v>1212.6399999999999</v>
      </c>
      <c r="N627" s="4">
        <v>2023</v>
      </c>
      <c r="O627" s="4" t="s">
        <v>67</v>
      </c>
      <c r="P627" s="4" t="s">
        <v>50</v>
      </c>
      <c r="Q627" s="13" t="s">
        <v>54</v>
      </c>
      <c r="R627" s="14">
        <v>46</v>
      </c>
      <c r="S627" s="14">
        <v>100</v>
      </c>
      <c r="T627" s="14">
        <v>224</v>
      </c>
      <c r="U627" s="9">
        <v>20</v>
      </c>
      <c r="V627" s="10" t="s">
        <v>30</v>
      </c>
    </row>
    <row r="628" spans="1:22" ht="18" customHeight="1" x14ac:dyDescent="0.25">
      <c r="A628" s="7" t="s">
        <v>19</v>
      </c>
      <c r="B628" s="7">
        <v>2020</v>
      </c>
      <c r="C628" s="7" t="s">
        <v>68</v>
      </c>
      <c r="D628" s="7" t="s">
        <v>72</v>
      </c>
      <c r="E628" s="7" t="s">
        <v>74</v>
      </c>
      <c r="F628" s="7" t="s">
        <v>75</v>
      </c>
      <c r="G628" s="7" t="s">
        <v>64</v>
      </c>
      <c r="H628" s="7" t="s">
        <v>25</v>
      </c>
      <c r="I628" s="7" t="s">
        <v>76</v>
      </c>
      <c r="J628" s="7">
        <v>901</v>
      </c>
      <c r="K628" s="7">
        <v>1288.43</v>
      </c>
      <c r="N628" s="4">
        <v>2023</v>
      </c>
      <c r="O628" s="4" t="s">
        <v>67</v>
      </c>
      <c r="P628" s="4" t="s">
        <v>50</v>
      </c>
      <c r="Q628" s="13" t="s">
        <v>55</v>
      </c>
      <c r="R628" s="14">
        <v>34</v>
      </c>
      <c r="S628" s="14">
        <v>2288.4</v>
      </c>
      <c r="T628" s="14">
        <v>5126.0160000000005</v>
      </c>
      <c r="U628" s="9">
        <v>457.68000000000006</v>
      </c>
      <c r="V628" s="10" t="s">
        <v>30</v>
      </c>
    </row>
    <row r="629" spans="1:22" ht="18" customHeight="1" x14ac:dyDescent="0.25">
      <c r="A629" s="7" t="s">
        <v>19</v>
      </c>
      <c r="B629" s="7">
        <v>2020</v>
      </c>
      <c r="C629" s="7" t="s">
        <v>68</v>
      </c>
      <c r="D629" s="7" t="s">
        <v>72</v>
      </c>
      <c r="E629" s="7" t="s">
        <v>74</v>
      </c>
      <c r="F629" s="7" t="s">
        <v>75</v>
      </c>
      <c r="G629" s="7" t="s">
        <v>64</v>
      </c>
      <c r="H629" s="7" t="s">
        <v>25</v>
      </c>
      <c r="I629" s="7" t="s">
        <v>76</v>
      </c>
      <c r="J629" s="7">
        <v>854</v>
      </c>
      <c r="K629" s="7">
        <v>526.24</v>
      </c>
      <c r="N629" s="4">
        <v>2023</v>
      </c>
      <c r="O629" s="4" t="s">
        <v>67</v>
      </c>
      <c r="P629" s="4" t="s">
        <v>36</v>
      </c>
      <c r="Q629" s="8" t="s">
        <v>56</v>
      </c>
      <c r="R629" s="9">
        <v>7</v>
      </c>
      <c r="S629" s="9">
        <v>200</v>
      </c>
      <c r="T629" s="9">
        <v>224</v>
      </c>
      <c r="U629" s="9">
        <v>40</v>
      </c>
      <c r="V629" s="10" t="s">
        <v>30</v>
      </c>
    </row>
    <row r="630" spans="1:22" ht="18" customHeight="1" x14ac:dyDescent="0.25">
      <c r="A630" s="7" t="s">
        <v>34</v>
      </c>
      <c r="B630" s="7">
        <v>2020</v>
      </c>
      <c r="C630" s="7" t="s">
        <v>68</v>
      </c>
      <c r="D630" s="7" t="s">
        <v>72</v>
      </c>
      <c r="E630" s="7" t="s">
        <v>74</v>
      </c>
      <c r="F630" s="7" t="s">
        <v>75</v>
      </c>
      <c r="G630" s="7" t="s">
        <v>64</v>
      </c>
      <c r="H630" s="7" t="s">
        <v>25</v>
      </c>
      <c r="I630" s="7" t="s">
        <v>76</v>
      </c>
      <c r="J630" s="7">
        <v>189</v>
      </c>
      <c r="K630" s="7">
        <v>526.24</v>
      </c>
      <c r="N630" s="4">
        <v>2023</v>
      </c>
      <c r="O630" s="4" t="s">
        <v>67</v>
      </c>
      <c r="P630" s="4" t="s">
        <v>57</v>
      </c>
      <c r="Q630" s="13" t="s">
        <v>57</v>
      </c>
      <c r="R630" s="14">
        <v>3</v>
      </c>
      <c r="S630" s="14">
        <v>4577.3</v>
      </c>
      <c r="T630" s="14">
        <v>7392</v>
      </c>
      <c r="U630" s="9">
        <v>915.46</v>
      </c>
      <c r="V630" s="10" t="s">
        <v>63</v>
      </c>
    </row>
    <row r="631" spans="1:22" ht="18" customHeight="1" x14ac:dyDescent="0.25">
      <c r="A631" s="7" t="s">
        <v>19</v>
      </c>
      <c r="B631" s="7">
        <v>2020</v>
      </c>
      <c r="C631" s="7" t="s">
        <v>68</v>
      </c>
      <c r="D631" s="7" t="s">
        <v>72</v>
      </c>
      <c r="E631" s="7" t="s">
        <v>74</v>
      </c>
      <c r="F631" s="7" t="s">
        <v>75</v>
      </c>
      <c r="G631" s="7" t="s">
        <v>64</v>
      </c>
      <c r="H631" s="7" t="s">
        <v>25</v>
      </c>
      <c r="I631" s="7" t="s">
        <v>76</v>
      </c>
      <c r="J631" s="7">
        <v>363</v>
      </c>
      <c r="K631" s="7">
        <v>519.09</v>
      </c>
      <c r="N631" s="4">
        <v>2023</v>
      </c>
      <c r="O631" s="4" t="s">
        <v>67</v>
      </c>
      <c r="P631" s="4" t="s">
        <v>50</v>
      </c>
      <c r="Q631" s="13" t="s">
        <v>58</v>
      </c>
      <c r="R631" s="14">
        <v>3</v>
      </c>
      <c r="S631" s="14">
        <v>2288.65</v>
      </c>
      <c r="T631" s="14">
        <v>5126.576</v>
      </c>
      <c r="U631" s="9">
        <v>457.73</v>
      </c>
      <c r="V631" s="10" t="s">
        <v>63</v>
      </c>
    </row>
    <row r="632" spans="1:22" ht="18" customHeight="1" x14ac:dyDescent="0.25">
      <c r="A632" s="7" t="s">
        <v>19</v>
      </c>
      <c r="B632" s="7">
        <v>2020</v>
      </c>
      <c r="C632" s="7" t="s">
        <v>68</v>
      </c>
      <c r="D632" s="7" t="s">
        <v>72</v>
      </c>
      <c r="E632" s="7" t="s">
        <v>74</v>
      </c>
      <c r="F632" s="7" t="s">
        <v>75</v>
      </c>
      <c r="G632" s="7" t="s">
        <v>64</v>
      </c>
      <c r="H632" s="7" t="s">
        <v>25</v>
      </c>
      <c r="I632" s="7" t="s">
        <v>76</v>
      </c>
      <c r="J632" s="7">
        <v>145</v>
      </c>
      <c r="K632" s="7">
        <v>207.35</v>
      </c>
      <c r="N632" s="4">
        <v>2023</v>
      </c>
      <c r="O632" s="4" t="s">
        <v>68</v>
      </c>
      <c r="P632" s="4" t="s">
        <v>28</v>
      </c>
      <c r="Q632" s="8" t="s">
        <v>29</v>
      </c>
      <c r="R632" s="9">
        <v>3566</v>
      </c>
      <c r="S632" s="9">
        <v>4577.3</v>
      </c>
      <c r="T632" s="9">
        <v>5126.576</v>
      </c>
      <c r="U632" s="9">
        <v>915.46</v>
      </c>
      <c r="V632" s="10" t="s">
        <v>63</v>
      </c>
    </row>
    <row r="633" spans="1:22" ht="18" customHeight="1" x14ac:dyDescent="0.25">
      <c r="A633" s="7" t="s">
        <v>19</v>
      </c>
      <c r="B633" s="7">
        <v>2020</v>
      </c>
      <c r="C633" s="7" t="s">
        <v>68</v>
      </c>
      <c r="D633" s="7" t="s">
        <v>72</v>
      </c>
      <c r="E633" s="7" t="s">
        <v>74</v>
      </c>
      <c r="F633" s="7" t="s">
        <v>75</v>
      </c>
      <c r="G633" s="7" t="s">
        <v>64</v>
      </c>
      <c r="H633" s="7" t="s">
        <v>25</v>
      </c>
      <c r="I633" s="7" t="s">
        <v>76</v>
      </c>
      <c r="J633" s="7">
        <v>193</v>
      </c>
      <c r="K633" s="7">
        <v>275.99</v>
      </c>
      <c r="N633" s="4">
        <v>2023</v>
      </c>
      <c r="O633" s="4" t="s">
        <v>68</v>
      </c>
      <c r="P633" s="4" t="s">
        <v>28</v>
      </c>
      <c r="Q633" s="8" t="s">
        <v>32</v>
      </c>
      <c r="R633" s="9">
        <v>2498</v>
      </c>
      <c r="S633" s="9">
        <v>8000</v>
      </c>
      <c r="T633" s="9">
        <v>8960</v>
      </c>
      <c r="U633" s="9">
        <v>1600</v>
      </c>
      <c r="V633" s="10" t="s">
        <v>63</v>
      </c>
    </row>
    <row r="634" spans="1:22" ht="18" customHeight="1" x14ac:dyDescent="0.25">
      <c r="A634" s="7" t="s">
        <v>34</v>
      </c>
      <c r="B634" s="7">
        <v>2020</v>
      </c>
      <c r="C634" s="7" t="s">
        <v>68</v>
      </c>
      <c r="D634" s="7" t="s">
        <v>72</v>
      </c>
      <c r="E634" s="7" t="s">
        <v>74</v>
      </c>
      <c r="F634" s="7" t="s">
        <v>75</v>
      </c>
      <c r="G634" s="7" t="s">
        <v>64</v>
      </c>
      <c r="H634" s="7" t="s">
        <v>25</v>
      </c>
      <c r="I634" s="7" t="s">
        <v>76</v>
      </c>
      <c r="J634" s="7">
        <v>361</v>
      </c>
      <c r="K634" s="7">
        <v>516.23</v>
      </c>
      <c r="N634" s="4">
        <v>2023</v>
      </c>
      <c r="O634" s="4" t="s">
        <v>68</v>
      </c>
      <c r="P634" s="4" t="s">
        <v>36</v>
      </c>
      <c r="Q634" s="8" t="s">
        <v>37</v>
      </c>
      <c r="R634" s="9">
        <v>1245</v>
      </c>
      <c r="S634" s="9">
        <v>4577.2</v>
      </c>
      <c r="T634" s="9">
        <v>5126.4639999999999</v>
      </c>
      <c r="U634" s="9">
        <v>915.44</v>
      </c>
      <c r="V634" s="10" t="s">
        <v>63</v>
      </c>
    </row>
    <row r="635" spans="1:22" ht="18" customHeight="1" x14ac:dyDescent="0.25">
      <c r="A635" s="7" t="s">
        <v>19</v>
      </c>
      <c r="B635" s="7">
        <v>2020</v>
      </c>
      <c r="C635" s="7" t="s">
        <v>68</v>
      </c>
      <c r="D635" s="7" t="s">
        <v>72</v>
      </c>
      <c r="E635" s="7" t="s">
        <v>74</v>
      </c>
      <c r="F635" s="7" t="s">
        <v>75</v>
      </c>
      <c r="G635" s="7" t="s">
        <v>64</v>
      </c>
      <c r="H635" s="7" t="s">
        <v>25</v>
      </c>
      <c r="I635" s="7" t="s">
        <v>76</v>
      </c>
      <c r="J635" s="7">
        <v>824</v>
      </c>
      <c r="K635" s="7">
        <v>1178.32</v>
      </c>
      <c r="N635" s="4">
        <v>2023</v>
      </c>
      <c r="O635" s="4" t="s">
        <v>68</v>
      </c>
      <c r="P635" s="4" t="s">
        <v>39</v>
      </c>
      <c r="Q635" s="13" t="s">
        <v>40</v>
      </c>
      <c r="R635" s="14">
        <v>644</v>
      </c>
      <c r="S635" s="14">
        <v>5743.5</v>
      </c>
      <c r="T635" s="14">
        <v>6432.72</v>
      </c>
      <c r="U635" s="9">
        <v>1148.7</v>
      </c>
      <c r="V635" s="10" t="s">
        <v>63</v>
      </c>
    </row>
    <row r="636" spans="1:22" ht="18" customHeight="1" x14ac:dyDescent="0.25">
      <c r="A636" s="7" t="s">
        <v>34</v>
      </c>
      <c r="B636" s="7">
        <v>2020</v>
      </c>
      <c r="C636" s="7" t="s">
        <v>68</v>
      </c>
      <c r="D636" s="7" t="s">
        <v>72</v>
      </c>
      <c r="E636" s="7" t="s">
        <v>74</v>
      </c>
      <c r="F636" s="7" t="s">
        <v>75</v>
      </c>
      <c r="G636" s="7" t="s">
        <v>64</v>
      </c>
      <c r="H636" s="7" t="s">
        <v>25</v>
      </c>
      <c r="I636" s="7" t="s">
        <v>76</v>
      </c>
      <c r="J636" s="7">
        <v>857</v>
      </c>
      <c r="K636" s="7">
        <v>1225.51</v>
      </c>
      <c r="N636" s="4">
        <v>2023</v>
      </c>
      <c r="O636" s="4" t="s">
        <v>68</v>
      </c>
      <c r="P636" s="4" t="s">
        <v>43</v>
      </c>
      <c r="Q636" s="13" t="s">
        <v>44</v>
      </c>
      <c r="R636" s="14">
        <v>643</v>
      </c>
      <c r="S636" s="14">
        <v>7000</v>
      </c>
      <c r="T636" s="14">
        <v>7840</v>
      </c>
      <c r="U636" s="9">
        <v>1400</v>
      </c>
      <c r="V636" s="10" t="s">
        <v>63</v>
      </c>
    </row>
    <row r="637" spans="1:22" ht="18" customHeight="1" x14ac:dyDescent="0.25">
      <c r="A637" s="7" t="s">
        <v>34</v>
      </c>
      <c r="B637" s="7">
        <v>2020</v>
      </c>
      <c r="C637" s="7" t="s">
        <v>68</v>
      </c>
      <c r="D637" s="7" t="s">
        <v>72</v>
      </c>
      <c r="E637" s="7" t="s">
        <v>74</v>
      </c>
      <c r="F637" s="7" t="s">
        <v>75</v>
      </c>
      <c r="G637" s="7" t="s">
        <v>64</v>
      </c>
      <c r="H637" s="7" t="s">
        <v>25</v>
      </c>
      <c r="I637" s="7" t="s">
        <v>76</v>
      </c>
      <c r="J637" s="7">
        <v>365</v>
      </c>
      <c r="K637" s="7">
        <v>521.95000000000005</v>
      </c>
      <c r="N637" s="4">
        <v>2023</v>
      </c>
      <c r="O637" s="4" t="s">
        <v>68</v>
      </c>
      <c r="P637" s="4" t="s">
        <v>39</v>
      </c>
      <c r="Q637" s="13" t="s">
        <v>46</v>
      </c>
      <c r="R637" s="14">
        <v>455</v>
      </c>
      <c r="S637" s="14">
        <v>4578.6000000000004</v>
      </c>
      <c r="T637" s="14">
        <v>5128.0320000000002</v>
      </c>
      <c r="U637" s="9">
        <v>915.72000000000014</v>
      </c>
      <c r="V637" s="10" t="s">
        <v>63</v>
      </c>
    </row>
    <row r="638" spans="1:22" ht="18" customHeight="1" x14ac:dyDescent="0.25">
      <c r="A638" s="7" t="s">
        <v>34</v>
      </c>
      <c r="B638" s="7">
        <v>2020</v>
      </c>
      <c r="C638" s="7" t="s">
        <v>67</v>
      </c>
      <c r="D638" s="7" t="s">
        <v>72</v>
      </c>
      <c r="E638" s="7" t="s">
        <v>74</v>
      </c>
      <c r="F638" s="7" t="s">
        <v>75</v>
      </c>
      <c r="G638" s="7" t="s">
        <v>64</v>
      </c>
      <c r="H638" s="7" t="s">
        <v>25</v>
      </c>
      <c r="I638" s="7" t="s">
        <v>76</v>
      </c>
      <c r="J638" s="7">
        <v>152</v>
      </c>
      <c r="K638" s="7">
        <v>217.36</v>
      </c>
      <c r="N638" s="4">
        <v>2023</v>
      </c>
      <c r="O638" s="4" t="s">
        <v>68</v>
      </c>
      <c r="P638" s="4" t="s">
        <v>43</v>
      </c>
      <c r="Q638" s="13" t="s">
        <v>48</v>
      </c>
      <c r="R638" s="15">
        <v>345</v>
      </c>
      <c r="S638" s="15">
        <v>7000</v>
      </c>
      <c r="T638" s="15">
        <v>7840</v>
      </c>
      <c r="U638" s="9">
        <v>1400</v>
      </c>
      <c r="V638" s="10" t="s">
        <v>63</v>
      </c>
    </row>
    <row r="639" spans="1:22" ht="18" customHeight="1" x14ac:dyDescent="0.25">
      <c r="A639" s="7" t="s">
        <v>34</v>
      </c>
      <c r="B639" s="7">
        <v>2020</v>
      </c>
      <c r="C639" s="7" t="s">
        <v>67</v>
      </c>
      <c r="D639" s="7" t="s">
        <v>72</v>
      </c>
      <c r="E639" s="7" t="s">
        <v>74</v>
      </c>
      <c r="F639" s="7" t="s">
        <v>75</v>
      </c>
      <c r="G639" s="7" t="s">
        <v>64</v>
      </c>
      <c r="H639" s="7" t="s">
        <v>25</v>
      </c>
      <c r="I639" s="7" t="s">
        <v>76</v>
      </c>
      <c r="J639" s="7">
        <v>194</v>
      </c>
      <c r="K639" s="7">
        <v>277.42</v>
      </c>
      <c r="N639" s="4">
        <v>2023</v>
      </c>
      <c r="O639" s="4" t="s">
        <v>68</v>
      </c>
      <c r="P639" s="4" t="s">
        <v>36</v>
      </c>
      <c r="Q639" s="8" t="s">
        <v>49</v>
      </c>
      <c r="R639" s="9">
        <v>122</v>
      </c>
      <c r="S639" s="9">
        <v>100</v>
      </c>
      <c r="T639" s="9">
        <v>112</v>
      </c>
      <c r="U639" s="9">
        <v>20</v>
      </c>
      <c r="V639" s="10" t="s">
        <v>63</v>
      </c>
    </row>
    <row r="640" spans="1:22" ht="18" customHeight="1" x14ac:dyDescent="0.25">
      <c r="A640" s="7" t="s">
        <v>61</v>
      </c>
      <c r="B640" s="7">
        <v>2020</v>
      </c>
      <c r="C640" s="7" t="s">
        <v>67</v>
      </c>
      <c r="D640" s="7" t="s">
        <v>72</v>
      </c>
      <c r="E640" s="7" t="s">
        <v>74</v>
      </c>
      <c r="F640" s="7" t="s">
        <v>75</v>
      </c>
      <c r="G640" s="7" t="s">
        <v>64</v>
      </c>
      <c r="H640" s="7" t="s">
        <v>25</v>
      </c>
      <c r="I640" s="7" t="s">
        <v>76</v>
      </c>
      <c r="J640" s="7">
        <v>368</v>
      </c>
      <c r="K640" s="7">
        <v>526.24</v>
      </c>
      <c r="N640" s="4">
        <v>2023</v>
      </c>
      <c r="O640" s="4" t="s">
        <v>68</v>
      </c>
      <c r="P640" s="4" t="s">
        <v>50</v>
      </c>
      <c r="Q640" s="13" t="s">
        <v>51</v>
      </c>
      <c r="R640" s="14">
        <v>78</v>
      </c>
      <c r="S640" s="14">
        <v>2288.6</v>
      </c>
      <c r="T640" s="14">
        <v>5126.4639999999999</v>
      </c>
      <c r="U640" s="9">
        <v>457.72</v>
      </c>
      <c r="V640" s="10" t="s">
        <v>63</v>
      </c>
    </row>
    <row r="641" spans="1:22" ht="18" customHeight="1" x14ac:dyDescent="0.25">
      <c r="A641" s="7" t="s">
        <v>42</v>
      </c>
      <c r="B641" s="7">
        <v>2020</v>
      </c>
      <c r="C641" s="7" t="s">
        <v>67</v>
      </c>
      <c r="D641" s="7" t="s">
        <v>72</v>
      </c>
      <c r="E641" s="7" t="s">
        <v>74</v>
      </c>
      <c r="F641" s="7" t="s">
        <v>75</v>
      </c>
      <c r="G641" s="7" t="s">
        <v>64</v>
      </c>
      <c r="H641" s="7" t="s">
        <v>25</v>
      </c>
      <c r="I641" s="7" t="s">
        <v>76</v>
      </c>
      <c r="J641" s="7">
        <v>148</v>
      </c>
      <c r="K641" s="7">
        <v>211.64</v>
      </c>
      <c r="N641" s="4">
        <v>2023</v>
      </c>
      <c r="O641" s="4" t="s">
        <v>68</v>
      </c>
      <c r="P641" s="4" t="s">
        <v>50</v>
      </c>
      <c r="Q641" s="13" t="s">
        <v>52</v>
      </c>
      <c r="R641" s="14">
        <v>76</v>
      </c>
      <c r="S641" s="14">
        <v>2288.4499999999998</v>
      </c>
      <c r="T641" s="14">
        <v>5126.1279999999997</v>
      </c>
      <c r="U641" s="9">
        <v>457.69</v>
      </c>
      <c r="V641" s="10" t="s">
        <v>63</v>
      </c>
    </row>
    <row r="642" spans="1:22" ht="18" customHeight="1" x14ac:dyDescent="0.25">
      <c r="A642" s="7" t="s">
        <v>34</v>
      </c>
      <c r="B642" s="7">
        <v>2020</v>
      </c>
      <c r="C642" s="7" t="s">
        <v>67</v>
      </c>
      <c r="D642" s="7" t="s">
        <v>72</v>
      </c>
      <c r="E642" s="7" t="s">
        <v>74</v>
      </c>
      <c r="F642" s="7" t="s">
        <v>75</v>
      </c>
      <c r="G642" s="7" t="s">
        <v>64</v>
      </c>
      <c r="H642" s="7" t="s">
        <v>25</v>
      </c>
      <c r="I642" s="7" t="s">
        <v>76</v>
      </c>
      <c r="J642" s="7">
        <v>196</v>
      </c>
      <c r="K642" s="7">
        <v>280.27999999999997</v>
      </c>
      <c r="N642" s="4">
        <v>2023</v>
      </c>
      <c r="O642" s="4" t="s">
        <v>68</v>
      </c>
      <c r="P642" s="4" t="s">
        <v>50</v>
      </c>
      <c r="Q642" s="13" t="s">
        <v>54</v>
      </c>
      <c r="R642" s="14">
        <v>46</v>
      </c>
      <c r="S642" s="14">
        <v>100</v>
      </c>
      <c r="T642" s="14">
        <v>224</v>
      </c>
      <c r="U642" s="9">
        <v>20</v>
      </c>
      <c r="V642" s="10" t="s">
        <v>63</v>
      </c>
    </row>
    <row r="643" spans="1:22" ht="18" customHeight="1" x14ac:dyDescent="0.25">
      <c r="A643" s="7" t="s">
        <v>61</v>
      </c>
      <c r="B643" s="7">
        <v>2020</v>
      </c>
      <c r="C643" s="7" t="s">
        <v>67</v>
      </c>
      <c r="D643" s="7" t="s">
        <v>72</v>
      </c>
      <c r="E643" s="7" t="s">
        <v>74</v>
      </c>
      <c r="F643" s="7" t="s">
        <v>75</v>
      </c>
      <c r="G643" s="7" t="s">
        <v>64</v>
      </c>
      <c r="H643" s="7" t="s">
        <v>25</v>
      </c>
      <c r="I643" s="7" t="s">
        <v>76</v>
      </c>
      <c r="J643" s="7">
        <v>370</v>
      </c>
      <c r="K643" s="7">
        <v>529.1</v>
      </c>
      <c r="N643" s="4">
        <v>2023</v>
      </c>
      <c r="O643" s="4" t="s">
        <v>68</v>
      </c>
      <c r="P643" s="4" t="s">
        <v>50</v>
      </c>
      <c r="Q643" s="13" t="s">
        <v>55</v>
      </c>
      <c r="R643" s="14">
        <v>34</v>
      </c>
      <c r="S643" s="14">
        <v>2288.4</v>
      </c>
      <c r="T643" s="14">
        <v>5126.0160000000005</v>
      </c>
      <c r="U643" s="9">
        <v>457.68000000000006</v>
      </c>
      <c r="V643" s="10" t="s">
        <v>63</v>
      </c>
    </row>
    <row r="644" spans="1:22" ht="18" customHeight="1" x14ac:dyDescent="0.25">
      <c r="A644" s="7" t="s">
        <v>34</v>
      </c>
      <c r="B644" s="7">
        <v>2020</v>
      </c>
      <c r="C644" s="7" t="s">
        <v>67</v>
      </c>
      <c r="D644" s="7" t="s">
        <v>72</v>
      </c>
      <c r="E644" s="7" t="s">
        <v>74</v>
      </c>
      <c r="F644" s="7" t="s">
        <v>75</v>
      </c>
      <c r="G644" s="7" t="s">
        <v>64</v>
      </c>
      <c r="H644" s="7" t="s">
        <v>25</v>
      </c>
      <c r="I644" s="7" t="s">
        <v>76</v>
      </c>
      <c r="J644" s="7">
        <v>814</v>
      </c>
      <c r="K644" s="7">
        <v>1164.02</v>
      </c>
      <c r="N644" s="4">
        <v>2023</v>
      </c>
      <c r="O644" s="4" t="s">
        <v>68</v>
      </c>
      <c r="P644" s="4" t="s">
        <v>36</v>
      </c>
      <c r="Q644" s="8" t="s">
        <v>56</v>
      </c>
      <c r="R644" s="9">
        <v>7</v>
      </c>
      <c r="S644" s="9">
        <v>200</v>
      </c>
      <c r="T644" s="9">
        <v>224</v>
      </c>
      <c r="U644" s="9">
        <v>40</v>
      </c>
      <c r="V644" s="10" t="s">
        <v>63</v>
      </c>
    </row>
    <row r="645" spans="1:22" ht="18" customHeight="1" x14ac:dyDescent="0.25">
      <c r="A645" s="7" t="s">
        <v>19</v>
      </c>
      <c r="B645" s="7">
        <v>2020</v>
      </c>
      <c r="C645" s="7" t="s">
        <v>67</v>
      </c>
      <c r="D645" s="7" t="s">
        <v>72</v>
      </c>
      <c r="E645" s="7" t="s">
        <v>74</v>
      </c>
      <c r="F645" s="7" t="s">
        <v>75</v>
      </c>
      <c r="G645" s="7" t="s">
        <v>64</v>
      </c>
      <c r="H645" s="7" t="s">
        <v>25</v>
      </c>
      <c r="I645" s="7" t="s">
        <v>76</v>
      </c>
      <c r="J645" s="7">
        <v>847</v>
      </c>
      <c r="K645" s="7">
        <v>1211.21</v>
      </c>
      <c r="N645" s="4">
        <v>2023</v>
      </c>
      <c r="O645" s="4" t="s">
        <v>68</v>
      </c>
      <c r="P645" s="4" t="s">
        <v>50</v>
      </c>
      <c r="Q645" s="13" t="s">
        <v>58</v>
      </c>
      <c r="R645" s="14">
        <v>3</v>
      </c>
      <c r="S645" s="14">
        <v>2288.65</v>
      </c>
      <c r="T645" s="14">
        <v>5126.576</v>
      </c>
      <c r="U645" s="9">
        <v>457.73</v>
      </c>
      <c r="V645" s="10" t="s">
        <v>63</v>
      </c>
    </row>
    <row r="646" spans="1:22" ht="18" customHeight="1" x14ac:dyDescent="0.25">
      <c r="A646" s="7" t="s">
        <v>42</v>
      </c>
      <c r="B646" s="7">
        <v>2020</v>
      </c>
      <c r="C646" s="7" t="s">
        <v>67</v>
      </c>
      <c r="D646" s="7" t="s">
        <v>72</v>
      </c>
      <c r="E646" s="7" t="s">
        <v>74</v>
      </c>
      <c r="F646" s="7" t="s">
        <v>75</v>
      </c>
      <c r="G646" s="7" t="s">
        <v>64</v>
      </c>
      <c r="H646" s="7" t="s">
        <v>25</v>
      </c>
      <c r="I646" s="7" t="s">
        <v>76</v>
      </c>
      <c r="J646" s="7">
        <v>195</v>
      </c>
      <c r="K646" s="7">
        <v>526.24</v>
      </c>
      <c r="N646" s="4">
        <v>2023</v>
      </c>
      <c r="O646" s="4" t="s">
        <v>68</v>
      </c>
      <c r="P646" s="4" t="s">
        <v>57</v>
      </c>
      <c r="Q646" s="13" t="s">
        <v>57</v>
      </c>
      <c r="R646" s="14">
        <v>2</v>
      </c>
      <c r="S646" s="14">
        <v>6600</v>
      </c>
      <c r="T646" s="14">
        <v>7392</v>
      </c>
      <c r="U646" s="9">
        <v>1320</v>
      </c>
      <c r="V646" s="10" t="s">
        <v>30</v>
      </c>
    </row>
    <row r="647" spans="1:22" ht="18" customHeight="1" x14ac:dyDescent="0.25">
      <c r="A647" s="7" t="s">
        <v>34</v>
      </c>
      <c r="B647" s="7">
        <v>2020</v>
      </c>
      <c r="C647" s="7" t="s">
        <v>67</v>
      </c>
      <c r="D647" s="7" t="s">
        <v>72</v>
      </c>
      <c r="E647" s="7" t="s">
        <v>74</v>
      </c>
      <c r="F647" s="7" t="s">
        <v>75</v>
      </c>
      <c r="G647" s="7" t="s">
        <v>64</v>
      </c>
      <c r="H647" s="7" t="s">
        <v>25</v>
      </c>
      <c r="I647" s="7" t="s">
        <v>76</v>
      </c>
      <c r="J647" s="7">
        <v>369</v>
      </c>
      <c r="K647" s="7">
        <v>527.66999999999996</v>
      </c>
      <c r="N647" s="4">
        <v>2023</v>
      </c>
      <c r="O647" s="4" t="s">
        <v>60</v>
      </c>
      <c r="P647" s="4" t="s">
        <v>28</v>
      </c>
      <c r="Q647" s="8" t="s">
        <v>29</v>
      </c>
      <c r="R647" s="9">
        <v>3566</v>
      </c>
      <c r="S647" s="9">
        <v>4577.3</v>
      </c>
      <c r="T647" s="9">
        <v>5126.576</v>
      </c>
      <c r="U647" s="9">
        <v>915.46</v>
      </c>
      <c r="V647" s="10" t="s">
        <v>30</v>
      </c>
    </row>
    <row r="648" spans="1:22" ht="18" customHeight="1" x14ac:dyDescent="0.25">
      <c r="A648" s="7" t="s">
        <v>61</v>
      </c>
      <c r="B648" s="7">
        <v>2020</v>
      </c>
      <c r="C648" s="7" t="s">
        <v>67</v>
      </c>
      <c r="D648" s="7" t="s">
        <v>72</v>
      </c>
      <c r="E648" s="7" t="s">
        <v>74</v>
      </c>
      <c r="F648" s="7" t="s">
        <v>75</v>
      </c>
      <c r="G648" s="7" t="s">
        <v>64</v>
      </c>
      <c r="H648" s="7" t="s">
        <v>25</v>
      </c>
      <c r="I648" s="7" t="s">
        <v>76</v>
      </c>
      <c r="J648" s="7">
        <v>151</v>
      </c>
      <c r="K648" s="7">
        <v>215.93</v>
      </c>
      <c r="N648" s="4">
        <v>2023</v>
      </c>
      <c r="O648" s="4" t="s">
        <v>60</v>
      </c>
      <c r="P648" s="4" t="s">
        <v>28</v>
      </c>
      <c r="Q648" s="8" t="s">
        <v>32</v>
      </c>
      <c r="R648" s="9">
        <v>2498</v>
      </c>
      <c r="S648" s="9">
        <v>8000</v>
      </c>
      <c r="T648" s="9">
        <v>8960</v>
      </c>
      <c r="U648" s="9">
        <v>1600</v>
      </c>
      <c r="V648" s="10" t="s">
        <v>30</v>
      </c>
    </row>
    <row r="649" spans="1:22" ht="18" customHeight="1" x14ac:dyDescent="0.25">
      <c r="A649" s="7" t="s">
        <v>34</v>
      </c>
      <c r="B649" s="7">
        <v>2020</v>
      </c>
      <c r="C649" s="7" t="s">
        <v>67</v>
      </c>
      <c r="D649" s="7" t="s">
        <v>72</v>
      </c>
      <c r="E649" s="7" t="s">
        <v>74</v>
      </c>
      <c r="F649" s="7" t="s">
        <v>75</v>
      </c>
      <c r="G649" s="7" t="s">
        <v>64</v>
      </c>
      <c r="H649" s="7" t="s">
        <v>25</v>
      </c>
      <c r="I649" s="7" t="s">
        <v>76</v>
      </c>
      <c r="J649" s="7">
        <v>199</v>
      </c>
      <c r="K649" s="7">
        <v>284.57</v>
      </c>
      <c r="N649" s="4">
        <v>2023</v>
      </c>
      <c r="O649" s="4" t="s">
        <v>60</v>
      </c>
      <c r="P649" s="4" t="s">
        <v>36</v>
      </c>
      <c r="Q649" s="8" t="s">
        <v>37</v>
      </c>
      <c r="R649" s="9">
        <v>1245</v>
      </c>
      <c r="S649" s="9">
        <v>4577.2</v>
      </c>
      <c r="T649" s="9">
        <v>5126.4639999999999</v>
      </c>
      <c r="U649" s="9">
        <v>915.44</v>
      </c>
      <c r="V649" s="10" t="s">
        <v>30</v>
      </c>
    </row>
    <row r="650" spans="1:22" ht="18" customHeight="1" x14ac:dyDescent="0.25">
      <c r="A650" s="7" t="s">
        <v>42</v>
      </c>
      <c r="B650" s="7">
        <v>2020</v>
      </c>
      <c r="C650" s="7" t="s">
        <v>67</v>
      </c>
      <c r="D650" s="7" t="s">
        <v>72</v>
      </c>
      <c r="E650" s="7" t="s">
        <v>74</v>
      </c>
      <c r="F650" s="7" t="s">
        <v>75</v>
      </c>
      <c r="G650" s="7" t="s">
        <v>64</v>
      </c>
      <c r="H650" s="7" t="s">
        <v>25</v>
      </c>
      <c r="I650" s="7" t="s">
        <v>76</v>
      </c>
      <c r="J650" s="7">
        <v>367</v>
      </c>
      <c r="K650" s="7">
        <v>524.80999999999995</v>
      </c>
      <c r="N650" s="4">
        <v>2023</v>
      </c>
      <c r="O650" s="4" t="s">
        <v>60</v>
      </c>
      <c r="P650" s="4" t="s">
        <v>39</v>
      </c>
      <c r="Q650" s="13" t="s">
        <v>40</v>
      </c>
      <c r="R650" s="14">
        <v>644</v>
      </c>
      <c r="S650" s="14">
        <v>5743.5</v>
      </c>
      <c r="T650" s="14">
        <v>6432.72</v>
      </c>
      <c r="U650" s="9">
        <v>1148.7</v>
      </c>
      <c r="V650" s="10" t="s">
        <v>30</v>
      </c>
    </row>
    <row r="651" spans="1:22" ht="18" customHeight="1" x14ac:dyDescent="0.25">
      <c r="A651" s="7" t="s">
        <v>61</v>
      </c>
      <c r="B651" s="7">
        <v>2020</v>
      </c>
      <c r="C651" s="7" t="s">
        <v>67</v>
      </c>
      <c r="D651" s="7" t="s">
        <v>72</v>
      </c>
      <c r="E651" s="7" t="s">
        <v>74</v>
      </c>
      <c r="F651" s="7" t="s">
        <v>75</v>
      </c>
      <c r="G651" s="7" t="s">
        <v>64</v>
      </c>
      <c r="H651" s="7" t="s">
        <v>25</v>
      </c>
      <c r="I651" s="7" t="s">
        <v>76</v>
      </c>
      <c r="J651" s="7">
        <v>823</v>
      </c>
      <c r="K651" s="7">
        <v>1176.8899999999999</v>
      </c>
      <c r="N651" s="4">
        <v>2023</v>
      </c>
      <c r="O651" s="4" t="s">
        <v>60</v>
      </c>
      <c r="P651" s="4" t="s">
        <v>43</v>
      </c>
      <c r="Q651" s="13" t="s">
        <v>44</v>
      </c>
      <c r="R651" s="14">
        <v>643</v>
      </c>
      <c r="S651" s="14">
        <v>7000</v>
      </c>
      <c r="T651" s="14">
        <v>7840</v>
      </c>
      <c r="U651" s="9">
        <v>1400</v>
      </c>
      <c r="V651" s="10" t="s">
        <v>63</v>
      </c>
    </row>
    <row r="652" spans="1:22" ht="18" customHeight="1" x14ac:dyDescent="0.25">
      <c r="A652" s="7" t="s">
        <v>19</v>
      </c>
      <c r="B652" s="7">
        <v>2020</v>
      </c>
      <c r="C652" s="7" t="s">
        <v>67</v>
      </c>
      <c r="D652" s="7" t="s">
        <v>72</v>
      </c>
      <c r="E652" s="7" t="s">
        <v>74</v>
      </c>
      <c r="F652" s="7" t="s">
        <v>75</v>
      </c>
      <c r="G652" s="7" t="s">
        <v>64</v>
      </c>
      <c r="H652" s="7" t="s">
        <v>25</v>
      </c>
      <c r="I652" s="7" t="s">
        <v>76</v>
      </c>
      <c r="J652" s="7">
        <v>856</v>
      </c>
      <c r="K652" s="7">
        <v>1224.08</v>
      </c>
      <c r="N652" s="4">
        <v>2023</v>
      </c>
      <c r="O652" s="4" t="s">
        <v>60</v>
      </c>
      <c r="P652" s="4" t="s">
        <v>39</v>
      </c>
      <c r="Q652" s="13" t="s">
        <v>46</v>
      </c>
      <c r="R652" s="14">
        <v>455</v>
      </c>
      <c r="S652" s="14">
        <v>5036.46</v>
      </c>
      <c r="T652" s="14">
        <v>5128.0320000000002</v>
      </c>
      <c r="U652" s="9">
        <v>1007.292</v>
      </c>
      <c r="V652" s="10" t="s">
        <v>63</v>
      </c>
    </row>
    <row r="653" spans="1:22" ht="18" customHeight="1" x14ac:dyDescent="0.25">
      <c r="A653" s="7" t="s">
        <v>34</v>
      </c>
      <c r="B653" s="7">
        <v>2020</v>
      </c>
      <c r="C653" s="7" t="s">
        <v>67</v>
      </c>
      <c r="D653" s="7" t="s">
        <v>72</v>
      </c>
      <c r="E653" s="7" t="s">
        <v>74</v>
      </c>
      <c r="F653" s="7" t="s">
        <v>75</v>
      </c>
      <c r="G653" s="7" t="s">
        <v>64</v>
      </c>
      <c r="H653" s="7" t="s">
        <v>25</v>
      </c>
      <c r="I653" s="7" t="s">
        <v>76</v>
      </c>
      <c r="J653" s="7">
        <v>371</v>
      </c>
      <c r="K653" s="7">
        <v>530.53</v>
      </c>
      <c r="N653" s="4">
        <v>2023</v>
      </c>
      <c r="O653" s="4" t="s">
        <v>60</v>
      </c>
      <c r="P653" s="4" t="s">
        <v>43</v>
      </c>
      <c r="Q653" s="13" t="s">
        <v>48</v>
      </c>
      <c r="R653" s="15">
        <v>345</v>
      </c>
      <c r="S653" s="15">
        <v>7700</v>
      </c>
      <c r="T653" s="15">
        <v>7840</v>
      </c>
      <c r="U653" s="9">
        <v>1540</v>
      </c>
      <c r="V653" s="10" t="s">
        <v>63</v>
      </c>
    </row>
    <row r="654" spans="1:22" ht="18" customHeight="1" x14ac:dyDescent="0.25">
      <c r="A654" s="7" t="s">
        <v>34</v>
      </c>
      <c r="B654" s="7">
        <v>2020</v>
      </c>
      <c r="C654" s="7" t="s">
        <v>62</v>
      </c>
      <c r="D654" s="7" t="s">
        <v>72</v>
      </c>
      <c r="E654" s="7" t="s">
        <v>74</v>
      </c>
      <c r="F654" s="7" t="s">
        <v>75</v>
      </c>
      <c r="G654" s="7" t="s">
        <v>64</v>
      </c>
      <c r="H654" s="7" t="s">
        <v>25</v>
      </c>
      <c r="I654" s="7" t="s">
        <v>76</v>
      </c>
      <c r="J654" s="7">
        <v>164</v>
      </c>
      <c r="K654" s="7">
        <v>234.51999999999998</v>
      </c>
      <c r="N654" s="4">
        <v>2023</v>
      </c>
      <c r="O654" s="4" t="s">
        <v>60</v>
      </c>
      <c r="P654" s="4" t="s">
        <v>36</v>
      </c>
      <c r="Q654" s="8" t="s">
        <v>49</v>
      </c>
      <c r="R654" s="9">
        <v>122</v>
      </c>
      <c r="S654" s="9">
        <v>110</v>
      </c>
      <c r="T654" s="9">
        <v>112</v>
      </c>
      <c r="U654" s="9">
        <v>22</v>
      </c>
      <c r="V654" s="10" t="s">
        <v>63</v>
      </c>
    </row>
    <row r="655" spans="1:22" ht="18" customHeight="1" x14ac:dyDescent="0.25">
      <c r="A655" s="7" t="s">
        <v>61</v>
      </c>
      <c r="B655" s="7">
        <v>2020</v>
      </c>
      <c r="C655" s="7" t="s">
        <v>62</v>
      </c>
      <c r="D655" s="7" t="s">
        <v>72</v>
      </c>
      <c r="E655" s="7" t="s">
        <v>74</v>
      </c>
      <c r="F655" s="7" t="s">
        <v>75</v>
      </c>
      <c r="G655" s="7" t="s">
        <v>64</v>
      </c>
      <c r="H655" s="7" t="s">
        <v>25</v>
      </c>
      <c r="I655" s="7" t="s">
        <v>76</v>
      </c>
      <c r="J655" s="7">
        <v>212</v>
      </c>
      <c r="K655" s="7">
        <v>303.15999999999997</v>
      </c>
      <c r="N655" s="4">
        <v>2023</v>
      </c>
      <c r="O655" s="4" t="s">
        <v>60</v>
      </c>
      <c r="P655" s="4" t="s">
        <v>50</v>
      </c>
      <c r="Q655" s="13" t="s">
        <v>51</v>
      </c>
      <c r="R655" s="14">
        <v>78</v>
      </c>
      <c r="S655" s="14">
        <v>2517.46</v>
      </c>
      <c r="T655" s="14">
        <v>5126.4639999999999</v>
      </c>
      <c r="U655" s="9">
        <v>503.49200000000002</v>
      </c>
      <c r="V655" s="10" t="s">
        <v>63</v>
      </c>
    </row>
    <row r="656" spans="1:22" ht="18" customHeight="1" x14ac:dyDescent="0.25">
      <c r="A656" s="7" t="s">
        <v>34</v>
      </c>
      <c r="B656" s="7">
        <v>2020</v>
      </c>
      <c r="C656" s="7" t="s">
        <v>62</v>
      </c>
      <c r="D656" s="7" t="s">
        <v>72</v>
      </c>
      <c r="E656" s="7" t="s">
        <v>74</v>
      </c>
      <c r="F656" s="7" t="s">
        <v>75</v>
      </c>
      <c r="G656" s="7" t="s">
        <v>64</v>
      </c>
      <c r="H656" s="7" t="s">
        <v>25</v>
      </c>
      <c r="I656" s="7" t="s">
        <v>76</v>
      </c>
      <c r="J656" s="7">
        <v>140</v>
      </c>
      <c r="K656" s="7">
        <v>200.2</v>
      </c>
      <c r="N656" s="4">
        <v>2023</v>
      </c>
      <c r="O656" s="4" t="s">
        <v>60</v>
      </c>
      <c r="P656" s="4" t="s">
        <v>50</v>
      </c>
      <c r="Q656" s="13" t="s">
        <v>52</v>
      </c>
      <c r="R656" s="14">
        <v>76</v>
      </c>
      <c r="S656" s="14">
        <v>2517.2949999999996</v>
      </c>
      <c r="T656" s="14">
        <v>5126.1279999999997</v>
      </c>
      <c r="U656" s="9">
        <v>503.45899999999995</v>
      </c>
      <c r="V656" s="10" t="s">
        <v>63</v>
      </c>
    </row>
    <row r="657" spans="1:22" ht="18" customHeight="1" x14ac:dyDescent="0.25">
      <c r="A657" s="7" t="s">
        <v>34</v>
      </c>
      <c r="B657" s="7">
        <v>2020</v>
      </c>
      <c r="C657" s="7" t="s">
        <v>62</v>
      </c>
      <c r="D657" s="7" t="s">
        <v>72</v>
      </c>
      <c r="E657" s="7" t="s">
        <v>74</v>
      </c>
      <c r="F657" s="7" t="s">
        <v>75</v>
      </c>
      <c r="G657" s="7" t="s">
        <v>64</v>
      </c>
      <c r="H657" s="7" t="s">
        <v>25</v>
      </c>
      <c r="I657" s="7" t="s">
        <v>76</v>
      </c>
      <c r="J657" s="7">
        <v>166</v>
      </c>
      <c r="K657" s="7">
        <v>237.38</v>
      </c>
      <c r="N657" s="4">
        <v>2023</v>
      </c>
      <c r="O657" s="4" t="s">
        <v>60</v>
      </c>
      <c r="P657" s="4" t="s">
        <v>50</v>
      </c>
      <c r="Q657" s="13" t="s">
        <v>54</v>
      </c>
      <c r="R657" s="14">
        <v>46</v>
      </c>
      <c r="S657" s="14">
        <v>115</v>
      </c>
      <c r="T657" s="14">
        <v>224</v>
      </c>
      <c r="U657" s="9">
        <v>23</v>
      </c>
      <c r="V657" s="10" t="s">
        <v>63</v>
      </c>
    </row>
    <row r="658" spans="1:22" ht="18" customHeight="1" x14ac:dyDescent="0.25">
      <c r="A658" s="7" t="s">
        <v>19</v>
      </c>
      <c r="B658" s="7">
        <v>2020</v>
      </c>
      <c r="C658" s="7" t="s">
        <v>62</v>
      </c>
      <c r="D658" s="7" t="s">
        <v>72</v>
      </c>
      <c r="E658" s="7" t="s">
        <v>74</v>
      </c>
      <c r="F658" s="7" t="s">
        <v>75</v>
      </c>
      <c r="G658" s="7" t="s">
        <v>64</v>
      </c>
      <c r="H658" s="7" t="s">
        <v>25</v>
      </c>
      <c r="I658" s="7" t="s">
        <v>76</v>
      </c>
      <c r="J658" s="7">
        <v>214</v>
      </c>
      <c r="K658" s="7">
        <v>306.02</v>
      </c>
      <c r="N658" s="4">
        <v>2023</v>
      </c>
      <c r="O658" s="4" t="s">
        <v>60</v>
      </c>
      <c r="P658" s="4" t="s">
        <v>50</v>
      </c>
      <c r="Q658" s="13" t="s">
        <v>55</v>
      </c>
      <c r="R658" s="14">
        <v>34</v>
      </c>
      <c r="S658" s="14">
        <v>2631.66</v>
      </c>
      <c r="T658" s="14">
        <v>5126.0160000000005</v>
      </c>
      <c r="U658" s="9">
        <v>526.33199999999999</v>
      </c>
      <c r="V658" s="10" t="s">
        <v>63</v>
      </c>
    </row>
    <row r="659" spans="1:22" ht="18" customHeight="1" x14ac:dyDescent="0.25">
      <c r="A659" s="7" t="s">
        <v>19</v>
      </c>
      <c r="B659" s="7">
        <v>2020</v>
      </c>
      <c r="C659" s="7" t="s">
        <v>62</v>
      </c>
      <c r="D659" s="7" t="s">
        <v>72</v>
      </c>
      <c r="E659" s="7" t="s">
        <v>74</v>
      </c>
      <c r="F659" s="7" t="s">
        <v>75</v>
      </c>
      <c r="G659" s="7" t="s">
        <v>64</v>
      </c>
      <c r="H659" s="7" t="s">
        <v>25</v>
      </c>
      <c r="I659" s="7" t="s">
        <v>76</v>
      </c>
      <c r="J659" s="7">
        <v>811</v>
      </c>
      <c r="K659" s="7">
        <v>1159.73</v>
      </c>
      <c r="N659" s="4">
        <v>2023</v>
      </c>
      <c r="O659" s="4" t="s">
        <v>60</v>
      </c>
      <c r="P659" s="4" t="s">
        <v>36</v>
      </c>
      <c r="Q659" s="8" t="s">
        <v>56</v>
      </c>
      <c r="R659" s="9">
        <v>7</v>
      </c>
      <c r="S659" s="9">
        <v>230</v>
      </c>
      <c r="T659" s="9">
        <v>224</v>
      </c>
      <c r="U659" s="9">
        <v>46</v>
      </c>
      <c r="V659" s="10" t="s">
        <v>63</v>
      </c>
    </row>
    <row r="660" spans="1:22" ht="18" customHeight="1" x14ac:dyDescent="0.25">
      <c r="A660" s="7" t="s">
        <v>19</v>
      </c>
      <c r="B660" s="7">
        <v>2020</v>
      </c>
      <c r="C660" s="7" t="s">
        <v>62</v>
      </c>
      <c r="D660" s="7" t="s">
        <v>72</v>
      </c>
      <c r="E660" s="7" t="s">
        <v>74</v>
      </c>
      <c r="F660" s="7" t="s">
        <v>75</v>
      </c>
      <c r="G660" s="7" t="s">
        <v>64</v>
      </c>
      <c r="H660" s="7" t="s">
        <v>25</v>
      </c>
      <c r="I660" s="7" t="s">
        <v>76</v>
      </c>
      <c r="J660" s="7">
        <v>845</v>
      </c>
      <c r="K660" s="7">
        <v>1208.3499999999999</v>
      </c>
      <c r="N660" s="4">
        <v>2023</v>
      </c>
      <c r="O660" s="4" t="s">
        <v>60</v>
      </c>
      <c r="P660" s="4" t="s">
        <v>50</v>
      </c>
      <c r="Q660" s="13" t="s">
        <v>58</v>
      </c>
      <c r="R660" s="14">
        <v>3</v>
      </c>
      <c r="S660" s="14">
        <v>2631.9475000000002</v>
      </c>
      <c r="T660" s="14">
        <v>5126.576</v>
      </c>
      <c r="U660" s="9">
        <v>526.38950000000011</v>
      </c>
      <c r="V660" s="10" t="s">
        <v>30</v>
      </c>
    </row>
    <row r="661" spans="1:22" ht="18" customHeight="1" x14ac:dyDescent="0.25">
      <c r="A661" s="7" t="s">
        <v>34</v>
      </c>
      <c r="B661" s="7">
        <v>2020</v>
      </c>
      <c r="C661" s="7" t="s">
        <v>62</v>
      </c>
      <c r="D661" s="7" t="s">
        <v>72</v>
      </c>
      <c r="E661" s="7" t="s">
        <v>74</v>
      </c>
      <c r="F661" s="7" t="s">
        <v>75</v>
      </c>
      <c r="G661" s="7" t="s">
        <v>64</v>
      </c>
      <c r="H661" s="7" t="s">
        <v>25</v>
      </c>
      <c r="I661" s="7" t="s">
        <v>76</v>
      </c>
      <c r="J661" s="7">
        <v>898</v>
      </c>
      <c r="K661" s="7">
        <v>1284.1399999999999</v>
      </c>
      <c r="N661" s="4">
        <v>2023</v>
      </c>
      <c r="O661" s="4" t="s">
        <v>60</v>
      </c>
      <c r="P661" s="4" t="s">
        <v>57</v>
      </c>
      <c r="Q661" s="13" t="s">
        <v>57</v>
      </c>
      <c r="R661" s="14">
        <v>2</v>
      </c>
      <c r="S661" s="14">
        <v>7590</v>
      </c>
      <c r="T661" s="14">
        <v>7392</v>
      </c>
      <c r="U661" s="9">
        <v>1518</v>
      </c>
      <c r="V661" s="10" t="s">
        <v>63</v>
      </c>
    </row>
    <row r="662" spans="1:22" ht="18" customHeight="1" x14ac:dyDescent="0.25">
      <c r="A662" s="7" t="s">
        <v>34</v>
      </c>
      <c r="B662" s="7">
        <v>2020</v>
      </c>
      <c r="C662" s="7" t="s">
        <v>62</v>
      </c>
      <c r="D662" s="7" t="s">
        <v>72</v>
      </c>
      <c r="E662" s="7" t="s">
        <v>74</v>
      </c>
      <c r="F662" s="7" t="s">
        <v>75</v>
      </c>
      <c r="G662" s="7" t="s">
        <v>64</v>
      </c>
      <c r="H662" s="7" t="s">
        <v>25</v>
      </c>
      <c r="I662" s="7" t="s">
        <v>76</v>
      </c>
      <c r="J662" s="7">
        <v>851</v>
      </c>
      <c r="K662" s="7">
        <v>526.24</v>
      </c>
      <c r="N662" s="4">
        <v>2023</v>
      </c>
      <c r="O662" s="4" t="s">
        <v>69</v>
      </c>
      <c r="P662" s="4" t="s">
        <v>28</v>
      </c>
      <c r="Q662" s="8" t="s">
        <v>29</v>
      </c>
      <c r="R662" s="9">
        <v>3566</v>
      </c>
      <c r="S662" s="9">
        <v>4577.3</v>
      </c>
      <c r="T662" s="9">
        <v>5126.576</v>
      </c>
      <c r="U662" s="9">
        <v>915.46</v>
      </c>
      <c r="V662" s="10" t="s">
        <v>63</v>
      </c>
    </row>
    <row r="663" spans="1:22" ht="18" customHeight="1" x14ac:dyDescent="0.25">
      <c r="A663" s="7" t="s">
        <v>19</v>
      </c>
      <c r="B663" s="7">
        <v>2020</v>
      </c>
      <c r="C663" s="7" t="s">
        <v>62</v>
      </c>
      <c r="D663" s="7" t="s">
        <v>72</v>
      </c>
      <c r="E663" s="7" t="s">
        <v>74</v>
      </c>
      <c r="F663" s="7" t="s">
        <v>75</v>
      </c>
      <c r="G663" s="7" t="s">
        <v>64</v>
      </c>
      <c r="H663" s="7" t="s">
        <v>25</v>
      </c>
      <c r="I663" s="7" t="s">
        <v>76</v>
      </c>
      <c r="J663" s="7">
        <v>884</v>
      </c>
      <c r="K663" s="7">
        <v>526.24</v>
      </c>
      <c r="N663" s="4">
        <v>2023</v>
      </c>
      <c r="O663" s="4" t="s">
        <v>69</v>
      </c>
      <c r="P663" s="4" t="s">
        <v>28</v>
      </c>
      <c r="Q663" s="8" t="s">
        <v>32</v>
      </c>
      <c r="R663" s="9">
        <v>2498</v>
      </c>
      <c r="S663" s="9">
        <v>8000</v>
      </c>
      <c r="T663" s="9">
        <v>8960</v>
      </c>
      <c r="U663" s="9">
        <v>1600</v>
      </c>
      <c r="V663" s="10" t="s">
        <v>63</v>
      </c>
    </row>
    <row r="664" spans="1:22" ht="18" customHeight="1" x14ac:dyDescent="0.25">
      <c r="A664" s="7" t="s">
        <v>19</v>
      </c>
      <c r="B664" s="7">
        <v>2020</v>
      </c>
      <c r="C664" s="7" t="s">
        <v>62</v>
      </c>
      <c r="D664" s="7" t="s">
        <v>72</v>
      </c>
      <c r="E664" s="7" t="s">
        <v>74</v>
      </c>
      <c r="F664" s="7" t="s">
        <v>75</v>
      </c>
      <c r="G664" s="7" t="s">
        <v>64</v>
      </c>
      <c r="H664" s="7" t="s">
        <v>25</v>
      </c>
      <c r="I664" s="7" t="s">
        <v>76</v>
      </c>
      <c r="J664" s="7">
        <v>141</v>
      </c>
      <c r="K664" s="7">
        <v>201.63</v>
      </c>
      <c r="N664" s="4">
        <v>2023</v>
      </c>
      <c r="O664" s="4" t="s">
        <v>69</v>
      </c>
      <c r="P664" s="4" t="s">
        <v>36</v>
      </c>
      <c r="Q664" s="8" t="s">
        <v>37</v>
      </c>
      <c r="R664" s="9">
        <v>1245</v>
      </c>
      <c r="S664" s="9">
        <v>4577.2</v>
      </c>
      <c r="T664" s="9">
        <v>5126.4639999999999</v>
      </c>
      <c r="U664" s="9">
        <v>915.44</v>
      </c>
      <c r="V664" s="10" t="s">
        <v>63</v>
      </c>
    </row>
    <row r="665" spans="1:22" ht="18" customHeight="1" x14ac:dyDescent="0.25">
      <c r="A665" s="7" t="s">
        <v>34</v>
      </c>
      <c r="B665" s="7">
        <v>2020</v>
      </c>
      <c r="C665" s="7" t="s">
        <v>62</v>
      </c>
      <c r="D665" s="7" t="s">
        <v>72</v>
      </c>
      <c r="E665" s="7" t="s">
        <v>74</v>
      </c>
      <c r="F665" s="7" t="s">
        <v>75</v>
      </c>
      <c r="G665" s="7" t="s">
        <v>64</v>
      </c>
      <c r="H665" s="7" t="s">
        <v>25</v>
      </c>
      <c r="I665" s="7" t="s">
        <v>76</v>
      </c>
      <c r="J665" s="7">
        <v>211</v>
      </c>
      <c r="K665" s="7">
        <v>301.73</v>
      </c>
      <c r="N665" s="4">
        <v>2023</v>
      </c>
      <c r="O665" s="4" t="s">
        <v>69</v>
      </c>
      <c r="P665" s="4" t="s">
        <v>39</v>
      </c>
      <c r="Q665" s="13" t="s">
        <v>40</v>
      </c>
      <c r="R665" s="14">
        <v>644</v>
      </c>
      <c r="S665" s="14">
        <v>5743.5</v>
      </c>
      <c r="T665" s="14">
        <v>6432.72</v>
      </c>
      <c r="U665" s="9">
        <v>1148.7</v>
      </c>
      <c r="V665" s="10" t="s">
        <v>63</v>
      </c>
    </row>
    <row r="666" spans="1:22" ht="18" customHeight="1" x14ac:dyDescent="0.25">
      <c r="A666" s="7" t="s">
        <v>34</v>
      </c>
      <c r="B666" s="7">
        <v>2020</v>
      </c>
      <c r="C666" s="7" t="s">
        <v>62</v>
      </c>
      <c r="D666" s="7" t="s">
        <v>72</v>
      </c>
      <c r="E666" s="7" t="s">
        <v>74</v>
      </c>
      <c r="F666" s="7" t="s">
        <v>75</v>
      </c>
      <c r="G666" s="7" t="s">
        <v>64</v>
      </c>
      <c r="H666" s="7" t="s">
        <v>25</v>
      </c>
      <c r="I666" s="7" t="s">
        <v>76</v>
      </c>
      <c r="J666" s="7">
        <v>139</v>
      </c>
      <c r="K666" s="7">
        <v>198.76999999999998</v>
      </c>
      <c r="N666" s="4">
        <v>2023</v>
      </c>
      <c r="O666" s="4" t="s">
        <v>69</v>
      </c>
      <c r="P666" s="4" t="s">
        <v>43</v>
      </c>
      <c r="Q666" s="13" t="s">
        <v>44</v>
      </c>
      <c r="R666" s="14">
        <v>643</v>
      </c>
      <c r="S666" s="14">
        <v>7000</v>
      </c>
      <c r="T666" s="14">
        <v>7840</v>
      </c>
      <c r="U666" s="9">
        <v>1400</v>
      </c>
      <c r="V666" s="10" t="s">
        <v>63</v>
      </c>
    </row>
    <row r="667" spans="1:22" ht="18" customHeight="1" x14ac:dyDescent="0.25">
      <c r="A667" s="7" t="s">
        <v>34</v>
      </c>
      <c r="B667" s="7">
        <v>2020</v>
      </c>
      <c r="C667" s="7" t="s">
        <v>62</v>
      </c>
      <c r="D667" s="7" t="s">
        <v>72</v>
      </c>
      <c r="E667" s="7" t="s">
        <v>74</v>
      </c>
      <c r="F667" s="7" t="s">
        <v>75</v>
      </c>
      <c r="G667" s="7" t="s">
        <v>64</v>
      </c>
      <c r="H667" s="7" t="s">
        <v>25</v>
      </c>
      <c r="I667" s="7" t="s">
        <v>76</v>
      </c>
      <c r="J667" s="7">
        <v>820</v>
      </c>
      <c r="K667" s="7">
        <v>1172.5999999999999</v>
      </c>
      <c r="N667" s="4">
        <v>2023</v>
      </c>
      <c r="O667" s="4" t="s">
        <v>69</v>
      </c>
      <c r="P667" s="4" t="s">
        <v>39</v>
      </c>
      <c r="Q667" s="13" t="s">
        <v>46</v>
      </c>
      <c r="R667" s="14">
        <v>455</v>
      </c>
      <c r="S667" s="14">
        <v>4578.6000000000004</v>
      </c>
      <c r="T667" s="14">
        <v>5128.0320000000002</v>
      </c>
      <c r="U667" s="9">
        <v>915.72000000000014</v>
      </c>
      <c r="V667" s="10" t="s">
        <v>63</v>
      </c>
    </row>
    <row r="668" spans="1:22" ht="18" customHeight="1" x14ac:dyDescent="0.25">
      <c r="A668" s="7" t="s">
        <v>34</v>
      </c>
      <c r="B668" s="7">
        <v>2020</v>
      </c>
      <c r="C668" s="7" t="s">
        <v>62</v>
      </c>
      <c r="D668" s="7" t="s">
        <v>72</v>
      </c>
      <c r="E668" s="7" t="s">
        <v>74</v>
      </c>
      <c r="F668" s="7" t="s">
        <v>75</v>
      </c>
      <c r="G668" s="7" t="s">
        <v>64</v>
      </c>
      <c r="H668" s="7" t="s">
        <v>25</v>
      </c>
      <c r="I668" s="7" t="s">
        <v>76</v>
      </c>
      <c r="J668" s="7">
        <v>853</v>
      </c>
      <c r="K668" s="7">
        <v>1219.79</v>
      </c>
      <c r="N668" s="4">
        <v>2023</v>
      </c>
      <c r="O668" s="4" t="s">
        <v>69</v>
      </c>
      <c r="P668" s="4" t="s">
        <v>43</v>
      </c>
      <c r="Q668" s="13" t="s">
        <v>48</v>
      </c>
      <c r="R668" s="15">
        <v>345</v>
      </c>
      <c r="S668" s="15">
        <v>7000</v>
      </c>
      <c r="T668" s="15">
        <v>7840</v>
      </c>
      <c r="U668" s="9">
        <v>1400</v>
      </c>
      <c r="V668" s="10" t="s">
        <v>63</v>
      </c>
    </row>
    <row r="669" spans="1:22" ht="18" customHeight="1" x14ac:dyDescent="0.25">
      <c r="A669" s="7" t="s">
        <v>34</v>
      </c>
      <c r="B669" s="7">
        <v>2020</v>
      </c>
      <c r="C669" s="7" t="s">
        <v>62</v>
      </c>
      <c r="D669" s="7" t="s">
        <v>72</v>
      </c>
      <c r="E669" s="7" t="s">
        <v>74</v>
      </c>
      <c r="F669" s="7" t="s">
        <v>75</v>
      </c>
      <c r="G669" s="7" t="s">
        <v>64</v>
      </c>
      <c r="H669" s="7" t="s">
        <v>25</v>
      </c>
      <c r="I669" s="7" t="s">
        <v>76</v>
      </c>
      <c r="J669" s="7">
        <v>137</v>
      </c>
      <c r="K669" s="7">
        <v>195.91</v>
      </c>
      <c r="N669" s="4">
        <v>2023</v>
      </c>
      <c r="O669" s="4" t="s">
        <v>69</v>
      </c>
      <c r="P669" s="4" t="s">
        <v>36</v>
      </c>
      <c r="Q669" s="8" t="s">
        <v>49</v>
      </c>
      <c r="R669" s="9">
        <v>122</v>
      </c>
      <c r="S669" s="9">
        <v>100</v>
      </c>
      <c r="T669" s="9">
        <v>112</v>
      </c>
      <c r="U669" s="9">
        <v>20</v>
      </c>
      <c r="V669" s="10" t="s">
        <v>63</v>
      </c>
    </row>
    <row r="670" spans="1:22" ht="18" customHeight="1" x14ac:dyDescent="0.25">
      <c r="A670" s="7" t="s">
        <v>53</v>
      </c>
      <c r="B670" s="7">
        <v>2020</v>
      </c>
      <c r="C670" s="7" t="s">
        <v>66</v>
      </c>
      <c r="D670" s="7" t="s">
        <v>72</v>
      </c>
      <c r="E670" s="7" t="s">
        <v>74</v>
      </c>
      <c r="F670" s="7" t="s">
        <v>75</v>
      </c>
      <c r="G670" s="7" t="s">
        <v>64</v>
      </c>
      <c r="H670" s="7" t="s">
        <v>25</v>
      </c>
      <c r="I670" s="7" t="s">
        <v>76</v>
      </c>
      <c r="J670" s="7">
        <v>200</v>
      </c>
      <c r="K670" s="7">
        <v>286</v>
      </c>
      <c r="N670" s="4">
        <v>2023</v>
      </c>
      <c r="O670" s="4" t="s">
        <v>69</v>
      </c>
      <c r="P670" s="4" t="s">
        <v>50</v>
      </c>
      <c r="Q670" s="13" t="s">
        <v>51</v>
      </c>
      <c r="R670" s="14">
        <v>78</v>
      </c>
      <c r="S670" s="14">
        <v>2288.6</v>
      </c>
      <c r="T670" s="14">
        <v>5126.4639999999999</v>
      </c>
      <c r="U670" s="9">
        <v>457.72</v>
      </c>
      <c r="V670" s="10" t="s">
        <v>63</v>
      </c>
    </row>
    <row r="671" spans="1:22" ht="18" customHeight="1" x14ac:dyDescent="0.25">
      <c r="A671" s="7" t="s">
        <v>34</v>
      </c>
      <c r="B671" s="7">
        <v>2020</v>
      </c>
      <c r="C671" s="7" t="s">
        <v>66</v>
      </c>
      <c r="D671" s="7" t="s">
        <v>72</v>
      </c>
      <c r="E671" s="7" t="s">
        <v>74</v>
      </c>
      <c r="F671" s="7" t="s">
        <v>75</v>
      </c>
      <c r="G671" s="7" t="s">
        <v>64</v>
      </c>
      <c r="H671" s="7" t="s">
        <v>25</v>
      </c>
      <c r="I671" s="7" t="s">
        <v>76</v>
      </c>
      <c r="J671" s="7">
        <v>128</v>
      </c>
      <c r="K671" s="7">
        <v>183.04</v>
      </c>
      <c r="N671" s="4">
        <v>2023</v>
      </c>
      <c r="O671" s="4" t="s">
        <v>69</v>
      </c>
      <c r="P671" s="4" t="s">
        <v>50</v>
      </c>
      <c r="Q671" s="13" t="s">
        <v>52</v>
      </c>
      <c r="R671" s="14">
        <v>76</v>
      </c>
      <c r="S671" s="14">
        <v>2288.4499999999998</v>
      </c>
      <c r="T671" s="14">
        <v>5126.1279999999997</v>
      </c>
      <c r="U671" s="9">
        <v>457.69</v>
      </c>
      <c r="V671" s="10" t="s">
        <v>63</v>
      </c>
    </row>
    <row r="672" spans="1:22" ht="18" customHeight="1" x14ac:dyDescent="0.25">
      <c r="A672" s="7" t="s">
        <v>34</v>
      </c>
      <c r="B672" s="7">
        <v>2020</v>
      </c>
      <c r="C672" s="7" t="s">
        <v>66</v>
      </c>
      <c r="D672" s="7" t="s">
        <v>72</v>
      </c>
      <c r="E672" s="7" t="s">
        <v>74</v>
      </c>
      <c r="F672" s="7" t="s">
        <v>75</v>
      </c>
      <c r="G672" s="7" t="s">
        <v>64</v>
      </c>
      <c r="H672" s="7" t="s">
        <v>25</v>
      </c>
      <c r="I672" s="7" t="s">
        <v>76</v>
      </c>
      <c r="J672" s="7">
        <v>154</v>
      </c>
      <c r="K672" s="7">
        <v>220.22</v>
      </c>
      <c r="N672" s="4">
        <v>2023</v>
      </c>
      <c r="O672" s="4" t="s">
        <v>69</v>
      </c>
      <c r="P672" s="4" t="s">
        <v>50</v>
      </c>
      <c r="Q672" s="13" t="s">
        <v>54</v>
      </c>
      <c r="R672" s="14">
        <v>46</v>
      </c>
      <c r="S672" s="14">
        <v>100</v>
      </c>
      <c r="T672" s="14">
        <v>224</v>
      </c>
      <c r="U672" s="9">
        <v>20</v>
      </c>
      <c r="V672" s="10" t="s">
        <v>63</v>
      </c>
    </row>
    <row r="673" spans="1:22" ht="18" customHeight="1" x14ac:dyDescent="0.25">
      <c r="A673" s="7" t="s">
        <v>34</v>
      </c>
      <c r="B673" s="7">
        <v>2020</v>
      </c>
      <c r="C673" s="7" t="s">
        <v>66</v>
      </c>
      <c r="D673" s="7" t="s">
        <v>72</v>
      </c>
      <c r="E673" s="7" t="s">
        <v>74</v>
      </c>
      <c r="F673" s="7" t="s">
        <v>75</v>
      </c>
      <c r="G673" s="7" t="s">
        <v>64</v>
      </c>
      <c r="H673" s="7" t="s">
        <v>25</v>
      </c>
      <c r="I673" s="7" t="s">
        <v>76</v>
      </c>
      <c r="J673" s="7">
        <v>202</v>
      </c>
      <c r="K673" s="7">
        <v>288.86</v>
      </c>
      <c r="N673" s="4">
        <v>2023</v>
      </c>
      <c r="O673" s="4" t="s">
        <v>69</v>
      </c>
      <c r="P673" s="4" t="s">
        <v>50</v>
      </c>
      <c r="Q673" s="13" t="s">
        <v>55</v>
      </c>
      <c r="R673" s="14">
        <v>34</v>
      </c>
      <c r="S673" s="14">
        <v>2746.08</v>
      </c>
      <c r="T673" s="14">
        <v>5126.0160000000005</v>
      </c>
      <c r="U673" s="9">
        <v>549.21600000000001</v>
      </c>
      <c r="V673" s="10" t="s">
        <v>63</v>
      </c>
    </row>
    <row r="674" spans="1:22" ht="18" customHeight="1" x14ac:dyDescent="0.25">
      <c r="A674" s="7" t="s">
        <v>34</v>
      </c>
      <c r="B674" s="7">
        <v>2020</v>
      </c>
      <c r="C674" s="7" t="s">
        <v>66</v>
      </c>
      <c r="D674" s="7" t="s">
        <v>72</v>
      </c>
      <c r="E674" s="7" t="s">
        <v>74</v>
      </c>
      <c r="F674" s="7" t="s">
        <v>75</v>
      </c>
      <c r="G674" s="7" t="s">
        <v>64</v>
      </c>
      <c r="H674" s="7" t="s">
        <v>25</v>
      </c>
      <c r="I674" s="7" t="s">
        <v>76</v>
      </c>
      <c r="J674" s="7">
        <v>130</v>
      </c>
      <c r="K674" s="7">
        <v>185.9</v>
      </c>
      <c r="N674" s="4">
        <v>2023</v>
      </c>
      <c r="O674" s="4" t="s">
        <v>69</v>
      </c>
      <c r="P674" s="4" t="s">
        <v>36</v>
      </c>
      <c r="Q674" s="8" t="s">
        <v>56</v>
      </c>
      <c r="R674" s="9">
        <v>7</v>
      </c>
      <c r="S674" s="9">
        <v>240</v>
      </c>
      <c r="T674" s="9">
        <v>224</v>
      </c>
      <c r="U674" s="9">
        <v>48</v>
      </c>
      <c r="V674" s="10" t="s">
        <v>63</v>
      </c>
    </row>
    <row r="675" spans="1:22" ht="18" customHeight="1" x14ac:dyDescent="0.25">
      <c r="A675" s="7" t="s">
        <v>53</v>
      </c>
      <c r="B675" s="7">
        <v>2020</v>
      </c>
      <c r="C675" s="7" t="s">
        <v>66</v>
      </c>
      <c r="D675" s="7" t="s">
        <v>72</v>
      </c>
      <c r="E675" s="7" t="s">
        <v>74</v>
      </c>
      <c r="F675" s="7" t="s">
        <v>75</v>
      </c>
      <c r="G675" s="7" t="s">
        <v>64</v>
      </c>
      <c r="H675" s="7" t="s">
        <v>25</v>
      </c>
      <c r="I675" s="7" t="s">
        <v>76</v>
      </c>
      <c r="J675" s="7">
        <v>813</v>
      </c>
      <c r="K675" s="7">
        <v>1162.5899999999999</v>
      </c>
      <c r="N675" s="4">
        <v>2023</v>
      </c>
      <c r="O675" s="4" t="s">
        <v>69</v>
      </c>
      <c r="P675" s="4" t="s">
        <v>50</v>
      </c>
      <c r="Q675" s="13" t="s">
        <v>58</v>
      </c>
      <c r="R675" s="14">
        <v>3</v>
      </c>
      <c r="S675" s="14">
        <v>2746.38</v>
      </c>
      <c r="T675" s="14">
        <v>5126.576</v>
      </c>
      <c r="U675" s="9">
        <v>549.27600000000007</v>
      </c>
      <c r="V675" s="10" t="s">
        <v>63</v>
      </c>
    </row>
    <row r="676" spans="1:22" ht="18" customHeight="1" x14ac:dyDescent="0.25">
      <c r="A676" s="7" t="s">
        <v>42</v>
      </c>
      <c r="B676" s="7">
        <v>2020</v>
      </c>
      <c r="C676" s="7" t="s">
        <v>66</v>
      </c>
      <c r="D676" s="7" t="s">
        <v>72</v>
      </c>
      <c r="E676" s="7" t="s">
        <v>74</v>
      </c>
      <c r="F676" s="7" t="s">
        <v>75</v>
      </c>
      <c r="G676" s="7" t="s">
        <v>64</v>
      </c>
      <c r="H676" s="7" t="s">
        <v>25</v>
      </c>
      <c r="I676" s="7" t="s">
        <v>76</v>
      </c>
      <c r="J676" s="7">
        <v>846</v>
      </c>
      <c r="K676" s="7">
        <v>1209.78</v>
      </c>
      <c r="N676" s="4">
        <v>2023</v>
      </c>
      <c r="O676" s="4" t="s">
        <v>69</v>
      </c>
      <c r="P676" s="4" t="s">
        <v>57</v>
      </c>
      <c r="Q676" s="13" t="s">
        <v>57</v>
      </c>
      <c r="R676" s="14">
        <v>2</v>
      </c>
      <c r="S676" s="14">
        <v>7920</v>
      </c>
      <c r="T676" s="14">
        <v>7392</v>
      </c>
      <c r="U676" s="9">
        <v>1584</v>
      </c>
      <c r="V676" s="10" t="s">
        <v>63</v>
      </c>
    </row>
    <row r="677" spans="1:22" ht="18" customHeight="1" x14ac:dyDescent="0.25">
      <c r="A677" s="7" t="s">
        <v>19</v>
      </c>
      <c r="B677" s="7">
        <v>2020</v>
      </c>
      <c r="C677" s="7" t="s">
        <v>66</v>
      </c>
      <c r="D677" s="7" t="s">
        <v>72</v>
      </c>
      <c r="E677" s="7" t="s">
        <v>74</v>
      </c>
      <c r="F677" s="7" t="s">
        <v>75</v>
      </c>
      <c r="G677" s="7" t="s">
        <v>64</v>
      </c>
      <c r="H677" s="7" t="s">
        <v>25</v>
      </c>
      <c r="I677" s="7" t="s">
        <v>76</v>
      </c>
      <c r="J677" s="7">
        <v>900</v>
      </c>
      <c r="K677" s="7">
        <v>1287</v>
      </c>
      <c r="N677" s="4">
        <v>2023</v>
      </c>
      <c r="O677" s="4" t="s">
        <v>70</v>
      </c>
      <c r="P677" s="4" t="s">
        <v>28</v>
      </c>
      <c r="Q677" s="8" t="s">
        <v>29</v>
      </c>
      <c r="R677" s="9">
        <v>3566</v>
      </c>
      <c r="S677" s="9">
        <v>5035.0300000000007</v>
      </c>
      <c r="T677" s="9">
        <v>5126.576</v>
      </c>
      <c r="U677" s="9">
        <v>1007.0060000000002</v>
      </c>
      <c r="V677" s="10" t="s">
        <v>63</v>
      </c>
    </row>
    <row r="678" spans="1:22" ht="18" customHeight="1" x14ac:dyDescent="0.25">
      <c r="A678" s="7" t="s">
        <v>19</v>
      </c>
      <c r="B678" s="7">
        <v>2020</v>
      </c>
      <c r="C678" s="7" t="s">
        <v>66</v>
      </c>
      <c r="D678" s="7" t="s">
        <v>72</v>
      </c>
      <c r="E678" s="7" t="s">
        <v>74</v>
      </c>
      <c r="F678" s="7" t="s">
        <v>75</v>
      </c>
      <c r="G678" s="7" t="s">
        <v>64</v>
      </c>
      <c r="H678" s="7" t="s">
        <v>73</v>
      </c>
      <c r="I678" s="7" t="s">
        <v>76</v>
      </c>
      <c r="J678" s="7">
        <v>853</v>
      </c>
      <c r="K678" s="7">
        <v>526.24</v>
      </c>
      <c r="N678" s="4">
        <v>2023</v>
      </c>
      <c r="O678" s="4" t="s">
        <v>70</v>
      </c>
      <c r="P678" s="4" t="s">
        <v>28</v>
      </c>
      <c r="Q678" s="8" t="s">
        <v>32</v>
      </c>
      <c r="R678" s="9">
        <v>2498</v>
      </c>
      <c r="S678" s="9">
        <v>9200</v>
      </c>
      <c r="T678" s="9">
        <v>8960</v>
      </c>
      <c r="U678" s="9">
        <v>1840</v>
      </c>
      <c r="V678" s="10" t="s">
        <v>63</v>
      </c>
    </row>
    <row r="679" spans="1:22" ht="18" customHeight="1" x14ac:dyDescent="0.25">
      <c r="A679" s="7" t="s">
        <v>34</v>
      </c>
      <c r="B679" s="7">
        <v>2020</v>
      </c>
      <c r="C679" s="7" t="s">
        <v>66</v>
      </c>
      <c r="D679" s="7" t="s">
        <v>72</v>
      </c>
      <c r="E679" s="7" t="s">
        <v>74</v>
      </c>
      <c r="F679" s="7" t="s">
        <v>75</v>
      </c>
      <c r="G679" s="7" t="s">
        <v>64</v>
      </c>
      <c r="H679" s="7" t="s">
        <v>73</v>
      </c>
      <c r="I679" s="7" t="s">
        <v>76</v>
      </c>
      <c r="J679" s="7">
        <v>886</v>
      </c>
      <c r="K679" s="7">
        <v>526.24</v>
      </c>
      <c r="N679" s="4">
        <v>2023</v>
      </c>
      <c r="O679" s="4" t="s">
        <v>70</v>
      </c>
      <c r="P679" s="4" t="s">
        <v>36</v>
      </c>
      <c r="Q679" s="8" t="s">
        <v>37</v>
      </c>
      <c r="R679" s="9">
        <v>1245</v>
      </c>
      <c r="S679" s="9">
        <v>5263.78</v>
      </c>
      <c r="T679" s="9">
        <v>5126.4639999999999</v>
      </c>
      <c r="U679" s="9">
        <v>1052.7560000000001</v>
      </c>
      <c r="V679" s="10" t="s">
        <v>63</v>
      </c>
    </row>
    <row r="680" spans="1:22" ht="18" customHeight="1" x14ac:dyDescent="0.25">
      <c r="A680" s="7" t="s">
        <v>53</v>
      </c>
      <c r="B680" s="7">
        <v>2020</v>
      </c>
      <c r="C680" s="7" t="s">
        <v>66</v>
      </c>
      <c r="D680" s="7" t="s">
        <v>72</v>
      </c>
      <c r="E680" s="7" t="s">
        <v>74</v>
      </c>
      <c r="F680" s="7" t="s">
        <v>75</v>
      </c>
      <c r="G680" s="7" t="s">
        <v>64</v>
      </c>
      <c r="H680" s="7" t="s">
        <v>73</v>
      </c>
      <c r="I680" s="7" t="s">
        <v>76</v>
      </c>
      <c r="J680" s="7">
        <v>129</v>
      </c>
      <c r="K680" s="7">
        <v>184.47</v>
      </c>
      <c r="N680" s="4">
        <v>2023</v>
      </c>
      <c r="O680" s="4" t="s">
        <v>70</v>
      </c>
      <c r="P680" s="4" t="s">
        <v>39</v>
      </c>
      <c r="Q680" s="13" t="s">
        <v>40</v>
      </c>
      <c r="R680" s="14">
        <v>644</v>
      </c>
      <c r="S680" s="14">
        <v>6605.0249999999996</v>
      </c>
      <c r="T680" s="14">
        <v>6432.72</v>
      </c>
      <c r="U680" s="9">
        <v>1321.0050000000001</v>
      </c>
      <c r="V680" s="10" t="s">
        <v>63</v>
      </c>
    </row>
    <row r="681" spans="1:22" ht="18" customHeight="1" x14ac:dyDescent="0.25">
      <c r="A681" s="7" t="s">
        <v>34</v>
      </c>
      <c r="B681" s="7">
        <v>2020</v>
      </c>
      <c r="C681" s="7" t="s">
        <v>66</v>
      </c>
      <c r="D681" s="7" t="s">
        <v>72</v>
      </c>
      <c r="E681" s="7" t="s">
        <v>74</v>
      </c>
      <c r="F681" s="7" t="s">
        <v>75</v>
      </c>
      <c r="G681" s="7" t="s">
        <v>64</v>
      </c>
      <c r="H681" s="7" t="s">
        <v>73</v>
      </c>
      <c r="I681" s="7" t="s">
        <v>76</v>
      </c>
      <c r="J681" s="7">
        <v>157</v>
      </c>
      <c r="K681" s="7">
        <v>224.51</v>
      </c>
      <c r="N681" s="4">
        <v>2023</v>
      </c>
      <c r="O681" s="4" t="s">
        <v>70</v>
      </c>
      <c r="P681" s="4" t="s">
        <v>43</v>
      </c>
      <c r="Q681" s="13" t="s">
        <v>44</v>
      </c>
      <c r="R681" s="14">
        <v>643</v>
      </c>
      <c r="S681" s="14">
        <v>8400</v>
      </c>
      <c r="T681" s="14">
        <v>7840</v>
      </c>
      <c r="U681" s="9">
        <v>1680</v>
      </c>
      <c r="V681" s="10" t="s">
        <v>63</v>
      </c>
    </row>
    <row r="682" spans="1:22" ht="18" customHeight="1" x14ac:dyDescent="0.25">
      <c r="A682" s="7" t="s">
        <v>34</v>
      </c>
      <c r="B682" s="7">
        <v>2020</v>
      </c>
      <c r="C682" s="7" t="s">
        <v>66</v>
      </c>
      <c r="D682" s="7" t="s">
        <v>72</v>
      </c>
      <c r="E682" s="7" t="s">
        <v>74</v>
      </c>
      <c r="F682" s="7" t="s">
        <v>75</v>
      </c>
      <c r="G682" s="7" t="s">
        <v>64</v>
      </c>
      <c r="H682" s="7" t="s">
        <v>73</v>
      </c>
      <c r="I682" s="7" t="s">
        <v>76</v>
      </c>
      <c r="J682" s="7">
        <v>127</v>
      </c>
      <c r="K682" s="7">
        <v>181.61</v>
      </c>
      <c r="N682" s="4">
        <v>2023</v>
      </c>
      <c r="O682" s="4" t="s">
        <v>70</v>
      </c>
      <c r="P682" s="4" t="s">
        <v>39</v>
      </c>
      <c r="Q682" s="13" t="s">
        <v>46</v>
      </c>
      <c r="R682" s="14">
        <v>455</v>
      </c>
      <c r="S682" s="14">
        <v>5494.3200000000006</v>
      </c>
      <c r="T682" s="14">
        <v>5128.0320000000002</v>
      </c>
      <c r="U682" s="9">
        <v>1098.8640000000003</v>
      </c>
      <c r="V682" s="10" t="s">
        <v>63</v>
      </c>
    </row>
    <row r="683" spans="1:22" ht="18" customHeight="1" x14ac:dyDescent="0.25">
      <c r="A683" s="7" t="s">
        <v>34</v>
      </c>
      <c r="B683" s="7">
        <v>2020</v>
      </c>
      <c r="C683" s="7" t="s">
        <v>66</v>
      </c>
      <c r="D683" s="7" t="s">
        <v>72</v>
      </c>
      <c r="E683" s="7" t="s">
        <v>74</v>
      </c>
      <c r="F683" s="7" t="s">
        <v>75</v>
      </c>
      <c r="G683" s="7" t="s">
        <v>64</v>
      </c>
      <c r="H683" s="7" t="s">
        <v>73</v>
      </c>
      <c r="I683" s="7" t="s">
        <v>76</v>
      </c>
      <c r="J683" s="7">
        <v>822</v>
      </c>
      <c r="K683" s="7">
        <v>1175.46</v>
      </c>
      <c r="N683" s="4">
        <v>2023</v>
      </c>
      <c r="O683" s="4" t="s">
        <v>70</v>
      </c>
      <c r="P683" s="4" t="s">
        <v>43</v>
      </c>
      <c r="Q683" s="13" t="s">
        <v>48</v>
      </c>
      <c r="R683" s="15">
        <v>345</v>
      </c>
      <c r="S683" s="15">
        <v>8400</v>
      </c>
      <c r="T683" s="15">
        <v>7840</v>
      </c>
      <c r="U683" s="9">
        <v>1680</v>
      </c>
      <c r="V683" s="10" t="s">
        <v>63</v>
      </c>
    </row>
    <row r="684" spans="1:22" ht="18" customHeight="1" x14ac:dyDescent="0.25">
      <c r="A684" s="7" t="s">
        <v>19</v>
      </c>
      <c r="B684" s="7">
        <v>2020</v>
      </c>
      <c r="C684" s="7" t="s">
        <v>66</v>
      </c>
      <c r="D684" s="7" t="s">
        <v>72</v>
      </c>
      <c r="E684" s="7" t="s">
        <v>74</v>
      </c>
      <c r="F684" s="7" t="s">
        <v>75</v>
      </c>
      <c r="G684" s="7" t="s">
        <v>64</v>
      </c>
      <c r="H684" s="7" t="s">
        <v>73</v>
      </c>
      <c r="I684" s="7" t="s">
        <v>76</v>
      </c>
      <c r="J684" s="7">
        <v>855</v>
      </c>
      <c r="K684" s="7">
        <v>1222.6500000000001</v>
      </c>
      <c r="N684" s="4">
        <v>2023</v>
      </c>
      <c r="O684" s="4" t="s">
        <v>70</v>
      </c>
      <c r="P684" s="4" t="s">
        <v>36</v>
      </c>
      <c r="Q684" s="8" t="s">
        <v>49</v>
      </c>
      <c r="R684" s="9">
        <v>122</v>
      </c>
      <c r="S684" s="9">
        <v>120</v>
      </c>
      <c r="T684" s="9">
        <v>112</v>
      </c>
      <c r="U684" s="9">
        <v>24</v>
      </c>
      <c r="V684" s="10" t="s">
        <v>63</v>
      </c>
    </row>
    <row r="685" spans="1:22" ht="18" customHeight="1" x14ac:dyDescent="0.25">
      <c r="A685" s="7" t="s">
        <v>19</v>
      </c>
      <c r="B685" s="7">
        <v>2020</v>
      </c>
      <c r="C685" s="7" t="s">
        <v>71</v>
      </c>
      <c r="D685" s="7" t="s">
        <v>72</v>
      </c>
      <c r="E685" s="7" t="s">
        <v>74</v>
      </c>
      <c r="F685" s="7" t="s">
        <v>75</v>
      </c>
      <c r="G685" s="7" t="s">
        <v>64</v>
      </c>
      <c r="H685" s="7" t="s">
        <v>73</v>
      </c>
      <c r="I685" s="7" t="s">
        <v>76</v>
      </c>
      <c r="J685" s="7">
        <v>368</v>
      </c>
      <c r="K685" s="7">
        <v>526.24</v>
      </c>
      <c r="N685" s="4">
        <v>2023</v>
      </c>
      <c r="O685" s="4" t="s">
        <v>70</v>
      </c>
      <c r="P685" s="4" t="s">
        <v>50</v>
      </c>
      <c r="Q685" s="13" t="s">
        <v>51</v>
      </c>
      <c r="R685" s="14">
        <v>78</v>
      </c>
      <c r="S685" s="14">
        <v>2517.46</v>
      </c>
      <c r="T685" s="14">
        <v>5126.4639999999999</v>
      </c>
      <c r="U685" s="9">
        <v>503.49200000000002</v>
      </c>
      <c r="V685" s="10" t="s">
        <v>63</v>
      </c>
    </row>
    <row r="686" spans="1:22" ht="18" customHeight="1" x14ac:dyDescent="0.25">
      <c r="A686" s="7" t="s">
        <v>19</v>
      </c>
      <c r="B686" s="7">
        <v>2020</v>
      </c>
      <c r="C686" s="7" t="s">
        <v>71</v>
      </c>
      <c r="D686" s="7" t="s">
        <v>72</v>
      </c>
      <c r="E686" s="7" t="s">
        <v>74</v>
      </c>
      <c r="F686" s="7" t="s">
        <v>75</v>
      </c>
      <c r="G686" s="7" t="s">
        <v>64</v>
      </c>
      <c r="H686" s="7" t="s">
        <v>73</v>
      </c>
      <c r="I686" s="7" t="s">
        <v>76</v>
      </c>
      <c r="J686" s="7">
        <v>170</v>
      </c>
      <c r="K686" s="7">
        <v>243.1</v>
      </c>
      <c r="N686" s="4">
        <v>2023</v>
      </c>
      <c r="O686" s="4" t="s">
        <v>70</v>
      </c>
      <c r="P686" s="4" t="s">
        <v>50</v>
      </c>
      <c r="Q686" s="13" t="s">
        <v>52</v>
      </c>
      <c r="R686" s="14">
        <v>76</v>
      </c>
      <c r="S686" s="14">
        <v>2517.2949999999996</v>
      </c>
      <c r="T686" s="14">
        <v>5126.1279999999997</v>
      </c>
      <c r="U686" s="9">
        <v>503.45899999999995</v>
      </c>
      <c r="V686" s="10" t="s">
        <v>63</v>
      </c>
    </row>
    <row r="687" spans="1:22" ht="18" customHeight="1" x14ac:dyDescent="0.25">
      <c r="A687" s="7" t="s">
        <v>34</v>
      </c>
      <c r="B687" s="7">
        <v>2020</v>
      </c>
      <c r="C687" s="7" t="s">
        <v>71</v>
      </c>
      <c r="D687" s="7" t="s">
        <v>72</v>
      </c>
      <c r="E687" s="7" t="s">
        <v>74</v>
      </c>
      <c r="F687" s="7" t="s">
        <v>75</v>
      </c>
      <c r="G687" s="7" t="s">
        <v>64</v>
      </c>
      <c r="H687" s="7" t="s">
        <v>73</v>
      </c>
      <c r="I687" s="7" t="s">
        <v>76</v>
      </c>
      <c r="J687" s="7">
        <v>344</v>
      </c>
      <c r="K687" s="7">
        <v>491.91999999999996</v>
      </c>
      <c r="N687" s="4">
        <v>2023</v>
      </c>
      <c r="O687" s="4" t="s">
        <v>70</v>
      </c>
      <c r="P687" s="4" t="s">
        <v>50</v>
      </c>
      <c r="Q687" s="13" t="s">
        <v>54</v>
      </c>
      <c r="R687" s="14">
        <v>46</v>
      </c>
      <c r="S687" s="14">
        <v>110</v>
      </c>
      <c r="T687" s="14">
        <v>224</v>
      </c>
      <c r="U687" s="9">
        <v>22</v>
      </c>
      <c r="V687" s="10" t="s">
        <v>63</v>
      </c>
    </row>
    <row r="688" spans="1:22" ht="18" customHeight="1" x14ac:dyDescent="0.25">
      <c r="A688" s="7" t="s">
        <v>34</v>
      </c>
      <c r="B688" s="7">
        <v>2020</v>
      </c>
      <c r="C688" s="7" t="s">
        <v>71</v>
      </c>
      <c r="D688" s="7" t="s">
        <v>72</v>
      </c>
      <c r="E688" s="7" t="s">
        <v>74</v>
      </c>
      <c r="F688" s="7" t="s">
        <v>75</v>
      </c>
      <c r="G688" s="7" t="s">
        <v>64</v>
      </c>
      <c r="H688" s="7" t="s">
        <v>73</v>
      </c>
      <c r="I688" s="7" t="s">
        <v>76</v>
      </c>
      <c r="J688" s="7">
        <v>370</v>
      </c>
      <c r="K688" s="7">
        <v>529.1</v>
      </c>
      <c r="N688" s="4">
        <v>2023</v>
      </c>
      <c r="O688" s="4" t="s">
        <v>70</v>
      </c>
      <c r="P688" s="4" t="s">
        <v>50</v>
      </c>
      <c r="Q688" s="13" t="s">
        <v>55</v>
      </c>
      <c r="R688" s="14">
        <v>34</v>
      </c>
      <c r="S688" s="14">
        <v>2517.2400000000002</v>
      </c>
      <c r="T688" s="14">
        <v>5126.0160000000005</v>
      </c>
      <c r="U688" s="9">
        <v>503.44800000000009</v>
      </c>
      <c r="V688" s="10" t="s">
        <v>63</v>
      </c>
    </row>
    <row r="689" spans="1:22" ht="18" customHeight="1" x14ac:dyDescent="0.25">
      <c r="A689" s="7" t="s">
        <v>61</v>
      </c>
      <c r="B689" s="7">
        <v>2020</v>
      </c>
      <c r="C689" s="7" t="s">
        <v>71</v>
      </c>
      <c r="D689" s="7" t="s">
        <v>72</v>
      </c>
      <c r="E689" s="7" t="s">
        <v>74</v>
      </c>
      <c r="F689" s="7" t="s">
        <v>75</v>
      </c>
      <c r="G689" s="7" t="s">
        <v>64</v>
      </c>
      <c r="H689" s="7" t="s">
        <v>73</v>
      </c>
      <c r="I689" s="7" t="s">
        <v>76</v>
      </c>
      <c r="J689" s="7">
        <v>172</v>
      </c>
      <c r="K689" s="7">
        <v>245.95999999999998</v>
      </c>
      <c r="N689" s="4">
        <v>2023</v>
      </c>
      <c r="O689" s="4" t="s">
        <v>70</v>
      </c>
      <c r="P689" s="4" t="s">
        <v>36</v>
      </c>
      <c r="Q689" s="8" t="s">
        <v>56</v>
      </c>
      <c r="R689" s="9">
        <v>7</v>
      </c>
      <c r="S689" s="9">
        <v>220</v>
      </c>
      <c r="T689" s="9">
        <v>224</v>
      </c>
      <c r="U689" s="9">
        <v>44</v>
      </c>
      <c r="V689" s="10" t="s">
        <v>63</v>
      </c>
    </row>
    <row r="690" spans="1:22" ht="18" customHeight="1" x14ac:dyDescent="0.25">
      <c r="A690" s="7" t="s">
        <v>42</v>
      </c>
      <c r="B690" s="7">
        <v>2020</v>
      </c>
      <c r="C690" s="7" t="s">
        <v>71</v>
      </c>
      <c r="D690" s="7" t="s">
        <v>72</v>
      </c>
      <c r="E690" s="7" t="s">
        <v>74</v>
      </c>
      <c r="F690" s="7" t="s">
        <v>75</v>
      </c>
      <c r="G690" s="7" t="s">
        <v>64</v>
      </c>
      <c r="H690" s="7" t="s">
        <v>73</v>
      </c>
      <c r="I690" s="7" t="s">
        <v>76</v>
      </c>
      <c r="J690" s="7">
        <v>340</v>
      </c>
      <c r="K690" s="7">
        <v>486.2</v>
      </c>
      <c r="N690" s="4">
        <v>2023</v>
      </c>
      <c r="O690" s="4" t="s">
        <v>70</v>
      </c>
      <c r="P690" s="4" t="s">
        <v>50</v>
      </c>
      <c r="Q690" s="13" t="s">
        <v>58</v>
      </c>
      <c r="R690" s="14">
        <v>3</v>
      </c>
      <c r="S690" s="14">
        <v>2517.5150000000003</v>
      </c>
      <c r="T690" s="14">
        <v>5126.576</v>
      </c>
      <c r="U690" s="9">
        <v>503.5030000000001</v>
      </c>
      <c r="V690" s="10" t="s">
        <v>63</v>
      </c>
    </row>
    <row r="691" spans="1:22" ht="18" customHeight="1" x14ac:dyDescent="0.25">
      <c r="A691" s="7" t="s">
        <v>34</v>
      </c>
      <c r="B691" s="7">
        <v>2020</v>
      </c>
      <c r="C691" s="7" t="s">
        <v>71</v>
      </c>
      <c r="D691" s="7" t="s">
        <v>72</v>
      </c>
      <c r="E691" s="7" t="s">
        <v>74</v>
      </c>
      <c r="F691" s="7" t="s">
        <v>75</v>
      </c>
      <c r="G691" s="7" t="s">
        <v>64</v>
      </c>
      <c r="H691" s="7" t="s">
        <v>73</v>
      </c>
      <c r="I691" s="7" t="s">
        <v>76</v>
      </c>
      <c r="J691" s="7">
        <v>852</v>
      </c>
      <c r="K691" s="7">
        <v>1218.3600000000001</v>
      </c>
      <c r="N691" s="4">
        <v>2023</v>
      </c>
      <c r="O691" s="4" t="s">
        <v>70</v>
      </c>
      <c r="P691" s="4" t="s">
        <v>57</v>
      </c>
      <c r="Q691" s="13" t="s">
        <v>57</v>
      </c>
      <c r="R691" s="14">
        <v>2</v>
      </c>
      <c r="S691" s="14">
        <v>7260</v>
      </c>
      <c r="T691" s="14">
        <v>7392</v>
      </c>
      <c r="U691" s="9">
        <v>1452</v>
      </c>
      <c r="V691" s="10" t="s">
        <v>63</v>
      </c>
    </row>
    <row r="692" spans="1:22" ht="18" customHeight="1" x14ac:dyDescent="0.25">
      <c r="A692" s="7" t="s">
        <v>34</v>
      </c>
      <c r="B692" s="7">
        <v>2020</v>
      </c>
      <c r="C692" s="7" t="s">
        <v>71</v>
      </c>
      <c r="D692" s="7" t="s">
        <v>72</v>
      </c>
      <c r="E692" s="7" t="s">
        <v>74</v>
      </c>
      <c r="F692" s="7" t="s">
        <v>75</v>
      </c>
      <c r="G692" s="7" t="s">
        <v>64</v>
      </c>
      <c r="H692" s="7" t="s">
        <v>73</v>
      </c>
      <c r="I692" s="7" t="s">
        <v>76</v>
      </c>
      <c r="J692" s="7">
        <v>905</v>
      </c>
      <c r="K692" s="7">
        <v>1294.1500000000001</v>
      </c>
      <c r="N692" s="4">
        <v>2023</v>
      </c>
      <c r="O692" s="4" t="s">
        <v>71</v>
      </c>
      <c r="P692" s="4" t="s">
        <v>28</v>
      </c>
      <c r="Q692" s="8" t="s">
        <v>29</v>
      </c>
      <c r="R692" s="9">
        <v>3566</v>
      </c>
      <c r="S692" s="9">
        <v>5263.8950000000004</v>
      </c>
      <c r="T692" s="9">
        <v>5126.576</v>
      </c>
      <c r="U692" s="9">
        <v>1052.7790000000002</v>
      </c>
      <c r="V692" s="10" t="s">
        <v>63</v>
      </c>
    </row>
    <row r="693" spans="1:22" ht="18" customHeight="1" x14ac:dyDescent="0.25">
      <c r="A693" s="7" t="s">
        <v>34</v>
      </c>
      <c r="B693" s="7">
        <v>2020</v>
      </c>
      <c r="C693" s="7" t="s">
        <v>71</v>
      </c>
      <c r="D693" s="7" t="s">
        <v>72</v>
      </c>
      <c r="E693" s="7" t="s">
        <v>74</v>
      </c>
      <c r="F693" s="7" t="s">
        <v>75</v>
      </c>
      <c r="G693" s="7" t="s">
        <v>64</v>
      </c>
      <c r="H693" s="7" t="s">
        <v>73</v>
      </c>
      <c r="I693" s="7" t="s">
        <v>76</v>
      </c>
      <c r="J693" s="7">
        <v>858</v>
      </c>
      <c r="K693" s="7">
        <v>526.24</v>
      </c>
      <c r="N693" s="4">
        <v>2023</v>
      </c>
      <c r="O693" s="4" t="s">
        <v>71</v>
      </c>
      <c r="P693" s="4" t="s">
        <v>28</v>
      </c>
      <c r="Q693" s="8" t="s">
        <v>32</v>
      </c>
      <c r="R693" s="9">
        <v>2498</v>
      </c>
      <c r="S693" s="9">
        <v>8800</v>
      </c>
      <c r="T693" s="9">
        <v>8960</v>
      </c>
      <c r="U693" s="9">
        <v>1760</v>
      </c>
      <c r="V693" s="10" t="s">
        <v>63</v>
      </c>
    </row>
    <row r="694" spans="1:22" ht="18" customHeight="1" x14ac:dyDescent="0.25">
      <c r="A694" s="7" t="s">
        <v>19</v>
      </c>
      <c r="B694" s="7">
        <v>2020</v>
      </c>
      <c r="C694" s="7" t="s">
        <v>71</v>
      </c>
      <c r="D694" s="7" t="s">
        <v>72</v>
      </c>
      <c r="E694" s="7" t="s">
        <v>74</v>
      </c>
      <c r="F694" s="7" t="s">
        <v>75</v>
      </c>
      <c r="G694" s="7" t="s">
        <v>64</v>
      </c>
      <c r="H694" s="7" t="s">
        <v>73</v>
      </c>
      <c r="I694" s="7" t="s">
        <v>76</v>
      </c>
      <c r="J694" s="7">
        <v>171</v>
      </c>
      <c r="K694" s="7">
        <v>526.24</v>
      </c>
      <c r="N694" s="4">
        <v>2023</v>
      </c>
      <c r="O694" s="4" t="s">
        <v>71</v>
      </c>
      <c r="P694" s="4" t="s">
        <v>36</v>
      </c>
      <c r="Q694" s="8" t="s">
        <v>37</v>
      </c>
      <c r="R694" s="9">
        <v>1245</v>
      </c>
      <c r="S694" s="9">
        <v>5034.92</v>
      </c>
      <c r="T694" s="9">
        <v>5126.4639999999999</v>
      </c>
      <c r="U694" s="9">
        <v>1006.984</v>
      </c>
      <c r="V694" s="10" t="s">
        <v>63</v>
      </c>
    </row>
    <row r="695" spans="1:22" ht="18" customHeight="1" x14ac:dyDescent="0.25">
      <c r="A695" s="7" t="s">
        <v>42</v>
      </c>
      <c r="B695" s="7">
        <v>2020</v>
      </c>
      <c r="C695" s="7" t="s">
        <v>71</v>
      </c>
      <c r="D695" s="7" t="s">
        <v>72</v>
      </c>
      <c r="E695" s="7" t="s">
        <v>74</v>
      </c>
      <c r="F695" s="7" t="s">
        <v>75</v>
      </c>
      <c r="G695" s="7" t="s">
        <v>64</v>
      </c>
      <c r="H695" s="7" t="s">
        <v>73</v>
      </c>
      <c r="I695" s="7" t="s">
        <v>76</v>
      </c>
      <c r="J695" s="7">
        <v>367</v>
      </c>
      <c r="K695" s="7">
        <v>524.80999999999995</v>
      </c>
      <c r="N695" s="4">
        <v>2023</v>
      </c>
      <c r="O695" s="4" t="s">
        <v>71</v>
      </c>
      <c r="P695" s="4" t="s">
        <v>39</v>
      </c>
      <c r="Q695" s="13" t="s">
        <v>40</v>
      </c>
      <c r="R695" s="14">
        <v>644</v>
      </c>
      <c r="S695" s="14">
        <v>22000</v>
      </c>
      <c r="T695" s="14">
        <v>6432.72</v>
      </c>
      <c r="U695" s="9">
        <v>4400</v>
      </c>
      <c r="V695" s="10" t="s">
        <v>63</v>
      </c>
    </row>
    <row r="696" spans="1:22" ht="18" customHeight="1" x14ac:dyDescent="0.25">
      <c r="A696" s="7" t="s">
        <v>19</v>
      </c>
      <c r="B696" s="7">
        <v>2020</v>
      </c>
      <c r="C696" s="7" t="s">
        <v>71</v>
      </c>
      <c r="D696" s="7" t="s">
        <v>72</v>
      </c>
      <c r="E696" s="7" t="s">
        <v>74</v>
      </c>
      <c r="F696" s="7" t="s">
        <v>75</v>
      </c>
      <c r="G696" s="7" t="s">
        <v>64</v>
      </c>
      <c r="H696" s="7" t="s">
        <v>73</v>
      </c>
      <c r="I696" s="7" t="s">
        <v>76</v>
      </c>
      <c r="J696" s="7">
        <v>169</v>
      </c>
      <c r="K696" s="7">
        <v>241.67000000000002</v>
      </c>
      <c r="N696" s="4">
        <v>2023</v>
      </c>
      <c r="O696" s="4" t="s">
        <v>71</v>
      </c>
      <c r="P696" s="4" t="s">
        <v>43</v>
      </c>
      <c r="Q696" s="13" t="s">
        <v>44</v>
      </c>
      <c r="R696" s="14">
        <v>643</v>
      </c>
      <c r="S696" s="14">
        <v>7700</v>
      </c>
      <c r="T696" s="14">
        <v>7840</v>
      </c>
      <c r="U696" s="9">
        <v>1540</v>
      </c>
      <c r="V696" s="10" t="s">
        <v>63</v>
      </c>
    </row>
    <row r="697" spans="1:22" ht="18" customHeight="1" x14ac:dyDescent="0.25">
      <c r="A697" s="7" t="s">
        <v>34</v>
      </c>
      <c r="B697" s="7">
        <v>2020</v>
      </c>
      <c r="C697" s="7" t="s">
        <v>71</v>
      </c>
      <c r="D697" s="7" t="s">
        <v>72</v>
      </c>
      <c r="E697" s="7" t="s">
        <v>74</v>
      </c>
      <c r="F697" s="7" t="s">
        <v>75</v>
      </c>
      <c r="G697" s="7" t="s">
        <v>64</v>
      </c>
      <c r="H697" s="7" t="s">
        <v>73</v>
      </c>
      <c r="I697" s="7" t="s">
        <v>76</v>
      </c>
      <c r="J697" s="7">
        <v>343</v>
      </c>
      <c r="K697" s="7">
        <v>490.49</v>
      </c>
      <c r="N697" s="4">
        <v>2023</v>
      </c>
      <c r="O697" s="4" t="s">
        <v>71</v>
      </c>
      <c r="P697" s="4" t="s">
        <v>39</v>
      </c>
      <c r="Q697" s="13" t="s">
        <v>46</v>
      </c>
      <c r="R697" s="14">
        <v>455</v>
      </c>
      <c r="S697" s="14">
        <v>11111</v>
      </c>
      <c r="T697" s="14">
        <v>5128.0320000000002</v>
      </c>
      <c r="U697" s="9">
        <v>2222.2000000000003</v>
      </c>
      <c r="V697" s="10" t="s">
        <v>63</v>
      </c>
    </row>
    <row r="698" spans="1:22" ht="18" customHeight="1" x14ac:dyDescent="0.25">
      <c r="A698" s="7" t="s">
        <v>34</v>
      </c>
      <c r="B698" s="7">
        <v>2020</v>
      </c>
      <c r="C698" s="7" t="s">
        <v>71</v>
      </c>
      <c r="D698" s="7" t="s">
        <v>72</v>
      </c>
      <c r="E698" s="7" t="s">
        <v>74</v>
      </c>
      <c r="F698" s="7" t="s">
        <v>75</v>
      </c>
      <c r="G698" s="7" t="s">
        <v>64</v>
      </c>
      <c r="H698" s="7" t="s">
        <v>73</v>
      </c>
      <c r="I698" s="7" t="s">
        <v>76</v>
      </c>
      <c r="J698" s="7">
        <v>827</v>
      </c>
      <c r="K698" s="7">
        <v>1182.6100000000001</v>
      </c>
      <c r="N698" s="4">
        <v>2023</v>
      </c>
      <c r="O698" s="4" t="s">
        <v>71</v>
      </c>
      <c r="P698" s="4" t="s">
        <v>43</v>
      </c>
      <c r="Q698" s="13" t="s">
        <v>48</v>
      </c>
      <c r="R698" s="15">
        <v>345</v>
      </c>
      <c r="S698" s="15">
        <v>7700</v>
      </c>
      <c r="T698" s="15">
        <v>7840</v>
      </c>
      <c r="U698" s="9">
        <v>1540</v>
      </c>
      <c r="V698" s="10" t="s">
        <v>63</v>
      </c>
    </row>
    <row r="699" spans="1:22" ht="18" customHeight="1" x14ac:dyDescent="0.25">
      <c r="A699" s="7" t="s">
        <v>19</v>
      </c>
      <c r="B699" s="7">
        <v>2020</v>
      </c>
      <c r="C699" s="7" t="s">
        <v>71</v>
      </c>
      <c r="D699" s="7" t="s">
        <v>72</v>
      </c>
      <c r="E699" s="7" t="s">
        <v>74</v>
      </c>
      <c r="F699" s="7" t="s">
        <v>75</v>
      </c>
      <c r="G699" s="7" t="s">
        <v>64</v>
      </c>
      <c r="H699" s="7" t="s">
        <v>73</v>
      </c>
      <c r="I699" s="7" t="s">
        <v>76</v>
      </c>
      <c r="J699" s="7">
        <v>341</v>
      </c>
      <c r="K699" s="7">
        <v>487.63</v>
      </c>
      <c r="N699" s="4">
        <v>2023</v>
      </c>
      <c r="O699" s="4" t="s">
        <v>71</v>
      </c>
      <c r="P699" s="4" t="s">
        <v>36</v>
      </c>
      <c r="Q699" s="8" t="s">
        <v>49</v>
      </c>
      <c r="R699" s="9">
        <v>122</v>
      </c>
      <c r="S699" s="9">
        <v>110</v>
      </c>
      <c r="T699" s="9">
        <v>112</v>
      </c>
      <c r="U699" s="9">
        <v>22</v>
      </c>
      <c r="V699" s="10" t="s">
        <v>63</v>
      </c>
    </row>
    <row r="700" spans="1:22" ht="18" customHeight="1" x14ac:dyDescent="0.25">
      <c r="A700" s="7" t="s">
        <v>34</v>
      </c>
      <c r="B700" s="7">
        <v>2020</v>
      </c>
      <c r="C700" s="7" t="s">
        <v>70</v>
      </c>
      <c r="D700" s="7" t="s">
        <v>72</v>
      </c>
      <c r="E700" s="7" t="s">
        <v>74</v>
      </c>
      <c r="F700" s="7" t="s">
        <v>75</v>
      </c>
      <c r="G700" s="7" t="s">
        <v>64</v>
      </c>
      <c r="H700" s="7" t="s">
        <v>73</v>
      </c>
      <c r="I700" s="7" t="s">
        <v>76</v>
      </c>
      <c r="J700" s="7">
        <v>128</v>
      </c>
      <c r="K700" s="7">
        <v>183.04</v>
      </c>
      <c r="N700" s="4">
        <v>2023</v>
      </c>
      <c r="O700" s="4" t="s">
        <v>71</v>
      </c>
      <c r="P700" s="4" t="s">
        <v>50</v>
      </c>
      <c r="Q700" s="13" t="s">
        <v>51</v>
      </c>
      <c r="R700" s="14">
        <v>78</v>
      </c>
      <c r="S700" s="14">
        <v>2517.46</v>
      </c>
      <c r="T700" s="14">
        <v>5126.4639999999999</v>
      </c>
      <c r="U700" s="9">
        <v>503.49200000000002</v>
      </c>
      <c r="V700" s="10" t="s">
        <v>63</v>
      </c>
    </row>
    <row r="701" spans="1:22" ht="18" customHeight="1" x14ac:dyDescent="0.25">
      <c r="A701" s="7" t="s">
        <v>34</v>
      </c>
      <c r="B701" s="7">
        <v>2020</v>
      </c>
      <c r="C701" s="7" t="s">
        <v>70</v>
      </c>
      <c r="D701" s="7" t="s">
        <v>72</v>
      </c>
      <c r="E701" s="7" t="s">
        <v>74</v>
      </c>
      <c r="F701" s="7" t="s">
        <v>75</v>
      </c>
      <c r="G701" s="7" t="s">
        <v>64</v>
      </c>
      <c r="H701" s="7" t="s">
        <v>73</v>
      </c>
      <c r="I701" s="7" t="s">
        <v>76</v>
      </c>
      <c r="J701" s="7">
        <v>176</v>
      </c>
      <c r="K701" s="7">
        <v>251.68</v>
      </c>
      <c r="N701" s="4">
        <v>2023</v>
      </c>
      <c r="O701" s="4" t="s">
        <v>71</v>
      </c>
      <c r="P701" s="4" t="s">
        <v>50</v>
      </c>
      <c r="Q701" s="13" t="s">
        <v>52</v>
      </c>
      <c r="R701" s="14">
        <v>76</v>
      </c>
      <c r="S701" s="14">
        <v>2288.4499999999998</v>
      </c>
      <c r="T701" s="14">
        <v>5126.1279999999997</v>
      </c>
      <c r="U701" s="9">
        <v>457.69</v>
      </c>
      <c r="V701" s="10" t="s">
        <v>63</v>
      </c>
    </row>
    <row r="702" spans="1:22" ht="18" customHeight="1" x14ac:dyDescent="0.25">
      <c r="A702" s="7" t="s">
        <v>34</v>
      </c>
      <c r="B702" s="7">
        <v>2020</v>
      </c>
      <c r="C702" s="7" t="s">
        <v>70</v>
      </c>
      <c r="D702" s="7" t="s">
        <v>72</v>
      </c>
      <c r="E702" s="7" t="s">
        <v>74</v>
      </c>
      <c r="F702" s="7" t="s">
        <v>75</v>
      </c>
      <c r="G702" s="7" t="s">
        <v>64</v>
      </c>
      <c r="H702" s="7" t="s">
        <v>73</v>
      </c>
      <c r="I702" s="7" t="s">
        <v>76</v>
      </c>
      <c r="J702" s="7">
        <v>350</v>
      </c>
      <c r="K702" s="7">
        <v>500.5</v>
      </c>
      <c r="N702" s="4">
        <v>2023</v>
      </c>
      <c r="O702" s="4" t="s">
        <v>71</v>
      </c>
      <c r="P702" s="4" t="s">
        <v>50</v>
      </c>
      <c r="Q702" s="13" t="s">
        <v>54</v>
      </c>
      <c r="R702" s="14">
        <v>46</v>
      </c>
      <c r="S702" s="14">
        <v>100</v>
      </c>
      <c r="T702" s="14">
        <v>224</v>
      </c>
      <c r="U702" s="9">
        <v>20</v>
      </c>
      <c r="V702" s="10" t="s">
        <v>63</v>
      </c>
    </row>
    <row r="703" spans="1:22" ht="18" customHeight="1" x14ac:dyDescent="0.25">
      <c r="A703" s="7" t="s">
        <v>34</v>
      </c>
      <c r="B703" s="7">
        <v>2020</v>
      </c>
      <c r="C703" s="7" t="s">
        <v>70</v>
      </c>
      <c r="D703" s="7" t="s">
        <v>72</v>
      </c>
      <c r="E703" s="7" t="s">
        <v>74</v>
      </c>
      <c r="F703" s="7" t="s">
        <v>75</v>
      </c>
      <c r="G703" s="7" t="s">
        <v>64</v>
      </c>
      <c r="H703" s="7" t="s">
        <v>73</v>
      </c>
      <c r="I703" s="7" t="s">
        <v>76</v>
      </c>
      <c r="J703" s="7">
        <v>130</v>
      </c>
      <c r="K703" s="7">
        <v>185.9</v>
      </c>
      <c r="N703" s="4">
        <v>2023</v>
      </c>
      <c r="O703" s="4" t="s">
        <v>71</v>
      </c>
      <c r="P703" s="4" t="s">
        <v>50</v>
      </c>
      <c r="Q703" s="13" t="s">
        <v>55</v>
      </c>
      <c r="R703" s="14">
        <v>34</v>
      </c>
      <c r="S703" s="14">
        <v>2288.4</v>
      </c>
      <c r="T703" s="14">
        <v>5126.0160000000005</v>
      </c>
      <c r="U703" s="9">
        <v>457.68000000000006</v>
      </c>
      <c r="V703" s="10" t="s">
        <v>63</v>
      </c>
    </row>
    <row r="704" spans="1:22" ht="18" customHeight="1" x14ac:dyDescent="0.25">
      <c r="A704" s="7" t="s">
        <v>53</v>
      </c>
      <c r="B704" s="7">
        <v>2020</v>
      </c>
      <c r="C704" s="7" t="s">
        <v>70</v>
      </c>
      <c r="D704" s="7" t="s">
        <v>72</v>
      </c>
      <c r="E704" s="7" t="s">
        <v>74</v>
      </c>
      <c r="F704" s="7" t="s">
        <v>75</v>
      </c>
      <c r="G704" s="7" t="s">
        <v>64</v>
      </c>
      <c r="H704" s="7" t="s">
        <v>73</v>
      </c>
      <c r="I704" s="7" t="s">
        <v>76</v>
      </c>
      <c r="J704" s="7">
        <v>346</v>
      </c>
      <c r="K704" s="7">
        <v>494.78</v>
      </c>
      <c r="N704" s="4">
        <v>2023</v>
      </c>
      <c r="O704" s="4" t="s">
        <v>71</v>
      </c>
      <c r="P704" s="4" t="s">
        <v>36</v>
      </c>
      <c r="Q704" s="8" t="s">
        <v>56</v>
      </c>
      <c r="R704" s="9">
        <v>7</v>
      </c>
      <c r="S704" s="9">
        <v>200</v>
      </c>
      <c r="T704" s="9">
        <v>224</v>
      </c>
      <c r="U704" s="9">
        <v>40</v>
      </c>
      <c r="V704" s="10" t="s">
        <v>63</v>
      </c>
    </row>
    <row r="705" spans="1:22" ht="18" customHeight="1" x14ac:dyDescent="0.25">
      <c r="A705" s="7" t="s">
        <v>34</v>
      </c>
      <c r="B705" s="7">
        <v>2020</v>
      </c>
      <c r="C705" s="7" t="s">
        <v>70</v>
      </c>
      <c r="D705" s="7" t="s">
        <v>72</v>
      </c>
      <c r="E705" s="7" t="s">
        <v>74</v>
      </c>
      <c r="F705" s="7" t="s">
        <v>75</v>
      </c>
      <c r="G705" s="7" t="s">
        <v>64</v>
      </c>
      <c r="H705" s="7" t="s">
        <v>73</v>
      </c>
      <c r="I705" s="7" t="s">
        <v>76</v>
      </c>
      <c r="J705" s="7">
        <v>818</v>
      </c>
      <c r="K705" s="7">
        <v>1169.74</v>
      </c>
      <c r="N705" s="4">
        <v>2023</v>
      </c>
      <c r="O705" s="4" t="s">
        <v>71</v>
      </c>
      <c r="P705" s="4" t="s">
        <v>50</v>
      </c>
      <c r="Q705" s="13" t="s">
        <v>58</v>
      </c>
      <c r="R705" s="14">
        <v>3</v>
      </c>
      <c r="S705" s="14">
        <v>2288.65</v>
      </c>
      <c r="T705" s="14">
        <v>5126.576</v>
      </c>
      <c r="U705" s="9">
        <v>457.73</v>
      </c>
      <c r="V705" s="10" t="s">
        <v>63</v>
      </c>
    </row>
    <row r="706" spans="1:22" ht="18" customHeight="1" x14ac:dyDescent="0.25">
      <c r="A706" s="7" t="s">
        <v>19</v>
      </c>
      <c r="B706" s="7">
        <v>2020</v>
      </c>
      <c r="C706" s="7" t="s">
        <v>70</v>
      </c>
      <c r="D706" s="7" t="s">
        <v>72</v>
      </c>
      <c r="E706" s="7" t="s">
        <v>74</v>
      </c>
      <c r="F706" s="7" t="s">
        <v>75</v>
      </c>
      <c r="G706" s="7" t="s">
        <v>64</v>
      </c>
      <c r="H706" s="7" t="s">
        <v>73</v>
      </c>
      <c r="I706" s="7" t="s">
        <v>76</v>
      </c>
      <c r="J706" s="7">
        <v>851</v>
      </c>
      <c r="K706" s="7">
        <v>1216.93</v>
      </c>
      <c r="N706" s="4">
        <v>2023</v>
      </c>
      <c r="O706" s="4" t="s">
        <v>71</v>
      </c>
      <c r="P706" s="4" t="s">
        <v>57</v>
      </c>
      <c r="Q706" s="13" t="s">
        <v>57</v>
      </c>
      <c r="R706" s="14">
        <v>2</v>
      </c>
      <c r="S706" s="14">
        <v>6600</v>
      </c>
      <c r="T706" s="14">
        <v>7392</v>
      </c>
      <c r="U706" s="9">
        <v>1320</v>
      </c>
      <c r="V706" s="10" t="s">
        <v>63</v>
      </c>
    </row>
    <row r="707" spans="1:22" ht="18" customHeight="1" x14ac:dyDescent="0.25">
      <c r="A707" s="7" t="s">
        <v>42</v>
      </c>
      <c r="B707" s="7">
        <v>2020</v>
      </c>
      <c r="C707" s="7" t="s">
        <v>70</v>
      </c>
      <c r="D707" s="7" t="s">
        <v>72</v>
      </c>
      <c r="E707" s="7" t="s">
        <v>74</v>
      </c>
      <c r="F707" s="7" t="s">
        <v>75</v>
      </c>
      <c r="G707" s="7" t="s">
        <v>64</v>
      </c>
      <c r="H707" s="7" t="s">
        <v>73</v>
      </c>
      <c r="I707" s="7" t="s">
        <v>76</v>
      </c>
      <c r="J707" s="7">
        <v>904</v>
      </c>
      <c r="K707" s="7">
        <v>1292.72</v>
      </c>
      <c r="N707" s="4">
        <v>2023</v>
      </c>
      <c r="O707" s="4" t="s">
        <v>65</v>
      </c>
      <c r="P707" s="4" t="s">
        <v>28</v>
      </c>
      <c r="Q707" s="8" t="s">
        <v>29</v>
      </c>
      <c r="R707" s="9">
        <v>3566</v>
      </c>
      <c r="S707" s="9">
        <v>4577.3</v>
      </c>
      <c r="T707" s="9">
        <v>5126.576</v>
      </c>
      <c r="U707" s="9">
        <v>915.46</v>
      </c>
      <c r="V707" s="10" t="s">
        <v>63</v>
      </c>
    </row>
    <row r="708" spans="1:22" ht="18" customHeight="1" x14ac:dyDescent="0.25">
      <c r="A708" s="7" t="s">
        <v>42</v>
      </c>
      <c r="B708" s="7">
        <v>2020</v>
      </c>
      <c r="C708" s="7" t="s">
        <v>70</v>
      </c>
      <c r="D708" s="7" t="s">
        <v>72</v>
      </c>
      <c r="E708" s="7" t="s">
        <v>74</v>
      </c>
      <c r="F708" s="7" t="s">
        <v>75</v>
      </c>
      <c r="G708" s="7" t="s">
        <v>64</v>
      </c>
      <c r="H708" s="7" t="s">
        <v>73</v>
      </c>
      <c r="I708" s="7" t="s">
        <v>76</v>
      </c>
      <c r="J708" s="7">
        <v>857</v>
      </c>
      <c r="K708" s="7">
        <v>526.24</v>
      </c>
      <c r="N708" s="4">
        <v>2023</v>
      </c>
      <c r="O708" s="4" t="s">
        <v>65</v>
      </c>
      <c r="P708" s="4" t="s">
        <v>28</v>
      </c>
      <c r="Q708" s="8" t="s">
        <v>32</v>
      </c>
      <c r="R708" s="9">
        <v>2498</v>
      </c>
      <c r="S708" s="9">
        <v>8000</v>
      </c>
      <c r="T708" s="9">
        <v>8960</v>
      </c>
      <c r="U708" s="9">
        <v>1600</v>
      </c>
      <c r="V708" s="10" t="s">
        <v>63</v>
      </c>
    </row>
    <row r="709" spans="1:22" ht="18" customHeight="1" x14ac:dyDescent="0.25">
      <c r="A709" s="7" t="s">
        <v>34</v>
      </c>
      <c r="B709" s="7">
        <v>2020</v>
      </c>
      <c r="C709" s="7" t="s">
        <v>70</v>
      </c>
      <c r="D709" s="7" t="s">
        <v>72</v>
      </c>
      <c r="E709" s="7" t="s">
        <v>74</v>
      </c>
      <c r="F709" s="7" t="s">
        <v>75</v>
      </c>
      <c r="G709" s="7" t="s">
        <v>64</v>
      </c>
      <c r="H709" s="7" t="s">
        <v>73</v>
      </c>
      <c r="I709" s="7" t="s">
        <v>76</v>
      </c>
      <c r="J709" s="7">
        <v>177</v>
      </c>
      <c r="K709" s="7">
        <v>526.24</v>
      </c>
      <c r="N709" s="4">
        <v>2023</v>
      </c>
      <c r="O709" s="4" t="s">
        <v>65</v>
      </c>
      <c r="P709" s="4" t="s">
        <v>36</v>
      </c>
      <c r="Q709" s="8" t="s">
        <v>37</v>
      </c>
      <c r="R709" s="9">
        <v>1245</v>
      </c>
      <c r="S709" s="9">
        <v>4577.2</v>
      </c>
      <c r="T709" s="9">
        <v>5126.4639999999999</v>
      </c>
      <c r="U709" s="9">
        <v>915.44</v>
      </c>
      <c r="V709" s="10" t="s">
        <v>63</v>
      </c>
    </row>
    <row r="710" spans="1:22" ht="18" customHeight="1" x14ac:dyDescent="0.25">
      <c r="A710" s="7" t="s">
        <v>34</v>
      </c>
      <c r="B710" s="7">
        <v>2020</v>
      </c>
      <c r="C710" s="7" t="s">
        <v>70</v>
      </c>
      <c r="D710" s="7" t="s">
        <v>72</v>
      </c>
      <c r="E710" s="7" t="s">
        <v>74</v>
      </c>
      <c r="F710" s="7" t="s">
        <v>75</v>
      </c>
      <c r="G710" s="7" t="s">
        <v>64</v>
      </c>
      <c r="H710" s="7" t="s">
        <v>73</v>
      </c>
      <c r="I710" s="7" t="s">
        <v>76</v>
      </c>
      <c r="J710" s="7">
        <v>345</v>
      </c>
      <c r="K710" s="7">
        <v>493.35</v>
      </c>
      <c r="N710" s="4">
        <v>2023</v>
      </c>
      <c r="O710" s="4" t="s">
        <v>65</v>
      </c>
      <c r="P710" s="4" t="s">
        <v>39</v>
      </c>
      <c r="Q710" s="13" t="s">
        <v>40</v>
      </c>
      <c r="R710" s="14">
        <v>644</v>
      </c>
      <c r="S710" s="14">
        <v>5743.5</v>
      </c>
      <c r="T710" s="14">
        <v>6432.72</v>
      </c>
      <c r="U710" s="9">
        <v>1148.7</v>
      </c>
      <c r="V710" s="10" t="s">
        <v>63</v>
      </c>
    </row>
    <row r="711" spans="1:22" ht="18" customHeight="1" x14ac:dyDescent="0.25">
      <c r="A711" s="7" t="s">
        <v>53</v>
      </c>
      <c r="B711" s="7">
        <v>2020</v>
      </c>
      <c r="C711" s="7" t="s">
        <v>70</v>
      </c>
      <c r="D711" s="7" t="s">
        <v>72</v>
      </c>
      <c r="E711" s="7" t="s">
        <v>74</v>
      </c>
      <c r="F711" s="7" t="s">
        <v>75</v>
      </c>
      <c r="G711" s="7" t="s">
        <v>64</v>
      </c>
      <c r="H711" s="7" t="s">
        <v>73</v>
      </c>
      <c r="I711" s="7" t="s">
        <v>76</v>
      </c>
      <c r="J711" s="7">
        <v>127</v>
      </c>
      <c r="K711" s="7">
        <v>181.61</v>
      </c>
      <c r="N711" s="4">
        <v>2023</v>
      </c>
      <c r="O711" s="4" t="s">
        <v>65</v>
      </c>
      <c r="P711" s="4" t="s">
        <v>43</v>
      </c>
      <c r="Q711" s="13" t="s">
        <v>44</v>
      </c>
      <c r="R711" s="14">
        <v>643</v>
      </c>
      <c r="S711" s="14">
        <v>7000</v>
      </c>
      <c r="T711" s="14">
        <v>7840</v>
      </c>
      <c r="U711" s="9">
        <v>1400</v>
      </c>
      <c r="V711" s="10" t="s">
        <v>63</v>
      </c>
    </row>
    <row r="712" spans="1:22" ht="18" customHeight="1" x14ac:dyDescent="0.25">
      <c r="A712" s="7" t="s">
        <v>42</v>
      </c>
      <c r="B712" s="7">
        <v>2020</v>
      </c>
      <c r="C712" s="7" t="s">
        <v>70</v>
      </c>
      <c r="D712" s="7" t="s">
        <v>72</v>
      </c>
      <c r="E712" s="7" t="s">
        <v>74</v>
      </c>
      <c r="F712" s="7" t="s">
        <v>75</v>
      </c>
      <c r="G712" s="7" t="s">
        <v>64</v>
      </c>
      <c r="H712" s="7" t="s">
        <v>73</v>
      </c>
      <c r="I712" s="7" t="s">
        <v>76</v>
      </c>
      <c r="J712" s="7">
        <v>175</v>
      </c>
      <c r="K712" s="7">
        <v>250.25</v>
      </c>
      <c r="N712" s="4">
        <v>2023</v>
      </c>
      <c r="O712" s="4" t="s">
        <v>65</v>
      </c>
      <c r="P712" s="4" t="s">
        <v>39</v>
      </c>
      <c r="Q712" s="13" t="s">
        <v>46</v>
      </c>
      <c r="R712" s="14">
        <v>455</v>
      </c>
      <c r="S712" s="14">
        <v>4578.6000000000004</v>
      </c>
      <c r="T712" s="14">
        <v>5128.0320000000002</v>
      </c>
      <c r="U712" s="9">
        <v>915.72000000000014</v>
      </c>
      <c r="V712" s="10" t="s">
        <v>63</v>
      </c>
    </row>
    <row r="713" spans="1:22" ht="18" customHeight="1" x14ac:dyDescent="0.25">
      <c r="A713" s="7" t="s">
        <v>34</v>
      </c>
      <c r="B713" s="7">
        <v>2020</v>
      </c>
      <c r="C713" s="7" t="s">
        <v>70</v>
      </c>
      <c r="D713" s="7" t="s">
        <v>72</v>
      </c>
      <c r="E713" s="7" t="s">
        <v>74</v>
      </c>
      <c r="F713" s="7" t="s">
        <v>75</v>
      </c>
      <c r="G713" s="7" t="s">
        <v>64</v>
      </c>
      <c r="H713" s="7" t="s">
        <v>73</v>
      </c>
      <c r="I713" s="7" t="s">
        <v>76</v>
      </c>
      <c r="J713" s="7">
        <v>349</v>
      </c>
      <c r="K713" s="7">
        <v>499.07</v>
      </c>
      <c r="N713" s="4">
        <v>2023</v>
      </c>
      <c r="O713" s="4" t="s">
        <v>65</v>
      </c>
      <c r="P713" s="4" t="s">
        <v>43</v>
      </c>
      <c r="Q713" s="13" t="s">
        <v>48</v>
      </c>
      <c r="R713" s="15">
        <v>345</v>
      </c>
      <c r="S713" s="15">
        <v>7000</v>
      </c>
      <c r="T713" s="15">
        <v>7840</v>
      </c>
      <c r="U713" s="9">
        <v>1400</v>
      </c>
      <c r="V713" s="10" t="s">
        <v>63</v>
      </c>
    </row>
    <row r="714" spans="1:22" ht="18" customHeight="1" x14ac:dyDescent="0.25">
      <c r="A714" s="7" t="s">
        <v>34</v>
      </c>
      <c r="B714" s="7">
        <v>2020</v>
      </c>
      <c r="C714" s="7" t="s">
        <v>70</v>
      </c>
      <c r="D714" s="7" t="s">
        <v>72</v>
      </c>
      <c r="E714" s="7" t="s">
        <v>74</v>
      </c>
      <c r="F714" s="7" t="s">
        <v>75</v>
      </c>
      <c r="G714" s="7" t="s">
        <v>64</v>
      </c>
      <c r="H714" s="7" t="s">
        <v>73</v>
      </c>
      <c r="I714" s="7" t="s">
        <v>76</v>
      </c>
      <c r="J714" s="7">
        <v>826</v>
      </c>
      <c r="K714" s="7">
        <v>1181.18</v>
      </c>
      <c r="N714" s="4">
        <v>2023</v>
      </c>
      <c r="O714" s="4" t="s">
        <v>65</v>
      </c>
      <c r="P714" s="4" t="s">
        <v>36</v>
      </c>
      <c r="Q714" s="8" t="s">
        <v>49</v>
      </c>
      <c r="R714" s="9">
        <v>122</v>
      </c>
      <c r="S714" s="9">
        <v>100</v>
      </c>
      <c r="T714" s="9">
        <v>112</v>
      </c>
      <c r="U714" s="9">
        <v>20</v>
      </c>
      <c r="V714" s="10" t="s">
        <v>63</v>
      </c>
    </row>
    <row r="715" spans="1:22" ht="18" customHeight="1" x14ac:dyDescent="0.25">
      <c r="A715" s="7" t="s">
        <v>19</v>
      </c>
      <c r="B715" s="7">
        <v>2020</v>
      </c>
      <c r="C715" s="7" t="s">
        <v>70</v>
      </c>
      <c r="D715" s="7" t="s">
        <v>72</v>
      </c>
      <c r="E715" s="7" t="s">
        <v>74</v>
      </c>
      <c r="F715" s="7" t="s">
        <v>75</v>
      </c>
      <c r="G715" s="7" t="s">
        <v>64</v>
      </c>
      <c r="H715" s="7" t="s">
        <v>73</v>
      </c>
      <c r="I715" s="7" t="s">
        <v>76</v>
      </c>
      <c r="J715" s="7">
        <v>860</v>
      </c>
      <c r="K715" s="7">
        <v>1229.8</v>
      </c>
      <c r="N715" s="4">
        <v>2023</v>
      </c>
      <c r="O715" s="4" t="s">
        <v>65</v>
      </c>
      <c r="P715" s="4" t="s">
        <v>50</v>
      </c>
      <c r="Q715" s="13" t="s">
        <v>51</v>
      </c>
      <c r="R715" s="14">
        <v>78</v>
      </c>
      <c r="S715" s="14">
        <v>2288.6</v>
      </c>
      <c r="T715" s="14">
        <v>5126.4639999999999</v>
      </c>
      <c r="U715" s="9">
        <v>457.72</v>
      </c>
      <c r="V715" s="10" t="s">
        <v>63</v>
      </c>
    </row>
    <row r="716" spans="1:22" ht="18" customHeight="1" x14ac:dyDescent="0.25">
      <c r="A716" s="7" t="s">
        <v>34</v>
      </c>
      <c r="B716" s="7">
        <v>2020</v>
      </c>
      <c r="C716" s="7" t="s">
        <v>70</v>
      </c>
      <c r="D716" s="7" t="s">
        <v>72</v>
      </c>
      <c r="E716" s="7" t="s">
        <v>74</v>
      </c>
      <c r="F716" s="7" t="s">
        <v>75</v>
      </c>
      <c r="G716" s="7" t="s">
        <v>64</v>
      </c>
      <c r="H716" s="7" t="s">
        <v>73</v>
      </c>
      <c r="I716" s="7" t="s">
        <v>76</v>
      </c>
      <c r="J716" s="7">
        <v>347</v>
      </c>
      <c r="K716" s="7">
        <v>496.21000000000004</v>
      </c>
      <c r="N716" s="4">
        <v>2023</v>
      </c>
      <c r="O716" s="4" t="s">
        <v>65</v>
      </c>
      <c r="P716" s="4" t="s">
        <v>50</v>
      </c>
      <c r="Q716" s="13" t="s">
        <v>52</v>
      </c>
      <c r="R716" s="14">
        <v>76</v>
      </c>
      <c r="S716" s="14">
        <v>2288.4499999999998</v>
      </c>
      <c r="T716" s="14">
        <v>5126.1279999999997</v>
      </c>
      <c r="U716" s="9">
        <v>457.69</v>
      </c>
      <c r="V716" s="10" t="s">
        <v>63</v>
      </c>
    </row>
    <row r="717" spans="1:22" ht="18" customHeight="1" x14ac:dyDescent="0.25">
      <c r="A717" s="7" t="s">
        <v>53</v>
      </c>
      <c r="B717" s="7">
        <v>2020</v>
      </c>
      <c r="C717" s="7" t="s">
        <v>69</v>
      </c>
      <c r="D717" s="7" t="s">
        <v>72</v>
      </c>
      <c r="E717" s="7" t="s">
        <v>74</v>
      </c>
      <c r="F717" s="7" t="s">
        <v>75</v>
      </c>
      <c r="G717" s="7" t="s">
        <v>64</v>
      </c>
      <c r="H717" s="7" t="s">
        <v>73</v>
      </c>
      <c r="I717" s="7" t="s">
        <v>76</v>
      </c>
      <c r="J717" s="7">
        <v>134</v>
      </c>
      <c r="K717" s="7">
        <v>191.62</v>
      </c>
      <c r="N717" s="4">
        <v>2023</v>
      </c>
      <c r="O717" s="4" t="s">
        <v>65</v>
      </c>
      <c r="P717" s="4" t="s">
        <v>50</v>
      </c>
      <c r="Q717" s="13" t="s">
        <v>54</v>
      </c>
      <c r="R717" s="14">
        <v>46</v>
      </c>
      <c r="S717" s="14">
        <v>100</v>
      </c>
      <c r="T717" s="14">
        <v>224</v>
      </c>
      <c r="U717" s="9">
        <v>20</v>
      </c>
      <c r="V717" s="10" t="s">
        <v>63</v>
      </c>
    </row>
    <row r="718" spans="1:22" ht="18" customHeight="1" x14ac:dyDescent="0.25">
      <c r="A718" s="7" t="s">
        <v>34</v>
      </c>
      <c r="B718" s="7">
        <v>2020</v>
      </c>
      <c r="C718" s="7" t="s">
        <v>69</v>
      </c>
      <c r="D718" s="7" t="s">
        <v>72</v>
      </c>
      <c r="E718" s="7" t="s">
        <v>74</v>
      </c>
      <c r="F718" s="7" t="s">
        <v>75</v>
      </c>
      <c r="G718" s="7" t="s">
        <v>64</v>
      </c>
      <c r="H718" s="7" t="s">
        <v>73</v>
      </c>
      <c r="I718" s="7" t="s">
        <v>76</v>
      </c>
      <c r="J718" s="7">
        <v>182</v>
      </c>
      <c r="K718" s="7">
        <v>260.26</v>
      </c>
      <c r="N718" s="4">
        <v>2023</v>
      </c>
      <c r="O718" s="4" t="s">
        <v>65</v>
      </c>
      <c r="P718" s="4" t="s">
        <v>50</v>
      </c>
      <c r="Q718" s="13" t="s">
        <v>55</v>
      </c>
      <c r="R718" s="14">
        <v>34</v>
      </c>
      <c r="S718" s="14">
        <v>2288.4</v>
      </c>
      <c r="T718" s="14">
        <v>5126.0160000000005</v>
      </c>
      <c r="U718" s="9">
        <v>457.68000000000006</v>
      </c>
      <c r="V718" s="10" t="s">
        <v>63</v>
      </c>
    </row>
    <row r="719" spans="1:22" ht="18" customHeight="1" x14ac:dyDescent="0.25">
      <c r="A719" s="7" t="s">
        <v>34</v>
      </c>
      <c r="B719" s="7">
        <v>2020</v>
      </c>
      <c r="C719" s="7" t="s">
        <v>69</v>
      </c>
      <c r="D719" s="7" t="s">
        <v>72</v>
      </c>
      <c r="E719" s="7" t="s">
        <v>74</v>
      </c>
      <c r="F719" s="7" t="s">
        <v>75</v>
      </c>
      <c r="G719" s="7" t="s">
        <v>64</v>
      </c>
      <c r="H719" s="7" t="s">
        <v>73</v>
      </c>
      <c r="I719" s="7" t="s">
        <v>76</v>
      </c>
      <c r="J719" s="7">
        <v>136</v>
      </c>
      <c r="K719" s="7">
        <v>194.48</v>
      </c>
      <c r="N719" s="4">
        <v>2023</v>
      </c>
      <c r="O719" s="4" t="s">
        <v>65</v>
      </c>
      <c r="P719" s="4" t="s">
        <v>36</v>
      </c>
      <c r="Q719" s="8" t="s">
        <v>56</v>
      </c>
      <c r="R719" s="9">
        <v>7</v>
      </c>
      <c r="S719" s="9">
        <v>200</v>
      </c>
      <c r="T719" s="9">
        <v>224</v>
      </c>
      <c r="U719" s="9">
        <v>40</v>
      </c>
      <c r="V719" s="10" t="s">
        <v>63</v>
      </c>
    </row>
    <row r="720" spans="1:22" ht="18" customHeight="1" x14ac:dyDescent="0.25">
      <c r="A720" s="7" t="s">
        <v>19</v>
      </c>
      <c r="B720" s="7">
        <v>2020</v>
      </c>
      <c r="C720" s="7" t="s">
        <v>69</v>
      </c>
      <c r="D720" s="7" t="s">
        <v>72</v>
      </c>
      <c r="E720" s="7" t="s">
        <v>74</v>
      </c>
      <c r="F720" s="7" t="s">
        <v>75</v>
      </c>
      <c r="G720" s="7" t="s">
        <v>64</v>
      </c>
      <c r="H720" s="7" t="s">
        <v>73</v>
      </c>
      <c r="I720" s="7" t="s">
        <v>76</v>
      </c>
      <c r="J720" s="7">
        <v>178</v>
      </c>
      <c r="K720" s="7">
        <v>254.54</v>
      </c>
      <c r="N720" s="4">
        <v>2023</v>
      </c>
      <c r="O720" s="4" t="s">
        <v>65</v>
      </c>
      <c r="P720" s="4" t="s">
        <v>50</v>
      </c>
      <c r="Q720" s="13" t="s">
        <v>58</v>
      </c>
      <c r="R720" s="14">
        <v>3</v>
      </c>
      <c r="S720" s="14">
        <v>2288.65</v>
      </c>
      <c r="T720" s="14">
        <v>5126.576</v>
      </c>
      <c r="U720" s="9">
        <v>457.73</v>
      </c>
      <c r="V720" s="10" t="s">
        <v>63</v>
      </c>
    </row>
    <row r="721" spans="1:22" ht="18" customHeight="1" x14ac:dyDescent="0.25">
      <c r="A721" s="7" t="s">
        <v>42</v>
      </c>
      <c r="B721" s="7">
        <v>2020</v>
      </c>
      <c r="C721" s="7" t="s">
        <v>69</v>
      </c>
      <c r="D721" s="7" t="s">
        <v>72</v>
      </c>
      <c r="E721" s="7" t="s">
        <v>74</v>
      </c>
      <c r="F721" s="7" t="s">
        <v>75</v>
      </c>
      <c r="G721" s="7" t="s">
        <v>64</v>
      </c>
      <c r="H721" s="7" t="s">
        <v>73</v>
      </c>
      <c r="I721" s="7" t="s">
        <v>76</v>
      </c>
      <c r="J721" s="7">
        <v>352</v>
      </c>
      <c r="K721" s="7">
        <v>503.36</v>
      </c>
      <c r="N721" s="4">
        <v>2023</v>
      </c>
      <c r="O721" s="4" t="s">
        <v>65</v>
      </c>
      <c r="P721" s="4" t="s">
        <v>57</v>
      </c>
      <c r="Q721" s="13" t="s">
        <v>57</v>
      </c>
      <c r="R721" s="14">
        <v>2</v>
      </c>
      <c r="S721" s="14">
        <v>6600</v>
      </c>
      <c r="T721" s="14">
        <v>7392</v>
      </c>
      <c r="U721" s="9">
        <v>1320</v>
      </c>
      <c r="V721" s="10" t="s">
        <v>63</v>
      </c>
    </row>
    <row r="722" spans="1:22" ht="18" customHeight="1" x14ac:dyDescent="0.25">
      <c r="A722" s="7" t="s">
        <v>34</v>
      </c>
      <c r="B722" s="7">
        <v>2020</v>
      </c>
      <c r="C722" s="7" t="s">
        <v>69</v>
      </c>
      <c r="D722" s="7" t="s">
        <v>72</v>
      </c>
      <c r="E722" s="7" t="s">
        <v>74</v>
      </c>
      <c r="F722" s="7" t="s">
        <v>75</v>
      </c>
      <c r="G722" s="7" t="s">
        <v>64</v>
      </c>
      <c r="H722" s="7" t="s">
        <v>73</v>
      </c>
      <c r="I722" s="7" t="s">
        <v>76</v>
      </c>
      <c r="J722" s="7">
        <v>817</v>
      </c>
      <c r="K722" s="7">
        <v>1168.31</v>
      </c>
      <c r="N722" s="4">
        <v>2024</v>
      </c>
      <c r="O722" s="4" t="s">
        <v>27</v>
      </c>
      <c r="P722" s="4" t="s">
        <v>28</v>
      </c>
      <c r="Q722" s="8" t="s">
        <v>29</v>
      </c>
      <c r="R722" s="9">
        <v>3566</v>
      </c>
      <c r="S722" s="9">
        <v>4577.3</v>
      </c>
      <c r="T722" s="9">
        <v>5126.576</v>
      </c>
      <c r="U722" s="9">
        <v>915.46</v>
      </c>
      <c r="V722" s="10" t="s">
        <v>63</v>
      </c>
    </row>
    <row r="723" spans="1:22" ht="18" customHeight="1" x14ac:dyDescent="0.25">
      <c r="A723" s="7" t="s">
        <v>42</v>
      </c>
      <c r="B723" s="7">
        <v>2020</v>
      </c>
      <c r="C723" s="7" t="s">
        <v>69</v>
      </c>
      <c r="D723" s="7" t="s">
        <v>72</v>
      </c>
      <c r="E723" s="7" t="s">
        <v>74</v>
      </c>
      <c r="F723" s="7" t="s">
        <v>75</v>
      </c>
      <c r="G723" s="7" t="s">
        <v>64</v>
      </c>
      <c r="H723" s="7" t="s">
        <v>73</v>
      </c>
      <c r="I723" s="7" t="s">
        <v>76</v>
      </c>
      <c r="J723" s="7">
        <v>850</v>
      </c>
      <c r="K723" s="7">
        <v>1215.5</v>
      </c>
      <c r="N723" s="4">
        <v>2024</v>
      </c>
      <c r="O723" s="4" t="s">
        <v>27</v>
      </c>
      <c r="P723" s="4" t="s">
        <v>28</v>
      </c>
      <c r="Q723" s="8" t="s">
        <v>32</v>
      </c>
      <c r="R723" s="9">
        <v>2498</v>
      </c>
      <c r="S723" s="9">
        <v>8000</v>
      </c>
      <c r="T723" s="9">
        <v>8960</v>
      </c>
      <c r="U723" s="9">
        <v>1600</v>
      </c>
      <c r="V723" s="10" t="s">
        <v>63</v>
      </c>
    </row>
    <row r="724" spans="1:22" ht="18" customHeight="1" x14ac:dyDescent="0.25">
      <c r="A724" s="7" t="s">
        <v>42</v>
      </c>
      <c r="B724" s="7">
        <v>2020</v>
      </c>
      <c r="C724" s="7" t="s">
        <v>69</v>
      </c>
      <c r="D724" s="7" t="s">
        <v>72</v>
      </c>
      <c r="E724" s="7" t="s">
        <v>74</v>
      </c>
      <c r="F724" s="7" t="s">
        <v>75</v>
      </c>
      <c r="G724" s="7" t="s">
        <v>64</v>
      </c>
      <c r="H724" s="7" t="s">
        <v>73</v>
      </c>
      <c r="I724" s="7" t="s">
        <v>76</v>
      </c>
      <c r="J724" s="7">
        <v>903</v>
      </c>
      <c r="K724" s="7">
        <v>1291.29</v>
      </c>
      <c r="N724" s="4">
        <v>2024</v>
      </c>
      <c r="O724" s="4" t="s">
        <v>27</v>
      </c>
      <c r="P724" s="4" t="s">
        <v>36</v>
      </c>
      <c r="Q724" s="8" t="s">
        <v>37</v>
      </c>
      <c r="R724" s="9">
        <v>1245</v>
      </c>
      <c r="S724" s="9">
        <v>4577.2</v>
      </c>
      <c r="T724" s="9">
        <v>5126.4639999999999</v>
      </c>
      <c r="U724" s="9">
        <v>915.44</v>
      </c>
      <c r="V724" s="10" t="s">
        <v>63</v>
      </c>
    </row>
    <row r="725" spans="1:22" ht="18" customHeight="1" x14ac:dyDescent="0.25">
      <c r="A725" s="7" t="s">
        <v>42</v>
      </c>
      <c r="B725" s="7">
        <v>2020</v>
      </c>
      <c r="C725" s="7" t="s">
        <v>69</v>
      </c>
      <c r="D725" s="7" t="s">
        <v>72</v>
      </c>
      <c r="E725" s="7" t="s">
        <v>74</v>
      </c>
      <c r="F725" s="7" t="s">
        <v>75</v>
      </c>
      <c r="G725" s="7" t="s">
        <v>64</v>
      </c>
      <c r="H725" s="7" t="s">
        <v>73</v>
      </c>
      <c r="I725" s="7" t="s">
        <v>76</v>
      </c>
      <c r="J725" s="7">
        <v>856</v>
      </c>
      <c r="K725" s="7">
        <v>526.24</v>
      </c>
      <c r="N725" s="4">
        <v>2024</v>
      </c>
      <c r="O725" s="4" t="s">
        <v>27</v>
      </c>
      <c r="P725" s="4" t="s">
        <v>39</v>
      </c>
      <c r="Q725" s="13" t="s">
        <v>40</v>
      </c>
      <c r="R725" s="14">
        <v>644</v>
      </c>
      <c r="S725" s="14">
        <v>5743.5</v>
      </c>
      <c r="T725" s="14">
        <v>6432.72</v>
      </c>
      <c r="U725" s="9">
        <v>1148.7</v>
      </c>
      <c r="V725" s="10" t="s">
        <v>63</v>
      </c>
    </row>
    <row r="726" spans="1:22" ht="18" customHeight="1" x14ac:dyDescent="0.25">
      <c r="A726" s="7" t="s">
        <v>34</v>
      </c>
      <c r="B726" s="7">
        <v>2020</v>
      </c>
      <c r="C726" s="7" t="s">
        <v>69</v>
      </c>
      <c r="D726" s="7" t="s">
        <v>72</v>
      </c>
      <c r="E726" s="7" t="s">
        <v>74</v>
      </c>
      <c r="F726" s="7" t="s">
        <v>75</v>
      </c>
      <c r="G726" s="7" t="s">
        <v>64</v>
      </c>
      <c r="H726" s="7" t="s">
        <v>73</v>
      </c>
      <c r="I726" s="7" t="s">
        <v>76</v>
      </c>
      <c r="J726" s="7">
        <v>183</v>
      </c>
      <c r="K726" s="7">
        <v>526.24</v>
      </c>
      <c r="N726" s="4">
        <v>2024</v>
      </c>
      <c r="O726" s="4" t="s">
        <v>27</v>
      </c>
      <c r="P726" s="4" t="s">
        <v>43</v>
      </c>
      <c r="Q726" s="13" t="s">
        <v>44</v>
      </c>
      <c r="R726" s="14">
        <v>643</v>
      </c>
      <c r="S726" s="14">
        <v>7000</v>
      </c>
      <c r="T726" s="14">
        <v>7840</v>
      </c>
      <c r="U726" s="9">
        <v>1400</v>
      </c>
      <c r="V726" s="10" t="s">
        <v>63</v>
      </c>
    </row>
    <row r="727" spans="1:22" ht="18" customHeight="1" x14ac:dyDescent="0.25">
      <c r="A727" s="7" t="s">
        <v>34</v>
      </c>
      <c r="B727" s="7">
        <v>2020</v>
      </c>
      <c r="C727" s="7" t="s">
        <v>69</v>
      </c>
      <c r="D727" s="7" t="s">
        <v>72</v>
      </c>
      <c r="E727" s="7" t="s">
        <v>74</v>
      </c>
      <c r="F727" s="7" t="s">
        <v>75</v>
      </c>
      <c r="G727" s="7" t="s">
        <v>64</v>
      </c>
      <c r="H727" s="7" t="s">
        <v>73</v>
      </c>
      <c r="I727" s="7" t="s">
        <v>76</v>
      </c>
      <c r="J727" s="7">
        <v>351</v>
      </c>
      <c r="K727" s="7">
        <v>501.93</v>
      </c>
      <c r="N727" s="4">
        <v>2024</v>
      </c>
      <c r="O727" s="4" t="s">
        <v>27</v>
      </c>
      <c r="P727" s="4" t="s">
        <v>39</v>
      </c>
      <c r="Q727" s="13" t="s">
        <v>46</v>
      </c>
      <c r="R727" s="14">
        <v>455</v>
      </c>
      <c r="S727" s="14">
        <v>4578.6000000000004</v>
      </c>
      <c r="T727" s="14">
        <v>5128.0320000000002</v>
      </c>
      <c r="U727" s="9">
        <v>915.72000000000014</v>
      </c>
      <c r="V727" s="10" t="s">
        <v>63</v>
      </c>
    </row>
    <row r="728" spans="1:22" ht="18" customHeight="1" x14ac:dyDescent="0.25">
      <c r="A728" s="7" t="s">
        <v>42</v>
      </c>
      <c r="B728" s="7">
        <v>2020</v>
      </c>
      <c r="C728" s="7" t="s">
        <v>69</v>
      </c>
      <c r="D728" s="7" t="s">
        <v>72</v>
      </c>
      <c r="E728" s="7" t="s">
        <v>74</v>
      </c>
      <c r="F728" s="7" t="s">
        <v>75</v>
      </c>
      <c r="G728" s="7" t="s">
        <v>64</v>
      </c>
      <c r="H728" s="7" t="s">
        <v>73</v>
      </c>
      <c r="I728" s="7" t="s">
        <v>76</v>
      </c>
      <c r="J728" s="7">
        <v>133</v>
      </c>
      <c r="K728" s="7">
        <v>190.19</v>
      </c>
      <c r="N728" s="4">
        <v>2024</v>
      </c>
      <c r="O728" s="4" t="s">
        <v>27</v>
      </c>
      <c r="P728" s="4" t="s">
        <v>43</v>
      </c>
      <c r="Q728" s="13" t="s">
        <v>48</v>
      </c>
      <c r="R728" s="15">
        <v>345</v>
      </c>
      <c r="S728" s="15">
        <v>7000</v>
      </c>
      <c r="T728" s="15">
        <v>7840</v>
      </c>
      <c r="U728" s="9">
        <v>1400</v>
      </c>
      <c r="V728" s="10" t="s">
        <v>63</v>
      </c>
    </row>
    <row r="729" spans="1:22" ht="18" customHeight="1" x14ac:dyDescent="0.25">
      <c r="A729" s="7" t="s">
        <v>19</v>
      </c>
      <c r="B729" s="7">
        <v>2020</v>
      </c>
      <c r="C729" s="7" t="s">
        <v>69</v>
      </c>
      <c r="D729" s="7" t="s">
        <v>72</v>
      </c>
      <c r="E729" s="7" t="s">
        <v>74</v>
      </c>
      <c r="F729" s="7" t="s">
        <v>75</v>
      </c>
      <c r="G729" s="7" t="s">
        <v>64</v>
      </c>
      <c r="H729" s="7" t="s">
        <v>73</v>
      </c>
      <c r="I729" s="7" t="s">
        <v>76</v>
      </c>
      <c r="J729" s="7">
        <v>181</v>
      </c>
      <c r="K729" s="7">
        <v>258.83</v>
      </c>
      <c r="N729" s="4">
        <v>2024</v>
      </c>
      <c r="O729" s="4" t="s">
        <v>27</v>
      </c>
      <c r="P729" s="4" t="s">
        <v>36</v>
      </c>
      <c r="Q729" s="8" t="s">
        <v>49</v>
      </c>
      <c r="R729" s="9">
        <v>122</v>
      </c>
      <c r="S729" s="9">
        <v>100</v>
      </c>
      <c r="T729" s="9">
        <v>112</v>
      </c>
      <c r="U729" s="9">
        <v>20</v>
      </c>
      <c r="V729" s="10" t="s">
        <v>63</v>
      </c>
    </row>
    <row r="730" spans="1:22" ht="18" customHeight="1" x14ac:dyDescent="0.25">
      <c r="A730" s="7" t="s">
        <v>34</v>
      </c>
      <c r="B730" s="7">
        <v>2020</v>
      </c>
      <c r="C730" s="7" t="s">
        <v>69</v>
      </c>
      <c r="D730" s="7" t="s">
        <v>72</v>
      </c>
      <c r="E730" s="7" t="s">
        <v>74</v>
      </c>
      <c r="F730" s="7" t="s">
        <v>75</v>
      </c>
      <c r="G730" s="7" t="s">
        <v>64</v>
      </c>
      <c r="H730" s="7" t="s">
        <v>73</v>
      </c>
      <c r="I730" s="7" t="s">
        <v>76</v>
      </c>
      <c r="J730" s="7">
        <v>355</v>
      </c>
      <c r="K730" s="7">
        <v>507.65</v>
      </c>
      <c r="N730" s="4">
        <v>2024</v>
      </c>
      <c r="O730" s="4" t="s">
        <v>27</v>
      </c>
      <c r="P730" s="4" t="s">
        <v>50</v>
      </c>
      <c r="Q730" s="13" t="s">
        <v>51</v>
      </c>
      <c r="R730" s="14">
        <v>78</v>
      </c>
      <c r="S730" s="14">
        <v>4577.2</v>
      </c>
      <c r="T730" s="14">
        <v>5126.4639999999999</v>
      </c>
      <c r="U730" s="9">
        <v>915.44</v>
      </c>
      <c r="V730" s="10" t="s">
        <v>63</v>
      </c>
    </row>
    <row r="731" spans="1:22" ht="18" customHeight="1" x14ac:dyDescent="0.25">
      <c r="A731" s="7" t="s">
        <v>42</v>
      </c>
      <c r="B731" s="7">
        <v>2020</v>
      </c>
      <c r="C731" s="7" t="s">
        <v>69</v>
      </c>
      <c r="D731" s="7" t="s">
        <v>72</v>
      </c>
      <c r="E731" s="7" t="s">
        <v>74</v>
      </c>
      <c r="F731" s="7" t="s">
        <v>75</v>
      </c>
      <c r="G731" s="7" t="s">
        <v>64</v>
      </c>
      <c r="H731" s="7" t="s">
        <v>73</v>
      </c>
      <c r="I731" s="7" t="s">
        <v>76</v>
      </c>
      <c r="J731" s="7">
        <v>859</v>
      </c>
      <c r="K731" s="7">
        <v>1228.3699999999999</v>
      </c>
      <c r="N731" s="4">
        <v>2024</v>
      </c>
      <c r="O731" s="4" t="s">
        <v>27</v>
      </c>
      <c r="P731" s="4" t="s">
        <v>50</v>
      </c>
      <c r="Q731" s="13" t="s">
        <v>52</v>
      </c>
      <c r="R731" s="14">
        <v>76</v>
      </c>
      <c r="S731" s="14">
        <v>4576.8999999999996</v>
      </c>
      <c r="T731" s="14">
        <v>5126.1279999999997</v>
      </c>
      <c r="U731" s="9">
        <v>915.38</v>
      </c>
      <c r="V731" s="10" t="s">
        <v>63</v>
      </c>
    </row>
    <row r="732" spans="1:22" ht="18" customHeight="1" x14ac:dyDescent="0.25">
      <c r="A732" s="7" t="s">
        <v>53</v>
      </c>
      <c r="B732" s="7">
        <v>2020</v>
      </c>
      <c r="C732" s="7" t="s">
        <v>69</v>
      </c>
      <c r="D732" s="7" t="s">
        <v>72</v>
      </c>
      <c r="E732" s="7" t="s">
        <v>74</v>
      </c>
      <c r="F732" s="7" t="s">
        <v>75</v>
      </c>
      <c r="G732" s="7" t="s">
        <v>64</v>
      </c>
      <c r="H732" s="7" t="s">
        <v>73</v>
      </c>
      <c r="I732" s="7" t="s">
        <v>76</v>
      </c>
      <c r="J732" s="7">
        <v>353</v>
      </c>
      <c r="K732" s="7">
        <v>504.78999999999996</v>
      </c>
      <c r="N732" s="4">
        <v>2024</v>
      </c>
      <c r="O732" s="4" t="s">
        <v>27</v>
      </c>
      <c r="P732" s="4" t="s">
        <v>50</v>
      </c>
      <c r="Q732" s="13" t="s">
        <v>54</v>
      </c>
      <c r="R732" s="14">
        <v>46</v>
      </c>
      <c r="S732" s="14">
        <v>200</v>
      </c>
      <c r="T732" s="14">
        <v>224</v>
      </c>
      <c r="U732" s="9">
        <v>40</v>
      </c>
      <c r="V732" s="10" t="s">
        <v>63</v>
      </c>
    </row>
    <row r="733" spans="1:22" ht="18" customHeight="1" x14ac:dyDescent="0.25">
      <c r="A733" s="7" t="s">
        <v>19</v>
      </c>
      <c r="B733" s="7">
        <v>2020</v>
      </c>
      <c r="C733" s="7" t="s">
        <v>62</v>
      </c>
      <c r="D733" s="7" t="s">
        <v>21</v>
      </c>
      <c r="E733" s="7" t="s">
        <v>74</v>
      </c>
      <c r="F733" s="7" t="s">
        <v>23</v>
      </c>
      <c r="G733" s="7" t="s">
        <v>64</v>
      </c>
      <c r="H733" s="7" t="s">
        <v>73</v>
      </c>
      <c r="I733" s="7" t="s">
        <v>35</v>
      </c>
      <c r="J733" s="7">
        <v>364</v>
      </c>
      <c r="K733" s="7">
        <v>520.52</v>
      </c>
      <c r="N733" s="4">
        <v>2024</v>
      </c>
      <c r="O733" s="4" t="s">
        <v>27</v>
      </c>
      <c r="P733" s="4" t="s">
        <v>50</v>
      </c>
      <c r="Q733" s="13" t="s">
        <v>55</v>
      </c>
      <c r="R733" s="14">
        <v>34</v>
      </c>
      <c r="S733" s="14">
        <v>4576.8</v>
      </c>
      <c r="T733" s="14">
        <v>5126.0160000000005</v>
      </c>
      <c r="U733" s="9">
        <v>915.36000000000013</v>
      </c>
      <c r="V733" s="10" t="s">
        <v>63</v>
      </c>
    </row>
    <row r="734" spans="1:22" ht="18" customHeight="1" x14ac:dyDescent="0.25">
      <c r="A734" s="7" t="s">
        <v>34</v>
      </c>
      <c r="B734" s="7">
        <v>2020</v>
      </c>
      <c r="C734" s="7" t="s">
        <v>62</v>
      </c>
      <c r="D734" s="7" t="s">
        <v>21</v>
      </c>
      <c r="E734" s="7" t="s">
        <v>74</v>
      </c>
      <c r="F734" s="7" t="s">
        <v>23</v>
      </c>
      <c r="G734" s="7" t="s">
        <v>64</v>
      </c>
      <c r="H734" s="7" t="s">
        <v>73</v>
      </c>
      <c r="I734" s="7" t="s">
        <v>26</v>
      </c>
      <c r="J734" s="7">
        <v>358</v>
      </c>
      <c r="K734" s="7">
        <v>511.94</v>
      </c>
      <c r="N734" s="4">
        <v>2024</v>
      </c>
      <c r="O734" s="4" t="s">
        <v>27</v>
      </c>
      <c r="P734" s="4" t="s">
        <v>36</v>
      </c>
      <c r="Q734" s="8" t="s">
        <v>56</v>
      </c>
      <c r="R734" s="9">
        <v>7</v>
      </c>
      <c r="S734" s="9">
        <v>200</v>
      </c>
      <c r="T734" s="9">
        <v>224</v>
      </c>
      <c r="U734" s="9">
        <v>40</v>
      </c>
      <c r="V734" s="10" t="s">
        <v>63</v>
      </c>
    </row>
    <row r="735" spans="1:22" ht="18" customHeight="1" x14ac:dyDescent="0.25">
      <c r="A735" s="7" t="s">
        <v>19</v>
      </c>
      <c r="B735" s="7">
        <v>2020</v>
      </c>
      <c r="C735" s="7" t="s">
        <v>62</v>
      </c>
      <c r="D735" s="7" t="s">
        <v>21</v>
      </c>
      <c r="E735" s="7" t="s">
        <v>74</v>
      </c>
      <c r="F735" s="7" t="s">
        <v>23</v>
      </c>
      <c r="G735" s="7" t="s">
        <v>64</v>
      </c>
      <c r="H735" s="7" t="s">
        <v>73</v>
      </c>
      <c r="I735" s="7" t="s">
        <v>35</v>
      </c>
      <c r="J735" s="7">
        <v>367</v>
      </c>
      <c r="K735" s="7">
        <v>524.80999999999995</v>
      </c>
      <c r="N735" s="4">
        <v>2024</v>
      </c>
      <c r="O735" s="4" t="s">
        <v>27</v>
      </c>
      <c r="P735" s="4" t="s">
        <v>57</v>
      </c>
      <c r="Q735" s="13" t="s">
        <v>57</v>
      </c>
      <c r="R735" s="14">
        <v>3</v>
      </c>
      <c r="S735" s="14">
        <v>6600</v>
      </c>
      <c r="T735" s="14">
        <v>7392</v>
      </c>
      <c r="U735" s="9">
        <v>1320</v>
      </c>
      <c r="V735" s="10" t="s">
        <v>63</v>
      </c>
    </row>
    <row r="736" spans="1:22" ht="18" customHeight="1" x14ac:dyDescent="0.25">
      <c r="A736" s="7" t="s">
        <v>61</v>
      </c>
      <c r="B736" s="7">
        <v>2020</v>
      </c>
      <c r="C736" s="7" t="s">
        <v>62</v>
      </c>
      <c r="D736" s="7" t="s">
        <v>21</v>
      </c>
      <c r="E736" s="7" t="s">
        <v>74</v>
      </c>
      <c r="F736" s="7" t="s">
        <v>23</v>
      </c>
      <c r="G736" s="7" t="s">
        <v>64</v>
      </c>
      <c r="H736" s="7" t="s">
        <v>73</v>
      </c>
      <c r="I736" s="7" t="s">
        <v>26</v>
      </c>
      <c r="J736" s="7">
        <v>361</v>
      </c>
      <c r="K736" s="7">
        <v>516.23</v>
      </c>
      <c r="N736" s="4">
        <v>2024</v>
      </c>
      <c r="O736" s="4" t="s">
        <v>27</v>
      </c>
      <c r="P736" s="4" t="s">
        <v>50</v>
      </c>
      <c r="Q736" s="13" t="s">
        <v>58</v>
      </c>
      <c r="R736" s="14">
        <v>3</v>
      </c>
      <c r="S736" s="14">
        <v>4577.3</v>
      </c>
      <c r="T736" s="14">
        <v>5126.576</v>
      </c>
      <c r="U736" s="9">
        <v>915.46</v>
      </c>
      <c r="V736" s="10" t="s">
        <v>63</v>
      </c>
    </row>
    <row r="737" spans="1:22" ht="18" customHeight="1" x14ac:dyDescent="0.25">
      <c r="A737" s="7" t="s">
        <v>19</v>
      </c>
      <c r="B737" s="7">
        <v>2020</v>
      </c>
      <c r="C737" s="7" t="s">
        <v>62</v>
      </c>
      <c r="D737" s="7" t="s">
        <v>21</v>
      </c>
      <c r="E737" s="7" t="s">
        <v>74</v>
      </c>
      <c r="F737" s="7" t="s">
        <v>75</v>
      </c>
      <c r="G737" s="7" t="s">
        <v>64</v>
      </c>
      <c r="H737" s="7" t="s">
        <v>73</v>
      </c>
      <c r="I737" s="7" t="s">
        <v>26</v>
      </c>
      <c r="J737" s="7">
        <v>355</v>
      </c>
      <c r="K737" s="7">
        <v>507.65</v>
      </c>
      <c r="N737" s="4">
        <v>2024</v>
      </c>
      <c r="O737" s="4" t="s">
        <v>59</v>
      </c>
      <c r="P737" s="4" t="s">
        <v>28</v>
      </c>
      <c r="Q737" s="8" t="s">
        <v>29</v>
      </c>
      <c r="R737" s="9">
        <v>3566</v>
      </c>
      <c r="S737" s="9">
        <v>4577.3</v>
      </c>
      <c r="T737" s="9">
        <v>5126.576</v>
      </c>
      <c r="U737" s="9">
        <v>915.46</v>
      </c>
      <c r="V737" s="10" t="s">
        <v>63</v>
      </c>
    </row>
    <row r="738" spans="1:22" ht="18" customHeight="1" x14ac:dyDescent="0.25">
      <c r="A738" s="7" t="s">
        <v>53</v>
      </c>
      <c r="B738" s="7">
        <v>2020</v>
      </c>
      <c r="C738" s="7" t="s">
        <v>59</v>
      </c>
      <c r="D738" s="7" t="s">
        <v>72</v>
      </c>
      <c r="E738" s="7" t="s">
        <v>74</v>
      </c>
      <c r="F738" s="7" t="s">
        <v>23</v>
      </c>
      <c r="G738" s="7" t="s">
        <v>24</v>
      </c>
      <c r="H738" s="7" t="s">
        <v>73</v>
      </c>
      <c r="I738" s="7" t="s">
        <v>35</v>
      </c>
      <c r="J738" s="7">
        <v>780</v>
      </c>
      <c r="K738" s="7">
        <v>1115.4000000000001</v>
      </c>
      <c r="N738" s="4">
        <v>2024</v>
      </c>
      <c r="O738" s="4" t="s">
        <v>59</v>
      </c>
      <c r="P738" s="4" t="s">
        <v>28</v>
      </c>
      <c r="Q738" s="8" t="s">
        <v>32</v>
      </c>
      <c r="R738" s="9">
        <v>2498</v>
      </c>
      <c r="S738" s="9">
        <v>8000</v>
      </c>
      <c r="T738" s="9">
        <v>8960</v>
      </c>
      <c r="U738" s="9">
        <v>1600</v>
      </c>
      <c r="V738" s="10" t="s">
        <v>63</v>
      </c>
    </row>
    <row r="739" spans="1:22" ht="18" customHeight="1" x14ac:dyDescent="0.25">
      <c r="A739" s="7" t="s">
        <v>42</v>
      </c>
      <c r="B739" s="7">
        <v>2020</v>
      </c>
      <c r="C739" s="7" t="s">
        <v>59</v>
      </c>
      <c r="D739" s="7" t="s">
        <v>72</v>
      </c>
      <c r="E739" s="7" t="s">
        <v>74</v>
      </c>
      <c r="F739" s="7" t="s">
        <v>23</v>
      </c>
      <c r="G739" s="7" t="s">
        <v>24</v>
      </c>
      <c r="H739" s="7" t="s">
        <v>73</v>
      </c>
      <c r="I739" s="7" t="s">
        <v>35</v>
      </c>
      <c r="J739" s="7">
        <v>781</v>
      </c>
      <c r="K739" s="7">
        <v>1116.83</v>
      </c>
      <c r="N739" s="4">
        <v>2024</v>
      </c>
      <c r="O739" s="4" t="s">
        <v>59</v>
      </c>
      <c r="P739" s="4" t="s">
        <v>36</v>
      </c>
      <c r="Q739" s="8" t="s">
        <v>37</v>
      </c>
      <c r="R739" s="9">
        <v>1245</v>
      </c>
      <c r="S739" s="9">
        <v>4577.2</v>
      </c>
      <c r="T739" s="9">
        <v>5126.4639999999999</v>
      </c>
      <c r="U739" s="9">
        <v>915.44</v>
      </c>
      <c r="V739" s="10" t="s">
        <v>63</v>
      </c>
    </row>
    <row r="740" spans="1:22" ht="18" customHeight="1" x14ac:dyDescent="0.25">
      <c r="A740" s="7" t="s">
        <v>19</v>
      </c>
      <c r="B740" s="7">
        <v>2020</v>
      </c>
      <c r="C740" s="7" t="s">
        <v>59</v>
      </c>
      <c r="D740" s="7" t="s">
        <v>72</v>
      </c>
      <c r="E740" s="7" t="s">
        <v>74</v>
      </c>
      <c r="F740" s="7" t="s">
        <v>23</v>
      </c>
      <c r="G740" s="7" t="s">
        <v>24</v>
      </c>
      <c r="H740" s="7" t="s">
        <v>73</v>
      </c>
      <c r="I740" s="7" t="s">
        <v>35</v>
      </c>
      <c r="J740" s="7">
        <v>782</v>
      </c>
      <c r="K740" s="7">
        <v>1118.26</v>
      </c>
      <c r="N740" s="4">
        <v>2024</v>
      </c>
      <c r="O740" s="4" t="s">
        <v>59</v>
      </c>
      <c r="P740" s="4" t="s">
        <v>39</v>
      </c>
      <c r="Q740" s="13" t="s">
        <v>40</v>
      </c>
      <c r="R740" s="14">
        <v>644</v>
      </c>
      <c r="S740" s="14">
        <v>5743.5</v>
      </c>
      <c r="T740" s="14">
        <v>6432.72</v>
      </c>
      <c r="U740" s="9">
        <v>1148.7</v>
      </c>
      <c r="V740" s="10" t="s">
        <v>63</v>
      </c>
    </row>
    <row r="741" spans="1:22" ht="18" customHeight="1" x14ac:dyDescent="0.25">
      <c r="A741" s="7" t="s">
        <v>34</v>
      </c>
      <c r="B741" s="7">
        <v>2020</v>
      </c>
      <c r="C741" s="7" t="s">
        <v>59</v>
      </c>
      <c r="D741" s="7" t="s">
        <v>72</v>
      </c>
      <c r="E741" s="7" t="s">
        <v>74</v>
      </c>
      <c r="F741" s="7" t="s">
        <v>23</v>
      </c>
      <c r="G741" s="7" t="s">
        <v>24</v>
      </c>
      <c r="H741" s="7" t="s">
        <v>73</v>
      </c>
      <c r="I741" s="7" t="s">
        <v>35</v>
      </c>
      <c r="J741" s="7">
        <v>820</v>
      </c>
      <c r="K741" s="7">
        <v>526.24</v>
      </c>
      <c r="N741" s="4">
        <v>2024</v>
      </c>
      <c r="O741" s="4" t="s">
        <v>59</v>
      </c>
      <c r="P741" s="4" t="s">
        <v>43</v>
      </c>
      <c r="Q741" s="13" t="s">
        <v>44</v>
      </c>
      <c r="R741" s="14">
        <v>643</v>
      </c>
      <c r="S741" s="14">
        <v>7000</v>
      </c>
      <c r="T741" s="14">
        <v>7840</v>
      </c>
      <c r="U741" s="9">
        <v>1400</v>
      </c>
      <c r="V741" s="10" t="s">
        <v>63</v>
      </c>
    </row>
    <row r="742" spans="1:22" ht="18" customHeight="1" x14ac:dyDescent="0.25">
      <c r="A742" s="7" t="s">
        <v>34</v>
      </c>
      <c r="B742" s="7">
        <v>2020</v>
      </c>
      <c r="C742" s="7" t="s">
        <v>59</v>
      </c>
      <c r="D742" s="7" t="s">
        <v>72</v>
      </c>
      <c r="E742" s="7" t="s">
        <v>74</v>
      </c>
      <c r="F742" s="7" t="s">
        <v>23</v>
      </c>
      <c r="G742" s="7" t="s">
        <v>24</v>
      </c>
      <c r="H742" s="7" t="s">
        <v>73</v>
      </c>
      <c r="I742" s="7" t="s">
        <v>35</v>
      </c>
      <c r="J742" s="7">
        <v>821</v>
      </c>
      <c r="K742" s="7">
        <v>526.24</v>
      </c>
      <c r="N742" s="4">
        <v>2024</v>
      </c>
      <c r="O742" s="4" t="s">
        <v>59</v>
      </c>
      <c r="P742" s="4" t="s">
        <v>39</v>
      </c>
      <c r="Q742" s="13" t="s">
        <v>46</v>
      </c>
      <c r="R742" s="14">
        <v>455</v>
      </c>
      <c r="S742" s="14">
        <v>4578.6000000000004</v>
      </c>
      <c r="T742" s="14">
        <v>5128.0320000000002</v>
      </c>
      <c r="U742" s="9">
        <v>915.72000000000014</v>
      </c>
      <c r="V742" s="10" t="s">
        <v>63</v>
      </c>
    </row>
    <row r="743" spans="1:22" ht="18" customHeight="1" x14ac:dyDescent="0.25">
      <c r="A743" s="7" t="s">
        <v>42</v>
      </c>
      <c r="B743" s="7">
        <v>2020</v>
      </c>
      <c r="C743" s="7" t="s">
        <v>27</v>
      </c>
      <c r="D743" s="7" t="s">
        <v>72</v>
      </c>
      <c r="E743" s="7" t="s">
        <v>74</v>
      </c>
      <c r="F743" s="7" t="s">
        <v>23</v>
      </c>
      <c r="G743" s="7" t="s">
        <v>24</v>
      </c>
      <c r="H743" s="7" t="s">
        <v>73</v>
      </c>
      <c r="I743" s="7" t="s">
        <v>26</v>
      </c>
      <c r="J743" s="7">
        <v>362</v>
      </c>
      <c r="K743" s="7">
        <v>517.66</v>
      </c>
      <c r="N743" s="4">
        <v>2024</v>
      </c>
      <c r="O743" s="4" t="s">
        <v>59</v>
      </c>
      <c r="P743" s="4" t="s">
        <v>43</v>
      </c>
      <c r="Q743" s="13" t="s">
        <v>48</v>
      </c>
      <c r="R743" s="15">
        <v>345</v>
      </c>
      <c r="S743" s="15">
        <v>7000</v>
      </c>
      <c r="T743" s="15">
        <v>7840</v>
      </c>
      <c r="U743" s="9">
        <v>1400</v>
      </c>
      <c r="V743" s="10" t="s">
        <v>63</v>
      </c>
    </row>
    <row r="744" spans="1:22" ht="18" customHeight="1" x14ac:dyDescent="0.25">
      <c r="A744" s="7" t="s">
        <v>42</v>
      </c>
      <c r="B744" s="7">
        <v>2020</v>
      </c>
      <c r="C744" s="7" t="s">
        <v>27</v>
      </c>
      <c r="D744" s="7" t="s">
        <v>72</v>
      </c>
      <c r="E744" s="7" t="s">
        <v>74</v>
      </c>
      <c r="F744" s="7" t="s">
        <v>23</v>
      </c>
      <c r="G744" s="7" t="s">
        <v>24</v>
      </c>
      <c r="H744" s="7" t="s">
        <v>73</v>
      </c>
      <c r="I744" s="7" t="s">
        <v>26</v>
      </c>
      <c r="J744" s="7">
        <v>779</v>
      </c>
      <c r="K744" s="7">
        <v>1113.97</v>
      </c>
      <c r="N744" s="4">
        <v>2024</v>
      </c>
      <c r="O744" s="4" t="s">
        <v>59</v>
      </c>
      <c r="P744" s="4" t="s">
        <v>36</v>
      </c>
      <c r="Q744" s="8" t="s">
        <v>49</v>
      </c>
      <c r="R744" s="9">
        <v>122</v>
      </c>
      <c r="S744" s="9">
        <v>100</v>
      </c>
      <c r="T744" s="9">
        <v>112</v>
      </c>
      <c r="U744" s="9">
        <v>20</v>
      </c>
      <c r="V744" s="10" t="s">
        <v>63</v>
      </c>
    </row>
    <row r="745" spans="1:22" ht="18" customHeight="1" x14ac:dyDescent="0.25">
      <c r="A745" s="7" t="s">
        <v>53</v>
      </c>
      <c r="B745" s="7">
        <v>2020</v>
      </c>
      <c r="C745" s="7" t="s">
        <v>27</v>
      </c>
      <c r="D745" s="7" t="s">
        <v>72</v>
      </c>
      <c r="E745" s="7" t="s">
        <v>74</v>
      </c>
      <c r="F745" s="7" t="s">
        <v>23</v>
      </c>
      <c r="G745" s="7" t="s">
        <v>24</v>
      </c>
      <c r="H745" s="7" t="s">
        <v>73</v>
      </c>
      <c r="I745" s="7" t="s">
        <v>26</v>
      </c>
      <c r="J745" s="7">
        <v>819</v>
      </c>
      <c r="K745" s="7">
        <v>526.24</v>
      </c>
      <c r="N745" s="4">
        <v>2024</v>
      </c>
      <c r="O745" s="4" t="s">
        <v>59</v>
      </c>
      <c r="P745" s="4" t="s">
        <v>50</v>
      </c>
      <c r="Q745" s="13" t="s">
        <v>51</v>
      </c>
      <c r="R745" s="14">
        <v>78</v>
      </c>
      <c r="S745" s="14">
        <v>4577.2</v>
      </c>
      <c r="T745" s="14">
        <v>5126.4639999999999</v>
      </c>
      <c r="U745" s="9">
        <v>915.44</v>
      </c>
      <c r="V745" s="10" t="s">
        <v>63</v>
      </c>
    </row>
    <row r="746" spans="1:22" ht="18" customHeight="1" x14ac:dyDescent="0.25">
      <c r="A746" s="7" t="s">
        <v>53</v>
      </c>
      <c r="B746" s="7">
        <v>2020</v>
      </c>
      <c r="C746" s="7" t="s">
        <v>27</v>
      </c>
      <c r="D746" s="7" t="s">
        <v>72</v>
      </c>
      <c r="E746" s="7" t="s">
        <v>74</v>
      </c>
      <c r="F746" s="7" t="s">
        <v>23</v>
      </c>
      <c r="G746" s="7" t="s">
        <v>24</v>
      </c>
      <c r="H746" s="7" t="s">
        <v>73</v>
      </c>
      <c r="I746" s="7" t="s">
        <v>26</v>
      </c>
      <c r="J746" s="7">
        <v>361</v>
      </c>
      <c r="K746" s="7">
        <v>516.23</v>
      </c>
      <c r="N746" s="4">
        <v>2024</v>
      </c>
      <c r="O746" s="4" t="s">
        <v>59</v>
      </c>
      <c r="P746" s="4" t="s">
        <v>50</v>
      </c>
      <c r="Q746" s="13" t="s">
        <v>52</v>
      </c>
      <c r="R746" s="14">
        <v>76</v>
      </c>
      <c r="S746" s="14">
        <v>4576.8999999999996</v>
      </c>
      <c r="T746" s="14">
        <v>5126.1279999999997</v>
      </c>
      <c r="U746" s="9">
        <v>915.38</v>
      </c>
      <c r="V746" s="10" t="s">
        <v>63</v>
      </c>
    </row>
    <row r="747" spans="1:22" ht="18" customHeight="1" x14ac:dyDescent="0.25">
      <c r="A747" s="7" t="s">
        <v>34</v>
      </c>
      <c r="B747" s="7">
        <v>2020</v>
      </c>
      <c r="C747" s="7" t="s">
        <v>62</v>
      </c>
      <c r="D747" s="7" t="s">
        <v>72</v>
      </c>
      <c r="E747" s="7" t="s">
        <v>74</v>
      </c>
      <c r="F747" s="7" t="s">
        <v>23</v>
      </c>
      <c r="G747" s="7" t="s">
        <v>24</v>
      </c>
      <c r="H747" s="7" t="s">
        <v>73</v>
      </c>
      <c r="I747" s="7" t="s">
        <v>35</v>
      </c>
      <c r="J747" s="7">
        <v>822</v>
      </c>
      <c r="K747" s="7">
        <v>526.24</v>
      </c>
      <c r="N747" s="4">
        <v>2024</v>
      </c>
      <c r="O747" s="4" t="s">
        <v>59</v>
      </c>
      <c r="P747" s="4" t="s">
        <v>50</v>
      </c>
      <c r="Q747" s="13" t="s">
        <v>54</v>
      </c>
      <c r="R747" s="14">
        <v>46</v>
      </c>
      <c r="S747" s="14">
        <v>200</v>
      </c>
      <c r="T747" s="14">
        <v>224</v>
      </c>
      <c r="U747" s="9">
        <v>40</v>
      </c>
      <c r="V747" s="10" t="s">
        <v>63</v>
      </c>
    </row>
    <row r="748" spans="1:22" ht="18" customHeight="1" x14ac:dyDescent="0.25">
      <c r="A748" s="7" t="s">
        <v>34</v>
      </c>
      <c r="B748" s="7">
        <v>2021</v>
      </c>
      <c r="C748" s="7" t="s">
        <v>65</v>
      </c>
      <c r="D748" s="7" t="s">
        <v>21</v>
      </c>
      <c r="E748" s="7" t="s">
        <v>22</v>
      </c>
      <c r="F748" s="7" t="s">
        <v>23</v>
      </c>
      <c r="G748" s="7" t="s">
        <v>64</v>
      </c>
      <c r="H748" s="7" t="s">
        <v>25</v>
      </c>
      <c r="I748" s="7" t="s">
        <v>26</v>
      </c>
      <c r="J748" s="7">
        <v>278</v>
      </c>
      <c r="K748" s="7">
        <v>397.53999999999996</v>
      </c>
      <c r="N748" s="4">
        <v>2024</v>
      </c>
      <c r="O748" s="4" t="s">
        <v>59</v>
      </c>
      <c r="P748" s="4" t="s">
        <v>50</v>
      </c>
      <c r="Q748" s="13" t="s">
        <v>55</v>
      </c>
      <c r="R748" s="14">
        <v>34</v>
      </c>
      <c r="S748" s="14">
        <v>4576.8</v>
      </c>
      <c r="T748" s="14">
        <v>5126.0160000000005</v>
      </c>
      <c r="U748" s="9">
        <v>915.36000000000013</v>
      </c>
      <c r="V748" s="10" t="s">
        <v>63</v>
      </c>
    </row>
    <row r="749" spans="1:22" ht="18" customHeight="1" x14ac:dyDescent="0.25">
      <c r="A749" s="7" t="s">
        <v>19</v>
      </c>
      <c r="B749" s="7">
        <v>2021</v>
      </c>
      <c r="C749" s="7" t="s">
        <v>65</v>
      </c>
      <c r="D749" s="7" t="s">
        <v>21</v>
      </c>
      <c r="E749" s="7" t="s">
        <v>22</v>
      </c>
      <c r="F749" s="7" t="s">
        <v>23</v>
      </c>
      <c r="G749" s="7" t="s">
        <v>64</v>
      </c>
      <c r="H749" s="7" t="s">
        <v>25</v>
      </c>
      <c r="I749" s="7" t="s">
        <v>26</v>
      </c>
      <c r="J749" s="7">
        <v>272</v>
      </c>
      <c r="K749" s="7">
        <v>388.96</v>
      </c>
      <c r="N749" s="4">
        <v>2024</v>
      </c>
      <c r="O749" s="4" t="s">
        <v>59</v>
      </c>
      <c r="P749" s="4" t="s">
        <v>36</v>
      </c>
      <c r="Q749" s="8" t="s">
        <v>56</v>
      </c>
      <c r="R749" s="9">
        <v>7</v>
      </c>
      <c r="S749" s="9">
        <v>200</v>
      </c>
      <c r="T749" s="9">
        <v>224</v>
      </c>
      <c r="U749" s="9">
        <v>40</v>
      </c>
      <c r="V749" s="10" t="s">
        <v>63</v>
      </c>
    </row>
    <row r="750" spans="1:22" ht="18" customHeight="1" x14ac:dyDescent="0.25">
      <c r="A750" s="7" t="s">
        <v>19</v>
      </c>
      <c r="B750" s="7">
        <v>2021</v>
      </c>
      <c r="C750" s="7" t="s">
        <v>65</v>
      </c>
      <c r="D750" s="7" t="s">
        <v>21</v>
      </c>
      <c r="E750" s="7" t="s">
        <v>22</v>
      </c>
      <c r="F750" s="7" t="s">
        <v>23</v>
      </c>
      <c r="G750" s="7" t="s">
        <v>64</v>
      </c>
      <c r="H750" s="7" t="s">
        <v>25</v>
      </c>
      <c r="I750" s="7" t="s">
        <v>26</v>
      </c>
      <c r="J750" s="7">
        <v>266</v>
      </c>
      <c r="K750" s="7">
        <v>380.38</v>
      </c>
      <c r="N750" s="4">
        <v>2024</v>
      </c>
      <c r="O750" s="4" t="s">
        <v>59</v>
      </c>
      <c r="P750" s="4" t="s">
        <v>50</v>
      </c>
      <c r="Q750" s="13" t="s">
        <v>58</v>
      </c>
      <c r="R750" s="14">
        <v>3</v>
      </c>
      <c r="S750" s="14">
        <v>4577.3</v>
      </c>
      <c r="T750" s="14">
        <v>5126.576</v>
      </c>
      <c r="U750" s="9">
        <v>915.46</v>
      </c>
      <c r="V750" s="10" t="s">
        <v>63</v>
      </c>
    </row>
    <row r="751" spans="1:22" ht="18" customHeight="1" x14ac:dyDescent="0.25">
      <c r="A751" s="7" t="s">
        <v>42</v>
      </c>
      <c r="B751" s="7">
        <v>2021</v>
      </c>
      <c r="C751" s="7" t="s">
        <v>65</v>
      </c>
      <c r="D751" s="7" t="s">
        <v>21</v>
      </c>
      <c r="E751" s="7" t="s">
        <v>22</v>
      </c>
      <c r="F751" s="7" t="s">
        <v>23</v>
      </c>
      <c r="G751" s="7" t="s">
        <v>64</v>
      </c>
      <c r="H751" s="7" t="s">
        <v>25</v>
      </c>
      <c r="I751" s="7" t="s">
        <v>26</v>
      </c>
      <c r="J751" s="7">
        <v>276</v>
      </c>
      <c r="K751" s="7">
        <v>526.24</v>
      </c>
      <c r="N751" s="4">
        <v>2024</v>
      </c>
      <c r="O751" s="4" t="s">
        <v>59</v>
      </c>
      <c r="P751" s="4" t="s">
        <v>57</v>
      </c>
      <c r="Q751" s="13" t="s">
        <v>57</v>
      </c>
      <c r="R751" s="14">
        <v>2</v>
      </c>
      <c r="S751" s="14">
        <v>6600</v>
      </c>
      <c r="T751" s="14">
        <v>7392</v>
      </c>
      <c r="U751" s="9">
        <v>1320</v>
      </c>
      <c r="V751" s="10" t="s">
        <v>63</v>
      </c>
    </row>
    <row r="752" spans="1:22" ht="18" customHeight="1" x14ac:dyDescent="0.25">
      <c r="A752" s="7" t="s">
        <v>34</v>
      </c>
      <c r="B752" s="7">
        <v>2021</v>
      </c>
      <c r="C752" s="7" t="s">
        <v>65</v>
      </c>
      <c r="D752" s="7" t="s">
        <v>21</v>
      </c>
      <c r="E752" s="7" t="s">
        <v>22</v>
      </c>
      <c r="F752" s="7" t="s">
        <v>23</v>
      </c>
      <c r="G752" s="7" t="s">
        <v>64</v>
      </c>
      <c r="H752" s="7" t="s">
        <v>25</v>
      </c>
      <c r="I752" s="7" t="s">
        <v>26</v>
      </c>
      <c r="J752" s="7">
        <v>270</v>
      </c>
      <c r="K752" s="7">
        <v>526.24</v>
      </c>
      <c r="N752" s="4">
        <v>2024</v>
      </c>
      <c r="O752" s="4" t="s">
        <v>62</v>
      </c>
      <c r="P752" s="4" t="s">
        <v>28</v>
      </c>
      <c r="Q752" s="8" t="s">
        <v>29</v>
      </c>
      <c r="R752" s="9">
        <v>3566</v>
      </c>
      <c r="S752" s="9">
        <v>4577.3</v>
      </c>
      <c r="T752" s="9">
        <v>5126.576</v>
      </c>
      <c r="U752" s="9">
        <v>915.46</v>
      </c>
      <c r="V752" s="10" t="s">
        <v>63</v>
      </c>
    </row>
    <row r="753" spans="1:22" ht="18" customHeight="1" x14ac:dyDescent="0.25">
      <c r="A753" s="7" t="s">
        <v>34</v>
      </c>
      <c r="B753" s="7">
        <v>2021</v>
      </c>
      <c r="C753" s="7" t="s">
        <v>65</v>
      </c>
      <c r="D753" s="7" t="s">
        <v>21</v>
      </c>
      <c r="E753" s="7" t="s">
        <v>22</v>
      </c>
      <c r="F753" s="7" t="s">
        <v>23</v>
      </c>
      <c r="G753" s="7" t="s">
        <v>64</v>
      </c>
      <c r="H753" s="7" t="s">
        <v>25</v>
      </c>
      <c r="I753" s="7" t="s">
        <v>26</v>
      </c>
      <c r="J753" s="7">
        <v>279</v>
      </c>
      <c r="K753" s="7">
        <v>398.97</v>
      </c>
      <c r="N753" s="4">
        <v>2024</v>
      </c>
      <c r="O753" s="4" t="s">
        <v>62</v>
      </c>
      <c r="P753" s="4" t="s">
        <v>28</v>
      </c>
      <c r="Q753" s="8" t="s">
        <v>32</v>
      </c>
      <c r="R753" s="9">
        <v>2498</v>
      </c>
      <c r="S753" s="9">
        <v>8000</v>
      </c>
      <c r="T753" s="9">
        <v>8960</v>
      </c>
      <c r="U753" s="9">
        <v>1600</v>
      </c>
      <c r="V753" s="10" t="s">
        <v>63</v>
      </c>
    </row>
    <row r="754" spans="1:22" ht="18" customHeight="1" x14ac:dyDescent="0.25">
      <c r="A754" s="7" t="s">
        <v>34</v>
      </c>
      <c r="B754" s="7">
        <v>2021</v>
      </c>
      <c r="C754" s="7" t="s">
        <v>65</v>
      </c>
      <c r="D754" s="7" t="s">
        <v>21</v>
      </c>
      <c r="E754" s="7" t="s">
        <v>22</v>
      </c>
      <c r="F754" s="7" t="s">
        <v>23</v>
      </c>
      <c r="G754" s="7" t="s">
        <v>64</v>
      </c>
      <c r="H754" s="7" t="s">
        <v>25</v>
      </c>
      <c r="I754" s="7" t="s">
        <v>26</v>
      </c>
      <c r="J754" s="7">
        <v>273</v>
      </c>
      <c r="K754" s="7">
        <v>390.39</v>
      </c>
      <c r="N754" s="4">
        <v>2024</v>
      </c>
      <c r="O754" s="4" t="s">
        <v>62</v>
      </c>
      <c r="P754" s="4" t="s">
        <v>36</v>
      </c>
      <c r="Q754" s="8" t="s">
        <v>37</v>
      </c>
      <c r="R754" s="9">
        <v>1245</v>
      </c>
      <c r="S754" s="9">
        <v>4577.2</v>
      </c>
      <c r="T754" s="9">
        <v>5126.4639999999999</v>
      </c>
      <c r="U754" s="9">
        <v>915.44</v>
      </c>
      <c r="V754" s="10" t="s">
        <v>63</v>
      </c>
    </row>
    <row r="755" spans="1:22" ht="18" customHeight="1" x14ac:dyDescent="0.25">
      <c r="A755" s="7" t="s">
        <v>19</v>
      </c>
      <c r="B755" s="7">
        <v>2021</v>
      </c>
      <c r="C755" s="7" t="s">
        <v>65</v>
      </c>
      <c r="D755" s="7" t="s">
        <v>21</v>
      </c>
      <c r="E755" s="7" t="s">
        <v>22</v>
      </c>
      <c r="F755" s="7" t="s">
        <v>23</v>
      </c>
      <c r="G755" s="7" t="s">
        <v>64</v>
      </c>
      <c r="H755" s="7" t="s">
        <v>25</v>
      </c>
      <c r="I755" s="7" t="s">
        <v>26</v>
      </c>
      <c r="J755" s="7">
        <v>267</v>
      </c>
      <c r="K755" s="7">
        <v>381.81</v>
      </c>
      <c r="N755" s="4">
        <v>2024</v>
      </c>
      <c r="O755" s="4" t="s">
        <v>62</v>
      </c>
      <c r="P755" s="4" t="s">
        <v>39</v>
      </c>
      <c r="Q755" s="13" t="s">
        <v>40</v>
      </c>
      <c r="R755" s="14">
        <v>644</v>
      </c>
      <c r="S755" s="14">
        <v>5743.5</v>
      </c>
      <c r="T755" s="14">
        <v>6432.72</v>
      </c>
      <c r="U755" s="9">
        <v>1148.7</v>
      </c>
      <c r="V755" s="10" t="s">
        <v>30</v>
      </c>
    </row>
    <row r="756" spans="1:22" ht="18" customHeight="1" x14ac:dyDescent="0.25">
      <c r="A756" s="7" t="s">
        <v>34</v>
      </c>
      <c r="B756" s="7">
        <v>2021</v>
      </c>
      <c r="C756" s="7" t="s">
        <v>65</v>
      </c>
      <c r="D756" s="7" t="s">
        <v>21</v>
      </c>
      <c r="E756" s="7" t="s">
        <v>22</v>
      </c>
      <c r="F756" s="7" t="s">
        <v>23</v>
      </c>
      <c r="G756" s="7" t="s">
        <v>64</v>
      </c>
      <c r="H756" s="7" t="s">
        <v>25</v>
      </c>
      <c r="I756" s="7" t="s">
        <v>26</v>
      </c>
      <c r="J756" s="7">
        <v>275</v>
      </c>
      <c r="K756" s="7">
        <v>393.25</v>
      </c>
      <c r="N756" s="4">
        <v>2024</v>
      </c>
      <c r="O756" s="4" t="s">
        <v>62</v>
      </c>
      <c r="P756" s="4" t="s">
        <v>43</v>
      </c>
      <c r="Q756" s="13" t="s">
        <v>44</v>
      </c>
      <c r="R756" s="14">
        <v>643</v>
      </c>
      <c r="S756" s="14">
        <v>7000</v>
      </c>
      <c r="T756" s="14">
        <v>7840</v>
      </c>
      <c r="U756" s="9">
        <v>1400</v>
      </c>
      <c r="V756" s="10" t="s">
        <v>30</v>
      </c>
    </row>
    <row r="757" spans="1:22" ht="18" customHeight="1" x14ac:dyDescent="0.25">
      <c r="A757" s="7" t="s">
        <v>34</v>
      </c>
      <c r="B757" s="7">
        <v>2021</v>
      </c>
      <c r="C757" s="7" t="s">
        <v>65</v>
      </c>
      <c r="D757" s="7" t="s">
        <v>21</v>
      </c>
      <c r="E757" s="7" t="s">
        <v>22</v>
      </c>
      <c r="F757" s="7" t="s">
        <v>23</v>
      </c>
      <c r="G757" s="7" t="s">
        <v>64</v>
      </c>
      <c r="H757" s="7" t="s">
        <v>25</v>
      </c>
      <c r="I757" s="7" t="s">
        <v>26</v>
      </c>
      <c r="J757" s="7">
        <v>269</v>
      </c>
      <c r="K757" s="7">
        <v>384.67</v>
      </c>
      <c r="N757" s="4">
        <v>2024</v>
      </c>
      <c r="O757" s="4" t="s">
        <v>62</v>
      </c>
      <c r="P757" s="4" t="s">
        <v>39</v>
      </c>
      <c r="Q757" s="13" t="s">
        <v>46</v>
      </c>
      <c r="R757" s="14">
        <v>455</v>
      </c>
      <c r="S757" s="14">
        <v>4578.6000000000004</v>
      </c>
      <c r="T757" s="14">
        <v>5128.0320000000002</v>
      </c>
      <c r="U757" s="9">
        <v>915.72000000000014</v>
      </c>
      <c r="V757" s="10" t="s">
        <v>30</v>
      </c>
    </row>
    <row r="758" spans="1:22" ht="18" customHeight="1" x14ac:dyDescent="0.25">
      <c r="A758" s="7" t="s">
        <v>42</v>
      </c>
      <c r="B758" s="7">
        <v>2021</v>
      </c>
      <c r="C758" s="7" t="s">
        <v>71</v>
      </c>
      <c r="D758" s="7" t="s">
        <v>21</v>
      </c>
      <c r="E758" s="7" t="s">
        <v>22</v>
      </c>
      <c r="F758" s="7" t="s">
        <v>23</v>
      </c>
      <c r="G758" s="7" t="s">
        <v>64</v>
      </c>
      <c r="H758" s="7" t="s">
        <v>25</v>
      </c>
      <c r="I758" s="7" t="s">
        <v>26</v>
      </c>
      <c r="J758" s="7">
        <v>296</v>
      </c>
      <c r="K758" s="7">
        <v>423.28</v>
      </c>
      <c r="N758" s="4">
        <v>2024</v>
      </c>
      <c r="O758" s="4" t="s">
        <v>62</v>
      </c>
      <c r="P758" s="4" t="s">
        <v>43</v>
      </c>
      <c r="Q758" s="13" t="s">
        <v>48</v>
      </c>
      <c r="R758" s="15">
        <v>345</v>
      </c>
      <c r="S758" s="15">
        <v>7000</v>
      </c>
      <c r="T758" s="15">
        <v>7840</v>
      </c>
      <c r="U758" s="9">
        <v>1400</v>
      </c>
      <c r="V758" s="10" t="s">
        <v>30</v>
      </c>
    </row>
    <row r="759" spans="1:22" ht="18" customHeight="1" x14ac:dyDescent="0.25">
      <c r="A759" s="7" t="s">
        <v>34</v>
      </c>
      <c r="B759" s="7">
        <v>2021</v>
      </c>
      <c r="C759" s="7" t="s">
        <v>71</v>
      </c>
      <c r="D759" s="7" t="s">
        <v>21</v>
      </c>
      <c r="E759" s="7" t="s">
        <v>22</v>
      </c>
      <c r="F759" s="7" t="s">
        <v>23</v>
      </c>
      <c r="G759" s="7" t="s">
        <v>64</v>
      </c>
      <c r="H759" s="7" t="s">
        <v>25</v>
      </c>
      <c r="I759" s="7" t="s">
        <v>26</v>
      </c>
      <c r="J759" s="7">
        <v>290</v>
      </c>
      <c r="K759" s="7">
        <v>414.7</v>
      </c>
      <c r="N759" s="4">
        <v>2024</v>
      </c>
      <c r="O759" s="4" t="s">
        <v>62</v>
      </c>
      <c r="P759" s="4" t="s">
        <v>36</v>
      </c>
      <c r="Q759" s="8" t="s">
        <v>49</v>
      </c>
      <c r="R759" s="9">
        <v>122</v>
      </c>
      <c r="S759" s="9">
        <v>100</v>
      </c>
      <c r="T759" s="9">
        <v>112</v>
      </c>
      <c r="U759" s="9">
        <v>20</v>
      </c>
      <c r="V759" s="10" t="s">
        <v>30</v>
      </c>
    </row>
    <row r="760" spans="1:22" ht="18" customHeight="1" x14ac:dyDescent="0.25">
      <c r="A760" s="7" t="s">
        <v>53</v>
      </c>
      <c r="B760" s="7">
        <v>2021</v>
      </c>
      <c r="C760" s="7" t="s">
        <v>71</v>
      </c>
      <c r="D760" s="7" t="s">
        <v>21</v>
      </c>
      <c r="E760" s="7" t="s">
        <v>22</v>
      </c>
      <c r="F760" s="7" t="s">
        <v>23</v>
      </c>
      <c r="G760" s="7" t="s">
        <v>64</v>
      </c>
      <c r="H760" s="7" t="s">
        <v>25</v>
      </c>
      <c r="I760" s="7" t="s">
        <v>26</v>
      </c>
      <c r="J760" s="7">
        <v>284</v>
      </c>
      <c r="K760" s="7">
        <v>406.12</v>
      </c>
      <c r="N760" s="4">
        <v>2024</v>
      </c>
      <c r="O760" s="4" t="s">
        <v>62</v>
      </c>
      <c r="P760" s="4" t="s">
        <v>50</v>
      </c>
      <c r="Q760" s="13" t="s">
        <v>51</v>
      </c>
      <c r="R760" s="14">
        <v>78</v>
      </c>
      <c r="S760" s="14">
        <v>4577.2</v>
      </c>
      <c r="T760" s="14">
        <v>5126.4639999999999</v>
      </c>
      <c r="U760" s="9">
        <v>915.44</v>
      </c>
      <c r="V760" s="10" t="s">
        <v>30</v>
      </c>
    </row>
    <row r="761" spans="1:22" ht="18" customHeight="1" x14ac:dyDescent="0.25">
      <c r="A761" s="7" t="s">
        <v>61</v>
      </c>
      <c r="B761" s="7">
        <v>2021</v>
      </c>
      <c r="C761" s="7" t="s">
        <v>71</v>
      </c>
      <c r="D761" s="7" t="s">
        <v>21</v>
      </c>
      <c r="E761" s="7" t="s">
        <v>22</v>
      </c>
      <c r="F761" s="7" t="s">
        <v>23</v>
      </c>
      <c r="G761" s="7" t="s">
        <v>64</v>
      </c>
      <c r="H761" s="7" t="s">
        <v>25</v>
      </c>
      <c r="I761" s="7" t="s">
        <v>26</v>
      </c>
      <c r="J761" s="7">
        <v>294</v>
      </c>
      <c r="K761" s="7">
        <v>526.24</v>
      </c>
      <c r="N761" s="4">
        <v>2024</v>
      </c>
      <c r="O761" s="4" t="s">
        <v>62</v>
      </c>
      <c r="P761" s="4" t="s">
        <v>50</v>
      </c>
      <c r="Q761" s="13" t="s">
        <v>52</v>
      </c>
      <c r="R761" s="14">
        <v>76</v>
      </c>
      <c r="S761" s="14">
        <v>4576.8999999999996</v>
      </c>
      <c r="T761" s="14">
        <v>5126.1279999999997</v>
      </c>
      <c r="U761" s="9">
        <v>915.38</v>
      </c>
      <c r="V761" s="10" t="s">
        <v>30</v>
      </c>
    </row>
    <row r="762" spans="1:22" ht="18" customHeight="1" x14ac:dyDescent="0.25">
      <c r="A762" s="7" t="s">
        <v>19</v>
      </c>
      <c r="B762" s="7">
        <v>2021</v>
      </c>
      <c r="C762" s="7" t="s">
        <v>71</v>
      </c>
      <c r="D762" s="7" t="s">
        <v>21</v>
      </c>
      <c r="E762" s="7" t="s">
        <v>22</v>
      </c>
      <c r="F762" s="7" t="s">
        <v>23</v>
      </c>
      <c r="G762" s="7" t="s">
        <v>64</v>
      </c>
      <c r="H762" s="7" t="s">
        <v>25</v>
      </c>
      <c r="I762" s="7" t="s">
        <v>26</v>
      </c>
      <c r="J762" s="7">
        <v>288</v>
      </c>
      <c r="K762" s="7">
        <v>526.24</v>
      </c>
      <c r="N762" s="4">
        <v>2024</v>
      </c>
      <c r="O762" s="4" t="s">
        <v>62</v>
      </c>
      <c r="P762" s="4" t="s">
        <v>50</v>
      </c>
      <c r="Q762" s="13" t="s">
        <v>54</v>
      </c>
      <c r="R762" s="14">
        <v>46</v>
      </c>
      <c r="S762" s="14">
        <v>200</v>
      </c>
      <c r="T762" s="14">
        <v>224</v>
      </c>
      <c r="U762" s="9">
        <v>40</v>
      </c>
      <c r="V762" s="10" t="s">
        <v>30</v>
      </c>
    </row>
    <row r="763" spans="1:22" ht="18" customHeight="1" x14ac:dyDescent="0.25">
      <c r="A763" s="7" t="s">
        <v>19</v>
      </c>
      <c r="B763" s="7">
        <v>2021</v>
      </c>
      <c r="C763" s="7" t="s">
        <v>71</v>
      </c>
      <c r="D763" s="7" t="s">
        <v>21</v>
      </c>
      <c r="E763" s="7" t="s">
        <v>22</v>
      </c>
      <c r="F763" s="7" t="s">
        <v>23</v>
      </c>
      <c r="G763" s="7" t="s">
        <v>64</v>
      </c>
      <c r="H763" s="7" t="s">
        <v>25</v>
      </c>
      <c r="I763" s="7" t="s">
        <v>26</v>
      </c>
      <c r="J763" s="7">
        <v>282</v>
      </c>
      <c r="K763" s="7">
        <v>526.24</v>
      </c>
      <c r="N763" s="4">
        <v>2024</v>
      </c>
      <c r="O763" s="4" t="s">
        <v>62</v>
      </c>
      <c r="P763" s="4" t="s">
        <v>50</v>
      </c>
      <c r="Q763" s="13" t="s">
        <v>55</v>
      </c>
      <c r="R763" s="14">
        <v>34</v>
      </c>
      <c r="S763" s="14">
        <v>4576.8</v>
      </c>
      <c r="T763" s="14">
        <v>5126.0160000000005</v>
      </c>
      <c r="U763" s="9">
        <v>915.36000000000013</v>
      </c>
      <c r="V763" s="10" t="s">
        <v>30</v>
      </c>
    </row>
    <row r="764" spans="1:22" ht="18" customHeight="1" x14ac:dyDescent="0.25">
      <c r="A764" s="7" t="s">
        <v>19</v>
      </c>
      <c r="B764" s="7">
        <v>2021</v>
      </c>
      <c r="C764" s="7" t="s">
        <v>71</v>
      </c>
      <c r="D764" s="7" t="s">
        <v>21</v>
      </c>
      <c r="E764" s="7" t="s">
        <v>22</v>
      </c>
      <c r="F764" s="7" t="s">
        <v>23</v>
      </c>
      <c r="G764" s="7" t="s">
        <v>64</v>
      </c>
      <c r="H764" s="7" t="s">
        <v>25</v>
      </c>
      <c r="I764" s="7" t="s">
        <v>26</v>
      </c>
      <c r="J764" s="7">
        <v>291</v>
      </c>
      <c r="K764" s="7">
        <v>416.13</v>
      </c>
      <c r="N764" s="4">
        <v>2024</v>
      </c>
      <c r="O764" s="4" t="s">
        <v>62</v>
      </c>
      <c r="P764" s="4" t="s">
        <v>36</v>
      </c>
      <c r="Q764" s="8" t="s">
        <v>56</v>
      </c>
      <c r="R764" s="9">
        <v>7</v>
      </c>
      <c r="S764" s="9">
        <v>200</v>
      </c>
      <c r="T764" s="9">
        <v>224</v>
      </c>
      <c r="U764" s="9">
        <v>40</v>
      </c>
      <c r="V764" s="10" t="s">
        <v>30</v>
      </c>
    </row>
    <row r="765" spans="1:22" ht="18" customHeight="1" x14ac:dyDescent="0.25">
      <c r="A765" s="7" t="s">
        <v>61</v>
      </c>
      <c r="B765" s="7">
        <v>2021</v>
      </c>
      <c r="C765" s="7" t="s">
        <v>71</v>
      </c>
      <c r="D765" s="7" t="s">
        <v>21</v>
      </c>
      <c r="E765" s="7" t="s">
        <v>22</v>
      </c>
      <c r="F765" s="7" t="s">
        <v>23</v>
      </c>
      <c r="G765" s="7" t="s">
        <v>64</v>
      </c>
      <c r="H765" s="7" t="s">
        <v>25</v>
      </c>
      <c r="I765" s="7" t="s">
        <v>26</v>
      </c>
      <c r="J765" s="7">
        <v>285</v>
      </c>
      <c r="K765" s="7">
        <v>407.55</v>
      </c>
      <c r="N765" s="4">
        <v>2024</v>
      </c>
      <c r="O765" s="4" t="s">
        <v>62</v>
      </c>
      <c r="P765" s="4" t="s">
        <v>50</v>
      </c>
      <c r="Q765" s="13" t="s">
        <v>58</v>
      </c>
      <c r="R765" s="14">
        <v>3</v>
      </c>
      <c r="S765" s="14">
        <v>4577.3</v>
      </c>
      <c r="T765" s="14">
        <v>5126.576</v>
      </c>
      <c r="U765" s="9">
        <v>915.46</v>
      </c>
      <c r="V765" s="10" t="s">
        <v>30</v>
      </c>
    </row>
    <row r="766" spans="1:22" ht="18" customHeight="1" x14ac:dyDescent="0.25">
      <c r="A766" s="7" t="s">
        <v>53</v>
      </c>
      <c r="B766" s="7">
        <v>2021</v>
      </c>
      <c r="C766" s="7" t="s">
        <v>71</v>
      </c>
      <c r="D766" s="7" t="s">
        <v>21</v>
      </c>
      <c r="E766" s="7" t="s">
        <v>22</v>
      </c>
      <c r="F766" s="7" t="s">
        <v>23</v>
      </c>
      <c r="G766" s="7" t="s">
        <v>64</v>
      </c>
      <c r="H766" s="7" t="s">
        <v>25</v>
      </c>
      <c r="I766" s="7" t="s">
        <v>26</v>
      </c>
      <c r="J766" s="7">
        <v>293</v>
      </c>
      <c r="K766" s="7">
        <v>418.99</v>
      </c>
      <c r="N766" s="4">
        <v>2024</v>
      </c>
      <c r="O766" s="4" t="s">
        <v>62</v>
      </c>
      <c r="P766" s="4" t="s">
        <v>57</v>
      </c>
      <c r="Q766" s="13" t="s">
        <v>57</v>
      </c>
      <c r="R766" s="14">
        <v>2</v>
      </c>
      <c r="S766" s="14">
        <v>6600</v>
      </c>
      <c r="T766" s="14">
        <v>7392</v>
      </c>
      <c r="U766" s="9">
        <v>1320</v>
      </c>
      <c r="V766" s="10" t="s">
        <v>30</v>
      </c>
    </row>
    <row r="767" spans="1:22" ht="18" customHeight="1" x14ac:dyDescent="0.25">
      <c r="A767" s="7" t="s">
        <v>42</v>
      </c>
      <c r="B767" s="7">
        <v>2021</v>
      </c>
      <c r="C767" s="7" t="s">
        <v>71</v>
      </c>
      <c r="D767" s="7" t="s">
        <v>21</v>
      </c>
      <c r="E767" s="7" t="s">
        <v>22</v>
      </c>
      <c r="F767" s="7" t="s">
        <v>23</v>
      </c>
      <c r="G767" s="7" t="s">
        <v>64</v>
      </c>
      <c r="H767" s="7" t="s">
        <v>25</v>
      </c>
      <c r="I767" s="7" t="s">
        <v>26</v>
      </c>
      <c r="J767" s="7">
        <v>287</v>
      </c>
      <c r="K767" s="7">
        <v>410.40999999999997</v>
      </c>
      <c r="N767" s="4">
        <v>2024</v>
      </c>
      <c r="O767" s="4" t="s">
        <v>20</v>
      </c>
      <c r="P767" s="4" t="s">
        <v>28</v>
      </c>
      <c r="Q767" s="8" t="s">
        <v>29</v>
      </c>
      <c r="R767" s="9">
        <v>3566</v>
      </c>
      <c r="S767" s="9">
        <v>4577.3</v>
      </c>
      <c r="T767" s="9">
        <v>5126.576</v>
      </c>
      <c r="U767" s="9">
        <v>915.46</v>
      </c>
      <c r="V767" s="10" t="s">
        <v>30</v>
      </c>
    </row>
    <row r="768" spans="1:22" ht="18" customHeight="1" x14ac:dyDescent="0.25">
      <c r="A768" s="7" t="s">
        <v>19</v>
      </c>
      <c r="B768" s="7">
        <v>2021</v>
      </c>
      <c r="C768" s="7" t="s">
        <v>71</v>
      </c>
      <c r="D768" s="7" t="s">
        <v>21</v>
      </c>
      <c r="E768" s="7" t="s">
        <v>22</v>
      </c>
      <c r="F768" s="7" t="s">
        <v>23</v>
      </c>
      <c r="G768" s="7" t="s">
        <v>64</v>
      </c>
      <c r="H768" s="7" t="s">
        <v>25</v>
      </c>
      <c r="I768" s="7" t="s">
        <v>26</v>
      </c>
      <c r="J768" s="7">
        <v>281</v>
      </c>
      <c r="K768" s="7">
        <v>401.83</v>
      </c>
      <c r="N768" s="4">
        <v>2024</v>
      </c>
      <c r="O768" s="4" t="s">
        <v>20</v>
      </c>
      <c r="P768" s="4" t="s">
        <v>28</v>
      </c>
      <c r="Q768" s="8" t="s">
        <v>32</v>
      </c>
      <c r="R768" s="9">
        <v>2498</v>
      </c>
      <c r="S768" s="9">
        <v>8000</v>
      </c>
      <c r="T768" s="9">
        <v>8960</v>
      </c>
      <c r="U768" s="9">
        <v>1600</v>
      </c>
      <c r="V768" s="10" t="s">
        <v>30</v>
      </c>
    </row>
    <row r="769" spans="1:22" ht="18" customHeight="1" x14ac:dyDescent="0.25">
      <c r="A769" s="7" t="s">
        <v>42</v>
      </c>
      <c r="B769" s="7">
        <v>2021</v>
      </c>
      <c r="C769" s="7" t="s">
        <v>70</v>
      </c>
      <c r="D769" s="7" t="s">
        <v>21</v>
      </c>
      <c r="E769" s="7" t="s">
        <v>22</v>
      </c>
      <c r="F769" s="7" t="s">
        <v>23</v>
      </c>
      <c r="G769" s="7" t="s">
        <v>64</v>
      </c>
      <c r="H769" s="7" t="s">
        <v>25</v>
      </c>
      <c r="I769" s="7" t="s">
        <v>26</v>
      </c>
      <c r="J769" s="7">
        <v>308</v>
      </c>
      <c r="K769" s="7">
        <v>440.44</v>
      </c>
      <c r="N769" s="4">
        <v>2024</v>
      </c>
      <c r="O769" s="4" t="s">
        <v>20</v>
      </c>
      <c r="P769" s="4" t="s">
        <v>36</v>
      </c>
      <c r="Q769" s="8" t="s">
        <v>37</v>
      </c>
      <c r="R769" s="9">
        <v>1245</v>
      </c>
      <c r="S769" s="9">
        <v>4577.2</v>
      </c>
      <c r="T769" s="9">
        <v>5126.4639999999999</v>
      </c>
      <c r="U769" s="9">
        <v>915.44</v>
      </c>
      <c r="V769" s="10" t="s">
        <v>30</v>
      </c>
    </row>
    <row r="770" spans="1:22" ht="18" customHeight="1" x14ac:dyDescent="0.25">
      <c r="A770" s="7" t="s">
        <v>34</v>
      </c>
      <c r="B770" s="7">
        <v>2021</v>
      </c>
      <c r="C770" s="7" t="s">
        <v>70</v>
      </c>
      <c r="D770" s="7" t="s">
        <v>21</v>
      </c>
      <c r="E770" s="7" t="s">
        <v>22</v>
      </c>
      <c r="F770" s="7" t="s">
        <v>23</v>
      </c>
      <c r="G770" s="7" t="s">
        <v>64</v>
      </c>
      <c r="H770" s="7" t="s">
        <v>25</v>
      </c>
      <c r="I770" s="7" t="s">
        <v>26</v>
      </c>
      <c r="J770" s="7">
        <v>302</v>
      </c>
      <c r="K770" s="7">
        <v>431.86</v>
      </c>
      <c r="N770" s="4">
        <v>2024</v>
      </c>
      <c r="O770" s="4" t="s">
        <v>20</v>
      </c>
      <c r="P770" s="4" t="s">
        <v>39</v>
      </c>
      <c r="Q770" s="13" t="s">
        <v>40</v>
      </c>
      <c r="R770" s="14">
        <v>644</v>
      </c>
      <c r="S770" s="14">
        <v>5743.5</v>
      </c>
      <c r="T770" s="14">
        <v>6432.72</v>
      </c>
      <c r="U770" s="9">
        <v>1148.7</v>
      </c>
      <c r="V770" s="10" t="s">
        <v>30</v>
      </c>
    </row>
    <row r="771" spans="1:22" ht="18" customHeight="1" x14ac:dyDescent="0.25">
      <c r="A771" s="7" t="s">
        <v>34</v>
      </c>
      <c r="B771" s="7">
        <v>2021</v>
      </c>
      <c r="C771" s="7" t="s">
        <v>70</v>
      </c>
      <c r="D771" s="7" t="s">
        <v>21</v>
      </c>
      <c r="E771" s="7" t="s">
        <v>22</v>
      </c>
      <c r="F771" s="7" t="s">
        <v>23</v>
      </c>
      <c r="G771" s="7" t="s">
        <v>64</v>
      </c>
      <c r="H771" s="7" t="s">
        <v>25</v>
      </c>
      <c r="I771" s="7" t="s">
        <v>26</v>
      </c>
      <c r="J771" s="7">
        <v>306</v>
      </c>
      <c r="K771" s="7">
        <v>526.24</v>
      </c>
      <c r="N771" s="4">
        <v>2024</v>
      </c>
      <c r="O771" s="4" t="s">
        <v>20</v>
      </c>
      <c r="P771" s="4" t="s">
        <v>43</v>
      </c>
      <c r="Q771" s="13" t="s">
        <v>44</v>
      </c>
      <c r="R771" s="14">
        <v>643</v>
      </c>
      <c r="S771" s="14">
        <v>7000</v>
      </c>
      <c r="T771" s="14">
        <v>7840</v>
      </c>
      <c r="U771" s="9">
        <v>1400</v>
      </c>
      <c r="V771" s="10" t="s">
        <v>30</v>
      </c>
    </row>
    <row r="772" spans="1:22" ht="18" customHeight="1" x14ac:dyDescent="0.25">
      <c r="A772" s="7" t="s">
        <v>53</v>
      </c>
      <c r="B772" s="7">
        <v>2021</v>
      </c>
      <c r="C772" s="7" t="s">
        <v>70</v>
      </c>
      <c r="D772" s="7" t="s">
        <v>21</v>
      </c>
      <c r="E772" s="7" t="s">
        <v>22</v>
      </c>
      <c r="F772" s="7" t="s">
        <v>23</v>
      </c>
      <c r="G772" s="7" t="s">
        <v>64</v>
      </c>
      <c r="H772" s="7" t="s">
        <v>25</v>
      </c>
      <c r="I772" s="7" t="s">
        <v>26</v>
      </c>
      <c r="J772" s="7">
        <v>300</v>
      </c>
      <c r="K772" s="7">
        <v>526.24</v>
      </c>
      <c r="N772" s="4">
        <v>2024</v>
      </c>
      <c r="O772" s="4" t="s">
        <v>20</v>
      </c>
      <c r="P772" s="4" t="s">
        <v>39</v>
      </c>
      <c r="Q772" s="13" t="s">
        <v>46</v>
      </c>
      <c r="R772" s="14">
        <v>455</v>
      </c>
      <c r="S772" s="14">
        <v>4578.6000000000004</v>
      </c>
      <c r="T772" s="14">
        <v>5128.0320000000002</v>
      </c>
      <c r="U772" s="9">
        <v>915.72000000000014</v>
      </c>
      <c r="V772" s="10" t="s">
        <v>30</v>
      </c>
    </row>
    <row r="773" spans="1:22" ht="18" customHeight="1" x14ac:dyDescent="0.25">
      <c r="A773" s="7" t="s">
        <v>42</v>
      </c>
      <c r="B773" s="7">
        <v>2021</v>
      </c>
      <c r="C773" s="7" t="s">
        <v>70</v>
      </c>
      <c r="D773" s="7" t="s">
        <v>21</v>
      </c>
      <c r="E773" s="7" t="s">
        <v>22</v>
      </c>
      <c r="F773" s="7" t="s">
        <v>23</v>
      </c>
      <c r="G773" s="7" t="s">
        <v>64</v>
      </c>
      <c r="H773" s="7" t="s">
        <v>25</v>
      </c>
      <c r="I773" s="7" t="s">
        <v>26</v>
      </c>
      <c r="J773" s="7">
        <v>309</v>
      </c>
      <c r="K773" s="7">
        <v>441.87</v>
      </c>
      <c r="N773" s="4">
        <v>2024</v>
      </c>
      <c r="O773" s="4" t="s">
        <v>20</v>
      </c>
      <c r="P773" s="4" t="s">
        <v>43</v>
      </c>
      <c r="Q773" s="13" t="s">
        <v>48</v>
      </c>
      <c r="R773" s="15">
        <v>345</v>
      </c>
      <c r="S773" s="15">
        <v>7000</v>
      </c>
      <c r="T773" s="15">
        <v>7840</v>
      </c>
      <c r="U773" s="9">
        <v>1400</v>
      </c>
      <c r="V773" s="10" t="s">
        <v>30</v>
      </c>
    </row>
    <row r="774" spans="1:22" ht="18" customHeight="1" x14ac:dyDescent="0.25">
      <c r="A774" s="7" t="s">
        <v>42</v>
      </c>
      <c r="B774" s="7">
        <v>2021</v>
      </c>
      <c r="C774" s="7" t="s">
        <v>70</v>
      </c>
      <c r="D774" s="7" t="s">
        <v>21</v>
      </c>
      <c r="E774" s="7" t="s">
        <v>22</v>
      </c>
      <c r="F774" s="7" t="s">
        <v>23</v>
      </c>
      <c r="G774" s="7" t="s">
        <v>64</v>
      </c>
      <c r="H774" s="7" t="s">
        <v>25</v>
      </c>
      <c r="I774" s="7" t="s">
        <v>26</v>
      </c>
      <c r="J774" s="7">
        <v>303</v>
      </c>
      <c r="K774" s="7">
        <v>433.28999999999996</v>
      </c>
      <c r="N774" s="4">
        <v>2024</v>
      </c>
      <c r="O774" s="4" t="s">
        <v>20</v>
      </c>
      <c r="P774" s="4" t="s">
        <v>36</v>
      </c>
      <c r="Q774" s="8" t="s">
        <v>49</v>
      </c>
      <c r="R774" s="9">
        <v>122</v>
      </c>
      <c r="S774" s="9">
        <v>100</v>
      </c>
      <c r="T774" s="9">
        <v>112</v>
      </c>
      <c r="U774" s="9">
        <v>20</v>
      </c>
      <c r="V774" s="10" t="s">
        <v>30</v>
      </c>
    </row>
    <row r="775" spans="1:22" ht="18" customHeight="1" x14ac:dyDescent="0.25">
      <c r="A775" s="7" t="s">
        <v>42</v>
      </c>
      <c r="B775" s="7">
        <v>2021</v>
      </c>
      <c r="C775" s="7" t="s">
        <v>70</v>
      </c>
      <c r="D775" s="7" t="s">
        <v>21</v>
      </c>
      <c r="E775" s="7" t="s">
        <v>22</v>
      </c>
      <c r="F775" s="7" t="s">
        <v>23</v>
      </c>
      <c r="G775" s="7" t="s">
        <v>64</v>
      </c>
      <c r="H775" s="7" t="s">
        <v>25</v>
      </c>
      <c r="I775" s="7" t="s">
        <v>26</v>
      </c>
      <c r="J775" s="7">
        <v>297</v>
      </c>
      <c r="K775" s="7">
        <v>424.71</v>
      </c>
      <c r="N775" s="4">
        <v>2024</v>
      </c>
      <c r="O775" s="4" t="s">
        <v>20</v>
      </c>
      <c r="P775" s="4" t="s">
        <v>50</v>
      </c>
      <c r="Q775" s="13" t="s">
        <v>51</v>
      </c>
      <c r="R775" s="14">
        <v>78</v>
      </c>
      <c r="S775" s="14">
        <v>4577.2</v>
      </c>
      <c r="T775" s="14">
        <v>5126.4639999999999</v>
      </c>
      <c r="U775" s="9">
        <v>915.44</v>
      </c>
      <c r="V775" s="10" t="s">
        <v>30</v>
      </c>
    </row>
    <row r="776" spans="1:22" ht="18" customHeight="1" x14ac:dyDescent="0.25">
      <c r="A776" s="7" t="s">
        <v>19</v>
      </c>
      <c r="B776" s="7">
        <v>2021</v>
      </c>
      <c r="C776" s="7" t="s">
        <v>70</v>
      </c>
      <c r="D776" s="7" t="s">
        <v>21</v>
      </c>
      <c r="E776" s="7" t="s">
        <v>22</v>
      </c>
      <c r="F776" s="7" t="s">
        <v>23</v>
      </c>
      <c r="G776" s="7" t="s">
        <v>64</v>
      </c>
      <c r="H776" s="7" t="s">
        <v>25</v>
      </c>
      <c r="I776" s="7" t="s">
        <v>26</v>
      </c>
      <c r="J776" s="7">
        <v>305</v>
      </c>
      <c r="K776" s="7">
        <v>436.15</v>
      </c>
      <c r="N776" s="4">
        <v>2024</v>
      </c>
      <c r="O776" s="4" t="s">
        <v>20</v>
      </c>
      <c r="P776" s="4" t="s">
        <v>50</v>
      </c>
      <c r="Q776" s="13" t="s">
        <v>52</v>
      </c>
      <c r="R776" s="14">
        <v>76</v>
      </c>
      <c r="S776" s="14">
        <v>4576.8999999999996</v>
      </c>
      <c r="T776" s="14">
        <v>5126.1279999999997</v>
      </c>
      <c r="U776" s="9">
        <v>915.38</v>
      </c>
      <c r="V776" s="10" t="s">
        <v>30</v>
      </c>
    </row>
    <row r="777" spans="1:22" ht="18" customHeight="1" x14ac:dyDescent="0.25">
      <c r="A777" s="7" t="s">
        <v>19</v>
      </c>
      <c r="B777" s="7">
        <v>2021</v>
      </c>
      <c r="C777" s="7" t="s">
        <v>70</v>
      </c>
      <c r="D777" s="7" t="s">
        <v>21</v>
      </c>
      <c r="E777" s="7" t="s">
        <v>22</v>
      </c>
      <c r="F777" s="7" t="s">
        <v>23</v>
      </c>
      <c r="G777" s="7" t="s">
        <v>64</v>
      </c>
      <c r="H777" s="7" t="s">
        <v>25</v>
      </c>
      <c r="I777" s="7" t="s">
        <v>26</v>
      </c>
      <c r="J777" s="7">
        <v>299</v>
      </c>
      <c r="K777" s="7">
        <v>427.57</v>
      </c>
      <c r="N777" s="4">
        <v>2024</v>
      </c>
      <c r="O777" s="4" t="s">
        <v>20</v>
      </c>
      <c r="P777" s="4" t="s">
        <v>50</v>
      </c>
      <c r="Q777" s="13" t="s">
        <v>54</v>
      </c>
      <c r="R777" s="14">
        <v>46</v>
      </c>
      <c r="S777" s="14">
        <v>200</v>
      </c>
      <c r="T777" s="14">
        <v>224</v>
      </c>
      <c r="U777" s="9">
        <v>40</v>
      </c>
      <c r="V777" s="10" t="s">
        <v>30</v>
      </c>
    </row>
    <row r="778" spans="1:22" ht="18" customHeight="1" x14ac:dyDescent="0.25">
      <c r="A778" s="7" t="s">
        <v>19</v>
      </c>
      <c r="B778" s="7">
        <v>2021</v>
      </c>
      <c r="C778" s="7" t="s">
        <v>20</v>
      </c>
      <c r="D778" s="7" t="s">
        <v>21</v>
      </c>
      <c r="E778" s="7" t="s">
        <v>22</v>
      </c>
      <c r="F778" s="7" t="s">
        <v>23</v>
      </c>
      <c r="G778" s="7" t="s">
        <v>24</v>
      </c>
      <c r="H778" s="7" t="s">
        <v>25</v>
      </c>
      <c r="I778" s="7" t="s">
        <v>26</v>
      </c>
      <c r="J778" s="7">
        <v>158</v>
      </c>
      <c r="K778" s="7">
        <v>526.24</v>
      </c>
      <c r="N778" s="4">
        <v>2024</v>
      </c>
      <c r="O778" s="4" t="s">
        <v>20</v>
      </c>
      <c r="P778" s="4" t="s">
        <v>50</v>
      </c>
      <c r="Q778" s="13" t="s">
        <v>55</v>
      </c>
      <c r="R778" s="14">
        <v>34</v>
      </c>
      <c r="S778" s="14">
        <v>4576.8</v>
      </c>
      <c r="T778" s="14">
        <v>5126.0160000000005</v>
      </c>
      <c r="U778" s="9">
        <v>915.36000000000013</v>
      </c>
      <c r="V778" s="10" t="s">
        <v>30</v>
      </c>
    </row>
    <row r="779" spans="1:22" ht="18" customHeight="1" x14ac:dyDescent="0.25">
      <c r="A779" s="7" t="s">
        <v>19</v>
      </c>
      <c r="B779" s="7">
        <v>2021</v>
      </c>
      <c r="C779" s="7" t="s">
        <v>20</v>
      </c>
      <c r="D779" s="7" t="s">
        <v>21</v>
      </c>
      <c r="E779" s="7" t="s">
        <v>22</v>
      </c>
      <c r="F779" s="7" t="s">
        <v>23</v>
      </c>
      <c r="G779" s="7" t="s">
        <v>24</v>
      </c>
      <c r="H779" s="7" t="s">
        <v>25</v>
      </c>
      <c r="I779" s="7" t="s">
        <v>26</v>
      </c>
      <c r="J779" s="7">
        <v>152</v>
      </c>
      <c r="K779" s="7">
        <v>526.24</v>
      </c>
      <c r="N779" s="4">
        <v>2024</v>
      </c>
      <c r="O779" s="4" t="s">
        <v>20</v>
      </c>
      <c r="P779" s="4" t="s">
        <v>36</v>
      </c>
      <c r="Q779" s="8" t="s">
        <v>56</v>
      </c>
      <c r="R779" s="9">
        <v>7</v>
      </c>
      <c r="S779" s="9">
        <v>200</v>
      </c>
      <c r="T779" s="9">
        <v>224</v>
      </c>
      <c r="U779" s="9">
        <v>40</v>
      </c>
      <c r="V779" s="10" t="s">
        <v>30</v>
      </c>
    </row>
    <row r="780" spans="1:22" ht="18" customHeight="1" x14ac:dyDescent="0.25">
      <c r="A780" s="7" t="s">
        <v>34</v>
      </c>
      <c r="B780" s="7">
        <v>2021</v>
      </c>
      <c r="C780" s="7" t="s">
        <v>20</v>
      </c>
      <c r="D780" s="7" t="s">
        <v>21</v>
      </c>
      <c r="E780" s="7" t="s">
        <v>22</v>
      </c>
      <c r="F780" s="7" t="s">
        <v>23</v>
      </c>
      <c r="G780" s="7" t="s">
        <v>24</v>
      </c>
      <c r="H780" s="7" t="s">
        <v>25</v>
      </c>
      <c r="I780" s="7" t="s">
        <v>35</v>
      </c>
      <c r="J780" s="7">
        <v>170</v>
      </c>
      <c r="K780" s="7">
        <v>243.1</v>
      </c>
      <c r="N780" s="4">
        <v>2024</v>
      </c>
      <c r="O780" s="4" t="s">
        <v>20</v>
      </c>
      <c r="P780" s="4" t="s">
        <v>50</v>
      </c>
      <c r="Q780" s="13" t="s">
        <v>58</v>
      </c>
      <c r="R780" s="14">
        <v>3</v>
      </c>
      <c r="S780" s="14">
        <v>4577.3</v>
      </c>
      <c r="T780" s="14">
        <v>5126.576</v>
      </c>
      <c r="U780" s="9">
        <v>915.46</v>
      </c>
      <c r="V780" s="10" t="s">
        <v>30</v>
      </c>
    </row>
    <row r="781" spans="1:22" ht="18" customHeight="1" x14ac:dyDescent="0.25">
      <c r="A781" s="7" t="s">
        <v>34</v>
      </c>
      <c r="B781" s="7">
        <v>2021</v>
      </c>
      <c r="C781" s="7" t="s">
        <v>20</v>
      </c>
      <c r="D781" s="7" t="s">
        <v>21</v>
      </c>
      <c r="E781" s="7" t="s">
        <v>22</v>
      </c>
      <c r="F781" s="7" t="s">
        <v>23</v>
      </c>
      <c r="G781" s="7" t="s">
        <v>24</v>
      </c>
      <c r="H781" s="7" t="s">
        <v>25</v>
      </c>
      <c r="I781" s="7" t="s">
        <v>35</v>
      </c>
      <c r="J781" s="7">
        <v>218</v>
      </c>
      <c r="K781" s="7">
        <v>311.74</v>
      </c>
      <c r="N781" s="4">
        <v>2024</v>
      </c>
      <c r="O781" s="4" t="s">
        <v>20</v>
      </c>
      <c r="P781" s="4" t="s">
        <v>57</v>
      </c>
      <c r="Q781" s="13" t="s">
        <v>57</v>
      </c>
      <c r="R781" s="14">
        <v>2</v>
      </c>
      <c r="S781" s="14">
        <v>6600</v>
      </c>
      <c r="T781" s="14">
        <v>7392</v>
      </c>
      <c r="U781" s="9">
        <v>1320</v>
      </c>
      <c r="V781" s="10" t="s">
        <v>30</v>
      </c>
    </row>
    <row r="782" spans="1:22" ht="18" customHeight="1" x14ac:dyDescent="0.25">
      <c r="A782" s="7" t="s">
        <v>19</v>
      </c>
      <c r="B782" s="7">
        <v>2021</v>
      </c>
      <c r="C782" s="7" t="s">
        <v>20</v>
      </c>
      <c r="D782" s="7" t="s">
        <v>21</v>
      </c>
      <c r="E782" s="7" t="s">
        <v>22</v>
      </c>
      <c r="F782" s="7" t="s">
        <v>23</v>
      </c>
      <c r="G782" s="7" t="s">
        <v>24</v>
      </c>
      <c r="H782" s="7" t="s">
        <v>25</v>
      </c>
      <c r="I782" s="7" t="s">
        <v>35</v>
      </c>
      <c r="J782" s="7">
        <v>146</v>
      </c>
      <c r="K782" s="7">
        <v>208.78</v>
      </c>
      <c r="N782" s="4">
        <v>2024</v>
      </c>
      <c r="O782" s="4" t="s">
        <v>66</v>
      </c>
      <c r="P782" s="4" t="s">
        <v>28</v>
      </c>
      <c r="Q782" s="8" t="s">
        <v>29</v>
      </c>
      <c r="R782" s="9">
        <v>3566</v>
      </c>
      <c r="S782" s="9">
        <v>4577.3</v>
      </c>
      <c r="T782" s="9">
        <v>5126.576</v>
      </c>
      <c r="U782" s="9">
        <v>915.46</v>
      </c>
      <c r="V782" s="10" t="s">
        <v>30</v>
      </c>
    </row>
    <row r="783" spans="1:22" ht="18" customHeight="1" x14ac:dyDescent="0.25">
      <c r="A783" s="7" t="s">
        <v>42</v>
      </c>
      <c r="B783" s="7">
        <v>2021</v>
      </c>
      <c r="C783" s="7" t="s">
        <v>20</v>
      </c>
      <c r="D783" s="7" t="s">
        <v>21</v>
      </c>
      <c r="E783" s="7" t="s">
        <v>22</v>
      </c>
      <c r="F783" s="7" t="s">
        <v>23</v>
      </c>
      <c r="G783" s="7" t="s">
        <v>24</v>
      </c>
      <c r="H783" s="7" t="s">
        <v>25</v>
      </c>
      <c r="I783" s="7" t="s">
        <v>35</v>
      </c>
      <c r="J783" s="7">
        <v>172</v>
      </c>
      <c r="K783" s="7">
        <v>245.95999999999998</v>
      </c>
      <c r="N783" s="4">
        <v>2024</v>
      </c>
      <c r="O783" s="4" t="s">
        <v>66</v>
      </c>
      <c r="P783" s="4" t="s">
        <v>28</v>
      </c>
      <c r="Q783" s="8" t="s">
        <v>32</v>
      </c>
      <c r="R783" s="9">
        <v>2498</v>
      </c>
      <c r="S783" s="9">
        <v>8000</v>
      </c>
      <c r="T783" s="9">
        <v>8960</v>
      </c>
      <c r="U783" s="9">
        <v>1600</v>
      </c>
      <c r="V783" s="10" t="s">
        <v>30</v>
      </c>
    </row>
    <row r="784" spans="1:22" ht="18" customHeight="1" x14ac:dyDescent="0.25">
      <c r="A784" s="7" t="s">
        <v>19</v>
      </c>
      <c r="B784" s="7">
        <v>2021</v>
      </c>
      <c r="C784" s="7" t="s">
        <v>20</v>
      </c>
      <c r="D784" s="7" t="s">
        <v>21</v>
      </c>
      <c r="E784" s="7" t="s">
        <v>22</v>
      </c>
      <c r="F784" s="7" t="s">
        <v>23</v>
      </c>
      <c r="G784" s="7" t="s">
        <v>24</v>
      </c>
      <c r="H784" s="7" t="s">
        <v>25</v>
      </c>
      <c r="I784" s="7" t="s">
        <v>35</v>
      </c>
      <c r="J784" s="7">
        <v>220</v>
      </c>
      <c r="K784" s="7">
        <v>314.60000000000002</v>
      </c>
      <c r="N784" s="4">
        <v>2024</v>
      </c>
      <c r="O784" s="4" t="s">
        <v>66</v>
      </c>
      <c r="P784" s="4" t="s">
        <v>36</v>
      </c>
      <c r="Q784" s="8" t="s">
        <v>37</v>
      </c>
      <c r="R784" s="9">
        <v>1245</v>
      </c>
      <c r="S784" s="9">
        <v>4577.2</v>
      </c>
      <c r="T784" s="9">
        <v>5126.4639999999999</v>
      </c>
      <c r="U784" s="9">
        <v>915.44</v>
      </c>
      <c r="V784" s="10" t="s">
        <v>30</v>
      </c>
    </row>
    <row r="785" spans="1:22" ht="18" customHeight="1" x14ac:dyDescent="0.25">
      <c r="A785" s="7" t="s">
        <v>19</v>
      </c>
      <c r="B785" s="7">
        <v>2021</v>
      </c>
      <c r="C785" s="7" t="s">
        <v>20</v>
      </c>
      <c r="D785" s="7" t="s">
        <v>21</v>
      </c>
      <c r="E785" s="7" t="s">
        <v>22</v>
      </c>
      <c r="F785" s="7" t="s">
        <v>23</v>
      </c>
      <c r="G785" s="7" t="s">
        <v>24</v>
      </c>
      <c r="H785" s="7" t="s">
        <v>25</v>
      </c>
      <c r="I785" s="7" t="s">
        <v>35</v>
      </c>
      <c r="J785" s="7">
        <v>162</v>
      </c>
      <c r="K785" s="7">
        <v>526.24</v>
      </c>
      <c r="N785" s="4">
        <v>2024</v>
      </c>
      <c r="O785" s="4" t="s">
        <v>66</v>
      </c>
      <c r="P785" s="4" t="s">
        <v>39</v>
      </c>
      <c r="Q785" s="13" t="s">
        <v>40</v>
      </c>
      <c r="R785" s="14">
        <v>644</v>
      </c>
      <c r="S785" s="14">
        <v>5743.5</v>
      </c>
      <c r="T785" s="14">
        <v>6432.72</v>
      </c>
      <c r="U785" s="9">
        <v>1148.7</v>
      </c>
      <c r="V785" s="10" t="s">
        <v>30</v>
      </c>
    </row>
    <row r="786" spans="1:22" ht="18" customHeight="1" x14ac:dyDescent="0.25">
      <c r="A786" s="7" t="s">
        <v>34</v>
      </c>
      <c r="B786" s="7">
        <v>2021</v>
      </c>
      <c r="C786" s="7" t="s">
        <v>20</v>
      </c>
      <c r="D786" s="7" t="s">
        <v>21</v>
      </c>
      <c r="E786" s="7" t="s">
        <v>22</v>
      </c>
      <c r="F786" s="7" t="s">
        <v>23</v>
      </c>
      <c r="G786" s="7" t="s">
        <v>24</v>
      </c>
      <c r="H786" s="7" t="s">
        <v>25</v>
      </c>
      <c r="I786" s="7" t="s">
        <v>35</v>
      </c>
      <c r="J786" s="7">
        <v>156</v>
      </c>
      <c r="K786" s="7">
        <v>526.24</v>
      </c>
      <c r="N786" s="4">
        <v>2024</v>
      </c>
      <c r="O786" s="4" t="s">
        <v>66</v>
      </c>
      <c r="P786" s="4" t="s">
        <v>43</v>
      </c>
      <c r="Q786" s="13" t="s">
        <v>44</v>
      </c>
      <c r="R786" s="14">
        <v>643</v>
      </c>
      <c r="S786" s="14">
        <v>7000</v>
      </c>
      <c r="T786" s="14">
        <v>7840</v>
      </c>
      <c r="U786" s="9">
        <v>1400</v>
      </c>
      <c r="V786" s="10" t="s">
        <v>30</v>
      </c>
    </row>
    <row r="787" spans="1:22" ht="18" customHeight="1" x14ac:dyDescent="0.25">
      <c r="A787" s="7" t="s">
        <v>34</v>
      </c>
      <c r="B787" s="7">
        <v>2021</v>
      </c>
      <c r="C787" s="7" t="s">
        <v>20</v>
      </c>
      <c r="D787" s="7" t="s">
        <v>21</v>
      </c>
      <c r="E787" s="7" t="s">
        <v>22</v>
      </c>
      <c r="F787" s="7" t="s">
        <v>23</v>
      </c>
      <c r="G787" s="7" t="s">
        <v>24</v>
      </c>
      <c r="H787" s="7" t="s">
        <v>25</v>
      </c>
      <c r="I787" s="7" t="s">
        <v>35</v>
      </c>
      <c r="J787" s="7">
        <v>150</v>
      </c>
      <c r="K787" s="7">
        <v>526.24</v>
      </c>
      <c r="N787" s="4">
        <v>2024</v>
      </c>
      <c r="O787" s="4" t="s">
        <v>66</v>
      </c>
      <c r="P787" s="4" t="s">
        <v>39</v>
      </c>
      <c r="Q787" s="13" t="s">
        <v>46</v>
      </c>
      <c r="R787" s="14">
        <v>455</v>
      </c>
      <c r="S787" s="14">
        <v>4578.6000000000004</v>
      </c>
      <c r="T787" s="14">
        <v>5128.0320000000002</v>
      </c>
      <c r="U787" s="9">
        <v>915.72000000000014</v>
      </c>
      <c r="V787" s="10" t="s">
        <v>30</v>
      </c>
    </row>
    <row r="788" spans="1:22" ht="18" customHeight="1" x14ac:dyDescent="0.25">
      <c r="A788" s="7" t="s">
        <v>34</v>
      </c>
      <c r="B788" s="7">
        <v>2021</v>
      </c>
      <c r="C788" s="7" t="s">
        <v>20</v>
      </c>
      <c r="D788" s="7" t="s">
        <v>21</v>
      </c>
      <c r="E788" s="7" t="s">
        <v>22</v>
      </c>
      <c r="F788" s="7" t="s">
        <v>23</v>
      </c>
      <c r="G788" s="7" t="s">
        <v>24</v>
      </c>
      <c r="H788" s="7" t="s">
        <v>25</v>
      </c>
      <c r="I788" s="7" t="s">
        <v>35</v>
      </c>
      <c r="J788" s="7">
        <v>687</v>
      </c>
      <c r="K788" s="7">
        <v>982.41</v>
      </c>
      <c r="N788" s="4">
        <v>2024</v>
      </c>
      <c r="O788" s="4" t="s">
        <v>66</v>
      </c>
      <c r="P788" s="4" t="s">
        <v>43</v>
      </c>
      <c r="Q788" s="13" t="s">
        <v>48</v>
      </c>
      <c r="R788" s="15">
        <v>345</v>
      </c>
      <c r="S788" s="15">
        <v>7000</v>
      </c>
      <c r="T788" s="15">
        <v>7840</v>
      </c>
      <c r="U788" s="9">
        <v>1400</v>
      </c>
      <c r="V788" s="10" t="s">
        <v>30</v>
      </c>
    </row>
    <row r="789" spans="1:22" ht="18" customHeight="1" x14ac:dyDescent="0.25">
      <c r="A789" s="7" t="s">
        <v>19</v>
      </c>
      <c r="B789" s="7">
        <v>2021</v>
      </c>
      <c r="C789" s="7" t="s">
        <v>20</v>
      </c>
      <c r="D789" s="7" t="s">
        <v>21</v>
      </c>
      <c r="E789" s="7" t="s">
        <v>22</v>
      </c>
      <c r="F789" s="7" t="s">
        <v>23</v>
      </c>
      <c r="G789" s="7" t="s">
        <v>24</v>
      </c>
      <c r="H789" s="7" t="s">
        <v>25</v>
      </c>
      <c r="I789" s="7" t="s">
        <v>35</v>
      </c>
      <c r="J789" s="7">
        <v>721</v>
      </c>
      <c r="K789" s="7">
        <v>1031.03</v>
      </c>
      <c r="N789" s="4">
        <v>2024</v>
      </c>
      <c r="O789" s="4" t="s">
        <v>66</v>
      </c>
      <c r="P789" s="4" t="s">
        <v>36</v>
      </c>
      <c r="Q789" s="8" t="s">
        <v>49</v>
      </c>
      <c r="R789" s="9">
        <v>122</v>
      </c>
      <c r="S789" s="9">
        <v>100</v>
      </c>
      <c r="T789" s="9">
        <v>112</v>
      </c>
      <c r="U789" s="9">
        <v>20</v>
      </c>
      <c r="V789" s="10" t="s">
        <v>30</v>
      </c>
    </row>
    <row r="790" spans="1:22" ht="18" customHeight="1" x14ac:dyDescent="0.25">
      <c r="A790" s="7" t="s">
        <v>34</v>
      </c>
      <c r="B790" s="7">
        <v>2021</v>
      </c>
      <c r="C790" s="7" t="s">
        <v>20</v>
      </c>
      <c r="D790" s="7" t="s">
        <v>21</v>
      </c>
      <c r="E790" s="7" t="s">
        <v>22</v>
      </c>
      <c r="F790" s="7" t="s">
        <v>23</v>
      </c>
      <c r="G790" s="7" t="s">
        <v>24</v>
      </c>
      <c r="H790" s="7" t="s">
        <v>25</v>
      </c>
      <c r="I790" s="7" t="s">
        <v>35</v>
      </c>
      <c r="J790" s="7">
        <v>774</v>
      </c>
      <c r="K790" s="7">
        <v>1106.82</v>
      </c>
      <c r="N790" s="4">
        <v>2024</v>
      </c>
      <c r="O790" s="4" t="s">
        <v>66</v>
      </c>
      <c r="P790" s="4" t="s">
        <v>50</v>
      </c>
      <c r="Q790" s="13" t="s">
        <v>51</v>
      </c>
      <c r="R790" s="14">
        <v>78</v>
      </c>
      <c r="S790" s="14">
        <v>4577.2</v>
      </c>
      <c r="T790" s="14">
        <v>5126.4639999999999</v>
      </c>
      <c r="U790" s="9">
        <v>915.44</v>
      </c>
      <c r="V790" s="10" t="s">
        <v>30</v>
      </c>
    </row>
    <row r="791" spans="1:22" ht="18" customHeight="1" x14ac:dyDescent="0.25">
      <c r="A791" s="7" t="s">
        <v>19</v>
      </c>
      <c r="B791" s="7">
        <v>2021</v>
      </c>
      <c r="C791" s="7" t="s">
        <v>20</v>
      </c>
      <c r="D791" s="7" t="s">
        <v>21</v>
      </c>
      <c r="E791" s="7" t="s">
        <v>22</v>
      </c>
      <c r="F791" s="7" t="s">
        <v>23</v>
      </c>
      <c r="G791" s="7" t="s">
        <v>24</v>
      </c>
      <c r="H791" s="7" t="s">
        <v>25</v>
      </c>
      <c r="I791" s="7" t="s">
        <v>35</v>
      </c>
      <c r="J791" s="7">
        <v>159</v>
      </c>
      <c r="K791" s="7">
        <v>227.37</v>
      </c>
      <c r="N791" s="4">
        <v>2024</v>
      </c>
      <c r="O791" s="4" t="s">
        <v>66</v>
      </c>
      <c r="P791" s="4" t="s">
        <v>50</v>
      </c>
      <c r="Q791" s="13" t="s">
        <v>52</v>
      </c>
      <c r="R791" s="14">
        <v>76</v>
      </c>
      <c r="S791" s="14">
        <v>4576.8999999999996</v>
      </c>
      <c r="T791" s="14">
        <v>5126.1279999999997</v>
      </c>
      <c r="U791" s="9">
        <v>915.38</v>
      </c>
      <c r="V791" s="10" t="s">
        <v>30</v>
      </c>
    </row>
    <row r="792" spans="1:22" ht="18" customHeight="1" x14ac:dyDescent="0.25">
      <c r="A792" s="7" t="s">
        <v>34</v>
      </c>
      <c r="B792" s="7">
        <v>2021</v>
      </c>
      <c r="C792" s="7" t="s">
        <v>20</v>
      </c>
      <c r="D792" s="7" t="s">
        <v>21</v>
      </c>
      <c r="E792" s="7" t="s">
        <v>22</v>
      </c>
      <c r="F792" s="7" t="s">
        <v>23</v>
      </c>
      <c r="G792" s="7" t="s">
        <v>24</v>
      </c>
      <c r="H792" s="7" t="s">
        <v>25</v>
      </c>
      <c r="I792" s="7" t="s">
        <v>35</v>
      </c>
      <c r="J792" s="7">
        <v>153</v>
      </c>
      <c r="K792" s="7">
        <v>218.79</v>
      </c>
      <c r="N792" s="4">
        <v>2024</v>
      </c>
      <c r="O792" s="4" t="s">
        <v>66</v>
      </c>
      <c r="P792" s="4" t="s">
        <v>50</v>
      </c>
      <c r="Q792" s="13" t="s">
        <v>54</v>
      </c>
      <c r="R792" s="14">
        <v>46</v>
      </c>
      <c r="S792" s="14">
        <v>200</v>
      </c>
      <c r="T792" s="14">
        <v>224</v>
      </c>
      <c r="U792" s="9">
        <v>40</v>
      </c>
      <c r="V792" s="10" t="s">
        <v>30</v>
      </c>
    </row>
    <row r="793" spans="1:22" ht="18" customHeight="1" x14ac:dyDescent="0.25">
      <c r="A793" s="7" t="s">
        <v>19</v>
      </c>
      <c r="B793" s="7">
        <v>2021</v>
      </c>
      <c r="C793" s="7" t="s">
        <v>20</v>
      </c>
      <c r="D793" s="7" t="s">
        <v>21</v>
      </c>
      <c r="E793" s="7" t="s">
        <v>22</v>
      </c>
      <c r="F793" s="7" t="s">
        <v>23</v>
      </c>
      <c r="G793" s="7" t="s">
        <v>24</v>
      </c>
      <c r="H793" s="7" t="s">
        <v>25</v>
      </c>
      <c r="I793" s="7" t="s">
        <v>35</v>
      </c>
      <c r="J793" s="7">
        <v>147</v>
      </c>
      <c r="K793" s="7">
        <v>210.21</v>
      </c>
      <c r="N793" s="4">
        <v>2024</v>
      </c>
      <c r="O793" s="4" t="s">
        <v>66</v>
      </c>
      <c r="P793" s="4" t="s">
        <v>50</v>
      </c>
      <c r="Q793" s="13" t="s">
        <v>55</v>
      </c>
      <c r="R793" s="14">
        <v>34</v>
      </c>
      <c r="S793" s="14">
        <v>4576.8</v>
      </c>
      <c r="T793" s="14">
        <v>5126.0160000000005</v>
      </c>
      <c r="U793" s="9">
        <v>915.36000000000013</v>
      </c>
      <c r="V793" s="10" t="s">
        <v>30</v>
      </c>
    </row>
    <row r="794" spans="1:22" ht="18" customHeight="1" x14ac:dyDescent="0.25">
      <c r="A794" s="7" t="s">
        <v>34</v>
      </c>
      <c r="B794" s="7">
        <v>2021</v>
      </c>
      <c r="C794" s="7" t="s">
        <v>20</v>
      </c>
      <c r="D794" s="7" t="s">
        <v>21</v>
      </c>
      <c r="E794" s="7" t="s">
        <v>22</v>
      </c>
      <c r="F794" s="7" t="s">
        <v>23</v>
      </c>
      <c r="G794" s="7" t="s">
        <v>24</v>
      </c>
      <c r="H794" s="7" t="s">
        <v>25</v>
      </c>
      <c r="I794" s="7" t="s">
        <v>35</v>
      </c>
      <c r="J794" s="7">
        <v>171</v>
      </c>
      <c r="K794" s="7">
        <v>244.53</v>
      </c>
      <c r="N794" s="4">
        <v>2024</v>
      </c>
      <c r="O794" s="4" t="s">
        <v>66</v>
      </c>
      <c r="P794" s="4" t="s">
        <v>36</v>
      </c>
      <c r="Q794" s="8" t="s">
        <v>56</v>
      </c>
      <c r="R794" s="9">
        <v>7</v>
      </c>
      <c r="S794" s="9">
        <v>200</v>
      </c>
      <c r="T794" s="9">
        <v>224</v>
      </c>
      <c r="U794" s="9">
        <v>40</v>
      </c>
      <c r="V794" s="10" t="s">
        <v>30</v>
      </c>
    </row>
    <row r="795" spans="1:22" ht="18" customHeight="1" x14ac:dyDescent="0.25">
      <c r="A795" s="7" t="s">
        <v>34</v>
      </c>
      <c r="B795" s="7">
        <v>2021</v>
      </c>
      <c r="C795" s="7" t="s">
        <v>20</v>
      </c>
      <c r="D795" s="7" t="s">
        <v>21</v>
      </c>
      <c r="E795" s="7" t="s">
        <v>22</v>
      </c>
      <c r="F795" s="7" t="s">
        <v>23</v>
      </c>
      <c r="G795" s="7" t="s">
        <v>24</v>
      </c>
      <c r="H795" s="7" t="s">
        <v>25</v>
      </c>
      <c r="I795" s="7" t="s">
        <v>35</v>
      </c>
      <c r="J795" s="7">
        <v>760</v>
      </c>
      <c r="K795" s="7">
        <v>526.24</v>
      </c>
      <c r="N795" s="4">
        <v>2024</v>
      </c>
      <c r="O795" s="4" t="s">
        <v>66</v>
      </c>
      <c r="P795" s="4" t="s">
        <v>50</v>
      </c>
      <c r="Q795" s="13" t="s">
        <v>58</v>
      </c>
      <c r="R795" s="14">
        <v>3</v>
      </c>
      <c r="S795" s="14">
        <v>4577.3</v>
      </c>
      <c r="T795" s="14">
        <v>5126.576</v>
      </c>
      <c r="U795" s="9">
        <v>915.46</v>
      </c>
      <c r="V795" s="10" t="s">
        <v>30</v>
      </c>
    </row>
    <row r="796" spans="1:22" ht="18" customHeight="1" x14ac:dyDescent="0.25">
      <c r="A796" s="7" t="s">
        <v>34</v>
      </c>
      <c r="B796" s="7">
        <v>2021</v>
      </c>
      <c r="C796" s="7" t="s">
        <v>20</v>
      </c>
      <c r="D796" s="7" t="s">
        <v>21</v>
      </c>
      <c r="E796" s="7" t="s">
        <v>22</v>
      </c>
      <c r="F796" s="7" t="s">
        <v>23</v>
      </c>
      <c r="G796" s="7" t="s">
        <v>24</v>
      </c>
      <c r="H796" s="7" t="s">
        <v>25</v>
      </c>
      <c r="I796" s="7" t="s">
        <v>35</v>
      </c>
      <c r="J796" s="7">
        <v>813</v>
      </c>
      <c r="K796" s="7">
        <v>526.24</v>
      </c>
      <c r="N796" s="4">
        <v>2024</v>
      </c>
      <c r="O796" s="4" t="s">
        <v>66</v>
      </c>
      <c r="P796" s="4" t="s">
        <v>57</v>
      </c>
      <c r="Q796" s="13" t="s">
        <v>57</v>
      </c>
      <c r="R796" s="14">
        <v>2</v>
      </c>
      <c r="S796" s="14">
        <v>6600</v>
      </c>
      <c r="T796" s="14">
        <v>7392</v>
      </c>
      <c r="U796" s="9">
        <v>1320</v>
      </c>
      <c r="V796" s="10" t="s">
        <v>63</v>
      </c>
    </row>
    <row r="797" spans="1:22" ht="18" customHeight="1" x14ac:dyDescent="0.25">
      <c r="A797" s="7" t="s">
        <v>34</v>
      </c>
      <c r="B797" s="7">
        <v>2021</v>
      </c>
      <c r="C797" s="7" t="s">
        <v>20</v>
      </c>
      <c r="D797" s="7" t="s">
        <v>21</v>
      </c>
      <c r="E797" s="7" t="s">
        <v>22</v>
      </c>
      <c r="F797" s="7" t="s">
        <v>23</v>
      </c>
      <c r="G797" s="7" t="s">
        <v>24</v>
      </c>
      <c r="H797" s="7" t="s">
        <v>25</v>
      </c>
      <c r="I797" s="7" t="s">
        <v>35</v>
      </c>
      <c r="J797" s="7">
        <v>217</v>
      </c>
      <c r="K797" s="7">
        <v>310.31</v>
      </c>
      <c r="N797" s="4">
        <v>2024</v>
      </c>
      <c r="O797" s="4" t="s">
        <v>67</v>
      </c>
      <c r="P797" s="4" t="s">
        <v>28</v>
      </c>
      <c r="Q797" s="8" t="s">
        <v>29</v>
      </c>
      <c r="R797" s="9">
        <v>3566</v>
      </c>
      <c r="S797" s="9">
        <v>4577.3</v>
      </c>
      <c r="T797" s="9">
        <v>5126.576</v>
      </c>
      <c r="U797" s="9">
        <v>915.46</v>
      </c>
      <c r="V797" s="10" t="s">
        <v>63</v>
      </c>
    </row>
    <row r="798" spans="1:22" ht="18" customHeight="1" x14ac:dyDescent="0.25">
      <c r="A798" s="7" t="s">
        <v>42</v>
      </c>
      <c r="B798" s="7">
        <v>2021</v>
      </c>
      <c r="C798" s="7" t="s">
        <v>20</v>
      </c>
      <c r="D798" s="7" t="s">
        <v>21</v>
      </c>
      <c r="E798" s="7" t="s">
        <v>22</v>
      </c>
      <c r="F798" s="7" t="s">
        <v>23</v>
      </c>
      <c r="G798" s="7" t="s">
        <v>24</v>
      </c>
      <c r="H798" s="7" t="s">
        <v>25</v>
      </c>
      <c r="I798" s="7" t="s">
        <v>35</v>
      </c>
      <c r="J798" s="7">
        <v>145</v>
      </c>
      <c r="K798" s="7">
        <v>207.35</v>
      </c>
      <c r="N798" s="4">
        <v>2024</v>
      </c>
      <c r="O798" s="4" t="s">
        <v>67</v>
      </c>
      <c r="P798" s="4" t="s">
        <v>28</v>
      </c>
      <c r="Q798" s="8" t="s">
        <v>32</v>
      </c>
      <c r="R798" s="9">
        <v>2498</v>
      </c>
      <c r="S798" s="9">
        <v>8000</v>
      </c>
      <c r="T798" s="9">
        <v>8960</v>
      </c>
      <c r="U798" s="9">
        <v>1600</v>
      </c>
      <c r="V798" s="10" t="s">
        <v>63</v>
      </c>
    </row>
    <row r="799" spans="1:22" ht="18" customHeight="1" x14ac:dyDescent="0.25">
      <c r="A799" s="7" t="s">
        <v>34</v>
      </c>
      <c r="B799" s="7">
        <v>2021</v>
      </c>
      <c r="C799" s="7" t="s">
        <v>20</v>
      </c>
      <c r="D799" s="7" t="s">
        <v>21</v>
      </c>
      <c r="E799" s="7" t="s">
        <v>22</v>
      </c>
      <c r="F799" s="7" t="s">
        <v>23</v>
      </c>
      <c r="G799" s="7" t="s">
        <v>24</v>
      </c>
      <c r="H799" s="7" t="s">
        <v>25</v>
      </c>
      <c r="I799" s="7" t="s">
        <v>26</v>
      </c>
      <c r="J799" s="7">
        <v>161</v>
      </c>
      <c r="K799" s="7">
        <v>230.23000000000002</v>
      </c>
      <c r="N799" s="4">
        <v>2024</v>
      </c>
      <c r="O799" s="4" t="s">
        <v>67</v>
      </c>
      <c r="P799" s="4" t="s">
        <v>36</v>
      </c>
      <c r="Q799" s="8" t="s">
        <v>37</v>
      </c>
      <c r="R799" s="9">
        <v>1245</v>
      </c>
      <c r="S799" s="9">
        <v>4577.2</v>
      </c>
      <c r="T799" s="9">
        <v>5126.4639999999999</v>
      </c>
      <c r="U799" s="9">
        <v>915.44</v>
      </c>
      <c r="V799" s="10" t="s">
        <v>63</v>
      </c>
    </row>
    <row r="800" spans="1:22" ht="18" customHeight="1" x14ac:dyDescent="0.25">
      <c r="A800" s="7" t="s">
        <v>53</v>
      </c>
      <c r="B800" s="7">
        <v>2021</v>
      </c>
      <c r="C800" s="7" t="s">
        <v>20</v>
      </c>
      <c r="D800" s="7" t="s">
        <v>21</v>
      </c>
      <c r="E800" s="7" t="s">
        <v>22</v>
      </c>
      <c r="F800" s="7" t="s">
        <v>23</v>
      </c>
      <c r="G800" s="7" t="s">
        <v>24</v>
      </c>
      <c r="H800" s="7" t="s">
        <v>25</v>
      </c>
      <c r="I800" s="7" t="s">
        <v>26</v>
      </c>
      <c r="J800" s="7">
        <v>155</v>
      </c>
      <c r="K800" s="7">
        <v>221.65</v>
      </c>
      <c r="N800" s="4">
        <v>2024</v>
      </c>
      <c r="O800" s="4" t="s">
        <v>67</v>
      </c>
      <c r="P800" s="4" t="s">
        <v>39</v>
      </c>
      <c r="Q800" s="13" t="s">
        <v>40</v>
      </c>
      <c r="R800" s="14">
        <v>644</v>
      </c>
      <c r="S800" s="14">
        <v>5743.5</v>
      </c>
      <c r="T800" s="14">
        <v>6432.72</v>
      </c>
      <c r="U800" s="9">
        <v>1148.7</v>
      </c>
      <c r="V800" s="10" t="s">
        <v>63</v>
      </c>
    </row>
    <row r="801" spans="1:22" ht="18" customHeight="1" x14ac:dyDescent="0.25">
      <c r="A801" s="7" t="s">
        <v>34</v>
      </c>
      <c r="B801" s="7">
        <v>2021</v>
      </c>
      <c r="C801" s="7" t="s">
        <v>20</v>
      </c>
      <c r="D801" s="7" t="s">
        <v>21</v>
      </c>
      <c r="E801" s="7" t="s">
        <v>22</v>
      </c>
      <c r="F801" s="7" t="s">
        <v>23</v>
      </c>
      <c r="G801" s="7" t="s">
        <v>24</v>
      </c>
      <c r="H801" s="7" t="s">
        <v>25</v>
      </c>
      <c r="I801" s="7" t="s">
        <v>26</v>
      </c>
      <c r="J801" s="7">
        <v>149</v>
      </c>
      <c r="K801" s="7">
        <v>213.07</v>
      </c>
      <c r="N801" s="4">
        <v>2024</v>
      </c>
      <c r="O801" s="4" t="s">
        <v>67</v>
      </c>
      <c r="P801" s="4" t="s">
        <v>43</v>
      </c>
      <c r="Q801" s="13" t="s">
        <v>44</v>
      </c>
      <c r="R801" s="14">
        <v>643</v>
      </c>
      <c r="S801" s="14">
        <v>7000</v>
      </c>
      <c r="T801" s="14">
        <v>7840</v>
      </c>
      <c r="U801" s="9">
        <v>1400</v>
      </c>
      <c r="V801" s="10" t="s">
        <v>63</v>
      </c>
    </row>
    <row r="802" spans="1:22" ht="18" customHeight="1" x14ac:dyDescent="0.25">
      <c r="A802" s="7" t="s">
        <v>19</v>
      </c>
      <c r="B802" s="7">
        <v>2021</v>
      </c>
      <c r="C802" s="7" t="s">
        <v>20</v>
      </c>
      <c r="D802" s="7" t="s">
        <v>21</v>
      </c>
      <c r="E802" s="7" t="s">
        <v>22</v>
      </c>
      <c r="F802" s="7" t="s">
        <v>23</v>
      </c>
      <c r="G802" s="7" t="s">
        <v>24</v>
      </c>
      <c r="H802" s="7" t="s">
        <v>25</v>
      </c>
      <c r="I802" s="7" t="s">
        <v>35</v>
      </c>
      <c r="J802" s="7">
        <v>173</v>
      </c>
      <c r="K802" s="7">
        <v>247.39</v>
      </c>
      <c r="N802" s="4">
        <v>2024</v>
      </c>
      <c r="O802" s="4" t="s">
        <v>67</v>
      </c>
      <c r="P802" s="4" t="s">
        <v>39</v>
      </c>
      <c r="Q802" s="13" t="s">
        <v>46</v>
      </c>
      <c r="R802" s="14">
        <v>455</v>
      </c>
      <c r="S802" s="14">
        <v>4578.6000000000004</v>
      </c>
      <c r="T802" s="14">
        <v>5128.0320000000002</v>
      </c>
      <c r="U802" s="9">
        <v>915.72000000000014</v>
      </c>
      <c r="V802" s="10" t="s">
        <v>63</v>
      </c>
    </row>
    <row r="803" spans="1:22" ht="18" customHeight="1" x14ac:dyDescent="0.25">
      <c r="A803" s="7" t="s">
        <v>19</v>
      </c>
      <c r="B803" s="7">
        <v>2021</v>
      </c>
      <c r="C803" s="7" t="s">
        <v>20</v>
      </c>
      <c r="D803" s="7" t="s">
        <v>21</v>
      </c>
      <c r="E803" s="7" t="s">
        <v>22</v>
      </c>
      <c r="F803" s="7" t="s">
        <v>23</v>
      </c>
      <c r="G803" s="7" t="s">
        <v>24</v>
      </c>
      <c r="H803" s="7" t="s">
        <v>25</v>
      </c>
      <c r="I803" s="7" t="s">
        <v>35</v>
      </c>
      <c r="J803" s="7">
        <v>221</v>
      </c>
      <c r="K803" s="7">
        <v>316.02999999999997</v>
      </c>
      <c r="N803" s="4">
        <v>2024</v>
      </c>
      <c r="O803" s="4" t="s">
        <v>67</v>
      </c>
      <c r="P803" s="4" t="s">
        <v>43</v>
      </c>
      <c r="Q803" s="13" t="s">
        <v>48</v>
      </c>
      <c r="R803" s="15">
        <v>345</v>
      </c>
      <c r="S803" s="15">
        <v>7000</v>
      </c>
      <c r="T803" s="15">
        <v>7840</v>
      </c>
      <c r="U803" s="9">
        <v>1400</v>
      </c>
      <c r="V803" s="10" t="s">
        <v>63</v>
      </c>
    </row>
    <row r="804" spans="1:22" ht="18" customHeight="1" x14ac:dyDescent="0.25">
      <c r="A804" s="7" t="s">
        <v>34</v>
      </c>
      <c r="B804" s="7">
        <v>2021</v>
      </c>
      <c r="C804" s="7" t="s">
        <v>20</v>
      </c>
      <c r="D804" s="7" t="s">
        <v>21</v>
      </c>
      <c r="E804" s="7" t="s">
        <v>22</v>
      </c>
      <c r="F804" s="7" t="s">
        <v>23</v>
      </c>
      <c r="G804" s="7" t="s">
        <v>24</v>
      </c>
      <c r="H804" s="7" t="s">
        <v>25</v>
      </c>
      <c r="I804" s="7" t="s">
        <v>35</v>
      </c>
      <c r="J804" s="7">
        <v>783</v>
      </c>
      <c r="K804" s="7">
        <v>1119.69</v>
      </c>
      <c r="N804" s="4">
        <v>2024</v>
      </c>
      <c r="O804" s="4" t="s">
        <v>67</v>
      </c>
      <c r="P804" s="4" t="s">
        <v>36</v>
      </c>
      <c r="Q804" s="8" t="s">
        <v>49</v>
      </c>
      <c r="R804" s="9">
        <v>122</v>
      </c>
      <c r="S804" s="9">
        <v>100</v>
      </c>
      <c r="T804" s="9">
        <v>112</v>
      </c>
      <c r="U804" s="9">
        <v>20</v>
      </c>
      <c r="V804" s="10" t="s">
        <v>63</v>
      </c>
    </row>
    <row r="805" spans="1:22" ht="18" customHeight="1" x14ac:dyDescent="0.25">
      <c r="A805" s="7" t="s">
        <v>19</v>
      </c>
      <c r="B805" s="7">
        <v>2021</v>
      </c>
      <c r="C805" s="7" t="s">
        <v>60</v>
      </c>
      <c r="D805" s="7" t="s">
        <v>21</v>
      </c>
      <c r="E805" s="7" t="s">
        <v>22</v>
      </c>
      <c r="F805" s="7" t="s">
        <v>23</v>
      </c>
      <c r="G805" s="7" t="s">
        <v>24</v>
      </c>
      <c r="H805" s="7" t="s">
        <v>25</v>
      </c>
      <c r="I805" s="7" t="s">
        <v>26</v>
      </c>
      <c r="J805" s="7">
        <v>344</v>
      </c>
      <c r="K805" s="7">
        <v>491.91999999999996</v>
      </c>
      <c r="N805" s="4">
        <v>2024</v>
      </c>
      <c r="O805" s="4" t="s">
        <v>67</v>
      </c>
      <c r="P805" s="4" t="s">
        <v>50</v>
      </c>
      <c r="Q805" s="13" t="s">
        <v>51</v>
      </c>
      <c r="R805" s="14">
        <v>78</v>
      </c>
      <c r="S805" s="14">
        <v>4577.2</v>
      </c>
      <c r="T805" s="14">
        <v>5126.4639999999999</v>
      </c>
      <c r="U805" s="9">
        <v>915.44</v>
      </c>
      <c r="V805" s="10" t="s">
        <v>63</v>
      </c>
    </row>
    <row r="806" spans="1:22" ht="18" customHeight="1" x14ac:dyDescent="0.25">
      <c r="A806" s="7" t="s">
        <v>19</v>
      </c>
      <c r="B806" s="7">
        <v>2021</v>
      </c>
      <c r="C806" s="7" t="s">
        <v>60</v>
      </c>
      <c r="D806" s="7" t="s">
        <v>21</v>
      </c>
      <c r="E806" s="7" t="s">
        <v>22</v>
      </c>
      <c r="F806" s="7" t="s">
        <v>23</v>
      </c>
      <c r="G806" s="7" t="s">
        <v>24</v>
      </c>
      <c r="H806" s="7" t="s">
        <v>25</v>
      </c>
      <c r="I806" s="7" t="s">
        <v>26</v>
      </c>
      <c r="J806" s="7">
        <v>338</v>
      </c>
      <c r="K806" s="7">
        <v>483.34000000000003</v>
      </c>
      <c r="N806" s="4">
        <v>2024</v>
      </c>
      <c r="O806" s="4" t="s">
        <v>67</v>
      </c>
      <c r="P806" s="4" t="s">
        <v>50</v>
      </c>
      <c r="Q806" s="13" t="s">
        <v>52</v>
      </c>
      <c r="R806" s="14">
        <v>76</v>
      </c>
      <c r="S806" s="14">
        <v>4576.8999999999996</v>
      </c>
      <c r="T806" s="14">
        <v>5126.1279999999997</v>
      </c>
      <c r="U806" s="9">
        <v>915.38</v>
      </c>
      <c r="V806" s="10" t="s">
        <v>63</v>
      </c>
    </row>
    <row r="807" spans="1:22" ht="18" customHeight="1" x14ac:dyDescent="0.25">
      <c r="A807" s="7" t="s">
        <v>19</v>
      </c>
      <c r="B807" s="7">
        <v>2021</v>
      </c>
      <c r="C807" s="7" t="s">
        <v>60</v>
      </c>
      <c r="D807" s="7" t="s">
        <v>21</v>
      </c>
      <c r="E807" s="7" t="s">
        <v>22</v>
      </c>
      <c r="F807" s="7" t="s">
        <v>23</v>
      </c>
      <c r="G807" s="7" t="s">
        <v>24</v>
      </c>
      <c r="H807" s="7" t="s">
        <v>25</v>
      </c>
      <c r="I807" s="7" t="s">
        <v>26</v>
      </c>
      <c r="J807" s="7">
        <v>332</v>
      </c>
      <c r="K807" s="7">
        <v>474.76</v>
      </c>
      <c r="N807" s="4">
        <v>2024</v>
      </c>
      <c r="O807" s="4" t="s">
        <v>67</v>
      </c>
      <c r="P807" s="4" t="s">
        <v>50</v>
      </c>
      <c r="Q807" s="13" t="s">
        <v>54</v>
      </c>
      <c r="R807" s="14">
        <v>46</v>
      </c>
      <c r="S807" s="14">
        <v>200</v>
      </c>
      <c r="T807" s="14">
        <v>224</v>
      </c>
      <c r="U807" s="9">
        <v>40</v>
      </c>
      <c r="V807" s="10" t="s">
        <v>63</v>
      </c>
    </row>
    <row r="808" spans="1:22" ht="18" customHeight="1" x14ac:dyDescent="0.25">
      <c r="A808" s="7" t="s">
        <v>42</v>
      </c>
      <c r="B808" s="7">
        <v>2021</v>
      </c>
      <c r="C808" s="7" t="s">
        <v>60</v>
      </c>
      <c r="D808" s="7" t="s">
        <v>21</v>
      </c>
      <c r="E808" s="7" t="s">
        <v>22</v>
      </c>
      <c r="F808" s="7" t="s">
        <v>23</v>
      </c>
      <c r="G808" s="7" t="s">
        <v>24</v>
      </c>
      <c r="H808" s="7" t="s">
        <v>25</v>
      </c>
      <c r="I808" s="7" t="s">
        <v>35</v>
      </c>
      <c r="J808" s="7">
        <v>152</v>
      </c>
      <c r="K808" s="7">
        <v>206.72</v>
      </c>
      <c r="N808" s="4">
        <v>2024</v>
      </c>
      <c r="O808" s="4" t="s">
        <v>67</v>
      </c>
      <c r="P808" s="4" t="s">
        <v>50</v>
      </c>
      <c r="Q808" s="13" t="s">
        <v>55</v>
      </c>
      <c r="R808" s="14">
        <v>34</v>
      </c>
      <c r="S808" s="14">
        <v>4576.8</v>
      </c>
      <c r="T808" s="14">
        <v>5126.0160000000005</v>
      </c>
      <c r="U808" s="9">
        <v>915.36000000000013</v>
      </c>
      <c r="V808" s="10" t="s">
        <v>63</v>
      </c>
    </row>
    <row r="809" spans="1:22" ht="18" customHeight="1" x14ac:dyDescent="0.25">
      <c r="A809" s="7" t="s">
        <v>42</v>
      </c>
      <c r="B809" s="7">
        <v>2021</v>
      </c>
      <c r="C809" s="7" t="s">
        <v>60</v>
      </c>
      <c r="D809" s="7" t="s">
        <v>21</v>
      </c>
      <c r="E809" s="7" t="s">
        <v>22</v>
      </c>
      <c r="F809" s="7" t="s">
        <v>23</v>
      </c>
      <c r="G809" s="7" t="s">
        <v>24</v>
      </c>
      <c r="H809" s="7" t="s">
        <v>25</v>
      </c>
      <c r="I809" s="7" t="s">
        <v>35</v>
      </c>
      <c r="J809" s="7">
        <v>368</v>
      </c>
      <c r="K809" s="7">
        <v>526.24</v>
      </c>
      <c r="N809" s="4">
        <v>2024</v>
      </c>
      <c r="O809" s="4" t="s">
        <v>67</v>
      </c>
      <c r="P809" s="4" t="s">
        <v>36</v>
      </c>
      <c r="Q809" s="8" t="s">
        <v>56</v>
      </c>
      <c r="R809" s="9">
        <v>7</v>
      </c>
      <c r="S809" s="9">
        <v>200</v>
      </c>
      <c r="T809" s="9">
        <v>224</v>
      </c>
      <c r="U809" s="9">
        <v>40</v>
      </c>
      <c r="V809" s="10" t="s">
        <v>63</v>
      </c>
    </row>
    <row r="810" spans="1:22" ht="18" customHeight="1" x14ac:dyDescent="0.25">
      <c r="A810" s="7" t="s">
        <v>61</v>
      </c>
      <c r="B810" s="7">
        <v>2021</v>
      </c>
      <c r="C810" s="7" t="s">
        <v>60</v>
      </c>
      <c r="D810" s="7" t="s">
        <v>21</v>
      </c>
      <c r="E810" s="7" t="s">
        <v>22</v>
      </c>
      <c r="F810" s="7" t="s">
        <v>23</v>
      </c>
      <c r="G810" s="7" t="s">
        <v>24</v>
      </c>
      <c r="H810" s="7" t="s">
        <v>25</v>
      </c>
      <c r="I810" s="7" t="s">
        <v>35</v>
      </c>
      <c r="J810" s="7">
        <v>148</v>
      </c>
      <c r="K810" s="7">
        <v>211.64</v>
      </c>
      <c r="N810" s="4">
        <v>2024</v>
      </c>
      <c r="O810" s="4" t="s">
        <v>67</v>
      </c>
      <c r="P810" s="4" t="s">
        <v>57</v>
      </c>
      <c r="Q810" s="13" t="s">
        <v>57</v>
      </c>
      <c r="R810" s="14">
        <v>3</v>
      </c>
      <c r="S810" s="14">
        <v>6600</v>
      </c>
      <c r="T810" s="14">
        <v>7392</v>
      </c>
      <c r="U810" s="9">
        <v>1320</v>
      </c>
      <c r="V810" s="10" t="s">
        <v>63</v>
      </c>
    </row>
    <row r="811" spans="1:22" ht="18" customHeight="1" x14ac:dyDescent="0.25">
      <c r="A811" s="7" t="s">
        <v>19</v>
      </c>
      <c r="B811" s="7">
        <v>2021</v>
      </c>
      <c r="C811" s="7" t="s">
        <v>60</v>
      </c>
      <c r="D811" s="7" t="s">
        <v>21</v>
      </c>
      <c r="E811" s="7" t="s">
        <v>22</v>
      </c>
      <c r="F811" s="7" t="s">
        <v>23</v>
      </c>
      <c r="G811" s="7" t="s">
        <v>24</v>
      </c>
      <c r="H811" s="7" t="s">
        <v>25</v>
      </c>
      <c r="I811" s="7" t="s">
        <v>35</v>
      </c>
      <c r="J811" s="7">
        <v>196</v>
      </c>
      <c r="K811" s="7">
        <v>280.27999999999997</v>
      </c>
      <c r="N811" s="4">
        <v>2024</v>
      </c>
      <c r="O811" s="4" t="s">
        <v>67</v>
      </c>
      <c r="P811" s="4" t="s">
        <v>50</v>
      </c>
      <c r="Q811" s="13" t="s">
        <v>58</v>
      </c>
      <c r="R811" s="14">
        <v>3</v>
      </c>
      <c r="S811" s="14">
        <v>4577.3</v>
      </c>
      <c r="T811" s="14">
        <v>5126.576</v>
      </c>
      <c r="U811" s="9">
        <v>915.46</v>
      </c>
      <c r="V811" s="10" t="s">
        <v>63</v>
      </c>
    </row>
    <row r="812" spans="1:22" ht="18" customHeight="1" x14ac:dyDescent="0.25">
      <c r="A812" s="7" t="s">
        <v>19</v>
      </c>
      <c r="B812" s="7">
        <v>2021</v>
      </c>
      <c r="C812" s="7" t="s">
        <v>60</v>
      </c>
      <c r="D812" s="7" t="s">
        <v>21</v>
      </c>
      <c r="E812" s="7" t="s">
        <v>22</v>
      </c>
      <c r="F812" s="7" t="s">
        <v>23</v>
      </c>
      <c r="G812" s="7" t="s">
        <v>24</v>
      </c>
      <c r="H812" s="7" t="s">
        <v>25</v>
      </c>
      <c r="I812" s="7" t="s">
        <v>35</v>
      </c>
      <c r="J812" s="7">
        <v>370</v>
      </c>
      <c r="K812" s="7">
        <v>529.1</v>
      </c>
      <c r="N812" s="4">
        <v>2024</v>
      </c>
      <c r="O812" s="4" t="s">
        <v>68</v>
      </c>
      <c r="P812" s="4" t="s">
        <v>28</v>
      </c>
      <c r="Q812" s="8" t="s">
        <v>29</v>
      </c>
      <c r="R812" s="9">
        <v>3566</v>
      </c>
      <c r="S812" s="9">
        <v>4577.3</v>
      </c>
      <c r="T812" s="9">
        <v>5126.576</v>
      </c>
      <c r="U812" s="9">
        <v>915.46</v>
      </c>
      <c r="V812" s="10" t="s">
        <v>63</v>
      </c>
    </row>
    <row r="813" spans="1:22" ht="18" customHeight="1" x14ac:dyDescent="0.25">
      <c r="A813" s="7" t="s">
        <v>42</v>
      </c>
      <c r="B813" s="7">
        <v>2021</v>
      </c>
      <c r="C813" s="7" t="s">
        <v>60</v>
      </c>
      <c r="D813" s="7" t="s">
        <v>21</v>
      </c>
      <c r="E813" s="7" t="s">
        <v>22</v>
      </c>
      <c r="F813" s="7" t="s">
        <v>23</v>
      </c>
      <c r="G813" s="7" t="s">
        <v>24</v>
      </c>
      <c r="H813" s="7" t="s">
        <v>25</v>
      </c>
      <c r="I813" s="7" t="s">
        <v>26</v>
      </c>
      <c r="J813" s="7">
        <v>342</v>
      </c>
      <c r="K813" s="7">
        <v>526.24</v>
      </c>
      <c r="N813" s="4">
        <v>2024</v>
      </c>
      <c r="O813" s="4" t="s">
        <v>68</v>
      </c>
      <c r="P813" s="4" t="s">
        <v>28</v>
      </c>
      <c r="Q813" s="8" t="s">
        <v>32</v>
      </c>
      <c r="R813" s="9">
        <v>2498</v>
      </c>
      <c r="S813" s="9">
        <v>8000</v>
      </c>
      <c r="T813" s="9">
        <v>8960</v>
      </c>
      <c r="U813" s="9">
        <v>1600</v>
      </c>
      <c r="V813" s="10" t="s">
        <v>63</v>
      </c>
    </row>
    <row r="814" spans="1:22" ht="18" customHeight="1" x14ac:dyDescent="0.25">
      <c r="A814" s="7" t="s">
        <v>34</v>
      </c>
      <c r="B814" s="7">
        <v>2021</v>
      </c>
      <c r="C814" s="7" t="s">
        <v>60</v>
      </c>
      <c r="D814" s="7" t="s">
        <v>21</v>
      </c>
      <c r="E814" s="7" t="s">
        <v>22</v>
      </c>
      <c r="F814" s="7" t="s">
        <v>23</v>
      </c>
      <c r="G814" s="7" t="s">
        <v>24</v>
      </c>
      <c r="H814" s="7" t="s">
        <v>25</v>
      </c>
      <c r="I814" s="7" t="s">
        <v>26</v>
      </c>
      <c r="J814" s="7">
        <v>336</v>
      </c>
      <c r="K814" s="7">
        <v>526.24</v>
      </c>
      <c r="N814" s="4">
        <v>2024</v>
      </c>
      <c r="O814" s="4" t="s">
        <v>68</v>
      </c>
      <c r="P814" s="4" t="s">
        <v>36</v>
      </c>
      <c r="Q814" s="8" t="s">
        <v>37</v>
      </c>
      <c r="R814" s="9">
        <v>1245</v>
      </c>
      <c r="S814" s="9">
        <v>4577.2</v>
      </c>
      <c r="T814" s="9">
        <v>5126.4639999999999</v>
      </c>
      <c r="U814" s="9">
        <v>915.44</v>
      </c>
      <c r="V814" s="10" t="s">
        <v>63</v>
      </c>
    </row>
    <row r="815" spans="1:22" ht="18" customHeight="1" x14ac:dyDescent="0.25">
      <c r="A815" s="7" t="s">
        <v>19</v>
      </c>
      <c r="B815" s="7">
        <v>2021</v>
      </c>
      <c r="C815" s="7" t="s">
        <v>60</v>
      </c>
      <c r="D815" s="7" t="s">
        <v>21</v>
      </c>
      <c r="E815" s="7" t="s">
        <v>22</v>
      </c>
      <c r="F815" s="7" t="s">
        <v>23</v>
      </c>
      <c r="G815" s="7" t="s">
        <v>24</v>
      </c>
      <c r="H815" s="7" t="s">
        <v>25</v>
      </c>
      <c r="I815" s="7" t="s">
        <v>26</v>
      </c>
      <c r="J815" s="7">
        <v>330</v>
      </c>
      <c r="K815" s="7">
        <v>526.24</v>
      </c>
      <c r="N815" s="4">
        <v>2024</v>
      </c>
      <c r="O815" s="4" t="s">
        <v>68</v>
      </c>
      <c r="P815" s="4" t="s">
        <v>39</v>
      </c>
      <c r="Q815" s="13" t="s">
        <v>40</v>
      </c>
      <c r="R815" s="14">
        <v>644</v>
      </c>
      <c r="S815" s="14">
        <v>5743.5</v>
      </c>
      <c r="T815" s="14">
        <v>6432.72</v>
      </c>
      <c r="U815" s="9">
        <v>1148.7</v>
      </c>
      <c r="V815" s="10" t="s">
        <v>63</v>
      </c>
    </row>
    <row r="816" spans="1:22" ht="18" customHeight="1" x14ac:dyDescent="0.25">
      <c r="A816" s="7" t="s">
        <v>19</v>
      </c>
      <c r="B816" s="7">
        <v>2021</v>
      </c>
      <c r="C816" s="7" t="s">
        <v>60</v>
      </c>
      <c r="D816" s="7" t="s">
        <v>21</v>
      </c>
      <c r="E816" s="7" t="s">
        <v>22</v>
      </c>
      <c r="F816" s="7" t="s">
        <v>23</v>
      </c>
      <c r="G816" s="7" t="s">
        <v>24</v>
      </c>
      <c r="H816" s="7" t="s">
        <v>25</v>
      </c>
      <c r="I816" s="7" t="s">
        <v>35</v>
      </c>
      <c r="J816" s="7">
        <v>691</v>
      </c>
      <c r="K816" s="7">
        <v>988.13</v>
      </c>
      <c r="N816" s="4">
        <v>2024</v>
      </c>
      <c r="O816" s="4" t="s">
        <v>68</v>
      </c>
      <c r="P816" s="4" t="s">
        <v>43</v>
      </c>
      <c r="Q816" s="13" t="s">
        <v>44</v>
      </c>
      <c r="R816" s="14">
        <v>643</v>
      </c>
      <c r="S816" s="14">
        <v>7000</v>
      </c>
      <c r="T816" s="14">
        <v>7840</v>
      </c>
      <c r="U816" s="9">
        <v>1400</v>
      </c>
      <c r="V816" s="10" t="s">
        <v>63</v>
      </c>
    </row>
    <row r="817" spans="1:22" ht="18" customHeight="1" x14ac:dyDescent="0.25">
      <c r="A817" s="7" t="s">
        <v>19</v>
      </c>
      <c r="B817" s="7">
        <v>2021</v>
      </c>
      <c r="C817" s="7" t="s">
        <v>60</v>
      </c>
      <c r="D817" s="7" t="s">
        <v>21</v>
      </c>
      <c r="E817" s="7" t="s">
        <v>22</v>
      </c>
      <c r="F817" s="7" t="s">
        <v>23</v>
      </c>
      <c r="G817" s="7" t="s">
        <v>24</v>
      </c>
      <c r="H817" s="7" t="s">
        <v>25</v>
      </c>
      <c r="I817" s="7" t="s">
        <v>35</v>
      </c>
      <c r="J817" s="7">
        <v>724</v>
      </c>
      <c r="K817" s="7">
        <v>1035.32</v>
      </c>
      <c r="N817" s="4">
        <v>2024</v>
      </c>
      <c r="O817" s="4" t="s">
        <v>68</v>
      </c>
      <c r="P817" s="4" t="s">
        <v>39</v>
      </c>
      <c r="Q817" s="13" t="s">
        <v>46</v>
      </c>
      <c r="R817" s="14">
        <v>455</v>
      </c>
      <c r="S817" s="14">
        <v>4578.6000000000004</v>
      </c>
      <c r="T817" s="14">
        <v>5128.0320000000002</v>
      </c>
      <c r="U817" s="9">
        <v>915.72000000000014</v>
      </c>
      <c r="V817" s="10" t="s">
        <v>63</v>
      </c>
    </row>
    <row r="818" spans="1:22" ht="18" customHeight="1" x14ac:dyDescent="0.25">
      <c r="A818" s="7" t="s">
        <v>34</v>
      </c>
      <c r="B818" s="7">
        <v>2021</v>
      </c>
      <c r="C818" s="7" t="s">
        <v>60</v>
      </c>
      <c r="D818" s="7" t="s">
        <v>21</v>
      </c>
      <c r="E818" s="7" t="s">
        <v>22</v>
      </c>
      <c r="F818" s="7" t="s">
        <v>23</v>
      </c>
      <c r="G818" s="7" t="s">
        <v>24</v>
      </c>
      <c r="H818" s="7" t="s">
        <v>25</v>
      </c>
      <c r="I818" s="7" t="s">
        <v>35</v>
      </c>
      <c r="J818" s="7">
        <v>777</v>
      </c>
      <c r="K818" s="7">
        <v>1111.1100000000001</v>
      </c>
      <c r="N818" s="4">
        <v>2024</v>
      </c>
      <c r="O818" s="4" t="s">
        <v>68</v>
      </c>
      <c r="P818" s="4" t="s">
        <v>43</v>
      </c>
      <c r="Q818" s="13" t="s">
        <v>48</v>
      </c>
      <c r="R818" s="15">
        <v>345</v>
      </c>
      <c r="S818" s="15">
        <v>7000</v>
      </c>
      <c r="T818" s="15">
        <v>7840</v>
      </c>
      <c r="U818" s="9">
        <v>1400</v>
      </c>
      <c r="V818" s="10" t="s">
        <v>63</v>
      </c>
    </row>
    <row r="819" spans="1:22" ht="18" customHeight="1" x14ac:dyDescent="0.25">
      <c r="A819" s="7" t="s">
        <v>19</v>
      </c>
      <c r="B819" s="7">
        <v>2021</v>
      </c>
      <c r="C819" s="7" t="s">
        <v>60</v>
      </c>
      <c r="D819" s="7" t="s">
        <v>21</v>
      </c>
      <c r="E819" s="7" t="s">
        <v>22</v>
      </c>
      <c r="F819" s="7" t="s">
        <v>23</v>
      </c>
      <c r="G819" s="7" t="s">
        <v>24</v>
      </c>
      <c r="H819" s="7" t="s">
        <v>25</v>
      </c>
      <c r="I819" s="7" t="s">
        <v>26</v>
      </c>
      <c r="J819" s="7">
        <v>339</v>
      </c>
      <c r="K819" s="7">
        <v>484.77</v>
      </c>
      <c r="N819" s="4">
        <v>2024</v>
      </c>
      <c r="O819" s="4" t="s">
        <v>68</v>
      </c>
      <c r="P819" s="4" t="s">
        <v>36</v>
      </c>
      <c r="Q819" s="8" t="s">
        <v>49</v>
      </c>
      <c r="R819" s="9">
        <v>122</v>
      </c>
      <c r="S819" s="9">
        <v>100</v>
      </c>
      <c r="T819" s="9">
        <v>112</v>
      </c>
      <c r="U819" s="9">
        <v>20</v>
      </c>
      <c r="V819" s="10" t="s">
        <v>30</v>
      </c>
    </row>
    <row r="820" spans="1:22" ht="18" customHeight="1" x14ac:dyDescent="0.25">
      <c r="A820" s="7" t="s">
        <v>19</v>
      </c>
      <c r="B820" s="7">
        <v>2021</v>
      </c>
      <c r="C820" s="7" t="s">
        <v>60</v>
      </c>
      <c r="D820" s="7" t="s">
        <v>21</v>
      </c>
      <c r="E820" s="7" t="s">
        <v>22</v>
      </c>
      <c r="F820" s="7" t="s">
        <v>23</v>
      </c>
      <c r="G820" s="7" t="s">
        <v>24</v>
      </c>
      <c r="H820" s="7" t="s">
        <v>25</v>
      </c>
      <c r="I820" s="7" t="s">
        <v>26</v>
      </c>
      <c r="J820" s="7">
        <v>333</v>
      </c>
      <c r="K820" s="7">
        <v>476.19</v>
      </c>
      <c r="N820" s="4">
        <v>2024</v>
      </c>
      <c r="O820" s="4" t="s">
        <v>68</v>
      </c>
      <c r="P820" s="4" t="s">
        <v>50</v>
      </c>
      <c r="Q820" s="13" t="s">
        <v>51</v>
      </c>
      <c r="R820" s="14">
        <v>78</v>
      </c>
      <c r="S820" s="14">
        <v>4577.2</v>
      </c>
      <c r="T820" s="14">
        <v>5126.4639999999999</v>
      </c>
      <c r="U820" s="9">
        <v>915.44</v>
      </c>
      <c r="V820" s="10" t="s">
        <v>30</v>
      </c>
    </row>
    <row r="821" spans="1:22" ht="18" customHeight="1" x14ac:dyDescent="0.25">
      <c r="A821" s="7" t="s">
        <v>34</v>
      </c>
      <c r="B821" s="7">
        <v>2021</v>
      </c>
      <c r="C821" s="7" t="s">
        <v>60</v>
      </c>
      <c r="D821" s="7" t="s">
        <v>21</v>
      </c>
      <c r="E821" s="7" t="s">
        <v>22</v>
      </c>
      <c r="F821" s="7" t="s">
        <v>23</v>
      </c>
      <c r="G821" s="7" t="s">
        <v>24</v>
      </c>
      <c r="H821" s="7" t="s">
        <v>25</v>
      </c>
      <c r="I821" s="7" t="s">
        <v>35</v>
      </c>
      <c r="J821" s="7">
        <v>153</v>
      </c>
      <c r="K821" s="7">
        <v>218.79</v>
      </c>
      <c r="N821" s="4">
        <v>2024</v>
      </c>
      <c r="O821" s="4" t="s">
        <v>68</v>
      </c>
      <c r="P821" s="4" t="s">
        <v>50</v>
      </c>
      <c r="Q821" s="13" t="s">
        <v>52</v>
      </c>
      <c r="R821" s="14">
        <v>76</v>
      </c>
      <c r="S821" s="14">
        <v>4576.8999999999996</v>
      </c>
      <c r="T821" s="14">
        <v>5126.1279999999997</v>
      </c>
      <c r="U821" s="9">
        <v>915.38</v>
      </c>
      <c r="V821" s="10" t="s">
        <v>30</v>
      </c>
    </row>
    <row r="822" spans="1:22" ht="18" customHeight="1" x14ac:dyDescent="0.25">
      <c r="A822" s="7" t="s">
        <v>19</v>
      </c>
      <c r="B822" s="7">
        <v>2021</v>
      </c>
      <c r="C822" s="7" t="s">
        <v>60</v>
      </c>
      <c r="D822" s="7" t="s">
        <v>21</v>
      </c>
      <c r="E822" s="7" t="s">
        <v>22</v>
      </c>
      <c r="F822" s="7" t="s">
        <v>23</v>
      </c>
      <c r="G822" s="7" t="s">
        <v>24</v>
      </c>
      <c r="H822" s="7" t="s">
        <v>25</v>
      </c>
      <c r="I822" s="7" t="s">
        <v>35</v>
      </c>
      <c r="J822" s="7">
        <v>764</v>
      </c>
      <c r="K822" s="7">
        <v>526.24</v>
      </c>
      <c r="N822" s="4">
        <v>2024</v>
      </c>
      <c r="O822" s="4" t="s">
        <v>68</v>
      </c>
      <c r="P822" s="4" t="s">
        <v>50</v>
      </c>
      <c r="Q822" s="13" t="s">
        <v>54</v>
      </c>
      <c r="R822" s="14">
        <v>46</v>
      </c>
      <c r="S822" s="14">
        <v>200</v>
      </c>
      <c r="T822" s="14">
        <v>224</v>
      </c>
      <c r="U822" s="9">
        <v>40</v>
      </c>
      <c r="V822" s="10" t="s">
        <v>30</v>
      </c>
    </row>
    <row r="823" spans="1:22" ht="18" customHeight="1" x14ac:dyDescent="0.25">
      <c r="A823" s="7" t="s">
        <v>19</v>
      </c>
      <c r="B823" s="7">
        <v>2021</v>
      </c>
      <c r="C823" s="7" t="s">
        <v>60</v>
      </c>
      <c r="D823" s="7" t="s">
        <v>21</v>
      </c>
      <c r="E823" s="7" t="s">
        <v>22</v>
      </c>
      <c r="F823" s="7" t="s">
        <v>23</v>
      </c>
      <c r="G823" s="7" t="s">
        <v>24</v>
      </c>
      <c r="H823" s="7" t="s">
        <v>25</v>
      </c>
      <c r="I823" s="7" t="s">
        <v>35</v>
      </c>
      <c r="J823" s="7">
        <v>817</v>
      </c>
      <c r="K823" s="7">
        <v>526.24</v>
      </c>
      <c r="N823" s="4">
        <v>2024</v>
      </c>
      <c r="O823" s="4" t="s">
        <v>68</v>
      </c>
      <c r="P823" s="4" t="s">
        <v>50</v>
      </c>
      <c r="Q823" s="13" t="s">
        <v>55</v>
      </c>
      <c r="R823" s="14">
        <v>34</v>
      </c>
      <c r="S823" s="14">
        <v>4576.8</v>
      </c>
      <c r="T823" s="14">
        <v>5126.0160000000005</v>
      </c>
      <c r="U823" s="9">
        <v>915.36000000000013</v>
      </c>
      <c r="V823" s="10" t="s">
        <v>30</v>
      </c>
    </row>
    <row r="824" spans="1:22" ht="18" customHeight="1" x14ac:dyDescent="0.25">
      <c r="A824" s="7" t="s">
        <v>19</v>
      </c>
      <c r="B824" s="7">
        <v>2021</v>
      </c>
      <c r="C824" s="7" t="s">
        <v>60</v>
      </c>
      <c r="D824" s="7" t="s">
        <v>21</v>
      </c>
      <c r="E824" s="7" t="s">
        <v>22</v>
      </c>
      <c r="F824" s="7" t="s">
        <v>23</v>
      </c>
      <c r="G824" s="7" t="s">
        <v>24</v>
      </c>
      <c r="H824" s="7" t="s">
        <v>25</v>
      </c>
      <c r="I824" s="7" t="s">
        <v>35</v>
      </c>
      <c r="J824" s="7">
        <v>151</v>
      </c>
      <c r="K824" s="7">
        <v>215.93</v>
      </c>
      <c r="N824" s="4">
        <v>2024</v>
      </c>
      <c r="O824" s="4" t="s">
        <v>68</v>
      </c>
      <c r="P824" s="4" t="s">
        <v>36</v>
      </c>
      <c r="Q824" s="8" t="s">
        <v>56</v>
      </c>
      <c r="R824" s="9">
        <v>7</v>
      </c>
      <c r="S824" s="9">
        <v>200</v>
      </c>
      <c r="T824" s="9">
        <v>224</v>
      </c>
      <c r="U824" s="9">
        <v>40</v>
      </c>
      <c r="V824" s="10" t="s">
        <v>30</v>
      </c>
    </row>
    <row r="825" spans="1:22" ht="18" customHeight="1" x14ac:dyDescent="0.25">
      <c r="A825" s="7" t="s">
        <v>42</v>
      </c>
      <c r="B825" s="7">
        <v>2021</v>
      </c>
      <c r="C825" s="7" t="s">
        <v>60</v>
      </c>
      <c r="D825" s="7" t="s">
        <v>21</v>
      </c>
      <c r="E825" s="7" t="s">
        <v>22</v>
      </c>
      <c r="F825" s="7" t="s">
        <v>23</v>
      </c>
      <c r="G825" s="7" t="s">
        <v>24</v>
      </c>
      <c r="H825" s="7" t="s">
        <v>25</v>
      </c>
      <c r="I825" s="7" t="s">
        <v>35</v>
      </c>
      <c r="J825" s="7">
        <v>199</v>
      </c>
      <c r="K825" s="7">
        <v>284.57</v>
      </c>
      <c r="N825" s="4">
        <v>2024</v>
      </c>
      <c r="O825" s="4" t="s">
        <v>68</v>
      </c>
      <c r="P825" s="4" t="s">
        <v>50</v>
      </c>
      <c r="Q825" s="13" t="s">
        <v>58</v>
      </c>
      <c r="R825" s="14">
        <v>3</v>
      </c>
      <c r="S825" s="14">
        <v>4577.3</v>
      </c>
      <c r="T825" s="14">
        <v>5126.576</v>
      </c>
      <c r="U825" s="9">
        <v>915.46</v>
      </c>
      <c r="V825" s="10" t="s">
        <v>30</v>
      </c>
    </row>
    <row r="826" spans="1:22" ht="18" customHeight="1" x14ac:dyDescent="0.25">
      <c r="A826" s="7" t="s">
        <v>61</v>
      </c>
      <c r="B826" s="7">
        <v>2021</v>
      </c>
      <c r="C826" s="7" t="s">
        <v>60</v>
      </c>
      <c r="D826" s="7" t="s">
        <v>21</v>
      </c>
      <c r="E826" s="7" t="s">
        <v>22</v>
      </c>
      <c r="F826" s="7" t="s">
        <v>23</v>
      </c>
      <c r="G826" s="7" t="s">
        <v>24</v>
      </c>
      <c r="H826" s="7" t="s">
        <v>25</v>
      </c>
      <c r="I826" s="7" t="s">
        <v>35</v>
      </c>
      <c r="J826" s="7">
        <v>367</v>
      </c>
      <c r="K826" s="7">
        <v>524.80999999999995</v>
      </c>
      <c r="N826" s="4">
        <v>2024</v>
      </c>
      <c r="O826" s="4" t="s">
        <v>68</v>
      </c>
      <c r="P826" s="4" t="s">
        <v>57</v>
      </c>
      <c r="Q826" s="13" t="s">
        <v>57</v>
      </c>
      <c r="R826" s="14">
        <v>2</v>
      </c>
      <c r="S826" s="14">
        <v>6600</v>
      </c>
      <c r="T826" s="14">
        <v>7392</v>
      </c>
      <c r="U826" s="9">
        <v>1320</v>
      </c>
      <c r="V826" s="10" t="s">
        <v>30</v>
      </c>
    </row>
    <row r="827" spans="1:22" ht="18" customHeight="1" x14ac:dyDescent="0.25">
      <c r="A827" s="7" t="s">
        <v>19</v>
      </c>
      <c r="B827" s="7">
        <v>2021</v>
      </c>
      <c r="C827" s="7" t="s">
        <v>60</v>
      </c>
      <c r="D827" s="7" t="s">
        <v>21</v>
      </c>
      <c r="E827" s="7" t="s">
        <v>22</v>
      </c>
      <c r="F827" s="7" t="s">
        <v>23</v>
      </c>
      <c r="G827" s="7" t="s">
        <v>24</v>
      </c>
      <c r="H827" s="7" t="s">
        <v>25</v>
      </c>
      <c r="I827" s="7" t="s">
        <v>26</v>
      </c>
      <c r="J827" s="7">
        <v>341</v>
      </c>
      <c r="K827" s="7">
        <v>487.63</v>
      </c>
      <c r="N827" s="4">
        <v>2024</v>
      </c>
      <c r="O827" s="4" t="s">
        <v>60</v>
      </c>
      <c r="P827" s="4" t="s">
        <v>28</v>
      </c>
      <c r="Q827" s="8" t="s">
        <v>29</v>
      </c>
      <c r="R827" s="9">
        <v>3566</v>
      </c>
      <c r="S827" s="9">
        <v>4577.3</v>
      </c>
      <c r="T827" s="9">
        <v>5126.576</v>
      </c>
      <c r="U827" s="9">
        <v>915.46</v>
      </c>
      <c r="V827" s="10" t="s">
        <v>30</v>
      </c>
    </row>
    <row r="828" spans="1:22" ht="18" customHeight="1" x14ac:dyDescent="0.25">
      <c r="A828" s="7" t="s">
        <v>61</v>
      </c>
      <c r="B828" s="7">
        <v>2021</v>
      </c>
      <c r="C828" s="7" t="s">
        <v>60</v>
      </c>
      <c r="D828" s="7" t="s">
        <v>21</v>
      </c>
      <c r="E828" s="7" t="s">
        <v>22</v>
      </c>
      <c r="F828" s="7" t="s">
        <v>23</v>
      </c>
      <c r="G828" s="7" t="s">
        <v>24</v>
      </c>
      <c r="H828" s="7" t="s">
        <v>25</v>
      </c>
      <c r="I828" s="7" t="s">
        <v>26</v>
      </c>
      <c r="J828" s="7">
        <v>335</v>
      </c>
      <c r="K828" s="7">
        <v>479.05</v>
      </c>
      <c r="N828" s="4">
        <v>2024</v>
      </c>
      <c r="O828" s="4" t="s">
        <v>60</v>
      </c>
      <c r="P828" s="4" t="s">
        <v>28</v>
      </c>
      <c r="Q828" s="8" t="s">
        <v>32</v>
      </c>
      <c r="R828" s="9">
        <v>2498</v>
      </c>
      <c r="S828" s="9">
        <v>8000</v>
      </c>
      <c r="T828" s="9">
        <v>8960</v>
      </c>
      <c r="U828" s="9">
        <v>1600</v>
      </c>
      <c r="V828" s="10" t="s">
        <v>30</v>
      </c>
    </row>
    <row r="829" spans="1:22" ht="18" customHeight="1" x14ac:dyDescent="0.25">
      <c r="A829" s="7" t="s">
        <v>34</v>
      </c>
      <c r="B829" s="7">
        <v>2021</v>
      </c>
      <c r="C829" s="7" t="s">
        <v>60</v>
      </c>
      <c r="D829" s="7" t="s">
        <v>21</v>
      </c>
      <c r="E829" s="7" t="s">
        <v>22</v>
      </c>
      <c r="F829" s="7" t="s">
        <v>23</v>
      </c>
      <c r="G829" s="7" t="s">
        <v>24</v>
      </c>
      <c r="H829" s="7" t="s">
        <v>25</v>
      </c>
      <c r="I829" s="7" t="s">
        <v>26</v>
      </c>
      <c r="J829" s="7">
        <v>329</v>
      </c>
      <c r="K829" s="7">
        <v>470.47</v>
      </c>
      <c r="N829" s="4">
        <v>2024</v>
      </c>
      <c r="O829" s="4" t="s">
        <v>60</v>
      </c>
      <c r="P829" s="4" t="s">
        <v>36</v>
      </c>
      <c r="Q829" s="8" t="s">
        <v>37</v>
      </c>
      <c r="R829" s="9">
        <v>1245</v>
      </c>
      <c r="S829" s="9">
        <v>4577.2</v>
      </c>
      <c r="T829" s="9">
        <v>5126.4639999999999</v>
      </c>
      <c r="U829" s="9">
        <v>915.44</v>
      </c>
      <c r="V829" s="10" t="s">
        <v>30</v>
      </c>
    </row>
    <row r="830" spans="1:22" ht="18" customHeight="1" x14ac:dyDescent="0.25">
      <c r="A830" s="7" t="s">
        <v>42</v>
      </c>
      <c r="B830" s="7">
        <v>2021</v>
      </c>
      <c r="C830" s="7" t="s">
        <v>60</v>
      </c>
      <c r="D830" s="7" t="s">
        <v>21</v>
      </c>
      <c r="E830" s="7" t="s">
        <v>22</v>
      </c>
      <c r="F830" s="7" t="s">
        <v>23</v>
      </c>
      <c r="G830" s="7" t="s">
        <v>24</v>
      </c>
      <c r="H830" s="7" t="s">
        <v>25</v>
      </c>
      <c r="I830" s="7" t="s">
        <v>35</v>
      </c>
      <c r="J830" s="7">
        <v>149</v>
      </c>
      <c r="K830" s="7">
        <v>213.07</v>
      </c>
      <c r="N830" s="4">
        <v>2024</v>
      </c>
      <c r="O830" s="4" t="s">
        <v>60</v>
      </c>
      <c r="P830" s="4" t="s">
        <v>39</v>
      </c>
      <c r="Q830" s="13" t="s">
        <v>40</v>
      </c>
      <c r="R830" s="14">
        <v>644</v>
      </c>
      <c r="S830" s="14">
        <v>5743.5</v>
      </c>
      <c r="T830" s="14">
        <v>6432.72</v>
      </c>
      <c r="U830" s="9">
        <v>1148.7</v>
      </c>
      <c r="V830" s="10" t="s">
        <v>30</v>
      </c>
    </row>
    <row r="831" spans="1:22" ht="18" customHeight="1" x14ac:dyDescent="0.25">
      <c r="A831" s="7" t="s">
        <v>34</v>
      </c>
      <c r="B831" s="7">
        <v>2021</v>
      </c>
      <c r="C831" s="7" t="s">
        <v>60</v>
      </c>
      <c r="D831" s="7" t="s">
        <v>21</v>
      </c>
      <c r="E831" s="7" t="s">
        <v>22</v>
      </c>
      <c r="F831" s="7" t="s">
        <v>23</v>
      </c>
      <c r="G831" s="7" t="s">
        <v>24</v>
      </c>
      <c r="H831" s="7" t="s">
        <v>25</v>
      </c>
      <c r="I831" s="7" t="s">
        <v>35</v>
      </c>
      <c r="J831" s="7">
        <v>197</v>
      </c>
      <c r="K831" s="7">
        <v>281.70999999999998</v>
      </c>
      <c r="N831" s="4">
        <v>2024</v>
      </c>
      <c r="O831" s="4" t="s">
        <v>60</v>
      </c>
      <c r="P831" s="4" t="s">
        <v>43</v>
      </c>
      <c r="Q831" s="13" t="s">
        <v>44</v>
      </c>
      <c r="R831" s="14">
        <v>643</v>
      </c>
      <c r="S831" s="14">
        <v>7000</v>
      </c>
      <c r="T831" s="14">
        <v>7840</v>
      </c>
      <c r="U831" s="9">
        <v>1400</v>
      </c>
      <c r="V831" s="10" t="s">
        <v>30</v>
      </c>
    </row>
    <row r="832" spans="1:22" ht="18" customHeight="1" x14ac:dyDescent="0.25">
      <c r="A832" s="7" t="s">
        <v>42</v>
      </c>
      <c r="B832" s="7">
        <v>2021</v>
      </c>
      <c r="C832" s="7" t="s">
        <v>60</v>
      </c>
      <c r="D832" s="7" t="s">
        <v>21</v>
      </c>
      <c r="E832" s="7" t="s">
        <v>22</v>
      </c>
      <c r="F832" s="7" t="s">
        <v>23</v>
      </c>
      <c r="G832" s="7" t="s">
        <v>24</v>
      </c>
      <c r="H832" s="7" t="s">
        <v>25</v>
      </c>
      <c r="I832" s="7" t="s">
        <v>35</v>
      </c>
      <c r="J832" s="7">
        <v>786</v>
      </c>
      <c r="K832" s="7">
        <v>1123.98</v>
      </c>
      <c r="N832" s="4">
        <v>2024</v>
      </c>
      <c r="O832" s="4" t="s">
        <v>60</v>
      </c>
      <c r="P832" s="4" t="s">
        <v>39</v>
      </c>
      <c r="Q832" s="13" t="s">
        <v>46</v>
      </c>
      <c r="R832" s="14">
        <v>455</v>
      </c>
      <c r="S832" s="14">
        <v>4578.6000000000004</v>
      </c>
      <c r="T832" s="14">
        <v>5128.0320000000002</v>
      </c>
      <c r="U832" s="9">
        <v>915.72000000000014</v>
      </c>
      <c r="V832" s="10" t="s">
        <v>30</v>
      </c>
    </row>
    <row r="833" spans="1:22" ht="18" customHeight="1" x14ac:dyDescent="0.25">
      <c r="A833" s="7" t="s">
        <v>19</v>
      </c>
      <c r="B833" s="7">
        <v>2021</v>
      </c>
      <c r="C833" s="7" t="s">
        <v>65</v>
      </c>
      <c r="D833" s="7" t="s">
        <v>21</v>
      </c>
      <c r="E833" s="7" t="s">
        <v>22</v>
      </c>
      <c r="F833" s="7" t="s">
        <v>23</v>
      </c>
      <c r="G833" s="7" t="s">
        <v>24</v>
      </c>
      <c r="H833" s="7" t="s">
        <v>25</v>
      </c>
      <c r="I833" s="7" t="s">
        <v>35</v>
      </c>
      <c r="J833" s="7">
        <v>128</v>
      </c>
      <c r="K833" s="7">
        <v>174.07999999999998</v>
      </c>
      <c r="N833" s="4">
        <v>2024</v>
      </c>
      <c r="O833" s="4" t="s">
        <v>60</v>
      </c>
      <c r="P833" s="4" t="s">
        <v>43</v>
      </c>
      <c r="Q833" s="13" t="s">
        <v>48</v>
      </c>
      <c r="R833" s="15">
        <v>345</v>
      </c>
      <c r="S833" s="15">
        <v>7000</v>
      </c>
      <c r="T833" s="15">
        <v>7840</v>
      </c>
      <c r="U833" s="9">
        <v>1400</v>
      </c>
      <c r="V833" s="10" t="s">
        <v>30</v>
      </c>
    </row>
    <row r="834" spans="1:22" ht="18" customHeight="1" x14ac:dyDescent="0.25">
      <c r="A834" s="7" t="s">
        <v>34</v>
      </c>
      <c r="B834" s="7">
        <v>2021</v>
      </c>
      <c r="C834" s="7" t="s">
        <v>65</v>
      </c>
      <c r="D834" s="7" t="s">
        <v>21</v>
      </c>
      <c r="E834" s="7" t="s">
        <v>22</v>
      </c>
      <c r="F834" s="7" t="s">
        <v>23</v>
      </c>
      <c r="G834" s="7" t="s">
        <v>24</v>
      </c>
      <c r="H834" s="7" t="s">
        <v>25</v>
      </c>
      <c r="I834" s="7" t="s">
        <v>35</v>
      </c>
      <c r="J834" s="7">
        <v>176</v>
      </c>
      <c r="K834" s="7">
        <v>251.68</v>
      </c>
      <c r="N834" s="4">
        <v>2024</v>
      </c>
      <c r="O834" s="4" t="s">
        <v>60</v>
      </c>
      <c r="P834" s="4" t="s">
        <v>36</v>
      </c>
      <c r="Q834" s="8" t="s">
        <v>49</v>
      </c>
      <c r="R834" s="9">
        <v>122</v>
      </c>
      <c r="S834" s="9">
        <v>100</v>
      </c>
      <c r="T834" s="9">
        <v>112</v>
      </c>
      <c r="U834" s="9">
        <v>20</v>
      </c>
      <c r="V834" s="10" t="s">
        <v>30</v>
      </c>
    </row>
    <row r="835" spans="1:22" ht="18" customHeight="1" x14ac:dyDescent="0.25">
      <c r="A835" s="7" t="s">
        <v>19</v>
      </c>
      <c r="B835" s="7">
        <v>2021</v>
      </c>
      <c r="C835" s="7" t="s">
        <v>65</v>
      </c>
      <c r="D835" s="7" t="s">
        <v>21</v>
      </c>
      <c r="E835" s="7" t="s">
        <v>22</v>
      </c>
      <c r="F835" s="7" t="s">
        <v>23</v>
      </c>
      <c r="G835" s="7" t="s">
        <v>24</v>
      </c>
      <c r="H835" s="7" t="s">
        <v>25</v>
      </c>
      <c r="I835" s="7" t="s">
        <v>35</v>
      </c>
      <c r="J835" s="7">
        <v>130</v>
      </c>
      <c r="K835" s="7">
        <v>185.9</v>
      </c>
      <c r="N835" s="4">
        <v>2024</v>
      </c>
      <c r="O835" s="4" t="s">
        <v>60</v>
      </c>
      <c r="P835" s="4" t="s">
        <v>50</v>
      </c>
      <c r="Q835" s="13" t="s">
        <v>51</v>
      </c>
      <c r="R835" s="14">
        <v>78</v>
      </c>
      <c r="S835" s="14">
        <v>4577.2</v>
      </c>
      <c r="T835" s="14">
        <v>5126.4639999999999</v>
      </c>
      <c r="U835" s="9">
        <v>915.44</v>
      </c>
      <c r="V835" s="10" t="s">
        <v>30</v>
      </c>
    </row>
    <row r="836" spans="1:22" ht="18" customHeight="1" x14ac:dyDescent="0.25">
      <c r="A836" s="7" t="s">
        <v>34</v>
      </c>
      <c r="B836" s="7">
        <v>2021</v>
      </c>
      <c r="C836" s="7" t="s">
        <v>65</v>
      </c>
      <c r="D836" s="7" t="s">
        <v>21</v>
      </c>
      <c r="E836" s="7" t="s">
        <v>22</v>
      </c>
      <c r="F836" s="7" t="s">
        <v>23</v>
      </c>
      <c r="G836" s="7" t="s">
        <v>24</v>
      </c>
      <c r="H836" s="7" t="s">
        <v>25</v>
      </c>
      <c r="I836" s="7" t="s">
        <v>35</v>
      </c>
      <c r="J836" s="7">
        <v>178</v>
      </c>
      <c r="K836" s="7">
        <v>254.54</v>
      </c>
      <c r="N836" s="4">
        <v>2024</v>
      </c>
      <c r="O836" s="4" t="s">
        <v>60</v>
      </c>
      <c r="P836" s="4" t="s">
        <v>50</v>
      </c>
      <c r="Q836" s="13" t="s">
        <v>52</v>
      </c>
      <c r="R836" s="14">
        <v>76</v>
      </c>
      <c r="S836" s="14">
        <v>4576.8999999999996</v>
      </c>
      <c r="T836" s="14">
        <v>5126.1279999999997</v>
      </c>
      <c r="U836" s="9">
        <v>915.38</v>
      </c>
      <c r="V836" s="10" t="s">
        <v>30</v>
      </c>
    </row>
    <row r="837" spans="1:22" ht="18" customHeight="1" x14ac:dyDescent="0.25">
      <c r="A837" s="7" t="s">
        <v>19</v>
      </c>
      <c r="B837" s="7">
        <v>2021</v>
      </c>
      <c r="C837" s="7" t="s">
        <v>65</v>
      </c>
      <c r="D837" s="7" t="s">
        <v>21</v>
      </c>
      <c r="E837" s="7" t="s">
        <v>22</v>
      </c>
      <c r="F837" s="7" t="s">
        <v>23</v>
      </c>
      <c r="G837" s="7" t="s">
        <v>24</v>
      </c>
      <c r="H837" s="7" t="s">
        <v>25</v>
      </c>
      <c r="I837" s="7" t="s">
        <v>35</v>
      </c>
      <c r="J837" s="7">
        <v>728</v>
      </c>
      <c r="K837" s="7">
        <v>1041.04</v>
      </c>
      <c r="N837" s="4">
        <v>2024</v>
      </c>
      <c r="O837" s="4" t="s">
        <v>60</v>
      </c>
      <c r="P837" s="4" t="s">
        <v>50</v>
      </c>
      <c r="Q837" s="13" t="s">
        <v>54</v>
      </c>
      <c r="R837" s="14">
        <v>46</v>
      </c>
      <c r="S837" s="14">
        <v>200</v>
      </c>
      <c r="T837" s="14">
        <v>224</v>
      </c>
      <c r="U837" s="9">
        <v>40</v>
      </c>
      <c r="V837" s="10" t="s">
        <v>30</v>
      </c>
    </row>
    <row r="838" spans="1:22" ht="18" customHeight="1" x14ac:dyDescent="0.25">
      <c r="A838" s="7" t="s">
        <v>53</v>
      </c>
      <c r="B838" s="7">
        <v>2021</v>
      </c>
      <c r="C838" s="7" t="s">
        <v>65</v>
      </c>
      <c r="D838" s="7" t="s">
        <v>21</v>
      </c>
      <c r="E838" s="7" t="s">
        <v>22</v>
      </c>
      <c r="F838" s="7" t="s">
        <v>23</v>
      </c>
      <c r="G838" s="7" t="s">
        <v>24</v>
      </c>
      <c r="H838" s="7" t="s">
        <v>25</v>
      </c>
      <c r="I838" s="7" t="s">
        <v>35</v>
      </c>
      <c r="J838" s="7">
        <v>129</v>
      </c>
      <c r="K838" s="7">
        <v>184.47</v>
      </c>
      <c r="N838" s="4">
        <v>2024</v>
      </c>
      <c r="O838" s="4" t="s">
        <v>60</v>
      </c>
      <c r="P838" s="4" t="s">
        <v>50</v>
      </c>
      <c r="Q838" s="13" t="s">
        <v>55</v>
      </c>
      <c r="R838" s="14">
        <v>34</v>
      </c>
      <c r="S838" s="14">
        <v>4576.8</v>
      </c>
      <c r="T838" s="14">
        <v>5126.0160000000005</v>
      </c>
      <c r="U838" s="9">
        <v>915.36000000000013</v>
      </c>
      <c r="V838" s="10" t="s">
        <v>30</v>
      </c>
    </row>
    <row r="839" spans="1:22" ht="18" customHeight="1" x14ac:dyDescent="0.25">
      <c r="A839" s="7" t="s">
        <v>42</v>
      </c>
      <c r="B839" s="7">
        <v>2021</v>
      </c>
      <c r="C839" s="7" t="s">
        <v>65</v>
      </c>
      <c r="D839" s="7" t="s">
        <v>21</v>
      </c>
      <c r="E839" s="7" t="s">
        <v>22</v>
      </c>
      <c r="F839" s="7" t="s">
        <v>23</v>
      </c>
      <c r="G839" s="7" t="s">
        <v>24</v>
      </c>
      <c r="H839" s="7" t="s">
        <v>25</v>
      </c>
      <c r="I839" s="7" t="s">
        <v>35</v>
      </c>
      <c r="J839" s="7">
        <v>767</v>
      </c>
      <c r="K839" s="7">
        <v>526.24</v>
      </c>
      <c r="N839" s="4">
        <v>2024</v>
      </c>
      <c r="O839" s="4" t="s">
        <v>60</v>
      </c>
      <c r="P839" s="4" t="s">
        <v>36</v>
      </c>
      <c r="Q839" s="8" t="s">
        <v>56</v>
      </c>
      <c r="R839" s="9">
        <v>7</v>
      </c>
      <c r="S839" s="9">
        <v>200</v>
      </c>
      <c r="T839" s="9">
        <v>224</v>
      </c>
      <c r="U839" s="9">
        <v>40</v>
      </c>
      <c r="V839" s="10" t="s">
        <v>30</v>
      </c>
    </row>
    <row r="840" spans="1:22" ht="18" customHeight="1" x14ac:dyDescent="0.25">
      <c r="A840" s="7" t="s">
        <v>34</v>
      </c>
      <c r="B840" s="7">
        <v>2021</v>
      </c>
      <c r="C840" s="7" t="s">
        <v>65</v>
      </c>
      <c r="D840" s="7" t="s">
        <v>21</v>
      </c>
      <c r="E840" s="7" t="s">
        <v>22</v>
      </c>
      <c r="F840" s="7" t="s">
        <v>23</v>
      </c>
      <c r="G840" s="7" t="s">
        <v>24</v>
      </c>
      <c r="H840" s="7" t="s">
        <v>25</v>
      </c>
      <c r="I840" s="7" t="s">
        <v>35</v>
      </c>
      <c r="J840" s="7">
        <v>127</v>
      </c>
      <c r="K840" s="7">
        <v>181.61</v>
      </c>
      <c r="N840" s="4">
        <v>2024</v>
      </c>
      <c r="O840" s="4" t="s">
        <v>60</v>
      </c>
      <c r="P840" s="4" t="s">
        <v>50</v>
      </c>
      <c r="Q840" s="13" t="s">
        <v>58</v>
      </c>
      <c r="R840" s="14">
        <v>3</v>
      </c>
      <c r="S840" s="14">
        <v>4577.3</v>
      </c>
      <c r="T840" s="14">
        <v>5126.576</v>
      </c>
      <c r="U840" s="9">
        <v>915.46</v>
      </c>
      <c r="V840" s="10" t="s">
        <v>30</v>
      </c>
    </row>
    <row r="841" spans="1:22" ht="18" customHeight="1" x14ac:dyDescent="0.25">
      <c r="A841" s="7" t="s">
        <v>34</v>
      </c>
      <c r="B841" s="7">
        <v>2021</v>
      </c>
      <c r="C841" s="7" t="s">
        <v>65</v>
      </c>
      <c r="D841" s="7" t="s">
        <v>21</v>
      </c>
      <c r="E841" s="7" t="s">
        <v>22</v>
      </c>
      <c r="F841" s="7" t="s">
        <v>23</v>
      </c>
      <c r="G841" s="7" t="s">
        <v>24</v>
      </c>
      <c r="H841" s="7" t="s">
        <v>25</v>
      </c>
      <c r="I841" s="7" t="s">
        <v>35</v>
      </c>
      <c r="J841" s="7">
        <v>175</v>
      </c>
      <c r="K841" s="7">
        <v>250.25</v>
      </c>
      <c r="N841" s="4">
        <v>2024</v>
      </c>
      <c r="O841" s="4" t="s">
        <v>60</v>
      </c>
      <c r="P841" s="4" t="s">
        <v>57</v>
      </c>
      <c r="Q841" s="13" t="s">
        <v>57</v>
      </c>
      <c r="R841" s="14">
        <v>2</v>
      </c>
      <c r="S841" s="14">
        <v>6600</v>
      </c>
      <c r="T841" s="14">
        <v>7392</v>
      </c>
      <c r="U841" s="9">
        <v>1320</v>
      </c>
      <c r="V841" s="10" t="s">
        <v>30</v>
      </c>
    </row>
    <row r="842" spans="1:22" ht="18" customHeight="1" x14ac:dyDescent="0.25">
      <c r="A842" s="7" t="s">
        <v>19</v>
      </c>
      <c r="B842" s="7">
        <v>2021</v>
      </c>
      <c r="C842" s="7" t="s">
        <v>65</v>
      </c>
      <c r="D842" s="7" t="s">
        <v>21</v>
      </c>
      <c r="E842" s="7" t="s">
        <v>22</v>
      </c>
      <c r="F842" s="7" t="s">
        <v>23</v>
      </c>
      <c r="G842" s="7" t="s">
        <v>24</v>
      </c>
      <c r="H842" s="7" t="s">
        <v>25</v>
      </c>
      <c r="I842" s="7" t="s">
        <v>35</v>
      </c>
      <c r="J842" s="7">
        <v>131</v>
      </c>
      <c r="K842" s="7">
        <v>187.32999999999998</v>
      </c>
      <c r="N842" s="4">
        <v>2024</v>
      </c>
      <c r="O842" s="4" t="s">
        <v>69</v>
      </c>
      <c r="P842" s="4" t="s">
        <v>28</v>
      </c>
      <c r="Q842" s="8" t="s">
        <v>29</v>
      </c>
      <c r="R842" s="9">
        <v>3566</v>
      </c>
      <c r="S842" s="9">
        <v>4577.3</v>
      </c>
      <c r="T842" s="9">
        <v>5126.576</v>
      </c>
      <c r="U842" s="9">
        <v>915.46</v>
      </c>
      <c r="V842" s="10" t="s">
        <v>30</v>
      </c>
    </row>
    <row r="843" spans="1:22" ht="18" customHeight="1" x14ac:dyDescent="0.25">
      <c r="A843" s="7" t="s">
        <v>19</v>
      </c>
      <c r="B843" s="7">
        <v>2021</v>
      </c>
      <c r="C843" s="7" t="s">
        <v>59</v>
      </c>
      <c r="D843" s="7" t="s">
        <v>21</v>
      </c>
      <c r="E843" s="7" t="s">
        <v>22</v>
      </c>
      <c r="F843" s="7" t="s">
        <v>23</v>
      </c>
      <c r="G843" s="7" t="s">
        <v>24</v>
      </c>
      <c r="H843" s="7" t="s">
        <v>25</v>
      </c>
      <c r="I843" s="7" t="s">
        <v>26</v>
      </c>
      <c r="J843" s="7">
        <v>194</v>
      </c>
      <c r="K843" s="7">
        <v>526.24</v>
      </c>
      <c r="N843" s="4">
        <v>2024</v>
      </c>
      <c r="O843" s="4" t="s">
        <v>69</v>
      </c>
      <c r="P843" s="4" t="s">
        <v>28</v>
      </c>
      <c r="Q843" s="8" t="s">
        <v>32</v>
      </c>
      <c r="R843" s="9">
        <v>2498</v>
      </c>
      <c r="S843" s="9">
        <v>8000</v>
      </c>
      <c r="T843" s="9">
        <v>8960</v>
      </c>
      <c r="U843" s="9">
        <v>1600</v>
      </c>
      <c r="V843" s="10" t="s">
        <v>30</v>
      </c>
    </row>
    <row r="844" spans="1:22" ht="18" customHeight="1" x14ac:dyDescent="0.25">
      <c r="A844" s="7" t="s">
        <v>34</v>
      </c>
      <c r="B844" s="7">
        <v>2021</v>
      </c>
      <c r="C844" s="7" t="s">
        <v>59</v>
      </c>
      <c r="D844" s="7" t="s">
        <v>21</v>
      </c>
      <c r="E844" s="7" t="s">
        <v>22</v>
      </c>
      <c r="F844" s="7" t="s">
        <v>23</v>
      </c>
      <c r="G844" s="7" t="s">
        <v>24</v>
      </c>
      <c r="H844" s="7" t="s">
        <v>25</v>
      </c>
      <c r="I844" s="7" t="s">
        <v>26</v>
      </c>
      <c r="J844" s="7">
        <v>188</v>
      </c>
      <c r="K844" s="7">
        <v>526.24</v>
      </c>
      <c r="N844" s="4">
        <v>2024</v>
      </c>
      <c r="O844" s="4" t="s">
        <v>69</v>
      </c>
      <c r="P844" s="4" t="s">
        <v>36</v>
      </c>
      <c r="Q844" s="8" t="s">
        <v>37</v>
      </c>
      <c r="R844" s="9">
        <v>1245</v>
      </c>
      <c r="S844" s="9">
        <v>4577.2</v>
      </c>
      <c r="T844" s="9">
        <v>5126.4639999999999</v>
      </c>
      <c r="U844" s="9">
        <v>915.44</v>
      </c>
      <c r="V844" s="10" t="s">
        <v>30</v>
      </c>
    </row>
    <row r="845" spans="1:22" ht="18" customHeight="1" x14ac:dyDescent="0.25">
      <c r="A845" s="7" t="s">
        <v>19</v>
      </c>
      <c r="B845" s="7">
        <v>2021</v>
      </c>
      <c r="C845" s="7" t="s">
        <v>59</v>
      </c>
      <c r="D845" s="7" t="s">
        <v>21</v>
      </c>
      <c r="E845" s="7" t="s">
        <v>22</v>
      </c>
      <c r="F845" s="7" t="s">
        <v>23</v>
      </c>
      <c r="G845" s="7" t="s">
        <v>24</v>
      </c>
      <c r="H845" s="7" t="s">
        <v>25</v>
      </c>
      <c r="I845" s="7" t="s">
        <v>26</v>
      </c>
      <c r="J845" s="7">
        <v>182</v>
      </c>
      <c r="K845" s="7">
        <v>526.24</v>
      </c>
      <c r="N845" s="4">
        <v>2024</v>
      </c>
      <c r="O845" s="4" t="s">
        <v>69</v>
      </c>
      <c r="P845" s="4" t="s">
        <v>39</v>
      </c>
      <c r="Q845" s="13" t="s">
        <v>40</v>
      </c>
      <c r="R845" s="14">
        <v>644</v>
      </c>
      <c r="S845" s="14">
        <v>5743.5</v>
      </c>
      <c r="T845" s="14">
        <v>6432.72</v>
      </c>
      <c r="U845" s="9">
        <v>1148.7</v>
      </c>
      <c r="V845" s="10" t="s">
        <v>30</v>
      </c>
    </row>
    <row r="846" spans="1:22" ht="18" customHeight="1" x14ac:dyDescent="0.25">
      <c r="A846" s="7" t="s">
        <v>19</v>
      </c>
      <c r="B846" s="7">
        <v>2021</v>
      </c>
      <c r="C846" s="7" t="s">
        <v>59</v>
      </c>
      <c r="D846" s="7" t="s">
        <v>21</v>
      </c>
      <c r="E846" s="7" t="s">
        <v>22</v>
      </c>
      <c r="F846" s="7" t="s">
        <v>23</v>
      </c>
      <c r="G846" s="7" t="s">
        <v>24</v>
      </c>
      <c r="H846" s="7" t="s">
        <v>25</v>
      </c>
      <c r="I846" s="7" t="s">
        <v>35</v>
      </c>
      <c r="J846" s="7">
        <v>182</v>
      </c>
      <c r="K846" s="7">
        <v>260.26</v>
      </c>
      <c r="N846" s="4">
        <v>2024</v>
      </c>
      <c r="O846" s="4" t="s">
        <v>69</v>
      </c>
      <c r="P846" s="4" t="s">
        <v>43</v>
      </c>
      <c r="Q846" s="13" t="s">
        <v>44</v>
      </c>
      <c r="R846" s="14">
        <v>643</v>
      </c>
      <c r="S846" s="14">
        <v>7000</v>
      </c>
      <c r="T846" s="14">
        <v>7840</v>
      </c>
      <c r="U846" s="9">
        <v>1400</v>
      </c>
      <c r="V846" s="10" t="s">
        <v>30</v>
      </c>
    </row>
    <row r="847" spans="1:22" ht="18" customHeight="1" x14ac:dyDescent="0.25">
      <c r="A847" s="7" t="s">
        <v>42</v>
      </c>
      <c r="B847" s="7">
        <v>2021</v>
      </c>
      <c r="C847" s="7" t="s">
        <v>59</v>
      </c>
      <c r="D847" s="7" t="s">
        <v>21</v>
      </c>
      <c r="E847" s="7" t="s">
        <v>22</v>
      </c>
      <c r="F847" s="7" t="s">
        <v>23</v>
      </c>
      <c r="G847" s="7" t="s">
        <v>24</v>
      </c>
      <c r="H847" s="7" t="s">
        <v>25</v>
      </c>
      <c r="I847" s="7" t="s">
        <v>35</v>
      </c>
      <c r="J847" s="7">
        <v>230</v>
      </c>
      <c r="K847" s="7">
        <v>328.9</v>
      </c>
      <c r="N847" s="4">
        <v>2024</v>
      </c>
      <c r="O847" s="4" t="s">
        <v>69</v>
      </c>
      <c r="P847" s="4" t="s">
        <v>39</v>
      </c>
      <c r="Q847" s="13" t="s">
        <v>46</v>
      </c>
      <c r="R847" s="14">
        <v>455</v>
      </c>
      <c r="S847" s="14">
        <v>4578.6000000000004</v>
      </c>
      <c r="T847" s="14">
        <v>5128.0320000000002</v>
      </c>
      <c r="U847" s="9">
        <v>915.72000000000014</v>
      </c>
      <c r="V847" s="10" t="s">
        <v>30</v>
      </c>
    </row>
    <row r="848" spans="1:22" ht="18" customHeight="1" x14ac:dyDescent="0.25">
      <c r="A848" s="7" t="s">
        <v>61</v>
      </c>
      <c r="B848" s="7">
        <v>2021</v>
      </c>
      <c r="C848" s="7" t="s">
        <v>59</v>
      </c>
      <c r="D848" s="7" t="s">
        <v>21</v>
      </c>
      <c r="E848" s="7" t="s">
        <v>22</v>
      </c>
      <c r="F848" s="7" t="s">
        <v>23</v>
      </c>
      <c r="G848" s="7" t="s">
        <v>24</v>
      </c>
      <c r="H848" s="7" t="s">
        <v>25</v>
      </c>
      <c r="I848" s="7" t="s">
        <v>35</v>
      </c>
      <c r="J848" s="7">
        <v>158</v>
      </c>
      <c r="K848" s="7">
        <v>225.94</v>
      </c>
      <c r="N848" s="4">
        <v>2024</v>
      </c>
      <c r="O848" s="4" t="s">
        <v>69</v>
      </c>
      <c r="P848" s="4" t="s">
        <v>43</v>
      </c>
      <c r="Q848" s="13" t="s">
        <v>48</v>
      </c>
      <c r="R848" s="15">
        <v>345</v>
      </c>
      <c r="S848" s="15">
        <v>7000</v>
      </c>
      <c r="T848" s="15">
        <v>7840</v>
      </c>
      <c r="U848" s="9">
        <v>1400</v>
      </c>
      <c r="V848" s="10" t="s">
        <v>30</v>
      </c>
    </row>
    <row r="849" spans="1:22" ht="18" customHeight="1" x14ac:dyDescent="0.25">
      <c r="A849" s="7" t="s">
        <v>34</v>
      </c>
      <c r="B849" s="7">
        <v>2021</v>
      </c>
      <c r="C849" s="7" t="s">
        <v>59</v>
      </c>
      <c r="D849" s="7" t="s">
        <v>21</v>
      </c>
      <c r="E849" s="7" t="s">
        <v>22</v>
      </c>
      <c r="F849" s="7" t="s">
        <v>23</v>
      </c>
      <c r="G849" s="7" t="s">
        <v>24</v>
      </c>
      <c r="H849" s="7" t="s">
        <v>25</v>
      </c>
      <c r="I849" s="7" t="s">
        <v>35</v>
      </c>
      <c r="J849" s="7">
        <v>184</v>
      </c>
      <c r="K849" s="7">
        <v>263.12</v>
      </c>
      <c r="N849" s="4">
        <v>2024</v>
      </c>
      <c r="O849" s="4" t="s">
        <v>69</v>
      </c>
      <c r="P849" s="4" t="s">
        <v>36</v>
      </c>
      <c r="Q849" s="8" t="s">
        <v>49</v>
      </c>
      <c r="R849" s="9">
        <v>122</v>
      </c>
      <c r="S849" s="9">
        <v>100</v>
      </c>
      <c r="T849" s="9">
        <v>112</v>
      </c>
      <c r="U849" s="9">
        <v>20</v>
      </c>
      <c r="V849" s="10" t="s">
        <v>30</v>
      </c>
    </row>
    <row r="850" spans="1:22" ht="18" customHeight="1" x14ac:dyDescent="0.25">
      <c r="A850" s="7" t="s">
        <v>19</v>
      </c>
      <c r="B850" s="7">
        <v>2021</v>
      </c>
      <c r="C850" s="7" t="s">
        <v>59</v>
      </c>
      <c r="D850" s="7" t="s">
        <v>21</v>
      </c>
      <c r="E850" s="7" t="s">
        <v>22</v>
      </c>
      <c r="F850" s="7" t="s">
        <v>23</v>
      </c>
      <c r="G850" s="7" t="s">
        <v>24</v>
      </c>
      <c r="H850" s="7" t="s">
        <v>25</v>
      </c>
      <c r="I850" s="7" t="s">
        <v>35</v>
      </c>
      <c r="J850" s="7">
        <v>154</v>
      </c>
      <c r="K850" s="7">
        <v>220.22</v>
      </c>
      <c r="N850" s="4">
        <v>2024</v>
      </c>
      <c r="O850" s="4" t="s">
        <v>69</v>
      </c>
      <c r="P850" s="4" t="s">
        <v>50</v>
      </c>
      <c r="Q850" s="13" t="s">
        <v>51</v>
      </c>
      <c r="R850" s="14">
        <v>78</v>
      </c>
      <c r="S850" s="14">
        <v>4577.2</v>
      </c>
      <c r="T850" s="14">
        <v>5126.4639999999999</v>
      </c>
      <c r="U850" s="9">
        <v>915.44</v>
      </c>
      <c r="V850" s="10" t="s">
        <v>30</v>
      </c>
    </row>
    <row r="851" spans="1:22" ht="18" customHeight="1" x14ac:dyDescent="0.25">
      <c r="A851" s="7" t="s">
        <v>34</v>
      </c>
      <c r="B851" s="7">
        <v>2021</v>
      </c>
      <c r="C851" s="7" t="s">
        <v>59</v>
      </c>
      <c r="D851" s="7" t="s">
        <v>21</v>
      </c>
      <c r="E851" s="7" t="s">
        <v>22</v>
      </c>
      <c r="F851" s="7" t="s">
        <v>23</v>
      </c>
      <c r="G851" s="7" t="s">
        <v>24</v>
      </c>
      <c r="H851" s="7" t="s">
        <v>25</v>
      </c>
      <c r="I851" s="7" t="s">
        <v>26</v>
      </c>
      <c r="J851" s="7">
        <v>192</v>
      </c>
      <c r="K851" s="7">
        <v>526.24</v>
      </c>
      <c r="N851" s="4">
        <v>2024</v>
      </c>
      <c r="O851" s="4" t="s">
        <v>69</v>
      </c>
      <c r="P851" s="4" t="s">
        <v>50</v>
      </c>
      <c r="Q851" s="13" t="s">
        <v>52</v>
      </c>
      <c r="R851" s="14">
        <v>76</v>
      </c>
      <c r="S851" s="14">
        <v>4576.8999999999996</v>
      </c>
      <c r="T851" s="14">
        <v>5126.1279999999997</v>
      </c>
      <c r="U851" s="9">
        <v>915.38</v>
      </c>
      <c r="V851" s="10" t="s">
        <v>30</v>
      </c>
    </row>
    <row r="852" spans="1:22" ht="18" customHeight="1" x14ac:dyDescent="0.25">
      <c r="A852" s="7" t="s">
        <v>61</v>
      </c>
      <c r="B852" s="7">
        <v>2021</v>
      </c>
      <c r="C852" s="7" t="s">
        <v>59</v>
      </c>
      <c r="D852" s="7" t="s">
        <v>21</v>
      </c>
      <c r="E852" s="7" t="s">
        <v>22</v>
      </c>
      <c r="F852" s="7" t="s">
        <v>23</v>
      </c>
      <c r="G852" s="7" t="s">
        <v>24</v>
      </c>
      <c r="H852" s="7" t="s">
        <v>25</v>
      </c>
      <c r="I852" s="7" t="s">
        <v>26</v>
      </c>
      <c r="J852" s="7">
        <v>186</v>
      </c>
      <c r="K852" s="7">
        <v>526.24</v>
      </c>
      <c r="N852" s="4">
        <v>2024</v>
      </c>
      <c r="O852" s="4" t="s">
        <v>69</v>
      </c>
      <c r="P852" s="4" t="s">
        <v>50</v>
      </c>
      <c r="Q852" s="13" t="s">
        <v>54</v>
      </c>
      <c r="R852" s="14">
        <v>46</v>
      </c>
      <c r="S852" s="14">
        <v>200</v>
      </c>
      <c r="T852" s="14">
        <v>224</v>
      </c>
      <c r="U852" s="9">
        <v>40</v>
      </c>
      <c r="V852" s="10" t="s">
        <v>30</v>
      </c>
    </row>
    <row r="853" spans="1:22" ht="18" customHeight="1" x14ac:dyDescent="0.25">
      <c r="A853" s="7" t="s">
        <v>53</v>
      </c>
      <c r="B853" s="7">
        <v>2021</v>
      </c>
      <c r="C853" s="7" t="s">
        <v>59</v>
      </c>
      <c r="D853" s="7" t="s">
        <v>21</v>
      </c>
      <c r="E853" s="7" t="s">
        <v>22</v>
      </c>
      <c r="F853" s="7" t="s">
        <v>23</v>
      </c>
      <c r="G853" s="7" t="s">
        <v>24</v>
      </c>
      <c r="H853" s="7" t="s">
        <v>25</v>
      </c>
      <c r="I853" s="7" t="s">
        <v>26</v>
      </c>
      <c r="J853" s="7">
        <v>180</v>
      </c>
      <c r="K853" s="7">
        <v>526.24</v>
      </c>
      <c r="N853" s="4">
        <v>2024</v>
      </c>
      <c r="O853" s="4" t="s">
        <v>69</v>
      </c>
      <c r="P853" s="4" t="s">
        <v>50</v>
      </c>
      <c r="Q853" s="13" t="s">
        <v>55</v>
      </c>
      <c r="R853" s="14">
        <v>34</v>
      </c>
      <c r="S853" s="14">
        <v>4576.8</v>
      </c>
      <c r="T853" s="14">
        <v>5126.0160000000005</v>
      </c>
      <c r="U853" s="9">
        <v>915.36000000000013</v>
      </c>
      <c r="V853" s="10" t="s">
        <v>30</v>
      </c>
    </row>
    <row r="854" spans="1:22" ht="18" customHeight="1" x14ac:dyDescent="0.25">
      <c r="A854" s="7" t="s">
        <v>19</v>
      </c>
      <c r="B854" s="7">
        <v>2021</v>
      </c>
      <c r="C854" s="7" t="s">
        <v>59</v>
      </c>
      <c r="D854" s="7" t="s">
        <v>21</v>
      </c>
      <c r="E854" s="7" t="s">
        <v>22</v>
      </c>
      <c r="F854" s="7" t="s">
        <v>23</v>
      </c>
      <c r="G854" s="7" t="s">
        <v>24</v>
      </c>
      <c r="H854" s="7" t="s">
        <v>25</v>
      </c>
      <c r="I854" s="7" t="s">
        <v>35</v>
      </c>
      <c r="J854" s="7">
        <v>686</v>
      </c>
      <c r="K854" s="7">
        <v>980.98</v>
      </c>
      <c r="N854" s="4">
        <v>2024</v>
      </c>
      <c r="O854" s="4" t="s">
        <v>69</v>
      </c>
      <c r="P854" s="4" t="s">
        <v>36</v>
      </c>
      <c r="Q854" s="8" t="s">
        <v>56</v>
      </c>
      <c r="R854" s="9">
        <v>7</v>
      </c>
      <c r="S854" s="9">
        <v>200</v>
      </c>
      <c r="T854" s="9">
        <v>224</v>
      </c>
      <c r="U854" s="9">
        <v>40</v>
      </c>
      <c r="V854" s="10" t="s">
        <v>30</v>
      </c>
    </row>
    <row r="855" spans="1:22" ht="18" customHeight="1" x14ac:dyDescent="0.25">
      <c r="A855" s="7" t="s">
        <v>53</v>
      </c>
      <c r="B855" s="7">
        <v>2021</v>
      </c>
      <c r="C855" s="7" t="s">
        <v>59</v>
      </c>
      <c r="D855" s="7" t="s">
        <v>21</v>
      </c>
      <c r="E855" s="7" t="s">
        <v>22</v>
      </c>
      <c r="F855" s="7" t="s">
        <v>23</v>
      </c>
      <c r="G855" s="7" t="s">
        <v>24</v>
      </c>
      <c r="H855" s="7" t="s">
        <v>25</v>
      </c>
      <c r="I855" s="7" t="s">
        <v>35</v>
      </c>
      <c r="J855" s="7">
        <v>719</v>
      </c>
      <c r="K855" s="7">
        <v>1028.17</v>
      </c>
      <c r="N855" s="4">
        <v>2024</v>
      </c>
      <c r="O855" s="4" t="s">
        <v>69</v>
      </c>
      <c r="P855" s="4" t="s">
        <v>50</v>
      </c>
      <c r="Q855" s="13" t="s">
        <v>58</v>
      </c>
      <c r="R855" s="14">
        <v>3</v>
      </c>
      <c r="S855" s="14">
        <v>4577.3</v>
      </c>
      <c r="T855" s="14">
        <v>5126.576</v>
      </c>
      <c r="U855" s="9">
        <v>915.46</v>
      </c>
      <c r="V855" s="10" t="s">
        <v>30</v>
      </c>
    </row>
    <row r="856" spans="1:22" ht="18" customHeight="1" x14ac:dyDescent="0.25">
      <c r="A856" s="7" t="s">
        <v>34</v>
      </c>
      <c r="B856" s="7">
        <v>2021</v>
      </c>
      <c r="C856" s="7" t="s">
        <v>59</v>
      </c>
      <c r="D856" s="7" t="s">
        <v>21</v>
      </c>
      <c r="E856" s="7" t="s">
        <v>22</v>
      </c>
      <c r="F856" s="7" t="s">
        <v>23</v>
      </c>
      <c r="G856" s="7" t="s">
        <v>24</v>
      </c>
      <c r="H856" s="7" t="s">
        <v>25</v>
      </c>
      <c r="I856" s="7" t="s">
        <v>35</v>
      </c>
      <c r="J856" s="7">
        <v>772</v>
      </c>
      <c r="K856" s="7">
        <v>1103.96</v>
      </c>
      <c r="N856" s="4">
        <v>2024</v>
      </c>
      <c r="O856" s="4" t="s">
        <v>69</v>
      </c>
      <c r="P856" s="4" t="s">
        <v>57</v>
      </c>
      <c r="Q856" s="13" t="s">
        <v>57</v>
      </c>
      <c r="R856" s="14">
        <v>2</v>
      </c>
      <c r="S856" s="14">
        <v>6600</v>
      </c>
      <c r="T856" s="14">
        <v>7392</v>
      </c>
      <c r="U856" s="9">
        <v>1320</v>
      </c>
      <c r="V856" s="10" t="s">
        <v>30</v>
      </c>
    </row>
    <row r="857" spans="1:22" ht="18" customHeight="1" x14ac:dyDescent="0.25">
      <c r="A857" s="7" t="s">
        <v>42</v>
      </c>
      <c r="B857" s="7">
        <v>2021</v>
      </c>
      <c r="C857" s="7" t="s">
        <v>59</v>
      </c>
      <c r="D857" s="7" t="s">
        <v>21</v>
      </c>
      <c r="E857" s="7" t="s">
        <v>22</v>
      </c>
      <c r="F857" s="7" t="s">
        <v>23</v>
      </c>
      <c r="G857" s="7" t="s">
        <v>24</v>
      </c>
      <c r="H857" s="7" t="s">
        <v>25</v>
      </c>
      <c r="I857" s="7" t="s">
        <v>26</v>
      </c>
      <c r="J857" s="7">
        <v>189</v>
      </c>
      <c r="K857" s="7">
        <v>270.27</v>
      </c>
      <c r="N857" s="4">
        <v>2024</v>
      </c>
      <c r="O857" s="4" t="s">
        <v>70</v>
      </c>
      <c r="P857" s="4" t="s">
        <v>28</v>
      </c>
      <c r="Q857" s="8" t="s">
        <v>29</v>
      </c>
      <c r="R857" s="9">
        <v>3566</v>
      </c>
      <c r="S857" s="9">
        <v>4577.3</v>
      </c>
      <c r="T857" s="9">
        <v>5126.576</v>
      </c>
      <c r="U857" s="9">
        <v>915.46</v>
      </c>
      <c r="V857" s="10" t="s">
        <v>30</v>
      </c>
    </row>
    <row r="858" spans="1:22" ht="18" customHeight="1" x14ac:dyDescent="0.25">
      <c r="A858" s="7" t="s">
        <v>53</v>
      </c>
      <c r="B858" s="7">
        <v>2021</v>
      </c>
      <c r="C858" s="7" t="s">
        <v>59</v>
      </c>
      <c r="D858" s="7" t="s">
        <v>21</v>
      </c>
      <c r="E858" s="7" t="s">
        <v>22</v>
      </c>
      <c r="F858" s="7" t="s">
        <v>23</v>
      </c>
      <c r="G858" s="7" t="s">
        <v>24</v>
      </c>
      <c r="H858" s="7" t="s">
        <v>25</v>
      </c>
      <c r="I858" s="7" t="s">
        <v>26</v>
      </c>
      <c r="J858" s="7">
        <v>183</v>
      </c>
      <c r="K858" s="7">
        <v>261.69</v>
      </c>
      <c r="N858" s="4">
        <v>2024</v>
      </c>
      <c r="O858" s="4" t="s">
        <v>70</v>
      </c>
      <c r="P858" s="4" t="s">
        <v>28</v>
      </c>
      <c r="Q858" s="8" t="s">
        <v>32</v>
      </c>
      <c r="R858" s="9">
        <v>2498</v>
      </c>
      <c r="S858" s="9">
        <v>8000</v>
      </c>
      <c r="T858" s="9">
        <v>8960</v>
      </c>
      <c r="U858" s="9">
        <v>1600</v>
      </c>
      <c r="V858" s="10" t="s">
        <v>30</v>
      </c>
    </row>
    <row r="859" spans="1:22" ht="18" customHeight="1" x14ac:dyDescent="0.25">
      <c r="A859" s="7" t="s">
        <v>34</v>
      </c>
      <c r="B859" s="7">
        <v>2021</v>
      </c>
      <c r="C859" s="7" t="s">
        <v>59</v>
      </c>
      <c r="D859" s="7" t="s">
        <v>21</v>
      </c>
      <c r="E859" s="7" t="s">
        <v>22</v>
      </c>
      <c r="F859" s="7" t="s">
        <v>23</v>
      </c>
      <c r="G859" s="7" t="s">
        <v>24</v>
      </c>
      <c r="H859" s="7" t="s">
        <v>25</v>
      </c>
      <c r="I859" s="7" t="s">
        <v>35</v>
      </c>
      <c r="J859" s="7">
        <v>183</v>
      </c>
      <c r="K859" s="7">
        <v>261.69</v>
      </c>
      <c r="N859" s="4">
        <v>2024</v>
      </c>
      <c r="O859" s="4" t="s">
        <v>70</v>
      </c>
      <c r="P859" s="4" t="s">
        <v>36</v>
      </c>
      <c r="Q859" s="8" t="s">
        <v>37</v>
      </c>
      <c r="R859" s="9">
        <v>1245</v>
      </c>
      <c r="S859" s="9">
        <v>4577.2</v>
      </c>
      <c r="T859" s="9">
        <v>5126.4639999999999</v>
      </c>
      <c r="U859" s="9">
        <v>915.44</v>
      </c>
      <c r="V859" s="10" t="s">
        <v>30</v>
      </c>
    </row>
    <row r="860" spans="1:22" ht="18" customHeight="1" x14ac:dyDescent="0.25">
      <c r="A860" s="7" t="s">
        <v>34</v>
      </c>
      <c r="B860" s="7">
        <v>2021</v>
      </c>
      <c r="C860" s="7" t="s">
        <v>59</v>
      </c>
      <c r="D860" s="7" t="s">
        <v>21</v>
      </c>
      <c r="E860" s="7" t="s">
        <v>22</v>
      </c>
      <c r="F860" s="7" t="s">
        <v>23</v>
      </c>
      <c r="G860" s="7" t="s">
        <v>24</v>
      </c>
      <c r="H860" s="7" t="s">
        <v>25</v>
      </c>
      <c r="I860" s="7" t="s">
        <v>35</v>
      </c>
      <c r="J860" s="7">
        <v>758</v>
      </c>
      <c r="K860" s="7">
        <v>526.24</v>
      </c>
      <c r="N860" s="4">
        <v>2024</v>
      </c>
      <c r="O860" s="4" t="s">
        <v>70</v>
      </c>
      <c r="P860" s="4" t="s">
        <v>39</v>
      </c>
      <c r="Q860" s="13" t="s">
        <v>40</v>
      </c>
      <c r="R860" s="14">
        <v>644</v>
      </c>
      <c r="S860" s="14">
        <v>5743.5</v>
      </c>
      <c r="T860" s="14">
        <v>6432.72</v>
      </c>
      <c r="U860" s="9">
        <v>1148.7</v>
      </c>
      <c r="V860" s="10" t="s">
        <v>30</v>
      </c>
    </row>
    <row r="861" spans="1:22" ht="18" customHeight="1" x14ac:dyDescent="0.25">
      <c r="A861" s="7" t="s">
        <v>19</v>
      </c>
      <c r="B861" s="7">
        <v>2021</v>
      </c>
      <c r="C861" s="7" t="s">
        <v>59</v>
      </c>
      <c r="D861" s="7" t="s">
        <v>21</v>
      </c>
      <c r="E861" s="7" t="s">
        <v>22</v>
      </c>
      <c r="F861" s="7" t="s">
        <v>23</v>
      </c>
      <c r="G861" s="7" t="s">
        <v>24</v>
      </c>
      <c r="H861" s="7" t="s">
        <v>25</v>
      </c>
      <c r="I861" s="7" t="s">
        <v>35</v>
      </c>
      <c r="J861" s="7">
        <v>812</v>
      </c>
      <c r="K861" s="7">
        <v>526.24</v>
      </c>
      <c r="N861" s="4">
        <v>2024</v>
      </c>
      <c r="O861" s="4" t="s">
        <v>70</v>
      </c>
      <c r="P861" s="4" t="s">
        <v>43</v>
      </c>
      <c r="Q861" s="13" t="s">
        <v>44</v>
      </c>
      <c r="R861" s="14">
        <v>643</v>
      </c>
      <c r="S861" s="14">
        <v>7000</v>
      </c>
      <c r="T861" s="14">
        <v>7840</v>
      </c>
      <c r="U861" s="9">
        <v>1400</v>
      </c>
      <c r="V861" s="10" t="s">
        <v>63</v>
      </c>
    </row>
    <row r="862" spans="1:22" ht="18" customHeight="1" x14ac:dyDescent="0.25">
      <c r="A862" s="7" t="s">
        <v>19</v>
      </c>
      <c r="B862" s="7">
        <v>2021</v>
      </c>
      <c r="C862" s="7" t="s">
        <v>59</v>
      </c>
      <c r="D862" s="7" t="s">
        <v>21</v>
      </c>
      <c r="E862" s="7" t="s">
        <v>22</v>
      </c>
      <c r="F862" s="7" t="s">
        <v>23</v>
      </c>
      <c r="G862" s="7" t="s">
        <v>24</v>
      </c>
      <c r="H862" s="7" t="s">
        <v>25</v>
      </c>
      <c r="I862" s="7" t="s">
        <v>35</v>
      </c>
      <c r="J862" s="7">
        <v>181</v>
      </c>
      <c r="K862" s="7">
        <v>258.83</v>
      </c>
      <c r="N862" s="4">
        <v>2024</v>
      </c>
      <c r="O862" s="4" t="s">
        <v>70</v>
      </c>
      <c r="P862" s="4" t="s">
        <v>39</v>
      </c>
      <c r="Q862" s="13" t="s">
        <v>46</v>
      </c>
      <c r="R862" s="14">
        <v>455</v>
      </c>
      <c r="S862" s="14">
        <v>4578.6000000000004</v>
      </c>
      <c r="T862" s="14">
        <v>5128.0320000000002</v>
      </c>
      <c r="U862" s="9">
        <v>915.72000000000014</v>
      </c>
      <c r="V862" s="10" t="s">
        <v>63</v>
      </c>
    </row>
    <row r="863" spans="1:22" ht="18" customHeight="1" x14ac:dyDescent="0.25">
      <c r="A863" s="7" t="s">
        <v>61</v>
      </c>
      <c r="B863" s="7">
        <v>2021</v>
      </c>
      <c r="C863" s="7" t="s">
        <v>59</v>
      </c>
      <c r="D863" s="7" t="s">
        <v>21</v>
      </c>
      <c r="E863" s="7" t="s">
        <v>22</v>
      </c>
      <c r="F863" s="7" t="s">
        <v>23</v>
      </c>
      <c r="G863" s="7" t="s">
        <v>24</v>
      </c>
      <c r="H863" s="7" t="s">
        <v>25</v>
      </c>
      <c r="I863" s="7" t="s">
        <v>35</v>
      </c>
      <c r="J863" s="7">
        <v>229</v>
      </c>
      <c r="K863" s="7">
        <v>327.47000000000003</v>
      </c>
      <c r="N863" s="4">
        <v>2024</v>
      </c>
      <c r="O863" s="4" t="s">
        <v>70</v>
      </c>
      <c r="P863" s="4" t="s">
        <v>43</v>
      </c>
      <c r="Q863" s="13" t="s">
        <v>48</v>
      </c>
      <c r="R863" s="15">
        <v>345</v>
      </c>
      <c r="S863" s="15">
        <v>7000</v>
      </c>
      <c r="T863" s="15">
        <v>7840</v>
      </c>
      <c r="U863" s="9">
        <v>1400</v>
      </c>
      <c r="V863" s="10" t="s">
        <v>63</v>
      </c>
    </row>
    <row r="864" spans="1:22" ht="18" customHeight="1" x14ac:dyDescent="0.25">
      <c r="A864" s="7" t="s">
        <v>34</v>
      </c>
      <c r="B864" s="7">
        <v>2021</v>
      </c>
      <c r="C864" s="7" t="s">
        <v>59</v>
      </c>
      <c r="D864" s="7" t="s">
        <v>21</v>
      </c>
      <c r="E864" s="7" t="s">
        <v>22</v>
      </c>
      <c r="F864" s="7" t="s">
        <v>23</v>
      </c>
      <c r="G864" s="7" t="s">
        <v>24</v>
      </c>
      <c r="H864" s="7" t="s">
        <v>25</v>
      </c>
      <c r="I864" s="7" t="s">
        <v>35</v>
      </c>
      <c r="J864" s="7">
        <v>157</v>
      </c>
      <c r="K864" s="7">
        <v>224.51</v>
      </c>
      <c r="N864" s="4">
        <v>2024</v>
      </c>
      <c r="O864" s="4" t="s">
        <v>70</v>
      </c>
      <c r="P864" s="4" t="s">
        <v>36</v>
      </c>
      <c r="Q864" s="8" t="s">
        <v>49</v>
      </c>
      <c r="R864" s="9">
        <v>122</v>
      </c>
      <c r="S864" s="9">
        <v>100</v>
      </c>
      <c r="T864" s="9">
        <v>112</v>
      </c>
      <c r="U864" s="9">
        <v>20</v>
      </c>
      <c r="V864" s="10" t="s">
        <v>63</v>
      </c>
    </row>
    <row r="865" spans="1:22" ht="18" customHeight="1" x14ac:dyDescent="0.25">
      <c r="A865" s="7" t="s">
        <v>34</v>
      </c>
      <c r="B865" s="7">
        <v>2021</v>
      </c>
      <c r="C865" s="7" t="s">
        <v>59</v>
      </c>
      <c r="D865" s="7" t="s">
        <v>21</v>
      </c>
      <c r="E865" s="7" t="s">
        <v>22</v>
      </c>
      <c r="F865" s="7" t="s">
        <v>23</v>
      </c>
      <c r="G865" s="7" t="s">
        <v>24</v>
      </c>
      <c r="H865" s="7" t="s">
        <v>25</v>
      </c>
      <c r="I865" s="7" t="s">
        <v>26</v>
      </c>
      <c r="J865" s="7">
        <v>191</v>
      </c>
      <c r="K865" s="7">
        <v>273.13</v>
      </c>
      <c r="N865" s="4">
        <v>2024</v>
      </c>
      <c r="O865" s="4" t="s">
        <v>70</v>
      </c>
      <c r="P865" s="4" t="s">
        <v>50</v>
      </c>
      <c r="Q865" s="13" t="s">
        <v>51</v>
      </c>
      <c r="R865" s="14">
        <v>78</v>
      </c>
      <c r="S865" s="14">
        <v>4577.2</v>
      </c>
      <c r="T865" s="14">
        <v>5126.4639999999999</v>
      </c>
      <c r="U865" s="9">
        <v>915.44</v>
      </c>
      <c r="V865" s="10" t="s">
        <v>63</v>
      </c>
    </row>
    <row r="866" spans="1:22" ht="18" customHeight="1" x14ac:dyDescent="0.25">
      <c r="A866" s="7" t="s">
        <v>34</v>
      </c>
      <c r="B866" s="7">
        <v>2021</v>
      </c>
      <c r="C866" s="7" t="s">
        <v>59</v>
      </c>
      <c r="D866" s="7" t="s">
        <v>21</v>
      </c>
      <c r="E866" s="7" t="s">
        <v>22</v>
      </c>
      <c r="F866" s="7" t="s">
        <v>23</v>
      </c>
      <c r="G866" s="7" t="s">
        <v>24</v>
      </c>
      <c r="H866" s="7" t="s">
        <v>25</v>
      </c>
      <c r="I866" s="7" t="s">
        <v>26</v>
      </c>
      <c r="J866" s="7">
        <v>185</v>
      </c>
      <c r="K866" s="7">
        <v>264.55</v>
      </c>
      <c r="N866" s="4">
        <v>2024</v>
      </c>
      <c r="O866" s="4" t="s">
        <v>70</v>
      </c>
      <c r="P866" s="4" t="s">
        <v>50</v>
      </c>
      <c r="Q866" s="13" t="s">
        <v>52</v>
      </c>
      <c r="R866" s="14">
        <v>76</v>
      </c>
      <c r="S866" s="14">
        <v>4576.8999999999996</v>
      </c>
      <c r="T866" s="14">
        <v>5126.1279999999997</v>
      </c>
      <c r="U866" s="9">
        <v>915.38</v>
      </c>
      <c r="V866" s="10" t="s">
        <v>63</v>
      </c>
    </row>
    <row r="867" spans="1:22" ht="18" customHeight="1" x14ac:dyDescent="0.25">
      <c r="A867" s="7" t="s">
        <v>34</v>
      </c>
      <c r="B867" s="7">
        <v>2021</v>
      </c>
      <c r="C867" s="7" t="s">
        <v>59</v>
      </c>
      <c r="D867" s="7" t="s">
        <v>21</v>
      </c>
      <c r="E867" s="7" t="s">
        <v>22</v>
      </c>
      <c r="F867" s="7" t="s">
        <v>23</v>
      </c>
      <c r="G867" s="7" t="s">
        <v>24</v>
      </c>
      <c r="H867" s="7" t="s">
        <v>25</v>
      </c>
      <c r="I867" s="7" t="s">
        <v>26</v>
      </c>
      <c r="J867" s="7">
        <v>179</v>
      </c>
      <c r="K867" s="7">
        <v>255.97</v>
      </c>
      <c r="N867" s="4">
        <v>2024</v>
      </c>
      <c r="O867" s="4" t="s">
        <v>70</v>
      </c>
      <c r="P867" s="4" t="s">
        <v>50</v>
      </c>
      <c r="Q867" s="13" t="s">
        <v>54</v>
      </c>
      <c r="R867" s="14">
        <v>46</v>
      </c>
      <c r="S867" s="14">
        <v>200</v>
      </c>
      <c r="T867" s="14">
        <v>224</v>
      </c>
      <c r="U867" s="9">
        <v>40</v>
      </c>
      <c r="V867" s="10" t="s">
        <v>63</v>
      </c>
    </row>
    <row r="868" spans="1:22" ht="18" customHeight="1" x14ac:dyDescent="0.25">
      <c r="A868" s="7" t="s">
        <v>61</v>
      </c>
      <c r="B868" s="7">
        <v>2021</v>
      </c>
      <c r="C868" s="7" t="s">
        <v>59</v>
      </c>
      <c r="D868" s="7" t="s">
        <v>21</v>
      </c>
      <c r="E868" s="7" t="s">
        <v>22</v>
      </c>
      <c r="F868" s="7" t="s">
        <v>23</v>
      </c>
      <c r="G868" s="7" t="s">
        <v>24</v>
      </c>
      <c r="H868" s="7" t="s">
        <v>25</v>
      </c>
      <c r="I868" s="7" t="s">
        <v>35</v>
      </c>
      <c r="J868" s="7">
        <v>185</v>
      </c>
      <c r="K868" s="7">
        <v>264.55</v>
      </c>
      <c r="N868" s="4">
        <v>2024</v>
      </c>
      <c r="O868" s="4" t="s">
        <v>70</v>
      </c>
      <c r="P868" s="4" t="s">
        <v>50</v>
      </c>
      <c r="Q868" s="13" t="s">
        <v>55</v>
      </c>
      <c r="R868" s="14">
        <v>34</v>
      </c>
      <c r="S868" s="14">
        <v>4576.8</v>
      </c>
      <c r="T868" s="14">
        <v>5126.0160000000005</v>
      </c>
      <c r="U868" s="9">
        <v>915.36000000000013</v>
      </c>
      <c r="V868" s="10" t="s">
        <v>63</v>
      </c>
    </row>
    <row r="869" spans="1:22" ht="18" customHeight="1" x14ac:dyDescent="0.25">
      <c r="A869" s="7" t="s">
        <v>53</v>
      </c>
      <c r="B869" s="7">
        <v>2021</v>
      </c>
      <c r="C869" s="7" t="s">
        <v>59</v>
      </c>
      <c r="D869" s="7" t="s">
        <v>21</v>
      </c>
      <c r="E869" s="7" t="s">
        <v>22</v>
      </c>
      <c r="F869" s="7" t="s">
        <v>23</v>
      </c>
      <c r="G869" s="7" t="s">
        <v>24</v>
      </c>
      <c r="H869" s="7" t="s">
        <v>25</v>
      </c>
      <c r="I869" s="7" t="s">
        <v>35</v>
      </c>
      <c r="J869" s="7">
        <v>227</v>
      </c>
      <c r="K869" s="7">
        <v>324.61</v>
      </c>
      <c r="N869" s="4">
        <v>2024</v>
      </c>
      <c r="O869" s="4" t="s">
        <v>70</v>
      </c>
      <c r="P869" s="4" t="s">
        <v>36</v>
      </c>
      <c r="Q869" s="8" t="s">
        <v>56</v>
      </c>
      <c r="R869" s="9">
        <v>7</v>
      </c>
      <c r="S869" s="9">
        <v>200</v>
      </c>
      <c r="T869" s="9">
        <v>224</v>
      </c>
      <c r="U869" s="9">
        <v>40</v>
      </c>
      <c r="V869" s="10" t="s">
        <v>63</v>
      </c>
    </row>
    <row r="870" spans="1:22" ht="18" customHeight="1" x14ac:dyDescent="0.25">
      <c r="A870" s="7" t="s">
        <v>19</v>
      </c>
      <c r="B870" s="7">
        <v>2021</v>
      </c>
      <c r="C870" s="7" t="s">
        <v>59</v>
      </c>
      <c r="D870" s="7" t="s">
        <v>21</v>
      </c>
      <c r="E870" s="7" t="s">
        <v>22</v>
      </c>
      <c r="F870" s="7" t="s">
        <v>23</v>
      </c>
      <c r="G870" s="7" t="s">
        <v>24</v>
      </c>
      <c r="H870" s="7" t="s">
        <v>25</v>
      </c>
      <c r="I870" s="7" t="s">
        <v>35</v>
      </c>
      <c r="J870" s="7">
        <v>781</v>
      </c>
      <c r="K870" s="7">
        <v>1116.83</v>
      </c>
      <c r="N870" s="4">
        <v>2024</v>
      </c>
      <c r="O870" s="4" t="s">
        <v>70</v>
      </c>
      <c r="P870" s="4" t="s">
        <v>50</v>
      </c>
      <c r="Q870" s="13" t="s">
        <v>58</v>
      </c>
      <c r="R870" s="14">
        <v>3</v>
      </c>
      <c r="S870" s="14">
        <v>4577.3</v>
      </c>
      <c r="T870" s="14">
        <v>5126.576</v>
      </c>
      <c r="U870" s="9">
        <v>915.46</v>
      </c>
      <c r="V870" s="10" t="s">
        <v>63</v>
      </c>
    </row>
    <row r="871" spans="1:22" ht="18" customHeight="1" x14ac:dyDescent="0.25">
      <c r="A871" s="7" t="s">
        <v>42</v>
      </c>
      <c r="B871" s="7">
        <v>2021</v>
      </c>
      <c r="C871" s="7" t="s">
        <v>27</v>
      </c>
      <c r="D871" s="7" t="s">
        <v>21</v>
      </c>
      <c r="E871" s="7" t="s">
        <v>22</v>
      </c>
      <c r="F871" s="7" t="s">
        <v>23</v>
      </c>
      <c r="G871" s="7" t="s">
        <v>24</v>
      </c>
      <c r="H871" s="7" t="s">
        <v>25</v>
      </c>
      <c r="I871" s="7" t="s">
        <v>26</v>
      </c>
      <c r="J871" s="7">
        <v>206</v>
      </c>
      <c r="K871" s="7">
        <v>526.24</v>
      </c>
      <c r="N871" s="4">
        <v>2024</v>
      </c>
      <c r="O871" s="4" t="s">
        <v>70</v>
      </c>
      <c r="P871" s="4" t="s">
        <v>57</v>
      </c>
      <c r="Q871" s="13" t="s">
        <v>57</v>
      </c>
      <c r="R871" s="14">
        <v>2</v>
      </c>
      <c r="S871" s="14">
        <v>6600</v>
      </c>
      <c r="T871" s="14">
        <v>7392</v>
      </c>
      <c r="U871" s="9">
        <v>1320</v>
      </c>
      <c r="V871" s="10" t="s">
        <v>63</v>
      </c>
    </row>
    <row r="872" spans="1:22" ht="18" customHeight="1" x14ac:dyDescent="0.25">
      <c r="A872" s="7" t="s">
        <v>34</v>
      </c>
      <c r="B872" s="7">
        <v>2021</v>
      </c>
      <c r="C872" s="7" t="s">
        <v>27</v>
      </c>
      <c r="D872" s="7" t="s">
        <v>21</v>
      </c>
      <c r="E872" s="7" t="s">
        <v>22</v>
      </c>
      <c r="F872" s="7" t="s">
        <v>23</v>
      </c>
      <c r="G872" s="7" t="s">
        <v>24</v>
      </c>
      <c r="H872" s="7" t="s">
        <v>25</v>
      </c>
      <c r="I872" s="7" t="s">
        <v>26</v>
      </c>
      <c r="J872" s="7">
        <v>200</v>
      </c>
      <c r="K872" s="7">
        <v>526.24</v>
      </c>
      <c r="N872" s="4">
        <v>2024</v>
      </c>
      <c r="O872" s="4" t="s">
        <v>71</v>
      </c>
      <c r="P872" s="4" t="s">
        <v>28</v>
      </c>
      <c r="Q872" s="8" t="s">
        <v>29</v>
      </c>
      <c r="R872" s="9">
        <v>3566</v>
      </c>
      <c r="S872" s="9">
        <v>4577.3</v>
      </c>
      <c r="T872" s="9">
        <v>5126.576</v>
      </c>
      <c r="U872" s="9">
        <v>915.46</v>
      </c>
      <c r="V872" s="10" t="s">
        <v>63</v>
      </c>
    </row>
    <row r="873" spans="1:22" ht="18" customHeight="1" x14ac:dyDescent="0.25">
      <c r="A873" s="7" t="s">
        <v>42</v>
      </c>
      <c r="B873" s="7">
        <v>2021</v>
      </c>
      <c r="C873" s="7" t="s">
        <v>27</v>
      </c>
      <c r="D873" s="7" t="s">
        <v>21</v>
      </c>
      <c r="E873" s="7" t="s">
        <v>22</v>
      </c>
      <c r="F873" s="7" t="s">
        <v>23</v>
      </c>
      <c r="G873" s="7" t="s">
        <v>24</v>
      </c>
      <c r="H873" s="7" t="s">
        <v>25</v>
      </c>
      <c r="I873" s="7" t="s">
        <v>35</v>
      </c>
      <c r="J873" s="7">
        <v>188</v>
      </c>
      <c r="K873" s="7">
        <v>268.84000000000003</v>
      </c>
      <c r="N873" s="4">
        <v>2024</v>
      </c>
      <c r="O873" s="4" t="s">
        <v>71</v>
      </c>
      <c r="P873" s="4" t="s">
        <v>28</v>
      </c>
      <c r="Q873" s="8" t="s">
        <v>32</v>
      </c>
      <c r="R873" s="9">
        <v>2498</v>
      </c>
      <c r="S873" s="9">
        <v>8000</v>
      </c>
      <c r="T873" s="9">
        <v>8960</v>
      </c>
      <c r="U873" s="9">
        <v>1600</v>
      </c>
      <c r="V873" s="10" t="s">
        <v>63</v>
      </c>
    </row>
    <row r="874" spans="1:22" ht="18" customHeight="1" x14ac:dyDescent="0.25">
      <c r="A874" s="7" t="s">
        <v>34</v>
      </c>
      <c r="B874" s="7">
        <v>2021</v>
      </c>
      <c r="C874" s="7" t="s">
        <v>27</v>
      </c>
      <c r="D874" s="7" t="s">
        <v>21</v>
      </c>
      <c r="E874" s="7" t="s">
        <v>22</v>
      </c>
      <c r="F874" s="7" t="s">
        <v>23</v>
      </c>
      <c r="G874" s="7" t="s">
        <v>24</v>
      </c>
      <c r="H874" s="7" t="s">
        <v>25</v>
      </c>
      <c r="I874" s="7" t="s">
        <v>35</v>
      </c>
      <c r="J874" s="7">
        <v>236</v>
      </c>
      <c r="K874" s="7">
        <v>337.48</v>
      </c>
      <c r="N874" s="4">
        <v>2024</v>
      </c>
      <c r="O874" s="4" t="s">
        <v>71</v>
      </c>
      <c r="P874" s="4" t="s">
        <v>36</v>
      </c>
      <c r="Q874" s="8" t="s">
        <v>37</v>
      </c>
      <c r="R874" s="9">
        <v>1245</v>
      </c>
      <c r="S874" s="9">
        <v>4577.2</v>
      </c>
      <c r="T874" s="9">
        <v>5126.4639999999999</v>
      </c>
      <c r="U874" s="9">
        <v>915.44</v>
      </c>
      <c r="V874" s="10" t="s">
        <v>63</v>
      </c>
    </row>
    <row r="875" spans="1:22" ht="18" customHeight="1" x14ac:dyDescent="0.25">
      <c r="A875" s="7" t="s">
        <v>42</v>
      </c>
      <c r="B875" s="7">
        <v>2021</v>
      </c>
      <c r="C875" s="7" t="s">
        <v>27</v>
      </c>
      <c r="D875" s="7" t="s">
        <v>21</v>
      </c>
      <c r="E875" s="7" t="s">
        <v>22</v>
      </c>
      <c r="F875" s="7" t="s">
        <v>23</v>
      </c>
      <c r="G875" s="7" t="s">
        <v>24</v>
      </c>
      <c r="H875" s="7" t="s">
        <v>25</v>
      </c>
      <c r="I875" s="7" t="s">
        <v>35</v>
      </c>
      <c r="J875" s="7">
        <v>190</v>
      </c>
      <c r="K875" s="7">
        <v>271.7</v>
      </c>
      <c r="N875" s="4">
        <v>2024</v>
      </c>
      <c r="O875" s="4" t="s">
        <v>71</v>
      </c>
      <c r="P875" s="4" t="s">
        <v>39</v>
      </c>
      <c r="Q875" s="13" t="s">
        <v>40</v>
      </c>
      <c r="R875" s="14">
        <v>644</v>
      </c>
      <c r="S875" s="14">
        <v>5743.5</v>
      </c>
      <c r="T875" s="14">
        <v>6432.72</v>
      </c>
      <c r="U875" s="9">
        <v>1148.7</v>
      </c>
      <c r="V875" s="10" t="s">
        <v>63</v>
      </c>
    </row>
    <row r="876" spans="1:22" ht="18" customHeight="1" x14ac:dyDescent="0.25">
      <c r="A876" s="7" t="s">
        <v>19</v>
      </c>
      <c r="B876" s="7">
        <v>2021</v>
      </c>
      <c r="C876" s="7" t="s">
        <v>27</v>
      </c>
      <c r="D876" s="7" t="s">
        <v>21</v>
      </c>
      <c r="E876" s="7" t="s">
        <v>22</v>
      </c>
      <c r="F876" s="7" t="s">
        <v>23</v>
      </c>
      <c r="G876" s="7" t="s">
        <v>24</v>
      </c>
      <c r="H876" s="7" t="s">
        <v>25</v>
      </c>
      <c r="I876" s="7" t="s">
        <v>35</v>
      </c>
      <c r="J876" s="7">
        <v>232</v>
      </c>
      <c r="K876" s="7">
        <v>331.76</v>
      </c>
      <c r="N876" s="4">
        <v>2024</v>
      </c>
      <c r="O876" s="4" t="s">
        <v>71</v>
      </c>
      <c r="P876" s="4" t="s">
        <v>43</v>
      </c>
      <c r="Q876" s="13" t="s">
        <v>44</v>
      </c>
      <c r="R876" s="14">
        <v>643</v>
      </c>
      <c r="S876" s="14">
        <v>7000</v>
      </c>
      <c r="T876" s="14">
        <v>7840</v>
      </c>
      <c r="U876" s="9">
        <v>1400</v>
      </c>
      <c r="V876" s="10" t="s">
        <v>63</v>
      </c>
    </row>
    <row r="877" spans="1:22" ht="18" customHeight="1" x14ac:dyDescent="0.25">
      <c r="A877" s="7" t="s">
        <v>34</v>
      </c>
      <c r="B877" s="7">
        <v>2021</v>
      </c>
      <c r="C877" s="7" t="s">
        <v>27</v>
      </c>
      <c r="D877" s="7" t="s">
        <v>21</v>
      </c>
      <c r="E877" s="7" t="s">
        <v>22</v>
      </c>
      <c r="F877" s="7" t="s">
        <v>23</v>
      </c>
      <c r="G877" s="7" t="s">
        <v>24</v>
      </c>
      <c r="H877" s="7" t="s">
        <v>25</v>
      </c>
      <c r="I877" s="7" t="s">
        <v>35</v>
      </c>
      <c r="J877" s="7">
        <v>160</v>
      </c>
      <c r="K877" s="7">
        <v>228.8</v>
      </c>
      <c r="N877" s="4">
        <v>2024</v>
      </c>
      <c r="O877" s="4" t="s">
        <v>71</v>
      </c>
      <c r="P877" s="4" t="s">
        <v>39</v>
      </c>
      <c r="Q877" s="13" t="s">
        <v>46</v>
      </c>
      <c r="R877" s="14">
        <v>455</v>
      </c>
      <c r="S877" s="14">
        <v>4578.6000000000004</v>
      </c>
      <c r="T877" s="14">
        <v>5128.0320000000002</v>
      </c>
      <c r="U877" s="9">
        <v>915.72000000000014</v>
      </c>
      <c r="V877" s="10" t="s">
        <v>63</v>
      </c>
    </row>
    <row r="878" spans="1:22" ht="18" customHeight="1" x14ac:dyDescent="0.25">
      <c r="A878" s="7" t="s">
        <v>19</v>
      </c>
      <c r="B878" s="7">
        <v>2021</v>
      </c>
      <c r="C878" s="7" t="s">
        <v>27</v>
      </c>
      <c r="D878" s="7" t="s">
        <v>21</v>
      </c>
      <c r="E878" s="7" t="s">
        <v>22</v>
      </c>
      <c r="F878" s="7" t="s">
        <v>23</v>
      </c>
      <c r="G878" s="7" t="s">
        <v>24</v>
      </c>
      <c r="H878" s="7" t="s">
        <v>25</v>
      </c>
      <c r="I878" s="7" t="s">
        <v>26</v>
      </c>
      <c r="J878" s="7">
        <v>210</v>
      </c>
      <c r="K878" s="7">
        <v>526.24</v>
      </c>
      <c r="N878" s="4">
        <v>2024</v>
      </c>
      <c r="O878" s="4" t="s">
        <v>71</v>
      </c>
      <c r="P878" s="4" t="s">
        <v>43</v>
      </c>
      <c r="Q878" s="13" t="s">
        <v>48</v>
      </c>
      <c r="R878" s="15">
        <v>345</v>
      </c>
      <c r="S878" s="15">
        <v>7000</v>
      </c>
      <c r="T878" s="15">
        <v>7840</v>
      </c>
      <c r="U878" s="9">
        <v>1400</v>
      </c>
      <c r="V878" s="10" t="s">
        <v>63</v>
      </c>
    </row>
    <row r="879" spans="1:22" ht="18" customHeight="1" x14ac:dyDescent="0.25">
      <c r="A879" s="7" t="s">
        <v>34</v>
      </c>
      <c r="B879" s="7">
        <v>2021</v>
      </c>
      <c r="C879" s="7" t="s">
        <v>27</v>
      </c>
      <c r="D879" s="7" t="s">
        <v>21</v>
      </c>
      <c r="E879" s="7" t="s">
        <v>22</v>
      </c>
      <c r="F879" s="7" t="s">
        <v>23</v>
      </c>
      <c r="G879" s="7" t="s">
        <v>24</v>
      </c>
      <c r="H879" s="7" t="s">
        <v>25</v>
      </c>
      <c r="I879" s="7" t="s">
        <v>26</v>
      </c>
      <c r="J879" s="7">
        <v>204</v>
      </c>
      <c r="K879" s="7">
        <v>526.24</v>
      </c>
      <c r="N879" s="4">
        <v>2024</v>
      </c>
      <c r="O879" s="4" t="s">
        <v>71</v>
      </c>
      <c r="P879" s="4" t="s">
        <v>36</v>
      </c>
      <c r="Q879" s="8" t="s">
        <v>49</v>
      </c>
      <c r="R879" s="9">
        <v>122</v>
      </c>
      <c r="S879" s="9">
        <v>100</v>
      </c>
      <c r="T879" s="9">
        <v>112</v>
      </c>
      <c r="U879" s="9">
        <v>20</v>
      </c>
      <c r="V879" s="10" t="s">
        <v>63</v>
      </c>
    </row>
    <row r="880" spans="1:22" ht="18" customHeight="1" x14ac:dyDescent="0.25">
      <c r="A880" s="7" t="s">
        <v>42</v>
      </c>
      <c r="B880" s="7">
        <v>2021</v>
      </c>
      <c r="C880" s="7" t="s">
        <v>27</v>
      </c>
      <c r="D880" s="7" t="s">
        <v>21</v>
      </c>
      <c r="E880" s="7" t="s">
        <v>22</v>
      </c>
      <c r="F880" s="7" t="s">
        <v>23</v>
      </c>
      <c r="G880" s="7" t="s">
        <v>24</v>
      </c>
      <c r="H880" s="7" t="s">
        <v>25</v>
      </c>
      <c r="I880" s="7" t="s">
        <v>26</v>
      </c>
      <c r="J880" s="7">
        <v>198</v>
      </c>
      <c r="K880" s="7">
        <v>526.24</v>
      </c>
      <c r="N880" s="4">
        <v>2024</v>
      </c>
      <c r="O880" s="4" t="s">
        <v>71</v>
      </c>
      <c r="P880" s="4" t="s">
        <v>50</v>
      </c>
      <c r="Q880" s="13" t="s">
        <v>51</v>
      </c>
      <c r="R880" s="14">
        <v>78</v>
      </c>
      <c r="S880" s="14">
        <v>4577.2</v>
      </c>
      <c r="T880" s="14">
        <v>5126.4639999999999</v>
      </c>
      <c r="U880" s="9">
        <v>915.44</v>
      </c>
      <c r="V880" s="10" t="s">
        <v>63</v>
      </c>
    </row>
    <row r="881" spans="1:22" ht="18" customHeight="1" x14ac:dyDescent="0.25">
      <c r="A881" s="7" t="s">
        <v>19</v>
      </c>
      <c r="B881" s="7">
        <v>2021</v>
      </c>
      <c r="C881" s="7" t="s">
        <v>27</v>
      </c>
      <c r="D881" s="7" t="s">
        <v>21</v>
      </c>
      <c r="E881" s="7" t="s">
        <v>22</v>
      </c>
      <c r="F881" s="7" t="s">
        <v>23</v>
      </c>
      <c r="G881" s="7" t="s">
        <v>24</v>
      </c>
      <c r="H881" s="7" t="s">
        <v>25</v>
      </c>
      <c r="I881" s="7" t="s">
        <v>35</v>
      </c>
      <c r="J881" s="7">
        <v>685</v>
      </c>
      <c r="K881" s="7">
        <v>979.55</v>
      </c>
      <c r="N881" s="4">
        <v>2024</v>
      </c>
      <c r="O881" s="4" t="s">
        <v>71</v>
      </c>
      <c r="P881" s="4" t="s">
        <v>50</v>
      </c>
      <c r="Q881" s="13" t="s">
        <v>52</v>
      </c>
      <c r="R881" s="14">
        <v>76</v>
      </c>
      <c r="S881" s="14">
        <v>4576.8999999999996</v>
      </c>
      <c r="T881" s="14">
        <v>5126.1279999999997</v>
      </c>
      <c r="U881" s="9">
        <v>915.38</v>
      </c>
      <c r="V881" s="10" t="s">
        <v>63</v>
      </c>
    </row>
    <row r="882" spans="1:22" ht="18" customHeight="1" x14ac:dyDescent="0.25">
      <c r="A882" s="7" t="s">
        <v>19</v>
      </c>
      <c r="B882" s="7">
        <v>2021</v>
      </c>
      <c r="C882" s="7" t="s">
        <v>27</v>
      </c>
      <c r="D882" s="7" t="s">
        <v>21</v>
      </c>
      <c r="E882" s="7" t="s">
        <v>22</v>
      </c>
      <c r="F882" s="7" t="s">
        <v>23</v>
      </c>
      <c r="G882" s="7" t="s">
        <v>24</v>
      </c>
      <c r="H882" s="7" t="s">
        <v>25</v>
      </c>
      <c r="I882" s="7" t="s">
        <v>35</v>
      </c>
      <c r="J882" s="7">
        <v>718</v>
      </c>
      <c r="K882" s="7">
        <v>1026.74</v>
      </c>
      <c r="N882" s="4">
        <v>2024</v>
      </c>
      <c r="O882" s="4" t="s">
        <v>71</v>
      </c>
      <c r="P882" s="4" t="s">
        <v>50</v>
      </c>
      <c r="Q882" s="13" t="s">
        <v>54</v>
      </c>
      <c r="R882" s="14">
        <v>46</v>
      </c>
      <c r="S882" s="14">
        <v>200</v>
      </c>
      <c r="T882" s="14">
        <v>224</v>
      </c>
      <c r="U882" s="9">
        <v>40</v>
      </c>
      <c r="V882" s="10" t="s">
        <v>63</v>
      </c>
    </row>
    <row r="883" spans="1:22" ht="18" customHeight="1" x14ac:dyDescent="0.25">
      <c r="A883" s="7" t="s">
        <v>34</v>
      </c>
      <c r="B883" s="7">
        <v>2021</v>
      </c>
      <c r="C883" s="7" t="s">
        <v>27</v>
      </c>
      <c r="D883" s="7" t="s">
        <v>21</v>
      </c>
      <c r="E883" s="7" t="s">
        <v>22</v>
      </c>
      <c r="F883" s="7" t="s">
        <v>23</v>
      </c>
      <c r="G883" s="7" t="s">
        <v>24</v>
      </c>
      <c r="H883" s="7" t="s">
        <v>25</v>
      </c>
      <c r="I883" s="7" t="s">
        <v>35</v>
      </c>
      <c r="J883" s="7">
        <v>771</v>
      </c>
      <c r="K883" s="7">
        <v>1102.53</v>
      </c>
      <c r="N883" s="4">
        <v>2024</v>
      </c>
      <c r="O883" s="4" t="s">
        <v>71</v>
      </c>
      <c r="P883" s="4" t="s">
        <v>50</v>
      </c>
      <c r="Q883" s="13" t="s">
        <v>55</v>
      </c>
      <c r="R883" s="14">
        <v>34</v>
      </c>
      <c r="S883" s="14">
        <v>4576.8</v>
      </c>
      <c r="T883" s="14">
        <v>5126.0160000000005</v>
      </c>
      <c r="U883" s="9">
        <v>915.36000000000013</v>
      </c>
      <c r="V883" s="10" t="s">
        <v>63</v>
      </c>
    </row>
    <row r="884" spans="1:22" ht="18" customHeight="1" x14ac:dyDescent="0.25">
      <c r="A884" s="7" t="s">
        <v>34</v>
      </c>
      <c r="B884" s="7">
        <v>2021</v>
      </c>
      <c r="C884" s="7" t="s">
        <v>27</v>
      </c>
      <c r="D884" s="7" t="s">
        <v>21</v>
      </c>
      <c r="E884" s="7" t="s">
        <v>22</v>
      </c>
      <c r="F884" s="7" t="s">
        <v>23</v>
      </c>
      <c r="G884" s="7" t="s">
        <v>24</v>
      </c>
      <c r="H884" s="7" t="s">
        <v>25</v>
      </c>
      <c r="I884" s="7" t="s">
        <v>26</v>
      </c>
      <c r="J884" s="7">
        <v>207</v>
      </c>
      <c r="K884" s="7">
        <v>296.01</v>
      </c>
      <c r="N884" s="4">
        <v>2024</v>
      </c>
      <c r="O884" s="4" t="s">
        <v>71</v>
      </c>
      <c r="P884" s="4" t="s">
        <v>36</v>
      </c>
      <c r="Q884" s="8" t="s">
        <v>56</v>
      </c>
      <c r="R884" s="9">
        <v>7</v>
      </c>
      <c r="S884" s="9">
        <v>200</v>
      </c>
      <c r="T884" s="9">
        <v>224</v>
      </c>
      <c r="U884" s="9">
        <v>40</v>
      </c>
      <c r="V884" s="10" t="s">
        <v>63</v>
      </c>
    </row>
    <row r="885" spans="1:22" ht="18" customHeight="1" x14ac:dyDescent="0.25">
      <c r="A885" s="7" t="s">
        <v>19</v>
      </c>
      <c r="B885" s="7">
        <v>2021</v>
      </c>
      <c r="C885" s="7" t="s">
        <v>27</v>
      </c>
      <c r="D885" s="7" t="s">
        <v>21</v>
      </c>
      <c r="E885" s="7" t="s">
        <v>22</v>
      </c>
      <c r="F885" s="7" t="s">
        <v>23</v>
      </c>
      <c r="G885" s="7" t="s">
        <v>24</v>
      </c>
      <c r="H885" s="7" t="s">
        <v>25</v>
      </c>
      <c r="I885" s="7" t="s">
        <v>26</v>
      </c>
      <c r="J885" s="7">
        <v>201</v>
      </c>
      <c r="K885" s="7">
        <v>287.43</v>
      </c>
      <c r="N885" s="4">
        <v>2024</v>
      </c>
      <c r="O885" s="4" t="s">
        <v>71</v>
      </c>
      <c r="P885" s="4" t="s">
        <v>50</v>
      </c>
      <c r="Q885" s="13" t="s">
        <v>58</v>
      </c>
      <c r="R885" s="14">
        <v>3</v>
      </c>
      <c r="S885" s="14">
        <v>4577.3</v>
      </c>
      <c r="T885" s="14">
        <v>5126.576</v>
      </c>
      <c r="U885" s="9">
        <v>915.46</v>
      </c>
      <c r="V885" s="10" t="s">
        <v>63</v>
      </c>
    </row>
    <row r="886" spans="1:22" ht="18" customHeight="1" x14ac:dyDescent="0.25">
      <c r="A886" s="7" t="s">
        <v>19</v>
      </c>
      <c r="B886" s="7">
        <v>2021</v>
      </c>
      <c r="C886" s="7" t="s">
        <v>27</v>
      </c>
      <c r="D886" s="7" t="s">
        <v>21</v>
      </c>
      <c r="E886" s="7" t="s">
        <v>22</v>
      </c>
      <c r="F886" s="7" t="s">
        <v>23</v>
      </c>
      <c r="G886" s="7" t="s">
        <v>24</v>
      </c>
      <c r="H886" s="7" t="s">
        <v>25</v>
      </c>
      <c r="I886" s="7" t="s">
        <v>26</v>
      </c>
      <c r="J886" s="7">
        <v>195</v>
      </c>
      <c r="K886" s="7">
        <v>278.85000000000002</v>
      </c>
      <c r="N886" s="4">
        <v>2024</v>
      </c>
      <c r="O886" s="4" t="s">
        <v>71</v>
      </c>
      <c r="P886" s="4" t="s">
        <v>57</v>
      </c>
      <c r="Q886" s="13" t="s">
        <v>57</v>
      </c>
      <c r="R886" s="14">
        <v>2</v>
      </c>
      <c r="S886" s="14">
        <v>6600</v>
      </c>
      <c r="T886" s="14">
        <v>7392</v>
      </c>
      <c r="U886" s="9">
        <v>1320</v>
      </c>
      <c r="V886" s="10" t="s">
        <v>30</v>
      </c>
    </row>
    <row r="887" spans="1:22" ht="18" customHeight="1" x14ac:dyDescent="0.25">
      <c r="A887" s="7" t="s">
        <v>34</v>
      </c>
      <c r="B887" s="7">
        <v>2021</v>
      </c>
      <c r="C887" s="7" t="s">
        <v>27</v>
      </c>
      <c r="D887" s="7" t="s">
        <v>21</v>
      </c>
      <c r="E887" s="7" t="s">
        <v>22</v>
      </c>
      <c r="F887" s="7" t="s">
        <v>23</v>
      </c>
      <c r="G887" s="7" t="s">
        <v>24</v>
      </c>
      <c r="H887" s="7" t="s">
        <v>25</v>
      </c>
      <c r="I887" s="7" t="s">
        <v>35</v>
      </c>
      <c r="J887" s="7">
        <v>189</v>
      </c>
      <c r="K887" s="7">
        <v>270.27</v>
      </c>
      <c r="N887" s="4">
        <v>2024</v>
      </c>
      <c r="O887" s="4" t="s">
        <v>65</v>
      </c>
      <c r="P887" s="4" t="s">
        <v>28</v>
      </c>
      <c r="Q887" s="8" t="s">
        <v>29</v>
      </c>
      <c r="R887" s="9">
        <v>3566</v>
      </c>
      <c r="S887" s="9">
        <v>4577.3</v>
      </c>
      <c r="T887" s="9">
        <v>5126.576</v>
      </c>
      <c r="U887" s="9">
        <v>915.46</v>
      </c>
      <c r="V887" s="10" t="s">
        <v>30</v>
      </c>
    </row>
    <row r="888" spans="1:22" ht="18" customHeight="1" x14ac:dyDescent="0.25">
      <c r="A888" s="7" t="s">
        <v>19</v>
      </c>
      <c r="B888" s="7">
        <v>2021</v>
      </c>
      <c r="C888" s="7" t="s">
        <v>27</v>
      </c>
      <c r="D888" s="7" t="s">
        <v>21</v>
      </c>
      <c r="E888" s="7" t="s">
        <v>22</v>
      </c>
      <c r="F888" s="7" t="s">
        <v>23</v>
      </c>
      <c r="G888" s="7" t="s">
        <v>24</v>
      </c>
      <c r="H888" s="7" t="s">
        <v>25</v>
      </c>
      <c r="I888" s="7" t="s">
        <v>35</v>
      </c>
      <c r="J888" s="7">
        <v>757</v>
      </c>
      <c r="K888" s="7">
        <v>526.24</v>
      </c>
      <c r="N888" s="4">
        <v>2024</v>
      </c>
      <c r="O888" s="4" t="s">
        <v>65</v>
      </c>
      <c r="P888" s="4" t="s">
        <v>28</v>
      </c>
      <c r="Q888" s="8" t="s">
        <v>32</v>
      </c>
      <c r="R888" s="9">
        <v>2498</v>
      </c>
      <c r="S888" s="9">
        <v>8000</v>
      </c>
      <c r="T888" s="9">
        <v>8960</v>
      </c>
      <c r="U888" s="9">
        <v>1600</v>
      </c>
      <c r="V888" s="10" t="s">
        <v>30</v>
      </c>
    </row>
    <row r="889" spans="1:22" ht="18" customHeight="1" x14ac:dyDescent="0.25">
      <c r="A889" s="7" t="s">
        <v>19</v>
      </c>
      <c r="B889" s="7">
        <v>2021</v>
      </c>
      <c r="C889" s="7" t="s">
        <v>27</v>
      </c>
      <c r="D889" s="7" t="s">
        <v>21</v>
      </c>
      <c r="E889" s="7" t="s">
        <v>22</v>
      </c>
      <c r="F889" s="7" t="s">
        <v>23</v>
      </c>
      <c r="G889" s="7" t="s">
        <v>24</v>
      </c>
      <c r="H889" s="7" t="s">
        <v>25</v>
      </c>
      <c r="I889" s="7" t="s">
        <v>35</v>
      </c>
      <c r="J889" s="7">
        <v>811</v>
      </c>
      <c r="K889" s="7">
        <v>526.24</v>
      </c>
      <c r="N889" s="4">
        <v>2024</v>
      </c>
      <c r="O889" s="4" t="s">
        <v>65</v>
      </c>
      <c r="P889" s="4" t="s">
        <v>36</v>
      </c>
      <c r="Q889" s="8" t="s">
        <v>37</v>
      </c>
      <c r="R889" s="9">
        <v>1245</v>
      </c>
      <c r="S889" s="9">
        <v>4577.2</v>
      </c>
      <c r="T889" s="9">
        <v>5126.4639999999999</v>
      </c>
      <c r="U889" s="9">
        <v>915.44</v>
      </c>
      <c r="V889" s="10" t="s">
        <v>30</v>
      </c>
    </row>
    <row r="890" spans="1:22" ht="18" customHeight="1" x14ac:dyDescent="0.25">
      <c r="A890" s="7" t="s">
        <v>34</v>
      </c>
      <c r="B890" s="7">
        <v>2021</v>
      </c>
      <c r="C890" s="7" t="s">
        <v>27</v>
      </c>
      <c r="D890" s="7" t="s">
        <v>21</v>
      </c>
      <c r="E890" s="7" t="s">
        <v>22</v>
      </c>
      <c r="F890" s="7" t="s">
        <v>23</v>
      </c>
      <c r="G890" s="7" t="s">
        <v>24</v>
      </c>
      <c r="H890" s="7" t="s">
        <v>25</v>
      </c>
      <c r="I890" s="7" t="s">
        <v>35</v>
      </c>
      <c r="J890" s="7">
        <v>187</v>
      </c>
      <c r="K890" s="7">
        <v>267.40999999999997</v>
      </c>
      <c r="N890" s="4">
        <v>2024</v>
      </c>
      <c r="O890" s="4" t="s">
        <v>65</v>
      </c>
      <c r="P890" s="4" t="s">
        <v>39</v>
      </c>
      <c r="Q890" s="13" t="s">
        <v>40</v>
      </c>
      <c r="R890" s="14">
        <v>644</v>
      </c>
      <c r="S890" s="14">
        <v>5743.5</v>
      </c>
      <c r="T890" s="14">
        <v>6432.72</v>
      </c>
      <c r="U890" s="9">
        <v>1148.7</v>
      </c>
      <c r="V890" s="10" t="s">
        <v>30</v>
      </c>
    </row>
    <row r="891" spans="1:22" ht="18" customHeight="1" x14ac:dyDescent="0.25">
      <c r="A891" s="7" t="s">
        <v>34</v>
      </c>
      <c r="B891" s="7">
        <v>2021</v>
      </c>
      <c r="C891" s="7" t="s">
        <v>27</v>
      </c>
      <c r="D891" s="7" t="s">
        <v>21</v>
      </c>
      <c r="E891" s="7" t="s">
        <v>22</v>
      </c>
      <c r="F891" s="7" t="s">
        <v>23</v>
      </c>
      <c r="G891" s="7" t="s">
        <v>24</v>
      </c>
      <c r="H891" s="7" t="s">
        <v>25</v>
      </c>
      <c r="I891" s="7" t="s">
        <v>35</v>
      </c>
      <c r="J891" s="7">
        <v>235</v>
      </c>
      <c r="K891" s="7">
        <v>336.05</v>
      </c>
      <c r="N891" s="4">
        <v>2024</v>
      </c>
      <c r="O891" s="4" t="s">
        <v>65</v>
      </c>
      <c r="P891" s="4" t="s">
        <v>43</v>
      </c>
      <c r="Q891" s="13" t="s">
        <v>44</v>
      </c>
      <c r="R891" s="14">
        <v>643</v>
      </c>
      <c r="S891" s="14">
        <v>7000</v>
      </c>
      <c r="T891" s="14">
        <v>7840</v>
      </c>
      <c r="U891" s="9">
        <v>1400</v>
      </c>
      <c r="V891" s="10" t="s">
        <v>30</v>
      </c>
    </row>
    <row r="892" spans="1:22" ht="18" customHeight="1" x14ac:dyDescent="0.25">
      <c r="A892" s="7" t="s">
        <v>42</v>
      </c>
      <c r="B892" s="7">
        <v>2021</v>
      </c>
      <c r="C892" s="7" t="s">
        <v>27</v>
      </c>
      <c r="D892" s="7" t="s">
        <v>21</v>
      </c>
      <c r="E892" s="7" t="s">
        <v>22</v>
      </c>
      <c r="F892" s="7" t="s">
        <v>23</v>
      </c>
      <c r="G892" s="7" t="s">
        <v>24</v>
      </c>
      <c r="H892" s="7" t="s">
        <v>25</v>
      </c>
      <c r="I892" s="7" t="s">
        <v>35</v>
      </c>
      <c r="J892" s="7">
        <v>163</v>
      </c>
      <c r="K892" s="7">
        <v>233.09</v>
      </c>
      <c r="N892" s="4">
        <v>2024</v>
      </c>
      <c r="O892" s="4" t="s">
        <v>65</v>
      </c>
      <c r="P892" s="4" t="s">
        <v>39</v>
      </c>
      <c r="Q892" s="13" t="s">
        <v>46</v>
      </c>
      <c r="R892" s="14">
        <v>455</v>
      </c>
      <c r="S892" s="14">
        <v>4578.6000000000004</v>
      </c>
      <c r="T892" s="14">
        <v>5128.0320000000002</v>
      </c>
      <c r="U892" s="9">
        <v>915.72000000000014</v>
      </c>
      <c r="V892" s="10" t="s">
        <v>30</v>
      </c>
    </row>
    <row r="893" spans="1:22" ht="18" customHeight="1" x14ac:dyDescent="0.25">
      <c r="A893" s="7" t="s">
        <v>53</v>
      </c>
      <c r="B893" s="7">
        <v>2021</v>
      </c>
      <c r="C893" s="7" t="s">
        <v>27</v>
      </c>
      <c r="D893" s="7" t="s">
        <v>21</v>
      </c>
      <c r="E893" s="7" t="s">
        <v>22</v>
      </c>
      <c r="F893" s="7" t="s">
        <v>23</v>
      </c>
      <c r="G893" s="7" t="s">
        <v>24</v>
      </c>
      <c r="H893" s="7" t="s">
        <v>25</v>
      </c>
      <c r="I893" s="7" t="s">
        <v>26</v>
      </c>
      <c r="J893" s="7">
        <v>209</v>
      </c>
      <c r="K893" s="7">
        <v>298.87</v>
      </c>
      <c r="N893" s="4">
        <v>2024</v>
      </c>
      <c r="O893" s="4" t="s">
        <v>65</v>
      </c>
      <c r="P893" s="4" t="s">
        <v>43</v>
      </c>
      <c r="Q893" s="13" t="s">
        <v>48</v>
      </c>
      <c r="R893" s="15">
        <v>345</v>
      </c>
      <c r="S893" s="15">
        <v>7000</v>
      </c>
      <c r="T893" s="15">
        <v>7840</v>
      </c>
      <c r="U893" s="9">
        <v>1400</v>
      </c>
      <c r="V893" s="10" t="s">
        <v>30</v>
      </c>
    </row>
    <row r="894" spans="1:22" ht="18" customHeight="1" x14ac:dyDescent="0.25">
      <c r="A894" s="7" t="s">
        <v>34</v>
      </c>
      <c r="B894" s="7">
        <v>2021</v>
      </c>
      <c r="C894" s="7" t="s">
        <v>27</v>
      </c>
      <c r="D894" s="7" t="s">
        <v>21</v>
      </c>
      <c r="E894" s="7" t="s">
        <v>22</v>
      </c>
      <c r="F894" s="7" t="s">
        <v>23</v>
      </c>
      <c r="G894" s="7" t="s">
        <v>24</v>
      </c>
      <c r="H894" s="7" t="s">
        <v>25</v>
      </c>
      <c r="I894" s="7" t="s">
        <v>26</v>
      </c>
      <c r="J894" s="7">
        <v>203</v>
      </c>
      <c r="K894" s="7">
        <v>290.28999999999996</v>
      </c>
      <c r="N894" s="4">
        <v>2024</v>
      </c>
      <c r="O894" s="4" t="s">
        <v>65</v>
      </c>
      <c r="P894" s="4" t="s">
        <v>36</v>
      </c>
      <c r="Q894" s="8" t="s">
        <v>49</v>
      </c>
      <c r="R894" s="9">
        <v>122</v>
      </c>
      <c r="S894" s="9">
        <v>100</v>
      </c>
      <c r="T894" s="9">
        <v>112</v>
      </c>
      <c r="U894" s="9">
        <v>20</v>
      </c>
      <c r="V894" s="10" t="s">
        <v>30</v>
      </c>
    </row>
    <row r="895" spans="1:22" ht="18" customHeight="1" x14ac:dyDescent="0.25">
      <c r="A895" s="7" t="s">
        <v>19</v>
      </c>
      <c r="B895" s="7">
        <v>2021</v>
      </c>
      <c r="C895" s="7" t="s">
        <v>27</v>
      </c>
      <c r="D895" s="7" t="s">
        <v>21</v>
      </c>
      <c r="E895" s="7" t="s">
        <v>22</v>
      </c>
      <c r="F895" s="7" t="s">
        <v>23</v>
      </c>
      <c r="G895" s="7" t="s">
        <v>24</v>
      </c>
      <c r="H895" s="7" t="s">
        <v>25</v>
      </c>
      <c r="I895" s="7" t="s">
        <v>26</v>
      </c>
      <c r="J895" s="7">
        <v>197</v>
      </c>
      <c r="K895" s="7">
        <v>281.70999999999998</v>
      </c>
      <c r="N895" s="4">
        <v>2024</v>
      </c>
      <c r="O895" s="4" t="s">
        <v>65</v>
      </c>
      <c r="P895" s="4" t="s">
        <v>50</v>
      </c>
      <c r="Q895" s="13" t="s">
        <v>51</v>
      </c>
      <c r="R895" s="14">
        <v>78</v>
      </c>
      <c r="S895" s="14">
        <v>4577.2</v>
      </c>
      <c r="T895" s="14">
        <v>5126.4639999999999</v>
      </c>
      <c r="U895" s="9">
        <v>915.44</v>
      </c>
      <c r="V895" s="10" t="s">
        <v>30</v>
      </c>
    </row>
    <row r="896" spans="1:22" ht="18" customHeight="1" x14ac:dyDescent="0.25">
      <c r="A896" s="7" t="s">
        <v>42</v>
      </c>
      <c r="B896" s="7">
        <v>2021</v>
      </c>
      <c r="C896" s="7" t="s">
        <v>27</v>
      </c>
      <c r="D896" s="7" t="s">
        <v>21</v>
      </c>
      <c r="E896" s="7" t="s">
        <v>22</v>
      </c>
      <c r="F896" s="7" t="s">
        <v>23</v>
      </c>
      <c r="G896" s="7" t="s">
        <v>24</v>
      </c>
      <c r="H896" s="7" t="s">
        <v>25</v>
      </c>
      <c r="I896" s="7" t="s">
        <v>35</v>
      </c>
      <c r="J896" s="7">
        <v>233</v>
      </c>
      <c r="K896" s="7">
        <v>333.19</v>
      </c>
      <c r="N896" s="4">
        <v>2024</v>
      </c>
      <c r="O896" s="4" t="s">
        <v>65</v>
      </c>
      <c r="P896" s="4" t="s">
        <v>50</v>
      </c>
      <c r="Q896" s="13" t="s">
        <v>52</v>
      </c>
      <c r="R896" s="14">
        <v>76</v>
      </c>
      <c r="S896" s="14">
        <v>4576.8999999999996</v>
      </c>
      <c r="T896" s="14">
        <v>5126.1279999999997</v>
      </c>
      <c r="U896" s="9">
        <v>915.38</v>
      </c>
      <c r="V896" s="10" t="s">
        <v>30</v>
      </c>
    </row>
    <row r="897" spans="1:22" ht="18" customHeight="1" x14ac:dyDescent="0.25">
      <c r="A897" s="7" t="s">
        <v>42</v>
      </c>
      <c r="B897" s="7">
        <v>2021</v>
      </c>
      <c r="C897" s="7" t="s">
        <v>27</v>
      </c>
      <c r="D897" s="7" t="s">
        <v>21</v>
      </c>
      <c r="E897" s="7" t="s">
        <v>22</v>
      </c>
      <c r="F897" s="7" t="s">
        <v>23</v>
      </c>
      <c r="G897" s="7" t="s">
        <v>24</v>
      </c>
      <c r="H897" s="7" t="s">
        <v>25</v>
      </c>
      <c r="I897" s="7" t="s">
        <v>35</v>
      </c>
      <c r="J897" s="7">
        <v>780</v>
      </c>
      <c r="K897" s="7">
        <v>1115.4000000000001</v>
      </c>
      <c r="N897" s="4">
        <v>2024</v>
      </c>
      <c r="O897" s="4" t="s">
        <v>65</v>
      </c>
      <c r="P897" s="4" t="s">
        <v>50</v>
      </c>
      <c r="Q897" s="13" t="s">
        <v>54</v>
      </c>
      <c r="R897" s="14">
        <v>46</v>
      </c>
      <c r="S897" s="14">
        <v>200</v>
      </c>
      <c r="T897" s="14">
        <v>224</v>
      </c>
      <c r="U897" s="9">
        <v>40</v>
      </c>
      <c r="V897" s="10" t="s">
        <v>30</v>
      </c>
    </row>
    <row r="898" spans="1:22" ht="18" customHeight="1" x14ac:dyDescent="0.25">
      <c r="A898" s="7" t="s">
        <v>19</v>
      </c>
      <c r="B898" s="7">
        <v>2021</v>
      </c>
      <c r="C898" s="7" t="s">
        <v>68</v>
      </c>
      <c r="D898" s="7" t="s">
        <v>21</v>
      </c>
      <c r="E898" s="7" t="s">
        <v>22</v>
      </c>
      <c r="F898" s="7" t="s">
        <v>23</v>
      </c>
      <c r="G898" s="7" t="s">
        <v>24</v>
      </c>
      <c r="H898" s="7" t="s">
        <v>25</v>
      </c>
      <c r="I898" s="7" t="s">
        <v>26</v>
      </c>
      <c r="J898" s="7">
        <v>356</v>
      </c>
      <c r="K898" s="7">
        <v>509.08</v>
      </c>
      <c r="N898" s="4">
        <v>2024</v>
      </c>
      <c r="O898" s="4" t="s">
        <v>65</v>
      </c>
      <c r="P898" s="4" t="s">
        <v>50</v>
      </c>
      <c r="Q898" s="13" t="s">
        <v>55</v>
      </c>
      <c r="R898" s="14">
        <v>34</v>
      </c>
      <c r="S898" s="14">
        <v>4576.8</v>
      </c>
      <c r="T898" s="14">
        <v>5126.0160000000005</v>
      </c>
      <c r="U898" s="9">
        <v>915.36000000000013</v>
      </c>
      <c r="V898" s="10" t="s">
        <v>30</v>
      </c>
    </row>
    <row r="899" spans="1:22" ht="18" customHeight="1" x14ac:dyDescent="0.25">
      <c r="A899" s="7" t="s">
        <v>19</v>
      </c>
      <c r="B899" s="7">
        <v>2021</v>
      </c>
      <c r="C899" s="7" t="s">
        <v>68</v>
      </c>
      <c r="D899" s="7" t="s">
        <v>21</v>
      </c>
      <c r="E899" s="7" t="s">
        <v>22</v>
      </c>
      <c r="F899" s="7" t="s">
        <v>23</v>
      </c>
      <c r="G899" s="7" t="s">
        <v>24</v>
      </c>
      <c r="H899" s="7" t="s">
        <v>25</v>
      </c>
      <c r="I899" s="7" t="s">
        <v>26</v>
      </c>
      <c r="J899" s="7">
        <v>350</v>
      </c>
      <c r="K899" s="7">
        <v>500.5</v>
      </c>
      <c r="N899" s="4">
        <v>2024</v>
      </c>
      <c r="O899" s="4" t="s">
        <v>65</v>
      </c>
      <c r="P899" s="4" t="s">
        <v>36</v>
      </c>
      <c r="Q899" s="8" t="s">
        <v>56</v>
      </c>
      <c r="R899" s="9">
        <v>7</v>
      </c>
      <c r="S899" s="9">
        <v>200</v>
      </c>
      <c r="T899" s="9">
        <v>224</v>
      </c>
      <c r="U899" s="9">
        <v>40</v>
      </c>
      <c r="V899" s="10" t="s">
        <v>30</v>
      </c>
    </row>
    <row r="900" spans="1:22" ht="18" customHeight="1" x14ac:dyDescent="0.25">
      <c r="A900" s="7" t="s">
        <v>42</v>
      </c>
      <c r="B900" s="7">
        <v>2021</v>
      </c>
      <c r="C900" s="7" t="s">
        <v>68</v>
      </c>
      <c r="D900" s="7" t="s">
        <v>21</v>
      </c>
      <c r="E900" s="7" t="s">
        <v>22</v>
      </c>
      <c r="F900" s="7" t="s">
        <v>23</v>
      </c>
      <c r="G900" s="7" t="s">
        <v>24</v>
      </c>
      <c r="H900" s="7" t="s">
        <v>25</v>
      </c>
      <c r="I900" s="7" t="s">
        <v>35</v>
      </c>
      <c r="J900" s="7">
        <v>158</v>
      </c>
      <c r="K900" s="7">
        <v>214.88</v>
      </c>
      <c r="N900" s="4">
        <v>2024</v>
      </c>
      <c r="O900" s="4" t="s">
        <v>65</v>
      </c>
      <c r="P900" s="4" t="s">
        <v>50</v>
      </c>
      <c r="Q900" s="13" t="s">
        <v>58</v>
      </c>
      <c r="R900" s="14">
        <v>3</v>
      </c>
      <c r="S900" s="14">
        <v>4577.3</v>
      </c>
      <c r="T900" s="14">
        <v>5126.576</v>
      </c>
      <c r="U900" s="9">
        <v>915.46</v>
      </c>
      <c r="V900" s="10" t="s">
        <v>30</v>
      </c>
    </row>
    <row r="901" spans="1:22" ht="18" customHeight="1" x14ac:dyDescent="0.25">
      <c r="A901" s="7" t="s">
        <v>34</v>
      </c>
      <c r="B901" s="7">
        <v>2021</v>
      </c>
      <c r="C901" s="7" t="s">
        <v>68</v>
      </c>
      <c r="D901" s="7" t="s">
        <v>21</v>
      </c>
      <c r="E901" s="7" t="s">
        <v>22</v>
      </c>
      <c r="F901" s="7" t="s">
        <v>23</v>
      </c>
      <c r="G901" s="7" t="s">
        <v>24</v>
      </c>
      <c r="H901" s="7" t="s">
        <v>25</v>
      </c>
      <c r="I901" s="7" t="s">
        <v>35</v>
      </c>
      <c r="J901" s="7">
        <v>200</v>
      </c>
      <c r="K901" s="7">
        <v>286</v>
      </c>
      <c r="N901" s="4">
        <v>2024</v>
      </c>
      <c r="O901" s="4" t="s">
        <v>65</v>
      </c>
      <c r="P901" s="4" t="s">
        <v>57</v>
      </c>
      <c r="Q901" s="13" t="s">
        <v>57</v>
      </c>
      <c r="R901" s="14">
        <v>2</v>
      </c>
      <c r="S901" s="14">
        <v>6600</v>
      </c>
      <c r="T901" s="14">
        <v>7392</v>
      </c>
      <c r="U901" s="9">
        <v>1320</v>
      </c>
      <c r="V901" s="10" t="s">
        <v>30</v>
      </c>
    </row>
    <row r="902" spans="1:22" ht="18" customHeight="1" x14ac:dyDescent="0.25">
      <c r="A902" s="7" t="s">
        <v>34</v>
      </c>
      <c r="B902" s="7">
        <v>2021</v>
      </c>
      <c r="C902" s="7" t="s">
        <v>68</v>
      </c>
      <c r="D902" s="7" t="s">
        <v>21</v>
      </c>
      <c r="E902" s="7" t="s">
        <v>22</v>
      </c>
      <c r="F902" s="7" t="s">
        <v>23</v>
      </c>
      <c r="G902" s="7" t="s">
        <v>24</v>
      </c>
      <c r="H902" s="7" t="s">
        <v>25</v>
      </c>
      <c r="I902" s="7" t="s">
        <v>35</v>
      </c>
      <c r="J902" s="7">
        <v>128</v>
      </c>
      <c r="K902" s="7">
        <v>183.04</v>
      </c>
    </row>
    <row r="903" spans="1:22" ht="18" customHeight="1" x14ac:dyDescent="0.25">
      <c r="A903" s="7" t="s">
        <v>53</v>
      </c>
      <c r="B903" s="7">
        <v>2021</v>
      </c>
      <c r="C903" s="7" t="s">
        <v>68</v>
      </c>
      <c r="D903" s="7" t="s">
        <v>21</v>
      </c>
      <c r="E903" s="7" t="s">
        <v>22</v>
      </c>
      <c r="F903" s="7" t="s">
        <v>23</v>
      </c>
      <c r="G903" s="7" t="s">
        <v>24</v>
      </c>
      <c r="H903" s="7" t="s">
        <v>25</v>
      </c>
      <c r="I903" s="7" t="s">
        <v>35</v>
      </c>
      <c r="J903" s="7">
        <v>154</v>
      </c>
      <c r="K903" s="7">
        <v>220.22</v>
      </c>
    </row>
    <row r="904" spans="1:22" ht="18" customHeight="1" x14ac:dyDescent="0.25">
      <c r="A904" s="7" t="s">
        <v>34</v>
      </c>
      <c r="B904" s="7">
        <v>2021</v>
      </c>
      <c r="C904" s="7" t="s">
        <v>68</v>
      </c>
      <c r="D904" s="7" t="s">
        <v>21</v>
      </c>
      <c r="E904" s="7" t="s">
        <v>22</v>
      </c>
      <c r="F904" s="7" t="s">
        <v>23</v>
      </c>
      <c r="G904" s="7" t="s">
        <v>24</v>
      </c>
      <c r="H904" s="7" t="s">
        <v>25</v>
      </c>
      <c r="I904" s="7" t="s">
        <v>35</v>
      </c>
      <c r="J904" s="7">
        <v>202</v>
      </c>
      <c r="K904" s="7">
        <v>288.86</v>
      </c>
    </row>
    <row r="905" spans="1:22" ht="18" customHeight="1" x14ac:dyDescent="0.25">
      <c r="A905" s="7" t="s">
        <v>42</v>
      </c>
      <c r="B905" s="7">
        <v>2021</v>
      </c>
      <c r="C905" s="7" t="s">
        <v>68</v>
      </c>
      <c r="D905" s="7" t="s">
        <v>21</v>
      </c>
      <c r="E905" s="7" t="s">
        <v>22</v>
      </c>
      <c r="F905" s="7" t="s">
        <v>23</v>
      </c>
      <c r="G905" s="7" t="s">
        <v>24</v>
      </c>
      <c r="H905" s="7" t="s">
        <v>25</v>
      </c>
      <c r="I905" s="7" t="s">
        <v>35</v>
      </c>
      <c r="J905" s="7">
        <v>130</v>
      </c>
      <c r="K905" s="7">
        <v>185.9</v>
      </c>
    </row>
    <row r="906" spans="1:22" ht="18" customHeight="1" x14ac:dyDescent="0.25">
      <c r="A906" s="7" t="s">
        <v>34</v>
      </c>
      <c r="B906" s="7">
        <v>2021</v>
      </c>
      <c r="C906" s="7" t="s">
        <v>68</v>
      </c>
      <c r="D906" s="7" t="s">
        <v>21</v>
      </c>
      <c r="E906" s="7" t="s">
        <v>22</v>
      </c>
      <c r="F906" s="7" t="s">
        <v>23</v>
      </c>
      <c r="G906" s="7" t="s">
        <v>24</v>
      </c>
      <c r="H906" s="7" t="s">
        <v>25</v>
      </c>
      <c r="I906" s="7" t="s">
        <v>35</v>
      </c>
      <c r="J906" s="7">
        <v>360</v>
      </c>
      <c r="K906" s="7">
        <v>526.24</v>
      </c>
    </row>
    <row r="907" spans="1:22" ht="18" customHeight="1" x14ac:dyDescent="0.25">
      <c r="A907" s="7" t="s">
        <v>19</v>
      </c>
      <c r="B907" s="7">
        <v>2021</v>
      </c>
      <c r="C907" s="7" t="s">
        <v>68</v>
      </c>
      <c r="D907" s="7" t="s">
        <v>21</v>
      </c>
      <c r="E907" s="7" t="s">
        <v>22</v>
      </c>
      <c r="F907" s="7" t="s">
        <v>23</v>
      </c>
      <c r="G907" s="7" t="s">
        <v>24</v>
      </c>
      <c r="H907" s="7" t="s">
        <v>25</v>
      </c>
      <c r="I907" s="7" t="s">
        <v>35</v>
      </c>
      <c r="J907" s="7">
        <v>354</v>
      </c>
      <c r="K907" s="7">
        <v>526.24</v>
      </c>
    </row>
    <row r="908" spans="1:22" ht="18" customHeight="1" x14ac:dyDescent="0.25">
      <c r="A908" s="7" t="s">
        <v>19</v>
      </c>
      <c r="B908" s="7">
        <v>2021</v>
      </c>
      <c r="C908" s="7" t="s">
        <v>68</v>
      </c>
      <c r="D908" s="7" t="s">
        <v>21</v>
      </c>
      <c r="E908" s="7" t="s">
        <v>22</v>
      </c>
      <c r="F908" s="7" t="s">
        <v>23</v>
      </c>
      <c r="G908" s="7" t="s">
        <v>24</v>
      </c>
      <c r="H908" s="7" t="s">
        <v>25</v>
      </c>
      <c r="I908" s="7" t="s">
        <v>35</v>
      </c>
      <c r="J908" s="7">
        <v>348</v>
      </c>
      <c r="K908" s="7">
        <v>526.24</v>
      </c>
    </row>
    <row r="909" spans="1:22" ht="18" customHeight="1" x14ac:dyDescent="0.25">
      <c r="A909" s="7" t="s">
        <v>19</v>
      </c>
      <c r="B909" s="7">
        <v>2021</v>
      </c>
      <c r="C909" s="7" t="s">
        <v>68</v>
      </c>
      <c r="D909" s="7" t="s">
        <v>21</v>
      </c>
      <c r="E909" s="7" t="s">
        <v>22</v>
      </c>
      <c r="F909" s="7" t="s">
        <v>23</v>
      </c>
      <c r="G909" s="7" t="s">
        <v>24</v>
      </c>
      <c r="H909" s="7" t="s">
        <v>25</v>
      </c>
      <c r="I909" s="7" t="s">
        <v>35</v>
      </c>
      <c r="J909" s="7">
        <v>690</v>
      </c>
      <c r="K909" s="7">
        <v>986.7</v>
      </c>
    </row>
    <row r="910" spans="1:22" ht="18" customHeight="1" x14ac:dyDescent="0.25">
      <c r="A910" s="7" t="s">
        <v>34</v>
      </c>
      <c r="B910" s="7">
        <v>2021</v>
      </c>
      <c r="C910" s="7" t="s">
        <v>68</v>
      </c>
      <c r="D910" s="7" t="s">
        <v>21</v>
      </c>
      <c r="E910" s="7" t="s">
        <v>22</v>
      </c>
      <c r="F910" s="7" t="s">
        <v>23</v>
      </c>
      <c r="G910" s="7" t="s">
        <v>24</v>
      </c>
      <c r="H910" s="7" t="s">
        <v>25</v>
      </c>
      <c r="I910" s="7" t="s">
        <v>35</v>
      </c>
      <c r="J910" s="7">
        <v>723</v>
      </c>
      <c r="K910" s="7">
        <v>1033.8899999999999</v>
      </c>
    </row>
    <row r="911" spans="1:22" ht="18" customHeight="1" x14ac:dyDescent="0.25">
      <c r="A911" s="7" t="s">
        <v>34</v>
      </c>
      <c r="B911" s="7">
        <v>2021</v>
      </c>
      <c r="C911" s="7" t="s">
        <v>68</v>
      </c>
      <c r="D911" s="7" t="s">
        <v>21</v>
      </c>
      <c r="E911" s="7" t="s">
        <v>22</v>
      </c>
      <c r="F911" s="7" t="s">
        <v>23</v>
      </c>
      <c r="G911" s="7" t="s">
        <v>24</v>
      </c>
      <c r="H911" s="7" t="s">
        <v>25</v>
      </c>
      <c r="I911" s="7" t="s">
        <v>35</v>
      </c>
      <c r="J911" s="7">
        <v>357</v>
      </c>
      <c r="K911" s="7">
        <v>510.51</v>
      </c>
    </row>
    <row r="912" spans="1:22" ht="18" customHeight="1" x14ac:dyDescent="0.25">
      <c r="A912" s="7" t="s">
        <v>34</v>
      </c>
      <c r="B912" s="7">
        <v>2021</v>
      </c>
      <c r="C912" s="7" t="s">
        <v>68</v>
      </c>
      <c r="D912" s="7" t="s">
        <v>21</v>
      </c>
      <c r="E912" s="7" t="s">
        <v>22</v>
      </c>
      <c r="F912" s="7" t="s">
        <v>23</v>
      </c>
      <c r="G912" s="7" t="s">
        <v>24</v>
      </c>
      <c r="H912" s="7" t="s">
        <v>25</v>
      </c>
      <c r="I912" s="7" t="s">
        <v>35</v>
      </c>
      <c r="J912" s="7">
        <v>351</v>
      </c>
      <c r="K912" s="7">
        <v>501.93</v>
      </c>
    </row>
    <row r="913" spans="1:11" ht="18" customHeight="1" x14ac:dyDescent="0.25">
      <c r="A913" s="7" t="s">
        <v>34</v>
      </c>
      <c r="B913" s="7">
        <v>2021</v>
      </c>
      <c r="C913" s="7" t="s">
        <v>68</v>
      </c>
      <c r="D913" s="7" t="s">
        <v>21</v>
      </c>
      <c r="E913" s="7" t="s">
        <v>22</v>
      </c>
      <c r="F913" s="7" t="s">
        <v>23</v>
      </c>
      <c r="G913" s="7" t="s">
        <v>24</v>
      </c>
      <c r="H913" s="7" t="s">
        <v>25</v>
      </c>
      <c r="I913" s="7" t="s">
        <v>35</v>
      </c>
      <c r="J913" s="7">
        <v>345</v>
      </c>
      <c r="K913" s="7">
        <v>493.35</v>
      </c>
    </row>
    <row r="914" spans="1:11" ht="18" customHeight="1" x14ac:dyDescent="0.25">
      <c r="A914" s="7" t="s">
        <v>19</v>
      </c>
      <c r="B914" s="7">
        <v>2021</v>
      </c>
      <c r="C914" s="7" t="s">
        <v>68</v>
      </c>
      <c r="D914" s="7" t="s">
        <v>21</v>
      </c>
      <c r="E914" s="7" t="s">
        <v>22</v>
      </c>
      <c r="F914" s="7" t="s">
        <v>23</v>
      </c>
      <c r="G914" s="7" t="s">
        <v>24</v>
      </c>
      <c r="H914" s="7" t="s">
        <v>25</v>
      </c>
      <c r="I914" s="7" t="s">
        <v>35</v>
      </c>
      <c r="J914" s="7">
        <v>763</v>
      </c>
      <c r="K914" s="7">
        <v>526.24</v>
      </c>
    </row>
    <row r="915" spans="1:11" ht="18" customHeight="1" x14ac:dyDescent="0.25">
      <c r="A915" s="7" t="s">
        <v>19</v>
      </c>
      <c r="B915" s="7">
        <v>2021</v>
      </c>
      <c r="C915" s="7" t="s">
        <v>68</v>
      </c>
      <c r="D915" s="7" t="s">
        <v>21</v>
      </c>
      <c r="E915" s="7" t="s">
        <v>22</v>
      </c>
      <c r="F915" s="7" t="s">
        <v>23</v>
      </c>
      <c r="G915" s="7" t="s">
        <v>24</v>
      </c>
      <c r="H915" s="7" t="s">
        <v>25</v>
      </c>
      <c r="I915" s="7" t="s">
        <v>35</v>
      </c>
      <c r="J915" s="7">
        <v>816</v>
      </c>
      <c r="K915" s="7">
        <v>526.24</v>
      </c>
    </row>
    <row r="916" spans="1:11" ht="18" customHeight="1" x14ac:dyDescent="0.25">
      <c r="A916" s="7" t="s">
        <v>42</v>
      </c>
      <c r="B916" s="7">
        <v>2021</v>
      </c>
      <c r="C916" s="7" t="s">
        <v>68</v>
      </c>
      <c r="D916" s="7" t="s">
        <v>21</v>
      </c>
      <c r="E916" s="7" t="s">
        <v>22</v>
      </c>
      <c r="F916" s="7" t="s">
        <v>23</v>
      </c>
      <c r="G916" s="7" t="s">
        <v>24</v>
      </c>
      <c r="H916" s="7" t="s">
        <v>25</v>
      </c>
      <c r="I916" s="7" t="s">
        <v>35</v>
      </c>
      <c r="J916" s="7">
        <v>157</v>
      </c>
      <c r="K916" s="7">
        <v>224.51</v>
      </c>
    </row>
    <row r="917" spans="1:11" ht="18" customHeight="1" x14ac:dyDescent="0.25">
      <c r="A917" s="7" t="s">
        <v>34</v>
      </c>
      <c r="B917" s="7">
        <v>2021</v>
      </c>
      <c r="C917" s="7" t="s">
        <v>68</v>
      </c>
      <c r="D917" s="7" t="s">
        <v>21</v>
      </c>
      <c r="E917" s="7" t="s">
        <v>22</v>
      </c>
      <c r="F917" s="7" t="s">
        <v>23</v>
      </c>
      <c r="G917" s="7" t="s">
        <v>24</v>
      </c>
      <c r="H917" s="7" t="s">
        <v>25</v>
      </c>
      <c r="I917" s="7" t="s">
        <v>35</v>
      </c>
      <c r="J917" s="7">
        <v>205</v>
      </c>
      <c r="K917" s="7">
        <v>293.14999999999998</v>
      </c>
    </row>
    <row r="918" spans="1:11" ht="18" customHeight="1" x14ac:dyDescent="0.25">
      <c r="A918" s="7" t="s">
        <v>53</v>
      </c>
      <c r="B918" s="7">
        <v>2021</v>
      </c>
      <c r="C918" s="7" t="s">
        <v>68</v>
      </c>
      <c r="D918" s="7" t="s">
        <v>21</v>
      </c>
      <c r="E918" s="7" t="s">
        <v>22</v>
      </c>
      <c r="F918" s="7" t="s">
        <v>23</v>
      </c>
      <c r="G918" s="7" t="s">
        <v>24</v>
      </c>
      <c r="H918" s="7" t="s">
        <v>25</v>
      </c>
      <c r="I918" s="7" t="s">
        <v>35</v>
      </c>
      <c r="J918" s="7">
        <v>127</v>
      </c>
      <c r="K918" s="7">
        <v>181.61</v>
      </c>
    </row>
    <row r="919" spans="1:11" ht="18" customHeight="1" x14ac:dyDescent="0.25">
      <c r="A919" s="7" t="s">
        <v>19</v>
      </c>
      <c r="B919" s="7">
        <v>2021</v>
      </c>
      <c r="C919" s="7" t="s">
        <v>68</v>
      </c>
      <c r="D919" s="7" t="s">
        <v>21</v>
      </c>
      <c r="E919" s="7" t="s">
        <v>22</v>
      </c>
      <c r="F919" s="7" t="s">
        <v>23</v>
      </c>
      <c r="G919" s="7" t="s">
        <v>24</v>
      </c>
      <c r="H919" s="7" t="s">
        <v>25</v>
      </c>
      <c r="I919" s="7" t="s">
        <v>26</v>
      </c>
      <c r="J919" s="7">
        <v>359</v>
      </c>
      <c r="K919" s="7">
        <v>513.37</v>
      </c>
    </row>
    <row r="920" spans="1:11" ht="18" customHeight="1" x14ac:dyDescent="0.25">
      <c r="A920" s="7" t="s">
        <v>19</v>
      </c>
      <c r="B920" s="7">
        <v>2021</v>
      </c>
      <c r="C920" s="7" t="s">
        <v>68</v>
      </c>
      <c r="D920" s="7" t="s">
        <v>21</v>
      </c>
      <c r="E920" s="7" t="s">
        <v>22</v>
      </c>
      <c r="F920" s="7" t="s">
        <v>23</v>
      </c>
      <c r="G920" s="7" t="s">
        <v>24</v>
      </c>
      <c r="H920" s="7" t="s">
        <v>25</v>
      </c>
      <c r="I920" s="7" t="s">
        <v>26</v>
      </c>
      <c r="J920" s="7">
        <v>353</v>
      </c>
      <c r="K920" s="7">
        <v>504.78999999999996</v>
      </c>
    </row>
    <row r="921" spans="1:11" ht="18" customHeight="1" x14ac:dyDescent="0.25">
      <c r="A921" s="7" t="s">
        <v>61</v>
      </c>
      <c r="B921" s="7">
        <v>2021</v>
      </c>
      <c r="C921" s="7" t="s">
        <v>68</v>
      </c>
      <c r="D921" s="7" t="s">
        <v>21</v>
      </c>
      <c r="E921" s="7" t="s">
        <v>22</v>
      </c>
      <c r="F921" s="7" t="s">
        <v>23</v>
      </c>
      <c r="G921" s="7" t="s">
        <v>24</v>
      </c>
      <c r="H921" s="7" t="s">
        <v>25</v>
      </c>
      <c r="I921" s="7" t="s">
        <v>26</v>
      </c>
      <c r="J921" s="7">
        <v>347</v>
      </c>
      <c r="K921" s="7">
        <v>496.21000000000004</v>
      </c>
    </row>
    <row r="922" spans="1:11" ht="18" customHeight="1" x14ac:dyDescent="0.25">
      <c r="A922" s="7" t="s">
        <v>34</v>
      </c>
      <c r="B922" s="7">
        <v>2021</v>
      </c>
      <c r="C922" s="7" t="s">
        <v>68</v>
      </c>
      <c r="D922" s="7" t="s">
        <v>21</v>
      </c>
      <c r="E922" s="7" t="s">
        <v>22</v>
      </c>
      <c r="F922" s="7" t="s">
        <v>23</v>
      </c>
      <c r="G922" s="7" t="s">
        <v>24</v>
      </c>
      <c r="H922" s="7" t="s">
        <v>25</v>
      </c>
      <c r="I922" s="7" t="s">
        <v>35</v>
      </c>
      <c r="J922" s="7">
        <v>155</v>
      </c>
      <c r="K922" s="7">
        <v>221.65</v>
      </c>
    </row>
    <row r="923" spans="1:11" ht="18" customHeight="1" x14ac:dyDescent="0.25">
      <c r="A923" s="7" t="s">
        <v>19</v>
      </c>
      <c r="B923" s="7">
        <v>2021</v>
      </c>
      <c r="C923" s="7" t="s">
        <v>68</v>
      </c>
      <c r="D923" s="7" t="s">
        <v>21</v>
      </c>
      <c r="E923" s="7" t="s">
        <v>22</v>
      </c>
      <c r="F923" s="7" t="s">
        <v>23</v>
      </c>
      <c r="G923" s="7" t="s">
        <v>24</v>
      </c>
      <c r="H923" s="7" t="s">
        <v>25</v>
      </c>
      <c r="I923" s="7" t="s">
        <v>35</v>
      </c>
      <c r="J923" s="7">
        <v>203</v>
      </c>
      <c r="K923" s="7">
        <v>290.28999999999996</v>
      </c>
    </row>
    <row r="924" spans="1:11" ht="18" customHeight="1" x14ac:dyDescent="0.25">
      <c r="A924" s="7" t="s">
        <v>42</v>
      </c>
      <c r="B924" s="7">
        <v>2021</v>
      </c>
      <c r="C924" s="7" t="s">
        <v>68</v>
      </c>
      <c r="D924" s="7" t="s">
        <v>21</v>
      </c>
      <c r="E924" s="7" t="s">
        <v>22</v>
      </c>
      <c r="F924" s="7" t="s">
        <v>23</v>
      </c>
      <c r="G924" s="7" t="s">
        <v>24</v>
      </c>
      <c r="H924" s="7" t="s">
        <v>25</v>
      </c>
      <c r="I924" s="7" t="s">
        <v>35</v>
      </c>
      <c r="J924" s="7">
        <v>785</v>
      </c>
      <c r="K924" s="7">
        <v>1122.55</v>
      </c>
    </row>
    <row r="925" spans="1:11" ht="18" customHeight="1" x14ac:dyDescent="0.25">
      <c r="A925" s="7" t="s">
        <v>34</v>
      </c>
      <c r="B925" s="7">
        <v>2021</v>
      </c>
      <c r="C925" s="7" t="s">
        <v>67</v>
      </c>
      <c r="D925" s="7" t="s">
        <v>21</v>
      </c>
      <c r="E925" s="7" t="s">
        <v>22</v>
      </c>
      <c r="F925" s="7" t="s">
        <v>23</v>
      </c>
      <c r="G925" s="7" t="s">
        <v>24</v>
      </c>
      <c r="H925" s="7" t="s">
        <v>25</v>
      </c>
      <c r="I925" s="7" t="s">
        <v>26</v>
      </c>
      <c r="J925" s="7">
        <v>128</v>
      </c>
      <c r="K925" s="7">
        <v>526.24</v>
      </c>
    </row>
    <row r="926" spans="1:11" ht="18" customHeight="1" x14ac:dyDescent="0.25">
      <c r="A926" s="7" t="s">
        <v>42</v>
      </c>
      <c r="B926" s="7">
        <v>2021</v>
      </c>
      <c r="C926" s="7" t="s">
        <v>67</v>
      </c>
      <c r="D926" s="7" t="s">
        <v>21</v>
      </c>
      <c r="E926" s="7" t="s">
        <v>22</v>
      </c>
      <c r="F926" s="7" t="s">
        <v>23</v>
      </c>
      <c r="G926" s="7" t="s">
        <v>24</v>
      </c>
      <c r="H926" s="7" t="s">
        <v>25</v>
      </c>
      <c r="I926" s="7" t="s">
        <v>26</v>
      </c>
      <c r="J926" s="7">
        <v>368</v>
      </c>
      <c r="K926" s="7">
        <v>526.24</v>
      </c>
    </row>
    <row r="927" spans="1:11" ht="18" customHeight="1" x14ac:dyDescent="0.25">
      <c r="A927" s="7" t="s">
        <v>34</v>
      </c>
      <c r="B927" s="7">
        <v>2021</v>
      </c>
      <c r="C927" s="7" t="s">
        <v>67</v>
      </c>
      <c r="D927" s="7" t="s">
        <v>21</v>
      </c>
      <c r="E927" s="7" t="s">
        <v>22</v>
      </c>
      <c r="F927" s="7" t="s">
        <v>23</v>
      </c>
      <c r="G927" s="7" t="s">
        <v>24</v>
      </c>
      <c r="H927" s="7" t="s">
        <v>25</v>
      </c>
      <c r="I927" s="7" t="s">
        <v>26</v>
      </c>
      <c r="J927" s="7">
        <v>362</v>
      </c>
      <c r="K927" s="7">
        <v>517.66</v>
      </c>
    </row>
    <row r="928" spans="1:11" ht="18" customHeight="1" x14ac:dyDescent="0.25">
      <c r="A928" s="7" t="s">
        <v>19</v>
      </c>
      <c r="B928" s="7">
        <v>2021</v>
      </c>
      <c r="C928" s="7" t="s">
        <v>67</v>
      </c>
      <c r="D928" s="7" t="s">
        <v>21</v>
      </c>
      <c r="E928" s="7" t="s">
        <v>22</v>
      </c>
      <c r="F928" s="7" t="s">
        <v>23</v>
      </c>
      <c r="G928" s="7" t="s">
        <v>24</v>
      </c>
      <c r="H928" s="7" t="s">
        <v>25</v>
      </c>
      <c r="I928" s="7" t="s">
        <v>35</v>
      </c>
      <c r="J928" s="7">
        <v>206</v>
      </c>
      <c r="K928" s="7">
        <v>294.58</v>
      </c>
    </row>
    <row r="929" spans="1:11" ht="18" customHeight="1" x14ac:dyDescent="0.25">
      <c r="A929" s="7" t="s">
        <v>19</v>
      </c>
      <c r="B929" s="7">
        <v>2021</v>
      </c>
      <c r="C929" s="7" t="s">
        <v>67</v>
      </c>
      <c r="D929" s="7" t="s">
        <v>21</v>
      </c>
      <c r="E929" s="7" t="s">
        <v>22</v>
      </c>
      <c r="F929" s="7" t="s">
        <v>23</v>
      </c>
      <c r="G929" s="7" t="s">
        <v>24</v>
      </c>
      <c r="H929" s="7" t="s">
        <v>25</v>
      </c>
      <c r="I929" s="7" t="s">
        <v>35</v>
      </c>
      <c r="J929" s="7">
        <v>134</v>
      </c>
      <c r="K929" s="7">
        <v>191.62</v>
      </c>
    </row>
    <row r="930" spans="1:11" ht="18" customHeight="1" x14ac:dyDescent="0.25">
      <c r="A930" s="7" t="s">
        <v>19</v>
      </c>
      <c r="B930" s="7">
        <v>2021</v>
      </c>
      <c r="C930" s="7" t="s">
        <v>67</v>
      </c>
      <c r="D930" s="7" t="s">
        <v>21</v>
      </c>
      <c r="E930" s="7" t="s">
        <v>22</v>
      </c>
      <c r="F930" s="7" t="s">
        <v>23</v>
      </c>
      <c r="G930" s="7" t="s">
        <v>24</v>
      </c>
      <c r="H930" s="7" t="s">
        <v>25</v>
      </c>
      <c r="I930" s="7" t="s">
        <v>35</v>
      </c>
      <c r="J930" s="7">
        <v>160</v>
      </c>
      <c r="K930" s="7">
        <v>228.8</v>
      </c>
    </row>
    <row r="931" spans="1:11" ht="18" customHeight="1" x14ac:dyDescent="0.25">
      <c r="A931" s="7" t="s">
        <v>34</v>
      </c>
      <c r="B931" s="7">
        <v>2021</v>
      </c>
      <c r="C931" s="7" t="s">
        <v>67</v>
      </c>
      <c r="D931" s="7" t="s">
        <v>21</v>
      </c>
      <c r="E931" s="7" t="s">
        <v>22</v>
      </c>
      <c r="F931" s="7" t="s">
        <v>23</v>
      </c>
      <c r="G931" s="7" t="s">
        <v>24</v>
      </c>
      <c r="H931" s="7" t="s">
        <v>25</v>
      </c>
      <c r="I931" s="7" t="s">
        <v>35</v>
      </c>
      <c r="J931" s="7">
        <v>208</v>
      </c>
      <c r="K931" s="7">
        <v>297.44</v>
      </c>
    </row>
    <row r="932" spans="1:11" ht="18" customHeight="1" x14ac:dyDescent="0.25">
      <c r="A932" s="7" t="s">
        <v>19</v>
      </c>
      <c r="B932" s="7">
        <v>2021</v>
      </c>
      <c r="C932" s="7" t="s">
        <v>67</v>
      </c>
      <c r="D932" s="7" t="s">
        <v>21</v>
      </c>
      <c r="E932" s="7" t="s">
        <v>22</v>
      </c>
      <c r="F932" s="7" t="s">
        <v>23</v>
      </c>
      <c r="G932" s="7" t="s">
        <v>24</v>
      </c>
      <c r="H932" s="7" t="s">
        <v>25</v>
      </c>
      <c r="I932" s="7" t="s">
        <v>35</v>
      </c>
      <c r="J932" s="7">
        <v>136</v>
      </c>
      <c r="K932" s="7">
        <v>194.48</v>
      </c>
    </row>
    <row r="933" spans="1:11" ht="18" customHeight="1" x14ac:dyDescent="0.25">
      <c r="A933" s="7" t="s">
        <v>34</v>
      </c>
      <c r="B933" s="7">
        <v>2021</v>
      </c>
      <c r="C933" s="7" t="s">
        <v>67</v>
      </c>
      <c r="D933" s="7" t="s">
        <v>21</v>
      </c>
      <c r="E933" s="7" t="s">
        <v>22</v>
      </c>
      <c r="F933" s="7" t="s">
        <v>23</v>
      </c>
      <c r="G933" s="7" t="s">
        <v>24</v>
      </c>
      <c r="H933" s="7" t="s">
        <v>25</v>
      </c>
      <c r="I933" s="7" t="s">
        <v>35</v>
      </c>
      <c r="J933" s="7">
        <v>372</v>
      </c>
      <c r="K933" s="7">
        <v>526.24</v>
      </c>
    </row>
    <row r="934" spans="1:11" ht="18" customHeight="1" x14ac:dyDescent="0.25">
      <c r="A934" s="7" t="s">
        <v>34</v>
      </c>
      <c r="B934" s="7">
        <v>2021</v>
      </c>
      <c r="C934" s="7" t="s">
        <v>67</v>
      </c>
      <c r="D934" s="7" t="s">
        <v>21</v>
      </c>
      <c r="E934" s="7" t="s">
        <v>22</v>
      </c>
      <c r="F934" s="7" t="s">
        <v>23</v>
      </c>
      <c r="G934" s="7" t="s">
        <v>24</v>
      </c>
      <c r="H934" s="7" t="s">
        <v>25</v>
      </c>
      <c r="I934" s="7" t="s">
        <v>35</v>
      </c>
      <c r="J934" s="7">
        <v>366</v>
      </c>
      <c r="K934" s="7">
        <v>526.24</v>
      </c>
    </row>
    <row r="935" spans="1:11" ht="18" customHeight="1" x14ac:dyDescent="0.25">
      <c r="A935" s="7" t="s">
        <v>19</v>
      </c>
      <c r="B935" s="7">
        <v>2021</v>
      </c>
      <c r="C935" s="7" t="s">
        <v>67</v>
      </c>
      <c r="D935" s="7" t="s">
        <v>21</v>
      </c>
      <c r="E935" s="7" t="s">
        <v>22</v>
      </c>
      <c r="F935" s="7" t="s">
        <v>23</v>
      </c>
      <c r="G935" s="7" t="s">
        <v>24</v>
      </c>
      <c r="H935" s="7" t="s">
        <v>25</v>
      </c>
      <c r="I935" s="7" t="s">
        <v>35</v>
      </c>
      <c r="J935" s="7">
        <v>689</v>
      </c>
      <c r="K935" s="7">
        <v>985.27</v>
      </c>
    </row>
    <row r="936" spans="1:11" ht="18" customHeight="1" x14ac:dyDescent="0.25">
      <c r="A936" s="7" t="s">
        <v>42</v>
      </c>
      <c r="B936" s="7">
        <v>2021</v>
      </c>
      <c r="C936" s="7" t="s">
        <v>67</v>
      </c>
      <c r="D936" s="7" t="s">
        <v>21</v>
      </c>
      <c r="E936" s="7" t="s">
        <v>22</v>
      </c>
      <c r="F936" s="7" t="s">
        <v>23</v>
      </c>
      <c r="G936" s="7" t="s">
        <v>24</v>
      </c>
      <c r="H936" s="7" t="s">
        <v>25</v>
      </c>
      <c r="I936" s="7" t="s">
        <v>35</v>
      </c>
      <c r="J936" s="7">
        <v>722</v>
      </c>
      <c r="K936" s="7">
        <v>1032.46</v>
      </c>
    </row>
    <row r="937" spans="1:11" ht="18" customHeight="1" x14ac:dyDescent="0.25">
      <c r="A937" s="7" t="s">
        <v>34</v>
      </c>
      <c r="B937" s="7">
        <v>2021</v>
      </c>
      <c r="C937" s="7" t="s">
        <v>67</v>
      </c>
      <c r="D937" s="7" t="s">
        <v>21</v>
      </c>
      <c r="E937" s="7" t="s">
        <v>22</v>
      </c>
      <c r="F937" s="7" t="s">
        <v>23</v>
      </c>
      <c r="G937" s="7" t="s">
        <v>24</v>
      </c>
      <c r="H937" s="7" t="s">
        <v>25</v>
      </c>
      <c r="I937" s="7" t="s">
        <v>35</v>
      </c>
      <c r="J937" s="7">
        <v>776</v>
      </c>
      <c r="K937" s="7">
        <v>1109.68</v>
      </c>
    </row>
    <row r="938" spans="1:11" ht="18" customHeight="1" x14ac:dyDescent="0.25">
      <c r="A938" s="7" t="s">
        <v>42</v>
      </c>
      <c r="B938" s="7">
        <v>2021</v>
      </c>
      <c r="C938" s="7" t="s">
        <v>67</v>
      </c>
      <c r="D938" s="7" t="s">
        <v>21</v>
      </c>
      <c r="E938" s="7" t="s">
        <v>22</v>
      </c>
      <c r="F938" s="7" t="s">
        <v>23</v>
      </c>
      <c r="G938" s="7" t="s">
        <v>24</v>
      </c>
      <c r="H938" s="7" t="s">
        <v>25</v>
      </c>
      <c r="I938" s="7" t="s">
        <v>35</v>
      </c>
      <c r="J938" s="7">
        <v>129</v>
      </c>
      <c r="K938" s="7">
        <v>184.47</v>
      </c>
    </row>
    <row r="939" spans="1:11" ht="18" customHeight="1" x14ac:dyDescent="0.25">
      <c r="A939" s="7" t="s">
        <v>34</v>
      </c>
      <c r="B939" s="7">
        <v>2021</v>
      </c>
      <c r="C939" s="7" t="s">
        <v>67</v>
      </c>
      <c r="D939" s="7" t="s">
        <v>21</v>
      </c>
      <c r="E939" s="7" t="s">
        <v>22</v>
      </c>
      <c r="F939" s="7" t="s">
        <v>23</v>
      </c>
      <c r="G939" s="7" t="s">
        <v>24</v>
      </c>
      <c r="H939" s="7" t="s">
        <v>25</v>
      </c>
      <c r="I939" s="7" t="s">
        <v>35</v>
      </c>
      <c r="J939" s="7">
        <v>369</v>
      </c>
      <c r="K939" s="7">
        <v>527.66999999999996</v>
      </c>
    </row>
    <row r="940" spans="1:11" ht="18" customHeight="1" x14ac:dyDescent="0.25">
      <c r="A940" s="7" t="s">
        <v>19</v>
      </c>
      <c r="B940" s="7">
        <v>2021</v>
      </c>
      <c r="C940" s="7" t="s">
        <v>67</v>
      </c>
      <c r="D940" s="7" t="s">
        <v>21</v>
      </c>
      <c r="E940" s="7" t="s">
        <v>22</v>
      </c>
      <c r="F940" s="7" t="s">
        <v>23</v>
      </c>
      <c r="G940" s="7" t="s">
        <v>24</v>
      </c>
      <c r="H940" s="7" t="s">
        <v>25</v>
      </c>
      <c r="I940" s="7" t="s">
        <v>35</v>
      </c>
      <c r="J940" s="7">
        <v>363</v>
      </c>
      <c r="K940" s="7">
        <v>519.09</v>
      </c>
    </row>
    <row r="941" spans="1:11" ht="18" customHeight="1" x14ac:dyDescent="0.25">
      <c r="A941" s="7" t="s">
        <v>34</v>
      </c>
      <c r="B941" s="7">
        <v>2021</v>
      </c>
      <c r="C941" s="7" t="s">
        <v>67</v>
      </c>
      <c r="D941" s="7" t="s">
        <v>21</v>
      </c>
      <c r="E941" s="7" t="s">
        <v>22</v>
      </c>
      <c r="F941" s="7" t="s">
        <v>23</v>
      </c>
      <c r="G941" s="7" t="s">
        <v>24</v>
      </c>
      <c r="H941" s="7" t="s">
        <v>25</v>
      </c>
      <c r="I941" s="7" t="s">
        <v>35</v>
      </c>
      <c r="J941" s="7">
        <v>159</v>
      </c>
      <c r="K941" s="7">
        <v>227.37</v>
      </c>
    </row>
    <row r="942" spans="1:11" ht="18" customHeight="1" x14ac:dyDescent="0.25">
      <c r="A942" s="7" t="s">
        <v>34</v>
      </c>
      <c r="B942" s="7">
        <v>2021</v>
      </c>
      <c r="C942" s="7" t="s">
        <v>67</v>
      </c>
      <c r="D942" s="7" t="s">
        <v>21</v>
      </c>
      <c r="E942" s="7" t="s">
        <v>22</v>
      </c>
      <c r="F942" s="7" t="s">
        <v>23</v>
      </c>
      <c r="G942" s="7" t="s">
        <v>24</v>
      </c>
      <c r="H942" s="7" t="s">
        <v>25</v>
      </c>
      <c r="I942" s="7" t="s">
        <v>35</v>
      </c>
      <c r="J942" s="7">
        <v>762</v>
      </c>
      <c r="K942" s="7">
        <v>526.24</v>
      </c>
    </row>
    <row r="943" spans="1:11" ht="18" customHeight="1" x14ac:dyDescent="0.25">
      <c r="A943" s="7" t="s">
        <v>19</v>
      </c>
      <c r="B943" s="7">
        <v>2021</v>
      </c>
      <c r="C943" s="7" t="s">
        <v>67</v>
      </c>
      <c r="D943" s="7" t="s">
        <v>21</v>
      </c>
      <c r="E943" s="7" t="s">
        <v>22</v>
      </c>
      <c r="F943" s="7" t="s">
        <v>23</v>
      </c>
      <c r="G943" s="7" t="s">
        <v>24</v>
      </c>
      <c r="H943" s="7" t="s">
        <v>25</v>
      </c>
      <c r="I943" s="7" t="s">
        <v>35</v>
      </c>
      <c r="J943" s="7">
        <v>815</v>
      </c>
      <c r="K943" s="7">
        <v>526.24</v>
      </c>
    </row>
    <row r="944" spans="1:11" ht="18" customHeight="1" x14ac:dyDescent="0.25">
      <c r="A944" s="7" t="s">
        <v>19</v>
      </c>
      <c r="B944" s="7">
        <v>2021</v>
      </c>
      <c r="C944" s="7" t="s">
        <v>67</v>
      </c>
      <c r="D944" s="7" t="s">
        <v>21</v>
      </c>
      <c r="E944" s="7" t="s">
        <v>22</v>
      </c>
      <c r="F944" s="7" t="s">
        <v>23</v>
      </c>
      <c r="G944" s="7" t="s">
        <v>24</v>
      </c>
      <c r="H944" s="7" t="s">
        <v>25</v>
      </c>
      <c r="I944" s="7" t="s">
        <v>35</v>
      </c>
      <c r="J944" s="7">
        <v>163</v>
      </c>
      <c r="K944" s="7">
        <v>233.09</v>
      </c>
    </row>
    <row r="945" spans="1:11" ht="18" customHeight="1" x14ac:dyDescent="0.25">
      <c r="A945" s="7" t="s">
        <v>19</v>
      </c>
      <c r="B945" s="7">
        <v>2021</v>
      </c>
      <c r="C945" s="7" t="s">
        <v>67</v>
      </c>
      <c r="D945" s="7" t="s">
        <v>21</v>
      </c>
      <c r="E945" s="7" t="s">
        <v>22</v>
      </c>
      <c r="F945" s="7" t="s">
        <v>23</v>
      </c>
      <c r="G945" s="7" t="s">
        <v>24</v>
      </c>
      <c r="H945" s="7" t="s">
        <v>25</v>
      </c>
      <c r="I945" s="7" t="s">
        <v>35</v>
      </c>
      <c r="J945" s="7">
        <v>133</v>
      </c>
      <c r="K945" s="7">
        <v>190.19</v>
      </c>
    </row>
    <row r="946" spans="1:11" ht="18" customHeight="1" x14ac:dyDescent="0.25">
      <c r="A946" s="7" t="s">
        <v>19</v>
      </c>
      <c r="B946" s="7">
        <v>2021</v>
      </c>
      <c r="C946" s="7" t="s">
        <v>67</v>
      </c>
      <c r="D946" s="7" t="s">
        <v>21</v>
      </c>
      <c r="E946" s="7" t="s">
        <v>22</v>
      </c>
      <c r="F946" s="7" t="s">
        <v>23</v>
      </c>
      <c r="G946" s="7" t="s">
        <v>24</v>
      </c>
      <c r="H946" s="7" t="s">
        <v>25</v>
      </c>
      <c r="I946" s="7" t="s">
        <v>26</v>
      </c>
      <c r="J946" s="7">
        <v>371</v>
      </c>
      <c r="K946" s="7">
        <v>530.53</v>
      </c>
    </row>
    <row r="947" spans="1:11" ht="18" customHeight="1" x14ac:dyDescent="0.25">
      <c r="A947" s="7" t="s">
        <v>42</v>
      </c>
      <c r="B947" s="7">
        <v>2021</v>
      </c>
      <c r="C947" s="7" t="s">
        <v>67</v>
      </c>
      <c r="D947" s="7" t="s">
        <v>21</v>
      </c>
      <c r="E947" s="7" t="s">
        <v>22</v>
      </c>
      <c r="F947" s="7" t="s">
        <v>23</v>
      </c>
      <c r="G947" s="7" t="s">
        <v>24</v>
      </c>
      <c r="H947" s="7" t="s">
        <v>25</v>
      </c>
      <c r="I947" s="7" t="s">
        <v>26</v>
      </c>
      <c r="J947" s="7">
        <v>365</v>
      </c>
      <c r="K947" s="7">
        <v>521.95000000000005</v>
      </c>
    </row>
    <row r="948" spans="1:11" ht="18" customHeight="1" x14ac:dyDescent="0.25">
      <c r="A948" s="7" t="s">
        <v>19</v>
      </c>
      <c r="B948" s="7">
        <v>2021</v>
      </c>
      <c r="C948" s="7" t="s">
        <v>67</v>
      </c>
      <c r="D948" s="7" t="s">
        <v>21</v>
      </c>
      <c r="E948" s="7" t="s">
        <v>22</v>
      </c>
      <c r="F948" s="7" t="s">
        <v>23</v>
      </c>
      <c r="G948" s="7" t="s">
        <v>24</v>
      </c>
      <c r="H948" s="7" t="s">
        <v>25</v>
      </c>
      <c r="I948" s="7" t="s">
        <v>35</v>
      </c>
      <c r="J948" s="7">
        <v>161</v>
      </c>
      <c r="K948" s="7">
        <v>230.23000000000002</v>
      </c>
    </row>
    <row r="949" spans="1:11" ht="18" customHeight="1" x14ac:dyDescent="0.25">
      <c r="A949" s="7" t="s">
        <v>34</v>
      </c>
      <c r="B949" s="7">
        <v>2021</v>
      </c>
      <c r="C949" s="7" t="s">
        <v>67</v>
      </c>
      <c r="D949" s="7" t="s">
        <v>21</v>
      </c>
      <c r="E949" s="7" t="s">
        <v>22</v>
      </c>
      <c r="F949" s="7" t="s">
        <v>23</v>
      </c>
      <c r="G949" s="7" t="s">
        <v>24</v>
      </c>
      <c r="H949" s="7" t="s">
        <v>25</v>
      </c>
      <c r="I949" s="7" t="s">
        <v>35</v>
      </c>
      <c r="J949" s="7">
        <v>209</v>
      </c>
      <c r="K949" s="7">
        <v>298.87</v>
      </c>
    </row>
    <row r="950" spans="1:11" ht="18" customHeight="1" x14ac:dyDescent="0.25">
      <c r="A950" s="7" t="s">
        <v>42</v>
      </c>
      <c r="B950" s="7">
        <v>2021</v>
      </c>
      <c r="C950" s="7" t="s">
        <v>62</v>
      </c>
      <c r="D950" s="7" t="s">
        <v>21</v>
      </c>
      <c r="E950" s="7" t="s">
        <v>22</v>
      </c>
      <c r="F950" s="7" t="s">
        <v>23</v>
      </c>
      <c r="G950" s="7" t="s">
        <v>24</v>
      </c>
      <c r="H950" s="7" t="s">
        <v>25</v>
      </c>
      <c r="I950" s="7" t="s">
        <v>26</v>
      </c>
      <c r="J950" s="7">
        <v>176</v>
      </c>
      <c r="K950" s="7">
        <v>526.24</v>
      </c>
    </row>
    <row r="951" spans="1:11" ht="18" customHeight="1" x14ac:dyDescent="0.25">
      <c r="A951" s="7" t="s">
        <v>19</v>
      </c>
      <c r="B951" s="7">
        <v>2021</v>
      </c>
      <c r="C951" s="7" t="s">
        <v>62</v>
      </c>
      <c r="D951" s="7" t="s">
        <v>21</v>
      </c>
      <c r="E951" s="7" t="s">
        <v>22</v>
      </c>
      <c r="F951" s="7" t="s">
        <v>23</v>
      </c>
      <c r="G951" s="7" t="s">
        <v>24</v>
      </c>
      <c r="H951" s="7" t="s">
        <v>25</v>
      </c>
      <c r="I951" s="7" t="s">
        <v>26</v>
      </c>
      <c r="J951" s="7">
        <v>170</v>
      </c>
      <c r="K951" s="7">
        <v>526.24</v>
      </c>
    </row>
    <row r="952" spans="1:11" ht="18" customHeight="1" x14ac:dyDescent="0.25">
      <c r="A952" s="7" t="s">
        <v>42</v>
      </c>
      <c r="B952" s="7">
        <v>2021</v>
      </c>
      <c r="C952" s="7" t="s">
        <v>62</v>
      </c>
      <c r="D952" s="7" t="s">
        <v>21</v>
      </c>
      <c r="E952" s="7" t="s">
        <v>22</v>
      </c>
      <c r="F952" s="7" t="s">
        <v>23</v>
      </c>
      <c r="G952" s="7" t="s">
        <v>24</v>
      </c>
      <c r="H952" s="7" t="s">
        <v>25</v>
      </c>
      <c r="I952" s="7" t="s">
        <v>26</v>
      </c>
      <c r="J952" s="7">
        <v>164</v>
      </c>
      <c r="K952" s="7">
        <v>526.24</v>
      </c>
    </row>
    <row r="953" spans="1:11" ht="18" customHeight="1" x14ac:dyDescent="0.25">
      <c r="A953" s="7" t="s">
        <v>19</v>
      </c>
      <c r="B953" s="7">
        <v>2021</v>
      </c>
      <c r="C953" s="7" t="s">
        <v>62</v>
      </c>
      <c r="D953" s="7" t="s">
        <v>21</v>
      </c>
      <c r="E953" s="7" t="s">
        <v>22</v>
      </c>
      <c r="F953" s="7" t="s">
        <v>23</v>
      </c>
      <c r="G953" s="7" t="s">
        <v>24</v>
      </c>
      <c r="H953" s="7" t="s">
        <v>25</v>
      </c>
      <c r="I953" s="7" t="s">
        <v>35</v>
      </c>
      <c r="J953" s="7">
        <v>176</v>
      </c>
      <c r="K953" s="7">
        <v>251.68</v>
      </c>
    </row>
    <row r="954" spans="1:11" ht="18" customHeight="1" x14ac:dyDescent="0.25">
      <c r="A954" s="7" t="s">
        <v>19</v>
      </c>
      <c r="B954" s="7">
        <v>2021</v>
      </c>
      <c r="C954" s="7" t="s">
        <v>62</v>
      </c>
      <c r="D954" s="7" t="s">
        <v>21</v>
      </c>
      <c r="E954" s="7" t="s">
        <v>22</v>
      </c>
      <c r="F954" s="7" t="s">
        <v>23</v>
      </c>
      <c r="G954" s="7" t="s">
        <v>24</v>
      </c>
      <c r="H954" s="7" t="s">
        <v>25</v>
      </c>
      <c r="I954" s="7" t="s">
        <v>35</v>
      </c>
      <c r="J954" s="7">
        <v>224</v>
      </c>
      <c r="K954" s="7">
        <v>320.32</v>
      </c>
    </row>
    <row r="955" spans="1:11" ht="18" customHeight="1" x14ac:dyDescent="0.25">
      <c r="A955" s="7" t="s">
        <v>19</v>
      </c>
      <c r="B955" s="7">
        <v>2021</v>
      </c>
      <c r="C955" s="7" t="s">
        <v>62</v>
      </c>
      <c r="D955" s="7" t="s">
        <v>21</v>
      </c>
      <c r="E955" s="7" t="s">
        <v>22</v>
      </c>
      <c r="F955" s="7" t="s">
        <v>23</v>
      </c>
      <c r="G955" s="7" t="s">
        <v>24</v>
      </c>
      <c r="H955" s="7" t="s">
        <v>25</v>
      </c>
      <c r="I955" s="7" t="s">
        <v>35</v>
      </c>
      <c r="J955" s="7">
        <v>152</v>
      </c>
      <c r="K955" s="7">
        <v>217.36</v>
      </c>
    </row>
    <row r="956" spans="1:11" ht="18" customHeight="1" x14ac:dyDescent="0.25">
      <c r="A956" s="7" t="s">
        <v>34</v>
      </c>
      <c r="B956" s="7">
        <v>2021</v>
      </c>
      <c r="C956" s="7" t="s">
        <v>62</v>
      </c>
      <c r="D956" s="7" t="s">
        <v>21</v>
      </c>
      <c r="E956" s="7" t="s">
        <v>22</v>
      </c>
      <c r="F956" s="7" t="s">
        <v>23</v>
      </c>
      <c r="G956" s="7" t="s">
        <v>24</v>
      </c>
      <c r="H956" s="7" t="s">
        <v>25</v>
      </c>
      <c r="I956" s="7" t="s">
        <v>35</v>
      </c>
      <c r="J956" s="7">
        <v>178</v>
      </c>
      <c r="K956" s="7">
        <v>254.54</v>
      </c>
    </row>
    <row r="957" spans="1:11" ht="18" customHeight="1" x14ac:dyDescent="0.25">
      <c r="A957" s="7" t="s">
        <v>19</v>
      </c>
      <c r="B957" s="7">
        <v>2021</v>
      </c>
      <c r="C957" s="7" t="s">
        <v>62</v>
      </c>
      <c r="D957" s="7" t="s">
        <v>21</v>
      </c>
      <c r="E957" s="7" t="s">
        <v>22</v>
      </c>
      <c r="F957" s="7" t="s">
        <v>23</v>
      </c>
      <c r="G957" s="7" t="s">
        <v>24</v>
      </c>
      <c r="H957" s="7" t="s">
        <v>25</v>
      </c>
      <c r="I957" s="7" t="s">
        <v>35</v>
      </c>
      <c r="J957" s="7">
        <v>226</v>
      </c>
      <c r="K957" s="7">
        <v>323.18</v>
      </c>
    </row>
    <row r="958" spans="1:11" ht="18" customHeight="1" x14ac:dyDescent="0.25">
      <c r="A958" s="7" t="s">
        <v>42</v>
      </c>
      <c r="B958" s="7">
        <v>2021</v>
      </c>
      <c r="C958" s="7" t="s">
        <v>62</v>
      </c>
      <c r="D958" s="7" t="s">
        <v>21</v>
      </c>
      <c r="E958" s="7" t="s">
        <v>22</v>
      </c>
      <c r="F958" s="7" t="s">
        <v>23</v>
      </c>
      <c r="G958" s="7" t="s">
        <v>24</v>
      </c>
      <c r="H958" s="7" t="s">
        <v>25</v>
      </c>
      <c r="I958" s="7" t="s">
        <v>35</v>
      </c>
      <c r="J958" s="7">
        <v>148</v>
      </c>
      <c r="K958" s="7">
        <v>211.64</v>
      </c>
    </row>
    <row r="959" spans="1:11" ht="18" customHeight="1" x14ac:dyDescent="0.25">
      <c r="A959" s="7" t="s">
        <v>34</v>
      </c>
      <c r="B959" s="7">
        <v>2021</v>
      </c>
      <c r="C959" s="7" t="s">
        <v>62</v>
      </c>
      <c r="D959" s="7" t="s">
        <v>21</v>
      </c>
      <c r="E959" s="7" t="s">
        <v>22</v>
      </c>
      <c r="F959" s="7" t="s">
        <v>23</v>
      </c>
      <c r="G959" s="7" t="s">
        <v>24</v>
      </c>
      <c r="H959" s="7" t="s">
        <v>25</v>
      </c>
      <c r="I959" s="7" t="s">
        <v>26</v>
      </c>
      <c r="J959" s="7">
        <v>174</v>
      </c>
      <c r="K959" s="7">
        <v>526.24</v>
      </c>
    </row>
    <row r="960" spans="1:11" ht="18" customHeight="1" x14ac:dyDescent="0.25">
      <c r="A960" s="7" t="s">
        <v>34</v>
      </c>
      <c r="B960" s="7">
        <v>2021</v>
      </c>
      <c r="C960" s="7" t="s">
        <v>62</v>
      </c>
      <c r="D960" s="7" t="s">
        <v>21</v>
      </c>
      <c r="E960" s="7" t="s">
        <v>22</v>
      </c>
      <c r="F960" s="7" t="s">
        <v>23</v>
      </c>
      <c r="G960" s="7" t="s">
        <v>24</v>
      </c>
      <c r="H960" s="7" t="s">
        <v>25</v>
      </c>
      <c r="I960" s="7" t="s">
        <v>26</v>
      </c>
      <c r="J960" s="7">
        <v>168</v>
      </c>
      <c r="K960" s="7">
        <v>526.24</v>
      </c>
    </row>
    <row r="961" spans="1:11" ht="18" customHeight="1" x14ac:dyDescent="0.25">
      <c r="A961" s="7" t="s">
        <v>34</v>
      </c>
      <c r="B961" s="7">
        <v>2021</v>
      </c>
      <c r="C961" s="7" t="s">
        <v>62</v>
      </c>
      <c r="D961" s="7" t="s">
        <v>21</v>
      </c>
      <c r="E961" s="7" t="s">
        <v>22</v>
      </c>
      <c r="F961" s="7" t="s">
        <v>23</v>
      </c>
      <c r="G961" s="7" t="s">
        <v>24</v>
      </c>
      <c r="H961" s="7" t="s">
        <v>25</v>
      </c>
      <c r="I961" s="7" t="s">
        <v>35</v>
      </c>
      <c r="J961" s="7">
        <v>720</v>
      </c>
      <c r="K961" s="7">
        <v>1029.5999999999999</v>
      </c>
    </row>
    <row r="962" spans="1:11" ht="18" customHeight="1" x14ac:dyDescent="0.25">
      <c r="A962" s="7" t="s">
        <v>34</v>
      </c>
      <c r="B962" s="7">
        <v>2021</v>
      </c>
      <c r="C962" s="7" t="s">
        <v>62</v>
      </c>
      <c r="D962" s="7" t="s">
        <v>21</v>
      </c>
      <c r="E962" s="7" t="s">
        <v>22</v>
      </c>
      <c r="F962" s="7" t="s">
        <v>23</v>
      </c>
      <c r="G962" s="7" t="s">
        <v>24</v>
      </c>
      <c r="H962" s="7" t="s">
        <v>25</v>
      </c>
      <c r="I962" s="7" t="s">
        <v>35</v>
      </c>
      <c r="J962" s="7">
        <v>773</v>
      </c>
      <c r="K962" s="7">
        <v>1105.3899999999999</v>
      </c>
    </row>
    <row r="963" spans="1:11" ht="18" customHeight="1" x14ac:dyDescent="0.25">
      <c r="A963" s="7" t="s">
        <v>19</v>
      </c>
      <c r="B963" s="7">
        <v>2021</v>
      </c>
      <c r="C963" s="7" t="s">
        <v>62</v>
      </c>
      <c r="D963" s="7" t="s">
        <v>21</v>
      </c>
      <c r="E963" s="7" t="s">
        <v>22</v>
      </c>
      <c r="F963" s="7" t="s">
        <v>23</v>
      </c>
      <c r="G963" s="7" t="s">
        <v>24</v>
      </c>
      <c r="H963" s="7" t="s">
        <v>25</v>
      </c>
      <c r="I963" s="7" t="s">
        <v>26</v>
      </c>
      <c r="J963" s="7">
        <v>177</v>
      </c>
      <c r="K963" s="7">
        <v>253.11</v>
      </c>
    </row>
    <row r="964" spans="1:11" ht="18" customHeight="1" x14ac:dyDescent="0.25">
      <c r="A964" s="7" t="s">
        <v>19</v>
      </c>
      <c r="B964" s="7">
        <v>2021</v>
      </c>
      <c r="C964" s="7" t="s">
        <v>62</v>
      </c>
      <c r="D964" s="7" t="s">
        <v>21</v>
      </c>
      <c r="E964" s="7" t="s">
        <v>22</v>
      </c>
      <c r="F964" s="7" t="s">
        <v>23</v>
      </c>
      <c r="G964" s="7" t="s">
        <v>24</v>
      </c>
      <c r="H964" s="7" t="s">
        <v>25</v>
      </c>
      <c r="I964" s="7" t="s">
        <v>26</v>
      </c>
      <c r="J964" s="7">
        <v>171</v>
      </c>
      <c r="K964" s="7">
        <v>244.53</v>
      </c>
    </row>
    <row r="965" spans="1:11" ht="18" customHeight="1" x14ac:dyDescent="0.25">
      <c r="A965" s="7" t="s">
        <v>34</v>
      </c>
      <c r="B965" s="7">
        <v>2021</v>
      </c>
      <c r="C965" s="7" t="s">
        <v>62</v>
      </c>
      <c r="D965" s="7" t="s">
        <v>21</v>
      </c>
      <c r="E965" s="7" t="s">
        <v>22</v>
      </c>
      <c r="F965" s="7" t="s">
        <v>23</v>
      </c>
      <c r="G965" s="7" t="s">
        <v>24</v>
      </c>
      <c r="H965" s="7" t="s">
        <v>25</v>
      </c>
      <c r="I965" s="7" t="s">
        <v>26</v>
      </c>
      <c r="J965" s="7">
        <v>165</v>
      </c>
      <c r="K965" s="7">
        <v>235.95</v>
      </c>
    </row>
    <row r="966" spans="1:11" ht="18" customHeight="1" x14ac:dyDescent="0.25">
      <c r="A966" s="7" t="s">
        <v>34</v>
      </c>
      <c r="B966" s="7">
        <v>2021</v>
      </c>
      <c r="C966" s="7" t="s">
        <v>62</v>
      </c>
      <c r="D966" s="7" t="s">
        <v>21</v>
      </c>
      <c r="E966" s="7" t="s">
        <v>22</v>
      </c>
      <c r="F966" s="7" t="s">
        <v>23</v>
      </c>
      <c r="G966" s="7" t="s">
        <v>24</v>
      </c>
      <c r="H966" s="7" t="s">
        <v>25</v>
      </c>
      <c r="I966" s="7" t="s">
        <v>35</v>
      </c>
      <c r="J966" s="7">
        <v>177</v>
      </c>
      <c r="K966" s="7">
        <v>253.11</v>
      </c>
    </row>
    <row r="967" spans="1:11" ht="18" customHeight="1" x14ac:dyDescent="0.25">
      <c r="A967" s="7" t="s">
        <v>34</v>
      </c>
      <c r="B967" s="7">
        <v>2021</v>
      </c>
      <c r="C967" s="7" t="s">
        <v>62</v>
      </c>
      <c r="D967" s="7" t="s">
        <v>21</v>
      </c>
      <c r="E967" s="7" t="s">
        <v>22</v>
      </c>
      <c r="F967" s="7" t="s">
        <v>23</v>
      </c>
      <c r="G967" s="7" t="s">
        <v>24</v>
      </c>
      <c r="H967" s="7" t="s">
        <v>25</v>
      </c>
      <c r="I967" s="7" t="s">
        <v>35</v>
      </c>
      <c r="J967" s="7">
        <v>759</v>
      </c>
      <c r="K967" s="7">
        <v>526.24</v>
      </c>
    </row>
    <row r="968" spans="1:11" ht="18" customHeight="1" x14ac:dyDescent="0.25">
      <c r="A968" s="7" t="s">
        <v>42</v>
      </c>
      <c r="B968" s="7">
        <v>2021</v>
      </c>
      <c r="C968" s="7" t="s">
        <v>62</v>
      </c>
      <c r="D968" s="7" t="s">
        <v>21</v>
      </c>
      <c r="E968" s="7" t="s">
        <v>22</v>
      </c>
      <c r="F968" s="7" t="s">
        <v>23</v>
      </c>
      <c r="G968" s="7" t="s">
        <v>24</v>
      </c>
      <c r="H968" s="7" t="s">
        <v>25</v>
      </c>
      <c r="I968" s="7" t="s">
        <v>35</v>
      </c>
      <c r="J968" s="7">
        <v>175</v>
      </c>
      <c r="K968" s="7">
        <v>250.25</v>
      </c>
    </row>
    <row r="969" spans="1:11" ht="18" customHeight="1" x14ac:dyDescent="0.25">
      <c r="A969" s="7" t="s">
        <v>34</v>
      </c>
      <c r="B969" s="7">
        <v>2021</v>
      </c>
      <c r="C969" s="7" t="s">
        <v>62</v>
      </c>
      <c r="D969" s="7" t="s">
        <v>21</v>
      </c>
      <c r="E969" s="7" t="s">
        <v>22</v>
      </c>
      <c r="F969" s="7" t="s">
        <v>23</v>
      </c>
      <c r="G969" s="7" t="s">
        <v>24</v>
      </c>
      <c r="H969" s="7" t="s">
        <v>25</v>
      </c>
      <c r="I969" s="7" t="s">
        <v>35</v>
      </c>
      <c r="J969" s="7">
        <v>223</v>
      </c>
      <c r="K969" s="7">
        <v>318.89</v>
      </c>
    </row>
    <row r="970" spans="1:11" ht="18" customHeight="1" x14ac:dyDescent="0.25">
      <c r="A970" s="7" t="s">
        <v>34</v>
      </c>
      <c r="B970" s="7">
        <v>2021</v>
      </c>
      <c r="C970" s="7" t="s">
        <v>62</v>
      </c>
      <c r="D970" s="7" t="s">
        <v>21</v>
      </c>
      <c r="E970" s="7" t="s">
        <v>22</v>
      </c>
      <c r="F970" s="7" t="s">
        <v>23</v>
      </c>
      <c r="G970" s="7" t="s">
        <v>24</v>
      </c>
      <c r="H970" s="7" t="s">
        <v>25</v>
      </c>
      <c r="I970" s="7" t="s">
        <v>35</v>
      </c>
      <c r="J970" s="7">
        <v>151</v>
      </c>
      <c r="K970" s="7">
        <v>215.93</v>
      </c>
    </row>
    <row r="971" spans="1:11" ht="18" customHeight="1" x14ac:dyDescent="0.25">
      <c r="A971" s="7" t="s">
        <v>42</v>
      </c>
      <c r="B971" s="7">
        <v>2021</v>
      </c>
      <c r="C971" s="7" t="s">
        <v>62</v>
      </c>
      <c r="D971" s="7" t="s">
        <v>21</v>
      </c>
      <c r="E971" s="7" t="s">
        <v>22</v>
      </c>
      <c r="F971" s="7" t="s">
        <v>23</v>
      </c>
      <c r="G971" s="7" t="s">
        <v>24</v>
      </c>
      <c r="H971" s="7" t="s">
        <v>25</v>
      </c>
      <c r="I971" s="7" t="s">
        <v>26</v>
      </c>
      <c r="J971" s="7">
        <v>173</v>
      </c>
      <c r="K971" s="7">
        <v>247.39</v>
      </c>
    </row>
    <row r="972" spans="1:11" ht="18" customHeight="1" x14ac:dyDescent="0.25">
      <c r="A972" s="7" t="s">
        <v>34</v>
      </c>
      <c r="B972" s="7">
        <v>2021</v>
      </c>
      <c r="C972" s="7" t="s">
        <v>62</v>
      </c>
      <c r="D972" s="7" t="s">
        <v>21</v>
      </c>
      <c r="E972" s="7" t="s">
        <v>22</v>
      </c>
      <c r="F972" s="7" t="s">
        <v>23</v>
      </c>
      <c r="G972" s="7" t="s">
        <v>24</v>
      </c>
      <c r="H972" s="7" t="s">
        <v>25</v>
      </c>
      <c r="I972" s="7" t="s">
        <v>26</v>
      </c>
      <c r="J972" s="7">
        <v>167</v>
      </c>
      <c r="K972" s="7">
        <v>238.81</v>
      </c>
    </row>
    <row r="973" spans="1:11" ht="18" customHeight="1" x14ac:dyDescent="0.25">
      <c r="A973" s="7" t="s">
        <v>19</v>
      </c>
      <c r="B973" s="7">
        <v>2021</v>
      </c>
      <c r="C973" s="7" t="s">
        <v>62</v>
      </c>
      <c r="D973" s="7" t="s">
        <v>21</v>
      </c>
      <c r="E973" s="7" t="s">
        <v>22</v>
      </c>
      <c r="F973" s="7" t="s">
        <v>23</v>
      </c>
      <c r="G973" s="7" t="s">
        <v>24</v>
      </c>
      <c r="H973" s="7" t="s">
        <v>25</v>
      </c>
      <c r="I973" s="7" t="s">
        <v>35</v>
      </c>
      <c r="J973" s="7">
        <v>179</v>
      </c>
      <c r="K973" s="7">
        <v>255.97</v>
      </c>
    </row>
    <row r="974" spans="1:11" ht="18" customHeight="1" x14ac:dyDescent="0.25">
      <c r="A974" s="7" t="s">
        <v>19</v>
      </c>
      <c r="B974" s="7">
        <v>2021</v>
      </c>
      <c r="C974" s="7" t="s">
        <v>62</v>
      </c>
      <c r="D974" s="7" t="s">
        <v>21</v>
      </c>
      <c r="E974" s="7" t="s">
        <v>22</v>
      </c>
      <c r="F974" s="7" t="s">
        <v>23</v>
      </c>
      <c r="G974" s="7" t="s">
        <v>24</v>
      </c>
      <c r="H974" s="7" t="s">
        <v>25</v>
      </c>
      <c r="I974" s="7" t="s">
        <v>35</v>
      </c>
      <c r="J974" s="7">
        <v>782</v>
      </c>
      <c r="K974" s="7">
        <v>1118.26</v>
      </c>
    </row>
    <row r="975" spans="1:11" ht="18" customHeight="1" x14ac:dyDescent="0.25">
      <c r="A975" s="7" t="s">
        <v>42</v>
      </c>
      <c r="B975" s="7">
        <v>2021</v>
      </c>
      <c r="C975" s="7" t="s">
        <v>66</v>
      </c>
      <c r="D975" s="7" t="s">
        <v>21</v>
      </c>
      <c r="E975" s="7" t="s">
        <v>22</v>
      </c>
      <c r="F975" s="7" t="s">
        <v>23</v>
      </c>
      <c r="G975" s="7" t="s">
        <v>24</v>
      </c>
      <c r="H975" s="7" t="s">
        <v>25</v>
      </c>
      <c r="I975" s="7" t="s">
        <v>26</v>
      </c>
      <c r="J975" s="7">
        <v>146</v>
      </c>
      <c r="K975" s="7">
        <v>526.24</v>
      </c>
    </row>
    <row r="976" spans="1:11" ht="18" customHeight="1" x14ac:dyDescent="0.25">
      <c r="A976" s="7" t="s">
        <v>19</v>
      </c>
      <c r="B976" s="7">
        <v>2021</v>
      </c>
      <c r="C976" s="7" t="s">
        <v>66</v>
      </c>
      <c r="D976" s="7" t="s">
        <v>21</v>
      </c>
      <c r="E976" s="7" t="s">
        <v>22</v>
      </c>
      <c r="F976" s="7" t="s">
        <v>23</v>
      </c>
      <c r="G976" s="7" t="s">
        <v>24</v>
      </c>
      <c r="H976" s="7" t="s">
        <v>25</v>
      </c>
      <c r="I976" s="7" t="s">
        <v>26</v>
      </c>
      <c r="J976" s="7">
        <v>140</v>
      </c>
      <c r="K976" s="7">
        <v>526.24</v>
      </c>
    </row>
    <row r="977" spans="1:11" ht="18" customHeight="1" x14ac:dyDescent="0.25">
      <c r="A977" s="7" t="s">
        <v>19</v>
      </c>
      <c r="B977" s="7">
        <v>2021</v>
      </c>
      <c r="C977" s="7" t="s">
        <v>66</v>
      </c>
      <c r="D977" s="7" t="s">
        <v>21</v>
      </c>
      <c r="E977" s="7" t="s">
        <v>22</v>
      </c>
      <c r="F977" s="7" t="s">
        <v>23</v>
      </c>
      <c r="G977" s="7" t="s">
        <v>24</v>
      </c>
      <c r="H977" s="7" t="s">
        <v>25</v>
      </c>
      <c r="I977" s="7" t="s">
        <v>26</v>
      </c>
      <c r="J977" s="7">
        <v>134</v>
      </c>
      <c r="K977" s="7">
        <v>526.24</v>
      </c>
    </row>
    <row r="978" spans="1:11" ht="18" customHeight="1" x14ac:dyDescent="0.25">
      <c r="A978" s="7" t="s">
        <v>19</v>
      </c>
      <c r="B978" s="7">
        <v>2021</v>
      </c>
      <c r="C978" s="7" t="s">
        <v>66</v>
      </c>
      <c r="D978" s="7" t="s">
        <v>21</v>
      </c>
      <c r="E978" s="7" t="s">
        <v>22</v>
      </c>
      <c r="F978" s="7" t="s">
        <v>23</v>
      </c>
      <c r="G978" s="7" t="s">
        <v>24</v>
      </c>
      <c r="H978" s="7" t="s">
        <v>25</v>
      </c>
      <c r="I978" s="7" t="s">
        <v>35</v>
      </c>
      <c r="J978" s="7">
        <v>164</v>
      </c>
      <c r="K978" s="7">
        <v>234.51999999999998</v>
      </c>
    </row>
    <row r="979" spans="1:11" ht="18" customHeight="1" x14ac:dyDescent="0.25">
      <c r="A979" s="7" t="s">
        <v>53</v>
      </c>
      <c r="B979" s="7">
        <v>2021</v>
      </c>
      <c r="C979" s="7" t="s">
        <v>66</v>
      </c>
      <c r="D979" s="7" t="s">
        <v>21</v>
      </c>
      <c r="E979" s="7" t="s">
        <v>22</v>
      </c>
      <c r="F979" s="7" t="s">
        <v>23</v>
      </c>
      <c r="G979" s="7" t="s">
        <v>24</v>
      </c>
      <c r="H979" s="7" t="s">
        <v>25</v>
      </c>
      <c r="I979" s="7" t="s">
        <v>35</v>
      </c>
      <c r="J979" s="7">
        <v>212</v>
      </c>
      <c r="K979" s="7">
        <v>303.15999999999997</v>
      </c>
    </row>
    <row r="980" spans="1:11" ht="18" customHeight="1" x14ac:dyDescent="0.25">
      <c r="A980" s="7" t="s">
        <v>34</v>
      </c>
      <c r="B980" s="7">
        <v>2021</v>
      </c>
      <c r="C980" s="7" t="s">
        <v>66</v>
      </c>
      <c r="D980" s="7" t="s">
        <v>21</v>
      </c>
      <c r="E980" s="7" t="s">
        <v>22</v>
      </c>
      <c r="F980" s="7" t="s">
        <v>23</v>
      </c>
      <c r="G980" s="7" t="s">
        <v>24</v>
      </c>
      <c r="H980" s="7" t="s">
        <v>25</v>
      </c>
      <c r="I980" s="7" t="s">
        <v>35</v>
      </c>
      <c r="J980" s="7">
        <v>140</v>
      </c>
      <c r="K980" s="7">
        <v>200.2</v>
      </c>
    </row>
    <row r="981" spans="1:11" ht="18" customHeight="1" x14ac:dyDescent="0.25">
      <c r="A981" s="7" t="s">
        <v>34</v>
      </c>
      <c r="B981" s="7">
        <v>2021</v>
      </c>
      <c r="C981" s="7" t="s">
        <v>66</v>
      </c>
      <c r="D981" s="7" t="s">
        <v>21</v>
      </c>
      <c r="E981" s="7" t="s">
        <v>22</v>
      </c>
      <c r="F981" s="7" t="s">
        <v>23</v>
      </c>
      <c r="G981" s="7" t="s">
        <v>24</v>
      </c>
      <c r="H981" s="7" t="s">
        <v>25</v>
      </c>
      <c r="I981" s="7" t="s">
        <v>35</v>
      </c>
      <c r="J981" s="7">
        <v>166</v>
      </c>
      <c r="K981" s="7">
        <v>237.38</v>
      </c>
    </row>
    <row r="982" spans="1:11" ht="18" customHeight="1" x14ac:dyDescent="0.25">
      <c r="A982" s="7" t="s">
        <v>34</v>
      </c>
      <c r="B982" s="7">
        <v>2021</v>
      </c>
      <c r="C982" s="7" t="s">
        <v>66</v>
      </c>
      <c r="D982" s="7" t="s">
        <v>21</v>
      </c>
      <c r="E982" s="7" t="s">
        <v>22</v>
      </c>
      <c r="F982" s="7" t="s">
        <v>23</v>
      </c>
      <c r="G982" s="7" t="s">
        <v>24</v>
      </c>
      <c r="H982" s="7" t="s">
        <v>25</v>
      </c>
      <c r="I982" s="7" t="s">
        <v>35</v>
      </c>
      <c r="J982" s="7">
        <v>214</v>
      </c>
      <c r="K982" s="7">
        <v>306.02</v>
      </c>
    </row>
    <row r="983" spans="1:11" ht="18" customHeight="1" x14ac:dyDescent="0.25">
      <c r="A983" s="7" t="s">
        <v>53</v>
      </c>
      <c r="B983" s="7">
        <v>2021</v>
      </c>
      <c r="C983" s="7" t="s">
        <v>66</v>
      </c>
      <c r="D983" s="7" t="s">
        <v>21</v>
      </c>
      <c r="E983" s="7" t="s">
        <v>22</v>
      </c>
      <c r="F983" s="7" t="s">
        <v>23</v>
      </c>
      <c r="G983" s="7" t="s">
        <v>24</v>
      </c>
      <c r="H983" s="7" t="s">
        <v>25</v>
      </c>
      <c r="I983" s="7" t="s">
        <v>35</v>
      </c>
      <c r="J983" s="7">
        <v>142</v>
      </c>
      <c r="K983" s="7">
        <v>203.06</v>
      </c>
    </row>
    <row r="984" spans="1:11" ht="18" customHeight="1" x14ac:dyDescent="0.25">
      <c r="A984" s="7" t="s">
        <v>34</v>
      </c>
      <c r="B984" s="7">
        <v>2021</v>
      </c>
      <c r="C984" s="7" t="s">
        <v>66</v>
      </c>
      <c r="D984" s="7" t="s">
        <v>21</v>
      </c>
      <c r="E984" s="7" t="s">
        <v>22</v>
      </c>
      <c r="F984" s="7" t="s">
        <v>23</v>
      </c>
      <c r="G984" s="7" t="s">
        <v>24</v>
      </c>
      <c r="H984" s="7" t="s">
        <v>25</v>
      </c>
      <c r="I984" s="7" t="s">
        <v>35</v>
      </c>
      <c r="J984" s="7">
        <v>144</v>
      </c>
      <c r="K984" s="7">
        <v>526.24</v>
      </c>
    </row>
    <row r="985" spans="1:11" ht="18" customHeight="1" x14ac:dyDescent="0.25">
      <c r="A985" s="7" t="s">
        <v>34</v>
      </c>
      <c r="B985" s="7">
        <v>2021</v>
      </c>
      <c r="C985" s="7" t="s">
        <v>66</v>
      </c>
      <c r="D985" s="7" t="s">
        <v>21</v>
      </c>
      <c r="E985" s="7" t="s">
        <v>22</v>
      </c>
      <c r="F985" s="7" t="s">
        <v>23</v>
      </c>
      <c r="G985" s="7" t="s">
        <v>24</v>
      </c>
      <c r="H985" s="7" t="s">
        <v>25</v>
      </c>
      <c r="I985" s="7" t="s">
        <v>35</v>
      </c>
      <c r="J985" s="7">
        <v>138</v>
      </c>
      <c r="K985" s="7">
        <v>526.24</v>
      </c>
    </row>
    <row r="986" spans="1:11" ht="18" customHeight="1" x14ac:dyDescent="0.25">
      <c r="A986" s="7" t="s">
        <v>61</v>
      </c>
      <c r="B986" s="7">
        <v>2021</v>
      </c>
      <c r="C986" s="7" t="s">
        <v>66</v>
      </c>
      <c r="D986" s="7" t="s">
        <v>21</v>
      </c>
      <c r="E986" s="7" t="s">
        <v>22</v>
      </c>
      <c r="F986" s="7" t="s">
        <v>23</v>
      </c>
      <c r="G986" s="7" t="s">
        <v>24</v>
      </c>
      <c r="H986" s="7" t="s">
        <v>25</v>
      </c>
      <c r="I986" s="7" t="s">
        <v>35</v>
      </c>
      <c r="J986" s="7">
        <v>132</v>
      </c>
      <c r="K986" s="7">
        <v>526.24</v>
      </c>
    </row>
    <row r="987" spans="1:11" ht="18" customHeight="1" x14ac:dyDescent="0.25">
      <c r="A987" s="7" t="s">
        <v>19</v>
      </c>
      <c r="B987" s="7">
        <v>2021</v>
      </c>
      <c r="C987" s="7" t="s">
        <v>66</v>
      </c>
      <c r="D987" s="7" t="s">
        <v>21</v>
      </c>
      <c r="E987" s="7" t="s">
        <v>22</v>
      </c>
      <c r="F987" s="7" t="s">
        <v>23</v>
      </c>
      <c r="G987" s="7" t="s">
        <v>24</v>
      </c>
      <c r="H987" s="7" t="s">
        <v>25</v>
      </c>
      <c r="I987" s="7" t="s">
        <v>35</v>
      </c>
      <c r="J987" s="7">
        <v>688</v>
      </c>
      <c r="K987" s="7">
        <v>983.83999999999992</v>
      </c>
    </row>
    <row r="988" spans="1:11" ht="18" customHeight="1" x14ac:dyDescent="0.25">
      <c r="A988" s="7" t="s">
        <v>42</v>
      </c>
      <c r="B988" s="7">
        <v>2021</v>
      </c>
      <c r="C988" s="7" t="s">
        <v>66</v>
      </c>
      <c r="D988" s="7" t="s">
        <v>21</v>
      </c>
      <c r="E988" s="7" t="s">
        <v>22</v>
      </c>
      <c r="F988" s="7" t="s">
        <v>23</v>
      </c>
      <c r="G988" s="7" t="s">
        <v>24</v>
      </c>
      <c r="H988" s="7" t="s">
        <v>25</v>
      </c>
      <c r="I988" s="7" t="s">
        <v>35</v>
      </c>
      <c r="J988" s="7">
        <v>775</v>
      </c>
      <c r="K988" s="7">
        <v>1108.25</v>
      </c>
    </row>
    <row r="989" spans="1:11" ht="18" customHeight="1" x14ac:dyDescent="0.25">
      <c r="A989" s="7" t="s">
        <v>34</v>
      </c>
      <c r="B989" s="7">
        <v>2021</v>
      </c>
      <c r="C989" s="7" t="s">
        <v>66</v>
      </c>
      <c r="D989" s="7" t="s">
        <v>21</v>
      </c>
      <c r="E989" s="7" t="s">
        <v>22</v>
      </c>
      <c r="F989" s="7" t="s">
        <v>23</v>
      </c>
      <c r="G989" s="7" t="s">
        <v>24</v>
      </c>
      <c r="H989" s="7" t="s">
        <v>25</v>
      </c>
      <c r="I989" s="7" t="s">
        <v>35</v>
      </c>
      <c r="J989" s="7">
        <v>141</v>
      </c>
      <c r="K989" s="7">
        <v>201.63</v>
      </c>
    </row>
    <row r="990" spans="1:11" ht="18" customHeight="1" x14ac:dyDescent="0.25">
      <c r="A990" s="7" t="s">
        <v>53</v>
      </c>
      <c r="B990" s="7">
        <v>2021</v>
      </c>
      <c r="C990" s="7" t="s">
        <v>66</v>
      </c>
      <c r="D990" s="7" t="s">
        <v>21</v>
      </c>
      <c r="E990" s="7" t="s">
        <v>22</v>
      </c>
      <c r="F990" s="7" t="s">
        <v>23</v>
      </c>
      <c r="G990" s="7" t="s">
        <v>24</v>
      </c>
      <c r="H990" s="7" t="s">
        <v>25</v>
      </c>
      <c r="I990" s="7" t="s">
        <v>35</v>
      </c>
      <c r="J990" s="7">
        <v>135</v>
      </c>
      <c r="K990" s="7">
        <v>193.05</v>
      </c>
    </row>
    <row r="991" spans="1:11" ht="18" customHeight="1" x14ac:dyDescent="0.25">
      <c r="A991" s="7" t="s">
        <v>42</v>
      </c>
      <c r="B991" s="7">
        <v>2021</v>
      </c>
      <c r="C991" s="7" t="s">
        <v>66</v>
      </c>
      <c r="D991" s="7" t="s">
        <v>21</v>
      </c>
      <c r="E991" s="7" t="s">
        <v>22</v>
      </c>
      <c r="F991" s="7" t="s">
        <v>23</v>
      </c>
      <c r="G991" s="7" t="s">
        <v>24</v>
      </c>
      <c r="H991" s="7" t="s">
        <v>25</v>
      </c>
      <c r="I991" s="7" t="s">
        <v>35</v>
      </c>
      <c r="J991" s="7">
        <v>165</v>
      </c>
      <c r="K991" s="7">
        <v>235.95</v>
      </c>
    </row>
    <row r="992" spans="1:11" ht="18" customHeight="1" x14ac:dyDescent="0.25">
      <c r="A992" s="7" t="s">
        <v>34</v>
      </c>
      <c r="B992" s="7">
        <v>2021</v>
      </c>
      <c r="C992" s="7" t="s">
        <v>66</v>
      </c>
      <c r="D992" s="7" t="s">
        <v>21</v>
      </c>
      <c r="E992" s="7" t="s">
        <v>22</v>
      </c>
      <c r="F992" s="7" t="s">
        <v>23</v>
      </c>
      <c r="G992" s="7" t="s">
        <v>24</v>
      </c>
      <c r="H992" s="7" t="s">
        <v>25</v>
      </c>
      <c r="I992" s="7" t="s">
        <v>35</v>
      </c>
      <c r="J992" s="7">
        <v>761</v>
      </c>
      <c r="K992" s="7">
        <v>526.24</v>
      </c>
    </row>
    <row r="993" spans="1:11" ht="18" customHeight="1" x14ac:dyDescent="0.25">
      <c r="A993" s="7" t="s">
        <v>19</v>
      </c>
      <c r="B993" s="7">
        <v>2021</v>
      </c>
      <c r="C993" s="7" t="s">
        <v>66</v>
      </c>
      <c r="D993" s="7" t="s">
        <v>21</v>
      </c>
      <c r="E993" s="7" t="s">
        <v>22</v>
      </c>
      <c r="F993" s="7" t="s">
        <v>23</v>
      </c>
      <c r="G993" s="7" t="s">
        <v>24</v>
      </c>
      <c r="H993" s="7" t="s">
        <v>25</v>
      </c>
      <c r="I993" s="7" t="s">
        <v>35</v>
      </c>
      <c r="J993" s="7">
        <v>814</v>
      </c>
      <c r="K993" s="7">
        <v>526.24</v>
      </c>
    </row>
    <row r="994" spans="1:11" ht="18" customHeight="1" x14ac:dyDescent="0.25">
      <c r="A994" s="7" t="s">
        <v>53</v>
      </c>
      <c r="B994" s="7">
        <v>2021</v>
      </c>
      <c r="C994" s="7" t="s">
        <v>66</v>
      </c>
      <c r="D994" s="7" t="s">
        <v>21</v>
      </c>
      <c r="E994" s="7" t="s">
        <v>22</v>
      </c>
      <c r="F994" s="7" t="s">
        <v>23</v>
      </c>
      <c r="G994" s="7" t="s">
        <v>24</v>
      </c>
      <c r="H994" s="7" t="s">
        <v>25</v>
      </c>
      <c r="I994" s="7" t="s">
        <v>35</v>
      </c>
      <c r="J994" s="7">
        <v>169</v>
      </c>
      <c r="K994" s="7">
        <v>241.67000000000002</v>
      </c>
    </row>
    <row r="995" spans="1:11" ht="18" customHeight="1" x14ac:dyDescent="0.25">
      <c r="A995" s="7" t="s">
        <v>61</v>
      </c>
      <c r="B995" s="7">
        <v>2021</v>
      </c>
      <c r="C995" s="7" t="s">
        <v>66</v>
      </c>
      <c r="D995" s="7" t="s">
        <v>21</v>
      </c>
      <c r="E995" s="7" t="s">
        <v>22</v>
      </c>
      <c r="F995" s="7" t="s">
        <v>23</v>
      </c>
      <c r="G995" s="7" t="s">
        <v>24</v>
      </c>
      <c r="H995" s="7" t="s">
        <v>25</v>
      </c>
      <c r="I995" s="7" t="s">
        <v>35</v>
      </c>
      <c r="J995" s="7">
        <v>211</v>
      </c>
      <c r="K995" s="7">
        <v>301.73</v>
      </c>
    </row>
    <row r="996" spans="1:11" ht="18" customHeight="1" x14ac:dyDescent="0.25">
      <c r="A996" s="7" t="s">
        <v>34</v>
      </c>
      <c r="B996" s="7">
        <v>2021</v>
      </c>
      <c r="C996" s="7" t="s">
        <v>66</v>
      </c>
      <c r="D996" s="7" t="s">
        <v>21</v>
      </c>
      <c r="E996" s="7" t="s">
        <v>22</v>
      </c>
      <c r="F996" s="7" t="s">
        <v>23</v>
      </c>
      <c r="G996" s="7" t="s">
        <v>24</v>
      </c>
      <c r="H996" s="7" t="s">
        <v>25</v>
      </c>
      <c r="I996" s="7" t="s">
        <v>35</v>
      </c>
      <c r="J996" s="7">
        <v>139</v>
      </c>
      <c r="K996" s="7">
        <v>198.76999999999998</v>
      </c>
    </row>
    <row r="997" spans="1:11" ht="18" customHeight="1" x14ac:dyDescent="0.25">
      <c r="A997" s="7" t="s">
        <v>19</v>
      </c>
      <c r="B997" s="7">
        <v>2021</v>
      </c>
      <c r="C997" s="7" t="s">
        <v>66</v>
      </c>
      <c r="D997" s="7" t="s">
        <v>21</v>
      </c>
      <c r="E997" s="7" t="s">
        <v>22</v>
      </c>
      <c r="F997" s="7" t="s">
        <v>23</v>
      </c>
      <c r="G997" s="7" t="s">
        <v>24</v>
      </c>
      <c r="H997" s="7" t="s">
        <v>25</v>
      </c>
      <c r="I997" s="7" t="s">
        <v>26</v>
      </c>
      <c r="J997" s="7">
        <v>143</v>
      </c>
      <c r="K997" s="7">
        <v>204.49</v>
      </c>
    </row>
    <row r="998" spans="1:11" ht="18" customHeight="1" x14ac:dyDescent="0.25">
      <c r="A998" s="7" t="s">
        <v>34</v>
      </c>
      <c r="B998" s="7">
        <v>2021</v>
      </c>
      <c r="C998" s="7" t="s">
        <v>66</v>
      </c>
      <c r="D998" s="7" t="s">
        <v>21</v>
      </c>
      <c r="E998" s="7" t="s">
        <v>22</v>
      </c>
      <c r="F998" s="7" t="s">
        <v>23</v>
      </c>
      <c r="G998" s="7" t="s">
        <v>24</v>
      </c>
      <c r="H998" s="7" t="s">
        <v>25</v>
      </c>
      <c r="I998" s="7" t="s">
        <v>26</v>
      </c>
      <c r="J998" s="7">
        <v>137</v>
      </c>
      <c r="K998" s="7">
        <v>195.91</v>
      </c>
    </row>
    <row r="999" spans="1:11" ht="18" customHeight="1" x14ac:dyDescent="0.25">
      <c r="A999" s="7" t="s">
        <v>53</v>
      </c>
      <c r="B999" s="7">
        <v>2021</v>
      </c>
      <c r="C999" s="7" t="s">
        <v>66</v>
      </c>
      <c r="D999" s="7" t="s">
        <v>21</v>
      </c>
      <c r="E999" s="7" t="s">
        <v>22</v>
      </c>
      <c r="F999" s="7" t="s">
        <v>23</v>
      </c>
      <c r="G999" s="7" t="s">
        <v>24</v>
      </c>
      <c r="H999" s="7" t="s">
        <v>25</v>
      </c>
      <c r="I999" s="7" t="s">
        <v>26</v>
      </c>
      <c r="J999" s="7">
        <v>131</v>
      </c>
      <c r="K999" s="7">
        <v>187.32999999999998</v>
      </c>
    </row>
    <row r="1000" spans="1:11" ht="18" customHeight="1" x14ac:dyDescent="0.25">
      <c r="A1000" s="7" t="s">
        <v>34</v>
      </c>
      <c r="B1000" s="7">
        <v>2021</v>
      </c>
      <c r="C1000" s="7" t="s">
        <v>66</v>
      </c>
      <c r="D1000" s="7" t="s">
        <v>21</v>
      </c>
      <c r="E1000" s="7" t="s">
        <v>22</v>
      </c>
      <c r="F1000" s="7" t="s">
        <v>23</v>
      </c>
      <c r="G1000" s="7" t="s">
        <v>24</v>
      </c>
      <c r="H1000" s="7" t="s">
        <v>25</v>
      </c>
      <c r="I1000" s="7" t="s">
        <v>35</v>
      </c>
      <c r="J1000" s="7">
        <v>167</v>
      </c>
      <c r="K1000" s="7">
        <v>238.81</v>
      </c>
    </row>
    <row r="1001" spans="1:11" ht="18" customHeight="1" x14ac:dyDescent="0.25">
      <c r="A1001" s="7" t="s">
        <v>34</v>
      </c>
      <c r="B1001" s="7">
        <v>2021</v>
      </c>
      <c r="C1001" s="7" t="s">
        <v>66</v>
      </c>
      <c r="D1001" s="7" t="s">
        <v>21</v>
      </c>
      <c r="E1001" s="7" t="s">
        <v>22</v>
      </c>
      <c r="F1001" s="7" t="s">
        <v>23</v>
      </c>
      <c r="G1001" s="7" t="s">
        <v>24</v>
      </c>
      <c r="H1001" s="7" t="s">
        <v>25</v>
      </c>
      <c r="I1001" s="7" t="s">
        <v>35</v>
      </c>
      <c r="J1001" s="7">
        <v>215</v>
      </c>
      <c r="K1001" s="7">
        <v>307.45</v>
      </c>
    </row>
    <row r="1002" spans="1:11" ht="18" customHeight="1" x14ac:dyDescent="0.25">
      <c r="A1002" s="7" t="s">
        <v>19</v>
      </c>
      <c r="B1002" s="7">
        <v>2021</v>
      </c>
      <c r="C1002" s="7" t="s">
        <v>66</v>
      </c>
      <c r="D1002" s="7" t="s">
        <v>21</v>
      </c>
      <c r="E1002" s="7" t="s">
        <v>22</v>
      </c>
      <c r="F1002" s="7" t="s">
        <v>23</v>
      </c>
      <c r="G1002" s="7" t="s">
        <v>24</v>
      </c>
      <c r="H1002" s="7" t="s">
        <v>25</v>
      </c>
      <c r="I1002" s="7" t="s">
        <v>35</v>
      </c>
      <c r="J1002" s="7">
        <v>784</v>
      </c>
      <c r="K1002" s="7">
        <v>1121.1199999999999</v>
      </c>
    </row>
    <row r="1003" spans="1:11" ht="18" customHeight="1" x14ac:dyDescent="0.25">
      <c r="A1003" s="7" t="s">
        <v>34</v>
      </c>
      <c r="B1003" s="7">
        <v>2021</v>
      </c>
      <c r="C1003" s="7" t="s">
        <v>71</v>
      </c>
      <c r="D1003" s="7" t="s">
        <v>21</v>
      </c>
      <c r="E1003" s="7" t="s">
        <v>22</v>
      </c>
      <c r="F1003" s="7" t="s">
        <v>23</v>
      </c>
      <c r="G1003" s="7" t="s">
        <v>24</v>
      </c>
      <c r="H1003" s="7" t="s">
        <v>25</v>
      </c>
      <c r="I1003" s="7" t="s">
        <v>35</v>
      </c>
      <c r="J1003" s="7">
        <v>134</v>
      </c>
      <c r="K1003" s="7">
        <v>182.24</v>
      </c>
    </row>
    <row r="1004" spans="1:11" ht="18" customHeight="1" x14ac:dyDescent="0.25">
      <c r="A1004" s="7" t="s">
        <v>19</v>
      </c>
      <c r="B1004" s="7">
        <v>2021</v>
      </c>
      <c r="C1004" s="7" t="s">
        <v>71</v>
      </c>
      <c r="D1004" s="7" t="s">
        <v>21</v>
      </c>
      <c r="E1004" s="7" t="s">
        <v>22</v>
      </c>
      <c r="F1004" s="7" t="s">
        <v>23</v>
      </c>
      <c r="G1004" s="7" t="s">
        <v>24</v>
      </c>
      <c r="H1004" s="7" t="s">
        <v>25</v>
      </c>
      <c r="I1004" s="7" t="s">
        <v>35</v>
      </c>
      <c r="J1004" s="7">
        <v>182</v>
      </c>
      <c r="K1004" s="7">
        <v>260.26</v>
      </c>
    </row>
    <row r="1005" spans="1:11" ht="18" customHeight="1" x14ac:dyDescent="0.25">
      <c r="A1005" s="7" t="s">
        <v>19</v>
      </c>
      <c r="B1005" s="7">
        <v>2021</v>
      </c>
      <c r="C1005" s="7" t="s">
        <v>71</v>
      </c>
      <c r="D1005" s="7" t="s">
        <v>21</v>
      </c>
      <c r="E1005" s="7" t="s">
        <v>22</v>
      </c>
      <c r="F1005" s="7" t="s">
        <v>23</v>
      </c>
      <c r="G1005" s="7" t="s">
        <v>24</v>
      </c>
      <c r="H1005" s="7" t="s">
        <v>25</v>
      </c>
      <c r="I1005" s="7" t="s">
        <v>35</v>
      </c>
      <c r="J1005" s="7">
        <v>136</v>
      </c>
      <c r="K1005" s="7">
        <v>194.48</v>
      </c>
    </row>
    <row r="1006" spans="1:11" ht="18" customHeight="1" x14ac:dyDescent="0.25">
      <c r="A1006" s="7" t="s">
        <v>19</v>
      </c>
      <c r="B1006" s="7">
        <v>2021</v>
      </c>
      <c r="C1006" s="7" t="s">
        <v>71</v>
      </c>
      <c r="D1006" s="7" t="s">
        <v>21</v>
      </c>
      <c r="E1006" s="7" t="s">
        <v>22</v>
      </c>
      <c r="F1006" s="7" t="s">
        <v>23</v>
      </c>
      <c r="G1006" s="7" t="s">
        <v>24</v>
      </c>
      <c r="H1006" s="7" t="s">
        <v>25</v>
      </c>
      <c r="I1006" s="7" t="s">
        <v>35</v>
      </c>
      <c r="J1006" s="7">
        <v>694</v>
      </c>
      <c r="K1006" s="7">
        <v>992.42000000000007</v>
      </c>
    </row>
    <row r="1007" spans="1:11" ht="18" customHeight="1" x14ac:dyDescent="0.25">
      <c r="A1007" s="7" t="s">
        <v>61</v>
      </c>
      <c r="B1007" s="7">
        <v>2021</v>
      </c>
      <c r="C1007" s="7" t="s">
        <v>71</v>
      </c>
      <c r="D1007" s="7" t="s">
        <v>21</v>
      </c>
      <c r="E1007" s="7" t="s">
        <v>22</v>
      </c>
      <c r="F1007" s="7" t="s">
        <v>23</v>
      </c>
      <c r="G1007" s="7" t="s">
        <v>24</v>
      </c>
      <c r="H1007" s="7" t="s">
        <v>25</v>
      </c>
      <c r="I1007" s="7" t="s">
        <v>35</v>
      </c>
      <c r="J1007" s="7">
        <v>727</v>
      </c>
      <c r="K1007" s="7">
        <v>1039.6100000000001</v>
      </c>
    </row>
    <row r="1008" spans="1:11" ht="18" customHeight="1" x14ac:dyDescent="0.25">
      <c r="A1008" s="7" t="s">
        <v>34</v>
      </c>
      <c r="B1008" s="7">
        <v>2021</v>
      </c>
      <c r="C1008" s="7" t="s">
        <v>71</v>
      </c>
      <c r="D1008" s="7" t="s">
        <v>21</v>
      </c>
      <c r="E1008" s="7" t="s">
        <v>22</v>
      </c>
      <c r="F1008" s="7" t="s">
        <v>23</v>
      </c>
      <c r="G1008" s="7" t="s">
        <v>24</v>
      </c>
      <c r="H1008" s="7" t="s">
        <v>25</v>
      </c>
      <c r="I1008" s="7" t="s">
        <v>35</v>
      </c>
      <c r="J1008" s="7">
        <v>135</v>
      </c>
      <c r="K1008" s="7">
        <v>193.05</v>
      </c>
    </row>
    <row r="1009" spans="1:11" ht="18" customHeight="1" x14ac:dyDescent="0.25">
      <c r="A1009" s="7" t="s">
        <v>61</v>
      </c>
      <c r="B1009" s="7">
        <v>2021</v>
      </c>
      <c r="C1009" s="7" t="s">
        <v>71</v>
      </c>
      <c r="D1009" s="7" t="s">
        <v>21</v>
      </c>
      <c r="E1009" s="7" t="s">
        <v>22</v>
      </c>
      <c r="F1009" s="7" t="s">
        <v>23</v>
      </c>
      <c r="G1009" s="7" t="s">
        <v>24</v>
      </c>
      <c r="H1009" s="7" t="s">
        <v>25</v>
      </c>
      <c r="I1009" s="7" t="s">
        <v>35</v>
      </c>
      <c r="J1009" s="7">
        <v>766</v>
      </c>
      <c r="K1009" s="7">
        <v>526.24</v>
      </c>
    </row>
    <row r="1010" spans="1:11" ht="18" customHeight="1" x14ac:dyDescent="0.25">
      <c r="A1010" s="7" t="s">
        <v>19</v>
      </c>
      <c r="B1010" s="7">
        <v>2021</v>
      </c>
      <c r="C1010" s="7" t="s">
        <v>71</v>
      </c>
      <c r="D1010" s="7" t="s">
        <v>21</v>
      </c>
      <c r="E1010" s="7" t="s">
        <v>22</v>
      </c>
      <c r="F1010" s="7" t="s">
        <v>23</v>
      </c>
      <c r="G1010" s="7" t="s">
        <v>24</v>
      </c>
      <c r="H1010" s="7" t="s">
        <v>25</v>
      </c>
      <c r="I1010" s="7" t="s">
        <v>35</v>
      </c>
      <c r="J1010" s="7">
        <v>133</v>
      </c>
      <c r="K1010" s="7">
        <v>190.19</v>
      </c>
    </row>
    <row r="1011" spans="1:11" ht="18" customHeight="1" x14ac:dyDescent="0.25">
      <c r="A1011" s="7" t="s">
        <v>19</v>
      </c>
      <c r="B1011" s="7">
        <v>2021</v>
      </c>
      <c r="C1011" s="7" t="s">
        <v>71</v>
      </c>
      <c r="D1011" s="7" t="s">
        <v>21</v>
      </c>
      <c r="E1011" s="7" t="s">
        <v>22</v>
      </c>
      <c r="F1011" s="7" t="s">
        <v>23</v>
      </c>
      <c r="G1011" s="7" t="s">
        <v>24</v>
      </c>
      <c r="H1011" s="7" t="s">
        <v>25</v>
      </c>
      <c r="I1011" s="7" t="s">
        <v>35</v>
      </c>
      <c r="J1011" s="7">
        <v>181</v>
      </c>
      <c r="K1011" s="7">
        <v>258.83</v>
      </c>
    </row>
    <row r="1012" spans="1:11" ht="18" customHeight="1" x14ac:dyDescent="0.25">
      <c r="A1012" s="7" t="s">
        <v>34</v>
      </c>
      <c r="B1012" s="7">
        <v>2021</v>
      </c>
      <c r="C1012" s="7" t="s">
        <v>71</v>
      </c>
      <c r="D1012" s="7" t="s">
        <v>21</v>
      </c>
      <c r="E1012" s="7" t="s">
        <v>22</v>
      </c>
      <c r="F1012" s="7" t="s">
        <v>23</v>
      </c>
      <c r="G1012" s="7" t="s">
        <v>24</v>
      </c>
      <c r="H1012" s="7" t="s">
        <v>25</v>
      </c>
      <c r="I1012" s="7" t="s">
        <v>35</v>
      </c>
      <c r="J1012" s="7">
        <v>137</v>
      </c>
      <c r="K1012" s="7">
        <v>195.91</v>
      </c>
    </row>
    <row r="1013" spans="1:11" ht="18" customHeight="1" x14ac:dyDescent="0.25">
      <c r="A1013" s="7" t="s">
        <v>19</v>
      </c>
      <c r="B1013" s="7">
        <v>2021</v>
      </c>
      <c r="C1013" s="7" t="s">
        <v>71</v>
      </c>
      <c r="D1013" s="7" t="s">
        <v>21</v>
      </c>
      <c r="E1013" s="7" t="s">
        <v>22</v>
      </c>
      <c r="F1013" s="7" t="s">
        <v>23</v>
      </c>
      <c r="G1013" s="7" t="s">
        <v>24</v>
      </c>
      <c r="H1013" s="7" t="s">
        <v>25</v>
      </c>
      <c r="I1013" s="7" t="s">
        <v>35</v>
      </c>
      <c r="J1013" s="7">
        <v>179</v>
      </c>
      <c r="K1013" s="7">
        <v>255.97</v>
      </c>
    </row>
    <row r="1014" spans="1:11" ht="18" customHeight="1" x14ac:dyDescent="0.25">
      <c r="A1014" s="7" t="s">
        <v>34</v>
      </c>
      <c r="B1014" s="7">
        <v>2021</v>
      </c>
      <c r="C1014" s="7" t="s">
        <v>70</v>
      </c>
      <c r="D1014" s="7" t="s">
        <v>21</v>
      </c>
      <c r="E1014" s="7" t="s">
        <v>22</v>
      </c>
      <c r="F1014" s="7" t="s">
        <v>23</v>
      </c>
      <c r="G1014" s="7" t="s">
        <v>24</v>
      </c>
      <c r="H1014" s="7" t="s">
        <v>25</v>
      </c>
      <c r="I1014" s="7" t="s">
        <v>35</v>
      </c>
      <c r="J1014" s="7">
        <v>140</v>
      </c>
      <c r="K1014" s="7">
        <v>190.4</v>
      </c>
    </row>
    <row r="1015" spans="1:11" ht="18" customHeight="1" x14ac:dyDescent="0.25">
      <c r="A1015" s="7" t="s">
        <v>42</v>
      </c>
      <c r="B1015" s="7">
        <v>2021</v>
      </c>
      <c r="C1015" s="7" t="s">
        <v>70</v>
      </c>
      <c r="D1015" s="7" t="s">
        <v>21</v>
      </c>
      <c r="E1015" s="7" t="s">
        <v>22</v>
      </c>
      <c r="F1015" s="7" t="s">
        <v>23</v>
      </c>
      <c r="G1015" s="7" t="s">
        <v>24</v>
      </c>
      <c r="H1015" s="7" t="s">
        <v>25</v>
      </c>
      <c r="I1015" s="7" t="s">
        <v>35</v>
      </c>
      <c r="J1015" s="7">
        <v>188</v>
      </c>
      <c r="K1015" s="7">
        <v>268.84000000000003</v>
      </c>
    </row>
    <row r="1016" spans="1:11" ht="18" customHeight="1" x14ac:dyDescent="0.25">
      <c r="A1016" s="7" t="s">
        <v>34</v>
      </c>
      <c r="B1016" s="7">
        <v>2021</v>
      </c>
      <c r="C1016" s="7" t="s">
        <v>70</v>
      </c>
      <c r="D1016" s="7" t="s">
        <v>21</v>
      </c>
      <c r="E1016" s="7" t="s">
        <v>22</v>
      </c>
      <c r="F1016" s="7" t="s">
        <v>23</v>
      </c>
      <c r="G1016" s="7" t="s">
        <v>24</v>
      </c>
      <c r="H1016" s="7" t="s">
        <v>25</v>
      </c>
      <c r="I1016" s="7" t="s">
        <v>35</v>
      </c>
      <c r="J1016" s="7">
        <v>142</v>
      </c>
      <c r="K1016" s="7">
        <v>203.06</v>
      </c>
    </row>
    <row r="1017" spans="1:11" ht="18" customHeight="1" x14ac:dyDescent="0.25">
      <c r="A1017" s="7" t="s">
        <v>42</v>
      </c>
      <c r="B1017" s="7">
        <v>2021</v>
      </c>
      <c r="C1017" s="7" t="s">
        <v>70</v>
      </c>
      <c r="D1017" s="7" t="s">
        <v>21</v>
      </c>
      <c r="E1017" s="7" t="s">
        <v>22</v>
      </c>
      <c r="F1017" s="7" t="s">
        <v>23</v>
      </c>
      <c r="G1017" s="7" t="s">
        <v>24</v>
      </c>
      <c r="H1017" s="7" t="s">
        <v>25</v>
      </c>
      <c r="I1017" s="7" t="s">
        <v>35</v>
      </c>
      <c r="J1017" s="7">
        <v>184</v>
      </c>
      <c r="K1017" s="7">
        <v>263.12</v>
      </c>
    </row>
    <row r="1018" spans="1:11" ht="18" customHeight="1" x14ac:dyDescent="0.25">
      <c r="A1018" s="7" t="s">
        <v>34</v>
      </c>
      <c r="B1018" s="7">
        <v>2021</v>
      </c>
      <c r="C1018" s="7" t="s">
        <v>70</v>
      </c>
      <c r="D1018" s="7" t="s">
        <v>21</v>
      </c>
      <c r="E1018" s="7" t="s">
        <v>22</v>
      </c>
      <c r="F1018" s="7" t="s">
        <v>23</v>
      </c>
      <c r="G1018" s="7" t="s">
        <v>24</v>
      </c>
      <c r="H1018" s="7" t="s">
        <v>25</v>
      </c>
      <c r="I1018" s="7" t="s">
        <v>26</v>
      </c>
      <c r="J1018" s="7">
        <v>312</v>
      </c>
      <c r="K1018" s="7">
        <v>526.24</v>
      </c>
    </row>
    <row r="1019" spans="1:11" ht="18" customHeight="1" x14ac:dyDescent="0.25">
      <c r="A1019" s="7" t="s">
        <v>61</v>
      </c>
      <c r="B1019" s="7">
        <v>2021</v>
      </c>
      <c r="C1019" s="7" t="s">
        <v>70</v>
      </c>
      <c r="D1019" s="7" t="s">
        <v>21</v>
      </c>
      <c r="E1019" s="7" t="s">
        <v>22</v>
      </c>
      <c r="F1019" s="7" t="s">
        <v>23</v>
      </c>
      <c r="G1019" s="7" t="s">
        <v>24</v>
      </c>
      <c r="H1019" s="7" t="s">
        <v>25</v>
      </c>
      <c r="I1019" s="7" t="s">
        <v>35</v>
      </c>
      <c r="J1019" s="7">
        <v>693</v>
      </c>
      <c r="K1019" s="7">
        <v>990.99</v>
      </c>
    </row>
    <row r="1020" spans="1:11" ht="18" customHeight="1" x14ac:dyDescent="0.25">
      <c r="A1020" s="7" t="s">
        <v>42</v>
      </c>
      <c r="B1020" s="7">
        <v>2021</v>
      </c>
      <c r="C1020" s="7" t="s">
        <v>70</v>
      </c>
      <c r="D1020" s="7" t="s">
        <v>21</v>
      </c>
      <c r="E1020" s="7" t="s">
        <v>22</v>
      </c>
      <c r="F1020" s="7" t="s">
        <v>23</v>
      </c>
      <c r="G1020" s="7" t="s">
        <v>24</v>
      </c>
      <c r="H1020" s="7" t="s">
        <v>25</v>
      </c>
      <c r="I1020" s="7" t="s">
        <v>35</v>
      </c>
      <c r="J1020" s="7">
        <v>726</v>
      </c>
      <c r="K1020" s="7">
        <v>1038.18</v>
      </c>
    </row>
    <row r="1021" spans="1:11" ht="18" customHeight="1" x14ac:dyDescent="0.25">
      <c r="A1021" s="7" t="s">
        <v>42</v>
      </c>
      <c r="B1021" s="7">
        <v>2021</v>
      </c>
      <c r="C1021" s="7" t="s">
        <v>70</v>
      </c>
      <c r="D1021" s="7" t="s">
        <v>21</v>
      </c>
      <c r="E1021" s="7" t="s">
        <v>22</v>
      </c>
      <c r="F1021" s="7" t="s">
        <v>23</v>
      </c>
      <c r="G1021" s="7" t="s">
        <v>24</v>
      </c>
      <c r="H1021" s="7" t="s">
        <v>25</v>
      </c>
      <c r="I1021" s="7" t="s">
        <v>35</v>
      </c>
      <c r="J1021" s="7">
        <v>141</v>
      </c>
      <c r="K1021" s="7">
        <v>201.63</v>
      </c>
    </row>
    <row r="1022" spans="1:11" ht="18" customHeight="1" x14ac:dyDescent="0.25">
      <c r="A1022" s="7" t="s">
        <v>34</v>
      </c>
      <c r="B1022" s="7">
        <v>2021</v>
      </c>
      <c r="C1022" s="7" t="s">
        <v>70</v>
      </c>
      <c r="D1022" s="7" t="s">
        <v>21</v>
      </c>
      <c r="E1022" s="7" t="s">
        <v>22</v>
      </c>
      <c r="F1022" s="7" t="s">
        <v>23</v>
      </c>
      <c r="G1022" s="7" t="s">
        <v>24</v>
      </c>
      <c r="H1022" s="7" t="s">
        <v>25</v>
      </c>
      <c r="I1022" s="7" t="s">
        <v>35</v>
      </c>
      <c r="J1022" s="7">
        <v>765</v>
      </c>
      <c r="K1022" s="7">
        <v>526.24</v>
      </c>
    </row>
    <row r="1023" spans="1:11" ht="18" customHeight="1" x14ac:dyDescent="0.25">
      <c r="A1023" s="7" t="s">
        <v>34</v>
      </c>
      <c r="B1023" s="7">
        <v>2021</v>
      </c>
      <c r="C1023" s="7" t="s">
        <v>70</v>
      </c>
      <c r="D1023" s="7" t="s">
        <v>21</v>
      </c>
      <c r="E1023" s="7" t="s">
        <v>22</v>
      </c>
      <c r="F1023" s="7" t="s">
        <v>23</v>
      </c>
      <c r="G1023" s="7" t="s">
        <v>24</v>
      </c>
      <c r="H1023" s="7" t="s">
        <v>25</v>
      </c>
      <c r="I1023" s="7" t="s">
        <v>35</v>
      </c>
      <c r="J1023" s="7">
        <v>139</v>
      </c>
      <c r="K1023" s="7">
        <v>198.76999999999998</v>
      </c>
    </row>
    <row r="1024" spans="1:11" ht="18" customHeight="1" x14ac:dyDescent="0.25">
      <c r="A1024" s="7" t="s">
        <v>34</v>
      </c>
      <c r="B1024" s="7">
        <v>2021</v>
      </c>
      <c r="C1024" s="7" t="s">
        <v>70</v>
      </c>
      <c r="D1024" s="7" t="s">
        <v>21</v>
      </c>
      <c r="E1024" s="7" t="s">
        <v>22</v>
      </c>
      <c r="F1024" s="7" t="s">
        <v>23</v>
      </c>
      <c r="G1024" s="7" t="s">
        <v>24</v>
      </c>
      <c r="H1024" s="7" t="s">
        <v>25</v>
      </c>
      <c r="I1024" s="7" t="s">
        <v>35</v>
      </c>
      <c r="J1024" s="7">
        <v>187</v>
      </c>
      <c r="K1024" s="7">
        <v>267.40999999999997</v>
      </c>
    </row>
    <row r="1025" spans="1:11" ht="18" customHeight="1" x14ac:dyDescent="0.25">
      <c r="A1025" s="7" t="s">
        <v>34</v>
      </c>
      <c r="B1025" s="7">
        <v>2021</v>
      </c>
      <c r="C1025" s="7" t="s">
        <v>70</v>
      </c>
      <c r="D1025" s="7" t="s">
        <v>21</v>
      </c>
      <c r="E1025" s="7" t="s">
        <v>22</v>
      </c>
      <c r="F1025" s="7" t="s">
        <v>23</v>
      </c>
      <c r="G1025" s="7" t="s">
        <v>24</v>
      </c>
      <c r="H1025" s="7" t="s">
        <v>25</v>
      </c>
      <c r="I1025" s="7" t="s">
        <v>26</v>
      </c>
      <c r="J1025" s="7">
        <v>311</v>
      </c>
      <c r="K1025" s="7">
        <v>444.73</v>
      </c>
    </row>
    <row r="1026" spans="1:11" ht="18" customHeight="1" x14ac:dyDescent="0.25">
      <c r="A1026" s="7" t="s">
        <v>53</v>
      </c>
      <c r="B1026" s="7">
        <v>2021</v>
      </c>
      <c r="C1026" s="7" t="s">
        <v>70</v>
      </c>
      <c r="D1026" s="7" t="s">
        <v>21</v>
      </c>
      <c r="E1026" s="7" t="s">
        <v>22</v>
      </c>
      <c r="F1026" s="7" t="s">
        <v>23</v>
      </c>
      <c r="G1026" s="7" t="s">
        <v>24</v>
      </c>
      <c r="H1026" s="7" t="s">
        <v>25</v>
      </c>
      <c r="I1026" s="7" t="s">
        <v>35</v>
      </c>
      <c r="J1026" s="7">
        <v>185</v>
      </c>
      <c r="K1026" s="7">
        <v>264.55</v>
      </c>
    </row>
    <row r="1027" spans="1:11" ht="18" customHeight="1" x14ac:dyDescent="0.25">
      <c r="A1027" s="7" t="s">
        <v>19</v>
      </c>
      <c r="B1027" s="7">
        <v>2021</v>
      </c>
      <c r="C1027" s="7" t="s">
        <v>69</v>
      </c>
      <c r="D1027" s="7" t="s">
        <v>21</v>
      </c>
      <c r="E1027" s="7" t="s">
        <v>22</v>
      </c>
      <c r="F1027" s="7" t="s">
        <v>23</v>
      </c>
      <c r="G1027" s="7" t="s">
        <v>24</v>
      </c>
      <c r="H1027" s="7" t="s">
        <v>25</v>
      </c>
      <c r="I1027" s="7" t="s">
        <v>26</v>
      </c>
      <c r="J1027" s="7">
        <v>326</v>
      </c>
      <c r="K1027" s="7">
        <v>466.18</v>
      </c>
    </row>
    <row r="1028" spans="1:11" ht="18" customHeight="1" x14ac:dyDescent="0.25">
      <c r="A1028" s="7" t="s">
        <v>42</v>
      </c>
      <c r="B1028" s="7">
        <v>2021</v>
      </c>
      <c r="C1028" s="7" t="s">
        <v>69</v>
      </c>
      <c r="D1028" s="7" t="s">
        <v>21</v>
      </c>
      <c r="E1028" s="7" t="s">
        <v>22</v>
      </c>
      <c r="F1028" s="7" t="s">
        <v>23</v>
      </c>
      <c r="G1028" s="7" t="s">
        <v>24</v>
      </c>
      <c r="H1028" s="7" t="s">
        <v>25</v>
      </c>
      <c r="I1028" s="7" t="s">
        <v>26</v>
      </c>
      <c r="J1028" s="7">
        <v>320</v>
      </c>
      <c r="K1028" s="7">
        <v>457.6</v>
      </c>
    </row>
    <row r="1029" spans="1:11" ht="18" customHeight="1" x14ac:dyDescent="0.25">
      <c r="A1029" s="7" t="s">
        <v>19</v>
      </c>
      <c r="B1029" s="7">
        <v>2021</v>
      </c>
      <c r="C1029" s="7" t="s">
        <v>69</v>
      </c>
      <c r="D1029" s="7" t="s">
        <v>21</v>
      </c>
      <c r="E1029" s="7" t="s">
        <v>22</v>
      </c>
      <c r="F1029" s="7" t="s">
        <v>23</v>
      </c>
      <c r="G1029" s="7" t="s">
        <v>24</v>
      </c>
      <c r="H1029" s="7" t="s">
        <v>25</v>
      </c>
      <c r="I1029" s="7" t="s">
        <v>26</v>
      </c>
      <c r="J1029" s="7">
        <v>314</v>
      </c>
      <c r="K1029" s="7">
        <v>449.02</v>
      </c>
    </row>
    <row r="1030" spans="1:11" ht="18" customHeight="1" x14ac:dyDescent="0.25">
      <c r="A1030" s="7" t="s">
        <v>42</v>
      </c>
      <c r="B1030" s="7">
        <v>2021</v>
      </c>
      <c r="C1030" s="7" t="s">
        <v>69</v>
      </c>
      <c r="D1030" s="7" t="s">
        <v>21</v>
      </c>
      <c r="E1030" s="7" t="s">
        <v>22</v>
      </c>
      <c r="F1030" s="7" t="s">
        <v>23</v>
      </c>
      <c r="G1030" s="7" t="s">
        <v>24</v>
      </c>
      <c r="H1030" s="7" t="s">
        <v>25</v>
      </c>
      <c r="I1030" s="7" t="s">
        <v>35</v>
      </c>
      <c r="J1030" s="7">
        <v>146</v>
      </c>
      <c r="K1030" s="7">
        <v>198.56</v>
      </c>
    </row>
    <row r="1031" spans="1:11" ht="18" customHeight="1" x14ac:dyDescent="0.25">
      <c r="A1031" s="7" t="s">
        <v>19</v>
      </c>
      <c r="B1031" s="7">
        <v>2021</v>
      </c>
      <c r="C1031" s="7" t="s">
        <v>69</v>
      </c>
      <c r="D1031" s="7" t="s">
        <v>21</v>
      </c>
      <c r="E1031" s="7" t="s">
        <v>22</v>
      </c>
      <c r="F1031" s="7" t="s">
        <v>23</v>
      </c>
      <c r="G1031" s="7" t="s">
        <v>24</v>
      </c>
      <c r="H1031" s="7" t="s">
        <v>25</v>
      </c>
      <c r="I1031" s="7" t="s">
        <v>35</v>
      </c>
      <c r="J1031" s="7">
        <v>194</v>
      </c>
      <c r="K1031" s="7">
        <v>277.42</v>
      </c>
    </row>
    <row r="1032" spans="1:11" ht="18" customHeight="1" x14ac:dyDescent="0.25">
      <c r="A1032" s="7" t="s">
        <v>19</v>
      </c>
      <c r="B1032" s="7">
        <v>2021</v>
      </c>
      <c r="C1032" s="7" t="s">
        <v>69</v>
      </c>
      <c r="D1032" s="7" t="s">
        <v>21</v>
      </c>
      <c r="E1032" s="7" t="s">
        <v>22</v>
      </c>
      <c r="F1032" s="7" t="s">
        <v>23</v>
      </c>
      <c r="G1032" s="7" t="s">
        <v>24</v>
      </c>
      <c r="H1032" s="7" t="s">
        <v>25</v>
      </c>
      <c r="I1032" s="7" t="s">
        <v>35</v>
      </c>
      <c r="J1032" s="7">
        <v>190</v>
      </c>
      <c r="K1032" s="7">
        <v>271.7</v>
      </c>
    </row>
    <row r="1033" spans="1:11" ht="18" customHeight="1" x14ac:dyDescent="0.25">
      <c r="A1033" s="7" t="s">
        <v>19</v>
      </c>
      <c r="B1033" s="7">
        <v>2021</v>
      </c>
      <c r="C1033" s="7" t="s">
        <v>69</v>
      </c>
      <c r="D1033" s="7" t="s">
        <v>21</v>
      </c>
      <c r="E1033" s="7" t="s">
        <v>22</v>
      </c>
      <c r="F1033" s="7" t="s">
        <v>23</v>
      </c>
      <c r="G1033" s="7" t="s">
        <v>24</v>
      </c>
      <c r="H1033" s="7" t="s">
        <v>25</v>
      </c>
      <c r="I1033" s="7" t="s">
        <v>35</v>
      </c>
      <c r="J1033" s="7">
        <v>364</v>
      </c>
      <c r="K1033" s="7">
        <v>520.52</v>
      </c>
    </row>
    <row r="1034" spans="1:11" ht="18" customHeight="1" x14ac:dyDescent="0.25">
      <c r="A1034" s="7" t="s">
        <v>19</v>
      </c>
      <c r="B1034" s="7">
        <v>2021</v>
      </c>
      <c r="C1034" s="7" t="s">
        <v>69</v>
      </c>
      <c r="D1034" s="7" t="s">
        <v>21</v>
      </c>
      <c r="E1034" s="7" t="s">
        <v>22</v>
      </c>
      <c r="F1034" s="7" t="s">
        <v>23</v>
      </c>
      <c r="G1034" s="7" t="s">
        <v>24</v>
      </c>
      <c r="H1034" s="7" t="s">
        <v>25</v>
      </c>
      <c r="I1034" s="7" t="s">
        <v>26</v>
      </c>
      <c r="J1034" s="7">
        <v>324</v>
      </c>
      <c r="K1034" s="7">
        <v>526.24</v>
      </c>
    </row>
    <row r="1035" spans="1:11" ht="18" customHeight="1" x14ac:dyDescent="0.25">
      <c r="A1035" s="7" t="s">
        <v>19</v>
      </c>
      <c r="B1035" s="7">
        <v>2021</v>
      </c>
      <c r="C1035" s="7" t="s">
        <v>69</v>
      </c>
      <c r="D1035" s="7" t="s">
        <v>21</v>
      </c>
      <c r="E1035" s="7" t="s">
        <v>22</v>
      </c>
      <c r="F1035" s="7" t="s">
        <v>23</v>
      </c>
      <c r="G1035" s="7" t="s">
        <v>24</v>
      </c>
      <c r="H1035" s="7" t="s">
        <v>25</v>
      </c>
      <c r="I1035" s="7" t="s">
        <v>26</v>
      </c>
      <c r="J1035" s="7">
        <v>318</v>
      </c>
      <c r="K1035" s="7">
        <v>526.24</v>
      </c>
    </row>
    <row r="1036" spans="1:11" ht="18" customHeight="1" x14ac:dyDescent="0.25">
      <c r="A1036" s="7" t="s">
        <v>34</v>
      </c>
      <c r="B1036" s="7">
        <v>2021</v>
      </c>
      <c r="C1036" s="7" t="s">
        <v>69</v>
      </c>
      <c r="D1036" s="7" t="s">
        <v>21</v>
      </c>
      <c r="E1036" s="7" t="s">
        <v>22</v>
      </c>
      <c r="F1036" s="7" t="s">
        <v>23</v>
      </c>
      <c r="G1036" s="7" t="s">
        <v>24</v>
      </c>
      <c r="H1036" s="7" t="s">
        <v>25</v>
      </c>
      <c r="I1036" s="7" t="s">
        <v>35</v>
      </c>
      <c r="J1036" s="7">
        <v>692</v>
      </c>
      <c r="K1036" s="7">
        <v>989.56</v>
      </c>
    </row>
    <row r="1037" spans="1:11" ht="18" customHeight="1" x14ac:dyDescent="0.25">
      <c r="A1037" s="7" t="s">
        <v>42</v>
      </c>
      <c r="B1037" s="7">
        <v>2021</v>
      </c>
      <c r="C1037" s="7" t="s">
        <v>69</v>
      </c>
      <c r="D1037" s="7" t="s">
        <v>21</v>
      </c>
      <c r="E1037" s="7" t="s">
        <v>22</v>
      </c>
      <c r="F1037" s="7" t="s">
        <v>23</v>
      </c>
      <c r="G1037" s="7" t="s">
        <v>24</v>
      </c>
      <c r="H1037" s="7" t="s">
        <v>25</v>
      </c>
      <c r="I1037" s="7" t="s">
        <v>35</v>
      </c>
      <c r="J1037" s="7">
        <v>725</v>
      </c>
      <c r="K1037" s="7">
        <v>1036.75</v>
      </c>
    </row>
    <row r="1038" spans="1:11" ht="18" customHeight="1" x14ac:dyDescent="0.25">
      <c r="A1038" s="7" t="s">
        <v>34</v>
      </c>
      <c r="B1038" s="7">
        <v>2021</v>
      </c>
      <c r="C1038" s="7" t="s">
        <v>69</v>
      </c>
      <c r="D1038" s="7" t="s">
        <v>21</v>
      </c>
      <c r="E1038" s="7" t="s">
        <v>22</v>
      </c>
      <c r="F1038" s="7" t="s">
        <v>23</v>
      </c>
      <c r="G1038" s="7" t="s">
        <v>24</v>
      </c>
      <c r="H1038" s="7" t="s">
        <v>25</v>
      </c>
      <c r="I1038" s="7" t="s">
        <v>35</v>
      </c>
      <c r="J1038" s="7">
        <v>778</v>
      </c>
      <c r="K1038" s="7">
        <v>1112.54</v>
      </c>
    </row>
    <row r="1039" spans="1:11" ht="18" customHeight="1" x14ac:dyDescent="0.25">
      <c r="A1039" s="7" t="s">
        <v>19</v>
      </c>
      <c r="B1039" s="7">
        <v>2021</v>
      </c>
      <c r="C1039" s="7" t="s">
        <v>69</v>
      </c>
      <c r="D1039" s="7" t="s">
        <v>21</v>
      </c>
      <c r="E1039" s="7" t="s">
        <v>22</v>
      </c>
      <c r="F1039" s="7" t="s">
        <v>23</v>
      </c>
      <c r="G1039" s="7" t="s">
        <v>24</v>
      </c>
      <c r="H1039" s="7" t="s">
        <v>25</v>
      </c>
      <c r="I1039" s="7" t="s">
        <v>26</v>
      </c>
      <c r="J1039" s="7">
        <v>327</v>
      </c>
      <c r="K1039" s="7">
        <v>467.61</v>
      </c>
    </row>
    <row r="1040" spans="1:11" ht="18" customHeight="1" x14ac:dyDescent="0.25">
      <c r="A1040" s="7" t="s">
        <v>42</v>
      </c>
      <c r="B1040" s="7">
        <v>2021</v>
      </c>
      <c r="C1040" s="7" t="s">
        <v>69</v>
      </c>
      <c r="D1040" s="7" t="s">
        <v>21</v>
      </c>
      <c r="E1040" s="7" t="s">
        <v>22</v>
      </c>
      <c r="F1040" s="7" t="s">
        <v>23</v>
      </c>
      <c r="G1040" s="7" t="s">
        <v>24</v>
      </c>
      <c r="H1040" s="7" t="s">
        <v>25</v>
      </c>
      <c r="I1040" s="7" t="s">
        <v>26</v>
      </c>
      <c r="J1040" s="7">
        <v>321</v>
      </c>
      <c r="K1040" s="7">
        <v>459.03</v>
      </c>
    </row>
    <row r="1041" spans="1:11" ht="18" customHeight="1" x14ac:dyDescent="0.25">
      <c r="A1041" s="7" t="s">
        <v>19</v>
      </c>
      <c r="B1041" s="7">
        <v>2021</v>
      </c>
      <c r="C1041" s="7" t="s">
        <v>69</v>
      </c>
      <c r="D1041" s="7" t="s">
        <v>21</v>
      </c>
      <c r="E1041" s="7" t="s">
        <v>22</v>
      </c>
      <c r="F1041" s="7" t="s">
        <v>23</v>
      </c>
      <c r="G1041" s="7" t="s">
        <v>24</v>
      </c>
      <c r="H1041" s="7" t="s">
        <v>25</v>
      </c>
      <c r="I1041" s="7" t="s">
        <v>26</v>
      </c>
      <c r="J1041" s="7">
        <v>315</v>
      </c>
      <c r="K1041" s="7">
        <v>450.45</v>
      </c>
    </row>
    <row r="1042" spans="1:11" ht="18" customHeight="1" x14ac:dyDescent="0.25">
      <c r="A1042" s="7" t="s">
        <v>34</v>
      </c>
      <c r="B1042" s="7">
        <v>2021</v>
      </c>
      <c r="C1042" s="7" t="s">
        <v>69</v>
      </c>
      <c r="D1042" s="7" t="s">
        <v>21</v>
      </c>
      <c r="E1042" s="7" t="s">
        <v>22</v>
      </c>
      <c r="F1042" s="7" t="s">
        <v>23</v>
      </c>
      <c r="G1042" s="7" t="s">
        <v>24</v>
      </c>
      <c r="H1042" s="7" t="s">
        <v>25</v>
      </c>
      <c r="I1042" s="7" t="s">
        <v>35</v>
      </c>
      <c r="J1042" s="7">
        <v>147</v>
      </c>
      <c r="K1042" s="7">
        <v>210.21</v>
      </c>
    </row>
    <row r="1043" spans="1:11" ht="18" customHeight="1" x14ac:dyDescent="0.25">
      <c r="A1043" s="7" t="s">
        <v>19</v>
      </c>
      <c r="B1043" s="7">
        <v>2021</v>
      </c>
      <c r="C1043" s="7" t="s">
        <v>69</v>
      </c>
      <c r="D1043" s="7" t="s">
        <v>21</v>
      </c>
      <c r="E1043" s="7" t="s">
        <v>22</v>
      </c>
      <c r="F1043" s="7" t="s">
        <v>23</v>
      </c>
      <c r="G1043" s="7" t="s">
        <v>24</v>
      </c>
      <c r="H1043" s="7" t="s">
        <v>25</v>
      </c>
      <c r="I1043" s="7" t="s">
        <v>35</v>
      </c>
      <c r="J1043" s="7">
        <v>145</v>
      </c>
      <c r="K1043" s="7">
        <v>207.35</v>
      </c>
    </row>
    <row r="1044" spans="1:11" ht="18" customHeight="1" x14ac:dyDescent="0.25">
      <c r="A1044" s="7" t="s">
        <v>19</v>
      </c>
      <c r="B1044" s="7">
        <v>2021</v>
      </c>
      <c r="C1044" s="7" t="s">
        <v>69</v>
      </c>
      <c r="D1044" s="7" t="s">
        <v>21</v>
      </c>
      <c r="E1044" s="7" t="s">
        <v>22</v>
      </c>
      <c r="F1044" s="7" t="s">
        <v>23</v>
      </c>
      <c r="G1044" s="7" t="s">
        <v>24</v>
      </c>
      <c r="H1044" s="7" t="s">
        <v>25</v>
      </c>
      <c r="I1044" s="7" t="s">
        <v>35</v>
      </c>
      <c r="J1044" s="7">
        <v>193</v>
      </c>
      <c r="K1044" s="7">
        <v>275.99</v>
      </c>
    </row>
    <row r="1045" spans="1:11" ht="18" customHeight="1" x14ac:dyDescent="0.25">
      <c r="A1045" s="7" t="s">
        <v>42</v>
      </c>
      <c r="B1045" s="7">
        <v>2021</v>
      </c>
      <c r="C1045" s="7" t="s">
        <v>69</v>
      </c>
      <c r="D1045" s="7" t="s">
        <v>21</v>
      </c>
      <c r="E1045" s="7" t="s">
        <v>22</v>
      </c>
      <c r="F1045" s="7" t="s">
        <v>23</v>
      </c>
      <c r="G1045" s="7" t="s">
        <v>24</v>
      </c>
      <c r="H1045" s="7" t="s">
        <v>25</v>
      </c>
      <c r="I1045" s="7" t="s">
        <v>26</v>
      </c>
      <c r="J1045" s="7">
        <v>323</v>
      </c>
      <c r="K1045" s="7">
        <v>461.89</v>
      </c>
    </row>
    <row r="1046" spans="1:11" ht="18" customHeight="1" x14ac:dyDescent="0.25">
      <c r="A1046" s="7" t="s">
        <v>19</v>
      </c>
      <c r="B1046" s="7">
        <v>2021</v>
      </c>
      <c r="C1046" s="7" t="s">
        <v>69</v>
      </c>
      <c r="D1046" s="7" t="s">
        <v>21</v>
      </c>
      <c r="E1046" s="7" t="s">
        <v>22</v>
      </c>
      <c r="F1046" s="7" t="s">
        <v>23</v>
      </c>
      <c r="G1046" s="7" t="s">
        <v>24</v>
      </c>
      <c r="H1046" s="7" t="s">
        <v>25</v>
      </c>
      <c r="I1046" s="7" t="s">
        <v>26</v>
      </c>
      <c r="J1046" s="7">
        <v>317</v>
      </c>
      <c r="K1046" s="7">
        <v>453.31</v>
      </c>
    </row>
    <row r="1047" spans="1:11" ht="18" customHeight="1" x14ac:dyDescent="0.25">
      <c r="A1047" s="7" t="s">
        <v>42</v>
      </c>
      <c r="B1047" s="7">
        <v>2021</v>
      </c>
      <c r="C1047" s="7" t="s">
        <v>69</v>
      </c>
      <c r="D1047" s="7" t="s">
        <v>21</v>
      </c>
      <c r="E1047" s="7" t="s">
        <v>22</v>
      </c>
      <c r="F1047" s="7" t="s">
        <v>23</v>
      </c>
      <c r="G1047" s="7" t="s">
        <v>24</v>
      </c>
      <c r="H1047" s="7" t="s">
        <v>25</v>
      </c>
      <c r="I1047" s="7" t="s">
        <v>35</v>
      </c>
      <c r="J1047" s="7">
        <v>143</v>
      </c>
      <c r="K1047" s="7">
        <v>204.49</v>
      </c>
    </row>
    <row r="1048" spans="1:11" ht="18" customHeight="1" x14ac:dyDescent="0.25">
      <c r="A1048" s="7" t="s">
        <v>19</v>
      </c>
      <c r="B1048" s="7">
        <v>2021</v>
      </c>
      <c r="C1048" s="7" t="s">
        <v>69</v>
      </c>
      <c r="D1048" s="7" t="s">
        <v>21</v>
      </c>
      <c r="E1048" s="7" t="s">
        <v>22</v>
      </c>
      <c r="F1048" s="7" t="s">
        <v>23</v>
      </c>
      <c r="G1048" s="7" t="s">
        <v>24</v>
      </c>
      <c r="H1048" s="7" t="s">
        <v>25</v>
      </c>
      <c r="I1048" s="7" t="s">
        <v>35</v>
      </c>
      <c r="J1048" s="7">
        <v>191</v>
      </c>
      <c r="K1048" s="7">
        <v>273.13</v>
      </c>
    </row>
    <row r="1049" spans="1:11" ht="18" customHeight="1" x14ac:dyDescent="0.25">
      <c r="A1049" s="7" t="s">
        <v>42</v>
      </c>
      <c r="B1049" s="7">
        <v>2021</v>
      </c>
      <c r="C1049" s="7" t="s">
        <v>69</v>
      </c>
      <c r="D1049" s="7" t="s">
        <v>21</v>
      </c>
      <c r="E1049" s="7" t="s">
        <v>22</v>
      </c>
      <c r="F1049" s="7" t="s">
        <v>23</v>
      </c>
      <c r="G1049" s="7" t="s">
        <v>24</v>
      </c>
      <c r="H1049" s="7" t="s">
        <v>25</v>
      </c>
      <c r="I1049" s="7" t="s">
        <v>35</v>
      </c>
      <c r="J1049" s="7">
        <v>787</v>
      </c>
      <c r="K1049" s="7">
        <v>1125.4099999999999</v>
      </c>
    </row>
    <row r="1050" spans="1:11" ht="18" customHeight="1" x14ac:dyDescent="0.25">
      <c r="A1050" s="7" t="s">
        <v>34</v>
      </c>
      <c r="B1050" s="7">
        <v>2021</v>
      </c>
      <c r="C1050" s="7" t="s">
        <v>20</v>
      </c>
      <c r="D1050" s="7" t="s">
        <v>72</v>
      </c>
      <c r="E1050" s="7" t="s">
        <v>22</v>
      </c>
      <c r="F1050" s="7" t="s">
        <v>23</v>
      </c>
      <c r="G1050" s="7" t="s">
        <v>24</v>
      </c>
      <c r="H1050" s="7" t="s">
        <v>25</v>
      </c>
      <c r="I1050" s="7" t="s">
        <v>26</v>
      </c>
      <c r="J1050" s="7">
        <v>266</v>
      </c>
      <c r="K1050" s="7">
        <v>380.38</v>
      </c>
    </row>
    <row r="1051" spans="1:11" ht="18" customHeight="1" x14ac:dyDescent="0.25">
      <c r="A1051" s="7" t="s">
        <v>34</v>
      </c>
      <c r="B1051" s="7">
        <v>2021</v>
      </c>
      <c r="C1051" s="7" t="s">
        <v>20</v>
      </c>
      <c r="D1051" s="7" t="s">
        <v>72</v>
      </c>
      <c r="E1051" s="7" t="s">
        <v>22</v>
      </c>
      <c r="F1051" s="7" t="s">
        <v>23</v>
      </c>
      <c r="G1051" s="7" t="s">
        <v>24</v>
      </c>
      <c r="H1051" s="7" t="s">
        <v>25</v>
      </c>
      <c r="I1051" s="7" t="s">
        <v>26</v>
      </c>
      <c r="J1051" s="7">
        <v>314</v>
      </c>
      <c r="K1051" s="7">
        <v>449.02</v>
      </c>
    </row>
    <row r="1052" spans="1:11" ht="18" customHeight="1" x14ac:dyDescent="0.25">
      <c r="A1052" s="7" t="s">
        <v>19</v>
      </c>
      <c r="B1052" s="7">
        <v>2021</v>
      </c>
      <c r="C1052" s="7" t="s">
        <v>20</v>
      </c>
      <c r="D1052" s="7" t="s">
        <v>72</v>
      </c>
      <c r="E1052" s="7" t="s">
        <v>22</v>
      </c>
      <c r="F1052" s="7" t="s">
        <v>23</v>
      </c>
      <c r="G1052" s="7" t="s">
        <v>24</v>
      </c>
      <c r="H1052" s="7" t="s">
        <v>25</v>
      </c>
      <c r="I1052" s="7" t="s">
        <v>26</v>
      </c>
      <c r="J1052" s="7">
        <v>236</v>
      </c>
      <c r="K1052" s="7">
        <v>337.48</v>
      </c>
    </row>
    <row r="1053" spans="1:11" ht="18" customHeight="1" x14ac:dyDescent="0.25">
      <c r="A1053" s="7" t="s">
        <v>34</v>
      </c>
      <c r="B1053" s="7">
        <v>2021</v>
      </c>
      <c r="C1053" s="7" t="s">
        <v>20</v>
      </c>
      <c r="D1053" s="7" t="s">
        <v>72</v>
      </c>
      <c r="E1053" s="7" t="s">
        <v>22</v>
      </c>
      <c r="F1053" s="7" t="s">
        <v>23</v>
      </c>
      <c r="G1053" s="7" t="s">
        <v>24</v>
      </c>
      <c r="H1053" s="7" t="s">
        <v>25</v>
      </c>
      <c r="I1053" s="7" t="s">
        <v>26</v>
      </c>
      <c r="J1053" s="7">
        <v>310</v>
      </c>
      <c r="K1053" s="7">
        <v>526.24</v>
      </c>
    </row>
    <row r="1054" spans="1:11" ht="18" customHeight="1" x14ac:dyDescent="0.25">
      <c r="A1054" s="7" t="s">
        <v>42</v>
      </c>
      <c r="B1054" s="7">
        <v>2021</v>
      </c>
      <c r="C1054" s="7" t="s">
        <v>20</v>
      </c>
      <c r="D1054" s="7" t="s">
        <v>72</v>
      </c>
      <c r="E1054" s="7" t="s">
        <v>22</v>
      </c>
      <c r="F1054" s="7" t="s">
        <v>23</v>
      </c>
      <c r="G1054" s="7" t="s">
        <v>24</v>
      </c>
      <c r="H1054" s="7" t="s">
        <v>25</v>
      </c>
      <c r="I1054" s="7" t="s">
        <v>26</v>
      </c>
      <c r="J1054" s="7">
        <v>238</v>
      </c>
      <c r="K1054" s="7">
        <v>526.24</v>
      </c>
    </row>
    <row r="1055" spans="1:11" ht="18" customHeight="1" x14ac:dyDescent="0.25">
      <c r="A1055" s="7" t="s">
        <v>19</v>
      </c>
      <c r="B1055" s="7">
        <v>2021</v>
      </c>
      <c r="C1055" s="7" t="s">
        <v>20</v>
      </c>
      <c r="D1055" s="7" t="s">
        <v>72</v>
      </c>
      <c r="E1055" s="7" t="s">
        <v>22</v>
      </c>
      <c r="F1055" s="7" t="s">
        <v>23</v>
      </c>
      <c r="G1055" s="7" t="s">
        <v>24</v>
      </c>
      <c r="H1055" s="7" t="s">
        <v>25</v>
      </c>
      <c r="I1055" s="7" t="s">
        <v>26</v>
      </c>
      <c r="J1055" s="7">
        <v>1000</v>
      </c>
      <c r="K1055" s="7">
        <v>1430</v>
      </c>
    </row>
    <row r="1056" spans="1:11" ht="18" customHeight="1" x14ac:dyDescent="0.25">
      <c r="A1056" s="7" t="s">
        <v>53</v>
      </c>
      <c r="B1056" s="7">
        <v>2021</v>
      </c>
      <c r="C1056" s="7" t="s">
        <v>20</v>
      </c>
      <c r="D1056" s="7" t="s">
        <v>72</v>
      </c>
      <c r="E1056" s="7" t="s">
        <v>22</v>
      </c>
      <c r="F1056" s="7" t="s">
        <v>23</v>
      </c>
      <c r="G1056" s="7" t="s">
        <v>24</v>
      </c>
      <c r="H1056" s="7" t="s">
        <v>25</v>
      </c>
      <c r="I1056" s="7" t="s">
        <v>26</v>
      </c>
      <c r="J1056" s="7">
        <v>1033</v>
      </c>
      <c r="K1056" s="7">
        <v>1477.19</v>
      </c>
    </row>
    <row r="1057" spans="1:11" ht="18" customHeight="1" x14ac:dyDescent="0.25">
      <c r="A1057" s="7" t="s">
        <v>42</v>
      </c>
      <c r="B1057" s="7">
        <v>2021</v>
      </c>
      <c r="C1057" s="7" t="s">
        <v>20</v>
      </c>
      <c r="D1057" s="7" t="s">
        <v>72</v>
      </c>
      <c r="E1057" s="7" t="s">
        <v>22</v>
      </c>
      <c r="F1057" s="7" t="s">
        <v>23</v>
      </c>
      <c r="G1057" s="7" t="s">
        <v>24</v>
      </c>
      <c r="H1057" s="7" t="s">
        <v>25</v>
      </c>
      <c r="I1057" s="7" t="s">
        <v>26</v>
      </c>
      <c r="J1057" s="7">
        <v>240</v>
      </c>
      <c r="K1057" s="7">
        <v>343.2</v>
      </c>
    </row>
    <row r="1058" spans="1:11" ht="18" customHeight="1" x14ac:dyDescent="0.25">
      <c r="A1058" s="7" t="s">
        <v>42</v>
      </c>
      <c r="B1058" s="7">
        <v>2021</v>
      </c>
      <c r="C1058" s="7" t="s">
        <v>20</v>
      </c>
      <c r="D1058" s="7" t="s">
        <v>72</v>
      </c>
      <c r="E1058" s="7" t="s">
        <v>22</v>
      </c>
      <c r="F1058" s="7" t="s">
        <v>23</v>
      </c>
      <c r="G1058" s="7" t="s">
        <v>24</v>
      </c>
      <c r="H1058" s="7" t="s">
        <v>25</v>
      </c>
      <c r="I1058" s="7" t="s">
        <v>26</v>
      </c>
      <c r="J1058" s="7">
        <v>267</v>
      </c>
      <c r="K1058" s="7">
        <v>381.81</v>
      </c>
    </row>
    <row r="1059" spans="1:11" ht="18" customHeight="1" x14ac:dyDescent="0.25">
      <c r="A1059" s="7" t="s">
        <v>19</v>
      </c>
      <c r="B1059" s="7">
        <v>2021</v>
      </c>
      <c r="C1059" s="7" t="s">
        <v>20</v>
      </c>
      <c r="D1059" s="7" t="s">
        <v>72</v>
      </c>
      <c r="E1059" s="7" t="s">
        <v>22</v>
      </c>
      <c r="F1059" s="7" t="s">
        <v>23</v>
      </c>
      <c r="G1059" s="7" t="s">
        <v>24</v>
      </c>
      <c r="H1059" s="7" t="s">
        <v>25</v>
      </c>
      <c r="I1059" s="7" t="s">
        <v>26</v>
      </c>
      <c r="J1059" s="7">
        <v>237</v>
      </c>
      <c r="K1059" s="7">
        <v>338.90999999999997</v>
      </c>
    </row>
    <row r="1060" spans="1:11" ht="18" customHeight="1" x14ac:dyDescent="0.25">
      <c r="A1060" s="7" t="s">
        <v>42</v>
      </c>
      <c r="B1060" s="7">
        <v>2021</v>
      </c>
      <c r="C1060" s="7" t="s">
        <v>20</v>
      </c>
      <c r="D1060" s="7" t="s">
        <v>72</v>
      </c>
      <c r="E1060" s="7" t="s">
        <v>22</v>
      </c>
      <c r="F1060" s="7" t="s">
        <v>23</v>
      </c>
      <c r="G1060" s="7" t="s">
        <v>24</v>
      </c>
      <c r="H1060" s="7" t="s">
        <v>25</v>
      </c>
      <c r="I1060" s="7" t="s">
        <v>26</v>
      </c>
      <c r="J1060" s="7">
        <v>781</v>
      </c>
      <c r="K1060" s="7">
        <v>1116.83</v>
      </c>
    </row>
    <row r="1061" spans="1:11" ht="18" customHeight="1" x14ac:dyDescent="0.25">
      <c r="A1061" s="7" t="s">
        <v>19</v>
      </c>
      <c r="B1061" s="7">
        <v>2021</v>
      </c>
      <c r="C1061" s="7" t="s">
        <v>20</v>
      </c>
      <c r="D1061" s="7" t="s">
        <v>72</v>
      </c>
      <c r="E1061" s="7" t="s">
        <v>22</v>
      </c>
      <c r="F1061" s="7" t="s">
        <v>23</v>
      </c>
      <c r="G1061" s="7" t="s">
        <v>24</v>
      </c>
      <c r="H1061" s="7" t="s">
        <v>25</v>
      </c>
      <c r="I1061" s="7" t="s">
        <v>26</v>
      </c>
      <c r="J1061" s="7">
        <v>814</v>
      </c>
      <c r="K1061" s="7">
        <v>1164.02</v>
      </c>
    </row>
    <row r="1062" spans="1:11" ht="18" customHeight="1" x14ac:dyDescent="0.25">
      <c r="A1062" s="7" t="s">
        <v>19</v>
      </c>
      <c r="B1062" s="7">
        <v>2021</v>
      </c>
      <c r="C1062" s="7" t="s">
        <v>20</v>
      </c>
      <c r="D1062" s="7" t="s">
        <v>72</v>
      </c>
      <c r="E1062" s="7" t="s">
        <v>22</v>
      </c>
      <c r="F1062" s="7" t="s">
        <v>23</v>
      </c>
      <c r="G1062" s="7" t="s">
        <v>24</v>
      </c>
      <c r="H1062" s="7" t="s">
        <v>25</v>
      </c>
      <c r="I1062" s="7" t="s">
        <v>26</v>
      </c>
      <c r="J1062" s="7">
        <v>263</v>
      </c>
      <c r="K1062" s="7">
        <v>376.09000000000003</v>
      </c>
    </row>
    <row r="1063" spans="1:11" ht="18" customHeight="1" x14ac:dyDescent="0.25">
      <c r="A1063" s="7" t="s">
        <v>19</v>
      </c>
      <c r="B1063" s="7">
        <v>2021</v>
      </c>
      <c r="C1063" s="7" t="s">
        <v>20</v>
      </c>
      <c r="D1063" s="7" t="s">
        <v>72</v>
      </c>
      <c r="E1063" s="7" t="s">
        <v>22</v>
      </c>
      <c r="F1063" s="7" t="s">
        <v>23</v>
      </c>
      <c r="G1063" s="7" t="s">
        <v>24</v>
      </c>
      <c r="H1063" s="7" t="s">
        <v>25</v>
      </c>
      <c r="I1063" s="7" t="s">
        <v>26</v>
      </c>
      <c r="J1063" s="7">
        <v>311</v>
      </c>
      <c r="K1063" s="7">
        <v>444.73</v>
      </c>
    </row>
    <row r="1064" spans="1:11" ht="18" customHeight="1" x14ac:dyDescent="0.25">
      <c r="A1064" s="7" t="s">
        <v>34</v>
      </c>
      <c r="B1064" s="7">
        <v>2021</v>
      </c>
      <c r="C1064" s="7" t="s">
        <v>20</v>
      </c>
      <c r="D1064" s="7" t="s">
        <v>72</v>
      </c>
      <c r="E1064" s="7" t="s">
        <v>22</v>
      </c>
      <c r="F1064" s="7" t="s">
        <v>23</v>
      </c>
      <c r="G1064" s="7" t="s">
        <v>24</v>
      </c>
      <c r="H1064" s="7" t="s">
        <v>25</v>
      </c>
      <c r="I1064" s="7" t="s">
        <v>26</v>
      </c>
      <c r="J1064" s="7">
        <v>239</v>
      </c>
      <c r="K1064" s="7">
        <v>341.77</v>
      </c>
    </row>
    <row r="1065" spans="1:11" ht="18" customHeight="1" x14ac:dyDescent="0.25">
      <c r="A1065" s="7" t="s">
        <v>19</v>
      </c>
      <c r="B1065" s="7">
        <v>2021</v>
      </c>
      <c r="C1065" s="7" t="s">
        <v>60</v>
      </c>
      <c r="D1065" s="7" t="s">
        <v>72</v>
      </c>
      <c r="E1065" s="7" t="s">
        <v>22</v>
      </c>
      <c r="F1065" s="7" t="s">
        <v>23</v>
      </c>
      <c r="G1065" s="7" t="s">
        <v>24</v>
      </c>
      <c r="H1065" s="7" t="s">
        <v>25</v>
      </c>
      <c r="I1065" s="7" t="s">
        <v>26</v>
      </c>
      <c r="J1065" s="7">
        <v>242</v>
      </c>
      <c r="K1065" s="7">
        <v>346.06</v>
      </c>
    </row>
    <row r="1066" spans="1:11" ht="18" customHeight="1" x14ac:dyDescent="0.25">
      <c r="A1066" s="7" t="s">
        <v>61</v>
      </c>
      <c r="B1066" s="7">
        <v>2021</v>
      </c>
      <c r="C1066" s="7" t="s">
        <v>60</v>
      </c>
      <c r="D1066" s="7" t="s">
        <v>72</v>
      </c>
      <c r="E1066" s="7" t="s">
        <v>22</v>
      </c>
      <c r="F1066" s="7" t="s">
        <v>23</v>
      </c>
      <c r="G1066" s="7" t="s">
        <v>24</v>
      </c>
      <c r="H1066" s="7" t="s">
        <v>25</v>
      </c>
      <c r="I1066" s="7" t="s">
        <v>26</v>
      </c>
      <c r="J1066" s="7">
        <v>290</v>
      </c>
      <c r="K1066" s="7">
        <v>414.7</v>
      </c>
    </row>
    <row r="1067" spans="1:11" ht="18" customHeight="1" x14ac:dyDescent="0.25">
      <c r="A1067" s="7" t="s">
        <v>34</v>
      </c>
      <c r="B1067" s="7">
        <v>2021</v>
      </c>
      <c r="C1067" s="7" t="s">
        <v>60</v>
      </c>
      <c r="D1067" s="7" t="s">
        <v>21</v>
      </c>
      <c r="E1067" s="7" t="s">
        <v>22</v>
      </c>
      <c r="F1067" s="7" t="s">
        <v>23</v>
      </c>
      <c r="G1067" s="7" t="s">
        <v>24</v>
      </c>
      <c r="H1067" s="7" t="s">
        <v>25</v>
      </c>
      <c r="I1067" s="7" t="s">
        <v>26</v>
      </c>
      <c r="J1067" s="7">
        <v>218</v>
      </c>
      <c r="K1067" s="7">
        <v>311.74</v>
      </c>
    </row>
    <row r="1068" spans="1:11" ht="18" customHeight="1" x14ac:dyDescent="0.25">
      <c r="A1068" s="7" t="s">
        <v>34</v>
      </c>
      <c r="B1068" s="7">
        <v>2021</v>
      </c>
      <c r="C1068" s="7" t="s">
        <v>60</v>
      </c>
      <c r="D1068" s="7" t="s">
        <v>21</v>
      </c>
      <c r="E1068" s="7" t="s">
        <v>22</v>
      </c>
      <c r="F1068" s="7" t="s">
        <v>23</v>
      </c>
      <c r="G1068" s="7" t="s">
        <v>24</v>
      </c>
      <c r="H1068" s="7" t="s">
        <v>25</v>
      </c>
      <c r="I1068" s="7" t="s">
        <v>26</v>
      </c>
      <c r="J1068" s="7">
        <v>244</v>
      </c>
      <c r="K1068" s="7">
        <v>526.24</v>
      </c>
    </row>
    <row r="1069" spans="1:11" ht="18" customHeight="1" x14ac:dyDescent="0.25">
      <c r="A1069" s="7" t="s">
        <v>19</v>
      </c>
      <c r="B1069" s="7">
        <v>2021</v>
      </c>
      <c r="C1069" s="7" t="s">
        <v>60</v>
      </c>
      <c r="D1069" s="7" t="s">
        <v>21</v>
      </c>
      <c r="E1069" s="7" t="s">
        <v>22</v>
      </c>
      <c r="F1069" s="7" t="s">
        <v>23</v>
      </c>
      <c r="G1069" s="7" t="s">
        <v>24</v>
      </c>
      <c r="H1069" s="7" t="s">
        <v>25</v>
      </c>
      <c r="I1069" s="7" t="s">
        <v>26</v>
      </c>
      <c r="J1069" s="7">
        <v>292</v>
      </c>
      <c r="K1069" s="7">
        <v>526.24</v>
      </c>
    </row>
    <row r="1070" spans="1:11" ht="18" customHeight="1" x14ac:dyDescent="0.25">
      <c r="A1070" s="7" t="s">
        <v>34</v>
      </c>
      <c r="B1070" s="7">
        <v>2021</v>
      </c>
      <c r="C1070" s="7" t="s">
        <v>60</v>
      </c>
      <c r="D1070" s="7" t="s">
        <v>21</v>
      </c>
      <c r="E1070" s="7" t="s">
        <v>22</v>
      </c>
      <c r="F1070" s="7" t="s">
        <v>23</v>
      </c>
      <c r="G1070" s="7" t="s">
        <v>24</v>
      </c>
      <c r="H1070" s="7" t="s">
        <v>25</v>
      </c>
      <c r="I1070" s="7" t="s">
        <v>26</v>
      </c>
      <c r="J1070" s="7">
        <v>1003</v>
      </c>
      <c r="K1070" s="7">
        <v>1434.29</v>
      </c>
    </row>
    <row r="1071" spans="1:11" ht="18" customHeight="1" x14ac:dyDescent="0.25">
      <c r="A1071" s="7" t="s">
        <v>34</v>
      </c>
      <c r="B1071" s="7">
        <v>2021</v>
      </c>
      <c r="C1071" s="7" t="s">
        <v>60</v>
      </c>
      <c r="D1071" s="7" t="s">
        <v>21</v>
      </c>
      <c r="E1071" s="7" t="s">
        <v>22</v>
      </c>
      <c r="F1071" s="7" t="s">
        <v>23</v>
      </c>
      <c r="G1071" s="7" t="s">
        <v>24</v>
      </c>
      <c r="H1071" s="7" t="s">
        <v>25</v>
      </c>
      <c r="I1071" s="7" t="s">
        <v>26</v>
      </c>
      <c r="J1071" s="7">
        <v>1037</v>
      </c>
      <c r="K1071" s="7">
        <v>1482.9099999999999</v>
      </c>
    </row>
    <row r="1072" spans="1:11" ht="18" customHeight="1" x14ac:dyDescent="0.25">
      <c r="A1072" s="7" t="s">
        <v>19</v>
      </c>
      <c r="B1072" s="7">
        <v>2021</v>
      </c>
      <c r="C1072" s="7" t="s">
        <v>60</v>
      </c>
      <c r="D1072" s="7" t="s">
        <v>21</v>
      </c>
      <c r="E1072" s="7" t="s">
        <v>22</v>
      </c>
      <c r="F1072" s="7" t="s">
        <v>23</v>
      </c>
      <c r="G1072" s="7" t="s">
        <v>24</v>
      </c>
      <c r="H1072" s="7" t="s">
        <v>25</v>
      </c>
      <c r="I1072" s="7" t="s">
        <v>26</v>
      </c>
      <c r="J1072" s="7">
        <v>216</v>
      </c>
      <c r="K1072" s="7">
        <v>308.88</v>
      </c>
    </row>
    <row r="1073" spans="1:11" ht="18" customHeight="1" x14ac:dyDescent="0.25">
      <c r="A1073" s="7" t="s">
        <v>19</v>
      </c>
      <c r="B1073" s="7">
        <v>2021</v>
      </c>
      <c r="C1073" s="7" t="s">
        <v>60</v>
      </c>
      <c r="D1073" s="7" t="s">
        <v>21</v>
      </c>
      <c r="E1073" s="7" t="s">
        <v>22</v>
      </c>
      <c r="F1073" s="7" t="s">
        <v>23</v>
      </c>
      <c r="G1073" s="7" t="s">
        <v>24</v>
      </c>
      <c r="H1073" s="7" t="s">
        <v>25</v>
      </c>
      <c r="I1073" s="7" t="s">
        <v>26</v>
      </c>
      <c r="J1073" s="7">
        <v>243</v>
      </c>
      <c r="K1073" s="7">
        <v>347.49</v>
      </c>
    </row>
    <row r="1074" spans="1:11" ht="18" customHeight="1" x14ac:dyDescent="0.25">
      <c r="A1074" s="7" t="s">
        <v>19</v>
      </c>
      <c r="B1074" s="7">
        <v>2021</v>
      </c>
      <c r="C1074" s="7" t="s">
        <v>60</v>
      </c>
      <c r="D1074" s="7" t="s">
        <v>21</v>
      </c>
      <c r="E1074" s="7" t="s">
        <v>22</v>
      </c>
      <c r="F1074" s="7" t="s">
        <v>23</v>
      </c>
      <c r="G1074" s="7" t="s">
        <v>24</v>
      </c>
      <c r="H1074" s="7" t="s">
        <v>25</v>
      </c>
      <c r="I1074" s="7" t="s">
        <v>26</v>
      </c>
      <c r="J1074" s="7">
        <v>291</v>
      </c>
      <c r="K1074" s="7">
        <v>416.13</v>
      </c>
    </row>
    <row r="1075" spans="1:11" ht="18" customHeight="1" x14ac:dyDescent="0.25">
      <c r="A1075" s="7" t="s">
        <v>34</v>
      </c>
      <c r="B1075" s="7">
        <v>2021</v>
      </c>
      <c r="C1075" s="7" t="s">
        <v>60</v>
      </c>
      <c r="D1075" s="7" t="s">
        <v>21</v>
      </c>
      <c r="E1075" s="7" t="s">
        <v>22</v>
      </c>
      <c r="F1075" s="7" t="s">
        <v>23</v>
      </c>
      <c r="G1075" s="7" t="s">
        <v>24</v>
      </c>
      <c r="H1075" s="7" t="s">
        <v>25</v>
      </c>
      <c r="I1075" s="7" t="s">
        <v>26</v>
      </c>
      <c r="J1075" s="7">
        <v>219</v>
      </c>
      <c r="K1075" s="7">
        <v>313.17</v>
      </c>
    </row>
    <row r="1076" spans="1:11" ht="18" customHeight="1" x14ac:dyDescent="0.25">
      <c r="A1076" s="7" t="s">
        <v>19</v>
      </c>
      <c r="B1076" s="7">
        <v>2021</v>
      </c>
      <c r="C1076" s="7" t="s">
        <v>60</v>
      </c>
      <c r="D1076" s="7" t="s">
        <v>21</v>
      </c>
      <c r="E1076" s="7" t="s">
        <v>22</v>
      </c>
      <c r="F1076" s="7" t="s">
        <v>23</v>
      </c>
      <c r="G1076" s="7" t="s">
        <v>24</v>
      </c>
      <c r="H1076" s="7" t="s">
        <v>25</v>
      </c>
      <c r="I1076" s="7" t="s">
        <v>26</v>
      </c>
      <c r="J1076" s="7">
        <v>818</v>
      </c>
      <c r="K1076" s="7">
        <v>1169.74</v>
      </c>
    </row>
    <row r="1077" spans="1:11" ht="18" customHeight="1" x14ac:dyDescent="0.25">
      <c r="A1077" s="7" t="s">
        <v>34</v>
      </c>
      <c r="B1077" s="7">
        <v>2021</v>
      </c>
      <c r="C1077" s="7" t="s">
        <v>60</v>
      </c>
      <c r="D1077" s="7" t="s">
        <v>21</v>
      </c>
      <c r="E1077" s="7" t="s">
        <v>22</v>
      </c>
      <c r="F1077" s="7" t="s">
        <v>23</v>
      </c>
      <c r="G1077" s="7" t="s">
        <v>24</v>
      </c>
      <c r="H1077" s="7" t="s">
        <v>25</v>
      </c>
      <c r="I1077" s="7" t="s">
        <v>26</v>
      </c>
      <c r="J1077" s="7">
        <v>871</v>
      </c>
      <c r="K1077" s="7">
        <v>1245.53</v>
      </c>
    </row>
    <row r="1078" spans="1:11" ht="18" customHeight="1" x14ac:dyDescent="0.25">
      <c r="A1078" s="7" t="s">
        <v>34</v>
      </c>
      <c r="B1078" s="7">
        <v>2021</v>
      </c>
      <c r="C1078" s="7" t="s">
        <v>60</v>
      </c>
      <c r="D1078" s="7" t="s">
        <v>21</v>
      </c>
      <c r="E1078" s="7" t="s">
        <v>22</v>
      </c>
      <c r="F1078" s="7" t="s">
        <v>23</v>
      </c>
      <c r="G1078" s="7" t="s">
        <v>24</v>
      </c>
      <c r="H1078" s="7" t="s">
        <v>25</v>
      </c>
      <c r="I1078" s="7" t="s">
        <v>26</v>
      </c>
      <c r="J1078" s="7">
        <v>245</v>
      </c>
      <c r="K1078" s="7">
        <v>350.35</v>
      </c>
    </row>
    <row r="1079" spans="1:11" ht="18" customHeight="1" x14ac:dyDescent="0.25">
      <c r="A1079" s="7" t="s">
        <v>19</v>
      </c>
      <c r="B1079" s="7">
        <v>2021</v>
      </c>
      <c r="C1079" s="7" t="s">
        <v>60</v>
      </c>
      <c r="D1079" s="7" t="s">
        <v>21</v>
      </c>
      <c r="E1079" s="7" t="s">
        <v>22</v>
      </c>
      <c r="F1079" s="7" t="s">
        <v>23</v>
      </c>
      <c r="G1079" s="7" t="s">
        <v>24</v>
      </c>
      <c r="H1079" s="7" t="s">
        <v>25</v>
      </c>
      <c r="I1079" s="7" t="s">
        <v>26</v>
      </c>
      <c r="J1079" s="7">
        <v>293</v>
      </c>
      <c r="K1079" s="7">
        <v>418.99</v>
      </c>
    </row>
    <row r="1080" spans="1:11" ht="18" customHeight="1" x14ac:dyDescent="0.25">
      <c r="A1080" s="7" t="s">
        <v>19</v>
      </c>
      <c r="B1080" s="7">
        <v>2021</v>
      </c>
      <c r="C1080" s="7" t="s">
        <v>60</v>
      </c>
      <c r="D1080" s="7" t="s">
        <v>21</v>
      </c>
      <c r="E1080" s="7" t="s">
        <v>22</v>
      </c>
      <c r="F1080" s="7" t="s">
        <v>23</v>
      </c>
      <c r="G1080" s="7" t="s">
        <v>24</v>
      </c>
      <c r="H1080" s="7" t="s">
        <v>25</v>
      </c>
      <c r="I1080" s="7" t="s">
        <v>26</v>
      </c>
      <c r="J1080" s="7">
        <v>215</v>
      </c>
      <c r="K1080" s="7">
        <v>307.45</v>
      </c>
    </row>
    <row r="1081" spans="1:11" ht="18" customHeight="1" x14ac:dyDescent="0.25">
      <c r="A1081" s="7" t="s">
        <v>19</v>
      </c>
      <c r="B1081" s="7">
        <v>2021</v>
      </c>
      <c r="C1081" s="7" t="s">
        <v>65</v>
      </c>
      <c r="D1081" s="7" t="s">
        <v>21</v>
      </c>
      <c r="E1081" s="7" t="s">
        <v>22</v>
      </c>
      <c r="F1081" s="7" t="s">
        <v>23</v>
      </c>
      <c r="G1081" s="7" t="s">
        <v>24</v>
      </c>
      <c r="H1081" s="7" t="s">
        <v>25</v>
      </c>
      <c r="I1081" s="7" t="s">
        <v>35</v>
      </c>
      <c r="J1081" s="7">
        <v>248</v>
      </c>
      <c r="K1081" s="7">
        <v>354.64</v>
      </c>
    </row>
    <row r="1082" spans="1:11" ht="18" customHeight="1" x14ac:dyDescent="0.25">
      <c r="A1082" s="7" t="s">
        <v>53</v>
      </c>
      <c r="B1082" s="7">
        <v>2021</v>
      </c>
      <c r="C1082" s="7" t="s">
        <v>65</v>
      </c>
      <c r="D1082" s="7" t="s">
        <v>21</v>
      </c>
      <c r="E1082" s="7" t="s">
        <v>22</v>
      </c>
      <c r="F1082" s="7" t="s">
        <v>23</v>
      </c>
      <c r="G1082" s="7" t="s">
        <v>24</v>
      </c>
      <c r="H1082" s="7" t="s">
        <v>25</v>
      </c>
      <c r="I1082" s="7" t="s">
        <v>35</v>
      </c>
      <c r="J1082" s="7">
        <v>242</v>
      </c>
      <c r="K1082" s="7">
        <v>346.06</v>
      </c>
    </row>
    <row r="1083" spans="1:11" ht="18" customHeight="1" x14ac:dyDescent="0.25">
      <c r="A1083" s="7" t="s">
        <v>34</v>
      </c>
      <c r="B1083" s="7">
        <v>2021</v>
      </c>
      <c r="C1083" s="7" t="s">
        <v>65</v>
      </c>
      <c r="D1083" s="7" t="s">
        <v>21</v>
      </c>
      <c r="E1083" s="7" t="s">
        <v>22</v>
      </c>
      <c r="F1083" s="7" t="s">
        <v>23</v>
      </c>
      <c r="G1083" s="7" t="s">
        <v>24</v>
      </c>
      <c r="H1083" s="7" t="s">
        <v>25</v>
      </c>
      <c r="I1083" s="7" t="s">
        <v>35</v>
      </c>
      <c r="J1083" s="7">
        <v>236</v>
      </c>
      <c r="K1083" s="7">
        <v>337.48</v>
      </c>
    </row>
    <row r="1084" spans="1:11" ht="18" customHeight="1" x14ac:dyDescent="0.25">
      <c r="A1084" s="7" t="s">
        <v>34</v>
      </c>
      <c r="B1084" s="7">
        <v>2021</v>
      </c>
      <c r="C1084" s="7" t="s">
        <v>65</v>
      </c>
      <c r="D1084" s="7" t="s">
        <v>21</v>
      </c>
      <c r="E1084" s="7" t="s">
        <v>22</v>
      </c>
      <c r="F1084" s="7" t="s">
        <v>23</v>
      </c>
      <c r="G1084" s="7" t="s">
        <v>24</v>
      </c>
      <c r="H1084" s="7" t="s">
        <v>25</v>
      </c>
      <c r="I1084" s="7" t="s">
        <v>26</v>
      </c>
      <c r="J1084" s="7">
        <v>224</v>
      </c>
      <c r="K1084" s="7">
        <v>320.32</v>
      </c>
    </row>
    <row r="1085" spans="1:11" ht="18" customHeight="1" x14ac:dyDescent="0.25">
      <c r="A1085" s="7" t="s">
        <v>19</v>
      </c>
      <c r="B1085" s="7">
        <v>2021</v>
      </c>
      <c r="C1085" s="7" t="s">
        <v>65</v>
      </c>
      <c r="D1085" s="7" t="s">
        <v>21</v>
      </c>
      <c r="E1085" s="7" t="s">
        <v>22</v>
      </c>
      <c r="F1085" s="7" t="s">
        <v>23</v>
      </c>
      <c r="G1085" s="7" t="s">
        <v>24</v>
      </c>
      <c r="H1085" s="7" t="s">
        <v>25</v>
      </c>
      <c r="I1085" s="7" t="s">
        <v>26</v>
      </c>
      <c r="J1085" s="7">
        <v>250</v>
      </c>
      <c r="K1085" s="7">
        <v>357.5</v>
      </c>
    </row>
    <row r="1086" spans="1:11" ht="18" customHeight="1" x14ac:dyDescent="0.25">
      <c r="A1086" s="7" t="s">
        <v>42</v>
      </c>
      <c r="B1086" s="7">
        <v>2021</v>
      </c>
      <c r="C1086" s="7" t="s">
        <v>65</v>
      </c>
      <c r="D1086" s="7" t="s">
        <v>21</v>
      </c>
      <c r="E1086" s="7" t="s">
        <v>22</v>
      </c>
      <c r="F1086" s="7" t="s">
        <v>23</v>
      </c>
      <c r="G1086" s="7" t="s">
        <v>24</v>
      </c>
      <c r="H1086" s="7" t="s">
        <v>25</v>
      </c>
      <c r="I1086" s="7" t="s">
        <v>26</v>
      </c>
      <c r="J1086" s="7">
        <v>244</v>
      </c>
      <c r="K1086" s="7">
        <v>348.92</v>
      </c>
    </row>
    <row r="1087" spans="1:11" ht="18" customHeight="1" x14ac:dyDescent="0.25">
      <c r="A1087" s="7" t="s">
        <v>42</v>
      </c>
      <c r="B1087" s="7">
        <v>2021</v>
      </c>
      <c r="C1087" s="7" t="s">
        <v>65</v>
      </c>
      <c r="D1087" s="7" t="s">
        <v>21</v>
      </c>
      <c r="E1087" s="7" t="s">
        <v>22</v>
      </c>
      <c r="F1087" s="7" t="s">
        <v>23</v>
      </c>
      <c r="G1087" s="7" t="s">
        <v>24</v>
      </c>
      <c r="H1087" s="7" t="s">
        <v>25</v>
      </c>
      <c r="I1087" s="7" t="s">
        <v>26</v>
      </c>
      <c r="J1087" s="7">
        <v>238</v>
      </c>
      <c r="K1087" s="7">
        <v>340.34000000000003</v>
      </c>
    </row>
    <row r="1088" spans="1:11" ht="18" customHeight="1" x14ac:dyDescent="0.25">
      <c r="A1088" s="7" t="s">
        <v>34</v>
      </c>
      <c r="B1088" s="7">
        <v>2021</v>
      </c>
      <c r="C1088" s="7" t="s">
        <v>65</v>
      </c>
      <c r="D1088" s="7" t="s">
        <v>21</v>
      </c>
      <c r="E1088" s="7" t="s">
        <v>22</v>
      </c>
      <c r="F1088" s="7" t="s">
        <v>23</v>
      </c>
      <c r="G1088" s="7" t="s">
        <v>24</v>
      </c>
      <c r="H1088" s="7" t="s">
        <v>25</v>
      </c>
      <c r="I1088" s="7" t="s">
        <v>26</v>
      </c>
      <c r="J1088" s="7">
        <v>220</v>
      </c>
      <c r="K1088" s="7">
        <v>526.24</v>
      </c>
    </row>
    <row r="1089" spans="1:11" ht="18" customHeight="1" x14ac:dyDescent="0.25">
      <c r="A1089" s="7" t="s">
        <v>34</v>
      </c>
      <c r="B1089" s="7">
        <v>2021</v>
      </c>
      <c r="C1089" s="7" t="s">
        <v>65</v>
      </c>
      <c r="D1089" s="7" t="s">
        <v>21</v>
      </c>
      <c r="E1089" s="7" t="s">
        <v>22</v>
      </c>
      <c r="F1089" s="7" t="s">
        <v>23</v>
      </c>
      <c r="G1089" s="7" t="s">
        <v>24</v>
      </c>
      <c r="H1089" s="7" t="s">
        <v>25</v>
      </c>
      <c r="I1089" s="7" t="s">
        <v>26</v>
      </c>
      <c r="J1089" s="7">
        <v>268</v>
      </c>
      <c r="K1089" s="7">
        <v>526.24</v>
      </c>
    </row>
    <row r="1090" spans="1:11" ht="18" customHeight="1" x14ac:dyDescent="0.25">
      <c r="A1090" s="7" t="s">
        <v>34</v>
      </c>
      <c r="B1090" s="7">
        <v>2021</v>
      </c>
      <c r="C1090" s="7" t="s">
        <v>65</v>
      </c>
      <c r="D1090" s="7" t="s">
        <v>21</v>
      </c>
      <c r="E1090" s="7" t="s">
        <v>22</v>
      </c>
      <c r="F1090" s="7" t="s">
        <v>23</v>
      </c>
      <c r="G1090" s="7" t="s">
        <v>24</v>
      </c>
      <c r="H1090" s="7" t="s">
        <v>25</v>
      </c>
      <c r="I1090" s="7" t="s">
        <v>26</v>
      </c>
      <c r="J1090" s="7">
        <v>1007</v>
      </c>
      <c r="K1090" s="7">
        <v>1440.01</v>
      </c>
    </row>
    <row r="1091" spans="1:11" ht="18" customHeight="1" x14ac:dyDescent="0.25">
      <c r="A1091" s="7" t="s">
        <v>34</v>
      </c>
      <c r="B1091" s="7">
        <v>2021</v>
      </c>
      <c r="C1091" s="7" t="s">
        <v>65</v>
      </c>
      <c r="D1091" s="7" t="s">
        <v>21</v>
      </c>
      <c r="E1091" s="7" t="s">
        <v>22</v>
      </c>
      <c r="F1091" s="7" t="s">
        <v>23</v>
      </c>
      <c r="G1091" s="7" t="s">
        <v>24</v>
      </c>
      <c r="H1091" s="7" t="s">
        <v>25</v>
      </c>
      <c r="I1091" s="7" t="s">
        <v>26</v>
      </c>
      <c r="J1091" s="7">
        <v>1040</v>
      </c>
      <c r="K1091" s="7">
        <v>1487.2</v>
      </c>
    </row>
    <row r="1092" spans="1:11" ht="18" customHeight="1" x14ac:dyDescent="0.25">
      <c r="A1092" s="7" t="s">
        <v>19</v>
      </c>
      <c r="B1092" s="7">
        <v>2021</v>
      </c>
      <c r="C1092" s="7" t="s">
        <v>65</v>
      </c>
      <c r="D1092" s="7" t="s">
        <v>21</v>
      </c>
      <c r="E1092" s="7" t="s">
        <v>22</v>
      </c>
      <c r="F1092" s="7" t="s">
        <v>23</v>
      </c>
      <c r="G1092" s="7" t="s">
        <v>24</v>
      </c>
      <c r="H1092" s="7" t="s">
        <v>25</v>
      </c>
      <c r="I1092" s="7" t="s">
        <v>26</v>
      </c>
      <c r="J1092" s="7">
        <v>225</v>
      </c>
      <c r="K1092" s="7">
        <v>321.75</v>
      </c>
    </row>
    <row r="1093" spans="1:11" ht="18" customHeight="1" x14ac:dyDescent="0.25">
      <c r="A1093" s="7" t="s">
        <v>19</v>
      </c>
      <c r="B1093" s="7">
        <v>2021</v>
      </c>
      <c r="C1093" s="7" t="s">
        <v>65</v>
      </c>
      <c r="D1093" s="7" t="s">
        <v>21</v>
      </c>
      <c r="E1093" s="7" t="s">
        <v>22</v>
      </c>
      <c r="F1093" s="7" t="s">
        <v>23</v>
      </c>
      <c r="G1093" s="7" t="s">
        <v>24</v>
      </c>
      <c r="H1093" s="7" t="s">
        <v>25</v>
      </c>
      <c r="I1093" s="7" t="s">
        <v>26</v>
      </c>
      <c r="J1093" s="7">
        <v>267</v>
      </c>
      <c r="K1093" s="7">
        <v>381.81</v>
      </c>
    </row>
    <row r="1094" spans="1:11" ht="18" customHeight="1" x14ac:dyDescent="0.25">
      <c r="A1094" s="7" t="s">
        <v>34</v>
      </c>
      <c r="B1094" s="7">
        <v>2021</v>
      </c>
      <c r="C1094" s="7" t="s">
        <v>65</v>
      </c>
      <c r="D1094" s="7" t="s">
        <v>21</v>
      </c>
      <c r="E1094" s="7" t="s">
        <v>22</v>
      </c>
      <c r="F1094" s="7" t="s">
        <v>23</v>
      </c>
      <c r="G1094" s="7" t="s">
        <v>24</v>
      </c>
      <c r="H1094" s="7" t="s">
        <v>25</v>
      </c>
      <c r="I1094" s="7" t="s">
        <v>26</v>
      </c>
      <c r="J1094" s="7">
        <v>247</v>
      </c>
      <c r="K1094" s="7">
        <v>353.21</v>
      </c>
    </row>
    <row r="1095" spans="1:11" ht="18" customHeight="1" x14ac:dyDescent="0.25">
      <c r="A1095" s="7" t="s">
        <v>34</v>
      </c>
      <c r="B1095" s="7">
        <v>2021</v>
      </c>
      <c r="C1095" s="7" t="s">
        <v>65</v>
      </c>
      <c r="D1095" s="7" t="s">
        <v>21</v>
      </c>
      <c r="E1095" s="7" t="s">
        <v>22</v>
      </c>
      <c r="F1095" s="7" t="s">
        <v>23</v>
      </c>
      <c r="G1095" s="7" t="s">
        <v>24</v>
      </c>
      <c r="H1095" s="7" t="s">
        <v>25</v>
      </c>
      <c r="I1095" s="7" t="s">
        <v>26</v>
      </c>
      <c r="J1095" s="7">
        <v>241</v>
      </c>
      <c r="K1095" s="7">
        <v>344.63</v>
      </c>
    </row>
    <row r="1096" spans="1:11" ht="18" customHeight="1" x14ac:dyDescent="0.25">
      <c r="A1096" s="7" t="s">
        <v>34</v>
      </c>
      <c r="B1096" s="7">
        <v>2021</v>
      </c>
      <c r="C1096" s="7" t="s">
        <v>65</v>
      </c>
      <c r="D1096" s="7" t="s">
        <v>21</v>
      </c>
      <c r="E1096" s="7" t="s">
        <v>22</v>
      </c>
      <c r="F1096" s="7" t="s">
        <v>23</v>
      </c>
      <c r="G1096" s="7" t="s">
        <v>24</v>
      </c>
      <c r="H1096" s="7" t="s">
        <v>25</v>
      </c>
      <c r="I1096" s="7" t="s">
        <v>26</v>
      </c>
      <c r="J1096" s="7">
        <v>235</v>
      </c>
      <c r="K1096" s="7">
        <v>336.05</v>
      </c>
    </row>
    <row r="1097" spans="1:11" ht="18" customHeight="1" x14ac:dyDescent="0.25">
      <c r="A1097" s="7" t="s">
        <v>42</v>
      </c>
      <c r="B1097" s="7">
        <v>2021</v>
      </c>
      <c r="C1097" s="7" t="s">
        <v>65</v>
      </c>
      <c r="D1097" s="7" t="s">
        <v>21</v>
      </c>
      <c r="E1097" s="7" t="s">
        <v>22</v>
      </c>
      <c r="F1097" s="7" t="s">
        <v>23</v>
      </c>
      <c r="G1097" s="7" t="s">
        <v>24</v>
      </c>
      <c r="H1097" s="7" t="s">
        <v>25</v>
      </c>
      <c r="I1097" s="7" t="s">
        <v>26</v>
      </c>
      <c r="J1097" s="7">
        <v>788</v>
      </c>
      <c r="K1097" s="7">
        <v>1126.8399999999999</v>
      </c>
    </row>
    <row r="1098" spans="1:11" ht="18" customHeight="1" x14ac:dyDescent="0.25">
      <c r="A1098" s="7" t="s">
        <v>34</v>
      </c>
      <c r="B1098" s="7">
        <v>2021</v>
      </c>
      <c r="C1098" s="7" t="s">
        <v>65</v>
      </c>
      <c r="D1098" s="7" t="s">
        <v>21</v>
      </c>
      <c r="E1098" s="7" t="s">
        <v>22</v>
      </c>
      <c r="F1098" s="7" t="s">
        <v>23</v>
      </c>
      <c r="G1098" s="7" t="s">
        <v>24</v>
      </c>
      <c r="H1098" s="7" t="s">
        <v>25</v>
      </c>
      <c r="I1098" s="7" t="s">
        <v>26</v>
      </c>
      <c r="J1098" s="7">
        <v>821</v>
      </c>
      <c r="K1098" s="7">
        <v>1174.03</v>
      </c>
    </row>
    <row r="1099" spans="1:11" ht="18" customHeight="1" x14ac:dyDescent="0.25">
      <c r="A1099" s="7" t="s">
        <v>19</v>
      </c>
      <c r="B1099" s="7">
        <v>2021</v>
      </c>
      <c r="C1099" s="7" t="s">
        <v>65</v>
      </c>
      <c r="D1099" s="7" t="s">
        <v>21</v>
      </c>
      <c r="E1099" s="7" t="s">
        <v>22</v>
      </c>
      <c r="F1099" s="7" t="s">
        <v>23</v>
      </c>
      <c r="G1099" s="7" t="s">
        <v>24</v>
      </c>
      <c r="H1099" s="7" t="s">
        <v>25</v>
      </c>
      <c r="I1099" s="7" t="s">
        <v>35</v>
      </c>
      <c r="J1099" s="7">
        <v>245</v>
      </c>
      <c r="K1099" s="7">
        <v>350.35</v>
      </c>
    </row>
    <row r="1100" spans="1:11" ht="18" customHeight="1" x14ac:dyDescent="0.25">
      <c r="A1100" s="7" t="s">
        <v>19</v>
      </c>
      <c r="B1100" s="7">
        <v>2021</v>
      </c>
      <c r="C1100" s="7" t="s">
        <v>65</v>
      </c>
      <c r="D1100" s="7" t="s">
        <v>21</v>
      </c>
      <c r="E1100" s="7" t="s">
        <v>22</v>
      </c>
      <c r="F1100" s="7" t="s">
        <v>23</v>
      </c>
      <c r="G1100" s="7" t="s">
        <v>24</v>
      </c>
      <c r="H1100" s="7" t="s">
        <v>25</v>
      </c>
      <c r="I1100" s="7" t="s">
        <v>35</v>
      </c>
      <c r="J1100" s="7">
        <v>239</v>
      </c>
      <c r="K1100" s="7">
        <v>341.77</v>
      </c>
    </row>
    <row r="1101" spans="1:11" ht="18" customHeight="1" x14ac:dyDescent="0.25">
      <c r="A1101" s="7" t="s">
        <v>42</v>
      </c>
      <c r="B1101" s="7">
        <v>2021</v>
      </c>
      <c r="C1101" s="7" t="s">
        <v>65</v>
      </c>
      <c r="D1101" s="7" t="s">
        <v>21</v>
      </c>
      <c r="E1101" s="7" t="s">
        <v>22</v>
      </c>
      <c r="F1101" s="7" t="s">
        <v>23</v>
      </c>
      <c r="G1101" s="7" t="s">
        <v>24</v>
      </c>
      <c r="H1101" s="7" t="s">
        <v>25</v>
      </c>
      <c r="I1101" s="7" t="s">
        <v>26</v>
      </c>
      <c r="J1101" s="7">
        <v>221</v>
      </c>
      <c r="K1101" s="7">
        <v>316.02999999999997</v>
      </c>
    </row>
    <row r="1102" spans="1:11" ht="18" customHeight="1" x14ac:dyDescent="0.25">
      <c r="A1102" s="7" t="s">
        <v>19</v>
      </c>
      <c r="B1102" s="7">
        <v>2021</v>
      </c>
      <c r="C1102" s="7" t="s">
        <v>65</v>
      </c>
      <c r="D1102" s="7" t="s">
        <v>21</v>
      </c>
      <c r="E1102" s="7" t="s">
        <v>22</v>
      </c>
      <c r="F1102" s="7" t="s">
        <v>23</v>
      </c>
      <c r="G1102" s="7" t="s">
        <v>24</v>
      </c>
      <c r="H1102" s="7" t="s">
        <v>25</v>
      </c>
      <c r="I1102" s="7" t="s">
        <v>26</v>
      </c>
      <c r="J1102" s="7">
        <v>269</v>
      </c>
      <c r="K1102" s="7">
        <v>384.67</v>
      </c>
    </row>
    <row r="1103" spans="1:11" ht="18" customHeight="1" x14ac:dyDescent="0.25">
      <c r="A1103" s="7" t="s">
        <v>19</v>
      </c>
      <c r="B1103" s="7">
        <v>2021</v>
      </c>
      <c r="C1103" s="7" t="s">
        <v>59</v>
      </c>
      <c r="D1103" s="7" t="s">
        <v>21</v>
      </c>
      <c r="E1103" s="7" t="s">
        <v>22</v>
      </c>
      <c r="F1103" s="7" t="s">
        <v>23</v>
      </c>
      <c r="G1103" s="7" t="s">
        <v>24</v>
      </c>
      <c r="H1103" s="7" t="s">
        <v>25</v>
      </c>
      <c r="I1103" s="7" t="s">
        <v>26</v>
      </c>
      <c r="J1103" s="7">
        <v>278</v>
      </c>
      <c r="K1103" s="7">
        <v>397.53999999999996</v>
      </c>
    </row>
    <row r="1104" spans="1:11" ht="18" customHeight="1" x14ac:dyDescent="0.25">
      <c r="A1104" s="7" t="s">
        <v>34</v>
      </c>
      <c r="B1104" s="7">
        <v>2021</v>
      </c>
      <c r="C1104" s="7" t="s">
        <v>59</v>
      </c>
      <c r="D1104" s="7" t="s">
        <v>21</v>
      </c>
      <c r="E1104" s="7" t="s">
        <v>22</v>
      </c>
      <c r="F1104" s="7" t="s">
        <v>23</v>
      </c>
      <c r="G1104" s="7" t="s">
        <v>24</v>
      </c>
      <c r="H1104" s="7" t="s">
        <v>25</v>
      </c>
      <c r="I1104" s="7" t="s">
        <v>26</v>
      </c>
      <c r="J1104" s="7">
        <v>320</v>
      </c>
      <c r="K1104" s="7">
        <v>457.6</v>
      </c>
    </row>
    <row r="1105" spans="1:11" ht="18" customHeight="1" x14ac:dyDescent="0.25">
      <c r="A1105" s="7" t="s">
        <v>34</v>
      </c>
      <c r="B1105" s="7">
        <v>2021</v>
      </c>
      <c r="C1105" s="7" t="s">
        <v>59</v>
      </c>
      <c r="D1105" s="7" t="s">
        <v>21</v>
      </c>
      <c r="E1105" s="7" t="s">
        <v>22</v>
      </c>
      <c r="F1105" s="7" t="s">
        <v>23</v>
      </c>
      <c r="G1105" s="7" t="s">
        <v>24</v>
      </c>
      <c r="H1105" s="7" t="s">
        <v>25</v>
      </c>
      <c r="I1105" s="7" t="s">
        <v>26</v>
      </c>
      <c r="J1105" s="7">
        <v>248</v>
      </c>
      <c r="K1105" s="7">
        <v>354.64</v>
      </c>
    </row>
    <row r="1106" spans="1:11" ht="18" customHeight="1" x14ac:dyDescent="0.25">
      <c r="A1106" s="7" t="s">
        <v>19</v>
      </c>
      <c r="B1106" s="7">
        <v>2021</v>
      </c>
      <c r="C1106" s="7" t="s">
        <v>59</v>
      </c>
      <c r="D1106" s="7" t="s">
        <v>21</v>
      </c>
      <c r="E1106" s="7" t="s">
        <v>22</v>
      </c>
      <c r="F1106" s="7" t="s">
        <v>23</v>
      </c>
      <c r="G1106" s="7" t="s">
        <v>24</v>
      </c>
      <c r="H1106" s="7" t="s">
        <v>25</v>
      </c>
      <c r="I1106" s="7" t="s">
        <v>26</v>
      </c>
      <c r="J1106" s="7">
        <v>274</v>
      </c>
      <c r="K1106" s="7">
        <v>526.24</v>
      </c>
    </row>
    <row r="1107" spans="1:11" ht="18" customHeight="1" x14ac:dyDescent="0.25">
      <c r="A1107" s="7" t="s">
        <v>34</v>
      </c>
      <c r="B1107" s="7">
        <v>2021</v>
      </c>
      <c r="C1107" s="7" t="s">
        <v>59</v>
      </c>
      <c r="D1107" s="7" t="s">
        <v>21</v>
      </c>
      <c r="E1107" s="7" t="s">
        <v>22</v>
      </c>
      <c r="F1107" s="7" t="s">
        <v>23</v>
      </c>
      <c r="G1107" s="7" t="s">
        <v>24</v>
      </c>
      <c r="H1107" s="7" t="s">
        <v>25</v>
      </c>
      <c r="I1107" s="7" t="s">
        <v>26</v>
      </c>
      <c r="J1107" s="7">
        <v>322</v>
      </c>
      <c r="K1107" s="7">
        <v>526.24</v>
      </c>
    </row>
    <row r="1108" spans="1:11" ht="18" customHeight="1" x14ac:dyDescent="0.25">
      <c r="A1108" s="7" t="s">
        <v>34</v>
      </c>
      <c r="B1108" s="7">
        <v>2021</v>
      </c>
      <c r="C1108" s="7" t="s">
        <v>59</v>
      </c>
      <c r="D1108" s="7" t="s">
        <v>21</v>
      </c>
      <c r="E1108" s="7" t="s">
        <v>22</v>
      </c>
      <c r="F1108" s="7" t="s">
        <v>23</v>
      </c>
      <c r="G1108" s="7" t="s">
        <v>24</v>
      </c>
      <c r="H1108" s="7" t="s">
        <v>25</v>
      </c>
      <c r="I1108" s="7" t="s">
        <v>26</v>
      </c>
      <c r="J1108" s="7">
        <v>250</v>
      </c>
      <c r="K1108" s="7">
        <v>526.24</v>
      </c>
    </row>
    <row r="1109" spans="1:11" ht="18" customHeight="1" x14ac:dyDescent="0.25">
      <c r="A1109" s="7" t="s">
        <v>61</v>
      </c>
      <c r="B1109" s="7">
        <v>2021</v>
      </c>
      <c r="C1109" s="7" t="s">
        <v>59</v>
      </c>
      <c r="D1109" s="7" t="s">
        <v>21</v>
      </c>
      <c r="E1109" s="7" t="s">
        <v>22</v>
      </c>
      <c r="F1109" s="7" t="s">
        <v>23</v>
      </c>
      <c r="G1109" s="7" t="s">
        <v>24</v>
      </c>
      <c r="H1109" s="7" t="s">
        <v>25</v>
      </c>
      <c r="I1109" s="7" t="s">
        <v>26</v>
      </c>
      <c r="J1109" s="7">
        <v>998</v>
      </c>
      <c r="K1109" s="7">
        <v>1427.1399999999999</v>
      </c>
    </row>
    <row r="1110" spans="1:11" ht="18" customHeight="1" x14ac:dyDescent="0.25">
      <c r="A1110" s="7" t="s">
        <v>34</v>
      </c>
      <c r="B1110" s="7">
        <v>2021</v>
      </c>
      <c r="C1110" s="7" t="s">
        <v>59</v>
      </c>
      <c r="D1110" s="7" t="s">
        <v>21</v>
      </c>
      <c r="E1110" s="7" t="s">
        <v>22</v>
      </c>
      <c r="F1110" s="7" t="s">
        <v>23</v>
      </c>
      <c r="G1110" s="7" t="s">
        <v>24</v>
      </c>
      <c r="H1110" s="7" t="s">
        <v>25</v>
      </c>
      <c r="I1110" s="7" t="s">
        <v>26</v>
      </c>
      <c r="J1110" s="7">
        <v>1031</v>
      </c>
      <c r="K1110" s="7">
        <v>1474.33</v>
      </c>
    </row>
    <row r="1111" spans="1:11" ht="18" customHeight="1" x14ac:dyDescent="0.25">
      <c r="A1111" s="7" t="s">
        <v>19</v>
      </c>
      <c r="B1111" s="7">
        <v>2021</v>
      </c>
      <c r="C1111" s="7" t="s">
        <v>59</v>
      </c>
      <c r="D1111" s="7" t="s">
        <v>21</v>
      </c>
      <c r="E1111" s="7" t="s">
        <v>22</v>
      </c>
      <c r="F1111" s="7" t="s">
        <v>23</v>
      </c>
      <c r="G1111" s="7" t="s">
        <v>24</v>
      </c>
      <c r="H1111" s="7" t="s">
        <v>25</v>
      </c>
      <c r="I1111" s="7" t="s">
        <v>26</v>
      </c>
      <c r="J1111" s="7">
        <v>321</v>
      </c>
      <c r="K1111" s="7">
        <v>459.03</v>
      </c>
    </row>
    <row r="1112" spans="1:11" ht="18" customHeight="1" x14ac:dyDescent="0.25">
      <c r="A1112" s="7" t="s">
        <v>61</v>
      </c>
      <c r="B1112" s="7">
        <v>2021</v>
      </c>
      <c r="C1112" s="7" t="s">
        <v>59</v>
      </c>
      <c r="D1112" s="7" t="s">
        <v>21</v>
      </c>
      <c r="E1112" s="7" t="s">
        <v>22</v>
      </c>
      <c r="F1112" s="7" t="s">
        <v>23</v>
      </c>
      <c r="G1112" s="7" t="s">
        <v>24</v>
      </c>
      <c r="H1112" s="7" t="s">
        <v>25</v>
      </c>
      <c r="I1112" s="7" t="s">
        <v>26</v>
      </c>
      <c r="J1112" s="7">
        <v>249</v>
      </c>
      <c r="K1112" s="7">
        <v>356.07</v>
      </c>
    </row>
    <row r="1113" spans="1:11" ht="18" customHeight="1" x14ac:dyDescent="0.25">
      <c r="A1113" s="7" t="s">
        <v>34</v>
      </c>
      <c r="B1113" s="7">
        <v>2021</v>
      </c>
      <c r="C1113" s="7" t="s">
        <v>59</v>
      </c>
      <c r="D1113" s="7" t="s">
        <v>21</v>
      </c>
      <c r="E1113" s="7" t="s">
        <v>22</v>
      </c>
      <c r="F1113" s="7" t="s">
        <v>23</v>
      </c>
      <c r="G1113" s="7" t="s">
        <v>24</v>
      </c>
      <c r="H1113" s="7" t="s">
        <v>25</v>
      </c>
      <c r="I1113" s="7" t="s">
        <v>26</v>
      </c>
      <c r="J1113" s="7">
        <v>779</v>
      </c>
      <c r="K1113" s="7">
        <v>1113.97</v>
      </c>
    </row>
    <row r="1114" spans="1:11" ht="18" customHeight="1" x14ac:dyDescent="0.25">
      <c r="A1114" s="7" t="s">
        <v>19</v>
      </c>
      <c r="B1114" s="7">
        <v>2021</v>
      </c>
      <c r="C1114" s="7" t="s">
        <v>59</v>
      </c>
      <c r="D1114" s="7" t="s">
        <v>21</v>
      </c>
      <c r="E1114" s="7" t="s">
        <v>22</v>
      </c>
      <c r="F1114" s="7" t="s">
        <v>23</v>
      </c>
      <c r="G1114" s="7" t="s">
        <v>24</v>
      </c>
      <c r="H1114" s="7" t="s">
        <v>25</v>
      </c>
      <c r="I1114" s="7" t="s">
        <v>26</v>
      </c>
      <c r="J1114" s="7">
        <v>812</v>
      </c>
      <c r="K1114" s="7">
        <v>1161.1599999999999</v>
      </c>
    </row>
    <row r="1115" spans="1:11" ht="18" customHeight="1" x14ac:dyDescent="0.25">
      <c r="A1115" s="7" t="s">
        <v>19</v>
      </c>
      <c r="B1115" s="7">
        <v>2021</v>
      </c>
      <c r="C1115" s="7" t="s">
        <v>59</v>
      </c>
      <c r="D1115" s="7" t="s">
        <v>21</v>
      </c>
      <c r="E1115" s="7" t="s">
        <v>22</v>
      </c>
      <c r="F1115" s="7" t="s">
        <v>23</v>
      </c>
      <c r="G1115" s="7" t="s">
        <v>24</v>
      </c>
      <c r="H1115" s="7" t="s">
        <v>25</v>
      </c>
      <c r="I1115" s="7" t="s">
        <v>26</v>
      </c>
      <c r="J1115" s="7">
        <v>866</v>
      </c>
      <c r="K1115" s="7">
        <v>1238.3800000000001</v>
      </c>
    </row>
    <row r="1116" spans="1:11" ht="18" customHeight="1" x14ac:dyDescent="0.25">
      <c r="A1116" s="7" t="s">
        <v>34</v>
      </c>
      <c r="B1116" s="7">
        <v>2021</v>
      </c>
      <c r="C1116" s="7" t="s">
        <v>59</v>
      </c>
      <c r="D1116" s="7" t="s">
        <v>21</v>
      </c>
      <c r="E1116" s="7" t="s">
        <v>22</v>
      </c>
      <c r="F1116" s="7" t="s">
        <v>23</v>
      </c>
      <c r="G1116" s="7" t="s">
        <v>24</v>
      </c>
      <c r="H1116" s="7" t="s">
        <v>25</v>
      </c>
      <c r="I1116" s="7" t="s">
        <v>26</v>
      </c>
      <c r="J1116" s="7">
        <v>275</v>
      </c>
      <c r="K1116" s="7">
        <v>393.25</v>
      </c>
    </row>
    <row r="1117" spans="1:11" ht="18" customHeight="1" x14ac:dyDescent="0.25">
      <c r="A1117" s="7" t="s">
        <v>34</v>
      </c>
      <c r="B1117" s="7">
        <v>2021</v>
      </c>
      <c r="C1117" s="7" t="s">
        <v>59</v>
      </c>
      <c r="D1117" s="7" t="s">
        <v>21</v>
      </c>
      <c r="E1117" s="7" t="s">
        <v>22</v>
      </c>
      <c r="F1117" s="7" t="s">
        <v>23</v>
      </c>
      <c r="G1117" s="7" t="s">
        <v>24</v>
      </c>
      <c r="H1117" s="7" t="s">
        <v>25</v>
      </c>
      <c r="I1117" s="7" t="s">
        <v>26</v>
      </c>
      <c r="J1117" s="7">
        <v>323</v>
      </c>
      <c r="K1117" s="7">
        <v>461.89</v>
      </c>
    </row>
    <row r="1118" spans="1:11" ht="18" customHeight="1" x14ac:dyDescent="0.25">
      <c r="A1118" s="7" t="s">
        <v>19</v>
      </c>
      <c r="B1118" s="7">
        <v>2021</v>
      </c>
      <c r="C1118" s="7" t="s">
        <v>59</v>
      </c>
      <c r="D1118" s="7" t="s">
        <v>21</v>
      </c>
      <c r="E1118" s="7" t="s">
        <v>22</v>
      </c>
      <c r="F1118" s="7" t="s">
        <v>23</v>
      </c>
      <c r="G1118" s="7" t="s">
        <v>24</v>
      </c>
      <c r="H1118" s="7" t="s">
        <v>25</v>
      </c>
      <c r="I1118" s="7" t="s">
        <v>26</v>
      </c>
      <c r="J1118" s="7">
        <v>251</v>
      </c>
      <c r="K1118" s="7">
        <v>358.93</v>
      </c>
    </row>
    <row r="1119" spans="1:11" ht="18" customHeight="1" x14ac:dyDescent="0.25">
      <c r="A1119" s="7" t="s">
        <v>19</v>
      </c>
      <c r="B1119" s="7">
        <v>2021</v>
      </c>
      <c r="C1119" s="7" t="s">
        <v>27</v>
      </c>
      <c r="D1119" s="7" t="s">
        <v>21</v>
      </c>
      <c r="E1119" s="7" t="s">
        <v>22</v>
      </c>
      <c r="F1119" s="7" t="s">
        <v>23</v>
      </c>
      <c r="G1119" s="7" t="s">
        <v>24</v>
      </c>
      <c r="H1119" s="7" t="s">
        <v>25</v>
      </c>
      <c r="I1119" s="7" t="s">
        <v>26</v>
      </c>
      <c r="J1119" s="7">
        <v>326</v>
      </c>
      <c r="K1119" s="7">
        <v>466.18</v>
      </c>
    </row>
    <row r="1120" spans="1:11" ht="18" customHeight="1" x14ac:dyDescent="0.25">
      <c r="A1120" s="7" t="s">
        <v>19</v>
      </c>
      <c r="B1120" s="7">
        <v>2021</v>
      </c>
      <c r="C1120" s="7" t="s">
        <v>27</v>
      </c>
      <c r="D1120" s="7" t="s">
        <v>21</v>
      </c>
      <c r="E1120" s="7" t="s">
        <v>22</v>
      </c>
      <c r="F1120" s="7" t="s">
        <v>23</v>
      </c>
      <c r="G1120" s="7" t="s">
        <v>24</v>
      </c>
      <c r="H1120" s="7" t="s">
        <v>25</v>
      </c>
      <c r="I1120" s="7" t="s">
        <v>26</v>
      </c>
      <c r="J1120" s="7">
        <v>254</v>
      </c>
      <c r="K1120" s="7">
        <v>363.22</v>
      </c>
    </row>
    <row r="1121" spans="1:11" ht="18" customHeight="1" x14ac:dyDescent="0.25">
      <c r="A1121" s="7" t="s">
        <v>42</v>
      </c>
      <c r="B1121" s="7">
        <v>2021</v>
      </c>
      <c r="C1121" s="7" t="s">
        <v>27</v>
      </c>
      <c r="D1121" s="7" t="s">
        <v>21</v>
      </c>
      <c r="E1121" s="7" t="s">
        <v>22</v>
      </c>
      <c r="F1121" s="7" t="s">
        <v>23</v>
      </c>
      <c r="G1121" s="7" t="s">
        <v>24</v>
      </c>
      <c r="H1121" s="7" t="s">
        <v>25</v>
      </c>
      <c r="I1121" s="7" t="s">
        <v>26</v>
      </c>
      <c r="J1121" s="7">
        <v>280</v>
      </c>
      <c r="K1121" s="7">
        <v>526.24</v>
      </c>
    </row>
    <row r="1122" spans="1:11" ht="18" customHeight="1" x14ac:dyDescent="0.25">
      <c r="A1122" s="7" t="s">
        <v>34</v>
      </c>
      <c r="B1122" s="7">
        <v>2021</v>
      </c>
      <c r="C1122" s="7" t="s">
        <v>27</v>
      </c>
      <c r="D1122" s="7" t="s">
        <v>21</v>
      </c>
      <c r="E1122" s="7" t="s">
        <v>22</v>
      </c>
      <c r="F1122" s="7" t="s">
        <v>23</v>
      </c>
      <c r="G1122" s="7" t="s">
        <v>24</v>
      </c>
      <c r="H1122" s="7" t="s">
        <v>25</v>
      </c>
      <c r="I1122" s="7" t="s">
        <v>26</v>
      </c>
      <c r="J1122" s="7">
        <v>328</v>
      </c>
      <c r="K1122" s="7">
        <v>526.24</v>
      </c>
    </row>
    <row r="1123" spans="1:11" ht="18" customHeight="1" x14ac:dyDescent="0.25">
      <c r="A1123" s="7" t="s">
        <v>42</v>
      </c>
      <c r="B1123" s="7">
        <v>2021</v>
      </c>
      <c r="C1123" s="7" t="s">
        <v>27</v>
      </c>
      <c r="D1123" s="7" t="s">
        <v>21</v>
      </c>
      <c r="E1123" s="7" t="s">
        <v>22</v>
      </c>
      <c r="F1123" s="7" t="s">
        <v>23</v>
      </c>
      <c r="G1123" s="7" t="s">
        <v>24</v>
      </c>
      <c r="H1123" s="7" t="s">
        <v>25</v>
      </c>
      <c r="I1123" s="7" t="s">
        <v>26</v>
      </c>
      <c r="J1123" s="7">
        <v>256</v>
      </c>
      <c r="K1123" s="7">
        <v>526.24</v>
      </c>
    </row>
    <row r="1124" spans="1:11" ht="18" customHeight="1" x14ac:dyDescent="0.25">
      <c r="A1124" s="7" t="s">
        <v>42</v>
      </c>
      <c r="B1124" s="7">
        <v>2021</v>
      </c>
      <c r="C1124" s="7" t="s">
        <v>27</v>
      </c>
      <c r="D1124" s="7" t="s">
        <v>21</v>
      </c>
      <c r="E1124" s="7" t="s">
        <v>22</v>
      </c>
      <c r="F1124" s="7" t="s">
        <v>23</v>
      </c>
      <c r="G1124" s="7" t="s">
        <v>24</v>
      </c>
      <c r="H1124" s="7" t="s">
        <v>25</v>
      </c>
      <c r="I1124" s="7" t="s">
        <v>26</v>
      </c>
      <c r="J1124" s="7">
        <v>997</v>
      </c>
      <c r="K1124" s="7">
        <v>1425.71</v>
      </c>
    </row>
    <row r="1125" spans="1:11" ht="18" customHeight="1" x14ac:dyDescent="0.25">
      <c r="A1125" s="7" t="s">
        <v>53</v>
      </c>
      <c r="B1125" s="7">
        <v>2021</v>
      </c>
      <c r="C1125" s="7" t="s">
        <v>27</v>
      </c>
      <c r="D1125" s="7" t="s">
        <v>21</v>
      </c>
      <c r="E1125" s="7" t="s">
        <v>22</v>
      </c>
      <c r="F1125" s="7" t="s">
        <v>23</v>
      </c>
      <c r="G1125" s="7" t="s">
        <v>24</v>
      </c>
      <c r="H1125" s="7" t="s">
        <v>25</v>
      </c>
      <c r="I1125" s="7" t="s">
        <v>26</v>
      </c>
      <c r="J1125" s="7">
        <v>1030</v>
      </c>
      <c r="K1125" s="7">
        <v>1472.9</v>
      </c>
    </row>
    <row r="1126" spans="1:11" ht="18" customHeight="1" x14ac:dyDescent="0.25">
      <c r="A1126" s="7" t="s">
        <v>53</v>
      </c>
      <c r="B1126" s="7">
        <v>2021</v>
      </c>
      <c r="C1126" s="7" t="s">
        <v>27</v>
      </c>
      <c r="D1126" s="7" t="s">
        <v>21</v>
      </c>
      <c r="E1126" s="7" t="s">
        <v>22</v>
      </c>
      <c r="F1126" s="7" t="s">
        <v>23</v>
      </c>
      <c r="G1126" s="7" t="s">
        <v>24</v>
      </c>
      <c r="H1126" s="7" t="s">
        <v>25</v>
      </c>
      <c r="I1126" s="7" t="s">
        <v>26</v>
      </c>
      <c r="J1126" s="7">
        <v>252</v>
      </c>
      <c r="K1126" s="7">
        <v>360.36</v>
      </c>
    </row>
    <row r="1127" spans="1:11" ht="18" customHeight="1" x14ac:dyDescent="0.25">
      <c r="A1127" s="7" t="s">
        <v>53</v>
      </c>
      <c r="B1127" s="7">
        <v>2021</v>
      </c>
      <c r="C1127" s="7" t="s">
        <v>27</v>
      </c>
      <c r="D1127" s="7" t="s">
        <v>21</v>
      </c>
      <c r="E1127" s="7" t="s">
        <v>22</v>
      </c>
      <c r="F1127" s="7" t="s">
        <v>23</v>
      </c>
      <c r="G1127" s="7" t="s">
        <v>24</v>
      </c>
      <c r="H1127" s="7" t="s">
        <v>25</v>
      </c>
      <c r="I1127" s="7" t="s">
        <v>26</v>
      </c>
      <c r="J1127" s="7">
        <v>279</v>
      </c>
      <c r="K1127" s="7">
        <v>398.97</v>
      </c>
    </row>
    <row r="1128" spans="1:11" ht="18" customHeight="1" x14ac:dyDescent="0.25">
      <c r="A1128" s="7" t="s">
        <v>34</v>
      </c>
      <c r="B1128" s="7">
        <v>2021</v>
      </c>
      <c r="C1128" s="7" t="s">
        <v>27</v>
      </c>
      <c r="D1128" s="7" t="s">
        <v>21</v>
      </c>
      <c r="E1128" s="7" t="s">
        <v>22</v>
      </c>
      <c r="F1128" s="7" t="s">
        <v>23</v>
      </c>
      <c r="G1128" s="7" t="s">
        <v>24</v>
      </c>
      <c r="H1128" s="7" t="s">
        <v>25</v>
      </c>
      <c r="I1128" s="7" t="s">
        <v>26</v>
      </c>
      <c r="J1128" s="7">
        <v>327</v>
      </c>
      <c r="K1128" s="7">
        <v>467.61</v>
      </c>
    </row>
    <row r="1129" spans="1:11" ht="18" customHeight="1" x14ac:dyDescent="0.25">
      <c r="A1129" s="7" t="s">
        <v>42</v>
      </c>
      <c r="B1129" s="7">
        <v>2021</v>
      </c>
      <c r="C1129" s="7" t="s">
        <v>27</v>
      </c>
      <c r="D1129" s="7" t="s">
        <v>21</v>
      </c>
      <c r="E1129" s="7" t="s">
        <v>22</v>
      </c>
      <c r="F1129" s="7" t="s">
        <v>23</v>
      </c>
      <c r="G1129" s="7" t="s">
        <v>24</v>
      </c>
      <c r="H1129" s="7" t="s">
        <v>25</v>
      </c>
      <c r="I1129" s="7" t="s">
        <v>26</v>
      </c>
      <c r="J1129" s="7">
        <v>255</v>
      </c>
      <c r="K1129" s="7">
        <v>364.65</v>
      </c>
    </row>
    <row r="1130" spans="1:11" ht="18" customHeight="1" x14ac:dyDescent="0.25">
      <c r="A1130" s="7" t="s">
        <v>42</v>
      </c>
      <c r="B1130" s="7">
        <v>2021</v>
      </c>
      <c r="C1130" s="7" t="s">
        <v>27</v>
      </c>
      <c r="D1130" s="7" t="s">
        <v>21</v>
      </c>
      <c r="E1130" s="7" t="s">
        <v>22</v>
      </c>
      <c r="F1130" s="7" t="s">
        <v>23</v>
      </c>
      <c r="G1130" s="7" t="s">
        <v>24</v>
      </c>
      <c r="H1130" s="7" t="s">
        <v>25</v>
      </c>
      <c r="I1130" s="7" t="s">
        <v>26</v>
      </c>
      <c r="J1130" s="7">
        <v>778</v>
      </c>
      <c r="K1130" s="7">
        <v>1112.54</v>
      </c>
    </row>
    <row r="1131" spans="1:11" ht="18" customHeight="1" x14ac:dyDescent="0.25">
      <c r="A1131" s="7" t="s">
        <v>42</v>
      </c>
      <c r="B1131" s="7">
        <v>2021</v>
      </c>
      <c r="C1131" s="7" t="s">
        <v>27</v>
      </c>
      <c r="D1131" s="7" t="s">
        <v>21</v>
      </c>
      <c r="E1131" s="7" t="s">
        <v>22</v>
      </c>
      <c r="F1131" s="7" t="s">
        <v>23</v>
      </c>
      <c r="G1131" s="7" t="s">
        <v>24</v>
      </c>
      <c r="H1131" s="7" t="s">
        <v>25</v>
      </c>
      <c r="I1131" s="7" t="s">
        <v>26</v>
      </c>
      <c r="J1131" s="7">
        <v>865</v>
      </c>
      <c r="K1131" s="7">
        <v>1236.95</v>
      </c>
    </row>
    <row r="1132" spans="1:11" ht="18" customHeight="1" x14ac:dyDescent="0.25">
      <c r="A1132" s="7" t="s">
        <v>19</v>
      </c>
      <c r="B1132" s="7">
        <v>2021</v>
      </c>
      <c r="C1132" s="7" t="s">
        <v>27</v>
      </c>
      <c r="D1132" s="7" t="s">
        <v>21</v>
      </c>
      <c r="E1132" s="7" t="s">
        <v>22</v>
      </c>
      <c r="F1132" s="7" t="s">
        <v>23</v>
      </c>
      <c r="G1132" s="7" t="s">
        <v>24</v>
      </c>
      <c r="H1132" s="7" t="s">
        <v>25</v>
      </c>
      <c r="I1132" s="7" t="s">
        <v>26</v>
      </c>
      <c r="J1132" s="7">
        <v>281</v>
      </c>
      <c r="K1132" s="7">
        <v>401.83</v>
      </c>
    </row>
    <row r="1133" spans="1:11" ht="18" customHeight="1" x14ac:dyDescent="0.25">
      <c r="A1133" s="7" t="s">
        <v>42</v>
      </c>
      <c r="B1133" s="7">
        <v>2021</v>
      </c>
      <c r="C1133" s="7" t="s">
        <v>27</v>
      </c>
      <c r="D1133" s="7" t="s">
        <v>21</v>
      </c>
      <c r="E1133" s="7" t="s">
        <v>22</v>
      </c>
      <c r="F1133" s="7" t="s">
        <v>23</v>
      </c>
      <c r="G1133" s="7" t="s">
        <v>24</v>
      </c>
      <c r="H1133" s="7" t="s">
        <v>25</v>
      </c>
      <c r="I1133" s="7" t="s">
        <v>26</v>
      </c>
      <c r="J1133" s="7">
        <v>329</v>
      </c>
      <c r="K1133" s="7">
        <v>470.47</v>
      </c>
    </row>
    <row r="1134" spans="1:11" ht="18" customHeight="1" x14ac:dyDescent="0.25">
      <c r="A1134" s="7" t="s">
        <v>19</v>
      </c>
      <c r="B1134" s="7">
        <v>2021</v>
      </c>
      <c r="C1134" s="7" t="s">
        <v>68</v>
      </c>
      <c r="D1134" s="7" t="s">
        <v>21</v>
      </c>
      <c r="E1134" s="7" t="s">
        <v>22</v>
      </c>
      <c r="F1134" s="7" t="s">
        <v>23</v>
      </c>
      <c r="G1134" s="7" t="s">
        <v>24</v>
      </c>
      <c r="H1134" s="7" t="s">
        <v>25</v>
      </c>
      <c r="I1134" s="7" t="s">
        <v>26</v>
      </c>
      <c r="J1134" s="7">
        <v>248</v>
      </c>
      <c r="K1134" s="7">
        <v>354.64</v>
      </c>
    </row>
    <row r="1135" spans="1:11" ht="18" customHeight="1" x14ac:dyDescent="0.25">
      <c r="A1135" s="7" t="s">
        <v>19</v>
      </c>
      <c r="B1135" s="7">
        <v>2021</v>
      </c>
      <c r="C1135" s="7" t="s">
        <v>68</v>
      </c>
      <c r="D1135" s="7" t="s">
        <v>21</v>
      </c>
      <c r="E1135" s="7" t="s">
        <v>22</v>
      </c>
      <c r="F1135" s="7" t="s">
        <v>23</v>
      </c>
      <c r="G1135" s="7" t="s">
        <v>24</v>
      </c>
      <c r="H1135" s="7" t="s">
        <v>25</v>
      </c>
      <c r="I1135" s="7" t="s">
        <v>26</v>
      </c>
      <c r="J1135" s="7">
        <v>296</v>
      </c>
      <c r="K1135" s="7">
        <v>423.28</v>
      </c>
    </row>
    <row r="1136" spans="1:11" ht="18" customHeight="1" x14ac:dyDescent="0.25">
      <c r="A1136" s="7" t="s">
        <v>19</v>
      </c>
      <c r="B1136" s="7">
        <v>2021</v>
      </c>
      <c r="C1136" s="7" t="s">
        <v>68</v>
      </c>
      <c r="D1136" s="7" t="s">
        <v>21</v>
      </c>
      <c r="E1136" s="7" t="s">
        <v>22</v>
      </c>
      <c r="F1136" s="7" t="s">
        <v>23</v>
      </c>
      <c r="G1136" s="7" t="s">
        <v>24</v>
      </c>
      <c r="H1136" s="7" t="s">
        <v>25</v>
      </c>
      <c r="I1136" s="7" t="s">
        <v>26</v>
      </c>
      <c r="J1136" s="7">
        <v>224</v>
      </c>
      <c r="K1136" s="7">
        <v>320.32</v>
      </c>
    </row>
    <row r="1137" spans="1:11" ht="18" customHeight="1" x14ac:dyDescent="0.25">
      <c r="A1137" s="7" t="s">
        <v>19</v>
      </c>
      <c r="B1137" s="7">
        <v>2021</v>
      </c>
      <c r="C1137" s="7" t="s">
        <v>68</v>
      </c>
      <c r="D1137" s="7" t="s">
        <v>21</v>
      </c>
      <c r="E1137" s="7" t="s">
        <v>22</v>
      </c>
      <c r="F1137" s="7" t="s">
        <v>23</v>
      </c>
      <c r="G1137" s="7" t="s">
        <v>24</v>
      </c>
      <c r="H1137" s="7" t="s">
        <v>25</v>
      </c>
      <c r="I1137" s="7" t="s">
        <v>26</v>
      </c>
      <c r="J1137" s="7">
        <v>250</v>
      </c>
      <c r="K1137" s="7">
        <v>526.24</v>
      </c>
    </row>
    <row r="1138" spans="1:11" ht="18" customHeight="1" x14ac:dyDescent="0.25">
      <c r="A1138" s="7" t="s">
        <v>19</v>
      </c>
      <c r="B1138" s="7">
        <v>2021</v>
      </c>
      <c r="C1138" s="7" t="s">
        <v>68</v>
      </c>
      <c r="D1138" s="7" t="s">
        <v>21</v>
      </c>
      <c r="E1138" s="7" t="s">
        <v>22</v>
      </c>
      <c r="F1138" s="7" t="s">
        <v>23</v>
      </c>
      <c r="G1138" s="7" t="s">
        <v>24</v>
      </c>
      <c r="H1138" s="7" t="s">
        <v>25</v>
      </c>
      <c r="I1138" s="7" t="s">
        <v>26</v>
      </c>
      <c r="J1138" s="7">
        <v>298</v>
      </c>
      <c r="K1138" s="7">
        <v>526.24</v>
      </c>
    </row>
    <row r="1139" spans="1:11" ht="18" customHeight="1" x14ac:dyDescent="0.25">
      <c r="A1139" s="7" t="s">
        <v>34</v>
      </c>
      <c r="B1139" s="7">
        <v>2021</v>
      </c>
      <c r="C1139" s="7" t="s">
        <v>68</v>
      </c>
      <c r="D1139" s="7" t="s">
        <v>21</v>
      </c>
      <c r="E1139" s="7" t="s">
        <v>22</v>
      </c>
      <c r="F1139" s="7" t="s">
        <v>23</v>
      </c>
      <c r="G1139" s="7" t="s">
        <v>24</v>
      </c>
      <c r="H1139" s="7" t="s">
        <v>25</v>
      </c>
      <c r="I1139" s="7" t="s">
        <v>26</v>
      </c>
      <c r="J1139" s="7">
        <v>220</v>
      </c>
      <c r="K1139" s="7">
        <v>526.24</v>
      </c>
    </row>
    <row r="1140" spans="1:11" ht="18" customHeight="1" x14ac:dyDescent="0.25">
      <c r="A1140" s="7" t="s">
        <v>61</v>
      </c>
      <c r="B1140" s="7">
        <v>2021</v>
      </c>
      <c r="C1140" s="7" t="s">
        <v>68</v>
      </c>
      <c r="D1140" s="7" t="s">
        <v>21</v>
      </c>
      <c r="E1140" s="7" t="s">
        <v>22</v>
      </c>
      <c r="F1140" s="7" t="s">
        <v>23</v>
      </c>
      <c r="G1140" s="7" t="s">
        <v>24</v>
      </c>
      <c r="H1140" s="7" t="s">
        <v>25</v>
      </c>
      <c r="I1140" s="7" t="s">
        <v>26</v>
      </c>
      <c r="J1140" s="7">
        <v>1036</v>
      </c>
      <c r="K1140" s="7">
        <v>1481.48</v>
      </c>
    </row>
    <row r="1141" spans="1:11" ht="18" customHeight="1" x14ac:dyDescent="0.25">
      <c r="A1141" s="7" t="s">
        <v>53</v>
      </c>
      <c r="B1141" s="7">
        <v>2021</v>
      </c>
      <c r="C1141" s="7" t="s">
        <v>68</v>
      </c>
      <c r="D1141" s="7" t="s">
        <v>21</v>
      </c>
      <c r="E1141" s="7" t="s">
        <v>22</v>
      </c>
      <c r="F1141" s="7" t="s">
        <v>23</v>
      </c>
      <c r="G1141" s="7" t="s">
        <v>24</v>
      </c>
      <c r="H1141" s="7" t="s">
        <v>25</v>
      </c>
      <c r="I1141" s="7" t="s">
        <v>26</v>
      </c>
      <c r="J1141" s="7">
        <v>222</v>
      </c>
      <c r="K1141" s="7">
        <v>317.45999999999998</v>
      </c>
    </row>
    <row r="1142" spans="1:11" ht="18" customHeight="1" x14ac:dyDescent="0.25">
      <c r="A1142" s="7" t="s">
        <v>53</v>
      </c>
      <c r="B1142" s="7">
        <v>2021</v>
      </c>
      <c r="C1142" s="7" t="s">
        <v>68</v>
      </c>
      <c r="D1142" s="7" t="s">
        <v>21</v>
      </c>
      <c r="E1142" s="7" t="s">
        <v>22</v>
      </c>
      <c r="F1142" s="7" t="s">
        <v>23</v>
      </c>
      <c r="G1142" s="7" t="s">
        <v>24</v>
      </c>
      <c r="H1142" s="7" t="s">
        <v>25</v>
      </c>
      <c r="I1142" s="7" t="s">
        <v>26</v>
      </c>
      <c r="J1142" s="7">
        <v>249</v>
      </c>
      <c r="K1142" s="7">
        <v>356.07</v>
      </c>
    </row>
    <row r="1143" spans="1:11" ht="18" customHeight="1" x14ac:dyDescent="0.25">
      <c r="A1143" s="7" t="s">
        <v>19</v>
      </c>
      <c r="B1143" s="7">
        <v>2021</v>
      </c>
      <c r="C1143" s="7" t="s">
        <v>68</v>
      </c>
      <c r="D1143" s="7" t="s">
        <v>21</v>
      </c>
      <c r="E1143" s="7" t="s">
        <v>22</v>
      </c>
      <c r="F1143" s="7" t="s">
        <v>23</v>
      </c>
      <c r="G1143" s="7" t="s">
        <v>24</v>
      </c>
      <c r="H1143" s="7" t="s">
        <v>25</v>
      </c>
      <c r="I1143" s="7" t="s">
        <v>26</v>
      </c>
      <c r="J1143" s="7">
        <v>297</v>
      </c>
      <c r="K1143" s="7">
        <v>424.71</v>
      </c>
    </row>
    <row r="1144" spans="1:11" ht="18" customHeight="1" x14ac:dyDescent="0.25">
      <c r="A1144" s="7" t="s">
        <v>34</v>
      </c>
      <c r="B1144" s="7">
        <v>2021</v>
      </c>
      <c r="C1144" s="7" t="s">
        <v>68</v>
      </c>
      <c r="D1144" s="7" t="s">
        <v>21</v>
      </c>
      <c r="E1144" s="7" t="s">
        <v>22</v>
      </c>
      <c r="F1144" s="7" t="s">
        <v>23</v>
      </c>
      <c r="G1144" s="7" t="s">
        <v>24</v>
      </c>
      <c r="H1144" s="7" t="s">
        <v>25</v>
      </c>
      <c r="I1144" s="7" t="s">
        <v>26</v>
      </c>
      <c r="J1144" s="7">
        <v>784</v>
      </c>
      <c r="K1144" s="7">
        <v>1121.1199999999999</v>
      </c>
    </row>
    <row r="1145" spans="1:11" ht="18" customHeight="1" x14ac:dyDescent="0.25">
      <c r="A1145" s="7" t="s">
        <v>19</v>
      </c>
      <c r="B1145" s="7">
        <v>2021</v>
      </c>
      <c r="C1145" s="7" t="s">
        <v>68</v>
      </c>
      <c r="D1145" s="7" t="s">
        <v>21</v>
      </c>
      <c r="E1145" s="7" t="s">
        <v>22</v>
      </c>
      <c r="F1145" s="7" t="s">
        <v>23</v>
      </c>
      <c r="G1145" s="7" t="s">
        <v>24</v>
      </c>
      <c r="H1145" s="7" t="s">
        <v>25</v>
      </c>
      <c r="I1145" s="7" t="s">
        <v>26</v>
      </c>
      <c r="J1145" s="7">
        <v>817</v>
      </c>
      <c r="K1145" s="7">
        <v>1168.31</v>
      </c>
    </row>
    <row r="1146" spans="1:11" ht="18" customHeight="1" x14ac:dyDescent="0.25">
      <c r="A1146" s="7" t="s">
        <v>19</v>
      </c>
      <c r="B1146" s="7">
        <v>2021</v>
      </c>
      <c r="C1146" s="7" t="s">
        <v>68</v>
      </c>
      <c r="D1146" s="7" t="s">
        <v>21</v>
      </c>
      <c r="E1146" s="7" t="s">
        <v>22</v>
      </c>
      <c r="F1146" s="7" t="s">
        <v>23</v>
      </c>
      <c r="G1146" s="7" t="s">
        <v>24</v>
      </c>
      <c r="H1146" s="7" t="s">
        <v>25</v>
      </c>
      <c r="I1146" s="7" t="s">
        <v>26</v>
      </c>
      <c r="J1146" s="7">
        <v>870</v>
      </c>
      <c r="K1146" s="7">
        <v>1244.0999999999999</v>
      </c>
    </row>
    <row r="1147" spans="1:11" ht="18" customHeight="1" x14ac:dyDescent="0.25">
      <c r="A1147" s="7" t="s">
        <v>19</v>
      </c>
      <c r="B1147" s="7">
        <v>2021</v>
      </c>
      <c r="C1147" s="7" t="s">
        <v>68</v>
      </c>
      <c r="D1147" s="7" t="s">
        <v>21</v>
      </c>
      <c r="E1147" s="7" t="s">
        <v>22</v>
      </c>
      <c r="F1147" s="7" t="s">
        <v>23</v>
      </c>
      <c r="G1147" s="7" t="s">
        <v>24</v>
      </c>
      <c r="H1147" s="7" t="s">
        <v>25</v>
      </c>
      <c r="I1147" s="7" t="s">
        <v>26</v>
      </c>
      <c r="J1147" s="7">
        <v>251</v>
      </c>
      <c r="K1147" s="7">
        <v>358.93</v>
      </c>
    </row>
    <row r="1148" spans="1:11" ht="18" customHeight="1" x14ac:dyDescent="0.25">
      <c r="A1148" s="7" t="s">
        <v>19</v>
      </c>
      <c r="B1148" s="7">
        <v>2021</v>
      </c>
      <c r="C1148" s="7" t="s">
        <v>68</v>
      </c>
      <c r="D1148" s="7" t="s">
        <v>21</v>
      </c>
      <c r="E1148" s="7" t="s">
        <v>22</v>
      </c>
      <c r="F1148" s="7" t="s">
        <v>23</v>
      </c>
      <c r="G1148" s="7" t="s">
        <v>24</v>
      </c>
      <c r="H1148" s="7" t="s">
        <v>25</v>
      </c>
      <c r="I1148" s="7" t="s">
        <v>26</v>
      </c>
      <c r="J1148" s="7">
        <v>221</v>
      </c>
      <c r="K1148" s="7">
        <v>316.02999999999997</v>
      </c>
    </row>
    <row r="1149" spans="1:11" ht="18" customHeight="1" x14ac:dyDescent="0.25">
      <c r="A1149" s="7" t="s">
        <v>34</v>
      </c>
      <c r="B1149" s="7">
        <v>2021</v>
      </c>
      <c r="C1149" s="7" t="s">
        <v>67</v>
      </c>
      <c r="D1149" s="7" t="s">
        <v>21</v>
      </c>
      <c r="E1149" s="7" t="s">
        <v>22</v>
      </c>
      <c r="F1149" s="7" t="s">
        <v>23</v>
      </c>
      <c r="G1149" s="7" t="s">
        <v>24</v>
      </c>
      <c r="H1149" s="7" t="s">
        <v>25</v>
      </c>
      <c r="I1149" s="7" t="s">
        <v>26</v>
      </c>
      <c r="J1149" s="7">
        <v>254</v>
      </c>
      <c r="K1149" s="7">
        <v>363.22</v>
      </c>
    </row>
    <row r="1150" spans="1:11" ht="18" customHeight="1" x14ac:dyDescent="0.25">
      <c r="A1150" s="7" t="s">
        <v>19</v>
      </c>
      <c r="B1150" s="7">
        <v>2021</v>
      </c>
      <c r="C1150" s="7" t="s">
        <v>67</v>
      </c>
      <c r="D1150" s="7" t="s">
        <v>21</v>
      </c>
      <c r="E1150" s="7" t="s">
        <v>22</v>
      </c>
      <c r="F1150" s="7" t="s">
        <v>23</v>
      </c>
      <c r="G1150" s="7" t="s">
        <v>24</v>
      </c>
      <c r="H1150" s="7" t="s">
        <v>25</v>
      </c>
      <c r="I1150" s="7" t="s">
        <v>26</v>
      </c>
      <c r="J1150" s="7">
        <v>302</v>
      </c>
      <c r="K1150" s="7">
        <v>431.86</v>
      </c>
    </row>
    <row r="1151" spans="1:11" ht="18" customHeight="1" x14ac:dyDescent="0.25">
      <c r="A1151" s="7" t="s">
        <v>61</v>
      </c>
      <c r="B1151" s="7">
        <v>2021</v>
      </c>
      <c r="C1151" s="7" t="s">
        <v>67</v>
      </c>
      <c r="D1151" s="7" t="s">
        <v>21</v>
      </c>
      <c r="E1151" s="7" t="s">
        <v>22</v>
      </c>
      <c r="F1151" s="7" t="s">
        <v>23</v>
      </c>
      <c r="G1151" s="7" t="s">
        <v>24</v>
      </c>
      <c r="H1151" s="7" t="s">
        <v>25</v>
      </c>
      <c r="I1151" s="7" t="s">
        <v>26</v>
      </c>
      <c r="J1151" s="7">
        <v>230</v>
      </c>
      <c r="K1151" s="7">
        <v>328.9</v>
      </c>
    </row>
    <row r="1152" spans="1:11" ht="18" customHeight="1" x14ac:dyDescent="0.25">
      <c r="A1152" s="7" t="s">
        <v>34</v>
      </c>
      <c r="B1152" s="7">
        <v>2021</v>
      </c>
      <c r="C1152" s="7" t="s">
        <v>67</v>
      </c>
      <c r="D1152" s="7" t="s">
        <v>21</v>
      </c>
      <c r="E1152" s="7" t="s">
        <v>22</v>
      </c>
      <c r="F1152" s="7" t="s">
        <v>23</v>
      </c>
      <c r="G1152" s="7" t="s">
        <v>24</v>
      </c>
      <c r="H1152" s="7" t="s">
        <v>25</v>
      </c>
      <c r="I1152" s="7" t="s">
        <v>26</v>
      </c>
      <c r="J1152" s="7">
        <v>256</v>
      </c>
      <c r="K1152" s="7">
        <v>526.24</v>
      </c>
    </row>
    <row r="1153" spans="1:11" ht="18" customHeight="1" x14ac:dyDescent="0.25">
      <c r="A1153" s="7" t="s">
        <v>19</v>
      </c>
      <c r="B1153" s="7">
        <v>2021</v>
      </c>
      <c r="C1153" s="7" t="s">
        <v>67</v>
      </c>
      <c r="D1153" s="7" t="s">
        <v>21</v>
      </c>
      <c r="E1153" s="7" t="s">
        <v>22</v>
      </c>
      <c r="F1153" s="7" t="s">
        <v>23</v>
      </c>
      <c r="G1153" s="7" t="s">
        <v>24</v>
      </c>
      <c r="H1153" s="7" t="s">
        <v>25</v>
      </c>
      <c r="I1153" s="7" t="s">
        <v>26</v>
      </c>
      <c r="J1153" s="7">
        <v>226</v>
      </c>
      <c r="K1153" s="7">
        <v>526.24</v>
      </c>
    </row>
    <row r="1154" spans="1:11" ht="18" customHeight="1" x14ac:dyDescent="0.25">
      <c r="A1154" s="7" t="s">
        <v>19</v>
      </c>
      <c r="B1154" s="7">
        <v>2021</v>
      </c>
      <c r="C1154" s="7" t="s">
        <v>67</v>
      </c>
      <c r="D1154" s="7" t="s">
        <v>21</v>
      </c>
      <c r="E1154" s="7" t="s">
        <v>22</v>
      </c>
      <c r="F1154" s="7" t="s">
        <v>23</v>
      </c>
      <c r="G1154" s="7" t="s">
        <v>24</v>
      </c>
      <c r="H1154" s="7" t="s">
        <v>25</v>
      </c>
      <c r="I1154" s="7" t="s">
        <v>26</v>
      </c>
      <c r="J1154" s="7">
        <v>1002</v>
      </c>
      <c r="K1154" s="7">
        <v>1432.8600000000001</v>
      </c>
    </row>
    <row r="1155" spans="1:11" ht="18" customHeight="1" x14ac:dyDescent="0.25">
      <c r="A1155" s="7" t="s">
        <v>42</v>
      </c>
      <c r="B1155" s="7">
        <v>2021</v>
      </c>
      <c r="C1155" s="7" t="s">
        <v>67</v>
      </c>
      <c r="D1155" s="7" t="s">
        <v>21</v>
      </c>
      <c r="E1155" s="7" t="s">
        <v>22</v>
      </c>
      <c r="F1155" s="7" t="s">
        <v>23</v>
      </c>
      <c r="G1155" s="7" t="s">
        <v>24</v>
      </c>
      <c r="H1155" s="7" t="s">
        <v>25</v>
      </c>
      <c r="I1155" s="7" t="s">
        <v>26</v>
      </c>
      <c r="J1155" s="7">
        <v>1035</v>
      </c>
      <c r="K1155" s="7">
        <v>1480.05</v>
      </c>
    </row>
    <row r="1156" spans="1:11" ht="18" customHeight="1" x14ac:dyDescent="0.25">
      <c r="A1156" s="7" t="s">
        <v>19</v>
      </c>
      <c r="B1156" s="7">
        <v>2021</v>
      </c>
      <c r="C1156" s="7" t="s">
        <v>67</v>
      </c>
      <c r="D1156" s="7" t="s">
        <v>21</v>
      </c>
      <c r="E1156" s="7" t="s">
        <v>22</v>
      </c>
      <c r="F1156" s="7" t="s">
        <v>23</v>
      </c>
      <c r="G1156" s="7" t="s">
        <v>24</v>
      </c>
      <c r="H1156" s="7" t="s">
        <v>25</v>
      </c>
      <c r="I1156" s="7" t="s">
        <v>26</v>
      </c>
      <c r="J1156" s="7">
        <v>228</v>
      </c>
      <c r="K1156" s="7">
        <v>326.03999999999996</v>
      </c>
    </row>
    <row r="1157" spans="1:11" ht="18" customHeight="1" x14ac:dyDescent="0.25">
      <c r="A1157" s="7" t="s">
        <v>19</v>
      </c>
      <c r="B1157" s="7">
        <v>2021</v>
      </c>
      <c r="C1157" s="7" t="s">
        <v>67</v>
      </c>
      <c r="D1157" s="7" t="s">
        <v>21</v>
      </c>
      <c r="E1157" s="7" t="s">
        <v>22</v>
      </c>
      <c r="F1157" s="7" t="s">
        <v>23</v>
      </c>
      <c r="G1157" s="7" t="s">
        <v>24</v>
      </c>
      <c r="H1157" s="7" t="s">
        <v>25</v>
      </c>
      <c r="I1157" s="7" t="s">
        <v>26</v>
      </c>
      <c r="J1157" s="7">
        <v>255</v>
      </c>
      <c r="K1157" s="7">
        <v>364.65</v>
      </c>
    </row>
    <row r="1158" spans="1:11" ht="18" customHeight="1" x14ac:dyDescent="0.25">
      <c r="A1158" s="7" t="s">
        <v>34</v>
      </c>
      <c r="B1158" s="7">
        <v>2021</v>
      </c>
      <c r="C1158" s="7" t="s">
        <v>67</v>
      </c>
      <c r="D1158" s="7" t="s">
        <v>21</v>
      </c>
      <c r="E1158" s="7" t="s">
        <v>22</v>
      </c>
      <c r="F1158" s="7" t="s">
        <v>23</v>
      </c>
      <c r="G1158" s="7" t="s">
        <v>24</v>
      </c>
      <c r="H1158" s="7" t="s">
        <v>25</v>
      </c>
      <c r="I1158" s="7" t="s">
        <v>26</v>
      </c>
      <c r="J1158" s="7">
        <v>303</v>
      </c>
      <c r="K1158" s="7">
        <v>433.28999999999996</v>
      </c>
    </row>
    <row r="1159" spans="1:11" ht="18" customHeight="1" x14ac:dyDescent="0.25">
      <c r="A1159" s="7" t="s">
        <v>19</v>
      </c>
      <c r="B1159" s="7">
        <v>2021</v>
      </c>
      <c r="C1159" s="7" t="s">
        <v>67</v>
      </c>
      <c r="D1159" s="7" t="s">
        <v>21</v>
      </c>
      <c r="E1159" s="7" t="s">
        <v>22</v>
      </c>
      <c r="F1159" s="7" t="s">
        <v>23</v>
      </c>
      <c r="G1159" s="7" t="s">
        <v>24</v>
      </c>
      <c r="H1159" s="7" t="s">
        <v>25</v>
      </c>
      <c r="I1159" s="7" t="s">
        <v>26</v>
      </c>
      <c r="J1159" s="7">
        <v>225</v>
      </c>
      <c r="K1159" s="7">
        <v>321.75</v>
      </c>
    </row>
    <row r="1160" spans="1:11" ht="18" customHeight="1" x14ac:dyDescent="0.25">
      <c r="A1160" s="7" t="s">
        <v>19</v>
      </c>
      <c r="B1160" s="7">
        <v>2021</v>
      </c>
      <c r="C1160" s="7" t="s">
        <v>67</v>
      </c>
      <c r="D1160" s="7" t="s">
        <v>21</v>
      </c>
      <c r="E1160" s="7" t="s">
        <v>22</v>
      </c>
      <c r="F1160" s="7" t="s">
        <v>23</v>
      </c>
      <c r="G1160" s="7" t="s">
        <v>24</v>
      </c>
      <c r="H1160" s="7" t="s">
        <v>25</v>
      </c>
      <c r="I1160" s="7" t="s">
        <v>26</v>
      </c>
      <c r="J1160" s="7">
        <v>783</v>
      </c>
      <c r="K1160" s="7">
        <v>1119.69</v>
      </c>
    </row>
    <row r="1161" spans="1:11" ht="18" customHeight="1" x14ac:dyDescent="0.25">
      <c r="A1161" s="7" t="s">
        <v>42</v>
      </c>
      <c r="B1161" s="7">
        <v>2021</v>
      </c>
      <c r="C1161" s="7" t="s">
        <v>67</v>
      </c>
      <c r="D1161" s="7" t="s">
        <v>21</v>
      </c>
      <c r="E1161" s="7" t="s">
        <v>22</v>
      </c>
      <c r="F1161" s="7" t="s">
        <v>23</v>
      </c>
      <c r="G1161" s="7" t="s">
        <v>24</v>
      </c>
      <c r="H1161" s="7" t="s">
        <v>25</v>
      </c>
      <c r="I1161" s="7" t="s">
        <v>26</v>
      </c>
      <c r="J1161" s="7">
        <v>816</v>
      </c>
      <c r="K1161" s="7">
        <v>1166.8800000000001</v>
      </c>
    </row>
    <row r="1162" spans="1:11" ht="18" customHeight="1" x14ac:dyDescent="0.25">
      <c r="A1162" s="7" t="s">
        <v>34</v>
      </c>
      <c r="B1162" s="7">
        <v>2021</v>
      </c>
      <c r="C1162" s="7" t="s">
        <v>67</v>
      </c>
      <c r="D1162" s="7" t="s">
        <v>21</v>
      </c>
      <c r="E1162" s="7" t="s">
        <v>22</v>
      </c>
      <c r="F1162" s="7" t="s">
        <v>23</v>
      </c>
      <c r="G1162" s="7" t="s">
        <v>24</v>
      </c>
      <c r="H1162" s="7" t="s">
        <v>25</v>
      </c>
      <c r="I1162" s="7" t="s">
        <v>26</v>
      </c>
      <c r="J1162" s="7">
        <v>869</v>
      </c>
      <c r="K1162" s="7">
        <v>1242.67</v>
      </c>
    </row>
    <row r="1163" spans="1:11" ht="18" customHeight="1" x14ac:dyDescent="0.25">
      <c r="A1163" s="7" t="s">
        <v>61</v>
      </c>
      <c r="B1163" s="7">
        <v>2021</v>
      </c>
      <c r="C1163" s="7" t="s">
        <v>67</v>
      </c>
      <c r="D1163" s="7" t="s">
        <v>21</v>
      </c>
      <c r="E1163" s="7" t="s">
        <v>22</v>
      </c>
      <c r="F1163" s="7" t="s">
        <v>23</v>
      </c>
      <c r="G1163" s="7" t="s">
        <v>24</v>
      </c>
      <c r="H1163" s="7" t="s">
        <v>25</v>
      </c>
      <c r="I1163" s="7" t="s">
        <v>26</v>
      </c>
      <c r="J1163" s="7">
        <v>257</v>
      </c>
      <c r="K1163" s="7">
        <v>367.51</v>
      </c>
    </row>
    <row r="1164" spans="1:11" ht="18" customHeight="1" x14ac:dyDescent="0.25">
      <c r="A1164" s="7" t="s">
        <v>34</v>
      </c>
      <c r="B1164" s="7">
        <v>2021</v>
      </c>
      <c r="C1164" s="7" t="s">
        <v>67</v>
      </c>
      <c r="D1164" s="7" t="s">
        <v>21</v>
      </c>
      <c r="E1164" s="7" t="s">
        <v>22</v>
      </c>
      <c r="F1164" s="7" t="s">
        <v>23</v>
      </c>
      <c r="G1164" s="7" t="s">
        <v>24</v>
      </c>
      <c r="H1164" s="7" t="s">
        <v>25</v>
      </c>
      <c r="I1164" s="7" t="s">
        <v>26</v>
      </c>
      <c r="J1164" s="7">
        <v>299</v>
      </c>
      <c r="K1164" s="7">
        <v>427.57</v>
      </c>
    </row>
    <row r="1165" spans="1:11" ht="18" customHeight="1" x14ac:dyDescent="0.25">
      <c r="A1165" s="7" t="s">
        <v>34</v>
      </c>
      <c r="B1165" s="7">
        <v>2021</v>
      </c>
      <c r="C1165" s="7" t="s">
        <v>67</v>
      </c>
      <c r="D1165" s="7" t="s">
        <v>21</v>
      </c>
      <c r="E1165" s="7" t="s">
        <v>22</v>
      </c>
      <c r="F1165" s="7" t="s">
        <v>23</v>
      </c>
      <c r="G1165" s="7" t="s">
        <v>24</v>
      </c>
      <c r="H1165" s="7" t="s">
        <v>25</v>
      </c>
      <c r="I1165" s="7" t="s">
        <v>26</v>
      </c>
      <c r="J1165" s="7">
        <v>227</v>
      </c>
      <c r="K1165" s="7">
        <v>324.61</v>
      </c>
    </row>
    <row r="1166" spans="1:11" ht="18" customHeight="1" x14ac:dyDescent="0.25">
      <c r="A1166" s="7" t="s">
        <v>19</v>
      </c>
      <c r="B1166" s="7">
        <v>2021</v>
      </c>
      <c r="C1166" s="7" t="s">
        <v>62</v>
      </c>
      <c r="D1166" s="7" t="s">
        <v>21</v>
      </c>
      <c r="E1166" s="7" t="s">
        <v>22</v>
      </c>
      <c r="F1166" s="7" t="s">
        <v>23</v>
      </c>
      <c r="G1166" s="7" t="s">
        <v>24</v>
      </c>
      <c r="H1166" s="7" t="s">
        <v>25</v>
      </c>
      <c r="I1166" s="7" t="s">
        <v>26</v>
      </c>
      <c r="J1166" s="7">
        <v>272</v>
      </c>
      <c r="K1166" s="7">
        <v>388.96</v>
      </c>
    </row>
    <row r="1167" spans="1:11" ht="18" customHeight="1" x14ac:dyDescent="0.25">
      <c r="A1167" s="7" t="s">
        <v>34</v>
      </c>
      <c r="B1167" s="7">
        <v>2021</v>
      </c>
      <c r="C1167" s="7" t="s">
        <v>62</v>
      </c>
      <c r="D1167" s="7" t="s">
        <v>21</v>
      </c>
      <c r="E1167" s="7" t="s">
        <v>22</v>
      </c>
      <c r="F1167" s="7" t="s">
        <v>23</v>
      </c>
      <c r="G1167" s="7" t="s">
        <v>24</v>
      </c>
      <c r="H1167" s="7" t="s">
        <v>25</v>
      </c>
      <c r="I1167" s="7" t="s">
        <v>26</v>
      </c>
      <c r="J1167" s="7">
        <v>242</v>
      </c>
      <c r="K1167" s="7">
        <v>346.06</v>
      </c>
    </row>
    <row r="1168" spans="1:11" ht="18" customHeight="1" x14ac:dyDescent="0.25">
      <c r="A1168" s="7" t="s">
        <v>34</v>
      </c>
      <c r="B1168" s="7">
        <v>2021</v>
      </c>
      <c r="C1168" s="7" t="s">
        <v>62</v>
      </c>
      <c r="D1168" s="7" t="s">
        <v>21</v>
      </c>
      <c r="E1168" s="7" t="s">
        <v>22</v>
      </c>
      <c r="F1168" s="7" t="s">
        <v>23</v>
      </c>
      <c r="G1168" s="7" t="s">
        <v>24</v>
      </c>
      <c r="H1168" s="7" t="s">
        <v>25</v>
      </c>
      <c r="I1168" s="7" t="s">
        <v>26</v>
      </c>
      <c r="J1168" s="7">
        <v>268</v>
      </c>
      <c r="K1168" s="7">
        <v>526.24</v>
      </c>
    </row>
    <row r="1169" spans="1:11" ht="18" customHeight="1" x14ac:dyDescent="0.25">
      <c r="A1169" s="7" t="s">
        <v>34</v>
      </c>
      <c r="B1169" s="7">
        <v>2021</v>
      </c>
      <c r="C1169" s="7" t="s">
        <v>62</v>
      </c>
      <c r="D1169" s="7" t="s">
        <v>21</v>
      </c>
      <c r="E1169" s="7" t="s">
        <v>22</v>
      </c>
      <c r="F1169" s="7" t="s">
        <v>23</v>
      </c>
      <c r="G1169" s="7" t="s">
        <v>24</v>
      </c>
      <c r="H1169" s="7" t="s">
        <v>25</v>
      </c>
      <c r="I1169" s="7" t="s">
        <v>26</v>
      </c>
      <c r="J1169" s="7">
        <v>316</v>
      </c>
      <c r="K1169" s="7">
        <v>526.24</v>
      </c>
    </row>
    <row r="1170" spans="1:11" ht="18" customHeight="1" x14ac:dyDescent="0.25">
      <c r="A1170" s="7" t="s">
        <v>19</v>
      </c>
      <c r="B1170" s="7">
        <v>2021</v>
      </c>
      <c r="C1170" s="7" t="s">
        <v>62</v>
      </c>
      <c r="D1170" s="7" t="s">
        <v>21</v>
      </c>
      <c r="E1170" s="7" t="s">
        <v>22</v>
      </c>
      <c r="F1170" s="7" t="s">
        <v>23</v>
      </c>
      <c r="G1170" s="7" t="s">
        <v>24</v>
      </c>
      <c r="H1170" s="7" t="s">
        <v>25</v>
      </c>
      <c r="I1170" s="7" t="s">
        <v>26</v>
      </c>
      <c r="J1170" s="7">
        <v>244</v>
      </c>
      <c r="K1170" s="7">
        <v>526.24</v>
      </c>
    </row>
    <row r="1171" spans="1:11" ht="18" customHeight="1" x14ac:dyDescent="0.25">
      <c r="A1171" s="7" t="s">
        <v>34</v>
      </c>
      <c r="B1171" s="7">
        <v>2021</v>
      </c>
      <c r="C1171" s="7" t="s">
        <v>62</v>
      </c>
      <c r="D1171" s="7" t="s">
        <v>21</v>
      </c>
      <c r="E1171" s="7" t="s">
        <v>22</v>
      </c>
      <c r="F1171" s="7" t="s">
        <v>23</v>
      </c>
      <c r="G1171" s="7" t="s">
        <v>24</v>
      </c>
      <c r="H1171" s="7" t="s">
        <v>25</v>
      </c>
      <c r="I1171" s="7" t="s">
        <v>26</v>
      </c>
      <c r="J1171" s="7">
        <v>999</v>
      </c>
      <c r="K1171" s="7">
        <v>1428.57</v>
      </c>
    </row>
    <row r="1172" spans="1:11" ht="18" customHeight="1" x14ac:dyDescent="0.25">
      <c r="A1172" s="7" t="s">
        <v>42</v>
      </c>
      <c r="B1172" s="7">
        <v>2021</v>
      </c>
      <c r="C1172" s="7" t="s">
        <v>62</v>
      </c>
      <c r="D1172" s="7" t="s">
        <v>21</v>
      </c>
      <c r="E1172" s="7" t="s">
        <v>22</v>
      </c>
      <c r="F1172" s="7" t="s">
        <v>23</v>
      </c>
      <c r="G1172" s="7" t="s">
        <v>24</v>
      </c>
      <c r="H1172" s="7" t="s">
        <v>25</v>
      </c>
      <c r="I1172" s="7" t="s">
        <v>26</v>
      </c>
      <c r="J1172" s="7">
        <v>1032</v>
      </c>
      <c r="K1172" s="7">
        <v>1475.76</v>
      </c>
    </row>
    <row r="1173" spans="1:11" ht="18" customHeight="1" x14ac:dyDescent="0.25">
      <c r="A1173" s="7" t="s">
        <v>34</v>
      </c>
      <c r="B1173" s="7">
        <v>2021</v>
      </c>
      <c r="C1173" s="7" t="s">
        <v>62</v>
      </c>
      <c r="D1173" s="7" t="s">
        <v>21</v>
      </c>
      <c r="E1173" s="7" t="s">
        <v>22</v>
      </c>
      <c r="F1173" s="7" t="s">
        <v>23</v>
      </c>
      <c r="G1173" s="7" t="s">
        <v>24</v>
      </c>
      <c r="H1173" s="7" t="s">
        <v>25</v>
      </c>
      <c r="I1173" s="7" t="s">
        <v>26</v>
      </c>
      <c r="J1173" s="7">
        <v>246</v>
      </c>
      <c r="K1173" s="7">
        <v>351.78</v>
      </c>
    </row>
    <row r="1174" spans="1:11" ht="18" customHeight="1" x14ac:dyDescent="0.25">
      <c r="A1174" s="7" t="s">
        <v>34</v>
      </c>
      <c r="B1174" s="7">
        <v>2021</v>
      </c>
      <c r="C1174" s="7" t="s">
        <v>62</v>
      </c>
      <c r="D1174" s="7" t="s">
        <v>21</v>
      </c>
      <c r="E1174" s="7" t="s">
        <v>22</v>
      </c>
      <c r="F1174" s="7" t="s">
        <v>23</v>
      </c>
      <c r="G1174" s="7" t="s">
        <v>24</v>
      </c>
      <c r="H1174" s="7" t="s">
        <v>25</v>
      </c>
      <c r="I1174" s="7" t="s">
        <v>26</v>
      </c>
      <c r="J1174" s="7">
        <v>273</v>
      </c>
      <c r="K1174" s="7">
        <v>390.39</v>
      </c>
    </row>
    <row r="1175" spans="1:11" ht="18" customHeight="1" x14ac:dyDescent="0.25">
      <c r="A1175" s="7" t="s">
        <v>42</v>
      </c>
      <c r="B1175" s="7">
        <v>2021</v>
      </c>
      <c r="C1175" s="7" t="s">
        <v>62</v>
      </c>
      <c r="D1175" s="7" t="s">
        <v>21</v>
      </c>
      <c r="E1175" s="7" t="s">
        <v>22</v>
      </c>
      <c r="F1175" s="7" t="s">
        <v>23</v>
      </c>
      <c r="G1175" s="7" t="s">
        <v>24</v>
      </c>
      <c r="H1175" s="7" t="s">
        <v>25</v>
      </c>
      <c r="I1175" s="7" t="s">
        <v>26</v>
      </c>
      <c r="J1175" s="7">
        <v>315</v>
      </c>
      <c r="K1175" s="7">
        <v>450.45</v>
      </c>
    </row>
    <row r="1176" spans="1:11" ht="18" customHeight="1" x14ac:dyDescent="0.25">
      <c r="A1176" s="7" t="s">
        <v>34</v>
      </c>
      <c r="B1176" s="7">
        <v>2021</v>
      </c>
      <c r="C1176" s="7" t="s">
        <v>62</v>
      </c>
      <c r="D1176" s="7" t="s">
        <v>21</v>
      </c>
      <c r="E1176" s="7" t="s">
        <v>22</v>
      </c>
      <c r="F1176" s="7" t="s">
        <v>23</v>
      </c>
      <c r="G1176" s="7" t="s">
        <v>24</v>
      </c>
      <c r="H1176" s="7" t="s">
        <v>25</v>
      </c>
      <c r="I1176" s="7" t="s">
        <v>26</v>
      </c>
      <c r="J1176" s="7">
        <v>243</v>
      </c>
      <c r="K1176" s="7">
        <v>347.49</v>
      </c>
    </row>
    <row r="1177" spans="1:11" ht="18" customHeight="1" x14ac:dyDescent="0.25">
      <c r="A1177" s="7" t="s">
        <v>19</v>
      </c>
      <c r="B1177" s="7">
        <v>2021</v>
      </c>
      <c r="C1177" s="7" t="s">
        <v>62</v>
      </c>
      <c r="D1177" s="7" t="s">
        <v>21</v>
      </c>
      <c r="E1177" s="7" t="s">
        <v>22</v>
      </c>
      <c r="F1177" s="7" t="s">
        <v>23</v>
      </c>
      <c r="G1177" s="7" t="s">
        <v>24</v>
      </c>
      <c r="H1177" s="7" t="s">
        <v>25</v>
      </c>
      <c r="I1177" s="7" t="s">
        <v>26</v>
      </c>
      <c r="J1177" s="7">
        <v>780</v>
      </c>
      <c r="K1177" s="7">
        <v>1115.4000000000001</v>
      </c>
    </row>
    <row r="1178" spans="1:11" ht="18" customHeight="1" x14ac:dyDescent="0.25">
      <c r="A1178" s="7" t="s">
        <v>42</v>
      </c>
      <c r="B1178" s="7">
        <v>2021</v>
      </c>
      <c r="C1178" s="7" t="s">
        <v>62</v>
      </c>
      <c r="D1178" s="7" t="s">
        <v>21</v>
      </c>
      <c r="E1178" s="7" t="s">
        <v>22</v>
      </c>
      <c r="F1178" s="7" t="s">
        <v>23</v>
      </c>
      <c r="G1178" s="7" t="s">
        <v>24</v>
      </c>
      <c r="H1178" s="7" t="s">
        <v>25</v>
      </c>
      <c r="I1178" s="7" t="s">
        <v>26</v>
      </c>
      <c r="J1178" s="7">
        <v>813</v>
      </c>
      <c r="K1178" s="7">
        <v>1162.5899999999999</v>
      </c>
    </row>
    <row r="1179" spans="1:11" ht="18" customHeight="1" x14ac:dyDescent="0.25">
      <c r="A1179" s="7" t="s">
        <v>34</v>
      </c>
      <c r="B1179" s="7">
        <v>2021</v>
      </c>
      <c r="C1179" s="7" t="s">
        <v>62</v>
      </c>
      <c r="D1179" s="7" t="s">
        <v>21</v>
      </c>
      <c r="E1179" s="7" t="s">
        <v>22</v>
      </c>
      <c r="F1179" s="7" t="s">
        <v>23</v>
      </c>
      <c r="G1179" s="7" t="s">
        <v>24</v>
      </c>
      <c r="H1179" s="7" t="s">
        <v>25</v>
      </c>
      <c r="I1179" s="7" t="s">
        <v>26</v>
      </c>
      <c r="J1179" s="7">
        <v>867</v>
      </c>
      <c r="K1179" s="7">
        <v>1239.81</v>
      </c>
    </row>
    <row r="1180" spans="1:11" ht="18" customHeight="1" x14ac:dyDescent="0.25">
      <c r="A1180" s="7" t="s">
        <v>34</v>
      </c>
      <c r="B1180" s="7">
        <v>2021</v>
      </c>
      <c r="C1180" s="7" t="s">
        <v>62</v>
      </c>
      <c r="D1180" s="7" t="s">
        <v>21</v>
      </c>
      <c r="E1180" s="7" t="s">
        <v>22</v>
      </c>
      <c r="F1180" s="7" t="s">
        <v>23</v>
      </c>
      <c r="G1180" s="7" t="s">
        <v>24</v>
      </c>
      <c r="H1180" s="7" t="s">
        <v>25</v>
      </c>
      <c r="I1180" s="7" t="s">
        <v>26</v>
      </c>
      <c r="J1180" s="7">
        <v>269</v>
      </c>
      <c r="K1180" s="7">
        <v>384.67</v>
      </c>
    </row>
    <row r="1181" spans="1:11" ht="18" customHeight="1" x14ac:dyDescent="0.25">
      <c r="A1181" s="7" t="s">
        <v>19</v>
      </c>
      <c r="B1181" s="7">
        <v>2021</v>
      </c>
      <c r="C1181" s="7" t="s">
        <v>62</v>
      </c>
      <c r="D1181" s="7" t="s">
        <v>21</v>
      </c>
      <c r="E1181" s="7" t="s">
        <v>22</v>
      </c>
      <c r="F1181" s="7" t="s">
        <v>23</v>
      </c>
      <c r="G1181" s="7" t="s">
        <v>24</v>
      </c>
      <c r="H1181" s="7" t="s">
        <v>25</v>
      </c>
      <c r="I1181" s="7" t="s">
        <v>26</v>
      </c>
      <c r="J1181" s="7">
        <v>317</v>
      </c>
      <c r="K1181" s="7">
        <v>453.31</v>
      </c>
    </row>
    <row r="1182" spans="1:11" ht="18" customHeight="1" x14ac:dyDescent="0.25">
      <c r="A1182" s="7" t="s">
        <v>19</v>
      </c>
      <c r="B1182" s="7">
        <v>2021</v>
      </c>
      <c r="C1182" s="7" t="s">
        <v>62</v>
      </c>
      <c r="D1182" s="7" t="s">
        <v>21</v>
      </c>
      <c r="E1182" s="7" t="s">
        <v>22</v>
      </c>
      <c r="F1182" s="7" t="s">
        <v>23</v>
      </c>
      <c r="G1182" s="7" t="s">
        <v>24</v>
      </c>
      <c r="H1182" s="7" t="s">
        <v>25</v>
      </c>
      <c r="I1182" s="7" t="s">
        <v>26</v>
      </c>
      <c r="J1182" s="7">
        <v>245</v>
      </c>
      <c r="K1182" s="7">
        <v>350.35</v>
      </c>
    </row>
    <row r="1183" spans="1:11" ht="18" customHeight="1" x14ac:dyDescent="0.25">
      <c r="A1183" s="7" t="s">
        <v>19</v>
      </c>
      <c r="B1183" s="7">
        <v>2021</v>
      </c>
      <c r="C1183" s="7" t="s">
        <v>66</v>
      </c>
      <c r="D1183" s="7" t="s">
        <v>21</v>
      </c>
      <c r="E1183" s="7" t="s">
        <v>22</v>
      </c>
      <c r="F1183" s="7" t="s">
        <v>23</v>
      </c>
      <c r="G1183" s="7" t="s">
        <v>24</v>
      </c>
      <c r="H1183" s="7" t="s">
        <v>25</v>
      </c>
      <c r="I1183" s="7" t="s">
        <v>26</v>
      </c>
      <c r="J1183" s="7">
        <v>260</v>
      </c>
      <c r="K1183" s="7">
        <v>371.8</v>
      </c>
    </row>
    <row r="1184" spans="1:11" ht="18" customHeight="1" x14ac:dyDescent="0.25">
      <c r="A1184" s="7" t="s">
        <v>19</v>
      </c>
      <c r="B1184" s="7">
        <v>2021</v>
      </c>
      <c r="C1184" s="7" t="s">
        <v>66</v>
      </c>
      <c r="D1184" s="7" t="s">
        <v>21</v>
      </c>
      <c r="E1184" s="7" t="s">
        <v>22</v>
      </c>
      <c r="F1184" s="7" t="s">
        <v>23</v>
      </c>
      <c r="G1184" s="7" t="s">
        <v>24</v>
      </c>
      <c r="H1184" s="7" t="s">
        <v>25</v>
      </c>
      <c r="I1184" s="7" t="s">
        <v>26</v>
      </c>
      <c r="J1184" s="7">
        <v>308</v>
      </c>
      <c r="K1184" s="7">
        <v>440.44</v>
      </c>
    </row>
    <row r="1185" spans="1:11" ht="18" customHeight="1" x14ac:dyDescent="0.25">
      <c r="A1185" s="7" t="s">
        <v>42</v>
      </c>
      <c r="B1185" s="7">
        <v>2021</v>
      </c>
      <c r="C1185" s="7" t="s">
        <v>66</v>
      </c>
      <c r="D1185" s="7" t="s">
        <v>21</v>
      </c>
      <c r="E1185" s="7" t="s">
        <v>22</v>
      </c>
      <c r="F1185" s="7" t="s">
        <v>23</v>
      </c>
      <c r="G1185" s="7" t="s">
        <v>24</v>
      </c>
      <c r="H1185" s="7" t="s">
        <v>25</v>
      </c>
      <c r="I1185" s="7" t="s">
        <v>26</v>
      </c>
      <c r="J1185" s="7">
        <v>262</v>
      </c>
      <c r="K1185" s="7">
        <v>526.24</v>
      </c>
    </row>
    <row r="1186" spans="1:11" ht="18" customHeight="1" x14ac:dyDescent="0.25">
      <c r="A1186" s="7" t="s">
        <v>53</v>
      </c>
      <c r="B1186" s="7">
        <v>2021</v>
      </c>
      <c r="C1186" s="7" t="s">
        <v>66</v>
      </c>
      <c r="D1186" s="7" t="s">
        <v>21</v>
      </c>
      <c r="E1186" s="7" t="s">
        <v>22</v>
      </c>
      <c r="F1186" s="7" t="s">
        <v>23</v>
      </c>
      <c r="G1186" s="7" t="s">
        <v>24</v>
      </c>
      <c r="H1186" s="7" t="s">
        <v>25</v>
      </c>
      <c r="I1186" s="7" t="s">
        <v>26</v>
      </c>
      <c r="J1186" s="7">
        <v>304</v>
      </c>
      <c r="K1186" s="7">
        <v>526.24</v>
      </c>
    </row>
    <row r="1187" spans="1:11" ht="18" customHeight="1" x14ac:dyDescent="0.25">
      <c r="A1187" s="7" t="s">
        <v>34</v>
      </c>
      <c r="B1187" s="7">
        <v>2021</v>
      </c>
      <c r="C1187" s="7" t="s">
        <v>66</v>
      </c>
      <c r="D1187" s="7" t="s">
        <v>21</v>
      </c>
      <c r="E1187" s="7" t="s">
        <v>22</v>
      </c>
      <c r="F1187" s="7" t="s">
        <v>23</v>
      </c>
      <c r="G1187" s="7" t="s">
        <v>24</v>
      </c>
      <c r="H1187" s="7" t="s">
        <v>25</v>
      </c>
      <c r="I1187" s="7" t="s">
        <v>26</v>
      </c>
      <c r="J1187" s="7">
        <v>232</v>
      </c>
      <c r="K1187" s="7">
        <v>526.24</v>
      </c>
    </row>
    <row r="1188" spans="1:11" ht="18" customHeight="1" x14ac:dyDescent="0.25">
      <c r="A1188" s="7" t="s">
        <v>34</v>
      </c>
      <c r="B1188" s="7">
        <v>2021</v>
      </c>
      <c r="C1188" s="7" t="s">
        <v>66</v>
      </c>
      <c r="D1188" s="7" t="s">
        <v>21</v>
      </c>
      <c r="E1188" s="7" t="s">
        <v>22</v>
      </c>
      <c r="F1188" s="7" t="s">
        <v>23</v>
      </c>
      <c r="G1188" s="7" t="s">
        <v>24</v>
      </c>
      <c r="H1188" s="7" t="s">
        <v>25</v>
      </c>
      <c r="I1188" s="7" t="s">
        <v>26</v>
      </c>
      <c r="J1188" s="7">
        <v>1001</v>
      </c>
      <c r="K1188" s="7">
        <v>1431.43</v>
      </c>
    </row>
    <row r="1189" spans="1:11" ht="18" customHeight="1" x14ac:dyDescent="0.25">
      <c r="A1189" s="7" t="s">
        <v>34</v>
      </c>
      <c r="B1189" s="7">
        <v>2021</v>
      </c>
      <c r="C1189" s="7" t="s">
        <v>66</v>
      </c>
      <c r="D1189" s="7" t="s">
        <v>21</v>
      </c>
      <c r="E1189" s="7" t="s">
        <v>22</v>
      </c>
      <c r="F1189" s="7" t="s">
        <v>23</v>
      </c>
      <c r="G1189" s="7" t="s">
        <v>24</v>
      </c>
      <c r="H1189" s="7" t="s">
        <v>25</v>
      </c>
      <c r="I1189" s="7" t="s">
        <v>26</v>
      </c>
      <c r="J1189" s="7">
        <v>1034</v>
      </c>
      <c r="K1189" s="7">
        <v>1478.62</v>
      </c>
    </row>
    <row r="1190" spans="1:11" ht="18" customHeight="1" x14ac:dyDescent="0.25">
      <c r="A1190" s="7" t="s">
        <v>19</v>
      </c>
      <c r="B1190" s="7">
        <v>2021</v>
      </c>
      <c r="C1190" s="7" t="s">
        <v>66</v>
      </c>
      <c r="D1190" s="7" t="s">
        <v>21</v>
      </c>
      <c r="E1190" s="7" t="s">
        <v>22</v>
      </c>
      <c r="F1190" s="7" t="s">
        <v>23</v>
      </c>
      <c r="G1190" s="7" t="s">
        <v>24</v>
      </c>
      <c r="H1190" s="7" t="s">
        <v>25</v>
      </c>
      <c r="I1190" s="7" t="s">
        <v>26</v>
      </c>
      <c r="J1190" s="7">
        <v>234</v>
      </c>
      <c r="K1190" s="7">
        <v>334.62</v>
      </c>
    </row>
    <row r="1191" spans="1:11" ht="18" customHeight="1" x14ac:dyDescent="0.25">
      <c r="A1191" s="7" t="s">
        <v>19</v>
      </c>
      <c r="B1191" s="7">
        <v>2021</v>
      </c>
      <c r="C1191" s="7" t="s">
        <v>66</v>
      </c>
      <c r="D1191" s="7" t="s">
        <v>21</v>
      </c>
      <c r="E1191" s="7" t="s">
        <v>22</v>
      </c>
      <c r="F1191" s="7" t="s">
        <v>23</v>
      </c>
      <c r="G1191" s="7" t="s">
        <v>24</v>
      </c>
      <c r="H1191" s="7" t="s">
        <v>25</v>
      </c>
      <c r="I1191" s="7" t="s">
        <v>26</v>
      </c>
      <c r="J1191" s="7">
        <v>261</v>
      </c>
      <c r="K1191" s="7">
        <v>373.23</v>
      </c>
    </row>
    <row r="1192" spans="1:11" ht="18" customHeight="1" x14ac:dyDescent="0.25">
      <c r="A1192" s="7" t="s">
        <v>42</v>
      </c>
      <c r="B1192" s="7">
        <v>2021</v>
      </c>
      <c r="C1192" s="7" t="s">
        <v>66</v>
      </c>
      <c r="D1192" s="7" t="s">
        <v>21</v>
      </c>
      <c r="E1192" s="7" t="s">
        <v>22</v>
      </c>
      <c r="F1192" s="7" t="s">
        <v>23</v>
      </c>
      <c r="G1192" s="7" t="s">
        <v>24</v>
      </c>
      <c r="H1192" s="7" t="s">
        <v>25</v>
      </c>
      <c r="I1192" s="7" t="s">
        <v>26</v>
      </c>
      <c r="J1192" s="7">
        <v>309</v>
      </c>
      <c r="K1192" s="7">
        <v>441.87</v>
      </c>
    </row>
    <row r="1193" spans="1:11" ht="18" customHeight="1" x14ac:dyDescent="0.25">
      <c r="A1193" s="7" t="s">
        <v>34</v>
      </c>
      <c r="B1193" s="7">
        <v>2021</v>
      </c>
      <c r="C1193" s="7" t="s">
        <v>66</v>
      </c>
      <c r="D1193" s="7" t="s">
        <v>21</v>
      </c>
      <c r="E1193" s="7" t="s">
        <v>22</v>
      </c>
      <c r="F1193" s="7" t="s">
        <v>23</v>
      </c>
      <c r="G1193" s="7" t="s">
        <v>24</v>
      </c>
      <c r="H1193" s="7" t="s">
        <v>25</v>
      </c>
      <c r="I1193" s="7" t="s">
        <v>26</v>
      </c>
      <c r="J1193" s="7">
        <v>231</v>
      </c>
      <c r="K1193" s="7">
        <v>330.33</v>
      </c>
    </row>
    <row r="1194" spans="1:11" ht="18" customHeight="1" x14ac:dyDescent="0.25">
      <c r="A1194" s="7" t="s">
        <v>34</v>
      </c>
      <c r="B1194" s="7">
        <v>2021</v>
      </c>
      <c r="C1194" s="7" t="s">
        <v>66</v>
      </c>
      <c r="D1194" s="7" t="s">
        <v>21</v>
      </c>
      <c r="E1194" s="7" t="s">
        <v>22</v>
      </c>
      <c r="F1194" s="7" t="s">
        <v>23</v>
      </c>
      <c r="G1194" s="7" t="s">
        <v>24</v>
      </c>
      <c r="H1194" s="7" t="s">
        <v>25</v>
      </c>
      <c r="I1194" s="7" t="s">
        <v>26</v>
      </c>
      <c r="J1194" s="7">
        <v>782</v>
      </c>
      <c r="K1194" s="7">
        <v>1118.26</v>
      </c>
    </row>
    <row r="1195" spans="1:11" ht="18" customHeight="1" x14ac:dyDescent="0.25">
      <c r="A1195" s="7" t="s">
        <v>19</v>
      </c>
      <c r="B1195" s="7">
        <v>2021</v>
      </c>
      <c r="C1195" s="7" t="s">
        <v>66</v>
      </c>
      <c r="D1195" s="7" t="s">
        <v>21</v>
      </c>
      <c r="E1195" s="7" t="s">
        <v>22</v>
      </c>
      <c r="F1195" s="7" t="s">
        <v>23</v>
      </c>
      <c r="G1195" s="7" t="s">
        <v>24</v>
      </c>
      <c r="H1195" s="7" t="s">
        <v>25</v>
      </c>
      <c r="I1195" s="7" t="s">
        <v>26</v>
      </c>
      <c r="J1195" s="7">
        <v>815</v>
      </c>
      <c r="K1195" s="7">
        <v>1165.45</v>
      </c>
    </row>
    <row r="1196" spans="1:11" ht="18" customHeight="1" x14ac:dyDescent="0.25">
      <c r="A1196" s="7" t="s">
        <v>42</v>
      </c>
      <c r="B1196" s="7">
        <v>2021</v>
      </c>
      <c r="C1196" s="7" t="s">
        <v>66</v>
      </c>
      <c r="D1196" s="7" t="s">
        <v>21</v>
      </c>
      <c r="E1196" s="7" t="s">
        <v>22</v>
      </c>
      <c r="F1196" s="7" t="s">
        <v>23</v>
      </c>
      <c r="G1196" s="7" t="s">
        <v>24</v>
      </c>
      <c r="H1196" s="7" t="s">
        <v>25</v>
      </c>
      <c r="I1196" s="7" t="s">
        <v>26</v>
      </c>
      <c r="J1196" s="7">
        <v>868</v>
      </c>
      <c r="K1196" s="7">
        <v>1241.24</v>
      </c>
    </row>
    <row r="1197" spans="1:11" ht="18" customHeight="1" x14ac:dyDescent="0.25">
      <c r="A1197" s="7" t="s">
        <v>19</v>
      </c>
      <c r="B1197" s="7">
        <v>2021</v>
      </c>
      <c r="C1197" s="7" t="s">
        <v>66</v>
      </c>
      <c r="D1197" s="7" t="s">
        <v>21</v>
      </c>
      <c r="E1197" s="7" t="s">
        <v>22</v>
      </c>
      <c r="F1197" s="7" t="s">
        <v>23</v>
      </c>
      <c r="G1197" s="7" t="s">
        <v>24</v>
      </c>
      <c r="H1197" s="7" t="s">
        <v>25</v>
      </c>
      <c r="I1197" s="7" t="s">
        <v>26</v>
      </c>
      <c r="J1197" s="7">
        <v>305</v>
      </c>
      <c r="K1197" s="7">
        <v>436.15</v>
      </c>
    </row>
    <row r="1198" spans="1:11" ht="18" customHeight="1" x14ac:dyDescent="0.25">
      <c r="A1198" s="7" t="s">
        <v>19</v>
      </c>
      <c r="B1198" s="7">
        <v>2021</v>
      </c>
      <c r="C1198" s="7" t="s">
        <v>66</v>
      </c>
      <c r="D1198" s="7" t="s">
        <v>21</v>
      </c>
      <c r="E1198" s="7" t="s">
        <v>22</v>
      </c>
      <c r="F1198" s="7" t="s">
        <v>23</v>
      </c>
      <c r="G1198" s="7" t="s">
        <v>24</v>
      </c>
      <c r="H1198" s="7" t="s">
        <v>25</v>
      </c>
      <c r="I1198" s="7" t="s">
        <v>26</v>
      </c>
      <c r="J1198" s="7">
        <v>233</v>
      </c>
      <c r="K1198" s="7">
        <v>333.19</v>
      </c>
    </row>
    <row r="1199" spans="1:11" ht="18" customHeight="1" x14ac:dyDescent="0.25">
      <c r="A1199" s="7" t="s">
        <v>34</v>
      </c>
      <c r="B1199" s="7">
        <v>2021</v>
      </c>
      <c r="C1199" s="7" t="s">
        <v>71</v>
      </c>
      <c r="D1199" s="7" t="s">
        <v>72</v>
      </c>
      <c r="E1199" s="7" t="s">
        <v>22</v>
      </c>
      <c r="F1199" s="7" t="s">
        <v>23</v>
      </c>
      <c r="G1199" s="7" t="s">
        <v>24</v>
      </c>
      <c r="H1199" s="7" t="s">
        <v>25</v>
      </c>
      <c r="I1199" s="7" t="s">
        <v>35</v>
      </c>
      <c r="J1199" s="7">
        <v>266</v>
      </c>
      <c r="K1199" s="7">
        <v>380.38</v>
      </c>
    </row>
    <row r="1200" spans="1:11" ht="18" customHeight="1" x14ac:dyDescent="0.25">
      <c r="A1200" s="7" t="s">
        <v>34</v>
      </c>
      <c r="B1200" s="7">
        <v>2021</v>
      </c>
      <c r="C1200" s="7" t="s">
        <v>71</v>
      </c>
      <c r="D1200" s="7" t="s">
        <v>72</v>
      </c>
      <c r="E1200" s="7" t="s">
        <v>22</v>
      </c>
      <c r="F1200" s="7" t="s">
        <v>23</v>
      </c>
      <c r="G1200" s="7" t="s">
        <v>24</v>
      </c>
      <c r="H1200" s="7" t="s">
        <v>25</v>
      </c>
      <c r="I1200" s="7" t="s">
        <v>35</v>
      </c>
      <c r="J1200" s="7">
        <v>260</v>
      </c>
      <c r="K1200" s="7">
        <v>371.8</v>
      </c>
    </row>
    <row r="1201" spans="1:11" ht="18" customHeight="1" x14ac:dyDescent="0.25">
      <c r="A1201" s="7" t="s">
        <v>19</v>
      </c>
      <c r="B1201" s="7">
        <v>2021</v>
      </c>
      <c r="C1201" s="7" t="s">
        <v>71</v>
      </c>
      <c r="D1201" s="7" t="s">
        <v>72</v>
      </c>
      <c r="E1201" s="7" t="s">
        <v>22</v>
      </c>
      <c r="F1201" s="7" t="s">
        <v>23</v>
      </c>
      <c r="G1201" s="7" t="s">
        <v>24</v>
      </c>
      <c r="H1201" s="7" t="s">
        <v>25</v>
      </c>
      <c r="I1201" s="7" t="s">
        <v>35</v>
      </c>
      <c r="J1201" s="7">
        <v>254</v>
      </c>
      <c r="K1201" s="7">
        <v>363.22</v>
      </c>
    </row>
    <row r="1202" spans="1:11" ht="18" customHeight="1" x14ac:dyDescent="0.25">
      <c r="A1202" s="7" t="s">
        <v>19</v>
      </c>
      <c r="B1202" s="7">
        <v>2021</v>
      </c>
      <c r="C1202" s="7" t="s">
        <v>71</v>
      </c>
      <c r="D1202" s="7" t="s">
        <v>72</v>
      </c>
      <c r="E1202" s="7" t="s">
        <v>22</v>
      </c>
      <c r="F1202" s="7" t="s">
        <v>23</v>
      </c>
      <c r="G1202" s="7" t="s">
        <v>24</v>
      </c>
      <c r="H1202" s="7" t="s">
        <v>25</v>
      </c>
      <c r="I1202" s="7" t="s">
        <v>26</v>
      </c>
      <c r="J1202" s="7">
        <v>230</v>
      </c>
      <c r="K1202" s="7">
        <v>328.9</v>
      </c>
    </row>
    <row r="1203" spans="1:11" ht="18" customHeight="1" x14ac:dyDescent="0.25">
      <c r="A1203" s="7" t="s">
        <v>19</v>
      </c>
      <c r="B1203" s="7">
        <v>2021</v>
      </c>
      <c r="C1203" s="7" t="s">
        <v>71</v>
      </c>
      <c r="D1203" s="7" t="s">
        <v>72</v>
      </c>
      <c r="E1203" s="7" t="s">
        <v>22</v>
      </c>
      <c r="F1203" s="7" t="s">
        <v>23</v>
      </c>
      <c r="G1203" s="7" t="s">
        <v>24</v>
      </c>
      <c r="H1203" s="7" t="s">
        <v>25</v>
      </c>
      <c r="I1203" s="7" t="s">
        <v>26</v>
      </c>
      <c r="J1203" s="7">
        <v>272</v>
      </c>
      <c r="K1203" s="7">
        <v>388.96</v>
      </c>
    </row>
    <row r="1204" spans="1:11" ht="18" customHeight="1" x14ac:dyDescent="0.25">
      <c r="A1204" s="7" t="s">
        <v>42</v>
      </c>
      <c r="B1204" s="7">
        <v>2021</v>
      </c>
      <c r="C1204" s="7" t="s">
        <v>71</v>
      </c>
      <c r="D1204" s="7" t="s">
        <v>72</v>
      </c>
      <c r="E1204" s="7" t="s">
        <v>22</v>
      </c>
      <c r="F1204" s="7" t="s">
        <v>23</v>
      </c>
      <c r="G1204" s="7" t="s">
        <v>24</v>
      </c>
      <c r="H1204" s="7" t="s">
        <v>25</v>
      </c>
      <c r="I1204" s="7" t="s">
        <v>26</v>
      </c>
      <c r="J1204" s="7">
        <v>262</v>
      </c>
      <c r="K1204" s="7">
        <v>374.65999999999997</v>
      </c>
    </row>
    <row r="1205" spans="1:11" ht="18" customHeight="1" x14ac:dyDescent="0.25">
      <c r="A1205" s="7" t="s">
        <v>34</v>
      </c>
      <c r="B1205" s="7">
        <v>2021</v>
      </c>
      <c r="C1205" s="7" t="s">
        <v>71</v>
      </c>
      <c r="D1205" s="7" t="s">
        <v>72</v>
      </c>
      <c r="E1205" s="7" t="s">
        <v>22</v>
      </c>
      <c r="F1205" s="7" t="s">
        <v>23</v>
      </c>
      <c r="G1205" s="7" t="s">
        <v>24</v>
      </c>
      <c r="H1205" s="7" t="s">
        <v>25</v>
      </c>
      <c r="I1205" s="7" t="s">
        <v>26</v>
      </c>
      <c r="J1205" s="7">
        <v>256</v>
      </c>
      <c r="K1205" s="7">
        <v>366.08</v>
      </c>
    </row>
    <row r="1206" spans="1:11" ht="18" customHeight="1" x14ac:dyDescent="0.25">
      <c r="A1206" s="7" t="s">
        <v>42</v>
      </c>
      <c r="B1206" s="7">
        <v>2021</v>
      </c>
      <c r="C1206" s="7" t="s">
        <v>71</v>
      </c>
      <c r="D1206" s="7" t="s">
        <v>72</v>
      </c>
      <c r="E1206" s="7" t="s">
        <v>22</v>
      </c>
      <c r="F1206" s="7" t="s">
        <v>23</v>
      </c>
      <c r="G1206" s="7" t="s">
        <v>24</v>
      </c>
      <c r="H1206" s="7" t="s">
        <v>25</v>
      </c>
      <c r="I1206" s="7" t="s">
        <v>26</v>
      </c>
      <c r="J1206" s="7">
        <v>226</v>
      </c>
      <c r="K1206" s="7">
        <v>526.24</v>
      </c>
    </row>
    <row r="1207" spans="1:11" ht="18" customHeight="1" x14ac:dyDescent="0.25">
      <c r="A1207" s="7" t="s">
        <v>42</v>
      </c>
      <c r="B1207" s="7">
        <v>2021</v>
      </c>
      <c r="C1207" s="7" t="s">
        <v>71</v>
      </c>
      <c r="D1207" s="7" t="s">
        <v>72</v>
      </c>
      <c r="E1207" s="7" t="s">
        <v>22</v>
      </c>
      <c r="F1207" s="7" t="s">
        <v>23</v>
      </c>
      <c r="G1207" s="7" t="s">
        <v>24</v>
      </c>
      <c r="H1207" s="7" t="s">
        <v>25</v>
      </c>
      <c r="I1207" s="7" t="s">
        <v>26</v>
      </c>
      <c r="J1207" s="7">
        <v>274</v>
      </c>
      <c r="K1207" s="7">
        <v>526.24</v>
      </c>
    </row>
    <row r="1208" spans="1:11" ht="18" customHeight="1" x14ac:dyDescent="0.25">
      <c r="A1208" s="7" t="s">
        <v>61</v>
      </c>
      <c r="B1208" s="7">
        <v>2021</v>
      </c>
      <c r="C1208" s="7" t="s">
        <v>71</v>
      </c>
      <c r="D1208" s="7" t="s">
        <v>72</v>
      </c>
      <c r="E1208" s="7" t="s">
        <v>22</v>
      </c>
      <c r="F1208" s="7" t="s">
        <v>23</v>
      </c>
      <c r="G1208" s="7" t="s">
        <v>24</v>
      </c>
      <c r="H1208" s="7" t="s">
        <v>25</v>
      </c>
      <c r="I1208" s="7" t="s">
        <v>26</v>
      </c>
      <c r="J1208" s="7">
        <v>1006</v>
      </c>
      <c r="K1208" s="7">
        <v>1438.58</v>
      </c>
    </row>
    <row r="1209" spans="1:11" ht="18" customHeight="1" x14ac:dyDescent="0.25">
      <c r="A1209" s="7" t="s">
        <v>53</v>
      </c>
      <c r="B1209" s="7">
        <v>2021</v>
      </c>
      <c r="C1209" s="7" t="s">
        <v>71</v>
      </c>
      <c r="D1209" s="7" t="s">
        <v>72</v>
      </c>
      <c r="E1209" s="7" t="s">
        <v>22</v>
      </c>
      <c r="F1209" s="7" t="s">
        <v>23</v>
      </c>
      <c r="G1209" s="7" t="s">
        <v>24</v>
      </c>
      <c r="H1209" s="7" t="s">
        <v>25</v>
      </c>
      <c r="I1209" s="7" t="s">
        <v>26</v>
      </c>
      <c r="J1209" s="7">
        <v>1039</v>
      </c>
      <c r="K1209" s="7">
        <v>1485.77</v>
      </c>
    </row>
    <row r="1210" spans="1:11" ht="18" customHeight="1" x14ac:dyDescent="0.25">
      <c r="A1210" s="7" t="s">
        <v>53</v>
      </c>
      <c r="B1210" s="7">
        <v>2021</v>
      </c>
      <c r="C1210" s="7" t="s">
        <v>71</v>
      </c>
      <c r="D1210" s="7" t="s">
        <v>72</v>
      </c>
      <c r="E1210" s="7" t="s">
        <v>22</v>
      </c>
      <c r="F1210" s="7" t="s">
        <v>23</v>
      </c>
      <c r="G1210" s="7" t="s">
        <v>24</v>
      </c>
      <c r="H1210" s="7" t="s">
        <v>25</v>
      </c>
      <c r="I1210" s="7" t="s">
        <v>26</v>
      </c>
      <c r="J1210" s="7">
        <v>273</v>
      </c>
      <c r="K1210" s="7">
        <v>390.39</v>
      </c>
    </row>
    <row r="1211" spans="1:11" ht="18" customHeight="1" x14ac:dyDescent="0.25">
      <c r="A1211" s="7" t="s">
        <v>19</v>
      </c>
      <c r="B1211" s="7">
        <v>2021</v>
      </c>
      <c r="C1211" s="7" t="s">
        <v>71</v>
      </c>
      <c r="D1211" s="7" t="s">
        <v>72</v>
      </c>
      <c r="E1211" s="7" t="s">
        <v>22</v>
      </c>
      <c r="F1211" s="7" t="s">
        <v>23</v>
      </c>
      <c r="G1211" s="7" t="s">
        <v>24</v>
      </c>
      <c r="H1211" s="7" t="s">
        <v>25</v>
      </c>
      <c r="I1211" s="7" t="s">
        <v>26</v>
      </c>
      <c r="J1211" s="7">
        <v>265</v>
      </c>
      <c r="K1211" s="7">
        <v>378.95</v>
      </c>
    </row>
    <row r="1212" spans="1:11" ht="18" customHeight="1" x14ac:dyDescent="0.25">
      <c r="A1212" s="7" t="s">
        <v>61</v>
      </c>
      <c r="B1212" s="7">
        <v>2021</v>
      </c>
      <c r="C1212" s="7" t="s">
        <v>71</v>
      </c>
      <c r="D1212" s="7" t="s">
        <v>72</v>
      </c>
      <c r="E1212" s="7" t="s">
        <v>22</v>
      </c>
      <c r="F1212" s="7" t="s">
        <v>23</v>
      </c>
      <c r="G1212" s="7" t="s">
        <v>24</v>
      </c>
      <c r="H1212" s="7" t="s">
        <v>25</v>
      </c>
      <c r="I1212" s="7" t="s">
        <v>26</v>
      </c>
      <c r="J1212" s="7">
        <v>259</v>
      </c>
      <c r="K1212" s="7">
        <v>370.37</v>
      </c>
    </row>
    <row r="1213" spans="1:11" ht="18" customHeight="1" x14ac:dyDescent="0.25">
      <c r="A1213" s="7" t="s">
        <v>42</v>
      </c>
      <c r="B1213" s="7">
        <v>2021</v>
      </c>
      <c r="C1213" s="7" t="s">
        <v>71</v>
      </c>
      <c r="D1213" s="7" t="s">
        <v>72</v>
      </c>
      <c r="E1213" s="7" t="s">
        <v>22</v>
      </c>
      <c r="F1213" s="7" t="s">
        <v>23</v>
      </c>
      <c r="G1213" s="7" t="s">
        <v>24</v>
      </c>
      <c r="H1213" s="7" t="s">
        <v>25</v>
      </c>
      <c r="I1213" s="7" t="s">
        <v>26</v>
      </c>
      <c r="J1213" s="7">
        <v>253</v>
      </c>
      <c r="K1213" s="7">
        <v>361.78999999999996</v>
      </c>
    </row>
    <row r="1214" spans="1:11" ht="18" customHeight="1" x14ac:dyDescent="0.25">
      <c r="A1214" s="7" t="s">
        <v>42</v>
      </c>
      <c r="B1214" s="7">
        <v>2021</v>
      </c>
      <c r="C1214" s="7" t="s">
        <v>71</v>
      </c>
      <c r="D1214" s="7" t="s">
        <v>72</v>
      </c>
      <c r="E1214" s="7" t="s">
        <v>22</v>
      </c>
      <c r="F1214" s="7" t="s">
        <v>23</v>
      </c>
      <c r="G1214" s="7" t="s">
        <v>24</v>
      </c>
      <c r="H1214" s="7" t="s">
        <v>25</v>
      </c>
      <c r="I1214" s="7" t="s">
        <v>26</v>
      </c>
      <c r="J1214" s="7">
        <v>787</v>
      </c>
      <c r="K1214" s="7">
        <v>1125.4099999999999</v>
      </c>
    </row>
    <row r="1215" spans="1:11" ht="18" customHeight="1" x14ac:dyDescent="0.25">
      <c r="A1215" s="7" t="s">
        <v>42</v>
      </c>
      <c r="B1215" s="7">
        <v>2021</v>
      </c>
      <c r="C1215" s="7" t="s">
        <v>71</v>
      </c>
      <c r="D1215" s="7" t="s">
        <v>72</v>
      </c>
      <c r="E1215" s="7" t="s">
        <v>22</v>
      </c>
      <c r="F1215" s="7" t="s">
        <v>23</v>
      </c>
      <c r="G1215" s="7" t="s">
        <v>24</v>
      </c>
      <c r="H1215" s="7" t="s">
        <v>25</v>
      </c>
      <c r="I1215" s="7" t="s">
        <v>26</v>
      </c>
      <c r="J1215" s="7">
        <v>820</v>
      </c>
      <c r="K1215" s="7">
        <v>1172.5999999999999</v>
      </c>
    </row>
    <row r="1216" spans="1:11" ht="18" customHeight="1" x14ac:dyDescent="0.25">
      <c r="A1216" s="7" t="s">
        <v>19</v>
      </c>
      <c r="B1216" s="7">
        <v>2021</v>
      </c>
      <c r="C1216" s="7" t="s">
        <v>71</v>
      </c>
      <c r="D1216" s="7" t="s">
        <v>72</v>
      </c>
      <c r="E1216" s="7" t="s">
        <v>22</v>
      </c>
      <c r="F1216" s="7" t="s">
        <v>23</v>
      </c>
      <c r="G1216" s="7" t="s">
        <v>24</v>
      </c>
      <c r="H1216" s="7" t="s">
        <v>25</v>
      </c>
      <c r="I1216" s="7" t="s">
        <v>35</v>
      </c>
      <c r="J1216" s="7">
        <v>263</v>
      </c>
      <c r="K1216" s="7">
        <v>376.09000000000003</v>
      </c>
    </row>
    <row r="1217" spans="1:11" ht="18" customHeight="1" x14ac:dyDescent="0.25">
      <c r="A1217" s="7" t="s">
        <v>34</v>
      </c>
      <c r="B1217" s="7">
        <v>2021</v>
      </c>
      <c r="C1217" s="7" t="s">
        <v>71</v>
      </c>
      <c r="D1217" s="7" t="s">
        <v>72</v>
      </c>
      <c r="E1217" s="7" t="s">
        <v>22</v>
      </c>
      <c r="F1217" s="7" t="s">
        <v>23</v>
      </c>
      <c r="G1217" s="7" t="s">
        <v>24</v>
      </c>
      <c r="H1217" s="7" t="s">
        <v>25</v>
      </c>
      <c r="I1217" s="7" t="s">
        <v>35</v>
      </c>
      <c r="J1217" s="7">
        <v>257</v>
      </c>
      <c r="K1217" s="7">
        <v>367.51</v>
      </c>
    </row>
    <row r="1218" spans="1:11" ht="18" customHeight="1" x14ac:dyDescent="0.25">
      <c r="A1218" s="7" t="s">
        <v>19</v>
      </c>
      <c r="B1218" s="7">
        <v>2021</v>
      </c>
      <c r="C1218" s="7" t="s">
        <v>71</v>
      </c>
      <c r="D1218" s="7" t="s">
        <v>72</v>
      </c>
      <c r="E1218" s="7" t="s">
        <v>22</v>
      </c>
      <c r="F1218" s="7" t="s">
        <v>23</v>
      </c>
      <c r="G1218" s="7" t="s">
        <v>24</v>
      </c>
      <c r="H1218" s="7" t="s">
        <v>25</v>
      </c>
      <c r="I1218" s="7" t="s">
        <v>35</v>
      </c>
      <c r="J1218" s="7">
        <v>251</v>
      </c>
      <c r="K1218" s="7">
        <v>358.93</v>
      </c>
    </row>
    <row r="1219" spans="1:11" ht="18" customHeight="1" x14ac:dyDescent="0.25">
      <c r="A1219" s="7" t="s">
        <v>34</v>
      </c>
      <c r="B1219" s="7">
        <v>2021</v>
      </c>
      <c r="C1219" s="7" t="s">
        <v>71</v>
      </c>
      <c r="D1219" s="7" t="s">
        <v>72</v>
      </c>
      <c r="E1219" s="7" t="s">
        <v>22</v>
      </c>
      <c r="F1219" s="7" t="s">
        <v>23</v>
      </c>
      <c r="G1219" s="7" t="s">
        <v>24</v>
      </c>
      <c r="H1219" s="7" t="s">
        <v>25</v>
      </c>
      <c r="I1219" s="7" t="s">
        <v>26</v>
      </c>
      <c r="J1219" s="7">
        <v>227</v>
      </c>
      <c r="K1219" s="7">
        <v>324.61</v>
      </c>
    </row>
    <row r="1220" spans="1:11" ht="18" customHeight="1" x14ac:dyDescent="0.25">
      <c r="A1220" s="7" t="s">
        <v>34</v>
      </c>
      <c r="B1220" s="7">
        <v>2021</v>
      </c>
      <c r="C1220" s="7" t="s">
        <v>71</v>
      </c>
      <c r="D1220" s="7" t="s">
        <v>72</v>
      </c>
      <c r="E1220" s="7" t="s">
        <v>22</v>
      </c>
      <c r="F1220" s="7" t="s">
        <v>23</v>
      </c>
      <c r="G1220" s="7" t="s">
        <v>24</v>
      </c>
      <c r="H1220" s="7" t="s">
        <v>25</v>
      </c>
      <c r="I1220" s="7" t="s">
        <v>26</v>
      </c>
      <c r="J1220" s="7">
        <v>275</v>
      </c>
      <c r="K1220" s="7">
        <v>393.25</v>
      </c>
    </row>
    <row r="1221" spans="1:11" ht="18" customHeight="1" x14ac:dyDescent="0.25">
      <c r="A1221" s="7" t="s">
        <v>42</v>
      </c>
      <c r="B1221" s="7">
        <v>2021</v>
      </c>
      <c r="C1221" s="7" t="s">
        <v>70</v>
      </c>
      <c r="D1221" s="7" t="s">
        <v>72</v>
      </c>
      <c r="E1221" s="7" t="s">
        <v>22</v>
      </c>
      <c r="F1221" s="7" t="s">
        <v>23</v>
      </c>
      <c r="G1221" s="7" t="s">
        <v>24</v>
      </c>
      <c r="H1221" s="7" t="s">
        <v>25</v>
      </c>
      <c r="I1221" s="7" t="s">
        <v>35</v>
      </c>
      <c r="J1221" s="7">
        <v>278</v>
      </c>
      <c r="K1221" s="7">
        <v>397.53999999999996</v>
      </c>
    </row>
    <row r="1222" spans="1:11" ht="18" customHeight="1" x14ac:dyDescent="0.25">
      <c r="A1222" s="7" t="s">
        <v>34</v>
      </c>
      <c r="B1222" s="7">
        <v>2021</v>
      </c>
      <c r="C1222" s="7" t="s">
        <v>70</v>
      </c>
      <c r="D1222" s="7" t="s">
        <v>72</v>
      </c>
      <c r="E1222" s="7" t="s">
        <v>22</v>
      </c>
      <c r="F1222" s="7" t="s">
        <v>23</v>
      </c>
      <c r="G1222" s="7" t="s">
        <v>24</v>
      </c>
      <c r="H1222" s="7" t="s">
        <v>25</v>
      </c>
      <c r="I1222" s="7" t="s">
        <v>35</v>
      </c>
      <c r="J1222" s="7">
        <v>272</v>
      </c>
      <c r="K1222" s="7">
        <v>388.96</v>
      </c>
    </row>
    <row r="1223" spans="1:11" ht="18" customHeight="1" x14ac:dyDescent="0.25">
      <c r="A1223" s="7" t="s">
        <v>19</v>
      </c>
      <c r="B1223" s="7">
        <v>2021</v>
      </c>
      <c r="C1223" s="7" t="s">
        <v>70</v>
      </c>
      <c r="D1223" s="7" t="s">
        <v>72</v>
      </c>
      <c r="E1223" s="7" t="s">
        <v>22</v>
      </c>
      <c r="F1223" s="7" t="s">
        <v>23</v>
      </c>
      <c r="G1223" s="7" t="s">
        <v>24</v>
      </c>
      <c r="H1223" s="7" t="s">
        <v>25</v>
      </c>
      <c r="I1223" s="7" t="s">
        <v>26</v>
      </c>
      <c r="J1223" s="7">
        <v>278</v>
      </c>
      <c r="K1223" s="7">
        <v>397.53999999999996</v>
      </c>
    </row>
    <row r="1224" spans="1:11" ht="18" customHeight="1" x14ac:dyDescent="0.25">
      <c r="A1224" s="7" t="s">
        <v>34</v>
      </c>
      <c r="B1224" s="7">
        <v>2021</v>
      </c>
      <c r="C1224" s="7" t="s">
        <v>70</v>
      </c>
      <c r="D1224" s="7" t="s">
        <v>72</v>
      </c>
      <c r="E1224" s="7" t="s">
        <v>22</v>
      </c>
      <c r="F1224" s="7" t="s">
        <v>23</v>
      </c>
      <c r="G1224" s="7" t="s">
        <v>24</v>
      </c>
      <c r="H1224" s="7" t="s">
        <v>25</v>
      </c>
      <c r="I1224" s="7" t="s">
        <v>26</v>
      </c>
      <c r="J1224" s="7">
        <v>280</v>
      </c>
      <c r="K1224" s="7">
        <v>400.4</v>
      </c>
    </row>
    <row r="1225" spans="1:11" ht="18" customHeight="1" x14ac:dyDescent="0.25">
      <c r="A1225" s="7" t="s">
        <v>34</v>
      </c>
      <c r="B1225" s="7">
        <v>2021</v>
      </c>
      <c r="C1225" s="7" t="s">
        <v>70</v>
      </c>
      <c r="D1225" s="7" t="s">
        <v>72</v>
      </c>
      <c r="E1225" s="7" t="s">
        <v>22</v>
      </c>
      <c r="F1225" s="7" t="s">
        <v>23</v>
      </c>
      <c r="G1225" s="7" t="s">
        <v>24</v>
      </c>
      <c r="H1225" s="7" t="s">
        <v>25</v>
      </c>
      <c r="I1225" s="7" t="s">
        <v>26</v>
      </c>
      <c r="J1225" s="7">
        <v>274</v>
      </c>
      <c r="K1225" s="7">
        <v>391.82</v>
      </c>
    </row>
    <row r="1226" spans="1:11" ht="18" customHeight="1" x14ac:dyDescent="0.25">
      <c r="A1226" s="7" t="s">
        <v>19</v>
      </c>
      <c r="B1226" s="7">
        <v>2021</v>
      </c>
      <c r="C1226" s="7" t="s">
        <v>70</v>
      </c>
      <c r="D1226" s="7" t="s">
        <v>72</v>
      </c>
      <c r="E1226" s="7" t="s">
        <v>22</v>
      </c>
      <c r="F1226" s="7" t="s">
        <v>23</v>
      </c>
      <c r="G1226" s="7" t="s">
        <v>24</v>
      </c>
      <c r="H1226" s="7" t="s">
        <v>25</v>
      </c>
      <c r="I1226" s="7" t="s">
        <v>26</v>
      </c>
      <c r="J1226" s="7">
        <v>268</v>
      </c>
      <c r="K1226" s="7">
        <v>383.24</v>
      </c>
    </row>
    <row r="1227" spans="1:11" ht="18" customHeight="1" x14ac:dyDescent="0.25">
      <c r="A1227" s="7" t="s">
        <v>42</v>
      </c>
      <c r="B1227" s="7">
        <v>2021</v>
      </c>
      <c r="C1227" s="7" t="s">
        <v>70</v>
      </c>
      <c r="D1227" s="7" t="s">
        <v>72</v>
      </c>
      <c r="E1227" s="7" t="s">
        <v>22</v>
      </c>
      <c r="F1227" s="7" t="s">
        <v>23</v>
      </c>
      <c r="G1227" s="7" t="s">
        <v>24</v>
      </c>
      <c r="H1227" s="7" t="s">
        <v>25</v>
      </c>
      <c r="I1227" s="7" t="s">
        <v>26</v>
      </c>
      <c r="J1227" s="7">
        <v>232</v>
      </c>
      <c r="K1227" s="7">
        <v>526.24</v>
      </c>
    </row>
    <row r="1228" spans="1:11" ht="18" customHeight="1" x14ac:dyDescent="0.25">
      <c r="A1228" s="7" t="s">
        <v>19</v>
      </c>
      <c r="B1228" s="7">
        <v>2021</v>
      </c>
      <c r="C1228" s="7" t="s">
        <v>70</v>
      </c>
      <c r="D1228" s="7" t="s">
        <v>72</v>
      </c>
      <c r="E1228" s="7" t="s">
        <v>22</v>
      </c>
      <c r="F1228" s="7" t="s">
        <v>23</v>
      </c>
      <c r="G1228" s="7" t="s">
        <v>24</v>
      </c>
      <c r="H1228" s="7" t="s">
        <v>25</v>
      </c>
      <c r="I1228" s="7" t="s">
        <v>26</v>
      </c>
      <c r="J1228" s="7">
        <v>280</v>
      </c>
      <c r="K1228" s="7">
        <v>526.24</v>
      </c>
    </row>
    <row r="1229" spans="1:11" ht="18" customHeight="1" x14ac:dyDescent="0.25">
      <c r="A1229" s="7" t="s">
        <v>53</v>
      </c>
      <c r="B1229" s="7">
        <v>2021</v>
      </c>
      <c r="C1229" s="7" t="s">
        <v>70</v>
      </c>
      <c r="D1229" s="7" t="s">
        <v>72</v>
      </c>
      <c r="E1229" s="7" t="s">
        <v>22</v>
      </c>
      <c r="F1229" s="7" t="s">
        <v>23</v>
      </c>
      <c r="G1229" s="7" t="s">
        <v>24</v>
      </c>
      <c r="H1229" s="7" t="s">
        <v>25</v>
      </c>
      <c r="I1229" s="7" t="s">
        <v>26</v>
      </c>
      <c r="J1229" s="7">
        <v>1005</v>
      </c>
      <c r="K1229" s="7">
        <v>1437.15</v>
      </c>
    </row>
    <row r="1230" spans="1:11" ht="18" customHeight="1" x14ac:dyDescent="0.25">
      <c r="A1230" s="7" t="s">
        <v>34</v>
      </c>
      <c r="B1230" s="7">
        <v>2021</v>
      </c>
      <c r="C1230" s="7" t="s">
        <v>70</v>
      </c>
      <c r="D1230" s="7" t="s">
        <v>72</v>
      </c>
      <c r="E1230" s="7" t="s">
        <v>22</v>
      </c>
      <c r="F1230" s="7" t="s">
        <v>23</v>
      </c>
      <c r="G1230" s="7" t="s">
        <v>24</v>
      </c>
      <c r="H1230" s="7" t="s">
        <v>25</v>
      </c>
      <c r="I1230" s="7" t="s">
        <v>26</v>
      </c>
      <c r="J1230" s="7">
        <v>1038</v>
      </c>
      <c r="K1230" s="7">
        <v>1484.34</v>
      </c>
    </row>
    <row r="1231" spans="1:11" ht="18" customHeight="1" x14ac:dyDescent="0.25">
      <c r="A1231" s="7" t="s">
        <v>19</v>
      </c>
      <c r="B1231" s="7">
        <v>2021</v>
      </c>
      <c r="C1231" s="7" t="s">
        <v>70</v>
      </c>
      <c r="D1231" s="7" t="s">
        <v>72</v>
      </c>
      <c r="E1231" s="7" t="s">
        <v>22</v>
      </c>
      <c r="F1231" s="7" t="s">
        <v>23</v>
      </c>
      <c r="G1231" s="7" t="s">
        <v>24</v>
      </c>
      <c r="H1231" s="7" t="s">
        <v>25</v>
      </c>
      <c r="I1231" s="7" t="s">
        <v>26</v>
      </c>
      <c r="J1231" s="7">
        <v>231</v>
      </c>
      <c r="K1231" s="7">
        <v>330.33</v>
      </c>
    </row>
    <row r="1232" spans="1:11" ht="18" customHeight="1" x14ac:dyDescent="0.25">
      <c r="A1232" s="7" t="s">
        <v>34</v>
      </c>
      <c r="B1232" s="7">
        <v>2021</v>
      </c>
      <c r="C1232" s="7" t="s">
        <v>70</v>
      </c>
      <c r="D1232" s="7" t="s">
        <v>72</v>
      </c>
      <c r="E1232" s="7" t="s">
        <v>22</v>
      </c>
      <c r="F1232" s="7" t="s">
        <v>23</v>
      </c>
      <c r="G1232" s="7" t="s">
        <v>24</v>
      </c>
      <c r="H1232" s="7" t="s">
        <v>25</v>
      </c>
      <c r="I1232" s="7" t="s">
        <v>26</v>
      </c>
      <c r="J1232" s="7">
        <v>279</v>
      </c>
      <c r="K1232" s="7">
        <v>398.97</v>
      </c>
    </row>
    <row r="1233" spans="1:11" ht="18" customHeight="1" x14ac:dyDescent="0.25">
      <c r="A1233" s="7" t="s">
        <v>53</v>
      </c>
      <c r="B1233" s="7">
        <v>2021</v>
      </c>
      <c r="C1233" s="7" t="s">
        <v>70</v>
      </c>
      <c r="D1233" s="7" t="s">
        <v>72</v>
      </c>
      <c r="E1233" s="7" t="s">
        <v>22</v>
      </c>
      <c r="F1233" s="7" t="s">
        <v>23</v>
      </c>
      <c r="G1233" s="7" t="s">
        <v>24</v>
      </c>
      <c r="H1233" s="7" t="s">
        <v>25</v>
      </c>
      <c r="I1233" s="7" t="s">
        <v>26</v>
      </c>
      <c r="J1233" s="7">
        <v>277</v>
      </c>
      <c r="K1233" s="7">
        <v>396.11</v>
      </c>
    </row>
    <row r="1234" spans="1:11" ht="18" customHeight="1" x14ac:dyDescent="0.25">
      <c r="A1234" s="7" t="s">
        <v>42</v>
      </c>
      <c r="B1234" s="7">
        <v>2021</v>
      </c>
      <c r="C1234" s="7" t="s">
        <v>70</v>
      </c>
      <c r="D1234" s="7" t="s">
        <v>72</v>
      </c>
      <c r="E1234" s="7" t="s">
        <v>22</v>
      </c>
      <c r="F1234" s="7" t="s">
        <v>23</v>
      </c>
      <c r="G1234" s="7" t="s">
        <v>24</v>
      </c>
      <c r="H1234" s="7" t="s">
        <v>25</v>
      </c>
      <c r="I1234" s="7" t="s">
        <v>26</v>
      </c>
      <c r="J1234" s="7">
        <v>271</v>
      </c>
      <c r="K1234" s="7">
        <v>387.53</v>
      </c>
    </row>
    <row r="1235" spans="1:11" ht="18" customHeight="1" x14ac:dyDescent="0.25">
      <c r="A1235" s="7" t="s">
        <v>34</v>
      </c>
      <c r="B1235" s="7">
        <v>2021</v>
      </c>
      <c r="C1235" s="7" t="s">
        <v>70</v>
      </c>
      <c r="D1235" s="7" t="s">
        <v>72</v>
      </c>
      <c r="E1235" s="7" t="s">
        <v>22</v>
      </c>
      <c r="F1235" s="7" t="s">
        <v>23</v>
      </c>
      <c r="G1235" s="7" t="s">
        <v>24</v>
      </c>
      <c r="H1235" s="7" t="s">
        <v>25</v>
      </c>
      <c r="I1235" s="7" t="s">
        <v>26</v>
      </c>
      <c r="J1235" s="7">
        <v>786</v>
      </c>
      <c r="K1235" s="7">
        <v>1123.98</v>
      </c>
    </row>
    <row r="1236" spans="1:11" ht="18" customHeight="1" x14ac:dyDescent="0.25">
      <c r="A1236" s="7" t="s">
        <v>34</v>
      </c>
      <c r="B1236" s="7">
        <v>2021</v>
      </c>
      <c r="C1236" s="7" t="s">
        <v>70</v>
      </c>
      <c r="D1236" s="7" t="s">
        <v>72</v>
      </c>
      <c r="E1236" s="7" t="s">
        <v>22</v>
      </c>
      <c r="F1236" s="7" t="s">
        <v>23</v>
      </c>
      <c r="G1236" s="7" t="s">
        <v>24</v>
      </c>
      <c r="H1236" s="7" t="s">
        <v>25</v>
      </c>
      <c r="I1236" s="7" t="s">
        <v>35</v>
      </c>
      <c r="J1236" s="7">
        <v>281</v>
      </c>
      <c r="K1236" s="7">
        <v>401.83</v>
      </c>
    </row>
    <row r="1237" spans="1:11" ht="18" customHeight="1" x14ac:dyDescent="0.25">
      <c r="A1237" s="7" t="s">
        <v>34</v>
      </c>
      <c r="B1237" s="7">
        <v>2021</v>
      </c>
      <c r="C1237" s="7" t="s">
        <v>70</v>
      </c>
      <c r="D1237" s="7" t="s">
        <v>72</v>
      </c>
      <c r="E1237" s="7" t="s">
        <v>22</v>
      </c>
      <c r="F1237" s="7" t="s">
        <v>23</v>
      </c>
      <c r="G1237" s="7" t="s">
        <v>24</v>
      </c>
      <c r="H1237" s="7" t="s">
        <v>25</v>
      </c>
      <c r="I1237" s="7" t="s">
        <v>35</v>
      </c>
      <c r="J1237" s="7">
        <v>275</v>
      </c>
      <c r="K1237" s="7">
        <v>393.25</v>
      </c>
    </row>
    <row r="1238" spans="1:11" ht="18" customHeight="1" x14ac:dyDescent="0.25">
      <c r="A1238" s="7" t="s">
        <v>61</v>
      </c>
      <c r="B1238" s="7">
        <v>2021</v>
      </c>
      <c r="C1238" s="7" t="s">
        <v>70</v>
      </c>
      <c r="D1238" s="7" t="s">
        <v>72</v>
      </c>
      <c r="E1238" s="7" t="s">
        <v>22</v>
      </c>
      <c r="F1238" s="7" t="s">
        <v>23</v>
      </c>
      <c r="G1238" s="7" t="s">
        <v>24</v>
      </c>
      <c r="H1238" s="7" t="s">
        <v>25</v>
      </c>
      <c r="I1238" s="7" t="s">
        <v>35</v>
      </c>
      <c r="J1238" s="7">
        <v>269</v>
      </c>
      <c r="K1238" s="7">
        <v>384.67</v>
      </c>
    </row>
    <row r="1239" spans="1:11" ht="18" customHeight="1" x14ac:dyDescent="0.25">
      <c r="A1239" s="7" t="s">
        <v>34</v>
      </c>
      <c r="B1239" s="7">
        <v>2021</v>
      </c>
      <c r="C1239" s="7" t="s">
        <v>70</v>
      </c>
      <c r="D1239" s="7" t="s">
        <v>72</v>
      </c>
      <c r="E1239" s="7" t="s">
        <v>22</v>
      </c>
      <c r="F1239" s="7" t="s">
        <v>23</v>
      </c>
      <c r="G1239" s="7" t="s">
        <v>24</v>
      </c>
      <c r="H1239" s="7" t="s">
        <v>25</v>
      </c>
      <c r="I1239" s="7" t="s">
        <v>26</v>
      </c>
      <c r="J1239" s="7">
        <v>233</v>
      </c>
      <c r="K1239" s="7">
        <v>333.19</v>
      </c>
    </row>
    <row r="1240" spans="1:11" ht="18" customHeight="1" x14ac:dyDescent="0.25">
      <c r="A1240" s="7" t="s">
        <v>42</v>
      </c>
      <c r="B1240" s="7">
        <v>2021</v>
      </c>
      <c r="C1240" s="7" t="s">
        <v>70</v>
      </c>
      <c r="D1240" s="7" t="s">
        <v>72</v>
      </c>
      <c r="E1240" s="7" t="s">
        <v>22</v>
      </c>
      <c r="F1240" s="7" t="s">
        <v>23</v>
      </c>
      <c r="G1240" s="7" t="s">
        <v>24</v>
      </c>
      <c r="H1240" s="7" t="s">
        <v>25</v>
      </c>
      <c r="I1240" s="7" t="s">
        <v>26</v>
      </c>
      <c r="J1240" s="7">
        <v>281</v>
      </c>
      <c r="K1240" s="7">
        <v>401.83</v>
      </c>
    </row>
    <row r="1241" spans="1:11" ht="18" customHeight="1" x14ac:dyDescent="0.25">
      <c r="A1241" s="7" t="s">
        <v>42</v>
      </c>
      <c r="B1241" s="7">
        <v>2021</v>
      </c>
      <c r="C1241" s="7" t="s">
        <v>69</v>
      </c>
      <c r="D1241" s="7" t="s">
        <v>72</v>
      </c>
      <c r="E1241" s="7" t="s">
        <v>22</v>
      </c>
      <c r="F1241" s="7" t="s">
        <v>23</v>
      </c>
      <c r="G1241" s="7" t="s">
        <v>24</v>
      </c>
      <c r="H1241" s="7" t="s">
        <v>25</v>
      </c>
      <c r="I1241" s="7" t="s">
        <v>35</v>
      </c>
      <c r="J1241" s="7">
        <v>284</v>
      </c>
      <c r="K1241" s="7">
        <v>406.12</v>
      </c>
    </row>
    <row r="1242" spans="1:11" ht="18" customHeight="1" x14ac:dyDescent="0.25">
      <c r="A1242" s="7" t="s">
        <v>19</v>
      </c>
      <c r="B1242" s="7">
        <v>2021</v>
      </c>
      <c r="C1242" s="7" t="s">
        <v>69</v>
      </c>
      <c r="D1242" s="7" t="s">
        <v>72</v>
      </c>
      <c r="E1242" s="7" t="s">
        <v>22</v>
      </c>
      <c r="F1242" s="7" t="s">
        <v>23</v>
      </c>
      <c r="G1242" s="7" t="s">
        <v>24</v>
      </c>
      <c r="H1242" s="7" t="s">
        <v>25</v>
      </c>
      <c r="I1242" s="7" t="s">
        <v>26</v>
      </c>
      <c r="J1242" s="7">
        <v>236</v>
      </c>
      <c r="K1242" s="7">
        <v>337.48</v>
      </c>
    </row>
    <row r="1243" spans="1:11" ht="18" customHeight="1" x14ac:dyDescent="0.25">
      <c r="A1243" s="7" t="s">
        <v>19</v>
      </c>
      <c r="B1243" s="7">
        <v>2021</v>
      </c>
      <c r="C1243" s="7" t="s">
        <v>69</v>
      </c>
      <c r="D1243" s="7" t="s">
        <v>72</v>
      </c>
      <c r="E1243" s="7" t="s">
        <v>22</v>
      </c>
      <c r="F1243" s="7" t="s">
        <v>23</v>
      </c>
      <c r="G1243" s="7" t="s">
        <v>24</v>
      </c>
      <c r="H1243" s="7" t="s">
        <v>25</v>
      </c>
      <c r="I1243" s="7" t="s">
        <v>26</v>
      </c>
      <c r="J1243" s="7">
        <v>284</v>
      </c>
      <c r="K1243" s="7">
        <v>406.12</v>
      </c>
    </row>
    <row r="1244" spans="1:11" ht="18" customHeight="1" x14ac:dyDescent="0.25">
      <c r="A1244" s="7" t="s">
        <v>34</v>
      </c>
      <c r="B1244" s="7">
        <v>2021</v>
      </c>
      <c r="C1244" s="7" t="s">
        <v>69</v>
      </c>
      <c r="D1244" s="7" t="s">
        <v>72</v>
      </c>
      <c r="E1244" s="7" t="s">
        <v>22</v>
      </c>
      <c r="F1244" s="7" t="s">
        <v>23</v>
      </c>
      <c r="G1244" s="7" t="s">
        <v>24</v>
      </c>
      <c r="H1244" s="7" t="s">
        <v>25</v>
      </c>
      <c r="I1244" s="7" t="s">
        <v>26</v>
      </c>
      <c r="J1244" s="7">
        <v>212</v>
      </c>
      <c r="K1244" s="7">
        <v>303.15999999999997</v>
      </c>
    </row>
    <row r="1245" spans="1:11" ht="18" customHeight="1" x14ac:dyDescent="0.25">
      <c r="A1245" s="7" t="s">
        <v>42</v>
      </c>
      <c r="B1245" s="7">
        <v>2021</v>
      </c>
      <c r="C1245" s="7" t="s">
        <v>69</v>
      </c>
      <c r="D1245" s="7" t="s">
        <v>72</v>
      </c>
      <c r="E1245" s="7" t="s">
        <v>22</v>
      </c>
      <c r="F1245" s="7" t="s">
        <v>23</v>
      </c>
      <c r="G1245" s="7" t="s">
        <v>24</v>
      </c>
      <c r="H1245" s="7" t="s">
        <v>25</v>
      </c>
      <c r="I1245" s="7" t="s">
        <v>26</v>
      </c>
      <c r="J1245" s="7">
        <v>286</v>
      </c>
      <c r="K1245" s="7">
        <v>408.98</v>
      </c>
    </row>
    <row r="1246" spans="1:11" ht="18" customHeight="1" x14ac:dyDescent="0.25">
      <c r="A1246" s="7" t="s">
        <v>42</v>
      </c>
      <c r="B1246" s="7">
        <v>2021</v>
      </c>
      <c r="C1246" s="7" t="s">
        <v>69</v>
      </c>
      <c r="D1246" s="7" t="s">
        <v>72</v>
      </c>
      <c r="E1246" s="7" t="s">
        <v>22</v>
      </c>
      <c r="F1246" s="7" t="s">
        <v>23</v>
      </c>
      <c r="G1246" s="7" t="s">
        <v>24</v>
      </c>
      <c r="H1246" s="7" t="s">
        <v>25</v>
      </c>
      <c r="I1246" s="7" t="s">
        <v>26</v>
      </c>
      <c r="J1246" s="7">
        <v>238</v>
      </c>
      <c r="K1246" s="7">
        <v>526.24</v>
      </c>
    </row>
    <row r="1247" spans="1:11" ht="18" customHeight="1" x14ac:dyDescent="0.25">
      <c r="A1247" s="7" t="s">
        <v>42</v>
      </c>
      <c r="B1247" s="7">
        <v>2021</v>
      </c>
      <c r="C1247" s="7" t="s">
        <v>69</v>
      </c>
      <c r="D1247" s="7" t="s">
        <v>72</v>
      </c>
      <c r="E1247" s="7" t="s">
        <v>22</v>
      </c>
      <c r="F1247" s="7" t="s">
        <v>23</v>
      </c>
      <c r="G1247" s="7" t="s">
        <v>24</v>
      </c>
      <c r="H1247" s="7" t="s">
        <v>25</v>
      </c>
      <c r="I1247" s="7" t="s">
        <v>26</v>
      </c>
      <c r="J1247" s="7">
        <v>286</v>
      </c>
      <c r="K1247" s="7">
        <v>526.24</v>
      </c>
    </row>
    <row r="1248" spans="1:11" ht="18" customHeight="1" x14ac:dyDescent="0.25">
      <c r="A1248" s="7" t="s">
        <v>19</v>
      </c>
      <c r="B1248" s="7">
        <v>2021</v>
      </c>
      <c r="C1248" s="7" t="s">
        <v>69</v>
      </c>
      <c r="D1248" s="7" t="s">
        <v>72</v>
      </c>
      <c r="E1248" s="7" t="s">
        <v>22</v>
      </c>
      <c r="F1248" s="7" t="s">
        <v>23</v>
      </c>
      <c r="G1248" s="7" t="s">
        <v>24</v>
      </c>
      <c r="H1248" s="7" t="s">
        <v>25</v>
      </c>
      <c r="I1248" s="7" t="s">
        <v>26</v>
      </c>
      <c r="J1248" s="7">
        <v>214</v>
      </c>
      <c r="K1248" s="7">
        <v>526.24</v>
      </c>
    </row>
    <row r="1249" spans="1:11" ht="18" customHeight="1" x14ac:dyDescent="0.25">
      <c r="A1249" s="7" t="s">
        <v>19</v>
      </c>
      <c r="B1249" s="7">
        <v>2021</v>
      </c>
      <c r="C1249" s="7" t="s">
        <v>69</v>
      </c>
      <c r="D1249" s="7" t="s">
        <v>72</v>
      </c>
      <c r="E1249" s="7" t="s">
        <v>22</v>
      </c>
      <c r="F1249" s="7" t="s">
        <v>23</v>
      </c>
      <c r="G1249" s="7" t="s">
        <v>24</v>
      </c>
      <c r="H1249" s="7" t="s">
        <v>25</v>
      </c>
      <c r="I1249" s="7" t="s">
        <v>26</v>
      </c>
      <c r="J1249" s="7">
        <v>1004</v>
      </c>
      <c r="K1249" s="7">
        <v>1435.72</v>
      </c>
    </row>
    <row r="1250" spans="1:11" ht="18" customHeight="1" x14ac:dyDescent="0.25">
      <c r="A1250" s="7" t="s">
        <v>42</v>
      </c>
      <c r="B1250" s="7">
        <v>2021</v>
      </c>
      <c r="C1250" s="7" t="s">
        <v>69</v>
      </c>
      <c r="D1250" s="7" t="s">
        <v>72</v>
      </c>
      <c r="E1250" s="7" t="s">
        <v>22</v>
      </c>
      <c r="F1250" s="7" t="s">
        <v>23</v>
      </c>
      <c r="G1250" s="7" t="s">
        <v>24</v>
      </c>
      <c r="H1250" s="7" t="s">
        <v>25</v>
      </c>
      <c r="I1250" s="7" t="s">
        <v>26</v>
      </c>
      <c r="J1250" s="7">
        <v>237</v>
      </c>
      <c r="K1250" s="7">
        <v>338.90999999999997</v>
      </c>
    </row>
    <row r="1251" spans="1:11" ht="18" customHeight="1" x14ac:dyDescent="0.25">
      <c r="A1251" s="7" t="s">
        <v>42</v>
      </c>
      <c r="B1251" s="7">
        <v>2021</v>
      </c>
      <c r="C1251" s="7" t="s">
        <v>69</v>
      </c>
      <c r="D1251" s="7" t="s">
        <v>72</v>
      </c>
      <c r="E1251" s="7" t="s">
        <v>22</v>
      </c>
      <c r="F1251" s="7" t="s">
        <v>23</v>
      </c>
      <c r="G1251" s="7" t="s">
        <v>24</v>
      </c>
      <c r="H1251" s="7" t="s">
        <v>73</v>
      </c>
      <c r="I1251" s="7" t="s">
        <v>26</v>
      </c>
      <c r="J1251" s="7">
        <v>285</v>
      </c>
      <c r="K1251" s="7">
        <v>407.55</v>
      </c>
    </row>
    <row r="1252" spans="1:11" ht="18" customHeight="1" x14ac:dyDescent="0.25">
      <c r="A1252" s="7" t="s">
        <v>19</v>
      </c>
      <c r="B1252" s="7">
        <v>2021</v>
      </c>
      <c r="C1252" s="7" t="s">
        <v>69</v>
      </c>
      <c r="D1252" s="7" t="s">
        <v>72</v>
      </c>
      <c r="E1252" s="7" t="s">
        <v>22</v>
      </c>
      <c r="F1252" s="7" t="s">
        <v>23</v>
      </c>
      <c r="G1252" s="7" t="s">
        <v>24</v>
      </c>
      <c r="H1252" s="7" t="s">
        <v>73</v>
      </c>
      <c r="I1252" s="7" t="s">
        <v>26</v>
      </c>
      <c r="J1252" s="7">
        <v>213</v>
      </c>
      <c r="K1252" s="7">
        <v>304.59000000000003</v>
      </c>
    </row>
    <row r="1253" spans="1:11" ht="18" customHeight="1" x14ac:dyDescent="0.25">
      <c r="A1253" s="7" t="s">
        <v>19</v>
      </c>
      <c r="B1253" s="7">
        <v>2021</v>
      </c>
      <c r="C1253" s="7" t="s">
        <v>69</v>
      </c>
      <c r="D1253" s="7" t="s">
        <v>72</v>
      </c>
      <c r="E1253" s="7" t="s">
        <v>22</v>
      </c>
      <c r="F1253" s="7" t="s">
        <v>23</v>
      </c>
      <c r="G1253" s="7" t="s">
        <v>24</v>
      </c>
      <c r="H1253" s="7" t="s">
        <v>73</v>
      </c>
      <c r="I1253" s="7" t="s">
        <v>26</v>
      </c>
      <c r="J1253" s="7">
        <v>283</v>
      </c>
      <c r="K1253" s="7">
        <v>404.69</v>
      </c>
    </row>
    <row r="1254" spans="1:11" ht="18" customHeight="1" x14ac:dyDescent="0.25">
      <c r="A1254" s="7" t="s">
        <v>19</v>
      </c>
      <c r="B1254" s="7">
        <v>2021</v>
      </c>
      <c r="C1254" s="7" t="s">
        <v>69</v>
      </c>
      <c r="D1254" s="7" t="s">
        <v>72</v>
      </c>
      <c r="E1254" s="7" t="s">
        <v>22</v>
      </c>
      <c r="F1254" s="7" t="s">
        <v>23</v>
      </c>
      <c r="G1254" s="7" t="s">
        <v>24</v>
      </c>
      <c r="H1254" s="7" t="s">
        <v>73</v>
      </c>
      <c r="I1254" s="7" t="s">
        <v>26</v>
      </c>
      <c r="J1254" s="7">
        <v>785</v>
      </c>
      <c r="K1254" s="7">
        <v>1122.55</v>
      </c>
    </row>
    <row r="1255" spans="1:11" ht="18" customHeight="1" x14ac:dyDescent="0.25">
      <c r="A1255" s="7" t="s">
        <v>19</v>
      </c>
      <c r="B1255" s="7">
        <v>2021</v>
      </c>
      <c r="C1255" s="7" t="s">
        <v>69</v>
      </c>
      <c r="D1255" s="7" t="s">
        <v>72</v>
      </c>
      <c r="E1255" s="7" t="s">
        <v>22</v>
      </c>
      <c r="F1255" s="7" t="s">
        <v>23</v>
      </c>
      <c r="G1255" s="7" t="s">
        <v>24</v>
      </c>
      <c r="H1255" s="7" t="s">
        <v>73</v>
      </c>
      <c r="I1255" s="7" t="s">
        <v>26</v>
      </c>
      <c r="J1255" s="7">
        <v>819</v>
      </c>
      <c r="K1255" s="7">
        <v>1171.17</v>
      </c>
    </row>
    <row r="1256" spans="1:11" ht="18" customHeight="1" x14ac:dyDescent="0.25">
      <c r="A1256" s="7" t="s">
        <v>42</v>
      </c>
      <c r="B1256" s="7">
        <v>2021</v>
      </c>
      <c r="C1256" s="7" t="s">
        <v>69</v>
      </c>
      <c r="D1256" s="7" t="s">
        <v>72</v>
      </c>
      <c r="E1256" s="7" t="s">
        <v>22</v>
      </c>
      <c r="F1256" s="7" t="s">
        <v>23</v>
      </c>
      <c r="G1256" s="7" t="s">
        <v>24</v>
      </c>
      <c r="H1256" s="7" t="s">
        <v>73</v>
      </c>
      <c r="I1256" s="7" t="s">
        <v>26</v>
      </c>
      <c r="J1256" s="7">
        <v>872</v>
      </c>
      <c r="K1256" s="7">
        <v>1246.96</v>
      </c>
    </row>
    <row r="1257" spans="1:11" ht="18" customHeight="1" x14ac:dyDescent="0.25">
      <c r="A1257" s="7" t="s">
        <v>34</v>
      </c>
      <c r="B1257" s="7">
        <v>2021</v>
      </c>
      <c r="C1257" s="7" t="s">
        <v>69</v>
      </c>
      <c r="D1257" s="7" t="s">
        <v>72</v>
      </c>
      <c r="E1257" s="7" t="s">
        <v>22</v>
      </c>
      <c r="F1257" s="7" t="s">
        <v>23</v>
      </c>
      <c r="G1257" s="7" t="s">
        <v>24</v>
      </c>
      <c r="H1257" s="7" t="s">
        <v>73</v>
      </c>
      <c r="I1257" s="7" t="s">
        <v>35</v>
      </c>
      <c r="J1257" s="7">
        <v>287</v>
      </c>
      <c r="K1257" s="7">
        <v>410.40999999999997</v>
      </c>
    </row>
    <row r="1258" spans="1:11" ht="18" customHeight="1" x14ac:dyDescent="0.25">
      <c r="A1258" s="7" t="s">
        <v>34</v>
      </c>
      <c r="B1258" s="7">
        <v>2021</v>
      </c>
      <c r="C1258" s="7" t="s">
        <v>69</v>
      </c>
      <c r="D1258" s="7" t="s">
        <v>72</v>
      </c>
      <c r="E1258" s="7" t="s">
        <v>22</v>
      </c>
      <c r="F1258" s="7" t="s">
        <v>23</v>
      </c>
      <c r="G1258" s="7" t="s">
        <v>24</v>
      </c>
      <c r="H1258" s="7" t="s">
        <v>73</v>
      </c>
      <c r="I1258" s="7" t="s">
        <v>26</v>
      </c>
      <c r="J1258" s="7">
        <v>239</v>
      </c>
      <c r="K1258" s="7">
        <v>341.77</v>
      </c>
    </row>
    <row r="1259" spans="1:11" ht="18" customHeight="1" x14ac:dyDescent="0.25">
      <c r="A1259" s="7" t="s">
        <v>19</v>
      </c>
      <c r="B1259" s="7">
        <v>2021</v>
      </c>
      <c r="C1259" s="7" t="s">
        <v>69</v>
      </c>
      <c r="D1259" s="7" t="s">
        <v>72</v>
      </c>
      <c r="E1259" s="7" t="s">
        <v>22</v>
      </c>
      <c r="F1259" s="7" t="s">
        <v>23</v>
      </c>
      <c r="G1259" s="7" t="s">
        <v>24</v>
      </c>
      <c r="H1259" s="7" t="s">
        <v>73</v>
      </c>
      <c r="I1259" s="7" t="s">
        <v>26</v>
      </c>
      <c r="J1259" s="7">
        <v>287</v>
      </c>
      <c r="K1259" s="7">
        <v>410.40999999999997</v>
      </c>
    </row>
    <row r="1260" spans="1:11" ht="18" customHeight="1" x14ac:dyDescent="0.25">
      <c r="A1260" s="7" t="s">
        <v>34</v>
      </c>
      <c r="B1260" s="7">
        <v>2021</v>
      </c>
      <c r="C1260" s="7" t="s">
        <v>20</v>
      </c>
      <c r="D1260" s="7" t="s">
        <v>21</v>
      </c>
      <c r="E1260" s="7" t="s">
        <v>74</v>
      </c>
      <c r="F1260" s="7" t="s">
        <v>75</v>
      </c>
      <c r="G1260" s="7" t="s">
        <v>64</v>
      </c>
      <c r="H1260" s="7" t="s">
        <v>73</v>
      </c>
      <c r="I1260" s="7" t="s">
        <v>76</v>
      </c>
      <c r="J1260" s="7">
        <v>160</v>
      </c>
      <c r="K1260" s="7">
        <v>228.8</v>
      </c>
    </row>
    <row r="1261" spans="1:11" ht="18" customHeight="1" x14ac:dyDescent="0.25">
      <c r="A1261" s="7" t="s">
        <v>19</v>
      </c>
      <c r="B1261" s="7">
        <v>2021</v>
      </c>
      <c r="C1261" s="7" t="s">
        <v>20</v>
      </c>
      <c r="D1261" s="7" t="s">
        <v>21</v>
      </c>
      <c r="E1261" s="7" t="s">
        <v>74</v>
      </c>
      <c r="F1261" s="7" t="s">
        <v>75</v>
      </c>
      <c r="G1261" s="7" t="s">
        <v>64</v>
      </c>
      <c r="H1261" s="7" t="s">
        <v>73</v>
      </c>
      <c r="I1261" s="7" t="s">
        <v>76</v>
      </c>
      <c r="J1261" s="7">
        <v>154</v>
      </c>
      <c r="K1261" s="7">
        <v>220.22</v>
      </c>
    </row>
    <row r="1262" spans="1:11" ht="18" customHeight="1" x14ac:dyDescent="0.25">
      <c r="A1262" s="7" t="s">
        <v>34</v>
      </c>
      <c r="B1262" s="7">
        <v>2021</v>
      </c>
      <c r="C1262" s="7" t="s">
        <v>20</v>
      </c>
      <c r="D1262" s="7" t="s">
        <v>21</v>
      </c>
      <c r="E1262" s="7" t="s">
        <v>74</v>
      </c>
      <c r="F1262" s="7" t="s">
        <v>75</v>
      </c>
      <c r="G1262" s="7" t="s">
        <v>64</v>
      </c>
      <c r="H1262" s="7" t="s">
        <v>73</v>
      </c>
      <c r="I1262" s="7" t="s">
        <v>76</v>
      </c>
      <c r="J1262" s="7">
        <v>148</v>
      </c>
      <c r="K1262" s="7">
        <v>211.64</v>
      </c>
    </row>
    <row r="1263" spans="1:11" ht="18" customHeight="1" x14ac:dyDescent="0.25">
      <c r="A1263" s="7" t="s">
        <v>34</v>
      </c>
      <c r="B1263" s="7">
        <v>2021</v>
      </c>
      <c r="C1263" s="7" t="s">
        <v>20</v>
      </c>
      <c r="D1263" s="7" t="s">
        <v>21</v>
      </c>
      <c r="E1263" s="7" t="s">
        <v>74</v>
      </c>
      <c r="F1263" s="7" t="s">
        <v>75</v>
      </c>
      <c r="G1263" s="7" t="s">
        <v>64</v>
      </c>
      <c r="H1263" s="7" t="s">
        <v>73</v>
      </c>
      <c r="I1263" s="7" t="s">
        <v>76</v>
      </c>
      <c r="J1263" s="7">
        <v>157</v>
      </c>
      <c r="K1263" s="7">
        <v>224.51</v>
      </c>
    </row>
    <row r="1264" spans="1:11" ht="18" customHeight="1" x14ac:dyDescent="0.25">
      <c r="A1264" s="7" t="s">
        <v>34</v>
      </c>
      <c r="B1264" s="7">
        <v>2021</v>
      </c>
      <c r="C1264" s="7" t="s">
        <v>20</v>
      </c>
      <c r="D1264" s="7" t="s">
        <v>21</v>
      </c>
      <c r="E1264" s="7" t="s">
        <v>74</v>
      </c>
      <c r="F1264" s="7" t="s">
        <v>75</v>
      </c>
      <c r="G1264" s="7" t="s">
        <v>64</v>
      </c>
      <c r="H1264" s="7" t="s">
        <v>73</v>
      </c>
      <c r="I1264" s="7" t="s">
        <v>76</v>
      </c>
      <c r="J1264" s="7">
        <v>151</v>
      </c>
      <c r="K1264" s="7">
        <v>215.93</v>
      </c>
    </row>
    <row r="1265" spans="1:11" ht="18" customHeight="1" x14ac:dyDescent="0.25">
      <c r="A1265" s="7" t="s">
        <v>34</v>
      </c>
      <c r="B1265" s="7">
        <v>2021</v>
      </c>
      <c r="C1265" s="7" t="s">
        <v>60</v>
      </c>
      <c r="D1265" s="7" t="s">
        <v>21</v>
      </c>
      <c r="E1265" s="7" t="s">
        <v>74</v>
      </c>
      <c r="F1265" s="7" t="s">
        <v>75</v>
      </c>
      <c r="G1265" s="7" t="s">
        <v>64</v>
      </c>
      <c r="H1265" s="7" t="s">
        <v>73</v>
      </c>
      <c r="I1265" s="7" t="s">
        <v>76</v>
      </c>
      <c r="J1265" s="7">
        <v>343</v>
      </c>
      <c r="K1265" s="7">
        <v>490.49</v>
      </c>
    </row>
    <row r="1266" spans="1:11" ht="18" customHeight="1" x14ac:dyDescent="0.25">
      <c r="A1266" s="7" t="s">
        <v>42</v>
      </c>
      <c r="B1266" s="7">
        <v>2021</v>
      </c>
      <c r="C1266" s="7" t="s">
        <v>65</v>
      </c>
      <c r="D1266" s="7" t="s">
        <v>21</v>
      </c>
      <c r="E1266" s="7" t="s">
        <v>74</v>
      </c>
      <c r="F1266" s="7" t="s">
        <v>75</v>
      </c>
      <c r="G1266" s="7" t="s">
        <v>64</v>
      </c>
      <c r="H1266" s="7" t="s">
        <v>73</v>
      </c>
      <c r="I1266" s="7" t="s">
        <v>26</v>
      </c>
      <c r="J1266" s="7">
        <v>280</v>
      </c>
      <c r="K1266" s="7">
        <v>400.4</v>
      </c>
    </row>
    <row r="1267" spans="1:11" ht="18" customHeight="1" x14ac:dyDescent="0.25">
      <c r="A1267" s="7" t="s">
        <v>34</v>
      </c>
      <c r="B1267" s="7">
        <v>2021</v>
      </c>
      <c r="C1267" s="7" t="s">
        <v>65</v>
      </c>
      <c r="D1267" s="7" t="s">
        <v>21</v>
      </c>
      <c r="E1267" s="7" t="s">
        <v>74</v>
      </c>
      <c r="F1267" s="7" t="s">
        <v>75</v>
      </c>
      <c r="G1267" s="7" t="s">
        <v>64</v>
      </c>
      <c r="H1267" s="7" t="s">
        <v>73</v>
      </c>
      <c r="I1267" s="7" t="s">
        <v>26</v>
      </c>
      <c r="J1267" s="7">
        <v>274</v>
      </c>
      <c r="K1267" s="7">
        <v>391.82</v>
      </c>
    </row>
    <row r="1268" spans="1:11" ht="18" customHeight="1" x14ac:dyDescent="0.25">
      <c r="A1268" s="7" t="s">
        <v>34</v>
      </c>
      <c r="B1268" s="7">
        <v>2021</v>
      </c>
      <c r="C1268" s="7" t="s">
        <v>65</v>
      </c>
      <c r="D1268" s="7" t="s">
        <v>21</v>
      </c>
      <c r="E1268" s="7" t="s">
        <v>74</v>
      </c>
      <c r="F1268" s="7" t="s">
        <v>75</v>
      </c>
      <c r="G1268" s="7" t="s">
        <v>64</v>
      </c>
      <c r="H1268" s="7" t="s">
        <v>73</v>
      </c>
      <c r="I1268" s="7" t="s">
        <v>26</v>
      </c>
      <c r="J1268" s="7">
        <v>268</v>
      </c>
      <c r="K1268" s="7">
        <v>383.24</v>
      </c>
    </row>
    <row r="1269" spans="1:11" ht="18" customHeight="1" x14ac:dyDescent="0.25">
      <c r="A1269" s="7" t="s">
        <v>34</v>
      </c>
      <c r="B1269" s="7">
        <v>2021</v>
      </c>
      <c r="C1269" s="7" t="s">
        <v>65</v>
      </c>
      <c r="D1269" s="7" t="s">
        <v>21</v>
      </c>
      <c r="E1269" s="7" t="s">
        <v>74</v>
      </c>
      <c r="F1269" s="7" t="s">
        <v>75</v>
      </c>
      <c r="G1269" s="7" t="s">
        <v>64</v>
      </c>
      <c r="H1269" s="7" t="s">
        <v>73</v>
      </c>
      <c r="I1269" s="7" t="s">
        <v>26</v>
      </c>
      <c r="J1269" s="7">
        <v>277</v>
      </c>
      <c r="K1269" s="7">
        <v>396.11</v>
      </c>
    </row>
    <row r="1270" spans="1:11" ht="18" customHeight="1" x14ac:dyDescent="0.25">
      <c r="A1270" s="7" t="s">
        <v>34</v>
      </c>
      <c r="B1270" s="7">
        <v>2021</v>
      </c>
      <c r="C1270" s="7" t="s">
        <v>65</v>
      </c>
      <c r="D1270" s="7" t="s">
        <v>21</v>
      </c>
      <c r="E1270" s="7" t="s">
        <v>74</v>
      </c>
      <c r="F1270" s="7" t="s">
        <v>75</v>
      </c>
      <c r="G1270" s="7" t="s">
        <v>64</v>
      </c>
      <c r="H1270" s="7" t="s">
        <v>73</v>
      </c>
      <c r="I1270" s="7" t="s">
        <v>26</v>
      </c>
      <c r="J1270" s="7">
        <v>271</v>
      </c>
      <c r="K1270" s="7">
        <v>387.53</v>
      </c>
    </row>
    <row r="1271" spans="1:11" ht="18" customHeight="1" x14ac:dyDescent="0.25">
      <c r="A1271" s="7" t="s">
        <v>19</v>
      </c>
      <c r="B1271" s="7">
        <v>2021</v>
      </c>
      <c r="C1271" s="7" t="s">
        <v>65</v>
      </c>
      <c r="D1271" s="7" t="s">
        <v>21</v>
      </c>
      <c r="E1271" s="7" t="s">
        <v>74</v>
      </c>
      <c r="F1271" s="7" t="s">
        <v>75</v>
      </c>
      <c r="G1271" s="7" t="s">
        <v>64</v>
      </c>
      <c r="H1271" s="7" t="s">
        <v>25</v>
      </c>
      <c r="I1271" s="7" t="s">
        <v>26</v>
      </c>
      <c r="J1271" s="7">
        <v>265</v>
      </c>
      <c r="K1271" s="7">
        <v>378.95</v>
      </c>
    </row>
    <row r="1272" spans="1:11" ht="18" customHeight="1" x14ac:dyDescent="0.25">
      <c r="A1272" s="7" t="s">
        <v>42</v>
      </c>
      <c r="B1272" s="7">
        <v>2021</v>
      </c>
      <c r="C1272" s="7" t="s">
        <v>59</v>
      </c>
      <c r="D1272" s="7" t="s">
        <v>21</v>
      </c>
      <c r="E1272" s="7" t="s">
        <v>74</v>
      </c>
      <c r="F1272" s="7" t="s">
        <v>75</v>
      </c>
      <c r="G1272" s="7" t="s">
        <v>64</v>
      </c>
      <c r="H1272" s="7" t="s">
        <v>25</v>
      </c>
      <c r="I1272" s="7" t="s">
        <v>26</v>
      </c>
      <c r="J1272" s="7">
        <v>190</v>
      </c>
      <c r="K1272" s="7">
        <v>271.7</v>
      </c>
    </row>
    <row r="1273" spans="1:11" ht="18" customHeight="1" x14ac:dyDescent="0.25">
      <c r="A1273" s="7" t="s">
        <v>19</v>
      </c>
      <c r="B1273" s="7">
        <v>2021</v>
      </c>
      <c r="C1273" s="7" t="s">
        <v>59</v>
      </c>
      <c r="D1273" s="7" t="s">
        <v>21</v>
      </c>
      <c r="E1273" s="7" t="s">
        <v>74</v>
      </c>
      <c r="F1273" s="7" t="s">
        <v>75</v>
      </c>
      <c r="G1273" s="7" t="s">
        <v>64</v>
      </c>
      <c r="H1273" s="7" t="s">
        <v>25</v>
      </c>
      <c r="I1273" s="7" t="s">
        <v>26</v>
      </c>
      <c r="J1273" s="7">
        <v>184</v>
      </c>
      <c r="K1273" s="7">
        <v>263.12</v>
      </c>
    </row>
    <row r="1274" spans="1:11" ht="18" customHeight="1" x14ac:dyDescent="0.25">
      <c r="A1274" s="7" t="s">
        <v>42</v>
      </c>
      <c r="B1274" s="7">
        <v>2021</v>
      </c>
      <c r="C1274" s="7" t="s">
        <v>59</v>
      </c>
      <c r="D1274" s="7" t="s">
        <v>21</v>
      </c>
      <c r="E1274" s="7" t="s">
        <v>74</v>
      </c>
      <c r="F1274" s="7" t="s">
        <v>75</v>
      </c>
      <c r="G1274" s="7" t="s">
        <v>64</v>
      </c>
      <c r="H1274" s="7" t="s">
        <v>25</v>
      </c>
      <c r="I1274" s="7" t="s">
        <v>26</v>
      </c>
      <c r="J1274" s="7">
        <v>193</v>
      </c>
      <c r="K1274" s="7">
        <v>275.99</v>
      </c>
    </row>
    <row r="1275" spans="1:11" ht="18" customHeight="1" x14ac:dyDescent="0.25">
      <c r="A1275" s="7" t="s">
        <v>42</v>
      </c>
      <c r="B1275" s="7">
        <v>2021</v>
      </c>
      <c r="C1275" s="7" t="s">
        <v>59</v>
      </c>
      <c r="D1275" s="7" t="s">
        <v>21</v>
      </c>
      <c r="E1275" s="7" t="s">
        <v>74</v>
      </c>
      <c r="F1275" s="7" t="s">
        <v>75</v>
      </c>
      <c r="G1275" s="7" t="s">
        <v>64</v>
      </c>
      <c r="H1275" s="7" t="s">
        <v>25</v>
      </c>
      <c r="I1275" s="7" t="s">
        <v>26</v>
      </c>
      <c r="J1275" s="7">
        <v>187</v>
      </c>
      <c r="K1275" s="7">
        <v>267.40999999999997</v>
      </c>
    </row>
    <row r="1276" spans="1:11" ht="18" customHeight="1" x14ac:dyDescent="0.25">
      <c r="A1276" s="7" t="s">
        <v>19</v>
      </c>
      <c r="B1276" s="7">
        <v>2021</v>
      </c>
      <c r="C1276" s="7" t="s">
        <v>59</v>
      </c>
      <c r="D1276" s="7" t="s">
        <v>21</v>
      </c>
      <c r="E1276" s="7" t="s">
        <v>74</v>
      </c>
      <c r="F1276" s="7" t="s">
        <v>75</v>
      </c>
      <c r="G1276" s="7" t="s">
        <v>64</v>
      </c>
      <c r="H1276" s="7" t="s">
        <v>25</v>
      </c>
      <c r="I1276" s="7" t="s">
        <v>26</v>
      </c>
      <c r="J1276" s="7">
        <v>181</v>
      </c>
      <c r="K1276" s="7">
        <v>258.83</v>
      </c>
    </row>
    <row r="1277" spans="1:11" ht="18" customHeight="1" x14ac:dyDescent="0.25">
      <c r="A1277" s="7" t="s">
        <v>34</v>
      </c>
      <c r="B1277" s="7">
        <v>2021</v>
      </c>
      <c r="C1277" s="7" t="s">
        <v>27</v>
      </c>
      <c r="D1277" s="7" t="s">
        <v>21</v>
      </c>
      <c r="E1277" s="7" t="s">
        <v>74</v>
      </c>
      <c r="F1277" s="7" t="s">
        <v>75</v>
      </c>
      <c r="G1277" s="7" t="s">
        <v>64</v>
      </c>
      <c r="H1277" s="7" t="s">
        <v>25</v>
      </c>
      <c r="I1277" s="7" t="s">
        <v>26</v>
      </c>
      <c r="J1277" s="7">
        <v>208</v>
      </c>
      <c r="K1277" s="7">
        <v>297.44</v>
      </c>
    </row>
    <row r="1278" spans="1:11" ht="18" customHeight="1" x14ac:dyDescent="0.25">
      <c r="A1278" s="7" t="s">
        <v>19</v>
      </c>
      <c r="B1278" s="7">
        <v>2021</v>
      </c>
      <c r="C1278" s="7" t="s">
        <v>27</v>
      </c>
      <c r="D1278" s="7" t="s">
        <v>21</v>
      </c>
      <c r="E1278" s="7" t="s">
        <v>74</v>
      </c>
      <c r="F1278" s="7" t="s">
        <v>75</v>
      </c>
      <c r="G1278" s="7" t="s">
        <v>64</v>
      </c>
      <c r="H1278" s="7" t="s">
        <v>25</v>
      </c>
      <c r="I1278" s="7" t="s">
        <v>26</v>
      </c>
      <c r="J1278" s="7">
        <v>202</v>
      </c>
      <c r="K1278" s="7">
        <v>288.86</v>
      </c>
    </row>
    <row r="1279" spans="1:11" ht="18" customHeight="1" x14ac:dyDescent="0.25">
      <c r="A1279" s="7" t="s">
        <v>42</v>
      </c>
      <c r="B1279" s="7">
        <v>2021</v>
      </c>
      <c r="C1279" s="7" t="s">
        <v>27</v>
      </c>
      <c r="D1279" s="7" t="s">
        <v>21</v>
      </c>
      <c r="E1279" s="7" t="s">
        <v>74</v>
      </c>
      <c r="F1279" s="7" t="s">
        <v>75</v>
      </c>
      <c r="G1279" s="7" t="s">
        <v>64</v>
      </c>
      <c r="H1279" s="7" t="s">
        <v>25</v>
      </c>
      <c r="I1279" s="7" t="s">
        <v>26</v>
      </c>
      <c r="J1279" s="7">
        <v>196</v>
      </c>
      <c r="K1279" s="7">
        <v>280.27999999999997</v>
      </c>
    </row>
    <row r="1280" spans="1:11" ht="18" customHeight="1" x14ac:dyDescent="0.25">
      <c r="A1280" s="7" t="s">
        <v>34</v>
      </c>
      <c r="B1280" s="7">
        <v>2021</v>
      </c>
      <c r="C1280" s="7" t="s">
        <v>27</v>
      </c>
      <c r="D1280" s="7" t="s">
        <v>21</v>
      </c>
      <c r="E1280" s="7" t="s">
        <v>74</v>
      </c>
      <c r="F1280" s="7" t="s">
        <v>75</v>
      </c>
      <c r="G1280" s="7" t="s">
        <v>64</v>
      </c>
      <c r="H1280" s="7" t="s">
        <v>25</v>
      </c>
      <c r="I1280" s="7" t="s">
        <v>26</v>
      </c>
      <c r="J1280" s="7">
        <v>205</v>
      </c>
      <c r="K1280" s="7">
        <v>293.14999999999998</v>
      </c>
    </row>
    <row r="1281" spans="1:11" ht="18" customHeight="1" x14ac:dyDescent="0.25">
      <c r="A1281" s="7" t="s">
        <v>19</v>
      </c>
      <c r="B1281" s="7">
        <v>2021</v>
      </c>
      <c r="C1281" s="7" t="s">
        <v>27</v>
      </c>
      <c r="D1281" s="7" t="s">
        <v>21</v>
      </c>
      <c r="E1281" s="7" t="s">
        <v>74</v>
      </c>
      <c r="F1281" s="7" t="s">
        <v>75</v>
      </c>
      <c r="G1281" s="7" t="s">
        <v>64</v>
      </c>
      <c r="H1281" s="7" t="s">
        <v>25</v>
      </c>
      <c r="I1281" s="7" t="s">
        <v>26</v>
      </c>
      <c r="J1281" s="7">
        <v>199</v>
      </c>
      <c r="K1281" s="7">
        <v>284.57</v>
      </c>
    </row>
    <row r="1282" spans="1:11" ht="18" customHeight="1" x14ac:dyDescent="0.25">
      <c r="A1282" s="7" t="s">
        <v>53</v>
      </c>
      <c r="B1282" s="7">
        <v>2021</v>
      </c>
      <c r="C1282" s="7" t="s">
        <v>68</v>
      </c>
      <c r="D1282" s="7" t="s">
        <v>21</v>
      </c>
      <c r="E1282" s="7" t="s">
        <v>74</v>
      </c>
      <c r="F1282" s="7" t="s">
        <v>75</v>
      </c>
      <c r="G1282" s="7" t="s">
        <v>64</v>
      </c>
      <c r="H1282" s="7" t="s">
        <v>25</v>
      </c>
      <c r="I1282" s="7" t="s">
        <v>76</v>
      </c>
      <c r="J1282" s="7">
        <v>358</v>
      </c>
      <c r="K1282" s="7">
        <v>511.94</v>
      </c>
    </row>
    <row r="1283" spans="1:11" ht="18" customHeight="1" x14ac:dyDescent="0.25">
      <c r="A1283" s="7" t="s">
        <v>19</v>
      </c>
      <c r="B1283" s="7">
        <v>2021</v>
      </c>
      <c r="C1283" s="7" t="s">
        <v>68</v>
      </c>
      <c r="D1283" s="7" t="s">
        <v>21</v>
      </c>
      <c r="E1283" s="7" t="s">
        <v>74</v>
      </c>
      <c r="F1283" s="7" t="s">
        <v>75</v>
      </c>
      <c r="G1283" s="7" t="s">
        <v>64</v>
      </c>
      <c r="H1283" s="7" t="s">
        <v>25</v>
      </c>
      <c r="I1283" s="7" t="s">
        <v>76</v>
      </c>
      <c r="J1283" s="7">
        <v>352</v>
      </c>
      <c r="K1283" s="7">
        <v>503.36</v>
      </c>
    </row>
    <row r="1284" spans="1:11" ht="18" customHeight="1" x14ac:dyDescent="0.25">
      <c r="A1284" s="7" t="s">
        <v>34</v>
      </c>
      <c r="B1284" s="7">
        <v>2021</v>
      </c>
      <c r="C1284" s="7" t="s">
        <v>68</v>
      </c>
      <c r="D1284" s="7" t="s">
        <v>21</v>
      </c>
      <c r="E1284" s="7" t="s">
        <v>74</v>
      </c>
      <c r="F1284" s="7" t="s">
        <v>75</v>
      </c>
      <c r="G1284" s="7" t="s">
        <v>64</v>
      </c>
      <c r="H1284" s="7" t="s">
        <v>25</v>
      </c>
      <c r="I1284" s="7" t="s">
        <v>76</v>
      </c>
      <c r="J1284" s="7">
        <v>346</v>
      </c>
      <c r="K1284" s="7">
        <v>494.78</v>
      </c>
    </row>
    <row r="1285" spans="1:11" ht="18" customHeight="1" x14ac:dyDescent="0.25">
      <c r="A1285" s="7" t="s">
        <v>34</v>
      </c>
      <c r="B1285" s="7">
        <v>2021</v>
      </c>
      <c r="C1285" s="7" t="s">
        <v>68</v>
      </c>
      <c r="D1285" s="7" t="s">
        <v>21</v>
      </c>
      <c r="E1285" s="7" t="s">
        <v>74</v>
      </c>
      <c r="F1285" s="7" t="s">
        <v>75</v>
      </c>
      <c r="G1285" s="7" t="s">
        <v>64</v>
      </c>
      <c r="H1285" s="7" t="s">
        <v>25</v>
      </c>
      <c r="I1285" s="7" t="s">
        <v>76</v>
      </c>
      <c r="J1285" s="7">
        <v>355</v>
      </c>
      <c r="K1285" s="7">
        <v>507.65</v>
      </c>
    </row>
    <row r="1286" spans="1:11" ht="18" customHeight="1" x14ac:dyDescent="0.25">
      <c r="A1286" s="7" t="s">
        <v>42</v>
      </c>
      <c r="B1286" s="7">
        <v>2021</v>
      </c>
      <c r="C1286" s="7" t="s">
        <v>68</v>
      </c>
      <c r="D1286" s="7" t="s">
        <v>21</v>
      </c>
      <c r="E1286" s="7" t="s">
        <v>74</v>
      </c>
      <c r="F1286" s="7" t="s">
        <v>75</v>
      </c>
      <c r="G1286" s="7" t="s">
        <v>64</v>
      </c>
      <c r="H1286" s="7" t="s">
        <v>25</v>
      </c>
      <c r="I1286" s="7" t="s">
        <v>76</v>
      </c>
      <c r="J1286" s="7">
        <v>349</v>
      </c>
      <c r="K1286" s="7">
        <v>499.07</v>
      </c>
    </row>
    <row r="1287" spans="1:11" ht="18" customHeight="1" x14ac:dyDescent="0.25">
      <c r="A1287" s="7" t="s">
        <v>34</v>
      </c>
      <c r="B1287" s="7">
        <v>2021</v>
      </c>
      <c r="C1287" s="7" t="s">
        <v>67</v>
      </c>
      <c r="D1287" s="7" t="s">
        <v>21</v>
      </c>
      <c r="E1287" s="7" t="s">
        <v>74</v>
      </c>
      <c r="F1287" s="7" t="s">
        <v>75</v>
      </c>
      <c r="G1287" s="7" t="s">
        <v>64</v>
      </c>
      <c r="H1287" s="7" t="s">
        <v>25</v>
      </c>
      <c r="I1287" s="7" t="s">
        <v>76</v>
      </c>
      <c r="J1287" s="7">
        <v>130</v>
      </c>
      <c r="K1287" s="7">
        <v>185.9</v>
      </c>
    </row>
    <row r="1288" spans="1:11" ht="18" customHeight="1" x14ac:dyDescent="0.25">
      <c r="A1288" s="7" t="s">
        <v>34</v>
      </c>
      <c r="B1288" s="7">
        <v>2021</v>
      </c>
      <c r="C1288" s="7" t="s">
        <v>67</v>
      </c>
      <c r="D1288" s="7" t="s">
        <v>21</v>
      </c>
      <c r="E1288" s="7" t="s">
        <v>74</v>
      </c>
      <c r="F1288" s="7" t="s">
        <v>75</v>
      </c>
      <c r="G1288" s="7" t="s">
        <v>64</v>
      </c>
      <c r="H1288" s="7" t="s">
        <v>25</v>
      </c>
      <c r="I1288" s="7" t="s">
        <v>76</v>
      </c>
      <c r="J1288" s="7">
        <v>370</v>
      </c>
      <c r="K1288" s="7">
        <v>529.1</v>
      </c>
    </row>
    <row r="1289" spans="1:11" ht="18" customHeight="1" x14ac:dyDescent="0.25">
      <c r="A1289" s="7" t="s">
        <v>19</v>
      </c>
      <c r="B1289" s="7">
        <v>2021</v>
      </c>
      <c r="C1289" s="7" t="s">
        <v>67</v>
      </c>
      <c r="D1289" s="7" t="s">
        <v>21</v>
      </c>
      <c r="E1289" s="7" t="s">
        <v>74</v>
      </c>
      <c r="F1289" s="7" t="s">
        <v>75</v>
      </c>
      <c r="G1289" s="7" t="s">
        <v>64</v>
      </c>
      <c r="H1289" s="7" t="s">
        <v>25</v>
      </c>
      <c r="I1289" s="7" t="s">
        <v>76</v>
      </c>
      <c r="J1289" s="7">
        <v>364</v>
      </c>
      <c r="K1289" s="7">
        <v>520.52</v>
      </c>
    </row>
    <row r="1290" spans="1:11" ht="18" customHeight="1" x14ac:dyDescent="0.25">
      <c r="A1290" s="7" t="s">
        <v>19</v>
      </c>
      <c r="B1290" s="7">
        <v>2021</v>
      </c>
      <c r="C1290" s="7" t="s">
        <v>67</v>
      </c>
      <c r="D1290" s="7" t="s">
        <v>21</v>
      </c>
      <c r="E1290" s="7" t="s">
        <v>74</v>
      </c>
      <c r="F1290" s="7" t="s">
        <v>75</v>
      </c>
      <c r="G1290" s="7" t="s">
        <v>64</v>
      </c>
      <c r="H1290" s="7" t="s">
        <v>25</v>
      </c>
      <c r="I1290" s="7" t="s">
        <v>76</v>
      </c>
      <c r="J1290" s="7">
        <v>127</v>
      </c>
      <c r="K1290" s="7">
        <v>181.61</v>
      </c>
    </row>
    <row r="1291" spans="1:11" ht="18" customHeight="1" x14ac:dyDescent="0.25">
      <c r="A1291" s="7" t="s">
        <v>34</v>
      </c>
      <c r="B1291" s="7">
        <v>2021</v>
      </c>
      <c r="C1291" s="7" t="s">
        <v>67</v>
      </c>
      <c r="D1291" s="7" t="s">
        <v>21</v>
      </c>
      <c r="E1291" s="7" t="s">
        <v>74</v>
      </c>
      <c r="F1291" s="7" t="s">
        <v>75</v>
      </c>
      <c r="G1291" s="7" t="s">
        <v>64</v>
      </c>
      <c r="H1291" s="7" t="s">
        <v>25</v>
      </c>
      <c r="I1291" s="7" t="s">
        <v>76</v>
      </c>
      <c r="J1291" s="7">
        <v>367</v>
      </c>
      <c r="K1291" s="7">
        <v>524.80999999999995</v>
      </c>
    </row>
    <row r="1292" spans="1:11" ht="18" customHeight="1" x14ac:dyDescent="0.25">
      <c r="A1292" s="7" t="s">
        <v>19</v>
      </c>
      <c r="B1292" s="7">
        <v>2021</v>
      </c>
      <c r="C1292" s="7" t="s">
        <v>67</v>
      </c>
      <c r="D1292" s="7" t="s">
        <v>21</v>
      </c>
      <c r="E1292" s="7" t="s">
        <v>74</v>
      </c>
      <c r="F1292" s="7" t="s">
        <v>75</v>
      </c>
      <c r="G1292" s="7" t="s">
        <v>64</v>
      </c>
      <c r="H1292" s="7" t="s">
        <v>25</v>
      </c>
      <c r="I1292" s="7" t="s">
        <v>76</v>
      </c>
      <c r="J1292" s="7">
        <v>361</v>
      </c>
      <c r="K1292" s="7">
        <v>516.23</v>
      </c>
    </row>
    <row r="1293" spans="1:11" ht="18" customHeight="1" x14ac:dyDescent="0.25">
      <c r="A1293" s="7" t="s">
        <v>34</v>
      </c>
      <c r="B1293" s="7">
        <v>2021</v>
      </c>
      <c r="C1293" s="7" t="s">
        <v>62</v>
      </c>
      <c r="D1293" s="7" t="s">
        <v>21</v>
      </c>
      <c r="E1293" s="7" t="s">
        <v>74</v>
      </c>
      <c r="F1293" s="7" t="s">
        <v>75</v>
      </c>
      <c r="G1293" s="7" t="s">
        <v>64</v>
      </c>
      <c r="H1293" s="7" t="s">
        <v>25</v>
      </c>
      <c r="I1293" s="7" t="s">
        <v>26</v>
      </c>
      <c r="J1293" s="7">
        <v>178</v>
      </c>
      <c r="K1293" s="7">
        <v>254.54</v>
      </c>
    </row>
    <row r="1294" spans="1:11" ht="18" customHeight="1" x14ac:dyDescent="0.25">
      <c r="A1294" s="7" t="s">
        <v>34</v>
      </c>
      <c r="B1294" s="7">
        <v>2021</v>
      </c>
      <c r="C1294" s="7" t="s">
        <v>62</v>
      </c>
      <c r="D1294" s="7" t="s">
        <v>21</v>
      </c>
      <c r="E1294" s="7" t="s">
        <v>74</v>
      </c>
      <c r="F1294" s="7" t="s">
        <v>75</v>
      </c>
      <c r="G1294" s="7" t="s">
        <v>64</v>
      </c>
      <c r="H1294" s="7" t="s">
        <v>25</v>
      </c>
      <c r="I1294" s="7" t="s">
        <v>26</v>
      </c>
      <c r="J1294" s="7">
        <v>172</v>
      </c>
      <c r="K1294" s="7">
        <v>245.95999999999998</v>
      </c>
    </row>
    <row r="1295" spans="1:11" ht="18" customHeight="1" x14ac:dyDescent="0.25">
      <c r="A1295" s="7" t="s">
        <v>53</v>
      </c>
      <c r="B1295" s="7">
        <v>2021</v>
      </c>
      <c r="C1295" s="7" t="s">
        <v>62</v>
      </c>
      <c r="D1295" s="7" t="s">
        <v>21</v>
      </c>
      <c r="E1295" s="7" t="s">
        <v>74</v>
      </c>
      <c r="F1295" s="7" t="s">
        <v>75</v>
      </c>
      <c r="G1295" s="7" t="s">
        <v>64</v>
      </c>
      <c r="H1295" s="7" t="s">
        <v>25</v>
      </c>
      <c r="I1295" s="7" t="s">
        <v>26</v>
      </c>
      <c r="J1295" s="7">
        <v>166</v>
      </c>
      <c r="K1295" s="7">
        <v>237.38</v>
      </c>
    </row>
    <row r="1296" spans="1:11" ht="18" customHeight="1" x14ac:dyDescent="0.25">
      <c r="A1296" s="7" t="s">
        <v>34</v>
      </c>
      <c r="B1296" s="7">
        <v>2021</v>
      </c>
      <c r="C1296" s="7" t="s">
        <v>62</v>
      </c>
      <c r="D1296" s="7" t="s">
        <v>21</v>
      </c>
      <c r="E1296" s="7" t="s">
        <v>74</v>
      </c>
      <c r="F1296" s="7" t="s">
        <v>75</v>
      </c>
      <c r="G1296" s="7" t="s">
        <v>64</v>
      </c>
      <c r="H1296" s="7" t="s">
        <v>25</v>
      </c>
      <c r="I1296" s="7" t="s">
        <v>26</v>
      </c>
      <c r="J1296" s="7">
        <v>175</v>
      </c>
      <c r="K1296" s="7">
        <v>250.25</v>
      </c>
    </row>
    <row r="1297" spans="1:11" ht="18" customHeight="1" x14ac:dyDescent="0.25">
      <c r="A1297" s="7" t="s">
        <v>19</v>
      </c>
      <c r="B1297" s="7">
        <v>2021</v>
      </c>
      <c r="C1297" s="7" t="s">
        <v>62</v>
      </c>
      <c r="D1297" s="7" t="s">
        <v>21</v>
      </c>
      <c r="E1297" s="7" t="s">
        <v>74</v>
      </c>
      <c r="F1297" s="7" t="s">
        <v>75</v>
      </c>
      <c r="G1297" s="7" t="s">
        <v>64</v>
      </c>
      <c r="H1297" s="7" t="s">
        <v>25</v>
      </c>
      <c r="I1297" s="7" t="s">
        <v>26</v>
      </c>
      <c r="J1297" s="7">
        <v>169</v>
      </c>
      <c r="K1297" s="7">
        <v>241.67000000000002</v>
      </c>
    </row>
    <row r="1298" spans="1:11" ht="18" customHeight="1" x14ac:dyDescent="0.25">
      <c r="A1298" s="7" t="s">
        <v>34</v>
      </c>
      <c r="B1298" s="7">
        <v>2021</v>
      </c>
      <c r="C1298" s="7" t="s">
        <v>62</v>
      </c>
      <c r="D1298" s="7" t="s">
        <v>21</v>
      </c>
      <c r="E1298" s="7" t="s">
        <v>74</v>
      </c>
      <c r="F1298" s="7" t="s">
        <v>75</v>
      </c>
      <c r="G1298" s="7" t="s">
        <v>64</v>
      </c>
      <c r="H1298" s="7" t="s">
        <v>25</v>
      </c>
      <c r="I1298" s="7" t="s">
        <v>76</v>
      </c>
      <c r="J1298" s="7">
        <v>163</v>
      </c>
      <c r="K1298" s="7">
        <v>233.09</v>
      </c>
    </row>
    <row r="1299" spans="1:11" ht="18" customHeight="1" x14ac:dyDescent="0.25">
      <c r="A1299" s="7" t="s">
        <v>53</v>
      </c>
      <c r="B1299" s="7">
        <v>2021</v>
      </c>
      <c r="C1299" s="7" t="s">
        <v>66</v>
      </c>
      <c r="D1299" s="7" t="s">
        <v>21</v>
      </c>
      <c r="E1299" s="7" t="s">
        <v>74</v>
      </c>
      <c r="F1299" s="7" t="s">
        <v>75</v>
      </c>
      <c r="G1299" s="7" t="s">
        <v>64</v>
      </c>
      <c r="H1299" s="7" t="s">
        <v>25</v>
      </c>
      <c r="I1299" s="7" t="s">
        <v>76</v>
      </c>
      <c r="J1299" s="7">
        <v>142</v>
      </c>
      <c r="K1299" s="7">
        <v>203.06</v>
      </c>
    </row>
    <row r="1300" spans="1:11" ht="18" customHeight="1" x14ac:dyDescent="0.25">
      <c r="A1300" s="7" t="s">
        <v>34</v>
      </c>
      <c r="B1300" s="7">
        <v>2021</v>
      </c>
      <c r="C1300" s="7" t="s">
        <v>66</v>
      </c>
      <c r="D1300" s="7" t="s">
        <v>21</v>
      </c>
      <c r="E1300" s="7" t="s">
        <v>74</v>
      </c>
      <c r="F1300" s="7" t="s">
        <v>75</v>
      </c>
      <c r="G1300" s="7" t="s">
        <v>64</v>
      </c>
      <c r="H1300" s="7" t="s">
        <v>25</v>
      </c>
      <c r="I1300" s="7" t="s">
        <v>76</v>
      </c>
      <c r="J1300" s="7">
        <v>136</v>
      </c>
      <c r="K1300" s="7">
        <v>194.48</v>
      </c>
    </row>
    <row r="1301" spans="1:11" ht="18" customHeight="1" x14ac:dyDescent="0.25">
      <c r="A1301" s="7" t="s">
        <v>19</v>
      </c>
      <c r="B1301" s="7">
        <v>2021</v>
      </c>
      <c r="C1301" s="7" t="s">
        <v>66</v>
      </c>
      <c r="D1301" s="7" t="s">
        <v>21</v>
      </c>
      <c r="E1301" s="7" t="s">
        <v>74</v>
      </c>
      <c r="F1301" s="7" t="s">
        <v>75</v>
      </c>
      <c r="G1301" s="7" t="s">
        <v>64</v>
      </c>
      <c r="H1301" s="7" t="s">
        <v>25</v>
      </c>
      <c r="I1301" s="7" t="s">
        <v>76</v>
      </c>
      <c r="J1301" s="7">
        <v>145</v>
      </c>
      <c r="K1301" s="7">
        <v>207.35</v>
      </c>
    </row>
    <row r="1302" spans="1:11" ht="18" customHeight="1" x14ac:dyDescent="0.25">
      <c r="A1302" s="7" t="s">
        <v>19</v>
      </c>
      <c r="B1302" s="7">
        <v>2021</v>
      </c>
      <c r="C1302" s="7" t="s">
        <v>66</v>
      </c>
      <c r="D1302" s="7" t="s">
        <v>21</v>
      </c>
      <c r="E1302" s="7" t="s">
        <v>74</v>
      </c>
      <c r="F1302" s="7" t="s">
        <v>75</v>
      </c>
      <c r="G1302" s="7" t="s">
        <v>64</v>
      </c>
      <c r="H1302" s="7" t="s">
        <v>25</v>
      </c>
      <c r="I1302" s="7" t="s">
        <v>76</v>
      </c>
      <c r="J1302" s="7">
        <v>139</v>
      </c>
      <c r="K1302" s="7">
        <v>198.76999999999998</v>
      </c>
    </row>
    <row r="1303" spans="1:11" ht="18" customHeight="1" x14ac:dyDescent="0.25">
      <c r="A1303" s="7" t="s">
        <v>19</v>
      </c>
      <c r="B1303" s="7">
        <v>2021</v>
      </c>
      <c r="C1303" s="7" t="s">
        <v>66</v>
      </c>
      <c r="D1303" s="7" t="s">
        <v>21</v>
      </c>
      <c r="E1303" s="7" t="s">
        <v>74</v>
      </c>
      <c r="F1303" s="7" t="s">
        <v>75</v>
      </c>
      <c r="G1303" s="7" t="s">
        <v>64</v>
      </c>
      <c r="H1303" s="7" t="s">
        <v>25</v>
      </c>
      <c r="I1303" s="7" t="s">
        <v>76</v>
      </c>
      <c r="J1303" s="7">
        <v>133</v>
      </c>
      <c r="K1303" s="7">
        <v>190.19</v>
      </c>
    </row>
    <row r="1304" spans="1:11" ht="18" customHeight="1" x14ac:dyDescent="0.25">
      <c r="A1304" s="7" t="s">
        <v>34</v>
      </c>
      <c r="B1304" s="7">
        <v>2021</v>
      </c>
      <c r="C1304" s="7" t="s">
        <v>71</v>
      </c>
      <c r="D1304" s="7" t="s">
        <v>21</v>
      </c>
      <c r="E1304" s="7" t="s">
        <v>74</v>
      </c>
      <c r="F1304" s="7" t="s">
        <v>75</v>
      </c>
      <c r="G1304" s="7" t="s">
        <v>64</v>
      </c>
      <c r="H1304" s="7" t="s">
        <v>25</v>
      </c>
      <c r="I1304" s="7" t="s">
        <v>26</v>
      </c>
      <c r="J1304" s="7">
        <v>292</v>
      </c>
      <c r="K1304" s="7">
        <v>417.56</v>
      </c>
    </row>
    <row r="1305" spans="1:11" ht="18" customHeight="1" x14ac:dyDescent="0.25">
      <c r="A1305" s="7" t="s">
        <v>34</v>
      </c>
      <c r="B1305" s="7">
        <v>2021</v>
      </c>
      <c r="C1305" s="7" t="s">
        <v>71</v>
      </c>
      <c r="D1305" s="7" t="s">
        <v>21</v>
      </c>
      <c r="E1305" s="7" t="s">
        <v>74</v>
      </c>
      <c r="F1305" s="7" t="s">
        <v>75</v>
      </c>
      <c r="G1305" s="7" t="s">
        <v>64</v>
      </c>
      <c r="H1305" s="7" t="s">
        <v>25</v>
      </c>
      <c r="I1305" s="7" t="s">
        <v>26</v>
      </c>
      <c r="J1305" s="7">
        <v>286</v>
      </c>
      <c r="K1305" s="7">
        <v>408.98</v>
      </c>
    </row>
    <row r="1306" spans="1:11" ht="18" customHeight="1" x14ac:dyDescent="0.25">
      <c r="A1306" s="7" t="s">
        <v>34</v>
      </c>
      <c r="B1306" s="7">
        <v>2021</v>
      </c>
      <c r="C1306" s="7" t="s">
        <v>71</v>
      </c>
      <c r="D1306" s="7" t="s">
        <v>21</v>
      </c>
      <c r="E1306" s="7" t="s">
        <v>74</v>
      </c>
      <c r="F1306" s="7" t="s">
        <v>75</v>
      </c>
      <c r="G1306" s="7" t="s">
        <v>64</v>
      </c>
      <c r="H1306" s="7" t="s">
        <v>25</v>
      </c>
      <c r="I1306" s="7" t="s">
        <v>26</v>
      </c>
      <c r="J1306" s="7">
        <v>295</v>
      </c>
      <c r="K1306" s="7">
        <v>421.85</v>
      </c>
    </row>
    <row r="1307" spans="1:11" ht="18" customHeight="1" x14ac:dyDescent="0.25">
      <c r="A1307" s="7" t="s">
        <v>19</v>
      </c>
      <c r="B1307" s="7">
        <v>2021</v>
      </c>
      <c r="C1307" s="7" t="s">
        <v>71</v>
      </c>
      <c r="D1307" s="7" t="s">
        <v>21</v>
      </c>
      <c r="E1307" s="7" t="s">
        <v>74</v>
      </c>
      <c r="F1307" s="7" t="s">
        <v>75</v>
      </c>
      <c r="G1307" s="7" t="s">
        <v>64</v>
      </c>
      <c r="H1307" s="7" t="s">
        <v>25</v>
      </c>
      <c r="I1307" s="7" t="s">
        <v>26</v>
      </c>
      <c r="J1307" s="7">
        <v>289</v>
      </c>
      <c r="K1307" s="7">
        <v>413.27</v>
      </c>
    </row>
    <row r="1308" spans="1:11" ht="18" customHeight="1" x14ac:dyDescent="0.25">
      <c r="A1308" s="7" t="s">
        <v>34</v>
      </c>
      <c r="B1308" s="7">
        <v>2021</v>
      </c>
      <c r="C1308" s="7" t="s">
        <v>71</v>
      </c>
      <c r="D1308" s="7" t="s">
        <v>21</v>
      </c>
      <c r="E1308" s="7" t="s">
        <v>74</v>
      </c>
      <c r="F1308" s="7" t="s">
        <v>75</v>
      </c>
      <c r="G1308" s="7" t="s">
        <v>64</v>
      </c>
      <c r="H1308" s="7" t="s">
        <v>25</v>
      </c>
      <c r="I1308" s="7" t="s">
        <v>26</v>
      </c>
      <c r="J1308" s="7">
        <v>283</v>
      </c>
      <c r="K1308" s="7">
        <v>404.69</v>
      </c>
    </row>
    <row r="1309" spans="1:11" ht="18" customHeight="1" x14ac:dyDescent="0.25">
      <c r="A1309" s="7" t="s">
        <v>34</v>
      </c>
      <c r="B1309" s="7">
        <v>2021</v>
      </c>
      <c r="C1309" s="7" t="s">
        <v>70</v>
      </c>
      <c r="D1309" s="7" t="s">
        <v>21</v>
      </c>
      <c r="E1309" s="7" t="s">
        <v>74</v>
      </c>
      <c r="F1309" s="7" t="s">
        <v>75</v>
      </c>
      <c r="G1309" s="7" t="s">
        <v>64</v>
      </c>
      <c r="H1309" s="7" t="s">
        <v>25</v>
      </c>
      <c r="I1309" s="7" t="s">
        <v>26</v>
      </c>
      <c r="J1309" s="7">
        <v>310</v>
      </c>
      <c r="K1309" s="7">
        <v>443.3</v>
      </c>
    </row>
    <row r="1310" spans="1:11" ht="18" customHeight="1" x14ac:dyDescent="0.25">
      <c r="A1310" s="7" t="s">
        <v>42</v>
      </c>
      <c r="B1310" s="7">
        <v>2021</v>
      </c>
      <c r="C1310" s="7" t="s">
        <v>70</v>
      </c>
      <c r="D1310" s="7" t="s">
        <v>21</v>
      </c>
      <c r="E1310" s="7" t="s">
        <v>74</v>
      </c>
      <c r="F1310" s="7" t="s">
        <v>75</v>
      </c>
      <c r="G1310" s="7" t="s">
        <v>64</v>
      </c>
      <c r="H1310" s="7" t="s">
        <v>25</v>
      </c>
      <c r="I1310" s="7" t="s">
        <v>26</v>
      </c>
      <c r="J1310" s="7">
        <v>304</v>
      </c>
      <c r="K1310" s="7">
        <v>434.72</v>
      </c>
    </row>
    <row r="1311" spans="1:11" ht="18" customHeight="1" x14ac:dyDescent="0.25">
      <c r="A1311" s="7" t="s">
        <v>19</v>
      </c>
      <c r="B1311" s="7">
        <v>2021</v>
      </c>
      <c r="C1311" s="7" t="s">
        <v>70</v>
      </c>
      <c r="D1311" s="7" t="s">
        <v>21</v>
      </c>
      <c r="E1311" s="7" t="s">
        <v>74</v>
      </c>
      <c r="F1311" s="7" t="s">
        <v>75</v>
      </c>
      <c r="G1311" s="7" t="s">
        <v>64</v>
      </c>
      <c r="H1311" s="7" t="s">
        <v>25</v>
      </c>
      <c r="I1311" s="7" t="s">
        <v>26</v>
      </c>
      <c r="J1311" s="7">
        <v>298</v>
      </c>
      <c r="K1311" s="7">
        <v>426.14</v>
      </c>
    </row>
    <row r="1312" spans="1:11" ht="18" customHeight="1" x14ac:dyDescent="0.25">
      <c r="A1312" s="7" t="s">
        <v>19</v>
      </c>
      <c r="B1312" s="7">
        <v>2021</v>
      </c>
      <c r="C1312" s="7" t="s">
        <v>70</v>
      </c>
      <c r="D1312" s="7" t="s">
        <v>21</v>
      </c>
      <c r="E1312" s="7" t="s">
        <v>74</v>
      </c>
      <c r="F1312" s="7" t="s">
        <v>75</v>
      </c>
      <c r="G1312" s="7" t="s">
        <v>64</v>
      </c>
      <c r="H1312" s="7" t="s">
        <v>25</v>
      </c>
      <c r="I1312" s="7" t="s">
        <v>26</v>
      </c>
      <c r="J1312" s="7">
        <v>307</v>
      </c>
      <c r="K1312" s="7">
        <v>439.01</v>
      </c>
    </row>
    <row r="1313" spans="1:11" ht="18" customHeight="1" x14ac:dyDescent="0.25">
      <c r="A1313" s="7" t="s">
        <v>61</v>
      </c>
      <c r="B1313" s="7">
        <v>2021</v>
      </c>
      <c r="C1313" s="7" t="s">
        <v>70</v>
      </c>
      <c r="D1313" s="7" t="s">
        <v>21</v>
      </c>
      <c r="E1313" s="7" t="s">
        <v>74</v>
      </c>
      <c r="F1313" s="7" t="s">
        <v>75</v>
      </c>
      <c r="G1313" s="7" t="s">
        <v>64</v>
      </c>
      <c r="H1313" s="7" t="s">
        <v>25</v>
      </c>
      <c r="I1313" s="7" t="s">
        <v>26</v>
      </c>
      <c r="J1313" s="7">
        <v>301</v>
      </c>
      <c r="K1313" s="7">
        <v>430.43</v>
      </c>
    </row>
    <row r="1314" spans="1:11" ht="18" customHeight="1" x14ac:dyDescent="0.25">
      <c r="A1314" s="7" t="s">
        <v>19</v>
      </c>
      <c r="B1314" s="7">
        <v>2021</v>
      </c>
      <c r="C1314" s="7" t="s">
        <v>20</v>
      </c>
      <c r="D1314" s="7" t="s">
        <v>72</v>
      </c>
      <c r="E1314" s="7" t="s">
        <v>74</v>
      </c>
      <c r="F1314" s="7" t="s">
        <v>75</v>
      </c>
      <c r="G1314" s="7" t="s">
        <v>64</v>
      </c>
      <c r="H1314" s="7" t="s">
        <v>25</v>
      </c>
      <c r="I1314" s="7" t="s">
        <v>76</v>
      </c>
      <c r="J1314" s="7">
        <v>344</v>
      </c>
      <c r="K1314" s="7">
        <v>491.91999999999996</v>
      </c>
    </row>
    <row r="1315" spans="1:11" ht="18" customHeight="1" x14ac:dyDescent="0.25">
      <c r="A1315" s="7" t="s">
        <v>34</v>
      </c>
      <c r="B1315" s="7">
        <v>2021</v>
      </c>
      <c r="C1315" s="7" t="s">
        <v>20</v>
      </c>
      <c r="D1315" s="7" t="s">
        <v>72</v>
      </c>
      <c r="E1315" s="7" t="s">
        <v>74</v>
      </c>
      <c r="F1315" s="7" t="s">
        <v>75</v>
      </c>
      <c r="G1315" s="7" t="s">
        <v>64</v>
      </c>
      <c r="H1315" s="7" t="s">
        <v>25</v>
      </c>
      <c r="I1315" s="7" t="s">
        <v>76</v>
      </c>
      <c r="J1315" s="7">
        <v>314</v>
      </c>
      <c r="K1315" s="7">
        <v>449.02</v>
      </c>
    </row>
    <row r="1316" spans="1:11" ht="18" customHeight="1" x14ac:dyDescent="0.25">
      <c r="A1316" s="7" t="s">
        <v>19</v>
      </c>
      <c r="B1316" s="7">
        <v>2021</v>
      </c>
      <c r="C1316" s="7" t="s">
        <v>20</v>
      </c>
      <c r="D1316" s="7" t="s">
        <v>72</v>
      </c>
      <c r="E1316" s="7" t="s">
        <v>74</v>
      </c>
      <c r="F1316" s="7" t="s">
        <v>75</v>
      </c>
      <c r="G1316" s="7" t="s">
        <v>64</v>
      </c>
      <c r="H1316" s="7" t="s">
        <v>25</v>
      </c>
      <c r="I1316" s="7" t="s">
        <v>76</v>
      </c>
      <c r="J1316" s="7">
        <v>340</v>
      </c>
      <c r="K1316" s="7">
        <v>486.2</v>
      </c>
    </row>
    <row r="1317" spans="1:11" ht="18" customHeight="1" x14ac:dyDescent="0.25">
      <c r="A1317" s="7" t="s">
        <v>34</v>
      </c>
      <c r="B1317" s="7">
        <v>2021</v>
      </c>
      <c r="C1317" s="7" t="s">
        <v>20</v>
      </c>
      <c r="D1317" s="7" t="s">
        <v>72</v>
      </c>
      <c r="E1317" s="7" t="s">
        <v>74</v>
      </c>
      <c r="F1317" s="7" t="s">
        <v>75</v>
      </c>
      <c r="G1317" s="7" t="s">
        <v>64</v>
      </c>
      <c r="H1317" s="7" t="s">
        <v>25</v>
      </c>
      <c r="I1317" s="7" t="s">
        <v>76</v>
      </c>
      <c r="J1317" s="7">
        <v>142</v>
      </c>
      <c r="K1317" s="7">
        <v>203.06</v>
      </c>
    </row>
    <row r="1318" spans="1:11" ht="18" customHeight="1" x14ac:dyDescent="0.25">
      <c r="A1318" s="7" t="s">
        <v>34</v>
      </c>
      <c r="B1318" s="7">
        <v>2021</v>
      </c>
      <c r="C1318" s="7" t="s">
        <v>20</v>
      </c>
      <c r="D1318" s="7" t="s">
        <v>72</v>
      </c>
      <c r="E1318" s="7" t="s">
        <v>74</v>
      </c>
      <c r="F1318" s="7" t="s">
        <v>75</v>
      </c>
      <c r="G1318" s="7" t="s">
        <v>64</v>
      </c>
      <c r="H1318" s="7" t="s">
        <v>25</v>
      </c>
      <c r="I1318" s="7" t="s">
        <v>76</v>
      </c>
      <c r="J1318" s="7">
        <v>316</v>
      </c>
      <c r="K1318" s="7">
        <v>451.88</v>
      </c>
    </row>
    <row r="1319" spans="1:11" ht="18" customHeight="1" x14ac:dyDescent="0.25">
      <c r="A1319" s="7" t="s">
        <v>42</v>
      </c>
      <c r="B1319" s="7">
        <v>2021</v>
      </c>
      <c r="C1319" s="7" t="s">
        <v>20</v>
      </c>
      <c r="D1319" s="7" t="s">
        <v>72</v>
      </c>
      <c r="E1319" s="7" t="s">
        <v>74</v>
      </c>
      <c r="F1319" s="7" t="s">
        <v>75</v>
      </c>
      <c r="G1319" s="7" t="s">
        <v>64</v>
      </c>
      <c r="H1319" s="7" t="s">
        <v>25</v>
      </c>
      <c r="I1319" s="7" t="s">
        <v>76</v>
      </c>
      <c r="J1319" s="7">
        <v>823</v>
      </c>
      <c r="K1319" s="7">
        <v>1176.8899999999999</v>
      </c>
    </row>
    <row r="1320" spans="1:11" ht="18" customHeight="1" x14ac:dyDescent="0.25">
      <c r="A1320" s="7" t="s">
        <v>34</v>
      </c>
      <c r="B1320" s="7">
        <v>2021</v>
      </c>
      <c r="C1320" s="7" t="s">
        <v>20</v>
      </c>
      <c r="D1320" s="7" t="s">
        <v>72</v>
      </c>
      <c r="E1320" s="7" t="s">
        <v>74</v>
      </c>
      <c r="F1320" s="7" t="s">
        <v>75</v>
      </c>
      <c r="G1320" s="7" t="s">
        <v>64</v>
      </c>
      <c r="H1320" s="7" t="s">
        <v>25</v>
      </c>
      <c r="I1320" s="7" t="s">
        <v>76</v>
      </c>
      <c r="J1320" s="7">
        <v>856</v>
      </c>
      <c r="K1320" s="7">
        <v>1224.08</v>
      </c>
    </row>
    <row r="1321" spans="1:11" ht="18" customHeight="1" x14ac:dyDescent="0.25">
      <c r="A1321" s="7" t="s">
        <v>34</v>
      </c>
      <c r="B1321" s="7">
        <v>2021</v>
      </c>
      <c r="C1321" s="7" t="s">
        <v>20</v>
      </c>
      <c r="D1321" s="7" t="s">
        <v>72</v>
      </c>
      <c r="E1321" s="7" t="s">
        <v>74</v>
      </c>
      <c r="F1321" s="7" t="s">
        <v>75</v>
      </c>
      <c r="G1321" s="7" t="s">
        <v>64</v>
      </c>
      <c r="H1321" s="7" t="s">
        <v>25</v>
      </c>
      <c r="I1321" s="7" t="s">
        <v>76</v>
      </c>
      <c r="J1321" s="7">
        <v>909</v>
      </c>
      <c r="K1321" s="7">
        <v>1299.8699999999999</v>
      </c>
    </row>
    <row r="1322" spans="1:11" ht="18" customHeight="1" x14ac:dyDescent="0.25">
      <c r="A1322" s="7" t="s">
        <v>34</v>
      </c>
      <c r="B1322" s="7">
        <v>2021</v>
      </c>
      <c r="C1322" s="7" t="s">
        <v>20</v>
      </c>
      <c r="D1322" s="7" t="s">
        <v>72</v>
      </c>
      <c r="E1322" s="7" t="s">
        <v>74</v>
      </c>
      <c r="F1322" s="7" t="s">
        <v>75</v>
      </c>
      <c r="G1322" s="7" t="s">
        <v>64</v>
      </c>
      <c r="H1322" s="7" t="s">
        <v>25</v>
      </c>
      <c r="I1322" s="7" t="s">
        <v>76</v>
      </c>
      <c r="J1322" s="7">
        <v>862</v>
      </c>
      <c r="K1322" s="7">
        <v>526.24</v>
      </c>
    </row>
    <row r="1323" spans="1:11" ht="18" customHeight="1" x14ac:dyDescent="0.25">
      <c r="A1323" s="7" t="s">
        <v>34</v>
      </c>
      <c r="B1323" s="7">
        <v>2021</v>
      </c>
      <c r="C1323" s="7" t="s">
        <v>20</v>
      </c>
      <c r="D1323" s="7" t="s">
        <v>72</v>
      </c>
      <c r="E1323" s="7" t="s">
        <v>74</v>
      </c>
      <c r="F1323" s="7" t="s">
        <v>75</v>
      </c>
      <c r="G1323" s="7" t="s">
        <v>64</v>
      </c>
      <c r="H1323" s="7" t="s">
        <v>25</v>
      </c>
      <c r="I1323" s="7" t="s">
        <v>76</v>
      </c>
      <c r="J1323" s="7">
        <v>141</v>
      </c>
      <c r="K1323" s="7">
        <v>526.24</v>
      </c>
    </row>
    <row r="1324" spans="1:11" ht="18" customHeight="1" x14ac:dyDescent="0.25">
      <c r="A1324" s="7" t="s">
        <v>42</v>
      </c>
      <c r="B1324" s="7">
        <v>2021</v>
      </c>
      <c r="C1324" s="7" t="s">
        <v>20</v>
      </c>
      <c r="D1324" s="7" t="s">
        <v>72</v>
      </c>
      <c r="E1324" s="7" t="s">
        <v>74</v>
      </c>
      <c r="F1324" s="7" t="s">
        <v>75</v>
      </c>
      <c r="G1324" s="7" t="s">
        <v>64</v>
      </c>
      <c r="H1324" s="7" t="s">
        <v>25</v>
      </c>
      <c r="I1324" s="7" t="s">
        <v>76</v>
      </c>
      <c r="J1324" s="7">
        <v>315</v>
      </c>
      <c r="K1324" s="7">
        <v>450.45</v>
      </c>
    </row>
    <row r="1325" spans="1:11" ht="18" customHeight="1" x14ac:dyDescent="0.25">
      <c r="A1325" s="7" t="s">
        <v>34</v>
      </c>
      <c r="B1325" s="7">
        <v>2021</v>
      </c>
      <c r="C1325" s="7" t="s">
        <v>20</v>
      </c>
      <c r="D1325" s="7" t="s">
        <v>72</v>
      </c>
      <c r="E1325" s="7" t="s">
        <v>74</v>
      </c>
      <c r="F1325" s="7" t="s">
        <v>75</v>
      </c>
      <c r="G1325" s="7" t="s">
        <v>64</v>
      </c>
      <c r="H1325" s="7" t="s">
        <v>25</v>
      </c>
      <c r="I1325" s="7" t="s">
        <v>76</v>
      </c>
      <c r="J1325" s="7">
        <v>343</v>
      </c>
      <c r="K1325" s="7">
        <v>490.49</v>
      </c>
    </row>
    <row r="1326" spans="1:11" ht="18" customHeight="1" x14ac:dyDescent="0.25">
      <c r="A1326" s="7" t="s">
        <v>34</v>
      </c>
      <c r="B1326" s="7">
        <v>2021</v>
      </c>
      <c r="C1326" s="7" t="s">
        <v>20</v>
      </c>
      <c r="D1326" s="7" t="s">
        <v>72</v>
      </c>
      <c r="E1326" s="7" t="s">
        <v>74</v>
      </c>
      <c r="F1326" s="7" t="s">
        <v>75</v>
      </c>
      <c r="G1326" s="7" t="s">
        <v>64</v>
      </c>
      <c r="H1326" s="7" t="s">
        <v>25</v>
      </c>
      <c r="I1326" s="7" t="s">
        <v>76</v>
      </c>
      <c r="J1326" s="7">
        <v>145</v>
      </c>
      <c r="K1326" s="7">
        <v>207.35</v>
      </c>
    </row>
    <row r="1327" spans="1:11" ht="18" customHeight="1" x14ac:dyDescent="0.25">
      <c r="A1327" s="7" t="s">
        <v>19</v>
      </c>
      <c r="B1327" s="7">
        <v>2021</v>
      </c>
      <c r="C1327" s="7" t="s">
        <v>20</v>
      </c>
      <c r="D1327" s="7" t="s">
        <v>72</v>
      </c>
      <c r="E1327" s="7" t="s">
        <v>74</v>
      </c>
      <c r="F1327" s="7" t="s">
        <v>75</v>
      </c>
      <c r="G1327" s="7" t="s">
        <v>64</v>
      </c>
      <c r="H1327" s="7" t="s">
        <v>25</v>
      </c>
      <c r="I1327" s="7" t="s">
        <v>76</v>
      </c>
      <c r="J1327" s="7">
        <v>313</v>
      </c>
      <c r="K1327" s="7">
        <v>447.59000000000003</v>
      </c>
    </row>
    <row r="1328" spans="1:11" ht="18" customHeight="1" x14ac:dyDescent="0.25">
      <c r="A1328" s="7" t="s">
        <v>34</v>
      </c>
      <c r="B1328" s="7">
        <v>2021</v>
      </c>
      <c r="C1328" s="7" t="s">
        <v>20</v>
      </c>
      <c r="D1328" s="7" t="s">
        <v>72</v>
      </c>
      <c r="E1328" s="7" t="s">
        <v>74</v>
      </c>
      <c r="F1328" s="7" t="s">
        <v>75</v>
      </c>
      <c r="G1328" s="7" t="s">
        <v>64</v>
      </c>
      <c r="H1328" s="7" t="s">
        <v>25</v>
      </c>
      <c r="I1328" s="7" t="s">
        <v>76</v>
      </c>
      <c r="J1328" s="7">
        <v>832</v>
      </c>
      <c r="K1328" s="7">
        <v>1189.76</v>
      </c>
    </row>
    <row r="1329" spans="1:11" ht="18" customHeight="1" x14ac:dyDescent="0.25">
      <c r="A1329" s="7" t="s">
        <v>19</v>
      </c>
      <c r="B1329" s="7">
        <v>2021</v>
      </c>
      <c r="C1329" s="7" t="s">
        <v>20</v>
      </c>
      <c r="D1329" s="7" t="s">
        <v>72</v>
      </c>
      <c r="E1329" s="7" t="s">
        <v>74</v>
      </c>
      <c r="F1329" s="7" t="s">
        <v>75</v>
      </c>
      <c r="G1329" s="7" t="s">
        <v>64</v>
      </c>
      <c r="H1329" s="7" t="s">
        <v>25</v>
      </c>
      <c r="I1329" s="7" t="s">
        <v>76</v>
      </c>
      <c r="J1329" s="7">
        <v>865</v>
      </c>
      <c r="K1329" s="7">
        <v>1236.95</v>
      </c>
    </row>
    <row r="1330" spans="1:11" ht="18" customHeight="1" x14ac:dyDescent="0.25">
      <c r="A1330" s="7" t="s">
        <v>19</v>
      </c>
      <c r="B1330" s="7">
        <v>2021</v>
      </c>
      <c r="C1330" s="7" t="s">
        <v>20</v>
      </c>
      <c r="D1330" s="7" t="s">
        <v>72</v>
      </c>
      <c r="E1330" s="7" t="s">
        <v>74</v>
      </c>
      <c r="F1330" s="7" t="s">
        <v>75</v>
      </c>
      <c r="G1330" s="7" t="s">
        <v>64</v>
      </c>
      <c r="H1330" s="7" t="s">
        <v>25</v>
      </c>
      <c r="I1330" s="7" t="s">
        <v>76</v>
      </c>
      <c r="J1330" s="7">
        <v>317</v>
      </c>
      <c r="K1330" s="7">
        <v>453.31</v>
      </c>
    </row>
    <row r="1331" spans="1:11" ht="18" customHeight="1" x14ac:dyDescent="0.25">
      <c r="A1331" s="7" t="s">
        <v>19</v>
      </c>
      <c r="B1331" s="7">
        <v>2021</v>
      </c>
      <c r="C1331" s="7" t="s">
        <v>60</v>
      </c>
      <c r="D1331" s="7" t="s">
        <v>72</v>
      </c>
      <c r="E1331" s="7" t="s">
        <v>74</v>
      </c>
      <c r="F1331" s="7" t="s">
        <v>75</v>
      </c>
      <c r="G1331" s="7" t="s">
        <v>64</v>
      </c>
      <c r="H1331" s="7" t="s">
        <v>25</v>
      </c>
      <c r="I1331" s="7" t="s">
        <v>76</v>
      </c>
      <c r="J1331" s="7">
        <v>320</v>
      </c>
      <c r="K1331" s="7">
        <v>457.6</v>
      </c>
    </row>
    <row r="1332" spans="1:11" ht="18" customHeight="1" x14ac:dyDescent="0.25">
      <c r="A1332" s="7" t="s">
        <v>34</v>
      </c>
      <c r="B1332" s="7">
        <v>2021</v>
      </c>
      <c r="C1332" s="7" t="s">
        <v>60</v>
      </c>
      <c r="D1332" s="7" t="s">
        <v>72</v>
      </c>
      <c r="E1332" s="7" t="s">
        <v>74</v>
      </c>
      <c r="F1332" s="7" t="s">
        <v>75</v>
      </c>
      <c r="G1332" s="7" t="s">
        <v>64</v>
      </c>
      <c r="H1332" s="7" t="s">
        <v>25</v>
      </c>
      <c r="I1332" s="7" t="s">
        <v>76</v>
      </c>
      <c r="J1332" s="7">
        <v>368</v>
      </c>
      <c r="K1332" s="7">
        <v>526.24</v>
      </c>
    </row>
    <row r="1333" spans="1:11" ht="18" customHeight="1" x14ac:dyDescent="0.25">
      <c r="A1333" s="7" t="s">
        <v>34</v>
      </c>
      <c r="B1333" s="7">
        <v>2021</v>
      </c>
      <c r="C1333" s="7" t="s">
        <v>60</v>
      </c>
      <c r="D1333" s="7" t="s">
        <v>72</v>
      </c>
      <c r="E1333" s="7" t="s">
        <v>74</v>
      </c>
      <c r="F1333" s="7" t="s">
        <v>75</v>
      </c>
      <c r="G1333" s="7" t="s">
        <v>64</v>
      </c>
      <c r="H1333" s="7" t="s">
        <v>25</v>
      </c>
      <c r="I1333" s="7" t="s">
        <v>76</v>
      </c>
      <c r="J1333" s="7">
        <v>296</v>
      </c>
      <c r="K1333" s="7">
        <v>423.28</v>
      </c>
    </row>
    <row r="1334" spans="1:11" ht="18" customHeight="1" x14ac:dyDescent="0.25">
      <c r="A1334" s="7" t="s">
        <v>61</v>
      </c>
      <c r="B1334" s="7">
        <v>2021</v>
      </c>
      <c r="C1334" s="7" t="s">
        <v>60</v>
      </c>
      <c r="D1334" s="7" t="s">
        <v>21</v>
      </c>
      <c r="E1334" s="7" t="s">
        <v>74</v>
      </c>
      <c r="F1334" s="7" t="s">
        <v>75</v>
      </c>
      <c r="G1334" s="7" t="s">
        <v>64</v>
      </c>
      <c r="H1334" s="7" t="s">
        <v>25</v>
      </c>
      <c r="I1334" s="7" t="s">
        <v>76</v>
      </c>
      <c r="J1334" s="7">
        <v>322</v>
      </c>
      <c r="K1334" s="7">
        <v>460.46000000000004</v>
      </c>
    </row>
    <row r="1335" spans="1:11" ht="18" customHeight="1" x14ac:dyDescent="0.25">
      <c r="A1335" s="7" t="s">
        <v>34</v>
      </c>
      <c r="B1335" s="7">
        <v>2021</v>
      </c>
      <c r="C1335" s="7" t="s">
        <v>60</v>
      </c>
      <c r="D1335" s="7" t="s">
        <v>21</v>
      </c>
      <c r="E1335" s="7" t="s">
        <v>74</v>
      </c>
      <c r="F1335" s="7" t="s">
        <v>75</v>
      </c>
      <c r="G1335" s="7" t="s">
        <v>64</v>
      </c>
      <c r="H1335" s="7" t="s">
        <v>25</v>
      </c>
      <c r="I1335" s="7" t="s">
        <v>76</v>
      </c>
      <c r="J1335" s="7">
        <v>370</v>
      </c>
      <c r="K1335" s="7">
        <v>529.1</v>
      </c>
    </row>
    <row r="1336" spans="1:11" ht="18" customHeight="1" x14ac:dyDescent="0.25">
      <c r="A1336" s="7" t="s">
        <v>34</v>
      </c>
      <c r="B1336" s="7">
        <v>2021</v>
      </c>
      <c r="C1336" s="7" t="s">
        <v>60</v>
      </c>
      <c r="D1336" s="7" t="s">
        <v>21</v>
      </c>
      <c r="E1336" s="7" t="s">
        <v>74</v>
      </c>
      <c r="F1336" s="7" t="s">
        <v>75</v>
      </c>
      <c r="G1336" s="7" t="s">
        <v>64</v>
      </c>
      <c r="H1336" s="7" t="s">
        <v>25</v>
      </c>
      <c r="I1336" s="7" t="s">
        <v>76</v>
      </c>
      <c r="J1336" s="7">
        <v>292</v>
      </c>
      <c r="K1336" s="7">
        <v>417.56</v>
      </c>
    </row>
    <row r="1337" spans="1:11" ht="18" customHeight="1" x14ac:dyDescent="0.25">
      <c r="A1337" s="7" t="s">
        <v>42</v>
      </c>
      <c r="B1337" s="7">
        <v>2021</v>
      </c>
      <c r="C1337" s="7" t="s">
        <v>60</v>
      </c>
      <c r="D1337" s="7" t="s">
        <v>21</v>
      </c>
      <c r="E1337" s="7" t="s">
        <v>74</v>
      </c>
      <c r="F1337" s="7" t="s">
        <v>75</v>
      </c>
      <c r="G1337" s="7" t="s">
        <v>64</v>
      </c>
      <c r="H1337" s="7" t="s">
        <v>73</v>
      </c>
      <c r="I1337" s="7" t="s">
        <v>76</v>
      </c>
      <c r="J1337" s="7">
        <v>860</v>
      </c>
      <c r="K1337" s="7">
        <v>1229.8</v>
      </c>
    </row>
    <row r="1338" spans="1:11" ht="18" customHeight="1" x14ac:dyDescent="0.25">
      <c r="A1338" s="7" t="s">
        <v>34</v>
      </c>
      <c r="B1338" s="7">
        <v>2021</v>
      </c>
      <c r="C1338" s="7" t="s">
        <v>60</v>
      </c>
      <c r="D1338" s="7" t="s">
        <v>21</v>
      </c>
      <c r="E1338" s="7" t="s">
        <v>74</v>
      </c>
      <c r="F1338" s="7" t="s">
        <v>75</v>
      </c>
      <c r="G1338" s="7" t="s">
        <v>64</v>
      </c>
      <c r="H1338" s="7" t="s">
        <v>73</v>
      </c>
      <c r="I1338" s="7" t="s">
        <v>76</v>
      </c>
      <c r="J1338" s="7">
        <v>913</v>
      </c>
      <c r="K1338" s="7">
        <v>1305.5899999999999</v>
      </c>
    </row>
    <row r="1339" spans="1:11" ht="18" customHeight="1" x14ac:dyDescent="0.25">
      <c r="A1339" s="7" t="s">
        <v>34</v>
      </c>
      <c r="B1339" s="7">
        <v>2021</v>
      </c>
      <c r="C1339" s="7" t="s">
        <v>60</v>
      </c>
      <c r="D1339" s="7" t="s">
        <v>21</v>
      </c>
      <c r="E1339" s="7" t="s">
        <v>74</v>
      </c>
      <c r="F1339" s="7" t="s">
        <v>75</v>
      </c>
      <c r="G1339" s="7" t="s">
        <v>64</v>
      </c>
      <c r="H1339" s="7" t="s">
        <v>73</v>
      </c>
      <c r="I1339" s="7" t="s">
        <v>76</v>
      </c>
      <c r="J1339" s="7">
        <v>866</v>
      </c>
      <c r="K1339" s="7">
        <v>526.24</v>
      </c>
    </row>
    <row r="1340" spans="1:11" ht="18" customHeight="1" x14ac:dyDescent="0.25">
      <c r="A1340" s="7" t="s">
        <v>42</v>
      </c>
      <c r="B1340" s="7">
        <v>2021</v>
      </c>
      <c r="C1340" s="7" t="s">
        <v>60</v>
      </c>
      <c r="D1340" s="7" t="s">
        <v>21</v>
      </c>
      <c r="E1340" s="7" t="s">
        <v>74</v>
      </c>
      <c r="F1340" s="7" t="s">
        <v>75</v>
      </c>
      <c r="G1340" s="7" t="s">
        <v>64</v>
      </c>
      <c r="H1340" s="7" t="s">
        <v>73</v>
      </c>
      <c r="I1340" s="7" t="s">
        <v>76</v>
      </c>
      <c r="J1340" s="7">
        <v>369</v>
      </c>
      <c r="K1340" s="7">
        <v>526.24</v>
      </c>
    </row>
    <row r="1341" spans="1:11" ht="18" customHeight="1" x14ac:dyDescent="0.25">
      <c r="A1341" s="7" t="s">
        <v>34</v>
      </c>
      <c r="B1341" s="7">
        <v>2021</v>
      </c>
      <c r="C1341" s="7" t="s">
        <v>60</v>
      </c>
      <c r="D1341" s="7" t="s">
        <v>21</v>
      </c>
      <c r="E1341" s="7" t="s">
        <v>74</v>
      </c>
      <c r="F1341" s="7" t="s">
        <v>75</v>
      </c>
      <c r="G1341" s="7" t="s">
        <v>64</v>
      </c>
      <c r="H1341" s="7" t="s">
        <v>73</v>
      </c>
      <c r="I1341" s="7" t="s">
        <v>76</v>
      </c>
      <c r="J1341" s="7">
        <v>319</v>
      </c>
      <c r="K1341" s="7">
        <v>456.16999999999996</v>
      </c>
    </row>
    <row r="1342" spans="1:11" ht="18" customHeight="1" x14ac:dyDescent="0.25">
      <c r="A1342" s="7" t="s">
        <v>34</v>
      </c>
      <c r="B1342" s="7">
        <v>2021</v>
      </c>
      <c r="C1342" s="7" t="s">
        <v>60</v>
      </c>
      <c r="D1342" s="7" t="s">
        <v>21</v>
      </c>
      <c r="E1342" s="7" t="s">
        <v>74</v>
      </c>
      <c r="F1342" s="7" t="s">
        <v>75</v>
      </c>
      <c r="G1342" s="7" t="s">
        <v>64</v>
      </c>
      <c r="H1342" s="7" t="s">
        <v>73</v>
      </c>
      <c r="I1342" s="7" t="s">
        <v>76</v>
      </c>
      <c r="J1342" s="7">
        <v>367</v>
      </c>
      <c r="K1342" s="7">
        <v>524.80999999999995</v>
      </c>
    </row>
    <row r="1343" spans="1:11" ht="18" customHeight="1" x14ac:dyDescent="0.25">
      <c r="A1343" s="7" t="s">
        <v>61</v>
      </c>
      <c r="B1343" s="7">
        <v>2021</v>
      </c>
      <c r="C1343" s="7" t="s">
        <v>60</v>
      </c>
      <c r="D1343" s="7" t="s">
        <v>21</v>
      </c>
      <c r="E1343" s="7" t="s">
        <v>74</v>
      </c>
      <c r="F1343" s="7" t="s">
        <v>75</v>
      </c>
      <c r="G1343" s="7" t="s">
        <v>64</v>
      </c>
      <c r="H1343" s="7" t="s">
        <v>73</v>
      </c>
      <c r="I1343" s="7" t="s">
        <v>76</v>
      </c>
      <c r="J1343" s="7">
        <v>295</v>
      </c>
      <c r="K1343" s="7">
        <v>421.85</v>
      </c>
    </row>
    <row r="1344" spans="1:11" ht="18" customHeight="1" x14ac:dyDescent="0.25">
      <c r="A1344" s="7" t="s">
        <v>34</v>
      </c>
      <c r="B1344" s="7">
        <v>2021</v>
      </c>
      <c r="C1344" s="7" t="s">
        <v>60</v>
      </c>
      <c r="D1344" s="7" t="s">
        <v>21</v>
      </c>
      <c r="E1344" s="7" t="s">
        <v>74</v>
      </c>
      <c r="F1344" s="7" t="s">
        <v>75</v>
      </c>
      <c r="G1344" s="7" t="s">
        <v>64</v>
      </c>
      <c r="H1344" s="7" t="s">
        <v>73</v>
      </c>
      <c r="I1344" s="7" t="s">
        <v>76</v>
      </c>
      <c r="J1344" s="7">
        <v>835</v>
      </c>
      <c r="K1344" s="7">
        <v>1194.05</v>
      </c>
    </row>
    <row r="1345" spans="1:11" ht="18" customHeight="1" x14ac:dyDescent="0.25">
      <c r="A1345" s="7" t="s">
        <v>19</v>
      </c>
      <c r="B1345" s="7">
        <v>2021</v>
      </c>
      <c r="C1345" s="7" t="s">
        <v>60</v>
      </c>
      <c r="D1345" s="7" t="s">
        <v>21</v>
      </c>
      <c r="E1345" s="7" t="s">
        <v>74</v>
      </c>
      <c r="F1345" s="7" t="s">
        <v>75</v>
      </c>
      <c r="G1345" s="7" t="s">
        <v>64</v>
      </c>
      <c r="H1345" s="7" t="s">
        <v>73</v>
      </c>
      <c r="I1345" s="7" t="s">
        <v>76</v>
      </c>
      <c r="J1345" s="7">
        <v>293</v>
      </c>
      <c r="K1345" s="7">
        <v>418.99</v>
      </c>
    </row>
    <row r="1346" spans="1:11" ht="18" customHeight="1" x14ac:dyDescent="0.25">
      <c r="A1346" s="7" t="s">
        <v>42</v>
      </c>
      <c r="B1346" s="7">
        <v>2021</v>
      </c>
      <c r="C1346" s="7" t="s">
        <v>65</v>
      </c>
      <c r="D1346" s="7" t="s">
        <v>21</v>
      </c>
      <c r="E1346" s="7" t="s">
        <v>74</v>
      </c>
      <c r="F1346" s="7" t="s">
        <v>75</v>
      </c>
      <c r="G1346" s="7" t="s">
        <v>64</v>
      </c>
      <c r="H1346" s="7" t="s">
        <v>73</v>
      </c>
      <c r="I1346" s="7" t="s">
        <v>76</v>
      </c>
      <c r="J1346" s="7">
        <v>302</v>
      </c>
      <c r="K1346" s="7">
        <v>431.86</v>
      </c>
    </row>
    <row r="1347" spans="1:11" ht="18" customHeight="1" x14ac:dyDescent="0.25">
      <c r="A1347" s="7" t="s">
        <v>19</v>
      </c>
      <c r="B1347" s="7">
        <v>2021</v>
      </c>
      <c r="C1347" s="7" t="s">
        <v>65</v>
      </c>
      <c r="D1347" s="7" t="s">
        <v>21</v>
      </c>
      <c r="E1347" s="7" t="s">
        <v>74</v>
      </c>
      <c r="F1347" s="7" t="s">
        <v>75</v>
      </c>
      <c r="G1347" s="7" t="s">
        <v>64</v>
      </c>
      <c r="H1347" s="7" t="s">
        <v>73</v>
      </c>
      <c r="I1347" s="7" t="s">
        <v>76</v>
      </c>
      <c r="J1347" s="7">
        <v>344</v>
      </c>
      <c r="K1347" s="7">
        <v>491.91999999999996</v>
      </c>
    </row>
    <row r="1348" spans="1:11" ht="18" customHeight="1" x14ac:dyDescent="0.25">
      <c r="A1348" s="7" t="s">
        <v>53</v>
      </c>
      <c r="B1348" s="7">
        <v>2021</v>
      </c>
      <c r="C1348" s="7" t="s">
        <v>65</v>
      </c>
      <c r="D1348" s="7" t="s">
        <v>21</v>
      </c>
      <c r="E1348" s="7" t="s">
        <v>74</v>
      </c>
      <c r="F1348" s="7" t="s">
        <v>75</v>
      </c>
      <c r="G1348" s="7" t="s">
        <v>64</v>
      </c>
      <c r="H1348" s="7" t="s">
        <v>73</v>
      </c>
      <c r="I1348" s="7" t="s">
        <v>76</v>
      </c>
      <c r="J1348" s="7">
        <v>298</v>
      </c>
      <c r="K1348" s="7">
        <v>426.14</v>
      </c>
    </row>
    <row r="1349" spans="1:11" ht="18" customHeight="1" x14ac:dyDescent="0.25">
      <c r="A1349" s="7" t="s">
        <v>34</v>
      </c>
      <c r="B1349" s="7">
        <v>2021</v>
      </c>
      <c r="C1349" s="7" t="s">
        <v>65</v>
      </c>
      <c r="D1349" s="7" t="s">
        <v>21</v>
      </c>
      <c r="E1349" s="7" t="s">
        <v>74</v>
      </c>
      <c r="F1349" s="7" t="s">
        <v>75</v>
      </c>
      <c r="G1349" s="7" t="s">
        <v>64</v>
      </c>
      <c r="H1349" s="7" t="s">
        <v>73</v>
      </c>
      <c r="I1349" s="7" t="s">
        <v>76</v>
      </c>
      <c r="J1349" s="7">
        <v>346</v>
      </c>
      <c r="K1349" s="7">
        <v>494.78</v>
      </c>
    </row>
    <row r="1350" spans="1:11" ht="18" customHeight="1" x14ac:dyDescent="0.25">
      <c r="A1350" s="7" t="s">
        <v>19</v>
      </c>
      <c r="B1350" s="7">
        <v>2021</v>
      </c>
      <c r="C1350" s="7" t="s">
        <v>65</v>
      </c>
      <c r="D1350" s="7" t="s">
        <v>21</v>
      </c>
      <c r="E1350" s="7" t="s">
        <v>74</v>
      </c>
      <c r="F1350" s="7" t="s">
        <v>75</v>
      </c>
      <c r="G1350" s="7" t="s">
        <v>64</v>
      </c>
      <c r="H1350" s="7" t="s">
        <v>73</v>
      </c>
      <c r="I1350" s="7" t="s">
        <v>76</v>
      </c>
      <c r="J1350" s="7">
        <v>830</v>
      </c>
      <c r="K1350" s="7">
        <v>1186.9000000000001</v>
      </c>
    </row>
    <row r="1351" spans="1:11" ht="18" customHeight="1" x14ac:dyDescent="0.25">
      <c r="A1351" s="7" t="s">
        <v>34</v>
      </c>
      <c r="B1351" s="7">
        <v>2021</v>
      </c>
      <c r="C1351" s="7" t="s">
        <v>65</v>
      </c>
      <c r="D1351" s="7" t="s">
        <v>21</v>
      </c>
      <c r="E1351" s="7" t="s">
        <v>74</v>
      </c>
      <c r="F1351" s="7" t="s">
        <v>75</v>
      </c>
      <c r="G1351" s="7" t="s">
        <v>64</v>
      </c>
      <c r="H1351" s="7" t="s">
        <v>73</v>
      </c>
      <c r="I1351" s="7" t="s">
        <v>76</v>
      </c>
      <c r="J1351" s="7">
        <v>863</v>
      </c>
      <c r="K1351" s="7">
        <v>1234.0899999999999</v>
      </c>
    </row>
    <row r="1352" spans="1:11" ht="18" customHeight="1" x14ac:dyDescent="0.25">
      <c r="A1352" s="7" t="s">
        <v>42</v>
      </c>
      <c r="B1352" s="7">
        <v>2021</v>
      </c>
      <c r="C1352" s="7" t="s">
        <v>65</v>
      </c>
      <c r="D1352" s="7" t="s">
        <v>21</v>
      </c>
      <c r="E1352" s="7" t="s">
        <v>74</v>
      </c>
      <c r="F1352" s="7" t="s">
        <v>75</v>
      </c>
      <c r="G1352" s="7" t="s">
        <v>64</v>
      </c>
      <c r="H1352" s="7" t="s">
        <v>73</v>
      </c>
      <c r="I1352" s="7" t="s">
        <v>76</v>
      </c>
      <c r="J1352" s="7">
        <v>921</v>
      </c>
      <c r="K1352" s="7">
        <v>1317.03</v>
      </c>
    </row>
    <row r="1353" spans="1:11" ht="18" customHeight="1" x14ac:dyDescent="0.25">
      <c r="A1353" s="7" t="s">
        <v>34</v>
      </c>
      <c r="B1353" s="7">
        <v>2021</v>
      </c>
      <c r="C1353" s="7" t="s">
        <v>65</v>
      </c>
      <c r="D1353" s="7" t="s">
        <v>21</v>
      </c>
      <c r="E1353" s="7" t="s">
        <v>74</v>
      </c>
      <c r="F1353" s="7" t="s">
        <v>75</v>
      </c>
      <c r="G1353" s="7" t="s">
        <v>64</v>
      </c>
      <c r="H1353" s="7" t="s">
        <v>73</v>
      </c>
      <c r="I1353" s="7" t="s">
        <v>76</v>
      </c>
      <c r="J1353" s="7">
        <v>922</v>
      </c>
      <c r="K1353" s="7">
        <v>1318.46</v>
      </c>
    </row>
    <row r="1354" spans="1:11" ht="18" customHeight="1" x14ac:dyDescent="0.25">
      <c r="A1354" s="7" t="s">
        <v>34</v>
      </c>
      <c r="B1354" s="7">
        <v>2021</v>
      </c>
      <c r="C1354" s="7" t="s">
        <v>65</v>
      </c>
      <c r="D1354" s="7" t="s">
        <v>21</v>
      </c>
      <c r="E1354" s="7" t="s">
        <v>74</v>
      </c>
      <c r="F1354" s="7" t="s">
        <v>75</v>
      </c>
      <c r="G1354" s="7" t="s">
        <v>64</v>
      </c>
      <c r="H1354" s="7" t="s">
        <v>73</v>
      </c>
      <c r="I1354" s="7" t="s">
        <v>76</v>
      </c>
      <c r="J1354" s="7">
        <v>345</v>
      </c>
      <c r="K1354" s="7">
        <v>493.35</v>
      </c>
    </row>
    <row r="1355" spans="1:11" ht="18" customHeight="1" x14ac:dyDescent="0.25">
      <c r="A1355" s="7" t="s">
        <v>42</v>
      </c>
      <c r="B1355" s="7">
        <v>2021</v>
      </c>
      <c r="C1355" s="7" t="s">
        <v>65</v>
      </c>
      <c r="D1355" s="7" t="s">
        <v>21</v>
      </c>
      <c r="E1355" s="7" t="s">
        <v>74</v>
      </c>
      <c r="F1355" s="7" t="s">
        <v>75</v>
      </c>
      <c r="G1355" s="7" t="s">
        <v>64</v>
      </c>
      <c r="H1355" s="7" t="s">
        <v>73</v>
      </c>
      <c r="I1355" s="7" t="s">
        <v>76</v>
      </c>
      <c r="J1355" s="7">
        <v>249</v>
      </c>
      <c r="K1355" s="7">
        <v>356.07</v>
      </c>
    </row>
    <row r="1356" spans="1:11" ht="18" customHeight="1" x14ac:dyDescent="0.25">
      <c r="A1356" s="7" t="s">
        <v>19</v>
      </c>
      <c r="B1356" s="7">
        <v>2021</v>
      </c>
      <c r="C1356" s="7" t="s">
        <v>65</v>
      </c>
      <c r="D1356" s="7" t="s">
        <v>21</v>
      </c>
      <c r="E1356" s="7" t="s">
        <v>74</v>
      </c>
      <c r="F1356" s="7" t="s">
        <v>75</v>
      </c>
      <c r="G1356" s="7" t="s">
        <v>64</v>
      </c>
      <c r="H1356" s="7" t="s">
        <v>73</v>
      </c>
      <c r="I1356" s="7" t="s">
        <v>76</v>
      </c>
      <c r="J1356" s="7">
        <v>243</v>
      </c>
      <c r="K1356" s="7">
        <v>347.49</v>
      </c>
    </row>
    <row r="1357" spans="1:11" ht="18" customHeight="1" x14ac:dyDescent="0.25">
      <c r="A1357" s="7" t="s">
        <v>53</v>
      </c>
      <c r="B1357" s="7">
        <v>2021</v>
      </c>
      <c r="C1357" s="7" t="s">
        <v>65</v>
      </c>
      <c r="D1357" s="7" t="s">
        <v>21</v>
      </c>
      <c r="E1357" s="7" t="s">
        <v>74</v>
      </c>
      <c r="F1357" s="7" t="s">
        <v>75</v>
      </c>
      <c r="G1357" s="7" t="s">
        <v>64</v>
      </c>
      <c r="H1357" s="7" t="s">
        <v>73</v>
      </c>
      <c r="I1357" s="7" t="s">
        <v>76</v>
      </c>
      <c r="J1357" s="7">
        <v>237</v>
      </c>
      <c r="K1357" s="7">
        <v>338.90999999999997</v>
      </c>
    </row>
    <row r="1358" spans="1:11" ht="18" customHeight="1" x14ac:dyDescent="0.25">
      <c r="A1358" s="7" t="s">
        <v>42</v>
      </c>
      <c r="B1358" s="7">
        <v>2021</v>
      </c>
      <c r="C1358" s="7" t="s">
        <v>65</v>
      </c>
      <c r="D1358" s="7" t="s">
        <v>21</v>
      </c>
      <c r="E1358" s="7" t="s">
        <v>74</v>
      </c>
      <c r="F1358" s="7" t="s">
        <v>75</v>
      </c>
      <c r="G1358" s="7" t="s">
        <v>64</v>
      </c>
      <c r="H1358" s="7" t="s">
        <v>73</v>
      </c>
      <c r="I1358" s="7" t="s">
        <v>76</v>
      </c>
      <c r="J1358" s="7">
        <v>301</v>
      </c>
      <c r="K1358" s="7">
        <v>430.43</v>
      </c>
    </row>
    <row r="1359" spans="1:11" ht="18" customHeight="1" x14ac:dyDescent="0.25">
      <c r="A1359" s="7" t="s">
        <v>42</v>
      </c>
      <c r="B1359" s="7">
        <v>2021</v>
      </c>
      <c r="C1359" s="7" t="s">
        <v>65</v>
      </c>
      <c r="D1359" s="7" t="s">
        <v>21</v>
      </c>
      <c r="E1359" s="7" t="s">
        <v>74</v>
      </c>
      <c r="F1359" s="7" t="s">
        <v>75</v>
      </c>
      <c r="G1359" s="7" t="s">
        <v>64</v>
      </c>
      <c r="H1359" s="7" t="s">
        <v>73</v>
      </c>
      <c r="I1359" s="7" t="s">
        <v>76</v>
      </c>
      <c r="J1359" s="7">
        <v>349</v>
      </c>
      <c r="K1359" s="7">
        <v>499.07</v>
      </c>
    </row>
    <row r="1360" spans="1:11" ht="18" customHeight="1" x14ac:dyDescent="0.25">
      <c r="A1360" s="7" t="s">
        <v>34</v>
      </c>
      <c r="B1360" s="7">
        <v>2021</v>
      </c>
      <c r="C1360" s="7" t="s">
        <v>65</v>
      </c>
      <c r="D1360" s="7" t="s">
        <v>21</v>
      </c>
      <c r="E1360" s="7" t="s">
        <v>74</v>
      </c>
      <c r="F1360" s="7" t="s">
        <v>75</v>
      </c>
      <c r="G1360" s="7" t="s">
        <v>64</v>
      </c>
      <c r="H1360" s="7" t="s">
        <v>73</v>
      </c>
      <c r="I1360" s="7" t="s">
        <v>76</v>
      </c>
      <c r="J1360" s="7">
        <v>839</v>
      </c>
      <c r="K1360" s="7">
        <v>1199.77</v>
      </c>
    </row>
    <row r="1361" spans="1:11" ht="18" customHeight="1" x14ac:dyDescent="0.25">
      <c r="A1361" s="7" t="s">
        <v>34</v>
      </c>
      <c r="B1361" s="7">
        <v>2021</v>
      </c>
      <c r="C1361" s="7" t="s">
        <v>65</v>
      </c>
      <c r="D1361" s="7" t="s">
        <v>21</v>
      </c>
      <c r="E1361" s="7" t="s">
        <v>74</v>
      </c>
      <c r="F1361" s="7" t="s">
        <v>75</v>
      </c>
      <c r="G1361" s="7" t="s">
        <v>64</v>
      </c>
      <c r="H1361" s="7" t="s">
        <v>73</v>
      </c>
      <c r="I1361" s="7" t="s">
        <v>76</v>
      </c>
      <c r="J1361" s="7">
        <v>872</v>
      </c>
      <c r="K1361" s="7">
        <v>1246.96</v>
      </c>
    </row>
    <row r="1362" spans="1:11" ht="18" customHeight="1" x14ac:dyDescent="0.25">
      <c r="A1362" s="7" t="s">
        <v>19</v>
      </c>
      <c r="B1362" s="7">
        <v>2021</v>
      </c>
      <c r="C1362" s="7" t="s">
        <v>59</v>
      </c>
      <c r="D1362" s="7" t="s">
        <v>21</v>
      </c>
      <c r="E1362" s="7" t="s">
        <v>74</v>
      </c>
      <c r="F1362" s="7" t="s">
        <v>75</v>
      </c>
      <c r="G1362" s="7" t="s">
        <v>64</v>
      </c>
      <c r="H1362" s="7" t="s">
        <v>73</v>
      </c>
      <c r="I1362" s="7" t="s">
        <v>76</v>
      </c>
      <c r="J1362" s="7">
        <v>152</v>
      </c>
      <c r="K1362" s="7">
        <v>217.36</v>
      </c>
    </row>
    <row r="1363" spans="1:11" ht="18" customHeight="1" x14ac:dyDescent="0.25">
      <c r="A1363" s="7" t="s">
        <v>19</v>
      </c>
      <c r="B1363" s="7">
        <v>2021</v>
      </c>
      <c r="C1363" s="7" t="s">
        <v>59</v>
      </c>
      <c r="D1363" s="7" t="s">
        <v>21</v>
      </c>
      <c r="E1363" s="7" t="s">
        <v>74</v>
      </c>
      <c r="F1363" s="7" t="s">
        <v>75</v>
      </c>
      <c r="G1363" s="7" t="s">
        <v>64</v>
      </c>
      <c r="H1363" s="7" t="s">
        <v>73</v>
      </c>
      <c r="I1363" s="7" t="s">
        <v>76</v>
      </c>
      <c r="J1363" s="7">
        <v>326</v>
      </c>
      <c r="K1363" s="7">
        <v>466.18</v>
      </c>
    </row>
    <row r="1364" spans="1:11" ht="18" customHeight="1" x14ac:dyDescent="0.25">
      <c r="A1364" s="7" t="s">
        <v>34</v>
      </c>
      <c r="B1364" s="7">
        <v>2021</v>
      </c>
      <c r="C1364" s="7" t="s">
        <v>59</v>
      </c>
      <c r="D1364" s="7" t="s">
        <v>21</v>
      </c>
      <c r="E1364" s="7" t="s">
        <v>74</v>
      </c>
      <c r="F1364" s="7" t="s">
        <v>75</v>
      </c>
      <c r="G1364" s="7" t="s">
        <v>64</v>
      </c>
      <c r="H1364" s="7" t="s">
        <v>73</v>
      </c>
      <c r="I1364" s="7" t="s">
        <v>76</v>
      </c>
      <c r="J1364" s="7">
        <v>352</v>
      </c>
      <c r="K1364" s="7">
        <v>503.36</v>
      </c>
    </row>
    <row r="1365" spans="1:11" ht="18" customHeight="1" x14ac:dyDescent="0.25">
      <c r="A1365" s="7" t="s">
        <v>42</v>
      </c>
      <c r="B1365" s="7">
        <v>2021</v>
      </c>
      <c r="C1365" s="7" t="s">
        <v>59</v>
      </c>
      <c r="D1365" s="7" t="s">
        <v>21</v>
      </c>
      <c r="E1365" s="7" t="s">
        <v>74</v>
      </c>
      <c r="F1365" s="7" t="s">
        <v>75</v>
      </c>
      <c r="G1365" s="7" t="s">
        <v>64</v>
      </c>
      <c r="H1365" s="7" t="s">
        <v>73</v>
      </c>
      <c r="I1365" s="7" t="s">
        <v>76</v>
      </c>
      <c r="J1365" s="7">
        <v>154</v>
      </c>
      <c r="K1365" s="7">
        <v>220.22</v>
      </c>
    </row>
    <row r="1366" spans="1:11" ht="18" customHeight="1" x14ac:dyDescent="0.25">
      <c r="A1366" s="7" t="s">
        <v>19</v>
      </c>
      <c r="B1366" s="7">
        <v>2021</v>
      </c>
      <c r="C1366" s="7" t="s">
        <v>59</v>
      </c>
      <c r="D1366" s="7" t="s">
        <v>21</v>
      </c>
      <c r="E1366" s="7" t="s">
        <v>74</v>
      </c>
      <c r="F1366" s="7" t="s">
        <v>75</v>
      </c>
      <c r="G1366" s="7" t="s">
        <v>64</v>
      </c>
      <c r="H1366" s="7" t="s">
        <v>73</v>
      </c>
      <c r="I1366" s="7" t="s">
        <v>76</v>
      </c>
      <c r="J1366" s="7">
        <v>328</v>
      </c>
      <c r="K1366" s="7">
        <v>469.03999999999996</v>
      </c>
    </row>
    <row r="1367" spans="1:11" ht="18" customHeight="1" x14ac:dyDescent="0.25">
      <c r="A1367" s="7" t="s">
        <v>34</v>
      </c>
      <c r="B1367" s="7">
        <v>2021</v>
      </c>
      <c r="C1367" s="7" t="s">
        <v>59</v>
      </c>
      <c r="D1367" s="7" t="s">
        <v>21</v>
      </c>
      <c r="E1367" s="7" t="s">
        <v>74</v>
      </c>
      <c r="F1367" s="7" t="s">
        <v>75</v>
      </c>
      <c r="G1367" s="7" t="s">
        <v>64</v>
      </c>
      <c r="H1367" s="7" t="s">
        <v>73</v>
      </c>
      <c r="I1367" s="7" t="s">
        <v>76</v>
      </c>
      <c r="J1367" s="7">
        <v>821</v>
      </c>
      <c r="K1367" s="7">
        <v>1174.03</v>
      </c>
    </row>
    <row r="1368" spans="1:11" ht="18" customHeight="1" x14ac:dyDescent="0.25">
      <c r="A1368" s="7" t="s">
        <v>42</v>
      </c>
      <c r="B1368" s="7">
        <v>2021</v>
      </c>
      <c r="C1368" s="7" t="s">
        <v>59</v>
      </c>
      <c r="D1368" s="7" t="s">
        <v>21</v>
      </c>
      <c r="E1368" s="7" t="s">
        <v>74</v>
      </c>
      <c r="F1368" s="7" t="s">
        <v>75</v>
      </c>
      <c r="G1368" s="7" t="s">
        <v>64</v>
      </c>
      <c r="H1368" s="7" t="s">
        <v>73</v>
      </c>
      <c r="I1368" s="7" t="s">
        <v>76</v>
      </c>
      <c r="J1368" s="7">
        <v>854</v>
      </c>
      <c r="K1368" s="7">
        <v>1221.22</v>
      </c>
    </row>
    <row r="1369" spans="1:11" ht="18" customHeight="1" x14ac:dyDescent="0.25">
      <c r="A1369" s="7" t="s">
        <v>53</v>
      </c>
      <c r="B1369" s="7">
        <v>2021</v>
      </c>
      <c r="C1369" s="7" t="s">
        <v>59</v>
      </c>
      <c r="D1369" s="7" t="s">
        <v>21</v>
      </c>
      <c r="E1369" s="7" t="s">
        <v>74</v>
      </c>
      <c r="F1369" s="7" t="s">
        <v>75</v>
      </c>
      <c r="G1369" s="7" t="s">
        <v>64</v>
      </c>
      <c r="H1369" s="7" t="s">
        <v>73</v>
      </c>
      <c r="I1369" s="7" t="s">
        <v>76</v>
      </c>
      <c r="J1369" s="7">
        <v>908</v>
      </c>
      <c r="K1369" s="7">
        <v>1298.44</v>
      </c>
    </row>
    <row r="1370" spans="1:11" ht="18" customHeight="1" x14ac:dyDescent="0.25">
      <c r="A1370" s="7" t="s">
        <v>53</v>
      </c>
      <c r="B1370" s="7">
        <v>2021</v>
      </c>
      <c r="C1370" s="7" t="s">
        <v>59</v>
      </c>
      <c r="D1370" s="7" t="s">
        <v>21</v>
      </c>
      <c r="E1370" s="7" t="s">
        <v>74</v>
      </c>
      <c r="F1370" s="7" t="s">
        <v>75</v>
      </c>
      <c r="G1370" s="7" t="s">
        <v>64</v>
      </c>
      <c r="H1370" s="7" t="s">
        <v>73</v>
      </c>
      <c r="I1370" s="7" t="s">
        <v>76</v>
      </c>
      <c r="J1370" s="7">
        <v>861</v>
      </c>
      <c r="K1370" s="7">
        <v>526.24</v>
      </c>
    </row>
    <row r="1371" spans="1:11" ht="18" customHeight="1" x14ac:dyDescent="0.25">
      <c r="A1371" s="7" t="s">
        <v>19</v>
      </c>
      <c r="B1371" s="7">
        <v>2021</v>
      </c>
      <c r="C1371" s="7" t="s">
        <v>59</v>
      </c>
      <c r="D1371" s="7" t="s">
        <v>21</v>
      </c>
      <c r="E1371" s="7" t="s">
        <v>74</v>
      </c>
      <c r="F1371" s="7" t="s">
        <v>75</v>
      </c>
      <c r="G1371" s="7" t="s">
        <v>64</v>
      </c>
      <c r="H1371" s="7" t="s">
        <v>73</v>
      </c>
      <c r="I1371" s="7" t="s">
        <v>76</v>
      </c>
      <c r="J1371" s="7">
        <v>153</v>
      </c>
      <c r="K1371" s="7">
        <v>526.24</v>
      </c>
    </row>
    <row r="1372" spans="1:11" ht="18" customHeight="1" x14ac:dyDescent="0.25">
      <c r="A1372" s="7" t="s">
        <v>34</v>
      </c>
      <c r="B1372" s="7">
        <v>2021</v>
      </c>
      <c r="C1372" s="7" t="s">
        <v>59</v>
      </c>
      <c r="D1372" s="7" t="s">
        <v>21</v>
      </c>
      <c r="E1372" s="7" t="s">
        <v>74</v>
      </c>
      <c r="F1372" s="7" t="s">
        <v>75</v>
      </c>
      <c r="G1372" s="7" t="s">
        <v>64</v>
      </c>
      <c r="H1372" s="7" t="s">
        <v>73</v>
      </c>
      <c r="I1372" s="7" t="s">
        <v>76</v>
      </c>
      <c r="J1372" s="7">
        <v>327</v>
      </c>
      <c r="K1372" s="7">
        <v>467.61</v>
      </c>
    </row>
    <row r="1373" spans="1:11" ht="18" customHeight="1" x14ac:dyDescent="0.25">
      <c r="A1373" s="7" t="s">
        <v>19</v>
      </c>
      <c r="B1373" s="7">
        <v>2021</v>
      </c>
      <c r="C1373" s="7" t="s">
        <v>59</v>
      </c>
      <c r="D1373" s="7" t="s">
        <v>21</v>
      </c>
      <c r="E1373" s="7" t="s">
        <v>74</v>
      </c>
      <c r="F1373" s="7" t="s">
        <v>75</v>
      </c>
      <c r="G1373" s="7" t="s">
        <v>64</v>
      </c>
      <c r="H1373" s="7" t="s">
        <v>73</v>
      </c>
      <c r="I1373" s="7" t="s">
        <v>76</v>
      </c>
      <c r="J1373" s="7">
        <v>355</v>
      </c>
      <c r="K1373" s="7">
        <v>507.65</v>
      </c>
    </row>
    <row r="1374" spans="1:11" ht="18" customHeight="1" x14ac:dyDescent="0.25">
      <c r="A1374" s="7" t="s">
        <v>34</v>
      </c>
      <c r="B1374" s="7">
        <v>2021</v>
      </c>
      <c r="C1374" s="7" t="s">
        <v>59</v>
      </c>
      <c r="D1374" s="7" t="s">
        <v>21</v>
      </c>
      <c r="E1374" s="7" t="s">
        <v>74</v>
      </c>
      <c r="F1374" s="7" t="s">
        <v>75</v>
      </c>
      <c r="G1374" s="7" t="s">
        <v>64</v>
      </c>
      <c r="H1374" s="7" t="s">
        <v>25</v>
      </c>
      <c r="I1374" s="7" t="s">
        <v>76</v>
      </c>
      <c r="J1374" s="7">
        <v>325</v>
      </c>
      <c r="K1374" s="7">
        <v>464.75</v>
      </c>
    </row>
    <row r="1375" spans="1:11" ht="18" customHeight="1" x14ac:dyDescent="0.25">
      <c r="A1375" s="7" t="s">
        <v>19</v>
      </c>
      <c r="B1375" s="7">
        <v>2021</v>
      </c>
      <c r="C1375" s="7" t="s">
        <v>59</v>
      </c>
      <c r="D1375" s="7" t="s">
        <v>21</v>
      </c>
      <c r="E1375" s="7" t="s">
        <v>74</v>
      </c>
      <c r="F1375" s="7" t="s">
        <v>75</v>
      </c>
      <c r="G1375" s="7" t="s">
        <v>64</v>
      </c>
      <c r="H1375" s="7" t="s">
        <v>25</v>
      </c>
      <c r="I1375" s="7" t="s">
        <v>76</v>
      </c>
      <c r="J1375" s="7">
        <v>830</v>
      </c>
      <c r="K1375" s="7">
        <v>1186.9000000000001</v>
      </c>
    </row>
    <row r="1376" spans="1:11" ht="18" customHeight="1" x14ac:dyDescent="0.25">
      <c r="A1376" s="7" t="s">
        <v>42</v>
      </c>
      <c r="B1376" s="7">
        <v>2021</v>
      </c>
      <c r="C1376" s="7" t="s">
        <v>59</v>
      </c>
      <c r="D1376" s="7" t="s">
        <v>21</v>
      </c>
      <c r="E1376" s="7" t="s">
        <v>74</v>
      </c>
      <c r="F1376" s="7" t="s">
        <v>75</v>
      </c>
      <c r="G1376" s="7" t="s">
        <v>64</v>
      </c>
      <c r="H1376" s="7" t="s">
        <v>25</v>
      </c>
      <c r="I1376" s="7" t="s">
        <v>76</v>
      </c>
      <c r="J1376" s="7">
        <v>863</v>
      </c>
      <c r="K1376" s="7">
        <v>1234.0899999999999</v>
      </c>
    </row>
    <row r="1377" spans="1:11" ht="18" customHeight="1" x14ac:dyDescent="0.25">
      <c r="A1377" s="7" t="s">
        <v>34</v>
      </c>
      <c r="B1377" s="7">
        <v>2021</v>
      </c>
      <c r="C1377" s="7" t="s">
        <v>27</v>
      </c>
      <c r="D1377" s="7" t="s">
        <v>21</v>
      </c>
      <c r="E1377" s="7" t="s">
        <v>74</v>
      </c>
      <c r="F1377" s="7" t="s">
        <v>75</v>
      </c>
      <c r="G1377" s="7" t="s">
        <v>64</v>
      </c>
      <c r="H1377" s="7" t="s">
        <v>25</v>
      </c>
      <c r="I1377" s="7" t="s">
        <v>76</v>
      </c>
      <c r="J1377" s="7">
        <v>356</v>
      </c>
      <c r="K1377" s="7">
        <v>509.08</v>
      </c>
    </row>
    <row r="1378" spans="1:11" ht="18" customHeight="1" x14ac:dyDescent="0.25">
      <c r="A1378" s="7" t="s">
        <v>19</v>
      </c>
      <c r="B1378" s="7">
        <v>2021</v>
      </c>
      <c r="C1378" s="7" t="s">
        <v>27</v>
      </c>
      <c r="D1378" s="7" t="s">
        <v>21</v>
      </c>
      <c r="E1378" s="7" t="s">
        <v>74</v>
      </c>
      <c r="F1378" s="7" t="s">
        <v>75</v>
      </c>
      <c r="G1378" s="7" t="s">
        <v>64</v>
      </c>
      <c r="H1378" s="7" t="s">
        <v>25</v>
      </c>
      <c r="I1378" s="7" t="s">
        <v>76</v>
      </c>
      <c r="J1378" s="7">
        <v>158</v>
      </c>
      <c r="K1378" s="7">
        <v>225.94</v>
      </c>
    </row>
    <row r="1379" spans="1:11" ht="18" customHeight="1" x14ac:dyDescent="0.25">
      <c r="A1379" s="7" t="s">
        <v>34</v>
      </c>
      <c r="B1379" s="7">
        <v>2021</v>
      </c>
      <c r="C1379" s="7" t="s">
        <v>27</v>
      </c>
      <c r="D1379" s="7" t="s">
        <v>21</v>
      </c>
      <c r="E1379" s="7" t="s">
        <v>74</v>
      </c>
      <c r="F1379" s="7" t="s">
        <v>75</v>
      </c>
      <c r="G1379" s="7" t="s">
        <v>64</v>
      </c>
      <c r="H1379" s="7" t="s">
        <v>25</v>
      </c>
      <c r="I1379" s="7" t="s">
        <v>76</v>
      </c>
      <c r="J1379" s="7">
        <v>332</v>
      </c>
      <c r="K1379" s="7">
        <v>474.76</v>
      </c>
    </row>
    <row r="1380" spans="1:11" ht="18" customHeight="1" x14ac:dyDescent="0.25">
      <c r="A1380" s="7" t="s">
        <v>34</v>
      </c>
      <c r="B1380" s="7">
        <v>2021</v>
      </c>
      <c r="C1380" s="7" t="s">
        <v>27</v>
      </c>
      <c r="D1380" s="7" t="s">
        <v>21</v>
      </c>
      <c r="E1380" s="7" t="s">
        <v>74</v>
      </c>
      <c r="F1380" s="7" t="s">
        <v>75</v>
      </c>
      <c r="G1380" s="7" t="s">
        <v>64</v>
      </c>
      <c r="H1380" s="7" t="s">
        <v>25</v>
      </c>
      <c r="I1380" s="7" t="s">
        <v>76</v>
      </c>
      <c r="J1380" s="7">
        <v>358</v>
      </c>
      <c r="K1380" s="7">
        <v>511.94</v>
      </c>
    </row>
    <row r="1381" spans="1:11" ht="18" customHeight="1" x14ac:dyDescent="0.25">
      <c r="A1381" s="7" t="s">
        <v>34</v>
      </c>
      <c r="B1381" s="7">
        <v>2021</v>
      </c>
      <c r="C1381" s="7" t="s">
        <v>27</v>
      </c>
      <c r="D1381" s="7" t="s">
        <v>21</v>
      </c>
      <c r="E1381" s="7" t="s">
        <v>74</v>
      </c>
      <c r="F1381" s="7" t="s">
        <v>75</v>
      </c>
      <c r="G1381" s="7" t="s">
        <v>64</v>
      </c>
      <c r="H1381" s="7" t="s">
        <v>25</v>
      </c>
      <c r="I1381" s="7" t="s">
        <v>76</v>
      </c>
      <c r="J1381" s="7">
        <v>160</v>
      </c>
      <c r="K1381" s="7">
        <v>228.8</v>
      </c>
    </row>
    <row r="1382" spans="1:11" ht="18" customHeight="1" x14ac:dyDescent="0.25">
      <c r="A1382" s="7" t="s">
        <v>53</v>
      </c>
      <c r="B1382" s="7">
        <v>2021</v>
      </c>
      <c r="C1382" s="7" t="s">
        <v>27</v>
      </c>
      <c r="D1382" s="7" t="s">
        <v>21</v>
      </c>
      <c r="E1382" s="7" t="s">
        <v>74</v>
      </c>
      <c r="F1382" s="7" t="s">
        <v>75</v>
      </c>
      <c r="G1382" s="7" t="s">
        <v>64</v>
      </c>
      <c r="H1382" s="7" t="s">
        <v>25</v>
      </c>
      <c r="I1382" s="7" t="s">
        <v>76</v>
      </c>
      <c r="J1382" s="7">
        <v>334</v>
      </c>
      <c r="K1382" s="7">
        <v>477.62</v>
      </c>
    </row>
    <row r="1383" spans="1:11" ht="18" customHeight="1" x14ac:dyDescent="0.25">
      <c r="A1383" s="7" t="s">
        <v>34</v>
      </c>
      <c r="B1383" s="7">
        <v>2021</v>
      </c>
      <c r="C1383" s="7" t="s">
        <v>27</v>
      </c>
      <c r="D1383" s="7" t="s">
        <v>21</v>
      </c>
      <c r="E1383" s="7" t="s">
        <v>74</v>
      </c>
      <c r="F1383" s="7" t="s">
        <v>75</v>
      </c>
      <c r="G1383" s="7" t="s">
        <v>64</v>
      </c>
      <c r="H1383" s="7" t="s">
        <v>25</v>
      </c>
      <c r="I1383" s="7" t="s">
        <v>76</v>
      </c>
      <c r="J1383" s="7">
        <v>820</v>
      </c>
      <c r="K1383" s="7">
        <v>1172.5999999999999</v>
      </c>
    </row>
    <row r="1384" spans="1:11" ht="18" customHeight="1" x14ac:dyDescent="0.25">
      <c r="A1384" s="7" t="s">
        <v>34</v>
      </c>
      <c r="B1384" s="7">
        <v>2021</v>
      </c>
      <c r="C1384" s="7" t="s">
        <v>27</v>
      </c>
      <c r="D1384" s="7" t="s">
        <v>21</v>
      </c>
      <c r="E1384" s="7" t="s">
        <v>74</v>
      </c>
      <c r="F1384" s="7" t="s">
        <v>75</v>
      </c>
      <c r="G1384" s="7" t="s">
        <v>64</v>
      </c>
      <c r="H1384" s="7" t="s">
        <v>25</v>
      </c>
      <c r="I1384" s="7" t="s">
        <v>76</v>
      </c>
      <c r="J1384" s="7">
        <v>907</v>
      </c>
      <c r="K1384" s="7">
        <v>1297.01</v>
      </c>
    </row>
    <row r="1385" spans="1:11" ht="18" customHeight="1" x14ac:dyDescent="0.25">
      <c r="A1385" s="7" t="s">
        <v>34</v>
      </c>
      <c r="B1385" s="7">
        <v>2021</v>
      </c>
      <c r="C1385" s="7" t="s">
        <v>27</v>
      </c>
      <c r="D1385" s="7" t="s">
        <v>21</v>
      </c>
      <c r="E1385" s="7" t="s">
        <v>74</v>
      </c>
      <c r="F1385" s="7" t="s">
        <v>75</v>
      </c>
      <c r="G1385" s="7" t="s">
        <v>64</v>
      </c>
      <c r="H1385" s="7" t="s">
        <v>25</v>
      </c>
      <c r="I1385" s="7" t="s">
        <v>76</v>
      </c>
      <c r="J1385" s="7">
        <v>860</v>
      </c>
      <c r="K1385" s="7">
        <v>526.24</v>
      </c>
    </row>
    <row r="1386" spans="1:11" ht="18" customHeight="1" x14ac:dyDescent="0.25">
      <c r="A1386" s="7" t="s">
        <v>19</v>
      </c>
      <c r="B1386" s="7">
        <v>2021</v>
      </c>
      <c r="C1386" s="7" t="s">
        <v>27</v>
      </c>
      <c r="D1386" s="7" t="s">
        <v>21</v>
      </c>
      <c r="E1386" s="7" t="s">
        <v>74</v>
      </c>
      <c r="F1386" s="7" t="s">
        <v>75</v>
      </c>
      <c r="G1386" s="7" t="s">
        <v>64</v>
      </c>
      <c r="H1386" s="7" t="s">
        <v>25</v>
      </c>
      <c r="I1386" s="7" t="s">
        <v>76</v>
      </c>
      <c r="J1386" s="7">
        <v>159</v>
      </c>
      <c r="K1386" s="7">
        <v>526.24</v>
      </c>
    </row>
    <row r="1387" spans="1:11" ht="18" customHeight="1" x14ac:dyDescent="0.25">
      <c r="A1387" s="7" t="s">
        <v>34</v>
      </c>
      <c r="B1387" s="7">
        <v>2021</v>
      </c>
      <c r="C1387" s="7" t="s">
        <v>27</v>
      </c>
      <c r="D1387" s="7" t="s">
        <v>21</v>
      </c>
      <c r="E1387" s="7" t="s">
        <v>74</v>
      </c>
      <c r="F1387" s="7" t="s">
        <v>75</v>
      </c>
      <c r="G1387" s="7" t="s">
        <v>64</v>
      </c>
      <c r="H1387" s="7" t="s">
        <v>25</v>
      </c>
      <c r="I1387" s="7" t="s">
        <v>76</v>
      </c>
      <c r="J1387" s="7">
        <v>333</v>
      </c>
      <c r="K1387" s="7">
        <v>476.19</v>
      </c>
    </row>
    <row r="1388" spans="1:11" ht="18" customHeight="1" x14ac:dyDescent="0.25">
      <c r="A1388" s="7" t="s">
        <v>53</v>
      </c>
      <c r="B1388" s="7">
        <v>2021</v>
      </c>
      <c r="C1388" s="7" t="s">
        <v>27</v>
      </c>
      <c r="D1388" s="7" t="s">
        <v>21</v>
      </c>
      <c r="E1388" s="7" t="s">
        <v>74</v>
      </c>
      <c r="F1388" s="7" t="s">
        <v>75</v>
      </c>
      <c r="G1388" s="7" t="s">
        <v>64</v>
      </c>
      <c r="H1388" s="7" t="s">
        <v>25</v>
      </c>
      <c r="I1388" s="7" t="s">
        <v>76</v>
      </c>
      <c r="J1388" s="7">
        <v>361</v>
      </c>
      <c r="K1388" s="7">
        <v>516.23</v>
      </c>
    </row>
    <row r="1389" spans="1:11" ht="18" customHeight="1" x14ac:dyDescent="0.25">
      <c r="A1389" s="7" t="s">
        <v>42</v>
      </c>
      <c r="B1389" s="7">
        <v>2021</v>
      </c>
      <c r="C1389" s="7" t="s">
        <v>27</v>
      </c>
      <c r="D1389" s="7" t="s">
        <v>21</v>
      </c>
      <c r="E1389" s="7" t="s">
        <v>74</v>
      </c>
      <c r="F1389" s="7" t="s">
        <v>75</v>
      </c>
      <c r="G1389" s="7" t="s">
        <v>64</v>
      </c>
      <c r="H1389" s="7" t="s">
        <v>25</v>
      </c>
      <c r="I1389" s="7" t="s">
        <v>76</v>
      </c>
      <c r="J1389" s="7">
        <v>157</v>
      </c>
      <c r="K1389" s="7">
        <v>224.51</v>
      </c>
    </row>
    <row r="1390" spans="1:11" ht="18" customHeight="1" x14ac:dyDescent="0.25">
      <c r="A1390" s="7" t="s">
        <v>34</v>
      </c>
      <c r="B1390" s="7">
        <v>2021</v>
      </c>
      <c r="C1390" s="7" t="s">
        <v>27</v>
      </c>
      <c r="D1390" s="7" t="s">
        <v>21</v>
      </c>
      <c r="E1390" s="7" t="s">
        <v>74</v>
      </c>
      <c r="F1390" s="7" t="s">
        <v>75</v>
      </c>
      <c r="G1390" s="7" t="s">
        <v>64</v>
      </c>
      <c r="H1390" s="7" t="s">
        <v>25</v>
      </c>
      <c r="I1390" s="7" t="s">
        <v>76</v>
      </c>
      <c r="J1390" s="7">
        <v>331</v>
      </c>
      <c r="K1390" s="7">
        <v>473.33</v>
      </c>
    </row>
    <row r="1391" spans="1:11" ht="18" customHeight="1" x14ac:dyDescent="0.25">
      <c r="A1391" s="7" t="s">
        <v>34</v>
      </c>
      <c r="B1391" s="7">
        <v>2021</v>
      </c>
      <c r="C1391" s="7" t="s">
        <v>27</v>
      </c>
      <c r="D1391" s="7" t="s">
        <v>21</v>
      </c>
      <c r="E1391" s="7" t="s">
        <v>74</v>
      </c>
      <c r="F1391" s="7" t="s">
        <v>75</v>
      </c>
      <c r="G1391" s="7" t="s">
        <v>64</v>
      </c>
      <c r="H1391" s="7" t="s">
        <v>25</v>
      </c>
      <c r="I1391" s="7" t="s">
        <v>76</v>
      </c>
      <c r="J1391" s="7">
        <v>829</v>
      </c>
      <c r="K1391" s="7">
        <v>1185.47</v>
      </c>
    </row>
    <row r="1392" spans="1:11" ht="18" customHeight="1" x14ac:dyDescent="0.25">
      <c r="A1392" s="7" t="s">
        <v>34</v>
      </c>
      <c r="B1392" s="7">
        <v>2021</v>
      </c>
      <c r="C1392" s="7" t="s">
        <v>27</v>
      </c>
      <c r="D1392" s="7" t="s">
        <v>21</v>
      </c>
      <c r="E1392" s="7" t="s">
        <v>74</v>
      </c>
      <c r="F1392" s="7" t="s">
        <v>75</v>
      </c>
      <c r="G1392" s="7" t="s">
        <v>64</v>
      </c>
      <c r="H1392" s="7" t="s">
        <v>25</v>
      </c>
      <c r="I1392" s="7" t="s">
        <v>76</v>
      </c>
      <c r="J1392" s="7">
        <v>862</v>
      </c>
      <c r="K1392" s="7">
        <v>1232.6599999999999</v>
      </c>
    </row>
    <row r="1393" spans="1:11" ht="18" customHeight="1" x14ac:dyDescent="0.25">
      <c r="A1393" s="7" t="s">
        <v>34</v>
      </c>
      <c r="B1393" s="7">
        <v>2021</v>
      </c>
      <c r="C1393" s="7" t="s">
        <v>27</v>
      </c>
      <c r="D1393" s="7" t="s">
        <v>21</v>
      </c>
      <c r="E1393" s="7" t="s">
        <v>74</v>
      </c>
      <c r="F1393" s="7" t="s">
        <v>75</v>
      </c>
      <c r="G1393" s="7" t="s">
        <v>64</v>
      </c>
      <c r="H1393" s="7" t="s">
        <v>25</v>
      </c>
      <c r="I1393" s="7" t="s">
        <v>76</v>
      </c>
      <c r="J1393" s="7">
        <v>329</v>
      </c>
      <c r="K1393" s="7">
        <v>470.47</v>
      </c>
    </row>
    <row r="1394" spans="1:11" ht="18" customHeight="1" x14ac:dyDescent="0.25">
      <c r="A1394" s="7" t="s">
        <v>34</v>
      </c>
      <c r="B1394" s="7">
        <v>2021</v>
      </c>
      <c r="C1394" s="7" t="s">
        <v>68</v>
      </c>
      <c r="D1394" s="7" t="s">
        <v>21</v>
      </c>
      <c r="E1394" s="7" t="s">
        <v>74</v>
      </c>
      <c r="F1394" s="7" t="s">
        <v>75</v>
      </c>
      <c r="G1394" s="7" t="s">
        <v>64</v>
      </c>
      <c r="H1394" s="7" t="s">
        <v>25</v>
      </c>
      <c r="I1394" s="7" t="s">
        <v>76</v>
      </c>
      <c r="J1394" s="7">
        <v>326</v>
      </c>
      <c r="K1394" s="7">
        <v>466.18</v>
      </c>
    </row>
    <row r="1395" spans="1:11" ht="18" customHeight="1" x14ac:dyDescent="0.25">
      <c r="A1395" s="7" t="s">
        <v>34</v>
      </c>
      <c r="B1395" s="7">
        <v>2021</v>
      </c>
      <c r="C1395" s="7" t="s">
        <v>68</v>
      </c>
      <c r="D1395" s="7" t="s">
        <v>21</v>
      </c>
      <c r="E1395" s="7" t="s">
        <v>74</v>
      </c>
      <c r="F1395" s="7" t="s">
        <v>75</v>
      </c>
      <c r="G1395" s="7" t="s">
        <v>64</v>
      </c>
      <c r="H1395" s="7" t="s">
        <v>25</v>
      </c>
      <c r="I1395" s="7" t="s">
        <v>76</v>
      </c>
      <c r="J1395" s="7">
        <v>128</v>
      </c>
      <c r="K1395" s="7">
        <v>183.04</v>
      </c>
    </row>
    <row r="1396" spans="1:11" ht="18" customHeight="1" x14ac:dyDescent="0.25">
      <c r="A1396" s="7" t="s">
        <v>19</v>
      </c>
      <c r="B1396" s="7">
        <v>2021</v>
      </c>
      <c r="C1396" s="7" t="s">
        <v>68</v>
      </c>
      <c r="D1396" s="7" t="s">
        <v>21</v>
      </c>
      <c r="E1396" s="7" t="s">
        <v>74</v>
      </c>
      <c r="F1396" s="7" t="s">
        <v>75</v>
      </c>
      <c r="G1396" s="7" t="s">
        <v>64</v>
      </c>
      <c r="H1396" s="7" t="s">
        <v>25</v>
      </c>
      <c r="I1396" s="7" t="s">
        <v>76</v>
      </c>
      <c r="J1396" s="7">
        <v>302</v>
      </c>
      <c r="K1396" s="7">
        <v>431.86</v>
      </c>
    </row>
    <row r="1397" spans="1:11" ht="18" customHeight="1" x14ac:dyDescent="0.25">
      <c r="A1397" s="7" t="s">
        <v>34</v>
      </c>
      <c r="B1397" s="7">
        <v>2021</v>
      </c>
      <c r="C1397" s="7" t="s">
        <v>68</v>
      </c>
      <c r="D1397" s="7" t="s">
        <v>21</v>
      </c>
      <c r="E1397" s="7" t="s">
        <v>74</v>
      </c>
      <c r="F1397" s="7" t="s">
        <v>75</v>
      </c>
      <c r="G1397" s="7" t="s">
        <v>64</v>
      </c>
      <c r="H1397" s="7" t="s">
        <v>25</v>
      </c>
      <c r="I1397" s="7" t="s">
        <v>76</v>
      </c>
      <c r="J1397" s="7">
        <v>328</v>
      </c>
      <c r="K1397" s="7">
        <v>469.03999999999996</v>
      </c>
    </row>
    <row r="1398" spans="1:11" ht="18" customHeight="1" x14ac:dyDescent="0.25">
      <c r="A1398" s="7" t="s">
        <v>42</v>
      </c>
      <c r="B1398" s="7">
        <v>2021</v>
      </c>
      <c r="C1398" s="7" t="s">
        <v>68</v>
      </c>
      <c r="D1398" s="7" t="s">
        <v>21</v>
      </c>
      <c r="E1398" s="7" t="s">
        <v>74</v>
      </c>
      <c r="F1398" s="7" t="s">
        <v>75</v>
      </c>
      <c r="G1398" s="7" t="s">
        <v>64</v>
      </c>
      <c r="H1398" s="7" t="s">
        <v>25</v>
      </c>
      <c r="I1398" s="7" t="s">
        <v>76</v>
      </c>
      <c r="J1398" s="7">
        <v>298</v>
      </c>
      <c r="K1398" s="7">
        <v>426.14</v>
      </c>
    </row>
    <row r="1399" spans="1:11" ht="18" customHeight="1" x14ac:dyDescent="0.25">
      <c r="A1399" s="7" t="s">
        <v>34</v>
      </c>
      <c r="B1399" s="7">
        <v>2021</v>
      </c>
      <c r="C1399" s="7" t="s">
        <v>68</v>
      </c>
      <c r="D1399" s="7" t="s">
        <v>21</v>
      </c>
      <c r="E1399" s="7" t="s">
        <v>74</v>
      </c>
      <c r="F1399" s="7" t="s">
        <v>75</v>
      </c>
      <c r="G1399" s="7" t="s">
        <v>64</v>
      </c>
      <c r="H1399" s="7" t="s">
        <v>25</v>
      </c>
      <c r="I1399" s="7" t="s">
        <v>76</v>
      </c>
      <c r="J1399" s="7">
        <v>826</v>
      </c>
      <c r="K1399" s="7">
        <v>1181.18</v>
      </c>
    </row>
    <row r="1400" spans="1:11" ht="18" customHeight="1" x14ac:dyDescent="0.25">
      <c r="A1400" s="7" t="s">
        <v>42</v>
      </c>
      <c r="B1400" s="7">
        <v>2021</v>
      </c>
      <c r="C1400" s="7" t="s">
        <v>68</v>
      </c>
      <c r="D1400" s="7" t="s">
        <v>21</v>
      </c>
      <c r="E1400" s="7" t="s">
        <v>74</v>
      </c>
      <c r="F1400" s="7" t="s">
        <v>75</v>
      </c>
      <c r="G1400" s="7" t="s">
        <v>64</v>
      </c>
      <c r="H1400" s="7" t="s">
        <v>25</v>
      </c>
      <c r="I1400" s="7" t="s">
        <v>76</v>
      </c>
      <c r="J1400" s="7">
        <v>859</v>
      </c>
      <c r="K1400" s="7">
        <v>1228.3699999999999</v>
      </c>
    </row>
    <row r="1401" spans="1:11" ht="18" customHeight="1" x14ac:dyDescent="0.25">
      <c r="A1401" s="7" t="s">
        <v>42</v>
      </c>
      <c r="B1401" s="7">
        <v>2021</v>
      </c>
      <c r="C1401" s="7" t="s">
        <v>68</v>
      </c>
      <c r="D1401" s="7" t="s">
        <v>21</v>
      </c>
      <c r="E1401" s="7" t="s">
        <v>74</v>
      </c>
      <c r="F1401" s="7" t="s">
        <v>75</v>
      </c>
      <c r="G1401" s="7" t="s">
        <v>64</v>
      </c>
      <c r="H1401" s="7" t="s">
        <v>25</v>
      </c>
      <c r="I1401" s="7" t="s">
        <v>76</v>
      </c>
      <c r="J1401" s="7">
        <v>912</v>
      </c>
      <c r="K1401" s="7">
        <v>1304.1599999999999</v>
      </c>
    </row>
    <row r="1402" spans="1:11" ht="18" customHeight="1" x14ac:dyDescent="0.25">
      <c r="A1402" s="7" t="s">
        <v>42</v>
      </c>
      <c r="B1402" s="7">
        <v>2021</v>
      </c>
      <c r="C1402" s="7" t="s">
        <v>68</v>
      </c>
      <c r="D1402" s="7" t="s">
        <v>21</v>
      </c>
      <c r="E1402" s="7" t="s">
        <v>74</v>
      </c>
      <c r="F1402" s="7" t="s">
        <v>75</v>
      </c>
      <c r="G1402" s="7" t="s">
        <v>64</v>
      </c>
      <c r="H1402" s="7" t="s">
        <v>25</v>
      </c>
      <c r="I1402" s="7" t="s">
        <v>76</v>
      </c>
      <c r="J1402" s="7">
        <v>865</v>
      </c>
      <c r="K1402" s="7">
        <v>526.24</v>
      </c>
    </row>
    <row r="1403" spans="1:11" ht="18" customHeight="1" x14ac:dyDescent="0.25">
      <c r="A1403" s="7" t="s">
        <v>53</v>
      </c>
      <c r="B1403" s="7">
        <v>2021</v>
      </c>
      <c r="C1403" s="7" t="s">
        <v>68</v>
      </c>
      <c r="D1403" s="7" t="s">
        <v>21</v>
      </c>
      <c r="E1403" s="7" t="s">
        <v>74</v>
      </c>
      <c r="F1403" s="7" t="s">
        <v>75</v>
      </c>
      <c r="G1403" s="7" t="s">
        <v>64</v>
      </c>
      <c r="H1403" s="7" t="s">
        <v>25</v>
      </c>
      <c r="I1403" s="7" t="s">
        <v>76</v>
      </c>
      <c r="J1403" s="7">
        <v>129</v>
      </c>
      <c r="K1403" s="7">
        <v>526.24</v>
      </c>
    </row>
    <row r="1404" spans="1:11" ht="18" customHeight="1" x14ac:dyDescent="0.25">
      <c r="A1404" s="7" t="s">
        <v>34</v>
      </c>
      <c r="B1404" s="7">
        <v>2021</v>
      </c>
      <c r="C1404" s="7" t="s">
        <v>68</v>
      </c>
      <c r="D1404" s="7" t="s">
        <v>21</v>
      </c>
      <c r="E1404" s="7" t="s">
        <v>74</v>
      </c>
      <c r="F1404" s="7" t="s">
        <v>75</v>
      </c>
      <c r="G1404" s="7" t="s">
        <v>64</v>
      </c>
      <c r="H1404" s="7" t="s">
        <v>25</v>
      </c>
      <c r="I1404" s="7" t="s">
        <v>76</v>
      </c>
      <c r="J1404" s="7">
        <v>297</v>
      </c>
      <c r="K1404" s="7">
        <v>424.71</v>
      </c>
    </row>
    <row r="1405" spans="1:11" ht="18" customHeight="1" x14ac:dyDescent="0.25">
      <c r="A1405" s="7" t="s">
        <v>42</v>
      </c>
      <c r="B1405" s="7">
        <v>2021</v>
      </c>
      <c r="C1405" s="7" t="s">
        <v>68</v>
      </c>
      <c r="D1405" s="7" t="s">
        <v>21</v>
      </c>
      <c r="E1405" s="7" t="s">
        <v>74</v>
      </c>
      <c r="F1405" s="7" t="s">
        <v>75</v>
      </c>
      <c r="G1405" s="7" t="s">
        <v>64</v>
      </c>
      <c r="H1405" s="7" t="s">
        <v>25</v>
      </c>
      <c r="I1405" s="7" t="s">
        <v>76</v>
      </c>
      <c r="J1405" s="7">
        <v>325</v>
      </c>
      <c r="K1405" s="7">
        <v>464.75</v>
      </c>
    </row>
    <row r="1406" spans="1:11" ht="18" customHeight="1" x14ac:dyDescent="0.25">
      <c r="A1406" s="7" t="s">
        <v>19</v>
      </c>
      <c r="B1406" s="7">
        <v>2021</v>
      </c>
      <c r="C1406" s="7" t="s">
        <v>68</v>
      </c>
      <c r="D1406" s="7" t="s">
        <v>21</v>
      </c>
      <c r="E1406" s="7" t="s">
        <v>74</v>
      </c>
      <c r="F1406" s="7" t="s">
        <v>75</v>
      </c>
      <c r="G1406" s="7" t="s">
        <v>64</v>
      </c>
      <c r="H1406" s="7" t="s">
        <v>25</v>
      </c>
      <c r="I1406" s="7" t="s">
        <v>76</v>
      </c>
      <c r="J1406" s="7">
        <v>127</v>
      </c>
      <c r="K1406" s="7">
        <v>181.61</v>
      </c>
    </row>
    <row r="1407" spans="1:11" ht="18" customHeight="1" x14ac:dyDescent="0.25">
      <c r="A1407" s="7" t="s">
        <v>34</v>
      </c>
      <c r="B1407" s="7">
        <v>2021</v>
      </c>
      <c r="C1407" s="7" t="s">
        <v>68</v>
      </c>
      <c r="D1407" s="7" t="s">
        <v>21</v>
      </c>
      <c r="E1407" s="7" t="s">
        <v>74</v>
      </c>
      <c r="F1407" s="7" t="s">
        <v>75</v>
      </c>
      <c r="G1407" s="7" t="s">
        <v>64</v>
      </c>
      <c r="H1407" s="7" t="s">
        <v>25</v>
      </c>
      <c r="I1407" s="7" t="s">
        <v>76</v>
      </c>
      <c r="J1407" s="7">
        <v>301</v>
      </c>
      <c r="K1407" s="7">
        <v>430.43</v>
      </c>
    </row>
    <row r="1408" spans="1:11" ht="18" customHeight="1" x14ac:dyDescent="0.25">
      <c r="A1408" s="7" t="s">
        <v>19</v>
      </c>
      <c r="B1408" s="7">
        <v>2021</v>
      </c>
      <c r="C1408" s="7" t="s">
        <v>68</v>
      </c>
      <c r="D1408" s="7" t="s">
        <v>21</v>
      </c>
      <c r="E1408" s="7" t="s">
        <v>74</v>
      </c>
      <c r="F1408" s="7" t="s">
        <v>75</v>
      </c>
      <c r="G1408" s="7" t="s">
        <v>64</v>
      </c>
      <c r="H1408" s="7" t="s">
        <v>25</v>
      </c>
      <c r="I1408" s="7" t="s">
        <v>76</v>
      </c>
      <c r="J1408" s="7">
        <v>834</v>
      </c>
      <c r="K1408" s="7">
        <v>1192.6199999999999</v>
      </c>
    </row>
    <row r="1409" spans="1:11" ht="18" customHeight="1" x14ac:dyDescent="0.25">
      <c r="A1409" s="7" t="s">
        <v>34</v>
      </c>
      <c r="B1409" s="7">
        <v>2021</v>
      </c>
      <c r="C1409" s="7" t="s">
        <v>68</v>
      </c>
      <c r="D1409" s="7" t="s">
        <v>21</v>
      </c>
      <c r="E1409" s="7" t="s">
        <v>74</v>
      </c>
      <c r="F1409" s="7" t="s">
        <v>75</v>
      </c>
      <c r="G1409" s="7" t="s">
        <v>64</v>
      </c>
      <c r="H1409" s="7" t="s">
        <v>25</v>
      </c>
      <c r="I1409" s="7" t="s">
        <v>76</v>
      </c>
      <c r="J1409" s="7">
        <v>868</v>
      </c>
      <c r="K1409" s="7">
        <v>1241.24</v>
      </c>
    </row>
    <row r="1410" spans="1:11" ht="18" customHeight="1" x14ac:dyDescent="0.25">
      <c r="A1410" s="7" t="s">
        <v>34</v>
      </c>
      <c r="B1410" s="7">
        <v>2021</v>
      </c>
      <c r="C1410" s="7" t="s">
        <v>68</v>
      </c>
      <c r="D1410" s="7" t="s">
        <v>21</v>
      </c>
      <c r="E1410" s="7" t="s">
        <v>74</v>
      </c>
      <c r="F1410" s="7" t="s">
        <v>75</v>
      </c>
      <c r="G1410" s="7" t="s">
        <v>64</v>
      </c>
      <c r="H1410" s="7" t="s">
        <v>25</v>
      </c>
      <c r="I1410" s="7" t="s">
        <v>76</v>
      </c>
      <c r="J1410" s="7">
        <v>299</v>
      </c>
      <c r="K1410" s="7">
        <v>427.57</v>
      </c>
    </row>
    <row r="1411" spans="1:11" ht="18" customHeight="1" x14ac:dyDescent="0.25">
      <c r="A1411" s="7" t="s">
        <v>61</v>
      </c>
      <c r="B1411" s="7">
        <v>2021</v>
      </c>
      <c r="C1411" s="7" t="s">
        <v>67</v>
      </c>
      <c r="D1411" s="7" t="s">
        <v>21</v>
      </c>
      <c r="E1411" s="7" t="s">
        <v>74</v>
      </c>
      <c r="F1411" s="7" t="s">
        <v>75</v>
      </c>
      <c r="G1411" s="7" t="s">
        <v>64</v>
      </c>
      <c r="H1411" s="7" t="s">
        <v>25</v>
      </c>
      <c r="I1411" s="7" t="s">
        <v>76</v>
      </c>
      <c r="J1411" s="7">
        <v>332</v>
      </c>
      <c r="K1411" s="7">
        <v>474.76</v>
      </c>
    </row>
    <row r="1412" spans="1:11" ht="18" customHeight="1" x14ac:dyDescent="0.25">
      <c r="A1412" s="7" t="s">
        <v>19</v>
      </c>
      <c r="B1412" s="7">
        <v>2021</v>
      </c>
      <c r="C1412" s="7" t="s">
        <v>67</v>
      </c>
      <c r="D1412" s="7" t="s">
        <v>21</v>
      </c>
      <c r="E1412" s="7" t="s">
        <v>74</v>
      </c>
      <c r="F1412" s="7" t="s">
        <v>75</v>
      </c>
      <c r="G1412" s="7" t="s">
        <v>64</v>
      </c>
      <c r="H1412" s="7" t="s">
        <v>25</v>
      </c>
      <c r="I1412" s="7" t="s">
        <v>76</v>
      </c>
      <c r="J1412" s="7">
        <v>134</v>
      </c>
      <c r="K1412" s="7">
        <v>191.62</v>
      </c>
    </row>
    <row r="1413" spans="1:11" ht="18" customHeight="1" x14ac:dyDescent="0.25">
      <c r="A1413" s="7" t="s">
        <v>53</v>
      </c>
      <c r="B1413" s="7">
        <v>2021</v>
      </c>
      <c r="C1413" s="7" t="s">
        <v>67</v>
      </c>
      <c r="D1413" s="7" t="s">
        <v>21</v>
      </c>
      <c r="E1413" s="7" t="s">
        <v>74</v>
      </c>
      <c r="F1413" s="7" t="s">
        <v>75</v>
      </c>
      <c r="G1413" s="7" t="s">
        <v>64</v>
      </c>
      <c r="H1413" s="7" t="s">
        <v>25</v>
      </c>
      <c r="I1413" s="7" t="s">
        <v>76</v>
      </c>
      <c r="J1413" s="7">
        <v>334</v>
      </c>
      <c r="K1413" s="7">
        <v>477.62</v>
      </c>
    </row>
    <row r="1414" spans="1:11" ht="18" customHeight="1" x14ac:dyDescent="0.25">
      <c r="A1414" s="7" t="s">
        <v>19</v>
      </c>
      <c r="B1414" s="7">
        <v>2021</v>
      </c>
      <c r="C1414" s="7" t="s">
        <v>67</v>
      </c>
      <c r="D1414" s="7" t="s">
        <v>21</v>
      </c>
      <c r="E1414" s="7" t="s">
        <v>74</v>
      </c>
      <c r="F1414" s="7" t="s">
        <v>75</v>
      </c>
      <c r="G1414" s="7" t="s">
        <v>64</v>
      </c>
      <c r="H1414" s="7" t="s">
        <v>25</v>
      </c>
      <c r="I1414" s="7" t="s">
        <v>76</v>
      </c>
      <c r="J1414" s="7">
        <v>130</v>
      </c>
      <c r="K1414" s="7">
        <v>185.9</v>
      </c>
    </row>
    <row r="1415" spans="1:11" ht="18" customHeight="1" x14ac:dyDescent="0.25">
      <c r="A1415" s="7" t="s">
        <v>34</v>
      </c>
      <c r="B1415" s="7">
        <v>2021</v>
      </c>
      <c r="C1415" s="7" t="s">
        <v>67</v>
      </c>
      <c r="D1415" s="7" t="s">
        <v>21</v>
      </c>
      <c r="E1415" s="7" t="s">
        <v>74</v>
      </c>
      <c r="F1415" s="7" t="s">
        <v>75</v>
      </c>
      <c r="G1415" s="7" t="s">
        <v>64</v>
      </c>
      <c r="H1415" s="7" t="s">
        <v>25</v>
      </c>
      <c r="I1415" s="7" t="s">
        <v>76</v>
      </c>
      <c r="J1415" s="7">
        <v>304</v>
      </c>
      <c r="K1415" s="7">
        <v>434.72</v>
      </c>
    </row>
    <row r="1416" spans="1:11" ht="18" customHeight="1" x14ac:dyDescent="0.25">
      <c r="A1416" s="7" t="s">
        <v>42</v>
      </c>
      <c r="B1416" s="7">
        <v>2021</v>
      </c>
      <c r="C1416" s="7" t="s">
        <v>67</v>
      </c>
      <c r="D1416" s="7" t="s">
        <v>21</v>
      </c>
      <c r="E1416" s="7" t="s">
        <v>74</v>
      </c>
      <c r="F1416" s="7" t="s">
        <v>75</v>
      </c>
      <c r="G1416" s="7" t="s">
        <v>64</v>
      </c>
      <c r="H1416" s="7" t="s">
        <v>25</v>
      </c>
      <c r="I1416" s="7" t="s">
        <v>76</v>
      </c>
      <c r="J1416" s="7">
        <v>825</v>
      </c>
      <c r="K1416" s="7">
        <v>1179.75</v>
      </c>
    </row>
    <row r="1417" spans="1:11" ht="18" customHeight="1" x14ac:dyDescent="0.25">
      <c r="A1417" s="7" t="s">
        <v>34</v>
      </c>
      <c r="B1417" s="7">
        <v>2021</v>
      </c>
      <c r="C1417" s="7" t="s">
        <v>67</v>
      </c>
      <c r="D1417" s="7" t="s">
        <v>21</v>
      </c>
      <c r="E1417" s="7" t="s">
        <v>74</v>
      </c>
      <c r="F1417" s="7" t="s">
        <v>75</v>
      </c>
      <c r="G1417" s="7" t="s">
        <v>64</v>
      </c>
      <c r="H1417" s="7" t="s">
        <v>25</v>
      </c>
      <c r="I1417" s="7" t="s">
        <v>76</v>
      </c>
      <c r="J1417" s="7">
        <v>858</v>
      </c>
      <c r="K1417" s="7">
        <v>1226.94</v>
      </c>
    </row>
    <row r="1418" spans="1:11" ht="18" customHeight="1" x14ac:dyDescent="0.25">
      <c r="A1418" s="7" t="s">
        <v>19</v>
      </c>
      <c r="B1418" s="7">
        <v>2021</v>
      </c>
      <c r="C1418" s="7" t="s">
        <v>67</v>
      </c>
      <c r="D1418" s="7" t="s">
        <v>21</v>
      </c>
      <c r="E1418" s="7" t="s">
        <v>74</v>
      </c>
      <c r="F1418" s="7" t="s">
        <v>75</v>
      </c>
      <c r="G1418" s="7" t="s">
        <v>64</v>
      </c>
      <c r="H1418" s="7" t="s">
        <v>25</v>
      </c>
      <c r="I1418" s="7" t="s">
        <v>76</v>
      </c>
      <c r="J1418" s="7">
        <v>911</v>
      </c>
      <c r="K1418" s="7">
        <v>1302.73</v>
      </c>
    </row>
    <row r="1419" spans="1:11" ht="18" customHeight="1" x14ac:dyDescent="0.25">
      <c r="A1419" s="7" t="s">
        <v>19</v>
      </c>
      <c r="B1419" s="7">
        <v>2021</v>
      </c>
      <c r="C1419" s="7" t="s">
        <v>67</v>
      </c>
      <c r="D1419" s="7" t="s">
        <v>21</v>
      </c>
      <c r="E1419" s="7" t="s">
        <v>74</v>
      </c>
      <c r="F1419" s="7" t="s">
        <v>75</v>
      </c>
      <c r="G1419" s="7" t="s">
        <v>64</v>
      </c>
      <c r="H1419" s="7" t="s">
        <v>25</v>
      </c>
      <c r="I1419" s="7" t="s">
        <v>76</v>
      </c>
      <c r="J1419" s="7">
        <v>864</v>
      </c>
      <c r="K1419" s="7">
        <v>526.24</v>
      </c>
    </row>
    <row r="1420" spans="1:11" ht="18" customHeight="1" x14ac:dyDescent="0.25">
      <c r="A1420" s="7" t="s">
        <v>34</v>
      </c>
      <c r="B1420" s="7">
        <v>2021</v>
      </c>
      <c r="C1420" s="7" t="s">
        <v>67</v>
      </c>
      <c r="D1420" s="7" t="s">
        <v>21</v>
      </c>
      <c r="E1420" s="7" t="s">
        <v>74</v>
      </c>
      <c r="F1420" s="7" t="s">
        <v>75</v>
      </c>
      <c r="G1420" s="7" t="s">
        <v>64</v>
      </c>
      <c r="H1420" s="7" t="s">
        <v>25</v>
      </c>
      <c r="I1420" s="7" t="s">
        <v>76</v>
      </c>
      <c r="J1420" s="7">
        <v>135</v>
      </c>
      <c r="K1420" s="7">
        <v>526.24</v>
      </c>
    </row>
    <row r="1421" spans="1:11" ht="18" customHeight="1" x14ac:dyDescent="0.25">
      <c r="A1421" s="7" t="s">
        <v>42</v>
      </c>
      <c r="B1421" s="7">
        <v>2021</v>
      </c>
      <c r="C1421" s="7" t="s">
        <v>67</v>
      </c>
      <c r="D1421" s="7" t="s">
        <v>21</v>
      </c>
      <c r="E1421" s="7" t="s">
        <v>74</v>
      </c>
      <c r="F1421" s="7" t="s">
        <v>75</v>
      </c>
      <c r="G1421" s="7" t="s">
        <v>64</v>
      </c>
      <c r="H1421" s="7" t="s">
        <v>25</v>
      </c>
      <c r="I1421" s="7" t="s">
        <v>76</v>
      </c>
      <c r="J1421" s="7">
        <v>303</v>
      </c>
      <c r="K1421" s="7">
        <v>433.28999999999996</v>
      </c>
    </row>
    <row r="1422" spans="1:11" ht="18" customHeight="1" x14ac:dyDescent="0.25">
      <c r="A1422" s="7" t="s">
        <v>34</v>
      </c>
      <c r="B1422" s="7">
        <v>2021</v>
      </c>
      <c r="C1422" s="7" t="s">
        <v>67</v>
      </c>
      <c r="D1422" s="7" t="s">
        <v>21</v>
      </c>
      <c r="E1422" s="7" t="s">
        <v>74</v>
      </c>
      <c r="F1422" s="7" t="s">
        <v>75</v>
      </c>
      <c r="G1422" s="7" t="s">
        <v>64</v>
      </c>
      <c r="H1422" s="7" t="s">
        <v>25</v>
      </c>
      <c r="I1422" s="7" t="s">
        <v>76</v>
      </c>
      <c r="J1422" s="7">
        <v>331</v>
      </c>
      <c r="K1422" s="7">
        <v>473.33</v>
      </c>
    </row>
    <row r="1423" spans="1:11" ht="18" customHeight="1" x14ac:dyDescent="0.25">
      <c r="A1423" s="7" t="s">
        <v>34</v>
      </c>
      <c r="B1423" s="7">
        <v>2021</v>
      </c>
      <c r="C1423" s="7" t="s">
        <v>67</v>
      </c>
      <c r="D1423" s="7" t="s">
        <v>21</v>
      </c>
      <c r="E1423" s="7" t="s">
        <v>74</v>
      </c>
      <c r="F1423" s="7" t="s">
        <v>75</v>
      </c>
      <c r="G1423" s="7" t="s">
        <v>64</v>
      </c>
      <c r="H1423" s="7" t="s">
        <v>25</v>
      </c>
      <c r="I1423" s="7" t="s">
        <v>76</v>
      </c>
      <c r="J1423" s="7">
        <v>133</v>
      </c>
      <c r="K1423" s="7">
        <v>190.19</v>
      </c>
    </row>
    <row r="1424" spans="1:11" ht="18" customHeight="1" x14ac:dyDescent="0.25">
      <c r="A1424" s="7" t="s">
        <v>53</v>
      </c>
      <c r="B1424" s="7">
        <v>2021</v>
      </c>
      <c r="C1424" s="7" t="s">
        <v>67</v>
      </c>
      <c r="D1424" s="7" t="s">
        <v>21</v>
      </c>
      <c r="E1424" s="7" t="s">
        <v>74</v>
      </c>
      <c r="F1424" s="7" t="s">
        <v>75</v>
      </c>
      <c r="G1424" s="7" t="s">
        <v>64</v>
      </c>
      <c r="H1424" s="7" t="s">
        <v>25</v>
      </c>
      <c r="I1424" s="7" t="s">
        <v>76</v>
      </c>
      <c r="J1424" s="7">
        <v>307</v>
      </c>
      <c r="K1424" s="7">
        <v>439.01</v>
      </c>
    </row>
    <row r="1425" spans="1:11" ht="18" customHeight="1" x14ac:dyDescent="0.25">
      <c r="A1425" s="7" t="s">
        <v>19</v>
      </c>
      <c r="B1425" s="7">
        <v>2021</v>
      </c>
      <c r="C1425" s="7" t="s">
        <v>67</v>
      </c>
      <c r="D1425" s="7" t="s">
        <v>21</v>
      </c>
      <c r="E1425" s="7" t="s">
        <v>74</v>
      </c>
      <c r="F1425" s="7" t="s">
        <v>75</v>
      </c>
      <c r="G1425" s="7" t="s">
        <v>64</v>
      </c>
      <c r="H1425" s="7" t="s">
        <v>25</v>
      </c>
      <c r="I1425" s="7" t="s">
        <v>76</v>
      </c>
      <c r="J1425" s="7">
        <v>867</v>
      </c>
      <c r="K1425" s="7">
        <v>1239.81</v>
      </c>
    </row>
    <row r="1426" spans="1:11" ht="18" customHeight="1" x14ac:dyDescent="0.25">
      <c r="A1426" s="7" t="s">
        <v>61</v>
      </c>
      <c r="B1426" s="7">
        <v>2021</v>
      </c>
      <c r="C1426" s="7" t="s">
        <v>67</v>
      </c>
      <c r="D1426" s="7" t="s">
        <v>21</v>
      </c>
      <c r="E1426" s="7" t="s">
        <v>74</v>
      </c>
      <c r="F1426" s="7" t="s">
        <v>75</v>
      </c>
      <c r="G1426" s="7" t="s">
        <v>64</v>
      </c>
      <c r="H1426" s="7" t="s">
        <v>25</v>
      </c>
      <c r="I1426" s="7" t="s">
        <v>76</v>
      </c>
      <c r="J1426" s="7">
        <v>305</v>
      </c>
      <c r="K1426" s="7">
        <v>436.15</v>
      </c>
    </row>
    <row r="1427" spans="1:11" ht="18" customHeight="1" x14ac:dyDescent="0.25">
      <c r="A1427" s="7" t="s">
        <v>61</v>
      </c>
      <c r="B1427" s="7">
        <v>2021</v>
      </c>
      <c r="C1427" s="7" t="s">
        <v>62</v>
      </c>
      <c r="D1427" s="7" t="s">
        <v>21</v>
      </c>
      <c r="E1427" s="7" t="s">
        <v>74</v>
      </c>
      <c r="F1427" s="7" t="s">
        <v>75</v>
      </c>
      <c r="G1427" s="7" t="s">
        <v>64</v>
      </c>
      <c r="H1427" s="7" t="s">
        <v>25</v>
      </c>
      <c r="I1427" s="7" t="s">
        <v>76</v>
      </c>
      <c r="J1427" s="7">
        <v>350</v>
      </c>
      <c r="K1427" s="7">
        <v>500.5</v>
      </c>
    </row>
    <row r="1428" spans="1:11" ht="18" customHeight="1" x14ac:dyDescent="0.25">
      <c r="A1428" s="7" t="s">
        <v>34</v>
      </c>
      <c r="B1428" s="7">
        <v>2021</v>
      </c>
      <c r="C1428" s="7" t="s">
        <v>62</v>
      </c>
      <c r="D1428" s="7" t="s">
        <v>21</v>
      </c>
      <c r="E1428" s="7" t="s">
        <v>74</v>
      </c>
      <c r="F1428" s="7" t="s">
        <v>75</v>
      </c>
      <c r="G1428" s="7" t="s">
        <v>64</v>
      </c>
      <c r="H1428" s="7" t="s">
        <v>25</v>
      </c>
      <c r="I1428" s="7" t="s">
        <v>76</v>
      </c>
      <c r="J1428" s="7">
        <v>146</v>
      </c>
      <c r="K1428" s="7">
        <v>208.78</v>
      </c>
    </row>
    <row r="1429" spans="1:11" ht="18" customHeight="1" x14ac:dyDescent="0.25">
      <c r="A1429" s="7" t="s">
        <v>42</v>
      </c>
      <c r="B1429" s="7">
        <v>2021</v>
      </c>
      <c r="C1429" s="7" t="s">
        <v>62</v>
      </c>
      <c r="D1429" s="7" t="s">
        <v>21</v>
      </c>
      <c r="E1429" s="7" t="s">
        <v>74</v>
      </c>
      <c r="F1429" s="7" t="s">
        <v>75</v>
      </c>
      <c r="G1429" s="7" t="s">
        <v>64</v>
      </c>
      <c r="H1429" s="7" t="s">
        <v>25</v>
      </c>
      <c r="I1429" s="7" t="s">
        <v>76</v>
      </c>
      <c r="J1429" s="7">
        <v>320</v>
      </c>
      <c r="K1429" s="7">
        <v>457.6</v>
      </c>
    </row>
    <row r="1430" spans="1:11" ht="18" customHeight="1" x14ac:dyDescent="0.25">
      <c r="A1430" s="7" t="s">
        <v>19</v>
      </c>
      <c r="B1430" s="7">
        <v>2021</v>
      </c>
      <c r="C1430" s="7" t="s">
        <v>62</v>
      </c>
      <c r="D1430" s="7" t="s">
        <v>21</v>
      </c>
      <c r="E1430" s="7" t="s">
        <v>74</v>
      </c>
      <c r="F1430" s="7" t="s">
        <v>75</v>
      </c>
      <c r="G1430" s="7" t="s">
        <v>64</v>
      </c>
      <c r="H1430" s="7" t="s">
        <v>25</v>
      </c>
      <c r="I1430" s="7" t="s">
        <v>76</v>
      </c>
      <c r="J1430" s="7">
        <v>346</v>
      </c>
      <c r="K1430" s="7">
        <v>494.78</v>
      </c>
    </row>
    <row r="1431" spans="1:11" ht="18" customHeight="1" x14ac:dyDescent="0.25">
      <c r="A1431" s="7" t="s">
        <v>19</v>
      </c>
      <c r="B1431" s="7">
        <v>2021</v>
      </c>
      <c r="C1431" s="7" t="s">
        <v>62</v>
      </c>
      <c r="D1431" s="7" t="s">
        <v>21</v>
      </c>
      <c r="E1431" s="7" t="s">
        <v>74</v>
      </c>
      <c r="F1431" s="7" t="s">
        <v>75</v>
      </c>
      <c r="G1431" s="7" t="s">
        <v>64</v>
      </c>
      <c r="H1431" s="7" t="s">
        <v>25</v>
      </c>
      <c r="I1431" s="7" t="s">
        <v>76</v>
      </c>
      <c r="J1431" s="7">
        <v>148</v>
      </c>
      <c r="K1431" s="7">
        <v>211.64</v>
      </c>
    </row>
    <row r="1432" spans="1:11" ht="18" customHeight="1" x14ac:dyDescent="0.25">
      <c r="A1432" s="7" t="s">
        <v>34</v>
      </c>
      <c r="B1432" s="7">
        <v>2021</v>
      </c>
      <c r="C1432" s="7" t="s">
        <v>62</v>
      </c>
      <c r="D1432" s="7" t="s">
        <v>21</v>
      </c>
      <c r="E1432" s="7" t="s">
        <v>74</v>
      </c>
      <c r="F1432" s="7" t="s">
        <v>75</v>
      </c>
      <c r="G1432" s="7" t="s">
        <v>64</v>
      </c>
      <c r="H1432" s="7" t="s">
        <v>25</v>
      </c>
      <c r="I1432" s="7" t="s">
        <v>76</v>
      </c>
      <c r="J1432" s="7">
        <v>322</v>
      </c>
      <c r="K1432" s="7">
        <v>460.46000000000004</v>
      </c>
    </row>
    <row r="1433" spans="1:11" ht="18" customHeight="1" x14ac:dyDescent="0.25">
      <c r="A1433" s="7" t="s">
        <v>34</v>
      </c>
      <c r="B1433" s="7">
        <v>2021</v>
      </c>
      <c r="C1433" s="7" t="s">
        <v>62</v>
      </c>
      <c r="D1433" s="7" t="s">
        <v>21</v>
      </c>
      <c r="E1433" s="7" t="s">
        <v>74</v>
      </c>
      <c r="F1433" s="7" t="s">
        <v>75</v>
      </c>
      <c r="G1433" s="7" t="s">
        <v>64</v>
      </c>
      <c r="H1433" s="7" t="s">
        <v>73</v>
      </c>
      <c r="I1433" s="7" t="s">
        <v>76</v>
      </c>
      <c r="J1433" s="7">
        <v>822</v>
      </c>
      <c r="K1433" s="7">
        <v>1175.46</v>
      </c>
    </row>
    <row r="1434" spans="1:11" ht="18" customHeight="1" x14ac:dyDescent="0.25">
      <c r="A1434" s="7" t="s">
        <v>34</v>
      </c>
      <c r="B1434" s="7">
        <v>2021</v>
      </c>
      <c r="C1434" s="7" t="s">
        <v>62</v>
      </c>
      <c r="D1434" s="7" t="s">
        <v>21</v>
      </c>
      <c r="E1434" s="7" t="s">
        <v>74</v>
      </c>
      <c r="F1434" s="7" t="s">
        <v>75</v>
      </c>
      <c r="G1434" s="7" t="s">
        <v>64</v>
      </c>
      <c r="H1434" s="7" t="s">
        <v>73</v>
      </c>
      <c r="I1434" s="7" t="s">
        <v>76</v>
      </c>
      <c r="J1434" s="7">
        <v>855</v>
      </c>
      <c r="K1434" s="7">
        <v>1222.6500000000001</v>
      </c>
    </row>
    <row r="1435" spans="1:11" ht="18" customHeight="1" x14ac:dyDescent="0.25">
      <c r="A1435" s="7" t="s">
        <v>53</v>
      </c>
      <c r="B1435" s="7">
        <v>2021</v>
      </c>
      <c r="C1435" s="7" t="s">
        <v>62</v>
      </c>
      <c r="D1435" s="7" t="s">
        <v>21</v>
      </c>
      <c r="E1435" s="7" t="s">
        <v>74</v>
      </c>
      <c r="F1435" s="7" t="s">
        <v>75</v>
      </c>
      <c r="G1435" s="7" t="s">
        <v>64</v>
      </c>
      <c r="H1435" s="7" t="s">
        <v>73</v>
      </c>
      <c r="I1435" s="7" t="s">
        <v>76</v>
      </c>
      <c r="J1435" s="7">
        <v>147</v>
      </c>
      <c r="K1435" s="7">
        <v>526.24</v>
      </c>
    </row>
    <row r="1436" spans="1:11" ht="18" customHeight="1" x14ac:dyDescent="0.25">
      <c r="A1436" s="7" t="s">
        <v>34</v>
      </c>
      <c r="B1436" s="7">
        <v>2021</v>
      </c>
      <c r="C1436" s="7" t="s">
        <v>62</v>
      </c>
      <c r="D1436" s="7" t="s">
        <v>21</v>
      </c>
      <c r="E1436" s="7" t="s">
        <v>74</v>
      </c>
      <c r="F1436" s="7" t="s">
        <v>75</v>
      </c>
      <c r="G1436" s="7" t="s">
        <v>64</v>
      </c>
      <c r="H1436" s="7" t="s">
        <v>73</v>
      </c>
      <c r="I1436" s="7" t="s">
        <v>76</v>
      </c>
      <c r="J1436" s="7">
        <v>321</v>
      </c>
      <c r="K1436" s="7">
        <v>459.03</v>
      </c>
    </row>
    <row r="1437" spans="1:11" ht="18" customHeight="1" x14ac:dyDescent="0.25">
      <c r="A1437" s="7" t="s">
        <v>34</v>
      </c>
      <c r="B1437" s="7">
        <v>2021</v>
      </c>
      <c r="C1437" s="7" t="s">
        <v>62</v>
      </c>
      <c r="D1437" s="7" t="s">
        <v>21</v>
      </c>
      <c r="E1437" s="7" t="s">
        <v>74</v>
      </c>
      <c r="F1437" s="7" t="s">
        <v>75</v>
      </c>
      <c r="G1437" s="7" t="s">
        <v>64</v>
      </c>
      <c r="H1437" s="7" t="s">
        <v>73</v>
      </c>
      <c r="I1437" s="7" t="s">
        <v>76</v>
      </c>
      <c r="J1437" s="7">
        <v>349</v>
      </c>
      <c r="K1437" s="7">
        <v>499.07</v>
      </c>
    </row>
    <row r="1438" spans="1:11" ht="18" customHeight="1" x14ac:dyDescent="0.25">
      <c r="A1438" s="7" t="s">
        <v>34</v>
      </c>
      <c r="B1438" s="7">
        <v>2021</v>
      </c>
      <c r="C1438" s="7" t="s">
        <v>62</v>
      </c>
      <c r="D1438" s="7" t="s">
        <v>21</v>
      </c>
      <c r="E1438" s="7" t="s">
        <v>74</v>
      </c>
      <c r="F1438" s="7" t="s">
        <v>75</v>
      </c>
      <c r="G1438" s="7" t="s">
        <v>64</v>
      </c>
      <c r="H1438" s="7" t="s">
        <v>73</v>
      </c>
      <c r="I1438" s="7" t="s">
        <v>76</v>
      </c>
      <c r="J1438" s="7">
        <v>151</v>
      </c>
      <c r="K1438" s="7">
        <v>215.93</v>
      </c>
    </row>
    <row r="1439" spans="1:11" ht="18" customHeight="1" x14ac:dyDescent="0.25">
      <c r="A1439" s="7" t="s">
        <v>19</v>
      </c>
      <c r="B1439" s="7">
        <v>2021</v>
      </c>
      <c r="C1439" s="7" t="s">
        <v>62</v>
      </c>
      <c r="D1439" s="7" t="s">
        <v>21</v>
      </c>
      <c r="E1439" s="7" t="s">
        <v>74</v>
      </c>
      <c r="F1439" s="7" t="s">
        <v>75</v>
      </c>
      <c r="G1439" s="7" t="s">
        <v>64</v>
      </c>
      <c r="H1439" s="7" t="s">
        <v>73</v>
      </c>
      <c r="I1439" s="7" t="s">
        <v>76</v>
      </c>
      <c r="J1439" s="7">
        <v>319</v>
      </c>
      <c r="K1439" s="7">
        <v>456.16999999999996</v>
      </c>
    </row>
    <row r="1440" spans="1:11" ht="18" customHeight="1" x14ac:dyDescent="0.25">
      <c r="A1440" s="7" t="s">
        <v>42</v>
      </c>
      <c r="B1440" s="7">
        <v>2021</v>
      </c>
      <c r="C1440" s="7" t="s">
        <v>62</v>
      </c>
      <c r="D1440" s="7" t="s">
        <v>21</v>
      </c>
      <c r="E1440" s="7" t="s">
        <v>74</v>
      </c>
      <c r="F1440" s="7" t="s">
        <v>75</v>
      </c>
      <c r="G1440" s="7" t="s">
        <v>64</v>
      </c>
      <c r="H1440" s="7" t="s">
        <v>73</v>
      </c>
      <c r="I1440" s="7" t="s">
        <v>76</v>
      </c>
      <c r="J1440" s="7">
        <v>831</v>
      </c>
      <c r="K1440" s="7">
        <v>1188.33</v>
      </c>
    </row>
    <row r="1441" spans="1:11" ht="18" customHeight="1" x14ac:dyDescent="0.25">
      <c r="A1441" s="7" t="s">
        <v>34</v>
      </c>
      <c r="B1441" s="7">
        <v>2021</v>
      </c>
      <c r="C1441" s="7" t="s">
        <v>62</v>
      </c>
      <c r="D1441" s="7" t="s">
        <v>21</v>
      </c>
      <c r="E1441" s="7" t="s">
        <v>74</v>
      </c>
      <c r="F1441" s="7" t="s">
        <v>75</v>
      </c>
      <c r="G1441" s="7" t="s">
        <v>64</v>
      </c>
      <c r="H1441" s="7" t="s">
        <v>73</v>
      </c>
      <c r="I1441" s="7" t="s">
        <v>76</v>
      </c>
      <c r="J1441" s="7">
        <v>864</v>
      </c>
      <c r="K1441" s="7">
        <v>1235.52</v>
      </c>
    </row>
    <row r="1442" spans="1:11" ht="18" customHeight="1" x14ac:dyDescent="0.25">
      <c r="A1442" s="7" t="s">
        <v>61</v>
      </c>
      <c r="B1442" s="7">
        <v>2021</v>
      </c>
      <c r="C1442" s="7" t="s">
        <v>62</v>
      </c>
      <c r="D1442" s="7" t="s">
        <v>21</v>
      </c>
      <c r="E1442" s="7" t="s">
        <v>74</v>
      </c>
      <c r="F1442" s="7" t="s">
        <v>75</v>
      </c>
      <c r="G1442" s="7" t="s">
        <v>64</v>
      </c>
      <c r="H1442" s="7" t="s">
        <v>73</v>
      </c>
      <c r="I1442" s="7" t="s">
        <v>76</v>
      </c>
      <c r="J1442" s="7">
        <v>323</v>
      </c>
      <c r="K1442" s="7">
        <v>461.89</v>
      </c>
    </row>
    <row r="1443" spans="1:11" ht="18" customHeight="1" x14ac:dyDescent="0.25">
      <c r="A1443" s="7" t="s">
        <v>34</v>
      </c>
      <c r="B1443" s="7">
        <v>2021</v>
      </c>
      <c r="C1443" s="7" t="s">
        <v>66</v>
      </c>
      <c r="D1443" s="7" t="s">
        <v>21</v>
      </c>
      <c r="E1443" s="7" t="s">
        <v>74</v>
      </c>
      <c r="F1443" s="7" t="s">
        <v>75</v>
      </c>
      <c r="G1443" s="7" t="s">
        <v>64</v>
      </c>
      <c r="H1443" s="7" t="s">
        <v>73</v>
      </c>
      <c r="I1443" s="7" t="s">
        <v>76</v>
      </c>
      <c r="J1443" s="7">
        <v>338</v>
      </c>
      <c r="K1443" s="7">
        <v>483.34000000000003</v>
      </c>
    </row>
    <row r="1444" spans="1:11" ht="18" customHeight="1" x14ac:dyDescent="0.25">
      <c r="A1444" s="7" t="s">
        <v>19</v>
      </c>
      <c r="B1444" s="7">
        <v>2021</v>
      </c>
      <c r="C1444" s="7" t="s">
        <v>66</v>
      </c>
      <c r="D1444" s="7" t="s">
        <v>21</v>
      </c>
      <c r="E1444" s="7" t="s">
        <v>74</v>
      </c>
      <c r="F1444" s="7" t="s">
        <v>75</v>
      </c>
      <c r="G1444" s="7" t="s">
        <v>64</v>
      </c>
      <c r="H1444" s="7" t="s">
        <v>73</v>
      </c>
      <c r="I1444" s="7" t="s">
        <v>76</v>
      </c>
      <c r="J1444" s="7">
        <v>140</v>
      </c>
      <c r="K1444" s="7">
        <v>200.2</v>
      </c>
    </row>
    <row r="1445" spans="1:11" ht="18" customHeight="1" x14ac:dyDescent="0.25">
      <c r="A1445" s="7" t="s">
        <v>19</v>
      </c>
      <c r="B1445" s="7">
        <v>2021</v>
      </c>
      <c r="C1445" s="7" t="s">
        <v>66</v>
      </c>
      <c r="D1445" s="7" t="s">
        <v>21</v>
      </c>
      <c r="E1445" s="7" t="s">
        <v>74</v>
      </c>
      <c r="F1445" s="7" t="s">
        <v>75</v>
      </c>
      <c r="G1445" s="7" t="s">
        <v>64</v>
      </c>
      <c r="H1445" s="7" t="s">
        <v>73</v>
      </c>
      <c r="I1445" s="7" t="s">
        <v>76</v>
      </c>
      <c r="J1445" s="7">
        <v>308</v>
      </c>
      <c r="K1445" s="7">
        <v>440.44</v>
      </c>
    </row>
    <row r="1446" spans="1:11" ht="18" customHeight="1" x14ac:dyDescent="0.25">
      <c r="A1446" s="7" t="s">
        <v>19</v>
      </c>
      <c r="B1446" s="7">
        <v>2021</v>
      </c>
      <c r="C1446" s="7" t="s">
        <v>66</v>
      </c>
      <c r="D1446" s="7" t="s">
        <v>21</v>
      </c>
      <c r="E1446" s="7" t="s">
        <v>74</v>
      </c>
      <c r="F1446" s="7" t="s">
        <v>75</v>
      </c>
      <c r="G1446" s="7" t="s">
        <v>64</v>
      </c>
      <c r="H1446" s="7" t="s">
        <v>73</v>
      </c>
      <c r="I1446" s="7" t="s">
        <v>76</v>
      </c>
      <c r="J1446" s="7">
        <v>136</v>
      </c>
      <c r="K1446" s="7">
        <v>194.48</v>
      </c>
    </row>
    <row r="1447" spans="1:11" ht="18" customHeight="1" x14ac:dyDescent="0.25">
      <c r="A1447" s="7" t="s">
        <v>42</v>
      </c>
      <c r="B1447" s="7">
        <v>2021</v>
      </c>
      <c r="C1447" s="7" t="s">
        <v>66</v>
      </c>
      <c r="D1447" s="7" t="s">
        <v>21</v>
      </c>
      <c r="E1447" s="7" t="s">
        <v>74</v>
      </c>
      <c r="F1447" s="7" t="s">
        <v>75</v>
      </c>
      <c r="G1447" s="7" t="s">
        <v>64</v>
      </c>
      <c r="H1447" s="7" t="s">
        <v>73</v>
      </c>
      <c r="I1447" s="7" t="s">
        <v>76</v>
      </c>
      <c r="J1447" s="7">
        <v>310</v>
      </c>
      <c r="K1447" s="7">
        <v>443.3</v>
      </c>
    </row>
    <row r="1448" spans="1:11" ht="18" customHeight="1" x14ac:dyDescent="0.25">
      <c r="A1448" s="7" t="s">
        <v>42</v>
      </c>
      <c r="B1448" s="7">
        <v>2021</v>
      </c>
      <c r="C1448" s="7" t="s">
        <v>66</v>
      </c>
      <c r="D1448" s="7" t="s">
        <v>21</v>
      </c>
      <c r="E1448" s="7" t="s">
        <v>74</v>
      </c>
      <c r="F1448" s="7" t="s">
        <v>75</v>
      </c>
      <c r="G1448" s="7" t="s">
        <v>64</v>
      </c>
      <c r="H1448" s="7" t="s">
        <v>73</v>
      </c>
      <c r="I1448" s="7" t="s">
        <v>76</v>
      </c>
      <c r="J1448" s="7">
        <v>824</v>
      </c>
      <c r="K1448" s="7">
        <v>1178.32</v>
      </c>
    </row>
    <row r="1449" spans="1:11" ht="18" customHeight="1" x14ac:dyDescent="0.25">
      <c r="A1449" s="7" t="s">
        <v>19</v>
      </c>
      <c r="B1449" s="7">
        <v>2021</v>
      </c>
      <c r="C1449" s="7" t="s">
        <v>66</v>
      </c>
      <c r="D1449" s="7" t="s">
        <v>21</v>
      </c>
      <c r="E1449" s="7" t="s">
        <v>74</v>
      </c>
      <c r="F1449" s="7" t="s">
        <v>75</v>
      </c>
      <c r="G1449" s="7" t="s">
        <v>64</v>
      </c>
      <c r="H1449" s="7" t="s">
        <v>73</v>
      </c>
      <c r="I1449" s="7" t="s">
        <v>76</v>
      </c>
      <c r="J1449" s="7">
        <v>857</v>
      </c>
      <c r="K1449" s="7">
        <v>1225.51</v>
      </c>
    </row>
    <row r="1450" spans="1:11" ht="18" customHeight="1" x14ac:dyDescent="0.25">
      <c r="A1450" s="7" t="s">
        <v>34</v>
      </c>
      <c r="B1450" s="7">
        <v>2021</v>
      </c>
      <c r="C1450" s="7" t="s">
        <v>66</v>
      </c>
      <c r="D1450" s="7" t="s">
        <v>21</v>
      </c>
      <c r="E1450" s="7" t="s">
        <v>74</v>
      </c>
      <c r="F1450" s="7" t="s">
        <v>75</v>
      </c>
      <c r="G1450" s="7" t="s">
        <v>64</v>
      </c>
      <c r="H1450" s="7" t="s">
        <v>73</v>
      </c>
      <c r="I1450" s="7" t="s">
        <v>76</v>
      </c>
      <c r="J1450" s="7">
        <v>910</v>
      </c>
      <c r="K1450" s="7">
        <v>1301.3</v>
      </c>
    </row>
    <row r="1451" spans="1:11" ht="18" customHeight="1" x14ac:dyDescent="0.25">
      <c r="A1451" s="7" t="s">
        <v>34</v>
      </c>
      <c r="B1451" s="7">
        <v>2021</v>
      </c>
      <c r="C1451" s="7" t="s">
        <v>66</v>
      </c>
      <c r="D1451" s="7" t="s">
        <v>21</v>
      </c>
      <c r="E1451" s="7" t="s">
        <v>74</v>
      </c>
      <c r="F1451" s="7" t="s">
        <v>75</v>
      </c>
      <c r="G1451" s="7" t="s">
        <v>64</v>
      </c>
      <c r="H1451" s="7" t="s">
        <v>73</v>
      </c>
      <c r="I1451" s="7" t="s">
        <v>76</v>
      </c>
      <c r="J1451" s="7">
        <v>863</v>
      </c>
      <c r="K1451" s="7">
        <v>526.24</v>
      </c>
    </row>
    <row r="1452" spans="1:11" ht="18" customHeight="1" x14ac:dyDescent="0.25">
      <c r="A1452" s="7" t="s">
        <v>42</v>
      </c>
      <c r="B1452" s="7">
        <v>2021</v>
      </c>
      <c r="C1452" s="7" t="s">
        <v>66</v>
      </c>
      <c r="D1452" s="7" t="s">
        <v>21</v>
      </c>
      <c r="E1452" s="7" t="s">
        <v>74</v>
      </c>
      <c r="F1452" s="7" t="s">
        <v>75</v>
      </c>
      <c r="G1452" s="7" t="s">
        <v>64</v>
      </c>
      <c r="H1452" s="7" t="s">
        <v>73</v>
      </c>
      <c r="I1452" s="7" t="s">
        <v>76</v>
      </c>
      <c r="J1452" s="7">
        <v>309</v>
      </c>
      <c r="K1452" s="7">
        <v>441.87</v>
      </c>
    </row>
    <row r="1453" spans="1:11" ht="18" customHeight="1" x14ac:dyDescent="0.25">
      <c r="A1453" s="7" t="s">
        <v>42</v>
      </c>
      <c r="B1453" s="7">
        <v>2021</v>
      </c>
      <c r="C1453" s="7" t="s">
        <v>66</v>
      </c>
      <c r="D1453" s="7" t="s">
        <v>21</v>
      </c>
      <c r="E1453" s="7" t="s">
        <v>74</v>
      </c>
      <c r="F1453" s="7" t="s">
        <v>75</v>
      </c>
      <c r="G1453" s="7" t="s">
        <v>64</v>
      </c>
      <c r="H1453" s="7" t="s">
        <v>73</v>
      </c>
      <c r="I1453" s="7" t="s">
        <v>76</v>
      </c>
      <c r="J1453" s="7">
        <v>337</v>
      </c>
      <c r="K1453" s="7">
        <v>481.90999999999997</v>
      </c>
    </row>
    <row r="1454" spans="1:11" ht="18" customHeight="1" x14ac:dyDescent="0.25">
      <c r="A1454" s="7" t="s">
        <v>53</v>
      </c>
      <c r="B1454" s="7">
        <v>2021</v>
      </c>
      <c r="C1454" s="7" t="s">
        <v>66</v>
      </c>
      <c r="D1454" s="7" t="s">
        <v>21</v>
      </c>
      <c r="E1454" s="7" t="s">
        <v>74</v>
      </c>
      <c r="F1454" s="7" t="s">
        <v>75</v>
      </c>
      <c r="G1454" s="7" t="s">
        <v>64</v>
      </c>
      <c r="H1454" s="7" t="s">
        <v>73</v>
      </c>
      <c r="I1454" s="7" t="s">
        <v>76</v>
      </c>
      <c r="J1454" s="7">
        <v>139</v>
      </c>
      <c r="K1454" s="7">
        <v>198.76999999999998</v>
      </c>
    </row>
    <row r="1455" spans="1:11" ht="18" customHeight="1" x14ac:dyDescent="0.25">
      <c r="A1455" s="7" t="s">
        <v>19</v>
      </c>
      <c r="B1455" s="7">
        <v>2021</v>
      </c>
      <c r="C1455" s="7" t="s">
        <v>66</v>
      </c>
      <c r="D1455" s="7" t="s">
        <v>21</v>
      </c>
      <c r="E1455" s="7" t="s">
        <v>74</v>
      </c>
      <c r="F1455" s="7" t="s">
        <v>75</v>
      </c>
      <c r="G1455" s="7" t="s">
        <v>64</v>
      </c>
      <c r="H1455" s="7" t="s">
        <v>73</v>
      </c>
      <c r="I1455" s="7" t="s">
        <v>76</v>
      </c>
      <c r="J1455" s="7">
        <v>833</v>
      </c>
      <c r="K1455" s="7">
        <v>1191.19</v>
      </c>
    </row>
    <row r="1456" spans="1:11" ht="18" customHeight="1" x14ac:dyDescent="0.25">
      <c r="A1456" s="7" t="s">
        <v>34</v>
      </c>
      <c r="B1456" s="7">
        <v>2021</v>
      </c>
      <c r="C1456" s="7" t="s">
        <v>66</v>
      </c>
      <c r="D1456" s="7" t="s">
        <v>21</v>
      </c>
      <c r="E1456" s="7" t="s">
        <v>74</v>
      </c>
      <c r="F1456" s="7" t="s">
        <v>75</v>
      </c>
      <c r="G1456" s="7" t="s">
        <v>64</v>
      </c>
      <c r="H1456" s="7" t="s">
        <v>73</v>
      </c>
      <c r="I1456" s="7" t="s">
        <v>76</v>
      </c>
      <c r="J1456" s="7">
        <v>866</v>
      </c>
      <c r="K1456" s="7">
        <v>1238.3800000000001</v>
      </c>
    </row>
    <row r="1457" spans="1:11" ht="18" customHeight="1" x14ac:dyDescent="0.25">
      <c r="A1457" s="7" t="s">
        <v>34</v>
      </c>
      <c r="B1457" s="7">
        <v>2021</v>
      </c>
      <c r="C1457" s="7" t="s">
        <v>66</v>
      </c>
      <c r="D1457" s="7" t="s">
        <v>21</v>
      </c>
      <c r="E1457" s="7" t="s">
        <v>74</v>
      </c>
      <c r="F1457" s="7" t="s">
        <v>75</v>
      </c>
      <c r="G1457" s="7" t="s">
        <v>64</v>
      </c>
      <c r="H1457" s="7" t="s">
        <v>73</v>
      </c>
      <c r="I1457" s="7" t="s">
        <v>76</v>
      </c>
      <c r="J1457" s="7">
        <v>311</v>
      </c>
      <c r="K1457" s="7">
        <v>444.73</v>
      </c>
    </row>
    <row r="1458" spans="1:11" ht="18" customHeight="1" x14ac:dyDescent="0.25">
      <c r="A1458" s="7" t="s">
        <v>34</v>
      </c>
      <c r="B1458" s="7">
        <v>2021</v>
      </c>
      <c r="C1458" s="7" t="s">
        <v>71</v>
      </c>
      <c r="D1458" s="7" t="s">
        <v>72</v>
      </c>
      <c r="E1458" s="7" t="s">
        <v>74</v>
      </c>
      <c r="F1458" s="7" t="s">
        <v>75</v>
      </c>
      <c r="G1458" s="7" t="s">
        <v>64</v>
      </c>
      <c r="H1458" s="7" t="s">
        <v>73</v>
      </c>
      <c r="I1458" s="7" t="s">
        <v>76</v>
      </c>
      <c r="J1458" s="7">
        <v>350</v>
      </c>
      <c r="K1458" s="7">
        <v>500.5</v>
      </c>
    </row>
    <row r="1459" spans="1:11" ht="18" customHeight="1" x14ac:dyDescent="0.25">
      <c r="A1459" s="7" t="s">
        <v>19</v>
      </c>
      <c r="B1459" s="7">
        <v>2021</v>
      </c>
      <c r="C1459" s="7" t="s">
        <v>71</v>
      </c>
      <c r="D1459" s="7" t="s">
        <v>72</v>
      </c>
      <c r="E1459" s="7" t="s">
        <v>74</v>
      </c>
      <c r="F1459" s="7" t="s">
        <v>75</v>
      </c>
      <c r="G1459" s="7" t="s">
        <v>64</v>
      </c>
      <c r="H1459" s="7" t="s">
        <v>73</v>
      </c>
      <c r="I1459" s="7" t="s">
        <v>76</v>
      </c>
      <c r="J1459" s="7">
        <v>304</v>
      </c>
      <c r="K1459" s="7">
        <v>434.72</v>
      </c>
    </row>
    <row r="1460" spans="1:11" ht="18" customHeight="1" x14ac:dyDescent="0.25">
      <c r="A1460" s="7" t="s">
        <v>19</v>
      </c>
      <c r="B1460" s="7">
        <v>2021</v>
      </c>
      <c r="C1460" s="7" t="s">
        <v>71</v>
      </c>
      <c r="D1460" s="7" t="s">
        <v>72</v>
      </c>
      <c r="E1460" s="7" t="s">
        <v>74</v>
      </c>
      <c r="F1460" s="7" t="s">
        <v>75</v>
      </c>
      <c r="G1460" s="7" t="s">
        <v>64</v>
      </c>
      <c r="H1460" s="7" t="s">
        <v>73</v>
      </c>
      <c r="I1460" s="7" t="s">
        <v>76</v>
      </c>
      <c r="J1460" s="7">
        <v>352</v>
      </c>
      <c r="K1460" s="7">
        <v>503.36</v>
      </c>
    </row>
    <row r="1461" spans="1:11" ht="18" customHeight="1" x14ac:dyDescent="0.25">
      <c r="A1461" s="7" t="s">
        <v>19</v>
      </c>
      <c r="B1461" s="7">
        <v>2021</v>
      </c>
      <c r="C1461" s="7" t="s">
        <v>71</v>
      </c>
      <c r="D1461" s="7" t="s">
        <v>72</v>
      </c>
      <c r="E1461" s="7" t="s">
        <v>74</v>
      </c>
      <c r="F1461" s="7" t="s">
        <v>75</v>
      </c>
      <c r="G1461" s="7" t="s">
        <v>64</v>
      </c>
      <c r="H1461" s="7" t="s">
        <v>73</v>
      </c>
      <c r="I1461" s="7" t="s">
        <v>76</v>
      </c>
      <c r="J1461" s="7">
        <v>829</v>
      </c>
      <c r="K1461" s="7">
        <v>1185.47</v>
      </c>
    </row>
    <row r="1462" spans="1:11" ht="18" customHeight="1" x14ac:dyDescent="0.25">
      <c r="A1462" s="7" t="s">
        <v>34</v>
      </c>
      <c r="B1462" s="7">
        <v>2021</v>
      </c>
      <c r="C1462" s="7" t="s">
        <v>71</v>
      </c>
      <c r="D1462" s="7" t="s">
        <v>72</v>
      </c>
      <c r="E1462" s="7" t="s">
        <v>74</v>
      </c>
      <c r="F1462" s="7" t="s">
        <v>75</v>
      </c>
      <c r="G1462" s="7" t="s">
        <v>64</v>
      </c>
      <c r="H1462" s="7" t="s">
        <v>73</v>
      </c>
      <c r="I1462" s="7" t="s">
        <v>76</v>
      </c>
      <c r="J1462" s="7">
        <v>862</v>
      </c>
      <c r="K1462" s="7">
        <v>1232.6599999999999</v>
      </c>
    </row>
    <row r="1463" spans="1:11" ht="18" customHeight="1" x14ac:dyDescent="0.25">
      <c r="A1463" s="7" t="s">
        <v>19</v>
      </c>
      <c r="B1463" s="7">
        <v>2021</v>
      </c>
      <c r="C1463" s="7" t="s">
        <v>71</v>
      </c>
      <c r="D1463" s="7" t="s">
        <v>72</v>
      </c>
      <c r="E1463" s="7" t="s">
        <v>74</v>
      </c>
      <c r="F1463" s="7" t="s">
        <v>75</v>
      </c>
      <c r="G1463" s="7" t="s">
        <v>64</v>
      </c>
      <c r="H1463" s="7" t="s">
        <v>73</v>
      </c>
      <c r="I1463" s="7" t="s">
        <v>76</v>
      </c>
      <c r="J1463" s="7">
        <v>918</v>
      </c>
      <c r="K1463" s="7">
        <v>1312.74</v>
      </c>
    </row>
    <row r="1464" spans="1:11" ht="18" customHeight="1" x14ac:dyDescent="0.25">
      <c r="A1464" s="7" t="s">
        <v>19</v>
      </c>
      <c r="B1464" s="7">
        <v>2021</v>
      </c>
      <c r="C1464" s="7" t="s">
        <v>71</v>
      </c>
      <c r="D1464" s="7" t="s">
        <v>72</v>
      </c>
      <c r="E1464" s="7" t="s">
        <v>74</v>
      </c>
      <c r="F1464" s="7" t="s">
        <v>75</v>
      </c>
      <c r="G1464" s="7" t="s">
        <v>64</v>
      </c>
      <c r="H1464" s="7" t="s">
        <v>73</v>
      </c>
      <c r="I1464" s="7" t="s">
        <v>76</v>
      </c>
      <c r="J1464" s="7">
        <v>919</v>
      </c>
      <c r="K1464" s="7">
        <v>1314.17</v>
      </c>
    </row>
    <row r="1465" spans="1:11" ht="18" customHeight="1" x14ac:dyDescent="0.25">
      <c r="A1465" s="7" t="s">
        <v>34</v>
      </c>
      <c r="B1465" s="7">
        <v>2021</v>
      </c>
      <c r="C1465" s="7" t="s">
        <v>71</v>
      </c>
      <c r="D1465" s="7" t="s">
        <v>72</v>
      </c>
      <c r="E1465" s="7" t="s">
        <v>74</v>
      </c>
      <c r="F1465" s="7" t="s">
        <v>75</v>
      </c>
      <c r="G1465" s="7" t="s">
        <v>64</v>
      </c>
      <c r="H1465" s="7" t="s">
        <v>73</v>
      </c>
      <c r="I1465" s="7" t="s">
        <v>76</v>
      </c>
      <c r="J1465" s="7">
        <v>920</v>
      </c>
      <c r="K1465" s="7">
        <v>1315.6</v>
      </c>
    </row>
    <row r="1466" spans="1:11" ht="18" customHeight="1" x14ac:dyDescent="0.25">
      <c r="A1466" s="7" t="s">
        <v>34</v>
      </c>
      <c r="B1466" s="7">
        <v>2021</v>
      </c>
      <c r="C1466" s="7" t="s">
        <v>71</v>
      </c>
      <c r="D1466" s="7" t="s">
        <v>72</v>
      </c>
      <c r="E1466" s="7" t="s">
        <v>74</v>
      </c>
      <c r="F1466" s="7" t="s">
        <v>75</v>
      </c>
      <c r="G1466" s="7" t="s">
        <v>64</v>
      </c>
      <c r="H1466" s="7" t="s">
        <v>73</v>
      </c>
      <c r="I1466" s="7" t="s">
        <v>76</v>
      </c>
      <c r="J1466" s="7">
        <v>869</v>
      </c>
      <c r="K1466" s="7">
        <v>526.24</v>
      </c>
    </row>
    <row r="1467" spans="1:11" ht="18" customHeight="1" x14ac:dyDescent="0.25">
      <c r="A1467" s="7" t="s">
        <v>34</v>
      </c>
      <c r="B1467" s="7">
        <v>2021</v>
      </c>
      <c r="C1467" s="7" t="s">
        <v>71</v>
      </c>
      <c r="D1467" s="7" t="s">
        <v>72</v>
      </c>
      <c r="E1467" s="7" t="s">
        <v>74</v>
      </c>
      <c r="F1467" s="7" t="s">
        <v>75</v>
      </c>
      <c r="G1467" s="7" t="s">
        <v>64</v>
      </c>
      <c r="H1467" s="7" t="s">
        <v>73</v>
      </c>
      <c r="I1467" s="7" t="s">
        <v>76</v>
      </c>
      <c r="J1467" s="7">
        <v>351</v>
      </c>
      <c r="K1467" s="7">
        <v>501.93</v>
      </c>
    </row>
    <row r="1468" spans="1:11" ht="18" customHeight="1" x14ac:dyDescent="0.25">
      <c r="A1468" s="7" t="s">
        <v>19</v>
      </c>
      <c r="B1468" s="7">
        <v>2021</v>
      </c>
      <c r="C1468" s="7" t="s">
        <v>71</v>
      </c>
      <c r="D1468" s="7" t="s">
        <v>72</v>
      </c>
      <c r="E1468" s="7" t="s">
        <v>74</v>
      </c>
      <c r="F1468" s="7" t="s">
        <v>75</v>
      </c>
      <c r="G1468" s="7" t="s">
        <v>64</v>
      </c>
      <c r="H1468" s="7" t="s">
        <v>73</v>
      </c>
      <c r="I1468" s="7" t="s">
        <v>76</v>
      </c>
      <c r="J1468" s="7">
        <v>261</v>
      </c>
      <c r="K1468" s="7">
        <v>373.23</v>
      </c>
    </row>
    <row r="1469" spans="1:11" ht="18" customHeight="1" x14ac:dyDescent="0.25">
      <c r="A1469" s="7" t="s">
        <v>19</v>
      </c>
      <c r="B1469" s="7">
        <v>2021</v>
      </c>
      <c r="C1469" s="7" t="s">
        <v>71</v>
      </c>
      <c r="D1469" s="7" t="s">
        <v>72</v>
      </c>
      <c r="E1469" s="7" t="s">
        <v>74</v>
      </c>
      <c r="F1469" s="7" t="s">
        <v>75</v>
      </c>
      <c r="G1469" s="7" t="s">
        <v>64</v>
      </c>
      <c r="H1469" s="7" t="s">
        <v>73</v>
      </c>
      <c r="I1469" s="7" t="s">
        <v>76</v>
      </c>
      <c r="J1469" s="7">
        <v>255</v>
      </c>
      <c r="K1469" s="7">
        <v>364.65</v>
      </c>
    </row>
    <row r="1470" spans="1:11" ht="18" customHeight="1" x14ac:dyDescent="0.25">
      <c r="A1470" s="7" t="s">
        <v>19</v>
      </c>
      <c r="B1470" s="7">
        <v>2021</v>
      </c>
      <c r="C1470" s="7" t="s">
        <v>71</v>
      </c>
      <c r="D1470" s="7" t="s">
        <v>72</v>
      </c>
      <c r="E1470" s="7" t="s">
        <v>74</v>
      </c>
      <c r="F1470" s="7" t="s">
        <v>75</v>
      </c>
      <c r="G1470" s="7" t="s">
        <v>64</v>
      </c>
      <c r="H1470" s="7" t="s">
        <v>73</v>
      </c>
      <c r="I1470" s="7" t="s">
        <v>76</v>
      </c>
      <c r="J1470" s="7">
        <v>307</v>
      </c>
      <c r="K1470" s="7">
        <v>439.01</v>
      </c>
    </row>
    <row r="1471" spans="1:11" ht="18" customHeight="1" x14ac:dyDescent="0.25">
      <c r="A1471" s="7" t="s">
        <v>19</v>
      </c>
      <c r="B1471" s="7">
        <v>2021</v>
      </c>
      <c r="C1471" s="7" t="s">
        <v>71</v>
      </c>
      <c r="D1471" s="7" t="s">
        <v>72</v>
      </c>
      <c r="E1471" s="7" t="s">
        <v>74</v>
      </c>
      <c r="F1471" s="7" t="s">
        <v>75</v>
      </c>
      <c r="G1471" s="7" t="s">
        <v>64</v>
      </c>
      <c r="H1471" s="7" t="s">
        <v>73</v>
      </c>
      <c r="I1471" s="7" t="s">
        <v>76</v>
      </c>
      <c r="J1471" s="7">
        <v>838</v>
      </c>
      <c r="K1471" s="7">
        <v>1198.3399999999999</v>
      </c>
    </row>
    <row r="1472" spans="1:11" ht="18" customHeight="1" x14ac:dyDescent="0.25">
      <c r="A1472" s="7" t="s">
        <v>34</v>
      </c>
      <c r="B1472" s="7">
        <v>2021</v>
      </c>
      <c r="C1472" s="7" t="s">
        <v>71</v>
      </c>
      <c r="D1472" s="7" t="s">
        <v>72</v>
      </c>
      <c r="E1472" s="7" t="s">
        <v>74</v>
      </c>
      <c r="F1472" s="7" t="s">
        <v>75</v>
      </c>
      <c r="G1472" s="7" t="s">
        <v>64</v>
      </c>
      <c r="H1472" s="7" t="s">
        <v>73</v>
      </c>
      <c r="I1472" s="7" t="s">
        <v>76</v>
      </c>
      <c r="J1472" s="7">
        <v>871</v>
      </c>
      <c r="K1472" s="7">
        <v>1245.53</v>
      </c>
    </row>
    <row r="1473" spans="1:11" ht="18" customHeight="1" x14ac:dyDescent="0.25">
      <c r="A1473" s="7" t="s">
        <v>34</v>
      </c>
      <c r="B1473" s="7">
        <v>2021</v>
      </c>
      <c r="C1473" s="7" t="s">
        <v>70</v>
      </c>
      <c r="D1473" s="7" t="s">
        <v>72</v>
      </c>
      <c r="E1473" s="7" t="s">
        <v>74</v>
      </c>
      <c r="F1473" s="7" t="s">
        <v>75</v>
      </c>
      <c r="G1473" s="7" t="s">
        <v>64</v>
      </c>
      <c r="H1473" s="7" t="s">
        <v>73</v>
      </c>
      <c r="I1473" s="7" t="s">
        <v>76</v>
      </c>
      <c r="J1473" s="7">
        <v>308</v>
      </c>
      <c r="K1473" s="7">
        <v>440.44</v>
      </c>
    </row>
    <row r="1474" spans="1:11" ht="18" customHeight="1" x14ac:dyDescent="0.25">
      <c r="A1474" s="7" t="s">
        <v>61</v>
      </c>
      <c r="B1474" s="7">
        <v>2021</v>
      </c>
      <c r="C1474" s="7" t="s">
        <v>70</v>
      </c>
      <c r="D1474" s="7" t="s">
        <v>72</v>
      </c>
      <c r="E1474" s="7" t="s">
        <v>74</v>
      </c>
      <c r="F1474" s="7" t="s">
        <v>75</v>
      </c>
      <c r="G1474" s="7" t="s">
        <v>64</v>
      </c>
      <c r="H1474" s="7" t="s">
        <v>73</v>
      </c>
      <c r="I1474" s="7" t="s">
        <v>76</v>
      </c>
      <c r="J1474" s="7">
        <v>356</v>
      </c>
      <c r="K1474" s="7">
        <v>509.08</v>
      </c>
    </row>
    <row r="1475" spans="1:11" ht="18" customHeight="1" x14ac:dyDescent="0.25">
      <c r="A1475" s="7" t="s">
        <v>34</v>
      </c>
      <c r="B1475" s="7">
        <v>2021</v>
      </c>
      <c r="C1475" s="7" t="s">
        <v>70</v>
      </c>
      <c r="D1475" s="7" t="s">
        <v>72</v>
      </c>
      <c r="E1475" s="7" t="s">
        <v>74</v>
      </c>
      <c r="F1475" s="7" t="s">
        <v>75</v>
      </c>
      <c r="G1475" s="7" t="s">
        <v>64</v>
      </c>
      <c r="H1475" s="7" t="s">
        <v>73</v>
      </c>
      <c r="I1475" s="7" t="s">
        <v>76</v>
      </c>
      <c r="J1475" s="7">
        <v>310</v>
      </c>
      <c r="K1475" s="7">
        <v>443.3</v>
      </c>
    </row>
    <row r="1476" spans="1:11" ht="18" customHeight="1" x14ac:dyDescent="0.25">
      <c r="A1476" s="7" t="s">
        <v>19</v>
      </c>
      <c r="B1476" s="7">
        <v>2021</v>
      </c>
      <c r="C1476" s="7" t="s">
        <v>70</v>
      </c>
      <c r="D1476" s="7" t="s">
        <v>72</v>
      </c>
      <c r="E1476" s="7" t="s">
        <v>74</v>
      </c>
      <c r="F1476" s="7" t="s">
        <v>75</v>
      </c>
      <c r="G1476" s="7" t="s">
        <v>64</v>
      </c>
      <c r="H1476" s="7" t="s">
        <v>73</v>
      </c>
      <c r="I1476" s="7" t="s">
        <v>76</v>
      </c>
      <c r="J1476" s="7">
        <v>358</v>
      </c>
      <c r="K1476" s="7">
        <v>511.94</v>
      </c>
    </row>
    <row r="1477" spans="1:11" ht="18" customHeight="1" x14ac:dyDescent="0.25">
      <c r="A1477" s="7" t="s">
        <v>19</v>
      </c>
      <c r="B1477" s="7">
        <v>2021</v>
      </c>
      <c r="C1477" s="7" t="s">
        <v>70</v>
      </c>
      <c r="D1477" s="7" t="s">
        <v>72</v>
      </c>
      <c r="E1477" s="7" t="s">
        <v>74</v>
      </c>
      <c r="F1477" s="7" t="s">
        <v>75</v>
      </c>
      <c r="G1477" s="7" t="s">
        <v>64</v>
      </c>
      <c r="H1477" s="7" t="s">
        <v>73</v>
      </c>
      <c r="I1477" s="7" t="s">
        <v>76</v>
      </c>
      <c r="J1477" s="7">
        <v>828</v>
      </c>
      <c r="K1477" s="7">
        <v>1184.04</v>
      </c>
    </row>
    <row r="1478" spans="1:11" ht="18" customHeight="1" x14ac:dyDescent="0.25">
      <c r="A1478" s="7" t="s">
        <v>53</v>
      </c>
      <c r="B1478" s="7">
        <v>2021</v>
      </c>
      <c r="C1478" s="7" t="s">
        <v>70</v>
      </c>
      <c r="D1478" s="7" t="s">
        <v>72</v>
      </c>
      <c r="E1478" s="7" t="s">
        <v>74</v>
      </c>
      <c r="F1478" s="7" t="s">
        <v>75</v>
      </c>
      <c r="G1478" s="7" t="s">
        <v>64</v>
      </c>
      <c r="H1478" s="7" t="s">
        <v>73</v>
      </c>
      <c r="I1478" s="7" t="s">
        <v>76</v>
      </c>
      <c r="J1478" s="7">
        <v>915</v>
      </c>
      <c r="K1478" s="7">
        <v>1308.45</v>
      </c>
    </row>
    <row r="1479" spans="1:11" ht="18" customHeight="1" x14ac:dyDescent="0.25">
      <c r="A1479" s="7" t="s">
        <v>34</v>
      </c>
      <c r="B1479" s="7">
        <v>2021</v>
      </c>
      <c r="C1479" s="7" t="s">
        <v>70</v>
      </c>
      <c r="D1479" s="7" t="s">
        <v>72</v>
      </c>
      <c r="E1479" s="7" t="s">
        <v>74</v>
      </c>
      <c r="F1479" s="7" t="s">
        <v>75</v>
      </c>
      <c r="G1479" s="7" t="s">
        <v>64</v>
      </c>
      <c r="H1479" s="7" t="s">
        <v>73</v>
      </c>
      <c r="I1479" s="7" t="s">
        <v>76</v>
      </c>
      <c r="J1479" s="7">
        <v>916</v>
      </c>
      <c r="K1479" s="7">
        <v>1309.8800000000001</v>
      </c>
    </row>
    <row r="1480" spans="1:11" ht="18" customHeight="1" x14ac:dyDescent="0.25">
      <c r="A1480" s="7" t="s">
        <v>34</v>
      </c>
      <c r="B1480" s="7">
        <v>2021</v>
      </c>
      <c r="C1480" s="7" t="s">
        <v>70</v>
      </c>
      <c r="D1480" s="7" t="s">
        <v>72</v>
      </c>
      <c r="E1480" s="7" t="s">
        <v>74</v>
      </c>
      <c r="F1480" s="7" t="s">
        <v>75</v>
      </c>
      <c r="G1480" s="7" t="s">
        <v>64</v>
      </c>
      <c r="H1480" s="7" t="s">
        <v>73</v>
      </c>
      <c r="I1480" s="7" t="s">
        <v>76</v>
      </c>
      <c r="J1480" s="7">
        <v>917</v>
      </c>
      <c r="K1480" s="7">
        <v>1311.31</v>
      </c>
    </row>
    <row r="1481" spans="1:11" ht="18" customHeight="1" x14ac:dyDescent="0.25">
      <c r="A1481" s="7" t="s">
        <v>34</v>
      </c>
      <c r="B1481" s="7">
        <v>2021</v>
      </c>
      <c r="C1481" s="7" t="s">
        <v>70</v>
      </c>
      <c r="D1481" s="7" t="s">
        <v>72</v>
      </c>
      <c r="E1481" s="7" t="s">
        <v>74</v>
      </c>
      <c r="F1481" s="7" t="s">
        <v>75</v>
      </c>
      <c r="G1481" s="7" t="s">
        <v>64</v>
      </c>
      <c r="H1481" s="7" t="s">
        <v>73</v>
      </c>
      <c r="I1481" s="7" t="s">
        <v>76</v>
      </c>
      <c r="J1481" s="7">
        <v>868</v>
      </c>
      <c r="K1481" s="7">
        <v>526.24</v>
      </c>
    </row>
    <row r="1482" spans="1:11" ht="18" customHeight="1" x14ac:dyDescent="0.25">
      <c r="A1482" s="7" t="s">
        <v>42</v>
      </c>
      <c r="B1482" s="7">
        <v>2021</v>
      </c>
      <c r="C1482" s="7" t="s">
        <v>70</v>
      </c>
      <c r="D1482" s="7" t="s">
        <v>72</v>
      </c>
      <c r="E1482" s="7" t="s">
        <v>74</v>
      </c>
      <c r="F1482" s="7" t="s">
        <v>75</v>
      </c>
      <c r="G1482" s="7" t="s">
        <v>64</v>
      </c>
      <c r="H1482" s="7" t="s">
        <v>73</v>
      </c>
      <c r="I1482" s="7" t="s">
        <v>76</v>
      </c>
      <c r="J1482" s="7">
        <v>357</v>
      </c>
      <c r="K1482" s="7">
        <v>526.24</v>
      </c>
    </row>
    <row r="1483" spans="1:11" ht="18" customHeight="1" x14ac:dyDescent="0.25">
      <c r="A1483" s="7" t="s">
        <v>19</v>
      </c>
      <c r="B1483" s="7">
        <v>2021</v>
      </c>
      <c r="C1483" s="7" t="s">
        <v>70</v>
      </c>
      <c r="D1483" s="7" t="s">
        <v>72</v>
      </c>
      <c r="E1483" s="7" t="s">
        <v>74</v>
      </c>
      <c r="F1483" s="7" t="s">
        <v>75</v>
      </c>
      <c r="G1483" s="7" t="s">
        <v>64</v>
      </c>
      <c r="H1483" s="7" t="s">
        <v>73</v>
      </c>
      <c r="I1483" s="7" t="s">
        <v>76</v>
      </c>
      <c r="J1483" s="7">
        <v>279</v>
      </c>
      <c r="K1483" s="7">
        <v>398.97</v>
      </c>
    </row>
    <row r="1484" spans="1:11" ht="18" customHeight="1" x14ac:dyDescent="0.25">
      <c r="A1484" s="7" t="s">
        <v>34</v>
      </c>
      <c r="B1484" s="7">
        <v>2021</v>
      </c>
      <c r="C1484" s="7" t="s">
        <v>70</v>
      </c>
      <c r="D1484" s="7" t="s">
        <v>72</v>
      </c>
      <c r="E1484" s="7" t="s">
        <v>74</v>
      </c>
      <c r="F1484" s="7" t="s">
        <v>75</v>
      </c>
      <c r="G1484" s="7" t="s">
        <v>64</v>
      </c>
      <c r="H1484" s="7" t="s">
        <v>73</v>
      </c>
      <c r="I1484" s="7" t="s">
        <v>76</v>
      </c>
      <c r="J1484" s="7">
        <v>273</v>
      </c>
      <c r="K1484" s="7">
        <v>390.39</v>
      </c>
    </row>
    <row r="1485" spans="1:11" ht="18" customHeight="1" x14ac:dyDescent="0.25">
      <c r="A1485" s="7" t="s">
        <v>34</v>
      </c>
      <c r="B1485" s="7">
        <v>2021</v>
      </c>
      <c r="C1485" s="7" t="s">
        <v>70</v>
      </c>
      <c r="D1485" s="7" t="s">
        <v>72</v>
      </c>
      <c r="E1485" s="7" t="s">
        <v>74</v>
      </c>
      <c r="F1485" s="7" t="s">
        <v>75</v>
      </c>
      <c r="G1485" s="7" t="s">
        <v>64</v>
      </c>
      <c r="H1485" s="7" t="s">
        <v>73</v>
      </c>
      <c r="I1485" s="7" t="s">
        <v>76</v>
      </c>
      <c r="J1485" s="7">
        <v>267</v>
      </c>
      <c r="K1485" s="7">
        <v>381.81</v>
      </c>
    </row>
    <row r="1486" spans="1:11" ht="18" customHeight="1" x14ac:dyDescent="0.25">
      <c r="A1486" s="7" t="s">
        <v>53</v>
      </c>
      <c r="B1486" s="7">
        <v>2021</v>
      </c>
      <c r="C1486" s="7" t="s">
        <v>70</v>
      </c>
      <c r="D1486" s="7" t="s">
        <v>72</v>
      </c>
      <c r="E1486" s="7" t="s">
        <v>74</v>
      </c>
      <c r="F1486" s="7" t="s">
        <v>75</v>
      </c>
      <c r="G1486" s="7" t="s">
        <v>64</v>
      </c>
      <c r="H1486" s="7" t="s">
        <v>73</v>
      </c>
      <c r="I1486" s="7" t="s">
        <v>76</v>
      </c>
      <c r="J1486" s="7">
        <v>313</v>
      </c>
      <c r="K1486" s="7">
        <v>447.59000000000003</v>
      </c>
    </row>
    <row r="1487" spans="1:11" ht="18" customHeight="1" x14ac:dyDescent="0.25">
      <c r="A1487" s="7" t="s">
        <v>19</v>
      </c>
      <c r="B1487" s="7">
        <v>2021</v>
      </c>
      <c r="C1487" s="7" t="s">
        <v>70</v>
      </c>
      <c r="D1487" s="7" t="s">
        <v>72</v>
      </c>
      <c r="E1487" s="7" t="s">
        <v>74</v>
      </c>
      <c r="F1487" s="7" t="s">
        <v>75</v>
      </c>
      <c r="G1487" s="7" t="s">
        <v>64</v>
      </c>
      <c r="H1487" s="7" t="s">
        <v>73</v>
      </c>
      <c r="I1487" s="7" t="s">
        <v>76</v>
      </c>
      <c r="J1487" s="7">
        <v>355</v>
      </c>
      <c r="K1487" s="7">
        <v>507.65</v>
      </c>
    </row>
    <row r="1488" spans="1:11" ht="18" customHeight="1" x14ac:dyDescent="0.25">
      <c r="A1488" s="7" t="s">
        <v>34</v>
      </c>
      <c r="B1488" s="7">
        <v>2021</v>
      </c>
      <c r="C1488" s="7" t="s">
        <v>70</v>
      </c>
      <c r="D1488" s="7" t="s">
        <v>72</v>
      </c>
      <c r="E1488" s="7" t="s">
        <v>74</v>
      </c>
      <c r="F1488" s="7" t="s">
        <v>75</v>
      </c>
      <c r="G1488" s="7" t="s">
        <v>64</v>
      </c>
      <c r="H1488" s="7" t="s">
        <v>73</v>
      </c>
      <c r="I1488" s="7" t="s">
        <v>76</v>
      </c>
      <c r="J1488" s="7">
        <v>837</v>
      </c>
      <c r="K1488" s="7">
        <v>1196.9099999999999</v>
      </c>
    </row>
    <row r="1489" spans="1:11" ht="18" customHeight="1" x14ac:dyDescent="0.25">
      <c r="A1489" s="7" t="s">
        <v>34</v>
      </c>
      <c r="B1489" s="7">
        <v>2021</v>
      </c>
      <c r="C1489" s="7" t="s">
        <v>70</v>
      </c>
      <c r="D1489" s="7" t="s">
        <v>72</v>
      </c>
      <c r="E1489" s="7" t="s">
        <v>74</v>
      </c>
      <c r="F1489" s="7" t="s">
        <v>75</v>
      </c>
      <c r="G1489" s="7" t="s">
        <v>64</v>
      </c>
      <c r="H1489" s="7" t="s">
        <v>73</v>
      </c>
      <c r="I1489" s="7" t="s">
        <v>76</v>
      </c>
      <c r="J1489" s="7">
        <v>870</v>
      </c>
      <c r="K1489" s="7">
        <v>1244.0999999999999</v>
      </c>
    </row>
    <row r="1490" spans="1:11" ht="18" customHeight="1" x14ac:dyDescent="0.25">
      <c r="A1490" s="7" t="s">
        <v>19</v>
      </c>
      <c r="B1490" s="7">
        <v>2021</v>
      </c>
      <c r="C1490" s="7" t="s">
        <v>69</v>
      </c>
      <c r="D1490" s="7" t="s">
        <v>72</v>
      </c>
      <c r="E1490" s="7" t="s">
        <v>74</v>
      </c>
      <c r="F1490" s="7" t="s">
        <v>75</v>
      </c>
      <c r="G1490" s="7" t="s">
        <v>64</v>
      </c>
      <c r="H1490" s="7" t="s">
        <v>73</v>
      </c>
      <c r="I1490" s="7" t="s">
        <v>76</v>
      </c>
      <c r="J1490" s="7">
        <v>314</v>
      </c>
      <c r="K1490" s="7">
        <v>449.02</v>
      </c>
    </row>
    <row r="1491" spans="1:11" ht="18" customHeight="1" x14ac:dyDescent="0.25">
      <c r="A1491" s="7" t="s">
        <v>42</v>
      </c>
      <c r="B1491" s="7">
        <v>2021</v>
      </c>
      <c r="C1491" s="7" t="s">
        <v>69</v>
      </c>
      <c r="D1491" s="7" t="s">
        <v>72</v>
      </c>
      <c r="E1491" s="7" t="s">
        <v>74</v>
      </c>
      <c r="F1491" s="7" t="s">
        <v>75</v>
      </c>
      <c r="G1491" s="7" t="s">
        <v>64</v>
      </c>
      <c r="H1491" s="7" t="s">
        <v>73</v>
      </c>
      <c r="I1491" s="7" t="s">
        <v>76</v>
      </c>
      <c r="J1491" s="7">
        <v>362</v>
      </c>
      <c r="K1491" s="7">
        <v>517.66</v>
      </c>
    </row>
    <row r="1492" spans="1:11" ht="18" customHeight="1" x14ac:dyDescent="0.25">
      <c r="A1492" s="7" t="s">
        <v>19</v>
      </c>
      <c r="B1492" s="7">
        <v>2021</v>
      </c>
      <c r="C1492" s="7" t="s">
        <v>69</v>
      </c>
      <c r="D1492" s="7" t="s">
        <v>72</v>
      </c>
      <c r="E1492" s="7" t="s">
        <v>74</v>
      </c>
      <c r="F1492" s="7" t="s">
        <v>75</v>
      </c>
      <c r="G1492" s="7" t="s">
        <v>64</v>
      </c>
      <c r="H1492" s="7" t="s">
        <v>73</v>
      </c>
      <c r="I1492" s="7" t="s">
        <v>76</v>
      </c>
      <c r="J1492" s="7">
        <v>290</v>
      </c>
      <c r="K1492" s="7">
        <v>414.7</v>
      </c>
    </row>
    <row r="1493" spans="1:11" ht="18" customHeight="1" x14ac:dyDescent="0.25">
      <c r="A1493" s="7" t="s">
        <v>19</v>
      </c>
      <c r="B1493" s="7">
        <v>2021</v>
      </c>
      <c r="C1493" s="7" t="s">
        <v>69</v>
      </c>
      <c r="D1493" s="7" t="s">
        <v>72</v>
      </c>
      <c r="E1493" s="7" t="s">
        <v>74</v>
      </c>
      <c r="F1493" s="7" t="s">
        <v>75</v>
      </c>
      <c r="G1493" s="7" t="s">
        <v>64</v>
      </c>
      <c r="H1493" s="7" t="s">
        <v>73</v>
      </c>
      <c r="I1493" s="7" t="s">
        <v>76</v>
      </c>
      <c r="J1493" s="7">
        <v>316</v>
      </c>
      <c r="K1493" s="7">
        <v>451.88</v>
      </c>
    </row>
    <row r="1494" spans="1:11" ht="18" customHeight="1" x14ac:dyDescent="0.25">
      <c r="A1494" s="7" t="s">
        <v>34</v>
      </c>
      <c r="B1494" s="7">
        <v>2021</v>
      </c>
      <c r="C1494" s="7" t="s">
        <v>69</v>
      </c>
      <c r="D1494" s="7" t="s">
        <v>72</v>
      </c>
      <c r="E1494" s="7" t="s">
        <v>74</v>
      </c>
      <c r="F1494" s="7" t="s">
        <v>75</v>
      </c>
      <c r="G1494" s="7" t="s">
        <v>64</v>
      </c>
      <c r="H1494" s="7" t="s">
        <v>73</v>
      </c>
      <c r="I1494" s="7" t="s">
        <v>76</v>
      </c>
      <c r="J1494" s="7">
        <v>364</v>
      </c>
      <c r="K1494" s="7">
        <v>520.52</v>
      </c>
    </row>
    <row r="1495" spans="1:11" ht="18" customHeight="1" x14ac:dyDescent="0.25">
      <c r="A1495" s="7" t="s">
        <v>34</v>
      </c>
      <c r="B1495" s="7">
        <v>2021</v>
      </c>
      <c r="C1495" s="7" t="s">
        <v>69</v>
      </c>
      <c r="D1495" s="7" t="s">
        <v>72</v>
      </c>
      <c r="E1495" s="7" t="s">
        <v>74</v>
      </c>
      <c r="F1495" s="7" t="s">
        <v>75</v>
      </c>
      <c r="G1495" s="7" t="s">
        <v>64</v>
      </c>
      <c r="H1495" s="7" t="s">
        <v>73</v>
      </c>
      <c r="I1495" s="7" t="s">
        <v>76</v>
      </c>
      <c r="J1495" s="7">
        <v>827</v>
      </c>
      <c r="K1495" s="7">
        <v>1182.6100000000001</v>
      </c>
    </row>
    <row r="1496" spans="1:11" ht="18" customHeight="1" x14ac:dyDescent="0.25">
      <c r="A1496" s="7" t="s">
        <v>19</v>
      </c>
      <c r="B1496" s="7">
        <v>2021</v>
      </c>
      <c r="C1496" s="7" t="s">
        <v>69</v>
      </c>
      <c r="D1496" s="7" t="s">
        <v>72</v>
      </c>
      <c r="E1496" s="7" t="s">
        <v>74</v>
      </c>
      <c r="F1496" s="7" t="s">
        <v>75</v>
      </c>
      <c r="G1496" s="7" t="s">
        <v>64</v>
      </c>
      <c r="H1496" s="7" t="s">
        <v>73</v>
      </c>
      <c r="I1496" s="7" t="s">
        <v>76</v>
      </c>
      <c r="J1496" s="7">
        <v>861</v>
      </c>
      <c r="K1496" s="7">
        <v>1231.23</v>
      </c>
    </row>
    <row r="1497" spans="1:11" ht="18" customHeight="1" x14ac:dyDescent="0.25">
      <c r="A1497" s="7" t="s">
        <v>19</v>
      </c>
      <c r="B1497" s="7">
        <v>2021</v>
      </c>
      <c r="C1497" s="7" t="s">
        <v>69</v>
      </c>
      <c r="D1497" s="7" t="s">
        <v>72</v>
      </c>
      <c r="E1497" s="7" t="s">
        <v>74</v>
      </c>
      <c r="F1497" s="7" t="s">
        <v>75</v>
      </c>
      <c r="G1497" s="7" t="s">
        <v>64</v>
      </c>
      <c r="H1497" s="7" t="s">
        <v>73</v>
      </c>
      <c r="I1497" s="7" t="s">
        <v>76</v>
      </c>
      <c r="J1497" s="7">
        <v>914</v>
      </c>
      <c r="K1497" s="7">
        <v>1307.02</v>
      </c>
    </row>
    <row r="1498" spans="1:11" ht="18" customHeight="1" x14ac:dyDescent="0.25">
      <c r="A1498" s="7" t="s">
        <v>19</v>
      </c>
      <c r="B1498" s="7">
        <v>2021</v>
      </c>
      <c r="C1498" s="7" t="s">
        <v>69</v>
      </c>
      <c r="D1498" s="7" t="s">
        <v>72</v>
      </c>
      <c r="E1498" s="7" t="s">
        <v>74</v>
      </c>
      <c r="F1498" s="7" t="s">
        <v>75</v>
      </c>
      <c r="G1498" s="7" t="s">
        <v>64</v>
      </c>
      <c r="H1498" s="7" t="s">
        <v>73</v>
      </c>
      <c r="I1498" s="7" t="s">
        <v>76</v>
      </c>
      <c r="J1498" s="7">
        <v>867</v>
      </c>
      <c r="K1498" s="7">
        <v>526.24</v>
      </c>
    </row>
    <row r="1499" spans="1:11" ht="18" customHeight="1" x14ac:dyDescent="0.25">
      <c r="A1499" s="7" t="s">
        <v>34</v>
      </c>
      <c r="B1499" s="7">
        <v>2021</v>
      </c>
      <c r="C1499" s="7" t="s">
        <v>69</v>
      </c>
      <c r="D1499" s="7" t="s">
        <v>72</v>
      </c>
      <c r="E1499" s="7" t="s">
        <v>74</v>
      </c>
      <c r="F1499" s="7" t="s">
        <v>75</v>
      </c>
      <c r="G1499" s="7" t="s">
        <v>64</v>
      </c>
      <c r="H1499" s="7" t="s">
        <v>73</v>
      </c>
      <c r="I1499" s="7" t="s">
        <v>76</v>
      </c>
      <c r="J1499" s="7">
        <v>363</v>
      </c>
      <c r="K1499" s="7">
        <v>526.24</v>
      </c>
    </row>
    <row r="1500" spans="1:11" ht="18" customHeight="1" x14ac:dyDescent="0.25">
      <c r="A1500" s="7" t="s">
        <v>34</v>
      </c>
      <c r="B1500" s="7">
        <v>2021</v>
      </c>
      <c r="C1500" s="7" t="s">
        <v>69</v>
      </c>
      <c r="D1500" s="7" t="s">
        <v>72</v>
      </c>
      <c r="E1500" s="7" t="s">
        <v>74</v>
      </c>
      <c r="F1500" s="7" t="s">
        <v>75</v>
      </c>
      <c r="G1500" s="7" t="s">
        <v>64</v>
      </c>
      <c r="H1500" s="7" t="s">
        <v>73</v>
      </c>
      <c r="I1500" s="7" t="s">
        <v>76</v>
      </c>
      <c r="J1500" s="7">
        <v>291</v>
      </c>
      <c r="K1500" s="7">
        <v>416.13</v>
      </c>
    </row>
    <row r="1501" spans="1:11" ht="18" customHeight="1" x14ac:dyDescent="0.25">
      <c r="A1501" s="7" t="s">
        <v>19</v>
      </c>
      <c r="B1501" s="7">
        <v>2021</v>
      </c>
      <c r="C1501" s="7" t="s">
        <v>69</v>
      </c>
      <c r="D1501" s="7" t="s">
        <v>72</v>
      </c>
      <c r="E1501" s="7" t="s">
        <v>74</v>
      </c>
      <c r="F1501" s="7" t="s">
        <v>75</v>
      </c>
      <c r="G1501" s="7" t="s">
        <v>64</v>
      </c>
      <c r="H1501" s="7" t="s">
        <v>73</v>
      </c>
      <c r="I1501" s="7" t="s">
        <v>76</v>
      </c>
      <c r="J1501" s="7">
        <v>285</v>
      </c>
      <c r="K1501" s="7">
        <v>407.55</v>
      </c>
    </row>
    <row r="1502" spans="1:11" ht="18" customHeight="1" x14ac:dyDescent="0.25">
      <c r="A1502" s="7" t="s">
        <v>19</v>
      </c>
      <c r="B1502" s="7">
        <v>2021</v>
      </c>
      <c r="C1502" s="7" t="s">
        <v>69</v>
      </c>
      <c r="D1502" s="7" t="s">
        <v>72</v>
      </c>
      <c r="E1502" s="7" t="s">
        <v>74</v>
      </c>
      <c r="F1502" s="7" t="s">
        <v>75</v>
      </c>
      <c r="G1502" s="7" t="s">
        <v>64</v>
      </c>
      <c r="H1502" s="7" t="s">
        <v>73</v>
      </c>
      <c r="I1502" s="7" t="s">
        <v>76</v>
      </c>
      <c r="J1502" s="7">
        <v>361</v>
      </c>
      <c r="K1502" s="7">
        <v>516.23</v>
      </c>
    </row>
    <row r="1503" spans="1:11" ht="18" customHeight="1" x14ac:dyDescent="0.25">
      <c r="A1503" s="7" t="s">
        <v>19</v>
      </c>
      <c r="B1503" s="7">
        <v>2021</v>
      </c>
      <c r="C1503" s="7" t="s">
        <v>69</v>
      </c>
      <c r="D1503" s="7" t="s">
        <v>72</v>
      </c>
      <c r="E1503" s="7" t="s">
        <v>74</v>
      </c>
      <c r="F1503" s="7" t="s">
        <v>75</v>
      </c>
      <c r="G1503" s="7" t="s">
        <v>64</v>
      </c>
      <c r="H1503" s="7" t="s">
        <v>73</v>
      </c>
      <c r="I1503" s="7" t="s">
        <v>76</v>
      </c>
      <c r="J1503" s="7">
        <v>289</v>
      </c>
      <c r="K1503" s="7">
        <v>413.27</v>
      </c>
    </row>
    <row r="1504" spans="1:11" ht="18" customHeight="1" x14ac:dyDescent="0.25">
      <c r="A1504" s="7" t="s">
        <v>19</v>
      </c>
      <c r="B1504" s="7">
        <v>2021</v>
      </c>
      <c r="C1504" s="7" t="s">
        <v>69</v>
      </c>
      <c r="D1504" s="7" t="s">
        <v>72</v>
      </c>
      <c r="E1504" s="7" t="s">
        <v>74</v>
      </c>
      <c r="F1504" s="7" t="s">
        <v>75</v>
      </c>
      <c r="G1504" s="7" t="s">
        <v>64</v>
      </c>
      <c r="H1504" s="7" t="s">
        <v>73</v>
      </c>
      <c r="I1504" s="7" t="s">
        <v>76</v>
      </c>
      <c r="J1504" s="7">
        <v>836</v>
      </c>
      <c r="K1504" s="7">
        <v>1195.48</v>
      </c>
    </row>
    <row r="1505" spans="1:11" ht="18" customHeight="1" x14ac:dyDescent="0.25">
      <c r="A1505" s="7" t="s">
        <v>19</v>
      </c>
      <c r="B1505" s="7">
        <v>2021</v>
      </c>
      <c r="C1505" s="7" t="s">
        <v>69</v>
      </c>
      <c r="D1505" s="7" t="s">
        <v>72</v>
      </c>
      <c r="E1505" s="7" t="s">
        <v>74</v>
      </c>
      <c r="F1505" s="7" t="s">
        <v>75</v>
      </c>
      <c r="G1505" s="7" t="s">
        <v>64</v>
      </c>
      <c r="H1505" s="7" t="s">
        <v>73</v>
      </c>
      <c r="I1505" s="7" t="s">
        <v>76</v>
      </c>
      <c r="J1505" s="7">
        <v>869</v>
      </c>
      <c r="K1505" s="7">
        <v>1242.67</v>
      </c>
    </row>
    <row r="1506" spans="1:11" ht="18" customHeight="1" x14ac:dyDescent="0.25">
      <c r="A1506" s="7" t="s">
        <v>42</v>
      </c>
      <c r="B1506" s="7">
        <v>2021</v>
      </c>
      <c r="C1506" s="7" t="s">
        <v>60</v>
      </c>
      <c r="D1506" s="7" t="s">
        <v>21</v>
      </c>
      <c r="E1506" s="7" t="s">
        <v>74</v>
      </c>
      <c r="F1506" s="7" t="s">
        <v>75</v>
      </c>
      <c r="G1506" s="7" t="s">
        <v>24</v>
      </c>
      <c r="H1506" s="7" t="s">
        <v>73</v>
      </c>
      <c r="I1506" s="7" t="s">
        <v>26</v>
      </c>
      <c r="J1506" s="7">
        <v>340</v>
      </c>
      <c r="K1506" s="7">
        <v>486.2</v>
      </c>
    </row>
    <row r="1507" spans="1:11" ht="18" customHeight="1" x14ac:dyDescent="0.25">
      <c r="A1507" s="7" t="s">
        <v>34</v>
      </c>
      <c r="B1507" s="7">
        <v>2021</v>
      </c>
      <c r="C1507" s="7" t="s">
        <v>60</v>
      </c>
      <c r="D1507" s="7" t="s">
        <v>21</v>
      </c>
      <c r="E1507" s="7" t="s">
        <v>74</v>
      </c>
      <c r="F1507" s="7" t="s">
        <v>75</v>
      </c>
      <c r="G1507" s="7" t="s">
        <v>24</v>
      </c>
      <c r="H1507" s="7" t="s">
        <v>73</v>
      </c>
      <c r="I1507" s="7" t="s">
        <v>26</v>
      </c>
      <c r="J1507" s="7">
        <v>334</v>
      </c>
      <c r="K1507" s="7">
        <v>477.62</v>
      </c>
    </row>
    <row r="1508" spans="1:11" ht="18" customHeight="1" x14ac:dyDescent="0.25">
      <c r="A1508" s="7" t="s">
        <v>34</v>
      </c>
      <c r="B1508" s="7">
        <v>2021</v>
      </c>
      <c r="C1508" s="7" t="s">
        <v>60</v>
      </c>
      <c r="D1508" s="7" t="s">
        <v>21</v>
      </c>
      <c r="E1508" s="7" t="s">
        <v>74</v>
      </c>
      <c r="F1508" s="7" t="s">
        <v>75</v>
      </c>
      <c r="G1508" s="7" t="s">
        <v>24</v>
      </c>
      <c r="H1508" s="7" t="s">
        <v>73</v>
      </c>
      <c r="I1508" s="7" t="s">
        <v>26</v>
      </c>
      <c r="J1508" s="7">
        <v>337</v>
      </c>
      <c r="K1508" s="7">
        <v>481.90999999999997</v>
      </c>
    </row>
    <row r="1509" spans="1:11" ht="18" customHeight="1" x14ac:dyDescent="0.25">
      <c r="A1509" s="7" t="s">
        <v>42</v>
      </c>
      <c r="B1509" s="7">
        <v>2021</v>
      </c>
      <c r="C1509" s="7" t="s">
        <v>60</v>
      </c>
      <c r="D1509" s="7" t="s">
        <v>21</v>
      </c>
      <c r="E1509" s="7" t="s">
        <v>74</v>
      </c>
      <c r="F1509" s="7" t="s">
        <v>75</v>
      </c>
      <c r="G1509" s="7" t="s">
        <v>24</v>
      </c>
      <c r="H1509" s="7" t="s">
        <v>73</v>
      </c>
      <c r="I1509" s="7" t="s">
        <v>26</v>
      </c>
      <c r="J1509" s="7">
        <v>331</v>
      </c>
      <c r="K1509" s="7">
        <v>473.33</v>
      </c>
    </row>
    <row r="1510" spans="1:11" ht="18" customHeight="1" x14ac:dyDescent="0.25">
      <c r="A1510" s="7" t="s">
        <v>19</v>
      </c>
      <c r="B1510" s="7">
        <v>2021</v>
      </c>
      <c r="C1510" s="7" t="s">
        <v>69</v>
      </c>
      <c r="D1510" s="7" t="s">
        <v>21</v>
      </c>
      <c r="E1510" s="7" t="s">
        <v>74</v>
      </c>
      <c r="F1510" s="7" t="s">
        <v>75</v>
      </c>
      <c r="G1510" s="7" t="s">
        <v>24</v>
      </c>
      <c r="H1510" s="7" t="s">
        <v>73</v>
      </c>
      <c r="I1510" s="7" t="s">
        <v>26</v>
      </c>
      <c r="J1510" s="7">
        <v>328</v>
      </c>
      <c r="K1510" s="7">
        <v>469.03999999999996</v>
      </c>
    </row>
    <row r="1511" spans="1:11" ht="18" customHeight="1" x14ac:dyDescent="0.25">
      <c r="A1511" s="7" t="s">
        <v>34</v>
      </c>
      <c r="B1511" s="7">
        <v>2021</v>
      </c>
      <c r="C1511" s="7" t="s">
        <v>69</v>
      </c>
      <c r="D1511" s="7" t="s">
        <v>21</v>
      </c>
      <c r="E1511" s="7" t="s">
        <v>74</v>
      </c>
      <c r="F1511" s="7" t="s">
        <v>75</v>
      </c>
      <c r="G1511" s="7" t="s">
        <v>24</v>
      </c>
      <c r="H1511" s="7" t="s">
        <v>73</v>
      </c>
      <c r="I1511" s="7" t="s">
        <v>26</v>
      </c>
      <c r="J1511" s="7">
        <v>322</v>
      </c>
      <c r="K1511" s="7">
        <v>460.46000000000004</v>
      </c>
    </row>
    <row r="1512" spans="1:11" ht="18" customHeight="1" x14ac:dyDescent="0.25">
      <c r="A1512" s="7" t="s">
        <v>19</v>
      </c>
      <c r="B1512" s="7">
        <v>2021</v>
      </c>
      <c r="C1512" s="7" t="s">
        <v>69</v>
      </c>
      <c r="D1512" s="7" t="s">
        <v>21</v>
      </c>
      <c r="E1512" s="7" t="s">
        <v>74</v>
      </c>
      <c r="F1512" s="7" t="s">
        <v>75</v>
      </c>
      <c r="G1512" s="7" t="s">
        <v>24</v>
      </c>
      <c r="H1512" s="7" t="s">
        <v>73</v>
      </c>
      <c r="I1512" s="7" t="s">
        <v>26</v>
      </c>
      <c r="J1512" s="7">
        <v>316</v>
      </c>
      <c r="K1512" s="7">
        <v>451.88</v>
      </c>
    </row>
    <row r="1513" spans="1:11" ht="18" customHeight="1" x14ac:dyDescent="0.25">
      <c r="A1513" s="7" t="s">
        <v>34</v>
      </c>
      <c r="B1513" s="7">
        <v>2021</v>
      </c>
      <c r="C1513" s="7" t="s">
        <v>69</v>
      </c>
      <c r="D1513" s="7" t="s">
        <v>21</v>
      </c>
      <c r="E1513" s="7" t="s">
        <v>74</v>
      </c>
      <c r="F1513" s="7" t="s">
        <v>75</v>
      </c>
      <c r="G1513" s="7" t="s">
        <v>24</v>
      </c>
      <c r="H1513" s="7" t="s">
        <v>73</v>
      </c>
      <c r="I1513" s="7" t="s">
        <v>26</v>
      </c>
      <c r="J1513" s="7">
        <v>325</v>
      </c>
      <c r="K1513" s="7">
        <v>464.75</v>
      </c>
    </row>
    <row r="1514" spans="1:11" ht="18" customHeight="1" x14ac:dyDescent="0.25">
      <c r="A1514" s="7" t="s">
        <v>42</v>
      </c>
      <c r="B1514" s="7">
        <v>2021</v>
      </c>
      <c r="C1514" s="7" t="s">
        <v>69</v>
      </c>
      <c r="D1514" s="7" t="s">
        <v>21</v>
      </c>
      <c r="E1514" s="7" t="s">
        <v>74</v>
      </c>
      <c r="F1514" s="7" t="s">
        <v>75</v>
      </c>
      <c r="G1514" s="7" t="s">
        <v>24</v>
      </c>
      <c r="H1514" s="7" t="s">
        <v>73</v>
      </c>
      <c r="I1514" s="7" t="s">
        <v>26</v>
      </c>
      <c r="J1514" s="7">
        <v>319</v>
      </c>
      <c r="K1514" s="7">
        <v>456.16999999999996</v>
      </c>
    </row>
    <row r="1515" spans="1:11" ht="18" customHeight="1" x14ac:dyDescent="0.25">
      <c r="A1515" s="7" t="s">
        <v>19</v>
      </c>
      <c r="B1515" s="7">
        <v>2021</v>
      </c>
      <c r="C1515" s="7" t="s">
        <v>69</v>
      </c>
      <c r="D1515" s="7" t="s">
        <v>21</v>
      </c>
      <c r="E1515" s="7" t="s">
        <v>74</v>
      </c>
      <c r="F1515" s="7" t="s">
        <v>75</v>
      </c>
      <c r="G1515" s="7" t="s">
        <v>24</v>
      </c>
      <c r="H1515" s="7" t="s">
        <v>73</v>
      </c>
      <c r="I1515" s="7" t="s">
        <v>26</v>
      </c>
      <c r="J1515" s="7">
        <v>313</v>
      </c>
      <c r="K1515" s="7">
        <v>447.59000000000003</v>
      </c>
    </row>
    <row r="1516" spans="1:11" ht="18" customHeight="1" x14ac:dyDescent="0.25">
      <c r="A1516" s="7" t="s">
        <v>42</v>
      </c>
      <c r="B1516" s="7">
        <v>2022</v>
      </c>
      <c r="C1516" s="7" t="s">
        <v>20</v>
      </c>
      <c r="D1516" s="7" t="s">
        <v>21</v>
      </c>
      <c r="E1516" s="7" t="s">
        <v>22</v>
      </c>
      <c r="F1516" s="7" t="s">
        <v>23</v>
      </c>
      <c r="G1516" s="7" t="s">
        <v>64</v>
      </c>
      <c r="H1516" s="7" t="s">
        <v>25</v>
      </c>
      <c r="I1516" s="7" t="s">
        <v>26</v>
      </c>
      <c r="J1516" s="7">
        <v>212</v>
      </c>
      <c r="K1516" s="7">
        <v>303.15999999999997</v>
      </c>
    </row>
    <row r="1517" spans="1:11" ht="18" customHeight="1" x14ac:dyDescent="0.25">
      <c r="A1517" s="7" t="s">
        <v>34</v>
      </c>
      <c r="B1517" s="7">
        <v>2022</v>
      </c>
      <c r="C1517" s="7" t="s">
        <v>20</v>
      </c>
      <c r="D1517" s="7" t="s">
        <v>21</v>
      </c>
      <c r="E1517" s="7" t="s">
        <v>22</v>
      </c>
      <c r="F1517" s="7" t="s">
        <v>23</v>
      </c>
      <c r="G1517" s="7" t="s">
        <v>64</v>
      </c>
      <c r="H1517" s="7" t="s">
        <v>25</v>
      </c>
      <c r="I1517" s="7" t="s">
        <v>26</v>
      </c>
      <c r="J1517" s="7">
        <v>206</v>
      </c>
      <c r="K1517" s="7">
        <v>294.58</v>
      </c>
    </row>
    <row r="1518" spans="1:11" ht="18" customHeight="1" x14ac:dyDescent="0.25">
      <c r="A1518" s="7" t="s">
        <v>42</v>
      </c>
      <c r="B1518" s="7">
        <v>2022</v>
      </c>
      <c r="C1518" s="7" t="s">
        <v>20</v>
      </c>
      <c r="D1518" s="7" t="s">
        <v>21</v>
      </c>
      <c r="E1518" s="7" t="s">
        <v>22</v>
      </c>
      <c r="F1518" s="7" t="s">
        <v>23</v>
      </c>
      <c r="G1518" s="7" t="s">
        <v>64</v>
      </c>
      <c r="H1518" s="7" t="s">
        <v>25</v>
      </c>
      <c r="I1518" s="7" t="s">
        <v>35</v>
      </c>
      <c r="J1518" s="7">
        <v>216</v>
      </c>
      <c r="K1518" s="7">
        <v>308.88</v>
      </c>
    </row>
    <row r="1519" spans="1:11" ht="18" customHeight="1" x14ac:dyDescent="0.25">
      <c r="A1519" s="7" t="s">
        <v>34</v>
      </c>
      <c r="B1519" s="7">
        <v>2022</v>
      </c>
      <c r="C1519" s="7" t="s">
        <v>20</v>
      </c>
      <c r="D1519" s="7" t="s">
        <v>21</v>
      </c>
      <c r="E1519" s="7" t="s">
        <v>22</v>
      </c>
      <c r="F1519" s="7" t="s">
        <v>23</v>
      </c>
      <c r="G1519" s="7" t="s">
        <v>64</v>
      </c>
      <c r="H1519" s="7" t="s">
        <v>25</v>
      </c>
      <c r="I1519" s="7" t="s">
        <v>35</v>
      </c>
      <c r="J1519" s="7">
        <v>210</v>
      </c>
      <c r="K1519" s="7">
        <v>300.3</v>
      </c>
    </row>
    <row r="1520" spans="1:11" ht="18" customHeight="1" x14ac:dyDescent="0.25">
      <c r="A1520" s="7" t="s">
        <v>42</v>
      </c>
      <c r="B1520" s="7">
        <v>2022</v>
      </c>
      <c r="C1520" s="7" t="s">
        <v>20</v>
      </c>
      <c r="D1520" s="7" t="s">
        <v>21</v>
      </c>
      <c r="E1520" s="7" t="s">
        <v>22</v>
      </c>
      <c r="F1520" s="7" t="s">
        <v>23</v>
      </c>
      <c r="G1520" s="7" t="s">
        <v>64</v>
      </c>
      <c r="H1520" s="7" t="s">
        <v>25</v>
      </c>
      <c r="I1520" s="7" t="s">
        <v>35</v>
      </c>
      <c r="J1520" s="7">
        <v>204</v>
      </c>
      <c r="K1520" s="7">
        <v>291.72000000000003</v>
      </c>
    </row>
    <row r="1521" spans="1:11" ht="18" customHeight="1" x14ac:dyDescent="0.25">
      <c r="A1521" s="7" t="s">
        <v>42</v>
      </c>
      <c r="B1521" s="7">
        <v>2022</v>
      </c>
      <c r="C1521" s="7" t="s">
        <v>20</v>
      </c>
      <c r="D1521" s="7" t="s">
        <v>21</v>
      </c>
      <c r="E1521" s="7" t="s">
        <v>22</v>
      </c>
      <c r="F1521" s="7" t="s">
        <v>23</v>
      </c>
      <c r="G1521" s="7" t="s">
        <v>64</v>
      </c>
      <c r="H1521" s="7" t="s">
        <v>25</v>
      </c>
      <c r="I1521" s="7" t="s">
        <v>35</v>
      </c>
      <c r="J1521" s="7">
        <v>213</v>
      </c>
      <c r="K1521" s="7">
        <v>304.59000000000003</v>
      </c>
    </row>
    <row r="1522" spans="1:11" ht="18" customHeight="1" x14ac:dyDescent="0.25">
      <c r="A1522" s="7" t="s">
        <v>19</v>
      </c>
      <c r="B1522" s="7">
        <v>2022</v>
      </c>
      <c r="C1522" s="7" t="s">
        <v>20</v>
      </c>
      <c r="D1522" s="7" t="s">
        <v>21</v>
      </c>
      <c r="E1522" s="7" t="s">
        <v>22</v>
      </c>
      <c r="F1522" s="7" t="s">
        <v>23</v>
      </c>
      <c r="G1522" s="7" t="s">
        <v>64</v>
      </c>
      <c r="H1522" s="7" t="s">
        <v>25</v>
      </c>
      <c r="I1522" s="7" t="s">
        <v>35</v>
      </c>
      <c r="J1522" s="7">
        <v>207</v>
      </c>
      <c r="K1522" s="7">
        <v>296.01</v>
      </c>
    </row>
    <row r="1523" spans="1:11" ht="18" customHeight="1" x14ac:dyDescent="0.25">
      <c r="A1523" s="7" t="s">
        <v>34</v>
      </c>
      <c r="B1523" s="7">
        <v>2022</v>
      </c>
      <c r="C1523" s="7" t="s">
        <v>20</v>
      </c>
      <c r="D1523" s="7" t="s">
        <v>21</v>
      </c>
      <c r="E1523" s="7" t="s">
        <v>22</v>
      </c>
      <c r="F1523" s="7" t="s">
        <v>23</v>
      </c>
      <c r="G1523" s="7" t="s">
        <v>64</v>
      </c>
      <c r="H1523" s="7" t="s">
        <v>25</v>
      </c>
      <c r="I1523" s="7" t="s">
        <v>35</v>
      </c>
      <c r="J1523" s="7">
        <v>201</v>
      </c>
      <c r="K1523" s="7">
        <v>287.43</v>
      </c>
    </row>
    <row r="1524" spans="1:11" ht="18" customHeight="1" x14ac:dyDescent="0.25">
      <c r="A1524" s="7" t="s">
        <v>34</v>
      </c>
      <c r="B1524" s="7">
        <v>2022</v>
      </c>
      <c r="C1524" s="7" t="s">
        <v>20</v>
      </c>
      <c r="D1524" s="7" t="s">
        <v>21</v>
      </c>
      <c r="E1524" s="7" t="s">
        <v>22</v>
      </c>
      <c r="F1524" s="7" t="s">
        <v>23</v>
      </c>
      <c r="G1524" s="7" t="s">
        <v>64</v>
      </c>
      <c r="H1524" s="7" t="s">
        <v>25</v>
      </c>
      <c r="I1524" s="7" t="s">
        <v>26</v>
      </c>
      <c r="J1524" s="7">
        <v>215</v>
      </c>
      <c r="K1524" s="7">
        <v>307.45</v>
      </c>
    </row>
    <row r="1525" spans="1:11" ht="18" customHeight="1" x14ac:dyDescent="0.25">
      <c r="A1525" s="7" t="s">
        <v>34</v>
      </c>
      <c r="B1525" s="7">
        <v>2022</v>
      </c>
      <c r="C1525" s="7" t="s">
        <v>20</v>
      </c>
      <c r="D1525" s="7" t="s">
        <v>21</v>
      </c>
      <c r="E1525" s="7" t="s">
        <v>22</v>
      </c>
      <c r="F1525" s="7" t="s">
        <v>23</v>
      </c>
      <c r="G1525" s="7" t="s">
        <v>64</v>
      </c>
      <c r="H1525" s="7" t="s">
        <v>25</v>
      </c>
      <c r="I1525" s="7" t="s">
        <v>26</v>
      </c>
      <c r="J1525" s="7">
        <v>209</v>
      </c>
      <c r="K1525" s="7">
        <v>298.87</v>
      </c>
    </row>
    <row r="1526" spans="1:11" ht="18" customHeight="1" x14ac:dyDescent="0.25">
      <c r="A1526" s="7" t="s">
        <v>53</v>
      </c>
      <c r="B1526" s="7">
        <v>2022</v>
      </c>
      <c r="C1526" s="7" t="s">
        <v>20</v>
      </c>
      <c r="D1526" s="7" t="s">
        <v>21</v>
      </c>
      <c r="E1526" s="7" t="s">
        <v>22</v>
      </c>
      <c r="F1526" s="7" t="s">
        <v>23</v>
      </c>
      <c r="G1526" s="7" t="s">
        <v>64</v>
      </c>
      <c r="H1526" s="7" t="s">
        <v>25</v>
      </c>
      <c r="I1526" s="7" t="s">
        <v>26</v>
      </c>
      <c r="J1526" s="7">
        <v>203</v>
      </c>
      <c r="K1526" s="7">
        <v>290.28999999999996</v>
      </c>
    </row>
    <row r="1527" spans="1:11" ht="18" customHeight="1" x14ac:dyDescent="0.25">
      <c r="A1527" s="7" t="s">
        <v>34</v>
      </c>
      <c r="B1527" s="7">
        <v>2022</v>
      </c>
      <c r="C1527" s="7" t="s">
        <v>60</v>
      </c>
      <c r="D1527" s="7" t="s">
        <v>21</v>
      </c>
      <c r="E1527" s="7" t="s">
        <v>22</v>
      </c>
      <c r="F1527" s="7" t="s">
        <v>23</v>
      </c>
      <c r="G1527" s="7" t="s">
        <v>64</v>
      </c>
      <c r="H1527" s="7" t="s">
        <v>25</v>
      </c>
      <c r="I1527" s="7" t="s">
        <v>35</v>
      </c>
      <c r="J1527" s="7">
        <v>158</v>
      </c>
      <c r="K1527" s="7">
        <v>225.94</v>
      </c>
    </row>
    <row r="1528" spans="1:11" ht="18" customHeight="1" x14ac:dyDescent="0.25">
      <c r="A1528" s="7" t="s">
        <v>34</v>
      </c>
      <c r="B1528" s="7">
        <v>2022</v>
      </c>
      <c r="C1528" s="7" t="s">
        <v>60</v>
      </c>
      <c r="D1528" s="7" t="s">
        <v>21</v>
      </c>
      <c r="E1528" s="7" t="s">
        <v>22</v>
      </c>
      <c r="F1528" s="7" t="s">
        <v>23</v>
      </c>
      <c r="G1528" s="7" t="s">
        <v>64</v>
      </c>
      <c r="H1528" s="7" t="s">
        <v>25</v>
      </c>
      <c r="I1528" s="7" t="s">
        <v>35</v>
      </c>
      <c r="J1528" s="7">
        <v>160</v>
      </c>
      <c r="K1528" s="7">
        <v>228.8</v>
      </c>
    </row>
    <row r="1529" spans="1:11" ht="18" customHeight="1" x14ac:dyDescent="0.25">
      <c r="A1529" s="7" t="s">
        <v>61</v>
      </c>
      <c r="B1529" s="7">
        <v>2022</v>
      </c>
      <c r="C1529" s="7" t="s">
        <v>60</v>
      </c>
      <c r="D1529" s="7" t="s">
        <v>21</v>
      </c>
      <c r="E1529" s="7" t="s">
        <v>22</v>
      </c>
      <c r="F1529" s="7" t="s">
        <v>23</v>
      </c>
      <c r="G1529" s="7" t="s">
        <v>64</v>
      </c>
      <c r="H1529" s="7" t="s">
        <v>25</v>
      </c>
      <c r="I1529" s="7" t="s">
        <v>35</v>
      </c>
      <c r="J1529" s="7">
        <v>162</v>
      </c>
      <c r="K1529" s="7">
        <v>231.66</v>
      </c>
    </row>
    <row r="1530" spans="1:11" ht="18" customHeight="1" x14ac:dyDescent="0.25">
      <c r="A1530" s="7" t="s">
        <v>19</v>
      </c>
      <c r="B1530" s="7">
        <v>2022</v>
      </c>
      <c r="C1530" s="7" t="s">
        <v>60</v>
      </c>
      <c r="D1530" s="7" t="s">
        <v>21</v>
      </c>
      <c r="E1530" s="7" t="s">
        <v>22</v>
      </c>
      <c r="F1530" s="7" t="s">
        <v>23</v>
      </c>
      <c r="G1530" s="7" t="s">
        <v>64</v>
      </c>
      <c r="H1530" s="7" t="s">
        <v>25</v>
      </c>
      <c r="I1530" s="7" t="s">
        <v>35</v>
      </c>
      <c r="J1530" s="7">
        <v>159</v>
      </c>
      <c r="K1530" s="7">
        <v>227.37</v>
      </c>
    </row>
    <row r="1531" spans="1:11" ht="18" customHeight="1" x14ac:dyDescent="0.25">
      <c r="A1531" s="7" t="s">
        <v>34</v>
      </c>
      <c r="B1531" s="7">
        <v>2022</v>
      </c>
      <c r="C1531" s="7" t="s">
        <v>60</v>
      </c>
      <c r="D1531" s="7" t="s">
        <v>21</v>
      </c>
      <c r="E1531" s="7" t="s">
        <v>22</v>
      </c>
      <c r="F1531" s="7" t="s">
        <v>23</v>
      </c>
      <c r="G1531" s="7" t="s">
        <v>64</v>
      </c>
      <c r="H1531" s="7" t="s">
        <v>25</v>
      </c>
      <c r="I1531" s="7" t="s">
        <v>35</v>
      </c>
      <c r="J1531" s="7">
        <v>161</v>
      </c>
      <c r="K1531" s="7">
        <v>230.23000000000002</v>
      </c>
    </row>
    <row r="1532" spans="1:11" ht="18" customHeight="1" x14ac:dyDescent="0.25">
      <c r="A1532" s="7" t="s">
        <v>53</v>
      </c>
      <c r="B1532" s="7">
        <v>2022</v>
      </c>
      <c r="C1532" s="7" t="s">
        <v>59</v>
      </c>
      <c r="D1532" s="7" t="s">
        <v>21</v>
      </c>
      <c r="E1532" s="7" t="s">
        <v>22</v>
      </c>
      <c r="F1532" s="7" t="s">
        <v>23</v>
      </c>
      <c r="G1532" s="7" t="s">
        <v>64</v>
      </c>
      <c r="H1532" s="7" t="s">
        <v>25</v>
      </c>
      <c r="I1532" s="7" t="s">
        <v>26</v>
      </c>
      <c r="J1532" s="7">
        <v>248</v>
      </c>
      <c r="K1532" s="7">
        <v>354.64</v>
      </c>
    </row>
    <row r="1533" spans="1:11" ht="18" customHeight="1" x14ac:dyDescent="0.25">
      <c r="A1533" s="7" t="s">
        <v>34</v>
      </c>
      <c r="B1533" s="7">
        <v>2022</v>
      </c>
      <c r="C1533" s="7" t="s">
        <v>59</v>
      </c>
      <c r="D1533" s="7" t="s">
        <v>21</v>
      </c>
      <c r="E1533" s="7" t="s">
        <v>22</v>
      </c>
      <c r="F1533" s="7" t="s">
        <v>23</v>
      </c>
      <c r="G1533" s="7" t="s">
        <v>64</v>
      </c>
      <c r="H1533" s="7" t="s">
        <v>25</v>
      </c>
      <c r="I1533" s="7" t="s">
        <v>26</v>
      </c>
      <c r="J1533" s="7">
        <v>242</v>
      </c>
      <c r="K1533" s="7">
        <v>346.06</v>
      </c>
    </row>
    <row r="1534" spans="1:11" ht="18" customHeight="1" x14ac:dyDescent="0.25">
      <c r="A1534" s="7" t="s">
        <v>42</v>
      </c>
      <c r="B1534" s="7">
        <v>2022</v>
      </c>
      <c r="C1534" s="7" t="s">
        <v>59</v>
      </c>
      <c r="D1534" s="7" t="s">
        <v>21</v>
      </c>
      <c r="E1534" s="7" t="s">
        <v>22</v>
      </c>
      <c r="F1534" s="7" t="s">
        <v>23</v>
      </c>
      <c r="G1534" s="7" t="s">
        <v>64</v>
      </c>
      <c r="H1534" s="7" t="s">
        <v>25</v>
      </c>
      <c r="I1534" s="7" t="s">
        <v>26</v>
      </c>
      <c r="J1534" s="7">
        <v>236</v>
      </c>
      <c r="K1534" s="7">
        <v>337.48</v>
      </c>
    </row>
    <row r="1535" spans="1:11" ht="18" customHeight="1" x14ac:dyDescent="0.25">
      <c r="A1535" s="7" t="s">
        <v>42</v>
      </c>
      <c r="B1535" s="7">
        <v>2022</v>
      </c>
      <c r="C1535" s="7" t="s">
        <v>59</v>
      </c>
      <c r="D1535" s="7" t="s">
        <v>21</v>
      </c>
      <c r="E1535" s="7" t="s">
        <v>22</v>
      </c>
      <c r="F1535" s="7" t="s">
        <v>23</v>
      </c>
      <c r="G1535" s="7" t="s">
        <v>64</v>
      </c>
      <c r="H1535" s="7" t="s">
        <v>25</v>
      </c>
      <c r="I1535" s="7" t="s">
        <v>35</v>
      </c>
      <c r="J1535" s="7">
        <v>246</v>
      </c>
      <c r="K1535" s="7">
        <v>351.78</v>
      </c>
    </row>
    <row r="1536" spans="1:11" ht="18" customHeight="1" x14ac:dyDescent="0.25">
      <c r="A1536" s="7" t="s">
        <v>19</v>
      </c>
      <c r="B1536" s="7">
        <v>2022</v>
      </c>
      <c r="C1536" s="7" t="s">
        <v>59</v>
      </c>
      <c r="D1536" s="7" t="s">
        <v>21</v>
      </c>
      <c r="E1536" s="7" t="s">
        <v>22</v>
      </c>
      <c r="F1536" s="7" t="s">
        <v>23</v>
      </c>
      <c r="G1536" s="7" t="s">
        <v>64</v>
      </c>
      <c r="H1536" s="7" t="s">
        <v>25</v>
      </c>
      <c r="I1536" s="7" t="s">
        <v>35</v>
      </c>
      <c r="J1536" s="7">
        <v>240</v>
      </c>
      <c r="K1536" s="7">
        <v>343.2</v>
      </c>
    </row>
    <row r="1537" spans="1:11" ht="18" customHeight="1" x14ac:dyDescent="0.25">
      <c r="A1537" s="7" t="s">
        <v>42</v>
      </c>
      <c r="B1537" s="7">
        <v>2022</v>
      </c>
      <c r="C1537" s="7" t="s">
        <v>59</v>
      </c>
      <c r="D1537" s="7" t="s">
        <v>21</v>
      </c>
      <c r="E1537" s="7" t="s">
        <v>22</v>
      </c>
      <c r="F1537" s="7" t="s">
        <v>23</v>
      </c>
      <c r="G1537" s="7" t="s">
        <v>64</v>
      </c>
      <c r="H1537" s="7" t="s">
        <v>25</v>
      </c>
      <c r="I1537" s="7" t="s">
        <v>35</v>
      </c>
      <c r="J1537" s="7">
        <v>234</v>
      </c>
      <c r="K1537" s="7">
        <v>334.62</v>
      </c>
    </row>
    <row r="1538" spans="1:11" ht="18" customHeight="1" x14ac:dyDescent="0.25">
      <c r="A1538" s="7" t="s">
        <v>19</v>
      </c>
      <c r="B1538" s="7">
        <v>2022</v>
      </c>
      <c r="C1538" s="7" t="s">
        <v>59</v>
      </c>
      <c r="D1538" s="7" t="s">
        <v>21</v>
      </c>
      <c r="E1538" s="7" t="s">
        <v>22</v>
      </c>
      <c r="F1538" s="7" t="s">
        <v>23</v>
      </c>
      <c r="G1538" s="7" t="s">
        <v>64</v>
      </c>
      <c r="H1538" s="7" t="s">
        <v>25</v>
      </c>
      <c r="I1538" s="7" t="s">
        <v>35</v>
      </c>
      <c r="J1538" s="7">
        <v>243</v>
      </c>
      <c r="K1538" s="7">
        <v>347.49</v>
      </c>
    </row>
    <row r="1539" spans="1:11" ht="18" customHeight="1" x14ac:dyDescent="0.25">
      <c r="A1539" s="7" t="s">
        <v>34</v>
      </c>
      <c r="B1539" s="7">
        <v>2022</v>
      </c>
      <c r="C1539" s="7" t="s">
        <v>59</v>
      </c>
      <c r="D1539" s="7" t="s">
        <v>21</v>
      </c>
      <c r="E1539" s="7" t="s">
        <v>22</v>
      </c>
      <c r="F1539" s="7" t="s">
        <v>23</v>
      </c>
      <c r="G1539" s="7" t="s">
        <v>64</v>
      </c>
      <c r="H1539" s="7" t="s">
        <v>25</v>
      </c>
      <c r="I1539" s="7" t="s">
        <v>35</v>
      </c>
      <c r="J1539" s="7">
        <v>237</v>
      </c>
      <c r="K1539" s="7">
        <v>338.90999999999997</v>
      </c>
    </row>
    <row r="1540" spans="1:11" ht="18" customHeight="1" x14ac:dyDescent="0.25">
      <c r="A1540" s="7" t="s">
        <v>42</v>
      </c>
      <c r="B1540" s="7">
        <v>2022</v>
      </c>
      <c r="C1540" s="7" t="s">
        <v>59</v>
      </c>
      <c r="D1540" s="7" t="s">
        <v>21</v>
      </c>
      <c r="E1540" s="7" t="s">
        <v>22</v>
      </c>
      <c r="F1540" s="7" t="s">
        <v>23</v>
      </c>
      <c r="G1540" s="7" t="s">
        <v>64</v>
      </c>
      <c r="H1540" s="7" t="s">
        <v>25</v>
      </c>
      <c r="I1540" s="7" t="s">
        <v>26</v>
      </c>
      <c r="J1540" s="7">
        <v>245</v>
      </c>
      <c r="K1540" s="7">
        <v>350.35</v>
      </c>
    </row>
    <row r="1541" spans="1:11" ht="18" customHeight="1" x14ac:dyDescent="0.25">
      <c r="A1541" s="7" t="s">
        <v>34</v>
      </c>
      <c r="B1541" s="7">
        <v>2022</v>
      </c>
      <c r="C1541" s="7" t="s">
        <v>59</v>
      </c>
      <c r="D1541" s="7" t="s">
        <v>21</v>
      </c>
      <c r="E1541" s="7" t="s">
        <v>22</v>
      </c>
      <c r="F1541" s="7" t="s">
        <v>23</v>
      </c>
      <c r="G1541" s="7" t="s">
        <v>64</v>
      </c>
      <c r="H1541" s="7" t="s">
        <v>25</v>
      </c>
      <c r="I1541" s="7" t="s">
        <v>26</v>
      </c>
      <c r="J1541" s="7">
        <v>239</v>
      </c>
      <c r="K1541" s="7">
        <v>341.77</v>
      </c>
    </row>
    <row r="1542" spans="1:11" ht="18" customHeight="1" x14ac:dyDescent="0.25">
      <c r="A1542" s="7" t="s">
        <v>34</v>
      </c>
      <c r="B1542" s="7">
        <v>2022</v>
      </c>
      <c r="C1542" s="7" t="s">
        <v>59</v>
      </c>
      <c r="D1542" s="7" t="s">
        <v>21</v>
      </c>
      <c r="E1542" s="7" t="s">
        <v>22</v>
      </c>
      <c r="F1542" s="7" t="s">
        <v>23</v>
      </c>
      <c r="G1542" s="7" t="s">
        <v>64</v>
      </c>
      <c r="H1542" s="7" t="s">
        <v>25</v>
      </c>
      <c r="I1542" s="7" t="s">
        <v>26</v>
      </c>
      <c r="J1542" s="7">
        <v>233</v>
      </c>
      <c r="K1542" s="7">
        <v>333.19</v>
      </c>
    </row>
    <row r="1543" spans="1:11" ht="18" customHeight="1" x14ac:dyDescent="0.25">
      <c r="A1543" s="7" t="s">
        <v>34</v>
      </c>
      <c r="B1543" s="7">
        <v>2022</v>
      </c>
      <c r="C1543" s="7" t="s">
        <v>27</v>
      </c>
      <c r="D1543" s="7" t="s">
        <v>21</v>
      </c>
      <c r="E1543" s="7" t="s">
        <v>22</v>
      </c>
      <c r="F1543" s="7" t="s">
        <v>23</v>
      </c>
      <c r="G1543" s="7" t="s">
        <v>64</v>
      </c>
      <c r="H1543" s="7" t="s">
        <v>25</v>
      </c>
      <c r="I1543" s="7" t="s">
        <v>26</v>
      </c>
      <c r="J1543" s="7">
        <v>260</v>
      </c>
      <c r="K1543" s="7">
        <v>371.8</v>
      </c>
    </row>
    <row r="1544" spans="1:11" ht="18" customHeight="1" x14ac:dyDescent="0.25">
      <c r="A1544" s="7" t="s">
        <v>42</v>
      </c>
      <c r="B1544" s="7">
        <v>2022</v>
      </c>
      <c r="C1544" s="7" t="s">
        <v>27</v>
      </c>
      <c r="D1544" s="7" t="s">
        <v>21</v>
      </c>
      <c r="E1544" s="7" t="s">
        <v>22</v>
      </c>
      <c r="F1544" s="7" t="s">
        <v>23</v>
      </c>
      <c r="G1544" s="7" t="s">
        <v>64</v>
      </c>
      <c r="H1544" s="7" t="s">
        <v>25</v>
      </c>
      <c r="I1544" s="7" t="s">
        <v>26</v>
      </c>
      <c r="J1544" s="7">
        <v>254</v>
      </c>
      <c r="K1544" s="7">
        <v>363.22</v>
      </c>
    </row>
    <row r="1545" spans="1:11" ht="18" customHeight="1" x14ac:dyDescent="0.25">
      <c r="A1545" s="7" t="s">
        <v>19</v>
      </c>
      <c r="B1545" s="7">
        <v>2022</v>
      </c>
      <c r="C1545" s="7" t="s">
        <v>27</v>
      </c>
      <c r="D1545" s="7" t="s">
        <v>21</v>
      </c>
      <c r="E1545" s="7" t="s">
        <v>22</v>
      </c>
      <c r="F1545" s="7" t="s">
        <v>23</v>
      </c>
      <c r="G1545" s="7" t="s">
        <v>64</v>
      </c>
      <c r="H1545" s="7" t="s">
        <v>25</v>
      </c>
      <c r="I1545" s="7" t="s">
        <v>26</v>
      </c>
      <c r="J1545" s="7">
        <v>264</v>
      </c>
      <c r="K1545" s="7">
        <v>526.24</v>
      </c>
    </row>
    <row r="1546" spans="1:11" ht="18" customHeight="1" x14ac:dyDescent="0.25">
      <c r="A1546" s="7" t="s">
        <v>42</v>
      </c>
      <c r="B1546" s="7">
        <v>2022</v>
      </c>
      <c r="C1546" s="7" t="s">
        <v>27</v>
      </c>
      <c r="D1546" s="7" t="s">
        <v>21</v>
      </c>
      <c r="E1546" s="7" t="s">
        <v>22</v>
      </c>
      <c r="F1546" s="7" t="s">
        <v>23</v>
      </c>
      <c r="G1546" s="7" t="s">
        <v>64</v>
      </c>
      <c r="H1546" s="7" t="s">
        <v>25</v>
      </c>
      <c r="I1546" s="7" t="s">
        <v>35</v>
      </c>
      <c r="J1546" s="7">
        <v>258</v>
      </c>
      <c r="K1546" s="7">
        <v>526.24</v>
      </c>
    </row>
    <row r="1547" spans="1:11" ht="18" customHeight="1" x14ac:dyDescent="0.25">
      <c r="A1547" s="7" t="s">
        <v>34</v>
      </c>
      <c r="B1547" s="7">
        <v>2022</v>
      </c>
      <c r="C1547" s="7" t="s">
        <v>27</v>
      </c>
      <c r="D1547" s="7" t="s">
        <v>21</v>
      </c>
      <c r="E1547" s="7" t="s">
        <v>22</v>
      </c>
      <c r="F1547" s="7" t="s">
        <v>23</v>
      </c>
      <c r="G1547" s="7" t="s">
        <v>64</v>
      </c>
      <c r="H1547" s="7" t="s">
        <v>25</v>
      </c>
      <c r="I1547" s="7" t="s">
        <v>35</v>
      </c>
      <c r="J1547" s="7">
        <v>252</v>
      </c>
      <c r="K1547" s="7">
        <v>360.36</v>
      </c>
    </row>
    <row r="1548" spans="1:11" ht="18" customHeight="1" x14ac:dyDescent="0.25">
      <c r="A1548" s="7" t="s">
        <v>19</v>
      </c>
      <c r="B1548" s="7">
        <v>2022</v>
      </c>
      <c r="C1548" s="7" t="s">
        <v>27</v>
      </c>
      <c r="D1548" s="7" t="s">
        <v>21</v>
      </c>
      <c r="E1548" s="7" t="s">
        <v>22</v>
      </c>
      <c r="F1548" s="7" t="s">
        <v>23</v>
      </c>
      <c r="G1548" s="7" t="s">
        <v>64</v>
      </c>
      <c r="H1548" s="7" t="s">
        <v>25</v>
      </c>
      <c r="I1548" s="7" t="s">
        <v>26</v>
      </c>
      <c r="J1548" s="7">
        <v>261</v>
      </c>
      <c r="K1548" s="7">
        <v>373.23</v>
      </c>
    </row>
    <row r="1549" spans="1:11" ht="18" customHeight="1" x14ac:dyDescent="0.25">
      <c r="A1549" s="7" t="s">
        <v>34</v>
      </c>
      <c r="B1549" s="7">
        <v>2022</v>
      </c>
      <c r="C1549" s="7" t="s">
        <v>27</v>
      </c>
      <c r="D1549" s="7" t="s">
        <v>21</v>
      </c>
      <c r="E1549" s="7" t="s">
        <v>22</v>
      </c>
      <c r="F1549" s="7" t="s">
        <v>23</v>
      </c>
      <c r="G1549" s="7" t="s">
        <v>64</v>
      </c>
      <c r="H1549" s="7" t="s">
        <v>25</v>
      </c>
      <c r="I1549" s="7" t="s">
        <v>35</v>
      </c>
      <c r="J1549" s="7">
        <v>255</v>
      </c>
      <c r="K1549" s="7">
        <v>364.65</v>
      </c>
    </row>
    <row r="1550" spans="1:11" ht="18" customHeight="1" x14ac:dyDescent="0.25">
      <c r="A1550" s="7" t="s">
        <v>19</v>
      </c>
      <c r="B1550" s="7">
        <v>2022</v>
      </c>
      <c r="C1550" s="7" t="s">
        <v>27</v>
      </c>
      <c r="D1550" s="7" t="s">
        <v>21</v>
      </c>
      <c r="E1550" s="7" t="s">
        <v>22</v>
      </c>
      <c r="F1550" s="7" t="s">
        <v>23</v>
      </c>
      <c r="G1550" s="7" t="s">
        <v>64</v>
      </c>
      <c r="H1550" s="7" t="s">
        <v>25</v>
      </c>
      <c r="I1550" s="7" t="s">
        <v>35</v>
      </c>
      <c r="J1550" s="7">
        <v>249</v>
      </c>
      <c r="K1550" s="7">
        <v>356.07</v>
      </c>
    </row>
    <row r="1551" spans="1:11" ht="18" customHeight="1" x14ac:dyDescent="0.25">
      <c r="A1551" s="7" t="s">
        <v>53</v>
      </c>
      <c r="B1551" s="7">
        <v>2022</v>
      </c>
      <c r="C1551" s="7" t="s">
        <v>27</v>
      </c>
      <c r="D1551" s="7" t="s">
        <v>21</v>
      </c>
      <c r="E1551" s="7" t="s">
        <v>22</v>
      </c>
      <c r="F1551" s="7" t="s">
        <v>23</v>
      </c>
      <c r="G1551" s="7" t="s">
        <v>64</v>
      </c>
      <c r="H1551" s="7" t="s">
        <v>25</v>
      </c>
      <c r="I1551" s="7" t="s">
        <v>26</v>
      </c>
      <c r="J1551" s="7">
        <v>263</v>
      </c>
      <c r="K1551" s="7">
        <v>376.09000000000003</v>
      </c>
    </row>
    <row r="1552" spans="1:11" ht="18" customHeight="1" x14ac:dyDescent="0.25">
      <c r="A1552" s="7" t="s">
        <v>34</v>
      </c>
      <c r="B1552" s="7">
        <v>2022</v>
      </c>
      <c r="C1552" s="7" t="s">
        <v>27</v>
      </c>
      <c r="D1552" s="7" t="s">
        <v>21</v>
      </c>
      <c r="E1552" s="7" t="s">
        <v>22</v>
      </c>
      <c r="F1552" s="7" t="s">
        <v>23</v>
      </c>
      <c r="G1552" s="7" t="s">
        <v>64</v>
      </c>
      <c r="H1552" s="7" t="s">
        <v>25</v>
      </c>
      <c r="I1552" s="7" t="s">
        <v>26</v>
      </c>
      <c r="J1552" s="7">
        <v>257</v>
      </c>
      <c r="K1552" s="7">
        <v>367.51</v>
      </c>
    </row>
    <row r="1553" spans="1:11" ht="18" customHeight="1" x14ac:dyDescent="0.25">
      <c r="A1553" s="7" t="s">
        <v>19</v>
      </c>
      <c r="B1553" s="7">
        <v>2022</v>
      </c>
      <c r="C1553" s="7" t="s">
        <v>27</v>
      </c>
      <c r="D1553" s="7" t="s">
        <v>21</v>
      </c>
      <c r="E1553" s="7" t="s">
        <v>22</v>
      </c>
      <c r="F1553" s="7" t="s">
        <v>23</v>
      </c>
      <c r="G1553" s="7" t="s">
        <v>64</v>
      </c>
      <c r="H1553" s="7" t="s">
        <v>25</v>
      </c>
      <c r="I1553" s="7" t="s">
        <v>26</v>
      </c>
      <c r="J1553" s="7">
        <v>251</v>
      </c>
      <c r="K1553" s="7">
        <v>358.93</v>
      </c>
    </row>
    <row r="1554" spans="1:11" ht="18" customHeight="1" x14ac:dyDescent="0.25">
      <c r="A1554" s="7" t="s">
        <v>61</v>
      </c>
      <c r="B1554" s="7">
        <v>2022</v>
      </c>
      <c r="C1554" s="7" t="s">
        <v>68</v>
      </c>
      <c r="D1554" s="7" t="s">
        <v>21</v>
      </c>
      <c r="E1554" s="7" t="s">
        <v>22</v>
      </c>
      <c r="F1554" s="7" t="s">
        <v>23</v>
      </c>
      <c r="G1554" s="7" t="s">
        <v>64</v>
      </c>
      <c r="H1554" s="7" t="s">
        <v>25</v>
      </c>
      <c r="I1554" s="7" t="s">
        <v>35</v>
      </c>
      <c r="J1554" s="7">
        <v>164</v>
      </c>
      <c r="K1554" s="7">
        <v>234.51999999999998</v>
      </c>
    </row>
    <row r="1555" spans="1:11" ht="18" customHeight="1" x14ac:dyDescent="0.25">
      <c r="A1555" s="7" t="s">
        <v>34</v>
      </c>
      <c r="B1555" s="7">
        <v>2022</v>
      </c>
      <c r="C1555" s="7" t="s">
        <v>68</v>
      </c>
      <c r="D1555" s="7" t="s">
        <v>21</v>
      </c>
      <c r="E1555" s="7" t="s">
        <v>22</v>
      </c>
      <c r="F1555" s="7" t="s">
        <v>23</v>
      </c>
      <c r="G1555" s="7" t="s">
        <v>64</v>
      </c>
      <c r="H1555" s="7" t="s">
        <v>25</v>
      </c>
      <c r="I1555" s="7" t="s">
        <v>35</v>
      </c>
      <c r="J1555" s="7">
        <v>166</v>
      </c>
      <c r="K1555" s="7">
        <v>237.38</v>
      </c>
    </row>
    <row r="1556" spans="1:11" ht="18" customHeight="1" x14ac:dyDescent="0.25">
      <c r="A1556" s="7" t="s">
        <v>34</v>
      </c>
      <c r="B1556" s="7">
        <v>2022</v>
      </c>
      <c r="C1556" s="7" t="s">
        <v>68</v>
      </c>
      <c r="D1556" s="7" t="s">
        <v>21</v>
      </c>
      <c r="E1556" s="7" t="s">
        <v>22</v>
      </c>
      <c r="F1556" s="7" t="s">
        <v>23</v>
      </c>
      <c r="G1556" s="7" t="s">
        <v>64</v>
      </c>
      <c r="H1556" s="7" t="s">
        <v>25</v>
      </c>
      <c r="I1556" s="7" t="s">
        <v>35</v>
      </c>
      <c r="J1556" s="7">
        <v>168</v>
      </c>
      <c r="K1556" s="7">
        <v>240.24</v>
      </c>
    </row>
    <row r="1557" spans="1:11" ht="18" customHeight="1" x14ac:dyDescent="0.25">
      <c r="A1557" s="7" t="s">
        <v>42</v>
      </c>
      <c r="B1557" s="7">
        <v>2022</v>
      </c>
      <c r="C1557" s="7" t="s">
        <v>68</v>
      </c>
      <c r="D1557" s="7" t="s">
        <v>21</v>
      </c>
      <c r="E1557" s="7" t="s">
        <v>22</v>
      </c>
      <c r="F1557" s="7" t="s">
        <v>23</v>
      </c>
      <c r="G1557" s="7" t="s">
        <v>64</v>
      </c>
      <c r="H1557" s="7" t="s">
        <v>25</v>
      </c>
      <c r="I1557" s="7" t="s">
        <v>35</v>
      </c>
      <c r="J1557" s="7">
        <v>165</v>
      </c>
      <c r="K1557" s="7">
        <v>235.95</v>
      </c>
    </row>
    <row r="1558" spans="1:11" ht="18" customHeight="1" x14ac:dyDescent="0.25">
      <c r="A1558" s="7" t="s">
        <v>34</v>
      </c>
      <c r="B1558" s="7">
        <v>2022</v>
      </c>
      <c r="C1558" s="7" t="s">
        <v>68</v>
      </c>
      <c r="D1558" s="7" t="s">
        <v>21</v>
      </c>
      <c r="E1558" s="7" t="s">
        <v>22</v>
      </c>
      <c r="F1558" s="7" t="s">
        <v>23</v>
      </c>
      <c r="G1558" s="7" t="s">
        <v>64</v>
      </c>
      <c r="H1558" s="7" t="s">
        <v>25</v>
      </c>
      <c r="I1558" s="7" t="s">
        <v>35</v>
      </c>
      <c r="J1558" s="7">
        <v>163</v>
      </c>
      <c r="K1558" s="7">
        <v>233.09</v>
      </c>
    </row>
    <row r="1559" spans="1:11" ht="18" customHeight="1" x14ac:dyDescent="0.25">
      <c r="A1559" s="7" t="s">
        <v>61</v>
      </c>
      <c r="B1559" s="7">
        <v>2022</v>
      </c>
      <c r="C1559" s="7" t="s">
        <v>68</v>
      </c>
      <c r="D1559" s="7" t="s">
        <v>21</v>
      </c>
      <c r="E1559" s="7" t="s">
        <v>22</v>
      </c>
      <c r="F1559" s="7" t="s">
        <v>23</v>
      </c>
      <c r="G1559" s="7" t="s">
        <v>64</v>
      </c>
      <c r="H1559" s="7" t="s">
        <v>25</v>
      </c>
      <c r="I1559" s="7" t="s">
        <v>35</v>
      </c>
      <c r="J1559" s="7">
        <v>167</v>
      </c>
      <c r="K1559" s="7">
        <v>238.81</v>
      </c>
    </row>
    <row r="1560" spans="1:11" ht="18" customHeight="1" x14ac:dyDescent="0.25">
      <c r="A1560" s="7" t="s">
        <v>34</v>
      </c>
      <c r="B1560" s="7">
        <v>2022</v>
      </c>
      <c r="C1560" s="7" t="s">
        <v>67</v>
      </c>
      <c r="D1560" s="7" t="s">
        <v>21</v>
      </c>
      <c r="E1560" s="7" t="s">
        <v>22</v>
      </c>
      <c r="F1560" s="7" t="s">
        <v>23</v>
      </c>
      <c r="G1560" s="7" t="s">
        <v>64</v>
      </c>
      <c r="H1560" s="7" t="s">
        <v>25</v>
      </c>
      <c r="I1560" s="7" t="s">
        <v>26</v>
      </c>
      <c r="J1560" s="7">
        <v>182</v>
      </c>
      <c r="K1560" s="7">
        <v>260.26</v>
      </c>
    </row>
    <row r="1561" spans="1:11" ht="18" customHeight="1" x14ac:dyDescent="0.25">
      <c r="A1561" s="7" t="s">
        <v>34</v>
      </c>
      <c r="B1561" s="7">
        <v>2022</v>
      </c>
      <c r="C1561" s="7" t="s">
        <v>67</v>
      </c>
      <c r="D1561" s="7" t="s">
        <v>21</v>
      </c>
      <c r="E1561" s="7" t="s">
        <v>22</v>
      </c>
      <c r="F1561" s="7" t="s">
        <v>23</v>
      </c>
      <c r="G1561" s="7" t="s">
        <v>64</v>
      </c>
      <c r="H1561" s="7" t="s">
        <v>25</v>
      </c>
      <c r="I1561" s="7" t="s">
        <v>26</v>
      </c>
      <c r="J1561" s="7">
        <v>176</v>
      </c>
      <c r="K1561" s="7">
        <v>251.68</v>
      </c>
    </row>
    <row r="1562" spans="1:11" ht="18" customHeight="1" x14ac:dyDescent="0.25">
      <c r="A1562" s="7" t="s">
        <v>34</v>
      </c>
      <c r="B1562" s="7">
        <v>2022</v>
      </c>
      <c r="C1562" s="7" t="s">
        <v>67</v>
      </c>
      <c r="D1562" s="7" t="s">
        <v>21</v>
      </c>
      <c r="E1562" s="7" t="s">
        <v>22</v>
      </c>
      <c r="F1562" s="7" t="s">
        <v>23</v>
      </c>
      <c r="G1562" s="7" t="s">
        <v>64</v>
      </c>
      <c r="H1562" s="7" t="s">
        <v>25</v>
      </c>
      <c r="I1562" s="7" t="s">
        <v>26</v>
      </c>
      <c r="J1562" s="7">
        <v>170</v>
      </c>
      <c r="K1562" s="7">
        <v>243.1</v>
      </c>
    </row>
    <row r="1563" spans="1:11" ht="18" customHeight="1" x14ac:dyDescent="0.25">
      <c r="A1563" s="7" t="s">
        <v>34</v>
      </c>
      <c r="B1563" s="7">
        <v>2022</v>
      </c>
      <c r="C1563" s="7" t="s">
        <v>67</v>
      </c>
      <c r="D1563" s="7" t="s">
        <v>21</v>
      </c>
      <c r="E1563" s="7" t="s">
        <v>22</v>
      </c>
      <c r="F1563" s="7" t="s">
        <v>23</v>
      </c>
      <c r="G1563" s="7" t="s">
        <v>64</v>
      </c>
      <c r="H1563" s="7" t="s">
        <v>25</v>
      </c>
      <c r="I1563" s="7" t="s">
        <v>35</v>
      </c>
      <c r="J1563" s="7">
        <v>180</v>
      </c>
      <c r="K1563" s="7">
        <v>257.39999999999998</v>
      </c>
    </row>
    <row r="1564" spans="1:11" ht="18" customHeight="1" x14ac:dyDescent="0.25">
      <c r="A1564" s="7" t="s">
        <v>19</v>
      </c>
      <c r="B1564" s="7">
        <v>2022</v>
      </c>
      <c r="C1564" s="7" t="s">
        <v>67</v>
      </c>
      <c r="D1564" s="7" t="s">
        <v>21</v>
      </c>
      <c r="E1564" s="7" t="s">
        <v>22</v>
      </c>
      <c r="F1564" s="7" t="s">
        <v>23</v>
      </c>
      <c r="G1564" s="7" t="s">
        <v>64</v>
      </c>
      <c r="H1564" s="7" t="s">
        <v>25</v>
      </c>
      <c r="I1564" s="7" t="s">
        <v>35</v>
      </c>
      <c r="J1564" s="7">
        <v>174</v>
      </c>
      <c r="K1564" s="7">
        <v>248.82</v>
      </c>
    </row>
    <row r="1565" spans="1:11" ht="18" customHeight="1" x14ac:dyDescent="0.25">
      <c r="A1565" s="7" t="s">
        <v>19</v>
      </c>
      <c r="B1565" s="7">
        <v>2022</v>
      </c>
      <c r="C1565" s="7" t="s">
        <v>67</v>
      </c>
      <c r="D1565" s="7" t="s">
        <v>21</v>
      </c>
      <c r="E1565" s="7" t="s">
        <v>22</v>
      </c>
      <c r="F1565" s="7" t="s">
        <v>23</v>
      </c>
      <c r="G1565" s="7" t="s">
        <v>64</v>
      </c>
      <c r="H1565" s="7" t="s">
        <v>25</v>
      </c>
      <c r="I1565" s="7" t="s">
        <v>35</v>
      </c>
      <c r="J1565" s="7">
        <v>183</v>
      </c>
      <c r="K1565" s="7">
        <v>261.69</v>
      </c>
    </row>
    <row r="1566" spans="1:11" ht="18" customHeight="1" x14ac:dyDescent="0.25">
      <c r="A1566" s="7" t="s">
        <v>34</v>
      </c>
      <c r="B1566" s="7">
        <v>2022</v>
      </c>
      <c r="C1566" s="7" t="s">
        <v>67</v>
      </c>
      <c r="D1566" s="7" t="s">
        <v>21</v>
      </c>
      <c r="E1566" s="7" t="s">
        <v>22</v>
      </c>
      <c r="F1566" s="7" t="s">
        <v>23</v>
      </c>
      <c r="G1566" s="7" t="s">
        <v>64</v>
      </c>
      <c r="H1566" s="7" t="s">
        <v>25</v>
      </c>
      <c r="I1566" s="7" t="s">
        <v>35</v>
      </c>
      <c r="J1566" s="7">
        <v>177</v>
      </c>
      <c r="K1566" s="7">
        <v>253.11</v>
      </c>
    </row>
    <row r="1567" spans="1:11" ht="18" customHeight="1" x14ac:dyDescent="0.25">
      <c r="A1567" s="7" t="s">
        <v>34</v>
      </c>
      <c r="B1567" s="7">
        <v>2022</v>
      </c>
      <c r="C1567" s="7" t="s">
        <v>67</v>
      </c>
      <c r="D1567" s="7" t="s">
        <v>21</v>
      </c>
      <c r="E1567" s="7" t="s">
        <v>22</v>
      </c>
      <c r="F1567" s="7" t="s">
        <v>23</v>
      </c>
      <c r="G1567" s="7" t="s">
        <v>64</v>
      </c>
      <c r="H1567" s="7" t="s">
        <v>25</v>
      </c>
      <c r="I1567" s="7" t="s">
        <v>35</v>
      </c>
      <c r="J1567" s="7">
        <v>171</v>
      </c>
      <c r="K1567" s="7">
        <v>244.53</v>
      </c>
    </row>
    <row r="1568" spans="1:11" ht="18" customHeight="1" x14ac:dyDescent="0.25">
      <c r="A1568" s="7" t="s">
        <v>53</v>
      </c>
      <c r="B1568" s="7">
        <v>2022</v>
      </c>
      <c r="C1568" s="7" t="s">
        <v>67</v>
      </c>
      <c r="D1568" s="7" t="s">
        <v>21</v>
      </c>
      <c r="E1568" s="7" t="s">
        <v>22</v>
      </c>
      <c r="F1568" s="7" t="s">
        <v>23</v>
      </c>
      <c r="G1568" s="7" t="s">
        <v>64</v>
      </c>
      <c r="H1568" s="7" t="s">
        <v>25</v>
      </c>
      <c r="I1568" s="7" t="s">
        <v>26</v>
      </c>
      <c r="J1568" s="7">
        <v>179</v>
      </c>
      <c r="K1568" s="7">
        <v>255.97</v>
      </c>
    </row>
    <row r="1569" spans="1:11" ht="18" customHeight="1" x14ac:dyDescent="0.25">
      <c r="A1569" s="7" t="s">
        <v>19</v>
      </c>
      <c r="B1569" s="7">
        <v>2022</v>
      </c>
      <c r="C1569" s="7" t="s">
        <v>67</v>
      </c>
      <c r="D1569" s="7" t="s">
        <v>21</v>
      </c>
      <c r="E1569" s="7" t="s">
        <v>22</v>
      </c>
      <c r="F1569" s="7" t="s">
        <v>23</v>
      </c>
      <c r="G1569" s="7" t="s">
        <v>64</v>
      </c>
      <c r="H1569" s="7" t="s">
        <v>25</v>
      </c>
      <c r="I1569" s="7" t="s">
        <v>26</v>
      </c>
      <c r="J1569" s="7">
        <v>173</v>
      </c>
      <c r="K1569" s="7">
        <v>247.39</v>
      </c>
    </row>
    <row r="1570" spans="1:11" ht="18" customHeight="1" x14ac:dyDescent="0.25">
      <c r="A1570" s="7" t="s">
        <v>19</v>
      </c>
      <c r="B1570" s="7">
        <v>2022</v>
      </c>
      <c r="C1570" s="7" t="s">
        <v>62</v>
      </c>
      <c r="D1570" s="7" t="s">
        <v>21</v>
      </c>
      <c r="E1570" s="7" t="s">
        <v>22</v>
      </c>
      <c r="F1570" s="7" t="s">
        <v>23</v>
      </c>
      <c r="G1570" s="7" t="s">
        <v>64</v>
      </c>
      <c r="H1570" s="7" t="s">
        <v>25</v>
      </c>
      <c r="I1570" s="7" t="s">
        <v>26</v>
      </c>
      <c r="J1570" s="7">
        <v>230</v>
      </c>
      <c r="K1570" s="7">
        <v>328.9</v>
      </c>
    </row>
    <row r="1571" spans="1:11" ht="18" customHeight="1" x14ac:dyDescent="0.25">
      <c r="A1571" s="7" t="s">
        <v>34</v>
      </c>
      <c r="B1571" s="7">
        <v>2022</v>
      </c>
      <c r="C1571" s="7" t="s">
        <v>62</v>
      </c>
      <c r="D1571" s="7" t="s">
        <v>21</v>
      </c>
      <c r="E1571" s="7" t="s">
        <v>22</v>
      </c>
      <c r="F1571" s="7" t="s">
        <v>23</v>
      </c>
      <c r="G1571" s="7" t="s">
        <v>64</v>
      </c>
      <c r="H1571" s="7" t="s">
        <v>25</v>
      </c>
      <c r="I1571" s="7" t="s">
        <v>26</v>
      </c>
      <c r="J1571" s="7">
        <v>224</v>
      </c>
      <c r="K1571" s="7">
        <v>320.32</v>
      </c>
    </row>
    <row r="1572" spans="1:11" ht="18" customHeight="1" x14ac:dyDescent="0.25">
      <c r="A1572" s="7" t="s">
        <v>53</v>
      </c>
      <c r="B1572" s="7">
        <v>2022</v>
      </c>
      <c r="C1572" s="7" t="s">
        <v>62</v>
      </c>
      <c r="D1572" s="7" t="s">
        <v>21</v>
      </c>
      <c r="E1572" s="7" t="s">
        <v>22</v>
      </c>
      <c r="F1572" s="7" t="s">
        <v>23</v>
      </c>
      <c r="G1572" s="7" t="s">
        <v>64</v>
      </c>
      <c r="H1572" s="7" t="s">
        <v>25</v>
      </c>
      <c r="I1572" s="7" t="s">
        <v>26</v>
      </c>
      <c r="J1572" s="7">
        <v>218</v>
      </c>
      <c r="K1572" s="7">
        <v>311.74</v>
      </c>
    </row>
    <row r="1573" spans="1:11" ht="18" customHeight="1" x14ac:dyDescent="0.25">
      <c r="A1573" s="7" t="s">
        <v>34</v>
      </c>
      <c r="B1573" s="7">
        <v>2022</v>
      </c>
      <c r="C1573" s="7" t="s">
        <v>62</v>
      </c>
      <c r="D1573" s="7" t="s">
        <v>21</v>
      </c>
      <c r="E1573" s="7" t="s">
        <v>22</v>
      </c>
      <c r="F1573" s="7" t="s">
        <v>23</v>
      </c>
      <c r="G1573" s="7" t="s">
        <v>64</v>
      </c>
      <c r="H1573" s="7" t="s">
        <v>25</v>
      </c>
      <c r="I1573" s="7" t="s">
        <v>35</v>
      </c>
      <c r="J1573" s="7">
        <v>228</v>
      </c>
      <c r="K1573" s="7">
        <v>326.03999999999996</v>
      </c>
    </row>
    <row r="1574" spans="1:11" ht="18" customHeight="1" x14ac:dyDescent="0.25">
      <c r="A1574" s="7" t="s">
        <v>34</v>
      </c>
      <c r="B1574" s="7">
        <v>2022</v>
      </c>
      <c r="C1574" s="7" t="s">
        <v>62</v>
      </c>
      <c r="D1574" s="7" t="s">
        <v>21</v>
      </c>
      <c r="E1574" s="7" t="s">
        <v>22</v>
      </c>
      <c r="F1574" s="7" t="s">
        <v>23</v>
      </c>
      <c r="G1574" s="7" t="s">
        <v>64</v>
      </c>
      <c r="H1574" s="7" t="s">
        <v>25</v>
      </c>
      <c r="I1574" s="7" t="s">
        <v>35</v>
      </c>
      <c r="J1574" s="7">
        <v>222</v>
      </c>
      <c r="K1574" s="7">
        <v>317.45999999999998</v>
      </c>
    </row>
    <row r="1575" spans="1:11" ht="18" customHeight="1" x14ac:dyDescent="0.25">
      <c r="A1575" s="7" t="s">
        <v>53</v>
      </c>
      <c r="B1575" s="7">
        <v>2022</v>
      </c>
      <c r="C1575" s="7" t="s">
        <v>62</v>
      </c>
      <c r="D1575" s="7" t="s">
        <v>21</v>
      </c>
      <c r="E1575" s="7" t="s">
        <v>22</v>
      </c>
      <c r="F1575" s="7" t="s">
        <v>23</v>
      </c>
      <c r="G1575" s="7" t="s">
        <v>64</v>
      </c>
      <c r="H1575" s="7" t="s">
        <v>25</v>
      </c>
      <c r="I1575" s="7" t="s">
        <v>35</v>
      </c>
      <c r="J1575" s="7">
        <v>231</v>
      </c>
      <c r="K1575" s="7">
        <v>330.33</v>
      </c>
    </row>
    <row r="1576" spans="1:11" ht="18" customHeight="1" x14ac:dyDescent="0.25">
      <c r="A1576" s="7" t="s">
        <v>42</v>
      </c>
      <c r="B1576" s="7">
        <v>2022</v>
      </c>
      <c r="C1576" s="7" t="s">
        <v>62</v>
      </c>
      <c r="D1576" s="7" t="s">
        <v>21</v>
      </c>
      <c r="E1576" s="7" t="s">
        <v>22</v>
      </c>
      <c r="F1576" s="7" t="s">
        <v>23</v>
      </c>
      <c r="G1576" s="7" t="s">
        <v>64</v>
      </c>
      <c r="H1576" s="7" t="s">
        <v>25</v>
      </c>
      <c r="I1576" s="7" t="s">
        <v>35</v>
      </c>
      <c r="J1576" s="7">
        <v>225</v>
      </c>
      <c r="K1576" s="7">
        <v>321.75</v>
      </c>
    </row>
    <row r="1577" spans="1:11" ht="18" customHeight="1" x14ac:dyDescent="0.25">
      <c r="A1577" s="7" t="s">
        <v>61</v>
      </c>
      <c r="B1577" s="7">
        <v>2022</v>
      </c>
      <c r="C1577" s="7" t="s">
        <v>62</v>
      </c>
      <c r="D1577" s="7" t="s">
        <v>21</v>
      </c>
      <c r="E1577" s="7" t="s">
        <v>22</v>
      </c>
      <c r="F1577" s="7" t="s">
        <v>23</v>
      </c>
      <c r="G1577" s="7" t="s">
        <v>64</v>
      </c>
      <c r="H1577" s="7" t="s">
        <v>25</v>
      </c>
      <c r="I1577" s="7" t="s">
        <v>35</v>
      </c>
      <c r="J1577" s="7">
        <v>219</v>
      </c>
      <c r="K1577" s="7">
        <v>526.24</v>
      </c>
    </row>
    <row r="1578" spans="1:11" ht="18" customHeight="1" x14ac:dyDescent="0.25">
      <c r="A1578" s="7" t="s">
        <v>19</v>
      </c>
      <c r="B1578" s="7">
        <v>2022</v>
      </c>
      <c r="C1578" s="7" t="s">
        <v>62</v>
      </c>
      <c r="D1578" s="7" t="s">
        <v>21</v>
      </c>
      <c r="E1578" s="7" t="s">
        <v>22</v>
      </c>
      <c r="F1578" s="7" t="s">
        <v>23</v>
      </c>
      <c r="G1578" s="7" t="s">
        <v>64</v>
      </c>
      <c r="H1578" s="7" t="s">
        <v>25</v>
      </c>
      <c r="I1578" s="7" t="s">
        <v>26</v>
      </c>
      <c r="J1578" s="7">
        <v>227</v>
      </c>
      <c r="K1578" s="7">
        <v>324.61</v>
      </c>
    </row>
    <row r="1579" spans="1:11" ht="18" customHeight="1" x14ac:dyDescent="0.25">
      <c r="A1579" s="7" t="s">
        <v>19</v>
      </c>
      <c r="B1579" s="7">
        <v>2022</v>
      </c>
      <c r="C1579" s="7" t="s">
        <v>62</v>
      </c>
      <c r="D1579" s="7" t="s">
        <v>21</v>
      </c>
      <c r="E1579" s="7" t="s">
        <v>22</v>
      </c>
      <c r="F1579" s="7" t="s">
        <v>23</v>
      </c>
      <c r="G1579" s="7" t="s">
        <v>64</v>
      </c>
      <c r="H1579" s="7" t="s">
        <v>25</v>
      </c>
      <c r="I1579" s="7" t="s">
        <v>26</v>
      </c>
      <c r="J1579" s="7">
        <v>221</v>
      </c>
      <c r="K1579" s="7">
        <v>316.02999999999997</v>
      </c>
    </row>
    <row r="1580" spans="1:11" ht="18" customHeight="1" x14ac:dyDescent="0.25">
      <c r="A1580" s="7" t="s">
        <v>19</v>
      </c>
      <c r="B1580" s="7">
        <v>2022</v>
      </c>
      <c r="C1580" s="7" t="s">
        <v>66</v>
      </c>
      <c r="D1580" s="7" t="s">
        <v>21</v>
      </c>
      <c r="E1580" s="7" t="s">
        <v>22</v>
      </c>
      <c r="F1580" s="7" t="s">
        <v>23</v>
      </c>
      <c r="G1580" s="7" t="s">
        <v>64</v>
      </c>
      <c r="H1580" s="7" t="s">
        <v>25</v>
      </c>
      <c r="I1580" s="7" t="s">
        <v>26</v>
      </c>
      <c r="J1580" s="7">
        <v>200</v>
      </c>
      <c r="K1580" s="7">
        <v>286</v>
      </c>
    </row>
    <row r="1581" spans="1:11" ht="18" customHeight="1" x14ac:dyDescent="0.25">
      <c r="A1581" s="7" t="s">
        <v>34</v>
      </c>
      <c r="B1581" s="7">
        <v>2022</v>
      </c>
      <c r="C1581" s="7" t="s">
        <v>66</v>
      </c>
      <c r="D1581" s="7" t="s">
        <v>21</v>
      </c>
      <c r="E1581" s="7" t="s">
        <v>22</v>
      </c>
      <c r="F1581" s="7" t="s">
        <v>23</v>
      </c>
      <c r="G1581" s="7" t="s">
        <v>64</v>
      </c>
      <c r="H1581" s="7" t="s">
        <v>25</v>
      </c>
      <c r="I1581" s="7" t="s">
        <v>26</v>
      </c>
      <c r="J1581" s="7">
        <v>194</v>
      </c>
      <c r="K1581" s="7">
        <v>277.42</v>
      </c>
    </row>
    <row r="1582" spans="1:11" ht="18" customHeight="1" x14ac:dyDescent="0.25">
      <c r="A1582" s="7" t="s">
        <v>34</v>
      </c>
      <c r="B1582" s="7">
        <v>2022</v>
      </c>
      <c r="C1582" s="7" t="s">
        <v>66</v>
      </c>
      <c r="D1582" s="7" t="s">
        <v>21</v>
      </c>
      <c r="E1582" s="7" t="s">
        <v>22</v>
      </c>
      <c r="F1582" s="7" t="s">
        <v>23</v>
      </c>
      <c r="G1582" s="7" t="s">
        <v>64</v>
      </c>
      <c r="H1582" s="7" t="s">
        <v>25</v>
      </c>
      <c r="I1582" s="7" t="s">
        <v>26</v>
      </c>
      <c r="J1582" s="7">
        <v>188</v>
      </c>
      <c r="K1582" s="7">
        <v>268.84000000000003</v>
      </c>
    </row>
    <row r="1583" spans="1:11" ht="18" customHeight="1" x14ac:dyDescent="0.25">
      <c r="A1583" s="7" t="s">
        <v>34</v>
      </c>
      <c r="B1583" s="7">
        <v>2022</v>
      </c>
      <c r="C1583" s="7" t="s">
        <v>66</v>
      </c>
      <c r="D1583" s="7" t="s">
        <v>21</v>
      </c>
      <c r="E1583" s="7" t="s">
        <v>22</v>
      </c>
      <c r="F1583" s="7" t="s">
        <v>23</v>
      </c>
      <c r="G1583" s="7" t="s">
        <v>64</v>
      </c>
      <c r="H1583" s="7" t="s">
        <v>25</v>
      </c>
      <c r="I1583" s="7" t="s">
        <v>35</v>
      </c>
      <c r="J1583" s="7">
        <v>198</v>
      </c>
      <c r="K1583" s="7">
        <v>283.14</v>
      </c>
    </row>
    <row r="1584" spans="1:11" ht="18" customHeight="1" x14ac:dyDescent="0.25">
      <c r="A1584" s="7" t="s">
        <v>34</v>
      </c>
      <c r="B1584" s="7">
        <v>2022</v>
      </c>
      <c r="C1584" s="7" t="s">
        <v>66</v>
      </c>
      <c r="D1584" s="7" t="s">
        <v>21</v>
      </c>
      <c r="E1584" s="7" t="s">
        <v>22</v>
      </c>
      <c r="F1584" s="7" t="s">
        <v>23</v>
      </c>
      <c r="G1584" s="7" t="s">
        <v>64</v>
      </c>
      <c r="H1584" s="7" t="s">
        <v>25</v>
      </c>
      <c r="I1584" s="7" t="s">
        <v>35</v>
      </c>
      <c r="J1584" s="7">
        <v>192</v>
      </c>
      <c r="K1584" s="7">
        <v>274.56</v>
      </c>
    </row>
    <row r="1585" spans="1:11" ht="18" customHeight="1" x14ac:dyDescent="0.25">
      <c r="A1585" s="7" t="s">
        <v>34</v>
      </c>
      <c r="B1585" s="7">
        <v>2022</v>
      </c>
      <c r="C1585" s="7" t="s">
        <v>66</v>
      </c>
      <c r="D1585" s="7" t="s">
        <v>21</v>
      </c>
      <c r="E1585" s="7" t="s">
        <v>22</v>
      </c>
      <c r="F1585" s="7" t="s">
        <v>23</v>
      </c>
      <c r="G1585" s="7" t="s">
        <v>64</v>
      </c>
      <c r="H1585" s="7" t="s">
        <v>25</v>
      </c>
      <c r="I1585" s="7" t="s">
        <v>35</v>
      </c>
      <c r="J1585" s="7">
        <v>186</v>
      </c>
      <c r="K1585" s="7">
        <v>265.98</v>
      </c>
    </row>
    <row r="1586" spans="1:11" ht="18" customHeight="1" x14ac:dyDescent="0.25">
      <c r="A1586" s="7" t="s">
        <v>19</v>
      </c>
      <c r="B1586" s="7">
        <v>2022</v>
      </c>
      <c r="C1586" s="7" t="s">
        <v>66</v>
      </c>
      <c r="D1586" s="7" t="s">
        <v>21</v>
      </c>
      <c r="E1586" s="7" t="s">
        <v>22</v>
      </c>
      <c r="F1586" s="7" t="s">
        <v>23</v>
      </c>
      <c r="G1586" s="7" t="s">
        <v>64</v>
      </c>
      <c r="H1586" s="7" t="s">
        <v>25</v>
      </c>
      <c r="I1586" s="7" t="s">
        <v>35</v>
      </c>
      <c r="J1586" s="7">
        <v>195</v>
      </c>
      <c r="K1586" s="7">
        <v>278.85000000000002</v>
      </c>
    </row>
    <row r="1587" spans="1:11" ht="18" customHeight="1" x14ac:dyDescent="0.25">
      <c r="A1587" s="7" t="s">
        <v>42</v>
      </c>
      <c r="B1587" s="7">
        <v>2022</v>
      </c>
      <c r="C1587" s="7" t="s">
        <v>66</v>
      </c>
      <c r="D1587" s="7" t="s">
        <v>21</v>
      </c>
      <c r="E1587" s="7" t="s">
        <v>22</v>
      </c>
      <c r="F1587" s="7" t="s">
        <v>23</v>
      </c>
      <c r="G1587" s="7" t="s">
        <v>64</v>
      </c>
      <c r="H1587" s="7" t="s">
        <v>25</v>
      </c>
      <c r="I1587" s="7" t="s">
        <v>35</v>
      </c>
      <c r="J1587" s="7">
        <v>189</v>
      </c>
      <c r="K1587" s="7">
        <v>270.27</v>
      </c>
    </row>
    <row r="1588" spans="1:11" ht="18" customHeight="1" x14ac:dyDescent="0.25">
      <c r="A1588" s="7" t="s">
        <v>42</v>
      </c>
      <c r="B1588" s="7">
        <v>2022</v>
      </c>
      <c r="C1588" s="7" t="s">
        <v>66</v>
      </c>
      <c r="D1588" s="7" t="s">
        <v>21</v>
      </c>
      <c r="E1588" s="7" t="s">
        <v>22</v>
      </c>
      <c r="F1588" s="7" t="s">
        <v>23</v>
      </c>
      <c r="G1588" s="7" t="s">
        <v>64</v>
      </c>
      <c r="H1588" s="7" t="s">
        <v>25</v>
      </c>
      <c r="I1588" s="7" t="s">
        <v>26</v>
      </c>
      <c r="J1588" s="7">
        <v>197</v>
      </c>
      <c r="K1588" s="7">
        <v>281.70999999999998</v>
      </c>
    </row>
    <row r="1589" spans="1:11" ht="18" customHeight="1" x14ac:dyDescent="0.25">
      <c r="A1589" s="7" t="s">
        <v>42</v>
      </c>
      <c r="B1589" s="7">
        <v>2022</v>
      </c>
      <c r="C1589" s="7" t="s">
        <v>66</v>
      </c>
      <c r="D1589" s="7" t="s">
        <v>21</v>
      </c>
      <c r="E1589" s="7" t="s">
        <v>22</v>
      </c>
      <c r="F1589" s="7" t="s">
        <v>23</v>
      </c>
      <c r="G1589" s="7" t="s">
        <v>64</v>
      </c>
      <c r="H1589" s="7" t="s">
        <v>25</v>
      </c>
      <c r="I1589" s="7" t="s">
        <v>26</v>
      </c>
      <c r="J1589" s="7">
        <v>191</v>
      </c>
      <c r="K1589" s="7">
        <v>273.13</v>
      </c>
    </row>
    <row r="1590" spans="1:11" ht="18" customHeight="1" x14ac:dyDescent="0.25">
      <c r="A1590" s="7" t="s">
        <v>42</v>
      </c>
      <c r="B1590" s="7">
        <v>2022</v>
      </c>
      <c r="C1590" s="7" t="s">
        <v>66</v>
      </c>
      <c r="D1590" s="7" t="s">
        <v>21</v>
      </c>
      <c r="E1590" s="7" t="s">
        <v>22</v>
      </c>
      <c r="F1590" s="7" t="s">
        <v>23</v>
      </c>
      <c r="G1590" s="7" t="s">
        <v>64</v>
      </c>
      <c r="H1590" s="7" t="s">
        <v>25</v>
      </c>
      <c r="I1590" s="7" t="s">
        <v>26</v>
      </c>
      <c r="J1590" s="7">
        <v>185</v>
      </c>
      <c r="K1590" s="7">
        <v>264.55</v>
      </c>
    </row>
    <row r="1591" spans="1:11" ht="18" customHeight="1" x14ac:dyDescent="0.25">
      <c r="A1591" s="7" t="s">
        <v>19</v>
      </c>
      <c r="B1591" s="7">
        <v>2022</v>
      </c>
      <c r="C1591" s="7" t="s">
        <v>69</v>
      </c>
      <c r="D1591" s="7" t="s">
        <v>21</v>
      </c>
      <c r="E1591" s="7" t="s">
        <v>22</v>
      </c>
      <c r="F1591" s="7" t="s">
        <v>23</v>
      </c>
      <c r="G1591" s="7" t="s">
        <v>64</v>
      </c>
      <c r="H1591" s="7" t="s">
        <v>25</v>
      </c>
      <c r="I1591" s="7" t="s">
        <v>35</v>
      </c>
      <c r="J1591" s="7">
        <v>154</v>
      </c>
      <c r="K1591" s="7">
        <v>220.22</v>
      </c>
    </row>
    <row r="1592" spans="1:11" ht="18" customHeight="1" x14ac:dyDescent="0.25">
      <c r="A1592" s="7" t="s">
        <v>34</v>
      </c>
      <c r="B1592" s="7">
        <v>2022</v>
      </c>
      <c r="C1592" s="7" t="s">
        <v>69</v>
      </c>
      <c r="D1592" s="7" t="s">
        <v>21</v>
      </c>
      <c r="E1592" s="7" t="s">
        <v>22</v>
      </c>
      <c r="F1592" s="7" t="s">
        <v>23</v>
      </c>
      <c r="G1592" s="7" t="s">
        <v>64</v>
      </c>
      <c r="H1592" s="7" t="s">
        <v>25</v>
      </c>
      <c r="I1592" s="7" t="s">
        <v>35</v>
      </c>
      <c r="J1592" s="7">
        <v>156</v>
      </c>
      <c r="K1592" s="7">
        <v>223.07999999999998</v>
      </c>
    </row>
    <row r="1593" spans="1:11" ht="18" customHeight="1" x14ac:dyDescent="0.25">
      <c r="A1593" s="7" t="s">
        <v>34</v>
      </c>
      <c r="B1593" s="7">
        <v>2022</v>
      </c>
      <c r="C1593" s="7" t="s">
        <v>69</v>
      </c>
      <c r="D1593" s="7" t="s">
        <v>21</v>
      </c>
      <c r="E1593" s="7" t="s">
        <v>22</v>
      </c>
      <c r="F1593" s="7" t="s">
        <v>23</v>
      </c>
      <c r="G1593" s="7" t="s">
        <v>64</v>
      </c>
      <c r="H1593" s="7" t="s">
        <v>25</v>
      </c>
      <c r="I1593" s="7" t="s">
        <v>35</v>
      </c>
      <c r="J1593" s="7">
        <v>153</v>
      </c>
      <c r="K1593" s="7">
        <v>218.79</v>
      </c>
    </row>
    <row r="1594" spans="1:11" ht="18" customHeight="1" x14ac:dyDescent="0.25">
      <c r="A1594" s="7" t="s">
        <v>19</v>
      </c>
      <c r="B1594" s="7">
        <v>2022</v>
      </c>
      <c r="C1594" s="7" t="s">
        <v>69</v>
      </c>
      <c r="D1594" s="7" t="s">
        <v>21</v>
      </c>
      <c r="E1594" s="7" t="s">
        <v>22</v>
      </c>
      <c r="F1594" s="7" t="s">
        <v>23</v>
      </c>
      <c r="G1594" s="7" t="s">
        <v>64</v>
      </c>
      <c r="H1594" s="7" t="s">
        <v>25</v>
      </c>
      <c r="I1594" s="7" t="s">
        <v>35</v>
      </c>
      <c r="J1594" s="7">
        <v>157</v>
      </c>
      <c r="K1594" s="7">
        <v>224.51</v>
      </c>
    </row>
    <row r="1595" spans="1:11" ht="18" customHeight="1" x14ac:dyDescent="0.25">
      <c r="A1595" s="7" t="s">
        <v>53</v>
      </c>
      <c r="B1595" s="7">
        <v>2022</v>
      </c>
      <c r="C1595" s="7" t="s">
        <v>69</v>
      </c>
      <c r="D1595" s="7" t="s">
        <v>21</v>
      </c>
      <c r="E1595" s="7" t="s">
        <v>22</v>
      </c>
      <c r="F1595" s="7" t="s">
        <v>23</v>
      </c>
      <c r="G1595" s="7" t="s">
        <v>64</v>
      </c>
      <c r="H1595" s="7" t="s">
        <v>25</v>
      </c>
      <c r="I1595" s="7" t="s">
        <v>35</v>
      </c>
      <c r="J1595" s="7">
        <v>155</v>
      </c>
      <c r="K1595" s="7">
        <v>221.65</v>
      </c>
    </row>
    <row r="1596" spans="1:11" ht="18" customHeight="1" x14ac:dyDescent="0.25">
      <c r="A1596" s="7" t="s">
        <v>19</v>
      </c>
      <c r="B1596" s="7">
        <v>2022</v>
      </c>
      <c r="C1596" s="7" t="s">
        <v>69</v>
      </c>
      <c r="D1596" s="7" t="s">
        <v>21</v>
      </c>
      <c r="E1596" s="7" t="s">
        <v>22</v>
      </c>
      <c r="F1596" s="7" t="s">
        <v>23</v>
      </c>
      <c r="G1596" s="7" t="s">
        <v>64</v>
      </c>
      <c r="H1596" s="7" t="s">
        <v>25</v>
      </c>
      <c r="I1596" s="7" t="s">
        <v>26</v>
      </c>
      <c r="J1596" s="7">
        <v>341</v>
      </c>
      <c r="K1596" s="7">
        <v>487.63</v>
      </c>
    </row>
    <row r="1597" spans="1:11" ht="18" customHeight="1" x14ac:dyDescent="0.25">
      <c r="A1597" s="7" t="s">
        <v>19</v>
      </c>
      <c r="B1597" s="7">
        <v>2022</v>
      </c>
      <c r="C1597" s="7" t="s">
        <v>60</v>
      </c>
      <c r="D1597" s="7" t="s">
        <v>72</v>
      </c>
      <c r="E1597" s="7" t="s">
        <v>22</v>
      </c>
      <c r="F1597" s="7" t="s">
        <v>23</v>
      </c>
      <c r="G1597" s="7" t="s">
        <v>64</v>
      </c>
      <c r="H1597" s="7" t="s">
        <v>25</v>
      </c>
      <c r="I1597" s="7" t="s">
        <v>26</v>
      </c>
      <c r="J1597" s="7">
        <v>254</v>
      </c>
      <c r="K1597" s="7">
        <v>363.22</v>
      </c>
    </row>
    <row r="1598" spans="1:11" ht="18" customHeight="1" x14ac:dyDescent="0.25">
      <c r="A1598" s="7" t="s">
        <v>34</v>
      </c>
      <c r="B1598" s="7">
        <v>2022</v>
      </c>
      <c r="C1598" s="7" t="s">
        <v>60</v>
      </c>
      <c r="D1598" s="7" t="s">
        <v>72</v>
      </c>
      <c r="E1598" s="7" t="s">
        <v>22</v>
      </c>
      <c r="F1598" s="7" t="s">
        <v>23</v>
      </c>
      <c r="G1598" s="7" t="s">
        <v>64</v>
      </c>
      <c r="H1598" s="7" t="s">
        <v>25</v>
      </c>
      <c r="I1598" s="7" t="s">
        <v>26</v>
      </c>
      <c r="J1598" s="7">
        <v>256</v>
      </c>
      <c r="K1598" s="7">
        <v>366.08</v>
      </c>
    </row>
    <row r="1599" spans="1:11" ht="18" customHeight="1" x14ac:dyDescent="0.25">
      <c r="A1599" s="7" t="s">
        <v>34</v>
      </c>
      <c r="B1599" s="7">
        <v>2022</v>
      </c>
      <c r="C1599" s="7" t="s">
        <v>60</v>
      </c>
      <c r="D1599" s="7" t="s">
        <v>72</v>
      </c>
      <c r="E1599" s="7" t="s">
        <v>22</v>
      </c>
      <c r="F1599" s="7" t="s">
        <v>23</v>
      </c>
      <c r="G1599" s="7" t="s">
        <v>64</v>
      </c>
      <c r="H1599" s="7" t="s">
        <v>25</v>
      </c>
      <c r="I1599" s="7" t="s">
        <v>26</v>
      </c>
      <c r="J1599" s="7">
        <v>961</v>
      </c>
      <c r="K1599" s="7">
        <v>1374.23</v>
      </c>
    </row>
    <row r="1600" spans="1:11" ht="18" customHeight="1" x14ac:dyDescent="0.25">
      <c r="A1600" s="7" t="s">
        <v>34</v>
      </c>
      <c r="B1600" s="7">
        <v>2022</v>
      </c>
      <c r="C1600" s="7" t="s">
        <v>60</v>
      </c>
      <c r="D1600" s="7" t="s">
        <v>72</v>
      </c>
      <c r="E1600" s="7" t="s">
        <v>22</v>
      </c>
      <c r="F1600" s="7" t="s">
        <v>23</v>
      </c>
      <c r="G1600" s="7" t="s">
        <v>64</v>
      </c>
      <c r="H1600" s="7" t="s">
        <v>25</v>
      </c>
      <c r="I1600" s="7" t="s">
        <v>26</v>
      </c>
      <c r="J1600" s="7">
        <v>255</v>
      </c>
      <c r="K1600" s="7">
        <v>364.65</v>
      </c>
    </row>
    <row r="1601" spans="1:11" ht="18" customHeight="1" x14ac:dyDescent="0.25">
      <c r="A1601" s="7" t="s">
        <v>42</v>
      </c>
      <c r="B1601" s="7">
        <v>2022</v>
      </c>
      <c r="C1601" s="7" t="s">
        <v>60</v>
      </c>
      <c r="D1601" s="7" t="s">
        <v>72</v>
      </c>
      <c r="E1601" s="7" t="s">
        <v>22</v>
      </c>
      <c r="F1601" s="7" t="s">
        <v>23</v>
      </c>
      <c r="G1601" s="7" t="s">
        <v>64</v>
      </c>
      <c r="H1601" s="7" t="s">
        <v>25</v>
      </c>
      <c r="I1601" s="7" t="s">
        <v>26</v>
      </c>
      <c r="J1601" s="7">
        <v>253</v>
      </c>
      <c r="K1601" s="7">
        <v>361.78999999999996</v>
      </c>
    </row>
    <row r="1602" spans="1:11" ht="18" customHeight="1" x14ac:dyDescent="0.25">
      <c r="A1602" s="7" t="s">
        <v>42</v>
      </c>
      <c r="B1602" s="7">
        <v>2022</v>
      </c>
      <c r="C1602" s="7" t="s">
        <v>60</v>
      </c>
      <c r="D1602" s="7" t="s">
        <v>72</v>
      </c>
      <c r="E1602" s="7" t="s">
        <v>22</v>
      </c>
      <c r="F1602" s="7" t="s">
        <v>23</v>
      </c>
      <c r="G1602" s="7" t="s">
        <v>64</v>
      </c>
      <c r="H1602" s="7" t="s">
        <v>25</v>
      </c>
      <c r="I1602" s="7" t="s">
        <v>26</v>
      </c>
      <c r="J1602" s="7">
        <v>251</v>
      </c>
      <c r="K1602" s="7">
        <v>358.93</v>
      </c>
    </row>
    <row r="1603" spans="1:11" ht="18" customHeight="1" x14ac:dyDescent="0.25">
      <c r="A1603" s="7" t="s">
        <v>34</v>
      </c>
      <c r="B1603" s="7">
        <v>2022</v>
      </c>
      <c r="C1603" s="7" t="s">
        <v>68</v>
      </c>
      <c r="D1603" s="7" t="s">
        <v>72</v>
      </c>
      <c r="E1603" s="7" t="s">
        <v>22</v>
      </c>
      <c r="F1603" s="7" t="s">
        <v>23</v>
      </c>
      <c r="G1603" s="7" t="s">
        <v>64</v>
      </c>
      <c r="H1603" s="7" t="s">
        <v>25</v>
      </c>
      <c r="I1603" s="7" t="s">
        <v>26</v>
      </c>
      <c r="J1603" s="7">
        <v>260</v>
      </c>
      <c r="K1603" s="7">
        <v>371.8</v>
      </c>
    </row>
    <row r="1604" spans="1:11" ht="18" customHeight="1" x14ac:dyDescent="0.25">
      <c r="A1604" s="7" t="s">
        <v>34</v>
      </c>
      <c r="B1604" s="7">
        <v>2022</v>
      </c>
      <c r="C1604" s="7" t="s">
        <v>68</v>
      </c>
      <c r="D1604" s="7" t="s">
        <v>72</v>
      </c>
      <c r="E1604" s="7" t="s">
        <v>22</v>
      </c>
      <c r="F1604" s="7" t="s">
        <v>23</v>
      </c>
      <c r="G1604" s="7" t="s">
        <v>64</v>
      </c>
      <c r="H1604" s="7" t="s">
        <v>25</v>
      </c>
      <c r="I1604" s="7" t="s">
        <v>26</v>
      </c>
      <c r="J1604" s="7">
        <v>960</v>
      </c>
      <c r="K1604" s="7">
        <v>1372.8</v>
      </c>
    </row>
    <row r="1605" spans="1:11" ht="18" customHeight="1" x14ac:dyDescent="0.25">
      <c r="A1605" s="7" t="s">
        <v>53</v>
      </c>
      <c r="B1605" s="7">
        <v>2022</v>
      </c>
      <c r="C1605" s="7" t="s">
        <v>68</v>
      </c>
      <c r="D1605" s="7" t="s">
        <v>72</v>
      </c>
      <c r="E1605" s="7" t="s">
        <v>22</v>
      </c>
      <c r="F1605" s="7" t="s">
        <v>23</v>
      </c>
      <c r="G1605" s="7" t="s">
        <v>64</v>
      </c>
      <c r="H1605" s="7" t="s">
        <v>25</v>
      </c>
      <c r="I1605" s="7" t="s">
        <v>26</v>
      </c>
      <c r="J1605" s="7">
        <v>261</v>
      </c>
      <c r="K1605" s="7">
        <v>373.23</v>
      </c>
    </row>
    <row r="1606" spans="1:11" ht="18" customHeight="1" x14ac:dyDescent="0.25">
      <c r="A1606" s="7" t="s">
        <v>34</v>
      </c>
      <c r="B1606" s="7">
        <v>2022</v>
      </c>
      <c r="C1606" s="7" t="s">
        <v>68</v>
      </c>
      <c r="D1606" s="7" t="s">
        <v>72</v>
      </c>
      <c r="E1606" s="7" t="s">
        <v>22</v>
      </c>
      <c r="F1606" s="7" t="s">
        <v>23</v>
      </c>
      <c r="G1606" s="7" t="s">
        <v>64</v>
      </c>
      <c r="H1606" s="7" t="s">
        <v>25</v>
      </c>
      <c r="I1606" s="7" t="s">
        <v>26</v>
      </c>
      <c r="J1606" s="7">
        <v>259</v>
      </c>
      <c r="K1606" s="7">
        <v>370.37</v>
      </c>
    </row>
    <row r="1607" spans="1:11" ht="18" customHeight="1" x14ac:dyDescent="0.25">
      <c r="A1607" s="7" t="s">
        <v>34</v>
      </c>
      <c r="B1607" s="7">
        <v>2022</v>
      </c>
      <c r="C1607" s="7" t="s">
        <v>68</v>
      </c>
      <c r="D1607" s="7" t="s">
        <v>72</v>
      </c>
      <c r="E1607" s="7" t="s">
        <v>22</v>
      </c>
      <c r="F1607" s="7" t="s">
        <v>23</v>
      </c>
      <c r="G1607" s="7" t="s">
        <v>64</v>
      </c>
      <c r="H1607" s="7" t="s">
        <v>25</v>
      </c>
      <c r="I1607" s="7" t="s">
        <v>26</v>
      </c>
      <c r="J1607" s="7">
        <v>257</v>
      </c>
      <c r="K1607" s="7">
        <v>367.51</v>
      </c>
    </row>
    <row r="1608" spans="1:11" ht="18" customHeight="1" x14ac:dyDescent="0.25">
      <c r="A1608" s="7" t="s">
        <v>19</v>
      </c>
      <c r="B1608" s="7">
        <v>2022</v>
      </c>
      <c r="C1608" s="7" t="s">
        <v>69</v>
      </c>
      <c r="D1608" s="7" t="s">
        <v>72</v>
      </c>
      <c r="E1608" s="7" t="s">
        <v>22</v>
      </c>
      <c r="F1608" s="7" t="s">
        <v>23</v>
      </c>
      <c r="G1608" s="7" t="s">
        <v>64</v>
      </c>
      <c r="H1608" s="7" t="s">
        <v>25</v>
      </c>
      <c r="I1608" s="7" t="s">
        <v>26</v>
      </c>
      <c r="J1608" s="7">
        <v>248</v>
      </c>
      <c r="K1608" s="7">
        <v>354.64</v>
      </c>
    </row>
    <row r="1609" spans="1:11" ht="18" customHeight="1" x14ac:dyDescent="0.25">
      <c r="A1609" s="7" t="s">
        <v>42</v>
      </c>
      <c r="B1609" s="7">
        <v>2022</v>
      </c>
      <c r="C1609" s="7" t="s">
        <v>69</v>
      </c>
      <c r="D1609" s="7" t="s">
        <v>72</v>
      </c>
      <c r="E1609" s="7" t="s">
        <v>22</v>
      </c>
      <c r="F1609" s="7" t="s">
        <v>23</v>
      </c>
      <c r="G1609" s="7" t="s">
        <v>64</v>
      </c>
      <c r="H1609" s="7" t="s">
        <v>25</v>
      </c>
      <c r="I1609" s="7" t="s">
        <v>26</v>
      </c>
      <c r="J1609" s="7">
        <v>250</v>
      </c>
      <c r="K1609" s="7">
        <v>526.24</v>
      </c>
    </row>
    <row r="1610" spans="1:11" ht="18" customHeight="1" x14ac:dyDescent="0.25">
      <c r="A1610" s="7" t="s">
        <v>34</v>
      </c>
      <c r="B1610" s="7">
        <v>2022</v>
      </c>
      <c r="C1610" s="7" t="s">
        <v>69</v>
      </c>
      <c r="D1610" s="7" t="s">
        <v>72</v>
      </c>
      <c r="E1610" s="7" t="s">
        <v>22</v>
      </c>
      <c r="F1610" s="7" t="s">
        <v>23</v>
      </c>
      <c r="G1610" s="7" t="s">
        <v>64</v>
      </c>
      <c r="H1610" s="7" t="s">
        <v>25</v>
      </c>
      <c r="I1610" s="7" t="s">
        <v>26</v>
      </c>
      <c r="J1610" s="7">
        <v>249</v>
      </c>
      <c r="K1610" s="7">
        <v>356.07</v>
      </c>
    </row>
    <row r="1611" spans="1:11" ht="18" customHeight="1" x14ac:dyDescent="0.25">
      <c r="A1611" s="7" t="s">
        <v>19</v>
      </c>
      <c r="B1611" s="7">
        <v>2022</v>
      </c>
      <c r="C1611" s="7" t="s">
        <v>69</v>
      </c>
      <c r="D1611" s="7" t="s">
        <v>72</v>
      </c>
      <c r="E1611" s="7" t="s">
        <v>22</v>
      </c>
      <c r="F1611" s="7" t="s">
        <v>23</v>
      </c>
      <c r="G1611" s="7" t="s">
        <v>64</v>
      </c>
      <c r="H1611" s="7" t="s">
        <v>25</v>
      </c>
      <c r="I1611" s="7" t="s">
        <v>26</v>
      </c>
      <c r="J1611" s="7">
        <v>247</v>
      </c>
      <c r="K1611" s="7">
        <v>353.21</v>
      </c>
    </row>
    <row r="1612" spans="1:11" ht="18" customHeight="1" x14ac:dyDescent="0.25">
      <c r="A1612" s="7" t="s">
        <v>19</v>
      </c>
      <c r="B1612" s="7">
        <v>2022</v>
      </c>
      <c r="C1612" s="7" t="s">
        <v>20</v>
      </c>
      <c r="D1612" s="7" t="s">
        <v>21</v>
      </c>
      <c r="E1612" s="7" t="s">
        <v>22</v>
      </c>
      <c r="F1612" s="7" t="s">
        <v>23</v>
      </c>
      <c r="G1612" s="7" t="s">
        <v>24</v>
      </c>
      <c r="H1612" s="7" t="s">
        <v>25</v>
      </c>
      <c r="I1612" s="7" t="s">
        <v>35</v>
      </c>
      <c r="J1612" s="7">
        <v>356</v>
      </c>
      <c r="K1612" s="7">
        <v>484.15999999999997</v>
      </c>
    </row>
    <row r="1613" spans="1:11" ht="18" customHeight="1" x14ac:dyDescent="0.25">
      <c r="A1613" s="7" t="s">
        <v>34</v>
      </c>
      <c r="B1613" s="7">
        <v>2022</v>
      </c>
      <c r="C1613" s="7" t="s">
        <v>20</v>
      </c>
      <c r="D1613" s="7" t="s">
        <v>21</v>
      </c>
      <c r="E1613" s="7" t="s">
        <v>22</v>
      </c>
      <c r="F1613" s="7" t="s">
        <v>23</v>
      </c>
      <c r="G1613" s="7" t="s">
        <v>24</v>
      </c>
      <c r="H1613" s="7" t="s">
        <v>25</v>
      </c>
      <c r="I1613" s="7" t="s">
        <v>35</v>
      </c>
      <c r="J1613" s="7">
        <v>152</v>
      </c>
      <c r="K1613" s="7">
        <v>217.36</v>
      </c>
    </row>
    <row r="1614" spans="1:11" ht="18" customHeight="1" x14ac:dyDescent="0.25">
      <c r="A1614" s="7" t="s">
        <v>42</v>
      </c>
      <c r="B1614" s="7">
        <v>2022</v>
      </c>
      <c r="C1614" s="7" t="s">
        <v>20</v>
      </c>
      <c r="D1614" s="7" t="s">
        <v>21</v>
      </c>
      <c r="E1614" s="7" t="s">
        <v>74</v>
      </c>
      <c r="F1614" s="7" t="s">
        <v>23</v>
      </c>
      <c r="G1614" s="7" t="s">
        <v>24</v>
      </c>
      <c r="H1614" s="7" t="s">
        <v>25</v>
      </c>
      <c r="I1614" s="7" t="s">
        <v>35</v>
      </c>
      <c r="J1614" s="7">
        <v>352</v>
      </c>
      <c r="K1614" s="7">
        <v>503.36</v>
      </c>
    </row>
    <row r="1615" spans="1:11" ht="18" customHeight="1" x14ac:dyDescent="0.25">
      <c r="A1615" s="7" t="s">
        <v>19</v>
      </c>
      <c r="B1615" s="7">
        <v>2022</v>
      </c>
      <c r="C1615" s="7" t="s">
        <v>20</v>
      </c>
      <c r="D1615" s="7" t="s">
        <v>21</v>
      </c>
      <c r="E1615" s="7" t="s">
        <v>74</v>
      </c>
      <c r="F1615" s="7" t="s">
        <v>23</v>
      </c>
      <c r="G1615" s="7" t="s">
        <v>24</v>
      </c>
      <c r="H1615" s="7" t="s">
        <v>25</v>
      </c>
      <c r="I1615" s="7" t="s">
        <v>35</v>
      </c>
      <c r="J1615" s="7">
        <v>154</v>
      </c>
      <c r="K1615" s="7">
        <v>220.22</v>
      </c>
    </row>
    <row r="1616" spans="1:11" ht="18" customHeight="1" x14ac:dyDescent="0.25">
      <c r="A1616" s="7" t="s">
        <v>61</v>
      </c>
      <c r="B1616" s="7">
        <v>2022</v>
      </c>
      <c r="C1616" s="7" t="s">
        <v>20</v>
      </c>
      <c r="D1616" s="7" t="s">
        <v>21</v>
      </c>
      <c r="E1616" s="7" t="s">
        <v>74</v>
      </c>
      <c r="F1616" s="7" t="s">
        <v>23</v>
      </c>
      <c r="G1616" s="7" t="s">
        <v>24</v>
      </c>
      <c r="H1616" s="7" t="s">
        <v>25</v>
      </c>
      <c r="I1616" s="7" t="s">
        <v>35</v>
      </c>
      <c r="J1616" s="7">
        <v>698</v>
      </c>
      <c r="K1616" s="7">
        <v>998.14</v>
      </c>
    </row>
    <row r="1617" spans="1:11" ht="18" customHeight="1" x14ac:dyDescent="0.25">
      <c r="A1617" s="7" t="s">
        <v>42</v>
      </c>
      <c r="B1617" s="7">
        <v>2022</v>
      </c>
      <c r="C1617" s="7" t="s">
        <v>20</v>
      </c>
      <c r="D1617" s="7" t="s">
        <v>21</v>
      </c>
      <c r="E1617" s="7" t="s">
        <v>74</v>
      </c>
      <c r="F1617" s="7" t="s">
        <v>23</v>
      </c>
      <c r="G1617" s="7" t="s">
        <v>24</v>
      </c>
      <c r="H1617" s="7" t="s">
        <v>25</v>
      </c>
      <c r="I1617" s="7" t="s">
        <v>35</v>
      </c>
      <c r="J1617" s="7">
        <v>731</v>
      </c>
      <c r="K1617" s="7">
        <v>1045.33</v>
      </c>
    </row>
    <row r="1618" spans="1:11" ht="18" customHeight="1" x14ac:dyDescent="0.25">
      <c r="A1618" s="7" t="s">
        <v>42</v>
      </c>
      <c r="B1618" s="7">
        <v>2022</v>
      </c>
      <c r="C1618" s="7" t="s">
        <v>20</v>
      </c>
      <c r="D1618" s="7" t="s">
        <v>21</v>
      </c>
      <c r="E1618" s="7" t="s">
        <v>74</v>
      </c>
      <c r="F1618" s="7" t="s">
        <v>23</v>
      </c>
      <c r="G1618" s="7" t="s">
        <v>24</v>
      </c>
      <c r="H1618" s="7" t="s">
        <v>25</v>
      </c>
      <c r="I1618" s="7" t="s">
        <v>35</v>
      </c>
      <c r="J1618" s="7">
        <v>771</v>
      </c>
      <c r="K1618" s="7">
        <v>526.24</v>
      </c>
    </row>
    <row r="1619" spans="1:11" ht="18" customHeight="1" x14ac:dyDescent="0.25">
      <c r="A1619" s="7" t="s">
        <v>42</v>
      </c>
      <c r="B1619" s="7">
        <v>2022</v>
      </c>
      <c r="C1619" s="7" t="s">
        <v>20</v>
      </c>
      <c r="D1619" s="7" t="s">
        <v>21</v>
      </c>
      <c r="E1619" s="7" t="s">
        <v>74</v>
      </c>
      <c r="F1619" s="7" t="s">
        <v>23</v>
      </c>
      <c r="G1619" s="7" t="s">
        <v>24</v>
      </c>
      <c r="H1619" s="7" t="s">
        <v>25</v>
      </c>
      <c r="I1619" s="7" t="s">
        <v>35</v>
      </c>
      <c r="J1619" s="7">
        <v>355</v>
      </c>
      <c r="K1619" s="7">
        <v>507.65</v>
      </c>
    </row>
    <row r="1620" spans="1:11" ht="18" customHeight="1" x14ac:dyDescent="0.25">
      <c r="A1620" s="7" t="s">
        <v>42</v>
      </c>
      <c r="B1620" s="7">
        <v>2022</v>
      </c>
      <c r="C1620" s="7" t="s">
        <v>20</v>
      </c>
      <c r="D1620" s="7" t="s">
        <v>21</v>
      </c>
      <c r="E1620" s="7" t="s">
        <v>74</v>
      </c>
      <c r="F1620" s="7" t="s">
        <v>23</v>
      </c>
      <c r="G1620" s="7" t="s">
        <v>24</v>
      </c>
      <c r="H1620" s="7" t="s">
        <v>25</v>
      </c>
      <c r="I1620" s="7" t="s">
        <v>35</v>
      </c>
      <c r="J1620" s="7">
        <v>157</v>
      </c>
      <c r="K1620" s="7">
        <v>224.51</v>
      </c>
    </row>
    <row r="1621" spans="1:11" ht="18" customHeight="1" x14ac:dyDescent="0.25">
      <c r="A1621" s="7" t="s">
        <v>34</v>
      </c>
      <c r="B1621" s="7">
        <v>2022</v>
      </c>
      <c r="C1621" s="7" t="s">
        <v>20</v>
      </c>
      <c r="D1621" s="7" t="s">
        <v>21</v>
      </c>
      <c r="E1621" s="7" t="s">
        <v>74</v>
      </c>
      <c r="F1621" s="7" t="s">
        <v>23</v>
      </c>
      <c r="G1621" s="7" t="s">
        <v>24</v>
      </c>
      <c r="H1621" s="7" t="s">
        <v>25</v>
      </c>
      <c r="I1621" s="7" t="s">
        <v>35</v>
      </c>
      <c r="J1621" s="7">
        <v>353</v>
      </c>
      <c r="K1621" s="7">
        <v>504.78999999999996</v>
      </c>
    </row>
    <row r="1622" spans="1:11" ht="18" customHeight="1" x14ac:dyDescent="0.25">
      <c r="A1622" s="7" t="s">
        <v>34</v>
      </c>
      <c r="B1622" s="7">
        <v>2022</v>
      </c>
      <c r="C1622" s="7" t="s">
        <v>20</v>
      </c>
      <c r="D1622" s="7" t="s">
        <v>21</v>
      </c>
      <c r="E1622" s="7" t="s">
        <v>74</v>
      </c>
      <c r="F1622" s="7" t="s">
        <v>23</v>
      </c>
      <c r="G1622" s="7" t="s">
        <v>24</v>
      </c>
      <c r="H1622" s="7" t="s">
        <v>25</v>
      </c>
      <c r="I1622" s="7" t="s">
        <v>35</v>
      </c>
      <c r="J1622" s="7">
        <v>155</v>
      </c>
      <c r="K1622" s="7">
        <v>221.65</v>
      </c>
    </row>
    <row r="1623" spans="1:11" ht="18" customHeight="1" x14ac:dyDescent="0.25">
      <c r="A1623" s="7" t="s">
        <v>34</v>
      </c>
      <c r="B1623" s="7">
        <v>2022</v>
      </c>
      <c r="C1623" s="7" t="s">
        <v>60</v>
      </c>
      <c r="D1623" s="7" t="s">
        <v>21</v>
      </c>
      <c r="E1623" s="7" t="s">
        <v>74</v>
      </c>
      <c r="F1623" s="7" t="s">
        <v>23</v>
      </c>
      <c r="G1623" s="7" t="s">
        <v>24</v>
      </c>
      <c r="H1623" s="7" t="s">
        <v>25</v>
      </c>
      <c r="I1623" s="7" t="s">
        <v>35</v>
      </c>
      <c r="J1623" s="7">
        <v>332</v>
      </c>
      <c r="K1623" s="7">
        <v>451.52</v>
      </c>
    </row>
    <row r="1624" spans="1:11" ht="18" customHeight="1" x14ac:dyDescent="0.25">
      <c r="A1624" s="7" t="s">
        <v>34</v>
      </c>
      <c r="B1624" s="7">
        <v>2022</v>
      </c>
      <c r="C1624" s="7" t="s">
        <v>60</v>
      </c>
      <c r="D1624" s="7" t="s">
        <v>21</v>
      </c>
      <c r="E1624" s="7" t="s">
        <v>74</v>
      </c>
      <c r="F1624" s="7" t="s">
        <v>23</v>
      </c>
      <c r="G1624" s="7" t="s">
        <v>24</v>
      </c>
      <c r="H1624" s="7" t="s">
        <v>25</v>
      </c>
      <c r="I1624" s="7" t="s">
        <v>35</v>
      </c>
      <c r="J1624" s="7">
        <v>134</v>
      </c>
      <c r="K1624" s="7">
        <v>191.62</v>
      </c>
    </row>
    <row r="1625" spans="1:11" ht="18" customHeight="1" x14ac:dyDescent="0.25">
      <c r="A1625" s="7" t="s">
        <v>19</v>
      </c>
      <c r="B1625" s="7">
        <v>2022</v>
      </c>
      <c r="C1625" s="7" t="s">
        <v>60</v>
      </c>
      <c r="D1625" s="7" t="s">
        <v>21</v>
      </c>
      <c r="E1625" s="7" t="s">
        <v>74</v>
      </c>
      <c r="F1625" s="7" t="s">
        <v>23</v>
      </c>
      <c r="G1625" s="7" t="s">
        <v>24</v>
      </c>
      <c r="H1625" s="7" t="s">
        <v>25</v>
      </c>
      <c r="I1625" s="7" t="s">
        <v>35</v>
      </c>
      <c r="J1625" s="7">
        <v>334</v>
      </c>
      <c r="K1625" s="7">
        <v>477.62</v>
      </c>
    </row>
    <row r="1626" spans="1:11" ht="18" customHeight="1" x14ac:dyDescent="0.25">
      <c r="A1626" s="7" t="s">
        <v>34</v>
      </c>
      <c r="B1626" s="7">
        <v>2022</v>
      </c>
      <c r="C1626" s="7" t="s">
        <v>60</v>
      </c>
      <c r="D1626" s="7" t="s">
        <v>21</v>
      </c>
      <c r="E1626" s="7" t="s">
        <v>74</v>
      </c>
      <c r="F1626" s="7" t="s">
        <v>23</v>
      </c>
      <c r="G1626" s="7" t="s">
        <v>24</v>
      </c>
      <c r="H1626" s="7" t="s">
        <v>25</v>
      </c>
      <c r="I1626" s="7" t="s">
        <v>35</v>
      </c>
      <c r="J1626" s="7">
        <v>702</v>
      </c>
      <c r="K1626" s="7">
        <v>1003.86</v>
      </c>
    </row>
    <row r="1627" spans="1:11" ht="18" customHeight="1" x14ac:dyDescent="0.25">
      <c r="A1627" s="7" t="s">
        <v>19</v>
      </c>
      <c r="B1627" s="7">
        <v>2022</v>
      </c>
      <c r="C1627" s="7" t="s">
        <v>60</v>
      </c>
      <c r="D1627" s="7" t="s">
        <v>21</v>
      </c>
      <c r="E1627" s="7" t="s">
        <v>74</v>
      </c>
      <c r="F1627" s="7" t="s">
        <v>23</v>
      </c>
      <c r="G1627" s="7" t="s">
        <v>24</v>
      </c>
      <c r="H1627" s="7" t="s">
        <v>25</v>
      </c>
      <c r="I1627" s="7" t="s">
        <v>35</v>
      </c>
      <c r="J1627" s="7">
        <v>735</v>
      </c>
      <c r="K1627" s="7">
        <v>1051.05</v>
      </c>
    </row>
    <row r="1628" spans="1:11" ht="18" customHeight="1" x14ac:dyDescent="0.25">
      <c r="A1628" s="7" t="s">
        <v>34</v>
      </c>
      <c r="B1628" s="7">
        <v>2022</v>
      </c>
      <c r="C1628" s="7" t="s">
        <v>60</v>
      </c>
      <c r="D1628" s="7" t="s">
        <v>21</v>
      </c>
      <c r="E1628" s="7" t="s">
        <v>74</v>
      </c>
      <c r="F1628" s="7" t="s">
        <v>23</v>
      </c>
      <c r="G1628" s="7" t="s">
        <v>24</v>
      </c>
      <c r="H1628" s="7" t="s">
        <v>25</v>
      </c>
      <c r="I1628" s="7" t="s">
        <v>35</v>
      </c>
      <c r="J1628" s="7">
        <v>333</v>
      </c>
      <c r="K1628" s="7">
        <v>526.24</v>
      </c>
    </row>
    <row r="1629" spans="1:11" ht="18" customHeight="1" x14ac:dyDescent="0.25">
      <c r="A1629" s="7" t="s">
        <v>61</v>
      </c>
      <c r="B1629" s="7">
        <v>2022</v>
      </c>
      <c r="C1629" s="7" t="s">
        <v>60</v>
      </c>
      <c r="D1629" s="7" t="s">
        <v>21</v>
      </c>
      <c r="E1629" s="7" t="s">
        <v>74</v>
      </c>
      <c r="F1629" s="7" t="s">
        <v>23</v>
      </c>
      <c r="G1629" s="7" t="s">
        <v>24</v>
      </c>
      <c r="H1629" s="7" t="s">
        <v>25</v>
      </c>
      <c r="I1629" s="7" t="s">
        <v>35</v>
      </c>
      <c r="J1629" s="7">
        <v>774</v>
      </c>
      <c r="K1629" s="7">
        <v>526.24</v>
      </c>
    </row>
    <row r="1630" spans="1:11" ht="18" customHeight="1" x14ac:dyDescent="0.25">
      <c r="A1630" s="7" t="s">
        <v>34</v>
      </c>
      <c r="B1630" s="7">
        <v>2022</v>
      </c>
      <c r="C1630" s="7" t="s">
        <v>60</v>
      </c>
      <c r="D1630" s="7" t="s">
        <v>21</v>
      </c>
      <c r="E1630" s="7" t="s">
        <v>74</v>
      </c>
      <c r="F1630" s="7" t="s">
        <v>23</v>
      </c>
      <c r="G1630" s="7" t="s">
        <v>24</v>
      </c>
      <c r="H1630" s="7" t="s">
        <v>25</v>
      </c>
      <c r="I1630" s="7" t="s">
        <v>35</v>
      </c>
      <c r="J1630" s="7">
        <v>331</v>
      </c>
      <c r="K1630" s="7">
        <v>473.33</v>
      </c>
    </row>
    <row r="1631" spans="1:11" ht="18" customHeight="1" x14ac:dyDescent="0.25">
      <c r="A1631" s="7" t="s">
        <v>34</v>
      </c>
      <c r="B1631" s="7">
        <v>2022</v>
      </c>
      <c r="C1631" s="7" t="s">
        <v>60</v>
      </c>
      <c r="D1631" s="7" t="s">
        <v>21</v>
      </c>
      <c r="E1631" s="7" t="s">
        <v>74</v>
      </c>
      <c r="F1631" s="7" t="s">
        <v>23</v>
      </c>
      <c r="G1631" s="7" t="s">
        <v>24</v>
      </c>
      <c r="H1631" s="7" t="s">
        <v>25</v>
      </c>
      <c r="I1631" s="7" t="s">
        <v>35</v>
      </c>
      <c r="J1631" s="7">
        <v>133</v>
      </c>
      <c r="K1631" s="7">
        <v>190.19</v>
      </c>
    </row>
    <row r="1632" spans="1:11" ht="18" customHeight="1" x14ac:dyDescent="0.25">
      <c r="A1632" s="7" t="s">
        <v>53</v>
      </c>
      <c r="B1632" s="7">
        <v>2022</v>
      </c>
      <c r="C1632" s="7" t="s">
        <v>60</v>
      </c>
      <c r="D1632" s="7" t="s">
        <v>21</v>
      </c>
      <c r="E1632" s="7" t="s">
        <v>74</v>
      </c>
      <c r="F1632" s="7" t="s">
        <v>23</v>
      </c>
      <c r="G1632" s="7" t="s">
        <v>24</v>
      </c>
      <c r="H1632" s="7" t="s">
        <v>25</v>
      </c>
      <c r="I1632" s="7" t="s">
        <v>35</v>
      </c>
      <c r="J1632" s="7">
        <v>335</v>
      </c>
      <c r="K1632" s="7">
        <v>479.05</v>
      </c>
    </row>
    <row r="1633" spans="1:11" ht="18" customHeight="1" x14ac:dyDescent="0.25">
      <c r="A1633" s="7" t="s">
        <v>34</v>
      </c>
      <c r="B1633" s="7">
        <v>2022</v>
      </c>
      <c r="C1633" s="7" t="s">
        <v>60</v>
      </c>
      <c r="D1633" s="7" t="s">
        <v>21</v>
      </c>
      <c r="E1633" s="7" t="s">
        <v>74</v>
      </c>
      <c r="F1633" s="7" t="s">
        <v>23</v>
      </c>
      <c r="G1633" s="7" t="s">
        <v>24</v>
      </c>
      <c r="H1633" s="7" t="s">
        <v>25</v>
      </c>
      <c r="I1633" s="7" t="s">
        <v>35</v>
      </c>
      <c r="J1633" s="7">
        <v>131</v>
      </c>
      <c r="K1633" s="7">
        <v>187.32999999999998</v>
      </c>
    </row>
    <row r="1634" spans="1:11" ht="18" customHeight="1" x14ac:dyDescent="0.25">
      <c r="A1634" s="7" t="s">
        <v>53</v>
      </c>
      <c r="B1634" s="7">
        <v>2022</v>
      </c>
      <c r="C1634" s="7" t="s">
        <v>65</v>
      </c>
      <c r="D1634" s="7" t="s">
        <v>21</v>
      </c>
      <c r="E1634" s="7" t="s">
        <v>74</v>
      </c>
      <c r="F1634" s="7" t="s">
        <v>23</v>
      </c>
      <c r="G1634" s="7" t="s">
        <v>24</v>
      </c>
      <c r="H1634" s="7" t="s">
        <v>25</v>
      </c>
      <c r="I1634" s="7" t="s">
        <v>35</v>
      </c>
      <c r="J1634" s="7">
        <v>140</v>
      </c>
      <c r="K1634" s="7">
        <v>200.2</v>
      </c>
    </row>
    <row r="1635" spans="1:11" ht="18" customHeight="1" x14ac:dyDescent="0.25">
      <c r="A1635" s="7" t="s">
        <v>34</v>
      </c>
      <c r="B1635" s="7">
        <v>2022</v>
      </c>
      <c r="C1635" s="7" t="s">
        <v>65</v>
      </c>
      <c r="D1635" s="7" t="s">
        <v>21</v>
      </c>
      <c r="E1635" s="7" t="s">
        <v>74</v>
      </c>
      <c r="F1635" s="7" t="s">
        <v>23</v>
      </c>
      <c r="G1635" s="7" t="s">
        <v>24</v>
      </c>
      <c r="H1635" s="7" t="s">
        <v>25</v>
      </c>
      <c r="I1635" s="7" t="s">
        <v>35</v>
      </c>
      <c r="J1635" s="7">
        <v>356</v>
      </c>
      <c r="K1635" s="7">
        <v>509.08</v>
      </c>
    </row>
    <row r="1636" spans="1:11" ht="18" customHeight="1" x14ac:dyDescent="0.25">
      <c r="A1636" s="7" t="s">
        <v>34</v>
      </c>
      <c r="B1636" s="7">
        <v>2022</v>
      </c>
      <c r="C1636" s="7" t="s">
        <v>65</v>
      </c>
      <c r="D1636" s="7" t="s">
        <v>21</v>
      </c>
      <c r="E1636" s="7" t="s">
        <v>74</v>
      </c>
      <c r="F1636" s="7" t="s">
        <v>23</v>
      </c>
      <c r="G1636" s="7" t="s">
        <v>24</v>
      </c>
      <c r="H1636" s="7" t="s">
        <v>25</v>
      </c>
      <c r="I1636" s="7" t="s">
        <v>35</v>
      </c>
      <c r="J1636" s="7">
        <v>310</v>
      </c>
      <c r="K1636" s="7">
        <v>443.3</v>
      </c>
    </row>
    <row r="1637" spans="1:11" ht="18" customHeight="1" x14ac:dyDescent="0.25">
      <c r="A1637" s="7" t="s">
        <v>19</v>
      </c>
      <c r="B1637" s="7">
        <v>2022</v>
      </c>
      <c r="C1637" s="7" t="s">
        <v>65</v>
      </c>
      <c r="D1637" s="7" t="s">
        <v>21</v>
      </c>
      <c r="E1637" s="7" t="s">
        <v>74</v>
      </c>
      <c r="F1637" s="7" t="s">
        <v>23</v>
      </c>
      <c r="G1637" s="7" t="s">
        <v>24</v>
      </c>
      <c r="H1637" s="7" t="s">
        <v>25</v>
      </c>
      <c r="I1637" s="7" t="s">
        <v>35</v>
      </c>
      <c r="J1637" s="7">
        <v>358</v>
      </c>
      <c r="K1637" s="7">
        <v>511.94</v>
      </c>
    </row>
    <row r="1638" spans="1:11" ht="18" customHeight="1" x14ac:dyDescent="0.25">
      <c r="A1638" s="7" t="s">
        <v>61</v>
      </c>
      <c r="B1638" s="7">
        <v>2022</v>
      </c>
      <c r="C1638" s="7" t="s">
        <v>65</v>
      </c>
      <c r="D1638" s="7" t="s">
        <v>21</v>
      </c>
      <c r="E1638" s="7" t="s">
        <v>74</v>
      </c>
      <c r="F1638" s="7" t="s">
        <v>23</v>
      </c>
      <c r="G1638" s="7" t="s">
        <v>24</v>
      </c>
      <c r="H1638" s="7" t="s">
        <v>25</v>
      </c>
      <c r="I1638" s="7" t="s">
        <v>35</v>
      </c>
      <c r="J1638" s="7">
        <v>138</v>
      </c>
      <c r="K1638" s="7">
        <v>197.34</v>
      </c>
    </row>
    <row r="1639" spans="1:11" ht="18" customHeight="1" x14ac:dyDescent="0.25">
      <c r="A1639" s="7" t="s">
        <v>42</v>
      </c>
      <c r="B1639" s="7">
        <v>2022</v>
      </c>
      <c r="C1639" s="7" t="s">
        <v>65</v>
      </c>
      <c r="D1639" s="7" t="s">
        <v>21</v>
      </c>
      <c r="E1639" s="7" t="s">
        <v>74</v>
      </c>
      <c r="F1639" s="7" t="s">
        <v>23</v>
      </c>
      <c r="G1639" s="7" t="s">
        <v>24</v>
      </c>
      <c r="H1639" s="7" t="s">
        <v>25</v>
      </c>
      <c r="I1639" s="7" t="s">
        <v>35</v>
      </c>
      <c r="J1639" s="7">
        <v>705</v>
      </c>
      <c r="K1639" s="7">
        <v>1008.15</v>
      </c>
    </row>
    <row r="1640" spans="1:11" ht="18" customHeight="1" x14ac:dyDescent="0.25">
      <c r="A1640" s="7" t="s">
        <v>19</v>
      </c>
      <c r="B1640" s="7">
        <v>2022</v>
      </c>
      <c r="C1640" s="7" t="s">
        <v>65</v>
      </c>
      <c r="D1640" s="7" t="s">
        <v>21</v>
      </c>
      <c r="E1640" s="7" t="s">
        <v>74</v>
      </c>
      <c r="F1640" s="7" t="s">
        <v>23</v>
      </c>
      <c r="G1640" s="7" t="s">
        <v>24</v>
      </c>
      <c r="H1640" s="7" t="s">
        <v>25</v>
      </c>
      <c r="I1640" s="7" t="s">
        <v>35</v>
      </c>
      <c r="J1640" s="7">
        <v>738</v>
      </c>
      <c r="K1640" s="7">
        <v>1055.3399999999999</v>
      </c>
    </row>
    <row r="1641" spans="1:11" ht="18" customHeight="1" x14ac:dyDescent="0.25">
      <c r="A1641" s="7" t="s">
        <v>19</v>
      </c>
      <c r="B1641" s="7">
        <v>2022</v>
      </c>
      <c r="C1641" s="7" t="s">
        <v>65</v>
      </c>
      <c r="D1641" s="7" t="s">
        <v>21</v>
      </c>
      <c r="E1641" s="7" t="s">
        <v>74</v>
      </c>
      <c r="F1641" s="7" t="s">
        <v>23</v>
      </c>
      <c r="G1641" s="7" t="s">
        <v>24</v>
      </c>
      <c r="H1641" s="7" t="s">
        <v>25</v>
      </c>
      <c r="I1641" s="7" t="s">
        <v>35</v>
      </c>
      <c r="J1641" s="7">
        <v>141</v>
      </c>
      <c r="K1641" s="7">
        <v>201.63</v>
      </c>
    </row>
    <row r="1642" spans="1:11" ht="18" customHeight="1" x14ac:dyDescent="0.25">
      <c r="A1642" s="7" t="s">
        <v>42</v>
      </c>
      <c r="B1642" s="7">
        <v>2022</v>
      </c>
      <c r="C1642" s="7" t="s">
        <v>65</v>
      </c>
      <c r="D1642" s="7" t="s">
        <v>21</v>
      </c>
      <c r="E1642" s="7" t="s">
        <v>74</v>
      </c>
      <c r="F1642" s="7" t="s">
        <v>23</v>
      </c>
      <c r="G1642" s="7" t="s">
        <v>24</v>
      </c>
      <c r="H1642" s="7" t="s">
        <v>25</v>
      </c>
      <c r="I1642" s="7" t="s">
        <v>35</v>
      </c>
      <c r="J1642" s="7">
        <v>309</v>
      </c>
      <c r="K1642" s="7">
        <v>526.24</v>
      </c>
    </row>
    <row r="1643" spans="1:11" ht="18" customHeight="1" x14ac:dyDescent="0.25">
      <c r="A1643" s="7" t="s">
        <v>61</v>
      </c>
      <c r="B1643" s="7">
        <v>2022</v>
      </c>
      <c r="C1643" s="7" t="s">
        <v>65</v>
      </c>
      <c r="D1643" s="7" t="s">
        <v>21</v>
      </c>
      <c r="E1643" s="7" t="s">
        <v>74</v>
      </c>
      <c r="F1643" s="7" t="s">
        <v>23</v>
      </c>
      <c r="G1643" s="7" t="s">
        <v>24</v>
      </c>
      <c r="H1643" s="7" t="s">
        <v>25</v>
      </c>
      <c r="I1643" s="7" t="s">
        <v>35</v>
      </c>
      <c r="J1643" s="7">
        <v>778</v>
      </c>
      <c r="K1643" s="7">
        <v>526.24</v>
      </c>
    </row>
    <row r="1644" spans="1:11" ht="18" customHeight="1" x14ac:dyDescent="0.25">
      <c r="A1644" s="7" t="s">
        <v>19</v>
      </c>
      <c r="B1644" s="7">
        <v>2022</v>
      </c>
      <c r="C1644" s="7" t="s">
        <v>65</v>
      </c>
      <c r="D1644" s="7" t="s">
        <v>21</v>
      </c>
      <c r="E1644" s="7" t="s">
        <v>74</v>
      </c>
      <c r="F1644" s="7" t="s">
        <v>23</v>
      </c>
      <c r="G1644" s="7" t="s">
        <v>24</v>
      </c>
      <c r="H1644" s="7" t="s">
        <v>25</v>
      </c>
      <c r="I1644" s="7" t="s">
        <v>35</v>
      </c>
      <c r="J1644" s="7">
        <v>139</v>
      </c>
      <c r="K1644" s="7">
        <v>198.76999999999998</v>
      </c>
    </row>
    <row r="1645" spans="1:11" ht="18" customHeight="1" x14ac:dyDescent="0.25">
      <c r="A1645" s="7" t="s">
        <v>34</v>
      </c>
      <c r="B1645" s="7">
        <v>2022</v>
      </c>
      <c r="C1645" s="7" t="s">
        <v>65</v>
      </c>
      <c r="D1645" s="7" t="s">
        <v>21</v>
      </c>
      <c r="E1645" s="7" t="s">
        <v>74</v>
      </c>
      <c r="F1645" s="7" t="s">
        <v>23</v>
      </c>
      <c r="G1645" s="7" t="s">
        <v>24</v>
      </c>
      <c r="H1645" s="7" t="s">
        <v>25</v>
      </c>
      <c r="I1645" s="7" t="s">
        <v>35</v>
      </c>
      <c r="J1645" s="7">
        <v>313</v>
      </c>
      <c r="K1645" s="7">
        <v>447.59000000000003</v>
      </c>
    </row>
    <row r="1646" spans="1:11" ht="18" customHeight="1" x14ac:dyDescent="0.25">
      <c r="A1646" s="7" t="s">
        <v>34</v>
      </c>
      <c r="B1646" s="7">
        <v>2022</v>
      </c>
      <c r="C1646" s="7" t="s">
        <v>65</v>
      </c>
      <c r="D1646" s="7" t="s">
        <v>21</v>
      </c>
      <c r="E1646" s="7" t="s">
        <v>74</v>
      </c>
      <c r="F1646" s="7" t="s">
        <v>23</v>
      </c>
      <c r="G1646" s="7" t="s">
        <v>24</v>
      </c>
      <c r="H1646" s="7" t="s">
        <v>25</v>
      </c>
      <c r="I1646" s="7" t="s">
        <v>35</v>
      </c>
      <c r="J1646" s="7">
        <v>137</v>
      </c>
      <c r="K1646" s="7">
        <v>195.91</v>
      </c>
    </row>
    <row r="1647" spans="1:11" ht="18" customHeight="1" x14ac:dyDescent="0.25">
      <c r="A1647" s="7" t="s">
        <v>19</v>
      </c>
      <c r="B1647" s="7">
        <v>2022</v>
      </c>
      <c r="C1647" s="7" t="s">
        <v>65</v>
      </c>
      <c r="D1647" s="7" t="s">
        <v>21</v>
      </c>
      <c r="E1647" s="7" t="s">
        <v>74</v>
      </c>
      <c r="F1647" s="7" t="s">
        <v>23</v>
      </c>
      <c r="G1647" s="7" t="s">
        <v>24</v>
      </c>
      <c r="H1647" s="7" t="s">
        <v>25</v>
      </c>
      <c r="I1647" s="7" t="s">
        <v>35</v>
      </c>
      <c r="J1647" s="7">
        <v>311</v>
      </c>
      <c r="K1647" s="7">
        <v>444.73</v>
      </c>
    </row>
    <row r="1648" spans="1:11" ht="18" customHeight="1" x14ac:dyDescent="0.25">
      <c r="A1648" s="7" t="s">
        <v>53</v>
      </c>
      <c r="B1648" s="7">
        <v>2022</v>
      </c>
      <c r="C1648" s="7" t="s">
        <v>65</v>
      </c>
      <c r="D1648" s="7" t="s">
        <v>21</v>
      </c>
      <c r="E1648" s="7" t="s">
        <v>74</v>
      </c>
      <c r="F1648" s="7" t="s">
        <v>23</v>
      </c>
      <c r="G1648" s="7" t="s">
        <v>24</v>
      </c>
      <c r="H1648" s="7" t="s">
        <v>25</v>
      </c>
      <c r="I1648" s="7" t="s">
        <v>35</v>
      </c>
      <c r="J1648" s="7">
        <v>747</v>
      </c>
      <c r="K1648" s="7">
        <v>1068.21</v>
      </c>
    </row>
    <row r="1649" spans="1:11" ht="18" customHeight="1" x14ac:dyDescent="0.25">
      <c r="A1649" s="7" t="s">
        <v>19</v>
      </c>
      <c r="B1649" s="7">
        <v>2022</v>
      </c>
      <c r="C1649" s="7" t="s">
        <v>59</v>
      </c>
      <c r="D1649" s="7" t="s">
        <v>21</v>
      </c>
      <c r="E1649" s="7" t="s">
        <v>74</v>
      </c>
      <c r="F1649" s="7" t="s">
        <v>23</v>
      </c>
      <c r="G1649" s="7" t="s">
        <v>24</v>
      </c>
      <c r="H1649" s="7" t="s">
        <v>25</v>
      </c>
      <c r="I1649" s="7" t="s">
        <v>35</v>
      </c>
      <c r="J1649" s="7">
        <v>362</v>
      </c>
      <c r="K1649" s="7">
        <v>492.32</v>
      </c>
    </row>
    <row r="1650" spans="1:11" ht="18" customHeight="1" x14ac:dyDescent="0.25">
      <c r="A1650" s="7" t="s">
        <v>34</v>
      </c>
      <c r="B1650" s="7">
        <v>2022</v>
      </c>
      <c r="C1650" s="7" t="s">
        <v>59</v>
      </c>
      <c r="D1650" s="7" t="s">
        <v>21</v>
      </c>
      <c r="E1650" s="7" t="s">
        <v>74</v>
      </c>
      <c r="F1650" s="7" t="s">
        <v>23</v>
      </c>
      <c r="G1650" s="7" t="s">
        <v>24</v>
      </c>
      <c r="H1650" s="7" t="s">
        <v>25</v>
      </c>
      <c r="I1650" s="7" t="s">
        <v>35</v>
      </c>
      <c r="J1650" s="7">
        <v>164</v>
      </c>
      <c r="K1650" s="7">
        <v>234.51999999999998</v>
      </c>
    </row>
    <row r="1651" spans="1:11" ht="18" customHeight="1" x14ac:dyDescent="0.25">
      <c r="A1651" s="7" t="s">
        <v>42</v>
      </c>
      <c r="B1651" s="7">
        <v>2022</v>
      </c>
      <c r="C1651" s="7" t="s">
        <v>59</v>
      </c>
      <c r="D1651" s="7" t="s">
        <v>21</v>
      </c>
      <c r="E1651" s="7" t="s">
        <v>74</v>
      </c>
      <c r="F1651" s="7" t="s">
        <v>23</v>
      </c>
      <c r="G1651" s="7" t="s">
        <v>24</v>
      </c>
      <c r="H1651" s="7" t="s">
        <v>25</v>
      </c>
      <c r="I1651" s="7" t="s">
        <v>35</v>
      </c>
      <c r="J1651" s="7">
        <v>364</v>
      </c>
      <c r="K1651" s="7">
        <v>520.52</v>
      </c>
    </row>
    <row r="1652" spans="1:11" ht="18" customHeight="1" x14ac:dyDescent="0.25">
      <c r="A1652" s="7" t="s">
        <v>19</v>
      </c>
      <c r="B1652" s="7">
        <v>2022</v>
      </c>
      <c r="C1652" s="7" t="s">
        <v>59</v>
      </c>
      <c r="D1652" s="7" t="s">
        <v>21</v>
      </c>
      <c r="E1652" s="7" t="s">
        <v>74</v>
      </c>
      <c r="F1652" s="7" t="s">
        <v>23</v>
      </c>
      <c r="G1652" s="7" t="s">
        <v>24</v>
      </c>
      <c r="H1652" s="7" t="s">
        <v>25</v>
      </c>
      <c r="I1652" s="7" t="s">
        <v>35</v>
      </c>
      <c r="J1652" s="7">
        <v>166</v>
      </c>
      <c r="K1652" s="7">
        <v>237.38</v>
      </c>
    </row>
    <row r="1653" spans="1:11" ht="18" customHeight="1" x14ac:dyDescent="0.25">
      <c r="A1653" s="7" t="s">
        <v>19</v>
      </c>
      <c r="B1653" s="7">
        <v>2022</v>
      </c>
      <c r="C1653" s="7" t="s">
        <v>59</v>
      </c>
      <c r="D1653" s="7" t="s">
        <v>21</v>
      </c>
      <c r="E1653" s="7" t="s">
        <v>74</v>
      </c>
      <c r="F1653" s="7" t="s">
        <v>23</v>
      </c>
      <c r="G1653" s="7" t="s">
        <v>24</v>
      </c>
      <c r="H1653" s="7" t="s">
        <v>25</v>
      </c>
      <c r="I1653" s="7" t="s">
        <v>35</v>
      </c>
      <c r="J1653" s="7">
        <v>696</v>
      </c>
      <c r="K1653" s="7">
        <v>995.28</v>
      </c>
    </row>
    <row r="1654" spans="1:11" ht="18" customHeight="1" x14ac:dyDescent="0.25">
      <c r="A1654" s="7" t="s">
        <v>42</v>
      </c>
      <c r="B1654" s="7">
        <v>2022</v>
      </c>
      <c r="C1654" s="7" t="s">
        <v>59</v>
      </c>
      <c r="D1654" s="7" t="s">
        <v>21</v>
      </c>
      <c r="E1654" s="7" t="s">
        <v>74</v>
      </c>
      <c r="F1654" s="7" t="s">
        <v>23</v>
      </c>
      <c r="G1654" s="7" t="s">
        <v>24</v>
      </c>
      <c r="H1654" s="7" t="s">
        <v>25</v>
      </c>
      <c r="I1654" s="7" t="s">
        <v>35</v>
      </c>
      <c r="J1654" s="7">
        <v>363</v>
      </c>
      <c r="K1654" s="7">
        <v>519.09</v>
      </c>
    </row>
    <row r="1655" spans="1:11" ht="18" customHeight="1" x14ac:dyDescent="0.25">
      <c r="A1655" s="7" t="s">
        <v>19</v>
      </c>
      <c r="B1655" s="7">
        <v>2022</v>
      </c>
      <c r="C1655" s="7" t="s">
        <v>59</v>
      </c>
      <c r="D1655" s="7" t="s">
        <v>21</v>
      </c>
      <c r="E1655" s="7" t="s">
        <v>74</v>
      </c>
      <c r="F1655" s="7" t="s">
        <v>23</v>
      </c>
      <c r="G1655" s="7" t="s">
        <v>24</v>
      </c>
      <c r="H1655" s="7" t="s">
        <v>25</v>
      </c>
      <c r="I1655" s="7" t="s">
        <v>35</v>
      </c>
      <c r="J1655" s="7">
        <v>769</v>
      </c>
      <c r="K1655" s="7">
        <v>526.24</v>
      </c>
    </row>
    <row r="1656" spans="1:11" ht="18" customHeight="1" x14ac:dyDescent="0.25">
      <c r="A1656" s="7" t="s">
        <v>19</v>
      </c>
      <c r="B1656" s="7">
        <v>2022</v>
      </c>
      <c r="C1656" s="7" t="s">
        <v>59</v>
      </c>
      <c r="D1656" s="7" t="s">
        <v>21</v>
      </c>
      <c r="E1656" s="7" t="s">
        <v>74</v>
      </c>
      <c r="F1656" s="7" t="s">
        <v>23</v>
      </c>
      <c r="G1656" s="7" t="s">
        <v>24</v>
      </c>
      <c r="H1656" s="7" t="s">
        <v>25</v>
      </c>
      <c r="I1656" s="7" t="s">
        <v>35</v>
      </c>
      <c r="J1656" s="7">
        <v>367</v>
      </c>
      <c r="K1656" s="7">
        <v>524.80999999999995</v>
      </c>
    </row>
    <row r="1657" spans="1:11" ht="18" customHeight="1" x14ac:dyDescent="0.25">
      <c r="A1657" s="7" t="s">
        <v>42</v>
      </c>
      <c r="B1657" s="7">
        <v>2022</v>
      </c>
      <c r="C1657" s="7" t="s">
        <v>59</v>
      </c>
      <c r="D1657" s="7" t="s">
        <v>21</v>
      </c>
      <c r="E1657" s="7" t="s">
        <v>74</v>
      </c>
      <c r="F1657" s="7" t="s">
        <v>23</v>
      </c>
      <c r="G1657" s="7" t="s">
        <v>24</v>
      </c>
      <c r="H1657" s="7" t="s">
        <v>25</v>
      </c>
      <c r="I1657" s="7" t="s">
        <v>35</v>
      </c>
      <c r="J1657" s="7">
        <v>163</v>
      </c>
      <c r="K1657" s="7">
        <v>233.09</v>
      </c>
    </row>
    <row r="1658" spans="1:11" ht="18" customHeight="1" x14ac:dyDescent="0.25">
      <c r="A1658" s="7" t="s">
        <v>34</v>
      </c>
      <c r="B1658" s="7">
        <v>2022</v>
      </c>
      <c r="C1658" s="7" t="s">
        <v>59</v>
      </c>
      <c r="D1658" s="7" t="s">
        <v>21</v>
      </c>
      <c r="E1658" s="7" t="s">
        <v>74</v>
      </c>
      <c r="F1658" s="7" t="s">
        <v>23</v>
      </c>
      <c r="G1658" s="7" t="s">
        <v>24</v>
      </c>
      <c r="H1658" s="7" t="s">
        <v>25</v>
      </c>
      <c r="I1658" s="7" t="s">
        <v>35</v>
      </c>
      <c r="J1658" s="7">
        <v>365</v>
      </c>
      <c r="K1658" s="7">
        <v>521.95000000000005</v>
      </c>
    </row>
    <row r="1659" spans="1:11" ht="18" customHeight="1" x14ac:dyDescent="0.25">
      <c r="A1659" s="7" t="s">
        <v>42</v>
      </c>
      <c r="B1659" s="7">
        <v>2022</v>
      </c>
      <c r="C1659" s="7" t="s">
        <v>59</v>
      </c>
      <c r="D1659" s="7" t="s">
        <v>21</v>
      </c>
      <c r="E1659" s="7" t="s">
        <v>74</v>
      </c>
      <c r="F1659" s="7" t="s">
        <v>23</v>
      </c>
      <c r="G1659" s="7" t="s">
        <v>24</v>
      </c>
      <c r="H1659" s="7" t="s">
        <v>25</v>
      </c>
      <c r="I1659" s="7" t="s">
        <v>35</v>
      </c>
      <c r="J1659" s="7">
        <v>167</v>
      </c>
      <c r="K1659" s="7">
        <v>238.81</v>
      </c>
    </row>
    <row r="1660" spans="1:11" ht="18" customHeight="1" x14ac:dyDescent="0.25">
      <c r="A1660" s="7" t="s">
        <v>19</v>
      </c>
      <c r="B1660" s="7">
        <v>2022</v>
      </c>
      <c r="C1660" s="7" t="s">
        <v>27</v>
      </c>
      <c r="D1660" s="7" t="s">
        <v>21</v>
      </c>
      <c r="E1660" s="7" t="s">
        <v>74</v>
      </c>
      <c r="F1660" s="7" t="s">
        <v>23</v>
      </c>
      <c r="G1660" s="7" t="s">
        <v>24</v>
      </c>
      <c r="H1660" s="7" t="s">
        <v>25</v>
      </c>
      <c r="I1660" s="7" t="s">
        <v>35</v>
      </c>
      <c r="J1660" s="7">
        <v>368</v>
      </c>
      <c r="K1660" s="7">
        <v>500.48</v>
      </c>
    </row>
    <row r="1661" spans="1:11" ht="18" customHeight="1" x14ac:dyDescent="0.25">
      <c r="A1661" s="7" t="s">
        <v>34</v>
      </c>
      <c r="B1661" s="7">
        <v>2022</v>
      </c>
      <c r="C1661" s="7" t="s">
        <v>27</v>
      </c>
      <c r="D1661" s="7" t="s">
        <v>21</v>
      </c>
      <c r="E1661" s="7" t="s">
        <v>74</v>
      </c>
      <c r="F1661" s="7" t="s">
        <v>23</v>
      </c>
      <c r="G1661" s="7" t="s">
        <v>24</v>
      </c>
      <c r="H1661" s="7" t="s">
        <v>25</v>
      </c>
      <c r="I1661" s="7" t="s">
        <v>35</v>
      </c>
      <c r="J1661" s="7">
        <v>170</v>
      </c>
      <c r="K1661" s="7">
        <v>243.1</v>
      </c>
    </row>
    <row r="1662" spans="1:11" ht="18" customHeight="1" x14ac:dyDescent="0.25">
      <c r="A1662" s="7" t="s">
        <v>34</v>
      </c>
      <c r="B1662" s="7">
        <v>2022</v>
      </c>
      <c r="C1662" s="7" t="s">
        <v>27</v>
      </c>
      <c r="D1662" s="7" t="s">
        <v>21</v>
      </c>
      <c r="E1662" s="7" t="s">
        <v>74</v>
      </c>
      <c r="F1662" s="7" t="s">
        <v>23</v>
      </c>
      <c r="G1662" s="7" t="s">
        <v>24</v>
      </c>
      <c r="H1662" s="7" t="s">
        <v>25</v>
      </c>
      <c r="I1662" s="7" t="s">
        <v>35</v>
      </c>
      <c r="J1662" s="7">
        <v>370</v>
      </c>
      <c r="K1662" s="7">
        <v>529.1</v>
      </c>
    </row>
    <row r="1663" spans="1:11" ht="18" customHeight="1" x14ac:dyDescent="0.25">
      <c r="A1663" s="7" t="s">
        <v>19</v>
      </c>
      <c r="B1663" s="7">
        <v>2022</v>
      </c>
      <c r="C1663" s="7" t="s">
        <v>27</v>
      </c>
      <c r="D1663" s="7" t="s">
        <v>21</v>
      </c>
      <c r="E1663" s="7" t="s">
        <v>74</v>
      </c>
      <c r="F1663" s="7" t="s">
        <v>23</v>
      </c>
      <c r="G1663" s="7" t="s">
        <v>24</v>
      </c>
      <c r="H1663" s="7" t="s">
        <v>25</v>
      </c>
      <c r="I1663" s="7" t="s">
        <v>35</v>
      </c>
      <c r="J1663" s="7">
        <v>172</v>
      </c>
      <c r="K1663" s="7">
        <v>245.95999999999998</v>
      </c>
    </row>
    <row r="1664" spans="1:11" ht="18" customHeight="1" x14ac:dyDescent="0.25">
      <c r="A1664" s="7" t="s">
        <v>34</v>
      </c>
      <c r="B1664" s="7">
        <v>2022</v>
      </c>
      <c r="C1664" s="7" t="s">
        <v>27</v>
      </c>
      <c r="D1664" s="7" t="s">
        <v>21</v>
      </c>
      <c r="E1664" s="7" t="s">
        <v>74</v>
      </c>
      <c r="F1664" s="7" t="s">
        <v>23</v>
      </c>
      <c r="G1664" s="7" t="s">
        <v>24</v>
      </c>
      <c r="H1664" s="7" t="s">
        <v>25</v>
      </c>
      <c r="I1664" s="7" t="s">
        <v>35</v>
      </c>
      <c r="J1664" s="7">
        <v>695</v>
      </c>
      <c r="K1664" s="7">
        <v>993.85</v>
      </c>
    </row>
    <row r="1665" spans="1:11" ht="18" customHeight="1" x14ac:dyDescent="0.25">
      <c r="A1665" s="7" t="s">
        <v>19</v>
      </c>
      <c r="B1665" s="7">
        <v>2022</v>
      </c>
      <c r="C1665" s="7" t="s">
        <v>27</v>
      </c>
      <c r="D1665" s="7" t="s">
        <v>21</v>
      </c>
      <c r="E1665" s="7" t="s">
        <v>74</v>
      </c>
      <c r="F1665" s="7" t="s">
        <v>23</v>
      </c>
      <c r="G1665" s="7" t="s">
        <v>24</v>
      </c>
      <c r="H1665" s="7" t="s">
        <v>25</v>
      </c>
      <c r="I1665" s="7" t="s">
        <v>35</v>
      </c>
      <c r="J1665" s="7">
        <v>729</v>
      </c>
      <c r="K1665" s="7">
        <v>1042.47</v>
      </c>
    </row>
    <row r="1666" spans="1:11" ht="18" customHeight="1" x14ac:dyDescent="0.25">
      <c r="A1666" s="7" t="s">
        <v>19</v>
      </c>
      <c r="B1666" s="7">
        <v>2022</v>
      </c>
      <c r="C1666" s="7" t="s">
        <v>27</v>
      </c>
      <c r="D1666" s="7" t="s">
        <v>21</v>
      </c>
      <c r="E1666" s="7" t="s">
        <v>74</v>
      </c>
      <c r="F1666" s="7" t="s">
        <v>23</v>
      </c>
      <c r="G1666" s="7" t="s">
        <v>24</v>
      </c>
      <c r="H1666" s="7" t="s">
        <v>25</v>
      </c>
      <c r="I1666" s="7" t="s">
        <v>35</v>
      </c>
      <c r="J1666" s="7">
        <v>369</v>
      </c>
      <c r="K1666" s="7">
        <v>527.66999999999996</v>
      </c>
    </row>
    <row r="1667" spans="1:11" ht="18" customHeight="1" x14ac:dyDescent="0.25">
      <c r="A1667" s="7" t="s">
        <v>42</v>
      </c>
      <c r="B1667" s="7">
        <v>2022</v>
      </c>
      <c r="C1667" s="7" t="s">
        <v>27</v>
      </c>
      <c r="D1667" s="7" t="s">
        <v>21</v>
      </c>
      <c r="E1667" s="7" t="s">
        <v>74</v>
      </c>
      <c r="F1667" s="7" t="s">
        <v>23</v>
      </c>
      <c r="G1667" s="7" t="s">
        <v>24</v>
      </c>
      <c r="H1667" s="7" t="s">
        <v>25</v>
      </c>
      <c r="I1667" s="7" t="s">
        <v>35</v>
      </c>
      <c r="J1667" s="7">
        <v>768</v>
      </c>
      <c r="K1667" s="7">
        <v>526.24</v>
      </c>
    </row>
    <row r="1668" spans="1:11" ht="18" customHeight="1" x14ac:dyDescent="0.25">
      <c r="A1668" s="7" t="s">
        <v>34</v>
      </c>
      <c r="B1668" s="7">
        <v>2022</v>
      </c>
      <c r="C1668" s="7" t="s">
        <v>27</v>
      </c>
      <c r="D1668" s="7" t="s">
        <v>21</v>
      </c>
      <c r="E1668" s="7" t="s">
        <v>74</v>
      </c>
      <c r="F1668" s="7" t="s">
        <v>23</v>
      </c>
      <c r="G1668" s="7" t="s">
        <v>24</v>
      </c>
      <c r="H1668" s="7" t="s">
        <v>25</v>
      </c>
      <c r="I1668" s="7" t="s">
        <v>35</v>
      </c>
      <c r="J1668" s="7">
        <v>169</v>
      </c>
      <c r="K1668" s="7">
        <v>241.67000000000002</v>
      </c>
    </row>
    <row r="1669" spans="1:11" ht="18" customHeight="1" x14ac:dyDescent="0.25">
      <c r="A1669" s="7" t="s">
        <v>34</v>
      </c>
      <c r="B1669" s="7">
        <v>2022</v>
      </c>
      <c r="C1669" s="7" t="s">
        <v>27</v>
      </c>
      <c r="D1669" s="7" t="s">
        <v>21</v>
      </c>
      <c r="E1669" s="7" t="s">
        <v>74</v>
      </c>
      <c r="F1669" s="7" t="s">
        <v>23</v>
      </c>
      <c r="G1669" s="7" t="s">
        <v>24</v>
      </c>
      <c r="H1669" s="7" t="s">
        <v>25</v>
      </c>
      <c r="I1669" s="7" t="s">
        <v>35</v>
      </c>
      <c r="J1669" s="7">
        <v>371</v>
      </c>
      <c r="K1669" s="7">
        <v>530.53</v>
      </c>
    </row>
    <row r="1670" spans="1:11" ht="18" customHeight="1" x14ac:dyDescent="0.25">
      <c r="A1670" s="7" t="s">
        <v>19</v>
      </c>
      <c r="B1670" s="7">
        <v>2022</v>
      </c>
      <c r="C1670" s="7" t="s">
        <v>27</v>
      </c>
      <c r="D1670" s="7" t="s">
        <v>21</v>
      </c>
      <c r="E1670" s="7" t="s">
        <v>74</v>
      </c>
      <c r="F1670" s="7" t="s">
        <v>23</v>
      </c>
      <c r="G1670" s="7" t="s">
        <v>24</v>
      </c>
      <c r="H1670" s="7" t="s">
        <v>25</v>
      </c>
      <c r="I1670" s="7" t="s">
        <v>35</v>
      </c>
      <c r="J1670" s="7">
        <v>173</v>
      </c>
      <c r="K1670" s="7">
        <v>247.39</v>
      </c>
    </row>
    <row r="1671" spans="1:11" ht="18" customHeight="1" x14ac:dyDescent="0.25">
      <c r="A1671" s="7" t="s">
        <v>19</v>
      </c>
      <c r="B1671" s="7">
        <v>2022</v>
      </c>
      <c r="C1671" s="7" t="s">
        <v>68</v>
      </c>
      <c r="D1671" s="7" t="s">
        <v>21</v>
      </c>
      <c r="E1671" s="7" t="s">
        <v>74</v>
      </c>
      <c r="F1671" s="7" t="s">
        <v>23</v>
      </c>
      <c r="G1671" s="7" t="s">
        <v>24</v>
      </c>
      <c r="H1671" s="7" t="s">
        <v>25</v>
      </c>
      <c r="I1671" s="7" t="s">
        <v>35</v>
      </c>
      <c r="J1671" s="7">
        <v>338</v>
      </c>
      <c r="K1671" s="7">
        <v>459.68</v>
      </c>
    </row>
    <row r="1672" spans="1:11" ht="18" customHeight="1" x14ac:dyDescent="0.25">
      <c r="A1672" s="7" t="s">
        <v>61</v>
      </c>
      <c r="B1672" s="7">
        <v>2022</v>
      </c>
      <c r="C1672" s="7" t="s">
        <v>68</v>
      </c>
      <c r="D1672" s="7" t="s">
        <v>21</v>
      </c>
      <c r="E1672" s="7" t="s">
        <v>74</v>
      </c>
      <c r="F1672" s="7" t="s">
        <v>23</v>
      </c>
      <c r="G1672" s="7" t="s">
        <v>24</v>
      </c>
      <c r="H1672" s="7" t="s">
        <v>25</v>
      </c>
      <c r="I1672" s="7" t="s">
        <v>35</v>
      </c>
      <c r="J1672" s="7">
        <v>140</v>
      </c>
      <c r="K1672" s="7">
        <v>200.2</v>
      </c>
    </row>
    <row r="1673" spans="1:11" ht="18" customHeight="1" x14ac:dyDescent="0.25">
      <c r="A1673" s="7" t="s">
        <v>34</v>
      </c>
      <c r="B1673" s="7">
        <v>2022</v>
      </c>
      <c r="C1673" s="7" t="s">
        <v>68</v>
      </c>
      <c r="D1673" s="7" t="s">
        <v>21</v>
      </c>
      <c r="E1673" s="7" t="s">
        <v>74</v>
      </c>
      <c r="F1673" s="7" t="s">
        <v>23</v>
      </c>
      <c r="G1673" s="7" t="s">
        <v>24</v>
      </c>
      <c r="H1673" s="7" t="s">
        <v>25</v>
      </c>
      <c r="I1673" s="7" t="s">
        <v>35</v>
      </c>
      <c r="J1673" s="7">
        <v>340</v>
      </c>
      <c r="K1673" s="7">
        <v>486.2</v>
      </c>
    </row>
    <row r="1674" spans="1:11" ht="18" customHeight="1" x14ac:dyDescent="0.25">
      <c r="A1674" s="7" t="s">
        <v>34</v>
      </c>
      <c r="B1674" s="7">
        <v>2022</v>
      </c>
      <c r="C1674" s="7" t="s">
        <v>68</v>
      </c>
      <c r="D1674" s="7" t="s">
        <v>21</v>
      </c>
      <c r="E1674" s="7" t="s">
        <v>74</v>
      </c>
      <c r="F1674" s="7" t="s">
        <v>23</v>
      </c>
      <c r="G1674" s="7" t="s">
        <v>24</v>
      </c>
      <c r="H1674" s="7" t="s">
        <v>25</v>
      </c>
      <c r="I1674" s="7" t="s">
        <v>35</v>
      </c>
      <c r="J1674" s="7">
        <v>136</v>
      </c>
      <c r="K1674" s="7">
        <v>194.48</v>
      </c>
    </row>
    <row r="1675" spans="1:11" ht="18" customHeight="1" x14ac:dyDescent="0.25">
      <c r="A1675" s="7" t="s">
        <v>19</v>
      </c>
      <c r="B1675" s="7">
        <v>2022</v>
      </c>
      <c r="C1675" s="7" t="s">
        <v>68</v>
      </c>
      <c r="D1675" s="7" t="s">
        <v>21</v>
      </c>
      <c r="E1675" s="7" t="s">
        <v>74</v>
      </c>
      <c r="F1675" s="7" t="s">
        <v>23</v>
      </c>
      <c r="G1675" s="7" t="s">
        <v>24</v>
      </c>
      <c r="H1675" s="7" t="s">
        <v>25</v>
      </c>
      <c r="I1675" s="7" t="s">
        <v>35</v>
      </c>
      <c r="J1675" s="7">
        <v>701</v>
      </c>
      <c r="K1675" s="7">
        <v>1002.4300000000001</v>
      </c>
    </row>
    <row r="1676" spans="1:11" ht="18" customHeight="1" x14ac:dyDescent="0.25">
      <c r="A1676" s="7" t="s">
        <v>42</v>
      </c>
      <c r="B1676" s="7">
        <v>2022</v>
      </c>
      <c r="C1676" s="7" t="s">
        <v>68</v>
      </c>
      <c r="D1676" s="7" t="s">
        <v>21</v>
      </c>
      <c r="E1676" s="7" t="s">
        <v>74</v>
      </c>
      <c r="F1676" s="7" t="s">
        <v>23</v>
      </c>
      <c r="G1676" s="7" t="s">
        <v>24</v>
      </c>
      <c r="H1676" s="7" t="s">
        <v>25</v>
      </c>
      <c r="I1676" s="7" t="s">
        <v>35</v>
      </c>
      <c r="J1676" s="7">
        <v>734</v>
      </c>
      <c r="K1676" s="7">
        <v>1049.6199999999999</v>
      </c>
    </row>
    <row r="1677" spans="1:11" ht="18" customHeight="1" x14ac:dyDescent="0.25">
      <c r="A1677" s="7" t="s">
        <v>19</v>
      </c>
      <c r="B1677" s="7">
        <v>2022</v>
      </c>
      <c r="C1677" s="7" t="s">
        <v>68</v>
      </c>
      <c r="D1677" s="7" t="s">
        <v>21</v>
      </c>
      <c r="E1677" s="7" t="s">
        <v>74</v>
      </c>
      <c r="F1677" s="7" t="s">
        <v>23</v>
      </c>
      <c r="G1677" s="7" t="s">
        <v>24</v>
      </c>
      <c r="H1677" s="7" t="s">
        <v>25</v>
      </c>
      <c r="I1677" s="7" t="s">
        <v>35</v>
      </c>
      <c r="J1677" s="7">
        <v>339</v>
      </c>
      <c r="K1677" s="7">
        <v>526.24</v>
      </c>
    </row>
    <row r="1678" spans="1:11" ht="18" customHeight="1" x14ac:dyDescent="0.25">
      <c r="A1678" s="7" t="s">
        <v>34</v>
      </c>
      <c r="B1678" s="7">
        <v>2022</v>
      </c>
      <c r="C1678" s="7" t="s">
        <v>68</v>
      </c>
      <c r="D1678" s="7" t="s">
        <v>21</v>
      </c>
      <c r="E1678" s="7" t="s">
        <v>74</v>
      </c>
      <c r="F1678" s="7" t="s">
        <v>23</v>
      </c>
      <c r="G1678" s="7" t="s">
        <v>24</v>
      </c>
      <c r="H1678" s="7" t="s">
        <v>25</v>
      </c>
      <c r="I1678" s="7" t="s">
        <v>35</v>
      </c>
      <c r="J1678" s="7">
        <v>773</v>
      </c>
      <c r="K1678" s="7">
        <v>526.24</v>
      </c>
    </row>
    <row r="1679" spans="1:11" ht="18" customHeight="1" x14ac:dyDescent="0.25">
      <c r="A1679" s="7" t="s">
        <v>19</v>
      </c>
      <c r="B1679" s="7">
        <v>2022</v>
      </c>
      <c r="C1679" s="7" t="s">
        <v>68</v>
      </c>
      <c r="D1679" s="7" t="s">
        <v>21</v>
      </c>
      <c r="E1679" s="7" t="s">
        <v>74</v>
      </c>
      <c r="F1679" s="7" t="s">
        <v>23</v>
      </c>
      <c r="G1679" s="7" t="s">
        <v>24</v>
      </c>
      <c r="H1679" s="7" t="s">
        <v>25</v>
      </c>
      <c r="I1679" s="7" t="s">
        <v>35</v>
      </c>
      <c r="J1679" s="7">
        <v>337</v>
      </c>
      <c r="K1679" s="7">
        <v>481.90999999999997</v>
      </c>
    </row>
    <row r="1680" spans="1:11" ht="18" customHeight="1" x14ac:dyDescent="0.25">
      <c r="A1680" s="7" t="s">
        <v>34</v>
      </c>
      <c r="B1680" s="7">
        <v>2022</v>
      </c>
      <c r="C1680" s="7" t="s">
        <v>68</v>
      </c>
      <c r="D1680" s="7" t="s">
        <v>21</v>
      </c>
      <c r="E1680" s="7" t="s">
        <v>74</v>
      </c>
      <c r="F1680" s="7" t="s">
        <v>23</v>
      </c>
      <c r="G1680" s="7" t="s">
        <v>24</v>
      </c>
      <c r="H1680" s="7" t="s">
        <v>25</v>
      </c>
      <c r="I1680" s="7" t="s">
        <v>35</v>
      </c>
      <c r="J1680" s="7">
        <v>139</v>
      </c>
      <c r="K1680" s="7">
        <v>198.76999999999998</v>
      </c>
    </row>
    <row r="1681" spans="1:11" ht="18" customHeight="1" x14ac:dyDescent="0.25">
      <c r="A1681" s="7" t="s">
        <v>61</v>
      </c>
      <c r="B1681" s="7">
        <v>2022</v>
      </c>
      <c r="C1681" s="7" t="s">
        <v>68</v>
      </c>
      <c r="D1681" s="7" t="s">
        <v>21</v>
      </c>
      <c r="E1681" s="7" t="s">
        <v>74</v>
      </c>
      <c r="F1681" s="7" t="s">
        <v>23</v>
      </c>
      <c r="G1681" s="7" t="s">
        <v>24</v>
      </c>
      <c r="H1681" s="7" t="s">
        <v>25</v>
      </c>
      <c r="I1681" s="7" t="s">
        <v>35</v>
      </c>
      <c r="J1681" s="7">
        <v>137</v>
      </c>
      <c r="K1681" s="7">
        <v>195.91</v>
      </c>
    </row>
    <row r="1682" spans="1:11" ht="18" customHeight="1" x14ac:dyDescent="0.25">
      <c r="A1682" s="7" t="s">
        <v>61</v>
      </c>
      <c r="B1682" s="7">
        <v>2022</v>
      </c>
      <c r="C1682" s="7" t="s">
        <v>67</v>
      </c>
      <c r="D1682" s="7" t="s">
        <v>21</v>
      </c>
      <c r="E1682" s="7" t="s">
        <v>74</v>
      </c>
      <c r="F1682" s="7" t="s">
        <v>23</v>
      </c>
      <c r="G1682" s="7" t="s">
        <v>24</v>
      </c>
      <c r="H1682" s="7" t="s">
        <v>25</v>
      </c>
      <c r="I1682" s="7" t="s">
        <v>35</v>
      </c>
      <c r="J1682" s="7">
        <v>344</v>
      </c>
      <c r="K1682" s="7">
        <v>467.84</v>
      </c>
    </row>
    <row r="1683" spans="1:11" ht="18" customHeight="1" x14ac:dyDescent="0.25">
      <c r="A1683" s="7" t="s">
        <v>19</v>
      </c>
      <c r="B1683" s="7">
        <v>2022</v>
      </c>
      <c r="C1683" s="7" t="s">
        <v>67</v>
      </c>
      <c r="D1683" s="7" t="s">
        <v>21</v>
      </c>
      <c r="E1683" s="7" t="s">
        <v>74</v>
      </c>
      <c r="F1683" s="7" t="s">
        <v>23</v>
      </c>
      <c r="G1683" s="7" t="s">
        <v>24</v>
      </c>
      <c r="H1683" s="7" t="s">
        <v>25</v>
      </c>
      <c r="I1683" s="7" t="s">
        <v>35</v>
      </c>
      <c r="J1683" s="7">
        <v>146</v>
      </c>
      <c r="K1683" s="7">
        <v>208.78</v>
      </c>
    </row>
    <row r="1684" spans="1:11" ht="18" customHeight="1" x14ac:dyDescent="0.25">
      <c r="A1684" s="7" t="s">
        <v>34</v>
      </c>
      <c r="B1684" s="7">
        <v>2022</v>
      </c>
      <c r="C1684" s="7" t="s">
        <v>67</v>
      </c>
      <c r="D1684" s="7" t="s">
        <v>21</v>
      </c>
      <c r="E1684" s="7" t="s">
        <v>74</v>
      </c>
      <c r="F1684" s="7" t="s">
        <v>23</v>
      </c>
      <c r="G1684" s="7" t="s">
        <v>24</v>
      </c>
      <c r="H1684" s="7" t="s">
        <v>25</v>
      </c>
      <c r="I1684" s="7" t="s">
        <v>35</v>
      </c>
      <c r="J1684" s="7">
        <v>142</v>
      </c>
      <c r="K1684" s="7">
        <v>203.06</v>
      </c>
    </row>
    <row r="1685" spans="1:11" ht="18" customHeight="1" x14ac:dyDescent="0.25">
      <c r="A1685" s="7" t="s">
        <v>19</v>
      </c>
      <c r="B1685" s="7">
        <v>2022</v>
      </c>
      <c r="C1685" s="7" t="s">
        <v>67</v>
      </c>
      <c r="D1685" s="7" t="s">
        <v>21</v>
      </c>
      <c r="E1685" s="7" t="s">
        <v>74</v>
      </c>
      <c r="F1685" s="7" t="s">
        <v>23</v>
      </c>
      <c r="G1685" s="7" t="s">
        <v>24</v>
      </c>
      <c r="H1685" s="7" t="s">
        <v>25</v>
      </c>
      <c r="I1685" s="7" t="s">
        <v>35</v>
      </c>
      <c r="J1685" s="7">
        <v>700</v>
      </c>
      <c r="K1685" s="7">
        <v>1001</v>
      </c>
    </row>
    <row r="1686" spans="1:11" ht="18" customHeight="1" x14ac:dyDescent="0.25">
      <c r="A1686" s="7" t="s">
        <v>34</v>
      </c>
      <c r="B1686" s="7">
        <v>2022</v>
      </c>
      <c r="C1686" s="7" t="s">
        <v>67</v>
      </c>
      <c r="D1686" s="7" t="s">
        <v>21</v>
      </c>
      <c r="E1686" s="7" t="s">
        <v>74</v>
      </c>
      <c r="F1686" s="7" t="s">
        <v>23</v>
      </c>
      <c r="G1686" s="7" t="s">
        <v>24</v>
      </c>
      <c r="H1686" s="7" t="s">
        <v>25</v>
      </c>
      <c r="I1686" s="7" t="s">
        <v>35</v>
      </c>
      <c r="J1686" s="7">
        <v>733</v>
      </c>
      <c r="K1686" s="7">
        <v>1048.19</v>
      </c>
    </row>
    <row r="1687" spans="1:11" ht="18" customHeight="1" x14ac:dyDescent="0.25">
      <c r="A1687" s="7" t="s">
        <v>34</v>
      </c>
      <c r="B1687" s="7">
        <v>2022</v>
      </c>
      <c r="C1687" s="7" t="s">
        <v>67</v>
      </c>
      <c r="D1687" s="7" t="s">
        <v>21</v>
      </c>
      <c r="E1687" s="7" t="s">
        <v>74</v>
      </c>
      <c r="F1687" s="7" t="s">
        <v>23</v>
      </c>
      <c r="G1687" s="7" t="s">
        <v>24</v>
      </c>
      <c r="H1687" s="7" t="s">
        <v>25</v>
      </c>
      <c r="I1687" s="7" t="s">
        <v>35</v>
      </c>
      <c r="J1687" s="7">
        <v>345</v>
      </c>
      <c r="K1687" s="7">
        <v>526.24</v>
      </c>
    </row>
    <row r="1688" spans="1:11" ht="18" customHeight="1" x14ac:dyDescent="0.25">
      <c r="A1688" s="7" t="s">
        <v>34</v>
      </c>
      <c r="B1688" s="7">
        <v>2022</v>
      </c>
      <c r="C1688" s="7" t="s">
        <v>67</v>
      </c>
      <c r="D1688" s="7" t="s">
        <v>21</v>
      </c>
      <c r="E1688" s="7" t="s">
        <v>74</v>
      </c>
      <c r="F1688" s="7" t="s">
        <v>23</v>
      </c>
      <c r="G1688" s="7" t="s">
        <v>24</v>
      </c>
      <c r="H1688" s="7" t="s">
        <v>25</v>
      </c>
      <c r="I1688" s="7" t="s">
        <v>35</v>
      </c>
      <c r="J1688" s="7">
        <v>343</v>
      </c>
      <c r="K1688" s="7">
        <v>490.49</v>
      </c>
    </row>
    <row r="1689" spans="1:11" ht="18" customHeight="1" x14ac:dyDescent="0.25">
      <c r="A1689" s="7" t="s">
        <v>34</v>
      </c>
      <c r="B1689" s="7">
        <v>2022</v>
      </c>
      <c r="C1689" s="7" t="s">
        <v>67</v>
      </c>
      <c r="D1689" s="7" t="s">
        <v>21</v>
      </c>
      <c r="E1689" s="7" t="s">
        <v>74</v>
      </c>
      <c r="F1689" s="7" t="s">
        <v>23</v>
      </c>
      <c r="G1689" s="7" t="s">
        <v>24</v>
      </c>
      <c r="H1689" s="7" t="s">
        <v>25</v>
      </c>
      <c r="I1689" s="7" t="s">
        <v>35</v>
      </c>
      <c r="J1689" s="7">
        <v>145</v>
      </c>
      <c r="K1689" s="7">
        <v>207.35</v>
      </c>
    </row>
    <row r="1690" spans="1:11" ht="18" customHeight="1" x14ac:dyDescent="0.25">
      <c r="A1690" s="7" t="s">
        <v>34</v>
      </c>
      <c r="B1690" s="7">
        <v>2022</v>
      </c>
      <c r="C1690" s="7" t="s">
        <v>67</v>
      </c>
      <c r="D1690" s="7" t="s">
        <v>21</v>
      </c>
      <c r="E1690" s="7" t="s">
        <v>74</v>
      </c>
      <c r="F1690" s="7" t="s">
        <v>23</v>
      </c>
      <c r="G1690" s="7" t="s">
        <v>24</v>
      </c>
      <c r="H1690" s="7" t="s">
        <v>25</v>
      </c>
      <c r="I1690" s="7" t="s">
        <v>35</v>
      </c>
      <c r="J1690" s="7">
        <v>341</v>
      </c>
      <c r="K1690" s="7">
        <v>487.63</v>
      </c>
    </row>
    <row r="1691" spans="1:11" ht="18" customHeight="1" x14ac:dyDescent="0.25">
      <c r="A1691" s="7" t="s">
        <v>19</v>
      </c>
      <c r="B1691" s="7">
        <v>2022</v>
      </c>
      <c r="C1691" s="7" t="s">
        <v>67</v>
      </c>
      <c r="D1691" s="7" t="s">
        <v>21</v>
      </c>
      <c r="E1691" s="7" t="s">
        <v>74</v>
      </c>
      <c r="F1691" s="7" t="s">
        <v>23</v>
      </c>
      <c r="G1691" s="7" t="s">
        <v>24</v>
      </c>
      <c r="H1691" s="7" t="s">
        <v>25</v>
      </c>
      <c r="I1691" s="7" t="s">
        <v>35</v>
      </c>
      <c r="J1691" s="7">
        <v>143</v>
      </c>
      <c r="K1691" s="7">
        <v>204.49</v>
      </c>
    </row>
    <row r="1692" spans="1:11" ht="18" customHeight="1" x14ac:dyDescent="0.25">
      <c r="A1692" s="7" t="s">
        <v>61</v>
      </c>
      <c r="B1692" s="7">
        <v>2022</v>
      </c>
      <c r="C1692" s="7" t="s">
        <v>62</v>
      </c>
      <c r="D1692" s="7" t="s">
        <v>21</v>
      </c>
      <c r="E1692" s="7" t="s">
        <v>74</v>
      </c>
      <c r="F1692" s="7" t="s">
        <v>23</v>
      </c>
      <c r="G1692" s="7" t="s">
        <v>24</v>
      </c>
      <c r="H1692" s="7" t="s">
        <v>25</v>
      </c>
      <c r="I1692" s="7" t="s">
        <v>35</v>
      </c>
      <c r="J1692" s="7">
        <v>158</v>
      </c>
      <c r="K1692" s="7">
        <v>225.94</v>
      </c>
    </row>
    <row r="1693" spans="1:11" ht="18" customHeight="1" x14ac:dyDescent="0.25">
      <c r="A1693" s="7" t="s">
        <v>42</v>
      </c>
      <c r="B1693" s="7">
        <v>2022</v>
      </c>
      <c r="C1693" s="7" t="s">
        <v>62</v>
      </c>
      <c r="D1693" s="7" t="s">
        <v>21</v>
      </c>
      <c r="E1693" s="7" t="s">
        <v>74</v>
      </c>
      <c r="F1693" s="7" t="s">
        <v>23</v>
      </c>
      <c r="G1693" s="7" t="s">
        <v>24</v>
      </c>
      <c r="H1693" s="7" t="s">
        <v>25</v>
      </c>
      <c r="I1693" s="7" t="s">
        <v>35</v>
      </c>
      <c r="J1693" s="7">
        <v>358</v>
      </c>
      <c r="K1693" s="7">
        <v>511.94</v>
      </c>
    </row>
    <row r="1694" spans="1:11" ht="18" customHeight="1" x14ac:dyDescent="0.25">
      <c r="A1694" s="7" t="s">
        <v>42</v>
      </c>
      <c r="B1694" s="7">
        <v>2022</v>
      </c>
      <c r="C1694" s="7" t="s">
        <v>62</v>
      </c>
      <c r="D1694" s="7" t="s">
        <v>21</v>
      </c>
      <c r="E1694" s="7" t="s">
        <v>74</v>
      </c>
      <c r="F1694" s="7" t="s">
        <v>23</v>
      </c>
      <c r="G1694" s="7" t="s">
        <v>24</v>
      </c>
      <c r="H1694" s="7" t="s">
        <v>25</v>
      </c>
      <c r="I1694" s="7" t="s">
        <v>35</v>
      </c>
      <c r="J1694" s="7">
        <v>160</v>
      </c>
      <c r="K1694" s="7">
        <v>228.8</v>
      </c>
    </row>
    <row r="1695" spans="1:11" ht="18" customHeight="1" x14ac:dyDescent="0.25">
      <c r="A1695" s="7" t="s">
        <v>53</v>
      </c>
      <c r="B1695" s="7">
        <v>2022</v>
      </c>
      <c r="C1695" s="7" t="s">
        <v>62</v>
      </c>
      <c r="D1695" s="7" t="s">
        <v>21</v>
      </c>
      <c r="E1695" s="7" t="s">
        <v>74</v>
      </c>
      <c r="F1695" s="7" t="s">
        <v>23</v>
      </c>
      <c r="G1695" s="7" t="s">
        <v>24</v>
      </c>
      <c r="H1695" s="7" t="s">
        <v>25</v>
      </c>
      <c r="I1695" s="7" t="s">
        <v>35</v>
      </c>
      <c r="J1695" s="7">
        <v>697</v>
      </c>
      <c r="K1695" s="7">
        <v>996.71</v>
      </c>
    </row>
    <row r="1696" spans="1:11" ht="18" customHeight="1" x14ac:dyDescent="0.25">
      <c r="A1696" s="7" t="s">
        <v>53</v>
      </c>
      <c r="B1696" s="7">
        <v>2022</v>
      </c>
      <c r="C1696" s="7" t="s">
        <v>62</v>
      </c>
      <c r="D1696" s="7" t="s">
        <v>21</v>
      </c>
      <c r="E1696" s="7" t="s">
        <v>74</v>
      </c>
      <c r="F1696" s="7" t="s">
        <v>23</v>
      </c>
      <c r="G1696" s="7" t="s">
        <v>24</v>
      </c>
      <c r="H1696" s="7" t="s">
        <v>25</v>
      </c>
      <c r="I1696" s="7" t="s">
        <v>35</v>
      </c>
      <c r="J1696" s="7">
        <v>730</v>
      </c>
      <c r="K1696" s="7">
        <v>1043.9000000000001</v>
      </c>
    </row>
    <row r="1697" spans="1:11" ht="18" customHeight="1" x14ac:dyDescent="0.25">
      <c r="A1697" s="7" t="s">
        <v>19</v>
      </c>
      <c r="B1697" s="7">
        <v>2022</v>
      </c>
      <c r="C1697" s="7" t="s">
        <v>62</v>
      </c>
      <c r="D1697" s="7" t="s">
        <v>21</v>
      </c>
      <c r="E1697" s="7" t="s">
        <v>74</v>
      </c>
      <c r="F1697" s="7" t="s">
        <v>23</v>
      </c>
      <c r="G1697" s="7" t="s">
        <v>24</v>
      </c>
      <c r="H1697" s="7" t="s">
        <v>25</v>
      </c>
      <c r="I1697" s="7" t="s">
        <v>35</v>
      </c>
      <c r="J1697" s="7">
        <v>357</v>
      </c>
      <c r="K1697" s="7">
        <v>510.51</v>
      </c>
    </row>
    <row r="1698" spans="1:11" ht="18" customHeight="1" x14ac:dyDescent="0.25">
      <c r="A1698" s="7" t="s">
        <v>34</v>
      </c>
      <c r="B1698" s="7">
        <v>2022</v>
      </c>
      <c r="C1698" s="7" t="s">
        <v>62</v>
      </c>
      <c r="D1698" s="7" t="s">
        <v>21</v>
      </c>
      <c r="E1698" s="7" t="s">
        <v>74</v>
      </c>
      <c r="F1698" s="7" t="s">
        <v>23</v>
      </c>
      <c r="G1698" s="7" t="s">
        <v>24</v>
      </c>
      <c r="H1698" s="7" t="s">
        <v>25</v>
      </c>
      <c r="I1698" s="7" t="s">
        <v>35</v>
      </c>
      <c r="J1698" s="7">
        <v>770</v>
      </c>
      <c r="K1698" s="7">
        <v>526.24</v>
      </c>
    </row>
    <row r="1699" spans="1:11" ht="18" customHeight="1" x14ac:dyDescent="0.25">
      <c r="A1699" s="7" t="s">
        <v>34</v>
      </c>
      <c r="B1699" s="7">
        <v>2022</v>
      </c>
      <c r="C1699" s="7" t="s">
        <v>62</v>
      </c>
      <c r="D1699" s="7" t="s">
        <v>21</v>
      </c>
      <c r="E1699" s="7" t="s">
        <v>74</v>
      </c>
      <c r="F1699" s="7" t="s">
        <v>23</v>
      </c>
      <c r="G1699" s="7" t="s">
        <v>24</v>
      </c>
      <c r="H1699" s="7" t="s">
        <v>25</v>
      </c>
      <c r="I1699" s="7" t="s">
        <v>35</v>
      </c>
      <c r="J1699" s="7">
        <v>361</v>
      </c>
      <c r="K1699" s="7">
        <v>516.23</v>
      </c>
    </row>
    <row r="1700" spans="1:11" ht="18" customHeight="1" x14ac:dyDescent="0.25">
      <c r="A1700" s="7" t="s">
        <v>34</v>
      </c>
      <c r="B1700" s="7">
        <v>2022</v>
      </c>
      <c r="C1700" s="7" t="s">
        <v>62</v>
      </c>
      <c r="D1700" s="7" t="s">
        <v>21</v>
      </c>
      <c r="E1700" s="7" t="s">
        <v>74</v>
      </c>
      <c r="F1700" s="7" t="s">
        <v>23</v>
      </c>
      <c r="G1700" s="7" t="s">
        <v>24</v>
      </c>
      <c r="H1700" s="7" t="s">
        <v>25</v>
      </c>
      <c r="I1700" s="7" t="s">
        <v>35</v>
      </c>
      <c r="J1700" s="7">
        <v>359</v>
      </c>
      <c r="K1700" s="7">
        <v>513.37</v>
      </c>
    </row>
    <row r="1701" spans="1:11" ht="18" customHeight="1" x14ac:dyDescent="0.25">
      <c r="A1701" s="7" t="s">
        <v>34</v>
      </c>
      <c r="B1701" s="7">
        <v>2022</v>
      </c>
      <c r="C1701" s="7" t="s">
        <v>62</v>
      </c>
      <c r="D1701" s="7" t="s">
        <v>21</v>
      </c>
      <c r="E1701" s="7" t="s">
        <v>74</v>
      </c>
      <c r="F1701" s="7" t="s">
        <v>23</v>
      </c>
      <c r="G1701" s="7" t="s">
        <v>24</v>
      </c>
      <c r="H1701" s="7" t="s">
        <v>25</v>
      </c>
      <c r="I1701" s="7" t="s">
        <v>35</v>
      </c>
      <c r="J1701" s="7">
        <v>161</v>
      </c>
      <c r="K1701" s="7">
        <v>230.23000000000002</v>
      </c>
    </row>
    <row r="1702" spans="1:11" ht="18" customHeight="1" x14ac:dyDescent="0.25">
      <c r="A1702" s="7" t="s">
        <v>34</v>
      </c>
      <c r="B1702" s="7">
        <v>2022</v>
      </c>
      <c r="C1702" s="7" t="s">
        <v>66</v>
      </c>
      <c r="D1702" s="7" t="s">
        <v>21</v>
      </c>
      <c r="E1702" s="7" t="s">
        <v>74</v>
      </c>
      <c r="F1702" s="7" t="s">
        <v>23</v>
      </c>
      <c r="G1702" s="7" t="s">
        <v>24</v>
      </c>
      <c r="H1702" s="7" t="s">
        <v>25</v>
      </c>
      <c r="I1702" s="7" t="s">
        <v>35</v>
      </c>
      <c r="J1702" s="7">
        <v>350</v>
      </c>
      <c r="K1702" s="7">
        <v>476</v>
      </c>
    </row>
    <row r="1703" spans="1:11" ht="18" customHeight="1" x14ac:dyDescent="0.25">
      <c r="A1703" s="7" t="s">
        <v>34</v>
      </c>
      <c r="B1703" s="7">
        <v>2022</v>
      </c>
      <c r="C1703" s="7" t="s">
        <v>66</v>
      </c>
      <c r="D1703" s="7" t="s">
        <v>21</v>
      </c>
      <c r="E1703" s="7" t="s">
        <v>74</v>
      </c>
      <c r="F1703" s="7" t="s">
        <v>23</v>
      </c>
      <c r="G1703" s="7" t="s">
        <v>24</v>
      </c>
      <c r="H1703" s="7" t="s">
        <v>25</v>
      </c>
      <c r="I1703" s="7" t="s">
        <v>35</v>
      </c>
      <c r="J1703" s="7">
        <v>346</v>
      </c>
      <c r="K1703" s="7">
        <v>494.78</v>
      </c>
    </row>
    <row r="1704" spans="1:11" ht="18" customHeight="1" x14ac:dyDescent="0.25">
      <c r="A1704" s="7" t="s">
        <v>42</v>
      </c>
      <c r="B1704" s="7">
        <v>2022</v>
      </c>
      <c r="C1704" s="7" t="s">
        <v>66</v>
      </c>
      <c r="D1704" s="7" t="s">
        <v>21</v>
      </c>
      <c r="E1704" s="7" t="s">
        <v>74</v>
      </c>
      <c r="F1704" s="7" t="s">
        <v>23</v>
      </c>
      <c r="G1704" s="7" t="s">
        <v>24</v>
      </c>
      <c r="H1704" s="7" t="s">
        <v>25</v>
      </c>
      <c r="I1704" s="7" t="s">
        <v>35</v>
      </c>
      <c r="J1704" s="7">
        <v>148</v>
      </c>
      <c r="K1704" s="7">
        <v>211.64</v>
      </c>
    </row>
    <row r="1705" spans="1:11" ht="18" customHeight="1" x14ac:dyDescent="0.25">
      <c r="A1705" s="7" t="s">
        <v>34</v>
      </c>
      <c r="B1705" s="7">
        <v>2022</v>
      </c>
      <c r="C1705" s="7" t="s">
        <v>66</v>
      </c>
      <c r="D1705" s="7" t="s">
        <v>21</v>
      </c>
      <c r="E1705" s="7" t="s">
        <v>74</v>
      </c>
      <c r="F1705" s="7" t="s">
        <v>23</v>
      </c>
      <c r="G1705" s="7" t="s">
        <v>24</v>
      </c>
      <c r="H1705" s="7" t="s">
        <v>25</v>
      </c>
      <c r="I1705" s="7" t="s">
        <v>35</v>
      </c>
      <c r="J1705" s="7">
        <v>699</v>
      </c>
      <c r="K1705" s="7">
        <v>999.56999999999994</v>
      </c>
    </row>
    <row r="1706" spans="1:11" ht="18" customHeight="1" x14ac:dyDescent="0.25">
      <c r="A1706" s="7" t="s">
        <v>19</v>
      </c>
      <c r="B1706" s="7">
        <v>2022</v>
      </c>
      <c r="C1706" s="7" t="s">
        <v>66</v>
      </c>
      <c r="D1706" s="7" t="s">
        <v>21</v>
      </c>
      <c r="E1706" s="7" t="s">
        <v>74</v>
      </c>
      <c r="F1706" s="7" t="s">
        <v>23</v>
      </c>
      <c r="G1706" s="7" t="s">
        <v>24</v>
      </c>
      <c r="H1706" s="7" t="s">
        <v>25</v>
      </c>
      <c r="I1706" s="7" t="s">
        <v>35</v>
      </c>
      <c r="J1706" s="7">
        <v>732</v>
      </c>
      <c r="K1706" s="7">
        <v>1046.76</v>
      </c>
    </row>
    <row r="1707" spans="1:11" ht="18" customHeight="1" x14ac:dyDescent="0.25">
      <c r="A1707" s="7" t="s">
        <v>19</v>
      </c>
      <c r="B1707" s="7">
        <v>2022</v>
      </c>
      <c r="C1707" s="7" t="s">
        <v>66</v>
      </c>
      <c r="D1707" s="7" t="s">
        <v>21</v>
      </c>
      <c r="E1707" s="7" t="s">
        <v>74</v>
      </c>
      <c r="F1707" s="7" t="s">
        <v>23</v>
      </c>
      <c r="G1707" s="7" t="s">
        <v>24</v>
      </c>
      <c r="H1707" s="7" t="s">
        <v>25</v>
      </c>
      <c r="I1707" s="7" t="s">
        <v>35</v>
      </c>
      <c r="J1707" s="7">
        <v>351</v>
      </c>
      <c r="K1707" s="7">
        <v>526.24</v>
      </c>
    </row>
    <row r="1708" spans="1:11" ht="18" customHeight="1" x14ac:dyDescent="0.25">
      <c r="A1708" s="7" t="s">
        <v>34</v>
      </c>
      <c r="B1708" s="7">
        <v>2022</v>
      </c>
      <c r="C1708" s="7" t="s">
        <v>66</v>
      </c>
      <c r="D1708" s="7" t="s">
        <v>21</v>
      </c>
      <c r="E1708" s="7" t="s">
        <v>74</v>
      </c>
      <c r="F1708" s="7" t="s">
        <v>23</v>
      </c>
      <c r="G1708" s="7" t="s">
        <v>24</v>
      </c>
      <c r="H1708" s="7" t="s">
        <v>25</v>
      </c>
      <c r="I1708" s="7" t="s">
        <v>35</v>
      </c>
      <c r="J1708" s="7">
        <v>772</v>
      </c>
      <c r="K1708" s="7">
        <v>526.24</v>
      </c>
    </row>
    <row r="1709" spans="1:11" ht="18" customHeight="1" x14ac:dyDescent="0.25">
      <c r="A1709" s="7" t="s">
        <v>42</v>
      </c>
      <c r="B1709" s="7">
        <v>2022</v>
      </c>
      <c r="C1709" s="7" t="s">
        <v>66</v>
      </c>
      <c r="D1709" s="7" t="s">
        <v>21</v>
      </c>
      <c r="E1709" s="7" t="s">
        <v>74</v>
      </c>
      <c r="F1709" s="7" t="s">
        <v>23</v>
      </c>
      <c r="G1709" s="7" t="s">
        <v>24</v>
      </c>
      <c r="H1709" s="7" t="s">
        <v>25</v>
      </c>
      <c r="I1709" s="7" t="s">
        <v>35</v>
      </c>
      <c r="J1709" s="7">
        <v>349</v>
      </c>
      <c r="K1709" s="7">
        <v>499.07</v>
      </c>
    </row>
    <row r="1710" spans="1:11" ht="18" customHeight="1" x14ac:dyDescent="0.25">
      <c r="A1710" s="7" t="s">
        <v>34</v>
      </c>
      <c r="B1710" s="7">
        <v>2022</v>
      </c>
      <c r="C1710" s="7" t="s">
        <v>66</v>
      </c>
      <c r="D1710" s="7" t="s">
        <v>21</v>
      </c>
      <c r="E1710" s="7" t="s">
        <v>74</v>
      </c>
      <c r="F1710" s="7" t="s">
        <v>23</v>
      </c>
      <c r="G1710" s="7" t="s">
        <v>24</v>
      </c>
      <c r="H1710" s="7" t="s">
        <v>25</v>
      </c>
      <c r="I1710" s="7" t="s">
        <v>35</v>
      </c>
      <c r="J1710" s="7">
        <v>151</v>
      </c>
      <c r="K1710" s="7">
        <v>215.93</v>
      </c>
    </row>
    <row r="1711" spans="1:11" ht="18" customHeight="1" x14ac:dyDescent="0.25">
      <c r="A1711" s="7" t="s">
        <v>42</v>
      </c>
      <c r="B1711" s="7">
        <v>2022</v>
      </c>
      <c r="C1711" s="7" t="s">
        <v>66</v>
      </c>
      <c r="D1711" s="7" t="s">
        <v>21</v>
      </c>
      <c r="E1711" s="7" t="s">
        <v>74</v>
      </c>
      <c r="F1711" s="7" t="s">
        <v>23</v>
      </c>
      <c r="G1711" s="7" t="s">
        <v>24</v>
      </c>
      <c r="H1711" s="7" t="s">
        <v>25</v>
      </c>
      <c r="I1711" s="7" t="s">
        <v>35</v>
      </c>
      <c r="J1711" s="7">
        <v>347</v>
      </c>
      <c r="K1711" s="7">
        <v>496.21000000000004</v>
      </c>
    </row>
    <row r="1712" spans="1:11" ht="18" customHeight="1" x14ac:dyDescent="0.25">
      <c r="A1712" s="7" t="s">
        <v>34</v>
      </c>
      <c r="B1712" s="7">
        <v>2022</v>
      </c>
      <c r="C1712" s="7" t="s">
        <v>66</v>
      </c>
      <c r="D1712" s="7" t="s">
        <v>21</v>
      </c>
      <c r="E1712" s="7" t="s">
        <v>74</v>
      </c>
      <c r="F1712" s="7" t="s">
        <v>23</v>
      </c>
      <c r="G1712" s="7" t="s">
        <v>24</v>
      </c>
      <c r="H1712" s="7" t="s">
        <v>25</v>
      </c>
      <c r="I1712" s="7" t="s">
        <v>35</v>
      </c>
      <c r="J1712" s="7">
        <v>149</v>
      </c>
      <c r="K1712" s="7">
        <v>213.07</v>
      </c>
    </row>
    <row r="1713" spans="1:11" ht="18" customHeight="1" x14ac:dyDescent="0.25">
      <c r="A1713" s="7" t="s">
        <v>42</v>
      </c>
      <c r="B1713" s="7">
        <v>2022</v>
      </c>
      <c r="C1713" s="7" t="s">
        <v>71</v>
      </c>
      <c r="D1713" s="7" t="s">
        <v>21</v>
      </c>
      <c r="E1713" s="7" t="s">
        <v>74</v>
      </c>
      <c r="F1713" s="7" t="s">
        <v>23</v>
      </c>
      <c r="G1713" s="7" t="s">
        <v>24</v>
      </c>
      <c r="H1713" s="7" t="s">
        <v>25</v>
      </c>
      <c r="I1713" s="7" t="s">
        <v>35</v>
      </c>
      <c r="J1713" s="7">
        <v>146</v>
      </c>
      <c r="K1713" s="7">
        <v>208.78</v>
      </c>
    </row>
    <row r="1714" spans="1:11" ht="18" customHeight="1" x14ac:dyDescent="0.25">
      <c r="A1714" s="7" t="s">
        <v>61</v>
      </c>
      <c r="B1714" s="7">
        <v>2022</v>
      </c>
      <c r="C1714" s="7" t="s">
        <v>71</v>
      </c>
      <c r="D1714" s="7" t="s">
        <v>21</v>
      </c>
      <c r="E1714" s="7" t="s">
        <v>74</v>
      </c>
      <c r="F1714" s="7" t="s">
        <v>23</v>
      </c>
      <c r="G1714" s="7" t="s">
        <v>24</v>
      </c>
      <c r="H1714" s="7" t="s">
        <v>25</v>
      </c>
      <c r="I1714" s="7" t="s">
        <v>35</v>
      </c>
      <c r="J1714" s="7">
        <v>314</v>
      </c>
      <c r="K1714" s="7">
        <v>449.02</v>
      </c>
    </row>
    <row r="1715" spans="1:11" ht="18" customHeight="1" x14ac:dyDescent="0.25">
      <c r="A1715" s="7" t="s">
        <v>19</v>
      </c>
      <c r="B1715" s="7">
        <v>2022</v>
      </c>
      <c r="C1715" s="7" t="s">
        <v>71</v>
      </c>
      <c r="D1715" s="7" t="s">
        <v>21</v>
      </c>
      <c r="E1715" s="7" t="s">
        <v>74</v>
      </c>
      <c r="F1715" s="7" t="s">
        <v>23</v>
      </c>
      <c r="G1715" s="7" t="s">
        <v>24</v>
      </c>
      <c r="H1715" s="7" t="s">
        <v>25</v>
      </c>
      <c r="I1715" s="7" t="s">
        <v>35</v>
      </c>
      <c r="J1715" s="7">
        <v>362</v>
      </c>
      <c r="K1715" s="7">
        <v>517.66</v>
      </c>
    </row>
    <row r="1716" spans="1:11" ht="18" customHeight="1" x14ac:dyDescent="0.25">
      <c r="A1716" s="7" t="s">
        <v>42</v>
      </c>
      <c r="B1716" s="7">
        <v>2022</v>
      </c>
      <c r="C1716" s="7" t="s">
        <v>71</v>
      </c>
      <c r="D1716" s="7" t="s">
        <v>21</v>
      </c>
      <c r="E1716" s="7" t="s">
        <v>74</v>
      </c>
      <c r="F1716" s="7" t="s">
        <v>23</v>
      </c>
      <c r="G1716" s="7" t="s">
        <v>24</v>
      </c>
      <c r="H1716" s="7" t="s">
        <v>25</v>
      </c>
      <c r="I1716" s="7" t="s">
        <v>35</v>
      </c>
      <c r="J1716" s="7">
        <v>142</v>
      </c>
      <c r="K1716" s="7">
        <v>203.06</v>
      </c>
    </row>
    <row r="1717" spans="1:11" ht="18" customHeight="1" x14ac:dyDescent="0.25">
      <c r="A1717" s="7" t="s">
        <v>19</v>
      </c>
      <c r="B1717" s="7">
        <v>2022</v>
      </c>
      <c r="C1717" s="7" t="s">
        <v>71</v>
      </c>
      <c r="D1717" s="7" t="s">
        <v>21</v>
      </c>
      <c r="E1717" s="7" t="s">
        <v>74</v>
      </c>
      <c r="F1717" s="7" t="s">
        <v>23</v>
      </c>
      <c r="G1717" s="7" t="s">
        <v>24</v>
      </c>
      <c r="H1717" s="7" t="s">
        <v>25</v>
      </c>
      <c r="I1717" s="7" t="s">
        <v>35</v>
      </c>
      <c r="J1717" s="7">
        <v>316</v>
      </c>
      <c r="K1717" s="7">
        <v>451.88</v>
      </c>
    </row>
    <row r="1718" spans="1:11" ht="18" customHeight="1" x14ac:dyDescent="0.25">
      <c r="A1718" s="7" t="s">
        <v>34</v>
      </c>
      <c r="B1718" s="7">
        <v>2022</v>
      </c>
      <c r="C1718" s="7" t="s">
        <v>71</v>
      </c>
      <c r="D1718" s="7" t="s">
        <v>21</v>
      </c>
      <c r="E1718" s="7" t="s">
        <v>74</v>
      </c>
      <c r="F1718" s="7" t="s">
        <v>23</v>
      </c>
      <c r="G1718" s="7" t="s">
        <v>24</v>
      </c>
      <c r="H1718" s="7" t="s">
        <v>25</v>
      </c>
      <c r="I1718" s="7" t="s">
        <v>35</v>
      </c>
      <c r="J1718" s="7">
        <v>364</v>
      </c>
      <c r="K1718" s="7">
        <v>520.52</v>
      </c>
    </row>
    <row r="1719" spans="1:11" ht="18" customHeight="1" x14ac:dyDescent="0.25">
      <c r="A1719" s="7" t="s">
        <v>19</v>
      </c>
      <c r="B1719" s="7">
        <v>2022</v>
      </c>
      <c r="C1719" s="7" t="s">
        <v>71</v>
      </c>
      <c r="D1719" s="7" t="s">
        <v>21</v>
      </c>
      <c r="E1719" s="7" t="s">
        <v>74</v>
      </c>
      <c r="F1719" s="7" t="s">
        <v>23</v>
      </c>
      <c r="G1719" s="7" t="s">
        <v>24</v>
      </c>
      <c r="H1719" s="7" t="s">
        <v>25</v>
      </c>
      <c r="I1719" s="7" t="s">
        <v>35</v>
      </c>
      <c r="J1719" s="7">
        <v>144</v>
      </c>
      <c r="K1719" s="7">
        <v>205.92000000000002</v>
      </c>
    </row>
    <row r="1720" spans="1:11" ht="18" customHeight="1" x14ac:dyDescent="0.25">
      <c r="A1720" s="7" t="s">
        <v>42</v>
      </c>
      <c r="B1720" s="7">
        <v>2022</v>
      </c>
      <c r="C1720" s="7" t="s">
        <v>71</v>
      </c>
      <c r="D1720" s="7" t="s">
        <v>21</v>
      </c>
      <c r="E1720" s="7" t="s">
        <v>74</v>
      </c>
      <c r="F1720" s="7" t="s">
        <v>23</v>
      </c>
      <c r="G1720" s="7" t="s">
        <v>24</v>
      </c>
      <c r="H1720" s="7" t="s">
        <v>25</v>
      </c>
      <c r="I1720" s="7" t="s">
        <v>35</v>
      </c>
      <c r="J1720" s="7">
        <v>704</v>
      </c>
      <c r="K1720" s="7">
        <v>1006.72</v>
      </c>
    </row>
    <row r="1721" spans="1:11" ht="18" customHeight="1" x14ac:dyDescent="0.25">
      <c r="A1721" s="7" t="s">
        <v>42</v>
      </c>
      <c r="B1721" s="7">
        <v>2022</v>
      </c>
      <c r="C1721" s="7" t="s">
        <v>71</v>
      </c>
      <c r="D1721" s="7" t="s">
        <v>21</v>
      </c>
      <c r="E1721" s="7" t="s">
        <v>74</v>
      </c>
      <c r="F1721" s="7" t="s">
        <v>23</v>
      </c>
      <c r="G1721" s="7" t="s">
        <v>24</v>
      </c>
      <c r="H1721" s="7" t="s">
        <v>25</v>
      </c>
      <c r="I1721" s="7" t="s">
        <v>35</v>
      </c>
      <c r="J1721" s="7">
        <v>315</v>
      </c>
      <c r="K1721" s="7">
        <v>526.24</v>
      </c>
    </row>
    <row r="1722" spans="1:11" ht="18" customHeight="1" x14ac:dyDescent="0.25">
      <c r="A1722" s="7" t="s">
        <v>19</v>
      </c>
      <c r="B1722" s="7">
        <v>2022</v>
      </c>
      <c r="C1722" s="7" t="s">
        <v>71</v>
      </c>
      <c r="D1722" s="7" t="s">
        <v>21</v>
      </c>
      <c r="E1722" s="7" t="s">
        <v>74</v>
      </c>
      <c r="F1722" s="7" t="s">
        <v>23</v>
      </c>
      <c r="G1722" s="7" t="s">
        <v>24</v>
      </c>
      <c r="H1722" s="7" t="s">
        <v>25</v>
      </c>
      <c r="I1722" s="7" t="s">
        <v>35</v>
      </c>
      <c r="J1722" s="7">
        <v>777</v>
      </c>
      <c r="K1722" s="7">
        <v>526.24</v>
      </c>
    </row>
    <row r="1723" spans="1:11" ht="18" customHeight="1" x14ac:dyDescent="0.25">
      <c r="A1723" s="7" t="s">
        <v>34</v>
      </c>
      <c r="B1723" s="7">
        <v>2022</v>
      </c>
      <c r="C1723" s="7" t="s">
        <v>71</v>
      </c>
      <c r="D1723" s="7" t="s">
        <v>21</v>
      </c>
      <c r="E1723" s="7" t="s">
        <v>74</v>
      </c>
      <c r="F1723" s="7" t="s">
        <v>23</v>
      </c>
      <c r="G1723" s="7" t="s">
        <v>24</v>
      </c>
      <c r="H1723" s="7" t="s">
        <v>25</v>
      </c>
      <c r="I1723" s="7" t="s">
        <v>35</v>
      </c>
      <c r="J1723" s="7">
        <v>145</v>
      </c>
      <c r="K1723" s="7">
        <v>207.35</v>
      </c>
    </row>
    <row r="1724" spans="1:11" ht="18" customHeight="1" x14ac:dyDescent="0.25">
      <c r="A1724" s="7" t="s">
        <v>34</v>
      </c>
      <c r="B1724" s="7">
        <v>2022</v>
      </c>
      <c r="C1724" s="7" t="s">
        <v>71</v>
      </c>
      <c r="D1724" s="7" t="s">
        <v>21</v>
      </c>
      <c r="E1724" s="7" t="s">
        <v>74</v>
      </c>
      <c r="F1724" s="7" t="s">
        <v>23</v>
      </c>
      <c r="G1724" s="7" t="s">
        <v>24</v>
      </c>
      <c r="H1724" s="7" t="s">
        <v>25</v>
      </c>
      <c r="I1724" s="7" t="s">
        <v>35</v>
      </c>
      <c r="J1724" s="7">
        <v>319</v>
      </c>
      <c r="K1724" s="7">
        <v>456.16999999999996</v>
      </c>
    </row>
    <row r="1725" spans="1:11" ht="18" customHeight="1" x14ac:dyDescent="0.25">
      <c r="A1725" s="7" t="s">
        <v>42</v>
      </c>
      <c r="B1725" s="7">
        <v>2022</v>
      </c>
      <c r="C1725" s="7" t="s">
        <v>71</v>
      </c>
      <c r="D1725" s="7" t="s">
        <v>21</v>
      </c>
      <c r="E1725" s="7" t="s">
        <v>74</v>
      </c>
      <c r="F1725" s="7" t="s">
        <v>23</v>
      </c>
      <c r="G1725" s="7" t="s">
        <v>24</v>
      </c>
      <c r="H1725" s="7" t="s">
        <v>25</v>
      </c>
      <c r="I1725" s="7" t="s">
        <v>35</v>
      </c>
      <c r="J1725" s="7">
        <v>361</v>
      </c>
      <c r="K1725" s="7">
        <v>516.23</v>
      </c>
    </row>
    <row r="1726" spans="1:11" ht="18" customHeight="1" x14ac:dyDescent="0.25">
      <c r="A1726" s="7" t="s">
        <v>19</v>
      </c>
      <c r="B1726" s="7">
        <v>2022</v>
      </c>
      <c r="C1726" s="7" t="s">
        <v>71</v>
      </c>
      <c r="D1726" s="7" t="s">
        <v>21</v>
      </c>
      <c r="E1726" s="7" t="s">
        <v>74</v>
      </c>
      <c r="F1726" s="7" t="s">
        <v>23</v>
      </c>
      <c r="G1726" s="7" t="s">
        <v>24</v>
      </c>
      <c r="H1726" s="7" t="s">
        <v>25</v>
      </c>
      <c r="I1726" s="7" t="s">
        <v>35</v>
      </c>
      <c r="J1726" s="7">
        <v>143</v>
      </c>
      <c r="K1726" s="7">
        <v>204.49</v>
      </c>
    </row>
    <row r="1727" spans="1:11" ht="18" customHeight="1" x14ac:dyDescent="0.25">
      <c r="A1727" s="7" t="s">
        <v>19</v>
      </c>
      <c r="B1727" s="7">
        <v>2022</v>
      </c>
      <c r="C1727" s="7" t="s">
        <v>71</v>
      </c>
      <c r="D1727" s="7" t="s">
        <v>21</v>
      </c>
      <c r="E1727" s="7" t="s">
        <v>74</v>
      </c>
      <c r="F1727" s="7" t="s">
        <v>23</v>
      </c>
      <c r="G1727" s="7" t="s">
        <v>24</v>
      </c>
      <c r="H1727" s="7" t="s">
        <v>25</v>
      </c>
      <c r="I1727" s="7" t="s">
        <v>35</v>
      </c>
      <c r="J1727" s="7">
        <v>317</v>
      </c>
      <c r="K1727" s="7">
        <v>453.31</v>
      </c>
    </row>
    <row r="1728" spans="1:11" ht="18" customHeight="1" x14ac:dyDescent="0.25">
      <c r="A1728" s="7" t="s">
        <v>42</v>
      </c>
      <c r="B1728" s="7">
        <v>2022</v>
      </c>
      <c r="C1728" s="7" t="s">
        <v>71</v>
      </c>
      <c r="D1728" s="7" t="s">
        <v>21</v>
      </c>
      <c r="E1728" s="7" t="s">
        <v>74</v>
      </c>
      <c r="F1728" s="7" t="s">
        <v>23</v>
      </c>
      <c r="G1728" s="7" t="s">
        <v>24</v>
      </c>
      <c r="H1728" s="7" t="s">
        <v>25</v>
      </c>
      <c r="I1728" s="7" t="s">
        <v>35</v>
      </c>
      <c r="J1728" s="7">
        <v>746</v>
      </c>
      <c r="K1728" s="7">
        <v>1066.78</v>
      </c>
    </row>
    <row r="1729" spans="1:11" ht="18" customHeight="1" x14ac:dyDescent="0.25">
      <c r="A1729" s="7" t="s">
        <v>34</v>
      </c>
      <c r="B1729" s="7">
        <v>2022</v>
      </c>
      <c r="C1729" s="7" t="s">
        <v>70</v>
      </c>
      <c r="D1729" s="7" t="s">
        <v>21</v>
      </c>
      <c r="E1729" s="7" t="s">
        <v>74</v>
      </c>
      <c r="F1729" s="7" t="s">
        <v>23</v>
      </c>
      <c r="G1729" s="7" t="s">
        <v>24</v>
      </c>
      <c r="H1729" s="7" t="s">
        <v>25</v>
      </c>
      <c r="I1729" s="7" t="s">
        <v>35</v>
      </c>
      <c r="J1729" s="7">
        <v>152</v>
      </c>
      <c r="K1729" s="7">
        <v>217.36</v>
      </c>
    </row>
    <row r="1730" spans="1:11" ht="18" customHeight="1" x14ac:dyDescent="0.25">
      <c r="A1730" s="7" t="s">
        <v>53</v>
      </c>
      <c r="B1730" s="7">
        <v>2022</v>
      </c>
      <c r="C1730" s="7" t="s">
        <v>70</v>
      </c>
      <c r="D1730" s="7" t="s">
        <v>21</v>
      </c>
      <c r="E1730" s="7" t="s">
        <v>74</v>
      </c>
      <c r="F1730" s="7" t="s">
        <v>23</v>
      </c>
      <c r="G1730" s="7" t="s">
        <v>24</v>
      </c>
      <c r="H1730" s="7" t="s">
        <v>25</v>
      </c>
      <c r="I1730" s="7" t="s">
        <v>35</v>
      </c>
      <c r="J1730" s="7">
        <v>320</v>
      </c>
      <c r="K1730" s="7">
        <v>457.6</v>
      </c>
    </row>
    <row r="1731" spans="1:11" ht="18" customHeight="1" x14ac:dyDescent="0.25">
      <c r="A1731" s="7" t="s">
        <v>42</v>
      </c>
      <c r="B1731" s="7">
        <v>2022</v>
      </c>
      <c r="C1731" s="7" t="s">
        <v>70</v>
      </c>
      <c r="D1731" s="7" t="s">
        <v>21</v>
      </c>
      <c r="E1731" s="7" t="s">
        <v>74</v>
      </c>
      <c r="F1731" s="7" t="s">
        <v>23</v>
      </c>
      <c r="G1731" s="7" t="s">
        <v>24</v>
      </c>
      <c r="H1731" s="7" t="s">
        <v>25</v>
      </c>
      <c r="I1731" s="7" t="s">
        <v>35</v>
      </c>
      <c r="J1731" s="7">
        <v>368</v>
      </c>
      <c r="K1731" s="7">
        <v>526.24</v>
      </c>
    </row>
    <row r="1732" spans="1:11" ht="18" customHeight="1" x14ac:dyDescent="0.25">
      <c r="A1732" s="7" t="s">
        <v>19</v>
      </c>
      <c r="B1732" s="7">
        <v>2022</v>
      </c>
      <c r="C1732" s="7" t="s">
        <v>70</v>
      </c>
      <c r="D1732" s="7" t="s">
        <v>21</v>
      </c>
      <c r="E1732" s="7" t="s">
        <v>74</v>
      </c>
      <c r="F1732" s="7" t="s">
        <v>23</v>
      </c>
      <c r="G1732" s="7" t="s">
        <v>24</v>
      </c>
      <c r="H1732" s="7" t="s">
        <v>25</v>
      </c>
      <c r="I1732" s="7" t="s">
        <v>35</v>
      </c>
      <c r="J1732" s="7">
        <v>148</v>
      </c>
      <c r="K1732" s="7">
        <v>211.64</v>
      </c>
    </row>
    <row r="1733" spans="1:11" ht="18" customHeight="1" x14ac:dyDescent="0.25">
      <c r="A1733" s="7" t="s">
        <v>19</v>
      </c>
      <c r="B1733" s="7">
        <v>2022</v>
      </c>
      <c r="C1733" s="7" t="s">
        <v>70</v>
      </c>
      <c r="D1733" s="7" t="s">
        <v>21</v>
      </c>
      <c r="E1733" s="7" t="s">
        <v>74</v>
      </c>
      <c r="F1733" s="7" t="s">
        <v>23</v>
      </c>
      <c r="G1733" s="7" t="s">
        <v>24</v>
      </c>
      <c r="H1733" s="7" t="s">
        <v>25</v>
      </c>
      <c r="I1733" s="7" t="s">
        <v>35</v>
      </c>
      <c r="J1733" s="7">
        <v>322</v>
      </c>
      <c r="K1733" s="7">
        <v>460.46000000000004</v>
      </c>
    </row>
    <row r="1734" spans="1:11" ht="18" customHeight="1" x14ac:dyDescent="0.25">
      <c r="A1734" s="7" t="s">
        <v>34</v>
      </c>
      <c r="B1734" s="7">
        <v>2022</v>
      </c>
      <c r="C1734" s="7" t="s">
        <v>70</v>
      </c>
      <c r="D1734" s="7" t="s">
        <v>21</v>
      </c>
      <c r="E1734" s="7" t="s">
        <v>74</v>
      </c>
      <c r="F1734" s="7" t="s">
        <v>23</v>
      </c>
      <c r="G1734" s="7" t="s">
        <v>24</v>
      </c>
      <c r="H1734" s="7" t="s">
        <v>25</v>
      </c>
      <c r="I1734" s="7" t="s">
        <v>35</v>
      </c>
      <c r="J1734" s="7">
        <v>370</v>
      </c>
      <c r="K1734" s="7">
        <v>529.1</v>
      </c>
    </row>
    <row r="1735" spans="1:11" ht="18" customHeight="1" x14ac:dyDescent="0.25">
      <c r="A1735" s="7" t="s">
        <v>19</v>
      </c>
      <c r="B1735" s="7">
        <v>2022</v>
      </c>
      <c r="C1735" s="7" t="s">
        <v>70</v>
      </c>
      <c r="D1735" s="7" t="s">
        <v>21</v>
      </c>
      <c r="E1735" s="7" t="s">
        <v>74</v>
      </c>
      <c r="F1735" s="7" t="s">
        <v>23</v>
      </c>
      <c r="G1735" s="7" t="s">
        <v>24</v>
      </c>
      <c r="H1735" s="7" t="s">
        <v>25</v>
      </c>
      <c r="I1735" s="7" t="s">
        <v>35</v>
      </c>
      <c r="J1735" s="7">
        <v>150</v>
      </c>
      <c r="K1735" s="7">
        <v>214.5</v>
      </c>
    </row>
    <row r="1736" spans="1:11" ht="18" customHeight="1" x14ac:dyDescent="0.25">
      <c r="A1736" s="7" t="s">
        <v>42</v>
      </c>
      <c r="B1736" s="7">
        <v>2022</v>
      </c>
      <c r="C1736" s="7" t="s">
        <v>70</v>
      </c>
      <c r="D1736" s="7" t="s">
        <v>21</v>
      </c>
      <c r="E1736" s="7" t="s">
        <v>74</v>
      </c>
      <c r="F1736" s="7" t="s">
        <v>23</v>
      </c>
      <c r="G1736" s="7" t="s">
        <v>24</v>
      </c>
      <c r="H1736" s="7" t="s">
        <v>25</v>
      </c>
      <c r="I1736" s="7" t="s">
        <v>35</v>
      </c>
      <c r="J1736" s="7">
        <v>703</v>
      </c>
      <c r="K1736" s="7">
        <v>1005.29</v>
      </c>
    </row>
    <row r="1737" spans="1:11" ht="18" customHeight="1" x14ac:dyDescent="0.25">
      <c r="A1737" s="7" t="s">
        <v>61</v>
      </c>
      <c r="B1737" s="7">
        <v>2022</v>
      </c>
      <c r="C1737" s="7" t="s">
        <v>70</v>
      </c>
      <c r="D1737" s="7" t="s">
        <v>21</v>
      </c>
      <c r="E1737" s="7" t="s">
        <v>74</v>
      </c>
      <c r="F1737" s="7" t="s">
        <v>23</v>
      </c>
      <c r="G1737" s="7" t="s">
        <v>24</v>
      </c>
      <c r="H1737" s="7" t="s">
        <v>25</v>
      </c>
      <c r="I1737" s="7" t="s">
        <v>35</v>
      </c>
      <c r="J1737" s="7">
        <v>737</v>
      </c>
      <c r="K1737" s="7">
        <v>1053.9099999999999</v>
      </c>
    </row>
    <row r="1738" spans="1:11" ht="18" customHeight="1" x14ac:dyDescent="0.25">
      <c r="A1738" s="7" t="s">
        <v>61</v>
      </c>
      <c r="B1738" s="7">
        <v>2022</v>
      </c>
      <c r="C1738" s="7" t="s">
        <v>70</v>
      </c>
      <c r="D1738" s="7" t="s">
        <v>21</v>
      </c>
      <c r="E1738" s="7" t="s">
        <v>74</v>
      </c>
      <c r="F1738" s="7" t="s">
        <v>23</v>
      </c>
      <c r="G1738" s="7" t="s">
        <v>24</v>
      </c>
      <c r="H1738" s="7" t="s">
        <v>25</v>
      </c>
      <c r="I1738" s="7" t="s">
        <v>35</v>
      </c>
      <c r="J1738" s="7">
        <v>147</v>
      </c>
      <c r="K1738" s="7">
        <v>210.21</v>
      </c>
    </row>
    <row r="1739" spans="1:11" ht="18" customHeight="1" x14ac:dyDescent="0.25">
      <c r="A1739" s="7" t="s">
        <v>34</v>
      </c>
      <c r="B1739" s="7">
        <v>2022</v>
      </c>
      <c r="C1739" s="7" t="s">
        <v>70</v>
      </c>
      <c r="D1739" s="7" t="s">
        <v>21</v>
      </c>
      <c r="E1739" s="7" t="s">
        <v>74</v>
      </c>
      <c r="F1739" s="7" t="s">
        <v>23</v>
      </c>
      <c r="G1739" s="7" t="s">
        <v>24</v>
      </c>
      <c r="H1739" s="7" t="s">
        <v>25</v>
      </c>
      <c r="I1739" s="7" t="s">
        <v>35</v>
      </c>
      <c r="J1739" s="7">
        <v>321</v>
      </c>
      <c r="K1739" s="7">
        <v>526.24</v>
      </c>
    </row>
    <row r="1740" spans="1:11" ht="18" customHeight="1" x14ac:dyDescent="0.25">
      <c r="A1740" s="7" t="s">
        <v>19</v>
      </c>
      <c r="B1740" s="7">
        <v>2022</v>
      </c>
      <c r="C1740" s="7" t="s">
        <v>70</v>
      </c>
      <c r="D1740" s="7" t="s">
        <v>21</v>
      </c>
      <c r="E1740" s="7" t="s">
        <v>74</v>
      </c>
      <c r="F1740" s="7" t="s">
        <v>23</v>
      </c>
      <c r="G1740" s="7" t="s">
        <v>24</v>
      </c>
      <c r="H1740" s="7" t="s">
        <v>25</v>
      </c>
      <c r="I1740" s="7" t="s">
        <v>35</v>
      </c>
      <c r="J1740" s="7">
        <v>776</v>
      </c>
      <c r="K1740" s="7">
        <v>526.24</v>
      </c>
    </row>
    <row r="1741" spans="1:11" ht="18" customHeight="1" x14ac:dyDescent="0.25">
      <c r="A1741" s="7" t="s">
        <v>34</v>
      </c>
      <c r="B1741" s="7">
        <v>2022</v>
      </c>
      <c r="C1741" s="7" t="s">
        <v>70</v>
      </c>
      <c r="D1741" s="7" t="s">
        <v>21</v>
      </c>
      <c r="E1741" s="7" t="s">
        <v>74</v>
      </c>
      <c r="F1741" s="7" t="s">
        <v>23</v>
      </c>
      <c r="G1741" s="7" t="s">
        <v>24</v>
      </c>
      <c r="H1741" s="7" t="s">
        <v>25</v>
      </c>
      <c r="I1741" s="7" t="s">
        <v>35</v>
      </c>
      <c r="J1741" s="7">
        <v>151</v>
      </c>
      <c r="K1741" s="7">
        <v>215.93</v>
      </c>
    </row>
    <row r="1742" spans="1:11" ht="18" customHeight="1" x14ac:dyDescent="0.25">
      <c r="A1742" s="7" t="s">
        <v>19</v>
      </c>
      <c r="B1742" s="7">
        <v>2022</v>
      </c>
      <c r="C1742" s="7" t="s">
        <v>70</v>
      </c>
      <c r="D1742" s="7" t="s">
        <v>21</v>
      </c>
      <c r="E1742" s="7" t="s">
        <v>74</v>
      </c>
      <c r="F1742" s="7" t="s">
        <v>23</v>
      </c>
      <c r="G1742" s="7" t="s">
        <v>24</v>
      </c>
      <c r="H1742" s="7" t="s">
        <v>25</v>
      </c>
      <c r="I1742" s="7" t="s">
        <v>35</v>
      </c>
      <c r="J1742" s="7">
        <v>367</v>
      </c>
      <c r="K1742" s="7">
        <v>524.80999999999995</v>
      </c>
    </row>
    <row r="1743" spans="1:11" ht="18" customHeight="1" x14ac:dyDescent="0.25">
      <c r="A1743" s="7" t="s">
        <v>42</v>
      </c>
      <c r="B1743" s="7">
        <v>2022</v>
      </c>
      <c r="C1743" s="7" t="s">
        <v>70</v>
      </c>
      <c r="D1743" s="7" t="s">
        <v>21</v>
      </c>
      <c r="E1743" s="7" t="s">
        <v>74</v>
      </c>
      <c r="F1743" s="7" t="s">
        <v>23</v>
      </c>
      <c r="G1743" s="7" t="s">
        <v>24</v>
      </c>
      <c r="H1743" s="7" t="s">
        <v>25</v>
      </c>
      <c r="I1743" s="7" t="s">
        <v>35</v>
      </c>
      <c r="J1743" s="7">
        <v>149</v>
      </c>
      <c r="K1743" s="7">
        <v>213.07</v>
      </c>
    </row>
    <row r="1744" spans="1:11" ht="18" customHeight="1" x14ac:dyDescent="0.25">
      <c r="A1744" s="7" t="s">
        <v>42</v>
      </c>
      <c r="B1744" s="7">
        <v>2022</v>
      </c>
      <c r="C1744" s="7" t="s">
        <v>70</v>
      </c>
      <c r="D1744" s="7" t="s">
        <v>21</v>
      </c>
      <c r="E1744" s="7" t="s">
        <v>74</v>
      </c>
      <c r="F1744" s="7" t="s">
        <v>23</v>
      </c>
      <c r="G1744" s="7" t="s">
        <v>24</v>
      </c>
      <c r="H1744" s="7" t="s">
        <v>25</v>
      </c>
      <c r="I1744" s="7" t="s">
        <v>35</v>
      </c>
      <c r="J1744" s="7">
        <v>323</v>
      </c>
      <c r="K1744" s="7">
        <v>461.89</v>
      </c>
    </row>
    <row r="1745" spans="1:11" ht="18" customHeight="1" x14ac:dyDescent="0.25">
      <c r="A1745" s="7" t="s">
        <v>34</v>
      </c>
      <c r="B1745" s="7">
        <v>2022</v>
      </c>
      <c r="C1745" s="7" t="s">
        <v>70</v>
      </c>
      <c r="D1745" s="7" t="s">
        <v>21</v>
      </c>
      <c r="E1745" s="7" t="s">
        <v>74</v>
      </c>
      <c r="F1745" s="7" t="s">
        <v>23</v>
      </c>
      <c r="G1745" s="7" t="s">
        <v>24</v>
      </c>
      <c r="H1745" s="7" t="s">
        <v>25</v>
      </c>
      <c r="I1745" s="7" t="s">
        <v>35</v>
      </c>
      <c r="J1745" s="7">
        <v>371</v>
      </c>
      <c r="K1745" s="7">
        <v>530.53</v>
      </c>
    </row>
    <row r="1746" spans="1:11" ht="18" customHeight="1" x14ac:dyDescent="0.25">
      <c r="A1746" s="7" t="s">
        <v>19</v>
      </c>
      <c r="B1746" s="7">
        <v>2022</v>
      </c>
      <c r="C1746" s="7" t="s">
        <v>69</v>
      </c>
      <c r="D1746" s="7" t="s">
        <v>21</v>
      </c>
      <c r="E1746" s="7" t="s">
        <v>74</v>
      </c>
      <c r="F1746" s="7" t="s">
        <v>23</v>
      </c>
      <c r="G1746" s="7" t="s">
        <v>24</v>
      </c>
      <c r="H1746" s="7" t="s">
        <v>25</v>
      </c>
      <c r="I1746" s="7" t="s">
        <v>35</v>
      </c>
      <c r="J1746" s="7">
        <v>326</v>
      </c>
      <c r="K1746" s="7">
        <v>443.36</v>
      </c>
    </row>
    <row r="1747" spans="1:11" ht="18" customHeight="1" x14ac:dyDescent="0.25">
      <c r="A1747" s="7" t="s">
        <v>53</v>
      </c>
      <c r="B1747" s="7">
        <v>2022</v>
      </c>
      <c r="C1747" s="7" t="s">
        <v>69</v>
      </c>
      <c r="D1747" s="7" t="s">
        <v>21</v>
      </c>
      <c r="E1747" s="7" t="s">
        <v>74</v>
      </c>
      <c r="F1747" s="7" t="s">
        <v>23</v>
      </c>
      <c r="G1747" s="7" t="s">
        <v>24</v>
      </c>
      <c r="H1747" s="7" t="s">
        <v>25</v>
      </c>
      <c r="I1747" s="7" t="s">
        <v>35</v>
      </c>
      <c r="J1747" s="7">
        <v>128</v>
      </c>
      <c r="K1747" s="7">
        <v>183.04</v>
      </c>
    </row>
    <row r="1748" spans="1:11" ht="18" customHeight="1" x14ac:dyDescent="0.25">
      <c r="A1748" s="7" t="s">
        <v>19</v>
      </c>
      <c r="B1748" s="7">
        <v>2022</v>
      </c>
      <c r="C1748" s="7" t="s">
        <v>69</v>
      </c>
      <c r="D1748" s="7" t="s">
        <v>21</v>
      </c>
      <c r="E1748" s="7" t="s">
        <v>74</v>
      </c>
      <c r="F1748" s="7" t="s">
        <v>23</v>
      </c>
      <c r="G1748" s="7" t="s">
        <v>24</v>
      </c>
      <c r="H1748" s="7" t="s">
        <v>25</v>
      </c>
      <c r="I1748" s="7" t="s">
        <v>35</v>
      </c>
      <c r="J1748" s="7">
        <v>328</v>
      </c>
      <c r="K1748" s="7">
        <v>469.03999999999996</v>
      </c>
    </row>
    <row r="1749" spans="1:11" ht="18" customHeight="1" x14ac:dyDescent="0.25">
      <c r="A1749" s="7" t="s">
        <v>19</v>
      </c>
      <c r="B1749" s="7">
        <v>2022</v>
      </c>
      <c r="C1749" s="7" t="s">
        <v>69</v>
      </c>
      <c r="D1749" s="7" t="s">
        <v>21</v>
      </c>
      <c r="E1749" s="7" t="s">
        <v>74</v>
      </c>
      <c r="F1749" s="7" t="s">
        <v>23</v>
      </c>
      <c r="G1749" s="7" t="s">
        <v>24</v>
      </c>
      <c r="H1749" s="7" t="s">
        <v>25</v>
      </c>
      <c r="I1749" s="7" t="s">
        <v>35</v>
      </c>
      <c r="J1749" s="7">
        <v>130</v>
      </c>
      <c r="K1749" s="7">
        <v>185.9</v>
      </c>
    </row>
    <row r="1750" spans="1:11" ht="18" customHeight="1" x14ac:dyDescent="0.25">
      <c r="A1750" s="7" t="s">
        <v>34</v>
      </c>
      <c r="B1750" s="7">
        <v>2022</v>
      </c>
      <c r="C1750" s="7" t="s">
        <v>69</v>
      </c>
      <c r="D1750" s="7" t="s">
        <v>21</v>
      </c>
      <c r="E1750" s="7" t="s">
        <v>74</v>
      </c>
      <c r="F1750" s="7" t="s">
        <v>23</v>
      </c>
      <c r="G1750" s="7" t="s">
        <v>24</v>
      </c>
      <c r="H1750" s="7" t="s">
        <v>25</v>
      </c>
      <c r="I1750" s="7" t="s">
        <v>35</v>
      </c>
      <c r="J1750" s="7">
        <v>736</v>
      </c>
      <c r="K1750" s="7">
        <v>1052.48</v>
      </c>
    </row>
    <row r="1751" spans="1:11" ht="18" customHeight="1" x14ac:dyDescent="0.25">
      <c r="A1751" s="7" t="s">
        <v>19</v>
      </c>
      <c r="B1751" s="7">
        <v>2022</v>
      </c>
      <c r="C1751" s="7" t="s">
        <v>69</v>
      </c>
      <c r="D1751" s="7" t="s">
        <v>21</v>
      </c>
      <c r="E1751" s="7" t="s">
        <v>74</v>
      </c>
      <c r="F1751" s="7" t="s">
        <v>23</v>
      </c>
      <c r="G1751" s="7" t="s">
        <v>24</v>
      </c>
      <c r="H1751" s="7" t="s">
        <v>25</v>
      </c>
      <c r="I1751" s="7" t="s">
        <v>35</v>
      </c>
      <c r="J1751" s="7">
        <v>327</v>
      </c>
      <c r="K1751" s="7">
        <v>526.24</v>
      </c>
    </row>
    <row r="1752" spans="1:11" ht="18" customHeight="1" x14ac:dyDescent="0.25">
      <c r="A1752" s="7" t="s">
        <v>34</v>
      </c>
      <c r="B1752" s="7">
        <v>2022</v>
      </c>
      <c r="C1752" s="7" t="s">
        <v>69</v>
      </c>
      <c r="D1752" s="7" t="s">
        <v>21</v>
      </c>
      <c r="E1752" s="7" t="s">
        <v>74</v>
      </c>
      <c r="F1752" s="7" t="s">
        <v>23</v>
      </c>
      <c r="G1752" s="7" t="s">
        <v>24</v>
      </c>
      <c r="H1752" s="7" t="s">
        <v>25</v>
      </c>
      <c r="I1752" s="7" t="s">
        <v>35</v>
      </c>
      <c r="J1752" s="7">
        <v>775</v>
      </c>
      <c r="K1752" s="7">
        <v>526.24</v>
      </c>
    </row>
    <row r="1753" spans="1:11" ht="18" customHeight="1" x14ac:dyDescent="0.25">
      <c r="A1753" s="7" t="s">
        <v>34</v>
      </c>
      <c r="B1753" s="7">
        <v>2022</v>
      </c>
      <c r="C1753" s="7" t="s">
        <v>69</v>
      </c>
      <c r="D1753" s="7" t="s">
        <v>21</v>
      </c>
      <c r="E1753" s="7" t="s">
        <v>74</v>
      </c>
      <c r="F1753" s="7" t="s">
        <v>23</v>
      </c>
      <c r="G1753" s="7" t="s">
        <v>24</v>
      </c>
      <c r="H1753" s="7" t="s">
        <v>25</v>
      </c>
      <c r="I1753" s="7" t="s">
        <v>35</v>
      </c>
      <c r="J1753" s="7">
        <v>325</v>
      </c>
      <c r="K1753" s="7">
        <v>464.75</v>
      </c>
    </row>
    <row r="1754" spans="1:11" ht="18" customHeight="1" x14ac:dyDescent="0.25">
      <c r="A1754" s="7" t="s">
        <v>19</v>
      </c>
      <c r="B1754" s="7">
        <v>2022</v>
      </c>
      <c r="C1754" s="7" t="s">
        <v>69</v>
      </c>
      <c r="D1754" s="7" t="s">
        <v>21</v>
      </c>
      <c r="E1754" s="7" t="s">
        <v>74</v>
      </c>
      <c r="F1754" s="7" t="s">
        <v>23</v>
      </c>
      <c r="G1754" s="7" t="s">
        <v>24</v>
      </c>
      <c r="H1754" s="7" t="s">
        <v>25</v>
      </c>
      <c r="I1754" s="7" t="s">
        <v>35</v>
      </c>
      <c r="J1754" s="7">
        <v>127</v>
      </c>
      <c r="K1754" s="7">
        <v>181.61</v>
      </c>
    </row>
    <row r="1755" spans="1:11" ht="18" customHeight="1" x14ac:dyDescent="0.25">
      <c r="A1755" s="7" t="s">
        <v>19</v>
      </c>
      <c r="B1755" s="7">
        <v>2022</v>
      </c>
      <c r="C1755" s="7" t="s">
        <v>69</v>
      </c>
      <c r="D1755" s="7" t="s">
        <v>21</v>
      </c>
      <c r="E1755" s="7" t="s">
        <v>74</v>
      </c>
      <c r="F1755" s="7" t="s">
        <v>23</v>
      </c>
      <c r="G1755" s="7" t="s">
        <v>24</v>
      </c>
      <c r="H1755" s="7" t="s">
        <v>25</v>
      </c>
      <c r="I1755" s="7" t="s">
        <v>35</v>
      </c>
      <c r="J1755" s="7">
        <v>329</v>
      </c>
      <c r="K1755" s="7">
        <v>470.47</v>
      </c>
    </row>
    <row r="1756" spans="1:11" ht="18" customHeight="1" x14ac:dyDescent="0.25">
      <c r="A1756" s="7" t="s">
        <v>42</v>
      </c>
      <c r="B1756" s="7">
        <v>2022</v>
      </c>
      <c r="C1756" s="7" t="s">
        <v>20</v>
      </c>
      <c r="D1756" s="7" t="s">
        <v>72</v>
      </c>
      <c r="E1756" s="7" t="s">
        <v>22</v>
      </c>
      <c r="F1756" s="7" t="s">
        <v>23</v>
      </c>
      <c r="G1756" s="7" t="s">
        <v>24</v>
      </c>
      <c r="H1756" s="7" t="s">
        <v>25</v>
      </c>
      <c r="I1756" s="7" t="s">
        <v>35</v>
      </c>
      <c r="J1756" s="7">
        <v>182</v>
      </c>
      <c r="K1756" s="7">
        <v>260.26</v>
      </c>
    </row>
    <row r="1757" spans="1:11" ht="18" customHeight="1" x14ac:dyDescent="0.25">
      <c r="A1757" s="7" t="s">
        <v>34</v>
      </c>
      <c r="B1757" s="7">
        <v>2022</v>
      </c>
      <c r="C1757" s="7" t="s">
        <v>20</v>
      </c>
      <c r="D1757" s="7" t="s">
        <v>72</v>
      </c>
      <c r="E1757" s="7" t="s">
        <v>22</v>
      </c>
      <c r="F1757" s="7" t="s">
        <v>23</v>
      </c>
      <c r="G1757" s="7" t="s">
        <v>24</v>
      </c>
      <c r="H1757" s="7" t="s">
        <v>25</v>
      </c>
      <c r="I1757" s="7" t="s">
        <v>35</v>
      </c>
      <c r="J1757" s="7">
        <v>176</v>
      </c>
      <c r="K1757" s="7">
        <v>251.68</v>
      </c>
    </row>
    <row r="1758" spans="1:11" ht="18" customHeight="1" x14ac:dyDescent="0.25">
      <c r="A1758" s="7" t="s">
        <v>19</v>
      </c>
      <c r="B1758" s="7">
        <v>2022</v>
      </c>
      <c r="C1758" s="7" t="s">
        <v>20</v>
      </c>
      <c r="D1758" s="7" t="s">
        <v>72</v>
      </c>
      <c r="E1758" s="7" t="s">
        <v>22</v>
      </c>
      <c r="F1758" s="7" t="s">
        <v>23</v>
      </c>
      <c r="G1758" s="7" t="s">
        <v>24</v>
      </c>
      <c r="H1758" s="7" t="s">
        <v>25</v>
      </c>
      <c r="I1758" s="7" t="s">
        <v>26</v>
      </c>
      <c r="J1758" s="7">
        <v>200</v>
      </c>
      <c r="K1758" s="7">
        <v>286</v>
      </c>
    </row>
    <row r="1759" spans="1:11" ht="18" customHeight="1" x14ac:dyDescent="0.25">
      <c r="A1759" s="7" t="s">
        <v>34</v>
      </c>
      <c r="B1759" s="7">
        <v>2022</v>
      </c>
      <c r="C1759" s="7" t="s">
        <v>20</v>
      </c>
      <c r="D1759" s="7" t="s">
        <v>72</v>
      </c>
      <c r="E1759" s="7" t="s">
        <v>22</v>
      </c>
      <c r="F1759" s="7" t="s">
        <v>23</v>
      </c>
      <c r="G1759" s="7" t="s">
        <v>24</v>
      </c>
      <c r="H1759" s="7" t="s">
        <v>25</v>
      </c>
      <c r="I1759" s="7" t="s">
        <v>26</v>
      </c>
      <c r="J1759" s="7">
        <v>248</v>
      </c>
      <c r="K1759" s="7">
        <v>354.64</v>
      </c>
    </row>
    <row r="1760" spans="1:11" ht="18" customHeight="1" x14ac:dyDescent="0.25">
      <c r="A1760" s="7" t="s">
        <v>19</v>
      </c>
      <c r="B1760" s="7">
        <v>2022</v>
      </c>
      <c r="C1760" s="7" t="s">
        <v>20</v>
      </c>
      <c r="D1760" s="7" t="s">
        <v>72</v>
      </c>
      <c r="E1760" s="7" t="s">
        <v>22</v>
      </c>
      <c r="F1760" s="7" t="s">
        <v>23</v>
      </c>
      <c r="G1760" s="7" t="s">
        <v>24</v>
      </c>
      <c r="H1760" s="7" t="s">
        <v>25</v>
      </c>
      <c r="I1760" s="7" t="s">
        <v>26</v>
      </c>
      <c r="J1760" s="7">
        <v>184</v>
      </c>
      <c r="K1760" s="7">
        <v>263.12</v>
      </c>
    </row>
    <row r="1761" spans="1:11" ht="18" customHeight="1" x14ac:dyDescent="0.25">
      <c r="A1761" s="7" t="s">
        <v>19</v>
      </c>
      <c r="B1761" s="7">
        <v>2022</v>
      </c>
      <c r="C1761" s="7" t="s">
        <v>20</v>
      </c>
      <c r="D1761" s="7" t="s">
        <v>72</v>
      </c>
      <c r="E1761" s="7" t="s">
        <v>22</v>
      </c>
      <c r="F1761" s="7" t="s">
        <v>23</v>
      </c>
      <c r="G1761" s="7" t="s">
        <v>24</v>
      </c>
      <c r="H1761" s="7" t="s">
        <v>25</v>
      </c>
      <c r="I1761" s="7" t="s">
        <v>26</v>
      </c>
      <c r="J1761" s="7">
        <v>178</v>
      </c>
      <c r="K1761" s="7">
        <v>254.54</v>
      </c>
    </row>
    <row r="1762" spans="1:11" ht="18" customHeight="1" x14ac:dyDescent="0.25">
      <c r="A1762" s="7" t="s">
        <v>34</v>
      </c>
      <c r="B1762" s="7">
        <v>2022</v>
      </c>
      <c r="C1762" s="7" t="s">
        <v>20</v>
      </c>
      <c r="D1762" s="7" t="s">
        <v>72</v>
      </c>
      <c r="E1762" s="7" t="s">
        <v>22</v>
      </c>
      <c r="F1762" s="7" t="s">
        <v>23</v>
      </c>
      <c r="G1762" s="7" t="s">
        <v>24</v>
      </c>
      <c r="H1762" s="7" t="s">
        <v>25</v>
      </c>
      <c r="I1762" s="7" t="s">
        <v>26</v>
      </c>
      <c r="J1762" s="7">
        <v>172</v>
      </c>
      <c r="K1762" s="7">
        <v>245.95999999999998</v>
      </c>
    </row>
    <row r="1763" spans="1:11" ht="18" customHeight="1" x14ac:dyDescent="0.25">
      <c r="A1763" s="7" t="s">
        <v>19</v>
      </c>
      <c r="B1763" s="7">
        <v>2022</v>
      </c>
      <c r="C1763" s="7" t="s">
        <v>20</v>
      </c>
      <c r="D1763" s="7" t="s">
        <v>72</v>
      </c>
      <c r="E1763" s="7" t="s">
        <v>22</v>
      </c>
      <c r="F1763" s="7" t="s">
        <v>23</v>
      </c>
      <c r="G1763" s="7" t="s">
        <v>24</v>
      </c>
      <c r="H1763" s="7" t="s">
        <v>25</v>
      </c>
      <c r="I1763" s="7" t="s">
        <v>26</v>
      </c>
      <c r="J1763" s="7">
        <v>202</v>
      </c>
      <c r="K1763" s="7">
        <v>526.24</v>
      </c>
    </row>
    <row r="1764" spans="1:11" ht="18" customHeight="1" x14ac:dyDescent="0.25">
      <c r="A1764" s="7" t="s">
        <v>34</v>
      </c>
      <c r="B1764" s="7">
        <v>2022</v>
      </c>
      <c r="C1764" s="7" t="s">
        <v>20</v>
      </c>
      <c r="D1764" s="7" t="s">
        <v>72</v>
      </c>
      <c r="E1764" s="7" t="s">
        <v>22</v>
      </c>
      <c r="F1764" s="7" t="s">
        <v>23</v>
      </c>
      <c r="G1764" s="7" t="s">
        <v>24</v>
      </c>
      <c r="H1764" s="7" t="s">
        <v>25</v>
      </c>
      <c r="I1764" s="7" t="s">
        <v>26</v>
      </c>
      <c r="J1764" s="7">
        <v>250</v>
      </c>
      <c r="K1764" s="7">
        <v>526.24</v>
      </c>
    </row>
    <row r="1765" spans="1:11" ht="18" customHeight="1" x14ac:dyDescent="0.25">
      <c r="A1765" s="7" t="s">
        <v>53</v>
      </c>
      <c r="B1765" s="7">
        <v>2022</v>
      </c>
      <c r="C1765" s="7" t="s">
        <v>20</v>
      </c>
      <c r="D1765" s="7" t="s">
        <v>72</v>
      </c>
      <c r="E1765" s="7" t="s">
        <v>22</v>
      </c>
      <c r="F1765" s="7" t="s">
        <v>23</v>
      </c>
      <c r="G1765" s="7" t="s">
        <v>24</v>
      </c>
      <c r="H1765" s="7" t="s">
        <v>25</v>
      </c>
      <c r="I1765" s="7" t="s">
        <v>26</v>
      </c>
      <c r="J1765" s="7">
        <v>246</v>
      </c>
      <c r="K1765" s="7">
        <v>351.78</v>
      </c>
    </row>
    <row r="1766" spans="1:11" ht="18" customHeight="1" x14ac:dyDescent="0.25">
      <c r="A1766" s="7" t="s">
        <v>19</v>
      </c>
      <c r="B1766" s="7">
        <v>2022</v>
      </c>
      <c r="C1766" s="7" t="s">
        <v>20</v>
      </c>
      <c r="D1766" s="7" t="s">
        <v>72</v>
      </c>
      <c r="E1766" s="7" t="s">
        <v>22</v>
      </c>
      <c r="F1766" s="7" t="s">
        <v>23</v>
      </c>
      <c r="G1766" s="7" t="s">
        <v>24</v>
      </c>
      <c r="H1766" s="7" t="s">
        <v>25</v>
      </c>
      <c r="I1766" s="7" t="s">
        <v>26</v>
      </c>
      <c r="J1766" s="7">
        <v>201</v>
      </c>
      <c r="K1766" s="7">
        <v>287.43</v>
      </c>
    </row>
    <row r="1767" spans="1:11" ht="18" customHeight="1" x14ac:dyDescent="0.25">
      <c r="A1767" s="7" t="s">
        <v>42</v>
      </c>
      <c r="B1767" s="7">
        <v>2022</v>
      </c>
      <c r="C1767" s="7" t="s">
        <v>20</v>
      </c>
      <c r="D1767" s="7" t="s">
        <v>72</v>
      </c>
      <c r="E1767" s="7" t="s">
        <v>22</v>
      </c>
      <c r="F1767" s="7" t="s">
        <v>23</v>
      </c>
      <c r="G1767" s="7" t="s">
        <v>24</v>
      </c>
      <c r="H1767" s="7" t="s">
        <v>25</v>
      </c>
      <c r="I1767" s="7" t="s">
        <v>26</v>
      </c>
      <c r="J1767" s="7">
        <v>249</v>
      </c>
      <c r="K1767" s="7">
        <v>356.07</v>
      </c>
    </row>
    <row r="1768" spans="1:11" ht="18" customHeight="1" x14ac:dyDescent="0.25">
      <c r="A1768" s="7" t="s">
        <v>19</v>
      </c>
      <c r="B1768" s="7">
        <v>2022</v>
      </c>
      <c r="C1768" s="7" t="s">
        <v>20</v>
      </c>
      <c r="D1768" s="7" t="s">
        <v>72</v>
      </c>
      <c r="E1768" s="7" t="s">
        <v>22</v>
      </c>
      <c r="F1768" s="7" t="s">
        <v>23</v>
      </c>
      <c r="G1768" s="7" t="s">
        <v>24</v>
      </c>
      <c r="H1768" s="7" t="s">
        <v>25</v>
      </c>
      <c r="I1768" s="7" t="s">
        <v>26</v>
      </c>
      <c r="J1768" s="7">
        <v>181</v>
      </c>
      <c r="K1768" s="7">
        <v>258.83</v>
      </c>
    </row>
    <row r="1769" spans="1:11" ht="18" customHeight="1" x14ac:dyDescent="0.25">
      <c r="A1769" s="7" t="s">
        <v>19</v>
      </c>
      <c r="B1769" s="7">
        <v>2022</v>
      </c>
      <c r="C1769" s="7" t="s">
        <v>20</v>
      </c>
      <c r="D1769" s="7" t="s">
        <v>72</v>
      </c>
      <c r="E1769" s="7" t="s">
        <v>22</v>
      </c>
      <c r="F1769" s="7" t="s">
        <v>23</v>
      </c>
      <c r="G1769" s="7" t="s">
        <v>24</v>
      </c>
      <c r="H1769" s="7" t="s">
        <v>25</v>
      </c>
      <c r="I1769" s="7" t="s">
        <v>26</v>
      </c>
      <c r="J1769" s="7">
        <v>175</v>
      </c>
      <c r="K1769" s="7">
        <v>250.25</v>
      </c>
    </row>
    <row r="1770" spans="1:11" ht="18" customHeight="1" x14ac:dyDescent="0.25">
      <c r="A1770" s="7" t="s">
        <v>34</v>
      </c>
      <c r="B1770" s="7">
        <v>2022</v>
      </c>
      <c r="C1770" s="7" t="s">
        <v>20</v>
      </c>
      <c r="D1770" s="7" t="s">
        <v>72</v>
      </c>
      <c r="E1770" s="7" t="s">
        <v>22</v>
      </c>
      <c r="F1770" s="7" t="s">
        <v>23</v>
      </c>
      <c r="G1770" s="7" t="s">
        <v>24</v>
      </c>
      <c r="H1770" s="7" t="s">
        <v>25</v>
      </c>
      <c r="I1770" s="7" t="s">
        <v>26</v>
      </c>
      <c r="J1770" s="7">
        <v>792</v>
      </c>
      <c r="K1770" s="7">
        <v>1132.56</v>
      </c>
    </row>
    <row r="1771" spans="1:11" ht="18" customHeight="1" x14ac:dyDescent="0.25">
      <c r="A1771" s="7" t="s">
        <v>34</v>
      </c>
      <c r="B1771" s="7">
        <v>2022</v>
      </c>
      <c r="C1771" s="7" t="s">
        <v>20</v>
      </c>
      <c r="D1771" s="7" t="s">
        <v>72</v>
      </c>
      <c r="E1771" s="7" t="s">
        <v>22</v>
      </c>
      <c r="F1771" s="7" t="s">
        <v>23</v>
      </c>
      <c r="G1771" s="7" t="s">
        <v>24</v>
      </c>
      <c r="H1771" s="7" t="s">
        <v>25</v>
      </c>
      <c r="I1771" s="7" t="s">
        <v>26</v>
      </c>
      <c r="J1771" s="7">
        <v>825</v>
      </c>
      <c r="K1771" s="7">
        <v>1179.75</v>
      </c>
    </row>
    <row r="1772" spans="1:11" ht="18" customHeight="1" x14ac:dyDescent="0.25">
      <c r="A1772" s="7" t="s">
        <v>19</v>
      </c>
      <c r="B1772" s="7">
        <v>2022</v>
      </c>
      <c r="C1772" s="7" t="s">
        <v>20</v>
      </c>
      <c r="D1772" s="7" t="s">
        <v>72</v>
      </c>
      <c r="E1772" s="7" t="s">
        <v>22</v>
      </c>
      <c r="F1772" s="7" t="s">
        <v>23</v>
      </c>
      <c r="G1772" s="7" t="s">
        <v>24</v>
      </c>
      <c r="H1772" s="7" t="s">
        <v>25</v>
      </c>
      <c r="I1772" s="7" t="s">
        <v>35</v>
      </c>
      <c r="J1772" s="7">
        <v>185</v>
      </c>
      <c r="K1772" s="7">
        <v>264.55</v>
      </c>
    </row>
    <row r="1773" spans="1:11" ht="18" customHeight="1" x14ac:dyDescent="0.25">
      <c r="A1773" s="7" t="s">
        <v>61</v>
      </c>
      <c r="B1773" s="7">
        <v>2022</v>
      </c>
      <c r="C1773" s="7" t="s">
        <v>20</v>
      </c>
      <c r="D1773" s="7" t="s">
        <v>72</v>
      </c>
      <c r="E1773" s="7" t="s">
        <v>22</v>
      </c>
      <c r="F1773" s="7" t="s">
        <v>23</v>
      </c>
      <c r="G1773" s="7" t="s">
        <v>24</v>
      </c>
      <c r="H1773" s="7" t="s">
        <v>25</v>
      </c>
      <c r="I1773" s="7" t="s">
        <v>35</v>
      </c>
      <c r="J1773" s="7">
        <v>179</v>
      </c>
      <c r="K1773" s="7">
        <v>255.97</v>
      </c>
    </row>
    <row r="1774" spans="1:11" ht="18" customHeight="1" x14ac:dyDescent="0.25">
      <c r="A1774" s="7" t="s">
        <v>42</v>
      </c>
      <c r="B1774" s="7">
        <v>2022</v>
      </c>
      <c r="C1774" s="7" t="s">
        <v>20</v>
      </c>
      <c r="D1774" s="7" t="s">
        <v>72</v>
      </c>
      <c r="E1774" s="7" t="s">
        <v>22</v>
      </c>
      <c r="F1774" s="7" t="s">
        <v>23</v>
      </c>
      <c r="G1774" s="7" t="s">
        <v>24</v>
      </c>
      <c r="H1774" s="7" t="s">
        <v>25</v>
      </c>
      <c r="I1774" s="7" t="s">
        <v>35</v>
      </c>
      <c r="J1774" s="7">
        <v>173</v>
      </c>
      <c r="K1774" s="7">
        <v>247.39</v>
      </c>
    </row>
    <row r="1775" spans="1:11" ht="18" customHeight="1" x14ac:dyDescent="0.25">
      <c r="A1775" s="7" t="s">
        <v>19</v>
      </c>
      <c r="B1775" s="7">
        <v>2022</v>
      </c>
      <c r="C1775" s="7" t="s">
        <v>20</v>
      </c>
      <c r="D1775" s="7" t="s">
        <v>72</v>
      </c>
      <c r="E1775" s="7" t="s">
        <v>22</v>
      </c>
      <c r="F1775" s="7" t="s">
        <v>23</v>
      </c>
      <c r="G1775" s="7" t="s">
        <v>24</v>
      </c>
      <c r="H1775" s="7" t="s">
        <v>25</v>
      </c>
      <c r="I1775" s="7" t="s">
        <v>26</v>
      </c>
      <c r="J1775" s="7">
        <v>203</v>
      </c>
      <c r="K1775" s="7">
        <v>290.28999999999996</v>
      </c>
    </row>
    <row r="1776" spans="1:11" ht="18" customHeight="1" x14ac:dyDescent="0.25">
      <c r="A1776" s="7" t="s">
        <v>53</v>
      </c>
      <c r="B1776" s="7">
        <v>2022</v>
      </c>
      <c r="C1776" s="7" t="s">
        <v>60</v>
      </c>
      <c r="D1776" s="7" t="s">
        <v>72</v>
      </c>
      <c r="E1776" s="7" t="s">
        <v>22</v>
      </c>
      <c r="F1776" s="7" t="s">
        <v>23</v>
      </c>
      <c r="G1776" s="7" t="s">
        <v>24</v>
      </c>
      <c r="H1776" s="7" t="s">
        <v>25</v>
      </c>
      <c r="I1776" s="7" t="s">
        <v>35</v>
      </c>
      <c r="J1776" s="7">
        <v>368</v>
      </c>
      <c r="K1776" s="7">
        <v>526.24</v>
      </c>
    </row>
    <row r="1777" spans="1:11" ht="18" customHeight="1" x14ac:dyDescent="0.25">
      <c r="A1777" s="7" t="s">
        <v>34</v>
      </c>
      <c r="B1777" s="7">
        <v>2022</v>
      </c>
      <c r="C1777" s="7" t="s">
        <v>60</v>
      </c>
      <c r="D1777" s="7" t="s">
        <v>72</v>
      </c>
      <c r="E1777" s="7" t="s">
        <v>22</v>
      </c>
      <c r="F1777" s="7" t="s">
        <v>23</v>
      </c>
      <c r="G1777" s="7" t="s">
        <v>24</v>
      </c>
      <c r="H1777" s="7" t="s">
        <v>25</v>
      </c>
      <c r="I1777" s="7" t="s">
        <v>35</v>
      </c>
      <c r="J1777" s="7">
        <v>362</v>
      </c>
      <c r="K1777" s="7">
        <v>517.66</v>
      </c>
    </row>
    <row r="1778" spans="1:11" ht="18" customHeight="1" x14ac:dyDescent="0.25">
      <c r="A1778" s="7" t="s">
        <v>34</v>
      </c>
      <c r="B1778" s="7">
        <v>2022</v>
      </c>
      <c r="C1778" s="7" t="s">
        <v>60</v>
      </c>
      <c r="D1778" s="7" t="s">
        <v>72</v>
      </c>
      <c r="E1778" s="7" t="s">
        <v>22</v>
      </c>
      <c r="F1778" s="7" t="s">
        <v>23</v>
      </c>
      <c r="G1778" s="7" t="s">
        <v>24</v>
      </c>
      <c r="H1778" s="7" t="s">
        <v>25</v>
      </c>
      <c r="I1778" s="7" t="s">
        <v>35</v>
      </c>
      <c r="J1778" s="7">
        <v>356</v>
      </c>
      <c r="K1778" s="7">
        <v>509.08</v>
      </c>
    </row>
    <row r="1779" spans="1:11" ht="18" customHeight="1" x14ac:dyDescent="0.25">
      <c r="A1779" s="7" t="s">
        <v>34</v>
      </c>
      <c r="B1779" s="7">
        <v>2022</v>
      </c>
      <c r="C1779" s="7" t="s">
        <v>60</v>
      </c>
      <c r="D1779" s="7" t="s">
        <v>72</v>
      </c>
      <c r="E1779" s="7" t="s">
        <v>22</v>
      </c>
      <c r="F1779" s="7" t="s">
        <v>23</v>
      </c>
      <c r="G1779" s="7" t="s">
        <v>24</v>
      </c>
      <c r="H1779" s="7" t="s">
        <v>25</v>
      </c>
      <c r="I1779" s="7" t="s">
        <v>26</v>
      </c>
      <c r="J1779" s="7">
        <v>182</v>
      </c>
      <c r="K1779" s="7">
        <v>260.26</v>
      </c>
    </row>
    <row r="1780" spans="1:11" ht="18" customHeight="1" x14ac:dyDescent="0.25">
      <c r="A1780" s="7" t="s">
        <v>42</v>
      </c>
      <c r="B1780" s="7">
        <v>2022</v>
      </c>
      <c r="C1780" s="7" t="s">
        <v>60</v>
      </c>
      <c r="D1780" s="7" t="s">
        <v>72</v>
      </c>
      <c r="E1780" s="7" t="s">
        <v>22</v>
      </c>
      <c r="F1780" s="7" t="s">
        <v>23</v>
      </c>
      <c r="G1780" s="7" t="s">
        <v>24</v>
      </c>
      <c r="H1780" s="7" t="s">
        <v>25</v>
      </c>
      <c r="I1780" s="7" t="s">
        <v>26</v>
      </c>
      <c r="J1780" s="7">
        <v>224</v>
      </c>
      <c r="K1780" s="7">
        <v>320.32</v>
      </c>
    </row>
    <row r="1781" spans="1:11" ht="18" customHeight="1" x14ac:dyDescent="0.25">
      <c r="A1781" s="7" t="s">
        <v>42</v>
      </c>
      <c r="B1781" s="7">
        <v>2022</v>
      </c>
      <c r="C1781" s="7" t="s">
        <v>60</v>
      </c>
      <c r="D1781" s="7" t="s">
        <v>72</v>
      </c>
      <c r="E1781" s="7" t="s">
        <v>22</v>
      </c>
      <c r="F1781" s="7" t="s">
        <v>23</v>
      </c>
      <c r="G1781" s="7" t="s">
        <v>24</v>
      </c>
      <c r="H1781" s="7" t="s">
        <v>25</v>
      </c>
      <c r="I1781" s="7" t="s">
        <v>26</v>
      </c>
      <c r="J1781" s="7">
        <v>364</v>
      </c>
      <c r="K1781" s="7">
        <v>520.52</v>
      </c>
    </row>
    <row r="1782" spans="1:11" ht="18" customHeight="1" x14ac:dyDescent="0.25">
      <c r="A1782" s="7" t="s">
        <v>34</v>
      </c>
      <c r="B1782" s="7">
        <v>2022</v>
      </c>
      <c r="C1782" s="7" t="s">
        <v>60</v>
      </c>
      <c r="D1782" s="7" t="s">
        <v>72</v>
      </c>
      <c r="E1782" s="7" t="s">
        <v>22</v>
      </c>
      <c r="F1782" s="7" t="s">
        <v>23</v>
      </c>
      <c r="G1782" s="7" t="s">
        <v>24</v>
      </c>
      <c r="H1782" s="7" t="s">
        <v>25</v>
      </c>
      <c r="I1782" s="7" t="s">
        <v>26</v>
      </c>
      <c r="J1782" s="7">
        <v>358</v>
      </c>
      <c r="K1782" s="7">
        <v>511.94</v>
      </c>
    </row>
    <row r="1783" spans="1:11" ht="18" customHeight="1" x14ac:dyDescent="0.25">
      <c r="A1783" s="7" t="s">
        <v>61</v>
      </c>
      <c r="B1783" s="7">
        <v>2022</v>
      </c>
      <c r="C1783" s="7" t="s">
        <v>60</v>
      </c>
      <c r="D1783" s="7" t="s">
        <v>72</v>
      </c>
      <c r="E1783" s="7" t="s">
        <v>22</v>
      </c>
      <c r="F1783" s="7" t="s">
        <v>23</v>
      </c>
      <c r="G1783" s="7" t="s">
        <v>24</v>
      </c>
      <c r="H1783" s="7" t="s">
        <v>25</v>
      </c>
      <c r="I1783" s="7" t="s">
        <v>26</v>
      </c>
      <c r="J1783" s="7">
        <v>178</v>
      </c>
      <c r="K1783" s="7">
        <v>526.24</v>
      </c>
    </row>
    <row r="1784" spans="1:11" ht="18" customHeight="1" x14ac:dyDescent="0.25">
      <c r="A1784" s="7" t="s">
        <v>42</v>
      </c>
      <c r="B1784" s="7">
        <v>2022</v>
      </c>
      <c r="C1784" s="7" t="s">
        <v>60</v>
      </c>
      <c r="D1784" s="7" t="s">
        <v>72</v>
      </c>
      <c r="E1784" s="7" t="s">
        <v>22</v>
      </c>
      <c r="F1784" s="7" t="s">
        <v>23</v>
      </c>
      <c r="G1784" s="7" t="s">
        <v>24</v>
      </c>
      <c r="H1784" s="7" t="s">
        <v>25</v>
      </c>
      <c r="I1784" s="7" t="s">
        <v>26</v>
      </c>
      <c r="J1784" s="7">
        <v>226</v>
      </c>
      <c r="K1784" s="7">
        <v>526.24</v>
      </c>
    </row>
    <row r="1785" spans="1:11" ht="18" customHeight="1" x14ac:dyDescent="0.25">
      <c r="A1785" s="7" t="s">
        <v>34</v>
      </c>
      <c r="B1785" s="7">
        <v>2022</v>
      </c>
      <c r="C1785" s="7" t="s">
        <v>60</v>
      </c>
      <c r="D1785" s="7" t="s">
        <v>72</v>
      </c>
      <c r="E1785" s="7" t="s">
        <v>22</v>
      </c>
      <c r="F1785" s="7" t="s">
        <v>23</v>
      </c>
      <c r="G1785" s="7" t="s">
        <v>24</v>
      </c>
      <c r="H1785" s="7" t="s">
        <v>25</v>
      </c>
      <c r="I1785" s="7" t="s">
        <v>26</v>
      </c>
      <c r="J1785" s="7">
        <v>1014</v>
      </c>
      <c r="K1785" s="7">
        <v>1450.02</v>
      </c>
    </row>
    <row r="1786" spans="1:11" ht="18" customHeight="1" x14ac:dyDescent="0.25">
      <c r="A1786" s="7" t="s">
        <v>34</v>
      </c>
      <c r="B1786" s="7">
        <v>2022</v>
      </c>
      <c r="C1786" s="7" t="s">
        <v>60</v>
      </c>
      <c r="D1786" s="7" t="s">
        <v>72</v>
      </c>
      <c r="E1786" s="7" t="s">
        <v>22</v>
      </c>
      <c r="F1786" s="7" t="s">
        <v>23</v>
      </c>
      <c r="G1786" s="7" t="s">
        <v>24</v>
      </c>
      <c r="H1786" s="7" t="s">
        <v>25</v>
      </c>
      <c r="I1786" s="7" t="s">
        <v>26</v>
      </c>
      <c r="J1786" s="7">
        <v>228</v>
      </c>
      <c r="K1786" s="7">
        <v>326.03999999999996</v>
      </c>
    </row>
    <row r="1787" spans="1:11" ht="18" customHeight="1" x14ac:dyDescent="0.25">
      <c r="A1787" s="7" t="s">
        <v>34</v>
      </c>
      <c r="B1787" s="7">
        <v>2022</v>
      </c>
      <c r="C1787" s="7" t="s">
        <v>60</v>
      </c>
      <c r="D1787" s="7" t="s">
        <v>72</v>
      </c>
      <c r="E1787" s="7" t="s">
        <v>22</v>
      </c>
      <c r="F1787" s="7" t="s">
        <v>23</v>
      </c>
      <c r="G1787" s="7" t="s">
        <v>24</v>
      </c>
      <c r="H1787" s="7" t="s">
        <v>25</v>
      </c>
      <c r="I1787" s="7" t="s">
        <v>26</v>
      </c>
      <c r="J1787" s="7">
        <v>225</v>
      </c>
      <c r="K1787" s="7">
        <v>321.75</v>
      </c>
    </row>
    <row r="1788" spans="1:11" ht="18" customHeight="1" x14ac:dyDescent="0.25">
      <c r="A1788" s="7" t="s">
        <v>34</v>
      </c>
      <c r="B1788" s="7">
        <v>2022</v>
      </c>
      <c r="C1788" s="7" t="s">
        <v>60</v>
      </c>
      <c r="D1788" s="7" t="s">
        <v>72</v>
      </c>
      <c r="E1788" s="7" t="s">
        <v>22</v>
      </c>
      <c r="F1788" s="7" t="s">
        <v>23</v>
      </c>
      <c r="G1788" s="7" t="s">
        <v>24</v>
      </c>
      <c r="H1788" s="7" t="s">
        <v>25</v>
      </c>
      <c r="I1788" s="7" t="s">
        <v>26</v>
      </c>
      <c r="J1788" s="7">
        <v>367</v>
      </c>
      <c r="K1788" s="7">
        <v>524.80999999999995</v>
      </c>
    </row>
    <row r="1789" spans="1:11" ht="18" customHeight="1" x14ac:dyDescent="0.25">
      <c r="A1789" s="7" t="s">
        <v>34</v>
      </c>
      <c r="B1789" s="7">
        <v>2022</v>
      </c>
      <c r="C1789" s="7" t="s">
        <v>60</v>
      </c>
      <c r="D1789" s="7" t="s">
        <v>72</v>
      </c>
      <c r="E1789" s="7" t="s">
        <v>22</v>
      </c>
      <c r="F1789" s="7" t="s">
        <v>23</v>
      </c>
      <c r="G1789" s="7" t="s">
        <v>24</v>
      </c>
      <c r="H1789" s="7" t="s">
        <v>25</v>
      </c>
      <c r="I1789" s="7" t="s">
        <v>26</v>
      </c>
      <c r="J1789" s="7">
        <v>361</v>
      </c>
      <c r="K1789" s="7">
        <v>516.23</v>
      </c>
    </row>
    <row r="1790" spans="1:11" ht="18" customHeight="1" x14ac:dyDescent="0.25">
      <c r="A1790" s="7" t="s">
        <v>61</v>
      </c>
      <c r="B1790" s="7">
        <v>2022</v>
      </c>
      <c r="C1790" s="7" t="s">
        <v>60</v>
      </c>
      <c r="D1790" s="7" t="s">
        <v>72</v>
      </c>
      <c r="E1790" s="7" t="s">
        <v>22</v>
      </c>
      <c r="F1790" s="7" t="s">
        <v>23</v>
      </c>
      <c r="G1790" s="7" t="s">
        <v>24</v>
      </c>
      <c r="H1790" s="7" t="s">
        <v>25</v>
      </c>
      <c r="I1790" s="7" t="s">
        <v>26</v>
      </c>
      <c r="J1790" s="7">
        <v>355</v>
      </c>
      <c r="K1790" s="7">
        <v>507.65</v>
      </c>
    </row>
    <row r="1791" spans="1:11" ht="18" customHeight="1" x14ac:dyDescent="0.25">
      <c r="A1791" s="7" t="s">
        <v>42</v>
      </c>
      <c r="B1791" s="7">
        <v>2022</v>
      </c>
      <c r="C1791" s="7" t="s">
        <v>60</v>
      </c>
      <c r="D1791" s="7" t="s">
        <v>72</v>
      </c>
      <c r="E1791" s="7" t="s">
        <v>22</v>
      </c>
      <c r="F1791" s="7" t="s">
        <v>23</v>
      </c>
      <c r="G1791" s="7" t="s">
        <v>24</v>
      </c>
      <c r="H1791" s="7" t="s">
        <v>25</v>
      </c>
      <c r="I1791" s="7" t="s">
        <v>26</v>
      </c>
      <c r="J1791" s="7">
        <v>795</v>
      </c>
      <c r="K1791" s="7">
        <v>1136.8499999999999</v>
      </c>
    </row>
    <row r="1792" spans="1:11" ht="18" customHeight="1" x14ac:dyDescent="0.25">
      <c r="A1792" s="7" t="s">
        <v>34</v>
      </c>
      <c r="B1792" s="7">
        <v>2022</v>
      </c>
      <c r="C1792" s="7" t="s">
        <v>60</v>
      </c>
      <c r="D1792" s="7" t="s">
        <v>72</v>
      </c>
      <c r="E1792" s="7" t="s">
        <v>22</v>
      </c>
      <c r="F1792" s="7" t="s">
        <v>23</v>
      </c>
      <c r="G1792" s="7" t="s">
        <v>24</v>
      </c>
      <c r="H1792" s="7" t="s">
        <v>25</v>
      </c>
      <c r="I1792" s="7" t="s">
        <v>26</v>
      </c>
      <c r="J1792" s="7">
        <v>828</v>
      </c>
      <c r="K1792" s="7">
        <v>1184.04</v>
      </c>
    </row>
    <row r="1793" spans="1:11" ht="18" customHeight="1" x14ac:dyDescent="0.25">
      <c r="A1793" s="7" t="s">
        <v>19</v>
      </c>
      <c r="B1793" s="7">
        <v>2022</v>
      </c>
      <c r="C1793" s="7" t="s">
        <v>60</v>
      </c>
      <c r="D1793" s="7" t="s">
        <v>72</v>
      </c>
      <c r="E1793" s="7" t="s">
        <v>22</v>
      </c>
      <c r="F1793" s="7" t="s">
        <v>23</v>
      </c>
      <c r="G1793" s="7" t="s">
        <v>24</v>
      </c>
      <c r="H1793" s="7" t="s">
        <v>25</v>
      </c>
      <c r="I1793" s="7" t="s">
        <v>35</v>
      </c>
      <c r="J1793" s="7">
        <v>365</v>
      </c>
      <c r="K1793" s="7">
        <v>521.95000000000005</v>
      </c>
    </row>
    <row r="1794" spans="1:11" ht="18" customHeight="1" x14ac:dyDescent="0.25">
      <c r="A1794" s="7" t="s">
        <v>34</v>
      </c>
      <c r="B1794" s="7">
        <v>2022</v>
      </c>
      <c r="C1794" s="7" t="s">
        <v>60</v>
      </c>
      <c r="D1794" s="7" t="s">
        <v>72</v>
      </c>
      <c r="E1794" s="7" t="s">
        <v>22</v>
      </c>
      <c r="F1794" s="7" t="s">
        <v>23</v>
      </c>
      <c r="G1794" s="7" t="s">
        <v>24</v>
      </c>
      <c r="H1794" s="7" t="s">
        <v>25</v>
      </c>
      <c r="I1794" s="7" t="s">
        <v>35</v>
      </c>
      <c r="J1794" s="7">
        <v>359</v>
      </c>
      <c r="K1794" s="7">
        <v>513.37</v>
      </c>
    </row>
    <row r="1795" spans="1:11" ht="18" customHeight="1" x14ac:dyDescent="0.25">
      <c r="A1795" s="7" t="s">
        <v>34</v>
      </c>
      <c r="B1795" s="7">
        <v>2022</v>
      </c>
      <c r="C1795" s="7" t="s">
        <v>60</v>
      </c>
      <c r="D1795" s="7" t="s">
        <v>72</v>
      </c>
      <c r="E1795" s="7" t="s">
        <v>22</v>
      </c>
      <c r="F1795" s="7" t="s">
        <v>23</v>
      </c>
      <c r="G1795" s="7" t="s">
        <v>24</v>
      </c>
      <c r="H1795" s="7" t="s">
        <v>25</v>
      </c>
      <c r="I1795" s="7" t="s">
        <v>35</v>
      </c>
      <c r="J1795" s="7">
        <v>353</v>
      </c>
      <c r="K1795" s="7">
        <v>504.78999999999996</v>
      </c>
    </row>
    <row r="1796" spans="1:11" ht="18" customHeight="1" x14ac:dyDescent="0.25">
      <c r="A1796" s="7" t="s">
        <v>34</v>
      </c>
      <c r="B1796" s="7">
        <v>2022</v>
      </c>
      <c r="C1796" s="7" t="s">
        <v>60</v>
      </c>
      <c r="D1796" s="7" t="s">
        <v>72</v>
      </c>
      <c r="E1796" s="7" t="s">
        <v>22</v>
      </c>
      <c r="F1796" s="7" t="s">
        <v>23</v>
      </c>
      <c r="G1796" s="7" t="s">
        <v>24</v>
      </c>
      <c r="H1796" s="7" t="s">
        <v>25</v>
      </c>
      <c r="I1796" s="7" t="s">
        <v>26</v>
      </c>
      <c r="J1796" s="7">
        <v>179</v>
      </c>
      <c r="K1796" s="7">
        <v>255.97</v>
      </c>
    </row>
    <row r="1797" spans="1:11" ht="18" customHeight="1" x14ac:dyDescent="0.25">
      <c r="A1797" s="7" t="s">
        <v>19</v>
      </c>
      <c r="B1797" s="7">
        <v>2022</v>
      </c>
      <c r="C1797" s="7" t="s">
        <v>60</v>
      </c>
      <c r="D1797" s="7" t="s">
        <v>72</v>
      </c>
      <c r="E1797" s="7" t="s">
        <v>22</v>
      </c>
      <c r="F1797" s="7" t="s">
        <v>23</v>
      </c>
      <c r="G1797" s="7" t="s">
        <v>24</v>
      </c>
      <c r="H1797" s="7" t="s">
        <v>25</v>
      </c>
      <c r="I1797" s="7" t="s">
        <v>26</v>
      </c>
      <c r="J1797" s="7">
        <v>227</v>
      </c>
      <c r="K1797" s="7">
        <v>324.61</v>
      </c>
    </row>
    <row r="1798" spans="1:11" ht="18" customHeight="1" x14ac:dyDescent="0.25">
      <c r="A1798" s="7" t="s">
        <v>34</v>
      </c>
      <c r="B1798" s="7">
        <v>2022</v>
      </c>
      <c r="C1798" s="7" t="s">
        <v>65</v>
      </c>
      <c r="D1798" s="7" t="s">
        <v>72</v>
      </c>
      <c r="E1798" s="7" t="s">
        <v>22</v>
      </c>
      <c r="F1798" s="7" t="s">
        <v>23</v>
      </c>
      <c r="G1798" s="7" t="s">
        <v>24</v>
      </c>
      <c r="H1798" s="7" t="s">
        <v>25</v>
      </c>
      <c r="I1798" s="7" t="s">
        <v>35</v>
      </c>
      <c r="J1798" s="7">
        <v>302</v>
      </c>
      <c r="K1798" s="7">
        <v>431.86</v>
      </c>
    </row>
    <row r="1799" spans="1:11" ht="18" customHeight="1" x14ac:dyDescent="0.25">
      <c r="A1799" s="7" t="s">
        <v>19</v>
      </c>
      <c r="B1799" s="7">
        <v>2022</v>
      </c>
      <c r="C1799" s="7" t="s">
        <v>65</v>
      </c>
      <c r="D1799" s="7" t="s">
        <v>72</v>
      </c>
      <c r="E1799" s="7" t="s">
        <v>22</v>
      </c>
      <c r="F1799" s="7" t="s">
        <v>23</v>
      </c>
      <c r="G1799" s="7" t="s">
        <v>24</v>
      </c>
      <c r="H1799" s="7" t="s">
        <v>25</v>
      </c>
      <c r="I1799" s="7" t="s">
        <v>35</v>
      </c>
      <c r="J1799" s="7">
        <v>296</v>
      </c>
      <c r="K1799" s="7">
        <v>423.28</v>
      </c>
    </row>
    <row r="1800" spans="1:11" ht="18" customHeight="1" x14ac:dyDescent="0.25">
      <c r="A1800" s="7" t="s">
        <v>42</v>
      </c>
      <c r="B1800" s="7">
        <v>2022</v>
      </c>
      <c r="C1800" s="7" t="s">
        <v>65</v>
      </c>
      <c r="D1800" s="7" t="s">
        <v>72</v>
      </c>
      <c r="E1800" s="7" t="s">
        <v>22</v>
      </c>
      <c r="F1800" s="7" t="s">
        <v>23</v>
      </c>
      <c r="G1800" s="7" t="s">
        <v>24</v>
      </c>
      <c r="H1800" s="7" t="s">
        <v>25</v>
      </c>
      <c r="I1800" s="7" t="s">
        <v>35</v>
      </c>
      <c r="J1800" s="7">
        <v>290</v>
      </c>
      <c r="K1800" s="7">
        <v>414.7</v>
      </c>
    </row>
    <row r="1801" spans="1:11" ht="18" customHeight="1" x14ac:dyDescent="0.25">
      <c r="A1801" s="7" t="s">
        <v>34</v>
      </c>
      <c r="B1801" s="7">
        <v>2022</v>
      </c>
      <c r="C1801" s="7" t="s">
        <v>65</v>
      </c>
      <c r="D1801" s="7" t="s">
        <v>72</v>
      </c>
      <c r="E1801" s="7" t="s">
        <v>22</v>
      </c>
      <c r="F1801" s="7" t="s">
        <v>23</v>
      </c>
      <c r="G1801" s="7" t="s">
        <v>24</v>
      </c>
      <c r="H1801" s="7" t="s">
        <v>25</v>
      </c>
      <c r="I1801" s="7" t="s">
        <v>26</v>
      </c>
      <c r="J1801" s="7">
        <v>230</v>
      </c>
      <c r="K1801" s="7">
        <v>328.9</v>
      </c>
    </row>
    <row r="1802" spans="1:11" ht="18" customHeight="1" x14ac:dyDescent="0.25">
      <c r="A1802" s="7" t="s">
        <v>42</v>
      </c>
      <c r="B1802" s="7">
        <v>2022</v>
      </c>
      <c r="C1802" s="7" t="s">
        <v>65</v>
      </c>
      <c r="D1802" s="7" t="s">
        <v>72</v>
      </c>
      <c r="E1802" s="7" t="s">
        <v>22</v>
      </c>
      <c r="F1802" s="7" t="s">
        <v>23</v>
      </c>
      <c r="G1802" s="7" t="s">
        <v>24</v>
      </c>
      <c r="H1802" s="7" t="s">
        <v>25</v>
      </c>
      <c r="I1802" s="7" t="s">
        <v>26</v>
      </c>
      <c r="J1802" s="7">
        <v>158</v>
      </c>
      <c r="K1802" s="7">
        <v>225.94</v>
      </c>
    </row>
    <row r="1803" spans="1:11" ht="18" customHeight="1" x14ac:dyDescent="0.25">
      <c r="A1803" s="7" t="s">
        <v>19</v>
      </c>
      <c r="B1803" s="7">
        <v>2022</v>
      </c>
      <c r="C1803" s="7" t="s">
        <v>65</v>
      </c>
      <c r="D1803" s="7" t="s">
        <v>72</v>
      </c>
      <c r="E1803" s="7" t="s">
        <v>22</v>
      </c>
      <c r="F1803" s="7" t="s">
        <v>23</v>
      </c>
      <c r="G1803" s="7" t="s">
        <v>24</v>
      </c>
      <c r="H1803" s="7" t="s">
        <v>25</v>
      </c>
      <c r="I1803" s="7" t="s">
        <v>26</v>
      </c>
      <c r="J1803" s="7">
        <v>206</v>
      </c>
      <c r="K1803" s="7">
        <v>294.58</v>
      </c>
    </row>
    <row r="1804" spans="1:11" ht="18" customHeight="1" x14ac:dyDescent="0.25">
      <c r="A1804" s="7" t="s">
        <v>19</v>
      </c>
      <c r="B1804" s="7">
        <v>2022</v>
      </c>
      <c r="C1804" s="7" t="s">
        <v>65</v>
      </c>
      <c r="D1804" s="7" t="s">
        <v>72</v>
      </c>
      <c r="E1804" s="7" t="s">
        <v>22</v>
      </c>
      <c r="F1804" s="7" t="s">
        <v>23</v>
      </c>
      <c r="G1804" s="7" t="s">
        <v>24</v>
      </c>
      <c r="H1804" s="7" t="s">
        <v>25</v>
      </c>
      <c r="I1804" s="7" t="s">
        <v>26</v>
      </c>
      <c r="J1804" s="7">
        <v>304</v>
      </c>
      <c r="K1804" s="7">
        <v>434.72</v>
      </c>
    </row>
    <row r="1805" spans="1:11" ht="18" customHeight="1" x14ac:dyDescent="0.25">
      <c r="A1805" s="7" t="s">
        <v>34</v>
      </c>
      <c r="B1805" s="7">
        <v>2022</v>
      </c>
      <c r="C1805" s="7" t="s">
        <v>65</v>
      </c>
      <c r="D1805" s="7" t="s">
        <v>72</v>
      </c>
      <c r="E1805" s="7" t="s">
        <v>22</v>
      </c>
      <c r="F1805" s="7" t="s">
        <v>23</v>
      </c>
      <c r="G1805" s="7" t="s">
        <v>24</v>
      </c>
      <c r="H1805" s="7" t="s">
        <v>25</v>
      </c>
      <c r="I1805" s="7" t="s">
        <v>26</v>
      </c>
      <c r="J1805" s="7">
        <v>298</v>
      </c>
      <c r="K1805" s="7">
        <v>426.14</v>
      </c>
    </row>
    <row r="1806" spans="1:11" ht="18" customHeight="1" x14ac:dyDescent="0.25">
      <c r="A1806" s="7" t="s">
        <v>42</v>
      </c>
      <c r="B1806" s="7">
        <v>2022</v>
      </c>
      <c r="C1806" s="7" t="s">
        <v>65</v>
      </c>
      <c r="D1806" s="7" t="s">
        <v>72</v>
      </c>
      <c r="E1806" s="7" t="s">
        <v>22</v>
      </c>
      <c r="F1806" s="7" t="s">
        <v>23</v>
      </c>
      <c r="G1806" s="7" t="s">
        <v>24</v>
      </c>
      <c r="H1806" s="7" t="s">
        <v>25</v>
      </c>
      <c r="I1806" s="7" t="s">
        <v>26</v>
      </c>
      <c r="J1806" s="7">
        <v>292</v>
      </c>
      <c r="K1806" s="7">
        <v>417.56</v>
      </c>
    </row>
    <row r="1807" spans="1:11" ht="18" customHeight="1" x14ac:dyDescent="0.25">
      <c r="A1807" s="7" t="s">
        <v>34</v>
      </c>
      <c r="B1807" s="7">
        <v>2022</v>
      </c>
      <c r="C1807" s="7" t="s">
        <v>65</v>
      </c>
      <c r="D1807" s="7" t="s">
        <v>72</v>
      </c>
      <c r="E1807" s="7" t="s">
        <v>22</v>
      </c>
      <c r="F1807" s="7" t="s">
        <v>23</v>
      </c>
      <c r="G1807" s="7" t="s">
        <v>24</v>
      </c>
      <c r="H1807" s="7" t="s">
        <v>25</v>
      </c>
      <c r="I1807" s="7" t="s">
        <v>26</v>
      </c>
      <c r="J1807" s="7">
        <v>232</v>
      </c>
      <c r="K1807" s="7">
        <v>526.24</v>
      </c>
    </row>
    <row r="1808" spans="1:11" ht="18" customHeight="1" x14ac:dyDescent="0.25">
      <c r="A1808" s="7" t="s">
        <v>19</v>
      </c>
      <c r="B1808" s="7">
        <v>2022</v>
      </c>
      <c r="C1808" s="7" t="s">
        <v>65</v>
      </c>
      <c r="D1808" s="7" t="s">
        <v>72</v>
      </c>
      <c r="E1808" s="7" t="s">
        <v>22</v>
      </c>
      <c r="F1808" s="7" t="s">
        <v>23</v>
      </c>
      <c r="G1808" s="7" t="s">
        <v>24</v>
      </c>
      <c r="H1808" s="7" t="s">
        <v>25</v>
      </c>
      <c r="I1808" s="7" t="s">
        <v>26</v>
      </c>
      <c r="J1808" s="7">
        <v>160</v>
      </c>
      <c r="K1808" s="7">
        <v>526.24</v>
      </c>
    </row>
    <row r="1809" spans="1:11" ht="18" customHeight="1" x14ac:dyDescent="0.25">
      <c r="A1809" s="7" t="s">
        <v>34</v>
      </c>
      <c r="B1809" s="7">
        <v>2022</v>
      </c>
      <c r="C1809" s="7" t="s">
        <v>65</v>
      </c>
      <c r="D1809" s="7" t="s">
        <v>72</v>
      </c>
      <c r="E1809" s="7" t="s">
        <v>22</v>
      </c>
      <c r="F1809" s="7" t="s">
        <v>23</v>
      </c>
      <c r="G1809" s="7" t="s">
        <v>24</v>
      </c>
      <c r="H1809" s="7" t="s">
        <v>25</v>
      </c>
      <c r="I1809" s="7" t="s">
        <v>26</v>
      </c>
      <c r="J1809" s="7">
        <v>964</v>
      </c>
      <c r="K1809" s="7">
        <v>1378.52</v>
      </c>
    </row>
    <row r="1810" spans="1:11" ht="18" customHeight="1" x14ac:dyDescent="0.25">
      <c r="A1810" s="7" t="s">
        <v>19</v>
      </c>
      <c r="B1810" s="7">
        <v>2022</v>
      </c>
      <c r="C1810" s="7" t="s">
        <v>65</v>
      </c>
      <c r="D1810" s="7" t="s">
        <v>72</v>
      </c>
      <c r="E1810" s="7" t="s">
        <v>22</v>
      </c>
      <c r="F1810" s="7" t="s">
        <v>23</v>
      </c>
      <c r="G1810" s="7" t="s">
        <v>24</v>
      </c>
      <c r="H1810" s="7" t="s">
        <v>25</v>
      </c>
      <c r="I1810" s="7" t="s">
        <v>26</v>
      </c>
      <c r="J1810" s="7">
        <v>1018</v>
      </c>
      <c r="K1810" s="7">
        <v>1455.74</v>
      </c>
    </row>
    <row r="1811" spans="1:11" ht="18" customHeight="1" x14ac:dyDescent="0.25">
      <c r="A1811" s="7" t="s">
        <v>42</v>
      </c>
      <c r="B1811" s="7">
        <v>2022</v>
      </c>
      <c r="C1811" s="7" t="s">
        <v>65</v>
      </c>
      <c r="D1811" s="7" t="s">
        <v>72</v>
      </c>
      <c r="E1811" s="7" t="s">
        <v>22</v>
      </c>
      <c r="F1811" s="7" t="s">
        <v>23</v>
      </c>
      <c r="G1811" s="7" t="s">
        <v>24</v>
      </c>
      <c r="H1811" s="7" t="s">
        <v>25</v>
      </c>
      <c r="I1811" s="7" t="s">
        <v>26</v>
      </c>
      <c r="J1811" s="7">
        <v>204</v>
      </c>
      <c r="K1811" s="7">
        <v>291.72000000000003</v>
      </c>
    </row>
    <row r="1812" spans="1:11" ht="18" customHeight="1" x14ac:dyDescent="0.25">
      <c r="A1812" s="7" t="s">
        <v>42</v>
      </c>
      <c r="B1812" s="7">
        <v>2022</v>
      </c>
      <c r="C1812" s="7" t="s">
        <v>65</v>
      </c>
      <c r="D1812" s="7" t="s">
        <v>72</v>
      </c>
      <c r="E1812" s="7" t="s">
        <v>22</v>
      </c>
      <c r="F1812" s="7" t="s">
        <v>23</v>
      </c>
      <c r="G1812" s="7" t="s">
        <v>24</v>
      </c>
      <c r="H1812" s="7" t="s">
        <v>25</v>
      </c>
      <c r="I1812" s="7" t="s">
        <v>26</v>
      </c>
      <c r="J1812" s="7">
        <v>231</v>
      </c>
      <c r="K1812" s="7">
        <v>330.33</v>
      </c>
    </row>
    <row r="1813" spans="1:11" ht="18" customHeight="1" x14ac:dyDescent="0.25">
      <c r="A1813" s="7" t="s">
        <v>34</v>
      </c>
      <c r="B1813" s="7">
        <v>2022</v>
      </c>
      <c r="C1813" s="7" t="s">
        <v>65</v>
      </c>
      <c r="D1813" s="7" t="s">
        <v>72</v>
      </c>
      <c r="E1813" s="7" t="s">
        <v>22</v>
      </c>
      <c r="F1813" s="7" t="s">
        <v>23</v>
      </c>
      <c r="G1813" s="7" t="s">
        <v>24</v>
      </c>
      <c r="H1813" s="7" t="s">
        <v>25</v>
      </c>
      <c r="I1813" s="7" t="s">
        <v>26</v>
      </c>
      <c r="J1813" s="7">
        <v>159</v>
      </c>
      <c r="K1813" s="7">
        <v>227.37</v>
      </c>
    </row>
    <row r="1814" spans="1:11" ht="18" customHeight="1" x14ac:dyDescent="0.25">
      <c r="A1814" s="7" t="s">
        <v>34</v>
      </c>
      <c r="B1814" s="7">
        <v>2022</v>
      </c>
      <c r="C1814" s="7" t="s">
        <v>65</v>
      </c>
      <c r="D1814" s="7" t="s">
        <v>72</v>
      </c>
      <c r="E1814" s="7" t="s">
        <v>22</v>
      </c>
      <c r="F1814" s="7" t="s">
        <v>23</v>
      </c>
      <c r="G1814" s="7" t="s">
        <v>24</v>
      </c>
      <c r="H1814" s="7" t="s">
        <v>25</v>
      </c>
      <c r="I1814" s="7" t="s">
        <v>26</v>
      </c>
      <c r="J1814" s="7">
        <v>207</v>
      </c>
      <c r="K1814" s="7">
        <v>296.01</v>
      </c>
    </row>
    <row r="1815" spans="1:11" ht="18" customHeight="1" x14ac:dyDescent="0.25">
      <c r="A1815" s="7" t="s">
        <v>19</v>
      </c>
      <c r="B1815" s="7">
        <v>2022</v>
      </c>
      <c r="C1815" s="7" t="s">
        <v>65</v>
      </c>
      <c r="D1815" s="7" t="s">
        <v>72</v>
      </c>
      <c r="E1815" s="7" t="s">
        <v>22</v>
      </c>
      <c r="F1815" s="7" t="s">
        <v>23</v>
      </c>
      <c r="G1815" s="7" t="s">
        <v>24</v>
      </c>
      <c r="H1815" s="7" t="s">
        <v>25</v>
      </c>
      <c r="I1815" s="7" t="s">
        <v>26</v>
      </c>
      <c r="J1815" s="7">
        <v>301</v>
      </c>
      <c r="K1815" s="7">
        <v>430.43</v>
      </c>
    </row>
    <row r="1816" spans="1:11" ht="18" customHeight="1" x14ac:dyDescent="0.25">
      <c r="A1816" s="7" t="s">
        <v>42</v>
      </c>
      <c r="B1816" s="7">
        <v>2022</v>
      </c>
      <c r="C1816" s="7" t="s">
        <v>65</v>
      </c>
      <c r="D1816" s="7" t="s">
        <v>72</v>
      </c>
      <c r="E1816" s="7" t="s">
        <v>22</v>
      </c>
      <c r="F1816" s="7" t="s">
        <v>23</v>
      </c>
      <c r="G1816" s="7" t="s">
        <v>24</v>
      </c>
      <c r="H1816" s="7" t="s">
        <v>25</v>
      </c>
      <c r="I1816" s="7" t="s">
        <v>26</v>
      </c>
      <c r="J1816" s="7">
        <v>295</v>
      </c>
      <c r="K1816" s="7">
        <v>421.85</v>
      </c>
    </row>
    <row r="1817" spans="1:11" ht="18" customHeight="1" x14ac:dyDescent="0.25">
      <c r="A1817" s="7" t="s">
        <v>19</v>
      </c>
      <c r="B1817" s="7">
        <v>2022</v>
      </c>
      <c r="C1817" s="7" t="s">
        <v>65</v>
      </c>
      <c r="D1817" s="7" t="s">
        <v>72</v>
      </c>
      <c r="E1817" s="7" t="s">
        <v>22</v>
      </c>
      <c r="F1817" s="7" t="s">
        <v>23</v>
      </c>
      <c r="G1817" s="7" t="s">
        <v>24</v>
      </c>
      <c r="H1817" s="7" t="s">
        <v>25</v>
      </c>
      <c r="I1817" s="7" t="s">
        <v>26</v>
      </c>
      <c r="J1817" s="7">
        <v>289</v>
      </c>
      <c r="K1817" s="7">
        <v>413.27</v>
      </c>
    </row>
    <row r="1818" spans="1:11" ht="18" customHeight="1" x14ac:dyDescent="0.25">
      <c r="A1818" s="7" t="s">
        <v>42</v>
      </c>
      <c r="B1818" s="7">
        <v>2022</v>
      </c>
      <c r="C1818" s="7" t="s">
        <v>65</v>
      </c>
      <c r="D1818" s="7" t="s">
        <v>72</v>
      </c>
      <c r="E1818" s="7" t="s">
        <v>22</v>
      </c>
      <c r="F1818" s="7" t="s">
        <v>23</v>
      </c>
      <c r="G1818" s="7" t="s">
        <v>24</v>
      </c>
      <c r="H1818" s="7" t="s">
        <v>25</v>
      </c>
      <c r="I1818" s="7" t="s">
        <v>26</v>
      </c>
      <c r="J1818" s="7">
        <v>799</v>
      </c>
      <c r="K1818" s="7">
        <v>1142.57</v>
      </c>
    </row>
    <row r="1819" spans="1:11" ht="18" customHeight="1" x14ac:dyDescent="0.25">
      <c r="A1819" s="7" t="s">
        <v>34</v>
      </c>
      <c r="B1819" s="7">
        <v>2022</v>
      </c>
      <c r="C1819" s="7" t="s">
        <v>65</v>
      </c>
      <c r="D1819" s="7" t="s">
        <v>72</v>
      </c>
      <c r="E1819" s="7" t="s">
        <v>22</v>
      </c>
      <c r="F1819" s="7" t="s">
        <v>23</v>
      </c>
      <c r="G1819" s="7" t="s">
        <v>24</v>
      </c>
      <c r="H1819" s="7" t="s">
        <v>25</v>
      </c>
      <c r="I1819" s="7" t="s">
        <v>26</v>
      </c>
      <c r="J1819" s="7">
        <v>832</v>
      </c>
      <c r="K1819" s="7">
        <v>1189.76</v>
      </c>
    </row>
    <row r="1820" spans="1:11" ht="18" customHeight="1" x14ac:dyDescent="0.25">
      <c r="A1820" s="7" t="s">
        <v>42</v>
      </c>
      <c r="B1820" s="7">
        <v>2022</v>
      </c>
      <c r="C1820" s="7" t="s">
        <v>65</v>
      </c>
      <c r="D1820" s="7" t="s">
        <v>72</v>
      </c>
      <c r="E1820" s="7" t="s">
        <v>22</v>
      </c>
      <c r="F1820" s="7" t="s">
        <v>23</v>
      </c>
      <c r="G1820" s="7" t="s">
        <v>24</v>
      </c>
      <c r="H1820" s="7" t="s">
        <v>25</v>
      </c>
      <c r="I1820" s="7" t="s">
        <v>35</v>
      </c>
      <c r="J1820" s="7">
        <v>299</v>
      </c>
      <c r="K1820" s="7">
        <v>427.57</v>
      </c>
    </row>
    <row r="1821" spans="1:11" ht="18" customHeight="1" x14ac:dyDescent="0.25">
      <c r="A1821" s="7" t="s">
        <v>34</v>
      </c>
      <c r="B1821" s="7">
        <v>2022</v>
      </c>
      <c r="C1821" s="7" t="s">
        <v>65</v>
      </c>
      <c r="D1821" s="7" t="s">
        <v>72</v>
      </c>
      <c r="E1821" s="7" t="s">
        <v>22</v>
      </c>
      <c r="F1821" s="7" t="s">
        <v>23</v>
      </c>
      <c r="G1821" s="7" t="s">
        <v>24</v>
      </c>
      <c r="H1821" s="7" t="s">
        <v>25</v>
      </c>
      <c r="I1821" s="7" t="s">
        <v>35</v>
      </c>
      <c r="J1821" s="7">
        <v>293</v>
      </c>
      <c r="K1821" s="7">
        <v>418.99</v>
      </c>
    </row>
    <row r="1822" spans="1:11" ht="18" customHeight="1" x14ac:dyDescent="0.25">
      <c r="A1822" s="7" t="s">
        <v>19</v>
      </c>
      <c r="B1822" s="7">
        <v>2022</v>
      </c>
      <c r="C1822" s="7" t="s">
        <v>65</v>
      </c>
      <c r="D1822" s="7" t="s">
        <v>72</v>
      </c>
      <c r="E1822" s="7" t="s">
        <v>22</v>
      </c>
      <c r="F1822" s="7" t="s">
        <v>23</v>
      </c>
      <c r="G1822" s="7" t="s">
        <v>24</v>
      </c>
      <c r="H1822" s="7" t="s">
        <v>25</v>
      </c>
      <c r="I1822" s="7" t="s">
        <v>26</v>
      </c>
      <c r="J1822" s="7">
        <v>233</v>
      </c>
      <c r="K1822" s="7">
        <v>333.19</v>
      </c>
    </row>
    <row r="1823" spans="1:11" ht="18" customHeight="1" x14ac:dyDescent="0.25">
      <c r="A1823" s="7" t="s">
        <v>19</v>
      </c>
      <c r="B1823" s="7">
        <v>2022</v>
      </c>
      <c r="C1823" s="7" t="s">
        <v>65</v>
      </c>
      <c r="D1823" s="7" t="s">
        <v>72</v>
      </c>
      <c r="E1823" s="7" t="s">
        <v>22</v>
      </c>
      <c r="F1823" s="7" t="s">
        <v>23</v>
      </c>
      <c r="G1823" s="7" t="s">
        <v>24</v>
      </c>
      <c r="H1823" s="7" t="s">
        <v>25</v>
      </c>
      <c r="I1823" s="7" t="s">
        <v>26</v>
      </c>
      <c r="J1823" s="7">
        <v>161</v>
      </c>
      <c r="K1823" s="7">
        <v>230.23000000000002</v>
      </c>
    </row>
    <row r="1824" spans="1:11" ht="18" customHeight="1" x14ac:dyDescent="0.25">
      <c r="A1824" s="7" t="s">
        <v>34</v>
      </c>
      <c r="B1824" s="7">
        <v>2022</v>
      </c>
      <c r="C1824" s="7" t="s">
        <v>65</v>
      </c>
      <c r="D1824" s="7" t="s">
        <v>72</v>
      </c>
      <c r="E1824" s="7" t="s">
        <v>22</v>
      </c>
      <c r="F1824" s="7" t="s">
        <v>23</v>
      </c>
      <c r="G1824" s="7" t="s">
        <v>24</v>
      </c>
      <c r="H1824" s="7" t="s">
        <v>25</v>
      </c>
      <c r="I1824" s="7" t="s">
        <v>26</v>
      </c>
      <c r="J1824" s="7">
        <v>203</v>
      </c>
      <c r="K1824" s="7">
        <v>290.28999999999996</v>
      </c>
    </row>
    <row r="1825" spans="1:11" ht="18" customHeight="1" x14ac:dyDescent="0.25">
      <c r="A1825" s="7" t="s">
        <v>19</v>
      </c>
      <c r="B1825" s="7">
        <v>2022</v>
      </c>
      <c r="C1825" s="7" t="s">
        <v>59</v>
      </c>
      <c r="D1825" s="7" t="s">
        <v>72</v>
      </c>
      <c r="E1825" s="7" t="s">
        <v>22</v>
      </c>
      <c r="F1825" s="7" t="s">
        <v>23</v>
      </c>
      <c r="G1825" s="7" t="s">
        <v>24</v>
      </c>
      <c r="H1825" s="7" t="s">
        <v>25</v>
      </c>
      <c r="I1825" s="7" t="s">
        <v>35</v>
      </c>
      <c r="J1825" s="7">
        <v>218</v>
      </c>
      <c r="K1825" s="7">
        <v>311.74</v>
      </c>
    </row>
    <row r="1826" spans="1:11" ht="18" customHeight="1" x14ac:dyDescent="0.25">
      <c r="A1826" s="7" t="s">
        <v>34</v>
      </c>
      <c r="B1826" s="7">
        <v>2022</v>
      </c>
      <c r="C1826" s="7" t="s">
        <v>59</v>
      </c>
      <c r="D1826" s="7" t="s">
        <v>72</v>
      </c>
      <c r="E1826" s="7" t="s">
        <v>22</v>
      </c>
      <c r="F1826" s="7" t="s">
        <v>23</v>
      </c>
      <c r="G1826" s="7" t="s">
        <v>24</v>
      </c>
      <c r="H1826" s="7" t="s">
        <v>25</v>
      </c>
      <c r="I1826" s="7" t="s">
        <v>35</v>
      </c>
      <c r="J1826" s="7">
        <v>212</v>
      </c>
      <c r="K1826" s="7">
        <v>303.15999999999997</v>
      </c>
    </row>
    <row r="1827" spans="1:11" ht="18" customHeight="1" x14ac:dyDescent="0.25">
      <c r="A1827" s="7" t="s">
        <v>42</v>
      </c>
      <c r="B1827" s="7">
        <v>2022</v>
      </c>
      <c r="C1827" s="7" t="s">
        <v>59</v>
      </c>
      <c r="D1827" s="7" t="s">
        <v>72</v>
      </c>
      <c r="E1827" s="7" t="s">
        <v>22</v>
      </c>
      <c r="F1827" s="7" t="s">
        <v>23</v>
      </c>
      <c r="G1827" s="7" t="s">
        <v>24</v>
      </c>
      <c r="H1827" s="7" t="s">
        <v>25</v>
      </c>
      <c r="I1827" s="7" t="s">
        <v>35</v>
      </c>
      <c r="J1827" s="7">
        <v>206</v>
      </c>
      <c r="K1827" s="7">
        <v>294.58</v>
      </c>
    </row>
    <row r="1828" spans="1:11" ht="18" customHeight="1" x14ac:dyDescent="0.25">
      <c r="A1828" s="7" t="s">
        <v>19</v>
      </c>
      <c r="B1828" s="7">
        <v>2022</v>
      </c>
      <c r="C1828" s="7" t="s">
        <v>59</v>
      </c>
      <c r="D1828" s="7" t="s">
        <v>72</v>
      </c>
      <c r="E1828" s="7" t="s">
        <v>22</v>
      </c>
      <c r="F1828" s="7" t="s">
        <v>23</v>
      </c>
      <c r="G1828" s="7" t="s">
        <v>24</v>
      </c>
      <c r="H1828" s="7" t="s">
        <v>25</v>
      </c>
      <c r="I1828" s="7" t="s">
        <v>26</v>
      </c>
      <c r="J1828" s="7">
        <v>212</v>
      </c>
      <c r="K1828" s="7">
        <v>303.15999999999997</v>
      </c>
    </row>
    <row r="1829" spans="1:11" ht="18" customHeight="1" x14ac:dyDescent="0.25">
      <c r="A1829" s="7" t="s">
        <v>42</v>
      </c>
      <c r="B1829" s="7">
        <v>2022</v>
      </c>
      <c r="C1829" s="7" t="s">
        <v>59</v>
      </c>
      <c r="D1829" s="7" t="s">
        <v>72</v>
      </c>
      <c r="E1829" s="7" t="s">
        <v>22</v>
      </c>
      <c r="F1829" s="7" t="s">
        <v>23</v>
      </c>
      <c r="G1829" s="7" t="s">
        <v>24</v>
      </c>
      <c r="H1829" s="7" t="s">
        <v>25</v>
      </c>
      <c r="I1829" s="7" t="s">
        <v>26</v>
      </c>
      <c r="J1829" s="7">
        <v>260</v>
      </c>
      <c r="K1829" s="7">
        <v>371.8</v>
      </c>
    </row>
    <row r="1830" spans="1:11" ht="18" customHeight="1" x14ac:dyDescent="0.25">
      <c r="A1830" s="7" t="s">
        <v>19</v>
      </c>
      <c r="B1830" s="7">
        <v>2022</v>
      </c>
      <c r="C1830" s="7" t="s">
        <v>59</v>
      </c>
      <c r="D1830" s="7" t="s">
        <v>72</v>
      </c>
      <c r="E1830" s="7" t="s">
        <v>22</v>
      </c>
      <c r="F1830" s="7" t="s">
        <v>23</v>
      </c>
      <c r="G1830" s="7" t="s">
        <v>24</v>
      </c>
      <c r="H1830" s="7" t="s">
        <v>25</v>
      </c>
      <c r="I1830" s="7" t="s">
        <v>26</v>
      </c>
      <c r="J1830" s="7">
        <v>214</v>
      </c>
      <c r="K1830" s="7">
        <v>306.02</v>
      </c>
    </row>
    <row r="1831" spans="1:11" ht="18" customHeight="1" x14ac:dyDescent="0.25">
      <c r="A1831" s="7" t="s">
        <v>19</v>
      </c>
      <c r="B1831" s="7">
        <v>2022</v>
      </c>
      <c r="C1831" s="7" t="s">
        <v>59</v>
      </c>
      <c r="D1831" s="7" t="s">
        <v>72</v>
      </c>
      <c r="E1831" s="7" t="s">
        <v>22</v>
      </c>
      <c r="F1831" s="7" t="s">
        <v>23</v>
      </c>
      <c r="G1831" s="7" t="s">
        <v>24</v>
      </c>
      <c r="H1831" s="7" t="s">
        <v>25</v>
      </c>
      <c r="I1831" s="7" t="s">
        <v>26</v>
      </c>
      <c r="J1831" s="7">
        <v>208</v>
      </c>
      <c r="K1831" s="7">
        <v>297.44</v>
      </c>
    </row>
    <row r="1832" spans="1:11" ht="18" customHeight="1" x14ac:dyDescent="0.25">
      <c r="A1832" s="7" t="s">
        <v>34</v>
      </c>
      <c r="B1832" s="7">
        <v>2022</v>
      </c>
      <c r="C1832" s="7" t="s">
        <v>59</v>
      </c>
      <c r="D1832" s="7" t="s">
        <v>72</v>
      </c>
      <c r="E1832" s="7" t="s">
        <v>22</v>
      </c>
      <c r="F1832" s="7" t="s">
        <v>23</v>
      </c>
      <c r="G1832" s="7" t="s">
        <v>24</v>
      </c>
      <c r="H1832" s="7" t="s">
        <v>25</v>
      </c>
      <c r="I1832" s="7" t="s">
        <v>26</v>
      </c>
      <c r="J1832" s="7">
        <v>214</v>
      </c>
      <c r="K1832" s="7">
        <v>526.24</v>
      </c>
    </row>
    <row r="1833" spans="1:11" ht="18" customHeight="1" x14ac:dyDescent="0.25">
      <c r="A1833" s="7" t="s">
        <v>34</v>
      </c>
      <c r="B1833" s="7">
        <v>2022</v>
      </c>
      <c r="C1833" s="7" t="s">
        <v>59</v>
      </c>
      <c r="D1833" s="7" t="s">
        <v>72</v>
      </c>
      <c r="E1833" s="7" t="s">
        <v>22</v>
      </c>
      <c r="F1833" s="7" t="s">
        <v>23</v>
      </c>
      <c r="G1833" s="7" t="s">
        <v>24</v>
      </c>
      <c r="H1833" s="7" t="s">
        <v>25</v>
      </c>
      <c r="I1833" s="7" t="s">
        <v>26</v>
      </c>
      <c r="J1833" s="7">
        <v>256</v>
      </c>
      <c r="K1833" s="7">
        <v>526.24</v>
      </c>
    </row>
    <row r="1834" spans="1:11" ht="18" customHeight="1" x14ac:dyDescent="0.25">
      <c r="A1834" s="7" t="s">
        <v>19</v>
      </c>
      <c r="B1834" s="7">
        <v>2022</v>
      </c>
      <c r="C1834" s="7" t="s">
        <v>59</v>
      </c>
      <c r="D1834" s="7" t="s">
        <v>72</v>
      </c>
      <c r="E1834" s="7" t="s">
        <v>22</v>
      </c>
      <c r="F1834" s="7" t="s">
        <v>23</v>
      </c>
      <c r="G1834" s="7" t="s">
        <v>24</v>
      </c>
      <c r="H1834" s="7" t="s">
        <v>25</v>
      </c>
      <c r="I1834" s="7" t="s">
        <v>26</v>
      </c>
      <c r="J1834" s="7">
        <v>1009</v>
      </c>
      <c r="K1834" s="7">
        <v>1442.87</v>
      </c>
    </row>
    <row r="1835" spans="1:11" ht="18" customHeight="1" x14ac:dyDescent="0.25">
      <c r="A1835" s="7" t="s">
        <v>34</v>
      </c>
      <c r="B1835" s="7">
        <v>2022</v>
      </c>
      <c r="C1835" s="7" t="s">
        <v>59</v>
      </c>
      <c r="D1835" s="7" t="s">
        <v>72</v>
      </c>
      <c r="E1835" s="7" t="s">
        <v>22</v>
      </c>
      <c r="F1835" s="7" t="s">
        <v>23</v>
      </c>
      <c r="G1835" s="7" t="s">
        <v>24</v>
      </c>
      <c r="H1835" s="7" t="s">
        <v>25</v>
      </c>
      <c r="I1835" s="7" t="s">
        <v>26</v>
      </c>
      <c r="J1835" s="7">
        <v>258</v>
      </c>
      <c r="K1835" s="7">
        <v>368.94</v>
      </c>
    </row>
    <row r="1836" spans="1:11" ht="18" customHeight="1" x14ac:dyDescent="0.25">
      <c r="A1836" s="7" t="s">
        <v>19</v>
      </c>
      <c r="B1836" s="7">
        <v>2022</v>
      </c>
      <c r="C1836" s="7" t="s">
        <v>59</v>
      </c>
      <c r="D1836" s="7" t="s">
        <v>72</v>
      </c>
      <c r="E1836" s="7" t="s">
        <v>22</v>
      </c>
      <c r="F1836" s="7" t="s">
        <v>23</v>
      </c>
      <c r="G1836" s="7" t="s">
        <v>24</v>
      </c>
      <c r="H1836" s="7" t="s">
        <v>25</v>
      </c>
      <c r="I1836" s="7" t="s">
        <v>26</v>
      </c>
      <c r="J1836" s="7">
        <v>213</v>
      </c>
      <c r="K1836" s="7">
        <v>304.59000000000003</v>
      </c>
    </row>
    <row r="1837" spans="1:11" ht="18" customHeight="1" x14ac:dyDescent="0.25">
      <c r="A1837" s="7" t="s">
        <v>53</v>
      </c>
      <c r="B1837" s="7">
        <v>2022</v>
      </c>
      <c r="C1837" s="7" t="s">
        <v>59</v>
      </c>
      <c r="D1837" s="7" t="s">
        <v>72</v>
      </c>
      <c r="E1837" s="7" t="s">
        <v>22</v>
      </c>
      <c r="F1837" s="7" t="s">
        <v>23</v>
      </c>
      <c r="G1837" s="7" t="s">
        <v>24</v>
      </c>
      <c r="H1837" s="7" t="s">
        <v>25</v>
      </c>
      <c r="I1837" s="7" t="s">
        <v>26</v>
      </c>
      <c r="J1837" s="7">
        <v>261</v>
      </c>
      <c r="K1837" s="7">
        <v>373.23</v>
      </c>
    </row>
    <row r="1838" spans="1:11" ht="18" customHeight="1" x14ac:dyDescent="0.25">
      <c r="A1838" s="7" t="s">
        <v>34</v>
      </c>
      <c r="B1838" s="7">
        <v>2022</v>
      </c>
      <c r="C1838" s="7" t="s">
        <v>59</v>
      </c>
      <c r="D1838" s="7" t="s">
        <v>72</v>
      </c>
      <c r="E1838" s="7" t="s">
        <v>22</v>
      </c>
      <c r="F1838" s="7" t="s">
        <v>23</v>
      </c>
      <c r="G1838" s="7" t="s">
        <v>24</v>
      </c>
      <c r="H1838" s="7" t="s">
        <v>25</v>
      </c>
      <c r="I1838" s="7" t="s">
        <v>26</v>
      </c>
      <c r="J1838" s="7">
        <v>217</v>
      </c>
      <c r="K1838" s="7">
        <v>310.31</v>
      </c>
    </row>
    <row r="1839" spans="1:11" ht="18" customHeight="1" x14ac:dyDescent="0.25">
      <c r="A1839" s="7" t="s">
        <v>19</v>
      </c>
      <c r="B1839" s="7">
        <v>2022</v>
      </c>
      <c r="C1839" s="7" t="s">
        <v>59</v>
      </c>
      <c r="D1839" s="7" t="s">
        <v>72</v>
      </c>
      <c r="E1839" s="7" t="s">
        <v>22</v>
      </c>
      <c r="F1839" s="7" t="s">
        <v>23</v>
      </c>
      <c r="G1839" s="7" t="s">
        <v>24</v>
      </c>
      <c r="H1839" s="7" t="s">
        <v>25</v>
      </c>
      <c r="I1839" s="7" t="s">
        <v>26</v>
      </c>
      <c r="J1839" s="7">
        <v>211</v>
      </c>
      <c r="K1839" s="7">
        <v>301.73</v>
      </c>
    </row>
    <row r="1840" spans="1:11" ht="18" customHeight="1" x14ac:dyDescent="0.25">
      <c r="A1840" s="7" t="s">
        <v>19</v>
      </c>
      <c r="B1840" s="7">
        <v>2022</v>
      </c>
      <c r="C1840" s="7" t="s">
        <v>59</v>
      </c>
      <c r="D1840" s="7" t="s">
        <v>72</v>
      </c>
      <c r="E1840" s="7" t="s">
        <v>22</v>
      </c>
      <c r="F1840" s="7" t="s">
        <v>23</v>
      </c>
      <c r="G1840" s="7" t="s">
        <v>24</v>
      </c>
      <c r="H1840" s="7" t="s">
        <v>25</v>
      </c>
      <c r="I1840" s="7" t="s">
        <v>26</v>
      </c>
      <c r="J1840" s="7">
        <v>205</v>
      </c>
      <c r="K1840" s="7">
        <v>293.14999999999998</v>
      </c>
    </row>
    <row r="1841" spans="1:11" ht="18" customHeight="1" x14ac:dyDescent="0.25">
      <c r="A1841" s="7" t="s">
        <v>19</v>
      </c>
      <c r="B1841" s="7">
        <v>2022</v>
      </c>
      <c r="C1841" s="7" t="s">
        <v>59</v>
      </c>
      <c r="D1841" s="7" t="s">
        <v>72</v>
      </c>
      <c r="E1841" s="7" t="s">
        <v>22</v>
      </c>
      <c r="F1841" s="7" t="s">
        <v>23</v>
      </c>
      <c r="G1841" s="7" t="s">
        <v>24</v>
      </c>
      <c r="H1841" s="7" t="s">
        <v>25</v>
      </c>
      <c r="I1841" s="7" t="s">
        <v>26</v>
      </c>
      <c r="J1841" s="7">
        <v>790</v>
      </c>
      <c r="K1841" s="7">
        <v>1129.7</v>
      </c>
    </row>
    <row r="1842" spans="1:11" ht="18" customHeight="1" x14ac:dyDescent="0.25">
      <c r="A1842" s="7" t="s">
        <v>34</v>
      </c>
      <c r="B1842" s="7">
        <v>2022</v>
      </c>
      <c r="C1842" s="7" t="s">
        <v>59</v>
      </c>
      <c r="D1842" s="7" t="s">
        <v>72</v>
      </c>
      <c r="E1842" s="7" t="s">
        <v>22</v>
      </c>
      <c r="F1842" s="7" t="s">
        <v>23</v>
      </c>
      <c r="G1842" s="7" t="s">
        <v>24</v>
      </c>
      <c r="H1842" s="7" t="s">
        <v>25</v>
      </c>
      <c r="I1842" s="7" t="s">
        <v>26</v>
      </c>
      <c r="J1842" s="7">
        <v>823</v>
      </c>
      <c r="K1842" s="7">
        <v>1176.8899999999999</v>
      </c>
    </row>
    <row r="1843" spans="1:11" ht="18" customHeight="1" x14ac:dyDescent="0.25">
      <c r="A1843" s="7" t="s">
        <v>19</v>
      </c>
      <c r="B1843" s="7">
        <v>2022</v>
      </c>
      <c r="C1843" s="7" t="s">
        <v>59</v>
      </c>
      <c r="D1843" s="7" t="s">
        <v>72</v>
      </c>
      <c r="E1843" s="7" t="s">
        <v>22</v>
      </c>
      <c r="F1843" s="7" t="s">
        <v>23</v>
      </c>
      <c r="G1843" s="7" t="s">
        <v>24</v>
      </c>
      <c r="H1843" s="7" t="s">
        <v>25</v>
      </c>
      <c r="I1843" s="7" t="s">
        <v>35</v>
      </c>
      <c r="J1843" s="7">
        <v>215</v>
      </c>
      <c r="K1843" s="7">
        <v>307.45</v>
      </c>
    </row>
    <row r="1844" spans="1:11" ht="18" customHeight="1" x14ac:dyDescent="0.25">
      <c r="A1844" s="7" t="s">
        <v>42</v>
      </c>
      <c r="B1844" s="7">
        <v>2022</v>
      </c>
      <c r="C1844" s="7" t="s">
        <v>59</v>
      </c>
      <c r="D1844" s="7" t="s">
        <v>72</v>
      </c>
      <c r="E1844" s="7" t="s">
        <v>22</v>
      </c>
      <c r="F1844" s="7" t="s">
        <v>23</v>
      </c>
      <c r="G1844" s="7" t="s">
        <v>24</v>
      </c>
      <c r="H1844" s="7" t="s">
        <v>25</v>
      </c>
      <c r="I1844" s="7" t="s">
        <v>35</v>
      </c>
      <c r="J1844" s="7">
        <v>209</v>
      </c>
      <c r="K1844" s="7">
        <v>298.87</v>
      </c>
    </row>
    <row r="1845" spans="1:11" ht="18" customHeight="1" x14ac:dyDescent="0.25">
      <c r="A1845" s="7" t="s">
        <v>19</v>
      </c>
      <c r="B1845" s="7">
        <v>2022</v>
      </c>
      <c r="C1845" s="7" t="s">
        <v>59</v>
      </c>
      <c r="D1845" s="7" t="s">
        <v>72</v>
      </c>
      <c r="E1845" s="7" t="s">
        <v>22</v>
      </c>
      <c r="F1845" s="7" t="s">
        <v>23</v>
      </c>
      <c r="G1845" s="7" t="s">
        <v>24</v>
      </c>
      <c r="H1845" s="7" t="s">
        <v>25</v>
      </c>
      <c r="I1845" s="7" t="s">
        <v>35</v>
      </c>
      <c r="J1845" s="7">
        <v>203</v>
      </c>
      <c r="K1845" s="7">
        <v>290.28999999999996</v>
      </c>
    </row>
    <row r="1846" spans="1:11" ht="18" customHeight="1" x14ac:dyDescent="0.25">
      <c r="A1846" s="7" t="s">
        <v>42</v>
      </c>
      <c r="B1846" s="7">
        <v>2022</v>
      </c>
      <c r="C1846" s="7" t="s">
        <v>59</v>
      </c>
      <c r="D1846" s="7" t="s">
        <v>72</v>
      </c>
      <c r="E1846" s="7" t="s">
        <v>22</v>
      </c>
      <c r="F1846" s="7" t="s">
        <v>23</v>
      </c>
      <c r="G1846" s="7" t="s">
        <v>24</v>
      </c>
      <c r="H1846" s="7" t="s">
        <v>25</v>
      </c>
      <c r="I1846" s="7" t="s">
        <v>26</v>
      </c>
      <c r="J1846" s="7">
        <v>257</v>
      </c>
      <c r="K1846" s="7">
        <v>367.51</v>
      </c>
    </row>
    <row r="1847" spans="1:11" ht="18" customHeight="1" x14ac:dyDescent="0.25">
      <c r="A1847" s="7" t="s">
        <v>34</v>
      </c>
      <c r="B1847" s="7">
        <v>2022</v>
      </c>
      <c r="C1847" s="7" t="s">
        <v>27</v>
      </c>
      <c r="D1847" s="7" t="s">
        <v>72</v>
      </c>
      <c r="E1847" s="7" t="s">
        <v>22</v>
      </c>
      <c r="F1847" s="7" t="s">
        <v>23</v>
      </c>
      <c r="G1847" s="7" t="s">
        <v>24</v>
      </c>
      <c r="H1847" s="7" t="s">
        <v>25</v>
      </c>
      <c r="I1847" s="7" t="s">
        <v>35</v>
      </c>
      <c r="J1847" s="7">
        <v>230</v>
      </c>
      <c r="K1847" s="7">
        <v>328.9</v>
      </c>
    </row>
    <row r="1848" spans="1:11" ht="18" customHeight="1" x14ac:dyDescent="0.25">
      <c r="A1848" s="7" t="s">
        <v>19</v>
      </c>
      <c r="B1848" s="7">
        <v>2022</v>
      </c>
      <c r="C1848" s="7" t="s">
        <v>27</v>
      </c>
      <c r="D1848" s="7" t="s">
        <v>72</v>
      </c>
      <c r="E1848" s="7" t="s">
        <v>22</v>
      </c>
      <c r="F1848" s="7" t="s">
        <v>23</v>
      </c>
      <c r="G1848" s="7" t="s">
        <v>24</v>
      </c>
      <c r="H1848" s="7" t="s">
        <v>25</v>
      </c>
      <c r="I1848" s="7" t="s">
        <v>35</v>
      </c>
      <c r="J1848" s="7">
        <v>224</v>
      </c>
      <c r="K1848" s="7">
        <v>320.32</v>
      </c>
    </row>
    <row r="1849" spans="1:11" ht="18" customHeight="1" x14ac:dyDescent="0.25">
      <c r="A1849" s="7" t="s">
        <v>61</v>
      </c>
      <c r="B1849" s="7">
        <v>2022</v>
      </c>
      <c r="C1849" s="7" t="s">
        <v>27</v>
      </c>
      <c r="D1849" s="7" t="s">
        <v>72</v>
      </c>
      <c r="E1849" s="7" t="s">
        <v>22</v>
      </c>
      <c r="F1849" s="7" t="s">
        <v>23</v>
      </c>
      <c r="G1849" s="7" t="s">
        <v>24</v>
      </c>
      <c r="H1849" s="7" t="s">
        <v>25</v>
      </c>
      <c r="I1849" s="7" t="s">
        <v>26</v>
      </c>
      <c r="J1849" s="7">
        <v>218</v>
      </c>
      <c r="K1849" s="7">
        <v>311.74</v>
      </c>
    </row>
    <row r="1850" spans="1:11" ht="18" customHeight="1" x14ac:dyDescent="0.25">
      <c r="A1850" s="7" t="s">
        <v>53</v>
      </c>
      <c r="B1850" s="7">
        <v>2022</v>
      </c>
      <c r="C1850" s="7" t="s">
        <v>27</v>
      </c>
      <c r="D1850" s="7" t="s">
        <v>72</v>
      </c>
      <c r="E1850" s="7" t="s">
        <v>22</v>
      </c>
      <c r="F1850" s="7" t="s">
        <v>23</v>
      </c>
      <c r="G1850" s="7" t="s">
        <v>24</v>
      </c>
      <c r="H1850" s="7" t="s">
        <v>25</v>
      </c>
      <c r="I1850" s="7" t="s">
        <v>26</v>
      </c>
      <c r="J1850" s="7">
        <v>266</v>
      </c>
      <c r="K1850" s="7">
        <v>380.38</v>
      </c>
    </row>
    <row r="1851" spans="1:11" ht="18" customHeight="1" x14ac:dyDescent="0.25">
      <c r="A1851" s="7" t="s">
        <v>34</v>
      </c>
      <c r="B1851" s="7">
        <v>2022</v>
      </c>
      <c r="C1851" s="7" t="s">
        <v>27</v>
      </c>
      <c r="D1851" s="7" t="s">
        <v>72</v>
      </c>
      <c r="E1851" s="7" t="s">
        <v>22</v>
      </c>
      <c r="F1851" s="7" t="s">
        <v>23</v>
      </c>
      <c r="G1851" s="7" t="s">
        <v>24</v>
      </c>
      <c r="H1851" s="7" t="s">
        <v>25</v>
      </c>
      <c r="I1851" s="7" t="s">
        <v>26</v>
      </c>
      <c r="J1851" s="7">
        <v>232</v>
      </c>
      <c r="K1851" s="7">
        <v>331.76</v>
      </c>
    </row>
    <row r="1852" spans="1:11" ht="18" customHeight="1" x14ac:dyDescent="0.25">
      <c r="A1852" s="7" t="s">
        <v>34</v>
      </c>
      <c r="B1852" s="7">
        <v>2022</v>
      </c>
      <c r="C1852" s="7" t="s">
        <v>27</v>
      </c>
      <c r="D1852" s="7" t="s">
        <v>72</v>
      </c>
      <c r="E1852" s="7" t="s">
        <v>22</v>
      </c>
      <c r="F1852" s="7" t="s">
        <v>23</v>
      </c>
      <c r="G1852" s="7" t="s">
        <v>24</v>
      </c>
      <c r="H1852" s="7" t="s">
        <v>25</v>
      </c>
      <c r="I1852" s="7" t="s">
        <v>26</v>
      </c>
      <c r="J1852" s="7">
        <v>226</v>
      </c>
      <c r="K1852" s="7">
        <v>323.18</v>
      </c>
    </row>
    <row r="1853" spans="1:11" ht="18" customHeight="1" x14ac:dyDescent="0.25">
      <c r="A1853" s="7" t="s">
        <v>34</v>
      </c>
      <c r="B1853" s="7">
        <v>2022</v>
      </c>
      <c r="C1853" s="7" t="s">
        <v>27</v>
      </c>
      <c r="D1853" s="7" t="s">
        <v>72</v>
      </c>
      <c r="E1853" s="7" t="s">
        <v>22</v>
      </c>
      <c r="F1853" s="7" t="s">
        <v>23</v>
      </c>
      <c r="G1853" s="7" t="s">
        <v>24</v>
      </c>
      <c r="H1853" s="7" t="s">
        <v>25</v>
      </c>
      <c r="I1853" s="7" t="s">
        <v>26</v>
      </c>
      <c r="J1853" s="7">
        <v>220</v>
      </c>
      <c r="K1853" s="7">
        <v>314.60000000000002</v>
      </c>
    </row>
    <row r="1854" spans="1:11" ht="18" customHeight="1" x14ac:dyDescent="0.25">
      <c r="A1854" s="7" t="s">
        <v>19</v>
      </c>
      <c r="B1854" s="7">
        <v>2022</v>
      </c>
      <c r="C1854" s="7" t="s">
        <v>27</v>
      </c>
      <c r="D1854" s="7" t="s">
        <v>72</v>
      </c>
      <c r="E1854" s="7" t="s">
        <v>22</v>
      </c>
      <c r="F1854" s="7" t="s">
        <v>23</v>
      </c>
      <c r="G1854" s="7" t="s">
        <v>24</v>
      </c>
      <c r="H1854" s="7" t="s">
        <v>25</v>
      </c>
      <c r="I1854" s="7" t="s">
        <v>26</v>
      </c>
      <c r="J1854" s="7">
        <v>262</v>
      </c>
      <c r="K1854" s="7">
        <v>526.24</v>
      </c>
    </row>
    <row r="1855" spans="1:11" ht="18" customHeight="1" x14ac:dyDescent="0.25">
      <c r="A1855" s="7" t="s">
        <v>19</v>
      </c>
      <c r="B1855" s="7">
        <v>2022</v>
      </c>
      <c r="C1855" s="7" t="s">
        <v>27</v>
      </c>
      <c r="D1855" s="7" t="s">
        <v>72</v>
      </c>
      <c r="E1855" s="7" t="s">
        <v>22</v>
      </c>
      <c r="F1855" s="7" t="s">
        <v>23</v>
      </c>
      <c r="G1855" s="7" t="s">
        <v>24</v>
      </c>
      <c r="H1855" s="7" t="s">
        <v>25</v>
      </c>
      <c r="I1855" s="7" t="s">
        <v>26</v>
      </c>
      <c r="J1855" s="7">
        <v>1008</v>
      </c>
      <c r="K1855" s="7">
        <v>1441.44</v>
      </c>
    </row>
    <row r="1856" spans="1:11" ht="18" customHeight="1" x14ac:dyDescent="0.25">
      <c r="A1856" s="7" t="s">
        <v>34</v>
      </c>
      <c r="B1856" s="7">
        <v>2022</v>
      </c>
      <c r="C1856" s="7" t="s">
        <v>27</v>
      </c>
      <c r="D1856" s="7" t="s">
        <v>72</v>
      </c>
      <c r="E1856" s="7" t="s">
        <v>22</v>
      </c>
      <c r="F1856" s="7" t="s">
        <v>23</v>
      </c>
      <c r="G1856" s="7" t="s">
        <v>24</v>
      </c>
      <c r="H1856" s="7" t="s">
        <v>25</v>
      </c>
      <c r="I1856" s="7" t="s">
        <v>26</v>
      </c>
      <c r="J1856" s="7">
        <v>1041</v>
      </c>
      <c r="K1856" s="7">
        <v>1488.63</v>
      </c>
    </row>
    <row r="1857" spans="1:11" ht="18" customHeight="1" x14ac:dyDescent="0.25">
      <c r="A1857" s="7" t="s">
        <v>34</v>
      </c>
      <c r="B1857" s="7">
        <v>2022</v>
      </c>
      <c r="C1857" s="7" t="s">
        <v>27</v>
      </c>
      <c r="D1857" s="7" t="s">
        <v>72</v>
      </c>
      <c r="E1857" s="7" t="s">
        <v>22</v>
      </c>
      <c r="F1857" s="7" t="s">
        <v>23</v>
      </c>
      <c r="G1857" s="7" t="s">
        <v>24</v>
      </c>
      <c r="H1857" s="7" t="s">
        <v>25</v>
      </c>
      <c r="I1857" s="7" t="s">
        <v>26</v>
      </c>
      <c r="J1857" s="7">
        <v>219</v>
      </c>
      <c r="K1857" s="7">
        <v>313.17</v>
      </c>
    </row>
    <row r="1858" spans="1:11" ht="18" customHeight="1" x14ac:dyDescent="0.25">
      <c r="A1858" s="7" t="s">
        <v>61</v>
      </c>
      <c r="B1858" s="7">
        <v>2022</v>
      </c>
      <c r="C1858" s="7" t="s">
        <v>27</v>
      </c>
      <c r="D1858" s="7" t="s">
        <v>72</v>
      </c>
      <c r="E1858" s="7" t="s">
        <v>22</v>
      </c>
      <c r="F1858" s="7" t="s">
        <v>23</v>
      </c>
      <c r="G1858" s="7" t="s">
        <v>24</v>
      </c>
      <c r="H1858" s="7" t="s">
        <v>25</v>
      </c>
      <c r="I1858" s="7" t="s">
        <v>26</v>
      </c>
      <c r="J1858" s="7">
        <v>229</v>
      </c>
      <c r="K1858" s="7">
        <v>327.47000000000003</v>
      </c>
    </row>
    <row r="1859" spans="1:11" ht="18" customHeight="1" x14ac:dyDescent="0.25">
      <c r="A1859" s="7" t="s">
        <v>19</v>
      </c>
      <c r="B1859" s="7">
        <v>2022</v>
      </c>
      <c r="C1859" s="7" t="s">
        <v>27</v>
      </c>
      <c r="D1859" s="7" t="s">
        <v>72</v>
      </c>
      <c r="E1859" s="7" t="s">
        <v>22</v>
      </c>
      <c r="F1859" s="7" t="s">
        <v>23</v>
      </c>
      <c r="G1859" s="7" t="s">
        <v>24</v>
      </c>
      <c r="H1859" s="7" t="s">
        <v>25</v>
      </c>
      <c r="I1859" s="7" t="s">
        <v>26</v>
      </c>
      <c r="J1859" s="7">
        <v>223</v>
      </c>
      <c r="K1859" s="7">
        <v>318.89</v>
      </c>
    </row>
    <row r="1860" spans="1:11" ht="18" customHeight="1" x14ac:dyDescent="0.25">
      <c r="A1860" s="7" t="s">
        <v>34</v>
      </c>
      <c r="B1860" s="7">
        <v>2022</v>
      </c>
      <c r="C1860" s="7" t="s">
        <v>27</v>
      </c>
      <c r="D1860" s="7" t="s">
        <v>72</v>
      </c>
      <c r="E1860" s="7" t="s">
        <v>22</v>
      </c>
      <c r="F1860" s="7" t="s">
        <v>23</v>
      </c>
      <c r="G1860" s="7" t="s">
        <v>24</v>
      </c>
      <c r="H1860" s="7" t="s">
        <v>25</v>
      </c>
      <c r="I1860" s="7" t="s">
        <v>26</v>
      </c>
      <c r="J1860" s="7">
        <v>789</v>
      </c>
      <c r="K1860" s="7">
        <v>1128.27</v>
      </c>
    </row>
    <row r="1861" spans="1:11" ht="18" customHeight="1" x14ac:dyDescent="0.25">
      <c r="A1861" s="7" t="s">
        <v>34</v>
      </c>
      <c r="B1861" s="7">
        <v>2022</v>
      </c>
      <c r="C1861" s="7" t="s">
        <v>27</v>
      </c>
      <c r="D1861" s="7" t="s">
        <v>72</v>
      </c>
      <c r="E1861" s="7" t="s">
        <v>22</v>
      </c>
      <c r="F1861" s="7" t="s">
        <v>23</v>
      </c>
      <c r="G1861" s="7" t="s">
        <v>24</v>
      </c>
      <c r="H1861" s="7" t="s">
        <v>25</v>
      </c>
      <c r="I1861" s="7" t="s">
        <v>26</v>
      </c>
      <c r="J1861" s="7">
        <v>822</v>
      </c>
      <c r="K1861" s="7">
        <v>1175.46</v>
      </c>
    </row>
    <row r="1862" spans="1:11" ht="18" customHeight="1" x14ac:dyDescent="0.25">
      <c r="A1862" s="7" t="s">
        <v>34</v>
      </c>
      <c r="B1862" s="7">
        <v>2022</v>
      </c>
      <c r="C1862" s="7" t="s">
        <v>27</v>
      </c>
      <c r="D1862" s="7" t="s">
        <v>72</v>
      </c>
      <c r="E1862" s="7" t="s">
        <v>22</v>
      </c>
      <c r="F1862" s="7" t="s">
        <v>23</v>
      </c>
      <c r="G1862" s="7" t="s">
        <v>24</v>
      </c>
      <c r="H1862" s="7" t="s">
        <v>25</v>
      </c>
      <c r="I1862" s="7" t="s">
        <v>35</v>
      </c>
      <c r="J1862" s="7">
        <v>233</v>
      </c>
      <c r="K1862" s="7">
        <v>333.19</v>
      </c>
    </row>
    <row r="1863" spans="1:11" ht="18" customHeight="1" x14ac:dyDescent="0.25">
      <c r="A1863" s="7" t="s">
        <v>34</v>
      </c>
      <c r="B1863" s="7">
        <v>2022</v>
      </c>
      <c r="C1863" s="7" t="s">
        <v>27</v>
      </c>
      <c r="D1863" s="7" t="s">
        <v>72</v>
      </c>
      <c r="E1863" s="7" t="s">
        <v>22</v>
      </c>
      <c r="F1863" s="7" t="s">
        <v>23</v>
      </c>
      <c r="G1863" s="7" t="s">
        <v>24</v>
      </c>
      <c r="H1863" s="7" t="s">
        <v>25</v>
      </c>
      <c r="I1863" s="7" t="s">
        <v>35</v>
      </c>
      <c r="J1863" s="7">
        <v>227</v>
      </c>
      <c r="K1863" s="7">
        <v>324.61</v>
      </c>
    </row>
    <row r="1864" spans="1:11" ht="18" customHeight="1" x14ac:dyDescent="0.25">
      <c r="A1864" s="7" t="s">
        <v>19</v>
      </c>
      <c r="B1864" s="7">
        <v>2022</v>
      </c>
      <c r="C1864" s="7" t="s">
        <v>27</v>
      </c>
      <c r="D1864" s="7" t="s">
        <v>72</v>
      </c>
      <c r="E1864" s="7" t="s">
        <v>22</v>
      </c>
      <c r="F1864" s="7" t="s">
        <v>23</v>
      </c>
      <c r="G1864" s="7" t="s">
        <v>24</v>
      </c>
      <c r="H1864" s="7" t="s">
        <v>25</v>
      </c>
      <c r="I1864" s="7" t="s">
        <v>35</v>
      </c>
      <c r="J1864" s="7">
        <v>221</v>
      </c>
      <c r="K1864" s="7">
        <v>316.02999999999997</v>
      </c>
    </row>
    <row r="1865" spans="1:11" ht="18" customHeight="1" x14ac:dyDescent="0.25">
      <c r="A1865" s="7" t="s">
        <v>34</v>
      </c>
      <c r="B1865" s="7">
        <v>2022</v>
      </c>
      <c r="C1865" s="7" t="s">
        <v>27</v>
      </c>
      <c r="D1865" s="7" t="s">
        <v>72</v>
      </c>
      <c r="E1865" s="7" t="s">
        <v>22</v>
      </c>
      <c r="F1865" s="7" t="s">
        <v>23</v>
      </c>
      <c r="G1865" s="7" t="s">
        <v>24</v>
      </c>
      <c r="H1865" s="7" t="s">
        <v>25</v>
      </c>
      <c r="I1865" s="7" t="s">
        <v>26</v>
      </c>
      <c r="J1865" s="7">
        <v>215</v>
      </c>
      <c r="K1865" s="7">
        <v>307.45</v>
      </c>
    </row>
    <row r="1866" spans="1:11" ht="18" customHeight="1" x14ac:dyDescent="0.25">
      <c r="A1866" s="7" t="s">
        <v>42</v>
      </c>
      <c r="B1866" s="7">
        <v>2022</v>
      </c>
      <c r="C1866" s="7" t="s">
        <v>27</v>
      </c>
      <c r="D1866" s="7" t="s">
        <v>72</v>
      </c>
      <c r="E1866" s="7" t="s">
        <v>22</v>
      </c>
      <c r="F1866" s="7" t="s">
        <v>23</v>
      </c>
      <c r="G1866" s="7" t="s">
        <v>24</v>
      </c>
      <c r="H1866" s="7" t="s">
        <v>25</v>
      </c>
      <c r="I1866" s="7" t="s">
        <v>26</v>
      </c>
      <c r="J1866" s="7">
        <v>263</v>
      </c>
      <c r="K1866" s="7">
        <v>376.09000000000003</v>
      </c>
    </row>
    <row r="1867" spans="1:11" ht="18" customHeight="1" x14ac:dyDescent="0.25">
      <c r="A1867" s="7" t="s">
        <v>19</v>
      </c>
      <c r="B1867" s="7">
        <v>2022</v>
      </c>
      <c r="C1867" s="7" t="s">
        <v>68</v>
      </c>
      <c r="D1867" s="7" t="s">
        <v>72</v>
      </c>
      <c r="E1867" s="7" t="s">
        <v>22</v>
      </c>
      <c r="F1867" s="7" t="s">
        <v>23</v>
      </c>
      <c r="G1867" s="7" t="s">
        <v>24</v>
      </c>
      <c r="H1867" s="7" t="s">
        <v>25</v>
      </c>
      <c r="I1867" s="7" t="s">
        <v>35</v>
      </c>
      <c r="J1867" s="7">
        <v>134</v>
      </c>
      <c r="K1867" s="7">
        <v>191.62</v>
      </c>
    </row>
    <row r="1868" spans="1:11" ht="18" customHeight="1" x14ac:dyDescent="0.25">
      <c r="A1868" s="7" t="s">
        <v>19</v>
      </c>
      <c r="B1868" s="7">
        <v>2022</v>
      </c>
      <c r="C1868" s="7" t="s">
        <v>68</v>
      </c>
      <c r="D1868" s="7" t="s">
        <v>72</v>
      </c>
      <c r="E1868" s="7" t="s">
        <v>22</v>
      </c>
      <c r="F1868" s="7" t="s">
        <v>23</v>
      </c>
      <c r="G1868" s="7" t="s">
        <v>24</v>
      </c>
      <c r="H1868" s="7" t="s">
        <v>25</v>
      </c>
      <c r="I1868" s="7" t="s">
        <v>35</v>
      </c>
      <c r="J1868" s="7">
        <v>128</v>
      </c>
      <c r="K1868" s="7">
        <v>183.04</v>
      </c>
    </row>
    <row r="1869" spans="1:11" ht="18" customHeight="1" x14ac:dyDescent="0.25">
      <c r="A1869" s="7" t="s">
        <v>34</v>
      </c>
      <c r="B1869" s="7">
        <v>2022</v>
      </c>
      <c r="C1869" s="7" t="s">
        <v>68</v>
      </c>
      <c r="D1869" s="7" t="s">
        <v>72</v>
      </c>
      <c r="E1869" s="7" t="s">
        <v>22</v>
      </c>
      <c r="F1869" s="7" t="s">
        <v>23</v>
      </c>
      <c r="G1869" s="7" t="s">
        <v>24</v>
      </c>
      <c r="H1869" s="7" t="s">
        <v>25</v>
      </c>
      <c r="I1869" s="7" t="s">
        <v>26</v>
      </c>
      <c r="J1869" s="7">
        <v>230</v>
      </c>
      <c r="K1869" s="7">
        <v>328.9</v>
      </c>
    </row>
    <row r="1870" spans="1:11" ht="18" customHeight="1" x14ac:dyDescent="0.25">
      <c r="A1870" s="7" t="s">
        <v>34</v>
      </c>
      <c r="B1870" s="7">
        <v>2022</v>
      </c>
      <c r="C1870" s="7" t="s">
        <v>68</v>
      </c>
      <c r="D1870" s="7" t="s">
        <v>72</v>
      </c>
      <c r="E1870" s="7" t="s">
        <v>22</v>
      </c>
      <c r="F1870" s="7" t="s">
        <v>23</v>
      </c>
      <c r="G1870" s="7" t="s">
        <v>24</v>
      </c>
      <c r="H1870" s="7" t="s">
        <v>25</v>
      </c>
      <c r="I1870" s="7" t="s">
        <v>26</v>
      </c>
      <c r="J1870" s="7">
        <v>136</v>
      </c>
      <c r="K1870" s="7">
        <v>194.48</v>
      </c>
    </row>
    <row r="1871" spans="1:11" ht="18" customHeight="1" x14ac:dyDescent="0.25">
      <c r="A1871" s="7" t="s">
        <v>19</v>
      </c>
      <c r="B1871" s="7">
        <v>2022</v>
      </c>
      <c r="C1871" s="7" t="s">
        <v>68</v>
      </c>
      <c r="D1871" s="7" t="s">
        <v>72</v>
      </c>
      <c r="E1871" s="7" t="s">
        <v>22</v>
      </c>
      <c r="F1871" s="7" t="s">
        <v>23</v>
      </c>
      <c r="G1871" s="7" t="s">
        <v>24</v>
      </c>
      <c r="H1871" s="7" t="s">
        <v>25</v>
      </c>
      <c r="I1871" s="7" t="s">
        <v>26</v>
      </c>
      <c r="J1871" s="7">
        <v>130</v>
      </c>
      <c r="K1871" s="7">
        <v>185.9</v>
      </c>
    </row>
    <row r="1872" spans="1:11" ht="18" customHeight="1" x14ac:dyDescent="0.25">
      <c r="A1872" s="7" t="s">
        <v>42</v>
      </c>
      <c r="B1872" s="7">
        <v>2022</v>
      </c>
      <c r="C1872" s="7" t="s">
        <v>68</v>
      </c>
      <c r="D1872" s="7" t="s">
        <v>72</v>
      </c>
      <c r="E1872" s="7" t="s">
        <v>22</v>
      </c>
      <c r="F1872" s="7" t="s">
        <v>23</v>
      </c>
      <c r="G1872" s="7" t="s">
        <v>24</v>
      </c>
      <c r="H1872" s="7" t="s">
        <v>25</v>
      </c>
      <c r="I1872" s="7" t="s">
        <v>26</v>
      </c>
      <c r="J1872" s="7">
        <v>370</v>
      </c>
      <c r="K1872" s="7">
        <v>529.1</v>
      </c>
    </row>
    <row r="1873" spans="1:11" ht="18" customHeight="1" x14ac:dyDescent="0.25">
      <c r="A1873" s="7" t="s">
        <v>34</v>
      </c>
      <c r="B1873" s="7">
        <v>2022</v>
      </c>
      <c r="C1873" s="7" t="s">
        <v>68</v>
      </c>
      <c r="D1873" s="7" t="s">
        <v>72</v>
      </c>
      <c r="E1873" s="7" t="s">
        <v>22</v>
      </c>
      <c r="F1873" s="7" t="s">
        <v>23</v>
      </c>
      <c r="G1873" s="7" t="s">
        <v>24</v>
      </c>
      <c r="H1873" s="7" t="s">
        <v>25</v>
      </c>
      <c r="I1873" s="7" t="s">
        <v>26</v>
      </c>
      <c r="J1873" s="7">
        <v>184</v>
      </c>
      <c r="K1873" s="7">
        <v>526.24</v>
      </c>
    </row>
    <row r="1874" spans="1:11" ht="18" customHeight="1" x14ac:dyDescent="0.25">
      <c r="A1874" s="7" t="s">
        <v>34</v>
      </c>
      <c r="B1874" s="7">
        <v>2022</v>
      </c>
      <c r="C1874" s="7" t="s">
        <v>68</v>
      </c>
      <c r="D1874" s="7" t="s">
        <v>72</v>
      </c>
      <c r="E1874" s="7" t="s">
        <v>22</v>
      </c>
      <c r="F1874" s="7" t="s">
        <v>23</v>
      </c>
      <c r="G1874" s="7" t="s">
        <v>24</v>
      </c>
      <c r="H1874" s="7" t="s">
        <v>25</v>
      </c>
      <c r="I1874" s="7" t="s">
        <v>26</v>
      </c>
      <c r="J1874" s="7">
        <v>232</v>
      </c>
      <c r="K1874" s="7">
        <v>526.24</v>
      </c>
    </row>
    <row r="1875" spans="1:11" ht="18" customHeight="1" x14ac:dyDescent="0.25">
      <c r="A1875" s="7" t="s">
        <v>42</v>
      </c>
      <c r="B1875" s="7">
        <v>2022</v>
      </c>
      <c r="C1875" s="7" t="s">
        <v>68</v>
      </c>
      <c r="D1875" s="7" t="s">
        <v>72</v>
      </c>
      <c r="E1875" s="7" t="s">
        <v>22</v>
      </c>
      <c r="F1875" s="7" t="s">
        <v>23</v>
      </c>
      <c r="G1875" s="7" t="s">
        <v>24</v>
      </c>
      <c r="H1875" s="7" t="s">
        <v>25</v>
      </c>
      <c r="I1875" s="7" t="s">
        <v>26</v>
      </c>
      <c r="J1875" s="7">
        <v>1013</v>
      </c>
      <c r="K1875" s="7">
        <v>1448.59</v>
      </c>
    </row>
    <row r="1876" spans="1:11" ht="18" customHeight="1" x14ac:dyDescent="0.25">
      <c r="A1876" s="7" t="s">
        <v>53</v>
      </c>
      <c r="B1876" s="7">
        <v>2022</v>
      </c>
      <c r="C1876" s="7" t="s">
        <v>68</v>
      </c>
      <c r="D1876" s="7" t="s">
        <v>72</v>
      </c>
      <c r="E1876" s="7" t="s">
        <v>22</v>
      </c>
      <c r="F1876" s="7" t="s">
        <v>23</v>
      </c>
      <c r="G1876" s="7" t="s">
        <v>24</v>
      </c>
      <c r="H1876" s="7" t="s">
        <v>25</v>
      </c>
      <c r="I1876" s="7" t="s">
        <v>26</v>
      </c>
      <c r="J1876" s="7">
        <v>234</v>
      </c>
      <c r="K1876" s="7">
        <v>334.62</v>
      </c>
    </row>
    <row r="1877" spans="1:11" ht="18" customHeight="1" x14ac:dyDescent="0.25">
      <c r="A1877" s="7" t="s">
        <v>42</v>
      </c>
      <c r="B1877" s="7">
        <v>2022</v>
      </c>
      <c r="C1877" s="7" t="s">
        <v>68</v>
      </c>
      <c r="D1877" s="7" t="s">
        <v>72</v>
      </c>
      <c r="E1877" s="7" t="s">
        <v>22</v>
      </c>
      <c r="F1877" s="7" t="s">
        <v>23</v>
      </c>
      <c r="G1877" s="7" t="s">
        <v>24</v>
      </c>
      <c r="H1877" s="7" t="s">
        <v>25</v>
      </c>
      <c r="I1877" s="7" t="s">
        <v>26</v>
      </c>
      <c r="J1877" s="7">
        <v>183</v>
      </c>
      <c r="K1877" s="7">
        <v>261.69</v>
      </c>
    </row>
    <row r="1878" spans="1:11" ht="18" customHeight="1" x14ac:dyDescent="0.25">
      <c r="A1878" s="7" t="s">
        <v>34</v>
      </c>
      <c r="B1878" s="7">
        <v>2022</v>
      </c>
      <c r="C1878" s="7" t="s">
        <v>68</v>
      </c>
      <c r="D1878" s="7" t="s">
        <v>72</v>
      </c>
      <c r="E1878" s="7" t="s">
        <v>22</v>
      </c>
      <c r="F1878" s="7" t="s">
        <v>23</v>
      </c>
      <c r="G1878" s="7" t="s">
        <v>24</v>
      </c>
      <c r="H1878" s="7" t="s">
        <v>25</v>
      </c>
      <c r="I1878" s="7" t="s">
        <v>26</v>
      </c>
      <c r="J1878" s="7">
        <v>231</v>
      </c>
      <c r="K1878" s="7">
        <v>330.33</v>
      </c>
    </row>
    <row r="1879" spans="1:11" ht="18" customHeight="1" x14ac:dyDescent="0.25">
      <c r="A1879" s="7" t="s">
        <v>42</v>
      </c>
      <c r="B1879" s="7">
        <v>2022</v>
      </c>
      <c r="C1879" s="7" t="s">
        <v>68</v>
      </c>
      <c r="D1879" s="7" t="s">
        <v>72</v>
      </c>
      <c r="E1879" s="7" t="s">
        <v>22</v>
      </c>
      <c r="F1879" s="7" t="s">
        <v>23</v>
      </c>
      <c r="G1879" s="7" t="s">
        <v>24</v>
      </c>
      <c r="H1879" s="7" t="s">
        <v>25</v>
      </c>
      <c r="I1879" s="7" t="s">
        <v>26</v>
      </c>
      <c r="J1879" s="7">
        <v>133</v>
      </c>
      <c r="K1879" s="7">
        <v>190.19</v>
      </c>
    </row>
    <row r="1880" spans="1:11" ht="18" customHeight="1" x14ac:dyDescent="0.25">
      <c r="A1880" s="7" t="s">
        <v>34</v>
      </c>
      <c r="B1880" s="7">
        <v>2022</v>
      </c>
      <c r="C1880" s="7" t="s">
        <v>68</v>
      </c>
      <c r="D1880" s="7" t="s">
        <v>72</v>
      </c>
      <c r="E1880" s="7" t="s">
        <v>22</v>
      </c>
      <c r="F1880" s="7" t="s">
        <v>23</v>
      </c>
      <c r="G1880" s="7" t="s">
        <v>24</v>
      </c>
      <c r="H1880" s="7" t="s">
        <v>25</v>
      </c>
      <c r="I1880" s="7" t="s">
        <v>26</v>
      </c>
      <c r="J1880" s="7">
        <v>127</v>
      </c>
      <c r="K1880" s="7">
        <v>181.61</v>
      </c>
    </row>
    <row r="1881" spans="1:11" ht="18" customHeight="1" x14ac:dyDescent="0.25">
      <c r="A1881" s="7" t="s">
        <v>34</v>
      </c>
      <c r="B1881" s="7">
        <v>2022</v>
      </c>
      <c r="C1881" s="7" t="s">
        <v>68</v>
      </c>
      <c r="D1881" s="7" t="s">
        <v>72</v>
      </c>
      <c r="E1881" s="7" t="s">
        <v>22</v>
      </c>
      <c r="F1881" s="7" t="s">
        <v>23</v>
      </c>
      <c r="G1881" s="7" t="s">
        <v>24</v>
      </c>
      <c r="H1881" s="7" t="s">
        <v>25</v>
      </c>
      <c r="I1881" s="7" t="s">
        <v>26</v>
      </c>
      <c r="J1881" s="7">
        <v>794</v>
      </c>
      <c r="K1881" s="7">
        <v>1135.42</v>
      </c>
    </row>
    <row r="1882" spans="1:11" ht="18" customHeight="1" x14ac:dyDescent="0.25">
      <c r="A1882" s="7" t="s">
        <v>34</v>
      </c>
      <c r="B1882" s="7">
        <v>2022</v>
      </c>
      <c r="C1882" s="7" t="s">
        <v>68</v>
      </c>
      <c r="D1882" s="7" t="s">
        <v>72</v>
      </c>
      <c r="E1882" s="7" t="s">
        <v>22</v>
      </c>
      <c r="F1882" s="7" t="s">
        <v>23</v>
      </c>
      <c r="G1882" s="7" t="s">
        <v>24</v>
      </c>
      <c r="H1882" s="7" t="s">
        <v>25</v>
      </c>
      <c r="I1882" s="7" t="s">
        <v>35</v>
      </c>
      <c r="J1882" s="7">
        <v>137</v>
      </c>
      <c r="K1882" s="7">
        <v>195.91</v>
      </c>
    </row>
    <row r="1883" spans="1:11" ht="18" customHeight="1" x14ac:dyDescent="0.25">
      <c r="A1883" s="7" t="s">
        <v>19</v>
      </c>
      <c r="B1883" s="7">
        <v>2022</v>
      </c>
      <c r="C1883" s="7" t="s">
        <v>68</v>
      </c>
      <c r="D1883" s="7" t="s">
        <v>72</v>
      </c>
      <c r="E1883" s="7" t="s">
        <v>22</v>
      </c>
      <c r="F1883" s="7" t="s">
        <v>23</v>
      </c>
      <c r="G1883" s="7" t="s">
        <v>24</v>
      </c>
      <c r="H1883" s="7" t="s">
        <v>25</v>
      </c>
      <c r="I1883" s="7" t="s">
        <v>35</v>
      </c>
      <c r="J1883" s="7">
        <v>131</v>
      </c>
      <c r="K1883" s="7">
        <v>187.32999999999998</v>
      </c>
    </row>
    <row r="1884" spans="1:11" ht="18" customHeight="1" x14ac:dyDescent="0.25">
      <c r="A1884" s="7" t="s">
        <v>19</v>
      </c>
      <c r="B1884" s="7">
        <v>2022</v>
      </c>
      <c r="C1884" s="7" t="s">
        <v>68</v>
      </c>
      <c r="D1884" s="7" t="s">
        <v>72</v>
      </c>
      <c r="E1884" s="7" t="s">
        <v>22</v>
      </c>
      <c r="F1884" s="7" t="s">
        <v>23</v>
      </c>
      <c r="G1884" s="7" t="s">
        <v>24</v>
      </c>
      <c r="H1884" s="7" t="s">
        <v>25</v>
      </c>
      <c r="I1884" s="7" t="s">
        <v>35</v>
      </c>
      <c r="J1884" s="7">
        <v>371</v>
      </c>
      <c r="K1884" s="7">
        <v>530.53</v>
      </c>
    </row>
    <row r="1885" spans="1:11" ht="18" customHeight="1" x14ac:dyDescent="0.25">
      <c r="A1885" s="7" t="s">
        <v>19</v>
      </c>
      <c r="B1885" s="7">
        <v>2022</v>
      </c>
      <c r="C1885" s="7" t="s">
        <v>68</v>
      </c>
      <c r="D1885" s="7" t="s">
        <v>72</v>
      </c>
      <c r="E1885" s="7" t="s">
        <v>22</v>
      </c>
      <c r="F1885" s="7" t="s">
        <v>23</v>
      </c>
      <c r="G1885" s="7" t="s">
        <v>24</v>
      </c>
      <c r="H1885" s="7" t="s">
        <v>25</v>
      </c>
      <c r="I1885" s="7" t="s">
        <v>26</v>
      </c>
      <c r="J1885" s="7">
        <v>185</v>
      </c>
      <c r="K1885" s="7">
        <v>264.55</v>
      </c>
    </row>
    <row r="1886" spans="1:11" ht="18" customHeight="1" x14ac:dyDescent="0.25">
      <c r="A1886" s="7" t="s">
        <v>34</v>
      </c>
      <c r="B1886" s="7">
        <v>2022</v>
      </c>
      <c r="C1886" s="7" t="s">
        <v>68</v>
      </c>
      <c r="D1886" s="7" t="s">
        <v>72</v>
      </c>
      <c r="E1886" s="7" t="s">
        <v>22</v>
      </c>
      <c r="F1886" s="7" t="s">
        <v>23</v>
      </c>
      <c r="G1886" s="7" t="s">
        <v>24</v>
      </c>
      <c r="H1886" s="7" t="s">
        <v>25</v>
      </c>
      <c r="I1886" s="7" t="s">
        <v>26</v>
      </c>
      <c r="J1886" s="7">
        <v>233</v>
      </c>
      <c r="K1886" s="7">
        <v>333.19</v>
      </c>
    </row>
    <row r="1887" spans="1:11" ht="18" customHeight="1" x14ac:dyDescent="0.25">
      <c r="A1887" s="7" t="s">
        <v>34</v>
      </c>
      <c r="B1887" s="7">
        <v>2022</v>
      </c>
      <c r="C1887" s="7" t="s">
        <v>67</v>
      </c>
      <c r="D1887" s="7" t="s">
        <v>72</v>
      </c>
      <c r="E1887" s="7" t="s">
        <v>22</v>
      </c>
      <c r="F1887" s="7" t="s">
        <v>23</v>
      </c>
      <c r="G1887" s="7" t="s">
        <v>24</v>
      </c>
      <c r="H1887" s="7" t="s">
        <v>25</v>
      </c>
      <c r="I1887" s="7" t="s">
        <v>35</v>
      </c>
      <c r="J1887" s="7">
        <v>152</v>
      </c>
      <c r="K1887" s="7">
        <v>217.36</v>
      </c>
    </row>
    <row r="1888" spans="1:11" ht="18" customHeight="1" x14ac:dyDescent="0.25">
      <c r="A1888" s="7" t="s">
        <v>34</v>
      </c>
      <c r="B1888" s="7">
        <v>2022</v>
      </c>
      <c r="C1888" s="7" t="s">
        <v>67</v>
      </c>
      <c r="D1888" s="7" t="s">
        <v>72</v>
      </c>
      <c r="E1888" s="7" t="s">
        <v>22</v>
      </c>
      <c r="F1888" s="7" t="s">
        <v>23</v>
      </c>
      <c r="G1888" s="7" t="s">
        <v>24</v>
      </c>
      <c r="H1888" s="7" t="s">
        <v>25</v>
      </c>
      <c r="I1888" s="7" t="s">
        <v>35</v>
      </c>
      <c r="J1888" s="7">
        <v>146</v>
      </c>
      <c r="K1888" s="7">
        <v>208.78</v>
      </c>
    </row>
    <row r="1889" spans="1:11" ht="18" customHeight="1" x14ac:dyDescent="0.25">
      <c r="A1889" s="7" t="s">
        <v>34</v>
      </c>
      <c r="B1889" s="7">
        <v>2022</v>
      </c>
      <c r="C1889" s="7" t="s">
        <v>67</v>
      </c>
      <c r="D1889" s="7" t="s">
        <v>72</v>
      </c>
      <c r="E1889" s="7" t="s">
        <v>22</v>
      </c>
      <c r="F1889" s="7" t="s">
        <v>23</v>
      </c>
      <c r="G1889" s="7" t="s">
        <v>24</v>
      </c>
      <c r="H1889" s="7" t="s">
        <v>25</v>
      </c>
      <c r="I1889" s="7" t="s">
        <v>35</v>
      </c>
      <c r="J1889" s="7">
        <v>140</v>
      </c>
      <c r="K1889" s="7">
        <v>200.2</v>
      </c>
    </row>
    <row r="1890" spans="1:11" ht="18" customHeight="1" x14ac:dyDescent="0.25">
      <c r="A1890" s="7" t="s">
        <v>61</v>
      </c>
      <c r="B1890" s="7">
        <v>2022</v>
      </c>
      <c r="C1890" s="7" t="s">
        <v>67</v>
      </c>
      <c r="D1890" s="7" t="s">
        <v>72</v>
      </c>
      <c r="E1890" s="7" t="s">
        <v>22</v>
      </c>
      <c r="F1890" s="7" t="s">
        <v>23</v>
      </c>
      <c r="G1890" s="7" t="s">
        <v>24</v>
      </c>
      <c r="H1890" s="7" t="s">
        <v>25</v>
      </c>
      <c r="I1890" s="7" t="s">
        <v>26</v>
      </c>
      <c r="J1890" s="7">
        <v>188</v>
      </c>
      <c r="K1890" s="7">
        <v>268.84000000000003</v>
      </c>
    </row>
    <row r="1891" spans="1:11" ht="18" customHeight="1" x14ac:dyDescent="0.25">
      <c r="A1891" s="7" t="s">
        <v>19</v>
      </c>
      <c r="B1891" s="7">
        <v>2022</v>
      </c>
      <c r="C1891" s="7" t="s">
        <v>67</v>
      </c>
      <c r="D1891" s="7" t="s">
        <v>72</v>
      </c>
      <c r="E1891" s="7" t="s">
        <v>22</v>
      </c>
      <c r="F1891" s="7" t="s">
        <v>23</v>
      </c>
      <c r="G1891" s="7" t="s">
        <v>24</v>
      </c>
      <c r="H1891" s="7" t="s">
        <v>25</v>
      </c>
      <c r="I1891" s="7" t="s">
        <v>26</v>
      </c>
      <c r="J1891" s="7">
        <v>236</v>
      </c>
      <c r="K1891" s="7">
        <v>337.48</v>
      </c>
    </row>
    <row r="1892" spans="1:11" ht="18" customHeight="1" x14ac:dyDescent="0.25">
      <c r="A1892" s="7" t="s">
        <v>34</v>
      </c>
      <c r="B1892" s="7">
        <v>2022</v>
      </c>
      <c r="C1892" s="7" t="s">
        <v>67</v>
      </c>
      <c r="D1892" s="7" t="s">
        <v>72</v>
      </c>
      <c r="E1892" s="7" t="s">
        <v>22</v>
      </c>
      <c r="F1892" s="7" t="s">
        <v>23</v>
      </c>
      <c r="G1892" s="7" t="s">
        <v>24</v>
      </c>
      <c r="H1892" s="7" t="s">
        <v>25</v>
      </c>
      <c r="I1892" s="7" t="s">
        <v>26</v>
      </c>
      <c r="J1892" s="7">
        <v>154</v>
      </c>
      <c r="K1892" s="7">
        <v>220.22</v>
      </c>
    </row>
    <row r="1893" spans="1:11" ht="18" customHeight="1" x14ac:dyDescent="0.25">
      <c r="A1893" s="7" t="s">
        <v>19</v>
      </c>
      <c r="B1893" s="7">
        <v>2022</v>
      </c>
      <c r="C1893" s="7" t="s">
        <v>67</v>
      </c>
      <c r="D1893" s="7" t="s">
        <v>72</v>
      </c>
      <c r="E1893" s="7" t="s">
        <v>22</v>
      </c>
      <c r="F1893" s="7" t="s">
        <v>23</v>
      </c>
      <c r="G1893" s="7" t="s">
        <v>24</v>
      </c>
      <c r="H1893" s="7" t="s">
        <v>25</v>
      </c>
      <c r="I1893" s="7" t="s">
        <v>26</v>
      </c>
      <c r="J1893" s="7">
        <v>148</v>
      </c>
      <c r="K1893" s="7">
        <v>211.64</v>
      </c>
    </row>
    <row r="1894" spans="1:11" ht="18" customHeight="1" x14ac:dyDescent="0.25">
      <c r="A1894" s="7" t="s">
        <v>42</v>
      </c>
      <c r="B1894" s="7">
        <v>2022</v>
      </c>
      <c r="C1894" s="7" t="s">
        <v>67</v>
      </c>
      <c r="D1894" s="7" t="s">
        <v>72</v>
      </c>
      <c r="E1894" s="7" t="s">
        <v>22</v>
      </c>
      <c r="F1894" s="7" t="s">
        <v>23</v>
      </c>
      <c r="G1894" s="7" t="s">
        <v>24</v>
      </c>
      <c r="H1894" s="7" t="s">
        <v>25</v>
      </c>
      <c r="I1894" s="7" t="s">
        <v>26</v>
      </c>
      <c r="J1894" s="7">
        <v>142</v>
      </c>
      <c r="K1894" s="7">
        <v>203.06</v>
      </c>
    </row>
    <row r="1895" spans="1:11" ht="18" customHeight="1" x14ac:dyDescent="0.25">
      <c r="A1895" s="7" t="s">
        <v>19</v>
      </c>
      <c r="B1895" s="7">
        <v>2022</v>
      </c>
      <c r="C1895" s="7" t="s">
        <v>67</v>
      </c>
      <c r="D1895" s="7" t="s">
        <v>72</v>
      </c>
      <c r="E1895" s="7" t="s">
        <v>22</v>
      </c>
      <c r="F1895" s="7" t="s">
        <v>23</v>
      </c>
      <c r="G1895" s="7" t="s">
        <v>24</v>
      </c>
      <c r="H1895" s="7" t="s">
        <v>25</v>
      </c>
      <c r="I1895" s="7" t="s">
        <v>26</v>
      </c>
      <c r="J1895" s="7">
        <v>190</v>
      </c>
      <c r="K1895" s="7">
        <v>526.24</v>
      </c>
    </row>
    <row r="1896" spans="1:11" ht="18" customHeight="1" x14ac:dyDescent="0.25">
      <c r="A1896" s="7" t="s">
        <v>53</v>
      </c>
      <c r="B1896" s="7">
        <v>2022</v>
      </c>
      <c r="C1896" s="7" t="s">
        <v>67</v>
      </c>
      <c r="D1896" s="7" t="s">
        <v>72</v>
      </c>
      <c r="E1896" s="7" t="s">
        <v>22</v>
      </c>
      <c r="F1896" s="7" t="s">
        <v>23</v>
      </c>
      <c r="G1896" s="7" t="s">
        <v>24</v>
      </c>
      <c r="H1896" s="7" t="s">
        <v>25</v>
      </c>
      <c r="I1896" s="7" t="s">
        <v>26</v>
      </c>
      <c r="J1896" s="7">
        <v>238</v>
      </c>
      <c r="K1896" s="7">
        <v>526.24</v>
      </c>
    </row>
    <row r="1897" spans="1:11" ht="18" customHeight="1" x14ac:dyDescent="0.25">
      <c r="A1897" s="7" t="s">
        <v>42</v>
      </c>
      <c r="B1897" s="7">
        <v>2022</v>
      </c>
      <c r="C1897" s="7" t="s">
        <v>67</v>
      </c>
      <c r="D1897" s="7" t="s">
        <v>72</v>
      </c>
      <c r="E1897" s="7" t="s">
        <v>22</v>
      </c>
      <c r="F1897" s="7" t="s">
        <v>23</v>
      </c>
      <c r="G1897" s="7" t="s">
        <v>24</v>
      </c>
      <c r="H1897" s="7" t="s">
        <v>25</v>
      </c>
      <c r="I1897" s="7" t="s">
        <v>26</v>
      </c>
      <c r="J1897" s="7">
        <v>1012</v>
      </c>
      <c r="K1897" s="7">
        <v>1447.1599999999999</v>
      </c>
    </row>
    <row r="1898" spans="1:11" ht="18" customHeight="1" x14ac:dyDescent="0.25">
      <c r="A1898" s="7" t="s">
        <v>42</v>
      </c>
      <c r="B1898" s="7">
        <v>2022</v>
      </c>
      <c r="C1898" s="7" t="s">
        <v>67</v>
      </c>
      <c r="D1898" s="7" t="s">
        <v>72</v>
      </c>
      <c r="E1898" s="7" t="s">
        <v>22</v>
      </c>
      <c r="F1898" s="7" t="s">
        <v>23</v>
      </c>
      <c r="G1898" s="7" t="s">
        <v>24</v>
      </c>
      <c r="H1898" s="7" t="s">
        <v>25</v>
      </c>
      <c r="I1898" s="7" t="s">
        <v>26</v>
      </c>
      <c r="J1898" s="7">
        <v>189</v>
      </c>
      <c r="K1898" s="7">
        <v>270.27</v>
      </c>
    </row>
    <row r="1899" spans="1:11" ht="18" customHeight="1" x14ac:dyDescent="0.25">
      <c r="A1899" s="7" t="s">
        <v>34</v>
      </c>
      <c r="B1899" s="7">
        <v>2022</v>
      </c>
      <c r="C1899" s="7" t="s">
        <v>67</v>
      </c>
      <c r="D1899" s="7" t="s">
        <v>72</v>
      </c>
      <c r="E1899" s="7" t="s">
        <v>22</v>
      </c>
      <c r="F1899" s="7" t="s">
        <v>23</v>
      </c>
      <c r="G1899" s="7" t="s">
        <v>24</v>
      </c>
      <c r="H1899" s="7" t="s">
        <v>25</v>
      </c>
      <c r="I1899" s="7" t="s">
        <v>26</v>
      </c>
      <c r="J1899" s="7">
        <v>237</v>
      </c>
      <c r="K1899" s="7">
        <v>338.90999999999997</v>
      </c>
    </row>
    <row r="1900" spans="1:11" ht="18" customHeight="1" x14ac:dyDescent="0.25">
      <c r="A1900" s="7" t="s">
        <v>42</v>
      </c>
      <c r="B1900" s="7">
        <v>2022</v>
      </c>
      <c r="C1900" s="7" t="s">
        <v>67</v>
      </c>
      <c r="D1900" s="7" t="s">
        <v>72</v>
      </c>
      <c r="E1900" s="7" t="s">
        <v>22</v>
      </c>
      <c r="F1900" s="7" t="s">
        <v>23</v>
      </c>
      <c r="G1900" s="7" t="s">
        <v>24</v>
      </c>
      <c r="H1900" s="7" t="s">
        <v>25</v>
      </c>
      <c r="I1900" s="7" t="s">
        <v>26</v>
      </c>
      <c r="J1900" s="7">
        <v>151</v>
      </c>
      <c r="K1900" s="7">
        <v>215.93</v>
      </c>
    </row>
    <row r="1901" spans="1:11" ht="18" customHeight="1" x14ac:dyDescent="0.25">
      <c r="A1901" s="7" t="s">
        <v>19</v>
      </c>
      <c r="B1901" s="7">
        <v>2022</v>
      </c>
      <c r="C1901" s="7" t="s">
        <v>67</v>
      </c>
      <c r="D1901" s="7" t="s">
        <v>72</v>
      </c>
      <c r="E1901" s="7" t="s">
        <v>22</v>
      </c>
      <c r="F1901" s="7" t="s">
        <v>23</v>
      </c>
      <c r="G1901" s="7" t="s">
        <v>24</v>
      </c>
      <c r="H1901" s="7" t="s">
        <v>25</v>
      </c>
      <c r="I1901" s="7" t="s">
        <v>26</v>
      </c>
      <c r="J1901" s="7">
        <v>145</v>
      </c>
      <c r="K1901" s="7">
        <v>207.35</v>
      </c>
    </row>
    <row r="1902" spans="1:11" ht="18" customHeight="1" x14ac:dyDescent="0.25">
      <c r="A1902" s="7" t="s">
        <v>61</v>
      </c>
      <c r="B1902" s="7">
        <v>2022</v>
      </c>
      <c r="C1902" s="7" t="s">
        <v>67</v>
      </c>
      <c r="D1902" s="7" t="s">
        <v>72</v>
      </c>
      <c r="E1902" s="7" t="s">
        <v>22</v>
      </c>
      <c r="F1902" s="7" t="s">
        <v>23</v>
      </c>
      <c r="G1902" s="7" t="s">
        <v>24</v>
      </c>
      <c r="H1902" s="7" t="s">
        <v>25</v>
      </c>
      <c r="I1902" s="7" t="s">
        <v>26</v>
      </c>
      <c r="J1902" s="7">
        <v>139</v>
      </c>
      <c r="K1902" s="7">
        <v>198.76999999999998</v>
      </c>
    </row>
    <row r="1903" spans="1:11" ht="18" customHeight="1" x14ac:dyDescent="0.25">
      <c r="A1903" s="7" t="s">
        <v>34</v>
      </c>
      <c r="B1903" s="7">
        <v>2022</v>
      </c>
      <c r="C1903" s="7" t="s">
        <v>67</v>
      </c>
      <c r="D1903" s="7" t="s">
        <v>72</v>
      </c>
      <c r="E1903" s="7" t="s">
        <v>22</v>
      </c>
      <c r="F1903" s="7" t="s">
        <v>23</v>
      </c>
      <c r="G1903" s="7" t="s">
        <v>24</v>
      </c>
      <c r="H1903" s="7" t="s">
        <v>25</v>
      </c>
      <c r="I1903" s="7" t="s">
        <v>26</v>
      </c>
      <c r="J1903" s="7">
        <v>793</v>
      </c>
      <c r="K1903" s="7">
        <v>1133.99</v>
      </c>
    </row>
    <row r="1904" spans="1:11" ht="18" customHeight="1" x14ac:dyDescent="0.25">
      <c r="A1904" s="7" t="s">
        <v>34</v>
      </c>
      <c r="B1904" s="7">
        <v>2022</v>
      </c>
      <c r="C1904" s="7" t="s">
        <v>67</v>
      </c>
      <c r="D1904" s="7" t="s">
        <v>72</v>
      </c>
      <c r="E1904" s="7" t="s">
        <v>22</v>
      </c>
      <c r="F1904" s="7" t="s">
        <v>23</v>
      </c>
      <c r="G1904" s="7" t="s">
        <v>24</v>
      </c>
      <c r="H1904" s="7" t="s">
        <v>25</v>
      </c>
      <c r="I1904" s="7" t="s">
        <v>26</v>
      </c>
      <c r="J1904" s="7">
        <v>827</v>
      </c>
      <c r="K1904" s="7">
        <v>1182.6100000000001</v>
      </c>
    </row>
    <row r="1905" spans="1:11" ht="18" customHeight="1" x14ac:dyDescent="0.25">
      <c r="A1905" s="7" t="s">
        <v>61</v>
      </c>
      <c r="B1905" s="7">
        <v>2022</v>
      </c>
      <c r="C1905" s="7" t="s">
        <v>67</v>
      </c>
      <c r="D1905" s="7" t="s">
        <v>72</v>
      </c>
      <c r="E1905" s="7" t="s">
        <v>22</v>
      </c>
      <c r="F1905" s="7" t="s">
        <v>23</v>
      </c>
      <c r="G1905" s="7" t="s">
        <v>24</v>
      </c>
      <c r="H1905" s="7" t="s">
        <v>25</v>
      </c>
      <c r="I1905" s="7" t="s">
        <v>35</v>
      </c>
      <c r="J1905" s="7">
        <v>149</v>
      </c>
      <c r="K1905" s="7">
        <v>213.07</v>
      </c>
    </row>
    <row r="1906" spans="1:11" ht="18" customHeight="1" x14ac:dyDescent="0.25">
      <c r="A1906" s="7" t="s">
        <v>19</v>
      </c>
      <c r="B1906" s="7">
        <v>2022</v>
      </c>
      <c r="C1906" s="7" t="s">
        <v>67</v>
      </c>
      <c r="D1906" s="7" t="s">
        <v>72</v>
      </c>
      <c r="E1906" s="7" t="s">
        <v>22</v>
      </c>
      <c r="F1906" s="7" t="s">
        <v>23</v>
      </c>
      <c r="G1906" s="7" t="s">
        <v>24</v>
      </c>
      <c r="H1906" s="7" t="s">
        <v>25</v>
      </c>
      <c r="I1906" s="7" t="s">
        <v>35</v>
      </c>
      <c r="J1906" s="7">
        <v>143</v>
      </c>
      <c r="K1906" s="7">
        <v>204.49</v>
      </c>
    </row>
    <row r="1907" spans="1:11" ht="18" customHeight="1" x14ac:dyDescent="0.25">
      <c r="A1907" s="7" t="s">
        <v>19</v>
      </c>
      <c r="B1907" s="7">
        <v>2022</v>
      </c>
      <c r="C1907" s="7" t="s">
        <v>67</v>
      </c>
      <c r="D1907" s="7" t="s">
        <v>72</v>
      </c>
      <c r="E1907" s="7" t="s">
        <v>22</v>
      </c>
      <c r="F1907" s="7" t="s">
        <v>23</v>
      </c>
      <c r="G1907" s="7" t="s">
        <v>24</v>
      </c>
      <c r="H1907" s="7" t="s">
        <v>25</v>
      </c>
      <c r="I1907" s="7" t="s">
        <v>26</v>
      </c>
      <c r="J1907" s="7">
        <v>191</v>
      </c>
      <c r="K1907" s="7">
        <v>273.13</v>
      </c>
    </row>
    <row r="1908" spans="1:11" ht="18" customHeight="1" x14ac:dyDescent="0.25">
      <c r="A1908" s="7" t="s">
        <v>34</v>
      </c>
      <c r="B1908" s="7">
        <v>2022</v>
      </c>
      <c r="C1908" s="7" t="s">
        <v>67</v>
      </c>
      <c r="D1908" s="7" t="s">
        <v>72</v>
      </c>
      <c r="E1908" s="7" t="s">
        <v>22</v>
      </c>
      <c r="F1908" s="7" t="s">
        <v>23</v>
      </c>
      <c r="G1908" s="7" t="s">
        <v>24</v>
      </c>
      <c r="H1908" s="7" t="s">
        <v>25</v>
      </c>
      <c r="I1908" s="7" t="s">
        <v>26</v>
      </c>
      <c r="J1908" s="7">
        <v>239</v>
      </c>
      <c r="K1908" s="7">
        <v>341.77</v>
      </c>
    </row>
    <row r="1909" spans="1:11" ht="18" customHeight="1" x14ac:dyDescent="0.25">
      <c r="A1909" s="7" t="s">
        <v>34</v>
      </c>
      <c r="B1909" s="7">
        <v>2022</v>
      </c>
      <c r="C1909" s="7" t="s">
        <v>62</v>
      </c>
      <c r="D1909" s="7" t="s">
        <v>72</v>
      </c>
      <c r="E1909" s="7" t="s">
        <v>22</v>
      </c>
      <c r="F1909" s="7" t="s">
        <v>23</v>
      </c>
      <c r="G1909" s="7" t="s">
        <v>24</v>
      </c>
      <c r="H1909" s="7" t="s">
        <v>25</v>
      </c>
      <c r="I1909" s="7" t="s">
        <v>35</v>
      </c>
      <c r="J1909" s="7">
        <v>200</v>
      </c>
      <c r="K1909" s="7">
        <v>286</v>
      </c>
    </row>
    <row r="1910" spans="1:11" ht="18" customHeight="1" x14ac:dyDescent="0.25">
      <c r="A1910" s="7" t="s">
        <v>34</v>
      </c>
      <c r="B1910" s="7">
        <v>2022</v>
      </c>
      <c r="C1910" s="7" t="s">
        <v>62</v>
      </c>
      <c r="D1910" s="7" t="s">
        <v>72</v>
      </c>
      <c r="E1910" s="7" t="s">
        <v>22</v>
      </c>
      <c r="F1910" s="7" t="s">
        <v>23</v>
      </c>
      <c r="G1910" s="7" t="s">
        <v>24</v>
      </c>
      <c r="H1910" s="7" t="s">
        <v>25</v>
      </c>
      <c r="I1910" s="7" t="s">
        <v>35</v>
      </c>
      <c r="J1910" s="7">
        <v>194</v>
      </c>
      <c r="K1910" s="7">
        <v>277.42</v>
      </c>
    </row>
    <row r="1911" spans="1:11" ht="18" customHeight="1" x14ac:dyDescent="0.25">
      <c r="A1911" s="7" t="s">
        <v>19</v>
      </c>
      <c r="B1911" s="7">
        <v>2022</v>
      </c>
      <c r="C1911" s="7" t="s">
        <v>62</v>
      </c>
      <c r="D1911" s="7" t="s">
        <v>72</v>
      </c>
      <c r="E1911" s="7" t="s">
        <v>22</v>
      </c>
      <c r="F1911" s="7" t="s">
        <v>23</v>
      </c>
      <c r="G1911" s="7" t="s">
        <v>24</v>
      </c>
      <c r="H1911" s="7" t="s">
        <v>25</v>
      </c>
      <c r="I1911" s="7" t="s">
        <v>35</v>
      </c>
      <c r="J1911" s="7">
        <v>188</v>
      </c>
      <c r="K1911" s="7">
        <v>268.84000000000003</v>
      </c>
    </row>
    <row r="1912" spans="1:11" ht="18" customHeight="1" x14ac:dyDescent="0.25">
      <c r="A1912" s="7" t="s">
        <v>34</v>
      </c>
      <c r="B1912" s="7">
        <v>2022</v>
      </c>
      <c r="C1912" s="7" t="s">
        <v>62</v>
      </c>
      <c r="D1912" s="7" t="s">
        <v>72</v>
      </c>
      <c r="E1912" s="7" t="s">
        <v>22</v>
      </c>
      <c r="F1912" s="7" t="s">
        <v>23</v>
      </c>
      <c r="G1912" s="7" t="s">
        <v>24</v>
      </c>
      <c r="H1912" s="7" t="s">
        <v>25</v>
      </c>
      <c r="I1912" s="7" t="s">
        <v>26</v>
      </c>
      <c r="J1912" s="7">
        <v>206</v>
      </c>
      <c r="K1912" s="7">
        <v>294.58</v>
      </c>
    </row>
    <row r="1913" spans="1:11" ht="18" customHeight="1" x14ac:dyDescent="0.25">
      <c r="A1913" s="7" t="s">
        <v>19</v>
      </c>
      <c r="B1913" s="7">
        <v>2022</v>
      </c>
      <c r="C1913" s="7" t="s">
        <v>62</v>
      </c>
      <c r="D1913" s="7" t="s">
        <v>72</v>
      </c>
      <c r="E1913" s="7" t="s">
        <v>22</v>
      </c>
      <c r="F1913" s="7" t="s">
        <v>23</v>
      </c>
      <c r="G1913" s="7" t="s">
        <v>24</v>
      </c>
      <c r="H1913" s="7" t="s">
        <v>25</v>
      </c>
      <c r="I1913" s="7" t="s">
        <v>26</v>
      </c>
      <c r="J1913" s="7">
        <v>254</v>
      </c>
      <c r="K1913" s="7">
        <v>363.22</v>
      </c>
    </row>
    <row r="1914" spans="1:11" ht="18" customHeight="1" x14ac:dyDescent="0.25">
      <c r="A1914" s="7" t="s">
        <v>53</v>
      </c>
      <c r="B1914" s="7">
        <v>2022</v>
      </c>
      <c r="C1914" s="7" t="s">
        <v>62</v>
      </c>
      <c r="D1914" s="7" t="s">
        <v>72</v>
      </c>
      <c r="E1914" s="7" t="s">
        <v>22</v>
      </c>
      <c r="F1914" s="7" t="s">
        <v>23</v>
      </c>
      <c r="G1914" s="7" t="s">
        <v>24</v>
      </c>
      <c r="H1914" s="7" t="s">
        <v>25</v>
      </c>
      <c r="I1914" s="7" t="s">
        <v>26</v>
      </c>
      <c r="J1914" s="7">
        <v>202</v>
      </c>
      <c r="K1914" s="7">
        <v>288.86</v>
      </c>
    </row>
    <row r="1915" spans="1:11" ht="18" customHeight="1" x14ac:dyDescent="0.25">
      <c r="A1915" s="7" t="s">
        <v>34</v>
      </c>
      <c r="B1915" s="7">
        <v>2022</v>
      </c>
      <c r="C1915" s="7" t="s">
        <v>62</v>
      </c>
      <c r="D1915" s="7" t="s">
        <v>72</v>
      </c>
      <c r="E1915" s="7" t="s">
        <v>22</v>
      </c>
      <c r="F1915" s="7" t="s">
        <v>23</v>
      </c>
      <c r="G1915" s="7" t="s">
        <v>24</v>
      </c>
      <c r="H1915" s="7" t="s">
        <v>25</v>
      </c>
      <c r="I1915" s="7" t="s">
        <v>26</v>
      </c>
      <c r="J1915" s="7">
        <v>196</v>
      </c>
      <c r="K1915" s="7">
        <v>280.27999999999997</v>
      </c>
    </row>
    <row r="1916" spans="1:11" ht="18" customHeight="1" x14ac:dyDescent="0.25">
      <c r="A1916" s="7" t="s">
        <v>34</v>
      </c>
      <c r="B1916" s="7">
        <v>2022</v>
      </c>
      <c r="C1916" s="7" t="s">
        <v>62</v>
      </c>
      <c r="D1916" s="7" t="s">
        <v>72</v>
      </c>
      <c r="E1916" s="7" t="s">
        <v>22</v>
      </c>
      <c r="F1916" s="7" t="s">
        <v>23</v>
      </c>
      <c r="G1916" s="7" t="s">
        <v>24</v>
      </c>
      <c r="H1916" s="7" t="s">
        <v>25</v>
      </c>
      <c r="I1916" s="7" t="s">
        <v>26</v>
      </c>
      <c r="J1916" s="7">
        <v>190</v>
      </c>
      <c r="K1916" s="7">
        <v>271.7</v>
      </c>
    </row>
    <row r="1917" spans="1:11" ht="18" customHeight="1" x14ac:dyDescent="0.25">
      <c r="A1917" s="7" t="s">
        <v>19</v>
      </c>
      <c r="B1917" s="7">
        <v>2022</v>
      </c>
      <c r="C1917" s="7" t="s">
        <v>62</v>
      </c>
      <c r="D1917" s="7" t="s">
        <v>72</v>
      </c>
      <c r="E1917" s="7" t="s">
        <v>22</v>
      </c>
      <c r="F1917" s="7" t="s">
        <v>23</v>
      </c>
      <c r="G1917" s="7" t="s">
        <v>24</v>
      </c>
      <c r="H1917" s="7" t="s">
        <v>25</v>
      </c>
      <c r="I1917" s="7" t="s">
        <v>26</v>
      </c>
      <c r="J1917" s="7">
        <v>208</v>
      </c>
      <c r="K1917" s="7">
        <v>526.24</v>
      </c>
    </row>
    <row r="1918" spans="1:11" ht="18" customHeight="1" x14ac:dyDescent="0.25">
      <c r="A1918" s="7" t="s">
        <v>34</v>
      </c>
      <c r="B1918" s="7">
        <v>2022</v>
      </c>
      <c r="C1918" s="7" t="s">
        <v>62</v>
      </c>
      <c r="D1918" s="7" t="s">
        <v>72</v>
      </c>
      <c r="E1918" s="7" t="s">
        <v>22</v>
      </c>
      <c r="F1918" s="7" t="s">
        <v>23</v>
      </c>
      <c r="G1918" s="7" t="s">
        <v>24</v>
      </c>
      <c r="H1918" s="7" t="s">
        <v>25</v>
      </c>
      <c r="I1918" s="7" t="s">
        <v>26</v>
      </c>
      <c r="J1918" s="7">
        <v>1010</v>
      </c>
      <c r="K1918" s="7">
        <v>1444.3</v>
      </c>
    </row>
    <row r="1919" spans="1:11" ht="18" customHeight="1" x14ac:dyDescent="0.25">
      <c r="A1919" s="7" t="s">
        <v>19</v>
      </c>
      <c r="B1919" s="7">
        <v>2022</v>
      </c>
      <c r="C1919" s="7" t="s">
        <v>62</v>
      </c>
      <c r="D1919" s="7" t="s">
        <v>72</v>
      </c>
      <c r="E1919" s="7" t="s">
        <v>22</v>
      </c>
      <c r="F1919" s="7" t="s">
        <v>23</v>
      </c>
      <c r="G1919" s="7" t="s">
        <v>24</v>
      </c>
      <c r="H1919" s="7" t="s">
        <v>25</v>
      </c>
      <c r="I1919" s="7" t="s">
        <v>26</v>
      </c>
      <c r="J1919" s="7">
        <v>252</v>
      </c>
      <c r="K1919" s="7">
        <v>360.36</v>
      </c>
    </row>
    <row r="1920" spans="1:11" ht="18" customHeight="1" x14ac:dyDescent="0.25">
      <c r="A1920" s="7" t="s">
        <v>34</v>
      </c>
      <c r="B1920" s="7">
        <v>2022</v>
      </c>
      <c r="C1920" s="7" t="s">
        <v>62</v>
      </c>
      <c r="D1920" s="7" t="s">
        <v>72</v>
      </c>
      <c r="E1920" s="7" t="s">
        <v>22</v>
      </c>
      <c r="F1920" s="7" t="s">
        <v>23</v>
      </c>
      <c r="G1920" s="7" t="s">
        <v>24</v>
      </c>
      <c r="H1920" s="7" t="s">
        <v>25</v>
      </c>
      <c r="I1920" s="7" t="s">
        <v>26</v>
      </c>
      <c r="J1920" s="7">
        <v>207</v>
      </c>
      <c r="K1920" s="7">
        <v>296.01</v>
      </c>
    </row>
    <row r="1921" spans="1:11" ht="18" customHeight="1" x14ac:dyDescent="0.25">
      <c r="A1921" s="7" t="s">
        <v>19</v>
      </c>
      <c r="B1921" s="7">
        <v>2022</v>
      </c>
      <c r="C1921" s="7" t="s">
        <v>62</v>
      </c>
      <c r="D1921" s="7" t="s">
        <v>72</v>
      </c>
      <c r="E1921" s="7" t="s">
        <v>22</v>
      </c>
      <c r="F1921" s="7" t="s">
        <v>23</v>
      </c>
      <c r="G1921" s="7" t="s">
        <v>24</v>
      </c>
      <c r="H1921" s="7" t="s">
        <v>25</v>
      </c>
      <c r="I1921" s="7" t="s">
        <v>26</v>
      </c>
      <c r="J1921" s="7">
        <v>255</v>
      </c>
      <c r="K1921" s="7">
        <v>364.65</v>
      </c>
    </row>
    <row r="1922" spans="1:11" ht="18" customHeight="1" x14ac:dyDescent="0.25">
      <c r="A1922" s="7" t="s">
        <v>19</v>
      </c>
      <c r="B1922" s="7">
        <v>2022</v>
      </c>
      <c r="C1922" s="7" t="s">
        <v>62</v>
      </c>
      <c r="D1922" s="7" t="s">
        <v>72</v>
      </c>
      <c r="E1922" s="7" t="s">
        <v>22</v>
      </c>
      <c r="F1922" s="7" t="s">
        <v>23</v>
      </c>
      <c r="G1922" s="7" t="s">
        <v>24</v>
      </c>
      <c r="H1922" s="7" t="s">
        <v>25</v>
      </c>
      <c r="I1922" s="7" t="s">
        <v>26</v>
      </c>
      <c r="J1922" s="7">
        <v>199</v>
      </c>
      <c r="K1922" s="7">
        <v>284.57</v>
      </c>
    </row>
    <row r="1923" spans="1:11" ht="18" customHeight="1" x14ac:dyDescent="0.25">
      <c r="A1923" s="7" t="s">
        <v>34</v>
      </c>
      <c r="B1923" s="7">
        <v>2022</v>
      </c>
      <c r="C1923" s="7" t="s">
        <v>62</v>
      </c>
      <c r="D1923" s="7" t="s">
        <v>72</v>
      </c>
      <c r="E1923" s="7" t="s">
        <v>22</v>
      </c>
      <c r="F1923" s="7" t="s">
        <v>23</v>
      </c>
      <c r="G1923" s="7" t="s">
        <v>24</v>
      </c>
      <c r="H1923" s="7" t="s">
        <v>25</v>
      </c>
      <c r="I1923" s="7" t="s">
        <v>26</v>
      </c>
      <c r="J1923" s="7">
        <v>193</v>
      </c>
      <c r="K1923" s="7">
        <v>275.99</v>
      </c>
    </row>
    <row r="1924" spans="1:11" ht="18" customHeight="1" x14ac:dyDescent="0.25">
      <c r="A1924" s="7" t="s">
        <v>34</v>
      </c>
      <c r="B1924" s="7">
        <v>2022</v>
      </c>
      <c r="C1924" s="7" t="s">
        <v>62</v>
      </c>
      <c r="D1924" s="7" t="s">
        <v>72</v>
      </c>
      <c r="E1924" s="7" t="s">
        <v>22</v>
      </c>
      <c r="F1924" s="7" t="s">
        <v>23</v>
      </c>
      <c r="G1924" s="7" t="s">
        <v>24</v>
      </c>
      <c r="H1924" s="7" t="s">
        <v>25</v>
      </c>
      <c r="I1924" s="7" t="s">
        <v>26</v>
      </c>
      <c r="J1924" s="7">
        <v>187</v>
      </c>
      <c r="K1924" s="7">
        <v>267.40999999999997</v>
      </c>
    </row>
    <row r="1925" spans="1:11" ht="18" customHeight="1" x14ac:dyDescent="0.25">
      <c r="A1925" s="7" t="s">
        <v>34</v>
      </c>
      <c r="B1925" s="7">
        <v>2022</v>
      </c>
      <c r="C1925" s="7" t="s">
        <v>62</v>
      </c>
      <c r="D1925" s="7" t="s">
        <v>72</v>
      </c>
      <c r="E1925" s="7" t="s">
        <v>22</v>
      </c>
      <c r="F1925" s="7" t="s">
        <v>23</v>
      </c>
      <c r="G1925" s="7" t="s">
        <v>24</v>
      </c>
      <c r="H1925" s="7" t="s">
        <v>25</v>
      </c>
      <c r="I1925" s="7" t="s">
        <v>26</v>
      </c>
      <c r="J1925" s="7">
        <v>791</v>
      </c>
      <c r="K1925" s="7">
        <v>1131.1300000000001</v>
      </c>
    </row>
    <row r="1926" spans="1:11" ht="18" customHeight="1" x14ac:dyDescent="0.25">
      <c r="A1926" s="7" t="s">
        <v>34</v>
      </c>
      <c r="B1926" s="7">
        <v>2022</v>
      </c>
      <c r="C1926" s="7" t="s">
        <v>62</v>
      </c>
      <c r="D1926" s="7" t="s">
        <v>72</v>
      </c>
      <c r="E1926" s="7" t="s">
        <v>22</v>
      </c>
      <c r="F1926" s="7" t="s">
        <v>23</v>
      </c>
      <c r="G1926" s="7" t="s">
        <v>24</v>
      </c>
      <c r="H1926" s="7" t="s">
        <v>25</v>
      </c>
      <c r="I1926" s="7" t="s">
        <v>26</v>
      </c>
      <c r="J1926" s="7">
        <v>824</v>
      </c>
      <c r="K1926" s="7">
        <v>1178.32</v>
      </c>
    </row>
    <row r="1927" spans="1:11" ht="18" customHeight="1" x14ac:dyDescent="0.25">
      <c r="A1927" s="7" t="s">
        <v>53</v>
      </c>
      <c r="B1927" s="7">
        <v>2022</v>
      </c>
      <c r="C1927" s="7" t="s">
        <v>62</v>
      </c>
      <c r="D1927" s="7" t="s">
        <v>72</v>
      </c>
      <c r="E1927" s="7" t="s">
        <v>22</v>
      </c>
      <c r="F1927" s="7" t="s">
        <v>23</v>
      </c>
      <c r="G1927" s="7" t="s">
        <v>24</v>
      </c>
      <c r="H1927" s="7" t="s">
        <v>25</v>
      </c>
      <c r="I1927" s="7" t="s">
        <v>35</v>
      </c>
      <c r="J1927" s="7">
        <v>197</v>
      </c>
      <c r="K1927" s="7">
        <v>281.70999999999998</v>
      </c>
    </row>
    <row r="1928" spans="1:11" ht="18" customHeight="1" x14ac:dyDescent="0.25">
      <c r="A1928" s="7" t="s">
        <v>42</v>
      </c>
      <c r="B1928" s="7">
        <v>2022</v>
      </c>
      <c r="C1928" s="7" t="s">
        <v>62</v>
      </c>
      <c r="D1928" s="7" t="s">
        <v>72</v>
      </c>
      <c r="E1928" s="7" t="s">
        <v>22</v>
      </c>
      <c r="F1928" s="7" t="s">
        <v>23</v>
      </c>
      <c r="G1928" s="7" t="s">
        <v>24</v>
      </c>
      <c r="H1928" s="7" t="s">
        <v>25</v>
      </c>
      <c r="I1928" s="7" t="s">
        <v>35</v>
      </c>
      <c r="J1928" s="7">
        <v>191</v>
      </c>
      <c r="K1928" s="7">
        <v>273.13</v>
      </c>
    </row>
    <row r="1929" spans="1:11" ht="18" customHeight="1" x14ac:dyDescent="0.25">
      <c r="A1929" s="7" t="s">
        <v>53</v>
      </c>
      <c r="B1929" s="7">
        <v>2022</v>
      </c>
      <c r="C1929" s="7" t="s">
        <v>62</v>
      </c>
      <c r="D1929" s="7" t="s">
        <v>72</v>
      </c>
      <c r="E1929" s="7" t="s">
        <v>22</v>
      </c>
      <c r="F1929" s="7" t="s">
        <v>23</v>
      </c>
      <c r="G1929" s="7" t="s">
        <v>24</v>
      </c>
      <c r="H1929" s="7" t="s">
        <v>25</v>
      </c>
      <c r="I1929" s="7" t="s">
        <v>26</v>
      </c>
      <c r="J1929" s="7">
        <v>209</v>
      </c>
      <c r="K1929" s="7">
        <v>298.87</v>
      </c>
    </row>
    <row r="1930" spans="1:11" ht="18" customHeight="1" x14ac:dyDescent="0.25">
      <c r="A1930" s="7" t="s">
        <v>53</v>
      </c>
      <c r="B1930" s="7">
        <v>2022</v>
      </c>
      <c r="C1930" s="7" t="s">
        <v>62</v>
      </c>
      <c r="D1930" s="7" t="s">
        <v>72</v>
      </c>
      <c r="E1930" s="7" t="s">
        <v>22</v>
      </c>
      <c r="F1930" s="7" t="s">
        <v>23</v>
      </c>
      <c r="G1930" s="7" t="s">
        <v>24</v>
      </c>
      <c r="H1930" s="7" t="s">
        <v>25</v>
      </c>
      <c r="I1930" s="7" t="s">
        <v>26</v>
      </c>
      <c r="J1930" s="7">
        <v>251</v>
      </c>
      <c r="K1930" s="7">
        <v>358.93</v>
      </c>
    </row>
    <row r="1931" spans="1:11" ht="18" customHeight="1" x14ac:dyDescent="0.25">
      <c r="A1931" s="7" t="s">
        <v>19</v>
      </c>
      <c r="B1931" s="7">
        <v>2022</v>
      </c>
      <c r="C1931" s="7" t="s">
        <v>66</v>
      </c>
      <c r="D1931" s="7" t="s">
        <v>72</v>
      </c>
      <c r="E1931" s="7" t="s">
        <v>22</v>
      </c>
      <c r="F1931" s="7" t="s">
        <v>23</v>
      </c>
      <c r="G1931" s="7" t="s">
        <v>24</v>
      </c>
      <c r="H1931" s="7" t="s">
        <v>25</v>
      </c>
      <c r="I1931" s="7" t="s">
        <v>35</v>
      </c>
      <c r="J1931" s="7">
        <v>170</v>
      </c>
      <c r="K1931" s="7">
        <v>243.1</v>
      </c>
    </row>
    <row r="1932" spans="1:11" ht="18" customHeight="1" x14ac:dyDescent="0.25">
      <c r="A1932" s="7" t="s">
        <v>42</v>
      </c>
      <c r="B1932" s="7">
        <v>2022</v>
      </c>
      <c r="C1932" s="7" t="s">
        <v>66</v>
      </c>
      <c r="D1932" s="7" t="s">
        <v>72</v>
      </c>
      <c r="E1932" s="7" t="s">
        <v>22</v>
      </c>
      <c r="F1932" s="7" t="s">
        <v>23</v>
      </c>
      <c r="G1932" s="7" t="s">
        <v>24</v>
      </c>
      <c r="H1932" s="7" t="s">
        <v>25</v>
      </c>
      <c r="I1932" s="7" t="s">
        <v>35</v>
      </c>
      <c r="J1932" s="7">
        <v>164</v>
      </c>
      <c r="K1932" s="7">
        <v>234.51999999999998</v>
      </c>
    </row>
    <row r="1933" spans="1:11" ht="18" customHeight="1" x14ac:dyDescent="0.25">
      <c r="A1933" s="7" t="s">
        <v>42</v>
      </c>
      <c r="B1933" s="7">
        <v>2022</v>
      </c>
      <c r="C1933" s="7" t="s">
        <v>66</v>
      </c>
      <c r="D1933" s="7" t="s">
        <v>72</v>
      </c>
      <c r="E1933" s="7" t="s">
        <v>22</v>
      </c>
      <c r="F1933" s="7" t="s">
        <v>23</v>
      </c>
      <c r="G1933" s="7" t="s">
        <v>24</v>
      </c>
      <c r="H1933" s="7" t="s">
        <v>25</v>
      </c>
      <c r="I1933" s="7" t="s">
        <v>35</v>
      </c>
      <c r="J1933" s="7">
        <v>158</v>
      </c>
      <c r="K1933" s="7">
        <v>225.94</v>
      </c>
    </row>
    <row r="1934" spans="1:11" ht="18" customHeight="1" x14ac:dyDescent="0.25">
      <c r="A1934" s="7" t="s">
        <v>53</v>
      </c>
      <c r="B1934" s="7">
        <v>2022</v>
      </c>
      <c r="C1934" s="7" t="s">
        <v>66</v>
      </c>
      <c r="D1934" s="7" t="s">
        <v>72</v>
      </c>
      <c r="E1934" s="7" t="s">
        <v>22</v>
      </c>
      <c r="F1934" s="7" t="s">
        <v>23</v>
      </c>
      <c r="G1934" s="7" t="s">
        <v>24</v>
      </c>
      <c r="H1934" s="7" t="s">
        <v>25</v>
      </c>
      <c r="I1934" s="7" t="s">
        <v>26</v>
      </c>
      <c r="J1934" s="7">
        <v>194</v>
      </c>
      <c r="K1934" s="7">
        <v>277.42</v>
      </c>
    </row>
    <row r="1935" spans="1:11" ht="18" customHeight="1" x14ac:dyDescent="0.25">
      <c r="A1935" s="7" t="s">
        <v>42</v>
      </c>
      <c r="B1935" s="7">
        <v>2022</v>
      </c>
      <c r="C1935" s="7" t="s">
        <v>66</v>
      </c>
      <c r="D1935" s="7" t="s">
        <v>72</v>
      </c>
      <c r="E1935" s="7" t="s">
        <v>22</v>
      </c>
      <c r="F1935" s="7" t="s">
        <v>23</v>
      </c>
      <c r="G1935" s="7" t="s">
        <v>24</v>
      </c>
      <c r="H1935" s="7" t="s">
        <v>25</v>
      </c>
      <c r="I1935" s="7" t="s">
        <v>26</v>
      </c>
      <c r="J1935" s="7">
        <v>242</v>
      </c>
      <c r="K1935" s="7">
        <v>346.06</v>
      </c>
    </row>
    <row r="1936" spans="1:11" ht="18" customHeight="1" x14ac:dyDescent="0.25">
      <c r="A1936" s="7" t="s">
        <v>42</v>
      </c>
      <c r="B1936" s="7">
        <v>2022</v>
      </c>
      <c r="C1936" s="7" t="s">
        <v>66</v>
      </c>
      <c r="D1936" s="7" t="s">
        <v>72</v>
      </c>
      <c r="E1936" s="7" t="s">
        <v>22</v>
      </c>
      <c r="F1936" s="7" t="s">
        <v>23</v>
      </c>
      <c r="G1936" s="7" t="s">
        <v>24</v>
      </c>
      <c r="H1936" s="7" t="s">
        <v>25</v>
      </c>
      <c r="I1936" s="7" t="s">
        <v>26</v>
      </c>
      <c r="J1936" s="7">
        <v>166</v>
      </c>
      <c r="K1936" s="7">
        <v>237.38</v>
      </c>
    </row>
    <row r="1937" spans="1:11" ht="18" customHeight="1" x14ac:dyDescent="0.25">
      <c r="A1937" s="7" t="s">
        <v>34</v>
      </c>
      <c r="B1937" s="7">
        <v>2022</v>
      </c>
      <c r="C1937" s="7" t="s">
        <v>66</v>
      </c>
      <c r="D1937" s="7" t="s">
        <v>72</v>
      </c>
      <c r="E1937" s="7" t="s">
        <v>22</v>
      </c>
      <c r="F1937" s="7" t="s">
        <v>23</v>
      </c>
      <c r="G1937" s="7" t="s">
        <v>24</v>
      </c>
      <c r="H1937" s="7" t="s">
        <v>25</v>
      </c>
      <c r="I1937" s="7" t="s">
        <v>26</v>
      </c>
      <c r="J1937" s="7">
        <v>160</v>
      </c>
      <c r="K1937" s="7">
        <v>228.8</v>
      </c>
    </row>
    <row r="1938" spans="1:11" ht="18" customHeight="1" x14ac:dyDescent="0.25">
      <c r="A1938" s="7" t="s">
        <v>19</v>
      </c>
      <c r="B1938" s="7">
        <v>2022</v>
      </c>
      <c r="C1938" s="7" t="s">
        <v>66</v>
      </c>
      <c r="D1938" s="7" t="s">
        <v>72</v>
      </c>
      <c r="E1938" s="7" t="s">
        <v>22</v>
      </c>
      <c r="F1938" s="7" t="s">
        <v>23</v>
      </c>
      <c r="G1938" s="7" t="s">
        <v>24</v>
      </c>
      <c r="H1938" s="7" t="s">
        <v>25</v>
      </c>
      <c r="I1938" s="7" t="s">
        <v>26</v>
      </c>
      <c r="J1938" s="7">
        <v>196</v>
      </c>
      <c r="K1938" s="7">
        <v>526.24</v>
      </c>
    </row>
    <row r="1939" spans="1:11" ht="18" customHeight="1" x14ac:dyDescent="0.25">
      <c r="A1939" s="7" t="s">
        <v>42</v>
      </c>
      <c r="B1939" s="7">
        <v>2022</v>
      </c>
      <c r="C1939" s="7" t="s">
        <v>66</v>
      </c>
      <c r="D1939" s="7" t="s">
        <v>72</v>
      </c>
      <c r="E1939" s="7" t="s">
        <v>22</v>
      </c>
      <c r="F1939" s="7" t="s">
        <v>23</v>
      </c>
      <c r="G1939" s="7" t="s">
        <v>24</v>
      </c>
      <c r="H1939" s="7" t="s">
        <v>25</v>
      </c>
      <c r="I1939" s="7" t="s">
        <v>26</v>
      </c>
      <c r="J1939" s="7">
        <v>244</v>
      </c>
      <c r="K1939" s="7">
        <v>526.24</v>
      </c>
    </row>
    <row r="1940" spans="1:11" ht="18" customHeight="1" x14ac:dyDescent="0.25">
      <c r="A1940" s="7" t="s">
        <v>42</v>
      </c>
      <c r="B1940" s="7">
        <v>2022</v>
      </c>
      <c r="C1940" s="7" t="s">
        <v>66</v>
      </c>
      <c r="D1940" s="7" t="s">
        <v>72</v>
      </c>
      <c r="E1940" s="7" t="s">
        <v>22</v>
      </c>
      <c r="F1940" s="7" t="s">
        <v>23</v>
      </c>
      <c r="G1940" s="7" t="s">
        <v>24</v>
      </c>
      <c r="H1940" s="7" t="s">
        <v>25</v>
      </c>
      <c r="I1940" s="7" t="s">
        <v>26</v>
      </c>
      <c r="J1940" s="7">
        <v>1011</v>
      </c>
      <c r="K1940" s="7">
        <v>1445.73</v>
      </c>
    </row>
    <row r="1941" spans="1:11" ht="18" customHeight="1" x14ac:dyDescent="0.25">
      <c r="A1941" s="7" t="s">
        <v>42</v>
      </c>
      <c r="B1941" s="7">
        <v>2022</v>
      </c>
      <c r="C1941" s="7" t="s">
        <v>66</v>
      </c>
      <c r="D1941" s="7" t="s">
        <v>72</v>
      </c>
      <c r="E1941" s="7" t="s">
        <v>22</v>
      </c>
      <c r="F1941" s="7" t="s">
        <v>23</v>
      </c>
      <c r="G1941" s="7" t="s">
        <v>24</v>
      </c>
      <c r="H1941" s="7" t="s">
        <v>25</v>
      </c>
      <c r="I1941" s="7" t="s">
        <v>26</v>
      </c>
      <c r="J1941" s="7">
        <v>240</v>
      </c>
      <c r="K1941" s="7">
        <v>343.2</v>
      </c>
    </row>
    <row r="1942" spans="1:11" ht="18" customHeight="1" x14ac:dyDescent="0.25">
      <c r="A1942" s="7" t="s">
        <v>34</v>
      </c>
      <c r="B1942" s="7">
        <v>2022</v>
      </c>
      <c r="C1942" s="7" t="s">
        <v>66</v>
      </c>
      <c r="D1942" s="7" t="s">
        <v>72</v>
      </c>
      <c r="E1942" s="7" t="s">
        <v>22</v>
      </c>
      <c r="F1942" s="7" t="s">
        <v>23</v>
      </c>
      <c r="G1942" s="7" t="s">
        <v>24</v>
      </c>
      <c r="H1942" s="7" t="s">
        <v>25</v>
      </c>
      <c r="I1942" s="7" t="s">
        <v>26</v>
      </c>
      <c r="J1942" s="7">
        <v>195</v>
      </c>
      <c r="K1942" s="7">
        <v>278.85000000000002</v>
      </c>
    </row>
    <row r="1943" spans="1:11" ht="18" customHeight="1" x14ac:dyDescent="0.25">
      <c r="A1943" s="7" t="s">
        <v>34</v>
      </c>
      <c r="B1943" s="7">
        <v>2022</v>
      </c>
      <c r="C1943" s="7" t="s">
        <v>66</v>
      </c>
      <c r="D1943" s="7" t="s">
        <v>72</v>
      </c>
      <c r="E1943" s="7" t="s">
        <v>22</v>
      </c>
      <c r="F1943" s="7" t="s">
        <v>23</v>
      </c>
      <c r="G1943" s="7" t="s">
        <v>24</v>
      </c>
      <c r="H1943" s="7" t="s">
        <v>25</v>
      </c>
      <c r="I1943" s="7" t="s">
        <v>26</v>
      </c>
      <c r="J1943" s="7">
        <v>243</v>
      </c>
      <c r="K1943" s="7">
        <v>347.49</v>
      </c>
    </row>
    <row r="1944" spans="1:11" ht="18" customHeight="1" x14ac:dyDescent="0.25">
      <c r="A1944" s="7" t="s">
        <v>42</v>
      </c>
      <c r="B1944" s="7">
        <v>2022</v>
      </c>
      <c r="C1944" s="7" t="s">
        <v>66</v>
      </c>
      <c r="D1944" s="7" t="s">
        <v>72</v>
      </c>
      <c r="E1944" s="7" t="s">
        <v>22</v>
      </c>
      <c r="F1944" s="7" t="s">
        <v>23</v>
      </c>
      <c r="G1944" s="7" t="s">
        <v>24</v>
      </c>
      <c r="H1944" s="7" t="s">
        <v>25</v>
      </c>
      <c r="I1944" s="7" t="s">
        <v>26</v>
      </c>
      <c r="J1944" s="7">
        <v>169</v>
      </c>
      <c r="K1944" s="7">
        <v>241.67000000000002</v>
      </c>
    </row>
    <row r="1945" spans="1:11" ht="18" customHeight="1" x14ac:dyDescent="0.25">
      <c r="A1945" s="7" t="s">
        <v>19</v>
      </c>
      <c r="B1945" s="7">
        <v>2022</v>
      </c>
      <c r="C1945" s="7" t="s">
        <v>66</v>
      </c>
      <c r="D1945" s="7" t="s">
        <v>72</v>
      </c>
      <c r="E1945" s="7" t="s">
        <v>22</v>
      </c>
      <c r="F1945" s="7" t="s">
        <v>23</v>
      </c>
      <c r="G1945" s="7" t="s">
        <v>24</v>
      </c>
      <c r="H1945" s="7" t="s">
        <v>25</v>
      </c>
      <c r="I1945" s="7" t="s">
        <v>26</v>
      </c>
      <c r="J1945" s="7">
        <v>163</v>
      </c>
      <c r="K1945" s="7">
        <v>233.09</v>
      </c>
    </row>
    <row r="1946" spans="1:11" ht="18" customHeight="1" x14ac:dyDescent="0.25">
      <c r="A1946" s="7" t="s">
        <v>53</v>
      </c>
      <c r="B1946" s="7">
        <v>2022</v>
      </c>
      <c r="C1946" s="7" t="s">
        <v>66</v>
      </c>
      <c r="D1946" s="7" t="s">
        <v>72</v>
      </c>
      <c r="E1946" s="7" t="s">
        <v>22</v>
      </c>
      <c r="F1946" s="7" t="s">
        <v>23</v>
      </c>
      <c r="G1946" s="7" t="s">
        <v>24</v>
      </c>
      <c r="H1946" s="7" t="s">
        <v>25</v>
      </c>
      <c r="I1946" s="7" t="s">
        <v>26</v>
      </c>
      <c r="J1946" s="7">
        <v>157</v>
      </c>
      <c r="K1946" s="7">
        <v>224.51</v>
      </c>
    </row>
    <row r="1947" spans="1:11" ht="18" customHeight="1" x14ac:dyDescent="0.25">
      <c r="A1947" s="7" t="s">
        <v>34</v>
      </c>
      <c r="B1947" s="7">
        <v>2022</v>
      </c>
      <c r="C1947" s="7" t="s">
        <v>66</v>
      </c>
      <c r="D1947" s="7" t="s">
        <v>72</v>
      </c>
      <c r="E1947" s="7" t="s">
        <v>22</v>
      </c>
      <c r="F1947" s="7" t="s">
        <v>23</v>
      </c>
      <c r="G1947" s="7" t="s">
        <v>24</v>
      </c>
      <c r="H1947" s="7" t="s">
        <v>25</v>
      </c>
      <c r="I1947" s="7" t="s">
        <v>26</v>
      </c>
      <c r="J1947" s="7">
        <v>826</v>
      </c>
      <c r="K1947" s="7">
        <v>1181.18</v>
      </c>
    </row>
    <row r="1948" spans="1:11" ht="18" customHeight="1" x14ac:dyDescent="0.25">
      <c r="A1948" s="7" t="s">
        <v>34</v>
      </c>
      <c r="B1948" s="7">
        <v>2022</v>
      </c>
      <c r="C1948" s="7" t="s">
        <v>66</v>
      </c>
      <c r="D1948" s="7" t="s">
        <v>72</v>
      </c>
      <c r="E1948" s="7" t="s">
        <v>22</v>
      </c>
      <c r="F1948" s="7" t="s">
        <v>23</v>
      </c>
      <c r="G1948" s="7" t="s">
        <v>24</v>
      </c>
      <c r="H1948" s="7" t="s">
        <v>25</v>
      </c>
      <c r="I1948" s="7" t="s">
        <v>35</v>
      </c>
      <c r="J1948" s="7">
        <v>167</v>
      </c>
      <c r="K1948" s="7">
        <v>238.81</v>
      </c>
    </row>
    <row r="1949" spans="1:11" ht="18" customHeight="1" x14ac:dyDescent="0.25">
      <c r="A1949" s="7" t="s">
        <v>34</v>
      </c>
      <c r="B1949" s="7">
        <v>2022</v>
      </c>
      <c r="C1949" s="7" t="s">
        <v>66</v>
      </c>
      <c r="D1949" s="7" t="s">
        <v>72</v>
      </c>
      <c r="E1949" s="7" t="s">
        <v>22</v>
      </c>
      <c r="F1949" s="7" t="s">
        <v>23</v>
      </c>
      <c r="G1949" s="7" t="s">
        <v>24</v>
      </c>
      <c r="H1949" s="7" t="s">
        <v>25</v>
      </c>
      <c r="I1949" s="7" t="s">
        <v>35</v>
      </c>
      <c r="J1949" s="7">
        <v>161</v>
      </c>
      <c r="K1949" s="7">
        <v>230.23000000000002</v>
      </c>
    </row>
    <row r="1950" spans="1:11" ht="18" customHeight="1" x14ac:dyDescent="0.25">
      <c r="A1950" s="7" t="s">
        <v>34</v>
      </c>
      <c r="B1950" s="7">
        <v>2022</v>
      </c>
      <c r="C1950" s="7" t="s">
        <v>66</v>
      </c>
      <c r="D1950" s="7" t="s">
        <v>72</v>
      </c>
      <c r="E1950" s="7" t="s">
        <v>22</v>
      </c>
      <c r="F1950" s="7" t="s">
        <v>23</v>
      </c>
      <c r="G1950" s="7" t="s">
        <v>24</v>
      </c>
      <c r="H1950" s="7" t="s">
        <v>25</v>
      </c>
      <c r="I1950" s="7" t="s">
        <v>35</v>
      </c>
      <c r="J1950" s="7">
        <v>155</v>
      </c>
      <c r="K1950" s="7">
        <v>221.65</v>
      </c>
    </row>
    <row r="1951" spans="1:11" ht="18" customHeight="1" x14ac:dyDescent="0.25">
      <c r="A1951" s="7" t="s">
        <v>42</v>
      </c>
      <c r="B1951" s="7">
        <v>2022</v>
      </c>
      <c r="C1951" s="7" t="s">
        <v>66</v>
      </c>
      <c r="D1951" s="7" t="s">
        <v>72</v>
      </c>
      <c r="E1951" s="7" t="s">
        <v>22</v>
      </c>
      <c r="F1951" s="7" t="s">
        <v>23</v>
      </c>
      <c r="G1951" s="7" t="s">
        <v>24</v>
      </c>
      <c r="H1951" s="7" t="s">
        <v>25</v>
      </c>
      <c r="I1951" s="7" t="s">
        <v>26</v>
      </c>
      <c r="J1951" s="7">
        <v>197</v>
      </c>
      <c r="K1951" s="7">
        <v>281.70999999999998</v>
      </c>
    </row>
    <row r="1952" spans="1:11" ht="18" customHeight="1" x14ac:dyDescent="0.25">
      <c r="A1952" s="7" t="s">
        <v>19</v>
      </c>
      <c r="B1952" s="7">
        <v>2022</v>
      </c>
      <c r="C1952" s="7" t="s">
        <v>66</v>
      </c>
      <c r="D1952" s="7" t="s">
        <v>72</v>
      </c>
      <c r="E1952" s="7" t="s">
        <v>22</v>
      </c>
      <c r="F1952" s="7" t="s">
        <v>23</v>
      </c>
      <c r="G1952" s="7" t="s">
        <v>24</v>
      </c>
      <c r="H1952" s="7" t="s">
        <v>25</v>
      </c>
      <c r="I1952" s="7" t="s">
        <v>26</v>
      </c>
      <c r="J1952" s="7">
        <v>245</v>
      </c>
      <c r="K1952" s="7">
        <v>350.35</v>
      </c>
    </row>
    <row r="1953" spans="1:11" ht="18" customHeight="1" x14ac:dyDescent="0.25">
      <c r="A1953" s="7" t="s">
        <v>34</v>
      </c>
      <c r="B1953" s="7">
        <v>2022</v>
      </c>
      <c r="C1953" s="7" t="s">
        <v>71</v>
      </c>
      <c r="D1953" s="7" t="s">
        <v>72</v>
      </c>
      <c r="E1953" s="7" t="s">
        <v>22</v>
      </c>
      <c r="F1953" s="7" t="s">
        <v>23</v>
      </c>
      <c r="G1953" s="7" t="s">
        <v>24</v>
      </c>
      <c r="H1953" s="7" t="s">
        <v>25</v>
      </c>
      <c r="I1953" s="7" t="s">
        <v>35</v>
      </c>
      <c r="J1953" s="7">
        <v>320</v>
      </c>
      <c r="K1953" s="7">
        <v>457.6</v>
      </c>
    </row>
    <row r="1954" spans="1:11" ht="18" customHeight="1" x14ac:dyDescent="0.25">
      <c r="A1954" s="7" t="s">
        <v>19</v>
      </c>
      <c r="B1954" s="7">
        <v>2022</v>
      </c>
      <c r="C1954" s="7" t="s">
        <v>71</v>
      </c>
      <c r="D1954" s="7" t="s">
        <v>72</v>
      </c>
      <c r="E1954" s="7" t="s">
        <v>22</v>
      </c>
      <c r="F1954" s="7" t="s">
        <v>23</v>
      </c>
      <c r="G1954" s="7" t="s">
        <v>24</v>
      </c>
      <c r="H1954" s="7" t="s">
        <v>25</v>
      </c>
      <c r="I1954" s="7" t="s">
        <v>35</v>
      </c>
      <c r="J1954" s="7">
        <v>314</v>
      </c>
      <c r="K1954" s="7">
        <v>449.02</v>
      </c>
    </row>
    <row r="1955" spans="1:11" ht="18" customHeight="1" x14ac:dyDescent="0.25">
      <c r="A1955" s="7" t="s">
        <v>42</v>
      </c>
      <c r="B1955" s="7">
        <v>2022</v>
      </c>
      <c r="C1955" s="7" t="s">
        <v>71</v>
      </c>
      <c r="D1955" s="7" t="s">
        <v>72</v>
      </c>
      <c r="E1955" s="7" t="s">
        <v>22</v>
      </c>
      <c r="F1955" s="7" t="s">
        <v>23</v>
      </c>
      <c r="G1955" s="7" t="s">
        <v>24</v>
      </c>
      <c r="H1955" s="7" t="s">
        <v>25</v>
      </c>
      <c r="I1955" s="7" t="s">
        <v>35</v>
      </c>
      <c r="J1955" s="7">
        <v>308</v>
      </c>
      <c r="K1955" s="7">
        <v>440.44</v>
      </c>
    </row>
    <row r="1956" spans="1:11" ht="18" customHeight="1" x14ac:dyDescent="0.25">
      <c r="A1956" s="7" t="s">
        <v>19</v>
      </c>
      <c r="B1956" s="7">
        <v>2022</v>
      </c>
      <c r="C1956" s="7" t="s">
        <v>71</v>
      </c>
      <c r="D1956" s="7" t="s">
        <v>72</v>
      </c>
      <c r="E1956" s="7" t="s">
        <v>22</v>
      </c>
      <c r="F1956" s="7" t="s">
        <v>23</v>
      </c>
      <c r="G1956" s="7" t="s">
        <v>24</v>
      </c>
      <c r="H1956" s="7" t="s">
        <v>25</v>
      </c>
      <c r="I1956" s="7" t="s">
        <v>26</v>
      </c>
      <c r="J1956" s="7">
        <v>236</v>
      </c>
      <c r="K1956" s="7">
        <v>337.48</v>
      </c>
    </row>
    <row r="1957" spans="1:11" ht="18" customHeight="1" x14ac:dyDescent="0.25">
      <c r="A1957" s="7" t="s">
        <v>34</v>
      </c>
      <c r="B1957" s="7">
        <v>2022</v>
      </c>
      <c r="C1957" s="7" t="s">
        <v>71</v>
      </c>
      <c r="D1957" s="7" t="s">
        <v>72</v>
      </c>
      <c r="E1957" s="7" t="s">
        <v>22</v>
      </c>
      <c r="F1957" s="7" t="s">
        <v>23</v>
      </c>
      <c r="G1957" s="7" t="s">
        <v>24</v>
      </c>
      <c r="H1957" s="7" t="s">
        <v>25</v>
      </c>
      <c r="I1957" s="7" t="s">
        <v>26</v>
      </c>
      <c r="J1957" s="7">
        <v>164</v>
      </c>
      <c r="K1957" s="7">
        <v>234.51999999999998</v>
      </c>
    </row>
    <row r="1958" spans="1:11" ht="18" customHeight="1" x14ac:dyDescent="0.25">
      <c r="A1958" s="7" t="s">
        <v>19</v>
      </c>
      <c r="B1958" s="7">
        <v>2022</v>
      </c>
      <c r="C1958" s="7" t="s">
        <v>71</v>
      </c>
      <c r="D1958" s="7" t="s">
        <v>72</v>
      </c>
      <c r="E1958" s="7" t="s">
        <v>22</v>
      </c>
      <c r="F1958" s="7" t="s">
        <v>23</v>
      </c>
      <c r="G1958" s="7" t="s">
        <v>24</v>
      </c>
      <c r="H1958" s="7" t="s">
        <v>25</v>
      </c>
      <c r="I1958" s="7" t="s">
        <v>26</v>
      </c>
      <c r="J1958" s="7">
        <v>212</v>
      </c>
      <c r="K1958" s="7">
        <v>303.15999999999997</v>
      </c>
    </row>
    <row r="1959" spans="1:11" ht="18" customHeight="1" x14ac:dyDescent="0.25">
      <c r="A1959" s="7" t="s">
        <v>34</v>
      </c>
      <c r="B1959" s="7">
        <v>2022</v>
      </c>
      <c r="C1959" s="7" t="s">
        <v>71</v>
      </c>
      <c r="D1959" s="7" t="s">
        <v>72</v>
      </c>
      <c r="E1959" s="7" t="s">
        <v>22</v>
      </c>
      <c r="F1959" s="7" t="s">
        <v>23</v>
      </c>
      <c r="G1959" s="7" t="s">
        <v>24</v>
      </c>
      <c r="H1959" s="7" t="s">
        <v>25</v>
      </c>
      <c r="I1959" s="7" t="s">
        <v>26</v>
      </c>
      <c r="J1959" s="7">
        <v>316</v>
      </c>
      <c r="K1959" s="7">
        <v>451.88</v>
      </c>
    </row>
    <row r="1960" spans="1:11" ht="18" customHeight="1" x14ac:dyDescent="0.25">
      <c r="A1960" s="7" t="s">
        <v>19</v>
      </c>
      <c r="B1960" s="7">
        <v>2022</v>
      </c>
      <c r="C1960" s="7" t="s">
        <v>71</v>
      </c>
      <c r="D1960" s="7" t="s">
        <v>72</v>
      </c>
      <c r="E1960" s="7" t="s">
        <v>22</v>
      </c>
      <c r="F1960" s="7" t="s">
        <v>23</v>
      </c>
      <c r="G1960" s="7" t="s">
        <v>24</v>
      </c>
      <c r="H1960" s="7" t="s">
        <v>25</v>
      </c>
      <c r="I1960" s="7" t="s">
        <v>26</v>
      </c>
      <c r="J1960" s="7">
        <v>310</v>
      </c>
      <c r="K1960" s="7">
        <v>443.3</v>
      </c>
    </row>
    <row r="1961" spans="1:11" ht="18" customHeight="1" x14ac:dyDescent="0.25">
      <c r="A1961" s="7" t="s">
        <v>34</v>
      </c>
      <c r="B1961" s="7">
        <v>2022</v>
      </c>
      <c r="C1961" s="7" t="s">
        <v>71</v>
      </c>
      <c r="D1961" s="7" t="s">
        <v>72</v>
      </c>
      <c r="E1961" s="7" t="s">
        <v>22</v>
      </c>
      <c r="F1961" s="7" t="s">
        <v>23</v>
      </c>
      <c r="G1961" s="7" t="s">
        <v>24</v>
      </c>
      <c r="H1961" s="7" t="s">
        <v>25</v>
      </c>
      <c r="I1961" s="7" t="s">
        <v>26</v>
      </c>
      <c r="J1961" s="7">
        <v>238</v>
      </c>
      <c r="K1961" s="7">
        <v>526.24</v>
      </c>
    </row>
    <row r="1962" spans="1:11" ht="18" customHeight="1" x14ac:dyDescent="0.25">
      <c r="A1962" s="7" t="s">
        <v>34</v>
      </c>
      <c r="B1962" s="7">
        <v>2022</v>
      </c>
      <c r="C1962" s="7" t="s">
        <v>71</v>
      </c>
      <c r="D1962" s="7" t="s">
        <v>72</v>
      </c>
      <c r="E1962" s="7" t="s">
        <v>22</v>
      </c>
      <c r="F1962" s="7" t="s">
        <v>23</v>
      </c>
      <c r="G1962" s="7" t="s">
        <v>24</v>
      </c>
      <c r="H1962" s="7" t="s">
        <v>25</v>
      </c>
      <c r="I1962" s="7" t="s">
        <v>26</v>
      </c>
      <c r="J1962" s="7">
        <v>166</v>
      </c>
      <c r="K1962" s="7">
        <v>526.24</v>
      </c>
    </row>
    <row r="1963" spans="1:11" ht="18" customHeight="1" x14ac:dyDescent="0.25">
      <c r="A1963" s="7" t="s">
        <v>19</v>
      </c>
      <c r="B1963" s="7">
        <v>2022</v>
      </c>
      <c r="C1963" s="7" t="s">
        <v>71</v>
      </c>
      <c r="D1963" s="7" t="s">
        <v>72</v>
      </c>
      <c r="E1963" s="7" t="s">
        <v>22</v>
      </c>
      <c r="F1963" s="7" t="s">
        <v>23</v>
      </c>
      <c r="G1963" s="7" t="s">
        <v>24</v>
      </c>
      <c r="H1963" s="7" t="s">
        <v>25</v>
      </c>
      <c r="I1963" s="7" t="s">
        <v>26</v>
      </c>
      <c r="J1963" s="7">
        <v>208</v>
      </c>
      <c r="K1963" s="7">
        <v>526.24</v>
      </c>
    </row>
    <row r="1964" spans="1:11" ht="18" customHeight="1" x14ac:dyDescent="0.25">
      <c r="A1964" s="7" t="s">
        <v>42</v>
      </c>
      <c r="B1964" s="7">
        <v>2022</v>
      </c>
      <c r="C1964" s="7" t="s">
        <v>71</v>
      </c>
      <c r="D1964" s="7" t="s">
        <v>72</v>
      </c>
      <c r="E1964" s="7" t="s">
        <v>22</v>
      </c>
      <c r="F1964" s="7" t="s">
        <v>23</v>
      </c>
      <c r="G1964" s="7" t="s">
        <v>24</v>
      </c>
      <c r="H1964" s="7" t="s">
        <v>25</v>
      </c>
      <c r="I1964" s="7" t="s">
        <v>26</v>
      </c>
      <c r="J1964" s="7">
        <v>963</v>
      </c>
      <c r="K1964" s="7">
        <v>1377.09</v>
      </c>
    </row>
    <row r="1965" spans="1:11" ht="18" customHeight="1" x14ac:dyDescent="0.25">
      <c r="A1965" s="7" t="s">
        <v>19</v>
      </c>
      <c r="B1965" s="7">
        <v>2022</v>
      </c>
      <c r="C1965" s="7" t="s">
        <v>71</v>
      </c>
      <c r="D1965" s="7" t="s">
        <v>72</v>
      </c>
      <c r="E1965" s="7" t="s">
        <v>22</v>
      </c>
      <c r="F1965" s="7" t="s">
        <v>23</v>
      </c>
      <c r="G1965" s="7" t="s">
        <v>24</v>
      </c>
      <c r="H1965" s="7" t="s">
        <v>25</v>
      </c>
      <c r="I1965" s="7" t="s">
        <v>26</v>
      </c>
      <c r="J1965" s="7">
        <v>1017</v>
      </c>
      <c r="K1965" s="7">
        <v>1454.31</v>
      </c>
    </row>
    <row r="1966" spans="1:11" ht="18" customHeight="1" x14ac:dyDescent="0.25">
      <c r="A1966" s="7" t="s">
        <v>19</v>
      </c>
      <c r="B1966" s="7">
        <v>2022</v>
      </c>
      <c r="C1966" s="7" t="s">
        <v>71</v>
      </c>
      <c r="D1966" s="7" t="s">
        <v>72</v>
      </c>
      <c r="E1966" s="7" t="s">
        <v>22</v>
      </c>
      <c r="F1966" s="7" t="s">
        <v>23</v>
      </c>
      <c r="G1966" s="7" t="s">
        <v>24</v>
      </c>
      <c r="H1966" s="7" t="s">
        <v>25</v>
      </c>
      <c r="I1966" s="7" t="s">
        <v>26</v>
      </c>
      <c r="J1966" s="7">
        <v>210</v>
      </c>
      <c r="K1966" s="7">
        <v>300.3</v>
      </c>
    </row>
    <row r="1967" spans="1:11" ht="18" customHeight="1" x14ac:dyDescent="0.25">
      <c r="A1967" s="7" t="s">
        <v>19</v>
      </c>
      <c r="B1967" s="7">
        <v>2022</v>
      </c>
      <c r="C1967" s="7" t="s">
        <v>71</v>
      </c>
      <c r="D1967" s="7" t="s">
        <v>72</v>
      </c>
      <c r="E1967" s="7" t="s">
        <v>22</v>
      </c>
      <c r="F1967" s="7" t="s">
        <v>23</v>
      </c>
      <c r="G1967" s="7" t="s">
        <v>24</v>
      </c>
      <c r="H1967" s="7" t="s">
        <v>25</v>
      </c>
      <c r="I1967" s="7" t="s">
        <v>26</v>
      </c>
      <c r="J1967" s="7">
        <v>237</v>
      </c>
      <c r="K1967" s="7">
        <v>338.90999999999997</v>
      </c>
    </row>
    <row r="1968" spans="1:11" ht="18" customHeight="1" x14ac:dyDescent="0.25">
      <c r="A1968" s="7" t="s">
        <v>34</v>
      </c>
      <c r="B1968" s="7">
        <v>2022</v>
      </c>
      <c r="C1968" s="7" t="s">
        <v>71</v>
      </c>
      <c r="D1968" s="7" t="s">
        <v>72</v>
      </c>
      <c r="E1968" s="7" t="s">
        <v>22</v>
      </c>
      <c r="F1968" s="7" t="s">
        <v>23</v>
      </c>
      <c r="G1968" s="7" t="s">
        <v>24</v>
      </c>
      <c r="H1968" s="7" t="s">
        <v>25</v>
      </c>
      <c r="I1968" s="7" t="s">
        <v>26</v>
      </c>
      <c r="J1968" s="7">
        <v>165</v>
      </c>
      <c r="K1968" s="7">
        <v>235.95</v>
      </c>
    </row>
    <row r="1969" spans="1:11" ht="18" customHeight="1" x14ac:dyDescent="0.25">
      <c r="A1969" s="7" t="s">
        <v>42</v>
      </c>
      <c r="B1969" s="7">
        <v>2022</v>
      </c>
      <c r="C1969" s="7" t="s">
        <v>71</v>
      </c>
      <c r="D1969" s="7" t="s">
        <v>72</v>
      </c>
      <c r="E1969" s="7" t="s">
        <v>22</v>
      </c>
      <c r="F1969" s="7" t="s">
        <v>23</v>
      </c>
      <c r="G1969" s="7" t="s">
        <v>24</v>
      </c>
      <c r="H1969" s="7" t="s">
        <v>25</v>
      </c>
      <c r="I1969" s="7" t="s">
        <v>26</v>
      </c>
      <c r="J1969" s="7">
        <v>213</v>
      </c>
      <c r="K1969" s="7">
        <v>304.59000000000003</v>
      </c>
    </row>
    <row r="1970" spans="1:11" ht="18" customHeight="1" x14ac:dyDescent="0.25">
      <c r="A1970" s="7" t="s">
        <v>34</v>
      </c>
      <c r="B1970" s="7">
        <v>2022</v>
      </c>
      <c r="C1970" s="7" t="s">
        <v>71</v>
      </c>
      <c r="D1970" s="7" t="s">
        <v>72</v>
      </c>
      <c r="E1970" s="7" t="s">
        <v>22</v>
      </c>
      <c r="F1970" s="7" t="s">
        <v>23</v>
      </c>
      <c r="G1970" s="7" t="s">
        <v>24</v>
      </c>
      <c r="H1970" s="7" t="s">
        <v>25</v>
      </c>
      <c r="I1970" s="7" t="s">
        <v>26</v>
      </c>
      <c r="J1970" s="7">
        <v>319</v>
      </c>
      <c r="K1970" s="7">
        <v>456.16999999999996</v>
      </c>
    </row>
    <row r="1971" spans="1:11" ht="18" customHeight="1" x14ac:dyDescent="0.25">
      <c r="A1971" s="7" t="s">
        <v>34</v>
      </c>
      <c r="B1971" s="7">
        <v>2022</v>
      </c>
      <c r="C1971" s="7" t="s">
        <v>71</v>
      </c>
      <c r="D1971" s="7" t="s">
        <v>72</v>
      </c>
      <c r="E1971" s="7" t="s">
        <v>22</v>
      </c>
      <c r="F1971" s="7" t="s">
        <v>23</v>
      </c>
      <c r="G1971" s="7" t="s">
        <v>24</v>
      </c>
      <c r="H1971" s="7" t="s">
        <v>25</v>
      </c>
      <c r="I1971" s="7" t="s">
        <v>26</v>
      </c>
      <c r="J1971" s="7">
        <v>313</v>
      </c>
      <c r="K1971" s="7">
        <v>447.59000000000003</v>
      </c>
    </row>
    <row r="1972" spans="1:11" ht="18" customHeight="1" x14ac:dyDescent="0.25">
      <c r="A1972" s="7" t="s">
        <v>19</v>
      </c>
      <c r="B1972" s="7">
        <v>2022</v>
      </c>
      <c r="C1972" s="7" t="s">
        <v>71</v>
      </c>
      <c r="D1972" s="7" t="s">
        <v>72</v>
      </c>
      <c r="E1972" s="7" t="s">
        <v>22</v>
      </c>
      <c r="F1972" s="7" t="s">
        <v>23</v>
      </c>
      <c r="G1972" s="7" t="s">
        <v>24</v>
      </c>
      <c r="H1972" s="7" t="s">
        <v>25</v>
      </c>
      <c r="I1972" s="7" t="s">
        <v>26</v>
      </c>
      <c r="J1972" s="7">
        <v>307</v>
      </c>
      <c r="K1972" s="7">
        <v>439.01</v>
      </c>
    </row>
    <row r="1973" spans="1:11" ht="18" customHeight="1" x14ac:dyDescent="0.25">
      <c r="A1973" s="7" t="s">
        <v>19</v>
      </c>
      <c r="B1973" s="7">
        <v>2022</v>
      </c>
      <c r="C1973" s="7" t="s">
        <v>71</v>
      </c>
      <c r="D1973" s="7" t="s">
        <v>72</v>
      </c>
      <c r="E1973" s="7" t="s">
        <v>22</v>
      </c>
      <c r="F1973" s="7" t="s">
        <v>23</v>
      </c>
      <c r="G1973" s="7" t="s">
        <v>24</v>
      </c>
      <c r="H1973" s="7" t="s">
        <v>25</v>
      </c>
      <c r="I1973" s="7" t="s">
        <v>26</v>
      </c>
      <c r="J1973" s="7">
        <v>235</v>
      </c>
      <c r="K1973" s="7">
        <v>336.05</v>
      </c>
    </row>
    <row r="1974" spans="1:11" ht="18" customHeight="1" x14ac:dyDescent="0.25">
      <c r="A1974" s="7" t="s">
        <v>19</v>
      </c>
      <c r="B1974" s="7">
        <v>2022</v>
      </c>
      <c r="C1974" s="7" t="s">
        <v>71</v>
      </c>
      <c r="D1974" s="7" t="s">
        <v>72</v>
      </c>
      <c r="E1974" s="7" t="s">
        <v>22</v>
      </c>
      <c r="F1974" s="7" t="s">
        <v>23</v>
      </c>
      <c r="G1974" s="7" t="s">
        <v>24</v>
      </c>
      <c r="H1974" s="7" t="s">
        <v>25</v>
      </c>
      <c r="I1974" s="7" t="s">
        <v>26</v>
      </c>
      <c r="J1974" s="7">
        <v>798</v>
      </c>
      <c r="K1974" s="7">
        <v>1141.1399999999999</v>
      </c>
    </row>
    <row r="1975" spans="1:11" ht="18" customHeight="1" x14ac:dyDescent="0.25">
      <c r="A1975" s="7" t="s">
        <v>34</v>
      </c>
      <c r="B1975" s="7">
        <v>2022</v>
      </c>
      <c r="C1975" s="7" t="s">
        <v>71</v>
      </c>
      <c r="D1975" s="7" t="s">
        <v>72</v>
      </c>
      <c r="E1975" s="7" t="s">
        <v>22</v>
      </c>
      <c r="F1975" s="7" t="s">
        <v>23</v>
      </c>
      <c r="G1975" s="7" t="s">
        <v>24</v>
      </c>
      <c r="H1975" s="7" t="s">
        <v>25</v>
      </c>
      <c r="I1975" s="7" t="s">
        <v>26</v>
      </c>
      <c r="J1975" s="7">
        <v>831</v>
      </c>
      <c r="K1975" s="7">
        <v>1188.33</v>
      </c>
    </row>
    <row r="1976" spans="1:11" ht="18" customHeight="1" x14ac:dyDescent="0.25">
      <c r="A1976" s="7" t="s">
        <v>42</v>
      </c>
      <c r="B1976" s="7">
        <v>2022</v>
      </c>
      <c r="C1976" s="7" t="s">
        <v>71</v>
      </c>
      <c r="D1976" s="7" t="s">
        <v>72</v>
      </c>
      <c r="E1976" s="7" t="s">
        <v>22</v>
      </c>
      <c r="F1976" s="7" t="s">
        <v>23</v>
      </c>
      <c r="G1976" s="7" t="s">
        <v>24</v>
      </c>
      <c r="H1976" s="7" t="s">
        <v>25</v>
      </c>
      <c r="I1976" s="7" t="s">
        <v>35</v>
      </c>
      <c r="J1976" s="7">
        <v>317</v>
      </c>
      <c r="K1976" s="7">
        <v>453.31</v>
      </c>
    </row>
    <row r="1977" spans="1:11" ht="18" customHeight="1" x14ac:dyDescent="0.25">
      <c r="A1977" s="7" t="s">
        <v>19</v>
      </c>
      <c r="B1977" s="7">
        <v>2022</v>
      </c>
      <c r="C1977" s="7" t="s">
        <v>71</v>
      </c>
      <c r="D1977" s="7" t="s">
        <v>72</v>
      </c>
      <c r="E1977" s="7" t="s">
        <v>22</v>
      </c>
      <c r="F1977" s="7" t="s">
        <v>23</v>
      </c>
      <c r="G1977" s="7" t="s">
        <v>24</v>
      </c>
      <c r="H1977" s="7" t="s">
        <v>25</v>
      </c>
      <c r="I1977" s="7" t="s">
        <v>35</v>
      </c>
      <c r="J1977" s="7">
        <v>311</v>
      </c>
      <c r="K1977" s="7">
        <v>444.73</v>
      </c>
    </row>
    <row r="1978" spans="1:11" ht="18" customHeight="1" x14ac:dyDescent="0.25">
      <c r="A1978" s="7" t="s">
        <v>61</v>
      </c>
      <c r="B1978" s="7">
        <v>2022</v>
      </c>
      <c r="C1978" s="7" t="s">
        <v>71</v>
      </c>
      <c r="D1978" s="7" t="s">
        <v>72</v>
      </c>
      <c r="E1978" s="7" t="s">
        <v>22</v>
      </c>
      <c r="F1978" s="7" t="s">
        <v>23</v>
      </c>
      <c r="G1978" s="7" t="s">
        <v>24</v>
      </c>
      <c r="H1978" s="7" t="s">
        <v>25</v>
      </c>
      <c r="I1978" s="7" t="s">
        <v>35</v>
      </c>
      <c r="J1978" s="7">
        <v>305</v>
      </c>
      <c r="K1978" s="7">
        <v>436.15</v>
      </c>
    </row>
    <row r="1979" spans="1:11" ht="18" customHeight="1" x14ac:dyDescent="0.25">
      <c r="A1979" s="7" t="s">
        <v>19</v>
      </c>
      <c r="B1979" s="7">
        <v>2022</v>
      </c>
      <c r="C1979" s="7" t="s">
        <v>71</v>
      </c>
      <c r="D1979" s="7" t="s">
        <v>72</v>
      </c>
      <c r="E1979" s="7" t="s">
        <v>22</v>
      </c>
      <c r="F1979" s="7" t="s">
        <v>23</v>
      </c>
      <c r="G1979" s="7" t="s">
        <v>24</v>
      </c>
      <c r="H1979" s="7" t="s">
        <v>25</v>
      </c>
      <c r="I1979" s="7" t="s">
        <v>26</v>
      </c>
      <c r="J1979" s="7">
        <v>239</v>
      </c>
      <c r="K1979" s="7">
        <v>341.77</v>
      </c>
    </row>
    <row r="1980" spans="1:11" ht="18" customHeight="1" x14ac:dyDescent="0.25">
      <c r="A1980" s="7" t="s">
        <v>19</v>
      </c>
      <c r="B1980" s="7">
        <v>2022</v>
      </c>
      <c r="C1980" s="7" t="s">
        <v>71</v>
      </c>
      <c r="D1980" s="7" t="s">
        <v>72</v>
      </c>
      <c r="E1980" s="7" t="s">
        <v>22</v>
      </c>
      <c r="F1980" s="7" t="s">
        <v>23</v>
      </c>
      <c r="G1980" s="7" t="s">
        <v>24</v>
      </c>
      <c r="H1980" s="7" t="s">
        <v>25</v>
      </c>
      <c r="I1980" s="7" t="s">
        <v>26</v>
      </c>
      <c r="J1980" s="7">
        <v>209</v>
      </c>
      <c r="K1980" s="7">
        <v>298.87</v>
      </c>
    </row>
    <row r="1981" spans="1:11" ht="18" customHeight="1" x14ac:dyDescent="0.25">
      <c r="A1981" s="7" t="s">
        <v>42</v>
      </c>
      <c r="B1981" s="7">
        <v>2022</v>
      </c>
      <c r="C1981" s="7" t="s">
        <v>70</v>
      </c>
      <c r="D1981" s="7" t="s">
        <v>72</v>
      </c>
      <c r="E1981" s="7" t="s">
        <v>22</v>
      </c>
      <c r="F1981" s="7" t="s">
        <v>23</v>
      </c>
      <c r="G1981" s="7" t="s">
        <v>24</v>
      </c>
      <c r="H1981" s="7" t="s">
        <v>25</v>
      </c>
      <c r="I1981" s="7" t="s">
        <v>35</v>
      </c>
      <c r="J1981" s="7">
        <v>332</v>
      </c>
      <c r="K1981" s="7">
        <v>474.76</v>
      </c>
    </row>
    <row r="1982" spans="1:11" ht="18" customHeight="1" x14ac:dyDescent="0.25">
      <c r="A1982" s="7" t="s">
        <v>34</v>
      </c>
      <c r="B1982" s="7">
        <v>2022</v>
      </c>
      <c r="C1982" s="7" t="s">
        <v>70</v>
      </c>
      <c r="D1982" s="7" t="s">
        <v>72</v>
      </c>
      <c r="E1982" s="7" t="s">
        <v>22</v>
      </c>
      <c r="F1982" s="7" t="s">
        <v>23</v>
      </c>
      <c r="G1982" s="7" t="s">
        <v>24</v>
      </c>
      <c r="H1982" s="7" t="s">
        <v>25</v>
      </c>
      <c r="I1982" s="7" t="s">
        <v>35</v>
      </c>
      <c r="J1982" s="7">
        <v>326</v>
      </c>
      <c r="K1982" s="7">
        <v>466.18</v>
      </c>
    </row>
    <row r="1983" spans="1:11" ht="18" customHeight="1" x14ac:dyDescent="0.25">
      <c r="A1983" s="7" t="s">
        <v>19</v>
      </c>
      <c r="B1983" s="7">
        <v>2022</v>
      </c>
      <c r="C1983" s="7" t="s">
        <v>70</v>
      </c>
      <c r="D1983" s="7" t="s">
        <v>72</v>
      </c>
      <c r="E1983" s="7" t="s">
        <v>22</v>
      </c>
      <c r="F1983" s="7" t="s">
        <v>23</v>
      </c>
      <c r="G1983" s="7" t="s">
        <v>24</v>
      </c>
      <c r="H1983" s="7" t="s">
        <v>25</v>
      </c>
      <c r="I1983" s="7" t="s">
        <v>26</v>
      </c>
      <c r="J1983" s="7">
        <v>242</v>
      </c>
      <c r="K1983" s="7">
        <v>346.06</v>
      </c>
    </row>
    <row r="1984" spans="1:11" ht="18" customHeight="1" x14ac:dyDescent="0.25">
      <c r="A1984" s="7" t="s">
        <v>19</v>
      </c>
      <c r="B1984" s="7">
        <v>2022</v>
      </c>
      <c r="C1984" s="7" t="s">
        <v>70</v>
      </c>
      <c r="D1984" s="7" t="s">
        <v>72</v>
      </c>
      <c r="E1984" s="7" t="s">
        <v>22</v>
      </c>
      <c r="F1984" s="7" t="s">
        <v>23</v>
      </c>
      <c r="G1984" s="7" t="s">
        <v>24</v>
      </c>
      <c r="H1984" s="7" t="s">
        <v>25</v>
      </c>
      <c r="I1984" s="7" t="s">
        <v>26</v>
      </c>
      <c r="J1984" s="7">
        <v>170</v>
      </c>
      <c r="K1984" s="7">
        <v>243.1</v>
      </c>
    </row>
    <row r="1985" spans="1:11" ht="18" customHeight="1" x14ac:dyDescent="0.25">
      <c r="A1985" s="7" t="s">
        <v>19</v>
      </c>
      <c r="B1985" s="7">
        <v>2022</v>
      </c>
      <c r="C1985" s="7" t="s">
        <v>70</v>
      </c>
      <c r="D1985" s="7" t="s">
        <v>72</v>
      </c>
      <c r="E1985" s="7" t="s">
        <v>22</v>
      </c>
      <c r="F1985" s="7" t="s">
        <v>23</v>
      </c>
      <c r="G1985" s="7" t="s">
        <v>24</v>
      </c>
      <c r="H1985" s="7" t="s">
        <v>25</v>
      </c>
      <c r="I1985" s="7" t="s">
        <v>26</v>
      </c>
      <c r="J1985" s="7">
        <v>218</v>
      </c>
      <c r="K1985" s="7">
        <v>311.74</v>
      </c>
    </row>
    <row r="1986" spans="1:11" ht="18" customHeight="1" x14ac:dyDescent="0.25">
      <c r="A1986" s="7" t="s">
        <v>19</v>
      </c>
      <c r="B1986" s="7">
        <v>2022</v>
      </c>
      <c r="C1986" s="7" t="s">
        <v>70</v>
      </c>
      <c r="D1986" s="7" t="s">
        <v>72</v>
      </c>
      <c r="E1986" s="7" t="s">
        <v>22</v>
      </c>
      <c r="F1986" s="7" t="s">
        <v>23</v>
      </c>
      <c r="G1986" s="7" t="s">
        <v>24</v>
      </c>
      <c r="H1986" s="7" t="s">
        <v>25</v>
      </c>
      <c r="I1986" s="7" t="s">
        <v>26</v>
      </c>
      <c r="J1986" s="7">
        <v>334</v>
      </c>
      <c r="K1986" s="7">
        <v>477.62</v>
      </c>
    </row>
    <row r="1987" spans="1:11" ht="18" customHeight="1" x14ac:dyDescent="0.25">
      <c r="A1987" s="7" t="s">
        <v>53</v>
      </c>
      <c r="B1987" s="7">
        <v>2022</v>
      </c>
      <c r="C1987" s="7" t="s">
        <v>70</v>
      </c>
      <c r="D1987" s="7" t="s">
        <v>72</v>
      </c>
      <c r="E1987" s="7" t="s">
        <v>22</v>
      </c>
      <c r="F1987" s="7" t="s">
        <v>23</v>
      </c>
      <c r="G1987" s="7" t="s">
        <v>24</v>
      </c>
      <c r="H1987" s="7" t="s">
        <v>25</v>
      </c>
      <c r="I1987" s="7" t="s">
        <v>26</v>
      </c>
      <c r="J1987" s="7">
        <v>328</v>
      </c>
      <c r="K1987" s="7">
        <v>469.03999999999996</v>
      </c>
    </row>
    <row r="1988" spans="1:11" ht="18" customHeight="1" x14ac:dyDescent="0.25">
      <c r="A1988" s="7" t="s">
        <v>34</v>
      </c>
      <c r="B1988" s="7">
        <v>2022</v>
      </c>
      <c r="C1988" s="7" t="s">
        <v>70</v>
      </c>
      <c r="D1988" s="7" t="s">
        <v>72</v>
      </c>
      <c r="E1988" s="7" t="s">
        <v>22</v>
      </c>
      <c r="F1988" s="7" t="s">
        <v>23</v>
      </c>
      <c r="G1988" s="7" t="s">
        <v>24</v>
      </c>
      <c r="H1988" s="7" t="s">
        <v>25</v>
      </c>
      <c r="I1988" s="7" t="s">
        <v>26</v>
      </c>
      <c r="J1988" s="7">
        <v>322</v>
      </c>
      <c r="K1988" s="7">
        <v>460.46000000000004</v>
      </c>
    </row>
    <row r="1989" spans="1:11" ht="18" customHeight="1" x14ac:dyDescent="0.25">
      <c r="A1989" s="7" t="s">
        <v>34</v>
      </c>
      <c r="B1989" s="7">
        <v>2022</v>
      </c>
      <c r="C1989" s="7" t="s">
        <v>70</v>
      </c>
      <c r="D1989" s="7" t="s">
        <v>72</v>
      </c>
      <c r="E1989" s="7" t="s">
        <v>22</v>
      </c>
      <c r="F1989" s="7" t="s">
        <v>23</v>
      </c>
      <c r="G1989" s="7" t="s">
        <v>24</v>
      </c>
      <c r="H1989" s="7" t="s">
        <v>25</v>
      </c>
      <c r="I1989" s="7" t="s">
        <v>26</v>
      </c>
      <c r="J1989" s="7">
        <v>244</v>
      </c>
      <c r="K1989" s="7">
        <v>526.24</v>
      </c>
    </row>
    <row r="1990" spans="1:11" ht="18" customHeight="1" x14ac:dyDescent="0.25">
      <c r="A1990" s="7" t="s">
        <v>34</v>
      </c>
      <c r="B1990" s="7">
        <v>2022</v>
      </c>
      <c r="C1990" s="7" t="s">
        <v>70</v>
      </c>
      <c r="D1990" s="7" t="s">
        <v>72</v>
      </c>
      <c r="E1990" s="7" t="s">
        <v>22</v>
      </c>
      <c r="F1990" s="7" t="s">
        <v>23</v>
      </c>
      <c r="G1990" s="7" t="s">
        <v>24</v>
      </c>
      <c r="H1990" s="7" t="s">
        <v>25</v>
      </c>
      <c r="I1990" s="7" t="s">
        <v>26</v>
      </c>
      <c r="J1990" s="7">
        <v>214</v>
      </c>
      <c r="K1990" s="7">
        <v>526.24</v>
      </c>
    </row>
    <row r="1991" spans="1:11" ht="18" customHeight="1" x14ac:dyDescent="0.25">
      <c r="A1991" s="7" t="s">
        <v>19</v>
      </c>
      <c r="B1991" s="7">
        <v>2022</v>
      </c>
      <c r="C1991" s="7" t="s">
        <v>70</v>
      </c>
      <c r="D1991" s="7" t="s">
        <v>72</v>
      </c>
      <c r="E1991" s="7" t="s">
        <v>22</v>
      </c>
      <c r="F1991" s="7" t="s">
        <v>23</v>
      </c>
      <c r="G1991" s="7" t="s">
        <v>24</v>
      </c>
      <c r="H1991" s="7" t="s">
        <v>25</v>
      </c>
      <c r="I1991" s="7" t="s">
        <v>26</v>
      </c>
      <c r="J1991" s="7">
        <v>1016</v>
      </c>
      <c r="K1991" s="7">
        <v>1452.88</v>
      </c>
    </row>
    <row r="1992" spans="1:11" ht="18" customHeight="1" x14ac:dyDescent="0.25">
      <c r="A1992" s="7" t="s">
        <v>34</v>
      </c>
      <c r="B1992" s="7">
        <v>2022</v>
      </c>
      <c r="C1992" s="7" t="s">
        <v>70</v>
      </c>
      <c r="D1992" s="7" t="s">
        <v>72</v>
      </c>
      <c r="E1992" s="7" t="s">
        <v>22</v>
      </c>
      <c r="F1992" s="7" t="s">
        <v>23</v>
      </c>
      <c r="G1992" s="7" t="s">
        <v>24</v>
      </c>
      <c r="H1992" s="7" t="s">
        <v>25</v>
      </c>
      <c r="I1992" s="7" t="s">
        <v>26</v>
      </c>
      <c r="J1992" s="7">
        <v>216</v>
      </c>
      <c r="K1992" s="7">
        <v>308.88</v>
      </c>
    </row>
    <row r="1993" spans="1:11" ht="18" customHeight="1" x14ac:dyDescent="0.25">
      <c r="A1993" s="7" t="s">
        <v>34</v>
      </c>
      <c r="B1993" s="7">
        <v>2022</v>
      </c>
      <c r="C1993" s="7" t="s">
        <v>70</v>
      </c>
      <c r="D1993" s="7" t="s">
        <v>72</v>
      </c>
      <c r="E1993" s="7" t="s">
        <v>22</v>
      </c>
      <c r="F1993" s="7" t="s">
        <v>23</v>
      </c>
      <c r="G1993" s="7" t="s">
        <v>24</v>
      </c>
      <c r="H1993" s="7" t="s">
        <v>25</v>
      </c>
      <c r="I1993" s="7" t="s">
        <v>26</v>
      </c>
      <c r="J1993" s="7">
        <v>243</v>
      </c>
      <c r="K1993" s="7">
        <v>347.49</v>
      </c>
    </row>
    <row r="1994" spans="1:11" ht="18" customHeight="1" x14ac:dyDescent="0.25">
      <c r="A1994" s="7" t="s">
        <v>19</v>
      </c>
      <c r="B1994" s="7">
        <v>2022</v>
      </c>
      <c r="C1994" s="7" t="s">
        <v>70</v>
      </c>
      <c r="D1994" s="7" t="s">
        <v>72</v>
      </c>
      <c r="E1994" s="7" t="s">
        <v>22</v>
      </c>
      <c r="F1994" s="7" t="s">
        <v>23</v>
      </c>
      <c r="G1994" s="7" t="s">
        <v>24</v>
      </c>
      <c r="H1994" s="7" t="s">
        <v>25</v>
      </c>
      <c r="I1994" s="7" t="s">
        <v>26</v>
      </c>
      <c r="J1994" s="7">
        <v>171</v>
      </c>
      <c r="K1994" s="7">
        <v>244.53</v>
      </c>
    </row>
    <row r="1995" spans="1:11" ht="18" customHeight="1" x14ac:dyDescent="0.25">
      <c r="A1995" s="7" t="s">
        <v>19</v>
      </c>
      <c r="B1995" s="7">
        <v>2022</v>
      </c>
      <c r="C1995" s="7" t="s">
        <v>70</v>
      </c>
      <c r="D1995" s="7" t="s">
        <v>72</v>
      </c>
      <c r="E1995" s="7" t="s">
        <v>22</v>
      </c>
      <c r="F1995" s="7" t="s">
        <v>23</v>
      </c>
      <c r="G1995" s="7" t="s">
        <v>24</v>
      </c>
      <c r="H1995" s="7" t="s">
        <v>25</v>
      </c>
      <c r="I1995" s="7" t="s">
        <v>26</v>
      </c>
      <c r="J1995" s="7">
        <v>331</v>
      </c>
      <c r="K1995" s="7">
        <v>473.33</v>
      </c>
    </row>
    <row r="1996" spans="1:11" ht="18" customHeight="1" x14ac:dyDescent="0.25">
      <c r="A1996" s="7" t="s">
        <v>19</v>
      </c>
      <c r="B1996" s="7">
        <v>2022</v>
      </c>
      <c r="C1996" s="7" t="s">
        <v>70</v>
      </c>
      <c r="D1996" s="7" t="s">
        <v>72</v>
      </c>
      <c r="E1996" s="7" t="s">
        <v>22</v>
      </c>
      <c r="F1996" s="7" t="s">
        <v>23</v>
      </c>
      <c r="G1996" s="7" t="s">
        <v>24</v>
      </c>
      <c r="H1996" s="7" t="s">
        <v>25</v>
      </c>
      <c r="I1996" s="7" t="s">
        <v>26</v>
      </c>
      <c r="J1996" s="7">
        <v>325</v>
      </c>
      <c r="K1996" s="7">
        <v>464.75</v>
      </c>
    </row>
    <row r="1997" spans="1:11" ht="18" customHeight="1" x14ac:dyDescent="0.25">
      <c r="A1997" s="7" t="s">
        <v>34</v>
      </c>
      <c r="B1997" s="7">
        <v>2022</v>
      </c>
      <c r="C1997" s="7" t="s">
        <v>70</v>
      </c>
      <c r="D1997" s="7" t="s">
        <v>72</v>
      </c>
      <c r="E1997" s="7" t="s">
        <v>22</v>
      </c>
      <c r="F1997" s="7" t="s">
        <v>23</v>
      </c>
      <c r="G1997" s="7" t="s">
        <v>24</v>
      </c>
      <c r="H1997" s="7" t="s">
        <v>25</v>
      </c>
      <c r="I1997" s="7" t="s">
        <v>26</v>
      </c>
      <c r="J1997" s="7">
        <v>241</v>
      </c>
      <c r="K1997" s="7">
        <v>344.63</v>
      </c>
    </row>
    <row r="1998" spans="1:11" ht="18" customHeight="1" x14ac:dyDescent="0.25">
      <c r="A1998" s="7" t="s">
        <v>53</v>
      </c>
      <c r="B1998" s="7">
        <v>2022</v>
      </c>
      <c r="C1998" s="7" t="s">
        <v>70</v>
      </c>
      <c r="D1998" s="7" t="s">
        <v>72</v>
      </c>
      <c r="E1998" s="7" t="s">
        <v>22</v>
      </c>
      <c r="F1998" s="7" t="s">
        <v>23</v>
      </c>
      <c r="G1998" s="7" t="s">
        <v>24</v>
      </c>
      <c r="H1998" s="7" t="s">
        <v>25</v>
      </c>
      <c r="I1998" s="7" t="s">
        <v>26</v>
      </c>
      <c r="J1998" s="7">
        <v>797</v>
      </c>
      <c r="K1998" s="7">
        <v>1139.71</v>
      </c>
    </row>
    <row r="1999" spans="1:11" ht="18" customHeight="1" x14ac:dyDescent="0.25">
      <c r="A1999" s="7" t="s">
        <v>34</v>
      </c>
      <c r="B1999" s="7">
        <v>2022</v>
      </c>
      <c r="C1999" s="7" t="s">
        <v>70</v>
      </c>
      <c r="D1999" s="7" t="s">
        <v>72</v>
      </c>
      <c r="E1999" s="7" t="s">
        <v>22</v>
      </c>
      <c r="F1999" s="7" t="s">
        <v>23</v>
      </c>
      <c r="G1999" s="7" t="s">
        <v>24</v>
      </c>
      <c r="H1999" s="7" t="s">
        <v>25</v>
      </c>
      <c r="I1999" s="7" t="s">
        <v>26</v>
      </c>
      <c r="J1999" s="7">
        <v>830</v>
      </c>
      <c r="K1999" s="7">
        <v>1186.9000000000001</v>
      </c>
    </row>
    <row r="2000" spans="1:11" ht="18" customHeight="1" x14ac:dyDescent="0.25">
      <c r="A2000" s="7" t="s">
        <v>42</v>
      </c>
      <c r="B2000" s="7">
        <v>2022</v>
      </c>
      <c r="C2000" s="7" t="s">
        <v>70</v>
      </c>
      <c r="D2000" s="7" t="s">
        <v>72</v>
      </c>
      <c r="E2000" s="7" t="s">
        <v>22</v>
      </c>
      <c r="F2000" s="7" t="s">
        <v>23</v>
      </c>
      <c r="G2000" s="7" t="s">
        <v>24</v>
      </c>
      <c r="H2000" s="7" t="s">
        <v>25</v>
      </c>
      <c r="I2000" s="7" t="s">
        <v>35</v>
      </c>
      <c r="J2000" s="7">
        <v>335</v>
      </c>
      <c r="K2000" s="7">
        <v>479.05</v>
      </c>
    </row>
    <row r="2001" spans="1:11" ht="18" customHeight="1" x14ac:dyDescent="0.25">
      <c r="A2001" s="7" t="s">
        <v>19</v>
      </c>
      <c r="B2001" s="7">
        <v>2022</v>
      </c>
      <c r="C2001" s="7" t="s">
        <v>70</v>
      </c>
      <c r="D2001" s="7" t="s">
        <v>72</v>
      </c>
      <c r="E2001" s="7" t="s">
        <v>22</v>
      </c>
      <c r="F2001" s="7" t="s">
        <v>23</v>
      </c>
      <c r="G2001" s="7" t="s">
        <v>24</v>
      </c>
      <c r="H2001" s="7" t="s">
        <v>25</v>
      </c>
      <c r="I2001" s="7" t="s">
        <v>35</v>
      </c>
      <c r="J2001" s="7">
        <v>329</v>
      </c>
      <c r="K2001" s="7">
        <v>470.47</v>
      </c>
    </row>
    <row r="2002" spans="1:11" ht="18" customHeight="1" x14ac:dyDescent="0.25">
      <c r="A2002" s="7" t="s">
        <v>53</v>
      </c>
      <c r="B2002" s="7">
        <v>2022</v>
      </c>
      <c r="C2002" s="7" t="s">
        <v>70</v>
      </c>
      <c r="D2002" s="7" t="s">
        <v>72</v>
      </c>
      <c r="E2002" s="7" t="s">
        <v>22</v>
      </c>
      <c r="F2002" s="7" t="s">
        <v>23</v>
      </c>
      <c r="G2002" s="7" t="s">
        <v>24</v>
      </c>
      <c r="H2002" s="7" t="s">
        <v>25</v>
      </c>
      <c r="I2002" s="7" t="s">
        <v>35</v>
      </c>
      <c r="J2002" s="7">
        <v>323</v>
      </c>
      <c r="K2002" s="7">
        <v>461.89</v>
      </c>
    </row>
    <row r="2003" spans="1:11" ht="18" customHeight="1" x14ac:dyDescent="0.25">
      <c r="A2003" s="7" t="s">
        <v>19</v>
      </c>
      <c r="B2003" s="7">
        <v>2022</v>
      </c>
      <c r="C2003" s="7" t="s">
        <v>70</v>
      </c>
      <c r="D2003" s="7" t="s">
        <v>72</v>
      </c>
      <c r="E2003" s="7" t="s">
        <v>22</v>
      </c>
      <c r="F2003" s="7" t="s">
        <v>23</v>
      </c>
      <c r="G2003" s="7" t="s">
        <v>24</v>
      </c>
      <c r="H2003" s="7" t="s">
        <v>25</v>
      </c>
      <c r="I2003" s="7" t="s">
        <v>26</v>
      </c>
      <c r="J2003" s="7">
        <v>245</v>
      </c>
      <c r="K2003" s="7">
        <v>350.35</v>
      </c>
    </row>
    <row r="2004" spans="1:11" ht="18" customHeight="1" x14ac:dyDescent="0.25">
      <c r="A2004" s="7" t="s">
        <v>34</v>
      </c>
      <c r="B2004" s="7">
        <v>2022</v>
      </c>
      <c r="C2004" s="7" t="s">
        <v>70</v>
      </c>
      <c r="D2004" s="7" t="s">
        <v>72</v>
      </c>
      <c r="E2004" s="7" t="s">
        <v>22</v>
      </c>
      <c r="F2004" s="7" t="s">
        <v>23</v>
      </c>
      <c r="G2004" s="7" t="s">
        <v>24</v>
      </c>
      <c r="H2004" s="7" t="s">
        <v>25</v>
      </c>
      <c r="I2004" s="7" t="s">
        <v>26</v>
      </c>
      <c r="J2004" s="7">
        <v>167</v>
      </c>
      <c r="K2004" s="7">
        <v>238.81</v>
      </c>
    </row>
    <row r="2005" spans="1:11" ht="18" customHeight="1" x14ac:dyDescent="0.25">
      <c r="A2005" s="7" t="s">
        <v>19</v>
      </c>
      <c r="B2005" s="7">
        <v>2022</v>
      </c>
      <c r="C2005" s="7" t="s">
        <v>70</v>
      </c>
      <c r="D2005" s="7" t="s">
        <v>72</v>
      </c>
      <c r="E2005" s="7" t="s">
        <v>22</v>
      </c>
      <c r="F2005" s="7" t="s">
        <v>23</v>
      </c>
      <c r="G2005" s="7" t="s">
        <v>24</v>
      </c>
      <c r="H2005" s="7" t="s">
        <v>25</v>
      </c>
      <c r="I2005" s="7" t="s">
        <v>26</v>
      </c>
      <c r="J2005" s="7">
        <v>215</v>
      </c>
      <c r="K2005" s="7">
        <v>307.45</v>
      </c>
    </row>
    <row r="2006" spans="1:11" ht="18" customHeight="1" x14ac:dyDescent="0.25">
      <c r="A2006" s="7" t="s">
        <v>19</v>
      </c>
      <c r="B2006" s="7">
        <v>2022</v>
      </c>
      <c r="C2006" s="7" t="s">
        <v>69</v>
      </c>
      <c r="D2006" s="7" t="s">
        <v>72</v>
      </c>
      <c r="E2006" s="7" t="s">
        <v>22</v>
      </c>
      <c r="F2006" s="7" t="s">
        <v>23</v>
      </c>
      <c r="G2006" s="7" t="s">
        <v>24</v>
      </c>
      <c r="H2006" s="7" t="s">
        <v>25</v>
      </c>
      <c r="I2006" s="7" t="s">
        <v>35</v>
      </c>
      <c r="J2006" s="7">
        <v>350</v>
      </c>
      <c r="K2006" s="7">
        <v>500.5</v>
      </c>
    </row>
    <row r="2007" spans="1:11" ht="18" customHeight="1" x14ac:dyDescent="0.25">
      <c r="A2007" s="7" t="s">
        <v>19</v>
      </c>
      <c r="B2007" s="7">
        <v>2022</v>
      </c>
      <c r="C2007" s="7" t="s">
        <v>69</v>
      </c>
      <c r="D2007" s="7" t="s">
        <v>72</v>
      </c>
      <c r="E2007" s="7" t="s">
        <v>22</v>
      </c>
      <c r="F2007" s="7" t="s">
        <v>23</v>
      </c>
      <c r="G2007" s="7" t="s">
        <v>24</v>
      </c>
      <c r="H2007" s="7" t="s">
        <v>25</v>
      </c>
      <c r="I2007" s="7" t="s">
        <v>35</v>
      </c>
      <c r="J2007" s="7">
        <v>344</v>
      </c>
      <c r="K2007" s="7">
        <v>491.91999999999996</v>
      </c>
    </row>
    <row r="2008" spans="1:11" ht="18" customHeight="1" x14ac:dyDescent="0.25">
      <c r="A2008" s="7" t="s">
        <v>34</v>
      </c>
      <c r="B2008" s="7">
        <v>2022</v>
      </c>
      <c r="C2008" s="7" t="s">
        <v>69</v>
      </c>
      <c r="D2008" s="7" t="s">
        <v>72</v>
      </c>
      <c r="E2008" s="7" t="s">
        <v>22</v>
      </c>
      <c r="F2008" s="7" t="s">
        <v>23</v>
      </c>
      <c r="G2008" s="7" t="s">
        <v>24</v>
      </c>
      <c r="H2008" s="7" t="s">
        <v>25</v>
      </c>
      <c r="I2008" s="7" t="s">
        <v>35</v>
      </c>
      <c r="J2008" s="7">
        <v>338</v>
      </c>
      <c r="K2008" s="7">
        <v>483.34000000000003</v>
      </c>
    </row>
    <row r="2009" spans="1:11" ht="18" customHeight="1" x14ac:dyDescent="0.25">
      <c r="A2009" s="7" t="s">
        <v>19</v>
      </c>
      <c r="B2009" s="7">
        <v>2022</v>
      </c>
      <c r="C2009" s="7" t="s">
        <v>69</v>
      </c>
      <c r="D2009" s="7" t="s">
        <v>72</v>
      </c>
      <c r="E2009" s="7" t="s">
        <v>22</v>
      </c>
      <c r="F2009" s="7" t="s">
        <v>23</v>
      </c>
      <c r="G2009" s="7" t="s">
        <v>24</v>
      </c>
      <c r="H2009" s="7" t="s">
        <v>25</v>
      </c>
      <c r="I2009" s="7" t="s">
        <v>26</v>
      </c>
      <c r="J2009" s="7">
        <v>176</v>
      </c>
      <c r="K2009" s="7">
        <v>251.68</v>
      </c>
    </row>
    <row r="2010" spans="1:11" ht="18" customHeight="1" x14ac:dyDescent="0.25">
      <c r="A2010" s="7" t="s">
        <v>34</v>
      </c>
      <c r="B2010" s="7">
        <v>2022</v>
      </c>
      <c r="C2010" s="7" t="s">
        <v>69</v>
      </c>
      <c r="D2010" s="7" t="s">
        <v>72</v>
      </c>
      <c r="E2010" s="7" t="s">
        <v>22</v>
      </c>
      <c r="F2010" s="7" t="s">
        <v>23</v>
      </c>
      <c r="G2010" s="7" t="s">
        <v>24</v>
      </c>
      <c r="H2010" s="7" t="s">
        <v>25</v>
      </c>
      <c r="I2010" s="7" t="s">
        <v>26</v>
      </c>
      <c r="J2010" s="7">
        <v>352</v>
      </c>
      <c r="K2010" s="7">
        <v>503.36</v>
      </c>
    </row>
    <row r="2011" spans="1:11" ht="18" customHeight="1" x14ac:dyDescent="0.25">
      <c r="A2011" s="7" t="s">
        <v>34</v>
      </c>
      <c r="B2011" s="7">
        <v>2022</v>
      </c>
      <c r="C2011" s="7" t="s">
        <v>69</v>
      </c>
      <c r="D2011" s="7" t="s">
        <v>72</v>
      </c>
      <c r="E2011" s="7" t="s">
        <v>22</v>
      </c>
      <c r="F2011" s="7" t="s">
        <v>23</v>
      </c>
      <c r="G2011" s="7" t="s">
        <v>24</v>
      </c>
      <c r="H2011" s="7" t="s">
        <v>25</v>
      </c>
      <c r="I2011" s="7" t="s">
        <v>26</v>
      </c>
      <c r="J2011" s="7">
        <v>346</v>
      </c>
      <c r="K2011" s="7">
        <v>494.78</v>
      </c>
    </row>
    <row r="2012" spans="1:11" ht="18" customHeight="1" x14ac:dyDescent="0.25">
      <c r="A2012" s="7" t="s">
        <v>19</v>
      </c>
      <c r="B2012" s="7">
        <v>2022</v>
      </c>
      <c r="C2012" s="7" t="s">
        <v>69</v>
      </c>
      <c r="D2012" s="7" t="s">
        <v>72</v>
      </c>
      <c r="E2012" s="7" t="s">
        <v>22</v>
      </c>
      <c r="F2012" s="7" t="s">
        <v>23</v>
      </c>
      <c r="G2012" s="7" t="s">
        <v>24</v>
      </c>
      <c r="H2012" s="7" t="s">
        <v>25</v>
      </c>
      <c r="I2012" s="7" t="s">
        <v>26</v>
      </c>
      <c r="J2012" s="7">
        <v>340</v>
      </c>
      <c r="K2012" s="7">
        <v>486.2</v>
      </c>
    </row>
    <row r="2013" spans="1:11" ht="18" customHeight="1" x14ac:dyDescent="0.25">
      <c r="A2013" s="7" t="s">
        <v>19</v>
      </c>
      <c r="B2013" s="7">
        <v>2022</v>
      </c>
      <c r="C2013" s="7" t="s">
        <v>69</v>
      </c>
      <c r="D2013" s="7" t="s">
        <v>72</v>
      </c>
      <c r="E2013" s="7" t="s">
        <v>22</v>
      </c>
      <c r="F2013" s="7" t="s">
        <v>23</v>
      </c>
      <c r="G2013" s="7" t="s">
        <v>24</v>
      </c>
      <c r="H2013" s="7" t="s">
        <v>25</v>
      </c>
      <c r="I2013" s="7" t="s">
        <v>26</v>
      </c>
      <c r="J2013" s="7">
        <v>172</v>
      </c>
      <c r="K2013" s="7">
        <v>526.24</v>
      </c>
    </row>
    <row r="2014" spans="1:11" ht="18" customHeight="1" x14ac:dyDescent="0.25">
      <c r="A2014" s="7" t="s">
        <v>19</v>
      </c>
      <c r="B2014" s="7">
        <v>2022</v>
      </c>
      <c r="C2014" s="7" t="s">
        <v>69</v>
      </c>
      <c r="D2014" s="7" t="s">
        <v>72</v>
      </c>
      <c r="E2014" s="7" t="s">
        <v>22</v>
      </c>
      <c r="F2014" s="7" t="s">
        <v>23</v>
      </c>
      <c r="G2014" s="7" t="s">
        <v>24</v>
      </c>
      <c r="H2014" s="7" t="s">
        <v>25</v>
      </c>
      <c r="I2014" s="7" t="s">
        <v>26</v>
      </c>
      <c r="J2014" s="7">
        <v>220</v>
      </c>
      <c r="K2014" s="7">
        <v>526.24</v>
      </c>
    </row>
    <row r="2015" spans="1:11" ht="18" customHeight="1" x14ac:dyDescent="0.25">
      <c r="A2015" s="7" t="s">
        <v>34</v>
      </c>
      <c r="B2015" s="7">
        <v>2022</v>
      </c>
      <c r="C2015" s="7" t="s">
        <v>69</v>
      </c>
      <c r="D2015" s="7" t="s">
        <v>72</v>
      </c>
      <c r="E2015" s="7" t="s">
        <v>22</v>
      </c>
      <c r="F2015" s="7" t="s">
        <v>23</v>
      </c>
      <c r="G2015" s="7" t="s">
        <v>24</v>
      </c>
      <c r="H2015" s="7" t="s">
        <v>25</v>
      </c>
      <c r="I2015" s="7" t="s">
        <v>26</v>
      </c>
      <c r="J2015" s="7">
        <v>962</v>
      </c>
      <c r="K2015" s="7">
        <v>1375.6599999999999</v>
      </c>
    </row>
    <row r="2016" spans="1:11" ht="18" customHeight="1" x14ac:dyDescent="0.25">
      <c r="A2016" s="7" t="s">
        <v>34</v>
      </c>
      <c r="B2016" s="7">
        <v>2022</v>
      </c>
      <c r="C2016" s="7" t="s">
        <v>69</v>
      </c>
      <c r="D2016" s="7" t="s">
        <v>72</v>
      </c>
      <c r="E2016" s="7" t="s">
        <v>22</v>
      </c>
      <c r="F2016" s="7" t="s">
        <v>23</v>
      </c>
      <c r="G2016" s="7" t="s">
        <v>24</v>
      </c>
      <c r="H2016" s="7" t="s">
        <v>25</v>
      </c>
      <c r="I2016" s="7" t="s">
        <v>26</v>
      </c>
      <c r="J2016" s="7">
        <v>1015</v>
      </c>
      <c r="K2016" s="7">
        <v>1451.45</v>
      </c>
    </row>
    <row r="2017" spans="1:11" ht="18" customHeight="1" x14ac:dyDescent="0.25">
      <c r="A2017" s="7" t="s">
        <v>34</v>
      </c>
      <c r="B2017" s="7">
        <v>2022</v>
      </c>
      <c r="C2017" s="7" t="s">
        <v>69</v>
      </c>
      <c r="D2017" s="7" t="s">
        <v>72</v>
      </c>
      <c r="E2017" s="7" t="s">
        <v>22</v>
      </c>
      <c r="F2017" s="7" t="s">
        <v>23</v>
      </c>
      <c r="G2017" s="7" t="s">
        <v>24</v>
      </c>
      <c r="H2017" s="7" t="s">
        <v>25</v>
      </c>
      <c r="I2017" s="7" t="s">
        <v>26</v>
      </c>
      <c r="J2017" s="7">
        <v>222</v>
      </c>
      <c r="K2017" s="7">
        <v>317.45999999999998</v>
      </c>
    </row>
    <row r="2018" spans="1:11" ht="18" customHeight="1" x14ac:dyDescent="0.25">
      <c r="A2018" s="7" t="s">
        <v>34</v>
      </c>
      <c r="B2018" s="7">
        <v>2022</v>
      </c>
      <c r="C2018" s="7" t="s">
        <v>69</v>
      </c>
      <c r="D2018" s="7" t="s">
        <v>72</v>
      </c>
      <c r="E2018" s="7" t="s">
        <v>22</v>
      </c>
      <c r="F2018" s="7" t="s">
        <v>23</v>
      </c>
      <c r="G2018" s="7" t="s">
        <v>24</v>
      </c>
      <c r="H2018" s="7" t="s">
        <v>25</v>
      </c>
      <c r="I2018" s="7" t="s">
        <v>26</v>
      </c>
      <c r="J2018" s="7">
        <v>177</v>
      </c>
      <c r="K2018" s="7">
        <v>253.11</v>
      </c>
    </row>
    <row r="2019" spans="1:11" ht="18" customHeight="1" x14ac:dyDescent="0.25">
      <c r="A2019" s="7" t="s">
        <v>34</v>
      </c>
      <c r="B2019" s="7">
        <v>2022</v>
      </c>
      <c r="C2019" s="7" t="s">
        <v>69</v>
      </c>
      <c r="D2019" s="7" t="s">
        <v>72</v>
      </c>
      <c r="E2019" s="7" t="s">
        <v>22</v>
      </c>
      <c r="F2019" s="7" t="s">
        <v>23</v>
      </c>
      <c r="G2019" s="7" t="s">
        <v>24</v>
      </c>
      <c r="H2019" s="7" t="s">
        <v>25</v>
      </c>
      <c r="I2019" s="7" t="s">
        <v>26</v>
      </c>
      <c r="J2019" s="7">
        <v>219</v>
      </c>
      <c r="K2019" s="7">
        <v>313.17</v>
      </c>
    </row>
    <row r="2020" spans="1:11" ht="18" customHeight="1" x14ac:dyDescent="0.25">
      <c r="A2020" s="7" t="s">
        <v>19</v>
      </c>
      <c r="B2020" s="7">
        <v>2022</v>
      </c>
      <c r="C2020" s="7" t="s">
        <v>69</v>
      </c>
      <c r="D2020" s="7" t="s">
        <v>72</v>
      </c>
      <c r="E2020" s="7" t="s">
        <v>22</v>
      </c>
      <c r="F2020" s="7" t="s">
        <v>23</v>
      </c>
      <c r="G2020" s="7" t="s">
        <v>24</v>
      </c>
      <c r="H2020" s="7" t="s">
        <v>25</v>
      </c>
      <c r="I2020" s="7" t="s">
        <v>26</v>
      </c>
      <c r="J2020" s="7">
        <v>349</v>
      </c>
      <c r="K2020" s="7">
        <v>499.07</v>
      </c>
    </row>
    <row r="2021" spans="1:11" ht="18" customHeight="1" x14ac:dyDescent="0.25">
      <c r="A2021" s="7" t="s">
        <v>34</v>
      </c>
      <c r="B2021" s="7">
        <v>2022</v>
      </c>
      <c r="C2021" s="7" t="s">
        <v>69</v>
      </c>
      <c r="D2021" s="7" t="s">
        <v>72</v>
      </c>
      <c r="E2021" s="7" t="s">
        <v>22</v>
      </c>
      <c r="F2021" s="7" t="s">
        <v>23</v>
      </c>
      <c r="G2021" s="7" t="s">
        <v>24</v>
      </c>
      <c r="H2021" s="7" t="s">
        <v>25</v>
      </c>
      <c r="I2021" s="7" t="s">
        <v>26</v>
      </c>
      <c r="J2021" s="7">
        <v>343</v>
      </c>
      <c r="K2021" s="7">
        <v>490.49</v>
      </c>
    </row>
    <row r="2022" spans="1:11" ht="18" customHeight="1" x14ac:dyDescent="0.25">
      <c r="A2022" s="7" t="s">
        <v>19</v>
      </c>
      <c r="B2022" s="7">
        <v>2022</v>
      </c>
      <c r="C2022" s="7" t="s">
        <v>69</v>
      </c>
      <c r="D2022" s="7" t="s">
        <v>72</v>
      </c>
      <c r="E2022" s="7" t="s">
        <v>22</v>
      </c>
      <c r="F2022" s="7" t="s">
        <v>23</v>
      </c>
      <c r="G2022" s="7" t="s">
        <v>24</v>
      </c>
      <c r="H2022" s="7" t="s">
        <v>25</v>
      </c>
      <c r="I2022" s="7" t="s">
        <v>26</v>
      </c>
      <c r="J2022" s="7">
        <v>337</v>
      </c>
      <c r="K2022" s="7">
        <v>481.90999999999997</v>
      </c>
    </row>
    <row r="2023" spans="1:11" ht="18" customHeight="1" x14ac:dyDescent="0.25">
      <c r="A2023" s="7" t="s">
        <v>34</v>
      </c>
      <c r="B2023" s="7">
        <v>2022</v>
      </c>
      <c r="C2023" s="7" t="s">
        <v>69</v>
      </c>
      <c r="D2023" s="7" t="s">
        <v>72</v>
      </c>
      <c r="E2023" s="7" t="s">
        <v>22</v>
      </c>
      <c r="F2023" s="7" t="s">
        <v>23</v>
      </c>
      <c r="G2023" s="7" t="s">
        <v>24</v>
      </c>
      <c r="H2023" s="7" t="s">
        <v>25</v>
      </c>
      <c r="I2023" s="7" t="s">
        <v>26</v>
      </c>
      <c r="J2023" s="7">
        <v>796</v>
      </c>
      <c r="K2023" s="7">
        <v>1138.28</v>
      </c>
    </row>
    <row r="2024" spans="1:11" ht="18" customHeight="1" x14ac:dyDescent="0.25">
      <c r="A2024" s="7" t="s">
        <v>42</v>
      </c>
      <c r="B2024" s="7">
        <v>2022</v>
      </c>
      <c r="C2024" s="7" t="s">
        <v>69</v>
      </c>
      <c r="D2024" s="7" t="s">
        <v>72</v>
      </c>
      <c r="E2024" s="7" t="s">
        <v>22</v>
      </c>
      <c r="F2024" s="7" t="s">
        <v>23</v>
      </c>
      <c r="G2024" s="7" t="s">
        <v>24</v>
      </c>
      <c r="H2024" s="7" t="s">
        <v>25</v>
      </c>
      <c r="I2024" s="7" t="s">
        <v>26</v>
      </c>
      <c r="J2024" s="7">
        <v>829</v>
      </c>
      <c r="K2024" s="7">
        <v>1185.47</v>
      </c>
    </row>
    <row r="2025" spans="1:11" ht="18" customHeight="1" x14ac:dyDescent="0.25">
      <c r="A2025" s="7" t="s">
        <v>19</v>
      </c>
      <c r="B2025" s="7">
        <v>2022</v>
      </c>
      <c r="C2025" s="7" t="s">
        <v>69</v>
      </c>
      <c r="D2025" s="7" t="s">
        <v>72</v>
      </c>
      <c r="E2025" s="7" t="s">
        <v>22</v>
      </c>
      <c r="F2025" s="7" t="s">
        <v>23</v>
      </c>
      <c r="G2025" s="7" t="s">
        <v>24</v>
      </c>
      <c r="H2025" s="7" t="s">
        <v>25</v>
      </c>
      <c r="I2025" s="7" t="s">
        <v>35</v>
      </c>
      <c r="J2025" s="7">
        <v>347</v>
      </c>
      <c r="K2025" s="7">
        <v>496.21000000000004</v>
      </c>
    </row>
    <row r="2026" spans="1:11" ht="18" customHeight="1" x14ac:dyDescent="0.25">
      <c r="A2026" s="7" t="s">
        <v>19</v>
      </c>
      <c r="B2026" s="7">
        <v>2022</v>
      </c>
      <c r="C2026" s="7" t="s">
        <v>69</v>
      </c>
      <c r="D2026" s="7" t="s">
        <v>72</v>
      </c>
      <c r="E2026" s="7" t="s">
        <v>22</v>
      </c>
      <c r="F2026" s="7" t="s">
        <v>23</v>
      </c>
      <c r="G2026" s="7" t="s">
        <v>24</v>
      </c>
      <c r="H2026" s="7" t="s">
        <v>25</v>
      </c>
      <c r="I2026" s="7" t="s">
        <v>35</v>
      </c>
      <c r="J2026" s="7">
        <v>341</v>
      </c>
      <c r="K2026" s="7">
        <v>487.63</v>
      </c>
    </row>
    <row r="2027" spans="1:11" ht="18" customHeight="1" x14ac:dyDescent="0.25">
      <c r="A2027" s="7" t="s">
        <v>19</v>
      </c>
      <c r="B2027" s="7">
        <v>2022</v>
      </c>
      <c r="C2027" s="7" t="s">
        <v>69</v>
      </c>
      <c r="D2027" s="7" t="s">
        <v>72</v>
      </c>
      <c r="E2027" s="7" t="s">
        <v>22</v>
      </c>
      <c r="F2027" s="7" t="s">
        <v>23</v>
      </c>
      <c r="G2027" s="7" t="s">
        <v>24</v>
      </c>
      <c r="H2027" s="7" t="s">
        <v>25</v>
      </c>
      <c r="I2027" s="7" t="s">
        <v>26</v>
      </c>
      <c r="J2027" s="7">
        <v>173</v>
      </c>
      <c r="K2027" s="7">
        <v>247.39</v>
      </c>
    </row>
    <row r="2028" spans="1:11" ht="18" customHeight="1" x14ac:dyDescent="0.25">
      <c r="A2028" s="7" t="s">
        <v>19</v>
      </c>
      <c r="B2028" s="7">
        <v>2022</v>
      </c>
      <c r="C2028" s="7" t="s">
        <v>69</v>
      </c>
      <c r="D2028" s="7" t="s">
        <v>72</v>
      </c>
      <c r="E2028" s="7" t="s">
        <v>22</v>
      </c>
      <c r="F2028" s="7" t="s">
        <v>23</v>
      </c>
      <c r="G2028" s="7" t="s">
        <v>24</v>
      </c>
      <c r="H2028" s="7" t="s">
        <v>25</v>
      </c>
      <c r="I2028" s="7" t="s">
        <v>26</v>
      </c>
      <c r="J2028" s="7">
        <v>221</v>
      </c>
      <c r="K2028" s="7">
        <v>316.02999999999997</v>
      </c>
    </row>
    <row r="2029" spans="1:11" ht="18" customHeight="1" x14ac:dyDescent="0.25">
      <c r="A2029" s="7" t="s">
        <v>19</v>
      </c>
      <c r="B2029" s="7">
        <v>2022</v>
      </c>
      <c r="C2029" s="7" t="s">
        <v>20</v>
      </c>
      <c r="D2029" s="7" t="s">
        <v>21</v>
      </c>
      <c r="E2029" s="7" t="s">
        <v>74</v>
      </c>
      <c r="F2029" s="7" t="s">
        <v>75</v>
      </c>
      <c r="G2029" s="7" t="s">
        <v>64</v>
      </c>
      <c r="H2029" s="7" t="s">
        <v>25</v>
      </c>
      <c r="I2029" s="7" t="s">
        <v>76</v>
      </c>
      <c r="J2029" s="7">
        <v>214</v>
      </c>
      <c r="K2029" s="7">
        <v>306.02</v>
      </c>
    </row>
    <row r="2030" spans="1:11" ht="18" customHeight="1" x14ac:dyDescent="0.25">
      <c r="A2030" s="7" t="s">
        <v>42</v>
      </c>
      <c r="B2030" s="7">
        <v>2022</v>
      </c>
      <c r="C2030" s="7" t="s">
        <v>20</v>
      </c>
      <c r="D2030" s="7" t="s">
        <v>21</v>
      </c>
      <c r="E2030" s="7" t="s">
        <v>74</v>
      </c>
      <c r="F2030" s="7" t="s">
        <v>75</v>
      </c>
      <c r="G2030" s="7" t="s">
        <v>64</v>
      </c>
      <c r="H2030" s="7" t="s">
        <v>25</v>
      </c>
      <c r="I2030" s="7" t="s">
        <v>76</v>
      </c>
      <c r="J2030" s="7">
        <v>208</v>
      </c>
      <c r="K2030" s="7">
        <v>297.44</v>
      </c>
    </row>
    <row r="2031" spans="1:11" ht="18" customHeight="1" x14ac:dyDescent="0.25">
      <c r="A2031" s="7" t="s">
        <v>34</v>
      </c>
      <c r="B2031" s="7">
        <v>2022</v>
      </c>
      <c r="C2031" s="7" t="s">
        <v>20</v>
      </c>
      <c r="D2031" s="7" t="s">
        <v>21</v>
      </c>
      <c r="E2031" s="7" t="s">
        <v>74</v>
      </c>
      <c r="F2031" s="7" t="s">
        <v>75</v>
      </c>
      <c r="G2031" s="7" t="s">
        <v>64</v>
      </c>
      <c r="H2031" s="7" t="s">
        <v>25</v>
      </c>
      <c r="I2031" s="7" t="s">
        <v>76</v>
      </c>
      <c r="J2031" s="7">
        <v>202</v>
      </c>
      <c r="K2031" s="7">
        <v>288.86</v>
      </c>
    </row>
    <row r="2032" spans="1:11" ht="18" customHeight="1" x14ac:dyDescent="0.25">
      <c r="A2032" s="7" t="s">
        <v>61</v>
      </c>
      <c r="B2032" s="7">
        <v>2022</v>
      </c>
      <c r="C2032" s="7" t="s">
        <v>20</v>
      </c>
      <c r="D2032" s="7" t="s">
        <v>21</v>
      </c>
      <c r="E2032" s="7" t="s">
        <v>74</v>
      </c>
      <c r="F2032" s="7" t="s">
        <v>75</v>
      </c>
      <c r="G2032" s="7" t="s">
        <v>64</v>
      </c>
      <c r="H2032" s="7" t="s">
        <v>25</v>
      </c>
      <c r="I2032" s="7" t="s">
        <v>76</v>
      </c>
      <c r="J2032" s="7">
        <v>211</v>
      </c>
      <c r="K2032" s="7">
        <v>301.73</v>
      </c>
    </row>
    <row r="2033" spans="1:11" ht="18" customHeight="1" x14ac:dyDescent="0.25">
      <c r="A2033" s="7" t="s">
        <v>19</v>
      </c>
      <c r="B2033" s="7">
        <v>2022</v>
      </c>
      <c r="C2033" s="7" t="s">
        <v>20</v>
      </c>
      <c r="D2033" s="7" t="s">
        <v>21</v>
      </c>
      <c r="E2033" s="7" t="s">
        <v>74</v>
      </c>
      <c r="F2033" s="7" t="s">
        <v>75</v>
      </c>
      <c r="G2033" s="7" t="s">
        <v>64</v>
      </c>
      <c r="H2033" s="7" t="s">
        <v>25</v>
      </c>
      <c r="I2033" s="7" t="s">
        <v>76</v>
      </c>
      <c r="J2033" s="7">
        <v>205</v>
      </c>
      <c r="K2033" s="7">
        <v>293.14999999999998</v>
      </c>
    </row>
    <row r="2034" spans="1:11" ht="18" customHeight="1" x14ac:dyDescent="0.25">
      <c r="A2034" s="7" t="s">
        <v>34</v>
      </c>
      <c r="B2034" s="7">
        <v>2022</v>
      </c>
      <c r="C2034" s="7" t="s">
        <v>59</v>
      </c>
      <c r="D2034" s="7" t="s">
        <v>21</v>
      </c>
      <c r="E2034" s="7" t="s">
        <v>74</v>
      </c>
      <c r="F2034" s="7" t="s">
        <v>75</v>
      </c>
      <c r="G2034" s="7" t="s">
        <v>64</v>
      </c>
      <c r="H2034" s="7" t="s">
        <v>25</v>
      </c>
      <c r="I2034" s="7" t="s">
        <v>76</v>
      </c>
      <c r="J2034" s="7">
        <v>244</v>
      </c>
      <c r="K2034" s="7">
        <v>348.92</v>
      </c>
    </row>
    <row r="2035" spans="1:11" ht="18" customHeight="1" x14ac:dyDescent="0.25">
      <c r="A2035" s="7" t="s">
        <v>19</v>
      </c>
      <c r="B2035" s="7">
        <v>2022</v>
      </c>
      <c r="C2035" s="7" t="s">
        <v>59</v>
      </c>
      <c r="D2035" s="7" t="s">
        <v>21</v>
      </c>
      <c r="E2035" s="7" t="s">
        <v>74</v>
      </c>
      <c r="F2035" s="7" t="s">
        <v>75</v>
      </c>
      <c r="G2035" s="7" t="s">
        <v>64</v>
      </c>
      <c r="H2035" s="7" t="s">
        <v>25</v>
      </c>
      <c r="I2035" s="7" t="s">
        <v>76</v>
      </c>
      <c r="J2035" s="7">
        <v>238</v>
      </c>
      <c r="K2035" s="7">
        <v>340.34000000000003</v>
      </c>
    </row>
    <row r="2036" spans="1:11" ht="18" customHeight="1" x14ac:dyDescent="0.25">
      <c r="A2036" s="7" t="s">
        <v>19</v>
      </c>
      <c r="B2036" s="7">
        <v>2022</v>
      </c>
      <c r="C2036" s="7" t="s">
        <v>59</v>
      </c>
      <c r="D2036" s="7" t="s">
        <v>21</v>
      </c>
      <c r="E2036" s="7" t="s">
        <v>74</v>
      </c>
      <c r="F2036" s="7" t="s">
        <v>75</v>
      </c>
      <c r="G2036" s="7" t="s">
        <v>64</v>
      </c>
      <c r="H2036" s="7" t="s">
        <v>25</v>
      </c>
      <c r="I2036" s="7" t="s">
        <v>76</v>
      </c>
      <c r="J2036" s="7">
        <v>247</v>
      </c>
      <c r="K2036" s="7">
        <v>353.21</v>
      </c>
    </row>
    <row r="2037" spans="1:11" ht="18" customHeight="1" x14ac:dyDescent="0.25">
      <c r="A2037" s="7" t="s">
        <v>34</v>
      </c>
      <c r="B2037" s="7">
        <v>2022</v>
      </c>
      <c r="C2037" s="7" t="s">
        <v>59</v>
      </c>
      <c r="D2037" s="7" t="s">
        <v>21</v>
      </c>
      <c r="E2037" s="7" t="s">
        <v>74</v>
      </c>
      <c r="F2037" s="7" t="s">
        <v>75</v>
      </c>
      <c r="G2037" s="7" t="s">
        <v>64</v>
      </c>
      <c r="H2037" s="7" t="s">
        <v>25</v>
      </c>
      <c r="I2037" s="7" t="s">
        <v>76</v>
      </c>
      <c r="J2037" s="7">
        <v>241</v>
      </c>
      <c r="K2037" s="7">
        <v>344.63</v>
      </c>
    </row>
    <row r="2038" spans="1:11" ht="18" customHeight="1" x14ac:dyDescent="0.25">
      <c r="A2038" s="7" t="s">
        <v>42</v>
      </c>
      <c r="B2038" s="7">
        <v>2022</v>
      </c>
      <c r="C2038" s="7" t="s">
        <v>59</v>
      </c>
      <c r="D2038" s="7" t="s">
        <v>21</v>
      </c>
      <c r="E2038" s="7" t="s">
        <v>74</v>
      </c>
      <c r="F2038" s="7" t="s">
        <v>75</v>
      </c>
      <c r="G2038" s="7" t="s">
        <v>64</v>
      </c>
      <c r="H2038" s="7" t="s">
        <v>25</v>
      </c>
      <c r="I2038" s="7" t="s">
        <v>76</v>
      </c>
      <c r="J2038" s="7">
        <v>235</v>
      </c>
      <c r="K2038" s="7">
        <v>336.05</v>
      </c>
    </row>
    <row r="2039" spans="1:11" ht="18" customHeight="1" x14ac:dyDescent="0.25">
      <c r="A2039" s="7" t="s">
        <v>34</v>
      </c>
      <c r="B2039" s="7">
        <v>2022</v>
      </c>
      <c r="C2039" s="7" t="s">
        <v>27</v>
      </c>
      <c r="D2039" s="7" t="s">
        <v>21</v>
      </c>
      <c r="E2039" s="7" t="s">
        <v>74</v>
      </c>
      <c r="F2039" s="7" t="s">
        <v>75</v>
      </c>
      <c r="G2039" s="7" t="s">
        <v>64</v>
      </c>
      <c r="H2039" s="7" t="s">
        <v>25</v>
      </c>
      <c r="I2039" s="7" t="s">
        <v>26</v>
      </c>
      <c r="J2039" s="7">
        <v>262</v>
      </c>
      <c r="K2039" s="7">
        <v>374.65999999999997</v>
      </c>
    </row>
    <row r="2040" spans="1:11" ht="18" customHeight="1" x14ac:dyDescent="0.25">
      <c r="A2040" s="7" t="s">
        <v>34</v>
      </c>
      <c r="B2040" s="7">
        <v>2022</v>
      </c>
      <c r="C2040" s="7" t="s">
        <v>27</v>
      </c>
      <c r="D2040" s="7" t="s">
        <v>21</v>
      </c>
      <c r="E2040" s="7" t="s">
        <v>74</v>
      </c>
      <c r="F2040" s="7" t="s">
        <v>75</v>
      </c>
      <c r="G2040" s="7" t="s">
        <v>64</v>
      </c>
      <c r="H2040" s="7" t="s">
        <v>25</v>
      </c>
      <c r="I2040" s="7" t="s">
        <v>76</v>
      </c>
      <c r="J2040" s="7">
        <v>256</v>
      </c>
      <c r="K2040" s="7">
        <v>366.08</v>
      </c>
    </row>
    <row r="2041" spans="1:11" ht="18" customHeight="1" x14ac:dyDescent="0.25">
      <c r="A2041" s="7" t="s">
        <v>34</v>
      </c>
      <c r="B2041" s="7">
        <v>2022</v>
      </c>
      <c r="C2041" s="7" t="s">
        <v>27</v>
      </c>
      <c r="D2041" s="7" t="s">
        <v>21</v>
      </c>
      <c r="E2041" s="7" t="s">
        <v>74</v>
      </c>
      <c r="F2041" s="7" t="s">
        <v>75</v>
      </c>
      <c r="G2041" s="7" t="s">
        <v>64</v>
      </c>
      <c r="H2041" s="7" t="s">
        <v>25</v>
      </c>
      <c r="I2041" s="7" t="s">
        <v>76</v>
      </c>
      <c r="J2041" s="7">
        <v>250</v>
      </c>
      <c r="K2041" s="7">
        <v>357.5</v>
      </c>
    </row>
    <row r="2042" spans="1:11" ht="18" customHeight="1" x14ac:dyDescent="0.25">
      <c r="A2042" s="7" t="s">
        <v>34</v>
      </c>
      <c r="B2042" s="7">
        <v>2022</v>
      </c>
      <c r="C2042" s="7" t="s">
        <v>27</v>
      </c>
      <c r="D2042" s="7" t="s">
        <v>21</v>
      </c>
      <c r="E2042" s="7" t="s">
        <v>74</v>
      </c>
      <c r="F2042" s="7" t="s">
        <v>75</v>
      </c>
      <c r="G2042" s="7" t="s">
        <v>64</v>
      </c>
      <c r="H2042" s="7" t="s">
        <v>25</v>
      </c>
      <c r="I2042" s="7" t="s">
        <v>76</v>
      </c>
      <c r="J2042" s="7">
        <v>259</v>
      </c>
      <c r="K2042" s="7">
        <v>370.37</v>
      </c>
    </row>
    <row r="2043" spans="1:11" ht="18" customHeight="1" x14ac:dyDescent="0.25">
      <c r="A2043" s="7" t="s">
        <v>42</v>
      </c>
      <c r="B2043" s="7">
        <v>2022</v>
      </c>
      <c r="C2043" s="7" t="s">
        <v>27</v>
      </c>
      <c r="D2043" s="7" t="s">
        <v>21</v>
      </c>
      <c r="E2043" s="7" t="s">
        <v>74</v>
      </c>
      <c r="F2043" s="7" t="s">
        <v>75</v>
      </c>
      <c r="G2043" s="7" t="s">
        <v>64</v>
      </c>
      <c r="H2043" s="7" t="s">
        <v>25</v>
      </c>
      <c r="I2043" s="7" t="s">
        <v>76</v>
      </c>
      <c r="J2043" s="7">
        <v>253</v>
      </c>
      <c r="K2043" s="7">
        <v>361.78999999999996</v>
      </c>
    </row>
    <row r="2044" spans="1:11" ht="18" customHeight="1" x14ac:dyDescent="0.25">
      <c r="A2044" s="7" t="s">
        <v>34</v>
      </c>
      <c r="B2044" s="7">
        <v>2022</v>
      </c>
      <c r="C2044" s="7" t="s">
        <v>67</v>
      </c>
      <c r="D2044" s="7" t="s">
        <v>21</v>
      </c>
      <c r="E2044" s="7" t="s">
        <v>74</v>
      </c>
      <c r="F2044" s="7" t="s">
        <v>75</v>
      </c>
      <c r="G2044" s="7" t="s">
        <v>64</v>
      </c>
      <c r="H2044" s="7" t="s">
        <v>25</v>
      </c>
      <c r="I2044" s="7" t="s">
        <v>76</v>
      </c>
      <c r="J2044" s="7">
        <v>184</v>
      </c>
      <c r="K2044" s="7">
        <v>263.12</v>
      </c>
    </row>
    <row r="2045" spans="1:11" ht="18" customHeight="1" x14ac:dyDescent="0.25">
      <c r="A2045" s="7" t="s">
        <v>53</v>
      </c>
      <c r="B2045" s="7">
        <v>2022</v>
      </c>
      <c r="C2045" s="7" t="s">
        <v>67</v>
      </c>
      <c r="D2045" s="7" t="s">
        <v>21</v>
      </c>
      <c r="E2045" s="7" t="s">
        <v>74</v>
      </c>
      <c r="F2045" s="7" t="s">
        <v>75</v>
      </c>
      <c r="G2045" s="7" t="s">
        <v>64</v>
      </c>
      <c r="H2045" s="7" t="s">
        <v>25</v>
      </c>
      <c r="I2045" s="7" t="s">
        <v>76</v>
      </c>
      <c r="J2045" s="7">
        <v>178</v>
      </c>
      <c r="K2045" s="7">
        <v>254.54</v>
      </c>
    </row>
    <row r="2046" spans="1:11" ht="18" customHeight="1" x14ac:dyDescent="0.25">
      <c r="A2046" s="7" t="s">
        <v>42</v>
      </c>
      <c r="B2046" s="7">
        <v>2022</v>
      </c>
      <c r="C2046" s="7" t="s">
        <v>67</v>
      </c>
      <c r="D2046" s="7" t="s">
        <v>21</v>
      </c>
      <c r="E2046" s="7" t="s">
        <v>74</v>
      </c>
      <c r="F2046" s="7" t="s">
        <v>75</v>
      </c>
      <c r="G2046" s="7" t="s">
        <v>64</v>
      </c>
      <c r="H2046" s="7" t="s">
        <v>25</v>
      </c>
      <c r="I2046" s="7" t="s">
        <v>76</v>
      </c>
      <c r="J2046" s="7">
        <v>172</v>
      </c>
      <c r="K2046" s="7">
        <v>245.95999999999998</v>
      </c>
    </row>
    <row r="2047" spans="1:11" ht="18" customHeight="1" x14ac:dyDescent="0.25">
      <c r="A2047" s="7" t="s">
        <v>19</v>
      </c>
      <c r="B2047" s="7">
        <v>2022</v>
      </c>
      <c r="C2047" s="7" t="s">
        <v>67</v>
      </c>
      <c r="D2047" s="7" t="s">
        <v>21</v>
      </c>
      <c r="E2047" s="7" t="s">
        <v>74</v>
      </c>
      <c r="F2047" s="7" t="s">
        <v>75</v>
      </c>
      <c r="G2047" s="7" t="s">
        <v>64</v>
      </c>
      <c r="H2047" s="7" t="s">
        <v>25</v>
      </c>
      <c r="I2047" s="7" t="s">
        <v>76</v>
      </c>
      <c r="J2047" s="7">
        <v>181</v>
      </c>
      <c r="K2047" s="7">
        <v>258.83</v>
      </c>
    </row>
    <row r="2048" spans="1:11" ht="18" customHeight="1" x14ac:dyDescent="0.25">
      <c r="A2048" s="7" t="s">
        <v>53</v>
      </c>
      <c r="B2048" s="7">
        <v>2022</v>
      </c>
      <c r="C2048" s="7" t="s">
        <v>67</v>
      </c>
      <c r="D2048" s="7" t="s">
        <v>21</v>
      </c>
      <c r="E2048" s="7" t="s">
        <v>74</v>
      </c>
      <c r="F2048" s="7" t="s">
        <v>75</v>
      </c>
      <c r="G2048" s="7" t="s">
        <v>64</v>
      </c>
      <c r="H2048" s="7" t="s">
        <v>25</v>
      </c>
      <c r="I2048" s="7" t="s">
        <v>76</v>
      </c>
      <c r="J2048" s="7">
        <v>175</v>
      </c>
      <c r="K2048" s="7">
        <v>250.25</v>
      </c>
    </row>
    <row r="2049" spans="1:11" ht="18" customHeight="1" x14ac:dyDescent="0.25">
      <c r="A2049" s="7" t="s">
        <v>34</v>
      </c>
      <c r="B2049" s="7">
        <v>2022</v>
      </c>
      <c r="C2049" s="7" t="s">
        <v>67</v>
      </c>
      <c r="D2049" s="7" t="s">
        <v>21</v>
      </c>
      <c r="E2049" s="7" t="s">
        <v>74</v>
      </c>
      <c r="F2049" s="7" t="s">
        <v>75</v>
      </c>
      <c r="G2049" s="7" t="s">
        <v>64</v>
      </c>
      <c r="H2049" s="7" t="s">
        <v>25</v>
      </c>
      <c r="I2049" s="7" t="s">
        <v>76</v>
      </c>
      <c r="J2049" s="7">
        <v>169</v>
      </c>
      <c r="K2049" s="7">
        <v>241.67000000000002</v>
      </c>
    </row>
    <row r="2050" spans="1:11" ht="18" customHeight="1" x14ac:dyDescent="0.25">
      <c r="A2050" s="7" t="s">
        <v>19</v>
      </c>
      <c r="B2050" s="7">
        <v>2022</v>
      </c>
      <c r="C2050" s="7" t="s">
        <v>62</v>
      </c>
      <c r="D2050" s="7" t="s">
        <v>21</v>
      </c>
      <c r="E2050" s="7" t="s">
        <v>74</v>
      </c>
      <c r="F2050" s="7" t="s">
        <v>75</v>
      </c>
      <c r="G2050" s="7" t="s">
        <v>64</v>
      </c>
      <c r="H2050" s="7" t="s">
        <v>25</v>
      </c>
      <c r="I2050" s="7" t="s">
        <v>76</v>
      </c>
      <c r="J2050" s="7">
        <v>232</v>
      </c>
      <c r="K2050" s="7">
        <v>331.76</v>
      </c>
    </row>
    <row r="2051" spans="1:11" ht="18" customHeight="1" x14ac:dyDescent="0.25">
      <c r="A2051" s="7" t="s">
        <v>34</v>
      </c>
      <c r="B2051" s="7">
        <v>2022</v>
      </c>
      <c r="C2051" s="7" t="s">
        <v>62</v>
      </c>
      <c r="D2051" s="7" t="s">
        <v>21</v>
      </c>
      <c r="E2051" s="7" t="s">
        <v>74</v>
      </c>
      <c r="F2051" s="7" t="s">
        <v>75</v>
      </c>
      <c r="G2051" s="7" t="s">
        <v>64</v>
      </c>
      <c r="H2051" s="7" t="s">
        <v>25</v>
      </c>
      <c r="I2051" s="7" t="s">
        <v>76</v>
      </c>
      <c r="J2051" s="7">
        <v>226</v>
      </c>
      <c r="K2051" s="7">
        <v>323.18</v>
      </c>
    </row>
    <row r="2052" spans="1:11" ht="18" customHeight="1" x14ac:dyDescent="0.25">
      <c r="A2052" s="7" t="s">
        <v>34</v>
      </c>
      <c r="B2052" s="7">
        <v>2022</v>
      </c>
      <c r="C2052" s="7" t="s">
        <v>62</v>
      </c>
      <c r="D2052" s="7" t="s">
        <v>21</v>
      </c>
      <c r="E2052" s="7" t="s">
        <v>74</v>
      </c>
      <c r="F2052" s="7" t="s">
        <v>75</v>
      </c>
      <c r="G2052" s="7" t="s">
        <v>64</v>
      </c>
      <c r="H2052" s="7" t="s">
        <v>25</v>
      </c>
      <c r="I2052" s="7" t="s">
        <v>76</v>
      </c>
      <c r="J2052" s="7">
        <v>220</v>
      </c>
      <c r="K2052" s="7">
        <v>314.60000000000002</v>
      </c>
    </row>
    <row r="2053" spans="1:11" ht="18" customHeight="1" x14ac:dyDescent="0.25">
      <c r="A2053" s="7" t="s">
        <v>42</v>
      </c>
      <c r="B2053" s="7">
        <v>2022</v>
      </c>
      <c r="C2053" s="7" t="s">
        <v>62</v>
      </c>
      <c r="D2053" s="7" t="s">
        <v>21</v>
      </c>
      <c r="E2053" s="7" t="s">
        <v>74</v>
      </c>
      <c r="F2053" s="7" t="s">
        <v>75</v>
      </c>
      <c r="G2053" s="7" t="s">
        <v>64</v>
      </c>
      <c r="H2053" s="7" t="s">
        <v>25</v>
      </c>
      <c r="I2053" s="7" t="s">
        <v>76</v>
      </c>
      <c r="J2053" s="7">
        <v>229</v>
      </c>
      <c r="K2053" s="7">
        <v>327.47000000000003</v>
      </c>
    </row>
    <row r="2054" spans="1:11" ht="18" customHeight="1" x14ac:dyDescent="0.25">
      <c r="A2054" s="7" t="s">
        <v>19</v>
      </c>
      <c r="B2054" s="7">
        <v>2022</v>
      </c>
      <c r="C2054" s="7" t="s">
        <v>62</v>
      </c>
      <c r="D2054" s="7" t="s">
        <v>21</v>
      </c>
      <c r="E2054" s="7" t="s">
        <v>74</v>
      </c>
      <c r="F2054" s="7" t="s">
        <v>75</v>
      </c>
      <c r="G2054" s="7" t="s">
        <v>64</v>
      </c>
      <c r="H2054" s="7" t="s">
        <v>25</v>
      </c>
      <c r="I2054" s="7" t="s">
        <v>76</v>
      </c>
      <c r="J2054" s="7">
        <v>223</v>
      </c>
      <c r="K2054" s="7">
        <v>318.89</v>
      </c>
    </row>
    <row r="2055" spans="1:11" ht="18" customHeight="1" x14ac:dyDescent="0.25">
      <c r="A2055" s="7" t="s">
        <v>19</v>
      </c>
      <c r="B2055" s="7">
        <v>2022</v>
      </c>
      <c r="C2055" s="7" t="s">
        <v>62</v>
      </c>
      <c r="D2055" s="7" t="s">
        <v>21</v>
      </c>
      <c r="E2055" s="7" t="s">
        <v>74</v>
      </c>
      <c r="F2055" s="7" t="s">
        <v>75</v>
      </c>
      <c r="G2055" s="7" t="s">
        <v>64</v>
      </c>
      <c r="H2055" s="7" t="s">
        <v>25</v>
      </c>
      <c r="I2055" s="7" t="s">
        <v>76</v>
      </c>
      <c r="J2055" s="7">
        <v>217</v>
      </c>
      <c r="K2055" s="7">
        <v>310.31</v>
      </c>
    </row>
    <row r="2056" spans="1:11" ht="18" customHeight="1" x14ac:dyDescent="0.25">
      <c r="A2056" s="7" t="s">
        <v>34</v>
      </c>
      <c r="B2056" s="7">
        <v>2022</v>
      </c>
      <c r="C2056" s="7" t="s">
        <v>66</v>
      </c>
      <c r="D2056" s="7" t="s">
        <v>21</v>
      </c>
      <c r="E2056" s="7" t="s">
        <v>74</v>
      </c>
      <c r="F2056" s="7" t="s">
        <v>75</v>
      </c>
      <c r="G2056" s="7" t="s">
        <v>64</v>
      </c>
      <c r="H2056" s="7" t="s">
        <v>25</v>
      </c>
      <c r="I2056" s="7" t="s">
        <v>76</v>
      </c>
      <c r="J2056" s="7">
        <v>196</v>
      </c>
      <c r="K2056" s="7">
        <v>280.27999999999997</v>
      </c>
    </row>
    <row r="2057" spans="1:11" ht="18" customHeight="1" x14ac:dyDescent="0.25">
      <c r="A2057" s="7" t="s">
        <v>19</v>
      </c>
      <c r="B2057" s="7">
        <v>2022</v>
      </c>
      <c r="C2057" s="7" t="s">
        <v>66</v>
      </c>
      <c r="D2057" s="7" t="s">
        <v>21</v>
      </c>
      <c r="E2057" s="7" t="s">
        <v>74</v>
      </c>
      <c r="F2057" s="7" t="s">
        <v>75</v>
      </c>
      <c r="G2057" s="7" t="s">
        <v>64</v>
      </c>
      <c r="H2057" s="7" t="s">
        <v>25</v>
      </c>
      <c r="I2057" s="7" t="s">
        <v>76</v>
      </c>
      <c r="J2057" s="7">
        <v>190</v>
      </c>
      <c r="K2057" s="7">
        <v>271.7</v>
      </c>
    </row>
    <row r="2058" spans="1:11" ht="18" customHeight="1" x14ac:dyDescent="0.25">
      <c r="A2058" s="7" t="s">
        <v>19</v>
      </c>
      <c r="B2058" s="7">
        <v>2022</v>
      </c>
      <c r="C2058" s="7" t="s">
        <v>66</v>
      </c>
      <c r="D2058" s="7" t="s">
        <v>21</v>
      </c>
      <c r="E2058" s="7" t="s">
        <v>74</v>
      </c>
      <c r="F2058" s="7" t="s">
        <v>75</v>
      </c>
      <c r="G2058" s="7" t="s">
        <v>64</v>
      </c>
      <c r="H2058" s="7" t="s">
        <v>25</v>
      </c>
      <c r="I2058" s="7" t="s">
        <v>76</v>
      </c>
      <c r="J2058" s="7">
        <v>199</v>
      </c>
      <c r="K2058" s="7">
        <v>284.57</v>
      </c>
    </row>
    <row r="2059" spans="1:11" ht="18" customHeight="1" x14ac:dyDescent="0.25">
      <c r="A2059" s="7" t="s">
        <v>19</v>
      </c>
      <c r="B2059" s="7">
        <v>2022</v>
      </c>
      <c r="C2059" s="7" t="s">
        <v>66</v>
      </c>
      <c r="D2059" s="7" t="s">
        <v>21</v>
      </c>
      <c r="E2059" s="7" t="s">
        <v>74</v>
      </c>
      <c r="F2059" s="7" t="s">
        <v>75</v>
      </c>
      <c r="G2059" s="7" t="s">
        <v>64</v>
      </c>
      <c r="H2059" s="7" t="s">
        <v>25</v>
      </c>
      <c r="I2059" s="7" t="s">
        <v>76</v>
      </c>
      <c r="J2059" s="7">
        <v>193</v>
      </c>
      <c r="K2059" s="7">
        <v>275.99</v>
      </c>
    </row>
    <row r="2060" spans="1:11" ht="18" customHeight="1" x14ac:dyDescent="0.25">
      <c r="A2060" s="7" t="s">
        <v>19</v>
      </c>
      <c r="B2060" s="7">
        <v>2022</v>
      </c>
      <c r="C2060" s="7" t="s">
        <v>66</v>
      </c>
      <c r="D2060" s="7" t="s">
        <v>21</v>
      </c>
      <c r="E2060" s="7" t="s">
        <v>74</v>
      </c>
      <c r="F2060" s="7" t="s">
        <v>75</v>
      </c>
      <c r="G2060" s="7" t="s">
        <v>64</v>
      </c>
      <c r="H2060" s="7" t="s">
        <v>25</v>
      </c>
      <c r="I2060" s="7" t="s">
        <v>76</v>
      </c>
      <c r="J2060" s="7">
        <v>187</v>
      </c>
      <c r="K2060" s="7">
        <v>267.40999999999997</v>
      </c>
    </row>
    <row r="2061" spans="1:11" ht="18" customHeight="1" x14ac:dyDescent="0.25">
      <c r="A2061" s="7" t="s">
        <v>34</v>
      </c>
      <c r="B2061" s="7">
        <v>2022</v>
      </c>
      <c r="C2061" s="7" t="s">
        <v>20</v>
      </c>
      <c r="D2061" s="7" t="s">
        <v>72</v>
      </c>
      <c r="E2061" s="7" t="s">
        <v>74</v>
      </c>
      <c r="F2061" s="7" t="s">
        <v>75</v>
      </c>
      <c r="G2061" s="7" t="s">
        <v>64</v>
      </c>
      <c r="H2061" s="7" t="s">
        <v>25</v>
      </c>
      <c r="I2061" s="7" t="s">
        <v>76</v>
      </c>
      <c r="J2061" s="7">
        <v>278</v>
      </c>
      <c r="K2061" s="7">
        <v>397.53999999999996</v>
      </c>
    </row>
    <row r="2062" spans="1:11" ht="18" customHeight="1" x14ac:dyDescent="0.25">
      <c r="A2062" s="7" t="s">
        <v>61</v>
      </c>
      <c r="B2062" s="7">
        <v>2022</v>
      </c>
      <c r="C2062" s="7" t="s">
        <v>20</v>
      </c>
      <c r="D2062" s="7" t="s">
        <v>72</v>
      </c>
      <c r="E2062" s="7" t="s">
        <v>74</v>
      </c>
      <c r="F2062" s="7" t="s">
        <v>75</v>
      </c>
      <c r="G2062" s="7" t="s">
        <v>64</v>
      </c>
      <c r="H2062" s="7" t="s">
        <v>25</v>
      </c>
      <c r="I2062" s="7" t="s">
        <v>76</v>
      </c>
      <c r="J2062" s="7">
        <v>326</v>
      </c>
      <c r="K2062" s="7">
        <v>466.18</v>
      </c>
    </row>
    <row r="2063" spans="1:11" ht="18" customHeight="1" x14ac:dyDescent="0.25">
      <c r="A2063" s="7" t="s">
        <v>19</v>
      </c>
      <c r="B2063" s="7">
        <v>2022</v>
      </c>
      <c r="C2063" s="7" t="s">
        <v>20</v>
      </c>
      <c r="D2063" s="7" t="s">
        <v>72</v>
      </c>
      <c r="E2063" s="7" t="s">
        <v>74</v>
      </c>
      <c r="F2063" s="7" t="s">
        <v>75</v>
      </c>
      <c r="G2063" s="7" t="s">
        <v>64</v>
      </c>
      <c r="H2063" s="7" t="s">
        <v>25</v>
      </c>
      <c r="I2063" s="7" t="s">
        <v>76</v>
      </c>
      <c r="J2063" s="7">
        <v>280</v>
      </c>
      <c r="K2063" s="7">
        <v>400.4</v>
      </c>
    </row>
    <row r="2064" spans="1:11" ht="18" customHeight="1" x14ac:dyDescent="0.25">
      <c r="A2064" s="7" t="s">
        <v>19</v>
      </c>
      <c r="B2064" s="7">
        <v>2022</v>
      </c>
      <c r="C2064" s="7" t="s">
        <v>20</v>
      </c>
      <c r="D2064" s="7" t="s">
        <v>72</v>
      </c>
      <c r="E2064" s="7" t="s">
        <v>74</v>
      </c>
      <c r="F2064" s="7" t="s">
        <v>75</v>
      </c>
      <c r="G2064" s="7" t="s">
        <v>64</v>
      </c>
      <c r="H2064" s="7" t="s">
        <v>25</v>
      </c>
      <c r="I2064" s="7" t="s">
        <v>76</v>
      </c>
      <c r="J2064" s="7">
        <v>834</v>
      </c>
      <c r="K2064" s="7">
        <v>1192.6199999999999</v>
      </c>
    </row>
    <row r="2065" spans="1:11" ht="18" customHeight="1" x14ac:dyDescent="0.25">
      <c r="A2065" s="7" t="s">
        <v>19</v>
      </c>
      <c r="B2065" s="7">
        <v>2022</v>
      </c>
      <c r="C2065" s="7" t="s">
        <v>20</v>
      </c>
      <c r="D2065" s="7" t="s">
        <v>72</v>
      </c>
      <c r="E2065" s="7" t="s">
        <v>74</v>
      </c>
      <c r="F2065" s="7" t="s">
        <v>75</v>
      </c>
      <c r="G2065" s="7" t="s">
        <v>64</v>
      </c>
      <c r="H2065" s="7" t="s">
        <v>25</v>
      </c>
      <c r="I2065" s="7" t="s">
        <v>76</v>
      </c>
      <c r="J2065" s="7">
        <v>867</v>
      </c>
      <c r="K2065" s="7">
        <v>1239.81</v>
      </c>
    </row>
    <row r="2066" spans="1:11" ht="18" customHeight="1" x14ac:dyDescent="0.25">
      <c r="A2066" s="7" t="s">
        <v>34</v>
      </c>
      <c r="B2066" s="7">
        <v>2022</v>
      </c>
      <c r="C2066" s="7" t="s">
        <v>20</v>
      </c>
      <c r="D2066" s="7" t="s">
        <v>72</v>
      </c>
      <c r="E2066" s="7" t="s">
        <v>74</v>
      </c>
      <c r="F2066" s="7" t="s">
        <v>75</v>
      </c>
      <c r="G2066" s="7" t="s">
        <v>64</v>
      </c>
      <c r="H2066" s="7" t="s">
        <v>25</v>
      </c>
      <c r="I2066" s="7" t="s">
        <v>76</v>
      </c>
      <c r="J2066" s="7">
        <v>931</v>
      </c>
      <c r="K2066" s="7">
        <v>1331.33</v>
      </c>
    </row>
    <row r="2067" spans="1:11" ht="18" customHeight="1" x14ac:dyDescent="0.25">
      <c r="A2067" s="7" t="s">
        <v>34</v>
      </c>
      <c r="B2067" s="7">
        <v>2022</v>
      </c>
      <c r="C2067" s="7" t="s">
        <v>20</v>
      </c>
      <c r="D2067" s="7" t="s">
        <v>72</v>
      </c>
      <c r="E2067" s="7" t="s">
        <v>74</v>
      </c>
      <c r="F2067" s="7" t="s">
        <v>75</v>
      </c>
      <c r="G2067" s="7" t="s">
        <v>64</v>
      </c>
      <c r="H2067" s="7" t="s">
        <v>25</v>
      </c>
      <c r="I2067" s="7" t="s">
        <v>76</v>
      </c>
      <c r="J2067" s="7">
        <v>932</v>
      </c>
      <c r="K2067" s="7">
        <v>1332.76</v>
      </c>
    </row>
    <row r="2068" spans="1:11" ht="18" customHeight="1" x14ac:dyDescent="0.25">
      <c r="A2068" s="7" t="s">
        <v>19</v>
      </c>
      <c r="B2068" s="7">
        <v>2022</v>
      </c>
      <c r="C2068" s="7" t="s">
        <v>20</v>
      </c>
      <c r="D2068" s="7" t="s">
        <v>72</v>
      </c>
      <c r="E2068" s="7" t="s">
        <v>74</v>
      </c>
      <c r="F2068" s="7" t="s">
        <v>75</v>
      </c>
      <c r="G2068" s="7" t="s">
        <v>64</v>
      </c>
      <c r="H2068" s="7" t="s">
        <v>25</v>
      </c>
      <c r="I2068" s="7" t="s">
        <v>76</v>
      </c>
      <c r="J2068" s="7">
        <v>933</v>
      </c>
      <c r="K2068" s="7">
        <v>1334.19</v>
      </c>
    </row>
    <row r="2069" spans="1:11" ht="18" customHeight="1" x14ac:dyDescent="0.25">
      <c r="A2069" s="7" t="s">
        <v>34</v>
      </c>
      <c r="B2069" s="7">
        <v>2022</v>
      </c>
      <c r="C2069" s="7" t="s">
        <v>20</v>
      </c>
      <c r="D2069" s="7" t="s">
        <v>72</v>
      </c>
      <c r="E2069" s="7" t="s">
        <v>74</v>
      </c>
      <c r="F2069" s="7" t="s">
        <v>75</v>
      </c>
      <c r="G2069" s="7" t="s">
        <v>64</v>
      </c>
      <c r="H2069" s="7" t="s">
        <v>25</v>
      </c>
      <c r="I2069" s="7" t="s">
        <v>76</v>
      </c>
      <c r="J2069" s="7">
        <v>873</v>
      </c>
      <c r="K2069" s="7">
        <v>526.24</v>
      </c>
    </row>
    <row r="2070" spans="1:11" ht="18" customHeight="1" x14ac:dyDescent="0.25">
      <c r="A2070" s="7" t="s">
        <v>19</v>
      </c>
      <c r="B2070" s="7">
        <v>2022</v>
      </c>
      <c r="C2070" s="7" t="s">
        <v>20</v>
      </c>
      <c r="D2070" s="7" t="s">
        <v>72</v>
      </c>
      <c r="E2070" s="7" t="s">
        <v>74</v>
      </c>
      <c r="F2070" s="7" t="s">
        <v>75</v>
      </c>
      <c r="G2070" s="7" t="s">
        <v>64</v>
      </c>
      <c r="H2070" s="7" t="s">
        <v>25</v>
      </c>
      <c r="I2070" s="7" t="s">
        <v>76</v>
      </c>
      <c r="J2070" s="7">
        <v>327</v>
      </c>
      <c r="K2070" s="7">
        <v>467.61</v>
      </c>
    </row>
    <row r="2071" spans="1:11" ht="18" customHeight="1" x14ac:dyDescent="0.25">
      <c r="A2071" s="7" t="s">
        <v>19</v>
      </c>
      <c r="B2071" s="7">
        <v>2022</v>
      </c>
      <c r="C2071" s="7" t="s">
        <v>20</v>
      </c>
      <c r="D2071" s="7" t="s">
        <v>72</v>
      </c>
      <c r="E2071" s="7" t="s">
        <v>74</v>
      </c>
      <c r="F2071" s="7" t="s">
        <v>75</v>
      </c>
      <c r="G2071" s="7" t="s">
        <v>64</v>
      </c>
      <c r="H2071" s="7" t="s">
        <v>25</v>
      </c>
      <c r="I2071" s="7" t="s">
        <v>76</v>
      </c>
      <c r="J2071" s="7">
        <v>183</v>
      </c>
      <c r="K2071" s="7">
        <v>261.69</v>
      </c>
    </row>
    <row r="2072" spans="1:11" ht="18" customHeight="1" x14ac:dyDescent="0.25">
      <c r="A2072" s="7" t="s">
        <v>34</v>
      </c>
      <c r="B2072" s="7">
        <v>2022</v>
      </c>
      <c r="C2072" s="7" t="s">
        <v>20</v>
      </c>
      <c r="D2072" s="7" t="s">
        <v>72</v>
      </c>
      <c r="E2072" s="7" t="s">
        <v>74</v>
      </c>
      <c r="F2072" s="7" t="s">
        <v>75</v>
      </c>
      <c r="G2072" s="7" t="s">
        <v>64</v>
      </c>
      <c r="H2072" s="7" t="s">
        <v>25</v>
      </c>
      <c r="I2072" s="7" t="s">
        <v>76</v>
      </c>
      <c r="J2072" s="7">
        <v>177</v>
      </c>
      <c r="K2072" s="7">
        <v>253.11</v>
      </c>
    </row>
    <row r="2073" spans="1:11" ht="18" customHeight="1" x14ac:dyDescent="0.25">
      <c r="A2073" s="7" t="s">
        <v>19</v>
      </c>
      <c r="B2073" s="7">
        <v>2022</v>
      </c>
      <c r="C2073" s="7" t="s">
        <v>20</v>
      </c>
      <c r="D2073" s="7" t="s">
        <v>72</v>
      </c>
      <c r="E2073" s="7" t="s">
        <v>74</v>
      </c>
      <c r="F2073" s="7" t="s">
        <v>75</v>
      </c>
      <c r="G2073" s="7" t="s">
        <v>64</v>
      </c>
      <c r="H2073" s="7" t="s">
        <v>25</v>
      </c>
      <c r="I2073" s="7" t="s">
        <v>76</v>
      </c>
      <c r="J2073" s="7">
        <v>171</v>
      </c>
      <c r="K2073" s="7">
        <v>244.53</v>
      </c>
    </row>
    <row r="2074" spans="1:11" ht="18" customHeight="1" x14ac:dyDescent="0.25">
      <c r="A2074" s="7" t="s">
        <v>19</v>
      </c>
      <c r="B2074" s="7">
        <v>2022</v>
      </c>
      <c r="C2074" s="7" t="s">
        <v>20</v>
      </c>
      <c r="D2074" s="7" t="s">
        <v>72</v>
      </c>
      <c r="E2074" s="7" t="s">
        <v>74</v>
      </c>
      <c r="F2074" s="7" t="s">
        <v>75</v>
      </c>
      <c r="G2074" s="7" t="s">
        <v>64</v>
      </c>
      <c r="H2074" s="7" t="s">
        <v>25</v>
      </c>
      <c r="I2074" s="7" t="s">
        <v>76</v>
      </c>
      <c r="J2074" s="7">
        <v>277</v>
      </c>
      <c r="K2074" s="7">
        <v>396.11</v>
      </c>
    </row>
    <row r="2075" spans="1:11" ht="18" customHeight="1" x14ac:dyDescent="0.25">
      <c r="A2075" s="7" t="s">
        <v>42</v>
      </c>
      <c r="B2075" s="7">
        <v>2022</v>
      </c>
      <c r="C2075" s="7" t="s">
        <v>20</v>
      </c>
      <c r="D2075" s="7" t="s">
        <v>72</v>
      </c>
      <c r="E2075" s="7" t="s">
        <v>74</v>
      </c>
      <c r="F2075" s="7" t="s">
        <v>75</v>
      </c>
      <c r="G2075" s="7" t="s">
        <v>64</v>
      </c>
      <c r="H2075" s="7" t="s">
        <v>25</v>
      </c>
      <c r="I2075" s="7" t="s">
        <v>76</v>
      </c>
      <c r="J2075" s="7">
        <v>325</v>
      </c>
      <c r="K2075" s="7">
        <v>464.75</v>
      </c>
    </row>
    <row r="2076" spans="1:11" ht="18" customHeight="1" x14ac:dyDescent="0.25">
      <c r="A2076" s="7" t="s">
        <v>34</v>
      </c>
      <c r="B2076" s="7">
        <v>2022</v>
      </c>
      <c r="C2076" s="7" t="s">
        <v>20</v>
      </c>
      <c r="D2076" s="7" t="s">
        <v>72</v>
      </c>
      <c r="E2076" s="7" t="s">
        <v>74</v>
      </c>
      <c r="F2076" s="7" t="s">
        <v>75</v>
      </c>
      <c r="G2076" s="7" t="s">
        <v>64</v>
      </c>
      <c r="H2076" s="7" t="s">
        <v>25</v>
      </c>
      <c r="I2076" s="7" t="s">
        <v>76</v>
      </c>
      <c r="J2076" s="7">
        <v>842</v>
      </c>
      <c r="K2076" s="7">
        <v>1204.06</v>
      </c>
    </row>
    <row r="2077" spans="1:11" ht="18" customHeight="1" x14ac:dyDescent="0.25">
      <c r="A2077" s="7" t="s">
        <v>34</v>
      </c>
      <c r="B2077" s="7">
        <v>2022</v>
      </c>
      <c r="C2077" s="7" t="s">
        <v>20</v>
      </c>
      <c r="D2077" s="7" t="s">
        <v>72</v>
      </c>
      <c r="E2077" s="7" t="s">
        <v>74</v>
      </c>
      <c r="F2077" s="7" t="s">
        <v>75</v>
      </c>
      <c r="G2077" s="7" t="s">
        <v>64</v>
      </c>
      <c r="H2077" s="7" t="s">
        <v>25</v>
      </c>
      <c r="I2077" s="7" t="s">
        <v>76</v>
      </c>
      <c r="J2077" s="7">
        <v>876</v>
      </c>
      <c r="K2077" s="7">
        <v>1252.68</v>
      </c>
    </row>
    <row r="2078" spans="1:11" ht="18" customHeight="1" x14ac:dyDescent="0.25">
      <c r="A2078" s="7" t="s">
        <v>34</v>
      </c>
      <c r="B2078" s="7">
        <v>2022</v>
      </c>
      <c r="C2078" s="7" t="s">
        <v>60</v>
      </c>
      <c r="D2078" s="7" t="s">
        <v>72</v>
      </c>
      <c r="E2078" s="7" t="s">
        <v>74</v>
      </c>
      <c r="F2078" s="7" t="s">
        <v>75</v>
      </c>
      <c r="G2078" s="7" t="s">
        <v>64</v>
      </c>
      <c r="H2078" s="7" t="s">
        <v>25</v>
      </c>
      <c r="I2078" s="7" t="s">
        <v>76</v>
      </c>
      <c r="J2078" s="7">
        <v>332</v>
      </c>
      <c r="K2078" s="7">
        <v>474.76</v>
      </c>
    </row>
    <row r="2079" spans="1:11" ht="18" customHeight="1" x14ac:dyDescent="0.25">
      <c r="A2079" s="7" t="s">
        <v>34</v>
      </c>
      <c r="B2079" s="7">
        <v>2022</v>
      </c>
      <c r="C2079" s="7" t="s">
        <v>60</v>
      </c>
      <c r="D2079" s="7" t="s">
        <v>72</v>
      </c>
      <c r="E2079" s="7" t="s">
        <v>74</v>
      </c>
      <c r="F2079" s="7" t="s">
        <v>75</v>
      </c>
      <c r="G2079" s="7" t="s">
        <v>64</v>
      </c>
      <c r="H2079" s="7" t="s">
        <v>25</v>
      </c>
      <c r="I2079" s="7" t="s">
        <v>76</v>
      </c>
      <c r="J2079" s="7">
        <v>302</v>
      </c>
      <c r="K2079" s="7">
        <v>431.86</v>
      </c>
    </row>
    <row r="2080" spans="1:11" ht="18" customHeight="1" x14ac:dyDescent="0.25">
      <c r="A2080" s="7" t="s">
        <v>42</v>
      </c>
      <c r="B2080" s="7">
        <v>2022</v>
      </c>
      <c r="C2080" s="7" t="s">
        <v>60</v>
      </c>
      <c r="D2080" s="7" t="s">
        <v>72</v>
      </c>
      <c r="E2080" s="7" t="s">
        <v>74</v>
      </c>
      <c r="F2080" s="7" t="s">
        <v>75</v>
      </c>
      <c r="G2080" s="7" t="s">
        <v>64</v>
      </c>
      <c r="H2080" s="7" t="s">
        <v>25</v>
      </c>
      <c r="I2080" s="7" t="s">
        <v>76</v>
      </c>
      <c r="J2080" s="7">
        <v>256</v>
      </c>
      <c r="K2080" s="7">
        <v>366.08</v>
      </c>
    </row>
    <row r="2081" spans="1:11" ht="18" customHeight="1" x14ac:dyDescent="0.25">
      <c r="A2081" s="7" t="s">
        <v>53</v>
      </c>
      <c r="B2081" s="7">
        <v>2022</v>
      </c>
      <c r="C2081" s="7" t="s">
        <v>60</v>
      </c>
      <c r="D2081" s="7" t="s">
        <v>72</v>
      </c>
      <c r="E2081" s="7" t="s">
        <v>74</v>
      </c>
      <c r="F2081" s="7" t="s">
        <v>75</v>
      </c>
      <c r="G2081" s="7" t="s">
        <v>64</v>
      </c>
      <c r="H2081" s="7" t="s">
        <v>25</v>
      </c>
      <c r="I2081" s="7" t="s">
        <v>76</v>
      </c>
      <c r="J2081" s="7">
        <v>304</v>
      </c>
      <c r="K2081" s="7">
        <v>434.72</v>
      </c>
    </row>
    <row r="2082" spans="1:11" ht="18" customHeight="1" x14ac:dyDescent="0.25">
      <c r="A2082" s="7" t="s">
        <v>19</v>
      </c>
      <c r="B2082" s="7">
        <v>2022</v>
      </c>
      <c r="C2082" s="7" t="s">
        <v>60</v>
      </c>
      <c r="D2082" s="7" t="s">
        <v>72</v>
      </c>
      <c r="E2082" s="7" t="s">
        <v>74</v>
      </c>
      <c r="F2082" s="7" t="s">
        <v>75</v>
      </c>
      <c r="G2082" s="7" t="s">
        <v>64</v>
      </c>
      <c r="H2082" s="7" t="s">
        <v>25</v>
      </c>
      <c r="I2082" s="7" t="s">
        <v>76</v>
      </c>
      <c r="J2082" s="7">
        <v>784</v>
      </c>
      <c r="K2082" s="7">
        <v>1121.1199999999999</v>
      </c>
    </row>
    <row r="2083" spans="1:11" ht="18" customHeight="1" x14ac:dyDescent="0.25">
      <c r="A2083" s="7" t="s">
        <v>53</v>
      </c>
      <c r="B2083" s="7">
        <v>2022</v>
      </c>
      <c r="C2083" s="7" t="s">
        <v>60</v>
      </c>
      <c r="D2083" s="7" t="s">
        <v>72</v>
      </c>
      <c r="E2083" s="7" t="s">
        <v>74</v>
      </c>
      <c r="F2083" s="7" t="s">
        <v>75</v>
      </c>
      <c r="G2083" s="7" t="s">
        <v>64</v>
      </c>
      <c r="H2083" s="7" t="s">
        <v>25</v>
      </c>
      <c r="I2083" s="7" t="s">
        <v>76</v>
      </c>
      <c r="J2083" s="7">
        <v>837</v>
      </c>
      <c r="K2083" s="7">
        <v>1196.9099999999999</v>
      </c>
    </row>
    <row r="2084" spans="1:11" ht="18" customHeight="1" x14ac:dyDescent="0.25">
      <c r="A2084" s="7" t="s">
        <v>34</v>
      </c>
      <c r="B2084" s="7">
        <v>2022</v>
      </c>
      <c r="C2084" s="7" t="s">
        <v>60</v>
      </c>
      <c r="D2084" s="7" t="s">
        <v>72</v>
      </c>
      <c r="E2084" s="7" t="s">
        <v>74</v>
      </c>
      <c r="F2084" s="7" t="s">
        <v>75</v>
      </c>
      <c r="G2084" s="7" t="s">
        <v>64</v>
      </c>
      <c r="H2084" s="7" t="s">
        <v>25</v>
      </c>
      <c r="I2084" s="7" t="s">
        <v>76</v>
      </c>
      <c r="J2084" s="7">
        <v>870</v>
      </c>
      <c r="K2084" s="7">
        <v>1244.0999999999999</v>
      </c>
    </row>
    <row r="2085" spans="1:11" ht="18" customHeight="1" x14ac:dyDescent="0.25">
      <c r="A2085" s="7" t="s">
        <v>34</v>
      </c>
      <c r="B2085" s="7">
        <v>2022</v>
      </c>
      <c r="C2085" s="7" t="s">
        <v>60</v>
      </c>
      <c r="D2085" s="7" t="s">
        <v>72</v>
      </c>
      <c r="E2085" s="7" t="s">
        <v>74</v>
      </c>
      <c r="F2085" s="7" t="s">
        <v>75</v>
      </c>
      <c r="G2085" s="7" t="s">
        <v>64</v>
      </c>
      <c r="H2085" s="7" t="s">
        <v>25</v>
      </c>
      <c r="I2085" s="7" t="s">
        <v>76</v>
      </c>
      <c r="J2085" s="7">
        <v>942</v>
      </c>
      <c r="K2085" s="7">
        <v>1347.06</v>
      </c>
    </row>
    <row r="2086" spans="1:11" ht="18" customHeight="1" x14ac:dyDescent="0.25">
      <c r="A2086" s="7" t="s">
        <v>34</v>
      </c>
      <c r="B2086" s="7">
        <v>2022</v>
      </c>
      <c r="C2086" s="7" t="s">
        <v>60</v>
      </c>
      <c r="D2086" s="7" t="s">
        <v>72</v>
      </c>
      <c r="E2086" s="7" t="s">
        <v>74</v>
      </c>
      <c r="F2086" s="7" t="s">
        <v>75</v>
      </c>
      <c r="G2086" s="7" t="s">
        <v>64</v>
      </c>
      <c r="H2086" s="7" t="s">
        <v>25</v>
      </c>
      <c r="I2086" s="7" t="s">
        <v>76</v>
      </c>
      <c r="J2086" s="7">
        <v>943</v>
      </c>
      <c r="K2086" s="7">
        <v>1348.49</v>
      </c>
    </row>
    <row r="2087" spans="1:11" ht="18" customHeight="1" x14ac:dyDescent="0.25">
      <c r="A2087" s="7" t="s">
        <v>19</v>
      </c>
      <c r="B2087" s="7">
        <v>2022</v>
      </c>
      <c r="C2087" s="7" t="s">
        <v>60</v>
      </c>
      <c r="D2087" s="7" t="s">
        <v>72</v>
      </c>
      <c r="E2087" s="7" t="s">
        <v>74</v>
      </c>
      <c r="F2087" s="7" t="s">
        <v>75</v>
      </c>
      <c r="G2087" s="7" t="s">
        <v>64</v>
      </c>
      <c r="H2087" s="7" t="s">
        <v>25</v>
      </c>
      <c r="I2087" s="7" t="s">
        <v>76</v>
      </c>
      <c r="J2087" s="7">
        <v>944</v>
      </c>
      <c r="K2087" s="7">
        <v>1349.92</v>
      </c>
    </row>
    <row r="2088" spans="1:11" ht="18" customHeight="1" x14ac:dyDescent="0.25">
      <c r="A2088" s="7" t="s">
        <v>34</v>
      </c>
      <c r="B2088" s="7">
        <v>2022</v>
      </c>
      <c r="C2088" s="7" t="s">
        <v>60</v>
      </c>
      <c r="D2088" s="7" t="s">
        <v>72</v>
      </c>
      <c r="E2088" s="7" t="s">
        <v>74</v>
      </c>
      <c r="F2088" s="7" t="s">
        <v>75</v>
      </c>
      <c r="G2088" s="7" t="s">
        <v>64</v>
      </c>
      <c r="H2088" s="7" t="s">
        <v>25</v>
      </c>
      <c r="I2088" s="7" t="s">
        <v>76</v>
      </c>
      <c r="J2088" s="7">
        <v>823</v>
      </c>
      <c r="K2088" s="7">
        <v>526.24</v>
      </c>
    </row>
    <row r="2089" spans="1:11" ht="18" customHeight="1" x14ac:dyDescent="0.25">
      <c r="A2089" s="7" t="s">
        <v>19</v>
      </c>
      <c r="B2089" s="7">
        <v>2022</v>
      </c>
      <c r="C2089" s="7" t="s">
        <v>60</v>
      </c>
      <c r="D2089" s="7" t="s">
        <v>72</v>
      </c>
      <c r="E2089" s="7" t="s">
        <v>74</v>
      </c>
      <c r="F2089" s="7" t="s">
        <v>75</v>
      </c>
      <c r="G2089" s="7" t="s">
        <v>64</v>
      </c>
      <c r="H2089" s="7" t="s">
        <v>25</v>
      </c>
      <c r="I2089" s="7" t="s">
        <v>76</v>
      </c>
      <c r="J2089" s="7">
        <v>877</v>
      </c>
      <c r="K2089" s="7">
        <v>526.24</v>
      </c>
    </row>
    <row r="2090" spans="1:11" ht="18" customHeight="1" x14ac:dyDescent="0.25">
      <c r="A2090" s="7" t="s">
        <v>19</v>
      </c>
      <c r="B2090" s="7">
        <v>2022</v>
      </c>
      <c r="C2090" s="7" t="s">
        <v>60</v>
      </c>
      <c r="D2090" s="7" t="s">
        <v>72</v>
      </c>
      <c r="E2090" s="7" t="s">
        <v>74</v>
      </c>
      <c r="F2090" s="7" t="s">
        <v>75</v>
      </c>
      <c r="G2090" s="7" t="s">
        <v>64</v>
      </c>
      <c r="H2090" s="7" t="s">
        <v>25</v>
      </c>
      <c r="I2090" s="7" t="s">
        <v>76</v>
      </c>
      <c r="J2090" s="7">
        <v>303</v>
      </c>
      <c r="K2090" s="7">
        <v>433.28999999999996</v>
      </c>
    </row>
    <row r="2091" spans="1:11" ht="18" customHeight="1" x14ac:dyDescent="0.25">
      <c r="A2091" s="7" t="s">
        <v>53</v>
      </c>
      <c r="B2091" s="7">
        <v>2022</v>
      </c>
      <c r="C2091" s="7" t="s">
        <v>60</v>
      </c>
      <c r="D2091" s="7" t="s">
        <v>72</v>
      </c>
      <c r="E2091" s="7" t="s">
        <v>74</v>
      </c>
      <c r="F2091" s="7" t="s">
        <v>75</v>
      </c>
      <c r="G2091" s="7" t="s">
        <v>64</v>
      </c>
      <c r="H2091" s="7" t="s">
        <v>25</v>
      </c>
      <c r="I2091" s="7" t="s">
        <v>76</v>
      </c>
      <c r="J2091" s="7">
        <v>363</v>
      </c>
      <c r="K2091" s="7">
        <v>519.09</v>
      </c>
    </row>
    <row r="2092" spans="1:11" ht="18" customHeight="1" x14ac:dyDescent="0.25">
      <c r="A2092" s="7" t="s">
        <v>42</v>
      </c>
      <c r="B2092" s="7">
        <v>2022</v>
      </c>
      <c r="C2092" s="7" t="s">
        <v>60</v>
      </c>
      <c r="D2092" s="7" t="s">
        <v>72</v>
      </c>
      <c r="E2092" s="7" t="s">
        <v>74</v>
      </c>
      <c r="F2092" s="7" t="s">
        <v>75</v>
      </c>
      <c r="G2092" s="7" t="s">
        <v>64</v>
      </c>
      <c r="H2092" s="7" t="s">
        <v>25</v>
      </c>
      <c r="I2092" s="7" t="s">
        <v>76</v>
      </c>
      <c r="J2092" s="7">
        <v>357</v>
      </c>
      <c r="K2092" s="7">
        <v>510.51</v>
      </c>
    </row>
    <row r="2093" spans="1:11" ht="18" customHeight="1" x14ac:dyDescent="0.25">
      <c r="A2093" s="7" t="s">
        <v>53</v>
      </c>
      <c r="B2093" s="7">
        <v>2022</v>
      </c>
      <c r="C2093" s="7" t="s">
        <v>60</v>
      </c>
      <c r="D2093" s="7" t="s">
        <v>72</v>
      </c>
      <c r="E2093" s="7" t="s">
        <v>74</v>
      </c>
      <c r="F2093" s="7" t="s">
        <v>75</v>
      </c>
      <c r="G2093" s="7" t="s">
        <v>64</v>
      </c>
      <c r="H2093" s="7" t="s">
        <v>25</v>
      </c>
      <c r="I2093" s="7" t="s">
        <v>76</v>
      </c>
      <c r="J2093" s="7">
        <v>331</v>
      </c>
      <c r="K2093" s="7">
        <v>473.33</v>
      </c>
    </row>
    <row r="2094" spans="1:11" ht="18" customHeight="1" x14ac:dyDescent="0.25">
      <c r="A2094" s="7" t="s">
        <v>34</v>
      </c>
      <c r="B2094" s="7">
        <v>2022</v>
      </c>
      <c r="C2094" s="7" t="s">
        <v>60</v>
      </c>
      <c r="D2094" s="7" t="s">
        <v>72</v>
      </c>
      <c r="E2094" s="7" t="s">
        <v>74</v>
      </c>
      <c r="F2094" s="7" t="s">
        <v>75</v>
      </c>
      <c r="G2094" s="7" t="s">
        <v>64</v>
      </c>
      <c r="H2094" s="7" t="s">
        <v>25</v>
      </c>
      <c r="I2094" s="7" t="s">
        <v>76</v>
      </c>
      <c r="J2094" s="7">
        <v>259</v>
      </c>
      <c r="K2094" s="7">
        <v>370.37</v>
      </c>
    </row>
    <row r="2095" spans="1:11" ht="18" customHeight="1" x14ac:dyDescent="0.25">
      <c r="A2095" s="7" t="s">
        <v>34</v>
      </c>
      <c r="B2095" s="7">
        <v>2022</v>
      </c>
      <c r="C2095" s="7" t="s">
        <v>60</v>
      </c>
      <c r="D2095" s="7" t="s">
        <v>72</v>
      </c>
      <c r="E2095" s="7" t="s">
        <v>74</v>
      </c>
      <c r="F2095" s="7" t="s">
        <v>75</v>
      </c>
      <c r="G2095" s="7" t="s">
        <v>64</v>
      </c>
      <c r="H2095" s="7" t="s">
        <v>25</v>
      </c>
      <c r="I2095" s="7" t="s">
        <v>76</v>
      </c>
      <c r="J2095" s="7">
        <v>793</v>
      </c>
      <c r="K2095" s="7">
        <v>1133.99</v>
      </c>
    </row>
    <row r="2096" spans="1:11" ht="18" customHeight="1" x14ac:dyDescent="0.25">
      <c r="A2096" s="7" t="s">
        <v>34</v>
      </c>
      <c r="B2096" s="7">
        <v>2022</v>
      </c>
      <c r="C2096" s="7" t="s">
        <v>60</v>
      </c>
      <c r="D2096" s="7" t="s">
        <v>72</v>
      </c>
      <c r="E2096" s="7" t="s">
        <v>74</v>
      </c>
      <c r="F2096" s="7" t="s">
        <v>75</v>
      </c>
      <c r="G2096" s="7" t="s">
        <v>64</v>
      </c>
      <c r="H2096" s="7" t="s">
        <v>25</v>
      </c>
      <c r="I2096" s="7" t="s">
        <v>76</v>
      </c>
      <c r="J2096" s="7">
        <v>846</v>
      </c>
      <c r="K2096" s="7">
        <v>1209.78</v>
      </c>
    </row>
    <row r="2097" spans="1:11" ht="18" customHeight="1" x14ac:dyDescent="0.25">
      <c r="A2097" s="7" t="s">
        <v>34</v>
      </c>
      <c r="B2097" s="7">
        <v>2022</v>
      </c>
      <c r="C2097" s="7" t="s">
        <v>60</v>
      </c>
      <c r="D2097" s="7" t="s">
        <v>72</v>
      </c>
      <c r="E2097" s="7" t="s">
        <v>74</v>
      </c>
      <c r="F2097" s="7" t="s">
        <v>75</v>
      </c>
      <c r="G2097" s="7" t="s">
        <v>64</v>
      </c>
      <c r="H2097" s="7" t="s">
        <v>25</v>
      </c>
      <c r="I2097" s="7" t="s">
        <v>76</v>
      </c>
      <c r="J2097" s="7">
        <v>879</v>
      </c>
      <c r="K2097" s="7">
        <v>1256.97</v>
      </c>
    </row>
    <row r="2098" spans="1:11" ht="18" customHeight="1" x14ac:dyDescent="0.25">
      <c r="A2098" s="7" t="s">
        <v>34</v>
      </c>
      <c r="B2098" s="7">
        <v>2022</v>
      </c>
      <c r="C2098" s="7" t="s">
        <v>65</v>
      </c>
      <c r="D2098" s="7" t="s">
        <v>72</v>
      </c>
      <c r="E2098" s="7" t="s">
        <v>74</v>
      </c>
      <c r="F2098" s="7" t="s">
        <v>75</v>
      </c>
      <c r="G2098" s="7" t="s">
        <v>64</v>
      </c>
      <c r="H2098" s="7" t="s">
        <v>25</v>
      </c>
      <c r="I2098" s="7" t="s">
        <v>76</v>
      </c>
      <c r="J2098" s="7">
        <v>308</v>
      </c>
      <c r="K2098" s="7">
        <v>440.44</v>
      </c>
    </row>
    <row r="2099" spans="1:11" ht="18" customHeight="1" x14ac:dyDescent="0.25">
      <c r="A2099" s="7" t="s">
        <v>19</v>
      </c>
      <c r="B2099" s="7">
        <v>2022</v>
      </c>
      <c r="C2099" s="7" t="s">
        <v>65</v>
      </c>
      <c r="D2099" s="7" t="s">
        <v>72</v>
      </c>
      <c r="E2099" s="7" t="s">
        <v>74</v>
      </c>
      <c r="F2099" s="7" t="s">
        <v>75</v>
      </c>
      <c r="G2099" s="7" t="s">
        <v>64</v>
      </c>
      <c r="H2099" s="7" t="s">
        <v>25</v>
      </c>
      <c r="I2099" s="7" t="s">
        <v>76</v>
      </c>
      <c r="J2099" s="7">
        <v>236</v>
      </c>
      <c r="K2099" s="7">
        <v>337.48</v>
      </c>
    </row>
    <row r="2100" spans="1:11" ht="18" customHeight="1" x14ac:dyDescent="0.25">
      <c r="A2100" s="7" t="s">
        <v>34</v>
      </c>
      <c r="B2100" s="7">
        <v>2022</v>
      </c>
      <c r="C2100" s="7" t="s">
        <v>65</v>
      </c>
      <c r="D2100" s="7" t="s">
        <v>72</v>
      </c>
      <c r="E2100" s="7" t="s">
        <v>74</v>
      </c>
      <c r="F2100" s="7" t="s">
        <v>75</v>
      </c>
      <c r="G2100" s="7" t="s">
        <v>64</v>
      </c>
      <c r="H2100" s="7" t="s">
        <v>25</v>
      </c>
      <c r="I2100" s="7" t="s">
        <v>76</v>
      </c>
      <c r="J2100" s="7">
        <v>284</v>
      </c>
      <c r="K2100" s="7">
        <v>406.12</v>
      </c>
    </row>
    <row r="2101" spans="1:11" ht="18" customHeight="1" x14ac:dyDescent="0.25">
      <c r="A2101" s="7" t="s">
        <v>34</v>
      </c>
      <c r="B2101" s="7">
        <v>2022</v>
      </c>
      <c r="C2101" s="7" t="s">
        <v>65</v>
      </c>
      <c r="D2101" s="7" t="s">
        <v>72</v>
      </c>
      <c r="E2101" s="7" t="s">
        <v>74</v>
      </c>
      <c r="F2101" s="7" t="s">
        <v>75</v>
      </c>
      <c r="G2101" s="7" t="s">
        <v>64</v>
      </c>
      <c r="H2101" s="7" t="s">
        <v>25</v>
      </c>
      <c r="I2101" s="7" t="s">
        <v>76</v>
      </c>
      <c r="J2101" s="7">
        <v>310</v>
      </c>
      <c r="K2101" s="7">
        <v>443.3</v>
      </c>
    </row>
    <row r="2102" spans="1:11" ht="18" customHeight="1" x14ac:dyDescent="0.25">
      <c r="A2102" s="7" t="s">
        <v>34</v>
      </c>
      <c r="B2102" s="7">
        <v>2022</v>
      </c>
      <c r="C2102" s="7" t="s">
        <v>65</v>
      </c>
      <c r="D2102" s="7" t="s">
        <v>72</v>
      </c>
      <c r="E2102" s="7" t="s">
        <v>74</v>
      </c>
      <c r="F2102" s="7" t="s">
        <v>75</v>
      </c>
      <c r="G2102" s="7" t="s">
        <v>64</v>
      </c>
      <c r="H2102" s="7" t="s">
        <v>25</v>
      </c>
      <c r="I2102" s="7" t="s">
        <v>76</v>
      </c>
      <c r="J2102" s="7">
        <v>238</v>
      </c>
      <c r="K2102" s="7">
        <v>340.34000000000003</v>
      </c>
    </row>
    <row r="2103" spans="1:11" ht="18" customHeight="1" x14ac:dyDescent="0.25">
      <c r="A2103" s="7" t="s">
        <v>34</v>
      </c>
      <c r="B2103" s="7">
        <v>2022</v>
      </c>
      <c r="C2103" s="7" t="s">
        <v>65</v>
      </c>
      <c r="D2103" s="7" t="s">
        <v>72</v>
      </c>
      <c r="E2103" s="7" t="s">
        <v>74</v>
      </c>
      <c r="F2103" s="7" t="s">
        <v>75</v>
      </c>
      <c r="G2103" s="7" t="s">
        <v>64</v>
      </c>
      <c r="H2103" s="7" t="s">
        <v>25</v>
      </c>
      <c r="I2103" s="7" t="s">
        <v>76</v>
      </c>
      <c r="J2103" s="7">
        <v>280</v>
      </c>
      <c r="K2103" s="7">
        <v>400.4</v>
      </c>
    </row>
    <row r="2104" spans="1:11" ht="18" customHeight="1" x14ac:dyDescent="0.25">
      <c r="A2104" s="7" t="s">
        <v>19</v>
      </c>
      <c r="B2104" s="7">
        <v>2022</v>
      </c>
      <c r="C2104" s="7" t="s">
        <v>65</v>
      </c>
      <c r="D2104" s="7" t="s">
        <v>72</v>
      </c>
      <c r="E2104" s="7" t="s">
        <v>74</v>
      </c>
      <c r="F2104" s="7" t="s">
        <v>75</v>
      </c>
      <c r="G2104" s="7" t="s">
        <v>64</v>
      </c>
      <c r="H2104" s="7" t="s">
        <v>25</v>
      </c>
      <c r="I2104" s="7" t="s">
        <v>76</v>
      </c>
      <c r="J2104" s="7">
        <v>787</v>
      </c>
      <c r="K2104" s="7">
        <v>1125.4099999999999</v>
      </c>
    </row>
    <row r="2105" spans="1:11" ht="18" customHeight="1" x14ac:dyDescent="0.25">
      <c r="A2105" s="7" t="s">
        <v>19</v>
      </c>
      <c r="B2105" s="7">
        <v>2022</v>
      </c>
      <c r="C2105" s="7" t="s">
        <v>65</v>
      </c>
      <c r="D2105" s="7" t="s">
        <v>72</v>
      </c>
      <c r="E2105" s="7" t="s">
        <v>74</v>
      </c>
      <c r="F2105" s="7" t="s">
        <v>75</v>
      </c>
      <c r="G2105" s="7" t="s">
        <v>64</v>
      </c>
      <c r="H2105" s="7" t="s">
        <v>25</v>
      </c>
      <c r="I2105" s="7" t="s">
        <v>76</v>
      </c>
      <c r="J2105" s="7">
        <v>841</v>
      </c>
      <c r="K2105" s="7">
        <v>1202.6300000000001</v>
      </c>
    </row>
    <row r="2106" spans="1:11" ht="18" customHeight="1" x14ac:dyDescent="0.25">
      <c r="A2106" s="7" t="s">
        <v>42</v>
      </c>
      <c r="B2106" s="7">
        <v>2022</v>
      </c>
      <c r="C2106" s="7" t="s">
        <v>65</v>
      </c>
      <c r="D2106" s="7" t="s">
        <v>72</v>
      </c>
      <c r="E2106" s="7" t="s">
        <v>74</v>
      </c>
      <c r="F2106" s="7" t="s">
        <v>75</v>
      </c>
      <c r="G2106" s="7" t="s">
        <v>64</v>
      </c>
      <c r="H2106" s="7" t="s">
        <v>25</v>
      </c>
      <c r="I2106" s="7" t="s">
        <v>76</v>
      </c>
      <c r="J2106" s="7">
        <v>874</v>
      </c>
      <c r="K2106" s="7">
        <v>1249.82</v>
      </c>
    </row>
    <row r="2107" spans="1:11" ht="18" customHeight="1" x14ac:dyDescent="0.25">
      <c r="A2107" s="7" t="s">
        <v>19</v>
      </c>
      <c r="B2107" s="7">
        <v>2022</v>
      </c>
      <c r="C2107" s="7" t="s">
        <v>65</v>
      </c>
      <c r="D2107" s="7" t="s">
        <v>72</v>
      </c>
      <c r="E2107" s="7" t="s">
        <v>74</v>
      </c>
      <c r="F2107" s="7" t="s">
        <v>75</v>
      </c>
      <c r="G2107" s="7" t="s">
        <v>64</v>
      </c>
      <c r="H2107" s="7" t="s">
        <v>25</v>
      </c>
      <c r="I2107" s="7" t="s">
        <v>76</v>
      </c>
      <c r="J2107" s="7">
        <v>953</v>
      </c>
      <c r="K2107" s="7">
        <v>1362.79</v>
      </c>
    </row>
    <row r="2108" spans="1:11" ht="18" customHeight="1" x14ac:dyDescent="0.25">
      <c r="A2108" s="7" t="s">
        <v>19</v>
      </c>
      <c r="B2108" s="7">
        <v>2022</v>
      </c>
      <c r="C2108" s="7" t="s">
        <v>65</v>
      </c>
      <c r="D2108" s="7" t="s">
        <v>72</v>
      </c>
      <c r="E2108" s="7" t="s">
        <v>74</v>
      </c>
      <c r="F2108" s="7" t="s">
        <v>75</v>
      </c>
      <c r="G2108" s="7" t="s">
        <v>64</v>
      </c>
      <c r="H2108" s="7" t="s">
        <v>25</v>
      </c>
      <c r="I2108" s="7" t="s">
        <v>76</v>
      </c>
      <c r="J2108" s="7">
        <v>954</v>
      </c>
      <c r="K2108" s="7">
        <v>1364.22</v>
      </c>
    </row>
    <row r="2109" spans="1:11" ht="18" customHeight="1" x14ac:dyDescent="0.25">
      <c r="A2109" s="7" t="s">
        <v>42</v>
      </c>
      <c r="B2109" s="7">
        <v>2022</v>
      </c>
      <c r="C2109" s="7" t="s">
        <v>65</v>
      </c>
      <c r="D2109" s="7" t="s">
        <v>72</v>
      </c>
      <c r="E2109" s="7" t="s">
        <v>74</v>
      </c>
      <c r="F2109" s="7" t="s">
        <v>75</v>
      </c>
      <c r="G2109" s="7" t="s">
        <v>64</v>
      </c>
      <c r="H2109" s="7" t="s">
        <v>25</v>
      </c>
      <c r="I2109" s="7" t="s">
        <v>76</v>
      </c>
      <c r="J2109" s="7">
        <v>827</v>
      </c>
      <c r="K2109" s="7">
        <v>526.24</v>
      </c>
    </row>
    <row r="2110" spans="1:11" ht="18" customHeight="1" x14ac:dyDescent="0.25">
      <c r="A2110" s="7" t="s">
        <v>19</v>
      </c>
      <c r="B2110" s="7">
        <v>2022</v>
      </c>
      <c r="C2110" s="7" t="s">
        <v>65</v>
      </c>
      <c r="D2110" s="7" t="s">
        <v>72</v>
      </c>
      <c r="E2110" s="7" t="s">
        <v>74</v>
      </c>
      <c r="F2110" s="7" t="s">
        <v>75</v>
      </c>
      <c r="G2110" s="7" t="s">
        <v>64</v>
      </c>
      <c r="H2110" s="7" t="s">
        <v>25</v>
      </c>
      <c r="I2110" s="7" t="s">
        <v>76</v>
      </c>
      <c r="J2110" s="7">
        <v>880</v>
      </c>
      <c r="K2110" s="7">
        <v>526.24</v>
      </c>
    </row>
    <row r="2111" spans="1:11" ht="18" customHeight="1" x14ac:dyDescent="0.25">
      <c r="A2111" s="7" t="s">
        <v>19</v>
      </c>
      <c r="B2111" s="7">
        <v>2022</v>
      </c>
      <c r="C2111" s="7" t="s">
        <v>65</v>
      </c>
      <c r="D2111" s="7" t="s">
        <v>72</v>
      </c>
      <c r="E2111" s="7" t="s">
        <v>74</v>
      </c>
      <c r="F2111" s="7" t="s">
        <v>75</v>
      </c>
      <c r="G2111" s="7" t="s">
        <v>64</v>
      </c>
      <c r="H2111" s="7" t="s">
        <v>25</v>
      </c>
      <c r="I2111" s="7" t="s">
        <v>76</v>
      </c>
      <c r="J2111" s="7">
        <v>285</v>
      </c>
      <c r="K2111" s="7">
        <v>407.55</v>
      </c>
    </row>
    <row r="2112" spans="1:11" ht="18" customHeight="1" x14ac:dyDescent="0.25">
      <c r="A2112" s="7" t="s">
        <v>34</v>
      </c>
      <c r="B2112" s="7">
        <v>2022</v>
      </c>
      <c r="C2112" s="7" t="s">
        <v>65</v>
      </c>
      <c r="D2112" s="7" t="s">
        <v>72</v>
      </c>
      <c r="E2112" s="7" t="s">
        <v>74</v>
      </c>
      <c r="F2112" s="7" t="s">
        <v>75</v>
      </c>
      <c r="G2112" s="7" t="s">
        <v>64</v>
      </c>
      <c r="H2112" s="7" t="s">
        <v>25</v>
      </c>
      <c r="I2112" s="7" t="s">
        <v>76</v>
      </c>
      <c r="J2112" s="7">
        <v>303</v>
      </c>
      <c r="K2112" s="7">
        <v>433.28999999999996</v>
      </c>
    </row>
    <row r="2113" spans="1:11" ht="18" customHeight="1" x14ac:dyDescent="0.25">
      <c r="A2113" s="7" t="s">
        <v>19</v>
      </c>
      <c r="B2113" s="7">
        <v>2022</v>
      </c>
      <c r="C2113" s="7" t="s">
        <v>65</v>
      </c>
      <c r="D2113" s="7" t="s">
        <v>72</v>
      </c>
      <c r="E2113" s="7" t="s">
        <v>74</v>
      </c>
      <c r="F2113" s="7" t="s">
        <v>75</v>
      </c>
      <c r="G2113" s="7" t="s">
        <v>64</v>
      </c>
      <c r="H2113" s="7" t="s">
        <v>25</v>
      </c>
      <c r="I2113" s="7" t="s">
        <v>76</v>
      </c>
      <c r="J2113" s="7">
        <v>297</v>
      </c>
      <c r="K2113" s="7">
        <v>424.71</v>
      </c>
    </row>
    <row r="2114" spans="1:11" ht="18" customHeight="1" x14ac:dyDescent="0.25">
      <c r="A2114" s="7" t="s">
        <v>19</v>
      </c>
      <c r="B2114" s="7">
        <v>2022</v>
      </c>
      <c r="C2114" s="7" t="s">
        <v>65</v>
      </c>
      <c r="D2114" s="7" t="s">
        <v>72</v>
      </c>
      <c r="E2114" s="7" t="s">
        <v>74</v>
      </c>
      <c r="F2114" s="7" t="s">
        <v>75</v>
      </c>
      <c r="G2114" s="7" t="s">
        <v>64</v>
      </c>
      <c r="H2114" s="7" t="s">
        <v>25</v>
      </c>
      <c r="I2114" s="7" t="s">
        <v>76</v>
      </c>
      <c r="J2114" s="7">
        <v>291</v>
      </c>
      <c r="K2114" s="7">
        <v>416.13</v>
      </c>
    </row>
    <row r="2115" spans="1:11" ht="18" customHeight="1" x14ac:dyDescent="0.25">
      <c r="A2115" s="7" t="s">
        <v>34</v>
      </c>
      <c r="B2115" s="7">
        <v>2022</v>
      </c>
      <c r="C2115" s="7" t="s">
        <v>65</v>
      </c>
      <c r="D2115" s="7" t="s">
        <v>72</v>
      </c>
      <c r="E2115" s="7" t="s">
        <v>74</v>
      </c>
      <c r="F2115" s="7" t="s">
        <v>75</v>
      </c>
      <c r="G2115" s="7" t="s">
        <v>64</v>
      </c>
      <c r="H2115" s="7" t="s">
        <v>25</v>
      </c>
      <c r="I2115" s="7" t="s">
        <v>76</v>
      </c>
      <c r="J2115" s="7">
        <v>307</v>
      </c>
      <c r="K2115" s="7">
        <v>439.01</v>
      </c>
    </row>
    <row r="2116" spans="1:11" ht="18" customHeight="1" x14ac:dyDescent="0.25">
      <c r="A2116" s="7" t="s">
        <v>19</v>
      </c>
      <c r="B2116" s="7">
        <v>2022</v>
      </c>
      <c r="C2116" s="7" t="s">
        <v>65</v>
      </c>
      <c r="D2116" s="7" t="s">
        <v>72</v>
      </c>
      <c r="E2116" s="7" t="s">
        <v>74</v>
      </c>
      <c r="F2116" s="7" t="s">
        <v>75</v>
      </c>
      <c r="G2116" s="7" t="s">
        <v>64</v>
      </c>
      <c r="H2116" s="7" t="s">
        <v>25</v>
      </c>
      <c r="I2116" s="7" t="s">
        <v>76</v>
      </c>
      <c r="J2116" s="7">
        <v>235</v>
      </c>
      <c r="K2116" s="7">
        <v>336.05</v>
      </c>
    </row>
    <row r="2117" spans="1:11" ht="18" customHeight="1" x14ac:dyDescent="0.25">
      <c r="A2117" s="7" t="s">
        <v>34</v>
      </c>
      <c r="B2117" s="7">
        <v>2022</v>
      </c>
      <c r="C2117" s="7" t="s">
        <v>65</v>
      </c>
      <c r="D2117" s="7" t="s">
        <v>72</v>
      </c>
      <c r="E2117" s="7" t="s">
        <v>74</v>
      </c>
      <c r="F2117" s="7" t="s">
        <v>75</v>
      </c>
      <c r="G2117" s="7" t="s">
        <v>64</v>
      </c>
      <c r="H2117" s="7" t="s">
        <v>25</v>
      </c>
      <c r="I2117" s="7" t="s">
        <v>76</v>
      </c>
      <c r="J2117" s="7">
        <v>283</v>
      </c>
      <c r="K2117" s="7">
        <v>404.69</v>
      </c>
    </row>
    <row r="2118" spans="1:11" ht="18" customHeight="1" x14ac:dyDescent="0.25">
      <c r="A2118" s="7" t="s">
        <v>34</v>
      </c>
      <c r="B2118" s="7">
        <v>2022</v>
      </c>
      <c r="C2118" s="7" t="s">
        <v>65</v>
      </c>
      <c r="D2118" s="7" t="s">
        <v>72</v>
      </c>
      <c r="E2118" s="7" t="s">
        <v>74</v>
      </c>
      <c r="F2118" s="7" t="s">
        <v>75</v>
      </c>
      <c r="G2118" s="7" t="s">
        <v>64</v>
      </c>
      <c r="H2118" s="7" t="s">
        <v>25</v>
      </c>
      <c r="I2118" s="7" t="s">
        <v>76</v>
      </c>
      <c r="J2118" s="7">
        <v>796</v>
      </c>
      <c r="K2118" s="7">
        <v>1138.28</v>
      </c>
    </row>
    <row r="2119" spans="1:11" ht="18" customHeight="1" x14ac:dyDescent="0.25">
      <c r="A2119" s="7" t="s">
        <v>34</v>
      </c>
      <c r="B2119" s="7">
        <v>2022</v>
      </c>
      <c r="C2119" s="7" t="s">
        <v>65</v>
      </c>
      <c r="D2119" s="7" t="s">
        <v>72</v>
      </c>
      <c r="E2119" s="7" t="s">
        <v>74</v>
      </c>
      <c r="F2119" s="7" t="s">
        <v>75</v>
      </c>
      <c r="G2119" s="7" t="s">
        <v>64</v>
      </c>
      <c r="H2119" s="7" t="s">
        <v>25</v>
      </c>
      <c r="I2119" s="7" t="s">
        <v>76</v>
      </c>
      <c r="J2119" s="7">
        <v>883</v>
      </c>
      <c r="K2119" s="7">
        <v>1262.69</v>
      </c>
    </row>
    <row r="2120" spans="1:11" ht="18" customHeight="1" x14ac:dyDescent="0.25">
      <c r="A2120" s="7" t="s">
        <v>42</v>
      </c>
      <c r="B2120" s="7">
        <v>2022</v>
      </c>
      <c r="C2120" s="7" t="s">
        <v>59</v>
      </c>
      <c r="D2120" s="7" t="s">
        <v>72</v>
      </c>
      <c r="E2120" s="7" t="s">
        <v>74</v>
      </c>
      <c r="F2120" s="7" t="s">
        <v>75</v>
      </c>
      <c r="G2120" s="7" t="s">
        <v>64</v>
      </c>
      <c r="H2120" s="7" t="s">
        <v>25</v>
      </c>
      <c r="I2120" s="7" t="s">
        <v>76</v>
      </c>
      <c r="J2120" s="7">
        <v>290</v>
      </c>
      <c r="K2120" s="7">
        <v>414.7</v>
      </c>
    </row>
    <row r="2121" spans="1:11" ht="18" customHeight="1" x14ac:dyDescent="0.25">
      <c r="A2121" s="7" t="s">
        <v>19</v>
      </c>
      <c r="B2121" s="7">
        <v>2022</v>
      </c>
      <c r="C2121" s="7" t="s">
        <v>59</v>
      </c>
      <c r="D2121" s="7" t="s">
        <v>72</v>
      </c>
      <c r="E2121" s="7" t="s">
        <v>74</v>
      </c>
      <c r="F2121" s="7" t="s">
        <v>75</v>
      </c>
      <c r="G2121" s="7" t="s">
        <v>64</v>
      </c>
      <c r="H2121" s="7" t="s">
        <v>25</v>
      </c>
      <c r="I2121" s="7" t="s">
        <v>76</v>
      </c>
      <c r="J2121" s="7">
        <v>338</v>
      </c>
      <c r="K2121" s="7">
        <v>483.34000000000003</v>
      </c>
    </row>
    <row r="2122" spans="1:11" ht="18" customHeight="1" x14ac:dyDescent="0.25">
      <c r="A2122" s="7" t="s">
        <v>42</v>
      </c>
      <c r="B2122" s="7">
        <v>2022</v>
      </c>
      <c r="C2122" s="7" t="s">
        <v>59</v>
      </c>
      <c r="D2122" s="7" t="s">
        <v>72</v>
      </c>
      <c r="E2122" s="7" t="s">
        <v>74</v>
      </c>
      <c r="F2122" s="7" t="s">
        <v>75</v>
      </c>
      <c r="G2122" s="7" t="s">
        <v>64</v>
      </c>
      <c r="H2122" s="7" t="s">
        <v>25</v>
      </c>
      <c r="I2122" s="7" t="s">
        <v>76</v>
      </c>
      <c r="J2122" s="7">
        <v>334</v>
      </c>
      <c r="K2122" s="7">
        <v>477.62</v>
      </c>
    </row>
    <row r="2123" spans="1:11" ht="18" customHeight="1" x14ac:dyDescent="0.25">
      <c r="A2123" s="7" t="s">
        <v>34</v>
      </c>
      <c r="B2123" s="7">
        <v>2022</v>
      </c>
      <c r="C2123" s="7" t="s">
        <v>59</v>
      </c>
      <c r="D2123" s="7" t="s">
        <v>72</v>
      </c>
      <c r="E2123" s="7" t="s">
        <v>74</v>
      </c>
      <c r="F2123" s="7" t="s">
        <v>75</v>
      </c>
      <c r="G2123" s="7" t="s">
        <v>64</v>
      </c>
      <c r="H2123" s="7" t="s">
        <v>25</v>
      </c>
      <c r="I2123" s="7" t="s">
        <v>76</v>
      </c>
      <c r="J2123" s="7">
        <v>832</v>
      </c>
      <c r="K2123" s="7">
        <v>1189.76</v>
      </c>
    </row>
    <row r="2124" spans="1:11" ht="18" customHeight="1" x14ac:dyDescent="0.25">
      <c r="A2124" s="7" t="s">
        <v>34</v>
      </c>
      <c r="B2124" s="7">
        <v>2022</v>
      </c>
      <c r="C2124" s="7" t="s">
        <v>59</v>
      </c>
      <c r="D2124" s="7" t="s">
        <v>72</v>
      </c>
      <c r="E2124" s="7" t="s">
        <v>74</v>
      </c>
      <c r="F2124" s="7" t="s">
        <v>75</v>
      </c>
      <c r="G2124" s="7" t="s">
        <v>64</v>
      </c>
      <c r="H2124" s="7" t="s">
        <v>25</v>
      </c>
      <c r="I2124" s="7" t="s">
        <v>76</v>
      </c>
      <c r="J2124" s="7">
        <v>865</v>
      </c>
      <c r="K2124" s="7">
        <v>1236.95</v>
      </c>
    </row>
    <row r="2125" spans="1:11" ht="18" customHeight="1" x14ac:dyDescent="0.25">
      <c r="A2125" s="7" t="s">
        <v>34</v>
      </c>
      <c r="B2125" s="7">
        <v>2022</v>
      </c>
      <c r="C2125" s="7" t="s">
        <v>59</v>
      </c>
      <c r="D2125" s="7" t="s">
        <v>72</v>
      </c>
      <c r="E2125" s="7" t="s">
        <v>74</v>
      </c>
      <c r="F2125" s="7" t="s">
        <v>75</v>
      </c>
      <c r="G2125" s="7" t="s">
        <v>64</v>
      </c>
      <c r="H2125" s="7" t="s">
        <v>25</v>
      </c>
      <c r="I2125" s="7" t="s">
        <v>76</v>
      </c>
      <c r="J2125" s="7">
        <v>926</v>
      </c>
      <c r="K2125" s="7">
        <v>1324.18</v>
      </c>
    </row>
    <row r="2126" spans="1:11" ht="18" customHeight="1" x14ac:dyDescent="0.25">
      <c r="A2126" s="7" t="s">
        <v>19</v>
      </c>
      <c r="B2126" s="7">
        <v>2022</v>
      </c>
      <c r="C2126" s="7" t="s">
        <v>59</v>
      </c>
      <c r="D2126" s="7" t="s">
        <v>72</v>
      </c>
      <c r="E2126" s="7" t="s">
        <v>74</v>
      </c>
      <c r="F2126" s="7" t="s">
        <v>75</v>
      </c>
      <c r="G2126" s="7" t="s">
        <v>64</v>
      </c>
      <c r="H2126" s="7" t="s">
        <v>25</v>
      </c>
      <c r="I2126" s="7" t="s">
        <v>76</v>
      </c>
      <c r="J2126" s="7">
        <v>927</v>
      </c>
      <c r="K2126" s="7">
        <v>1325.6100000000001</v>
      </c>
    </row>
    <row r="2127" spans="1:11" ht="18" customHeight="1" x14ac:dyDescent="0.25">
      <c r="A2127" s="7" t="s">
        <v>42</v>
      </c>
      <c r="B2127" s="7">
        <v>2022</v>
      </c>
      <c r="C2127" s="7" t="s">
        <v>59</v>
      </c>
      <c r="D2127" s="7" t="s">
        <v>72</v>
      </c>
      <c r="E2127" s="7" t="s">
        <v>74</v>
      </c>
      <c r="F2127" s="7" t="s">
        <v>75</v>
      </c>
      <c r="G2127" s="7" t="s">
        <v>64</v>
      </c>
      <c r="H2127" s="7" t="s">
        <v>25</v>
      </c>
      <c r="I2127" s="7" t="s">
        <v>76</v>
      </c>
      <c r="J2127" s="7">
        <v>928</v>
      </c>
      <c r="K2127" s="7">
        <v>1327.04</v>
      </c>
    </row>
    <row r="2128" spans="1:11" ht="18" customHeight="1" x14ac:dyDescent="0.25">
      <c r="A2128" s="7" t="s">
        <v>34</v>
      </c>
      <c r="B2128" s="7">
        <v>2022</v>
      </c>
      <c r="C2128" s="7" t="s">
        <v>59</v>
      </c>
      <c r="D2128" s="7" t="s">
        <v>72</v>
      </c>
      <c r="E2128" s="7" t="s">
        <v>74</v>
      </c>
      <c r="F2128" s="7" t="s">
        <v>75</v>
      </c>
      <c r="G2128" s="7" t="s">
        <v>64</v>
      </c>
      <c r="H2128" s="7" t="s">
        <v>25</v>
      </c>
      <c r="I2128" s="7" t="s">
        <v>76</v>
      </c>
      <c r="J2128" s="7">
        <v>871</v>
      </c>
      <c r="K2128" s="7">
        <v>526.24</v>
      </c>
    </row>
    <row r="2129" spans="1:11" ht="18" customHeight="1" x14ac:dyDescent="0.25">
      <c r="A2129" s="7" t="s">
        <v>42</v>
      </c>
      <c r="B2129" s="7">
        <v>2022</v>
      </c>
      <c r="C2129" s="7" t="s">
        <v>59</v>
      </c>
      <c r="D2129" s="7" t="s">
        <v>72</v>
      </c>
      <c r="E2129" s="7" t="s">
        <v>74</v>
      </c>
      <c r="F2129" s="7" t="s">
        <v>75</v>
      </c>
      <c r="G2129" s="7" t="s">
        <v>64</v>
      </c>
      <c r="H2129" s="7" t="s">
        <v>25</v>
      </c>
      <c r="I2129" s="7" t="s">
        <v>76</v>
      </c>
      <c r="J2129" s="7">
        <v>213</v>
      </c>
      <c r="K2129" s="7">
        <v>304.59000000000003</v>
      </c>
    </row>
    <row r="2130" spans="1:11" ht="18" customHeight="1" x14ac:dyDescent="0.25">
      <c r="A2130" s="7" t="s">
        <v>34</v>
      </c>
      <c r="B2130" s="7">
        <v>2022</v>
      </c>
      <c r="C2130" s="7" t="s">
        <v>59</v>
      </c>
      <c r="D2130" s="7" t="s">
        <v>72</v>
      </c>
      <c r="E2130" s="7" t="s">
        <v>74</v>
      </c>
      <c r="F2130" s="7" t="s">
        <v>75</v>
      </c>
      <c r="G2130" s="7" t="s">
        <v>64</v>
      </c>
      <c r="H2130" s="7" t="s">
        <v>25</v>
      </c>
      <c r="I2130" s="7" t="s">
        <v>76</v>
      </c>
      <c r="J2130" s="7">
        <v>207</v>
      </c>
      <c r="K2130" s="7">
        <v>296.01</v>
      </c>
    </row>
    <row r="2131" spans="1:11" ht="18" customHeight="1" x14ac:dyDescent="0.25">
      <c r="A2131" s="7" t="s">
        <v>19</v>
      </c>
      <c r="B2131" s="7">
        <v>2022</v>
      </c>
      <c r="C2131" s="7" t="s">
        <v>59</v>
      </c>
      <c r="D2131" s="7" t="s">
        <v>72</v>
      </c>
      <c r="E2131" s="7" t="s">
        <v>74</v>
      </c>
      <c r="F2131" s="7" t="s">
        <v>75</v>
      </c>
      <c r="G2131" s="7" t="s">
        <v>64</v>
      </c>
      <c r="H2131" s="7" t="s">
        <v>25</v>
      </c>
      <c r="I2131" s="7" t="s">
        <v>76</v>
      </c>
      <c r="J2131" s="7">
        <v>289</v>
      </c>
      <c r="K2131" s="7">
        <v>413.27</v>
      </c>
    </row>
    <row r="2132" spans="1:11" ht="18" customHeight="1" x14ac:dyDescent="0.25">
      <c r="A2132" s="7" t="s">
        <v>34</v>
      </c>
      <c r="B2132" s="7">
        <v>2022</v>
      </c>
      <c r="C2132" s="7" t="s">
        <v>59</v>
      </c>
      <c r="D2132" s="7" t="s">
        <v>72</v>
      </c>
      <c r="E2132" s="7" t="s">
        <v>74</v>
      </c>
      <c r="F2132" s="7" t="s">
        <v>75</v>
      </c>
      <c r="G2132" s="7" t="s">
        <v>64</v>
      </c>
      <c r="H2132" s="7" t="s">
        <v>25</v>
      </c>
      <c r="I2132" s="7" t="s">
        <v>76</v>
      </c>
      <c r="J2132" s="7">
        <v>337</v>
      </c>
      <c r="K2132" s="7">
        <v>481.90999999999997</v>
      </c>
    </row>
    <row r="2133" spans="1:11" ht="18" customHeight="1" x14ac:dyDescent="0.25">
      <c r="A2133" s="7" t="s">
        <v>42</v>
      </c>
      <c r="B2133" s="7">
        <v>2022</v>
      </c>
      <c r="C2133" s="7" t="s">
        <v>59</v>
      </c>
      <c r="D2133" s="7" t="s">
        <v>72</v>
      </c>
      <c r="E2133" s="7" t="s">
        <v>74</v>
      </c>
      <c r="F2133" s="7" t="s">
        <v>75</v>
      </c>
      <c r="G2133" s="7" t="s">
        <v>64</v>
      </c>
      <c r="H2133" s="7" t="s">
        <v>25</v>
      </c>
      <c r="I2133" s="7" t="s">
        <v>76</v>
      </c>
      <c r="J2133" s="7">
        <v>841</v>
      </c>
      <c r="K2133" s="7">
        <v>1202.6300000000001</v>
      </c>
    </row>
    <row r="2134" spans="1:11" ht="18" customHeight="1" x14ac:dyDescent="0.25">
      <c r="A2134" s="7" t="s">
        <v>19</v>
      </c>
      <c r="B2134" s="7">
        <v>2022</v>
      </c>
      <c r="C2134" s="7" t="s">
        <v>59</v>
      </c>
      <c r="D2134" s="7" t="s">
        <v>72</v>
      </c>
      <c r="E2134" s="7" t="s">
        <v>74</v>
      </c>
      <c r="F2134" s="7" t="s">
        <v>75</v>
      </c>
      <c r="G2134" s="7" t="s">
        <v>64</v>
      </c>
      <c r="H2134" s="7" t="s">
        <v>25</v>
      </c>
      <c r="I2134" s="7" t="s">
        <v>76</v>
      </c>
      <c r="J2134" s="7">
        <v>874</v>
      </c>
      <c r="K2134" s="7">
        <v>1249.82</v>
      </c>
    </row>
    <row r="2135" spans="1:11" ht="18" customHeight="1" x14ac:dyDescent="0.25">
      <c r="A2135" s="7" t="s">
        <v>42</v>
      </c>
      <c r="B2135" s="7">
        <v>2022</v>
      </c>
      <c r="C2135" s="7" t="s">
        <v>27</v>
      </c>
      <c r="D2135" s="7" t="s">
        <v>72</v>
      </c>
      <c r="E2135" s="7" t="s">
        <v>74</v>
      </c>
      <c r="F2135" s="7" t="s">
        <v>75</v>
      </c>
      <c r="G2135" s="7" t="s">
        <v>64</v>
      </c>
      <c r="H2135" s="7" t="s">
        <v>25</v>
      </c>
      <c r="I2135" s="7" t="s">
        <v>76</v>
      </c>
      <c r="J2135" s="7">
        <v>296</v>
      </c>
      <c r="K2135" s="7">
        <v>423.28</v>
      </c>
    </row>
    <row r="2136" spans="1:11" ht="18" customHeight="1" x14ac:dyDescent="0.25">
      <c r="A2136" s="7" t="s">
        <v>61</v>
      </c>
      <c r="B2136" s="7">
        <v>2022</v>
      </c>
      <c r="C2136" s="7" t="s">
        <v>27</v>
      </c>
      <c r="D2136" s="7" t="s">
        <v>72</v>
      </c>
      <c r="E2136" s="7" t="s">
        <v>74</v>
      </c>
      <c r="F2136" s="7" t="s">
        <v>75</v>
      </c>
      <c r="G2136" s="7" t="s">
        <v>64</v>
      </c>
      <c r="H2136" s="7" t="s">
        <v>25</v>
      </c>
      <c r="I2136" s="7" t="s">
        <v>76</v>
      </c>
      <c r="J2136" s="7">
        <v>292</v>
      </c>
      <c r="K2136" s="7">
        <v>417.56</v>
      </c>
    </row>
    <row r="2137" spans="1:11" ht="18" customHeight="1" x14ac:dyDescent="0.25">
      <c r="A2137" s="7" t="s">
        <v>42</v>
      </c>
      <c r="B2137" s="7">
        <v>2022</v>
      </c>
      <c r="C2137" s="7" t="s">
        <v>27</v>
      </c>
      <c r="D2137" s="7" t="s">
        <v>72</v>
      </c>
      <c r="E2137" s="7" t="s">
        <v>74</v>
      </c>
      <c r="F2137" s="7" t="s">
        <v>75</v>
      </c>
      <c r="G2137" s="7" t="s">
        <v>64</v>
      </c>
      <c r="H2137" s="7" t="s">
        <v>25</v>
      </c>
      <c r="I2137" s="7" t="s">
        <v>76</v>
      </c>
      <c r="J2137" s="7">
        <v>340</v>
      </c>
      <c r="K2137" s="7">
        <v>486.2</v>
      </c>
    </row>
    <row r="2138" spans="1:11" ht="18" customHeight="1" x14ac:dyDescent="0.25">
      <c r="A2138" s="7" t="s">
        <v>19</v>
      </c>
      <c r="B2138" s="7">
        <v>2022</v>
      </c>
      <c r="C2138" s="7" t="s">
        <v>27</v>
      </c>
      <c r="D2138" s="7" t="s">
        <v>72</v>
      </c>
      <c r="E2138" s="7" t="s">
        <v>74</v>
      </c>
      <c r="F2138" s="7" t="s">
        <v>75</v>
      </c>
      <c r="G2138" s="7" t="s">
        <v>64</v>
      </c>
      <c r="H2138" s="7" t="s">
        <v>25</v>
      </c>
      <c r="I2138" s="7" t="s">
        <v>76</v>
      </c>
      <c r="J2138" s="7">
        <v>831</v>
      </c>
      <c r="K2138" s="7">
        <v>1188.33</v>
      </c>
    </row>
    <row r="2139" spans="1:11" ht="18" customHeight="1" x14ac:dyDescent="0.25">
      <c r="A2139" s="7" t="s">
        <v>34</v>
      </c>
      <c r="B2139" s="7">
        <v>2022</v>
      </c>
      <c r="C2139" s="7" t="s">
        <v>27</v>
      </c>
      <c r="D2139" s="7" t="s">
        <v>72</v>
      </c>
      <c r="E2139" s="7" t="s">
        <v>74</v>
      </c>
      <c r="F2139" s="7" t="s">
        <v>75</v>
      </c>
      <c r="G2139" s="7" t="s">
        <v>64</v>
      </c>
      <c r="H2139" s="7" t="s">
        <v>25</v>
      </c>
      <c r="I2139" s="7" t="s">
        <v>76</v>
      </c>
      <c r="J2139" s="7">
        <v>864</v>
      </c>
      <c r="K2139" s="7">
        <v>1235.52</v>
      </c>
    </row>
    <row r="2140" spans="1:11" ht="18" customHeight="1" x14ac:dyDescent="0.25">
      <c r="A2140" s="7" t="s">
        <v>34</v>
      </c>
      <c r="B2140" s="7">
        <v>2022</v>
      </c>
      <c r="C2140" s="7" t="s">
        <v>27</v>
      </c>
      <c r="D2140" s="7" t="s">
        <v>72</v>
      </c>
      <c r="E2140" s="7" t="s">
        <v>74</v>
      </c>
      <c r="F2140" s="7" t="s">
        <v>75</v>
      </c>
      <c r="G2140" s="7" t="s">
        <v>64</v>
      </c>
      <c r="H2140" s="7" t="s">
        <v>25</v>
      </c>
      <c r="I2140" s="7" t="s">
        <v>76</v>
      </c>
      <c r="J2140" s="7">
        <v>923</v>
      </c>
      <c r="K2140" s="7">
        <v>1319.8899999999999</v>
      </c>
    </row>
    <row r="2141" spans="1:11" ht="18" customHeight="1" x14ac:dyDescent="0.25">
      <c r="A2141" s="7" t="s">
        <v>19</v>
      </c>
      <c r="B2141" s="7">
        <v>2022</v>
      </c>
      <c r="C2141" s="7" t="s">
        <v>27</v>
      </c>
      <c r="D2141" s="7" t="s">
        <v>72</v>
      </c>
      <c r="E2141" s="7" t="s">
        <v>74</v>
      </c>
      <c r="F2141" s="7" t="s">
        <v>75</v>
      </c>
      <c r="G2141" s="7" t="s">
        <v>64</v>
      </c>
      <c r="H2141" s="7" t="s">
        <v>25</v>
      </c>
      <c r="I2141" s="7" t="s">
        <v>76</v>
      </c>
      <c r="J2141" s="7">
        <v>924</v>
      </c>
      <c r="K2141" s="7">
        <v>1321.32</v>
      </c>
    </row>
    <row r="2142" spans="1:11" ht="18" customHeight="1" x14ac:dyDescent="0.25">
      <c r="A2142" s="7" t="s">
        <v>42</v>
      </c>
      <c r="B2142" s="7">
        <v>2022</v>
      </c>
      <c r="C2142" s="7" t="s">
        <v>27</v>
      </c>
      <c r="D2142" s="7" t="s">
        <v>72</v>
      </c>
      <c r="E2142" s="7" t="s">
        <v>74</v>
      </c>
      <c r="F2142" s="7" t="s">
        <v>75</v>
      </c>
      <c r="G2142" s="7" t="s">
        <v>64</v>
      </c>
      <c r="H2142" s="7" t="s">
        <v>25</v>
      </c>
      <c r="I2142" s="7" t="s">
        <v>76</v>
      </c>
      <c r="J2142" s="7">
        <v>925</v>
      </c>
      <c r="K2142" s="7">
        <v>1322.75</v>
      </c>
    </row>
    <row r="2143" spans="1:11" ht="18" customHeight="1" x14ac:dyDescent="0.25">
      <c r="A2143" s="7" t="s">
        <v>34</v>
      </c>
      <c r="B2143" s="7">
        <v>2022</v>
      </c>
      <c r="C2143" s="7" t="s">
        <v>27</v>
      </c>
      <c r="D2143" s="7" t="s">
        <v>72</v>
      </c>
      <c r="E2143" s="7" t="s">
        <v>74</v>
      </c>
      <c r="F2143" s="7" t="s">
        <v>75</v>
      </c>
      <c r="G2143" s="7" t="s">
        <v>64</v>
      </c>
      <c r="H2143" s="7" t="s">
        <v>25</v>
      </c>
      <c r="I2143" s="7" t="s">
        <v>76</v>
      </c>
      <c r="J2143" s="7">
        <v>870</v>
      </c>
      <c r="K2143" s="7">
        <v>526.24</v>
      </c>
    </row>
    <row r="2144" spans="1:11" ht="18" customHeight="1" x14ac:dyDescent="0.25">
      <c r="A2144" s="7" t="s">
        <v>34</v>
      </c>
      <c r="B2144" s="7">
        <v>2022</v>
      </c>
      <c r="C2144" s="7" t="s">
        <v>27</v>
      </c>
      <c r="D2144" s="7" t="s">
        <v>72</v>
      </c>
      <c r="E2144" s="7" t="s">
        <v>74</v>
      </c>
      <c r="F2144" s="7" t="s">
        <v>75</v>
      </c>
      <c r="G2144" s="7" t="s">
        <v>64</v>
      </c>
      <c r="H2144" s="7" t="s">
        <v>25</v>
      </c>
      <c r="I2144" s="7" t="s">
        <v>76</v>
      </c>
      <c r="J2144" s="7">
        <v>339</v>
      </c>
      <c r="K2144" s="7">
        <v>484.77</v>
      </c>
    </row>
    <row r="2145" spans="1:11" ht="18" customHeight="1" x14ac:dyDescent="0.25">
      <c r="A2145" s="7" t="s">
        <v>42</v>
      </c>
      <c r="B2145" s="7">
        <v>2022</v>
      </c>
      <c r="C2145" s="7" t="s">
        <v>27</v>
      </c>
      <c r="D2145" s="7" t="s">
        <v>72</v>
      </c>
      <c r="E2145" s="7" t="s">
        <v>74</v>
      </c>
      <c r="F2145" s="7" t="s">
        <v>75</v>
      </c>
      <c r="G2145" s="7" t="s">
        <v>64</v>
      </c>
      <c r="H2145" s="7" t="s">
        <v>25</v>
      </c>
      <c r="I2145" s="7" t="s">
        <v>76</v>
      </c>
      <c r="J2145" s="7">
        <v>231</v>
      </c>
      <c r="K2145" s="7">
        <v>330.33</v>
      </c>
    </row>
    <row r="2146" spans="1:11" ht="18" customHeight="1" x14ac:dyDescent="0.25">
      <c r="A2146" s="7" t="s">
        <v>19</v>
      </c>
      <c r="B2146" s="7">
        <v>2022</v>
      </c>
      <c r="C2146" s="7" t="s">
        <v>27</v>
      </c>
      <c r="D2146" s="7" t="s">
        <v>72</v>
      </c>
      <c r="E2146" s="7" t="s">
        <v>74</v>
      </c>
      <c r="F2146" s="7" t="s">
        <v>75</v>
      </c>
      <c r="G2146" s="7" t="s">
        <v>64</v>
      </c>
      <c r="H2146" s="7" t="s">
        <v>25</v>
      </c>
      <c r="I2146" s="7" t="s">
        <v>76</v>
      </c>
      <c r="J2146" s="7">
        <v>225</v>
      </c>
      <c r="K2146" s="7">
        <v>321.75</v>
      </c>
    </row>
    <row r="2147" spans="1:11" ht="18" customHeight="1" x14ac:dyDescent="0.25">
      <c r="A2147" s="7" t="s">
        <v>61</v>
      </c>
      <c r="B2147" s="7">
        <v>2022</v>
      </c>
      <c r="C2147" s="7" t="s">
        <v>27</v>
      </c>
      <c r="D2147" s="7" t="s">
        <v>72</v>
      </c>
      <c r="E2147" s="7" t="s">
        <v>74</v>
      </c>
      <c r="F2147" s="7" t="s">
        <v>75</v>
      </c>
      <c r="G2147" s="7" t="s">
        <v>64</v>
      </c>
      <c r="H2147" s="7" t="s">
        <v>25</v>
      </c>
      <c r="I2147" s="7" t="s">
        <v>76</v>
      </c>
      <c r="J2147" s="7">
        <v>219</v>
      </c>
      <c r="K2147" s="7">
        <v>313.17</v>
      </c>
    </row>
    <row r="2148" spans="1:11" ht="18" customHeight="1" x14ac:dyDescent="0.25">
      <c r="A2148" s="7" t="s">
        <v>19</v>
      </c>
      <c r="B2148" s="7">
        <v>2022</v>
      </c>
      <c r="C2148" s="7" t="s">
        <v>27</v>
      </c>
      <c r="D2148" s="7" t="s">
        <v>72</v>
      </c>
      <c r="E2148" s="7" t="s">
        <v>74</v>
      </c>
      <c r="F2148" s="7" t="s">
        <v>75</v>
      </c>
      <c r="G2148" s="7" t="s">
        <v>64</v>
      </c>
      <c r="H2148" s="7" t="s">
        <v>25</v>
      </c>
      <c r="I2148" s="7" t="s">
        <v>76</v>
      </c>
      <c r="J2148" s="7">
        <v>295</v>
      </c>
      <c r="K2148" s="7">
        <v>421.85</v>
      </c>
    </row>
    <row r="2149" spans="1:11" ht="18" customHeight="1" x14ac:dyDescent="0.25">
      <c r="A2149" s="7" t="s">
        <v>34</v>
      </c>
      <c r="B2149" s="7">
        <v>2022</v>
      </c>
      <c r="C2149" s="7" t="s">
        <v>27</v>
      </c>
      <c r="D2149" s="7" t="s">
        <v>72</v>
      </c>
      <c r="E2149" s="7" t="s">
        <v>74</v>
      </c>
      <c r="F2149" s="7" t="s">
        <v>75</v>
      </c>
      <c r="G2149" s="7" t="s">
        <v>64</v>
      </c>
      <c r="H2149" s="7" t="s">
        <v>25</v>
      </c>
      <c r="I2149" s="7" t="s">
        <v>76</v>
      </c>
      <c r="J2149" s="7">
        <v>343</v>
      </c>
      <c r="K2149" s="7">
        <v>490.49</v>
      </c>
    </row>
    <row r="2150" spans="1:11" ht="18" customHeight="1" x14ac:dyDescent="0.25">
      <c r="A2150" s="7" t="s">
        <v>42</v>
      </c>
      <c r="B2150" s="7">
        <v>2022</v>
      </c>
      <c r="C2150" s="7" t="s">
        <v>27</v>
      </c>
      <c r="D2150" s="7" t="s">
        <v>72</v>
      </c>
      <c r="E2150" s="7" t="s">
        <v>74</v>
      </c>
      <c r="F2150" s="7" t="s">
        <v>75</v>
      </c>
      <c r="G2150" s="7" t="s">
        <v>64</v>
      </c>
      <c r="H2150" s="7" t="s">
        <v>25</v>
      </c>
      <c r="I2150" s="7" t="s">
        <v>76</v>
      </c>
      <c r="J2150" s="7">
        <v>840</v>
      </c>
      <c r="K2150" s="7">
        <v>1201.2</v>
      </c>
    </row>
    <row r="2151" spans="1:11" ht="18" customHeight="1" x14ac:dyDescent="0.25">
      <c r="A2151" s="7" t="s">
        <v>34</v>
      </c>
      <c r="B2151" s="7">
        <v>2022</v>
      </c>
      <c r="C2151" s="7" t="s">
        <v>27</v>
      </c>
      <c r="D2151" s="7" t="s">
        <v>72</v>
      </c>
      <c r="E2151" s="7" t="s">
        <v>74</v>
      </c>
      <c r="F2151" s="7" t="s">
        <v>75</v>
      </c>
      <c r="G2151" s="7" t="s">
        <v>64</v>
      </c>
      <c r="H2151" s="7" t="s">
        <v>73</v>
      </c>
      <c r="I2151" s="7" t="s">
        <v>76</v>
      </c>
      <c r="J2151" s="7">
        <v>873</v>
      </c>
      <c r="K2151" s="7">
        <v>1248.3899999999999</v>
      </c>
    </row>
    <row r="2152" spans="1:11" ht="18" customHeight="1" x14ac:dyDescent="0.25">
      <c r="A2152" s="7" t="s">
        <v>53</v>
      </c>
      <c r="B2152" s="7">
        <v>2022</v>
      </c>
      <c r="C2152" s="7" t="s">
        <v>68</v>
      </c>
      <c r="D2152" s="7" t="s">
        <v>72</v>
      </c>
      <c r="E2152" s="7" t="s">
        <v>74</v>
      </c>
      <c r="F2152" s="7" t="s">
        <v>75</v>
      </c>
      <c r="G2152" s="7" t="s">
        <v>64</v>
      </c>
      <c r="H2152" s="7" t="s">
        <v>73</v>
      </c>
      <c r="I2152" s="7" t="s">
        <v>76</v>
      </c>
      <c r="J2152" s="7">
        <v>338</v>
      </c>
      <c r="K2152" s="7">
        <v>483.34000000000003</v>
      </c>
    </row>
    <row r="2153" spans="1:11" ht="18" customHeight="1" x14ac:dyDescent="0.25">
      <c r="A2153" s="7" t="s">
        <v>19</v>
      </c>
      <c r="B2153" s="7">
        <v>2022</v>
      </c>
      <c r="C2153" s="7" t="s">
        <v>68</v>
      </c>
      <c r="D2153" s="7" t="s">
        <v>72</v>
      </c>
      <c r="E2153" s="7" t="s">
        <v>74</v>
      </c>
      <c r="F2153" s="7" t="s">
        <v>75</v>
      </c>
      <c r="G2153" s="7" t="s">
        <v>64</v>
      </c>
      <c r="H2153" s="7" t="s">
        <v>73</v>
      </c>
      <c r="I2153" s="7" t="s">
        <v>76</v>
      </c>
      <c r="J2153" s="7">
        <v>260</v>
      </c>
      <c r="K2153" s="7">
        <v>371.8</v>
      </c>
    </row>
    <row r="2154" spans="1:11" ht="18" customHeight="1" x14ac:dyDescent="0.25">
      <c r="A2154" s="7" t="s">
        <v>42</v>
      </c>
      <c r="B2154" s="7">
        <v>2022</v>
      </c>
      <c r="C2154" s="7" t="s">
        <v>68</v>
      </c>
      <c r="D2154" s="7" t="s">
        <v>72</v>
      </c>
      <c r="E2154" s="7" t="s">
        <v>74</v>
      </c>
      <c r="F2154" s="7" t="s">
        <v>75</v>
      </c>
      <c r="G2154" s="7" t="s">
        <v>64</v>
      </c>
      <c r="H2154" s="7" t="s">
        <v>73</v>
      </c>
      <c r="I2154" s="7" t="s">
        <v>76</v>
      </c>
      <c r="J2154" s="7">
        <v>308</v>
      </c>
      <c r="K2154" s="7">
        <v>440.44</v>
      </c>
    </row>
    <row r="2155" spans="1:11" ht="18" customHeight="1" x14ac:dyDescent="0.25">
      <c r="A2155" s="7" t="s">
        <v>61</v>
      </c>
      <c r="B2155" s="7">
        <v>2022</v>
      </c>
      <c r="C2155" s="7" t="s">
        <v>68</v>
      </c>
      <c r="D2155" s="7" t="s">
        <v>72</v>
      </c>
      <c r="E2155" s="7" t="s">
        <v>74</v>
      </c>
      <c r="F2155" s="7" t="s">
        <v>75</v>
      </c>
      <c r="G2155" s="7" t="s">
        <v>64</v>
      </c>
      <c r="H2155" s="7" t="s">
        <v>73</v>
      </c>
      <c r="I2155" s="7" t="s">
        <v>76</v>
      </c>
      <c r="J2155" s="7">
        <v>334</v>
      </c>
      <c r="K2155" s="7">
        <v>477.62</v>
      </c>
    </row>
    <row r="2156" spans="1:11" ht="18" customHeight="1" x14ac:dyDescent="0.25">
      <c r="A2156" s="7" t="s">
        <v>42</v>
      </c>
      <c r="B2156" s="7">
        <v>2022</v>
      </c>
      <c r="C2156" s="7" t="s">
        <v>68</v>
      </c>
      <c r="D2156" s="7" t="s">
        <v>72</v>
      </c>
      <c r="E2156" s="7" t="s">
        <v>74</v>
      </c>
      <c r="F2156" s="7" t="s">
        <v>75</v>
      </c>
      <c r="G2156" s="7" t="s">
        <v>64</v>
      </c>
      <c r="H2156" s="7" t="s">
        <v>73</v>
      </c>
      <c r="I2156" s="7" t="s">
        <v>76</v>
      </c>
      <c r="J2156" s="7">
        <v>262</v>
      </c>
      <c r="K2156" s="7">
        <v>374.65999999999997</v>
      </c>
    </row>
    <row r="2157" spans="1:11" ht="18" customHeight="1" x14ac:dyDescent="0.25">
      <c r="A2157" s="7" t="s">
        <v>34</v>
      </c>
      <c r="B2157" s="7">
        <v>2022</v>
      </c>
      <c r="C2157" s="7" t="s">
        <v>68</v>
      </c>
      <c r="D2157" s="7" t="s">
        <v>72</v>
      </c>
      <c r="E2157" s="7" t="s">
        <v>74</v>
      </c>
      <c r="F2157" s="7" t="s">
        <v>75</v>
      </c>
      <c r="G2157" s="7" t="s">
        <v>64</v>
      </c>
      <c r="H2157" s="7" t="s">
        <v>73</v>
      </c>
      <c r="I2157" s="7" t="s">
        <v>76</v>
      </c>
      <c r="J2157" s="7">
        <v>310</v>
      </c>
      <c r="K2157" s="7">
        <v>443.3</v>
      </c>
    </row>
    <row r="2158" spans="1:11" ht="18" customHeight="1" x14ac:dyDescent="0.25">
      <c r="A2158" s="7" t="s">
        <v>34</v>
      </c>
      <c r="B2158" s="7">
        <v>2022</v>
      </c>
      <c r="C2158" s="7" t="s">
        <v>68</v>
      </c>
      <c r="D2158" s="7" t="s">
        <v>72</v>
      </c>
      <c r="E2158" s="7" t="s">
        <v>74</v>
      </c>
      <c r="F2158" s="7" t="s">
        <v>75</v>
      </c>
      <c r="G2158" s="7" t="s">
        <v>64</v>
      </c>
      <c r="H2158" s="7" t="s">
        <v>73</v>
      </c>
      <c r="I2158" s="7" t="s">
        <v>76</v>
      </c>
      <c r="J2158" s="7">
        <v>783</v>
      </c>
      <c r="K2158" s="7">
        <v>1119.69</v>
      </c>
    </row>
    <row r="2159" spans="1:11" ht="18" customHeight="1" x14ac:dyDescent="0.25">
      <c r="A2159" s="7" t="s">
        <v>19</v>
      </c>
      <c r="B2159" s="7">
        <v>2022</v>
      </c>
      <c r="C2159" s="7" t="s">
        <v>68</v>
      </c>
      <c r="D2159" s="7" t="s">
        <v>72</v>
      </c>
      <c r="E2159" s="7" t="s">
        <v>74</v>
      </c>
      <c r="F2159" s="7" t="s">
        <v>75</v>
      </c>
      <c r="G2159" s="7" t="s">
        <v>64</v>
      </c>
      <c r="H2159" s="7" t="s">
        <v>73</v>
      </c>
      <c r="I2159" s="7" t="s">
        <v>76</v>
      </c>
      <c r="J2159" s="7">
        <v>836</v>
      </c>
      <c r="K2159" s="7">
        <v>1195.48</v>
      </c>
    </row>
    <row r="2160" spans="1:11" ht="18" customHeight="1" x14ac:dyDescent="0.25">
      <c r="A2160" s="7" t="s">
        <v>19</v>
      </c>
      <c r="B2160" s="7">
        <v>2022</v>
      </c>
      <c r="C2160" s="7" t="s">
        <v>68</v>
      </c>
      <c r="D2160" s="7" t="s">
        <v>72</v>
      </c>
      <c r="E2160" s="7" t="s">
        <v>74</v>
      </c>
      <c r="F2160" s="7" t="s">
        <v>75</v>
      </c>
      <c r="G2160" s="7" t="s">
        <v>64</v>
      </c>
      <c r="H2160" s="7" t="s">
        <v>73</v>
      </c>
      <c r="I2160" s="7" t="s">
        <v>76</v>
      </c>
      <c r="J2160" s="7">
        <v>939</v>
      </c>
      <c r="K2160" s="7">
        <v>1342.77</v>
      </c>
    </row>
    <row r="2161" spans="1:11" ht="18" customHeight="1" x14ac:dyDescent="0.25">
      <c r="A2161" s="7" t="s">
        <v>34</v>
      </c>
      <c r="B2161" s="7">
        <v>2022</v>
      </c>
      <c r="C2161" s="7" t="s">
        <v>68</v>
      </c>
      <c r="D2161" s="7" t="s">
        <v>72</v>
      </c>
      <c r="E2161" s="7" t="s">
        <v>74</v>
      </c>
      <c r="F2161" s="7" t="s">
        <v>75</v>
      </c>
      <c r="G2161" s="7" t="s">
        <v>64</v>
      </c>
      <c r="H2161" s="7" t="s">
        <v>73</v>
      </c>
      <c r="I2161" s="7" t="s">
        <v>76</v>
      </c>
      <c r="J2161" s="7">
        <v>940</v>
      </c>
      <c r="K2161" s="7">
        <v>1344.2</v>
      </c>
    </row>
    <row r="2162" spans="1:11" ht="18" customHeight="1" x14ac:dyDescent="0.25">
      <c r="A2162" s="7" t="s">
        <v>42</v>
      </c>
      <c r="B2162" s="7">
        <v>2022</v>
      </c>
      <c r="C2162" s="7" t="s">
        <v>68</v>
      </c>
      <c r="D2162" s="7" t="s">
        <v>72</v>
      </c>
      <c r="E2162" s="7" t="s">
        <v>74</v>
      </c>
      <c r="F2162" s="7" t="s">
        <v>75</v>
      </c>
      <c r="G2162" s="7" t="s">
        <v>64</v>
      </c>
      <c r="H2162" s="7" t="s">
        <v>73</v>
      </c>
      <c r="I2162" s="7" t="s">
        <v>76</v>
      </c>
      <c r="J2162" s="7">
        <v>941</v>
      </c>
      <c r="K2162" s="7">
        <v>1345.63</v>
      </c>
    </row>
    <row r="2163" spans="1:11" ht="18" customHeight="1" x14ac:dyDescent="0.25">
      <c r="A2163" s="7" t="s">
        <v>42</v>
      </c>
      <c r="B2163" s="7">
        <v>2022</v>
      </c>
      <c r="C2163" s="7" t="s">
        <v>68</v>
      </c>
      <c r="D2163" s="7" t="s">
        <v>72</v>
      </c>
      <c r="E2163" s="7" t="s">
        <v>74</v>
      </c>
      <c r="F2163" s="7" t="s">
        <v>75</v>
      </c>
      <c r="G2163" s="7" t="s">
        <v>64</v>
      </c>
      <c r="H2163" s="7" t="s">
        <v>73</v>
      </c>
      <c r="I2163" s="7" t="s">
        <v>76</v>
      </c>
      <c r="J2163" s="7">
        <v>876</v>
      </c>
      <c r="K2163" s="7">
        <v>526.24</v>
      </c>
    </row>
    <row r="2164" spans="1:11" ht="18" customHeight="1" x14ac:dyDescent="0.25">
      <c r="A2164" s="7" t="s">
        <v>34</v>
      </c>
      <c r="B2164" s="7">
        <v>2022</v>
      </c>
      <c r="C2164" s="7" t="s">
        <v>68</v>
      </c>
      <c r="D2164" s="7" t="s">
        <v>72</v>
      </c>
      <c r="E2164" s="7" t="s">
        <v>74</v>
      </c>
      <c r="F2164" s="7" t="s">
        <v>75</v>
      </c>
      <c r="G2164" s="7" t="s">
        <v>64</v>
      </c>
      <c r="H2164" s="7" t="s">
        <v>73</v>
      </c>
      <c r="I2164" s="7" t="s">
        <v>76</v>
      </c>
      <c r="J2164" s="7">
        <v>309</v>
      </c>
      <c r="K2164" s="7">
        <v>441.87</v>
      </c>
    </row>
    <row r="2165" spans="1:11" ht="18" customHeight="1" x14ac:dyDescent="0.25">
      <c r="A2165" s="7" t="s">
        <v>19</v>
      </c>
      <c r="B2165" s="7">
        <v>2022</v>
      </c>
      <c r="C2165" s="7" t="s">
        <v>68</v>
      </c>
      <c r="D2165" s="7" t="s">
        <v>72</v>
      </c>
      <c r="E2165" s="7" t="s">
        <v>74</v>
      </c>
      <c r="F2165" s="7" t="s">
        <v>75</v>
      </c>
      <c r="G2165" s="7" t="s">
        <v>64</v>
      </c>
      <c r="H2165" s="7" t="s">
        <v>73</v>
      </c>
      <c r="I2165" s="7" t="s">
        <v>76</v>
      </c>
      <c r="J2165" s="7">
        <v>135</v>
      </c>
      <c r="K2165" s="7">
        <v>193.05</v>
      </c>
    </row>
    <row r="2166" spans="1:11" ht="18" customHeight="1" x14ac:dyDescent="0.25">
      <c r="A2166" s="7" t="s">
        <v>42</v>
      </c>
      <c r="B2166" s="7">
        <v>2022</v>
      </c>
      <c r="C2166" s="7" t="s">
        <v>68</v>
      </c>
      <c r="D2166" s="7" t="s">
        <v>72</v>
      </c>
      <c r="E2166" s="7" t="s">
        <v>74</v>
      </c>
      <c r="F2166" s="7" t="s">
        <v>75</v>
      </c>
      <c r="G2166" s="7" t="s">
        <v>64</v>
      </c>
      <c r="H2166" s="7" t="s">
        <v>73</v>
      </c>
      <c r="I2166" s="7" t="s">
        <v>76</v>
      </c>
      <c r="J2166" s="7">
        <v>129</v>
      </c>
      <c r="K2166" s="7">
        <v>184.47</v>
      </c>
    </row>
    <row r="2167" spans="1:11" ht="18" customHeight="1" x14ac:dyDescent="0.25">
      <c r="A2167" s="7" t="s">
        <v>19</v>
      </c>
      <c r="B2167" s="7">
        <v>2022</v>
      </c>
      <c r="C2167" s="7" t="s">
        <v>68</v>
      </c>
      <c r="D2167" s="7" t="s">
        <v>72</v>
      </c>
      <c r="E2167" s="7" t="s">
        <v>74</v>
      </c>
      <c r="F2167" s="7" t="s">
        <v>75</v>
      </c>
      <c r="G2167" s="7" t="s">
        <v>64</v>
      </c>
      <c r="H2167" s="7" t="s">
        <v>73</v>
      </c>
      <c r="I2167" s="7" t="s">
        <v>76</v>
      </c>
      <c r="J2167" s="7">
        <v>369</v>
      </c>
      <c r="K2167" s="7">
        <v>527.66999999999996</v>
      </c>
    </row>
    <row r="2168" spans="1:11" ht="18" customHeight="1" x14ac:dyDescent="0.25">
      <c r="A2168" s="7" t="s">
        <v>34</v>
      </c>
      <c r="B2168" s="7">
        <v>2022</v>
      </c>
      <c r="C2168" s="7" t="s">
        <v>68</v>
      </c>
      <c r="D2168" s="7" t="s">
        <v>72</v>
      </c>
      <c r="E2168" s="7" t="s">
        <v>74</v>
      </c>
      <c r="F2168" s="7" t="s">
        <v>75</v>
      </c>
      <c r="G2168" s="7" t="s">
        <v>64</v>
      </c>
      <c r="H2168" s="7" t="s">
        <v>73</v>
      </c>
      <c r="I2168" s="7" t="s">
        <v>76</v>
      </c>
      <c r="J2168" s="7">
        <v>337</v>
      </c>
      <c r="K2168" s="7">
        <v>481.90999999999997</v>
      </c>
    </row>
    <row r="2169" spans="1:11" ht="18" customHeight="1" x14ac:dyDescent="0.25">
      <c r="A2169" s="7" t="s">
        <v>19</v>
      </c>
      <c r="B2169" s="7">
        <v>2022</v>
      </c>
      <c r="C2169" s="7" t="s">
        <v>68</v>
      </c>
      <c r="D2169" s="7" t="s">
        <v>72</v>
      </c>
      <c r="E2169" s="7" t="s">
        <v>74</v>
      </c>
      <c r="F2169" s="7" t="s">
        <v>75</v>
      </c>
      <c r="G2169" s="7" t="s">
        <v>64</v>
      </c>
      <c r="H2169" s="7" t="s">
        <v>73</v>
      </c>
      <c r="I2169" s="7" t="s">
        <v>76</v>
      </c>
      <c r="J2169" s="7">
        <v>265</v>
      </c>
      <c r="K2169" s="7">
        <v>378.95</v>
      </c>
    </row>
    <row r="2170" spans="1:11" ht="18" customHeight="1" x14ac:dyDescent="0.25">
      <c r="A2170" s="7" t="s">
        <v>61</v>
      </c>
      <c r="B2170" s="7">
        <v>2022</v>
      </c>
      <c r="C2170" s="7" t="s">
        <v>68</v>
      </c>
      <c r="D2170" s="7" t="s">
        <v>72</v>
      </c>
      <c r="E2170" s="7" t="s">
        <v>74</v>
      </c>
      <c r="F2170" s="7" t="s">
        <v>75</v>
      </c>
      <c r="G2170" s="7" t="s">
        <v>64</v>
      </c>
      <c r="H2170" s="7" t="s">
        <v>73</v>
      </c>
      <c r="I2170" s="7" t="s">
        <v>76</v>
      </c>
      <c r="J2170" s="7">
        <v>307</v>
      </c>
      <c r="K2170" s="7">
        <v>439.01</v>
      </c>
    </row>
    <row r="2171" spans="1:11" ht="18" customHeight="1" x14ac:dyDescent="0.25">
      <c r="A2171" s="7" t="s">
        <v>42</v>
      </c>
      <c r="B2171" s="7">
        <v>2022</v>
      </c>
      <c r="C2171" s="7" t="s">
        <v>68</v>
      </c>
      <c r="D2171" s="7" t="s">
        <v>72</v>
      </c>
      <c r="E2171" s="7" t="s">
        <v>74</v>
      </c>
      <c r="F2171" s="7" t="s">
        <v>75</v>
      </c>
      <c r="G2171" s="7" t="s">
        <v>64</v>
      </c>
      <c r="H2171" s="7" t="s">
        <v>73</v>
      </c>
      <c r="I2171" s="7" t="s">
        <v>76</v>
      </c>
      <c r="J2171" s="7">
        <v>792</v>
      </c>
      <c r="K2171" s="7">
        <v>1132.56</v>
      </c>
    </row>
    <row r="2172" spans="1:11" ht="18" customHeight="1" x14ac:dyDescent="0.25">
      <c r="A2172" s="7" t="s">
        <v>34</v>
      </c>
      <c r="B2172" s="7">
        <v>2022</v>
      </c>
      <c r="C2172" s="7" t="s">
        <v>68</v>
      </c>
      <c r="D2172" s="7" t="s">
        <v>72</v>
      </c>
      <c r="E2172" s="7" t="s">
        <v>74</v>
      </c>
      <c r="F2172" s="7" t="s">
        <v>75</v>
      </c>
      <c r="G2172" s="7" t="s">
        <v>64</v>
      </c>
      <c r="H2172" s="7" t="s">
        <v>73</v>
      </c>
      <c r="I2172" s="7" t="s">
        <v>76</v>
      </c>
      <c r="J2172" s="7">
        <v>845</v>
      </c>
      <c r="K2172" s="7">
        <v>1208.3499999999999</v>
      </c>
    </row>
    <row r="2173" spans="1:11" ht="18" customHeight="1" x14ac:dyDescent="0.25">
      <c r="A2173" s="7" t="s">
        <v>53</v>
      </c>
      <c r="B2173" s="7">
        <v>2022</v>
      </c>
      <c r="C2173" s="7" t="s">
        <v>68</v>
      </c>
      <c r="D2173" s="7" t="s">
        <v>72</v>
      </c>
      <c r="E2173" s="7" t="s">
        <v>74</v>
      </c>
      <c r="F2173" s="7" t="s">
        <v>75</v>
      </c>
      <c r="G2173" s="7" t="s">
        <v>64</v>
      </c>
      <c r="H2173" s="7" t="s">
        <v>73</v>
      </c>
      <c r="I2173" s="7" t="s">
        <v>76</v>
      </c>
      <c r="J2173" s="7">
        <v>878</v>
      </c>
      <c r="K2173" s="7">
        <v>1255.54</v>
      </c>
    </row>
    <row r="2174" spans="1:11" ht="18" customHeight="1" x14ac:dyDescent="0.25">
      <c r="A2174" s="7" t="s">
        <v>19</v>
      </c>
      <c r="B2174" s="7">
        <v>2022</v>
      </c>
      <c r="C2174" s="7" t="s">
        <v>67</v>
      </c>
      <c r="D2174" s="7" t="s">
        <v>72</v>
      </c>
      <c r="E2174" s="7" t="s">
        <v>74</v>
      </c>
      <c r="F2174" s="7" t="s">
        <v>75</v>
      </c>
      <c r="G2174" s="7" t="s">
        <v>64</v>
      </c>
      <c r="H2174" s="7" t="s">
        <v>73</v>
      </c>
      <c r="I2174" s="7" t="s">
        <v>76</v>
      </c>
      <c r="J2174" s="7">
        <v>266</v>
      </c>
      <c r="K2174" s="7">
        <v>380.38</v>
      </c>
    </row>
    <row r="2175" spans="1:11" ht="18" customHeight="1" x14ac:dyDescent="0.25">
      <c r="A2175" s="7" t="s">
        <v>53</v>
      </c>
      <c r="B2175" s="7">
        <v>2022</v>
      </c>
      <c r="C2175" s="7" t="s">
        <v>67</v>
      </c>
      <c r="D2175" s="7" t="s">
        <v>72</v>
      </c>
      <c r="E2175" s="7" t="s">
        <v>74</v>
      </c>
      <c r="F2175" s="7" t="s">
        <v>75</v>
      </c>
      <c r="G2175" s="7" t="s">
        <v>64</v>
      </c>
      <c r="H2175" s="7" t="s">
        <v>73</v>
      </c>
      <c r="I2175" s="7" t="s">
        <v>76</v>
      </c>
      <c r="J2175" s="7">
        <v>314</v>
      </c>
      <c r="K2175" s="7">
        <v>449.02</v>
      </c>
    </row>
    <row r="2176" spans="1:11" ht="18" customHeight="1" x14ac:dyDescent="0.25">
      <c r="A2176" s="7" t="s">
        <v>34</v>
      </c>
      <c r="B2176" s="7">
        <v>2022</v>
      </c>
      <c r="C2176" s="7" t="s">
        <v>67</v>
      </c>
      <c r="D2176" s="7" t="s">
        <v>72</v>
      </c>
      <c r="E2176" s="7" t="s">
        <v>74</v>
      </c>
      <c r="F2176" s="7" t="s">
        <v>75</v>
      </c>
      <c r="G2176" s="7" t="s">
        <v>64</v>
      </c>
      <c r="H2176" s="7" t="s">
        <v>73</v>
      </c>
      <c r="I2176" s="7" t="s">
        <v>76</v>
      </c>
      <c r="J2176" s="7">
        <v>268</v>
      </c>
      <c r="K2176" s="7">
        <v>383.24</v>
      </c>
    </row>
    <row r="2177" spans="1:11" ht="18" customHeight="1" x14ac:dyDescent="0.25">
      <c r="A2177" s="7" t="s">
        <v>19</v>
      </c>
      <c r="B2177" s="7">
        <v>2022</v>
      </c>
      <c r="C2177" s="7" t="s">
        <v>67</v>
      </c>
      <c r="D2177" s="7" t="s">
        <v>72</v>
      </c>
      <c r="E2177" s="7" t="s">
        <v>74</v>
      </c>
      <c r="F2177" s="7" t="s">
        <v>75</v>
      </c>
      <c r="G2177" s="7" t="s">
        <v>64</v>
      </c>
      <c r="H2177" s="7" t="s">
        <v>73</v>
      </c>
      <c r="I2177" s="7" t="s">
        <v>76</v>
      </c>
      <c r="J2177" s="7">
        <v>316</v>
      </c>
      <c r="K2177" s="7">
        <v>451.88</v>
      </c>
    </row>
    <row r="2178" spans="1:11" ht="18" customHeight="1" x14ac:dyDescent="0.25">
      <c r="A2178" s="7" t="s">
        <v>34</v>
      </c>
      <c r="B2178" s="7">
        <v>2022</v>
      </c>
      <c r="C2178" s="7" t="s">
        <v>67</v>
      </c>
      <c r="D2178" s="7" t="s">
        <v>72</v>
      </c>
      <c r="E2178" s="7" t="s">
        <v>74</v>
      </c>
      <c r="F2178" s="7" t="s">
        <v>75</v>
      </c>
      <c r="G2178" s="7" t="s">
        <v>64</v>
      </c>
      <c r="H2178" s="7" t="s">
        <v>73</v>
      </c>
      <c r="I2178" s="7" t="s">
        <v>76</v>
      </c>
      <c r="J2178" s="7">
        <v>835</v>
      </c>
      <c r="K2178" s="7">
        <v>1194.05</v>
      </c>
    </row>
    <row r="2179" spans="1:11" ht="18" customHeight="1" x14ac:dyDescent="0.25">
      <c r="A2179" s="7" t="s">
        <v>34</v>
      </c>
      <c r="B2179" s="7">
        <v>2022</v>
      </c>
      <c r="C2179" s="7" t="s">
        <v>67</v>
      </c>
      <c r="D2179" s="7" t="s">
        <v>72</v>
      </c>
      <c r="E2179" s="7" t="s">
        <v>74</v>
      </c>
      <c r="F2179" s="7" t="s">
        <v>75</v>
      </c>
      <c r="G2179" s="7" t="s">
        <v>64</v>
      </c>
      <c r="H2179" s="7" t="s">
        <v>73</v>
      </c>
      <c r="I2179" s="7" t="s">
        <v>76</v>
      </c>
      <c r="J2179" s="7">
        <v>869</v>
      </c>
      <c r="K2179" s="7">
        <v>1242.67</v>
      </c>
    </row>
    <row r="2180" spans="1:11" ht="18" customHeight="1" x14ac:dyDescent="0.25">
      <c r="A2180" s="7" t="s">
        <v>34</v>
      </c>
      <c r="B2180" s="7">
        <v>2022</v>
      </c>
      <c r="C2180" s="7" t="s">
        <v>67</v>
      </c>
      <c r="D2180" s="7" t="s">
        <v>72</v>
      </c>
      <c r="E2180" s="7" t="s">
        <v>74</v>
      </c>
      <c r="F2180" s="7" t="s">
        <v>75</v>
      </c>
      <c r="G2180" s="7" t="s">
        <v>64</v>
      </c>
      <c r="H2180" s="7" t="s">
        <v>73</v>
      </c>
      <c r="I2180" s="7" t="s">
        <v>76</v>
      </c>
      <c r="J2180" s="7">
        <v>937</v>
      </c>
      <c r="K2180" s="7">
        <v>1339.9099999999999</v>
      </c>
    </row>
    <row r="2181" spans="1:11" ht="18" customHeight="1" x14ac:dyDescent="0.25">
      <c r="A2181" s="7" t="s">
        <v>19</v>
      </c>
      <c r="B2181" s="7">
        <v>2022</v>
      </c>
      <c r="C2181" s="7" t="s">
        <v>67</v>
      </c>
      <c r="D2181" s="7" t="s">
        <v>72</v>
      </c>
      <c r="E2181" s="7" t="s">
        <v>74</v>
      </c>
      <c r="F2181" s="7" t="s">
        <v>75</v>
      </c>
      <c r="G2181" s="7" t="s">
        <v>64</v>
      </c>
      <c r="H2181" s="7" t="s">
        <v>73</v>
      </c>
      <c r="I2181" s="7" t="s">
        <v>76</v>
      </c>
      <c r="J2181" s="7">
        <v>938</v>
      </c>
      <c r="K2181" s="7">
        <v>1341.34</v>
      </c>
    </row>
    <row r="2182" spans="1:11" ht="18" customHeight="1" x14ac:dyDescent="0.25">
      <c r="A2182" s="7" t="s">
        <v>19</v>
      </c>
      <c r="B2182" s="7">
        <v>2022</v>
      </c>
      <c r="C2182" s="7" t="s">
        <v>67</v>
      </c>
      <c r="D2182" s="7" t="s">
        <v>72</v>
      </c>
      <c r="E2182" s="7" t="s">
        <v>74</v>
      </c>
      <c r="F2182" s="7" t="s">
        <v>75</v>
      </c>
      <c r="G2182" s="7" t="s">
        <v>64</v>
      </c>
      <c r="H2182" s="7" t="s">
        <v>73</v>
      </c>
      <c r="I2182" s="7" t="s">
        <v>76</v>
      </c>
      <c r="J2182" s="7">
        <v>875</v>
      </c>
      <c r="K2182" s="7">
        <v>526.24</v>
      </c>
    </row>
    <row r="2183" spans="1:11" ht="18" customHeight="1" x14ac:dyDescent="0.25">
      <c r="A2183" s="7" t="s">
        <v>53</v>
      </c>
      <c r="B2183" s="7">
        <v>2022</v>
      </c>
      <c r="C2183" s="7" t="s">
        <v>67</v>
      </c>
      <c r="D2183" s="7" t="s">
        <v>72</v>
      </c>
      <c r="E2183" s="7" t="s">
        <v>74</v>
      </c>
      <c r="F2183" s="7" t="s">
        <v>75</v>
      </c>
      <c r="G2183" s="7" t="s">
        <v>64</v>
      </c>
      <c r="H2183" s="7" t="s">
        <v>73</v>
      </c>
      <c r="I2183" s="7" t="s">
        <v>76</v>
      </c>
      <c r="J2183" s="7">
        <v>315</v>
      </c>
      <c r="K2183" s="7">
        <v>450.45</v>
      </c>
    </row>
    <row r="2184" spans="1:11" ht="18" customHeight="1" x14ac:dyDescent="0.25">
      <c r="A2184" s="7" t="s">
        <v>34</v>
      </c>
      <c r="B2184" s="7">
        <v>2022</v>
      </c>
      <c r="C2184" s="7" t="s">
        <v>67</v>
      </c>
      <c r="D2184" s="7" t="s">
        <v>72</v>
      </c>
      <c r="E2184" s="7" t="s">
        <v>74</v>
      </c>
      <c r="F2184" s="7" t="s">
        <v>75</v>
      </c>
      <c r="G2184" s="7" t="s">
        <v>64</v>
      </c>
      <c r="H2184" s="7" t="s">
        <v>73</v>
      </c>
      <c r="I2184" s="7" t="s">
        <v>76</v>
      </c>
      <c r="J2184" s="7">
        <v>153</v>
      </c>
      <c r="K2184" s="7">
        <v>218.79</v>
      </c>
    </row>
    <row r="2185" spans="1:11" ht="18" customHeight="1" x14ac:dyDescent="0.25">
      <c r="A2185" s="7" t="s">
        <v>34</v>
      </c>
      <c r="B2185" s="7">
        <v>2022</v>
      </c>
      <c r="C2185" s="7" t="s">
        <v>67</v>
      </c>
      <c r="D2185" s="7" t="s">
        <v>72</v>
      </c>
      <c r="E2185" s="7" t="s">
        <v>74</v>
      </c>
      <c r="F2185" s="7" t="s">
        <v>75</v>
      </c>
      <c r="G2185" s="7" t="s">
        <v>64</v>
      </c>
      <c r="H2185" s="7" t="s">
        <v>73</v>
      </c>
      <c r="I2185" s="7" t="s">
        <v>76</v>
      </c>
      <c r="J2185" s="7">
        <v>147</v>
      </c>
      <c r="K2185" s="7">
        <v>210.21</v>
      </c>
    </row>
    <row r="2186" spans="1:11" ht="18" customHeight="1" x14ac:dyDescent="0.25">
      <c r="A2186" s="7" t="s">
        <v>19</v>
      </c>
      <c r="B2186" s="7">
        <v>2022</v>
      </c>
      <c r="C2186" s="7" t="s">
        <v>67</v>
      </c>
      <c r="D2186" s="7" t="s">
        <v>72</v>
      </c>
      <c r="E2186" s="7" t="s">
        <v>74</v>
      </c>
      <c r="F2186" s="7" t="s">
        <v>75</v>
      </c>
      <c r="G2186" s="7" t="s">
        <v>64</v>
      </c>
      <c r="H2186" s="7" t="s">
        <v>73</v>
      </c>
      <c r="I2186" s="7" t="s">
        <v>76</v>
      </c>
      <c r="J2186" s="7">
        <v>141</v>
      </c>
      <c r="K2186" s="7">
        <v>201.63</v>
      </c>
    </row>
    <row r="2187" spans="1:11" ht="18" customHeight="1" x14ac:dyDescent="0.25">
      <c r="A2187" s="7" t="s">
        <v>42</v>
      </c>
      <c r="B2187" s="7">
        <v>2022</v>
      </c>
      <c r="C2187" s="7" t="s">
        <v>67</v>
      </c>
      <c r="D2187" s="7" t="s">
        <v>72</v>
      </c>
      <c r="E2187" s="7" t="s">
        <v>74</v>
      </c>
      <c r="F2187" s="7" t="s">
        <v>75</v>
      </c>
      <c r="G2187" s="7" t="s">
        <v>64</v>
      </c>
      <c r="H2187" s="7" t="s">
        <v>73</v>
      </c>
      <c r="I2187" s="7" t="s">
        <v>76</v>
      </c>
      <c r="J2187" s="7">
        <v>313</v>
      </c>
      <c r="K2187" s="7">
        <v>447.59000000000003</v>
      </c>
    </row>
    <row r="2188" spans="1:11" ht="18" customHeight="1" x14ac:dyDescent="0.25">
      <c r="A2188" s="7" t="s">
        <v>34</v>
      </c>
      <c r="B2188" s="7">
        <v>2022</v>
      </c>
      <c r="C2188" s="7" t="s">
        <v>67</v>
      </c>
      <c r="D2188" s="7" t="s">
        <v>72</v>
      </c>
      <c r="E2188" s="7" t="s">
        <v>74</v>
      </c>
      <c r="F2188" s="7" t="s">
        <v>75</v>
      </c>
      <c r="G2188" s="7" t="s">
        <v>64</v>
      </c>
      <c r="H2188" s="7" t="s">
        <v>73</v>
      </c>
      <c r="I2188" s="7" t="s">
        <v>76</v>
      </c>
      <c r="J2188" s="7">
        <v>844</v>
      </c>
      <c r="K2188" s="7">
        <v>1206.92</v>
      </c>
    </row>
    <row r="2189" spans="1:11" ht="18" customHeight="1" x14ac:dyDescent="0.25">
      <c r="A2189" s="7" t="s">
        <v>34</v>
      </c>
      <c r="B2189" s="7">
        <v>2022</v>
      </c>
      <c r="C2189" s="7" t="s">
        <v>67</v>
      </c>
      <c r="D2189" s="7" t="s">
        <v>72</v>
      </c>
      <c r="E2189" s="7" t="s">
        <v>74</v>
      </c>
      <c r="F2189" s="7" t="s">
        <v>75</v>
      </c>
      <c r="G2189" s="7" t="s">
        <v>64</v>
      </c>
      <c r="H2189" s="7" t="s">
        <v>73</v>
      </c>
      <c r="I2189" s="7" t="s">
        <v>76</v>
      </c>
      <c r="J2189" s="7">
        <v>877</v>
      </c>
      <c r="K2189" s="7">
        <v>1254.1100000000001</v>
      </c>
    </row>
    <row r="2190" spans="1:11" ht="18" customHeight="1" x14ac:dyDescent="0.25">
      <c r="A2190" s="7" t="s">
        <v>34</v>
      </c>
      <c r="B2190" s="7">
        <v>2022</v>
      </c>
      <c r="C2190" s="7" t="s">
        <v>62</v>
      </c>
      <c r="D2190" s="7" t="s">
        <v>72</v>
      </c>
      <c r="E2190" s="7" t="s">
        <v>74</v>
      </c>
      <c r="F2190" s="7" t="s">
        <v>75</v>
      </c>
      <c r="G2190" s="7" t="s">
        <v>64</v>
      </c>
      <c r="H2190" s="7" t="s">
        <v>73</v>
      </c>
      <c r="I2190" s="7" t="s">
        <v>76</v>
      </c>
      <c r="J2190" s="7">
        <v>284</v>
      </c>
      <c r="K2190" s="7">
        <v>406.12</v>
      </c>
    </row>
    <row r="2191" spans="1:11" ht="18" customHeight="1" x14ac:dyDescent="0.25">
      <c r="A2191" s="7" t="s">
        <v>42</v>
      </c>
      <c r="B2191" s="7">
        <v>2022</v>
      </c>
      <c r="C2191" s="7" t="s">
        <v>62</v>
      </c>
      <c r="D2191" s="7" t="s">
        <v>72</v>
      </c>
      <c r="E2191" s="7" t="s">
        <v>74</v>
      </c>
      <c r="F2191" s="7" t="s">
        <v>75</v>
      </c>
      <c r="G2191" s="7" t="s">
        <v>64</v>
      </c>
      <c r="H2191" s="7" t="s">
        <v>73</v>
      </c>
      <c r="I2191" s="7" t="s">
        <v>76</v>
      </c>
      <c r="J2191" s="7">
        <v>332</v>
      </c>
      <c r="K2191" s="7">
        <v>474.76</v>
      </c>
    </row>
    <row r="2192" spans="1:11" ht="18" customHeight="1" x14ac:dyDescent="0.25">
      <c r="A2192" s="7" t="s">
        <v>34</v>
      </c>
      <c r="B2192" s="7">
        <v>2022</v>
      </c>
      <c r="C2192" s="7" t="s">
        <v>62</v>
      </c>
      <c r="D2192" s="7" t="s">
        <v>72</v>
      </c>
      <c r="E2192" s="7" t="s">
        <v>74</v>
      </c>
      <c r="F2192" s="7" t="s">
        <v>75</v>
      </c>
      <c r="G2192" s="7" t="s">
        <v>64</v>
      </c>
      <c r="H2192" s="7" t="s">
        <v>73</v>
      </c>
      <c r="I2192" s="7" t="s">
        <v>76</v>
      </c>
      <c r="J2192" s="7">
        <v>286</v>
      </c>
      <c r="K2192" s="7">
        <v>408.98</v>
      </c>
    </row>
    <row r="2193" spans="1:11" ht="18" customHeight="1" x14ac:dyDescent="0.25">
      <c r="A2193" s="7" t="s">
        <v>19</v>
      </c>
      <c r="B2193" s="7">
        <v>2022</v>
      </c>
      <c r="C2193" s="7" t="s">
        <v>62</v>
      </c>
      <c r="D2193" s="7" t="s">
        <v>72</v>
      </c>
      <c r="E2193" s="7" t="s">
        <v>74</v>
      </c>
      <c r="F2193" s="7" t="s">
        <v>75</v>
      </c>
      <c r="G2193" s="7" t="s">
        <v>64</v>
      </c>
      <c r="H2193" s="7" t="s">
        <v>73</v>
      </c>
      <c r="I2193" s="7" t="s">
        <v>76</v>
      </c>
      <c r="J2193" s="7">
        <v>328</v>
      </c>
      <c r="K2193" s="7">
        <v>469.03999999999996</v>
      </c>
    </row>
    <row r="2194" spans="1:11" ht="18" customHeight="1" x14ac:dyDescent="0.25">
      <c r="A2194" s="7" t="s">
        <v>61</v>
      </c>
      <c r="B2194" s="7">
        <v>2022</v>
      </c>
      <c r="C2194" s="7" t="s">
        <v>62</v>
      </c>
      <c r="D2194" s="7" t="s">
        <v>72</v>
      </c>
      <c r="E2194" s="7" t="s">
        <v>74</v>
      </c>
      <c r="F2194" s="7" t="s">
        <v>75</v>
      </c>
      <c r="G2194" s="7" t="s">
        <v>64</v>
      </c>
      <c r="H2194" s="7" t="s">
        <v>73</v>
      </c>
      <c r="I2194" s="7" t="s">
        <v>76</v>
      </c>
      <c r="J2194" s="7">
        <v>833</v>
      </c>
      <c r="K2194" s="7">
        <v>1191.19</v>
      </c>
    </row>
    <row r="2195" spans="1:11" ht="18" customHeight="1" x14ac:dyDescent="0.25">
      <c r="A2195" s="7" t="s">
        <v>19</v>
      </c>
      <c r="B2195" s="7">
        <v>2022</v>
      </c>
      <c r="C2195" s="7" t="s">
        <v>62</v>
      </c>
      <c r="D2195" s="7" t="s">
        <v>72</v>
      </c>
      <c r="E2195" s="7" t="s">
        <v>74</v>
      </c>
      <c r="F2195" s="7" t="s">
        <v>75</v>
      </c>
      <c r="G2195" s="7" t="s">
        <v>64</v>
      </c>
      <c r="H2195" s="7" t="s">
        <v>73</v>
      </c>
      <c r="I2195" s="7" t="s">
        <v>76</v>
      </c>
      <c r="J2195" s="7">
        <v>866</v>
      </c>
      <c r="K2195" s="7">
        <v>1238.3800000000001</v>
      </c>
    </row>
    <row r="2196" spans="1:11" ht="18" customHeight="1" x14ac:dyDescent="0.25">
      <c r="A2196" s="7" t="s">
        <v>42</v>
      </c>
      <c r="B2196" s="7">
        <v>2022</v>
      </c>
      <c r="C2196" s="7" t="s">
        <v>62</v>
      </c>
      <c r="D2196" s="7" t="s">
        <v>72</v>
      </c>
      <c r="E2196" s="7" t="s">
        <v>74</v>
      </c>
      <c r="F2196" s="7" t="s">
        <v>75</v>
      </c>
      <c r="G2196" s="7" t="s">
        <v>64</v>
      </c>
      <c r="H2196" s="7" t="s">
        <v>73</v>
      </c>
      <c r="I2196" s="7" t="s">
        <v>76</v>
      </c>
      <c r="J2196" s="7">
        <v>929</v>
      </c>
      <c r="K2196" s="7">
        <v>1328.47</v>
      </c>
    </row>
    <row r="2197" spans="1:11" ht="18" customHeight="1" x14ac:dyDescent="0.25">
      <c r="A2197" s="7" t="s">
        <v>34</v>
      </c>
      <c r="B2197" s="7">
        <v>2022</v>
      </c>
      <c r="C2197" s="7" t="s">
        <v>62</v>
      </c>
      <c r="D2197" s="7" t="s">
        <v>72</v>
      </c>
      <c r="E2197" s="7" t="s">
        <v>74</v>
      </c>
      <c r="F2197" s="7" t="s">
        <v>75</v>
      </c>
      <c r="G2197" s="7" t="s">
        <v>64</v>
      </c>
      <c r="H2197" s="7" t="s">
        <v>73</v>
      </c>
      <c r="I2197" s="7" t="s">
        <v>76</v>
      </c>
      <c r="J2197" s="7">
        <v>930</v>
      </c>
      <c r="K2197" s="7">
        <v>1329.9</v>
      </c>
    </row>
    <row r="2198" spans="1:11" ht="18" customHeight="1" x14ac:dyDescent="0.25">
      <c r="A2198" s="7" t="s">
        <v>42</v>
      </c>
      <c r="B2198" s="7">
        <v>2022</v>
      </c>
      <c r="C2198" s="7" t="s">
        <v>62</v>
      </c>
      <c r="D2198" s="7" t="s">
        <v>72</v>
      </c>
      <c r="E2198" s="7" t="s">
        <v>74</v>
      </c>
      <c r="F2198" s="7" t="s">
        <v>75</v>
      </c>
      <c r="G2198" s="7" t="s">
        <v>64</v>
      </c>
      <c r="H2198" s="7" t="s">
        <v>73</v>
      </c>
      <c r="I2198" s="7" t="s">
        <v>76</v>
      </c>
      <c r="J2198" s="7">
        <v>872</v>
      </c>
      <c r="K2198" s="7">
        <v>526.24</v>
      </c>
    </row>
    <row r="2199" spans="1:11" ht="18" customHeight="1" x14ac:dyDescent="0.25">
      <c r="A2199" s="7" t="s">
        <v>19</v>
      </c>
      <c r="B2199" s="7">
        <v>2022</v>
      </c>
      <c r="C2199" s="7" t="s">
        <v>62</v>
      </c>
      <c r="D2199" s="7" t="s">
        <v>72</v>
      </c>
      <c r="E2199" s="7" t="s">
        <v>74</v>
      </c>
      <c r="F2199" s="7" t="s">
        <v>75</v>
      </c>
      <c r="G2199" s="7" t="s">
        <v>64</v>
      </c>
      <c r="H2199" s="7" t="s">
        <v>73</v>
      </c>
      <c r="I2199" s="7" t="s">
        <v>76</v>
      </c>
      <c r="J2199" s="7">
        <v>333</v>
      </c>
      <c r="K2199" s="7">
        <v>476.19</v>
      </c>
    </row>
    <row r="2200" spans="1:11" ht="18" customHeight="1" x14ac:dyDescent="0.25">
      <c r="A2200" s="7" t="s">
        <v>34</v>
      </c>
      <c r="B2200" s="7">
        <v>2022</v>
      </c>
      <c r="C2200" s="7" t="s">
        <v>62</v>
      </c>
      <c r="D2200" s="7" t="s">
        <v>72</v>
      </c>
      <c r="E2200" s="7" t="s">
        <v>74</v>
      </c>
      <c r="F2200" s="7" t="s">
        <v>75</v>
      </c>
      <c r="G2200" s="7" t="s">
        <v>64</v>
      </c>
      <c r="H2200" s="7" t="s">
        <v>73</v>
      </c>
      <c r="I2200" s="7" t="s">
        <v>76</v>
      </c>
      <c r="J2200" s="7">
        <v>201</v>
      </c>
      <c r="K2200" s="7">
        <v>287.43</v>
      </c>
    </row>
    <row r="2201" spans="1:11" ht="18" customHeight="1" x14ac:dyDescent="0.25">
      <c r="A2201" s="7" t="s">
        <v>34</v>
      </c>
      <c r="B2201" s="7">
        <v>2022</v>
      </c>
      <c r="C2201" s="7" t="s">
        <v>62</v>
      </c>
      <c r="D2201" s="7" t="s">
        <v>72</v>
      </c>
      <c r="E2201" s="7" t="s">
        <v>74</v>
      </c>
      <c r="F2201" s="7" t="s">
        <v>75</v>
      </c>
      <c r="G2201" s="7" t="s">
        <v>64</v>
      </c>
      <c r="H2201" s="7" t="s">
        <v>73</v>
      </c>
      <c r="I2201" s="7" t="s">
        <v>76</v>
      </c>
      <c r="J2201" s="7">
        <v>195</v>
      </c>
      <c r="K2201" s="7">
        <v>278.85000000000002</v>
      </c>
    </row>
    <row r="2202" spans="1:11" ht="18" customHeight="1" x14ac:dyDescent="0.25">
      <c r="A2202" s="7" t="s">
        <v>61</v>
      </c>
      <c r="B2202" s="7">
        <v>2022</v>
      </c>
      <c r="C2202" s="7" t="s">
        <v>62</v>
      </c>
      <c r="D2202" s="7" t="s">
        <v>72</v>
      </c>
      <c r="E2202" s="7" t="s">
        <v>74</v>
      </c>
      <c r="F2202" s="7" t="s">
        <v>75</v>
      </c>
      <c r="G2202" s="7" t="s">
        <v>64</v>
      </c>
      <c r="H2202" s="7" t="s">
        <v>73</v>
      </c>
      <c r="I2202" s="7" t="s">
        <v>76</v>
      </c>
      <c r="J2202" s="7">
        <v>189</v>
      </c>
      <c r="K2202" s="7">
        <v>270.27</v>
      </c>
    </row>
    <row r="2203" spans="1:11" ht="18" customHeight="1" x14ac:dyDescent="0.25">
      <c r="A2203" s="7" t="s">
        <v>34</v>
      </c>
      <c r="B2203" s="7">
        <v>2022</v>
      </c>
      <c r="C2203" s="7" t="s">
        <v>62</v>
      </c>
      <c r="D2203" s="7" t="s">
        <v>72</v>
      </c>
      <c r="E2203" s="7" t="s">
        <v>74</v>
      </c>
      <c r="F2203" s="7" t="s">
        <v>75</v>
      </c>
      <c r="G2203" s="7" t="s">
        <v>64</v>
      </c>
      <c r="H2203" s="7" t="s">
        <v>73</v>
      </c>
      <c r="I2203" s="7" t="s">
        <v>76</v>
      </c>
      <c r="J2203" s="7">
        <v>283</v>
      </c>
      <c r="K2203" s="7">
        <v>404.69</v>
      </c>
    </row>
    <row r="2204" spans="1:11" ht="18" customHeight="1" x14ac:dyDescent="0.25">
      <c r="A2204" s="7" t="s">
        <v>34</v>
      </c>
      <c r="B2204" s="7">
        <v>2022</v>
      </c>
      <c r="C2204" s="7" t="s">
        <v>62</v>
      </c>
      <c r="D2204" s="7" t="s">
        <v>72</v>
      </c>
      <c r="E2204" s="7" t="s">
        <v>74</v>
      </c>
      <c r="F2204" s="7" t="s">
        <v>75</v>
      </c>
      <c r="G2204" s="7" t="s">
        <v>64</v>
      </c>
      <c r="H2204" s="7" t="s">
        <v>73</v>
      </c>
      <c r="I2204" s="7" t="s">
        <v>76</v>
      </c>
      <c r="J2204" s="7">
        <v>331</v>
      </c>
      <c r="K2204" s="7">
        <v>473.33</v>
      </c>
    </row>
    <row r="2205" spans="1:11" ht="18" customHeight="1" x14ac:dyDescent="0.25">
      <c r="A2205" s="7" t="s">
        <v>34</v>
      </c>
      <c r="B2205" s="7">
        <v>2022</v>
      </c>
      <c r="C2205" s="7" t="s">
        <v>62</v>
      </c>
      <c r="D2205" s="7" t="s">
        <v>72</v>
      </c>
      <c r="E2205" s="7" t="s">
        <v>74</v>
      </c>
      <c r="F2205" s="7" t="s">
        <v>75</v>
      </c>
      <c r="G2205" s="7" t="s">
        <v>64</v>
      </c>
      <c r="H2205" s="7" t="s">
        <v>73</v>
      </c>
      <c r="I2205" s="7" t="s">
        <v>76</v>
      </c>
      <c r="J2205" s="7">
        <v>875</v>
      </c>
      <c r="K2205" s="7">
        <v>1251.25</v>
      </c>
    </row>
    <row r="2206" spans="1:11" ht="18" customHeight="1" x14ac:dyDescent="0.25">
      <c r="A2206" s="7" t="s">
        <v>19</v>
      </c>
      <c r="B2206" s="7">
        <v>2022</v>
      </c>
      <c r="C2206" s="7" t="s">
        <v>66</v>
      </c>
      <c r="D2206" s="7" t="s">
        <v>72</v>
      </c>
      <c r="E2206" s="7" t="s">
        <v>74</v>
      </c>
      <c r="F2206" s="7" t="s">
        <v>75</v>
      </c>
      <c r="G2206" s="7" t="s">
        <v>64</v>
      </c>
      <c r="H2206" s="7" t="s">
        <v>73</v>
      </c>
      <c r="I2206" s="7" t="s">
        <v>76</v>
      </c>
      <c r="J2206" s="7">
        <v>272</v>
      </c>
      <c r="K2206" s="7">
        <v>388.96</v>
      </c>
    </row>
    <row r="2207" spans="1:11" ht="18" customHeight="1" x14ac:dyDescent="0.25">
      <c r="A2207" s="7" t="s">
        <v>19</v>
      </c>
      <c r="B2207" s="7">
        <v>2022</v>
      </c>
      <c r="C2207" s="7" t="s">
        <v>66</v>
      </c>
      <c r="D2207" s="7" t="s">
        <v>72</v>
      </c>
      <c r="E2207" s="7" t="s">
        <v>74</v>
      </c>
      <c r="F2207" s="7" t="s">
        <v>75</v>
      </c>
      <c r="G2207" s="7" t="s">
        <v>64</v>
      </c>
      <c r="H2207" s="7" t="s">
        <v>73</v>
      </c>
      <c r="I2207" s="7" t="s">
        <v>76</v>
      </c>
      <c r="J2207" s="7">
        <v>320</v>
      </c>
      <c r="K2207" s="7">
        <v>457.6</v>
      </c>
    </row>
    <row r="2208" spans="1:11" ht="18" customHeight="1" x14ac:dyDescent="0.25">
      <c r="A2208" s="7" t="s">
        <v>19</v>
      </c>
      <c r="B2208" s="7">
        <v>2022</v>
      </c>
      <c r="C2208" s="7" t="s">
        <v>66</v>
      </c>
      <c r="D2208" s="7" t="s">
        <v>72</v>
      </c>
      <c r="E2208" s="7" t="s">
        <v>74</v>
      </c>
      <c r="F2208" s="7" t="s">
        <v>75</v>
      </c>
      <c r="G2208" s="7" t="s">
        <v>64</v>
      </c>
      <c r="H2208" s="7" t="s">
        <v>73</v>
      </c>
      <c r="I2208" s="7" t="s">
        <v>76</v>
      </c>
      <c r="J2208" s="7">
        <v>274</v>
      </c>
      <c r="K2208" s="7">
        <v>391.82</v>
      </c>
    </row>
    <row r="2209" spans="1:11" ht="18" customHeight="1" x14ac:dyDescent="0.25">
      <c r="A2209" s="7" t="s">
        <v>19</v>
      </c>
      <c r="B2209" s="7">
        <v>2022</v>
      </c>
      <c r="C2209" s="7" t="s">
        <v>66</v>
      </c>
      <c r="D2209" s="7" t="s">
        <v>72</v>
      </c>
      <c r="E2209" s="7" t="s">
        <v>74</v>
      </c>
      <c r="F2209" s="7" t="s">
        <v>75</v>
      </c>
      <c r="G2209" s="7" t="s">
        <v>64</v>
      </c>
      <c r="H2209" s="7" t="s">
        <v>73</v>
      </c>
      <c r="I2209" s="7" t="s">
        <v>76</v>
      </c>
      <c r="J2209" s="7">
        <v>322</v>
      </c>
      <c r="K2209" s="7">
        <v>460.46000000000004</v>
      </c>
    </row>
    <row r="2210" spans="1:11" ht="18" customHeight="1" x14ac:dyDescent="0.25">
      <c r="A2210" s="7" t="s">
        <v>19</v>
      </c>
      <c r="B2210" s="7">
        <v>2022</v>
      </c>
      <c r="C2210" s="7" t="s">
        <v>66</v>
      </c>
      <c r="D2210" s="7" t="s">
        <v>72</v>
      </c>
      <c r="E2210" s="7" t="s">
        <v>74</v>
      </c>
      <c r="F2210" s="7" t="s">
        <v>75</v>
      </c>
      <c r="G2210" s="7" t="s">
        <v>64</v>
      </c>
      <c r="H2210" s="7" t="s">
        <v>73</v>
      </c>
      <c r="I2210" s="7" t="s">
        <v>76</v>
      </c>
      <c r="J2210" s="7">
        <v>868</v>
      </c>
      <c r="K2210" s="7">
        <v>1241.24</v>
      </c>
    </row>
    <row r="2211" spans="1:11" ht="18" customHeight="1" x14ac:dyDescent="0.25">
      <c r="A2211" s="7" t="s">
        <v>19</v>
      </c>
      <c r="B2211" s="7">
        <v>2022</v>
      </c>
      <c r="C2211" s="7" t="s">
        <v>66</v>
      </c>
      <c r="D2211" s="7" t="s">
        <v>72</v>
      </c>
      <c r="E2211" s="7" t="s">
        <v>74</v>
      </c>
      <c r="F2211" s="7" t="s">
        <v>75</v>
      </c>
      <c r="G2211" s="7" t="s">
        <v>64</v>
      </c>
      <c r="H2211" s="7" t="s">
        <v>73</v>
      </c>
      <c r="I2211" s="7" t="s">
        <v>76</v>
      </c>
      <c r="J2211" s="7">
        <v>934</v>
      </c>
      <c r="K2211" s="7">
        <v>1335.62</v>
      </c>
    </row>
    <row r="2212" spans="1:11" ht="18" customHeight="1" x14ac:dyDescent="0.25">
      <c r="A2212" s="7" t="s">
        <v>53</v>
      </c>
      <c r="B2212" s="7">
        <v>2022</v>
      </c>
      <c r="C2212" s="7" t="s">
        <v>66</v>
      </c>
      <c r="D2212" s="7" t="s">
        <v>72</v>
      </c>
      <c r="E2212" s="7" t="s">
        <v>74</v>
      </c>
      <c r="F2212" s="7" t="s">
        <v>75</v>
      </c>
      <c r="G2212" s="7" t="s">
        <v>64</v>
      </c>
      <c r="H2212" s="7" t="s">
        <v>73</v>
      </c>
      <c r="I2212" s="7" t="s">
        <v>76</v>
      </c>
      <c r="J2212" s="7">
        <v>935</v>
      </c>
      <c r="K2212" s="7">
        <v>1337.05</v>
      </c>
    </row>
    <row r="2213" spans="1:11" ht="18" customHeight="1" x14ac:dyDescent="0.25">
      <c r="A2213" s="7" t="s">
        <v>34</v>
      </c>
      <c r="B2213" s="7">
        <v>2022</v>
      </c>
      <c r="C2213" s="7" t="s">
        <v>66</v>
      </c>
      <c r="D2213" s="7" t="s">
        <v>72</v>
      </c>
      <c r="E2213" s="7" t="s">
        <v>74</v>
      </c>
      <c r="F2213" s="7" t="s">
        <v>75</v>
      </c>
      <c r="G2213" s="7" t="s">
        <v>64</v>
      </c>
      <c r="H2213" s="7" t="s">
        <v>73</v>
      </c>
      <c r="I2213" s="7" t="s">
        <v>76</v>
      </c>
      <c r="J2213" s="7">
        <v>936</v>
      </c>
      <c r="K2213" s="7">
        <v>1338.48</v>
      </c>
    </row>
    <row r="2214" spans="1:11" ht="18" customHeight="1" x14ac:dyDescent="0.25">
      <c r="A2214" s="7" t="s">
        <v>53</v>
      </c>
      <c r="B2214" s="7">
        <v>2022</v>
      </c>
      <c r="C2214" s="7" t="s">
        <v>66</v>
      </c>
      <c r="D2214" s="7" t="s">
        <v>72</v>
      </c>
      <c r="E2214" s="7" t="s">
        <v>74</v>
      </c>
      <c r="F2214" s="7" t="s">
        <v>75</v>
      </c>
      <c r="G2214" s="7" t="s">
        <v>64</v>
      </c>
      <c r="H2214" s="7" t="s">
        <v>73</v>
      </c>
      <c r="I2214" s="7" t="s">
        <v>76</v>
      </c>
      <c r="J2214" s="7">
        <v>874</v>
      </c>
      <c r="K2214" s="7">
        <v>526.24</v>
      </c>
    </row>
    <row r="2215" spans="1:11" ht="18" customHeight="1" x14ac:dyDescent="0.25">
      <c r="A2215" s="7" t="s">
        <v>34</v>
      </c>
      <c r="B2215" s="7">
        <v>2022</v>
      </c>
      <c r="C2215" s="7" t="s">
        <v>66</v>
      </c>
      <c r="D2215" s="7" t="s">
        <v>72</v>
      </c>
      <c r="E2215" s="7" t="s">
        <v>74</v>
      </c>
      <c r="F2215" s="7" t="s">
        <v>75</v>
      </c>
      <c r="G2215" s="7" t="s">
        <v>64</v>
      </c>
      <c r="H2215" s="7" t="s">
        <v>73</v>
      </c>
      <c r="I2215" s="7" t="s">
        <v>76</v>
      </c>
      <c r="J2215" s="7">
        <v>321</v>
      </c>
      <c r="K2215" s="7">
        <v>459.03</v>
      </c>
    </row>
    <row r="2216" spans="1:11" ht="18" customHeight="1" x14ac:dyDescent="0.25">
      <c r="A2216" s="7" t="s">
        <v>19</v>
      </c>
      <c r="B2216" s="7">
        <v>2022</v>
      </c>
      <c r="C2216" s="7" t="s">
        <v>66</v>
      </c>
      <c r="D2216" s="7" t="s">
        <v>72</v>
      </c>
      <c r="E2216" s="7" t="s">
        <v>74</v>
      </c>
      <c r="F2216" s="7" t="s">
        <v>75</v>
      </c>
      <c r="G2216" s="7" t="s">
        <v>64</v>
      </c>
      <c r="H2216" s="7" t="s">
        <v>73</v>
      </c>
      <c r="I2216" s="7" t="s">
        <v>76</v>
      </c>
      <c r="J2216" s="7">
        <v>165</v>
      </c>
      <c r="K2216" s="7">
        <v>235.95</v>
      </c>
    </row>
    <row r="2217" spans="1:11" ht="18" customHeight="1" x14ac:dyDescent="0.25">
      <c r="A2217" s="7" t="s">
        <v>19</v>
      </c>
      <c r="B2217" s="7">
        <v>2022</v>
      </c>
      <c r="C2217" s="7" t="s">
        <v>66</v>
      </c>
      <c r="D2217" s="7" t="s">
        <v>72</v>
      </c>
      <c r="E2217" s="7" t="s">
        <v>74</v>
      </c>
      <c r="F2217" s="7" t="s">
        <v>75</v>
      </c>
      <c r="G2217" s="7" t="s">
        <v>64</v>
      </c>
      <c r="H2217" s="7" t="s">
        <v>73</v>
      </c>
      <c r="I2217" s="7" t="s">
        <v>76</v>
      </c>
      <c r="J2217" s="7">
        <v>159</v>
      </c>
      <c r="K2217" s="7">
        <v>227.37</v>
      </c>
    </row>
    <row r="2218" spans="1:11" ht="18" customHeight="1" x14ac:dyDescent="0.25">
      <c r="A2218" s="7" t="s">
        <v>34</v>
      </c>
      <c r="B2218" s="7">
        <v>2022</v>
      </c>
      <c r="C2218" s="7" t="s">
        <v>66</v>
      </c>
      <c r="D2218" s="7" t="s">
        <v>72</v>
      </c>
      <c r="E2218" s="7" t="s">
        <v>74</v>
      </c>
      <c r="F2218" s="7" t="s">
        <v>75</v>
      </c>
      <c r="G2218" s="7" t="s">
        <v>64</v>
      </c>
      <c r="H2218" s="7" t="s">
        <v>73</v>
      </c>
      <c r="I2218" s="7" t="s">
        <v>76</v>
      </c>
      <c r="J2218" s="7">
        <v>271</v>
      </c>
      <c r="K2218" s="7">
        <v>387.53</v>
      </c>
    </row>
    <row r="2219" spans="1:11" ht="18" customHeight="1" x14ac:dyDescent="0.25">
      <c r="A2219" s="7" t="s">
        <v>19</v>
      </c>
      <c r="B2219" s="7">
        <v>2022</v>
      </c>
      <c r="C2219" s="7" t="s">
        <v>66</v>
      </c>
      <c r="D2219" s="7" t="s">
        <v>72</v>
      </c>
      <c r="E2219" s="7" t="s">
        <v>74</v>
      </c>
      <c r="F2219" s="7" t="s">
        <v>75</v>
      </c>
      <c r="G2219" s="7" t="s">
        <v>64</v>
      </c>
      <c r="H2219" s="7" t="s">
        <v>73</v>
      </c>
      <c r="I2219" s="7" t="s">
        <v>76</v>
      </c>
      <c r="J2219" s="7">
        <v>319</v>
      </c>
      <c r="K2219" s="7">
        <v>456.16999999999996</v>
      </c>
    </row>
    <row r="2220" spans="1:11" ht="18" customHeight="1" x14ac:dyDescent="0.25">
      <c r="A2220" s="7" t="s">
        <v>19</v>
      </c>
      <c r="B2220" s="7">
        <v>2022</v>
      </c>
      <c r="C2220" s="7" t="s">
        <v>66</v>
      </c>
      <c r="D2220" s="7" t="s">
        <v>72</v>
      </c>
      <c r="E2220" s="7" t="s">
        <v>74</v>
      </c>
      <c r="F2220" s="7" t="s">
        <v>75</v>
      </c>
      <c r="G2220" s="7" t="s">
        <v>64</v>
      </c>
      <c r="H2220" s="7" t="s">
        <v>73</v>
      </c>
      <c r="I2220" s="7" t="s">
        <v>76</v>
      </c>
      <c r="J2220" s="7">
        <v>843</v>
      </c>
      <c r="K2220" s="7">
        <v>1205.49</v>
      </c>
    </row>
    <row r="2221" spans="1:11" ht="18" customHeight="1" x14ac:dyDescent="0.25">
      <c r="A2221" s="7" t="s">
        <v>34</v>
      </c>
      <c r="B2221" s="7">
        <v>2022</v>
      </c>
      <c r="C2221" s="7" t="s">
        <v>71</v>
      </c>
      <c r="D2221" s="7" t="s">
        <v>72</v>
      </c>
      <c r="E2221" s="7" t="s">
        <v>74</v>
      </c>
      <c r="F2221" s="7" t="s">
        <v>75</v>
      </c>
      <c r="G2221" s="7" t="s">
        <v>64</v>
      </c>
      <c r="H2221" s="7" t="s">
        <v>73</v>
      </c>
      <c r="I2221" s="7" t="s">
        <v>76</v>
      </c>
      <c r="J2221" s="7">
        <v>314</v>
      </c>
      <c r="K2221" s="7">
        <v>449.02</v>
      </c>
    </row>
    <row r="2222" spans="1:11" ht="18" customHeight="1" x14ac:dyDescent="0.25">
      <c r="A2222" s="7" t="s">
        <v>61</v>
      </c>
      <c r="B2222" s="7">
        <v>2022</v>
      </c>
      <c r="C2222" s="7" t="s">
        <v>71</v>
      </c>
      <c r="D2222" s="7" t="s">
        <v>72</v>
      </c>
      <c r="E2222" s="7" t="s">
        <v>74</v>
      </c>
      <c r="F2222" s="7" t="s">
        <v>75</v>
      </c>
      <c r="G2222" s="7" t="s">
        <v>64</v>
      </c>
      <c r="H2222" s="7" t="s">
        <v>73</v>
      </c>
      <c r="I2222" s="7" t="s">
        <v>76</v>
      </c>
      <c r="J2222" s="7">
        <v>242</v>
      </c>
      <c r="K2222" s="7">
        <v>346.06</v>
      </c>
    </row>
    <row r="2223" spans="1:11" ht="18" customHeight="1" x14ac:dyDescent="0.25">
      <c r="A2223" s="7" t="s">
        <v>34</v>
      </c>
      <c r="B2223" s="7">
        <v>2022</v>
      </c>
      <c r="C2223" s="7" t="s">
        <v>71</v>
      </c>
      <c r="D2223" s="7" t="s">
        <v>72</v>
      </c>
      <c r="E2223" s="7" t="s">
        <v>74</v>
      </c>
      <c r="F2223" s="7" t="s">
        <v>75</v>
      </c>
      <c r="G2223" s="7" t="s">
        <v>64</v>
      </c>
      <c r="H2223" s="7" t="s">
        <v>73</v>
      </c>
      <c r="I2223" s="7" t="s">
        <v>76</v>
      </c>
      <c r="J2223" s="7">
        <v>290</v>
      </c>
      <c r="K2223" s="7">
        <v>414.7</v>
      </c>
    </row>
    <row r="2224" spans="1:11" ht="18" customHeight="1" x14ac:dyDescent="0.25">
      <c r="A2224" s="7" t="s">
        <v>34</v>
      </c>
      <c r="B2224" s="7">
        <v>2022</v>
      </c>
      <c r="C2224" s="7" t="s">
        <v>71</v>
      </c>
      <c r="D2224" s="7" t="s">
        <v>72</v>
      </c>
      <c r="E2224" s="7" t="s">
        <v>74</v>
      </c>
      <c r="F2224" s="7" t="s">
        <v>75</v>
      </c>
      <c r="G2224" s="7" t="s">
        <v>64</v>
      </c>
      <c r="H2224" s="7" t="s">
        <v>73</v>
      </c>
      <c r="I2224" s="7" t="s">
        <v>76</v>
      </c>
      <c r="J2224" s="7">
        <v>316</v>
      </c>
      <c r="K2224" s="7">
        <v>451.88</v>
      </c>
    </row>
    <row r="2225" spans="1:11" ht="18" customHeight="1" x14ac:dyDescent="0.25">
      <c r="A2225" s="7" t="s">
        <v>34</v>
      </c>
      <c r="B2225" s="7">
        <v>2022</v>
      </c>
      <c r="C2225" s="7" t="s">
        <v>71</v>
      </c>
      <c r="D2225" s="7" t="s">
        <v>72</v>
      </c>
      <c r="E2225" s="7" t="s">
        <v>74</v>
      </c>
      <c r="F2225" s="7" t="s">
        <v>75</v>
      </c>
      <c r="G2225" s="7" t="s">
        <v>64</v>
      </c>
      <c r="H2225" s="7" t="s">
        <v>73</v>
      </c>
      <c r="I2225" s="7" t="s">
        <v>76</v>
      </c>
      <c r="J2225" s="7">
        <v>286</v>
      </c>
      <c r="K2225" s="7">
        <v>408.98</v>
      </c>
    </row>
    <row r="2226" spans="1:11" ht="18" customHeight="1" x14ac:dyDescent="0.25">
      <c r="A2226" s="7" t="s">
        <v>19</v>
      </c>
      <c r="B2226" s="7">
        <v>2022</v>
      </c>
      <c r="C2226" s="7" t="s">
        <v>71</v>
      </c>
      <c r="D2226" s="7" t="s">
        <v>72</v>
      </c>
      <c r="E2226" s="7" t="s">
        <v>74</v>
      </c>
      <c r="F2226" s="7" t="s">
        <v>75</v>
      </c>
      <c r="G2226" s="7" t="s">
        <v>64</v>
      </c>
      <c r="H2226" s="7" t="s">
        <v>73</v>
      </c>
      <c r="I2226" s="7" t="s">
        <v>76</v>
      </c>
      <c r="J2226" s="7">
        <v>840</v>
      </c>
      <c r="K2226" s="7">
        <v>1201.2</v>
      </c>
    </row>
    <row r="2227" spans="1:11" ht="18" customHeight="1" x14ac:dyDescent="0.25">
      <c r="A2227" s="7" t="s">
        <v>19</v>
      </c>
      <c r="B2227" s="7">
        <v>2022</v>
      </c>
      <c r="C2227" s="7" t="s">
        <v>71</v>
      </c>
      <c r="D2227" s="7" t="s">
        <v>72</v>
      </c>
      <c r="E2227" s="7" t="s">
        <v>74</v>
      </c>
      <c r="F2227" s="7" t="s">
        <v>75</v>
      </c>
      <c r="G2227" s="7" t="s">
        <v>64</v>
      </c>
      <c r="H2227" s="7" t="s">
        <v>73</v>
      </c>
      <c r="I2227" s="7" t="s">
        <v>76</v>
      </c>
      <c r="J2227" s="7">
        <v>873</v>
      </c>
      <c r="K2227" s="7">
        <v>1248.3899999999999</v>
      </c>
    </row>
    <row r="2228" spans="1:11" ht="18" customHeight="1" x14ac:dyDescent="0.25">
      <c r="A2228" s="7" t="s">
        <v>34</v>
      </c>
      <c r="B2228" s="7">
        <v>2022</v>
      </c>
      <c r="C2228" s="7" t="s">
        <v>71</v>
      </c>
      <c r="D2228" s="7" t="s">
        <v>72</v>
      </c>
      <c r="E2228" s="7" t="s">
        <v>74</v>
      </c>
      <c r="F2228" s="7" t="s">
        <v>75</v>
      </c>
      <c r="G2228" s="7" t="s">
        <v>64</v>
      </c>
      <c r="H2228" s="7" t="s">
        <v>73</v>
      </c>
      <c r="I2228" s="7" t="s">
        <v>76</v>
      </c>
      <c r="J2228" s="7">
        <v>950</v>
      </c>
      <c r="K2228" s="7">
        <v>1358.5</v>
      </c>
    </row>
    <row r="2229" spans="1:11" ht="18" customHeight="1" x14ac:dyDescent="0.25">
      <c r="A2229" s="7" t="s">
        <v>34</v>
      </c>
      <c r="B2229" s="7">
        <v>2022</v>
      </c>
      <c r="C2229" s="7" t="s">
        <v>71</v>
      </c>
      <c r="D2229" s="7" t="s">
        <v>72</v>
      </c>
      <c r="E2229" s="7" t="s">
        <v>74</v>
      </c>
      <c r="F2229" s="7" t="s">
        <v>75</v>
      </c>
      <c r="G2229" s="7" t="s">
        <v>64</v>
      </c>
      <c r="H2229" s="7" t="s">
        <v>73</v>
      </c>
      <c r="I2229" s="7" t="s">
        <v>76</v>
      </c>
      <c r="J2229" s="7">
        <v>951</v>
      </c>
      <c r="K2229" s="7">
        <v>1359.93</v>
      </c>
    </row>
    <row r="2230" spans="1:11" ht="18" customHeight="1" x14ac:dyDescent="0.25">
      <c r="A2230" s="7" t="s">
        <v>34</v>
      </c>
      <c r="B2230" s="7">
        <v>2022</v>
      </c>
      <c r="C2230" s="7" t="s">
        <v>71</v>
      </c>
      <c r="D2230" s="7" t="s">
        <v>72</v>
      </c>
      <c r="E2230" s="7" t="s">
        <v>74</v>
      </c>
      <c r="F2230" s="7" t="s">
        <v>75</v>
      </c>
      <c r="G2230" s="7" t="s">
        <v>64</v>
      </c>
      <c r="H2230" s="7" t="s">
        <v>73</v>
      </c>
      <c r="I2230" s="7" t="s">
        <v>76</v>
      </c>
      <c r="J2230" s="7">
        <v>952</v>
      </c>
      <c r="K2230" s="7">
        <v>1361.3600000000001</v>
      </c>
    </row>
    <row r="2231" spans="1:11" ht="18" customHeight="1" x14ac:dyDescent="0.25">
      <c r="A2231" s="7" t="s">
        <v>19</v>
      </c>
      <c r="B2231" s="7">
        <v>2022</v>
      </c>
      <c r="C2231" s="7" t="s">
        <v>71</v>
      </c>
      <c r="D2231" s="7" t="s">
        <v>72</v>
      </c>
      <c r="E2231" s="7" t="s">
        <v>74</v>
      </c>
      <c r="F2231" s="7" t="s">
        <v>75</v>
      </c>
      <c r="G2231" s="7" t="s">
        <v>64</v>
      </c>
      <c r="H2231" s="7" t="s">
        <v>73</v>
      </c>
      <c r="I2231" s="7" t="s">
        <v>76</v>
      </c>
      <c r="J2231" s="7">
        <v>826</v>
      </c>
      <c r="K2231" s="7">
        <v>526.24</v>
      </c>
    </row>
    <row r="2232" spans="1:11" ht="18" customHeight="1" x14ac:dyDescent="0.25">
      <c r="A2232" s="7" t="s">
        <v>34</v>
      </c>
      <c r="B2232" s="7">
        <v>2022</v>
      </c>
      <c r="C2232" s="7" t="s">
        <v>71</v>
      </c>
      <c r="D2232" s="7" t="s">
        <v>72</v>
      </c>
      <c r="E2232" s="7" t="s">
        <v>74</v>
      </c>
      <c r="F2232" s="7" t="s">
        <v>75</v>
      </c>
      <c r="G2232" s="7" t="s">
        <v>64</v>
      </c>
      <c r="H2232" s="7" t="s">
        <v>73</v>
      </c>
      <c r="I2232" s="7" t="s">
        <v>76</v>
      </c>
      <c r="J2232" s="7">
        <v>879</v>
      </c>
      <c r="K2232" s="7">
        <v>526.24</v>
      </c>
    </row>
    <row r="2233" spans="1:11" ht="18" customHeight="1" x14ac:dyDescent="0.25">
      <c r="A2233" s="7" t="s">
        <v>61</v>
      </c>
      <c r="B2233" s="7">
        <v>2022</v>
      </c>
      <c r="C2233" s="7" t="s">
        <v>71</v>
      </c>
      <c r="D2233" s="7" t="s">
        <v>72</v>
      </c>
      <c r="E2233" s="7" t="s">
        <v>74</v>
      </c>
      <c r="F2233" s="7" t="s">
        <v>75</v>
      </c>
      <c r="G2233" s="7" t="s">
        <v>64</v>
      </c>
      <c r="H2233" s="7" t="s">
        <v>73</v>
      </c>
      <c r="I2233" s="7" t="s">
        <v>76</v>
      </c>
      <c r="J2233" s="7">
        <v>315</v>
      </c>
      <c r="K2233" s="7">
        <v>450.45</v>
      </c>
    </row>
    <row r="2234" spans="1:11" ht="18" customHeight="1" x14ac:dyDescent="0.25">
      <c r="A2234" s="7" t="s">
        <v>19</v>
      </c>
      <c r="B2234" s="7">
        <v>2022</v>
      </c>
      <c r="C2234" s="7" t="s">
        <v>71</v>
      </c>
      <c r="D2234" s="7" t="s">
        <v>72</v>
      </c>
      <c r="E2234" s="7" t="s">
        <v>74</v>
      </c>
      <c r="F2234" s="7" t="s">
        <v>75</v>
      </c>
      <c r="G2234" s="7" t="s">
        <v>64</v>
      </c>
      <c r="H2234" s="7" t="s">
        <v>73</v>
      </c>
      <c r="I2234" s="7" t="s">
        <v>76</v>
      </c>
      <c r="J2234" s="7">
        <v>309</v>
      </c>
      <c r="K2234" s="7">
        <v>441.87</v>
      </c>
    </row>
    <row r="2235" spans="1:11" ht="18" customHeight="1" x14ac:dyDescent="0.25">
      <c r="A2235" s="7" t="s">
        <v>34</v>
      </c>
      <c r="B2235" s="7">
        <v>2022</v>
      </c>
      <c r="C2235" s="7" t="s">
        <v>71</v>
      </c>
      <c r="D2235" s="7" t="s">
        <v>72</v>
      </c>
      <c r="E2235" s="7" t="s">
        <v>74</v>
      </c>
      <c r="F2235" s="7" t="s">
        <v>75</v>
      </c>
      <c r="G2235" s="7" t="s">
        <v>64</v>
      </c>
      <c r="H2235" s="7" t="s">
        <v>73</v>
      </c>
      <c r="I2235" s="7" t="s">
        <v>76</v>
      </c>
      <c r="J2235" s="7">
        <v>313</v>
      </c>
      <c r="K2235" s="7">
        <v>447.59000000000003</v>
      </c>
    </row>
    <row r="2236" spans="1:11" ht="18" customHeight="1" x14ac:dyDescent="0.25">
      <c r="A2236" s="7" t="s">
        <v>34</v>
      </c>
      <c r="B2236" s="7">
        <v>2022</v>
      </c>
      <c r="C2236" s="7" t="s">
        <v>71</v>
      </c>
      <c r="D2236" s="7" t="s">
        <v>72</v>
      </c>
      <c r="E2236" s="7" t="s">
        <v>74</v>
      </c>
      <c r="F2236" s="7" t="s">
        <v>75</v>
      </c>
      <c r="G2236" s="7" t="s">
        <v>64</v>
      </c>
      <c r="H2236" s="7" t="s">
        <v>73</v>
      </c>
      <c r="I2236" s="7" t="s">
        <v>76</v>
      </c>
      <c r="J2236" s="7">
        <v>241</v>
      </c>
      <c r="K2236" s="7">
        <v>344.63</v>
      </c>
    </row>
    <row r="2237" spans="1:11" ht="18" customHeight="1" x14ac:dyDescent="0.25">
      <c r="A2237" s="7" t="s">
        <v>34</v>
      </c>
      <c r="B2237" s="7">
        <v>2022</v>
      </c>
      <c r="C2237" s="7" t="s">
        <v>71</v>
      </c>
      <c r="D2237" s="7" t="s">
        <v>72</v>
      </c>
      <c r="E2237" s="7" t="s">
        <v>74</v>
      </c>
      <c r="F2237" s="7" t="s">
        <v>75</v>
      </c>
      <c r="G2237" s="7" t="s">
        <v>64</v>
      </c>
      <c r="H2237" s="7" t="s">
        <v>73</v>
      </c>
      <c r="I2237" s="7" t="s">
        <v>76</v>
      </c>
      <c r="J2237" s="7">
        <v>289</v>
      </c>
      <c r="K2237" s="7">
        <v>413.27</v>
      </c>
    </row>
    <row r="2238" spans="1:11" ht="18" customHeight="1" x14ac:dyDescent="0.25">
      <c r="A2238" s="7" t="s">
        <v>34</v>
      </c>
      <c r="B2238" s="7">
        <v>2022</v>
      </c>
      <c r="C2238" s="7" t="s">
        <v>71</v>
      </c>
      <c r="D2238" s="7" t="s">
        <v>72</v>
      </c>
      <c r="E2238" s="7" t="s">
        <v>74</v>
      </c>
      <c r="F2238" s="7" t="s">
        <v>75</v>
      </c>
      <c r="G2238" s="7" t="s">
        <v>64</v>
      </c>
      <c r="H2238" s="7" t="s">
        <v>73</v>
      </c>
      <c r="I2238" s="7" t="s">
        <v>76</v>
      </c>
      <c r="J2238" s="7">
        <v>795</v>
      </c>
      <c r="K2238" s="7">
        <v>1136.8499999999999</v>
      </c>
    </row>
    <row r="2239" spans="1:11" ht="18" customHeight="1" x14ac:dyDescent="0.25">
      <c r="A2239" s="7" t="s">
        <v>34</v>
      </c>
      <c r="B2239" s="7">
        <v>2022</v>
      </c>
      <c r="C2239" s="7" t="s">
        <v>71</v>
      </c>
      <c r="D2239" s="7" t="s">
        <v>72</v>
      </c>
      <c r="E2239" s="7" t="s">
        <v>74</v>
      </c>
      <c r="F2239" s="7" t="s">
        <v>75</v>
      </c>
      <c r="G2239" s="7" t="s">
        <v>64</v>
      </c>
      <c r="H2239" s="7" t="s">
        <v>73</v>
      </c>
      <c r="I2239" s="7" t="s">
        <v>76</v>
      </c>
      <c r="J2239" s="7">
        <v>849</v>
      </c>
      <c r="K2239" s="7">
        <v>1214.07</v>
      </c>
    </row>
    <row r="2240" spans="1:11" ht="18" customHeight="1" x14ac:dyDescent="0.25">
      <c r="A2240" s="7" t="s">
        <v>34</v>
      </c>
      <c r="B2240" s="7">
        <v>2022</v>
      </c>
      <c r="C2240" s="7" t="s">
        <v>71</v>
      </c>
      <c r="D2240" s="7" t="s">
        <v>72</v>
      </c>
      <c r="E2240" s="7" t="s">
        <v>74</v>
      </c>
      <c r="F2240" s="7" t="s">
        <v>75</v>
      </c>
      <c r="G2240" s="7" t="s">
        <v>64</v>
      </c>
      <c r="H2240" s="7" t="s">
        <v>73</v>
      </c>
      <c r="I2240" s="7" t="s">
        <v>76</v>
      </c>
      <c r="J2240" s="7">
        <v>882</v>
      </c>
      <c r="K2240" s="7">
        <v>1261.26</v>
      </c>
    </row>
    <row r="2241" spans="1:11" ht="18" customHeight="1" x14ac:dyDescent="0.25">
      <c r="A2241" s="7" t="s">
        <v>34</v>
      </c>
      <c r="B2241" s="7">
        <v>2022</v>
      </c>
      <c r="C2241" s="7" t="s">
        <v>70</v>
      </c>
      <c r="D2241" s="7" t="s">
        <v>72</v>
      </c>
      <c r="E2241" s="7" t="s">
        <v>74</v>
      </c>
      <c r="F2241" s="7" t="s">
        <v>75</v>
      </c>
      <c r="G2241" s="7" t="s">
        <v>64</v>
      </c>
      <c r="H2241" s="7" t="s">
        <v>73</v>
      </c>
      <c r="I2241" s="7" t="s">
        <v>76</v>
      </c>
      <c r="J2241" s="7">
        <v>320</v>
      </c>
      <c r="K2241" s="7">
        <v>457.6</v>
      </c>
    </row>
    <row r="2242" spans="1:11" ht="18" customHeight="1" x14ac:dyDescent="0.25">
      <c r="A2242" s="7" t="s">
        <v>34</v>
      </c>
      <c r="B2242" s="7">
        <v>2022</v>
      </c>
      <c r="C2242" s="7" t="s">
        <v>70</v>
      </c>
      <c r="D2242" s="7" t="s">
        <v>72</v>
      </c>
      <c r="E2242" s="7" t="s">
        <v>74</v>
      </c>
      <c r="F2242" s="7" t="s">
        <v>75</v>
      </c>
      <c r="G2242" s="7" t="s">
        <v>64</v>
      </c>
      <c r="H2242" s="7" t="s">
        <v>73</v>
      </c>
      <c r="I2242" s="7" t="s">
        <v>76</v>
      </c>
      <c r="J2242" s="7">
        <v>248</v>
      </c>
      <c r="K2242" s="7">
        <v>354.64</v>
      </c>
    </row>
    <row r="2243" spans="1:11" ht="18" customHeight="1" x14ac:dyDescent="0.25">
      <c r="A2243" s="7" t="s">
        <v>34</v>
      </c>
      <c r="B2243" s="7">
        <v>2022</v>
      </c>
      <c r="C2243" s="7" t="s">
        <v>70</v>
      </c>
      <c r="D2243" s="7" t="s">
        <v>72</v>
      </c>
      <c r="E2243" s="7" t="s">
        <v>74</v>
      </c>
      <c r="F2243" s="7" t="s">
        <v>75</v>
      </c>
      <c r="G2243" s="7" t="s">
        <v>64</v>
      </c>
      <c r="H2243" s="7" t="s">
        <v>73</v>
      </c>
      <c r="I2243" s="7" t="s">
        <v>76</v>
      </c>
      <c r="J2243" s="7">
        <v>322</v>
      </c>
      <c r="K2243" s="7">
        <v>460.46000000000004</v>
      </c>
    </row>
    <row r="2244" spans="1:11" ht="18" customHeight="1" x14ac:dyDescent="0.25">
      <c r="A2244" s="7" t="s">
        <v>34</v>
      </c>
      <c r="B2244" s="7">
        <v>2022</v>
      </c>
      <c r="C2244" s="7" t="s">
        <v>70</v>
      </c>
      <c r="D2244" s="7" t="s">
        <v>72</v>
      </c>
      <c r="E2244" s="7" t="s">
        <v>74</v>
      </c>
      <c r="F2244" s="7" t="s">
        <v>75</v>
      </c>
      <c r="G2244" s="7" t="s">
        <v>64</v>
      </c>
      <c r="H2244" s="7" t="s">
        <v>73</v>
      </c>
      <c r="I2244" s="7" t="s">
        <v>76</v>
      </c>
      <c r="J2244" s="7">
        <v>244</v>
      </c>
      <c r="K2244" s="7">
        <v>348.92</v>
      </c>
    </row>
    <row r="2245" spans="1:11" ht="18" customHeight="1" x14ac:dyDescent="0.25">
      <c r="A2245" s="7" t="s">
        <v>42</v>
      </c>
      <c r="B2245" s="7">
        <v>2022</v>
      </c>
      <c r="C2245" s="7" t="s">
        <v>70</v>
      </c>
      <c r="D2245" s="7" t="s">
        <v>72</v>
      </c>
      <c r="E2245" s="7" t="s">
        <v>74</v>
      </c>
      <c r="F2245" s="7" t="s">
        <v>75</v>
      </c>
      <c r="G2245" s="7" t="s">
        <v>64</v>
      </c>
      <c r="H2245" s="7" t="s">
        <v>73</v>
      </c>
      <c r="I2245" s="7" t="s">
        <v>76</v>
      </c>
      <c r="J2245" s="7">
        <v>292</v>
      </c>
      <c r="K2245" s="7">
        <v>417.56</v>
      </c>
    </row>
    <row r="2246" spans="1:11" ht="18" customHeight="1" x14ac:dyDescent="0.25">
      <c r="A2246" s="7" t="s">
        <v>34</v>
      </c>
      <c r="B2246" s="7">
        <v>2022</v>
      </c>
      <c r="C2246" s="7" t="s">
        <v>70</v>
      </c>
      <c r="D2246" s="7" t="s">
        <v>72</v>
      </c>
      <c r="E2246" s="7" t="s">
        <v>74</v>
      </c>
      <c r="F2246" s="7" t="s">
        <v>75</v>
      </c>
      <c r="G2246" s="7" t="s">
        <v>64</v>
      </c>
      <c r="H2246" s="7" t="s">
        <v>73</v>
      </c>
      <c r="I2246" s="7" t="s">
        <v>76</v>
      </c>
      <c r="J2246" s="7">
        <v>786</v>
      </c>
      <c r="K2246" s="7">
        <v>1123.98</v>
      </c>
    </row>
    <row r="2247" spans="1:11" ht="18" customHeight="1" x14ac:dyDescent="0.25">
      <c r="A2247" s="7" t="s">
        <v>34</v>
      </c>
      <c r="B2247" s="7">
        <v>2022</v>
      </c>
      <c r="C2247" s="7" t="s">
        <v>70</v>
      </c>
      <c r="D2247" s="7" t="s">
        <v>72</v>
      </c>
      <c r="E2247" s="7" t="s">
        <v>74</v>
      </c>
      <c r="F2247" s="7" t="s">
        <v>75</v>
      </c>
      <c r="G2247" s="7" t="s">
        <v>64</v>
      </c>
      <c r="H2247" s="7" t="s">
        <v>73</v>
      </c>
      <c r="I2247" s="7" t="s">
        <v>76</v>
      </c>
      <c r="J2247" s="7">
        <v>839</v>
      </c>
      <c r="K2247" s="7">
        <v>1199.77</v>
      </c>
    </row>
    <row r="2248" spans="1:11" ht="18" customHeight="1" x14ac:dyDescent="0.25">
      <c r="A2248" s="7" t="s">
        <v>19</v>
      </c>
      <c r="B2248" s="7">
        <v>2022</v>
      </c>
      <c r="C2248" s="7" t="s">
        <v>70</v>
      </c>
      <c r="D2248" s="7" t="s">
        <v>72</v>
      </c>
      <c r="E2248" s="7" t="s">
        <v>74</v>
      </c>
      <c r="F2248" s="7" t="s">
        <v>75</v>
      </c>
      <c r="G2248" s="7" t="s">
        <v>64</v>
      </c>
      <c r="H2248" s="7" t="s">
        <v>73</v>
      </c>
      <c r="I2248" s="7" t="s">
        <v>76</v>
      </c>
      <c r="J2248" s="7">
        <v>872</v>
      </c>
      <c r="K2248" s="7">
        <v>1246.96</v>
      </c>
    </row>
    <row r="2249" spans="1:11" ht="18" customHeight="1" x14ac:dyDescent="0.25">
      <c r="A2249" s="7" t="s">
        <v>19</v>
      </c>
      <c r="B2249" s="7">
        <v>2022</v>
      </c>
      <c r="C2249" s="7" t="s">
        <v>70</v>
      </c>
      <c r="D2249" s="7" t="s">
        <v>72</v>
      </c>
      <c r="E2249" s="7" t="s">
        <v>74</v>
      </c>
      <c r="F2249" s="7" t="s">
        <v>75</v>
      </c>
      <c r="G2249" s="7" t="s">
        <v>64</v>
      </c>
      <c r="H2249" s="7" t="s">
        <v>73</v>
      </c>
      <c r="I2249" s="7" t="s">
        <v>76</v>
      </c>
      <c r="J2249" s="7">
        <v>947</v>
      </c>
      <c r="K2249" s="7">
        <v>1354.21</v>
      </c>
    </row>
    <row r="2250" spans="1:11" ht="18" customHeight="1" x14ac:dyDescent="0.25">
      <c r="A2250" s="7" t="s">
        <v>42</v>
      </c>
      <c r="B2250" s="7">
        <v>2022</v>
      </c>
      <c r="C2250" s="7" t="s">
        <v>70</v>
      </c>
      <c r="D2250" s="7" t="s">
        <v>72</v>
      </c>
      <c r="E2250" s="7" t="s">
        <v>74</v>
      </c>
      <c r="F2250" s="7" t="s">
        <v>75</v>
      </c>
      <c r="G2250" s="7" t="s">
        <v>64</v>
      </c>
      <c r="H2250" s="7" t="s">
        <v>73</v>
      </c>
      <c r="I2250" s="7" t="s">
        <v>76</v>
      </c>
      <c r="J2250" s="7">
        <v>948</v>
      </c>
      <c r="K2250" s="7">
        <v>1355.6399999999999</v>
      </c>
    </row>
    <row r="2251" spans="1:11" ht="18" customHeight="1" x14ac:dyDescent="0.25">
      <c r="A2251" s="7" t="s">
        <v>42</v>
      </c>
      <c r="B2251" s="7">
        <v>2022</v>
      </c>
      <c r="C2251" s="7" t="s">
        <v>70</v>
      </c>
      <c r="D2251" s="7" t="s">
        <v>72</v>
      </c>
      <c r="E2251" s="7" t="s">
        <v>74</v>
      </c>
      <c r="F2251" s="7" t="s">
        <v>75</v>
      </c>
      <c r="G2251" s="7" t="s">
        <v>64</v>
      </c>
      <c r="H2251" s="7" t="s">
        <v>73</v>
      </c>
      <c r="I2251" s="7" t="s">
        <v>76</v>
      </c>
      <c r="J2251" s="7">
        <v>949</v>
      </c>
      <c r="K2251" s="7">
        <v>1357.07</v>
      </c>
    </row>
    <row r="2252" spans="1:11" ht="18" customHeight="1" x14ac:dyDescent="0.25">
      <c r="A2252" s="7" t="s">
        <v>19</v>
      </c>
      <c r="B2252" s="7">
        <v>2022</v>
      </c>
      <c r="C2252" s="7" t="s">
        <v>70</v>
      </c>
      <c r="D2252" s="7" t="s">
        <v>72</v>
      </c>
      <c r="E2252" s="7" t="s">
        <v>74</v>
      </c>
      <c r="F2252" s="7" t="s">
        <v>75</v>
      </c>
      <c r="G2252" s="7" t="s">
        <v>64</v>
      </c>
      <c r="H2252" s="7" t="s">
        <v>73</v>
      </c>
      <c r="I2252" s="7" t="s">
        <v>76</v>
      </c>
      <c r="J2252" s="7">
        <v>825</v>
      </c>
      <c r="K2252" s="7">
        <v>526.24</v>
      </c>
    </row>
    <row r="2253" spans="1:11" ht="18" customHeight="1" x14ac:dyDescent="0.25">
      <c r="A2253" s="7" t="s">
        <v>19</v>
      </c>
      <c r="B2253" s="7">
        <v>2022</v>
      </c>
      <c r="C2253" s="7" t="s">
        <v>70</v>
      </c>
      <c r="D2253" s="7" t="s">
        <v>72</v>
      </c>
      <c r="E2253" s="7" t="s">
        <v>74</v>
      </c>
      <c r="F2253" s="7" t="s">
        <v>75</v>
      </c>
      <c r="G2253" s="7" t="s">
        <v>64</v>
      </c>
      <c r="H2253" s="7" t="s">
        <v>73</v>
      </c>
      <c r="I2253" s="7" t="s">
        <v>76</v>
      </c>
      <c r="J2253" s="7">
        <v>878</v>
      </c>
      <c r="K2253" s="7">
        <v>526.24</v>
      </c>
    </row>
    <row r="2254" spans="1:11" ht="18" customHeight="1" x14ac:dyDescent="0.25">
      <c r="A2254" s="7" t="s">
        <v>34</v>
      </c>
      <c r="B2254" s="7">
        <v>2022</v>
      </c>
      <c r="C2254" s="7" t="s">
        <v>70</v>
      </c>
      <c r="D2254" s="7" t="s">
        <v>72</v>
      </c>
      <c r="E2254" s="7" t="s">
        <v>74</v>
      </c>
      <c r="F2254" s="7" t="s">
        <v>75</v>
      </c>
      <c r="G2254" s="7" t="s">
        <v>64</v>
      </c>
      <c r="H2254" s="7" t="s">
        <v>73</v>
      </c>
      <c r="I2254" s="7" t="s">
        <v>76</v>
      </c>
      <c r="J2254" s="7">
        <v>291</v>
      </c>
      <c r="K2254" s="7">
        <v>416.13</v>
      </c>
    </row>
    <row r="2255" spans="1:11" ht="18" customHeight="1" x14ac:dyDescent="0.25">
      <c r="A2255" s="7" t="s">
        <v>34</v>
      </c>
      <c r="B2255" s="7">
        <v>2022</v>
      </c>
      <c r="C2255" s="7" t="s">
        <v>70</v>
      </c>
      <c r="D2255" s="7" t="s">
        <v>72</v>
      </c>
      <c r="E2255" s="7" t="s">
        <v>74</v>
      </c>
      <c r="F2255" s="7" t="s">
        <v>75</v>
      </c>
      <c r="G2255" s="7" t="s">
        <v>64</v>
      </c>
      <c r="H2255" s="7" t="s">
        <v>73</v>
      </c>
      <c r="I2255" s="7" t="s">
        <v>76</v>
      </c>
      <c r="J2255" s="7">
        <v>333</v>
      </c>
      <c r="K2255" s="7">
        <v>476.19</v>
      </c>
    </row>
    <row r="2256" spans="1:11" ht="18" customHeight="1" x14ac:dyDescent="0.25">
      <c r="A2256" s="7" t="s">
        <v>34</v>
      </c>
      <c r="B2256" s="7">
        <v>2022</v>
      </c>
      <c r="C2256" s="7" t="s">
        <v>70</v>
      </c>
      <c r="D2256" s="7" t="s">
        <v>72</v>
      </c>
      <c r="E2256" s="7" t="s">
        <v>74</v>
      </c>
      <c r="F2256" s="7" t="s">
        <v>75</v>
      </c>
      <c r="G2256" s="7" t="s">
        <v>64</v>
      </c>
      <c r="H2256" s="7" t="s">
        <v>73</v>
      </c>
      <c r="I2256" s="7" t="s">
        <v>76</v>
      </c>
      <c r="J2256" s="7">
        <v>327</v>
      </c>
      <c r="K2256" s="7">
        <v>467.61</v>
      </c>
    </row>
    <row r="2257" spans="1:11" ht="18" customHeight="1" x14ac:dyDescent="0.25">
      <c r="A2257" s="7" t="s">
        <v>34</v>
      </c>
      <c r="B2257" s="7">
        <v>2022</v>
      </c>
      <c r="C2257" s="7" t="s">
        <v>70</v>
      </c>
      <c r="D2257" s="7" t="s">
        <v>72</v>
      </c>
      <c r="E2257" s="7" t="s">
        <v>74</v>
      </c>
      <c r="F2257" s="7" t="s">
        <v>75</v>
      </c>
      <c r="G2257" s="7" t="s">
        <v>64</v>
      </c>
      <c r="H2257" s="7" t="s">
        <v>73</v>
      </c>
      <c r="I2257" s="7" t="s">
        <v>76</v>
      </c>
      <c r="J2257" s="7">
        <v>321</v>
      </c>
      <c r="K2257" s="7">
        <v>459.03</v>
      </c>
    </row>
    <row r="2258" spans="1:11" ht="18" customHeight="1" x14ac:dyDescent="0.25">
      <c r="A2258" s="7" t="s">
        <v>42</v>
      </c>
      <c r="B2258" s="7">
        <v>2022</v>
      </c>
      <c r="C2258" s="7" t="s">
        <v>70</v>
      </c>
      <c r="D2258" s="7" t="s">
        <v>72</v>
      </c>
      <c r="E2258" s="7" t="s">
        <v>74</v>
      </c>
      <c r="F2258" s="7" t="s">
        <v>75</v>
      </c>
      <c r="G2258" s="7" t="s">
        <v>64</v>
      </c>
      <c r="H2258" s="7" t="s">
        <v>73</v>
      </c>
      <c r="I2258" s="7" t="s">
        <v>76</v>
      </c>
      <c r="J2258" s="7">
        <v>319</v>
      </c>
      <c r="K2258" s="7">
        <v>456.16999999999996</v>
      </c>
    </row>
    <row r="2259" spans="1:11" ht="18" customHeight="1" x14ac:dyDescent="0.25">
      <c r="A2259" s="7" t="s">
        <v>42</v>
      </c>
      <c r="B2259" s="7">
        <v>2022</v>
      </c>
      <c r="C2259" s="7" t="s">
        <v>70</v>
      </c>
      <c r="D2259" s="7" t="s">
        <v>72</v>
      </c>
      <c r="E2259" s="7" t="s">
        <v>74</v>
      </c>
      <c r="F2259" s="7" t="s">
        <v>75</v>
      </c>
      <c r="G2259" s="7" t="s">
        <v>64</v>
      </c>
      <c r="H2259" s="7" t="s">
        <v>73</v>
      </c>
      <c r="I2259" s="7" t="s">
        <v>76</v>
      </c>
      <c r="J2259" s="7">
        <v>247</v>
      </c>
      <c r="K2259" s="7">
        <v>353.21</v>
      </c>
    </row>
    <row r="2260" spans="1:11" ht="18" customHeight="1" x14ac:dyDescent="0.25">
      <c r="A2260" s="7" t="s">
        <v>34</v>
      </c>
      <c r="B2260" s="7">
        <v>2022</v>
      </c>
      <c r="C2260" s="7" t="s">
        <v>70</v>
      </c>
      <c r="D2260" s="7" t="s">
        <v>72</v>
      </c>
      <c r="E2260" s="7" t="s">
        <v>74</v>
      </c>
      <c r="F2260" s="7" t="s">
        <v>75</v>
      </c>
      <c r="G2260" s="7" t="s">
        <v>64</v>
      </c>
      <c r="H2260" s="7" t="s">
        <v>73</v>
      </c>
      <c r="I2260" s="7" t="s">
        <v>76</v>
      </c>
      <c r="J2260" s="7">
        <v>295</v>
      </c>
      <c r="K2260" s="7">
        <v>421.85</v>
      </c>
    </row>
    <row r="2261" spans="1:11" ht="18" customHeight="1" x14ac:dyDescent="0.25">
      <c r="A2261" s="7" t="s">
        <v>42</v>
      </c>
      <c r="B2261" s="7">
        <v>2022</v>
      </c>
      <c r="C2261" s="7" t="s">
        <v>70</v>
      </c>
      <c r="D2261" s="7" t="s">
        <v>72</v>
      </c>
      <c r="E2261" s="7" t="s">
        <v>74</v>
      </c>
      <c r="F2261" s="7" t="s">
        <v>75</v>
      </c>
      <c r="G2261" s="7" t="s">
        <v>64</v>
      </c>
      <c r="H2261" s="7" t="s">
        <v>73</v>
      </c>
      <c r="I2261" s="7" t="s">
        <v>76</v>
      </c>
      <c r="J2261" s="7">
        <v>848</v>
      </c>
      <c r="K2261" s="7">
        <v>1212.6399999999999</v>
      </c>
    </row>
    <row r="2262" spans="1:11" ht="18" customHeight="1" x14ac:dyDescent="0.25">
      <c r="A2262" s="7" t="s">
        <v>34</v>
      </c>
      <c r="B2262" s="7">
        <v>2022</v>
      </c>
      <c r="C2262" s="7" t="s">
        <v>70</v>
      </c>
      <c r="D2262" s="7" t="s">
        <v>72</v>
      </c>
      <c r="E2262" s="7" t="s">
        <v>74</v>
      </c>
      <c r="F2262" s="7" t="s">
        <v>75</v>
      </c>
      <c r="G2262" s="7" t="s">
        <v>64</v>
      </c>
      <c r="H2262" s="7" t="s">
        <v>73</v>
      </c>
      <c r="I2262" s="7" t="s">
        <v>76</v>
      </c>
      <c r="J2262" s="7">
        <v>881</v>
      </c>
      <c r="K2262" s="7">
        <v>1259.83</v>
      </c>
    </row>
    <row r="2263" spans="1:11" ht="18" customHeight="1" x14ac:dyDescent="0.25">
      <c r="A2263" s="7" t="s">
        <v>19</v>
      </c>
      <c r="B2263" s="7">
        <v>2022</v>
      </c>
      <c r="C2263" s="7" t="s">
        <v>69</v>
      </c>
      <c r="D2263" s="7" t="s">
        <v>72</v>
      </c>
      <c r="E2263" s="7" t="s">
        <v>74</v>
      </c>
      <c r="F2263" s="7" t="s">
        <v>75</v>
      </c>
      <c r="G2263" s="7" t="s">
        <v>64</v>
      </c>
      <c r="H2263" s="7" t="s">
        <v>73</v>
      </c>
      <c r="I2263" s="7" t="s">
        <v>76</v>
      </c>
      <c r="J2263" s="7">
        <v>326</v>
      </c>
      <c r="K2263" s="7">
        <v>466.18</v>
      </c>
    </row>
    <row r="2264" spans="1:11" ht="18" customHeight="1" x14ac:dyDescent="0.25">
      <c r="A2264" s="7" t="s">
        <v>19</v>
      </c>
      <c r="B2264" s="7">
        <v>2022</v>
      </c>
      <c r="C2264" s="7" t="s">
        <v>69</v>
      </c>
      <c r="D2264" s="7" t="s">
        <v>72</v>
      </c>
      <c r="E2264" s="7" t="s">
        <v>74</v>
      </c>
      <c r="F2264" s="7" t="s">
        <v>75</v>
      </c>
      <c r="G2264" s="7" t="s">
        <v>64</v>
      </c>
      <c r="H2264" s="7" t="s">
        <v>73</v>
      </c>
      <c r="I2264" s="7" t="s">
        <v>76</v>
      </c>
      <c r="J2264" s="7">
        <v>254</v>
      </c>
      <c r="K2264" s="7">
        <v>363.22</v>
      </c>
    </row>
    <row r="2265" spans="1:11" ht="18" customHeight="1" x14ac:dyDescent="0.25">
      <c r="A2265" s="7" t="s">
        <v>34</v>
      </c>
      <c r="B2265" s="7">
        <v>2022</v>
      </c>
      <c r="C2265" s="7" t="s">
        <v>69</v>
      </c>
      <c r="D2265" s="7" t="s">
        <v>72</v>
      </c>
      <c r="E2265" s="7" t="s">
        <v>74</v>
      </c>
      <c r="F2265" s="7" t="s">
        <v>75</v>
      </c>
      <c r="G2265" s="7" t="s">
        <v>64</v>
      </c>
      <c r="H2265" s="7" t="s">
        <v>73</v>
      </c>
      <c r="I2265" s="7" t="s">
        <v>76</v>
      </c>
      <c r="J2265" s="7">
        <v>296</v>
      </c>
      <c r="K2265" s="7">
        <v>423.28</v>
      </c>
    </row>
    <row r="2266" spans="1:11" ht="18" customHeight="1" x14ac:dyDescent="0.25">
      <c r="A2266" s="7" t="s">
        <v>19</v>
      </c>
      <c r="B2266" s="7">
        <v>2022</v>
      </c>
      <c r="C2266" s="7" t="s">
        <v>69</v>
      </c>
      <c r="D2266" s="7" t="s">
        <v>72</v>
      </c>
      <c r="E2266" s="7" t="s">
        <v>74</v>
      </c>
      <c r="F2266" s="7" t="s">
        <v>75</v>
      </c>
      <c r="G2266" s="7" t="s">
        <v>64</v>
      </c>
      <c r="H2266" s="7" t="s">
        <v>73</v>
      </c>
      <c r="I2266" s="7" t="s">
        <v>76</v>
      </c>
      <c r="J2266" s="7">
        <v>328</v>
      </c>
      <c r="K2266" s="7">
        <v>469.03999999999996</v>
      </c>
    </row>
    <row r="2267" spans="1:11" ht="18" customHeight="1" x14ac:dyDescent="0.25">
      <c r="A2267" s="7" t="s">
        <v>42</v>
      </c>
      <c r="B2267" s="7">
        <v>2022</v>
      </c>
      <c r="C2267" s="7" t="s">
        <v>69</v>
      </c>
      <c r="D2267" s="7" t="s">
        <v>72</v>
      </c>
      <c r="E2267" s="7" t="s">
        <v>74</v>
      </c>
      <c r="F2267" s="7" t="s">
        <v>75</v>
      </c>
      <c r="G2267" s="7" t="s">
        <v>64</v>
      </c>
      <c r="H2267" s="7" t="s">
        <v>73</v>
      </c>
      <c r="I2267" s="7" t="s">
        <v>76</v>
      </c>
      <c r="J2267" s="7">
        <v>250</v>
      </c>
      <c r="K2267" s="7">
        <v>357.5</v>
      </c>
    </row>
    <row r="2268" spans="1:11" ht="18" customHeight="1" x14ac:dyDescent="0.25">
      <c r="A2268" s="7" t="s">
        <v>34</v>
      </c>
      <c r="B2268" s="7">
        <v>2022</v>
      </c>
      <c r="C2268" s="7" t="s">
        <v>69</v>
      </c>
      <c r="D2268" s="7" t="s">
        <v>72</v>
      </c>
      <c r="E2268" s="7" t="s">
        <v>74</v>
      </c>
      <c r="F2268" s="7" t="s">
        <v>75</v>
      </c>
      <c r="G2268" s="7" t="s">
        <v>64</v>
      </c>
      <c r="H2268" s="7" t="s">
        <v>73</v>
      </c>
      <c r="I2268" s="7" t="s">
        <v>76</v>
      </c>
      <c r="J2268" s="7">
        <v>298</v>
      </c>
      <c r="K2268" s="7">
        <v>426.14</v>
      </c>
    </row>
    <row r="2269" spans="1:11" ht="18" customHeight="1" x14ac:dyDescent="0.25">
      <c r="A2269" s="7" t="s">
        <v>19</v>
      </c>
      <c r="B2269" s="7">
        <v>2022</v>
      </c>
      <c r="C2269" s="7" t="s">
        <v>69</v>
      </c>
      <c r="D2269" s="7" t="s">
        <v>72</v>
      </c>
      <c r="E2269" s="7" t="s">
        <v>74</v>
      </c>
      <c r="F2269" s="7" t="s">
        <v>75</v>
      </c>
      <c r="G2269" s="7" t="s">
        <v>64</v>
      </c>
      <c r="H2269" s="7" t="s">
        <v>73</v>
      </c>
      <c r="I2269" s="7" t="s">
        <v>76</v>
      </c>
      <c r="J2269" s="7">
        <v>785</v>
      </c>
      <c r="K2269" s="7">
        <v>1122.55</v>
      </c>
    </row>
    <row r="2270" spans="1:11" ht="18" customHeight="1" x14ac:dyDescent="0.25">
      <c r="A2270" s="7" t="s">
        <v>61</v>
      </c>
      <c r="B2270" s="7">
        <v>2022</v>
      </c>
      <c r="C2270" s="7" t="s">
        <v>69</v>
      </c>
      <c r="D2270" s="7" t="s">
        <v>72</v>
      </c>
      <c r="E2270" s="7" t="s">
        <v>74</v>
      </c>
      <c r="F2270" s="7" t="s">
        <v>75</v>
      </c>
      <c r="G2270" s="7" t="s">
        <v>64</v>
      </c>
      <c r="H2270" s="7" t="s">
        <v>73</v>
      </c>
      <c r="I2270" s="7" t="s">
        <v>76</v>
      </c>
      <c r="J2270" s="7">
        <v>838</v>
      </c>
      <c r="K2270" s="7">
        <v>1198.3399999999999</v>
      </c>
    </row>
    <row r="2271" spans="1:11" ht="18" customHeight="1" x14ac:dyDescent="0.25">
      <c r="A2271" s="7" t="s">
        <v>61</v>
      </c>
      <c r="B2271" s="7">
        <v>2022</v>
      </c>
      <c r="C2271" s="7" t="s">
        <v>69</v>
      </c>
      <c r="D2271" s="7" t="s">
        <v>72</v>
      </c>
      <c r="E2271" s="7" t="s">
        <v>74</v>
      </c>
      <c r="F2271" s="7" t="s">
        <v>75</v>
      </c>
      <c r="G2271" s="7" t="s">
        <v>64</v>
      </c>
      <c r="H2271" s="7" t="s">
        <v>73</v>
      </c>
      <c r="I2271" s="7" t="s">
        <v>76</v>
      </c>
      <c r="J2271" s="7">
        <v>871</v>
      </c>
      <c r="K2271" s="7">
        <v>1245.53</v>
      </c>
    </row>
    <row r="2272" spans="1:11" ht="18" customHeight="1" x14ac:dyDescent="0.25">
      <c r="A2272" s="7" t="s">
        <v>42</v>
      </c>
      <c r="B2272" s="7">
        <v>2022</v>
      </c>
      <c r="C2272" s="7" t="s">
        <v>69</v>
      </c>
      <c r="D2272" s="7" t="s">
        <v>72</v>
      </c>
      <c r="E2272" s="7" t="s">
        <v>74</v>
      </c>
      <c r="F2272" s="7" t="s">
        <v>75</v>
      </c>
      <c r="G2272" s="7" t="s">
        <v>64</v>
      </c>
      <c r="H2272" s="7" t="s">
        <v>73</v>
      </c>
      <c r="I2272" s="7" t="s">
        <v>76</v>
      </c>
      <c r="J2272" s="7">
        <v>945</v>
      </c>
      <c r="K2272" s="7">
        <v>1351.35</v>
      </c>
    </row>
    <row r="2273" spans="1:11" ht="18" customHeight="1" x14ac:dyDescent="0.25">
      <c r="A2273" s="7" t="s">
        <v>34</v>
      </c>
      <c r="B2273" s="7">
        <v>2022</v>
      </c>
      <c r="C2273" s="7" t="s">
        <v>69</v>
      </c>
      <c r="D2273" s="7" t="s">
        <v>72</v>
      </c>
      <c r="E2273" s="7" t="s">
        <v>74</v>
      </c>
      <c r="F2273" s="7" t="s">
        <v>75</v>
      </c>
      <c r="G2273" s="7" t="s">
        <v>64</v>
      </c>
      <c r="H2273" s="7" t="s">
        <v>73</v>
      </c>
      <c r="I2273" s="7" t="s">
        <v>76</v>
      </c>
      <c r="J2273" s="7">
        <v>946</v>
      </c>
      <c r="K2273" s="7">
        <v>1352.78</v>
      </c>
    </row>
    <row r="2274" spans="1:11" ht="18" customHeight="1" x14ac:dyDescent="0.25">
      <c r="A2274" s="7" t="s">
        <v>61</v>
      </c>
      <c r="B2274" s="7">
        <v>2022</v>
      </c>
      <c r="C2274" s="7" t="s">
        <v>69</v>
      </c>
      <c r="D2274" s="7" t="s">
        <v>72</v>
      </c>
      <c r="E2274" s="7" t="s">
        <v>74</v>
      </c>
      <c r="F2274" s="7" t="s">
        <v>75</v>
      </c>
      <c r="G2274" s="7" t="s">
        <v>64</v>
      </c>
      <c r="H2274" s="7" t="s">
        <v>73</v>
      </c>
      <c r="I2274" s="7" t="s">
        <v>76</v>
      </c>
      <c r="J2274" s="7">
        <v>824</v>
      </c>
      <c r="K2274" s="7">
        <v>526.24</v>
      </c>
    </row>
    <row r="2275" spans="1:11" ht="18" customHeight="1" x14ac:dyDescent="0.25">
      <c r="A2275" s="7" t="s">
        <v>19</v>
      </c>
      <c r="B2275" s="7">
        <v>2022</v>
      </c>
      <c r="C2275" s="7" t="s">
        <v>69</v>
      </c>
      <c r="D2275" s="7" t="s">
        <v>72</v>
      </c>
      <c r="E2275" s="7" t="s">
        <v>74</v>
      </c>
      <c r="F2275" s="7" t="s">
        <v>75</v>
      </c>
      <c r="G2275" s="7" t="s">
        <v>64</v>
      </c>
      <c r="H2275" s="7" t="s">
        <v>73</v>
      </c>
      <c r="I2275" s="7" t="s">
        <v>76</v>
      </c>
      <c r="J2275" s="7">
        <v>297</v>
      </c>
      <c r="K2275" s="7">
        <v>424.71</v>
      </c>
    </row>
    <row r="2276" spans="1:11" ht="18" customHeight="1" x14ac:dyDescent="0.25">
      <c r="A2276" s="7" t="s">
        <v>19</v>
      </c>
      <c r="B2276" s="7">
        <v>2022</v>
      </c>
      <c r="C2276" s="7" t="s">
        <v>69</v>
      </c>
      <c r="D2276" s="7" t="s">
        <v>72</v>
      </c>
      <c r="E2276" s="7" t="s">
        <v>74</v>
      </c>
      <c r="F2276" s="7" t="s">
        <v>75</v>
      </c>
      <c r="G2276" s="7" t="s">
        <v>64</v>
      </c>
      <c r="H2276" s="7" t="s">
        <v>73</v>
      </c>
      <c r="I2276" s="7" t="s">
        <v>76</v>
      </c>
      <c r="J2276" s="7">
        <v>351</v>
      </c>
      <c r="K2276" s="7">
        <v>501.93</v>
      </c>
    </row>
    <row r="2277" spans="1:11" ht="18" customHeight="1" x14ac:dyDescent="0.25">
      <c r="A2277" s="7" t="s">
        <v>61</v>
      </c>
      <c r="B2277" s="7">
        <v>2022</v>
      </c>
      <c r="C2277" s="7" t="s">
        <v>69</v>
      </c>
      <c r="D2277" s="7" t="s">
        <v>72</v>
      </c>
      <c r="E2277" s="7" t="s">
        <v>74</v>
      </c>
      <c r="F2277" s="7" t="s">
        <v>75</v>
      </c>
      <c r="G2277" s="7" t="s">
        <v>64</v>
      </c>
      <c r="H2277" s="7" t="s">
        <v>73</v>
      </c>
      <c r="I2277" s="7" t="s">
        <v>76</v>
      </c>
      <c r="J2277" s="7">
        <v>345</v>
      </c>
      <c r="K2277" s="7">
        <v>493.35</v>
      </c>
    </row>
    <row r="2278" spans="1:11" ht="18" customHeight="1" x14ac:dyDescent="0.25">
      <c r="A2278" s="7" t="s">
        <v>42</v>
      </c>
      <c r="B2278" s="7">
        <v>2022</v>
      </c>
      <c r="C2278" s="7" t="s">
        <v>69</v>
      </c>
      <c r="D2278" s="7" t="s">
        <v>72</v>
      </c>
      <c r="E2278" s="7" t="s">
        <v>74</v>
      </c>
      <c r="F2278" s="7" t="s">
        <v>75</v>
      </c>
      <c r="G2278" s="7" t="s">
        <v>64</v>
      </c>
      <c r="H2278" s="7" t="s">
        <v>73</v>
      </c>
      <c r="I2278" s="7" t="s">
        <v>76</v>
      </c>
      <c r="J2278" s="7">
        <v>339</v>
      </c>
      <c r="K2278" s="7">
        <v>484.77</v>
      </c>
    </row>
    <row r="2279" spans="1:11" ht="18" customHeight="1" x14ac:dyDescent="0.25">
      <c r="A2279" s="7" t="s">
        <v>34</v>
      </c>
      <c r="B2279" s="7">
        <v>2022</v>
      </c>
      <c r="C2279" s="7" t="s">
        <v>69</v>
      </c>
      <c r="D2279" s="7" t="s">
        <v>72</v>
      </c>
      <c r="E2279" s="7" t="s">
        <v>74</v>
      </c>
      <c r="F2279" s="7" t="s">
        <v>75</v>
      </c>
      <c r="G2279" s="7" t="s">
        <v>64</v>
      </c>
      <c r="H2279" s="7" t="s">
        <v>73</v>
      </c>
      <c r="I2279" s="7" t="s">
        <v>76</v>
      </c>
      <c r="J2279" s="7">
        <v>325</v>
      </c>
      <c r="K2279" s="7">
        <v>464.75</v>
      </c>
    </row>
    <row r="2280" spans="1:11" ht="18" customHeight="1" x14ac:dyDescent="0.25">
      <c r="A2280" s="7" t="s">
        <v>42</v>
      </c>
      <c r="B2280" s="7">
        <v>2022</v>
      </c>
      <c r="C2280" s="7" t="s">
        <v>69</v>
      </c>
      <c r="D2280" s="7" t="s">
        <v>72</v>
      </c>
      <c r="E2280" s="7" t="s">
        <v>74</v>
      </c>
      <c r="F2280" s="7" t="s">
        <v>75</v>
      </c>
      <c r="G2280" s="7" t="s">
        <v>64</v>
      </c>
      <c r="H2280" s="7" t="s">
        <v>73</v>
      </c>
      <c r="I2280" s="7" t="s">
        <v>76</v>
      </c>
      <c r="J2280" s="7">
        <v>253</v>
      </c>
      <c r="K2280" s="7">
        <v>361.78999999999996</v>
      </c>
    </row>
    <row r="2281" spans="1:11" ht="18" customHeight="1" x14ac:dyDescent="0.25">
      <c r="A2281" s="7" t="s">
        <v>19</v>
      </c>
      <c r="B2281" s="7">
        <v>2022</v>
      </c>
      <c r="C2281" s="7" t="s">
        <v>69</v>
      </c>
      <c r="D2281" s="7" t="s">
        <v>72</v>
      </c>
      <c r="E2281" s="7" t="s">
        <v>74</v>
      </c>
      <c r="F2281" s="7" t="s">
        <v>75</v>
      </c>
      <c r="G2281" s="7" t="s">
        <v>64</v>
      </c>
      <c r="H2281" s="7" t="s">
        <v>73</v>
      </c>
      <c r="I2281" s="7" t="s">
        <v>76</v>
      </c>
      <c r="J2281" s="7">
        <v>301</v>
      </c>
      <c r="K2281" s="7">
        <v>430.43</v>
      </c>
    </row>
    <row r="2282" spans="1:11" ht="18" customHeight="1" x14ac:dyDescent="0.25">
      <c r="A2282" s="7" t="s">
        <v>34</v>
      </c>
      <c r="B2282" s="7">
        <v>2022</v>
      </c>
      <c r="C2282" s="7" t="s">
        <v>69</v>
      </c>
      <c r="D2282" s="7" t="s">
        <v>72</v>
      </c>
      <c r="E2282" s="7" t="s">
        <v>74</v>
      </c>
      <c r="F2282" s="7" t="s">
        <v>75</v>
      </c>
      <c r="G2282" s="7" t="s">
        <v>64</v>
      </c>
      <c r="H2282" s="7" t="s">
        <v>73</v>
      </c>
      <c r="I2282" s="7" t="s">
        <v>76</v>
      </c>
      <c r="J2282" s="7">
        <v>794</v>
      </c>
      <c r="K2282" s="7">
        <v>1135.42</v>
      </c>
    </row>
    <row r="2283" spans="1:11" ht="18" customHeight="1" x14ac:dyDescent="0.25">
      <c r="A2283" s="7" t="s">
        <v>34</v>
      </c>
      <c r="B2283" s="7">
        <v>2022</v>
      </c>
      <c r="C2283" s="7" t="s">
        <v>69</v>
      </c>
      <c r="D2283" s="7" t="s">
        <v>72</v>
      </c>
      <c r="E2283" s="7" t="s">
        <v>74</v>
      </c>
      <c r="F2283" s="7" t="s">
        <v>75</v>
      </c>
      <c r="G2283" s="7" t="s">
        <v>64</v>
      </c>
      <c r="H2283" s="7" t="s">
        <v>73</v>
      </c>
      <c r="I2283" s="7" t="s">
        <v>76</v>
      </c>
      <c r="J2283" s="7">
        <v>847</v>
      </c>
      <c r="K2283" s="7">
        <v>1211.21</v>
      </c>
    </row>
    <row r="2284" spans="1:11" ht="18" customHeight="1" x14ac:dyDescent="0.25">
      <c r="A2284" s="7" t="s">
        <v>19</v>
      </c>
      <c r="B2284" s="7">
        <v>2022</v>
      </c>
      <c r="C2284" s="7" t="s">
        <v>69</v>
      </c>
      <c r="D2284" s="7" t="s">
        <v>72</v>
      </c>
      <c r="E2284" s="7" t="s">
        <v>74</v>
      </c>
      <c r="F2284" s="7" t="s">
        <v>75</v>
      </c>
      <c r="G2284" s="7" t="s">
        <v>64</v>
      </c>
      <c r="H2284" s="7" t="s">
        <v>73</v>
      </c>
      <c r="I2284" s="7" t="s">
        <v>76</v>
      </c>
      <c r="J2284" s="7">
        <v>880</v>
      </c>
      <c r="K2284" s="7">
        <v>1258.4000000000001</v>
      </c>
    </row>
    <row r="2285" spans="1:11" ht="18" customHeight="1" x14ac:dyDescent="0.25">
      <c r="A2285" s="7" t="s">
        <v>19</v>
      </c>
      <c r="B2285" s="7">
        <v>2023</v>
      </c>
      <c r="C2285" s="7" t="s">
        <v>20</v>
      </c>
      <c r="D2285" s="7" t="s">
        <v>21</v>
      </c>
      <c r="E2285" s="7" t="s">
        <v>74</v>
      </c>
      <c r="F2285" s="7" t="s">
        <v>23</v>
      </c>
      <c r="G2285" s="7" t="s">
        <v>24</v>
      </c>
      <c r="H2285" s="7" t="s">
        <v>25</v>
      </c>
      <c r="I2285" s="7" t="s">
        <v>35</v>
      </c>
      <c r="J2285" s="7">
        <v>362</v>
      </c>
      <c r="K2285" s="7">
        <v>553.86</v>
      </c>
    </row>
    <row r="2286" spans="1:11" ht="18" customHeight="1" x14ac:dyDescent="0.25">
      <c r="A2286" s="7" t="s">
        <v>34</v>
      </c>
      <c r="B2286" s="7">
        <v>2023</v>
      </c>
      <c r="C2286" s="7" t="s">
        <v>20</v>
      </c>
      <c r="D2286" s="7" t="s">
        <v>21</v>
      </c>
      <c r="E2286" s="7" t="s">
        <v>74</v>
      </c>
      <c r="F2286" s="7" t="s">
        <v>23</v>
      </c>
      <c r="G2286" s="7" t="s">
        <v>24</v>
      </c>
      <c r="H2286" s="7" t="s">
        <v>25</v>
      </c>
      <c r="I2286" s="7" t="s">
        <v>35</v>
      </c>
      <c r="J2286" s="7">
        <v>338</v>
      </c>
      <c r="K2286" s="7">
        <v>483.34000000000003</v>
      </c>
    </row>
    <row r="2287" spans="1:11" ht="18" customHeight="1" x14ac:dyDescent="0.25">
      <c r="A2287" s="7" t="s">
        <v>53</v>
      </c>
      <c r="B2287" s="7">
        <v>2023</v>
      </c>
      <c r="C2287" s="7" t="s">
        <v>20</v>
      </c>
      <c r="D2287" s="7" t="s">
        <v>21</v>
      </c>
      <c r="E2287" s="7" t="s">
        <v>74</v>
      </c>
      <c r="F2287" s="7" t="s">
        <v>23</v>
      </c>
      <c r="G2287" s="7" t="s">
        <v>24</v>
      </c>
      <c r="H2287" s="7" t="s">
        <v>25</v>
      </c>
      <c r="I2287" s="7" t="s">
        <v>35</v>
      </c>
      <c r="J2287" s="7">
        <v>364</v>
      </c>
      <c r="K2287" s="7">
        <v>520.52</v>
      </c>
    </row>
    <row r="2288" spans="1:11" ht="18" customHeight="1" x14ac:dyDescent="0.25">
      <c r="A2288" s="7" t="s">
        <v>34</v>
      </c>
      <c r="B2288" s="7">
        <v>2023</v>
      </c>
      <c r="C2288" s="7" t="s">
        <v>20</v>
      </c>
      <c r="D2288" s="7" t="s">
        <v>21</v>
      </c>
      <c r="E2288" s="7" t="s">
        <v>74</v>
      </c>
      <c r="F2288" s="7" t="s">
        <v>23</v>
      </c>
      <c r="G2288" s="7" t="s">
        <v>24</v>
      </c>
      <c r="H2288" s="7" t="s">
        <v>25</v>
      </c>
      <c r="I2288" s="7" t="s">
        <v>35</v>
      </c>
      <c r="J2288" s="7">
        <v>334</v>
      </c>
      <c r="K2288" s="7">
        <v>477.62</v>
      </c>
    </row>
    <row r="2289" spans="1:11" ht="18" customHeight="1" x14ac:dyDescent="0.25">
      <c r="A2289" s="7" t="s">
        <v>34</v>
      </c>
      <c r="B2289" s="7">
        <v>2023</v>
      </c>
      <c r="C2289" s="7" t="s">
        <v>20</v>
      </c>
      <c r="D2289" s="7" t="s">
        <v>21</v>
      </c>
      <c r="E2289" s="7" t="s">
        <v>74</v>
      </c>
      <c r="F2289" s="7" t="s">
        <v>23</v>
      </c>
      <c r="G2289" s="7" t="s">
        <v>24</v>
      </c>
      <c r="H2289" s="7" t="s">
        <v>25</v>
      </c>
      <c r="I2289" s="7" t="s">
        <v>35</v>
      </c>
      <c r="J2289" s="7">
        <v>655</v>
      </c>
      <c r="K2289" s="7">
        <v>936.65</v>
      </c>
    </row>
    <row r="2290" spans="1:11" ht="18" customHeight="1" x14ac:dyDescent="0.25">
      <c r="A2290" s="7" t="s">
        <v>19</v>
      </c>
      <c r="B2290" s="7">
        <v>2023</v>
      </c>
      <c r="C2290" s="7" t="s">
        <v>20</v>
      </c>
      <c r="D2290" s="7" t="s">
        <v>21</v>
      </c>
      <c r="E2290" s="7" t="s">
        <v>74</v>
      </c>
      <c r="F2290" s="7" t="s">
        <v>23</v>
      </c>
      <c r="G2290" s="7" t="s">
        <v>24</v>
      </c>
      <c r="H2290" s="7" t="s">
        <v>25</v>
      </c>
      <c r="I2290" s="7" t="s">
        <v>35</v>
      </c>
      <c r="J2290" s="7">
        <v>742</v>
      </c>
      <c r="K2290" s="7">
        <v>1061.06</v>
      </c>
    </row>
    <row r="2291" spans="1:11" ht="18" customHeight="1" x14ac:dyDescent="0.25">
      <c r="A2291" s="7" t="s">
        <v>19</v>
      </c>
      <c r="B2291" s="7">
        <v>2023</v>
      </c>
      <c r="C2291" s="7" t="s">
        <v>20</v>
      </c>
      <c r="D2291" s="7" t="s">
        <v>21</v>
      </c>
      <c r="E2291" s="7" t="s">
        <v>74</v>
      </c>
      <c r="F2291" s="7" t="s">
        <v>23</v>
      </c>
      <c r="G2291" s="7" t="s">
        <v>24</v>
      </c>
      <c r="H2291" s="7" t="s">
        <v>25</v>
      </c>
      <c r="I2291" s="7" t="s">
        <v>35</v>
      </c>
      <c r="J2291" s="7">
        <v>363</v>
      </c>
      <c r="K2291" s="7">
        <v>519.09</v>
      </c>
    </row>
    <row r="2292" spans="1:11" ht="18" customHeight="1" x14ac:dyDescent="0.25">
      <c r="A2292" s="7" t="s">
        <v>34</v>
      </c>
      <c r="B2292" s="7">
        <v>2023</v>
      </c>
      <c r="C2292" s="7" t="s">
        <v>20</v>
      </c>
      <c r="D2292" s="7" t="s">
        <v>21</v>
      </c>
      <c r="E2292" s="7" t="s">
        <v>74</v>
      </c>
      <c r="F2292" s="7" t="s">
        <v>23</v>
      </c>
      <c r="G2292" s="7" t="s">
        <v>24</v>
      </c>
      <c r="H2292" s="7" t="s">
        <v>25</v>
      </c>
      <c r="I2292" s="7" t="s">
        <v>35</v>
      </c>
      <c r="J2292" s="7">
        <v>781</v>
      </c>
      <c r="K2292" s="7">
        <v>526.24</v>
      </c>
    </row>
    <row r="2293" spans="1:11" ht="18" customHeight="1" x14ac:dyDescent="0.25">
      <c r="A2293" s="7" t="s">
        <v>34</v>
      </c>
      <c r="B2293" s="7">
        <v>2023</v>
      </c>
      <c r="C2293" s="7" t="s">
        <v>20</v>
      </c>
      <c r="D2293" s="7" t="s">
        <v>21</v>
      </c>
      <c r="E2293" s="7" t="s">
        <v>74</v>
      </c>
      <c r="F2293" s="7" t="s">
        <v>23</v>
      </c>
      <c r="G2293" s="7" t="s">
        <v>24</v>
      </c>
      <c r="H2293" s="7" t="s">
        <v>25</v>
      </c>
      <c r="I2293" s="7" t="s">
        <v>35</v>
      </c>
      <c r="J2293" s="7">
        <v>361</v>
      </c>
      <c r="K2293" s="7">
        <v>516.23</v>
      </c>
    </row>
    <row r="2294" spans="1:11" ht="18" customHeight="1" x14ac:dyDescent="0.25">
      <c r="A2294" s="7" t="s">
        <v>53</v>
      </c>
      <c r="B2294" s="7">
        <v>2023</v>
      </c>
      <c r="C2294" s="7" t="s">
        <v>20</v>
      </c>
      <c r="D2294" s="7" t="s">
        <v>21</v>
      </c>
      <c r="E2294" s="7" t="s">
        <v>74</v>
      </c>
      <c r="F2294" s="7" t="s">
        <v>23</v>
      </c>
      <c r="G2294" s="7" t="s">
        <v>24</v>
      </c>
      <c r="H2294" s="7" t="s">
        <v>25</v>
      </c>
      <c r="I2294" s="7" t="s">
        <v>35</v>
      </c>
      <c r="J2294" s="7">
        <v>337</v>
      </c>
      <c r="K2294" s="7">
        <v>481.90999999999997</v>
      </c>
    </row>
    <row r="2295" spans="1:11" ht="18" customHeight="1" x14ac:dyDescent="0.25">
      <c r="A2295" s="7" t="s">
        <v>34</v>
      </c>
      <c r="B2295" s="7">
        <v>2023</v>
      </c>
      <c r="C2295" s="7" t="s">
        <v>20</v>
      </c>
      <c r="D2295" s="7" t="s">
        <v>21</v>
      </c>
      <c r="E2295" s="7" t="s">
        <v>74</v>
      </c>
      <c r="F2295" s="7" t="s">
        <v>23</v>
      </c>
      <c r="G2295" s="7" t="s">
        <v>24</v>
      </c>
      <c r="H2295" s="7" t="s">
        <v>25</v>
      </c>
      <c r="I2295" s="7" t="s">
        <v>35</v>
      </c>
      <c r="J2295" s="7">
        <v>365</v>
      </c>
      <c r="K2295" s="7">
        <v>521.95000000000005</v>
      </c>
    </row>
    <row r="2296" spans="1:11" ht="18" customHeight="1" x14ac:dyDescent="0.25">
      <c r="A2296" s="7" t="s">
        <v>19</v>
      </c>
      <c r="B2296" s="7">
        <v>2023</v>
      </c>
      <c r="C2296" s="7" t="s">
        <v>20</v>
      </c>
      <c r="D2296" s="7" t="s">
        <v>21</v>
      </c>
      <c r="E2296" s="7" t="s">
        <v>74</v>
      </c>
      <c r="F2296" s="7" t="s">
        <v>23</v>
      </c>
      <c r="G2296" s="7" t="s">
        <v>24</v>
      </c>
      <c r="H2296" s="7" t="s">
        <v>25</v>
      </c>
      <c r="I2296" s="7" t="s">
        <v>35</v>
      </c>
      <c r="J2296" s="7">
        <v>751</v>
      </c>
      <c r="K2296" s="7">
        <v>1073.93</v>
      </c>
    </row>
    <row r="2297" spans="1:11" ht="18" customHeight="1" x14ac:dyDescent="0.25">
      <c r="A2297" s="7" t="s">
        <v>53</v>
      </c>
      <c r="B2297" s="7">
        <v>2023</v>
      </c>
      <c r="C2297" s="7" t="s">
        <v>60</v>
      </c>
      <c r="D2297" s="7" t="s">
        <v>21</v>
      </c>
      <c r="E2297" s="7" t="s">
        <v>74</v>
      </c>
      <c r="F2297" s="7" t="s">
        <v>23</v>
      </c>
      <c r="G2297" s="7" t="s">
        <v>24</v>
      </c>
      <c r="H2297" s="7" t="s">
        <v>25</v>
      </c>
      <c r="I2297" s="7" t="s">
        <v>35</v>
      </c>
      <c r="J2297" s="7">
        <v>344</v>
      </c>
      <c r="K2297" s="7">
        <v>526.32000000000005</v>
      </c>
    </row>
    <row r="2298" spans="1:11" ht="18" customHeight="1" x14ac:dyDescent="0.25">
      <c r="A2298" s="7" t="s">
        <v>19</v>
      </c>
      <c r="B2298" s="7">
        <v>2023</v>
      </c>
      <c r="C2298" s="7" t="s">
        <v>60</v>
      </c>
      <c r="D2298" s="7" t="s">
        <v>21</v>
      </c>
      <c r="E2298" s="7" t="s">
        <v>74</v>
      </c>
      <c r="F2298" s="7" t="s">
        <v>23</v>
      </c>
      <c r="G2298" s="7" t="s">
        <v>24</v>
      </c>
      <c r="H2298" s="7" t="s">
        <v>25</v>
      </c>
      <c r="I2298" s="7" t="s">
        <v>35</v>
      </c>
      <c r="J2298" s="7">
        <v>314</v>
      </c>
      <c r="K2298" s="7">
        <v>449.02</v>
      </c>
    </row>
    <row r="2299" spans="1:11" ht="18" customHeight="1" x14ac:dyDescent="0.25">
      <c r="A2299" s="7" t="s">
        <v>34</v>
      </c>
      <c r="B2299" s="7">
        <v>2023</v>
      </c>
      <c r="C2299" s="7" t="s">
        <v>60</v>
      </c>
      <c r="D2299" s="7" t="s">
        <v>21</v>
      </c>
      <c r="E2299" s="7" t="s">
        <v>22</v>
      </c>
      <c r="F2299" s="7" t="s">
        <v>23</v>
      </c>
      <c r="G2299" s="7" t="s">
        <v>24</v>
      </c>
      <c r="H2299" s="7" t="s">
        <v>25</v>
      </c>
      <c r="I2299" s="7" t="s">
        <v>35</v>
      </c>
      <c r="J2299" s="7">
        <v>340</v>
      </c>
      <c r="K2299" s="7">
        <v>486.2</v>
      </c>
    </row>
    <row r="2300" spans="1:11" ht="18" customHeight="1" x14ac:dyDescent="0.25">
      <c r="A2300" s="7" t="s">
        <v>19</v>
      </c>
      <c r="B2300" s="7">
        <v>2023</v>
      </c>
      <c r="C2300" s="7" t="s">
        <v>60</v>
      </c>
      <c r="D2300" s="7" t="s">
        <v>21</v>
      </c>
      <c r="E2300" s="7" t="s">
        <v>22</v>
      </c>
      <c r="F2300" s="7" t="s">
        <v>23</v>
      </c>
      <c r="G2300" s="7" t="s">
        <v>24</v>
      </c>
      <c r="H2300" s="7" t="s">
        <v>25</v>
      </c>
      <c r="I2300" s="7" t="s">
        <v>35</v>
      </c>
      <c r="J2300" s="7">
        <v>316</v>
      </c>
      <c r="K2300" s="7">
        <v>451.88</v>
      </c>
    </row>
    <row r="2301" spans="1:11" ht="18" customHeight="1" x14ac:dyDescent="0.25">
      <c r="A2301" s="7" t="s">
        <v>34</v>
      </c>
      <c r="B2301" s="7">
        <v>2023</v>
      </c>
      <c r="C2301" s="7" t="s">
        <v>60</v>
      </c>
      <c r="D2301" s="7" t="s">
        <v>21</v>
      </c>
      <c r="E2301" s="7" t="s">
        <v>22</v>
      </c>
      <c r="F2301" s="7" t="s">
        <v>23</v>
      </c>
      <c r="G2301" s="7" t="s">
        <v>24</v>
      </c>
      <c r="H2301" s="7" t="s">
        <v>25</v>
      </c>
      <c r="I2301" s="7" t="s">
        <v>35</v>
      </c>
      <c r="J2301" s="7">
        <v>659</v>
      </c>
      <c r="K2301" s="7">
        <v>942.37</v>
      </c>
    </row>
    <row r="2302" spans="1:11" ht="18" customHeight="1" x14ac:dyDescent="0.25">
      <c r="A2302" s="7" t="s">
        <v>34</v>
      </c>
      <c r="B2302" s="7">
        <v>2023</v>
      </c>
      <c r="C2302" s="7" t="s">
        <v>60</v>
      </c>
      <c r="D2302" s="7" t="s">
        <v>21</v>
      </c>
      <c r="E2302" s="7" t="s">
        <v>22</v>
      </c>
      <c r="F2302" s="7" t="s">
        <v>23</v>
      </c>
      <c r="G2302" s="7" t="s">
        <v>24</v>
      </c>
      <c r="H2302" s="7" t="s">
        <v>25</v>
      </c>
      <c r="I2302" s="7" t="s">
        <v>35</v>
      </c>
      <c r="J2302" s="7">
        <v>785</v>
      </c>
      <c r="K2302" s="7">
        <v>526.24</v>
      </c>
    </row>
    <row r="2303" spans="1:11" ht="18" customHeight="1" x14ac:dyDescent="0.25">
      <c r="A2303" s="7" t="s">
        <v>19</v>
      </c>
      <c r="B2303" s="7">
        <v>2023</v>
      </c>
      <c r="C2303" s="7" t="s">
        <v>60</v>
      </c>
      <c r="D2303" s="7" t="s">
        <v>21</v>
      </c>
      <c r="E2303" s="7" t="s">
        <v>22</v>
      </c>
      <c r="F2303" s="7" t="s">
        <v>23</v>
      </c>
      <c r="G2303" s="7" t="s">
        <v>24</v>
      </c>
      <c r="H2303" s="7" t="s">
        <v>25</v>
      </c>
      <c r="I2303" s="7" t="s">
        <v>35</v>
      </c>
      <c r="J2303" s="7">
        <v>343</v>
      </c>
      <c r="K2303" s="7">
        <v>490.49</v>
      </c>
    </row>
    <row r="2304" spans="1:11" ht="18" customHeight="1" x14ac:dyDescent="0.25">
      <c r="A2304" s="7" t="s">
        <v>34</v>
      </c>
      <c r="B2304" s="7">
        <v>2023</v>
      </c>
      <c r="C2304" s="7" t="s">
        <v>60</v>
      </c>
      <c r="D2304" s="7" t="s">
        <v>21</v>
      </c>
      <c r="E2304" s="7" t="s">
        <v>22</v>
      </c>
      <c r="F2304" s="7" t="s">
        <v>23</v>
      </c>
      <c r="G2304" s="7" t="s">
        <v>24</v>
      </c>
      <c r="H2304" s="7" t="s">
        <v>25</v>
      </c>
      <c r="I2304" s="7" t="s">
        <v>35</v>
      </c>
      <c r="J2304" s="7">
        <v>313</v>
      </c>
      <c r="K2304" s="7">
        <v>447.59000000000003</v>
      </c>
    </row>
    <row r="2305" spans="1:11" ht="18" customHeight="1" x14ac:dyDescent="0.25">
      <c r="A2305" s="7" t="s">
        <v>19</v>
      </c>
      <c r="B2305" s="7">
        <v>2023</v>
      </c>
      <c r="C2305" s="7" t="s">
        <v>60</v>
      </c>
      <c r="D2305" s="7" t="s">
        <v>21</v>
      </c>
      <c r="E2305" s="7" t="s">
        <v>22</v>
      </c>
      <c r="F2305" s="7" t="s">
        <v>23</v>
      </c>
      <c r="G2305" s="7" t="s">
        <v>24</v>
      </c>
      <c r="H2305" s="7" t="s">
        <v>25</v>
      </c>
      <c r="I2305" s="7" t="s">
        <v>35</v>
      </c>
      <c r="J2305" s="7">
        <v>341</v>
      </c>
      <c r="K2305" s="7">
        <v>487.63</v>
      </c>
    </row>
    <row r="2306" spans="1:11" ht="18" customHeight="1" x14ac:dyDescent="0.25">
      <c r="A2306" s="7" t="s">
        <v>53</v>
      </c>
      <c r="B2306" s="7">
        <v>2023</v>
      </c>
      <c r="C2306" s="7" t="s">
        <v>60</v>
      </c>
      <c r="D2306" s="7" t="s">
        <v>21</v>
      </c>
      <c r="E2306" s="7" t="s">
        <v>22</v>
      </c>
      <c r="F2306" s="7" t="s">
        <v>23</v>
      </c>
      <c r="G2306" s="7" t="s">
        <v>24</v>
      </c>
      <c r="H2306" s="7" t="s">
        <v>25</v>
      </c>
      <c r="I2306" s="7" t="s">
        <v>35</v>
      </c>
      <c r="J2306" s="7">
        <v>754</v>
      </c>
      <c r="K2306" s="7">
        <v>1078.22</v>
      </c>
    </row>
    <row r="2307" spans="1:11" ht="18" customHeight="1" x14ac:dyDescent="0.25">
      <c r="A2307" s="7" t="s">
        <v>53</v>
      </c>
      <c r="B2307" s="7">
        <v>2023</v>
      </c>
      <c r="C2307" s="7" t="s">
        <v>65</v>
      </c>
      <c r="D2307" s="7" t="s">
        <v>21</v>
      </c>
      <c r="E2307" s="7" t="s">
        <v>22</v>
      </c>
      <c r="F2307" s="7" t="s">
        <v>23</v>
      </c>
      <c r="G2307" s="7" t="s">
        <v>24</v>
      </c>
      <c r="H2307" s="7" t="s">
        <v>25</v>
      </c>
      <c r="I2307" s="7" t="s">
        <v>35</v>
      </c>
      <c r="J2307" s="7">
        <v>320</v>
      </c>
      <c r="K2307" s="7">
        <v>489.6</v>
      </c>
    </row>
    <row r="2308" spans="1:11" ht="18" customHeight="1" x14ac:dyDescent="0.25">
      <c r="A2308" s="7" t="s">
        <v>19</v>
      </c>
      <c r="B2308" s="7">
        <v>2023</v>
      </c>
      <c r="C2308" s="7" t="s">
        <v>65</v>
      </c>
      <c r="D2308" s="7" t="s">
        <v>21</v>
      </c>
      <c r="E2308" s="7" t="s">
        <v>22</v>
      </c>
      <c r="F2308" s="7" t="s">
        <v>23</v>
      </c>
      <c r="G2308" s="7" t="s">
        <v>24</v>
      </c>
      <c r="H2308" s="7" t="s">
        <v>25</v>
      </c>
      <c r="I2308" s="7" t="s">
        <v>35</v>
      </c>
      <c r="J2308" s="7">
        <v>296</v>
      </c>
      <c r="K2308" s="7">
        <v>423.28</v>
      </c>
    </row>
    <row r="2309" spans="1:11" ht="18" customHeight="1" x14ac:dyDescent="0.25">
      <c r="A2309" s="7" t="s">
        <v>34</v>
      </c>
      <c r="B2309" s="7">
        <v>2023</v>
      </c>
      <c r="C2309" s="7" t="s">
        <v>65</v>
      </c>
      <c r="D2309" s="7" t="s">
        <v>21</v>
      </c>
      <c r="E2309" s="7" t="s">
        <v>22</v>
      </c>
      <c r="F2309" s="7" t="s">
        <v>23</v>
      </c>
      <c r="G2309" s="7" t="s">
        <v>24</v>
      </c>
      <c r="H2309" s="7" t="s">
        <v>25</v>
      </c>
      <c r="I2309" s="7" t="s">
        <v>35</v>
      </c>
      <c r="J2309" s="7">
        <v>322</v>
      </c>
      <c r="K2309" s="7">
        <v>460.46000000000004</v>
      </c>
    </row>
    <row r="2310" spans="1:11" ht="18" customHeight="1" x14ac:dyDescent="0.25">
      <c r="A2310" s="7" t="s">
        <v>34</v>
      </c>
      <c r="B2310" s="7">
        <v>2023</v>
      </c>
      <c r="C2310" s="7" t="s">
        <v>65</v>
      </c>
      <c r="D2310" s="7" t="s">
        <v>21</v>
      </c>
      <c r="E2310" s="7" t="s">
        <v>22</v>
      </c>
      <c r="F2310" s="7" t="s">
        <v>23</v>
      </c>
      <c r="G2310" s="7" t="s">
        <v>24</v>
      </c>
      <c r="H2310" s="7" t="s">
        <v>25</v>
      </c>
      <c r="I2310" s="7" t="s">
        <v>35</v>
      </c>
      <c r="J2310" s="7">
        <v>292</v>
      </c>
      <c r="K2310" s="7">
        <v>417.56</v>
      </c>
    </row>
    <row r="2311" spans="1:11" ht="18" customHeight="1" x14ac:dyDescent="0.25">
      <c r="A2311" s="7" t="s">
        <v>34</v>
      </c>
      <c r="B2311" s="7">
        <v>2023</v>
      </c>
      <c r="C2311" s="7" t="s">
        <v>65</v>
      </c>
      <c r="D2311" s="7" t="s">
        <v>21</v>
      </c>
      <c r="E2311" s="7" t="s">
        <v>22</v>
      </c>
      <c r="F2311" s="7" t="s">
        <v>23</v>
      </c>
      <c r="G2311" s="7" t="s">
        <v>24</v>
      </c>
      <c r="H2311" s="7" t="s">
        <v>25</v>
      </c>
      <c r="I2311" s="7" t="s">
        <v>35</v>
      </c>
      <c r="J2311" s="7">
        <v>749</v>
      </c>
      <c r="K2311" s="7">
        <v>1071.07</v>
      </c>
    </row>
    <row r="2312" spans="1:11" ht="18" customHeight="1" x14ac:dyDescent="0.25">
      <c r="A2312" s="7" t="s">
        <v>34</v>
      </c>
      <c r="B2312" s="7">
        <v>2023</v>
      </c>
      <c r="C2312" s="7" t="s">
        <v>65</v>
      </c>
      <c r="D2312" s="7" t="s">
        <v>21</v>
      </c>
      <c r="E2312" s="7" t="s">
        <v>22</v>
      </c>
      <c r="F2312" s="7" t="s">
        <v>23</v>
      </c>
      <c r="G2312" s="7" t="s">
        <v>24</v>
      </c>
      <c r="H2312" s="7" t="s">
        <v>25</v>
      </c>
      <c r="I2312" s="7" t="s">
        <v>35</v>
      </c>
      <c r="J2312" s="7">
        <v>321</v>
      </c>
      <c r="K2312" s="7">
        <v>459.03</v>
      </c>
    </row>
    <row r="2313" spans="1:11" ht="18" customHeight="1" x14ac:dyDescent="0.25">
      <c r="A2313" s="7" t="s">
        <v>34</v>
      </c>
      <c r="B2313" s="7">
        <v>2023</v>
      </c>
      <c r="C2313" s="7" t="s">
        <v>65</v>
      </c>
      <c r="D2313" s="7" t="s">
        <v>21</v>
      </c>
      <c r="E2313" s="7" t="s">
        <v>22</v>
      </c>
      <c r="F2313" s="7" t="s">
        <v>23</v>
      </c>
      <c r="G2313" s="7" t="s">
        <v>24</v>
      </c>
      <c r="H2313" s="7" t="s">
        <v>25</v>
      </c>
      <c r="I2313" s="7" t="s">
        <v>35</v>
      </c>
      <c r="J2313" s="7">
        <v>319</v>
      </c>
      <c r="K2313" s="7">
        <v>456.16999999999996</v>
      </c>
    </row>
    <row r="2314" spans="1:11" ht="18" customHeight="1" x14ac:dyDescent="0.25">
      <c r="A2314" s="7" t="s">
        <v>34</v>
      </c>
      <c r="B2314" s="7">
        <v>2023</v>
      </c>
      <c r="C2314" s="7" t="s">
        <v>65</v>
      </c>
      <c r="D2314" s="7" t="s">
        <v>21</v>
      </c>
      <c r="E2314" s="7" t="s">
        <v>22</v>
      </c>
      <c r="F2314" s="7" t="s">
        <v>23</v>
      </c>
      <c r="G2314" s="7" t="s">
        <v>24</v>
      </c>
      <c r="H2314" s="7" t="s">
        <v>25</v>
      </c>
      <c r="I2314" s="7" t="s">
        <v>35</v>
      </c>
      <c r="J2314" s="7">
        <v>295</v>
      </c>
      <c r="K2314" s="7">
        <v>421.85</v>
      </c>
    </row>
    <row r="2315" spans="1:11" ht="18" customHeight="1" x14ac:dyDescent="0.25">
      <c r="A2315" s="7" t="s">
        <v>19</v>
      </c>
      <c r="B2315" s="7">
        <v>2023</v>
      </c>
      <c r="C2315" s="7" t="s">
        <v>65</v>
      </c>
      <c r="D2315" s="7" t="s">
        <v>21</v>
      </c>
      <c r="E2315" s="7" t="s">
        <v>22</v>
      </c>
      <c r="F2315" s="7" t="s">
        <v>23</v>
      </c>
      <c r="G2315" s="7" t="s">
        <v>24</v>
      </c>
      <c r="H2315" s="7" t="s">
        <v>25</v>
      </c>
      <c r="I2315" s="7" t="s">
        <v>35</v>
      </c>
      <c r="J2315" s="7">
        <v>323</v>
      </c>
      <c r="K2315" s="7">
        <v>461.89</v>
      </c>
    </row>
    <row r="2316" spans="1:11" ht="18" customHeight="1" x14ac:dyDescent="0.25">
      <c r="A2316" s="7" t="s">
        <v>53</v>
      </c>
      <c r="B2316" s="7">
        <v>2023</v>
      </c>
      <c r="C2316" s="7" t="s">
        <v>65</v>
      </c>
      <c r="D2316" s="7" t="s">
        <v>21</v>
      </c>
      <c r="E2316" s="7" t="s">
        <v>22</v>
      </c>
      <c r="F2316" s="7" t="s">
        <v>23</v>
      </c>
      <c r="G2316" s="7" t="s">
        <v>24</v>
      </c>
      <c r="H2316" s="7" t="s">
        <v>25</v>
      </c>
      <c r="I2316" s="7" t="s">
        <v>35</v>
      </c>
      <c r="J2316" s="7">
        <v>758</v>
      </c>
      <c r="K2316" s="7">
        <v>1083.94</v>
      </c>
    </row>
    <row r="2317" spans="1:11" ht="18" customHeight="1" x14ac:dyDescent="0.25">
      <c r="A2317" s="7" t="s">
        <v>61</v>
      </c>
      <c r="B2317" s="7">
        <v>2023</v>
      </c>
      <c r="C2317" s="7" t="s">
        <v>59</v>
      </c>
      <c r="D2317" s="7" t="s">
        <v>21</v>
      </c>
      <c r="E2317" s="7" t="s">
        <v>22</v>
      </c>
      <c r="F2317" s="7" t="s">
        <v>23</v>
      </c>
      <c r="G2317" s="7" t="s">
        <v>24</v>
      </c>
      <c r="H2317" s="7" t="s">
        <v>25</v>
      </c>
      <c r="I2317" s="7" t="s">
        <v>35</v>
      </c>
      <c r="J2317" s="7">
        <v>128</v>
      </c>
      <c r="K2317" s="7">
        <v>195.84</v>
      </c>
    </row>
    <row r="2318" spans="1:11" ht="18" customHeight="1" x14ac:dyDescent="0.25">
      <c r="A2318" s="7" t="s">
        <v>19</v>
      </c>
      <c r="B2318" s="7">
        <v>2023</v>
      </c>
      <c r="C2318" s="7" t="s">
        <v>59</v>
      </c>
      <c r="D2318" s="7" t="s">
        <v>21</v>
      </c>
      <c r="E2318" s="7" t="s">
        <v>22</v>
      </c>
      <c r="F2318" s="7" t="s">
        <v>23</v>
      </c>
      <c r="G2318" s="7" t="s">
        <v>24</v>
      </c>
      <c r="H2318" s="7" t="s">
        <v>25</v>
      </c>
      <c r="I2318" s="7" t="s">
        <v>35</v>
      </c>
      <c r="J2318" s="7">
        <v>302</v>
      </c>
      <c r="K2318" s="7">
        <v>431.86</v>
      </c>
    </row>
    <row r="2319" spans="1:11" ht="18" customHeight="1" x14ac:dyDescent="0.25">
      <c r="A2319" s="7" t="s">
        <v>19</v>
      </c>
      <c r="B2319" s="7">
        <v>2023</v>
      </c>
      <c r="C2319" s="7" t="s">
        <v>59</v>
      </c>
      <c r="D2319" s="7" t="s">
        <v>21</v>
      </c>
      <c r="E2319" s="7" t="s">
        <v>22</v>
      </c>
      <c r="F2319" s="7" t="s">
        <v>23</v>
      </c>
      <c r="G2319" s="7" t="s">
        <v>24</v>
      </c>
      <c r="H2319" s="7" t="s">
        <v>25</v>
      </c>
      <c r="I2319" s="7" t="s">
        <v>35</v>
      </c>
      <c r="J2319" s="7">
        <v>130</v>
      </c>
      <c r="K2319" s="7">
        <v>185.9</v>
      </c>
    </row>
    <row r="2320" spans="1:11" ht="18" customHeight="1" x14ac:dyDescent="0.25">
      <c r="A2320" s="7" t="s">
        <v>19</v>
      </c>
      <c r="B2320" s="7">
        <v>2023</v>
      </c>
      <c r="C2320" s="7" t="s">
        <v>59</v>
      </c>
      <c r="D2320" s="7" t="s">
        <v>21</v>
      </c>
      <c r="E2320" s="7" t="s">
        <v>22</v>
      </c>
      <c r="F2320" s="7" t="s">
        <v>23</v>
      </c>
      <c r="G2320" s="7" t="s">
        <v>24</v>
      </c>
      <c r="H2320" s="7" t="s">
        <v>25</v>
      </c>
      <c r="I2320" s="7" t="s">
        <v>35</v>
      </c>
      <c r="J2320" s="7">
        <v>346</v>
      </c>
      <c r="K2320" s="7">
        <v>494.78</v>
      </c>
    </row>
    <row r="2321" spans="1:11" ht="18" customHeight="1" x14ac:dyDescent="0.25">
      <c r="A2321" s="7" t="s">
        <v>34</v>
      </c>
      <c r="B2321" s="7">
        <v>2023</v>
      </c>
      <c r="C2321" s="7" t="s">
        <v>59</v>
      </c>
      <c r="D2321" s="7" t="s">
        <v>21</v>
      </c>
      <c r="E2321" s="7" t="s">
        <v>22</v>
      </c>
      <c r="F2321" s="7" t="s">
        <v>23</v>
      </c>
      <c r="G2321" s="7" t="s">
        <v>24</v>
      </c>
      <c r="H2321" s="7" t="s">
        <v>25</v>
      </c>
      <c r="I2321" s="7" t="s">
        <v>35</v>
      </c>
      <c r="J2321" s="7">
        <v>372</v>
      </c>
      <c r="K2321" s="7">
        <v>531.96</v>
      </c>
    </row>
    <row r="2322" spans="1:11" ht="18" customHeight="1" x14ac:dyDescent="0.25">
      <c r="A2322" s="7" t="s">
        <v>42</v>
      </c>
      <c r="B2322" s="7">
        <v>2023</v>
      </c>
      <c r="C2322" s="7" t="s">
        <v>59</v>
      </c>
      <c r="D2322" s="7" t="s">
        <v>21</v>
      </c>
      <c r="E2322" s="7" t="s">
        <v>22</v>
      </c>
      <c r="F2322" s="7" t="s">
        <v>23</v>
      </c>
      <c r="G2322" s="7" t="s">
        <v>24</v>
      </c>
      <c r="H2322" s="7" t="s">
        <v>25</v>
      </c>
      <c r="I2322" s="7" t="s">
        <v>35</v>
      </c>
      <c r="J2322" s="7">
        <v>740</v>
      </c>
      <c r="K2322" s="7">
        <v>1058.2</v>
      </c>
    </row>
    <row r="2323" spans="1:11" ht="18" customHeight="1" x14ac:dyDescent="0.25">
      <c r="A2323" s="7" t="s">
        <v>42</v>
      </c>
      <c r="B2323" s="7">
        <v>2023</v>
      </c>
      <c r="C2323" s="7" t="s">
        <v>59</v>
      </c>
      <c r="D2323" s="7" t="s">
        <v>21</v>
      </c>
      <c r="E2323" s="7" t="s">
        <v>22</v>
      </c>
      <c r="F2323" s="7" t="s">
        <v>23</v>
      </c>
      <c r="G2323" s="7" t="s">
        <v>24</v>
      </c>
      <c r="H2323" s="7" t="s">
        <v>25</v>
      </c>
      <c r="I2323" s="7" t="s">
        <v>35</v>
      </c>
      <c r="J2323" s="7">
        <v>129</v>
      </c>
      <c r="K2323" s="7">
        <v>184.47</v>
      </c>
    </row>
    <row r="2324" spans="1:11" ht="18" customHeight="1" x14ac:dyDescent="0.25">
      <c r="A2324" s="7" t="s">
        <v>34</v>
      </c>
      <c r="B2324" s="7">
        <v>2023</v>
      </c>
      <c r="C2324" s="7" t="s">
        <v>59</v>
      </c>
      <c r="D2324" s="7" t="s">
        <v>21</v>
      </c>
      <c r="E2324" s="7" t="s">
        <v>22</v>
      </c>
      <c r="F2324" s="7" t="s">
        <v>23</v>
      </c>
      <c r="G2324" s="7" t="s">
        <v>24</v>
      </c>
      <c r="H2324" s="7" t="s">
        <v>25</v>
      </c>
      <c r="I2324" s="7" t="s">
        <v>35</v>
      </c>
      <c r="J2324" s="7">
        <v>746</v>
      </c>
      <c r="K2324" s="7">
        <v>526.24</v>
      </c>
    </row>
    <row r="2325" spans="1:11" ht="18" customHeight="1" x14ac:dyDescent="0.25">
      <c r="A2325" s="7" t="s">
        <v>34</v>
      </c>
      <c r="B2325" s="7">
        <v>2023</v>
      </c>
      <c r="C2325" s="7" t="s">
        <v>59</v>
      </c>
      <c r="D2325" s="7" t="s">
        <v>21</v>
      </c>
      <c r="E2325" s="7" t="s">
        <v>22</v>
      </c>
      <c r="F2325" s="7" t="s">
        <v>23</v>
      </c>
      <c r="G2325" s="7" t="s">
        <v>24</v>
      </c>
      <c r="H2325" s="7" t="s">
        <v>25</v>
      </c>
      <c r="I2325" s="7" t="s">
        <v>35</v>
      </c>
      <c r="J2325" s="7">
        <v>780</v>
      </c>
      <c r="K2325" s="7">
        <v>526.24</v>
      </c>
    </row>
    <row r="2326" spans="1:11" ht="18" customHeight="1" x14ac:dyDescent="0.25">
      <c r="A2326" s="7" t="s">
        <v>19</v>
      </c>
      <c r="B2326" s="7">
        <v>2023</v>
      </c>
      <c r="C2326" s="7" t="s">
        <v>59</v>
      </c>
      <c r="D2326" s="7" t="s">
        <v>21</v>
      </c>
      <c r="E2326" s="7" t="s">
        <v>22</v>
      </c>
      <c r="F2326" s="7" t="s">
        <v>23</v>
      </c>
      <c r="G2326" s="7" t="s">
        <v>24</v>
      </c>
      <c r="H2326" s="7" t="s">
        <v>25</v>
      </c>
      <c r="I2326" s="7" t="s">
        <v>35</v>
      </c>
      <c r="J2326" s="7">
        <v>127</v>
      </c>
      <c r="K2326" s="7">
        <v>181.61</v>
      </c>
    </row>
    <row r="2327" spans="1:11" ht="18" customHeight="1" x14ac:dyDescent="0.25">
      <c r="A2327" s="7" t="s">
        <v>34</v>
      </c>
      <c r="B2327" s="7">
        <v>2023</v>
      </c>
      <c r="C2327" s="7" t="s">
        <v>59</v>
      </c>
      <c r="D2327" s="7" t="s">
        <v>21</v>
      </c>
      <c r="E2327" s="7" t="s">
        <v>22</v>
      </c>
      <c r="F2327" s="7" t="s">
        <v>23</v>
      </c>
      <c r="G2327" s="7" t="s">
        <v>24</v>
      </c>
      <c r="H2327" s="7" t="s">
        <v>25</v>
      </c>
      <c r="I2327" s="7" t="s">
        <v>35</v>
      </c>
      <c r="J2327" s="7">
        <v>301</v>
      </c>
      <c r="K2327" s="7">
        <v>430.43</v>
      </c>
    </row>
    <row r="2328" spans="1:11" ht="18" customHeight="1" x14ac:dyDescent="0.25">
      <c r="A2328" s="7" t="s">
        <v>19</v>
      </c>
      <c r="B2328" s="7">
        <v>2023</v>
      </c>
      <c r="C2328" s="7" t="s">
        <v>59</v>
      </c>
      <c r="D2328" s="7" t="s">
        <v>21</v>
      </c>
      <c r="E2328" s="7" t="s">
        <v>22</v>
      </c>
      <c r="F2328" s="7" t="s">
        <v>23</v>
      </c>
      <c r="G2328" s="7" t="s">
        <v>24</v>
      </c>
      <c r="H2328" s="7" t="s">
        <v>25</v>
      </c>
      <c r="I2328" s="7" t="s">
        <v>35</v>
      </c>
      <c r="J2328" s="7">
        <v>349</v>
      </c>
      <c r="K2328" s="7">
        <v>499.07</v>
      </c>
    </row>
    <row r="2329" spans="1:11" ht="18" customHeight="1" x14ac:dyDescent="0.25">
      <c r="A2329" s="7" t="s">
        <v>61</v>
      </c>
      <c r="B2329" s="7">
        <v>2023</v>
      </c>
      <c r="C2329" s="7" t="s">
        <v>59</v>
      </c>
      <c r="D2329" s="7" t="s">
        <v>21</v>
      </c>
      <c r="E2329" s="7" t="s">
        <v>22</v>
      </c>
      <c r="F2329" s="7" t="s">
        <v>23</v>
      </c>
      <c r="G2329" s="7" t="s">
        <v>24</v>
      </c>
      <c r="H2329" s="7" t="s">
        <v>25</v>
      </c>
      <c r="I2329" s="7" t="s">
        <v>35</v>
      </c>
      <c r="J2329" s="7">
        <v>749</v>
      </c>
      <c r="K2329" s="7">
        <v>1071.07</v>
      </c>
    </row>
    <row r="2330" spans="1:11" ht="18" customHeight="1" x14ac:dyDescent="0.25">
      <c r="A2330" s="7" t="s">
        <v>42</v>
      </c>
      <c r="B2330" s="7">
        <v>2023</v>
      </c>
      <c r="C2330" s="7" t="s">
        <v>27</v>
      </c>
      <c r="D2330" s="7" t="s">
        <v>21</v>
      </c>
      <c r="E2330" s="7" t="s">
        <v>22</v>
      </c>
      <c r="F2330" s="7" t="s">
        <v>23</v>
      </c>
      <c r="G2330" s="7" t="s">
        <v>24</v>
      </c>
      <c r="H2330" s="7" t="s">
        <v>25</v>
      </c>
      <c r="I2330" s="7" t="s">
        <v>35</v>
      </c>
      <c r="J2330" s="7">
        <v>134</v>
      </c>
      <c r="K2330" s="7">
        <v>191.62</v>
      </c>
    </row>
    <row r="2331" spans="1:11" ht="18" customHeight="1" x14ac:dyDescent="0.25">
      <c r="A2331" s="7" t="s">
        <v>34</v>
      </c>
      <c r="B2331" s="7">
        <v>2023</v>
      </c>
      <c r="C2331" s="7" t="s">
        <v>27</v>
      </c>
      <c r="D2331" s="7" t="s">
        <v>21</v>
      </c>
      <c r="E2331" s="7" t="s">
        <v>22</v>
      </c>
      <c r="F2331" s="7" t="s">
        <v>23</v>
      </c>
      <c r="G2331" s="7" t="s">
        <v>24</v>
      </c>
      <c r="H2331" s="7" t="s">
        <v>25</v>
      </c>
      <c r="I2331" s="7" t="s">
        <v>35</v>
      </c>
      <c r="J2331" s="7">
        <v>308</v>
      </c>
      <c r="K2331" s="7">
        <v>440.44</v>
      </c>
    </row>
    <row r="2332" spans="1:11" ht="18" customHeight="1" x14ac:dyDescent="0.25">
      <c r="A2332" s="7" t="s">
        <v>19</v>
      </c>
      <c r="B2332" s="7">
        <v>2023</v>
      </c>
      <c r="C2332" s="7" t="s">
        <v>27</v>
      </c>
      <c r="D2332" s="7" t="s">
        <v>21</v>
      </c>
      <c r="E2332" s="7" t="s">
        <v>22</v>
      </c>
      <c r="F2332" s="7" t="s">
        <v>23</v>
      </c>
      <c r="G2332" s="7" t="s">
        <v>24</v>
      </c>
      <c r="H2332" s="7" t="s">
        <v>25</v>
      </c>
      <c r="I2332" s="7" t="s">
        <v>35</v>
      </c>
      <c r="J2332" s="7">
        <v>350</v>
      </c>
      <c r="K2332" s="7">
        <v>500.5</v>
      </c>
    </row>
    <row r="2333" spans="1:11" ht="18" customHeight="1" x14ac:dyDescent="0.25">
      <c r="A2333" s="7" t="s">
        <v>19</v>
      </c>
      <c r="B2333" s="7">
        <v>2023</v>
      </c>
      <c r="C2333" s="7" t="s">
        <v>27</v>
      </c>
      <c r="D2333" s="7" t="s">
        <v>21</v>
      </c>
      <c r="E2333" s="7" t="s">
        <v>22</v>
      </c>
      <c r="F2333" s="7" t="s">
        <v>23</v>
      </c>
      <c r="G2333" s="7" t="s">
        <v>24</v>
      </c>
      <c r="H2333" s="7" t="s">
        <v>25</v>
      </c>
      <c r="I2333" s="7" t="s">
        <v>35</v>
      </c>
      <c r="J2333" s="7">
        <v>136</v>
      </c>
      <c r="K2333" s="7">
        <v>194.48</v>
      </c>
    </row>
    <row r="2334" spans="1:11" ht="18" customHeight="1" x14ac:dyDescent="0.25">
      <c r="A2334" s="7" t="s">
        <v>61</v>
      </c>
      <c r="B2334" s="7">
        <v>2023</v>
      </c>
      <c r="C2334" s="7" t="s">
        <v>27</v>
      </c>
      <c r="D2334" s="7" t="s">
        <v>21</v>
      </c>
      <c r="E2334" s="7" t="s">
        <v>22</v>
      </c>
      <c r="F2334" s="7" t="s">
        <v>23</v>
      </c>
      <c r="G2334" s="7" t="s">
        <v>24</v>
      </c>
      <c r="H2334" s="7" t="s">
        <v>25</v>
      </c>
      <c r="I2334" s="7" t="s">
        <v>35</v>
      </c>
      <c r="J2334" s="7">
        <v>304</v>
      </c>
      <c r="K2334" s="7">
        <v>434.72</v>
      </c>
    </row>
    <row r="2335" spans="1:11" ht="18" customHeight="1" x14ac:dyDescent="0.25">
      <c r="A2335" s="7" t="s">
        <v>19</v>
      </c>
      <c r="B2335" s="7">
        <v>2023</v>
      </c>
      <c r="C2335" s="7" t="s">
        <v>27</v>
      </c>
      <c r="D2335" s="7" t="s">
        <v>21</v>
      </c>
      <c r="E2335" s="7" t="s">
        <v>22</v>
      </c>
      <c r="F2335" s="7" t="s">
        <v>23</v>
      </c>
      <c r="G2335" s="7" t="s">
        <v>24</v>
      </c>
      <c r="H2335" s="7" t="s">
        <v>25</v>
      </c>
      <c r="I2335" s="7" t="s">
        <v>35</v>
      </c>
      <c r="J2335" s="7">
        <v>352</v>
      </c>
      <c r="K2335" s="7">
        <v>503.36</v>
      </c>
    </row>
    <row r="2336" spans="1:11" ht="18" customHeight="1" x14ac:dyDescent="0.25">
      <c r="A2336" s="7" t="s">
        <v>19</v>
      </c>
      <c r="B2336" s="7">
        <v>2023</v>
      </c>
      <c r="C2336" s="7" t="s">
        <v>27</v>
      </c>
      <c r="D2336" s="7" t="s">
        <v>21</v>
      </c>
      <c r="E2336" s="7" t="s">
        <v>22</v>
      </c>
      <c r="F2336" s="7" t="s">
        <v>23</v>
      </c>
      <c r="G2336" s="7" t="s">
        <v>24</v>
      </c>
      <c r="H2336" s="7" t="s">
        <v>25</v>
      </c>
      <c r="I2336" s="7" t="s">
        <v>35</v>
      </c>
      <c r="J2336" s="7">
        <v>132</v>
      </c>
      <c r="K2336" s="7">
        <v>188.76</v>
      </c>
    </row>
    <row r="2337" spans="1:11" ht="18" customHeight="1" x14ac:dyDescent="0.25">
      <c r="A2337" s="7" t="s">
        <v>34</v>
      </c>
      <c r="B2337" s="7">
        <v>2023</v>
      </c>
      <c r="C2337" s="7" t="s">
        <v>27</v>
      </c>
      <c r="D2337" s="7" t="s">
        <v>21</v>
      </c>
      <c r="E2337" s="7" t="s">
        <v>22</v>
      </c>
      <c r="F2337" s="7" t="s">
        <v>23</v>
      </c>
      <c r="G2337" s="7" t="s">
        <v>24</v>
      </c>
      <c r="H2337" s="7" t="s">
        <v>25</v>
      </c>
      <c r="I2337" s="7" t="s">
        <v>35</v>
      </c>
      <c r="J2337" s="7">
        <v>706</v>
      </c>
      <c r="K2337" s="7">
        <v>1009.5799999999999</v>
      </c>
    </row>
    <row r="2338" spans="1:11" ht="18" customHeight="1" x14ac:dyDescent="0.25">
      <c r="A2338" s="7" t="s">
        <v>19</v>
      </c>
      <c r="B2338" s="7">
        <v>2023</v>
      </c>
      <c r="C2338" s="7" t="s">
        <v>27</v>
      </c>
      <c r="D2338" s="7" t="s">
        <v>21</v>
      </c>
      <c r="E2338" s="7" t="s">
        <v>22</v>
      </c>
      <c r="F2338" s="7" t="s">
        <v>23</v>
      </c>
      <c r="G2338" s="7" t="s">
        <v>24</v>
      </c>
      <c r="H2338" s="7" t="s">
        <v>25</v>
      </c>
      <c r="I2338" s="7" t="s">
        <v>35</v>
      </c>
      <c r="J2338" s="7">
        <v>739</v>
      </c>
      <c r="K2338" s="7">
        <v>1056.77</v>
      </c>
    </row>
    <row r="2339" spans="1:11" ht="18" customHeight="1" x14ac:dyDescent="0.25">
      <c r="A2339" s="7" t="s">
        <v>19</v>
      </c>
      <c r="B2339" s="7">
        <v>2023</v>
      </c>
      <c r="C2339" s="7" t="s">
        <v>27</v>
      </c>
      <c r="D2339" s="7" t="s">
        <v>21</v>
      </c>
      <c r="E2339" s="7" t="s">
        <v>22</v>
      </c>
      <c r="F2339" s="7" t="s">
        <v>23</v>
      </c>
      <c r="G2339" s="7" t="s">
        <v>24</v>
      </c>
      <c r="H2339" s="7" t="s">
        <v>25</v>
      </c>
      <c r="I2339" s="7" t="s">
        <v>35</v>
      </c>
      <c r="J2339" s="7">
        <v>135</v>
      </c>
      <c r="K2339" s="7">
        <v>193.05</v>
      </c>
    </row>
    <row r="2340" spans="1:11" ht="18" customHeight="1" x14ac:dyDescent="0.25">
      <c r="A2340" s="7" t="s">
        <v>19</v>
      </c>
      <c r="B2340" s="7">
        <v>2023</v>
      </c>
      <c r="C2340" s="7" t="s">
        <v>27</v>
      </c>
      <c r="D2340" s="7" t="s">
        <v>21</v>
      </c>
      <c r="E2340" s="7" t="s">
        <v>22</v>
      </c>
      <c r="F2340" s="7" t="s">
        <v>23</v>
      </c>
      <c r="G2340" s="7" t="s">
        <v>24</v>
      </c>
      <c r="H2340" s="7" t="s">
        <v>25</v>
      </c>
      <c r="I2340" s="7" t="s">
        <v>35</v>
      </c>
      <c r="J2340" s="7">
        <v>779</v>
      </c>
      <c r="K2340" s="7">
        <v>526.24</v>
      </c>
    </row>
    <row r="2341" spans="1:11" ht="18" customHeight="1" x14ac:dyDescent="0.25">
      <c r="A2341" s="7" t="s">
        <v>19</v>
      </c>
      <c r="B2341" s="7">
        <v>2023</v>
      </c>
      <c r="C2341" s="7" t="s">
        <v>27</v>
      </c>
      <c r="D2341" s="7" t="s">
        <v>21</v>
      </c>
      <c r="E2341" s="7" t="s">
        <v>22</v>
      </c>
      <c r="F2341" s="7" t="s">
        <v>23</v>
      </c>
      <c r="G2341" s="7" t="s">
        <v>24</v>
      </c>
      <c r="H2341" s="7" t="s">
        <v>25</v>
      </c>
      <c r="I2341" s="7" t="s">
        <v>35</v>
      </c>
      <c r="J2341" s="7">
        <v>133</v>
      </c>
      <c r="K2341" s="7">
        <v>190.19</v>
      </c>
    </row>
    <row r="2342" spans="1:11" ht="18" customHeight="1" x14ac:dyDescent="0.25">
      <c r="A2342" s="7" t="s">
        <v>42</v>
      </c>
      <c r="B2342" s="7">
        <v>2023</v>
      </c>
      <c r="C2342" s="7" t="s">
        <v>27</v>
      </c>
      <c r="D2342" s="7" t="s">
        <v>21</v>
      </c>
      <c r="E2342" s="7" t="s">
        <v>22</v>
      </c>
      <c r="F2342" s="7" t="s">
        <v>23</v>
      </c>
      <c r="G2342" s="7" t="s">
        <v>24</v>
      </c>
      <c r="H2342" s="7" t="s">
        <v>25</v>
      </c>
      <c r="I2342" s="7" t="s">
        <v>35</v>
      </c>
      <c r="J2342" s="7">
        <v>307</v>
      </c>
      <c r="K2342" s="7">
        <v>439.01</v>
      </c>
    </row>
    <row r="2343" spans="1:11" ht="18" customHeight="1" x14ac:dyDescent="0.25">
      <c r="A2343" s="7" t="s">
        <v>19</v>
      </c>
      <c r="B2343" s="7">
        <v>2023</v>
      </c>
      <c r="C2343" s="7" t="s">
        <v>27</v>
      </c>
      <c r="D2343" s="7" t="s">
        <v>21</v>
      </c>
      <c r="E2343" s="7" t="s">
        <v>22</v>
      </c>
      <c r="F2343" s="7" t="s">
        <v>23</v>
      </c>
      <c r="G2343" s="7" t="s">
        <v>24</v>
      </c>
      <c r="H2343" s="7" t="s">
        <v>25</v>
      </c>
      <c r="I2343" s="7" t="s">
        <v>35</v>
      </c>
      <c r="J2343" s="7">
        <v>355</v>
      </c>
      <c r="K2343" s="7">
        <v>507.65</v>
      </c>
    </row>
    <row r="2344" spans="1:11" ht="18" customHeight="1" x14ac:dyDescent="0.25">
      <c r="A2344" s="7" t="s">
        <v>19</v>
      </c>
      <c r="B2344" s="7">
        <v>2023</v>
      </c>
      <c r="C2344" s="7" t="s">
        <v>27</v>
      </c>
      <c r="D2344" s="7" t="s">
        <v>21</v>
      </c>
      <c r="E2344" s="7" t="s">
        <v>22</v>
      </c>
      <c r="F2344" s="7" t="s">
        <v>23</v>
      </c>
      <c r="G2344" s="7" t="s">
        <v>24</v>
      </c>
      <c r="H2344" s="7" t="s">
        <v>25</v>
      </c>
      <c r="I2344" s="7" t="s">
        <v>35</v>
      </c>
      <c r="J2344" s="7">
        <v>131</v>
      </c>
      <c r="K2344" s="7">
        <v>187.32999999999998</v>
      </c>
    </row>
    <row r="2345" spans="1:11" ht="18" customHeight="1" x14ac:dyDescent="0.25">
      <c r="A2345" s="7" t="s">
        <v>34</v>
      </c>
      <c r="B2345" s="7">
        <v>2023</v>
      </c>
      <c r="C2345" s="7" t="s">
        <v>27</v>
      </c>
      <c r="D2345" s="7" t="s">
        <v>21</v>
      </c>
      <c r="E2345" s="7" t="s">
        <v>22</v>
      </c>
      <c r="F2345" s="7" t="s">
        <v>23</v>
      </c>
      <c r="G2345" s="7" t="s">
        <v>24</v>
      </c>
      <c r="H2345" s="7" t="s">
        <v>25</v>
      </c>
      <c r="I2345" s="7" t="s">
        <v>35</v>
      </c>
      <c r="J2345" s="7">
        <v>305</v>
      </c>
      <c r="K2345" s="7">
        <v>436.15</v>
      </c>
    </row>
    <row r="2346" spans="1:11" ht="18" customHeight="1" x14ac:dyDescent="0.25">
      <c r="A2346" s="7" t="s">
        <v>42</v>
      </c>
      <c r="B2346" s="7">
        <v>2023</v>
      </c>
      <c r="C2346" s="7" t="s">
        <v>27</v>
      </c>
      <c r="D2346" s="7" t="s">
        <v>21</v>
      </c>
      <c r="E2346" s="7" t="s">
        <v>22</v>
      </c>
      <c r="F2346" s="7" t="s">
        <v>23</v>
      </c>
      <c r="G2346" s="7" t="s">
        <v>24</v>
      </c>
      <c r="H2346" s="7" t="s">
        <v>25</v>
      </c>
      <c r="I2346" s="7" t="s">
        <v>35</v>
      </c>
      <c r="J2346" s="7">
        <v>748</v>
      </c>
      <c r="K2346" s="7">
        <v>1069.6399999999999</v>
      </c>
    </row>
    <row r="2347" spans="1:11" ht="18" customHeight="1" x14ac:dyDescent="0.25">
      <c r="A2347" s="7" t="s">
        <v>19</v>
      </c>
      <c r="B2347" s="7">
        <v>2023</v>
      </c>
      <c r="C2347" s="7" t="s">
        <v>68</v>
      </c>
      <c r="D2347" s="7" t="s">
        <v>21</v>
      </c>
      <c r="E2347" s="7" t="s">
        <v>22</v>
      </c>
      <c r="F2347" s="7" t="s">
        <v>23</v>
      </c>
      <c r="G2347" s="7" t="s">
        <v>24</v>
      </c>
      <c r="H2347" s="7" t="s">
        <v>25</v>
      </c>
      <c r="I2347" s="7" t="s">
        <v>35</v>
      </c>
      <c r="J2347" s="7">
        <v>350</v>
      </c>
      <c r="K2347" s="7">
        <v>535.5</v>
      </c>
    </row>
    <row r="2348" spans="1:11" ht="18" customHeight="1" x14ac:dyDescent="0.25">
      <c r="A2348" s="7" t="s">
        <v>19</v>
      </c>
      <c r="B2348" s="7">
        <v>2023</v>
      </c>
      <c r="C2348" s="7" t="s">
        <v>68</v>
      </c>
      <c r="D2348" s="7" t="s">
        <v>21</v>
      </c>
      <c r="E2348" s="7" t="s">
        <v>22</v>
      </c>
      <c r="F2348" s="7" t="s">
        <v>23</v>
      </c>
      <c r="G2348" s="7" t="s">
        <v>24</v>
      </c>
      <c r="H2348" s="7" t="s">
        <v>25</v>
      </c>
      <c r="I2348" s="7" t="s">
        <v>35</v>
      </c>
      <c r="J2348" s="7">
        <v>320</v>
      </c>
      <c r="K2348" s="7">
        <v>457.6</v>
      </c>
    </row>
    <row r="2349" spans="1:11" ht="18" customHeight="1" x14ac:dyDescent="0.25">
      <c r="A2349" s="7" t="s">
        <v>42</v>
      </c>
      <c r="B2349" s="7">
        <v>2023</v>
      </c>
      <c r="C2349" s="7" t="s">
        <v>68</v>
      </c>
      <c r="D2349" s="7" t="s">
        <v>21</v>
      </c>
      <c r="E2349" s="7" t="s">
        <v>22</v>
      </c>
      <c r="F2349" s="7" t="s">
        <v>23</v>
      </c>
      <c r="G2349" s="7" t="s">
        <v>24</v>
      </c>
      <c r="H2349" s="7" t="s">
        <v>25</v>
      </c>
      <c r="I2349" s="7" t="s">
        <v>35</v>
      </c>
      <c r="J2349" s="7">
        <v>346</v>
      </c>
      <c r="K2349" s="7">
        <v>494.78</v>
      </c>
    </row>
    <row r="2350" spans="1:11" ht="18" customHeight="1" x14ac:dyDescent="0.25">
      <c r="A2350" s="7" t="s">
        <v>53</v>
      </c>
      <c r="B2350" s="7">
        <v>2023</v>
      </c>
      <c r="C2350" s="7" t="s">
        <v>68</v>
      </c>
      <c r="D2350" s="7" t="s">
        <v>21</v>
      </c>
      <c r="E2350" s="7" t="s">
        <v>22</v>
      </c>
      <c r="F2350" s="7" t="s">
        <v>23</v>
      </c>
      <c r="G2350" s="7" t="s">
        <v>24</v>
      </c>
      <c r="H2350" s="7" t="s">
        <v>25</v>
      </c>
      <c r="I2350" s="7" t="s">
        <v>35</v>
      </c>
      <c r="J2350" s="7">
        <v>322</v>
      </c>
      <c r="K2350" s="7">
        <v>460.46000000000004</v>
      </c>
    </row>
    <row r="2351" spans="1:11" ht="18" customHeight="1" x14ac:dyDescent="0.25">
      <c r="A2351" s="7" t="s">
        <v>19</v>
      </c>
      <c r="B2351" s="7">
        <v>2023</v>
      </c>
      <c r="C2351" s="7" t="s">
        <v>68</v>
      </c>
      <c r="D2351" s="7" t="s">
        <v>21</v>
      </c>
      <c r="E2351" s="7" t="s">
        <v>22</v>
      </c>
      <c r="F2351" s="7" t="s">
        <v>23</v>
      </c>
      <c r="G2351" s="7" t="s">
        <v>24</v>
      </c>
      <c r="H2351" s="7" t="s">
        <v>25</v>
      </c>
      <c r="I2351" s="7" t="s">
        <v>35</v>
      </c>
      <c r="J2351" s="7">
        <v>658</v>
      </c>
      <c r="K2351" s="7">
        <v>940.94</v>
      </c>
    </row>
    <row r="2352" spans="1:11" ht="18" customHeight="1" x14ac:dyDescent="0.25">
      <c r="A2352" s="7" t="s">
        <v>42</v>
      </c>
      <c r="B2352" s="7">
        <v>2023</v>
      </c>
      <c r="C2352" s="7" t="s">
        <v>68</v>
      </c>
      <c r="D2352" s="7" t="s">
        <v>21</v>
      </c>
      <c r="E2352" s="7" t="s">
        <v>22</v>
      </c>
      <c r="F2352" s="7" t="s">
        <v>23</v>
      </c>
      <c r="G2352" s="7" t="s">
        <v>24</v>
      </c>
      <c r="H2352" s="7" t="s">
        <v>25</v>
      </c>
      <c r="I2352" s="7" t="s">
        <v>35</v>
      </c>
      <c r="J2352" s="7">
        <v>745</v>
      </c>
      <c r="K2352" s="7">
        <v>1065.3499999999999</v>
      </c>
    </row>
    <row r="2353" spans="1:11" ht="18" customHeight="1" x14ac:dyDescent="0.25">
      <c r="A2353" s="7" t="s">
        <v>42</v>
      </c>
      <c r="B2353" s="7">
        <v>2023</v>
      </c>
      <c r="C2353" s="7" t="s">
        <v>68</v>
      </c>
      <c r="D2353" s="7" t="s">
        <v>21</v>
      </c>
      <c r="E2353" s="7" t="s">
        <v>22</v>
      </c>
      <c r="F2353" s="7" t="s">
        <v>23</v>
      </c>
      <c r="G2353" s="7" t="s">
        <v>24</v>
      </c>
      <c r="H2353" s="7" t="s">
        <v>25</v>
      </c>
      <c r="I2353" s="7" t="s">
        <v>35</v>
      </c>
      <c r="J2353" s="7">
        <v>345</v>
      </c>
      <c r="K2353" s="7">
        <v>493.35</v>
      </c>
    </row>
    <row r="2354" spans="1:11" ht="18" customHeight="1" x14ac:dyDescent="0.25">
      <c r="A2354" s="7" t="s">
        <v>19</v>
      </c>
      <c r="B2354" s="7">
        <v>2023</v>
      </c>
      <c r="C2354" s="7" t="s">
        <v>68</v>
      </c>
      <c r="D2354" s="7" t="s">
        <v>21</v>
      </c>
      <c r="E2354" s="7" t="s">
        <v>22</v>
      </c>
      <c r="F2354" s="7" t="s">
        <v>23</v>
      </c>
      <c r="G2354" s="7" t="s">
        <v>24</v>
      </c>
      <c r="H2354" s="7" t="s">
        <v>25</v>
      </c>
      <c r="I2354" s="7" t="s">
        <v>35</v>
      </c>
      <c r="J2354" s="7">
        <v>784</v>
      </c>
      <c r="K2354" s="7">
        <v>526.24</v>
      </c>
    </row>
    <row r="2355" spans="1:11" ht="18" customHeight="1" x14ac:dyDescent="0.25">
      <c r="A2355" s="7" t="s">
        <v>53</v>
      </c>
      <c r="B2355" s="7">
        <v>2023</v>
      </c>
      <c r="C2355" s="7" t="s">
        <v>68</v>
      </c>
      <c r="D2355" s="7" t="s">
        <v>21</v>
      </c>
      <c r="E2355" s="7" t="s">
        <v>22</v>
      </c>
      <c r="F2355" s="7" t="s">
        <v>23</v>
      </c>
      <c r="G2355" s="7" t="s">
        <v>24</v>
      </c>
      <c r="H2355" s="7" t="s">
        <v>25</v>
      </c>
      <c r="I2355" s="7" t="s">
        <v>35</v>
      </c>
      <c r="J2355" s="7">
        <v>349</v>
      </c>
      <c r="K2355" s="7">
        <v>499.07</v>
      </c>
    </row>
    <row r="2356" spans="1:11" ht="18" customHeight="1" x14ac:dyDescent="0.25">
      <c r="A2356" s="7" t="s">
        <v>42</v>
      </c>
      <c r="B2356" s="7">
        <v>2023</v>
      </c>
      <c r="C2356" s="7" t="s">
        <v>68</v>
      </c>
      <c r="D2356" s="7" t="s">
        <v>21</v>
      </c>
      <c r="E2356" s="7" t="s">
        <v>22</v>
      </c>
      <c r="F2356" s="7" t="s">
        <v>23</v>
      </c>
      <c r="G2356" s="7" t="s">
        <v>24</v>
      </c>
      <c r="H2356" s="7" t="s">
        <v>25</v>
      </c>
      <c r="I2356" s="7" t="s">
        <v>35</v>
      </c>
      <c r="J2356" s="7">
        <v>319</v>
      </c>
      <c r="K2356" s="7">
        <v>456.16999999999996</v>
      </c>
    </row>
    <row r="2357" spans="1:11" ht="18" customHeight="1" x14ac:dyDescent="0.25">
      <c r="A2357" s="7" t="s">
        <v>19</v>
      </c>
      <c r="B2357" s="7">
        <v>2023</v>
      </c>
      <c r="C2357" s="7" t="s">
        <v>68</v>
      </c>
      <c r="D2357" s="7" t="s">
        <v>21</v>
      </c>
      <c r="E2357" s="7" t="s">
        <v>22</v>
      </c>
      <c r="F2357" s="7" t="s">
        <v>23</v>
      </c>
      <c r="G2357" s="7" t="s">
        <v>24</v>
      </c>
      <c r="H2357" s="7" t="s">
        <v>25</v>
      </c>
      <c r="I2357" s="7" t="s">
        <v>35</v>
      </c>
      <c r="J2357" s="7">
        <v>347</v>
      </c>
      <c r="K2357" s="7">
        <v>496.21000000000004</v>
      </c>
    </row>
    <row r="2358" spans="1:11" ht="18" customHeight="1" x14ac:dyDescent="0.25">
      <c r="A2358" s="7" t="s">
        <v>19</v>
      </c>
      <c r="B2358" s="7">
        <v>2023</v>
      </c>
      <c r="C2358" s="7" t="s">
        <v>68</v>
      </c>
      <c r="D2358" s="7" t="s">
        <v>21</v>
      </c>
      <c r="E2358" s="7" t="s">
        <v>22</v>
      </c>
      <c r="F2358" s="7" t="s">
        <v>23</v>
      </c>
      <c r="G2358" s="7" t="s">
        <v>24</v>
      </c>
      <c r="H2358" s="7" t="s">
        <v>25</v>
      </c>
      <c r="I2358" s="7" t="s">
        <v>35</v>
      </c>
      <c r="J2358" s="7">
        <v>753</v>
      </c>
      <c r="K2358" s="7">
        <v>1076.79</v>
      </c>
    </row>
    <row r="2359" spans="1:11" ht="18" customHeight="1" x14ac:dyDescent="0.25">
      <c r="A2359" s="7" t="s">
        <v>19</v>
      </c>
      <c r="B2359" s="7">
        <v>2023</v>
      </c>
      <c r="C2359" s="7" t="s">
        <v>67</v>
      </c>
      <c r="D2359" s="7" t="s">
        <v>21</v>
      </c>
      <c r="E2359" s="7" t="s">
        <v>22</v>
      </c>
      <c r="F2359" s="7" t="s">
        <v>23</v>
      </c>
      <c r="G2359" s="7" t="s">
        <v>24</v>
      </c>
      <c r="H2359" s="7" t="s">
        <v>25</v>
      </c>
      <c r="I2359" s="7" t="s">
        <v>35</v>
      </c>
      <c r="J2359" s="7">
        <v>326</v>
      </c>
      <c r="K2359" s="7">
        <v>466.18</v>
      </c>
    </row>
    <row r="2360" spans="1:11" ht="18" customHeight="1" x14ac:dyDescent="0.25">
      <c r="A2360" s="7" t="s">
        <v>34</v>
      </c>
      <c r="B2360" s="7">
        <v>2023</v>
      </c>
      <c r="C2360" s="7" t="s">
        <v>67</v>
      </c>
      <c r="D2360" s="7" t="s">
        <v>21</v>
      </c>
      <c r="E2360" s="7" t="s">
        <v>22</v>
      </c>
      <c r="F2360" s="7" t="s">
        <v>23</v>
      </c>
      <c r="G2360" s="7" t="s">
        <v>24</v>
      </c>
      <c r="H2360" s="7" t="s">
        <v>25</v>
      </c>
      <c r="I2360" s="7" t="s">
        <v>35</v>
      </c>
      <c r="J2360" s="7">
        <v>352</v>
      </c>
      <c r="K2360" s="7">
        <v>503.36</v>
      </c>
    </row>
    <row r="2361" spans="1:11" ht="18" customHeight="1" x14ac:dyDescent="0.25">
      <c r="A2361" s="7" t="s">
        <v>19</v>
      </c>
      <c r="B2361" s="7">
        <v>2023</v>
      </c>
      <c r="C2361" s="7" t="s">
        <v>67</v>
      </c>
      <c r="D2361" s="7" t="s">
        <v>21</v>
      </c>
      <c r="E2361" s="7" t="s">
        <v>22</v>
      </c>
      <c r="F2361" s="7" t="s">
        <v>23</v>
      </c>
      <c r="G2361" s="7" t="s">
        <v>24</v>
      </c>
      <c r="H2361" s="7" t="s">
        <v>25</v>
      </c>
      <c r="I2361" s="7" t="s">
        <v>35</v>
      </c>
      <c r="J2361" s="7">
        <v>328</v>
      </c>
      <c r="K2361" s="7">
        <v>469.03999999999996</v>
      </c>
    </row>
    <row r="2362" spans="1:11" ht="18" customHeight="1" x14ac:dyDescent="0.25">
      <c r="A2362" s="7" t="s">
        <v>34</v>
      </c>
      <c r="B2362" s="7">
        <v>2023</v>
      </c>
      <c r="C2362" s="7" t="s">
        <v>67</v>
      </c>
      <c r="D2362" s="7" t="s">
        <v>21</v>
      </c>
      <c r="E2362" s="7" t="s">
        <v>22</v>
      </c>
      <c r="F2362" s="7" t="s">
        <v>23</v>
      </c>
      <c r="G2362" s="7" t="s">
        <v>24</v>
      </c>
      <c r="H2362" s="7" t="s">
        <v>25</v>
      </c>
      <c r="I2362" s="7" t="s">
        <v>35</v>
      </c>
      <c r="J2362" s="7">
        <v>657</v>
      </c>
      <c r="K2362" s="7">
        <v>939.51</v>
      </c>
    </row>
    <row r="2363" spans="1:11" ht="18" customHeight="1" x14ac:dyDescent="0.25">
      <c r="A2363" s="7" t="s">
        <v>19</v>
      </c>
      <c r="B2363" s="7">
        <v>2023</v>
      </c>
      <c r="C2363" s="7" t="s">
        <v>67</v>
      </c>
      <c r="D2363" s="7" t="s">
        <v>21</v>
      </c>
      <c r="E2363" s="7" t="s">
        <v>22</v>
      </c>
      <c r="F2363" s="7" t="s">
        <v>23</v>
      </c>
      <c r="G2363" s="7" t="s">
        <v>24</v>
      </c>
      <c r="H2363" s="7" t="s">
        <v>25</v>
      </c>
      <c r="I2363" s="7" t="s">
        <v>35</v>
      </c>
      <c r="J2363" s="7">
        <v>744</v>
      </c>
      <c r="K2363" s="7">
        <v>1063.92</v>
      </c>
    </row>
    <row r="2364" spans="1:11" ht="18" customHeight="1" x14ac:dyDescent="0.25">
      <c r="A2364" s="7" t="s">
        <v>19</v>
      </c>
      <c r="B2364" s="7">
        <v>2023</v>
      </c>
      <c r="C2364" s="7" t="s">
        <v>67</v>
      </c>
      <c r="D2364" s="7" t="s">
        <v>21</v>
      </c>
      <c r="E2364" s="7" t="s">
        <v>22</v>
      </c>
      <c r="F2364" s="7" t="s">
        <v>23</v>
      </c>
      <c r="G2364" s="7" t="s">
        <v>24</v>
      </c>
      <c r="H2364" s="7" t="s">
        <v>25</v>
      </c>
      <c r="I2364" s="7" t="s">
        <v>35</v>
      </c>
      <c r="J2364" s="7">
        <v>351</v>
      </c>
      <c r="K2364" s="7">
        <v>501.93</v>
      </c>
    </row>
    <row r="2365" spans="1:11" ht="18" customHeight="1" x14ac:dyDescent="0.25">
      <c r="A2365" s="7" t="s">
        <v>34</v>
      </c>
      <c r="B2365" s="7">
        <v>2023</v>
      </c>
      <c r="C2365" s="7" t="s">
        <v>67</v>
      </c>
      <c r="D2365" s="7" t="s">
        <v>21</v>
      </c>
      <c r="E2365" s="7" t="s">
        <v>22</v>
      </c>
      <c r="F2365" s="7" t="s">
        <v>23</v>
      </c>
      <c r="G2365" s="7" t="s">
        <v>24</v>
      </c>
      <c r="H2365" s="7" t="s">
        <v>25</v>
      </c>
      <c r="I2365" s="7" t="s">
        <v>35</v>
      </c>
      <c r="J2365" s="7">
        <v>783</v>
      </c>
      <c r="K2365" s="7">
        <v>526.24</v>
      </c>
    </row>
    <row r="2366" spans="1:11" ht="18" customHeight="1" x14ac:dyDescent="0.25">
      <c r="A2366" s="7" t="s">
        <v>19</v>
      </c>
      <c r="B2366" s="7">
        <v>2023</v>
      </c>
      <c r="C2366" s="7" t="s">
        <v>67</v>
      </c>
      <c r="D2366" s="7" t="s">
        <v>21</v>
      </c>
      <c r="E2366" s="7" t="s">
        <v>22</v>
      </c>
      <c r="F2366" s="7" t="s">
        <v>23</v>
      </c>
      <c r="G2366" s="7" t="s">
        <v>24</v>
      </c>
      <c r="H2366" s="7" t="s">
        <v>25</v>
      </c>
      <c r="I2366" s="7" t="s">
        <v>35</v>
      </c>
      <c r="J2366" s="7">
        <v>355</v>
      </c>
      <c r="K2366" s="7">
        <v>507.65</v>
      </c>
    </row>
    <row r="2367" spans="1:11" ht="18" customHeight="1" x14ac:dyDescent="0.25">
      <c r="A2367" s="7" t="s">
        <v>34</v>
      </c>
      <c r="B2367" s="7">
        <v>2023</v>
      </c>
      <c r="C2367" s="7" t="s">
        <v>67</v>
      </c>
      <c r="D2367" s="7" t="s">
        <v>21</v>
      </c>
      <c r="E2367" s="7" t="s">
        <v>22</v>
      </c>
      <c r="F2367" s="7" t="s">
        <v>23</v>
      </c>
      <c r="G2367" s="7" t="s">
        <v>24</v>
      </c>
      <c r="H2367" s="7" t="s">
        <v>25</v>
      </c>
      <c r="I2367" s="7" t="s">
        <v>35</v>
      </c>
      <c r="J2367" s="7">
        <v>325</v>
      </c>
      <c r="K2367" s="7">
        <v>464.75</v>
      </c>
    </row>
    <row r="2368" spans="1:11" ht="18" customHeight="1" x14ac:dyDescent="0.25">
      <c r="A2368" s="7" t="s">
        <v>19</v>
      </c>
      <c r="B2368" s="7">
        <v>2023</v>
      </c>
      <c r="C2368" s="7" t="s">
        <v>67</v>
      </c>
      <c r="D2368" s="7" t="s">
        <v>21</v>
      </c>
      <c r="E2368" s="7" t="s">
        <v>22</v>
      </c>
      <c r="F2368" s="7" t="s">
        <v>23</v>
      </c>
      <c r="G2368" s="7" t="s">
        <v>24</v>
      </c>
      <c r="H2368" s="7" t="s">
        <v>25</v>
      </c>
      <c r="I2368" s="7" t="s">
        <v>35</v>
      </c>
      <c r="J2368" s="7">
        <v>353</v>
      </c>
      <c r="K2368" s="7">
        <v>504.78999999999996</v>
      </c>
    </row>
    <row r="2369" spans="1:11" ht="18" customHeight="1" x14ac:dyDescent="0.25">
      <c r="A2369" s="7" t="s">
        <v>34</v>
      </c>
      <c r="B2369" s="7">
        <v>2023</v>
      </c>
      <c r="C2369" s="7" t="s">
        <v>62</v>
      </c>
      <c r="D2369" s="7" t="s">
        <v>21</v>
      </c>
      <c r="E2369" s="7" t="s">
        <v>22</v>
      </c>
      <c r="F2369" s="7" t="s">
        <v>23</v>
      </c>
      <c r="G2369" s="7" t="s">
        <v>24</v>
      </c>
      <c r="H2369" s="7" t="s">
        <v>25</v>
      </c>
      <c r="I2369" s="7" t="s">
        <v>35</v>
      </c>
      <c r="J2369" s="7">
        <v>368</v>
      </c>
      <c r="K2369" s="7">
        <v>563.04</v>
      </c>
    </row>
    <row r="2370" spans="1:11" ht="18" customHeight="1" x14ac:dyDescent="0.25">
      <c r="A2370" s="7" t="s">
        <v>34</v>
      </c>
      <c r="B2370" s="7">
        <v>2023</v>
      </c>
      <c r="C2370" s="7" t="s">
        <v>62</v>
      </c>
      <c r="D2370" s="7" t="s">
        <v>21</v>
      </c>
      <c r="E2370" s="7" t="s">
        <v>22</v>
      </c>
      <c r="F2370" s="7" t="s">
        <v>23</v>
      </c>
      <c r="G2370" s="7" t="s">
        <v>24</v>
      </c>
      <c r="H2370" s="7" t="s">
        <v>25</v>
      </c>
      <c r="I2370" s="7" t="s">
        <v>35</v>
      </c>
      <c r="J2370" s="7">
        <v>344</v>
      </c>
      <c r="K2370" s="7">
        <v>491.91999999999996</v>
      </c>
    </row>
    <row r="2371" spans="1:11" ht="18" customHeight="1" x14ac:dyDescent="0.25">
      <c r="A2371" s="7" t="s">
        <v>34</v>
      </c>
      <c r="B2371" s="7">
        <v>2023</v>
      </c>
      <c r="C2371" s="7" t="s">
        <v>62</v>
      </c>
      <c r="D2371" s="7" t="s">
        <v>21</v>
      </c>
      <c r="E2371" s="7" t="s">
        <v>22</v>
      </c>
      <c r="F2371" s="7" t="s">
        <v>23</v>
      </c>
      <c r="G2371" s="7" t="s">
        <v>24</v>
      </c>
      <c r="H2371" s="7" t="s">
        <v>25</v>
      </c>
      <c r="I2371" s="7" t="s">
        <v>35</v>
      </c>
      <c r="J2371" s="7">
        <v>370</v>
      </c>
      <c r="K2371" s="7">
        <v>529.1</v>
      </c>
    </row>
    <row r="2372" spans="1:11" ht="18" customHeight="1" x14ac:dyDescent="0.25">
      <c r="A2372" s="7" t="s">
        <v>34</v>
      </c>
      <c r="B2372" s="7">
        <v>2023</v>
      </c>
      <c r="C2372" s="7" t="s">
        <v>62</v>
      </c>
      <c r="D2372" s="7" t="s">
        <v>21</v>
      </c>
      <c r="E2372" s="7" t="s">
        <v>22</v>
      </c>
      <c r="F2372" s="7" t="s">
        <v>23</v>
      </c>
      <c r="G2372" s="7" t="s">
        <v>24</v>
      </c>
      <c r="H2372" s="7" t="s">
        <v>25</v>
      </c>
      <c r="I2372" s="7" t="s">
        <v>35</v>
      </c>
      <c r="J2372" s="7">
        <v>340</v>
      </c>
      <c r="K2372" s="7">
        <v>486.2</v>
      </c>
    </row>
    <row r="2373" spans="1:11" ht="18" customHeight="1" x14ac:dyDescent="0.25">
      <c r="A2373" s="7" t="s">
        <v>19</v>
      </c>
      <c r="B2373" s="7">
        <v>2023</v>
      </c>
      <c r="C2373" s="7" t="s">
        <v>62</v>
      </c>
      <c r="D2373" s="7" t="s">
        <v>21</v>
      </c>
      <c r="E2373" s="7" t="s">
        <v>22</v>
      </c>
      <c r="F2373" s="7" t="s">
        <v>23</v>
      </c>
      <c r="G2373" s="7" t="s">
        <v>24</v>
      </c>
      <c r="H2373" s="7" t="s">
        <v>25</v>
      </c>
      <c r="I2373" s="7" t="s">
        <v>35</v>
      </c>
      <c r="J2373" s="7">
        <v>741</v>
      </c>
      <c r="K2373" s="7">
        <v>1059.6300000000001</v>
      </c>
    </row>
    <row r="2374" spans="1:11" ht="18" customHeight="1" x14ac:dyDescent="0.25">
      <c r="A2374" s="7" t="s">
        <v>19</v>
      </c>
      <c r="B2374" s="7">
        <v>2023</v>
      </c>
      <c r="C2374" s="7" t="s">
        <v>62</v>
      </c>
      <c r="D2374" s="7" t="s">
        <v>21</v>
      </c>
      <c r="E2374" s="7" t="s">
        <v>22</v>
      </c>
      <c r="F2374" s="7" t="s">
        <v>23</v>
      </c>
      <c r="G2374" s="7" t="s">
        <v>24</v>
      </c>
      <c r="H2374" s="7" t="s">
        <v>25</v>
      </c>
      <c r="I2374" s="7" t="s">
        <v>35</v>
      </c>
      <c r="J2374" s="7">
        <v>369</v>
      </c>
      <c r="K2374" s="7">
        <v>527.66999999999996</v>
      </c>
    </row>
    <row r="2375" spans="1:11" ht="18" customHeight="1" x14ac:dyDescent="0.25">
      <c r="A2375" s="7" t="s">
        <v>34</v>
      </c>
      <c r="B2375" s="7">
        <v>2023</v>
      </c>
      <c r="C2375" s="7" t="s">
        <v>62</v>
      </c>
      <c r="D2375" s="7" t="s">
        <v>21</v>
      </c>
      <c r="E2375" s="7" t="s">
        <v>22</v>
      </c>
      <c r="F2375" s="7" t="s">
        <v>23</v>
      </c>
      <c r="G2375" s="7" t="s">
        <v>24</v>
      </c>
      <c r="H2375" s="7" t="s">
        <v>25</v>
      </c>
      <c r="I2375" s="7" t="s">
        <v>35</v>
      </c>
      <c r="J2375" s="7">
        <v>367</v>
      </c>
      <c r="K2375" s="7">
        <v>524.80999999999995</v>
      </c>
    </row>
    <row r="2376" spans="1:11" ht="18" customHeight="1" x14ac:dyDescent="0.25">
      <c r="A2376" s="7" t="s">
        <v>34</v>
      </c>
      <c r="B2376" s="7">
        <v>2023</v>
      </c>
      <c r="C2376" s="7" t="s">
        <v>62</v>
      </c>
      <c r="D2376" s="7" t="s">
        <v>21</v>
      </c>
      <c r="E2376" s="7" t="s">
        <v>22</v>
      </c>
      <c r="F2376" s="7" t="s">
        <v>23</v>
      </c>
      <c r="G2376" s="7" t="s">
        <v>24</v>
      </c>
      <c r="H2376" s="7" t="s">
        <v>25</v>
      </c>
      <c r="I2376" s="7" t="s">
        <v>35</v>
      </c>
      <c r="J2376" s="7">
        <v>343</v>
      </c>
      <c r="K2376" s="7">
        <v>490.49</v>
      </c>
    </row>
    <row r="2377" spans="1:11" ht="18" customHeight="1" x14ac:dyDescent="0.25">
      <c r="A2377" s="7" t="s">
        <v>34</v>
      </c>
      <c r="B2377" s="7">
        <v>2023</v>
      </c>
      <c r="C2377" s="7" t="s">
        <v>62</v>
      </c>
      <c r="D2377" s="7" t="s">
        <v>21</v>
      </c>
      <c r="E2377" s="7" t="s">
        <v>22</v>
      </c>
      <c r="F2377" s="7" t="s">
        <v>23</v>
      </c>
      <c r="G2377" s="7" t="s">
        <v>24</v>
      </c>
      <c r="H2377" s="7" t="s">
        <v>25</v>
      </c>
      <c r="I2377" s="7" t="s">
        <v>35</v>
      </c>
      <c r="J2377" s="7">
        <v>371</v>
      </c>
      <c r="K2377" s="7">
        <v>530.53</v>
      </c>
    </row>
    <row r="2378" spans="1:11" ht="18" customHeight="1" x14ac:dyDescent="0.25">
      <c r="A2378" s="7" t="s">
        <v>34</v>
      </c>
      <c r="B2378" s="7">
        <v>2023</v>
      </c>
      <c r="C2378" s="7" t="s">
        <v>62</v>
      </c>
      <c r="D2378" s="7" t="s">
        <v>21</v>
      </c>
      <c r="E2378" s="7" t="s">
        <v>22</v>
      </c>
      <c r="F2378" s="7" t="s">
        <v>23</v>
      </c>
      <c r="G2378" s="7" t="s">
        <v>24</v>
      </c>
      <c r="H2378" s="7" t="s">
        <v>25</v>
      </c>
      <c r="I2378" s="7" t="s">
        <v>35</v>
      </c>
      <c r="J2378" s="7">
        <v>750</v>
      </c>
      <c r="K2378" s="7">
        <v>1072.5</v>
      </c>
    </row>
    <row r="2379" spans="1:11" ht="18" customHeight="1" x14ac:dyDescent="0.25">
      <c r="A2379" s="7" t="s">
        <v>34</v>
      </c>
      <c r="B2379" s="7">
        <v>2023</v>
      </c>
      <c r="C2379" s="7" t="s">
        <v>66</v>
      </c>
      <c r="D2379" s="7" t="s">
        <v>21</v>
      </c>
      <c r="E2379" s="7" t="s">
        <v>22</v>
      </c>
      <c r="F2379" s="7" t="s">
        <v>23</v>
      </c>
      <c r="G2379" s="7" t="s">
        <v>24</v>
      </c>
      <c r="H2379" s="7" t="s">
        <v>25</v>
      </c>
      <c r="I2379" s="7" t="s">
        <v>35</v>
      </c>
      <c r="J2379" s="7">
        <v>356</v>
      </c>
      <c r="K2379" s="7">
        <v>544.68000000000006</v>
      </c>
    </row>
    <row r="2380" spans="1:11" ht="18" customHeight="1" x14ac:dyDescent="0.25">
      <c r="A2380" s="7" t="s">
        <v>19</v>
      </c>
      <c r="B2380" s="7">
        <v>2023</v>
      </c>
      <c r="C2380" s="7" t="s">
        <v>66</v>
      </c>
      <c r="D2380" s="7" t="s">
        <v>21</v>
      </c>
      <c r="E2380" s="7" t="s">
        <v>22</v>
      </c>
      <c r="F2380" s="7" t="s">
        <v>23</v>
      </c>
      <c r="G2380" s="7" t="s">
        <v>24</v>
      </c>
      <c r="H2380" s="7" t="s">
        <v>25</v>
      </c>
      <c r="I2380" s="7" t="s">
        <v>35</v>
      </c>
      <c r="J2380" s="7">
        <v>332</v>
      </c>
      <c r="K2380" s="7">
        <v>474.76</v>
      </c>
    </row>
    <row r="2381" spans="1:11" ht="18" customHeight="1" x14ac:dyDescent="0.25">
      <c r="A2381" s="7" t="s">
        <v>34</v>
      </c>
      <c r="B2381" s="7">
        <v>2023</v>
      </c>
      <c r="C2381" s="7" t="s">
        <v>66</v>
      </c>
      <c r="D2381" s="7" t="s">
        <v>21</v>
      </c>
      <c r="E2381" s="7" t="s">
        <v>22</v>
      </c>
      <c r="F2381" s="7" t="s">
        <v>23</v>
      </c>
      <c r="G2381" s="7" t="s">
        <v>24</v>
      </c>
      <c r="H2381" s="7" t="s">
        <v>25</v>
      </c>
      <c r="I2381" s="7" t="s">
        <v>35</v>
      </c>
      <c r="J2381" s="7">
        <v>358</v>
      </c>
      <c r="K2381" s="7">
        <v>511.94</v>
      </c>
    </row>
    <row r="2382" spans="1:11" ht="18" customHeight="1" x14ac:dyDescent="0.25">
      <c r="A2382" s="7" t="s">
        <v>19</v>
      </c>
      <c r="B2382" s="7">
        <v>2023</v>
      </c>
      <c r="C2382" s="7" t="s">
        <v>66</v>
      </c>
      <c r="D2382" s="7" t="s">
        <v>21</v>
      </c>
      <c r="E2382" s="7" t="s">
        <v>22</v>
      </c>
      <c r="F2382" s="7" t="s">
        <v>23</v>
      </c>
      <c r="G2382" s="7" t="s">
        <v>24</v>
      </c>
      <c r="H2382" s="7" t="s">
        <v>25</v>
      </c>
      <c r="I2382" s="7" t="s">
        <v>35</v>
      </c>
      <c r="J2382" s="7">
        <v>656</v>
      </c>
      <c r="K2382" s="7">
        <v>938.07999999999993</v>
      </c>
    </row>
    <row r="2383" spans="1:11" ht="18" customHeight="1" x14ac:dyDescent="0.25">
      <c r="A2383" s="7" t="s">
        <v>42</v>
      </c>
      <c r="B2383" s="7">
        <v>2023</v>
      </c>
      <c r="C2383" s="7" t="s">
        <v>66</v>
      </c>
      <c r="D2383" s="7" t="s">
        <v>21</v>
      </c>
      <c r="E2383" s="7" t="s">
        <v>22</v>
      </c>
      <c r="F2383" s="7" t="s">
        <v>23</v>
      </c>
      <c r="G2383" s="7" t="s">
        <v>24</v>
      </c>
      <c r="H2383" s="7" t="s">
        <v>25</v>
      </c>
      <c r="I2383" s="7" t="s">
        <v>35</v>
      </c>
      <c r="J2383" s="7">
        <v>743</v>
      </c>
      <c r="K2383" s="7">
        <v>1062.49</v>
      </c>
    </row>
    <row r="2384" spans="1:11" ht="18" customHeight="1" x14ac:dyDescent="0.25">
      <c r="A2384" s="7" t="s">
        <v>42</v>
      </c>
      <c r="B2384" s="7">
        <v>2023</v>
      </c>
      <c r="C2384" s="7" t="s">
        <v>66</v>
      </c>
      <c r="D2384" s="7" t="s">
        <v>21</v>
      </c>
      <c r="E2384" s="7" t="s">
        <v>22</v>
      </c>
      <c r="F2384" s="7" t="s">
        <v>23</v>
      </c>
      <c r="G2384" s="7" t="s">
        <v>24</v>
      </c>
      <c r="H2384" s="7" t="s">
        <v>25</v>
      </c>
      <c r="I2384" s="7" t="s">
        <v>35</v>
      </c>
      <c r="J2384" s="7">
        <v>357</v>
      </c>
      <c r="K2384" s="7">
        <v>510.51</v>
      </c>
    </row>
    <row r="2385" spans="1:11" ht="18" customHeight="1" x14ac:dyDescent="0.25">
      <c r="A2385" s="7" t="s">
        <v>19</v>
      </c>
      <c r="B2385" s="7">
        <v>2023</v>
      </c>
      <c r="C2385" s="7" t="s">
        <v>66</v>
      </c>
      <c r="D2385" s="7" t="s">
        <v>21</v>
      </c>
      <c r="E2385" s="7" t="s">
        <v>22</v>
      </c>
      <c r="F2385" s="7" t="s">
        <v>23</v>
      </c>
      <c r="G2385" s="7" t="s">
        <v>24</v>
      </c>
      <c r="H2385" s="7" t="s">
        <v>25</v>
      </c>
      <c r="I2385" s="7" t="s">
        <v>35</v>
      </c>
      <c r="J2385" s="7">
        <v>782</v>
      </c>
      <c r="K2385" s="7">
        <v>526.24</v>
      </c>
    </row>
    <row r="2386" spans="1:11" ht="18" customHeight="1" x14ac:dyDescent="0.25">
      <c r="A2386" s="7" t="s">
        <v>34</v>
      </c>
      <c r="B2386" s="7">
        <v>2023</v>
      </c>
      <c r="C2386" s="7" t="s">
        <v>66</v>
      </c>
      <c r="D2386" s="7" t="s">
        <v>21</v>
      </c>
      <c r="E2386" s="7" t="s">
        <v>22</v>
      </c>
      <c r="F2386" s="7" t="s">
        <v>23</v>
      </c>
      <c r="G2386" s="7" t="s">
        <v>24</v>
      </c>
      <c r="H2386" s="7" t="s">
        <v>25</v>
      </c>
      <c r="I2386" s="7" t="s">
        <v>35</v>
      </c>
      <c r="J2386" s="7">
        <v>331</v>
      </c>
      <c r="K2386" s="7">
        <v>473.33</v>
      </c>
    </row>
    <row r="2387" spans="1:11" ht="18" customHeight="1" x14ac:dyDescent="0.25">
      <c r="A2387" s="7" t="s">
        <v>19</v>
      </c>
      <c r="B2387" s="7">
        <v>2023</v>
      </c>
      <c r="C2387" s="7" t="s">
        <v>66</v>
      </c>
      <c r="D2387" s="7" t="s">
        <v>21</v>
      </c>
      <c r="E2387" s="7" t="s">
        <v>22</v>
      </c>
      <c r="F2387" s="7" t="s">
        <v>23</v>
      </c>
      <c r="G2387" s="7" t="s">
        <v>24</v>
      </c>
      <c r="H2387" s="7" t="s">
        <v>25</v>
      </c>
      <c r="I2387" s="7" t="s">
        <v>35</v>
      </c>
      <c r="J2387" s="7">
        <v>359</v>
      </c>
      <c r="K2387" s="7">
        <v>513.37</v>
      </c>
    </row>
    <row r="2388" spans="1:11" ht="18" customHeight="1" x14ac:dyDescent="0.25">
      <c r="A2388" s="7" t="s">
        <v>34</v>
      </c>
      <c r="B2388" s="7">
        <v>2023</v>
      </c>
      <c r="C2388" s="7" t="s">
        <v>66</v>
      </c>
      <c r="D2388" s="7" t="s">
        <v>21</v>
      </c>
      <c r="E2388" s="7" t="s">
        <v>22</v>
      </c>
      <c r="F2388" s="7" t="s">
        <v>23</v>
      </c>
      <c r="G2388" s="7" t="s">
        <v>24</v>
      </c>
      <c r="H2388" s="7" t="s">
        <v>25</v>
      </c>
      <c r="I2388" s="7" t="s">
        <v>35</v>
      </c>
      <c r="J2388" s="7">
        <v>752</v>
      </c>
      <c r="K2388" s="7">
        <v>1075.3600000000001</v>
      </c>
    </row>
    <row r="2389" spans="1:11" ht="18" customHeight="1" x14ac:dyDescent="0.25">
      <c r="A2389" s="7" t="s">
        <v>19</v>
      </c>
      <c r="B2389" s="7">
        <v>2023</v>
      </c>
      <c r="C2389" s="7" t="s">
        <v>71</v>
      </c>
      <c r="D2389" s="7" t="s">
        <v>21</v>
      </c>
      <c r="E2389" s="7" t="s">
        <v>22</v>
      </c>
      <c r="F2389" s="7" t="s">
        <v>23</v>
      </c>
      <c r="G2389" s="7" t="s">
        <v>24</v>
      </c>
      <c r="H2389" s="7" t="s">
        <v>25</v>
      </c>
      <c r="I2389" s="7" t="s">
        <v>35</v>
      </c>
      <c r="J2389" s="7">
        <v>326</v>
      </c>
      <c r="K2389" s="7">
        <v>498.78</v>
      </c>
    </row>
    <row r="2390" spans="1:11" ht="18" customHeight="1" x14ac:dyDescent="0.25">
      <c r="A2390" s="7" t="s">
        <v>42</v>
      </c>
      <c r="B2390" s="7">
        <v>2023</v>
      </c>
      <c r="C2390" s="7" t="s">
        <v>71</v>
      </c>
      <c r="D2390" s="7" t="s">
        <v>21</v>
      </c>
      <c r="E2390" s="7" t="s">
        <v>22</v>
      </c>
      <c r="F2390" s="7" t="s">
        <v>23</v>
      </c>
      <c r="G2390" s="7" t="s">
        <v>24</v>
      </c>
      <c r="H2390" s="7" t="s">
        <v>25</v>
      </c>
      <c r="I2390" s="7" t="s">
        <v>35</v>
      </c>
      <c r="J2390" s="7">
        <v>328</v>
      </c>
      <c r="K2390" s="7">
        <v>469.03999999999996</v>
      </c>
    </row>
    <row r="2391" spans="1:11" ht="18" customHeight="1" x14ac:dyDescent="0.25">
      <c r="A2391" s="7" t="s">
        <v>34</v>
      </c>
      <c r="B2391" s="7">
        <v>2023</v>
      </c>
      <c r="C2391" s="7" t="s">
        <v>71</v>
      </c>
      <c r="D2391" s="7" t="s">
        <v>21</v>
      </c>
      <c r="E2391" s="7" t="s">
        <v>22</v>
      </c>
      <c r="F2391" s="7" t="s">
        <v>23</v>
      </c>
      <c r="G2391" s="7" t="s">
        <v>24</v>
      </c>
      <c r="H2391" s="7" t="s">
        <v>25</v>
      </c>
      <c r="I2391" s="7" t="s">
        <v>35</v>
      </c>
      <c r="J2391" s="7">
        <v>298</v>
      </c>
      <c r="K2391" s="7">
        <v>426.14</v>
      </c>
    </row>
    <row r="2392" spans="1:11" ht="18" customHeight="1" x14ac:dyDescent="0.25">
      <c r="A2392" s="7" t="s">
        <v>42</v>
      </c>
      <c r="B2392" s="7">
        <v>2023</v>
      </c>
      <c r="C2392" s="7" t="s">
        <v>71</v>
      </c>
      <c r="D2392" s="7" t="s">
        <v>21</v>
      </c>
      <c r="E2392" s="7" t="s">
        <v>22</v>
      </c>
      <c r="F2392" s="7" t="s">
        <v>23</v>
      </c>
      <c r="G2392" s="7" t="s">
        <v>24</v>
      </c>
      <c r="H2392" s="7" t="s">
        <v>25</v>
      </c>
      <c r="I2392" s="7" t="s">
        <v>35</v>
      </c>
      <c r="J2392" s="7">
        <v>662</v>
      </c>
      <c r="K2392" s="7">
        <v>946.66</v>
      </c>
    </row>
    <row r="2393" spans="1:11" ht="18" customHeight="1" x14ac:dyDescent="0.25">
      <c r="A2393" s="7" t="s">
        <v>42</v>
      </c>
      <c r="B2393" s="7">
        <v>2023</v>
      </c>
      <c r="C2393" s="7" t="s">
        <v>71</v>
      </c>
      <c r="D2393" s="7" t="s">
        <v>21</v>
      </c>
      <c r="E2393" s="7" t="s">
        <v>22</v>
      </c>
      <c r="F2393" s="7" t="s">
        <v>23</v>
      </c>
      <c r="G2393" s="7" t="s">
        <v>24</v>
      </c>
      <c r="H2393" s="7" t="s">
        <v>25</v>
      </c>
      <c r="I2393" s="7" t="s">
        <v>35</v>
      </c>
      <c r="J2393" s="7">
        <v>748</v>
      </c>
      <c r="K2393" s="7">
        <v>1069.6399999999999</v>
      </c>
    </row>
    <row r="2394" spans="1:11" ht="18" customHeight="1" x14ac:dyDescent="0.25">
      <c r="A2394" s="7" t="s">
        <v>42</v>
      </c>
      <c r="B2394" s="7">
        <v>2023</v>
      </c>
      <c r="C2394" s="7" t="s">
        <v>71</v>
      </c>
      <c r="D2394" s="7" t="s">
        <v>21</v>
      </c>
      <c r="E2394" s="7" t="s">
        <v>22</v>
      </c>
      <c r="F2394" s="7" t="s">
        <v>23</v>
      </c>
      <c r="G2394" s="7" t="s">
        <v>24</v>
      </c>
      <c r="H2394" s="7" t="s">
        <v>25</v>
      </c>
      <c r="I2394" s="7" t="s">
        <v>35</v>
      </c>
      <c r="J2394" s="7">
        <v>327</v>
      </c>
      <c r="K2394" s="7">
        <v>467.61</v>
      </c>
    </row>
    <row r="2395" spans="1:11" ht="18" customHeight="1" x14ac:dyDescent="0.25">
      <c r="A2395" s="7" t="s">
        <v>42</v>
      </c>
      <c r="B2395" s="7">
        <v>2023</v>
      </c>
      <c r="C2395" s="7" t="s">
        <v>71</v>
      </c>
      <c r="D2395" s="7" t="s">
        <v>21</v>
      </c>
      <c r="E2395" s="7" t="s">
        <v>22</v>
      </c>
      <c r="F2395" s="7" t="s">
        <v>23</v>
      </c>
      <c r="G2395" s="7" t="s">
        <v>24</v>
      </c>
      <c r="H2395" s="7" t="s">
        <v>25</v>
      </c>
      <c r="I2395" s="7" t="s">
        <v>35</v>
      </c>
      <c r="J2395" s="7">
        <v>788</v>
      </c>
      <c r="K2395" s="7">
        <v>526.24</v>
      </c>
    </row>
    <row r="2396" spans="1:11" ht="18" customHeight="1" x14ac:dyDescent="0.25">
      <c r="A2396" s="7" t="s">
        <v>34</v>
      </c>
      <c r="B2396" s="7">
        <v>2023</v>
      </c>
      <c r="C2396" s="7" t="s">
        <v>71</v>
      </c>
      <c r="D2396" s="7" t="s">
        <v>21</v>
      </c>
      <c r="E2396" s="7" t="s">
        <v>22</v>
      </c>
      <c r="F2396" s="7" t="s">
        <v>23</v>
      </c>
      <c r="G2396" s="7" t="s">
        <v>24</v>
      </c>
      <c r="H2396" s="7" t="s">
        <v>25</v>
      </c>
      <c r="I2396" s="7" t="s">
        <v>35</v>
      </c>
      <c r="J2396" s="7">
        <v>325</v>
      </c>
      <c r="K2396" s="7">
        <v>464.75</v>
      </c>
    </row>
    <row r="2397" spans="1:11" ht="18" customHeight="1" x14ac:dyDescent="0.25">
      <c r="A2397" s="7" t="s">
        <v>42</v>
      </c>
      <c r="B2397" s="7">
        <v>2023</v>
      </c>
      <c r="C2397" s="7" t="s">
        <v>71</v>
      </c>
      <c r="D2397" s="7" t="s">
        <v>21</v>
      </c>
      <c r="E2397" s="7" t="s">
        <v>22</v>
      </c>
      <c r="F2397" s="7" t="s">
        <v>23</v>
      </c>
      <c r="G2397" s="7" t="s">
        <v>24</v>
      </c>
      <c r="H2397" s="7" t="s">
        <v>25</v>
      </c>
      <c r="I2397" s="7" t="s">
        <v>35</v>
      </c>
      <c r="J2397" s="7">
        <v>301</v>
      </c>
      <c r="K2397" s="7">
        <v>430.43</v>
      </c>
    </row>
    <row r="2398" spans="1:11" ht="18" customHeight="1" x14ac:dyDescent="0.25">
      <c r="A2398" s="7" t="s">
        <v>19</v>
      </c>
      <c r="B2398" s="7">
        <v>2023</v>
      </c>
      <c r="C2398" s="7" t="s">
        <v>71</v>
      </c>
      <c r="D2398" s="7" t="s">
        <v>21</v>
      </c>
      <c r="E2398" s="7" t="s">
        <v>22</v>
      </c>
      <c r="F2398" s="7" t="s">
        <v>23</v>
      </c>
      <c r="G2398" s="7" t="s">
        <v>24</v>
      </c>
      <c r="H2398" s="7" t="s">
        <v>25</v>
      </c>
      <c r="I2398" s="7" t="s">
        <v>35</v>
      </c>
      <c r="J2398" s="7">
        <v>757</v>
      </c>
      <c r="K2398" s="7">
        <v>1082.51</v>
      </c>
    </row>
    <row r="2399" spans="1:11" ht="18" customHeight="1" x14ac:dyDescent="0.25">
      <c r="A2399" s="7" t="s">
        <v>42</v>
      </c>
      <c r="B2399" s="7">
        <v>2023</v>
      </c>
      <c r="C2399" s="7" t="s">
        <v>70</v>
      </c>
      <c r="D2399" s="7" t="s">
        <v>21</v>
      </c>
      <c r="E2399" s="7" t="s">
        <v>22</v>
      </c>
      <c r="F2399" s="7" t="s">
        <v>23</v>
      </c>
      <c r="G2399" s="7" t="s">
        <v>24</v>
      </c>
      <c r="H2399" s="7" t="s">
        <v>25</v>
      </c>
      <c r="I2399" s="7" t="s">
        <v>35</v>
      </c>
      <c r="J2399" s="7">
        <v>332</v>
      </c>
      <c r="K2399" s="7">
        <v>507.96000000000004</v>
      </c>
    </row>
    <row r="2400" spans="1:11" ht="18" customHeight="1" x14ac:dyDescent="0.25">
      <c r="A2400" s="7" t="s">
        <v>34</v>
      </c>
      <c r="B2400" s="7">
        <v>2023</v>
      </c>
      <c r="C2400" s="7" t="s">
        <v>70</v>
      </c>
      <c r="D2400" s="7" t="s">
        <v>21</v>
      </c>
      <c r="E2400" s="7" t="s">
        <v>22</v>
      </c>
      <c r="F2400" s="7" t="s">
        <v>23</v>
      </c>
      <c r="G2400" s="7" t="s">
        <v>24</v>
      </c>
      <c r="H2400" s="7" t="s">
        <v>25</v>
      </c>
      <c r="I2400" s="7" t="s">
        <v>35</v>
      </c>
      <c r="J2400" s="7">
        <v>302</v>
      </c>
      <c r="K2400" s="7">
        <v>431.86</v>
      </c>
    </row>
    <row r="2401" spans="1:11" ht="18" customHeight="1" x14ac:dyDescent="0.25">
      <c r="A2401" s="7" t="s">
        <v>19</v>
      </c>
      <c r="B2401" s="7">
        <v>2023</v>
      </c>
      <c r="C2401" s="7" t="s">
        <v>70</v>
      </c>
      <c r="D2401" s="7" t="s">
        <v>21</v>
      </c>
      <c r="E2401" s="7" t="s">
        <v>22</v>
      </c>
      <c r="F2401" s="7" t="s">
        <v>23</v>
      </c>
      <c r="G2401" s="7" t="s">
        <v>24</v>
      </c>
      <c r="H2401" s="7" t="s">
        <v>25</v>
      </c>
      <c r="I2401" s="7" t="s">
        <v>35</v>
      </c>
      <c r="J2401" s="7">
        <v>334</v>
      </c>
      <c r="K2401" s="7">
        <v>477.62</v>
      </c>
    </row>
    <row r="2402" spans="1:11" ht="18" customHeight="1" x14ac:dyDescent="0.25">
      <c r="A2402" s="7" t="s">
        <v>61</v>
      </c>
      <c r="B2402" s="7">
        <v>2023</v>
      </c>
      <c r="C2402" s="7" t="s">
        <v>70</v>
      </c>
      <c r="D2402" s="7" t="s">
        <v>21</v>
      </c>
      <c r="E2402" s="7" t="s">
        <v>22</v>
      </c>
      <c r="F2402" s="7" t="s">
        <v>23</v>
      </c>
      <c r="G2402" s="7" t="s">
        <v>24</v>
      </c>
      <c r="H2402" s="7" t="s">
        <v>25</v>
      </c>
      <c r="I2402" s="7" t="s">
        <v>35</v>
      </c>
      <c r="J2402" s="7">
        <v>304</v>
      </c>
      <c r="K2402" s="7">
        <v>434.72</v>
      </c>
    </row>
    <row r="2403" spans="1:11" ht="18" customHeight="1" x14ac:dyDescent="0.25">
      <c r="A2403" s="7" t="s">
        <v>34</v>
      </c>
      <c r="B2403" s="7">
        <v>2023</v>
      </c>
      <c r="C2403" s="7" t="s">
        <v>70</v>
      </c>
      <c r="D2403" s="7" t="s">
        <v>21</v>
      </c>
      <c r="E2403" s="7" t="s">
        <v>22</v>
      </c>
      <c r="F2403" s="7" t="s">
        <v>23</v>
      </c>
      <c r="G2403" s="7" t="s">
        <v>24</v>
      </c>
      <c r="H2403" s="7" t="s">
        <v>25</v>
      </c>
      <c r="I2403" s="7" t="s">
        <v>35</v>
      </c>
      <c r="J2403" s="7">
        <v>661</v>
      </c>
      <c r="K2403" s="7">
        <v>945.23</v>
      </c>
    </row>
    <row r="2404" spans="1:11" ht="18" customHeight="1" x14ac:dyDescent="0.25">
      <c r="A2404" s="7" t="s">
        <v>19</v>
      </c>
      <c r="B2404" s="7">
        <v>2023</v>
      </c>
      <c r="C2404" s="7" t="s">
        <v>70</v>
      </c>
      <c r="D2404" s="7" t="s">
        <v>21</v>
      </c>
      <c r="E2404" s="7" t="s">
        <v>22</v>
      </c>
      <c r="F2404" s="7" t="s">
        <v>23</v>
      </c>
      <c r="G2404" s="7" t="s">
        <v>24</v>
      </c>
      <c r="H2404" s="7" t="s">
        <v>25</v>
      </c>
      <c r="I2404" s="7" t="s">
        <v>35</v>
      </c>
      <c r="J2404" s="7">
        <v>747</v>
      </c>
      <c r="K2404" s="7">
        <v>1068.21</v>
      </c>
    </row>
    <row r="2405" spans="1:11" ht="18" customHeight="1" x14ac:dyDescent="0.25">
      <c r="A2405" s="7" t="s">
        <v>19</v>
      </c>
      <c r="B2405" s="7">
        <v>2023</v>
      </c>
      <c r="C2405" s="7" t="s">
        <v>70</v>
      </c>
      <c r="D2405" s="7" t="s">
        <v>21</v>
      </c>
      <c r="E2405" s="7" t="s">
        <v>22</v>
      </c>
      <c r="F2405" s="7" t="s">
        <v>23</v>
      </c>
      <c r="G2405" s="7" t="s">
        <v>24</v>
      </c>
      <c r="H2405" s="7" t="s">
        <v>25</v>
      </c>
      <c r="I2405" s="7" t="s">
        <v>35</v>
      </c>
      <c r="J2405" s="7">
        <v>333</v>
      </c>
      <c r="K2405" s="7">
        <v>476.19</v>
      </c>
    </row>
    <row r="2406" spans="1:11" ht="18" customHeight="1" x14ac:dyDescent="0.25">
      <c r="A2406" s="7" t="s">
        <v>34</v>
      </c>
      <c r="B2406" s="7">
        <v>2023</v>
      </c>
      <c r="C2406" s="7" t="s">
        <v>70</v>
      </c>
      <c r="D2406" s="7" t="s">
        <v>21</v>
      </c>
      <c r="E2406" s="7" t="s">
        <v>22</v>
      </c>
      <c r="F2406" s="7" t="s">
        <v>23</v>
      </c>
      <c r="G2406" s="7" t="s">
        <v>24</v>
      </c>
      <c r="H2406" s="7" t="s">
        <v>25</v>
      </c>
      <c r="I2406" s="7" t="s">
        <v>35</v>
      </c>
      <c r="J2406" s="7">
        <v>787</v>
      </c>
      <c r="K2406" s="7">
        <v>526.24</v>
      </c>
    </row>
    <row r="2407" spans="1:11" ht="18" customHeight="1" x14ac:dyDescent="0.25">
      <c r="A2407" s="7" t="s">
        <v>61</v>
      </c>
      <c r="B2407" s="7">
        <v>2023</v>
      </c>
      <c r="C2407" s="7" t="s">
        <v>70</v>
      </c>
      <c r="D2407" s="7" t="s">
        <v>21</v>
      </c>
      <c r="E2407" s="7" t="s">
        <v>22</v>
      </c>
      <c r="F2407" s="7" t="s">
        <v>23</v>
      </c>
      <c r="G2407" s="7" t="s">
        <v>24</v>
      </c>
      <c r="H2407" s="7" t="s">
        <v>25</v>
      </c>
      <c r="I2407" s="7" t="s">
        <v>35</v>
      </c>
      <c r="J2407" s="7">
        <v>331</v>
      </c>
      <c r="K2407" s="7">
        <v>473.33</v>
      </c>
    </row>
    <row r="2408" spans="1:11" ht="18" customHeight="1" x14ac:dyDescent="0.25">
      <c r="A2408" s="7" t="s">
        <v>19</v>
      </c>
      <c r="B2408" s="7">
        <v>2023</v>
      </c>
      <c r="C2408" s="7" t="s">
        <v>70</v>
      </c>
      <c r="D2408" s="7" t="s">
        <v>21</v>
      </c>
      <c r="E2408" s="7" t="s">
        <v>22</v>
      </c>
      <c r="F2408" s="7" t="s">
        <v>23</v>
      </c>
      <c r="G2408" s="7" t="s">
        <v>24</v>
      </c>
      <c r="H2408" s="7" t="s">
        <v>25</v>
      </c>
      <c r="I2408" s="7" t="s">
        <v>35</v>
      </c>
      <c r="J2408" s="7">
        <v>307</v>
      </c>
      <c r="K2408" s="7">
        <v>439.01</v>
      </c>
    </row>
    <row r="2409" spans="1:11" ht="18" customHeight="1" x14ac:dyDescent="0.25">
      <c r="A2409" s="7" t="s">
        <v>34</v>
      </c>
      <c r="B2409" s="7">
        <v>2023</v>
      </c>
      <c r="C2409" s="7" t="s">
        <v>70</v>
      </c>
      <c r="D2409" s="7" t="s">
        <v>21</v>
      </c>
      <c r="E2409" s="7" t="s">
        <v>22</v>
      </c>
      <c r="F2409" s="7" t="s">
        <v>23</v>
      </c>
      <c r="G2409" s="7" t="s">
        <v>24</v>
      </c>
      <c r="H2409" s="7" t="s">
        <v>25</v>
      </c>
      <c r="I2409" s="7" t="s">
        <v>35</v>
      </c>
      <c r="J2409" s="7">
        <v>329</v>
      </c>
      <c r="K2409" s="7">
        <v>470.47</v>
      </c>
    </row>
    <row r="2410" spans="1:11" ht="18" customHeight="1" x14ac:dyDescent="0.25">
      <c r="A2410" s="7" t="s">
        <v>42</v>
      </c>
      <c r="B2410" s="7">
        <v>2023</v>
      </c>
      <c r="C2410" s="7" t="s">
        <v>70</v>
      </c>
      <c r="D2410" s="7" t="s">
        <v>21</v>
      </c>
      <c r="E2410" s="7" t="s">
        <v>22</v>
      </c>
      <c r="F2410" s="7" t="s">
        <v>23</v>
      </c>
      <c r="G2410" s="7" t="s">
        <v>24</v>
      </c>
      <c r="H2410" s="7" t="s">
        <v>25</v>
      </c>
      <c r="I2410" s="7" t="s">
        <v>35</v>
      </c>
      <c r="J2410" s="7">
        <v>756</v>
      </c>
      <c r="K2410" s="7">
        <v>1081.08</v>
      </c>
    </row>
    <row r="2411" spans="1:11" ht="18" customHeight="1" x14ac:dyDescent="0.25">
      <c r="A2411" s="7" t="s">
        <v>34</v>
      </c>
      <c r="B2411" s="7">
        <v>2023</v>
      </c>
      <c r="C2411" s="7" t="s">
        <v>69</v>
      </c>
      <c r="D2411" s="7" t="s">
        <v>21</v>
      </c>
      <c r="E2411" s="7" t="s">
        <v>22</v>
      </c>
      <c r="F2411" s="7" t="s">
        <v>23</v>
      </c>
      <c r="G2411" s="7" t="s">
        <v>24</v>
      </c>
      <c r="H2411" s="7" t="s">
        <v>25</v>
      </c>
      <c r="I2411" s="7" t="s">
        <v>35</v>
      </c>
      <c r="J2411" s="7">
        <v>338</v>
      </c>
      <c r="K2411" s="7">
        <v>517.14</v>
      </c>
    </row>
    <row r="2412" spans="1:11" ht="18" customHeight="1" x14ac:dyDescent="0.25">
      <c r="A2412" s="7" t="s">
        <v>34</v>
      </c>
      <c r="B2412" s="7">
        <v>2023</v>
      </c>
      <c r="C2412" s="7" t="s">
        <v>69</v>
      </c>
      <c r="D2412" s="7" t="s">
        <v>21</v>
      </c>
      <c r="E2412" s="7" t="s">
        <v>22</v>
      </c>
      <c r="F2412" s="7" t="s">
        <v>23</v>
      </c>
      <c r="G2412" s="7" t="s">
        <v>24</v>
      </c>
      <c r="H2412" s="7" t="s">
        <v>25</v>
      </c>
      <c r="I2412" s="7" t="s">
        <v>35</v>
      </c>
      <c r="J2412" s="7">
        <v>308</v>
      </c>
      <c r="K2412" s="7">
        <v>440.44</v>
      </c>
    </row>
    <row r="2413" spans="1:11" ht="18" customHeight="1" x14ac:dyDescent="0.25">
      <c r="A2413" s="7" t="s">
        <v>61</v>
      </c>
      <c r="B2413" s="7">
        <v>2023</v>
      </c>
      <c r="C2413" s="7" t="s">
        <v>69</v>
      </c>
      <c r="D2413" s="7" t="s">
        <v>21</v>
      </c>
      <c r="E2413" s="7" t="s">
        <v>22</v>
      </c>
      <c r="F2413" s="7" t="s">
        <v>23</v>
      </c>
      <c r="G2413" s="7" t="s">
        <v>24</v>
      </c>
      <c r="H2413" s="7" t="s">
        <v>25</v>
      </c>
      <c r="I2413" s="7" t="s">
        <v>35</v>
      </c>
      <c r="J2413" s="7">
        <v>310</v>
      </c>
      <c r="K2413" s="7">
        <v>443.3</v>
      </c>
    </row>
    <row r="2414" spans="1:11" ht="18" customHeight="1" x14ac:dyDescent="0.25">
      <c r="A2414" s="7" t="s">
        <v>19</v>
      </c>
      <c r="B2414" s="7">
        <v>2023</v>
      </c>
      <c r="C2414" s="7" t="s">
        <v>69</v>
      </c>
      <c r="D2414" s="7" t="s">
        <v>21</v>
      </c>
      <c r="E2414" s="7" t="s">
        <v>22</v>
      </c>
      <c r="F2414" s="7" t="s">
        <v>23</v>
      </c>
      <c r="G2414" s="7" t="s">
        <v>24</v>
      </c>
      <c r="H2414" s="7" t="s">
        <v>25</v>
      </c>
      <c r="I2414" s="7" t="s">
        <v>35</v>
      </c>
      <c r="J2414" s="7">
        <v>660</v>
      </c>
      <c r="K2414" s="7">
        <v>943.8</v>
      </c>
    </row>
    <row r="2415" spans="1:11" ht="18" customHeight="1" x14ac:dyDescent="0.25">
      <c r="A2415" s="7" t="s">
        <v>42</v>
      </c>
      <c r="B2415" s="7">
        <v>2023</v>
      </c>
      <c r="C2415" s="7" t="s">
        <v>69</v>
      </c>
      <c r="D2415" s="7" t="s">
        <v>21</v>
      </c>
      <c r="E2415" s="7" t="s">
        <v>22</v>
      </c>
      <c r="F2415" s="7" t="s">
        <v>23</v>
      </c>
      <c r="G2415" s="7" t="s">
        <v>24</v>
      </c>
      <c r="H2415" s="7" t="s">
        <v>25</v>
      </c>
      <c r="I2415" s="7" t="s">
        <v>35</v>
      </c>
      <c r="J2415" s="7">
        <v>746</v>
      </c>
      <c r="K2415" s="7">
        <v>1066.78</v>
      </c>
    </row>
    <row r="2416" spans="1:11" ht="18" customHeight="1" x14ac:dyDescent="0.25">
      <c r="A2416" s="7" t="s">
        <v>42</v>
      </c>
      <c r="B2416" s="7">
        <v>2023</v>
      </c>
      <c r="C2416" s="7" t="s">
        <v>69</v>
      </c>
      <c r="D2416" s="7" t="s">
        <v>21</v>
      </c>
      <c r="E2416" s="7" t="s">
        <v>22</v>
      </c>
      <c r="F2416" s="7" t="s">
        <v>23</v>
      </c>
      <c r="G2416" s="7" t="s">
        <v>24</v>
      </c>
      <c r="H2416" s="7" t="s">
        <v>25</v>
      </c>
      <c r="I2416" s="7" t="s">
        <v>35</v>
      </c>
      <c r="J2416" s="7">
        <v>339</v>
      </c>
      <c r="K2416" s="7">
        <v>484.77</v>
      </c>
    </row>
    <row r="2417" spans="1:11" ht="18" customHeight="1" x14ac:dyDescent="0.25">
      <c r="A2417" s="7" t="s">
        <v>19</v>
      </c>
      <c r="B2417" s="7">
        <v>2023</v>
      </c>
      <c r="C2417" s="7" t="s">
        <v>69</v>
      </c>
      <c r="D2417" s="7" t="s">
        <v>21</v>
      </c>
      <c r="E2417" s="7" t="s">
        <v>22</v>
      </c>
      <c r="F2417" s="7" t="s">
        <v>23</v>
      </c>
      <c r="G2417" s="7" t="s">
        <v>24</v>
      </c>
      <c r="H2417" s="7" t="s">
        <v>25</v>
      </c>
      <c r="I2417" s="7" t="s">
        <v>35</v>
      </c>
      <c r="J2417" s="7">
        <v>786</v>
      </c>
      <c r="K2417" s="7">
        <v>526.24</v>
      </c>
    </row>
    <row r="2418" spans="1:11" ht="18" customHeight="1" x14ac:dyDescent="0.25">
      <c r="A2418" s="7" t="s">
        <v>61</v>
      </c>
      <c r="B2418" s="7">
        <v>2023</v>
      </c>
      <c r="C2418" s="7" t="s">
        <v>69</v>
      </c>
      <c r="D2418" s="7" t="s">
        <v>21</v>
      </c>
      <c r="E2418" s="7" t="s">
        <v>22</v>
      </c>
      <c r="F2418" s="7" t="s">
        <v>23</v>
      </c>
      <c r="G2418" s="7" t="s">
        <v>24</v>
      </c>
      <c r="H2418" s="7" t="s">
        <v>25</v>
      </c>
      <c r="I2418" s="7" t="s">
        <v>35</v>
      </c>
      <c r="J2418" s="7">
        <v>337</v>
      </c>
      <c r="K2418" s="7">
        <v>481.90999999999997</v>
      </c>
    </row>
    <row r="2419" spans="1:11" ht="18" customHeight="1" x14ac:dyDescent="0.25">
      <c r="A2419" s="7" t="s">
        <v>34</v>
      </c>
      <c r="B2419" s="7">
        <v>2023</v>
      </c>
      <c r="C2419" s="7" t="s">
        <v>69</v>
      </c>
      <c r="D2419" s="7" t="s">
        <v>21</v>
      </c>
      <c r="E2419" s="7" t="s">
        <v>22</v>
      </c>
      <c r="F2419" s="7" t="s">
        <v>23</v>
      </c>
      <c r="G2419" s="7" t="s">
        <v>24</v>
      </c>
      <c r="H2419" s="7" t="s">
        <v>25</v>
      </c>
      <c r="I2419" s="7" t="s">
        <v>35</v>
      </c>
      <c r="J2419" s="7">
        <v>335</v>
      </c>
      <c r="K2419" s="7">
        <v>479.05</v>
      </c>
    </row>
    <row r="2420" spans="1:11" ht="18" customHeight="1" x14ac:dyDescent="0.25">
      <c r="A2420" s="7" t="s">
        <v>34</v>
      </c>
      <c r="B2420" s="7">
        <v>2023</v>
      </c>
      <c r="C2420" s="7" t="s">
        <v>69</v>
      </c>
      <c r="D2420" s="7" t="s">
        <v>21</v>
      </c>
      <c r="E2420" s="7" t="s">
        <v>22</v>
      </c>
      <c r="F2420" s="7" t="s">
        <v>23</v>
      </c>
      <c r="G2420" s="7" t="s">
        <v>24</v>
      </c>
      <c r="H2420" s="7" t="s">
        <v>25</v>
      </c>
      <c r="I2420" s="7" t="s">
        <v>35</v>
      </c>
      <c r="J2420" s="7">
        <v>755</v>
      </c>
      <c r="K2420" s="7">
        <v>1079.6500000000001</v>
      </c>
    </row>
    <row r="2421" spans="1:11" ht="18" customHeight="1" x14ac:dyDescent="0.25">
      <c r="A2421" s="7" t="s">
        <v>34</v>
      </c>
      <c r="B2421" s="7">
        <v>2023</v>
      </c>
      <c r="C2421" s="7" t="s">
        <v>20</v>
      </c>
      <c r="D2421" s="7" t="s">
        <v>72</v>
      </c>
      <c r="E2421" s="7" t="s">
        <v>22</v>
      </c>
      <c r="F2421" s="7" t="s">
        <v>23</v>
      </c>
      <c r="G2421" s="7" t="s">
        <v>24</v>
      </c>
      <c r="H2421" s="7" t="s">
        <v>25</v>
      </c>
      <c r="I2421" s="7" t="s">
        <v>26</v>
      </c>
      <c r="J2421" s="7">
        <v>212</v>
      </c>
      <c r="K2421" s="7">
        <v>303.15999999999997</v>
      </c>
    </row>
    <row r="2422" spans="1:11" ht="18" customHeight="1" x14ac:dyDescent="0.25">
      <c r="A2422" s="7" t="s">
        <v>19</v>
      </c>
      <c r="B2422" s="7">
        <v>2023</v>
      </c>
      <c r="C2422" s="7" t="s">
        <v>20</v>
      </c>
      <c r="D2422" s="7" t="s">
        <v>72</v>
      </c>
      <c r="E2422" s="7" t="s">
        <v>22</v>
      </c>
      <c r="F2422" s="7" t="s">
        <v>23</v>
      </c>
      <c r="G2422" s="7" t="s">
        <v>24</v>
      </c>
      <c r="H2422" s="7" t="s">
        <v>25</v>
      </c>
      <c r="I2422" s="7" t="s">
        <v>26</v>
      </c>
      <c r="J2422" s="7">
        <v>182</v>
      </c>
      <c r="K2422" s="7">
        <v>260.26</v>
      </c>
    </row>
    <row r="2423" spans="1:11" ht="18" customHeight="1" x14ac:dyDescent="0.25">
      <c r="A2423" s="7" t="s">
        <v>34</v>
      </c>
      <c r="B2423" s="7">
        <v>2023</v>
      </c>
      <c r="C2423" s="7" t="s">
        <v>20</v>
      </c>
      <c r="D2423" s="7" t="s">
        <v>72</v>
      </c>
      <c r="E2423" s="7" t="s">
        <v>22</v>
      </c>
      <c r="F2423" s="7" t="s">
        <v>23</v>
      </c>
      <c r="G2423" s="7" t="s">
        <v>24</v>
      </c>
      <c r="H2423" s="7" t="s">
        <v>25</v>
      </c>
      <c r="I2423" s="7" t="s">
        <v>26</v>
      </c>
      <c r="J2423" s="7">
        <v>184</v>
      </c>
      <c r="K2423" s="7">
        <v>526.24</v>
      </c>
    </row>
    <row r="2424" spans="1:11" ht="18" customHeight="1" x14ac:dyDescent="0.25">
      <c r="A2424" s="7" t="s">
        <v>34</v>
      </c>
      <c r="B2424" s="7">
        <v>2023</v>
      </c>
      <c r="C2424" s="7" t="s">
        <v>20</v>
      </c>
      <c r="D2424" s="7" t="s">
        <v>72</v>
      </c>
      <c r="E2424" s="7" t="s">
        <v>22</v>
      </c>
      <c r="F2424" s="7" t="s">
        <v>23</v>
      </c>
      <c r="G2424" s="7" t="s">
        <v>24</v>
      </c>
      <c r="H2424" s="7" t="s">
        <v>25</v>
      </c>
      <c r="I2424" s="7" t="s">
        <v>26</v>
      </c>
      <c r="J2424" s="7">
        <v>968</v>
      </c>
      <c r="K2424" s="7">
        <v>1384.24</v>
      </c>
    </row>
    <row r="2425" spans="1:11" ht="18" customHeight="1" x14ac:dyDescent="0.25">
      <c r="A2425" s="7" t="s">
        <v>61</v>
      </c>
      <c r="B2425" s="7">
        <v>2023</v>
      </c>
      <c r="C2425" s="7" t="s">
        <v>20</v>
      </c>
      <c r="D2425" s="7" t="s">
        <v>72</v>
      </c>
      <c r="E2425" s="7" t="s">
        <v>22</v>
      </c>
      <c r="F2425" s="7" t="s">
        <v>23</v>
      </c>
      <c r="G2425" s="7" t="s">
        <v>24</v>
      </c>
      <c r="H2425" s="7" t="s">
        <v>25</v>
      </c>
      <c r="I2425" s="7" t="s">
        <v>26</v>
      </c>
      <c r="J2425" s="7">
        <v>186</v>
      </c>
      <c r="K2425" s="7">
        <v>265.98</v>
      </c>
    </row>
    <row r="2426" spans="1:11" ht="18" customHeight="1" x14ac:dyDescent="0.25">
      <c r="A2426" s="7" t="s">
        <v>61</v>
      </c>
      <c r="B2426" s="7">
        <v>2023</v>
      </c>
      <c r="C2426" s="7" t="s">
        <v>20</v>
      </c>
      <c r="D2426" s="7" t="s">
        <v>72</v>
      </c>
      <c r="E2426" s="7" t="s">
        <v>22</v>
      </c>
      <c r="F2426" s="7" t="s">
        <v>23</v>
      </c>
      <c r="G2426" s="7" t="s">
        <v>24</v>
      </c>
      <c r="H2426" s="7" t="s">
        <v>25</v>
      </c>
      <c r="I2426" s="7" t="s">
        <v>26</v>
      </c>
      <c r="J2426" s="7">
        <v>213</v>
      </c>
      <c r="K2426" s="7">
        <v>304.59000000000003</v>
      </c>
    </row>
    <row r="2427" spans="1:11" ht="18" customHeight="1" x14ac:dyDescent="0.25">
      <c r="A2427" s="7" t="s">
        <v>34</v>
      </c>
      <c r="B2427" s="7">
        <v>2023</v>
      </c>
      <c r="C2427" s="7" t="s">
        <v>20</v>
      </c>
      <c r="D2427" s="7" t="s">
        <v>72</v>
      </c>
      <c r="E2427" s="7" t="s">
        <v>22</v>
      </c>
      <c r="F2427" s="7" t="s">
        <v>23</v>
      </c>
      <c r="G2427" s="7" t="s">
        <v>24</v>
      </c>
      <c r="H2427" s="7" t="s">
        <v>25</v>
      </c>
      <c r="I2427" s="7" t="s">
        <v>26</v>
      </c>
      <c r="J2427" s="7">
        <v>183</v>
      </c>
      <c r="K2427" s="7">
        <v>261.69</v>
      </c>
    </row>
    <row r="2428" spans="1:11" ht="18" customHeight="1" x14ac:dyDescent="0.25">
      <c r="A2428" s="7" t="s">
        <v>34</v>
      </c>
      <c r="B2428" s="7">
        <v>2023</v>
      </c>
      <c r="C2428" s="7" t="s">
        <v>20</v>
      </c>
      <c r="D2428" s="7" t="s">
        <v>72</v>
      </c>
      <c r="E2428" s="7" t="s">
        <v>22</v>
      </c>
      <c r="F2428" s="7" t="s">
        <v>23</v>
      </c>
      <c r="G2428" s="7" t="s">
        <v>24</v>
      </c>
      <c r="H2428" s="7" t="s">
        <v>25</v>
      </c>
      <c r="I2428" s="7" t="s">
        <v>26</v>
      </c>
      <c r="J2428" s="7">
        <v>749</v>
      </c>
      <c r="K2428" s="7">
        <v>1071.07</v>
      </c>
    </row>
    <row r="2429" spans="1:11" ht="18" customHeight="1" x14ac:dyDescent="0.25">
      <c r="A2429" s="7" t="s">
        <v>19</v>
      </c>
      <c r="B2429" s="7">
        <v>2023</v>
      </c>
      <c r="C2429" s="7" t="s">
        <v>20</v>
      </c>
      <c r="D2429" s="7" t="s">
        <v>72</v>
      </c>
      <c r="E2429" s="7" t="s">
        <v>22</v>
      </c>
      <c r="F2429" s="7" t="s">
        <v>23</v>
      </c>
      <c r="G2429" s="7" t="s">
        <v>24</v>
      </c>
      <c r="H2429" s="7" t="s">
        <v>25</v>
      </c>
      <c r="I2429" s="7" t="s">
        <v>26</v>
      </c>
      <c r="J2429" s="7">
        <v>209</v>
      </c>
      <c r="K2429" s="7">
        <v>298.87</v>
      </c>
    </row>
    <row r="2430" spans="1:11" ht="18" customHeight="1" x14ac:dyDescent="0.25">
      <c r="A2430" s="7" t="s">
        <v>34</v>
      </c>
      <c r="B2430" s="7">
        <v>2023</v>
      </c>
      <c r="C2430" s="7" t="s">
        <v>20</v>
      </c>
      <c r="D2430" s="7" t="s">
        <v>72</v>
      </c>
      <c r="E2430" s="7" t="s">
        <v>22</v>
      </c>
      <c r="F2430" s="7" t="s">
        <v>23</v>
      </c>
      <c r="G2430" s="7" t="s">
        <v>24</v>
      </c>
      <c r="H2430" s="7" t="s">
        <v>25</v>
      </c>
      <c r="I2430" s="7" t="s">
        <v>26</v>
      </c>
      <c r="J2430" s="7">
        <v>185</v>
      </c>
      <c r="K2430" s="7">
        <v>264.55</v>
      </c>
    </row>
    <row r="2431" spans="1:11" ht="18" customHeight="1" x14ac:dyDescent="0.25">
      <c r="A2431" s="7" t="s">
        <v>34</v>
      </c>
      <c r="B2431" s="7">
        <v>2023</v>
      </c>
      <c r="C2431" s="7" t="s">
        <v>60</v>
      </c>
      <c r="D2431" s="7" t="s">
        <v>72</v>
      </c>
      <c r="E2431" s="7" t="s">
        <v>22</v>
      </c>
      <c r="F2431" s="7" t="s">
        <v>23</v>
      </c>
      <c r="G2431" s="7" t="s">
        <v>24</v>
      </c>
      <c r="H2431" s="7" t="s">
        <v>25</v>
      </c>
      <c r="I2431" s="7" t="s">
        <v>26</v>
      </c>
      <c r="J2431" s="7">
        <v>188</v>
      </c>
      <c r="K2431" s="7">
        <v>268.84000000000003</v>
      </c>
    </row>
    <row r="2432" spans="1:11" ht="18" customHeight="1" x14ac:dyDescent="0.25">
      <c r="A2432" s="7" t="s">
        <v>19</v>
      </c>
      <c r="B2432" s="7">
        <v>2023</v>
      </c>
      <c r="C2432" s="7" t="s">
        <v>60</v>
      </c>
      <c r="D2432" s="7" t="s">
        <v>72</v>
      </c>
      <c r="E2432" s="7" t="s">
        <v>22</v>
      </c>
      <c r="F2432" s="7" t="s">
        <v>23</v>
      </c>
      <c r="G2432" s="7" t="s">
        <v>24</v>
      </c>
      <c r="H2432" s="7" t="s">
        <v>25</v>
      </c>
      <c r="I2432" s="7" t="s">
        <v>26</v>
      </c>
      <c r="J2432" s="7">
        <v>164</v>
      </c>
      <c r="K2432" s="7">
        <v>234.51999999999998</v>
      </c>
    </row>
    <row r="2433" spans="1:11" ht="18" customHeight="1" x14ac:dyDescent="0.25">
      <c r="A2433" s="7" t="s">
        <v>42</v>
      </c>
      <c r="B2433" s="7">
        <v>2023</v>
      </c>
      <c r="C2433" s="7" t="s">
        <v>60</v>
      </c>
      <c r="D2433" s="7" t="s">
        <v>72</v>
      </c>
      <c r="E2433" s="7" t="s">
        <v>22</v>
      </c>
      <c r="F2433" s="7" t="s">
        <v>23</v>
      </c>
      <c r="G2433" s="7" t="s">
        <v>24</v>
      </c>
      <c r="H2433" s="7" t="s">
        <v>25</v>
      </c>
      <c r="I2433" s="7" t="s">
        <v>26</v>
      </c>
      <c r="J2433" s="7">
        <v>190</v>
      </c>
      <c r="K2433" s="7">
        <v>526.24</v>
      </c>
    </row>
    <row r="2434" spans="1:11" ht="18" customHeight="1" x14ac:dyDescent="0.25">
      <c r="A2434" s="7" t="s">
        <v>19</v>
      </c>
      <c r="B2434" s="7">
        <v>2023</v>
      </c>
      <c r="C2434" s="7" t="s">
        <v>60</v>
      </c>
      <c r="D2434" s="7" t="s">
        <v>72</v>
      </c>
      <c r="E2434" s="7" t="s">
        <v>22</v>
      </c>
      <c r="F2434" s="7" t="s">
        <v>23</v>
      </c>
      <c r="G2434" s="7" t="s">
        <v>24</v>
      </c>
      <c r="H2434" s="7" t="s">
        <v>25</v>
      </c>
      <c r="I2434" s="7" t="s">
        <v>26</v>
      </c>
      <c r="J2434" s="7">
        <v>160</v>
      </c>
      <c r="K2434" s="7">
        <v>526.24</v>
      </c>
    </row>
    <row r="2435" spans="1:11" ht="18" customHeight="1" x14ac:dyDescent="0.25">
      <c r="A2435" s="7" t="s">
        <v>34</v>
      </c>
      <c r="B2435" s="7">
        <v>2023</v>
      </c>
      <c r="C2435" s="7" t="s">
        <v>60</v>
      </c>
      <c r="D2435" s="7" t="s">
        <v>72</v>
      </c>
      <c r="E2435" s="7" t="s">
        <v>22</v>
      </c>
      <c r="F2435" s="7" t="s">
        <v>23</v>
      </c>
      <c r="G2435" s="7" t="s">
        <v>24</v>
      </c>
      <c r="H2435" s="7" t="s">
        <v>25</v>
      </c>
      <c r="I2435" s="7" t="s">
        <v>26</v>
      </c>
      <c r="J2435" s="7">
        <v>971</v>
      </c>
      <c r="K2435" s="7">
        <v>1388.53</v>
      </c>
    </row>
    <row r="2436" spans="1:11" ht="18" customHeight="1" x14ac:dyDescent="0.25">
      <c r="A2436" s="7" t="s">
        <v>19</v>
      </c>
      <c r="B2436" s="7">
        <v>2023</v>
      </c>
      <c r="C2436" s="7" t="s">
        <v>60</v>
      </c>
      <c r="D2436" s="7" t="s">
        <v>72</v>
      </c>
      <c r="E2436" s="7" t="s">
        <v>22</v>
      </c>
      <c r="F2436" s="7" t="s">
        <v>23</v>
      </c>
      <c r="G2436" s="7" t="s">
        <v>24</v>
      </c>
      <c r="H2436" s="7" t="s">
        <v>25</v>
      </c>
      <c r="I2436" s="7" t="s">
        <v>26</v>
      </c>
      <c r="J2436" s="7">
        <v>162</v>
      </c>
      <c r="K2436" s="7">
        <v>231.66</v>
      </c>
    </row>
    <row r="2437" spans="1:11" ht="18" customHeight="1" x14ac:dyDescent="0.25">
      <c r="A2437" s="7" t="s">
        <v>19</v>
      </c>
      <c r="B2437" s="7">
        <v>2023</v>
      </c>
      <c r="C2437" s="7" t="s">
        <v>60</v>
      </c>
      <c r="D2437" s="7" t="s">
        <v>72</v>
      </c>
      <c r="E2437" s="7" t="s">
        <v>22</v>
      </c>
      <c r="F2437" s="7" t="s">
        <v>23</v>
      </c>
      <c r="G2437" s="7" t="s">
        <v>24</v>
      </c>
      <c r="H2437" s="7" t="s">
        <v>25</v>
      </c>
      <c r="I2437" s="7" t="s">
        <v>26</v>
      </c>
      <c r="J2437" s="7">
        <v>189</v>
      </c>
      <c r="K2437" s="7">
        <v>270.27</v>
      </c>
    </row>
    <row r="2438" spans="1:11" ht="18" customHeight="1" x14ac:dyDescent="0.25">
      <c r="A2438" s="7" t="s">
        <v>34</v>
      </c>
      <c r="B2438" s="7">
        <v>2023</v>
      </c>
      <c r="C2438" s="7" t="s">
        <v>60</v>
      </c>
      <c r="D2438" s="7" t="s">
        <v>72</v>
      </c>
      <c r="E2438" s="7" t="s">
        <v>22</v>
      </c>
      <c r="F2438" s="7" t="s">
        <v>23</v>
      </c>
      <c r="G2438" s="7" t="s">
        <v>24</v>
      </c>
      <c r="H2438" s="7" t="s">
        <v>25</v>
      </c>
      <c r="I2438" s="7" t="s">
        <v>26</v>
      </c>
      <c r="J2438" s="7">
        <v>165</v>
      </c>
      <c r="K2438" s="7">
        <v>235.95</v>
      </c>
    </row>
    <row r="2439" spans="1:11" ht="18" customHeight="1" x14ac:dyDescent="0.25">
      <c r="A2439" s="7" t="s">
        <v>19</v>
      </c>
      <c r="B2439" s="7">
        <v>2023</v>
      </c>
      <c r="C2439" s="7" t="s">
        <v>60</v>
      </c>
      <c r="D2439" s="7" t="s">
        <v>72</v>
      </c>
      <c r="E2439" s="7" t="s">
        <v>22</v>
      </c>
      <c r="F2439" s="7" t="s">
        <v>23</v>
      </c>
      <c r="G2439" s="7" t="s">
        <v>24</v>
      </c>
      <c r="H2439" s="7" t="s">
        <v>25</v>
      </c>
      <c r="I2439" s="7" t="s">
        <v>26</v>
      </c>
      <c r="J2439" s="7">
        <v>753</v>
      </c>
      <c r="K2439" s="7">
        <v>1076.79</v>
      </c>
    </row>
    <row r="2440" spans="1:11" ht="18" customHeight="1" x14ac:dyDescent="0.25">
      <c r="A2440" s="7" t="s">
        <v>42</v>
      </c>
      <c r="B2440" s="7">
        <v>2023</v>
      </c>
      <c r="C2440" s="7" t="s">
        <v>60</v>
      </c>
      <c r="D2440" s="7" t="s">
        <v>72</v>
      </c>
      <c r="E2440" s="7" t="s">
        <v>22</v>
      </c>
      <c r="F2440" s="7" t="s">
        <v>23</v>
      </c>
      <c r="G2440" s="7" t="s">
        <v>24</v>
      </c>
      <c r="H2440" s="7" t="s">
        <v>25</v>
      </c>
      <c r="I2440" s="7" t="s">
        <v>26</v>
      </c>
      <c r="J2440" s="7">
        <v>839</v>
      </c>
      <c r="K2440" s="7">
        <v>1199.77</v>
      </c>
    </row>
    <row r="2441" spans="1:11" ht="18" customHeight="1" x14ac:dyDescent="0.25">
      <c r="A2441" s="7" t="s">
        <v>19</v>
      </c>
      <c r="B2441" s="7">
        <v>2023</v>
      </c>
      <c r="C2441" s="7" t="s">
        <v>60</v>
      </c>
      <c r="D2441" s="7" t="s">
        <v>72</v>
      </c>
      <c r="E2441" s="7" t="s">
        <v>22</v>
      </c>
      <c r="F2441" s="7" t="s">
        <v>23</v>
      </c>
      <c r="G2441" s="7" t="s">
        <v>24</v>
      </c>
      <c r="H2441" s="7" t="s">
        <v>25</v>
      </c>
      <c r="I2441" s="7" t="s">
        <v>26</v>
      </c>
      <c r="J2441" s="7">
        <v>191</v>
      </c>
      <c r="K2441" s="7">
        <v>273.13</v>
      </c>
    </row>
    <row r="2442" spans="1:11" ht="18" customHeight="1" x14ac:dyDescent="0.25">
      <c r="A2442" s="7" t="s">
        <v>34</v>
      </c>
      <c r="B2442" s="7">
        <v>2023</v>
      </c>
      <c r="C2442" s="7" t="s">
        <v>60</v>
      </c>
      <c r="D2442" s="7" t="s">
        <v>72</v>
      </c>
      <c r="E2442" s="7" t="s">
        <v>22</v>
      </c>
      <c r="F2442" s="7" t="s">
        <v>23</v>
      </c>
      <c r="G2442" s="7" t="s">
        <v>24</v>
      </c>
      <c r="H2442" s="7" t="s">
        <v>25</v>
      </c>
      <c r="I2442" s="7" t="s">
        <v>26</v>
      </c>
      <c r="J2442" s="7">
        <v>161</v>
      </c>
      <c r="K2442" s="7">
        <v>230.23000000000002</v>
      </c>
    </row>
    <row r="2443" spans="1:11" ht="18" customHeight="1" x14ac:dyDescent="0.25">
      <c r="A2443" s="7" t="s">
        <v>19</v>
      </c>
      <c r="B2443" s="7">
        <v>2023</v>
      </c>
      <c r="C2443" s="7" t="s">
        <v>65</v>
      </c>
      <c r="D2443" s="7" t="s">
        <v>72</v>
      </c>
      <c r="E2443" s="7" t="s">
        <v>22</v>
      </c>
      <c r="F2443" s="7" t="s">
        <v>23</v>
      </c>
      <c r="G2443" s="7" t="s">
        <v>24</v>
      </c>
      <c r="H2443" s="7" t="s">
        <v>25</v>
      </c>
      <c r="I2443" s="7" t="s">
        <v>26</v>
      </c>
      <c r="J2443" s="7">
        <v>170</v>
      </c>
      <c r="K2443" s="7">
        <v>243.1</v>
      </c>
    </row>
    <row r="2444" spans="1:11" ht="18" customHeight="1" x14ac:dyDescent="0.25">
      <c r="A2444" s="7" t="s">
        <v>19</v>
      </c>
      <c r="B2444" s="7">
        <v>2023</v>
      </c>
      <c r="C2444" s="7" t="s">
        <v>65</v>
      </c>
      <c r="D2444" s="7" t="s">
        <v>72</v>
      </c>
      <c r="E2444" s="7" t="s">
        <v>22</v>
      </c>
      <c r="F2444" s="7" t="s">
        <v>23</v>
      </c>
      <c r="G2444" s="7" t="s">
        <v>24</v>
      </c>
      <c r="H2444" s="7" t="s">
        <v>25</v>
      </c>
      <c r="I2444" s="7" t="s">
        <v>26</v>
      </c>
      <c r="J2444" s="7">
        <v>140</v>
      </c>
      <c r="K2444" s="7">
        <v>200.2</v>
      </c>
    </row>
    <row r="2445" spans="1:11" ht="18" customHeight="1" x14ac:dyDescent="0.25">
      <c r="A2445" s="7" t="s">
        <v>19</v>
      </c>
      <c r="B2445" s="7">
        <v>2023</v>
      </c>
      <c r="C2445" s="7" t="s">
        <v>65</v>
      </c>
      <c r="D2445" s="7" t="s">
        <v>72</v>
      </c>
      <c r="E2445" s="7" t="s">
        <v>22</v>
      </c>
      <c r="F2445" s="7" t="s">
        <v>23</v>
      </c>
      <c r="G2445" s="7" t="s">
        <v>24</v>
      </c>
      <c r="H2445" s="7" t="s">
        <v>25</v>
      </c>
      <c r="I2445" s="7" t="s">
        <v>26</v>
      </c>
      <c r="J2445" s="7">
        <v>166</v>
      </c>
      <c r="K2445" s="7">
        <v>526.24</v>
      </c>
    </row>
    <row r="2446" spans="1:11" ht="18" customHeight="1" x14ac:dyDescent="0.25">
      <c r="A2446" s="7" t="s">
        <v>19</v>
      </c>
      <c r="B2446" s="7">
        <v>2023</v>
      </c>
      <c r="C2446" s="7" t="s">
        <v>65</v>
      </c>
      <c r="D2446" s="7" t="s">
        <v>72</v>
      </c>
      <c r="E2446" s="7" t="s">
        <v>22</v>
      </c>
      <c r="F2446" s="7" t="s">
        <v>23</v>
      </c>
      <c r="G2446" s="7" t="s">
        <v>24</v>
      </c>
      <c r="H2446" s="7" t="s">
        <v>25</v>
      </c>
      <c r="I2446" s="7" t="s">
        <v>26</v>
      </c>
      <c r="J2446" s="7">
        <v>142</v>
      </c>
      <c r="K2446" s="7">
        <v>526.24</v>
      </c>
    </row>
    <row r="2447" spans="1:11" ht="18" customHeight="1" x14ac:dyDescent="0.25">
      <c r="A2447" s="7" t="s">
        <v>34</v>
      </c>
      <c r="B2447" s="7">
        <v>2023</v>
      </c>
      <c r="C2447" s="7" t="s">
        <v>65</v>
      </c>
      <c r="D2447" s="7" t="s">
        <v>72</v>
      </c>
      <c r="E2447" s="7" t="s">
        <v>22</v>
      </c>
      <c r="F2447" s="7" t="s">
        <v>23</v>
      </c>
      <c r="G2447" s="7" t="s">
        <v>24</v>
      </c>
      <c r="H2447" s="7" t="s">
        <v>25</v>
      </c>
      <c r="I2447" s="7" t="s">
        <v>26</v>
      </c>
      <c r="J2447" s="7">
        <v>975</v>
      </c>
      <c r="K2447" s="7">
        <v>1394.25</v>
      </c>
    </row>
    <row r="2448" spans="1:11" ht="18" customHeight="1" x14ac:dyDescent="0.25">
      <c r="A2448" s="7" t="s">
        <v>34</v>
      </c>
      <c r="B2448" s="7">
        <v>2023</v>
      </c>
      <c r="C2448" s="7" t="s">
        <v>65</v>
      </c>
      <c r="D2448" s="7" t="s">
        <v>72</v>
      </c>
      <c r="E2448" s="7" t="s">
        <v>22</v>
      </c>
      <c r="F2448" s="7" t="s">
        <v>23</v>
      </c>
      <c r="G2448" s="7" t="s">
        <v>24</v>
      </c>
      <c r="H2448" s="7" t="s">
        <v>25</v>
      </c>
      <c r="I2448" s="7" t="s">
        <v>26</v>
      </c>
      <c r="J2448" s="7">
        <v>141</v>
      </c>
      <c r="K2448" s="7">
        <v>201.63</v>
      </c>
    </row>
    <row r="2449" spans="1:11" ht="18" customHeight="1" x14ac:dyDescent="0.25">
      <c r="A2449" s="7" t="s">
        <v>19</v>
      </c>
      <c r="B2449" s="7">
        <v>2023</v>
      </c>
      <c r="C2449" s="7" t="s">
        <v>65</v>
      </c>
      <c r="D2449" s="7" t="s">
        <v>72</v>
      </c>
      <c r="E2449" s="7" t="s">
        <v>22</v>
      </c>
      <c r="F2449" s="7" t="s">
        <v>23</v>
      </c>
      <c r="G2449" s="7" t="s">
        <v>24</v>
      </c>
      <c r="H2449" s="7" t="s">
        <v>25</v>
      </c>
      <c r="I2449" s="7" t="s">
        <v>26</v>
      </c>
      <c r="J2449" s="7">
        <v>756</v>
      </c>
      <c r="K2449" s="7">
        <v>1081.08</v>
      </c>
    </row>
    <row r="2450" spans="1:11" ht="18" customHeight="1" x14ac:dyDescent="0.25">
      <c r="A2450" s="7" t="s">
        <v>19</v>
      </c>
      <c r="B2450" s="7">
        <v>2023</v>
      </c>
      <c r="C2450" s="7" t="s">
        <v>65</v>
      </c>
      <c r="D2450" s="7" t="s">
        <v>72</v>
      </c>
      <c r="E2450" s="7" t="s">
        <v>22</v>
      </c>
      <c r="F2450" s="7" t="s">
        <v>23</v>
      </c>
      <c r="G2450" s="7" t="s">
        <v>24</v>
      </c>
      <c r="H2450" s="7" t="s">
        <v>25</v>
      </c>
      <c r="I2450" s="7" t="s">
        <v>26</v>
      </c>
      <c r="J2450" s="7">
        <v>843</v>
      </c>
      <c r="K2450" s="7">
        <v>1205.49</v>
      </c>
    </row>
    <row r="2451" spans="1:11" ht="18" customHeight="1" x14ac:dyDescent="0.25">
      <c r="A2451" s="7" t="s">
        <v>19</v>
      </c>
      <c r="B2451" s="7">
        <v>2023</v>
      </c>
      <c r="C2451" s="7" t="s">
        <v>65</v>
      </c>
      <c r="D2451" s="7" t="s">
        <v>72</v>
      </c>
      <c r="E2451" s="7" t="s">
        <v>22</v>
      </c>
      <c r="F2451" s="7" t="s">
        <v>23</v>
      </c>
      <c r="G2451" s="7" t="s">
        <v>24</v>
      </c>
      <c r="H2451" s="7" t="s">
        <v>25</v>
      </c>
      <c r="I2451" s="7" t="s">
        <v>26</v>
      </c>
      <c r="J2451" s="7">
        <v>167</v>
      </c>
      <c r="K2451" s="7">
        <v>238.81</v>
      </c>
    </row>
    <row r="2452" spans="1:11" ht="18" customHeight="1" x14ac:dyDescent="0.25">
      <c r="A2452" s="7" t="s">
        <v>19</v>
      </c>
      <c r="B2452" s="7">
        <v>2023</v>
      </c>
      <c r="C2452" s="7" t="s">
        <v>65</v>
      </c>
      <c r="D2452" s="7" t="s">
        <v>72</v>
      </c>
      <c r="E2452" s="7" t="s">
        <v>22</v>
      </c>
      <c r="F2452" s="7" t="s">
        <v>23</v>
      </c>
      <c r="G2452" s="7" t="s">
        <v>24</v>
      </c>
      <c r="H2452" s="7" t="s">
        <v>25</v>
      </c>
      <c r="I2452" s="7" t="s">
        <v>26</v>
      </c>
      <c r="J2452" s="7">
        <v>143</v>
      </c>
      <c r="K2452" s="7">
        <v>204.49</v>
      </c>
    </row>
    <row r="2453" spans="1:11" ht="18" customHeight="1" x14ac:dyDescent="0.25">
      <c r="A2453" s="7" t="s">
        <v>34</v>
      </c>
      <c r="B2453" s="7">
        <v>2023</v>
      </c>
      <c r="C2453" s="7" t="s">
        <v>59</v>
      </c>
      <c r="D2453" s="7" t="s">
        <v>72</v>
      </c>
      <c r="E2453" s="7" t="s">
        <v>22</v>
      </c>
      <c r="F2453" s="7" t="s">
        <v>23</v>
      </c>
      <c r="G2453" s="7" t="s">
        <v>24</v>
      </c>
      <c r="H2453" s="7" t="s">
        <v>25</v>
      </c>
      <c r="I2453" s="7" t="s">
        <v>35</v>
      </c>
      <c r="J2453" s="7">
        <v>272</v>
      </c>
      <c r="K2453" s="7">
        <v>388.96</v>
      </c>
    </row>
    <row r="2454" spans="1:11" ht="18" customHeight="1" x14ac:dyDescent="0.25">
      <c r="A2454" s="7" t="s">
        <v>34</v>
      </c>
      <c r="B2454" s="7">
        <v>2023</v>
      </c>
      <c r="C2454" s="7" t="s">
        <v>59</v>
      </c>
      <c r="D2454" s="7" t="s">
        <v>72</v>
      </c>
      <c r="E2454" s="7" t="s">
        <v>22</v>
      </c>
      <c r="F2454" s="7" t="s">
        <v>23</v>
      </c>
      <c r="G2454" s="7" t="s">
        <v>24</v>
      </c>
      <c r="H2454" s="7" t="s">
        <v>25</v>
      </c>
      <c r="I2454" s="7" t="s">
        <v>35</v>
      </c>
      <c r="J2454" s="7">
        <v>266</v>
      </c>
      <c r="K2454" s="7">
        <v>380.38</v>
      </c>
    </row>
    <row r="2455" spans="1:11" ht="18" customHeight="1" x14ac:dyDescent="0.25">
      <c r="A2455" s="7" t="s">
        <v>19</v>
      </c>
      <c r="B2455" s="7">
        <v>2023</v>
      </c>
      <c r="C2455" s="7" t="s">
        <v>59</v>
      </c>
      <c r="D2455" s="7" t="s">
        <v>72</v>
      </c>
      <c r="E2455" s="7" t="s">
        <v>22</v>
      </c>
      <c r="F2455" s="7" t="s">
        <v>23</v>
      </c>
      <c r="G2455" s="7" t="s">
        <v>24</v>
      </c>
      <c r="H2455" s="7" t="s">
        <v>25</v>
      </c>
      <c r="I2455" s="7" t="s">
        <v>26</v>
      </c>
      <c r="J2455" s="7">
        <v>224</v>
      </c>
      <c r="K2455" s="7">
        <v>320.32</v>
      </c>
    </row>
    <row r="2456" spans="1:11" ht="18" customHeight="1" x14ac:dyDescent="0.25">
      <c r="A2456" s="7" t="s">
        <v>19</v>
      </c>
      <c r="B2456" s="7">
        <v>2023</v>
      </c>
      <c r="C2456" s="7" t="s">
        <v>59</v>
      </c>
      <c r="D2456" s="7" t="s">
        <v>72</v>
      </c>
      <c r="E2456" s="7" t="s">
        <v>22</v>
      </c>
      <c r="F2456" s="7" t="s">
        <v>23</v>
      </c>
      <c r="G2456" s="7" t="s">
        <v>24</v>
      </c>
      <c r="H2456" s="7" t="s">
        <v>25</v>
      </c>
      <c r="I2456" s="7" t="s">
        <v>26</v>
      </c>
      <c r="J2456" s="7">
        <v>194</v>
      </c>
      <c r="K2456" s="7">
        <v>277.42</v>
      </c>
    </row>
    <row r="2457" spans="1:11" ht="18" customHeight="1" x14ac:dyDescent="0.25">
      <c r="A2457" s="7" t="s">
        <v>42</v>
      </c>
      <c r="B2457" s="7">
        <v>2023</v>
      </c>
      <c r="C2457" s="7" t="s">
        <v>59</v>
      </c>
      <c r="D2457" s="7" t="s">
        <v>72</v>
      </c>
      <c r="E2457" s="7" t="s">
        <v>22</v>
      </c>
      <c r="F2457" s="7" t="s">
        <v>23</v>
      </c>
      <c r="G2457" s="7" t="s">
        <v>24</v>
      </c>
      <c r="H2457" s="7" t="s">
        <v>25</v>
      </c>
      <c r="I2457" s="7" t="s">
        <v>26</v>
      </c>
      <c r="J2457" s="7">
        <v>268</v>
      </c>
      <c r="K2457" s="7">
        <v>383.24</v>
      </c>
    </row>
    <row r="2458" spans="1:11" ht="18" customHeight="1" x14ac:dyDescent="0.25">
      <c r="A2458" s="7" t="s">
        <v>42</v>
      </c>
      <c r="B2458" s="7">
        <v>2023</v>
      </c>
      <c r="C2458" s="7" t="s">
        <v>59</v>
      </c>
      <c r="D2458" s="7" t="s">
        <v>72</v>
      </c>
      <c r="E2458" s="7" t="s">
        <v>22</v>
      </c>
      <c r="F2458" s="7" t="s">
        <v>23</v>
      </c>
      <c r="G2458" s="7" t="s">
        <v>24</v>
      </c>
      <c r="H2458" s="7" t="s">
        <v>25</v>
      </c>
      <c r="I2458" s="7" t="s">
        <v>26</v>
      </c>
      <c r="J2458" s="7">
        <v>220</v>
      </c>
      <c r="K2458" s="7">
        <v>526.24</v>
      </c>
    </row>
    <row r="2459" spans="1:11" ht="18" customHeight="1" x14ac:dyDescent="0.25">
      <c r="A2459" s="7" t="s">
        <v>42</v>
      </c>
      <c r="B2459" s="7">
        <v>2023</v>
      </c>
      <c r="C2459" s="7" t="s">
        <v>59</v>
      </c>
      <c r="D2459" s="7" t="s">
        <v>72</v>
      </c>
      <c r="E2459" s="7" t="s">
        <v>22</v>
      </c>
      <c r="F2459" s="7" t="s">
        <v>23</v>
      </c>
      <c r="G2459" s="7" t="s">
        <v>24</v>
      </c>
      <c r="H2459" s="7" t="s">
        <v>25</v>
      </c>
      <c r="I2459" s="7" t="s">
        <v>26</v>
      </c>
      <c r="J2459" s="7">
        <v>196</v>
      </c>
      <c r="K2459" s="7">
        <v>526.24</v>
      </c>
    </row>
    <row r="2460" spans="1:11" ht="18" customHeight="1" x14ac:dyDescent="0.25">
      <c r="A2460" s="7" t="s">
        <v>61</v>
      </c>
      <c r="B2460" s="7">
        <v>2023</v>
      </c>
      <c r="C2460" s="7" t="s">
        <v>59</v>
      </c>
      <c r="D2460" s="7" t="s">
        <v>72</v>
      </c>
      <c r="E2460" s="7" t="s">
        <v>22</v>
      </c>
      <c r="F2460" s="7" t="s">
        <v>23</v>
      </c>
      <c r="G2460" s="7" t="s">
        <v>24</v>
      </c>
      <c r="H2460" s="7" t="s">
        <v>25</v>
      </c>
      <c r="I2460" s="7" t="s">
        <v>26</v>
      </c>
      <c r="J2460" s="7">
        <v>966</v>
      </c>
      <c r="K2460" s="7">
        <v>1381.38</v>
      </c>
    </row>
    <row r="2461" spans="1:11" ht="18" customHeight="1" x14ac:dyDescent="0.25">
      <c r="A2461" s="7" t="s">
        <v>19</v>
      </c>
      <c r="B2461" s="7">
        <v>2023</v>
      </c>
      <c r="C2461" s="7" t="s">
        <v>59</v>
      </c>
      <c r="D2461" s="7" t="s">
        <v>72</v>
      </c>
      <c r="E2461" s="7" t="s">
        <v>22</v>
      </c>
      <c r="F2461" s="7" t="s">
        <v>23</v>
      </c>
      <c r="G2461" s="7" t="s">
        <v>24</v>
      </c>
      <c r="H2461" s="7" t="s">
        <v>25</v>
      </c>
      <c r="I2461" s="7" t="s">
        <v>26</v>
      </c>
      <c r="J2461" s="7">
        <v>1019</v>
      </c>
      <c r="K2461" s="7">
        <v>1457.17</v>
      </c>
    </row>
    <row r="2462" spans="1:11" ht="18" customHeight="1" x14ac:dyDescent="0.25">
      <c r="A2462" s="7" t="s">
        <v>19</v>
      </c>
      <c r="B2462" s="7">
        <v>2023</v>
      </c>
      <c r="C2462" s="7" t="s">
        <v>59</v>
      </c>
      <c r="D2462" s="7" t="s">
        <v>72</v>
      </c>
      <c r="E2462" s="7" t="s">
        <v>22</v>
      </c>
      <c r="F2462" s="7" t="s">
        <v>23</v>
      </c>
      <c r="G2462" s="7" t="s">
        <v>24</v>
      </c>
      <c r="H2462" s="7" t="s">
        <v>25</v>
      </c>
      <c r="I2462" s="7" t="s">
        <v>26</v>
      </c>
      <c r="J2462" s="7">
        <v>192</v>
      </c>
      <c r="K2462" s="7">
        <v>274.56</v>
      </c>
    </row>
    <row r="2463" spans="1:11" ht="18" customHeight="1" x14ac:dyDescent="0.25">
      <c r="A2463" s="7" t="s">
        <v>19</v>
      </c>
      <c r="B2463" s="7">
        <v>2023</v>
      </c>
      <c r="C2463" s="7" t="s">
        <v>59</v>
      </c>
      <c r="D2463" s="7" t="s">
        <v>72</v>
      </c>
      <c r="E2463" s="7" t="s">
        <v>22</v>
      </c>
      <c r="F2463" s="7" t="s">
        <v>23</v>
      </c>
      <c r="G2463" s="7" t="s">
        <v>24</v>
      </c>
      <c r="H2463" s="7" t="s">
        <v>25</v>
      </c>
      <c r="I2463" s="7" t="s">
        <v>26</v>
      </c>
      <c r="J2463" s="7">
        <v>219</v>
      </c>
      <c r="K2463" s="7">
        <v>313.17</v>
      </c>
    </row>
    <row r="2464" spans="1:11" ht="18" customHeight="1" x14ac:dyDescent="0.25">
      <c r="A2464" s="7" t="s">
        <v>61</v>
      </c>
      <c r="B2464" s="7">
        <v>2023</v>
      </c>
      <c r="C2464" s="7" t="s">
        <v>59</v>
      </c>
      <c r="D2464" s="7" t="s">
        <v>72</v>
      </c>
      <c r="E2464" s="7" t="s">
        <v>22</v>
      </c>
      <c r="F2464" s="7" t="s">
        <v>23</v>
      </c>
      <c r="G2464" s="7" t="s">
        <v>24</v>
      </c>
      <c r="H2464" s="7" t="s">
        <v>25</v>
      </c>
      <c r="I2464" s="7" t="s">
        <v>26</v>
      </c>
      <c r="J2464" s="7">
        <v>195</v>
      </c>
      <c r="K2464" s="7">
        <v>278.85000000000002</v>
      </c>
    </row>
    <row r="2465" spans="1:11" ht="18" customHeight="1" x14ac:dyDescent="0.25">
      <c r="A2465" s="7" t="s">
        <v>19</v>
      </c>
      <c r="B2465" s="7">
        <v>2023</v>
      </c>
      <c r="C2465" s="7" t="s">
        <v>59</v>
      </c>
      <c r="D2465" s="7" t="s">
        <v>72</v>
      </c>
      <c r="E2465" s="7" t="s">
        <v>22</v>
      </c>
      <c r="F2465" s="7" t="s">
        <v>23</v>
      </c>
      <c r="G2465" s="7" t="s">
        <v>24</v>
      </c>
      <c r="H2465" s="7" t="s">
        <v>25</v>
      </c>
      <c r="I2465" s="7" t="s">
        <v>26</v>
      </c>
      <c r="J2465" s="7">
        <v>271</v>
      </c>
      <c r="K2465" s="7">
        <v>387.53</v>
      </c>
    </row>
    <row r="2466" spans="1:11" ht="18" customHeight="1" x14ac:dyDescent="0.25">
      <c r="A2466" s="7" t="s">
        <v>42</v>
      </c>
      <c r="B2466" s="7">
        <v>2023</v>
      </c>
      <c r="C2466" s="7" t="s">
        <v>59</v>
      </c>
      <c r="D2466" s="7" t="s">
        <v>72</v>
      </c>
      <c r="E2466" s="7" t="s">
        <v>22</v>
      </c>
      <c r="F2466" s="7" t="s">
        <v>23</v>
      </c>
      <c r="G2466" s="7" t="s">
        <v>24</v>
      </c>
      <c r="H2466" s="7" t="s">
        <v>25</v>
      </c>
      <c r="I2466" s="7" t="s">
        <v>26</v>
      </c>
      <c r="J2466" s="7">
        <v>747</v>
      </c>
      <c r="K2466" s="7">
        <v>1068.21</v>
      </c>
    </row>
    <row r="2467" spans="1:11" ht="18" customHeight="1" x14ac:dyDescent="0.25">
      <c r="A2467" s="7" t="s">
        <v>42</v>
      </c>
      <c r="B2467" s="7">
        <v>2023</v>
      </c>
      <c r="C2467" s="7" t="s">
        <v>59</v>
      </c>
      <c r="D2467" s="7" t="s">
        <v>72</v>
      </c>
      <c r="E2467" s="7" t="s">
        <v>22</v>
      </c>
      <c r="F2467" s="7" t="s">
        <v>23</v>
      </c>
      <c r="G2467" s="7" t="s">
        <v>24</v>
      </c>
      <c r="H2467" s="7" t="s">
        <v>25</v>
      </c>
      <c r="I2467" s="7" t="s">
        <v>26</v>
      </c>
      <c r="J2467" s="7">
        <v>834</v>
      </c>
      <c r="K2467" s="7">
        <v>1192.6199999999999</v>
      </c>
    </row>
    <row r="2468" spans="1:11" ht="18" customHeight="1" x14ac:dyDescent="0.25">
      <c r="A2468" s="7" t="s">
        <v>19</v>
      </c>
      <c r="B2468" s="7">
        <v>2023</v>
      </c>
      <c r="C2468" s="7" t="s">
        <v>59</v>
      </c>
      <c r="D2468" s="7" t="s">
        <v>72</v>
      </c>
      <c r="E2468" s="7" t="s">
        <v>22</v>
      </c>
      <c r="F2468" s="7" t="s">
        <v>23</v>
      </c>
      <c r="G2468" s="7" t="s">
        <v>24</v>
      </c>
      <c r="H2468" s="7" t="s">
        <v>25</v>
      </c>
      <c r="I2468" s="7" t="s">
        <v>35</v>
      </c>
      <c r="J2468" s="7">
        <v>269</v>
      </c>
      <c r="K2468" s="7">
        <v>384.67</v>
      </c>
    </row>
    <row r="2469" spans="1:11" ht="18" customHeight="1" x14ac:dyDescent="0.25">
      <c r="A2469" s="7" t="s">
        <v>19</v>
      </c>
      <c r="B2469" s="7">
        <v>2023</v>
      </c>
      <c r="C2469" s="7" t="s">
        <v>59</v>
      </c>
      <c r="D2469" s="7" t="s">
        <v>72</v>
      </c>
      <c r="E2469" s="7" t="s">
        <v>22</v>
      </c>
      <c r="F2469" s="7" t="s">
        <v>23</v>
      </c>
      <c r="G2469" s="7" t="s">
        <v>24</v>
      </c>
      <c r="H2469" s="7" t="s">
        <v>25</v>
      </c>
      <c r="I2469" s="7" t="s">
        <v>26</v>
      </c>
      <c r="J2469" s="7">
        <v>221</v>
      </c>
      <c r="K2469" s="7">
        <v>316.02999999999997</v>
      </c>
    </row>
    <row r="2470" spans="1:11" ht="18" customHeight="1" x14ac:dyDescent="0.25">
      <c r="A2470" s="7" t="s">
        <v>42</v>
      </c>
      <c r="B2470" s="7">
        <v>2023</v>
      </c>
      <c r="C2470" s="7" t="s">
        <v>59</v>
      </c>
      <c r="D2470" s="7" t="s">
        <v>72</v>
      </c>
      <c r="E2470" s="7" t="s">
        <v>22</v>
      </c>
      <c r="F2470" s="7" t="s">
        <v>23</v>
      </c>
      <c r="G2470" s="7" t="s">
        <v>24</v>
      </c>
      <c r="H2470" s="7" t="s">
        <v>25</v>
      </c>
      <c r="I2470" s="7" t="s">
        <v>26</v>
      </c>
      <c r="J2470" s="7">
        <v>149</v>
      </c>
      <c r="K2470" s="7">
        <v>213.07</v>
      </c>
    </row>
    <row r="2471" spans="1:11" ht="18" customHeight="1" x14ac:dyDescent="0.25">
      <c r="A2471" s="7" t="s">
        <v>19</v>
      </c>
      <c r="B2471" s="7">
        <v>2023</v>
      </c>
      <c r="C2471" s="7" t="s">
        <v>59</v>
      </c>
      <c r="D2471" s="7" t="s">
        <v>72</v>
      </c>
      <c r="E2471" s="7" t="s">
        <v>22</v>
      </c>
      <c r="F2471" s="7" t="s">
        <v>23</v>
      </c>
      <c r="G2471" s="7" t="s">
        <v>24</v>
      </c>
      <c r="H2471" s="7" t="s">
        <v>25</v>
      </c>
      <c r="I2471" s="7" t="s">
        <v>26</v>
      </c>
      <c r="J2471" s="7">
        <v>197</v>
      </c>
      <c r="K2471" s="7">
        <v>281.70999999999998</v>
      </c>
    </row>
    <row r="2472" spans="1:11" ht="18" customHeight="1" x14ac:dyDescent="0.25">
      <c r="A2472" s="7" t="s">
        <v>42</v>
      </c>
      <c r="B2472" s="7">
        <v>2023</v>
      </c>
      <c r="C2472" s="7" t="s">
        <v>27</v>
      </c>
      <c r="D2472" s="7" t="s">
        <v>72</v>
      </c>
      <c r="E2472" s="7" t="s">
        <v>22</v>
      </c>
      <c r="F2472" s="7" t="s">
        <v>23</v>
      </c>
      <c r="G2472" s="7" t="s">
        <v>24</v>
      </c>
      <c r="H2472" s="7" t="s">
        <v>25</v>
      </c>
      <c r="I2472" s="7" t="s">
        <v>35</v>
      </c>
      <c r="J2472" s="7">
        <v>284</v>
      </c>
      <c r="K2472" s="7">
        <v>406.12</v>
      </c>
    </row>
    <row r="2473" spans="1:11" ht="18" customHeight="1" x14ac:dyDescent="0.25">
      <c r="A2473" s="7" t="s">
        <v>34</v>
      </c>
      <c r="B2473" s="7">
        <v>2023</v>
      </c>
      <c r="C2473" s="7" t="s">
        <v>27</v>
      </c>
      <c r="D2473" s="7" t="s">
        <v>72</v>
      </c>
      <c r="E2473" s="7" t="s">
        <v>22</v>
      </c>
      <c r="F2473" s="7" t="s">
        <v>23</v>
      </c>
      <c r="G2473" s="7" t="s">
        <v>24</v>
      </c>
      <c r="H2473" s="7" t="s">
        <v>25</v>
      </c>
      <c r="I2473" s="7" t="s">
        <v>35</v>
      </c>
      <c r="J2473" s="7">
        <v>278</v>
      </c>
      <c r="K2473" s="7">
        <v>397.53999999999996</v>
      </c>
    </row>
    <row r="2474" spans="1:11" ht="18" customHeight="1" x14ac:dyDescent="0.25">
      <c r="A2474" s="7" t="s">
        <v>42</v>
      </c>
      <c r="B2474" s="7">
        <v>2023</v>
      </c>
      <c r="C2474" s="7" t="s">
        <v>27</v>
      </c>
      <c r="D2474" s="7" t="s">
        <v>72</v>
      </c>
      <c r="E2474" s="7" t="s">
        <v>22</v>
      </c>
      <c r="F2474" s="7" t="s">
        <v>23</v>
      </c>
      <c r="G2474" s="7" t="s">
        <v>24</v>
      </c>
      <c r="H2474" s="7" t="s">
        <v>25</v>
      </c>
      <c r="I2474" s="7" t="s">
        <v>26</v>
      </c>
      <c r="J2474" s="7">
        <v>152</v>
      </c>
      <c r="K2474" s="7">
        <v>217.36</v>
      </c>
    </row>
    <row r="2475" spans="1:11" ht="18" customHeight="1" x14ac:dyDescent="0.25">
      <c r="A2475" s="7" t="s">
        <v>19</v>
      </c>
      <c r="B2475" s="7">
        <v>2023</v>
      </c>
      <c r="C2475" s="7" t="s">
        <v>27</v>
      </c>
      <c r="D2475" s="7" t="s">
        <v>72</v>
      </c>
      <c r="E2475" s="7" t="s">
        <v>22</v>
      </c>
      <c r="F2475" s="7" t="s">
        <v>23</v>
      </c>
      <c r="G2475" s="7" t="s">
        <v>24</v>
      </c>
      <c r="H2475" s="7" t="s">
        <v>25</v>
      </c>
      <c r="I2475" s="7" t="s">
        <v>26</v>
      </c>
      <c r="J2475" s="7">
        <v>200</v>
      </c>
      <c r="K2475" s="7">
        <v>286</v>
      </c>
    </row>
    <row r="2476" spans="1:11" ht="18" customHeight="1" x14ac:dyDescent="0.25">
      <c r="A2476" s="7" t="s">
        <v>34</v>
      </c>
      <c r="B2476" s="7">
        <v>2023</v>
      </c>
      <c r="C2476" s="7" t="s">
        <v>27</v>
      </c>
      <c r="D2476" s="7" t="s">
        <v>72</v>
      </c>
      <c r="E2476" s="7" t="s">
        <v>22</v>
      </c>
      <c r="F2476" s="7" t="s">
        <v>23</v>
      </c>
      <c r="G2476" s="7" t="s">
        <v>24</v>
      </c>
      <c r="H2476" s="7" t="s">
        <v>25</v>
      </c>
      <c r="I2476" s="7" t="s">
        <v>26</v>
      </c>
      <c r="J2476" s="7">
        <v>286</v>
      </c>
      <c r="K2476" s="7">
        <v>408.98</v>
      </c>
    </row>
    <row r="2477" spans="1:11" ht="18" customHeight="1" x14ac:dyDescent="0.25">
      <c r="A2477" s="7" t="s">
        <v>34</v>
      </c>
      <c r="B2477" s="7">
        <v>2023</v>
      </c>
      <c r="C2477" s="7" t="s">
        <v>27</v>
      </c>
      <c r="D2477" s="7" t="s">
        <v>72</v>
      </c>
      <c r="E2477" s="7" t="s">
        <v>22</v>
      </c>
      <c r="F2477" s="7" t="s">
        <v>23</v>
      </c>
      <c r="G2477" s="7" t="s">
        <v>24</v>
      </c>
      <c r="H2477" s="7" t="s">
        <v>25</v>
      </c>
      <c r="I2477" s="7" t="s">
        <v>26</v>
      </c>
      <c r="J2477" s="7">
        <v>280</v>
      </c>
      <c r="K2477" s="7">
        <v>400.4</v>
      </c>
    </row>
    <row r="2478" spans="1:11" ht="18" customHeight="1" x14ac:dyDescent="0.25">
      <c r="A2478" s="7" t="s">
        <v>19</v>
      </c>
      <c r="B2478" s="7">
        <v>2023</v>
      </c>
      <c r="C2478" s="7" t="s">
        <v>27</v>
      </c>
      <c r="D2478" s="7" t="s">
        <v>72</v>
      </c>
      <c r="E2478" s="7" t="s">
        <v>22</v>
      </c>
      <c r="F2478" s="7" t="s">
        <v>23</v>
      </c>
      <c r="G2478" s="7" t="s">
        <v>24</v>
      </c>
      <c r="H2478" s="7" t="s">
        <v>25</v>
      </c>
      <c r="I2478" s="7" t="s">
        <v>26</v>
      </c>
      <c r="J2478" s="7">
        <v>274</v>
      </c>
      <c r="K2478" s="7">
        <v>391.82</v>
      </c>
    </row>
    <row r="2479" spans="1:11" ht="18" customHeight="1" x14ac:dyDescent="0.25">
      <c r="A2479" s="7" t="s">
        <v>34</v>
      </c>
      <c r="B2479" s="7">
        <v>2023</v>
      </c>
      <c r="C2479" s="7" t="s">
        <v>27</v>
      </c>
      <c r="D2479" s="7" t="s">
        <v>72</v>
      </c>
      <c r="E2479" s="7" t="s">
        <v>22</v>
      </c>
      <c r="F2479" s="7" t="s">
        <v>23</v>
      </c>
      <c r="G2479" s="7" t="s">
        <v>24</v>
      </c>
      <c r="H2479" s="7" t="s">
        <v>25</v>
      </c>
      <c r="I2479" s="7" t="s">
        <v>26</v>
      </c>
      <c r="J2479" s="7">
        <v>226</v>
      </c>
      <c r="K2479" s="7">
        <v>526.24</v>
      </c>
    </row>
    <row r="2480" spans="1:11" ht="18" customHeight="1" x14ac:dyDescent="0.25">
      <c r="A2480" s="7" t="s">
        <v>53</v>
      </c>
      <c r="B2480" s="7">
        <v>2023</v>
      </c>
      <c r="C2480" s="7" t="s">
        <v>27</v>
      </c>
      <c r="D2480" s="7" t="s">
        <v>72</v>
      </c>
      <c r="E2480" s="7" t="s">
        <v>22</v>
      </c>
      <c r="F2480" s="7" t="s">
        <v>23</v>
      </c>
      <c r="G2480" s="7" t="s">
        <v>24</v>
      </c>
      <c r="H2480" s="7" t="s">
        <v>25</v>
      </c>
      <c r="I2480" s="7" t="s">
        <v>26</v>
      </c>
      <c r="J2480" s="7">
        <v>154</v>
      </c>
      <c r="K2480" s="7">
        <v>526.24</v>
      </c>
    </row>
    <row r="2481" spans="1:11" ht="18" customHeight="1" x14ac:dyDescent="0.25">
      <c r="A2481" s="7" t="s">
        <v>19</v>
      </c>
      <c r="B2481" s="7">
        <v>2023</v>
      </c>
      <c r="C2481" s="7" t="s">
        <v>27</v>
      </c>
      <c r="D2481" s="7" t="s">
        <v>72</v>
      </c>
      <c r="E2481" s="7" t="s">
        <v>22</v>
      </c>
      <c r="F2481" s="7" t="s">
        <v>23</v>
      </c>
      <c r="G2481" s="7" t="s">
        <v>24</v>
      </c>
      <c r="H2481" s="7" t="s">
        <v>25</v>
      </c>
      <c r="I2481" s="7" t="s">
        <v>26</v>
      </c>
      <c r="J2481" s="7">
        <v>202</v>
      </c>
      <c r="K2481" s="7">
        <v>526.24</v>
      </c>
    </row>
    <row r="2482" spans="1:11" ht="18" customHeight="1" x14ac:dyDescent="0.25">
      <c r="A2482" s="7" t="s">
        <v>42</v>
      </c>
      <c r="B2482" s="7">
        <v>2023</v>
      </c>
      <c r="C2482" s="7" t="s">
        <v>27</v>
      </c>
      <c r="D2482" s="7" t="s">
        <v>72</v>
      </c>
      <c r="E2482" s="7" t="s">
        <v>22</v>
      </c>
      <c r="F2482" s="7" t="s">
        <v>23</v>
      </c>
      <c r="G2482" s="7" t="s">
        <v>24</v>
      </c>
      <c r="H2482" s="7" t="s">
        <v>25</v>
      </c>
      <c r="I2482" s="7" t="s">
        <v>26</v>
      </c>
      <c r="J2482" s="7">
        <v>965</v>
      </c>
      <c r="K2482" s="7">
        <v>1379.95</v>
      </c>
    </row>
    <row r="2483" spans="1:11" ht="18" customHeight="1" x14ac:dyDescent="0.25">
      <c r="A2483" s="7" t="s">
        <v>34</v>
      </c>
      <c r="B2483" s="7">
        <v>2023</v>
      </c>
      <c r="C2483" s="7" t="s">
        <v>27</v>
      </c>
      <c r="D2483" s="7" t="s">
        <v>72</v>
      </c>
      <c r="E2483" s="7" t="s">
        <v>22</v>
      </c>
      <c r="F2483" s="7" t="s">
        <v>23</v>
      </c>
      <c r="G2483" s="7" t="s">
        <v>24</v>
      </c>
      <c r="H2483" s="7" t="s">
        <v>25</v>
      </c>
      <c r="I2483" s="7" t="s">
        <v>26</v>
      </c>
      <c r="J2483" s="7">
        <v>198</v>
      </c>
      <c r="K2483" s="7">
        <v>283.14</v>
      </c>
    </row>
    <row r="2484" spans="1:11" ht="18" customHeight="1" x14ac:dyDescent="0.25">
      <c r="A2484" s="7" t="s">
        <v>34</v>
      </c>
      <c r="B2484" s="7">
        <v>2023</v>
      </c>
      <c r="C2484" s="7" t="s">
        <v>27</v>
      </c>
      <c r="D2484" s="7" t="s">
        <v>72</v>
      </c>
      <c r="E2484" s="7" t="s">
        <v>22</v>
      </c>
      <c r="F2484" s="7" t="s">
        <v>23</v>
      </c>
      <c r="G2484" s="7" t="s">
        <v>24</v>
      </c>
      <c r="H2484" s="7" t="s">
        <v>25</v>
      </c>
      <c r="I2484" s="7" t="s">
        <v>26</v>
      </c>
      <c r="J2484" s="7">
        <v>225</v>
      </c>
      <c r="K2484" s="7">
        <v>321.75</v>
      </c>
    </row>
    <row r="2485" spans="1:11" ht="18" customHeight="1" x14ac:dyDescent="0.25">
      <c r="A2485" s="7" t="s">
        <v>34</v>
      </c>
      <c r="B2485" s="7">
        <v>2023</v>
      </c>
      <c r="C2485" s="7" t="s">
        <v>27</v>
      </c>
      <c r="D2485" s="7" t="s">
        <v>72</v>
      </c>
      <c r="E2485" s="7" t="s">
        <v>22</v>
      </c>
      <c r="F2485" s="7" t="s">
        <v>23</v>
      </c>
      <c r="G2485" s="7" t="s">
        <v>24</v>
      </c>
      <c r="H2485" s="7" t="s">
        <v>25</v>
      </c>
      <c r="I2485" s="7" t="s">
        <v>26</v>
      </c>
      <c r="J2485" s="7">
        <v>153</v>
      </c>
      <c r="K2485" s="7">
        <v>218.79</v>
      </c>
    </row>
    <row r="2486" spans="1:11" ht="18" customHeight="1" x14ac:dyDescent="0.25">
      <c r="A2486" s="7" t="s">
        <v>42</v>
      </c>
      <c r="B2486" s="7">
        <v>2023</v>
      </c>
      <c r="C2486" s="7" t="s">
        <v>27</v>
      </c>
      <c r="D2486" s="7" t="s">
        <v>72</v>
      </c>
      <c r="E2486" s="7" t="s">
        <v>22</v>
      </c>
      <c r="F2486" s="7" t="s">
        <v>23</v>
      </c>
      <c r="G2486" s="7" t="s">
        <v>24</v>
      </c>
      <c r="H2486" s="7" t="s">
        <v>25</v>
      </c>
      <c r="I2486" s="7" t="s">
        <v>26</v>
      </c>
      <c r="J2486" s="7">
        <v>201</v>
      </c>
      <c r="K2486" s="7">
        <v>287.43</v>
      </c>
    </row>
    <row r="2487" spans="1:11" ht="18" customHeight="1" x14ac:dyDescent="0.25">
      <c r="A2487" s="7" t="s">
        <v>53</v>
      </c>
      <c r="B2487" s="7">
        <v>2023</v>
      </c>
      <c r="C2487" s="7" t="s">
        <v>27</v>
      </c>
      <c r="D2487" s="7" t="s">
        <v>72</v>
      </c>
      <c r="E2487" s="7" t="s">
        <v>22</v>
      </c>
      <c r="F2487" s="7" t="s">
        <v>23</v>
      </c>
      <c r="G2487" s="7" t="s">
        <v>24</v>
      </c>
      <c r="H2487" s="7" t="s">
        <v>25</v>
      </c>
      <c r="I2487" s="7" t="s">
        <v>26</v>
      </c>
      <c r="J2487" s="7">
        <v>283</v>
      </c>
      <c r="K2487" s="7">
        <v>404.69</v>
      </c>
    </row>
    <row r="2488" spans="1:11" ht="18" customHeight="1" x14ac:dyDescent="0.25">
      <c r="A2488" s="7" t="s">
        <v>42</v>
      </c>
      <c r="B2488" s="7">
        <v>2023</v>
      </c>
      <c r="C2488" s="7" t="s">
        <v>27</v>
      </c>
      <c r="D2488" s="7" t="s">
        <v>72</v>
      </c>
      <c r="E2488" s="7" t="s">
        <v>22</v>
      </c>
      <c r="F2488" s="7" t="s">
        <v>23</v>
      </c>
      <c r="G2488" s="7" t="s">
        <v>24</v>
      </c>
      <c r="H2488" s="7" t="s">
        <v>25</v>
      </c>
      <c r="I2488" s="7" t="s">
        <v>26</v>
      </c>
      <c r="J2488" s="7">
        <v>277</v>
      </c>
      <c r="K2488" s="7">
        <v>396.11</v>
      </c>
    </row>
    <row r="2489" spans="1:11" ht="18" customHeight="1" x14ac:dyDescent="0.25">
      <c r="A2489" s="7" t="s">
        <v>19</v>
      </c>
      <c r="B2489" s="7">
        <v>2023</v>
      </c>
      <c r="C2489" s="7" t="s">
        <v>27</v>
      </c>
      <c r="D2489" s="7" t="s">
        <v>72</v>
      </c>
      <c r="E2489" s="7" t="s">
        <v>22</v>
      </c>
      <c r="F2489" s="7" t="s">
        <v>23</v>
      </c>
      <c r="G2489" s="7" t="s">
        <v>24</v>
      </c>
      <c r="H2489" s="7" t="s">
        <v>25</v>
      </c>
      <c r="I2489" s="7" t="s">
        <v>26</v>
      </c>
      <c r="J2489" s="7">
        <v>746</v>
      </c>
      <c r="K2489" s="7">
        <v>1066.78</v>
      </c>
    </row>
    <row r="2490" spans="1:11" ht="18" customHeight="1" x14ac:dyDescent="0.25">
      <c r="A2490" s="7" t="s">
        <v>19</v>
      </c>
      <c r="B2490" s="7">
        <v>2023</v>
      </c>
      <c r="C2490" s="7" t="s">
        <v>27</v>
      </c>
      <c r="D2490" s="7" t="s">
        <v>72</v>
      </c>
      <c r="E2490" s="7" t="s">
        <v>22</v>
      </c>
      <c r="F2490" s="7" t="s">
        <v>23</v>
      </c>
      <c r="G2490" s="7" t="s">
        <v>24</v>
      </c>
      <c r="H2490" s="7" t="s">
        <v>25</v>
      </c>
      <c r="I2490" s="7" t="s">
        <v>26</v>
      </c>
      <c r="J2490" s="7">
        <v>800</v>
      </c>
      <c r="K2490" s="7">
        <v>1144</v>
      </c>
    </row>
    <row r="2491" spans="1:11" ht="18" customHeight="1" x14ac:dyDescent="0.25">
      <c r="A2491" s="7" t="s">
        <v>34</v>
      </c>
      <c r="B2491" s="7">
        <v>2023</v>
      </c>
      <c r="C2491" s="7" t="s">
        <v>27</v>
      </c>
      <c r="D2491" s="7" t="s">
        <v>72</v>
      </c>
      <c r="E2491" s="7" t="s">
        <v>22</v>
      </c>
      <c r="F2491" s="7" t="s">
        <v>23</v>
      </c>
      <c r="G2491" s="7" t="s">
        <v>24</v>
      </c>
      <c r="H2491" s="7" t="s">
        <v>25</v>
      </c>
      <c r="I2491" s="7" t="s">
        <v>26</v>
      </c>
      <c r="J2491" s="7">
        <v>833</v>
      </c>
      <c r="K2491" s="7">
        <v>1191.19</v>
      </c>
    </row>
    <row r="2492" spans="1:11" ht="18" customHeight="1" x14ac:dyDescent="0.25">
      <c r="A2492" s="7" t="s">
        <v>34</v>
      </c>
      <c r="B2492" s="7">
        <v>2023</v>
      </c>
      <c r="C2492" s="7" t="s">
        <v>27</v>
      </c>
      <c r="D2492" s="7" t="s">
        <v>72</v>
      </c>
      <c r="E2492" s="7" t="s">
        <v>22</v>
      </c>
      <c r="F2492" s="7" t="s">
        <v>23</v>
      </c>
      <c r="G2492" s="7" t="s">
        <v>24</v>
      </c>
      <c r="H2492" s="7" t="s">
        <v>25</v>
      </c>
      <c r="I2492" s="7" t="s">
        <v>35</v>
      </c>
      <c r="J2492" s="7">
        <v>287</v>
      </c>
      <c r="K2492" s="7">
        <v>410.40999999999997</v>
      </c>
    </row>
    <row r="2493" spans="1:11" ht="18" customHeight="1" x14ac:dyDescent="0.25">
      <c r="A2493" s="7" t="s">
        <v>34</v>
      </c>
      <c r="B2493" s="7">
        <v>2023</v>
      </c>
      <c r="C2493" s="7" t="s">
        <v>27</v>
      </c>
      <c r="D2493" s="7" t="s">
        <v>72</v>
      </c>
      <c r="E2493" s="7" t="s">
        <v>22</v>
      </c>
      <c r="F2493" s="7" t="s">
        <v>23</v>
      </c>
      <c r="G2493" s="7" t="s">
        <v>24</v>
      </c>
      <c r="H2493" s="7" t="s">
        <v>25</v>
      </c>
      <c r="I2493" s="7" t="s">
        <v>35</v>
      </c>
      <c r="J2493" s="7">
        <v>281</v>
      </c>
      <c r="K2493" s="7">
        <v>401.83</v>
      </c>
    </row>
    <row r="2494" spans="1:11" ht="18" customHeight="1" x14ac:dyDescent="0.25">
      <c r="A2494" s="7" t="s">
        <v>61</v>
      </c>
      <c r="B2494" s="7">
        <v>2023</v>
      </c>
      <c r="C2494" s="7" t="s">
        <v>27</v>
      </c>
      <c r="D2494" s="7" t="s">
        <v>72</v>
      </c>
      <c r="E2494" s="7" t="s">
        <v>22</v>
      </c>
      <c r="F2494" s="7" t="s">
        <v>23</v>
      </c>
      <c r="G2494" s="7" t="s">
        <v>24</v>
      </c>
      <c r="H2494" s="7" t="s">
        <v>25</v>
      </c>
      <c r="I2494" s="7" t="s">
        <v>35</v>
      </c>
      <c r="J2494" s="7">
        <v>275</v>
      </c>
      <c r="K2494" s="7">
        <v>393.25</v>
      </c>
    </row>
    <row r="2495" spans="1:11" ht="18" customHeight="1" x14ac:dyDescent="0.25">
      <c r="A2495" s="7" t="s">
        <v>19</v>
      </c>
      <c r="B2495" s="7">
        <v>2023</v>
      </c>
      <c r="C2495" s="7" t="s">
        <v>27</v>
      </c>
      <c r="D2495" s="7" t="s">
        <v>72</v>
      </c>
      <c r="E2495" s="7" t="s">
        <v>22</v>
      </c>
      <c r="F2495" s="7" t="s">
        <v>23</v>
      </c>
      <c r="G2495" s="7" t="s">
        <v>24</v>
      </c>
      <c r="H2495" s="7" t="s">
        <v>25</v>
      </c>
      <c r="I2495" s="7" t="s">
        <v>26</v>
      </c>
      <c r="J2495" s="7">
        <v>227</v>
      </c>
      <c r="K2495" s="7">
        <v>324.61</v>
      </c>
    </row>
    <row r="2496" spans="1:11" ht="18" customHeight="1" x14ac:dyDescent="0.25">
      <c r="A2496" s="7" t="s">
        <v>34</v>
      </c>
      <c r="B2496" s="7">
        <v>2023</v>
      </c>
      <c r="C2496" s="7" t="s">
        <v>27</v>
      </c>
      <c r="D2496" s="7" t="s">
        <v>72</v>
      </c>
      <c r="E2496" s="7" t="s">
        <v>22</v>
      </c>
      <c r="F2496" s="7" t="s">
        <v>23</v>
      </c>
      <c r="G2496" s="7" t="s">
        <v>24</v>
      </c>
      <c r="H2496" s="7" t="s">
        <v>25</v>
      </c>
      <c r="I2496" s="7" t="s">
        <v>26</v>
      </c>
      <c r="J2496" s="7">
        <v>155</v>
      </c>
      <c r="K2496" s="7">
        <v>221.65</v>
      </c>
    </row>
    <row r="2497" spans="1:11" ht="18" customHeight="1" x14ac:dyDescent="0.25">
      <c r="A2497" s="7" t="s">
        <v>19</v>
      </c>
      <c r="B2497" s="7">
        <v>2023</v>
      </c>
      <c r="C2497" s="7" t="s">
        <v>68</v>
      </c>
      <c r="D2497" s="7" t="s">
        <v>72</v>
      </c>
      <c r="E2497" s="7" t="s">
        <v>22</v>
      </c>
      <c r="F2497" s="7" t="s">
        <v>23</v>
      </c>
      <c r="G2497" s="7" t="s">
        <v>24</v>
      </c>
      <c r="H2497" s="7" t="s">
        <v>25</v>
      </c>
      <c r="I2497" s="7" t="s">
        <v>26</v>
      </c>
      <c r="J2497" s="7">
        <v>194</v>
      </c>
      <c r="K2497" s="7">
        <v>277.42</v>
      </c>
    </row>
    <row r="2498" spans="1:11" ht="18" customHeight="1" x14ac:dyDescent="0.25">
      <c r="A2498" s="7" t="s">
        <v>42</v>
      </c>
      <c r="B2498" s="7">
        <v>2023</v>
      </c>
      <c r="C2498" s="7" t="s">
        <v>68</v>
      </c>
      <c r="D2498" s="7" t="s">
        <v>72</v>
      </c>
      <c r="E2498" s="7" t="s">
        <v>22</v>
      </c>
      <c r="F2498" s="7" t="s">
        <v>23</v>
      </c>
      <c r="G2498" s="7" t="s">
        <v>24</v>
      </c>
      <c r="H2498" s="7" t="s">
        <v>25</v>
      </c>
      <c r="I2498" s="7" t="s">
        <v>26</v>
      </c>
      <c r="J2498" s="7">
        <v>170</v>
      </c>
      <c r="K2498" s="7">
        <v>243.1</v>
      </c>
    </row>
    <row r="2499" spans="1:11" ht="18" customHeight="1" x14ac:dyDescent="0.25">
      <c r="A2499" s="7" t="s">
        <v>42</v>
      </c>
      <c r="B2499" s="7">
        <v>2023</v>
      </c>
      <c r="C2499" s="7" t="s">
        <v>68</v>
      </c>
      <c r="D2499" s="7" t="s">
        <v>72</v>
      </c>
      <c r="E2499" s="7" t="s">
        <v>22</v>
      </c>
      <c r="F2499" s="7" t="s">
        <v>23</v>
      </c>
      <c r="G2499" s="7" t="s">
        <v>24</v>
      </c>
      <c r="H2499" s="7" t="s">
        <v>25</v>
      </c>
      <c r="I2499" s="7" t="s">
        <v>26</v>
      </c>
      <c r="J2499" s="7">
        <v>196</v>
      </c>
      <c r="K2499" s="7">
        <v>526.24</v>
      </c>
    </row>
    <row r="2500" spans="1:11" ht="18" customHeight="1" x14ac:dyDescent="0.25">
      <c r="A2500" s="7" t="s">
        <v>42</v>
      </c>
      <c r="B2500" s="7">
        <v>2023</v>
      </c>
      <c r="C2500" s="7" t="s">
        <v>68</v>
      </c>
      <c r="D2500" s="7" t="s">
        <v>72</v>
      </c>
      <c r="E2500" s="7" t="s">
        <v>22</v>
      </c>
      <c r="F2500" s="7" t="s">
        <v>23</v>
      </c>
      <c r="G2500" s="7" t="s">
        <v>24</v>
      </c>
      <c r="H2500" s="7" t="s">
        <v>25</v>
      </c>
      <c r="I2500" s="7" t="s">
        <v>26</v>
      </c>
      <c r="J2500" s="7">
        <v>166</v>
      </c>
      <c r="K2500" s="7">
        <v>526.24</v>
      </c>
    </row>
    <row r="2501" spans="1:11" ht="18" customHeight="1" x14ac:dyDescent="0.25">
      <c r="A2501" s="7" t="s">
        <v>61</v>
      </c>
      <c r="B2501" s="7">
        <v>2023</v>
      </c>
      <c r="C2501" s="7" t="s">
        <v>68</v>
      </c>
      <c r="D2501" s="7" t="s">
        <v>72</v>
      </c>
      <c r="E2501" s="7" t="s">
        <v>22</v>
      </c>
      <c r="F2501" s="7" t="s">
        <v>23</v>
      </c>
      <c r="G2501" s="7" t="s">
        <v>24</v>
      </c>
      <c r="H2501" s="7" t="s">
        <v>25</v>
      </c>
      <c r="I2501" s="7" t="s">
        <v>26</v>
      </c>
      <c r="J2501" s="7">
        <v>168</v>
      </c>
      <c r="K2501" s="7">
        <v>240.24</v>
      </c>
    </row>
    <row r="2502" spans="1:11" ht="18" customHeight="1" x14ac:dyDescent="0.25">
      <c r="A2502" s="7" t="s">
        <v>61</v>
      </c>
      <c r="B2502" s="7">
        <v>2023</v>
      </c>
      <c r="C2502" s="7" t="s">
        <v>68</v>
      </c>
      <c r="D2502" s="7" t="s">
        <v>72</v>
      </c>
      <c r="E2502" s="7" t="s">
        <v>22</v>
      </c>
      <c r="F2502" s="7" t="s">
        <v>23</v>
      </c>
      <c r="G2502" s="7" t="s">
        <v>24</v>
      </c>
      <c r="H2502" s="7" t="s">
        <v>25</v>
      </c>
      <c r="I2502" s="7" t="s">
        <v>26</v>
      </c>
      <c r="J2502" s="7">
        <v>195</v>
      </c>
      <c r="K2502" s="7">
        <v>278.85000000000002</v>
      </c>
    </row>
    <row r="2503" spans="1:11" ht="18" customHeight="1" x14ac:dyDescent="0.25">
      <c r="A2503" s="7" t="s">
        <v>42</v>
      </c>
      <c r="B2503" s="7">
        <v>2023</v>
      </c>
      <c r="C2503" s="7" t="s">
        <v>68</v>
      </c>
      <c r="D2503" s="7" t="s">
        <v>72</v>
      </c>
      <c r="E2503" s="7" t="s">
        <v>22</v>
      </c>
      <c r="F2503" s="7" t="s">
        <v>23</v>
      </c>
      <c r="G2503" s="7" t="s">
        <v>24</v>
      </c>
      <c r="H2503" s="7" t="s">
        <v>25</v>
      </c>
      <c r="I2503" s="7" t="s">
        <v>26</v>
      </c>
      <c r="J2503" s="7">
        <v>752</v>
      </c>
      <c r="K2503" s="7">
        <v>1075.3600000000001</v>
      </c>
    </row>
    <row r="2504" spans="1:11" ht="18" customHeight="1" x14ac:dyDescent="0.25">
      <c r="A2504" s="7" t="s">
        <v>42</v>
      </c>
      <c r="B2504" s="7">
        <v>2023</v>
      </c>
      <c r="C2504" s="7" t="s">
        <v>68</v>
      </c>
      <c r="D2504" s="7" t="s">
        <v>72</v>
      </c>
      <c r="E2504" s="7" t="s">
        <v>22</v>
      </c>
      <c r="F2504" s="7" t="s">
        <v>23</v>
      </c>
      <c r="G2504" s="7" t="s">
        <v>24</v>
      </c>
      <c r="H2504" s="7" t="s">
        <v>25</v>
      </c>
      <c r="I2504" s="7" t="s">
        <v>26</v>
      </c>
      <c r="J2504" s="7">
        <v>838</v>
      </c>
      <c r="K2504" s="7">
        <v>1198.3399999999999</v>
      </c>
    </row>
    <row r="2505" spans="1:11" ht="18" customHeight="1" x14ac:dyDescent="0.25">
      <c r="A2505" s="7" t="s">
        <v>42</v>
      </c>
      <c r="B2505" s="7">
        <v>2023</v>
      </c>
      <c r="C2505" s="7" t="s">
        <v>68</v>
      </c>
      <c r="D2505" s="7" t="s">
        <v>72</v>
      </c>
      <c r="E2505" s="7" t="s">
        <v>22</v>
      </c>
      <c r="F2505" s="7" t="s">
        <v>23</v>
      </c>
      <c r="G2505" s="7" t="s">
        <v>24</v>
      </c>
      <c r="H2505" s="7" t="s">
        <v>25</v>
      </c>
      <c r="I2505" s="7" t="s">
        <v>26</v>
      </c>
      <c r="J2505" s="7">
        <v>197</v>
      </c>
      <c r="K2505" s="7">
        <v>281.70999999999998</v>
      </c>
    </row>
    <row r="2506" spans="1:11" ht="18" customHeight="1" x14ac:dyDescent="0.25">
      <c r="A2506" s="7" t="s">
        <v>19</v>
      </c>
      <c r="B2506" s="7">
        <v>2023</v>
      </c>
      <c r="C2506" s="7" t="s">
        <v>68</v>
      </c>
      <c r="D2506" s="7" t="s">
        <v>72</v>
      </c>
      <c r="E2506" s="7" t="s">
        <v>22</v>
      </c>
      <c r="F2506" s="7" t="s">
        <v>23</v>
      </c>
      <c r="G2506" s="7" t="s">
        <v>24</v>
      </c>
      <c r="H2506" s="7" t="s">
        <v>25</v>
      </c>
      <c r="I2506" s="7" t="s">
        <v>26</v>
      </c>
      <c r="J2506" s="7">
        <v>167</v>
      </c>
      <c r="K2506" s="7">
        <v>238.81</v>
      </c>
    </row>
    <row r="2507" spans="1:11" ht="18" customHeight="1" x14ac:dyDescent="0.25">
      <c r="A2507" s="7" t="s">
        <v>53</v>
      </c>
      <c r="B2507" s="7">
        <v>2023</v>
      </c>
      <c r="C2507" s="7" t="s">
        <v>67</v>
      </c>
      <c r="D2507" s="7" t="s">
        <v>72</v>
      </c>
      <c r="E2507" s="7" t="s">
        <v>22</v>
      </c>
      <c r="F2507" s="7" t="s">
        <v>23</v>
      </c>
      <c r="G2507" s="7" t="s">
        <v>24</v>
      </c>
      <c r="H2507" s="7" t="s">
        <v>25</v>
      </c>
      <c r="I2507" s="7" t="s">
        <v>26</v>
      </c>
      <c r="J2507" s="7">
        <v>200</v>
      </c>
      <c r="K2507" s="7">
        <v>286</v>
      </c>
    </row>
    <row r="2508" spans="1:11" ht="18" customHeight="1" x14ac:dyDescent="0.25">
      <c r="A2508" s="7" t="s">
        <v>19</v>
      </c>
      <c r="B2508" s="7">
        <v>2023</v>
      </c>
      <c r="C2508" s="7" t="s">
        <v>67</v>
      </c>
      <c r="D2508" s="7" t="s">
        <v>72</v>
      </c>
      <c r="E2508" s="7" t="s">
        <v>22</v>
      </c>
      <c r="F2508" s="7" t="s">
        <v>23</v>
      </c>
      <c r="G2508" s="7" t="s">
        <v>24</v>
      </c>
      <c r="H2508" s="7" t="s">
        <v>25</v>
      </c>
      <c r="I2508" s="7" t="s">
        <v>26</v>
      </c>
      <c r="J2508" s="7">
        <v>202</v>
      </c>
      <c r="K2508" s="7">
        <v>526.24</v>
      </c>
    </row>
    <row r="2509" spans="1:11" ht="18" customHeight="1" x14ac:dyDescent="0.25">
      <c r="A2509" s="7" t="s">
        <v>19</v>
      </c>
      <c r="B2509" s="7">
        <v>2023</v>
      </c>
      <c r="C2509" s="7" t="s">
        <v>67</v>
      </c>
      <c r="D2509" s="7" t="s">
        <v>72</v>
      </c>
      <c r="E2509" s="7" t="s">
        <v>22</v>
      </c>
      <c r="F2509" s="7" t="s">
        <v>23</v>
      </c>
      <c r="G2509" s="7" t="s">
        <v>24</v>
      </c>
      <c r="H2509" s="7" t="s">
        <v>25</v>
      </c>
      <c r="I2509" s="7" t="s">
        <v>26</v>
      </c>
      <c r="J2509" s="7">
        <v>172</v>
      </c>
      <c r="K2509" s="7">
        <v>526.24</v>
      </c>
    </row>
    <row r="2510" spans="1:11" ht="18" customHeight="1" x14ac:dyDescent="0.25">
      <c r="A2510" s="7" t="s">
        <v>19</v>
      </c>
      <c r="B2510" s="7">
        <v>2023</v>
      </c>
      <c r="C2510" s="7" t="s">
        <v>67</v>
      </c>
      <c r="D2510" s="7" t="s">
        <v>72</v>
      </c>
      <c r="E2510" s="7" t="s">
        <v>22</v>
      </c>
      <c r="F2510" s="7" t="s">
        <v>23</v>
      </c>
      <c r="G2510" s="7" t="s">
        <v>24</v>
      </c>
      <c r="H2510" s="7" t="s">
        <v>25</v>
      </c>
      <c r="I2510" s="7" t="s">
        <v>26</v>
      </c>
      <c r="J2510" s="7">
        <v>970</v>
      </c>
      <c r="K2510" s="7">
        <v>1387.1</v>
      </c>
    </row>
    <row r="2511" spans="1:11" ht="18" customHeight="1" x14ac:dyDescent="0.25">
      <c r="A2511" s="7" t="s">
        <v>19</v>
      </c>
      <c r="B2511" s="7">
        <v>2023</v>
      </c>
      <c r="C2511" s="7" t="s">
        <v>67</v>
      </c>
      <c r="D2511" s="7" t="s">
        <v>72</v>
      </c>
      <c r="E2511" s="7" t="s">
        <v>22</v>
      </c>
      <c r="F2511" s="7" t="s">
        <v>23</v>
      </c>
      <c r="G2511" s="7" t="s">
        <v>24</v>
      </c>
      <c r="H2511" s="7" t="s">
        <v>25</v>
      </c>
      <c r="I2511" s="7" t="s">
        <v>26</v>
      </c>
      <c r="J2511" s="7">
        <v>174</v>
      </c>
      <c r="K2511" s="7">
        <v>248.82</v>
      </c>
    </row>
    <row r="2512" spans="1:11" ht="18" customHeight="1" x14ac:dyDescent="0.25">
      <c r="A2512" s="7" t="s">
        <v>19</v>
      </c>
      <c r="B2512" s="7">
        <v>2023</v>
      </c>
      <c r="C2512" s="7" t="s">
        <v>67</v>
      </c>
      <c r="D2512" s="7" t="s">
        <v>72</v>
      </c>
      <c r="E2512" s="7" t="s">
        <v>22</v>
      </c>
      <c r="F2512" s="7" t="s">
        <v>23</v>
      </c>
      <c r="G2512" s="7" t="s">
        <v>24</v>
      </c>
      <c r="H2512" s="7" t="s">
        <v>25</v>
      </c>
      <c r="I2512" s="7" t="s">
        <v>26</v>
      </c>
      <c r="J2512" s="7">
        <v>201</v>
      </c>
      <c r="K2512" s="7">
        <v>287.43</v>
      </c>
    </row>
    <row r="2513" spans="1:11" ht="18" customHeight="1" x14ac:dyDescent="0.25">
      <c r="A2513" s="7" t="s">
        <v>19</v>
      </c>
      <c r="B2513" s="7">
        <v>2023</v>
      </c>
      <c r="C2513" s="7" t="s">
        <v>67</v>
      </c>
      <c r="D2513" s="7" t="s">
        <v>72</v>
      </c>
      <c r="E2513" s="7" t="s">
        <v>22</v>
      </c>
      <c r="F2513" s="7" t="s">
        <v>23</v>
      </c>
      <c r="G2513" s="7" t="s">
        <v>24</v>
      </c>
      <c r="H2513" s="7" t="s">
        <v>25</v>
      </c>
      <c r="I2513" s="7" t="s">
        <v>26</v>
      </c>
      <c r="J2513" s="7">
        <v>171</v>
      </c>
      <c r="K2513" s="7">
        <v>244.53</v>
      </c>
    </row>
    <row r="2514" spans="1:11" ht="18" customHeight="1" x14ac:dyDescent="0.25">
      <c r="A2514" s="7" t="s">
        <v>19</v>
      </c>
      <c r="B2514" s="7">
        <v>2023</v>
      </c>
      <c r="C2514" s="7" t="s">
        <v>67</v>
      </c>
      <c r="D2514" s="7" t="s">
        <v>72</v>
      </c>
      <c r="E2514" s="7" t="s">
        <v>22</v>
      </c>
      <c r="F2514" s="7" t="s">
        <v>23</v>
      </c>
      <c r="G2514" s="7" t="s">
        <v>24</v>
      </c>
      <c r="H2514" s="7" t="s">
        <v>25</v>
      </c>
      <c r="I2514" s="7" t="s">
        <v>26</v>
      </c>
      <c r="J2514" s="7">
        <v>751</v>
      </c>
      <c r="K2514" s="7">
        <v>1073.93</v>
      </c>
    </row>
    <row r="2515" spans="1:11" ht="18" customHeight="1" x14ac:dyDescent="0.25">
      <c r="A2515" s="7" t="s">
        <v>19</v>
      </c>
      <c r="B2515" s="7">
        <v>2023</v>
      </c>
      <c r="C2515" s="7" t="s">
        <v>67</v>
      </c>
      <c r="D2515" s="7" t="s">
        <v>72</v>
      </c>
      <c r="E2515" s="7" t="s">
        <v>22</v>
      </c>
      <c r="F2515" s="7" t="s">
        <v>23</v>
      </c>
      <c r="G2515" s="7" t="s">
        <v>24</v>
      </c>
      <c r="H2515" s="7" t="s">
        <v>25</v>
      </c>
      <c r="I2515" s="7" t="s">
        <v>26</v>
      </c>
      <c r="J2515" s="7">
        <v>837</v>
      </c>
      <c r="K2515" s="7">
        <v>1196.9099999999999</v>
      </c>
    </row>
    <row r="2516" spans="1:11" ht="18" customHeight="1" x14ac:dyDescent="0.25">
      <c r="A2516" s="7" t="s">
        <v>53</v>
      </c>
      <c r="B2516" s="7">
        <v>2023</v>
      </c>
      <c r="C2516" s="7" t="s">
        <v>67</v>
      </c>
      <c r="D2516" s="7" t="s">
        <v>72</v>
      </c>
      <c r="E2516" s="7" t="s">
        <v>22</v>
      </c>
      <c r="F2516" s="7" t="s">
        <v>23</v>
      </c>
      <c r="G2516" s="7" t="s">
        <v>24</v>
      </c>
      <c r="H2516" s="7" t="s">
        <v>25</v>
      </c>
      <c r="I2516" s="7" t="s">
        <v>26</v>
      </c>
      <c r="J2516" s="7">
        <v>173</v>
      </c>
      <c r="K2516" s="7">
        <v>247.39</v>
      </c>
    </row>
    <row r="2517" spans="1:11" ht="18" customHeight="1" x14ac:dyDescent="0.25">
      <c r="A2517" s="7" t="s">
        <v>34</v>
      </c>
      <c r="B2517" s="7">
        <v>2023</v>
      </c>
      <c r="C2517" s="7" t="s">
        <v>62</v>
      </c>
      <c r="D2517" s="7" t="s">
        <v>72</v>
      </c>
      <c r="E2517" s="7" t="s">
        <v>22</v>
      </c>
      <c r="F2517" s="7" t="s">
        <v>23</v>
      </c>
      <c r="G2517" s="7" t="s">
        <v>24</v>
      </c>
      <c r="H2517" s="7" t="s">
        <v>25</v>
      </c>
      <c r="I2517" s="7" t="s">
        <v>26</v>
      </c>
      <c r="J2517" s="7">
        <v>218</v>
      </c>
      <c r="K2517" s="7">
        <v>311.74</v>
      </c>
    </row>
    <row r="2518" spans="1:11" ht="18" customHeight="1" x14ac:dyDescent="0.25">
      <c r="A2518" s="7" t="s">
        <v>34</v>
      </c>
      <c r="B2518" s="7">
        <v>2023</v>
      </c>
      <c r="C2518" s="7" t="s">
        <v>62</v>
      </c>
      <c r="D2518" s="7" t="s">
        <v>72</v>
      </c>
      <c r="E2518" s="7" t="s">
        <v>22</v>
      </c>
      <c r="F2518" s="7" t="s">
        <v>23</v>
      </c>
      <c r="G2518" s="7" t="s">
        <v>24</v>
      </c>
      <c r="H2518" s="7" t="s">
        <v>25</v>
      </c>
      <c r="I2518" s="7" t="s">
        <v>26</v>
      </c>
      <c r="J2518" s="7">
        <v>188</v>
      </c>
      <c r="K2518" s="7">
        <v>268.84000000000003</v>
      </c>
    </row>
    <row r="2519" spans="1:11" ht="18" customHeight="1" x14ac:dyDescent="0.25">
      <c r="A2519" s="7" t="s">
        <v>34</v>
      </c>
      <c r="B2519" s="7">
        <v>2023</v>
      </c>
      <c r="C2519" s="7" t="s">
        <v>62</v>
      </c>
      <c r="D2519" s="7" t="s">
        <v>72</v>
      </c>
      <c r="E2519" s="7" t="s">
        <v>22</v>
      </c>
      <c r="F2519" s="7" t="s">
        <v>23</v>
      </c>
      <c r="G2519" s="7" t="s">
        <v>24</v>
      </c>
      <c r="H2519" s="7" t="s">
        <v>25</v>
      </c>
      <c r="I2519" s="7" t="s">
        <v>26</v>
      </c>
      <c r="J2519" s="7">
        <v>214</v>
      </c>
      <c r="K2519" s="7">
        <v>526.24</v>
      </c>
    </row>
    <row r="2520" spans="1:11" ht="18" customHeight="1" x14ac:dyDescent="0.25">
      <c r="A2520" s="7" t="s">
        <v>34</v>
      </c>
      <c r="B2520" s="7">
        <v>2023</v>
      </c>
      <c r="C2520" s="7" t="s">
        <v>62</v>
      </c>
      <c r="D2520" s="7" t="s">
        <v>72</v>
      </c>
      <c r="E2520" s="7" t="s">
        <v>22</v>
      </c>
      <c r="F2520" s="7" t="s">
        <v>23</v>
      </c>
      <c r="G2520" s="7" t="s">
        <v>24</v>
      </c>
      <c r="H2520" s="7" t="s">
        <v>25</v>
      </c>
      <c r="I2520" s="7" t="s">
        <v>26</v>
      </c>
      <c r="J2520" s="7">
        <v>190</v>
      </c>
      <c r="K2520" s="7">
        <v>526.24</v>
      </c>
    </row>
    <row r="2521" spans="1:11" ht="18" customHeight="1" x14ac:dyDescent="0.25">
      <c r="A2521" s="7" t="s">
        <v>34</v>
      </c>
      <c r="B2521" s="7">
        <v>2023</v>
      </c>
      <c r="C2521" s="7" t="s">
        <v>62</v>
      </c>
      <c r="D2521" s="7" t="s">
        <v>72</v>
      </c>
      <c r="E2521" s="7" t="s">
        <v>22</v>
      </c>
      <c r="F2521" s="7" t="s">
        <v>23</v>
      </c>
      <c r="G2521" s="7" t="s">
        <v>24</v>
      </c>
      <c r="H2521" s="7" t="s">
        <v>25</v>
      </c>
      <c r="I2521" s="7" t="s">
        <v>26</v>
      </c>
      <c r="J2521" s="7">
        <v>967</v>
      </c>
      <c r="K2521" s="7">
        <v>1382.81</v>
      </c>
    </row>
    <row r="2522" spans="1:11" ht="18" customHeight="1" x14ac:dyDescent="0.25">
      <c r="A2522" s="7" t="s">
        <v>34</v>
      </c>
      <c r="B2522" s="7">
        <v>2023</v>
      </c>
      <c r="C2522" s="7" t="s">
        <v>62</v>
      </c>
      <c r="D2522" s="7" t="s">
        <v>72</v>
      </c>
      <c r="E2522" s="7" t="s">
        <v>22</v>
      </c>
      <c r="F2522" s="7" t="s">
        <v>23</v>
      </c>
      <c r="G2522" s="7" t="s">
        <v>24</v>
      </c>
      <c r="H2522" s="7" t="s">
        <v>25</v>
      </c>
      <c r="I2522" s="7" t="s">
        <v>26</v>
      </c>
      <c r="J2522" s="7">
        <v>189</v>
      </c>
      <c r="K2522" s="7">
        <v>270.27</v>
      </c>
    </row>
    <row r="2523" spans="1:11" ht="18" customHeight="1" x14ac:dyDescent="0.25">
      <c r="A2523" s="7" t="s">
        <v>34</v>
      </c>
      <c r="B2523" s="7">
        <v>2023</v>
      </c>
      <c r="C2523" s="7" t="s">
        <v>62</v>
      </c>
      <c r="D2523" s="7" t="s">
        <v>72</v>
      </c>
      <c r="E2523" s="7" t="s">
        <v>22</v>
      </c>
      <c r="F2523" s="7" t="s">
        <v>23</v>
      </c>
      <c r="G2523" s="7" t="s">
        <v>24</v>
      </c>
      <c r="H2523" s="7" t="s">
        <v>25</v>
      </c>
      <c r="I2523" s="7" t="s">
        <v>26</v>
      </c>
      <c r="J2523" s="7">
        <v>748</v>
      </c>
      <c r="K2523" s="7">
        <v>1069.6399999999999</v>
      </c>
    </row>
    <row r="2524" spans="1:11" ht="18" customHeight="1" x14ac:dyDescent="0.25">
      <c r="A2524" s="7" t="s">
        <v>34</v>
      </c>
      <c r="B2524" s="7">
        <v>2023</v>
      </c>
      <c r="C2524" s="7" t="s">
        <v>62</v>
      </c>
      <c r="D2524" s="7" t="s">
        <v>72</v>
      </c>
      <c r="E2524" s="7" t="s">
        <v>22</v>
      </c>
      <c r="F2524" s="7" t="s">
        <v>23</v>
      </c>
      <c r="G2524" s="7" t="s">
        <v>24</v>
      </c>
      <c r="H2524" s="7" t="s">
        <v>25</v>
      </c>
      <c r="I2524" s="7" t="s">
        <v>26</v>
      </c>
      <c r="J2524" s="7">
        <v>835</v>
      </c>
      <c r="K2524" s="7">
        <v>1194.05</v>
      </c>
    </row>
    <row r="2525" spans="1:11" ht="18" customHeight="1" x14ac:dyDescent="0.25">
      <c r="A2525" s="7" t="s">
        <v>34</v>
      </c>
      <c r="B2525" s="7">
        <v>2023</v>
      </c>
      <c r="C2525" s="7" t="s">
        <v>62</v>
      </c>
      <c r="D2525" s="7" t="s">
        <v>72</v>
      </c>
      <c r="E2525" s="7" t="s">
        <v>22</v>
      </c>
      <c r="F2525" s="7" t="s">
        <v>23</v>
      </c>
      <c r="G2525" s="7" t="s">
        <v>24</v>
      </c>
      <c r="H2525" s="7" t="s">
        <v>25</v>
      </c>
      <c r="I2525" s="7" t="s">
        <v>26</v>
      </c>
      <c r="J2525" s="7">
        <v>215</v>
      </c>
      <c r="K2525" s="7">
        <v>307.45</v>
      </c>
    </row>
    <row r="2526" spans="1:11" ht="18" customHeight="1" x14ac:dyDescent="0.25">
      <c r="A2526" s="7" t="s">
        <v>34</v>
      </c>
      <c r="B2526" s="7">
        <v>2023</v>
      </c>
      <c r="C2526" s="7" t="s">
        <v>62</v>
      </c>
      <c r="D2526" s="7" t="s">
        <v>72</v>
      </c>
      <c r="E2526" s="7" t="s">
        <v>22</v>
      </c>
      <c r="F2526" s="7" t="s">
        <v>23</v>
      </c>
      <c r="G2526" s="7" t="s">
        <v>24</v>
      </c>
      <c r="H2526" s="7" t="s">
        <v>25</v>
      </c>
      <c r="I2526" s="7" t="s">
        <v>26</v>
      </c>
      <c r="J2526" s="7">
        <v>191</v>
      </c>
      <c r="K2526" s="7">
        <v>273.13</v>
      </c>
    </row>
    <row r="2527" spans="1:11" ht="18" customHeight="1" x14ac:dyDescent="0.25">
      <c r="A2527" s="7" t="s">
        <v>61</v>
      </c>
      <c r="B2527" s="7">
        <v>2023</v>
      </c>
      <c r="C2527" s="7" t="s">
        <v>66</v>
      </c>
      <c r="D2527" s="7" t="s">
        <v>72</v>
      </c>
      <c r="E2527" s="7" t="s">
        <v>22</v>
      </c>
      <c r="F2527" s="7" t="s">
        <v>23</v>
      </c>
      <c r="G2527" s="7" t="s">
        <v>24</v>
      </c>
      <c r="H2527" s="7" t="s">
        <v>25</v>
      </c>
      <c r="I2527" s="7" t="s">
        <v>26</v>
      </c>
      <c r="J2527" s="7">
        <v>206</v>
      </c>
      <c r="K2527" s="7">
        <v>294.58</v>
      </c>
    </row>
    <row r="2528" spans="1:11" ht="18" customHeight="1" x14ac:dyDescent="0.25">
      <c r="A2528" s="7" t="s">
        <v>34</v>
      </c>
      <c r="B2528" s="7">
        <v>2023</v>
      </c>
      <c r="C2528" s="7" t="s">
        <v>66</v>
      </c>
      <c r="D2528" s="7" t="s">
        <v>72</v>
      </c>
      <c r="E2528" s="7" t="s">
        <v>22</v>
      </c>
      <c r="F2528" s="7" t="s">
        <v>23</v>
      </c>
      <c r="G2528" s="7" t="s">
        <v>24</v>
      </c>
      <c r="H2528" s="7" t="s">
        <v>25</v>
      </c>
      <c r="I2528" s="7" t="s">
        <v>26</v>
      </c>
      <c r="J2528" s="7">
        <v>176</v>
      </c>
      <c r="K2528" s="7">
        <v>251.68</v>
      </c>
    </row>
    <row r="2529" spans="1:11" ht="18" customHeight="1" x14ac:dyDescent="0.25">
      <c r="A2529" s="7" t="s">
        <v>34</v>
      </c>
      <c r="B2529" s="7">
        <v>2023</v>
      </c>
      <c r="C2529" s="7" t="s">
        <v>66</v>
      </c>
      <c r="D2529" s="7" t="s">
        <v>72</v>
      </c>
      <c r="E2529" s="7" t="s">
        <v>22</v>
      </c>
      <c r="F2529" s="7" t="s">
        <v>23</v>
      </c>
      <c r="G2529" s="7" t="s">
        <v>24</v>
      </c>
      <c r="H2529" s="7" t="s">
        <v>25</v>
      </c>
      <c r="I2529" s="7" t="s">
        <v>26</v>
      </c>
      <c r="J2529" s="7">
        <v>208</v>
      </c>
      <c r="K2529" s="7">
        <v>526.24</v>
      </c>
    </row>
    <row r="2530" spans="1:11" ht="18" customHeight="1" x14ac:dyDescent="0.25">
      <c r="A2530" s="7" t="s">
        <v>34</v>
      </c>
      <c r="B2530" s="7">
        <v>2023</v>
      </c>
      <c r="C2530" s="7" t="s">
        <v>66</v>
      </c>
      <c r="D2530" s="7" t="s">
        <v>72</v>
      </c>
      <c r="E2530" s="7" t="s">
        <v>22</v>
      </c>
      <c r="F2530" s="7" t="s">
        <v>23</v>
      </c>
      <c r="G2530" s="7" t="s">
        <v>24</v>
      </c>
      <c r="H2530" s="7" t="s">
        <v>25</v>
      </c>
      <c r="I2530" s="7" t="s">
        <v>26</v>
      </c>
      <c r="J2530" s="7">
        <v>178</v>
      </c>
      <c r="K2530" s="7">
        <v>526.24</v>
      </c>
    </row>
    <row r="2531" spans="1:11" ht="18" customHeight="1" x14ac:dyDescent="0.25">
      <c r="A2531" s="7" t="s">
        <v>34</v>
      </c>
      <c r="B2531" s="7">
        <v>2023</v>
      </c>
      <c r="C2531" s="7" t="s">
        <v>66</v>
      </c>
      <c r="D2531" s="7" t="s">
        <v>72</v>
      </c>
      <c r="E2531" s="7" t="s">
        <v>22</v>
      </c>
      <c r="F2531" s="7" t="s">
        <v>23</v>
      </c>
      <c r="G2531" s="7" t="s">
        <v>24</v>
      </c>
      <c r="H2531" s="7" t="s">
        <v>25</v>
      </c>
      <c r="I2531" s="7" t="s">
        <v>26</v>
      </c>
      <c r="J2531" s="7">
        <v>969</v>
      </c>
      <c r="K2531" s="7">
        <v>1385.67</v>
      </c>
    </row>
    <row r="2532" spans="1:11" ht="18" customHeight="1" x14ac:dyDescent="0.25">
      <c r="A2532" s="7" t="s">
        <v>34</v>
      </c>
      <c r="B2532" s="7">
        <v>2023</v>
      </c>
      <c r="C2532" s="7" t="s">
        <v>66</v>
      </c>
      <c r="D2532" s="7" t="s">
        <v>72</v>
      </c>
      <c r="E2532" s="7" t="s">
        <v>22</v>
      </c>
      <c r="F2532" s="7" t="s">
        <v>23</v>
      </c>
      <c r="G2532" s="7" t="s">
        <v>24</v>
      </c>
      <c r="H2532" s="7" t="s">
        <v>25</v>
      </c>
      <c r="I2532" s="7" t="s">
        <v>26</v>
      </c>
      <c r="J2532" s="7">
        <v>180</v>
      </c>
      <c r="K2532" s="7">
        <v>257.39999999999998</v>
      </c>
    </row>
    <row r="2533" spans="1:11" ht="18" customHeight="1" x14ac:dyDescent="0.25">
      <c r="A2533" s="7" t="s">
        <v>34</v>
      </c>
      <c r="B2533" s="7">
        <v>2023</v>
      </c>
      <c r="C2533" s="7" t="s">
        <v>66</v>
      </c>
      <c r="D2533" s="7" t="s">
        <v>72</v>
      </c>
      <c r="E2533" s="7" t="s">
        <v>22</v>
      </c>
      <c r="F2533" s="7" t="s">
        <v>23</v>
      </c>
      <c r="G2533" s="7" t="s">
        <v>24</v>
      </c>
      <c r="H2533" s="7" t="s">
        <v>25</v>
      </c>
      <c r="I2533" s="7" t="s">
        <v>26</v>
      </c>
      <c r="J2533" s="7">
        <v>207</v>
      </c>
      <c r="K2533" s="7">
        <v>296.01</v>
      </c>
    </row>
    <row r="2534" spans="1:11" ht="18" customHeight="1" x14ac:dyDescent="0.25">
      <c r="A2534" s="7" t="s">
        <v>34</v>
      </c>
      <c r="B2534" s="7">
        <v>2023</v>
      </c>
      <c r="C2534" s="7" t="s">
        <v>66</v>
      </c>
      <c r="D2534" s="7" t="s">
        <v>72</v>
      </c>
      <c r="E2534" s="7" t="s">
        <v>22</v>
      </c>
      <c r="F2534" s="7" t="s">
        <v>23</v>
      </c>
      <c r="G2534" s="7" t="s">
        <v>24</v>
      </c>
      <c r="H2534" s="7" t="s">
        <v>25</v>
      </c>
      <c r="I2534" s="7" t="s">
        <v>26</v>
      </c>
      <c r="J2534" s="7">
        <v>177</v>
      </c>
      <c r="K2534" s="7">
        <v>253.11</v>
      </c>
    </row>
    <row r="2535" spans="1:11" ht="18" customHeight="1" x14ac:dyDescent="0.25">
      <c r="A2535" s="7" t="s">
        <v>34</v>
      </c>
      <c r="B2535" s="7">
        <v>2023</v>
      </c>
      <c r="C2535" s="7" t="s">
        <v>66</v>
      </c>
      <c r="D2535" s="7" t="s">
        <v>72</v>
      </c>
      <c r="E2535" s="7" t="s">
        <v>22</v>
      </c>
      <c r="F2535" s="7" t="s">
        <v>23</v>
      </c>
      <c r="G2535" s="7" t="s">
        <v>24</v>
      </c>
      <c r="H2535" s="7" t="s">
        <v>25</v>
      </c>
      <c r="I2535" s="7" t="s">
        <v>26</v>
      </c>
      <c r="J2535" s="7">
        <v>750</v>
      </c>
      <c r="K2535" s="7">
        <v>1072.5</v>
      </c>
    </row>
    <row r="2536" spans="1:11" ht="18" customHeight="1" x14ac:dyDescent="0.25">
      <c r="A2536" s="7" t="s">
        <v>34</v>
      </c>
      <c r="B2536" s="7">
        <v>2023</v>
      </c>
      <c r="C2536" s="7" t="s">
        <v>66</v>
      </c>
      <c r="D2536" s="7" t="s">
        <v>72</v>
      </c>
      <c r="E2536" s="7" t="s">
        <v>22</v>
      </c>
      <c r="F2536" s="7" t="s">
        <v>23</v>
      </c>
      <c r="G2536" s="7" t="s">
        <v>24</v>
      </c>
      <c r="H2536" s="7" t="s">
        <v>25</v>
      </c>
      <c r="I2536" s="7" t="s">
        <v>26</v>
      </c>
      <c r="J2536" s="7">
        <v>836</v>
      </c>
      <c r="K2536" s="7">
        <v>1195.48</v>
      </c>
    </row>
    <row r="2537" spans="1:11" ht="18" customHeight="1" x14ac:dyDescent="0.25">
      <c r="A2537" s="7" t="s">
        <v>34</v>
      </c>
      <c r="B2537" s="7">
        <v>2023</v>
      </c>
      <c r="C2537" s="7" t="s">
        <v>66</v>
      </c>
      <c r="D2537" s="7" t="s">
        <v>72</v>
      </c>
      <c r="E2537" s="7" t="s">
        <v>22</v>
      </c>
      <c r="F2537" s="7" t="s">
        <v>23</v>
      </c>
      <c r="G2537" s="7" t="s">
        <v>24</v>
      </c>
      <c r="H2537" s="7" t="s">
        <v>25</v>
      </c>
      <c r="I2537" s="7" t="s">
        <v>26</v>
      </c>
      <c r="J2537" s="7">
        <v>203</v>
      </c>
      <c r="K2537" s="7">
        <v>290.28999999999996</v>
      </c>
    </row>
    <row r="2538" spans="1:11" ht="18" customHeight="1" x14ac:dyDescent="0.25">
      <c r="A2538" s="7" t="s">
        <v>61</v>
      </c>
      <c r="B2538" s="7">
        <v>2023</v>
      </c>
      <c r="C2538" s="7" t="s">
        <v>66</v>
      </c>
      <c r="D2538" s="7" t="s">
        <v>72</v>
      </c>
      <c r="E2538" s="7" t="s">
        <v>22</v>
      </c>
      <c r="F2538" s="7" t="s">
        <v>23</v>
      </c>
      <c r="G2538" s="7" t="s">
        <v>24</v>
      </c>
      <c r="H2538" s="7" t="s">
        <v>25</v>
      </c>
      <c r="I2538" s="7" t="s">
        <v>26</v>
      </c>
      <c r="J2538" s="7">
        <v>179</v>
      </c>
      <c r="K2538" s="7">
        <v>255.97</v>
      </c>
    </row>
    <row r="2539" spans="1:11" ht="18" customHeight="1" x14ac:dyDescent="0.25">
      <c r="A2539" s="7" t="s">
        <v>19</v>
      </c>
      <c r="B2539" s="7">
        <v>2023</v>
      </c>
      <c r="C2539" s="7" t="s">
        <v>71</v>
      </c>
      <c r="D2539" s="7" t="s">
        <v>72</v>
      </c>
      <c r="E2539" s="7" t="s">
        <v>22</v>
      </c>
      <c r="F2539" s="7" t="s">
        <v>23</v>
      </c>
      <c r="G2539" s="7" t="s">
        <v>24</v>
      </c>
      <c r="H2539" s="7" t="s">
        <v>25</v>
      </c>
      <c r="I2539" s="7" t="s">
        <v>26</v>
      </c>
      <c r="J2539" s="7">
        <v>176</v>
      </c>
      <c r="K2539" s="7">
        <v>251.68</v>
      </c>
    </row>
    <row r="2540" spans="1:11" ht="18" customHeight="1" x14ac:dyDescent="0.25">
      <c r="A2540" s="7" t="s">
        <v>19</v>
      </c>
      <c r="B2540" s="7">
        <v>2023</v>
      </c>
      <c r="C2540" s="7" t="s">
        <v>71</v>
      </c>
      <c r="D2540" s="7" t="s">
        <v>72</v>
      </c>
      <c r="E2540" s="7" t="s">
        <v>22</v>
      </c>
      <c r="F2540" s="7" t="s">
        <v>23</v>
      </c>
      <c r="G2540" s="7" t="s">
        <v>24</v>
      </c>
      <c r="H2540" s="7" t="s">
        <v>25</v>
      </c>
      <c r="I2540" s="7" t="s">
        <v>26</v>
      </c>
      <c r="J2540" s="7">
        <v>146</v>
      </c>
      <c r="K2540" s="7">
        <v>208.78</v>
      </c>
    </row>
    <row r="2541" spans="1:11" ht="18" customHeight="1" x14ac:dyDescent="0.25">
      <c r="A2541" s="7" t="s">
        <v>19</v>
      </c>
      <c r="B2541" s="7">
        <v>2023</v>
      </c>
      <c r="C2541" s="7" t="s">
        <v>71</v>
      </c>
      <c r="D2541" s="7" t="s">
        <v>72</v>
      </c>
      <c r="E2541" s="7" t="s">
        <v>22</v>
      </c>
      <c r="F2541" s="7" t="s">
        <v>23</v>
      </c>
      <c r="G2541" s="7" t="s">
        <v>24</v>
      </c>
      <c r="H2541" s="7" t="s">
        <v>25</v>
      </c>
      <c r="I2541" s="7" t="s">
        <v>26</v>
      </c>
      <c r="J2541" s="7">
        <v>172</v>
      </c>
      <c r="K2541" s="7">
        <v>526.24</v>
      </c>
    </row>
    <row r="2542" spans="1:11" ht="18" customHeight="1" x14ac:dyDescent="0.25">
      <c r="A2542" s="7" t="s">
        <v>42</v>
      </c>
      <c r="B2542" s="7">
        <v>2023</v>
      </c>
      <c r="C2542" s="7" t="s">
        <v>71</v>
      </c>
      <c r="D2542" s="7" t="s">
        <v>72</v>
      </c>
      <c r="E2542" s="7" t="s">
        <v>22</v>
      </c>
      <c r="F2542" s="7" t="s">
        <v>23</v>
      </c>
      <c r="G2542" s="7" t="s">
        <v>24</v>
      </c>
      <c r="H2542" s="7" t="s">
        <v>25</v>
      </c>
      <c r="I2542" s="7" t="s">
        <v>26</v>
      </c>
      <c r="J2542" s="7">
        <v>148</v>
      </c>
      <c r="K2542" s="7">
        <v>526.24</v>
      </c>
    </row>
    <row r="2543" spans="1:11" ht="18" customHeight="1" x14ac:dyDescent="0.25">
      <c r="A2543" s="7" t="s">
        <v>42</v>
      </c>
      <c r="B2543" s="7">
        <v>2023</v>
      </c>
      <c r="C2543" s="7" t="s">
        <v>71</v>
      </c>
      <c r="D2543" s="7" t="s">
        <v>72</v>
      </c>
      <c r="E2543" s="7" t="s">
        <v>22</v>
      </c>
      <c r="F2543" s="7" t="s">
        <v>23</v>
      </c>
      <c r="G2543" s="7" t="s">
        <v>24</v>
      </c>
      <c r="H2543" s="7" t="s">
        <v>25</v>
      </c>
      <c r="I2543" s="7" t="s">
        <v>26</v>
      </c>
      <c r="J2543" s="7">
        <v>974</v>
      </c>
      <c r="K2543" s="7">
        <v>1392.82</v>
      </c>
    </row>
    <row r="2544" spans="1:11" ht="18" customHeight="1" x14ac:dyDescent="0.25">
      <c r="A2544" s="7" t="s">
        <v>19</v>
      </c>
      <c r="B2544" s="7">
        <v>2023</v>
      </c>
      <c r="C2544" s="7" t="s">
        <v>71</v>
      </c>
      <c r="D2544" s="7" t="s">
        <v>72</v>
      </c>
      <c r="E2544" s="7" t="s">
        <v>22</v>
      </c>
      <c r="F2544" s="7" t="s">
        <v>23</v>
      </c>
      <c r="G2544" s="7" t="s">
        <v>24</v>
      </c>
      <c r="H2544" s="7" t="s">
        <v>25</v>
      </c>
      <c r="I2544" s="7" t="s">
        <v>26</v>
      </c>
      <c r="J2544" s="7">
        <v>144</v>
      </c>
      <c r="K2544" s="7">
        <v>205.92000000000002</v>
      </c>
    </row>
    <row r="2545" spans="1:11" ht="18" customHeight="1" x14ac:dyDescent="0.25">
      <c r="A2545" s="7" t="s">
        <v>19</v>
      </c>
      <c r="B2545" s="7">
        <v>2023</v>
      </c>
      <c r="C2545" s="7" t="s">
        <v>71</v>
      </c>
      <c r="D2545" s="7" t="s">
        <v>72</v>
      </c>
      <c r="E2545" s="7" t="s">
        <v>22</v>
      </c>
      <c r="F2545" s="7" t="s">
        <v>23</v>
      </c>
      <c r="G2545" s="7" t="s">
        <v>24</v>
      </c>
      <c r="H2545" s="7" t="s">
        <v>25</v>
      </c>
      <c r="I2545" s="7" t="s">
        <v>26</v>
      </c>
      <c r="J2545" s="7">
        <v>171</v>
      </c>
      <c r="K2545" s="7">
        <v>244.53</v>
      </c>
    </row>
    <row r="2546" spans="1:11" ht="18" customHeight="1" x14ac:dyDescent="0.25">
      <c r="A2546" s="7" t="s">
        <v>42</v>
      </c>
      <c r="B2546" s="7">
        <v>2023</v>
      </c>
      <c r="C2546" s="7" t="s">
        <v>71</v>
      </c>
      <c r="D2546" s="7" t="s">
        <v>72</v>
      </c>
      <c r="E2546" s="7" t="s">
        <v>22</v>
      </c>
      <c r="F2546" s="7" t="s">
        <v>23</v>
      </c>
      <c r="G2546" s="7" t="s">
        <v>24</v>
      </c>
      <c r="H2546" s="7" t="s">
        <v>25</v>
      </c>
      <c r="I2546" s="7" t="s">
        <v>26</v>
      </c>
      <c r="J2546" s="7">
        <v>147</v>
      </c>
      <c r="K2546" s="7">
        <v>210.21</v>
      </c>
    </row>
    <row r="2547" spans="1:11" ht="18" customHeight="1" x14ac:dyDescent="0.25">
      <c r="A2547" s="7" t="s">
        <v>42</v>
      </c>
      <c r="B2547" s="7">
        <v>2023</v>
      </c>
      <c r="C2547" s="7" t="s">
        <v>71</v>
      </c>
      <c r="D2547" s="7" t="s">
        <v>72</v>
      </c>
      <c r="E2547" s="7" t="s">
        <v>22</v>
      </c>
      <c r="F2547" s="7" t="s">
        <v>23</v>
      </c>
      <c r="G2547" s="7" t="s">
        <v>24</v>
      </c>
      <c r="H2547" s="7" t="s">
        <v>25</v>
      </c>
      <c r="I2547" s="7" t="s">
        <v>26</v>
      </c>
      <c r="J2547" s="7">
        <v>755</v>
      </c>
      <c r="K2547" s="7">
        <v>1079.6500000000001</v>
      </c>
    </row>
    <row r="2548" spans="1:11" ht="18" customHeight="1" x14ac:dyDescent="0.25">
      <c r="A2548" s="7" t="s">
        <v>19</v>
      </c>
      <c r="B2548" s="7">
        <v>2023</v>
      </c>
      <c r="C2548" s="7" t="s">
        <v>71</v>
      </c>
      <c r="D2548" s="7" t="s">
        <v>72</v>
      </c>
      <c r="E2548" s="7" t="s">
        <v>22</v>
      </c>
      <c r="F2548" s="7" t="s">
        <v>23</v>
      </c>
      <c r="G2548" s="7" t="s">
        <v>24</v>
      </c>
      <c r="H2548" s="7" t="s">
        <v>25</v>
      </c>
      <c r="I2548" s="7" t="s">
        <v>26</v>
      </c>
      <c r="J2548" s="7">
        <v>842</v>
      </c>
      <c r="K2548" s="7">
        <v>1204.06</v>
      </c>
    </row>
    <row r="2549" spans="1:11" ht="18" customHeight="1" x14ac:dyDescent="0.25">
      <c r="A2549" s="7" t="s">
        <v>19</v>
      </c>
      <c r="B2549" s="7">
        <v>2023</v>
      </c>
      <c r="C2549" s="7" t="s">
        <v>71</v>
      </c>
      <c r="D2549" s="7" t="s">
        <v>72</v>
      </c>
      <c r="E2549" s="7" t="s">
        <v>22</v>
      </c>
      <c r="F2549" s="7" t="s">
        <v>23</v>
      </c>
      <c r="G2549" s="7" t="s">
        <v>24</v>
      </c>
      <c r="H2549" s="7" t="s">
        <v>25</v>
      </c>
      <c r="I2549" s="7" t="s">
        <v>26</v>
      </c>
      <c r="J2549" s="7">
        <v>173</v>
      </c>
      <c r="K2549" s="7">
        <v>247.39</v>
      </c>
    </row>
    <row r="2550" spans="1:11" ht="18" customHeight="1" x14ac:dyDescent="0.25">
      <c r="A2550" s="7" t="s">
        <v>19</v>
      </c>
      <c r="B2550" s="7">
        <v>2023</v>
      </c>
      <c r="C2550" s="7" t="s">
        <v>71</v>
      </c>
      <c r="D2550" s="7" t="s">
        <v>72</v>
      </c>
      <c r="E2550" s="7" t="s">
        <v>22</v>
      </c>
      <c r="F2550" s="7" t="s">
        <v>23</v>
      </c>
      <c r="G2550" s="7" t="s">
        <v>24</v>
      </c>
      <c r="H2550" s="7" t="s">
        <v>25</v>
      </c>
      <c r="I2550" s="7" t="s">
        <v>26</v>
      </c>
      <c r="J2550" s="7">
        <v>149</v>
      </c>
      <c r="K2550" s="7">
        <v>213.07</v>
      </c>
    </row>
    <row r="2551" spans="1:11" ht="18" customHeight="1" x14ac:dyDescent="0.25">
      <c r="A2551" s="7" t="s">
        <v>61</v>
      </c>
      <c r="B2551" s="7">
        <v>2023</v>
      </c>
      <c r="C2551" s="7" t="s">
        <v>70</v>
      </c>
      <c r="D2551" s="7" t="s">
        <v>72</v>
      </c>
      <c r="E2551" s="7" t="s">
        <v>22</v>
      </c>
      <c r="F2551" s="7" t="s">
        <v>23</v>
      </c>
      <c r="G2551" s="7" t="s">
        <v>24</v>
      </c>
      <c r="H2551" s="7" t="s">
        <v>25</v>
      </c>
      <c r="I2551" s="7" t="s">
        <v>26</v>
      </c>
      <c r="J2551" s="7">
        <v>152</v>
      </c>
      <c r="K2551" s="7">
        <v>217.36</v>
      </c>
    </row>
    <row r="2552" spans="1:11" ht="18" customHeight="1" x14ac:dyDescent="0.25">
      <c r="A2552" s="7" t="s">
        <v>19</v>
      </c>
      <c r="B2552" s="7">
        <v>2023</v>
      </c>
      <c r="C2552" s="7" t="s">
        <v>70</v>
      </c>
      <c r="D2552" s="7" t="s">
        <v>72</v>
      </c>
      <c r="E2552" s="7" t="s">
        <v>22</v>
      </c>
      <c r="F2552" s="7" t="s">
        <v>23</v>
      </c>
      <c r="G2552" s="7" t="s">
        <v>24</v>
      </c>
      <c r="H2552" s="7" t="s">
        <v>25</v>
      </c>
      <c r="I2552" s="7" t="s">
        <v>26</v>
      </c>
      <c r="J2552" s="7">
        <v>178</v>
      </c>
      <c r="K2552" s="7">
        <v>526.24</v>
      </c>
    </row>
    <row r="2553" spans="1:11" ht="18" customHeight="1" x14ac:dyDescent="0.25">
      <c r="A2553" s="7" t="s">
        <v>19</v>
      </c>
      <c r="B2553" s="7">
        <v>2023</v>
      </c>
      <c r="C2553" s="7" t="s">
        <v>70</v>
      </c>
      <c r="D2553" s="7" t="s">
        <v>72</v>
      </c>
      <c r="E2553" s="7" t="s">
        <v>22</v>
      </c>
      <c r="F2553" s="7" t="s">
        <v>23</v>
      </c>
      <c r="G2553" s="7" t="s">
        <v>24</v>
      </c>
      <c r="H2553" s="7" t="s">
        <v>25</v>
      </c>
      <c r="I2553" s="7" t="s">
        <v>26</v>
      </c>
      <c r="J2553" s="7">
        <v>154</v>
      </c>
      <c r="K2553" s="7">
        <v>526.24</v>
      </c>
    </row>
    <row r="2554" spans="1:11" ht="18" customHeight="1" x14ac:dyDescent="0.25">
      <c r="A2554" s="7" t="s">
        <v>42</v>
      </c>
      <c r="B2554" s="7">
        <v>2023</v>
      </c>
      <c r="C2554" s="7" t="s">
        <v>70</v>
      </c>
      <c r="D2554" s="7" t="s">
        <v>72</v>
      </c>
      <c r="E2554" s="7" t="s">
        <v>22</v>
      </c>
      <c r="F2554" s="7" t="s">
        <v>23</v>
      </c>
      <c r="G2554" s="7" t="s">
        <v>24</v>
      </c>
      <c r="H2554" s="7" t="s">
        <v>25</v>
      </c>
      <c r="I2554" s="7" t="s">
        <v>26</v>
      </c>
      <c r="J2554" s="7">
        <v>973</v>
      </c>
      <c r="K2554" s="7">
        <v>1391.3899999999999</v>
      </c>
    </row>
    <row r="2555" spans="1:11" ht="18" customHeight="1" x14ac:dyDescent="0.25">
      <c r="A2555" s="7" t="s">
        <v>34</v>
      </c>
      <c r="B2555" s="7">
        <v>2023</v>
      </c>
      <c r="C2555" s="7" t="s">
        <v>70</v>
      </c>
      <c r="D2555" s="7" t="s">
        <v>72</v>
      </c>
      <c r="E2555" s="7" t="s">
        <v>22</v>
      </c>
      <c r="F2555" s="7" t="s">
        <v>23</v>
      </c>
      <c r="G2555" s="7" t="s">
        <v>24</v>
      </c>
      <c r="H2555" s="7" t="s">
        <v>25</v>
      </c>
      <c r="I2555" s="7" t="s">
        <v>26</v>
      </c>
      <c r="J2555" s="7">
        <v>150</v>
      </c>
      <c r="K2555" s="7">
        <v>214.5</v>
      </c>
    </row>
    <row r="2556" spans="1:11" ht="18" customHeight="1" x14ac:dyDescent="0.25">
      <c r="A2556" s="7" t="s">
        <v>34</v>
      </c>
      <c r="B2556" s="7">
        <v>2023</v>
      </c>
      <c r="C2556" s="7" t="s">
        <v>70</v>
      </c>
      <c r="D2556" s="7" t="s">
        <v>72</v>
      </c>
      <c r="E2556" s="7" t="s">
        <v>22</v>
      </c>
      <c r="F2556" s="7" t="s">
        <v>23</v>
      </c>
      <c r="G2556" s="7" t="s">
        <v>24</v>
      </c>
      <c r="H2556" s="7" t="s">
        <v>25</v>
      </c>
      <c r="I2556" s="7" t="s">
        <v>26</v>
      </c>
      <c r="J2556" s="7">
        <v>177</v>
      </c>
      <c r="K2556" s="7">
        <v>253.11</v>
      </c>
    </row>
    <row r="2557" spans="1:11" ht="18" customHeight="1" x14ac:dyDescent="0.25">
      <c r="A2557" s="7" t="s">
        <v>42</v>
      </c>
      <c r="B2557" s="7">
        <v>2023</v>
      </c>
      <c r="C2557" s="7" t="s">
        <v>70</v>
      </c>
      <c r="D2557" s="7" t="s">
        <v>72</v>
      </c>
      <c r="E2557" s="7" t="s">
        <v>22</v>
      </c>
      <c r="F2557" s="7" t="s">
        <v>23</v>
      </c>
      <c r="G2557" s="7" t="s">
        <v>24</v>
      </c>
      <c r="H2557" s="7" t="s">
        <v>25</v>
      </c>
      <c r="I2557" s="7" t="s">
        <v>26</v>
      </c>
      <c r="J2557" s="7">
        <v>153</v>
      </c>
      <c r="K2557" s="7">
        <v>218.79</v>
      </c>
    </row>
    <row r="2558" spans="1:11" ht="18" customHeight="1" x14ac:dyDescent="0.25">
      <c r="A2558" s="7" t="s">
        <v>19</v>
      </c>
      <c r="B2558" s="7">
        <v>2023</v>
      </c>
      <c r="C2558" s="7" t="s">
        <v>70</v>
      </c>
      <c r="D2558" s="7" t="s">
        <v>72</v>
      </c>
      <c r="E2558" s="7" t="s">
        <v>22</v>
      </c>
      <c r="F2558" s="7" t="s">
        <v>23</v>
      </c>
      <c r="G2558" s="7" t="s">
        <v>24</v>
      </c>
      <c r="H2558" s="7" t="s">
        <v>25</v>
      </c>
      <c r="I2558" s="7" t="s">
        <v>26</v>
      </c>
      <c r="J2558" s="7">
        <v>754</v>
      </c>
      <c r="K2558" s="7">
        <v>1078.22</v>
      </c>
    </row>
    <row r="2559" spans="1:11" ht="18" customHeight="1" x14ac:dyDescent="0.25">
      <c r="A2559" s="7" t="s">
        <v>19</v>
      </c>
      <c r="B2559" s="7">
        <v>2023</v>
      </c>
      <c r="C2559" s="7" t="s">
        <v>70</v>
      </c>
      <c r="D2559" s="7" t="s">
        <v>72</v>
      </c>
      <c r="E2559" s="7" t="s">
        <v>22</v>
      </c>
      <c r="F2559" s="7" t="s">
        <v>23</v>
      </c>
      <c r="G2559" s="7" t="s">
        <v>24</v>
      </c>
      <c r="H2559" s="7" t="s">
        <v>25</v>
      </c>
      <c r="I2559" s="7" t="s">
        <v>26</v>
      </c>
      <c r="J2559" s="7">
        <v>841</v>
      </c>
      <c r="K2559" s="7">
        <v>1202.6300000000001</v>
      </c>
    </row>
    <row r="2560" spans="1:11" ht="18" customHeight="1" x14ac:dyDescent="0.25">
      <c r="A2560" s="7" t="s">
        <v>61</v>
      </c>
      <c r="B2560" s="7">
        <v>2023</v>
      </c>
      <c r="C2560" s="7" t="s">
        <v>70</v>
      </c>
      <c r="D2560" s="7" t="s">
        <v>72</v>
      </c>
      <c r="E2560" s="7" t="s">
        <v>22</v>
      </c>
      <c r="F2560" s="7" t="s">
        <v>23</v>
      </c>
      <c r="G2560" s="7" t="s">
        <v>24</v>
      </c>
      <c r="H2560" s="7" t="s">
        <v>25</v>
      </c>
      <c r="I2560" s="7" t="s">
        <v>26</v>
      </c>
      <c r="J2560" s="7">
        <v>179</v>
      </c>
      <c r="K2560" s="7">
        <v>255.97</v>
      </c>
    </row>
    <row r="2561" spans="1:11" ht="18" customHeight="1" x14ac:dyDescent="0.25">
      <c r="A2561" s="7" t="s">
        <v>19</v>
      </c>
      <c r="B2561" s="7">
        <v>2023</v>
      </c>
      <c r="C2561" s="7" t="s">
        <v>69</v>
      </c>
      <c r="D2561" s="7" t="s">
        <v>72</v>
      </c>
      <c r="E2561" s="7" t="s">
        <v>22</v>
      </c>
      <c r="F2561" s="7" t="s">
        <v>23</v>
      </c>
      <c r="G2561" s="7" t="s">
        <v>24</v>
      </c>
      <c r="H2561" s="7" t="s">
        <v>25</v>
      </c>
      <c r="I2561" s="7" t="s">
        <v>26</v>
      </c>
      <c r="J2561" s="7">
        <v>182</v>
      </c>
      <c r="K2561" s="7">
        <v>260.26</v>
      </c>
    </row>
    <row r="2562" spans="1:11" ht="18" customHeight="1" x14ac:dyDescent="0.25">
      <c r="A2562" s="7" t="s">
        <v>34</v>
      </c>
      <c r="B2562" s="7">
        <v>2023</v>
      </c>
      <c r="C2562" s="7" t="s">
        <v>69</v>
      </c>
      <c r="D2562" s="7" t="s">
        <v>72</v>
      </c>
      <c r="E2562" s="7" t="s">
        <v>22</v>
      </c>
      <c r="F2562" s="7" t="s">
        <v>23</v>
      </c>
      <c r="G2562" s="7" t="s">
        <v>24</v>
      </c>
      <c r="H2562" s="7" t="s">
        <v>25</v>
      </c>
      <c r="I2562" s="7" t="s">
        <v>26</v>
      </c>
      <c r="J2562" s="7">
        <v>158</v>
      </c>
      <c r="K2562" s="7">
        <v>225.94</v>
      </c>
    </row>
    <row r="2563" spans="1:11" ht="18" customHeight="1" x14ac:dyDescent="0.25">
      <c r="A2563" s="7" t="s">
        <v>34</v>
      </c>
      <c r="B2563" s="7">
        <v>2023</v>
      </c>
      <c r="C2563" s="7" t="s">
        <v>69</v>
      </c>
      <c r="D2563" s="7" t="s">
        <v>72</v>
      </c>
      <c r="E2563" s="7" t="s">
        <v>22</v>
      </c>
      <c r="F2563" s="7" t="s">
        <v>23</v>
      </c>
      <c r="G2563" s="7" t="s">
        <v>24</v>
      </c>
      <c r="H2563" s="7" t="s">
        <v>25</v>
      </c>
      <c r="I2563" s="7" t="s">
        <v>26</v>
      </c>
      <c r="J2563" s="7">
        <v>184</v>
      </c>
      <c r="K2563" s="7">
        <v>526.24</v>
      </c>
    </row>
    <row r="2564" spans="1:11" ht="18" customHeight="1" x14ac:dyDescent="0.25">
      <c r="A2564" s="7" t="s">
        <v>42</v>
      </c>
      <c r="B2564" s="7">
        <v>2023</v>
      </c>
      <c r="C2564" s="7" t="s">
        <v>69</v>
      </c>
      <c r="D2564" s="7" t="s">
        <v>72</v>
      </c>
      <c r="E2564" s="7" t="s">
        <v>22</v>
      </c>
      <c r="F2564" s="7" t="s">
        <v>23</v>
      </c>
      <c r="G2564" s="7" t="s">
        <v>24</v>
      </c>
      <c r="H2564" s="7" t="s">
        <v>25</v>
      </c>
      <c r="I2564" s="7" t="s">
        <v>26</v>
      </c>
      <c r="J2564" s="7">
        <v>972</v>
      </c>
      <c r="K2564" s="7">
        <v>1389.96</v>
      </c>
    </row>
    <row r="2565" spans="1:11" ht="18" customHeight="1" x14ac:dyDescent="0.25">
      <c r="A2565" s="7" t="s">
        <v>19</v>
      </c>
      <c r="B2565" s="7">
        <v>2023</v>
      </c>
      <c r="C2565" s="7" t="s">
        <v>69</v>
      </c>
      <c r="D2565" s="7" t="s">
        <v>72</v>
      </c>
      <c r="E2565" s="7" t="s">
        <v>22</v>
      </c>
      <c r="F2565" s="7" t="s">
        <v>23</v>
      </c>
      <c r="G2565" s="7" t="s">
        <v>24</v>
      </c>
      <c r="H2565" s="7" t="s">
        <v>25</v>
      </c>
      <c r="I2565" s="7" t="s">
        <v>26</v>
      </c>
      <c r="J2565" s="7">
        <v>156</v>
      </c>
      <c r="K2565" s="7">
        <v>223.07999999999998</v>
      </c>
    </row>
    <row r="2566" spans="1:11" ht="18" customHeight="1" x14ac:dyDescent="0.25">
      <c r="A2566" s="7" t="s">
        <v>19</v>
      </c>
      <c r="B2566" s="7">
        <v>2023</v>
      </c>
      <c r="C2566" s="7" t="s">
        <v>69</v>
      </c>
      <c r="D2566" s="7" t="s">
        <v>72</v>
      </c>
      <c r="E2566" s="7" t="s">
        <v>22</v>
      </c>
      <c r="F2566" s="7" t="s">
        <v>23</v>
      </c>
      <c r="G2566" s="7" t="s">
        <v>24</v>
      </c>
      <c r="H2566" s="7" t="s">
        <v>25</v>
      </c>
      <c r="I2566" s="7" t="s">
        <v>26</v>
      </c>
      <c r="J2566" s="7">
        <v>183</v>
      </c>
      <c r="K2566" s="7">
        <v>261.69</v>
      </c>
    </row>
    <row r="2567" spans="1:11" ht="18" customHeight="1" x14ac:dyDescent="0.25">
      <c r="A2567" s="7" t="s">
        <v>42</v>
      </c>
      <c r="B2567" s="7">
        <v>2023</v>
      </c>
      <c r="C2567" s="7" t="s">
        <v>69</v>
      </c>
      <c r="D2567" s="7" t="s">
        <v>72</v>
      </c>
      <c r="E2567" s="7" t="s">
        <v>22</v>
      </c>
      <c r="F2567" s="7" t="s">
        <v>23</v>
      </c>
      <c r="G2567" s="7" t="s">
        <v>24</v>
      </c>
      <c r="H2567" s="7" t="s">
        <v>25</v>
      </c>
      <c r="I2567" s="7" t="s">
        <v>26</v>
      </c>
      <c r="J2567" s="7">
        <v>159</v>
      </c>
      <c r="K2567" s="7">
        <v>227.37</v>
      </c>
    </row>
    <row r="2568" spans="1:11" ht="18" customHeight="1" x14ac:dyDescent="0.25">
      <c r="A2568" s="7" t="s">
        <v>34</v>
      </c>
      <c r="B2568" s="7">
        <v>2023</v>
      </c>
      <c r="C2568" s="7" t="s">
        <v>69</v>
      </c>
      <c r="D2568" s="7" t="s">
        <v>72</v>
      </c>
      <c r="E2568" s="7" t="s">
        <v>22</v>
      </c>
      <c r="F2568" s="7" t="s">
        <v>23</v>
      </c>
      <c r="G2568" s="7" t="s">
        <v>24</v>
      </c>
      <c r="H2568" s="7" t="s">
        <v>25</v>
      </c>
      <c r="I2568" s="7" t="s">
        <v>26</v>
      </c>
      <c r="J2568" s="7">
        <v>840</v>
      </c>
      <c r="K2568" s="7">
        <v>1201.2</v>
      </c>
    </row>
    <row r="2569" spans="1:11" ht="18" customHeight="1" x14ac:dyDescent="0.25">
      <c r="A2569" s="7" t="s">
        <v>34</v>
      </c>
      <c r="B2569" s="7">
        <v>2023</v>
      </c>
      <c r="C2569" s="7" t="s">
        <v>69</v>
      </c>
      <c r="D2569" s="7" t="s">
        <v>72</v>
      </c>
      <c r="E2569" s="7" t="s">
        <v>22</v>
      </c>
      <c r="F2569" s="7" t="s">
        <v>23</v>
      </c>
      <c r="G2569" s="7" t="s">
        <v>24</v>
      </c>
      <c r="H2569" s="7" t="s">
        <v>25</v>
      </c>
      <c r="I2569" s="7" t="s">
        <v>26</v>
      </c>
      <c r="J2569" s="7">
        <v>185</v>
      </c>
      <c r="K2569" s="7">
        <v>264.55</v>
      </c>
    </row>
    <row r="2570" spans="1:11" ht="18" customHeight="1" x14ac:dyDescent="0.25">
      <c r="A2570" s="7" t="s">
        <v>19</v>
      </c>
      <c r="B2570" s="7">
        <v>2023</v>
      </c>
      <c r="C2570" s="7" t="s">
        <v>69</v>
      </c>
      <c r="D2570" s="7" t="s">
        <v>72</v>
      </c>
      <c r="E2570" s="7" t="s">
        <v>22</v>
      </c>
      <c r="F2570" s="7" t="s">
        <v>23</v>
      </c>
      <c r="G2570" s="7" t="s">
        <v>24</v>
      </c>
      <c r="H2570" s="7" t="s">
        <v>25</v>
      </c>
      <c r="I2570" s="7" t="s">
        <v>26</v>
      </c>
      <c r="J2570" s="7">
        <v>155</v>
      </c>
      <c r="K2570" s="7">
        <v>221.65</v>
      </c>
    </row>
    <row r="2571" spans="1:11" ht="18" customHeight="1" x14ac:dyDescent="0.25">
      <c r="A2571" s="7" t="s">
        <v>34</v>
      </c>
      <c r="B2571" s="7">
        <v>2023</v>
      </c>
      <c r="C2571" s="7" t="s">
        <v>20</v>
      </c>
      <c r="D2571" s="7" t="s">
        <v>72</v>
      </c>
      <c r="E2571" s="7" t="s">
        <v>74</v>
      </c>
      <c r="F2571" s="7" t="s">
        <v>75</v>
      </c>
      <c r="G2571" s="7" t="s">
        <v>64</v>
      </c>
      <c r="H2571" s="7" t="s">
        <v>73</v>
      </c>
      <c r="I2571" s="7" t="s">
        <v>76</v>
      </c>
      <c r="J2571" s="7">
        <v>290</v>
      </c>
      <c r="K2571" s="7">
        <v>414.7</v>
      </c>
    </row>
    <row r="2572" spans="1:11" ht="18" customHeight="1" x14ac:dyDescent="0.25">
      <c r="A2572" s="7" t="s">
        <v>42</v>
      </c>
      <c r="B2572" s="7">
        <v>2023</v>
      </c>
      <c r="C2572" s="7" t="s">
        <v>20</v>
      </c>
      <c r="D2572" s="7" t="s">
        <v>72</v>
      </c>
      <c r="E2572" s="7" t="s">
        <v>74</v>
      </c>
      <c r="F2572" s="7" t="s">
        <v>75</v>
      </c>
      <c r="G2572" s="7" t="s">
        <v>64</v>
      </c>
      <c r="H2572" s="7" t="s">
        <v>73</v>
      </c>
      <c r="I2572" s="7" t="s">
        <v>76</v>
      </c>
      <c r="J2572" s="7">
        <v>260</v>
      </c>
      <c r="K2572" s="7">
        <v>371.8</v>
      </c>
    </row>
    <row r="2573" spans="1:11" ht="18" customHeight="1" x14ac:dyDescent="0.25">
      <c r="A2573" s="7" t="s">
        <v>34</v>
      </c>
      <c r="B2573" s="7">
        <v>2023</v>
      </c>
      <c r="C2573" s="7" t="s">
        <v>20</v>
      </c>
      <c r="D2573" s="7" t="s">
        <v>72</v>
      </c>
      <c r="E2573" s="7" t="s">
        <v>74</v>
      </c>
      <c r="F2573" s="7" t="s">
        <v>75</v>
      </c>
      <c r="G2573" s="7" t="s">
        <v>64</v>
      </c>
      <c r="H2573" s="7" t="s">
        <v>73</v>
      </c>
      <c r="I2573" s="7" t="s">
        <v>76</v>
      </c>
      <c r="J2573" s="7">
        <v>286</v>
      </c>
      <c r="K2573" s="7">
        <v>408.98</v>
      </c>
    </row>
    <row r="2574" spans="1:11" ht="18" customHeight="1" x14ac:dyDescent="0.25">
      <c r="A2574" s="7" t="s">
        <v>34</v>
      </c>
      <c r="B2574" s="7">
        <v>2023</v>
      </c>
      <c r="C2574" s="7" t="s">
        <v>20</v>
      </c>
      <c r="D2574" s="7" t="s">
        <v>72</v>
      </c>
      <c r="E2574" s="7" t="s">
        <v>74</v>
      </c>
      <c r="F2574" s="7" t="s">
        <v>75</v>
      </c>
      <c r="G2574" s="7" t="s">
        <v>64</v>
      </c>
      <c r="H2574" s="7" t="s">
        <v>73</v>
      </c>
      <c r="I2574" s="7" t="s">
        <v>76</v>
      </c>
      <c r="J2574" s="7">
        <v>262</v>
      </c>
      <c r="K2574" s="7">
        <v>374.65999999999997</v>
      </c>
    </row>
    <row r="2575" spans="1:11" ht="18" customHeight="1" x14ac:dyDescent="0.25">
      <c r="A2575" s="7" t="s">
        <v>42</v>
      </c>
      <c r="B2575" s="7">
        <v>2023</v>
      </c>
      <c r="C2575" s="7" t="s">
        <v>20</v>
      </c>
      <c r="D2575" s="7" t="s">
        <v>72</v>
      </c>
      <c r="E2575" s="7" t="s">
        <v>74</v>
      </c>
      <c r="F2575" s="7" t="s">
        <v>75</v>
      </c>
      <c r="G2575" s="7" t="s">
        <v>64</v>
      </c>
      <c r="H2575" s="7" t="s">
        <v>73</v>
      </c>
      <c r="I2575" s="7" t="s">
        <v>76</v>
      </c>
      <c r="J2575" s="7">
        <v>791</v>
      </c>
      <c r="K2575" s="7">
        <v>1131.1300000000001</v>
      </c>
    </row>
    <row r="2576" spans="1:11" ht="18" customHeight="1" x14ac:dyDescent="0.25">
      <c r="A2576" s="7" t="s">
        <v>42</v>
      </c>
      <c r="B2576" s="7">
        <v>2023</v>
      </c>
      <c r="C2576" s="7" t="s">
        <v>20</v>
      </c>
      <c r="D2576" s="7" t="s">
        <v>72</v>
      </c>
      <c r="E2576" s="7" t="s">
        <v>74</v>
      </c>
      <c r="F2576" s="7" t="s">
        <v>75</v>
      </c>
      <c r="G2576" s="7" t="s">
        <v>64</v>
      </c>
      <c r="H2576" s="7" t="s">
        <v>73</v>
      </c>
      <c r="I2576" s="7" t="s">
        <v>76</v>
      </c>
      <c r="J2576" s="7">
        <v>261</v>
      </c>
      <c r="K2576" s="7">
        <v>373.23</v>
      </c>
    </row>
    <row r="2577" spans="1:11" ht="18" customHeight="1" x14ac:dyDescent="0.25">
      <c r="A2577" s="7" t="s">
        <v>34</v>
      </c>
      <c r="B2577" s="7">
        <v>2023</v>
      </c>
      <c r="C2577" s="7" t="s">
        <v>20</v>
      </c>
      <c r="D2577" s="7" t="s">
        <v>72</v>
      </c>
      <c r="E2577" s="7" t="s">
        <v>74</v>
      </c>
      <c r="F2577" s="7" t="s">
        <v>75</v>
      </c>
      <c r="G2577" s="7" t="s">
        <v>64</v>
      </c>
      <c r="H2577" s="7" t="s">
        <v>73</v>
      </c>
      <c r="I2577" s="7" t="s">
        <v>76</v>
      </c>
      <c r="J2577" s="7">
        <v>289</v>
      </c>
      <c r="K2577" s="7">
        <v>413.27</v>
      </c>
    </row>
    <row r="2578" spans="1:11" ht="18" customHeight="1" x14ac:dyDescent="0.25">
      <c r="A2578" s="7" t="s">
        <v>34</v>
      </c>
      <c r="B2578" s="7">
        <v>2023</v>
      </c>
      <c r="C2578" s="7" t="s">
        <v>20</v>
      </c>
      <c r="D2578" s="7" t="s">
        <v>72</v>
      </c>
      <c r="E2578" s="7" t="s">
        <v>74</v>
      </c>
      <c r="F2578" s="7" t="s">
        <v>75</v>
      </c>
      <c r="G2578" s="7" t="s">
        <v>64</v>
      </c>
      <c r="H2578" s="7" t="s">
        <v>73</v>
      </c>
      <c r="I2578" s="7" t="s">
        <v>76</v>
      </c>
      <c r="J2578" s="7">
        <v>259</v>
      </c>
      <c r="K2578" s="7">
        <v>370.37</v>
      </c>
    </row>
    <row r="2579" spans="1:11" ht="18" customHeight="1" x14ac:dyDescent="0.25">
      <c r="A2579" s="7" t="s">
        <v>42</v>
      </c>
      <c r="B2579" s="7">
        <v>2023</v>
      </c>
      <c r="C2579" s="7" t="s">
        <v>20</v>
      </c>
      <c r="D2579" s="7" t="s">
        <v>72</v>
      </c>
      <c r="E2579" s="7" t="s">
        <v>74</v>
      </c>
      <c r="F2579" s="7" t="s">
        <v>75</v>
      </c>
      <c r="G2579" s="7" t="s">
        <v>64</v>
      </c>
      <c r="H2579" s="7" t="s">
        <v>73</v>
      </c>
      <c r="I2579" s="7" t="s">
        <v>76</v>
      </c>
      <c r="J2579" s="7">
        <v>800</v>
      </c>
      <c r="K2579" s="7">
        <v>1144</v>
      </c>
    </row>
    <row r="2580" spans="1:11" ht="18" customHeight="1" x14ac:dyDescent="0.25">
      <c r="A2580" s="7" t="s">
        <v>34</v>
      </c>
      <c r="B2580" s="7">
        <v>2023</v>
      </c>
      <c r="C2580" s="7" t="s">
        <v>20</v>
      </c>
      <c r="D2580" s="7" t="s">
        <v>72</v>
      </c>
      <c r="E2580" s="7" t="s">
        <v>74</v>
      </c>
      <c r="F2580" s="7" t="s">
        <v>75</v>
      </c>
      <c r="G2580" s="7" t="s">
        <v>64</v>
      </c>
      <c r="H2580" s="7" t="s">
        <v>73</v>
      </c>
      <c r="I2580" s="7" t="s">
        <v>76</v>
      </c>
      <c r="J2580" s="7">
        <v>886</v>
      </c>
      <c r="K2580" s="7">
        <v>1266.98</v>
      </c>
    </row>
    <row r="2581" spans="1:11" ht="18" customHeight="1" x14ac:dyDescent="0.25">
      <c r="A2581" s="7" t="s">
        <v>34</v>
      </c>
      <c r="B2581" s="7">
        <v>2023</v>
      </c>
      <c r="C2581" s="7" t="s">
        <v>60</v>
      </c>
      <c r="D2581" s="7" t="s">
        <v>72</v>
      </c>
      <c r="E2581" s="7" t="s">
        <v>74</v>
      </c>
      <c r="F2581" s="7" t="s">
        <v>75</v>
      </c>
      <c r="G2581" s="7" t="s">
        <v>64</v>
      </c>
      <c r="H2581" s="7" t="s">
        <v>73</v>
      </c>
      <c r="I2581" s="7" t="s">
        <v>76</v>
      </c>
      <c r="J2581" s="7">
        <v>266</v>
      </c>
      <c r="K2581" s="7">
        <v>380.38</v>
      </c>
    </row>
    <row r="2582" spans="1:11" ht="18" customHeight="1" x14ac:dyDescent="0.25">
      <c r="A2582" s="7" t="s">
        <v>19</v>
      </c>
      <c r="B2582" s="7">
        <v>2023</v>
      </c>
      <c r="C2582" s="7" t="s">
        <v>60</v>
      </c>
      <c r="D2582" s="7" t="s">
        <v>72</v>
      </c>
      <c r="E2582" s="7" t="s">
        <v>74</v>
      </c>
      <c r="F2582" s="7" t="s">
        <v>75</v>
      </c>
      <c r="G2582" s="7" t="s">
        <v>64</v>
      </c>
      <c r="H2582" s="7" t="s">
        <v>73</v>
      </c>
      <c r="I2582" s="7" t="s">
        <v>76</v>
      </c>
      <c r="J2582" s="7">
        <v>242</v>
      </c>
      <c r="K2582" s="7">
        <v>346.06</v>
      </c>
    </row>
    <row r="2583" spans="1:11" ht="18" customHeight="1" x14ac:dyDescent="0.25">
      <c r="A2583" s="7" t="s">
        <v>19</v>
      </c>
      <c r="B2583" s="7">
        <v>2023</v>
      </c>
      <c r="C2583" s="7" t="s">
        <v>60</v>
      </c>
      <c r="D2583" s="7" t="s">
        <v>72</v>
      </c>
      <c r="E2583" s="7" t="s">
        <v>74</v>
      </c>
      <c r="F2583" s="7" t="s">
        <v>75</v>
      </c>
      <c r="G2583" s="7" t="s">
        <v>64</v>
      </c>
      <c r="H2583" s="7" t="s">
        <v>73</v>
      </c>
      <c r="I2583" s="7" t="s">
        <v>76</v>
      </c>
      <c r="J2583" s="7">
        <v>268</v>
      </c>
      <c r="K2583" s="7">
        <v>383.24</v>
      </c>
    </row>
    <row r="2584" spans="1:11" ht="18" customHeight="1" x14ac:dyDescent="0.25">
      <c r="A2584" s="7" t="s">
        <v>19</v>
      </c>
      <c r="B2584" s="7">
        <v>2023</v>
      </c>
      <c r="C2584" s="7" t="s">
        <v>60</v>
      </c>
      <c r="D2584" s="7" t="s">
        <v>72</v>
      </c>
      <c r="E2584" s="7" t="s">
        <v>74</v>
      </c>
      <c r="F2584" s="7" t="s">
        <v>75</v>
      </c>
      <c r="G2584" s="7" t="s">
        <v>64</v>
      </c>
      <c r="H2584" s="7" t="s">
        <v>73</v>
      </c>
      <c r="I2584" s="7" t="s">
        <v>76</v>
      </c>
      <c r="J2584" s="7">
        <v>238</v>
      </c>
      <c r="K2584" s="7">
        <v>340.34000000000003</v>
      </c>
    </row>
    <row r="2585" spans="1:11" ht="18" customHeight="1" x14ac:dyDescent="0.25">
      <c r="A2585" s="7" t="s">
        <v>19</v>
      </c>
      <c r="B2585" s="7">
        <v>2023</v>
      </c>
      <c r="C2585" s="7" t="s">
        <v>60</v>
      </c>
      <c r="D2585" s="7" t="s">
        <v>72</v>
      </c>
      <c r="E2585" s="7" t="s">
        <v>74</v>
      </c>
      <c r="F2585" s="7" t="s">
        <v>75</v>
      </c>
      <c r="G2585" s="7" t="s">
        <v>64</v>
      </c>
      <c r="H2585" s="7" t="s">
        <v>73</v>
      </c>
      <c r="I2585" s="7" t="s">
        <v>76</v>
      </c>
      <c r="J2585" s="7">
        <v>881</v>
      </c>
      <c r="K2585" s="7">
        <v>1259.83</v>
      </c>
    </row>
    <row r="2586" spans="1:11" ht="18" customHeight="1" x14ac:dyDescent="0.25">
      <c r="A2586" s="7" t="s">
        <v>19</v>
      </c>
      <c r="B2586" s="7">
        <v>2023</v>
      </c>
      <c r="C2586" s="7" t="s">
        <v>60</v>
      </c>
      <c r="D2586" s="7" t="s">
        <v>72</v>
      </c>
      <c r="E2586" s="7" t="s">
        <v>74</v>
      </c>
      <c r="F2586" s="7" t="s">
        <v>75</v>
      </c>
      <c r="G2586" s="7" t="s">
        <v>64</v>
      </c>
      <c r="H2586" s="7" t="s">
        <v>73</v>
      </c>
      <c r="I2586" s="7" t="s">
        <v>76</v>
      </c>
      <c r="J2586" s="7">
        <v>834</v>
      </c>
      <c r="K2586" s="7">
        <v>526.24</v>
      </c>
    </row>
    <row r="2587" spans="1:11" ht="18" customHeight="1" x14ac:dyDescent="0.25">
      <c r="A2587" s="7" t="s">
        <v>19</v>
      </c>
      <c r="B2587" s="7">
        <v>2023</v>
      </c>
      <c r="C2587" s="7" t="s">
        <v>60</v>
      </c>
      <c r="D2587" s="7" t="s">
        <v>72</v>
      </c>
      <c r="E2587" s="7" t="s">
        <v>74</v>
      </c>
      <c r="F2587" s="7" t="s">
        <v>75</v>
      </c>
      <c r="G2587" s="7" t="s">
        <v>64</v>
      </c>
      <c r="H2587" s="7" t="s">
        <v>73</v>
      </c>
      <c r="I2587" s="7" t="s">
        <v>76</v>
      </c>
      <c r="J2587" s="7">
        <v>265</v>
      </c>
      <c r="K2587" s="7">
        <v>378.95</v>
      </c>
    </row>
    <row r="2588" spans="1:11" ht="18" customHeight="1" x14ac:dyDescent="0.25">
      <c r="A2588" s="7" t="s">
        <v>19</v>
      </c>
      <c r="B2588" s="7">
        <v>2023</v>
      </c>
      <c r="C2588" s="7" t="s">
        <v>60</v>
      </c>
      <c r="D2588" s="7" t="s">
        <v>72</v>
      </c>
      <c r="E2588" s="7" t="s">
        <v>74</v>
      </c>
      <c r="F2588" s="7" t="s">
        <v>75</v>
      </c>
      <c r="G2588" s="7" t="s">
        <v>64</v>
      </c>
      <c r="H2588" s="7" t="s">
        <v>73</v>
      </c>
      <c r="I2588" s="7" t="s">
        <v>76</v>
      </c>
      <c r="J2588" s="7">
        <v>241</v>
      </c>
      <c r="K2588" s="7">
        <v>344.63</v>
      </c>
    </row>
    <row r="2589" spans="1:11" ht="18" customHeight="1" x14ac:dyDescent="0.25">
      <c r="A2589" s="7" t="s">
        <v>19</v>
      </c>
      <c r="B2589" s="7">
        <v>2023</v>
      </c>
      <c r="C2589" s="7" t="s">
        <v>60</v>
      </c>
      <c r="D2589" s="7" t="s">
        <v>72</v>
      </c>
      <c r="E2589" s="7" t="s">
        <v>74</v>
      </c>
      <c r="F2589" s="7" t="s">
        <v>75</v>
      </c>
      <c r="G2589" s="7" t="s">
        <v>64</v>
      </c>
      <c r="H2589" s="7" t="s">
        <v>73</v>
      </c>
      <c r="I2589" s="7" t="s">
        <v>76</v>
      </c>
      <c r="J2589" s="7">
        <v>803</v>
      </c>
      <c r="K2589" s="7">
        <v>1148.29</v>
      </c>
    </row>
    <row r="2590" spans="1:11" ht="18" customHeight="1" x14ac:dyDescent="0.25">
      <c r="A2590" s="7" t="s">
        <v>34</v>
      </c>
      <c r="B2590" s="7">
        <v>2023</v>
      </c>
      <c r="C2590" s="7" t="s">
        <v>60</v>
      </c>
      <c r="D2590" s="7" t="s">
        <v>72</v>
      </c>
      <c r="E2590" s="7" t="s">
        <v>74</v>
      </c>
      <c r="F2590" s="7" t="s">
        <v>75</v>
      </c>
      <c r="G2590" s="7" t="s">
        <v>64</v>
      </c>
      <c r="H2590" s="7" t="s">
        <v>73</v>
      </c>
      <c r="I2590" s="7" t="s">
        <v>76</v>
      </c>
      <c r="J2590" s="7">
        <v>239</v>
      </c>
      <c r="K2590" s="7">
        <v>341.77</v>
      </c>
    </row>
    <row r="2591" spans="1:11" ht="18" customHeight="1" x14ac:dyDescent="0.25">
      <c r="A2591" s="7" t="s">
        <v>34</v>
      </c>
      <c r="B2591" s="7">
        <v>2023</v>
      </c>
      <c r="C2591" s="7" t="s">
        <v>65</v>
      </c>
      <c r="D2591" s="7" t="s">
        <v>72</v>
      </c>
      <c r="E2591" s="7" t="s">
        <v>74</v>
      </c>
      <c r="F2591" s="7" t="s">
        <v>75</v>
      </c>
      <c r="G2591" s="7" t="s">
        <v>64</v>
      </c>
      <c r="H2591" s="7" t="s">
        <v>73</v>
      </c>
      <c r="I2591" s="7" t="s">
        <v>76</v>
      </c>
      <c r="J2591" s="7">
        <v>248</v>
      </c>
      <c r="K2591" s="7">
        <v>354.64</v>
      </c>
    </row>
    <row r="2592" spans="1:11" ht="18" customHeight="1" x14ac:dyDescent="0.25">
      <c r="A2592" s="7" t="s">
        <v>53</v>
      </c>
      <c r="B2592" s="7">
        <v>2023</v>
      </c>
      <c r="C2592" s="7" t="s">
        <v>65</v>
      </c>
      <c r="D2592" s="7" t="s">
        <v>72</v>
      </c>
      <c r="E2592" s="7" t="s">
        <v>74</v>
      </c>
      <c r="F2592" s="7" t="s">
        <v>75</v>
      </c>
      <c r="G2592" s="7" t="s">
        <v>64</v>
      </c>
      <c r="H2592" s="7" t="s">
        <v>73</v>
      </c>
      <c r="I2592" s="7" t="s">
        <v>76</v>
      </c>
      <c r="J2592" s="7">
        <v>218</v>
      </c>
      <c r="K2592" s="7">
        <v>311.74</v>
      </c>
    </row>
    <row r="2593" spans="1:11" ht="18" customHeight="1" x14ac:dyDescent="0.25">
      <c r="A2593" s="7" t="s">
        <v>34</v>
      </c>
      <c r="B2593" s="7">
        <v>2023</v>
      </c>
      <c r="C2593" s="7" t="s">
        <v>65</v>
      </c>
      <c r="D2593" s="7" t="s">
        <v>72</v>
      </c>
      <c r="E2593" s="7" t="s">
        <v>74</v>
      </c>
      <c r="F2593" s="7" t="s">
        <v>75</v>
      </c>
      <c r="G2593" s="7" t="s">
        <v>64</v>
      </c>
      <c r="H2593" s="7" t="s">
        <v>73</v>
      </c>
      <c r="I2593" s="7" t="s">
        <v>76</v>
      </c>
      <c r="J2593" s="7">
        <v>244</v>
      </c>
      <c r="K2593" s="7">
        <v>348.92</v>
      </c>
    </row>
    <row r="2594" spans="1:11" ht="18" customHeight="1" x14ac:dyDescent="0.25">
      <c r="A2594" s="7" t="s">
        <v>34</v>
      </c>
      <c r="B2594" s="7">
        <v>2023</v>
      </c>
      <c r="C2594" s="7" t="s">
        <v>65</v>
      </c>
      <c r="D2594" s="7" t="s">
        <v>72</v>
      </c>
      <c r="E2594" s="7" t="s">
        <v>74</v>
      </c>
      <c r="F2594" s="7" t="s">
        <v>75</v>
      </c>
      <c r="G2594" s="7" t="s">
        <v>64</v>
      </c>
      <c r="H2594" s="7" t="s">
        <v>73</v>
      </c>
      <c r="I2594" s="7" t="s">
        <v>76</v>
      </c>
      <c r="J2594" s="7">
        <v>220</v>
      </c>
      <c r="K2594" s="7">
        <v>314.60000000000002</v>
      </c>
    </row>
    <row r="2595" spans="1:11" ht="18" customHeight="1" x14ac:dyDescent="0.25">
      <c r="A2595" s="7" t="s">
        <v>42</v>
      </c>
      <c r="B2595" s="7">
        <v>2023</v>
      </c>
      <c r="C2595" s="7" t="s">
        <v>65</v>
      </c>
      <c r="D2595" s="7" t="s">
        <v>72</v>
      </c>
      <c r="E2595" s="7" t="s">
        <v>74</v>
      </c>
      <c r="F2595" s="7" t="s">
        <v>75</v>
      </c>
      <c r="G2595" s="7" t="s">
        <v>64</v>
      </c>
      <c r="H2595" s="7" t="s">
        <v>73</v>
      </c>
      <c r="I2595" s="7" t="s">
        <v>76</v>
      </c>
      <c r="J2595" s="7">
        <v>798</v>
      </c>
      <c r="K2595" s="7">
        <v>1141.1399999999999</v>
      </c>
    </row>
    <row r="2596" spans="1:11" ht="18" customHeight="1" x14ac:dyDescent="0.25">
      <c r="A2596" s="7" t="s">
        <v>34</v>
      </c>
      <c r="B2596" s="7">
        <v>2023</v>
      </c>
      <c r="C2596" s="7" t="s">
        <v>65</v>
      </c>
      <c r="D2596" s="7" t="s">
        <v>72</v>
      </c>
      <c r="E2596" s="7" t="s">
        <v>74</v>
      </c>
      <c r="F2596" s="7" t="s">
        <v>75</v>
      </c>
      <c r="G2596" s="7" t="s">
        <v>64</v>
      </c>
      <c r="H2596" s="7" t="s">
        <v>73</v>
      </c>
      <c r="I2596" s="7" t="s">
        <v>76</v>
      </c>
      <c r="J2596" s="7">
        <v>885</v>
      </c>
      <c r="K2596" s="7">
        <v>1265.55</v>
      </c>
    </row>
    <row r="2597" spans="1:11" ht="18" customHeight="1" x14ac:dyDescent="0.25">
      <c r="A2597" s="7" t="s">
        <v>34</v>
      </c>
      <c r="B2597" s="7">
        <v>2023</v>
      </c>
      <c r="C2597" s="7" t="s">
        <v>65</v>
      </c>
      <c r="D2597" s="7" t="s">
        <v>72</v>
      </c>
      <c r="E2597" s="7" t="s">
        <v>74</v>
      </c>
      <c r="F2597" s="7" t="s">
        <v>75</v>
      </c>
      <c r="G2597" s="7" t="s">
        <v>64</v>
      </c>
      <c r="H2597" s="7" t="s">
        <v>73</v>
      </c>
      <c r="I2597" s="7" t="s">
        <v>76</v>
      </c>
      <c r="J2597" s="7">
        <v>838</v>
      </c>
      <c r="K2597" s="7">
        <v>526.24</v>
      </c>
    </row>
    <row r="2598" spans="1:11" ht="18" customHeight="1" x14ac:dyDescent="0.25">
      <c r="A2598" s="7" t="s">
        <v>42</v>
      </c>
      <c r="B2598" s="7">
        <v>2023</v>
      </c>
      <c r="C2598" s="7" t="s">
        <v>65</v>
      </c>
      <c r="D2598" s="7" t="s">
        <v>72</v>
      </c>
      <c r="E2598" s="7" t="s">
        <v>74</v>
      </c>
      <c r="F2598" s="7" t="s">
        <v>75</v>
      </c>
      <c r="G2598" s="7" t="s">
        <v>64</v>
      </c>
      <c r="H2598" s="7" t="s">
        <v>73</v>
      </c>
      <c r="I2598" s="7" t="s">
        <v>76</v>
      </c>
      <c r="J2598" s="7">
        <v>219</v>
      </c>
      <c r="K2598" s="7">
        <v>313.17</v>
      </c>
    </row>
    <row r="2599" spans="1:11" ht="18" customHeight="1" x14ac:dyDescent="0.25">
      <c r="A2599" s="7" t="s">
        <v>34</v>
      </c>
      <c r="B2599" s="7">
        <v>2023</v>
      </c>
      <c r="C2599" s="7" t="s">
        <v>65</v>
      </c>
      <c r="D2599" s="7" t="s">
        <v>72</v>
      </c>
      <c r="E2599" s="7" t="s">
        <v>74</v>
      </c>
      <c r="F2599" s="7" t="s">
        <v>75</v>
      </c>
      <c r="G2599" s="7" t="s">
        <v>64</v>
      </c>
      <c r="H2599" s="7" t="s">
        <v>73</v>
      </c>
      <c r="I2599" s="7" t="s">
        <v>76</v>
      </c>
      <c r="J2599" s="7">
        <v>247</v>
      </c>
      <c r="K2599" s="7">
        <v>353.21</v>
      </c>
    </row>
    <row r="2600" spans="1:11" ht="18" customHeight="1" x14ac:dyDescent="0.25">
      <c r="A2600" s="7" t="s">
        <v>34</v>
      </c>
      <c r="B2600" s="7">
        <v>2023</v>
      </c>
      <c r="C2600" s="7" t="s">
        <v>65</v>
      </c>
      <c r="D2600" s="7" t="s">
        <v>72</v>
      </c>
      <c r="E2600" s="7" t="s">
        <v>74</v>
      </c>
      <c r="F2600" s="7" t="s">
        <v>75</v>
      </c>
      <c r="G2600" s="7" t="s">
        <v>64</v>
      </c>
      <c r="H2600" s="7" t="s">
        <v>73</v>
      </c>
      <c r="I2600" s="7" t="s">
        <v>76</v>
      </c>
      <c r="J2600" s="7">
        <v>217</v>
      </c>
      <c r="K2600" s="7">
        <v>310.31</v>
      </c>
    </row>
    <row r="2601" spans="1:11" ht="18" customHeight="1" x14ac:dyDescent="0.25">
      <c r="A2601" s="7" t="s">
        <v>53</v>
      </c>
      <c r="B2601" s="7">
        <v>2023</v>
      </c>
      <c r="C2601" s="7" t="s">
        <v>65</v>
      </c>
      <c r="D2601" s="7" t="s">
        <v>72</v>
      </c>
      <c r="E2601" s="7" t="s">
        <v>74</v>
      </c>
      <c r="F2601" s="7" t="s">
        <v>75</v>
      </c>
      <c r="G2601" s="7" t="s">
        <v>64</v>
      </c>
      <c r="H2601" s="7" t="s">
        <v>73</v>
      </c>
      <c r="I2601" s="7" t="s">
        <v>76</v>
      </c>
      <c r="J2601" s="7">
        <v>807</v>
      </c>
      <c r="K2601" s="7">
        <v>1154.01</v>
      </c>
    </row>
    <row r="2602" spans="1:11" ht="18" customHeight="1" x14ac:dyDescent="0.25">
      <c r="A2602" s="7" t="s">
        <v>34</v>
      </c>
      <c r="B2602" s="7">
        <v>2023</v>
      </c>
      <c r="C2602" s="7" t="s">
        <v>65</v>
      </c>
      <c r="D2602" s="7" t="s">
        <v>72</v>
      </c>
      <c r="E2602" s="7" t="s">
        <v>74</v>
      </c>
      <c r="F2602" s="7" t="s">
        <v>75</v>
      </c>
      <c r="G2602" s="7" t="s">
        <v>64</v>
      </c>
      <c r="H2602" s="7" t="s">
        <v>73</v>
      </c>
      <c r="I2602" s="7" t="s">
        <v>76</v>
      </c>
      <c r="J2602" s="7">
        <v>221</v>
      </c>
      <c r="K2602" s="7">
        <v>316.02999999999997</v>
      </c>
    </row>
    <row r="2603" spans="1:11" ht="18" customHeight="1" x14ac:dyDescent="0.25">
      <c r="A2603" s="7" t="s">
        <v>34</v>
      </c>
      <c r="B2603" s="7">
        <v>2023</v>
      </c>
      <c r="C2603" s="7" t="s">
        <v>59</v>
      </c>
      <c r="D2603" s="7" t="s">
        <v>72</v>
      </c>
      <c r="E2603" s="7" t="s">
        <v>74</v>
      </c>
      <c r="F2603" s="7" t="s">
        <v>75</v>
      </c>
      <c r="G2603" s="7" t="s">
        <v>64</v>
      </c>
      <c r="H2603" s="7" t="s">
        <v>73</v>
      </c>
      <c r="I2603" s="7" t="s">
        <v>76</v>
      </c>
      <c r="J2603" s="7">
        <v>272</v>
      </c>
      <c r="K2603" s="7">
        <v>388.96</v>
      </c>
    </row>
    <row r="2604" spans="1:11" ht="18" customHeight="1" x14ac:dyDescent="0.25">
      <c r="A2604" s="7" t="s">
        <v>34</v>
      </c>
      <c r="B2604" s="7">
        <v>2023</v>
      </c>
      <c r="C2604" s="7" t="s">
        <v>59</v>
      </c>
      <c r="D2604" s="7" t="s">
        <v>72</v>
      </c>
      <c r="E2604" s="7" t="s">
        <v>74</v>
      </c>
      <c r="F2604" s="7" t="s">
        <v>75</v>
      </c>
      <c r="G2604" s="7" t="s">
        <v>64</v>
      </c>
      <c r="H2604" s="7" t="s">
        <v>73</v>
      </c>
      <c r="I2604" s="7" t="s">
        <v>76</v>
      </c>
      <c r="J2604" s="7">
        <v>298</v>
      </c>
      <c r="K2604" s="7">
        <v>426.14</v>
      </c>
    </row>
    <row r="2605" spans="1:11" ht="18" customHeight="1" x14ac:dyDescent="0.25">
      <c r="A2605" s="7" t="s">
        <v>19</v>
      </c>
      <c r="B2605" s="7">
        <v>2023</v>
      </c>
      <c r="C2605" s="7" t="s">
        <v>59</v>
      </c>
      <c r="D2605" s="7" t="s">
        <v>72</v>
      </c>
      <c r="E2605" s="7" t="s">
        <v>74</v>
      </c>
      <c r="F2605" s="7" t="s">
        <v>75</v>
      </c>
      <c r="G2605" s="7" t="s">
        <v>64</v>
      </c>
      <c r="H2605" s="7" t="s">
        <v>73</v>
      </c>
      <c r="I2605" s="7" t="s">
        <v>76</v>
      </c>
      <c r="J2605" s="7">
        <v>226</v>
      </c>
      <c r="K2605" s="7">
        <v>323.18</v>
      </c>
    </row>
    <row r="2606" spans="1:11" ht="18" customHeight="1" x14ac:dyDescent="0.25">
      <c r="A2606" s="7" t="s">
        <v>34</v>
      </c>
      <c r="B2606" s="7">
        <v>2023</v>
      </c>
      <c r="C2606" s="7" t="s">
        <v>59</v>
      </c>
      <c r="D2606" s="7" t="s">
        <v>72</v>
      </c>
      <c r="E2606" s="7" t="s">
        <v>74</v>
      </c>
      <c r="F2606" s="7" t="s">
        <v>75</v>
      </c>
      <c r="G2606" s="7" t="s">
        <v>64</v>
      </c>
      <c r="H2606" s="7" t="s">
        <v>73</v>
      </c>
      <c r="I2606" s="7" t="s">
        <v>76</v>
      </c>
      <c r="J2606" s="7">
        <v>274</v>
      </c>
      <c r="K2606" s="7">
        <v>391.82</v>
      </c>
    </row>
    <row r="2607" spans="1:11" ht="18" customHeight="1" x14ac:dyDescent="0.25">
      <c r="A2607" s="7" t="s">
        <v>34</v>
      </c>
      <c r="B2607" s="7">
        <v>2023</v>
      </c>
      <c r="C2607" s="7" t="s">
        <v>59</v>
      </c>
      <c r="D2607" s="7" t="s">
        <v>72</v>
      </c>
      <c r="E2607" s="7" t="s">
        <v>74</v>
      </c>
      <c r="F2607" s="7" t="s">
        <v>75</v>
      </c>
      <c r="G2607" s="7" t="s">
        <v>64</v>
      </c>
      <c r="H2607" s="7" t="s">
        <v>73</v>
      </c>
      <c r="I2607" s="7" t="s">
        <v>76</v>
      </c>
      <c r="J2607" s="7">
        <v>789</v>
      </c>
      <c r="K2607" s="7">
        <v>1128.27</v>
      </c>
    </row>
    <row r="2608" spans="1:11" ht="18" customHeight="1" x14ac:dyDescent="0.25">
      <c r="A2608" s="7" t="s">
        <v>42</v>
      </c>
      <c r="B2608" s="7">
        <v>2023</v>
      </c>
      <c r="C2608" s="7" t="s">
        <v>59</v>
      </c>
      <c r="D2608" s="7" t="s">
        <v>72</v>
      </c>
      <c r="E2608" s="7" t="s">
        <v>74</v>
      </c>
      <c r="F2608" s="7" t="s">
        <v>75</v>
      </c>
      <c r="G2608" s="7" t="s">
        <v>64</v>
      </c>
      <c r="H2608" s="7" t="s">
        <v>73</v>
      </c>
      <c r="I2608" s="7" t="s">
        <v>76</v>
      </c>
      <c r="J2608" s="7">
        <v>876</v>
      </c>
      <c r="K2608" s="7">
        <v>1252.68</v>
      </c>
    </row>
    <row r="2609" spans="1:11" ht="18" customHeight="1" x14ac:dyDescent="0.25">
      <c r="A2609" s="7" t="s">
        <v>19</v>
      </c>
      <c r="B2609" s="7">
        <v>2023</v>
      </c>
      <c r="C2609" s="7" t="s">
        <v>59</v>
      </c>
      <c r="D2609" s="7" t="s">
        <v>72</v>
      </c>
      <c r="E2609" s="7" t="s">
        <v>74</v>
      </c>
      <c r="F2609" s="7" t="s">
        <v>75</v>
      </c>
      <c r="G2609" s="7" t="s">
        <v>64</v>
      </c>
      <c r="H2609" s="7" t="s">
        <v>73</v>
      </c>
      <c r="I2609" s="7" t="s">
        <v>76</v>
      </c>
      <c r="J2609" s="7">
        <v>958</v>
      </c>
      <c r="K2609" s="7">
        <v>1369.94</v>
      </c>
    </row>
    <row r="2610" spans="1:11" ht="18" customHeight="1" x14ac:dyDescent="0.25">
      <c r="A2610" s="7" t="s">
        <v>42</v>
      </c>
      <c r="B2610" s="7">
        <v>2023</v>
      </c>
      <c r="C2610" s="7" t="s">
        <v>59</v>
      </c>
      <c r="D2610" s="7" t="s">
        <v>72</v>
      </c>
      <c r="E2610" s="7" t="s">
        <v>74</v>
      </c>
      <c r="F2610" s="7" t="s">
        <v>75</v>
      </c>
      <c r="G2610" s="7" t="s">
        <v>64</v>
      </c>
      <c r="H2610" s="7" t="s">
        <v>73</v>
      </c>
      <c r="I2610" s="7" t="s">
        <v>76</v>
      </c>
      <c r="J2610" s="7">
        <v>829</v>
      </c>
      <c r="K2610" s="7">
        <v>526.24</v>
      </c>
    </row>
    <row r="2611" spans="1:11" ht="18" customHeight="1" x14ac:dyDescent="0.25">
      <c r="A2611" s="7" t="s">
        <v>34</v>
      </c>
      <c r="B2611" s="7">
        <v>2023</v>
      </c>
      <c r="C2611" s="7" t="s">
        <v>59</v>
      </c>
      <c r="D2611" s="7" t="s">
        <v>72</v>
      </c>
      <c r="E2611" s="7" t="s">
        <v>74</v>
      </c>
      <c r="F2611" s="7" t="s">
        <v>75</v>
      </c>
      <c r="G2611" s="7" t="s">
        <v>64</v>
      </c>
      <c r="H2611" s="7" t="s">
        <v>73</v>
      </c>
      <c r="I2611" s="7" t="s">
        <v>76</v>
      </c>
      <c r="J2611" s="7">
        <v>273</v>
      </c>
      <c r="K2611" s="7">
        <v>390.39</v>
      </c>
    </row>
    <row r="2612" spans="1:11" ht="18" customHeight="1" x14ac:dyDescent="0.25">
      <c r="A2612" s="7" t="s">
        <v>19</v>
      </c>
      <c r="B2612" s="7">
        <v>2023</v>
      </c>
      <c r="C2612" s="7" t="s">
        <v>59</v>
      </c>
      <c r="D2612" s="7" t="s">
        <v>72</v>
      </c>
      <c r="E2612" s="7" t="s">
        <v>74</v>
      </c>
      <c r="F2612" s="7" t="s">
        <v>75</v>
      </c>
      <c r="G2612" s="7" t="s">
        <v>64</v>
      </c>
      <c r="H2612" s="7" t="s">
        <v>73</v>
      </c>
      <c r="I2612" s="7" t="s">
        <v>76</v>
      </c>
      <c r="J2612" s="7">
        <v>267</v>
      </c>
      <c r="K2612" s="7">
        <v>381.81</v>
      </c>
    </row>
    <row r="2613" spans="1:11" ht="18" customHeight="1" x14ac:dyDescent="0.25">
      <c r="A2613" s="7" t="s">
        <v>34</v>
      </c>
      <c r="B2613" s="7">
        <v>2023</v>
      </c>
      <c r="C2613" s="7" t="s">
        <v>59</v>
      </c>
      <c r="D2613" s="7" t="s">
        <v>72</v>
      </c>
      <c r="E2613" s="7" t="s">
        <v>74</v>
      </c>
      <c r="F2613" s="7" t="s">
        <v>75</v>
      </c>
      <c r="G2613" s="7" t="s">
        <v>64</v>
      </c>
      <c r="H2613" s="7" t="s">
        <v>73</v>
      </c>
      <c r="I2613" s="7" t="s">
        <v>76</v>
      </c>
      <c r="J2613" s="7">
        <v>301</v>
      </c>
      <c r="K2613" s="7">
        <v>430.43</v>
      </c>
    </row>
    <row r="2614" spans="1:11" ht="18" customHeight="1" x14ac:dyDescent="0.25">
      <c r="A2614" s="7" t="s">
        <v>34</v>
      </c>
      <c r="B2614" s="7">
        <v>2023</v>
      </c>
      <c r="C2614" s="7" t="s">
        <v>59</v>
      </c>
      <c r="D2614" s="7" t="s">
        <v>72</v>
      </c>
      <c r="E2614" s="7" t="s">
        <v>74</v>
      </c>
      <c r="F2614" s="7" t="s">
        <v>75</v>
      </c>
      <c r="G2614" s="7" t="s">
        <v>64</v>
      </c>
      <c r="H2614" s="7" t="s">
        <v>73</v>
      </c>
      <c r="I2614" s="7" t="s">
        <v>76</v>
      </c>
      <c r="J2614" s="7">
        <v>271</v>
      </c>
      <c r="K2614" s="7">
        <v>387.53</v>
      </c>
    </row>
    <row r="2615" spans="1:11" ht="18" customHeight="1" x14ac:dyDescent="0.25">
      <c r="A2615" s="7" t="s">
        <v>34</v>
      </c>
      <c r="B2615" s="7">
        <v>2023</v>
      </c>
      <c r="C2615" s="7" t="s">
        <v>59</v>
      </c>
      <c r="D2615" s="7" t="s">
        <v>72</v>
      </c>
      <c r="E2615" s="7" t="s">
        <v>74</v>
      </c>
      <c r="F2615" s="7" t="s">
        <v>75</v>
      </c>
      <c r="G2615" s="7" t="s">
        <v>64</v>
      </c>
      <c r="H2615" s="7" t="s">
        <v>73</v>
      </c>
      <c r="I2615" s="7" t="s">
        <v>76</v>
      </c>
      <c r="J2615" s="7">
        <v>798</v>
      </c>
      <c r="K2615" s="7">
        <v>1141.1399999999999</v>
      </c>
    </row>
    <row r="2616" spans="1:11" ht="18" customHeight="1" x14ac:dyDescent="0.25">
      <c r="A2616" s="7" t="s">
        <v>19</v>
      </c>
      <c r="B2616" s="7">
        <v>2023</v>
      </c>
      <c r="C2616" s="7" t="s">
        <v>59</v>
      </c>
      <c r="D2616" s="7" t="s">
        <v>72</v>
      </c>
      <c r="E2616" s="7" t="s">
        <v>74</v>
      </c>
      <c r="F2616" s="7" t="s">
        <v>75</v>
      </c>
      <c r="G2616" s="7" t="s">
        <v>64</v>
      </c>
      <c r="H2616" s="7" t="s">
        <v>73</v>
      </c>
      <c r="I2616" s="7" t="s">
        <v>76</v>
      </c>
      <c r="J2616" s="7">
        <v>851</v>
      </c>
      <c r="K2616" s="7">
        <v>1216.93</v>
      </c>
    </row>
    <row r="2617" spans="1:11" ht="18" customHeight="1" x14ac:dyDescent="0.25">
      <c r="A2617" s="7" t="s">
        <v>19</v>
      </c>
      <c r="B2617" s="7">
        <v>2023</v>
      </c>
      <c r="C2617" s="7" t="s">
        <v>27</v>
      </c>
      <c r="D2617" s="7" t="s">
        <v>72</v>
      </c>
      <c r="E2617" s="7" t="s">
        <v>74</v>
      </c>
      <c r="F2617" s="7" t="s">
        <v>75</v>
      </c>
      <c r="G2617" s="7" t="s">
        <v>64</v>
      </c>
      <c r="H2617" s="7" t="s">
        <v>73</v>
      </c>
      <c r="I2617" s="7" t="s">
        <v>76</v>
      </c>
      <c r="J2617" s="7">
        <v>302</v>
      </c>
      <c r="K2617" s="7">
        <v>431.86</v>
      </c>
    </row>
    <row r="2618" spans="1:11" ht="18" customHeight="1" x14ac:dyDescent="0.25">
      <c r="A2618" s="7" t="s">
        <v>34</v>
      </c>
      <c r="B2618" s="7">
        <v>2023</v>
      </c>
      <c r="C2618" s="7" t="s">
        <v>27</v>
      </c>
      <c r="D2618" s="7" t="s">
        <v>72</v>
      </c>
      <c r="E2618" s="7" t="s">
        <v>74</v>
      </c>
      <c r="F2618" s="7" t="s">
        <v>75</v>
      </c>
      <c r="G2618" s="7" t="s">
        <v>64</v>
      </c>
      <c r="H2618" s="7" t="s">
        <v>73</v>
      </c>
      <c r="I2618" s="7" t="s">
        <v>76</v>
      </c>
      <c r="J2618" s="7">
        <v>230</v>
      </c>
      <c r="K2618" s="7">
        <v>328.9</v>
      </c>
    </row>
    <row r="2619" spans="1:11" ht="18" customHeight="1" x14ac:dyDescent="0.25">
      <c r="A2619" s="7" t="s">
        <v>42</v>
      </c>
      <c r="B2619" s="7">
        <v>2023</v>
      </c>
      <c r="C2619" s="7" t="s">
        <v>27</v>
      </c>
      <c r="D2619" s="7" t="s">
        <v>72</v>
      </c>
      <c r="E2619" s="7" t="s">
        <v>74</v>
      </c>
      <c r="F2619" s="7" t="s">
        <v>75</v>
      </c>
      <c r="G2619" s="7" t="s">
        <v>64</v>
      </c>
      <c r="H2619" s="7" t="s">
        <v>73</v>
      </c>
      <c r="I2619" s="7" t="s">
        <v>76</v>
      </c>
      <c r="J2619" s="7">
        <v>278</v>
      </c>
      <c r="K2619" s="7">
        <v>397.53999999999996</v>
      </c>
    </row>
    <row r="2620" spans="1:11" ht="18" customHeight="1" x14ac:dyDescent="0.25">
      <c r="A2620" s="7" t="s">
        <v>19</v>
      </c>
      <c r="B2620" s="7">
        <v>2023</v>
      </c>
      <c r="C2620" s="7" t="s">
        <v>27</v>
      </c>
      <c r="D2620" s="7" t="s">
        <v>72</v>
      </c>
      <c r="E2620" s="7" t="s">
        <v>74</v>
      </c>
      <c r="F2620" s="7" t="s">
        <v>75</v>
      </c>
      <c r="G2620" s="7" t="s">
        <v>64</v>
      </c>
      <c r="H2620" s="7" t="s">
        <v>73</v>
      </c>
      <c r="I2620" s="7" t="s">
        <v>76</v>
      </c>
      <c r="J2620" s="7">
        <v>304</v>
      </c>
      <c r="K2620" s="7">
        <v>434.72</v>
      </c>
    </row>
    <row r="2621" spans="1:11" ht="18" customHeight="1" x14ac:dyDescent="0.25">
      <c r="A2621" s="7" t="s">
        <v>19</v>
      </c>
      <c r="B2621" s="7">
        <v>2023</v>
      </c>
      <c r="C2621" s="7" t="s">
        <v>27</v>
      </c>
      <c r="D2621" s="7" t="s">
        <v>72</v>
      </c>
      <c r="E2621" s="7" t="s">
        <v>74</v>
      </c>
      <c r="F2621" s="7" t="s">
        <v>75</v>
      </c>
      <c r="G2621" s="7" t="s">
        <v>64</v>
      </c>
      <c r="H2621" s="7" t="s">
        <v>73</v>
      </c>
      <c r="I2621" s="7" t="s">
        <v>76</v>
      </c>
      <c r="J2621" s="7">
        <v>232</v>
      </c>
      <c r="K2621" s="7">
        <v>331.76</v>
      </c>
    </row>
    <row r="2622" spans="1:11" ht="18" customHeight="1" x14ac:dyDescent="0.25">
      <c r="A2622" s="7" t="s">
        <v>34</v>
      </c>
      <c r="B2622" s="7">
        <v>2023</v>
      </c>
      <c r="C2622" s="7" t="s">
        <v>27</v>
      </c>
      <c r="D2622" s="7" t="s">
        <v>72</v>
      </c>
      <c r="E2622" s="7" t="s">
        <v>74</v>
      </c>
      <c r="F2622" s="7" t="s">
        <v>75</v>
      </c>
      <c r="G2622" s="7" t="s">
        <v>64</v>
      </c>
      <c r="H2622" s="7" t="s">
        <v>73</v>
      </c>
      <c r="I2622" s="7" t="s">
        <v>76</v>
      </c>
      <c r="J2622" s="7">
        <v>788</v>
      </c>
      <c r="K2622" s="7">
        <v>1126.8399999999999</v>
      </c>
    </row>
    <row r="2623" spans="1:11" ht="18" customHeight="1" x14ac:dyDescent="0.25">
      <c r="A2623" s="7" t="s">
        <v>34</v>
      </c>
      <c r="B2623" s="7">
        <v>2023</v>
      </c>
      <c r="C2623" s="7" t="s">
        <v>27</v>
      </c>
      <c r="D2623" s="7" t="s">
        <v>72</v>
      </c>
      <c r="E2623" s="7" t="s">
        <v>74</v>
      </c>
      <c r="F2623" s="7" t="s">
        <v>75</v>
      </c>
      <c r="G2623" s="7" t="s">
        <v>64</v>
      </c>
      <c r="H2623" s="7" t="s">
        <v>73</v>
      </c>
      <c r="I2623" s="7" t="s">
        <v>76</v>
      </c>
      <c r="J2623" s="7">
        <v>842</v>
      </c>
      <c r="K2623" s="7">
        <v>1204.06</v>
      </c>
    </row>
    <row r="2624" spans="1:11" ht="18" customHeight="1" x14ac:dyDescent="0.25">
      <c r="A2624" s="7" t="s">
        <v>19</v>
      </c>
      <c r="B2624" s="7">
        <v>2023</v>
      </c>
      <c r="C2624" s="7" t="s">
        <v>27</v>
      </c>
      <c r="D2624" s="7" t="s">
        <v>72</v>
      </c>
      <c r="E2624" s="7" t="s">
        <v>74</v>
      </c>
      <c r="F2624" s="7" t="s">
        <v>75</v>
      </c>
      <c r="G2624" s="7" t="s">
        <v>64</v>
      </c>
      <c r="H2624" s="7" t="s">
        <v>73</v>
      </c>
      <c r="I2624" s="7" t="s">
        <v>76</v>
      </c>
      <c r="J2624" s="7">
        <v>875</v>
      </c>
      <c r="K2624" s="7">
        <v>1251.25</v>
      </c>
    </row>
    <row r="2625" spans="1:11" ht="18" customHeight="1" x14ac:dyDescent="0.25">
      <c r="A2625" s="7" t="s">
        <v>53</v>
      </c>
      <c r="B2625" s="7">
        <v>2023</v>
      </c>
      <c r="C2625" s="7" t="s">
        <v>27</v>
      </c>
      <c r="D2625" s="7" t="s">
        <v>72</v>
      </c>
      <c r="E2625" s="7" t="s">
        <v>74</v>
      </c>
      <c r="F2625" s="7" t="s">
        <v>75</v>
      </c>
      <c r="G2625" s="7" t="s">
        <v>64</v>
      </c>
      <c r="H2625" s="7" t="s">
        <v>73</v>
      </c>
      <c r="I2625" s="7" t="s">
        <v>76</v>
      </c>
      <c r="J2625" s="7">
        <v>955</v>
      </c>
      <c r="K2625" s="7">
        <v>1365.65</v>
      </c>
    </row>
    <row r="2626" spans="1:11" ht="18" customHeight="1" x14ac:dyDescent="0.25">
      <c r="A2626" s="7" t="s">
        <v>34</v>
      </c>
      <c r="B2626" s="7">
        <v>2023</v>
      </c>
      <c r="C2626" s="7" t="s">
        <v>27</v>
      </c>
      <c r="D2626" s="7" t="s">
        <v>72</v>
      </c>
      <c r="E2626" s="7" t="s">
        <v>74</v>
      </c>
      <c r="F2626" s="7" t="s">
        <v>75</v>
      </c>
      <c r="G2626" s="7" t="s">
        <v>64</v>
      </c>
      <c r="H2626" s="7" t="s">
        <v>73</v>
      </c>
      <c r="I2626" s="7" t="s">
        <v>76</v>
      </c>
      <c r="J2626" s="7">
        <v>956</v>
      </c>
      <c r="K2626" s="7">
        <v>1367.08</v>
      </c>
    </row>
    <row r="2627" spans="1:11" ht="18" customHeight="1" x14ac:dyDescent="0.25">
      <c r="A2627" s="7" t="s">
        <v>34</v>
      </c>
      <c r="B2627" s="7">
        <v>2023</v>
      </c>
      <c r="C2627" s="7" t="s">
        <v>27</v>
      </c>
      <c r="D2627" s="7" t="s">
        <v>72</v>
      </c>
      <c r="E2627" s="7" t="s">
        <v>74</v>
      </c>
      <c r="F2627" s="7" t="s">
        <v>75</v>
      </c>
      <c r="G2627" s="7" t="s">
        <v>64</v>
      </c>
      <c r="H2627" s="7" t="s">
        <v>73</v>
      </c>
      <c r="I2627" s="7" t="s">
        <v>76</v>
      </c>
      <c r="J2627" s="7">
        <v>957</v>
      </c>
      <c r="K2627" s="7">
        <v>1368.51</v>
      </c>
    </row>
    <row r="2628" spans="1:11" ht="18" customHeight="1" x14ac:dyDescent="0.25">
      <c r="A2628" s="7" t="s">
        <v>19</v>
      </c>
      <c r="B2628" s="7">
        <v>2023</v>
      </c>
      <c r="C2628" s="7" t="s">
        <v>27</v>
      </c>
      <c r="D2628" s="7" t="s">
        <v>72</v>
      </c>
      <c r="E2628" s="7" t="s">
        <v>74</v>
      </c>
      <c r="F2628" s="7" t="s">
        <v>75</v>
      </c>
      <c r="G2628" s="7" t="s">
        <v>64</v>
      </c>
      <c r="H2628" s="7" t="s">
        <v>73</v>
      </c>
      <c r="I2628" s="7" t="s">
        <v>76</v>
      </c>
      <c r="J2628" s="7">
        <v>828</v>
      </c>
      <c r="K2628" s="7">
        <v>526.24</v>
      </c>
    </row>
    <row r="2629" spans="1:11" ht="18" customHeight="1" x14ac:dyDescent="0.25">
      <c r="A2629" s="7" t="s">
        <v>34</v>
      </c>
      <c r="B2629" s="7">
        <v>2023</v>
      </c>
      <c r="C2629" s="7" t="s">
        <v>27</v>
      </c>
      <c r="D2629" s="7" t="s">
        <v>72</v>
      </c>
      <c r="E2629" s="7" t="s">
        <v>74</v>
      </c>
      <c r="F2629" s="7" t="s">
        <v>75</v>
      </c>
      <c r="G2629" s="7" t="s">
        <v>64</v>
      </c>
      <c r="H2629" s="7" t="s">
        <v>73</v>
      </c>
      <c r="I2629" s="7" t="s">
        <v>76</v>
      </c>
      <c r="J2629" s="7">
        <v>881</v>
      </c>
      <c r="K2629" s="7">
        <v>526.24</v>
      </c>
    </row>
    <row r="2630" spans="1:11" ht="18" customHeight="1" x14ac:dyDescent="0.25">
      <c r="A2630" s="7" t="s">
        <v>34</v>
      </c>
      <c r="B2630" s="7">
        <v>2023</v>
      </c>
      <c r="C2630" s="7" t="s">
        <v>27</v>
      </c>
      <c r="D2630" s="7" t="s">
        <v>72</v>
      </c>
      <c r="E2630" s="7" t="s">
        <v>74</v>
      </c>
      <c r="F2630" s="7" t="s">
        <v>75</v>
      </c>
      <c r="G2630" s="7" t="s">
        <v>64</v>
      </c>
      <c r="H2630" s="7" t="s">
        <v>73</v>
      </c>
      <c r="I2630" s="7" t="s">
        <v>76</v>
      </c>
      <c r="J2630" s="7">
        <v>279</v>
      </c>
      <c r="K2630" s="7">
        <v>398.97</v>
      </c>
    </row>
    <row r="2631" spans="1:11" ht="18" customHeight="1" x14ac:dyDescent="0.25">
      <c r="A2631" s="7" t="s">
        <v>19</v>
      </c>
      <c r="B2631" s="7">
        <v>2023</v>
      </c>
      <c r="C2631" s="7" t="s">
        <v>27</v>
      </c>
      <c r="D2631" s="7" t="s">
        <v>72</v>
      </c>
      <c r="E2631" s="7" t="s">
        <v>74</v>
      </c>
      <c r="F2631" s="7" t="s">
        <v>75</v>
      </c>
      <c r="G2631" s="7" t="s">
        <v>64</v>
      </c>
      <c r="H2631" s="7" t="s">
        <v>73</v>
      </c>
      <c r="I2631" s="7" t="s">
        <v>76</v>
      </c>
      <c r="J2631" s="7">
        <v>285</v>
      </c>
      <c r="K2631" s="7">
        <v>407.55</v>
      </c>
    </row>
    <row r="2632" spans="1:11" ht="18" customHeight="1" x14ac:dyDescent="0.25">
      <c r="A2632" s="7" t="s">
        <v>34</v>
      </c>
      <c r="B2632" s="7">
        <v>2023</v>
      </c>
      <c r="C2632" s="7" t="s">
        <v>27</v>
      </c>
      <c r="D2632" s="7" t="s">
        <v>72</v>
      </c>
      <c r="E2632" s="7" t="s">
        <v>74</v>
      </c>
      <c r="F2632" s="7" t="s">
        <v>75</v>
      </c>
      <c r="G2632" s="7" t="s">
        <v>64</v>
      </c>
      <c r="H2632" s="7" t="s">
        <v>73</v>
      </c>
      <c r="I2632" s="7" t="s">
        <v>76</v>
      </c>
      <c r="J2632" s="7">
        <v>279</v>
      </c>
      <c r="K2632" s="7">
        <v>398.97</v>
      </c>
    </row>
    <row r="2633" spans="1:11" ht="18" customHeight="1" x14ac:dyDescent="0.25">
      <c r="A2633" s="7" t="s">
        <v>34</v>
      </c>
      <c r="B2633" s="7">
        <v>2023</v>
      </c>
      <c r="C2633" s="7" t="s">
        <v>27</v>
      </c>
      <c r="D2633" s="7" t="s">
        <v>72</v>
      </c>
      <c r="E2633" s="7" t="s">
        <v>74</v>
      </c>
      <c r="F2633" s="7" t="s">
        <v>75</v>
      </c>
      <c r="G2633" s="7" t="s">
        <v>64</v>
      </c>
      <c r="H2633" s="7" t="s">
        <v>73</v>
      </c>
      <c r="I2633" s="7" t="s">
        <v>76</v>
      </c>
      <c r="J2633" s="7">
        <v>273</v>
      </c>
      <c r="K2633" s="7">
        <v>390.39</v>
      </c>
    </row>
    <row r="2634" spans="1:11" ht="18" customHeight="1" x14ac:dyDescent="0.25">
      <c r="A2634" s="7" t="s">
        <v>34</v>
      </c>
      <c r="B2634" s="7">
        <v>2023</v>
      </c>
      <c r="C2634" s="7" t="s">
        <v>27</v>
      </c>
      <c r="D2634" s="7" t="s">
        <v>72</v>
      </c>
      <c r="E2634" s="7" t="s">
        <v>74</v>
      </c>
      <c r="F2634" s="7" t="s">
        <v>75</v>
      </c>
      <c r="G2634" s="7" t="s">
        <v>64</v>
      </c>
      <c r="H2634" s="7" t="s">
        <v>73</v>
      </c>
      <c r="I2634" s="7" t="s">
        <v>76</v>
      </c>
      <c r="J2634" s="7">
        <v>229</v>
      </c>
      <c r="K2634" s="7">
        <v>327.47000000000003</v>
      </c>
    </row>
    <row r="2635" spans="1:11" ht="18" customHeight="1" x14ac:dyDescent="0.25">
      <c r="A2635" s="7" t="s">
        <v>19</v>
      </c>
      <c r="B2635" s="7">
        <v>2023</v>
      </c>
      <c r="C2635" s="7" t="s">
        <v>27</v>
      </c>
      <c r="D2635" s="7" t="s">
        <v>72</v>
      </c>
      <c r="E2635" s="7" t="s">
        <v>74</v>
      </c>
      <c r="F2635" s="7" t="s">
        <v>75</v>
      </c>
      <c r="G2635" s="7" t="s">
        <v>64</v>
      </c>
      <c r="H2635" s="7" t="s">
        <v>73</v>
      </c>
      <c r="I2635" s="7" t="s">
        <v>76</v>
      </c>
      <c r="J2635" s="7">
        <v>277</v>
      </c>
      <c r="K2635" s="7">
        <v>396.11</v>
      </c>
    </row>
    <row r="2636" spans="1:11" ht="18" customHeight="1" x14ac:dyDescent="0.25">
      <c r="A2636" s="7" t="s">
        <v>42</v>
      </c>
      <c r="B2636" s="7">
        <v>2023</v>
      </c>
      <c r="C2636" s="7" t="s">
        <v>27</v>
      </c>
      <c r="D2636" s="7" t="s">
        <v>72</v>
      </c>
      <c r="E2636" s="7" t="s">
        <v>74</v>
      </c>
      <c r="F2636" s="7" t="s">
        <v>75</v>
      </c>
      <c r="G2636" s="7" t="s">
        <v>64</v>
      </c>
      <c r="H2636" s="7" t="s">
        <v>73</v>
      </c>
      <c r="I2636" s="7" t="s">
        <v>76</v>
      </c>
      <c r="J2636" s="7">
        <v>797</v>
      </c>
      <c r="K2636" s="7">
        <v>1139.71</v>
      </c>
    </row>
    <row r="2637" spans="1:11" ht="18" customHeight="1" x14ac:dyDescent="0.25">
      <c r="A2637" s="7" t="s">
        <v>53</v>
      </c>
      <c r="B2637" s="7">
        <v>2023</v>
      </c>
      <c r="C2637" s="7" t="s">
        <v>27</v>
      </c>
      <c r="D2637" s="7" t="s">
        <v>72</v>
      </c>
      <c r="E2637" s="7" t="s">
        <v>74</v>
      </c>
      <c r="F2637" s="7" t="s">
        <v>75</v>
      </c>
      <c r="G2637" s="7" t="s">
        <v>64</v>
      </c>
      <c r="H2637" s="7" t="s">
        <v>73</v>
      </c>
      <c r="I2637" s="7" t="s">
        <v>76</v>
      </c>
      <c r="J2637" s="7">
        <v>850</v>
      </c>
      <c r="K2637" s="7">
        <v>1215.5</v>
      </c>
    </row>
    <row r="2638" spans="1:11" ht="18" customHeight="1" x14ac:dyDescent="0.25">
      <c r="A2638" s="7" t="s">
        <v>19</v>
      </c>
      <c r="B2638" s="7">
        <v>2023</v>
      </c>
      <c r="C2638" s="7" t="s">
        <v>27</v>
      </c>
      <c r="D2638" s="7" t="s">
        <v>72</v>
      </c>
      <c r="E2638" s="7" t="s">
        <v>74</v>
      </c>
      <c r="F2638" s="7" t="s">
        <v>75</v>
      </c>
      <c r="G2638" s="7" t="s">
        <v>64</v>
      </c>
      <c r="H2638" s="7" t="s">
        <v>73</v>
      </c>
      <c r="I2638" s="7" t="s">
        <v>76</v>
      </c>
      <c r="J2638" s="7">
        <v>884</v>
      </c>
      <c r="K2638" s="7">
        <v>1264.1199999999999</v>
      </c>
    </row>
    <row r="2639" spans="1:11" ht="18" customHeight="1" x14ac:dyDescent="0.25">
      <c r="A2639" s="7" t="s">
        <v>42</v>
      </c>
      <c r="B2639" s="7">
        <v>2023</v>
      </c>
      <c r="C2639" s="7" t="s">
        <v>68</v>
      </c>
      <c r="D2639" s="7" t="s">
        <v>72</v>
      </c>
      <c r="E2639" s="7" t="s">
        <v>74</v>
      </c>
      <c r="F2639" s="7" t="s">
        <v>75</v>
      </c>
      <c r="G2639" s="7" t="s">
        <v>64</v>
      </c>
      <c r="H2639" s="7" t="s">
        <v>73</v>
      </c>
      <c r="I2639" s="7" t="s">
        <v>76</v>
      </c>
      <c r="J2639" s="7">
        <v>272</v>
      </c>
      <c r="K2639" s="7">
        <v>388.96</v>
      </c>
    </row>
    <row r="2640" spans="1:11" ht="18" customHeight="1" x14ac:dyDescent="0.25">
      <c r="A2640" s="7" t="s">
        <v>42</v>
      </c>
      <c r="B2640" s="7">
        <v>2023</v>
      </c>
      <c r="C2640" s="7" t="s">
        <v>68</v>
      </c>
      <c r="D2640" s="7" t="s">
        <v>72</v>
      </c>
      <c r="E2640" s="7" t="s">
        <v>74</v>
      </c>
      <c r="F2640" s="7" t="s">
        <v>75</v>
      </c>
      <c r="G2640" s="7" t="s">
        <v>64</v>
      </c>
      <c r="H2640" s="7" t="s">
        <v>73</v>
      </c>
      <c r="I2640" s="7" t="s">
        <v>76</v>
      </c>
      <c r="J2640" s="7">
        <v>274</v>
      </c>
      <c r="K2640" s="7">
        <v>391.82</v>
      </c>
    </row>
    <row r="2641" spans="1:11" ht="18" customHeight="1" x14ac:dyDescent="0.25">
      <c r="A2641" s="7" t="s">
        <v>42</v>
      </c>
      <c r="B2641" s="7">
        <v>2023</v>
      </c>
      <c r="C2641" s="7" t="s">
        <v>68</v>
      </c>
      <c r="D2641" s="7" t="s">
        <v>72</v>
      </c>
      <c r="E2641" s="7" t="s">
        <v>74</v>
      </c>
      <c r="F2641" s="7" t="s">
        <v>75</v>
      </c>
      <c r="G2641" s="7" t="s">
        <v>64</v>
      </c>
      <c r="H2641" s="7" t="s">
        <v>73</v>
      </c>
      <c r="I2641" s="7" t="s">
        <v>76</v>
      </c>
      <c r="J2641" s="7">
        <v>244</v>
      </c>
      <c r="K2641" s="7">
        <v>348.92</v>
      </c>
    </row>
    <row r="2642" spans="1:11" ht="18" customHeight="1" x14ac:dyDescent="0.25">
      <c r="A2642" s="7" t="s">
        <v>34</v>
      </c>
      <c r="B2642" s="7">
        <v>2023</v>
      </c>
      <c r="C2642" s="7" t="s">
        <v>68</v>
      </c>
      <c r="D2642" s="7" t="s">
        <v>72</v>
      </c>
      <c r="E2642" s="7" t="s">
        <v>74</v>
      </c>
      <c r="F2642" s="7" t="s">
        <v>75</v>
      </c>
      <c r="G2642" s="7" t="s">
        <v>64</v>
      </c>
      <c r="H2642" s="7" t="s">
        <v>73</v>
      </c>
      <c r="I2642" s="7" t="s">
        <v>76</v>
      </c>
      <c r="J2642" s="7">
        <v>794</v>
      </c>
      <c r="K2642" s="7">
        <v>1135.42</v>
      </c>
    </row>
    <row r="2643" spans="1:11" ht="18" customHeight="1" x14ac:dyDescent="0.25">
      <c r="A2643" s="7" t="s">
        <v>34</v>
      </c>
      <c r="B2643" s="7">
        <v>2023</v>
      </c>
      <c r="C2643" s="7" t="s">
        <v>68</v>
      </c>
      <c r="D2643" s="7" t="s">
        <v>72</v>
      </c>
      <c r="E2643" s="7" t="s">
        <v>74</v>
      </c>
      <c r="F2643" s="7" t="s">
        <v>75</v>
      </c>
      <c r="G2643" s="7" t="s">
        <v>64</v>
      </c>
      <c r="H2643" s="7" t="s">
        <v>73</v>
      </c>
      <c r="I2643" s="7" t="s">
        <v>76</v>
      </c>
      <c r="J2643" s="7">
        <v>880</v>
      </c>
      <c r="K2643" s="7">
        <v>1258.4000000000001</v>
      </c>
    </row>
    <row r="2644" spans="1:11" ht="18" customHeight="1" x14ac:dyDescent="0.25">
      <c r="A2644" s="7" t="s">
        <v>34</v>
      </c>
      <c r="B2644" s="7">
        <v>2023</v>
      </c>
      <c r="C2644" s="7" t="s">
        <v>68</v>
      </c>
      <c r="D2644" s="7" t="s">
        <v>72</v>
      </c>
      <c r="E2644" s="7" t="s">
        <v>74</v>
      </c>
      <c r="F2644" s="7" t="s">
        <v>75</v>
      </c>
      <c r="G2644" s="7" t="s">
        <v>64</v>
      </c>
      <c r="H2644" s="7" t="s">
        <v>73</v>
      </c>
      <c r="I2644" s="7" t="s">
        <v>76</v>
      </c>
      <c r="J2644" s="7">
        <v>833</v>
      </c>
      <c r="K2644" s="7">
        <v>526.24</v>
      </c>
    </row>
    <row r="2645" spans="1:11" ht="18" customHeight="1" x14ac:dyDescent="0.25">
      <c r="A2645" s="7" t="s">
        <v>34</v>
      </c>
      <c r="B2645" s="7">
        <v>2023</v>
      </c>
      <c r="C2645" s="7" t="s">
        <v>68</v>
      </c>
      <c r="D2645" s="7" t="s">
        <v>72</v>
      </c>
      <c r="E2645" s="7" t="s">
        <v>74</v>
      </c>
      <c r="F2645" s="7" t="s">
        <v>75</v>
      </c>
      <c r="G2645" s="7" t="s">
        <v>64</v>
      </c>
      <c r="H2645" s="7" t="s">
        <v>73</v>
      </c>
      <c r="I2645" s="7" t="s">
        <v>76</v>
      </c>
      <c r="J2645" s="7">
        <v>243</v>
      </c>
      <c r="K2645" s="7">
        <v>347.49</v>
      </c>
    </row>
    <row r="2646" spans="1:11" ht="18" customHeight="1" x14ac:dyDescent="0.25">
      <c r="A2646" s="7" t="s">
        <v>42</v>
      </c>
      <c r="B2646" s="7">
        <v>2023</v>
      </c>
      <c r="C2646" s="7" t="s">
        <v>68</v>
      </c>
      <c r="D2646" s="7" t="s">
        <v>72</v>
      </c>
      <c r="E2646" s="7" t="s">
        <v>74</v>
      </c>
      <c r="F2646" s="7" t="s">
        <v>75</v>
      </c>
      <c r="G2646" s="7" t="s">
        <v>64</v>
      </c>
      <c r="H2646" s="7" t="s">
        <v>73</v>
      </c>
      <c r="I2646" s="7" t="s">
        <v>76</v>
      </c>
      <c r="J2646" s="7">
        <v>271</v>
      </c>
      <c r="K2646" s="7">
        <v>387.53</v>
      </c>
    </row>
    <row r="2647" spans="1:11" ht="18" customHeight="1" x14ac:dyDescent="0.25">
      <c r="A2647" s="7" t="s">
        <v>42</v>
      </c>
      <c r="B2647" s="7">
        <v>2023</v>
      </c>
      <c r="C2647" s="7" t="s">
        <v>68</v>
      </c>
      <c r="D2647" s="7" t="s">
        <v>72</v>
      </c>
      <c r="E2647" s="7" t="s">
        <v>74</v>
      </c>
      <c r="F2647" s="7" t="s">
        <v>75</v>
      </c>
      <c r="G2647" s="7" t="s">
        <v>64</v>
      </c>
      <c r="H2647" s="7" t="s">
        <v>73</v>
      </c>
      <c r="I2647" s="7" t="s">
        <v>76</v>
      </c>
      <c r="J2647" s="7">
        <v>247</v>
      </c>
      <c r="K2647" s="7">
        <v>353.21</v>
      </c>
    </row>
    <row r="2648" spans="1:11" ht="18" customHeight="1" x14ac:dyDescent="0.25">
      <c r="A2648" s="7" t="s">
        <v>42</v>
      </c>
      <c r="B2648" s="7">
        <v>2023</v>
      </c>
      <c r="C2648" s="7" t="s">
        <v>68</v>
      </c>
      <c r="D2648" s="7" t="s">
        <v>72</v>
      </c>
      <c r="E2648" s="7" t="s">
        <v>74</v>
      </c>
      <c r="F2648" s="7" t="s">
        <v>75</v>
      </c>
      <c r="G2648" s="7" t="s">
        <v>64</v>
      </c>
      <c r="H2648" s="7" t="s">
        <v>73</v>
      </c>
      <c r="I2648" s="7" t="s">
        <v>76</v>
      </c>
      <c r="J2648" s="7">
        <v>245</v>
      </c>
      <c r="K2648" s="7">
        <v>350.35</v>
      </c>
    </row>
    <row r="2649" spans="1:11" ht="18" customHeight="1" x14ac:dyDescent="0.25">
      <c r="A2649" s="7" t="s">
        <v>61</v>
      </c>
      <c r="B2649" s="7">
        <v>2023</v>
      </c>
      <c r="C2649" s="7" t="s">
        <v>67</v>
      </c>
      <c r="D2649" s="7" t="s">
        <v>72</v>
      </c>
      <c r="E2649" s="7" t="s">
        <v>74</v>
      </c>
      <c r="F2649" s="7" t="s">
        <v>75</v>
      </c>
      <c r="G2649" s="7" t="s">
        <v>64</v>
      </c>
      <c r="H2649" s="7" t="s">
        <v>73</v>
      </c>
      <c r="I2649" s="7" t="s">
        <v>76</v>
      </c>
      <c r="J2649" s="7">
        <v>278</v>
      </c>
      <c r="K2649" s="7">
        <v>397.53999999999996</v>
      </c>
    </row>
    <row r="2650" spans="1:11" ht="18" customHeight="1" x14ac:dyDescent="0.25">
      <c r="A2650" s="7" t="s">
        <v>19</v>
      </c>
      <c r="B2650" s="7">
        <v>2023</v>
      </c>
      <c r="C2650" s="7" t="s">
        <v>67</v>
      </c>
      <c r="D2650" s="7" t="s">
        <v>72</v>
      </c>
      <c r="E2650" s="7" t="s">
        <v>74</v>
      </c>
      <c r="F2650" s="7" t="s">
        <v>75</v>
      </c>
      <c r="G2650" s="7" t="s">
        <v>64</v>
      </c>
      <c r="H2650" s="7" t="s">
        <v>73</v>
      </c>
      <c r="I2650" s="7" t="s">
        <v>76</v>
      </c>
      <c r="J2650" s="7">
        <v>248</v>
      </c>
      <c r="K2650" s="7">
        <v>354.64</v>
      </c>
    </row>
    <row r="2651" spans="1:11" ht="18" customHeight="1" x14ac:dyDescent="0.25">
      <c r="A2651" s="7" t="s">
        <v>42</v>
      </c>
      <c r="B2651" s="7">
        <v>2023</v>
      </c>
      <c r="C2651" s="7" t="s">
        <v>67</v>
      </c>
      <c r="D2651" s="7" t="s">
        <v>72</v>
      </c>
      <c r="E2651" s="7" t="s">
        <v>74</v>
      </c>
      <c r="F2651" s="7" t="s">
        <v>75</v>
      </c>
      <c r="G2651" s="7" t="s">
        <v>64</v>
      </c>
      <c r="H2651" s="7" t="s">
        <v>73</v>
      </c>
      <c r="I2651" s="7" t="s">
        <v>76</v>
      </c>
      <c r="J2651" s="7">
        <v>280</v>
      </c>
      <c r="K2651" s="7">
        <v>400.4</v>
      </c>
    </row>
    <row r="2652" spans="1:11" ht="18" customHeight="1" x14ac:dyDescent="0.25">
      <c r="A2652" s="7" t="s">
        <v>19</v>
      </c>
      <c r="B2652" s="7">
        <v>2023</v>
      </c>
      <c r="C2652" s="7" t="s">
        <v>67</v>
      </c>
      <c r="D2652" s="7" t="s">
        <v>72</v>
      </c>
      <c r="E2652" s="7" t="s">
        <v>74</v>
      </c>
      <c r="F2652" s="7" t="s">
        <v>75</v>
      </c>
      <c r="G2652" s="7" t="s">
        <v>64</v>
      </c>
      <c r="H2652" s="7" t="s">
        <v>73</v>
      </c>
      <c r="I2652" s="7" t="s">
        <v>76</v>
      </c>
      <c r="J2652" s="7">
        <v>250</v>
      </c>
      <c r="K2652" s="7">
        <v>357.5</v>
      </c>
    </row>
    <row r="2653" spans="1:11" ht="18" customHeight="1" x14ac:dyDescent="0.25">
      <c r="A2653" s="7" t="s">
        <v>34</v>
      </c>
      <c r="B2653" s="7">
        <v>2023</v>
      </c>
      <c r="C2653" s="7" t="s">
        <v>67</v>
      </c>
      <c r="D2653" s="7" t="s">
        <v>72</v>
      </c>
      <c r="E2653" s="7" t="s">
        <v>74</v>
      </c>
      <c r="F2653" s="7" t="s">
        <v>75</v>
      </c>
      <c r="G2653" s="7" t="s">
        <v>64</v>
      </c>
      <c r="H2653" s="7" t="s">
        <v>73</v>
      </c>
      <c r="I2653" s="7" t="s">
        <v>76</v>
      </c>
      <c r="J2653" s="7">
        <v>793</v>
      </c>
      <c r="K2653" s="7">
        <v>1133.99</v>
      </c>
    </row>
    <row r="2654" spans="1:11" ht="18" customHeight="1" x14ac:dyDescent="0.25">
      <c r="A2654" s="7" t="s">
        <v>19</v>
      </c>
      <c r="B2654" s="7">
        <v>2023</v>
      </c>
      <c r="C2654" s="7" t="s">
        <v>67</v>
      </c>
      <c r="D2654" s="7" t="s">
        <v>72</v>
      </c>
      <c r="E2654" s="7" t="s">
        <v>74</v>
      </c>
      <c r="F2654" s="7" t="s">
        <v>75</v>
      </c>
      <c r="G2654" s="7" t="s">
        <v>64</v>
      </c>
      <c r="H2654" s="7" t="s">
        <v>73</v>
      </c>
      <c r="I2654" s="7" t="s">
        <v>76</v>
      </c>
      <c r="J2654" s="7">
        <v>879</v>
      </c>
      <c r="K2654" s="7">
        <v>1256.97</v>
      </c>
    </row>
    <row r="2655" spans="1:11" ht="18" customHeight="1" x14ac:dyDescent="0.25">
      <c r="A2655" s="7" t="s">
        <v>19</v>
      </c>
      <c r="B2655" s="7">
        <v>2023</v>
      </c>
      <c r="C2655" s="7" t="s">
        <v>67</v>
      </c>
      <c r="D2655" s="7" t="s">
        <v>72</v>
      </c>
      <c r="E2655" s="7" t="s">
        <v>74</v>
      </c>
      <c r="F2655" s="7" t="s">
        <v>75</v>
      </c>
      <c r="G2655" s="7" t="s">
        <v>64</v>
      </c>
      <c r="H2655" s="7" t="s">
        <v>73</v>
      </c>
      <c r="I2655" s="7" t="s">
        <v>76</v>
      </c>
      <c r="J2655" s="7">
        <v>832</v>
      </c>
      <c r="K2655" s="7">
        <v>526.24</v>
      </c>
    </row>
    <row r="2656" spans="1:11" ht="18" customHeight="1" x14ac:dyDescent="0.25">
      <c r="A2656" s="7" t="s">
        <v>34</v>
      </c>
      <c r="B2656" s="7">
        <v>2023</v>
      </c>
      <c r="C2656" s="7" t="s">
        <v>67</v>
      </c>
      <c r="D2656" s="7" t="s">
        <v>72</v>
      </c>
      <c r="E2656" s="7" t="s">
        <v>74</v>
      </c>
      <c r="F2656" s="7" t="s">
        <v>75</v>
      </c>
      <c r="G2656" s="7" t="s">
        <v>64</v>
      </c>
      <c r="H2656" s="7" t="s">
        <v>73</v>
      </c>
      <c r="I2656" s="7" t="s">
        <v>76</v>
      </c>
      <c r="J2656" s="7">
        <v>249</v>
      </c>
      <c r="K2656" s="7">
        <v>356.07</v>
      </c>
    </row>
    <row r="2657" spans="1:11" ht="18" customHeight="1" x14ac:dyDescent="0.25">
      <c r="A2657" s="7" t="s">
        <v>19</v>
      </c>
      <c r="B2657" s="7">
        <v>2023</v>
      </c>
      <c r="C2657" s="7" t="s">
        <v>67</v>
      </c>
      <c r="D2657" s="7" t="s">
        <v>72</v>
      </c>
      <c r="E2657" s="7" t="s">
        <v>74</v>
      </c>
      <c r="F2657" s="7" t="s">
        <v>75</v>
      </c>
      <c r="G2657" s="7" t="s">
        <v>64</v>
      </c>
      <c r="H2657" s="7" t="s">
        <v>73</v>
      </c>
      <c r="I2657" s="7" t="s">
        <v>76</v>
      </c>
      <c r="J2657" s="7">
        <v>277</v>
      </c>
      <c r="K2657" s="7">
        <v>396.11</v>
      </c>
    </row>
    <row r="2658" spans="1:11" ht="18" customHeight="1" x14ac:dyDescent="0.25">
      <c r="A2658" s="7" t="s">
        <v>42</v>
      </c>
      <c r="B2658" s="7">
        <v>2023</v>
      </c>
      <c r="C2658" s="7" t="s">
        <v>67</v>
      </c>
      <c r="D2658" s="7" t="s">
        <v>72</v>
      </c>
      <c r="E2658" s="7" t="s">
        <v>74</v>
      </c>
      <c r="F2658" s="7" t="s">
        <v>75</v>
      </c>
      <c r="G2658" s="7" t="s">
        <v>64</v>
      </c>
      <c r="H2658" s="7" t="s">
        <v>73</v>
      </c>
      <c r="I2658" s="7" t="s">
        <v>76</v>
      </c>
      <c r="J2658" s="7">
        <v>253</v>
      </c>
      <c r="K2658" s="7">
        <v>361.78999999999996</v>
      </c>
    </row>
    <row r="2659" spans="1:11" ht="18" customHeight="1" x14ac:dyDescent="0.25">
      <c r="A2659" s="7" t="s">
        <v>19</v>
      </c>
      <c r="B2659" s="7">
        <v>2023</v>
      </c>
      <c r="C2659" s="7" t="s">
        <v>67</v>
      </c>
      <c r="D2659" s="7" t="s">
        <v>72</v>
      </c>
      <c r="E2659" s="7" t="s">
        <v>74</v>
      </c>
      <c r="F2659" s="7" t="s">
        <v>75</v>
      </c>
      <c r="G2659" s="7" t="s">
        <v>64</v>
      </c>
      <c r="H2659" s="7" t="s">
        <v>73</v>
      </c>
      <c r="I2659" s="7" t="s">
        <v>76</v>
      </c>
      <c r="J2659" s="7">
        <v>802</v>
      </c>
      <c r="K2659" s="7">
        <v>1146.8600000000001</v>
      </c>
    </row>
    <row r="2660" spans="1:11" ht="18" customHeight="1" x14ac:dyDescent="0.25">
      <c r="A2660" s="7" t="s">
        <v>61</v>
      </c>
      <c r="B2660" s="7">
        <v>2023</v>
      </c>
      <c r="C2660" s="7" t="s">
        <v>67</v>
      </c>
      <c r="D2660" s="7" t="s">
        <v>72</v>
      </c>
      <c r="E2660" s="7" t="s">
        <v>74</v>
      </c>
      <c r="F2660" s="7" t="s">
        <v>75</v>
      </c>
      <c r="G2660" s="7" t="s">
        <v>64</v>
      </c>
      <c r="H2660" s="7" t="s">
        <v>73</v>
      </c>
      <c r="I2660" s="7" t="s">
        <v>76</v>
      </c>
      <c r="J2660" s="7">
        <v>251</v>
      </c>
      <c r="K2660" s="7">
        <v>358.93</v>
      </c>
    </row>
    <row r="2661" spans="1:11" ht="18" customHeight="1" x14ac:dyDescent="0.25">
      <c r="A2661" s="7" t="s">
        <v>42</v>
      </c>
      <c r="B2661" s="7">
        <v>2023</v>
      </c>
      <c r="C2661" s="7" t="s">
        <v>62</v>
      </c>
      <c r="D2661" s="7" t="s">
        <v>72</v>
      </c>
      <c r="E2661" s="7" t="s">
        <v>74</v>
      </c>
      <c r="F2661" s="7" t="s">
        <v>75</v>
      </c>
      <c r="G2661" s="7" t="s">
        <v>64</v>
      </c>
      <c r="H2661" s="7" t="s">
        <v>73</v>
      </c>
      <c r="I2661" s="7" t="s">
        <v>76</v>
      </c>
      <c r="J2661" s="7">
        <v>296</v>
      </c>
      <c r="K2661" s="7">
        <v>423.28</v>
      </c>
    </row>
    <row r="2662" spans="1:11" ht="18" customHeight="1" x14ac:dyDescent="0.25">
      <c r="A2662" s="7" t="s">
        <v>42</v>
      </c>
      <c r="B2662" s="7">
        <v>2023</v>
      </c>
      <c r="C2662" s="7" t="s">
        <v>62</v>
      </c>
      <c r="D2662" s="7" t="s">
        <v>72</v>
      </c>
      <c r="E2662" s="7" t="s">
        <v>74</v>
      </c>
      <c r="F2662" s="7" t="s">
        <v>75</v>
      </c>
      <c r="G2662" s="7" t="s">
        <v>64</v>
      </c>
      <c r="H2662" s="7" t="s">
        <v>73</v>
      </c>
      <c r="I2662" s="7" t="s">
        <v>76</v>
      </c>
      <c r="J2662" s="7">
        <v>266</v>
      </c>
      <c r="K2662" s="7">
        <v>380.38</v>
      </c>
    </row>
    <row r="2663" spans="1:11" ht="18" customHeight="1" x14ac:dyDescent="0.25">
      <c r="A2663" s="7" t="s">
        <v>34</v>
      </c>
      <c r="B2663" s="7">
        <v>2023</v>
      </c>
      <c r="C2663" s="7" t="s">
        <v>62</v>
      </c>
      <c r="D2663" s="7" t="s">
        <v>72</v>
      </c>
      <c r="E2663" s="7" t="s">
        <v>74</v>
      </c>
      <c r="F2663" s="7" t="s">
        <v>75</v>
      </c>
      <c r="G2663" s="7" t="s">
        <v>64</v>
      </c>
      <c r="H2663" s="7" t="s">
        <v>73</v>
      </c>
      <c r="I2663" s="7" t="s">
        <v>76</v>
      </c>
      <c r="J2663" s="7">
        <v>292</v>
      </c>
      <c r="K2663" s="7">
        <v>417.56</v>
      </c>
    </row>
    <row r="2664" spans="1:11" ht="18" customHeight="1" x14ac:dyDescent="0.25">
      <c r="A2664" s="7" t="s">
        <v>42</v>
      </c>
      <c r="B2664" s="7">
        <v>2023</v>
      </c>
      <c r="C2664" s="7" t="s">
        <v>62</v>
      </c>
      <c r="D2664" s="7" t="s">
        <v>72</v>
      </c>
      <c r="E2664" s="7" t="s">
        <v>74</v>
      </c>
      <c r="F2664" s="7" t="s">
        <v>75</v>
      </c>
      <c r="G2664" s="7" t="s">
        <v>64</v>
      </c>
      <c r="H2664" s="7" t="s">
        <v>73</v>
      </c>
      <c r="I2664" s="7" t="s">
        <v>76</v>
      </c>
      <c r="J2664" s="7">
        <v>268</v>
      </c>
      <c r="K2664" s="7">
        <v>383.24</v>
      </c>
    </row>
    <row r="2665" spans="1:11" ht="18" customHeight="1" x14ac:dyDescent="0.25">
      <c r="A2665" s="7" t="s">
        <v>42</v>
      </c>
      <c r="B2665" s="7">
        <v>2023</v>
      </c>
      <c r="C2665" s="7" t="s">
        <v>62</v>
      </c>
      <c r="D2665" s="7" t="s">
        <v>72</v>
      </c>
      <c r="E2665" s="7" t="s">
        <v>74</v>
      </c>
      <c r="F2665" s="7" t="s">
        <v>75</v>
      </c>
      <c r="G2665" s="7" t="s">
        <v>64</v>
      </c>
      <c r="H2665" s="7" t="s">
        <v>73</v>
      </c>
      <c r="I2665" s="7" t="s">
        <v>76</v>
      </c>
      <c r="J2665" s="7">
        <v>790</v>
      </c>
      <c r="K2665" s="7">
        <v>1129.7</v>
      </c>
    </row>
    <row r="2666" spans="1:11" ht="18" customHeight="1" x14ac:dyDescent="0.25">
      <c r="A2666" s="7" t="s">
        <v>34</v>
      </c>
      <c r="B2666" s="7">
        <v>2023</v>
      </c>
      <c r="C2666" s="7" t="s">
        <v>62</v>
      </c>
      <c r="D2666" s="7" t="s">
        <v>72</v>
      </c>
      <c r="E2666" s="7" t="s">
        <v>74</v>
      </c>
      <c r="F2666" s="7" t="s">
        <v>75</v>
      </c>
      <c r="G2666" s="7" t="s">
        <v>64</v>
      </c>
      <c r="H2666" s="7" t="s">
        <v>73</v>
      </c>
      <c r="I2666" s="7" t="s">
        <v>76</v>
      </c>
      <c r="J2666" s="7">
        <v>877</v>
      </c>
      <c r="K2666" s="7">
        <v>1254.1100000000001</v>
      </c>
    </row>
    <row r="2667" spans="1:11" ht="18" customHeight="1" x14ac:dyDescent="0.25">
      <c r="A2667" s="7" t="s">
        <v>34</v>
      </c>
      <c r="B2667" s="7">
        <v>2023</v>
      </c>
      <c r="C2667" s="7" t="s">
        <v>62</v>
      </c>
      <c r="D2667" s="7" t="s">
        <v>72</v>
      </c>
      <c r="E2667" s="7" t="s">
        <v>74</v>
      </c>
      <c r="F2667" s="7" t="s">
        <v>75</v>
      </c>
      <c r="G2667" s="7" t="s">
        <v>64</v>
      </c>
      <c r="H2667" s="7" t="s">
        <v>73</v>
      </c>
      <c r="I2667" s="7" t="s">
        <v>76</v>
      </c>
      <c r="J2667" s="7">
        <v>830</v>
      </c>
      <c r="K2667" s="7">
        <v>526.24</v>
      </c>
    </row>
    <row r="2668" spans="1:11" ht="18" customHeight="1" x14ac:dyDescent="0.25">
      <c r="A2668" s="7" t="s">
        <v>42</v>
      </c>
      <c r="B2668" s="7">
        <v>2023</v>
      </c>
      <c r="C2668" s="7" t="s">
        <v>62</v>
      </c>
      <c r="D2668" s="7" t="s">
        <v>72</v>
      </c>
      <c r="E2668" s="7" t="s">
        <v>74</v>
      </c>
      <c r="F2668" s="7" t="s">
        <v>75</v>
      </c>
      <c r="G2668" s="7" t="s">
        <v>64</v>
      </c>
      <c r="H2668" s="7" t="s">
        <v>73</v>
      </c>
      <c r="I2668" s="7" t="s">
        <v>76</v>
      </c>
      <c r="J2668" s="7">
        <v>267</v>
      </c>
      <c r="K2668" s="7">
        <v>381.81</v>
      </c>
    </row>
    <row r="2669" spans="1:11" ht="18" customHeight="1" x14ac:dyDescent="0.25">
      <c r="A2669" s="7" t="s">
        <v>42</v>
      </c>
      <c r="B2669" s="7">
        <v>2023</v>
      </c>
      <c r="C2669" s="7" t="s">
        <v>62</v>
      </c>
      <c r="D2669" s="7" t="s">
        <v>72</v>
      </c>
      <c r="E2669" s="7" t="s">
        <v>74</v>
      </c>
      <c r="F2669" s="7" t="s">
        <v>75</v>
      </c>
      <c r="G2669" s="7" t="s">
        <v>64</v>
      </c>
      <c r="H2669" s="7" t="s">
        <v>73</v>
      </c>
      <c r="I2669" s="7" t="s">
        <v>76</v>
      </c>
      <c r="J2669" s="7">
        <v>295</v>
      </c>
      <c r="K2669" s="7">
        <v>421.85</v>
      </c>
    </row>
    <row r="2670" spans="1:11" ht="18" customHeight="1" x14ac:dyDescent="0.25">
      <c r="A2670" s="7" t="s">
        <v>34</v>
      </c>
      <c r="B2670" s="7">
        <v>2023</v>
      </c>
      <c r="C2670" s="7" t="s">
        <v>62</v>
      </c>
      <c r="D2670" s="7" t="s">
        <v>72</v>
      </c>
      <c r="E2670" s="7" t="s">
        <v>74</v>
      </c>
      <c r="F2670" s="7" t="s">
        <v>75</v>
      </c>
      <c r="G2670" s="7" t="s">
        <v>64</v>
      </c>
      <c r="H2670" s="7" t="s">
        <v>73</v>
      </c>
      <c r="I2670" s="7" t="s">
        <v>76</v>
      </c>
      <c r="J2670" s="7">
        <v>265</v>
      </c>
      <c r="K2670" s="7">
        <v>378.95</v>
      </c>
    </row>
    <row r="2671" spans="1:11" ht="18" customHeight="1" x14ac:dyDescent="0.25">
      <c r="A2671" s="7" t="s">
        <v>42</v>
      </c>
      <c r="B2671" s="7">
        <v>2023</v>
      </c>
      <c r="C2671" s="7" t="s">
        <v>62</v>
      </c>
      <c r="D2671" s="7" t="s">
        <v>72</v>
      </c>
      <c r="E2671" s="7" t="s">
        <v>74</v>
      </c>
      <c r="F2671" s="7" t="s">
        <v>75</v>
      </c>
      <c r="G2671" s="7" t="s">
        <v>64</v>
      </c>
      <c r="H2671" s="7" t="s">
        <v>73</v>
      </c>
      <c r="I2671" s="7" t="s">
        <v>76</v>
      </c>
      <c r="J2671" s="7">
        <v>799</v>
      </c>
      <c r="K2671" s="7">
        <v>1142.57</v>
      </c>
    </row>
    <row r="2672" spans="1:11" ht="18" customHeight="1" x14ac:dyDescent="0.25">
      <c r="A2672" s="7" t="s">
        <v>42</v>
      </c>
      <c r="B2672" s="7">
        <v>2023</v>
      </c>
      <c r="C2672" s="7" t="s">
        <v>62</v>
      </c>
      <c r="D2672" s="7" t="s">
        <v>72</v>
      </c>
      <c r="E2672" s="7" t="s">
        <v>74</v>
      </c>
      <c r="F2672" s="7" t="s">
        <v>75</v>
      </c>
      <c r="G2672" s="7" t="s">
        <v>64</v>
      </c>
      <c r="H2672" s="7" t="s">
        <v>73</v>
      </c>
      <c r="I2672" s="7" t="s">
        <v>76</v>
      </c>
      <c r="J2672" s="7">
        <v>885</v>
      </c>
      <c r="K2672" s="7">
        <v>1265.55</v>
      </c>
    </row>
    <row r="2673" spans="1:11" ht="18" customHeight="1" x14ac:dyDescent="0.25">
      <c r="A2673" s="7" t="s">
        <v>34</v>
      </c>
      <c r="B2673" s="7">
        <v>2023</v>
      </c>
      <c r="C2673" s="7" t="s">
        <v>66</v>
      </c>
      <c r="D2673" s="7" t="s">
        <v>72</v>
      </c>
      <c r="E2673" s="7" t="s">
        <v>74</v>
      </c>
      <c r="F2673" s="7" t="s">
        <v>75</v>
      </c>
      <c r="G2673" s="7" t="s">
        <v>64</v>
      </c>
      <c r="H2673" s="7" t="s">
        <v>73</v>
      </c>
      <c r="I2673" s="7" t="s">
        <v>76</v>
      </c>
      <c r="J2673" s="7">
        <v>284</v>
      </c>
      <c r="K2673" s="7">
        <v>406.12</v>
      </c>
    </row>
    <row r="2674" spans="1:11" ht="18" customHeight="1" x14ac:dyDescent="0.25">
      <c r="A2674" s="7" t="s">
        <v>42</v>
      </c>
      <c r="B2674" s="7">
        <v>2023</v>
      </c>
      <c r="C2674" s="7" t="s">
        <v>66</v>
      </c>
      <c r="D2674" s="7" t="s">
        <v>72</v>
      </c>
      <c r="E2674" s="7" t="s">
        <v>74</v>
      </c>
      <c r="F2674" s="7" t="s">
        <v>75</v>
      </c>
      <c r="G2674" s="7" t="s">
        <v>64</v>
      </c>
      <c r="H2674" s="7" t="s">
        <v>73</v>
      </c>
      <c r="I2674" s="7" t="s">
        <v>76</v>
      </c>
      <c r="J2674" s="7">
        <v>254</v>
      </c>
      <c r="K2674" s="7">
        <v>363.22</v>
      </c>
    </row>
    <row r="2675" spans="1:11" ht="18" customHeight="1" x14ac:dyDescent="0.25">
      <c r="A2675" s="7" t="s">
        <v>34</v>
      </c>
      <c r="B2675" s="7">
        <v>2023</v>
      </c>
      <c r="C2675" s="7" t="s">
        <v>66</v>
      </c>
      <c r="D2675" s="7" t="s">
        <v>72</v>
      </c>
      <c r="E2675" s="7" t="s">
        <v>74</v>
      </c>
      <c r="F2675" s="7" t="s">
        <v>75</v>
      </c>
      <c r="G2675" s="7" t="s">
        <v>64</v>
      </c>
      <c r="H2675" s="7" t="s">
        <v>73</v>
      </c>
      <c r="I2675" s="7" t="s">
        <v>76</v>
      </c>
      <c r="J2675" s="7">
        <v>256</v>
      </c>
      <c r="K2675" s="7">
        <v>366.08</v>
      </c>
    </row>
    <row r="2676" spans="1:11" ht="18" customHeight="1" x14ac:dyDescent="0.25">
      <c r="A2676" s="7" t="s">
        <v>34</v>
      </c>
      <c r="B2676" s="7">
        <v>2023</v>
      </c>
      <c r="C2676" s="7" t="s">
        <v>66</v>
      </c>
      <c r="D2676" s="7" t="s">
        <v>72</v>
      </c>
      <c r="E2676" s="7" t="s">
        <v>74</v>
      </c>
      <c r="F2676" s="7" t="s">
        <v>75</v>
      </c>
      <c r="G2676" s="7" t="s">
        <v>64</v>
      </c>
      <c r="H2676" s="7" t="s">
        <v>73</v>
      </c>
      <c r="I2676" s="7" t="s">
        <v>76</v>
      </c>
      <c r="J2676" s="7">
        <v>792</v>
      </c>
      <c r="K2676" s="7">
        <v>1132.56</v>
      </c>
    </row>
    <row r="2677" spans="1:11" ht="18" customHeight="1" x14ac:dyDescent="0.25">
      <c r="A2677" s="7" t="s">
        <v>34</v>
      </c>
      <c r="B2677" s="7">
        <v>2023</v>
      </c>
      <c r="C2677" s="7" t="s">
        <v>66</v>
      </c>
      <c r="D2677" s="7" t="s">
        <v>72</v>
      </c>
      <c r="E2677" s="7" t="s">
        <v>74</v>
      </c>
      <c r="F2677" s="7" t="s">
        <v>75</v>
      </c>
      <c r="G2677" s="7" t="s">
        <v>64</v>
      </c>
      <c r="H2677" s="7" t="s">
        <v>73</v>
      </c>
      <c r="I2677" s="7" t="s">
        <v>76</v>
      </c>
      <c r="J2677" s="7">
        <v>878</v>
      </c>
      <c r="K2677" s="7">
        <v>1255.54</v>
      </c>
    </row>
    <row r="2678" spans="1:11" ht="18" customHeight="1" x14ac:dyDescent="0.25">
      <c r="A2678" s="7" t="s">
        <v>34</v>
      </c>
      <c r="B2678" s="7">
        <v>2023</v>
      </c>
      <c r="C2678" s="7" t="s">
        <v>66</v>
      </c>
      <c r="D2678" s="7" t="s">
        <v>72</v>
      </c>
      <c r="E2678" s="7" t="s">
        <v>74</v>
      </c>
      <c r="F2678" s="7" t="s">
        <v>75</v>
      </c>
      <c r="G2678" s="7" t="s">
        <v>64</v>
      </c>
      <c r="H2678" s="7" t="s">
        <v>73</v>
      </c>
      <c r="I2678" s="7" t="s">
        <v>76</v>
      </c>
      <c r="J2678" s="7">
        <v>831</v>
      </c>
      <c r="K2678" s="7">
        <v>526.24</v>
      </c>
    </row>
    <row r="2679" spans="1:11" ht="18" customHeight="1" x14ac:dyDescent="0.25">
      <c r="A2679" s="7" t="s">
        <v>34</v>
      </c>
      <c r="B2679" s="7">
        <v>2023</v>
      </c>
      <c r="C2679" s="7" t="s">
        <v>66</v>
      </c>
      <c r="D2679" s="7" t="s">
        <v>72</v>
      </c>
      <c r="E2679" s="7" t="s">
        <v>74</v>
      </c>
      <c r="F2679" s="7" t="s">
        <v>75</v>
      </c>
      <c r="G2679" s="7" t="s">
        <v>64</v>
      </c>
      <c r="H2679" s="7" t="s">
        <v>73</v>
      </c>
      <c r="I2679" s="7" t="s">
        <v>76</v>
      </c>
      <c r="J2679" s="7">
        <v>255</v>
      </c>
      <c r="K2679" s="7">
        <v>364.65</v>
      </c>
    </row>
    <row r="2680" spans="1:11" ht="18" customHeight="1" x14ac:dyDescent="0.25">
      <c r="A2680" s="7" t="s">
        <v>34</v>
      </c>
      <c r="B2680" s="7">
        <v>2023</v>
      </c>
      <c r="C2680" s="7" t="s">
        <v>66</v>
      </c>
      <c r="D2680" s="7" t="s">
        <v>72</v>
      </c>
      <c r="E2680" s="7" t="s">
        <v>74</v>
      </c>
      <c r="F2680" s="7" t="s">
        <v>75</v>
      </c>
      <c r="G2680" s="7" t="s">
        <v>64</v>
      </c>
      <c r="H2680" s="7" t="s">
        <v>73</v>
      </c>
      <c r="I2680" s="7" t="s">
        <v>76</v>
      </c>
      <c r="J2680" s="7">
        <v>283</v>
      </c>
      <c r="K2680" s="7">
        <v>404.69</v>
      </c>
    </row>
    <row r="2681" spans="1:11" ht="18" customHeight="1" x14ac:dyDescent="0.25">
      <c r="A2681" s="7" t="s">
        <v>42</v>
      </c>
      <c r="B2681" s="7">
        <v>2023</v>
      </c>
      <c r="C2681" s="7" t="s">
        <v>66</v>
      </c>
      <c r="D2681" s="7" t="s">
        <v>72</v>
      </c>
      <c r="E2681" s="7" t="s">
        <v>74</v>
      </c>
      <c r="F2681" s="7" t="s">
        <v>75</v>
      </c>
      <c r="G2681" s="7" t="s">
        <v>64</v>
      </c>
      <c r="H2681" s="7" t="s">
        <v>73</v>
      </c>
      <c r="I2681" s="7" t="s">
        <v>76</v>
      </c>
      <c r="J2681" s="7">
        <v>801</v>
      </c>
      <c r="K2681" s="7">
        <v>1145.43</v>
      </c>
    </row>
    <row r="2682" spans="1:11" ht="18" customHeight="1" x14ac:dyDescent="0.25">
      <c r="A2682" s="7" t="s">
        <v>34</v>
      </c>
      <c r="B2682" s="7">
        <v>2023</v>
      </c>
      <c r="C2682" s="7" t="s">
        <v>66</v>
      </c>
      <c r="D2682" s="7" t="s">
        <v>72</v>
      </c>
      <c r="E2682" s="7" t="s">
        <v>74</v>
      </c>
      <c r="F2682" s="7" t="s">
        <v>75</v>
      </c>
      <c r="G2682" s="7" t="s">
        <v>64</v>
      </c>
      <c r="H2682" s="7" t="s">
        <v>73</v>
      </c>
      <c r="I2682" s="7" t="s">
        <v>76</v>
      </c>
      <c r="J2682" s="7">
        <v>257</v>
      </c>
      <c r="K2682" s="7">
        <v>367.51</v>
      </c>
    </row>
    <row r="2683" spans="1:11" ht="18" customHeight="1" x14ac:dyDescent="0.25">
      <c r="A2683" s="7" t="s">
        <v>19</v>
      </c>
      <c r="B2683" s="7">
        <v>2023</v>
      </c>
      <c r="C2683" s="7" t="s">
        <v>71</v>
      </c>
      <c r="D2683" s="7" t="s">
        <v>72</v>
      </c>
      <c r="E2683" s="7" t="s">
        <v>74</v>
      </c>
      <c r="F2683" s="7" t="s">
        <v>75</v>
      </c>
      <c r="G2683" s="7" t="s">
        <v>64</v>
      </c>
      <c r="H2683" s="7" t="s">
        <v>73</v>
      </c>
      <c r="I2683" s="7" t="s">
        <v>76</v>
      </c>
      <c r="J2683" s="7">
        <v>224</v>
      </c>
      <c r="K2683" s="7">
        <v>320.32</v>
      </c>
    </row>
    <row r="2684" spans="1:11" ht="18" customHeight="1" x14ac:dyDescent="0.25">
      <c r="A2684" s="7" t="s">
        <v>19</v>
      </c>
      <c r="B2684" s="7">
        <v>2023</v>
      </c>
      <c r="C2684" s="7" t="s">
        <v>71</v>
      </c>
      <c r="D2684" s="7" t="s">
        <v>72</v>
      </c>
      <c r="E2684" s="7" t="s">
        <v>74</v>
      </c>
      <c r="F2684" s="7" t="s">
        <v>75</v>
      </c>
      <c r="G2684" s="7" t="s">
        <v>64</v>
      </c>
      <c r="H2684" s="7" t="s">
        <v>73</v>
      </c>
      <c r="I2684" s="7" t="s">
        <v>76</v>
      </c>
      <c r="J2684" s="7">
        <v>250</v>
      </c>
      <c r="K2684" s="7">
        <v>357.5</v>
      </c>
    </row>
    <row r="2685" spans="1:11" ht="18" customHeight="1" x14ac:dyDescent="0.25">
      <c r="A2685" s="7" t="s">
        <v>19</v>
      </c>
      <c r="B2685" s="7">
        <v>2023</v>
      </c>
      <c r="C2685" s="7" t="s">
        <v>71</v>
      </c>
      <c r="D2685" s="7" t="s">
        <v>72</v>
      </c>
      <c r="E2685" s="7" t="s">
        <v>74</v>
      </c>
      <c r="F2685" s="7" t="s">
        <v>75</v>
      </c>
      <c r="G2685" s="7" t="s">
        <v>64</v>
      </c>
      <c r="H2685" s="7" t="s">
        <v>73</v>
      </c>
      <c r="I2685" s="7" t="s">
        <v>76</v>
      </c>
      <c r="J2685" s="7">
        <v>226</v>
      </c>
      <c r="K2685" s="7">
        <v>323.18</v>
      </c>
    </row>
    <row r="2686" spans="1:11" ht="18" customHeight="1" x14ac:dyDescent="0.25">
      <c r="A2686" s="7" t="s">
        <v>19</v>
      </c>
      <c r="B2686" s="7">
        <v>2023</v>
      </c>
      <c r="C2686" s="7" t="s">
        <v>71</v>
      </c>
      <c r="D2686" s="7" t="s">
        <v>72</v>
      </c>
      <c r="E2686" s="7" t="s">
        <v>74</v>
      </c>
      <c r="F2686" s="7" t="s">
        <v>75</v>
      </c>
      <c r="G2686" s="7" t="s">
        <v>64</v>
      </c>
      <c r="H2686" s="7" t="s">
        <v>73</v>
      </c>
      <c r="I2686" s="7" t="s">
        <v>76</v>
      </c>
      <c r="J2686" s="7">
        <v>797</v>
      </c>
      <c r="K2686" s="7">
        <v>1139.71</v>
      </c>
    </row>
    <row r="2687" spans="1:11" ht="18" customHeight="1" x14ac:dyDescent="0.25">
      <c r="A2687" s="7" t="s">
        <v>19</v>
      </c>
      <c r="B2687" s="7">
        <v>2023</v>
      </c>
      <c r="C2687" s="7" t="s">
        <v>71</v>
      </c>
      <c r="D2687" s="7" t="s">
        <v>72</v>
      </c>
      <c r="E2687" s="7" t="s">
        <v>74</v>
      </c>
      <c r="F2687" s="7" t="s">
        <v>75</v>
      </c>
      <c r="G2687" s="7" t="s">
        <v>64</v>
      </c>
      <c r="H2687" s="7" t="s">
        <v>73</v>
      </c>
      <c r="I2687" s="7" t="s">
        <v>76</v>
      </c>
      <c r="J2687" s="7">
        <v>884</v>
      </c>
      <c r="K2687" s="7">
        <v>1264.1199999999999</v>
      </c>
    </row>
    <row r="2688" spans="1:11" ht="18" customHeight="1" x14ac:dyDescent="0.25">
      <c r="A2688" s="7" t="s">
        <v>19</v>
      </c>
      <c r="B2688" s="7">
        <v>2023</v>
      </c>
      <c r="C2688" s="7" t="s">
        <v>71</v>
      </c>
      <c r="D2688" s="7" t="s">
        <v>72</v>
      </c>
      <c r="E2688" s="7" t="s">
        <v>74</v>
      </c>
      <c r="F2688" s="7" t="s">
        <v>75</v>
      </c>
      <c r="G2688" s="7" t="s">
        <v>64</v>
      </c>
      <c r="H2688" s="7" t="s">
        <v>73</v>
      </c>
      <c r="I2688" s="7" t="s">
        <v>76</v>
      </c>
      <c r="J2688" s="7">
        <v>837</v>
      </c>
      <c r="K2688" s="7">
        <v>526.24</v>
      </c>
    </row>
    <row r="2689" spans="1:11" ht="18" customHeight="1" x14ac:dyDescent="0.25">
      <c r="A2689" s="7" t="s">
        <v>19</v>
      </c>
      <c r="B2689" s="7">
        <v>2023</v>
      </c>
      <c r="C2689" s="7" t="s">
        <v>71</v>
      </c>
      <c r="D2689" s="7" t="s">
        <v>72</v>
      </c>
      <c r="E2689" s="7" t="s">
        <v>74</v>
      </c>
      <c r="F2689" s="7" t="s">
        <v>75</v>
      </c>
      <c r="G2689" s="7" t="s">
        <v>64</v>
      </c>
      <c r="H2689" s="7" t="s">
        <v>73</v>
      </c>
      <c r="I2689" s="7" t="s">
        <v>76</v>
      </c>
      <c r="J2689" s="7">
        <v>225</v>
      </c>
      <c r="K2689" s="7">
        <v>321.75</v>
      </c>
    </row>
    <row r="2690" spans="1:11" ht="18" customHeight="1" x14ac:dyDescent="0.25">
      <c r="A2690" s="7" t="s">
        <v>19</v>
      </c>
      <c r="B2690" s="7">
        <v>2023</v>
      </c>
      <c r="C2690" s="7" t="s">
        <v>71</v>
      </c>
      <c r="D2690" s="7" t="s">
        <v>72</v>
      </c>
      <c r="E2690" s="7" t="s">
        <v>74</v>
      </c>
      <c r="F2690" s="7" t="s">
        <v>75</v>
      </c>
      <c r="G2690" s="7" t="s">
        <v>64</v>
      </c>
      <c r="H2690" s="7" t="s">
        <v>73</v>
      </c>
      <c r="I2690" s="7" t="s">
        <v>76</v>
      </c>
      <c r="J2690" s="7">
        <v>253</v>
      </c>
      <c r="K2690" s="7">
        <v>361.78999999999996</v>
      </c>
    </row>
    <row r="2691" spans="1:11" ht="18" customHeight="1" x14ac:dyDescent="0.25">
      <c r="A2691" s="7" t="s">
        <v>19</v>
      </c>
      <c r="B2691" s="7">
        <v>2023</v>
      </c>
      <c r="C2691" s="7" t="s">
        <v>71</v>
      </c>
      <c r="D2691" s="7" t="s">
        <v>72</v>
      </c>
      <c r="E2691" s="7" t="s">
        <v>74</v>
      </c>
      <c r="F2691" s="7" t="s">
        <v>75</v>
      </c>
      <c r="G2691" s="7" t="s">
        <v>64</v>
      </c>
      <c r="H2691" s="7" t="s">
        <v>73</v>
      </c>
      <c r="I2691" s="7" t="s">
        <v>76</v>
      </c>
      <c r="J2691" s="7">
        <v>223</v>
      </c>
      <c r="K2691" s="7">
        <v>318.89</v>
      </c>
    </row>
    <row r="2692" spans="1:11" ht="18" customHeight="1" x14ac:dyDescent="0.25">
      <c r="A2692" s="7" t="s">
        <v>19</v>
      </c>
      <c r="B2692" s="7">
        <v>2023</v>
      </c>
      <c r="C2692" s="7" t="s">
        <v>71</v>
      </c>
      <c r="D2692" s="7" t="s">
        <v>72</v>
      </c>
      <c r="E2692" s="7" t="s">
        <v>74</v>
      </c>
      <c r="F2692" s="7" t="s">
        <v>75</v>
      </c>
      <c r="G2692" s="7" t="s">
        <v>64</v>
      </c>
      <c r="H2692" s="7" t="s">
        <v>73</v>
      </c>
      <c r="I2692" s="7" t="s">
        <v>76</v>
      </c>
      <c r="J2692" s="7">
        <v>806</v>
      </c>
      <c r="K2692" s="7">
        <v>1152.58</v>
      </c>
    </row>
    <row r="2693" spans="1:11" ht="18" customHeight="1" x14ac:dyDescent="0.25">
      <c r="A2693" s="7" t="s">
        <v>34</v>
      </c>
      <c r="B2693" s="7">
        <v>2023</v>
      </c>
      <c r="C2693" s="7" t="s">
        <v>70</v>
      </c>
      <c r="D2693" s="7" t="s">
        <v>72</v>
      </c>
      <c r="E2693" s="7" t="s">
        <v>74</v>
      </c>
      <c r="F2693" s="7" t="s">
        <v>75</v>
      </c>
      <c r="G2693" s="7" t="s">
        <v>64</v>
      </c>
      <c r="H2693" s="7" t="s">
        <v>73</v>
      </c>
      <c r="I2693" s="7" t="s">
        <v>76</v>
      </c>
      <c r="J2693" s="7">
        <v>254</v>
      </c>
      <c r="K2693" s="7">
        <v>363.22</v>
      </c>
    </row>
    <row r="2694" spans="1:11" ht="18" customHeight="1" x14ac:dyDescent="0.25">
      <c r="A2694" s="7" t="s">
        <v>34</v>
      </c>
      <c r="B2694" s="7">
        <v>2023</v>
      </c>
      <c r="C2694" s="7" t="s">
        <v>70</v>
      </c>
      <c r="D2694" s="7" t="s">
        <v>72</v>
      </c>
      <c r="E2694" s="7" t="s">
        <v>74</v>
      </c>
      <c r="F2694" s="7" t="s">
        <v>75</v>
      </c>
      <c r="G2694" s="7" t="s">
        <v>64</v>
      </c>
      <c r="H2694" s="7" t="s">
        <v>73</v>
      </c>
      <c r="I2694" s="7" t="s">
        <v>76</v>
      </c>
      <c r="J2694" s="7">
        <v>230</v>
      </c>
      <c r="K2694" s="7">
        <v>328.9</v>
      </c>
    </row>
    <row r="2695" spans="1:11" ht="18" customHeight="1" x14ac:dyDescent="0.25">
      <c r="A2695" s="7" t="s">
        <v>34</v>
      </c>
      <c r="B2695" s="7">
        <v>2023</v>
      </c>
      <c r="C2695" s="7" t="s">
        <v>70</v>
      </c>
      <c r="D2695" s="7" t="s">
        <v>72</v>
      </c>
      <c r="E2695" s="7" t="s">
        <v>74</v>
      </c>
      <c r="F2695" s="7" t="s">
        <v>75</v>
      </c>
      <c r="G2695" s="7" t="s">
        <v>64</v>
      </c>
      <c r="H2695" s="7" t="s">
        <v>73</v>
      </c>
      <c r="I2695" s="7" t="s">
        <v>76</v>
      </c>
      <c r="J2695" s="7">
        <v>256</v>
      </c>
      <c r="K2695" s="7">
        <v>366.08</v>
      </c>
    </row>
    <row r="2696" spans="1:11" ht="18" customHeight="1" x14ac:dyDescent="0.25">
      <c r="A2696" s="7" t="s">
        <v>34</v>
      </c>
      <c r="B2696" s="7">
        <v>2023</v>
      </c>
      <c r="C2696" s="7" t="s">
        <v>70</v>
      </c>
      <c r="D2696" s="7" t="s">
        <v>72</v>
      </c>
      <c r="E2696" s="7" t="s">
        <v>74</v>
      </c>
      <c r="F2696" s="7" t="s">
        <v>75</v>
      </c>
      <c r="G2696" s="7" t="s">
        <v>64</v>
      </c>
      <c r="H2696" s="7" t="s">
        <v>73</v>
      </c>
      <c r="I2696" s="7" t="s">
        <v>76</v>
      </c>
      <c r="J2696" s="7">
        <v>796</v>
      </c>
      <c r="K2696" s="7">
        <v>1138.28</v>
      </c>
    </row>
    <row r="2697" spans="1:11" ht="18" customHeight="1" x14ac:dyDescent="0.25">
      <c r="A2697" s="7" t="s">
        <v>19</v>
      </c>
      <c r="B2697" s="7">
        <v>2023</v>
      </c>
      <c r="C2697" s="7" t="s">
        <v>70</v>
      </c>
      <c r="D2697" s="7" t="s">
        <v>72</v>
      </c>
      <c r="E2697" s="7" t="s">
        <v>74</v>
      </c>
      <c r="F2697" s="7" t="s">
        <v>75</v>
      </c>
      <c r="G2697" s="7" t="s">
        <v>64</v>
      </c>
      <c r="H2697" s="7" t="s">
        <v>73</v>
      </c>
      <c r="I2697" s="7" t="s">
        <v>76</v>
      </c>
      <c r="J2697" s="7">
        <v>883</v>
      </c>
      <c r="K2697" s="7">
        <v>1262.69</v>
      </c>
    </row>
    <row r="2698" spans="1:11" ht="18" customHeight="1" x14ac:dyDescent="0.25">
      <c r="A2698" s="7" t="s">
        <v>19</v>
      </c>
      <c r="B2698" s="7">
        <v>2023</v>
      </c>
      <c r="C2698" s="7" t="s">
        <v>70</v>
      </c>
      <c r="D2698" s="7" t="s">
        <v>72</v>
      </c>
      <c r="E2698" s="7" t="s">
        <v>74</v>
      </c>
      <c r="F2698" s="7" t="s">
        <v>75</v>
      </c>
      <c r="G2698" s="7" t="s">
        <v>64</v>
      </c>
      <c r="H2698" s="7" t="s">
        <v>73</v>
      </c>
      <c r="I2698" s="7" t="s">
        <v>76</v>
      </c>
      <c r="J2698" s="7">
        <v>836</v>
      </c>
      <c r="K2698" s="7">
        <v>526.24</v>
      </c>
    </row>
    <row r="2699" spans="1:11" ht="18" customHeight="1" x14ac:dyDescent="0.25">
      <c r="A2699" s="7" t="s">
        <v>34</v>
      </c>
      <c r="B2699" s="7">
        <v>2023</v>
      </c>
      <c r="C2699" s="7" t="s">
        <v>70</v>
      </c>
      <c r="D2699" s="7" t="s">
        <v>72</v>
      </c>
      <c r="E2699" s="7" t="s">
        <v>74</v>
      </c>
      <c r="F2699" s="7" t="s">
        <v>75</v>
      </c>
      <c r="G2699" s="7" t="s">
        <v>64</v>
      </c>
      <c r="H2699" s="7" t="s">
        <v>73</v>
      </c>
      <c r="I2699" s="7" t="s">
        <v>76</v>
      </c>
      <c r="J2699" s="7">
        <v>231</v>
      </c>
      <c r="K2699" s="7">
        <v>330.33</v>
      </c>
    </row>
    <row r="2700" spans="1:11" ht="18" customHeight="1" x14ac:dyDescent="0.25">
      <c r="A2700" s="7" t="s">
        <v>34</v>
      </c>
      <c r="B2700" s="7">
        <v>2023</v>
      </c>
      <c r="C2700" s="7" t="s">
        <v>70</v>
      </c>
      <c r="D2700" s="7" t="s">
        <v>72</v>
      </c>
      <c r="E2700" s="7" t="s">
        <v>74</v>
      </c>
      <c r="F2700" s="7" t="s">
        <v>75</v>
      </c>
      <c r="G2700" s="7" t="s">
        <v>64</v>
      </c>
      <c r="H2700" s="7" t="s">
        <v>73</v>
      </c>
      <c r="I2700" s="7" t="s">
        <v>76</v>
      </c>
      <c r="J2700" s="7">
        <v>229</v>
      </c>
      <c r="K2700" s="7">
        <v>327.47000000000003</v>
      </c>
    </row>
    <row r="2701" spans="1:11" ht="18" customHeight="1" x14ac:dyDescent="0.25">
      <c r="A2701" s="7" t="s">
        <v>34</v>
      </c>
      <c r="B2701" s="7">
        <v>2023</v>
      </c>
      <c r="C2701" s="7" t="s">
        <v>70</v>
      </c>
      <c r="D2701" s="7" t="s">
        <v>72</v>
      </c>
      <c r="E2701" s="7" t="s">
        <v>74</v>
      </c>
      <c r="F2701" s="7" t="s">
        <v>75</v>
      </c>
      <c r="G2701" s="7" t="s">
        <v>64</v>
      </c>
      <c r="H2701" s="7" t="s">
        <v>73</v>
      </c>
      <c r="I2701" s="7" t="s">
        <v>76</v>
      </c>
      <c r="J2701" s="7">
        <v>805</v>
      </c>
      <c r="K2701" s="7">
        <v>1151.1500000000001</v>
      </c>
    </row>
    <row r="2702" spans="1:11" ht="18" customHeight="1" x14ac:dyDescent="0.25">
      <c r="A2702" s="7" t="s">
        <v>34</v>
      </c>
      <c r="B2702" s="7">
        <v>2023</v>
      </c>
      <c r="C2702" s="7" t="s">
        <v>70</v>
      </c>
      <c r="D2702" s="7" t="s">
        <v>72</v>
      </c>
      <c r="E2702" s="7" t="s">
        <v>74</v>
      </c>
      <c r="F2702" s="7" t="s">
        <v>75</v>
      </c>
      <c r="G2702" s="7" t="s">
        <v>64</v>
      </c>
      <c r="H2702" s="7" t="s">
        <v>73</v>
      </c>
      <c r="I2702" s="7" t="s">
        <v>76</v>
      </c>
      <c r="J2702" s="7">
        <v>227</v>
      </c>
      <c r="K2702" s="7">
        <v>324.61</v>
      </c>
    </row>
    <row r="2703" spans="1:11" ht="18" customHeight="1" x14ac:dyDescent="0.25">
      <c r="A2703" s="7" t="s">
        <v>42</v>
      </c>
      <c r="B2703" s="7">
        <v>2023</v>
      </c>
      <c r="C2703" s="7" t="s">
        <v>69</v>
      </c>
      <c r="D2703" s="7" t="s">
        <v>72</v>
      </c>
      <c r="E2703" s="7" t="s">
        <v>74</v>
      </c>
      <c r="F2703" s="7" t="s">
        <v>75</v>
      </c>
      <c r="G2703" s="7" t="s">
        <v>64</v>
      </c>
      <c r="H2703" s="7" t="s">
        <v>73</v>
      </c>
      <c r="I2703" s="7" t="s">
        <v>76</v>
      </c>
      <c r="J2703" s="7">
        <v>260</v>
      </c>
      <c r="K2703" s="7">
        <v>371.8</v>
      </c>
    </row>
    <row r="2704" spans="1:11" ht="18" customHeight="1" x14ac:dyDescent="0.25">
      <c r="A2704" s="7" t="s">
        <v>19</v>
      </c>
      <c r="B2704" s="7">
        <v>2023</v>
      </c>
      <c r="C2704" s="7" t="s">
        <v>69</v>
      </c>
      <c r="D2704" s="7" t="s">
        <v>72</v>
      </c>
      <c r="E2704" s="7" t="s">
        <v>74</v>
      </c>
      <c r="F2704" s="7" t="s">
        <v>75</v>
      </c>
      <c r="G2704" s="7" t="s">
        <v>64</v>
      </c>
      <c r="H2704" s="7" t="s">
        <v>73</v>
      </c>
      <c r="I2704" s="7" t="s">
        <v>76</v>
      </c>
      <c r="J2704" s="7">
        <v>236</v>
      </c>
      <c r="K2704" s="7">
        <v>337.48</v>
      </c>
    </row>
    <row r="2705" spans="1:11" ht="18" customHeight="1" x14ac:dyDescent="0.25">
      <c r="A2705" s="7" t="s">
        <v>34</v>
      </c>
      <c r="B2705" s="7">
        <v>2023</v>
      </c>
      <c r="C2705" s="7" t="s">
        <v>69</v>
      </c>
      <c r="D2705" s="7" t="s">
        <v>72</v>
      </c>
      <c r="E2705" s="7" t="s">
        <v>74</v>
      </c>
      <c r="F2705" s="7" t="s">
        <v>75</v>
      </c>
      <c r="G2705" s="7" t="s">
        <v>64</v>
      </c>
      <c r="H2705" s="7" t="s">
        <v>73</v>
      </c>
      <c r="I2705" s="7" t="s">
        <v>76</v>
      </c>
      <c r="J2705" s="7">
        <v>262</v>
      </c>
      <c r="K2705" s="7">
        <v>374.65999999999997</v>
      </c>
    </row>
    <row r="2706" spans="1:11" ht="18" customHeight="1" x14ac:dyDescent="0.25">
      <c r="A2706" s="7" t="s">
        <v>61</v>
      </c>
      <c r="B2706" s="7">
        <v>2023</v>
      </c>
      <c r="C2706" s="7" t="s">
        <v>69</v>
      </c>
      <c r="D2706" s="7" t="s">
        <v>72</v>
      </c>
      <c r="E2706" s="7" t="s">
        <v>74</v>
      </c>
      <c r="F2706" s="7" t="s">
        <v>75</v>
      </c>
      <c r="G2706" s="7" t="s">
        <v>64</v>
      </c>
      <c r="H2706" s="7" t="s">
        <v>73</v>
      </c>
      <c r="I2706" s="7" t="s">
        <v>76</v>
      </c>
      <c r="J2706" s="7">
        <v>232</v>
      </c>
      <c r="K2706" s="7">
        <v>331.76</v>
      </c>
    </row>
    <row r="2707" spans="1:11" ht="18" customHeight="1" x14ac:dyDescent="0.25">
      <c r="A2707" s="7" t="s">
        <v>19</v>
      </c>
      <c r="B2707" s="7">
        <v>2023</v>
      </c>
      <c r="C2707" s="7" t="s">
        <v>69</v>
      </c>
      <c r="D2707" s="7" t="s">
        <v>72</v>
      </c>
      <c r="E2707" s="7" t="s">
        <v>74</v>
      </c>
      <c r="F2707" s="7" t="s">
        <v>75</v>
      </c>
      <c r="G2707" s="7" t="s">
        <v>64</v>
      </c>
      <c r="H2707" s="7" t="s">
        <v>73</v>
      </c>
      <c r="I2707" s="7" t="s">
        <v>76</v>
      </c>
      <c r="J2707" s="7">
        <v>795</v>
      </c>
      <c r="K2707" s="7">
        <v>1136.8499999999999</v>
      </c>
    </row>
    <row r="2708" spans="1:11" ht="18" customHeight="1" x14ac:dyDescent="0.25">
      <c r="A2708" s="7" t="s">
        <v>34</v>
      </c>
      <c r="B2708" s="7">
        <v>2023</v>
      </c>
      <c r="C2708" s="7" t="s">
        <v>69</v>
      </c>
      <c r="D2708" s="7" t="s">
        <v>72</v>
      </c>
      <c r="E2708" s="7" t="s">
        <v>74</v>
      </c>
      <c r="F2708" s="7" t="s">
        <v>75</v>
      </c>
      <c r="G2708" s="7" t="s">
        <v>64</v>
      </c>
      <c r="H2708" s="7" t="s">
        <v>73</v>
      </c>
      <c r="I2708" s="7" t="s">
        <v>76</v>
      </c>
      <c r="J2708" s="7">
        <v>882</v>
      </c>
      <c r="K2708" s="7">
        <v>1261.26</v>
      </c>
    </row>
    <row r="2709" spans="1:11" ht="18" customHeight="1" x14ac:dyDescent="0.25">
      <c r="A2709" s="7" t="s">
        <v>34</v>
      </c>
      <c r="B2709" s="7">
        <v>2023</v>
      </c>
      <c r="C2709" s="7" t="s">
        <v>69</v>
      </c>
      <c r="D2709" s="7" t="s">
        <v>72</v>
      </c>
      <c r="E2709" s="7" t="s">
        <v>74</v>
      </c>
      <c r="F2709" s="7" t="s">
        <v>75</v>
      </c>
      <c r="G2709" s="7" t="s">
        <v>64</v>
      </c>
      <c r="H2709" s="7" t="s">
        <v>73</v>
      </c>
      <c r="I2709" s="7" t="s">
        <v>76</v>
      </c>
      <c r="J2709" s="7">
        <v>835</v>
      </c>
      <c r="K2709" s="7">
        <v>526.24</v>
      </c>
    </row>
    <row r="2710" spans="1:11" ht="18" customHeight="1" x14ac:dyDescent="0.25">
      <c r="A2710" s="7" t="s">
        <v>19</v>
      </c>
      <c r="B2710" s="7">
        <v>2023</v>
      </c>
      <c r="C2710" s="7" t="s">
        <v>69</v>
      </c>
      <c r="D2710" s="7" t="s">
        <v>72</v>
      </c>
      <c r="E2710" s="7" t="s">
        <v>74</v>
      </c>
      <c r="F2710" s="7" t="s">
        <v>75</v>
      </c>
      <c r="G2710" s="7" t="s">
        <v>64</v>
      </c>
      <c r="H2710" s="7" t="s">
        <v>73</v>
      </c>
      <c r="I2710" s="7" t="s">
        <v>76</v>
      </c>
      <c r="J2710" s="7">
        <v>237</v>
      </c>
      <c r="K2710" s="7">
        <v>338.90999999999997</v>
      </c>
    </row>
    <row r="2711" spans="1:11" ht="18" customHeight="1" x14ac:dyDescent="0.25">
      <c r="A2711" s="7" t="s">
        <v>61</v>
      </c>
      <c r="B2711" s="7">
        <v>2023</v>
      </c>
      <c r="C2711" s="7" t="s">
        <v>69</v>
      </c>
      <c r="D2711" s="7" t="s">
        <v>72</v>
      </c>
      <c r="E2711" s="7" t="s">
        <v>74</v>
      </c>
      <c r="F2711" s="7" t="s">
        <v>75</v>
      </c>
      <c r="G2711" s="7" t="s">
        <v>64</v>
      </c>
      <c r="H2711" s="7" t="s">
        <v>73</v>
      </c>
      <c r="I2711" s="7" t="s">
        <v>76</v>
      </c>
      <c r="J2711" s="7">
        <v>259</v>
      </c>
      <c r="K2711" s="7">
        <v>370.37</v>
      </c>
    </row>
    <row r="2712" spans="1:11" ht="18" customHeight="1" x14ac:dyDescent="0.25">
      <c r="A2712" s="7" t="s">
        <v>34</v>
      </c>
      <c r="B2712" s="7">
        <v>2023</v>
      </c>
      <c r="C2712" s="7" t="s">
        <v>69</v>
      </c>
      <c r="D2712" s="7" t="s">
        <v>72</v>
      </c>
      <c r="E2712" s="7" t="s">
        <v>74</v>
      </c>
      <c r="F2712" s="7" t="s">
        <v>75</v>
      </c>
      <c r="G2712" s="7" t="s">
        <v>64</v>
      </c>
      <c r="H2712" s="7" t="s">
        <v>73</v>
      </c>
      <c r="I2712" s="7" t="s">
        <v>76</v>
      </c>
      <c r="J2712" s="7">
        <v>235</v>
      </c>
      <c r="K2712" s="7">
        <v>336.05</v>
      </c>
    </row>
    <row r="2713" spans="1:11" ht="18" customHeight="1" x14ac:dyDescent="0.25">
      <c r="A2713" s="7" t="s">
        <v>19</v>
      </c>
      <c r="B2713" s="7">
        <v>2023</v>
      </c>
      <c r="C2713" s="7" t="s">
        <v>69</v>
      </c>
      <c r="D2713" s="7" t="s">
        <v>72</v>
      </c>
      <c r="E2713" s="7" t="s">
        <v>74</v>
      </c>
      <c r="F2713" s="7" t="s">
        <v>75</v>
      </c>
      <c r="G2713" s="7" t="s">
        <v>64</v>
      </c>
      <c r="H2713" s="7" t="s">
        <v>73</v>
      </c>
      <c r="I2713" s="7" t="s">
        <v>76</v>
      </c>
      <c r="J2713" s="7">
        <v>804</v>
      </c>
      <c r="K2713" s="7">
        <v>1149.72</v>
      </c>
    </row>
    <row r="2714" spans="1:11" ht="18" customHeight="1" x14ac:dyDescent="0.25">
      <c r="A2714" s="7" t="s">
        <v>42</v>
      </c>
      <c r="B2714" s="7">
        <v>2023</v>
      </c>
      <c r="C2714" s="7" t="s">
        <v>69</v>
      </c>
      <c r="D2714" s="7" t="s">
        <v>72</v>
      </c>
      <c r="E2714" s="7" t="s">
        <v>74</v>
      </c>
      <c r="F2714" s="7" t="s">
        <v>75</v>
      </c>
      <c r="G2714" s="7" t="s">
        <v>64</v>
      </c>
      <c r="H2714" s="7" t="s">
        <v>73</v>
      </c>
      <c r="I2714" s="7" t="s">
        <v>76</v>
      </c>
      <c r="J2714" s="7">
        <v>233</v>
      </c>
      <c r="K2714" s="7">
        <v>333.19</v>
      </c>
    </row>
    <row r="2715" spans="1:11" ht="18" customHeight="1" x14ac:dyDescent="0.25">
      <c r="A2715" s="7" t="s">
        <v>34</v>
      </c>
      <c r="B2715" s="7">
        <v>2024</v>
      </c>
      <c r="C2715" s="7" t="s">
        <v>20</v>
      </c>
      <c r="D2715" s="7" t="s">
        <v>21</v>
      </c>
      <c r="E2715" s="7" t="s">
        <v>22</v>
      </c>
      <c r="F2715" s="7" t="s">
        <v>23</v>
      </c>
      <c r="G2715" s="7" t="s">
        <v>24</v>
      </c>
      <c r="H2715" s="7" t="s">
        <v>25</v>
      </c>
      <c r="I2715" s="7" t="s">
        <v>35</v>
      </c>
      <c r="J2715" s="7">
        <v>302</v>
      </c>
      <c r="K2715" s="7">
        <v>462.06</v>
      </c>
    </row>
    <row r="2716" spans="1:11" ht="18" customHeight="1" x14ac:dyDescent="0.25">
      <c r="A2716" s="7" t="s">
        <v>19</v>
      </c>
      <c r="B2716" s="7">
        <v>2024</v>
      </c>
      <c r="C2716" s="7" t="s">
        <v>20</v>
      </c>
      <c r="D2716" s="7" t="s">
        <v>21</v>
      </c>
      <c r="E2716" s="7" t="s">
        <v>22</v>
      </c>
      <c r="F2716" s="7" t="s">
        <v>23</v>
      </c>
      <c r="G2716" s="7" t="s">
        <v>24</v>
      </c>
      <c r="H2716" s="7" t="s">
        <v>25</v>
      </c>
      <c r="I2716" s="7" t="s">
        <v>35</v>
      </c>
      <c r="J2716" s="7">
        <v>272</v>
      </c>
      <c r="K2716" s="7">
        <v>388.96</v>
      </c>
    </row>
    <row r="2717" spans="1:11" ht="18" customHeight="1" x14ac:dyDescent="0.25">
      <c r="A2717" s="7" t="s">
        <v>34</v>
      </c>
      <c r="B2717" s="7">
        <v>2024</v>
      </c>
      <c r="C2717" s="7" t="s">
        <v>20</v>
      </c>
      <c r="D2717" s="7" t="s">
        <v>21</v>
      </c>
      <c r="E2717" s="7" t="s">
        <v>22</v>
      </c>
      <c r="F2717" s="7" t="s">
        <v>23</v>
      </c>
      <c r="G2717" s="7" t="s">
        <v>24</v>
      </c>
      <c r="H2717" s="7" t="s">
        <v>25</v>
      </c>
      <c r="I2717" s="7" t="s">
        <v>35</v>
      </c>
      <c r="J2717" s="7">
        <v>298</v>
      </c>
      <c r="K2717" s="7">
        <v>426.14</v>
      </c>
    </row>
    <row r="2718" spans="1:11" ht="18" customHeight="1" x14ac:dyDescent="0.25">
      <c r="A2718" s="7" t="s">
        <v>34</v>
      </c>
      <c r="B2718" s="7">
        <v>2024</v>
      </c>
      <c r="C2718" s="7" t="s">
        <v>20</v>
      </c>
      <c r="D2718" s="7" t="s">
        <v>21</v>
      </c>
      <c r="E2718" s="7" t="s">
        <v>22</v>
      </c>
      <c r="F2718" s="7" t="s">
        <v>23</v>
      </c>
      <c r="G2718" s="7" t="s">
        <v>24</v>
      </c>
      <c r="H2718" s="7" t="s">
        <v>25</v>
      </c>
      <c r="I2718" s="7" t="s">
        <v>35</v>
      </c>
      <c r="J2718" s="7">
        <v>274</v>
      </c>
      <c r="K2718" s="7">
        <v>391.82</v>
      </c>
    </row>
    <row r="2719" spans="1:11" ht="18" customHeight="1" x14ac:dyDescent="0.25">
      <c r="A2719" s="7" t="s">
        <v>19</v>
      </c>
      <c r="B2719" s="7">
        <v>2024</v>
      </c>
      <c r="C2719" s="7" t="s">
        <v>20</v>
      </c>
      <c r="D2719" s="7" t="s">
        <v>21</v>
      </c>
      <c r="E2719" s="7" t="s">
        <v>22</v>
      </c>
      <c r="F2719" s="7" t="s">
        <v>23</v>
      </c>
      <c r="G2719" s="7" t="s">
        <v>24</v>
      </c>
      <c r="H2719" s="7" t="s">
        <v>25</v>
      </c>
      <c r="I2719" s="7" t="s">
        <v>35</v>
      </c>
      <c r="J2719" s="7">
        <v>666</v>
      </c>
      <c r="K2719" s="7">
        <v>952.38</v>
      </c>
    </row>
    <row r="2720" spans="1:11" ht="18" customHeight="1" x14ac:dyDescent="0.25">
      <c r="A2720" s="7" t="s">
        <v>42</v>
      </c>
      <c r="B2720" s="7">
        <v>2024</v>
      </c>
      <c r="C2720" s="7" t="s">
        <v>20</v>
      </c>
      <c r="D2720" s="7" t="s">
        <v>21</v>
      </c>
      <c r="E2720" s="7" t="s">
        <v>22</v>
      </c>
      <c r="F2720" s="7" t="s">
        <v>23</v>
      </c>
      <c r="G2720" s="7" t="s">
        <v>24</v>
      </c>
      <c r="H2720" s="7" t="s">
        <v>25</v>
      </c>
      <c r="I2720" s="7" t="s">
        <v>35</v>
      </c>
      <c r="J2720" s="7">
        <v>753</v>
      </c>
      <c r="K2720" s="7">
        <v>1076.79</v>
      </c>
    </row>
    <row r="2721" spans="1:11" ht="18" customHeight="1" x14ac:dyDescent="0.25">
      <c r="A2721" s="7" t="s">
        <v>42</v>
      </c>
      <c r="B2721" s="7">
        <v>2024</v>
      </c>
      <c r="C2721" s="7" t="s">
        <v>20</v>
      </c>
      <c r="D2721" s="7" t="s">
        <v>21</v>
      </c>
      <c r="E2721" s="7" t="s">
        <v>22</v>
      </c>
      <c r="F2721" s="7" t="s">
        <v>23</v>
      </c>
      <c r="G2721" s="7" t="s">
        <v>24</v>
      </c>
      <c r="H2721" s="7" t="s">
        <v>25</v>
      </c>
      <c r="I2721" s="7" t="s">
        <v>35</v>
      </c>
      <c r="J2721" s="7">
        <v>297</v>
      </c>
      <c r="K2721" s="7">
        <v>424.71</v>
      </c>
    </row>
    <row r="2722" spans="1:11" ht="18" customHeight="1" x14ac:dyDescent="0.25">
      <c r="A2722" s="7" t="s">
        <v>19</v>
      </c>
      <c r="B2722" s="7">
        <v>2024</v>
      </c>
      <c r="C2722" s="7" t="s">
        <v>20</v>
      </c>
      <c r="D2722" s="7" t="s">
        <v>21</v>
      </c>
      <c r="E2722" s="7" t="s">
        <v>22</v>
      </c>
      <c r="F2722" s="7" t="s">
        <v>23</v>
      </c>
      <c r="G2722" s="7" t="s">
        <v>24</v>
      </c>
      <c r="H2722" s="7" t="s">
        <v>25</v>
      </c>
      <c r="I2722" s="7" t="s">
        <v>35</v>
      </c>
      <c r="J2722" s="7">
        <v>792</v>
      </c>
      <c r="K2722" s="7">
        <v>526.24</v>
      </c>
    </row>
    <row r="2723" spans="1:11" ht="18" customHeight="1" x14ac:dyDescent="0.25">
      <c r="A2723" s="7" t="s">
        <v>34</v>
      </c>
      <c r="B2723" s="7">
        <v>2024</v>
      </c>
      <c r="C2723" s="7" t="s">
        <v>20</v>
      </c>
      <c r="D2723" s="7" t="s">
        <v>21</v>
      </c>
      <c r="E2723" s="7" t="s">
        <v>22</v>
      </c>
      <c r="F2723" s="7" t="s">
        <v>23</v>
      </c>
      <c r="G2723" s="7" t="s">
        <v>24</v>
      </c>
      <c r="H2723" s="7" t="s">
        <v>25</v>
      </c>
      <c r="I2723" s="7" t="s">
        <v>35</v>
      </c>
      <c r="J2723" s="7">
        <v>301</v>
      </c>
      <c r="K2723" s="7">
        <v>430.43</v>
      </c>
    </row>
    <row r="2724" spans="1:11" ht="18" customHeight="1" x14ac:dyDescent="0.25">
      <c r="A2724" s="7" t="s">
        <v>34</v>
      </c>
      <c r="B2724" s="7">
        <v>2024</v>
      </c>
      <c r="C2724" s="7" t="s">
        <v>20</v>
      </c>
      <c r="D2724" s="7" t="s">
        <v>21</v>
      </c>
      <c r="E2724" s="7" t="s">
        <v>22</v>
      </c>
      <c r="F2724" s="7" t="s">
        <v>23</v>
      </c>
      <c r="G2724" s="7" t="s">
        <v>24</v>
      </c>
      <c r="H2724" s="7" t="s">
        <v>25</v>
      </c>
      <c r="I2724" s="7" t="s">
        <v>35</v>
      </c>
      <c r="J2724" s="7">
        <v>271</v>
      </c>
      <c r="K2724" s="7">
        <v>387.53</v>
      </c>
    </row>
    <row r="2725" spans="1:11" ht="18" customHeight="1" x14ac:dyDescent="0.25">
      <c r="A2725" s="7" t="s">
        <v>19</v>
      </c>
      <c r="B2725" s="7">
        <v>2024</v>
      </c>
      <c r="C2725" s="7" t="s">
        <v>20</v>
      </c>
      <c r="D2725" s="7" t="s">
        <v>21</v>
      </c>
      <c r="E2725" s="7" t="s">
        <v>22</v>
      </c>
      <c r="F2725" s="7" t="s">
        <v>23</v>
      </c>
      <c r="G2725" s="7" t="s">
        <v>24</v>
      </c>
      <c r="H2725" s="7" t="s">
        <v>25</v>
      </c>
      <c r="I2725" s="7" t="s">
        <v>35</v>
      </c>
      <c r="J2725" s="7">
        <v>299</v>
      </c>
      <c r="K2725" s="7">
        <v>427.57</v>
      </c>
    </row>
    <row r="2726" spans="1:11" ht="18" customHeight="1" x14ac:dyDescent="0.25">
      <c r="A2726" s="7" t="s">
        <v>34</v>
      </c>
      <c r="B2726" s="7">
        <v>2024</v>
      </c>
      <c r="C2726" s="7" t="s">
        <v>20</v>
      </c>
      <c r="D2726" s="7" t="s">
        <v>21</v>
      </c>
      <c r="E2726" s="7" t="s">
        <v>22</v>
      </c>
      <c r="F2726" s="7" t="s">
        <v>23</v>
      </c>
      <c r="G2726" s="7" t="s">
        <v>24</v>
      </c>
      <c r="H2726" s="7" t="s">
        <v>25</v>
      </c>
      <c r="I2726" s="7" t="s">
        <v>35</v>
      </c>
      <c r="J2726" s="7">
        <v>761</v>
      </c>
      <c r="K2726" s="7">
        <v>1088.23</v>
      </c>
    </row>
    <row r="2727" spans="1:11" ht="18" customHeight="1" x14ac:dyDescent="0.25">
      <c r="A2727" s="7" t="s">
        <v>19</v>
      </c>
      <c r="B2727" s="7">
        <v>2024</v>
      </c>
      <c r="C2727" s="7" t="s">
        <v>60</v>
      </c>
      <c r="D2727" s="7" t="s">
        <v>21</v>
      </c>
      <c r="E2727" s="7" t="s">
        <v>22</v>
      </c>
      <c r="F2727" s="7" t="s">
        <v>23</v>
      </c>
      <c r="G2727" s="7" t="s">
        <v>24</v>
      </c>
      <c r="H2727" s="7" t="s">
        <v>25</v>
      </c>
      <c r="I2727" s="7" t="s">
        <v>35</v>
      </c>
      <c r="J2727" s="7">
        <v>278</v>
      </c>
      <c r="K2727" s="7">
        <v>425.34000000000003</v>
      </c>
    </row>
    <row r="2728" spans="1:11" ht="18" customHeight="1" x14ac:dyDescent="0.25">
      <c r="A2728" s="7" t="s">
        <v>34</v>
      </c>
      <c r="B2728" s="7">
        <v>2024</v>
      </c>
      <c r="C2728" s="7" t="s">
        <v>60</v>
      </c>
      <c r="D2728" s="7" t="s">
        <v>21</v>
      </c>
      <c r="E2728" s="7" t="s">
        <v>22</v>
      </c>
      <c r="F2728" s="7" t="s">
        <v>23</v>
      </c>
      <c r="G2728" s="7" t="s">
        <v>24</v>
      </c>
      <c r="H2728" s="7" t="s">
        <v>25</v>
      </c>
      <c r="I2728" s="7" t="s">
        <v>35</v>
      </c>
      <c r="J2728" s="7">
        <v>280</v>
      </c>
      <c r="K2728" s="7">
        <v>400.4</v>
      </c>
    </row>
    <row r="2729" spans="1:11" ht="18" customHeight="1" x14ac:dyDescent="0.25">
      <c r="A2729" s="7" t="s">
        <v>19</v>
      </c>
      <c r="B2729" s="7">
        <v>2024</v>
      </c>
      <c r="C2729" s="7" t="s">
        <v>60</v>
      </c>
      <c r="D2729" s="7" t="s">
        <v>21</v>
      </c>
      <c r="E2729" s="7" t="s">
        <v>22</v>
      </c>
      <c r="F2729" s="7" t="s">
        <v>23</v>
      </c>
      <c r="G2729" s="7" t="s">
        <v>24</v>
      </c>
      <c r="H2729" s="7" t="s">
        <v>25</v>
      </c>
      <c r="I2729" s="7" t="s">
        <v>35</v>
      </c>
      <c r="J2729" s="7">
        <v>250</v>
      </c>
      <c r="K2729" s="7">
        <v>357.5</v>
      </c>
    </row>
    <row r="2730" spans="1:11" ht="18" customHeight="1" x14ac:dyDescent="0.25">
      <c r="A2730" s="7" t="s">
        <v>34</v>
      </c>
      <c r="B2730" s="7">
        <v>2024</v>
      </c>
      <c r="C2730" s="7" t="s">
        <v>60</v>
      </c>
      <c r="D2730" s="7" t="s">
        <v>21</v>
      </c>
      <c r="E2730" s="7" t="s">
        <v>22</v>
      </c>
      <c r="F2730" s="7" t="s">
        <v>23</v>
      </c>
      <c r="G2730" s="7" t="s">
        <v>24</v>
      </c>
      <c r="H2730" s="7" t="s">
        <v>25</v>
      </c>
      <c r="I2730" s="7" t="s">
        <v>35</v>
      </c>
      <c r="J2730" s="7">
        <v>670</v>
      </c>
      <c r="K2730" s="7">
        <v>958.1</v>
      </c>
    </row>
    <row r="2731" spans="1:11" ht="18" customHeight="1" x14ac:dyDescent="0.25">
      <c r="A2731" s="7" t="s">
        <v>19</v>
      </c>
      <c r="B2731" s="7">
        <v>2024</v>
      </c>
      <c r="C2731" s="7" t="s">
        <v>60</v>
      </c>
      <c r="D2731" s="7" t="s">
        <v>21</v>
      </c>
      <c r="E2731" s="7" t="s">
        <v>22</v>
      </c>
      <c r="F2731" s="7" t="s">
        <v>23</v>
      </c>
      <c r="G2731" s="7" t="s">
        <v>24</v>
      </c>
      <c r="H2731" s="7" t="s">
        <v>25</v>
      </c>
      <c r="I2731" s="7" t="s">
        <v>35</v>
      </c>
      <c r="J2731" s="7">
        <v>756</v>
      </c>
      <c r="K2731" s="7">
        <v>1081.08</v>
      </c>
    </row>
    <row r="2732" spans="1:11" ht="18" customHeight="1" x14ac:dyDescent="0.25">
      <c r="A2732" s="7" t="s">
        <v>19</v>
      </c>
      <c r="B2732" s="7">
        <v>2024</v>
      </c>
      <c r="C2732" s="7" t="s">
        <v>60</v>
      </c>
      <c r="D2732" s="7" t="s">
        <v>21</v>
      </c>
      <c r="E2732" s="7" t="s">
        <v>22</v>
      </c>
      <c r="F2732" s="7" t="s">
        <v>23</v>
      </c>
      <c r="G2732" s="7" t="s">
        <v>24</v>
      </c>
      <c r="H2732" s="7" t="s">
        <v>25</v>
      </c>
      <c r="I2732" s="7" t="s">
        <v>35</v>
      </c>
      <c r="J2732" s="7">
        <v>279</v>
      </c>
      <c r="K2732" s="7">
        <v>398.97</v>
      </c>
    </row>
    <row r="2733" spans="1:11" ht="18" customHeight="1" x14ac:dyDescent="0.25">
      <c r="A2733" s="7" t="s">
        <v>34</v>
      </c>
      <c r="B2733" s="7">
        <v>2024</v>
      </c>
      <c r="C2733" s="7" t="s">
        <v>60</v>
      </c>
      <c r="D2733" s="7" t="s">
        <v>21</v>
      </c>
      <c r="E2733" s="7" t="s">
        <v>22</v>
      </c>
      <c r="F2733" s="7" t="s">
        <v>23</v>
      </c>
      <c r="G2733" s="7" t="s">
        <v>24</v>
      </c>
      <c r="H2733" s="7" t="s">
        <v>25</v>
      </c>
      <c r="I2733" s="7" t="s">
        <v>35</v>
      </c>
      <c r="J2733" s="7">
        <v>796</v>
      </c>
      <c r="K2733" s="7">
        <v>526.24</v>
      </c>
    </row>
    <row r="2734" spans="1:11" ht="18" customHeight="1" x14ac:dyDescent="0.25">
      <c r="A2734" s="7" t="s">
        <v>19</v>
      </c>
      <c r="B2734" s="7">
        <v>2024</v>
      </c>
      <c r="C2734" s="7" t="s">
        <v>60</v>
      </c>
      <c r="D2734" s="7" t="s">
        <v>21</v>
      </c>
      <c r="E2734" s="7" t="s">
        <v>22</v>
      </c>
      <c r="F2734" s="7" t="s">
        <v>23</v>
      </c>
      <c r="G2734" s="7" t="s">
        <v>24</v>
      </c>
      <c r="H2734" s="7" t="s">
        <v>25</v>
      </c>
      <c r="I2734" s="7" t="s">
        <v>35</v>
      </c>
      <c r="J2734" s="7">
        <v>277</v>
      </c>
      <c r="K2734" s="7">
        <v>396.11</v>
      </c>
    </row>
    <row r="2735" spans="1:11" ht="18" customHeight="1" x14ac:dyDescent="0.25">
      <c r="A2735" s="7" t="s">
        <v>34</v>
      </c>
      <c r="B2735" s="7">
        <v>2024</v>
      </c>
      <c r="C2735" s="7" t="s">
        <v>60</v>
      </c>
      <c r="D2735" s="7" t="s">
        <v>21</v>
      </c>
      <c r="E2735" s="7" t="s">
        <v>22</v>
      </c>
      <c r="F2735" s="7" t="s">
        <v>23</v>
      </c>
      <c r="G2735" s="7" t="s">
        <v>24</v>
      </c>
      <c r="H2735" s="7" t="s">
        <v>25</v>
      </c>
      <c r="I2735" s="7" t="s">
        <v>35</v>
      </c>
      <c r="J2735" s="7">
        <v>253</v>
      </c>
      <c r="K2735" s="7">
        <v>361.78999999999996</v>
      </c>
    </row>
    <row r="2736" spans="1:11" ht="18" customHeight="1" x14ac:dyDescent="0.25">
      <c r="A2736" s="7" t="s">
        <v>19</v>
      </c>
      <c r="B2736" s="7">
        <v>2024</v>
      </c>
      <c r="C2736" s="7" t="s">
        <v>60</v>
      </c>
      <c r="D2736" s="7" t="s">
        <v>21</v>
      </c>
      <c r="E2736" s="7" t="s">
        <v>22</v>
      </c>
      <c r="F2736" s="7" t="s">
        <v>23</v>
      </c>
      <c r="G2736" s="7" t="s">
        <v>24</v>
      </c>
      <c r="H2736" s="7" t="s">
        <v>25</v>
      </c>
      <c r="I2736" s="7" t="s">
        <v>35</v>
      </c>
      <c r="J2736" s="7">
        <v>765</v>
      </c>
      <c r="K2736" s="7">
        <v>1093.95</v>
      </c>
    </row>
    <row r="2737" spans="1:11" ht="18" customHeight="1" x14ac:dyDescent="0.25">
      <c r="A2737" s="7" t="s">
        <v>19</v>
      </c>
      <c r="B2737" s="7">
        <v>2024</v>
      </c>
      <c r="C2737" s="7" t="s">
        <v>65</v>
      </c>
      <c r="D2737" s="7" t="s">
        <v>21</v>
      </c>
      <c r="E2737" s="7" t="s">
        <v>22</v>
      </c>
      <c r="F2737" s="7" t="s">
        <v>23</v>
      </c>
      <c r="G2737" s="7" t="s">
        <v>24</v>
      </c>
      <c r="H2737" s="7" t="s">
        <v>25</v>
      </c>
      <c r="I2737" s="7" t="s">
        <v>35</v>
      </c>
      <c r="J2737" s="7">
        <v>230</v>
      </c>
      <c r="K2737" s="7">
        <v>328.9</v>
      </c>
    </row>
    <row r="2738" spans="1:11" ht="18" customHeight="1" x14ac:dyDescent="0.25">
      <c r="A2738" s="7" t="s">
        <v>34</v>
      </c>
      <c r="B2738" s="7">
        <v>2024</v>
      </c>
      <c r="C2738" s="7" t="s">
        <v>65</v>
      </c>
      <c r="D2738" s="7" t="s">
        <v>21</v>
      </c>
      <c r="E2738" s="7" t="s">
        <v>22</v>
      </c>
      <c r="F2738" s="7" t="s">
        <v>23</v>
      </c>
      <c r="G2738" s="7" t="s">
        <v>24</v>
      </c>
      <c r="H2738" s="7" t="s">
        <v>25</v>
      </c>
      <c r="I2738" s="7" t="s">
        <v>35</v>
      </c>
      <c r="J2738" s="7">
        <v>256</v>
      </c>
      <c r="K2738" s="7">
        <v>366.08</v>
      </c>
    </row>
    <row r="2739" spans="1:11" ht="18" customHeight="1" x14ac:dyDescent="0.25">
      <c r="A2739" s="7" t="s">
        <v>53</v>
      </c>
      <c r="B2739" s="7">
        <v>2024</v>
      </c>
      <c r="C2739" s="7" t="s">
        <v>65</v>
      </c>
      <c r="D2739" s="7" t="s">
        <v>21</v>
      </c>
      <c r="E2739" s="7" t="s">
        <v>22</v>
      </c>
      <c r="F2739" s="7" t="s">
        <v>23</v>
      </c>
      <c r="G2739" s="7" t="s">
        <v>24</v>
      </c>
      <c r="H2739" s="7" t="s">
        <v>25</v>
      </c>
      <c r="I2739" s="7" t="s">
        <v>35</v>
      </c>
      <c r="J2739" s="7">
        <v>232</v>
      </c>
      <c r="K2739" s="7">
        <v>331.76</v>
      </c>
    </row>
    <row r="2740" spans="1:11" ht="18" customHeight="1" x14ac:dyDescent="0.25">
      <c r="A2740" s="7" t="s">
        <v>42</v>
      </c>
      <c r="B2740" s="7">
        <v>2024</v>
      </c>
      <c r="C2740" s="7" t="s">
        <v>65</v>
      </c>
      <c r="D2740" s="7" t="s">
        <v>21</v>
      </c>
      <c r="E2740" s="7" t="s">
        <v>22</v>
      </c>
      <c r="F2740" s="7" t="s">
        <v>23</v>
      </c>
      <c r="G2740" s="7" t="s">
        <v>24</v>
      </c>
      <c r="H2740" s="7" t="s">
        <v>25</v>
      </c>
      <c r="I2740" s="7" t="s">
        <v>35</v>
      </c>
      <c r="J2740" s="7">
        <v>673</v>
      </c>
      <c r="K2740" s="7">
        <v>962.39</v>
      </c>
    </row>
    <row r="2741" spans="1:11" ht="18" customHeight="1" x14ac:dyDescent="0.25">
      <c r="A2741" s="7" t="s">
        <v>34</v>
      </c>
      <c r="B2741" s="7">
        <v>2024</v>
      </c>
      <c r="C2741" s="7" t="s">
        <v>65</v>
      </c>
      <c r="D2741" s="7" t="s">
        <v>21</v>
      </c>
      <c r="E2741" s="7" t="s">
        <v>22</v>
      </c>
      <c r="F2741" s="7" t="s">
        <v>23</v>
      </c>
      <c r="G2741" s="7" t="s">
        <v>24</v>
      </c>
      <c r="H2741" s="7" t="s">
        <v>25</v>
      </c>
      <c r="I2741" s="7" t="s">
        <v>35</v>
      </c>
      <c r="J2741" s="7">
        <v>760</v>
      </c>
      <c r="K2741" s="7">
        <v>1086.8</v>
      </c>
    </row>
    <row r="2742" spans="1:11" ht="18" customHeight="1" x14ac:dyDescent="0.25">
      <c r="A2742" s="7" t="s">
        <v>34</v>
      </c>
      <c r="B2742" s="7">
        <v>2024</v>
      </c>
      <c r="C2742" s="7" t="s">
        <v>65</v>
      </c>
      <c r="D2742" s="7" t="s">
        <v>21</v>
      </c>
      <c r="E2742" s="7" t="s">
        <v>22</v>
      </c>
      <c r="F2742" s="7" t="s">
        <v>23</v>
      </c>
      <c r="G2742" s="7" t="s">
        <v>24</v>
      </c>
      <c r="H2742" s="7" t="s">
        <v>25</v>
      </c>
      <c r="I2742" s="7" t="s">
        <v>35</v>
      </c>
      <c r="J2742" s="7">
        <v>255</v>
      </c>
      <c r="K2742" s="7">
        <v>364.65</v>
      </c>
    </row>
    <row r="2743" spans="1:11" ht="18" customHeight="1" x14ac:dyDescent="0.25">
      <c r="A2743" s="7" t="s">
        <v>42</v>
      </c>
      <c r="B2743" s="7">
        <v>2024</v>
      </c>
      <c r="C2743" s="7" t="s">
        <v>65</v>
      </c>
      <c r="D2743" s="7" t="s">
        <v>21</v>
      </c>
      <c r="E2743" s="7" t="s">
        <v>22</v>
      </c>
      <c r="F2743" s="7" t="s">
        <v>23</v>
      </c>
      <c r="G2743" s="7" t="s">
        <v>24</v>
      </c>
      <c r="H2743" s="7" t="s">
        <v>25</v>
      </c>
      <c r="I2743" s="7" t="s">
        <v>35</v>
      </c>
      <c r="J2743" s="7">
        <v>799</v>
      </c>
      <c r="K2743" s="7">
        <v>526.24</v>
      </c>
    </row>
    <row r="2744" spans="1:11" ht="18" customHeight="1" x14ac:dyDescent="0.25">
      <c r="A2744" s="7" t="s">
        <v>53</v>
      </c>
      <c r="B2744" s="7">
        <v>2024</v>
      </c>
      <c r="C2744" s="7" t="s">
        <v>65</v>
      </c>
      <c r="D2744" s="7" t="s">
        <v>21</v>
      </c>
      <c r="E2744" s="7" t="s">
        <v>22</v>
      </c>
      <c r="F2744" s="7" t="s">
        <v>23</v>
      </c>
      <c r="G2744" s="7" t="s">
        <v>24</v>
      </c>
      <c r="H2744" s="7" t="s">
        <v>25</v>
      </c>
      <c r="I2744" s="7" t="s">
        <v>35</v>
      </c>
      <c r="J2744" s="7">
        <v>259</v>
      </c>
      <c r="K2744" s="7">
        <v>370.37</v>
      </c>
    </row>
    <row r="2745" spans="1:11" ht="18" customHeight="1" x14ac:dyDescent="0.25">
      <c r="A2745" s="7" t="s">
        <v>34</v>
      </c>
      <c r="B2745" s="7">
        <v>2024</v>
      </c>
      <c r="C2745" s="7" t="s">
        <v>65</v>
      </c>
      <c r="D2745" s="7" t="s">
        <v>21</v>
      </c>
      <c r="E2745" s="7" t="s">
        <v>22</v>
      </c>
      <c r="F2745" s="7" t="s">
        <v>23</v>
      </c>
      <c r="G2745" s="7" t="s">
        <v>24</v>
      </c>
      <c r="H2745" s="7" t="s">
        <v>25</v>
      </c>
      <c r="I2745" s="7" t="s">
        <v>35</v>
      </c>
      <c r="J2745" s="7">
        <v>229</v>
      </c>
      <c r="K2745" s="7">
        <v>327.47000000000003</v>
      </c>
    </row>
    <row r="2746" spans="1:11" ht="18" customHeight="1" x14ac:dyDescent="0.25">
      <c r="A2746" s="7" t="s">
        <v>19</v>
      </c>
      <c r="B2746" s="7">
        <v>2024</v>
      </c>
      <c r="C2746" s="7" t="s">
        <v>65</v>
      </c>
      <c r="D2746" s="7" t="s">
        <v>21</v>
      </c>
      <c r="E2746" s="7" t="s">
        <v>22</v>
      </c>
      <c r="F2746" s="7" t="s">
        <v>23</v>
      </c>
      <c r="G2746" s="7" t="s">
        <v>24</v>
      </c>
      <c r="H2746" s="7" t="s">
        <v>25</v>
      </c>
      <c r="I2746" s="7" t="s">
        <v>35</v>
      </c>
      <c r="J2746" s="7">
        <v>257</v>
      </c>
      <c r="K2746" s="7">
        <v>367.51</v>
      </c>
    </row>
    <row r="2747" spans="1:11" ht="18" customHeight="1" x14ac:dyDescent="0.25">
      <c r="A2747" s="7" t="s">
        <v>42</v>
      </c>
      <c r="B2747" s="7">
        <v>2024</v>
      </c>
      <c r="C2747" s="7" t="s">
        <v>59</v>
      </c>
      <c r="D2747" s="7" t="s">
        <v>21</v>
      </c>
      <c r="E2747" s="7" t="s">
        <v>22</v>
      </c>
      <c r="F2747" s="7" t="s">
        <v>23</v>
      </c>
      <c r="G2747" s="7" t="s">
        <v>24</v>
      </c>
      <c r="H2747" s="7" t="s">
        <v>25</v>
      </c>
      <c r="I2747" s="7" t="s">
        <v>35</v>
      </c>
      <c r="J2747" s="7">
        <v>308</v>
      </c>
      <c r="K2747" s="7">
        <v>471.24</v>
      </c>
    </row>
    <row r="2748" spans="1:11" ht="18" customHeight="1" x14ac:dyDescent="0.25">
      <c r="A2748" s="7" t="s">
        <v>19</v>
      </c>
      <c r="B2748" s="7">
        <v>2024</v>
      </c>
      <c r="C2748" s="7" t="s">
        <v>59</v>
      </c>
      <c r="D2748" s="7" t="s">
        <v>21</v>
      </c>
      <c r="E2748" s="7" t="s">
        <v>22</v>
      </c>
      <c r="F2748" s="7" t="s">
        <v>23</v>
      </c>
      <c r="G2748" s="7" t="s">
        <v>24</v>
      </c>
      <c r="H2748" s="7" t="s">
        <v>25</v>
      </c>
      <c r="I2748" s="7" t="s">
        <v>35</v>
      </c>
      <c r="J2748" s="7">
        <v>284</v>
      </c>
      <c r="K2748" s="7">
        <v>406.12</v>
      </c>
    </row>
    <row r="2749" spans="1:11" ht="18" customHeight="1" x14ac:dyDescent="0.25">
      <c r="A2749" s="7" t="s">
        <v>19</v>
      </c>
      <c r="B2749" s="7">
        <v>2024</v>
      </c>
      <c r="C2749" s="7" t="s">
        <v>59</v>
      </c>
      <c r="D2749" s="7" t="s">
        <v>21</v>
      </c>
      <c r="E2749" s="7" t="s">
        <v>22</v>
      </c>
      <c r="F2749" s="7" t="s">
        <v>23</v>
      </c>
      <c r="G2749" s="7" t="s">
        <v>24</v>
      </c>
      <c r="H2749" s="7" t="s">
        <v>25</v>
      </c>
      <c r="I2749" s="7" t="s">
        <v>35</v>
      </c>
      <c r="J2749" s="7">
        <v>310</v>
      </c>
      <c r="K2749" s="7">
        <v>443.3</v>
      </c>
    </row>
    <row r="2750" spans="1:11" ht="18" customHeight="1" x14ac:dyDescent="0.25">
      <c r="A2750" s="7" t="s">
        <v>34</v>
      </c>
      <c r="B2750" s="7">
        <v>2024</v>
      </c>
      <c r="C2750" s="7" t="s">
        <v>59</v>
      </c>
      <c r="D2750" s="7" t="s">
        <v>21</v>
      </c>
      <c r="E2750" s="7" t="s">
        <v>22</v>
      </c>
      <c r="F2750" s="7" t="s">
        <v>23</v>
      </c>
      <c r="G2750" s="7" t="s">
        <v>24</v>
      </c>
      <c r="H2750" s="7" t="s">
        <v>25</v>
      </c>
      <c r="I2750" s="7" t="s">
        <v>35</v>
      </c>
      <c r="J2750" s="7">
        <v>664</v>
      </c>
      <c r="K2750" s="7">
        <v>949.52</v>
      </c>
    </row>
    <row r="2751" spans="1:11" ht="18" customHeight="1" x14ac:dyDescent="0.25">
      <c r="A2751" s="7" t="s">
        <v>19</v>
      </c>
      <c r="B2751" s="7">
        <v>2024</v>
      </c>
      <c r="C2751" s="7" t="s">
        <v>59</v>
      </c>
      <c r="D2751" s="7" t="s">
        <v>21</v>
      </c>
      <c r="E2751" s="7" t="s">
        <v>22</v>
      </c>
      <c r="F2751" s="7" t="s">
        <v>23</v>
      </c>
      <c r="G2751" s="7" t="s">
        <v>24</v>
      </c>
      <c r="H2751" s="7" t="s">
        <v>25</v>
      </c>
      <c r="I2751" s="7" t="s">
        <v>35</v>
      </c>
      <c r="J2751" s="7">
        <v>751</v>
      </c>
      <c r="K2751" s="7">
        <v>1073.93</v>
      </c>
    </row>
    <row r="2752" spans="1:11" ht="18" customHeight="1" x14ac:dyDescent="0.25">
      <c r="A2752" s="7" t="s">
        <v>19</v>
      </c>
      <c r="B2752" s="7">
        <v>2024</v>
      </c>
      <c r="C2752" s="7" t="s">
        <v>59</v>
      </c>
      <c r="D2752" s="7" t="s">
        <v>21</v>
      </c>
      <c r="E2752" s="7" t="s">
        <v>22</v>
      </c>
      <c r="F2752" s="7" t="s">
        <v>23</v>
      </c>
      <c r="G2752" s="7" t="s">
        <v>24</v>
      </c>
      <c r="H2752" s="7" t="s">
        <v>25</v>
      </c>
      <c r="I2752" s="7" t="s">
        <v>35</v>
      </c>
      <c r="J2752" s="7">
        <v>309</v>
      </c>
      <c r="K2752" s="7">
        <v>441.87</v>
      </c>
    </row>
    <row r="2753" spans="1:11" ht="18" customHeight="1" x14ac:dyDescent="0.25">
      <c r="A2753" s="7" t="s">
        <v>34</v>
      </c>
      <c r="B2753" s="7">
        <v>2024</v>
      </c>
      <c r="C2753" s="7" t="s">
        <v>59</v>
      </c>
      <c r="D2753" s="7" t="s">
        <v>21</v>
      </c>
      <c r="E2753" s="7" t="s">
        <v>22</v>
      </c>
      <c r="F2753" s="7" t="s">
        <v>23</v>
      </c>
      <c r="G2753" s="7" t="s">
        <v>24</v>
      </c>
      <c r="H2753" s="7" t="s">
        <v>25</v>
      </c>
      <c r="I2753" s="7" t="s">
        <v>35</v>
      </c>
      <c r="J2753" s="7">
        <v>790</v>
      </c>
      <c r="K2753" s="7">
        <v>526.24</v>
      </c>
    </row>
    <row r="2754" spans="1:11" ht="18" customHeight="1" x14ac:dyDescent="0.25">
      <c r="A2754" s="7" t="s">
        <v>19</v>
      </c>
      <c r="B2754" s="7">
        <v>2024</v>
      </c>
      <c r="C2754" s="7" t="s">
        <v>59</v>
      </c>
      <c r="D2754" s="7" t="s">
        <v>21</v>
      </c>
      <c r="E2754" s="7" t="s">
        <v>22</v>
      </c>
      <c r="F2754" s="7" t="s">
        <v>23</v>
      </c>
      <c r="G2754" s="7" t="s">
        <v>24</v>
      </c>
      <c r="H2754" s="7" t="s">
        <v>25</v>
      </c>
      <c r="I2754" s="7" t="s">
        <v>35</v>
      </c>
      <c r="J2754" s="7">
        <v>283</v>
      </c>
      <c r="K2754" s="7">
        <v>404.69</v>
      </c>
    </row>
    <row r="2755" spans="1:11" ht="18" customHeight="1" x14ac:dyDescent="0.25">
      <c r="A2755" s="7" t="s">
        <v>19</v>
      </c>
      <c r="B2755" s="7">
        <v>2024</v>
      </c>
      <c r="C2755" s="7" t="s">
        <v>59</v>
      </c>
      <c r="D2755" s="7" t="s">
        <v>21</v>
      </c>
      <c r="E2755" s="7" t="s">
        <v>22</v>
      </c>
      <c r="F2755" s="7" t="s">
        <v>23</v>
      </c>
      <c r="G2755" s="7" t="s">
        <v>24</v>
      </c>
      <c r="H2755" s="7" t="s">
        <v>25</v>
      </c>
      <c r="I2755" s="7" t="s">
        <v>35</v>
      </c>
      <c r="J2755" s="7">
        <v>311</v>
      </c>
      <c r="K2755" s="7">
        <v>444.73</v>
      </c>
    </row>
    <row r="2756" spans="1:11" ht="18" customHeight="1" x14ac:dyDescent="0.25">
      <c r="A2756" s="7" t="s">
        <v>42</v>
      </c>
      <c r="B2756" s="7">
        <v>2024</v>
      </c>
      <c r="C2756" s="7" t="s">
        <v>59</v>
      </c>
      <c r="D2756" s="7" t="s">
        <v>21</v>
      </c>
      <c r="E2756" s="7" t="s">
        <v>22</v>
      </c>
      <c r="F2756" s="7" t="s">
        <v>23</v>
      </c>
      <c r="G2756" s="7" t="s">
        <v>24</v>
      </c>
      <c r="H2756" s="7" t="s">
        <v>25</v>
      </c>
      <c r="I2756" s="7" t="s">
        <v>35</v>
      </c>
      <c r="J2756" s="7">
        <v>760</v>
      </c>
      <c r="K2756" s="7">
        <v>1086.8</v>
      </c>
    </row>
    <row r="2757" spans="1:11" ht="18" customHeight="1" x14ac:dyDescent="0.25">
      <c r="A2757" s="7" t="s">
        <v>34</v>
      </c>
      <c r="B2757" s="7">
        <v>2024</v>
      </c>
      <c r="C2757" s="7" t="s">
        <v>27</v>
      </c>
      <c r="D2757" s="7" t="s">
        <v>21</v>
      </c>
      <c r="E2757" s="7" t="s">
        <v>22</v>
      </c>
      <c r="F2757" s="7" t="s">
        <v>23</v>
      </c>
      <c r="G2757" s="7" t="s">
        <v>24</v>
      </c>
      <c r="H2757" s="7" t="s">
        <v>25</v>
      </c>
      <c r="I2757" s="7" t="s">
        <v>35</v>
      </c>
      <c r="J2757" s="7">
        <v>314</v>
      </c>
      <c r="K2757" s="7">
        <v>480.42</v>
      </c>
    </row>
    <row r="2758" spans="1:11" ht="18" customHeight="1" x14ac:dyDescent="0.25">
      <c r="A2758" s="7" t="s">
        <v>34</v>
      </c>
      <c r="B2758" s="7">
        <v>2024</v>
      </c>
      <c r="C2758" s="7" t="s">
        <v>27</v>
      </c>
      <c r="D2758" s="7" t="s">
        <v>21</v>
      </c>
      <c r="E2758" s="7" t="s">
        <v>22</v>
      </c>
      <c r="F2758" s="7" t="s">
        <v>23</v>
      </c>
      <c r="G2758" s="7" t="s">
        <v>24</v>
      </c>
      <c r="H2758" s="7" t="s">
        <v>25</v>
      </c>
      <c r="I2758" s="7" t="s">
        <v>35</v>
      </c>
      <c r="J2758" s="7">
        <v>290</v>
      </c>
      <c r="K2758" s="7">
        <v>414.7</v>
      </c>
    </row>
    <row r="2759" spans="1:11" ht="18" customHeight="1" x14ac:dyDescent="0.25">
      <c r="A2759" s="7" t="s">
        <v>34</v>
      </c>
      <c r="B2759" s="7">
        <v>2024</v>
      </c>
      <c r="C2759" s="7" t="s">
        <v>27</v>
      </c>
      <c r="D2759" s="7" t="s">
        <v>21</v>
      </c>
      <c r="E2759" s="7" t="s">
        <v>22</v>
      </c>
      <c r="F2759" s="7" t="s">
        <v>23</v>
      </c>
      <c r="G2759" s="7" t="s">
        <v>24</v>
      </c>
      <c r="H2759" s="7" t="s">
        <v>25</v>
      </c>
      <c r="I2759" s="7" t="s">
        <v>35</v>
      </c>
      <c r="J2759" s="7">
        <v>316</v>
      </c>
      <c r="K2759" s="7">
        <v>451.88</v>
      </c>
    </row>
    <row r="2760" spans="1:11" ht="18" customHeight="1" x14ac:dyDescent="0.25">
      <c r="A2760" s="7" t="s">
        <v>53</v>
      </c>
      <c r="B2760" s="7">
        <v>2024</v>
      </c>
      <c r="C2760" s="7" t="s">
        <v>27</v>
      </c>
      <c r="D2760" s="7" t="s">
        <v>21</v>
      </c>
      <c r="E2760" s="7" t="s">
        <v>22</v>
      </c>
      <c r="F2760" s="7" t="s">
        <v>23</v>
      </c>
      <c r="G2760" s="7" t="s">
        <v>24</v>
      </c>
      <c r="H2760" s="7" t="s">
        <v>25</v>
      </c>
      <c r="I2760" s="7" t="s">
        <v>35</v>
      </c>
      <c r="J2760" s="7">
        <v>286</v>
      </c>
      <c r="K2760" s="7">
        <v>408.98</v>
      </c>
    </row>
    <row r="2761" spans="1:11" ht="18" customHeight="1" x14ac:dyDescent="0.25">
      <c r="A2761" s="7" t="s">
        <v>34</v>
      </c>
      <c r="B2761" s="7">
        <v>2024</v>
      </c>
      <c r="C2761" s="7" t="s">
        <v>27</v>
      </c>
      <c r="D2761" s="7" t="s">
        <v>21</v>
      </c>
      <c r="E2761" s="7" t="s">
        <v>22</v>
      </c>
      <c r="F2761" s="7" t="s">
        <v>23</v>
      </c>
      <c r="G2761" s="7" t="s">
        <v>24</v>
      </c>
      <c r="H2761" s="7" t="s">
        <v>25</v>
      </c>
      <c r="I2761" s="7" t="s">
        <v>35</v>
      </c>
      <c r="J2761" s="7">
        <v>663</v>
      </c>
      <c r="K2761" s="7">
        <v>948.08999999999992</v>
      </c>
    </row>
    <row r="2762" spans="1:11" ht="18" customHeight="1" x14ac:dyDescent="0.25">
      <c r="A2762" s="7" t="s">
        <v>34</v>
      </c>
      <c r="B2762" s="7">
        <v>2024</v>
      </c>
      <c r="C2762" s="7" t="s">
        <v>27</v>
      </c>
      <c r="D2762" s="7" t="s">
        <v>21</v>
      </c>
      <c r="E2762" s="7" t="s">
        <v>22</v>
      </c>
      <c r="F2762" s="7" t="s">
        <v>23</v>
      </c>
      <c r="G2762" s="7" t="s">
        <v>24</v>
      </c>
      <c r="H2762" s="7" t="s">
        <v>25</v>
      </c>
      <c r="I2762" s="7" t="s">
        <v>35</v>
      </c>
      <c r="J2762" s="7">
        <v>750</v>
      </c>
      <c r="K2762" s="7">
        <v>1072.5</v>
      </c>
    </row>
    <row r="2763" spans="1:11" ht="18" customHeight="1" x14ac:dyDescent="0.25">
      <c r="A2763" s="7" t="s">
        <v>34</v>
      </c>
      <c r="B2763" s="7">
        <v>2024</v>
      </c>
      <c r="C2763" s="7" t="s">
        <v>27</v>
      </c>
      <c r="D2763" s="7" t="s">
        <v>21</v>
      </c>
      <c r="E2763" s="7" t="s">
        <v>22</v>
      </c>
      <c r="F2763" s="7" t="s">
        <v>23</v>
      </c>
      <c r="G2763" s="7" t="s">
        <v>24</v>
      </c>
      <c r="H2763" s="7" t="s">
        <v>25</v>
      </c>
      <c r="I2763" s="7" t="s">
        <v>35</v>
      </c>
      <c r="J2763" s="7">
        <v>315</v>
      </c>
      <c r="K2763" s="7">
        <v>450.45</v>
      </c>
    </row>
    <row r="2764" spans="1:11" ht="18" customHeight="1" x14ac:dyDescent="0.25">
      <c r="A2764" s="7" t="s">
        <v>34</v>
      </c>
      <c r="B2764" s="7">
        <v>2024</v>
      </c>
      <c r="C2764" s="7" t="s">
        <v>27</v>
      </c>
      <c r="D2764" s="7" t="s">
        <v>21</v>
      </c>
      <c r="E2764" s="7" t="s">
        <v>22</v>
      </c>
      <c r="F2764" s="7" t="s">
        <v>23</v>
      </c>
      <c r="G2764" s="7" t="s">
        <v>24</v>
      </c>
      <c r="H2764" s="7" t="s">
        <v>25</v>
      </c>
      <c r="I2764" s="7" t="s">
        <v>35</v>
      </c>
      <c r="J2764" s="7">
        <v>789</v>
      </c>
      <c r="K2764" s="7">
        <v>526.24</v>
      </c>
    </row>
    <row r="2765" spans="1:11" ht="18" customHeight="1" x14ac:dyDescent="0.25">
      <c r="A2765" s="7" t="s">
        <v>53</v>
      </c>
      <c r="B2765" s="7">
        <v>2024</v>
      </c>
      <c r="C2765" s="7" t="s">
        <v>27</v>
      </c>
      <c r="D2765" s="7" t="s">
        <v>21</v>
      </c>
      <c r="E2765" s="7" t="s">
        <v>22</v>
      </c>
      <c r="F2765" s="7" t="s">
        <v>23</v>
      </c>
      <c r="G2765" s="7" t="s">
        <v>24</v>
      </c>
      <c r="H2765" s="7" t="s">
        <v>25</v>
      </c>
      <c r="I2765" s="7" t="s">
        <v>35</v>
      </c>
      <c r="J2765" s="7">
        <v>313</v>
      </c>
      <c r="K2765" s="7">
        <v>447.59000000000003</v>
      </c>
    </row>
    <row r="2766" spans="1:11" ht="18" customHeight="1" x14ac:dyDescent="0.25">
      <c r="A2766" s="7" t="s">
        <v>34</v>
      </c>
      <c r="B2766" s="7">
        <v>2024</v>
      </c>
      <c r="C2766" s="7" t="s">
        <v>27</v>
      </c>
      <c r="D2766" s="7" t="s">
        <v>21</v>
      </c>
      <c r="E2766" s="7" t="s">
        <v>22</v>
      </c>
      <c r="F2766" s="7" t="s">
        <v>23</v>
      </c>
      <c r="G2766" s="7" t="s">
        <v>24</v>
      </c>
      <c r="H2766" s="7" t="s">
        <v>25</v>
      </c>
      <c r="I2766" s="7" t="s">
        <v>35</v>
      </c>
      <c r="J2766" s="7">
        <v>289</v>
      </c>
      <c r="K2766" s="7">
        <v>413.27</v>
      </c>
    </row>
    <row r="2767" spans="1:11" ht="18" customHeight="1" x14ac:dyDescent="0.25">
      <c r="A2767" s="7" t="s">
        <v>34</v>
      </c>
      <c r="B2767" s="7">
        <v>2024</v>
      </c>
      <c r="C2767" s="7" t="s">
        <v>27</v>
      </c>
      <c r="D2767" s="7" t="s">
        <v>21</v>
      </c>
      <c r="E2767" s="7" t="s">
        <v>22</v>
      </c>
      <c r="F2767" s="7" t="s">
        <v>23</v>
      </c>
      <c r="G2767" s="7" t="s">
        <v>24</v>
      </c>
      <c r="H2767" s="7" t="s">
        <v>25</v>
      </c>
      <c r="I2767" s="7" t="s">
        <v>35</v>
      </c>
      <c r="J2767" s="7">
        <v>317</v>
      </c>
      <c r="K2767" s="7">
        <v>453.31</v>
      </c>
    </row>
    <row r="2768" spans="1:11" ht="18" customHeight="1" x14ac:dyDescent="0.25">
      <c r="A2768" s="7" t="s">
        <v>34</v>
      </c>
      <c r="B2768" s="7">
        <v>2024</v>
      </c>
      <c r="C2768" s="7" t="s">
        <v>27</v>
      </c>
      <c r="D2768" s="7" t="s">
        <v>21</v>
      </c>
      <c r="E2768" s="7" t="s">
        <v>22</v>
      </c>
      <c r="F2768" s="7" t="s">
        <v>23</v>
      </c>
      <c r="G2768" s="7" t="s">
        <v>24</v>
      </c>
      <c r="H2768" s="7" t="s">
        <v>25</v>
      </c>
      <c r="I2768" s="7" t="s">
        <v>35</v>
      </c>
      <c r="J2768" s="7">
        <v>759</v>
      </c>
      <c r="K2768" s="7">
        <v>1085.3699999999999</v>
      </c>
    </row>
    <row r="2769" spans="1:11" ht="18" customHeight="1" x14ac:dyDescent="0.25">
      <c r="A2769" s="7" t="s">
        <v>34</v>
      </c>
      <c r="B2769" s="7">
        <v>2024</v>
      </c>
      <c r="C2769" s="7" t="s">
        <v>68</v>
      </c>
      <c r="D2769" s="7" t="s">
        <v>21</v>
      </c>
      <c r="E2769" s="7" t="s">
        <v>22</v>
      </c>
      <c r="F2769" s="7" t="s">
        <v>23</v>
      </c>
      <c r="G2769" s="7" t="s">
        <v>24</v>
      </c>
      <c r="H2769" s="7" t="s">
        <v>25</v>
      </c>
      <c r="I2769" s="7" t="s">
        <v>35</v>
      </c>
      <c r="J2769" s="7">
        <v>284</v>
      </c>
      <c r="K2769" s="7">
        <v>434.52</v>
      </c>
    </row>
    <row r="2770" spans="1:11" ht="18" customHeight="1" x14ac:dyDescent="0.25">
      <c r="A2770" s="7" t="s">
        <v>34</v>
      </c>
      <c r="B2770" s="7">
        <v>2024</v>
      </c>
      <c r="C2770" s="7" t="s">
        <v>68</v>
      </c>
      <c r="D2770" s="7" t="s">
        <v>21</v>
      </c>
      <c r="E2770" s="7" t="s">
        <v>22</v>
      </c>
      <c r="F2770" s="7" t="s">
        <v>23</v>
      </c>
      <c r="G2770" s="7" t="s">
        <v>24</v>
      </c>
      <c r="H2770" s="7" t="s">
        <v>25</v>
      </c>
      <c r="I2770" s="7" t="s">
        <v>35</v>
      </c>
      <c r="J2770" s="7">
        <v>254</v>
      </c>
      <c r="K2770" s="7">
        <v>363.22</v>
      </c>
    </row>
    <row r="2771" spans="1:11" ht="18" customHeight="1" x14ac:dyDescent="0.25">
      <c r="A2771" s="7" t="s">
        <v>34</v>
      </c>
      <c r="B2771" s="7">
        <v>2024</v>
      </c>
      <c r="C2771" s="7" t="s">
        <v>68</v>
      </c>
      <c r="D2771" s="7" t="s">
        <v>21</v>
      </c>
      <c r="E2771" s="7" t="s">
        <v>22</v>
      </c>
      <c r="F2771" s="7" t="s">
        <v>23</v>
      </c>
      <c r="G2771" s="7" t="s">
        <v>24</v>
      </c>
      <c r="H2771" s="7" t="s">
        <v>25</v>
      </c>
      <c r="I2771" s="7" t="s">
        <v>35</v>
      </c>
      <c r="J2771" s="7">
        <v>286</v>
      </c>
      <c r="K2771" s="7">
        <v>408.98</v>
      </c>
    </row>
    <row r="2772" spans="1:11" ht="18" customHeight="1" x14ac:dyDescent="0.25">
      <c r="A2772" s="7" t="s">
        <v>19</v>
      </c>
      <c r="B2772" s="7">
        <v>2024</v>
      </c>
      <c r="C2772" s="7" t="s">
        <v>68</v>
      </c>
      <c r="D2772" s="7" t="s">
        <v>21</v>
      </c>
      <c r="E2772" s="7" t="s">
        <v>22</v>
      </c>
      <c r="F2772" s="7" t="s">
        <v>23</v>
      </c>
      <c r="G2772" s="7" t="s">
        <v>24</v>
      </c>
      <c r="H2772" s="7" t="s">
        <v>25</v>
      </c>
      <c r="I2772" s="7" t="s">
        <v>35</v>
      </c>
      <c r="J2772" s="7">
        <v>256</v>
      </c>
      <c r="K2772" s="7">
        <v>366.08</v>
      </c>
    </row>
    <row r="2773" spans="1:11" ht="18" customHeight="1" x14ac:dyDescent="0.25">
      <c r="A2773" s="7" t="s">
        <v>34</v>
      </c>
      <c r="B2773" s="7">
        <v>2024</v>
      </c>
      <c r="C2773" s="7" t="s">
        <v>68</v>
      </c>
      <c r="D2773" s="7" t="s">
        <v>21</v>
      </c>
      <c r="E2773" s="7" t="s">
        <v>22</v>
      </c>
      <c r="F2773" s="7" t="s">
        <v>23</v>
      </c>
      <c r="G2773" s="7" t="s">
        <v>24</v>
      </c>
      <c r="H2773" s="7" t="s">
        <v>25</v>
      </c>
      <c r="I2773" s="7" t="s">
        <v>35</v>
      </c>
      <c r="J2773" s="7">
        <v>669</v>
      </c>
      <c r="K2773" s="7">
        <v>956.67000000000007</v>
      </c>
    </row>
    <row r="2774" spans="1:11" ht="18" customHeight="1" x14ac:dyDescent="0.25">
      <c r="A2774" s="7" t="s">
        <v>19</v>
      </c>
      <c r="B2774" s="7">
        <v>2024</v>
      </c>
      <c r="C2774" s="7" t="s">
        <v>68</v>
      </c>
      <c r="D2774" s="7" t="s">
        <v>21</v>
      </c>
      <c r="E2774" s="7" t="s">
        <v>22</v>
      </c>
      <c r="F2774" s="7" t="s">
        <v>23</v>
      </c>
      <c r="G2774" s="7" t="s">
        <v>24</v>
      </c>
      <c r="H2774" s="7" t="s">
        <v>25</v>
      </c>
      <c r="I2774" s="7" t="s">
        <v>35</v>
      </c>
      <c r="J2774" s="7">
        <v>755</v>
      </c>
      <c r="K2774" s="7">
        <v>1079.6500000000001</v>
      </c>
    </row>
    <row r="2775" spans="1:11" ht="18" customHeight="1" x14ac:dyDescent="0.25">
      <c r="A2775" s="7" t="s">
        <v>19</v>
      </c>
      <c r="B2775" s="7">
        <v>2024</v>
      </c>
      <c r="C2775" s="7" t="s">
        <v>68</v>
      </c>
      <c r="D2775" s="7" t="s">
        <v>21</v>
      </c>
      <c r="E2775" s="7" t="s">
        <v>22</v>
      </c>
      <c r="F2775" s="7" t="s">
        <v>23</v>
      </c>
      <c r="G2775" s="7" t="s">
        <v>24</v>
      </c>
      <c r="H2775" s="7" t="s">
        <v>25</v>
      </c>
      <c r="I2775" s="7" t="s">
        <v>35</v>
      </c>
      <c r="J2775" s="7">
        <v>285</v>
      </c>
      <c r="K2775" s="7">
        <v>407.55</v>
      </c>
    </row>
    <row r="2776" spans="1:11" ht="18" customHeight="1" x14ac:dyDescent="0.25">
      <c r="A2776" s="7" t="s">
        <v>34</v>
      </c>
      <c r="B2776" s="7">
        <v>2024</v>
      </c>
      <c r="C2776" s="7" t="s">
        <v>68</v>
      </c>
      <c r="D2776" s="7" t="s">
        <v>21</v>
      </c>
      <c r="E2776" s="7" t="s">
        <v>22</v>
      </c>
      <c r="F2776" s="7" t="s">
        <v>23</v>
      </c>
      <c r="G2776" s="7" t="s">
        <v>24</v>
      </c>
      <c r="H2776" s="7" t="s">
        <v>25</v>
      </c>
      <c r="I2776" s="7" t="s">
        <v>35</v>
      </c>
      <c r="J2776" s="7">
        <v>795</v>
      </c>
      <c r="K2776" s="7">
        <v>526.24</v>
      </c>
    </row>
    <row r="2777" spans="1:11" ht="18" customHeight="1" x14ac:dyDescent="0.25">
      <c r="A2777" s="7" t="s">
        <v>19</v>
      </c>
      <c r="B2777" s="7">
        <v>2024</v>
      </c>
      <c r="C2777" s="7" t="s">
        <v>68</v>
      </c>
      <c r="D2777" s="7" t="s">
        <v>21</v>
      </c>
      <c r="E2777" s="7" t="s">
        <v>22</v>
      </c>
      <c r="F2777" s="7" t="s">
        <v>23</v>
      </c>
      <c r="G2777" s="7" t="s">
        <v>24</v>
      </c>
      <c r="H2777" s="7" t="s">
        <v>25</v>
      </c>
      <c r="I2777" s="7" t="s">
        <v>35</v>
      </c>
      <c r="J2777" s="7">
        <v>283</v>
      </c>
      <c r="K2777" s="7">
        <v>404.69</v>
      </c>
    </row>
    <row r="2778" spans="1:11" ht="18" customHeight="1" x14ac:dyDescent="0.25">
      <c r="A2778" s="7" t="s">
        <v>34</v>
      </c>
      <c r="B2778" s="7">
        <v>2024</v>
      </c>
      <c r="C2778" s="7" t="s">
        <v>68</v>
      </c>
      <c r="D2778" s="7" t="s">
        <v>21</v>
      </c>
      <c r="E2778" s="7" t="s">
        <v>22</v>
      </c>
      <c r="F2778" s="7" t="s">
        <v>23</v>
      </c>
      <c r="G2778" s="7" t="s">
        <v>24</v>
      </c>
      <c r="H2778" s="7" t="s">
        <v>25</v>
      </c>
      <c r="I2778" s="7" t="s">
        <v>35</v>
      </c>
      <c r="J2778" s="7">
        <v>259</v>
      </c>
      <c r="K2778" s="7">
        <v>370.37</v>
      </c>
    </row>
    <row r="2779" spans="1:11" ht="18" customHeight="1" x14ac:dyDescent="0.25">
      <c r="A2779" s="7" t="s">
        <v>34</v>
      </c>
      <c r="B2779" s="7">
        <v>2024</v>
      </c>
      <c r="C2779" s="7" t="s">
        <v>68</v>
      </c>
      <c r="D2779" s="7" t="s">
        <v>21</v>
      </c>
      <c r="E2779" s="7" t="s">
        <v>22</v>
      </c>
      <c r="F2779" s="7" t="s">
        <v>23</v>
      </c>
      <c r="G2779" s="7" t="s">
        <v>24</v>
      </c>
      <c r="H2779" s="7" t="s">
        <v>25</v>
      </c>
      <c r="I2779" s="7" t="s">
        <v>35</v>
      </c>
      <c r="J2779" s="7">
        <v>281</v>
      </c>
      <c r="K2779" s="7">
        <v>401.83</v>
      </c>
    </row>
    <row r="2780" spans="1:11" ht="18" customHeight="1" x14ac:dyDescent="0.25">
      <c r="A2780" s="7" t="s">
        <v>34</v>
      </c>
      <c r="B2780" s="7">
        <v>2024</v>
      </c>
      <c r="C2780" s="7" t="s">
        <v>68</v>
      </c>
      <c r="D2780" s="7" t="s">
        <v>21</v>
      </c>
      <c r="E2780" s="7" t="s">
        <v>22</v>
      </c>
      <c r="F2780" s="7" t="s">
        <v>23</v>
      </c>
      <c r="G2780" s="7" t="s">
        <v>24</v>
      </c>
      <c r="H2780" s="7" t="s">
        <v>25</v>
      </c>
      <c r="I2780" s="7" t="s">
        <v>35</v>
      </c>
      <c r="J2780" s="7">
        <v>764</v>
      </c>
      <c r="K2780" s="7">
        <v>1092.52</v>
      </c>
    </row>
    <row r="2781" spans="1:11" ht="18" customHeight="1" x14ac:dyDescent="0.25">
      <c r="A2781" s="7" t="s">
        <v>42</v>
      </c>
      <c r="B2781" s="7">
        <v>2024</v>
      </c>
      <c r="C2781" s="7" t="s">
        <v>67</v>
      </c>
      <c r="D2781" s="7" t="s">
        <v>21</v>
      </c>
      <c r="E2781" s="7" t="s">
        <v>22</v>
      </c>
      <c r="F2781" s="7" t="s">
        <v>23</v>
      </c>
      <c r="G2781" s="7" t="s">
        <v>24</v>
      </c>
      <c r="H2781" s="7" t="s">
        <v>25</v>
      </c>
      <c r="I2781" s="7" t="s">
        <v>35</v>
      </c>
      <c r="J2781" s="7">
        <v>290</v>
      </c>
      <c r="K2781" s="7">
        <v>443.70000000000005</v>
      </c>
    </row>
    <row r="2782" spans="1:11" ht="18" customHeight="1" x14ac:dyDescent="0.25">
      <c r="A2782" s="7" t="s">
        <v>42</v>
      </c>
      <c r="B2782" s="7">
        <v>2024</v>
      </c>
      <c r="C2782" s="7" t="s">
        <v>67</v>
      </c>
      <c r="D2782" s="7" t="s">
        <v>21</v>
      </c>
      <c r="E2782" s="7" t="s">
        <v>22</v>
      </c>
      <c r="F2782" s="7" t="s">
        <v>23</v>
      </c>
      <c r="G2782" s="7" t="s">
        <v>24</v>
      </c>
      <c r="H2782" s="7" t="s">
        <v>25</v>
      </c>
      <c r="I2782" s="7" t="s">
        <v>35</v>
      </c>
      <c r="J2782" s="7">
        <v>260</v>
      </c>
      <c r="K2782" s="7">
        <v>371.8</v>
      </c>
    </row>
    <row r="2783" spans="1:11" ht="18" customHeight="1" x14ac:dyDescent="0.25">
      <c r="A2783" s="7" t="s">
        <v>34</v>
      </c>
      <c r="B2783" s="7">
        <v>2024</v>
      </c>
      <c r="C2783" s="7" t="s">
        <v>67</v>
      </c>
      <c r="D2783" s="7" t="s">
        <v>21</v>
      </c>
      <c r="E2783" s="7" t="s">
        <v>22</v>
      </c>
      <c r="F2783" s="7" t="s">
        <v>23</v>
      </c>
      <c r="G2783" s="7" t="s">
        <v>24</v>
      </c>
      <c r="H2783" s="7" t="s">
        <v>25</v>
      </c>
      <c r="I2783" s="7" t="s">
        <v>35</v>
      </c>
      <c r="J2783" s="7">
        <v>262</v>
      </c>
      <c r="K2783" s="7">
        <v>374.65999999999997</v>
      </c>
    </row>
    <row r="2784" spans="1:11" ht="18" customHeight="1" x14ac:dyDescent="0.25">
      <c r="A2784" s="7" t="s">
        <v>42</v>
      </c>
      <c r="B2784" s="7">
        <v>2024</v>
      </c>
      <c r="C2784" s="7" t="s">
        <v>67</v>
      </c>
      <c r="D2784" s="7" t="s">
        <v>21</v>
      </c>
      <c r="E2784" s="7" t="s">
        <v>22</v>
      </c>
      <c r="F2784" s="7" t="s">
        <v>23</v>
      </c>
      <c r="G2784" s="7" t="s">
        <v>24</v>
      </c>
      <c r="H2784" s="7" t="s">
        <v>25</v>
      </c>
      <c r="I2784" s="7" t="s">
        <v>35</v>
      </c>
      <c r="J2784" s="7">
        <v>668</v>
      </c>
      <c r="K2784" s="7">
        <v>955.24</v>
      </c>
    </row>
    <row r="2785" spans="1:11" ht="18" customHeight="1" x14ac:dyDescent="0.25">
      <c r="A2785" s="7" t="s">
        <v>42</v>
      </c>
      <c r="B2785" s="7">
        <v>2024</v>
      </c>
      <c r="C2785" s="7" t="s">
        <v>67</v>
      </c>
      <c r="D2785" s="7" t="s">
        <v>21</v>
      </c>
      <c r="E2785" s="7" t="s">
        <v>22</v>
      </c>
      <c r="F2785" s="7" t="s">
        <v>23</v>
      </c>
      <c r="G2785" s="7" t="s">
        <v>24</v>
      </c>
      <c r="H2785" s="7" t="s">
        <v>25</v>
      </c>
      <c r="I2785" s="7" t="s">
        <v>35</v>
      </c>
      <c r="J2785" s="7">
        <v>754</v>
      </c>
      <c r="K2785" s="7">
        <v>1078.22</v>
      </c>
    </row>
    <row r="2786" spans="1:11" ht="18" customHeight="1" x14ac:dyDescent="0.25">
      <c r="A2786" s="7" t="s">
        <v>42</v>
      </c>
      <c r="B2786" s="7">
        <v>2024</v>
      </c>
      <c r="C2786" s="7" t="s">
        <v>67</v>
      </c>
      <c r="D2786" s="7" t="s">
        <v>21</v>
      </c>
      <c r="E2786" s="7" t="s">
        <v>22</v>
      </c>
      <c r="F2786" s="7" t="s">
        <v>23</v>
      </c>
      <c r="G2786" s="7" t="s">
        <v>24</v>
      </c>
      <c r="H2786" s="7" t="s">
        <v>25</v>
      </c>
      <c r="I2786" s="7" t="s">
        <v>35</v>
      </c>
      <c r="J2786" s="7">
        <v>291</v>
      </c>
      <c r="K2786" s="7">
        <v>416.13</v>
      </c>
    </row>
    <row r="2787" spans="1:11" ht="18" customHeight="1" x14ac:dyDescent="0.25">
      <c r="A2787" s="7" t="s">
        <v>42</v>
      </c>
      <c r="B2787" s="7">
        <v>2024</v>
      </c>
      <c r="C2787" s="7" t="s">
        <v>67</v>
      </c>
      <c r="D2787" s="7" t="s">
        <v>21</v>
      </c>
      <c r="E2787" s="7" t="s">
        <v>22</v>
      </c>
      <c r="F2787" s="7" t="s">
        <v>23</v>
      </c>
      <c r="G2787" s="7" t="s">
        <v>24</v>
      </c>
      <c r="H2787" s="7" t="s">
        <v>25</v>
      </c>
      <c r="I2787" s="7" t="s">
        <v>35</v>
      </c>
      <c r="J2787" s="7">
        <v>794</v>
      </c>
      <c r="K2787" s="7">
        <v>526.24</v>
      </c>
    </row>
    <row r="2788" spans="1:11" ht="18" customHeight="1" x14ac:dyDescent="0.25">
      <c r="A2788" s="7" t="s">
        <v>34</v>
      </c>
      <c r="B2788" s="7">
        <v>2024</v>
      </c>
      <c r="C2788" s="7" t="s">
        <v>67</v>
      </c>
      <c r="D2788" s="7" t="s">
        <v>21</v>
      </c>
      <c r="E2788" s="7" t="s">
        <v>22</v>
      </c>
      <c r="F2788" s="7" t="s">
        <v>23</v>
      </c>
      <c r="G2788" s="7" t="s">
        <v>24</v>
      </c>
      <c r="H2788" s="7" t="s">
        <v>25</v>
      </c>
      <c r="I2788" s="7" t="s">
        <v>35</v>
      </c>
      <c r="J2788" s="7">
        <v>289</v>
      </c>
      <c r="K2788" s="7">
        <v>413.27</v>
      </c>
    </row>
    <row r="2789" spans="1:11" ht="18" customHeight="1" x14ac:dyDescent="0.25">
      <c r="A2789" s="7" t="s">
        <v>42</v>
      </c>
      <c r="B2789" s="7">
        <v>2024</v>
      </c>
      <c r="C2789" s="7" t="s">
        <v>67</v>
      </c>
      <c r="D2789" s="7" t="s">
        <v>21</v>
      </c>
      <c r="E2789" s="7" t="s">
        <v>22</v>
      </c>
      <c r="F2789" s="7" t="s">
        <v>23</v>
      </c>
      <c r="G2789" s="7" t="s">
        <v>24</v>
      </c>
      <c r="H2789" s="7" t="s">
        <v>25</v>
      </c>
      <c r="I2789" s="7" t="s">
        <v>35</v>
      </c>
      <c r="J2789" s="7">
        <v>287</v>
      </c>
      <c r="K2789" s="7">
        <v>410.40999999999997</v>
      </c>
    </row>
    <row r="2790" spans="1:11" ht="18" customHeight="1" x14ac:dyDescent="0.25">
      <c r="A2790" s="7" t="s">
        <v>42</v>
      </c>
      <c r="B2790" s="7">
        <v>2024</v>
      </c>
      <c r="C2790" s="7" t="s">
        <v>67</v>
      </c>
      <c r="D2790" s="7" t="s">
        <v>21</v>
      </c>
      <c r="E2790" s="7" t="s">
        <v>22</v>
      </c>
      <c r="F2790" s="7" t="s">
        <v>23</v>
      </c>
      <c r="G2790" s="7" t="s">
        <v>24</v>
      </c>
      <c r="H2790" s="7" t="s">
        <v>25</v>
      </c>
      <c r="I2790" s="7" t="s">
        <v>35</v>
      </c>
      <c r="J2790" s="7">
        <v>763</v>
      </c>
      <c r="K2790" s="7">
        <v>1091.0899999999999</v>
      </c>
    </row>
    <row r="2791" spans="1:11" ht="18" customHeight="1" x14ac:dyDescent="0.25">
      <c r="A2791" s="7" t="s">
        <v>19</v>
      </c>
      <c r="B2791" s="7">
        <v>2024</v>
      </c>
      <c r="C2791" s="7" t="s">
        <v>62</v>
      </c>
      <c r="D2791" s="7" t="s">
        <v>21</v>
      </c>
      <c r="E2791" s="7" t="s">
        <v>22</v>
      </c>
      <c r="F2791" s="7" t="s">
        <v>23</v>
      </c>
      <c r="G2791" s="7" t="s">
        <v>24</v>
      </c>
      <c r="H2791" s="7" t="s">
        <v>25</v>
      </c>
      <c r="I2791" s="7" t="s">
        <v>35</v>
      </c>
      <c r="J2791" s="7">
        <v>278</v>
      </c>
      <c r="K2791" s="7">
        <v>397.53999999999996</v>
      </c>
    </row>
    <row r="2792" spans="1:11" ht="18" customHeight="1" x14ac:dyDescent="0.25">
      <c r="A2792" s="7" t="s">
        <v>34</v>
      </c>
      <c r="B2792" s="7">
        <v>2024</v>
      </c>
      <c r="C2792" s="7" t="s">
        <v>62</v>
      </c>
      <c r="D2792" s="7" t="s">
        <v>21</v>
      </c>
      <c r="E2792" s="7" t="s">
        <v>22</v>
      </c>
      <c r="F2792" s="7" t="s">
        <v>23</v>
      </c>
      <c r="G2792" s="7" t="s">
        <v>24</v>
      </c>
      <c r="H2792" s="7" t="s">
        <v>25</v>
      </c>
      <c r="I2792" s="7" t="s">
        <v>35</v>
      </c>
      <c r="J2792" s="7">
        <v>304</v>
      </c>
      <c r="K2792" s="7">
        <v>434.72</v>
      </c>
    </row>
    <row r="2793" spans="1:11" ht="18" customHeight="1" x14ac:dyDescent="0.25">
      <c r="A2793" s="7" t="s">
        <v>34</v>
      </c>
      <c r="B2793" s="7">
        <v>2024</v>
      </c>
      <c r="C2793" s="7" t="s">
        <v>62</v>
      </c>
      <c r="D2793" s="7" t="s">
        <v>21</v>
      </c>
      <c r="E2793" s="7" t="s">
        <v>22</v>
      </c>
      <c r="F2793" s="7" t="s">
        <v>23</v>
      </c>
      <c r="G2793" s="7" t="s">
        <v>24</v>
      </c>
      <c r="H2793" s="7" t="s">
        <v>25</v>
      </c>
      <c r="I2793" s="7" t="s">
        <v>35</v>
      </c>
      <c r="J2793" s="7">
        <v>280</v>
      </c>
      <c r="K2793" s="7">
        <v>400.4</v>
      </c>
    </row>
    <row r="2794" spans="1:11" ht="18" customHeight="1" x14ac:dyDescent="0.25">
      <c r="A2794" s="7" t="s">
        <v>34</v>
      </c>
      <c r="B2794" s="7">
        <v>2024</v>
      </c>
      <c r="C2794" s="7" t="s">
        <v>62</v>
      </c>
      <c r="D2794" s="7" t="s">
        <v>21</v>
      </c>
      <c r="E2794" s="7" t="s">
        <v>22</v>
      </c>
      <c r="F2794" s="7" t="s">
        <v>23</v>
      </c>
      <c r="G2794" s="7" t="s">
        <v>24</v>
      </c>
      <c r="H2794" s="7" t="s">
        <v>25</v>
      </c>
      <c r="I2794" s="7" t="s">
        <v>35</v>
      </c>
      <c r="J2794" s="7">
        <v>665</v>
      </c>
      <c r="K2794" s="7">
        <v>950.95</v>
      </c>
    </row>
    <row r="2795" spans="1:11" ht="18" customHeight="1" x14ac:dyDescent="0.25">
      <c r="A2795" s="7" t="s">
        <v>42</v>
      </c>
      <c r="B2795" s="7">
        <v>2024</v>
      </c>
      <c r="C2795" s="7" t="s">
        <v>62</v>
      </c>
      <c r="D2795" s="7" t="s">
        <v>21</v>
      </c>
      <c r="E2795" s="7" t="s">
        <v>22</v>
      </c>
      <c r="F2795" s="7" t="s">
        <v>23</v>
      </c>
      <c r="G2795" s="7" t="s">
        <v>24</v>
      </c>
      <c r="H2795" s="7" t="s">
        <v>25</v>
      </c>
      <c r="I2795" s="7" t="s">
        <v>35</v>
      </c>
      <c r="J2795" s="7">
        <v>752</v>
      </c>
      <c r="K2795" s="7">
        <v>1075.3600000000001</v>
      </c>
    </row>
    <row r="2796" spans="1:11" ht="18" customHeight="1" x14ac:dyDescent="0.25">
      <c r="A2796" s="7" t="s">
        <v>42</v>
      </c>
      <c r="B2796" s="7">
        <v>2024</v>
      </c>
      <c r="C2796" s="7" t="s">
        <v>62</v>
      </c>
      <c r="D2796" s="7" t="s">
        <v>21</v>
      </c>
      <c r="E2796" s="7" t="s">
        <v>22</v>
      </c>
      <c r="F2796" s="7" t="s">
        <v>23</v>
      </c>
      <c r="G2796" s="7" t="s">
        <v>24</v>
      </c>
      <c r="H2796" s="7" t="s">
        <v>25</v>
      </c>
      <c r="I2796" s="7" t="s">
        <v>35</v>
      </c>
      <c r="J2796" s="7">
        <v>303</v>
      </c>
      <c r="K2796" s="7">
        <v>433.28999999999996</v>
      </c>
    </row>
    <row r="2797" spans="1:11" ht="18" customHeight="1" x14ac:dyDescent="0.25">
      <c r="A2797" s="7" t="s">
        <v>34</v>
      </c>
      <c r="B2797" s="7">
        <v>2024</v>
      </c>
      <c r="C2797" s="7" t="s">
        <v>62</v>
      </c>
      <c r="D2797" s="7" t="s">
        <v>21</v>
      </c>
      <c r="E2797" s="7" t="s">
        <v>22</v>
      </c>
      <c r="F2797" s="7" t="s">
        <v>23</v>
      </c>
      <c r="G2797" s="7" t="s">
        <v>24</v>
      </c>
      <c r="H2797" s="7" t="s">
        <v>25</v>
      </c>
      <c r="I2797" s="7" t="s">
        <v>35</v>
      </c>
      <c r="J2797" s="7">
        <v>791</v>
      </c>
      <c r="K2797" s="7">
        <v>526.24</v>
      </c>
    </row>
    <row r="2798" spans="1:11" ht="18" customHeight="1" x14ac:dyDescent="0.25">
      <c r="A2798" s="7" t="s">
        <v>34</v>
      </c>
      <c r="B2798" s="7">
        <v>2024</v>
      </c>
      <c r="C2798" s="7" t="s">
        <v>62</v>
      </c>
      <c r="D2798" s="7" t="s">
        <v>21</v>
      </c>
      <c r="E2798" s="7" t="s">
        <v>22</v>
      </c>
      <c r="F2798" s="7" t="s">
        <v>23</v>
      </c>
      <c r="G2798" s="7" t="s">
        <v>24</v>
      </c>
      <c r="H2798" s="7" t="s">
        <v>25</v>
      </c>
      <c r="I2798" s="7" t="s">
        <v>35</v>
      </c>
      <c r="J2798" s="7">
        <v>307</v>
      </c>
      <c r="K2798" s="7">
        <v>439.01</v>
      </c>
    </row>
    <row r="2799" spans="1:11" ht="18" customHeight="1" x14ac:dyDescent="0.25">
      <c r="A2799" s="7" t="s">
        <v>34</v>
      </c>
      <c r="B2799" s="7">
        <v>2024</v>
      </c>
      <c r="C2799" s="7" t="s">
        <v>62</v>
      </c>
      <c r="D2799" s="7" t="s">
        <v>21</v>
      </c>
      <c r="E2799" s="7" t="s">
        <v>22</v>
      </c>
      <c r="F2799" s="7" t="s">
        <v>23</v>
      </c>
      <c r="G2799" s="7" t="s">
        <v>24</v>
      </c>
      <c r="H2799" s="7" t="s">
        <v>25</v>
      </c>
      <c r="I2799" s="7" t="s">
        <v>35</v>
      </c>
      <c r="J2799" s="7">
        <v>277</v>
      </c>
      <c r="K2799" s="7">
        <v>396.11</v>
      </c>
    </row>
    <row r="2800" spans="1:11" ht="18" customHeight="1" x14ac:dyDescent="0.25">
      <c r="A2800" s="7" t="s">
        <v>19</v>
      </c>
      <c r="B2800" s="7">
        <v>2024</v>
      </c>
      <c r="C2800" s="7" t="s">
        <v>62</v>
      </c>
      <c r="D2800" s="7" t="s">
        <v>21</v>
      </c>
      <c r="E2800" s="7" t="s">
        <v>22</v>
      </c>
      <c r="F2800" s="7" t="s">
        <v>23</v>
      </c>
      <c r="G2800" s="7" t="s">
        <v>24</v>
      </c>
      <c r="H2800" s="7" t="s">
        <v>25</v>
      </c>
      <c r="I2800" s="7" t="s">
        <v>35</v>
      </c>
      <c r="J2800" s="7">
        <v>305</v>
      </c>
      <c r="K2800" s="7">
        <v>436.15</v>
      </c>
    </row>
    <row r="2801" spans="1:11" ht="18" customHeight="1" x14ac:dyDescent="0.25">
      <c r="A2801" s="7" t="s">
        <v>34</v>
      </c>
      <c r="B2801" s="7">
        <v>2024</v>
      </c>
      <c r="C2801" s="7" t="s">
        <v>66</v>
      </c>
      <c r="D2801" s="7" t="s">
        <v>21</v>
      </c>
      <c r="E2801" s="7" t="s">
        <v>22</v>
      </c>
      <c r="F2801" s="7" t="s">
        <v>23</v>
      </c>
      <c r="G2801" s="7" t="s">
        <v>24</v>
      </c>
      <c r="H2801" s="7" t="s">
        <v>25</v>
      </c>
      <c r="I2801" s="7" t="s">
        <v>35</v>
      </c>
      <c r="J2801" s="7">
        <v>296</v>
      </c>
      <c r="K2801" s="7">
        <v>452.88</v>
      </c>
    </row>
    <row r="2802" spans="1:11" ht="18" customHeight="1" x14ac:dyDescent="0.25">
      <c r="A2802" s="7" t="s">
        <v>34</v>
      </c>
      <c r="B2802" s="7">
        <v>2024</v>
      </c>
      <c r="C2802" s="7" t="s">
        <v>66</v>
      </c>
      <c r="D2802" s="7" t="s">
        <v>21</v>
      </c>
      <c r="E2802" s="7" t="s">
        <v>22</v>
      </c>
      <c r="F2802" s="7" t="s">
        <v>23</v>
      </c>
      <c r="G2802" s="7" t="s">
        <v>24</v>
      </c>
      <c r="H2802" s="7" t="s">
        <v>25</v>
      </c>
      <c r="I2802" s="7" t="s">
        <v>35</v>
      </c>
      <c r="J2802" s="7">
        <v>266</v>
      </c>
      <c r="K2802" s="7">
        <v>380.38</v>
      </c>
    </row>
    <row r="2803" spans="1:11" ht="18" customHeight="1" x14ac:dyDescent="0.25">
      <c r="A2803" s="7" t="s">
        <v>34</v>
      </c>
      <c r="B2803" s="7">
        <v>2024</v>
      </c>
      <c r="C2803" s="7" t="s">
        <v>66</v>
      </c>
      <c r="D2803" s="7" t="s">
        <v>21</v>
      </c>
      <c r="E2803" s="7" t="s">
        <v>22</v>
      </c>
      <c r="F2803" s="7" t="s">
        <v>23</v>
      </c>
      <c r="G2803" s="7" t="s">
        <v>24</v>
      </c>
      <c r="H2803" s="7" t="s">
        <v>25</v>
      </c>
      <c r="I2803" s="7" t="s">
        <v>35</v>
      </c>
      <c r="J2803" s="7">
        <v>292</v>
      </c>
      <c r="K2803" s="7">
        <v>417.56</v>
      </c>
    </row>
    <row r="2804" spans="1:11" ht="18" customHeight="1" x14ac:dyDescent="0.25">
      <c r="A2804" s="7" t="s">
        <v>34</v>
      </c>
      <c r="B2804" s="7">
        <v>2024</v>
      </c>
      <c r="C2804" s="7" t="s">
        <v>66</v>
      </c>
      <c r="D2804" s="7" t="s">
        <v>21</v>
      </c>
      <c r="E2804" s="7" t="s">
        <v>22</v>
      </c>
      <c r="F2804" s="7" t="s">
        <v>23</v>
      </c>
      <c r="G2804" s="7" t="s">
        <v>24</v>
      </c>
      <c r="H2804" s="7" t="s">
        <v>25</v>
      </c>
      <c r="I2804" s="7" t="s">
        <v>35</v>
      </c>
      <c r="J2804" s="7">
        <v>268</v>
      </c>
      <c r="K2804" s="7">
        <v>383.24</v>
      </c>
    </row>
    <row r="2805" spans="1:11" ht="18" customHeight="1" x14ac:dyDescent="0.25">
      <c r="A2805" s="7" t="s">
        <v>19</v>
      </c>
      <c r="B2805" s="7">
        <v>2024</v>
      </c>
      <c r="C2805" s="7" t="s">
        <v>66</v>
      </c>
      <c r="D2805" s="7" t="s">
        <v>21</v>
      </c>
      <c r="E2805" s="7" t="s">
        <v>22</v>
      </c>
      <c r="F2805" s="7" t="s">
        <v>23</v>
      </c>
      <c r="G2805" s="7" t="s">
        <v>24</v>
      </c>
      <c r="H2805" s="7" t="s">
        <v>25</v>
      </c>
      <c r="I2805" s="7" t="s">
        <v>35</v>
      </c>
      <c r="J2805" s="7">
        <v>667</v>
      </c>
      <c r="K2805" s="7">
        <v>953.81</v>
      </c>
    </row>
    <row r="2806" spans="1:11" ht="18" customHeight="1" x14ac:dyDescent="0.25">
      <c r="A2806" s="7" t="s">
        <v>19</v>
      </c>
      <c r="B2806" s="7">
        <v>2024</v>
      </c>
      <c r="C2806" s="7" t="s">
        <v>66</v>
      </c>
      <c r="D2806" s="7" t="s">
        <v>21</v>
      </c>
      <c r="E2806" s="7" t="s">
        <v>22</v>
      </c>
      <c r="F2806" s="7" t="s">
        <v>23</v>
      </c>
      <c r="G2806" s="7" t="s">
        <v>24</v>
      </c>
      <c r="H2806" s="7" t="s">
        <v>25</v>
      </c>
      <c r="I2806" s="7" t="s">
        <v>35</v>
      </c>
      <c r="J2806" s="7">
        <v>793</v>
      </c>
      <c r="K2806" s="7">
        <v>526.24</v>
      </c>
    </row>
    <row r="2807" spans="1:11" ht="18" customHeight="1" x14ac:dyDescent="0.25">
      <c r="A2807" s="7" t="s">
        <v>34</v>
      </c>
      <c r="B2807" s="7">
        <v>2024</v>
      </c>
      <c r="C2807" s="7" t="s">
        <v>66</v>
      </c>
      <c r="D2807" s="7" t="s">
        <v>21</v>
      </c>
      <c r="E2807" s="7" t="s">
        <v>22</v>
      </c>
      <c r="F2807" s="7" t="s">
        <v>23</v>
      </c>
      <c r="G2807" s="7" t="s">
        <v>24</v>
      </c>
      <c r="H2807" s="7" t="s">
        <v>25</v>
      </c>
      <c r="I2807" s="7" t="s">
        <v>35</v>
      </c>
      <c r="J2807" s="7">
        <v>295</v>
      </c>
      <c r="K2807" s="7">
        <v>421.85</v>
      </c>
    </row>
    <row r="2808" spans="1:11" ht="18" customHeight="1" x14ac:dyDescent="0.25">
      <c r="A2808" s="7" t="s">
        <v>34</v>
      </c>
      <c r="B2808" s="7">
        <v>2024</v>
      </c>
      <c r="C2808" s="7" t="s">
        <v>66</v>
      </c>
      <c r="D2808" s="7" t="s">
        <v>21</v>
      </c>
      <c r="E2808" s="7" t="s">
        <v>22</v>
      </c>
      <c r="F2808" s="7" t="s">
        <v>23</v>
      </c>
      <c r="G2808" s="7" t="s">
        <v>24</v>
      </c>
      <c r="H2808" s="7" t="s">
        <v>25</v>
      </c>
      <c r="I2808" s="7" t="s">
        <v>35</v>
      </c>
      <c r="J2808" s="7">
        <v>265</v>
      </c>
      <c r="K2808" s="7">
        <v>378.95</v>
      </c>
    </row>
    <row r="2809" spans="1:11" ht="18" customHeight="1" x14ac:dyDescent="0.25">
      <c r="A2809" s="7" t="s">
        <v>34</v>
      </c>
      <c r="B2809" s="7">
        <v>2024</v>
      </c>
      <c r="C2809" s="7" t="s">
        <v>66</v>
      </c>
      <c r="D2809" s="7" t="s">
        <v>21</v>
      </c>
      <c r="E2809" s="7" t="s">
        <v>22</v>
      </c>
      <c r="F2809" s="7" t="s">
        <v>23</v>
      </c>
      <c r="G2809" s="7" t="s">
        <v>24</v>
      </c>
      <c r="H2809" s="7" t="s">
        <v>25</v>
      </c>
      <c r="I2809" s="7" t="s">
        <v>35</v>
      </c>
      <c r="J2809" s="7">
        <v>293</v>
      </c>
      <c r="K2809" s="7">
        <v>418.99</v>
      </c>
    </row>
    <row r="2810" spans="1:11" ht="18" customHeight="1" x14ac:dyDescent="0.25">
      <c r="A2810" s="7" t="s">
        <v>34</v>
      </c>
      <c r="B2810" s="7">
        <v>2024</v>
      </c>
      <c r="C2810" s="7" t="s">
        <v>66</v>
      </c>
      <c r="D2810" s="7" t="s">
        <v>21</v>
      </c>
      <c r="E2810" s="7" t="s">
        <v>22</v>
      </c>
      <c r="F2810" s="7" t="s">
        <v>23</v>
      </c>
      <c r="G2810" s="7" t="s">
        <v>24</v>
      </c>
      <c r="H2810" s="7" t="s">
        <v>25</v>
      </c>
      <c r="I2810" s="7" t="s">
        <v>35</v>
      </c>
      <c r="J2810" s="7">
        <v>762</v>
      </c>
      <c r="K2810" s="7">
        <v>1089.6599999999999</v>
      </c>
    </row>
    <row r="2811" spans="1:11" ht="18" customHeight="1" x14ac:dyDescent="0.25">
      <c r="A2811" s="7" t="s">
        <v>19</v>
      </c>
      <c r="B2811" s="7">
        <v>2024</v>
      </c>
      <c r="C2811" s="7" t="s">
        <v>71</v>
      </c>
      <c r="D2811" s="7" t="s">
        <v>21</v>
      </c>
      <c r="E2811" s="7" t="s">
        <v>22</v>
      </c>
      <c r="F2811" s="7" t="s">
        <v>23</v>
      </c>
      <c r="G2811" s="7" t="s">
        <v>24</v>
      </c>
      <c r="H2811" s="7" t="s">
        <v>25</v>
      </c>
      <c r="I2811" s="7" t="s">
        <v>35</v>
      </c>
      <c r="J2811" s="7">
        <v>260</v>
      </c>
      <c r="K2811" s="7">
        <v>397.8</v>
      </c>
    </row>
    <row r="2812" spans="1:11" ht="18" customHeight="1" x14ac:dyDescent="0.25">
      <c r="A2812" s="7" t="s">
        <v>34</v>
      </c>
      <c r="B2812" s="7">
        <v>2024</v>
      </c>
      <c r="C2812" s="7" t="s">
        <v>71</v>
      </c>
      <c r="D2812" s="7" t="s">
        <v>21</v>
      </c>
      <c r="E2812" s="7" t="s">
        <v>22</v>
      </c>
      <c r="F2812" s="7" t="s">
        <v>23</v>
      </c>
      <c r="G2812" s="7" t="s">
        <v>24</v>
      </c>
      <c r="H2812" s="7" t="s">
        <v>25</v>
      </c>
      <c r="I2812" s="7" t="s">
        <v>35</v>
      </c>
      <c r="J2812" s="7">
        <v>236</v>
      </c>
      <c r="K2812" s="7">
        <v>337.48</v>
      </c>
    </row>
    <row r="2813" spans="1:11" ht="18" customHeight="1" x14ac:dyDescent="0.25">
      <c r="A2813" s="7" t="s">
        <v>19</v>
      </c>
      <c r="B2813" s="7">
        <v>2024</v>
      </c>
      <c r="C2813" s="7" t="s">
        <v>71</v>
      </c>
      <c r="D2813" s="7" t="s">
        <v>21</v>
      </c>
      <c r="E2813" s="7" t="s">
        <v>22</v>
      </c>
      <c r="F2813" s="7" t="s">
        <v>23</v>
      </c>
      <c r="G2813" s="7" t="s">
        <v>24</v>
      </c>
      <c r="H2813" s="7" t="s">
        <v>25</v>
      </c>
      <c r="I2813" s="7" t="s">
        <v>35</v>
      </c>
      <c r="J2813" s="7">
        <v>262</v>
      </c>
      <c r="K2813" s="7">
        <v>374.65999999999997</v>
      </c>
    </row>
    <row r="2814" spans="1:11" ht="18" customHeight="1" x14ac:dyDescent="0.25">
      <c r="A2814" s="7" t="s">
        <v>61</v>
      </c>
      <c r="B2814" s="7">
        <v>2024</v>
      </c>
      <c r="C2814" s="7" t="s">
        <v>71</v>
      </c>
      <c r="D2814" s="7" t="s">
        <v>21</v>
      </c>
      <c r="E2814" s="7" t="s">
        <v>22</v>
      </c>
      <c r="F2814" s="7" t="s">
        <v>23</v>
      </c>
      <c r="G2814" s="7" t="s">
        <v>24</v>
      </c>
      <c r="H2814" s="7" t="s">
        <v>25</v>
      </c>
      <c r="I2814" s="7" t="s">
        <v>35</v>
      </c>
      <c r="J2814" s="7">
        <v>672</v>
      </c>
      <c r="K2814" s="7">
        <v>960.96</v>
      </c>
    </row>
    <row r="2815" spans="1:11" ht="18" customHeight="1" x14ac:dyDescent="0.25">
      <c r="A2815" s="7" t="s">
        <v>34</v>
      </c>
      <c r="B2815" s="7">
        <v>2024</v>
      </c>
      <c r="C2815" s="7" t="s">
        <v>71</v>
      </c>
      <c r="D2815" s="7" t="s">
        <v>21</v>
      </c>
      <c r="E2815" s="7" t="s">
        <v>22</v>
      </c>
      <c r="F2815" s="7" t="s">
        <v>23</v>
      </c>
      <c r="G2815" s="7" t="s">
        <v>24</v>
      </c>
      <c r="H2815" s="7" t="s">
        <v>25</v>
      </c>
      <c r="I2815" s="7" t="s">
        <v>35</v>
      </c>
      <c r="J2815" s="7">
        <v>759</v>
      </c>
      <c r="K2815" s="7">
        <v>1085.3699999999999</v>
      </c>
    </row>
    <row r="2816" spans="1:11" ht="18" customHeight="1" x14ac:dyDescent="0.25">
      <c r="A2816" s="7" t="s">
        <v>34</v>
      </c>
      <c r="B2816" s="7">
        <v>2024</v>
      </c>
      <c r="C2816" s="7" t="s">
        <v>71</v>
      </c>
      <c r="D2816" s="7" t="s">
        <v>21</v>
      </c>
      <c r="E2816" s="7" t="s">
        <v>22</v>
      </c>
      <c r="F2816" s="7" t="s">
        <v>23</v>
      </c>
      <c r="G2816" s="7" t="s">
        <v>24</v>
      </c>
      <c r="H2816" s="7" t="s">
        <v>25</v>
      </c>
      <c r="I2816" s="7" t="s">
        <v>35</v>
      </c>
      <c r="J2816" s="7">
        <v>261</v>
      </c>
      <c r="K2816" s="7">
        <v>373.23</v>
      </c>
    </row>
    <row r="2817" spans="1:11" ht="18" customHeight="1" x14ac:dyDescent="0.25">
      <c r="A2817" s="7" t="s">
        <v>61</v>
      </c>
      <c r="B2817" s="7">
        <v>2024</v>
      </c>
      <c r="C2817" s="7" t="s">
        <v>71</v>
      </c>
      <c r="D2817" s="7" t="s">
        <v>21</v>
      </c>
      <c r="E2817" s="7" t="s">
        <v>22</v>
      </c>
      <c r="F2817" s="7" t="s">
        <v>23</v>
      </c>
      <c r="G2817" s="7" t="s">
        <v>24</v>
      </c>
      <c r="H2817" s="7" t="s">
        <v>25</v>
      </c>
      <c r="I2817" s="7" t="s">
        <v>35</v>
      </c>
      <c r="J2817" s="7">
        <v>798</v>
      </c>
      <c r="K2817" s="7">
        <v>526.24</v>
      </c>
    </row>
    <row r="2818" spans="1:11" ht="18" customHeight="1" x14ac:dyDescent="0.25">
      <c r="A2818" s="7" t="s">
        <v>19</v>
      </c>
      <c r="B2818" s="7">
        <v>2024</v>
      </c>
      <c r="C2818" s="7" t="s">
        <v>71</v>
      </c>
      <c r="D2818" s="7" t="s">
        <v>21</v>
      </c>
      <c r="E2818" s="7" t="s">
        <v>22</v>
      </c>
      <c r="F2818" s="7" t="s">
        <v>23</v>
      </c>
      <c r="G2818" s="7" t="s">
        <v>24</v>
      </c>
      <c r="H2818" s="7" t="s">
        <v>25</v>
      </c>
      <c r="I2818" s="7" t="s">
        <v>35</v>
      </c>
      <c r="J2818" s="7">
        <v>235</v>
      </c>
      <c r="K2818" s="7">
        <v>336.05</v>
      </c>
    </row>
    <row r="2819" spans="1:11" ht="18" customHeight="1" x14ac:dyDescent="0.25">
      <c r="A2819" s="7" t="s">
        <v>34</v>
      </c>
      <c r="B2819" s="7">
        <v>2024</v>
      </c>
      <c r="C2819" s="7" t="s">
        <v>71</v>
      </c>
      <c r="D2819" s="7" t="s">
        <v>21</v>
      </c>
      <c r="E2819" s="7" t="s">
        <v>22</v>
      </c>
      <c r="F2819" s="7" t="s">
        <v>23</v>
      </c>
      <c r="G2819" s="7" t="s">
        <v>24</v>
      </c>
      <c r="H2819" s="7" t="s">
        <v>25</v>
      </c>
      <c r="I2819" s="7" t="s">
        <v>35</v>
      </c>
      <c r="J2819" s="7">
        <v>263</v>
      </c>
      <c r="K2819" s="7">
        <v>376.09000000000003</v>
      </c>
    </row>
    <row r="2820" spans="1:11" ht="18" customHeight="1" x14ac:dyDescent="0.25">
      <c r="A2820" s="7" t="s">
        <v>19</v>
      </c>
      <c r="B2820" s="7">
        <v>2024</v>
      </c>
      <c r="C2820" s="7" t="s">
        <v>71</v>
      </c>
      <c r="D2820" s="7" t="s">
        <v>21</v>
      </c>
      <c r="E2820" s="7" t="s">
        <v>22</v>
      </c>
      <c r="F2820" s="7" t="s">
        <v>23</v>
      </c>
      <c r="G2820" s="7" t="s">
        <v>24</v>
      </c>
      <c r="H2820" s="7" t="s">
        <v>25</v>
      </c>
      <c r="I2820" s="7" t="s">
        <v>35</v>
      </c>
      <c r="J2820" s="7">
        <v>768</v>
      </c>
      <c r="K2820" s="7">
        <v>1098.24</v>
      </c>
    </row>
    <row r="2821" spans="1:11" ht="18" customHeight="1" x14ac:dyDescent="0.25">
      <c r="A2821" s="7" t="s">
        <v>34</v>
      </c>
      <c r="B2821" s="7">
        <v>2024</v>
      </c>
      <c r="C2821" s="7" t="s">
        <v>70</v>
      </c>
      <c r="D2821" s="7" t="s">
        <v>21</v>
      </c>
      <c r="E2821" s="7" t="s">
        <v>22</v>
      </c>
      <c r="F2821" s="7" t="s">
        <v>23</v>
      </c>
      <c r="G2821" s="7" t="s">
        <v>24</v>
      </c>
      <c r="H2821" s="7" t="s">
        <v>25</v>
      </c>
      <c r="I2821" s="7" t="s">
        <v>35</v>
      </c>
      <c r="J2821" s="7">
        <v>266</v>
      </c>
      <c r="K2821" s="7">
        <v>406.98</v>
      </c>
    </row>
    <row r="2822" spans="1:11" ht="18" customHeight="1" x14ac:dyDescent="0.25">
      <c r="A2822" s="7" t="s">
        <v>42</v>
      </c>
      <c r="B2822" s="7">
        <v>2024</v>
      </c>
      <c r="C2822" s="7" t="s">
        <v>70</v>
      </c>
      <c r="D2822" s="7" t="s">
        <v>21</v>
      </c>
      <c r="E2822" s="7" t="s">
        <v>22</v>
      </c>
      <c r="F2822" s="7" t="s">
        <v>23</v>
      </c>
      <c r="G2822" s="7" t="s">
        <v>24</v>
      </c>
      <c r="H2822" s="7" t="s">
        <v>25</v>
      </c>
      <c r="I2822" s="7" t="s">
        <v>35</v>
      </c>
      <c r="J2822" s="7">
        <v>242</v>
      </c>
      <c r="K2822" s="7">
        <v>346.06</v>
      </c>
    </row>
    <row r="2823" spans="1:11" ht="18" customHeight="1" x14ac:dyDescent="0.25">
      <c r="A2823" s="7" t="s">
        <v>34</v>
      </c>
      <c r="B2823" s="7">
        <v>2024</v>
      </c>
      <c r="C2823" s="7" t="s">
        <v>70</v>
      </c>
      <c r="D2823" s="7" t="s">
        <v>21</v>
      </c>
      <c r="E2823" s="7" t="s">
        <v>22</v>
      </c>
      <c r="F2823" s="7" t="s">
        <v>23</v>
      </c>
      <c r="G2823" s="7" t="s">
        <v>24</v>
      </c>
      <c r="H2823" s="7" t="s">
        <v>25</v>
      </c>
      <c r="I2823" s="7" t="s">
        <v>35</v>
      </c>
      <c r="J2823" s="7">
        <v>268</v>
      </c>
      <c r="K2823" s="7">
        <v>383.24</v>
      </c>
    </row>
    <row r="2824" spans="1:11" ht="18" customHeight="1" x14ac:dyDescent="0.25">
      <c r="A2824" s="7" t="s">
        <v>34</v>
      </c>
      <c r="B2824" s="7">
        <v>2024</v>
      </c>
      <c r="C2824" s="7" t="s">
        <v>70</v>
      </c>
      <c r="D2824" s="7" t="s">
        <v>21</v>
      </c>
      <c r="E2824" s="7" t="s">
        <v>22</v>
      </c>
      <c r="F2824" s="7" t="s">
        <v>23</v>
      </c>
      <c r="G2824" s="7" t="s">
        <v>24</v>
      </c>
      <c r="H2824" s="7" t="s">
        <v>25</v>
      </c>
      <c r="I2824" s="7" t="s">
        <v>35</v>
      </c>
      <c r="J2824" s="7">
        <v>238</v>
      </c>
      <c r="K2824" s="7">
        <v>340.34000000000003</v>
      </c>
    </row>
    <row r="2825" spans="1:11" ht="18" customHeight="1" x14ac:dyDescent="0.25">
      <c r="A2825" s="7" t="s">
        <v>34</v>
      </c>
      <c r="B2825" s="7">
        <v>2024</v>
      </c>
      <c r="C2825" s="7" t="s">
        <v>70</v>
      </c>
      <c r="D2825" s="7" t="s">
        <v>21</v>
      </c>
      <c r="E2825" s="7" t="s">
        <v>22</v>
      </c>
      <c r="F2825" s="7" t="s">
        <v>23</v>
      </c>
      <c r="G2825" s="7" t="s">
        <v>24</v>
      </c>
      <c r="H2825" s="7" t="s">
        <v>25</v>
      </c>
      <c r="I2825" s="7" t="s">
        <v>35</v>
      </c>
      <c r="J2825" s="7">
        <v>671</v>
      </c>
      <c r="K2825" s="7">
        <v>959.53</v>
      </c>
    </row>
    <row r="2826" spans="1:11" ht="18" customHeight="1" x14ac:dyDescent="0.25">
      <c r="A2826" s="7" t="s">
        <v>42</v>
      </c>
      <c r="B2826" s="7">
        <v>2024</v>
      </c>
      <c r="C2826" s="7" t="s">
        <v>70</v>
      </c>
      <c r="D2826" s="7" t="s">
        <v>21</v>
      </c>
      <c r="E2826" s="7" t="s">
        <v>22</v>
      </c>
      <c r="F2826" s="7" t="s">
        <v>23</v>
      </c>
      <c r="G2826" s="7" t="s">
        <v>24</v>
      </c>
      <c r="H2826" s="7" t="s">
        <v>25</v>
      </c>
      <c r="I2826" s="7" t="s">
        <v>35</v>
      </c>
      <c r="J2826" s="7">
        <v>758</v>
      </c>
      <c r="K2826" s="7">
        <v>1083.94</v>
      </c>
    </row>
    <row r="2827" spans="1:11" ht="18" customHeight="1" x14ac:dyDescent="0.25">
      <c r="A2827" s="7" t="s">
        <v>42</v>
      </c>
      <c r="B2827" s="7">
        <v>2024</v>
      </c>
      <c r="C2827" s="7" t="s">
        <v>70</v>
      </c>
      <c r="D2827" s="7" t="s">
        <v>21</v>
      </c>
      <c r="E2827" s="7" t="s">
        <v>22</v>
      </c>
      <c r="F2827" s="7" t="s">
        <v>23</v>
      </c>
      <c r="G2827" s="7" t="s">
        <v>24</v>
      </c>
      <c r="H2827" s="7" t="s">
        <v>25</v>
      </c>
      <c r="I2827" s="7" t="s">
        <v>35</v>
      </c>
      <c r="J2827" s="7">
        <v>267</v>
      </c>
      <c r="K2827" s="7">
        <v>381.81</v>
      </c>
    </row>
    <row r="2828" spans="1:11" ht="18" customHeight="1" x14ac:dyDescent="0.25">
      <c r="A2828" s="7" t="s">
        <v>34</v>
      </c>
      <c r="B2828" s="7">
        <v>2024</v>
      </c>
      <c r="C2828" s="7" t="s">
        <v>70</v>
      </c>
      <c r="D2828" s="7" t="s">
        <v>21</v>
      </c>
      <c r="E2828" s="7" t="s">
        <v>22</v>
      </c>
      <c r="F2828" s="7" t="s">
        <v>23</v>
      </c>
      <c r="G2828" s="7" t="s">
        <v>24</v>
      </c>
      <c r="H2828" s="7" t="s">
        <v>25</v>
      </c>
      <c r="I2828" s="7" t="s">
        <v>35</v>
      </c>
      <c r="J2828" s="7">
        <v>797</v>
      </c>
      <c r="K2828" s="7">
        <v>526.24</v>
      </c>
    </row>
    <row r="2829" spans="1:11" ht="18" customHeight="1" x14ac:dyDescent="0.25">
      <c r="A2829" s="7" t="s">
        <v>34</v>
      </c>
      <c r="B2829" s="7">
        <v>2024</v>
      </c>
      <c r="C2829" s="7" t="s">
        <v>70</v>
      </c>
      <c r="D2829" s="7" t="s">
        <v>21</v>
      </c>
      <c r="E2829" s="7" t="s">
        <v>22</v>
      </c>
      <c r="F2829" s="7" t="s">
        <v>23</v>
      </c>
      <c r="G2829" s="7" t="s">
        <v>24</v>
      </c>
      <c r="H2829" s="7" t="s">
        <v>25</v>
      </c>
      <c r="I2829" s="7" t="s">
        <v>35</v>
      </c>
      <c r="J2829" s="7">
        <v>265</v>
      </c>
      <c r="K2829" s="7">
        <v>378.95</v>
      </c>
    </row>
    <row r="2830" spans="1:11" ht="18" customHeight="1" x14ac:dyDescent="0.25">
      <c r="A2830" s="7" t="s">
        <v>34</v>
      </c>
      <c r="B2830" s="7">
        <v>2024</v>
      </c>
      <c r="C2830" s="7" t="s">
        <v>70</v>
      </c>
      <c r="D2830" s="7" t="s">
        <v>21</v>
      </c>
      <c r="E2830" s="7" t="s">
        <v>22</v>
      </c>
      <c r="F2830" s="7" t="s">
        <v>23</v>
      </c>
      <c r="G2830" s="7" t="s">
        <v>24</v>
      </c>
      <c r="H2830" s="7" t="s">
        <v>25</v>
      </c>
      <c r="I2830" s="7" t="s">
        <v>35</v>
      </c>
      <c r="J2830" s="7">
        <v>241</v>
      </c>
      <c r="K2830" s="7">
        <v>344.63</v>
      </c>
    </row>
    <row r="2831" spans="1:11" ht="18" customHeight="1" x14ac:dyDescent="0.25">
      <c r="A2831" s="7" t="s">
        <v>42</v>
      </c>
      <c r="B2831" s="7">
        <v>2024</v>
      </c>
      <c r="C2831" s="7" t="s">
        <v>70</v>
      </c>
      <c r="D2831" s="7" t="s">
        <v>21</v>
      </c>
      <c r="E2831" s="7" t="s">
        <v>22</v>
      </c>
      <c r="F2831" s="7" t="s">
        <v>23</v>
      </c>
      <c r="G2831" s="7" t="s">
        <v>24</v>
      </c>
      <c r="H2831" s="7" t="s">
        <v>25</v>
      </c>
      <c r="I2831" s="7" t="s">
        <v>35</v>
      </c>
      <c r="J2831" s="7">
        <v>269</v>
      </c>
      <c r="K2831" s="7">
        <v>384.67</v>
      </c>
    </row>
    <row r="2832" spans="1:11" ht="18" customHeight="1" x14ac:dyDescent="0.25">
      <c r="A2832" s="7" t="s">
        <v>34</v>
      </c>
      <c r="B2832" s="7">
        <v>2024</v>
      </c>
      <c r="C2832" s="7" t="s">
        <v>70</v>
      </c>
      <c r="D2832" s="7" t="s">
        <v>21</v>
      </c>
      <c r="E2832" s="7" t="s">
        <v>22</v>
      </c>
      <c r="F2832" s="7" t="s">
        <v>23</v>
      </c>
      <c r="G2832" s="7" t="s">
        <v>24</v>
      </c>
      <c r="H2832" s="7" t="s">
        <v>25</v>
      </c>
      <c r="I2832" s="7" t="s">
        <v>35</v>
      </c>
      <c r="J2832" s="7">
        <v>767</v>
      </c>
      <c r="K2832" s="7">
        <v>1096.81</v>
      </c>
    </row>
    <row r="2833" spans="1:11" ht="18" customHeight="1" x14ac:dyDescent="0.25">
      <c r="A2833" s="7" t="s">
        <v>42</v>
      </c>
      <c r="B2833" s="7">
        <v>2024</v>
      </c>
      <c r="C2833" s="7" t="s">
        <v>69</v>
      </c>
      <c r="D2833" s="7" t="s">
        <v>21</v>
      </c>
      <c r="E2833" s="7" t="s">
        <v>22</v>
      </c>
      <c r="F2833" s="7" t="s">
        <v>23</v>
      </c>
      <c r="G2833" s="7" t="s">
        <v>24</v>
      </c>
      <c r="H2833" s="7" t="s">
        <v>25</v>
      </c>
      <c r="I2833" s="7" t="s">
        <v>35</v>
      </c>
      <c r="J2833" s="7">
        <v>272</v>
      </c>
      <c r="K2833" s="7">
        <v>416.15999999999997</v>
      </c>
    </row>
    <row r="2834" spans="1:11" ht="18" customHeight="1" x14ac:dyDescent="0.25">
      <c r="A2834" s="7" t="s">
        <v>42</v>
      </c>
      <c r="B2834" s="7">
        <v>2024</v>
      </c>
      <c r="C2834" s="7" t="s">
        <v>69</v>
      </c>
      <c r="D2834" s="7" t="s">
        <v>21</v>
      </c>
      <c r="E2834" s="7" t="s">
        <v>22</v>
      </c>
      <c r="F2834" s="7" t="s">
        <v>23</v>
      </c>
      <c r="G2834" s="7" t="s">
        <v>24</v>
      </c>
      <c r="H2834" s="7" t="s">
        <v>25</v>
      </c>
      <c r="I2834" s="7" t="s">
        <v>35</v>
      </c>
      <c r="J2834" s="7">
        <v>248</v>
      </c>
      <c r="K2834" s="7">
        <v>354.64</v>
      </c>
    </row>
    <row r="2835" spans="1:11" ht="18" customHeight="1" x14ac:dyDescent="0.25">
      <c r="A2835" s="7" t="s">
        <v>61</v>
      </c>
      <c r="B2835" s="7">
        <v>2024</v>
      </c>
      <c r="C2835" s="7" t="s">
        <v>69</v>
      </c>
      <c r="D2835" s="7" t="s">
        <v>21</v>
      </c>
      <c r="E2835" s="7" t="s">
        <v>22</v>
      </c>
      <c r="F2835" s="7" t="s">
        <v>23</v>
      </c>
      <c r="G2835" s="7" t="s">
        <v>24</v>
      </c>
      <c r="H2835" s="7" t="s">
        <v>25</v>
      </c>
      <c r="I2835" s="7" t="s">
        <v>35</v>
      </c>
      <c r="J2835" s="7">
        <v>274</v>
      </c>
      <c r="K2835" s="7">
        <v>391.82</v>
      </c>
    </row>
    <row r="2836" spans="1:11" ht="18" customHeight="1" x14ac:dyDescent="0.25">
      <c r="A2836" s="7" t="s">
        <v>19</v>
      </c>
      <c r="B2836" s="7">
        <v>2024</v>
      </c>
      <c r="C2836" s="7" t="s">
        <v>69</v>
      </c>
      <c r="D2836" s="7" t="s">
        <v>21</v>
      </c>
      <c r="E2836" s="7" t="s">
        <v>22</v>
      </c>
      <c r="F2836" s="7" t="s">
        <v>23</v>
      </c>
      <c r="G2836" s="7" t="s">
        <v>24</v>
      </c>
      <c r="H2836" s="7" t="s">
        <v>25</v>
      </c>
      <c r="I2836" s="7" t="s">
        <v>35</v>
      </c>
      <c r="J2836" s="7">
        <v>244</v>
      </c>
      <c r="K2836" s="7">
        <v>348.92</v>
      </c>
    </row>
    <row r="2837" spans="1:11" ht="18" customHeight="1" x14ac:dyDescent="0.25">
      <c r="A2837" s="7" t="s">
        <v>34</v>
      </c>
      <c r="B2837" s="7">
        <v>2024</v>
      </c>
      <c r="C2837" s="7" t="s">
        <v>69</v>
      </c>
      <c r="D2837" s="7" t="s">
        <v>21</v>
      </c>
      <c r="E2837" s="7" t="s">
        <v>22</v>
      </c>
      <c r="F2837" s="7" t="s">
        <v>23</v>
      </c>
      <c r="G2837" s="7" t="s">
        <v>24</v>
      </c>
      <c r="H2837" s="7" t="s">
        <v>25</v>
      </c>
      <c r="I2837" s="7" t="s">
        <v>35</v>
      </c>
      <c r="J2837" s="7">
        <v>757</v>
      </c>
      <c r="K2837" s="7">
        <v>1082.51</v>
      </c>
    </row>
    <row r="2838" spans="1:11" ht="18" customHeight="1" x14ac:dyDescent="0.25">
      <c r="A2838" s="7" t="s">
        <v>34</v>
      </c>
      <c r="B2838" s="7">
        <v>2024</v>
      </c>
      <c r="C2838" s="7" t="s">
        <v>69</v>
      </c>
      <c r="D2838" s="7" t="s">
        <v>21</v>
      </c>
      <c r="E2838" s="7" t="s">
        <v>22</v>
      </c>
      <c r="F2838" s="7" t="s">
        <v>23</v>
      </c>
      <c r="G2838" s="7" t="s">
        <v>24</v>
      </c>
      <c r="H2838" s="7" t="s">
        <v>25</v>
      </c>
      <c r="I2838" s="7" t="s">
        <v>35</v>
      </c>
      <c r="J2838" s="7">
        <v>273</v>
      </c>
      <c r="K2838" s="7">
        <v>390.39</v>
      </c>
    </row>
    <row r="2839" spans="1:11" ht="18" customHeight="1" x14ac:dyDescent="0.25">
      <c r="A2839" s="7" t="s">
        <v>19</v>
      </c>
      <c r="B2839" s="7">
        <v>2024</v>
      </c>
      <c r="C2839" s="7" t="s">
        <v>69</v>
      </c>
      <c r="D2839" s="7" t="s">
        <v>21</v>
      </c>
      <c r="E2839" s="7" t="s">
        <v>22</v>
      </c>
      <c r="F2839" s="7" t="s">
        <v>23</v>
      </c>
      <c r="G2839" s="7" t="s">
        <v>24</v>
      </c>
      <c r="H2839" s="7" t="s">
        <v>25</v>
      </c>
      <c r="I2839" s="7" t="s">
        <v>35</v>
      </c>
      <c r="J2839" s="7">
        <v>271</v>
      </c>
      <c r="K2839" s="7">
        <v>387.53</v>
      </c>
    </row>
    <row r="2840" spans="1:11" ht="18" customHeight="1" x14ac:dyDescent="0.25">
      <c r="A2840" s="7" t="s">
        <v>61</v>
      </c>
      <c r="B2840" s="7">
        <v>2024</v>
      </c>
      <c r="C2840" s="7" t="s">
        <v>69</v>
      </c>
      <c r="D2840" s="7" t="s">
        <v>21</v>
      </c>
      <c r="E2840" s="7" t="s">
        <v>22</v>
      </c>
      <c r="F2840" s="7" t="s">
        <v>23</v>
      </c>
      <c r="G2840" s="7" t="s">
        <v>24</v>
      </c>
      <c r="H2840" s="7" t="s">
        <v>25</v>
      </c>
      <c r="I2840" s="7" t="s">
        <v>35</v>
      </c>
      <c r="J2840" s="7">
        <v>247</v>
      </c>
      <c r="K2840" s="7">
        <v>353.21</v>
      </c>
    </row>
    <row r="2841" spans="1:11" ht="18" customHeight="1" x14ac:dyDescent="0.25">
      <c r="A2841" s="7" t="s">
        <v>42</v>
      </c>
      <c r="B2841" s="7">
        <v>2024</v>
      </c>
      <c r="C2841" s="7" t="s">
        <v>69</v>
      </c>
      <c r="D2841" s="7" t="s">
        <v>21</v>
      </c>
      <c r="E2841" s="7" t="s">
        <v>22</v>
      </c>
      <c r="F2841" s="7" t="s">
        <v>23</v>
      </c>
      <c r="G2841" s="7" t="s">
        <v>24</v>
      </c>
      <c r="H2841" s="7" t="s">
        <v>25</v>
      </c>
      <c r="I2841" s="7" t="s">
        <v>35</v>
      </c>
      <c r="J2841" s="7">
        <v>275</v>
      </c>
      <c r="K2841" s="7">
        <v>393.25</v>
      </c>
    </row>
    <row r="2842" spans="1:11" ht="18" customHeight="1" x14ac:dyDescent="0.25">
      <c r="A2842" s="7" t="s">
        <v>42</v>
      </c>
      <c r="B2842" s="7">
        <v>2024</v>
      </c>
      <c r="C2842" s="7" t="s">
        <v>69</v>
      </c>
      <c r="D2842" s="7" t="s">
        <v>21</v>
      </c>
      <c r="E2842" s="7" t="s">
        <v>22</v>
      </c>
      <c r="F2842" s="7" t="s">
        <v>23</v>
      </c>
      <c r="G2842" s="7" t="s">
        <v>24</v>
      </c>
      <c r="H2842" s="7" t="s">
        <v>25</v>
      </c>
      <c r="I2842" s="7" t="s">
        <v>35</v>
      </c>
      <c r="J2842" s="7">
        <v>766</v>
      </c>
      <c r="K2842" s="7">
        <v>1095.3800000000001</v>
      </c>
    </row>
    <row r="2843" spans="1:11" ht="18" customHeight="1" x14ac:dyDescent="0.25">
      <c r="A2843" s="7" t="s">
        <v>34</v>
      </c>
      <c r="B2843" s="7">
        <v>2024</v>
      </c>
      <c r="C2843" s="7" t="s">
        <v>20</v>
      </c>
      <c r="D2843" s="7" t="s">
        <v>72</v>
      </c>
      <c r="E2843" s="7" t="s">
        <v>22</v>
      </c>
      <c r="F2843" s="7" t="s">
        <v>23</v>
      </c>
      <c r="G2843" s="7" t="s">
        <v>24</v>
      </c>
      <c r="H2843" s="7" t="s">
        <v>25</v>
      </c>
      <c r="I2843" s="7" t="s">
        <v>26</v>
      </c>
      <c r="J2843" s="7">
        <v>146</v>
      </c>
      <c r="K2843" s="7">
        <v>208.78</v>
      </c>
    </row>
    <row r="2844" spans="1:11" ht="18" customHeight="1" x14ac:dyDescent="0.25">
      <c r="A2844" s="7" t="s">
        <v>42</v>
      </c>
      <c r="B2844" s="7">
        <v>2024</v>
      </c>
      <c r="C2844" s="7" t="s">
        <v>20</v>
      </c>
      <c r="D2844" s="7" t="s">
        <v>72</v>
      </c>
      <c r="E2844" s="7" t="s">
        <v>22</v>
      </c>
      <c r="F2844" s="7" t="s">
        <v>23</v>
      </c>
      <c r="G2844" s="7" t="s">
        <v>24</v>
      </c>
      <c r="H2844" s="7" t="s">
        <v>25</v>
      </c>
      <c r="I2844" s="7" t="s">
        <v>26</v>
      </c>
      <c r="J2844" s="7">
        <v>368</v>
      </c>
      <c r="K2844" s="7">
        <v>526.24</v>
      </c>
    </row>
    <row r="2845" spans="1:11" ht="18" customHeight="1" x14ac:dyDescent="0.25">
      <c r="A2845" s="7" t="s">
        <v>19</v>
      </c>
      <c r="B2845" s="7">
        <v>2024</v>
      </c>
      <c r="C2845" s="7" t="s">
        <v>20</v>
      </c>
      <c r="D2845" s="7" t="s">
        <v>72</v>
      </c>
      <c r="E2845" s="7" t="s">
        <v>22</v>
      </c>
      <c r="F2845" s="7" t="s">
        <v>23</v>
      </c>
      <c r="G2845" s="7" t="s">
        <v>24</v>
      </c>
      <c r="H2845" s="7" t="s">
        <v>25</v>
      </c>
      <c r="I2845" s="7" t="s">
        <v>26</v>
      </c>
      <c r="J2845" s="7">
        <v>148</v>
      </c>
      <c r="K2845" s="7">
        <v>526.24</v>
      </c>
    </row>
    <row r="2846" spans="1:11" ht="18" customHeight="1" x14ac:dyDescent="0.25">
      <c r="A2846" s="7" t="s">
        <v>53</v>
      </c>
      <c r="B2846" s="7">
        <v>2024</v>
      </c>
      <c r="C2846" s="7" t="s">
        <v>20</v>
      </c>
      <c r="D2846" s="7" t="s">
        <v>72</v>
      </c>
      <c r="E2846" s="7" t="s">
        <v>22</v>
      </c>
      <c r="F2846" s="7" t="s">
        <v>23</v>
      </c>
      <c r="G2846" s="7" t="s">
        <v>24</v>
      </c>
      <c r="H2846" s="7" t="s">
        <v>25</v>
      </c>
      <c r="I2846" s="7" t="s">
        <v>26</v>
      </c>
      <c r="J2846" s="7">
        <v>364</v>
      </c>
      <c r="K2846" s="7">
        <v>526.24</v>
      </c>
    </row>
    <row r="2847" spans="1:11" ht="18" customHeight="1" x14ac:dyDescent="0.25">
      <c r="A2847" s="7" t="s">
        <v>53</v>
      </c>
      <c r="B2847" s="7">
        <v>2024</v>
      </c>
      <c r="C2847" s="7" t="s">
        <v>20</v>
      </c>
      <c r="D2847" s="7" t="s">
        <v>72</v>
      </c>
      <c r="E2847" s="7" t="s">
        <v>22</v>
      </c>
      <c r="F2847" s="7" t="s">
        <v>23</v>
      </c>
      <c r="G2847" s="7" t="s">
        <v>24</v>
      </c>
      <c r="H2847" s="7" t="s">
        <v>25</v>
      </c>
      <c r="I2847" s="7" t="s">
        <v>26</v>
      </c>
      <c r="J2847" s="7">
        <v>366</v>
      </c>
      <c r="K2847" s="7">
        <v>523.38</v>
      </c>
    </row>
    <row r="2848" spans="1:11" ht="18" customHeight="1" x14ac:dyDescent="0.25">
      <c r="A2848" s="7" t="s">
        <v>53</v>
      </c>
      <c r="B2848" s="7">
        <v>2024</v>
      </c>
      <c r="C2848" s="7" t="s">
        <v>20</v>
      </c>
      <c r="D2848" s="7" t="s">
        <v>72</v>
      </c>
      <c r="E2848" s="7" t="s">
        <v>22</v>
      </c>
      <c r="F2848" s="7" t="s">
        <v>23</v>
      </c>
      <c r="G2848" s="7" t="s">
        <v>24</v>
      </c>
      <c r="H2848" s="7" t="s">
        <v>25</v>
      </c>
      <c r="I2848" s="7" t="s">
        <v>26</v>
      </c>
      <c r="J2848" s="7">
        <v>147</v>
      </c>
      <c r="K2848" s="7">
        <v>210.21</v>
      </c>
    </row>
    <row r="2849" spans="1:11" ht="18" customHeight="1" x14ac:dyDescent="0.25">
      <c r="A2849" s="7" t="s">
        <v>53</v>
      </c>
      <c r="B2849" s="7">
        <v>2024</v>
      </c>
      <c r="C2849" s="7" t="s">
        <v>20</v>
      </c>
      <c r="D2849" s="7" t="s">
        <v>72</v>
      </c>
      <c r="E2849" s="7" t="s">
        <v>22</v>
      </c>
      <c r="F2849" s="7" t="s">
        <v>23</v>
      </c>
      <c r="G2849" s="7" t="s">
        <v>24</v>
      </c>
      <c r="H2849" s="7" t="s">
        <v>25</v>
      </c>
      <c r="I2849" s="7" t="s">
        <v>26</v>
      </c>
      <c r="J2849" s="7">
        <v>760</v>
      </c>
      <c r="K2849" s="7">
        <v>1086.8</v>
      </c>
    </row>
    <row r="2850" spans="1:11" ht="18" customHeight="1" x14ac:dyDescent="0.25">
      <c r="A2850" s="7" t="s">
        <v>19</v>
      </c>
      <c r="B2850" s="7">
        <v>2024</v>
      </c>
      <c r="C2850" s="7" t="s">
        <v>20</v>
      </c>
      <c r="D2850" s="7" t="s">
        <v>72</v>
      </c>
      <c r="E2850" s="7" t="s">
        <v>22</v>
      </c>
      <c r="F2850" s="7" t="s">
        <v>23</v>
      </c>
      <c r="G2850" s="7" t="s">
        <v>24</v>
      </c>
      <c r="H2850" s="7" t="s">
        <v>25</v>
      </c>
      <c r="I2850" s="7" t="s">
        <v>26</v>
      </c>
      <c r="J2850" s="7">
        <v>846</v>
      </c>
      <c r="K2850" s="7">
        <v>1209.78</v>
      </c>
    </row>
    <row r="2851" spans="1:11" ht="18" customHeight="1" x14ac:dyDescent="0.25">
      <c r="A2851" s="7" t="s">
        <v>42</v>
      </c>
      <c r="B2851" s="7">
        <v>2024</v>
      </c>
      <c r="C2851" s="7" t="s">
        <v>20</v>
      </c>
      <c r="D2851" s="7" t="s">
        <v>72</v>
      </c>
      <c r="E2851" s="7" t="s">
        <v>22</v>
      </c>
      <c r="F2851" s="7" t="s">
        <v>23</v>
      </c>
      <c r="G2851" s="7" t="s">
        <v>24</v>
      </c>
      <c r="H2851" s="7" t="s">
        <v>25</v>
      </c>
      <c r="I2851" s="7" t="s">
        <v>26</v>
      </c>
      <c r="J2851" s="7">
        <v>149</v>
      </c>
      <c r="K2851" s="7">
        <v>213.07</v>
      </c>
    </row>
    <row r="2852" spans="1:11" ht="18" customHeight="1" x14ac:dyDescent="0.25">
      <c r="A2852" s="7" t="s">
        <v>34</v>
      </c>
      <c r="B2852" s="7">
        <v>2024</v>
      </c>
      <c r="C2852" s="7" t="s">
        <v>20</v>
      </c>
      <c r="D2852" s="7" t="s">
        <v>72</v>
      </c>
      <c r="E2852" s="7" t="s">
        <v>22</v>
      </c>
      <c r="F2852" s="7" t="s">
        <v>23</v>
      </c>
      <c r="G2852" s="7" t="s">
        <v>24</v>
      </c>
      <c r="H2852" s="7" t="s">
        <v>25</v>
      </c>
      <c r="I2852" s="7" t="s">
        <v>26</v>
      </c>
      <c r="J2852" s="7">
        <v>365</v>
      </c>
      <c r="K2852" s="7">
        <v>521.95000000000005</v>
      </c>
    </row>
    <row r="2853" spans="1:11" ht="18" customHeight="1" x14ac:dyDescent="0.25">
      <c r="A2853" s="7" t="s">
        <v>19</v>
      </c>
      <c r="B2853" s="7">
        <v>2024</v>
      </c>
      <c r="C2853" s="7" t="s">
        <v>60</v>
      </c>
      <c r="D2853" s="7" t="s">
        <v>72</v>
      </c>
      <c r="E2853" s="7" t="s">
        <v>22</v>
      </c>
      <c r="F2853" s="7" t="s">
        <v>23</v>
      </c>
      <c r="G2853" s="7" t="s">
        <v>24</v>
      </c>
      <c r="H2853" s="7" t="s">
        <v>25</v>
      </c>
      <c r="I2853" s="7" t="s">
        <v>26</v>
      </c>
      <c r="J2853" s="7">
        <v>128</v>
      </c>
      <c r="K2853" s="7">
        <v>183.04</v>
      </c>
    </row>
    <row r="2854" spans="1:11" ht="18" customHeight="1" x14ac:dyDescent="0.25">
      <c r="A2854" s="7" t="s">
        <v>19</v>
      </c>
      <c r="B2854" s="7">
        <v>2024</v>
      </c>
      <c r="C2854" s="7" t="s">
        <v>60</v>
      </c>
      <c r="D2854" s="7" t="s">
        <v>72</v>
      </c>
      <c r="E2854" s="7" t="s">
        <v>22</v>
      </c>
      <c r="F2854" s="7" t="s">
        <v>23</v>
      </c>
      <c r="G2854" s="7" t="s">
        <v>24</v>
      </c>
      <c r="H2854" s="7" t="s">
        <v>25</v>
      </c>
      <c r="I2854" s="7" t="s">
        <v>26</v>
      </c>
      <c r="J2854" s="7">
        <v>344</v>
      </c>
      <c r="K2854" s="7">
        <v>491.91999999999996</v>
      </c>
    </row>
    <row r="2855" spans="1:11" ht="18" customHeight="1" x14ac:dyDescent="0.25">
      <c r="A2855" s="7" t="s">
        <v>19</v>
      </c>
      <c r="B2855" s="7">
        <v>2024</v>
      </c>
      <c r="C2855" s="7" t="s">
        <v>60</v>
      </c>
      <c r="D2855" s="7" t="s">
        <v>72</v>
      </c>
      <c r="E2855" s="7" t="s">
        <v>22</v>
      </c>
      <c r="F2855" s="7" t="s">
        <v>23</v>
      </c>
      <c r="G2855" s="7" t="s">
        <v>24</v>
      </c>
      <c r="H2855" s="7" t="s">
        <v>25</v>
      </c>
      <c r="I2855" s="7" t="s">
        <v>26</v>
      </c>
      <c r="J2855" s="7">
        <v>370</v>
      </c>
      <c r="K2855" s="7">
        <v>526.24</v>
      </c>
    </row>
    <row r="2856" spans="1:11" ht="18" customHeight="1" x14ac:dyDescent="0.25">
      <c r="A2856" s="7" t="s">
        <v>19</v>
      </c>
      <c r="B2856" s="7">
        <v>2024</v>
      </c>
      <c r="C2856" s="7" t="s">
        <v>60</v>
      </c>
      <c r="D2856" s="7" t="s">
        <v>72</v>
      </c>
      <c r="E2856" s="7" t="s">
        <v>22</v>
      </c>
      <c r="F2856" s="7" t="s">
        <v>23</v>
      </c>
      <c r="G2856" s="7" t="s">
        <v>24</v>
      </c>
      <c r="H2856" s="7" t="s">
        <v>25</v>
      </c>
      <c r="I2856" s="7" t="s">
        <v>26</v>
      </c>
      <c r="J2856" s="7">
        <v>346</v>
      </c>
      <c r="K2856" s="7">
        <v>526.24</v>
      </c>
    </row>
    <row r="2857" spans="1:11" ht="18" customHeight="1" x14ac:dyDescent="0.25">
      <c r="A2857" s="7" t="s">
        <v>34</v>
      </c>
      <c r="B2857" s="7">
        <v>2024</v>
      </c>
      <c r="C2857" s="7" t="s">
        <v>60</v>
      </c>
      <c r="D2857" s="7" t="s">
        <v>72</v>
      </c>
      <c r="E2857" s="7" t="s">
        <v>22</v>
      </c>
      <c r="F2857" s="7" t="s">
        <v>23</v>
      </c>
      <c r="G2857" s="7" t="s">
        <v>24</v>
      </c>
      <c r="H2857" s="7" t="s">
        <v>25</v>
      </c>
      <c r="I2857" s="7" t="s">
        <v>26</v>
      </c>
      <c r="J2857" s="7">
        <v>982</v>
      </c>
      <c r="K2857" s="7">
        <v>1404.26</v>
      </c>
    </row>
    <row r="2858" spans="1:11" ht="18" customHeight="1" x14ac:dyDescent="0.25">
      <c r="A2858" s="7" t="s">
        <v>19</v>
      </c>
      <c r="B2858" s="7">
        <v>2024</v>
      </c>
      <c r="C2858" s="7" t="s">
        <v>60</v>
      </c>
      <c r="D2858" s="7" t="s">
        <v>72</v>
      </c>
      <c r="E2858" s="7" t="s">
        <v>22</v>
      </c>
      <c r="F2858" s="7" t="s">
        <v>23</v>
      </c>
      <c r="G2858" s="7" t="s">
        <v>24</v>
      </c>
      <c r="H2858" s="7" t="s">
        <v>25</v>
      </c>
      <c r="I2858" s="7" t="s">
        <v>26</v>
      </c>
      <c r="J2858" s="7">
        <v>342</v>
      </c>
      <c r="K2858" s="7">
        <v>489.06</v>
      </c>
    </row>
    <row r="2859" spans="1:11" ht="18" customHeight="1" x14ac:dyDescent="0.25">
      <c r="A2859" s="7" t="s">
        <v>19</v>
      </c>
      <c r="B2859" s="7">
        <v>2024</v>
      </c>
      <c r="C2859" s="7" t="s">
        <v>60</v>
      </c>
      <c r="D2859" s="7" t="s">
        <v>72</v>
      </c>
      <c r="E2859" s="7" t="s">
        <v>22</v>
      </c>
      <c r="F2859" s="7" t="s">
        <v>23</v>
      </c>
      <c r="G2859" s="7" t="s">
        <v>24</v>
      </c>
      <c r="H2859" s="7" t="s">
        <v>25</v>
      </c>
      <c r="I2859" s="7" t="s">
        <v>26</v>
      </c>
      <c r="J2859" s="7">
        <v>369</v>
      </c>
      <c r="K2859" s="7">
        <v>527.66999999999996</v>
      </c>
    </row>
    <row r="2860" spans="1:11" ht="18" customHeight="1" x14ac:dyDescent="0.25">
      <c r="A2860" s="7" t="s">
        <v>34</v>
      </c>
      <c r="B2860" s="7">
        <v>2024</v>
      </c>
      <c r="C2860" s="7" t="s">
        <v>60</v>
      </c>
      <c r="D2860" s="7" t="s">
        <v>72</v>
      </c>
      <c r="E2860" s="7" t="s">
        <v>22</v>
      </c>
      <c r="F2860" s="7" t="s">
        <v>23</v>
      </c>
      <c r="G2860" s="7" t="s">
        <v>24</v>
      </c>
      <c r="H2860" s="7" t="s">
        <v>25</v>
      </c>
      <c r="I2860" s="7" t="s">
        <v>26</v>
      </c>
      <c r="J2860" s="7">
        <v>345</v>
      </c>
      <c r="K2860" s="7">
        <v>493.35</v>
      </c>
    </row>
    <row r="2861" spans="1:11" ht="18" customHeight="1" x14ac:dyDescent="0.25">
      <c r="A2861" s="7" t="s">
        <v>19</v>
      </c>
      <c r="B2861" s="7">
        <v>2024</v>
      </c>
      <c r="C2861" s="7" t="s">
        <v>60</v>
      </c>
      <c r="D2861" s="7" t="s">
        <v>72</v>
      </c>
      <c r="E2861" s="7" t="s">
        <v>22</v>
      </c>
      <c r="F2861" s="7" t="s">
        <v>23</v>
      </c>
      <c r="G2861" s="7" t="s">
        <v>24</v>
      </c>
      <c r="H2861" s="7" t="s">
        <v>25</v>
      </c>
      <c r="I2861" s="7" t="s">
        <v>26</v>
      </c>
      <c r="J2861" s="7">
        <v>763</v>
      </c>
      <c r="K2861" s="7">
        <v>1091.0899999999999</v>
      </c>
    </row>
    <row r="2862" spans="1:11" ht="18" customHeight="1" x14ac:dyDescent="0.25">
      <c r="A2862" s="7" t="s">
        <v>19</v>
      </c>
      <c r="B2862" s="7">
        <v>2024</v>
      </c>
      <c r="C2862" s="7" t="s">
        <v>60</v>
      </c>
      <c r="D2862" s="7" t="s">
        <v>72</v>
      </c>
      <c r="E2862" s="7" t="s">
        <v>22</v>
      </c>
      <c r="F2862" s="7" t="s">
        <v>23</v>
      </c>
      <c r="G2862" s="7" t="s">
        <v>24</v>
      </c>
      <c r="H2862" s="7" t="s">
        <v>25</v>
      </c>
      <c r="I2862" s="7" t="s">
        <v>26</v>
      </c>
      <c r="J2862" s="7">
        <v>850</v>
      </c>
      <c r="K2862" s="7">
        <v>1215.5</v>
      </c>
    </row>
    <row r="2863" spans="1:11" ht="18" customHeight="1" x14ac:dyDescent="0.25">
      <c r="A2863" s="7" t="s">
        <v>19</v>
      </c>
      <c r="B2863" s="7">
        <v>2024</v>
      </c>
      <c r="C2863" s="7" t="s">
        <v>60</v>
      </c>
      <c r="D2863" s="7" t="s">
        <v>72</v>
      </c>
      <c r="E2863" s="7" t="s">
        <v>22</v>
      </c>
      <c r="F2863" s="7" t="s">
        <v>23</v>
      </c>
      <c r="G2863" s="7" t="s">
        <v>24</v>
      </c>
      <c r="H2863" s="7" t="s">
        <v>25</v>
      </c>
      <c r="I2863" s="7" t="s">
        <v>26</v>
      </c>
      <c r="J2863" s="7">
        <v>371</v>
      </c>
      <c r="K2863" s="7">
        <v>530.53</v>
      </c>
    </row>
    <row r="2864" spans="1:11" ht="18" customHeight="1" x14ac:dyDescent="0.25">
      <c r="A2864" s="7" t="s">
        <v>19</v>
      </c>
      <c r="B2864" s="7">
        <v>2024</v>
      </c>
      <c r="C2864" s="7" t="s">
        <v>60</v>
      </c>
      <c r="D2864" s="7" t="s">
        <v>72</v>
      </c>
      <c r="E2864" s="7" t="s">
        <v>22</v>
      </c>
      <c r="F2864" s="7" t="s">
        <v>23</v>
      </c>
      <c r="G2864" s="7" t="s">
        <v>24</v>
      </c>
      <c r="H2864" s="7" t="s">
        <v>25</v>
      </c>
      <c r="I2864" s="7" t="s">
        <v>26</v>
      </c>
      <c r="J2864" s="7">
        <v>347</v>
      </c>
      <c r="K2864" s="7">
        <v>496.21000000000004</v>
      </c>
    </row>
    <row r="2865" spans="1:11" ht="18" customHeight="1" x14ac:dyDescent="0.25">
      <c r="A2865" s="7" t="s">
        <v>19</v>
      </c>
      <c r="B2865" s="7">
        <v>2024</v>
      </c>
      <c r="C2865" s="7" t="s">
        <v>65</v>
      </c>
      <c r="D2865" s="7" t="s">
        <v>72</v>
      </c>
      <c r="E2865" s="7" t="s">
        <v>22</v>
      </c>
      <c r="F2865" s="7" t="s">
        <v>23</v>
      </c>
      <c r="G2865" s="7" t="s">
        <v>24</v>
      </c>
      <c r="H2865" s="7" t="s">
        <v>25</v>
      </c>
      <c r="I2865" s="7" t="s">
        <v>26</v>
      </c>
      <c r="J2865" s="7">
        <v>350</v>
      </c>
      <c r="K2865" s="7">
        <v>500.5</v>
      </c>
    </row>
    <row r="2866" spans="1:11" ht="18" customHeight="1" x14ac:dyDescent="0.25">
      <c r="A2866" s="7" t="s">
        <v>42</v>
      </c>
      <c r="B2866" s="7">
        <v>2024</v>
      </c>
      <c r="C2866" s="7" t="s">
        <v>65</v>
      </c>
      <c r="D2866" s="7" t="s">
        <v>72</v>
      </c>
      <c r="E2866" s="7" t="s">
        <v>22</v>
      </c>
      <c r="F2866" s="7" t="s">
        <v>23</v>
      </c>
      <c r="G2866" s="7" t="s">
        <v>24</v>
      </c>
      <c r="H2866" s="7" t="s">
        <v>25</v>
      </c>
      <c r="I2866" s="7" t="s">
        <v>26</v>
      </c>
      <c r="J2866" s="7">
        <v>352</v>
      </c>
      <c r="K2866" s="7">
        <v>526.24</v>
      </c>
    </row>
    <row r="2867" spans="1:11" ht="18" customHeight="1" x14ac:dyDescent="0.25">
      <c r="A2867" s="7" t="s">
        <v>34</v>
      </c>
      <c r="B2867" s="7">
        <v>2024</v>
      </c>
      <c r="C2867" s="7" t="s">
        <v>65</v>
      </c>
      <c r="D2867" s="7" t="s">
        <v>72</v>
      </c>
      <c r="E2867" s="7" t="s">
        <v>22</v>
      </c>
      <c r="F2867" s="7" t="s">
        <v>23</v>
      </c>
      <c r="G2867" s="7" t="s">
        <v>24</v>
      </c>
      <c r="H2867" s="7" t="s">
        <v>25</v>
      </c>
      <c r="I2867" s="7" t="s">
        <v>26</v>
      </c>
      <c r="J2867" s="7">
        <v>322</v>
      </c>
      <c r="K2867" s="7">
        <v>526.24</v>
      </c>
    </row>
    <row r="2868" spans="1:11" ht="18" customHeight="1" x14ac:dyDescent="0.25">
      <c r="A2868" s="7" t="s">
        <v>34</v>
      </c>
      <c r="B2868" s="7">
        <v>2024</v>
      </c>
      <c r="C2868" s="7" t="s">
        <v>65</v>
      </c>
      <c r="D2868" s="7" t="s">
        <v>72</v>
      </c>
      <c r="E2868" s="7" t="s">
        <v>22</v>
      </c>
      <c r="F2868" s="7" t="s">
        <v>23</v>
      </c>
      <c r="G2868" s="7" t="s">
        <v>24</v>
      </c>
      <c r="H2868" s="7" t="s">
        <v>25</v>
      </c>
      <c r="I2868" s="7" t="s">
        <v>26</v>
      </c>
      <c r="J2868" s="7">
        <v>986</v>
      </c>
      <c r="K2868" s="7">
        <v>1409.98</v>
      </c>
    </row>
    <row r="2869" spans="1:11" ht="18" customHeight="1" x14ac:dyDescent="0.25">
      <c r="A2869" s="7" t="s">
        <v>19</v>
      </c>
      <c r="B2869" s="7">
        <v>2024</v>
      </c>
      <c r="C2869" s="7" t="s">
        <v>65</v>
      </c>
      <c r="D2869" s="7" t="s">
        <v>72</v>
      </c>
      <c r="E2869" s="7" t="s">
        <v>22</v>
      </c>
      <c r="F2869" s="7" t="s">
        <v>23</v>
      </c>
      <c r="G2869" s="7" t="s">
        <v>24</v>
      </c>
      <c r="H2869" s="7" t="s">
        <v>25</v>
      </c>
      <c r="I2869" s="7" t="s">
        <v>26</v>
      </c>
      <c r="J2869" s="7">
        <v>324</v>
      </c>
      <c r="K2869" s="7">
        <v>463.32</v>
      </c>
    </row>
    <row r="2870" spans="1:11" ht="18" customHeight="1" x14ac:dyDescent="0.25">
      <c r="A2870" s="7" t="s">
        <v>19</v>
      </c>
      <c r="B2870" s="7">
        <v>2024</v>
      </c>
      <c r="C2870" s="7" t="s">
        <v>65</v>
      </c>
      <c r="D2870" s="7" t="s">
        <v>72</v>
      </c>
      <c r="E2870" s="7" t="s">
        <v>22</v>
      </c>
      <c r="F2870" s="7" t="s">
        <v>23</v>
      </c>
      <c r="G2870" s="7" t="s">
        <v>24</v>
      </c>
      <c r="H2870" s="7" t="s">
        <v>25</v>
      </c>
      <c r="I2870" s="7" t="s">
        <v>26</v>
      </c>
      <c r="J2870" s="7">
        <v>351</v>
      </c>
      <c r="K2870" s="7">
        <v>501.93</v>
      </c>
    </row>
    <row r="2871" spans="1:11" ht="18" customHeight="1" x14ac:dyDescent="0.25">
      <c r="A2871" s="7" t="s">
        <v>34</v>
      </c>
      <c r="B2871" s="7">
        <v>2024</v>
      </c>
      <c r="C2871" s="7" t="s">
        <v>65</v>
      </c>
      <c r="D2871" s="7" t="s">
        <v>72</v>
      </c>
      <c r="E2871" s="7" t="s">
        <v>22</v>
      </c>
      <c r="F2871" s="7" t="s">
        <v>23</v>
      </c>
      <c r="G2871" s="7" t="s">
        <v>24</v>
      </c>
      <c r="H2871" s="7" t="s">
        <v>25</v>
      </c>
      <c r="I2871" s="7" t="s">
        <v>26</v>
      </c>
      <c r="J2871" s="7">
        <v>321</v>
      </c>
      <c r="K2871" s="7">
        <v>459.03</v>
      </c>
    </row>
    <row r="2872" spans="1:11" ht="18" customHeight="1" x14ac:dyDescent="0.25">
      <c r="A2872" s="7" t="s">
        <v>34</v>
      </c>
      <c r="B2872" s="7">
        <v>2024</v>
      </c>
      <c r="C2872" s="7" t="s">
        <v>65</v>
      </c>
      <c r="D2872" s="7" t="s">
        <v>72</v>
      </c>
      <c r="E2872" s="7" t="s">
        <v>22</v>
      </c>
      <c r="F2872" s="7" t="s">
        <v>23</v>
      </c>
      <c r="G2872" s="7" t="s">
        <v>24</v>
      </c>
      <c r="H2872" s="7" t="s">
        <v>25</v>
      </c>
      <c r="I2872" s="7" t="s">
        <v>26</v>
      </c>
      <c r="J2872" s="7">
        <v>767</v>
      </c>
      <c r="K2872" s="7">
        <v>1096.81</v>
      </c>
    </row>
    <row r="2873" spans="1:11" ht="18" customHeight="1" x14ac:dyDescent="0.25">
      <c r="A2873" s="7" t="s">
        <v>42</v>
      </c>
      <c r="B2873" s="7">
        <v>2024</v>
      </c>
      <c r="C2873" s="7" t="s">
        <v>65</v>
      </c>
      <c r="D2873" s="7" t="s">
        <v>72</v>
      </c>
      <c r="E2873" s="7" t="s">
        <v>22</v>
      </c>
      <c r="F2873" s="7" t="s">
        <v>23</v>
      </c>
      <c r="G2873" s="7" t="s">
        <v>24</v>
      </c>
      <c r="H2873" s="7" t="s">
        <v>25</v>
      </c>
      <c r="I2873" s="7" t="s">
        <v>26</v>
      </c>
      <c r="J2873" s="7">
        <v>853</v>
      </c>
      <c r="K2873" s="7">
        <v>1219.79</v>
      </c>
    </row>
    <row r="2874" spans="1:11" ht="18" customHeight="1" x14ac:dyDescent="0.25">
      <c r="A2874" s="7" t="s">
        <v>19</v>
      </c>
      <c r="B2874" s="7">
        <v>2024</v>
      </c>
      <c r="C2874" s="7" t="s">
        <v>65</v>
      </c>
      <c r="D2874" s="7" t="s">
        <v>72</v>
      </c>
      <c r="E2874" s="7" t="s">
        <v>22</v>
      </c>
      <c r="F2874" s="7" t="s">
        <v>23</v>
      </c>
      <c r="G2874" s="7" t="s">
        <v>24</v>
      </c>
      <c r="H2874" s="7" t="s">
        <v>25</v>
      </c>
      <c r="I2874" s="7" t="s">
        <v>26</v>
      </c>
      <c r="J2874" s="7">
        <v>323</v>
      </c>
      <c r="K2874" s="7">
        <v>461.89</v>
      </c>
    </row>
    <row r="2875" spans="1:11" ht="18" customHeight="1" x14ac:dyDescent="0.25">
      <c r="A2875" s="7" t="s">
        <v>42</v>
      </c>
      <c r="B2875" s="7">
        <v>2024</v>
      </c>
      <c r="C2875" s="7" t="s">
        <v>59</v>
      </c>
      <c r="D2875" s="7" t="s">
        <v>72</v>
      </c>
      <c r="E2875" s="7" t="s">
        <v>22</v>
      </c>
      <c r="F2875" s="7" t="s">
        <v>23</v>
      </c>
      <c r="G2875" s="7" t="s">
        <v>24</v>
      </c>
      <c r="H2875" s="7" t="s">
        <v>25</v>
      </c>
      <c r="I2875" s="7" t="s">
        <v>26</v>
      </c>
      <c r="J2875" s="7">
        <v>158</v>
      </c>
      <c r="K2875" s="7">
        <v>225.94</v>
      </c>
    </row>
    <row r="2876" spans="1:11" ht="18" customHeight="1" x14ac:dyDescent="0.25">
      <c r="A2876" s="7" t="s">
        <v>19</v>
      </c>
      <c r="B2876" s="7">
        <v>2024</v>
      </c>
      <c r="C2876" s="7" t="s">
        <v>59</v>
      </c>
      <c r="D2876" s="7" t="s">
        <v>72</v>
      </c>
      <c r="E2876" s="7" t="s">
        <v>22</v>
      </c>
      <c r="F2876" s="7" t="s">
        <v>23</v>
      </c>
      <c r="G2876" s="7" t="s">
        <v>24</v>
      </c>
      <c r="H2876" s="7" t="s">
        <v>25</v>
      </c>
      <c r="I2876" s="7" t="s">
        <v>26</v>
      </c>
      <c r="J2876" s="7">
        <v>128</v>
      </c>
      <c r="K2876" s="7">
        <v>183.04</v>
      </c>
    </row>
    <row r="2877" spans="1:11" ht="18" customHeight="1" x14ac:dyDescent="0.25">
      <c r="A2877" s="7" t="s">
        <v>42</v>
      </c>
      <c r="B2877" s="7">
        <v>2024</v>
      </c>
      <c r="C2877" s="7" t="s">
        <v>59</v>
      </c>
      <c r="D2877" s="7" t="s">
        <v>72</v>
      </c>
      <c r="E2877" s="7" t="s">
        <v>22</v>
      </c>
      <c r="F2877" s="7" t="s">
        <v>23</v>
      </c>
      <c r="G2877" s="7" t="s">
        <v>24</v>
      </c>
      <c r="H2877" s="7" t="s">
        <v>25</v>
      </c>
      <c r="I2877" s="7" t="s">
        <v>26</v>
      </c>
      <c r="J2877" s="7">
        <v>160</v>
      </c>
      <c r="K2877" s="7">
        <v>526.24</v>
      </c>
    </row>
    <row r="2878" spans="1:11" ht="18" customHeight="1" x14ac:dyDescent="0.25">
      <c r="A2878" s="7" t="s">
        <v>34</v>
      </c>
      <c r="B2878" s="7">
        <v>2024</v>
      </c>
      <c r="C2878" s="7" t="s">
        <v>59</v>
      </c>
      <c r="D2878" s="7" t="s">
        <v>72</v>
      </c>
      <c r="E2878" s="7" t="s">
        <v>22</v>
      </c>
      <c r="F2878" s="7" t="s">
        <v>23</v>
      </c>
      <c r="G2878" s="7" t="s">
        <v>24</v>
      </c>
      <c r="H2878" s="7" t="s">
        <v>25</v>
      </c>
      <c r="I2878" s="7" t="s">
        <v>26</v>
      </c>
      <c r="J2878" s="7">
        <v>130</v>
      </c>
      <c r="K2878" s="7">
        <v>526.24</v>
      </c>
    </row>
    <row r="2879" spans="1:11" ht="18" customHeight="1" x14ac:dyDescent="0.25">
      <c r="A2879" s="7" t="s">
        <v>34</v>
      </c>
      <c r="B2879" s="7">
        <v>2024</v>
      </c>
      <c r="C2879" s="7" t="s">
        <v>59</v>
      </c>
      <c r="D2879" s="7" t="s">
        <v>72</v>
      </c>
      <c r="E2879" s="7" t="s">
        <v>22</v>
      </c>
      <c r="F2879" s="7" t="s">
        <v>23</v>
      </c>
      <c r="G2879" s="7" t="s">
        <v>24</v>
      </c>
      <c r="H2879" s="7" t="s">
        <v>25</v>
      </c>
      <c r="I2879" s="7" t="s">
        <v>26</v>
      </c>
      <c r="J2879" s="7">
        <v>977</v>
      </c>
      <c r="K2879" s="7">
        <v>1397.1100000000001</v>
      </c>
    </row>
    <row r="2880" spans="1:11" ht="18" customHeight="1" x14ac:dyDescent="0.25">
      <c r="A2880" s="7" t="s">
        <v>19</v>
      </c>
      <c r="B2880" s="7">
        <v>2024</v>
      </c>
      <c r="C2880" s="7" t="s">
        <v>59</v>
      </c>
      <c r="D2880" s="7" t="s">
        <v>72</v>
      </c>
      <c r="E2880" s="7" t="s">
        <v>22</v>
      </c>
      <c r="F2880" s="7" t="s">
        <v>23</v>
      </c>
      <c r="G2880" s="7" t="s">
        <v>24</v>
      </c>
      <c r="H2880" s="7" t="s">
        <v>25</v>
      </c>
      <c r="I2880" s="7" t="s">
        <v>26</v>
      </c>
      <c r="J2880" s="7">
        <v>132</v>
      </c>
      <c r="K2880" s="7">
        <v>188.76</v>
      </c>
    </row>
    <row r="2881" spans="1:11" ht="18" customHeight="1" x14ac:dyDescent="0.25">
      <c r="A2881" s="7" t="s">
        <v>19</v>
      </c>
      <c r="B2881" s="7">
        <v>2024</v>
      </c>
      <c r="C2881" s="7" t="s">
        <v>59</v>
      </c>
      <c r="D2881" s="7" t="s">
        <v>72</v>
      </c>
      <c r="E2881" s="7" t="s">
        <v>22</v>
      </c>
      <c r="F2881" s="7" t="s">
        <v>23</v>
      </c>
      <c r="G2881" s="7" t="s">
        <v>24</v>
      </c>
      <c r="H2881" s="7" t="s">
        <v>25</v>
      </c>
      <c r="I2881" s="7" t="s">
        <v>26</v>
      </c>
      <c r="J2881" s="7">
        <v>159</v>
      </c>
      <c r="K2881" s="7">
        <v>227.37</v>
      </c>
    </row>
    <row r="2882" spans="1:11" ht="18" customHeight="1" x14ac:dyDescent="0.25">
      <c r="A2882" s="7" t="s">
        <v>34</v>
      </c>
      <c r="B2882" s="7">
        <v>2024</v>
      </c>
      <c r="C2882" s="7" t="s">
        <v>59</v>
      </c>
      <c r="D2882" s="7" t="s">
        <v>72</v>
      </c>
      <c r="E2882" s="7" t="s">
        <v>22</v>
      </c>
      <c r="F2882" s="7" t="s">
        <v>23</v>
      </c>
      <c r="G2882" s="7" t="s">
        <v>24</v>
      </c>
      <c r="H2882" s="7" t="s">
        <v>25</v>
      </c>
      <c r="I2882" s="7" t="s">
        <v>26</v>
      </c>
      <c r="J2882" s="7">
        <v>129</v>
      </c>
      <c r="K2882" s="7">
        <v>184.47</v>
      </c>
    </row>
    <row r="2883" spans="1:11" ht="18" customHeight="1" x14ac:dyDescent="0.25">
      <c r="A2883" s="7" t="s">
        <v>34</v>
      </c>
      <c r="B2883" s="7">
        <v>2024</v>
      </c>
      <c r="C2883" s="7" t="s">
        <v>59</v>
      </c>
      <c r="D2883" s="7" t="s">
        <v>72</v>
      </c>
      <c r="E2883" s="7" t="s">
        <v>22</v>
      </c>
      <c r="F2883" s="7" t="s">
        <v>23</v>
      </c>
      <c r="G2883" s="7" t="s">
        <v>24</v>
      </c>
      <c r="H2883" s="7" t="s">
        <v>25</v>
      </c>
      <c r="I2883" s="7" t="s">
        <v>26</v>
      </c>
      <c r="J2883" s="7">
        <v>758</v>
      </c>
      <c r="K2883" s="7">
        <v>1083.94</v>
      </c>
    </row>
    <row r="2884" spans="1:11" ht="18" customHeight="1" x14ac:dyDescent="0.25">
      <c r="A2884" s="7" t="s">
        <v>42</v>
      </c>
      <c r="B2884" s="7">
        <v>2024</v>
      </c>
      <c r="C2884" s="7" t="s">
        <v>59</v>
      </c>
      <c r="D2884" s="7" t="s">
        <v>72</v>
      </c>
      <c r="E2884" s="7" t="s">
        <v>22</v>
      </c>
      <c r="F2884" s="7" t="s">
        <v>23</v>
      </c>
      <c r="G2884" s="7" t="s">
        <v>24</v>
      </c>
      <c r="H2884" s="7" t="s">
        <v>25</v>
      </c>
      <c r="I2884" s="7" t="s">
        <v>26</v>
      </c>
      <c r="J2884" s="7">
        <v>844</v>
      </c>
      <c r="K2884" s="7">
        <v>1206.92</v>
      </c>
    </row>
    <row r="2885" spans="1:11" ht="18" customHeight="1" x14ac:dyDescent="0.25">
      <c r="A2885" s="7" t="s">
        <v>19</v>
      </c>
      <c r="B2885" s="7">
        <v>2024</v>
      </c>
      <c r="C2885" s="7" t="s">
        <v>59</v>
      </c>
      <c r="D2885" s="7" t="s">
        <v>72</v>
      </c>
      <c r="E2885" s="7" t="s">
        <v>22</v>
      </c>
      <c r="F2885" s="7" t="s">
        <v>23</v>
      </c>
      <c r="G2885" s="7" t="s">
        <v>24</v>
      </c>
      <c r="H2885" s="7" t="s">
        <v>25</v>
      </c>
      <c r="I2885" s="7" t="s">
        <v>26</v>
      </c>
      <c r="J2885" s="7">
        <v>155</v>
      </c>
      <c r="K2885" s="7">
        <v>221.65</v>
      </c>
    </row>
    <row r="2886" spans="1:11" ht="18" customHeight="1" x14ac:dyDescent="0.25">
      <c r="A2886" s="7" t="s">
        <v>42</v>
      </c>
      <c r="B2886" s="7">
        <v>2024</v>
      </c>
      <c r="C2886" s="7" t="s">
        <v>59</v>
      </c>
      <c r="D2886" s="7" t="s">
        <v>72</v>
      </c>
      <c r="E2886" s="7" t="s">
        <v>22</v>
      </c>
      <c r="F2886" s="7" t="s">
        <v>23</v>
      </c>
      <c r="G2886" s="7" t="s">
        <v>24</v>
      </c>
      <c r="H2886" s="7" t="s">
        <v>25</v>
      </c>
      <c r="I2886" s="7" t="s">
        <v>26</v>
      </c>
      <c r="J2886" s="7">
        <v>131</v>
      </c>
      <c r="K2886" s="7">
        <v>187.32999999999998</v>
      </c>
    </row>
    <row r="2887" spans="1:11" ht="18" customHeight="1" x14ac:dyDescent="0.25">
      <c r="A2887" s="7" t="s">
        <v>19</v>
      </c>
      <c r="B2887" s="7">
        <v>2024</v>
      </c>
      <c r="C2887" s="7" t="s">
        <v>27</v>
      </c>
      <c r="D2887" s="7" t="s">
        <v>72</v>
      </c>
      <c r="E2887" s="7" t="s">
        <v>22</v>
      </c>
      <c r="F2887" s="7" t="s">
        <v>23</v>
      </c>
      <c r="G2887" s="7" t="s">
        <v>24</v>
      </c>
      <c r="H2887" s="7" t="s">
        <v>25</v>
      </c>
      <c r="I2887" s="7" t="s">
        <v>26</v>
      </c>
      <c r="J2887" s="7">
        <v>164</v>
      </c>
      <c r="K2887" s="7">
        <v>234.51999999999998</v>
      </c>
    </row>
    <row r="2888" spans="1:11" ht="18" customHeight="1" x14ac:dyDescent="0.25">
      <c r="A2888" s="7" t="s">
        <v>53</v>
      </c>
      <c r="B2888" s="7">
        <v>2024</v>
      </c>
      <c r="C2888" s="7" t="s">
        <v>27</v>
      </c>
      <c r="D2888" s="7" t="s">
        <v>72</v>
      </c>
      <c r="E2888" s="7" t="s">
        <v>22</v>
      </c>
      <c r="F2888" s="7" t="s">
        <v>23</v>
      </c>
      <c r="G2888" s="7" t="s">
        <v>24</v>
      </c>
      <c r="H2888" s="7" t="s">
        <v>25</v>
      </c>
      <c r="I2888" s="7" t="s">
        <v>26</v>
      </c>
      <c r="J2888" s="7">
        <v>134</v>
      </c>
      <c r="K2888" s="7">
        <v>191.62</v>
      </c>
    </row>
    <row r="2889" spans="1:11" ht="18" customHeight="1" x14ac:dyDescent="0.25">
      <c r="A2889" s="7" t="s">
        <v>34</v>
      </c>
      <c r="B2889" s="7">
        <v>2024</v>
      </c>
      <c r="C2889" s="7" t="s">
        <v>27</v>
      </c>
      <c r="D2889" s="7" t="s">
        <v>72</v>
      </c>
      <c r="E2889" s="7" t="s">
        <v>22</v>
      </c>
      <c r="F2889" s="7" t="s">
        <v>23</v>
      </c>
      <c r="G2889" s="7" t="s">
        <v>24</v>
      </c>
      <c r="H2889" s="7" t="s">
        <v>25</v>
      </c>
      <c r="I2889" s="7" t="s">
        <v>26</v>
      </c>
      <c r="J2889" s="7">
        <v>136</v>
      </c>
      <c r="K2889" s="7">
        <v>526.24</v>
      </c>
    </row>
    <row r="2890" spans="1:11" ht="18" customHeight="1" x14ac:dyDescent="0.25">
      <c r="A2890" s="7" t="s">
        <v>34</v>
      </c>
      <c r="B2890" s="7">
        <v>2024</v>
      </c>
      <c r="C2890" s="7" t="s">
        <v>27</v>
      </c>
      <c r="D2890" s="7" t="s">
        <v>72</v>
      </c>
      <c r="E2890" s="7" t="s">
        <v>22</v>
      </c>
      <c r="F2890" s="7" t="s">
        <v>23</v>
      </c>
      <c r="G2890" s="7" t="s">
        <v>24</v>
      </c>
      <c r="H2890" s="7" t="s">
        <v>25</v>
      </c>
      <c r="I2890" s="7" t="s">
        <v>26</v>
      </c>
      <c r="J2890" s="7">
        <v>976</v>
      </c>
      <c r="K2890" s="7">
        <v>1395.68</v>
      </c>
    </row>
    <row r="2891" spans="1:11" ht="18" customHeight="1" x14ac:dyDescent="0.25">
      <c r="A2891" s="7" t="s">
        <v>34</v>
      </c>
      <c r="B2891" s="7">
        <v>2024</v>
      </c>
      <c r="C2891" s="7" t="s">
        <v>27</v>
      </c>
      <c r="D2891" s="7" t="s">
        <v>72</v>
      </c>
      <c r="E2891" s="7" t="s">
        <v>22</v>
      </c>
      <c r="F2891" s="7" t="s">
        <v>23</v>
      </c>
      <c r="G2891" s="7" t="s">
        <v>24</v>
      </c>
      <c r="H2891" s="7" t="s">
        <v>25</v>
      </c>
      <c r="I2891" s="7" t="s">
        <v>26</v>
      </c>
      <c r="J2891" s="7">
        <v>138</v>
      </c>
      <c r="K2891" s="7">
        <v>197.34</v>
      </c>
    </row>
    <row r="2892" spans="1:11" ht="18" customHeight="1" x14ac:dyDescent="0.25">
      <c r="A2892" s="7" t="s">
        <v>34</v>
      </c>
      <c r="B2892" s="7">
        <v>2024</v>
      </c>
      <c r="C2892" s="7" t="s">
        <v>27</v>
      </c>
      <c r="D2892" s="7" t="s">
        <v>72</v>
      </c>
      <c r="E2892" s="7" t="s">
        <v>22</v>
      </c>
      <c r="F2892" s="7" t="s">
        <v>23</v>
      </c>
      <c r="G2892" s="7" t="s">
        <v>24</v>
      </c>
      <c r="H2892" s="7" t="s">
        <v>25</v>
      </c>
      <c r="I2892" s="7" t="s">
        <v>26</v>
      </c>
      <c r="J2892" s="7">
        <v>165</v>
      </c>
      <c r="K2892" s="7">
        <v>235.95</v>
      </c>
    </row>
    <row r="2893" spans="1:11" ht="18" customHeight="1" x14ac:dyDescent="0.25">
      <c r="A2893" s="7" t="s">
        <v>34</v>
      </c>
      <c r="B2893" s="7">
        <v>2024</v>
      </c>
      <c r="C2893" s="7" t="s">
        <v>27</v>
      </c>
      <c r="D2893" s="7" t="s">
        <v>72</v>
      </c>
      <c r="E2893" s="7" t="s">
        <v>22</v>
      </c>
      <c r="F2893" s="7" t="s">
        <v>23</v>
      </c>
      <c r="G2893" s="7" t="s">
        <v>24</v>
      </c>
      <c r="H2893" s="7" t="s">
        <v>25</v>
      </c>
      <c r="I2893" s="7" t="s">
        <v>26</v>
      </c>
      <c r="J2893" s="7">
        <v>135</v>
      </c>
      <c r="K2893" s="7">
        <v>193.05</v>
      </c>
    </row>
    <row r="2894" spans="1:11" ht="18" customHeight="1" x14ac:dyDescent="0.25">
      <c r="A2894" s="7" t="s">
        <v>34</v>
      </c>
      <c r="B2894" s="7">
        <v>2024</v>
      </c>
      <c r="C2894" s="7" t="s">
        <v>27</v>
      </c>
      <c r="D2894" s="7" t="s">
        <v>72</v>
      </c>
      <c r="E2894" s="7" t="s">
        <v>22</v>
      </c>
      <c r="F2894" s="7" t="s">
        <v>23</v>
      </c>
      <c r="G2894" s="7" t="s">
        <v>24</v>
      </c>
      <c r="H2894" s="7" t="s">
        <v>25</v>
      </c>
      <c r="I2894" s="7" t="s">
        <v>26</v>
      </c>
      <c r="J2894" s="7">
        <v>757</v>
      </c>
      <c r="K2894" s="7">
        <v>1082.51</v>
      </c>
    </row>
    <row r="2895" spans="1:11" ht="18" customHeight="1" x14ac:dyDescent="0.25">
      <c r="A2895" s="7" t="s">
        <v>53</v>
      </c>
      <c r="B2895" s="7">
        <v>2024</v>
      </c>
      <c r="C2895" s="7" t="s">
        <v>27</v>
      </c>
      <c r="D2895" s="7" t="s">
        <v>72</v>
      </c>
      <c r="E2895" s="7" t="s">
        <v>22</v>
      </c>
      <c r="F2895" s="7" t="s">
        <v>23</v>
      </c>
      <c r="G2895" s="7" t="s">
        <v>24</v>
      </c>
      <c r="H2895" s="7" t="s">
        <v>25</v>
      </c>
      <c r="I2895" s="7" t="s">
        <v>26</v>
      </c>
      <c r="J2895" s="7">
        <v>161</v>
      </c>
      <c r="K2895" s="7">
        <v>230.23000000000002</v>
      </c>
    </row>
    <row r="2896" spans="1:11" ht="18" customHeight="1" x14ac:dyDescent="0.25">
      <c r="A2896" s="7" t="s">
        <v>19</v>
      </c>
      <c r="B2896" s="7">
        <v>2024</v>
      </c>
      <c r="C2896" s="7" t="s">
        <v>27</v>
      </c>
      <c r="D2896" s="7" t="s">
        <v>72</v>
      </c>
      <c r="E2896" s="7" t="s">
        <v>22</v>
      </c>
      <c r="F2896" s="7" t="s">
        <v>23</v>
      </c>
      <c r="G2896" s="7" t="s">
        <v>24</v>
      </c>
      <c r="H2896" s="7" t="s">
        <v>25</v>
      </c>
      <c r="I2896" s="7" t="s">
        <v>26</v>
      </c>
      <c r="J2896" s="7">
        <v>137</v>
      </c>
      <c r="K2896" s="7">
        <v>195.91</v>
      </c>
    </row>
    <row r="2897" spans="1:11" ht="18" customHeight="1" x14ac:dyDescent="0.25">
      <c r="A2897" s="7" t="s">
        <v>34</v>
      </c>
      <c r="B2897" s="7">
        <v>2024</v>
      </c>
      <c r="C2897" s="7" t="s">
        <v>68</v>
      </c>
      <c r="D2897" s="7" t="s">
        <v>72</v>
      </c>
      <c r="E2897" s="7" t="s">
        <v>22</v>
      </c>
      <c r="F2897" s="7" t="s">
        <v>23</v>
      </c>
      <c r="G2897" s="7" t="s">
        <v>24</v>
      </c>
      <c r="H2897" s="7" t="s">
        <v>25</v>
      </c>
      <c r="I2897" s="7" t="s">
        <v>26</v>
      </c>
      <c r="J2897" s="7">
        <v>350</v>
      </c>
      <c r="K2897" s="7">
        <v>500.5</v>
      </c>
    </row>
    <row r="2898" spans="1:11" ht="18" customHeight="1" x14ac:dyDescent="0.25">
      <c r="A2898" s="7" t="s">
        <v>19</v>
      </c>
      <c r="B2898" s="7">
        <v>2024</v>
      </c>
      <c r="C2898" s="7" t="s">
        <v>68</v>
      </c>
      <c r="D2898" s="7" t="s">
        <v>72</v>
      </c>
      <c r="E2898" s="7" t="s">
        <v>22</v>
      </c>
      <c r="F2898" s="7" t="s">
        <v>23</v>
      </c>
      <c r="G2898" s="7" t="s">
        <v>24</v>
      </c>
      <c r="H2898" s="7" t="s">
        <v>25</v>
      </c>
      <c r="I2898" s="7" t="s">
        <v>26</v>
      </c>
      <c r="J2898" s="7">
        <v>130</v>
      </c>
      <c r="K2898" s="7">
        <v>526.24</v>
      </c>
    </row>
    <row r="2899" spans="1:11" ht="18" customHeight="1" x14ac:dyDescent="0.25">
      <c r="A2899" s="7" t="s">
        <v>34</v>
      </c>
      <c r="B2899" s="7">
        <v>2024</v>
      </c>
      <c r="C2899" s="7" t="s">
        <v>68</v>
      </c>
      <c r="D2899" s="7" t="s">
        <v>72</v>
      </c>
      <c r="E2899" s="7" t="s">
        <v>22</v>
      </c>
      <c r="F2899" s="7" t="s">
        <v>23</v>
      </c>
      <c r="G2899" s="7" t="s">
        <v>24</v>
      </c>
      <c r="H2899" s="7" t="s">
        <v>25</v>
      </c>
      <c r="I2899" s="7" t="s">
        <v>26</v>
      </c>
      <c r="J2899" s="7">
        <v>352</v>
      </c>
      <c r="K2899" s="7">
        <v>526.24</v>
      </c>
    </row>
    <row r="2900" spans="1:11" ht="18" customHeight="1" x14ac:dyDescent="0.25">
      <c r="A2900" s="7" t="s">
        <v>42</v>
      </c>
      <c r="B2900" s="7">
        <v>2024</v>
      </c>
      <c r="C2900" s="7" t="s">
        <v>68</v>
      </c>
      <c r="D2900" s="7" t="s">
        <v>72</v>
      </c>
      <c r="E2900" s="7" t="s">
        <v>22</v>
      </c>
      <c r="F2900" s="7" t="s">
        <v>23</v>
      </c>
      <c r="G2900" s="7" t="s">
        <v>24</v>
      </c>
      <c r="H2900" s="7" t="s">
        <v>25</v>
      </c>
      <c r="I2900" s="7" t="s">
        <v>26</v>
      </c>
      <c r="J2900" s="7">
        <v>981</v>
      </c>
      <c r="K2900" s="7">
        <v>1402.83</v>
      </c>
    </row>
    <row r="2901" spans="1:11" ht="18" customHeight="1" x14ac:dyDescent="0.25">
      <c r="A2901" s="7" t="s">
        <v>34</v>
      </c>
      <c r="B2901" s="7">
        <v>2024</v>
      </c>
      <c r="C2901" s="7" t="s">
        <v>68</v>
      </c>
      <c r="D2901" s="7" t="s">
        <v>72</v>
      </c>
      <c r="E2901" s="7" t="s">
        <v>22</v>
      </c>
      <c r="F2901" s="7" t="s">
        <v>23</v>
      </c>
      <c r="G2901" s="7" t="s">
        <v>24</v>
      </c>
      <c r="H2901" s="7" t="s">
        <v>25</v>
      </c>
      <c r="I2901" s="7" t="s">
        <v>26</v>
      </c>
      <c r="J2901" s="7">
        <v>348</v>
      </c>
      <c r="K2901" s="7">
        <v>497.64</v>
      </c>
    </row>
    <row r="2902" spans="1:11" ht="18" customHeight="1" x14ac:dyDescent="0.25">
      <c r="A2902" s="7" t="s">
        <v>34</v>
      </c>
      <c r="B2902" s="7">
        <v>2024</v>
      </c>
      <c r="C2902" s="7" t="s">
        <v>68</v>
      </c>
      <c r="D2902" s="7" t="s">
        <v>72</v>
      </c>
      <c r="E2902" s="7" t="s">
        <v>22</v>
      </c>
      <c r="F2902" s="7" t="s">
        <v>23</v>
      </c>
      <c r="G2902" s="7" t="s">
        <v>24</v>
      </c>
      <c r="H2902" s="7" t="s">
        <v>25</v>
      </c>
      <c r="I2902" s="7" t="s">
        <v>26</v>
      </c>
      <c r="J2902" s="7">
        <v>129</v>
      </c>
      <c r="K2902" s="7">
        <v>184.47</v>
      </c>
    </row>
    <row r="2903" spans="1:11" ht="18" customHeight="1" x14ac:dyDescent="0.25">
      <c r="A2903" s="7" t="s">
        <v>42</v>
      </c>
      <c r="B2903" s="7">
        <v>2024</v>
      </c>
      <c r="C2903" s="7" t="s">
        <v>68</v>
      </c>
      <c r="D2903" s="7" t="s">
        <v>72</v>
      </c>
      <c r="E2903" s="7" t="s">
        <v>22</v>
      </c>
      <c r="F2903" s="7" t="s">
        <v>23</v>
      </c>
      <c r="G2903" s="7" t="s">
        <v>24</v>
      </c>
      <c r="H2903" s="7" t="s">
        <v>25</v>
      </c>
      <c r="I2903" s="7" t="s">
        <v>26</v>
      </c>
      <c r="J2903" s="7">
        <v>351</v>
      </c>
      <c r="K2903" s="7">
        <v>501.93</v>
      </c>
    </row>
    <row r="2904" spans="1:11" ht="18" customHeight="1" x14ac:dyDescent="0.25">
      <c r="A2904" s="7" t="s">
        <v>34</v>
      </c>
      <c r="B2904" s="7">
        <v>2024</v>
      </c>
      <c r="C2904" s="7" t="s">
        <v>68</v>
      </c>
      <c r="D2904" s="7" t="s">
        <v>72</v>
      </c>
      <c r="E2904" s="7" t="s">
        <v>22</v>
      </c>
      <c r="F2904" s="7" t="s">
        <v>23</v>
      </c>
      <c r="G2904" s="7" t="s">
        <v>24</v>
      </c>
      <c r="H2904" s="7" t="s">
        <v>25</v>
      </c>
      <c r="I2904" s="7" t="s">
        <v>26</v>
      </c>
      <c r="J2904" s="7">
        <v>762</v>
      </c>
      <c r="K2904" s="7">
        <v>1089.6599999999999</v>
      </c>
    </row>
    <row r="2905" spans="1:11" ht="18" customHeight="1" x14ac:dyDescent="0.25">
      <c r="A2905" s="7" t="s">
        <v>19</v>
      </c>
      <c r="B2905" s="7">
        <v>2024</v>
      </c>
      <c r="C2905" s="7" t="s">
        <v>68</v>
      </c>
      <c r="D2905" s="7" t="s">
        <v>72</v>
      </c>
      <c r="E2905" s="7" t="s">
        <v>22</v>
      </c>
      <c r="F2905" s="7" t="s">
        <v>23</v>
      </c>
      <c r="G2905" s="7" t="s">
        <v>24</v>
      </c>
      <c r="H2905" s="7" t="s">
        <v>25</v>
      </c>
      <c r="I2905" s="7" t="s">
        <v>26</v>
      </c>
      <c r="J2905" s="7">
        <v>849</v>
      </c>
      <c r="K2905" s="7">
        <v>1214.07</v>
      </c>
    </row>
    <row r="2906" spans="1:11" ht="18" customHeight="1" x14ac:dyDescent="0.25">
      <c r="A2906" s="7" t="s">
        <v>34</v>
      </c>
      <c r="B2906" s="7">
        <v>2024</v>
      </c>
      <c r="C2906" s="7" t="s">
        <v>68</v>
      </c>
      <c r="D2906" s="7" t="s">
        <v>72</v>
      </c>
      <c r="E2906" s="7" t="s">
        <v>22</v>
      </c>
      <c r="F2906" s="7" t="s">
        <v>23</v>
      </c>
      <c r="G2906" s="7" t="s">
        <v>24</v>
      </c>
      <c r="H2906" s="7" t="s">
        <v>25</v>
      </c>
      <c r="I2906" s="7" t="s">
        <v>26</v>
      </c>
      <c r="J2906" s="7">
        <v>131</v>
      </c>
      <c r="K2906" s="7">
        <v>187.32999999999998</v>
      </c>
    </row>
    <row r="2907" spans="1:11" ht="18" customHeight="1" x14ac:dyDescent="0.25">
      <c r="A2907" s="7" t="s">
        <v>42</v>
      </c>
      <c r="B2907" s="7">
        <v>2024</v>
      </c>
      <c r="C2907" s="7" t="s">
        <v>67</v>
      </c>
      <c r="D2907" s="7" t="s">
        <v>72</v>
      </c>
      <c r="E2907" s="7" t="s">
        <v>22</v>
      </c>
      <c r="F2907" s="7" t="s">
        <v>23</v>
      </c>
      <c r="G2907" s="7" t="s">
        <v>24</v>
      </c>
      <c r="H2907" s="7" t="s">
        <v>25</v>
      </c>
      <c r="I2907" s="7" t="s">
        <v>26</v>
      </c>
      <c r="J2907" s="7">
        <v>134</v>
      </c>
      <c r="K2907" s="7">
        <v>191.62</v>
      </c>
    </row>
    <row r="2908" spans="1:11" ht="18" customHeight="1" x14ac:dyDescent="0.25">
      <c r="A2908" s="7" t="s">
        <v>42</v>
      </c>
      <c r="B2908" s="7">
        <v>2024</v>
      </c>
      <c r="C2908" s="7" t="s">
        <v>67</v>
      </c>
      <c r="D2908" s="7" t="s">
        <v>72</v>
      </c>
      <c r="E2908" s="7" t="s">
        <v>22</v>
      </c>
      <c r="F2908" s="7" t="s">
        <v>23</v>
      </c>
      <c r="G2908" s="7" t="s">
        <v>24</v>
      </c>
      <c r="H2908" s="7" t="s">
        <v>25</v>
      </c>
      <c r="I2908" s="7" t="s">
        <v>26</v>
      </c>
      <c r="J2908" s="7">
        <v>356</v>
      </c>
      <c r="K2908" s="7">
        <v>509.08</v>
      </c>
    </row>
    <row r="2909" spans="1:11" ht="18" customHeight="1" x14ac:dyDescent="0.25">
      <c r="A2909" s="7" t="s">
        <v>42</v>
      </c>
      <c r="B2909" s="7">
        <v>2024</v>
      </c>
      <c r="C2909" s="7" t="s">
        <v>67</v>
      </c>
      <c r="D2909" s="7" t="s">
        <v>72</v>
      </c>
      <c r="E2909" s="7" t="s">
        <v>22</v>
      </c>
      <c r="F2909" s="7" t="s">
        <v>23</v>
      </c>
      <c r="G2909" s="7" t="s">
        <v>24</v>
      </c>
      <c r="H2909" s="7" t="s">
        <v>25</v>
      </c>
      <c r="I2909" s="7" t="s">
        <v>26</v>
      </c>
      <c r="J2909" s="7">
        <v>136</v>
      </c>
      <c r="K2909" s="7">
        <v>526.24</v>
      </c>
    </row>
    <row r="2910" spans="1:11" ht="18" customHeight="1" x14ac:dyDescent="0.25">
      <c r="A2910" s="7" t="s">
        <v>42</v>
      </c>
      <c r="B2910" s="7">
        <v>2024</v>
      </c>
      <c r="C2910" s="7" t="s">
        <v>67</v>
      </c>
      <c r="D2910" s="7" t="s">
        <v>72</v>
      </c>
      <c r="E2910" s="7" t="s">
        <v>22</v>
      </c>
      <c r="F2910" s="7" t="s">
        <v>23</v>
      </c>
      <c r="G2910" s="7" t="s">
        <v>24</v>
      </c>
      <c r="H2910" s="7" t="s">
        <v>25</v>
      </c>
      <c r="I2910" s="7" t="s">
        <v>26</v>
      </c>
      <c r="J2910" s="7">
        <v>980</v>
      </c>
      <c r="K2910" s="7">
        <v>1401.4</v>
      </c>
    </row>
    <row r="2911" spans="1:11" ht="18" customHeight="1" x14ac:dyDescent="0.25">
      <c r="A2911" s="7" t="s">
        <v>34</v>
      </c>
      <c r="B2911" s="7">
        <v>2024</v>
      </c>
      <c r="C2911" s="7" t="s">
        <v>67</v>
      </c>
      <c r="D2911" s="7" t="s">
        <v>72</v>
      </c>
      <c r="E2911" s="7" t="s">
        <v>22</v>
      </c>
      <c r="F2911" s="7" t="s">
        <v>23</v>
      </c>
      <c r="G2911" s="7" t="s">
        <v>24</v>
      </c>
      <c r="H2911" s="7" t="s">
        <v>25</v>
      </c>
      <c r="I2911" s="7" t="s">
        <v>26</v>
      </c>
      <c r="J2911" s="7">
        <v>354</v>
      </c>
      <c r="K2911" s="7">
        <v>506.22</v>
      </c>
    </row>
    <row r="2912" spans="1:11" ht="18" customHeight="1" x14ac:dyDescent="0.25">
      <c r="A2912" s="7" t="s">
        <v>34</v>
      </c>
      <c r="B2912" s="7">
        <v>2024</v>
      </c>
      <c r="C2912" s="7" t="s">
        <v>67</v>
      </c>
      <c r="D2912" s="7" t="s">
        <v>72</v>
      </c>
      <c r="E2912" s="7" t="s">
        <v>22</v>
      </c>
      <c r="F2912" s="7" t="s">
        <v>23</v>
      </c>
      <c r="G2912" s="7" t="s">
        <v>24</v>
      </c>
      <c r="H2912" s="7" t="s">
        <v>25</v>
      </c>
      <c r="I2912" s="7" t="s">
        <v>26</v>
      </c>
      <c r="J2912" s="7">
        <v>135</v>
      </c>
      <c r="K2912" s="7">
        <v>193.05</v>
      </c>
    </row>
    <row r="2913" spans="1:11" ht="18" customHeight="1" x14ac:dyDescent="0.25">
      <c r="A2913" s="7" t="s">
        <v>42</v>
      </c>
      <c r="B2913" s="7">
        <v>2024</v>
      </c>
      <c r="C2913" s="7" t="s">
        <v>67</v>
      </c>
      <c r="D2913" s="7" t="s">
        <v>72</v>
      </c>
      <c r="E2913" s="7" t="s">
        <v>22</v>
      </c>
      <c r="F2913" s="7" t="s">
        <v>23</v>
      </c>
      <c r="G2913" s="7" t="s">
        <v>24</v>
      </c>
      <c r="H2913" s="7" t="s">
        <v>25</v>
      </c>
      <c r="I2913" s="7" t="s">
        <v>26</v>
      </c>
      <c r="J2913" s="7">
        <v>357</v>
      </c>
      <c r="K2913" s="7">
        <v>510.51</v>
      </c>
    </row>
    <row r="2914" spans="1:11" ht="18" customHeight="1" x14ac:dyDescent="0.25">
      <c r="A2914" s="7" t="s">
        <v>42</v>
      </c>
      <c r="B2914" s="7">
        <v>2024</v>
      </c>
      <c r="C2914" s="7" t="s">
        <v>67</v>
      </c>
      <c r="D2914" s="7" t="s">
        <v>72</v>
      </c>
      <c r="E2914" s="7" t="s">
        <v>22</v>
      </c>
      <c r="F2914" s="7" t="s">
        <v>23</v>
      </c>
      <c r="G2914" s="7" t="s">
        <v>24</v>
      </c>
      <c r="H2914" s="7" t="s">
        <v>25</v>
      </c>
      <c r="I2914" s="7" t="s">
        <v>26</v>
      </c>
      <c r="J2914" s="7">
        <v>848</v>
      </c>
      <c r="K2914" s="7">
        <v>1212.6399999999999</v>
      </c>
    </row>
    <row r="2915" spans="1:11" ht="18" customHeight="1" x14ac:dyDescent="0.25">
      <c r="A2915" s="7" t="s">
        <v>42</v>
      </c>
      <c r="B2915" s="7">
        <v>2024</v>
      </c>
      <c r="C2915" s="7" t="s">
        <v>67</v>
      </c>
      <c r="D2915" s="7" t="s">
        <v>72</v>
      </c>
      <c r="E2915" s="7" t="s">
        <v>22</v>
      </c>
      <c r="F2915" s="7" t="s">
        <v>23</v>
      </c>
      <c r="G2915" s="7" t="s">
        <v>24</v>
      </c>
      <c r="H2915" s="7" t="s">
        <v>25</v>
      </c>
      <c r="I2915" s="7" t="s">
        <v>26</v>
      </c>
      <c r="J2915" s="7">
        <v>137</v>
      </c>
      <c r="K2915" s="7">
        <v>195.91</v>
      </c>
    </row>
    <row r="2916" spans="1:11" ht="18" customHeight="1" x14ac:dyDescent="0.25">
      <c r="A2916" s="7" t="s">
        <v>42</v>
      </c>
      <c r="B2916" s="7">
        <v>2024</v>
      </c>
      <c r="C2916" s="7" t="s">
        <v>67</v>
      </c>
      <c r="D2916" s="7" t="s">
        <v>72</v>
      </c>
      <c r="E2916" s="7" t="s">
        <v>22</v>
      </c>
      <c r="F2916" s="7" t="s">
        <v>23</v>
      </c>
      <c r="G2916" s="7" t="s">
        <v>24</v>
      </c>
      <c r="H2916" s="7" t="s">
        <v>25</v>
      </c>
      <c r="I2916" s="7" t="s">
        <v>26</v>
      </c>
      <c r="J2916" s="7">
        <v>353</v>
      </c>
      <c r="K2916" s="7">
        <v>504.78999999999996</v>
      </c>
    </row>
    <row r="2917" spans="1:11" ht="18" customHeight="1" x14ac:dyDescent="0.25">
      <c r="A2917" s="7" t="s">
        <v>34</v>
      </c>
      <c r="B2917" s="7">
        <v>2024</v>
      </c>
      <c r="C2917" s="7" t="s">
        <v>62</v>
      </c>
      <c r="D2917" s="7" t="s">
        <v>72</v>
      </c>
      <c r="E2917" s="7" t="s">
        <v>22</v>
      </c>
      <c r="F2917" s="7" t="s">
        <v>23</v>
      </c>
      <c r="G2917" s="7" t="s">
        <v>24</v>
      </c>
      <c r="H2917" s="7" t="s">
        <v>25</v>
      </c>
      <c r="I2917" s="7" t="s">
        <v>26</v>
      </c>
      <c r="J2917" s="7">
        <v>152</v>
      </c>
      <c r="K2917" s="7">
        <v>217.36</v>
      </c>
    </row>
    <row r="2918" spans="1:11" ht="18" customHeight="1" x14ac:dyDescent="0.25">
      <c r="A2918" s="7" t="s">
        <v>34</v>
      </c>
      <c r="B2918" s="7">
        <v>2024</v>
      </c>
      <c r="C2918" s="7" t="s">
        <v>62</v>
      </c>
      <c r="D2918" s="7" t="s">
        <v>72</v>
      </c>
      <c r="E2918" s="7" t="s">
        <v>22</v>
      </c>
      <c r="F2918" s="7" t="s">
        <v>23</v>
      </c>
      <c r="G2918" s="7" t="s">
        <v>24</v>
      </c>
      <c r="H2918" s="7" t="s">
        <v>25</v>
      </c>
      <c r="I2918" s="7" t="s">
        <v>26</v>
      </c>
      <c r="J2918" s="7">
        <v>154</v>
      </c>
      <c r="K2918" s="7">
        <v>526.24</v>
      </c>
    </row>
    <row r="2919" spans="1:11" ht="18" customHeight="1" x14ac:dyDescent="0.25">
      <c r="A2919" s="7" t="s">
        <v>34</v>
      </c>
      <c r="B2919" s="7">
        <v>2024</v>
      </c>
      <c r="C2919" s="7" t="s">
        <v>62</v>
      </c>
      <c r="D2919" s="7" t="s">
        <v>72</v>
      </c>
      <c r="E2919" s="7" t="s">
        <v>22</v>
      </c>
      <c r="F2919" s="7" t="s">
        <v>23</v>
      </c>
      <c r="G2919" s="7" t="s">
        <v>24</v>
      </c>
      <c r="H2919" s="7" t="s">
        <v>25</v>
      </c>
      <c r="I2919" s="7" t="s">
        <v>26</v>
      </c>
      <c r="J2919" s="7">
        <v>370</v>
      </c>
      <c r="K2919" s="7">
        <v>526.24</v>
      </c>
    </row>
    <row r="2920" spans="1:11" ht="18" customHeight="1" x14ac:dyDescent="0.25">
      <c r="A2920" s="7" t="s">
        <v>34</v>
      </c>
      <c r="B2920" s="7">
        <v>2024</v>
      </c>
      <c r="C2920" s="7" t="s">
        <v>62</v>
      </c>
      <c r="D2920" s="7" t="s">
        <v>72</v>
      </c>
      <c r="E2920" s="7" t="s">
        <v>22</v>
      </c>
      <c r="F2920" s="7" t="s">
        <v>23</v>
      </c>
      <c r="G2920" s="7" t="s">
        <v>24</v>
      </c>
      <c r="H2920" s="7" t="s">
        <v>25</v>
      </c>
      <c r="I2920" s="7" t="s">
        <v>26</v>
      </c>
      <c r="J2920" s="7">
        <v>978</v>
      </c>
      <c r="K2920" s="7">
        <v>1398.54</v>
      </c>
    </row>
    <row r="2921" spans="1:11" ht="18" customHeight="1" x14ac:dyDescent="0.25">
      <c r="A2921" s="7" t="s">
        <v>19</v>
      </c>
      <c r="B2921" s="7">
        <v>2024</v>
      </c>
      <c r="C2921" s="7" t="s">
        <v>62</v>
      </c>
      <c r="D2921" s="7" t="s">
        <v>72</v>
      </c>
      <c r="E2921" s="7" t="s">
        <v>22</v>
      </c>
      <c r="F2921" s="7" t="s">
        <v>23</v>
      </c>
      <c r="G2921" s="7" t="s">
        <v>24</v>
      </c>
      <c r="H2921" s="7" t="s">
        <v>25</v>
      </c>
      <c r="I2921" s="7" t="s">
        <v>26</v>
      </c>
      <c r="J2921" s="7">
        <v>372</v>
      </c>
      <c r="K2921" s="7">
        <v>531.96</v>
      </c>
    </row>
    <row r="2922" spans="1:11" ht="18" customHeight="1" x14ac:dyDescent="0.25">
      <c r="A2922" s="7" t="s">
        <v>19</v>
      </c>
      <c r="B2922" s="7">
        <v>2024</v>
      </c>
      <c r="C2922" s="7" t="s">
        <v>62</v>
      </c>
      <c r="D2922" s="7" t="s">
        <v>72</v>
      </c>
      <c r="E2922" s="7" t="s">
        <v>22</v>
      </c>
      <c r="F2922" s="7" t="s">
        <v>23</v>
      </c>
      <c r="G2922" s="7" t="s">
        <v>24</v>
      </c>
      <c r="H2922" s="7" t="s">
        <v>25</v>
      </c>
      <c r="I2922" s="7" t="s">
        <v>26</v>
      </c>
      <c r="J2922" s="7">
        <v>153</v>
      </c>
      <c r="K2922" s="7">
        <v>218.79</v>
      </c>
    </row>
    <row r="2923" spans="1:11" ht="18" customHeight="1" x14ac:dyDescent="0.25">
      <c r="A2923" s="7" t="s">
        <v>34</v>
      </c>
      <c r="B2923" s="7">
        <v>2024</v>
      </c>
      <c r="C2923" s="7" t="s">
        <v>62</v>
      </c>
      <c r="D2923" s="7" t="s">
        <v>72</v>
      </c>
      <c r="E2923" s="7" t="s">
        <v>22</v>
      </c>
      <c r="F2923" s="7" t="s">
        <v>23</v>
      </c>
      <c r="G2923" s="7" t="s">
        <v>24</v>
      </c>
      <c r="H2923" s="7" t="s">
        <v>25</v>
      </c>
      <c r="I2923" s="7" t="s">
        <v>26</v>
      </c>
      <c r="J2923" s="7">
        <v>369</v>
      </c>
      <c r="K2923" s="7">
        <v>527.66999999999996</v>
      </c>
    </row>
    <row r="2924" spans="1:11" ht="18" customHeight="1" x14ac:dyDescent="0.25">
      <c r="A2924" s="7" t="s">
        <v>34</v>
      </c>
      <c r="B2924" s="7">
        <v>2024</v>
      </c>
      <c r="C2924" s="7" t="s">
        <v>62</v>
      </c>
      <c r="D2924" s="7" t="s">
        <v>72</v>
      </c>
      <c r="E2924" s="7" t="s">
        <v>22</v>
      </c>
      <c r="F2924" s="7" t="s">
        <v>23</v>
      </c>
      <c r="G2924" s="7" t="s">
        <v>24</v>
      </c>
      <c r="H2924" s="7" t="s">
        <v>25</v>
      </c>
      <c r="I2924" s="7" t="s">
        <v>26</v>
      </c>
      <c r="J2924" s="7">
        <v>759</v>
      </c>
      <c r="K2924" s="7">
        <v>1085.3699999999999</v>
      </c>
    </row>
    <row r="2925" spans="1:11" ht="18" customHeight="1" x14ac:dyDescent="0.25">
      <c r="A2925" s="7" t="s">
        <v>34</v>
      </c>
      <c r="B2925" s="7">
        <v>2024</v>
      </c>
      <c r="C2925" s="7" t="s">
        <v>62</v>
      </c>
      <c r="D2925" s="7" t="s">
        <v>72</v>
      </c>
      <c r="E2925" s="7" t="s">
        <v>22</v>
      </c>
      <c r="F2925" s="7" t="s">
        <v>23</v>
      </c>
      <c r="G2925" s="7" t="s">
        <v>24</v>
      </c>
      <c r="H2925" s="7" t="s">
        <v>25</v>
      </c>
      <c r="I2925" s="7" t="s">
        <v>26</v>
      </c>
      <c r="J2925" s="7">
        <v>845</v>
      </c>
      <c r="K2925" s="7">
        <v>1208.3499999999999</v>
      </c>
    </row>
    <row r="2926" spans="1:11" ht="18" customHeight="1" x14ac:dyDescent="0.25">
      <c r="A2926" s="7" t="s">
        <v>34</v>
      </c>
      <c r="B2926" s="7">
        <v>2024</v>
      </c>
      <c r="C2926" s="7" t="s">
        <v>62</v>
      </c>
      <c r="D2926" s="7" t="s">
        <v>72</v>
      </c>
      <c r="E2926" s="7" t="s">
        <v>22</v>
      </c>
      <c r="F2926" s="7" t="s">
        <v>23</v>
      </c>
      <c r="G2926" s="7" t="s">
        <v>24</v>
      </c>
      <c r="H2926" s="7" t="s">
        <v>25</v>
      </c>
      <c r="I2926" s="7" t="s">
        <v>26</v>
      </c>
      <c r="J2926" s="7">
        <v>371</v>
      </c>
      <c r="K2926" s="7">
        <v>530.53</v>
      </c>
    </row>
    <row r="2927" spans="1:11" ht="18" customHeight="1" x14ac:dyDescent="0.25">
      <c r="A2927" s="7" t="s">
        <v>42</v>
      </c>
      <c r="B2927" s="7">
        <v>2024</v>
      </c>
      <c r="C2927" s="7" t="s">
        <v>66</v>
      </c>
      <c r="D2927" s="7" t="s">
        <v>72</v>
      </c>
      <c r="E2927" s="7" t="s">
        <v>22</v>
      </c>
      <c r="F2927" s="7" t="s">
        <v>23</v>
      </c>
      <c r="G2927" s="7" t="s">
        <v>24</v>
      </c>
      <c r="H2927" s="7" t="s">
        <v>25</v>
      </c>
      <c r="I2927" s="7" t="s">
        <v>26</v>
      </c>
      <c r="J2927" s="7">
        <v>140</v>
      </c>
      <c r="K2927" s="7">
        <v>200.2</v>
      </c>
    </row>
    <row r="2928" spans="1:11" ht="18" customHeight="1" x14ac:dyDescent="0.25">
      <c r="A2928" s="7" t="s">
        <v>19</v>
      </c>
      <c r="B2928" s="7">
        <v>2024</v>
      </c>
      <c r="C2928" s="7" t="s">
        <v>66</v>
      </c>
      <c r="D2928" s="7" t="s">
        <v>72</v>
      </c>
      <c r="E2928" s="7" t="s">
        <v>22</v>
      </c>
      <c r="F2928" s="7" t="s">
        <v>23</v>
      </c>
      <c r="G2928" s="7" t="s">
        <v>24</v>
      </c>
      <c r="H2928" s="7" t="s">
        <v>25</v>
      </c>
      <c r="I2928" s="7" t="s">
        <v>26</v>
      </c>
      <c r="J2928" s="7">
        <v>362</v>
      </c>
      <c r="K2928" s="7">
        <v>517.66</v>
      </c>
    </row>
    <row r="2929" spans="1:11" ht="18" customHeight="1" x14ac:dyDescent="0.25">
      <c r="A2929" s="7" t="s">
        <v>42</v>
      </c>
      <c r="B2929" s="7">
        <v>2024</v>
      </c>
      <c r="C2929" s="7" t="s">
        <v>66</v>
      </c>
      <c r="D2929" s="7" t="s">
        <v>72</v>
      </c>
      <c r="E2929" s="7" t="s">
        <v>22</v>
      </c>
      <c r="F2929" s="7" t="s">
        <v>23</v>
      </c>
      <c r="G2929" s="7" t="s">
        <v>24</v>
      </c>
      <c r="H2929" s="7" t="s">
        <v>25</v>
      </c>
      <c r="I2929" s="7" t="s">
        <v>26</v>
      </c>
      <c r="J2929" s="7">
        <v>142</v>
      </c>
      <c r="K2929" s="7">
        <v>526.24</v>
      </c>
    </row>
    <row r="2930" spans="1:11" ht="18" customHeight="1" x14ac:dyDescent="0.25">
      <c r="A2930" s="7" t="s">
        <v>19</v>
      </c>
      <c r="B2930" s="7">
        <v>2024</v>
      </c>
      <c r="C2930" s="7" t="s">
        <v>66</v>
      </c>
      <c r="D2930" s="7" t="s">
        <v>72</v>
      </c>
      <c r="E2930" s="7" t="s">
        <v>22</v>
      </c>
      <c r="F2930" s="7" t="s">
        <v>23</v>
      </c>
      <c r="G2930" s="7" t="s">
        <v>24</v>
      </c>
      <c r="H2930" s="7" t="s">
        <v>25</v>
      </c>
      <c r="I2930" s="7" t="s">
        <v>26</v>
      </c>
      <c r="J2930" s="7">
        <v>358</v>
      </c>
      <c r="K2930" s="7">
        <v>526.24</v>
      </c>
    </row>
    <row r="2931" spans="1:11" ht="18" customHeight="1" x14ac:dyDescent="0.25">
      <c r="A2931" s="7" t="s">
        <v>34</v>
      </c>
      <c r="B2931" s="7">
        <v>2024</v>
      </c>
      <c r="C2931" s="7" t="s">
        <v>66</v>
      </c>
      <c r="D2931" s="7" t="s">
        <v>72</v>
      </c>
      <c r="E2931" s="7" t="s">
        <v>22</v>
      </c>
      <c r="F2931" s="7" t="s">
        <v>23</v>
      </c>
      <c r="G2931" s="7" t="s">
        <v>24</v>
      </c>
      <c r="H2931" s="7" t="s">
        <v>25</v>
      </c>
      <c r="I2931" s="7" t="s">
        <v>26</v>
      </c>
      <c r="J2931" s="7">
        <v>979</v>
      </c>
      <c r="K2931" s="7">
        <v>1399.97</v>
      </c>
    </row>
    <row r="2932" spans="1:11" ht="18" customHeight="1" x14ac:dyDescent="0.25">
      <c r="A2932" s="7" t="s">
        <v>42</v>
      </c>
      <c r="B2932" s="7">
        <v>2024</v>
      </c>
      <c r="C2932" s="7" t="s">
        <v>66</v>
      </c>
      <c r="D2932" s="7" t="s">
        <v>72</v>
      </c>
      <c r="E2932" s="7" t="s">
        <v>22</v>
      </c>
      <c r="F2932" s="7" t="s">
        <v>23</v>
      </c>
      <c r="G2932" s="7" t="s">
        <v>24</v>
      </c>
      <c r="H2932" s="7" t="s">
        <v>25</v>
      </c>
      <c r="I2932" s="7" t="s">
        <v>26</v>
      </c>
      <c r="J2932" s="7">
        <v>360</v>
      </c>
      <c r="K2932" s="7">
        <v>514.79999999999995</v>
      </c>
    </row>
    <row r="2933" spans="1:11" ht="18" customHeight="1" x14ac:dyDescent="0.25">
      <c r="A2933" s="7" t="s">
        <v>42</v>
      </c>
      <c r="B2933" s="7">
        <v>2024</v>
      </c>
      <c r="C2933" s="7" t="s">
        <v>66</v>
      </c>
      <c r="D2933" s="7" t="s">
        <v>72</v>
      </c>
      <c r="E2933" s="7" t="s">
        <v>22</v>
      </c>
      <c r="F2933" s="7" t="s">
        <v>23</v>
      </c>
      <c r="G2933" s="7" t="s">
        <v>24</v>
      </c>
      <c r="H2933" s="7" t="s">
        <v>25</v>
      </c>
      <c r="I2933" s="7" t="s">
        <v>26</v>
      </c>
      <c r="J2933" s="7">
        <v>141</v>
      </c>
      <c r="K2933" s="7">
        <v>201.63</v>
      </c>
    </row>
    <row r="2934" spans="1:11" ht="18" customHeight="1" x14ac:dyDescent="0.25">
      <c r="A2934" s="7" t="s">
        <v>34</v>
      </c>
      <c r="B2934" s="7">
        <v>2024</v>
      </c>
      <c r="C2934" s="7" t="s">
        <v>66</v>
      </c>
      <c r="D2934" s="7" t="s">
        <v>72</v>
      </c>
      <c r="E2934" s="7" t="s">
        <v>22</v>
      </c>
      <c r="F2934" s="7" t="s">
        <v>23</v>
      </c>
      <c r="G2934" s="7" t="s">
        <v>24</v>
      </c>
      <c r="H2934" s="7" t="s">
        <v>25</v>
      </c>
      <c r="I2934" s="7" t="s">
        <v>26</v>
      </c>
      <c r="J2934" s="7">
        <v>363</v>
      </c>
      <c r="K2934" s="7">
        <v>519.09</v>
      </c>
    </row>
    <row r="2935" spans="1:11" ht="18" customHeight="1" x14ac:dyDescent="0.25">
      <c r="A2935" s="7" t="s">
        <v>19</v>
      </c>
      <c r="B2935" s="7">
        <v>2024</v>
      </c>
      <c r="C2935" s="7" t="s">
        <v>66</v>
      </c>
      <c r="D2935" s="7" t="s">
        <v>72</v>
      </c>
      <c r="E2935" s="7" t="s">
        <v>22</v>
      </c>
      <c r="F2935" s="7" t="s">
        <v>23</v>
      </c>
      <c r="G2935" s="7" t="s">
        <v>24</v>
      </c>
      <c r="H2935" s="7" t="s">
        <v>25</v>
      </c>
      <c r="I2935" s="7" t="s">
        <v>26</v>
      </c>
      <c r="J2935" s="7">
        <v>761</v>
      </c>
      <c r="K2935" s="7">
        <v>1088.23</v>
      </c>
    </row>
    <row r="2936" spans="1:11" ht="18" customHeight="1" x14ac:dyDescent="0.25">
      <c r="A2936" s="7" t="s">
        <v>42</v>
      </c>
      <c r="B2936" s="7">
        <v>2024</v>
      </c>
      <c r="C2936" s="7" t="s">
        <v>66</v>
      </c>
      <c r="D2936" s="7" t="s">
        <v>72</v>
      </c>
      <c r="E2936" s="7" t="s">
        <v>22</v>
      </c>
      <c r="F2936" s="7" t="s">
        <v>23</v>
      </c>
      <c r="G2936" s="7" t="s">
        <v>24</v>
      </c>
      <c r="H2936" s="7" t="s">
        <v>25</v>
      </c>
      <c r="I2936" s="7" t="s">
        <v>26</v>
      </c>
      <c r="J2936" s="7">
        <v>847</v>
      </c>
      <c r="K2936" s="7">
        <v>1211.21</v>
      </c>
    </row>
    <row r="2937" spans="1:11" ht="18" customHeight="1" x14ac:dyDescent="0.25">
      <c r="A2937" s="7" t="s">
        <v>19</v>
      </c>
      <c r="B2937" s="7">
        <v>2024</v>
      </c>
      <c r="C2937" s="7" t="s">
        <v>66</v>
      </c>
      <c r="D2937" s="7" t="s">
        <v>72</v>
      </c>
      <c r="E2937" s="7" t="s">
        <v>22</v>
      </c>
      <c r="F2937" s="7" t="s">
        <v>23</v>
      </c>
      <c r="G2937" s="7" t="s">
        <v>24</v>
      </c>
      <c r="H2937" s="7" t="s">
        <v>25</v>
      </c>
      <c r="I2937" s="7" t="s">
        <v>26</v>
      </c>
      <c r="J2937" s="7">
        <v>143</v>
      </c>
      <c r="K2937" s="7">
        <v>204.49</v>
      </c>
    </row>
    <row r="2938" spans="1:11" ht="18" customHeight="1" x14ac:dyDescent="0.25">
      <c r="A2938" s="7" t="s">
        <v>42</v>
      </c>
      <c r="B2938" s="7">
        <v>2024</v>
      </c>
      <c r="C2938" s="7" t="s">
        <v>66</v>
      </c>
      <c r="D2938" s="7" t="s">
        <v>72</v>
      </c>
      <c r="E2938" s="7" t="s">
        <v>22</v>
      </c>
      <c r="F2938" s="7" t="s">
        <v>23</v>
      </c>
      <c r="G2938" s="7" t="s">
        <v>24</v>
      </c>
      <c r="H2938" s="7" t="s">
        <v>25</v>
      </c>
      <c r="I2938" s="7" t="s">
        <v>26</v>
      </c>
      <c r="J2938" s="7">
        <v>359</v>
      </c>
      <c r="K2938" s="7">
        <v>513.37</v>
      </c>
    </row>
    <row r="2939" spans="1:11" ht="18" customHeight="1" x14ac:dyDescent="0.25">
      <c r="A2939" s="7" t="s">
        <v>19</v>
      </c>
      <c r="B2939" s="7">
        <v>2024</v>
      </c>
      <c r="C2939" s="7" t="s">
        <v>71</v>
      </c>
      <c r="D2939" s="7" t="s">
        <v>72</v>
      </c>
      <c r="E2939" s="7" t="s">
        <v>22</v>
      </c>
      <c r="F2939" s="7" t="s">
        <v>23</v>
      </c>
      <c r="G2939" s="7" t="s">
        <v>24</v>
      </c>
      <c r="H2939" s="7" t="s">
        <v>25</v>
      </c>
      <c r="I2939" s="7" t="s">
        <v>26</v>
      </c>
      <c r="J2939" s="7">
        <v>356</v>
      </c>
      <c r="K2939" s="7">
        <v>509.08</v>
      </c>
    </row>
    <row r="2940" spans="1:11" ht="18" customHeight="1" x14ac:dyDescent="0.25">
      <c r="A2940" s="7" t="s">
        <v>19</v>
      </c>
      <c r="B2940" s="7">
        <v>2024</v>
      </c>
      <c r="C2940" s="7" t="s">
        <v>71</v>
      </c>
      <c r="D2940" s="7" t="s">
        <v>72</v>
      </c>
      <c r="E2940" s="7" t="s">
        <v>22</v>
      </c>
      <c r="F2940" s="7" t="s">
        <v>23</v>
      </c>
      <c r="G2940" s="7" t="s">
        <v>24</v>
      </c>
      <c r="H2940" s="7" t="s">
        <v>25</v>
      </c>
      <c r="I2940" s="7" t="s">
        <v>26</v>
      </c>
      <c r="J2940" s="7">
        <v>326</v>
      </c>
      <c r="K2940" s="7">
        <v>466.18</v>
      </c>
    </row>
    <row r="2941" spans="1:11" ht="18" customHeight="1" x14ac:dyDescent="0.25">
      <c r="A2941" s="7" t="s">
        <v>42</v>
      </c>
      <c r="B2941" s="7">
        <v>2024</v>
      </c>
      <c r="C2941" s="7" t="s">
        <v>71</v>
      </c>
      <c r="D2941" s="7" t="s">
        <v>72</v>
      </c>
      <c r="E2941" s="7" t="s">
        <v>22</v>
      </c>
      <c r="F2941" s="7" t="s">
        <v>23</v>
      </c>
      <c r="G2941" s="7" t="s">
        <v>24</v>
      </c>
      <c r="H2941" s="7" t="s">
        <v>25</v>
      </c>
      <c r="I2941" s="7" t="s">
        <v>26</v>
      </c>
      <c r="J2941" s="7">
        <v>358</v>
      </c>
      <c r="K2941" s="7">
        <v>526.24</v>
      </c>
    </row>
    <row r="2942" spans="1:11" ht="18" customHeight="1" x14ac:dyDescent="0.25">
      <c r="A2942" s="7" t="s">
        <v>42</v>
      </c>
      <c r="B2942" s="7">
        <v>2024</v>
      </c>
      <c r="C2942" s="7" t="s">
        <v>71</v>
      </c>
      <c r="D2942" s="7" t="s">
        <v>72</v>
      </c>
      <c r="E2942" s="7" t="s">
        <v>22</v>
      </c>
      <c r="F2942" s="7" t="s">
        <v>23</v>
      </c>
      <c r="G2942" s="7" t="s">
        <v>24</v>
      </c>
      <c r="H2942" s="7" t="s">
        <v>25</v>
      </c>
      <c r="I2942" s="7" t="s">
        <v>26</v>
      </c>
      <c r="J2942" s="7">
        <v>328</v>
      </c>
      <c r="K2942" s="7">
        <v>526.24</v>
      </c>
    </row>
    <row r="2943" spans="1:11" ht="18" customHeight="1" x14ac:dyDescent="0.25">
      <c r="A2943" s="7" t="s">
        <v>34</v>
      </c>
      <c r="B2943" s="7">
        <v>2024</v>
      </c>
      <c r="C2943" s="7" t="s">
        <v>71</v>
      </c>
      <c r="D2943" s="7" t="s">
        <v>72</v>
      </c>
      <c r="E2943" s="7" t="s">
        <v>22</v>
      </c>
      <c r="F2943" s="7" t="s">
        <v>23</v>
      </c>
      <c r="G2943" s="7" t="s">
        <v>24</v>
      </c>
      <c r="H2943" s="7" t="s">
        <v>25</v>
      </c>
      <c r="I2943" s="7" t="s">
        <v>26</v>
      </c>
      <c r="J2943" s="7">
        <v>985</v>
      </c>
      <c r="K2943" s="7">
        <v>1408.55</v>
      </c>
    </row>
    <row r="2944" spans="1:11" ht="18" customHeight="1" x14ac:dyDescent="0.25">
      <c r="A2944" s="7" t="s">
        <v>19</v>
      </c>
      <c r="B2944" s="7">
        <v>2024</v>
      </c>
      <c r="C2944" s="7" t="s">
        <v>71</v>
      </c>
      <c r="D2944" s="7" t="s">
        <v>72</v>
      </c>
      <c r="E2944" s="7" t="s">
        <v>22</v>
      </c>
      <c r="F2944" s="7" t="s">
        <v>23</v>
      </c>
      <c r="G2944" s="7" t="s">
        <v>24</v>
      </c>
      <c r="H2944" s="7" t="s">
        <v>25</v>
      </c>
      <c r="I2944" s="7" t="s">
        <v>26</v>
      </c>
      <c r="J2944" s="7">
        <v>330</v>
      </c>
      <c r="K2944" s="7">
        <v>471.9</v>
      </c>
    </row>
    <row r="2945" spans="1:11" ht="18" customHeight="1" x14ac:dyDescent="0.25">
      <c r="A2945" s="7" t="s">
        <v>19</v>
      </c>
      <c r="B2945" s="7">
        <v>2024</v>
      </c>
      <c r="C2945" s="7" t="s">
        <v>71</v>
      </c>
      <c r="D2945" s="7" t="s">
        <v>72</v>
      </c>
      <c r="E2945" s="7" t="s">
        <v>22</v>
      </c>
      <c r="F2945" s="7" t="s">
        <v>23</v>
      </c>
      <c r="G2945" s="7" t="s">
        <v>24</v>
      </c>
      <c r="H2945" s="7" t="s">
        <v>25</v>
      </c>
      <c r="I2945" s="7" t="s">
        <v>26</v>
      </c>
      <c r="J2945" s="7">
        <v>357</v>
      </c>
      <c r="K2945" s="7">
        <v>510.51</v>
      </c>
    </row>
    <row r="2946" spans="1:11" ht="18" customHeight="1" x14ac:dyDescent="0.25">
      <c r="A2946" s="7" t="s">
        <v>34</v>
      </c>
      <c r="B2946" s="7">
        <v>2024</v>
      </c>
      <c r="C2946" s="7" t="s">
        <v>71</v>
      </c>
      <c r="D2946" s="7" t="s">
        <v>72</v>
      </c>
      <c r="E2946" s="7" t="s">
        <v>22</v>
      </c>
      <c r="F2946" s="7" t="s">
        <v>23</v>
      </c>
      <c r="G2946" s="7" t="s">
        <v>24</v>
      </c>
      <c r="H2946" s="7" t="s">
        <v>25</v>
      </c>
      <c r="I2946" s="7" t="s">
        <v>26</v>
      </c>
      <c r="J2946" s="7">
        <v>327</v>
      </c>
      <c r="K2946" s="7">
        <v>467.61</v>
      </c>
    </row>
    <row r="2947" spans="1:11" ht="18" customHeight="1" x14ac:dyDescent="0.25">
      <c r="A2947" s="7" t="s">
        <v>42</v>
      </c>
      <c r="B2947" s="7">
        <v>2024</v>
      </c>
      <c r="C2947" s="7" t="s">
        <v>71</v>
      </c>
      <c r="D2947" s="7" t="s">
        <v>72</v>
      </c>
      <c r="E2947" s="7" t="s">
        <v>22</v>
      </c>
      <c r="F2947" s="7" t="s">
        <v>23</v>
      </c>
      <c r="G2947" s="7" t="s">
        <v>24</v>
      </c>
      <c r="H2947" s="7" t="s">
        <v>25</v>
      </c>
      <c r="I2947" s="7" t="s">
        <v>26</v>
      </c>
      <c r="J2947" s="7">
        <v>766</v>
      </c>
      <c r="K2947" s="7">
        <v>1095.3800000000001</v>
      </c>
    </row>
    <row r="2948" spans="1:11" ht="18" customHeight="1" x14ac:dyDescent="0.25">
      <c r="A2948" s="7" t="s">
        <v>42</v>
      </c>
      <c r="B2948" s="7">
        <v>2024</v>
      </c>
      <c r="C2948" s="7" t="s">
        <v>71</v>
      </c>
      <c r="D2948" s="7" t="s">
        <v>72</v>
      </c>
      <c r="E2948" s="7" t="s">
        <v>22</v>
      </c>
      <c r="F2948" s="7" t="s">
        <v>23</v>
      </c>
      <c r="G2948" s="7" t="s">
        <v>24</v>
      </c>
      <c r="H2948" s="7" t="s">
        <v>25</v>
      </c>
      <c r="I2948" s="7" t="s">
        <v>26</v>
      </c>
      <c r="J2948" s="7">
        <v>852</v>
      </c>
      <c r="K2948" s="7">
        <v>1218.3600000000001</v>
      </c>
    </row>
    <row r="2949" spans="1:11" ht="18" customHeight="1" x14ac:dyDescent="0.25">
      <c r="A2949" s="7" t="s">
        <v>19</v>
      </c>
      <c r="B2949" s="7">
        <v>2024</v>
      </c>
      <c r="C2949" s="7" t="s">
        <v>71</v>
      </c>
      <c r="D2949" s="7" t="s">
        <v>72</v>
      </c>
      <c r="E2949" s="7" t="s">
        <v>22</v>
      </c>
      <c r="F2949" s="7" t="s">
        <v>23</v>
      </c>
      <c r="G2949" s="7" t="s">
        <v>24</v>
      </c>
      <c r="H2949" s="7" t="s">
        <v>25</v>
      </c>
      <c r="I2949" s="7" t="s">
        <v>26</v>
      </c>
      <c r="J2949" s="7">
        <v>353</v>
      </c>
      <c r="K2949" s="7">
        <v>504.78999999999996</v>
      </c>
    </row>
    <row r="2950" spans="1:11" ht="18" customHeight="1" x14ac:dyDescent="0.25">
      <c r="A2950" s="7" t="s">
        <v>19</v>
      </c>
      <c r="B2950" s="7">
        <v>2024</v>
      </c>
      <c r="C2950" s="7" t="s">
        <v>71</v>
      </c>
      <c r="D2950" s="7" t="s">
        <v>72</v>
      </c>
      <c r="E2950" s="7" t="s">
        <v>22</v>
      </c>
      <c r="F2950" s="7" t="s">
        <v>23</v>
      </c>
      <c r="G2950" s="7" t="s">
        <v>24</v>
      </c>
      <c r="H2950" s="7" t="s">
        <v>25</v>
      </c>
      <c r="I2950" s="7" t="s">
        <v>26</v>
      </c>
      <c r="J2950" s="7">
        <v>329</v>
      </c>
      <c r="K2950" s="7">
        <v>470.47</v>
      </c>
    </row>
    <row r="2951" spans="1:11" ht="18" customHeight="1" x14ac:dyDescent="0.25">
      <c r="A2951" s="7" t="s">
        <v>19</v>
      </c>
      <c r="B2951" s="7">
        <v>2024</v>
      </c>
      <c r="C2951" s="7" t="s">
        <v>70</v>
      </c>
      <c r="D2951" s="7" t="s">
        <v>72</v>
      </c>
      <c r="E2951" s="7" t="s">
        <v>22</v>
      </c>
      <c r="F2951" s="7" t="s">
        <v>23</v>
      </c>
      <c r="G2951" s="7" t="s">
        <v>24</v>
      </c>
      <c r="H2951" s="7" t="s">
        <v>25</v>
      </c>
      <c r="I2951" s="7" t="s">
        <v>26</v>
      </c>
      <c r="J2951" s="7">
        <v>362</v>
      </c>
      <c r="K2951" s="7">
        <v>517.66</v>
      </c>
    </row>
    <row r="2952" spans="1:11" ht="18" customHeight="1" x14ac:dyDescent="0.25">
      <c r="A2952" s="7" t="s">
        <v>34</v>
      </c>
      <c r="B2952" s="7">
        <v>2024</v>
      </c>
      <c r="C2952" s="7" t="s">
        <v>70</v>
      </c>
      <c r="D2952" s="7" t="s">
        <v>72</v>
      </c>
      <c r="E2952" s="7" t="s">
        <v>22</v>
      </c>
      <c r="F2952" s="7" t="s">
        <v>23</v>
      </c>
      <c r="G2952" s="7" t="s">
        <v>24</v>
      </c>
      <c r="H2952" s="7" t="s">
        <v>25</v>
      </c>
      <c r="I2952" s="7" t="s">
        <v>26</v>
      </c>
      <c r="J2952" s="7">
        <v>332</v>
      </c>
      <c r="K2952" s="7">
        <v>474.76</v>
      </c>
    </row>
    <row r="2953" spans="1:11" ht="18" customHeight="1" x14ac:dyDescent="0.25">
      <c r="A2953" s="7" t="s">
        <v>34</v>
      </c>
      <c r="B2953" s="7">
        <v>2024</v>
      </c>
      <c r="C2953" s="7" t="s">
        <v>70</v>
      </c>
      <c r="D2953" s="7" t="s">
        <v>72</v>
      </c>
      <c r="E2953" s="7" t="s">
        <v>22</v>
      </c>
      <c r="F2953" s="7" t="s">
        <v>23</v>
      </c>
      <c r="G2953" s="7" t="s">
        <v>24</v>
      </c>
      <c r="H2953" s="7" t="s">
        <v>25</v>
      </c>
      <c r="I2953" s="7" t="s">
        <v>26</v>
      </c>
      <c r="J2953" s="7">
        <v>334</v>
      </c>
      <c r="K2953" s="7">
        <v>526.24</v>
      </c>
    </row>
    <row r="2954" spans="1:11" ht="18" customHeight="1" x14ac:dyDescent="0.25">
      <c r="A2954" s="7" t="s">
        <v>53</v>
      </c>
      <c r="B2954" s="7">
        <v>2024</v>
      </c>
      <c r="C2954" s="7" t="s">
        <v>70</v>
      </c>
      <c r="D2954" s="7" t="s">
        <v>72</v>
      </c>
      <c r="E2954" s="7" t="s">
        <v>22</v>
      </c>
      <c r="F2954" s="7" t="s">
        <v>23</v>
      </c>
      <c r="G2954" s="7" t="s">
        <v>24</v>
      </c>
      <c r="H2954" s="7" t="s">
        <v>25</v>
      </c>
      <c r="I2954" s="7" t="s">
        <v>26</v>
      </c>
      <c r="J2954" s="7">
        <v>984</v>
      </c>
      <c r="K2954" s="7">
        <v>1407.12</v>
      </c>
    </row>
    <row r="2955" spans="1:11" ht="18" customHeight="1" x14ac:dyDescent="0.25">
      <c r="A2955" s="7" t="s">
        <v>42</v>
      </c>
      <c r="B2955" s="7">
        <v>2024</v>
      </c>
      <c r="C2955" s="7" t="s">
        <v>70</v>
      </c>
      <c r="D2955" s="7" t="s">
        <v>72</v>
      </c>
      <c r="E2955" s="7" t="s">
        <v>22</v>
      </c>
      <c r="F2955" s="7" t="s">
        <v>23</v>
      </c>
      <c r="G2955" s="7" t="s">
        <v>24</v>
      </c>
      <c r="H2955" s="7" t="s">
        <v>25</v>
      </c>
      <c r="I2955" s="7" t="s">
        <v>26</v>
      </c>
      <c r="J2955" s="7">
        <v>336</v>
      </c>
      <c r="K2955" s="7">
        <v>480.48</v>
      </c>
    </row>
    <row r="2956" spans="1:11" ht="18" customHeight="1" x14ac:dyDescent="0.25">
      <c r="A2956" s="7" t="s">
        <v>42</v>
      </c>
      <c r="B2956" s="7">
        <v>2024</v>
      </c>
      <c r="C2956" s="7" t="s">
        <v>70</v>
      </c>
      <c r="D2956" s="7" t="s">
        <v>72</v>
      </c>
      <c r="E2956" s="7" t="s">
        <v>22</v>
      </c>
      <c r="F2956" s="7" t="s">
        <v>23</v>
      </c>
      <c r="G2956" s="7" t="s">
        <v>24</v>
      </c>
      <c r="H2956" s="7" t="s">
        <v>25</v>
      </c>
      <c r="I2956" s="7" t="s">
        <v>26</v>
      </c>
      <c r="J2956" s="7">
        <v>363</v>
      </c>
      <c r="K2956" s="7">
        <v>519.09</v>
      </c>
    </row>
    <row r="2957" spans="1:11" ht="18" customHeight="1" x14ac:dyDescent="0.25">
      <c r="A2957" s="7" t="s">
        <v>53</v>
      </c>
      <c r="B2957" s="7">
        <v>2024</v>
      </c>
      <c r="C2957" s="7" t="s">
        <v>70</v>
      </c>
      <c r="D2957" s="7" t="s">
        <v>72</v>
      </c>
      <c r="E2957" s="7" t="s">
        <v>22</v>
      </c>
      <c r="F2957" s="7" t="s">
        <v>23</v>
      </c>
      <c r="G2957" s="7" t="s">
        <v>24</v>
      </c>
      <c r="H2957" s="7" t="s">
        <v>25</v>
      </c>
      <c r="I2957" s="7" t="s">
        <v>26</v>
      </c>
      <c r="J2957" s="7">
        <v>333</v>
      </c>
      <c r="K2957" s="7">
        <v>476.19</v>
      </c>
    </row>
    <row r="2958" spans="1:11" ht="18" customHeight="1" x14ac:dyDescent="0.25">
      <c r="A2958" s="7" t="s">
        <v>34</v>
      </c>
      <c r="B2958" s="7">
        <v>2024</v>
      </c>
      <c r="C2958" s="7" t="s">
        <v>70</v>
      </c>
      <c r="D2958" s="7" t="s">
        <v>72</v>
      </c>
      <c r="E2958" s="7" t="s">
        <v>22</v>
      </c>
      <c r="F2958" s="7" t="s">
        <v>23</v>
      </c>
      <c r="G2958" s="7" t="s">
        <v>24</v>
      </c>
      <c r="H2958" s="7" t="s">
        <v>25</v>
      </c>
      <c r="I2958" s="7" t="s">
        <v>26</v>
      </c>
      <c r="J2958" s="7">
        <v>765</v>
      </c>
      <c r="K2958" s="7">
        <v>1093.95</v>
      </c>
    </row>
    <row r="2959" spans="1:11" ht="18" customHeight="1" x14ac:dyDescent="0.25">
      <c r="A2959" s="7" t="s">
        <v>34</v>
      </c>
      <c r="B2959" s="7">
        <v>2024</v>
      </c>
      <c r="C2959" s="7" t="s">
        <v>70</v>
      </c>
      <c r="D2959" s="7" t="s">
        <v>72</v>
      </c>
      <c r="E2959" s="7" t="s">
        <v>22</v>
      </c>
      <c r="F2959" s="7" t="s">
        <v>23</v>
      </c>
      <c r="G2959" s="7" t="s">
        <v>24</v>
      </c>
      <c r="H2959" s="7" t="s">
        <v>25</v>
      </c>
      <c r="I2959" s="7" t="s">
        <v>26</v>
      </c>
      <c r="J2959" s="7">
        <v>359</v>
      </c>
      <c r="K2959" s="7">
        <v>513.37</v>
      </c>
    </row>
    <row r="2960" spans="1:11" ht="18" customHeight="1" x14ac:dyDescent="0.25">
      <c r="A2960" s="7" t="s">
        <v>19</v>
      </c>
      <c r="B2960" s="7">
        <v>2024</v>
      </c>
      <c r="C2960" s="7" t="s">
        <v>70</v>
      </c>
      <c r="D2960" s="7" t="s">
        <v>72</v>
      </c>
      <c r="E2960" s="7" t="s">
        <v>22</v>
      </c>
      <c r="F2960" s="7" t="s">
        <v>23</v>
      </c>
      <c r="G2960" s="7" t="s">
        <v>24</v>
      </c>
      <c r="H2960" s="7" t="s">
        <v>25</v>
      </c>
      <c r="I2960" s="7" t="s">
        <v>26</v>
      </c>
      <c r="J2960" s="7">
        <v>335</v>
      </c>
      <c r="K2960" s="7">
        <v>479.05</v>
      </c>
    </row>
    <row r="2961" spans="1:11" ht="18" customHeight="1" x14ac:dyDescent="0.25">
      <c r="A2961" s="7" t="s">
        <v>19</v>
      </c>
      <c r="B2961" s="7">
        <v>2024</v>
      </c>
      <c r="C2961" s="7" t="s">
        <v>69</v>
      </c>
      <c r="D2961" s="7" t="s">
        <v>72</v>
      </c>
      <c r="E2961" s="7" t="s">
        <v>22</v>
      </c>
      <c r="F2961" s="7" t="s">
        <v>23</v>
      </c>
      <c r="G2961" s="7" t="s">
        <v>24</v>
      </c>
      <c r="H2961" s="7" t="s">
        <v>25</v>
      </c>
      <c r="I2961" s="7" t="s">
        <v>26</v>
      </c>
      <c r="J2961" s="7">
        <v>368</v>
      </c>
      <c r="K2961" s="7">
        <v>526.24</v>
      </c>
    </row>
    <row r="2962" spans="1:11" ht="18" customHeight="1" x14ac:dyDescent="0.25">
      <c r="A2962" s="7" t="s">
        <v>34</v>
      </c>
      <c r="B2962" s="7">
        <v>2024</v>
      </c>
      <c r="C2962" s="7" t="s">
        <v>69</v>
      </c>
      <c r="D2962" s="7" t="s">
        <v>72</v>
      </c>
      <c r="E2962" s="7" t="s">
        <v>22</v>
      </c>
      <c r="F2962" s="7" t="s">
        <v>23</v>
      </c>
      <c r="G2962" s="7" t="s">
        <v>24</v>
      </c>
      <c r="H2962" s="7" t="s">
        <v>25</v>
      </c>
      <c r="I2962" s="7" t="s">
        <v>26</v>
      </c>
      <c r="J2962" s="7">
        <v>338</v>
      </c>
      <c r="K2962" s="7">
        <v>483.34000000000003</v>
      </c>
    </row>
    <row r="2963" spans="1:11" ht="18" customHeight="1" x14ac:dyDescent="0.25">
      <c r="A2963" s="7" t="s">
        <v>42</v>
      </c>
      <c r="B2963" s="7">
        <v>2024</v>
      </c>
      <c r="C2963" s="7" t="s">
        <v>69</v>
      </c>
      <c r="D2963" s="7" t="s">
        <v>72</v>
      </c>
      <c r="E2963" s="7" t="s">
        <v>22</v>
      </c>
      <c r="F2963" s="7" t="s">
        <v>23</v>
      </c>
      <c r="G2963" s="7" t="s">
        <v>24</v>
      </c>
      <c r="H2963" s="7" t="s">
        <v>25</v>
      </c>
      <c r="I2963" s="7" t="s">
        <v>26</v>
      </c>
      <c r="J2963" s="7">
        <v>364</v>
      </c>
      <c r="K2963" s="7">
        <v>526.24</v>
      </c>
    </row>
    <row r="2964" spans="1:11" ht="18" customHeight="1" x14ac:dyDescent="0.25">
      <c r="A2964" s="7" t="s">
        <v>19</v>
      </c>
      <c r="B2964" s="7">
        <v>2024</v>
      </c>
      <c r="C2964" s="7" t="s">
        <v>69</v>
      </c>
      <c r="D2964" s="7" t="s">
        <v>72</v>
      </c>
      <c r="E2964" s="7" t="s">
        <v>22</v>
      </c>
      <c r="F2964" s="7" t="s">
        <v>23</v>
      </c>
      <c r="G2964" s="7" t="s">
        <v>24</v>
      </c>
      <c r="H2964" s="7" t="s">
        <v>25</v>
      </c>
      <c r="I2964" s="7" t="s">
        <v>26</v>
      </c>
      <c r="J2964" s="7">
        <v>340</v>
      </c>
      <c r="K2964" s="7">
        <v>526.24</v>
      </c>
    </row>
    <row r="2965" spans="1:11" ht="18" customHeight="1" x14ac:dyDescent="0.25">
      <c r="A2965" s="7" t="s">
        <v>19</v>
      </c>
      <c r="B2965" s="7">
        <v>2024</v>
      </c>
      <c r="C2965" s="7" t="s">
        <v>69</v>
      </c>
      <c r="D2965" s="7" t="s">
        <v>72</v>
      </c>
      <c r="E2965" s="7" t="s">
        <v>22</v>
      </c>
      <c r="F2965" s="7" t="s">
        <v>23</v>
      </c>
      <c r="G2965" s="7" t="s">
        <v>24</v>
      </c>
      <c r="H2965" s="7" t="s">
        <v>25</v>
      </c>
      <c r="I2965" s="7" t="s">
        <v>26</v>
      </c>
      <c r="J2965" s="7">
        <v>983</v>
      </c>
      <c r="K2965" s="7">
        <v>1405.69</v>
      </c>
    </row>
    <row r="2966" spans="1:11" ht="18" customHeight="1" x14ac:dyDescent="0.25">
      <c r="A2966" s="7" t="s">
        <v>19</v>
      </c>
      <c r="B2966" s="7">
        <v>2024</v>
      </c>
      <c r="C2966" s="7" t="s">
        <v>69</v>
      </c>
      <c r="D2966" s="7" t="s">
        <v>72</v>
      </c>
      <c r="E2966" s="7" t="s">
        <v>22</v>
      </c>
      <c r="F2966" s="7" t="s">
        <v>23</v>
      </c>
      <c r="G2966" s="7" t="s">
        <v>24</v>
      </c>
      <c r="H2966" s="7" t="s">
        <v>25</v>
      </c>
      <c r="I2966" s="7" t="s">
        <v>26</v>
      </c>
      <c r="J2966" s="7">
        <v>339</v>
      </c>
      <c r="K2966" s="7">
        <v>484.77</v>
      </c>
    </row>
    <row r="2967" spans="1:11" ht="18" customHeight="1" x14ac:dyDescent="0.25">
      <c r="A2967" s="7" t="s">
        <v>19</v>
      </c>
      <c r="B2967" s="7">
        <v>2024</v>
      </c>
      <c r="C2967" s="7" t="s">
        <v>69</v>
      </c>
      <c r="D2967" s="7" t="s">
        <v>72</v>
      </c>
      <c r="E2967" s="7" t="s">
        <v>22</v>
      </c>
      <c r="F2967" s="7" t="s">
        <v>23</v>
      </c>
      <c r="G2967" s="7" t="s">
        <v>24</v>
      </c>
      <c r="H2967" s="7" t="s">
        <v>25</v>
      </c>
      <c r="I2967" s="7" t="s">
        <v>26</v>
      </c>
      <c r="J2967" s="7">
        <v>764</v>
      </c>
      <c r="K2967" s="7">
        <v>1092.52</v>
      </c>
    </row>
    <row r="2968" spans="1:11" ht="18" customHeight="1" x14ac:dyDescent="0.25">
      <c r="A2968" s="7" t="s">
        <v>42</v>
      </c>
      <c r="B2968" s="7">
        <v>2024</v>
      </c>
      <c r="C2968" s="7" t="s">
        <v>69</v>
      </c>
      <c r="D2968" s="7" t="s">
        <v>72</v>
      </c>
      <c r="E2968" s="7" t="s">
        <v>22</v>
      </c>
      <c r="F2968" s="7" t="s">
        <v>23</v>
      </c>
      <c r="G2968" s="7" t="s">
        <v>24</v>
      </c>
      <c r="H2968" s="7" t="s">
        <v>25</v>
      </c>
      <c r="I2968" s="7" t="s">
        <v>26</v>
      </c>
      <c r="J2968" s="7">
        <v>851</v>
      </c>
      <c r="K2968" s="7">
        <v>1216.93</v>
      </c>
    </row>
    <row r="2969" spans="1:11" ht="18" customHeight="1" x14ac:dyDescent="0.25">
      <c r="A2969" s="7" t="s">
        <v>34</v>
      </c>
      <c r="B2969" s="7">
        <v>2024</v>
      </c>
      <c r="C2969" s="7" t="s">
        <v>69</v>
      </c>
      <c r="D2969" s="7" t="s">
        <v>72</v>
      </c>
      <c r="E2969" s="7" t="s">
        <v>22</v>
      </c>
      <c r="F2969" s="7" t="s">
        <v>23</v>
      </c>
      <c r="G2969" s="7" t="s">
        <v>24</v>
      </c>
      <c r="H2969" s="7" t="s">
        <v>25</v>
      </c>
      <c r="I2969" s="7" t="s">
        <v>26</v>
      </c>
      <c r="J2969" s="7">
        <v>365</v>
      </c>
      <c r="K2969" s="7">
        <v>521.95000000000005</v>
      </c>
    </row>
    <row r="2970" spans="1:11" ht="18" customHeight="1" x14ac:dyDescent="0.25">
      <c r="A2970" s="7" t="s">
        <v>19</v>
      </c>
      <c r="B2970" s="7">
        <v>2024</v>
      </c>
      <c r="C2970" s="7" t="s">
        <v>69</v>
      </c>
      <c r="D2970" s="7" t="s">
        <v>72</v>
      </c>
      <c r="E2970" s="7" t="s">
        <v>22</v>
      </c>
      <c r="F2970" s="7" t="s">
        <v>23</v>
      </c>
      <c r="G2970" s="7" t="s">
        <v>24</v>
      </c>
      <c r="H2970" s="7" t="s">
        <v>25</v>
      </c>
      <c r="I2970" s="7" t="s">
        <v>26</v>
      </c>
      <c r="J2970" s="7">
        <v>341</v>
      </c>
      <c r="K2970" s="7">
        <v>487.63</v>
      </c>
    </row>
    <row r="2971" spans="1:11" ht="18" customHeight="1" x14ac:dyDescent="0.25">
      <c r="A2971" s="7" t="s">
        <v>19</v>
      </c>
      <c r="B2971" s="7">
        <v>2024</v>
      </c>
      <c r="C2971" s="7" t="s">
        <v>20</v>
      </c>
      <c r="D2971" s="7" t="s">
        <v>72</v>
      </c>
      <c r="E2971" s="7" t="s">
        <v>74</v>
      </c>
      <c r="F2971" s="7" t="s">
        <v>75</v>
      </c>
      <c r="G2971" s="7" t="s">
        <v>64</v>
      </c>
      <c r="H2971" s="7" t="s">
        <v>73</v>
      </c>
      <c r="I2971" s="7" t="s">
        <v>76</v>
      </c>
      <c r="J2971" s="7">
        <v>224</v>
      </c>
      <c r="K2971" s="7">
        <v>320.32</v>
      </c>
    </row>
    <row r="2972" spans="1:11" ht="18" customHeight="1" x14ac:dyDescent="0.25">
      <c r="A2972" s="7" t="s">
        <v>19</v>
      </c>
      <c r="B2972" s="7">
        <v>2024</v>
      </c>
      <c r="C2972" s="7" t="s">
        <v>20</v>
      </c>
      <c r="D2972" s="7" t="s">
        <v>72</v>
      </c>
      <c r="E2972" s="7" t="s">
        <v>74</v>
      </c>
      <c r="F2972" s="7" t="s">
        <v>75</v>
      </c>
      <c r="G2972" s="7" t="s">
        <v>64</v>
      </c>
      <c r="H2972" s="7" t="s">
        <v>73</v>
      </c>
      <c r="I2972" s="7" t="s">
        <v>76</v>
      </c>
      <c r="J2972" s="7">
        <v>226</v>
      </c>
      <c r="K2972" s="7">
        <v>323.18</v>
      </c>
    </row>
    <row r="2973" spans="1:11" ht="18" customHeight="1" x14ac:dyDescent="0.25">
      <c r="A2973" s="7" t="s">
        <v>34</v>
      </c>
      <c r="B2973" s="7">
        <v>2024</v>
      </c>
      <c r="C2973" s="7" t="s">
        <v>20</v>
      </c>
      <c r="D2973" s="7" t="s">
        <v>72</v>
      </c>
      <c r="E2973" s="7" t="s">
        <v>74</v>
      </c>
      <c r="F2973" s="7" t="s">
        <v>75</v>
      </c>
      <c r="G2973" s="7" t="s">
        <v>64</v>
      </c>
      <c r="H2973" s="7" t="s">
        <v>73</v>
      </c>
      <c r="I2973" s="7" t="s">
        <v>76</v>
      </c>
      <c r="J2973" s="7">
        <v>196</v>
      </c>
      <c r="K2973" s="7">
        <v>280.27999999999997</v>
      </c>
    </row>
    <row r="2974" spans="1:11" ht="18" customHeight="1" x14ac:dyDescent="0.25">
      <c r="A2974" s="7" t="s">
        <v>34</v>
      </c>
      <c r="B2974" s="7">
        <v>2024</v>
      </c>
      <c r="C2974" s="7" t="s">
        <v>20</v>
      </c>
      <c r="D2974" s="7" t="s">
        <v>72</v>
      </c>
      <c r="E2974" s="7" t="s">
        <v>74</v>
      </c>
      <c r="F2974" s="7" t="s">
        <v>75</v>
      </c>
      <c r="G2974" s="7" t="s">
        <v>64</v>
      </c>
      <c r="H2974" s="7" t="s">
        <v>73</v>
      </c>
      <c r="I2974" s="7" t="s">
        <v>76</v>
      </c>
      <c r="J2974" s="7">
        <v>802</v>
      </c>
      <c r="K2974" s="7">
        <v>1146.8600000000001</v>
      </c>
    </row>
    <row r="2975" spans="1:11" ht="18" customHeight="1" x14ac:dyDescent="0.25">
      <c r="A2975" s="7" t="s">
        <v>61</v>
      </c>
      <c r="B2975" s="7">
        <v>2024</v>
      </c>
      <c r="C2975" s="7" t="s">
        <v>20</v>
      </c>
      <c r="D2975" s="7" t="s">
        <v>72</v>
      </c>
      <c r="E2975" s="7" t="s">
        <v>74</v>
      </c>
      <c r="F2975" s="7" t="s">
        <v>75</v>
      </c>
      <c r="G2975" s="7" t="s">
        <v>64</v>
      </c>
      <c r="H2975" s="7" t="s">
        <v>73</v>
      </c>
      <c r="I2975" s="7" t="s">
        <v>76</v>
      </c>
      <c r="J2975" s="7">
        <v>888</v>
      </c>
      <c r="K2975" s="7">
        <v>1269.8399999999999</v>
      </c>
    </row>
    <row r="2976" spans="1:11" ht="18" customHeight="1" x14ac:dyDescent="0.25">
      <c r="A2976" s="7" t="s">
        <v>61</v>
      </c>
      <c r="B2976" s="7">
        <v>2024</v>
      </c>
      <c r="C2976" s="7" t="s">
        <v>20</v>
      </c>
      <c r="D2976" s="7" t="s">
        <v>72</v>
      </c>
      <c r="E2976" s="7" t="s">
        <v>74</v>
      </c>
      <c r="F2976" s="7" t="s">
        <v>75</v>
      </c>
      <c r="G2976" s="7" t="s">
        <v>64</v>
      </c>
      <c r="H2976" s="7" t="s">
        <v>73</v>
      </c>
      <c r="I2976" s="7" t="s">
        <v>76</v>
      </c>
      <c r="J2976" s="7">
        <v>841</v>
      </c>
      <c r="K2976" s="7">
        <v>526.24</v>
      </c>
    </row>
    <row r="2977" spans="1:11" ht="18" customHeight="1" x14ac:dyDescent="0.25">
      <c r="A2977" s="7" t="s">
        <v>34</v>
      </c>
      <c r="B2977" s="7">
        <v>2024</v>
      </c>
      <c r="C2977" s="7" t="s">
        <v>20</v>
      </c>
      <c r="D2977" s="7" t="s">
        <v>72</v>
      </c>
      <c r="E2977" s="7" t="s">
        <v>74</v>
      </c>
      <c r="F2977" s="7" t="s">
        <v>75</v>
      </c>
      <c r="G2977" s="7" t="s">
        <v>64</v>
      </c>
      <c r="H2977" s="7" t="s">
        <v>73</v>
      </c>
      <c r="I2977" s="7" t="s">
        <v>76</v>
      </c>
      <c r="J2977" s="7">
        <v>195</v>
      </c>
      <c r="K2977" s="7">
        <v>278.85000000000002</v>
      </c>
    </row>
    <row r="2978" spans="1:11" ht="18" customHeight="1" x14ac:dyDescent="0.25">
      <c r="A2978" s="7" t="s">
        <v>34</v>
      </c>
      <c r="B2978" s="7">
        <v>2024</v>
      </c>
      <c r="C2978" s="7" t="s">
        <v>20</v>
      </c>
      <c r="D2978" s="7" t="s">
        <v>72</v>
      </c>
      <c r="E2978" s="7" t="s">
        <v>74</v>
      </c>
      <c r="F2978" s="7" t="s">
        <v>75</v>
      </c>
      <c r="G2978" s="7" t="s">
        <v>64</v>
      </c>
      <c r="H2978" s="7" t="s">
        <v>73</v>
      </c>
      <c r="I2978" s="7" t="s">
        <v>76</v>
      </c>
      <c r="J2978" s="7">
        <v>223</v>
      </c>
      <c r="K2978" s="7">
        <v>318.89</v>
      </c>
    </row>
    <row r="2979" spans="1:11" ht="18" customHeight="1" x14ac:dyDescent="0.25">
      <c r="A2979" s="7" t="s">
        <v>19</v>
      </c>
      <c r="B2979" s="7">
        <v>2024</v>
      </c>
      <c r="C2979" s="7" t="s">
        <v>20</v>
      </c>
      <c r="D2979" s="7" t="s">
        <v>72</v>
      </c>
      <c r="E2979" s="7" t="s">
        <v>74</v>
      </c>
      <c r="F2979" s="7" t="s">
        <v>75</v>
      </c>
      <c r="G2979" s="7" t="s">
        <v>64</v>
      </c>
      <c r="H2979" s="7" t="s">
        <v>73</v>
      </c>
      <c r="I2979" s="7" t="s">
        <v>76</v>
      </c>
      <c r="J2979" s="7">
        <v>199</v>
      </c>
      <c r="K2979" s="7">
        <v>284.57</v>
      </c>
    </row>
    <row r="2980" spans="1:11" ht="18" customHeight="1" x14ac:dyDescent="0.25">
      <c r="A2980" s="7" t="s">
        <v>19</v>
      </c>
      <c r="B2980" s="7">
        <v>2024</v>
      </c>
      <c r="C2980" s="7" t="s">
        <v>20</v>
      </c>
      <c r="D2980" s="7" t="s">
        <v>72</v>
      </c>
      <c r="E2980" s="7" t="s">
        <v>74</v>
      </c>
      <c r="F2980" s="7" t="s">
        <v>75</v>
      </c>
      <c r="G2980" s="7" t="s">
        <v>64</v>
      </c>
      <c r="H2980" s="7" t="s">
        <v>73</v>
      </c>
      <c r="I2980" s="7" t="s">
        <v>76</v>
      </c>
      <c r="J2980" s="7">
        <v>197</v>
      </c>
      <c r="K2980" s="7">
        <v>281.70999999999998</v>
      </c>
    </row>
    <row r="2981" spans="1:11" ht="18" customHeight="1" x14ac:dyDescent="0.25">
      <c r="A2981" s="7" t="s">
        <v>34</v>
      </c>
      <c r="B2981" s="7">
        <v>2024</v>
      </c>
      <c r="C2981" s="7" t="s">
        <v>60</v>
      </c>
      <c r="D2981" s="7" t="s">
        <v>72</v>
      </c>
      <c r="E2981" s="7" t="s">
        <v>74</v>
      </c>
      <c r="F2981" s="7" t="s">
        <v>75</v>
      </c>
      <c r="G2981" s="7" t="s">
        <v>64</v>
      </c>
      <c r="H2981" s="7" t="s">
        <v>73</v>
      </c>
      <c r="I2981" s="7" t="s">
        <v>76</v>
      </c>
      <c r="J2981" s="7">
        <v>176</v>
      </c>
      <c r="K2981" s="7">
        <v>251.68</v>
      </c>
    </row>
    <row r="2982" spans="1:11" ht="18" customHeight="1" x14ac:dyDescent="0.25">
      <c r="A2982" s="7" t="s">
        <v>19</v>
      </c>
      <c r="B2982" s="7">
        <v>2024</v>
      </c>
      <c r="C2982" s="7" t="s">
        <v>60</v>
      </c>
      <c r="D2982" s="7" t="s">
        <v>72</v>
      </c>
      <c r="E2982" s="7" t="s">
        <v>74</v>
      </c>
      <c r="F2982" s="7" t="s">
        <v>75</v>
      </c>
      <c r="G2982" s="7" t="s">
        <v>64</v>
      </c>
      <c r="H2982" s="7" t="s">
        <v>73</v>
      </c>
      <c r="I2982" s="7" t="s">
        <v>76</v>
      </c>
      <c r="J2982" s="7">
        <v>202</v>
      </c>
      <c r="K2982" s="7">
        <v>288.86</v>
      </c>
    </row>
    <row r="2983" spans="1:11" ht="18" customHeight="1" x14ac:dyDescent="0.25">
      <c r="A2983" s="7" t="s">
        <v>34</v>
      </c>
      <c r="B2983" s="7">
        <v>2024</v>
      </c>
      <c r="C2983" s="7" t="s">
        <v>60</v>
      </c>
      <c r="D2983" s="7" t="s">
        <v>72</v>
      </c>
      <c r="E2983" s="7" t="s">
        <v>74</v>
      </c>
      <c r="F2983" s="7" t="s">
        <v>75</v>
      </c>
      <c r="G2983" s="7" t="s">
        <v>64</v>
      </c>
      <c r="H2983" s="7" t="s">
        <v>73</v>
      </c>
      <c r="I2983" s="7" t="s">
        <v>76</v>
      </c>
      <c r="J2983" s="7">
        <v>178</v>
      </c>
      <c r="K2983" s="7">
        <v>254.54</v>
      </c>
    </row>
    <row r="2984" spans="1:11" ht="18" customHeight="1" x14ac:dyDescent="0.25">
      <c r="A2984" s="7" t="s">
        <v>42</v>
      </c>
      <c r="B2984" s="7">
        <v>2024</v>
      </c>
      <c r="C2984" s="7" t="s">
        <v>60</v>
      </c>
      <c r="D2984" s="7" t="s">
        <v>72</v>
      </c>
      <c r="E2984" s="7" t="s">
        <v>74</v>
      </c>
      <c r="F2984" s="7" t="s">
        <v>75</v>
      </c>
      <c r="G2984" s="7" t="s">
        <v>64</v>
      </c>
      <c r="H2984" s="7" t="s">
        <v>73</v>
      </c>
      <c r="I2984" s="7" t="s">
        <v>76</v>
      </c>
      <c r="J2984" s="7">
        <v>805</v>
      </c>
      <c r="K2984" s="7">
        <v>1151.1500000000001</v>
      </c>
    </row>
    <row r="2985" spans="1:11" ht="18" customHeight="1" x14ac:dyDescent="0.25">
      <c r="A2985" s="7" t="s">
        <v>53</v>
      </c>
      <c r="B2985" s="7">
        <v>2024</v>
      </c>
      <c r="C2985" s="7" t="s">
        <v>60</v>
      </c>
      <c r="D2985" s="7" t="s">
        <v>72</v>
      </c>
      <c r="E2985" s="7" t="s">
        <v>74</v>
      </c>
      <c r="F2985" s="7" t="s">
        <v>75</v>
      </c>
      <c r="G2985" s="7" t="s">
        <v>64</v>
      </c>
      <c r="H2985" s="7" t="s">
        <v>73</v>
      </c>
      <c r="I2985" s="7" t="s">
        <v>76</v>
      </c>
      <c r="J2985" s="7">
        <v>892</v>
      </c>
      <c r="K2985" s="7">
        <v>1275.56</v>
      </c>
    </row>
    <row r="2986" spans="1:11" ht="18" customHeight="1" x14ac:dyDescent="0.25">
      <c r="A2986" s="7" t="s">
        <v>53</v>
      </c>
      <c r="B2986" s="7">
        <v>2024</v>
      </c>
      <c r="C2986" s="7" t="s">
        <v>60</v>
      </c>
      <c r="D2986" s="7" t="s">
        <v>72</v>
      </c>
      <c r="E2986" s="7" t="s">
        <v>74</v>
      </c>
      <c r="F2986" s="7" t="s">
        <v>75</v>
      </c>
      <c r="G2986" s="7" t="s">
        <v>64</v>
      </c>
      <c r="H2986" s="7" t="s">
        <v>73</v>
      </c>
      <c r="I2986" s="7" t="s">
        <v>76</v>
      </c>
      <c r="J2986" s="7">
        <v>845</v>
      </c>
      <c r="K2986" s="7">
        <v>526.24</v>
      </c>
    </row>
    <row r="2987" spans="1:11" ht="18" customHeight="1" x14ac:dyDescent="0.25">
      <c r="A2987" s="7" t="s">
        <v>42</v>
      </c>
      <c r="B2987" s="7">
        <v>2024</v>
      </c>
      <c r="C2987" s="7" t="s">
        <v>60</v>
      </c>
      <c r="D2987" s="7" t="s">
        <v>72</v>
      </c>
      <c r="E2987" s="7" t="s">
        <v>74</v>
      </c>
      <c r="F2987" s="7" t="s">
        <v>75</v>
      </c>
      <c r="G2987" s="7" t="s">
        <v>64</v>
      </c>
      <c r="H2987" s="7" t="s">
        <v>73</v>
      </c>
      <c r="I2987" s="7" t="s">
        <v>76</v>
      </c>
      <c r="J2987" s="7">
        <v>177</v>
      </c>
      <c r="K2987" s="7">
        <v>253.11</v>
      </c>
    </row>
    <row r="2988" spans="1:11" ht="18" customHeight="1" x14ac:dyDescent="0.25">
      <c r="A2988" s="7" t="s">
        <v>34</v>
      </c>
      <c r="B2988" s="7">
        <v>2024</v>
      </c>
      <c r="C2988" s="7" t="s">
        <v>60</v>
      </c>
      <c r="D2988" s="7" t="s">
        <v>72</v>
      </c>
      <c r="E2988" s="7" t="s">
        <v>74</v>
      </c>
      <c r="F2988" s="7" t="s">
        <v>75</v>
      </c>
      <c r="G2988" s="7" t="s">
        <v>64</v>
      </c>
      <c r="H2988" s="7" t="s">
        <v>73</v>
      </c>
      <c r="I2988" s="7" t="s">
        <v>76</v>
      </c>
      <c r="J2988" s="7">
        <v>205</v>
      </c>
      <c r="K2988" s="7">
        <v>293.14999999999998</v>
      </c>
    </row>
    <row r="2989" spans="1:11" ht="18" customHeight="1" x14ac:dyDescent="0.25">
      <c r="A2989" s="7" t="s">
        <v>19</v>
      </c>
      <c r="B2989" s="7">
        <v>2024</v>
      </c>
      <c r="C2989" s="7" t="s">
        <v>60</v>
      </c>
      <c r="D2989" s="7" t="s">
        <v>72</v>
      </c>
      <c r="E2989" s="7" t="s">
        <v>74</v>
      </c>
      <c r="F2989" s="7" t="s">
        <v>75</v>
      </c>
      <c r="G2989" s="7" t="s">
        <v>64</v>
      </c>
      <c r="H2989" s="7" t="s">
        <v>73</v>
      </c>
      <c r="I2989" s="7" t="s">
        <v>76</v>
      </c>
      <c r="J2989" s="7">
        <v>175</v>
      </c>
      <c r="K2989" s="7">
        <v>250.25</v>
      </c>
    </row>
    <row r="2990" spans="1:11" ht="18" customHeight="1" x14ac:dyDescent="0.25">
      <c r="A2990" s="7" t="s">
        <v>34</v>
      </c>
      <c r="B2990" s="7">
        <v>2024</v>
      </c>
      <c r="C2990" s="7" t="s">
        <v>60</v>
      </c>
      <c r="D2990" s="7" t="s">
        <v>72</v>
      </c>
      <c r="E2990" s="7" t="s">
        <v>74</v>
      </c>
      <c r="F2990" s="7" t="s">
        <v>75</v>
      </c>
      <c r="G2990" s="7" t="s">
        <v>64</v>
      </c>
      <c r="H2990" s="7" t="s">
        <v>73</v>
      </c>
      <c r="I2990" s="7" t="s">
        <v>76</v>
      </c>
      <c r="J2990" s="7">
        <v>814</v>
      </c>
      <c r="K2990" s="7">
        <v>1164.02</v>
      </c>
    </row>
    <row r="2991" spans="1:11" ht="18" customHeight="1" x14ac:dyDescent="0.25">
      <c r="A2991" s="7" t="s">
        <v>61</v>
      </c>
      <c r="B2991" s="7">
        <v>2024</v>
      </c>
      <c r="C2991" s="7" t="s">
        <v>65</v>
      </c>
      <c r="D2991" s="7" t="s">
        <v>72</v>
      </c>
      <c r="E2991" s="7" t="s">
        <v>74</v>
      </c>
      <c r="F2991" s="7" t="s">
        <v>75</v>
      </c>
      <c r="G2991" s="7" t="s">
        <v>64</v>
      </c>
      <c r="H2991" s="7" t="s">
        <v>73</v>
      </c>
      <c r="I2991" s="7" t="s">
        <v>76</v>
      </c>
      <c r="J2991" s="7">
        <v>182</v>
      </c>
      <c r="K2991" s="7">
        <v>260.26</v>
      </c>
    </row>
    <row r="2992" spans="1:11" ht="18" customHeight="1" x14ac:dyDescent="0.25">
      <c r="A2992" s="7" t="s">
        <v>42</v>
      </c>
      <c r="B2992" s="7">
        <v>2024</v>
      </c>
      <c r="C2992" s="7" t="s">
        <v>65</v>
      </c>
      <c r="D2992" s="7" t="s">
        <v>72</v>
      </c>
      <c r="E2992" s="7" t="s">
        <v>74</v>
      </c>
      <c r="F2992" s="7" t="s">
        <v>75</v>
      </c>
      <c r="G2992" s="7" t="s">
        <v>64</v>
      </c>
      <c r="H2992" s="7" t="s">
        <v>73</v>
      </c>
      <c r="I2992" s="7" t="s">
        <v>76</v>
      </c>
      <c r="J2992" s="7">
        <v>152</v>
      </c>
      <c r="K2992" s="7">
        <v>217.36</v>
      </c>
    </row>
    <row r="2993" spans="1:11" ht="18" customHeight="1" x14ac:dyDescent="0.25">
      <c r="A2993" s="7" t="s">
        <v>19</v>
      </c>
      <c r="B2993" s="7">
        <v>2024</v>
      </c>
      <c r="C2993" s="7" t="s">
        <v>65</v>
      </c>
      <c r="D2993" s="7" t="s">
        <v>72</v>
      </c>
      <c r="E2993" s="7" t="s">
        <v>74</v>
      </c>
      <c r="F2993" s="7" t="s">
        <v>75</v>
      </c>
      <c r="G2993" s="7" t="s">
        <v>64</v>
      </c>
      <c r="H2993" s="7" t="s">
        <v>73</v>
      </c>
      <c r="I2993" s="7" t="s">
        <v>76</v>
      </c>
      <c r="J2993" s="7">
        <v>184</v>
      </c>
      <c r="K2993" s="7">
        <v>263.12</v>
      </c>
    </row>
    <row r="2994" spans="1:11" ht="18" customHeight="1" x14ac:dyDescent="0.25">
      <c r="A2994" s="7" t="s">
        <v>53</v>
      </c>
      <c r="B2994" s="7">
        <v>2024</v>
      </c>
      <c r="C2994" s="7" t="s">
        <v>65</v>
      </c>
      <c r="D2994" s="7" t="s">
        <v>72</v>
      </c>
      <c r="E2994" s="7" t="s">
        <v>74</v>
      </c>
      <c r="F2994" s="7" t="s">
        <v>75</v>
      </c>
      <c r="G2994" s="7" t="s">
        <v>64</v>
      </c>
      <c r="H2994" s="7" t="s">
        <v>73</v>
      </c>
      <c r="I2994" s="7" t="s">
        <v>76</v>
      </c>
      <c r="J2994" s="7">
        <v>154</v>
      </c>
      <c r="K2994" s="7">
        <v>220.22</v>
      </c>
    </row>
    <row r="2995" spans="1:11" ht="18" customHeight="1" x14ac:dyDescent="0.25">
      <c r="A2995" s="7" t="s">
        <v>53</v>
      </c>
      <c r="B2995" s="7">
        <v>2024</v>
      </c>
      <c r="C2995" s="7" t="s">
        <v>65</v>
      </c>
      <c r="D2995" s="7" t="s">
        <v>72</v>
      </c>
      <c r="E2995" s="7" t="s">
        <v>74</v>
      </c>
      <c r="F2995" s="7" t="s">
        <v>75</v>
      </c>
      <c r="G2995" s="7" t="s">
        <v>64</v>
      </c>
      <c r="H2995" s="7" t="s">
        <v>73</v>
      </c>
      <c r="I2995" s="7" t="s">
        <v>76</v>
      </c>
      <c r="J2995" s="7">
        <v>809</v>
      </c>
      <c r="K2995" s="7">
        <v>1156.8699999999999</v>
      </c>
    </row>
    <row r="2996" spans="1:11" ht="18" customHeight="1" x14ac:dyDescent="0.25">
      <c r="A2996" s="7" t="s">
        <v>34</v>
      </c>
      <c r="B2996" s="7">
        <v>2024</v>
      </c>
      <c r="C2996" s="7" t="s">
        <v>65</v>
      </c>
      <c r="D2996" s="7" t="s">
        <v>72</v>
      </c>
      <c r="E2996" s="7" t="s">
        <v>74</v>
      </c>
      <c r="F2996" s="7" t="s">
        <v>75</v>
      </c>
      <c r="G2996" s="7" t="s">
        <v>64</v>
      </c>
      <c r="H2996" s="7" t="s">
        <v>73</v>
      </c>
      <c r="I2996" s="7" t="s">
        <v>76</v>
      </c>
      <c r="J2996" s="7">
        <v>895</v>
      </c>
      <c r="K2996" s="7">
        <v>1279.8499999999999</v>
      </c>
    </row>
    <row r="2997" spans="1:11" ht="18" customHeight="1" x14ac:dyDescent="0.25">
      <c r="A2997" s="7" t="s">
        <v>34</v>
      </c>
      <c r="B2997" s="7">
        <v>2024</v>
      </c>
      <c r="C2997" s="7" t="s">
        <v>65</v>
      </c>
      <c r="D2997" s="7" t="s">
        <v>72</v>
      </c>
      <c r="E2997" s="7" t="s">
        <v>74</v>
      </c>
      <c r="F2997" s="7" t="s">
        <v>75</v>
      </c>
      <c r="G2997" s="7" t="s">
        <v>64</v>
      </c>
      <c r="H2997" s="7" t="s">
        <v>73</v>
      </c>
      <c r="I2997" s="7" t="s">
        <v>76</v>
      </c>
      <c r="J2997" s="7">
        <v>848</v>
      </c>
      <c r="K2997" s="7">
        <v>526.24</v>
      </c>
    </row>
    <row r="2998" spans="1:11" ht="18" customHeight="1" x14ac:dyDescent="0.25">
      <c r="A2998" s="7" t="s">
        <v>53</v>
      </c>
      <c r="B2998" s="7">
        <v>2024</v>
      </c>
      <c r="C2998" s="7" t="s">
        <v>65</v>
      </c>
      <c r="D2998" s="7" t="s">
        <v>72</v>
      </c>
      <c r="E2998" s="7" t="s">
        <v>74</v>
      </c>
      <c r="F2998" s="7" t="s">
        <v>75</v>
      </c>
      <c r="G2998" s="7" t="s">
        <v>64</v>
      </c>
      <c r="H2998" s="7" t="s">
        <v>73</v>
      </c>
      <c r="I2998" s="7" t="s">
        <v>76</v>
      </c>
      <c r="J2998" s="7">
        <v>153</v>
      </c>
      <c r="K2998" s="7">
        <v>218.79</v>
      </c>
    </row>
    <row r="2999" spans="1:11" ht="18" customHeight="1" x14ac:dyDescent="0.25">
      <c r="A2999" s="7" t="s">
        <v>53</v>
      </c>
      <c r="B2999" s="7">
        <v>2024</v>
      </c>
      <c r="C2999" s="7" t="s">
        <v>65</v>
      </c>
      <c r="D2999" s="7" t="s">
        <v>72</v>
      </c>
      <c r="E2999" s="7" t="s">
        <v>74</v>
      </c>
      <c r="F2999" s="7" t="s">
        <v>75</v>
      </c>
      <c r="G2999" s="7" t="s">
        <v>64</v>
      </c>
      <c r="H2999" s="7" t="s">
        <v>73</v>
      </c>
      <c r="I2999" s="7" t="s">
        <v>76</v>
      </c>
      <c r="J2999" s="7">
        <v>181</v>
      </c>
      <c r="K2999" s="7">
        <v>258.83</v>
      </c>
    </row>
    <row r="3000" spans="1:11" ht="18" customHeight="1" x14ac:dyDescent="0.25">
      <c r="A3000" s="7" t="s">
        <v>19</v>
      </c>
      <c r="B3000" s="7">
        <v>2024</v>
      </c>
      <c r="C3000" s="7" t="s">
        <v>65</v>
      </c>
      <c r="D3000" s="7" t="s">
        <v>72</v>
      </c>
      <c r="E3000" s="7" t="s">
        <v>74</v>
      </c>
      <c r="F3000" s="7" t="s">
        <v>75</v>
      </c>
      <c r="G3000" s="7" t="s">
        <v>64</v>
      </c>
      <c r="H3000" s="7" t="s">
        <v>73</v>
      </c>
      <c r="I3000" s="7" t="s">
        <v>76</v>
      </c>
      <c r="J3000" s="7">
        <v>157</v>
      </c>
      <c r="K3000" s="7">
        <v>224.51</v>
      </c>
    </row>
    <row r="3001" spans="1:11" ht="18" customHeight="1" x14ac:dyDescent="0.25">
      <c r="A3001" s="7" t="s">
        <v>42</v>
      </c>
      <c r="B3001" s="7">
        <v>2024</v>
      </c>
      <c r="C3001" s="7" t="s">
        <v>65</v>
      </c>
      <c r="D3001" s="7" t="s">
        <v>72</v>
      </c>
      <c r="E3001" s="7" t="s">
        <v>74</v>
      </c>
      <c r="F3001" s="7" t="s">
        <v>75</v>
      </c>
      <c r="G3001" s="7" t="s">
        <v>64</v>
      </c>
      <c r="H3001" s="7" t="s">
        <v>73</v>
      </c>
      <c r="I3001" s="7" t="s">
        <v>76</v>
      </c>
      <c r="J3001" s="7">
        <v>818</v>
      </c>
      <c r="K3001" s="7">
        <v>1169.74</v>
      </c>
    </row>
    <row r="3002" spans="1:11" ht="18" customHeight="1" x14ac:dyDescent="0.25">
      <c r="A3002" s="7" t="s">
        <v>61</v>
      </c>
      <c r="B3002" s="7">
        <v>2024</v>
      </c>
      <c r="C3002" s="7" t="s">
        <v>65</v>
      </c>
      <c r="D3002" s="7" t="s">
        <v>72</v>
      </c>
      <c r="E3002" s="7" t="s">
        <v>74</v>
      </c>
      <c r="F3002" s="7" t="s">
        <v>75</v>
      </c>
      <c r="G3002" s="7" t="s">
        <v>64</v>
      </c>
      <c r="H3002" s="7" t="s">
        <v>73</v>
      </c>
      <c r="I3002" s="7" t="s">
        <v>76</v>
      </c>
      <c r="J3002" s="7">
        <v>155</v>
      </c>
      <c r="K3002" s="7">
        <v>221.65</v>
      </c>
    </row>
    <row r="3003" spans="1:11" ht="18" customHeight="1" x14ac:dyDescent="0.25">
      <c r="A3003" s="7" t="s">
        <v>19</v>
      </c>
      <c r="B3003" s="7">
        <v>2024</v>
      </c>
      <c r="C3003" s="7" t="s">
        <v>59</v>
      </c>
      <c r="D3003" s="7" t="s">
        <v>72</v>
      </c>
      <c r="E3003" s="7" t="s">
        <v>74</v>
      </c>
      <c r="F3003" s="7" t="s">
        <v>75</v>
      </c>
      <c r="G3003" s="7" t="s">
        <v>64</v>
      </c>
      <c r="H3003" s="7" t="s">
        <v>73</v>
      </c>
      <c r="I3003" s="7" t="s">
        <v>76</v>
      </c>
      <c r="J3003" s="7">
        <v>236</v>
      </c>
      <c r="K3003" s="7">
        <v>337.48</v>
      </c>
    </row>
    <row r="3004" spans="1:11" ht="18" customHeight="1" x14ac:dyDescent="0.25">
      <c r="A3004" s="7" t="s">
        <v>19</v>
      </c>
      <c r="B3004" s="7">
        <v>2024</v>
      </c>
      <c r="C3004" s="7" t="s">
        <v>59</v>
      </c>
      <c r="D3004" s="7" t="s">
        <v>72</v>
      </c>
      <c r="E3004" s="7" t="s">
        <v>74</v>
      </c>
      <c r="F3004" s="7" t="s">
        <v>75</v>
      </c>
      <c r="G3004" s="7" t="s">
        <v>64</v>
      </c>
      <c r="H3004" s="7" t="s">
        <v>73</v>
      </c>
      <c r="I3004" s="7" t="s">
        <v>76</v>
      </c>
      <c r="J3004" s="7">
        <v>206</v>
      </c>
      <c r="K3004" s="7">
        <v>294.58</v>
      </c>
    </row>
    <row r="3005" spans="1:11" ht="18" customHeight="1" x14ac:dyDescent="0.25">
      <c r="A3005" s="7" t="s">
        <v>53</v>
      </c>
      <c r="B3005" s="7">
        <v>2024</v>
      </c>
      <c r="C3005" s="7" t="s">
        <v>59</v>
      </c>
      <c r="D3005" s="7" t="s">
        <v>72</v>
      </c>
      <c r="E3005" s="7" t="s">
        <v>74</v>
      </c>
      <c r="F3005" s="7" t="s">
        <v>75</v>
      </c>
      <c r="G3005" s="7" t="s">
        <v>64</v>
      </c>
      <c r="H3005" s="7" t="s">
        <v>73</v>
      </c>
      <c r="I3005" s="7" t="s">
        <v>76</v>
      </c>
      <c r="J3005" s="7">
        <v>208</v>
      </c>
      <c r="K3005" s="7">
        <v>297.44</v>
      </c>
    </row>
    <row r="3006" spans="1:11" ht="18" customHeight="1" x14ac:dyDescent="0.25">
      <c r="A3006" s="7" t="s">
        <v>34</v>
      </c>
      <c r="B3006" s="7">
        <v>2024</v>
      </c>
      <c r="C3006" s="7" t="s">
        <v>59</v>
      </c>
      <c r="D3006" s="7" t="s">
        <v>72</v>
      </c>
      <c r="E3006" s="7" t="s">
        <v>74</v>
      </c>
      <c r="F3006" s="7" t="s">
        <v>75</v>
      </c>
      <c r="G3006" s="7" t="s">
        <v>64</v>
      </c>
      <c r="H3006" s="7" t="s">
        <v>73</v>
      </c>
      <c r="I3006" s="7" t="s">
        <v>76</v>
      </c>
      <c r="J3006" s="7">
        <v>800</v>
      </c>
      <c r="K3006" s="7">
        <v>1144</v>
      </c>
    </row>
    <row r="3007" spans="1:11" ht="18" customHeight="1" x14ac:dyDescent="0.25">
      <c r="A3007" s="7" t="s">
        <v>42</v>
      </c>
      <c r="B3007" s="7">
        <v>2024</v>
      </c>
      <c r="C3007" s="7" t="s">
        <v>59</v>
      </c>
      <c r="D3007" s="7" t="s">
        <v>72</v>
      </c>
      <c r="E3007" s="7" t="s">
        <v>74</v>
      </c>
      <c r="F3007" s="7" t="s">
        <v>75</v>
      </c>
      <c r="G3007" s="7" t="s">
        <v>64</v>
      </c>
      <c r="H3007" s="7" t="s">
        <v>73</v>
      </c>
      <c r="I3007" s="7" t="s">
        <v>76</v>
      </c>
      <c r="J3007" s="7">
        <v>886</v>
      </c>
      <c r="K3007" s="7">
        <v>1266.98</v>
      </c>
    </row>
    <row r="3008" spans="1:11" ht="18" customHeight="1" x14ac:dyDescent="0.25">
      <c r="A3008" s="7" t="s">
        <v>42</v>
      </c>
      <c r="B3008" s="7">
        <v>2024</v>
      </c>
      <c r="C3008" s="7" t="s">
        <v>59</v>
      </c>
      <c r="D3008" s="7" t="s">
        <v>72</v>
      </c>
      <c r="E3008" s="7" t="s">
        <v>74</v>
      </c>
      <c r="F3008" s="7" t="s">
        <v>75</v>
      </c>
      <c r="G3008" s="7" t="s">
        <v>64</v>
      </c>
      <c r="H3008" s="7" t="s">
        <v>73</v>
      </c>
      <c r="I3008" s="7" t="s">
        <v>76</v>
      </c>
      <c r="J3008" s="7">
        <v>839</v>
      </c>
      <c r="K3008" s="7">
        <v>526.24</v>
      </c>
    </row>
    <row r="3009" spans="1:11" ht="18" customHeight="1" x14ac:dyDescent="0.25">
      <c r="A3009" s="7" t="s">
        <v>34</v>
      </c>
      <c r="B3009" s="7">
        <v>2024</v>
      </c>
      <c r="C3009" s="7" t="s">
        <v>59</v>
      </c>
      <c r="D3009" s="7" t="s">
        <v>72</v>
      </c>
      <c r="E3009" s="7" t="s">
        <v>74</v>
      </c>
      <c r="F3009" s="7" t="s">
        <v>75</v>
      </c>
      <c r="G3009" s="7" t="s">
        <v>64</v>
      </c>
      <c r="H3009" s="7" t="s">
        <v>73</v>
      </c>
      <c r="I3009" s="7" t="s">
        <v>76</v>
      </c>
      <c r="J3009" s="7">
        <v>207</v>
      </c>
      <c r="K3009" s="7">
        <v>296.01</v>
      </c>
    </row>
    <row r="3010" spans="1:11" ht="18" customHeight="1" x14ac:dyDescent="0.25">
      <c r="A3010" s="7" t="s">
        <v>53</v>
      </c>
      <c r="B3010" s="7">
        <v>2024</v>
      </c>
      <c r="C3010" s="7" t="s">
        <v>59</v>
      </c>
      <c r="D3010" s="7" t="s">
        <v>72</v>
      </c>
      <c r="E3010" s="7" t="s">
        <v>74</v>
      </c>
      <c r="F3010" s="7" t="s">
        <v>75</v>
      </c>
      <c r="G3010" s="7" t="s">
        <v>64</v>
      </c>
      <c r="H3010" s="7" t="s">
        <v>73</v>
      </c>
      <c r="I3010" s="7" t="s">
        <v>76</v>
      </c>
      <c r="J3010" s="7">
        <v>235</v>
      </c>
      <c r="K3010" s="7">
        <v>336.05</v>
      </c>
    </row>
    <row r="3011" spans="1:11" ht="18" customHeight="1" x14ac:dyDescent="0.25">
      <c r="A3011" s="7" t="s">
        <v>19</v>
      </c>
      <c r="B3011" s="7">
        <v>2024</v>
      </c>
      <c r="C3011" s="7" t="s">
        <v>59</v>
      </c>
      <c r="D3011" s="7" t="s">
        <v>72</v>
      </c>
      <c r="E3011" s="7" t="s">
        <v>74</v>
      </c>
      <c r="F3011" s="7" t="s">
        <v>75</v>
      </c>
      <c r="G3011" s="7" t="s">
        <v>64</v>
      </c>
      <c r="H3011" s="7" t="s">
        <v>73</v>
      </c>
      <c r="I3011" s="7" t="s">
        <v>76</v>
      </c>
      <c r="J3011" s="7">
        <v>809</v>
      </c>
      <c r="K3011" s="7">
        <v>1156.8699999999999</v>
      </c>
    </row>
    <row r="3012" spans="1:11" ht="18" customHeight="1" x14ac:dyDescent="0.25">
      <c r="A3012" s="7" t="s">
        <v>19</v>
      </c>
      <c r="B3012" s="7">
        <v>2024</v>
      </c>
      <c r="C3012" s="7" t="s">
        <v>59</v>
      </c>
      <c r="D3012" s="7" t="s">
        <v>72</v>
      </c>
      <c r="E3012" s="7" t="s">
        <v>74</v>
      </c>
      <c r="F3012" s="7" t="s">
        <v>75</v>
      </c>
      <c r="G3012" s="7" t="s">
        <v>64</v>
      </c>
      <c r="H3012" s="7" t="s">
        <v>73</v>
      </c>
      <c r="I3012" s="7" t="s">
        <v>76</v>
      </c>
      <c r="J3012" s="7">
        <v>209</v>
      </c>
      <c r="K3012" s="7">
        <v>298.87</v>
      </c>
    </row>
    <row r="3013" spans="1:11" ht="18" customHeight="1" x14ac:dyDescent="0.25">
      <c r="A3013" s="7" t="s">
        <v>19</v>
      </c>
      <c r="B3013" s="7">
        <v>2024</v>
      </c>
      <c r="C3013" s="7" t="s">
        <v>27</v>
      </c>
      <c r="D3013" s="7" t="s">
        <v>72</v>
      </c>
      <c r="E3013" s="7" t="s">
        <v>74</v>
      </c>
      <c r="F3013" s="7" t="s">
        <v>75</v>
      </c>
      <c r="G3013" s="7" t="s">
        <v>64</v>
      </c>
      <c r="H3013" s="7" t="s">
        <v>73</v>
      </c>
      <c r="I3013" s="7" t="s">
        <v>76</v>
      </c>
      <c r="J3013" s="7">
        <v>242</v>
      </c>
      <c r="K3013" s="7">
        <v>346.06</v>
      </c>
    </row>
    <row r="3014" spans="1:11" ht="18" customHeight="1" x14ac:dyDescent="0.25">
      <c r="A3014" s="7" t="s">
        <v>42</v>
      </c>
      <c r="B3014" s="7">
        <v>2024</v>
      </c>
      <c r="C3014" s="7" t="s">
        <v>27</v>
      </c>
      <c r="D3014" s="7" t="s">
        <v>72</v>
      </c>
      <c r="E3014" s="7" t="s">
        <v>74</v>
      </c>
      <c r="F3014" s="7" t="s">
        <v>75</v>
      </c>
      <c r="G3014" s="7" t="s">
        <v>64</v>
      </c>
      <c r="H3014" s="7" t="s">
        <v>73</v>
      </c>
      <c r="I3014" s="7" t="s">
        <v>76</v>
      </c>
      <c r="J3014" s="7">
        <v>212</v>
      </c>
      <c r="K3014" s="7">
        <v>303.15999999999997</v>
      </c>
    </row>
    <row r="3015" spans="1:11" ht="18" customHeight="1" x14ac:dyDescent="0.25">
      <c r="A3015" s="7" t="s">
        <v>34</v>
      </c>
      <c r="B3015" s="7">
        <v>2024</v>
      </c>
      <c r="C3015" s="7" t="s">
        <v>27</v>
      </c>
      <c r="D3015" s="7" t="s">
        <v>72</v>
      </c>
      <c r="E3015" s="7" t="s">
        <v>74</v>
      </c>
      <c r="F3015" s="7" t="s">
        <v>75</v>
      </c>
      <c r="G3015" s="7" t="s">
        <v>64</v>
      </c>
      <c r="H3015" s="7" t="s">
        <v>73</v>
      </c>
      <c r="I3015" s="7" t="s">
        <v>76</v>
      </c>
      <c r="J3015" s="7">
        <v>238</v>
      </c>
      <c r="K3015" s="7">
        <v>340.34000000000003</v>
      </c>
    </row>
    <row r="3016" spans="1:11" ht="18" customHeight="1" x14ac:dyDescent="0.25">
      <c r="A3016" s="7" t="s">
        <v>42</v>
      </c>
      <c r="B3016" s="7">
        <v>2024</v>
      </c>
      <c r="C3016" s="7" t="s">
        <v>27</v>
      </c>
      <c r="D3016" s="7" t="s">
        <v>72</v>
      </c>
      <c r="E3016" s="7" t="s">
        <v>74</v>
      </c>
      <c r="F3016" s="7" t="s">
        <v>75</v>
      </c>
      <c r="G3016" s="7" t="s">
        <v>64</v>
      </c>
      <c r="H3016" s="7" t="s">
        <v>73</v>
      </c>
      <c r="I3016" s="7" t="s">
        <v>76</v>
      </c>
      <c r="J3016" s="7">
        <v>214</v>
      </c>
      <c r="K3016" s="7">
        <v>306.02</v>
      </c>
    </row>
    <row r="3017" spans="1:11" ht="18" customHeight="1" x14ac:dyDescent="0.25">
      <c r="A3017" s="7" t="s">
        <v>34</v>
      </c>
      <c r="B3017" s="7">
        <v>2024</v>
      </c>
      <c r="C3017" s="7" t="s">
        <v>27</v>
      </c>
      <c r="D3017" s="7" t="s">
        <v>72</v>
      </c>
      <c r="E3017" s="7" t="s">
        <v>74</v>
      </c>
      <c r="F3017" s="7" t="s">
        <v>75</v>
      </c>
      <c r="G3017" s="7" t="s">
        <v>64</v>
      </c>
      <c r="H3017" s="7" t="s">
        <v>73</v>
      </c>
      <c r="I3017" s="7" t="s">
        <v>76</v>
      </c>
      <c r="J3017" s="7">
        <v>799</v>
      </c>
      <c r="K3017" s="7">
        <v>1142.57</v>
      </c>
    </row>
    <row r="3018" spans="1:11" ht="18" customHeight="1" x14ac:dyDescent="0.25">
      <c r="A3018" s="7" t="s">
        <v>34</v>
      </c>
      <c r="B3018" s="7">
        <v>2024</v>
      </c>
      <c r="C3018" s="7" t="s">
        <v>27</v>
      </c>
      <c r="D3018" s="7" t="s">
        <v>72</v>
      </c>
      <c r="E3018" s="7" t="s">
        <v>74</v>
      </c>
      <c r="F3018" s="7" t="s">
        <v>75</v>
      </c>
      <c r="G3018" s="7" t="s">
        <v>64</v>
      </c>
      <c r="H3018" s="7" t="s">
        <v>73</v>
      </c>
      <c r="I3018" s="7" t="s">
        <v>76</v>
      </c>
      <c r="J3018" s="7">
        <v>213</v>
      </c>
      <c r="K3018" s="7">
        <v>304.59000000000003</v>
      </c>
    </row>
    <row r="3019" spans="1:11" ht="18" customHeight="1" x14ac:dyDescent="0.25">
      <c r="A3019" s="7" t="s">
        <v>42</v>
      </c>
      <c r="B3019" s="7">
        <v>2024</v>
      </c>
      <c r="C3019" s="7" t="s">
        <v>27</v>
      </c>
      <c r="D3019" s="7" t="s">
        <v>72</v>
      </c>
      <c r="E3019" s="7" t="s">
        <v>74</v>
      </c>
      <c r="F3019" s="7" t="s">
        <v>75</v>
      </c>
      <c r="G3019" s="7" t="s">
        <v>64</v>
      </c>
      <c r="H3019" s="7" t="s">
        <v>73</v>
      </c>
      <c r="I3019" s="7" t="s">
        <v>76</v>
      </c>
      <c r="J3019" s="7">
        <v>241</v>
      </c>
      <c r="K3019" s="7">
        <v>344.63</v>
      </c>
    </row>
    <row r="3020" spans="1:11" ht="18" customHeight="1" x14ac:dyDescent="0.25">
      <c r="A3020" s="7" t="s">
        <v>34</v>
      </c>
      <c r="B3020" s="7">
        <v>2024</v>
      </c>
      <c r="C3020" s="7" t="s">
        <v>27</v>
      </c>
      <c r="D3020" s="7" t="s">
        <v>72</v>
      </c>
      <c r="E3020" s="7" t="s">
        <v>74</v>
      </c>
      <c r="F3020" s="7" t="s">
        <v>75</v>
      </c>
      <c r="G3020" s="7" t="s">
        <v>64</v>
      </c>
      <c r="H3020" s="7" t="s">
        <v>73</v>
      </c>
      <c r="I3020" s="7" t="s">
        <v>76</v>
      </c>
      <c r="J3020" s="7">
        <v>211</v>
      </c>
      <c r="K3020" s="7">
        <v>301.73</v>
      </c>
    </row>
    <row r="3021" spans="1:11" ht="18" customHeight="1" x14ac:dyDescent="0.25">
      <c r="A3021" s="7" t="s">
        <v>42</v>
      </c>
      <c r="B3021" s="7">
        <v>2024</v>
      </c>
      <c r="C3021" s="7" t="s">
        <v>27</v>
      </c>
      <c r="D3021" s="7" t="s">
        <v>72</v>
      </c>
      <c r="E3021" s="7" t="s">
        <v>74</v>
      </c>
      <c r="F3021" s="7" t="s">
        <v>75</v>
      </c>
      <c r="G3021" s="7" t="s">
        <v>64</v>
      </c>
      <c r="H3021" s="7" t="s">
        <v>73</v>
      </c>
      <c r="I3021" s="7" t="s">
        <v>76</v>
      </c>
      <c r="J3021" s="7">
        <v>808</v>
      </c>
      <c r="K3021" s="7">
        <v>1155.44</v>
      </c>
    </row>
    <row r="3022" spans="1:11" ht="18" customHeight="1" x14ac:dyDescent="0.25">
      <c r="A3022" s="7" t="s">
        <v>19</v>
      </c>
      <c r="B3022" s="7">
        <v>2024</v>
      </c>
      <c r="C3022" s="7" t="s">
        <v>27</v>
      </c>
      <c r="D3022" s="7" t="s">
        <v>72</v>
      </c>
      <c r="E3022" s="7" t="s">
        <v>74</v>
      </c>
      <c r="F3022" s="7" t="s">
        <v>75</v>
      </c>
      <c r="G3022" s="7" t="s">
        <v>64</v>
      </c>
      <c r="H3022" s="7" t="s">
        <v>73</v>
      </c>
      <c r="I3022" s="7" t="s">
        <v>76</v>
      </c>
      <c r="J3022" s="7">
        <v>215</v>
      </c>
      <c r="K3022" s="7">
        <v>307.45</v>
      </c>
    </row>
    <row r="3023" spans="1:11" ht="18" customHeight="1" x14ac:dyDescent="0.25">
      <c r="A3023" s="7" t="s">
        <v>19</v>
      </c>
      <c r="B3023" s="7">
        <v>2024</v>
      </c>
      <c r="C3023" s="7" t="s">
        <v>68</v>
      </c>
      <c r="D3023" s="7" t="s">
        <v>72</v>
      </c>
      <c r="E3023" s="7" t="s">
        <v>74</v>
      </c>
      <c r="F3023" s="7" t="s">
        <v>75</v>
      </c>
      <c r="G3023" s="7" t="s">
        <v>64</v>
      </c>
      <c r="H3023" s="7" t="s">
        <v>73</v>
      </c>
      <c r="I3023" s="7" t="s">
        <v>76</v>
      </c>
      <c r="J3023" s="7">
        <v>206</v>
      </c>
      <c r="K3023" s="7">
        <v>294.58</v>
      </c>
    </row>
    <row r="3024" spans="1:11" ht="18" customHeight="1" x14ac:dyDescent="0.25">
      <c r="A3024" s="7" t="s">
        <v>34</v>
      </c>
      <c r="B3024" s="7">
        <v>2024</v>
      </c>
      <c r="C3024" s="7" t="s">
        <v>68</v>
      </c>
      <c r="D3024" s="7" t="s">
        <v>72</v>
      </c>
      <c r="E3024" s="7" t="s">
        <v>74</v>
      </c>
      <c r="F3024" s="7" t="s">
        <v>75</v>
      </c>
      <c r="G3024" s="7" t="s">
        <v>64</v>
      </c>
      <c r="H3024" s="7" t="s">
        <v>73</v>
      </c>
      <c r="I3024" s="7" t="s">
        <v>76</v>
      </c>
      <c r="J3024" s="7">
        <v>182</v>
      </c>
      <c r="K3024" s="7">
        <v>260.26</v>
      </c>
    </row>
    <row r="3025" spans="1:11" ht="18" customHeight="1" x14ac:dyDescent="0.25">
      <c r="A3025" s="7" t="s">
        <v>34</v>
      </c>
      <c r="B3025" s="7">
        <v>2024</v>
      </c>
      <c r="C3025" s="7" t="s">
        <v>68</v>
      </c>
      <c r="D3025" s="7" t="s">
        <v>72</v>
      </c>
      <c r="E3025" s="7" t="s">
        <v>74</v>
      </c>
      <c r="F3025" s="7" t="s">
        <v>75</v>
      </c>
      <c r="G3025" s="7" t="s">
        <v>64</v>
      </c>
      <c r="H3025" s="7" t="s">
        <v>73</v>
      </c>
      <c r="I3025" s="7" t="s">
        <v>76</v>
      </c>
      <c r="J3025" s="7">
        <v>208</v>
      </c>
      <c r="K3025" s="7">
        <v>297.44</v>
      </c>
    </row>
    <row r="3026" spans="1:11" ht="18" customHeight="1" x14ac:dyDescent="0.25">
      <c r="A3026" s="7" t="s">
        <v>34</v>
      </c>
      <c r="B3026" s="7">
        <v>2024</v>
      </c>
      <c r="C3026" s="7" t="s">
        <v>68</v>
      </c>
      <c r="D3026" s="7" t="s">
        <v>72</v>
      </c>
      <c r="E3026" s="7" t="s">
        <v>74</v>
      </c>
      <c r="F3026" s="7" t="s">
        <v>75</v>
      </c>
      <c r="G3026" s="7" t="s">
        <v>64</v>
      </c>
      <c r="H3026" s="7" t="s">
        <v>73</v>
      </c>
      <c r="I3026" s="7" t="s">
        <v>76</v>
      </c>
      <c r="J3026" s="7">
        <v>804</v>
      </c>
      <c r="K3026" s="7">
        <v>1149.72</v>
      </c>
    </row>
    <row r="3027" spans="1:11" ht="18" customHeight="1" x14ac:dyDescent="0.25">
      <c r="A3027" s="7" t="s">
        <v>19</v>
      </c>
      <c r="B3027" s="7">
        <v>2024</v>
      </c>
      <c r="C3027" s="7" t="s">
        <v>68</v>
      </c>
      <c r="D3027" s="7" t="s">
        <v>72</v>
      </c>
      <c r="E3027" s="7" t="s">
        <v>74</v>
      </c>
      <c r="F3027" s="7" t="s">
        <v>75</v>
      </c>
      <c r="G3027" s="7" t="s">
        <v>64</v>
      </c>
      <c r="H3027" s="7" t="s">
        <v>73</v>
      </c>
      <c r="I3027" s="7" t="s">
        <v>76</v>
      </c>
      <c r="J3027" s="7">
        <v>891</v>
      </c>
      <c r="K3027" s="7">
        <v>1274.1300000000001</v>
      </c>
    </row>
    <row r="3028" spans="1:11" ht="18" customHeight="1" x14ac:dyDescent="0.25">
      <c r="A3028" s="7" t="s">
        <v>19</v>
      </c>
      <c r="B3028" s="7">
        <v>2024</v>
      </c>
      <c r="C3028" s="7" t="s">
        <v>68</v>
      </c>
      <c r="D3028" s="7" t="s">
        <v>72</v>
      </c>
      <c r="E3028" s="7" t="s">
        <v>74</v>
      </c>
      <c r="F3028" s="7" t="s">
        <v>75</v>
      </c>
      <c r="G3028" s="7" t="s">
        <v>64</v>
      </c>
      <c r="H3028" s="7" t="s">
        <v>73</v>
      </c>
      <c r="I3028" s="7" t="s">
        <v>76</v>
      </c>
      <c r="J3028" s="7">
        <v>844</v>
      </c>
      <c r="K3028" s="7">
        <v>526.24</v>
      </c>
    </row>
    <row r="3029" spans="1:11" ht="18" customHeight="1" x14ac:dyDescent="0.25">
      <c r="A3029" s="7" t="s">
        <v>34</v>
      </c>
      <c r="B3029" s="7">
        <v>2024</v>
      </c>
      <c r="C3029" s="7" t="s">
        <v>68</v>
      </c>
      <c r="D3029" s="7" t="s">
        <v>72</v>
      </c>
      <c r="E3029" s="7" t="s">
        <v>74</v>
      </c>
      <c r="F3029" s="7" t="s">
        <v>75</v>
      </c>
      <c r="G3029" s="7" t="s">
        <v>64</v>
      </c>
      <c r="H3029" s="7" t="s">
        <v>73</v>
      </c>
      <c r="I3029" s="7" t="s">
        <v>76</v>
      </c>
      <c r="J3029" s="7">
        <v>183</v>
      </c>
      <c r="K3029" s="7">
        <v>261.69</v>
      </c>
    </row>
    <row r="3030" spans="1:11" ht="18" customHeight="1" x14ac:dyDescent="0.25">
      <c r="A3030" s="7" t="s">
        <v>34</v>
      </c>
      <c r="B3030" s="7">
        <v>2024</v>
      </c>
      <c r="C3030" s="7" t="s">
        <v>68</v>
      </c>
      <c r="D3030" s="7" t="s">
        <v>72</v>
      </c>
      <c r="E3030" s="7" t="s">
        <v>74</v>
      </c>
      <c r="F3030" s="7" t="s">
        <v>75</v>
      </c>
      <c r="G3030" s="7" t="s">
        <v>64</v>
      </c>
      <c r="H3030" s="7" t="s">
        <v>73</v>
      </c>
      <c r="I3030" s="7" t="s">
        <v>76</v>
      </c>
      <c r="J3030" s="7">
        <v>181</v>
      </c>
      <c r="K3030" s="7">
        <v>258.83</v>
      </c>
    </row>
    <row r="3031" spans="1:11" ht="18" customHeight="1" x14ac:dyDescent="0.25">
      <c r="A3031" s="7" t="s">
        <v>34</v>
      </c>
      <c r="B3031" s="7">
        <v>2024</v>
      </c>
      <c r="C3031" s="7" t="s">
        <v>68</v>
      </c>
      <c r="D3031" s="7" t="s">
        <v>72</v>
      </c>
      <c r="E3031" s="7" t="s">
        <v>74</v>
      </c>
      <c r="F3031" s="7" t="s">
        <v>75</v>
      </c>
      <c r="G3031" s="7" t="s">
        <v>64</v>
      </c>
      <c r="H3031" s="7" t="s">
        <v>73</v>
      </c>
      <c r="I3031" s="7" t="s">
        <v>76</v>
      </c>
      <c r="J3031" s="7">
        <v>813</v>
      </c>
      <c r="K3031" s="7">
        <v>1162.5899999999999</v>
      </c>
    </row>
    <row r="3032" spans="1:11" ht="18" customHeight="1" x14ac:dyDescent="0.25">
      <c r="A3032" s="7" t="s">
        <v>19</v>
      </c>
      <c r="B3032" s="7">
        <v>2024</v>
      </c>
      <c r="C3032" s="7" t="s">
        <v>68</v>
      </c>
      <c r="D3032" s="7" t="s">
        <v>72</v>
      </c>
      <c r="E3032" s="7" t="s">
        <v>74</v>
      </c>
      <c r="F3032" s="7" t="s">
        <v>75</v>
      </c>
      <c r="G3032" s="7" t="s">
        <v>64</v>
      </c>
      <c r="H3032" s="7" t="s">
        <v>73</v>
      </c>
      <c r="I3032" s="7" t="s">
        <v>76</v>
      </c>
      <c r="J3032" s="7">
        <v>179</v>
      </c>
      <c r="K3032" s="7">
        <v>255.97</v>
      </c>
    </row>
    <row r="3033" spans="1:11" ht="18" customHeight="1" x14ac:dyDescent="0.25">
      <c r="A3033" s="7" t="s">
        <v>34</v>
      </c>
      <c r="B3033" s="7">
        <v>2024</v>
      </c>
      <c r="C3033" s="7" t="s">
        <v>67</v>
      </c>
      <c r="D3033" s="7" t="s">
        <v>72</v>
      </c>
      <c r="E3033" s="7" t="s">
        <v>74</v>
      </c>
      <c r="F3033" s="7" t="s">
        <v>75</v>
      </c>
      <c r="G3033" s="7" t="s">
        <v>64</v>
      </c>
      <c r="H3033" s="7" t="s">
        <v>73</v>
      </c>
      <c r="I3033" s="7" t="s">
        <v>76</v>
      </c>
      <c r="J3033" s="7">
        <v>212</v>
      </c>
      <c r="K3033" s="7">
        <v>303.15999999999997</v>
      </c>
    </row>
    <row r="3034" spans="1:11" ht="18" customHeight="1" x14ac:dyDescent="0.25">
      <c r="A3034" s="7" t="s">
        <v>42</v>
      </c>
      <c r="B3034" s="7">
        <v>2024</v>
      </c>
      <c r="C3034" s="7" t="s">
        <v>67</v>
      </c>
      <c r="D3034" s="7" t="s">
        <v>72</v>
      </c>
      <c r="E3034" s="7" t="s">
        <v>74</v>
      </c>
      <c r="F3034" s="7" t="s">
        <v>75</v>
      </c>
      <c r="G3034" s="7" t="s">
        <v>64</v>
      </c>
      <c r="H3034" s="7" t="s">
        <v>73</v>
      </c>
      <c r="I3034" s="7" t="s">
        <v>76</v>
      </c>
      <c r="J3034" s="7">
        <v>188</v>
      </c>
      <c r="K3034" s="7">
        <v>268.84000000000003</v>
      </c>
    </row>
    <row r="3035" spans="1:11" ht="18" customHeight="1" x14ac:dyDescent="0.25">
      <c r="A3035" s="7" t="s">
        <v>53</v>
      </c>
      <c r="B3035" s="7">
        <v>2024</v>
      </c>
      <c r="C3035" s="7" t="s">
        <v>67</v>
      </c>
      <c r="D3035" s="7" t="s">
        <v>72</v>
      </c>
      <c r="E3035" s="7" t="s">
        <v>74</v>
      </c>
      <c r="F3035" s="7" t="s">
        <v>75</v>
      </c>
      <c r="G3035" s="7" t="s">
        <v>64</v>
      </c>
      <c r="H3035" s="7" t="s">
        <v>73</v>
      </c>
      <c r="I3035" s="7" t="s">
        <v>76</v>
      </c>
      <c r="J3035" s="7">
        <v>214</v>
      </c>
      <c r="K3035" s="7">
        <v>306.02</v>
      </c>
    </row>
    <row r="3036" spans="1:11" ht="18" customHeight="1" x14ac:dyDescent="0.25">
      <c r="A3036" s="7" t="s">
        <v>42</v>
      </c>
      <c r="B3036" s="7">
        <v>2024</v>
      </c>
      <c r="C3036" s="7" t="s">
        <v>67</v>
      </c>
      <c r="D3036" s="7" t="s">
        <v>72</v>
      </c>
      <c r="E3036" s="7" t="s">
        <v>74</v>
      </c>
      <c r="F3036" s="7" t="s">
        <v>75</v>
      </c>
      <c r="G3036" s="7" t="s">
        <v>64</v>
      </c>
      <c r="H3036" s="7" t="s">
        <v>73</v>
      </c>
      <c r="I3036" s="7" t="s">
        <v>76</v>
      </c>
      <c r="J3036" s="7">
        <v>184</v>
      </c>
      <c r="K3036" s="7">
        <v>263.12</v>
      </c>
    </row>
    <row r="3037" spans="1:11" ht="18" customHeight="1" x14ac:dyDescent="0.25">
      <c r="A3037" s="7" t="s">
        <v>53</v>
      </c>
      <c r="B3037" s="7">
        <v>2024</v>
      </c>
      <c r="C3037" s="7" t="s">
        <v>67</v>
      </c>
      <c r="D3037" s="7" t="s">
        <v>72</v>
      </c>
      <c r="E3037" s="7" t="s">
        <v>74</v>
      </c>
      <c r="F3037" s="7" t="s">
        <v>75</v>
      </c>
      <c r="G3037" s="7" t="s">
        <v>64</v>
      </c>
      <c r="H3037" s="7" t="s">
        <v>73</v>
      </c>
      <c r="I3037" s="7" t="s">
        <v>76</v>
      </c>
      <c r="J3037" s="7">
        <v>803</v>
      </c>
      <c r="K3037" s="7">
        <v>1148.29</v>
      </c>
    </row>
    <row r="3038" spans="1:11" ht="18" customHeight="1" x14ac:dyDescent="0.25">
      <c r="A3038" s="7" t="s">
        <v>42</v>
      </c>
      <c r="B3038" s="7">
        <v>2024</v>
      </c>
      <c r="C3038" s="7" t="s">
        <v>67</v>
      </c>
      <c r="D3038" s="7" t="s">
        <v>72</v>
      </c>
      <c r="E3038" s="7" t="s">
        <v>74</v>
      </c>
      <c r="F3038" s="7" t="s">
        <v>75</v>
      </c>
      <c r="G3038" s="7" t="s">
        <v>64</v>
      </c>
      <c r="H3038" s="7" t="s">
        <v>73</v>
      </c>
      <c r="I3038" s="7" t="s">
        <v>76</v>
      </c>
      <c r="J3038" s="7">
        <v>890</v>
      </c>
      <c r="K3038" s="7">
        <v>1272.7</v>
      </c>
    </row>
    <row r="3039" spans="1:11" ht="18" customHeight="1" x14ac:dyDescent="0.25">
      <c r="A3039" s="7" t="s">
        <v>42</v>
      </c>
      <c r="B3039" s="7">
        <v>2024</v>
      </c>
      <c r="C3039" s="7" t="s">
        <v>67</v>
      </c>
      <c r="D3039" s="7" t="s">
        <v>72</v>
      </c>
      <c r="E3039" s="7" t="s">
        <v>74</v>
      </c>
      <c r="F3039" s="7" t="s">
        <v>75</v>
      </c>
      <c r="G3039" s="7" t="s">
        <v>64</v>
      </c>
      <c r="H3039" s="7" t="s">
        <v>73</v>
      </c>
      <c r="I3039" s="7" t="s">
        <v>76</v>
      </c>
      <c r="J3039" s="7">
        <v>843</v>
      </c>
      <c r="K3039" s="7">
        <v>526.24</v>
      </c>
    </row>
    <row r="3040" spans="1:11" ht="18" customHeight="1" x14ac:dyDescent="0.25">
      <c r="A3040" s="7" t="s">
        <v>53</v>
      </c>
      <c r="B3040" s="7">
        <v>2024</v>
      </c>
      <c r="C3040" s="7" t="s">
        <v>67</v>
      </c>
      <c r="D3040" s="7" t="s">
        <v>72</v>
      </c>
      <c r="E3040" s="7" t="s">
        <v>74</v>
      </c>
      <c r="F3040" s="7" t="s">
        <v>75</v>
      </c>
      <c r="G3040" s="7" t="s">
        <v>64</v>
      </c>
      <c r="H3040" s="7" t="s">
        <v>73</v>
      </c>
      <c r="I3040" s="7" t="s">
        <v>76</v>
      </c>
      <c r="J3040" s="7">
        <v>189</v>
      </c>
      <c r="K3040" s="7">
        <v>270.27</v>
      </c>
    </row>
    <row r="3041" spans="1:11" ht="18" customHeight="1" x14ac:dyDescent="0.25">
      <c r="A3041" s="7" t="s">
        <v>42</v>
      </c>
      <c r="B3041" s="7">
        <v>2024</v>
      </c>
      <c r="C3041" s="7" t="s">
        <v>67</v>
      </c>
      <c r="D3041" s="7" t="s">
        <v>72</v>
      </c>
      <c r="E3041" s="7" t="s">
        <v>74</v>
      </c>
      <c r="F3041" s="7" t="s">
        <v>75</v>
      </c>
      <c r="G3041" s="7" t="s">
        <v>64</v>
      </c>
      <c r="H3041" s="7" t="s">
        <v>73</v>
      </c>
      <c r="I3041" s="7" t="s">
        <v>76</v>
      </c>
      <c r="J3041" s="7">
        <v>211</v>
      </c>
      <c r="K3041" s="7">
        <v>301.73</v>
      </c>
    </row>
    <row r="3042" spans="1:11" ht="18" customHeight="1" x14ac:dyDescent="0.25">
      <c r="A3042" s="7" t="s">
        <v>53</v>
      </c>
      <c r="B3042" s="7">
        <v>2024</v>
      </c>
      <c r="C3042" s="7" t="s">
        <v>67</v>
      </c>
      <c r="D3042" s="7" t="s">
        <v>72</v>
      </c>
      <c r="E3042" s="7" t="s">
        <v>74</v>
      </c>
      <c r="F3042" s="7" t="s">
        <v>75</v>
      </c>
      <c r="G3042" s="7" t="s">
        <v>64</v>
      </c>
      <c r="H3042" s="7" t="s">
        <v>73</v>
      </c>
      <c r="I3042" s="7" t="s">
        <v>76</v>
      </c>
      <c r="J3042" s="7">
        <v>187</v>
      </c>
      <c r="K3042" s="7">
        <v>267.40999999999997</v>
      </c>
    </row>
    <row r="3043" spans="1:11" ht="18" customHeight="1" x14ac:dyDescent="0.25">
      <c r="A3043" s="7" t="s">
        <v>42</v>
      </c>
      <c r="B3043" s="7">
        <v>2024</v>
      </c>
      <c r="C3043" s="7" t="s">
        <v>67</v>
      </c>
      <c r="D3043" s="7" t="s">
        <v>72</v>
      </c>
      <c r="E3043" s="7" t="s">
        <v>74</v>
      </c>
      <c r="F3043" s="7" t="s">
        <v>75</v>
      </c>
      <c r="G3043" s="7" t="s">
        <v>64</v>
      </c>
      <c r="H3043" s="7" t="s">
        <v>73</v>
      </c>
      <c r="I3043" s="7" t="s">
        <v>76</v>
      </c>
      <c r="J3043" s="7">
        <v>812</v>
      </c>
      <c r="K3043" s="7">
        <v>1161.1599999999999</v>
      </c>
    </row>
    <row r="3044" spans="1:11" ht="18" customHeight="1" x14ac:dyDescent="0.25">
      <c r="A3044" s="7" t="s">
        <v>34</v>
      </c>
      <c r="B3044" s="7">
        <v>2024</v>
      </c>
      <c r="C3044" s="7" t="s">
        <v>67</v>
      </c>
      <c r="D3044" s="7" t="s">
        <v>72</v>
      </c>
      <c r="E3044" s="7" t="s">
        <v>74</v>
      </c>
      <c r="F3044" s="7" t="s">
        <v>75</v>
      </c>
      <c r="G3044" s="7" t="s">
        <v>64</v>
      </c>
      <c r="H3044" s="7" t="s">
        <v>73</v>
      </c>
      <c r="I3044" s="7" t="s">
        <v>76</v>
      </c>
      <c r="J3044" s="7">
        <v>185</v>
      </c>
      <c r="K3044" s="7">
        <v>264.55</v>
      </c>
    </row>
    <row r="3045" spans="1:11" ht="18" customHeight="1" x14ac:dyDescent="0.25">
      <c r="A3045" s="7" t="s">
        <v>34</v>
      </c>
      <c r="B3045" s="7">
        <v>2024</v>
      </c>
      <c r="C3045" s="7" t="s">
        <v>62</v>
      </c>
      <c r="D3045" s="7" t="s">
        <v>72</v>
      </c>
      <c r="E3045" s="7" t="s">
        <v>74</v>
      </c>
      <c r="F3045" s="7" t="s">
        <v>75</v>
      </c>
      <c r="G3045" s="7" t="s">
        <v>64</v>
      </c>
      <c r="H3045" s="7" t="s">
        <v>73</v>
      </c>
      <c r="I3045" s="7" t="s">
        <v>76</v>
      </c>
      <c r="J3045" s="7">
        <v>230</v>
      </c>
      <c r="K3045" s="7">
        <v>328.9</v>
      </c>
    </row>
    <row r="3046" spans="1:11" ht="18" customHeight="1" x14ac:dyDescent="0.25">
      <c r="A3046" s="7" t="s">
        <v>19</v>
      </c>
      <c r="B3046" s="7">
        <v>2024</v>
      </c>
      <c r="C3046" s="7" t="s">
        <v>62</v>
      </c>
      <c r="D3046" s="7" t="s">
        <v>72</v>
      </c>
      <c r="E3046" s="7" t="s">
        <v>74</v>
      </c>
      <c r="F3046" s="7" t="s">
        <v>75</v>
      </c>
      <c r="G3046" s="7" t="s">
        <v>64</v>
      </c>
      <c r="H3046" s="7" t="s">
        <v>73</v>
      </c>
      <c r="I3046" s="7" t="s">
        <v>76</v>
      </c>
      <c r="J3046" s="7">
        <v>200</v>
      </c>
      <c r="K3046" s="7">
        <v>286</v>
      </c>
    </row>
    <row r="3047" spans="1:11" ht="18" customHeight="1" x14ac:dyDescent="0.25">
      <c r="A3047" s="7" t="s">
        <v>19</v>
      </c>
      <c r="B3047" s="7">
        <v>2024</v>
      </c>
      <c r="C3047" s="7" t="s">
        <v>62</v>
      </c>
      <c r="D3047" s="7" t="s">
        <v>72</v>
      </c>
      <c r="E3047" s="7" t="s">
        <v>74</v>
      </c>
      <c r="F3047" s="7" t="s">
        <v>75</v>
      </c>
      <c r="G3047" s="7" t="s">
        <v>64</v>
      </c>
      <c r="H3047" s="7" t="s">
        <v>73</v>
      </c>
      <c r="I3047" s="7" t="s">
        <v>76</v>
      </c>
      <c r="J3047" s="7">
        <v>232</v>
      </c>
      <c r="K3047" s="7">
        <v>331.76</v>
      </c>
    </row>
    <row r="3048" spans="1:11" ht="18" customHeight="1" x14ac:dyDescent="0.25">
      <c r="A3048" s="7" t="s">
        <v>42</v>
      </c>
      <c r="B3048" s="7">
        <v>2024</v>
      </c>
      <c r="C3048" s="7" t="s">
        <v>62</v>
      </c>
      <c r="D3048" s="7" t="s">
        <v>72</v>
      </c>
      <c r="E3048" s="7" t="s">
        <v>74</v>
      </c>
      <c r="F3048" s="7" t="s">
        <v>75</v>
      </c>
      <c r="G3048" s="7" t="s">
        <v>64</v>
      </c>
      <c r="H3048" s="7" t="s">
        <v>73</v>
      </c>
      <c r="I3048" s="7" t="s">
        <v>76</v>
      </c>
      <c r="J3048" s="7">
        <v>202</v>
      </c>
      <c r="K3048" s="7">
        <v>288.86</v>
      </c>
    </row>
    <row r="3049" spans="1:11" ht="18" customHeight="1" x14ac:dyDescent="0.25">
      <c r="A3049" s="7" t="s">
        <v>19</v>
      </c>
      <c r="B3049" s="7">
        <v>2024</v>
      </c>
      <c r="C3049" s="7" t="s">
        <v>62</v>
      </c>
      <c r="D3049" s="7" t="s">
        <v>72</v>
      </c>
      <c r="E3049" s="7" t="s">
        <v>74</v>
      </c>
      <c r="F3049" s="7" t="s">
        <v>75</v>
      </c>
      <c r="G3049" s="7" t="s">
        <v>64</v>
      </c>
      <c r="H3049" s="7" t="s">
        <v>73</v>
      </c>
      <c r="I3049" s="7" t="s">
        <v>76</v>
      </c>
      <c r="J3049" s="7">
        <v>801</v>
      </c>
      <c r="K3049" s="7">
        <v>1145.43</v>
      </c>
    </row>
    <row r="3050" spans="1:11" ht="18" customHeight="1" x14ac:dyDescent="0.25">
      <c r="A3050" s="7" t="s">
        <v>19</v>
      </c>
      <c r="B3050" s="7">
        <v>2024</v>
      </c>
      <c r="C3050" s="7" t="s">
        <v>62</v>
      </c>
      <c r="D3050" s="7" t="s">
        <v>72</v>
      </c>
      <c r="E3050" s="7" t="s">
        <v>74</v>
      </c>
      <c r="F3050" s="7" t="s">
        <v>75</v>
      </c>
      <c r="G3050" s="7" t="s">
        <v>64</v>
      </c>
      <c r="H3050" s="7" t="s">
        <v>73</v>
      </c>
      <c r="I3050" s="7" t="s">
        <v>76</v>
      </c>
      <c r="J3050" s="7">
        <v>887</v>
      </c>
      <c r="K3050" s="7">
        <v>1268.4099999999999</v>
      </c>
    </row>
    <row r="3051" spans="1:11" ht="18" customHeight="1" x14ac:dyDescent="0.25">
      <c r="A3051" s="7" t="s">
        <v>19</v>
      </c>
      <c r="B3051" s="7">
        <v>2024</v>
      </c>
      <c r="C3051" s="7" t="s">
        <v>62</v>
      </c>
      <c r="D3051" s="7" t="s">
        <v>72</v>
      </c>
      <c r="E3051" s="7" t="s">
        <v>74</v>
      </c>
      <c r="F3051" s="7" t="s">
        <v>75</v>
      </c>
      <c r="G3051" s="7" t="s">
        <v>64</v>
      </c>
      <c r="H3051" s="7" t="s">
        <v>73</v>
      </c>
      <c r="I3051" s="7" t="s">
        <v>76</v>
      </c>
      <c r="J3051" s="7">
        <v>840</v>
      </c>
      <c r="K3051" s="7">
        <v>526.24</v>
      </c>
    </row>
    <row r="3052" spans="1:11" ht="18" customHeight="1" x14ac:dyDescent="0.25">
      <c r="A3052" s="7" t="s">
        <v>19</v>
      </c>
      <c r="B3052" s="7">
        <v>2024</v>
      </c>
      <c r="C3052" s="7" t="s">
        <v>62</v>
      </c>
      <c r="D3052" s="7" t="s">
        <v>72</v>
      </c>
      <c r="E3052" s="7" t="s">
        <v>74</v>
      </c>
      <c r="F3052" s="7" t="s">
        <v>75</v>
      </c>
      <c r="G3052" s="7" t="s">
        <v>64</v>
      </c>
      <c r="H3052" s="7" t="s">
        <v>73</v>
      </c>
      <c r="I3052" s="7" t="s">
        <v>76</v>
      </c>
      <c r="J3052" s="7">
        <v>201</v>
      </c>
      <c r="K3052" s="7">
        <v>287.43</v>
      </c>
    </row>
    <row r="3053" spans="1:11" ht="18" customHeight="1" x14ac:dyDescent="0.25">
      <c r="A3053" s="7" t="s">
        <v>42</v>
      </c>
      <c r="B3053" s="7">
        <v>2024</v>
      </c>
      <c r="C3053" s="7" t="s">
        <v>62</v>
      </c>
      <c r="D3053" s="7" t="s">
        <v>72</v>
      </c>
      <c r="E3053" s="7" t="s">
        <v>74</v>
      </c>
      <c r="F3053" s="7" t="s">
        <v>75</v>
      </c>
      <c r="G3053" s="7" t="s">
        <v>64</v>
      </c>
      <c r="H3053" s="7" t="s">
        <v>73</v>
      </c>
      <c r="I3053" s="7" t="s">
        <v>76</v>
      </c>
      <c r="J3053" s="7">
        <v>229</v>
      </c>
      <c r="K3053" s="7">
        <v>327.47000000000003</v>
      </c>
    </row>
    <row r="3054" spans="1:11" ht="18" customHeight="1" x14ac:dyDescent="0.25">
      <c r="A3054" s="7" t="s">
        <v>19</v>
      </c>
      <c r="B3054" s="7">
        <v>2024</v>
      </c>
      <c r="C3054" s="7" t="s">
        <v>62</v>
      </c>
      <c r="D3054" s="7" t="s">
        <v>72</v>
      </c>
      <c r="E3054" s="7" t="s">
        <v>74</v>
      </c>
      <c r="F3054" s="7" t="s">
        <v>75</v>
      </c>
      <c r="G3054" s="7" t="s">
        <v>64</v>
      </c>
      <c r="H3054" s="7" t="s">
        <v>73</v>
      </c>
      <c r="I3054" s="7" t="s">
        <v>76</v>
      </c>
      <c r="J3054" s="7">
        <v>205</v>
      </c>
      <c r="K3054" s="7">
        <v>293.14999999999998</v>
      </c>
    </row>
    <row r="3055" spans="1:11" ht="18" customHeight="1" x14ac:dyDescent="0.25">
      <c r="A3055" s="7" t="s">
        <v>19</v>
      </c>
      <c r="B3055" s="7">
        <v>2024</v>
      </c>
      <c r="C3055" s="7" t="s">
        <v>62</v>
      </c>
      <c r="D3055" s="7" t="s">
        <v>72</v>
      </c>
      <c r="E3055" s="7" t="s">
        <v>74</v>
      </c>
      <c r="F3055" s="7" t="s">
        <v>75</v>
      </c>
      <c r="G3055" s="7" t="s">
        <v>64</v>
      </c>
      <c r="H3055" s="7" t="s">
        <v>73</v>
      </c>
      <c r="I3055" s="7" t="s">
        <v>76</v>
      </c>
      <c r="J3055" s="7">
        <v>810</v>
      </c>
      <c r="K3055" s="7">
        <v>1158.3</v>
      </c>
    </row>
    <row r="3056" spans="1:11" ht="18" customHeight="1" x14ac:dyDescent="0.25">
      <c r="A3056" s="7" t="s">
        <v>34</v>
      </c>
      <c r="B3056" s="7">
        <v>2024</v>
      </c>
      <c r="C3056" s="7" t="s">
        <v>62</v>
      </c>
      <c r="D3056" s="7" t="s">
        <v>72</v>
      </c>
      <c r="E3056" s="7" t="s">
        <v>74</v>
      </c>
      <c r="F3056" s="7" t="s">
        <v>75</v>
      </c>
      <c r="G3056" s="7" t="s">
        <v>64</v>
      </c>
      <c r="H3056" s="7" t="s">
        <v>73</v>
      </c>
      <c r="I3056" s="7" t="s">
        <v>76</v>
      </c>
      <c r="J3056" s="7">
        <v>203</v>
      </c>
      <c r="K3056" s="7">
        <v>290.28999999999996</v>
      </c>
    </row>
    <row r="3057" spans="1:11" ht="18" customHeight="1" x14ac:dyDescent="0.25">
      <c r="A3057" s="7" t="s">
        <v>42</v>
      </c>
      <c r="B3057" s="7">
        <v>2024</v>
      </c>
      <c r="C3057" s="7" t="s">
        <v>66</v>
      </c>
      <c r="D3057" s="7" t="s">
        <v>72</v>
      </c>
      <c r="E3057" s="7" t="s">
        <v>74</v>
      </c>
      <c r="F3057" s="7" t="s">
        <v>75</v>
      </c>
      <c r="G3057" s="7" t="s">
        <v>64</v>
      </c>
      <c r="H3057" s="7" t="s">
        <v>73</v>
      </c>
      <c r="I3057" s="7" t="s">
        <v>76</v>
      </c>
      <c r="J3057" s="7">
        <v>218</v>
      </c>
      <c r="K3057" s="7">
        <v>311.74</v>
      </c>
    </row>
    <row r="3058" spans="1:11" ht="18" customHeight="1" x14ac:dyDescent="0.25">
      <c r="A3058" s="7" t="s">
        <v>42</v>
      </c>
      <c r="B3058" s="7">
        <v>2024</v>
      </c>
      <c r="C3058" s="7" t="s">
        <v>66</v>
      </c>
      <c r="D3058" s="7" t="s">
        <v>72</v>
      </c>
      <c r="E3058" s="7" t="s">
        <v>74</v>
      </c>
      <c r="F3058" s="7" t="s">
        <v>75</v>
      </c>
      <c r="G3058" s="7" t="s">
        <v>64</v>
      </c>
      <c r="H3058" s="7" t="s">
        <v>73</v>
      </c>
      <c r="I3058" s="7" t="s">
        <v>76</v>
      </c>
      <c r="J3058" s="7">
        <v>194</v>
      </c>
      <c r="K3058" s="7">
        <v>277.42</v>
      </c>
    </row>
    <row r="3059" spans="1:11" ht="18" customHeight="1" x14ac:dyDescent="0.25">
      <c r="A3059" s="7" t="s">
        <v>34</v>
      </c>
      <c r="B3059" s="7">
        <v>2024</v>
      </c>
      <c r="C3059" s="7" t="s">
        <v>66</v>
      </c>
      <c r="D3059" s="7" t="s">
        <v>72</v>
      </c>
      <c r="E3059" s="7" t="s">
        <v>74</v>
      </c>
      <c r="F3059" s="7" t="s">
        <v>75</v>
      </c>
      <c r="G3059" s="7" t="s">
        <v>64</v>
      </c>
      <c r="H3059" s="7" t="s">
        <v>73</v>
      </c>
      <c r="I3059" s="7" t="s">
        <v>76</v>
      </c>
      <c r="J3059" s="7">
        <v>220</v>
      </c>
      <c r="K3059" s="7">
        <v>314.60000000000002</v>
      </c>
    </row>
    <row r="3060" spans="1:11" ht="18" customHeight="1" x14ac:dyDescent="0.25">
      <c r="A3060" s="7" t="s">
        <v>34</v>
      </c>
      <c r="B3060" s="7">
        <v>2024</v>
      </c>
      <c r="C3060" s="7" t="s">
        <v>66</v>
      </c>
      <c r="D3060" s="7" t="s">
        <v>72</v>
      </c>
      <c r="E3060" s="7" t="s">
        <v>74</v>
      </c>
      <c r="F3060" s="7" t="s">
        <v>75</v>
      </c>
      <c r="G3060" s="7" t="s">
        <v>64</v>
      </c>
      <c r="H3060" s="7" t="s">
        <v>73</v>
      </c>
      <c r="I3060" s="7" t="s">
        <v>76</v>
      </c>
      <c r="J3060" s="7">
        <v>190</v>
      </c>
      <c r="K3060" s="7">
        <v>271.7</v>
      </c>
    </row>
    <row r="3061" spans="1:11" ht="18" customHeight="1" x14ac:dyDescent="0.25">
      <c r="A3061" s="7" t="s">
        <v>34</v>
      </c>
      <c r="B3061" s="7">
        <v>2024</v>
      </c>
      <c r="C3061" s="7" t="s">
        <v>66</v>
      </c>
      <c r="D3061" s="7" t="s">
        <v>72</v>
      </c>
      <c r="E3061" s="7" t="s">
        <v>74</v>
      </c>
      <c r="F3061" s="7" t="s">
        <v>75</v>
      </c>
      <c r="G3061" s="7" t="s">
        <v>64</v>
      </c>
      <c r="H3061" s="7" t="s">
        <v>73</v>
      </c>
      <c r="I3061" s="7" t="s">
        <v>76</v>
      </c>
      <c r="J3061" s="7">
        <v>889</v>
      </c>
      <c r="K3061" s="7">
        <v>1271.27</v>
      </c>
    </row>
    <row r="3062" spans="1:11" ht="18" customHeight="1" x14ac:dyDescent="0.25">
      <c r="A3062" s="7" t="s">
        <v>34</v>
      </c>
      <c r="B3062" s="7">
        <v>2024</v>
      </c>
      <c r="C3062" s="7" t="s">
        <v>66</v>
      </c>
      <c r="D3062" s="7" t="s">
        <v>72</v>
      </c>
      <c r="E3062" s="7" t="s">
        <v>74</v>
      </c>
      <c r="F3062" s="7" t="s">
        <v>75</v>
      </c>
      <c r="G3062" s="7" t="s">
        <v>64</v>
      </c>
      <c r="H3062" s="7" t="s">
        <v>73</v>
      </c>
      <c r="I3062" s="7" t="s">
        <v>76</v>
      </c>
      <c r="J3062" s="7">
        <v>842</v>
      </c>
      <c r="K3062" s="7">
        <v>526.24</v>
      </c>
    </row>
    <row r="3063" spans="1:11" ht="18" customHeight="1" x14ac:dyDescent="0.25">
      <c r="A3063" s="7" t="s">
        <v>34</v>
      </c>
      <c r="B3063" s="7">
        <v>2024</v>
      </c>
      <c r="C3063" s="7" t="s">
        <v>66</v>
      </c>
      <c r="D3063" s="7" t="s">
        <v>72</v>
      </c>
      <c r="E3063" s="7" t="s">
        <v>74</v>
      </c>
      <c r="F3063" s="7" t="s">
        <v>75</v>
      </c>
      <c r="G3063" s="7" t="s">
        <v>64</v>
      </c>
      <c r="H3063" s="7" t="s">
        <v>73</v>
      </c>
      <c r="I3063" s="7" t="s">
        <v>76</v>
      </c>
      <c r="J3063" s="7">
        <v>217</v>
      </c>
      <c r="K3063" s="7">
        <v>310.31</v>
      </c>
    </row>
    <row r="3064" spans="1:11" ht="18" customHeight="1" x14ac:dyDescent="0.25">
      <c r="A3064" s="7" t="s">
        <v>34</v>
      </c>
      <c r="B3064" s="7">
        <v>2024</v>
      </c>
      <c r="C3064" s="7" t="s">
        <v>66</v>
      </c>
      <c r="D3064" s="7" t="s">
        <v>72</v>
      </c>
      <c r="E3064" s="7" t="s">
        <v>74</v>
      </c>
      <c r="F3064" s="7" t="s">
        <v>75</v>
      </c>
      <c r="G3064" s="7" t="s">
        <v>64</v>
      </c>
      <c r="H3064" s="7" t="s">
        <v>73</v>
      </c>
      <c r="I3064" s="7" t="s">
        <v>76</v>
      </c>
      <c r="J3064" s="7">
        <v>193</v>
      </c>
      <c r="K3064" s="7">
        <v>275.99</v>
      </c>
    </row>
    <row r="3065" spans="1:11" ht="18" customHeight="1" x14ac:dyDescent="0.25">
      <c r="A3065" s="7" t="s">
        <v>42</v>
      </c>
      <c r="B3065" s="7">
        <v>2024</v>
      </c>
      <c r="C3065" s="7" t="s">
        <v>66</v>
      </c>
      <c r="D3065" s="7" t="s">
        <v>72</v>
      </c>
      <c r="E3065" s="7" t="s">
        <v>74</v>
      </c>
      <c r="F3065" s="7" t="s">
        <v>75</v>
      </c>
      <c r="G3065" s="7" t="s">
        <v>64</v>
      </c>
      <c r="H3065" s="7" t="s">
        <v>73</v>
      </c>
      <c r="I3065" s="7" t="s">
        <v>76</v>
      </c>
      <c r="J3065" s="7">
        <v>811</v>
      </c>
      <c r="K3065" s="7">
        <v>1159.73</v>
      </c>
    </row>
    <row r="3066" spans="1:11" ht="18" customHeight="1" x14ac:dyDescent="0.25">
      <c r="A3066" s="7" t="s">
        <v>42</v>
      </c>
      <c r="B3066" s="7">
        <v>2024</v>
      </c>
      <c r="C3066" s="7" t="s">
        <v>66</v>
      </c>
      <c r="D3066" s="7" t="s">
        <v>72</v>
      </c>
      <c r="E3066" s="7" t="s">
        <v>74</v>
      </c>
      <c r="F3066" s="7" t="s">
        <v>75</v>
      </c>
      <c r="G3066" s="7" t="s">
        <v>64</v>
      </c>
      <c r="H3066" s="7" t="s">
        <v>73</v>
      </c>
      <c r="I3066" s="7" t="s">
        <v>76</v>
      </c>
      <c r="J3066" s="7">
        <v>191</v>
      </c>
      <c r="K3066" s="7">
        <v>273.13</v>
      </c>
    </row>
    <row r="3067" spans="1:11" ht="18" customHeight="1" x14ac:dyDescent="0.25">
      <c r="A3067" s="7" t="s">
        <v>34</v>
      </c>
      <c r="B3067" s="7">
        <v>2024</v>
      </c>
      <c r="C3067" s="7" t="s">
        <v>71</v>
      </c>
      <c r="D3067" s="7" t="s">
        <v>72</v>
      </c>
      <c r="E3067" s="7" t="s">
        <v>74</v>
      </c>
      <c r="F3067" s="7" t="s">
        <v>75</v>
      </c>
      <c r="G3067" s="7" t="s">
        <v>64</v>
      </c>
      <c r="H3067" s="7" t="s">
        <v>73</v>
      </c>
      <c r="I3067" s="7" t="s">
        <v>76</v>
      </c>
      <c r="J3067" s="7">
        <v>188</v>
      </c>
      <c r="K3067" s="7">
        <v>268.84000000000003</v>
      </c>
    </row>
    <row r="3068" spans="1:11" ht="18" customHeight="1" x14ac:dyDescent="0.25">
      <c r="A3068" s="7" t="s">
        <v>61</v>
      </c>
      <c r="B3068" s="7">
        <v>2024</v>
      </c>
      <c r="C3068" s="7" t="s">
        <v>71</v>
      </c>
      <c r="D3068" s="7" t="s">
        <v>72</v>
      </c>
      <c r="E3068" s="7" t="s">
        <v>74</v>
      </c>
      <c r="F3068" s="7" t="s">
        <v>75</v>
      </c>
      <c r="G3068" s="7" t="s">
        <v>64</v>
      </c>
      <c r="H3068" s="7" t="s">
        <v>73</v>
      </c>
      <c r="I3068" s="7" t="s">
        <v>76</v>
      </c>
      <c r="J3068" s="7">
        <v>158</v>
      </c>
      <c r="K3068" s="7">
        <v>225.94</v>
      </c>
    </row>
    <row r="3069" spans="1:11" ht="18" customHeight="1" x14ac:dyDescent="0.25">
      <c r="A3069" s="7" t="s">
        <v>19</v>
      </c>
      <c r="B3069" s="7">
        <v>2024</v>
      </c>
      <c r="C3069" s="7" t="s">
        <v>71</v>
      </c>
      <c r="D3069" s="7" t="s">
        <v>72</v>
      </c>
      <c r="E3069" s="7" t="s">
        <v>74</v>
      </c>
      <c r="F3069" s="7" t="s">
        <v>75</v>
      </c>
      <c r="G3069" s="7" t="s">
        <v>64</v>
      </c>
      <c r="H3069" s="7" t="s">
        <v>73</v>
      </c>
      <c r="I3069" s="7" t="s">
        <v>76</v>
      </c>
      <c r="J3069" s="7">
        <v>160</v>
      </c>
      <c r="K3069" s="7">
        <v>228.8</v>
      </c>
    </row>
    <row r="3070" spans="1:11" ht="18" customHeight="1" x14ac:dyDescent="0.25">
      <c r="A3070" s="7" t="s">
        <v>19</v>
      </c>
      <c r="B3070" s="7">
        <v>2024</v>
      </c>
      <c r="C3070" s="7" t="s">
        <v>71</v>
      </c>
      <c r="D3070" s="7" t="s">
        <v>72</v>
      </c>
      <c r="E3070" s="7" t="s">
        <v>74</v>
      </c>
      <c r="F3070" s="7" t="s">
        <v>75</v>
      </c>
      <c r="G3070" s="7" t="s">
        <v>64</v>
      </c>
      <c r="H3070" s="7" t="s">
        <v>73</v>
      </c>
      <c r="I3070" s="7" t="s">
        <v>76</v>
      </c>
      <c r="J3070" s="7">
        <v>808</v>
      </c>
      <c r="K3070" s="7">
        <v>1155.44</v>
      </c>
    </row>
    <row r="3071" spans="1:11" ht="18" customHeight="1" x14ac:dyDescent="0.25">
      <c r="A3071" s="7" t="s">
        <v>34</v>
      </c>
      <c r="B3071" s="7">
        <v>2024</v>
      </c>
      <c r="C3071" s="7" t="s">
        <v>71</v>
      </c>
      <c r="D3071" s="7" t="s">
        <v>72</v>
      </c>
      <c r="E3071" s="7" t="s">
        <v>74</v>
      </c>
      <c r="F3071" s="7" t="s">
        <v>75</v>
      </c>
      <c r="G3071" s="7" t="s">
        <v>64</v>
      </c>
      <c r="H3071" s="7" t="s">
        <v>73</v>
      </c>
      <c r="I3071" s="7" t="s">
        <v>76</v>
      </c>
      <c r="J3071" s="7">
        <v>894</v>
      </c>
      <c r="K3071" s="7">
        <v>1278.42</v>
      </c>
    </row>
    <row r="3072" spans="1:11" ht="18" customHeight="1" x14ac:dyDescent="0.25">
      <c r="A3072" s="7" t="s">
        <v>34</v>
      </c>
      <c r="B3072" s="7">
        <v>2024</v>
      </c>
      <c r="C3072" s="7" t="s">
        <v>71</v>
      </c>
      <c r="D3072" s="7" t="s">
        <v>72</v>
      </c>
      <c r="E3072" s="7" t="s">
        <v>74</v>
      </c>
      <c r="F3072" s="7" t="s">
        <v>75</v>
      </c>
      <c r="G3072" s="7" t="s">
        <v>64</v>
      </c>
      <c r="H3072" s="7" t="s">
        <v>73</v>
      </c>
      <c r="I3072" s="7" t="s">
        <v>76</v>
      </c>
      <c r="J3072" s="7">
        <v>847</v>
      </c>
      <c r="K3072" s="7">
        <v>526.24</v>
      </c>
    </row>
    <row r="3073" spans="1:11" ht="18" customHeight="1" x14ac:dyDescent="0.25">
      <c r="A3073" s="7" t="s">
        <v>19</v>
      </c>
      <c r="B3073" s="7">
        <v>2024</v>
      </c>
      <c r="C3073" s="7" t="s">
        <v>71</v>
      </c>
      <c r="D3073" s="7" t="s">
        <v>72</v>
      </c>
      <c r="E3073" s="7" t="s">
        <v>74</v>
      </c>
      <c r="F3073" s="7" t="s">
        <v>75</v>
      </c>
      <c r="G3073" s="7" t="s">
        <v>64</v>
      </c>
      <c r="H3073" s="7" t="s">
        <v>73</v>
      </c>
      <c r="I3073" s="7" t="s">
        <v>76</v>
      </c>
      <c r="J3073" s="7">
        <v>159</v>
      </c>
      <c r="K3073" s="7">
        <v>227.37</v>
      </c>
    </row>
    <row r="3074" spans="1:11" ht="18" customHeight="1" x14ac:dyDescent="0.25">
      <c r="A3074" s="7" t="s">
        <v>19</v>
      </c>
      <c r="B3074" s="7">
        <v>2024</v>
      </c>
      <c r="C3074" s="7" t="s">
        <v>71</v>
      </c>
      <c r="D3074" s="7" t="s">
        <v>72</v>
      </c>
      <c r="E3074" s="7" t="s">
        <v>74</v>
      </c>
      <c r="F3074" s="7" t="s">
        <v>75</v>
      </c>
      <c r="G3074" s="7" t="s">
        <v>64</v>
      </c>
      <c r="H3074" s="7" t="s">
        <v>73</v>
      </c>
      <c r="I3074" s="7" t="s">
        <v>76</v>
      </c>
      <c r="J3074" s="7">
        <v>187</v>
      </c>
      <c r="K3074" s="7">
        <v>267.40999999999997</v>
      </c>
    </row>
    <row r="3075" spans="1:11" ht="18" customHeight="1" x14ac:dyDescent="0.25">
      <c r="A3075" s="7" t="s">
        <v>61</v>
      </c>
      <c r="B3075" s="7">
        <v>2024</v>
      </c>
      <c r="C3075" s="7" t="s">
        <v>71</v>
      </c>
      <c r="D3075" s="7" t="s">
        <v>72</v>
      </c>
      <c r="E3075" s="7" t="s">
        <v>74</v>
      </c>
      <c r="F3075" s="7" t="s">
        <v>75</v>
      </c>
      <c r="G3075" s="7" t="s">
        <v>64</v>
      </c>
      <c r="H3075" s="7" t="s">
        <v>73</v>
      </c>
      <c r="I3075" s="7" t="s">
        <v>76</v>
      </c>
      <c r="J3075" s="7">
        <v>817</v>
      </c>
      <c r="K3075" s="7">
        <v>1168.31</v>
      </c>
    </row>
    <row r="3076" spans="1:11" ht="18" customHeight="1" x14ac:dyDescent="0.25">
      <c r="A3076" s="7" t="s">
        <v>34</v>
      </c>
      <c r="B3076" s="7">
        <v>2024</v>
      </c>
      <c r="C3076" s="7" t="s">
        <v>71</v>
      </c>
      <c r="D3076" s="7" t="s">
        <v>72</v>
      </c>
      <c r="E3076" s="7" t="s">
        <v>74</v>
      </c>
      <c r="F3076" s="7" t="s">
        <v>75</v>
      </c>
      <c r="G3076" s="7" t="s">
        <v>64</v>
      </c>
      <c r="H3076" s="7" t="s">
        <v>73</v>
      </c>
      <c r="I3076" s="7" t="s">
        <v>76</v>
      </c>
      <c r="J3076" s="7">
        <v>161</v>
      </c>
      <c r="K3076" s="7">
        <v>230.23000000000002</v>
      </c>
    </row>
    <row r="3077" spans="1:11" ht="18" customHeight="1" x14ac:dyDescent="0.25">
      <c r="A3077" s="7" t="s">
        <v>19</v>
      </c>
      <c r="B3077" s="7">
        <v>2024</v>
      </c>
      <c r="C3077" s="7" t="s">
        <v>70</v>
      </c>
      <c r="D3077" s="7" t="s">
        <v>72</v>
      </c>
      <c r="E3077" s="7" t="s">
        <v>74</v>
      </c>
      <c r="F3077" s="7" t="s">
        <v>75</v>
      </c>
      <c r="G3077" s="7" t="s">
        <v>64</v>
      </c>
      <c r="H3077" s="7" t="s">
        <v>73</v>
      </c>
      <c r="I3077" s="7" t="s">
        <v>76</v>
      </c>
      <c r="J3077" s="7">
        <v>194</v>
      </c>
      <c r="K3077" s="7">
        <v>277.42</v>
      </c>
    </row>
    <row r="3078" spans="1:11" ht="18" customHeight="1" x14ac:dyDescent="0.25">
      <c r="A3078" s="7" t="s">
        <v>34</v>
      </c>
      <c r="B3078" s="7">
        <v>2024</v>
      </c>
      <c r="C3078" s="7" t="s">
        <v>70</v>
      </c>
      <c r="D3078" s="7" t="s">
        <v>72</v>
      </c>
      <c r="E3078" s="7" t="s">
        <v>74</v>
      </c>
      <c r="F3078" s="7" t="s">
        <v>75</v>
      </c>
      <c r="G3078" s="7" t="s">
        <v>64</v>
      </c>
      <c r="H3078" s="7" t="s">
        <v>73</v>
      </c>
      <c r="I3078" s="7" t="s">
        <v>76</v>
      </c>
      <c r="J3078" s="7">
        <v>164</v>
      </c>
      <c r="K3078" s="7">
        <v>234.51999999999998</v>
      </c>
    </row>
    <row r="3079" spans="1:11" ht="18" customHeight="1" x14ac:dyDescent="0.25">
      <c r="A3079" s="7" t="s">
        <v>34</v>
      </c>
      <c r="B3079" s="7">
        <v>2024</v>
      </c>
      <c r="C3079" s="7" t="s">
        <v>70</v>
      </c>
      <c r="D3079" s="7" t="s">
        <v>72</v>
      </c>
      <c r="E3079" s="7" t="s">
        <v>74</v>
      </c>
      <c r="F3079" s="7" t="s">
        <v>75</v>
      </c>
      <c r="G3079" s="7" t="s">
        <v>64</v>
      </c>
      <c r="H3079" s="7" t="s">
        <v>73</v>
      </c>
      <c r="I3079" s="7" t="s">
        <v>76</v>
      </c>
      <c r="J3079" s="7">
        <v>190</v>
      </c>
      <c r="K3079" s="7">
        <v>271.7</v>
      </c>
    </row>
    <row r="3080" spans="1:11" ht="18" customHeight="1" x14ac:dyDescent="0.25">
      <c r="A3080" s="7" t="s">
        <v>53</v>
      </c>
      <c r="B3080" s="7">
        <v>2024</v>
      </c>
      <c r="C3080" s="7" t="s">
        <v>70</v>
      </c>
      <c r="D3080" s="7" t="s">
        <v>72</v>
      </c>
      <c r="E3080" s="7" t="s">
        <v>74</v>
      </c>
      <c r="F3080" s="7" t="s">
        <v>75</v>
      </c>
      <c r="G3080" s="7" t="s">
        <v>64</v>
      </c>
      <c r="H3080" s="7" t="s">
        <v>73</v>
      </c>
      <c r="I3080" s="7" t="s">
        <v>76</v>
      </c>
      <c r="J3080" s="7">
        <v>166</v>
      </c>
      <c r="K3080" s="7">
        <v>237.38</v>
      </c>
    </row>
    <row r="3081" spans="1:11" ht="18" customHeight="1" x14ac:dyDescent="0.25">
      <c r="A3081" s="7" t="s">
        <v>19</v>
      </c>
      <c r="B3081" s="7">
        <v>2024</v>
      </c>
      <c r="C3081" s="7" t="s">
        <v>70</v>
      </c>
      <c r="D3081" s="7" t="s">
        <v>72</v>
      </c>
      <c r="E3081" s="7" t="s">
        <v>74</v>
      </c>
      <c r="F3081" s="7" t="s">
        <v>75</v>
      </c>
      <c r="G3081" s="7" t="s">
        <v>64</v>
      </c>
      <c r="H3081" s="7" t="s">
        <v>73</v>
      </c>
      <c r="I3081" s="7" t="s">
        <v>76</v>
      </c>
      <c r="J3081" s="7">
        <v>807</v>
      </c>
      <c r="K3081" s="7">
        <v>1154.01</v>
      </c>
    </row>
    <row r="3082" spans="1:11" ht="18" customHeight="1" x14ac:dyDescent="0.25">
      <c r="A3082" s="7" t="s">
        <v>19</v>
      </c>
      <c r="B3082" s="7">
        <v>2024</v>
      </c>
      <c r="C3082" s="7" t="s">
        <v>70</v>
      </c>
      <c r="D3082" s="7" t="s">
        <v>72</v>
      </c>
      <c r="E3082" s="7" t="s">
        <v>74</v>
      </c>
      <c r="F3082" s="7" t="s">
        <v>75</v>
      </c>
      <c r="G3082" s="7" t="s">
        <v>64</v>
      </c>
      <c r="H3082" s="7" t="s">
        <v>73</v>
      </c>
      <c r="I3082" s="7" t="s">
        <v>76</v>
      </c>
      <c r="J3082" s="7">
        <v>165</v>
      </c>
      <c r="K3082" s="7">
        <v>235.95</v>
      </c>
    </row>
    <row r="3083" spans="1:11" ht="18" customHeight="1" x14ac:dyDescent="0.25">
      <c r="A3083" s="7" t="s">
        <v>53</v>
      </c>
      <c r="B3083" s="7">
        <v>2024</v>
      </c>
      <c r="C3083" s="7" t="s">
        <v>70</v>
      </c>
      <c r="D3083" s="7" t="s">
        <v>72</v>
      </c>
      <c r="E3083" s="7" t="s">
        <v>74</v>
      </c>
      <c r="F3083" s="7" t="s">
        <v>75</v>
      </c>
      <c r="G3083" s="7" t="s">
        <v>64</v>
      </c>
      <c r="H3083" s="7" t="s">
        <v>73</v>
      </c>
      <c r="I3083" s="7" t="s">
        <v>76</v>
      </c>
      <c r="J3083" s="7">
        <v>193</v>
      </c>
      <c r="K3083" s="7">
        <v>275.99</v>
      </c>
    </row>
    <row r="3084" spans="1:11" ht="18" customHeight="1" x14ac:dyDescent="0.25">
      <c r="A3084" s="7" t="s">
        <v>34</v>
      </c>
      <c r="B3084" s="7">
        <v>2024</v>
      </c>
      <c r="C3084" s="7" t="s">
        <v>70</v>
      </c>
      <c r="D3084" s="7" t="s">
        <v>72</v>
      </c>
      <c r="E3084" s="7" t="s">
        <v>74</v>
      </c>
      <c r="F3084" s="7" t="s">
        <v>75</v>
      </c>
      <c r="G3084" s="7" t="s">
        <v>64</v>
      </c>
      <c r="H3084" s="7" t="s">
        <v>73</v>
      </c>
      <c r="I3084" s="7" t="s">
        <v>76</v>
      </c>
      <c r="J3084" s="7">
        <v>163</v>
      </c>
      <c r="K3084" s="7">
        <v>233.09</v>
      </c>
    </row>
    <row r="3085" spans="1:11" ht="18" customHeight="1" x14ac:dyDescent="0.25">
      <c r="A3085" s="7" t="s">
        <v>34</v>
      </c>
      <c r="B3085" s="7">
        <v>2024</v>
      </c>
      <c r="C3085" s="7" t="s">
        <v>70</v>
      </c>
      <c r="D3085" s="7" t="s">
        <v>72</v>
      </c>
      <c r="E3085" s="7" t="s">
        <v>74</v>
      </c>
      <c r="F3085" s="7" t="s">
        <v>75</v>
      </c>
      <c r="G3085" s="7" t="s">
        <v>64</v>
      </c>
      <c r="H3085" s="7" t="s">
        <v>73</v>
      </c>
      <c r="I3085" s="7" t="s">
        <v>76</v>
      </c>
      <c r="J3085" s="7">
        <v>816</v>
      </c>
      <c r="K3085" s="7">
        <v>1166.8800000000001</v>
      </c>
    </row>
    <row r="3086" spans="1:11" ht="18" customHeight="1" x14ac:dyDescent="0.25">
      <c r="A3086" s="7" t="s">
        <v>19</v>
      </c>
      <c r="B3086" s="7">
        <v>2024</v>
      </c>
      <c r="C3086" s="7" t="s">
        <v>70</v>
      </c>
      <c r="D3086" s="7" t="s">
        <v>72</v>
      </c>
      <c r="E3086" s="7" t="s">
        <v>74</v>
      </c>
      <c r="F3086" s="7" t="s">
        <v>75</v>
      </c>
      <c r="G3086" s="7" t="s">
        <v>64</v>
      </c>
      <c r="H3086" s="7" t="s">
        <v>73</v>
      </c>
      <c r="I3086" s="7" t="s">
        <v>76</v>
      </c>
      <c r="J3086" s="7">
        <v>167</v>
      </c>
      <c r="K3086" s="7">
        <v>238.81</v>
      </c>
    </row>
    <row r="3087" spans="1:11" ht="18" customHeight="1" x14ac:dyDescent="0.25">
      <c r="A3087" s="7" t="s">
        <v>34</v>
      </c>
      <c r="B3087" s="7">
        <v>2024</v>
      </c>
      <c r="C3087" s="7" t="s">
        <v>69</v>
      </c>
      <c r="D3087" s="7" t="s">
        <v>72</v>
      </c>
      <c r="E3087" s="7" t="s">
        <v>74</v>
      </c>
      <c r="F3087" s="7" t="s">
        <v>75</v>
      </c>
      <c r="G3087" s="7" t="s">
        <v>64</v>
      </c>
      <c r="H3087" s="7" t="s">
        <v>73</v>
      </c>
      <c r="I3087" s="7" t="s">
        <v>76</v>
      </c>
      <c r="J3087" s="7">
        <v>200</v>
      </c>
      <c r="K3087" s="7">
        <v>286</v>
      </c>
    </row>
    <row r="3088" spans="1:11" ht="18" customHeight="1" x14ac:dyDescent="0.25">
      <c r="A3088" s="7" t="s">
        <v>19</v>
      </c>
      <c r="B3088" s="7">
        <v>2024</v>
      </c>
      <c r="C3088" s="7" t="s">
        <v>69</v>
      </c>
      <c r="D3088" s="7" t="s">
        <v>72</v>
      </c>
      <c r="E3088" s="7" t="s">
        <v>74</v>
      </c>
      <c r="F3088" s="7" t="s">
        <v>75</v>
      </c>
      <c r="G3088" s="7" t="s">
        <v>64</v>
      </c>
      <c r="H3088" s="7" t="s">
        <v>73</v>
      </c>
      <c r="I3088" s="7" t="s">
        <v>76</v>
      </c>
      <c r="J3088" s="7">
        <v>170</v>
      </c>
      <c r="K3088" s="7">
        <v>243.1</v>
      </c>
    </row>
    <row r="3089" spans="1:11" ht="18" customHeight="1" x14ac:dyDescent="0.25">
      <c r="A3089" s="7" t="s">
        <v>19</v>
      </c>
      <c r="B3089" s="7">
        <v>2024</v>
      </c>
      <c r="C3089" s="7" t="s">
        <v>69</v>
      </c>
      <c r="D3089" s="7" t="s">
        <v>72</v>
      </c>
      <c r="E3089" s="7" t="s">
        <v>74</v>
      </c>
      <c r="F3089" s="7" t="s">
        <v>75</v>
      </c>
      <c r="G3089" s="7" t="s">
        <v>64</v>
      </c>
      <c r="H3089" s="7" t="s">
        <v>73</v>
      </c>
      <c r="I3089" s="7" t="s">
        <v>76</v>
      </c>
      <c r="J3089" s="7">
        <v>196</v>
      </c>
      <c r="K3089" s="7">
        <v>280.27999999999997</v>
      </c>
    </row>
    <row r="3090" spans="1:11" ht="18" customHeight="1" x14ac:dyDescent="0.25">
      <c r="A3090" s="7" t="s">
        <v>34</v>
      </c>
      <c r="B3090" s="7">
        <v>2024</v>
      </c>
      <c r="C3090" s="7" t="s">
        <v>69</v>
      </c>
      <c r="D3090" s="7" t="s">
        <v>72</v>
      </c>
      <c r="E3090" s="7" t="s">
        <v>74</v>
      </c>
      <c r="F3090" s="7" t="s">
        <v>75</v>
      </c>
      <c r="G3090" s="7" t="s">
        <v>64</v>
      </c>
      <c r="H3090" s="7" t="s">
        <v>73</v>
      </c>
      <c r="I3090" s="7" t="s">
        <v>76</v>
      </c>
      <c r="J3090" s="7">
        <v>172</v>
      </c>
      <c r="K3090" s="7">
        <v>245.95999999999998</v>
      </c>
    </row>
    <row r="3091" spans="1:11" ht="18" customHeight="1" x14ac:dyDescent="0.25">
      <c r="A3091" s="7" t="s">
        <v>34</v>
      </c>
      <c r="B3091" s="7">
        <v>2024</v>
      </c>
      <c r="C3091" s="7" t="s">
        <v>69</v>
      </c>
      <c r="D3091" s="7" t="s">
        <v>72</v>
      </c>
      <c r="E3091" s="7" t="s">
        <v>74</v>
      </c>
      <c r="F3091" s="7" t="s">
        <v>75</v>
      </c>
      <c r="G3091" s="7" t="s">
        <v>64</v>
      </c>
      <c r="H3091" s="7" t="s">
        <v>73</v>
      </c>
      <c r="I3091" s="7" t="s">
        <v>76</v>
      </c>
      <c r="J3091" s="7">
        <v>806</v>
      </c>
      <c r="K3091" s="7">
        <v>1152.58</v>
      </c>
    </row>
    <row r="3092" spans="1:11" ht="18" customHeight="1" x14ac:dyDescent="0.25">
      <c r="A3092" s="7" t="s">
        <v>19</v>
      </c>
      <c r="B3092" s="7">
        <v>2024</v>
      </c>
      <c r="C3092" s="7" t="s">
        <v>69</v>
      </c>
      <c r="D3092" s="7" t="s">
        <v>72</v>
      </c>
      <c r="E3092" s="7" t="s">
        <v>74</v>
      </c>
      <c r="F3092" s="7" t="s">
        <v>75</v>
      </c>
      <c r="G3092" s="7" t="s">
        <v>64</v>
      </c>
      <c r="H3092" s="7" t="s">
        <v>73</v>
      </c>
      <c r="I3092" s="7" t="s">
        <v>76</v>
      </c>
      <c r="J3092" s="7">
        <v>893</v>
      </c>
      <c r="K3092" s="7">
        <v>1276.99</v>
      </c>
    </row>
    <row r="3093" spans="1:11" ht="18" customHeight="1" x14ac:dyDescent="0.25">
      <c r="A3093" s="7" t="s">
        <v>19</v>
      </c>
      <c r="B3093" s="7">
        <v>2024</v>
      </c>
      <c r="C3093" s="7" t="s">
        <v>69</v>
      </c>
      <c r="D3093" s="7" t="s">
        <v>72</v>
      </c>
      <c r="E3093" s="7" t="s">
        <v>74</v>
      </c>
      <c r="F3093" s="7" t="s">
        <v>75</v>
      </c>
      <c r="G3093" s="7" t="s">
        <v>64</v>
      </c>
      <c r="H3093" s="7" t="s">
        <v>73</v>
      </c>
      <c r="I3093" s="7" t="s">
        <v>76</v>
      </c>
      <c r="J3093" s="7">
        <v>846</v>
      </c>
      <c r="K3093" s="7">
        <v>526.24</v>
      </c>
    </row>
    <row r="3094" spans="1:11" ht="18" customHeight="1" x14ac:dyDescent="0.25">
      <c r="A3094" s="7" t="s">
        <v>34</v>
      </c>
      <c r="B3094" s="7">
        <v>2024</v>
      </c>
      <c r="C3094" s="7" t="s">
        <v>69</v>
      </c>
      <c r="D3094" s="7" t="s">
        <v>72</v>
      </c>
      <c r="E3094" s="7" t="s">
        <v>74</v>
      </c>
      <c r="F3094" s="7" t="s">
        <v>75</v>
      </c>
      <c r="G3094" s="7" t="s">
        <v>64</v>
      </c>
      <c r="H3094" s="7" t="s">
        <v>73</v>
      </c>
      <c r="I3094" s="7" t="s">
        <v>76</v>
      </c>
      <c r="J3094" s="7">
        <v>171</v>
      </c>
      <c r="K3094" s="7">
        <v>244.53</v>
      </c>
    </row>
    <row r="3095" spans="1:11" ht="18" customHeight="1" x14ac:dyDescent="0.25">
      <c r="A3095" s="7" t="s">
        <v>34</v>
      </c>
      <c r="B3095" s="7">
        <v>2024</v>
      </c>
      <c r="C3095" s="7" t="s">
        <v>69</v>
      </c>
      <c r="D3095" s="7" t="s">
        <v>72</v>
      </c>
      <c r="E3095" s="7" t="s">
        <v>74</v>
      </c>
      <c r="F3095" s="7" t="s">
        <v>75</v>
      </c>
      <c r="G3095" s="7" t="s">
        <v>64</v>
      </c>
      <c r="H3095" s="7" t="s">
        <v>73</v>
      </c>
      <c r="I3095" s="7" t="s">
        <v>76</v>
      </c>
      <c r="J3095" s="7">
        <v>199</v>
      </c>
      <c r="K3095" s="7">
        <v>284.57</v>
      </c>
    </row>
    <row r="3096" spans="1:11" ht="18" customHeight="1" x14ac:dyDescent="0.25">
      <c r="A3096" s="7" t="s">
        <v>19</v>
      </c>
      <c r="B3096" s="7">
        <v>2024</v>
      </c>
      <c r="C3096" s="7" t="s">
        <v>69</v>
      </c>
      <c r="D3096" s="7" t="s">
        <v>72</v>
      </c>
      <c r="E3096" s="7" t="s">
        <v>74</v>
      </c>
      <c r="F3096" s="7" t="s">
        <v>75</v>
      </c>
      <c r="G3096" s="7" t="s">
        <v>64</v>
      </c>
      <c r="H3096" s="7" t="s">
        <v>73</v>
      </c>
      <c r="I3096" s="7" t="s">
        <v>76</v>
      </c>
      <c r="J3096" s="7">
        <v>169</v>
      </c>
      <c r="K3096" s="7">
        <v>241.67000000000002</v>
      </c>
    </row>
    <row r="3097" spans="1:11" ht="18" customHeight="1" x14ac:dyDescent="0.25">
      <c r="A3097" s="7" t="s">
        <v>19</v>
      </c>
      <c r="B3097" s="7">
        <v>2024</v>
      </c>
      <c r="C3097" s="7" t="s">
        <v>69</v>
      </c>
      <c r="D3097" s="7" t="s">
        <v>72</v>
      </c>
      <c r="E3097" s="7" t="s">
        <v>74</v>
      </c>
      <c r="F3097" s="7" t="s">
        <v>75</v>
      </c>
      <c r="G3097" s="7" t="s">
        <v>64</v>
      </c>
      <c r="H3097" s="7" t="s">
        <v>73</v>
      </c>
      <c r="I3097" s="7" t="s">
        <v>76</v>
      </c>
      <c r="J3097" s="7">
        <v>815</v>
      </c>
      <c r="K3097" s="7">
        <v>1165.45</v>
      </c>
    </row>
    <row r="3098" spans="1:11" ht="18" customHeight="1" x14ac:dyDescent="0.25">
      <c r="A3098" s="7" t="s">
        <v>34</v>
      </c>
      <c r="B3098" s="7">
        <v>2024</v>
      </c>
      <c r="C3098" s="7" t="s">
        <v>69</v>
      </c>
      <c r="D3098" s="7" t="s">
        <v>72</v>
      </c>
      <c r="E3098" s="7" t="s">
        <v>74</v>
      </c>
      <c r="F3098" s="7" t="s">
        <v>75</v>
      </c>
      <c r="G3098" s="7" t="s">
        <v>64</v>
      </c>
      <c r="H3098" s="7" t="s">
        <v>73</v>
      </c>
      <c r="I3098" s="7" t="s">
        <v>76</v>
      </c>
      <c r="J3098" s="7">
        <v>173</v>
      </c>
      <c r="K3098" s="7">
        <v>247.39</v>
      </c>
    </row>
    <row r="3099" spans="1:11" ht="18" customHeight="1" x14ac:dyDescent="0.25"/>
    <row r="3100" spans="1:11" ht="18" customHeight="1" x14ac:dyDescent="0.25"/>
    <row r="3101" spans="1:11" ht="18" customHeight="1" x14ac:dyDescent="0.25"/>
    <row r="3102" spans="1:11" ht="18" customHeight="1" x14ac:dyDescent="0.25"/>
    <row r="3103" spans="1:11" ht="18" customHeight="1" x14ac:dyDescent="0.25"/>
    <row r="3104" spans="1:11" ht="18" customHeight="1" x14ac:dyDescent="0.25"/>
    <row r="3105" ht="18" customHeight="1" x14ac:dyDescent="0.25"/>
    <row r="3106" ht="18" customHeight="1" x14ac:dyDescent="0.25"/>
    <row r="3107" ht="18" customHeight="1" x14ac:dyDescent="0.25"/>
    <row r="3108" ht="18" customHeight="1" x14ac:dyDescent="0.25"/>
    <row r="3109" ht="18" customHeight="1" x14ac:dyDescent="0.25"/>
    <row r="3110" ht="18" customHeight="1" x14ac:dyDescent="0.25"/>
    <row r="3111" ht="18" customHeight="1" x14ac:dyDescent="0.25"/>
    <row r="3112" ht="18" customHeight="1" x14ac:dyDescent="0.25"/>
    <row r="3113" ht="18" customHeight="1" x14ac:dyDescent="0.25"/>
    <row r="3114" ht="18" customHeight="1" x14ac:dyDescent="0.25"/>
    <row r="3115" ht="18" customHeight="1" x14ac:dyDescent="0.25"/>
    <row r="3116" ht="18" customHeight="1" x14ac:dyDescent="0.25"/>
  </sheetData>
  <pageMargins left="0.7" right="0.7" top="0.75" bottom="0.75" header="0.3" footer="0.3"/>
  <tableParts count="2">
    <tablePart r:id="rId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577F2A-6CF5-4983-BE2F-68BA84807F78}">
  <sheetPr codeName="Sheet2">
    <tabColor rgb="FFEA375D"/>
  </sheetPr>
  <dimension ref="C1:FJ150"/>
  <sheetViews>
    <sheetView tabSelected="1" topLeftCell="EV1" zoomScale="74" zoomScaleNormal="85" workbookViewId="0">
      <selection activeCell="FA8" sqref="FA8"/>
    </sheetView>
  </sheetViews>
  <sheetFormatPr defaultRowHeight="18" customHeight="1" x14ac:dyDescent="0.25"/>
  <cols>
    <col min="1" max="2" width="9.140625" style="18"/>
    <col min="3" max="3" width="16.7109375" style="18" bestFit="1" customWidth="1"/>
    <col min="4" max="4" width="17.5703125" style="18" bestFit="1" customWidth="1"/>
    <col min="5" max="5" width="17.28515625" style="18" bestFit="1" customWidth="1"/>
    <col min="6" max="6" width="18.42578125" style="18" bestFit="1" customWidth="1"/>
    <col min="7" max="7" width="9.140625" style="18"/>
    <col min="8" max="8" width="12.5703125" style="18" bestFit="1" customWidth="1"/>
    <col min="9" max="10" width="11" style="18" customWidth="1"/>
    <col min="11" max="11" width="11.140625" style="18" customWidth="1"/>
    <col min="12" max="12" width="14.28515625" style="18" bestFit="1" customWidth="1"/>
    <col min="13" max="13" width="18" style="18" bestFit="1" customWidth="1"/>
    <col min="14" max="14" width="11.28515625" style="18" bestFit="1" customWidth="1"/>
    <col min="15" max="15" width="9.140625" style="18" customWidth="1"/>
    <col min="16" max="16" width="9.140625" style="18"/>
    <col min="17" max="17" width="17.5703125" style="18" bestFit="1" customWidth="1"/>
    <col min="18" max="18" width="25.42578125" style="18" bestFit="1" customWidth="1"/>
    <col min="19" max="19" width="19.7109375" style="18" bestFit="1" customWidth="1"/>
    <col min="20" max="20" width="9.140625" style="26" bestFit="1" customWidth="1"/>
    <col min="21" max="21" width="7.7109375" style="18" bestFit="1" customWidth="1"/>
    <col min="22" max="23" width="9.140625" style="18"/>
    <col min="24" max="24" width="16.7109375" style="18" bestFit="1" customWidth="1"/>
    <col min="25" max="25" width="17.5703125" style="18" bestFit="1" customWidth="1"/>
    <col min="26" max="26" width="18.7109375" style="18" bestFit="1" customWidth="1"/>
    <col min="27" max="27" width="9.140625" style="18"/>
    <col min="28" max="28" width="23.5703125" style="18" bestFit="1" customWidth="1"/>
    <col min="29" max="30" width="9.140625" style="18"/>
    <col min="31" max="31" width="16.7109375" style="18" bestFit="1" customWidth="1"/>
    <col min="32" max="32" width="26.5703125" style="18" bestFit="1" customWidth="1"/>
    <col min="33" max="33" width="24.7109375" style="18" bestFit="1" customWidth="1"/>
    <col min="34" max="34" width="19.28515625" style="18" bestFit="1" customWidth="1"/>
    <col min="35" max="36" width="9.140625" style="18"/>
    <col min="37" max="37" width="16.7109375" style="18" bestFit="1" customWidth="1"/>
    <col min="38" max="38" width="17.5703125" style="18" bestFit="1" customWidth="1"/>
    <col min="39" max="39" width="18.7109375" style="18" bestFit="1" customWidth="1"/>
    <col min="40" max="40" width="9.140625" style="18"/>
    <col min="41" max="41" width="5.28515625" style="18" bestFit="1" customWidth="1"/>
    <col min="42" max="42" width="11.140625" style="18" bestFit="1" customWidth="1"/>
    <col min="43" max="43" width="8.28515625" style="18" bestFit="1" customWidth="1"/>
    <col min="44" max="45" width="9.140625" style="18"/>
    <col min="46" max="46" width="30.140625" style="18" bestFit="1" customWidth="1"/>
    <col min="47" max="47" width="17.5703125" style="18" bestFit="1" customWidth="1"/>
    <col min="48" max="48" width="18.7109375" style="18" bestFit="1" customWidth="1"/>
    <col min="49" max="49" width="9.140625" style="18" customWidth="1"/>
    <col min="50" max="50" width="25.7109375" style="18" bestFit="1" customWidth="1"/>
    <col min="51" max="51" width="13.140625" style="18" bestFit="1" customWidth="1"/>
    <col min="52" max="52" width="9.140625" style="18"/>
    <col min="53" max="53" width="17" style="18" bestFit="1" customWidth="1"/>
    <col min="54" max="54" width="18.28515625" style="18" bestFit="1" customWidth="1"/>
    <col min="55" max="55" width="14.85546875" style="18" bestFit="1" customWidth="1"/>
    <col min="56" max="56" width="16.140625" style="18" bestFit="1" customWidth="1"/>
    <col min="57" max="57" width="15.85546875" style="18" customWidth="1"/>
    <col min="58" max="58" width="18.28515625" style="18" bestFit="1" customWidth="1"/>
    <col min="59" max="62" width="9.7109375" style="18" customWidth="1"/>
    <col min="63" max="65" width="15.85546875" style="18" customWidth="1"/>
    <col min="66" max="66" width="9.140625" style="18"/>
    <col min="67" max="67" width="15.140625" style="18" bestFit="1" customWidth="1"/>
    <col min="68" max="68" width="9.140625" style="18"/>
    <col min="69" max="69" width="15.85546875" style="18" bestFit="1" customWidth="1"/>
    <col min="70" max="70" width="9.140625" style="18"/>
    <col min="71" max="71" width="14.5703125" style="18" bestFit="1" customWidth="1"/>
    <col min="72" max="72" width="9.140625" style="18"/>
    <col min="73" max="73" width="14.85546875" style="18" bestFit="1" customWidth="1"/>
    <col min="74" max="74" width="13.42578125" style="18" bestFit="1" customWidth="1"/>
    <col min="75" max="75" width="9.140625" style="18"/>
    <col min="76" max="76" width="23.28515625" style="18" bestFit="1" customWidth="1"/>
    <col min="77" max="77" width="7.42578125" style="18" bestFit="1" customWidth="1"/>
    <col min="78" max="79" width="9.140625" style="18"/>
    <col min="80" max="81" width="7.28515625" style="18" customWidth="1"/>
    <col min="82" max="82" width="9.140625" style="18"/>
    <col min="83" max="83" width="14.7109375" style="18" bestFit="1" customWidth="1"/>
    <col min="84" max="84" width="16.5703125" style="18" bestFit="1" customWidth="1"/>
    <col min="85" max="85" width="14.5703125" style="18" bestFit="1" customWidth="1"/>
    <col min="86" max="86" width="12.85546875" style="18" bestFit="1" customWidth="1"/>
    <col min="87" max="103" width="9.140625" style="18"/>
    <col min="104" max="104" width="13.42578125" style="18" bestFit="1" customWidth="1"/>
    <col min="105" max="105" width="15.28515625" style="18" bestFit="1" customWidth="1"/>
    <col min="106" max="106" width="9.140625" style="18"/>
    <col min="107" max="107" width="7.140625" style="7" bestFit="1" customWidth="1"/>
    <col min="108" max="108" width="7.7109375" style="7" bestFit="1" customWidth="1"/>
    <col min="109" max="112" width="9.140625" style="18"/>
    <col min="113" max="113" width="13.28515625" style="18" bestFit="1" customWidth="1"/>
    <col min="114" max="114" width="14.85546875" style="18" bestFit="1" customWidth="1"/>
    <col min="115" max="115" width="9.140625" style="18"/>
    <col min="116" max="116" width="10.28515625" style="18" bestFit="1" customWidth="1"/>
    <col min="117" max="131" width="9.140625" style="18"/>
    <col min="132" max="132" width="14.85546875" style="18" bestFit="1" customWidth="1"/>
    <col min="133" max="133" width="9.140625" style="18"/>
    <col min="134" max="134" width="29.140625" style="18" bestFit="1" customWidth="1"/>
    <col min="135" max="135" width="27.140625" style="18" bestFit="1" customWidth="1"/>
    <col min="136" max="136" width="9.140625" style="18"/>
    <col min="137" max="137" width="28.5703125" style="18" bestFit="1" customWidth="1"/>
    <col min="138" max="138" width="8.7109375" style="7" customWidth="1"/>
    <col min="139" max="139" width="13.85546875" style="7" bestFit="1" customWidth="1"/>
    <col min="140" max="140" width="7" style="7" bestFit="1" customWidth="1"/>
    <col min="141" max="141" width="8.85546875" style="7" bestFit="1" customWidth="1"/>
    <col min="142" max="142" width="9.140625" style="18"/>
    <col min="143" max="143" width="10.42578125" style="18" bestFit="1" customWidth="1"/>
    <col min="144" max="152" width="9.140625" style="18"/>
    <col min="153" max="153" width="14.28515625" style="18" bestFit="1" customWidth="1"/>
    <col min="154" max="154" width="15" style="18" bestFit="1" customWidth="1"/>
    <col min="155" max="155" width="9.140625" style="18"/>
    <col min="156" max="156" width="10.5703125" style="18" bestFit="1" customWidth="1"/>
    <col min="157" max="157" width="15" style="18" bestFit="1" customWidth="1"/>
    <col min="158" max="158" width="9.140625" style="18"/>
    <col min="159" max="159" width="14.28515625" style="18" bestFit="1" customWidth="1"/>
    <col min="160" max="160" width="21.7109375" style="18" bestFit="1" customWidth="1"/>
    <col min="161" max="162" width="9.140625" style="18"/>
    <col min="163" max="163" width="14.28515625" style="18" bestFit="1" customWidth="1"/>
    <col min="164" max="164" width="18.85546875" style="18" bestFit="1" customWidth="1"/>
    <col min="165" max="165" width="9.140625" style="18"/>
    <col min="166" max="166" width="10.42578125" style="18" bestFit="1" customWidth="1"/>
    <col min="167" max="16384" width="9.140625" style="18"/>
  </cols>
  <sheetData>
    <row r="1" spans="3:166" ht="18" customHeight="1" x14ac:dyDescent="0.25">
      <c r="BA1" s="41" t="s">
        <v>97</v>
      </c>
      <c r="EB1" s="88" t="s">
        <v>110</v>
      </c>
    </row>
    <row r="3" spans="3:166" ht="15" x14ac:dyDescent="0.25">
      <c r="CZ3" s="82" t="s">
        <v>99</v>
      </c>
      <c r="DA3" s="82" t="s">
        <v>95</v>
      </c>
      <c r="DB3"/>
      <c r="DC3" s="84" t="s">
        <v>101</v>
      </c>
      <c r="DD3" s="84" t="s">
        <v>10</v>
      </c>
      <c r="DF3" s="84" t="s">
        <v>109</v>
      </c>
      <c r="ED3" s="38" t="s">
        <v>78</v>
      </c>
      <c r="EE3" t="s">
        <v>111</v>
      </c>
      <c r="EF3"/>
      <c r="EH3" s="91" t="s">
        <v>114</v>
      </c>
      <c r="EI3" s="91" t="s">
        <v>115</v>
      </c>
      <c r="EJ3" s="91" t="s">
        <v>116</v>
      </c>
      <c r="EK3" s="91" t="s">
        <v>90</v>
      </c>
      <c r="EM3" s="91" t="s">
        <v>117</v>
      </c>
    </row>
    <row r="4" spans="3:166" ht="15" x14ac:dyDescent="0.25">
      <c r="BB4" s="38" t="s">
        <v>78</v>
      </c>
      <c r="BC4" t="s">
        <v>95</v>
      </c>
      <c r="BD4" t="s">
        <v>96</v>
      </c>
      <c r="BE4"/>
      <c r="BF4"/>
      <c r="BG4" s="66" t="s">
        <v>102</v>
      </c>
      <c r="BH4" s="47"/>
      <c r="BI4" s="66" t="s">
        <v>103</v>
      </c>
      <c r="BJ4" s="47"/>
      <c r="BK4"/>
      <c r="BL4"/>
      <c r="BM4"/>
      <c r="BU4" t="s">
        <v>95</v>
      </c>
      <c r="BV4" t="s">
        <v>99</v>
      </c>
      <c r="BW4"/>
      <c r="BX4" s="49" t="s">
        <v>100</v>
      </c>
      <c r="BY4" s="50" t="s">
        <v>101</v>
      </c>
      <c r="CB4" s="49" t="s">
        <v>82</v>
      </c>
      <c r="CC4" s="50" t="s">
        <v>83</v>
      </c>
      <c r="CE4" s="47" t="s">
        <v>104</v>
      </c>
      <c r="CF4" s="47" t="s">
        <v>105</v>
      </c>
      <c r="CG4" s="47" t="s">
        <v>106</v>
      </c>
      <c r="CH4" s="47" t="s">
        <v>107</v>
      </c>
      <c r="CI4" s="81">
        <v>1</v>
      </c>
      <c r="CZ4" s="83">
        <v>1741072.229999997</v>
      </c>
      <c r="DA4" s="83">
        <v>1252013</v>
      </c>
      <c r="DB4"/>
      <c r="DC4" s="86">
        <f>GETPIVOTDATA("Sum of Amount",$CZ$3)/GETPIVOTDATA("Sum of Target",$CZ$3)</f>
        <v>0.71910457155473795</v>
      </c>
      <c r="DD4" s="87">
        <f>100%-DC4</f>
        <v>0.28089542844526205</v>
      </c>
      <c r="DF4" s="85">
        <f>DD4</f>
        <v>0.28089542844526205</v>
      </c>
      <c r="ED4" s="8" t="s">
        <v>72</v>
      </c>
      <c r="EE4">
        <v>256</v>
      </c>
      <c r="EF4"/>
      <c r="EG4" s="89" t="s">
        <v>72</v>
      </c>
      <c r="EH4" s="92" t="str">
        <f>IF(EG4=$ED$4,"│"," ")</f>
        <v>│</v>
      </c>
      <c r="EI4" s="93" t="str">
        <f>IF(EG4=$ED$4,"○","")</f>
        <v>○</v>
      </c>
      <c r="EJ4" s="93" t="str">
        <f>IF(EG4=$ED$4,"","●")</f>
        <v/>
      </c>
      <c r="EK4" s="93">
        <f>VLOOKUP(EG4,ED:EE,2,0)</f>
        <v>256</v>
      </c>
      <c r="EM4" s="94">
        <f>SUM(EK4:EK5)</f>
        <v>384</v>
      </c>
      <c r="EW4" s="38" t="s">
        <v>78</v>
      </c>
      <c r="EX4" t="s">
        <v>95</v>
      </c>
      <c r="FC4" s="38" t="s">
        <v>78</v>
      </c>
      <c r="FD4" t="s">
        <v>118</v>
      </c>
      <c r="FG4" s="38" t="s">
        <v>78</v>
      </c>
      <c r="FH4" t="s">
        <v>119</v>
      </c>
      <c r="FI4"/>
    </row>
    <row r="5" spans="3:166" ht="21" x14ac:dyDescent="0.5">
      <c r="BB5" s="103" t="s">
        <v>31</v>
      </c>
      <c r="BC5" s="101">
        <v>190380</v>
      </c>
      <c r="BD5" s="102">
        <v>0.29544495207826388</v>
      </c>
      <c r="BE5" s="62"/>
      <c r="BF5" s="63" t="s">
        <v>31</v>
      </c>
      <c r="BG5" s="67" t="str">
        <f>IF(BF5=$BB$5,"•","")</f>
        <v>•</v>
      </c>
      <c r="BH5" s="70" t="str">
        <f>IF(BF5=$BB$5,"•","")</f>
        <v>•</v>
      </c>
      <c r="BI5" s="73" t="str">
        <f>IF(BF5=$BB$5,"","•")</f>
        <v/>
      </c>
      <c r="BJ5" s="76" t="str">
        <f>IF(BF5=$BB$5,"","•")</f>
        <v/>
      </c>
      <c r="BK5" s="40"/>
      <c r="BL5" s="40"/>
      <c r="BM5" s="40"/>
      <c r="BO5" s="47" t="s">
        <v>98</v>
      </c>
      <c r="BQ5" s="43" t="s">
        <v>31</v>
      </c>
      <c r="BR5" s="58">
        <f>IFERROR(VLOOKUP(BQ5,$BB:$BD,3,0)," ")</f>
        <v>0.29544495207826388</v>
      </c>
      <c r="BS5" s="59">
        <f>IFERROR(VLOOKUP(BQ5,BB:BC,2,0)," ")</f>
        <v>190380</v>
      </c>
      <c r="BU5" s="39">
        <v>644384</v>
      </c>
      <c r="BV5" s="39">
        <v>880249.08000000007</v>
      </c>
      <c r="BW5"/>
      <c r="BX5" s="51">
        <f>100%-BY5</f>
        <v>0.26795265721834105</v>
      </c>
      <c r="BY5" s="45">
        <f>GETPIVOTDATA("Sum of Amount",$BU$4)/GETPIVOTDATA("Sum of Target",$BU$4)</f>
        <v>0.73204734278165895</v>
      </c>
      <c r="CB5" s="52">
        <v>0</v>
      </c>
      <c r="CC5" s="53">
        <v>1</v>
      </c>
      <c r="CE5" s="79">
        <v>9.1999999999999998E-2</v>
      </c>
      <c r="CF5" s="79">
        <v>7.3999999999999996E-2</v>
      </c>
      <c r="CG5" s="79">
        <v>6.2E-2</v>
      </c>
      <c r="CH5" s="79">
        <f>SUM(CE5:CG5)</f>
        <v>0.22799999999999998</v>
      </c>
      <c r="CI5" s="79">
        <f>100%-CH5</f>
        <v>0.77200000000000002</v>
      </c>
      <c r="CZ5"/>
      <c r="DA5"/>
      <c r="DB5"/>
      <c r="DF5" s="85">
        <f>DC4</f>
        <v>0.71910457155473795</v>
      </c>
      <c r="ED5" s="8" t="s">
        <v>21</v>
      </c>
      <c r="EE5">
        <v>128</v>
      </c>
      <c r="EF5"/>
      <c r="EG5" s="90" t="s">
        <v>21</v>
      </c>
      <c r="EH5" s="92" t="str">
        <f>IF(EG5=$ED$4,"│"," ")</f>
        <v xml:space="preserve"> </v>
      </c>
      <c r="EI5" s="93" t="str">
        <f>IF(EG5=$ED$4,"○","")</f>
        <v/>
      </c>
      <c r="EJ5" s="93" t="str">
        <f>IF(EG5=$ED$4,"","●")</f>
        <v>●</v>
      </c>
      <c r="EK5" s="93">
        <f>VLOOKUP(EG5,ED:EE,2,0)</f>
        <v>128</v>
      </c>
      <c r="EW5" s="8" t="s">
        <v>76</v>
      </c>
      <c r="EX5" s="83">
        <v>51804</v>
      </c>
      <c r="EZ5" s="43" t="s">
        <v>76</v>
      </c>
      <c r="FA5" s="95">
        <f>VLOOKUP(EZ5,$EW$5:$EX$7,2,0)</f>
        <v>51804</v>
      </c>
      <c r="FC5" s="8" t="s">
        <v>76</v>
      </c>
      <c r="FD5" s="83">
        <v>128</v>
      </c>
      <c r="FG5" s="8" t="s">
        <v>25</v>
      </c>
      <c r="FH5" s="98">
        <v>0.66666666666666663</v>
      </c>
      <c r="FI5"/>
      <c r="FJ5" s="100" t="s">
        <v>73</v>
      </c>
    </row>
    <row r="6" spans="3:166" ht="21" x14ac:dyDescent="0.5">
      <c r="C6" s="105" t="s">
        <v>78</v>
      </c>
      <c r="D6" s="18" t="s">
        <v>80</v>
      </c>
      <c r="E6" s="18" t="s">
        <v>88</v>
      </c>
      <c r="F6" s="18" t="s">
        <v>89</v>
      </c>
      <c r="I6" s="21" t="s">
        <v>82</v>
      </c>
      <c r="J6" s="21" t="s">
        <v>83</v>
      </c>
      <c r="K6" s="21" t="s">
        <v>9</v>
      </c>
      <c r="L6" s="21" t="s">
        <v>84</v>
      </c>
      <c r="M6" s="21" t="s">
        <v>85</v>
      </c>
      <c r="N6" s="21" t="s">
        <v>90</v>
      </c>
      <c r="O6" s="21" t="s">
        <v>91</v>
      </c>
      <c r="Q6" s="18" t="s">
        <v>80</v>
      </c>
      <c r="R6" s="18" t="s">
        <v>86</v>
      </c>
      <c r="S6"/>
      <c r="T6" s="24" t="s">
        <v>87</v>
      </c>
      <c r="U6" s="21" t="s">
        <v>10</v>
      </c>
      <c r="X6" s="105" t="s">
        <v>78</v>
      </c>
      <c r="Y6" s="18" t="s">
        <v>80</v>
      </c>
      <c r="Z6" s="18" t="s">
        <v>81</v>
      </c>
      <c r="AB6" s="21" t="s">
        <v>92</v>
      </c>
      <c r="AE6" s="105" t="s">
        <v>78</v>
      </c>
      <c r="AF6" s="18" t="s">
        <v>93</v>
      </c>
      <c r="AG6"/>
      <c r="AH6" s="21" t="s">
        <v>94</v>
      </c>
      <c r="AK6" s="105" t="s">
        <v>78</v>
      </c>
      <c r="AL6" s="18" t="s">
        <v>80</v>
      </c>
      <c r="AM6" s="18" t="s">
        <v>81</v>
      </c>
      <c r="AO6"/>
      <c r="AT6" s="105" t="s">
        <v>78</v>
      </c>
      <c r="AU6" s="18" t="s">
        <v>80</v>
      </c>
      <c r="AV6" s="18" t="s">
        <v>81</v>
      </c>
      <c r="BB6" s="103" t="s">
        <v>38</v>
      </c>
      <c r="BC6" s="101">
        <v>112620</v>
      </c>
      <c r="BD6" s="102">
        <v>0.17477156478124845</v>
      </c>
      <c r="BE6" s="62"/>
      <c r="BF6" s="64" t="s">
        <v>33</v>
      </c>
      <c r="BG6" s="68" t="str">
        <f t="shared" ref="BG6:BG10" si="0">IF(BF6=$BB$5,"•","")</f>
        <v/>
      </c>
      <c r="BH6" s="71" t="str">
        <f t="shared" ref="BH6:BH10" si="1">IF(BF6=$BB$5,"•","")</f>
        <v/>
      </c>
      <c r="BI6" s="74" t="str">
        <f t="shared" ref="BI6:BI10" si="2">IF(BF6=$BB$5,"","•")</f>
        <v>•</v>
      </c>
      <c r="BJ6" s="77" t="str">
        <f t="shared" ref="BJ6:BJ10" si="3">IF(BF6=$BB$5,"","•")</f>
        <v>•</v>
      </c>
      <c r="BK6" s="40" t="s">
        <v>77</v>
      </c>
      <c r="BL6" s="40"/>
      <c r="BM6" s="40"/>
      <c r="BO6" s="42">
        <f>GETPIVOTDATA("Sum of Amount",$BB$4)</f>
        <v>644384</v>
      </c>
      <c r="BQ6" s="44" t="s">
        <v>33</v>
      </c>
      <c r="BR6" s="57">
        <f t="shared" ref="BR6:BR10" si="4">IFERROR(VLOOKUP(BQ6,$BB:$BD,3,0)," ")</f>
        <v>0.17061255400506531</v>
      </c>
      <c r="BS6" s="60">
        <f t="shared" ref="BS6:BS10" si="5">IFERROR(VLOOKUP(BQ6,BB:BC,2,0)," ")</f>
        <v>109940</v>
      </c>
      <c r="BU6"/>
      <c r="BV6"/>
      <c r="BW6"/>
      <c r="CB6" s="54">
        <f>SIN(BX5*2*PI())</f>
        <v>0.99364483721177543</v>
      </c>
      <c r="CC6" s="55">
        <f>COS(BY5*2*PI())</f>
        <v>-0.11256081681644099</v>
      </c>
      <c r="CE6" s="80">
        <f>CE5*$BO$6</f>
        <v>59283.328000000001</v>
      </c>
      <c r="CF6" s="80">
        <f t="shared" ref="CF6:CH6" si="6">CF5*$BO$6</f>
        <v>47684.415999999997</v>
      </c>
      <c r="CG6" s="80">
        <f t="shared" si="6"/>
        <v>39951.807999999997</v>
      </c>
      <c r="CH6" s="80">
        <f t="shared" si="6"/>
        <v>146919.552</v>
      </c>
      <c r="CZ6"/>
      <c r="DA6"/>
      <c r="DB6"/>
      <c r="ED6"/>
      <c r="EE6"/>
      <c r="EF6"/>
      <c r="EW6" s="8" t="s">
        <v>35</v>
      </c>
      <c r="EX6" s="83">
        <v>55489</v>
      </c>
      <c r="EZ6" s="44" t="s">
        <v>35</v>
      </c>
      <c r="FA6" s="96">
        <f>VLOOKUP(EZ6,$EW$5:$EX$7,2,0)</f>
        <v>55489</v>
      </c>
      <c r="FC6" s="8" t="s">
        <v>35</v>
      </c>
      <c r="FD6" s="83">
        <v>128</v>
      </c>
      <c r="FG6" s="8" t="s">
        <v>73</v>
      </c>
      <c r="FH6" s="98">
        <v>0.33333333333333331</v>
      </c>
      <c r="FI6"/>
      <c r="FJ6" s="99">
        <f>GETPIVOTDATA("Sale Status",$FG$4,"Sale Status","Refunded")</f>
        <v>0.33333333333333331</v>
      </c>
    </row>
    <row r="7" spans="3:166" s="20" customFormat="1" ht="21" x14ac:dyDescent="0.5">
      <c r="C7" s="108" t="s">
        <v>43</v>
      </c>
      <c r="D7" s="19">
        <v>170716</v>
      </c>
      <c r="E7" s="19">
        <v>11856</v>
      </c>
      <c r="F7" s="107">
        <v>0.10118631048903302</v>
      </c>
      <c r="H7" s="20" t="s">
        <v>43</v>
      </c>
      <c r="I7" s="22">
        <v>1</v>
      </c>
      <c r="J7" s="22">
        <v>3</v>
      </c>
      <c r="K7" s="23">
        <f t="shared" ref="K7:K10" si="7">VLOOKUP(H7,$C$7:$E$12,2,0)</f>
        <v>170716</v>
      </c>
      <c r="L7" s="23" t="str">
        <f t="shared" ref="L7:L12" si="8">IF(K7=MAX($K$7:$K$12),K7," ")</f>
        <v xml:space="preserve"> </v>
      </c>
      <c r="M7" s="23">
        <f t="shared" ref="M7:M12" si="9">IF(K7=MAX($K$7:$K$12)," ",K7)</f>
        <v>170716</v>
      </c>
      <c r="N7" s="23">
        <f t="shared" ref="N7:N10" si="10">VLOOKUP(H7,$C$6:$F$12,3,0)</f>
        <v>11856</v>
      </c>
      <c r="O7" s="25">
        <f t="shared" ref="O7:O10" si="11">VLOOKUP(H7,$C$6:$F$12,4,0)</f>
        <v>0.10118631048903302</v>
      </c>
      <c r="Q7" s="19">
        <v>821612.45000000019</v>
      </c>
      <c r="R7" s="19">
        <v>898931.71200000006</v>
      </c>
      <c r="S7"/>
      <c r="T7" s="25">
        <f>GETPIVOTDATA("Sum of Income",$Q$6)/GETPIVOTDATA("Sum of Target Income",$Q$6)</f>
        <v>0.91398761333274681</v>
      </c>
      <c r="U7" s="25">
        <f>100%-T7</f>
        <v>8.6012386667253193E-2</v>
      </c>
      <c r="X7" s="106" t="s">
        <v>27</v>
      </c>
      <c r="Y7" s="19">
        <v>84834.150000000009</v>
      </c>
      <c r="Z7" s="19">
        <v>84834.150000000009</v>
      </c>
      <c r="AB7" s="19">
        <f>IFERROR(AVERAGE(Y7:Y18)," ")</f>
        <v>68467.704166666677</v>
      </c>
      <c r="AE7" s="106" t="s">
        <v>27</v>
      </c>
      <c r="AF7" s="19">
        <v>16966.830000000002</v>
      </c>
      <c r="AG7"/>
      <c r="AH7" s="23">
        <f>IFERROR(GETPIVOTDATA("operating profit",$AE$6)," ")</f>
        <v>164322.48999999996</v>
      </c>
      <c r="AK7" s="106" t="s">
        <v>30</v>
      </c>
      <c r="AL7" s="19">
        <v>493010.04999999993</v>
      </c>
      <c r="AM7" s="107">
        <v>0.60005182492061793</v>
      </c>
      <c r="AO7" s="27" t="s">
        <v>30</v>
      </c>
      <c r="AP7" s="28">
        <f>IFERROR(AL7," ")</f>
        <v>493010.04999999993</v>
      </c>
      <c r="AQ7" s="29">
        <f>IFERROR(AM7," ")</f>
        <v>0.60005182492061793</v>
      </c>
      <c r="AT7" s="106" t="s">
        <v>43</v>
      </c>
      <c r="AU7" s="19">
        <v>170716</v>
      </c>
      <c r="AV7" s="107">
        <v>0.20778166153640931</v>
      </c>
      <c r="AX7" s="20" t="s">
        <v>43</v>
      </c>
      <c r="AY7" s="33">
        <f>VLOOKUP(AX7,$AT:$AV,2,0)</f>
        <v>170716</v>
      </c>
      <c r="AZ7" s="34">
        <f>VLOOKUP(AX7,$AT:$AV,3,0)</f>
        <v>0.20778166153640931</v>
      </c>
      <c r="BB7" s="103" t="s">
        <v>33</v>
      </c>
      <c r="BC7" s="101">
        <v>109940</v>
      </c>
      <c r="BD7" s="102">
        <v>0.17061255400506531</v>
      </c>
      <c r="BE7" s="62"/>
      <c r="BF7" s="64" t="s">
        <v>38</v>
      </c>
      <c r="BG7" s="68" t="str">
        <f t="shared" si="0"/>
        <v/>
      </c>
      <c r="BH7" s="71" t="str">
        <f t="shared" si="1"/>
        <v/>
      </c>
      <c r="BI7" s="74" t="str">
        <f t="shared" si="2"/>
        <v>•</v>
      </c>
      <c r="BJ7" s="77" t="str">
        <f t="shared" si="3"/>
        <v>•</v>
      </c>
      <c r="BK7" s="40"/>
      <c r="BL7" s="40"/>
      <c r="BM7" s="40"/>
      <c r="BQ7" s="44" t="s">
        <v>38</v>
      </c>
      <c r="BR7" s="57">
        <f t="shared" si="4"/>
        <v>0.17477156478124845</v>
      </c>
      <c r="BS7" s="60">
        <f t="shared" si="5"/>
        <v>112620</v>
      </c>
      <c r="BU7"/>
      <c r="BV7"/>
      <c r="BW7"/>
      <c r="CZ7"/>
      <c r="DA7"/>
      <c r="DB7"/>
      <c r="DC7" s="22"/>
      <c r="DD7" s="22"/>
      <c r="EE7"/>
      <c r="EF7"/>
      <c r="EH7" s="22"/>
      <c r="EI7" s="22"/>
      <c r="EJ7" s="22"/>
      <c r="EK7" s="22"/>
      <c r="EV7" s="18"/>
      <c r="EW7" s="8" t="s">
        <v>26</v>
      </c>
      <c r="EX7" s="83">
        <v>53803</v>
      </c>
      <c r="EY7" s="18"/>
      <c r="EZ7" s="46" t="s">
        <v>26</v>
      </c>
      <c r="FA7" s="97">
        <f>VLOOKUP(EZ7,$EW$5:$EX$7,2,0)</f>
        <v>53803</v>
      </c>
      <c r="FB7" s="18"/>
      <c r="FC7" s="8" t="s">
        <v>26</v>
      </c>
      <c r="FD7" s="83">
        <v>128</v>
      </c>
      <c r="FG7" s="8" t="s">
        <v>79</v>
      </c>
      <c r="FH7" s="40">
        <v>1</v>
      </c>
      <c r="FI7"/>
    </row>
    <row r="8" spans="3:166" s="20" customFormat="1" ht="21" x14ac:dyDescent="0.5">
      <c r="C8" s="108" t="s">
        <v>39</v>
      </c>
      <c r="D8" s="19">
        <v>126275.04000000004</v>
      </c>
      <c r="E8" s="19">
        <v>13188</v>
      </c>
      <c r="F8" s="107">
        <v>0.11255440812494666</v>
      </c>
      <c r="H8" s="20" t="s">
        <v>39</v>
      </c>
      <c r="I8" s="22">
        <v>7</v>
      </c>
      <c r="J8" s="22">
        <v>2</v>
      </c>
      <c r="K8" s="23">
        <f t="shared" si="7"/>
        <v>126275.04000000004</v>
      </c>
      <c r="L8" s="23" t="str">
        <f t="shared" si="8"/>
        <v xml:space="preserve"> </v>
      </c>
      <c r="M8" s="23">
        <f t="shared" si="9"/>
        <v>126275.04000000004</v>
      </c>
      <c r="N8" s="23">
        <f t="shared" si="10"/>
        <v>13188</v>
      </c>
      <c r="O8" s="25">
        <f t="shared" si="11"/>
        <v>0.11255440812494666</v>
      </c>
      <c r="Q8"/>
      <c r="R8"/>
      <c r="S8"/>
      <c r="T8" s="25"/>
      <c r="X8" s="106" t="s">
        <v>59</v>
      </c>
      <c r="Y8" s="19">
        <v>69174.600000000006</v>
      </c>
      <c r="Z8" s="19">
        <v>69174.600000000006</v>
      </c>
      <c r="AE8" s="106" t="s">
        <v>59</v>
      </c>
      <c r="AF8" s="19">
        <v>13834.920000000002</v>
      </c>
      <c r="AG8"/>
      <c r="AK8" s="106" t="s">
        <v>63</v>
      </c>
      <c r="AL8" s="19">
        <v>328602.39999999997</v>
      </c>
      <c r="AM8" s="107">
        <v>0.39994817507938202</v>
      </c>
      <c r="AO8" s="30" t="s">
        <v>63</v>
      </c>
      <c r="AP8" s="31">
        <f>IFERROR(AL8," ")</f>
        <v>328602.39999999997</v>
      </c>
      <c r="AQ8" s="32">
        <f>IFERROR(AM8," ")</f>
        <v>0.39994817507938202</v>
      </c>
      <c r="AT8" s="109" t="s">
        <v>48</v>
      </c>
      <c r="AU8" s="19">
        <v>86016</v>
      </c>
      <c r="AV8" s="107">
        <v>0.10469169497127265</v>
      </c>
      <c r="AX8" s="20" t="s">
        <v>48</v>
      </c>
      <c r="AY8" s="33">
        <f t="shared" ref="AY8:AY27" si="12">VLOOKUP(AX8,$AT:$AV,2,0)</f>
        <v>86016</v>
      </c>
      <c r="AZ8" s="34">
        <f t="shared" ref="AZ8:AZ27" si="13">VLOOKUP(AX8,$AT:$AV,3,0)</f>
        <v>0.10469169497127265</v>
      </c>
      <c r="BB8" s="103" t="s">
        <v>41</v>
      </c>
      <c r="BC8" s="101">
        <v>106948</v>
      </c>
      <c r="BD8" s="102">
        <v>0.1659693598847892</v>
      </c>
      <c r="BE8" s="62"/>
      <c r="BF8" s="64" t="s">
        <v>41</v>
      </c>
      <c r="BG8" s="68" t="str">
        <f t="shared" si="0"/>
        <v/>
      </c>
      <c r="BH8" s="71" t="str">
        <f t="shared" si="1"/>
        <v/>
      </c>
      <c r="BI8" s="74" t="str">
        <f t="shared" si="2"/>
        <v>•</v>
      </c>
      <c r="BJ8" s="77" t="str">
        <f t="shared" si="3"/>
        <v>•</v>
      </c>
      <c r="BK8" s="40"/>
      <c r="BL8" s="40"/>
      <c r="BM8" s="40"/>
      <c r="BQ8" s="44" t="s">
        <v>41</v>
      </c>
      <c r="BR8" s="57">
        <f t="shared" si="4"/>
        <v>0.1659693598847892</v>
      </c>
      <c r="BS8" s="60">
        <f t="shared" si="5"/>
        <v>106948</v>
      </c>
      <c r="BU8"/>
      <c r="BV8"/>
      <c r="BW8"/>
      <c r="CZ8"/>
      <c r="DA8"/>
      <c r="DB8"/>
      <c r="DC8" s="84" t="s">
        <v>82</v>
      </c>
      <c r="DD8" s="84" t="s">
        <v>83</v>
      </c>
      <c r="ED8"/>
      <c r="EE8"/>
      <c r="EF8"/>
      <c r="EH8" s="22"/>
      <c r="EI8" s="22"/>
      <c r="EJ8" s="22"/>
      <c r="EK8" s="22"/>
      <c r="EW8" s="8" t="s">
        <v>79</v>
      </c>
      <c r="EX8" s="83">
        <v>161096</v>
      </c>
      <c r="FA8" s="104">
        <f>SUM(FA5:FA7)</f>
        <v>161096</v>
      </c>
      <c r="FC8" s="8" t="s">
        <v>79</v>
      </c>
      <c r="FD8" s="83">
        <v>384</v>
      </c>
      <c r="FG8"/>
      <c r="FH8"/>
      <c r="FI8"/>
    </row>
    <row r="9" spans="3:166" s="20" customFormat="1" ht="21" x14ac:dyDescent="0.5">
      <c r="C9" s="108" t="s">
        <v>36</v>
      </c>
      <c r="D9" s="19">
        <v>65962.609999999986</v>
      </c>
      <c r="E9" s="19">
        <v>16488</v>
      </c>
      <c r="F9" s="107">
        <v>0.14071861397968763</v>
      </c>
      <c r="H9" s="20" t="s">
        <v>36</v>
      </c>
      <c r="I9" s="22">
        <v>4</v>
      </c>
      <c r="J9" s="22">
        <v>1</v>
      </c>
      <c r="K9" s="23">
        <f t="shared" si="7"/>
        <v>65962.609999999986</v>
      </c>
      <c r="L9" s="20" t="str">
        <f t="shared" si="8"/>
        <v xml:space="preserve"> </v>
      </c>
      <c r="M9" s="23">
        <f t="shared" si="9"/>
        <v>65962.609999999986</v>
      </c>
      <c r="N9" s="23">
        <f t="shared" si="10"/>
        <v>16488</v>
      </c>
      <c r="O9" s="25">
        <f t="shared" si="11"/>
        <v>0.14071861397968763</v>
      </c>
      <c r="Q9"/>
      <c r="R9"/>
      <c r="S9"/>
      <c r="T9" s="25"/>
      <c r="X9" s="106" t="s">
        <v>62</v>
      </c>
      <c r="Y9" s="19">
        <v>65640.5</v>
      </c>
      <c r="Z9" s="19">
        <v>65640.5</v>
      </c>
      <c r="AE9" s="106" t="s">
        <v>62</v>
      </c>
      <c r="AF9" s="19">
        <v>13128.1</v>
      </c>
      <c r="AG9"/>
      <c r="AK9" s="108" t="s">
        <v>79</v>
      </c>
      <c r="AL9" s="19">
        <v>821612.45</v>
      </c>
      <c r="AM9" s="107">
        <v>1</v>
      </c>
      <c r="AT9" s="109" t="s">
        <v>44</v>
      </c>
      <c r="AU9" s="19">
        <v>84700</v>
      </c>
      <c r="AV9" s="107">
        <v>0.10308996656513665</v>
      </c>
      <c r="AX9" s="20" t="s">
        <v>44</v>
      </c>
      <c r="AY9" s="33">
        <f t="shared" si="12"/>
        <v>84700</v>
      </c>
      <c r="AZ9" s="34">
        <f t="shared" si="13"/>
        <v>0.10308996656513665</v>
      </c>
      <c r="BB9" s="103" t="s">
        <v>47</v>
      </c>
      <c r="BC9" s="101">
        <v>62256</v>
      </c>
      <c r="BD9" s="102">
        <v>9.6613199582857426E-2</v>
      </c>
      <c r="BE9" s="62"/>
      <c r="BF9" s="64" t="s">
        <v>47</v>
      </c>
      <c r="BG9" s="68" t="str">
        <f t="shared" si="0"/>
        <v/>
      </c>
      <c r="BH9" s="71" t="str">
        <f t="shared" si="1"/>
        <v/>
      </c>
      <c r="BI9" s="74" t="str">
        <f t="shared" si="2"/>
        <v>•</v>
      </c>
      <c r="BJ9" s="77" t="str">
        <f t="shared" si="3"/>
        <v>•</v>
      </c>
      <c r="BK9" s="40"/>
      <c r="BL9" s="40"/>
      <c r="BM9" s="40"/>
      <c r="BQ9" s="44" t="s">
        <v>47</v>
      </c>
      <c r="BR9" s="57">
        <f t="shared" si="4"/>
        <v>9.6613199582857426E-2</v>
      </c>
      <c r="BS9" s="60">
        <f t="shared" si="5"/>
        <v>62256</v>
      </c>
      <c r="BU9"/>
      <c r="BV9"/>
      <c r="BW9"/>
      <c r="CZ9"/>
      <c r="DA9"/>
      <c r="DB9"/>
      <c r="DC9" s="22">
        <v>0</v>
      </c>
      <c r="DD9" s="22">
        <v>1</v>
      </c>
      <c r="ED9" s="38" t="s">
        <v>78</v>
      </c>
      <c r="EE9" t="s">
        <v>112</v>
      </c>
      <c r="EF9"/>
      <c r="EH9" s="91" t="s">
        <v>114</v>
      </c>
      <c r="EI9" s="91" t="s">
        <v>115</v>
      </c>
      <c r="EJ9" s="91" t="s">
        <v>116</v>
      </c>
      <c r="EK9" s="91" t="s">
        <v>90</v>
      </c>
      <c r="FG9"/>
      <c r="FH9"/>
      <c r="FI9"/>
    </row>
    <row r="10" spans="3:166" s="20" customFormat="1" ht="21" x14ac:dyDescent="0.5">
      <c r="C10" s="108" t="s">
        <v>28</v>
      </c>
      <c r="D10" s="19">
        <v>154700.79</v>
      </c>
      <c r="E10" s="19">
        <v>72768</v>
      </c>
      <c r="F10" s="107">
        <v>0.62104634292054284</v>
      </c>
      <c r="H10" s="20" t="s">
        <v>28</v>
      </c>
      <c r="I10" s="22">
        <v>2</v>
      </c>
      <c r="J10" s="22">
        <v>8</v>
      </c>
      <c r="K10" s="23">
        <f t="shared" si="7"/>
        <v>154700.79</v>
      </c>
      <c r="L10" s="20" t="str">
        <f t="shared" si="8"/>
        <v xml:space="preserve"> </v>
      </c>
      <c r="M10" s="23">
        <f t="shared" si="9"/>
        <v>154700.79</v>
      </c>
      <c r="N10" s="23">
        <f t="shared" si="10"/>
        <v>72768</v>
      </c>
      <c r="O10" s="25">
        <f t="shared" si="11"/>
        <v>0.62104634292054284</v>
      </c>
      <c r="Q10"/>
      <c r="R10"/>
      <c r="S10"/>
      <c r="T10" s="25"/>
      <c r="X10" s="106" t="s">
        <v>20</v>
      </c>
      <c r="Y10" s="19">
        <v>66884.800000000003</v>
      </c>
      <c r="Z10" s="19">
        <v>66884.800000000003</v>
      </c>
      <c r="AE10" s="106" t="s">
        <v>20</v>
      </c>
      <c r="AF10" s="19">
        <v>13376.96</v>
      </c>
      <c r="AG10"/>
      <c r="AK10"/>
      <c r="AL10"/>
      <c r="AM10"/>
      <c r="AT10" s="106" t="s">
        <v>39</v>
      </c>
      <c r="AU10" s="19">
        <v>126275.04</v>
      </c>
      <c r="AV10" s="107">
        <v>0.15369173142398221</v>
      </c>
      <c r="AX10" s="20" t="s">
        <v>39</v>
      </c>
      <c r="AY10" s="33">
        <f t="shared" si="12"/>
        <v>126275.04</v>
      </c>
      <c r="AZ10" s="34">
        <f t="shared" si="13"/>
        <v>0.15369173142398221</v>
      </c>
      <c r="BB10" s="103" t="s">
        <v>45</v>
      </c>
      <c r="BC10" s="101">
        <v>62240</v>
      </c>
      <c r="BD10" s="102">
        <v>9.6588369667775731E-2</v>
      </c>
      <c r="BE10" s="62"/>
      <c r="BF10" s="65" t="s">
        <v>45</v>
      </c>
      <c r="BG10" s="69" t="str">
        <f t="shared" si="0"/>
        <v/>
      </c>
      <c r="BH10" s="72" t="str">
        <f t="shared" si="1"/>
        <v/>
      </c>
      <c r="BI10" s="75" t="str">
        <f t="shared" si="2"/>
        <v>•</v>
      </c>
      <c r="BJ10" s="78" t="str">
        <f t="shared" si="3"/>
        <v>•</v>
      </c>
      <c r="BK10" s="40"/>
      <c r="BL10" s="40"/>
      <c r="BM10" s="40"/>
      <c r="BQ10" s="46" t="s">
        <v>45</v>
      </c>
      <c r="BR10" s="48">
        <f t="shared" si="4"/>
        <v>9.6588369667775731E-2</v>
      </c>
      <c r="BS10" s="61">
        <f t="shared" si="5"/>
        <v>62240</v>
      </c>
      <c r="BU10"/>
      <c r="BV10"/>
      <c r="BW10"/>
      <c r="CZ10"/>
      <c r="DA10"/>
      <c r="DB10"/>
      <c r="DC10" s="22">
        <f>SIN(DC4*2*PI())</f>
        <v>-0.98121747588135366</v>
      </c>
      <c r="DD10" s="22">
        <f>COS(DD4*2*PI())</f>
        <v>-0.19290480819571401</v>
      </c>
      <c r="ED10" s="8" t="s">
        <v>22</v>
      </c>
      <c r="EE10">
        <v>256</v>
      </c>
      <c r="EF10"/>
      <c r="EG10" s="89" t="s">
        <v>74</v>
      </c>
      <c r="EH10" s="92" t="str">
        <f>IF(EG10=$ED$11,"│"," ")</f>
        <v>│</v>
      </c>
      <c r="EI10" s="93" t="str">
        <f>IF(EG10=$ED$11,"○","")</f>
        <v>○</v>
      </c>
      <c r="EJ10" s="93" t="str">
        <f>IF(EG10=$ED$11,"","●")</f>
        <v/>
      </c>
      <c r="EK10" s="93">
        <f>VLOOKUP(EG10,ED:EE,2,0)</f>
        <v>128</v>
      </c>
      <c r="FG10"/>
      <c r="FH10"/>
      <c r="FI10"/>
    </row>
    <row r="11" spans="3:166" s="20" customFormat="1" ht="21" x14ac:dyDescent="0.5">
      <c r="C11" s="108" t="s">
        <v>57</v>
      </c>
      <c r="D11" s="19">
        <v>79860</v>
      </c>
      <c r="E11" s="19">
        <v>26</v>
      </c>
      <c r="F11" s="107">
        <v>2.218998037040198E-4</v>
      </c>
      <c r="H11" s="20" t="s">
        <v>57</v>
      </c>
      <c r="I11" s="22">
        <v>6</v>
      </c>
      <c r="J11" s="22">
        <v>6</v>
      </c>
      <c r="K11" s="23">
        <f>VLOOKUP(H11,$C$7:$E$12,2,0)</f>
        <v>79860</v>
      </c>
      <c r="L11" s="20" t="str">
        <f t="shared" si="8"/>
        <v xml:space="preserve"> </v>
      </c>
      <c r="M11" s="23">
        <f t="shared" si="9"/>
        <v>79860</v>
      </c>
      <c r="N11" s="23">
        <f>VLOOKUP(H11,$C$6:$F$12,3,0)</f>
        <v>26</v>
      </c>
      <c r="O11" s="25">
        <f>VLOOKUP(H11,$C$6:$F$12,4,0)</f>
        <v>2.218998037040198E-4</v>
      </c>
      <c r="Q11"/>
      <c r="R11"/>
      <c r="S11"/>
      <c r="T11" s="25"/>
      <c r="X11" s="106" t="s">
        <v>66</v>
      </c>
      <c r="Y11" s="19">
        <v>66884.800000000003</v>
      </c>
      <c r="Z11" s="19">
        <v>66884.800000000003</v>
      </c>
      <c r="AE11" s="106" t="s">
        <v>66</v>
      </c>
      <c r="AF11" s="19">
        <v>13376.96</v>
      </c>
      <c r="AG11"/>
      <c r="AK11"/>
      <c r="AL11"/>
      <c r="AM11"/>
      <c r="AT11" s="109" t="s">
        <v>46</v>
      </c>
      <c r="AU11" s="19">
        <v>55629.989999999991</v>
      </c>
      <c r="AV11" s="107">
        <v>6.7708309434697578E-2</v>
      </c>
      <c r="AX11" s="20" t="s">
        <v>46</v>
      </c>
      <c r="AY11" s="33">
        <f t="shared" si="12"/>
        <v>55629.989999999991</v>
      </c>
      <c r="AZ11" s="34">
        <f t="shared" si="13"/>
        <v>6.7708309434697578E-2</v>
      </c>
      <c r="BB11" s="103" t="s">
        <v>79</v>
      </c>
      <c r="BC11" s="101">
        <v>644384</v>
      </c>
      <c r="BD11" s="102">
        <v>1</v>
      </c>
      <c r="BE11" s="62"/>
      <c r="BF11" s="62"/>
      <c r="BG11" s="40"/>
      <c r="BH11" s="40"/>
      <c r="BI11" s="40"/>
      <c r="BJ11" s="40"/>
      <c r="BK11" s="40"/>
      <c r="BL11" s="40"/>
      <c r="BM11" s="40"/>
      <c r="BU11"/>
      <c r="BV11"/>
      <c r="BW11"/>
      <c r="CZ11"/>
      <c r="DA11"/>
      <c r="DB11"/>
      <c r="DC11" s="22"/>
      <c r="DD11" s="22"/>
      <c r="ED11" s="8" t="s">
        <v>74</v>
      </c>
      <c r="EE11">
        <v>128</v>
      </c>
      <c r="EF11"/>
      <c r="EG11" s="90" t="s">
        <v>22</v>
      </c>
      <c r="EH11" s="92" t="str">
        <f>IF(EG11=$ED$11,"│"," ")</f>
        <v xml:space="preserve"> </v>
      </c>
      <c r="EI11" s="93" t="str">
        <f>IF(EG11=$ED$11,"○","")</f>
        <v/>
      </c>
      <c r="EJ11" s="93" t="str">
        <f>IF(EG11=$ED$11,"","●")</f>
        <v>●</v>
      </c>
      <c r="EK11" s="93">
        <f>VLOOKUP(EG11,ED:EE,2,0)</f>
        <v>256</v>
      </c>
      <c r="FG11"/>
      <c r="FH11"/>
      <c r="FI11"/>
    </row>
    <row r="12" spans="3:166" s="20" customFormat="1" ht="15" x14ac:dyDescent="0.25">
      <c r="C12" s="108" t="s">
        <v>50</v>
      </c>
      <c r="D12" s="19">
        <v>224098.00999999989</v>
      </c>
      <c r="E12" s="19">
        <v>2844</v>
      </c>
      <c r="F12" s="107">
        <v>2.4272424682085857E-2</v>
      </c>
      <c r="H12" s="20" t="s">
        <v>50</v>
      </c>
      <c r="I12" s="22">
        <v>5</v>
      </c>
      <c r="J12" s="22">
        <v>9</v>
      </c>
      <c r="K12" s="23">
        <f>VLOOKUP(H12,$C$7:$E$12,2,0)</f>
        <v>224098.00999999989</v>
      </c>
      <c r="L12" s="23">
        <f t="shared" si="8"/>
        <v>224098.00999999989</v>
      </c>
      <c r="M12" s="23" t="str">
        <f t="shared" si="9"/>
        <v xml:space="preserve"> </v>
      </c>
      <c r="N12" s="23">
        <f>VLOOKUP(H12,$C$6:$F$12,3,0)</f>
        <v>2844</v>
      </c>
      <c r="O12" s="25">
        <f>VLOOKUP(H12,$C$6:$F$12,4,0)</f>
        <v>2.4272424682085857E-2</v>
      </c>
      <c r="Q12"/>
      <c r="R12"/>
      <c r="S12"/>
      <c r="T12" s="25"/>
      <c r="X12" s="106" t="s">
        <v>67</v>
      </c>
      <c r="Y12" s="19">
        <v>66884.800000000003</v>
      </c>
      <c r="Z12" s="19">
        <v>66884.800000000003</v>
      </c>
      <c r="AE12" s="106" t="s">
        <v>67</v>
      </c>
      <c r="AF12" s="19">
        <v>13376.96</v>
      </c>
      <c r="AG12"/>
      <c r="AK12"/>
      <c r="AL12"/>
      <c r="AM12"/>
      <c r="AQ12"/>
      <c r="AT12" s="109" t="s">
        <v>40</v>
      </c>
      <c r="AU12" s="19">
        <v>70645.05</v>
      </c>
      <c r="AV12" s="107">
        <v>8.5983421989284617E-2</v>
      </c>
      <c r="AX12" s="20" t="s">
        <v>40</v>
      </c>
      <c r="AY12" s="33">
        <f t="shared" si="12"/>
        <v>70645.05</v>
      </c>
      <c r="AZ12" s="34">
        <f t="shared" si="13"/>
        <v>8.5983421989284617E-2</v>
      </c>
      <c r="BB12"/>
      <c r="BC12"/>
      <c r="BD12"/>
      <c r="BE12"/>
      <c r="BF12"/>
      <c r="BG12"/>
      <c r="BH12"/>
      <c r="BI12"/>
      <c r="BJ12"/>
      <c r="BK12"/>
      <c r="BL12"/>
      <c r="BM12"/>
      <c r="CZ12"/>
      <c r="DA12"/>
      <c r="DB12"/>
      <c r="DC12" s="22"/>
      <c r="DD12" s="22"/>
      <c r="ED12"/>
      <c r="EE12"/>
      <c r="EF12"/>
      <c r="EH12" s="22"/>
      <c r="EI12" s="22"/>
      <c r="EJ12" s="22"/>
      <c r="EK12" s="22"/>
      <c r="FG12"/>
      <c r="FH12"/>
      <c r="FI12"/>
    </row>
    <row r="13" spans="3:166" s="20" customFormat="1" ht="15" x14ac:dyDescent="0.25">
      <c r="C13" s="108" t="s">
        <v>79</v>
      </c>
      <c r="D13" s="19">
        <v>821612.45</v>
      </c>
      <c r="E13" s="19">
        <v>117170</v>
      </c>
      <c r="F13" s="107">
        <v>1</v>
      </c>
      <c r="Q13"/>
      <c r="R13"/>
      <c r="S13"/>
      <c r="T13" s="25"/>
      <c r="X13" s="106" t="s">
        <v>68</v>
      </c>
      <c r="Y13" s="19">
        <v>66884.800000000003</v>
      </c>
      <c r="Z13" s="19">
        <v>66884.800000000003</v>
      </c>
      <c r="AE13" s="106" t="s">
        <v>68</v>
      </c>
      <c r="AF13" s="19">
        <v>13376.96</v>
      </c>
      <c r="AG13"/>
      <c r="AK13"/>
      <c r="AL13"/>
      <c r="AM13"/>
      <c r="AT13" s="106" t="s">
        <v>36</v>
      </c>
      <c r="AU13" s="19">
        <v>65962.609999999986</v>
      </c>
      <c r="AV13" s="107">
        <v>8.028433600294152E-2</v>
      </c>
      <c r="AX13" s="20" t="s">
        <v>36</v>
      </c>
      <c r="AY13" s="33">
        <f t="shared" si="12"/>
        <v>65962.609999999986</v>
      </c>
      <c r="AZ13" s="34">
        <f t="shared" si="13"/>
        <v>8.028433600294152E-2</v>
      </c>
      <c r="BB13"/>
      <c r="BC13"/>
      <c r="BD13"/>
      <c r="BE13"/>
      <c r="BF13"/>
      <c r="BG13"/>
      <c r="BH13"/>
      <c r="BI13"/>
      <c r="BJ13"/>
      <c r="BK13"/>
      <c r="BL13"/>
      <c r="BM13"/>
      <c r="CZ13"/>
      <c r="DA13"/>
      <c r="DB13"/>
      <c r="DC13" s="22"/>
      <c r="DD13" s="22"/>
      <c r="ED13"/>
      <c r="EE13"/>
      <c r="EF13"/>
      <c r="EH13" s="22"/>
      <c r="EI13" s="22"/>
      <c r="EJ13" s="22"/>
      <c r="EK13" s="22"/>
      <c r="FG13"/>
      <c r="FH13"/>
      <c r="FI13"/>
    </row>
    <row r="14" spans="3:166" s="20" customFormat="1" ht="15" x14ac:dyDescent="0.25">
      <c r="T14" s="25"/>
      <c r="X14" s="106" t="s">
        <v>60</v>
      </c>
      <c r="Y14" s="19">
        <v>66884.800000000003</v>
      </c>
      <c r="Z14" s="19">
        <v>66884.800000000003</v>
      </c>
      <c r="AE14" s="106" t="s">
        <v>60</v>
      </c>
      <c r="AF14" s="19">
        <v>13376.96</v>
      </c>
      <c r="AG14"/>
      <c r="AK14"/>
      <c r="AL14"/>
      <c r="AM14"/>
      <c r="AT14" s="109" t="s">
        <v>37</v>
      </c>
      <c r="AU14" s="19">
        <v>56299.559999999983</v>
      </c>
      <c r="AV14" s="107">
        <v>6.8523255702856001E-2</v>
      </c>
      <c r="AX14" s="20" t="s">
        <v>37</v>
      </c>
      <c r="AY14" s="33">
        <f t="shared" si="12"/>
        <v>56299.559999999983</v>
      </c>
      <c r="AZ14" s="34">
        <f t="shared" si="13"/>
        <v>6.8523255702856001E-2</v>
      </c>
      <c r="BB14"/>
      <c r="BC14"/>
      <c r="BD14"/>
      <c r="BE14"/>
      <c r="BF14"/>
      <c r="BG14"/>
      <c r="BH14"/>
      <c r="BI14"/>
      <c r="BJ14"/>
      <c r="BK14"/>
      <c r="BL14"/>
      <c r="BM14"/>
      <c r="CZ14"/>
      <c r="DA14"/>
      <c r="DB14"/>
      <c r="DC14" s="22"/>
      <c r="DD14" s="22"/>
      <c r="ED14"/>
      <c r="EE14"/>
      <c r="EF14"/>
      <c r="EH14" s="22"/>
      <c r="EI14" s="22"/>
      <c r="EJ14" s="22"/>
      <c r="EK14" s="22"/>
      <c r="FG14"/>
      <c r="FH14"/>
      <c r="FI14"/>
    </row>
    <row r="15" spans="3:166" s="20" customFormat="1" ht="15" x14ac:dyDescent="0.25">
      <c r="T15" s="25"/>
      <c r="X15" s="106" t="s">
        <v>69</v>
      </c>
      <c r="Y15" s="19">
        <v>66884.800000000003</v>
      </c>
      <c r="Z15" s="19">
        <v>66884.800000000003</v>
      </c>
      <c r="AE15" s="106" t="s">
        <v>69</v>
      </c>
      <c r="AF15" s="19">
        <v>13376.96</v>
      </c>
      <c r="AG15"/>
      <c r="AK15"/>
      <c r="AL15"/>
      <c r="AM15"/>
      <c r="AT15" s="109" t="s">
        <v>56</v>
      </c>
      <c r="AU15" s="19">
        <v>5866.3</v>
      </c>
      <c r="AV15" s="107">
        <v>7.1399843076866724E-3</v>
      </c>
      <c r="AX15" s="20" t="s">
        <v>56</v>
      </c>
      <c r="AY15" s="33">
        <f t="shared" si="12"/>
        <v>5866.3</v>
      </c>
      <c r="AZ15" s="34">
        <f t="shared" si="13"/>
        <v>7.1399843076866724E-3</v>
      </c>
      <c r="BB15"/>
      <c r="BC15"/>
      <c r="BD15"/>
      <c r="BE15"/>
      <c r="BF15"/>
      <c r="BG15"/>
      <c r="BH15"/>
      <c r="BI15"/>
      <c r="BJ15"/>
      <c r="BK15"/>
      <c r="BL15"/>
      <c r="BM15"/>
      <c r="CZ15"/>
      <c r="DA15"/>
      <c r="DB15"/>
      <c r="DC15" s="22"/>
      <c r="DD15" s="22"/>
      <c r="ED15"/>
      <c r="EE15"/>
      <c r="EF15"/>
      <c r="EH15" s="22"/>
      <c r="EI15" s="22"/>
      <c r="EJ15" s="22"/>
      <c r="EK15" s="22"/>
      <c r="FG15"/>
      <c r="FH15"/>
      <c r="FI15"/>
    </row>
    <row r="16" spans="3:166" s="20" customFormat="1" ht="15" x14ac:dyDescent="0.25">
      <c r="T16" s="25"/>
      <c r="X16" s="106" t="s">
        <v>70</v>
      </c>
      <c r="Y16" s="19">
        <v>66884.800000000003</v>
      </c>
      <c r="Z16" s="19">
        <v>66884.800000000003</v>
      </c>
      <c r="AE16" s="106" t="s">
        <v>70</v>
      </c>
      <c r="AF16" s="19">
        <v>13376.96</v>
      </c>
      <c r="AG16"/>
      <c r="AK16"/>
      <c r="AL16"/>
      <c r="AM16"/>
      <c r="AT16" s="109" t="s">
        <v>49</v>
      </c>
      <c r="AU16" s="19">
        <v>3796.75</v>
      </c>
      <c r="AV16" s="107">
        <v>4.6210959923988493E-3</v>
      </c>
      <c r="AX16" s="20" t="s">
        <v>49</v>
      </c>
      <c r="AY16" s="33">
        <f t="shared" si="12"/>
        <v>3796.75</v>
      </c>
      <c r="AZ16" s="34">
        <f t="shared" si="13"/>
        <v>4.6210959923988493E-3</v>
      </c>
      <c r="BB16"/>
      <c r="BC16"/>
      <c r="BD16"/>
      <c r="BE16"/>
      <c r="BF16"/>
      <c r="BG16"/>
      <c r="BH16"/>
      <c r="BI16"/>
      <c r="BJ16"/>
      <c r="BK16"/>
      <c r="BL16"/>
      <c r="BM16"/>
      <c r="CZ16"/>
      <c r="DA16"/>
      <c r="DB16"/>
      <c r="DC16" s="22"/>
      <c r="DD16" s="22"/>
      <c r="ED16"/>
      <c r="EE16"/>
      <c r="EF16"/>
      <c r="EH16" s="22"/>
      <c r="EI16" s="22"/>
      <c r="EJ16" s="22"/>
      <c r="EK16" s="22"/>
      <c r="FG16"/>
      <c r="FH16"/>
      <c r="FI16"/>
    </row>
    <row r="17" spans="20:165" s="20" customFormat="1" ht="15" x14ac:dyDescent="0.25">
      <c r="T17" s="25"/>
      <c r="X17" s="106" t="s">
        <v>71</v>
      </c>
      <c r="Y17" s="19">
        <v>66884.800000000003</v>
      </c>
      <c r="Z17" s="19">
        <v>66884.800000000003</v>
      </c>
      <c r="AE17" s="106" t="s">
        <v>71</v>
      </c>
      <c r="AF17" s="19">
        <v>13376.96</v>
      </c>
      <c r="AG17"/>
      <c r="AK17"/>
      <c r="AL17"/>
      <c r="AM17"/>
      <c r="AS17"/>
      <c r="AT17" s="106" t="s">
        <v>28</v>
      </c>
      <c r="AU17" s="19">
        <v>154700.79</v>
      </c>
      <c r="AV17" s="107">
        <v>0.18828924756434742</v>
      </c>
      <c r="AX17" s="20" t="s">
        <v>28</v>
      </c>
      <c r="AY17" s="33">
        <f t="shared" si="12"/>
        <v>154700.79</v>
      </c>
      <c r="AZ17" s="34">
        <f t="shared" si="13"/>
        <v>0.18828924756434742</v>
      </c>
      <c r="BB17"/>
      <c r="BC17"/>
      <c r="BD17"/>
      <c r="BE17"/>
      <c r="BF17"/>
      <c r="BG17"/>
      <c r="BH17"/>
      <c r="BI17"/>
      <c r="BJ17"/>
      <c r="BK17"/>
      <c r="BL17"/>
      <c r="BM17"/>
      <c r="CZ17"/>
      <c r="DA17"/>
      <c r="DB17"/>
      <c r="DC17" s="22"/>
      <c r="DD17" s="22"/>
      <c r="ED17" s="38" t="s">
        <v>78</v>
      </c>
      <c r="EE17" t="s">
        <v>113</v>
      </c>
      <c r="EF17"/>
      <c r="EH17" s="91" t="s">
        <v>114</v>
      </c>
      <c r="EI17" s="91" t="s">
        <v>115</v>
      </c>
      <c r="EJ17" s="91" t="s">
        <v>116</v>
      </c>
      <c r="EK17" s="91"/>
      <c r="FG17"/>
      <c r="FH17"/>
      <c r="FI17"/>
    </row>
    <row r="18" spans="20:165" s="20" customFormat="1" ht="15" x14ac:dyDescent="0.25">
      <c r="T18" s="25"/>
      <c r="X18" s="106" t="s">
        <v>65</v>
      </c>
      <c r="Y18" s="19">
        <v>66884.800000000003</v>
      </c>
      <c r="Z18" s="19">
        <v>66884.800000000003</v>
      </c>
      <c r="AE18" s="106" t="s">
        <v>65</v>
      </c>
      <c r="AF18" s="19">
        <v>13376.96</v>
      </c>
      <c r="AG18"/>
      <c r="AK18"/>
      <c r="AL18"/>
      <c r="AM18"/>
      <c r="AS18"/>
      <c r="AT18" s="109" t="s">
        <v>32</v>
      </c>
      <c r="AU18" s="19">
        <v>98400</v>
      </c>
      <c r="AV18" s="107">
        <v>0.11976449480530633</v>
      </c>
      <c r="AX18" s="20" t="s">
        <v>32</v>
      </c>
      <c r="AY18" s="33">
        <f t="shared" si="12"/>
        <v>98400</v>
      </c>
      <c r="AZ18" s="34">
        <f t="shared" si="13"/>
        <v>0.11976449480530633</v>
      </c>
      <c r="BB18"/>
      <c r="BC18"/>
      <c r="BD18"/>
      <c r="BE18"/>
      <c r="BF18"/>
      <c r="BG18"/>
      <c r="BH18"/>
      <c r="BI18"/>
      <c r="BJ18"/>
      <c r="BK18"/>
      <c r="BL18"/>
      <c r="BM18"/>
      <c r="CZ18"/>
      <c r="DA18"/>
      <c r="DB18"/>
      <c r="DC18" s="22"/>
      <c r="DD18" s="22"/>
      <c r="ED18" s="8" t="s">
        <v>24</v>
      </c>
      <c r="EE18">
        <v>256</v>
      </c>
      <c r="EF18"/>
      <c r="EG18" s="89" t="s">
        <v>64</v>
      </c>
      <c r="EH18" s="92" t="str">
        <f>IF(EG18=$ED$19,"│"," ")</f>
        <v>│</v>
      </c>
      <c r="EI18" s="93" t="str">
        <f>IF(EG18=$ED$19,"○","")</f>
        <v>○</v>
      </c>
      <c r="EJ18" s="93" t="str">
        <f>IF(EG18=$ED$19,"","●")</f>
        <v/>
      </c>
      <c r="EK18" s="93">
        <f>VLOOKUP(EG18,ED:EE,2,0)</f>
        <v>128</v>
      </c>
      <c r="FG18"/>
      <c r="FH18"/>
      <c r="FI18"/>
    </row>
    <row r="19" spans="20:165" s="20" customFormat="1" ht="15" x14ac:dyDescent="0.25">
      <c r="T19" s="25"/>
      <c r="X19" s="108" t="s">
        <v>79</v>
      </c>
      <c r="Y19" s="19">
        <v>821612.45000000019</v>
      </c>
      <c r="Z19" s="19">
        <v>821612.45000000019</v>
      </c>
      <c r="AE19" s="108" t="s">
        <v>79</v>
      </c>
      <c r="AF19" s="19">
        <v>164322.48999999996</v>
      </c>
      <c r="AG19"/>
      <c r="AK19"/>
      <c r="AL19"/>
      <c r="AM19"/>
      <c r="AS19"/>
      <c r="AT19" s="109" t="s">
        <v>29</v>
      </c>
      <c r="AU19" s="19">
        <v>56300.790000000015</v>
      </c>
      <c r="AV19" s="107">
        <v>6.8524752759041102E-2</v>
      </c>
      <c r="AX19" s="20" t="s">
        <v>29</v>
      </c>
      <c r="AY19" s="33">
        <f t="shared" si="12"/>
        <v>56300.790000000015</v>
      </c>
      <c r="AZ19" s="34">
        <f t="shared" si="13"/>
        <v>6.8524752759041102E-2</v>
      </c>
      <c r="BB19"/>
      <c r="BC19"/>
      <c r="BD19"/>
      <c r="BE19"/>
      <c r="BF19"/>
      <c r="BG19"/>
      <c r="BH19"/>
      <c r="BI19"/>
      <c r="BJ19"/>
      <c r="BK19"/>
      <c r="BL19"/>
      <c r="BM19"/>
      <c r="CZ19"/>
      <c r="DA19"/>
      <c r="DB19"/>
      <c r="DC19" s="22"/>
      <c r="DD19" s="22"/>
      <c r="ED19" s="8" t="s">
        <v>64</v>
      </c>
      <c r="EE19">
        <v>128</v>
      </c>
      <c r="EF19"/>
      <c r="EG19" s="90" t="s">
        <v>24</v>
      </c>
      <c r="EH19" s="92" t="str">
        <f>IF(EG19=$ED$19,"│"," ")</f>
        <v xml:space="preserve"> </v>
      </c>
      <c r="EI19" s="93" t="str">
        <f>IF(EG19=$ED$19,"○","")</f>
        <v/>
      </c>
      <c r="EJ19" s="93" t="str">
        <f>IF(EG19=$ED$19,"","●")</f>
        <v>●</v>
      </c>
      <c r="EK19" s="93">
        <f>VLOOKUP(EG19,ED:EE,2,0)</f>
        <v>256</v>
      </c>
      <c r="FG19"/>
      <c r="FH19"/>
      <c r="FI19"/>
    </row>
    <row r="20" spans="20:165" s="20" customFormat="1" ht="15" x14ac:dyDescent="0.25">
      <c r="T20" s="25"/>
      <c r="X20"/>
      <c r="Y20"/>
      <c r="AE20"/>
      <c r="AF20"/>
      <c r="AK20"/>
      <c r="AL20"/>
      <c r="AM20"/>
      <c r="AT20" s="106" t="s">
        <v>57</v>
      </c>
      <c r="AU20" s="19">
        <v>79860</v>
      </c>
      <c r="AV20" s="107">
        <v>9.7199111332843119E-2</v>
      </c>
      <c r="AX20" s="20" t="s">
        <v>57</v>
      </c>
      <c r="AY20" s="33">
        <f t="shared" si="12"/>
        <v>79860</v>
      </c>
      <c r="AZ20" s="34">
        <f t="shared" si="13"/>
        <v>9.7199111332843119E-2</v>
      </c>
      <c r="BB20"/>
      <c r="BC20"/>
      <c r="BD20"/>
      <c r="BE20"/>
      <c r="BF20"/>
      <c r="BG20"/>
      <c r="BH20"/>
      <c r="BI20"/>
      <c r="BJ20"/>
      <c r="BK20"/>
      <c r="BL20"/>
      <c r="BM20"/>
      <c r="CZ20"/>
      <c r="DA20"/>
      <c r="DB20"/>
      <c r="DC20" s="22"/>
      <c r="DD20" s="22"/>
      <c r="ED20"/>
      <c r="EE20"/>
      <c r="EF20"/>
      <c r="EH20" s="22"/>
      <c r="EI20" s="22"/>
      <c r="EJ20" s="22"/>
      <c r="EK20" s="22"/>
      <c r="FG20"/>
      <c r="FH20"/>
      <c r="FI20"/>
    </row>
    <row r="21" spans="20:165" s="20" customFormat="1" ht="15" x14ac:dyDescent="0.25">
      <c r="T21" s="25"/>
      <c r="X21"/>
      <c r="Y21"/>
      <c r="AE21"/>
      <c r="AF21"/>
      <c r="AK21"/>
      <c r="AL21"/>
      <c r="AM21"/>
      <c r="AT21" s="109" t="s">
        <v>57</v>
      </c>
      <c r="AU21" s="19">
        <v>79860</v>
      </c>
      <c r="AV21" s="107">
        <v>9.7199111332843119E-2</v>
      </c>
      <c r="AX21" s="20" t="s">
        <v>57</v>
      </c>
      <c r="AY21" s="33">
        <f t="shared" si="12"/>
        <v>79860</v>
      </c>
      <c r="AZ21" s="34">
        <f t="shared" si="13"/>
        <v>9.7199111332843119E-2</v>
      </c>
      <c r="BB21"/>
      <c r="BC21"/>
      <c r="BD21"/>
      <c r="BE21"/>
      <c r="BF21"/>
      <c r="BG21"/>
      <c r="BH21"/>
      <c r="BI21"/>
      <c r="BJ21"/>
      <c r="BK21"/>
      <c r="BL21"/>
      <c r="BM21"/>
      <c r="DC21" s="22"/>
      <c r="DD21" s="22"/>
      <c r="ED21"/>
      <c r="EE21"/>
      <c r="EF21"/>
      <c r="EH21" s="22"/>
      <c r="EI21" s="22"/>
      <c r="EJ21" s="22"/>
      <c r="EK21" s="22"/>
      <c r="FG21"/>
      <c r="FH21"/>
      <c r="FI21"/>
    </row>
    <row r="22" spans="20:165" s="20" customFormat="1" ht="15" x14ac:dyDescent="0.25">
      <c r="T22" s="25"/>
      <c r="X22"/>
      <c r="Y22"/>
      <c r="AE22"/>
      <c r="AF22"/>
      <c r="AK22"/>
      <c r="AL22"/>
      <c r="AM22"/>
      <c r="AT22" s="106" t="s">
        <v>50</v>
      </c>
      <c r="AU22" s="19">
        <v>224098.01</v>
      </c>
      <c r="AV22" s="107">
        <v>0.27275391213947647</v>
      </c>
      <c r="AX22" s="20" t="s">
        <v>50</v>
      </c>
      <c r="AY22" s="33">
        <f t="shared" si="12"/>
        <v>224098.01</v>
      </c>
      <c r="AZ22" s="34">
        <f t="shared" si="13"/>
        <v>0.27275391213947647</v>
      </c>
      <c r="DC22" s="22"/>
      <c r="DD22" s="22"/>
      <c r="ED22"/>
      <c r="EE22"/>
      <c r="EF22"/>
      <c r="EH22" s="22"/>
      <c r="EI22" s="22"/>
      <c r="EJ22" s="22"/>
      <c r="EK22" s="22"/>
    </row>
    <row r="23" spans="20:165" s="20" customFormat="1" ht="15" x14ac:dyDescent="0.25">
      <c r="T23" s="25"/>
      <c r="X23"/>
      <c r="Y23"/>
      <c r="AE23"/>
      <c r="AF23"/>
      <c r="AK23"/>
      <c r="AL23"/>
      <c r="AM23"/>
      <c r="AT23" s="109" t="s">
        <v>54</v>
      </c>
      <c r="AU23" s="19">
        <v>2440</v>
      </c>
      <c r="AV23" s="107">
        <v>2.9697699931397099E-3</v>
      </c>
      <c r="AX23" s="20" t="s">
        <v>54</v>
      </c>
      <c r="AY23" s="33">
        <f t="shared" si="12"/>
        <v>2440</v>
      </c>
      <c r="AZ23" s="34">
        <f t="shared" si="13"/>
        <v>2.9697699931397099E-3</v>
      </c>
      <c r="DC23" s="22"/>
      <c r="DD23" s="22"/>
      <c r="ED23"/>
      <c r="EE23"/>
      <c r="EF23"/>
      <c r="EH23" s="22"/>
      <c r="EI23" s="22"/>
      <c r="EJ23" s="22"/>
      <c r="EK23" s="22"/>
    </row>
    <row r="24" spans="20:165" s="20" customFormat="1" ht="15" x14ac:dyDescent="0.25">
      <c r="T24" s="25"/>
      <c r="X24"/>
      <c r="Y24"/>
      <c r="AE24"/>
      <c r="AF24"/>
      <c r="AK24"/>
      <c r="AL24"/>
      <c r="AQ24"/>
      <c r="AT24" s="109" t="s">
        <v>51</v>
      </c>
      <c r="AU24" s="19">
        <v>55841.839999999989</v>
      </c>
      <c r="AV24" s="107">
        <v>6.7966156062995386E-2</v>
      </c>
      <c r="AX24" s="20" t="s">
        <v>51</v>
      </c>
      <c r="AY24" s="33">
        <f t="shared" si="12"/>
        <v>55841.839999999989</v>
      </c>
      <c r="AZ24" s="34">
        <f t="shared" si="13"/>
        <v>6.7966156062995386E-2</v>
      </c>
      <c r="DC24" s="22"/>
      <c r="DD24" s="22"/>
      <c r="ED24"/>
      <c r="EE24"/>
      <c r="EF24"/>
      <c r="EH24" s="22"/>
      <c r="EI24" s="22"/>
      <c r="EJ24" s="22"/>
      <c r="EK24" s="22"/>
    </row>
    <row r="25" spans="20:165" s="20" customFormat="1" ht="15" x14ac:dyDescent="0.25">
      <c r="T25" s="25"/>
      <c r="X25"/>
      <c r="Y25"/>
      <c r="AE25"/>
      <c r="AF25"/>
      <c r="AK25"/>
      <c r="AL25"/>
      <c r="AR25"/>
      <c r="AT25" s="109" t="s">
        <v>52</v>
      </c>
      <c r="AU25" s="19">
        <v>55838.180000000008</v>
      </c>
      <c r="AV25" s="107">
        <v>6.7961701408005698E-2</v>
      </c>
      <c r="AX25" s="20" t="s">
        <v>52</v>
      </c>
      <c r="AY25" s="33">
        <f t="shared" si="12"/>
        <v>55838.180000000008</v>
      </c>
      <c r="AZ25" s="34">
        <f t="shared" si="13"/>
        <v>6.7961701408005698E-2</v>
      </c>
      <c r="DC25" s="22"/>
      <c r="DD25" s="22"/>
      <c r="ED25"/>
      <c r="EE25"/>
      <c r="EF25"/>
      <c r="EH25" s="22"/>
      <c r="EI25" s="22"/>
      <c r="EJ25" s="22"/>
      <c r="EK25" s="22"/>
    </row>
    <row r="26" spans="20:165" s="20" customFormat="1" ht="15" x14ac:dyDescent="0.25">
      <c r="T26" s="25"/>
      <c r="X26"/>
      <c r="Y26"/>
      <c r="AE26"/>
      <c r="AF26"/>
      <c r="AK26"/>
      <c r="AL26"/>
      <c r="AR26"/>
      <c r="AT26" s="109" t="s">
        <v>58</v>
      </c>
      <c r="AU26" s="19">
        <v>54141.030000000013</v>
      </c>
      <c r="AV26" s="107">
        <v>6.5896068152326584E-2</v>
      </c>
      <c r="AX26" s="20" t="s">
        <v>58</v>
      </c>
      <c r="AY26" s="33">
        <f t="shared" si="12"/>
        <v>54141.030000000013</v>
      </c>
      <c r="AZ26" s="34">
        <f t="shared" si="13"/>
        <v>6.5896068152326584E-2</v>
      </c>
      <c r="DC26" s="22"/>
      <c r="DD26" s="22"/>
      <c r="ED26"/>
      <c r="EE26"/>
      <c r="EF26"/>
      <c r="EH26" s="22"/>
      <c r="EI26" s="22"/>
      <c r="EJ26" s="22"/>
      <c r="EK26" s="22"/>
    </row>
    <row r="27" spans="20:165" s="20" customFormat="1" ht="15" x14ac:dyDescent="0.25">
      <c r="T27" s="25"/>
      <c r="X27"/>
      <c r="Y27"/>
      <c r="AE27"/>
      <c r="AF27"/>
      <c r="AK27"/>
      <c r="AL27"/>
      <c r="AR27"/>
      <c r="AT27" s="109" t="s">
        <v>55</v>
      </c>
      <c r="AU27" s="19">
        <v>55836.960000000014</v>
      </c>
      <c r="AV27" s="107">
        <v>6.796021652300914E-2</v>
      </c>
      <c r="AX27" s="35" t="s">
        <v>55</v>
      </c>
      <c r="AY27" s="36">
        <f t="shared" si="12"/>
        <v>55836.960000000014</v>
      </c>
      <c r="AZ27" s="37">
        <f t="shared" si="13"/>
        <v>6.796021652300914E-2</v>
      </c>
      <c r="DC27" s="22"/>
      <c r="DD27" s="22"/>
      <c r="ED27"/>
      <c r="EE27"/>
      <c r="EF27"/>
      <c r="EH27" s="22"/>
      <c r="EI27" s="22"/>
      <c r="EJ27" s="22"/>
      <c r="EK27" s="22"/>
    </row>
    <row r="28" spans="20:165" s="20" customFormat="1" ht="15" x14ac:dyDescent="0.25">
      <c r="T28" s="25"/>
      <c r="X28"/>
      <c r="Y28"/>
      <c r="AE28"/>
      <c r="AF28"/>
      <c r="AK28"/>
      <c r="AL28"/>
      <c r="AT28" s="108" t="s">
        <v>79</v>
      </c>
      <c r="AU28" s="19">
        <v>821612.45</v>
      </c>
      <c r="AV28" s="107">
        <v>1</v>
      </c>
      <c r="DC28" s="22"/>
      <c r="DD28" s="22"/>
      <c r="ED28"/>
      <c r="EE28"/>
      <c r="EF28"/>
      <c r="EH28" s="22"/>
      <c r="EI28" s="22"/>
      <c r="EJ28" s="22"/>
      <c r="EK28" s="22"/>
    </row>
    <row r="29" spans="20:165" s="20" customFormat="1" ht="18" customHeight="1" x14ac:dyDescent="0.25">
      <c r="T29" s="25"/>
      <c r="X29"/>
      <c r="Y29"/>
      <c r="AE29"/>
      <c r="AF29"/>
      <c r="AK29"/>
      <c r="AL29"/>
      <c r="AT29"/>
      <c r="AU29"/>
      <c r="DC29" s="22"/>
      <c r="DD29" s="22"/>
      <c r="ED29"/>
      <c r="EE29"/>
      <c r="EF29"/>
      <c r="EH29" s="22"/>
      <c r="EI29" s="22"/>
      <c r="EJ29" s="22"/>
      <c r="EK29" s="22"/>
    </row>
    <row r="30" spans="20:165" s="20" customFormat="1" ht="18" customHeight="1" x14ac:dyDescent="0.25">
      <c r="T30" s="25"/>
      <c r="X30"/>
      <c r="Y30"/>
      <c r="AE30"/>
      <c r="AF30"/>
      <c r="AK30"/>
      <c r="AL30"/>
      <c r="AT30"/>
      <c r="AU30"/>
      <c r="DC30" s="22"/>
      <c r="DD30" s="22"/>
      <c r="ED30"/>
      <c r="EE30"/>
      <c r="EF30"/>
      <c r="EH30" s="22"/>
      <c r="EI30" s="22"/>
      <c r="EJ30" s="22"/>
      <c r="EK30" s="22"/>
    </row>
    <row r="31" spans="20:165" s="20" customFormat="1" ht="18" customHeight="1" x14ac:dyDescent="0.25">
      <c r="T31" s="25"/>
      <c r="X31"/>
      <c r="Y31"/>
      <c r="AE31"/>
      <c r="AF31"/>
      <c r="AK31"/>
      <c r="AL31"/>
      <c r="AT31"/>
      <c r="AU31"/>
      <c r="DC31" s="22"/>
      <c r="DD31" s="22"/>
      <c r="ED31"/>
      <c r="EE31"/>
      <c r="EF31"/>
      <c r="EH31" s="22"/>
      <c r="EI31" s="22"/>
      <c r="EJ31" s="22"/>
      <c r="EK31" s="22"/>
    </row>
    <row r="32" spans="20:165" s="20" customFormat="1" ht="18" customHeight="1" x14ac:dyDescent="0.25">
      <c r="T32" s="25"/>
      <c r="X32"/>
      <c r="Y32"/>
      <c r="AE32"/>
      <c r="AF32"/>
      <c r="AK32"/>
      <c r="AL32"/>
      <c r="AT32"/>
      <c r="AU32"/>
      <c r="DC32" s="22"/>
      <c r="DD32" s="22"/>
      <c r="ED32"/>
      <c r="EE32"/>
      <c r="EF32"/>
      <c r="EH32" s="22"/>
      <c r="EI32" s="22"/>
      <c r="EJ32" s="22"/>
      <c r="EK32" s="22"/>
    </row>
    <row r="33" spans="20:141" s="20" customFormat="1" ht="18" customHeight="1" x14ac:dyDescent="0.25">
      <c r="T33" s="25"/>
      <c r="X33"/>
      <c r="Y33"/>
      <c r="AE33"/>
      <c r="AF33"/>
      <c r="AK33"/>
      <c r="AL33"/>
      <c r="AT33"/>
      <c r="AU33"/>
      <c r="DC33" s="22"/>
      <c r="DD33" s="22"/>
      <c r="ED33"/>
      <c r="EE33"/>
      <c r="EF33"/>
      <c r="EH33" s="22"/>
      <c r="EI33" s="22"/>
      <c r="EJ33" s="22"/>
      <c r="EK33" s="22"/>
    </row>
    <row r="34" spans="20:141" ht="18" customHeight="1" x14ac:dyDescent="0.25">
      <c r="X34"/>
      <c r="Y34"/>
      <c r="AE34"/>
      <c r="AF34"/>
      <c r="AK34"/>
      <c r="AL34"/>
      <c r="AT34"/>
      <c r="AU34"/>
      <c r="ED34"/>
      <c r="EE34"/>
      <c r="EF34"/>
    </row>
    <row r="35" spans="20:141" ht="18" customHeight="1" x14ac:dyDescent="0.25">
      <c r="X35"/>
      <c r="Y35"/>
      <c r="AE35"/>
      <c r="AF35"/>
      <c r="AK35"/>
      <c r="AL35"/>
      <c r="AT35"/>
      <c r="AU35"/>
    </row>
    <row r="36" spans="20:141" ht="18" customHeight="1" x14ac:dyDescent="0.25">
      <c r="X36"/>
      <c r="Y36"/>
      <c r="AE36"/>
      <c r="AF36"/>
      <c r="AK36"/>
      <c r="AL36"/>
      <c r="AT36"/>
      <c r="AU36"/>
    </row>
    <row r="37" spans="20:141" ht="18" customHeight="1" x14ac:dyDescent="0.25">
      <c r="X37"/>
      <c r="Y37"/>
      <c r="AE37"/>
      <c r="AF37"/>
      <c r="AK37"/>
      <c r="AL37"/>
      <c r="AT37"/>
      <c r="AU37"/>
    </row>
    <row r="38" spans="20:141" ht="18" customHeight="1" x14ac:dyDescent="0.25">
      <c r="X38"/>
      <c r="Y38"/>
      <c r="AE38"/>
      <c r="AF38"/>
      <c r="AK38"/>
      <c r="AL38"/>
      <c r="AT38"/>
      <c r="AU38"/>
    </row>
    <row r="39" spans="20:141" ht="18" customHeight="1" x14ac:dyDescent="0.25">
      <c r="X39"/>
      <c r="Y39"/>
      <c r="AE39"/>
      <c r="AF39"/>
      <c r="AK39"/>
      <c r="AL39"/>
      <c r="AT39"/>
      <c r="AU39"/>
    </row>
    <row r="40" spans="20:141" ht="18" customHeight="1" x14ac:dyDescent="0.25">
      <c r="X40"/>
      <c r="Y40"/>
      <c r="AE40"/>
      <c r="AF40"/>
      <c r="AK40"/>
      <c r="AL40"/>
      <c r="AT40"/>
      <c r="AU40"/>
    </row>
    <row r="41" spans="20:141" ht="18" customHeight="1" x14ac:dyDescent="0.25">
      <c r="X41"/>
      <c r="Y41"/>
      <c r="AE41"/>
      <c r="AF41"/>
      <c r="AK41"/>
      <c r="AL41"/>
      <c r="AT41"/>
      <c r="AU41"/>
    </row>
    <row r="42" spans="20:141" ht="18" customHeight="1" x14ac:dyDescent="0.25">
      <c r="X42"/>
      <c r="Y42"/>
      <c r="AE42"/>
      <c r="AF42"/>
      <c r="AK42"/>
      <c r="AL42"/>
      <c r="AT42"/>
      <c r="AU42"/>
    </row>
    <row r="43" spans="20:141" ht="18" customHeight="1" x14ac:dyDescent="0.25">
      <c r="X43"/>
      <c r="Y43"/>
      <c r="AE43"/>
      <c r="AF43"/>
      <c r="AK43"/>
      <c r="AL43"/>
      <c r="AT43"/>
      <c r="AU43"/>
    </row>
    <row r="44" spans="20:141" ht="18" customHeight="1" x14ac:dyDescent="0.25">
      <c r="X44"/>
      <c r="Y44"/>
      <c r="AE44"/>
      <c r="AF44"/>
      <c r="AK44"/>
      <c r="AL44"/>
      <c r="AT44"/>
      <c r="AU44"/>
    </row>
    <row r="45" spans="20:141" ht="18" customHeight="1" x14ac:dyDescent="0.25">
      <c r="X45"/>
      <c r="Y45"/>
      <c r="AE45"/>
      <c r="AF45"/>
      <c r="AK45"/>
      <c r="AL45"/>
      <c r="AT45"/>
      <c r="AU45"/>
    </row>
    <row r="46" spans="20:141" ht="18" customHeight="1" x14ac:dyDescent="0.25">
      <c r="X46"/>
      <c r="Y46"/>
      <c r="AE46"/>
      <c r="AF46"/>
      <c r="AK46"/>
      <c r="AL46"/>
      <c r="AT46"/>
      <c r="AU46"/>
    </row>
    <row r="47" spans="20:141" ht="18" customHeight="1" x14ac:dyDescent="0.25">
      <c r="X47"/>
      <c r="Y47"/>
      <c r="AE47"/>
      <c r="AF47"/>
      <c r="AK47"/>
      <c r="AL47"/>
      <c r="AT47"/>
      <c r="AU47"/>
    </row>
    <row r="48" spans="20:141" ht="18" customHeight="1" x14ac:dyDescent="0.25">
      <c r="X48"/>
      <c r="Y48"/>
      <c r="AE48"/>
      <c r="AF48"/>
      <c r="AK48"/>
      <c r="AL48"/>
      <c r="AT48"/>
      <c r="AU48"/>
    </row>
    <row r="49" spans="24:47" ht="18" customHeight="1" x14ac:dyDescent="0.25">
      <c r="X49"/>
      <c r="Y49"/>
      <c r="AE49"/>
      <c r="AF49"/>
      <c r="AK49"/>
      <c r="AL49"/>
      <c r="AT49"/>
      <c r="AU49"/>
    </row>
    <row r="50" spans="24:47" ht="18" customHeight="1" x14ac:dyDescent="0.25">
      <c r="X50"/>
      <c r="Y50"/>
      <c r="AE50"/>
      <c r="AF50"/>
      <c r="AK50"/>
      <c r="AL50"/>
      <c r="AT50"/>
      <c r="AU50"/>
    </row>
    <row r="51" spans="24:47" ht="18" customHeight="1" x14ac:dyDescent="0.25">
      <c r="X51"/>
      <c r="Y51"/>
      <c r="AE51"/>
      <c r="AF51"/>
      <c r="AK51"/>
      <c r="AL51"/>
      <c r="AT51"/>
      <c r="AU51"/>
    </row>
    <row r="52" spans="24:47" ht="18" customHeight="1" x14ac:dyDescent="0.25">
      <c r="X52"/>
      <c r="Y52"/>
      <c r="AE52"/>
      <c r="AF52"/>
      <c r="AK52"/>
      <c r="AL52"/>
      <c r="AT52"/>
      <c r="AU52"/>
    </row>
    <row r="53" spans="24:47" ht="18" customHeight="1" x14ac:dyDescent="0.25">
      <c r="X53"/>
      <c r="Y53"/>
      <c r="AE53"/>
      <c r="AF53"/>
      <c r="AK53"/>
      <c r="AL53"/>
      <c r="AT53"/>
      <c r="AU53"/>
    </row>
    <row r="54" spans="24:47" ht="18" customHeight="1" x14ac:dyDescent="0.25">
      <c r="X54"/>
      <c r="Y54"/>
      <c r="AE54"/>
      <c r="AF54"/>
      <c r="AK54"/>
      <c r="AL54"/>
      <c r="AT54"/>
      <c r="AU54"/>
    </row>
    <row r="55" spans="24:47" ht="18" customHeight="1" x14ac:dyDescent="0.25">
      <c r="X55"/>
      <c r="Y55"/>
      <c r="AE55"/>
      <c r="AF55"/>
      <c r="AK55"/>
      <c r="AL55"/>
      <c r="AT55"/>
      <c r="AU55"/>
    </row>
    <row r="56" spans="24:47" ht="18" customHeight="1" x14ac:dyDescent="0.25">
      <c r="X56"/>
      <c r="Y56"/>
      <c r="AE56"/>
      <c r="AF56"/>
      <c r="AK56"/>
      <c r="AL56"/>
      <c r="AT56"/>
      <c r="AU56"/>
    </row>
    <row r="57" spans="24:47" ht="18" customHeight="1" x14ac:dyDescent="0.25">
      <c r="X57"/>
      <c r="Y57"/>
      <c r="AE57"/>
      <c r="AF57"/>
      <c r="AK57"/>
      <c r="AL57"/>
      <c r="AT57"/>
      <c r="AU57"/>
    </row>
    <row r="58" spans="24:47" ht="18" customHeight="1" x14ac:dyDescent="0.25">
      <c r="X58"/>
      <c r="Y58"/>
      <c r="AE58"/>
      <c r="AF58"/>
      <c r="AK58"/>
      <c r="AL58"/>
      <c r="AT58"/>
      <c r="AU58"/>
    </row>
    <row r="59" spans="24:47" ht="18" customHeight="1" x14ac:dyDescent="0.25">
      <c r="X59"/>
      <c r="Y59"/>
      <c r="AE59"/>
      <c r="AF59"/>
      <c r="AK59"/>
      <c r="AL59"/>
      <c r="AT59"/>
      <c r="AU59"/>
    </row>
    <row r="60" spans="24:47" ht="18" customHeight="1" x14ac:dyDescent="0.25">
      <c r="X60"/>
      <c r="Y60"/>
      <c r="AE60"/>
      <c r="AF60"/>
      <c r="AK60"/>
      <c r="AL60"/>
      <c r="AT60"/>
      <c r="AU60"/>
    </row>
    <row r="61" spans="24:47" ht="18" customHeight="1" x14ac:dyDescent="0.25">
      <c r="X61"/>
      <c r="Y61"/>
      <c r="AE61"/>
      <c r="AF61"/>
      <c r="AK61"/>
      <c r="AL61"/>
      <c r="AT61"/>
      <c r="AU61"/>
    </row>
    <row r="62" spans="24:47" ht="18" customHeight="1" x14ac:dyDescent="0.25">
      <c r="X62"/>
      <c r="Y62"/>
      <c r="AE62"/>
      <c r="AF62"/>
      <c r="AK62"/>
      <c r="AL62"/>
      <c r="AT62"/>
      <c r="AU62"/>
    </row>
    <row r="63" spans="24:47" ht="18" customHeight="1" x14ac:dyDescent="0.25">
      <c r="X63"/>
      <c r="Y63"/>
      <c r="AE63"/>
      <c r="AF63"/>
      <c r="AK63"/>
      <c r="AL63"/>
      <c r="AT63"/>
      <c r="AU63"/>
    </row>
    <row r="64" spans="24:47" ht="18" customHeight="1" x14ac:dyDescent="0.25">
      <c r="X64"/>
      <c r="Y64"/>
      <c r="AE64"/>
      <c r="AF64"/>
      <c r="AK64"/>
      <c r="AL64"/>
      <c r="AT64"/>
      <c r="AU64"/>
    </row>
    <row r="65" spans="24:47" ht="18" customHeight="1" x14ac:dyDescent="0.25">
      <c r="X65"/>
      <c r="Y65"/>
      <c r="AE65"/>
      <c r="AF65"/>
      <c r="AK65"/>
      <c r="AL65"/>
      <c r="AT65"/>
      <c r="AU65"/>
    </row>
    <row r="66" spans="24:47" ht="18" customHeight="1" x14ac:dyDescent="0.25">
      <c r="X66"/>
      <c r="Y66"/>
      <c r="AE66"/>
      <c r="AF66"/>
      <c r="AK66"/>
      <c r="AL66"/>
      <c r="AT66"/>
      <c r="AU66"/>
    </row>
    <row r="67" spans="24:47" ht="18" customHeight="1" x14ac:dyDescent="0.25">
      <c r="X67"/>
      <c r="Y67"/>
      <c r="AE67"/>
      <c r="AF67"/>
      <c r="AK67"/>
      <c r="AL67"/>
      <c r="AT67"/>
      <c r="AU67"/>
    </row>
    <row r="68" spans="24:47" ht="18" customHeight="1" x14ac:dyDescent="0.25">
      <c r="X68"/>
      <c r="Y68"/>
      <c r="AE68"/>
      <c r="AF68"/>
      <c r="AK68"/>
      <c r="AL68"/>
      <c r="AT68"/>
      <c r="AU68"/>
    </row>
    <row r="69" spans="24:47" ht="18" customHeight="1" x14ac:dyDescent="0.25">
      <c r="X69"/>
      <c r="Y69"/>
      <c r="AE69"/>
      <c r="AF69"/>
      <c r="AK69"/>
      <c r="AL69"/>
      <c r="AT69"/>
      <c r="AU69"/>
    </row>
    <row r="70" spans="24:47" ht="18" customHeight="1" x14ac:dyDescent="0.25">
      <c r="X70"/>
      <c r="Y70"/>
      <c r="AE70"/>
      <c r="AF70"/>
      <c r="AK70"/>
      <c r="AL70"/>
      <c r="AT70"/>
      <c r="AU70"/>
    </row>
    <row r="71" spans="24:47" ht="18" customHeight="1" x14ac:dyDescent="0.25">
      <c r="X71"/>
      <c r="Y71"/>
      <c r="AE71"/>
      <c r="AF71"/>
      <c r="AK71"/>
      <c r="AL71"/>
      <c r="AT71"/>
      <c r="AU71"/>
    </row>
    <row r="72" spans="24:47" ht="18" customHeight="1" x14ac:dyDescent="0.25">
      <c r="X72"/>
      <c r="Y72"/>
      <c r="AE72"/>
      <c r="AF72"/>
      <c r="AK72"/>
      <c r="AL72"/>
      <c r="AT72"/>
      <c r="AU72"/>
    </row>
    <row r="73" spans="24:47" ht="18" customHeight="1" x14ac:dyDescent="0.25">
      <c r="X73"/>
      <c r="Y73"/>
      <c r="AE73"/>
      <c r="AF73"/>
      <c r="AK73"/>
      <c r="AL73"/>
      <c r="AT73"/>
      <c r="AU73"/>
    </row>
    <row r="74" spans="24:47" ht="18" customHeight="1" x14ac:dyDescent="0.25">
      <c r="X74"/>
      <c r="Y74"/>
      <c r="AE74"/>
      <c r="AF74"/>
      <c r="AK74"/>
      <c r="AL74"/>
      <c r="AT74"/>
      <c r="AU74"/>
    </row>
    <row r="75" spans="24:47" ht="18" customHeight="1" x14ac:dyDescent="0.25">
      <c r="X75"/>
      <c r="Y75"/>
      <c r="AE75"/>
      <c r="AF75"/>
      <c r="AK75"/>
      <c r="AL75"/>
      <c r="AT75"/>
      <c r="AU75"/>
    </row>
    <row r="76" spans="24:47" ht="18" customHeight="1" x14ac:dyDescent="0.25">
      <c r="X76"/>
      <c r="Y76"/>
      <c r="AE76"/>
      <c r="AF76"/>
      <c r="AK76"/>
      <c r="AL76"/>
      <c r="AT76"/>
      <c r="AU76"/>
    </row>
    <row r="77" spans="24:47" ht="18" customHeight="1" x14ac:dyDescent="0.25">
      <c r="X77"/>
      <c r="Y77"/>
      <c r="AE77"/>
      <c r="AF77"/>
      <c r="AK77"/>
      <c r="AL77"/>
      <c r="AT77"/>
      <c r="AU77"/>
    </row>
    <row r="78" spans="24:47" ht="18" customHeight="1" x14ac:dyDescent="0.25">
      <c r="X78"/>
      <c r="Y78"/>
      <c r="AE78"/>
      <c r="AF78"/>
      <c r="AK78"/>
      <c r="AL78"/>
      <c r="AT78"/>
      <c r="AU78"/>
    </row>
    <row r="79" spans="24:47" ht="18" customHeight="1" x14ac:dyDescent="0.25">
      <c r="X79"/>
      <c r="Y79"/>
      <c r="AE79"/>
      <c r="AF79"/>
      <c r="AK79"/>
      <c r="AL79"/>
      <c r="AT79"/>
      <c r="AU79"/>
    </row>
    <row r="80" spans="24:47" ht="18" customHeight="1" x14ac:dyDescent="0.25">
      <c r="X80"/>
      <c r="Y80"/>
      <c r="AE80"/>
      <c r="AF80"/>
      <c r="AK80"/>
      <c r="AL80"/>
      <c r="AT80"/>
      <c r="AU80"/>
    </row>
    <row r="81" spans="24:47" ht="18" customHeight="1" x14ac:dyDescent="0.25">
      <c r="X81"/>
      <c r="Y81"/>
      <c r="AE81"/>
      <c r="AF81"/>
      <c r="AK81"/>
      <c r="AL81"/>
      <c r="AT81"/>
      <c r="AU81"/>
    </row>
    <row r="82" spans="24:47" ht="18" customHeight="1" x14ac:dyDescent="0.25">
      <c r="X82"/>
      <c r="Y82"/>
      <c r="AE82"/>
      <c r="AF82"/>
      <c r="AK82"/>
      <c r="AL82"/>
      <c r="AT82"/>
      <c r="AU82"/>
    </row>
    <row r="83" spans="24:47" ht="18" customHeight="1" x14ac:dyDescent="0.25">
      <c r="X83"/>
      <c r="Y83"/>
      <c r="AE83"/>
      <c r="AF83"/>
      <c r="AK83"/>
      <c r="AL83"/>
      <c r="AT83"/>
      <c r="AU83"/>
    </row>
    <row r="84" spans="24:47" ht="18" customHeight="1" x14ac:dyDescent="0.25">
      <c r="X84"/>
      <c r="Y84"/>
      <c r="AE84"/>
      <c r="AF84"/>
      <c r="AK84"/>
      <c r="AL84"/>
      <c r="AT84"/>
      <c r="AU84"/>
    </row>
    <row r="85" spans="24:47" ht="18" customHeight="1" x14ac:dyDescent="0.25">
      <c r="X85"/>
      <c r="Y85"/>
      <c r="AE85"/>
      <c r="AF85"/>
      <c r="AK85"/>
      <c r="AL85"/>
      <c r="AT85"/>
      <c r="AU85"/>
    </row>
    <row r="86" spans="24:47" ht="18" customHeight="1" x14ac:dyDescent="0.25">
      <c r="X86"/>
      <c r="Y86"/>
      <c r="AE86"/>
      <c r="AF86"/>
      <c r="AK86"/>
      <c r="AL86"/>
      <c r="AT86"/>
      <c r="AU86"/>
    </row>
    <row r="87" spans="24:47" ht="18" customHeight="1" x14ac:dyDescent="0.25">
      <c r="X87"/>
      <c r="Y87"/>
      <c r="AE87"/>
      <c r="AF87"/>
      <c r="AK87"/>
      <c r="AL87"/>
      <c r="AT87"/>
      <c r="AU87"/>
    </row>
    <row r="88" spans="24:47" ht="18" customHeight="1" x14ac:dyDescent="0.25">
      <c r="X88"/>
      <c r="Y88"/>
      <c r="AE88"/>
      <c r="AF88"/>
      <c r="AK88"/>
      <c r="AL88"/>
      <c r="AT88"/>
      <c r="AU88"/>
    </row>
    <row r="89" spans="24:47" ht="18" customHeight="1" x14ac:dyDescent="0.25">
      <c r="X89"/>
      <c r="Y89"/>
      <c r="AE89"/>
      <c r="AF89"/>
      <c r="AK89"/>
      <c r="AL89"/>
      <c r="AT89"/>
      <c r="AU89"/>
    </row>
    <row r="90" spans="24:47" ht="18" customHeight="1" x14ac:dyDescent="0.25">
      <c r="X90"/>
      <c r="Y90"/>
      <c r="AE90"/>
      <c r="AF90"/>
      <c r="AK90"/>
      <c r="AL90"/>
      <c r="AT90"/>
      <c r="AU90"/>
    </row>
    <row r="91" spans="24:47" ht="18" customHeight="1" x14ac:dyDescent="0.25">
      <c r="X91"/>
      <c r="Y91"/>
      <c r="AE91"/>
      <c r="AF91"/>
      <c r="AK91"/>
      <c r="AL91"/>
      <c r="AT91"/>
      <c r="AU91"/>
    </row>
    <row r="92" spans="24:47" ht="18" customHeight="1" x14ac:dyDescent="0.25">
      <c r="X92"/>
      <c r="Y92"/>
      <c r="AE92"/>
      <c r="AF92"/>
      <c r="AK92"/>
      <c r="AL92"/>
      <c r="AT92"/>
      <c r="AU92"/>
    </row>
    <row r="93" spans="24:47" ht="18" customHeight="1" x14ac:dyDescent="0.25">
      <c r="X93"/>
      <c r="Y93"/>
      <c r="AE93"/>
      <c r="AF93"/>
      <c r="AK93"/>
      <c r="AL93"/>
      <c r="AT93"/>
      <c r="AU93"/>
    </row>
    <row r="94" spans="24:47" ht="18" customHeight="1" x14ac:dyDescent="0.25">
      <c r="X94"/>
      <c r="Y94"/>
      <c r="AE94"/>
      <c r="AF94"/>
      <c r="AK94"/>
      <c r="AL94"/>
      <c r="AT94"/>
      <c r="AU94"/>
    </row>
    <row r="95" spans="24:47" ht="18" customHeight="1" x14ac:dyDescent="0.25">
      <c r="X95"/>
      <c r="Y95"/>
      <c r="AE95"/>
      <c r="AF95"/>
      <c r="AK95"/>
      <c r="AL95"/>
      <c r="AT95"/>
      <c r="AU95"/>
    </row>
    <row r="96" spans="24:47" ht="18" customHeight="1" x14ac:dyDescent="0.25">
      <c r="X96"/>
      <c r="Y96"/>
      <c r="AE96"/>
      <c r="AF96"/>
      <c r="AK96"/>
      <c r="AL96"/>
      <c r="AT96"/>
      <c r="AU96"/>
    </row>
    <row r="97" spans="24:47" ht="18" customHeight="1" x14ac:dyDescent="0.25">
      <c r="X97"/>
      <c r="Y97"/>
      <c r="AE97"/>
      <c r="AF97"/>
      <c r="AK97"/>
      <c r="AL97"/>
      <c r="AT97"/>
      <c r="AU97"/>
    </row>
    <row r="98" spans="24:47" ht="18" customHeight="1" x14ac:dyDescent="0.25">
      <c r="X98"/>
      <c r="Y98"/>
      <c r="AE98"/>
      <c r="AF98"/>
      <c r="AK98"/>
      <c r="AL98"/>
      <c r="AT98"/>
      <c r="AU98"/>
    </row>
    <row r="99" spans="24:47" ht="18" customHeight="1" x14ac:dyDescent="0.25">
      <c r="X99"/>
      <c r="Y99"/>
      <c r="AE99"/>
      <c r="AF99"/>
      <c r="AK99"/>
      <c r="AL99"/>
      <c r="AT99"/>
      <c r="AU99"/>
    </row>
    <row r="100" spans="24:47" ht="18" customHeight="1" x14ac:dyDescent="0.25">
      <c r="X100"/>
      <c r="Y100"/>
      <c r="AE100"/>
      <c r="AF100"/>
      <c r="AK100"/>
      <c r="AL100"/>
      <c r="AT100"/>
      <c r="AU100"/>
    </row>
    <row r="101" spans="24:47" ht="18" customHeight="1" x14ac:dyDescent="0.25">
      <c r="X101"/>
      <c r="Y101"/>
      <c r="AE101"/>
      <c r="AF101"/>
      <c r="AK101"/>
      <c r="AL101"/>
      <c r="AT101"/>
      <c r="AU101"/>
    </row>
    <row r="102" spans="24:47" ht="18" customHeight="1" x14ac:dyDescent="0.25">
      <c r="X102"/>
      <c r="Y102"/>
      <c r="AE102"/>
      <c r="AF102"/>
      <c r="AK102"/>
      <c r="AL102"/>
      <c r="AT102"/>
      <c r="AU102"/>
    </row>
    <row r="103" spans="24:47" ht="18" customHeight="1" x14ac:dyDescent="0.25">
      <c r="X103"/>
      <c r="Y103"/>
      <c r="AE103"/>
      <c r="AF103"/>
      <c r="AK103"/>
      <c r="AL103"/>
      <c r="AT103"/>
      <c r="AU103"/>
    </row>
    <row r="104" spans="24:47" ht="18" customHeight="1" x14ac:dyDescent="0.25">
      <c r="X104"/>
      <c r="Y104"/>
      <c r="AE104"/>
      <c r="AF104"/>
      <c r="AK104"/>
      <c r="AL104"/>
      <c r="AT104"/>
      <c r="AU104"/>
    </row>
    <row r="105" spans="24:47" ht="18" customHeight="1" x14ac:dyDescent="0.25">
      <c r="X105"/>
      <c r="Y105"/>
      <c r="AE105"/>
      <c r="AF105"/>
      <c r="AK105"/>
      <c r="AL105"/>
      <c r="AT105"/>
      <c r="AU105"/>
    </row>
    <row r="106" spans="24:47" ht="18" customHeight="1" x14ac:dyDescent="0.25">
      <c r="X106"/>
      <c r="Y106"/>
      <c r="AE106"/>
      <c r="AF106"/>
      <c r="AK106"/>
      <c r="AL106"/>
      <c r="AT106"/>
      <c r="AU106"/>
    </row>
    <row r="107" spans="24:47" ht="18" customHeight="1" x14ac:dyDescent="0.25">
      <c r="X107"/>
      <c r="Y107"/>
      <c r="AE107"/>
      <c r="AF107"/>
      <c r="AK107"/>
      <c r="AL107"/>
      <c r="AT107"/>
      <c r="AU107"/>
    </row>
    <row r="108" spans="24:47" ht="18" customHeight="1" x14ac:dyDescent="0.25">
      <c r="X108"/>
      <c r="Y108"/>
      <c r="AE108"/>
      <c r="AF108"/>
      <c r="AK108"/>
      <c r="AL108"/>
      <c r="AT108"/>
      <c r="AU108"/>
    </row>
    <row r="109" spans="24:47" ht="18" customHeight="1" x14ac:dyDescent="0.25">
      <c r="X109"/>
      <c r="Y109"/>
      <c r="AE109"/>
      <c r="AF109"/>
      <c r="AK109"/>
      <c r="AL109"/>
      <c r="AT109"/>
      <c r="AU109"/>
    </row>
    <row r="110" spans="24:47" ht="18" customHeight="1" x14ac:dyDescent="0.25">
      <c r="X110"/>
      <c r="Y110"/>
      <c r="AE110"/>
      <c r="AF110"/>
      <c r="AK110"/>
      <c r="AL110"/>
      <c r="AT110"/>
      <c r="AU110"/>
    </row>
    <row r="111" spans="24:47" ht="18" customHeight="1" x14ac:dyDescent="0.25">
      <c r="X111"/>
      <c r="Y111"/>
      <c r="AE111"/>
      <c r="AF111"/>
      <c r="AK111"/>
      <c r="AL111"/>
      <c r="AT111"/>
      <c r="AU111"/>
    </row>
    <row r="112" spans="24:47" ht="18" customHeight="1" x14ac:dyDescent="0.25">
      <c r="X112"/>
      <c r="Y112"/>
      <c r="AE112"/>
      <c r="AF112"/>
      <c r="AK112"/>
      <c r="AL112"/>
      <c r="AT112"/>
      <c r="AU112"/>
    </row>
    <row r="113" spans="24:47" ht="18" customHeight="1" x14ac:dyDescent="0.25">
      <c r="X113"/>
      <c r="Y113"/>
      <c r="AE113"/>
      <c r="AF113"/>
      <c r="AK113"/>
      <c r="AL113"/>
      <c r="AT113"/>
      <c r="AU113"/>
    </row>
    <row r="114" spans="24:47" ht="18" customHeight="1" x14ac:dyDescent="0.25">
      <c r="X114"/>
      <c r="Y114"/>
      <c r="AE114"/>
      <c r="AF114"/>
      <c r="AK114"/>
      <c r="AL114"/>
      <c r="AT114"/>
      <c r="AU114"/>
    </row>
    <row r="115" spans="24:47" ht="18" customHeight="1" x14ac:dyDescent="0.25">
      <c r="X115"/>
      <c r="Y115"/>
      <c r="AE115"/>
      <c r="AF115"/>
      <c r="AK115"/>
      <c r="AL115"/>
      <c r="AT115"/>
      <c r="AU115"/>
    </row>
    <row r="116" spans="24:47" ht="18" customHeight="1" x14ac:dyDescent="0.25">
      <c r="X116"/>
      <c r="Y116"/>
      <c r="AE116"/>
      <c r="AF116"/>
      <c r="AK116"/>
      <c r="AL116"/>
      <c r="AT116"/>
      <c r="AU116"/>
    </row>
    <row r="117" spans="24:47" ht="18" customHeight="1" x14ac:dyDescent="0.25">
      <c r="X117"/>
      <c r="Y117"/>
      <c r="AE117"/>
      <c r="AF117"/>
      <c r="AK117"/>
      <c r="AL117"/>
      <c r="AT117"/>
      <c r="AU117"/>
    </row>
    <row r="118" spans="24:47" ht="18" customHeight="1" x14ac:dyDescent="0.25">
      <c r="X118"/>
      <c r="Y118"/>
      <c r="AE118"/>
      <c r="AF118"/>
      <c r="AK118"/>
      <c r="AL118"/>
      <c r="AT118"/>
      <c r="AU118"/>
    </row>
    <row r="119" spans="24:47" ht="18" customHeight="1" x14ac:dyDescent="0.25">
      <c r="X119"/>
      <c r="Y119"/>
      <c r="AE119"/>
      <c r="AF119"/>
      <c r="AK119"/>
      <c r="AL119"/>
      <c r="AT119"/>
      <c r="AU119"/>
    </row>
    <row r="120" spans="24:47" ht="18" customHeight="1" x14ac:dyDescent="0.25">
      <c r="X120"/>
      <c r="Y120"/>
      <c r="AE120"/>
      <c r="AF120"/>
      <c r="AK120"/>
      <c r="AL120"/>
      <c r="AT120"/>
      <c r="AU120"/>
    </row>
    <row r="121" spans="24:47" ht="18" customHeight="1" x14ac:dyDescent="0.25">
      <c r="X121"/>
      <c r="Y121"/>
      <c r="AE121"/>
      <c r="AF121"/>
      <c r="AK121"/>
      <c r="AL121"/>
      <c r="AT121"/>
      <c r="AU121"/>
    </row>
    <row r="122" spans="24:47" ht="18" customHeight="1" x14ac:dyDescent="0.25">
      <c r="X122"/>
      <c r="Y122"/>
      <c r="AE122"/>
      <c r="AF122"/>
      <c r="AK122"/>
      <c r="AL122"/>
      <c r="AT122"/>
      <c r="AU122"/>
    </row>
    <row r="123" spans="24:47" ht="18" customHeight="1" x14ac:dyDescent="0.25">
      <c r="X123"/>
      <c r="Y123"/>
      <c r="AE123"/>
      <c r="AF123"/>
      <c r="AK123"/>
      <c r="AL123"/>
      <c r="AT123"/>
      <c r="AU123"/>
    </row>
    <row r="124" spans="24:47" ht="18" customHeight="1" x14ac:dyDescent="0.25">
      <c r="X124"/>
      <c r="Y124"/>
      <c r="AE124"/>
      <c r="AF124"/>
      <c r="AK124"/>
      <c r="AL124"/>
      <c r="AT124"/>
      <c r="AU124"/>
    </row>
    <row r="125" spans="24:47" ht="18" customHeight="1" x14ac:dyDescent="0.25">
      <c r="X125"/>
      <c r="Y125"/>
      <c r="AE125"/>
      <c r="AF125"/>
      <c r="AK125"/>
      <c r="AL125"/>
      <c r="AT125"/>
      <c r="AU125"/>
    </row>
    <row r="126" spans="24:47" ht="18" customHeight="1" x14ac:dyDescent="0.25">
      <c r="X126"/>
      <c r="Y126"/>
      <c r="AE126"/>
      <c r="AF126"/>
      <c r="AK126"/>
      <c r="AL126"/>
      <c r="AT126"/>
      <c r="AU126"/>
    </row>
    <row r="127" spans="24:47" ht="18" customHeight="1" x14ac:dyDescent="0.25">
      <c r="X127"/>
      <c r="Y127"/>
      <c r="AE127"/>
      <c r="AF127"/>
      <c r="AK127"/>
      <c r="AL127"/>
      <c r="AT127"/>
      <c r="AU127"/>
    </row>
    <row r="128" spans="24:47" ht="18" customHeight="1" x14ac:dyDescent="0.25">
      <c r="X128"/>
      <c r="Y128"/>
      <c r="AE128"/>
      <c r="AF128"/>
      <c r="AK128"/>
      <c r="AL128"/>
      <c r="AT128"/>
      <c r="AU128"/>
    </row>
    <row r="129" spans="24:47" ht="18" customHeight="1" x14ac:dyDescent="0.25">
      <c r="X129"/>
      <c r="Y129"/>
      <c r="AE129"/>
      <c r="AF129"/>
      <c r="AK129"/>
      <c r="AL129"/>
      <c r="AT129"/>
      <c r="AU129"/>
    </row>
    <row r="130" spans="24:47" ht="18" customHeight="1" x14ac:dyDescent="0.25">
      <c r="X130"/>
      <c r="Y130"/>
      <c r="AE130"/>
      <c r="AF130"/>
      <c r="AK130"/>
      <c r="AL130"/>
      <c r="AT130"/>
      <c r="AU130"/>
    </row>
    <row r="131" spans="24:47" ht="18" customHeight="1" x14ac:dyDescent="0.25">
      <c r="X131"/>
      <c r="Y131"/>
      <c r="AE131"/>
      <c r="AF131"/>
      <c r="AK131"/>
      <c r="AL131"/>
      <c r="AT131"/>
      <c r="AU131"/>
    </row>
    <row r="132" spans="24:47" ht="18" customHeight="1" x14ac:dyDescent="0.25">
      <c r="X132"/>
      <c r="Y132"/>
      <c r="AE132"/>
      <c r="AF132"/>
      <c r="AK132"/>
      <c r="AL132"/>
      <c r="AT132"/>
      <c r="AU132"/>
    </row>
    <row r="133" spans="24:47" ht="18" customHeight="1" x14ac:dyDescent="0.25">
      <c r="X133"/>
      <c r="Y133"/>
      <c r="AE133"/>
      <c r="AF133"/>
      <c r="AK133"/>
      <c r="AL133"/>
      <c r="AT133"/>
      <c r="AU133"/>
    </row>
    <row r="134" spans="24:47" ht="18" customHeight="1" x14ac:dyDescent="0.25">
      <c r="X134"/>
      <c r="Y134"/>
      <c r="AE134"/>
      <c r="AF134"/>
      <c r="AK134"/>
      <c r="AL134"/>
      <c r="AT134"/>
      <c r="AU134"/>
    </row>
    <row r="135" spans="24:47" ht="18" customHeight="1" x14ac:dyDescent="0.25">
      <c r="X135"/>
      <c r="Y135"/>
      <c r="AE135"/>
      <c r="AF135"/>
      <c r="AK135"/>
      <c r="AL135"/>
      <c r="AT135"/>
      <c r="AU135"/>
    </row>
    <row r="136" spans="24:47" ht="18" customHeight="1" x14ac:dyDescent="0.25">
      <c r="X136"/>
      <c r="Y136"/>
      <c r="AE136"/>
      <c r="AF136"/>
      <c r="AK136"/>
      <c r="AL136"/>
      <c r="AT136"/>
      <c r="AU136"/>
    </row>
    <row r="137" spans="24:47" ht="18" customHeight="1" x14ac:dyDescent="0.25">
      <c r="X137"/>
      <c r="Y137"/>
      <c r="AE137"/>
      <c r="AF137"/>
      <c r="AK137"/>
      <c r="AL137"/>
      <c r="AT137"/>
      <c r="AU137"/>
    </row>
    <row r="138" spans="24:47" ht="18" customHeight="1" x14ac:dyDescent="0.25">
      <c r="X138"/>
      <c r="Y138"/>
      <c r="AE138"/>
      <c r="AF138"/>
      <c r="AK138"/>
      <c r="AL138"/>
      <c r="AT138"/>
      <c r="AU138"/>
    </row>
    <row r="139" spans="24:47" ht="18" customHeight="1" x14ac:dyDescent="0.25">
      <c r="X139"/>
      <c r="Y139"/>
      <c r="AE139"/>
      <c r="AF139"/>
      <c r="AK139"/>
      <c r="AL139"/>
      <c r="AT139"/>
      <c r="AU139"/>
    </row>
    <row r="140" spans="24:47" ht="18" customHeight="1" x14ac:dyDescent="0.25">
      <c r="X140"/>
      <c r="Y140"/>
      <c r="AE140"/>
      <c r="AF140"/>
      <c r="AK140"/>
      <c r="AL140"/>
      <c r="AT140"/>
      <c r="AU140"/>
    </row>
    <row r="141" spans="24:47" ht="18" customHeight="1" x14ac:dyDescent="0.25">
      <c r="X141"/>
      <c r="Y141"/>
      <c r="AE141"/>
      <c r="AF141"/>
      <c r="AK141"/>
      <c r="AL141"/>
      <c r="AT141"/>
      <c r="AU141"/>
    </row>
    <row r="142" spans="24:47" ht="18" customHeight="1" x14ac:dyDescent="0.25">
      <c r="X142"/>
      <c r="Y142"/>
      <c r="AE142"/>
      <c r="AF142"/>
      <c r="AK142"/>
      <c r="AL142"/>
      <c r="AT142"/>
      <c r="AU142"/>
    </row>
    <row r="143" spans="24:47" ht="18" customHeight="1" x14ac:dyDescent="0.25">
      <c r="X143"/>
      <c r="Y143"/>
      <c r="AE143"/>
      <c r="AF143"/>
      <c r="AK143"/>
      <c r="AL143"/>
      <c r="AT143"/>
      <c r="AU143"/>
    </row>
    <row r="144" spans="24:47" ht="18" customHeight="1" x14ac:dyDescent="0.25">
      <c r="X144"/>
      <c r="Y144"/>
      <c r="AE144"/>
      <c r="AF144"/>
      <c r="AK144"/>
      <c r="AL144"/>
      <c r="AT144"/>
      <c r="AU144"/>
    </row>
    <row r="145" spans="24:47" ht="18" customHeight="1" x14ac:dyDescent="0.25">
      <c r="X145"/>
      <c r="Y145"/>
      <c r="AE145"/>
      <c r="AF145"/>
      <c r="AK145"/>
      <c r="AL145"/>
      <c r="AT145"/>
      <c r="AU145"/>
    </row>
    <row r="146" spans="24:47" ht="18" customHeight="1" x14ac:dyDescent="0.25">
      <c r="X146"/>
      <c r="Y146"/>
      <c r="AE146"/>
      <c r="AF146"/>
      <c r="AK146"/>
      <c r="AL146"/>
      <c r="AT146"/>
      <c r="AU146"/>
    </row>
    <row r="147" spans="24:47" ht="18" customHeight="1" x14ac:dyDescent="0.25">
      <c r="X147"/>
      <c r="Y147"/>
      <c r="AE147"/>
      <c r="AF147"/>
      <c r="AK147"/>
      <c r="AL147"/>
      <c r="AT147"/>
      <c r="AU147"/>
    </row>
    <row r="148" spans="24:47" ht="18" customHeight="1" x14ac:dyDescent="0.25">
      <c r="X148"/>
      <c r="Y148"/>
      <c r="AE148"/>
      <c r="AF148"/>
      <c r="AK148"/>
      <c r="AL148"/>
      <c r="AT148"/>
      <c r="AU148"/>
    </row>
    <row r="149" spans="24:47" ht="18" customHeight="1" x14ac:dyDescent="0.25">
      <c r="X149"/>
      <c r="Y149"/>
      <c r="AE149"/>
      <c r="AF149"/>
      <c r="AK149"/>
      <c r="AL149"/>
      <c r="AT149"/>
      <c r="AU149"/>
    </row>
    <row r="150" spans="24:47" ht="18" customHeight="1" x14ac:dyDescent="0.25">
      <c r="X150"/>
      <c r="Y150"/>
      <c r="AE150"/>
      <c r="AF150"/>
      <c r="AK150"/>
      <c r="AL150"/>
      <c r="AT150"/>
      <c r="AU150"/>
    </row>
  </sheetData>
  <pageMargins left="0.7" right="0.7" top="0.75" bottom="0.75" header="0.3" footer="0.3"/>
  <pageSetup paperSize="9" orientation="portrait" r:id="rId16"/>
  <drawing r:id="rId17"/>
  <extLst>
    <ext xmlns:x14="http://schemas.microsoft.com/office/spreadsheetml/2009/9/main" uri="{A8765BA9-456A-4dab-B4F3-ACF838C121DE}">
      <x14:slicerList>
        <x14:slicer r:id="rId18"/>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1E2989-C661-4E9C-8024-F80AF24824BC}">
  <sheetPr codeName="Sheet3">
    <tabColor rgb="FF1D1D3C"/>
  </sheetPr>
  <dimension ref="A1:AC11"/>
  <sheetViews>
    <sheetView showGridLines="0" showRowColHeaders="0" zoomScale="75" zoomScaleNormal="75" zoomScaleSheetLayoutView="47" zoomScalePageLayoutView="33" workbookViewId="0">
      <selection activeCell="G6" sqref="G6"/>
    </sheetView>
  </sheetViews>
  <sheetFormatPr defaultRowHeight="15" x14ac:dyDescent="0.25"/>
  <cols>
    <col min="1" max="16384" width="9.140625" style="17"/>
  </cols>
  <sheetData>
    <row r="1" spans="1:29" x14ac:dyDescent="0.25">
      <c r="A1" s="16"/>
    </row>
    <row r="10" spans="1:29" x14ac:dyDescent="0.25">
      <c r="I10" s="17" t="s">
        <v>77</v>
      </c>
    </row>
    <row r="11" spans="1:29" x14ac:dyDescent="0.25">
      <c r="AC11" s="17" t="s">
        <v>108</v>
      </c>
    </row>
  </sheetData>
  <sheetProtection algorithmName="SHA-512" hashValue="4TxGsDUcevWto0CMU3RxgW2a44y7ZyvXgQD78r/GrmHt+aXNWnl2wSKvcQ7AJeUNRyGXwSs2r5u+3iLSUJx9Ig==" saltValue="uwVMezexzFd/UxnpbgCCGg==" spinCount="100000" sheet="1" selectLockedCells="1"/>
  <pageMargins left="0.7" right="0.7" top="0.75" bottom="0.75" header="0.3" footer="0.3"/>
  <pageSetup paperSize="66" orientation="landscape" r:id="rId1"/>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4F70F7-4E94-497F-8AE2-A5E5735B48E5}">
  <sheetPr codeName="Sheet4">
    <tabColor rgb="FF1D1D3C"/>
  </sheetPr>
  <dimension ref="H6:AC43"/>
  <sheetViews>
    <sheetView showGridLines="0" showRowColHeaders="0" zoomScale="75" zoomScaleNormal="75" workbookViewId="0"/>
  </sheetViews>
  <sheetFormatPr defaultRowHeight="15" x14ac:dyDescent="0.25"/>
  <cols>
    <col min="1" max="16384" width="9.140625" style="17"/>
  </cols>
  <sheetData>
    <row r="6" spans="8:29" x14ac:dyDescent="0.25">
      <c r="H6" s="56"/>
      <c r="I6" s="56"/>
      <c r="J6" s="56"/>
      <c r="K6" s="56"/>
      <c r="L6" s="56"/>
      <c r="M6" s="56"/>
      <c r="N6" s="56"/>
      <c r="O6" s="56"/>
      <c r="P6" s="56"/>
      <c r="Q6" s="56"/>
      <c r="R6" s="56"/>
      <c r="S6" s="56"/>
      <c r="T6" s="56"/>
      <c r="U6" s="56"/>
      <c r="V6" s="56"/>
      <c r="W6" s="56"/>
      <c r="X6" s="56"/>
      <c r="Y6" s="56"/>
      <c r="Z6" s="56"/>
      <c r="AA6" s="56"/>
      <c r="AB6" s="56"/>
      <c r="AC6" s="56"/>
    </row>
    <row r="7" spans="8:29" x14ac:dyDescent="0.25">
      <c r="H7" s="56"/>
      <c r="I7" s="56"/>
      <c r="J7" s="56"/>
      <c r="K7" s="56"/>
      <c r="L7" s="56"/>
      <c r="M7" s="56"/>
      <c r="N7" s="56"/>
      <c r="O7" s="56"/>
      <c r="P7" s="56"/>
      <c r="Q7" s="56"/>
      <c r="R7" s="56"/>
      <c r="S7" s="56"/>
      <c r="T7" s="56"/>
      <c r="U7" s="56"/>
      <c r="V7" s="56"/>
      <c r="W7" s="56"/>
      <c r="X7" s="56"/>
      <c r="Y7" s="56"/>
      <c r="Z7" s="56"/>
      <c r="AA7" s="56"/>
      <c r="AB7" s="56"/>
      <c r="AC7" s="56"/>
    </row>
    <row r="8" spans="8:29" x14ac:dyDescent="0.25">
      <c r="H8" s="56"/>
      <c r="I8" s="56"/>
      <c r="J8" s="56"/>
      <c r="K8" s="56"/>
      <c r="L8" s="56"/>
      <c r="M8" s="56"/>
      <c r="N8" s="56"/>
      <c r="O8" s="56"/>
      <c r="P8" s="56"/>
      <c r="Q8" s="56"/>
      <c r="R8" s="56"/>
      <c r="S8" s="56"/>
      <c r="T8" s="56"/>
      <c r="U8" s="56"/>
      <c r="V8" s="56"/>
      <c r="W8" s="56"/>
      <c r="X8" s="56"/>
      <c r="Y8" s="56"/>
      <c r="Z8" s="56"/>
      <c r="AA8" s="56"/>
      <c r="AB8" s="56"/>
      <c r="AC8" s="56"/>
    </row>
    <row r="9" spans="8:29" x14ac:dyDescent="0.25">
      <c r="H9" s="56"/>
      <c r="I9" s="56"/>
      <c r="J9" s="56"/>
      <c r="K9" s="56"/>
      <c r="L9" s="56"/>
      <c r="M9" s="56"/>
      <c r="N9" s="56"/>
      <c r="O9" s="56"/>
      <c r="P9" s="56"/>
      <c r="Q9" s="56"/>
      <c r="R9" s="56"/>
      <c r="S9" s="56"/>
      <c r="T9" s="56"/>
      <c r="U9" s="56"/>
      <c r="V9" s="56"/>
      <c r="W9" s="56"/>
      <c r="X9" s="56"/>
      <c r="Y9" s="56"/>
      <c r="Z9" s="56"/>
      <c r="AA9" s="56"/>
      <c r="AB9" s="56"/>
      <c r="AC9" s="56"/>
    </row>
    <row r="10" spans="8:29" x14ac:dyDescent="0.25">
      <c r="H10" s="56"/>
      <c r="I10" s="56"/>
      <c r="J10" s="56"/>
      <c r="K10" s="56"/>
      <c r="L10" s="56"/>
      <c r="M10" s="56"/>
      <c r="N10" s="56"/>
      <c r="O10" s="56"/>
      <c r="P10" s="56"/>
      <c r="Q10" s="56"/>
      <c r="R10" s="56"/>
      <c r="S10" s="56"/>
      <c r="T10" s="56"/>
      <c r="U10" s="56"/>
      <c r="V10" s="56"/>
      <c r="W10" s="56"/>
      <c r="X10" s="56"/>
      <c r="Y10" s="56"/>
      <c r="Z10" s="56"/>
      <c r="AA10" s="56"/>
      <c r="AB10" s="56"/>
      <c r="AC10" s="56"/>
    </row>
    <row r="11" spans="8:29" x14ac:dyDescent="0.25">
      <c r="H11" s="56"/>
      <c r="I11" s="56"/>
      <c r="J11" s="56"/>
      <c r="K11" s="56"/>
      <c r="L11" s="56"/>
      <c r="M11" s="56"/>
      <c r="N11" s="56"/>
      <c r="O11" s="56"/>
      <c r="P11" s="56"/>
      <c r="Q11" s="56"/>
      <c r="R11" s="56"/>
      <c r="S11" s="56"/>
      <c r="T11" s="56"/>
      <c r="U11" s="56"/>
      <c r="V11" s="56"/>
      <c r="W11" s="56"/>
      <c r="X11" s="56"/>
      <c r="Y11" s="56"/>
      <c r="Z11" s="56"/>
      <c r="AA11" s="56"/>
      <c r="AB11" s="56"/>
      <c r="AC11" s="56"/>
    </row>
    <row r="12" spans="8:29" x14ac:dyDescent="0.25">
      <c r="H12" s="56"/>
      <c r="I12" s="56"/>
      <c r="J12" s="56"/>
      <c r="K12" s="56"/>
      <c r="L12" s="56"/>
      <c r="M12" s="56"/>
      <c r="N12" s="56"/>
      <c r="O12" s="56"/>
      <c r="P12" s="56"/>
      <c r="Q12" s="56"/>
      <c r="R12" s="56"/>
      <c r="S12" s="56"/>
      <c r="T12" s="56"/>
      <c r="U12" s="56"/>
      <c r="V12" s="56"/>
      <c r="W12" s="56"/>
      <c r="X12" s="56"/>
      <c r="Y12" s="56"/>
      <c r="Z12" s="56"/>
      <c r="AA12" s="56"/>
      <c r="AB12" s="56"/>
      <c r="AC12" s="56"/>
    </row>
    <row r="13" spans="8:29" x14ac:dyDescent="0.25">
      <c r="H13" s="56"/>
      <c r="I13" s="56"/>
      <c r="J13" s="56"/>
      <c r="K13" s="56"/>
      <c r="L13" s="56"/>
      <c r="M13" s="56"/>
      <c r="N13" s="56"/>
      <c r="O13" s="56"/>
      <c r="P13" s="56"/>
      <c r="Q13" s="56"/>
      <c r="R13" s="56"/>
      <c r="S13" s="56"/>
      <c r="T13" s="56"/>
      <c r="U13" s="56"/>
      <c r="V13" s="56"/>
      <c r="W13" s="56"/>
      <c r="X13" s="56"/>
      <c r="Y13" s="56"/>
      <c r="Z13" s="56"/>
      <c r="AA13" s="56"/>
      <c r="AB13" s="56"/>
      <c r="AC13" s="56"/>
    </row>
    <row r="14" spans="8:29" x14ac:dyDescent="0.25">
      <c r="H14" s="56"/>
      <c r="I14" s="56"/>
      <c r="J14" s="56"/>
      <c r="K14" s="56"/>
      <c r="L14" s="56"/>
      <c r="M14" s="56"/>
      <c r="N14" s="56"/>
      <c r="O14" s="56"/>
      <c r="P14" s="56"/>
      <c r="Q14" s="56"/>
      <c r="R14" s="56"/>
      <c r="S14" s="56"/>
      <c r="T14" s="56"/>
      <c r="U14" s="56"/>
      <c r="V14" s="56"/>
      <c r="W14" s="56"/>
      <c r="X14" s="56"/>
      <c r="Y14" s="56"/>
      <c r="Z14" s="56"/>
      <c r="AA14" s="56"/>
      <c r="AB14" s="56"/>
      <c r="AC14" s="56"/>
    </row>
    <row r="15" spans="8:29" x14ac:dyDescent="0.25">
      <c r="H15" s="56"/>
      <c r="I15" s="56"/>
      <c r="J15" s="56"/>
      <c r="K15" s="56"/>
      <c r="L15" s="56"/>
      <c r="M15" s="56"/>
      <c r="N15" s="56"/>
      <c r="O15" s="56"/>
      <c r="P15" s="56"/>
      <c r="Q15" s="56"/>
      <c r="R15" s="56"/>
      <c r="S15" s="56"/>
      <c r="T15" s="56"/>
      <c r="U15" s="56"/>
      <c r="V15" s="56"/>
      <c r="W15" s="56"/>
      <c r="X15" s="56"/>
      <c r="Y15" s="56"/>
      <c r="Z15" s="56"/>
      <c r="AA15" s="56"/>
      <c r="AB15" s="56"/>
      <c r="AC15" s="56"/>
    </row>
    <row r="16" spans="8:29" x14ac:dyDescent="0.25">
      <c r="H16" s="56"/>
      <c r="I16" s="56"/>
      <c r="J16" s="56"/>
      <c r="K16" s="56"/>
      <c r="L16" s="56"/>
      <c r="M16" s="56"/>
      <c r="N16" s="56"/>
      <c r="O16" s="56"/>
      <c r="P16" s="56"/>
      <c r="Q16" s="56"/>
      <c r="R16" s="56"/>
      <c r="S16" s="56"/>
      <c r="T16" s="56"/>
      <c r="U16" s="56"/>
      <c r="V16" s="56"/>
      <c r="W16" s="56"/>
      <c r="X16" s="56"/>
      <c r="Y16" s="56"/>
      <c r="Z16" s="56"/>
      <c r="AA16" s="56"/>
      <c r="AB16" s="56"/>
      <c r="AC16" s="56"/>
    </row>
    <row r="17" spans="8:29" x14ac:dyDescent="0.25">
      <c r="H17" s="56"/>
      <c r="I17" s="56"/>
      <c r="J17" s="56"/>
      <c r="K17" s="56"/>
      <c r="L17" s="56"/>
      <c r="M17" s="56"/>
      <c r="N17" s="56"/>
      <c r="O17" s="56"/>
      <c r="P17" s="56"/>
      <c r="Q17" s="56"/>
      <c r="R17" s="56"/>
      <c r="S17" s="56"/>
      <c r="T17" s="56"/>
      <c r="U17" s="56"/>
      <c r="V17" s="56"/>
      <c r="W17" s="56"/>
      <c r="X17" s="56"/>
      <c r="Y17" s="56"/>
      <c r="Z17" s="56"/>
      <c r="AA17" s="56"/>
      <c r="AB17" s="56"/>
      <c r="AC17" s="56"/>
    </row>
    <row r="18" spans="8:29" x14ac:dyDescent="0.25">
      <c r="H18" s="56"/>
      <c r="I18" s="56"/>
      <c r="J18" s="56"/>
      <c r="K18" s="56"/>
      <c r="L18" s="56"/>
      <c r="M18" s="56"/>
      <c r="N18" s="56"/>
      <c r="O18" s="56"/>
      <c r="P18" s="56"/>
      <c r="Q18" s="56"/>
      <c r="R18" s="56"/>
      <c r="S18" s="56"/>
      <c r="T18" s="56"/>
      <c r="U18" s="56"/>
      <c r="V18" s="56"/>
      <c r="W18" s="56"/>
      <c r="X18" s="56"/>
      <c r="Y18" s="56"/>
      <c r="Z18" s="56"/>
      <c r="AA18" s="56"/>
      <c r="AB18" s="56"/>
      <c r="AC18" s="56"/>
    </row>
    <row r="19" spans="8:29" x14ac:dyDescent="0.25">
      <c r="H19" s="56"/>
      <c r="I19" s="56"/>
      <c r="J19" s="56"/>
      <c r="K19" s="56"/>
      <c r="L19" s="56"/>
      <c r="M19" s="56"/>
      <c r="N19" s="56"/>
      <c r="O19" s="56"/>
      <c r="P19" s="56"/>
      <c r="Q19" s="56"/>
      <c r="R19" s="56"/>
      <c r="S19" s="56"/>
      <c r="T19" s="56"/>
      <c r="U19" s="56"/>
      <c r="V19" s="56"/>
      <c r="W19" s="56"/>
      <c r="X19" s="56"/>
      <c r="Y19" s="56"/>
      <c r="Z19" s="56"/>
      <c r="AA19" s="56"/>
      <c r="AB19" s="56"/>
      <c r="AC19" s="56"/>
    </row>
    <row r="20" spans="8:29" x14ac:dyDescent="0.25">
      <c r="H20" s="56"/>
      <c r="I20" s="56"/>
      <c r="J20" s="56"/>
      <c r="K20" s="56"/>
      <c r="L20" s="56"/>
      <c r="M20" s="56"/>
      <c r="N20" s="56"/>
      <c r="O20" s="56"/>
      <c r="P20" s="56"/>
      <c r="Q20" s="56"/>
      <c r="R20" s="56"/>
      <c r="S20" s="56"/>
      <c r="T20" s="56"/>
      <c r="U20" s="56"/>
      <c r="V20" s="56"/>
      <c r="W20" s="56"/>
      <c r="X20" s="56"/>
      <c r="Y20" s="56"/>
      <c r="Z20" s="56"/>
      <c r="AA20" s="56"/>
      <c r="AB20" s="56"/>
      <c r="AC20" s="56"/>
    </row>
    <row r="21" spans="8:29" x14ac:dyDescent="0.25">
      <c r="H21" s="56"/>
      <c r="I21" s="56"/>
      <c r="J21" s="56"/>
      <c r="K21" s="56"/>
      <c r="L21" s="56"/>
      <c r="M21" s="56"/>
      <c r="N21" s="56"/>
      <c r="O21" s="56"/>
      <c r="P21" s="56"/>
      <c r="Q21" s="56"/>
      <c r="R21" s="56"/>
      <c r="S21" s="56"/>
      <c r="T21" s="56"/>
      <c r="U21" s="56"/>
      <c r="V21" s="56"/>
      <c r="W21" s="56"/>
      <c r="X21" s="56"/>
      <c r="Y21" s="56"/>
      <c r="Z21" s="56"/>
      <c r="AA21" s="56"/>
      <c r="AB21" s="56"/>
      <c r="AC21" s="56"/>
    </row>
    <row r="22" spans="8:29" x14ac:dyDescent="0.25">
      <c r="H22" s="56"/>
      <c r="I22" s="56"/>
      <c r="J22" s="56"/>
      <c r="K22" s="56"/>
      <c r="L22" s="56"/>
      <c r="M22" s="56"/>
      <c r="N22" s="56"/>
      <c r="O22" s="56"/>
      <c r="P22" s="56"/>
      <c r="Q22" s="56"/>
      <c r="R22" s="56"/>
      <c r="S22" s="56"/>
      <c r="T22" s="56"/>
      <c r="U22" s="56"/>
      <c r="V22" s="56"/>
      <c r="W22" s="56"/>
      <c r="X22" s="56"/>
      <c r="Y22" s="56"/>
      <c r="Z22" s="56"/>
      <c r="AA22" s="56"/>
      <c r="AB22" s="56"/>
      <c r="AC22" s="56"/>
    </row>
    <row r="23" spans="8:29" x14ac:dyDescent="0.25">
      <c r="H23" s="56"/>
      <c r="I23" s="56"/>
      <c r="J23" s="56"/>
      <c r="K23" s="56"/>
      <c r="L23" s="56"/>
      <c r="M23" s="56"/>
      <c r="N23" s="56"/>
      <c r="O23" s="56"/>
      <c r="P23" s="56"/>
      <c r="Q23" s="56"/>
      <c r="R23" s="56"/>
      <c r="S23" s="56"/>
      <c r="T23" s="56"/>
      <c r="U23" s="56"/>
      <c r="V23" s="56"/>
      <c r="W23" s="56"/>
      <c r="X23" s="56"/>
      <c r="Y23" s="56"/>
      <c r="Z23" s="56"/>
      <c r="AA23" s="56"/>
      <c r="AB23" s="56"/>
      <c r="AC23" s="56"/>
    </row>
    <row r="24" spans="8:29" x14ac:dyDescent="0.25">
      <c r="H24" s="56"/>
      <c r="I24" s="56"/>
      <c r="J24" s="56"/>
      <c r="K24" s="56"/>
      <c r="L24" s="56"/>
      <c r="M24" s="56"/>
      <c r="N24" s="56"/>
      <c r="O24" s="56"/>
      <c r="P24" s="56"/>
      <c r="Q24" s="56"/>
      <c r="R24" s="56"/>
      <c r="S24" s="56"/>
      <c r="T24" s="56"/>
      <c r="U24" s="56"/>
      <c r="V24" s="56"/>
      <c r="W24" s="56"/>
      <c r="X24" s="56"/>
      <c r="Y24" s="56"/>
      <c r="Z24" s="56"/>
      <c r="AA24" s="56"/>
      <c r="AB24" s="56"/>
      <c r="AC24" s="56"/>
    </row>
    <row r="25" spans="8:29" x14ac:dyDescent="0.25">
      <c r="H25" s="56"/>
      <c r="I25" s="56"/>
      <c r="J25" s="56"/>
      <c r="K25" s="56"/>
      <c r="L25" s="56"/>
      <c r="M25" s="56"/>
      <c r="N25" s="56"/>
      <c r="O25" s="56"/>
      <c r="P25" s="56"/>
      <c r="Q25" s="56"/>
      <c r="R25" s="56"/>
      <c r="S25" s="56"/>
      <c r="T25" s="56"/>
      <c r="U25" s="56"/>
      <c r="V25" s="56"/>
      <c r="W25" s="56"/>
      <c r="X25" s="56"/>
      <c r="Y25" s="56"/>
      <c r="Z25" s="56"/>
      <c r="AA25" s="56"/>
      <c r="AB25" s="56"/>
      <c r="AC25" s="56"/>
    </row>
    <row r="26" spans="8:29" x14ac:dyDescent="0.25">
      <c r="H26" s="56"/>
      <c r="I26" s="56"/>
      <c r="J26" s="56"/>
      <c r="K26" s="56"/>
      <c r="L26" s="56"/>
      <c r="M26" s="56"/>
      <c r="N26" s="56"/>
      <c r="O26" s="56"/>
      <c r="P26" s="56"/>
      <c r="Q26" s="56"/>
      <c r="R26" s="56"/>
      <c r="S26" s="56"/>
      <c r="T26" s="56"/>
      <c r="U26" s="56"/>
      <c r="V26" s="56"/>
      <c r="W26" s="56"/>
      <c r="X26" s="56"/>
      <c r="Y26" s="56"/>
      <c r="Z26" s="56"/>
      <c r="AA26" s="56"/>
      <c r="AB26" s="56"/>
      <c r="AC26" s="56"/>
    </row>
    <row r="27" spans="8:29" x14ac:dyDescent="0.25">
      <c r="H27" s="56"/>
      <c r="I27" s="56"/>
      <c r="J27" s="56"/>
      <c r="K27" s="56"/>
      <c r="L27" s="56"/>
      <c r="M27" s="56"/>
      <c r="N27" s="56"/>
      <c r="O27" s="56"/>
      <c r="P27" s="56"/>
      <c r="Q27" s="56"/>
      <c r="R27" s="56"/>
      <c r="S27" s="56"/>
      <c r="T27" s="56"/>
      <c r="U27" s="56"/>
      <c r="V27" s="56"/>
      <c r="W27" s="56"/>
      <c r="X27" s="56"/>
      <c r="Y27" s="56"/>
      <c r="Z27" s="56"/>
      <c r="AA27" s="56"/>
      <c r="AB27" s="56"/>
      <c r="AC27" s="56"/>
    </row>
    <row r="28" spans="8:29" x14ac:dyDescent="0.25">
      <c r="H28" s="56"/>
      <c r="I28" s="56"/>
      <c r="J28" s="56"/>
      <c r="K28" s="56"/>
      <c r="L28" s="56"/>
      <c r="M28" s="56"/>
      <c r="N28" s="56"/>
      <c r="O28" s="56"/>
      <c r="P28" s="56"/>
      <c r="Q28" s="56"/>
      <c r="R28" s="56"/>
      <c r="S28" s="56"/>
      <c r="T28" s="56"/>
      <c r="U28" s="56"/>
      <c r="V28" s="56"/>
      <c r="W28" s="56"/>
      <c r="X28" s="56"/>
      <c r="Y28" s="56"/>
      <c r="Z28" s="56"/>
      <c r="AA28" s="56"/>
      <c r="AB28" s="56"/>
      <c r="AC28" s="56"/>
    </row>
    <row r="29" spans="8:29" x14ac:dyDescent="0.25">
      <c r="H29" s="56"/>
      <c r="I29" s="56"/>
      <c r="J29" s="56"/>
      <c r="K29" s="56"/>
      <c r="L29" s="56"/>
      <c r="M29" s="56"/>
      <c r="N29" s="56"/>
      <c r="O29" s="56"/>
      <c r="P29" s="56"/>
      <c r="Q29" s="56"/>
      <c r="R29" s="56"/>
      <c r="S29" s="56"/>
      <c r="T29" s="56"/>
      <c r="U29" s="56"/>
      <c r="V29" s="56"/>
      <c r="W29" s="56"/>
      <c r="X29" s="56"/>
      <c r="Y29" s="56"/>
      <c r="Z29" s="56"/>
      <c r="AA29" s="56"/>
      <c r="AB29" s="56"/>
      <c r="AC29" s="56"/>
    </row>
    <row r="30" spans="8:29" x14ac:dyDescent="0.25">
      <c r="H30" s="56"/>
      <c r="I30" s="56"/>
      <c r="J30" s="56"/>
      <c r="K30" s="56"/>
      <c r="L30" s="56"/>
      <c r="M30" s="56"/>
      <c r="N30" s="56"/>
      <c r="O30" s="56"/>
      <c r="P30" s="56"/>
      <c r="Q30" s="56"/>
      <c r="R30" s="56"/>
      <c r="S30" s="56"/>
      <c r="T30" s="56"/>
      <c r="U30" s="56"/>
      <c r="V30" s="56"/>
      <c r="W30" s="56"/>
      <c r="X30" s="56"/>
      <c r="Y30" s="56"/>
      <c r="Z30" s="56"/>
      <c r="AA30" s="56"/>
      <c r="AB30" s="56"/>
      <c r="AC30" s="56"/>
    </row>
    <row r="31" spans="8:29" x14ac:dyDescent="0.25">
      <c r="H31" s="56"/>
      <c r="I31" s="56"/>
      <c r="J31" s="56"/>
      <c r="K31" s="56"/>
      <c r="L31" s="56"/>
      <c r="M31" s="56"/>
      <c r="N31" s="56"/>
      <c r="O31" s="56"/>
      <c r="P31" s="56"/>
      <c r="Q31" s="56"/>
      <c r="R31" s="56"/>
      <c r="S31" s="56"/>
      <c r="T31" s="56"/>
      <c r="U31" s="56"/>
      <c r="V31" s="56"/>
      <c r="W31" s="56"/>
      <c r="X31" s="56"/>
      <c r="Y31" s="56"/>
      <c r="Z31" s="56"/>
      <c r="AA31" s="56"/>
      <c r="AB31" s="56"/>
      <c r="AC31" s="56"/>
    </row>
    <row r="32" spans="8:29" x14ac:dyDescent="0.25">
      <c r="H32" s="56"/>
      <c r="I32" s="56"/>
      <c r="J32" s="56"/>
      <c r="K32" s="56"/>
      <c r="L32" s="56"/>
      <c r="M32" s="56"/>
      <c r="N32" s="56"/>
      <c r="O32" s="56"/>
      <c r="P32" s="56"/>
      <c r="Q32" s="56"/>
      <c r="R32" s="56"/>
      <c r="S32" s="56"/>
      <c r="T32" s="56"/>
      <c r="U32" s="56"/>
      <c r="V32" s="56"/>
      <c r="W32" s="56"/>
      <c r="X32" s="56"/>
      <c r="Y32" s="56"/>
      <c r="Z32" s="56"/>
      <c r="AA32" s="56"/>
      <c r="AB32" s="56"/>
      <c r="AC32" s="56"/>
    </row>
    <row r="33" spans="8:29" x14ac:dyDescent="0.25">
      <c r="H33" s="56"/>
      <c r="I33" s="56"/>
      <c r="J33" s="56"/>
      <c r="K33" s="56"/>
      <c r="L33" s="56"/>
      <c r="M33" s="56"/>
      <c r="N33" s="56"/>
      <c r="O33" s="56"/>
      <c r="P33" s="56"/>
      <c r="Q33" s="56"/>
      <c r="R33" s="56"/>
      <c r="S33" s="56"/>
      <c r="T33" s="56"/>
      <c r="U33" s="56"/>
      <c r="V33" s="56"/>
      <c r="W33" s="56"/>
      <c r="X33" s="56"/>
      <c r="Y33" s="56"/>
      <c r="Z33" s="56"/>
      <c r="AA33" s="56"/>
      <c r="AB33" s="56"/>
      <c r="AC33" s="56"/>
    </row>
    <row r="34" spans="8:29" x14ac:dyDescent="0.25">
      <c r="H34" s="56"/>
      <c r="I34" s="56"/>
      <c r="J34" s="56"/>
      <c r="K34" s="56"/>
      <c r="L34" s="56"/>
      <c r="M34" s="56"/>
      <c r="N34" s="56"/>
      <c r="O34" s="56"/>
      <c r="P34" s="56"/>
      <c r="Q34" s="56"/>
      <c r="R34" s="56"/>
      <c r="S34" s="56"/>
      <c r="T34" s="56"/>
      <c r="U34" s="56"/>
      <c r="V34" s="56"/>
      <c r="W34" s="56"/>
      <c r="X34" s="56"/>
      <c r="Y34" s="56"/>
      <c r="Z34" s="56"/>
      <c r="AA34" s="56"/>
      <c r="AB34" s="56"/>
      <c r="AC34" s="56"/>
    </row>
    <row r="35" spans="8:29" x14ac:dyDescent="0.25">
      <c r="H35" s="56"/>
      <c r="I35" s="56"/>
      <c r="J35" s="56"/>
      <c r="K35" s="56"/>
      <c r="L35" s="56"/>
      <c r="M35" s="56"/>
      <c r="N35" s="56"/>
      <c r="O35" s="56"/>
      <c r="P35" s="56"/>
      <c r="Q35" s="56"/>
      <c r="R35" s="56"/>
      <c r="S35" s="56"/>
      <c r="T35" s="56"/>
      <c r="U35" s="56"/>
      <c r="V35" s="56"/>
      <c r="W35" s="56"/>
      <c r="X35" s="56"/>
      <c r="Y35" s="56"/>
      <c r="Z35" s="56"/>
      <c r="AA35" s="56"/>
      <c r="AB35" s="56"/>
      <c r="AC35" s="56"/>
    </row>
    <row r="36" spans="8:29" x14ac:dyDescent="0.25">
      <c r="H36" s="56"/>
      <c r="I36" s="56"/>
      <c r="J36" s="56"/>
      <c r="K36" s="56"/>
      <c r="L36" s="56"/>
      <c r="M36" s="56"/>
      <c r="N36" s="56"/>
      <c r="O36" s="56"/>
      <c r="P36" s="56"/>
      <c r="Q36" s="56"/>
      <c r="R36" s="56"/>
      <c r="S36" s="56"/>
      <c r="T36" s="56"/>
      <c r="U36" s="56"/>
      <c r="V36" s="56"/>
      <c r="W36" s="56"/>
      <c r="X36" s="56"/>
      <c r="Y36" s="56"/>
      <c r="Z36" s="56"/>
      <c r="AA36" s="56"/>
      <c r="AB36" s="56"/>
      <c r="AC36" s="56"/>
    </row>
    <row r="37" spans="8:29" x14ac:dyDescent="0.25">
      <c r="H37" s="56"/>
      <c r="I37" s="56"/>
      <c r="J37" s="56"/>
      <c r="K37" s="56"/>
      <c r="L37" s="56"/>
      <c r="M37" s="56"/>
      <c r="N37" s="56"/>
      <c r="O37" s="56"/>
      <c r="P37" s="56"/>
      <c r="Q37" s="56"/>
      <c r="R37" s="56"/>
      <c r="S37" s="56"/>
      <c r="T37" s="56"/>
      <c r="U37" s="56"/>
      <c r="V37" s="56"/>
      <c r="W37" s="56"/>
      <c r="X37" s="56"/>
      <c r="Y37" s="56"/>
      <c r="Z37" s="56"/>
      <c r="AA37" s="56"/>
      <c r="AB37" s="56"/>
      <c r="AC37" s="56"/>
    </row>
    <row r="38" spans="8:29" x14ac:dyDescent="0.25">
      <c r="H38" s="56"/>
      <c r="I38" s="56"/>
      <c r="J38" s="56"/>
      <c r="K38" s="56"/>
      <c r="L38" s="56"/>
      <c r="M38" s="56"/>
      <c r="N38" s="56"/>
      <c r="O38" s="56"/>
      <c r="P38" s="56"/>
      <c r="Q38" s="56"/>
      <c r="R38" s="56"/>
      <c r="S38" s="56"/>
      <c r="T38" s="56"/>
      <c r="U38" s="56"/>
      <c r="V38" s="56"/>
      <c r="W38" s="56"/>
      <c r="X38" s="56"/>
      <c r="Y38" s="56"/>
      <c r="Z38" s="56"/>
      <c r="AA38" s="56"/>
      <c r="AB38" s="56"/>
      <c r="AC38" s="56"/>
    </row>
    <row r="39" spans="8:29" x14ac:dyDescent="0.25">
      <c r="H39" s="56"/>
      <c r="I39" s="56"/>
      <c r="J39" s="56"/>
      <c r="K39" s="56"/>
      <c r="L39" s="56"/>
      <c r="M39" s="56"/>
      <c r="N39" s="56"/>
      <c r="O39" s="56"/>
      <c r="P39" s="56"/>
      <c r="Q39" s="56"/>
      <c r="R39" s="56"/>
      <c r="S39" s="56"/>
      <c r="T39" s="56"/>
      <c r="U39" s="56"/>
      <c r="V39" s="56"/>
      <c r="W39" s="56"/>
      <c r="X39" s="56"/>
      <c r="Y39" s="56"/>
      <c r="Z39" s="56"/>
      <c r="AA39" s="56"/>
      <c r="AB39" s="56"/>
      <c r="AC39" s="56"/>
    </row>
    <row r="40" spans="8:29" x14ac:dyDescent="0.25">
      <c r="H40" s="56"/>
      <c r="I40" s="56"/>
      <c r="J40" s="56"/>
      <c r="K40" s="56"/>
      <c r="L40" s="56"/>
      <c r="M40" s="56"/>
      <c r="N40" s="56"/>
      <c r="O40" s="56"/>
      <c r="P40" s="56"/>
      <c r="Q40" s="56"/>
      <c r="R40" s="56"/>
      <c r="S40" s="56"/>
      <c r="T40" s="56"/>
      <c r="U40" s="56"/>
      <c r="V40" s="56"/>
      <c r="W40" s="56"/>
      <c r="X40" s="56"/>
      <c r="Y40" s="56"/>
      <c r="Z40" s="56"/>
      <c r="AA40" s="56"/>
      <c r="AB40" s="56"/>
      <c r="AC40" s="56"/>
    </row>
    <row r="41" spans="8:29" x14ac:dyDescent="0.25">
      <c r="H41" s="56"/>
      <c r="I41" s="56"/>
      <c r="J41" s="56"/>
      <c r="K41" s="56"/>
      <c r="L41" s="56"/>
      <c r="M41" s="56"/>
      <c r="N41" s="56"/>
      <c r="O41" s="56"/>
      <c r="P41" s="56"/>
      <c r="Q41" s="56"/>
      <c r="R41" s="56"/>
      <c r="S41" s="56"/>
      <c r="T41" s="56"/>
      <c r="U41" s="56"/>
      <c r="V41" s="56"/>
      <c r="W41" s="56"/>
      <c r="X41" s="56"/>
      <c r="Y41" s="56"/>
      <c r="Z41" s="56"/>
      <c r="AA41" s="56"/>
      <c r="AB41" s="56"/>
      <c r="AC41" s="56"/>
    </row>
    <row r="42" spans="8:29" x14ac:dyDescent="0.25">
      <c r="H42" s="56"/>
      <c r="I42" s="56"/>
      <c r="J42" s="56"/>
      <c r="K42" s="56"/>
      <c r="L42" s="56"/>
      <c r="M42" s="56"/>
      <c r="N42" s="56"/>
      <c r="O42" s="56"/>
      <c r="P42" s="56"/>
      <c r="Q42" s="56"/>
      <c r="R42" s="56"/>
      <c r="S42" s="56"/>
      <c r="T42" s="56"/>
      <c r="U42" s="56"/>
      <c r="V42" s="56"/>
      <c r="W42" s="56"/>
      <c r="X42" s="56"/>
      <c r="Y42" s="56"/>
      <c r="Z42" s="56"/>
      <c r="AA42" s="56"/>
      <c r="AB42" s="56"/>
      <c r="AC42" s="56"/>
    </row>
    <row r="43" spans="8:29" x14ac:dyDescent="0.25">
      <c r="H43" s="56"/>
      <c r="I43" s="56"/>
      <c r="J43" s="56"/>
      <c r="K43" s="56"/>
      <c r="L43" s="56"/>
      <c r="M43" s="56"/>
      <c r="N43" s="56"/>
      <c r="O43" s="56"/>
      <c r="P43" s="56"/>
      <c r="Q43" s="56"/>
      <c r="R43" s="56"/>
      <c r="S43" s="56"/>
      <c r="T43" s="56"/>
      <c r="U43" s="56"/>
      <c r="V43" s="56"/>
      <c r="W43" s="56"/>
      <c r="X43" s="56"/>
      <c r="Y43" s="56"/>
      <c r="Z43" s="56"/>
      <c r="AA43" s="56"/>
      <c r="AB43" s="56"/>
      <c r="AC43" s="56"/>
    </row>
  </sheetData>
  <sheetProtection selectLockedCells="1"/>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C8FB1A-6E5A-4916-ABAF-1C660C2B17AD}">
  <sheetPr codeName="Sheet5">
    <tabColor rgb="FF1D1D3C"/>
  </sheetPr>
  <dimension ref="A1"/>
  <sheetViews>
    <sheetView showGridLines="0" showRowColHeaders="0" zoomScale="75" zoomScaleNormal="75" workbookViewId="0"/>
  </sheetViews>
  <sheetFormatPr defaultRowHeight="15" x14ac:dyDescent="0.25"/>
  <cols>
    <col min="1" max="16384" width="9.140625" style="17"/>
  </cols>
  <sheetData/>
  <sheetProtection selectLockedCells="1"/>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CC740D-4136-4F67-A15F-CA46734CBC75}">
  <sheetPr codeName="Sheet6">
    <tabColor rgb="FF1D1D3C"/>
  </sheetPr>
  <dimension ref="A1"/>
  <sheetViews>
    <sheetView showGridLines="0" showRowColHeaders="0" zoomScale="75" zoomScaleNormal="75" workbookViewId="0"/>
  </sheetViews>
  <sheetFormatPr defaultRowHeight="15" x14ac:dyDescent="0.25"/>
  <cols>
    <col min="1" max="16384" width="9.140625" style="17"/>
  </cols>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Datasets</vt:lpstr>
      <vt:lpstr>Pivot Tables</vt:lpstr>
      <vt:lpstr>Income Sources</vt:lpstr>
      <vt:lpstr>Geographically</vt:lpstr>
      <vt:lpstr>Sales Process</vt:lpstr>
      <vt:lpstr>Projects Status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Shaik Shareef</dc:creator>
  <cp:lastModifiedBy>Shivam Rastogi</cp:lastModifiedBy>
  <cp:lastPrinted>2026-08-20T11:50:23Z</cp:lastPrinted>
  <dcterms:created xsi:type="dcterms:W3CDTF">2025-04-28T17:46:41Z</dcterms:created>
  <dcterms:modified xsi:type="dcterms:W3CDTF">2026-09-01T18:06:15Z</dcterms:modified>
</cp:coreProperties>
</file>